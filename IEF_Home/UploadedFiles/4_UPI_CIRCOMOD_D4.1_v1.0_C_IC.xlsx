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DF2816BC-91F6-4B0B-A37C-BC34C4E86087}" xr6:coauthVersionLast="36" xr6:coauthVersionMax="47" xr10:uidLastSave="{00000000-0000-0000-0000-000000000000}"/>
  <bookViews>
    <workbookView xWindow="0" yWindow="498" windowWidth="38400" windowHeight="19662" activeTab="1" xr2:uid="{00000000-000D-0000-FFFF-FFFF00000000}"/>
  </bookViews>
  <sheets>
    <sheet name="Cover" sheetId="1" r:id="rId1"/>
    <sheet name="Data" sheetId="5" r:id="rId2"/>
    <sheet name="Data_old" sheetId="2" r:id="rId3"/>
    <sheet name="log" sheetId="3" r:id="rId4"/>
    <sheet name="ref" sheetId="4" r:id="rId5"/>
  </sheets>
  <externalReferences>
    <externalReference r:id="rId6"/>
  </externalReferences>
  <definedNames>
    <definedName name="_xlnm._FilterDatabase" localSheetId="2" hidden="1">Data_old!$F:$G</definedName>
    <definedName name="_xlnm._FilterDatabase" localSheetId="3" hidden="1">log!$A$810:$F$813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916" i="5" l="1"/>
  <c r="E2916" i="5"/>
  <c r="J2915" i="5"/>
  <c r="E2915" i="5"/>
  <c r="J2914" i="5"/>
  <c r="E2914" i="5"/>
  <c r="J2913" i="5"/>
  <c r="E2913" i="5"/>
  <c r="J2912" i="5"/>
  <c r="J2911" i="5"/>
  <c r="J2910" i="5"/>
  <c r="J2909" i="5"/>
  <c r="J2908" i="5"/>
  <c r="J2907" i="5"/>
  <c r="J2906" i="5"/>
  <c r="J2905" i="5"/>
  <c r="E2905" i="5"/>
  <c r="J2904" i="5"/>
  <c r="E2904" i="5"/>
  <c r="J2903" i="5"/>
  <c r="J2902" i="5"/>
  <c r="J2901" i="5"/>
  <c r="E2901" i="5"/>
  <c r="J2900" i="5"/>
  <c r="E2900" i="5"/>
  <c r="J2899" i="5"/>
  <c r="E2899" i="5"/>
  <c r="J2898" i="5"/>
  <c r="E2898" i="5"/>
  <c r="J2897" i="5"/>
  <c r="E2897" i="5"/>
  <c r="J2896" i="5"/>
  <c r="E2896" i="5"/>
  <c r="J2895" i="5"/>
  <c r="J2894" i="5"/>
  <c r="J2893" i="5"/>
  <c r="J2892" i="5"/>
  <c r="J2891" i="5"/>
  <c r="J2890" i="5"/>
  <c r="J2889" i="5"/>
  <c r="J2888" i="5"/>
  <c r="J2887" i="5"/>
  <c r="E2887" i="5"/>
  <c r="J2886" i="5"/>
  <c r="E2886" i="5"/>
  <c r="J2885" i="5"/>
  <c r="J2884" i="5"/>
  <c r="J2883" i="5"/>
  <c r="J2882" i="5"/>
  <c r="J2881" i="5"/>
  <c r="J2880" i="5"/>
  <c r="J2879" i="5"/>
  <c r="J2878" i="5"/>
  <c r="J2877" i="5"/>
  <c r="J2876" i="5"/>
  <c r="J2875" i="5"/>
  <c r="J2874" i="5"/>
  <c r="J2873" i="5"/>
  <c r="J2872" i="5"/>
  <c r="E2872" i="5"/>
  <c r="J2871" i="5"/>
  <c r="E2871" i="5"/>
  <c r="J2870" i="5"/>
  <c r="J2869" i="5"/>
  <c r="J2868" i="5"/>
  <c r="J2867" i="5"/>
  <c r="J2866" i="5"/>
  <c r="J2865" i="5"/>
  <c r="J2864" i="5"/>
  <c r="J2863" i="5"/>
  <c r="J2862" i="5"/>
  <c r="E2862" i="5"/>
  <c r="J2861" i="5"/>
  <c r="J2860" i="5"/>
  <c r="J2859" i="5"/>
  <c r="J2858" i="5"/>
  <c r="E2858" i="5"/>
  <c r="J2857" i="5"/>
  <c r="E2857" i="5"/>
  <c r="J2856" i="5"/>
  <c r="J2855" i="5"/>
  <c r="J2854" i="5"/>
  <c r="J2853" i="5"/>
  <c r="J2852" i="5"/>
  <c r="J2851" i="5"/>
  <c r="E2851" i="5"/>
  <c r="J2850" i="5"/>
  <c r="J2849" i="5"/>
  <c r="J2848" i="5"/>
  <c r="J2847" i="5"/>
  <c r="J2846" i="5"/>
  <c r="J2845" i="5"/>
  <c r="J2844" i="5"/>
  <c r="J2843" i="5"/>
  <c r="J2842" i="5"/>
  <c r="J2841" i="5"/>
  <c r="E2841" i="5"/>
  <c r="J2840" i="5"/>
  <c r="J2839" i="5"/>
  <c r="J2838" i="5"/>
  <c r="J2837" i="5"/>
  <c r="J2836" i="5"/>
  <c r="J2835" i="5"/>
  <c r="J2834" i="5"/>
  <c r="E2834" i="5"/>
  <c r="J2833" i="5"/>
  <c r="J2832" i="5"/>
  <c r="J2831" i="5"/>
  <c r="J2830" i="5"/>
  <c r="J2829" i="5"/>
  <c r="J2828" i="5"/>
  <c r="E2828" i="5"/>
  <c r="J2827" i="5"/>
  <c r="J2826" i="5"/>
  <c r="J2825" i="5"/>
  <c r="J2824" i="5"/>
  <c r="J2823" i="5"/>
  <c r="J2822" i="5"/>
  <c r="J2821" i="5"/>
  <c r="J2820" i="5"/>
  <c r="E2820" i="5"/>
  <c r="J2819" i="5"/>
  <c r="J2818" i="5"/>
  <c r="J2817" i="5"/>
  <c r="J2816" i="5"/>
  <c r="J2815" i="5"/>
  <c r="J2814" i="5"/>
  <c r="J2813" i="5"/>
  <c r="J2812" i="5"/>
  <c r="J2811" i="5"/>
  <c r="J2810" i="5"/>
  <c r="J2809" i="5"/>
  <c r="J2808" i="5"/>
  <c r="J2807" i="5"/>
  <c r="J2806" i="5"/>
  <c r="J2805" i="5"/>
  <c r="J2804" i="5"/>
  <c r="J2803" i="5"/>
  <c r="J2802" i="5"/>
  <c r="J2801" i="5"/>
  <c r="J2800" i="5"/>
  <c r="J2799" i="5"/>
  <c r="J2798" i="5"/>
  <c r="J2797" i="5"/>
  <c r="J2796" i="5"/>
  <c r="J2795" i="5"/>
  <c r="J2794" i="5"/>
  <c r="J2793" i="5"/>
  <c r="J2792" i="5"/>
  <c r="J2791" i="5"/>
  <c r="J2790" i="5"/>
  <c r="J2789" i="5"/>
  <c r="J2788" i="5"/>
  <c r="J2787" i="5"/>
  <c r="J2786" i="5"/>
  <c r="J2785" i="5"/>
  <c r="J2784" i="5"/>
  <c r="J2783" i="5"/>
  <c r="J2782" i="5"/>
  <c r="J2781" i="5"/>
  <c r="J2780" i="5"/>
  <c r="J2779" i="5"/>
  <c r="J2778" i="5"/>
  <c r="J2777" i="5"/>
  <c r="J2776" i="5"/>
  <c r="J2775" i="5"/>
  <c r="J2774" i="5"/>
  <c r="J2773" i="5"/>
  <c r="J2772" i="5"/>
  <c r="J2771" i="5"/>
  <c r="J2770" i="5"/>
  <c r="J2769" i="5"/>
  <c r="J2768" i="5"/>
  <c r="J2767" i="5"/>
  <c r="J2766" i="5"/>
  <c r="J2765" i="5"/>
  <c r="J2764" i="5"/>
  <c r="J2763" i="5"/>
  <c r="J2762" i="5"/>
  <c r="J2761" i="5"/>
  <c r="J2760" i="5"/>
  <c r="J2759" i="5"/>
  <c r="J2758" i="5"/>
  <c r="J2757" i="5"/>
  <c r="J2756" i="5"/>
  <c r="J2755" i="5"/>
  <c r="J2754" i="5"/>
  <c r="J2753" i="5"/>
  <c r="J2752" i="5"/>
  <c r="J2751" i="5"/>
  <c r="J2750" i="5"/>
  <c r="J2749" i="5"/>
  <c r="J2748" i="5"/>
  <c r="J2747" i="5"/>
  <c r="J2746" i="5"/>
  <c r="J2745" i="5"/>
  <c r="J2744" i="5"/>
  <c r="J2743" i="5"/>
  <c r="J2742" i="5"/>
  <c r="J2741" i="5"/>
  <c r="J2740" i="5"/>
  <c r="J2739" i="5"/>
  <c r="J2738" i="5"/>
  <c r="J2737" i="5"/>
  <c r="J2736" i="5"/>
  <c r="J2735" i="5"/>
  <c r="J2734" i="5"/>
  <c r="J2733" i="5"/>
  <c r="J2732" i="5"/>
  <c r="E2732" i="5"/>
  <c r="J2731" i="5"/>
  <c r="J2730" i="5"/>
  <c r="J2729" i="5"/>
  <c r="J2728" i="5"/>
  <c r="J2727" i="5"/>
  <c r="J2726" i="5"/>
  <c r="J2725" i="5"/>
  <c r="E2725" i="5"/>
  <c r="J2724" i="5"/>
  <c r="J2723" i="5"/>
  <c r="J2722" i="5"/>
  <c r="J2721" i="5"/>
  <c r="J2720" i="5"/>
  <c r="J2719" i="5"/>
  <c r="J2718" i="5"/>
  <c r="J2717" i="5"/>
  <c r="J2716" i="5"/>
  <c r="J2715" i="5"/>
  <c r="E2715" i="5"/>
  <c r="J2714" i="5"/>
  <c r="J2713" i="5"/>
  <c r="J2712" i="5"/>
  <c r="J2711" i="5"/>
  <c r="E2711" i="5"/>
  <c r="J2710" i="5"/>
  <c r="J2709" i="5"/>
  <c r="E2709" i="5"/>
  <c r="J2708" i="5"/>
  <c r="J2707" i="5"/>
  <c r="J2706" i="5"/>
  <c r="J2705" i="5"/>
  <c r="J2704" i="5"/>
  <c r="J2703" i="5"/>
  <c r="J2702" i="5"/>
  <c r="J2701" i="5"/>
  <c r="J2700" i="5"/>
  <c r="E2700" i="5"/>
  <c r="J2699" i="5"/>
  <c r="E2699" i="5"/>
  <c r="J2698" i="5"/>
  <c r="J2697" i="5"/>
  <c r="E2697" i="5"/>
  <c r="J2696" i="5"/>
  <c r="J2695" i="5"/>
  <c r="J2694" i="5"/>
  <c r="J2693" i="5"/>
  <c r="J2692" i="5"/>
  <c r="J2691" i="5"/>
  <c r="J2690" i="5"/>
  <c r="J2689" i="5"/>
  <c r="J2688" i="5"/>
  <c r="E2688" i="5"/>
  <c r="J2687" i="5"/>
  <c r="J2686" i="5"/>
  <c r="J2685" i="5"/>
  <c r="J2684" i="5"/>
  <c r="J2683" i="5"/>
  <c r="J2682" i="5"/>
  <c r="J2681" i="5"/>
  <c r="J2680" i="5"/>
  <c r="J2679" i="5"/>
  <c r="E2679" i="5"/>
  <c r="J2678" i="5"/>
  <c r="J2677" i="5"/>
  <c r="E2677" i="5"/>
  <c r="J2676" i="5"/>
  <c r="E2676" i="5"/>
  <c r="J2675" i="5"/>
  <c r="J2674" i="5"/>
  <c r="J2673" i="5"/>
  <c r="J2672" i="5"/>
  <c r="E2672" i="5"/>
  <c r="J2671" i="5"/>
  <c r="J2670" i="5"/>
  <c r="J2669" i="5"/>
  <c r="E2669" i="5"/>
  <c r="J2668" i="5"/>
  <c r="E2668" i="5"/>
  <c r="J2667" i="5"/>
  <c r="E2667" i="5"/>
  <c r="J2666" i="5"/>
  <c r="E2666" i="5"/>
  <c r="J2665" i="5"/>
  <c r="E2665" i="5"/>
  <c r="J2664" i="5"/>
  <c r="E2664" i="5"/>
  <c r="J2663" i="5"/>
  <c r="J2662" i="5"/>
  <c r="E2662" i="5"/>
  <c r="J2661" i="5"/>
  <c r="J2660" i="5"/>
  <c r="J2659" i="5"/>
  <c r="J2658" i="5"/>
  <c r="E2658" i="5"/>
  <c r="J2657" i="5"/>
  <c r="E2657" i="5"/>
  <c r="J2656" i="5"/>
  <c r="J2655" i="5"/>
  <c r="E2655" i="5"/>
  <c r="J2654" i="5"/>
  <c r="J2653" i="5"/>
  <c r="J2652" i="5"/>
  <c r="J2651" i="5"/>
  <c r="J2650" i="5"/>
  <c r="J2649" i="5"/>
  <c r="E2649" i="5"/>
  <c r="J2648" i="5"/>
  <c r="J2647" i="5"/>
  <c r="J2646" i="5"/>
  <c r="J2645" i="5"/>
  <c r="J2644" i="5"/>
  <c r="E2644" i="5"/>
  <c r="J2643" i="5"/>
  <c r="J2642" i="5"/>
  <c r="J2641" i="5"/>
  <c r="J2640" i="5"/>
  <c r="J2639" i="5"/>
  <c r="J2638" i="5"/>
  <c r="J2637" i="5"/>
  <c r="E2637" i="5"/>
  <c r="J2636" i="5"/>
  <c r="J2635" i="5"/>
  <c r="J2634" i="5"/>
  <c r="J2633" i="5"/>
  <c r="J2632" i="5"/>
  <c r="J2631" i="5"/>
  <c r="J2630" i="5"/>
  <c r="J2629" i="5"/>
  <c r="J2628" i="5"/>
  <c r="E2628" i="5"/>
  <c r="J2627" i="5"/>
  <c r="J2626" i="5"/>
  <c r="J2625" i="5"/>
  <c r="J2624" i="5"/>
  <c r="J2623" i="5"/>
  <c r="J2622" i="5"/>
  <c r="E2622" i="5"/>
  <c r="J2621" i="5"/>
  <c r="J2620" i="5"/>
  <c r="J2619" i="5"/>
  <c r="J2618" i="5"/>
  <c r="J2617" i="5"/>
  <c r="E2617" i="5"/>
  <c r="J2616" i="5"/>
  <c r="J2615" i="5"/>
  <c r="J2614" i="5"/>
  <c r="J2613" i="5"/>
  <c r="E2613" i="5"/>
  <c r="J2612" i="5"/>
  <c r="J2611" i="5"/>
  <c r="J2610" i="5"/>
  <c r="E2610" i="5"/>
  <c r="J2609" i="5"/>
  <c r="E2609" i="5"/>
  <c r="J2608" i="5"/>
  <c r="E2608" i="5"/>
  <c r="J2607" i="5"/>
  <c r="E2607" i="5"/>
  <c r="J2606" i="5"/>
  <c r="J2605" i="5"/>
  <c r="J2604" i="5"/>
  <c r="J2603" i="5"/>
  <c r="E2603" i="5"/>
  <c r="E2604" i="5" s="1"/>
  <c r="J2602" i="5"/>
  <c r="J2601" i="5"/>
  <c r="E2601" i="5"/>
  <c r="E2602" i="5" s="1"/>
  <c r="J2600" i="5"/>
  <c r="J2599" i="5"/>
  <c r="J2598" i="5"/>
  <c r="J2597" i="5"/>
  <c r="J2596" i="5"/>
  <c r="E2596" i="5"/>
  <c r="J2595" i="5"/>
  <c r="E2595" i="5"/>
  <c r="J2594" i="5"/>
  <c r="J2593" i="5"/>
  <c r="E2593" i="5"/>
  <c r="J2592" i="5"/>
  <c r="E2592" i="5"/>
  <c r="J2591" i="5"/>
  <c r="E2591" i="5"/>
  <c r="J2590" i="5"/>
  <c r="E2590" i="5"/>
  <c r="J2589" i="5"/>
  <c r="J2588" i="5"/>
  <c r="J2587" i="5"/>
  <c r="J2586" i="5"/>
  <c r="E2586" i="5"/>
  <c r="E2587" i="5" s="1"/>
  <c r="J2585" i="5"/>
  <c r="J2584" i="5"/>
  <c r="E2584" i="5"/>
  <c r="E2585" i="5" s="1"/>
  <c r="J2583" i="5"/>
  <c r="J2582" i="5"/>
  <c r="E2582" i="5"/>
  <c r="J2581" i="5"/>
  <c r="E2581" i="5"/>
  <c r="J2580" i="5"/>
  <c r="E2580" i="5"/>
  <c r="J2579" i="5"/>
  <c r="E2579" i="5"/>
  <c r="J2578" i="5"/>
  <c r="J2577" i="5"/>
  <c r="J2576" i="5"/>
  <c r="J2575" i="5"/>
  <c r="E2575" i="5"/>
  <c r="E2576" i="5" s="1"/>
  <c r="J2574" i="5"/>
  <c r="J2573" i="5"/>
  <c r="E2573" i="5"/>
  <c r="E2574" i="5" s="1"/>
  <c r="J2572" i="5"/>
  <c r="J2571" i="5"/>
  <c r="E2571" i="5"/>
  <c r="J2570" i="5"/>
  <c r="E2570" i="5"/>
  <c r="J2569" i="5"/>
  <c r="E2569" i="5"/>
  <c r="J2568" i="5"/>
  <c r="E2568" i="5"/>
  <c r="J2567" i="5"/>
  <c r="J2566" i="5"/>
  <c r="J2565" i="5"/>
  <c r="E2565" i="5"/>
  <c r="E2566" i="5" s="1"/>
  <c r="J2564" i="5"/>
  <c r="J2563" i="5"/>
  <c r="E2563" i="5"/>
  <c r="E2564" i="5" s="1"/>
  <c r="J2562" i="5"/>
  <c r="J2561" i="5"/>
  <c r="E2561" i="5"/>
  <c r="J2560" i="5"/>
  <c r="E2560" i="5"/>
  <c r="J2559" i="5"/>
  <c r="E2559" i="5"/>
  <c r="J2558" i="5"/>
  <c r="E2558" i="5"/>
  <c r="J2557" i="5"/>
  <c r="J2556" i="5"/>
  <c r="J2555" i="5"/>
  <c r="J2554" i="5"/>
  <c r="E2554" i="5"/>
  <c r="E2555" i="5" s="1"/>
  <c r="J2553" i="5"/>
  <c r="J2552" i="5"/>
  <c r="E2552" i="5"/>
  <c r="E2553" i="5" s="1"/>
  <c r="J2551" i="5"/>
  <c r="J2550" i="5"/>
  <c r="E2550" i="5"/>
  <c r="J2549" i="5"/>
  <c r="E2549" i="5"/>
  <c r="J2548" i="5"/>
  <c r="E2548" i="5"/>
  <c r="J2547" i="5"/>
  <c r="E2547" i="5"/>
  <c r="J2546" i="5"/>
  <c r="J2545" i="5"/>
  <c r="E2545" i="5"/>
  <c r="J2544" i="5"/>
  <c r="J2543" i="5"/>
  <c r="J2542" i="5"/>
  <c r="J2541" i="5"/>
  <c r="E2541" i="5"/>
  <c r="E2542" i="5" s="1"/>
  <c r="J2540" i="5"/>
  <c r="E2540" i="5"/>
  <c r="J2539" i="5"/>
  <c r="E2539" i="5"/>
  <c r="J2538" i="5"/>
  <c r="J2537" i="5"/>
  <c r="J2536" i="5"/>
  <c r="J2535" i="5"/>
  <c r="J2534" i="5"/>
  <c r="E2534" i="5"/>
  <c r="E2535" i="5" s="1"/>
  <c r="J2533" i="5"/>
  <c r="J2532" i="5"/>
  <c r="J2531" i="5"/>
  <c r="J2530" i="5"/>
  <c r="J2529" i="5"/>
  <c r="J2528" i="5"/>
  <c r="E2528" i="5"/>
  <c r="E2529" i="5" s="1"/>
  <c r="J2527" i="5"/>
  <c r="E2527" i="5"/>
  <c r="J2526" i="5"/>
  <c r="E2526" i="5"/>
  <c r="J2525" i="5"/>
  <c r="J2524" i="5"/>
  <c r="E2524" i="5"/>
  <c r="J2523" i="5"/>
  <c r="E2523" i="5"/>
  <c r="J2522" i="5"/>
  <c r="E2522" i="5"/>
  <c r="J2521" i="5"/>
  <c r="E2521" i="5"/>
  <c r="J2520" i="5"/>
  <c r="J2519" i="5"/>
  <c r="J2518" i="5"/>
  <c r="J2517" i="5"/>
  <c r="J2516" i="5"/>
  <c r="J2515" i="5"/>
  <c r="J2514" i="5"/>
  <c r="J2513" i="5"/>
  <c r="E2513" i="5"/>
  <c r="J2512" i="5"/>
  <c r="E2512" i="5"/>
  <c r="J2511" i="5"/>
  <c r="J2510" i="5"/>
  <c r="J2509" i="5"/>
  <c r="E2509" i="5"/>
  <c r="J2508" i="5"/>
  <c r="E2508" i="5"/>
  <c r="J2507" i="5"/>
  <c r="E2507" i="5"/>
  <c r="J2506" i="5"/>
  <c r="E2506" i="5"/>
  <c r="J2505" i="5"/>
  <c r="E2505" i="5"/>
  <c r="J2504" i="5"/>
  <c r="E2504" i="5"/>
  <c r="J2503" i="5"/>
  <c r="J2502" i="5"/>
  <c r="J2501" i="5"/>
  <c r="J2500" i="5"/>
  <c r="J2499" i="5"/>
  <c r="J2498" i="5"/>
  <c r="J2497" i="5"/>
  <c r="J2496" i="5"/>
  <c r="J2495" i="5"/>
  <c r="E2495" i="5"/>
  <c r="J2494" i="5"/>
  <c r="E2494" i="5"/>
  <c r="J2493" i="5"/>
  <c r="J2492" i="5"/>
  <c r="J2491" i="5"/>
  <c r="J2490" i="5"/>
  <c r="J2489" i="5"/>
  <c r="J2488" i="5"/>
  <c r="J2487" i="5"/>
  <c r="J2486" i="5"/>
  <c r="J2485" i="5"/>
  <c r="J2484" i="5"/>
  <c r="J2483" i="5"/>
  <c r="J2482" i="5"/>
  <c r="E2482" i="5"/>
  <c r="J2481" i="5"/>
  <c r="E2481" i="5"/>
  <c r="J2480" i="5"/>
  <c r="J2479" i="5"/>
  <c r="J2478" i="5"/>
  <c r="J2477" i="5"/>
  <c r="J2476" i="5"/>
  <c r="J2475" i="5"/>
  <c r="J2474" i="5"/>
  <c r="J2473" i="5"/>
  <c r="J2472" i="5"/>
  <c r="E2472" i="5"/>
  <c r="J2471" i="5"/>
  <c r="E2471" i="5"/>
  <c r="J2470" i="5"/>
  <c r="J2469" i="5"/>
  <c r="J2468" i="5"/>
  <c r="J2467" i="5"/>
  <c r="J2466" i="5"/>
  <c r="E2466" i="5"/>
  <c r="J2465" i="5"/>
  <c r="E2465" i="5"/>
  <c r="J2464" i="5"/>
  <c r="J2463" i="5"/>
  <c r="J2462" i="5"/>
  <c r="J2461" i="5"/>
  <c r="E2461" i="5"/>
  <c r="J2460" i="5"/>
  <c r="E2460" i="5"/>
  <c r="J2459" i="5"/>
  <c r="J2458" i="5"/>
  <c r="J2457" i="5"/>
  <c r="J2456" i="5"/>
  <c r="J2455" i="5"/>
  <c r="J2454" i="5"/>
  <c r="E2454" i="5"/>
  <c r="J2453" i="5"/>
  <c r="J2452" i="5"/>
  <c r="J2451" i="5"/>
  <c r="J2450" i="5"/>
  <c r="E2450" i="5"/>
  <c r="J2449" i="5"/>
  <c r="J2448" i="5"/>
  <c r="J2447" i="5"/>
  <c r="J2446" i="5"/>
  <c r="J2445" i="5"/>
  <c r="E2445" i="5"/>
  <c r="J2444" i="5"/>
  <c r="J2443" i="5"/>
  <c r="J2442" i="5"/>
  <c r="J2441" i="5"/>
  <c r="E2441" i="5"/>
  <c r="J2440" i="5"/>
  <c r="J2439" i="5"/>
  <c r="J2438" i="5"/>
  <c r="J2437" i="5"/>
  <c r="E2437" i="5"/>
  <c r="J2436" i="5"/>
  <c r="J2435" i="5"/>
  <c r="J2434" i="5"/>
  <c r="J2433" i="5"/>
  <c r="E2433" i="5"/>
  <c r="J2432" i="5"/>
  <c r="J2431" i="5"/>
  <c r="E2431" i="5"/>
  <c r="J2430" i="5"/>
  <c r="E2430" i="5"/>
  <c r="J2429" i="5"/>
  <c r="E2429" i="5"/>
  <c r="J2428" i="5"/>
  <c r="E2428" i="5"/>
  <c r="J2427" i="5"/>
  <c r="J2426" i="5"/>
  <c r="J2425" i="5"/>
  <c r="J2424" i="5"/>
  <c r="E2424" i="5"/>
  <c r="J2423" i="5"/>
  <c r="J2422" i="5"/>
  <c r="J2421" i="5"/>
  <c r="J2420" i="5"/>
  <c r="E2420" i="5"/>
  <c r="J2419" i="5"/>
  <c r="J2418" i="5"/>
  <c r="J2417" i="5"/>
  <c r="J2416" i="5"/>
  <c r="J2415" i="5"/>
  <c r="E2415" i="5"/>
  <c r="J2414" i="5"/>
  <c r="J2413" i="5"/>
  <c r="J2412" i="5"/>
  <c r="J2411" i="5"/>
  <c r="J2410" i="5"/>
  <c r="E2410" i="5"/>
  <c r="J2409" i="5"/>
  <c r="E2404" i="5"/>
  <c r="E2403" i="5" s="1"/>
  <c r="E2398" i="5"/>
  <c r="J2383" i="5"/>
  <c r="J2382" i="5"/>
  <c r="J2381" i="5"/>
  <c r="J2380" i="5"/>
  <c r="J2379" i="5"/>
  <c r="J2378" i="5"/>
  <c r="J2377" i="5"/>
  <c r="J2376" i="5"/>
  <c r="J2375" i="5"/>
  <c r="E2375" i="5"/>
  <c r="J2374" i="5"/>
  <c r="J2373" i="5"/>
  <c r="J2367" i="5"/>
  <c r="E2367" i="5"/>
  <c r="E2366" i="5" s="1"/>
  <c r="J2366" i="5"/>
  <c r="J2365" i="5"/>
  <c r="J2364" i="5"/>
  <c r="J2363" i="5"/>
  <c r="J2362" i="5"/>
  <c r="J2361" i="5"/>
  <c r="J2360" i="5"/>
  <c r="J2359" i="5"/>
  <c r="J2358" i="5"/>
  <c r="J2357" i="5"/>
  <c r="J2356" i="5"/>
  <c r="J2355" i="5"/>
  <c r="J2354" i="5"/>
  <c r="J2353" i="5"/>
  <c r="J2352" i="5"/>
  <c r="J2351" i="5"/>
  <c r="J2350" i="5"/>
  <c r="J2349" i="5"/>
  <c r="J2348" i="5"/>
  <c r="J2347" i="5"/>
  <c r="J2346" i="5"/>
  <c r="J2345" i="5"/>
  <c r="J2344" i="5"/>
  <c r="J2343" i="5"/>
  <c r="J2342" i="5"/>
  <c r="J2341" i="5"/>
  <c r="J2340" i="5"/>
  <c r="J2339" i="5"/>
  <c r="E2339" i="5"/>
  <c r="E2338" i="5" s="1"/>
  <c r="J2338" i="5"/>
  <c r="J2337" i="5"/>
  <c r="E2337" i="5"/>
  <c r="J2336" i="5"/>
  <c r="E2336" i="5"/>
  <c r="J2335" i="5"/>
  <c r="E2335" i="5"/>
  <c r="J2334" i="5"/>
  <c r="J2333" i="5"/>
  <c r="J2332" i="5"/>
  <c r="J2331" i="5"/>
  <c r="J2330" i="5"/>
  <c r="J2329" i="5"/>
  <c r="J2328" i="5"/>
  <c r="J2327" i="5"/>
  <c r="J2326" i="5"/>
  <c r="J2325" i="5"/>
  <c r="J2324" i="5"/>
  <c r="J2323" i="5"/>
  <c r="J2322" i="5"/>
  <c r="J2321" i="5"/>
  <c r="E2321" i="5"/>
  <c r="E2320" i="5" s="1"/>
  <c r="J2320" i="5"/>
  <c r="J2319" i="5"/>
  <c r="J2318" i="5"/>
  <c r="J2317" i="5"/>
  <c r="J2316" i="5"/>
  <c r="J2315" i="5"/>
  <c r="J2314" i="5"/>
  <c r="J2313" i="5"/>
  <c r="J2312" i="5"/>
  <c r="J2311" i="5"/>
  <c r="J2310" i="5"/>
  <c r="J2309" i="5"/>
  <c r="J2308" i="5"/>
  <c r="J2307" i="5"/>
  <c r="J2306" i="5"/>
  <c r="J2305" i="5"/>
  <c r="J2304" i="5"/>
  <c r="J2303" i="5"/>
  <c r="J2302" i="5"/>
  <c r="J2301" i="5"/>
  <c r="J2300" i="5"/>
  <c r="J2299" i="5"/>
  <c r="J2298" i="5"/>
  <c r="J2297" i="5"/>
  <c r="J2296" i="5"/>
  <c r="J2295" i="5"/>
  <c r="J2294" i="5"/>
  <c r="J2268" i="5"/>
  <c r="J2267" i="5"/>
  <c r="J2266" i="5"/>
  <c r="J2265" i="5"/>
  <c r="J2264" i="5"/>
  <c r="J2263" i="5"/>
  <c r="J2262" i="5"/>
  <c r="J2261" i="5"/>
  <c r="J2260" i="5"/>
  <c r="J2259" i="5"/>
  <c r="J2258" i="5"/>
  <c r="J2257" i="5"/>
  <c r="J2256" i="5"/>
  <c r="J2255" i="5"/>
  <c r="J2254" i="5"/>
  <c r="J2253" i="5"/>
  <c r="J2252" i="5"/>
  <c r="J2251" i="5"/>
  <c r="J2250" i="5"/>
  <c r="J2249" i="5"/>
  <c r="J2248" i="5"/>
  <c r="J2247" i="5"/>
  <c r="J2246" i="5"/>
  <c r="J2245" i="5"/>
  <c r="J2244" i="5"/>
  <c r="E2244" i="5"/>
  <c r="E2243" i="5" s="1"/>
  <c r="J2243" i="5"/>
  <c r="J2242" i="5"/>
  <c r="J2241" i="5"/>
  <c r="J2240" i="5"/>
  <c r="E2240" i="5"/>
  <c r="E2235" i="5" s="1"/>
  <c r="J2239" i="5"/>
  <c r="E2239" i="5"/>
  <c r="J2238" i="5"/>
  <c r="J2237" i="5"/>
  <c r="J2236" i="5"/>
  <c r="J2235" i="5"/>
  <c r="J2234" i="5"/>
  <c r="E2234" i="5"/>
  <c r="J2233" i="5"/>
  <c r="J2232" i="5"/>
  <c r="J2231" i="5"/>
  <c r="J2230" i="5"/>
  <c r="J2229" i="5"/>
  <c r="J2228" i="5"/>
  <c r="J2227" i="5"/>
  <c r="J2226" i="5"/>
  <c r="J2225" i="5"/>
  <c r="E2225" i="5"/>
  <c r="E2224" i="5" s="1"/>
  <c r="J2224" i="5"/>
  <c r="J2223" i="5"/>
  <c r="J2222" i="5"/>
  <c r="J2221" i="5"/>
  <c r="J2220" i="5"/>
  <c r="J2219" i="5"/>
  <c r="J2218" i="5"/>
  <c r="J2217" i="5"/>
  <c r="J2216" i="5"/>
  <c r="J2215" i="5"/>
  <c r="J2214" i="5"/>
  <c r="J2213" i="5"/>
  <c r="J2212" i="5"/>
  <c r="J2211" i="5"/>
  <c r="J2210" i="5"/>
  <c r="E2210" i="5"/>
  <c r="J2209" i="5"/>
  <c r="E2209" i="5"/>
  <c r="J2208" i="5"/>
  <c r="J2207" i="5"/>
  <c r="J2206" i="5"/>
  <c r="J2205" i="5"/>
  <c r="J2204" i="5"/>
  <c r="J2203" i="5"/>
  <c r="J2202" i="5"/>
  <c r="J2201" i="5"/>
  <c r="J2200" i="5"/>
  <c r="J2199" i="5"/>
  <c r="J2198" i="5"/>
  <c r="E2176" i="5"/>
  <c r="E2175" i="5" s="1"/>
  <c r="A2151" i="5"/>
  <c r="E2148" i="5"/>
  <c r="E2140" i="5"/>
  <c r="E2139" i="5" s="1"/>
  <c r="E2129" i="5"/>
  <c r="E2128" i="5" s="1"/>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I1041" i="5"/>
  <c r="I1028" i="5"/>
  <c r="J409" i="5"/>
  <c r="J408" i="5"/>
  <c r="E408" i="5"/>
  <c r="J407" i="5"/>
  <c r="J406" i="5"/>
  <c r="J405" i="5"/>
  <c r="J404" i="5"/>
  <c r="J403" i="5"/>
  <c r="E403" i="5"/>
  <c r="J402" i="5"/>
  <c r="E401" i="5"/>
  <c r="E384" i="5"/>
  <c r="E356" i="5"/>
  <c r="E350" i="5"/>
  <c r="E342" i="5"/>
  <c r="E319" i="5"/>
  <c r="J196" i="5"/>
  <c r="J195" i="5"/>
  <c r="J191" i="5"/>
  <c r="J190" i="5"/>
  <c r="J184" i="5"/>
  <c r="J183" i="5"/>
  <c r="I1041" i="2" l="1"/>
  <c r="I1028" i="2"/>
  <c r="E401" i="2" l="1"/>
  <c r="E384" i="2"/>
  <c r="E342" i="2"/>
  <c r="E319" i="2"/>
  <c r="E356" i="2"/>
  <c r="E350" i="2"/>
  <c r="O2967" i="2" l="1" a="1"/>
  <c r="O2967" i="2" s="1"/>
  <c r="J2833" i="2" l="1"/>
  <c r="J2834" i="2"/>
  <c r="J2835" i="2"/>
  <c r="J2836" i="2"/>
  <c r="J2837" i="2"/>
  <c r="J2827" i="2"/>
  <c r="J2828" i="2"/>
  <c r="J2829" i="2"/>
  <c r="J2830" i="2"/>
  <c r="J2831" i="2"/>
  <c r="J2832" i="2"/>
  <c r="J2810" i="2"/>
  <c r="J2811" i="2"/>
  <c r="J2812" i="2"/>
  <c r="J2813" i="2"/>
  <c r="J2814" i="2"/>
  <c r="J2815" i="2"/>
  <c r="J2816" i="2"/>
  <c r="J2817" i="2"/>
  <c r="J2818" i="2"/>
  <c r="J2801" i="2"/>
  <c r="J2802" i="2"/>
  <c r="J2803" i="2"/>
  <c r="J2804" i="2"/>
  <c r="J2805" i="2"/>
  <c r="J2806" i="2"/>
  <c r="J2807" i="2"/>
  <c r="J2808" i="2"/>
  <c r="J2809" i="2"/>
  <c r="J2792" i="2"/>
  <c r="J2793" i="2"/>
  <c r="J2794" i="2"/>
  <c r="J2795" i="2"/>
  <c r="J2796" i="2"/>
  <c r="J2797" i="2"/>
  <c r="J2798" i="2"/>
  <c r="J2799" i="2"/>
  <c r="J2800" i="2"/>
  <c r="J2783" i="2"/>
  <c r="J2784" i="2"/>
  <c r="J2785" i="2"/>
  <c r="J2786" i="2"/>
  <c r="J2787" i="2"/>
  <c r="J2788" i="2"/>
  <c r="J2789" i="2"/>
  <c r="J2790" i="2"/>
  <c r="J2791" i="2"/>
  <c r="J2774" i="2"/>
  <c r="J2775" i="2"/>
  <c r="J2776" i="2"/>
  <c r="J2777" i="2"/>
  <c r="J2778" i="2"/>
  <c r="J2779" i="2"/>
  <c r="J2780" i="2"/>
  <c r="J2781" i="2"/>
  <c r="J2782" i="2"/>
  <c r="J2765" i="2"/>
  <c r="J2766" i="2"/>
  <c r="J2767" i="2"/>
  <c r="J2768" i="2"/>
  <c r="J2769" i="2"/>
  <c r="J2770" i="2"/>
  <c r="J2771" i="2"/>
  <c r="J2772" i="2"/>
  <c r="J2773" i="2"/>
  <c r="J2756" i="2"/>
  <c r="J2757" i="2"/>
  <c r="J2758" i="2"/>
  <c r="J2759" i="2"/>
  <c r="J2760" i="2"/>
  <c r="J2761" i="2"/>
  <c r="J2762" i="2"/>
  <c r="J2763" i="2"/>
  <c r="J2764" i="2"/>
  <c r="J2747" i="2"/>
  <c r="J2748" i="2"/>
  <c r="J2749" i="2"/>
  <c r="J2750" i="2"/>
  <c r="J2751" i="2"/>
  <c r="J2752" i="2"/>
  <c r="J2753" i="2"/>
  <c r="J2754" i="2"/>
  <c r="J2755" i="2"/>
  <c r="J2738" i="2"/>
  <c r="J2739" i="2"/>
  <c r="J2740" i="2"/>
  <c r="J2741" i="2"/>
  <c r="J2742" i="2"/>
  <c r="J2743" i="2"/>
  <c r="J2744" i="2"/>
  <c r="J2745" i="2"/>
  <c r="J2746" i="2"/>
  <c r="J2730" i="2"/>
  <c r="J2731" i="2"/>
  <c r="J2732" i="2"/>
  <c r="J2733" i="2"/>
  <c r="J2734" i="2"/>
  <c r="J2722" i="2"/>
  <c r="J2723" i="2"/>
  <c r="J2724" i="2"/>
  <c r="J2725" i="2"/>
  <c r="J2726" i="2"/>
  <c r="J2727" i="2"/>
  <c r="J2728" i="2"/>
  <c r="J2729" i="2"/>
  <c r="J2611" i="2"/>
  <c r="J2612" i="2"/>
  <c r="J2613" i="2"/>
  <c r="J2614" i="2"/>
  <c r="J2615" i="2"/>
  <c r="J2600" i="2"/>
  <c r="J2601" i="2"/>
  <c r="J2602" i="2"/>
  <c r="J2603" i="2"/>
  <c r="J2604" i="2"/>
  <c r="J2605" i="2"/>
  <c r="J2606" i="2"/>
  <c r="J2607" i="2"/>
  <c r="J2608" i="2"/>
  <c r="J2609" i="2"/>
  <c r="J2610" i="2"/>
  <c r="J2594" i="2"/>
  <c r="J2595" i="2"/>
  <c r="J2596" i="2"/>
  <c r="J2597" i="2"/>
  <c r="J2598" i="2"/>
  <c r="J2599" i="2"/>
  <c r="J2583" i="2"/>
  <c r="J2584" i="2"/>
  <c r="J2585" i="2"/>
  <c r="J2586" i="2"/>
  <c r="J2587" i="2"/>
  <c r="J2588" i="2"/>
  <c r="J2589" i="2"/>
  <c r="J2590" i="2"/>
  <c r="J2591" i="2"/>
  <c r="J2592" i="2"/>
  <c r="J2593" i="2"/>
  <c r="J2572" i="2"/>
  <c r="J2573" i="2"/>
  <c r="J2574" i="2"/>
  <c r="J2575" i="2"/>
  <c r="J2576" i="2"/>
  <c r="J2577" i="2"/>
  <c r="J2578" i="2"/>
  <c r="J2579" i="2"/>
  <c r="J2580" i="2"/>
  <c r="J2581" i="2"/>
  <c r="J2582" i="2"/>
  <c r="J2562" i="2"/>
  <c r="J2563" i="2"/>
  <c r="J2564" i="2"/>
  <c r="J2565" i="2"/>
  <c r="J2566" i="2"/>
  <c r="J2567" i="2"/>
  <c r="J2568" i="2"/>
  <c r="J2569" i="2"/>
  <c r="J2570" i="2"/>
  <c r="J2571" i="2"/>
  <c r="J2551" i="2"/>
  <c r="J2552" i="2"/>
  <c r="J2553" i="2"/>
  <c r="J2554" i="2"/>
  <c r="J2555" i="2"/>
  <c r="J2556" i="2"/>
  <c r="J2557" i="2"/>
  <c r="J2558" i="2"/>
  <c r="J2559" i="2"/>
  <c r="J2560" i="2"/>
  <c r="J2561" i="2"/>
  <c r="J2538" i="2"/>
  <c r="J2539" i="2"/>
  <c r="J2540" i="2"/>
  <c r="J2541" i="2"/>
  <c r="J2542" i="2"/>
  <c r="J2543" i="2"/>
  <c r="J2544" i="2"/>
  <c r="J2545" i="2"/>
  <c r="J2546" i="2"/>
  <c r="J2547" i="2"/>
  <c r="J2548" i="2"/>
  <c r="J2549" i="2"/>
  <c r="J2550" i="2"/>
  <c r="J2533" i="2"/>
  <c r="J2534" i="2"/>
  <c r="J2535" i="2"/>
  <c r="J2536" i="2"/>
  <c r="J2537" i="2"/>
  <c r="J2525" i="2"/>
  <c r="J2526" i="2"/>
  <c r="J2527" i="2"/>
  <c r="J2528" i="2"/>
  <c r="J2529" i="2"/>
  <c r="J2530" i="2"/>
  <c r="J2531" i="2"/>
  <c r="J2532" i="2"/>
  <c r="J2423" i="2"/>
  <c r="J2424" i="2"/>
  <c r="J2425" i="2"/>
  <c r="J2426" i="2"/>
  <c r="J2427" i="2"/>
  <c r="J2428" i="2"/>
  <c r="J2429" i="2"/>
  <c r="J2430" i="2"/>
  <c r="J2431" i="2"/>
  <c r="J2419" i="2"/>
  <c r="J2420" i="2"/>
  <c r="J2421" i="2"/>
  <c r="J2422" i="2"/>
  <c r="J2414" i="2"/>
  <c r="J2415" i="2"/>
  <c r="J2416" i="2"/>
  <c r="J2417" i="2"/>
  <c r="J2418" i="2"/>
  <c r="J2464" i="2"/>
  <c r="J2465" i="2"/>
  <c r="J2466" i="2"/>
  <c r="J2467" i="2"/>
  <c r="J2468" i="2"/>
  <c r="J2469" i="2"/>
  <c r="J2459" i="2"/>
  <c r="J2460" i="2"/>
  <c r="J2461" i="2"/>
  <c r="J2462" i="2"/>
  <c r="J2463" i="2"/>
  <c r="J2409" i="2"/>
  <c r="J2410" i="2"/>
  <c r="J2411" i="2"/>
  <c r="J2412" i="2"/>
  <c r="J2413" i="2"/>
  <c r="J2444" i="2"/>
  <c r="J2445" i="2"/>
  <c r="J2446" i="2"/>
  <c r="J2447" i="2"/>
  <c r="J2448" i="2"/>
  <c r="J2440" i="2"/>
  <c r="J2441" i="2"/>
  <c r="J2442" i="2"/>
  <c r="J2443" i="2"/>
  <c r="J2453" i="2"/>
  <c r="J2454" i="2"/>
  <c r="J2455" i="2"/>
  <c r="J2456" i="2"/>
  <c r="J2457" i="2"/>
  <c r="J2449" i="2"/>
  <c r="J2450" i="2"/>
  <c r="J2451" i="2"/>
  <c r="J2452" i="2"/>
  <c r="J2436" i="2"/>
  <c r="J2437" i="2"/>
  <c r="J2438" i="2"/>
  <c r="J2439" i="2"/>
  <c r="J2458" i="2"/>
  <c r="J2432" i="2"/>
  <c r="J2433" i="2"/>
  <c r="J2434" i="2"/>
  <c r="J2435" i="2"/>
  <c r="J2735" i="2"/>
  <c r="J2736" i="2"/>
  <c r="J2737"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859" i="2"/>
  <c r="J2860" i="2"/>
  <c r="J2861" i="2"/>
  <c r="J2862" i="2"/>
  <c r="J2863" i="2"/>
  <c r="J2864" i="2"/>
  <c r="J2865" i="2"/>
  <c r="J2866" i="2"/>
  <c r="J2867" i="2"/>
  <c r="J2868" i="2"/>
  <c r="J2838" i="2"/>
  <c r="J2839" i="2"/>
  <c r="J2840" i="2"/>
  <c r="J2841" i="2"/>
  <c r="J2842" i="2"/>
  <c r="J2843" i="2"/>
  <c r="J2844" i="2"/>
  <c r="J2845" i="2"/>
  <c r="J2846" i="2"/>
  <c r="J2847" i="2"/>
  <c r="J2848" i="2"/>
  <c r="J2849" i="2"/>
  <c r="J2850" i="2"/>
  <c r="J2851" i="2"/>
  <c r="J2852" i="2"/>
  <c r="J2853" i="2"/>
  <c r="J2854" i="2"/>
  <c r="J2855" i="2"/>
  <c r="J2856" i="2"/>
  <c r="J2857" i="2"/>
  <c r="J2858" i="2"/>
  <c r="J2636" i="2"/>
  <c r="J2637" i="2"/>
  <c r="J2638" i="2"/>
  <c r="J2639" i="2"/>
  <c r="J2640" i="2"/>
  <c r="J2641" i="2"/>
  <c r="J2642" i="2"/>
  <c r="J2627" i="2"/>
  <c r="J2628" i="2"/>
  <c r="J2629" i="2"/>
  <c r="J2630" i="2"/>
  <c r="J2631" i="2"/>
  <c r="J2632" i="2"/>
  <c r="J2633" i="2"/>
  <c r="J2634" i="2"/>
  <c r="J2635" i="2"/>
  <c r="J2678" i="2"/>
  <c r="J2679" i="2"/>
  <c r="J2680" i="2"/>
  <c r="J2681" i="2"/>
  <c r="J2682" i="2"/>
  <c r="J2683" i="2"/>
  <c r="J2684" i="2"/>
  <c r="J2685" i="2"/>
  <c r="J2686" i="2"/>
  <c r="J2654" i="2"/>
  <c r="J2655" i="2"/>
  <c r="J2656" i="2"/>
  <c r="J2657" i="2"/>
  <c r="J2658" i="2"/>
  <c r="J2659" i="2"/>
  <c r="J2660" i="2"/>
  <c r="J2661" i="2"/>
  <c r="J2662" i="2"/>
  <c r="J2663" i="2"/>
  <c r="J2664" i="2"/>
  <c r="J2665" i="2"/>
  <c r="J2666" i="2"/>
  <c r="J2667" i="2"/>
  <c r="J2668" i="2"/>
  <c r="J2669" i="2"/>
  <c r="J2670" i="2"/>
  <c r="J2622" i="2"/>
  <c r="J2623" i="2"/>
  <c r="J2624" i="2"/>
  <c r="J2625" i="2"/>
  <c r="J2626" i="2"/>
  <c r="J2671" i="2"/>
  <c r="J2672" i="2"/>
  <c r="J2673" i="2"/>
  <c r="J2674" i="2"/>
  <c r="J2675" i="2"/>
  <c r="J2676" i="2"/>
  <c r="J2677" i="2"/>
  <c r="J2648" i="2"/>
  <c r="J2649" i="2"/>
  <c r="J2650" i="2"/>
  <c r="J2651" i="2"/>
  <c r="J2652" i="2"/>
  <c r="J2653" i="2"/>
  <c r="J2643" i="2"/>
  <c r="J2644" i="2"/>
  <c r="J2645" i="2"/>
  <c r="J2646" i="2"/>
  <c r="J2647" i="2"/>
  <c r="J2710" i="2"/>
  <c r="J2711" i="2"/>
  <c r="J2712" i="2"/>
  <c r="J2713" i="2"/>
  <c r="J2470" i="2"/>
  <c r="J2471" i="2"/>
  <c r="J2472" i="2"/>
  <c r="J2473" i="2"/>
  <c r="J2474" i="2"/>
  <c r="J2475" i="2"/>
  <c r="J2476" i="2"/>
  <c r="J2477" i="2"/>
  <c r="J2478"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4" i="2"/>
  <c r="J2715" i="2"/>
  <c r="J2716" i="2"/>
  <c r="J2717" i="2"/>
  <c r="J2718" i="2"/>
  <c r="J2719" i="2"/>
  <c r="J2720" i="2"/>
  <c r="J2721" i="2"/>
  <c r="J2616" i="2"/>
  <c r="J2617" i="2"/>
  <c r="J2618" i="2"/>
  <c r="J2619" i="2"/>
  <c r="J2620" i="2"/>
  <c r="J2621" i="2"/>
  <c r="J2819" i="2"/>
  <c r="J2820" i="2"/>
  <c r="J2821" i="2"/>
  <c r="J2822" i="2"/>
  <c r="J2823" i="2"/>
  <c r="J2824" i="2"/>
  <c r="J2825" i="2"/>
  <c r="J2826" i="2"/>
  <c r="J2378" i="2"/>
  <c r="J2379" i="2"/>
  <c r="J2380" i="2"/>
  <c r="J2381" i="2"/>
  <c r="J2382" i="2"/>
  <c r="J2383" i="2"/>
  <c r="J2373" i="2"/>
  <c r="J2374" i="2"/>
  <c r="J2375" i="2"/>
  <c r="J2376" i="2"/>
  <c r="J2377" i="2"/>
  <c r="J2358" i="2"/>
  <c r="J2359" i="2"/>
  <c r="J2360" i="2"/>
  <c r="J2361" i="2"/>
  <c r="J2362" i="2"/>
  <c r="J2363" i="2"/>
  <c r="J2364" i="2"/>
  <c r="J2365" i="2"/>
  <c r="J2366" i="2"/>
  <c r="J2367" i="2"/>
  <c r="J2349" i="2"/>
  <c r="J2350" i="2"/>
  <c r="J2351" i="2"/>
  <c r="J2352" i="2"/>
  <c r="J2353" i="2"/>
  <c r="J2354" i="2"/>
  <c r="J2355" i="2"/>
  <c r="J2356" i="2"/>
  <c r="J2357" i="2"/>
  <c r="J2340" i="2"/>
  <c r="J2341" i="2"/>
  <c r="J2342" i="2"/>
  <c r="J2343" i="2"/>
  <c r="J2344" i="2"/>
  <c r="J2345" i="2"/>
  <c r="J2346" i="2"/>
  <c r="J2347" i="2"/>
  <c r="J2348" i="2"/>
  <c r="J2333" i="2"/>
  <c r="J2334" i="2"/>
  <c r="J2335" i="2"/>
  <c r="J2336" i="2"/>
  <c r="J2337" i="2"/>
  <c r="J2338" i="2"/>
  <c r="J2339" i="2"/>
  <c r="J2327" i="2"/>
  <c r="J2328" i="2"/>
  <c r="J2329" i="2"/>
  <c r="J2330" i="2"/>
  <c r="J2331" i="2"/>
  <c r="J2332" i="2"/>
  <c r="J2322" i="2"/>
  <c r="J2323" i="2"/>
  <c r="J2324" i="2"/>
  <c r="J2325" i="2"/>
  <c r="J2326" i="2"/>
  <c r="J2315" i="2"/>
  <c r="J2316" i="2"/>
  <c r="J2317" i="2"/>
  <c r="J2318" i="2"/>
  <c r="J2319" i="2"/>
  <c r="J2320" i="2"/>
  <c r="J2321" i="2"/>
  <c r="J2309" i="2"/>
  <c r="J2310" i="2"/>
  <c r="J2311" i="2"/>
  <c r="J2312" i="2"/>
  <c r="J2313" i="2"/>
  <c r="J2314" i="2"/>
  <c r="J2303" i="2"/>
  <c r="J2304" i="2"/>
  <c r="J2305" i="2"/>
  <c r="J2306" i="2"/>
  <c r="J2307" i="2"/>
  <c r="J2308" i="2"/>
  <c r="J2294" i="2"/>
  <c r="J2295" i="2"/>
  <c r="J2296" i="2"/>
  <c r="J2297" i="2"/>
  <c r="J2298" i="2"/>
  <c r="J2299" i="2"/>
  <c r="J2300" i="2"/>
  <c r="J2301" i="2"/>
  <c r="J2302" i="2"/>
  <c r="J2263" i="2"/>
  <c r="J2264" i="2"/>
  <c r="J2265" i="2"/>
  <c r="J2266" i="2"/>
  <c r="J2267" i="2"/>
  <c r="J2268" i="2"/>
  <c r="J2257" i="2"/>
  <c r="J2258" i="2"/>
  <c r="J2259" i="2"/>
  <c r="J2260" i="2"/>
  <c r="J2261" i="2"/>
  <c r="J2262" i="2"/>
  <c r="J2251" i="2"/>
  <c r="J2252" i="2"/>
  <c r="J2253" i="2"/>
  <c r="J2254" i="2"/>
  <c r="J2255" i="2"/>
  <c r="J2256" i="2"/>
  <c r="J2245" i="2"/>
  <c r="J2246" i="2"/>
  <c r="J2247" i="2"/>
  <c r="J2248" i="2"/>
  <c r="J2249" i="2"/>
  <c r="J2250" i="2"/>
  <c r="J2238" i="2"/>
  <c r="J2239" i="2"/>
  <c r="J2240" i="2"/>
  <c r="J2241" i="2"/>
  <c r="J2242" i="2"/>
  <c r="J2243" i="2"/>
  <c r="J2244" i="2"/>
  <c r="J2233" i="2"/>
  <c r="J2234" i="2"/>
  <c r="J2235" i="2"/>
  <c r="J2236" i="2"/>
  <c r="J2237" i="2"/>
  <c r="J2226" i="2"/>
  <c r="J2227" i="2"/>
  <c r="J2228" i="2"/>
  <c r="J2229" i="2"/>
  <c r="J2230" i="2"/>
  <c r="J2231" i="2"/>
  <c r="J2232" i="2"/>
  <c r="J2221" i="2"/>
  <c r="J2222" i="2"/>
  <c r="J2223" i="2"/>
  <c r="J2224" i="2"/>
  <c r="J2225" i="2"/>
  <c r="J2216" i="2"/>
  <c r="J2217" i="2"/>
  <c r="J2218" i="2"/>
  <c r="J2219" i="2"/>
  <c r="J2220" i="2"/>
  <c r="J2211" i="2"/>
  <c r="J2212" i="2"/>
  <c r="J2213" i="2"/>
  <c r="J2214" i="2"/>
  <c r="J2215" i="2"/>
  <c r="J2206" i="2"/>
  <c r="J2207" i="2"/>
  <c r="J2208" i="2"/>
  <c r="J2209" i="2"/>
  <c r="J2210" i="2"/>
  <c r="J2202" i="2"/>
  <c r="J2203" i="2"/>
  <c r="J2204" i="2"/>
  <c r="J2205" i="2"/>
  <c r="J2198" i="2"/>
  <c r="J2199" i="2"/>
  <c r="J2200" i="2"/>
  <c r="J2201" i="2"/>
  <c r="J2051" i="2"/>
  <c r="J2052" i="2"/>
  <c r="J2053" i="2"/>
  <c r="J2054" i="2"/>
  <c r="J2055" i="2"/>
  <c r="J2056" i="2"/>
  <c r="J2045" i="2"/>
  <c r="J2046" i="2"/>
  <c r="J2047" i="2"/>
  <c r="J2048" i="2"/>
  <c r="J2049" i="2"/>
  <c r="J2050" i="2"/>
  <c r="J2039" i="2"/>
  <c r="J2040" i="2"/>
  <c r="J2041" i="2"/>
  <c r="J2042" i="2"/>
  <c r="J2043" i="2"/>
  <c r="J2044" i="2"/>
  <c r="J2034" i="2"/>
  <c r="J2035" i="2"/>
  <c r="J2036" i="2"/>
  <c r="J2037" i="2"/>
  <c r="J2038" i="2"/>
  <c r="J2027" i="2"/>
  <c r="J2028" i="2"/>
  <c r="J2029" i="2"/>
  <c r="J2030" i="2"/>
  <c r="J2031" i="2"/>
  <c r="J2032" i="2"/>
  <c r="J2033" i="2"/>
  <c r="J405" i="2" l="1"/>
  <c r="J409" i="2"/>
  <c r="E2697" i="2"/>
  <c r="E2709" i="2"/>
  <c r="E2676" i="2"/>
  <c r="E2677" i="2"/>
  <c r="E2667" i="2"/>
  <c r="E2666" i="2"/>
  <c r="E2669" i="2"/>
  <c r="E2668" i="2"/>
  <c r="E2857" i="2"/>
  <c r="E2858" i="2"/>
  <c r="E2916" i="2"/>
  <c r="E2915" i="2"/>
  <c r="E2914" i="2"/>
  <c r="E2913" i="2"/>
  <c r="E2901" i="2"/>
  <c r="E2900" i="2"/>
  <c r="E2899" i="2"/>
  <c r="E2898" i="2"/>
  <c r="E2897" i="2"/>
  <c r="E2896" i="2"/>
  <c r="E2521" i="2"/>
  <c r="E2522" i="2"/>
  <c r="E2523" i="2"/>
  <c r="E2524" i="2"/>
  <c r="E2504" i="2"/>
  <c r="E2505" i="2"/>
  <c r="E2506" i="2"/>
  <c r="E2508" i="2"/>
  <c r="E2507" i="2"/>
  <c r="E2509" i="2"/>
  <c r="E2429" i="2"/>
  <c r="E2428" i="2"/>
  <c r="E2431" i="2"/>
  <c r="E2430" i="2"/>
  <c r="E2548" i="2"/>
  <c r="E2547" i="2"/>
  <c r="E2550" i="2"/>
  <c r="E2549" i="2"/>
  <c r="E2559" i="2"/>
  <c r="E2558" i="2"/>
  <c r="E2561" i="2"/>
  <c r="E2560" i="2"/>
  <c r="E2571" i="2"/>
  <c r="E2570" i="2"/>
  <c r="E2569" i="2"/>
  <c r="E2568" i="2"/>
  <c r="E2580" i="2"/>
  <c r="E2579" i="2"/>
  <c r="E2581" i="2"/>
  <c r="E2582" i="2"/>
  <c r="E2591" i="2"/>
  <c r="E2590" i="2"/>
  <c r="E2593" i="2"/>
  <c r="E2592" i="2"/>
  <c r="E2608" i="2"/>
  <c r="E2607" i="2"/>
  <c r="E2610" i="2"/>
  <c r="E2609" i="2"/>
  <c r="E2129" i="2"/>
  <c r="E2128" i="2" s="1"/>
  <c r="E2140" i="2"/>
  <c r="E2139" i="2" s="1"/>
  <c r="E2176" i="2"/>
  <c r="E2175" i="2" s="1"/>
  <c r="E2820" i="2"/>
  <c r="E2210" i="2"/>
  <c r="E2209" i="2" s="1"/>
  <c r="E2244" i="2"/>
  <c r="E2243" i="2" s="1"/>
  <c r="E2617" i="2"/>
  <c r="E2239" i="2"/>
  <c r="E2234" i="2" s="1"/>
  <c r="E2240" i="2"/>
  <c r="E2235" i="2" s="1"/>
  <c r="E2715" i="2"/>
  <c r="E2699" i="2"/>
  <c r="E2700" i="2"/>
  <c r="E2225" i="2"/>
  <c r="E2224" i="2" s="1"/>
  <c r="E2688" i="2"/>
  <c r="E2472" i="2"/>
  <c r="E2471" i="2"/>
  <c r="E2711" i="2"/>
  <c r="E2644" i="2"/>
  <c r="E2665" i="2"/>
  <c r="E2664" i="2"/>
  <c r="E2658" i="2"/>
  <c r="E2657" i="2"/>
  <c r="E2321" i="2"/>
  <c r="E2320" i="2" s="1"/>
  <c r="E2339" i="2"/>
  <c r="E2338" i="2" s="1"/>
  <c r="E2367" i="2"/>
  <c r="E2366" i="2" s="1"/>
  <c r="E2398" i="2"/>
  <c r="E2404" i="2"/>
  <c r="E2403" i="2" s="1"/>
  <c r="E2649" i="2"/>
  <c r="E2672" i="2"/>
  <c r="E2622" i="2"/>
  <c r="E2662" i="2"/>
  <c r="E2655" i="2"/>
  <c r="E2679" i="2"/>
  <c r="E2628" i="2"/>
  <c r="E2637" i="2"/>
  <c r="E2851" i="2"/>
  <c r="E2841" i="2"/>
  <c r="E2862" i="2"/>
  <c r="E2905" i="2"/>
  <c r="E2904" i="2"/>
  <c r="E2887" i="2"/>
  <c r="E2886" i="2"/>
  <c r="E2871" i="2"/>
  <c r="E2872" i="2"/>
  <c r="E2513" i="2"/>
  <c r="E2512" i="2"/>
  <c r="E2495" i="2" l="1"/>
  <c r="E2494" i="2"/>
  <c r="E2481" i="2" l="1"/>
  <c r="E2482" i="2"/>
  <c r="E2433" i="2" l="1"/>
  <c r="E2437" i="2"/>
  <c r="E2450" i="2"/>
  <c r="E2454" i="2"/>
  <c r="E2441" i="2"/>
  <c r="E2445" i="2"/>
  <c r="E2410" i="2"/>
  <c r="E2461" i="2"/>
  <c r="E2460" i="2"/>
  <c r="E2466" i="2"/>
  <c r="E2465" i="2"/>
  <c r="E2336" i="2" l="1"/>
  <c r="E2337" i="2"/>
  <c r="E2335" i="2"/>
  <c r="E2828" i="2" l="1"/>
  <c r="E2420" i="2"/>
  <c r="E2424" i="2"/>
  <c r="E2415" i="2"/>
  <c r="E2375" i="2" l="1"/>
  <c r="E2613" i="2" l="1"/>
  <c r="A2151" i="2"/>
  <c r="E2595" i="2"/>
  <c r="E2596" i="2" s="1"/>
  <c r="E2534" i="2"/>
  <c r="E2535" i="2" s="1"/>
  <c r="E2554" i="2"/>
  <c r="E2555" i="2" s="1"/>
  <c r="E2552" i="2"/>
  <c r="E2553" i="2" s="1"/>
  <c r="E2575" i="2"/>
  <c r="E2576" i="2" s="1"/>
  <c r="E2573" i="2"/>
  <c r="E2574" i="2" s="1"/>
  <c r="E2603" i="2"/>
  <c r="E2604" i="2" s="1"/>
  <c r="E2601" i="2"/>
  <c r="E2602" i="2" s="1"/>
  <c r="E2563" i="2"/>
  <c r="E2564" i="2" s="1"/>
  <c r="E2565" i="2"/>
  <c r="E2566" i="2" s="1"/>
  <c r="E2539" i="2"/>
  <c r="E2540" i="2" s="1"/>
  <c r="E2541" i="2"/>
  <c r="E2542" i="2" s="1"/>
  <c r="E2545" i="2"/>
  <c r="E2148" i="2"/>
  <c r="E2584" i="2"/>
  <c r="E2585" i="2" s="1"/>
  <c r="E2586" i="2"/>
  <c r="E2587" i="2" s="1"/>
  <c r="E2528" i="2"/>
  <c r="E2529" i="2" s="1"/>
  <c r="E2526" i="2"/>
  <c r="L14" i="3" l="1" a="1"/>
  <c r="L14" i="3" s="1"/>
  <c r="L17" i="3" a="1"/>
  <c r="L17" i="3" s="1"/>
  <c r="L12" i="3" a="1"/>
  <c r="L12" i="3" s="1"/>
  <c r="L18" i="3" a="1"/>
  <c r="L18" i="3" s="1"/>
  <c r="L5" i="3" a="1"/>
  <c r="L5" i="3" s="1"/>
  <c r="L10" i="3" a="1"/>
  <c r="L10" i="3" s="1"/>
  <c r="L15" i="3" a="1"/>
  <c r="L15" i="3" s="1"/>
  <c r="L13" i="3" a="1"/>
  <c r="L13" i="3" s="1"/>
  <c r="L16" i="3" a="1"/>
  <c r="L16" i="3" s="1"/>
  <c r="L9" i="3" a="1"/>
  <c r="L9" i="3" s="1"/>
  <c r="L7" i="3" a="1"/>
  <c r="L7" i="3" s="1"/>
  <c r="L20" i="3" a="1"/>
  <c r="L20" i="3" s="1"/>
  <c r="L11" i="3" a="1"/>
  <c r="L11" i="3" s="1"/>
  <c r="L8" i="3" a="1"/>
  <c r="L8" i="3" s="1"/>
  <c r="L19" i="3" a="1"/>
  <c r="L19" i="3" s="1"/>
  <c r="L6" i="3" a="1"/>
  <c r="L6" i="3" s="1"/>
  <c r="L4" i="3" a="1"/>
  <c r="L4" i="3" s="1"/>
  <c r="E2527" i="2"/>
  <c r="J184" i="2"/>
  <c r="J183" i="2"/>
  <c r="J191" i="2"/>
  <c r="J190" i="2"/>
  <c r="J196" i="2"/>
  <c r="J195" i="2"/>
  <c r="J403" i="2"/>
  <c r="J404" i="2"/>
  <c r="J406" i="2"/>
  <c r="J407" i="2"/>
  <c r="J408" i="2"/>
  <c r="J402" i="2"/>
  <c r="E2834" i="2"/>
  <c r="E2732" i="2"/>
  <c r="E2725" i="2"/>
  <c r="E403" i="2" l="1"/>
  <c r="E40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tc={61D18D03-1D7C-4D62-A1A7-EA95DFBBE30E}</author>
    <author>tc={7164A800-DA19-4A99-9224-AD6D0B110D00}</author>
  </authors>
  <commentList>
    <comment ref="E2153" authorId="0" shapeId="0" xr:uid="{4020FB6C-22C1-4B1D-A0F5-90FE7E97F9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Representative value of EU</t>
        </r>
      </text>
    </comment>
    <comment ref="E2599" authorId="1" shapeId="0" xr:uid="{CCD38BFA-F392-4631-9A2B-4CB1DAD020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Unclear what the source of CO2 is when energy input is electricity.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tc={61D18D03-1D7C-4D62-A1A7-EA95DFBBE30E}</author>
    <author>tc={7164A800-DA19-4A99-9224-AD6D0B110D00}</author>
  </authors>
  <commentList>
    <comment ref="E2153" authorId="0" shapeId="0" xr:uid="{61D18D03-1D7C-4D62-A1A7-EA95DFBBE3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Representative value of EU</t>
        </r>
      </text>
    </comment>
    <comment ref="E2599" authorId="1" shapeId="0" xr:uid="{7164A800-DA19-4A99-9224-AD6D0B110D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Unclear what the source of CO2 is when energy input is electricity.</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<sst xmlns="http://schemas.openxmlformats.org/spreadsheetml/2006/main" count="74983" uniqueCount="3420">
  <si>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</si>
  <si>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</si>
  <si>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</si>
  <si>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</si>
  <si>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</si>
  <si>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</si>
  <si>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</si>
  <si>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</si>
  <si>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</si>
  <si>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</si>
  <si>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</si>
  <si>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</si>
  <si>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</si>
  <si>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</si>
  <si>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</si>
  <si>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</si>
  <si>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</si>
  <si>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</si>
  <si>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</si>
  <si>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</si>
  <si>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</si>
  <si>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Unit process inventory</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</si>
  <si>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</si>
  <si>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</si>
  <si>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</si>
  <si>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</si>
  <si>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</si>
  <si>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</si>
  <si>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</si>
  <si>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</si>
  <si>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</si>
  <si>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</si>
  <si>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</si>
  <si>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</si>
  <si>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</si>
  <si>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project-wide material and waste production/treatment processes</t>
  </si>
  <si>
    <t>process</t>
  </si>
  <si>
    <t>value</t>
  </si>
  <si>
    <t>product_scope</t>
  </si>
  <si>
    <t>none</t>
  </si>
  <si>
    <t>unit nominator</t>
  </si>
  <si>
    <t>product_resolution</t>
  </si>
  <si>
    <t>material_category</t>
  </si>
  <si>
    <t>unit denominator</t>
  </si>
  <si>
    <t>material_scope</t>
  </si>
  <si>
    <t>Materials and waste</t>
  </si>
  <si>
    <t>material_group</t>
  </si>
  <si>
    <t>stats_array_string</t>
  </si>
  <si>
    <t>material_resolution</t>
  </si>
  <si>
    <t>project-wide material and waste groups</t>
  </si>
  <si>
    <t>layer</t>
  </si>
  <si>
    <t>comment</t>
  </si>
  <si>
    <t>regional_scope</t>
  </si>
  <si>
    <t>Global</t>
  </si>
  <si>
    <t>regional_resolution</t>
  </si>
  <si>
    <t>process specific</t>
  </si>
  <si>
    <t>temporal_scope</t>
  </si>
  <si>
    <t>1970-2100</t>
  </si>
  <si>
    <t>temporal_resolution</t>
  </si>
  <si>
    <t>Description</t>
  </si>
  <si>
    <t>description</t>
  </si>
  <si>
    <t>Unit process inventory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</si>
  <si>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</si>
  <si>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</si>
  <si>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</si>
  <si>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</si>
  <si>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</si>
  <si>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</si>
  <si>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</si>
  <si>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</si>
  <si>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aspect_2_classification</t>
  </si>
  <si>
    <t>aspect_3</t>
  </si>
  <si>
    <t>aspect_3_classification</t>
  </si>
  <si>
    <t>aspect_4</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</si>
  <si>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</si>
  <si>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</si>
  <si>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</si>
  <si>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</si>
  <si>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</si>
  <si>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</si>
  <si>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</si>
  <si>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</si>
  <si>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</si>
  <si>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</si>
  <si>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</si>
  <si>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</si>
  <si>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</si>
  <si>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</si>
  <si>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</si>
  <si>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</si>
  <si>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</si>
  <si>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</si>
  <si>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</si>
  <si>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</si>
  <si>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</si>
  <si>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</si>
  <si>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</si>
  <si>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</si>
  <si>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</si>
  <si>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</si>
  <si>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</si>
  <si>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</si>
  <si>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</si>
  <si>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</si>
  <si>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</si>
  <si>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</si>
  <si>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</si>
  <si>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</si>
  <si>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</si>
  <si>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</si>
  <si>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</si>
  <si>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</si>
  <si>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</si>
  <si>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</si>
  <si>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</si>
  <si>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</si>
  <si>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</si>
  <si>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</si>
  <si>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</si>
  <si>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</si>
  <si>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</si>
  <si>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reference_product</t>
  </si>
  <si>
    <t>kg</t>
  </si>
  <si>
    <t>particulates, unspecified</t>
  </si>
  <si>
    <t>to environment (emission)</t>
  </si>
  <si>
    <t>from technosphere (material)</t>
  </si>
  <si>
    <t>see log sheet</t>
  </si>
  <si>
    <t>from technosphere (energy_carrier)</t>
  </si>
  <si>
    <t>l</t>
  </si>
  <si>
    <t>Energy</t>
  </si>
  <si>
    <t>kWh</t>
  </si>
  <si>
    <t>limestone</t>
  </si>
  <si>
    <t>from environment (natural resource)</t>
  </si>
  <si>
    <t>m3</t>
  </si>
  <si>
    <t>cement clinker</t>
  </si>
  <si>
    <t>t</t>
  </si>
  <si>
    <t>Tbd.</t>
  </si>
  <si>
    <t>industrial heat, high-temperature</t>
  </si>
  <si>
    <t>GJ</t>
  </si>
  <si>
    <t>Direct Reduced Iron + Electric Arc Furnace w/ CO2 capture</t>
  </si>
  <si>
    <t>steel, primary</t>
  </si>
  <si>
    <t>Industrial heat, high-temperature</t>
  </si>
  <si>
    <t>[Zhang2023] Processing of anode slime</t>
  </si>
  <si>
    <t>extraction of metals from anode slime 1kg</t>
  </si>
  <si>
    <t>[PU] Anode_Slime_processing</t>
  </si>
  <si>
    <t>sulfuric acid</t>
  </si>
  <si>
    <t>quartz sand</t>
  </si>
  <si>
    <t>sodium carbonate</t>
  </si>
  <si>
    <t>sodium hydroxide</t>
  </si>
  <si>
    <t>hydrochloric acid</t>
  </si>
  <si>
    <t>nitric acid</t>
  </si>
  <si>
    <t>sodium chlorate</t>
  </si>
  <si>
    <t>ammonium chloride</t>
  </si>
  <si>
    <t>electricity</t>
  </si>
  <si>
    <t>water</t>
  </si>
  <si>
    <t>gold</t>
  </si>
  <si>
    <t>to technosphere (by-product)</t>
  </si>
  <si>
    <t>silver</t>
  </si>
  <si>
    <t>telluride copper</t>
  </si>
  <si>
    <t>selenium</t>
  </si>
  <si>
    <t>carbon dioxide</t>
  </si>
  <si>
    <t>anode slime</t>
  </si>
  <si>
    <t>kaldor furnace slag</t>
  </si>
  <si>
    <t>to technosphere (waste)</t>
  </si>
  <si>
    <t>[Zhang2021] Processing of anode slime, from copper waste</t>
  </si>
  <si>
    <t>[PU] AS_treatment_from_Copper_Waste</t>
  </si>
  <si>
    <t>Ammonia</t>
  </si>
  <si>
    <t>MJ</t>
  </si>
  <si>
    <t>Hard Coal</t>
  </si>
  <si>
    <t>hydrazine</t>
  </si>
  <si>
    <t>quicklime</t>
  </si>
  <si>
    <t>natural gas</t>
  </si>
  <si>
    <t>oxalic acid</t>
  </si>
  <si>
    <t>cast iron</t>
  </si>
  <si>
    <t>sodium chloride</t>
  </si>
  <si>
    <t>Sodium Hydroxide</t>
  </si>
  <si>
    <t>sodium sulfite</t>
  </si>
  <si>
    <t>zinc dust</t>
  </si>
  <si>
    <t>copper scrap for smelting</t>
  </si>
  <si>
    <t>flue gas</t>
  </si>
  <si>
    <t>treatment residue</t>
  </si>
  <si>
    <t>waste</t>
  </si>
  <si>
    <t>nickel carbonate</t>
  </si>
  <si>
    <t xml:space="preserve">[Zhang] Secondary copper production, ash recycling </t>
  </si>
  <si>
    <t>recycling of 1kg of copper ash</t>
  </si>
  <si>
    <t>[PU] Copper_from_ash</t>
  </si>
  <si>
    <t>copper ash</t>
  </si>
  <si>
    <t>zinc oxide</t>
  </si>
  <si>
    <t>steam</t>
  </si>
  <si>
    <t>copper, cathode</t>
  </si>
  <si>
    <t>sponge cadmium</t>
  </si>
  <si>
    <t>zinc sulfate</t>
  </si>
  <si>
    <t>leach residue</t>
  </si>
  <si>
    <t>[Zhang] Copper concentrate production, slag recycling</t>
  </si>
  <si>
    <t>copper concentrate, from slag</t>
  </si>
  <si>
    <t>[PU] Conc_from_Slag</t>
  </si>
  <si>
    <t>smelting slag</t>
  </si>
  <si>
    <t>xanthate</t>
  </si>
  <si>
    <t>turpentine</t>
  </si>
  <si>
    <t>slag tailings</t>
  </si>
  <si>
    <t>[Wang] cement clinker material flows</t>
  </si>
  <si>
    <t>range: 1.20-1.49</t>
  </si>
  <si>
    <t>siliceous raw material</t>
  </si>
  <si>
    <t>range: 0.189-0.307</t>
  </si>
  <si>
    <t>[TIMES_SE] Recycled fiber pulping</t>
  </si>
  <si>
    <t>recycled pulp</t>
  </si>
  <si>
    <t>paper, recycled</t>
  </si>
  <si>
    <t>from technosphere (product)</t>
  </si>
  <si>
    <t>process heat</t>
  </si>
  <si>
    <t xml:space="preserve">[TIMES_SE] Recycled aluminium </t>
  </si>
  <si>
    <t>aluminium, crude</t>
  </si>
  <si>
    <t>aluminium, scrap</t>
  </si>
  <si>
    <t>Natural gas or LPG</t>
  </si>
  <si>
    <t>oxygen</t>
  </si>
  <si>
    <t>[TIMES_SE] Paper mill, soft - steam impingement</t>
  </si>
  <si>
    <t>paper, graphical</t>
  </si>
  <si>
    <t>kraft pulp</t>
  </si>
  <si>
    <t>LPG</t>
  </si>
  <si>
    <t>[TIMES_SE] Paper mill, soft - conventional</t>
  </si>
  <si>
    <t>paper, soft</t>
  </si>
  <si>
    <t>[TIMES_SE] Paper mill, soft - air impingement</t>
  </si>
  <si>
    <t>[TIMES_SE] Paper mill, graphical - press dryer</t>
  </si>
  <si>
    <t>filler material</t>
  </si>
  <si>
    <t>[TIMES_SE] Paper mill, graphical - impulse</t>
  </si>
  <si>
    <t>[TIMES_SE] Paper mill, graphical - conventional</t>
  </si>
  <si>
    <t>[TIMES_SE] Paper mill, graphical - condebelt</t>
  </si>
  <si>
    <t>[TIMES_SE] Paper mill, graphical - airless</t>
  </si>
  <si>
    <t>[TIMES_SE] Paper mill, graphical - air impingement</t>
  </si>
  <si>
    <t>[TIMES_SE] Mechanical pulping</t>
  </si>
  <si>
    <t>mechanical pulp</t>
  </si>
  <si>
    <t>biomass</t>
  </si>
  <si>
    <t>from technosphere (feedstock)</t>
  </si>
  <si>
    <t>[TIMES_SE] Kraft process</t>
  </si>
  <si>
    <t>black liquor</t>
  </si>
  <si>
    <t>tall oil</t>
  </si>
  <si>
    <t>[TIMES_SE] Cement grinder</t>
  </si>
  <si>
    <t>cement</t>
  </si>
  <si>
    <t>13;0,84;none;none;none</t>
  </si>
  <si>
    <t>cement additives</t>
  </si>
  <si>
    <t>13;none;1,6;none;none</t>
  </si>
  <si>
    <t>[TIMES_SE] Cement clinker kiln, tail end Ca loop CCS</t>
  </si>
  <si>
    <t>252310</t>
  </si>
  <si>
    <t>13;0,8;none;none;none</t>
  </si>
  <si>
    <t>13;none;0,8;none;none</t>
  </si>
  <si>
    <t>hard coal</t>
  </si>
  <si>
    <t>13;none;7,1;none;none</t>
  </si>
  <si>
    <t>13;0;none;none;none</t>
  </si>
  <si>
    <t>to environment (emission, combustion)</t>
  </si>
  <si>
    <t>[TIMES_SE] Cement clinker kiln, plasma CCS</t>
  </si>
  <si>
    <t>[TIMES_SE] Cement clinker kiln, PCC CCS</t>
  </si>
  <si>
    <t>13;none;3,28;none;none</t>
  </si>
  <si>
    <t>[TIMES_SE] Cement clinker kiln, oxyfuel CCS</t>
  </si>
  <si>
    <t>13;none;3,14;none;none</t>
  </si>
  <si>
    <t>[TIMES_SE] Cement clinker kiln, membrane CCS</t>
  </si>
  <si>
    <t>[TIMES_SE] Cement clinker kiln, integrated Ca. loop CCS</t>
  </si>
  <si>
    <t>13;none;5,44;none;none</t>
  </si>
  <si>
    <t>[TIMES_SE] Cement clinker kiln, chilled NH3 CCS</t>
  </si>
  <si>
    <t>[TIMES_SE] Cement clinker kiln plasma</t>
  </si>
  <si>
    <t>[TIMES_SE] Cement clinker kiln</t>
  </si>
  <si>
    <t>[TIMES_SE] Aluminium electrolysis w. CCS (PCC MEA)</t>
  </si>
  <si>
    <t>aluminium, raw</t>
  </si>
  <si>
    <t>alumina</t>
  </si>
  <si>
    <t>coal</t>
  </si>
  <si>
    <t>[TIMES_SE] Aluminium electrolysis inert</t>
  </si>
  <si>
    <t>[TIMES_SE] Aluminium electrolysis</t>
  </si>
  <si>
    <t>[TIMES_SE] Aluminium remelting, fuel</t>
  </si>
  <si>
    <t>material yield 0.969, share of scrap 78%</t>
  </si>
  <si>
    <t>[TIMES_SE] Aluminium remelting, electricity</t>
  </si>
  <si>
    <t>aluminium, primary</t>
  </si>
  <si>
    <t>[TIMES_SE] Aluminium casting</t>
  </si>
  <si>
    <t>primary aluminium ingots</t>
  </si>
  <si>
    <t>material yield 0.98</t>
  </si>
  <si>
    <t>[TIMES_SE] Aluminium finishing, long, fuel</t>
  </si>
  <si>
    <t>aluminium, finished, long products</t>
  </si>
  <si>
    <t>material yield 0.83</t>
  </si>
  <si>
    <t>[TIMES_SE] Aluminium finishing, long, electricity</t>
  </si>
  <si>
    <t>[TIMES_SE] Aluminium finishing, sheet, fuel</t>
  </si>
  <si>
    <t>aluminium, finished, flat products</t>
  </si>
  <si>
    <t>material yield 0.52</t>
  </si>
  <si>
    <t>[TIMES_SE] Aluminium finishing, sheet, electricity</t>
  </si>
  <si>
    <t>[TIMES_SE] Aluminium finishing, cast, fuel</t>
  </si>
  <si>
    <t>aluminium, finished, cast products</t>
  </si>
  <si>
    <t>material yield 0.6</t>
  </si>
  <si>
    <t>[TIMES_SE] Aluminium finishing, cast, electricity</t>
  </si>
  <si>
    <t>[TIMES_SE] oxygen supply</t>
  </si>
  <si>
    <t>Source includes air as input commodity with product yield 0.2</t>
  </si>
  <si>
    <t>[TIMES_SE] Blast Furnace</t>
  </si>
  <si>
    <t>pig iron</t>
  </si>
  <si>
    <t>blast furnace slag</t>
  </si>
  <si>
    <t>blast furnace gas</t>
  </si>
  <si>
    <t>sinter</t>
  </si>
  <si>
    <t>13;13.7*0.7;value;none;none</t>
  </si>
  <si>
    <t>material yield sinter 0.6, OR pellets 0.753</t>
  </si>
  <si>
    <t>coke</t>
  </si>
  <si>
    <t>from technosphere (reductant)</t>
  </si>
  <si>
    <t>reducing agents input (coke, hard coal, charcoal) of which minimum input of coke is 0.7 GJ/GJ_reducing agent</t>
  </si>
  <si>
    <t>13;0;13.7*0.3;none;none</t>
  </si>
  <si>
    <t>charcoal</t>
  </si>
  <si>
    <t>coke oven gas</t>
  </si>
  <si>
    <t>fuel mix also includes blast furnace gas of fossil and bio-based routes depending on input</t>
  </si>
  <si>
    <t>[TIMES_SE] Blast furnace, w. CCS (PCC MEA)</t>
  </si>
  <si>
    <t>13;value*0.7;value;none;none</t>
  </si>
  <si>
    <t>[TIMES_SE] Blast furnace, w. CCS (PCC VPSA)</t>
  </si>
  <si>
    <t>[TIMES_SE] Top gas recycling blast furnace</t>
  </si>
  <si>
    <t>13;0;12.4*0.3;none;none</t>
  </si>
  <si>
    <t>[TIMES_SE] Top gas recycling blast furnace w. CCS (MDEA)</t>
  </si>
  <si>
    <t>[TIMES_SE] Top gas recycling blast furnace w. CCS (VPSA)</t>
  </si>
  <si>
    <t>[TIMES_SE] Smelting furnace, conventional</t>
  </si>
  <si>
    <t>recovered off-gas</t>
  </si>
  <si>
    <t>13;0;29.64;none;none</t>
  </si>
  <si>
    <t>reducing agents input (coal and charcoal). No limitations on the mix provided by source. Default assumed coal.</t>
  </si>
  <si>
    <t>[TIMES_SE] Smelting furnace, advanced</t>
  </si>
  <si>
    <t>13;0;20.25;none;none</t>
  </si>
  <si>
    <t>[TIMES_SE] Smelting furnace, advanced w. CCS</t>
  </si>
  <si>
    <t>[TIMES_SE] Direct Reduced Iron, Rotating Kiln</t>
  </si>
  <si>
    <t>sponge iron</t>
  </si>
  <si>
    <t>iron ore</t>
  </si>
  <si>
    <t>material yield 0.68 t/t</t>
  </si>
  <si>
    <t>13;0;22.5;none;none</t>
  </si>
  <si>
    <t>[TIMES_SE] Direct Reduced Iron, Rotating Hearth</t>
  </si>
  <si>
    <t>material yield 0.7 t/t</t>
  </si>
  <si>
    <t>13;0;10.22;none;none</t>
  </si>
  <si>
    <t>[TIMES_SE] Direct Reduced Iron, tunnel kiln</t>
  </si>
  <si>
    <t>iron ore pellets</t>
  </si>
  <si>
    <t>material yield 0.7 t/t. Assumed same as rotating hearth (but using pellets)</t>
  </si>
  <si>
    <t>reducing agents input (coke and charcoal). No limitations on the mix provided by source. Default assumed coke.</t>
  </si>
  <si>
    <t>[TIMES_SE] Direct Reduced Iron, shaft kiln, natural gas</t>
  </si>
  <si>
    <t>material yield 0.753 t/t</t>
  </si>
  <si>
    <t>[TIMES_SE] Direct Reduced Iron, shaft kiln, natural gas w. CCS</t>
  </si>
  <si>
    <t>[TIMES_SE] Direct Reduced Iron, shaft kiln, syngas</t>
  </si>
  <si>
    <t>[TIMES_SE] Direct Reduced Iron shaft kiln, syngas</t>
  </si>
  <si>
    <t>syngas</t>
  </si>
  <si>
    <t>[TIMES_SE] Direct Reduced Iron, shaft kiln, syngas w. CCS</t>
  </si>
  <si>
    <t>[TIMES_SE] Direct Reduced Iron, shaft kiln, hydrogen, fuel heating</t>
  </si>
  <si>
    <t>hydrogen</t>
  </si>
  <si>
    <t>[TIMES_SE] Direct Reduced Iron, shaft kiln, hydrogen, electric heating</t>
  </si>
  <si>
    <t>[TIMES_SE] Electrowinning</t>
  </si>
  <si>
    <t>material yield 0.72 t/t</t>
  </si>
  <si>
    <t>[TIMES_SE] Basic Oxygen Furnace</t>
  </si>
  <si>
    <t>crude steel</t>
  </si>
  <si>
    <t>material yield 0.917</t>
  </si>
  <si>
    <t>steel scrap</t>
  </si>
  <si>
    <t>share of scrap in input 0.167</t>
  </si>
  <si>
    <t>alternative fuels natural gas or lpg</t>
  </si>
  <si>
    <t>[TIMES_SE] Electric Arc Furnace</t>
  </si>
  <si>
    <t>material yield 0.917 for steel scrap. Alternative inputs are hot or cold DRI with material yield 0.9</t>
  </si>
  <si>
    <t>electricity input is 1.825 and 2.341 for hot and cold DRI feedstock, respectively</t>
  </si>
  <si>
    <t>alternative fuels lpg or light fuel oil</t>
  </si>
  <si>
    <t>from technosphere (other)</t>
  </si>
  <si>
    <t>coal critical for process function, e.g., in anodes</t>
  </si>
  <si>
    <t>oxygen input 39.6 in case of hot or cold DRI feedstock</t>
  </si>
  <si>
    <t>[TIMES_SE] Electric Arc Furnace, stainless steel</t>
  </si>
  <si>
    <t>stainless steel, crude</t>
  </si>
  <si>
    <t>material yield 0.9. Alternative inputs are hot or cold DRI.</t>
  </si>
  <si>
    <t>ferrochromium</t>
  </si>
  <si>
    <t>share of ferrochrome input 0.203</t>
  </si>
  <si>
    <t>[TIMES_SE] Ferrochrome Arc Furnace</t>
  </si>
  <si>
    <t>chrome ore</t>
  </si>
  <si>
    <t>material yield 0.435</t>
  </si>
  <si>
    <t>13;0;18.8;none;none</t>
  </si>
  <si>
    <t>energy  input (coke and charcoal). No limitations on the mix provided by source. Default assumed coke.</t>
  </si>
  <si>
    <t>[TIMES_SE] Continuos casting</t>
  </si>
  <si>
    <t>steel billets and slabs</t>
  </si>
  <si>
    <t>material yield 0.965. same process characteristics to produce stainless slab from crude stainless steels</t>
  </si>
  <si>
    <t>alternative fuel lpg</t>
  </si>
  <si>
    <t>[TIMES_SE] Powder atomisation</t>
  </si>
  <si>
    <t>steel powder, crude</t>
  </si>
  <si>
    <t>assumption</t>
  </si>
  <si>
    <t>[TIMES_SE] Powder grinding</t>
  </si>
  <si>
    <t>sponge iron, powder</t>
  </si>
  <si>
    <t>[TIMES] Steel finishing</t>
  </si>
  <si>
    <t>steel, finished</t>
  </si>
  <si>
    <t>Process heat can come from different sources</t>
  </si>
  <si>
    <t>13;0.00*value;2.02*value</t>
  </si>
  <si>
    <t>[TIMES] Sponge iron for Direct Reduction with CCS</t>
  </si>
  <si>
    <t>[TIMES] DRI+CCS</t>
  </si>
  <si>
    <t>13;0.98*value;1.02*value</t>
  </si>
  <si>
    <t>Assuming a capture eficiency of 90%</t>
  </si>
  <si>
    <t>[TIMES] Sponge iron for Direct Reduction</t>
  </si>
  <si>
    <t>[TIMES] DRI</t>
  </si>
  <si>
    <t>can be also corex gas or coke oven gas</t>
  </si>
  <si>
    <t>[TIMES] Sinter plant, bioenergy</t>
  </si>
  <si>
    <t>[TIMES] sinter, bioenergy</t>
  </si>
  <si>
    <t>[TIMES] Sinter plant</t>
  </si>
  <si>
    <t>[TIMES] sinter</t>
  </si>
  <si>
    <t>The technology can choose 0.5 GJ/t of natural gas or coke oven gas</t>
  </si>
  <si>
    <t>emissions considering natural gas</t>
  </si>
  <si>
    <t>[TIMES] Recycled fiber pulping</t>
  </si>
  <si>
    <t>uncertainty presented for natural gas. For heat emissions uncertainty equal to 13;0.00*value;2.02*value</t>
  </si>
  <si>
    <t>[TIMES] Pellet plant</t>
  </si>
  <si>
    <t>[TIMES] iron ore pellets</t>
  </si>
  <si>
    <t>[TIMES] Paper mill, low quality + advanced drives w/ CO2 capture</t>
  </si>
  <si>
    <t>paper, low quality</t>
  </si>
  <si>
    <t>pulp</t>
  </si>
  <si>
    <t>gypsum</t>
  </si>
  <si>
    <t>kaolin</t>
  </si>
  <si>
    <t>uncertainty for natural gas. For process heat uncertainty values are:13;0.00*value;2.02*value</t>
  </si>
  <si>
    <t>90% of capture eficiency. uncertainty for natural gas. For process heat uncertainty values are:13;0.00*value;2.02*value</t>
  </si>
  <si>
    <t>[TIMES] Paper mill, low quality + advanced drives</t>
  </si>
  <si>
    <t>[TIMES] Paper mill, low quality</t>
  </si>
  <si>
    <t>this energy consumption may very per country</t>
  </si>
  <si>
    <t>[TIMES] Paper mill, high quality + advanced drives w/ CO2 capture</t>
  </si>
  <si>
    <t>paper, high quality</t>
  </si>
  <si>
    <t>90% of capture eficiency.uncertainty presented for natural gas. For heat emissions uncertainty equal to 13;0.00*value;2.02*value</t>
  </si>
  <si>
    <t>[TIMES] Paper mill, high quality + advanced drives</t>
  </si>
  <si>
    <t>[TIMES] Paper mill, high quality</t>
  </si>
  <si>
    <t>[TIMES] Mechanical pulping, airless drying w/ CO2 capture</t>
  </si>
  <si>
    <t>[TIMES] Mechanical pulping, airless drying</t>
  </si>
  <si>
    <t>13;001*value;001*value</t>
  </si>
  <si>
    <t>[TIMES] Mechanical pulping</t>
  </si>
  <si>
    <t>[TIMES] Kraft process</t>
  </si>
  <si>
    <t>[TIMES] Iron Cyclone Converter Furnace</t>
  </si>
  <si>
    <t>[TIMES] CCF</t>
  </si>
  <si>
    <t>13;0.96*value;1.04*value</t>
  </si>
  <si>
    <t>uncertainty presented for coal. For blast furnace gas  uncertainty equal to 13;0.51*value;1.49*value</t>
  </si>
  <si>
    <t>[TIMES] Iron COREX</t>
  </si>
  <si>
    <t>[TIMES] COREX</t>
  </si>
  <si>
    <t>uncertainty presented for coal. For blast furnace gas  uncertainty equal to 13;0.98*value;1.02*value</t>
  </si>
  <si>
    <t>[TIMES] Hydrogen Direct Reduced Iron</t>
  </si>
  <si>
    <t>[TIMES] H2DRI-EAF</t>
  </si>
  <si>
    <t>[TIMES] Hall Heroult Regular</t>
  </si>
  <si>
    <t>bauxite</t>
  </si>
  <si>
    <t>light fuel oil</t>
  </si>
  <si>
    <t>fluorocarbons, combustion</t>
  </si>
  <si>
    <t>uncertainty presented for natural gas. For light fuel oil  uncertainty equal to 13;0.99*value;1.02*value</t>
  </si>
  <si>
    <t>[TIMES] Hall Heroult Reduced Electrolyte Temperature</t>
  </si>
  <si>
    <t>[TIMES] Hall Heroult Point Feeders</t>
  </si>
  <si>
    <t>[TIMES] Hall Heroult Optimal Electrolysis</t>
  </si>
  <si>
    <t>[TIMES] Glass Hollow Recycling Improved Melting CCS</t>
  </si>
  <si>
    <t>glass, hollow</t>
  </si>
  <si>
    <t>glass, recycled</t>
  </si>
  <si>
    <t>[TIMES] Glass Hollow Recycling Improved Melting</t>
  </si>
  <si>
    <t>[TIMES] Glass Hollow Recycling</t>
  </si>
  <si>
    <t>Heavy Fuel Oil</t>
  </si>
  <si>
    <t>uncertainty presented for natural gas. For Heavy fuel oil  uncertainty equal to 13;0.98*value;1.01*value</t>
  </si>
  <si>
    <t>[TIMES] Glass Hollow Production Heat Recovery / Improved Burners CCS</t>
  </si>
  <si>
    <t>capture eficiency of 90%. uncertainty presented for natural gas. For heavy fuel oil  uncertainty equal to 13;0.99*value;1.02*value.uncertainty presented for natural gas. For Heavy fuel oil  uncertainty equal to 13;0.98*value;1.01*value</t>
  </si>
  <si>
    <t>[TIMES] Glass Hollow Production Heat Recovery / Improved Burners</t>
  </si>
  <si>
    <t>[TIMES] Glass Hollow Production</t>
  </si>
  <si>
    <t>[TIMES] Glass Flat Production Heat Recovery / Improved Burners CCS</t>
  </si>
  <si>
    <t>glass, flat</t>
  </si>
  <si>
    <t>90% of capture eficiency</t>
  </si>
  <si>
    <t>[TIMES] Glass Flat Production Heat Recovery / Improved Burners</t>
  </si>
  <si>
    <t>[TIMES] Glass Flat Production</t>
  </si>
  <si>
    <t>[TIMES] Ferroalloys</t>
  </si>
  <si>
    <t>heavy fuel oil</t>
  </si>
  <si>
    <t>uncertainty example for coke, other fules have other uncertainty values</t>
  </si>
  <si>
    <t>[TIMES] Electric Arc Furnace [scrap input]</t>
  </si>
  <si>
    <t>[TIMES] EAF-scrap</t>
  </si>
  <si>
    <t>[TIMES] Electric Arc Furnace [for DRI]</t>
  </si>
  <si>
    <t>[TIMES] EAF</t>
  </si>
  <si>
    <t>coke oven can also be used</t>
  </si>
  <si>
    <t>[TIMES] COREX with CCS</t>
  </si>
  <si>
    <t>[TIMES] COREX+CCS</t>
  </si>
  <si>
    <t>uncertainty presented for coal. For coke uncertainty equal to 13;0.98*value;1.02*value</t>
  </si>
  <si>
    <t>[TIMES] Cast Iron Cupola</t>
  </si>
  <si>
    <t>[TIMES] CUPOLA</t>
  </si>
  <si>
    <t>[TIMES] Blast Furnace with CCS</t>
  </si>
  <si>
    <t>[TIMES] BF+CCS</t>
  </si>
  <si>
    <t>[TIMES] Blast Furnace top gas recirculation with CCS</t>
  </si>
  <si>
    <t>[TIMES] TGRBF+CCS</t>
  </si>
  <si>
    <t>[TIMES] Blast Furnace top gas recirculation</t>
  </si>
  <si>
    <t>[TIMES] TGRBF</t>
  </si>
  <si>
    <t>gas from blast furnace TGR</t>
  </si>
  <si>
    <t>[TIMES] Blast Furnace direct coal injection</t>
  </si>
  <si>
    <t>[TIMES] BFDI</t>
  </si>
  <si>
    <t>[TIMES] Blast Furnace Charcoal or equivalent</t>
  </si>
  <si>
    <t>[TIMES] BF</t>
  </si>
  <si>
    <t>[TIMES] Black liquor-Methanol</t>
  </si>
  <si>
    <t>methanol</t>
  </si>
  <si>
    <t>[TIMES] Black liquor-Methane</t>
  </si>
  <si>
    <t>methane</t>
  </si>
  <si>
    <t>[TIMES] Black liquor-IGCC</t>
  </si>
  <si>
    <t>[TIMES] Black liquor-FT diesel</t>
  </si>
  <si>
    <t>FT diesel</t>
  </si>
  <si>
    <t>[TIMES] Black liquor-DME</t>
  </si>
  <si>
    <t>dimethyl ether</t>
  </si>
  <si>
    <t>[TIMES] BOF-scrap</t>
  </si>
  <si>
    <t>[TIMES] BOF-regular</t>
  </si>
  <si>
    <t>[TIMES] Aluminium Recycled Production Scrap Pre-heat</t>
  </si>
  <si>
    <t>13;0.98*value;1.01*value</t>
  </si>
  <si>
    <t>Values between 1,02-1,05</t>
  </si>
  <si>
    <t>[TIMES] Aluminium Recycled Production Enhanced Furnaces</t>
  </si>
  <si>
    <t>[TIMES] Aluminium Recycled Production</t>
  </si>
  <si>
    <t>[TIMES] Aluminium Inert Anodes</t>
  </si>
  <si>
    <t>[TIMES] Aluminium Finishing Processes</t>
  </si>
  <si>
    <t>aluminium, finished</t>
  </si>
  <si>
    <t>[Shanks] cement clinker material flows, shale based</t>
  </si>
  <si>
    <t>[Shanks] cement clinker material flows</t>
  </si>
  <si>
    <t>+/- 7.1%</t>
  </si>
  <si>
    <t>shale</t>
  </si>
  <si>
    <t>[Shanks] cement clinker material flows, clay based</t>
  </si>
  <si>
    <t>clay</t>
  </si>
  <si>
    <t>[Russo] butadiene polymerisation</t>
  </si>
  <si>
    <t>polybutadiene</t>
  </si>
  <si>
    <t>production process inventory for butadiene polymerisation</t>
  </si>
  <si>
    <t>heat</t>
  </si>
  <si>
    <t>to environment (emission, direct)</t>
  </si>
  <si>
    <t>with conversion factor 0.067 t/GJ for the direct combustion emissions</t>
  </si>
  <si>
    <t>[Rueter] production of wood particle board</t>
  </si>
  <si>
    <t>wood particle board</t>
  </si>
  <si>
    <t>production process inventory for wood products</t>
  </si>
  <si>
    <t>sawdust and woodchips</t>
  </si>
  <si>
    <t>roundwood with bark</t>
  </si>
  <si>
    <t>waste wood</t>
  </si>
  <si>
    <t>fuel oil</t>
  </si>
  <si>
    <t>industrial roundwood</t>
  </si>
  <si>
    <t>from technosphere (use of own by-product)</t>
  </si>
  <si>
    <t>diesel</t>
  </si>
  <si>
    <t>urea formaldehyde resin</t>
  </si>
  <si>
    <t>melamine formaldehyde resin</t>
  </si>
  <si>
    <t>phenol-resorcin-formaldehyde resin</t>
  </si>
  <si>
    <t>to environment (emission, direct, biogenic)</t>
  </si>
  <si>
    <t>[Rueter] production of solid structural timber</t>
  </si>
  <si>
    <t>solid structural timber</t>
  </si>
  <si>
    <t>sawnwood, not dried</t>
  </si>
  <si>
    <t>sawnwood, dried in chamber</t>
  </si>
  <si>
    <t>polyurethaneresin</t>
  </si>
  <si>
    <t>[Rueter] production of sawnwood, softwood, chamber dried, 8%-20% humidity</t>
  </si>
  <si>
    <t>sawnwood, softwood, chamber dried, 8%-20% humidity</t>
  </si>
  <si>
    <t>roundwood without bark</t>
  </si>
  <si>
    <t>[Rueter] production of sawnwood, softwood, 55% humidity</t>
  </si>
  <si>
    <t>sawnwood, softwood, 55% humidity</t>
  </si>
  <si>
    <t>[Rueter] production of sawnwood, hardwood, chamber dried, 8%-20% humidity</t>
  </si>
  <si>
    <t>sawnwood, hardwood, chamber dried, 8%-20% humidity</t>
  </si>
  <si>
    <t>[Rueter] production of oriented strand board (OSB)</t>
  </si>
  <si>
    <t>oriented strand board (OSB)</t>
  </si>
  <si>
    <t>polymeric methylene diphenyl diisocyanate (PMDI)</t>
  </si>
  <si>
    <t>[Rueter] production of laminated veneer lumber</t>
  </si>
  <si>
    <t>laminated veneer lumber</t>
  </si>
  <si>
    <t>emulsion polymer isocyanate</t>
  </si>
  <si>
    <t>[Rueter] production of glued-laminated timber</t>
  </si>
  <si>
    <t>glued-laminated timber</t>
  </si>
  <si>
    <t>[Rueter] production of fiberboard, medium density</t>
  </si>
  <si>
    <t>fiberboard, medium density</t>
  </si>
  <si>
    <t/>
  </si>
  <si>
    <t>Verified by TATA steel</t>
  </si>
  <si>
    <t xml:space="preserve"> estimated in conjunction with quantity of coke breeze produced by coke plant </t>
  </si>
  <si>
    <t xml:space="preserve"> lowest value </t>
  </si>
  <si>
    <t xml:space="preserve"> Deduced from overall natural gas use (CBS) and equal amount used in pellet and sinter plant assumption </t>
  </si>
  <si>
    <t>Emission factors + carbon content of materials (example calculation in reference)</t>
  </si>
  <si>
    <t xml:space="preserve"> assuming all BOFG heavy use is inputted into the pellet plant. Verified by TATA steel</t>
  </si>
  <si>
    <t xml:space="preserve"> average value </t>
  </si>
  <si>
    <t>Verified by TATA Steel</t>
  </si>
  <si>
    <t>[Rueter] production of fiberboard, high density</t>
  </si>
  <si>
    <t>fiberboard, high density</t>
  </si>
  <si>
    <t xml:space="preserve">estimated in conjunction with quantity of coke breeze produced by coke plant. coal replaced coke from base case </t>
  </si>
  <si>
    <t xml:space="preserve"> natural gas replaces BOFG </t>
  </si>
  <si>
    <t>Coke = 28.5 MJ/kg</t>
  </si>
  <si>
    <t>In cases of coke dry quenching (with heat recovery in the form of steam).</t>
  </si>
  <si>
    <t>[Rueter] production of cross laminated timber</t>
  </si>
  <si>
    <t>cross laminated timber</t>
  </si>
  <si>
    <t>coke oven gas (COG)</t>
  </si>
  <si>
    <t>Blast furnace gas (BFG). Verified by TATA Steel</t>
  </si>
  <si>
    <t xml:space="preserve">1.326 kg/Nm3 (Airproducts.com, 2019). Assumed 30% oxygen enrichment of dry air blast. 3.96e7 Nm3. Assumed 30% oxygen enrichment of dry air blast </t>
  </si>
  <si>
    <t>[Open-IDTD] Zinc production</t>
  </si>
  <si>
    <t>zinc</t>
  </si>
  <si>
    <t>8001</t>
  </si>
  <si>
    <t>[Open-IDTD] Tin</t>
  </si>
  <si>
    <t>[Open-IDTD] Wet clinker</t>
  </si>
  <si>
    <t>to environment (emission, process)</t>
  </si>
  <si>
    <t>[Open-IDTD] Ulcowin</t>
  </si>
  <si>
    <t>5.3e7 Nm3, 1.326 kg/Nm3</t>
  </si>
  <si>
    <t>[Open-IDTD] Ulcored</t>
  </si>
  <si>
    <t xml:space="preserve">machine drive </t>
  </si>
  <si>
    <t>[Open-IDTD] Ulcolysis</t>
  </si>
  <si>
    <t>[Open-IDTD] Top Gas Recycling Blast Furnace BAT + Basic oxygen Furnace w/ CO2 capture</t>
  </si>
  <si>
    <t>[Open-IDTD] BF-TGR w/ CCS</t>
  </si>
  <si>
    <t xml:space="preserve">BF/BOF gas </t>
  </si>
  <si>
    <t xml:space="preserve">BF reductant </t>
  </si>
  <si>
    <t xml:space="preserve"> Fuel input x 36% unit efficiency.Calculated from EEA LCP in conjunction with CBS industry data </t>
  </si>
  <si>
    <t xml:space="preserve">Calculated from EEA LCP in conjunction with CBS industry data </t>
  </si>
  <si>
    <t>[Open-IDTD] Tin production</t>
  </si>
  <si>
    <t>tin</t>
  </si>
  <si>
    <t xml:space="preserve"> Fuel input x 38% unit efficiency </t>
  </si>
  <si>
    <t>gasoil</t>
  </si>
  <si>
    <t>[Open-IDTD] Sulphite process</t>
  </si>
  <si>
    <t>sulphite pulp</t>
  </si>
  <si>
    <t xml:space="preserve"> Fuel input x 41% unit efficiency </t>
  </si>
  <si>
    <t xml:space="preserve">Power-to-heat ratio = 1.37 </t>
  </si>
  <si>
    <t>solid biomasswaste</t>
  </si>
  <si>
    <t>[Open-IDTD] Standard Electric Arc Furnace - Scrap</t>
  </si>
  <si>
    <t>steel, recycled</t>
  </si>
  <si>
    <t>[Open-IDTD] Scrap</t>
  </si>
  <si>
    <t>Calculated to meet total NG consumption</t>
  </si>
  <si>
    <t>[Open-IDTD] Smelting reduction + Basic oxygen Furnace</t>
  </si>
  <si>
    <t>[Open-IDTD] SR</t>
  </si>
  <si>
    <t xml:space="preserve">output of vpsa. corresponds to 465 Nm3/t pig iron </t>
  </si>
  <si>
    <t>1.326 kg/Nm3 (Airproducts.com, 2019). 2.01e8 Nm3</t>
  </si>
  <si>
    <t>[Open-IDTD] Semi-chemical pulping</t>
  </si>
  <si>
    <t>semi-chemical pulp</t>
  </si>
  <si>
    <t>[Open-IDTD] Secondary aluminum</t>
  </si>
  <si>
    <t>aluminium, recycled</t>
  </si>
  <si>
    <t>Coke = 28.5 MJ/kg. Verified by TATA Steel</t>
  </si>
  <si>
    <t xml:space="preserve">Verified by Tata Steel </t>
  </si>
  <si>
    <t>[Open-IDTD] Recycled fiber pulping</t>
  </si>
  <si>
    <t>pulp, recycled</t>
  </si>
  <si>
    <t>[Open-IDTD] PDH</t>
  </si>
  <si>
    <t>olefins</t>
  </si>
  <si>
    <t>2901-2903</t>
  </si>
  <si>
    <t>assumed substitution of BFG for NG</t>
  </si>
  <si>
    <t>Partial replacement COG by natural gas</t>
  </si>
  <si>
    <t>[Open-IDTD] Parallel flow kiln</t>
  </si>
  <si>
    <t>lime</t>
  </si>
  <si>
    <t>Full replacement COG by natural gas</t>
  </si>
  <si>
    <t>[Open-IDTD] Paper mill</t>
  </si>
  <si>
    <t>paper</t>
  </si>
  <si>
    <t>Fuel input x 40% efficiency (assumed)</t>
  </si>
  <si>
    <t>Power-to-heat ratio = 1.37 (assumed from IJmond)</t>
  </si>
  <si>
    <t>[Open-IDTD] Niobium production</t>
  </si>
  <si>
    <t xml:space="preserve">niobium </t>
  </si>
  <si>
    <t>[Open-IDTD] Niobium</t>
  </si>
  <si>
    <t>Total BOFG produced minus pellet plant use</t>
  </si>
  <si>
    <t>Assumed 90% captured</t>
  </si>
  <si>
    <t>[Open-IDTD] NG SR_NH3</t>
  </si>
  <si>
    <t>ammonia</t>
  </si>
  <si>
    <t>Estimated to be the same as iron ore requirement of the other options</t>
  </si>
  <si>
    <t xml:space="preserve"> Estimated to be the similar oxygen requirement of TGR-BF, Keys et al., 2019 </t>
  </si>
  <si>
    <t>electricity requirement for cryogenic  + compression CCS plus 0.3 PJ for HIsarna</t>
  </si>
  <si>
    <t>Assumed 90% captured, rest emitted</t>
  </si>
  <si>
    <t>[Open-IDTD] NG SR_MeOH</t>
  </si>
  <si>
    <t>[Open-IDTD] NG SR w/ CCS</t>
  </si>
  <si>
    <t>Including electricity requirement for CCS (VPSA  + compression+ cryogenic flash) of 0.42 PJ</t>
  </si>
  <si>
    <t>[Open-IDTD] Naphtha SC</t>
  </si>
  <si>
    <t xml:space="preserve">average value (5000 Nm3) </t>
  </si>
  <si>
    <t>naphtha</t>
  </si>
  <si>
    <t>[Open-IDTD] Naphtha POX</t>
  </si>
  <si>
    <t>[Open-IDTD] Naphtha CC</t>
  </si>
  <si>
    <t>meaning efficiency of 58%</t>
  </si>
  <si>
    <t>[Open-IDTD] MTO</t>
  </si>
  <si>
    <t>2.94e8 Nm3, 1.326 kg/Nm3</t>
  </si>
  <si>
    <t>[Open-IDTD] Mercury</t>
  </si>
  <si>
    <t>chlorine</t>
  </si>
  <si>
    <t>Of which 0.33 PJ for ultrafine grinding, 0.66 PJ for leaching, and 8.6 PJ for electrowinning</t>
  </si>
  <si>
    <t>[Open-IDTD] Membrane</t>
  </si>
  <si>
    <t>[Open-IDTD] Mechanical pulping</t>
  </si>
  <si>
    <t>4.5e7 Nm3, 1.326 kg/Nm3</t>
  </si>
  <si>
    <t>[Open-IDTD] LPG SC</t>
  </si>
  <si>
    <t>3.e8 Nm3, 1.326 kg/Nm3</t>
  </si>
  <si>
    <t>[Open-IDTD] LPG POX_MeOH</t>
  </si>
  <si>
    <t>Indicative. AlF3 is periodically added to maximise the productivity of the electrolysis cells.</t>
  </si>
  <si>
    <t>Indicative. Primary aluminium is extracted from aluminium oxide by means of electrolysis.</t>
  </si>
  <si>
    <t>[Open-IDTD] Long rotary kiln</t>
  </si>
  <si>
    <t>Indicative. The amount of carbon required per tonne of liquid primary aluminium.</t>
  </si>
  <si>
    <t>Indicative. Amount of electricity consumed per tonne of liquid primary aluminium.</t>
  </si>
  <si>
    <t>Indicative. Based on a carbon anode consumption of 0.43 tonne per tonne of liquid primary aluminium.</t>
  </si>
  <si>
    <t>Indicative. Emission of PFCs: CF4 and C2F6, expressed in f_gases equivalents.</t>
  </si>
  <si>
    <t>Indicative. Liquid aluminium coming from the electrolysis department.</t>
  </si>
  <si>
    <t>[Open-IDTD] Kroll process</t>
  </si>
  <si>
    <t>titanium</t>
  </si>
  <si>
    <t>8108</t>
  </si>
  <si>
    <t>[Open-IDTD] Titanium</t>
  </si>
  <si>
    <t xml:space="preserve">Indicative. To reduce on electricity costs, liquid primary aluminium is mixed with clean industrial aluminium scrap before it is casted. </t>
  </si>
  <si>
    <t>Indicative. To reduce on electricity costs, liquid primary aluminium is mixed with solid clean aluminium before it is casted.</t>
  </si>
  <si>
    <t>Indicative. Assumption based on average share of alloys in the production of secondary aluminium billets and slabs out of clean industrial scrap.</t>
  </si>
  <si>
    <t>Indicative. electricity consumed by induction furnaces.</t>
  </si>
  <si>
    <t>Indicative. This includes natural gas consumed during homogenisation. 83 Nm3, converted to MJ using 31.65 MJ/Nm3.</t>
  </si>
  <si>
    <t>Indicative. All f_gases emissions can be allocated to firing natural gas.</t>
  </si>
  <si>
    <t>[Open-IDTD] Kraft/BLG</t>
  </si>
  <si>
    <t>Estimation. No changes compared to the base year configuration are assumed.</t>
  </si>
  <si>
    <t>Indicative. In general, it is estimated that inert anodes as a decarbonisation option on their own will increase the electricity consumption by approximately 3 MWh per tonne of liquid aluminium.</t>
  </si>
  <si>
    <t>[Open-IDTD] Kraft process</t>
  </si>
  <si>
    <t>Indicative (average). By reducing the anode to cathode distance to 2 cm, the voltage drop through the electrolysis bath can be decreased with 1 V, corresponding with indicative electricity savings in the order of 15 to 23 %.</t>
  </si>
  <si>
    <t>[Open-IDTD] Kaolinite reduction</t>
  </si>
  <si>
    <t>Indicative. Since the sloped surfaces prevent bath gases to accumulate under the anode, PFC emissions are expected to decrease with 75% f_gases-eq.</t>
  </si>
  <si>
    <t>[Open-IDTD] Inert anodes</t>
  </si>
  <si>
    <t>[Open-IDTD] HIsarna w/ CCS</t>
  </si>
  <si>
    <t>Current natural gas consumption is 83 Nm3 per tonne of aluminium billet or slab. Converted to MJ using 31.65 MJ/Nm3.</t>
  </si>
  <si>
    <t>Indicative (average). Petroleum coke is the leading raw material used in the anode production process.</t>
  </si>
  <si>
    <t xml:space="preserve">Indicative (average). To reduce waste streams, a part of the input materials consists of anode residues, coming from primary aluminium factories. </t>
  </si>
  <si>
    <t>Indicative. To bind crushed pet coke and anode residues, anode plants make use of preheated pitch.</t>
  </si>
  <si>
    <t>Indicative. electricity is mainly consumed (67%) during the production of green anodes.</t>
  </si>
  <si>
    <t>[Open-IDTD] Hisarna</t>
  </si>
  <si>
    <t>Indicative (average). Natural gas is mainly consumed during the baking of green anodes. Converted to MJ using 31.65 MJ/Nm3.</t>
  </si>
  <si>
    <t>Indicative (average). f_gases emissions can be allocated to firing natural gas and the combustion of VOCs and packing coke.</t>
  </si>
  <si>
    <t>[Open-IDTD] HDR/EAF</t>
  </si>
  <si>
    <t>Current natural gas consumption is 111 - 121 Nm3 per tonne of anode. Converted to MJ using 31.65 MJ/Nm3.</t>
  </si>
  <si>
    <t>Indication/estimation. Approximately 40 – 45% of direct f_gases emissions from producing carbon anodes are related to firing natural gas. So, switching to green gas means that 40 – 45% of direct f_gases emissions can be avoided.</t>
  </si>
  <si>
    <t>Indication/estimation (average). Based on the production processes at E-MAX and Zalco.</t>
  </si>
  <si>
    <t>Indication/estimation. Based on the production processes at E-MAX and Zalco.</t>
  </si>
  <si>
    <t xml:space="preserve">Indication/estimation. By adding primary aluminium the quality of the end product can be increased to match with that of pure primary aluminium. </t>
  </si>
  <si>
    <t>[Open-IDTD] Hall-Héroult</t>
  </si>
  <si>
    <t>Indicative. Average share of alloys in the production of secondary aluminium billets and slabs.</t>
  </si>
  <si>
    <t>Indicative. electricity is mainly used by auxiliary equipment, like electric motors.</t>
  </si>
  <si>
    <t>Indicative (average). Natural gas is mainly used for remelting, casting, and homogenizing aluminium. 150-250 Nm3 converted to MJ using 31.65 MJ/Nm3.</t>
  </si>
  <si>
    <t>Indicative (average). f_gases emissions can be allocated to firing natural gas and the refining of organic contaminated scrap.</t>
  </si>
  <si>
    <t>[Open-IDTD] Gas oil SC</t>
  </si>
  <si>
    <t>[Open-IDTD] Fossil fuel-fired furnace</t>
  </si>
  <si>
    <t>glass</t>
  </si>
  <si>
    <t>Current natural gas consumption is 150 - 250 Nm3 per tonne of aluminium billet or slab. Converted to MJ using 31.65 MJ/Nm3.</t>
  </si>
  <si>
    <t>Indication/estimation. Not all of the direct f_gases emissions can be avoided since 10 - 20% of E-MAX's f_gases emissions comes from combusting organic material enclosed in the scrap.</t>
  </si>
  <si>
    <t>oil</t>
  </si>
  <si>
    <t>The drying process is used for the Blast Furnace Slag</t>
  </si>
  <si>
    <t>Estimation based on the amount of f_gases produced from the drying process in the industrial sites</t>
  </si>
  <si>
    <t>[Open-IDTD] Ferroalloys</t>
  </si>
  <si>
    <t>ferroalloys, primary</t>
  </si>
  <si>
    <t xml:space="preserve">The drying process is used for the Blast Furnace Slag. Internal communication with the company </t>
  </si>
  <si>
    <t>based on natural gas use.</t>
  </si>
  <si>
    <t>ferrosilicon</t>
  </si>
  <si>
    <t>siliconmanganese</t>
  </si>
  <si>
    <t>ferromanganese</t>
  </si>
  <si>
    <t>Amount of clinker used/ amount of cement produced. Lower limit is 2017 value for Ijmuiden, Upper limit is 2017 value for Rotterdam</t>
  </si>
  <si>
    <t>Amount of BFS used/ amount of cement produced. Upper limit is 2017 value for Ijmuiden, Lower limit is 2017 value for Rotterdam</t>
  </si>
  <si>
    <t>Estimation based on the input of material and output of cement.</t>
  </si>
  <si>
    <t>[Open-IDTD] Ethane SC</t>
  </si>
  <si>
    <t>Estimation considering the biggest consumption of this grinding configuration.</t>
  </si>
  <si>
    <t>ethane</t>
  </si>
  <si>
    <t xml:space="preserve">The drying process is used for the Blast Furnace Slag.Internal communication with the company </t>
  </si>
  <si>
    <t>According to the Heat Pump Fact Sheet: For each kW of electricity consumed by a heat pump, about 4kW of thermal energy is generated. This corresponds to a 300% efficiency.</t>
  </si>
  <si>
    <t>[Open-IDTD] Electrolysis_NH3</t>
  </si>
  <si>
    <t>same energy demand as present value</t>
  </si>
  <si>
    <t>[Open-IDTD] Electrolysis_MeOH</t>
  </si>
  <si>
    <t>same required energy content as base assumed.</t>
  </si>
  <si>
    <t>[Open-IDTD] Efficient dry feed rotary kiln + oxy-combustion CCS</t>
  </si>
  <si>
    <t>[Open-IDTD] Dry cl. w/ oxyfuel CCS</t>
  </si>
  <si>
    <t>[Open-IDTD] Efficient dry feed rotary kiln + on-site CCS</t>
  </si>
  <si>
    <t>[Open-IDTD] Dry cl. w/ post-comb. CCS</t>
  </si>
  <si>
    <t>Energy savings of between 0 and 6 kWh are reported, depending on the existing plant configuration, the type of cement, and the fineness required. Typical savings of 5 kWh per ton of cement are reported in China.</t>
  </si>
  <si>
    <t>[Open-IDTD] Dry clinker</t>
  </si>
  <si>
    <t>Amount of clinker used/ amount of cement produced</t>
  </si>
  <si>
    <t>[Open-IDTD] Direct Reduced Iron + Electric Arc Furnace w/ CO2 capture</t>
  </si>
  <si>
    <t>[Open-IDTD] DRI/EAF w/ CCS</t>
  </si>
  <si>
    <t>[Open-IDTD] Direct Reduced Iron + Electric Arc Furnace</t>
  </si>
  <si>
    <t>[Open-IDTD] DRI/EAF</t>
  </si>
  <si>
    <t>[Open-IDTD] Diaphragm</t>
  </si>
  <si>
    <t>[Open-IDTD] Copper production</t>
  </si>
  <si>
    <t>copper</t>
  </si>
  <si>
    <t>[Open-IDTD] Copper</t>
  </si>
  <si>
    <t>[Open-IDTD] COG SR</t>
  </si>
  <si>
    <t>[Open-IDTD] Coal GSF_NH3</t>
  </si>
  <si>
    <t>[Open-IDTD] Coal GSF_MeOH</t>
  </si>
  <si>
    <t>[Open-IDTD] Ceramics</t>
  </si>
  <si>
    <t>ceramics</t>
  </si>
  <si>
    <t>[Open-IDTD] Carbothermic reduction</t>
  </si>
  <si>
    <t>[Open-IDTD] Blended cement</t>
  </si>
  <si>
    <t>slag</t>
  </si>
  <si>
    <t>[Open-IDTD] Blast Furnace + Basic oxygen Furnace w/ CO2 capture</t>
  </si>
  <si>
    <t>[Open-IDTD] BF/BOF w/ CCS</t>
  </si>
  <si>
    <t>[Open-IDTD] Blast Furnace + Basic oxygen Furnace</t>
  </si>
  <si>
    <t>[Open-IDTD] BF/BOF</t>
  </si>
  <si>
    <t>[Open-IDTD] Biomass GSF_NH3</t>
  </si>
  <si>
    <t>[Open-IDTD] Biomass GSF_MeOH</t>
  </si>
  <si>
    <t>[Open-IDTD] Bioethanol DH</t>
  </si>
  <si>
    <t>[Open-IDTD] Belite cement</t>
  </si>
  <si>
    <t>[Open-IDTD] Bayer process</t>
  </si>
  <si>
    <t>[Open-IDTD] All electric furnace</t>
  </si>
  <si>
    <t>[Open-IDTD] Alkali-activated cement</t>
  </si>
  <si>
    <t>[Open-IDTD] AAC</t>
  </si>
  <si>
    <t>[MPP] Inert anodes</t>
  </si>
  <si>
    <t>13;0.88*value;1.12*value;none;none;none</t>
  </si>
  <si>
    <t>[MPP] Hall-Heroult process</t>
  </si>
  <si>
    <t>[MPP] Hall-Heroult</t>
  </si>
  <si>
    <t>PFC</t>
  </si>
  <si>
    <t>to environment (emission, process and energy from anode production)</t>
  </si>
  <si>
    <t>[MPP] Hall-Heroult + CCS</t>
  </si>
  <si>
    <t>to environment (emission, CCS thermal energy)</t>
  </si>
  <si>
    <t>[MIDDEN] Wetted cathodes</t>
  </si>
  <si>
    <t>aliminium, primary, liquid</t>
  </si>
  <si>
    <t>[MIDDEN] TC0220</t>
  </si>
  <si>
    <t>aluminium fluoride</t>
  </si>
  <si>
    <t>prebaked carbon anodes</t>
  </si>
  <si>
    <t>F-gases</t>
  </si>
  <si>
    <t>[MIDDEN] Water electrolyser</t>
  </si>
  <si>
    <t>kt</t>
  </si>
  <si>
    <t>[MIDDEN] TC0038</t>
  </si>
  <si>
    <t>PJ</t>
  </si>
  <si>
    <t>[MIDDEN] ULCOWIN</t>
  </si>
  <si>
    <t>iron plate</t>
  </si>
  <si>
    <t>Mt</t>
  </si>
  <si>
    <t>[MIDDEN] TC0040</t>
  </si>
  <si>
    <t>[MIDDEN] ULCORED reactor with carbon capture</t>
  </si>
  <si>
    <t>[MIDDEN] TC0036</t>
  </si>
  <si>
    <t>carbon dioxide, compressed</t>
  </si>
  <si>
    <t>[MIDDEN] ULCOLYSIS cell</t>
  </si>
  <si>
    <t>[MIDDEN] TC0042</t>
  </si>
  <si>
    <t>[MIDDEN] TGR-blast furnace + CCS</t>
  </si>
  <si>
    <t>[MIDDEN] TC0030</t>
  </si>
  <si>
    <t>tail gas</t>
  </si>
  <si>
    <t>[MIDDEN] Sinter plant</t>
  </si>
  <si>
    <t>[MIDDEN] TC0019</t>
  </si>
  <si>
    <t>[MIDDEN] Recycling and casting of secondary aluminium</t>
  </si>
  <si>
    <t>aluminium billets and slabs</t>
  </si>
  <si>
    <t>[MIDDEN] TC0224</t>
  </si>
  <si>
    <t>aluminium scrap, clean</t>
  </si>
  <si>
    <t>aluminium, scrap, contaminated</t>
  </si>
  <si>
    <t>aluminium alloys</t>
  </si>
  <si>
    <t>[MIDDEN] Production of prebaked carbon anodes</t>
  </si>
  <si>
    <t>[MIDDEN] TC0222</t>
  </si>
  <si>
    <t>petroleum coke</t>
  </si>
  <si>
    <t>anode residues</t>
  </si>
  <si>
    <t>coaltar pitch</t>
  </si>
  <si>
    <t>[MIDDEN] Pellet plant no coke</t>
  </si>
  <si>
    <t>[MIDDEN] TC0021</t>
  </si>
  <si>
    <t>olivine</t>
  </si>
  <si>
    <t>[MIDDEN] Pellet plant</t>
  </si>
  <si>
    <t>[MIDDEN] TC0020</t>
  </si>
  <si>
    <t>basic oxygen furnace gas</t>
  </si>
  <si>
    <t>[MIDDEN] Other steel-related activities on natural gas</t>
  </si>
  <si>
    <t>steel products</t>
  </si>
  <si>
    <t>[MIDDEN] TC0033</t>
  </si>
  <si>
    <t>[MIDDEN] Other steel-related activities for TGR+CCS</t>
  </si>
  <si>
    <t>[MIDDEN] TC0032</t>
  </si>
  <si>
    <t>[MIDDEN] Other steel-related activities</t>
  </si>
  <si>
    <t>[MIDDEN] TC0029</t>
  </si>
  <si>
    <t>[MIDDEN] Natural gas dryer for blast furnace slag</t>
  </si>
  <si>
    <t>blast furnace slag, dried</t>
  </si>
  <si>
    <t>[MIDDEN] TC0318</t>
  </si>
  <si>
    <t>wet blast furnace slag</t>
  </si>
  <si>
    <t>[MIDDEN] Inert anodes (primary aluminium producers)</t>
  </si>
  <si>
    <t>[MIDDEN] TC0219</t>
  </si>
  <si>
    <t>[MIDDEN] Hydrogen dryer for blast furnace slag</t>
  </si>
  <si>
    <t>[MIDDEN] TC0321</t>
  </si>
  <si>
    <t>[MIDDEN] HIsarna reactor with carbon capture</t>
  </si>
  <si>
    <t>[MIDDEN] TC0035</t>
  </si>
  <si>
    <t>Iron ore</t>
  </si>
  <si>
    <t>[MIDDEN] High-efficiency classifiers for cement production</t>
  </si>
  <si>
    <t>[MIDDEN] TC0325</t>
  </si>
  <si>
    <t>[MIDDEN] Heat Pump Dryer for blast furnace slag</t>
  </si>
  <si>
    <t>[MIDDEN] TC0320</t>
  </si>
  <si>
    <t>[MIDDEN] H-DR reactor</t>
  </si>
  <si>
    <t>[MIDDEN] TC0039</t>
  </si>
  <si>
    <t>[MIDDEN] Hall-Heroult process</t>
  </si>
  <si>
    <t>[MIDDEN] TC0217</t>
  </si>
  <si>
    <t>Inert anodes assumed to require the same amount of electricity consumption as carbon anodes; assumption developed and validated during stakeholder engagement.</t>
  </si>
  <si>
    <t>[MIDDEN] Green gas-fired furnaces (recycling plants)</t>
  </si>
  <si>
    <t>[MIDDEN] TC0225</t>
  </si>
  <si>
    <t>green gas</t>
  </si>
  <si>
    <t>[MIDDEN] Green gas-fired furnaces (casting department primary aluminium producers)</t>
  </si>
  <si>
    <t>[MIDDEN] TC0221</t>
  </si>
  <si>
    <t>aluminium scrap, clean, industrial</t>
  </si>
  <si>
    <t>aluminium, clean, pre-alloyed</t>
  </si>
  <si>
    <t>See log sheet</t>
  </si>
  <si>
    <t>[MIDDEN] Green gas-fired furnaces (anode plants)</t>
  </si>
  <si>
    <t>[MIDDEN] TC0223</t>
  </si>
  <si>
    <t>[MIDDEN] Green gas dryer for blast furnace slag</t>
  </si>
  <si>
    <t>[MIDDEN] TC0322</t>
  </si>
  <si>
    <t>[MIDDEN] EAF for DRI</t>
  </si>
  <si>
    <t>[MIDDEN] TC0037</t>
  </si>
  <si>
    <t>high alloy and stainless steel</t>
  </si>
  <si>
    <t>carbon steel</t>
  </si>
  <si>
    <t>[MIDDEN] EAF (iron plate-based)</t>
  </si>
  <si>
    <t>[MIDDEN] TC0041</t>
  </si>
  <si>
    <t>Iron plate</t>
  </si>
  <si>
    <t>[MIDDEN] Coke plant for TGR+CCS</t>
  </si>
  <si>
    <t>[MIDDEN] TC0031</t>
  </si>
  <si>
    <t>tar</t>
  </si>
  <si>
    <t>BTX</t>
  </si>
  <si>
    <t>steam, medium pressure, 10-19 bar</t>
  </si>
  <si>
    <t>[MIDDEN] Coke plant</t>
  </si>
  <si>
    <t>[MIDDEN] TC0022</t>
  </si>
  <si>
    <t>[MIDDEN] CHP Tata</t>
  </si>
  <si>
    <t>?</t>
  </si>
  <si>
    <t>[MIDDEN] TC0025</t>
  </si>
  <si>
    <t>[MIDDEN] CHP IJmond</t>
  </si>
  <si>
    <t>[MIDDEN] TC0028</t>
  </si>
  <si>
    <t>[MIDDEN] CHP for BOFG</t>
  </si>
  <si>
    <t>[MIDDEN] TC0034</t>
  </si>
  <si>
    <t>[MIDDEN] Cement production: Roller Press + two vertical roller Mills</t>
  </si>
  <si>
    <t>[MIDDEN] TC0323</t>
  </si>
  <si>
    <t>calcium sulphate</t>
  </si>
  <si>
    <t>[MIDDEN] Cement production: Roller Press + two High-Pressure Rolls</t>
  </si>
  <si>
    <t>[MIDDEN] TC0324</t>
  </si>
  <si>
    <t>[MIDDEN] Cement production: Roller Press + two Ball Mills</t>
  </si>
  <si>
    <t>[MIDDEN] TC0319</t>
  </si>
  <si>
    <t xml:space="preserve">[MIDDEN] Cement production: Ball Mill + Ball Mill </t>
  </si>
  <si>
    <t>[MIDDEN] TC0326</t>
  </si>
  <si>
    <t>[MIDDEN] CCGT Velsen 25</t>
  </si>
  <si>
    <t>[MIDDEN] TC0027</t>
  </si>
  <si>
    <t>[MIDDEN] CCGT Velsen 24</t>
  </si>
  <si>
    <t>[MIDDEN] TC0026</t>
  </si>
  <si>
    <t>[MIDDEN] Casting of liquid primary aluminium</t>
  </si>
  <si>
    <t>[MIDDEN] TC0218</t>
  </si>
  <si>
    <t>[MIDDEN] Blast furnace</t>
  </si>
  <si>
    <t>[MIDDEN] TC0023</t>
  </si>
  <si>
    <t>[MIDDEN] Basic oxygen furnace</t>
  </si>
  <si>
    <t>[MIDDEN] TC0024</t>
  </si>
  <si>
    <t>dolomite</t>
  </si>
  <si>
    <t>[MIDDEN] Asphalt mix, ZOAB (Zeer Open Asfaltbeton)</t>
  </si>
  <si>
    <t>asphalt mix, ZOAB (Zeer Open Asfaltbeton)</t>
  </si>
  <si>
    <t>[MIDDEN] 4791-1</t>
  </si>
  <si>
    <t>natural gas, rotary drum heating and drying</t>
  </si>
  <si>
    <t>natural gas, rotary drum heating and drying for RAP</t>
  </si>
  <si>
    <t>natural gas, recipe changes</t>
  </si>
  <si>
    <t>natural gas, starts and stops</t>
  </si>
  <si>
    <t>electricity, bitumen heating - electricity</t>
  </si>
  <si>
    <t>electricity, heated asphalt mix storage</t>
  </si>
  <si>
    <t>RAP</t>
  </si>
  <si>
    <t>from technosphere (recycled material)</t>
  </si>
  <si>
    <t>bitumen</t>
  </si>
  <si>
    <t>aggregates</t>
  </si>
  <si>
    <t>filler</t>
  </si>
  <si>
    <t>nitrogen oxides</t>
  </si>
  <si>
    <t>g</t>
  </si>
  <si>
    <t>derived from average NOx unit process with and without RAP as a share of CO2</t>
  </si>
  <si>
    <t>[MIDDEN] Asphalt mix, without RAP (70% feedstock substitution - lignin)</t>
  </si>
  <si>
    <t>asphalt mix, without RAP (70% feedstock substitution - lignin)</t>
  </si>
  <si>
    <t>[MIDDEN] 4791-5</t>
  </si>
  <si>
    <t>lignin</t>
  </si>
  <si>
    <t>[MIDDEN] Asphalt mix, without RAP (100% hydrogen)</t>
  </si>
  <si>
    <t>asphalt mix, without RAP (100% hydrogen)</t>
  </si>
  <si>
    <t>[MIDDEN] 4791-4</t>
  </si>
  <si>
    <t>hydrogen, drum heating and drying</t>
  </si>
  <si>
    <t>[MIDDEN] Asphalt mix, without RAP (100% electrified)</t>
  </si>
  <si>
    <t>asphalt mix, without RAP (100% electrified)</t>
  </si>
  <si>
    <t>[MIDDEN] 4791-3</t>
  </si>
  <si>
    <t>electricity, electrification</t>
  </si>
  <si>
    <t>[MIDDEN] Asphalt mix, without RAP</t>
  </si>
  <si>
    <t>asphalt mix, without RAP</t>
  </si>
  <si>
    <t>[MIDDEN] Asphalt mix, with RAP (reclaimed asphalt pavement)</t>
  </si>
  <si>
    <t>asphalt mix, with RAP (reclaimed asphalt pavement)</t>
  </si>
  <si>
    <t>[MIDDEN] 4791-2</t>
  </si>
  <si>
    <t>[MIDDEN] Asphalt mix, with RAP (70% feedstock substitution - lignin)</t>
  </si>
  <si>
    <t>asphalt mix, with RAP (70% feedstock substitution - lignin)</t>
  </si>
  <si>
    <t>[MIDDEN] Asphalt mix, with RAP (100% hydrogen)</t>
  </si>
  <si>
    <t>asphalt mix, with RAP (100% hydrogen)</t>
  </si>
  <si>
    <t>[MIDDEN] Asphalt mix, with RAP (100% electrified)</t>
  </si>
  <si>
    <t>asphalt mix, with RAP (100% electrified)</t>
  </si>
  <si>
    <t>[MIDDEN] Asphalt mix, SMA (Stone Mastic Asphalt)</t>
  </si>
  <si>
    <t>asphalt mix, SMA (Stone Mastic asphalt)</t>
  </si>
  <si>
    <t>plastics monomer production inventories, from Meng et al. (2023), DOI 10.1073/pnas.2218294120</t>
  </si>
  <si>
    <t>propylene</t>
  </si>
  <si>
    <t>waste polymer</t>
  </si>
  <si>
    <t>pyrolysis oil</t>
  </si>
  <si>
    <t>off-gases</t>
  </si>
  <si>
    <t>adding direct emissions to plastics monomer production inventories, from Meng et al. (2023), DOI 10.1073/pnas.2218294120</t>
  </si>
  <si>
    <t>propane</t>
  </si>
  <si>
    <t>C4</t>
  </si>
  <si>
    <t>cooling</t>
  </si>
  <si>
    <t>methanol, green</t>
  </si>
  <si>
    <t>methanol, black</t>
  </si>
  <si>
    <t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t>
  </si>
  <si>
    <t>Hanein et al. 2021 [114]</t>
  </si>
  <si>
    <t>energy demand (high temperature heat) for dry (0 w% water content) kaolinite input - value taken from Cancio Díaz et al. 2017, which report the lowest value among the studies specifying the calcination technology used; ~900°C used for industrial scale clay calcination in kiln calcination</t>
  </si>
  <si>
    <t>Cancio Díaz et al. 2017 [115]</t>
  </si>
  <si>
    <t>Sánchez Berriel et al. 2016 [116]</t>
  </si>
  <si>
    <t>“The values of less than 30 g CO2 for clays are based on the assumption that the clay will contain\3 wt% CO2” (Hanein et al. 2021, 21)</t>
  </si>
  <si>
    <t>Martinez et al. 2023 [117]</t>
  </si>
  <si>
    <t xml:space="preserve">Value for electricity demand for "grinding + packing + other" for rotary kiln based industrial scale Metakoalin-Limestone Cement production (Best available technology, flash calciner based production, </t>
  </si>
  <si>
    <t>UK cement sector</t>
  </si>
  <si>
    <t>bio-oils</t>
  </si>
  <si>
    <t>Chinese cement sector</t>
  </si>
  <si>
    <t>Different siliceous raw materials are used to provide alumino-silicate (Silicon dioxide and Aluminium oxide); can be clay, shale, sand, etc.</t>
  </si>
  <si>
    <t>Direct fuel use and fuel use in boilers</t>
  </si>
  <si>
    <t xml:space="preserve">"The ethane fraction is cracked to produce ethylene (80 % selectivity or 56.4 % yield) along with coproducts (hydrogen, methane, propane, butane, propylene, acetylene, propadiene, vinylacetylene, propyne and butadiene)". Process includes cracking, compression and recovery. </t>
  </si>
  <si>
    <t>The fuel requirements for steam cracking of ethane are 13.7 MJ/kg of ethylene, equal to 13.7 GJ/t ethylene. Steam necessary for the production of ethylene is already added into this process step.</t>
  </si>
  <si>
    <t xml:space="preserve">The power requirements for steam cracking of ethane are 0.2 MJ/kg of ethylene, this is equal to 0.2 GJ/ T of ethylene. </t>
  </si>
  <si>
    <t>only natural gas-based emissions</t>
  </si>
  <si>
    <t xml:space="preserve">Value taken from Reshaping Plastics (2022) model in sheet 'Dynamic_input_output' </t>
  </si>
  <si>
    <t>ethylene</t>
  </si>
  <si>
    <t xml:space="preserve">Same value as conventional steam cracker. </t>
  </si>
  <si>
    <t xml:space="preserve">CCS on steam cracker. Total value of 'Naphtha steam cracking + CCS' electricity demand from Reshaping Plastics (2022) model, with subtracted the electricity demand of 'Naphtha steam cracking'. </t>
  </si>
  <si>
    <t>only natural gas-based emissions as proxy for off-gas direct emissions, plus 95% capture rate applied</t>
  </si>
  <si>
    <t>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t>
  </si>
  <si>
    <t>Same as naphtha electric steam cracking business case</t>
  </si>
  <si>
    <t>To rebalance the C:H ratio for synthesising methanol</t>
  </si>
  <si>
    <t>Same as naphtha H2 steam cracking business case</t>
  </si>
  <si>
    <t xml:space="preserve">Value taken from Reshaping Plastics (2022) model in sheet 'Dynamic_input_output' . The share of feedstocks are used that are given for EU15+Norway. </t>
  </si>
  <si>
    <t xml:space="preserve">Value taken from Reshaping Plastics (2022) model in sheet 'Dynamic_input_output' . Off-gases are used as fuel for the process. </t>
  </si>
  <si>
    <t>Value taken from Reshaping Plastics (2022) model in sheet 'Dynamic_input_output' . The value was given in kWh, so a conversion factor is used to convert to the unit GJ.</t>
  </si>
  <si>
    <t>only off-gas-based emissions, assume same carbon content per energy as for natural gas (off-gas has both H2 and olefin (Ethane, butane) content, assume they roughly cancel out in rel. to CO2 per MJ.</t>
  </si>
  <si>
    <t>Value taken from Reshaping Plastics (2022) model in sheet 'Dynamic_input_output' . oxygen is necessary for the byproduct upgrade, as heavy fuels (byproducts) are partially oxidated.</t>
  </si>
  <si>
    <t>Value taken from Reshaping Plastics (2022) model in sheet 'Dynamic_input_output', equal to the electricity use of a conventional Naphtha steam cracker.</t>
  </si>
  <si>
    <t>Sum of electricity use of conventional steam cracker and byproduct upgrade 'units'.</t>
  </si>
  <si>
    <t>Mike Muskett: if you have 100 ktepa of plastic, then you get about 80 ktepa of pyrolysis oil, which makes about 25 ktepa of ethylene (12 ktepa of propylene). This is why the input of pyrolysis oil is divided by 0.8 to get the input of waste polymers.
Scope 1 emissions for waste polymer is in its conversion process to pyrolysis oils only, not through to ethylene. See note under Raw Material, Pyrolysis Oils.</t>
  </si>
  <si>
    <t>Value taken from Reshaping Plastics (2022) model in sheet 'Dynamic_input_output' . Mike Muskett: if you have 100 ktepa of plastic, then you get about 80 ktepa of pyrolysis oil, which makes about 25 ktepa of ethylene (12 ktepa of propylene).
This is in line with a different source (https://www.pbl.nl/sites/default/files/downloads/pbl-2021-decarbonisation-options-for-the-dutch-polyolefins-industry_4236.pdf).
Note that although pyrolysis oils is an intermediate in the process of waste polymer --&gt; pyrolysis oils --&gt; ethylene, we label it here a raw material so that its scope 1 emissions can also be taken into account. Scope 1 emissions for waste polymer is in its conversion process to pyrolysis oils only, not through to ethylene.</t>
  </si>
  <si>
    <t>This value is taken directly from the Reshaping Plastics (2022) model, in the sheet 'dynamic input and output', row 811 for electricity use for 'pyrolysis' in kWh/t ethylene.</t>
  </si>
  <si>
    <t>This value also includes electricity necessary for the hydrotreater. The electricity use is used for the process 'pyrolysis oil --&gt; steam cracking --&gt; monomer'.</t>
  </si>
  <si>
    <t>Sum of electricity use for pyrolysis unit (making the pyrolysis oil from waste polymers) and ethylene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ethylene gas and 19% for propylene gas. The pyrolysis of HDPE in a fluidized bed reactor has also been proven successful, obtaining a max yield of 42% for ethylene gas". They also mention that 1.482 GJ of heat is required per ton of plastic waste which (when converted to per ton of ethylene) also results in approximately the same value.</t>
  </si>
  <si>
    <t>Conventional value multiplied by the efficiency increase of a catalytic cracker opposed to a conventional cracker.</t>
  </si>
  <si>
    <t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
This value is multiplied by 0.85, to account for the 15% Energysavings.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Energysaving is used leading to 0.85* the value for conventional naphtha steam cracking.) [to be verified with Mike if this assumption is correct] </t>
  </si>
  <si>
    <t xml:space="preserve">Same value as conventional catalytic steam cracker. </t>
  </si>
  <si>
    <t>electricity use of both the steam cracker and CCS unit.</t>
  </si>
  <si>
    <t xml:space="preserve">Value taken from Naphtha H2 catalytic steam cracking business case.  </t>
  </si>
  <si>
    <t>Table 1 in Jasper paper (https://www.mdpi.com/2227-9717/3/3/684), where 1560 kt/annum methanol gives 386 kt/annum propylene and 214 kt/annum ethylene. 1560 tonnes * (214/(214+386)) proportion of total product = 556 tonnes methanol went to ethylene. 556/214 = 2.6 t methanol/t ethylene.
NOTE: cdid not take number from Peter Levi ("We use an input requirement of 2.83 tonnes of methanol per tonne of HVCs (just C2/C3 in the yield profile, with the ratio being close to 1:1), so that 32 Mt MeOH for 14 Mt HVCs would be more like 39 Mt") because that's for mixed HVCs and is therefore too high for ethylene only</t>
  </si>
  <si>
    <t>MTO process require 5 GJ/ton of HVC, half of HVC is ethylene. We are going the mixed olefin route again for accounting for electricity.</t>
  </si>
  <si>
    <t>Same as MTO - Black</t>
  </si>
  <si>
    <t xml:space="preserve">Assumed same amount of ethane feedstock needed as conventional ethane cracking.
"The ethane fraction is cracked to produce ethylene (80 % selectivity or 56.4 % yield) along with coproducts (hydrogen, methane, propane, butane, propylene, acetylene, propadiene, vinylacetylene, propyne and butadiene)". Process includes cracking, compression and recovery. </t>
  </si>
  <si>
    <t>Assumed same as Ethane steam cracker business case. "The fuel requirements for steam cracking of ethane are 13.7 MJ/kg of ethylene, equal to 13.7 GJ/t ethylene. Steam necessary for the production of ethylene is already added into this process step."</t>
  </si>
  <si>
    <t xml:space="preserve">Assumed same as Ethane steam cracker business case. "The power requirements for steam cracking of ethane are 0.2 MJ/kg of ethylene", this is equal to 0.2 GJ/ T of ethylene. </t>
  </si>
  <si>
    <t>CCS on steam cracker. Assumed same as electricity need of Naphtha steam cracking + CCS.</t>
  </si>
  <si>
    <t>Sum of electricity use for the steam cracker and CCS unit.</t>
  </si>
  <si>
    <t>Assumed same value as a conventional ethane steam cracker.</t>
  </si>
  <si>
    <t>Mike Muskett: assume same as naphtha electric steam cracker, but factorised to take into account that 33% of product slate in naphtha cracking is ethylene compared to 90% of product slate in ethane cracking being ethylene.</t>
  </si>
  <si>
    <t>Mike Muskett: assume same fuel requirements as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</si>
  <si>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</si>
  <si>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</si>
  <si>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Same as pyrolysis oil steam cracking business case but 7% reduction in cracker feed due to by-product upgrade (same factor as naphtha steam cracking --&gt; naphtha steam cracking + by-product upgrade)</t>
  </si>
  <si>
    <t>Same as naphtha steam cracking + by-product upgrade business case</t>
  </si>
  <si>
    <t>Same as pyrolysis oil steam cracking business case</t>
  </si>
  <si>
    <t>Same as naphtha steam cracking + CCS + by-product upgrade business case</t>
  </si>
  <si>
    <t>Same as bio-oils steam cracking</t>
  </si>
  <si>
    <t>Same as pyrolysis oils steam cracking + by-product upgrade business case</t>
  </si>
  <si>
    <t>Same as pyrolysis oil steam cracking business case but with reductions from by-product upgrading (and H2 fuel?)</t>
  </si>
  <si>
    <t>Same as Pyrolysis H2 + by product upgrade BC</t>
  </si>
  <si>
    <t>Same as pyrolysis electric + by product upgrade BC</t>
  </si>
  <si>
    <t>Assumption &amp; expert conversation</t>
  </si>
  <si>
    <t>1.74 t ethanol/t ethylene provided by PBL source. Assuming variable OPEX does not consist of electricity as the process produces excess electricity that it sells back to the grid, and assuming variable OPEX is 75 USD/t ethylene (see note for fixed O&amp;M above), then price of bioethanol is roughly 75/1.74 = 43 USD/t bioethanol --&gt; this is inputed in Prices tab</t>
  </si>
  <si>
    <t>ethanol</t>
  </si>
  <si>
    <t>butadiene</t>
  </si>
  <si>
    <t>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t>
  </si>
  <si>
    <t>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t>
  </si>
  <si>
    <t>Mike Muskett: if you have 100 ktepa of plastic, then you get about 80 ktepa of pyrolysis oil, which makes about 25 ktepa of propylene (12 ktepa of propylene). This is why the input of pyrolysis oil is divided by 0.8 to get the input of waste polymers.</t>
  </si>
  <si>
    <t>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t>
  </si>
  <si>
    <t xml:space="preserve">This value is taken directly from the Reshaping Plastics (2022) model, in the sheet 'dynamic input and output', row 811 for electricity use for 'pyrolysis' in kWh/t propylene. </t>
  </si>
  <si>
    <t>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t>
  </si>
  <si>
    <t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t>
  </si>
  <si>
    <t>Note this is also in line with Table 1 in Jasper paper (https://www.mdpi.com/2227-9717/3/3/684), where 1560 kt/annum methanol gives 386 kt/annum propylene and 214 kt/annum ethylene. 1560 tonnes * (386/(214+386)) proportion of total product = 1004 tonnes methanol went to propylene. 1004/386 = 2.6 t methanol/t ethylene.</t>
  </si>
  <si>
    <t>MTO process require 5 GJ/ton of HVC, half of HVC is propylene. We are going the mixed olefin route again for accounting for electricity.</t>
  </si>
  <si>
    <t>Value given directly in Table 2 of Paper. Verified by 1.18 tons/ton propylene on pg 6 of paper on PDH in Saudi Arabia: https://core.ac.uk/download/pdf/235050644.pdf</t>
  </si>
  <si>
    <t>Value given directly in Table 2 of Paper. This is noted as a waste stream.</t>
  </si>
  <si>
    <t>Value given directly in Table 2 of Paper. This is noted as a byproduct.</t>
  </si>
  <si>
    <t>Value given directly in Table 2 of Paper.</t>
  </si>
  <si>
    <t>Mike verifies he thinks it's around 3.05 t methanol/t propylene plus a little more.</t>
  </si>
  <si>
    <t>Value given directly in Table 2 of Paper. Negative electricity consumption because "electricity generation outweighs consumption in the process" due to Rankine cycle. Mike would challenge the negativity but still thinks it's very small electricity usage, so putting 0 down.</t>
  </si>
  <si>
    <t>[Martinez] Metakaolin limestone cement</t>
  </si>
  <si>
    <t>[a] Metakaolin limestone cement</t>
  </si>
  <si>
    <t>metakaolin</t>
  </si>
  <si>
    <t>range: 0.054-0.086 GJ/tonne</t>
  </si>
  <si>
    <t>[LBNL] Kraft IPP + Heat pump</t>
  </si>
  <si>
    <t>[LBNL] Kraft IPP</t>
  </si>
  <si>
    <t>[IMAGE] Top Gas Recycling Blast Furnace BAT + Basic oxygen Furnace w/ CO2 capture</t>
  </si>
  <si>
    <t>7206</t>
  </si>
  <si>
    <t>[IMAGE] TGRBF BAT/BOF+CCS</t>
  </si>
  <si>
    <t>57 USD/tonne utilities cost, assume averaged global electricity price of 17.5 USD/GJ</t>
  </si>
  <si>
    <t>[IMAGE] Top Gas Recycling Blast Furnace BAT + Basic oxygen Furnace</t>
  </si>
  <si>
    <t>[IMAGE] TGRBF BAT/BOF</t>
  </si>
  <si>
    <t>[IMAGE] Top Gas Recycling Blast Furnace + Basic oxygen Furnace</t>
  </si>
  <si>
    <t>[IMAGE] TGRBF/BOF</t>
  </si>
  <si>
    <t>[IMAGE] Standard Electric Arc Furnace - Scrap</t>
  </si>
  <si>
    <t>[IMAGE] EAF-scrap</t>
  </si>
  <si>
    <t>[IMAGE] Standard dry feed rotary kiln</t>
  </si>
  <si>
    <t>[IMAGE] DRY</t>
  </si>
  <si>
    <t>[IMAGE] Smelting reduction + Basic oxygen Furnace w/ CO2 capture</t>
  </si>
  <si>
    <t>[IMAGE] SR/BOF+CCS</t>
  </si>
  <si>
    <t>[IMAGE] Smelting reduction + Basic oxygen Furnace</t>
  </si>
  <si>
    <t>[IMAGE] SR/BOF</t>
  </si>
  <si>
    <t>[IMAGE] PCW-Naphtha-HVC</t>
  </si>
  <si>
    <t>HVC</t>
  </si>
  <si>
    <t>[IMAGE]PCW-Naphtha-HVC</t>
  </si>
  <si>
    <t>[IMAGE] Oil-Naphtha-HVC</t>
  </si>
  <si>
    <t>[IMAGE]Oil-Naphtha-HVC</t>
  </si>
  <si>
    <t>[IMAGE] Natural gas-Ethane-HVC</t>
  </si>
  <si>
    <t>[IMAGE]Natural gas-Ethane-HVC</t>
  </si>
  <si>
    <t>[IMAGE] Modernized Blast Furnace + Basic oxygen Furnace</t>
  </si>
  <si>
    <t>[IMAGE] Eff. BF/BOF</t>
  </si>
  <si>
    <t>[IMAGE] Hydrogen Direct Reduced Iron + Electric Arc Furnace</t>
  </si>
  <si>
    <t>[IMAGE] H-DR/EAF</t>
  </si>
  <si>
    <t>[IMAGE] Electrowinning + Electric Arc Furnace</t>
  </si>
  <si>
    <t>[IMAGE] Electrowinning/EAF</t>
  </si>
  <si>
    <t>[IMAGE] Electrowinning</t>
  </si>
  <si>
    <t>[IMAGE] Efficient dry feed rotary kiln + oxy-combustion CCS</t>
  </si>
  <si>
    <t>[IMAGE] EFD+CCS2</t>
  </si>
  <si>
    <t>[IMAGE] Efficient dry feed rotary kiln + on-site CCS</t>
  </si>
  <si>
    <t>[IMAGE] EFD+CCS1</t>
  </si>
  <si>
    <t>[IMAGE] Efficient dry feed rotary kiln</t>
  </si>
  <si>
    <t>[IMAGE] EFD</t>
  </si>
  <si>
    <t>[IMAGE] Direct Reduced Iron + Electric Arc Furnace w/ CO2 capture</t>
  </si>
  <si>
    <t>[IMAGE] DRI/EAF+CCS</t>
  </si>
  <si>
    <t>[IMAGE] Direct Reduced Iron + Electric Arc Furnace</t>
  </si>
  <si>
    <t>[IMAGE] DRI/EAF</t>
  </si>
  <si>
    <t>[IMAGE] Coal-Naphtha-HVC</t>
  </si>
  <si>
    <t>[IMAGE]Coal-Naphtha-HVC</t>
  </si>
  <si>
    <t>[IMAGE] Coal-Methanol-HVC</t>
  </si>
  <si>
    <t>[IMAGE]Coal-Methanol-HVC</t>
  </si>
  <si>
    <t>[IMAGE] CO2-methanol</t>
  </si>
  <si>
    <t>[IMAGE]CO2-methanol</t>
  </si>
  <si>
    <t>[IMAGE] BSF-Naphtha-HVC</t>
  </si>
  <si>
    <t>[IMAGE]BSF-Naphtha-HVC</t>
  </si>
  <si>
    <t>[IMAGE] Blast Furnace + Basic oxygen Furnace w/ CO2 capture</t>
  </si>
  <si>
    <t>[IMAGE] BF/BOF+CCS</t>
  </si>
  <si>
    <t>[IMAGE] Blast Furnace + Basic oxygen Furnace</t>
  </si>
  <si>
    <t>[IMAGE] BF/BOF</t>
  </si>
  <si>
    <t>[IMAGE] Black liquor-methanol</t>
  </si>
  <si>
    <t>[IMAGE]Black liquor-methanol</t>
  </si>
  <si>
    <t>[TIMES] Cement Production</t>
  </si>
  <si>
    <t>TIMES [ICM-CMT]</t>
  </si>
  <si>
    <t xml:space="preserve">The total mass balance of finish process is 1 t material per t of cement. This means that if 0.1 t of blast furnace slag is consumed the clinker consumption is only 0.9 t. According to cemberau stats the current incorporation of clinker in Portand cement is 73.7% (https://lowcarboneconomy.cembureau.eu/5-parallel-routes/resource-efficiency/clinker-substitution/#:~:text=Ordinary%20Portland%20cement%20can%20contain%20up%20to%2095%25,cement%20types%20in%20the%20EU27%20is%2073.7%25%201.) </t>
  </si>
  <si>
    <t>Blast furnace slag</t>
  </si>
  <si>
    <t>this input varies according to the country and improves over time</t>
  </si>
  <si>
    <t>TIMES [ICM-CLK/WP]</t>
  </si>
  <si>
    <t>[TIMES] Clinker Production - Wet Process</t>
  </si>
  <si>
    <t>[TIMES] Clinker Production - Dry Process</t>
  </si>
  <si>
    <t>TIMES [ICM-CLK/DP]</t>
  </si>
  <si>
    <t>[TIMES] Clinker Production - Dry Process with CCS</t>
  </si>
  <si>
    <t>TIMES [ICM-CLK/DP + CCS]</t>
  </si>
  <si>
    <t>[ecoinvent] Processing of anode slime from secondary copper</t>
  </si>
  <si>
    <t>[PU] Anode_Slime_processing_EI</t>
  </si>
  <si>
    <t>palladium</t>
  </si>
  <si>
    <t>electricity, high voltage</t>
  </si>
  <si>
    <t>heat, district or industrial, other than natural gas</t>
  </si>
  <si>
    <t>oxygen, liquid</t>
  </si>
  <si>
    <t>cadmium II</t>
  </si>
  <si>
    <t>copper ion</t>
  </si>
  <si>
    <t>dioxins, measured as 2,3,7,8-tetrachlorodibenzo-p-dioxin</t>
  </si>
  <si>
    <t>fluorine</t>
  </si>
  <si>
    <t>lead II</t>
  </si>
  <si>
    <t>mercury II</t>
  </si>
  <si>
    <t>particulate matter, &lt; 2.5 um</t>
  </si>
  <si>
    <t>particulate matter, &gt; 10 um</t>
  </si>
  <si>
    <t>particulate matter, &gt; 2.5 um and &lt; 10um</t>
  </si>
  <si>
    <t>Sulfur dioxide</t>
  </si>
  <si>
    <t>zinc II</t>
  </si>
  <si>
    <t>[ecoinvent] Processing of anode slime from electrorefining of primary copper</t>
  </si>
  <si>
    <t>Extraction of metals from anode slime 1kg</t>
  </si>
  <si>
    <t>[PU] Anode_Slime_processing_primary_copper_EI</t>
  </si>
  <si>
    <t>Gold</t>
  </si>
  <si>
    <t>Selenium</t>
  </si>
  <si>
    <t>Silver</t>
  </si>
  <si>
    <t>Copper slag</t>
  </si>
  <si>
    <t>oxygen liquid</t>
  </si>
  <si>
    <t>Anode slime</t>
  </si>
  <si>
    <t>Chlorine</t>
  </si>
  <si>
    <t>Copper ion</t>
  </si>
  <si>
    <t>Dioxins, measured as 2,3,7,8-tetrachlorodibenzo-p-dioxin</t>
  </si>
  <si>
    <t>Fluorine</t>
  </si>
  <si>
    <t>Lead II</t>
  </si>
  <si>
    <t>Mercury II</t>
  </si>
  <si>
    <t>Nitrogen oxides</t>
  </si>
  <si>
    <t>Particulate Matter, &lt; 2.5 um</t>
  </si>
  <si>
    <t>Particulate Matter, &gt; 10 um</t>
  </si>
  <si>
    <t>Particulate Matter, &gt; 2.5 um and &lt; 10um</t>
  </si>
  <si>
    <t>Zinc II</t>
  </si>
  <si>
    <t>[COFFEE] Smelting Reduction+CCS</t>
  </si>
  <si>
    <t>non-coking coal</t>
  </si>
  <si>
    <t>[COFFEE] Smelting Reduction</t>
  </si>
  <si>
    <t>[COFFEE] Scrap EAF</t>
  </si>
  <si>
    <t>steel, secondary</t>
  </si>
  <si>
    <t>[COFFEE] HDRI</t>
  </si>
  <si>
    <t>[COFFEE] EAF</t>
  </si>
  <si>
    <t>[COFFEE] DRI+CCS</t>
  </si>
  <si>
    <t>[COFFEE] DRI</t>
  </si>
  <si>
    <t>[COFFEE] Charcoal BF-BOF+CCS</t>
  </si>
  <si>
    <t>[COFFEE] Charcoal BF-BOF</t>
  </si>
  <si>
    <t>[COFFEE] BF-BOF+CCS</t>
  </si>
  <si>
    <t>coking coal</t>
  </si>
  <si>
    <t>[COFFEE] BF-BOF BAT</t>
  </si>
  <si>
    <t>[COFFEE] BF-BOF</t>
  </si>
  <si>
    <t>[Becci] Secondary copper production, hydrometallurgy, from low grade scrap</t>
  </si>
  <si>
    <t>copper cathode</t>
  </si>
  <si>
    <t>[PU] Sec_Copper_Hydro</t>
  </si>
  <si>
    <t>sulphuric acid</t>
  </si>
  <si>
    <t>hydrogen peroxide, 50% v/v</t>
  </si>
  <si>
    <t>low grade scrap from shredded PCBs</t>
  </si>
  <si>
    <t>[Becci] Secondary copper production via biometallurgy, from low grade scrap</t>
  </si>
  <si>
    <t>[PU] Sec_Copper_Biometallurgy</t>
  </si>
  <si>
    <t>ferrous sulphate</t>
  </si>
  <si>
    <t>micronutrients</t>
  </si>
  <si>
    <t>Zinc</t>
  </si>
  <si>
    <t>[Agora] Natural gas direct reduction</t>
  </si>
  <si>
    <t>[Agora]DRI-EAF</t>
  </si>
  <si>
    <t>[Agora] Iron electrolysis and smelting in electric arc furnaces</t>
  </si>
  <si>
    <t>[Agora] Integrated blast-furnace route</t>
  </si>
  <si>
    <t>[Agora]BF-BOF</t>
  </si>
  <si>
    <t>[Agora] HIsarna® with CCS</t>
  </si>
  <si>
    <t>[Agora] Electric arc furnace route</t>
  </si>
  <si>
    <t>[Agora]Scrap-EAF</t>
  </si>
  <si>
    <t>[Agora] Direct reduction with H2</t>
  </si>
  <si>
    <t>[Agora]H2DRI-EAF</t>
  </si>
  <si>
    <t>[Agora] CCU of smelting gases from the blast-furnace route</t>
  </si>
  <si>
    <t>[a] vinyl chloride production</t>
  </si>
  <si>
    <t>vinyl chloride</t>
  </si>
  <si>
    <t>Production process inventories for naphta, vinyl chloride, PVC, PP, PE.</t>
  </si>
  <si>
    <t>CH4</t>
  </si>
  <si>
    <t>ethylene dichloride</t>
  </si>
  <si>
    <t>nitrogen, liquid</t>
  </si>
  <si>
    <t>[a] Secondary copper production, from medium grade scrap</t>
  </si>
  <si>
    <t>copper, anode</t>
  </si>
  <si>
    <t>[PU] Sec_Copper_Med_Grade</t>
  </si>
  <si>
    <t>copper scrap, medium grade</t>
  </si>
  <si>
    <t>industrial oxygen</t>
  </si>
  <si>
    <t>silca flux</t>
  </si>
  <si>
    <t>scrap</t>
  </si>
  <si>
    <t>sulfur dioxide</t>
  </si>
  <si>
    <t>[a] Secondary copper production, from low grade scrap</t>
  </si>
  <si>
    <t>[PU] Sec_Copper_Low_Grade</t>
  </si>
  <si>
    <t>copper scrap, low grade</t>
  </si>
  <si>
    <t>from Table Tabelle 3.2.5.C in the main reference of this data process</t>
  </si>
  <si>
    <t>[a] Secondary copper production, from high grade scrap</t>
  </si>
  <si>
    <t>[PU] Sec_Copper_High_Grade</t>
  </si>
  <si>
    <t>copper scrap, high grade</t>
  </si>
  <si>
    <t>diesel, burned in building machine</t>
  </si>
  <si>
    <t>electrolyte, copper-rich</t>
  </si>
  <si>
    <t>copper-rich materials</t>
  </si>
  <si>
    <t>heat, waste</t>
  </si>
  <si>
    <t>scrap waste</t>
  </si>
  <si>
    <t>[a] Secondary copper production, chemical treatment, from low grade scrap</t>
  </si>
  <si>
    <t>[PU] Sec_Copper_Chem</t>
  </si>
  <si>
    <t>from values on https://en.wikipedia.org/wiki/Energy_content_of_biofuel</t>
  </si>
  <si>
    <t>from Table Tabelle 3.2.6.C in the main reference of this data process</t>
  </si>
  <si>
    <t>[a] polyvinylchloride production</t>
  </si>
  <si>
    <t>polyvinylchloride</t>
  </si>
  <si>
    <t>[a] polypropylene production</t>
  </si>
  <si>
    <t>polypropylene</t>
  </si>
  <si>
    <t>from Table Tabelle 3.2.9.C in the main reference of this data process</t>
  </si>
  <si>
    <t>[a] polyethylene production</t>
  </si>
  <si>
    <t>polyethylene</t>
  </si>
  <si>
    <t>[a] naphta production</t>
  </si>
  <si>
    <t>petroleum</t>
  </si>
  <si>
    <t>from Table Tabelle 3.2.10.C in the main reference of this data process</t>
  </si>
  <si>
    <t>[a] Electrorefining of copper anode</t>
  </si>
  <si>
    <t>[PU] Pyro_ElecRef_Copper</t>
  </si>
  <si>
    <t>[a] Copper cathode production, Hydrometallurgy (leaching, SX, EW)</t>
  </si>
  <si>
    <t>[PU] Hydro_Copper</t>
  </si>
  <si>
    <t>electricity, leaching process</t>
  </si>
  <si>
    <t>electricity, SX process</t>
  </si>
  <si>
    <t>electricity, EW process</t>
  </si>
  <si>
    <t>oxide ore</t>
  </si>
  <si>
    <t>from Table Tabelle 3.2.12.C in the main reference of this data process</t>
  </si>
  <si>
    <t>[a] Copper anode production, Pyrometallurgy (Hydrogen Reduction)</t>
  </si>
  <si>
    <t>[PU] Pyro_Copper_Hydrogen</t>
  </si>
  <si>
    <t>copper concentrate, sulfide ore</t>
  </si>
  <si>
    <t>oleum</t>
  </si>
  <si>
    <t>[a] Copper anode production (Flash smelting and converting)</t>
  </si>
  <si>
    <t>[PU] Pyro_Flash_Copper</t>
  </si>
  <si>
    <t>from Table Tabelle 3.2.15.C in the main reference of this data process</t>
  </si>
  <si>
    <t>[a] Copper anode production (Continuous smelting and converting)</t>
  </si>
  <si>
    <t>[PU] Pyro_Cont_Copper</t>
  </si>
  <si>
    <t xml:space="preserve">copper concentrate, sulfide ore </t>
  </si>
  <si>
    <t>from Table Tabelle 3.2.16.C in the main reference of this data process</t>
  </si>
  <si>
    <t>[a] Copper anode production (Bath smelting and converting)</t>
  </si>
  <si>
    <t>[PU] Pyro_Bath_Copper</t>
  </si>
  <si>
    <t>from Table Tabelle 3.2.17.C in the main reference of this data process</t>
  </si>
  <si>
    <t>[a] Calcined clay, rotary kiln</t>
  </si>
  <si>
    <t>kaolinite, dry</t>
  </si>
  <si>
    <t>values found in literature (usually no information given about water content of clay): 3.1 GJ/tonne (Cancio Díaz et al. 2017); 3.2 GJ/tonne (Sánchez Berriel et al. 2016); 4.4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t>
  </si>
  <si>
    <t>[a] Calcined clay, flash calciner</t>
  </si>
  <si>
    <t>from Table Tabelle 3.2.1.C in the main reference of this data process</t>
  </si>
  <si>
    <t>values found in literature (usually no information given about water content of clay): 2.7 GJ/tonne (Cancio Díaz et al. 2017); 2.8 GJ/tonne (Sánchez Berriel et al. 2016); 3.7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t>
  </si>
  <si>
    <t>[a] Beneficiation, sulfide ore (Crushing, grinding, flotation)</t>
  </si>
  <si>
    <t>[PU] Sulf_Ore_Conc</t>
  </si>
  <si>
    <t>sulphide ore</t>
  </si>
  <si>
    <t>steel</t>
  </si>
  <si>
    <t>from Table Tabelle 3.2.2.C in the main reference of this data process</t>
  </si>
  <si>
    <t>other chemicals</t>
  </si>
  <si>
    <t>tailings</t>
  </si>
  <si>
    <t>from Table Tabelle 3.2.3.C in the main reference of this data process</t>
  </si>
  <si>
    <t>*Primary steel routes, 12% scrap assumed in each case</t>
  </si>
  <si>
    <t>**Secondary steel route, &gt; 95 % scrap use</t>
  </si>
  <si>
    <t>*Primary steel routes, 12% scrap assumed in each case.Natural gas and electricity reported as 13GJ combined.</t>
  </si>
  <si>
    <t>specific energy use information missing</t>
  </si>
  <si>
    <t>CCU approaches should be considered holistically. Since CCU in the steel sector consumes high levels of electricity and the CO₂ capture rate is limited (50 to 78 per cent max.)</t>
  </si>
  <si>
    <t>or 0.64, provided that CO2 reduction in the chemical sector (MTO route) is completely credited to steelmakers</t>
  </si>
  <si>
    <t>material yield 0,52 t/t</t>
  </si>
  <si>
    <t>material yield 0,94 t/t</t>
  </si>
  <si>
    <t>input is an average of 0,8 (minimum contribution) and 1,6 (total input)</t>
  </si>
  <si>
    <t>The source qualitatively reports a fuel mix dominated by coal. The dominant share of coal is assumed to be 65%. A technology variant uses gas as input</t>
  </si>
  <si>
    <t>Fuel mix that can include fuel oil, petroleum coke, recycled plastic and tyres, biomass and biofuels</t>
  </si>
  <si>
    <t>capture efficiency 0,9</t>
  </si>
  <si>
    <t>CO2 capture 0.762 t/t clinker</t>
  </si>
  <si>
    <t>crude aluminium</t>
  </si>
  <si>
    <t>material yield 0,87 t/t</t>
  </si>
  <si>
    <t>Uncertainty only for natural gas consumption. Other fuels have diferent uncertainty values</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</si>
  <si>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</si>
  <si>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</si>
  <si>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</si>
  <si>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</si>
  <si>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</si>
  <si>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</si>
  <si>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</si>
  <si>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</si>
  <si>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</si>
  <si>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</si>
  <si>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Qualitative evaluation of the data</t>
  </si>
  <si>
    <t>Standard dry feed rotary kiln</t>
  </si>
  <si>
    <t>Part of 23.51 (Manufacture of cement)</t>
  </si>
  <si>
    <t>zotin</t>
  </si>
  <si>
    <t xml:space="preserve">Input data used in the IMAGE model, see also van Ruijven et al. (2016) and van Sluisveld et al. (2021). </t>
  </si>
  <si>
    <t>2,3,4,5</t>
  </si>
  <si>
    <t>Efficient dry feed rotary kiln</t>
  </si>
  <si>
    <t>Efficient dry feed rotary kiln + on-site CCS</t>
  </si>
  <si>
    <t>Efficient dry feed rotary kiln + oxy-combustion CCS</t>
  </si>
  <si>
    <t>Blast Furnace + Basic Oxygen Furnace</t>
  </si>
  <si>
    <t>Part of 24.1 (Manufacture of basic iron and steel and of ferro-alloys)</t>
  </si>
  <si>
    <t>Direct Reduced Iron + Electric Arc Furnace</t>
  </si>
  <si>
    <t>Standard Electric Arc Furnace - Scrap</t>
  </si>
  <si>
    <t>Modernized Blast Furnace + Basic Oxygen Furnace</t>
  </si>
  <si>
    <t>Blast Furnace + Basic Oxygen Furnace w/ CO2 capture</t>
  </si>
  <si>
    <t>Smelting reduction + Basic Oxygen Furnace</t>
  </si>
  <si>
    <t>Smelting reduction + Basic Oxygen Furnace w/ CO2 capture</t>
  </si>
  <si>
    <t>Top Gas Recycling Blast Furnace + Basic Oxygen Furnace</t>
  </si>
  <si>
    <t>Top Gas Recycling Blast Furnace BAT + Basic Oxygen Furnace</t>
  </si>
  <si>
    <t>Top Gas Recycling Blast Furnace BAT + Basic Oxygen Furnace w/ CO2 capture</t>
  </si>
  <si>
    <t>Hydrogen Direct Reduced Iron + Electric Arc Furnace</t>
  </si>
  <si>
    <t>Electrowinning + Electric Arc Furnace</t>
  </si>
  <si>
    <t>BF/BOF</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</si>
  <si>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</si>
  <si>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</si>
  <si>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</si>
  <si>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</si>
  <si>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</si>
  <si>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</si>
  <si>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</si>
  <si>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</si>
  <si>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</si>
  <si>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</si>
  <si>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</si>
  <si>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</si>
  <si>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</si>
  <si>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</si>
  <si>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</si>
  <si>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</si>
  <si>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</si>
  <si>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</si>
  <si>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</si>
  <si>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</si>
  <si>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</si>
  <si>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</si>
  <si>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</si>
  <si>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IMAGE [BF/BOF]</t>
  </si>
  <si>
    <t>IMAGE [DRI/EAF]</t>
  </si>
  <si>
    <t>IMAGE [EAF-scrap]</t>
  </si>
  <si>
    <t>IMAGE [Eff. BF/BOF]</t>
  </si>
  <si>
    <t>IMAGE [BF/BOF+CCS]</t>
  </si>
  <si>
    <t>IMAGE [SR/BOF]</t>
  </si>
  <si>
    <t>IMAGE [SR/BOF+CCS]</t>
  </si>
  <si>
    <t>IMAGE [DRI/EAF+CCS]</t>
  </si>
  <si>
    <t>IMAGE [TGRBF/BOF]</t>
  </si>
  <si>
    <t>IMAGE [TGRBF BAT/BOF]</t>
  </si>
  <si>
    <t>IMAGE [TGRBF BAT/BOF+CCS]</t>
  </si>
  <si>
    <t>IMAGE [H-DR/EAF]</t>
  </si>
  <si>
    <t>IMAGE [Electrowinning/EAF]</t>
  </si>
  <si>
    <t>Pellet plant</t>
  </si>
  <si>
    <t>younis</t>
  </si>
  <si>
    <t>Input data used in the TIMES model (Etech-DB version8).</t>
  </si>
  <si>
    <t>Sinter plant</t>
  </si>
  <si>
    <t>Sinter plant, bioenergy</t>
  </si>
  <si>
    <t>Blast Furnace Charcoal or equivalent</t>
  </si>
  <si>
    <t>Input data used in the TIMES model.</t>
  </si>
  <si>
    <t>Blast Furnace direct coal injection</t>
  </si>
  <si>
    <t>Blast Furnace with CCS</t>
  </si>
  <si>
    <t>Blast Furnace top gas recirculation</t>
  </si>
  <si>
    <t>Blast Furnace top gas recirculation with CCS</t>
  </si>
  <si>
    <t>Iron Cyclone Converter Furnace</t>
  </si>
  <si>
    <t>Iron COREX</t>
  </si>
  <si>
    <t>COREX with CCS</t>
  </si>
  <si>
    <t>Cast Iron Cupola</t>
  </si>
  <si>
    <t>Sponge iron for Direct Reduction</t>
  </si>
  <si>
    <t>Sponge iron for Direct Reduction with CCS</t>
  </si>
  <si>
    <t>Electric Arc Furnace [for DRI]</t>
  </si>
  <si>
    <t>Hydrogen Direct Reduced Iron</t>
  </si>
  <si>
    <t>Input data used in the TIMES model (Belgian R&amp;D department Arcelor Mittal).</t>
  </si>
  <si>
    <t>Electric Arc Furnace [scrap input]</t>
  </si>
  <si>
    <t>Ferroalloys</t>
  </si>
  <si>
    <t>Input data used in the TIMES model (VTT).</t>
  </si>
  <si>
    <t>Steel finishing</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</si>
  <si>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</si>
  <si>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</si>
  <si>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</si>
  <si>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</si>
  <si>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</si>
  <si>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</si>
  <si>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</si>
  <si>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</si>
  <si>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</si>
  <si>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</si>
  <si>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</si>
  <si>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</si>
  <si>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</si>
  <si>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</si>
  <si>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</si>
  <si>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</si>
  <si>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</si>
  <si>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</si>
  <si>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</si>
  <si>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</si>
  <si>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</si>
  <si>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</si>
  <si>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</si>
  <si>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</si>
  <si>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[Open-IDTD] Standard dry feed rotary kiln</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</si>
  <si>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</si>
  <si>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</si>
  <si>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</si>
  <si>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</si>
  <si>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</si>
  <si>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</si>
  <si>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</si>
  <si>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</si>
  <si>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</si>
  <si>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</si>
  <si>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</si>
  <si>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</si>
  <si>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</si>
  <si>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</si>
  <si>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</si>
  <si>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</si>
  <si>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</si>
  <si>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</si>
  <si>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</si>
  <si>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</si>
  <si>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</si>
  <si>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</si>
  <si>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</si>
  <si>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</si>
  <si>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</si>
  <si>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</si>
  <si>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</si>
  <si>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</si>
  <si>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</si>
  <si>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</si>
  <si>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</si>
  <si>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</si>
  <si>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</si>
  <si>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</si>
  <si>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</si>
  <si>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</si>
  <si>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</si>
  <si>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</si>
  <si>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</si>
  <si>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</si>
  <si>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</si>
  <si>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</si>
  <si>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</si>
  <si>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[Open-IDTD] Mercury cell</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</si>
  <si>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</si>
  <si>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</si>
  <si>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</si>
  <si>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[Open-IDTD] Diaphragm cell</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</si>
  <si>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</si>
  <si>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[Open-IDTD] Membrane cell</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</si>
  <si>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</si>
  <si>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[Open-IDTD] Mechanical</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</si>
  <si>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</si>
  <si>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</si>
  <si>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</si>
  <si>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[Open-IDTD] Semi-chemical</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</si>
  <si>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</si>
  <si>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</si>
  <si>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[Open-IDTD] Recycled fiber</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</si>
  <si>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</si>
  <si>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</si>
  <si>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[Open-IDTD] Kraft</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</si>
  <si>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</si>
  <si>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</si>
  <si>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[Open-IDTD] Sulphite</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</si>
  <si>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</si>
  <si>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</si>
  <si>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</si>
  <si>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</si>
  <si>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fortes</t>
  </si>
  <si>
    <t>Input data used in the JRC-EU-TIMES model</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</si>
  <si>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</si>
  <si>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</si>
  <si>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</si>
  <si>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Pellet plant no coke</t>
  </si>
  <si>
    <t>Coke plant</t>
  </si>
  <si>
    <t>Part of 19.1 (Manufacture of coke oven products)</t>
  </si>
  <si>
    <t>Blast furnace</t>
  </si>
  <si>
    <t>Basic oxygen furnace</t>
  </si>
  <si>
    <t>CHP Tata</t>
  </si>
  <si>
    <t>Part of 35.11 (Production of electricity)</t>
  </si>
  <si>
    <t>CCGT Velsen 24</t>
  </si>
  <si>
    <t>CCGT Velsen 25</t>
  </si>
  <si>
    <t>CHP IJmond</t>
  </si>
  <si>
    <t>Other steel-related activities</t>
  </si>
  <si>
    <t>Part of 24.99 (Manufacture of other first-processingproductsof steel)</t>
  </si>
  <si>
    <t>TGR-blast furnace + CCS</t>
  </si>
  <si>
    <t>Coke plant for TGR+CCS</t>
  </si>
  <si>
    <t>Other steel-related activities for TGR+CCS</t>
  </si>
  <si>
    <t>Other steel-related activities on natural gas</t>
  </si>
  <si>
    <t>CHP for BOFG</t>
  </si>
  <si>
    <t>HIsarna reactor with carbon capture</t>
  </si>
  <si>
    <t>ULCORED reactor with carbon capture</t>
  </si>
  <si>
    <t>EAF for DRI</t>
  </si>
  <si>
    <t>Water electrolyser</t>
  </si>
  <si>
    <t>H-DR reactor</t>
  </si>
  <si>
    <t>ULCOWIN</t>
  </si>
  <si>
    <t>EAF (iron plate-based)</t>
  </si>
  <si>
    <t>ULCOLYSIS cell</t>
  </si>
  <si>
    <t>Hall-Heroult process</t>
  </si>
  <si>
    <t>Casting of liquid primary aluminium</t>
  </si>
  <si>
    <t>Inert anodes (primary aluminium producers)</t>
  </si>
  <si>
    <t>Wetted cathodes</t>
  </si>
  <si>
    <t>Green gas-fired furnaces (casting department primary aluminium producers)</t>
  </si>
  <si>
    <t>Part of 24.42 ( Aluminium production)</t>
  </si>
  <si>
    <t>Production of prebaked carbon anodes</t>
  </si>
  <si>
    <t>Part of 20.13 (Manufacture of other inorganic basicchemicals)</t>
  </si>
  <si>
    <t>Green gas-fired furnaces (anode plants)</t>
  </si>
  <si>
    <t>Recycling and casting of secondary aluminium</t>
  </si>
  <si>
    <t>Part of 24.53 (Casting of light metals)</t>
  </si>
  <si>
    <t>Green gas-fired furnaces (recycling plants)</t>
  </si>
  <si>
    <t>Natural gas dryer for blast furnace slag</t>
  </si>
  <si>
    <t>Cement production: Roller Press + two Ball Mills</t>
  </si>
  <si>
    <t>Heat Pump Dryer for blast furnace slag</t>
  </si>
  <si>
    <t>Hydrogen dryer for blast furnace slag</t>
  </si>
  <si>
    <t>Green gas dryer for blast furnace slag</t>
  </si>
  <si>
    <t>Cement production: Roller Press + two vertical roller Mills</t>
  </si>
  <si>
    <t>Part of ls 23.51 (Manufacture of cement)</t>
  </si>
  <si>
    <t>Cement production: Roller Press + two High-Pressure Rolls</t>
  </si>
  <si>
    <t>High-efficiency classifiers for cement production</t>
  </si>
  <si>
    <t xml:space="preserve">Cement production: Ball Mill + Ball Mill </t>
  </si>
  <si>
    <t>Coal-Methanol-HVC</t>
  </si>
  <si>
    <t>Part of 20.14 (Manufacture of other organic basic chemicals)</t>
  </si>
  <si>
    <t xml:space="preserve">Input data used in the IMAGE model, see also Daioglou et al. (2014) and van Sluisveld et al. (2021). </t>
  </si>
  <si>
    <t>4, 71</t>
  </si>
  <si>
    <t>Coal-Naphtha-HVC</t>
  </si>
  <si>
    <t>Oil-Naphtha-HVC</t>
  </si>
  <si>
    <t>BSF-Naphtha-HVC</t>
  </si>
  <si>
    <t>PCW-Naphtha-HVC</t>
  </si>
  <si>
    <t>Natural gas-Ethane-HVC</t>
  </si>
  <si>
    <t>Black liquor-methanol</t>
  </si>
  <si>
    <t>Based on assumptions of Wuppertal Institute (1.1 keur/ tHVC*a) https://www.reinvent-project.eu/s/D43-Decarbonisation-pathways-for-key-economic-sectors.pdf)</t>
  </si>
  <si>
    <t>CO2-methanol</t>
  </si>
  <si>
    <t>Based on DAC assumptions of Wuppertal Institute  (1.3 keur/ tHVC*a) https://www.reinvent-project.eu/s/D43-Decarbonisation-pathways-for-key-economic-sectors.pdf)</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</si>
  <si>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</si>
  <si>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</si>
  <si>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 (ICARUS-4 Sector study for Non-Ferrous Metals Industry NWS-E-2000-08).</t>
  </si>
  <si>
    <t>Entire C24.4.4 - Copper production</t>
  </si>
  <si>
    <t>Arias</t>
  </si>
  <si>
    <t xml:space="preserve">Input data used from Rötzer &amp; Schmidt (2020) representing the copper cathode production in 2010. Copper cathode primary production via Hydrometallurgical route (leaching, solvent extraction and electrowinning). </t>
  </si>
  <si>
    <t>72, 73, 74</t>
  </si>
  <si>
    <t>Process starts with the leaching process, after the mining process has taken place and the oxide ore has been extracted. Mining is not included.  Only heap leaching was assumed . 70% of efficiency from leaching process and 90% efficency from SX process were included in the inputs of the process. Original data in tons was scaled to kg, normalized to 1kg of copper cahtode as reference product. Emissions to environment added based on the ecoinvent database process UUID: 94b2be30-4e85-388e-914e-611729feae8b</t>
  </si>
  <si>
    <t>Data of specific emissions of leaching, SX, EW process is lacking. Datasets available modelling this process omit such emissions, due to lack of data.</t>
  </si>
  <si>
    <t>Part of  C24.4.4 - Copper production (Smelting, converting, anode casting)</t>
  </si>
  <si>
    <t xml:space="preserve">Input material data from Goonan (2004) &amp; Rötzer &amp; Schmidt (2020) and energy consumption from Coursol et al. (2015). Copper anode primary production via Pyrometallurgical route (Flash smelting and converting). Product is copper anode ready to be electrorefined. Mining is not included. </t>
  </si>
  <si>
    <t>72, 74, 75, 81</t>
  </si>
  <si>
    <t>Process starts with flash smelting of concentrates and ends with copper anodes ready for electrorefinning to produce copper cathodes. Flash smelting is the most common route of processing copper concentrates from sulphide ore (over 60% of market share). Flows taken from averaged industry data (Gonnan (2004)), thought they may be outdated. Energy consumption data from 2015.</t>
  </si>
  <si>
    <t>Main flows for the smelting process included, however other inputs and especially outputs (e.g., emissions) might be missing.</t>
  </si>
  <si>
    <t xml:space="preserve">Input material data from Goonan (2004) and energy consumption from Coursol et al. (2015). Copper anode primary production via Pyrometallurgical route (Continuous smelting and converting). Product is copper anode ready to be electrorefined. Mining is not included. </t>
  </si>
  <si>
    <t>74, 75, 81</t>
  </si>
  <si>
    <t>Continuous smelting technologies modelled usign the Mitsubishi Continuous smelting process. Flows taken from average industry data (Gonnan, 2004). Energy consumption data from 2015.</t>
  </si>
  <si>
    <t>Main flows from the smelting process included, however other inputs and especially outputs (e.g., emissions) might be missing.</t>
  </si>
  <si>
    <t xml:space="preserve">Input material data from Goonan (2004) and energy consumption from Coursol et al. (2015). Copper anode primary production via Pyrometallurgical route (Bath smelting and converting). Product is copper anode ready to be electrorefined. Mining is not included. </t>
  </si>
  <si>
    <t>72, 73, 74, 75, 81</t>
  </si>
  <si>
    <t>Bath smelting techonologies modelled using the Isasmelt smelting technology. Flows taken from average industry data (Gonnan (2004)). Energy consumption data from 2015.</t>
  </si>
  <si>
    <t>Part of  C24.4.4 - Copper production (electrolytic refining)</t>
  </si>
  <si>
    <t xml:space="preserve">Input data from the ecoinvent database. Electrorefining of copper anode after smelting and converting. </t>
  </si>
  <si>
    <t>73, 74 &amp; 77</t>
  </si>
  <si>
    <t>Main process input is copper anode and this process ends with copper cathode produced (99.997% grade). Process from ecoinvent database (UUID 482b97a5-9535-38cd-b275-1838cf04b15f) used with updated energy consumption (Schlesinger et al. 2021). Suitable for both primary and secondary copper production via pyrometallurgical route. By-product of this process is anode slime, which can be further processed to recover precious metals (e.g., Au, Ag).</t>
  </si>
  <si>
    <t>Representative of typical electrorefining process globally.</t>
  </si>
  <si>
    <t xml:space="preserve">Input data from Schlesinger et al. (2021), Wernet et al. (2016) &amp; Goonan (2004).  Production of secondary copper anode from low grade copper scrap via pryrometallurgical route. </t>
  </si>
  <si>
    <t>72-75, 81</t>
  </si>
  <si>
    <t>The smelting process assumed to take place in a TSL (Isasmelt) furnace, since one of the main technologies taking over the secondary copper production (Schlesinger et al., 2021). Process starts with copper low grade scrap at the secondary production facility and ends with copper anode production ready to be electrorefined. Secondary copper smelting assumed to be quite similar to primary production (Schlesinger et al., 2021),  only electricity consumption given the 30% grade assumed, was adjusted accordingly.  Average data from the Kunming Smelter in China (Goonan, 2004), since most of the secondary copper production takes place there (Schlesinger et al., 2021).</t>
  </si>
  <si>
    <t>Average low grade scrap assumed, does not cover all the different types of grades. Other different types of smelters that also process copper scrap, are not accounted in this process.</t>
  </si>
  <si>
    <t xml:space="preserve">Input data from Schlesinger et al. (2021), Wernet et al. (2016) &amp; Goonan (2004). Production of secondary copper anode from medium grade copper scrap via pryrometallurgical route. </t>
  </si>
  <si>
    <t xml:space="preserve">Process starts with copper medium grade scrap at the secondary production facility and ends with copper anode production ready to be electrorefined. Secondary copper smelting assumed to be quite similar to primary production (Schlesinger et al., 2021),  only electricity consumption given the 50% grade assumed, was adjusted accordingly. Data used from a direct to blister furnace (Goonan, 2004) as proxy to account for the higher scrap grade (50% grade assumed). This process can be used for re-processing of new scrap from manufacturing (Schlesinger et al., 2021). </t>
  </si>
  <si>
    <t>Average grade scrap assumed, does not cover all the different types of grades. Other different types of smelters that also process copper scrap, are not accounted in this process.</t>
  </si>
  <si>
    <t xml:space="preserve">Input data from Schlesinger et al. (2021), Wernet et al. (2016) &amp; Goonan (2004). Production of secondary copper anode from high grade copper scrap via pryrometallurgical route. </t>
  </si>
  <si>
    <t>High grade copper scrap assumed to not have the need to be smelted/converted and only electrorefining being necessary. Electrorefinings processing copper scrap are usually larger due to the additional impurities found in, everthing else is quite similar to the electrorefining of primary copper anodes (Schlesinger et al., 2021). Copper grade assumed to be 95% and electricity consumption was adjusted accordingly.</t>
  </si>
  <si>
    <t>Part of  C24.4.4 - Copper production</t>
  </si>
  <si>
    <t>Input data from Zhang et al. (2023). Production of copper concentrate from slag recycling.</t>
  </si>
  <si>
    <t>Process stages of smelting slag recycling consist of slow cooling, crushing, grinding in mill, infusing chemicals for flotation, and dehydrating by filtration. Then the sorted slag concentrate is returned to the smelting furnace (Zhang et al., 2023).</t>
  </si>
  <si>
    <t>Data from a typical smelting facility from China in 2021.</t>
  </si>
  <si>
    <t>Input data from Zhang et al. (2023). Production of secondary copper from ash recycling</t>
  </si>
  <si>
    <t>Copper ash recycling process includes acid leaching with sulfuric acid, followed by pressing, extraction and back-extraction of the filtered leachate, and ultimately to electrowinning (Zhang et al., 2023).</t>
  </si>
  <si>
    <t>Input data from Zhang et al. (2021). Extraction of precious metals from anode slime coming from copper waste electrorefining</t>
  </si>
  <si>
    <t>Main input of anode slime is a by product of electrorefining process of copper waste</t>
  </si>
  <si>
    <t>Input data from the ecoinvent database (Werner et al., 2016). Extraction of precious metals from anode slime of secondary copper</t>
  </si>
  <si>
    <t>Anode slime treatment by pressure leaching and top blown rotary converter. Production of Silver by Möbius Electrolysis, Gold by Wohlwill electrolysis, Palladium to further processing</t>
  </si>
  <si>
    <t>Data from a swedish plant, may be taken as approximation for global situation.</t>
  </si>
  <si>
    <t>Input data from Zhang et al., 2023. Extraction of precious metals from anode slime coming from copper waste electrorefining</t>
  </si>
  <si>
    <t>Input data from Rötzer &amp; Schmidt (2020) &amp; Schlesinger et al. (2021). Beneficiation of suflide ore, crushing, grinding and flotation to produce copper concentrate.</t>
  </si>
  <si>
    <t>72, 74</t>
  </si>
  <si>
    <t>Ore grade from sulphide ore assumed to be 0.7% before beneficiation. This process includes crushing, grinding and flotation resulting in 28% grade of copper concentrates ready for smelting. Data from 2010 (Rötzer &amp; Schmidt, 2020).</t>
  </si>
  <si>
    <t>Input data from Qisthi et al. (2023), Goonan (2004) &amp;  Rötzer &amp; Schmidt (2020). Copper anode production via pyrometallurgical route using hydrogen as reduction agent.</t>
  </si>
  <si>
    <t>72, 74, 75, 80</t>
  </si>
  <si>
    <t>Process data based on the "Copper anode production (Flash smelting and converting)", hydrogen used as reduction agent, thus, no direct CO2 emissions based on Qitshi et al. (2023)</t>
  </si>
  <si>
    <t>Low readiness technology.</t>
  </si>
  <si>
    <t>Input data from Becci et al. (2020). Secondary copper production via biometallurgy, from low grade scrap.</t>
  </si>
  <si>
    <t>74, 82</t>
  </si>
  <si>
    <t>Low grade scrap from shredded PCBs used as main input. Assumed electrowinning process not yet included, thus, energy consumption of electrowinning added according to Schlesinger et al. (2021).</t>
  </si>
  <si>
    <t>Low readiness technology. Direct emissions from this process not included.</t>
  </si>
  <si>
    <t>Input data from Becci et al. (2020) &amp; Ippolito et al. (2017). Secondary copper production, chemical treatment, from low grade scrap</t>
  </si>
  <si>
    <t>74, 82, 83</t>
  </si>
  <si>
    <t>Low grade scrap from shredded PCBs used as main input. Electricity consumption from Ippolito et al. (2017). Assumed electrowinning process not yet included, thus, energy consumption of electrowinning added according to Schlesinger et al. (2021).</t>
  </si>
  <si>
    <t>Input data from Becci et al. (2020). Secondary copper production, hydrometallurgy, from low grade scrap</t>
  </si>
  <si>
    <t>Asphalt production</t>
  </si>
  <si>
    <t>Part of 19.20 (Manufacture of refined petroleum products)</t>
  </si>
  <si>
    <t>16/10/2023</t>
  </si>
  <si>
    <t>van Engelenburg</t>
  </si>
  <si>
    <t>Asphalt production, including recycling</t>
  </si>
  <si>
    <t>Asphalt production, fuel substitutionelectrification</t>
  </si>
  <si>
    <t>Asphalt production, fuel substitution hydrogen</t>
  </si>
  <si>
    <t>Asphalt production, feedstock substitution</t>
  </si>
  <si>
    <t>Calcined  clay, rotary kiln</t>
  </si>
  <si>
    <t>31/10/2023</t>
  </si>
  <si>
    <t>hauenstein</t>
  </si>
  <si>
    <t>Data compiled from various sources</t>
  </si>
  <si>
    <t>85, 86, 87</t>
  </si>
  <si>
    <t xml:space="preserve">Use of data from various sources due to limited information provided in individual sources. </t>
  </si>
  <si>
    <t xml:space="preserve">Limited information on energy and material inputs (e.g., water content of raw material input). Thus, rather high uncertainty. </t>
  </si>
  <si>
    <t>Calcined clay, flash calciner</t>
  </si>
  <si>
    <t>Metakaolin limestone cement</t>
  </si>
  <si>
    <t>87, 88</t>
  </si>
  <si>
    <t>Limited information on energy and material inputs (e.g., water content of raw material input). Thus, rather high uncertainty. Technology used in past, however, industry standards missing and limiting wider application.</t>
  </si>
  <si>
    <t>Main material flows for cement clinker production in UK, based on Shanks et al. 2019. Supposed to complement more specific cement clinker production technology and energy inventories already in database.</t>
  </si>
  <si>
    <t>Data for average UK cement production.</t>
  </si>
  <si>
    <t>Main material flows for cement clinker production in China based on Wang et al. 2016. Supposed to complement more specific cement clinker production technology and energy inventories already in database.</t>
  </si>
  <si>
    <t>Data for average Chinese cement production.</t>
  </si>
  <si>
    <t>Kraft IPP</t>
  </si>
  <si>
    <t>Energy input to an Integrated Pulp and Paper mill based on the Kraft process in USA. This is a base case to a scenario where heat pumps are integrated into the process (Zuberi et al. 2023)</t>
  </si>
  <si>
    <t>Kraft IPP + Heat pump</t>
  </si>
  <si>
    <t>Energy input to an Integrated Pulp and Paper mill based on the Kraft process in USA including the integration of heat pumps to reduce fuel consumption and overall energy consumption (Zuberi et al. 2023). Heat pumps increase the demand for electricity, so the overall emission reduction depends on the emission factor of the electricity grid.</t>
  </si>
  <si>
    <t>ethylene (plastics monomer) production inventories, from Meng et al. (2023), DOI 10.1073/pnas.2218294120</t>
  </si>
  <si>
    <t>various process routes for ethylene and propylene</t>
  </si>
  <si>
    <t>Values copied and reformatted from supplementary material Master template - python copy.xlsx</t>
  </si>
  <si>
    <t>Sheets:</t>
  </si>
  <si>
    <t>Values - Ethylene</t>
  </si>
  <si>
    <t>propylene (plastics monomer) production inventories, from Meng et al. (2023), DOI 10.1073/pnas.2218294120</t>
  </si>
  <si>
    <t>13-09-23</t>
  </si>
  <si>
    <t>Values - Propylene</t>
  </si>
  <si>
    <t>butadiene (plastics monomer) production inventories, from Meng et al. (2023), DOI 10.1073/pnas.2218294120</t>
  </si>
  <si>
    <t>Values - Butadiene</t>
  </si>
  <si>
    <t>add direct emissions from energy carrier input combustion</t>
  </si>
  <si>
    <t>25-09-23</t>
  </si>
  <si>
    <t>93,94</t>
  </si>
  <si>
    <t>Values - Butadiene / Ethylene / Butadiene</t>
  </si>
  <si>
    <t>Direct emissions from energy carrier input combustion only. Like from natural gas combustion.</t>
  </si>
  <si>
    <t>CCS capture rate (given) included when calculating emissions for processes with CCS.</t>
  </si>
  <si>
    <t>No emissions from electricity, that is scope 2 and accounted for in the el. generation sector.</t>
  </si>
  <si>
    <t>No emissions from inefficient feedstock use, as these are accounted for with by-produt use</t>
  </si>
  <si>
    <t>See separate comments for each process</t>
  </si>
  <si>
    <t>Natural gas</t>
  </si>
  <si>
    <t>kg/MJ or t/GJ</t>
  </si>
  <si>
    <t>off-gas: assume same carbon content per energy as for natural gas (off-gas has both H2 and olefin (Ethane, butane) content, assume they roughly cancel out in rel. to CO2 per MJ.</t>
  </si>
  <si>
    <t>representative processes</t>
  </si>
  <si>
    <t>Values copied and reformatted from ecoinvent 3.8 processes at RoW aggregation</t>
  </si>
  <si>
    <t>Naphta: naphtha production, petroleum refinery operation | naphtha | Cutoff, U</t>
  </si>
  <si>
    <t>vinyl chloride: vinyl chloride production | vinyl chloride | Cutoff, U</t>
  </si>
  <si>
    <t>PVC: polyvinylchloride production, suspension polymerisation | polyvinylchloride, suspension polymerised | Cutoff, U || Comment: suspension PVC accounts for 80% of global PVC production</t>
  </si>
  <si>
    <t>PP: polypropylene production, granulate | polypropylene, granulate | Cutoff, U</t>
  </si>
  <si>
    <t>PE: polyethylene production, high density, granulate | polyethylene, high density, granulate | Cutoff, U</t>
  </si>
  <si>
    <t>Part of 20.17 (Manufacture of synthetic rubber in primary forms)</t>
  </si>
  <si>
    <t>values converted as indicated below</t>
  </si>
  <si>
    <t>Styrene Butadiene Rubber SBR Polymerization of styrene and butadiene, followed by vulcanization with sulphur (S).</t>
  </si>
  <si>
    <t>polymerisation step:</t>
  </si>
  <si>
    <t>final</t>
  </si>
  <si>
    <t>MJ exergy in fossil fuel per kg of SBR</t>
  </si>
  <si>
    <t>MJ/kg</t>
  </si>
  <si>
    <t>see equation (1) in paper</t>
  </si>
  <si>
    <t>MJ electricity per kg of SBR</t>
  </si>
  <si>
    <t>MJ energy in heat (steam at 720°C and 42 atm)</t>
  </si>
  <si>
    <t>Comment: Conversion factor exergy to energ for heat taken from steam flow of similar temperature and pressur in following source (here: 500°C and 99 atm have exergy/energy content of ca. 40%)</t>
  </si>
  <si>
    <t>Pilankar and Kale (2016):</t>
  </si>
  <si>
    <t>Vol. 5 Issue 06, June-2016</t>
  </si>
  <si>
    <t>various processes of wood processing</t>
  </si>
  <si>
    <t>Part of 16 (Manufacture of wood and of products of wood and cork, except furniture; manufacture of articles of straw and plaiting materials)</t>
  </si>
  <si>
    <t>13-11-23</t>
  </si>
  <si>
    <t>Values converted directly from the provided inventory tables, which are based on sawmill industry surveys and mass balance</t>
  </si>
  <si>
    <t>Minor input flows are excluded</t>
  </si>
  <si>
    <t>Integrated blast-furnace route</t>
  </si>
  <si>
    <t>Data collected from table E.1 - various productions processes in comparison in 2017 (EU27). World Steel, 2018, and internal calculations of the Wuppertal Institute, 2021.</t>
  </si>
  <si>
    <t>98, 99</t>
  </si>
  <si>
    <t>Electric arc furnace route</t>
  </si>
  <si>
    <t>Natural gas direct reduction</t>
  </si>
  <si>
    <t>Black liquor-Methane</t>
  </si>
  <si>
    <t>Input data used in the TIMES Sweden model (Sandberg PhD thesis).</t>
  </si>
  <si>
    <t>Fuel mix input simplified due to lack of quantitative data on the shares.</t>
  </si>
  <si>
    <t>Fuel mix input simplified due to lack of quantitative data on the shares. Emissions data are reported by source.</t>
  </si>
  <si>
    <t>Emissions data are reported by source.</t>
  </si>
  <si>
    <t>[TIMES_SE] Aluminium electrolysis w. CCS (post-combustion carbon capture Monoethanolamine (MEA))</t>
  </si>
  <si>
    <t>[TIMES_SE] Oxygen supply</t>
  </si>
  <si>
    <t>Data provided in the Mission Possible Partnership - Aluminium report. Detailed data used as input in their model can be found in github (see ref. 102)</t>
  </si>
  <si>
    <t>25, 102, 103</t>
  </si>
  <si>
    <t>Input data from the ecoinvent database (Werner et al., 2016). Extraction of precious metals from anode slime from electrorefining of primary copper</t>
  </si>
  <si>
    <t>Anode slime treatment by pressure leaching and top blown rotary converter. Production of Silver by Möbius Electrolysis, Gold by Wohlwill electrolysis,  copper telluride cement and crude selenium to further processing</t>
  </si>
  <si>
    <t>Dataset</t>
  </si>
  <si>
    <t>literature_id</t>
  </si>
  <si>
    <t>data source name/type/report</t>
  </si>
  <si>
    <t>authors</t>
  </si>
  <si>
    <t>title</t>
  </si>
  <si>
    <t>year</t>
  </si>
  <si>
    <t>journal_outlet_institution</t>
  </si>
  <si>
    <t>city</t>
  </si>
  <si>
    <t>DOI (for papers) and checksum (MD5) for datasets and scripts</t>
  </si>
  <si>
    <t>URL or link to document, name of document</t>
  </si>
  <si>
    <t>copyright</t>
  </si>
  <si>
    <t>archive location</t>
  </si>
  <si>
    <t>notes</t>
  </si>
  <si>
    <t>U.S. Life Cycle Inventory Database. (2012). National Renewable Energy Laboratory, 2012. Accessed 2018-09-05: https://www.lcacommons.gov/nrel/search</t>
  </si>
  <si>
    <t>Franklin Associates</t>
  </si>
  <si>
    <t>Data Details for limestone mining and lime production, Franklin Associates, 2004</t>
  </si>
  <si>
    <t>https://www.lcacommons.gov/lca-collaboration/National_Renewable_Energy_Laboratory/USLCI/dataset/PROCESS/49e563d8-0cea-3f97-96b8-15787be48b91</t>
  </si>
  <si>
    <t>sample data</t>
  </si>
  <si>
    <r>
      <t xml:space="preserve">van Ruijven, B. J., van Vuuren, D. P., Boskaljon, W., Neelis, M. L., Saygin, D., &amp; Patel, M. K. (2016). Long-term model-based projections of energy use and CO2 emissions from the global steel and cement industries. </t>
    </r>
    <r>
      <rPr>
        <i/>
        <sz val="11"/>
        <color rgb="FF000000"/>
        <rFont val="Calibri"/>
        <family val="2"/>
      </rPr>
      <t>Resources, Conservation and Recycling</t>
    </r>
    <r>
      <rPr>
        <sz val="11"/>
        <color rgb="FF000000"/>
        <rFont val="Calibri"/>
        <family val="2"/>
      </rPr>
      <t xml:space="preserve">, </t>
    </r>
    <r>
      <rPr>
        <i/>
        <sz val="11"/>
        <color rgb="FF000000"/>
        <rFont val="Calibri"/>
        <family val="2"/>
      </rPr>
      <t>112</t>
    </r>
    <r>
      <rPr>
        <sz val="11"/>
        <color rgb="FF000000"/>
        <rFont val="Calibri"/>
        <family val="2"/>
      </rPr>
      <t>, 15–36. https://doi.org/10.1016/j.resconrec.2016.04.016</t>
    </r>
  </si>
  <si>
    <t xml:space="preserve">van Ruijven, B. J., van Vuuren, D. P., Boskaljon, W., Neelis, M. L., Saygin, D., &amp; Patel, M. K. </t>
  </si>
  <si>
    <t>Long-term model-based projections of energy use and CO2 emissions from the global steel and cement industries</t>
  </si>
  <si>
    <t>Resources, Conservation and Recycling</t>
  </si>
  <si>
    <t>https://doi.org/10.1016/j.resconrec.2016.04.016</t>
  </si>
  <si>
    <t>Roorda C, Neelis ML</t>
  </si>
  <si>
    <t>Inclusion of production, energy use and value added for steel, cement and paper in the TIMER energy demand module</t>
  </si>
  <si>
    <t>Netherlands Environment Assessment Agency</t>
  </si>
  <si>
    <t>Utrecht</t>
  </si>
  <si>
    <t>https://dspace.library.uu.nl/bitstream/handle/1874/21828/NWS-E-2006-179.pdf?sequence=1</t>
  </si>
  <si>
    <t>No. NWS-E-2006-179</t>
  </si>
  <si>
    <r>
      <t xml:space="preserve">van Sluisveld, M. A. E., de Boer, H. S., Daioglou, V., Hof, A. F., &amp; van Vuuren, D. P. (2021). A race to zero - Assessing the position of heavy industry in a global net-zero CO2 emissions context. </t>
    </r>
    <r>
      <rPr>
        <i/>
        <sz val="11"/>
        <color rgb="FF000000"/>
        <rFont val="Calibri"/>
        <family val="2"/>
      </rPr>
      <t>Energy and Climate Change</t>
    </r>
    <r>
      <rPr>
        <sz val="11"/>
        <color rgb="FF000000"/>
        <rFont val="Calibri"/>
        <family val="2"/>
      </rPr>
      <t xml:space="preserve">, </t>
    </r>
    <r>
      <rPr>
        <i/>
        <sz val="11"/>
        <color rgb="FF000000"/>
        <rFont val="Calibri"/>
        <family val="2"/>
      </rPr>
      <t>2</t>
    </r>
    <r>
      <rPr>
        <sz val="11"/>
        <color rgb="FF000000"/>
        <rFont val="Calibri"/>
        <family val="2"/>
      </rPr>
      <t>(July), 100051. https://doi.org/10.1016/j.egycc.2021.100051</t>
    </r>
  </si>
  <si>
    <t>van Sluisveld, M. A. E., de Boer, H. S., Daioglou, V., Hof, A. F., &amp; van Vuuren, D. P.</t>
  </si>
  <si>
    <t>A race to zero - Assessing the position of heavy industry in a global net-zero CO2 emissions context.  https://doi.org/10.1016/j.egycc.2021.100051</t>
  </si>
  <si>
    <t>Energy and Climate Change</t>
  </si>
  <si>
    <t xml:space="preserve">https://doi.org/10.1016/j.egycc.2021.100051 </t>
  </si>
  <si>
    <t>ETP Clean Energy Technology Guide</t>
  </si>
  <si>
    <t>IEA</t>
  </si>
  <si>
    <t>-</t>
  </si>
  <si>
    <t>https://www.iea.org/data-and-statistics/data-tools/etp-clean-energy-technology-guide</t>
  </si>
  <si>
    <t>D. Lerede a, C. Bustreo b, F. Gracceva c, M. Saccone a, L. Savoldi</t>
  </si>
  <si>
    <t>Techno-economic and environmental characterization of industrial technologies for transparent bottom-up energy modeling</t>
  </si>
  <si>
    <t>Renewable and Sustainable Energy Reviews</t>
  </si>
  <si>
    <t>10.1016/j.rser.2021.110742</t>
  </si>
  <si>
    <t>https://www.sciencedirect.com/science/article/pii/S1364032121000381</t>
  </si>
  <si>
    <t>Online</t>
  </si>
  <si>
    <t>AISI</t>
  </si>
  <si>
    <t>Steel Production</t>
  </si>
  <si>
    <t>https://www.steel.org/steel-technology/steel-production</t>
  </si>
  <si>
    <t>Book</t>
  </si>
  <si>
    <t>P. Cavaliere</t>
  </si>
  <si>
    <t>Clean Ironmaking and Steelmaking Processes - Efficient Technologies for Greenhouse Emissions Abatement</t>
  </si>
  <si>
    <t>Springer International Publishing</t>
  </si>
  <si>
    <t>Report</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</si>
  <si>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</si>
  <si>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</si>
  <si>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</si>
  <si>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</si>
  <si>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</si>
  <si>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</si>
  <si>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Journal Article</t>
  </si>
  <si>
    <t>R. Steffen</t>
  </si>
  <si>
    <t>Direct reduction and smelting reduction – an overview</t>
  </si>
  <si>
    <t>Steel Research</t>
  </si>
  <si>
    <t>Siemens</t>
  </si>
  <si>
    <t>Automation technology</t>
  </si>
  <si>
    <t>https://new.siemens.com/global/en/company/about/history/technology/drive-and-automation-technology/automation-technology.html</t>
  </si>
  <si>
    <t>B. B. Agrawal and A. S. Mathur</t>
  </si>
  <si>
    <t>New Ironmaking Processes: Relevance to India</t>
  </si>
  <si>
    <t>http://www.iim-delhi.com/upload_events/01NewIronmakingProcessRelevanceIndia_RDCIS.pdf</t>
  </si>
  <si>
    <t>Energy Technology Perspectives 2017</t>
  </si>
  <si>
    <t>IEA Publications</t>
  </si>
  <si>
    <t>Paris</t>
  </si>
  <si>
    <t>Tata Steel</t>
  </si>
  <si>
    <t>HIsarna factsheet</t>
  </si>
  <si>
    <t>https://www.tatasteeleurope.com/static_files/Downloads/Corporate/About%20us/hisarna%20factsheet.pdf</t>
  </si>
  <si>
    <t>IEA, UNIDO</t>
  </si>
  <si>
    <t>Technology Roadmap - Carbon Capture and Storage in Industrial Applications</t>
  </si>
  <si>
    <t>H. Croezen and M. Korteland</t>
  </si>
  <si>
    <t>A long-term view of CO2 efficient manufacturing in the European region</t>
  </si>
  <si>
    <t>D. Nuber, H. Eichberger, B. Rollinger</t>
  </si>
  <si>
    <t>Circored fine ore direct reduction</t>
  </si>
  <si>
    <t>Millenium Steel</t>
  </si>
  <si>
    <t>J. P. Birat</t>
  </si>
  <si>
    <t>ULCOS program: status and progress</t>
  </si>
  <si>
    <t>Brussels</t>
  </si>
  <si>
    <t>R. Remus, M. A. Aguado-Monsonet, S. Roudier, L. Delgado Sancho</t>
  </si>
  <si>
    <t>Best Available Techniques (BAT) Reference Document for Iron and Steel Production</t>
  </si>
  <si>
    <t>S. A. Singerling, C. A. Tuck, G. M. Bedinger, L. A. Corathers, P. H. Kuck, J. F. Papp, D. A. Polyak, E. K. Schnebele, K. B. Shedd</t>
  </si>
  <si>
    <t>Geological Survey Minerals Yearbook - Ferroalloys</t>
  </si>
  <si>
    <t>USGS</t>
  </si>
  <si>
    <t>Reston, USA</t>
  </si>
  <si>
    <t>P. Mandin, R. Wüthrich, H. Roustan</t>
  </si>
  <si>
    <t>Industrial Aluminium Production: the Hall-Heroult Process Modelling</t>
  </si>
  <si>
    <t>ECS Transactions</t>
  </si>
  <si>
    <t>J. A. Moya, A. Boulamati, S. Slingerlan, R. van der Veen, M. Gancheva, K. M. Rademaekers, J. J. P. Kuenen, A. J. H. Visschedijk</t>
  </si>
  <si>
    <t>Energy Efficiency and GHG Emissions: Prospective Scenarios for the Aluminum Industry</t>
  </si>
  <si>
    <t>A. Boulamanti and J. A. Moya</t>
  </si>
  <si>
    <t>Production costs of the non-ferrous metals in the EU and other countries: Copper and zinc</t>
  </si>
  <si>
    <t>Resources Policy</t>
  </si>
  <si>
    <t>G. Cusano, M. R. Gonzalo, F. Farrell, R. Remus, S. Roudier, L. Delgado Sancho</t>
  </si>
  <si>
    <t>Best Available Techniques (BAT) Reference Document for the Non-Ferrous Metals Industries</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</si>
  <si>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</si>
  <si>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</si>
  <si>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</si>
  <si>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</si>
  <si>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</si>
  <si>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</si>
  <si>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</si>
  <si>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</si>
  <si>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</si>
  <si>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https://www.internationaltin.org/sustainable-production/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</si>
  <si>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</si>
  <si>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</si>
  <si>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</si>
  <si>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</si>
  <si>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</si>
  <si>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</si>
  <si>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</si>
  <si>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</si>
  <si>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</si>
  <si>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</si>
  <si>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Technology Brief - Cement Production</t>
  </si>
  <si>
    <t>IEAGHG</t>
  </si>
  <si>
    <t>Deployment of CCS in the cement industry</t>
  </si>
  <si>
    <t>Cembureau</t>
  </si>
  <si>
    <t>Clinker Substitution</t>
  </si>
  <si>
    <t>https://lowcarboneconomy.cembureau.eu/5-parallel-routes/resource-efficiency/clinker-substitution/</t>
  </si>
  <si>
    <t>U.S. Environmental Protection Agency</t>
  </si>
  <si>
    <t>Lime Manufacturing</t>
  </si>
  <si>
    <t>T. Ren, M. Patel, K. Blok</t>
  </si>
  <si>
    <t>Olefins from conventional and heavy feedstocks: Energy use in steam cracking and alternative processes</t>
  </si>
  <si>
    <t>The Future of Petrochemicals - Towards more sustainable plastics and fertilizers</t>
  </si>
  <si>
    <t>Z. Salameh</t>
  </si>
  <si>
    <t>Renewable Energy System Design</t>
  </si>
  <si>
    <t>Elsevier</t>
  </si>
  <si>
    <t>Reference Document on Best Available Techniques for the Manufacture of Large Volume Inorganic Chemicals - Ammonia, Acids and Fertilisers</t>
  </si>
  <si>
    <t>OGCI</t>
  </si>
  <si>
    <t xml:space="preserve"> OGCI Climate Investments, the Oil and Gas Climate Initiative’s investment arm, announces a new investment in carbon capture and sequestration (CCS) project to create the world’s first ammonia produced with near zero carbon footprint</t>
  </si>
  <si>
    <t>https://oilandgasclimateinitiative.com/ogci-climate-investments-announces-a-new-investment-in-wabash-valley-resources-carbon-capture-and-sequestration-project/</t>
  </si>
  <si>
    <t>T. Brinkmann, G. G. Santonja, F. Schorcht, R. Serge, L. Delgado Sancho</t>
  </si>
  <si>
    <t>Best Available Techniques (BAT) Reference Document for the Production of Chlor-alkali</t>
  </si>
  <si>
    <t>Book Section</t>
  </si>
  <si>
    <t>P. Bajpai</t>
  </si>
  <si>
    <t>Pulp and Paper Production Processes and Energy Overview</t>
  </si>
  <si>
    <t>In: Pulp and Paper Industry, pp. 15-49</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</si>
  <si>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</si>
  <si>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</si>
  <si>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</si>
  <si>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</si>
  <si>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</si>
  <si>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</si>
  <si>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</si>
  <si>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</si>
  <si>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Nijs, Wouter; Ruiz, Pablo</t>
  </si>
  <si>
    <t>European Commission, Joint Research Centre (JRC)</t>
  </si>
  <si>
    <t>http://data.europa.eu/89h/8141a398-41a8-42fa-81a4-5b825a51761b</t>
  </si>
  <si>
    <t xml:space="preserve">Keys et al. </t>
  </si>
  <si>
    <t xml:space="preserve"> Decarbonisation options for the Dutch steel industry </t>
  </si>
  <si>
    <t xml:space="preserve"> PBL and TNO Energy Transition </t>
  </si>
  <si>
    <t>R. Remus, M. A. Aguado Monsonet, S. Roudier, L. Delgado Sancho</t>
  </si>
  <si>
    <t xml:space="preserve">CBS statline energy balance </t>
  </si>
  <si>
    <t xml:space="preserve"> https://opendata.cbs.nl/statline/#/CBS/nl/dataset/83989NED/table?dl=2058D </t>
  </si>
  <si>
    <t>Worrell et al.</t>
  </si>
  <si>
    <t xml:space="preserve"> World Best Practice Energy Intensity Values for Selected Industrial Sectors </t>
  </si>
  <si>
    <t>https://escholarship.org/content/qt77n9d4sp/qt77n9d4sp.pdf</t>
  </si>
  <si>
    <t>Vattenfall</t>
  </si>
  <si>
    <t>IJmond</t>
  </si>
  <si>
    <t xml:space="preserve"> https://powerplants.vattenfall.com/ijmond </t>
  </si>
  <si>
    <t xml:space="preserve">Gérard Danloy, Jan van der Stel, Peter Schmöle </t>
  </si>
  <si>
    <t xml:space="preserve"> Heat and mass balances in the ULCOS Blast Furnace </t>
  </si>
  <si>
    <t xml:space="preserve">Global CCS Institute </t>
  </si>
  <si>
    <t xml:space="preserve"> Report </t>
  </si>
  <si>
    <t xml:space="preserve"> CCS for the Steel sector </t>
  </si>
  <si>
    <t xml:space="preserve">LKAB, Global CCS Institute </t>
  </si>
  <si>
    <t xml:space="preserve"> ULCORED Direct Reduction Concept for ULCOS - a brief introduction, CCS for the Steel sector </t>
  </si>
  <si>
    <t xml:space="preserve">Bert Daniels </t>
  </si>
  <si>
    <t xml:space="preserve"> Transition Paths towards f_gases Emission Reduction in the Steel Industry </t>
  </si>
  <si>
    <t xml:space="preserve">Marc Hölling </t>
  </si>
  <si>
    <t xml:space="preserve"> Direct Reduction: Transition from Natural Gas to Hydrogen? </t>
  </si>
  <si>
    <t xml:space="preserve">Aldel </t>
  </si>
  <si>
    <t xml:space="preserve"> Informatiepakket voor de aanvraag voor de vergunning wet milieubeheer, voor Aluminium Delfzijl BV </t>
  </si>
  <si>
    <t xml:space="preserve"> Province of Groningen </t>
  </si>
  <si>
    <t xml:space="preserve"> (Ontwerp) vergunning wet milieubeheer – verleend aan Aluminium Delfzijl B.V. (Aldel), een aluminiumfabriek met gieterij </t>
  </si>
  <si>
    <t xml:space="preserve">Aldel, EAA, IPCC </t>
  </si>
  <si>
    <t xml:space="preserve"> Environmental profile report – Life-Cycle inventory data for aluminium production and transformation processes in Europe, Global Warming Potential Values </t>
  </si>
  <si>
    <t xml:space="preserve"> 2007, 2018, 2016 </t>
  </si>
  <si>
    <t xml:space="preserve"> European Aluminium Association, Intergovernmental Panel on Climate Change </t>
  </si>
  <si>
    <t xml:space="preserve">U.S. Department of Energy's Office of Energy Efficiency and Renewable Energy </t>
  </si>
  <si>
    <t xml:space="preserve"> U.S. Energy Requirements for Aluminium Production–Historical Perspective, Theoretical limits and Current Practices </t>
  </si>
  <si>
    <t xml:space="preserve">Obaidat M, Al-Ghandoor A, Phelan P, Villalobos R, Alkhalidi A </t>
  </si>
  <si>
    <t xml:space="preserve"> Journal Article </t>
  </si>
  <si>
    <t xml:space="preserve"> Energy and Exergy Analyses of Different Aluminum Reduction Technologies </t>
  </si>
  <si>
    <t xml:space="preserve"> sustainability </t>
  </si>
  <si>
    <t xml:space="preserve"> 10.3390/su10041216 </t>
  </si>
  <si>
    <t xml:space="preserve">Aluchemie, Century </t>
  </si>
  <si>
    <t xml:space="preserve"> Aluchemie–Maatschappelijk verslag 2012, Century Aluminum Vlissingen operations–Sociaal Jaarverslag 2017 </t>
  </si>
  <si>
    <t xml:space="preserve"> 2012, 2017 </t>
  </si>
  <si>
    <t xml:space="preserve"> Aluchemie–Maatschappelijk verslag 2012, Personal communication with R. Quak </t>
  </si>
  <si>
    <t xml:space="preserve"> 2012, 2018 </t>
  </si>
  <si>
    <t xml:space="preserve">Aluchemie, Century, NEa </t>
  </si>
  <si>
    <t xml:space="preserve"> Aluchemie–Maatschappelijk verslag 2012, Century Aluminum Vlissingen operations–Sociaal Jaarverslag 2017, Emissiecijfers industrie 2013-2017 </t>
  </si>
  <si>
    <t xml:space="preserve"> 2012, 2017, 2018 </t>
  </si>
  <si>
    <t xml:space="preserve"> NEa (Netherlands Emission Authority) </t>
  </si>
  <si>
    <t xml:space="preserve">E-MAX, Zalco </t>
  </si>
  <si>
    <t xml:space="preserve"> Personal communication with C. Kampen, Personal communication with J. van Wijck </t>
  </si>
  <si>
    <t xml:space="preserve">ENCI </t>
  </si>
  <si>
    <t xml:space="preserve"> ENCI Rotterdam / IJmuiden Veiligheid en milieu - Feiten &amp; cijfers 2017 </t>
  </si>
  <si>
    <t xml:space="preserve"> Rotterdam </t>
  </si>
  <si>
    <t xml:space="preserve">Report </t>
  </si>
  <si>
    <t>ECRA</t>
  </si>
  <si>
    <t>Development of State of the Art Techniques in Cement Manufacturing: Trying to Look Ahead</t>
  </si>
  <si>
    <t>A-2016/2305 CSI/ECRA-Technology Papers</t>
  </si>
  <si>
    <t>EHPA</t>
  </si>
  <si>
    <t>Key Facts on Heat Pumps</t>
  </si>
  <si>
    <t>https://www.ehpa.org/technology/key-facts-on-heat-pumps/</t>
  </si>
  <si>
    <t>IFC</t>
  </si>
  <si>
    <t>IMPROVING THERMAL AND ELECTRIC ENERGY EFFICIENCY AT CEMENT PLANTS: INTERNATIONAL BEST PRACTICE</t>
  </si>
  <si>
    <t>Daioglou, Vassilis; Andre P.C. Faaij; Deger Saygin; Martin K. Patel; Birka Wicke; Detlef P. Van Vuuren</t>
  </si>
  <si>
    <t>Energy Demand and Emissions of the Non-Energy Sector</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</si>
  <si>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</si>
  <si>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</si>
  <si>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</si>
  <si>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</si>
  <si>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</si>
  <si>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</si>
  <si>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</si>
  <si>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https://www.mdpi.com/2079-9276/9/4/44</t>
  </si>
  <si>
    <t>Wernet, G., Bauer, C., Steubing, B., Reinhard, J., Moreno-Ruiz, E., and Weidema, B</t>
  </si>
  <si>
    <t>The ecoinvent database version 3 (part I): overview and methodology</t>
  </si>
  <si>
    <t>The International Journal of Life Cycle Assessment</t>
  </si>
  <si>
    <t>https://doi.org/10.1007/s11367-016-1087-8</t>
  </si>
  <si>
    <t>http://link.springer.com/10.1007/s11367-016-1087-8</t>
  </si>
  <si>
    <t>Mark E. Schlesinger, Kathryn C. Sole, William G. Davenport, Gerardo R.F. Alvear Flores</t>
  </si>
  <si>
    <t>Extractive Metallurgy of Copper, Sixth Edition</t>
  </si>
  <si>
    <t>https://doi.org/10.1016/C2019-0-03265-7</t>
  </si>
  <si>
    <t>Coursol, Pascal &amp; Mackey, P. &amp; Kapusta, Joel &amp; Cardona Valencia, Nubia</t>
  </si>
  <si>
    <t xml:space="preserve"> Energy Consumption in Copper Smelting: A New Asian Horse in the Race</t>
  </si>
  <si>
    <t>JOM: the journal of the Minerals, Metals &amp; Materials Society</t>
  </si>
  <si>
    <t>10.1007/s11837-015-1380-1</t>
  </si>
  <si>
    <t>International Copper Study Group</t>
  </si>
  <si>
    <t>The World Copper Factbook 2022</t>
  </si>
  <si>
    <t>https://icsg.org/copper-factbook/</t>
  </si>
  <si>
    <t>Global Survey of Copper Electrorefining: 2019 World Tankhouse Operating Data</t>
  </si>
  <si>
    <t>https://store.cim.org/en/global-survey-of-copper-electrorefining-2019-world-tankhouse-operating-data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</si>
  <si>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</si>
  <si>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</si>
  <si>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</si>
  <si>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</si>
  <si>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</si>
  <si>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Analyzing the environmental impact of copper-based mixed waste recycling-a LCA case study in China</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</si>
  <si>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</si>
  <si>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</si>
  <si>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</si>
  <si>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</si>
  <si>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</si>
  <si>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</si>
  <si>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</si>
  <si>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</si>
  <si>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Flows of Selected Materials Associated with World Copper Smelting; Open-File Report 2004-1395</t>
  </si>
  <si>
    <t>U.S. Geological Survey</t>
  </si>
  <si>
    <t>https://pubs.usgs.gov/of/2004/1395/2004-1395.pdf</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</si>
  <si>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</si>
  <si>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</si>
  <si>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</si>
  <si>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</si>
  <si>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</si>
  <si>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</si>
  <si>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</si>
  <si>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</si>
  <si>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</si>
  <si>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Oliveira &amp; Xavier Silva</t>
  </si>
  <si>
    <t>Decarbonisation options for the Dutch asphalt industr</t>
  </si>
  <si>
    <t>PBL report</t>
  </si>
  <si>
    <t>https://www.pbl.nl/sites/default/files/downloads/pbl-2022-decarbonisation-options-for-the-dutch-asphalt-industry_4791.pdf</t>
  </si>
  <si>
    <t xml:space="preserve">Hanein, Theodore, Karl-Christian Thienel, Franco Zunino, Alastair T. M. Marsh, Matthias Maier, Bin Wang, Mariana Canut, et al. </t>
  </si>
  <si>
    <t>Clay Calcination Technology: State-of-the-Art Review by the RILEM TC 282-CCL</t>
  </si>
  <si>
    <t>Materials and Structures</t>
  </si>
  <si>
    <t>10.1617/s11527-021-01807-6</t>
  </si>
  <si>
    <t>https://doi.org/10.1617/s11527-021-01807-6</t>
  </si>
  <si>
    <t>Cancio Díaz, Yudiesky, Sofia Sánchez Berriel, Urs Heierli, Aurélie R. Favier, Inocencio R. Sánchez Machado, Karen L. Scrivener, José Fernando Martirena Hernández, and Guillaume Habert.</t>
  </si>
  <si>
    <t>Limestone Calcined Clay Cement as a Low-Carbon Solution to Meet Expanding Cement Demand in Emerging Economies.</t>
  </si>
  <si>
    <t>Development Engineering</t>
  </si>
  <si>
    <t>10.1016/j.deveng.2017.06.001</t>
  </si>
  <si>
    <t>https://doi.org/10.1016/j.deveng.2017.06.001</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</si>
  <si>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</si>
  <si>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</si>
  <si>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</si>
  <si>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10.1016/j.jclepro.2016.02.125</t>
  </si>
  <si>
    <t>https://doi.org/10.1016/j.jclepro.2016.02.125</t>
  </si>
  <si>
    <t xml:space="preserve">Martinez, Daniela M., Arpad Horvath, and Paulo J. M. Monteiro. </t>
  </si>
  <si>
    <t>Comparative Environmental Assessment of Limestone Calcined Clay Cements and Typical Blended Cements</t>
  </si>
  <si>
    <t xml:space="preserve">Environmental Research Communications 5 (5): 055002. </t>
  </si>
  <si>
    <t>10.1088/2515-7620/acccd8</t>
  </si>
  <si>
    <t>https://doi.org/10.1088/2515-7620/acccd8</t>
  </si>
  <si>
    <t xml:space="preserve">Shanks, W, CF Dunant, MP Drewniok, RC Lupton, A Serrenho, and JM Allwood. </t>
  </si>
  <si>
    <t>How Much Cement Can We Do without? Lessons from Cement Material Flows in the UK</t>
  </si>
  <si>
    <t xml:space="preserve">RESOURCES CONSERVATION AND RECYCLING 141 (February): 441–54. </t>
  </si>
  <si>
    <t>10.1016/j.resconrec.2018.11.002</t>
  </si>
  <si>
    <t>https://doi.org/10.1016/j.resconrec.2018.11.002</t>
  </si>
  <si>
    <t xml:space="preserve">Wang, Wei, Di Jiang, Dingjiang Chen, Zengbo Chen, Wenji Zhou, and Bing Zhu. </t>
  </si>
  <si>
    <t>A Material Flow Analysis (MFA)-Based Potential Analysis of Eco-Efficiency Indicators of China’s Cement and Cement-Based Materials Industry</t>
  </si>
  <si>
    <t>Journal of Cleaner Production 112 (January): 787–96.</t>
  </si>
  <si>
    <t>10.1016/j.jclepro.2015.06.103</t>
  </si>
  <si>
    <t>https://doi.org/10.1016/j.jclepro.2015.06.103</t>
  </si>
  <si>
    <t>Zuberi, M.J.S., Hasanbeigi, A. &amp; Morrow, W.</t>
  </si>
  <si>
    <t>Energy Efficiency</t>
  </si>
  <si>
    <t>10.1007/s12053-023-10089-6</t>
  </si>
  <si>
    <t>https://doi.org/10.1007/s12053-023-10089-6</t>
  </si>
  <si>
    <t>Meng et al.</t>
  </si>
  <si>
    <t>Planet-compatible pathways for transitioning the chemical industry</t>
  </si>
  <si>
    <t>PNAS</t>
  </si>
  <si>
    <t>DOI 10.1073/pnas.2218294120</t>
  </si>
  <si>
    <t>Energy content of biofuel</t>
  </si>
  <si>
    <t>https://en.wikipedia.org/wiki/Energy_content_of_biofuel</t>
  </si>
  <si>
    <t>ogj.com</t>
  </si>
  <si>
    <t>Contaminants key to refinery offgas treatment unit design</t>
  </si>
  <si>
    <t>https://www.ogj.com/refining-processing/gas-processing/article/17217421/contaminants-key-to-refinery-offgas-treatment-unit-design</t>
  </si>
  <si>
    <t>ecoinvent</t>
  </si>
  <si>
    <t>ecoinvent life cycle database version 3.8, via openLCA</t>
  </si>
  <si>
    <t>Zürich, Switzerland</t>
  </si>
  <si>
    <t>© ecoinvent</t>
  </si>
  <si>
    <t>Russo et al.</t>
  </si>
  <si>
    <t>Exergy-Based Assessment of Polymers Production and Recycling: An Application to the Automotive Sector</t>
  </si>
  <si>
    <t xml:space="preserve">Energies 2021, 14, 363. </t>
  </si>
  <si>
    <t>https://doi.org/10.3390/en14020363</t>
  </si>
  <si>
    <t>Rüter and Diederichs</t>
  </si>
  <si>
    <t>Ökobilanz-Basisdaten für Bauprodukte aus Holz</t>
  </si>
  <si>
    <t>Working paper / Arbeitsbericht aus dem Institut für Holztechnologie und Holzbiologie Nr. 2012/1</t>
  </si>
  <si>
    <t>World Steel</t>
  </si>
  <si>
    <t>World Steel in Figures 2018</t>
  </si>
  <si>
    <t>https://www.worldsteel.org/en/dam/jcr:7eb5b4b0-2d1d-49d8-b580-a8ed74e67436/</t>
  </si>
  <si>
    <t>Agora Energiewende</t>
  </si>
  <si>
    <t>Breakthrough Strategies for Climate-Neutral Industry in Europe: Policy and Technology Pathways for Raising EU Climate Ambition</t>
  </si>
  <si>
    <t>https://www.agora-energiewende.org/fileadmin/Projekte/2020/2020_10_Clean_Industry_Package/A-EW_208_Strategies-Climate-Neutral-Industry-EU_Study_WEB.pdf</t>
  </si>
  <si>
    <t>Sofia Simoes, Wouter Nijs, Pablo Ruiz, Alessandra Sgobbi, Daniela Radu, Pelin Bolat, Christian Thiel, Stathis Peteves</t>
  </si>
  <si>
    <t>The JRC-EU-TIMES model: Assessing the long-term role of the SET plan energy technologies</t>
  </si>
  <si>
    <t>IET-JRC</t>
  </si>
  <si>
    <t>Petten, the Netherlands</t>
  </si>
  <si>
    <t>https://publications.jrc.ec.europa.eu/repository/handle/JRC85804</t>
  </si>
  <si>
    <t>Doctoral thesis</t>
  </si>
  <si>
    <t>Erik Sandberg</t>
  </si>
  <si>
    <t>National energy system modelling of industry: Optimizing the transition towards carbon neutrality</t>
  </si>
  <si>
    <t>Lulea University of Technology</t>
  </si>
  <si>
    <t>Lulea, Sweden</t>
  </si>
  <si>
    <t>https://ltu.diva-portal.org/smash/get/diva2:1693415/FULLTEXT02.pdf</t>
  </si>
  <si>
    <t>MPP</t>
  </si>
  <si>
    <t>MPP Shared Industry Solver</t>
  </si>
  <si>
    <t>https://github.com/missionpossiblepartnership/mpp-shared-code/tree/develop/aluminium</t>
  </si>
  <si>
    <t>Making Net-Zero Aluminium Possible</t>
  </si>
  <si>
    <t>https://missionpossiblepartnership.org/wp-content/uploads/2023/03/MPP-Aluminium-Technical-Appendix.pdf</t>
  </si>
  <si>
    <t>[TIMES] Quicklime Production</t>
  </si>
  <si>
    <t>[TIMES] Basic oxygen Furnace, Scrap</t>
  </si>
  <si>
    <t>[TIMES] Basic oxygen Furnace, Regular</t>
  </si>
  <si>
    <t>Corex gas</t>
  </si>
  <si>
    <t>Two configurations: 2.56 fuel + 3.03 electricity ; or 5.593 electricity only. Note: natural gas or LPG</t>
  </si>
  <si>
    <t>13;3.03;5.593;none;none;none</t>
  </si>
  <si>
    <t>13;none;2.56;none;none;none</t>
  </si>
  <si>
    <t>based on emission factor of process heat</t>
  </si>
  <si>
    <t>based on emission factor of natural gas</t>
  </si>
  <si>
    <t>Two configurations: 2.56 fuel + 3.37 electricity ; or 5.93 electricity only. Note: natural gas or LPG</t>
  </si>
  <si>
    <t>13;3.37;5.93;none;none;none</t>
  </si>
  <si>
    <t>Two configurations: 4.222 fuel + 3.54 electricity ; or 7.76 electricity only. Note: natural gas or LPG</t>
  </si>
  <si>
    <t>13;none;4.222;none;none;none</t>
  </si>
  <si>
    <t>13;3.54;7.76;none;none;none</t>
  </si>
  <si>
    <t>Two configurations: 0.23 fuel + 1.94 electricity ; or 2.174 electricity only. Note: natural gas or LPG</t>
  </si>
  <si>
    <t>13;none;0.23;none;none;none</t>
  </si>
  <si>
    <t>13;1.94;2.174;none;none;none</t>
  </si>
  <si>
    <t>Two configurations: 0.23 fuel +2.38 electricity ; or 2.606 electricity only. Note: natural gas or LPG</t>
  </si>
  <si>
    <t>13;2.38;2.606;none;none;none</t>
  </si>
  <si>
    <t>Two configurations: 0.23 fuel +2.16 electricity ; or 2.39 electricity only. Note: natural gas or LPG</t>
  </si>
  <si>
    <t>13;2.16;2.39;none;none;none</t>
  </si>
  <si>
    <t>Two configurations: 0.23 fuel + 2.59 electricity ; or 2.822 electricity only. Note: natural gas or LPG</t>
  </si>
  <si>
    <t>13;2.59;2.822;none;none;none</t>
  </si>
  <si>
    <t>Two configurations: 1.994 fuel + 2.27 electricity ; or 4.262 electricity only. Note: natural gas or LPG</t>
  </si>
  <si>
    <t>13;none;1.994;none;none;none</t>
  </si>
  <si>
    <t>13;2.2.27;4.262;none;none;none</t>
  </si>
  <si>
    <t>carbon capture reported by source is 1.155 tCO2/t_clinker. Capture efficiency 0.936. Uncertainty based on emission factor of coal</t>
  </si>
  <si>
    <t>carbon capture reported by source is 1.155 tCO2/t_clinker. Capture efficiency 0.936. Uncertainty based on emission factor of process heat</t>
  </si>
  <si>
    <t>carbon capture reported by source is 0.525 tCO2/t_clinker.</t>
  </si>
  <si>
    <t>carbon capture reported by source is 0.76 tCO2/t_clinker. Capture efficiency 0.9. Uncertainty based on emission factor of coal</t>
  </si>
  <si>
    <t>carbon capture reported by source is 0.76 tCO2/t_clinker. Capture efficiency 0.9. Uncertainty based on emission factor of process heat (also for steam)</t>
  </si>
  <si>
    <t>carbon capture reported by source is 0.792 tCO2/t_clinker. Capture efficiency 0.9. Uncertainty based on emission factor of coal</t>
  </si>
  <si>
    <t>carbon capture reported by source is 0.792 tCO2/t_clinker. Capture efficiency 0.9. Uncertainty based on emission factor of process heat</t>
  </si>
  <si>
    <t>carbon capture reported by source is 0.762 tCO2/t_clinker. Capture efficiency 0.9. Uncertainty based on emission factor of coal</t>
  </si>
  <si>
    <t>carbon capture reported by source is 0.762 tCO2/t_clinker. Capture efficiency 0.9. Uncertainty based on emission factor of process heat</t>
  </si>
  <si>
    <t>carbon capture reported by source is 0.997 tCO2/t_clinker. Capture efficiency 0.943. Uncertainty based on emission factor of coal</t>
  </si>
  <si>
    <t>carbon capture reported by source is 0.997 tCO2/t_clinker. Capture efficiency 0.943. Uncertainty based on emission factor of process heat</t>
  </si>
  <si>
    <t>carbon capture reported by source is 0.762 tCO2/t_clinker. Capture efficiency 0.9. Uncertainty based on emission factor of process heat (also for steam)</t>
  </si>
  <si>
    <t>based on emission factor of coal</t>
  </si>
  <si>
    <t>Capture efficiency 0.9. Uncertainty based on emission factor of coal</t>
  </si>
  <si>
    <t xml:space="preserve">Capture efficiency 0.9. Uncertainty based on emission factor of process heat </t>
  </si>
  <si>
    <t>Uncertainty based on emission factor of coal</t>
  </si>
  <si>
    <t>based on emission factor of coke oven gas</t>
  </si>
  <si>
    <t>based on emission factor of coke. Process and combustion emissions should be distinguished..</t>
  </si>
  <si>
    <t>carbon capture reported by source is 0.454 tCO2/t_hot_metal. Capture efficiency 0.9. Uncertainty based on emission factor of coke. Process and combustion emissions should be distinguished..</t>
  </si>
  <si>
    <t>carbon capture reported by source is 0.454 tCO2/t_hot_metal. Capture efficiency 0.9. Uncertainty based on emission factor of coke oven gas</t>
  </si>
  <si>
    <t>carbon capture reported by source is 0.454 tCO2/t_hot_metal. Capture efficiency 0.9. Uncertainty based on emission factor of industrial heat as proxy for steam</t>
  </si>
  <si>
    <t>Uncertainty based on emission factor of coke. Process and combustion emissions should be distinguished..</t>
  </si>
  <si>
    <t>Uncertainty based on emission factor of coke oven gas</t>
  </si>
  <si>
    <t>Uncertainty based on emission factor of industrial heat as proxy for steam</t>
  </si>
  <si>
    <t>carbon capture reported by source is 0.867 tCO2/t_hot_metal. Capture efficiency 0.9. Uncertainty based on emission factor of coke. Process and combustion emissions should be distinguished..</t>
  </si>
  <si>
    <t>carbon capture reported by source is 0.867 tCO2/t_hot_metal. Capture efficiency 0.9. Uncertainty based on emission factor of coke oven gas</t>
  </si>
  <si>
    <t>carbon capture reported by source is 0.867 tCO2/t_hot_metal. Capture efficiency 0.9. Uncertainty based on emission factor of industrial heat as proxy for steam</t>
  </si>
  <si>
    <t>based on emission factor of coal. Process and combustion emissions should be distinguished..</t>
  </si>
  <si>
    <t>Emissions estimated by source at 0.92 tCO2/t_hot_metal. based on emission factor of coal. Process and combustion emissions should be distinguished..</t>
  </si>
  <si>
    <t>carbon capture reported by source is 1.695 tCO2/t_hot_metal. Capture efficiency 0.9. Uncertainty based on emission factor of coal. Process and combustion emissions should be distinguished..</t>
  </si>
  <si>
    <t>Emissions estimated by source at 0.93 tCO2/t_hot_metal. based on emission factor of coal. Process and combustion emissions should be distinguished..</t>
  </si>
  <si>
    <t xml:space="preserve">Emissions estimated by source at 0.845 tCO2/t_hot_metal. based on emission factor of natural gas. </t>
  </si>
  <si>
    <t>Emissions estimated by source at 0.845 tCO2/t_hot_metal. based on emission factor of coal. Process and combustion emissions should be distinguished..</t>
  </si>
  <si>
    <t>Emissions estimated by source at 0.845 tCO2/t_hot_metal. based on emission factor of coke. Process and combustion emissions should be distinguished..</t>
  </si>
  <si>
    <t xml:space="preserve">Emissions estimated by source at 0.64 tCO2/t_hot_metal. based on emission factor of natural gas. </t>
  </si>
  <si>
    <t>Emissions estimated by source at 0.64 tCO2/t_hot_metal. based on emission factor of natural gas. Process and combustion emissions should be distinguished..</t>
  </si>
  <si>
    <t>carbon capture reported by source is 0.232 tCO2/t_hot_metal. Capture efficiency 0.95. Uncertainty based on emission factor of natural gas. Process and combustion emissions should be distinguished..</t>
  </si>
  <si>
    <t xml:space="preserve">carbon capture reported by source is 0.232 tCO2/t_hot_metal. Capture efficiency 0.95. Uncertainty based on emission factor of natural gas. </t>
  </si>
  <si>
    <t>Estimated biogenic CO2 by reference is 0.64 tCO2/t_DRI. Here assumed carbon neutral.</t>
  </si>
  <si>
    <t>Estimated biogenic CO2 by reference is 0.64 tCO2/t_DRI. Here the capture is assumed carbon negative.</t>
  </si>
  <si>
    <t>emissions from coal  use in anodes are accounted as combustion emissions. Should be checked..</t>
  </si>
  <si>
    <t>Emission from coal critical use in process, e.g. anode accounted as combustion emission. Should be checked</t>
  </si>
  <si>
    <t>Based on emission factor of natural gas. Distinction should be made between process emissions and combustion emissions..</t>
  </si>
  <si>
    <t>[TIMES]  Hall Heroult Regular</t>
  </si>
  <si>
    <t>[TIMES]  Hall Heroult Point Feeders</t>
  </si>
  <si>
    <t>[TIMES]  Hall Heroult Optimal Electrolysis</t>
  </si>
  <si>
    <t>[TIMES]  Hall Heroult Reduced Electrolyte Temperature</t>
  </si>
  <si>
    <t>[TIMES]  Aluminium Inert Anodes</t>
  </si>
  <si>
    <t>[TIMES] Aluminium Recycled Production Scrap Preheat</t>
  </si>
  <si>
    <t>[TIMES]  Aluminium Recycled Production Enhanced Furnaces</t>
  </si>
  <si>
    <t>[TIMES]  Aluminium Finishing Processes</t>
  </si>
  <si>
    <t>[TIMES_SE] Blast furnace</t>
  </si>
  <si>
    <t>[TIMES_SE] Ferrochrome arc furnace</t>
  </si>
  <si>
    <t xml:space="preserve">Moats, M., Filzwieser, A., Wang, S., Davenport, W. G., Siegmund, A., &amp; Robinson, T. </t>
  </si>
  <si>
    <t>Goonan, T.G.</t>
  </si>
  <si>
    <t>Techno-economic evaluation of industrial heat pump applications in US pulp and paper, textile, and automotive industries</t>
  </si>
  <si>
    <t>Working paper</t>
  </si>
  <si>
    <t>13;0.00*value;0.00*value</t>
  </si>
  <si>
    <t>13;0.97*value;1.03*value</t>
  </si>
  <si>
    <t>Assessment of hydrogen direct reduction for fossil-free steelmaking</t>
  </si>
  <si>
    <t>Vogl, V., Åhman, M., Nilsson, L.J.</t>
  </si>
  <si>
    <t>https://doi.org/10.1016/j.jclepro.2018.08.279</t>
  </si>
  <si>
    <t>10.1016/j.jclepro.2018.08.279</t>
  </si>
  <si>
    <t>CO2 capture rate = 55%</t>
  </si>
  <si>
    <t>CO2 capture rate = 86%</t>
  </si>
  <si>
    <t>CO2 capture rate = 80%</t>
  </si>
  <si>
    <t>Database</t>
  </si>
  <si>
    <t>10.1007/s11367-016-1087-8</t>
  </si>
  <si>
    <t>Journal article</t>
  </si>
  <si>
    <t>Rebekka Volk, Christoph Stallkamp, Justus J. Steins, Savina Padumane Yogish, Richard C. Müller, Dieter Stapf, Frank Schultmann</t>
  </si>
  <si>
    <t>Techno-economic assessment and comparison of different plastic recycling pathways: A German case study</t>
  </si>
  <si>
    <t>Journal of Industrial Ecology</t>
  </si>
  <si>
    <t>10.1111/jiec.13145</t>
  </si>
  <si>
    <t>https://onlinelibrary.wiley.com/doi/full/10.1111/jiec.13145</t>
  </si>
  <si>
    <t>S. Ferreira, M. Cabral, N.F. da Cruz, P. Simões, R.C. Marques</t>
  </si>
  <si>
    <t>Life cycle assessment of a packaging waste recycling system in Portugal</t>
  </si>
  <si>
    <t>Waste management</t>
  </si>
  <si>
    <t>10.1016/j.wasman.2014.05.007</t>
  </si>
  <si>
    <t>https://www.sciencedirect.com/science/article/pii/S0956053X14002074#b0205</t>
  </si>
  <si>
    <t>Raoul Meys
, Felicitas Frick,
, Stefan Westhues, André Sternberg
, Jürgen Klankermayer,
André Bardow</t>
  </si>
  <si>
    <t>Towards a circular economy for plastic packaging wastes – the environmental potential of chemical recycling</t>
  </si>
  <si>
    <t>Resources, conservation and recycling</t>
  </si>
  <si>
    <t>10.1016/j.resconrec.2020.105010</t>
  </si>
  <si>
    <t>https://doi.org/10.1016/j.resconrec.2020.105010</t>
  </si>
  <si>
    <t>Harish Jeswani, Christian Krüger, Manfred Russ, Maike Horlacher, Florian Antony,Simon Hann, Adisa Azapagic</t>
  </si>
  <si>
    <t>Life cycle environmental impacts of chemical recycling via pyrolysis of mixed plastic waste in comparison with mechanical recycling and energy recovery</t>
  </si>
  <si>
    <t>Science of total environment</t>
  </si>
  <si>
    <t>10.1016/j.scitotenv.2020.144483</t>
  </si>
  <si>
    <t>https://doi.org/10.1016/j.scitotenv.2020.144483</t>
  </si>
  <si>
    <t>David Turner,  Ian Williams, Simon Kemp</t>
  </si>
  <si>
    <t>Greenhouse gas emission factors for recycling of source-segregated waste materials</t>
  </si>
  <si>
    <t>10.1016/j.resconrec.2015.10.026</t>
  </si>
  <si>
    <t>https://doi.org/10.1016/j.resconrec.2015.10.026</t>
  </si>
  <si>
    <t>S.N. Menikpura, Atsushi Santo, Yashiko Hotta</t>
  </si>
  <si>
    <t>Assessing the climate co-benefits from Waste Electrical and Electronic Equipment (WEEE) recycling in Japan</t>
  </si>
  <si>
    <t>10.1016/j.jclepro.2014.03.040</t>
  </si>
  <si>
    <t>https://www.sciencedirect.com/science/article/pii/S0959652614002613</t>
  </si>
  <si>
    <t>Felipe Alejandro García Paz, Magdalena Heibeck, Ashak Mahmud Parvez, Jorge Torrubia, Karl Gerald van den Boogaart and Simone Raatz</t>
  </si>
  <si>
    <t>Recovery of Materials from Refrigerator: A Study Focused on Product Distribution, Recyclability and LCA Evaluation</t>
  </si>
  <si>
    <t>MDPI Sustainability</t>
  </si>
  <si>
    <t>10.3390/su16031082</t>
  </si>
  <si>
    <t>https://doi.org/10.3390/su16031082</t>
  </si>
  <si>
    <t>Cynthia Latunussa, Fulvio Ardente, Gian Andrea Blengini, Lucia Mancini</t>
  </si>
  <si>
    <t>Life Cycle Assessment of an innovative recycling process for crystalline silicon photovoltaic panels</t>
  </si>
  <si>
    <t>Solar energy materials and Solar Cells</t>
  </si>
  <si>
    <t>10.1016/j.solmat.2016.03.020</t>
  </si>
  <si>
    <t>https://doi.org/10.1016/j.solmat.2016.03.020</t>
  </si>
  <si>
    <t>Pokhrel P., Lin Sheng-Lung, Tsai Chi-Ting</t>
  </si>
  <si>
    <t>Environmental and economic performance analysis of recycling waste printed circuit boards using life cycle assessment</t>
  </si>
  <si>
    <t>Journal of Environmental Management</t>
  </si>
  <si>
    <t>10.1016/j.jenvman.2020.111276</t>
  </si>
  <si>
    <t>https://doi.org/10.1016/j.jenvman.2020.111276</t>
  </si>
  <si>
    <t>Ciacci L., Morselli L., Passarini, F., Santini, A., Vassura, I.</t>
  </si>
  <si>
    <t>A comparison among different automotive shredder residue treatment processes</t>
  </si>
  <si>
    <t>10.1007/s11367-010-0222-1</t>
  </si>
  <si>
    <t>https://doi.org/10.1007/s11367-010-0222-1</t>
  </si>
  <si>
    <t>Bigum, M., Brogaard, L., Christens T.</t>
  </si>
  <si>
    <t>Metal recovery from high-grade WEEE: A life cycle assessment</t>
  </si>
  <si>
    <t>Journal of Hazardous Materials</t>
  </si>
  <si>
    <t>10.1016/j.jhazmat.2011.10.001</t>
  </si>
  <si>
    <t>https://www.sciencedirect.com/science/article/pii/S0304389411012283</t>
  </si>
  <si>
    <t>Belboom, S., Lewis, G., Bareel, P., Léonard, A.</t>
  </si>
  <si>
    <t>Life cycle assessment of hybrid vehicles recycling: Comparison of three business lines of dismantling</t>
  </si>
  <si>
    <t>10.1016/j.wasman.2016.02.007</t>
  </si>
  <si>
    <t>https://www.sciencedirect.com/science/article/pii/S0956053X16300563</t>
  </si>
  <si>
    <t>Yisong Chen, Zhensen Ding, Jiahui Liu &amp; Jinqiu Ma</t>
  </si>
  <si>
    <t>Life cycle assessment of end-of-life vehicle recycling in China: a comparative study of environmental burden and benefit</t>
  </si>
  <si>
    <t>International Journal of Environmental Studies</t>
  </si>
  <si>
    <t>10.1080/00207233.2019.1618670</t>
  </si>
  <si>
    <t>https://www.tandfonline.com/doi/full/10.1080/00207233.2019.1618670</t>
  </si>
  <si>
    <t>Stallkamp, C., Hennig, M., Volk, R., Richter, F., Bergfeldt, B., Tavakkol, S., Schultmann, F., Stapf, D.</t>
  </si>
  <si>
    <t>Economic and environmental assessment of automotive plastic waste end-of-life options: Energy recovery versus chemical recycling</t>
  </si>
  <si>
    <t>10.1111/jiec.13416</t>
  </si>
  <si>
    <t>https://onlinelibrary.wiley.com/doi/full/10.1111/jiec.13416</t>
  </si>
  <si>
    <t>Arena, U., Ardolino, F.</t>
  </si>
  <si>
    <t>Technical and environmental performances of alternative treatments for challenging plastics waste</t>
  </si>
  <si>
    <t>10.1016/j.resconrec.2022.106379</t>
  </si>
  <si>
    <t>https://www.sciencedirect.com/science/article/pii/S0921344922002038</t>
  </si>
  <si>
    <t>Conference Paper</t>
  </si>
  <si>
    <t>Halabi, E., Third, M., Doolan, M.</t>
  </si>
  <si>
    <t>Machine-based Dismantling of End of Life Vehicles: A Life Cycle Perspective</t>
  </si>
  <si>
    <t>Procedia CIRP</t>
  </si>
  <si>
    <t>10.1016/j.procir.2015.02.078</t>
  </si>
  <si>
    <t>https://www.sciencedirect.com/science/article/pii/S2212827115001547</t>
  </si>
  <si>
    <t>Dissertation</t>
  </si>
  <si>
    <t>Sawyer-Beauleu, S.</t>
  </si>
  <si>
    <t>Gate-to-gate life cycle inventory assessment of North American end-of-life vehicle management processesend-of-life vehicle management processes</t>
  </si>
  <si>
    <t>University of Windsor Electronic Theses and Dissertations</t>
  </si>
  <si>
    <t>https://scholar.uwindsor.ca/cgi/viewcontent.cgi?article=8847&amp;context=etd</t>
  </si>
  <si>
    <t>Wu, Q., Leng, S., Zhang, Q., Xiao, Ju.</t>
  </si>
  <si>
    <t>Resource and environmental assessment of pyrolysis-based high-value utilization of waste passenger tires</t>
  </si>
  <si>
    <t>Waste Management</t>
  </si>
  <si>
    <t>10.1016/j.wasman.2021.03.008</t>
  </si>
  <si>
    <t>https://www.sciencedirect.com/science/article/pii/S0956053X21001434?via%3Dihub</t>
  </si>
  <si>
    <t>Li, X., Xu, H., Gao, Y., Tao, Y.</t>
  </si>
  <si>
    <t>10.1016/j.wasman.2010.06.006</t>
  </si>
  <si>
    <t>https://www.sciencedirect.com/science/article/pii/S0956053X10003211#aep-section-id29</t>
  </si>
  <si>
    <t>Ecoinvent, treatment of used Li-ion battery, pyrometallurgical treatment, GLO, version 3.9.1, undefined system model</t>
  </si>
  <si>
    <t>R. Hischier</t>
  </si>
  <si>
    <t>2022/data source 2007/data from 2005</t>
  </si>
  <si>
    <t>Ecoinvent, treatment of non-Fe-Co-metals, from used Li-ion battery, pyrometallurgical treatment, GLO, version 3.9.1, undefined system model</t>
  </si>
  <si>
    <t>Sofia Parada Tur</t>
  </si>
  <si>
    <t>2000-2005/2022</t>
  </si>
  <si>
    <t>Ecoinvent, treatment of used Li-ion battery, hydrometallurgical treatment - GLO, version 3.9.1, undefined system model</t>
  </si>
  <si>
    <t>Ecoinvent, treatment of non-Fe-Co-metals, from used Li-ion battery, hydrometallurgical treatment, GLO, version 3.9.1, undefined system model</t>
  </si>
  <si>
    <t>R. Salomone, F. Mondello, F. Lanuzza, and G. Micali</t>
  </si>
  <si>
    <t>An Eco-balance of a Recycling Plant for Spent Lead–Acid Batteries</t>
  </si>
  <si>
    <t>Environmental Management</t>
  </si>
  <si>
    <t>10.1007/s00267-003-0099-x</t>
  </si>
  <si>
    <t>Schlüter et al.</t>
  </si>
  <si>
    <t>Life Cycle Assessment for Batteries of Electric Vehicles</t>
  </si>
  <si>
    <t>Göteborg</t>
  </si>
  <si>
    <t>link to secondary souce: https://www.osti.gov/etdeweb/servlets/purl/20016968</t>
  </si>
  <si>
    <t>Ewa Rudniek, Marek Nikiel</t>
  </si>
  <si>
    <t>Hydrometallurgical recovery of cadmium and nickel from spent Ni-Cd batteries</t>
  </si>
  <si>
    <t>Hydrometallurgy</t>
  </si>
  <si>
    <t>10.1016/j.hydromet.2007.05.006</t>
  </si>
  <si>
    <t>Carl Johan Rydh, Magnus Karlström</t>
  </si>
  <si>
    <t>Life Cycle inventory of recycling portable nickel-cadmium batteries</t>
  </si>
  <si>
    <t>DOI:10.1016/S0921-3449(01)00114-8</t>
  </si>
  <si>
    <t xml:space="preserve">    JAYSON BECKMANSTEPHANIE RICHE</t>
  </si>
  <si>
    <t>Journal of Agricultural and Applied Economics</t>
  </si>
  <si>
    <t>10.1017/aae.2015.22</t>
  </si>
  <si>
    <t>https://www.researchgate.net/publication/284131751_CHANGES_TO_THE_NATURAL_GAS_CORN_AND_FERTILIZER_PRICE_RELATIONSHIPS_FROM_THE_BIOFUELS_ERA/figures?lo=1</t>
  </si>
  <si>
    <t>Business Analytiq</t>
  </si>
  <si>
    <t>https://businessanalytiq.com/procurementanalytics/index/sodium-hydroxide-price-index/</t>
  </si>
  <si>
    <t>Q. Chen, X. Lai, Y. Hou, H. Gu, L. Lu, X. Liu, D. Ren, Y. Guo, Y. Zheng</t>
  </si>
  <si>
    <t>Investigating the environmental impacts of different direct material recycling and battery remanufacturing technologies on two types of retired lithium-ion batteries from electric vehicles in China</t>
  </si>
  <si>
    <t>Separation and Purification Technology</t>
  </si>
  <si>
    <t>10.1016/j.seppur.2022.122966</t>
  </si>
  <si>
    <t>Turner, D., Williams I. D., Kemp, S.</t>
  </si>
  <si>
    <t>Combined material flow analysis and life cycle assessment as a support tool for solid waste management decision making</t>
  </si>
  <si>
    <t>10.1016/j.jclepro.2016.04.077</t>
  </si>
  <si>
    <t>https://www.sciencedirect.com/science/article/pii/S0959652616303456</t>
  </si>
  <si>
    <t>Jun Dong, Yuanjun Tang, Ange Nzihou, Yong Chi, Elsa Weiss-Hortala,
Mingjiang Ni, Zhaozhi Zhou</t>
  </si>
  <si>
    <t>Comparison of waste-to-energy technologies of gasification and incineration using life cycle assessment: Case studies in Finland, France and China</t>
  </si>
  <si>
    <t>10.1016/j.jclepro.2018.08.139</t>
  </si>
  <si>
    <t>https://www.sciencedirect.com/science/article/pii/S0959652618324831</t>
  </si>
  <si>
    <t>Carine Lausselet, Francesco Cherubini, Gonzalo del Alamo Serrano, Michael Becidan,
Anders Hammer Strømman</t>
  </si>
  <si>
    <t>Life-cycle assessment of a Waste-to-Energy plant in central Norway: Current situation and effects of changes in waste fraction composition</t>
  </si>
  <si>
    <t>10.1016/j.wasman.2016.09.014</t>
  </si>
  <si>
    <t>https://www.sciencedirect.com/science/article/pii/S0956053X16305177</t>
  </si>
  <si>
    <t>Arena, U., Ardolino, F., Di Gregorio, F.</t>
  </si>
  <si>
    <t>A life cycle assessment of environmental performances of two combustion- and gasification-based waste-to-energy technologies</t>
  </si>
  <si>
    <t>10.1016/j.wasman.2015.03.041</t>
  </si>
  <si>
    <t>https://doi.org/10.1016/j.wasman.2015.03.041</t>
  </si>
  <si>
    <t xml:space="preserve">Jinglan Hong, Xiaofei Han, Yilu Chen, Meng Wang, Liping Ye, Congcong Qi &amp; Xiangzhi Li </t>
  </si>
  <si>
    <t>Life cycle environmental assessment of industrial hazardous waste incineration and landfilling in China</t>
  </si>
  <si>
    <t>10.1007/s11367-016-1228-0</t>
  </si>
  <si>
    <t>https://doi.org/10.1007/s11367-016-1228-0</t>
  </si>
  <si>
    <t>M.D. Bovea, V. Ibáñez-Forés, A. Gallardo, F.J. Colomer-Mendoz</t>
  </si>
  <si>
    <t>Environmental assessment of alternative municipal solid waste management
strategies. A Spanish case study</t>
  </si>
  <si>
    <t>10.1016/j.wasman.2010.03.001</t>
  </si>
  <si>
    <t>https://www.sciencedirect.com/science/article/pii/S0956053X10001492</t>
  </si>
  <si>
    <t>Phillip N. Pressley, James W. Levis, Anders Damgaard, Morton A. Barlaz, Joseph F. DeCarolis</t>
  </si>
  <si>
    <t>Analysis of material recovery facilities for use in life-cycle assessment</t>
  </si>
  <si>
    <t>10.1016/j.wasman.2014.09.012</t>
  </si>
  <si>
    <t>https://www.sciencedirect.com/science/article/pii/S0956053X14004346</t>
  </si>
  <si>
    <t>EI_EOL_1</t>
  </si>
  <si>
    <t>[WEEE] Manual sorting of plastics from WEEE, informal sector</t>
  </si>
  <si>
    <t>C38.3</t>
  </si>
  <si>
    <t>Manual sorting of plastics from WEEE, informal sector</t>
  </si>
  <si>
    <t>ecoinvent UUID 409f6dc7-2d22-3499-b654-dd7b6cd937d0</t>
  </si>
  <si>
    <t>Data representative of India in 2017</t>
  </si>
  <si>
    <t>EI_EOL_2</t>
  </si>
  <si>
    <t>[WEEE] Manual soritng of plastics from WEEE, formal sector</t>
  </si>
  <si>
    <t>Manual sorting of plastics from WEEE, formal sector</t>
  </si>
  <si>
    <t>ecoinvent UUID 8dbf3736-dcae-3c54-b519-d151e223ab2a</t>
  </si>
  <si>
    <t>Volk_packaging_waste</t>
  </si>
  <si>
    <t>[Packaging] Treatment of mixed lightweight packaging waste, mechanical recycling</t>
  </si>
  <si>
    <t>Treatment of plastic packaging waste, mechanical recycling</t>
  </si>
  <si>
    <t>Mixed lightweight packaging weight</t>
  </si>
  <si>
    <t>Data representative of Germany in 2021</t>
  </si>
  <si>
    <t>Volk_packaging_waste_2</t>
  </si>
  <si>
    <t>[Packaging] Treatment of mixed lightweight packaging waste, chemical recycling</t>
  </si>
  <si>
    <t>Treatment of plastic packaging waste, chemical recycling</t>
  </si>
  <si>
    <t>Ferreira_packaging_waste</t>
  </si>
  <si>
    <t>[Packaging] Sorting of plastic packaging waste</t>
  </si>
  <si>
    <t xml:space="preserve">Sorting of plastic packaging waste </t>
  </si>
  <si>
    <t>Data from a facility in Portugal. Data is from 2010.</t>
  </si>
  <si>
    <t>Ferreira_packaging_waste_2</t>
  </si>
  <si>
    <t>[Packaging] Sorting of paper/cardboard packaging waste</t>
  </si>
  <si>
    <t xml:space="preserve">Sorting of paper and paperboard packaging waste </t>
  </si>
  <si>
    <t>EI_EOL_3</t>
  </si>
  <si>
    <t>[Packaging] Sorting of waste packaging paperboard</t>
  </si>
  <si>
    <t>Sorting of waste packaging paperboard</t>
  </si>
  <si>
    <t>ecoinvent UUID ffb79e8b-a822-3dce-8a4e-b1ec86eed57d</t>
  </si>
  <si>
    <t>Data from situation in Switzerland in 2012</t>
  </si>
  <si>
    <t>EI_EOL_4</t>
  </si>
  <si>
    <t>[Packaging] Sorting of waste packaging paper</t>
  </si>
  <si>
    <t>Sorting of waste packaging paper</t>
  </si>
  <si>
    <t>ecoinvent UUID dba707e6-f26e-344e-99a9-32911ba5edce</t>
  </si>
  <si>
    <t>Old data from generic technologies used in Europe in 2005</t>
  </si>
  <si>
    <t>EI_EOL_5</t>
  </si>
  <si>
    <t xml:space="preserve">[Packaging] Sorting of waste tinplate packaging </t>
  </si>
  <si>
    <t>Sorting of waste tinplate packaging</t>
  </si>
  <si>
    <t>ecoinvent UUID 17be42f8-8888-384f-a30d-1ac0d15fd3c0</t>
  </si>
  <si>
    <t>EI_EOL_6</t>
  </si>
  <si>
    <t>[Packaging] Sorting of waste aluminium packaging</t>
  </si>
  <si>
    <t>Sorting of waste aluminium packaging</t>
  </si>
  <si>
    <t>ecoinvent UUID 9845cb86-604a-32a5-8378-7cb8b7a16ebc</t>
  </si>
  <si>
    <t>EI_EOL_7</t>
  </si>
  <si>
    <t>[Packaging] Sorting of glass packaging waste</t>
  </si>
  <si>
    <t>Sorting of glass packaging waste</t>
  </si>
  <si>
    <t>ecoinvent UUID 357ead15-3a48-30fd-8409-623f943d02d3</t>
  </si>
  <si>
    <t>Data from Germany and Switzerland in the 90´s</t>
  </si>
  <si>
    <t>EI_EOL_8</t>
  </si>
  <si>
    <t>[Packaging] Sorting and shredding of waste wood</t>
  </si>
  <si>
    <t>Sorting and shredding of waste wood</t>
  </si>
  <si>
    <t>ecoinvent UUID 27dc1893-1e28-3864-99e6-f2dec1fc3791</t>
  </si>
  <si>
    <t>Data from Austria in 2004, can be used as average for Europe</t>
  </si>
  <si>
    <t>Meys_plastic_waste</t>
  </si>
  <si>
    <t>[Packaging] Treatment of PET, mechanical recycling</t>
  </si>
  <si>
    <t>Treatment of Polyethylenterephthalat via mechanical recycling</t>
  </si>
  <si>
    <t>Substitution factor recomended for primary material: 1… vield .8</t>
  </si>
  <si>
    <t>Data from recycling companies in Germany, gathered between 2008-2017</t>
  </si>
  <si>
    <t>Meys_plastic_waste_2</t>
  </si>
  <si>
    <t>[Packaging] Treatment of HDPE, mechanical recycling</t>
  </si>
  <si>
    <t>Treatment of high-density polyethylene via mechanical recycling</t>
  </si>
  <si>
    <t>Substitution factor recomended for primary material: 0.7… yield 0.75</t>
  </si>
  <si>
    <t>Meys_plastic_waste_3</t>
  </si>
  <si>
    <t>[Packaging] Treatment of LDPE, mechanical recycling</t>
  </si>
  <si>
    <t>Treatment of low-density polyethylene via mechanical recycling</t>
  </si>
  <si>
    <t>Meys_plastic_waste_4</t>
  </si>
  <si>
    <t>[Packaging] Treatment of PP, mechanical recycling</t>
  </si>
  <si>
    <t>Treatment of Polypropylene via mechanical recycling</t>
  </si>
  <si>
    <t>Meys_plastic_waste_5</t>
  </si>
  <si>
    <t>[Packaging] Treatment of PS, mechanical recycling</t>
  </si>
  <si>
    <t>Treatment of Polystyrene via mechanical recycling</t>
  </si>
  <si>
    <t>Substitution factor recomended for primary material: 0.9… yield 0.75</t>
  </si>
  <si>
    <t>Jeswani_plastic_waste</t>
  </si>
  <si>
    <t>[Packaging] Treatment of mixed plastics waste, pyrolisis oil production</t>
  </si>
  <si>
    <t>Pyrolisis Oil production from mixed plastics waste</t>
  </si>
  <si>
    <t>Data from waste treatment facility in Portugal from 2010</t>
  </si>
  <si>
    <t>Jeswani_plastic_waste_2</t>
  </si>
  <si>
    <t>[Packaging] Treatment of mixed plastics waste, mechanical recycling</t>
  </si>
  <si>
    <t>Treatment mixed plastics waste, mechanical recycling</t>
  </si>
  <si>
    <t>Jeswani_plastic_waste_3</t>
  </si>
  <si>
    <t>[Packaging] Ethylene production from purified pyrolisis Oil</t>
  </si>
  <si>
    <t>Ethylene production from purified pyrolisis Oil</t>
  </si>
  <si>
    <t>Jeswani_plastic_waste_4</t>
  </si>
  <si>
    <t>[Packaging] Energy recovery of mixed plastic waste, 100% incineration</t>
  </si>
  <si>
    <t>Energy recovery of mixed plastic waste, 100% incineration</t>
  </si>
  <si>
    <t>Jeswani_plastic_waste_5</t>
  </si>
  <si>
    <t>[Packaging] Energy recovery of mixed plastic waste, 100% refuse-derived fuel</t>
  </si>
  <si>
    <t>Energy recovery of mixed plastic waste, 100% refuse-derived fuel</t>
  </si>
  <si>
    <t>Jeswani_plastic_waste_6</t>
  </si>
  <si>
    <t>[Packaging] Energy recovery of mixed plastic waste, 30% incineration, 70% refuse-derived fuel</t>
  </si>
  <si>
    <t>Energy recovery of mixed plastic waste, 30% incineration, 70% refuse-derived fuel</t>
  </si>
  <si>
    <t>EI_EOL_9</t>
  </si>
  <si>
    <t>[ELV] Shredding of used glider, electric scooter</t>
  </si>
  <si>
    <t>Shredding of used glider, electric scooter</t>
  </si>
  <si>
    <t>UUID 661d8c91-f361-3d5c-abee-327a1c1c3417</t>
  </si>
  <si>
    <t>Turner_waste</t>
  </si>
  <si>
    <t>[ELV] Treatment of waste car tyres, recycling</t>
  </si>
  <si>
    <t>Treatment of waste large vehicle tyres, generic recycling process</t>
  </si>
  <si>
    <t>Data representative of average EOL car composition in the UK, from 2006-2014</t>
  </si>
  <si>
    <t>Turner_waste_2</t>
  </si>
  <si>
    <t>[ELV] Treatment of waste large vehicle tyres, recycling</t>
  </si>
  <si>
    <t>Turner_waste_3</t>
  </si>
  <si>
    <t>[Packaging] Treatment of waste wood/MDF, sorting</t>
  </si>
  <si>
    <t>Sorting of waste wood/MDF</t>
  </si>
  <si>
    <t>Can be considered as proxy for furniture</t>
  </si>
  <si>
    <t>Data from the UK from 2009</t>
  </si>
  <si>
    <t>Turner_waste_4</t>
  </si>
  <si>
    <t>[WEEE] Treatment of WEEE from large appliances</t>
  </si>
  <si>
    <t>Treatment of WEEE from large appliances</t>
  </si>
  <si>
    <t>Turner_waste_5</t>
  </si>
  <si>
    <t>[WEEE] Treatment of WEEE from small appliances</t>
  </si>
  <si>
    <t>Treatment of WEEE from small appliances</t>
  </si>
  <si>
    <t>EI_EOL_10</t>
  </si>
  <si>
    <t>[WEEE] Treatment of electronic scrap from control units, manual dismantling</t>
  </si>
  <si>
    <t>Treatment of electronic scrap from control units, manual dismantling</t>
  </si>
  <si>
    <t>Turner_waste_6</t>
  </si>
  <si>
    <t>[WEEE] Treatment of WEEE used printed wiring boards, shredding and separation</t>
  </si>
  <si>
    <t>Treatment of WEEE used Printed wiring boards</t>
  </si>
  <si>
    <t>Turner_waste_7</t>
  </si>
  <si>
    <t>[WEEE] Treatment of WEEE waste cables, shredding and separation</t>
  </si>
  <si>
    <t>Treatment of WEEE waste cables</t>
  </si>
  <si>
    <t>Turner_waste_8</t>
  </si>
  <si>
    <t>[WEEE] Treatment of WEEE from used fridges and freezers</t>
  </si>
  <si>
    <t>Treatment of WEEE from used fridges and freezers</t>
  </si>
  <si>
    <t>Turner_waste_9</t>
  </si>
  <si>
    <t>[WEEE] treatment of aluminium scrap, sorting and preparation for recycling</t>
  </si>
  <si>
    <t>Sorting and preparation of aluminium scrap</t>
  </si>
  <si>
    <t>Turner_waste_10</t>
  </si>
  <si>
    <t>[WEEE] treatment of metal scrap, sorting and preparation for recycling</t>
  </si>
  <si>
    <t>Sorting and preparation of metal scrap</t>
  </si>
  <si>
    <t>Turner_waste_11</t>
  </si>
  <si>
    <t>[Packaging] Waste mixed plastics sorting</t>
  </si>
  <si>
    <t>Waste mixed plastics sorting</t>
  </si>
  <si>
    <t>Turner_waste_12</t>
  </si>
  <si>
    <t>treatment of used bicycle, sorting and preparation for recycling</t>
  </si>
  <si>
    <t>Menikpura_WEEE</t>
  </si>
  <si>
    <t>[WEEE] Treatment of used washing machine, dismantling</t>
  </si>
  <si>
    <t>Treatment of used washing machine, dismantling</t>
  </si>
  <si>
    <t>Data representative of Japan, 2014</t>
  </si>
  <si>
    <t>Menikpura_WEEE_2</t>
  </si>
  <si>
    <t>[WEEE] Treatment of used A/C unit, dismantling</t>
  </si>
  <si>
    <t>Treatment of used A/C unit, dismantling</t>
  </si>
  <si>
    <t>Menikpura_WEEE_3</t>
  </si>
  <si>
    <t>[WEEE] Treatment of used refrigerator, dismantling</t>
  </si>
  <si>
    <t>Treatment of used refrigerator, dismantling</t>
  </si>
  <si>
    <t>Menikpura_WEEE_4</t>
  </si>
  <si>
    <t>[WEEE] Treatment of used TV, dismantling</t>
  </si>
  <si>
    <t>Treatment of used TV, dismantling</t>
  </si>
  <si>
    <t>Garcia_EOL_refrigerator</t>
  </si>
  <si>
    <t>Latunussa_PV_EOL</t>
  </si>
  <si>
    <t>[WEEE] Treatment of used photovoltaic module</t>
  </si>
  <si>
    <t>Treatment of used photovoltaic module</t>
  </si>
  <si>
    <t>Pohkrel_PCB_EOL</t>
  </si>
  <si>
    <t>[WEEE] Treatment of waste Printed Circuit Board (PCB)</t>
  </si>
  <si>
    <t>Treatment of waste Printed Circuit Board (PCB)</t>
  </si>
  <si>
    <t>Ciacci_ASR_1</t>
  </si>
  <si>
    <t>[ELV] Treatment of automotive shredder residue (ASR), metals recovery</t>
  </si>
  <si>
    <t>Treatment of automotive shredder residue (ASR), metals recovery</t>
  </si>
  <si>
    <t>Ciacci_ASR_2</t>
  </si>
  <si>
    <t>[ELV] Treatment of automotive shredder residue (ASR), themal treatment and energy recovery</t>
  </si>
  <si>
    <t>Treatment of automotive shredder residue (ASR), themal treatment and energy recovery</t>
  </si>
  <si>
    <t>Ciacci_ASR_3</t>
  </si>
  <si>
    <t>[ELV] Treatment of automotive shredder residue (ASR), advanced material recovery and incineration</t>
  </si>
  <si>
    <t>Treatment of automotive shredder residue (ASR), advanced material recovery and incineration</t>
  </si>
  <si>
    <t>Ciacci_ASR_4</t>
  </si>
  <si>
    <t>[ELV] Treatment of automotive shredder residue (ASR), feedstock recycling</t>
  </si>
  <si>
    <t>Treatment of automotive shredder residue (ASR), feedstock recycling</t>
  </si>
  <si>
    <t>Bigum_WEEE</t>
  </si>
  <si>
    <t>[WEEE] Treatment of WEEE, high grade, shredding and separation</t>
  </si>
  <si>
    <t>Treatment of WEEE, high grade</t>
  </si>
  <si>
    <t>Belboom_ELV</t>
  </si>
  <si>
    <t>[ELV] Treatment of used vehicle, dismantling and shredding</t>
  </si>
  <si>
    <t>Treatment of used vehicle, dismantling and shredding. Vehicle is without engine and battery</t>
  </si>
  <si>
    <t>Vehicle is without engine and battery. Shredding takes place without removing any electronic parts.</t>
  </si>
  <si>
    <t>Industrial data from Belgium. Hybrid vehicles are covered.</t>
  </si>
  <si>
    <t>Belboom_ELV_2</t>
  </si>
  <si>
    <t>[ELV] Treatment of used vehicle, manual dismantling of ECU, shredding</t>
  </si>
  <si>
    <t>Treatment of used vehicle, manual dismantling of ECU, shredding. Vehicle is without engine and battery</t>
  </si>
  <si>
    <t>Vehicle is without engine and battery. Manual dismantling of ECU takes place</t>
  </si>
  <si>
    <t>Chen_China_ELV</t>
  </si>
  <si>
    <t>[ELV] Treatment of diesel engine motor end-of-life vehicle (ELV)</t>
  </si>
  <si>
    <t>Treatment of diesel engine motor end-of-life vehicle (ELV)</t>
  </si>
  <si>
    <t>Stallkamp_APW</t>
  </si>
  <si>
    <t>[ELV] Treatment of automotive plastic waste (APW), waste to energy in MSWI plants</t>
  </si>
  <si>
    <t>Treatment of automotive plastic waste (APW), waste to energy in MSWI plants</t>
  </si>
  <si>
    <t>Stallkamp_APW_2</t>
  </si>
  <si>
    <t>[ELV] Treatment of automotive plastic waste (APW), waste to energy in RDF plant</t>
  </si>
  <si>
    <t>Treatment of automotive plastic waste (APW), waste to energy in RDF plant</t>
  </si>
  <si>
    <t>Stallkamp_APW_3</t>
  </si>
  <si>
    <t>[ELV] Treatment of automotive plastic waste (APW), chemical recycling</t>
  </si>
  <si>
    <t>Treatment of automotive plastic waste (APW), chemical recycling</t>
  </si>
  <si>
    <t>Arena_plastics_waste</t>
  </si>
  <si>
    <t>[WEEE] Treatment of mixed plastics from WEEE, catalytic pyrolisis</t>
  </si>
  <si>
    <t>Treatment of mixed plastics from WEEE, catalytic pyrolisis</t>
  </si>
  <si>
    <t>Arena_plastics_waste_2</t>
  </si>
  <si>
    <t>[ELV] Treatment of mixed plastics from ELV, catalytic pyrolisis</t>
  </si>
  <si>
    <t>Treatment of mixed plastics from ELV, catalytic pyrolisis</t>
  </si>
  <si>
    <t>El_Halabi_ELV</t>
  </si>
  <si>
    <t>[ELV] Treatment of ELV Hulk, machine-based dismantling</t>
  </si>
  <si>
    <t>Treatment of ELV Hulk, machine-based dismantling</t>
  </si>
  <si>
    <t>Process starts after decontamination and removal of tyres, batteries and parts has taken place</t>
  </si>
  <si>
    <t>Data from Australian auto dismantler</t>
  </si>
  <si>
    <t>Sawyer_Beaulieu_ELV</t>
  </si>
  <si>
    <t>[ELV] Treatment of ELV hulk, shredding</t>
  </si>
  <si>
    <t>Treatment of ELV hulk, shredding</t>
  </si>
  <si>
    <t>Data from treatment facilities from North America. Data may be outdated (2009)</t>
  </si>
  <si>
    <t>Sawyer_Beaulieu_ELV_2</t>
  </si>
  <si>
    <t>[ELV] Treatmeant of ELV, dismantling</t>
  </si>
  <si>
    <t>Treatmeant of ELV, dismantling</t>
  </si>
  <si>
    <t>Specific parts and components recovered for reuse and recycling derived</t>
  </si>
  <si>
    <t>Wu_waste_passenger_tires</t>
  </si>
  <si>
    <t>[ELV] Treatment of waste passenger tires, pyrolisis and deep processing</t>
  </si>
  <si>
    <t>Treatment of waste passenger tires, high value pyrolisis</t>
  </si>
  <si>
    <t>secondary material production included in energy consumption…</t>
  </si>
  <si>
    <t xml:space="preserve">Data from China, 2021. </t>
  </si>
  <si>
    <t>Wu_waste_passenger_tires_2</t>
  </si>
  <si>
    <t>[ELV] Treatment of waste passenger tires, conventional pyrolisis</t>
  </si>
  <si>
    <t>Treatment of waste passenger tires, conventional pyrolisis</t>
  </si>
  <si>
    <t>Li_waste_passenger_tires</t>
  </si>
  <si>
    <t>[ELV] Treatment of waste passenger tires, ambient grinding</t>
  </si>
  <si>
    <t>Treatment of waste passenger tires, ambient grinding</t>
  </si>
  <si>
    <t>Data from China, covering the conventional treatment technologies of waste tyres. From 2010.</t>
  </si>
  <si>
    <t>Li_waste_passenger_tires_2</t>
  </si>
  <si>
    <t>[ELV] Treatment of waste passenger tires, dynamic devulcanization</t>
  </si>
  <si>
    <t>Treatment of waste passenger tires, dynamic devulcanization</t>
  </si>
  <si>
    <t>Li_waste_passenger_tires_3</t>
  </si>
  <si>
    <t>[ELV] Treatment of waste passenger tires, pyrolisis</t>
  </si>
  <si>
    <t>Treatment of waste passenger tires, pyrolisis</t>
  </si>
  <si>
    <t>Li_waste_passenger_tires_4</t>
  </si>
  <si>
    <t>[ELV] Treatment of waste passenger tires, informal tire oil extraction</t>
  </si>
  <si>
    <t>Treatment of waste passenger tires, informal tire oil extraction</t>
  </si>
  <si>
    <t>Data from China, covering the conventional treatment technologies of waste tyres. From 2010</t>
  </si>
  <si>
    <t>pyrometallurgy, used Li-ion battery</t>
  </si>
  <si>
    <t>[EOL Batteries] pyrometallurgical treatment of used Li-ion battery</t>
  </si>
  <si>
    <t>Part of E38</t>
  </si>
  <si>
    <t>Marina Haug</t>
  </si>
  <si>
    <t>added data from Ecoinvent dataset; "waste" added to achieve mass balance</t>
  </si>
  <si>
    <t>Includes only rough estimation of transport.</t>
  </si>
  <si>
    <t>treatment of non-Fe-Co-metals from pyrometallurgy</t>
  </si>
  <si>
    <t>[EOL Batteries] treatment of non-Fe-Co-metals, from pyrometallurgical treatment of used Li-ion battery</t>
  </si>
  <si>
    <t>dataset is based on a proxy (treatment of precious metals from electronic scrap in anode slime)</t>
  </si>
  <si>
    <t>hydrometallurgical treatment of used Li-ion battery</t>
  </si>
  <si>
    <t>[EOL Batteries] hydrometallurgical treatment of used Li-ion battery</t>
  </si>
  <si>
    <t>added data from Ecoinvent dataset</t>
  </si>
  <si>
    <t>treatment of non-Fe-Co-metals from hydrometallurgy</t>
  </si>
  <si>
    <t>[EOL Batteries] treatment of non-Fe-Co-metals, from hydrometallurgical treatment of used Li-ion battery</t>
  </si>
  <si>
    <t>An output of sulfuric acid was removed since it was not clear where it would come from.</t>
  </si>
  <si>
    <t>dataset is based on a proxy (copper production through solvent-extraction electro-winning); no emissions due to the lack of data</t>
  </si>
  <si>
    <t>treatment of spent lead-acid batteries</t>
  </si>
  <si>
    <t>[EOL Batteries] treatment of spent lead-acid batteries</t>
  </si>
  <si>
    <t>added data from literature</t>
  </si>
  <si>
    <t>pyrometallurgical treatment with crushing and hydraulic separation, smelting, and refining; dataset includes transport processes</t>
  </si>
  <si>
    <t>mass balance is lacking</t>
  </si>
  <si>
    <t>pyrometallurgical treatment of spent Ni-Cd batteries</t>
  </si>
  <si>
    <t>[EOL Batteries] Treatment of used Ni-Cd batteries, pyrometallurgy</t>
  </si>
  <si>
    <t>Only a few emissions are reported; data is quite old.</t>
  </si>
  <si>
    <t>hydrometallurgical treatment of spent Ni-Cd batteries</t>
  </si>
  <si>
    <t>[EOL Batteries] Treatment of used Ni-Cd batteries, hydrometallurgy</t>
  </si>
  <si>
    <t>131-134</t>
  </si>
  <si>
    <t>Based on a rather rough estimation of economic viability.</t>
  </si>
  <si>
    <t>hydrometallurgical treatment of used LFP Li-Ion battery</t>
  </si>
  <si>
    <t>[EOL Batteries] Treatment of used Li-Ion battery (LFP), hydrometallurgy</t>
  </si>
  <si>
    <t>hydrometallurgical treatment of used NCM Li-Ion battery</t>
  </si>
  <si>
    <t>[EOL Batteries] Treatment of used Li-Ion battery (NCM), hydrometallurgy</t>
  </si>
  <si>
    <t>added data from literature; "waste water" added to improve mass balance</t>
  </si>
  <si>
    <t>direct recycling of used LFP Li-Ion battery, recycling route A</t>
  </si>
  <si>
    <t>[EOL Batteries] Treatment of used Li-Ion battery (LFP), direct recycling A</t>
  </si>
  <si>
    <t>added data from literature; "nitrogen" output added to improve mass balance</t>
  </si>
  <si>
    <t>direct recycling of used LFP Li-Ion battery, recycling route B</t>
  </si>
  <si>
    <t>[EOL Batteries] Treatment of used Li-Ion battery (LFP), direct recycling B</t>
  </si>
  <si>
    <t>added data from literature; "waste" added to improve mass balance</t>
  </si>
  <si>
    <t>direct recycling of used NCM Li-Ion battery, recycling route B</t>
  </si>
  <si>
    <t>[EOL Batteries] Treatment of used Li-Ion battery (NCM), direct recycling B</t>
  </si>
  <si>
    <t>direct recycling of used LFP Li-Ion battery, recycling route C</t>
  </si>
  <si>
    <t>[EOL Batteries] Treatment of used Li-Ion battery (LFP), direct recycling C</t>
  </si>
  <si>
    <t>direct recycling of used NCM Li-Ion battery, recycling route C</t>
  </si>
  <si>
    <t>[EOL Batteries] Treatment of used Li-Ion battery (NCM), direct recycling C</t>
  </si>
  <si>
    <t>Turner_WEEE_IWER</t>
  </si>
  <si>
    <t>[WEEE] Treatment of WEEE, incineration with energy recovery</t>
  </si>
  <si>
    <t>LHV 7.6MJ/kg and 20% efficiency (22%-2% energy loss assumed)</t>
  </si>
  <si>
    <t>Turner_landfill</t>
  </si>
  <si>
    <t>[generic] treatment of waste,  non hazardous landfill</t>
  </si>
  <si>
    <t>Generic landfill operation and emission factor from Turner et al 2015</t>
  </si>
  <si>
    <t>EI_Inert_Landfill</t>
  </si>
  <si>
    <t>[generic] treatment of inert waste, sanitary landfill</t>
  </si>
  <si>
    <t>treatment of inert waste, sanitary landfill</t>
  </si>
  <si>
    <t>EI_MSW_IWER</t>
  </si>
  <si>
    <t>[generic] treatment of MSW, incineration with energy recovery</t>
  </si>
  <si>
    <t xml:space="preserve"> treatment of MSW, incineration with energy recovery</t>
  </si>
  <si>
    <t>Dong_wte_1</t>
  </si>
  <si>
    <t>[generic, china] treatment of rejected waste, incineration with energy recovery</t>
  </si>
  <si>
    <t>treatment of rejected waste, incineration with energy recovery</t>
  </si>
  <si>
    <t>Data from an incineration facility from China</t>
  </si>
  <si>
    <t>Dong_wte_2</t>
  </si>
  <si>
    <t>[generic, france] treatment of rejected waste, incineration with energy recovery</t>
  </si>
  <si>
    <t>Assumed 50/50 split of heat and electricity generation</t>
  </si>
  <si>
    <t>Data from an incineration facility from France</t>
  </si>
  <si>
    <t>Dong_wte_3</t>
  </si>
  <si>
    <t>[generic, finland] treatment of rejected waste, energy recovery via gasification</t>
  </si>
  <si>
    <t>treatment of rejected waste, energy recovery via gasification</t>
  </si>
  <si>
    <t>Data from  facility from Finland</t>
  </si>
  <si>
    <t>Lausselet_wte</t>
  </si>
  <si>
    <t>[generic, norway] treatment of waste, incineration with energy recovery</t>
  </si>
  <si>
    <t>treatment of waste, incineration with energy recovery</t>
  </si>
  <si>
    <t>11 MJ/kg LHV assumed</t>
  </si>
  <si>
    <t>Norway</t>
  </si>
  <si>
    <t>Arena_wte</t>
  </si>
  <si>
    <t>[generic, europe] treatment of waste, incineration with energy recovery</t>
  </si>
  <si>
    <t xml:space="preserve"> treatment of waste, incineration with energy recovery</t>
  </si>
  <si>
    <t>9.8 MJ/kg LHV assumed</t>
  </si>
  <si>
    <t>Representative of Europe</t>
  </si>
  <si>
    <t>Arena_wte_2</t>
  </si>
  <si>
    <t>[generic, europe] treatment of waste, gasification with energy recovery</t>
  </si>
  <si>
    <t xml:space="preserve"> treatment of waste, gasification with energy recovery</t>
  </si>
  <si>
    <t>Arena_wte_3</t>
  </si>
  <si>
    <t>[generic, europe] treatment of bottom ash from waste incineration</t>
  </si>
  <si>
    <t xml:space="preserve"> treatment of bottom ash from waste incineration</t>
  </si>
  <si>
    <t>Hong_hw_1</t>
  </si>
  <si>
    <t>[generic] treatment of hazardous waste, incineration</t>
  </si>
  <si>
    <t>treatment of hazardous waste, incineration</t>
  </si>
  <si>
    <t>Waste materials includes 63.43% waste mineral oil, 17.40% waste emulsion, 4.46% distillation residue, 8.15% dying residue, 2.86% organic resin waste, and 3.70% organic solvent waste. Material inputs used during the operational stage. Net calorific value 14 MJ/kg</t>
  </si>
  <si>
    <t>Data from China</t>
  </si>
  <si>
    <t>Hong_hw_2</t>
  </si>
  <si>
    <t>[generic] treatment of hazardous waste, landfill</t>
  </si>
  <si>
    <t>treatment of hazardous waste, landfill</t>
  </si>
  <si>
    <t>Waste included is ash and slag from incineration; heavy metal contaminated waste, inorganic fluoride and cyanide contaminated waste. Material inputs used during the operational stage.</t>
  </si>
  <si>
    <t>Bovea_MRF</t>
  </si>
  <si>
    <t>[packaging, spain] Treatment of mixed waste, material recovery facility</t>
  </si>
  <si>
    <t>Treatment of mixed waste, material recovery facility</t>
  </si>
  <si>
    <t>generic sorting of houshold trash and separates plastics, paper, composting waste, ferrous metals and waste waste to landfill</t>
  </si>
  <si>
    <t>Data from Spain 2010</t>
  </si>
  <si>
    <t>Pressley_MRF</t>
  </si>
  <si>
    <t>[packaging, USA] Treatment of mixed waste, material recovery facility</t>
  </si>
  <si>
    <t>Data from USA 2014</t>
  </si>
  <si>
    <t>EI_,metal_scrap</t>
  </si>
  <si>
    <t>[packaging] treatment of metal scrap from MSW, sorting</t>
  </si>
  <si>
    <t>treatment of metal scrap from MSW, sorting</t>
  </si>
  <si>
    <t>Data from Switzerland in 2012</t>
  </si>
  <si>
    <t>manual sorting of one tonne of plastics from WEEE, informal sector</t>
  </si>
  <si>
    <t>waste plastic, consumer electronics, sorted</t>
  </si>
  <si>
    <t>scrap steel, to recycling</t>
  </si>
  <si>
    <t>waste plastic</t>
  </si>
  <si>
    <t>waste polyurethane foam</t>
  </si>
  <si>
    <t>electricity, low voltage</t>
  </si>
  <si>
    <t>formic acid</t>
  </si>
  <si>
    <t>liquefied petroleum gas</t>
  </si>
  <si>
    <t>sodium chloride powder</t>
  </si>
  <si>
    <t>sodium hydroxide NaOH</t>
  </si>
  <si>
    <t>waste plastic, consumer electronics, unsorted</t>
  </si>
  <si>
    <t>carbon dioxide, fossil</t>
  </si>
  <si>
    <t>carbon monoxide, fossil</t>
  </si>
  <si>
    <t xml:space="preserve">particulate Matter, &gt; 10 um </t>
  </si>
  <si>
    <t>particulate Matter, &gt; 2.5 um and &lt; 10um</t>
  </si>
  <si>
    <t xml:space="preserve">BOD5, Biological Oxygen Demand </t>
  </si>
  <si>
    <t>COD, Chemical Oxygen Demand</t>
  </si>
  <si>
    <t>chloride</t>
  </si>
  <si>
    <t>DOC, Dissolved Organic Carbon</t>
  </si>
  <si>
    <t>dissolved solids</t>
  </si>
  <si>
    <t>nitrogen</t>
  </si>
  <si>
    <t>oils, non-fossil</t>
  </si>
  <si>
    <t>phosphorus</t>
  </si>
  <si>
    <t>sodium I</t>
  </si>
  <si>
    <t>TOC, Total Organic Carbon</t>
  </si>
  <si>
    <t xml:space="preserve">water </t>
  </si>
  <si>
    <t>[row intentionally left blank]</t>
  </si>
  <si>
    <t>manual sorting of one tonne of plastics from WEEE, formal sector</t>
  </si>
  <si>
    <t>Chloride</t>
  </si>
  <si>
    <t>treatment of one tonne of mixed lightweight packaging waste</t>
  </si>
  <si>
    <t>mixed lightweight packaging waste</t>
  </si>
  <si>
    <t>cumulative energy demand</t>
  </si>
  <si>
    <t>re-granulate plastics</t>
  </si>
  <si>
    <t>Proxy for HDPE, PP, LDPE, PP and GPPS</t>
  </si>
  <si>
    <t>sorting of 1kg of plastic packaging waste</t>
  </si>
  <si>
    <t>consumption sorting facility</t>
  </si>
  <si>
    <t>lubricants</t>
  </si>
  <si>
    <t>plastic waste, generic, sorted</t>
  </si>
  <si>
    <t>waste packaging plastics, unsorted</t>
  </si>
  <si>
    <t>waste, rejected</t>
  </si>
  <si>
    <t>paper/cardboard from packaging waste, sorted</t>
  </si>
  <si>
    <t>paper/cardboard packaging waste, unsorted</t>
  </si>
  <si>
    <t>sorting of 1kg of waste packaging paperboard</t>
  </si>
  <si>
    <t>waste paperboard, sorted</t>
  </si>
  <si>
    <t>electricity, medium voltage</t>
  </si>
  <si>
    <t>lubricating oil</t>
  </si>
  <si>
    <t>steel, alloyed</t>
  </si>
  <si>
    <t>waste paperboard, unsorted</t>
  </si>
  <si>
    <t>waste graphical paper</t>
  </si>
  <si>
    <t>waste paperboard</t>
  </si>
  <si>
    <t>waste plastic, mixture</t>
  </si>
  <si>
    <t>waste textile, soiled</t>
  </si>
  <si>
    <t>waste wood, untreated</t>
  </si>
  <si>
    <t>waste paper, sorted</t>
  </si>
  <si>
    <t>waste paper, unsorted</t>
  </si>
  <si>
    <t>scrap steel</t>
  </si>
  <si>
    <t>tinplate scrap, sorted</t>
  </si>
  <si>
    <t>tinplate, in mixed metal scrap</t>
  </si>
  <si>
    <t>aluminium scrap, sorted</t>
  </si>
  <si>
    <t>used aluminium packaging</t>
  </si>
  <si>
    <t>glass from packaging waste, sorted</t>
  </si>
  <si>
    <t>glass packaging waste, unsorted</t>
  </si>
  <si>
    <t>wood chips, post consumer wood</t>
  </si>
  <si>
    <t>waste wood, post consumer</t>
  </si>
  <si>
    <t>steel, low-alloyed, hot rolled</t>
  </si>
  <si>
    <t>recycled PET</t>
  </si>
  <si>
    <t>NaOH</t>
  </si>
  <si>
    <t>wastewater</t>
  </si>
  <si>
    <t>waste PET, sorted</t>
  </si>
  <si>
    <t>waste residues</t>
  </si>
  <si>
    <t>recycled HDPE</t>
  </si>
  <si>
    <t>waste HDPE, sorted</t>
  </si>
  <si>
    <t>recycled LDPE</t>
  </si>
  <si>
    <t>waste LDPE, sorted</t>
  </si>
  <si>
    <t>recycled PP</t>
  </si>
  <si>
    <t>waste PP, sorted</t>
  </si>
  <si>
    <t>recycled PS</t>
  </si>
  <si>
    <t>waste PS, sorted</t>
  </si>
  <si>
    <t>purified pyrolisis Oil</t>
  </si>
  <si>
    <t>mixed plastic waste</t>
  </si>
  <si>
    <t>char</t>
  </si>
  <si>
    <t>heavy vaccum residue</t>
  </si>
  <si>
    <t>treatment of mixed plastic wasted, via mechanical recycling</t>
  </si>
  <si>
    <t>plastic granulate</t>
  </si>
  <si>
    <t>residual waste, to incineration</t>
  </si>
  <si>
    <t>other fuels</t>
  </si>
  <si>
    <t>energy recovery of one tonne of mixed plastic waste, 100% incineration</t>
  </si>
  <si>
    <t>energy recovery of one tonne of mixed plastic waste, 100% refuse-derived fuel</t>
  </si>
  <si>
    <t>energy recovery of one tonne of mixed plastic waste, 30% incineration, 70% refuse-derived fuel</t>
  </si>
  <si>
    <t>shredding of used glider, electric scooter</t>
  </si>
  <si>
    <t>used glider, electric scooter</t>
  </si>
  <si>
    <t>aluminium scrap, post-consumer</t>
  </si>
  <si>
    <t>iron scrap, unsorted</t>
  </si>
  <si>
    <t>residue from shredder fraction</t>
  </si>
  <si>
    <t>treatment of one tonne of waste tyres</t>
  </si>
  <si>
    <t>service</t>
  </si>
  <si>
    <t>waste tyres</t>
  </si>
  <si>
    <t>steel, to steel secondary production</t>
  </si>
  <si>
    <t>rubber granulate &lt;3mm</t>
  </si>
  <si>
    <t>rubber crumb &lt;20mm</t>
  </si>
  <si>
    <t>steel, to disposal</t>
  </si>
  <si>
    <t>rubber, to disposal</t>
  </si>
  <si>
    <t>fibre, to disposal</t>
  </si>
  <si>
    <t>sorting of one tonne of waste wood/MDF (furniture)</t>
  </si>
  <si>
    <t>sorted waste MDF, for recycling</t>
  </si>
  <si>
    <t>as microreleased fibers to be used as input for MDF production</t>
  </si>
  <si>
    <t>waste wood/MDF</t>
  </si>
  <si>
    <t>heat, natural gas</t>
  </si>
  <si>
    <t>contaminants, to landfill</t>
  </si>
  <si>
    <t>wastewater, to treatment</t>
  </si>
  <si>
    <t>treatment of one tonne of WEEE from large appliances</t>
  </si>
  <si>
    <t>waste EEE from a large appliance</t>
  </si>
  <si>
    <t>ferrous metals scrap, to recycling</t>
  </si>
  <si>
    <t>non-ferrous metals scrap, to recycling</t>
  </si>
  <si>
    <t>other plastic non-packaging, to recycling</t>
  </si>
  <si>
    <t>sorted Printed wiring board (PWB), to shredding</t>
  </si>
  <si>
    <t>others non-recyclable</t>
  </si>
  <si>
    <t>waste non-recyclable</t>
  </si>
  <si>
    <t>treatment of one tonne of WEEE from small appliances</t>
  </si>
  <si>
    <t>waste EEE from a small appliance</t>
  </si>
  <si>
    <t>sorted Batteries, to treatment</t>
  </si>
  <si>
    <t>manual dismantling of one tonne of electronics scrap from control units</t>
  </si>
  <si>
    <t>electronics scrap from control units</t>
  </si>
  <si>
    <t>used cable from EEE</t>
  </si>
  <si>
    <t>waste PWB</t>
  </si>
  <si>
    <t>waste plastic, industrial electronics</t>
  </si>
  <si>
    <t>treatment of one tonne of used PWB</t>
  </si>
  <si>
    <t>electronics scrap, to recycling</t>
  </si>
  <si>
    <t>treatment of one tonne of waste cable</t>
  </si>
  <si>
    <t>waste, mostly plastics, non recyclable</t>
  </si>
  <si>
    <t>treatment of one tonne of WEEE from used fridges and freezers</t>
  </si>
  <si>
    <t>used fridges and freezers</t>
  </si>
  <si>
    <t>ferrous metals to recycling</t>
  </si>
  <si>
    <t>non-ferrous metals to recycling</t>
  </si>
  <si>
    <t>plastics, to recycling</t>
  </si>
  <si>
    <t>glass, to recycling</t>
  </si>
  <si>
    <t>sorting and preparation of one tonne of aluminium scrap</t>
  </si>
  <si>
    <t>unsorted aluminium scrap</t>
  </si>
  <si>
    <t>aluminium scrap, sorted, for recycling</t>
  </si>
  <si>
    <t>heat, heavy fuel oil</t>
  </si>
  <si>
    <t>ferro-silicon</t>
  </si>
  <si>
    <t>hydraulic oil (lubricant)</t>
  </si>
  <si>
    <t>detergent</t>
  </si>
  <si>
    <t>additives</t>
  </si>
  <si>
    <t>oil, to incineration</t>
  </si>
  <si>
    <t>hazardous waste</t>
  </si>
  <si>
    <t>inert waste</t>
  </si>
  <si>
    <t>filter dust, to disposal</t>
  </si>
  <si>
    <t>sorting and preparation of one tonne of metal scrap</t>
  </si>
  <si>
    <t>metal scrap, unsorted</t>
  </si>
  <si>
    <t>steel scrap, sorted, to EAF for recycling</t>
  </si>
  <si>
    <t>scrap metal, to diposal</t>
  </si>
  <si>
    <t>sorting of one tonne of mixed plastics</t>
  </si>
  <si>
    <t>waste mixed plastics</t>
  </si>
  <si>
    <t>62kwh NIR sorting… 1.2 kWh plastic film separation</t>
  </si>
  <si>
    <t>waste PET, sorted, to recycling</t>
  </si>
  <si>
    <t>waste HDPE, sorted, to recycling</t>
  </si>
  <si>
    <t>waste PVC, sorted, to recycling</t>
  </si>
  <si>
    <t>waste PP, sorted, to recycling</t>
  </si>
  <si>
    <t>waste, non-recyclable</t>
  </si>
  <si>
    <t>sorting and preparation of one tonne of mixed cans</t>
  </si>
  <si>
    <t>used bicycle</t>
  </si>
  <si>
    <t>steel reject, to re-processing</t>
  </si>
  <si>
    <t>dismantling of one tonne of used washing machine</t>
  </si>
  <si>
    <t>used washing machine</t>
  </si>
  <si>
    <t>ferrous metals scrap, to smelting for recycling</t>
  </si>
  <si>
    <t>copper scrap, middle grade</t>
  </si>
  <si>
    <t>aluminium scrap, to smelting for recycling</t>
  </si>
  <si>
    <t>plastics, for recycling</t>
  </si>
  <si>
    <t>Pb, for recycling</t>
  </si>
  <si>
    <t>Zn, for recycling</t>
  </si>
  <si>
    <t>dismantling of one tonne of used A/C</t>
  </si>
  <si>
    <t>used A/C unit</t>
  </si>
  <si>
    <t>dismantling of one tonne of used refrigerator</t>
  </si>
  <si>
    <t>used Refrigerator</t>
  </si>
  <si>
    <t>dismantling of one tonne of used TV</t>
  </si>
  <si>
    <t>used TV</t>
  </si>
  <si>
    <t>glass, for recycling</t>
  </si>
  <si>
    <t>treatment of one tonne of a used refrigerator</t>
  </si>
  <si>
    <t>used refrigerator</t>
  </si>
  <si>
    <t>Conveyor belt</t>
  </si>
  <si>
    <t>First dismantling</t>
  </si>
  <si>
    <t>First shredding</t>
  </si>
  <si>
    <t>Tube chain conveyor</t>
  </si>
  <si>
    <t>Zig zag separator</t>
  </si>
  <si>
    <t>Magnetic separator</t>
  </si>
  <si>
    <t>Eddy current separator</t>
  </si>
  <si>
    <t>Cr, for recycling</t>
  </si>
  <si>
    <t>Mn, for recycling</t>
  </si>
  <si>
    <t>Ni, for recycling</t>
  </si>
  <si>
    <t>treatment of one tonne of PV modules</t>
  </si>
  <si>
    <t>used PV module</t>
  </si>
  <si>
    <t>HNO3</t>
  </si>
  <si>
    <t>CA(OH)2</t>
  </si>
  <si>
    <t>aluminium scrap, to recycling</t>
  </si>
  <si>
    <t>steel scrap, to recycling</t>
  </si>
  <si>
    <t>silver scrap, to recycling</t>
  </si>
  <si>
    <t>silicon, metallurgical grade</t>
  </si>
  <si>
    <t>thermal energy</t>
  </si>
  <si>
    <t>contaminated glass</t>
  </si>
  <si>
    <t>fly ash</t>
  </si>
  <si>
    <t>liquid waste</t>
  </si>
  <si>
    <t>sludge</t>
  </si>
  <si>
    <t>NOx</t>
  </si>
  <si>
    <t>treatment of one tonne of PCB</t>
  </si>
  <si>
    <t>waste PCB</t>
  </si>
  <si>
    <t>Crusher 43.5 kWh, Sieve 0.37 kWh, Wind separator 68 kWh, magnetic separator 65 kWh, Eddy current separator 13.2 kWh, Conveyor 2.2 kWh, Dust collector 4 kWh</t>
  </si>
  <si>
    <t>tin scrap</t>
  </si>
  <si>
    <t>iron scrap</t>
  </si>
  <si>
    <t>lead scrap</t>
  </si>
  <si>
    <t>nickel scrap</t>
  </si>
  <si>
    <t>aluminium scrap</t>
  </si>
  <si>
    <t>zinc scrap</t>
  </si>
  <si>
    <t>silver scrap</t>
  </si>
  <si>
    <t>gold scrap</t>
  </si>
  <si>
    <t>resin</t>
  </si>
  <si>
    <t>glass fiber</t>
  </si>
  <si>
    <t>treatment of one tonne of ASR</t>
  </si>
  <si>
    <t>ASR</t>
  </si>
  <si>
    <t>scrap metals, to recycling</t>
  </si>
  <si>
    <t>waste to landfill</t>
  </si>
  <si>
    <t>metals scrap, to recycling</t>
  </si>
  <si>
    <t>thermal energy, recovered</t>
  </si>
  <si>
    <t>electricity, recovered</t>
  </si>
  <si>
    <t>cooling water</t>
  </si>
  <si>
    <t>NaCl</t>
  </si>
  <si>
    <t>sulphur</t>
  </si>
  <si>
    <t>waste, to landfill</t>
  </si>
  <si>
    <t>hydrogen gas</t>
  </si>
  <si>
    <t>treatment of one tonne of WEEE, high grade</t>
  </si>
  <si>
    <t>WEEE, high grade</t>
  </si>
  <si>
    <t>iron and magnetic steel scrap</t>
  </si>
  <si>
    <t>copper and precious metals scrap</t>
  </si>
  <si>
    <t>waste special treatment substances</t>
  </si>
  <si>
    <t>fluff and residual waste</t>
  </si>
  <si>
    <t>dismantling and shredding of one tonne of used vehicle without engine and battery</t>
  </si>
  <si>
    <t>used vehicle without engine and battery</t>
  </si>
  <si>
    <t>fuel</t>
  </si>
  <si>
    <t>magnetite</t>
  </si>
  <si>
    <t>salted solution</t>
  </si>
  <si>
    <t>iron scrap, to recycling</t>
  </si>
  <si>
    <t>copper scrap, to recycling</t>
  </si>
  <si>
    <t>sand</t>
  </si>
  <si>
    <t>plastic waste</t>
  </si>
  <si>
    <t>carbon black</t>
  </si>
  <si>
    <t>wiring board</t>
  </si>
  <si>
    <t>dismantling and shredding of one tonne of used vehicle without engine and battery, removing ecu</t>
  </si>
  <si>
    <t>treatment of one tonne of an ICE vehicle</t>
  </si>
  <si>
    <t>used vehicle</t>
  </si>
  <si>
    <t>acetylen</t>
  </si>
  <si>
    <t>lead acid battery, to recycling</t>
  </si>
  <si>
    <t>air conditioner refrigerant, to recycling</t>
  </si>
  <si>
    <t>three way catalyst, to recycling</t>
  </si>
  <si>
    <t>used engine, for remanufacturing</t>
  </si>
  <si>
    <t>zinc scrap, to recycling</t>
  </si>
  <si>
    <t>plastic waste, to recycling</t>
  </si>
  <si>
    <t>waste glass, to recycling</t>
  </si>
  <si>
    <t>scrap tire, to recycling</t>
  </si>
  <si>
    <t>wiring board scrap, to recycling</t>
  </si>
  <si>
    <t>waste oil, to recycling</t>
  </si>
  <si>
    <t>waste diesel</t>
  </si>
  <si>
    <t>particulates</t>
  </si>
  <si>
    <t>chemical oxygen demand</t>
  </si>
  <si>
    <t>non-methane hydrocarbon</t>
  </si>
  <si>
    <t>treatment of one tonne of automotive plastic waste (APW)</t>
  </si>
  <si>
    <t>mixed automotive shredder residue waste</t>
  </si>
  <si>
    <t>processing costs</t>
  </si>
  <si>
    <t>economic input</t>
  </si>
  <si>
    <t>Monetary</t>
  </si>
  <si>
    <t>EUR</t>
  </si>
  <si>
    <t>mixed automotive shredder residue</t>
  </si>
  <si>
    <t>ethene</t>
  </si>
  <si>
    <t>propene</t>
  </si>
  <si>
    <t>pyrolysis gasoline</t>
  </si>
  <si>
    <t>treatment of one tonne of mixed waste plastics from WEEE</t>
  </si>
  <si>
    <t>mixed waste plastics from WEEE</t>
  </si>
  <si>
    <t>catalyst</t>
  </si>
  <si>
    <t>chemical for air pollution control</t>
  </si>
  <si>
    <t>solid waste to landfill</t>
  </si>
  <si>
    <t>unrefined light sweet crude oil</t>
  </si>
  <si>
    <t>treatment of one tonne of mixed waste plastics from ELV</t>
  </si>
  <si>
    <t>mixed waste plastics from ELV</t>
  </si>
  <si>
    <t>dismantling of one tonne of ELV hulk</t>
  </si>
  <si>
    <t>ELV Hulk</t>
  </si>
  <si>
    <t>errous metals scrap, to recycling</t>
  </si>
  <si>
    <t>Copper scrap, medium grade</t>
  </si>
  <si>
    <t>H2O Vapour</t>
  </si>
  <si>
    <t>CO</t>
  </si>
  <si>
    <t>CH2O</t>
  </si>
  <si>
    <t>Nox</t>
  </si>
  <si>
    <t>particulate matter&lt;2.5μm²</t>
  </si>
  <si>
    <t>particulate matter&lt;10μm²</t>
  </si>
  <si>
    <t xml:space="preserve">olycyclic aromatic hydrocarbons </t>
  </si>
  <si>
    <t>SO2</t>
  </si>
  <si>
    <t>total volatile organic compounds</t>
  </si>
  <si>
    <t>shredding one tonne of ELV hulk</t>
  </si>
  <si>
    <t>Electricity</t>
  </si>
  <si>
    <t>mixed waste</t>
  </si>
  <si>
    <t>process water</t>
  </si>
  <si>
    <t>NO2</t>
  </si>
  <si>
    <t>particulate matter</t>
  </si>
  <si>
    <t>dismantling of ELV</t>
  </si>
  <si>
    <t>used ELV</t>
  </si>
  <si>
    <t>fluids, to recycling</t>
  </si>
  <si>
    <t>Motor engine oil, transmission oil, gear oil, brake fluid, power steering fluid are the fluids usually recycled</t>
  </si>
  <si>
    <t>gasoline, to reuse</t>
  </si>
  <si>
    <t>Refrigerant, gasoline, antifreeze and windshield washer are usually the fluids reused</t>
  </si>
  <si>
    <t>antifreeze fluid, to reuse</t>
  </si>
  <si>
    <t>catalytic convertor</t>
  </si>
  <si>
    <t>aluminium rims, to recycling</t>
  </si>
  <si>
    <t>steel rims, to recycling</t>
  </si>
  <si>
    <t>copper radiators, to recycling</t>
  </si>
  <si>
    <t>aluminium radiators, to recycling</t>
  </si>
  <si>
    <t>batteries, to recycling</t>
  </si>
  <si>
    <t>tires, to recycling</t>
  </si>
  <si>
    <t>starters, to remanufacturing</t>
  </si>
  <si>
    <t>alternators, to remanufacturing</t>
  </si>
  <si>
    <t>air conditoner /compressor, to remanufacturing</t>
  </si>
  <si>
    <t>other parts, direct reuse</t>
  </si>
  <si>
    <t>tires, direct reuse</t>
  </si>
  <si>
    <t>treatment of one tonne of waste passenger tires</t>
  </si>
  <si>
    <t>waste passenger tires</t>
  </si>
  <si>
    <t>steel wire</t>
  </si>
  <si>
    <t>gasoline</t>
  </si>
  <si>
    <t>heavy oil</t>
  </si>
  <si>
    <t>carbon black, refined</t>
  </si>
  <si>
    <t>carbon black, crude</t>
  </si>
  <si>
    <t>ferrous metals</t>
  </si>
  <si>
    <t>Could replace 0.25t of cast iron</t>
  </si>
  <si>
    <t>60 mesh crumb rubber</t>
  </si>
  <si>
    <t>Could replace 0.16t of SBS</t>
  </si>
  <si>
    <t>Could replace 0.23t of cast iron</t>
  </si>
  <si>
    <t>devulcanized rubber</t>
  </si>
  <si>
    <t>Could replace 0.267 of SBR</t>
  </si>
  <si>
    <t>NMVOC</t>
  </si>
  <si>
    <t>H2S</t>
  </si>
  <si>
    <t>Dust</t>
  </si>
  <si>
    <t>As</t>
  </si>
  <si>
    <t>Cd</t>
  </si>
  <si>
    <t>Cr</t>
  </si>
  <si>
    <t>Hg</t>
  </si>
  <si>
    <t>Ni</t>
  </si>
  <si>
    <t>Pb</t>
  </si>
  <si>
    <t>Zn</t>
  </si>
  <si>
    <t>Could replace 0.22t of cast iron</t>
  </si>
  <si>
    <t>Could replace 175kg of  diesel</t>
  </si>
  <si>
    <t>Could replace 0.165t of carbon black  N330</t>
  </si>
  <si>
    <t>dust</t>
  </si>
  <si>
    <t>Could replace 0.20t of cast iron</t>
  </si>
  <si>
    <t>low-quality oil</t>
  </si>
  <si>
    <t>Could replace 0.1t of diesel</t>
  </si>
  <si>
    <t>pyrometallurgical treatment of 1 kg of used Li-ion battery</t>
  </si>
  <si>
    <t>used Li-ion battery</t>
  </si>
  <si>
    <t>iron scrap, unsorted, recyclable</t>
  </si>
  <si>
    <t>manganese dioxide</t>
  </si>
  <si>
    <t>cobalt</t>
  </si>
  <si>
    <t>non-Fe-Co-metals</t>
  </si>
  <si>
    <t>sulfate</t>
  </si>
  <si>
    <t>treatment of 1 kg non-Fe-Co-metals from pyrometallurgical treatment of used Li-ion batteries</t>
  </si>
  <si>
    <t>non-Fe-Co-metals, from pyrometallurgical treatment of used Li-ion battery</t>
  </si>
  <si>
    <t>hydrometallurgical treatment of 1 kg of used Li-ion battery</t>
  </si>
  <si>
    <t>chemical, inorganic</t>
  </si>
  <si>
    <t>lime, hydrated, packed</t>
  </si>
  <si>
    <t>lithium carbonate</t>
  </si>
  <si>
    <t>inert waste, for final disposal</t>
  </si>
  <si>
    <t>waste gypsum</t>
  </si>
  <si>
    <t>NMVOC, non-methane volatile organic compounds, unspecified origin</t>
  </si>
  <si>
    <t>BOD5, Biological Oxygen Demand</t>
  </si>
  <si>
    <t>cobalt II</t>
  </si>
  <si>
    <t>fluoride</t>
  </si>
  <si>
    <t>hydrocarbons, unspecified</t>
  </si>
  <si>
    <t>nickel II</t>
  </si>
  <si>
    <t>suspended solids, unspecified</t>
  </si>
  <si>
    <t>treatment of 1 kg non-Fe-Co-metals from hyrometallurgical treatment of used Li-ion batteries</t>
  </si>
  <si>
    <t>non-Fe-Co-metals, from Li-ion battery, hydrometallurgical processing</t>
  </si>
  <si>
    <t>ammonia, anhydrous, liquid</t>
  </si>
  <si>
    <t>manganese</t>
  </si>
  <si>
    <t>treatment of 3499.97 kg spent lead-acid batteries</t>
  </si>
  <si>
    <t>spent lead-acid batteries</t>
  </si>
  <si>
    <t>antimony</t>
  </si>
  <si>
    <t>arsenic</t>
  </si>
  <si>
    <t>scrap iron</t>
  </si>
  <si>
    <t>slaked lime</t>
  </si>
  <si>
    <t>potassium carbonate</t>
  </si>
  <si>
    <t>sodium nitrate</t>
  </si>
  <si>
    <t>sulfur</t>
  </si>
  <si>
    <t>refined lead</t>
  </si>
  <si>
    <t>carbon monoxide</t>
  </si>
  <si>
    <t>lead</t>
  </si>
  <si>
    <t>plastic mix to recycling</t>
  </si>
  <si>
    <t>plastic mix to landfill</t>
  </si>
  <si>
    <t>sludge from neutralization</t>
  </si>
  <si>
    <t>smelting residues</t>
  </si>
  <si>
    <t>treatment of 1 kg spent Ni-Cd batteries, pyrometallurgy</t>
  </si>
  <si>
    <t>spent Ni-Cad batteries</t>
  </si>
  <si>
    <t>furnace gas</t>
  </si>
  <si>
    <t>cadmium (emission to air)</t>
  </si>
  <si>
    <t>nickel (emission to air)</t>
  </si>
  <si>
    <t>cadmium (emission to water)</t>
  </si>
  <si>
    <t>nickel (emission to water)</t>
  </si>
  <si>
    <t>cadmium (secondary)</t>
  </si>
  <si>
    <t>ferronickel (secondary)</t>
  </si>
  <si>
    <t>treatment of 1500 kg spent Ni-Cd batteries, hydrometallurgy</t>
  </si>
  <si>
    <t>external cases (~ 95 % steel, ~ 5 % PVC and PA)</t>
  </si>
  <si>
    <t>Composition of external cases was estimated based on a different data source</t>
  </si>
  <si>
    <t>Amount was estimated based on the reported cost for ammonia and sodium hydroxide in [28] and prices for the chemicals [30, 31], assuming the same amount is needed of both chemicals</t>
  </si>
  <si>
    <t>hydrogen peroxide, 30 %</t>
  </si>
  <si>
    <t>energy</t>
  </si>
  <si>
    <t>nickel, secondary (98-99 % purity)</t>
  </si>
  <si>
    <t>cadmium, secondary (98-100 % purity)</t>
  </si>
  <si>
    <t>Fe(OH)3 with ~ 3 % coprecipitated Nickel</t>
  </si>
  <si>
    <t>The amount of Fe in the solution was estimated based on the figures showing the concentrations over time. The mass of Fe(OH)3 was calculated using the molar masses of the respective elements.</t>
  </si>
  <si>
    <t>insoluble powder (&gt; 53 % Nickel, ca. 40 % Cadmium)</t>
  </si>
  <si>
    <t>Amount is roughly estimated.</t>
  </si>
  <si>
    <t>solid residues of the electrode scrap (&gt; 70 % iron, 20-30 % Nickel)</t>
  </si>
  <si>
    <t>Amount is estimated based on information in the referenced paper.</t>
  </si>
  <si>
    <t>treatment of 1 kWh LFP Li-Ion battery</t>
  </si>
  <si>
    <t>retired LFP battery</t>
  </si>
  <si>
    <t>hydrochloric acid, 30%</t>
  </si>
  <si>
    <t>hydrogen peroxide, 7.5%</t>
  </si>
  <si>
    <t>sodium hydroxide, 32%</t>
  </si>
  <si>
    <t>calcium chloride</t>
  </si>
  <si>
    <t>lithium chloride</t>
  </si>
  <si>
    <t>hydrogen fluoride</t>
  </si>
  <si>
    <t>VOC</t>
  </si>
  <si>
    <t>hydrochloric acid mist</t>
  </si>
  <si>
    <t>plastic casing scrap</t>
  </si>
  <si>
    <t>separator scrap</t>
  </si>
  <si>
    <t>waste battery management system</t>
  </si>
  <si>
    <t>waste graphite</t>
  </si>
  <si>
    <t>other solid waste</t>
  </si>
  <si>
    <t>treatment of 1 kWh NCM Li-Ion battery</t>
  </si>
  <si>
    <t>retired NCM battery</t>
  </si>
  <si>
    <t>NMP (N-Methyl-2-pyrrolydone)</t>
  </si>
  <si>
    <t>decarbonised water</t>
  </si>
  <si>
    <t>hydrogen peroxide</t>
  </si>
  <si>
    <t>sodium carbonide</t>
  </si>
  <si>
    <t>deionised water</t>
  </si>
  <si>
    <t>chromium steel 18/8</t>
  </si>
  <si>
    <t>aluminium</t>
  </si>
  <si>
    <t>cathode active material</t>
  </si>
  <si>
    <t>waste copper</t>
  </si>
  <si>
    <t>waste aluminium</t>
  </si>
  <si>
    <t>waste printed wiring board</t>
  </si>
  <si>
    <t>waste chromium steel 18/8</t>
  </si>
  <si>
    <t>waste coolant</t>
  </si>
  <si>
    <t>waste fibre glass</t>
  </si>
  <si>
    <t>waste steel</t>
  </si>
  <si>
    <t>waste PP</t>
  </si>
  <si>
    <t>waste PE</t>
  </si>
  <si>
    <t>waste PET</t>
  </si>
  <si>
    <t>waste sludge</t>
  </si>
  <si>
    <t>waste PVDF</t>
  </si>
  <si>
    <t>waste water</t>
  </si>
  <si>
    <t>DMC solvent</t>
  </si>
  <si>
    <t>glucose</t>
  </si>
  <si>
    <t>cathode materials</t>
  </si>
  <si>
    <t>graphite scrap</t>
  </si>
  <si>
    <t>aluminium foil scrap</t>
  </si>
  <si>
    <t>copper foil scrap</t>
  </si>
  <si>
    <t>plastic scrap</t>
  </si>
  <si>
    <t>electrolyte scrap</t>
  </si>
  <si>
    <t>aluminium case scrap</t>
  </si>
  <si>
    <t>lithium hydroxide</t>
  </si>
  <si>
    <t>citric acid</t>
  </si>
  <si>
    <t>transport (freight rail)</t>
  </si>
  <si>
    <t>from technosphere (service)</t>
  </si>
  <si>
    <t>tkm</t>
  </si>
  <si>
    <t>transport (freight lorry)</t>
  </si>
  <si>
    <t>copper scrap</t>
  </si>
  <si>
    <t>LFP (lithium iron phosphate)</t>
  </si>
  <si>
    <t>lithium hexafluorophosphate (LiPF6)</t>
  </si>
  <si>
    <t>ethylene carbonate (EC)</t>
  </si>
  <si>
    <t>dimethyl carbonate (DMC)</t>
  </si>
  <si>
    <t>lithium hydroxide (LiOH)</t>
  </si>
  <si>
    <t>chrominium steel 18/8</t>
  </si>
  <si>
    <t>treatment of one tonne of WEEE, incineration with energy recovery</t>
  </si>
  <si>
    <t>WEEE</t>
  </si>
  <si>
    <t>activated carbon</t>
  </si>
  <si>
    <t>treatment of one tonne of waste, non hazardous landfill</t>
  </si>
  <si>
    <t>waste sent to landfill</t>
  </si>
  <si>
    <t>HDPE</t>
  </si>
  <si>
    <t>gravel</t>
  </si>
  <si>
    <t>sythetic rubber</t>
  </si>
  <si>
    <t>lubricant</t>
  </si>
  <si>
    <t>CO2 equivalent</t>
  </si>
  <si>
    <t>treatment of one tonne of inert waste, sanitary landfill</t>
  </si>
  <si>
    <t>Inert waste, to landfill</t>
  </si>
  <si>
    <t>concrete, 30MPa</t>
  </si>
  <si>
    <t>extrusion, plastic pipes</t>
  </si>
  <si>
    <t>gravel, round</t>
  </si>
  <si>
    <t>pitch</t>
  </si>
  <si>
    <t>polyethylene, high density, granulate</t>
  </si>
  <si>
    <t>polypropylene, granulate</t>
  </si>
  <si>
    <t>polyvinylchloride, bulk polymerised</t>
  </si>
  <si>
    <t>reinforcing steel</t>
  </si>
  <si>
    <t>steel, chromium steel 18/8, hot rolled</t>
  </si>
  <si>
    <t>synthetic rubber</t>
  </si>
  <si>
    <t>tap water</t>
  </si>
  <si>
    <t>aluminium III</t>
  </si>
  <si>
    <t>ammonium</t>
  </si>
  <si>
    <t>antimony ion</t>
  </si>
  <si>
    <t>arsenic ion</t>
  </si>
  <si>
    <t>BOD5 Biological Oxygen Demand</t>
  </si>
  <si>
    <t>calcium II</t>
  </si>
  <si>
    <t>carbon dioxide fossil</t>
  </si>
  <si>
    <t>carbon monoxide fossil</t>
  </si>
  <si>
    <t>chromium III</t>
  </si>
  <si>
    <t>chromium VI</t>
  </si>
  <si>
    <t>COD Chemical Oxygen Demand</t>
  </si>
  <si>
    <t>DOC Dissolved Organic Carbon</t>
  </si>
  <si>
    <t>heat waste</t>
  </si>
  <si>
    <t>hydrogen sulfide</t>
  </si>
  <si>
    <t>iron ion</t>
  </si>
  <si>
    <t>manganese II</t>
  </si>
  <si>
    <t>methane fossil</t>
  </si>
  <si>
    <t>nitrate</t>
  </si>
  <si>
    <t>nitrite</t>
  </si>
  <si>
    <t>nitrogen organic bound</t>
  </si>
  <si>
    <t>NMVOC non-methane volatile organic compounds</t>
  </si>
  <si>
    <t>particulate Matter &lt; 2.5 um</t>
  </si>
  <si>
    <t>phosphate</t>
  </si>
  <si>
    <t>silicon</t>
  </si>
  <si>
    <t>thallium I</t>
  </si>
  <si>
    <t>Tin ion</t>
  </si>
  <si>
    <t>TOC Total Organic Carbon</t>
  </si>
  <si>
    <t>vanadium V</t>
  </si>
  <si>
    <t>treatment of one tonne of MSW, incineration with energy recovery</t>
  </si>
  <si>
    <t>municipal solid waste</t>
  </si>
  <si>
    <t xml:space="preserve">aluminium scrap </t>
  </si>
  <si>
    <t xml:space="preserve">bottom ash </t>
  </si>
  <si>
    <t xml:space="preserve">copper scrap </t>
  </si>
  <si>
    <t xml:space="preserve">electricity  </t>
  </si>
  <si>
    <t xml:space="preserve">heat  </t>
  </si>
  <si>
    <t xml:space="preserve">iron scrap </t>
  </si>
  <si>
    <t xml:space="preserve">residues MSWI </t>
  </si>
  <si>
    <t xml:space="preserve">ammonia anhydrous </t>
  </si>
  <si>
    <t xml:space="preserve">chemical inorganic </t>
  </si>
  <si>
    <t xml:space="preserve">chromium trioxide </t>
  </si>
  <si>
    <t xml:space="preserve">hydrochloric acid </t>
  </si>
  <si>
    <t xml:space="preserve">iron(III) chloride </t>
  </si>
  <si>
    <t xml:space="preserve">quicklime milled </t>
  </si>
  <si>
    <t xml:space="preserve">sodium hydroxide </t>
  </si>
  <si>
    <t xml:space="preserve">titanium dioxide </t>
  </si>
  <si>
    <t xml:space="preserve">triazine-compound  </t>
  </si>
  <si>
    <t xml:space="preserve">water decarbonised </t>
  </si>
  <si>
    <t xml:space="preserve">Oxygen  </t>
  </si>
  <si>
    <t xml:space="preserve">aluminium III </t>
  </si>
  <si>
    <t xml:space="preserve">ammonia  </t>
  </si>
  <si>
    <t xml:space="preserve">antimony ion </t>
  </si>
  <si>
    <t xml:space="preserve">arsenic ion </t>
  </si>
  <si>
    <t xml:space="preserve">barium II </t>
  </si>
  <si>
    <t xml:space="preserve">benzene  </t>
  </si>
  <si>
    <t xml:space="preserve">benzo(a)pyrene  </t>
  </si>
  <si>
    <t xml:space="preserve">BOD5, Biological Oxygen Demand  </t>
  </si>
  <si>
    <t xml:space="preserve">bromine  </t>
  </si>
  <si>
    <t xml:space="preserve">cadmium II </t>
  </si>
  <si>
    <t xml:space="preserve">calcium II </t>
  </si>
  <si>
    <t>carbon dioxide non-fossil</t>
  </si>
  <si>
    <t>carbon monoxide non-fossil</t>
  </si>
  <si>
    <t xml:space="preserve">chloride  </t>
  </si>
  <si>
    <t xml:space="preserve">chromium III </t>
  </si>
  <si>
    <t xml:space="preserve">cobalt II </t>
  </si>
  <si>
    <t xml:space="preserve">COD, Chemical Oxygen Demand  </t>
  </si>
  <si>
    <t xml:space="preserve">copper ion </t>
  </si>
  <si>
    <t xml:space="preserve">cyanide  </t>
  </si>
  <si>
    <t xml:space="preserve">dinitrogen monoxide </t>
  </si>
  <si>
    <t xml:space="preserve">dioxins, measured as 2,3,7,8-tetrachlorodibenzo-p-dioxin  </t>
  </si>
  <si>
    <t xml:space="preserve">DOC, Dissolved Organic Carbon   </t>
  </si>
  <si>
    <t xml:space="preserve">fluoride  </t>
  </si>
  <si>
    <t xml:space="preserve">heat waste </t>
  </si>
  <si>
    <t xml:space="preserve">hexachlorobenzene  </t>
  </si>
  <si>
    <t xml:space="preserve">hydrogen fluoride </t>
  </si>
  <si>
    <t xml:space="preserve">iodide  </t>
  </si>
  <si>
    <t xml:space="preserve">iodine  </t>
  </si>
  <si>
    <t xml:space="preserve">iron ion </t>
  </si>
  <si>
    <t xml:space="preserve">lead II </t>
  </si>
  <si>
    <t xml:space="preserve">magnesium  </t>
  </si>
  <si>
    <t xml:space="preserve">manganese II </t>
  </si>
  <si>
    <t xml:space="preserve">mercury II </t>
  </si>
  <si>
    <t xml:space="preserve">methane fossil </t>
  </si>
  <si>
    <t xml:space="preserve">methane non-fossil </t>
  </si>
  <si>
    <t xml:space="preserve">molybdenum VI </t>
  </si>
  <si>
    <t xml:space="preserve">nickel II </t>
  </si>
  <si>
    <t xml:space="preserve">nitrate  </t>
  </si>
  <si>
    <t xml:space="preserve">nitrogen oxides </t>
  </si>
  <si>
    <t xml:space="preserve">NMVOC, non-methane volatile organic compounds   </t>
  </si>
  <si>
    <t xml:space="preserve">particulate Matter, &lt; 2.5 um   </t>
  </si>
  <si>
    <t xml:space="preserve">particulate Matter, &gt; 2.5 um and &lt; 10um   </t>
  </si>
  <si>
    <t xml:space="preserve">pentachlorobenzene  </t>
  </si>
  <si>
    <t xml:space="preserve">pentachlorophenol  </t>
  </si>
  <si>
    <t xml:space="preserve">phosphate  </t>
  </si>
  <si>
    <t xml:space="preserve">phosphorus  </t>
  </si>
  <si>
    <t xml:space="preserve">potassium I </t>
  </si>
  <si>
    <t xml:space="preserve">selenium IV </t>
  </si>
  <si>
    <t xml:space="preserve">silicon  </t>
  </si>
  <si>
    <t xml:space="preserve">silver I </t>
  </si>
  <si>
    <t xml:space="preserve">sodium I </t>
  </si>
  <si>
    <t xml:space="preserve">sulfate  </t>
  </si>
  <si>
    <t xml:space="preserve">sulfur dioxide </t>
  </si>
  <si>
    <t xml:space="preserve">Tin ion </t>
  </si>
  <si>
    <t>TOC, Total Organic Carbon Total Organic</t>
  </si>
  <si>
    <t xml:space="preserve">toluene  </t>
  </si>
  <si>
    <t xml:space="preserve">vanadium V </t>
  </si>
  <si>
    <t xml:space="preserve">water  </t>
  </si>
  <si>
    <t xml:space="preserve">zinc II </t>
  </si>
  <si>
    <t>treatment of one tonne of waste, incineration with energy recovery</t>
  </si>
  <si>
    <t>waste, rejected after sorting and recycling</t>
  </si>
  <si>
    <t>bottom ash</t>
  </si>
  <si>
    <t>fly ash and other residues</t>
  </si>
  <si>
    <t>cadmium</t>
  </si>
  <si>
    <t>chromium</t>
  </si>
  <si>
    <t>nickel</t>
  </si>
  <si>
    <t>HCl</t>
  </si>
  <si>
    <t>HF</t>
  </si>
  <si>
    <t>particulate matters</t>
  </si>
  <si>
    <t>PCDD/FS</t>
  </si>
  <si>
    <t>urea</t>
  </si>
  <si>
    <t>efficiency of 43% for heat recovery… 50/50 split assumed</t>
  </si>
  <si>
    <t>Bottom ash</t>
  </si>
  <si>
    <t>treatment of one tonne of waste, gasification</t>
  </si>
  <si>
    <t>70 kWh for SRF production, 2.4 kWh for ash treatment</t>
  </si>
  <si>
    <t>Diesel</t>
  </si>
  <si>
    <t>sodium bicarbonate</t>
  </si>
  <si>
    <t>treatment of one tonne of waste, energy recovery</t>
  </si>
  <si>
    <t>+/-0.25</t>
  </si>
  <si>
    <t>+/- 0.00085</t>
  </si>
  <si>
    <t>+/-0.00005</t>
  </si>
  <si>
    <t>precipitating agents</t>
  </si>
  <si>
    <t>+/- 0.6</t>
  </si>
  <si>
    <t>Nm3</t>
  </si>
  <si>
    <t>+/- 0.00019</t>
  </si>
  <si>
    <t>+/- 0.005</t>
  </si>
  <si>
    <t>filter cake</t>
  </si>
  <si>
    <t>mg</t>
  </si>
  <si>
    <t>hydrogen chloride</t>
  </si>
  <si>
    <t>hydrogen flouride</t>
  </si>
  <si>
    <t>total organic carbon</t>
  </si>
  <si>
    <t>total dioxins</t>
  </si>
  <si>
    <t>ng</t>
  </si>
  <si>
    <t>Cd + Tl</t>
  </si>
  <si>
    <t>As+Cr+Co+Cu+Mn+Ni+Pb+Sb+V</t>
  </si>
  <si>
    <t>hydrated lime</t>
  </si>
  <si>
    <t>auxiliary fuels</t>
  </si>
  <si>
    <t>air pollution control residues</t>
  </si>
  <si>
    <t>mercury</t>
  </si>
  <si>
    <t>hydrofluric acid</t>
  </si>
  <si>
    <t>dioxins and furans</t>
  </si>
  <si>
    <t>treatment of one tonne of bottom ash from waste incineration</t>
  </si>
  <si>
    <t xml:space="preserve">bottom ash from waste incineration </t>
  </si>
  <si>
    <t>concrete, for inert recovery</t>
  </si>
  <si>
    <t>iron sulfate, for inert recovery</t>
  </si>
  <si>
    <t>low-alloyed steel</t>
  </si>
  <si>
    <t>inert material</t>
  </si>
  <si>
    <t>treatment of one tonne of hazardous waste</t>
  </si>
  <si>
    <t>active carbon</t>
  </si>
  <si>
    <t>non-woven, fabric</t>
  </si>
  <si>
    <t>cobblestone</t>
  </si>
  <si>
    <t>metal-chelate</t>
  </si>
  <si>
    <t>sodium sulfide</t>
  </si>
  <si>
    <t>sodium thiosulfate</t>
  </si>
  <si>
    <t>freshwater</t>
  </si>
  <si>
    <t>coal ash</t>
  </si>
  <si>
    <t>incinerated ash</t>
  </si>
  <si>
    <t>incinerated slag</t>
  </si>
  <si>
    <t>dioxins</t>
  </si>
  <si>
    <t>barium</t>
  </si>
  <si>
    <t>treatment one tonne of mixed waste, material recovery facility</t>
  </si>
  <si>
    <t>waste paperboard, to recycling</t>
  </si>
  <si>
    <t>scrap ferrous metal, to recycling</t>
  </si>
  <si>
    <t>waste plastic, to recycling</t>
  </si>
  <si>
    <t>Organic material, to compost</t>
  </si>
  <si>
    <t>Waste</t>
  </si>
  <si>
    <t>treatment of one tonne of mixed waste, material recovery facility</t>
  </si>
  <si>
    <t>baling wire</t>
  </si>
  <si>
    <t>waste plastic film, to recycling</t>
  </si>
  <si>
    <t>waste PET, to recycling</t>
  </si>
  <si>
    <t>waste HDPE, to recycling</t>
  </si>
  <si>
    <t>scrap aluminium, to recycling</t>
  </si>
  <si>
    <t>sorting of one tonne of metal scrap</t>
  </si>
  <si>
    <t>metal scrap</t>
  </si>
  <si>
    <t>tinplate scrap, to recycling</t>
  </si>
  <si>
    <t>to environment (waste dumping)</t>
  </si>
  <si>
    <t>4_UPI_CIRCOMOD_D4.1_v1.0</t>
  </si>
  <si>
    <t>CIRCOMOD WP2, D2.2 dataset clean-up and fixes</t>
  </si>
  <si>
    <t>Place</t>
  </si>
  <si>
    <t>Fixes needed</t>
  </si>
  <si>
    <t>Entire data sheet</t>
  </si>
  <si>
    <t>remove all empty lines</t>
  </si>
  <si>
    <t>Value column</t>
  </si>
  <si>
    <t>convert all numerical values to numbers with proper decimal separator</t>
  </si>
  <si>
    <t>4_UPI_CIRCOMOD_D4.1</t>
  </si>
  <si>
    <t>V1.0</t>
  </si>
  <si>
    <t>See the log and ref sheets of parameter file</t>
  </si>
  <si>
    <t>miscellaneous licenses, see the comments in the dataset</t>
  </si>
  <si>
    <t>Value(p,i,C,L)</t>
  </si>
  <si>
    <t>UPI flow of [aspect2] in category [aspect3] for process [aspect1] on layer [aspect 4] has [value].</t>
  </si>
  <si>
    <t>The UPI flow of water in category 'from environment (natural resource)' for process '[a] Beneficiation, sulfide ore (Crushing, grinding, flotation)' on volume layer was 0.6 m3/t.</t>
  </si>
  <si>
    <t>stats_array string</t>
  </si>
  <si>
    <t>t_CO2-eq</t>
  </si>
  <si>
    <t>kt_F_gases_eq</t>
  </si>
  <si>
    <t>mass</t>
  </si>
  <si>
    <t>volume</t>
  </si>
  <si>
    <t>dry mass</t>
  </si>
  <si>
    <t>[Meng et al.] Butadiene production via Bio-oils electric steam cracking + by-product upgrade</t>
  </si>
  <si>
    <t>[Meng et al.] Butadiene production via Bio-oils H2 steam cracking + by-product upgrade</t>
  </si>
  <si>
    <t>[Meng et al.] Butadiene production via Bio-oils steam cracking</t>
  </si>
  <si>
    <t>[Meng et al.] Butadiene production via Bio-oils steam cracking + by-product upgrade</t>
  </si>
  <si>
    <t>[Meng et al.] Butadiene production via Catalytic naphtha cracking</t>
  </si>
  <si>
    <t xml:space="preserve">[Meng et al.] Butadiene production via Catalytic naphtha cracking + CCS </t>
  </si>
  <si>
    <t>[Meng et al.] Butadiene production via Catalytic naphtha electric steam cracking</t>
  </si>
  <si>
    <t>[Meng et al.] Butadiene production via Catalytic naphtha H2 cracking</t>
  </si>
  <si>
    <t>[Meng et al.] Butadiene production via Ethanol to butadiene</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</si>
  <si>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</si>
  <si>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</si>
  <si>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</si>
  <si>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</si>
  <si>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</si>
  <si>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</si>
  <si>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Naphtha steam cracking + CCS</t>
  </si>
  <si>
    <t>[Meng et al.] Butadiene production via Naphtha steam cracking + CCS + by-product upgrade</t>
  </si>
  <si>
    <t>[Meng et al.] Butadiene production via Pyrolysis oil electric steam cracking + by-product upgrade</t>
  </si>
  <si>
    <t>[Meng et al.] Butadiene production via Pyrolysis oil electric steam cracking + CCS + by-product upgrade</t>
  </si>
  <si>
    <t>[Meng et al.] Butadiene production via Pyrolysis oil H2 steam cracking + by-product upgrade</t>
  </si>
  <si>
    <t>[Meng et al.] Butadiene production via Pyrolysis oil H2 steam cracking + CCS + by-product upgrade</t>
  </si>
  <si>
    <t>[Meng et al.] Butadiene production via Pyrolysis oil steam cracking</t>
  </si>
  <si>
    <t>[Meng et al.] Butadiene production via Pyrolysis oil steam cracking + CCS + by-product upgrade</t>
  </si>
  <si>
    <t>[Meng et al.] Ethylene production via Bioethanol Dehydration</t>
  </si>
  <si>
    <t>[Meng et al.] Ethylene production via Bio-oils electric steam cracking + by-product upgrade</t>
  </si>
  <si>
    <t>[Meng et al.] Ethylene production via Bio-oils H2 steam cracking + by-product upgrade</t>
  </si>
  <si>
    <t>[Meng et al.] Ethylene production via Bio-oils steam cracking</t>
  </si>
  <si>
    <t>[Meng et al.] Ethylene production via Bio-oils steam cracking + by-product upgrade</t>
  </si>
  <si>
    <t>[Meng et al.] Ethylene production via Catalytic naphtha cracking</t>
  </si>
  <si>
    <t xml:space="preserve">[Meng et al.] Ethylene production via Catalytic naphtha cracking + CCS </t>
  </si>
  <si>
    <t>[Meng et al.] Ethylene production via Catalytic naphtha electric steam cracking</t>
  </si>
  <si>
    <t>[Meng et al.] Ethylene production via Catalytic naphtha H2 cracking</t>
  </si>
  <si>
    <t>[Meng et al.] Ethylene production via Ethane electric steam cracking</t>
  </si>
  <si>
    <t>[Meng et al.] Ethylene production via Ethane H2 steam cracking</t>
  </si>
  <si>
    <t>[Meng et al.] Ethylene production via Ethane steam cracking</t>
  </si>
  <si>
    <t>[Meng et al.] Ethylene production via Ethane steam cracking + CCS</t>
  </si>
  <si>
    <t>[Meng et al.] Ethylene production via MTO - Black</t>
  </si>
  <si>
    <t>[Meng et al.] Ethylene production via MTO - Green</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</si>
  <si>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</si>
  <si>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</si>
  <si>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</si>
  <si>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</si>
  <si>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</si>
  <si>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</si>
  <si>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Naphtha steam cracking + CCS</t>
  </si>
  <si>
    <t>[Meng et al.] Ethylene production via Naphtha steam cracking + CCS + by-product upgrade</t>
  </si>
  <si>
    <t>[Meng et al.] Ethylene production via Pyrolysis oil electric steam cracking + by-product upgrade</t>
  </si>
  <si>
    <t>[Meng et al.] Ethylene production via Pyrolysis oil electric steam cracking + CCS + by-product upgrade</t>
  </si>
  <si>
    <t>[Meng et al.] Ethylene production via Pyrolysis oil H2 steam cracking + by-product upgrade</t>
  </si>
  <si>
    <t>[Meng et al.] Ethylene production via Pyrolysis oil H2 steam cracking + CCS + by-product upgrade</t>
  </si>
  <si>
    <t>[Meng et al.] Ethylene production via Pyrolysis oil steam cracking</t>
  </si>
  <si>
    <t>[Meng et al.] Ethylene production via Pyrolysis oil steam cracking + CCS + by-product upgrade</t>
  </si>
  <si>
    <t>[Meng et al.] Propylene production via Bio-oils electric steam cracking + by-product upgrade</t>
  </si>
  <si>
    <t>[Meng et al.] Propylene production via Bio-oils H2 steam cracking + by-product upgrade</t>
  </si>
  <si>
    <t>[Meng et al.] Propylene production via Bio-oils steam cracking</t>
  </si>
  <si>
    <t>[Meng et al.] Propylene production via Bio-oils steam cracking + by-product upgrade</t>
  </si>
  <si>
    <t>[Meng et al.] Propylene production via Catalytic naphtha cracking</t>
  </si>
  <si>
    <t xml:space="preserve">[Meng et al.] Propylene production via Catalytic naphtha cracking + CCS </t>
  </si>
  <si>
    <t>[Meng et al.] Propylene production via Catalytic naphtha electric steam cracking</t>
  </si>
  <si>
    <t>[Meng et al.] Propylene production via Catalytic naphtha H2 cracking</t>
  </si>
  <si>
    <t>[Meng et al.] Propylene production via MTO - Black</t>
  </si>
  <si>
    <t>[Meng et al.] Propylene production via MTO - Green</t>
  </si>
  <si>
    <t>[Meng et al.] Propylene production via MTP - Black</t>
  </si>
  <si>
    <t>[Meng et al.] Propylene production via MTP - Green</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</si>
  <si>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</si>
  <si>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</si>
  <si>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</si>
  <si>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</si>
  <si>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</si>
  <si>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</si>
  <si>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Naphtha steam cracking + CCS</t>
  </si>
  <si>
    <t>[Meng et al.] Propylene production via Naphtha steam cracking + CCS + by-product upgrade</t>
  </si>
  <si>
    <t>[Meng et al.] Propylene production via PDH</t>
  </si>
  <si>
    <t>[Meng et al.] Propylene production via PDH + CCS</t>
  </si>
  <si>
    <t>[Meng et al.] Propylene production via Pyrolysis oil electric steam cracking + by-product upgrade</t>
  </si>
  <si>
    <t>[Meng et al.] Propylene production via Pyrolysis oil electric steam cracking + CCS + by-product upgrade</t>
  </si>
  <si>
    <t>[Meng et al.] Propylene production via Pyrolysis oil H2 steam cracking + by-product upgrade</t>
  </si>
  <si>
    <t>[Meng et al.] Propylene production via Pyrolysis oil H2 steam cracking + CCS + by-product upgrade</t>
  </si>
  <si>
    <t>[Meng et al.] Propylene production via Pyrolysis oil steam cracking</t>
  </si>
  <si>
    <t>[Meng et al.] Propylene production via Pyrolysis oil steam cracking + CCS + by-product upgrade</t>
  </si>
  <si>
    <t>[Meng et al.] Propylene production via Refineries - Propylene</t>
  </si>
  <si>
    <t>Result of academic MFA work</t>
  </si>
  <si>
    <t>Proprietary report or research article</t>
  </si>
  <si>
    <t>material</t>
  </si>
  <si>
    <t>[IMAGE] Blast Furnace + Basic Oxygen Furnace</t>
  </si>
  <si>
    <t>[IMAGE] Blast Furnace + Basic Oxygen Furnace w/ CO2 capture</t>
  </si>
  <si>
    <t>[IMAGE] Modernized Blast Furnace + Basic Oxygen Furnace</t>
  </si>
  <si>
    <t>[IMAGE] Smelting reduction + Basic Oxygen Furnace</t>
  </si>
  <si>
    <t>[IMAGE] Smelting reduction + Basic Oxygen Furnace w/ CO2 capture</t>
  </si>
  <si>
    <t>[IMAGE] Top Gas Recycling Blast Furnace + Basic Oxygen Furnace</t>
  </si>
  <si>
    <t>[IMAGE] Top Gas Recycling Blast Furnace BAT + Basic Oxygen Furnace</t>
  </si>
  <si>
    <t>[IMAGE] Top Gas Recycling Blast Furnace BAT + Basic Oxygen Furnace w/ CO2 capture</t>
  </si>
  <si>
    <t>machine drive</t>
  </si>
  <si>
    <t>BF/BOF gas</t>
  </si>
  <si>
    <t>BF reductant</t>
  </si>
  <si>
    <t>niobium</t>
  </si>
  <si>
    <t>olycyclic aromatic hydrocarbons</t>
  </si>
  <si>
    <t>residues MSWI</t>
  </si>
  <si>
    <t>ammonia anhydrous</t>
  </si>
  <si>
    <t>chemical inorganic</t>
  </si>
  <si>
    <t>chromium trioxide</t>
  </si>
  <si>
    <t>iron(III) chloride</t>
  </si>
  <si>
    <t>quicklime milled</t>
  </si>
  <si>
    <t>titanium dioxide</t>
  </si>
  <si>
    <t>triazine-compound</t>
  </si>
  <si>
    <t>water decarbonised</t>
  </si>
  <si>
    <t>barium II</t>
  </si>
  <si>
    <t>benzene</t>
  </si>
  <si>
    <t>benzo(a)pyrene</t>
  </si>
  <si>
    <t>bromine</t>
  </si>
  <si>
    <t>cyanide</t>
  </si>
  <si>
    <t>dinitrogen monoxide</t>
  </si>
  <si>
    <t>hexachlorobenzene</t>
  </si>
  <si>
    <t>iodide</t>
  </si>
  <si>
    <t>iodine</t>
  </si>
  <si>
    <t>magnesium</t>
  </si>
  <si>
    <t>methane non-fossil</t>
  </si>
  <si>
    <t>molybdenum VI</t>
  </si>
  <si>
    <t>NMVOC, non-methane volatile organic compounds</t>
  </si>
  <si>
    <t>pentachlorobenzene</t>
  </si>
  <si>
    <t>pentachlorophenol</t>
  </si>
  <si>
    <t>potassium I</t>
  </si>
  <si>
    <t>selenium IV</t>
  </si>
  <si>
    <t>silver I</t>
  </si>
  <si>
    <t>toluene</t>
  </si>
  <si>
    <t>bottom ash from waste incineration</t>
  </si>
  <si>
    <t>copper slag</t>
  </si>
  <si>
    <t>solid biomass waste</t>
  </si>
  <si>
    <t>particulate matter, unspecified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</si>
</sst>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i/>
      <sz val="11"/>
      <color rgb="FF000000"/>
      <name val="Calibri"/>
      <family val="2"/>
    </font>
    <font>
      <sz val="8"/>
      <name val="Calibri"/>
      <family val="2"/>
      <scheme val="minor"/>
    </font>
    <font>
      <u/>
      <sz val="11"/>
      <color theme="10"/>
      <name val="Calibri"/>
      <family val="2"/>
      <scheme val="minor"/>
    </font>
    <font>
      <sz val="10"/>
      <name val="Calibri"/>
      <family val="2"/>
      <scheme val="minor"/>
    </font>
    <font>
      <sz val="11"/>
      <color rgb="FF000000"/>
      <name val="Calibri"/>
      <family val="2"/>
      <scheme val="minor"/>
    </font>
    <font>
      <b/>
      <sz val="11"/>
      <color rgb="FF000000"/>
      <name val="Calibri"/>
      <family val="2"/>
      <scheme val="minor"/>
    </font>
    <font>
      <sz val="11"/>
      <color rgb="FFFF0000"/>
      <name val="Calibri"/>
      <family val="2"/>
    </font>
    <font>
      <sz val="11"/>
      <name val="Calibri"/>
      <family val="2"/>
    </font>
    <font>
      <sz val="11"/>
      <color rgb="FF444444"/>
      <name val="Calibri"/>
      <family val="2"/>
    </font>
    <font>
      <i/>
      <sz val="11"/>
      <color theme="1"/>
      <name val="Calibri"/>
      <family val="2"/>
    </font>
    <font>
      <sz val="11"/>
      <color theme="1"/>
      <name val="Calibri"/>
      <family val="2"/>
    </font>
    <font>
      <sz val="11"/>
      <color rgb="FF000000"/>
      <name val="Calibri"/>
      <family val="2"/>
    </font>
    <font>
      <sz val="11"/>
      <color rgb="FF000000"/>
      <name val="Arial"/>
      <family val="2"/>
    </font>
    <font>
      <sz val="11"/>
      <color theme="1"/>
      <name val="Arial"/>
      <family val="2"/>
    </font>
  </fonts>
  <fills count="39">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DEDEDE"/>
        <bgColor indexed="64"/>
      </patternFill>
    </fill>
    <fill>
      <patternFill patternType="solid">
        <fgColor rgb="FFD9D9D9"/>
        <bgColor rgb="FF000000"/>
      </patternFill>
    </fill>
    <fill>
      <patternFill patternType="solid">
        <fgColor rgb="FFEBF1DE"/>
        <bgColor rgb="FF000000"/>
      </patternFill>
    </fill>
    <fill>
      <patternFill patternType="solid">
        <fgColor theme="7" tint="0.59999389629810485"/>
        <bgColor indexed="64"/>
      </patternFill>
    </fill>
    <fill>
      <patternFill patternType="solid">
        <fgColor rgb="FFDAEEF3"/>
        <bgColor rgb="FF000000"/>
      </patternFill>
    </fill>
    <fill>
      <patternFill patternType="solid">
        <fgColor rgb="FFCCC0DA"/>
        <bgColor rgb="FF000000"/>
      </patternFill>
    </fill>
    <fill>
      <patternFill patternType="solid">
        <fgColor theme="3" tint="0.79998168889431442"/>
        <bgColor indexed="64"/>
      </patternFill>
    </fill>
    <fill>
      <patternFill patternType="solid">
        <fgColor rgb="FFE4DFEC"/>
        <bgColor rgb="FF000000"/>
      </patternFill>
    </fill>
    <fill>
      <patternFill patternType="solid">
        <fgColor rgb="FFD8E4BC"/>
        <bgColor rgb="FF000000"/>
      </patternFill>
    </fill>
    <fill>
      <patternFill patternType="solid">
        <fgColor rgb="FFDCE6F1"/>
        <bgColor rgb="FF000000"/>
      </patternFill>
    </fill>
    <fill>
      <patternFill patternType="solid">
        <fgColor rgb="FFFDE9D9"/>
        <bgColor rgb="FF000000"/>
      </patternFill>
    </fill>
    <fill>
      <patternFill patternType="solid">
        <fgColor rgb="FFC4BD97"/>
        <bgColor rgb="FF000000"/>
      </patternFill>
    </fill>
    <fill>
      <patternFill patternType="solid">
        <fgColor theme="7" tint="0.59999389629810485"/>
        <bgColor rgb="FF000000"/>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rgb="FFE2EFDA"/>
        <bgColor rgb="FF000000"/>
      </patternFill>
    </fill>
    <fill>
      <patternFill patternType="solid">
        <fgColor theme="0" tint="-0.14999847407452621"/>
        <bgColor rgb="FF000000"/>
      </patternFill>
    </fill>
    <fill>
      <patternFill patternType="solid">
        <fgColor theme="6" tint="0.59999389629810485"/>
        <bgColor indexed="64"/>
      </patternFill>
    </fill>
    <fill>
      <patternFill patternType="solid">
        <fgColor theme="9" tint="0.59999389629810485"/>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2" fillId="0" borderId="0"/>
    <xf numFmtId="0" fontId="18" fillId="0" borderId="0" applyNumberFormat="0" applyFill="0" applyBorder="0" applyAlignment="0" applyProtection="0"/>
  </cellStyleXfs>
  <cellXfs count="184">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14" fontId="0" fillId="0" borderId="0" xfId="0" applyNumberFormat="1"/>
    <xf numFmtId="0" fontId="0" fillId="14" borderId="0" xfId="0" applyFill="1"/>
    <xf numFmtId="0" fontId="0" fillId="13" borderId="0" xfId="0" applyFill="1"/>
    <xf numFmtId="0" fontId="13" fillId="15" borderId="0" xfId="0" applyFont="1" applyFill="1" applyAlignment="1">
      <alignment wrapText="1"/>
    </xf>
    <xf numFmtId="0" fontId="1" fillId="15" borderId="0" xfId="0" applyFont="1" applyFill="1" applyAlignment="1">
      <alignment wrapText="1"/>
    </xf>
    <xf numFmtId="0" fontId="1" fillId="15" borderId="0" xfId="0" applyFont="1" applyFill="1"/>
    <xf numFmtId="0" fontId="1" fillId="15" borderId="0" xfId="0" applyFont="1" applyFill="1" applyAlignment="1">
      <alignment vertical="top" wrapText="1"/>
    </xf>
    <xf numFmtId="14" fontId="0" fillId="13" borderId="0" xfId="0" applyNumberFormat="1" applyFill="1"/>
    <xf numFmtId="0" fontId="14" fillId="16" borderId="0" xfId="0" applyFont="1" applyFill="1"/>
    <xf numFmtId="0" fontId="14" fillId="0" borderId="0" xfId="0" applyFont="1"/>
    <xf numFmtId="0" fontId="14" fillId="17" borderId="0" xfId="0" applyFont="1" applyFill="1"/>
    <xf numFmtId="14" fontId="14" fillId="0" borderId="0" xfId="0" applyNumberFormat="1" applyFont="1"/>
    <xf numFmtId="0" fontId="14" fillId="0" borderId="0" xfId="0" quotePrefix="1" applyFont="1"/>
    <xf numFmtId="0" fontId="0" fillId="12" borderId="0" xfId="0" applyFill="1"/>
    <xf numFmtId="0" fontId="15" fillId="0" borderId="0" xfId="0" applyFont="1"/>
    <xf numFmtId="0" fontId="18" fillId="0" borderId="0" xfId="2"/>
    <xf numFmtId="0" fontId="20" fillId="0" borderId="0" xfId="0" applyFont="1"/>
    <xf numFmtId="0" fontId="20" fillId="19" borderId="0" xfId="0" applyFont="1" applyFill="1"/>
    <xf numFmtId="14" fontId="20" fillId="0" borderId="0" xfId="0" applyNumberFormat="1" applyFont="1"/>
    <xf numFmtId="0" fontId="21" fillId="0" borderId="0" xfId="0" applyFont="1"/>
    <xf numFmtId="0" fontId="0" fillId="18" borderId="0" xfId="0" applyFill="1"/>
    <xf numFmtId="14" fontId="20" fillId="18" borderId="0" xfId="0" applyNumberFormat="1" applyFont="1" applyFill="1"/>
    <xf numFmtId="0" fontId="20" fillId="20" borderId="0" xfId="0" applyFont="1" applyFill="1"/>
    <xf numFmtId="0" fontId="14" fillId="20" borderId="0" xfId="0" applyFont="1" applyFill="1"/>
    <xf numFmtId="0" fontId="22" fillId="0" borderId="0" xfId="0" applyFont="1"/>
    <xf numFmtId="0" fontId="14" fillId="18" borderId="0" xfId="0" applyFont="1" applyFill="1"/>
    <xf numFmtId="0" fontId="24" fillId="0" borderId="0" xfId="0" applyFont="1"/>
    <xf numFmtId="0" fontId="25" fillId="0" borderId="0" xfId="0" applyFont="1"/>
    <xf numFmtId="0" fontId="26" fillId="0" borderId="0" xfId="0" applyFont="1"/>
    <xf numFmtId="0" fontId="14" fillId="22" borderId="0" xfId="0" applyFont="1" applyFill="1"/>
    <xf numFmtId="0" fontId="14" fillId="23" borderId="0" xfId="0" applyFont="1" applyFill="1"/>
    <xf numFmtId="0" fontId="14" fillId="19" borderId="0" xfId="0" applyFont="1" applyFill="1"/>
    <xf numFmtId="0" fontId="14" fillId="24" borderId="0" xfId="0" applyFont="1" applyFill="1"/>
    <xf numFmtId="0" fontId="14" fillId="25" borderId="0" xfId="0" applyFont="1" applyFill="1"/>
    <xf numFmtId="0" fontId="14" fillId="26" borderId="0" xfId="0" applyFont="1" applyFill="1"/>
    <xf numFmtId="14" fontId="14" fillId="17" borderId="0" xfId="0" applyNumberFormat="1" applyFont="1" applyFill="1"/>
    <xf numFmtId="14" fontId="14" fillId="19" borderId="0" xfId="0" applyNumberFormat="1" applyFont="1" applyFill="1"/>
    <xf numFmtId="14" fontId="14" fillId="25" borderId="0" xfId="0" applyNumberFormat="1" applyFont="1" applyFill="1"/>
    <xf numFmtId="14" fontId="14" fillId="24" borderId="0" xfId="0" applyNumberFormat="1" applyFont="1" applyFill="1"/>
    <xf numFmtId="0" fontId="14" fillId="27" borderId="0" xfId="0" applyFont="1" applyFill="1"/>
    <xf numFmtId="0" fontId="14" fillId="12" borderId="0" xfId="0" applyFont="1" applyFill="1"/>
    <xf numFmtId="0" fontId="0" fillId="28" borderId="0" xfId="0" applyFill="1"/>
    <xf numFmtId="0" fontId="0" fillId="29" borderId="0" xfId="0" applyFill="1"/>
    <xf numFmtId="0" fontId="0" fillId="30" borderId="0" xfId="0" applyFill="1"/>
    <xf numFmtId="0" fontId="14" fillId="31" borderId="0" xfId="0" applyFont="1" applyFill="1"/>
    <xf numFmtId="0" fontId="0" fillId="21" borderId="0" xfId="0" applyFill="1"/>
    <xf numFmtId="0" fontId="20" fillId="32" borderId="0" xfId="0" applyFont="1" applyFill="1"/>
    <xf numFmtId="0" fontId="0" fillId="32" borderId="0" xfId="0" applyFill="1"/>
    <xf numFmtId="0" fontId="3" fillId="32" borderId="0" xfId="0" applyFont="1" applyFill="1"/>
    <xf numFmtId="0" fontId="14" fillId="33" borderId="0" xfId="0" applyFont="1" applyFill="1"/>
    <xf numFmtId="0" fontId="14" fillId="29" borderId="0" xfId="0" applyFont="1" applyFill="1"/>
    <xf numFmtId="0" fontId="23" fillId="29" borderId="0" xfId="0" applyFont="1" applyFill="1"/>
    <xf numFmtId="0" fontId="14" fillId="13" borderId="0" xfId="0" applyFont="1" applyFill="1"/>
    <xf numFmtId="0" fontId="14" fillId="34" borderId="0" xfId="0" applyFont="1" applyFill="1"/>
    <xf numFmtId="0" fontId="14" fillId="32" borderId="0" xfId="0" applyFont="1" applyFill="1"/>
    <xf numFmtId="0" fontId="20" fillId="31" borderId="0" xfId="0" applyFont="1" applyFill="1"/>
    <xf numFmtId="0" fontId="20" fillId="33" borderId="0" xfId="0" applyFont="1" applyFill="1"/>
    <xf numFmtId="0" fontId="27" fillId="0" borderId="0" xfId="0" applyFont="1"/>
    <xf numFmtId="0" fontId="10" fillId="35" borderId="0" xfId="0" applyFont="1" applyFill="1"/>
    <xf numFmtId="0" fontId="20" fillId="36" borderId="0" xfId="0" applyFont="1" applyFill="1"/>
    <xf numFmtId="0" fontId="0" fillId="0" borderId="0" xfId="0" applyAlignment="1">
      <alignment wrapText="1"/>
    </xf>
    <xf numFmtId="0" fontId="0" fillId="0" borderId="0" xfId="0" applyAlignment="1">
      <alignment vertical="center"/>
    </xf>
    <xf numFmtId="2" fontId="0" fillId="0" borderId="0" xfId="0" applyNumberFormat="1" applyAlignment="1">
      <alignment vertical="center"/>
    </xf>
    <xf numFmtId="0" fontId="29" fillId="0" borderId="0" xfId="0" applyFont="1"/>
    <xf numFmtId="2" fontId="26" fillId="0" borderId="0" xfId="0" applyNumberFormat="1" applyFont="1" applyAlignment="1">
      <alignment horizontal="right"/>
    </xf>
    <xf numFmtId="2" fontId="23" fillId="0" borderId="0" xfId="0" applyNumberFormat="1" applyFont="1" applyAlignment="1">
      <alignment horizontal="right"/>
    </xf>
    <xf numFmtId="11" fontId="14" fillId="0" borderId="0" xfId="0" applyNumberFormat="1" applyFont="1"/>
    <xf numFmtId="2" fontId="14" fillId="0" borderId="0" xfId="0" applyNumberFormat="1" applyFont="1"/>
    <xf numFmtId="2" fontId="14" fillId="0" borderId="0" xfId="0" applyNumberFormat="1" applyFont="1" applyAlignment="1">
      <alignment horizontal="right"/>
    </xf>
    <xf numFmtId="2" fontId="9" fillId="0" borderId="0" xfId="0" applyNumberFormat="1" applyFont="1" applyAlignment="1">
      <alignment horizontal="right"/>
    </xf>
    <xf numFmtId="0" fontId="23" fillId="0" borderId="0" xfId="0" applyFont="1"/>
    <xf numFmtId="2" fontId="0" fillId="0" borderId="0" xfId="0" applyNumberFormat="1"/>
    <xf numFmtId="0" fontId="19" fillId="0" borderId="0" xfId="0" applyFont="1"/>
    <xf numFmtId="0" fontId="28" fillId="0" borderId="0" xfId="0" applyFont="1"/>
    <xf numFmtId="164" fontId="14" fillId="0" borderId="0" xfId="0" applyNumberFormat="1" applyFont="1"/>
    <xf numFmtId="0" fontId="10" fillId="0" borderId="0" xfId="0" applyFont="1"/>
    <xf numFmtId="0" fontId="18" fillId="0" borderId="0" xfId="2" applyFill="1"/>
    <xf numFmtId="0" fontId="0" fillId="0" borderId="0" xfId="1" applyFont="1"/>
    <xf numFmtId="0" fontId="18" fillId="0" borderId="0" xfId="2" applyFill="1" applyBorder="1"/>
    <xf numFmtId="1" fontId="0" fillId="0" borderId="0" xfId="0" applyNumberFormat="1"/>
    <xf numFmtId="14" fontId="0" fillId="37" borderId="0" xfId="0" applyNumberFormat="1" applyFill="1"/>
    <xf numFmtId="0" fontId="0" fillId="37" borderId="0" xfId="0" applyFill="1"/>
    <xf numFmtId="11" fontId="0" fillId="37" borderId="0" xfId="0" applyNumberFormat="1" applyFill="1"/>
    <xf numFmtId="0" fontId="0" fillId="37" borderId="0" xfId="0" quotePrefix="1" applyFill="1"/>
    <xf numFmtId="0" fontId="20" fillId="37" borderId="0" xfId="0" applyFont="1" applyFill="1"/>
    <xf numFmtId="0" fontId="1" fillId="37" borderId="0" xfId="0" applyFont="1" applyFill="1"/>
    <xf numFmtId="2" fontId="0" fillId="37" borderId="0" xfId="0" applyNumberFormat="1" applyFill="1"/>
    <xf numFmtId="0" fontId="3" fillId="37" borderId="0" xfId="0" applyFont="1" applyFill="1"/>
    <xf numFmtId="0" fontId="1" fillId="38" borderId="0" xfId="0" applyFont="1" applyFill="1"/>
    <xf numFmtId="0" fontId="4" fillId="2" borderId="2" xfId="0" applyFont="1" applyFill="1" applyBorder="1" applyAlignment="1">
      <alignment horizontal="center"/>
    </xf>
    <xf numFmtId="0" fontId="29" fillId="0" borderId="10" xfId="0" applyFont="1" applyBorder="1" applyAlignment="1">
      <alignment horizontal="left"/>
    </xf>
    <xf numFmtId="14" fontId="29" fillId="0" borderId="10" xfId="0" applyNumberFormat="1" applyFont="1" applyBorder="1" applyAlignment="1">
      <alignment horizontal="left"/>
    </xf>
    <xf numFmtId="0" fontId="29" fillId="0" borderId="10" xfId="0" applyFont="1" applyBorder="1"/>
    <xf numFmtId="2" fontId="5" fillId="12" borderId="0" xfId="0" applyNumberFormat="1" applyFont="1" applyFill="1" applyAlignment="1">
      <alignment horizontal="right"/>
    </xf>
    <xf numFmtId="2" fontId="26" fillId="0" borderId="0" xfId="0" applyNumberFormat="1" applyFont="1" applyAlignment="1">
      <alignment vertical="center"/>
    </xf>
    <xf numFmtId="0" fontId="5" fillId="12" borderId="0" xfId="0" applyFont="1" applyFill="1" applyAlignment="1">
      <alignment horizontal="center"/>
    </xf>
    <xf numFmtId="0" fontId="14" fillId="0" borderId="0" xfId="0" applyFont="1" applyAlignment="1">
      <alignment horizontal="center"/>
    </xf>
    <xf numFmtId="0" fontId="0" fillId="0" borderId="0" xfId="0" applyAlignment="1">
      <alignment horizontal="center"/>
    </xf>
    <xf numFmtId="0" fontId="29" fillId="0" borderId="0" xfId="0" applyFont="1" applyAlignment="1">
      <alignment horizontal="center"/>
    </xf>
    <xf numFmtId="0" fontId="20" fillId="0" borderId="0" xfId="0" applyFont="1" applyAlignment="1">
      <alignment horizontal="center"/>
    </xf>
    <xf numFmtId="0" fontId="5" fillId="0" borderId="0" xfId="0" applyFont="1" applyAlignment="1">
      <alignment horizontal="center"/>
    </xf>
    <xf numFmtId="0" fontId="0" fillId="37" borderId="0" xfId="0" applyFill="1" applyAlignment="1">
      <alignment horizontal="center"/>
    </xf>
    <xf numFmtId="11" fontId="0" fillId="37" borderId="0" xfId="0" applyNumberFormat="1" applyFill="1" applyAlignment="1">
      <alignment horizontal="center"/>
    </xf>
    <xf numFmtId="49" fontId="5" fillId="12" borderId="0" xfId="0" applyNumberFormat="1" applyFont="1" applyFill="1" applyAlignment="1">
      <alignment horizontal="center"/>
    </xf>
    <xf numFmtId="0" fontId="0" fillId="0" borderId="0" xfId="0" applyAlignment="1">
      <alignment horizontal="center" vertical="center"/>
    </xf>
    <xf numFmtId="11" fontId="0" fillId="0" borderId="0" xfId="0" applyNumberFormat="1" applyAlignment="1">
      <alignment horizontal="center"/>
    </xf>
    <xf numFmtId="1" fontId="1" fillId="12" borderId="0" xfId="0" applyNumberFormat="1" applyFont="1" applyFill="1" applyAlignment="1">
      <alignment horizontal="right"/>
    </xf>
    <xf numFmtId="1" fontId="14" fillId="0" borderId="0" xfId="0" applyNumberFormat="1" applyFont="1"/>
    <xf numFmtId="1" fontId="0" fillId="0" borderId="0" xfId="0" applyNumberFormat="1" applyAlignment="1">
      <alignment horizontal="right"/>
    </xf>
    <xf numFmtId="1" fontId="14" fillId="0" borderId="0" xfId="0" applyNumberFormat="1" applyFont="1" applyAlignment="1">
      <alignment horizontal="right"/>
    </xf>
    <xf numFmtId="1" fontId="0" fillId="0" borderId="0" xfId="0" applyNumberFormat="1" applyAlignment="1">
      <alignment vertical="center"/>
    </xf>
    <xf numFmtId="1" fontId="20" fillId="0" borderId="0" xfId="0" applyNumberFormat="1" applyFont="1"/>
    <xf numFmtId="1" fontId="23" fillId="0" borderId="0" xfId="0" applyNumberFormat="1" applyFont="1"/>
    <xf numFmtId="1" fontId="22" fillId="0" borderId="0" xfId="0" applyNumberFormat="1" applyFont="1"/>
    <xf numFmtId="1" fontId="3" fillId="0" borderId="0" xfId="0" applyNumberFormat="1" applyFont="1"/>
    <xf numFmtId="1" fontId="0" fillId="37" borderId="0" xfId="0" applyNumberFormat="1" applyFill="1"/>
    <xf numFmtId="0" fontId="0" fillId="0" borderId="0" xfId="0"/>
    <xf numFmtId="0" fontId="0" fillId="0" borderId="0" xfId="0"/>
    <xf numFmtId="0" fontId="0" fillId="0" borderId="0" xfId="0" applyNumberFormat="1" applyBorder="1"/>
    <xf numFmtId="0" fontId="26" fillId="0" borderId="0" xfId="0" applyNumberFormat="1" applyFont="1" applyBorder="1" applyAlignment="1">
      <alignment horizontal="right"/>
    </xf>
    <xf numFmtId="0" fontId="0" fillId="0" borderId="0" xfId="0" applyNumberFormat="1" applyBorder="1" applyAlignment="1">
      <alignment horizontal="center"/>
    </xf>
    <xf numFmtId="0" fontId="0" fillId="0" borderId="0" xfId="0" applyNumberFormat="1" applyBorder="1" applyAlignment="1">
      <alignment horizontal="right"/>
    </xf>
    <xf numFmtId="0" fontId="2" fillId="8" borderId="8" xfId="0" applyFont="1" applyFill="1" applyBorder="1" applyAlignment="1">
      <alignment horizontal="center" vertical="center" wrapText="1"/>
    </xf>
    <xf numFmtId="0" fontId="0" fillId="0" borderId="0" xfId="0"/>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6" fillId="3" borderId="1" xfId="0" applyFont="1" applyFill="1" applyBorder="1" applyAlignment="1">
      <alignment horizontal="center"/>
    </xf>
    <xf numFmtId="0" fontId="2" fillId="4" borderId="3" xfId="0" applyFont="1" applyFill="1" applyBorder="1" applyAlignment="1">
      <alignment horizontal="center"/>
    </xf>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cellXfs>
  <cellStyles count="3">
    <cellStyle name="Hyperlink" xfId="2" xr:uid="{00000000-000B-0000-0000-000008000000}"/>
    <cellStyle name="Normal 2" xfId="1" xr:uid="{00000000-0005-0000-0000-000000000000}"/>
    <cellStyle name="Standard" xfId="0" builtinId="0"/>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iz/Downloads/Copy%20of%204_UPI_CIRCOMOD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ata"/>
      <sheetName val="log"/>
      <sheetName val="ref"/>
    </sheetNames>
    <sheetDataSet>
      <sheetData sheetId="0"/>
      <sheetData sheetId="1">
        <row r="1">
          <cell r="A1" t="str">
            <v>material_processing_technology</v>
          </cell>
          <cell r="B1" t="str">
            <v>flowable</v>
          </cell>
          <cell r="C1" t="str">
            <v>flowable_category</v>
          </cell>
          <cell r="D1" t="str">
            <v>material_group</v>
          </cell>
          <cell r="E1" t="str">
            <v>data_layers</v>
          </cell>
          <cell r="F1" t="str">
            <v>value</v>
          </cell>
          <cell r="G1" t="str">
            <v>unit nominator</v>
          </cell>
          <cell r="H1" t="str">
            <v>unit denominator</v>
          </cell>
          <cell r="I1" t="str">
            <v>uncertainy info</v>
          </cell>
          <cell r="J1" t="str">
            <v>link to log entry</v>
          </cell>
          <cell r="K1" t="str">
            <v>comment, proxy choices made</v>
          </cell>
          <cell r="L1" t="str">
            <v>Data source</v>
          </cell>
        </row>
        <row r="2">
          <cell r="A2" t="str">
            <v>Which process?</v>
          </cell>
          <cell r="B2" t="str">
            <v>Entity that flows in or out</v>
          </cell>
          <cell r="C2" t="str">
            <v>What type of inflow/outflow?</v>
          </cell>
          <cell r="D2" t="str">
            <v>What HS4 code? Enter for reference product!</v>
          </cell>
          <cell r="E2" t="str">
            <v>What layer of quantification?</v>
          </cell>
          <cell r="F2"/>
          <cell r="G2"/>
          <cell r="H2"/>
          <cell r="I2"/>
          <cell r="J2"/>
          <cell r="K2"/>
          <cell r="L2"/>
        </row>
        <row r="3">
          <cell r="A3" t="str">
            <v>CM_1: material_processing_technologies</v>
          </cell>
          <cell r="B3" t="str">
            <v>CM_2: flowables</v>
          </cell>
          <cell r="C3" t="str">
            <v>CM_3: flow_categories</v>
          </cell>
          <cell r="D3" t="str">
            <v>iedc_65</v>
          </cell>
          <cell r="E3" t="str">
            <v>iedc_layers</v>
          </cell>
          <cell r="F3"/>
          <cell r="G3" t="str">
            <v>iedc_units: See Units table in CIRCOMOD classification list</v>
          </cell>
          <cell r="H3" t="str">
            <v>iedc_units: See Units table in CIRCOMOD classification list</v>
          </cell>
          <cell r="I3" t="str">
            <v xml:space="preserve">Enter uncertainty description where available (free text). Enter 'none' if no uncertainty info is present. Uncertainty data will be formatted to iedc format later: 'See https://www.database.industrialecology.uni-freiburg.de/uncertainty.aspx   </v>
          </cell>
          <cell r="J3" t="str">
            <v xml:space="preserve"> </v>
          </cell>
          <cell r="K3" t="str">
            <v xml:space="preserve"> </v>
          </cell>
          <cell r="L3" t="str">
            <v>Only to be used to enter data point-specific data sources (via link to ref sheet). For process-wide data sources, use the log and ref sheets.</v>
          </cell>
        </row>
        <row r="4">
          <cell r="B4"/>
          <cell r="C4"/>
          <cell r="D4"/>
          <cell r="E4"/>
          <cell r="F4"/>
          <cell r="G4"/>
          <cell r="H4"/>
          <cell r="I4"/>
          <cell r="K4"/>
          <cell r="L4"/>
        </row>
        <row r="5">
          <cell r="A5" t="str">
            <v>limestone quarry</v>
          </cell>
          <cell r="B5" t="str">
            <v>limestone, at mine</v>
          </cell>
          <cell r="C5" t="str">
            <v>reference_product</v>
          </cell>
          <cell r="D5">
            <v>2521</v>
          </cell>
          <cell r="E5" t="str">
            <v>Mass</v>
          </cell>
          <cell r="F5">
            <v>1</v>
          </cell>
          <cell r="G5" t="str">
            <v>kg</v>
          </cell>
          <cell r="H5">
            <v>1</v>
          </cell>
          <cell r="I5" t="str">
            <v>none</v>
          </cell>
          <cell r="J5" t="str">
            <v>example_1</v>
          </cell>
          <cell r="K5" t="str">
            <v>The quantity of limestone-containing material per unit of crushed and screened limestone is unknown. The non-limestone material recovered from limestone processing is returned to the mining site. This quantity represents minimum amount of limestone extracted/kg limestone output</v>
          </cell>
          <cell r="L5" t="str">
            <v>see log sheet</v>
          </cell>
        </row>
        <row r="6">
          <cell r="A6" t="str">
            <v>limestone quarry</v>
          </cell>
          <cell r="B6" t="str">
            <v>particulates, unspecified</v>
          </cell>
          <cell r="C6" t="str">
            <v>to environment (emission)</v>
          </cell>
          <cell r="E6" t="str">
            <v>Mass</v>
          </cell>
          <cell r="F6">
            <v>5.1100000000000002E-5</v>
          </cell>
          <cell r="G6" t="str">
            <v>kg</v>
          </cell>
          <cell r="H6" t="str">
            <v>kg</v>
          </cell>
          <cell r="I6" t="str">
            <v>none</v>
          </cell>
          <cell r="J6" t="str">
            <v>example_1</v>
          </cell>
          <cell r="L6" t="str">
            <v>see log sheet</v>
          </cell>
        </row>
        <row r="7">
          <cell r="A7" t="str">
            <v>limestone quarry</v>
          </cell>
          <cell r="B7" t="str">
            <v>bituminous coal, combusted in industrial boiler</v>
          </cell>
          <cell r="C7" t="str">
            <v>from technosphere (material)</v>
          </cell>
          <cell r="E7" t="str">
            <v>Mass</v>
          </cell>
          <cell r="F7">
            <v>3.5800000000000003E-5</v>
          </cell>
          <cell r="G7" t="str">
            <v>kg</v>
          </cell>
          <cell r="H7" t="str">
            <v>kg</v>
          </cell>
          <cell r="I7" t="str">
            <v>none</v>
          </cell>
          <cell r="J7" t="str">
            <v>example_1</v>
          </cell>
          <cell r="L7" t="str">
            <v>see log sheet</v>
          </cell>
        </row>
        <row r="8">
          <cell r="A8" t="str">
            <v>limestone quarry</v>
          </cell>
          <cell r="B8" t="str">
            <v>diesel, combusted in industrial boiler</v>
          </cell>
          <cell r="C8" t="str">
            <v>from technosphere (energy_carrier)</v>
          </cell>
          <cell r="E8" t="str">
            <v>Volume</v>
          </cell>
          <cell r="F8">
            <v>5.8399999999999999E-4</v>
          </cell>
          <cell r="G8" t="str">
            <v>l</v>
          </cell>
          <cell r="H8" t="str">
            <v>kg</v>
          </cell>
          <cell r="I8" t="str">
            <v>none</v>
          </cell>
          <cell r="J8" t="str">
            <v>example_1</v>
          </cell>
          <cell r="L8" t="str">
            <v>see log sheet</v>
          </cell>
        </row>
        <row r="9">
          <cell r="A9" t="str">
            <v>limestone quarry</v>
          </cell>
          <cell r="B9" t="str">
            <v>electricity, at grid, US, 2000</v>
          </cell>
          <cell r="C9" t="str">
            <v>from technosphere (energy_carrier)</v>
          </cell>
          <cell r="E9" t="str">
            <v>Energy</v>
          </cell>
          <cell r="F9">
            <v>4.2300000000000003E-3</v>
          </cell>
          <cell r="G9" t="str">
            <v>kWh</v>
          </cell>
          <cell r="H9" t="str">
            <v>kg</v>
          </cell>
          <cell r="I9" t="str">
            <v>none</v>
          </cell>
          <cell r="J9" t="str">
            <v>example_1</v>
          </cell>
          <cell r="L9" t="str">
            <v>see log sheet</v>
          </cell>
        </row>
        <row r="10">
          <cell r="A10" t="str">
            <v>limestone quarry</v>
          </cell>
          <cell r="B10" t="str">
            <v>gasoline, combusted in equipment</v>
          </cell>
          <cell r="C10" t="str">
            <v>from technosphere (energy_carrier)</v>
          </cell>
          <cell r="E10" t="str">
            <v>Volume</v>
          </cell>
          <cell r="F10">
            <v>5.1100000000000002E-5</v>
          </cell>
          <cell r="G10" t="str">
            <v>l</v>
          </cell>
          <cell r="H10" t="str">
            <v>kg</v>
          </cell>
          <cell r="I10" t="str">
            <v>none</v>
          </cell>
          <cell r="J10" t="str">
            <v>example_1</v>
          </cell>
          <cell r="L10" t="str">
            <v>see log sheet</v>
          </cell>
        </row>
        <row r="11">
          <cell r="A11" t="str">
            <v>limestone quarry</v>
          </cell>
          <cell r="B11" t="str">
            <v>limestone</v>
          </cell>
          <cell r="C11" t="str">
            <v>from environment (natural resource)</v>
          </cell>
          <cell r="E11" t="str">
            <v>Mass</v>
          </cell>
          <cell r="F11">
            <v>1</v>
          </cell>
          <cell r="G11" t="str">
            <v>kg</v>
          </cell>
          <cell r="H11" t="str">
            <v>kg</v>
          </cell>
          <cell r="I11" t="str">
            <v>none</v>
          </cell>
          <cell r="J11" t="str">
            <v>example_1</v>
          </cell>
          <cell r="L11" t="str">
            <v>see log sheet</v>
          </cell>
        </row>
        <row r="12">
          <cell r="A12" t="str">
            <v>limestone quarry</v>
          </cell>
          <cell r="B12" t="str">
            <v>natural gas, combusted in industrial boiler</v>
          </cell>
          <cell r="C12" t="str">
            <v>from technosphere (energy_carrier)</v>
          </cell>
          <cell r="E12" t="str">
            <v>Volume</v>
          </cell>
          <cell r="F12">
            <v>1.3999999999999999E-4</v>
          </cell>
          <cell r="G12" t="str">
            <v>m3</v>
          </cell>
          <cell r="H12" t="str">
            <v>kg</v>
          </cell>
          <cell r="I12" t="str">
            <v>none</v>
          </cell>
          <cell r="J12" t="str">
            <v>example_1</v>
          </cell>
          <cell r="L12" t="str">
            <v>see log sheet</v>
          </cell>
        </row>
        <row r="14">
          <cell r="A14" t="str">
            <v>Example: Efficient dry feed rotary kiln + on-site CCS</v>
          </cell>
          <cell r="B14" t="str">
            <v>cement clinker</v>
          </cell>
          <cell r="C14" t="str">
            <v>reference_product</v>
          </cell>
          <cell r="E14" t="str">
            <v>Mass</v>
          </cell>
          <cell r="F14">
            <v>1</v>
          </cell>
          <cell r="G14" t="str">
            <v>t</v>
          </cell>
          <cell r="H14">
            <v>1</v>
          </cell>
          <cell r="I14" t="str">
            <v>none</v>
          </cell>
          <cell r="J14" t="str">
            <v>Tbd.</v>
          </cell>
        </row>
        <row r="15">
          <cell r="A15" t="str">
            <v>Example: Efficient dry feed rotary kiln + on-site CCS</v>
          </cell>
          <cell r="B15" t="str">
            <v>industrial heat, high-temperature</v>
          </cell>
          <cell r="C15" t="str">
            <v>from technosphere (energy_carrier)</v>
          </cell>
          <cell r="E15" t="str">
            <v>Energy</v>
          </cell>
          <cell r="F15">
            <v>8.1999999999999993</v>
          </cell>
          <cell r="G15" t="str">
            <v>GJ</v>
          </cell>
          <cell r="H15" t="str">
            <v>t</v>
          </cell>
          <cell r="I15" t="str">
            <v>none</v>
          </cell>
          <cell r="J15" t="str">
            <v>Tbd.</v>
          </cell>
        </row>
        <row r="16">
          <cell r="A16" t="str">
            <v>…</v>
          </cell>
        </row>
        <row r="17">
          <cell r="A17" t="str">
            <v>…</v>
          </cell>
        </row>
        <row r="19">
          <cell r="A19" t="str">
            <v>Direct Reduced Iron + Electric Arc Furnace w/ CO2 capture</v>
          </cell>
          <cell r="B19" t="str">
            <v>steel, primary</v>
          </cell>
          <cell r="C19" t="str">
            <v>reference_product</v>
          </cell>
          <cell r="J19" t="str">
            <v>Tbd.</v>
          </cell>
        </row>
        <row r="20">
          <cell r="A20" t="str">
            <v>Direct Reduced Iron + Electric Arc Furnace w/ CO2 capture</v>
          </cell>
          <cell r="B20" t="str">
            <v>Industrial heat, high-temperature</v>
          </cell>
          <cell r="C20" t="str">
            <v>from technosphere (energy_carrier)</v>
          </cell>
          <cell r="F20">
            <v>19.8</v>
          </cell>
          <cell r="G20" t="str">
            <v>GJ</v>
          </cell>
          <cell r="H20" t="str">
            <v>t</v>
          </cell>
          <cell r="I20" t="str">
            <v>none</v>
          </cell>
          <cell r="J20" t="str">
            <v>Tbd.</v>
          </cell>
        </row>
        <row r="21">
          <cell r="A21" t="str">
            <v>…</v>
          </cell>
        </row>
        <row r="23">
          <cell r="A23" t="str">
            <v>[IMAGE] Standard dry feed rotary kiln</v>
          </cell>
          <cell r="B23" t="str">
            <v>cement clinker</v>
          </cell>
          <cell r="C23" t="str">
            <v>reference_product</v>
          </cell>
          <cell r="D23" t="str">
            <v>252310</v>
          </cell>
          <cell r="E23" t="str">
            <v>Mass</v>
          </cell>
          <cell r="F23">
            <v>1</v>
          </cell>
          <cell r="G23" t="str">
            <v>t</v>
          </cell>
          <cell r="H23">
            <v>1</v>
          </cell>
          <cell r="I23" t="str">
            <v>none</v>
          </cell>
          <cell r="J23" t="str">
            <v>[IMAGE] DRY</v>
          </cell>
        </row>
        <row r="24">
          <cell r="A24" t="str">
            <v>[IMAGE] Standard dry feed rotary kiln</v>
          </cell>
          <cell r="B24" t="str">
            <v>Industrial heat, high-temperature</v>
          </cell>
          <cell r="C24" t="str">
            <v>from technosphere (energy_carrier)</v>
          </cell>
          <cell r="D24"/>
          <cell r="E24" t="str">
            <v>Energy</v>
          </cell>
          <cell r="F24" t="str">
            <v>3.9</v>
          </cell>
          <cell r="G24" t="str">
            <v>GJ</v>
          </cell>
          <cell r="H24" t="str">
            <v>t</v>
          </cell>
          <cell r="J24" t="str">
            <v>[IMAGE] DRY</v>
          </cell>
        </row>
        <row r="25">
          <cell r="A25" t="str">
            <v/>
          </cell>
          <cell r="B25"/>
          <cell r="C25"/>
          <cell r="D25"/>
          <cell r="F25"/>
          <cell r="G25"/>
          <cell r="H25"/>
          <cell r="J25"/>
        </row>
        <row r="26">
          <cell r="A26" t="str">
            <v>[IMAGE] Efficient dry feed rotary kiln</v>
          </cell>
          <cell r="B26" t="str">
            <v>cement clinker</v>
          </cell>
          <cell r="C26" t="str">
            <v>reference_product</v>
          </cell>
          <cell r="D26" t="str">
            <v>252310</v>
          </cell>
          <cell r="E26" t="str">
            <v>Mass</v>
          </cell>
          <cell r="F26">
            <v>1</v>
          </cell>
          <cell r="G26" t="str">
            <v>t</v>
          </cell>
          <cell r="H26">
            <v>1</v>
          </cell>
          <cell r="I26" t="str">
            <v>none</v>
          </cell>
          <cell r="J26" t="str">
            <v>[IMAGE] EFD</v>
          </cell>
        </row>
        <row r="27">
          <cell r="A27" t="str">
            <v>[IMAGE] Efficient dry feed rotary kiln</v>
          </cell>
          <cell r="B27" t="str">
            <v>industrial heat, high-temperature</v>
          </cell>
          <cell r="C27" t="str">
            <v>from technosphere (energy_carrier)</v>
          </cell>
          <cell r="D27"/>
          <cell r="E27" t="str">
            <v>Energy</v>
          </cell>
          <cell r="F27" t="str">
            <v>2.9</v>
          </cell>
          <cell r="G27" t="str">
            <v>GJ</v>
          </cell>
          <cell r="H27" t="str">
            <v>t</v>
          </cell>
          <cell r="J27" t="str">
            <v>[IMAGE] EFD</v>
          </cell>
        </row>
        <row r="28">
          <cell r="A28" t="str">
            <v/>
          </cell>
          <cell r="B28"/>
          <cell r="C28"/>
          <cell r="D28"/>
          <cell r="F28"/>
          <cell r="G28"/>
          <cell r="H28"/>
          <cell r="J28"/>
        </row>
        <row r="29">
          <cell r="A29" t="str">
            <v>[IMAGE] Efficient dry feed rotary kiln + on-site CCS</v>
          </cell>
          <cell r="B29" t="str">
            <v>cement clinker</v>
          </cell>
          <cell r="C29" t="str">
            <v>reference_product</v>
          </cell>
          <cell r="D29" t="str">
            <v>252310</v>
          </cell>
          <cell r="E29" t="str">
            <v>Mass</v>
          </cell>
          <cell r="F29">
            <v>1</v>
          </cell>
          <cell r="G29" t="str">
            <v>t</v>
          </cell>
          <cell r="H29">
            <v>1</v>
          </cell>
          <cell r="I29" t="str">
            <v>none</v>
          </cell>
          <cell r="J29" t="str">
            <v>[IMAGE] EFD+CCS1</v>
          </cell>
        </row>
        <row r="30">
          <cell r="A30" t="str">
            <v>[IMAGE] Efficient dry feed rotary kiln + on-site CCS</v>
          </cell>
          <cell r="B30" t="str">
            <v>industrial heat, high-temperature</v>
          </cell>
          <cell r="C30" t="str">
            <v>from technosphere (energy_carrier)</v>
          </cell>
          <cell r="D30"/>
          <cell r="E30" t="str">
            <v>Energy</v>
          </cell>
          <cell r="F30" t="str">
            <v>3.3</v>
          </cell>
          <cell r="G30" t="str">
            <v>GJ</v>
          </cell>
          <cell r="H30" t="str">
            <v>t</v>
          </cell>
          <cell r="J30" t="str">
            <v>[IMAGE] EFD+CCS1</v>
          </cell>
        </row>
        <row r="31">
          <cell r="A31" t="str">
            <v/>
          </cell>
          <cell r="B31"/>
          <cell r="C31"/>
          <cell r="D31"/>
          <cell r="F31"/>
          <cell r="G31"/>
          <cell r="H31"/>
          <cell r="J31"/>
        </row>
        <row r="32">
          <cell r="A32" t="str">
            <v>[IMAGE] Efficient dry feed rotary kiln + oxy-combustion CCS</v>
          </cell>
          <cell r="B32" t="str">
            <v>cement clinker</v>
          </cell>
          <cell r="C32" t="str">
            <v>reference_product</v>
          </cell>
          <cell r="D32" t="str">
            <v>252310</v>
          </cell>
          <cell r="E32" t="str">
            <v>Mass</v>
          </cell>
          <cell r="F32">
            <v>1</v>
          </cell>
          <cell r="G32" t="str">
            <v>t</v>
          </cell>
          <cell r="H32">
            <v>1</v>
          </cell>
          <cell r="I32" t="str">
            <v>none</v>
          </cell>
          <cell r="J32" t="str">
            <v>[IMAGE] EFD+CCS2</v>
          </cell>
        </row>
        <row r="33">
          <cell r="A33" t="str">
            <v>[IMAGE] Efficient dry feed rotary kiln + oxy-combustion CCS</v>
          </cell>
          <cell r="B33" t="str">
            <v>industrial heat, high-temperature</v>
          </cell>
          <cell r="C33" t="str">
            <v>from technosphere (energy_carrier)</v>
          </cell>
          <cell r="D33"/>
          <cell r="E33" t="str">
            <v>Energy</v>
          </cell>
          <cell r="F33" t="str">
            <v>8.2</v>
          </cell>
          <cell r="G33" t="str">
            <v>GJ</v>
          </cell>
          <cell r="H33" t="str">
            <v>t</v>
          </cell>
          <cell r="J33" t="str">
            <v>[IMAGE] EFD+CCS2</v>
          </cell>
        </row>
        <row r="34">
          <cell r="A34" t="str">
            <v/>
          </cell>
          <cell r="B34"/>
          <cell r="C34"/>
          <cell r="D34"/>
          <cell r="F34"/>
          <cell r="G34"/>
          <cell r="H34"/>
          <cell r="J34"/>
        </row>
        <row r="35">
          <cell r="A35" t="str">
            <v>[IMAGE] Blast Furnace + Basic oxygen Furnace</v>
          </cell>
          <cell r="B35" t="str">
            <v>steel, primary</v>
          </cell>
          <cell r="C35" t="str">
            <v>reference_product</v>
          </cell>
          <cell r="D35" t="str">
            <v>7206</v>
          </cell>
          <cell r="E35" t="str">
            <v>Mass</v>
          </cell>
          <cell r="F35">
            <v>1</v>
          </cell>
          <cell r="G35" t="str">
            <v>t</v>
          </cell>
          <cell r="H35">
            <v>1</v>
          </cell>
          <cell r="I35" t="str">
            <v>none</v>
          </cell>
          <cell r="J35" t="str">
            <v>[IMAGE] BF/BOF</v>
          </cell>
        </row>
        <row r="36">
          <cell r="A36" t="str">
            <v>[IMAGE] Blast Furnace + Basic oxygen Furnace</v>
          </cell>
          <cell r="B36" t="str">
            <v>industrial heat, high-temperature</v>
          </cell>
          <cell r="C36" t="str">
            <v>from technosphere (energy_carrier)</v>
          </cell>
          <cell r="D36"/>
          <cell r="E36" t="str">
            <v>Energy</v>
          </cell>
          <cell r="F36" t="str">
            <v>23.5</v>
          </cell>
          <cell r="G36" t="str">
            <v>GJ</v>
          </cell>
          <cell r="H36" t="str">
            <v>t</v>
          </cell>
          <cell r="J36" t="str">
            <v>[IMAGE] BF/BOF</v>
          </cell>
        </row>
        <row r="37">
          <cell r="A37" t="str">
            <v/>
          </cell>
          <cell r="B37"/>
          <cell r="C37"/>
          <cell r="D37"/>
          <cell r="F37"/>
          <cell r="G37"/>
          <cell r="H37"/>
          <cell r="J37"/>
        </row>
        <row r="38">
          <cell r="A38" t="str">
            <v>[IMAGE] Direct Reduced Iron + Electric Arc Furnace</v>
          </cell>
          <cell r="B38" t="str">
            <v>steel, primary</v>
          </cell>
          <cell r="C38" t="str">
            <v>reference_product</v>
          </cell>
          <cell r="D38" t="str">
            <v>7206</v>
          </cell>
          <cell r="E38" t="str">
            <v>Mass</v>
          </cell>
          <cell r="F38">
            <v>1</v>
          </cell>
          <cell r="G38" t="str">
            <v>t</v>
          </cell>
          <cell r="H38">
            <v>1</v>
          </cell>
          <cell r="I38" t="str">
            <v>none</v>
          </cell>
          <cell r="J38" t="str">
            <v>[IMAGE] DRI/EAF</v>
          </cell>
        </row>
        <row r="39">
          <cell r="A39" t="str">
            <v>[IMAGE] Direct Reduced Iron + Electric Arc Furnace</v>
          </cell>
          <cell r="B39" t="str">
            <v>industrial heat, high-temperature</v>
          </cell>
          <cell r="C39" t="str">
            <v>from technosphere (energy_carrier)</v>
          </cell>
          <cell r="D39"/>
          <cell r="E39" t="str">
            <v>Energy</v>
          </cell>
          <cell r="F39" t="str">
            <v>19.8</v>
          </cell>
          <cell r="G39" t="str">
            <v>GJ</v>
          </cell>
          <cell r="H39" t="str">
            <v>t</v>
          </cell>
          <cell r="J39" t="str">
            <v>[IMAGE] DRI/EAF</v>
          </cell>
        </row>
        <row r="40">
          <cell r="A40" t="str">
            <v/>
          </cell>
          <cell r="B40"/>
          <cell r="C40"/>
          <cell r="D40"/>
          <cell r="F40"/>
          <cell r="G40"/>
          <cell r="H40"/>
          <cell r="J40"/>
        </row>
        <row r="41">
          <cell r="A41" t="str">
            <v>[IMAGE] Standard Electric Arc Furnace - Scrap</v>
          </cell>
          <cell r="B41" t="str">
            <v>steel, recycled</v>
          </cell>
          <cell r="C41" t="str">
            <v>reference_product</v>
          </cell>
          <cell r="D41" t="str">
            <v>7206</v>
          </cell>
          <cell r="E41" t="str">
            <v>Mass</v>
          </cell>
          <cell r="F41">
            <v>1</v>
          </cell>
          <cell r="G41" t="str">
            <v>t</v>
          </cell>
          <cell r="H41">
            <v>1</v>
          </cell>
          <cell r="I41" t="str">
            <v>none</v>
          </cell>
          <cell r="J41" t="str">
            <v>[IMAGE] EAF-scrap</v>
          </cell>
        </row>
        <row r="42">
          <cell r="A42" t="str">
            <v>[IMAGE] Standard Electric Arc Furnace - Scrap</v>
          </cell>
          <cell r="B42" t="str">
            <v>industrial heat, high-temperature</v>
          </cell>
          <cell r="C42" t="str">
            <v>from technosphere (energy_carrier)</v>
          </cell>
          <cell r="E42" t="str">
            <v>Energy</v>
          </cell>
          <cell r="F42">
            <v>8</v>
          </cell>
          <cell r="G42" t="str">
            <v>GJ</v>
          </cell>
          <cell r="H42" t="str">
            <v>t</v>
          </cell>
          <cell r="J42" t="str">
            <v>[IMAGE] EAF-scrap</v>
          </cell>
        </row>
        <row r="43">
          <cell r="A43" t="str">
            <v/>
          </cell>
          <cell r="B43"/>
          <cell r="C43"/>
          <cell r="D43"/>
          <cell r="F43"/>
          <cell r="G43"/>
          <cell r="H43"/>
          <cell r="J43"/>
        </row>
        <row r="44">
          <cell r="A44" t="str">
            <v>[IMAGE] Modernized Blast Furnace + Basic oxygen Furnace</v>
          </cell>
          <cell r="B44" t="str">
            <v>steel, primary</v>
          </cell>
          <cell r="C44" t="str">
            <v>reference_product</v>
          </cell>
          <cell r="D44" t="str">
            <v>7206</v>
          </cell>
          <cell r="E44" t="str">
            <v>Mass</v>
          </cell>
          <cell r="F44">
            <v>1</v>
          </cell>
          <cell r="G44" t="str">
            <v>t</v>
          </cell>
          <cell r="H44">
            <v>1</v>
          </cell>
          <cell r="I44" t="str">
            <v>none</v>
          </cell>
          <cell r="J44" t="str">
            <v>[IMAGE] Eff. BF/BOF</v>
          </cell>
        </row>
        <row r="45">
          <cell r="A45" t="str">
            <v>[IMAGE] Modernized Blast Furnace + Basic oxygen Furnace</v>
          </cell>
          <cell r="B45" t="str">
            <v>industrial heat, high-temperature</v>
          </cell>
          <cell r="C45" t="str">
            <v>from technosphere (energy_carrier)</v>
          </cell>
          <cell r="D45"/>
          <cell r="E45" t="str">
            <v>Energy</v>
          </cell>
          <cell r="F45" t="str">
            <v>22.2</v>
          </cell>
          <cell r="G45" t="str">
            <v>GJ</v>
          </cell>
          <cell r="H45" t="str">
            <v>t</v>
          </cell>
          <cell r="J45" t="str">
            <v>[IMAGE] Eff. BF/BOF</v>
          </cell>
        </row>
        <row r="46">
          <cell r="A46" t="str">
            <v/>
          </cell>
          <cell r="B46"/>
          <cell r="C46"/>
          <cell r="D46"/>
          <cell r="F46"/>
          <cell r="G46"/>
          <cell r="H46"/>
          <cell r="J46"/>
        </row>
        <row r="47">
          <cell r="A47" t="str">
            <v>[IMAGE] Blast Furnace + Basic oxygen Furnace w/ CO2 capture</v>
          </cell>
          <cell r="B47" t="str">
            <v>steel, primary</v>
          </cell>
          <cell r="C47" t="str">
            <v>reference_product</v>
          </cell>
          <cell r="D47" t="str">
            <v>7206</v>
          </cell>
          <cell r="E47" t="str">
            <v>Mass</v>
          </cell>
          <cell r="F47">
            <v>1</v>
          </cell>
          <cell r="G47" t="str">
            <v>t</v>
          </cell>
          <cell r="H47">
            <v>1</v>
          </cell>
          <cell r="I47" t="str">
            <v>none</v>
          </cell>
          <cell r="J47" t="str">
            <v>[IMAGE] BF/BOF+CCS</v>
          </cell>
        </row>
        <row r="48">
          <cell r="A48" t="str">
            <v>[IMAGE] Blast Furnace + Basic oxygen Furnace w/ CO2 capture</v>
          </cell>
          <cell r="B48" t="str">
            <v>industrial heat, high-temperature</v>
          </cell>
          <cell r="C48" t="str">
            <v>from technosphere (energy_carrier)</v>
          </cell>
          <cell r="D48"/>
          <cell r="E48" t="str">
            <v>Energy</v>
          </cell>
          <cell r="F48" t="str">
            <v>18.5</v>
          </cell>
          <cell r="G48" t="str">
            <v>GJ</v>
          </cell>
          <cell r="H48" t="str">
            <v>t</v>
          </cell>
          <cell r="J48" t="str">
            <v>[IMAGE] BF/BOF+CCS</v>
          </cell>
        </row>
        <row r="49">
          <cell r="A49" t="str">
            <v/>
          </cell>
          <cell r="B49"/>
          <cell r="C49"/>
          <cell r="D49"/>
          <cell r="F49"/>
          <cell r="G49"/>
          <cell r="H49"/>
          <cell r="J49"/>
        </row>
        <row r="50">
          <cell r="A50" t="str">
            <v>[IMAGE] Smelting reduction + Basic oxygen Furnace</v>
          </cell>
          <cell r="B50" t="str">
            <v>steel, primary</v>
          </cell>
          <cell r="C50" t="str">
            <v>reference_product</v>
          </cell>
          <cell r="D50" t="str">
            <v>7206</v>
          </cell>
          <cell r="E50" t="str">
            <v>Mass</v>
          </cell>
          <cell r="F50">
            <v>1</v>
          </cell>
          <cell r="G50" t="str">
            <v>t</v>
          </cell>
          <cell r="H50">
            <v>1</v>
          </cell>
          <cell r="I50" t="str">
            <v>none</v>
          </cell>
          <cell r="J50" t="str">
            <v>[IMAGE] SR/BOF</v>
          </cell>
        </row>
        <row r="51">
          <cell r="A51" t="str">
            <v>[IMAGE] Smelting reduction + Basic oxygen Furnace</v>
          </cell>
          <cell r="B51" t="str">
            <v>industrial heat, high-temperature</v>
          </cell>
          <cell r="C51" t="str">
            <v>from technosphere (energy_carrier)</v>
          </cell>
          <cell r="D51"/>
          <cell r="E51" t="str">
            <v>Energy</v>
          </cell>
          <cell r="F51" t="str">
            <v>20.3</v>
          </cell>
          <cell r="G51" t="str">
            <v>GJ</v>
          </cell>
          <cell r="H51" t="str">
            <v>t</v>
          </cell>
          <cell r="J51" t="str">
            <v>[IMAGE] SR/BOF</v>
          </cell>
        </row>
        <row r="52">
          <cell r="A52" t="str">
            <v/>
          </cell>
          <cell r="B52"/>
          <cell r="C52"/>
          <cell r="D52"/>
          <cell r="F52"/>
          <cell r="G52"/>
          <cell r="H52"/>
          <cell r="J52"/>
        </row>
        <row r="53">
          <cell r="A53" t="str">
            <v>[IMAGE] Smelting reduction + Basic oxygen Furnace w/ CO2 capture</v>
          </cell>
          <cell r="B53" t="str">
            <v>steel, primary</v>
          </cell>
          <cell r="C53" t="str">
            <v>reference_product</v>
          </cell>
          <cell r="D53" t="str">
            <v>7206</v>
          </cell>
          <cell r="E53" t="str">
            <v>Mass</v>
          </cell>
          <cell r="F53">
            <v>1</v>
          </cell>
          <cell r="G53" t="str">
            <v>t</v>
          </cell>
          <cell r="H53">
            <v>1</v>
          </cell>
          <cell r="I53" t="str">
            <v>none</v>
          </cell>
          <cell r="J53" t="str">
            <v>[IMAGE] SR/BOF+CCS</v>
          </cell>
        </row>
        <row r="54">
          <cell r="A54" t="str">
            <v>[IMAGE] Smelting reduction + Basic oxygen Furnace w/ CO2 capture</v>
          </cell>
          <cell r="B54" t="str">
            <v>industrial heat, high-temperature</v>
          </cell>
          <cell r="C54" t="str">
            <v>from technosphere (energy_carrier)</v>
          </cell>
          <cell r="D54"/>
          <cell r="E54" t="str">
            <v>Energy</v>
          </cell>
          <cell r="F54" t="str">
            <v>20.3</v>
          </cell>
          <cell r="G54" t="str">
            <v>GJ</v>
          </cell>
          <cell r="H54" t="str">
            <v>t</v>
          </cell>
          <cell r="J54" t="str">
            <v>[IMAGE] SR/BOF+CCS</v>
          </cell>
        </row>
        <row r="55">
          <cell r="A55" t="str">
            <v/>
          </cell>
          <cell r="B55"/>
          <cell r="C55"/>
          <cell r="D55"/>
          <cell r="F55"/>
          <cell r="G55"/>
          <cell r="H55"/>
          <cell r="J55"/>
        </row>
        <row r="56">
          <cell r="A56" t="str">
            <v>[IMAGE] Direct Reduced Iron + Electric Arc Furnace w/ CO2 capture</v>
          </cell>
          <cell r="B56" t="str">
            <v>steel, primary</v>
          </cell>
          <cell r="C56" t="str">
            <v>reference_product</v>
          </cell>
          <cell r="D56" t="str">
            <v>7206</v>
          </cell>
          <cell r="E56" t="str">
            <v>Mass</v>
          </cell>
          <cell r="F56">
            <v>1</v>
          </cell>
          <cell r="G56" t="str">
            <v>t</v>
          </cell>
          <cell r="H56">
            <v>1</v>
          </cell>
          <cell r="I56" t="str">
            <v>none</v>
          </cell>
          <cell r="J56" t="str">
            <v>[IMAGE] DRI/EAF+CCS</v>
          </cell>
        </row>
        <row r="57">
          <cell r="A57" t="str">
            <v>[IMAGE] Direct Reduced Iron + Electric Arc Furnace w/ CO2 capture</v>
          </cell>
          <cell r="B57" t="str">
            <v>industrial heat, high-temperature</v>
          </cell>
          <cell r="C57" t="str">
            <v>from technosphere (energy_carrier)</v>
          </cell>
          <cell r="D57"/>
          <cell r="E57" t="str">
            <v>Energy</v>
          </cell>
          <cell r="F57" t="str">
            <v>19.8</v>
          </cell>
          <cell r="G57" t="str">
            <v>GJ</v>
          </cell>
          <cell r="H57" t="str">
            <v>t</v>
          </cell>
          <cell r="J57" t="str">
            <v>[IMAGE] DRI/EAF+CCS</v>
          </cell>
        </row>
        <row r="58">
          <cell r="A58" t="str">
            <v/>
          </cell>
          <cell r="B58"/>
          <cell r="C58"/>
          <cell r="D58"/>
          <cell r="F58"/>
          <cell r="G58"/>
          <cell r="H58"/>
          <cell r="J58"/>
        </row>
        <row r="59">
          <cell r="A59" t="str">
            <v>[IMAGE] Top Gas Recycling Blast Furnace + Basic oxygen Furnace</v>
          </cell>
          <cell r="B59" t="str">
            <v>steel, primary</v>
          </cell>
          <cell r="C59" t="str">
            <v>reference_product</v>
          </cell>
          <cell r="D59" t="str">
            <v>7206</v>
          </cell>
          <cell r="E59" t="str">
            <v>Mass</v>
          </cell>
          <cell r="F59">
            <v>1</v>
          </cell>
          <cell r="G59" t="str">
            <v>t</v>
          </cell>
          <cell r="H59">
            <v>1</v>
          </cell>
          <cell r="I59" t="str">
            <v>none</v>
          </cell>
          <cell r="J59" t="str">
            <v>[IMAGE] TGRBF/BOF</v>
          </cell>
        </row>
        <row r="60">
          <cell r="A60" t="str">
            <v>[IMAGE] Top Gas Recycling Blast Furnace + Basic oxygen Furnace</v>
          </cell>
          <cell r="B60" t="str">
            <v>industrial heat, high-temperature</v>
          </cell>
          <cell r="C60" t="str">
            <v>from technosphere (energy_carrier)</v>
          </cell>
          <cell r="D60"/>
          <cell r="E60" t="str">
            <v>Energy</v>
          </cell>
          <cell r="F60" t="str">
            <v>19.3</v>
          </cell>
          <cell r="G60" t="str">
            <v>GJ</v>
          </cell>
          <cell r="H60" t="str">
            <v>t</v>
          </cell>
          <cell r="J60" t="str">
            <v>[IMAGE] TGRBF/BOF</v>
          </cell>
        </row>
        <row r="61">
          <cell r="A61" t="str">
            <v/>
          </cell>
          <cell r="B61"/>
          <cell r="C61"/>
          <cell r="D61"/>
          <cell r="F61"/>
          <cell r="G61"/>
          <cell r="H61"/>
          <cell r="J61"/>
        </row>
        <row r="62">
          <cell r="A62" t="str">
            <v>[IMAGE] Top Gas Recycling Blast Furnace BAT + Basic oxygen Furnace</v>
          </cell>
          <cell r="B62" t="str">
            <v>steel, primary</v>
          </cell>
          <cell r="C62" t="str">
            <v>reference_product</v>
          </cell>
          <cell r="D62" t="str">
            <v>7206</v>
          </cell>
          <cell r="E62" t="str">
            <v>Mass</v>
          </cell>
          <cell r="F62">
            <v>1</v>
          </cell>
          <cell r="G62" t="str">
            <v>t</v>
          </cell>
          <cell r="H62">
            <v>1</v>
          </cell>
          <cell r="I62" t="str">
            <v>none</v>
          </cell>
          <cell r="J62" t="str">
            <v>[IMAGE] TGRBF BAT/BOF</v>
          </cell>
        </row>
        <row r="63">
          <cell r="A63" t="str">
            <v>[IMAGE] Top Gas Recycling Blast Furnace BAT + Basic oxygen Furnace</v>
          </cell>
          <cell r="B63" t="str">
            <v>industrial heat, high-temperature</v>
          </cell>
          <cell r="C63" t="str">
            <v>from technosphere (energy_carrier)</v>
          </cell>
          <cell r="D63"/>
          <cell r="E63" t="str">
            <v>Energy</v>
          </cell>
          <cell r="F63" t="str">
            <v>10.15</v>
          </cell>
          <cell r="G63" t="str">
            <v>GJ</v>
          </cell>
          <cell r="H63" t="str">
            <v>t</v>
          </cell>
          <cell r="J63" t="str">
            <v>[IMAGE] TGRBF BAT/BOF</v>
          </cell>
        </row>
        <row r="64">
          <cell r="A64" t="str">
            <v/>
          </cell>
          <cell r="B64"/>
          <cell r="C64"/>
          <cell r="D64"/>
          <cell r="F64"/>
          <cell r="G64"/>
          <cell r="H64"/>
          <cell r="J64"/>
        </row>
        <row r="65">
          <cell r="A65" t="str">
            <v>[IMAGE] Top Gas Recycling Blast Furnace BAT + Basic oxygen Furnace w/ CO2 capture</v>
          </cell>
          <cell r="B65" t="str">
            <v>steel, primary</v>
          </cell>
          <cell r="C65" t="str">
            <v>reference_product</v>
          </cell>
          <cell r="D65" t="str">
            <v>7206</v>
          </cell>
          <cell r="E65" t="str">
            <v>Mass</v>
          </cell>
          <cell r="F65">
            <v>1</v>
          </cell>
          <cell r="G65" t="str">
            <v>t</v>
          </cell>
          <cell r="H65">
            <v>1</v>
          </cell>
          <cell r="I65" t="str">
            <v>none</v>
          </cell>
          <cell r="J65" t="str">
            <v>[IMAGE] TGRBF BAT/BOF+CCS</v>
          </cell>
        </row>
        <row r="66">
          <cell r="A66" t="str">
            <v>[IMAGE] Top Gas Recycling Blast Furnace BAT + Basic oxygen Furnace w/ CO2 capture</v>
          </cell>
          <cell r="B66" t="str">
            <v>industrial heat, high-temperature</v>
          </cell>
          <cell r="C66" t="str">
            <v>from technosphere (energy_carrier)</v>
          </cell>
          <cell r="D66"/>
          <cell r="E66" t="str">
            <v>Energy</v>
          </cell>
          <cell r="F66" t="str">
            <v>10.15</v>
          </cell>
          <cell r="G66" t="str">
            <v>GJ</v>
          </cell>
          <cell r="H66" t="str">
            <v>t</v>
          </cell>
          <cell r="J66" t="str">
            <v>[IMAGE] TGRBF BAT/BOF+CCS</v>
          </cell>
        </row>
        <row r="67">
          <cell r="A67" t="str">
            <v/>
          </cell>
          <cell r="B67"/>
          <cell r="C67"/>
          <cell r="D67"/>
          <cell r="F67"/>
          <cell r="G67"/>
          <cell r="H67"/>
          <cell r="J67"/>
        </row>
        <row r="68">
          <cell r="A68" t="str">
            <v>[IMAGE] Hydrogen Direct Reduced Iron + Electric Arc Furnace</v>
          </cell>
          <cell r="B68" t="str">
            <v>steel, primary</v>
          </cell>
          <cell r="C68" t="str">
            <v>reference_product</v>
          </cell>
          <cell r="D68" t="str">
            <v>7206</v>
          </cell>
          <cell r="E68" t="str">
            <v>Mass</v>
          </cell>
          <cell r="F68">
            <v>1</v>
          </cell>
          <cell r="G68" t="str">
            <v>t</v>
          </cell>
          <cell r="H68">
            <v>1</v>
          </cell>
          <cell r="I68" t="str">
            <v>none</v>
          </cell>
          <cell r="J68" t="str">
            <v>[IMAGE] H-DR/EAF</v>
          </cell>
        </row>
        <row r="69">
          <cell r="A69" t="str">
            <v>[IMAGE] Hydrogen Direct Reduced Iron + Electric Arc Furnace</v>
          </cell>
          <cell r="B69" t="str">
            <v>industrial heat, high-temperature</v>
          </cell>
          <cell r="C69" t="str">
            <v>from technosphere (energy_carrier)</v>
          </cell>
          <cell r="D69"/>
          <cell r="E69" t="str">
            <v>Energy</v>
          </cell>
          <cell r="F69">
            <v>16</v>
          </cell>
          <cell r="G69" t="str">
            <v>GJ</v>
          </cell>
          <cell r="H69" t="str">
            <v>t</v>
          </cell>
          <cell r="J69" t="str">
            <v>[IMAGE] H-DR/EAF</v>
          </cell>
        </row>
        <row r="70">
          <cell r="A70" t="str">
            <v/>
          </cell>
          <cell r="B70"/>
          <cell r="C70"/>
          <cell r="D70"/>
          <cell r="F70"/>
          <cell r="G70"/>
          <cell r="H70"/>
          <cell r="J70"/>
        </row>
        <row r="71">
          <cell r="A71" t="str">
            <v>[IMAGE] Electrowinning + Electric Arc Furnace</v>
          </cell>
          <cell r="B71" t="str">
            <v>steel, primary</v>
          </cell>
          <cell r="C71" t="str">
            <v>reference_product</v>
          </cell>
          <cell r="D71" t="str">
            <v>7206</v>
          </cell>
          <cell r="E71" t="str">
            <v>Mass</v>
          </cell>
          <cell r="F71">
            <v>1</v>
          </cell>
          <cell r="G71" t="str">
            <v>t</v>
          </cell>
          <cell r="H71">
            <v>1</v>
          </cell>
          <cell r="I71" t="str">
            <v>none</v>
          </cell>
          <cell r="J71" t="str">
            <v>[IMAGE] Electrowinning/EAF</v>
          </cell>
        </row>
        <row r="72">
          <cell r="A72" t="str">
            <v>[IMAGE] Electrowinning + Electric Arc Furnace</v>
          </cell>
          <cell r="B72" t="str">
            <v>industrial heat, high-temperature</v>
          </cell>
          <cell r="C72" t="str">
            <v>from technosphere (energy_carrier)</v>
          </cell>
          <cell r="E72" t="str">
            <v>Energy</v>
          </cell>
          <cell r="F72">
            <v>12</v>
          </cell>
          <cell r="G72" t="str">
            <v>GJ</v>
          </cell>
          <cell r="H72" t="str">
            <v>t</v>
          </cell>
          <cell r="J72" t="str">
            <v>[IMAGE] Electrowinning</v>
          </cell>
        </row>
        <row r="73">
          <cell r="A73" t="str">
            <v/>
          </cell>
        </row>
        <row r="74">
          <cell r="A74" t="str">
            <v>[TIMES] Pellet plant</v>
          </cell>
          <cell r="B74" t="str">
            <v>iron ore pellets</v>
          </cell>
          <cell r="C74" t="str">
            <v>reference_product</v>
          </cell>
          <cell r="D74"/>
          <cell r="E74" t="str">
            <v>Mass</v>
          </cell>
          <cell r="F74">
            <v>1</v>
          </cell>
          <cell r="G74" t="str">
            <v>t</v>
          </cell>
          <cell r="H74">
            <v>1</v>
          </cell>
          <cell r="J74" t="str">
            <v>[TIMES] iron ore pellets</v>
          </cell>
        </row>
        <row r="75">
          <cell r="A75" t="str">
            <v>[TIMES] Pellet plant</v>
          </cell>
          <cell r="B75" t="str">
            <v>electricity</v>
          </cell>
          <cell r="C75" t="str">
            <v>from technosphere (energy_carrier)</v>
          </cell>
          <cell r="D75"/>
          <cell r="E75" t="str">
            <v>Energy</v>
          </cell>
          <cell r="F75">
            <v>1.1399999999999999</v>
          </cell>
          <cell r="G75" t="str">
            <v>GJ</v>
          </cell>
          <cell r="H75" t="str">
            <v>t</v>
          </cell>
          <cell r="J75" t="str">
            <v>[TIMES] iron ore pellets</v>
          </cell>
        </row>
        <row r="76">
          <cell r="A76" t="str">
            <v>[TIMES] Pellet plant</v>
          </cell>
          <cell r="B76" t="str">
            <v>coke</v>
          </cell>
          <cell r="C76" t="str">
            <v>from technosphere (energy_carrier)</v>
          </cell>
          <cell r="D76"/>
          <cell r="E76" t="str">
            <v>Energy</v>
          </cell>
          <cell r="F76">
            <v>1.01</v>
          </cell>
          <cell r="G76" t="str">
            <v>GJ</v>
          </cell>
          <cell r="H76" t="str">
            <v>t</v>
          </cell>
          <cell r="J76" t="str">
            <v>[TIMES] iron ore pellets</v>
          </cell>
        </row>
        <row r="77">
          <cell r="A77" t="str">
            <v>[TIMES] Pellet plant</v>
          </cell>
          <cell r="B77" t="str">
            <v>iron ore</v>
          </cell>
          <cell r="C77" t="str">
            <v>from environment (natural resource)</v>
          </cell>
          <cell r="D77"/>
          <cell r="E77" t="str">
            <v>Mass</v>
          </cell>
          <cell r="F77">
            <v>1</v>
          </cell>
          <cell r="G77" t="str">
            <v>t</v>
          </cell>
          <cell r="H77" t="str">
            <v>t</v>
          </cell>
          <cell r="J77" t="str">
            <v>[TIMES] iron ore pellets</v>
          </cell>
        </row>
        <row r="78">
          <cell r="A78" t="str">
            <v>[TIMES] Pellet plant</v>
          </cell>
          <cell r="B78" t="str">
            <v>carbon dioxide</v>
          </cell>
          <cell r="C78" t="str">
            <v>to environment (emission, combustion)</v>
          </cell>
          <cell r="D78"/>
          <cell r="E78" t="str">
            <v>Mass</v>
          </cell>
          <cell r="F78">
            <v>0.108575</v>
          </cell>
          <cell r="G78" t="str">
            <v>t</v>
          </cell>
          <cell r="H78"/>
          <cell r="I78" t="str">
            <v>13;0.98*value;1.02*value</v>
          </cell>
          <cell r="J78"/>
        </row>
        <row r="79">
          <cell r="A79" t="str">
            <v/>
          </cell>
          <cell r="D79"/>
        </row>
        <row r="80">
          <cell r="A80" t="str">
            <v>[TIMES] Sinter plant</v>
          </cell>
          <cell r="B80" t="str">
            <v>sinter</v>
          </cell>
          <cell r="C80" t="str">
            <v>reference_product</v>
          </cell>
          <cell r="D80"/>
          <cell r="E80" t="str">
            <v>Mass</v>
          </cell>
          <cell r="F80">
            <v>1</v>
          </cell>
          <cell r="G80" t="str">
            <v>t</v>
          </cell>
          <cell r="H80">
            <v>1</v>
          </cell>
          <cell r="J80" t="str">
            <v>[TIMES] sinter</v>
          </cell>
        </row>
        <row r="81">
          <cell r="A81" t="str">
            <v>[TIMES] Sinter plant</v>
          </cell>
          <cell r="B81" t="str">
            <v>iron ore</v>
          </cell>
          <cell r="C81" t="str">
            <v>from environment (natural resource)</v>
          </cell>
          <cell r="D81"/>
          <cell r="E81" t="str">
            <v>Mass</v>
          </cell>
          <cell r="F81">
            <v>1</v>
          </cell>
          <cell r="G81" t="str">
            <v>t</v>
          </cell>
          <cell r="H81" t="str">
            <v>t</v>
          </cell>
          <cell r="J81" t="str">
            <v>[TIMES] sinter</v>
          </cell>
        </row>
        <row r="82">
          <cell r="A82" t="str">
            <v>[TIMES] Sinter plant</v>
          </cell>
          <cell r="B82" t="str">
            <v>electricity</v>
          </cell>
          <cell r="C82" t="str">
            <v>from technosphere (energy_carrier)</v>
          </cell>
          <cell r="D82"/>
          <cell r="E82" t="str">
            <v>Energy</v>
          </cell>
          <cell r="F82">
            <v>0.1</v>
          </cell>
          <cell r="G82" t="str">
            <v>GJ</v>
          </cell>
          <cell r="H82" t="str">
            <v>t</v>
          </cell>
          <cell r="J82" t="str">
            <v>[TIMES] sinter</v>
          </cell>
        </row>
        <row r="83">
          <cell r="A83" t="str">
            <v>[TIMES] Sinter plant</v>
          </cell>
          <cell r="B83" t="str">
            <v>coke</v>
          </cell>
          <cell r="C83" t="str">
            <v>from technosphere (energy_carrier)</v>
          </cell>
          <cell r="D83"/>
          <cell r="E83" t="str">
            <v>Energy</v>
          </cell>
          <cell r="F83">
            <v>1.1599999999999999</v>
          </cell>
          <cell r="G83" t="str">
            <v>GJ</v>
          </cell>
          <cell r="H83" t="str">
            <v>t</v>
          </cell>
          <cell r="J83" t="str">
            <v>[TIMES] sinter</v>
          </cell>
        </row>
        <row r="84">
          <cell r="A84" t="str">
            <v>[TIMES] Sinter plant</v>
          </cell>
          <cell r="B84" t="str">
            <v>natural gas</v>
          </cell>
          <cell r="C84" t="str">
            <v>from technosphere (energy_carrier)</v>
          </cell>
          <cell r="D84"/>
          <cell r="E84" t="str">
            <v>Energy</v>
          </cell>
          <cell r="F84">
            <v>0.5</v>
          </cell>
          <cell r="G84" t="str">
            <v>GJ</v>
          </cell>
          <cell r="H84" t="str">
            <v>t</v>
          </cell>
          <cell r="J84" t="str">
            <v>[TIMES] sinter</v>
          </cell>
        </row>
        <row r="85">
          <cell r="A85" t="str">
            <v>[TIMES] Sinter plant</v>
          </cell>
          <cell r="B85" t="str">
            <v>coke oven gas</v>
          </cell>
          <cell r="C85" t="str">
            <v>from technosphere (energy_carrier)</v>
          </cell>
          <cell r="D85"/>
          <cell r="E85" t="str">
            <v>Energy</v>
          </cell>
          <cell r="F85"/>
          <cell r="G85" t="str">
            <v>GJ</v>
          </cell>
          <cell r="H85" t="str">
            <v>t</v>
          </cell>
          <cell r="J85" t="str">
            <v>[TIMES] sinter</v>
          </cell>
        </row>
        <row r="86">
          <cell r="A86" t="str">
            <v>[TIMES] Sinter plant</v>
          </cell>
          <cell r="B86" t="str">
            <v>carbon dioxide</v>
          </cell>
          <cell r="C86" t="str">
            <v>to environment (emission, combustion)</v>
          </cell>
          <cell r="D86"/>
          <cell r="E86" t="str">
            <v>Mass</v>
          </cell>
          <cell r="F86">
            <v>0.15275</v>
          </cell>
          <cell r="G86" t="str">
            <v>t</v>
          </cell>
          <cell r="H86" t="str">
            <v>t</v>
          </cell>
          <cell r="I86" t="str">
            <v>13;0.98*value;1.02*value</v>
          </cell>
          <cell r="J86" t="str">
            <v>[TIMES] sinter</v>
          </cell>
        </row>
        <row r="87">
          <cell r="A87" t="str">
            <v/>
          </cell>
          <cell r="D87"/>
        </row>
        <row r="88">
          <cell r="A88" t="str">
            <v>[TIMES] Sinter plant, bioenergy</v>
          </cell>
          <cell r="B88" t="str">
            <v>sinter</v>
          </cell>
          <cell r="C88" t="str">
            <v>reference_product</v>
          </cell>
          <cell r="D88"/>
          <cell r="E88" t="str">
            <v>Mass</v>
          </cell>
          <cell r="F88">
            <v>1</v>
          </cell>
          <cell r="G88" t="str">
            <v>t</v>
          </cell>
          <cell r="H88">
            <v>1</v>
          </cell>
          <cell r="J88" t="str">
            <v>[TIMES] sinter, bioenergy</v>
          </cell>
        </row>
        <row r="89">
          <cell r="A89" t="str">
            <v>[TIMES] Sinter plant, bioenergy</v>
          </cell>
          <cell r="B89" t="str">
            <v>iron ore</v>
          </cell>
          <cell r="C89" t="str">
            <v>from environment (natural resource)</v>
          </cell>
          <cell r="D89"/>
          <cell r="E89" t="str">
            <v>Mass</v>
          </cell>
          <cell r="F89">
            <v>1</v>
          </cell>
          <cell r="G89" t="str">
            <v>t</v>
          </cell>
          <cell r="H89" t="str">
            <v>t</v>
          </cell>
          <cell r="J89" t="str">
            <v>[TIMES] sinter, bioenergy</v>
          </cell>
        </row>
        <row r="90">
          <cell r="A90" t="str">
            <v>[TIMES] Sinter plant, bioenergy</v>
          </cell>
          <cell r="B90" t="str">
            <v>electricity</v>
          </cell>
          <cell r="C90" t="str">
            <v>from technosphere (energy_carrier)</v>
          </cell>
          <cell r="D90"/>
          <cell r="E90" t="str">
            <v>Energy</v>
          </cell>
          <cell r="F90">
            <v>0.1</v>
          </cell>
          <cell r="G90" t="str">
            <v>GJ</v>
          </cell>
          <cell r="H90" t="str">
            <v>t</v>
          </cell>
          <cell r="J90" t="str">
            <v>[TIMES] sinter, bioenergy</v>
          </cell>
        </row>
        <row r="91">
          <cell r="A91" t="str">
            <v>[TIMES] Sinter plant, bioenergy</v>
          </cell>
          <cell r="B91" t="str">
            <v>biomass</v>
          </cell>
          <cell r="C91" t="str">
            <v>from technosphere (energy_carrier)</v>
          </cell>
          <cell r="D91"/>
          <cell r="E91" t="str">
            <v>Energy</v>
          </cell>
          <cell r="F91">
            <v>1.86</v>
          </cell>
          <cell r="G91" t="str">
            <v>GJ</v>
          </cell>
          <cell r="H91" t="str">
            <v>t</v>
          </cell>
          <cell r="J91" t="str">
            <v>[TIMES] sinter, bioenergy</v>
          </cell>
        </row>
        <row r="92">
          <cell r="A92" t="str">
            <v/>
          </cell>
          <cell r="D92"/>
        </row>
        <row r="93">
          <cell r="A93" t="str">
            <v>[TIMES] Blast Furnace Charcoal or equivalent</v>
          </cell>
          <cell r="B93" t="str">
            <v>pig iron</v>
          </cell>
          <cell r="C93" t="str">
            <v>reference_product</v>
          </cell>
          <cell r="D93"/>
          <cell r="E93" t="str">
            <v>Mass</v>
          </cell>
          <cell r="F93">
            <v>1</v>
          </cell>
          <cell r="G93" t="str">
            <v>t</v>
          </cell>
          <cell r="H93">
            <v>1</v>
          </cell>
          <cell r="J93" t="str">
            <v>[TIMES] BF</v>
          </cell>
        </row>
        <row r="94">
          <cell r="A94" t="str">
            <v>[TIMES] Blast Furnace Charcoal or equivalent</v>
          </cell>
          <cell r="B94" t="str">
            <v>blast furnace slag</v>
          </cell>
          <cell r="C94" t="str">
            <v>to technosphere (by-product)</v>
          </cell>
          <cell r="D94"/>
          <cell r="E94" t="str">
            <v>Mass</v>
          </cell>
          <cell r="F94">
            <v>0.25</v>
          </cell>
          <cell r="G94" t="str">
            <v>t</v>
          </cell>
          <cell r="H94" t="str">
            <v>t</v>
          </cell>
          <cell r="J94" t="str">
            <v>[TIMES] BF</v>
          </cell>
        </row>
        <row r="95">
          <cell r="A95" t="str">
            <v>[TIMES] Blast Furnace Charcoal or equivalent</v>
          </cell>
          <cell r="B95" t="str">
            <v>blast furnace gas</v>
          </cell>
          <cell r="C95" t="str">
            <v>to technosphere (by-product)</v>
          </cell>
          <cell r="D95"/>
          <cell r="E95" t="str">
            <v>Energy</v>
          </cell>
          <cell r="F95">
            <v>3.25</v>
          </cell>
          <cell r="G95" t="str">
            <v>GJ</v>
          </cell>
          <cell r="H95" t="str">
            <v>t</v>
          </cell>
          <cell r="J95" t="str">
            <v>[TIMES] BF</v>
          </cell>
        </row>
        <row r="96">
          <cell r="A96" t="str">
            <v>[TIMES] Blast Furnace Charcoal or equivalent</v>
          </cell>
          <cell r="B96" t="str">
            <v>iron ore pellets</v>
          </cell>
          <cell r="C96" t="str">
            <v>from technosphere (material)</v>
          </cell>
          <cell r="D96"/>
          <cell r="E96" t="str">
            <v>Mass</v>
          </cell>
          <cell r="F96">
            <v>0.155</v>
          </cell>
          <cell r="G96" t="str">
            <v>t</v>
          </cell>
          <cell r="H96" t="str">
            <v>t</v>
          </cell>
          <cell r="J96" t="str">
            <v>[TIMES] BF</v>
          </cell>
        </row>
        <row r="97">
          <cell r="A97" t="str">
            <v>[TIMES] Blast Furnace Charcoal or equivalent</v>
          </cell>
          <cell r="B97" t="str">
            <v>sinter</v>
          </cell>
          <cell r="C97" t="str">
            <v>from technosphere (material)</v>
          </cell>
          <cell r="D97"/>
          <cell r="E97" t="str">
            <v>Mass</v>
          </cell>
          <cell r="F97">
            <v>1.34</v>
          </cell>
          <cell r="G97" t="str">
            <v>t</v>
          </cell>
          <cell r="H97" t="str">
            <v>t</v>
          </cell>
          <cell r="J97" t="str">
            <v>[TIMES] BF</v>
          </cell>
        </row>
        <row r="98">
          <cell r="A98" t="str">
            <v>[TIMES] Blast Furnace Charcoal or equivalent</v>
          </cell>
          <cell r="B98" t="str">
            <v>oxygen</v>
          </cell>
          <cell r="C98" t="str">
            <v>from technosphere (material)</v>
          </cell>
          <cell r="D98"/>
          <cell r="E98" t="str">
            <v>Mass</v>
          </cell>
          <cell r="F98">
            <v>0.05</v>
          </cell>
          <cell r="G98" t="str">
            <v>t</v>
          </cell>
          <cell r="H98" t="str">
            <v>t</v>
          </cell>
          <cell r="J98" t="str">
            <v>[TIMES] BF</v>
          </cell>
        </row>
        <row r="99">
          <cell r="A99" t="str">
            <v>[TIMES] Blast Furnace Charcoal or equivalent</v>
          </cell>
          <cell r="B99" t="str">
            <v>biomass</v>
          </cell>
          <cell r="C99" t="str">
            <v>from technosphere (energy_carrier)</v>
          </cell>
          <cell r="D99"/>
          <cell r="E99" t="str">
            <v>Energy</v>
          </cell>
          <cell r="F99">
            <v>18</v>
          </cell>
          <cell r="G99" t="str">
            <v>GJ</v>
          </cell>
          <cell r="H99" t="str">
            <v>t</v>
          </cell>
          <cell r="J99" t="str">
            <v>[TIMES] BF</v>
          </cell>
        </row>
        <row r="100">
          <cell r="A100" t="str">
            <v>[TIMES] Blast Furnace Charcoal or equivalent</v>
          </cell>
          <cell r="B100" t="str">
            <v>electricity</v>
          </cell>
          <cell r="C100" t="str">
            <v>from technosphere (energy_carrier)</v>
          </cell>
          <cell r="D100"/>
          <cell r="E100" t="str">
            <v>Energy</v>
          </cell>
          <cell r="F100">
            <v>0.5</v>
          </cell>
          <cell r="G100" t="str">
            <v>GJ</v>
          </cell>
          <cell r="H100" t="str">
            <v>t</v>
          </cell>
          <cell r="J100" t="str">
            <v>[TIMES] BF</v>
          </cell>
        </row>
        <row r="101">
          <cell r="A101" t="str">
            <v>[TIMES] Blast Furnace Charcoal or equivalent</v>
          </cell>
          <cell r="B101" t="str">
            <v>carbon dioxide</v>
          </cell>
          <cell r="C101" t="str">
            <v>to environment (emission, combustion)</v>
          </cell>
          <cell r="D101"/>
          <cell r="E101" t="str">
            <v>Mass</v>
          </cell>
          <cell r="F101">
            <v>0</v>
          </cell>
          <cell r="G101"/>
          <cell r="H101" t="str">
            <v>t</v>
          </cell>
          <cell r="I101"/>
          <cell r="J101" t="str">
            <v>[TIMES] BF</v>
          </cell>
        </row>
        <row r="102">
          <cell r="A102" t="str">
            <v/>
          </cell>
          <cell r="D102"/>
        </row>
        <row r="103">
          <cell r="A103" t="str">
            <v>[TIMES] Blast Furnace direct coal injection</v>
          </cell>
          <cell r="B103" t="str">
            <v>pig iron</v>
          </cell>
          <cell r="C103" t="str">
            <v>reference_product</v>
          </cell>
          <cell r="D103"/>
          <cell r="E103" t="str">
            <v>Mass</v>
          </cell>
          <cell r="F103">
            <v>1</v>
          </cell>
          <cell r="G103" t="str">
            <v>t</v>
          </cell>
          <cell r="H103">
            <v>1</v>
          </cell>
          <cell r="J103" t="str">
            <v>[TIMES] BFDI</v>
          </cell>
        </row>
        <row r="104">
          <cell r="A104" t="str">
            <v>[TIMES] Blast Furnace direct coal injection</v>
          </cell>
          <cell r="B104" t="str">
            <v>blast furnace slag</v>
          </cell>
          <cell r="C104" t="str">
            <v>to technosphere (by-product)</v>
          </cell>
          <cell r="D104"/>
          <cell r="E104" t="str">
            <v>Mass</v>
          </cell>
          <cell r="F104">
            <v>0.25</v>
          </cell>
          <cell r="G104" t="str">
            <v>t</v>
          </cell>
          <cell r="H104" t="str">
            <v>t</v>
          </cell>
          <cell r="J104" t="str">
            <v>[TIMES] BFDI</v>
          </cell>
        </row>
        <row r="105">
          <cell r="A105" t="str">
            <v>[TIMES] Blast Furnace direct coal injection</v>
          </cell>
          <cell r="B105" t="str">
            <v>blast furnace gas</v>
          </cell>
          <cell r="C105" t="str">
            <v>to technosphere (by-product)</v>
          </cell>
          <cell r="D105"/>
          <cell r="E105" t="str">
            <v>Energy</v>
          </cell>
          <cell r="F105">
            <v>3.25</v>
          </cell>
          <cell r="G105" t="str">
            <v>GJ</v>
          </cell>
          <cell r="H105" t="str">
            <v>t</v>
          </cell>
          <cell r="J105" t="str">
            <v>[TIMES] BFDI</v>
          </cell>
        </row>
        <row r="106">
          <cell r="A106" t="str">
            <v>[TIMES] Blast Furnace direct coal injection</v>
          </cell>
          <cell r="B106" t="str">
            <v>iron ore pellets</v>
          </cell>
          <cell r="C106" t="str">
            <v>from technosphere (material)</v>
          </cell>
          <cell r="D106"/>
          <cell r="E106" t="str">
            <v>Mass</v>
          </cell>
          <cell r="F106">
            <v>0.155</v>
          </cell>
          <cell r="G106" t="str">
            <v>t</v>
          </cell>
          <cell r="H106" t="str">
            <v>t</v>
          </cell>
          <cell r="J106" t="str">
            <v>[TIMES] BFDI</v>
          </cell>
        </row>
        <row r="107">
          <cell r="A107" t="str">
            <v>[TIMES] Blast Furnace direct coal injection</v>
          </cell>
          <cell r="B107" t="str">
            <v>sinter</v>
          </cell>
          <cell r="C107" t="str">
            <v>from technosphere (material)</v>
          </cell>
          <cell r="D107"/>
          <cell r="E107" t="str">
            <v>Mass</v>
          </cell>
          <cell r="F107">
            <v>1.34</v>
          </cell>
          <cell r="G107" t="str">
            <v>t</v>
          </cell>
          <cell r="H107" t="str">
            <v>t</v>
          </cell>
          <cell r="J107" t="str">
            <v>[TIMES] BFDI</v>
          </cell>
        </row>
        <row r="108">
          <cell r="A108" t="str">
            <v>[TIMES] Blast Furnace direct coal injection</v>
          </cell>
          <cell r="B108" t="str">
            <v>oxygen</v>
          </cell>
          <cell r="C108" t="str">
            <v>from technosphere (material)</v>
          </cell>
          <cell r="D108"/>
          <cell r="E108" t="str">
            <v>Mass</v>
          </cell>
          <cell r="F108">
            <v>0.05</v>
          </cell>
          <cell r="G108" t="str">
            <v>t</v>
          </cell>
          <cell r="H108" t="str">
            <v>t</v>
          </cell>
          <cell r="J108" t="str">
            <v>[TIMES] BFDI</v>
          </cell>
        </row>
        <row r="109">
          <cell r="A109" t="str">
            <v>[TIMES] Blast Furnace direct coal injection</v>
          </cell>
          <cell r="B109" t="str">
            <v>coke</v>
          </cell>
          <cell r="C109" t="str">
            <v>from technosphere (energy_carrier)</v>
          </cell>
          <cell r="D109"/>
          <cell r="E109" t="str">
            <v>Energy</v>
          </cell>
          <cell r="F109">
            <v>9.3000000000000007</v>
          </cell>
          <cell r="G109" t="str">
            <v>GJ</v>
          </cell>
          <cell r="H109" t="str">
            <v>t</v>
          </cell>
          <cell r="J109" t="str">
            <v>[TIMES] BFDI</v>
          </cell>
        </row>
        <row r="110">
          <cell r="A110" t="str">
            <v>[TIMES] Blast Furnace direct coal injection</v>
          </cell>
          <cell r="B110" t="str">
            <v>electricity</v>
          </cell>
          <cell r="C110" t="str">
            <v>from technosphere (energy_carrier)</v>
          </cell>
          <cell r="D110"/>
          <cell r="E110" t="str">
            <v>Energy</v>
          </cell>
          <cell r="F110">
            <v>0.5</v>
          </cell>
          <cell r="G110" t="str">
            <v>GJ</v>
          </cell>
          <cell r="H110" t="str">
            <v>t</v>
          </cell>
          <cell r="J110" t="str">
            <v>[TIMES] BFDI</v>
          </cell>
        </row>
        <row r="111">
          <cell r="A111" t="str">
            <v>[TIMES] Blast Furnace direct coal injection</v>
          </cell>
          <cell r="B111" t="str">
            <v>hard coal</v>
          </cell>
          <cell r="C111" t="str">
            <v>from technosphere (energy_carrier)</v>
          </cell>
          <cell r="D111"/>
          <cell r="E111" t="str">
            <v>Energy</v>
          </cell>
          <cell r="F111">
            <v>6.2</v>
          </cell>
          <cell r="G111" t="str">
            <v>GJ</v>
          </cell>
          <cell r="H111" t="str">
            <v>t</v>
          </cell>
          <cell r="J111" t="str">
            <v>[TIMES] BFDI</v>
          </cell>
        </row>
        <row r="112">
          <cell r="A112" t="str">
            <v>[TIMES] Blast Furnace direct coal injection</v>
          </cell>
          <cell r="B112" t="str">
            <v>carbon dioxide</v>
          </cell>
          <cell r="C112" t="str">
            <v>to environment (emission, combustion)</v>
          </cell>
          <cell r="D112"/>
          <cell r="E112" t="str">
            <v>Mass</v>
          </cell>
          <cell r="F112">
            <v>1.6073500000000003</v>
          </cell>
          <cell r="G112" t="str">
            <v>t</v>
          </cell>
          <cell r="H112" t="str">
            <v>t</v>
          </cell>
          <cell r="I112"/>
          <cell r="J112" t="str">
            <v>[TIMES] BFDI</v>
          </cell>
        </row>
        <row r="113">
          <cell r="A113" t="str">
            <v/>
          </cell>
          <cell r="D113"/>
        </row>
        <row r="114">
          <cell r="A114" t="str">
            <v>[TIMES] Blast Furnace with CCS</v>
          </cell>
          <cell r="B114" t="str">
            <v>pig iron</v>
          </cell>
          <cell r="C114" t="str">
            <v>reference_product</v>
          </cell>
          <cell r="D114"/>
          <cell r="E114" t="str">
            <v>Mass</v>
          </cell>
          <cell r="F114">
            <v>1</v>
          </cell>
          <cell r="G114" t="str">
            <v>t</v>
          </cell>
          <cell r="H114">
            <v>1</v>
          </cell>
          <cell r="J114" t="str">
            <v>[TIMES] BF+CCS</v>
          </cell>
        </row>
        <row r="115">
          <cell r="A115" t="str">
            <v>[TIMES] Blast Furnace with CCS</v>
          </cell>
          <cell r="B115" t="str">
            <v>blast furnace slag</v>
          </cell>
          <cell r="C115" t="str">
            <v>to technosphere (by-product)</v>
          </cell>
          <cell r="D115"/>
          <cell r="E115" t="str">
            <v>Mass</v>
          </cell>
          <cell r="F115">
            <v>0.25</v>
          </cell>
          <cell r="G115" t="str">
            <v>t</v>
          </cell>
          <cell r="H115" t="str">
            <v>t</v>
          </cell>
          <cell r="J115" t="str">
            <v>[TIMES] BF+CCS</v>
          </cell>
        </row>
        <row r="116">
          <cell r="A116" t="str">
            <v>[TIMES] Blast Furnace with CCS</v>
          </cell>
          <cell r="B116" t="str">
            <v>hydrogen</v>
          </cell>
          <cell r="C116" t="str">
            <v>to technosphere (by-product)</v>
          </cell>
          <cell r="D116"/>
          <cell r="E116" t="str">
            <v>Energy</v>
          </cell>
          <cell r="F116">
            <v>3.0139999999999998</v>
          </cell>
          <cell r="G116" t="str">
            <v>GJ</v>
          </cell>
          <cell r="H116" t="str">
            <v>t</v>
          </cell>
          <cell r="J116" t="str">
            <v>[TIMES] BF+CCS</v>
          </cell>
        </row>
        <row r="117">
          <cell r="A117" t="str">
            <v>[TIMES] Blast Furnace with CCS</v>
          </cell>
          <cell r="B117" t="str">
            <v>iron ore pellets</v>
          </cell>
          <cell r="C117" t="str">
            <v>from technosphere (material)</v>
          </cell>
          <cell r="D117"/>
          <cell r="E117" t="str">
            <v>Mass</v>
          </cell>
          <cell r="F117">
            <v>0.155</v>
          </cell>
          <cell r="G117" t="str">
            <v>t</v>
          </cell>
          <cell r="H117" t="str">
            <v>t</v>
          </cell>
          <cell r="J117" t="str">
            <v>[TIMES] BF+CCS</v>
          </cell>
        </row>
        <row r="118">
          <cell r="A118" t="str">
            <v>[TIMES] Blast Furnace with CCS</v>
          </cell>
          <cell r="B118" t="str">
            <v>sinter</v>
          </cell>
          <cell r="C118" t="str">
            <v>from technosphere (material)</v>
          </cell>
          <cell r="D118"/>
          <cell r="E118" t="str">
            <v>Mass</v>
          </cell>
          <cell r="F118">
            <v>1.34</v>
          </cell>
          <cell r="G118" t="str">
            <v>t</v>
          </cell>
          <cell r="H118" t="str">
            <v>t</v>
          </cell>
          <cell r="J118" t="str">
            <v>[TIMES] BF+CCS</v>
          </cell>
        </row>
        <row r="119">
          <cell r="A119" t="str">
            <v>[TIMES] Blast Furnace with CCS</v>
          </cell>
          <cell r="B119" t="str">
            <v>oxygen</v>
          </cell>
          <cell r="C119" t="str">
            <v>from technosphere (material)</v>
          </cell>
          <cell r="D119"/>
          <cell r="E119" t="str">
            <v>Mass</v>
          </cell>
          <cell r="F119">
            <v>0.05</v>
          </cell>
          <cell r="G119" t="str">
            <v>t</v>
          </cell>
          <cell r="H119" t="str">
            <v>t</v>
          </cell>
          <cell r="J119" t="str">
            <v>[TIMES] BF+CCS</v>
          </cell>
        </row>
        <row r="120">
          <cell r="A120" t="str">
            <v>[TIMES] Blast Furnace with CCS</v>
          </cell>
          <cell r="B120" t="str">
            <v>coke</v>
          </cell>
          <cell r="C120" t="str">
            <v>from technosphere (energy_carrier)</v>
          </cell>
          <cell r="D120"/>
          <cell r="E120" t="str">
            <v>Energy</v>
          </cell>
          <cell r="F120">
            <v>9.3000000000000007</v>
          </cell>
          <cell r="G120" t="str">
            <v>GJ</v>
          </cell>
          <cell r="H120" t="str">
            <v>t</v>
          </cell>
          <cell r="J120" t="str">
            <v>[TIMES] BF+CCS</v>
          </cell>
        </row>
        <row r="121">
          <cell r="A121" t="str">
            <v>[TIMES] Blast Furnace with CCS</v>
          </cell>
          <cell r="B121" t="str">
            <v>electricity</v>
          </cell>
          <cell r="C121" t="str">
            <v>from technosphere (energy_carrier)</v>
          </cell>
          <cell r="D121"/>
          <cell r="E121" t="str">
            <v>Energy</v>
          </cell>
          <cell r="F121">
            <v>1.1120000000000001</v>
          </cell>
          <cell r="G121" t="str">
            <v>GJ</v>
          </cell>
          <cell r="H121" t="str">
            <v>t</v>
          </cell>
          <cell r="J121" t="str">
            <v>[TIMES] BF+CCS</v>
          </cell>
        </row>
        <row r="122">
          <cell r="A122" t="str">
            <v>[TIMES] Blast Furnace with CCS</v>
          </cell>
          <cell r="B122" t="str">
            <v>hard coal</v>
          </cell>
          <cell r="C122" t="str">
            <v>from technosphere (energy_carrier)</v>
          </cell>
          <cell r="D122"/>
          <cell r="E122" t="str">
            <v>Energy</v>
          </cell>
          <cell r="F122">
            <v>6.2</v>
          </cell>
          <cell r="G122" t="str">
            <v>GJ</v>
          </cell>
          <cell r="H122" t="str">
            <v>t</v>
          </cell>
          <cell r="J122" t="str">
            <v>[TIMES] BF+CCS</v>
          </cell>
        </row>
        <row r="123">
          <cell r="A123" t="str">
            <v>[TIMES] Blast Furnace with CCS</v>
          </cell>
          <cell r="B123" t="str">
            <v>carbon dioxide</v>
          </cell>
          <cell r="C123" t="str">
            <v>to environment (emission, combustion)</v>
          </cell>
          <cell r="D123"/>
          <cell r="E123" t="str">
            <v>Mass</v>
          </cell>
          <cell r="F123">
            <v>1.6073500000000003</v>
          </cell>
          <cell r="G123" t="str">
            <v>t</v>
          </cell>
          <cell r="H123" t="str">
            <v>t</v>
          </cell>
          <cell r="J123" t="str">
            <v>[TIMES] BF+CCS</v>
          </cell>
          <cell r="K123" t="str">
            <v>CO2 capture</v>
          </cell>
        </row>
        <row r="124">
          <cell r="A124" t="str">
            <v>[TIMES] Blast Furnace with CCS</v>
          </cell>
          <cell r="B124" t="str">
            <v>carbon dioxide</v>
          </cell>
          <cell r="C124" t="str">
            <v>to technosphere (by-product)</v>
          </cell>
          <cell r="D124"/>
          <cell r="E124" t="str">
            <v>Mass</v>
          </cell>
          <cell r="F124">
            <v>1.4144680000000001</v>
          </cell>
          <cell r="G124" t="str">
            <v>t</v>
          </cell>
          <cell r="H124" t="str">
            <v>t</v>
          </cell>
          <cell r="I124" t="str">
            <v>13;0.98*value;1.02*value</v>
          </cell>
          <cell r="J124"/>
        </row>
        <row r="125">
          <cell r="A125" t="str">
            <v/>
          </cell>
          <cell r="D125"/>
          <cell r="I125" t="str">
            <v>13;0.96*value;1.04*value</v>
          </cell>
        </row>
        <row r="126">
          <cell r="A126" t="str">
            <v>[TIMES] Blast Furnace top gas recirculation</v>
          </cell>
          <cell r="B126" t="str">
            <v>pig iron</v>
          </cell>
          <cell r="C126" t="str">
            <v>reference_product</v>
          </cell>
          <cell r="D126"/>
          <cell r="E126" t="str">
            <v>Mass</v>
          </cell>
          <cell r="F126">
            <v>1</v>
          </cell>
          <cell r="G126" t="str">
            <v>t</v>
          </cell>
          <cell r="H126">
            <v>1</v>
          </cell>
          <cell r="J126" t="str">
            <v>[TIMES] TGRBF</v>
          </cell>
        </row>
        <row r="127">
          <cell r="A127" t="str">
            <v>[TIMES] Blast Furnace top gas recirculation</v>
          </cell>
          <cell r="B127" t="str">
            <v>blast furnace slag</v>
          </cell>
          <cell r="C127" t="str">
            <v>to technosphere (by-product)</v>
          </cell>
          <cell r="D127"/>
          <cell r="E127" t="str">
            <v>Mass</v>
          </cell>
          <cell r="F127">
            <v>0.25</v>
          </cell>
          <cell r="G127" t="str">
            <v>t</v>
          </cell>
          <cell r="H127" t="str">
            <v>t</v>
          </cell>
          <cell r="J127" t="str">
            <v>[TIMES] TGRBF</v>
          </cell>
        </row>
        <row r="128">
          <cell r="A128" t="str">
            <v>[TIMES] Blast Furnace top gas recirculation</v>
          </cell>
          <cell r="B128" t="str">
            <v>gas from blast furnace TGR</v>
          </cell>
          <cell r="C128" t="str">
            <v>to technosphere (by-product)</v>
          </cell>
          <cell r="D128"/>
          <cell r="E128" t="str">
            <v>Energy</v>
          </cell>
          <cell r="F128">
            <v>0.7</v>
          </cell>
          <cell r="G128" t="str">
            <v>GJ</v>
          </cell>
          <cell r="H128" t="str">
            <v>t</v>
          </cell>
          <cell r="J128" t="str">
            <v>[TIMES] TGRBF</v>
          </cell>
        </row>
        <row r="129">
          <cell r="A129" t="str">
            <v>[TIMES] Blast Furnace top gas recirculation</v>
          </cell>
          <cell r="B129" t="str">
            <v>iron ore pellets</v>
          </cell>
          <cell r="C129" t="str">
            <v>from technosphere (material)</v>
          </cell>
          <cell r="D129"/>
          <cell r="E129" t="str">
            <v>Mass</v>
          </cell>
          <cell r="F129">
            <v>0.04</v>
          </cell>
          <cell r="G129" t="str">
            <v>t</v>
          </cell>
          <cell r="H129" t="str">
            <v>t</v>
          </cell>
          <cell r="J129" t="str">
            <v>[TIMES] TGRBF</v>
          </cell>
        </row>
        <row r="130">
          <cell r="A130" t="str">
            <v>[TIMES] Blast Furnace top gas recirculation</v>
          </cell>
          <cell r="B130" t="str">
            <v>sinter</v>
          </cell>
          <cell r="C130" t="str">
            <v>from technosphere (material)</v>
          </cell>
          <cell r="D130"/>
          <cell r="E130" t="str">
            <v>Mass</v>
          </cell>
          <cell r="F130">
            <v>1.54</v>
          </cell>
          <cell r="G130" t="str">
            <v>t</v>
          </cell>
          <cell r="H130" t="str">
            <v>t</v>
          </cell>
          <cell r="J130" t="str">
            <v>[TIMES] TGRBF</v>
          </cell>
        </row>
        <row r="131">
          <cell r="A131" t="str">
            <v>[TIMES] Blast Furnace top gas recirculation</v>
          </cell>
          <cell r="B131" t="str">
            <v>oxygen</v>
          </cell>
          <cell r="C131" t="str">
            <v>from technosphere (material)</v>
          </cell>
          <cell r="D131"/>
          <cell r="E131" t="str">
            <v>Mass</v>
          </cell>
          <cell r="F131">
            <v>0.45</v>
          </cell>
          <cell r="G131" t="str">
            <v>t</v>
          </cell>
          <cell r="H131" t="str">
            <v>t</v>
          </cell>
          <cell r="J131" t="str">
            <v>[TIMES] TGRBF</v>
          </cell>
        </row>
        <row r="132">
          <cell r="A132" t="str">
            <v>[TIMES] Blast Furnace top gas recirculation</v>
          </cell>
          <cell r="B132" t="str">
            <v>coke</v>
          </cell>
          <cell r="C132" t="str">
            <v>from technosphere (energy_carrier)</v>
          </cell>
          <cell r="D132"/>
          <cell r="E132" t="str">
            <v>Energy</v>
          </cell>
          <cell r="F132">
            <v>5.9160000000000004</v>
          </cell>
          <cell r="G132" t="str">
            <v>GJ</v>
          </cell>
          <cell r="H132" t="str">
            <v>t</v>
          </cell>
          <cell r="J132" t="str">
            <v>[TIMES] TGRBF</v>
          </cell>
        </row>
        <row r="133">
          <cell r="A133" t="str">
            <v>[TIMES] Blast Furnace top gas recirculation</v>
          </cell>
          <cell r="B133" t="str">
            <v>electricity</v>
          </cell>
          <cell r="C133" t="str">
            <v>from technosphere (energy_carrier)</v>
          </cell>
          <cell r="D133"/>
          <cell r="E133" t="str">
            <v>Energy</v>
          </cell>
          <cell r="F133">
            <v>0.17</v>
          </cell>
          <cell r="G133" t="str">
            <v>GJ</v>
          </cell>
          <cell r="H133" t="str">
            <v>t</v>
          </cell>
          <cell r="J133" t="str">
            <v>[TIMES] TGRBF</v>
          </cell>
        </row>
        <row r="134">
          <cell r="A134" t="str">
            <v>[TIMES] Blast Furnace top gas recirculation</v>
          </cell>
          <cell r="B134" t="str">
            <v>hard coal</v>
          </cell>
          <cell r="C134" t="str">
            <v>from technosphere (energy_carrier)</v>
          </cell>
          <cell r="D134"/>
          <cell r="E134" t="str">
            <v>Energy</v>
          </cell>
          <cell r="F134">
            <v>5.22</v>
          </cell>
          <cell r="G134" t="str">
            <v>GJ</v>
          </cell>
          <cell r="H134" t="str">
            <v>t</v>
          </cell>
          <cell r="J134" t="str">
            <v>[TIMES] TGRBF</v>
          </cell>
        </row>
        <row r="135">
          <cell r="A135" t="str">
            <v>[TIMES] Blast Furnace top gas recirculation</v>
          </cell>
          <cell r="B135" t="str">
            <v>carbon dioxide</v>
          </cell>
          <cell r="C135" t="str">
            <v>to environment (emission, combustion)</v>
          </cell>
          <cell r="D135"/>
          <cell r="E135" t="str">
            <v>Mass</v>
          </cell>
          <cell r="F135">
            <v>1.1475300000000002</v>
          </cell>
          <cell r="G135" t="str">
            <v>t</v>
          </cell>
          <cell r="H135" t="str">
            <v>t</v>
          </cell>
          <cell r="I135" t="str">
            <v>13;0.98*value;1.02*value</v>
          </cell>
          <cell r="J135" t="str">
            <v>[TIMES] TGRBF</v>
          </cell>
        </row>
        <row r="136">
          <cell r="A136" t="str">
            <v/>
          </cell>
          <cell r="D136"/>
          <cell r="I136" t="str">
            <v>13;0.96*value;1.04*value</v>
          </cell>
        </row>
        <row r="137">
          <cell r="A137" t="str">
            <v>[TIMES] Blast Furnace top gas recirculation with CCS</v>
          </cell>
          <cell r="B137" t="str">
            <v>pig iron</v>
          </cell>
          <cell r="C137" t="str">
            <v>reference_product</v>
          </cell>
          <cell r="D137"/>
          <cell r="E137" t="str">
            <v>Mass</v>
          </cell>
          <cell r="F137">
            <v>1</v>
          </cell>
          <cell r="G137" t="str">
            <v>t</v>
          </cell>
          <cell r="H137">
            <v>1</v>
          </cell>
          <cell r="J137" t="str">
            <v>[TIMES] TGRBF+CCS</v>
          </cell>
        </row>
        <row r="138">
          <cell r="A138" t="str">
            <v>[TIMES] Blast Furnace top gas recirculation with CCS</v>
          </cell>
          <cell r="B138" t="str">
            <v>blast furnace slag</v>
          </cell>
          <cell r="C138" t="str">
            <v>to technosphere (by-product)</v>
          </cell>
          <cell r="D138"/>
          <cell r="E138" t="str">
            <v>Mass</v>
          </cell>
          <cell r="F138">
            <v>0.25</v>
          </cell>
          <cell r="G138" t="str">
            <v>t</v>
          </cell>
          <cell r="H138" t="str">
            <v>t</v>
          </cell>
          <cell r="J138" t="str">
            <v>[TIMES] TGRBF+CCS</v>
          </cell>
        </row>
        <row r="139">
          <cell r="A139" t="str">
            <v>[TIMES] Blast Furnace top gas recirculation with CCS</v>
          </cell>
          <cell r="B139" t="str">
            <v>gas from Corex and/or Blast Furnace TGR with CCS and/or BOF</v>
          </cell>
          <cell r="C139" t="str">
            <v>to technosphere (by-product)</v>
          </cell>
          <cell r="D139"/>
          <cell r="E139" t="str">
            <v>Energy</v>
          </cell>
          <cell r="F139">
            <v>0.7</v>
          </cell>
          <cell r="G139" t="str">
            <v>GJ</v>
          </cell>
          <cell r="H139" t="str">
            <v>t</v>
          </cell>
          <cell r="J139" t="str">
            <v>[TIMES] TGRBF+CCS</v>
          </cell>
        </row>
        <row r="140">
          <cell r="A140" t="str">
            <v>[TIMES] Blast Furnace top gas recirculation with CCS</v>
          </cell>
          <cell r="B140" t="str">
            <v>iron ore pellets</v>
          </cell>
          <cell r="C140" t="str">
            <v>from technosphere (material)</v>
          </cell>
          <cell r="D140"/>
          <cell r="E140" t="str">
            <v>Mass</v>
          </cell>
          <cell r="F140">
            <v>0.04</v>
          </cell>
          <cell r="G140" t="str">
            <v>t</v>
          </cell>
          <cell r="H140" t="str">
            <v>t</v>
          </cell>
          <cell r="J140" t="str">
            <v>[TIMES] TGRBF+CCS</v>
          </cell>
        </row>
        <row r="141">
          <cell r="A141" t="str">
            <v>[TIMES] Blast Furnace top gas recirculation with CCS</v>
          </cell>
          <cell r="B141" t="str">
            <v>sinter</v>
          </cell>
          <cell r="C141" t="str">
            <v>from technosphere (material)</v>
          </cell>
          <cell r="D141"/>
          <cell r="E141" t="str">
            <v>Mass</v>
          </cell>
          <cell r="F141">
            <v>1.54</v>
          </cell>
          <cell r="G141" t="str">
            <v>t</v>
          </cell>
          <cell r="H141" t="str">
            <v>t</v>
          </cell>
          <cell r="J141" t="str">
            <v>[TIMES] TGRBF+CCS</v>
          </cell>
        </row>
        <row r="142">
          <cell r="A142" t="str">
            <v>[TIMES] Blast Furnace top gas recirculation with CCS</v>
          </cell>
          <cell r="B142" t="str">
            <v>oxygen</v>
          </cell>
          <cell r="C142" t="str">
            <v>from technosphere (material)</v>
          </cell>
          <cell r="D142"/>
          <cell r="E142" t="str">
            <v>Mass</v>
          </cell>
          <cell r="F142">
            <v>0.45</v>
          </cell>
          <cell r="G142" t="str">
            <v>t</v>
          </cell>
          <cell r="H142" t="str">
            <v>t</v>
          </cell>
          <cell r="J142" t="str">
            <v>[TIMES] TGRBF+CCS</v>
          </cell>
        </row>
        <row r="143">
          <cell r="A143" t="str">
            <v>[TIMES] Blast Furnace top gas recirculation with CCS</v>
          </cell>
          <cell r="B143" t="str">
            <v>coke</v>
          </cell>
          <cell r="C143" t="str">
            <v>from technosphere (energy_carrier)</v>
          </cell>
          <cell r="D143"/>
          <cell r="E143" t="str">
            <v>Energy</v>
          </cell>
          <cell r="F143">
            <v>5.9160000000000004</v>
          </cell>
          <cell r="G143" t="str">
            <v>GJ</v>
          </cell>
          <cell r="H143" t="str">
            <v>t</v>
          </cell>
          <cell r="J143" t="str">
            <v>[TIMES] TGRBF+CCS</v>
          </cell>
        </row>
        <row r="144">
          <cell r="A144" t="str">
            <v>[TIMES] Blast Furnace top gas recirculation with CCS</v>
          </cell>
          <cell r="B144" t="str">
            <v>electricity</v>
          </cell>
          <cell r="C144" t="str">
            <v>from technosphere (energy_carrier)</v>
          </cell>
          <cell r="D144"/>
          <cell r="E144" t="str">
            <v>Energy</v>
          </cell>
          <cell r="F144">
            <v>0.27</v>
          </cell>
          <cell r="G144" t="str">
            <v>GJ</v>
          </cell>
          <cell r="H144" t="str">
            <v>t</v>
          </cell>
          <cell r="J144" t="str">
            <v>[TIMES] TGRBF+CCS</v>
          </cell>
        </row>
        <row r="145">
          <cell r="A145" t="str">
            <v>[TIMES] Blast Furnace top gas recirculation with CCS</v>
          </cell>
          <cell r="B145" t="str">
            <v>hard coal</v>
          </cell>
          <cell r="C145" t="str">
            <v>from technosphere (energy_carrier)</v>
          </cell>
          <cell r="D145"/>
          <cell r="E145" t="str">
            <v>Energy</v>
          </cell>
          <cell r="F145">
            <v>5.22</v>
          </cell>
          <cell r="G145" t="str">
            <v>GJ</v>
          </cell>
          <cell r="H145" t="str">
            <v>t</v>
          </cell>
          <cell r="J145" t="str">
            <v>[TIMES] TGRBF+CCS</v>
          </cell>
        </row>
        <row r="146">
          <cell r="A146" t="str">
            <v>[TIMES] Blast Furnace top gas recirculation with CCS</v>
          </cell>
          <cell r="B146" t="str">
            <v>carbon dioxide</v>
          </cell>
          <cell r="C146" t="str">
            <v>to environment (emission, combustion)</v>
          </cell>
          <cell r="D146"/>
          <cell r="E146" t="str">
            <v>Mass</v>
          </cell>
          <cell r="F146">
            <v>1.1475299999999999</v>
          </cell>
          <cell r="G146" t="str">
            <v>t</v>
          </cell>
          <cell r="H146" t="str">
            <v>t</v>
          </cell>
          <cell r="J146" t="str">
            <v>[TIMES] TGRBF+CCS</v>
          </cell>
        </row>
        <row r="147">
          <cell r="A147" t="str">
            <v>[TIMES] Blast Furnace top gas recirculation with CCS</v>
          </cell>
          <cell r="B147" t="str">
            <v>carbon dioxide</v>
          </cell>
          <cell r="C147" t="str">
            <v>to technosphere (by-product)</v>
          </cell>
          <cell r="D147"/>
          <cell r="E147" t="str">
            <v>Mass</v>
          </cell>
          <cell r="F147">
            <v>1.0098263999999999</v>
          </cell>
          <cell r="G147" t="str">
            <v>t</v>
          </cell>
          <cell r="H147" t="str">
            <v>t</v>
          </cell>
          <cell r="I147" t="str">
            <v>13;0.98*value;1.02*value</v>
          </cell>
          <cell r="J147"/>
        </row>
        <row r="148">
          <cell r="A148" t="str">
            <v/>
          </cell>
          <cell r="D148"/>
          <cell r="I148" t="str">
            <v>13;0.96*value;1.04*value</v>
          </cell>
          <cell r="J148"/>
        </row>
        <row r="149">
          <cell r="A149" t="str">
            <v>[TIMES] Iron Cyclone Converter Furnace</v>
          </cell>
          <cell r="B149" t="str">
            <v>pig iron</v>
          </cell>
          <cell r="C149" t="str">
            <v>reference_product</v>
          </cell>
          <cell r="D149"/>
          <cell r="E149" t="str">
            <v>Mass</v>
          </cell>
          <cell r="F149">
            <v>1</v>
          </cell>
          <cell r="G149" t="str">
            <v>t</v>
          </cell>
          <cell r="H149">
            <v>1</v>
          </cell>
          <cell r="J149" t="str">
            <v>[TIMES] CCF</v>
          </cell>
        </row>
        <row r="150">
          <cell r="A150" t="str">
            <v>[TIMES] Iron Cyclone Converter Furnace</v>
          </cell>
          <cell r="B150" t="str">
            <v>blast furnace slag</v>
          </cell>
          <cell r="C150" t="str">
            <v>to technosphere (by-product)</v>
          </cell>
          <cell r="D150"/>
          <cell r="E150" t="str">
            <v>Mass</v>
          </cell>
          <cell r="F150">
            <v>0.27</v>
          </cell>
          <cell r="G150" t="str">
            <v>t</v>
          </cell>
          <cell r="H150" t="str">
            <v>t</v>
          </cell>
          <cell r="J150" t="str">
            <v>[TIMES] CCF</v>
          </cell>
        </row>
        <row r="151">
          <cell r="A151" t="str">
            <v>[TIMES] Iron Cyclone Converter Furnace</v>
          </cell>
          <cell r="B151" t="str">
            <v>blast furnace gas</v>
          </cell>
          <cell r="C151" t="str">
            <v>to technosphere (by-product)</v>
          </cell>
          <cell r="D151"/>
          <cell r="E151" t="str">
            <v>Energy</v>
          </cell>
          <cell r="F151">
            <v>4</v>
          </cell>
          <cell r="G151" t="str">
            <v>GJ</v>
          </cell>
          <cell r="H151" t="str">
            <v>t</v>
          </cell>
          <cell r="J151" t="str">
            <v>[TIMES] CCF</v>
          </cell>
        </row>
        <row r="152">
          <cell r="A152" t="str">
            <v>[TIMES] Iron Cyclone Converter Furnace</v>
          </cell>
          <cell r="B152" t="str">
            <v>industrial heat, high-temperature</v>
          </cell>
          <cell r="C152" t="str">
            <v>to technosphere (by-product)</v>
          </cell>
          <cell r="D152"/>
          <cell r="E152" t="str">
            <v>Energy</v>
          </cell>
          <cell r="F152">
            <v>4.3</v>
          </cell>
          <cell r="G152" t="str">
            <v>GJ</v>
          </cell>
          <cell r="H152" t="str">
            <v>t</v>
          </cell>
          <cell r="J152" t="str">
            <v>[TIMES] CCF</v>
          </cell>
        </row>
        <row r="153">
          <cell r="A153" t="str">
            <v>[TIMES] Iron Cyclone Converter Furnace</v>
          </cell>
          <cell r="B153" t="str">
            <v>sinter</v>
          </cell>
          <cell r="C153" t="str">
            <v>from technosphere (material)</v>
          </cell>
          <cell r="D153"/>
          <cell r="E153" t="str">
            <v>Mass</v>
          </cell>
          <cell r="F153">
            <v>1.5</v>
          </cell>
          <cell r="G153" t="str">
            <v>t</v>
          </cell>
          <cell r="H153" t="str">
            <v>t</v>
          </cell>
          <cell r="J153" t="str">
            <v>[TIMES] CCF</v>
          </cell>
        </row>
        <row r="154">
          <cell r="A154" t="str">
            <v>[TIMES] Iron Cyclone Converter Furnace</v>
          </cell>
          <cell r="B154" t="str">
            <v>oxygen</v>
          </cell>
          <cell r="C154" t="str">
            <v>from technosphere (material)</v>
          </cell>
          <cell r="D154"/>
          <cell r="E154" t="str">
            <v>Mass</v>
          </cell>
          <cell r="F154">
            <v>0.73</v>
          </cell>
          <cell r="G154" t="str">
            <v>t</v>
          </cell>
          <cell r="H154" t="str">
            <v>t</v>
          </cell>
          <cell r="J154" t="str">
            <v>[TIMES] CCF</v>
          </cell>
        </row>
        <row r="155">
          <cell r="A155" t="str">
            <v>[TIMES] Iron Cyclone Converter Furnace</v>
          </cell>
          <cell r="B155" t="str">
            <v>blast furnace gas</v>
          </cell>
          <cell r="C155" t="str">
            <v>from technosphere (energy_carrier)</v>
          </cell>
          <cell r="D155"/>
          <cell r="E155" t="str">
            <v>Energy</v>
          </cell>
          <cell r="F155">
            <v>2</v>
          </cell>
          <cell r="G155" t="str">
            <v>GJ</v>
          </cell>
          <cell r="H155" t="str">
            <v>t</v>
          </cell>
          <cell r="J155" t="str">
            <v>[TIMES] CCF</v>
          </cell>
        </row>
        <row r="156">
          <cell r="A156" t="str">
            <v>[TIMES] Iron Cyclone Converter Furnace</v>
          </cell>
          <cell r="B156" t="str">
            <v>electricity</v>
          </cell>
          <cell r="C156" t="str">
            <v>from technosphere (energy_carrier)</v>
          </cell>
          <cell r="D156"/>
          <cell r="E156" t="str">
            <v>Energy</v>
          </cell>
          <cell r="F156">
            <v>1.3</v>
          </cell>
          <cell r="G156" t="str">
            <v>GJ</v>
          </cell>
          <cell r="H156" t="str">
            <v>t</v>
          </cell>
          <cell r="J156" t="str">
            <v>[TIMES] CCF</v>
          </cell>
        </row>
        <row r="157">
          <cell r="A157" t="str">
            <v>[TIMES] Iron Cyclone Converter Furnace</v>
          </cell>
          <cell r="B157" t="str">
            <v>hard coal</v>
          </cell>
          <cell r="C157" t="str">
            <v>from technosphere (energy_carrier)</v>
          </cell>
          <cell r="D157"/>
          <cell r="E157" t="str">
            <v>Energy</v>
          </cell>
          <cell r="F157">
            <v>20.100000000000001</v>
          </cell>
          <cell r="G157" t="str">
            <v>GJ</v>
          </cell>
          <cell r="H157" t="str">
            <v>t</v>
          </cell>
          <cell r="J157" t="str">
            <v>[TIMES] CCF</v>
          </cell>
        </row>
        <row r="158">
          <cell r="A158" t="str">
            <v>[TIMES] Iron Cyclone Converter Furnace</v>
          </cell>
          <cell r="B158" t="str">
            <v>carbon dioxide</v>
          </cell>
          <cell r="C158" t="str">
            <v>to environment (emission, combustion)</v>
          </cell>
          <cell r="D158"/>
          <cell r="E158" t="str">
            <v>Mass</v>
          </cell>
          <cell r="G158" t="str">
            <v>t</v>
          </cell>
          <cell r="H158" t="str">
            <v>t</v>
          </cell>
          <cell r="J158"/>
        </row>
        <row r="159">
          <cell r="A159" t="str">
            <v/>
          </cell>
          <cell r="D159"/>
          <cell r="J159"/>
        </row>
        <row r="160">
          <cell r="A160" t="str">
            <v>[TIMES] Iron COREX</v>
          </cell>
          <cell r="B160" t="str">
            <v>pig iron</v>
          </cell>
          <cell r="C160" t="str">
            <v>reference_product</v>
          </cell>
          <cell r="D160"/>
          <cell r="E160" t="str">
            <v>Mass</v>
          </cell>
          <cell r="F160">
            <v>1</v>
          </cell>
          <cell r="G160" t="str">
            <v>t</v>
          </cell>
          <cell r="H160">
            <v>1</v>
          </cell>
          <cell r="J160" t="str">
            <v>[TIMES] COREX</v>
          </cell>
        </row>
        <row r="161">
          <cell r="A161" t="str">
            <v>[TIMES] Iron COREX</v>
          </cell>
          <cell r="B161" t="str">
            <v>blast furnace slag</v>
          </cell>
          <cell r="C161" t="str">
            <v>to technosphere (by-product)</v>
          </cell>
          <cell r="D161"/>
          <cell r="E161" t="str">
            <v>Mass</v>
          </cell>
          <cell r="F161">
            <v>0.35</v>
          </cell>
          <cell r="G161" t="str">
            <v>t</v>
          </cell>
          <cell r="H161" t="str">
            <v>t</v>
          </cell>
          <cell r="J161" t="str">
            <v>[TIMES] COREX</v>
          </cell>
        </row>
        <row r="162">
          <cell r="A162" t="str">
            <v>[TIMES] Iron COREX</v>
          </cell>
          <cell r="B162" t="str">
            <v>gas from Corex and/or Blast Furnace TGR with CCS and/or BOF</v>
          </cell>
          <cell r="C162" t="str">
            <v>to technosphere (by-product)</v>
          </cell>
          <cell r="D162"/>
          <cell r="E162" t="str">
            <v>Energy</v>
          </cell>
          <cell r="F162">
            <v>10.9</v>
          </cell>
          <cell r="G162" t="str">
            <v>GJ</v>
          </cell>
          <cell r="H162" t="str">
            <v>t</v>
          </cell>
          <cell r="J162" t="str">
            <v>[TIMES] COREX</v>
          </cell>
        </row>
        <row r="163">
          <cell r="A163" t="str">
            <v>[TIMES] Iron COREX</v>
          </cell>
          <cell r="B163" t="str">
            <v>iron ore pellets</v>
          </cell>
          <cell r="C163" t="str">
            <v>from technosphere (material)</v>
          </cell>
          <cell r="D163"/>
          <cell r="E163" t="str">
            <v>Mass</v>
          </cell>
          <cell r="F163">
            <v>0.75</v>
          </cell>
          <cell r="G163" t="str">
            <v>t</v>
          </cell>
          <cell r="H163" t="str">
            <v>t</v>
          </cell>
          <cell r="J163" t="str">
            <v>[TIMES] COREX</v>
          </cell>
        </row>
        <row r="164">
          <cell r="A164" t="str">
            <v>[TIMES] Iron COREX</v>
          </cell>
          <cell r="B164" t="str">
            <v>iron ore</v>
          </cell>
          <cell r="C164" t="str">
            <v>from environment (natural resource)</v>
          </cell>
          <cell r="D164"/>
          <cell r="E164" t="str">
            <v>Mass</v>
          </cell>
          <cell r="F164">
            <v>0.75</v>
          </cell>
          <cell r="G164" t="str">
            <v>t</v>
          </cell>
          <cell r="H164" t="str">
            <v>t</v>
          </cell>
          <cell r="J164" t="str">
            <v>[TIMES] COREX</v>
          </cell>
        </row>
        <row r="165">
          <cell r="A165" t="str">
            <v>[TIMES] Iron COREX</v>
          </cell>
          <cell r="B165" t="str">
            <v>hard coal</v>
          </cell>
          <cell r="C165" t="str">
            <v>from technosphere (energy_carrier)</v>
          </cell>
          <cell r="D165"/>
          <cell r="E165" t="str">
            <v>Energy</v>
          </cell>
          <cell r="F165">
            <v>27</v>
          </cell>
          <cell r="G165" t="str">
            <v>GJ</v>
          </cell>
          <cell r="H165" t="str">
            <v>t</v>
          </cell>
          <cell r="J165" t="str">
            <v>[TIMES] COREX</v>
          </cell>
        </row>
        <row r="166">
          <cell r="A166" t="str">
            <v>[TIMES] Iron COREX</v>
          </cell>
          <cell r="B166" t="str">
            <v>coke</v>
          </cell>
          <cell r="C166" t="str">
            <v>from technosphere (energy_carrier)</v>
          </cell>
          <cell r="D166"/>
          <cell r="E166" t="str">
            <v>Energy</v>
          </cell>
          <cell r="F166">
            <v>3.1</v>
          </cell>
          <cell r="G166" t="str">
            <v>GJ</v>
          </cell>
          <cell r="H166" t="str">
            <v>t</v>
          </cell>
          <cell r="J166" t="str">
            <v>[TIMES] COREX</v>
          </cell>
        </row>
        <row r="167">
          <cell r="A167" t="str">
            <v>[TIMES] Iron COREX</v>
          </cell>
          <cell r="B167" t="str">
            <v>electricity</v>
          </cell>
          <cell r="C167" t="str">
            <v>from technosphere (energy_carrier)</v>
          </cell>
          <cell r="D167"/>
          <cell r="E167" t="str">
            <v>Energy</v>
          </cell>
          <cell r="F167">
            <v>0.32400000000000001</v>
          </cell>
          <cell r="G167" t="str">
            <v>GJ</v>
          </cell>
          <cell r="H167" t="str">
            <v>t</v>
          </cell>
          <cell r="J167" t="str">
            <v>[TIMES] COREX</v>
          </cell>
        </row>
        <row r="168">
          <cell r="A168" t="str">
            <v>[TIMES] Iron COREX</v>
          </cell>
          <cell r="B168" t="str">
            <v>oxygen</v>
          </cell>
          <cell r="C168" t="str">
            <v>from technosphere (material)</v>
          </cell>
          <cell r="D168"/>
          <cell r="E168" t="str">
            <v>Mass</v>
          </cell>
          <cell r="F168">
            <v>0.68899999999999995</v>
          </cell>
          <cell r="G168" t="str">
            <v>t</v>
          </cell>
          <cell r="H168" t="str">
            <v>t</v>
          </cell>
          <cell r="J168" t="str">
            <v>[TIMES] COREX</v>
          </cell>
        </row>
        <row r="169">
          <cell r="A169" t="str">
            <v>[TIMES] Iron COREX</v>
          </cell>
          <cell r="B169" t="str">
            <v>carbon dioxide</v>
          </cell>
          <cell r="C169" t="str">
            <v>to environment (emission, combustion)</v>
          </cell>
          <cell r="D169"/>
          <cell r="E169" t="str">
            <v>Mass</v>
          </cell>
          <cell r="G169" t="str">
            <v>t</v>
          </cell>
          <cell r="H169" t="str">
            <v>t</v>
          </cell>
          <cell r="J169"/>
        </row>
        <row r="170">
          <cell r="A170" t="str">
            <v/>
          </cell>
          <cell r="D170"/>
        </row>
        <row r="171">
          <cell r="A171" t="str">
            <v>[TIMES] COREX with CCS</v>
          </cell>
          <cell r="B171" t="str">
            <v>pig iron</v>
          </cell>
          <cell r="C171" t="str">
            <v>reference_product</v>
          </cell>
          <cell r="D171"/>
          <cell r="E171" t="str">
            <v>Mass</v>
          </cell>
          <cell r="F171">
            <v>1</v>
          </cell>
          <cell r="G171" t="str">
            <v>t</v>
          </cell>
          <cell r="H171">
            <v>1</v>
          </cell>
          <cell r="J171" t="str">
            <v>[TIMES] COREX+CCS</v>
          </cell>
        </row>
        <row r="172">
          <cell r="A172" t="str">
            <v>[TIMES] COREX with CCS</v>
          </cell>
          <cell r="B172" t="str">
            <v>blast furnace slag</v>
          </cell>
          <cell r="C172" t="str">
            <v>to technosphere (by-product)</v>
          </cell>
          <cell r="D172"/>
          <cell r="E172" t="str">
            <v>Mass</v>
          </cell>
          <cell r="F172">
            <v>0.35</v>
          </cell>
          <cell r="G172" t="str">
            <v>t</v>
          </cell>
          <cell r="H172" t="str">
            <v>t</v>
          </cell>
          <cell r="J172" t="str">
            <v>[TIMES] COREX+CCS</v>
          </cell>
        </row>
        <row r="173">
          <cell r="A173" t="str">
            <v>[TIMES] COREX with CCS</v>
          </cell>
          <cell r="B173" t="str">
            <v>Corex Gas from COREX with CCS</v>
          </cell>
          <cell r="C173" t="str">
            <v>to technosphere (by-product)</v>
          </cell>
          <cell r="D173"/>
          <cell r="E173" t="str">
            <v>Energy</v>
          </cell>
          <cell r="F173">
            <v>10.9</v>
          </cell>
          <cell r="G173" t="str">
            <v>GJ</v>
          </cell>
          <cell r="H173" t="str">
            <v>t</v>
          </cell>
          <cell r="J173" t="str">
            <v>[TIMES] COREX+CCS</v>
          </cell>
        </row>
        <row r="174">
          <cell r="A174" t="str">
            <v>[TIMES] COREX with CCS</v>
          </cell>
          <cell r="B174" t="str">
            <v>iron ore pellets</v>
          </cell>
          <cell r="C174" t="str">
            <v>from technosphere (material)</v>
          </cell>
          <cell r="D174"/>
          <cell r="E174" t="str">
            <v>Mass</v>
          </cell>
          <cell r="F174">
            <v>0.75</v>
          </cell>
          <cell r="G174" t="str">
            <v>t</v>
          </cell>
          <cell r="H174" t="str">
            <v>t</v>
          </cell>
          <cell r="J174" t="str">
            <v>[TIMES] COREX+CCS</v>
          </cell>
        </row>
        <row r="175">
          <cell r="A175" t="str">
            <v>[TIMES] COREX with CCS</v>
          </cell>
          <cell r="B175" t="str">
            <v>iron ore</v>
          </cell>
          <cell r="C175" t="str">
            <v>from environment (natural resource)</v>
          </cell>
          <cell r="D175"/>
          <cell r="E175" t="str">
            <v>Mass</v>
          </cell>
          <cell r="F175">
            <v>0.75</v>
          </cell>
          <cell r="G175" t="str">
            <v>t</v>
          </cell>
          <cell r="H175" t="str">
            <v>t</v>
          </cell>
          <cell r="J175" t="str">
            <v>[TIMES] COREX+CCS</v>
          </cell>
        </row>
        <row r="176">
          <cell r="A176" t="str">
            <v>[TIMES] COREX with CCS</v>
          </cell>
          <cell r="B176" t="str">
            <v>hard coal</v>
          </cell>
          <cell r="C176" t="str">
            <v>from technosphere (energy_carrier)</v>
          </cell>
          <cell r="D176"/>
          <cell r="E176" t="str">
            <v>Energy</v>
          </cell>
          <cell r="F176">
            <v>27</v>
          </cell>
          <cell r="G176" t="str">
            <v>GJ</v>
          </cell>
          <cell r="H176" t="str">
            <v>t</v>
          </cell>
          <cell r="J176" t="str">
            <v>[TIMES] COREX+CCS</v>
          </cell>
        </row>
        <row r="177">
          <cell r="A177" t="str">
            <v>[TIMES] COREX with CCS</v>
          </cell>
          <cell r="B177" t="str">
            <v>coke</v>
          </cell>
          <cell r="C177" t="str">
            <v>from technosphere (energy_carrier)</v>
          </cell>
          <cell r="D177"/>
          <cell r="E177" t="str">
            <v>Energy</v>
          </cell>
          <cell r="F177">
            <v>3.1</v>
          </cell>
          <cell r="G177" t="str">
            <v>GJ</v>
          </cell>
          <cell r="H177" t="str">
            <v>t</v>
          </cell>
          <cell r="J177" t="str">
            <v>[TIMES] COREX+CCS</v>
          </cell>
        </row>
        <row r="178">
          <cell r="A178" t="str">
            <v>[TIMES] COREX with CCS</v>
          </cell>
          <cell r="B178" t="str">
            <v>electricity</v>
          </cell>
          <cell r="C178" t="str">
            <v>from technosphere (energy_carrier)</v>
          </cell>
          <cell r="D178"/>
          <cell r="E178" t="str">
            <v>Energy</v>
          </cell>
          <cell r="F178">
            <v>1.075</v>
          </cell>
          <cell r="G178" t="str">
            <v>GJ</v>
          </cell>
          <cell r="H178" t="str">
            <v>t</v>
          </cell>
          <cell r="J178" t="str">
            <v>[TIMES] COREX+CCS</v>
          </cell>
        </row>
        <row r="179">
          <cell r="A179" t="str">
            <v>[TIMES] COREX with CCS</v>
          </cell>
          <cell r="B179" t="str">
            <v>oxygen</v>
          </cell>
          <cell r="C179" t="str">
            <v>from technosphere (material)</v>
          </cell>
          <cell r="D179"/>
          <cell r="E179" t="str">
            <v>Mass</v>
          </cell>
          <cell r="F179">
            <v>0.68899999999999995</v>
          </cell>
          <cell r="G179" t="str">
            <v>t</v>
          </cell>
          <cell r="H179" t="str">
            <v>t</v>
          </cell>
          <cell r="J179" t="str">
            <v>[TIMES] COREX+CCS</v>
          </cell>
        </row>
        <row r="180">
          <cell r="A180" t="str">
            <v>[TIMES] COREX with CCS</v>
          </cell>
          <cell r="B180" t="str">
            <v>carbon dioxide</v>
          </cell>
          <cell r="C180" t="str">
            <v>to technosphere (by-product)</v>
          </cell>
          <cell r="D180"/>
          <cell r="E180" t="str">
            <v>Mass</v>
          </cell>
          <cell r="F180">
            <v>763</v>
          </cell>
          <cell r="G180" t="str">
            <v>kg</v>
          </cell>
          <cell r="H180" t="str">
            <v>t</v>
          </cell>
          <cell r="J180" t="str">
            <v>[TIMES] COREX+CCS</v>
          </cell>
        </row>
        <row r="181">
          <cell r="A181" t="str">
            <v/>
          </cell>
          <cell r="D181"/>
        </row>
        <row r="182">
          <cell r="A182" t="str">
            <v>[TIMES] Basic oxygen Furnace - Regular  [Steel]</v>
          </cell>
          <cell r="B182" t="str">
            <v>crude steel</v>
          </cell>
          <cell r="C182" t="str">
            <v>reference_product</v>
          </cell>
          <cell r="D182"/>
          <cell r="E182" t="str">
            <v>Mass</v>
          </cell>
          <cell r="F182">
            <v>1</v>
          </cell>
          <cell r="G182" t="str">
            <v>t</v>
          </cell>
          <cell r="H182">
            <v>1</v>
          </cell>
          <cell r="J182" t="str">
            <v>[TIMES] BOF-regular</v>
          </cell>
        </row>
        <row r="183">
          <cell r="A183" t="str">
            <v>[TIMES] Basic oxygen Furnace - Regular  [Steel]</v>
          </cell>
          <cell r="B183" t="str">
            <v>gas from Corex and/or Blast Furnace TGR with CCS and/or BOF</v>
          </cell>
          <cell r="C183" t="str">
            <v>to technosphere (by-product)</v>
          </cell>
          <cell r="D183"/>
          <cell r="E183" t="str">
            <v>Energy</v>
          </cell>
          <cell r="F183">
            <v>0.65</v>
          </cell>
          <cell r="G183" t="str">
            <v>GJ</v>
          </cell>
          <cell r="H183" t="str">
            <v>t</v>
          </cell>
          <cell r="J183" t="str">
            <v>[TIMES] BOF-regular</v>
          </cell>
        </row>
        <row r="184">
          <cell r="A184" t="str">
            <v>[TIMES] Basic oxygen Furnace - Regular  [Steel]</v>
          </cell>
          <cell r="B184" t="str">
            <v>oxygen</v>
          </cell>
          <cell r="C184" t="str">
            <v>from technosphere (material)</v>
          </cell>
          <cell r="D184"/>
          <cell r="E184" t="str">
            <v>Mass</v>
          </cell>
          <cell r="F184">
            <v>0.05</v>
          </cell>
          <cell r="G184" t="str">
            <v>t</v>
          </cell>
          <cell r="H184" t="str">
            <v>t</v>
          </cell>
          <cell r="J184" t="str">
            <v>[TIMES] BOF-regular</v>
          </cell>
        </row>
        <row r="185">
          <cell r="A185" t="str">
            <v>[TIMES] Basic oxygen Furnace - Regular  [Steel]</v>
          </cell>
          <cell r="B185" t="str">
            <v>pig iron</v>
          </cell>
          <cell r="C185" t="str">
            <v>from technosphere (product)</v>
          </cell>
          <cell r="D185"/>
          <cell r="E185" t="str">
            <v>Mass</v>
          </cell>
          <cell r="F185">
            <v>0.9</v>
          </cell>
          <cell r="G185" t="str">
            <v>t</v>
          </cell>
          <cell r="H185" t="str">
            <v>t</v>
          </cell>
          <cell r="J185" t="str">
            <v>[TIMES] BOF-regular</v>
          </cell>
        </row>
        <row r="186">
          <cell r="A186" t="str">
            <v>[TIMES] Basic oxygen Furnace - Regular  [Steel]</v>
          </cell>
          <cell r="B186" t="str">
            <v>steel scrap</v>
          </cell>
          <cell r="C186" t="str">
            <v>from technosphere (material)</v>
          </cell>
          <cell r="D186"/>
          <cell r="E186" t="str">
            <v>Mass</v>
          </cell>
          <cell r="F186">
            <v>0.18</v>
          </cell>
          <cell r="G186" t="str">
            <v>t</v>
          </cell>
          <cell r="H186" t="str">
            <v>t</v>
          </cell>
          <cell r="J186" t="str">
            <v>[TIMES] BOF-regular</v>
          </cell>
        </row>
        <row r="187">
          <cell r="A187" t="str">
            <v>[TIMES] Basic oxygen Furnace - Regular  [Steel]</v>
          </cell>
          <cell r="B187" t="str">
            <v>quicklime</v>
          </cell>
          <cell r="C187" t="str">
            <v>from technosphere (material)</v>
          </cell>
          <cell r="D187"/>
          <cell r="E187" t="str">
            <v>Mass</v>
          </cell>
          <cell r="F187">
            <v>0.05</v>
          </cell>
          <cell r="G187" t="str">
            <v>t</v>
          </cell>
          <cell r="H187" t="str">
            <v>t</v>
          </cell>
          <cell r="J187" t="str">
            <v>[TIMES] BOF-regular</v>
          </cell>
        </row>
        <row r="188">
          <cell r="A188" t="str">
            <v>[TIMES] Basic oxygen Furnace - Regular  [Steel]</v>
          </cell>
          <cell r="B188" t="str">
            <v>electricity</v>
          </cell>
          <cell r="C188" t="str">
            <v>from technosphere (energy_carrier)</v>
          </cell>
          <cell r="D188"/>
          <cell r="E188" t="str">
            <v>Energy</v>
          </cell>
          <cell r="F188">
            <v>0.1</v>
          </cell>
          <cell r="G188" t="str">
            <v>GJ</v>
          </cell>
          <cell r="H188" t="str">
            <v>t</v>
          </cell>
          <cell r="J188" t="str">
            <v>[TIMES] BOF-regular</v>
          </cell>
        </row>
        <row r="189">
          <cell r="A189" t="str">
            <v/>
          </cell>
          <cell r="D189"/>
        </row>
        <row r="190">
          <cell r="A190" t="str">
            <v>[TIMES] Basic oxygen Furnace - Scrap [Steel]</v>
          </cell>
          <cell r="B190" t="str">
            <v>crude steel</v>
          </cell>
          <cell r="C190" t="str">
            <v>reference_product</v>
          </cell>
          <cell r="D190"/>
          <cell r="E190" t="str">
            <v>Mass</v>
          </cell>
          <cell r="F190">
            <v>1</v>
          </cell>
          <cell r="G190" t="str">
            <v>t</v>
          </cell>
          <cell r="H190">
            <v>1</v>
          </cell>
          <cell r="J190" t="str">
            <v>[TIMES] BOF-scrap</v>
          </cell>
        </row>
        <row r="191">
          <cell r="A191" t="str">
            <v>[TIMES] Basic oxygen Furnace - Scrap [Steel]</v>
          </cell>
          <cell r="B191" t="str">
            <v>gas from Corex and/or Blast Furnace TGR with CCS and/or BOF</v>
          </cell>
          <cell r="C191" t="str">
            <v>to technosphere (by-product)</v>
          </cell>
          <cell r="D191"/>
          <cell r="E191" t="str">
            <v>Energy</v>
          </cell>
          <cell r="F191">
            <v>0.65</v>
          </cell>
          <cell r="G191" t="str">
            <v>GJ</v>
          </cell>
          <cell r="H191" t="str">
            <v>t</v>
          </cell>
          <cell r="J191" t="str">
            <v>[TIMES] BOF-scrap</v>
          </cell>
        </row>
        <row r="192">
          <cell r="A192" t="str">
            <v>[TIMES] Basic oxygen Furnace - Scrap [Steel]</v>
          </cell>
          <cell r="B192" t="str">
            <v>oxygen</v>
          </cell>
          <cell r="C192" t="str">
            <v>from technosphere (material)</v>
          </cell>
          <cell r="D192"/>
          <cell r="E192" t="str">
            <v>Mass</v>
          </cell>
          <cell r="F192">
            <v>0.05</v>
          </cell>
          <cell r="G192" t="str">
            <v>t</v>
          </cell>
          <cell r="H192" t="str">
            <v>t</v>
          </cell>
          <cell r="J192" t="str">
            <v>[TIMES] BOF-scrap</v>
          </cell>
        </row>
        <row r="193">
          <cell r="A193" t="str">
            <v>[TIMES] Basic oxygen Furnace - Scrap [Steel]</v>
          </cell>
          <cell r="B193" t="str">
            <v>pig iron</v>
          </cell>
          <cell r="C193" t="str">
            <v>from technosphere (product)</v>
          </cell>
          <cell r="D193"/>
          <cell r="E193" t="str">
            <v>Mass</v>
          </cell>
          <cell r="F193">
            <v>0.495</v>
          </cell>
          <cell r="G193" t="str">
            <v>t</v>
          </cell>
          <cell r="H193" t="str">
            <v>t</v>
          </cell>
          <cell r="J193" t="str">
            <v>[TIMES] BOF-scrap</v>
          </cell>
        </row>
        <row r="194">
          <cell r="A194" t="str">
            <v>[TIMES] Basic oxygen Furnace - Scrap [Steel]</v>
          </cell>
          <cell r="B194" t="str">
            <v>steel scrap</v>
          </cell>
          <cell r="C194" t="str">
            <v>from technosphere (material)</v>
          </cell>
          <cell r="D194"/>
          <cell r="E194" t="str">
            <v>Mass</v>
          </cell>
          <cell r="F194">
            <v>0.59499999999999997</v>
          </cell>
          <cell r="G194" t="str">
            <v>t</v>
          </cell>
          <cell r="H194" t="str">
            <v>t</v>
          </cell>
          <cell r="J194" t="str">
            <v>[TIMES] BOF-scrap</v>
          </cell>
        </row>
        <row r="195">
          <cell r="A195" t="str">
            <v>[TIMES] Basic oxygen Furnace - Scrap [Steel]</v>
          </cell>
          <cell r="B195" t="str">
            <v>quicklime</v>
          </cell>
          <cell r="C195" t="str">
            <v>from technosphere (material)</v>
          </cell>
          <cell r="D195"/>
          <cell r="E195" t="str">
            <v>Mass</v>
          </cell>
          <cell r="F195">
            <v>0.05</v>
          </cell>
          <cell r="G195" t="str">
            <v>t</v>
          </cell>
          <cell r="H195" t="str">
            <v>t</v>
          </cell>
          <cell r="J195" t="str">
            <v>[TIMES] BOF-scrap</v>
          </cell>
        </row>
        <row r="196">
          <cell r="A196" t="str">
            <v>[TIMES] Basic oxygen Furnace - Scrap [Steel]</v>
          </cell>
          <cell r="B196" t="str">
            <v>electricity</v>
          </cell>
          <cell r="C196" t="str">
            <v>from technosphere (energy_carrier)</v>
          </cell>
          <cell r="D196"/>
          <cell r="E196" t="str">
            <v>Energy</v>
          </cell>
          <cell r="F196">
            <v>0.1</v>
          </cell>
          <cell r="G196" t="str">
            <v>GJ</v>
          </cell>
          <cell r="H196" t="str">
            <v>t</v>
          </cell>
          <cell r="J196" t="str">
            <v>[TIMES] BOF-scrap</v>
          </cell>
        </row>
        <row r="197">
          <cell r="A197" t="str">
            <v/>
          </cell>
          <cell r="D197"/>
        </row>
        <row r="198">
          <cell r="A198" t="str">
            <v>[TIMES] Cast Iron Cupola</v>
          </cell>
          <cell r="B198" t="str">
            <v>crude steel</v>
          </cell>
          <cell r="C198" t="str">
            <v>reference_product</v>
          </cell>
          <cell r="D198"/>
          <cell r="E198" t="str">
            <v>Mass</v>
          </cell>
          <cell r="F198">
            <v>1</v>
          </cell>
          <cell r="G198" t="str">
            <v>t</v>
          </cell>
          <cell r="H198">
            <v>1</v>
          </cell>
          <cell r="J198" t="str">
            <v>[TIMES] CUPOLA</v>
          </cell>
        </row>
        <row r="199">
          <cell r="A199" t="str">
            <v>[TIMES] Cast Iron Cupola</v>
          </cell>
          <cell r="B199" t="str">
            <v>steel scrap</v>
          </cell>
          <cell r="C199" t="str">
            <v>from technosphere (material)</v>
          </cell>
          <cell r="D199"/>
          <cell r="E199" t="str">
            <v>Mass</v>
          </cell>
          <cell r="F199">
            <v>1.3</v>
          </cell>
          <cell r="G199" t="str">
            <v>t</v>
          </cell>
          <cell r="H199" t="str">
            <v>t</v>
          </cell>
          <cell r="J199" t="str">
            <v>[TIMES] CUPOLA</v>
          </cell>
        </row>
        <row r="200">
          <cell r="A200" t="str">
            <v>[TIMES] Cast Iron Cupola</v>
          </cell>
          <cell r="B200" t="str">
            <v>electricity</v>
          </cell>
          <cell r="C200" t="str">
            <v>from technosphere (energy_carrier)</v>
          </cell>
          <cell r="D200"/>
          <cell r="E200" t="str">
            <v>Energy</v>
          </cell>
          <cell r="F200">
            <v>4.5999999999999996</v>
          </cell>
          <cell r="G200" t="str">
            <v>GJ</v>
          </cell>
          <cell r="H200" t="str">
            <v>t</v>
          </cell>
          <cell r="J200" t="str">
            <v>[TIMES] CUPOLA</v>
          </cell>
        </row>
        <row r="201">
          <cell r="A201" t="str">
            <v>[TIMES] Cast Iron Cupola</v>
          </cell>
          <cell r="B201" t="str">
            <v>natural gas</v>
          </cell>
          <cell r="C201" t="str">
            <v>from technosphere (energy_carrier)</v>
          </cell>
          <cell r="D201"/>
          <cell r="E201" t="str">
            <v>Energy</v>
          </cell>
          <cell r="F201">
            <v>11.4</v>
          </cell>
          <cell r="G201" t="str">
            <v>GJ</v>
          </cell>
          <cell r="H201" t="str">
            <v>t</v>
          </cell>
          <cell r="J201" t="str">
            <v>[TIMES] CUPOLA</v>
          </cell>
        </row>
        <row r="202">
          <cell r="A202" t="str">
            <v>[TIMES] Cast Iron Cupola</v>
          </cell>
          <cell r="B202" t="str">
            <v>carbon dioxide</v>
          </cell>
          <cell r="C202" t="str">
            <v>to environment (emission, combustion)</v>
          </cell>
          <cell r="D202"/>
          <cell r="E202" t="str">
            <v>Mass</v>
          </cell>
          <cell r="G202" t="str">
            <v>t</v>
          </cell>
          <cell r="H202" t="str">
            <v>t</v>
          </cell>
          <cell r="J202" t="str">
            <v>[TIMES] CUPOLA</v>
          </cell>
        </row>
        <row r="203">
          <cell r="A203" t="str">
            <v/>
          </cell>
          <cell r="D203"/>
        </row>
        <row r="204">
          <cell r="A204" t="str">
            <v>[TIMES] Sponge iron for Direct Reduction</v>
          </cell>
          <cell r="B204" t="str">
            <v>sponge iron</v>
          </cell>
          <cell r="C204" t="str">
            <v>reference_product</v>
          </cell>
          <cell r="D204"/>
          <cell r="E204" t="str">
            <v>Mass</v>
          </cell>
          <cell r="F204">
            <v>1</v>
          </cell>
          <cell r="G204" t="str">
            <v>t</v>
          </cell>
          <cell r="H204">
            <v>1</v>
          </cell>
          <cell r="J204" t="str">
            <v>[TIMES] DRI</v>
          </cell>
        </row>
        <row r="205">
          <cell r="A205" t="str">
            <v>[TIMES] Sponge iron for Direct Reduction</v>
          </cell>
          <cell r="B205" t="str">
            <v>iron ore pellets</v>
          </cell>
          <cell r="C205" t="str">
            <v>from technosphere (material)</v>
          </cell>
          <cell r="D205"/>
          <cell r="E205" t="str">
            <v>Mass</v>
          </cell>
          <cell r="F205">
            <v>1.5</v>
          </cell>
          <cell r="G205" t="str">
            <v>t</v>
          </cell>
          <cell r="H205" t="str">
            <v>t</v>
          </cell>
          <cell r="J205" t="str">
            <v>[TIMES] DRI</v>
          </cell>
        </row>
        <row r="206">
          <cell r="A206" t="str">
            <v>[TIMES] Sponge iron for Direct Reduction</v>
          </cell>
          <cell r="B206" t="str">
            <v>electricity</v>
          </cell>
          <cell r="C206" t="str">
            <v>from technosphere (energy_carrier)</v>
          </cell>
          <cell r="D206"/>
          <cell r="E206" t="str">
            <v>Energy</v>
          </cell>
          <cell r="F206">
            <v>0.7</v>
          </cell>
          <cell r="G206" t="str">
            <v>GJ</v>
          </cell>
          <cell r="H206" t="str">
            <v>t</v>
          </cell>
          <cell r="J206" t="str">
            <v>[TIMES] DRI</v>
          </cell>
        </row>
        <row r="207">
          <cell r="A207" t="str">
            <v>[TIMES] Sponge iron for Direct Reduction</v>
          </cell>
          <cell r="B207" t="str">
            <v>IIS Gas - Corex Gas or blast furnace gas</v>
          </cell>
          <cell r="C207" t="str">
            <v>from technosphere (energy_carrier)</v>
          </cell>
          <cell r="D207"/>
          <cell r="E207" t="str">
            <v>Energy</v>
          </cell>
          <cell r="F207">
            <v>11</v>
          </cell>
          <cell r="G207" t="str">
            <v>GJ</v>
          </cell>
          <cell r="H207" t="str">
            <v>t</v>
          </cell>
          <cell r="J207" t="str">
            <v>[TIMES] DRI</v>
          </cell>
        </row>
        <row r="208">
          <cell r="A208" t="str">
            <v>[TIMES] Sponge iron for Direct Reduction</v>
          </cell>
          <cell r="B208" t="str">
            <v>coke oven gas</v>
          </cell>
          <cell r="C208" t="str">
            <v>from technosphere (energy_carrier)</v>
          </cell>
          <cell r="D208"/>
          <cell r="E208" t="str">
            <v>Energy</v>
          </cell>
          <cell r="F208"/>
          <cell r="G208" t="str">
            <v>GJ</v>
          </cell>
          <cell r="H208" t="str">
            <v>t</v>
          </cell>
          <cell r="J208" t="str">
            <v>[TIMES] DRI</v>
          </cell>
        </row>
        <row r="209">
          <cell r="A209" t="str">
            <v>[TIMES] Sponge iron for Direct Reduction</v>
          </cell>
          <cell r="B209" t="str">
            <v>natural gas</v>
          </cell>
          <cell r="C209" t="str">
            <v>from technosphere (energy_carrier)</v>
          </cell>
          <cell r="D209"/>
          <cell r="E209" t="str">
            <v>Energy</v>
          </cell>
          <cell r="F209"/>
          <cell r="G209" t="str">
            <v>GJ</v>
          </cell>
          <cell r="H209" t="str">
            <v>t</v>
          </cell>
          <cell r="J209" t="str">
            <v>[TIMES] DRI</v>
          </cell>
        </row>
        <row r="210">
          <cell r="A210" t="str">
            <v>[TIMES] Sponge iron for Direct Reduction</v>
          </cell>
          <cell r="B210" t="str">
            <v>carbon dioxide</v>
          </cell>
          <cell r="C210" t="str">
            <v>to environment (emission, combustion)</v>
          </cell>
          <cell r="D210"/>
          <cell r="E210" t="str">
            <v>Mass</v>
          </cell>
          <cell r="G210" t="str">
            <v>t</v>
          </cell>
          <cell r="H210" t="str">
            <v>t</v>
          </cell>
          <cell r="J210"/>
        </row>
        <row r="211">
          <cell r="A211" t="str">
            <v/>
          </cell>
          <cell r="D211"/>
        </row>
        <row r="212">
          <cell r="A212" t="str">
            <v>[TIMES] Sponge iron for Direct Reduction with CCS</v>
          </cell>
          <cell r="B212" t="str">
            <v>sponge iron</v>
          </cell>
          <cell r="C212" t="str">
            <v>reference_product</v>
          </cell>
          <cell r="D212"/>
          <cell r="E212" t="str">
            <v>Mass</v>
          </cell>
          <cell r="F212">
            <v>1</v>
          </cell>
          <cell r="G212" t="str">
            <v>t</v>
          </cell>
          <cell r="H212">
            <v>1</v>
          </cell>
          <cell r="J212" t="str">
            <v>[TIMES] DRI+CCS</v>
          </cell>
        </row>
        <row r="213">
          <cell r="A213" t="str">
            <v>[TIMES] Sponge iron for Direct Reduction with CCS</v>
          </cell>
          <cell r="B213" t="str">
            <v>iron ore pellets</v>
          </cell>
          <cell r="C213" t="str">
            <v>from technosphere (material)</v>
          </cell>
          <cell r="D213"/>
          <cell r="E213" t="str">
            <v>Mass</v>
          </cell>
          <cell r="F213">
            <v>1.5</v>
          </cell>
          <cell r="G213" t="str">
            <v>t</v>
          </cell>
          <cell r="H213" t="str">
            <v>t</v>
          </cell>
          <cell r="J213" t="str">
            <v>[TIMES] DRI+CCS</v>
          </cell>
        </row>
        <row r="214">
          <cell r="A214" t="str">
            <v>[TIMES] Sponge iron for Direct Reduction with CCS</v>
          </cell>
          <cell r="B214" t="str">
            <v>electricity</v>
          </cell>
          <cell r="C214" t="str">
            <v>from technosphere (energy_carrier)</v>
          </cell>
          <cell r="D214"/>
          <cell r="E214" t="str">
            <v>Energy</v>
          </cell>
          <cell r="F214">
            <v>0.75</v>
          </cell>
          <cell r="G214" t="str">
            <v>GJ</v>
          </cell>
          <cell r="H214" t="str">
            <v>t</v>
          </cell>
          <cell r="J214" t="str">
            <v>[TIMES] DRI+CCS</v>
          </cell>
        </row>
        <row r="215">
          <cell r="A215" t="str">
            <v>[TIMES] Sponge iron for Direct Reduction with CCS</v>
          </cell>
          <cell r="B215" t="str">
            <v>IIS Gas - Corex Gas or blast furnace gas</v>
          </cell>
          <cell r="C215" t="str">
            <v>from technosphere (energy_carrier)</v>
          </cell>
          <cell r="D215"/>
          <cell r="E215" t="str">
            <v>Energy</v>
          </cell>
          <cell r="F215">
            <v>11</v>
          </cell>
          <cell r="G215" t="str">
            <v>GJ</v>
          </cell>
          <cell r="H215" t="str">
            <v>t</v>
          </cell>
          <cell r="J215" t="str">
            <v>[TIMES] DRI+CCS</v>
          </cell>
        </row>
        <row r="216">
          <cell r="A216" t="str">
            <v>[TIMES] Sponge iron for Direct Reduction with CCS</v>
          </cell>
          <cell r="B216" t="str">
            <v>coke oven gas</v>
          </cell>
          <cell r="C216" t="str">
            <v>from technosphere (energy_carrier)</v>
          </cell>
          <cell r="D216"/>
          <cell r="E216" t="str">
            <v>Energy</v>
          </cell>
          <cell r="F216"/>
          <cell r="G216" t="str">
            <v>GJ</v>
          </cell>
          <cell r="H216" t="str">
            <v>t</v>
          </cell>
          <cell r="J216" t="str">
            <v>[TIMES] DRI+CCS</v>
          </cell>
        </row>
        <row r="217">
          <cell r="A217" t="str">
            <v>[TIMES] Sponge iron for Direct Reduction with CCS</v>
          </cell>
          <cell r="B217" t="str">
            <v>natural gas</v>
          </cell>
          <cell r="C217" t="str">
            <v>from technosphere (energy_carrier)</v>
          </cell>
          <cell r="D217"/>
          <cell r="E217" t="str">
            <v>Energy</v>
          </cell>
          <cell r="F217"/>
          <cell r="G217" t="str">
            <v>GJ</v>
          </cell>
          <cell r="H217" t="str">
            <v>t</v>
          </cell>
          <cell r="J217" t="str">
            <v>[TIMES] DRI+CCS</v>
          </cell>
        </row>
        <row r="218">
          <cell r="A218" t="str">
            <v>[TIMES] Sponge iron for Direct Reduction with CCS</v>
          </cell>
          <cell r="B218" t="str">
            <v>carbon dioxide</v>
          </cell>
          <cell r="C218" t="str">
            <v>to environment (emission, combustion)</v>
          </cell>
          <cell r="D218"/>
          <cell r="E218" t="str">
            <v>Mass</v>
          </cell>
          <cell r="G218" t="str">
            <v>t</v>
          </cell>
          <cell r="H218" t="str">
            <v>t</v>
          </cell>
          <cell r="J218" t="str">
            <v>[TIMES] DRI+CCS</v>
          </cell>
        </row>
        <row r="219">
          <cell r="A219" t="str">
            <v>[TIMES] Sponge iron for Direct Reduction with CCS</v>
          </cell>
          <cell r="B219" t="str">
            <v>carbon dioxide</v>
          </cell>
          <cell r="C219" t="str">
            <v>to technosphere (by-product)</v>
          </cell>
          <cell r="D219"/>
          <cell r="E219" t="str">
            <v>Mass</v>
          </cell>
          <cell r="F219">
            <v>427</v>
          </cell>
          <cell r="G219" t="str">
            <v>kg</v>
          </cell>
          <cell r="H219" t="str">
            <v>t</v>
          </cell>
          <cell r="J219" t="str">
            <v>[TIMES] DRI+CCS</v>
          </cell>
        </row>
        <row r="220">
          <cell r="A220" t="str">
            <v/>
          </cell>
          <cell r="D220"/>
          <cell r="J220"/>
        </row>
        <row r="221">
          <cell r="A221" t="str">
            <v>[TIMES] Electric Arc Furnace [for DRI]</v>
          </cell>
          <cell r="B221" t="str">
            <v>crude steel</v>
          </cell>
          <cell r="C221" t="str">
            <v>reference_product</v>
          </cell>
          <cell r="D221"/>
          <cell r="E221" t="str">
            <v>Mass</v>
          </cell>
          <cell r="F221">
            <v>1</v>
          </cell>
          <cell r="G221" t="str">
            <v>t</v>
          </cell>
          <cell r="H221">
            <v>1</v>
          </cell>
          <cell r="J221" t="str">
            <v>[TIMES] EAF</v>
          </cell>
        </row>
        <row r="222">
          <cell r="A222" t="str">
            <v>[TIMES] Electric Arc Furnace [for DRI]</v>
          </cell>
          <cell r="B222" t="str">
            <v>sponge iron</v>
          </cell>
          <cell r="C222" t="str">
            <v>from technosphere (product)</v>
          </cell>
          <cell r="D222"/>
          <cell r="E222" t="str">
            <v>Mass</v>
          </cell>
          <cell r="F222">
            <v>1.05</v>
          </cell>
          <cell r="G222" t="str">
            <v>t</v>
          </cell>
          <cell r="H222" t="str">
            <v>t</v>
          </cell>
          <cell r="J222" t="str">
            <v>[TIMES] EAF</v>
          </cell>
        </row>
        <row r="223">
          <cell r="A223" t="str">
            <v>[TIMES] Electric Arc Furnace [for DRI]</v>
          </cell>
          <cell r="B223" t="str">
            <v>steel scrap</v>
          </cell>
          <cell r="C223" t="str">
            <v>from technosphere (material)</v>
          </cell>
          <cell r="D223"/>
          <cell r="E223" t="str">
            <v>Mass</v>
          </cell>
          <cell r="F223">
            <v>0.03</v>
          </cell>
          <cell r="G223" t="str">
            <v>t</v>
          </cell>
          <cell r="H223" t="str">
            <v>t</v>
          </cell>
          <cell r="J223" t="str">
            <v>[TIMES] EAF</v>
          </cell>
        </row>
        <row r="224">
          <cell r="A224" t="str">
            <v>[TIMES] Electric Arc Furnace [for DRI]</v>
          </cell>
          <cell r="B224" t="str">
            <v>oxygen</v>
          </cell>
          <cell r="C224" t="str">
            <v>from technosphere (material)</v>
          </cell>
          <cell r="D224"/>
          <cell r="E224" t="str">
            <v>Mass</v>
          </cell>
          <cell r="F224">
            <v>0.5</v>
          </cell>
          <cell r="G224" t="str">
            <v>t</v>
          </cell>
          <cell r="H224" t="str">
            <v>t</v>
          </cell>
          <cell r="J224" t="str">
            <v>[TIMES] EAF</v>
          </cell>
        </row>
        <row r="225">
          <cell r="A225" t="str">
            <v>[TIMES] Electric Arc Furnace [for DRI]</v>
          </cell>
          <cell r="B225" t="str">
            <v>electricity</v>
          </cell>
          <cell r="C225" t="str">
            <v>from technosphere (energy_carrier)</v>
          </cell>
          <cell r="D225"/>
          <cell r="E225" t="str">
            <v>Energy</v>
          </cell>
          <cell r="F225">
            <v>2.25</v>
          </cell>
          <cell r="G225" t="str">
            <v>GJ</v>
          </cell>
          <cell r="H225" t="str">
            <v>t</v>
          </cell>
          <cell r="J225" t="str">
            <v>[TIMES] EAF</v>
          </cell>
        </row>
        <row r="226">
          <cell r="A226" t="str">
            <v>[TIMES] Electric Arc Furnace [for DRI]</v>
          </cell>
          <cell r="B226" t="str">
            <v>IIS Gas - Corex Gas or blast furnace gas</v>
          </cell>
          <cell r="C226" t="str">
            <v>from technosphere (energy_carrier)</v>
          </cell>
          <cell r="D226"/>
          <cell r="E226" t="str">
            <v>Energy</v>
          </cell>
          <cell r="F226">
            <v>3.03</v>
          </cell>
          <cell r="G226" t="str">
            <v>GJ</v>
          </cell>
          <cell r="H226" t="str">
            <v>t</v>
          </cell>
          <cell r="J226" t="str">
            <v>[TIMES] EAF</v>
          </cell>
        </row>
        <row r="227">
          <cell r="A227" t="str">
            <v>[TIMES] Electric Arc Furnace [for DRI]</v>
          </cell>
          <cell r="B227" t="str">
            <v>coke oven gas</v>
          </cell>
          <cell r="C227" t="str">
            <v>from technosphere (energy_carrier)</v>
          </cell>
          <cell r="D227"/>
          <cell r="E227" t="str">
            <v>Energy</v>
          </cell>
          <cell r="F227"/>
          <cell r="G227" t="str">
            <v>GJ</v>
          </cell>
          <cell r="H227" t="str">
            <v>t</v>
          </cell>
          <cell r="J227" t="str">
            <v>[TIMES] EAF</v>
          </cell>
        </row>
        <row r="228">
          <cell r="A228" t="str">
            <v>[TIMES] Electric Arc Furnace [for DRI]</v>
          </cell>
          <cell r="B228" t="str">
            <v>natural gas</v>
          </cell>
          <cell r="C228" t="str">
            <v>from technosphere (energy_carrier)</v>
          </cell>
          <cell r="D228"/>
          <cell r="E228" t="str">
            <v>Energy</v>
          </cell>
          <cell r="F228"/>
          <cell r="G228" t="str">
            <v>GJ</v>
          </cell>
          <cell r="H228" t="str">
            <v>t</v>
          </cell>
          <cell r="J228" t="str">
            <v>[TIMES] EAF</v>
          </cell>
        </row>
        <row r="229">
          <cell r="A229" t="str">
            <v>[TIMES] Electric Arc Furnace [for DRI]</v>
          </cell>
          <cell r="B229" t="str">
            <v>carbon dioxide</v>
          </cell>
          <cell r="C229" t="str">
            <v>to environment (emission, combustion)</v>
          </cell>
          <cell r="D229"/>
          <cell r="E229" t="str">
            <v>Mass</v>
          </cell>
          <cell r="G229" t="str">
            <v>t</v>
          </cell>
          <cell r="H229" t="str">
            <v>t</v>
          </cell>
          <cell r="J229"/>
        </row>
        <row r="230">
          <cell r="A230" t="str">
            <v/>
          </cell>
          <cell r="B230"/>
          <cell r="D230"/>
        </row>
        <row r="231">
          <cell r="A231" t="str">
            <v>[TIMES] Hydrogen Direct Reduced Iron</v>
          </cell>
          <cell r="B231" t="str">
            <v>crude steel</v>
          </cell>
          <cell r="C231" t="str">
            <v>reference_product</v>
          </cell>
          <cell r="D231"/>
          <cell r="E231" t="str">
            <v>Mass</v>
          </cell>
          <cell r="F231">
            <v>1</v>
          </cell>
          <cell r="G231" t="str">
            <v>t</v>
          </cell>
          <cell r="H231">
            <v>1</v>
          </cell>
          <cell r="J231" t="str">
            <v>[TIMES] H2DRI-EAF</v>
          </cell>
        </row>
        <row r="232">
          <cell r="A232" t="str">
            <v>[TIMES] Hydrogen Direct Reduced Iron</v>
          </cell>
          <cell r="B232" t="str">
            <v>blast furnace slag</v>
          </cell>
          <cell r="C232" t="str">
            <v>to technosphere (by-product)</v>
          </cell>
          <cell r="D232"/>
          <cell r="E232" t="str">
            <v>Mass</v>
          </cell>
          <cell r="F232">
            <v>0.25</v>
          </cell>
          <cell r="G232" t="str">
            <v>t</v>
          </cell>
          <cell r="H232" t="str">
            <v>t</v>
          </cell>
          <cell r="J232" t="str">
            <v>[TIMES] H2DRI-EAF</v>
          </cell>
        </row>
        <row r="233">
          <cell r="A233" t="str">
            <v>[TIMES] Hydrogen Direct Reduced Iron</v>
          </cell>
          <cell r="B233" t="str">
            <v>iron ore</v>
          </cell>
          <cell r="C233" t="str">
            <v>from environment (natural resource)</v>
          </cell>
          <cell r="D233"/>
          <cell r="E233" t="str">
            <v>Mass</v>
          </cell>
          <cell r="F233">
            <v>1.5</v>
          </cell>
          <cell r="G233" t="str">
            <v>t</v>
          </cell>
          <cell r="H233" t="str">
            <v>t</v>
          </cell>
          <cell r="J233" t="str">
            <v>[TIMES] H2DRI-EAF</v>
          </cell>
        </row>
        <row r="234">
          <cell r="A234" t="str">
            <v>[TIMES] Hydrogen Direct Reduced Iron</v>
          </cell>
          <cell r="B234" t="str">
            <v>electricity</v>
          </cell>
          <cell r="C234" t="str">
            <v>from technosphere (energy_carrier)</v>
          </cell>
          <cell r="D234"/>
          <cell r="E234" t="str">
            <v>Energy</v>
          </cell>
          <cell r="F234">
            <v>0.7</v>
          </cell>
          <cell r="G234" t="str">
            <v>GJ</v>
          </cell>
          <cell r="H234" t="str">
            <v>t</v>
          </cell>
          <cell r="J234" t="str">
            <v>[TIMES] H2DRI-EAF</v>
          </cell>
        </row>
        <row r="235">
          <cell r="A235" t="str">
            <v>[TIMES] Hydrogen Direct Reduced Iron</v>
          </cell>
          <cell r="B235" t="str">
            <v>hydrogen</v>
          </cell>
          <cell r="C235" t="str">
            <v>from technosphere (energy_carrier)</v>
          </cell>
          <cell r="D235"/>
          <cell r="E235" t="str">
            <v>Energy</v>
          </cell>
          <cell r="F235">
            <v>17</v>
          </cell>
          <cell r="G235" t="str">
            <v>GJ</v>
          </cell>
          <cell r="H235" t="str">
            <v>t</v>
          </cell>
          <cell r="J235" t="str">
            <v>[TIMES] H2DRI-EAF</v>
          </cell>
        </row>
        <row r="236">
          <cell r="A236" t="str">
            <v/>
          </cell>
          <cell r="D236"/>
        </row>
        <row r="237">
          <cell r="A237" t="str">
            <v>[TIMES] Electric Arc Furnace [scrap input]</v>
          </cell>
          <cell r="B237" t="str">
            <v>crude steel</v>
          </cell>
          <cell r="C237" t="str">
            <v>reference_product</v>
          </cell>
          <cell r="D237"/>
          <cell r="E237" t="str">
            <v>Mass</v>
          </cell>
          <cell r="F237">
            <v>1</v>
          </cell>
          <cell r="G237" t="str">
            <v>t</v>
          </cell>
          <cell r="H237">
            <v>1</v>
          </cell>
          <cell r="J237" t="str">
            <v>[TIMES] EAF-scrap</v>
          </cell>
        </row>
        <row r="238">
          <cell r="A238" t="str">
            <v>[TIMES] Electric Arc Furnace [scrap input]</v>
          </cell>
          <cell r="B238" t="str">
            <v>steel scrap</v>
          </cell>
          <cell r="C238" t="str">
            <v>from technosphere (material)</v>
          </cell>
          <cell r="D238"/>
          <cell r="E238" t="str">
            <v>Mass</v>
          </cell>
          <cell r="F238">
            <v>1.1000000000000001</v>
          </cell>
          <cell r="G238" t="str">
            <v>t</v>
          </cell>
          <cell r="H238" t="str">
            <v>t</v>
          </cell>
          <cell r="J238" t="str">
            <v>[TIMES] EAF-scrap</v>
          </cell>
        </row>
        <row r="239">
          <cell r="A239" t="str">
            <v>[TIMES] Electric Arc Furnace [scrap input]</v>
          </cell>
          <cell r="B239" t="str">
            <v>oxygen</v>
          </cell>
          <cell r="C239" t="str">
            <v>from technosphere (material)</v>
          </cell>
          <cell r="D239"/>
          <cell r="E239" t="str">
            <v>Mass</v>
          </cell>
          <cell r="F239">
            <v>0.05</v>
          </cell>
          <cell r="G239" t="str">
            <v>t</v>
          </cell>
          <cell r="H239" t="str">
            <v>t</v>
          </cell>
          <cell r="J239" t="str">
            <v>[TIMES] EAF-scrap</v>
          </cell>
        </row>
        <row r="240">
          <cell r="A240" t="str">
            <v>[TIMES] Electric Arc Furnace [scrap input]</v>
          </cell>
          <cell r="B240" t="str">
            <v>electricity</v>
          </cell>
          <cell r="C240" t="str">
            <v>from technosphere (energy_carrier)</v>
          </cell>
          <cell r="D240"/>
          <cell r="E240" t="str">
            <v>Energy</v>
          </cell>
          <cell r="F240">
            <v>5.5</v>
          </cell>
          <cell r="G240" t="str">
            <v>GJ</v>
          </cell>
          <cell r="H240" t="str">
            <v>t</v>
          </cell>
          <cell r="J240" t="str">
            <v>[TIMES] EAF-scrap</v>
          </cell>
        </row>
        <row r="241">
          <cell r="A241" t="str">
            <v/>
          </cell>
          <cell r="D241"/>
        </row>
        <row r="242">
          <cell r="A242" t="str">
            <v>[TIMES] Ferroalloys</v>
          </cell>
          <cell r="B242" t="str">
            <v>ferrochromium</v>
          </cell>
          <cell r="C242" t="str">
            <v>reference_product</v>
          </cell>
          <cell r="D242"/>
          <cell r="E242" t="str">
            <v>Mass</v>
          </cell>
          <cell r="F242">
            <v>1</v>
          </cell>
          <cell r="G242" t="str">
            <v>t</v>
          </cell>
          <cell r="H242">
            <v>1</v>
          </cell>
          <cell r="J242" t="str">
            <v>[TIMES] Ferroalloys</v>
          </cell>
          <cell r="K242" t="str">
            <v>Ferrochrome smelting reduction</v>
          </cell>
        </row>
        <row r="243">
          <cell r="A243" t="str">
            <v>[TIMES] Ferroalloys</v>
          </cell>
          <cell r="B243" t="str">
            <v>blast furnace slag</v>
          </cell>
          <cell r="C243" t="str">
            <v>to technosphere (by-product)</v>
          </cell>
          <cell r="D243"/>
          <cell r="E243" t="str">
            <v>Mass</v>
          </cell>
          <cell r="F243">
            <v>1.2</v>
          </cell>
          <cell r="G243" t="str">
            <v>t</v>
          </cell>
          <cell r="H243" t="str">
            <v>t</v>
          </cell>
          <cell r="J243" t="str">
            <v>[TIMES] Ferroalloys</v>
          </cell>
          <cell r="K243" t="str">
            <v>Ferrochrome smelting reduction</v>
          </cell>
        </row>
        <row r="244">
          <cell r="A244" t="str">
            <v>[TIMES] Ferroalloys</v>
          </cell>
          <cell r="B244" t="str">
            <v>blast furnace gas</v>
          </cell>
          <cell r="C244" t="str">
            <v>to technosphere (by-product)</v>
          </cell>
          <cell r="D244"/>
          <cell r="E244" t="str">
            <v>Energy</v>
          </cell>
          <cell r="F244">
            <v>8.1</v>
          </cell>
          <cell r="G244" t="str">
            <v>GJ</v>
          </cell>
          <cell r="H244" t="str">
            <v>t</v>
          </cell>
          <cell r="J244" t="str">
            <v>[TIMES] Ferroalloys</v>
          </cell>
          <cell r="K244" t="str">
            <v>Ferrochrome smelting reduction</v>
          </cell>
        </row>
        <row r="245">
          <cell r="A245" t="str">
            <v>[TIMES] Ferroalloys</v>
          </cell>
          <cell r="B245" t="str">
            <v>iron ore</v>
          </cell>
          <cell r="C245" t="str">
            <v>from environment (natural resource)</v>
          </cell>
          <cell r="D245"/>
          <cell r="E245" t="str">
            <v>Mass</v>
          </cell>
          <cell r="F245">
            <v>2.2999999999999998</v>
          </cell>
          <cell r="G245" t="str">
            <v>t</v>
          </cell>
          <cell r="H245" t="str">
            <v>t</v>
          </cell>
          <cell r="J245" t="str">
            <v>[TIMES] Ferroalloys</v>
          </cell>
          <cell r="K245" t="str">
            <v>Ferrochrome smelting reduction</v>
          </cell>
        </row>
        <row r="246">
          <cell r="A246" t="str">
            <v>[TIMES] Ferroalloys</v>
          </cell>
          <cell r="B246" t="str">
            <v>heavy fuel oil</v>
          </cell>
          <cell r="C246" t="str">
            <v>from technosphere (energy_carrier)</v>
          </cell>
          <cell r="D246"/>
          <cell r="E246" t="str">
            <v>Energy</v>
          </cell>
          <cell r="F246">
            <v>0.8</v>
          </cell>
          <cell r="G246" t="str">
            <v>GJ</v>
          </cell>
          <cell r="H246" t="str">
            <v>t</v>
          </cell>
          <cell r="J246" t="str">
            <v>[TIMES] Ferroalloys</v>
          </cell>
          <cell r="K246" t="str">
            <v>Ferrochrome smelting reduction</v>
          </cell>
        </row>
        <row r="247">
          <cell r="A247" t="str">
            <v>[TIMES] Ferroalloys</v>
          </cell>
          <cell r="B247" t="str">
            <v>coke</v>
          </cell>
          <cell r="C247" t="str">
            <v>from technosphere (energy_carrier)</v>
          </cell>
          <cell r="D247"/>
          <cell r="E247" t="str">
            <v>Energy</v>
          </cell>
          <cell r="F247">
            <v>15.4</v>
          </cell>
          <cell r="G247" t="str">
            <v>GJ</v>
          </cell>
          <cell r="H247" t="str">
            <v>t</v>
          </cell>
          <cell r="J247" t="str">
            <v>[TIMES] Ferroalloys</v>
          </cell>
          <cell r="K247" t="str">
            <v>Ferrochrome smelting reduction</v>
          </cell>
        </row>
        <row r="248">
          <cell r="A248" t="str">
            <v>[TIMES] Ferroalloys</v>
          </cell>
          <cell r="B248" t="str">
            <v>blast furnace gas</v>
          </cell>
          <cell r="C248" t="str">
            <v>from technosphere (energy_carrier)</v>
          </cell>
          <cell r="D248"/>
          <cell r="E248" t="str">
            <v>Energy</v>
          </cell>
          <cell r="F248">
            <v>0.6</v>
          </cell>
          <cell r="G248" t="str">
            <v>GJ</v>
          </cell>
          <cell r="H248" t="str">
            <v>t</v>
          </cell>
          <cell r="J248" t="str">
            <v>[TIMES] Ferroalloys</v>
          </cell>
          <cell r="K248" t="str">
            <v>Ferrochrome smelting reduction</v>
          </cell>
        </row>
        <row r="249">
          <cell r="A249" t="str">
            <v>[TIMES] Ferroalloys</v>
          </cell>
          <cell r="B249" t="str">
            <v>electricity</v>
          </cell>
          <cell r="C249" t="str">
            <v>from technosphere (energy_carrier)</v>
          </cell>
          <cell r="D249"/>
          <cell r="E249" t="str">
            <v>Energy</v>
          </cell>
          <cell r="F249">
            <v>11.3</v>
          </cell>
          <cell r="G249" t="str">
            <v>GJ</v>
          </cell>
          <cell r="H249" t="str">
            <v>t</v>
          </cell>
          <cell r="J249" t="str">
            <v>[TIMES] Ferroalloys</v>
          </cell>
          <cell r="K249" t="str">
            <v>Ferrochrome smelting reduction</v>
          </cell>
        </row>
        <row r="250">
          <cell r="A250" t="str">
            <v>[TIMES] Ferroalloys</v>
          </cell>
          <cell r="B250" t="str">
            <v>industrial heat, high-temperature</v>
          </cell>
          <cell r="C250" t="str">
            <v>from technosphere (energy_carrier)</v>
          </cell>
          <cell r="D250"/>
          <cell r="E250" t="str">
            <v>Energy</v>
          </cell>
          <cell r="F250">
            <v>0.9</v>
          </cell>
          <cell r="G250" t="str">
            <v>GJ</v>
          </cell>
          <cell r="H250" t="str">
            <v>t</v>
          </cell>
          <cell r="J250" t="str">
            <v>[TIMES] Ferroalloys</v>
          </cell>
          <cell r="K250" t="str">
            <v>Ferrochrome smelting reduction</v>
          </cell>
        </row>
        <row r="251">
          <cell r="A251" t="str">
            <v>[TIMES] Ferroalloys</v>
          </cell>
          <cell r="B251" t="str">
            <v>carbon dioxide</v>
          </cell>
          <cell r="C251" t="str">
            <v>to environment (emission, combustion)</v>
          </cell>
          <cell r="D251"/>
          <cell r="E251" t="str">
            <v>Mass</v>
          </cell>
          <cell r="G251" t="str">
            <v>t</v>
          </cell>
          <cell r="H251" t="str">
            <v>t</v>
          </cell>
          <cell r="J251"/>
        </row>
        <row r="252">
          <cell r="A252" t="str">
            <v/>
          </cell>
          <cell r="D252"/>
        </row>
        <row r="253">
          <cell r="A253" t="str">
            <v>[TIMES] Steel finishing</v>
          </cell>
          <cell r="B253" t="str">
            <v>steel, finished</v>
          </cell>
          <cell r="C253" t="str">
            <v>reference_product</v>
          </cell>
          <cell r="D253"/>
          <cell r="E253" t="str">
            <v>Mass</v>
          </cell>
          <cell r="F253">
            <v>1</v>
          </cell>
          <cell r="G253" t="str">
            <v>t</v>
          </cell>
          <cell r="H253">
            <v>1</v>
          </cell>
          <cell r="J253" t="str">
            <v>[TIMES] Steel finishing</v>
          </cell>
        </row>
        <row r="254">
          <cell r="A254" t="str">
            <v>[TIMES] Steel finishing</v>
          </cell>
          <cell r="B254" t="str">
            <v>steel, primary</v>
          </cell>
          <cell r="C254" t="str">
            <v>from technosphere (product)</v>
          </cell>
          <cell r="D254"/>
          <cell r="E254" t="str">
            <v>Mass</v>
          </cell>
          <cell r="F254">
            <v>1</v>
          </cell>
          <cell r="G254" t="str">
            <v>t</v>
          </cell>
          <cell r="H254" t="str">
            <v>t</v>
          </cell>
          <cell r="J254" t="str">
            <v>[TIMES] Steel finishing</v>
          </cell>
        </row>
        <row r="255">
          <cell r="A255" t="str">
            <v>[TIMES] Steel finishing</v>
          </cell>
          <cell r="B255" t="str">
            <v>natural gas</v>
          </cell>
          <cell r="C255" t="str">
            <v>from technosphere (energy_carrier)</v>
          </cell>
          <cell r="D255"/>
          <cell r="E255" t="str">
            <v>Energy</v>
          </cell>
          <cell r="F255">
            <v>1.7</v>
          </cell>
          <cell r="G255" t="str">
            <v>GJ</v>
          </cell>
          <cell r="H255" t="str">
            <v>t</v>
          </cell>
          <cell r="J255" t="str">
            <v>[TIMES] Steel finishing</v>
          </cell>
        </row>
        <row r="256">
          <cell r="A256" t="str">
            <v>[TIMES] Steel finishing</v>
          </cell>
          <cell r="B256" t="str">
            <v>hard coal</v>
          </cell>
          <cell r="C256" t="str">
            <v>from technosphere (energy_carrier)</v>
          </cell>
          <cell r="D256"/>
          <cell r="E256" t="str">
            <v>Energy</v>
          </cell>
          <cell r="F256"/>
          <cell r="G256" t="str">
            <v>GJ</v>
          </cell>
          <cell r="H256" t="str">
            <v>t</v>
          </cell>
          <cell r="J256" t="str">
            <v>[TIMES] Steel finishing</v>
          </cell>
        </row>
        <row r="257">
          <cell r="A257" t="str">
            <v>[TIMES] Steel finishing</v>
          </cell>
          <cell r="B257" t="str">
            <v>coke</v>
          </cell>
          <cell r="C257" t="str">
            <v>from technosphere (energy_carrier)</v>
          </cell>
          <cell r="D257"/>
          <cell r="E257" t="str">
            <v>Energy</v>
          </cell>
          <cell r="F257"/>
          <cell r="G257" t="str">
            <v>GJ</v>
          </cell>
          <cell r="H257" t="str">
            <v>t</v>
          </cell>
          <cell r="J257" t="str">
            <v>[TIMES] Steel finishing</v>
          </cell>
        </row>
        <row r="258">
          <cell r="A258" t="str">
            <v>[TIMES] Steel finishing</v>
          </cell>
          <cell r="B258" t="str">
            <v>liquified petroleum gas</v>
          </cell>
          <cell r="C258" t="str">
            <v>from technosphere (energy_carrier)</v>
          </cell>
          <cell r="D258"/>
          <cell r="E258" t="str">
            <v>Energy</v>
          </cell>
          <cell r="F258"/>
          <cell r="G258" t="str">
            <v>GJ</v>
          </cell>
          <cell r="H258" t="str">
            <v>t</v>
          </cell>
          <cell r="J258" t="str">
            <v>[TIMES] Steel finishing</v>
          </cell>
        </row>
        <row r="259">
          <cell r="A259" t="str">
            <v>[TIMES] Steel finishing</v>
          </cell>
          <cell r="B259" t="str">
            <v>light fuel oil</v>
          </cell>
          <cell r="C259" t="str">
            <v>from technosphere (energy_carrier)</v>
          </cell>
          <cell r="D259"/>
          <cell r="E259" t="str">
            <v>Energy</v>
          </cell>
          <cell r="F259"/>
          <cell r="G259" t="str">
            <v>GJ</v>
          </cell>
          <cell r="H259" t="str">
            <v>t</v>
          </cell>
          <cell r="J259" t="str">
            <v>[TIMES] Steel finishing</v>
          </cell>
        </row>
        <row r="260">
          <cell r="A260" t="str">
            <v>[TIMES] Steel finishing</v>
          </cell>
          <cell r="B260" t="str">
            <v>heavy fuel oil</v>
          </cell>
          <cell r="C260" t="str">
            <v>from technosphere (energy_carrier)</v>
          </cell>
          <cell r="D260"/>
          <cell r="E260" t="str">
            <v>Energy</v>
          </cell>
          <cell r="F260"/>
          <cell r="G260" t="str">
            <v>GJ</v>
          </cell>
          <cell r="H260" t="str">
            <v>t</v>
          </cell>
          <cell r="J260" t="str">
            <v>[TIMES] Steel finishing</v>
          </cell>
        </row>
        <row r="261">
          <cell r="A261" t="str">
            <v>[TIMES] Steel finishing</v>
          </cell>
          <cell r="B261" t="str">
            <v>coke oven gas</v>
          </cell>
          <cell r="C261" t="str">
            <v>from technosphere (energy_carrier)</v>
          </cell>
          <cell r="D261"/>
          <cell r="E261" t="str">
            <v>Energy</v>
          </cell>
          <cell r="F261"/>
          <cell r="G261" t="str">
            <v>GJ</v>
          </cell>
          <cell r="H261" t="str">
            <v>t</v>
          </cell>
          <cell r="J261" t="str">
            <v>[TIMES] Steel finishing</v>
          </cell>
        </row>
        <row r="262">
          <cell r="A262" t="str">
            <v>[TIMES] Steel finishing</v>
          </cell>
          <cell r="B262" t="str">
            <v>blast furnace gas</v>
          </cell>
          <cell r="C262" t="str">
            <v>from technosphere (energy_carrier)</v>
          </cell>
          <cell r="D262"/>
          <cell r="E262" t="str">
            <v>Energy</v>
          </cell>
          <cell r="F262"/>
          <cell r="G262" t="str">
            <v>GJ</v>
          </cell>
          <cell r="H262" t="str">
            <v>t</v>
          </cell>
          <cell r="J262" t="str">
            <v>[TIMES] Steel finishing</v>
          </cell>
        </row>
        <row r="263">
          <cell r="A263" t="str">
            <v>[TIMES] Steel finishing</v>
          </cell>
          <cell r="B263" t="str">
            <v>electricity</v>
          </cell>
          <cell r="C263" t="str">
            <v>from technosphere (energy_carrier)</v>
          </cell>
          <cell r="D263"/>
          <cell r="E263" t="str">
            <v>Energy</v>
          </cell>
          <cell r="F263"/>
          <cell r="G263" t="str">
            <v>GJ</v>
          </cell>
          <cell r="H263" t="str">
            <v>t</v>
          </cell>
          <cell r="J263" t="str">
            <v>[TIMES] Steel finishing</v>
          </cell>
        </row>
        <row r="264">
          <cell r="A264" t="str">
            <v>[TIMES] Steel finishing</v>
          </cell>
          <cell r="B264" t="str">
            <v>industrial heat, high-temperature</v>
          </cell>
          <cell r="C264" t="str">
            <v>from technosphere (energy_carrier)</v>
          </cell>
          <cell r="D264"/>
          <cell r="E264" t="str">
            <v>Energy</v>
          </cell>
          <cell r="F264"/>
          <cell r="G264" t="str">
            <v>GJ</v>
          </cell>
          <cell r="H264" t="str">
            <v>t</v>
          </cell>
          <cell r="J264" t="str">
            <v>[TIMES] Steel finishing</v>
          </cell>
        </row>
        <row r="265">
          <cell r="A265" t="str">
            <v>[TIMES] Steel finishing</v>
          </cell>
          <cell r="B265" t="str">
            <v>carbon dioxide</v>
          </cell>
          <cell r="C265" t="str">
            <v>to environment (emission, combustion)</v>
          </cell>
          <cell r="D265"/>
          <cell r="E265" t="str">
            <v>Mass</v>
          </cell>
          <cell r="G265" t="str">
            <v>t</v>
          </cell>
          <cell r="H265" t="str">
            <v>t</v>
          </cell>
          <cell r="J265"/>
        </row>
        <row r="266">
          <cell r="A266" t="str">
            <v/>
          </cell>
          <cell r="D266"/>
        </row>
        <row r="267">
          <cell r="A267" t="str">
            <v>[Open-IDTD] Blast Furnace + Basic oxygen Furnace</v>
          </cell>
          <cell r="B267" t="str">
            <v>steel, primary</v>
          </cell>
          <cell r="C267" t="str">
            <v>reference_product</v>
          </cell>
          <cell r="D267">
            <v>7206</v>
          </cell>
          <cell r="E267" t="str">
            <v>Mass</v>
          </cell>
          <cell r="F267">
            <v>1</v>
          </cell>
          <cell r="G267" t="str">
            <v>t</v>
          </cell>
          <cell r="H267">
            <v>1</v>
          </cell>
          <cell r="I267" t="str">
            <v>none</v>
          </cell>
          <cell r="J267" t="str">
            <v>[Open-IDTD] BF/BOF</v>
          </cell>
        </row>
        <row r="268">
          <cell r="A268" t="str">
            <v>[Open-IDTD] Blast Furnace + Basic oxygen Furnace</v>
          </cell>
          <cell r="B268" t="str">
            <v xml:space="preserve">BF/BOF gas </v>
          </cell>
          <cell r="C268" t="str">
            <v>from technosphere (energy_carrier)</v>
          </cell>
          <cell r="E268" t="str">
            <v>Energy</v>
          </cell>
          <cell r="F268">
            <v>3.06</v>
          </cell>
          <cell r="G268" t="str">
            <v>GJ</v>
          </cell>
          <cell r="H268" t="str">
            <v>t</v>
          </cell>
          <cell r="I268" t="str">
            <v>none</v>
          </cell>
          <cell r="J268" t="str">
            <v>[Open-IDTD] BF/BOF</v>
          </cell>
        </row>
        <row r="269">
          <cell r="A269" t="str">
            <v>[Open-IDTD] Blast Furnace + Basic oxygen Furnace</v>
          </cell>
          <cell r="B269" t="str">
            <v xml:space="preserve">BF reductant </v>
          </cell>
          <cell r="C269" t="str">
            <v>from technosphere (energy_carrier)</v>
          </cell>
          <cell r="E269" t="str">
            <v>Energy</v>
          </cell>
          <cell r="F269">
            <v>13.3</v>
          </cell>
          <cell r="G269" t="str">
            <v>GJ</v>
          </cell>
          <cell r="H269" t="str">
            <v>t</v>
          </cell>
          <cell r="I269" t="str">
            <v>none</v>
          </cell>
          <cell r="J269" t="str">
            <v>[Open-IDTD] BF/BOF</v>
          </cell>
        </row>
        <row r="270">
          <cell r="A270" t="str">
            <v>[Open-IDTD] Blast Furnace + Basic oxygen Furnace</v>
          </cell>
          <cell r="B270" t="str">
            <v>coke oven gas</v>
          </cell>
          <cell r="C270" t="str">
            <v>from technosphere (energy_carrier)</v>
          </cell>
          <cell r="E270" t="str">
            <v>Energy</v>
          </cell>
          <cell r="F270">
            <v>0.89</v>
          </cell>
          <cell r="G270" t="str">
            <v>GJ</v>
          </cell>
          <cell r="H270" t="str">
            <v>t</v>
          </cell>
          <cell r="I270" t="str">
            <v>none</v>
          </cell>
          <cell r="J270" t="str">
            <v>[Open-IDTD] BF/BOF</v>
          </cell>
        </row>
        <row r="271">
          <cell r="A271" t="str">
            <v>[Open-IDTD] Blast Furnace + Basic oxygen Furnace</v>
          </cell>
          <cell r="B271" t="str">
            <v xml:space="preserve">machine drive </v>
          </cell>
          <cell r="C271" t="str">
            <v>from technosphere (energy_carrier)</v>
          </cell>
          <cell r="E271" t="str">
            <v>Energy</v>
          </cell>
          <cell r="F271">
            <v>0.6</v>
          </cell>
          <cell r="G271" t="str">
            <v>GJ</v>
          </cell>
          <cell r="H271" t="str">
            <v>t</v>
          </cell>
          <cell r="I271" t="str">
            <v>none</v>
          </cell>
          <cell r="J271" t="str">
            <v>[Open-IDTD] BF/BOF</v>
          </cell>
        </row>
        <row r="272">
          <cell r="A272" t="str">
            <v>[Open-IDTD] Blast Furnace + Basic oxygen Furnace</v>
          </cell>
          <cell r="B272" t="str">
            <v>natural gas</v>
          </cell>
          <cell r="C272" t="str">
            <v>from technosphere (energy_carrier)</v>
          </cell>
          <cell r="E272" t="str">
            <v>Energy</v>
          </cell>
          <cell r="F272">
            <v>0.69</v>
          </cell>
          <cell r="G272" t="str">
            <v>GJ</v>
          </cell>
          <cell r="H272" t="str">
            <v>t</v>
          </cell>
          <cell r="I272" t="str">
            <v>none</v>
          </cell>
          <cell r="J272" t="str">
            <v>[Open-IDTD] BF/BOF</v>
          </cell>
        </row>
        <row r="273">
          <cell r="A273" t="str">
            <v>[Open-IDTD] Blast Furnace + Basic oxygen Furnace</v>
          </cell>
          <cell r="B273" t="str">
            <v>steam</v>
          </cell>
          <cell r="C273" t="str">
            <v>from technosphere (energy_carrier)</v>
          </cell>
          <cell r="E273" t="str">
            <v>Energy</v>
          </cell>
          <cell r="F273">
            <v>0.17</v>
          </cell>
          <cell r="G273" t="str">
            <v>GJ</v>
          </cell>
          <cell r="H273" t="str">
            <v>t</v>
          </cell>
          <cell r="I273" t="str">
            <v>none</v>
          </cell>
          <cell r="J273" t="str">
            <v>[Open-IDTD] BF/BOF</v>
          </cell>
        </row>
        <row r="274">
          <cell r="A274" t="str">
            <v>[Open-IDTD] Blast Furnace + Basic oxygen Furnace</v>
          </cell>
          <cell r="B274" t="str">
            <v>carbon dioxide</v>
          </cell>
          <cell r="C274" t="str">
            <v>to environment (emission, combustion)</v>
          </cell>
          <cell r="E274" t="str">
            <v>Mass</v>
          </cell>
          <cell r="F274">
            <v>1472.842736869093</v>
          </cell>
          <cell r="G274" t="str">
            <v>kg</v>
          </cell>
          <cell r="H274" t="str">
            <v>t</v>
          </cell>
          <cell r="I274" t="str">
            <v>none</v>
          </cell>
          <cell r="J274" t="str">
            <v>[Open-IDTD] BF/BOF</v>
          </cell>
        </row>
        <row r="275">
          <cell r="A275" t="str">
            <v/>
          </cell>
        </row>
        <row r="276">
          <cell r="A276" t="str">
            <v/>
          </cell>
        </row>
        <row r="277">
          <cell r="A277" t="str">
            <v>[Open-IDTD] Direct Reduced Iron + Electric Arc Furnace</v>
          </cell>
          <cell r="B277" t="str">
            <v>steel, primary</v>
          </cell>
          <cell r="C277" t="str">
            <v>reference_product</v>
          </cell>
          <cell r="D277">
            <v>7203</v>
          </cell>
          <cell r="E277" t="str">
            <v>Mass</v>
          </cell>
          <cell r="F277">
            <v>1</v>
          </cell>
          <cell r="G277" t="str">
            <v>t</v>
          </cell>
          <cell r="H277">
            <v>1</v>
          </cell>
          <cell r="I277" t="str">
            <v>none</v>
          </cell>
          <cell r="J277" t="str">
            <v>[Open-IDTD] DRI/EAF</v>
          </cell>
        </row>
        <row r="278">
          <cell r="A278" t="str">
            <v>[Open-IDTD] Direct Reduced Iron + Electric Arc Furnace</v>
          </cell>
          <cell r="B278" t="str">
            <v>electricity</v>
          </cell>
          <cell r="C278" t="str">
            <v>from technosphere (energy_carrier)</v>
          </cell>
          <cell r="E278" t="str">
            <v>Energy</v>
          </cell>
          <cell r="F278">
            <v>1.21</v>
          </cell>
          <cell r="G278" t="str">
            <v>GJ</v>
          </cell>
          <cell r="H278" t="str">
            <v>t</v>
          </cell>
          <cell r="I278" t="str">
            <v>none</v>
          </cell>
          <cell r="J278" t="str">
            <v>[Open-IDTD] DRI/EAF</v>
          </cell>
        </row>
        <row r="279">
          <cell r="A279" t="str">
            <v>[Open-IDTD] Direct Reduced Iron + Electric Arc Furnace</v>
          </cell>
          <cell r="B279" t="str">
            <v>natural gas</v>
          </cell>
          <cell r="C279" t="str">
            <v>from technosphere (energy_carrier)</v>
          </cell>
          <cell r="E279" t="str">
            <v>Energy</v>
          </cell>
          <cell r="F279">
            <v>21.19</v>
          </cell>
          <cell r="G279" t="str">
            <v>GJ</v>
          </cell>
          <cell r="H279" t="str">
            <v>t</v>
          </cell>
          <cell r="I279" t="str">
            <v>none</v>
          </cell>
          <cell r="J279" t="str">
            <v>[Open-IDTD] DRI/EAF</v>
          </cell>
        </row>
        <row r="280">
          <cell r="A280" t="str">
            <v>[Open-IDTD] Direct Reduced Iron + Electric Arc Furnace</v>
          </cell>
          <cell r="B280" t="str">
            <v>steam</v>
          </cell>
          <cell r="C280" t="str">
            <v>to technosphere (by-product)</v>
          </cell>
          <cell r="E280" t="str">
            <v>Energy</v>
          </cell>
          <cell r="F280">
            <v>0.2</v>
          </cell>
          <cell r="G280" t="str">
            <v>GJ</v>
          </cell>
          <cell r="H280" t="str">
            <v>t</v>
          </cell>
          <cell r="I280" t="str">
            <v>none</v>
          </cell>
          <cell r="J280" t="str">
            <v>[Open-IDTD] DRI/EAF</v>
          </cell>
        </row>
        <row r="281">
          <cell r="A281" t="str">
            <v>[Open-IDTD] Direct Reduced Iron + Electric Arc Furnace</v>
          </cell>
          <cell r="B281" t="str">
            <v>carbon dioxide</v>
          </cell>
          <cell r="C281" t="str">
            <v>to environment (emission, combustion)</v>
          </cell>
          <cell r="E281" t="str">
            <v>Mass</v>
          </cell>
          <cell r="F281">
            <v>1188.1367163131481</v>
          </cell>
          <cell r="G281" t="str">
            <v>kg</v>
          </cell>
          <cell r="H281" t="str">
            <v>t</v>
          </cell>
          <cell r="I281" t="str">
            <v>none</v>
          </cell>
          <cell r="J281" t="str">
            <v>[Open-IDTD] DRI/EAF</v>
          </cell>
        </row>
        <row r="282">
          <cell r="A282" t="str">
            <v/>
          </cell>
        </row>
        <row r="283">
          <cell r="A283" t="str">
            <v>[Open-IDTD] Standard Electric Arc Furnace - Scrap</v>
          </cell>
          <cell r="B283" t="str">
            <v>steel, recycled</v>
          </cell>
          <cell r="C283" t="str">
            <v>reference_product</v>
          </cell>
          <cell r="D283">
            <v>7204</v>
          </cell>
          <cell r="E283" t="str">
            <v>Mass</v>
          </cell>
          <cell r="F283">
            <v>1</v>
          </cell>
          <cell r="G283" t="str">
            <v>t</v>
          </cell>
          <cell r="H283">
            <v>1</v>
          </cell>
          <cell r="I283" t="str">
            <v>none</v>
          </cell>
          <cell r="J283" t="str">
            <v>[Open-IDTD] Scrap</v>
          </cell>
        </row>
        <row r="284">
          <cell r="A284" t="str">
            <v>[Open-IDTD] Standard Electric Arc Furnace - Scrap</v>
          </cell>
          <cell r="B284" t="str">
            <v>electricity</v>
          </cell>
          <cell r="C284" t="str">
            <v>from technosphere (energy_carrier)</v>
          </cell>
          <cell r="E284" t="str">
            <v>Energy</v>
          </cell>
          <cell r="F284">
            <v>2.8</v>
          </cell>
          <cell r="G284" t="str">
            <v>GJ</v>
          </cell>
          <cell r="H284" t="str">
            <v>t</v>
          </cell>
          <cell r="I284" t="str">
            <v>none</v>
          </cell>
          <cell r="J284" t="str">
            <v>[Open-IDTD] Scrap</v>
          </cell>
        </row>
        <row r="285">
          <cell r="A285" t="str">
            <v>[Open-IDTD] Standard Electric Arc Furnace - Scrap</v>
          </cell>
          <cell r="B285" t="str">
            <v>natural gas</v>
          </cell>
          <cell r="C285" t="str">
            <v>from technosphere (energy_carrier)</v>
          </cell>
          <cell r="E285" t="str">
            <v>Energy</v>
          </cell>
          <cell r="F285">
            <v>3.43</v>
          </cell>
          <cell r="G285" t="str">
            <v>GJ</v>
          </cell>
          <cell r="H285" t="str">
            <v>t</v>
          </cell>
          <cell r="I285" t="str">
            <v>none</v>
          </cell>
          <cell r="J285" t="str">
            <v>[Open-IDTD] Scrap</v>
          </cell>
        </row>
        <row r="286">
          <cell r="A286" t="str">
            <v>[Open-IDTD] Standard Electric Arc Furnace - Scrap</v>
          </cell>
          <cell r="B286" t="str">
            <v>oxygen</v>
          </cell>
          <cell r="C286" t="str">
            <v>from technosphere (energy_carrier)</v>
          </cell>
          <cell r="E286" t="str">
            <v>Energy</v>
          </cell>
          <cell r="F286">
            <v>0.47</v>
          </cell>
          <cell r="G286" t="str">
            <v>GJ</v>
          </cell>
          <cell r="H286" t="str">
            <v>t</v>
          </cell>
          <cell r="I286" t="str">
            <v>none</v>
          </cell>
          <cell r="J286" t="str">
            <v>[Open-IDTD] Scrap</v>
          </cell>
        </row>
        <row r="287">
          <cell r="A287" t="str">
            <v/>
          </cell>
        </row>
        <row r="288">
          <cell r="A288" t="str">
            <v>[Open-IDTD] Smelting reduction + Basic oxygen Furnace</v>
          </cell>
          <cell r="B288" t="str">
            <v>steel, primary</v>
          </cell>
          <cell r="C288" t="str">
            <v>reference_product</v>
          </cell>
          <cell r="D288">
            <v>7206</v>
          </cell>
          <cell r="E288" t="str">
            <v>Mass</v>
          </cell>
          <cell r="F288">
            <v>1</v>
          </cell>
          <cell r="G288" t="str">
            <v>t</v>
          </cell>
          <cell r="H288">
            <v>1</v>
          </cell>
          <cell r="I288" t="str">
            <v>none</v>
          </cell>
          <cell r="J288" t="str">
            <v>[Open-IDTD] SR</v>
          </cell>
        </row>
        <row r="289">
          <cell r="A289" t="str">
            <v>[Open-IDTD] Smelting reduction + Basic oxygen Furnace</v>
          </cell>
          <cell r="B289" t="str">
            <v>coal</v>
          </cell>
          <cell r="C289" t="str">
            <v>from technosphere (energy_carrier)</v>
          </cell>
          <cell r="E289" t="str">
            <v>Energy</v>
          </cell>
          <cell r="F289">
            <v>15.9</v>
          </cell>
          <cell r="G289" t="str">
            <v>GJ</v>
          </cell>
          <cell r="H289" t="str">
            <v>t</v>
          </cell>
          <cell r="I289" t="str">
            <v>none</v>
          </cell>
          <cell r="J289" t="str">
            <v>[Open-IDTD] SR</v>
          </cell>
        </row>
        <row r="290">
          <cell r="A290" t="str">
            <v>[Open-IDTD] Smelting reduction + Basic oxygen Furnace</v>
          </cell>
          <cell r="B290" t="str">
            <v>coke oven gas</v>
          </cell>
          <cell r="C290" t="str">
            <v>from technosphere (energy_carrier)</v>
          </cell>
          <cell r="E290" t="str">
            <v>Energy</v>
          </cell>
          <cell r="F290">
            <v>0.4</v>
          </cell>
          <cell r="G290" t="str">
            <v>GJ</v>
          </cell>
          <cell r="H290" t="str">
            <v>t</v>
          </cell>
          <cell r="I290" t="str">
            <v>none</v>
          </cell>
          <cell r="J290" t="str">
            <v>[Open-IDTD] SR</v>
          </cell>
        </row>
        <row r="291">
          <cell r="A291" t="str">
            <v>[Open-IDTD] Smelting reduction + Basic oxygen Furnace</v>
          </cell>
          <cell r="B291" t="str">
            <v>electricity</v>
          </cell>
          <cell r="C291" t="str">
            <v>from technosphere (energy_carrier)</v>
          </cell>
          <cell r="E291" t="str">
            <v>Energy</v>
          </cell>
          <cell r="F291">
            <v>0.43</v>
          </cell>
          <cell r="G291" t="str">
            <v>GJ</v>
          </cell>
          <cell r="H291" t="str">
            <v>t</v>
          </cell>
          <cell r="I291" t="str">
            <v>none</v>
          </cell>
          <cell r="J291" t="str">
            <v>[Open-IDTD] SR</v>
          </cell>
        </row>
        <row r="292">
          <cell r="A292" t="str">
            <v>[Open-IDTD] Smelting reduction + Basic oxygen Furnace</v>
          </cell>
          <cell r="B292" t="str">
            <v>natural gas</v>
          </cell>
          <cell r="C292" t="str">
            <v>from technosphere (energy_carrier)</v>
          </cell>
          <cell r="E292" t="str">
            <v>Energy</v>
          </cell>
          <cell r="F292">
            <v>0.39</v>
          </cell>
          <cell r="G292" t="str">
            <v>GJ</v>
          </cell>
          <cell r="H292" t="str">
            <v>t</v>
          </cell>
          <cell r="I292" t="str">
            <v>none</v>
          </cell>
          <cell r="J292" t="str">
            <v>[Open-IDTD] SR</v>
          </cell>
        </row>
        <row r="293">
          <cell r="A293" t="str">
            <v>[Open-IDTD] Smelting reduction + Basic oxygen Furnace</v>
          </cell>
          <cell r="B293" t="str">
            <v>oxygen</v>
          </cell>
          <cell r="C293" t="str">
            <v>from technosphere (energy_carrier)</v>
          </cell>
          <cell r="E293" t="str">
            <v>Energy</v>
          </cell>
          <cell r="F293">
            <v>1.2</v>
          </cell>
          <cell r="G293" t="str">
            <v>GJ</v>
          </cell>
          <cell r="H293" t="str">
            <v>t</v>
          </cell>
          <cell r="I293" t="str">
            <v>none</v>
          </cell>
          <cell r="J293" t="str">
            <v>[Open-IDTD] SR</v>
          </cell>
        </row>
        <row r="294">
          <cell r="A294" t="str">
            <v>[Open-IDTD] Smelting reduction + Basic oxygen Furnace</v>
          </cell>
          <cell r="B294" t="str">
            <v>steam</v>
          </cell>
          <cell r="C294" t="str">
            <v>from technosphere (energy_carrier)</v>
          </cell>
          <cell r="E294" t="str">
            <v>Energy</v>
          </cell>
          <cell r="F294">
            <v>0.08</v>
          </cell>
          <cell r="G294" t="str">
            <v>GJ</v>
          </cell>
          <cell r="H294" t="str">
            <v>t</v>
          </cell>
          <cell r="I294" t="str">
            <v>none</v>
          </cell>
          <cell r="J294" t="str">
            <v>[Open-IDTD] SR</v>
          </cell>
        </row>
        <row r="295">
          <cell r="A295" t="str">
            <v>[Open-IDTD] Smelting reduction + Basic oxygen Furnace</v>
          </cell>
          <cell r="B295" t="str">
            <v>recovered off-gas</v>
          </cell>
          <cell r="C295" t="str">
            <v>to technosphere (by-product)</v>
          </cell>
          <cell r="E295" t="str">
            <v>Energy</v>
          </cell>
          <cell r="F295">
            <v>0.4</v>
          </cell>
          <cell r="G295" t="str">
            <v>GJ</v>
          </cell>
          <cell r="H295" t="str">
            <v>t</v>
          </cell>
          <cell r="I295" t="str">
            <v>none</v>
          </cell>
          <cell r="J295" t="str">
            <v>[Open-IDTD] SR</v>
          </cell>
        </row>
        <row r="296">
          <cell r="A296" t="str">
            <v>[Open-IDTD] Smelting reduction + Basic oxygen Furnace</v>
          </cell>
          <cell r="B296" t="str">
            <v>carbon dioxide</v>
          </cell>
          <cell r="C296" t="str">
            <v>to environment (emission, combustion)</v>
          </cell>
          <cell r="E296" t="str">
            <v>Mass</v>
          </cell>
          <cell r="F296">
            <v>1566.2773943380259</v>
          </cell>
          <cell r="G296" t="str">
            <v>kg</v>
          </cell>
          <cell r="H296" t="str">
            <v>t</v>
          </cell>
          <cell r="I296" t="str">
            <v>none</v>
          </cell>
          <cell r="J296" t="str">
            <v>[Open-IDTD] SR</v>
          </cell>
        </row>
        <row r="297">
          <cell r="A297" t="str">
            <v/>
          </cell>
        </row>
        <row r="298">
          <cell r="A298" t="str">
            <v>[Open-IDTD] Blast Furnace + Basic oxygen Furnace w/ CO2 capture</v>
          </cell>
          <cell r="B298" t="str">
            <v>steel, primary</v>
          </cell>
          <cell r="C298" t="str">
            <v>reference_product</v>
          </cell>
          <cell r="D298">
            <v>7206</v>
          </cell>
          <cell r="E298" t="str">
            <v>Mass</v>
          </cell>
          <cell r="F298">
            <v>1</v>
          </cell>
          <cell r="G298" t="str">
            <v>t</v>
          </cell>
          <cell r="H298">
            <v>1</v>
          </cell>
          <cell r="I298" t="str">
            <v>none</v>
          </cell>
          <cell r="J298" t="str">
            <v>[Open-IDTD] BF/BOF w/ CCS</v>
          </cell>
        </row>
        <row r="299">
          <cell r="A299" t="str">
            <v>[Open-IDTD] Blast Furnace + Basic oxygen Furnace w/ CO2 capture</v>
          </cell>
          <cell r="B299" t="str">
            <v xml:space="preserve">BF/BOF gas </v>
          </cell>
          <cell r="C299" t="str">
            <v>from technosphere (energy_carrier)</v>
          </cell>
          <cell r="E299" t="str">
            <v>Energy</v>
          </cell>
          <cell r="F299">
            <v>3.06</v>
          </cell>
          <cell r="G299" t="str">
            <v>GJ</v>
          </cell>
          <cell r="H299" t="str">
            <v>t</v>
          </cell>
          <cell r="I299" t="str">
            <v>none</v>
          </cell>
          <cell r="J299" t="str">
            <v>[Open-IDTD] BF/BOF w/ CCS</v>
          </cell>
        </row>
        <row r="300">
          <cell r="A300" t="str">
            <v>[Open-IDTD] Blast Furnace + Basic oxygen Furnace w/ CO2 capture</v>
          </cell>
          <cell r="B300" t="str">
            <v xml:space="preserve">BF reductant </v>
          </cell>
          <cell r="C300" t="str">
            <v>from technosphere (energy_carrier)</v>
          </cell>
          <cell r="E300" t="str">
            <v>Energy</v>
          </cell>
          <cell r="F300">
            <v>13.3</v>
          </cell>
          <cell r="G300" t="str">
            <v>GJ</v>
          </cell>
          <cell r="H300" t="str">
            <v>t</v>
          </cell>
          <cell r="I300" t="str">
            <v>none</v>
          </cell>
          <cell r="J300" t="str">
            <v>[Open-IDTD] BF/BOF w/ CCS</v>
          </cell>
        </row>
        <row r="301">
          <cell r="A301" t="str">
            <v>[Open-IDTD] Blast Furnace + Basic oxygen Furnace w/ CO2 capture</v>
          </cell>
          <cell r="B301" t="str">
            <v>coke oven gas</v>
          </cell>
          <cell r="C301" t="str">
            <v>from technosphere (energy_carrier)</v>
          </cell>
          <cell r="E301" t="str">
            <v>Energy</v>
          </cell>
          <cell r="F301">
            <v>0.89</v>
          </cell>
          <cell r="G301" t="str">
            <v>GJ</v>
          </cell>
          <cell r="H301" t="str">
            <v>t</v>
          </cell>
          <cell r="I301" t="str">
            <v>none</v>
          </cell>
          <cell r="J301" t="str">
            <v>[Open-IDTD] BF/BOF w/ CCS</v>
          </cell>
        </row>
        <row r="302">
          <cell r="A302" t="str">
            <v>[Open-IDTD] Blast Furnace + Basic oxygen Furnace w/ CO2 capture</v>
          </cell>
          <cell r="B302" t="str">
            <v xml:space="preserve">machine drive </v>
          </cell>
          <cell r="C302" t="str">
            <v>from technosphere (energy_carrier)</v>
          </cell>
          <cell r="E302" t="str">
            <v>Energy</v>
          </cell>
          <cell r="F302">
            <v>0.94</v>
          </cell>
          <cell r="G302" t="str">
            <v>GJ</v>
          </cell>
          <cell r="H302" t="str">
            <v>t</v>
          </cell>
          <cell r="I302" t="str">
            <v>none</v>
          </cell>
          <cell r="J302" t="str">
            <v>[Open-IDTD] BF/BOF w/ CCS</v>
          </cell>
        </row>
        <row r="303">
          <cell r="A303" t="str">
            <v>[Open-IDTD] Blast Furnace + Basic oxygen Furnace w/ CO2 capture</v>
          </cell>
          <cell r="B303" t="str">
            <v>natural gas</v>
          </cell>
          <cell r="C303" t="str">
            <v>from technosphere (energy_carrier)</v>
          </cell>
          <cell r="E303" t="str">
            <v>Energy</v>
          </cell>
          <cell r="F303">
            <v>0.69</v>
          </cell>
          <cell r="G303" t="str">
            <v>GJ</v>
          </cell>
          <cell r="H303" t="str">
            <v>t</v>
          </cell>
          <cell r="I303" t="str">
            <v>none</v>
          </cell>
          <cell r="J303" t="str">
            <v>[Open-IDTD] BF/BOF w/ CCS</v>
          </cell>
        </row>
        <row r="304">
          <cell r="A304" t="str">
            <v>[Open-IDTD] Blast Furnace + Basic oxygen Furnace w/ CO2 capture</v>
          </cell>
          <cell r="B304" t="str">
            <v>steam</v>
          </cell>
          <cell r="C304" t="str">
            <v>from technosphere (energy_carrier)</v>
          </cell>
          <cell r="E304" t="str">
            <v>Energy</v>
          </cell>
          <cell r="F304">
            <v>0.17</v>
          </cell>
          <cell r="G304" t="str">
            <v>GJ</v>
          </cell>
          <cell r="H304" t="str">
            <v>t</v>
          </cell>
          <cell r="I304" t="str">
            <v>none</v>
          </cell>
          <cell r="J304" t="str">
            <v>[Open-IDTD] BF/BOF w/ CCS</v>
          </cell>
        </row>
        <row r="305">
          <cell r="A305" t="str">
            <v>[Open-IDTD] Blast Furnace + Basic oxygen Furnace w/ CO2 capture</v>
          </cell>
          <cell r="B305" t="str">
            <v>steam</v>
          </cell>
          <cell r="C305" t="str">
            <v>to technosphere (by-product)</v>
          </cell>
          <cell r="E305" t="str">
            <v>Energy</v>
          </cell>
          <cell r="F305">
            <v>3.1</v>
          </cell>
          <cell r="G305" t="str">
            <v>GJ</v>
          </cell>
          <cell r="H305" t="str">
            <v>t</v>
          </cell>
          <cell r="I305" t="str">
            <v>none</v>
          </cell>
          <cell r="J305" t="str">
            <v>[Open-IDTD] BF/BOF w/ CCS</v>
          </cell>
        </row>
        <row r="306">
          <cell r="A306" t="str">
            <v>[Open-IDTD] Blast Furnace + Basic oxygen Furnace w/ CO2 capture</v>
          </cell>
          <cell r="B306" t="str">
            <v>carbon dioxide</v>
          </cell>
          <cell r="C306" t="str">
            <v>to environment (emission, combustion)</v>
          </cell>
          <cell r="E306" t="str">
            <v>Mass</v>
          </cell>
          <cell r="F306">
            <v>1472.842736869093</v>
          </cell>
          <cell r="G306" t="str">
            <v>kg</v>
          </cell>
          <cell r="H306" t="str">
            <v>t</v>
          </cell>
          <cell r="I306" t="str">
            <v>none</v>
          </cell>
          <cell r="J306" t="str">
            <v>[Open-IDTD] BF/BOF w/ CCS</v>
          </cell>
        </row>
        <row r="307">
          <cell r="A307" t="str">
            <v>[Open-IDTD] Blast Furnace + Basic oxygen Furnace w/ CO2 capture</v>
          </cell>
          <cell r="B307" t="str">
            <v>carbon dioxide</v>
          </cell>
          <cell r="C307" t="str">
            <v>to technosphere (by-product)</v>
          </cell>
          <cell r="E307" t="str">
            <v>Mass</v>
          </cell>
          <cell r="F307">
            <v>1146.848729</v>
          </cell>
          <cell r="G307" t="str">
            <v>kg</v>
          </cell>
          <cell r="H307" t="str">
            <v>t</v>
          </cell>
          <cell r="I307" t="str">
            <v>none</v>
          </cell>
          <cell r="J307" t="str">
            <v>[Open-IDTD] BF/BOF w/ CCS</v>
          </cell>
        </row>
        <row r="308">
          <cell r="A308" t="str">
            <v/>
          </cell>
        </row>
        <row r="309">
          <cell r="A309" t="str">
            <v>[Open-IDTD] Top Gas Recycling Blast Furnace BAT + Basic oxygen Furnace w/ CO2 capture</v>
          </cell>
          <cell r="B309" t="str">
            <v>steel, primary</v>
          </cell>
          <cell r="C309" t="str">
            <v>reference_product</v>
          </cell>
          <cell r="D309">
            <v>7206</v>
          </cell>
          <cell r="E309" t="str">
            <v>Mass</v>
          </cell>
          <cell r="F309">
            <v>1</v>
          </cell>
          <cell r="G309" t="str">
            <v>t</v>
          </cell>
          <cell r="H309">
            <v>1</v>
          </cell>
          <cell r="I309" t="str">
            <v>none</v>
          </cell>
          <cell r="J309" t="str">
            <v>[Open-IDTD] BF-TGR w/ CCS</v>
          </cell>
        </row>
        <row r="310">
          <cell r="A310" t="str">
            <v>[Open-IDTD] Top Gas Recycling Blast Furnace BAT + Basic oxygen Furnace w/ CO2 capture</v>
          </cell>
          <cell r="B310" t="str">
            <v xml:space="preserve">BF/BOF gas </v>
          </cell>
          <cell r="C310" t="str">
            <v>from technosphere (energy_carrier)</v>
          </cell>
          <cell r="E310" t="str">
            <v>Energy</v>
          </cell>
          <cell r="F310">
            <v>3.0555555555555558</v>
          </cell>
          <cell r="G310" t="str">
            <v>GJ</v>
          </cell>
          <cell r="H310" t="str">
            <v>t</v>
          </cell>
          <cell r="I310" t="str">
            <v>none</v>
          </cell>
          <cell r="J310" t="str">
            <v>[Open-IDTD] BF-TGR w/ CCS</v>
          </cell>
        </row>
        <row r="311">
          <cell r="A311" t="str">
            <v>[Open-IDTD] Top Gas Recycling Blast Furnace BAT + Basic oxygen Furnace w/ CO2 capture</v>
          </cell>
          <cell r="B311" t="str">
            <v xml:space="preserve">BF reductant </v>
          </cell>
          <cell r="C311" t="str">
            <v>from technosphere (energy_carrier)</v>
          </cell>
          <cell r="E311" t="str">
            <v>Energy</v>
          </cell>
          <cell r="F311">
            <v>10.906000000000001</v>
          </cell>
          <cell r="G311" t="str">
            <v>GJ</v>
          </cell>
          <cell r="H311" t="str">
            <v>t</v>
          </cell>
          <cell r="I311" t="str">
            <v>none</v>
          </cell>
          <cell r="J311" t="str">
            <v>[Open-IDTD] BF-TGR w/ CCS</v>
          </cell>
        </row>
        <row r="312">
          <cell r="A312" t="str">
            <v>[Open-IDTD] Top Gas Recycling Blast Furnace BAT + Basic oxygen Furnace w/ CO2 capture</v>
          </cell>
          <cell r="B312" t="str">
            <v>coke oven gas</v>
          </cell>
          <cell r="C312" t="str">
            <v>from technosphere (energy_carrier)</v>
          </cell>
          <cell r="E312" t="str">
            <v>Energy</v>
          </cell>
          <cell r="F312">
            <v>0.89</v>
          </cell>
          <cell r="G312" t="str">
            <v>GJ</v>
          </cell>
          <cell r="H312" t="str">
            <v>t</v>
          </cell>
          <cell r="I312" t="str">
            <v>none</v>
          </cell>
          <cell r="J312" t="str">
            <v>[Open-IDTD] BF-TGR w/ CCS</v>
          </cell>
        </row>
        <row r="313">
          <cell r="A313" t="str">
            <v>[Open-IDTD] Top Gas Recycling Blast Furnace BAT + Basic oxygen Furnace w/ CO2 capture</v>
          </cell>
          <cell r="B313" t="str">
            <v xml:space="preserve">machine drive </v>
          </cell>
          <cell r="C313" t="str">
            <v>from technosphere (energy_carrier)</v>
          </cell>
          <cell r="E313" t="str">
            <v>Energy</v>
          </cell>
          <cell r="F313">
            <v>0.48511087324643198</v>
          </cell>
          <cell r="G313" t="str">
            <v>GJ</v>
          </cell>
          <cell r="H313" t="str">
            <v>t</v>
          </cell>
          <cell r="I313" t="str">
            <v>none</v>
          </cell>
          <cell r="J313" t="str">
            <v>[Open-IDTD] BF-TGR w/ CCS</v>
          </cell>
        </row>
        <row r="314">
          <cell r="A314" t="str">
            <v>[Open-IDTD] Top Gas Recycling Blast Furnace BAT + Basic oxygen Furnace w/ CO2 capture</v>
          </cell>
          <cell r="B314" t="str">
            <v>natural gas</v>
          </cell>
          <cell r="C314" t="str">
            <v>from technosphere (energy_carrier)</v>
          </cell>
          <cell r="E314" t="str">
            <v>Energy</v>
          </cell>
          <cell r="F314">
            <v>1.75</v>
          </cell>
          <cell r="G314" t="str">
            <v>GJ</v>
          </cell>
          <cell r="H314" t="str">
            <v>t</v>
          </cell>
          <cell r="I314" t="str">
            <v>none</v>
          </cell>
          <cell r="J314" t="str">
            <v>[Open-IDTD] BF-TGR w/ CCS</v>
          </cell>
        </row>
        <row r="315">
          <cell r="A315" t="str">
            <v>[Open-IDTD] Top Gas Recycling Blast Furnace BAT + Basic oxygen Furnace w/ CO2 capture</v>
          </cell>
          <cell r="B315" t="str">
            <v>steam</v>
          </cell>
          <cell r="C315" t="str">
            <v>from technosphere (energy_carrier)</v>
          </cell>
          <cell r="E315" t="str">
            <v>Energy</v>
          </cell>
          <cell r="F315">
            <v>0.16</v>
          </cell>
          <cell r="G315" t="str">
            <v>GJ</v>
          </cell>
          <cell r="H315" t="str">
            <v>t</v>
          </cell>
          <cell r="I315" t="str">
            <v>none</v>
          </cell>
          <cell r="J315" t="str">
            <v>[Open-IDTD] BF-TGR w/ CCS</v>
          </cell>
        </row>
        <row r="316">
          <cell r="A316" t="str">
            <v>[Open-IDTD] Top Gas Recycling Blast Furnace BAT + Basic oxygen Furnace w/ CO2 capture</v>
          </cell>
          <cell r="B316" t="str">
            <v>carbon dioxide</v>
          </cell>
          <cell r="C316" t="str">
            <v>to environment (emission, combustion)</v>
          </cell>
          <cell r="E316" t="str">
            <v>Mass</v>
          </cell>
          <cell r="F316">
            <v>1281.242768001322</v>
          </cell>
          <cell r="G316" t="str">
            <v>kg</v>
          </cell>
          <cell r="H316" t="str">
            <v>t</v>
          </cell>
          <cell r="I316" t="str">
            <v>none</v>
          </cell>
          <cell r="J316" t="str">
            <v>[Open-IDTD] BF-TGR w/ CCS</v>
          </cell>
        </row>
        <row r="317">
          <cell r="A317" t="str">
            <v>[Open-IDTD] Top Gas Recycling Blast Furnace BAT + Basic oxygen Furnace w/ CO2 capture</v>
          </cell>
          <cell r="B317" t="str">
            <v>carbon dioxide</v>
          </cell>
          <cell r="C317" t="str">
            <v>to technosphere (by-product)</v>
          </cell>
          <cell r="E317" t="str">
            <v>Mass</v>
          </cell>
          <cell r="F317">
            <v>986.41909235119999</v>
          </cell>
          <cell r="G317" t="str">
            <v>kg</v>
          </cell>
          <cell r="H317" t="str">
            <v>t</v>
          </cell>
          <cell r="I317" t="str">
            <v>none</v>
          </cell>
          <cell r="J317" t="str">
            <v>[Open-IDTD] BF-TGR w/ CCS</v>
          </cell>
        </row>
        <row r="318">
          <cell r="A318" t="str">
            <v/>
          </cell>
        </row>
        <row r="319">
          <cell r="A319" t="str">
            <v>[Open-IDTD] Direct Reduced Iron + Electric Arc Furnace w/ CO2 capture</v>
          </cell>
          <cell r="B319" t="str">
            <v>steel, primary</v>
          </cell>
          <cell r="C319" t="str">
            <v>reference_product</v>
          </cell>
          <cell r="D319">
            <v>7203</v>
          </cell>
          <cell r="E319" t="str">
            <v>Mass</v>
          </cell>
          <cell r="F319">
            <v>1</v>
          </cell>
          <cell r="G319" t="str">
            <v>t</v>
          </cell>
          <cell r="H319">
            <v>1</v>
          </cell>
          <cell r="I319" t="str">
            <v>none</v>
          </cell>
          <cell r="J319" t="str">
            <v>[Open-IDTD] DRI/EAF w/ CCS</v>
          </cell>
        </row>
        <row r="320">
          <cell r="A320" t="str">
            <v>[Open-IDTD] Direct Reduced Iron + Electric Arc Furnace w/ CO2 capture</v>
          </cell>
          <cell r="B320" t="str">
            <v>electricity</v>
          </cell>
          <cell r="C320" t="str">
            <v>from technosphere (energy_carrier)</v>
          </cell>
          <cell r="E320" t="str">
            <v>Energy</v>
          </cell>
          <cell r="F320">
            <v>1</v>
          </cell>
          <cell r="G320" t="str">
            <v>GJ</v>
          </cell>
          <cell r="H320" t="str">
            <v>t</v>
          </cell>
          <cell r="I320" t="str">
            <v>none</v>
          </cell>
          <cell r="J320" t="str">
            <v>[Open-IDTD] DRI/EAF w/ CCS</v>
          </cell>
        </row>
        <row r="321">
          <cell r="A321" t="str">
            <v>[Open-IDTD] Direct Reduced Iron + Electric Arc Furnace w/ CO2 capture</v>
          </cell>
          <cell r="B321" t="str">
            <v xml:space="preserve">machine drive </v>
          </cell>
          <cell r="C321" t="str">
            <v>from technosphere (energy_carrier)</v>
          </cell>
          <cell r="E321" t="str">
            <v>Energy</v>
          </cell>
          <cell r="F321">
            <v>0.35</v>
          </cell>
          <cell r="G321" t="str">
            <v>GJ</v>
          </cell>
          <cell r="H321" t="str">
            <v>t</v>
          </cell>
          <cell r="I321" t="str">
            <v>none</v>
          </cell>
          <cell r="J321" t="str">
            <v>[Open-IDTD] DRI/EAF w/ CCS</v>
          </cell>
        </row>
        <row r="322">
          <cell r="A322" t="str">
            <v>[Open-IDTD] Direct Reduced Iron + Electric Arc Furnace w/ CO2 capture</v>
          </cell>
          <cell r="B322" t="str">
            <v>natural gas</v>
          </cell>
          <cell r="C322" t="str">
            <v>from technosphere (energy_carrier)</v>
          </cell>
          <cell r="E322" t="str">
            <v>Energy</v>
          </cell>
          <cell r="F322">
            <v>17.5</v>
          </cell>
          <cell r="G322" t="str">
            <v>GJ</v>
          </cell>
          <cell r="H322" t="str">
            <v>t</v>
          </cell>
          <cell r="I322" t="str">
            <v>none</v>
          </cell>
          <cell r="J322" t="str">
            <v>[Open-IDTD] DRI/EAF w/ CCS</v>
          </cell>
        </row>
        <row r="323">
          <cell r="A323" t="str">
            <v>[Open-IDTD] Direct Reduced Iron + Electric Arc Furnace w/ CO2 capture</v>
          </cell>
          <cell r="B323" t="str">
            <v>steam</v>
          </cell>
          <cell r="C323" t="str">
            <v>to technosphere (by-product)</v>
          </cell>
          <cell r="E323" t="str">
            <v>Energy</v>
          </cell>
          <cell r="F323">
            <v>0.2</v>
          </cell>
          <cell r="G323" t="str">
            <v>GJ</v>
          </cell>
          <cell r="H323" t="str">
            <v>t</v>
          </cell>
          <cell r="I323" t="str">
            <v>none</v>
          </cell>
          <cell r="J323" t="str">
            <v>[Open-IDTD] DRI/EAF w/ CCS</v>
          </cell>
        </row>
        <row r="324">
          <cell r="A324" t="str">
            <v>[Open-IDTD] Direct Reduced Iron + Electric Arc Furnace w/ CO2 capture</v>
          </cell>
          <cell r="B324" t="str">
            <v>carbon dioxide</v>
          </cell>
          <cell r="C324" t="str">
            <v>to environment (emission, combustion)</v>
          </cell>
          <cell r="E324" t="str">
            <v>Mass</v>
          </cell>
          <cell r="F324">
            <v>981.23608001321782</v>
          </cell>
          <cell r="G324" t="str">
            <v>kg</v>
          </cell>
          <cell r="H324" t="str">
            <v>t</v>
          </cell>
          <cell r="I324" t="str">
            <v>none</v>
          </cell>
          <cell r="J324" t="str">
            <v>[Open-IDTD] DRI/EAF w/ CCS</v>
          </cell>
        </row>
        <row r="325">
          <cell r="A325" t="str">
            <v>[Open-IDTD] Direct Reduced Iron + Electric Arc Furnace w/ CO2 capture</v>
          </cell>
          <cell r="B325" t="str">
            <v>carbon dioxide</v>
          </cell>
          <cell r="C325" t="str">
            <v>to technosphere (by-product)</v>
          </cell>
          <cell r="E325" t="str">
            <v>Mass</v>
          </cell>
          <cell r="F325">
            <v>782.45474999999999</v>
          </cell>
          <cell r="G325" t="str">
            <v>kg</v>
          </cell>
          <cell r="H325" t="str">
            <v>t</v>
          </cell>
          <cell r="I325" t="str">
            <v>none</v>
          </cell>
          <cell r="J325" t="str">
            <v>[Open-IDTD] DRI/EAF w/ CCS</v>
          </cell>
        </row>
        <row r="326">
          <cell r="A326" t="str">
            <v/>
          </cell>
        </row>
        <row r="327">
          <cell r="A327" t="str">
            <v>[Open-IDTD] Hisarna</v>
          </cell>
          <cell r="B327" t="str">
            <v>steel, primary</v>
          </cell>
          <cell r="C327" t="str">
            <v>reference_product</v>
          </cell>
          <cell r="D327">
            <v>7206</v>
          </cell>
          <cell r="E327" t="str">
            <v>Mass</v>
          </cell>
          <cell r="F327">
            <v>1</v>
          </cell>
          <cell r="G327" t="str">
            <v>t</v>
          </cell>
          <cell r="H327">
            <v>1</v>
          </cell>
          <cell r="I327" t="str">
            <v>none</v>
          </cell>
          <cell r="J327" t="str">
            <v>[Open-IDTD] Hisarna</v>
          </cell>
        </row>
        <row r="328">
          <cell r="A328" t="str">
            <v>[Open-IDTD] Hisarna</v>
          </cell>
          <cell r="B328" t="str">
            <v>coal</v>
          </cell>
          <cell r="C328" t="str">
            <v>from technosphere (energy_carrier)</v>
          </cell>
          <cell r="E328" t="str">
            <v>Energy</v>
          </cell>
          <cell r="F328">
            <v>13.08</v>
          </cell>
          <cell r="G328" t="str">
            <v>GJ</v>
          </cell>
          <cell r="H328" t="str">
            <v>t</v>
          </cell>
          <cell r="I328" t="str">
            <v>none</v>
          </cell>
          <cell r="J328" t="str">
            <v>[Open-IDTD] Hisarna</v>
          </cell>
        </row>
        <row r="329">
          <cell r="A329" t="str">
            <v>[Open-IDTD] Hisarna</v>
          </cell>
          <cell r="B329" t="str">
            <v>coke oven gas</v>
          </cell>
          <cell r="C329" t="str">
            <v>from technosphere (energy_carrier)</v>
          </cell>
          <cell r="E329" t="str">
            <v>Energy</v>
          </cell>
          <cell r="F329">
            <v>0.79</v>
          </cell>
          <cell r="G329" t="str">
            <v>GJ</v>
          </cell>
          <cell r="H329" t="str">
            <v>t</v>
          </cell>
          <cell r="I329" t="str">
            <v>none</v>
          </cell>
          <cell r="J329" t="str">
            <v>[Open-IDTD] Hisarna</v>
          </cell>
        </row>
        <row r="330">
          <cell r="A330" t="str">
            <v>[Open-IDTD] Hisarna</v>
          </cell>
          <cell r="B330" t="str">
            <v xml:space="preserve">machine drive </v>
          </cell>
          <cell r="C330" t="str">
            <v>from technosphere (energy_carrier)</v>
          </cell>
          <cell r="E330" t="str">
            <v>Energy</v>
          </cell>
          <cell r="F330">
            <v>0.6</v>
          </cell>
          <cell r="G330" t="str">
            <v>GJ</v>
          </cell>
          <cell r="H330" t="str">
            <v>t</v>
          </cell>
          <cell r="I330" t="str">
            <v>none</v>
          </cell>
          <cell r="J330" t="str">
            <v>[Open-IDTD] Hisarna</v>
          </cell>
        </row>
        <row r="331">
          <cell r="A331" t="str">
            <v>[Open-IDTD] Hisarna</v>
          </cell>
          <cell r="B331" t="str">
            <v>natural gas</v>
          </cell>
          <cell r="C331" t="str">
            <v>from technosphere (energy_carrier)</v>
          </cell>
          <cell r="E331" t="str">
            <v>Energy</v>
          </cell>
          <cell r="F331">
            <v>0.63</v>
          </cell>
          <cell r="G331" t="str">
            <v>GJ</v>
          </cell>
          <cell r="H331" t="str">
            <v>t</v>
          </cell>
          <cell r="I331" t="str">
            <v>none</v>
          </cell>
          <cell r="J331" t="str">
            <v>[Open-IDTD] Hisarna</v>
          </cell>
        </row>
        <row r="332">
          <cell r="A332" t="str">
            <v>[Open-IDTD] Hisarna</v>
          </cell>
          <cell r="B332" t="str">
            <v>steam</v>
          </cell>
          <cell r="C332" t="str">
            <v>from technosphere (energy_carrier)</v>
          </cell>
          <cell r="E332" t="str">
            <v>Energy</v>
          </cell>
          <cell r="F332">
            <v>0.17</v>
          </cell>
          <cell r="G332" t="str">
            <v>GJ</v>
          </cell>
          <cell r="H332" t="str">
            <v>t</v>
          </cell>
          <cell r="I332" t="str">
            <v>none</v>
          </cell>
          <cell r="J332" t="str">
            <v>[Open-IDTD] Hisarna</v>
          </cell>
        </row>
        <row r="333">
          <cell r="A333" t="str">
            <v>[Open-IDTD] Hisarna</v>
          </cell>
          <cell r="B333" t="str">
            <v>recovered off-gas</v>
          </cell>
          <cell r="C333" t="str">
            <v>to technosphere (by-product)</v>
          </cell>
          <cell r="E333" t="str">
            <v>Energy</v>
          </cell>
          <cell r="F333">
            <v>0.7</v>
          </cell>
          <cell r="G333" t="str">
            <v>GJ</v>
          </cell>
          <cell r="H333" t="str">
            <v>t</v>
          </cell>
          <cell r="I333" t="str">
            <v>none</v>
          </cell>
          <cell r="J333" t="str">
            <v>[Open-IDTD] Hisarna</v>
          </cell>
        </row>
        <row r="334">
          <cell r="A334" t="str">
            <v>[Open-IDTD] Hisarna</v>
          </cell>
          <cell r="B334" t="str">
            <v>carbon dioxide</v>
          </cell>
          <cell r="C334" t="str">
            <v>to environment (emission, combustion)</v>
          </cell>
          <cell r="E334" t="str">
            <v>Mass</v>
          </cell>
          <cell r="F334">
            <v>1326.286033732626</v>
          </cell>
          <cell r="G334" t="str">
            <v>kg</v>
          </cell>
          <cell r="H334" t="str">
            <v>t</v>
          </cell>
          <cell r="I334" t="str">
            <v>none</v>
          </cell>
          <cell r="J334" t="str">
            <v>[Open-IDTD] Hisarna</v>
          </cell>
        </row>
        <row r="335">
          <cell r="A335" t="str">
            <v/>
          </cell>
        </row>
        <row r="336">
          <cell r="A336" t="str">
            <v>[Open-IDTD] HIsarna w/ CCS</v>
          </cell>
          <cell r="B336" t="str">
            <v>steel, primary</v>
          </cell>
          <cell r="C336" t="str">
            <v>reference_product</v>
          </cell>
          <cell r="D336">
            <v>7206</v>
          </cell>
          <cell r="E336" t="str">
            <v>Mass</v>
          </cell>
          <cell r="F336">
            <v>1</v>
          </cell>
          <cell r="G336" t="str">
            <v>t</v>
          </cell>
          <cell r="H336">
            <v>1</v>
          </cell>
          <cell r="I336" t="str">
            <v>none</v>
          </cell>
          <cell r="J336" t="str">
            <v>[Open-IDTD] HIsarna w/ CCS</v>
          </cell>
        </row>
        <row r="337">
          <cell r="A337" t="str">
            <v>[Open-IDTD] HIsarna w/ CCS</v>
          </cell>
          <cell r="B337" t="str">
            <v>coal</v>
          </cell>
          <cell r="C337" t="str">
            <v>from technosphere (energy_carrier)</v>
          </cell>
          <cell r="E337" t="str">
            <v>Energy</v>
          </cell>
          <cell r="F337">
            <v>13.08</v>
          </cell>
          <cell r="G337" t="str">
            <v>GJ</v>
          </cell>
          <cell r="H337" t="str">
            <v>t</v>
          </cell>
          <cell r="I337" t="str">
            <v>none</v>
          </cell>
          <cell r="J337" t="str">
            <v>[Open-IDTD] HIsarna w/ CCS</v>
          </cell>
        </row>
        <row r="338">
          <cell r="A338" t="str">
            <v>[Open-IDTD] HIsarna w/ CCS</v>
          </cell>
          <cell r="B338" t="str">
            <v>coke oven gas</v>
          </cell>
          <cell r="C338" t="str">
            <v>from technosphere (energy_carrier)</v>
          </cell>
          <cell r="E338" t="str">
            <v>Energy</v>
          </cell>
          <cell r="F338">
            <v>0.79</v>
          </cell>
          <cell r="G338" t="str">
            <v>GJ</v>
          </cell>
          <cell r="H338" t="str">
            <v>t</v>
          </cell>
          <cell r="I338" t="str">
            <v>none</v>
          </cell>
          <cell r="J338" t="str">
            <v>[Open-IDTD] HIsarna w/ CCS</v>
          </cell>
        </row>
        <row r="339">
          <cell r="A339" t="str">
            <v>[Open-IDTD] HIsarna w/ CCS</v>
          </cell>
          <cell r="B339" t="str">
            <v xml:space="preserve">machine drive </v>
          </cell>
          <cell r="C339" t="str">
            <v>from technosphere (energy_carrier)</v>
          </cell>
          <cell r="E339" t="str">
            <v>Energy</v>
          </cell>
          <cell r="F339">
            <v>0.96</v>
          </cell>
          <cell r="G339" t="str">
            <v>GJ</v>
          </cell>
          <cell r="H339" t="str">
            <v>t</v>
          </cell>
          <cell r="I339" t="str">
            <v>none</v>
          </cell>
          <cell r="J339" t="str">
            <v>[Open-IDTD] HIsarna w/ CCS</v>
          </cell>
        </row>
        <row r="340">
          <cell r="A340" t="str">
            <v>[Open-IDTD] HIsarna w/ CCS</v>
          </cell>
          <cell r="B340" t="str">
            <v>natural gas</v>
          </cell>
          <cell r="C340" t="str">
            <v>from technosphere (energy_carrier)</v>
          </cell>
          <cell r="E340" t="str">
            <v>Energy</v>
          </cell>
          <cell r="F340">
            <v>0.63</v>
          </cell>
          <cell r="G340" t="str">
            <v>GJ</v>
          </cell>
          <cell r="H340" t="str">
            <v>t</v>
          </cell>
          <cell r="I340" t="str">
            <v>none</v>
          </cell>
          <cell r="J340" t="str">
            <v>[Open-IDTD] HIsarna w/ CCS</v>
          </cell>
        </row>
        <row r="341">
          <cell r="A341" t="str">
            <v>[Open-IDTD] HIsarna w/ CCS</v>
          </cell>
          <cell r="B341" t="str">
            <v>steam</v>
          </cell>
          <cell r="C341" t="str">
            <v>from technosphere (energy_carrier)</v>
          </cell>
          <cell r="E341" t="str">
            <v>Energy</v>
          </cell>
          <cell r="F341">
            <v>0.17</v>
          </cell>
          <cell r="G341" t="str">
            <v>GJ</v>
          </cell>
          <cell r="H341" t="str">
            <v>t</v>
          </cell>
          <cell r="I341" t="str">
            <v>none</v>
          </cell>
          <cell r="J341" t="str">
            <v>[Open-IDTD] HIsarna w/ CCS</v>
          </cell>
        </row>
        <row r="342">
          <cell r="A342" t="str">
            <v>[Open-IDTD] HIsarna w/ CCS</v>
          </cell>
          <cell r="B342" t="str">
            <v>recovered off-gas</v>
          </cell>
          <cell r="C342" t="str">
            <v>to technosphere (by-product)</v>
          </cell>
          <cell r="E342" t="str">
            <v>Energy</v>
          </cell>
          <cell r="F342">
            <v>0.7</v>
          </cell>
          <cell r="G342" t="str">
            <v>GJ</v>
          </cell>
          <cell r="H342" t="str">
            <v>t</v>
          </cell>
          <cell r="I342" t="str">
            <v>none</v>
          </cell>
          <cell r="J342" t="str">
            <v>[Open-IDTD] HIsarna w/ CCS</v>
          </cell>
        </row>
        <row r="343">
          <cell r="A343" t="str">
            <v>[Open-IDTD] HIsarna w/ CCS</v>
          </cell>
          <cell r="B343" t="str">
            <v>carbon dioxide</v>
          </cell>
          <cell r="C343" t="str">
            <v>to environment (emission, combustion)</v>
          </cell>
          <cell r="E343" t="str">
            <v>Mass</v>
          </cell>
          <cell r="F343">
            <v>1326.286033732626</v>
          </cell>
          <cell r="G343" t="str">
            <v>kg</v>
          </cell>
          <cell r="H343" t="str">
            <v>t</v>
          </cell>
          <cell r="I343" t="str">
            <v>none</v>
          </cell>
          <cell r="J343" t="str">
            <v>[Open-IDTD] HIsarna w/ CCS</v>
          </cell>
        </row>
        <row r="344">
          <cell r="A344" t="str">
            <v>[Open-IDTD] HIsarna w/ CCS</v>
          </cell>
          <cell r="B344" t="str">
            <v>carbon dioxide</v>
          </cell>
          <cell r="C344" t="str">
            <v>to technosphere (by-product)</v>
          </cell>
          <cell r="E344" t="str">
            <v>Mass</v>
          </cell>
          <cell r="F344">
            <v>1012.011688271822</v>
          </cell>
          <cell r="G344" t="str">
            <v>kg</v>
          </cell>
          <cell r="H344" t="str">
            <v>t</v>
          </cell>
          <cell r="I344" t="str">
            <v>none</v>
          </cell>
          <cell r="J344" t="str">
            <v>[Open-IDTD] HIsarna w/ CCS</v>
          </cell>
        </row>
        <row r="345">
          <cell r="A345" t="str">
            <v/>
          </cell>
        </row>
        <row r="346">
          <cell r="A346" t="str">
            <v>[Open-IDTD] Ulcored</v>
          </cell>
          <cell r="B346" t="str">
            <v>steel, primary</v>
          </cell>
          <cell r="C346" t="str">
            <v>reference_product</v>
          </cell>
          <cell r="D346">
            <v>7206</v>
          </cell>
          <cell r="E346" t="str">
            <v>Mass</v>
          </cell>
          <cell r="F346">
            <v>1</v>
          </cell>
          <cell r="G346" t="str">
            <v>t</v>
          </cell>
          <cell r="H346">
            <v>1</v>
          </cell>
          <cell r="I346" t="str">
            <v>none</v>
          </cell>
          <cell r="J346" t="str">
            <v>[Open-IDTD] Ulcored</v>
          </cell>
        </row>
        <row r="347">
          <cell r="A347" t="str">
            <v>[Open-IDTD] Ulcored</v>
          </cell>
          <cell r="B347" t="str">
            <v>electricity</v>
          </cell>
          <cell r="C347" t="str">
            <v>from technosphere (energy_carrier)</v>
          </cell>
          <cell r="E347" t="str">
            <v>Energy</v>
          </cell>
          <cell r="F347">
            <v>1</v>
          </cell>
          <cell r="G347" t="str">
            <v>GJ</v>
          </cell>
          <cell r="H347" t="str">
            <v>t</v>
          </cell>
          <cell r="I347" t="str">
            <v>none</v>
          </cell>
          <cell r="J347" t="str">
            <v>[Open-IDTD] Ulcored</v>
          </cell>
        </row>
        <row r="348">
          <cell r="A348" t="str">
            <v>[Open-IDTD] Ulcored</v>
          </cell>
          <cell r="B348" t="str">
            <v xml:space="preserve">machine drive </v>
          </cell>
          <cell r="C348" t="str">
            <v>from technosphere (energy_carrier)</v>
          </cell>
          <cell r="E348" t="str">
            <v>Energy</v>
          </cell>
          <cell r="F348">
            <v>0.67</v>
          </cell>
          <cell r="G348" t="str">
            <v>GJ</v>
          </cell>
          <cell r="H348" t="str">
            <v>t</v>
          </cell>
          <cell r="I348" t="str">
            <v>none</v>
          </cell>
          <cell r="J348" t="str">
            <v>[Open-IDTD] Ulcored</v>
          </cell>
        </row>
        <row r="349">
          <cell r="A349" t="str">
            <v>[Open-IDTD] Ulcored</v>
          </cell>
          <cell r="B349" t="str">
            <v>natural gas</v>
          </cell>
          <cell r="C349" t="str">
            <v>from technosphere (energy_carrier)</v>
          </cell>
          <cell r="E349" t="str">
            <v>Energy</v>
          </cell>
          <cell r="F349">
            <v>17.5</v>
          </cell>
          <cell r="G349" t="str">
            <v>GJ</v>
          </cell>
          <cell r="H349" t="str">
            <v>t</v>
          </cell>
          <cell r="I349" t="str">
            <v>none</v>
          </cell>
          <cell r="J349" t="str">
            <v>[Open-IDTD] Ulcored</v>
          </cell>
        </row>
        <row r="350">
          <cell r="A350" t="str">
            <v>[Open-IDTD] Ulcored</v>
          </cell>
          <cell r="B350" t="str">
            <v>carbon dioxide</v>
          </cell>
          <cell r="C350" t="str">
            <v>to environment (emission, combustion)</v>
          </cell>
          <cell r="E350" t="str">
            <v>Mass</v>
          </cell>
          <cell r="F350">
            <v>981.23608001321782</v>
          </cell>
          <cell r="G350" t="str">
            <v>kg</v>
          </cell>
          <cell r="H350" t="str">
            <v>t</v>
          </cell>
          <cell r="I350" t="str">
            <v>none</v>
          </cell>
          <cell r="J350" t="str">
            <v>[Open-IDTD] Ulcored</v>
          </cell>
        </row>
        <row r="351">
          <cell r="A351" t="str">
            <v>[Open-IDTD] Ulcored</v>
          </cell>
          <cell r="B351" t="str">
            <v>carbon dioxide</v>
          </cell>
          <cell r="C351" t="str">
            <v>to technosphere (by-product)</v>
          </cell>
          <cell r="E351" t="str">
            <v>Mass</v>
          </cell>
          <cell r="F351">
            <v>856.08600000000001</v>
          </cell>
          <cell r="G351" t="str">
            <v>kg</v>
          </cell>
          <cell r="H351" t="str">
            <v>t</v>
          </cell>
          <cell r="I351" t="str">
            <v>none</v>
          </cell>
          <cell r="J351" t="str">
            <v>[Open-IDTD] Ulcored</v>
          </cell>
        </row>
        <row r="352">
          <cell r="A352" t="str">
            <v/>
          </cell>
        </row>
        <row r="353">
          <cell r="A353" t="str">
            <v>[Open-IDTD] HDR/EAF</v>
          </cell>
          <cell r="B353" t="str">
            <v>steel, primary</v>
          </cell>
          <cell r="C353" t="str">
            <v>reference_product</v>
          </cell>
          <cell r="D353">
            <v>7203</v>
          </cell>
          <cell r="E353" t="str">
            <v>Mass</v>
          </cell>
          <cell r="F353">
            <v>1</v>
          </cell>
          <cell r="G353" t="str">
            <v>t</v>
          </cell>
          <cell r="H353">
            <v>1</v>
          </cell>
          <cell r="I353" t="str">
            <v>none</v>
          </cell>
          <cell r="J353" t="str">
            <v>[Open-IDTD] HDR/EAF</v>
          </cell>
        </row>
        <row r="354">
          <cell r="A354" t="str">
            <v>[Open-IDTD] HDR/EAF</v>
          </cell>
          <cell r="B354" t="str">
            <v>electricity</v>
          </cell>
          <cell r="C354" t="str">
            <v>from technosphere (energy_carrier)</v>
          </cell>
          <cell r="E354" t="str">
            <v>Energy</v>
          </cell>
          <cell r="F354">
            <v>1.8</v>
          </cell>
          <cell r="G354" t="str">
            <v>GJ</v>
          </cell>
          <cell r="H354" t="str">
            <v>t</v>
          </cell>
          <cell r="I354" t="str">
            <v>none</v>
          </cell>
          <cell r="J354" t="str">
            <v>[Open-IDTD] HDR/EAF</v>
          </cell>
        </row>
        <row r="355">
          <cell r="A355" t="str">
            <v>[Open-IDTD] HDR/EAF</v>
          </cell>
          <cell r="B355" t="str">
            <v>hydrogen</v>
          </cell>
          <cell r="C355" t="str">
            <v>from technosphere (energy_carrier)</v>
          </cell>
          <cell r="E355" t="str">
            <v>Energy</v>
          </cell>
          <cell r="F355">
            <v>6.12</v>
          </cell>
          <cell r="G355" t="str">
            <v>GJ</v>
          </cell>
          <cell r="H355" t="str">
            <v>t</v>
          </cell>
          <cell r="I355" t="str">
            <v>none</v>
          </cell>
          <cell r="J355" t="str">
            <v>[Open-IDTD] HDR/EAF</v>
          </cell>
        </row>
        <row r="356">
          <cell r="A356" t="str">
            <v>[Open-IDTD] HDR/EAF</v>
          </cell>
          <cell r="B356" t="str">
            <v xml:space="preserve">machine drive </v>
          </cell>
          <cell r="C356" t="str">
            <v>from technosphere (energy_carrier)</v>
          </cell>
          <cell r="E356" t="str">
            <v>Energy</v>
          </cell>
          <cell r="F356">
            <v>1.28</v>
          </cell>
          <cell r="G356" t="str">
            <v>GJ</v>
          </cell>
          <cell r="H356" t="str">
            <v>t</v>
          </cell>
          <cell r="I356" t="str">
            <v>none</v>
          </cell>
          <cell r="J356" t="str">
            <v>[Open-IDTD] HDR/EAF</v>
          </cell>
        </row>
        <row r="357">
          <cell r="A357" t="str">
            <v>[Open-IDTD] HDR/EAF</v>
          </cell>
          <cell r="B357" t="str">
            <v>natural gas</v>
          </cell>
          <cell r="C357" t="str">
            <v>from technosphere (energy_carrier)</v>
          </cell>
          <cell r="E357" t="str">
            <v>Energy</v>
          </cell>
          <cell r="F357">
            <v>2.2000000000000002</v>
          </cell>
          <cell r="G357" t="str">
            <v>GJ</v>
          </cell>
          <cell r="H357" t="str">
            <v>t</v>
          </cell>
          <cell r="I357" t="str">
            <v>none</v>
          </cell>
          <cell r="J357" t="str">
            <v>[Open-IDTD] HDR/EAF</v>
          </cell>
        </row>
        <row r="358">
          <cell r="A358" t="str">
            <v>[Open-IDTD] HDR/EAF</v>
          </cell>
          <cell r="B358" t="str">
            <v>steam</v>
          </cell>
          <cell r="C358" t="str">
            <v>to technosphere (by-product)</v>
          </cell>
          <cell r="E358" t="str">
            <v>Energy</v>
          </cell>
          <cell r="F358">
            <v>0.2</v>
          </cell>
          <cell r="G358" t="str">
            <v>GJ</v>
          </cell>
          <cell r="H358" t="str">
            <v>t</v>
          </cell>
          <cell r="I358" t="str">
            <v>none</v>
          </cell>
          <cell r="J358" t="str">
            <v>[Open-IDTD] HDR/EAF</v>
          </cell>
        </row>
        <row r="359">
          <cell r="A359" t="str">
            <v>[Open-IDTD] HDR/EAF</v>
          </cell>
          <cell r="B359" t="str">
            <v>carbon dioxide</v>
          </cell>
          <cell r="C359" t="str">
            <v>to environment (emission, combustion)</v>
          </cell>
          <cell r="E359" t="str">
            <v>Mass</v>
          </cell>
          <cell r="F359">
            <v>123.35539291594741</v>
          </cell>
          <cell r="G359" t="str">
            <v>kg</v>
          </cell>
          <cell r="H359" t="str">
            <v>t</v>
          </cell>
          <cell r="I359" t="str">
            <v>none</v>
          </cell>
          <cell r="J359" t="str">
            <v>[Open-IDTD] HDR/EAF</v>
          </cell>
        </row>
        <row r="360">
          <cell r="A360" t="str">
            <v/>
          </cell>
        </row>
        <row r="361">
          <cell r="A361" t="str">
            <v>[Open-IDTD] Ulcolysis</v>
          </cell>
          <cell r="B361" t="str">
            <v>steel, primary</v>
          </cell>
          <cell r="C361" t="str">
            <v>reference_product</v>
          </cell>
          <cell r="D361">
            <v>7206</v>
          </cell>
          <cell r="E361" t="str">
            <v>Mass</v>
          </cell>
          <cell r="F361">
            <v>1</v>
          </cell>
          <cell r="G361" t="str">
            <v>t</v>
          </cell>
          <cell r="H361">
            <v>1</v>
          </cell>
          <cell r="I361" t="str">
            <v>none</v>
          </cell>
          <cell r="J361" t="str">
            <v>[Open-IDTD] Ulcolysis</v>
          </cell>
        </row>
        <row r="362">
          <cell r="A362" t="str">
            <v>[Open-IDTD] Ulcolysis</v>
          </cell>
          <cell r="B362" t="str">
            <v>electricity</v>
          </cell>
          <cell r="C362" t="str">
            <v>from technosphere (energy_carrier)</v>
          </cell>
          <cell r="E362" t="str">
            <v>Energy</v>
          </cell>
          <cell r="F362">
            <v>14.5</v>
          </cell>
          <cell r="G362" t="str">
            <v>GJ</v>
          </cell>
          <cell r="H362" t="str">
            <v>t</v>
          </cell>
          <cell r="I362" t="str">
            <v>none</v>
          </cell>
          <cell r="J362" t="str">
            <v>[Open-IDTD] Ulcolysis</v>
          </cell>
        </row>
        <row r="363">
          <cell r="A363" t="str">
            <v>[Open-IDTD] Ulcolysis</v>
          </cell>
          <cell r="B363" t="str">
            <v>natural gas</v>
          </cell>
          <cell r="C363" t="str">
            <v>from technosphere (energy_carrier)</v>
          </cell>
          <cell r="E363" t="str">
            <v>Energy</v>
          </cell>
          <cell r="F363">
            <v>1.24</v>
          </cell>
          <cell r="G363" t="str">
            <v>GJ</v>
          </cell>
          <cell r="H363" t="str">
            <v>t</v>
          </cell>
          <cell r="I363" t="str">
            <v>none</v>
          </cell>
          <cell r="J363" t="str">
            <v>[Open-IDTD] Ulcolysis</v>
          </cell>
        </row>
        <row r="364">
          <cell r="A364" t="str">
            <v>[Open-IDTD] Ulcolysis</v>
          </cell>
          <cell r="B364" t="str">
            <v>carbon dioxide</v>
          </cell>
          <cell r="C364" t="str">
            <v>to environment (emission, combustion)</v>
          </cell>
          <cell r="E364" t="str">
            <v>Mass</v>
          </cell>
          <cell r="F364">
            <v>69.527585098079427</v>
          </cell>
          <cell r="G364" t="str">
            <v>kg</v>
          </cell>
          <cell r="H364" t="str">
            <v>t</v>
          </cell>
          <cell r="I364" t="str">
            <v>none</v>
          </cell>
          <cell r="J364" t="str">
            <v>[Open-IDTD] Ulcolysis</v>
          </cell>
        </row>
        <row r="365">
          <cell r="A365" t="str">
            <v/>
          </cell>
        </row>
        <row r="366">
          <cell r="A366" t="str">
            <v>[Open-IDTD] Ulcowin</v>
          </cell>
          <cell r="B366" t="str">
            <v>steel, primary</v>
          </cell>
          <cell r="C366" t="str">
            <v>reference_product</v>
          </cell>
          <cell r="D366">
            <v>7206</v>
          </cell>
          <cell r="E366" t="str">
            <v>Mass</v>
          </cell>
          <cell r="F366">
            <v>1</v>
          </cell>
          <cell r="G366" t="str">
            <v>t</v>
          </cell>
          <cell r="H366">
            <v>1</v>
          </cell>
          <cell r="I366" t="str">
            <v>none</v>
          </cell>
          <cell r="J366" t="str">
            <v>[Open-IDTD] Ulcowin</v>
          </cell>
        </row>
        <row r="367">
          <cell r="A367" t="str">
            <v>[Open-IDTD] Ulcowin</v>
          </cell>
          <cell r="B367" t="str">
            <v>coal</v>
          </cell>
          <cell r="C367" t="str">
            <v>from technosphere (energy_carrier)</v>
          </cell>
          <cell r="E367" t="str">
            <v>Energy</v>
          </cell>
          <cell r="F367">
            <v>0.9</v>
          </cell>
          <cell r="G367" t="str">
            <v>GJ</v>
          </cell>
          <cell r="H367" t="str">
            <v>t</v>
          </cell>
          <cell r="I367" t="str">
            <v>none</v>
          </cell>
          <cell r="J367" t="str">
            <v>[Open-IDTD] Ulcowin</v>
          </cell>
        </row>
        <row r="368">
          <cell r="A368" t="str">
            <v>[Open-IDTD] Ulcowin</v>
          </cell>
          <cell r="B368" t="str">
            <v>electricity</v>
          </cell>
          <cell r="C368" t="str">
            <v>from technosphere (energy_carrier)</v>
          </cell>
          <cell r="E368" t="str">
            <v>Energy</v>
          </cell>
          <cell r="F368">
            <v>12.56</v>
          </cell>
          <cell r="G368" t="str">
            <v>GJ</v>
          </cell>
          <cell r="H368" t="str">
            <v>t</v>
          </cell>
          <cell r="I368" t="str">
            <v>none</v>
          </cell>
          <cell r="J368" t="str">
            <v>[Open-IDTD] Ulcowin</v>
          </cell>
        </row>
        <row r="369">
          <cell r="A369" t="str">
            <v>[Open-IDTD] Ulcowin</v>
          </cell>
          <cell r="B369" t="str">
            <v>natural gas</v>
          </cell>
          <cell r="C369" t="str">
            <v>from technosphere (energy_carrier)</v>
          </cell>
          <cell r="E369" t="str">
            <v>Energy</v>
          </cell>
          <cell r="F369">
            <v>2.17</v>
          </cell>
          <cell r="G369" t="str">
            <v>GJ</v>
          </cell>
          <cell r="H369" t="str">
            <v>t</v>
          </cell>
          <cell r="I369" t="str">
            <v>none</v>
          </cell>
          <cell r="J369" t="str">
            <v>[Open-IDTD] Ulcowin</v>
          </cell>
        </row>
        <row r="370">
          <cell r="A370" t="str">
            <v>[Open-IDTD] Ulcowin</v>
          </cell>
          <cell r="B370" t="str">
            <v>carbon dioxide</v>
          </cell>
          <cell r="C370" t="str">
            <v>to environment (emission, combustion)</v>
          </cell>
          <cell r="E370" t="str">
            <v>Mass</v>
          </cell>
          <cell r="F370">
            <v>208.08741622797959</v>
          </cell>
          <cell r="G370" t="str">
            <v>kg</v>
          </cell>
          <cell r="H370" t="str">
            <v>t</v>
          </cell>
          <cell r="I370" t="str">
            <v>none</v>
          </cell>
          <cell r="J370" t="str">
            <v>[Open-IDTD] Ulcowin</v>
          </cell>
        </row>
        <row r="371">
          <cell r="A371" t="str">
            <v/>
          </cell>
        </row>
        <row r="372">
          <cell r="A372" t="str">
            <v>[Open-IDTD] Ferroalloys</v>
          </cell>
          <cell r="B372" t="str">
            <v>ferroalloys, primary</v>
          </cell>
          <cell r="C372" t="str">
            <v>reference_product</v>
          </cell>
          <cell r="D372">
            <v>7202</v>
          </cell>
          <cell r="E372" t="str">
            <v>Mass</v>
          </cell>
          <cell r="F372">
            <v>1</v>
          </cell>
          <cell r="G372" t="str">
            <v>t</v>
          </cell>
          <cell r="H372">
            <v>1</v>
          </cell>
          <cell r="I372" t="str">
            <v>none</v>
          </cell>
          <cell r="J372" t="str">
            <v>[Open-IDTD] Ferroalloys</v>
          </cell>
        </row>
        <row r="373">
          <cell r="A373" t="str">
            <v>[Open-IDTD] Ferroalloys</v>
          </cell>
          <cell r="B373" t="str">
            <v>ferrochromium</v>
          </cell>
          <cell r="C373" t="str">
            <v>from technosphere (material)</v>
          </cell>
          <cell r="E373" t="str">
            <v>Mass</v>
          </cell>
          <cell r="F373">
            <v>0.3</v>
          </cell>
          <cell r="G373" t="str">
            <v>t</v>
          </cell>
          <cell r="H373" t="str">
            <v>t</v>
          </cell>
          <cell r="I373" t="str">
            <v>none</v>
          </cell>
          <cell r="J373" t="str">
            <v>[Open-IDTD] Ferroalloys</v>
          </cell>
        </row>
        <row r="374">
          <cell r="A374" t="str">
            <v>[Open-IDTD] Ferroalloys</v>
          </cell>
          <cell r="B374" t="str">
            <v>ferrosilicon</v>
          </cell>
          <cell r="C374" t="str">
            <v>from technosphere (material)</v>
          </cell>
          <cell r="E374" t="str">
            <v>Mass</v>
          </cell>
          <cell r="F374">
            <v>0.22</v>
          </cell>
          <cell r="G374" t="str">
            <v>t</v>
          </cell>
          <cell r="H374" t="str">
            <v>t</v>
          </cell>
          <cell r="I374" t="str">
            <v>none</v>
          </cell>
          <cell r="J374" t="str">
            <v>[Open-IDTD] Ferroalloys</v>
          </cell>
        </row>
        <row r="375">
          <cell r="A375" t="str">
            <v>[Open-IDTD] Ferroalloys</v>
          </cell>
          <cell r="B375" t="str">
            <v>siliconmanganese</v>
          </cell>
          <cell r="C375" t="str">
            <v>from technosphere (material)</v>
          </cell>
          <cell r="E375" t="str">
            <v>Mass</v>
          </cell>
          <cell r="F375">
            <v>0.32</v>
          </cell>
          <cell r="G375" t="str">
            <v>t</v>
          </cell>
          <cell r="H375" t="str">
            <v>t</v>
          </cell>
          <cell r="I375" t="str">
            <v>none</v>
          </cell>
          <cell r="J375" t="str">
            <v>[Open-IDTD] Ferroalloys</v>
          </cell>
        </row>
        <row r="376">
          <cell r="A376" t="str">
            <v>[Open-IDTD] Ferroalloys</v>
          </cell>
          <cell r="B376" t="str">
            <v>ferromanganese</v>
          </cell>
          <cell r="C376" t="str">
            <v>from technosphere (material)</v>
          </cell>
          <cell r="E376" t="str">
            <v>Mass</v>
          </cell>
          <cell r="F376">
            <v>0.16</v>
          </cell>
          <cell r="G376" t="str">
            <v>t</v>
          </cell>
          <cell r="H376" t="str">
            <v>t</v>
          </cell>
          <cell r="I376" t="str">
            <v>none</v>
          </cell>
          <cell r="J376" t="str">
            <v>[Open-IDTD] Ferroalloys</v>
          </cell>
        </row>
        <row r="377">
          <cell r="A377" t="str">
            <v>[Open-IDTD] Ferroalloys</v>
          </cell>
          <cell r="B377" t="str">
            <v>coke</v>
          </cell>
          <cell r="C377" t="str">
            <v>from technosphere (energy_carrier)</v>
          </cell>
          <cell r="E377" t="str">
            <v>Energy</v>
          </cell>
          <cell r="F377">
            <v>16.989999999999998</v>
          </cell>
          <cell r="G377" t="str">
            <v>GJ</v>
          </cell>
          <cell r="H377" t="str">
            <v>t</v>
          </cell>
          <cell r="I377" t="str">
            <v>none</v>
          </cell>
          <cell r="J377" t="str">
            <v>[Open-IDTD] Ferroalloys</v>
          </cell>
        </row>
        <row r="378">
          <cell r="A378" t="str">
            <v>[Open-IDTD] Ferroalloys</v>
          </cell>
          <cell r="B378" t="str">
            <v>electricity</v>
          </cell>
          <cell r="C378" t="str">
            <v>from technosphere (energy_carrier)</v>
          </cell>
          <cell r="E378" t="str">
            <v>Energy</v>
          </cell>
          <cell r="F378">
            <v>15.59</v>
          </cell>
          <cell r="G378" t="str">
            <v>GJ</v>
          </cell>
          <cell r="H378" t="str">
            <v>t</v>
          </cell>
          <cell r="I378" t="str">
            <v>none</v>
          </cell>
          <cell r="J378" t="str">
            <v>[Open-IDTD] Ferroalloys</v>
          </cell>
        </row>
        <row r="379">
          <cell r="A379" t="str">
            <v>[Open-IDTD] Ferroalloys</v>
          </cell>
          <cell r="B379" t="str">
            <v>carbon dioxide</v>
          </cell>
          <cell r="C379" t="str">
            <v>to environment (emission, combustion)</v>
          </cell>
          <cell r="E379" t="str">
            <v>Mass</v>
          </cell>
          <cell r="F379">
            <v>1781.5714</v>
          </cell>
          <cell r="G379" t="str">
            <v>kg</v>
          </cell>
          <cell r="H379" t="str">
            <v>t</v>
          </cell>
          <cell r="I379" t="str">
            <v>none</v>
          </cell>
          <cell r="J379" t="str">
            <v>[Open-IDTD] Ferroalloys</v>
          </cell>
        </row>
        <row r="380">
          <cell r="A380" t="str">
            <v/>
          </cell>
        </row>
        <row r="381">
          <cell r="A381" t="str">
            <v>[Open-IDTD] Bayer process</v>
          </cell>
          <cell r="B381" t="str">
            <v>alumina</v>
          </cell>
          <cell r="C381" t="str">
            <v>reference_product</v>
          </cell>
          <cell r="D381">
            <v>281820</v>
          </cell>
          <cell r="E381" t="str">
            <v>Mass</v>
          </cell>
          <cell r="F381">
            <v>1</v>
          </cell>
          <cell r="G381" t="str">
            <v>t</v>
          </cell>
          <cell r="H381">
            <v>1</v>
          </cell>
          <cell r="I381" t="str">
            <v>none</v>
          </cell>
          <cell r="J381" t="str">
            <v>[Open-IDTD] Bayer process</v>
          </cell>
        </row>
        <row r="382">
          <cell r="A382" t="str">
            <v>[Open-IDTD] Bayer process</v>
          </cell>
          <cell r="B382" t="str">
            <v>coal</v>
          </cell>
          <cell r="C382" t="str">
            <v>from technosphere (energy_carrier)</v>
          </cell>
          <cell r="E382" t="str">
            <v>Energy</v>
          </cell>
          <cell r="F382">
            <v>8.4700000000000006</v>
          </cell>
          <cell r="G382" t="str">
            <v>GJ</v>
          </cell>
          <cell r="H382" t="str">
            <v>t</v>
          </cell>
          <cell r="I382" t="str">
            <v>none</v>
          </cell>
          <cell r="J382" t="str">
            <v>[Open-IDTD] Bayer process</v>
          </cell>
        </row>
        <row r="383">
          <cell r="A383" t="str">
            <v>[Open-IDTD] Bayer process</v>
          </cell>
          <cell r="B383" t="str">
            <v>electricity</v>
          </cell>
          <cell r="C383" t="str">
            <v>from technosphere (energy_carrier)</v>
          </cell>
          <cell r="E383" t="str">
            <v>Energy</v>
          </cell>
          <cell r="F383">
            <v>1.07</v>
          </cell>
          <cell r="G383" t="str">
            <v>GJ</v>
          </cell>
          <cell r="H383" t="str">
            <v>t</v>
          </cell>
          <cell r="I383" t="str">
            <v>none</v>
          </cell>
          <cell r="J383" t="str">
            <v>[Open-IDTD] Bayer process</v>
          </cell>
        </row>
        <row r="384">
          <cell r="A384" t="str">
            <v>[Open-IDTD] Bayer process</v>
          </cell>
          <cell r="B384" t="str">
            <v>heavy fuel oil</v>
          </cell>
          <cell r="C384" t="str">
            <v>from technosphere (energy_carrier)</v>
          </cell>
          <cell r="E384" t="str">
            <v>Energy</v>
          </cell>
          <cell r="F384">
            <v>1.1299999999999999</v>
          </cell>
          <cell r="G384" t="str">
            <v>GJ</v>
          </cell>
          <cell r="H384" t="str">
            <v>t</v>
          </cell>
          <cell r="I384" t="str">
            <v>none</v>
          </cell>
          <cell r="J384" t="str">
            <v>[Open-IDTD] Bayer process</v>
          </cell>
        </row>
        <row r="385">
          <cell r="A385" t="str">
            <v>[Open-IDTD] Bayer process</v>
          </cell>
          <cell r="B385" t="str">
            <v>natural gas</v>
          </cell>
          <cell r="C385" t="str">
            <v>from technosphere (energy_carrier)</v>
          </cell>
          <cell r="E385" t="str">
            <v>Energy</v>
          </cell>
          <cell r="F385">
            <v>4.03</v>
          </cell>
          <cell r="G385" t="str">
            <v>GJ</v>
          </cell>
          <cell r="H385" t="str">
            <v>t</v>
          </cell>
          <cell r="I385" t="str">
            <v>none</v>
          </cell>
          <cell r="J385" t="str">
            <v>[Open-IDTD] Bayer process</v>
          </cell>
        </row>
        <row r="386">
          <cell r="A386" t="str">
            <v>[Open-IDTD] Bayer process</v>
          </cell>
          <cell r="B386" t="str">
            <v>carbon dioxide</v>
          </cell>
          <cell r="C386" t="str">
            <v>to environment (emission, combustion)</v>
          </cell>
          <cell r="E386" t="str">
            <v>Mass</v>
          </cell>
          <cell r="F386">
            <v>1126.3257896425721</v>
          </cell>
          <cell r="G386" t="str">
            <v>kg</v>
          </cell>
          <cell r="H386" t="str">
            <v>t</v>
          </cell>
          <cell r="I386" t="str">
            <v>none</v>
          </cell>
          <cell r="J386" t="str">
            <v>[Open-IDTD] Bayer process</v>
          </cell>
        </row>
        <row r="387">
          <cell r="A387" t="str">
            <v/>
          </cell>
        </row>
        <row r="388">
          <cell r="A388" t="str">
            <v>[Open-IDTD] Hall-Héroult</v>
          </cell>
          <cell r="B388" t="str">
            <v>aluminium, primary</v>
          </cell>
          <cell r="C388" t="str">
            <v>reference_product</v>
          </cell>
          <cell r="D388">
            <v>7601</v>
          </cell>
          <cell r="E388" t="str">
            <v>Mass</v>
          </cell>
          <cell r="F388">
            <v>1</v>
          </cell>
          <cell r="G388" t="str">
            <v>t</v>
          </cell>
          <cell r="H388">
            <v>1</v>
          </cell>
          <cell r="I388" t="str">
            <v>none</v>
          </cell>
          <cell r="J388" t="str">
            <v>[Open-IDTD] Hall-Héroult</v>
          </cell>
        </row>
        <row r="389">
          <cell r="A389" t="str">
            <v>[Open-IDTD] Hall-Héroult</v>
          </cell>
          <cell r="B389" t="str">
            <v>alumina</v>
          </cell>
          <cell r="C389" t="str">
            <v>from technosphere (material)</v>
          </cell>
          <cell r="E389" t="str">
            <v>Mass</v>
          </cell>
          <cell r="F389">
            <v>1.9</v>
          </cell>
          <cell r="G389" t="str">
            <v>t</v>
          </cell>
          <cell r="H389" t="str">
            <v>t</v>
          </cell>
          <cell r="I389" t="str">
            <v>none</v>
          </cell>
          <cell r="J389" t="str">
            <v>[Open-IDTD] Hall-Héroult</v>
          </cell>
        </row>
        <row r="390">
          <cell r="A390" t="str">
            <v>[Open-IDTD] Hall-Héroult</v>
          </cell>
          <cell r="B390" t="str">
            <v>electricity</v>
          </cell>
          <cell r="C390" t="str">
            <v>from technosphere (energy_carrier)</v>
          </cell>
          <cell r="E390" t="str">
            <v>Energy</v>
          </cell>
          <cell r="F390">
            <v>48.68</v>
          </cell>
          <cell r="G390" t="str">
            <v>GJ</v>
          </cell>
          <cell r="H390" t="str">
            <v>t</v>
          </cell>
          <cell r="I390" t="str">
            <v>none</v>
          </cell>
          <cell r="J390" t="str">
            <v>[Open-IDTD] Hall-Héroult</v>
          </cell>
        </row>
        <row r="391">
          <cell r="A391" t="str">
            <v>[Open-IDTD] Hall-Héroult</v>
          </cell>
          <cell r="B391" t="str">
            <v>natural gas</v>
          </cell>
          <cell r="C391" t="str">
            <v>from technosphere (energy_carrier)</v>
          </cell>
          <cell r="E391" t="str">
            <v>Energy</v>
          </cell>
          <cell r="F391">
            <v>2.8</v>
          </cell>
          <cell r="G391" t="str">
            <v>GJ</v>
          </cell>
          <cell r="H391" t="str">
            <v>t</v>
          </cell>
          <cell r="I391" t="str">
            <v>none</v>
          </cell>
          <cell r="J391" t="str">
            <v>[Open-IDTD] Hall-Héroult</v>
          </cell>
        </row>
        <row r="392">
          <cell r="A392" t="str">
            <v>[Open-IDTD] Hall-Héroult</v>
          </cell>
          <cell r="B392" t="str">
            <v>carbon dioxide</v>
          </cell>
          <cell r="C392" t="str">
            <v>to environment (emission, combustion)</v>
          </cell>
          <cell r="E392" t="str">
            <v>Mass</v>
          </cell>
          <cell r="F392">
            <v>156.99777280211481</v>
          </cell>
          <cell r="G392" t="str">
            <v>kg</v>
          </cell>
          <cell r="H392" t="str">
            <v>t</v>
          </cell>
          <cell r="I392" t="str">
            <v>none</v>
          </cell>
          <cell r="J392" t="str">
            <v>[Open-IDTD] Hall-Héroult</v>
          </cell>
        </row>
        <row r="393">
          <cell r="A393" t="str">
            <v/>
          </cell>
        </row>
        <row r="394">
          <cell r="A394" t="str">
            <v>[Open-IDTD] Secondary aluminum</v>
          </cell>
          <cell r="B394" t="str">
            <v>aluminium, recycled</v>
          </cell>
          <cell r="C394" t="str">
            <v>reference_product</v>
          </cell>
          <cell r="D394">
            <v>7601</v>
          </cell>
          <cell r="E394" t="str">
            <v>Mass</v>
          </cell>
          <cell r="F394">
            <v>1</v>
          </cell>
          <cell r="G394" t="str">
            <v>t</v>
          </cell>
          <cell r="H394">
            <v>1</v>
          </cell>
          <cell r="I394" t="str">
            <v>none</v>
          </cell>
          <cell r="J394" t="str">
            <v>[Open-IDTD] Secondary aluminum</v>
          </cell>
        </row>
        <row r="395">
          <cell r="A395" t="str">
            <v>[Open-IDTD] Secondary aluminum</v>
          </cell>
          <cell r="B395" t="str">
            <v>electricity</v>
          </cell>
          <cell r="C395" t="str">
            <v>from technosphere (energy_carrier)</v>
          </cell>
          <cell r="E395" t="str">
            <v>Energy</v>
          </cell>
          <cell r="F395">
            <v>0.46</v>
          </cell>
          <cell r="G395" t="str">
            <v>GJ</v>
          </cell>
          <cell r="H395" t="str">
            <v>t</v>
          </cell>
          <cell r="I395" t="str">
            <v>none</v>
          </cell>
          <cell r="J395" t="str">
            <v>[Open-IDTD] Secondary aluminum</v>
          </cell>
        </row>
        <row r="396">
          <cell r="A396" t="str">
            <v>[Open-IDTD] Secondary aluminum</v>
          </cell>
          <cell r="B396" t="str">
            <v>heavy fuel oil</v>
          </cell>
          <cell r="C396" t="str">
            <v>from technosphere (energy_carrier)</v>
          </cell>
          <cell r="E396" t="str">
            <v>Energy</v>
          </cell>
          <cell r="F396">
            <v>0.14000000000000001</v>
          </cell>
          <cell r="G396" t="str">
            <v>GJ</v>
          </cell>
          <cell r="H396" t="str">
            <v>t</v>
          </cell>
          <cell r="I396" t="str">
            <v>none</v>
          </cell>
          <cell r="J396" t="str">
            <v>[Open-IDTD] Secondary aluminum</v>
          </cell>
        </row>
        <row r="397">
          <cell r="A397" t="str">
            <v>[Open-IDTD] Secondary aluminum</v>
          </cell>
          <cell r="B397" t="str">
            <v>natural gas</v>
          </cell>
          <cell r="C397" t="str">
            <v>from technosphere (energy_carrier)</v>
          </cell>
          <cell r="E397" t="str">
            <v>Energy</v>
          </cell>
          <cell r="F397">
            <v>3.7</v>
          </cell>
          <cell r="G397" t="str">
            <v>GJ</v>
          </cell>
          <cell r="H397" t="str">
            <v>t</v>
          </cell>
          <cell r="I397" t="str">
            <v>none</v>
          </cell>
          <cell r="J397" t="str">
            <v>[Open-IDTD] Secondary aluminum</v>
          </cell>
        </row>
        <row r="398">
          <cell r="A398" t="str">
            <v>[Open-IDTD] Secondary aluminum</v>
          </cell>
          <cell r="B398" t="str">
            <v>carbon dioxide</v>
          </cell>
          <cell r="C398" t="str">
            <v>to environment (emission, combustion)</v>
          </cell>
          <cell r="E398" t="str">
            <v>Mass</v>
          </cell>
          <cell r="F398">
            <v>218.2534895836196</v>
          </cell>
          <cell r="G398" t="str">
            <v>kg</v>
          </cell>
          <cell r="H398" t="str">
            <v>t</v>
          </cell>
          <cell r="I398" t="str">
            <v>none</v>
          </cell>
          <cell r="J398" t="str">
            <v>[Open-IDTD] Secondary aluminum</v>
          </cell>
        </row>
        <row r="399">
          <cell r="A399" t="str">
            <v/>
          </cell>
        </row>
        <row r="400">
          <cell r="A400" t="str">
            <v>[Open-IDTD] Inert anodes</v>
          </cell>
          <cell r="B400" t="str">
            <v>aluminium, primary</v>
          </cell>
          <cell r="C400" t="str">
            <v>reference_product</v>
          </cell>
          <cell r="D400">
            <v>7601</v>
          </cell>
          <cell r="E400" t="str">
            <v>Mass</v>
          </cell>
          <cell r="F400">
            <v>1</v>
          </cell>
          <cell r="G400" t="str">
            <v>t</v>
          </cell>
          <cell r="H400">
            <v>1</v>
          </cell>
          <cell r="I400" t="str">
            <v>none</v>
          </cell>
          <cell r="J400" t="str">
            <v>[Open-IDTD] Inert anodes</v>
          </cell>
        </row>
        <row r="401">
          <cell r="A401" t="str">
            <v>[Open-IDTD] Inert anodes</v>
          </cell>
          <cell r="B401" t="str">
            <v>alumina</v>
          </cell>
          <cell r="C401" t="str">
            <v>from technosphere (material)</v>
          </cell>
          <cell r="E401" t="str">
            <v>Mass</v>
          </cell>
          <cell r="F401">
            <v>1.9</v>
          </cell>
          <cell r="G401" t="str">
            <v>t</v>
          </cell>
          <cell r="H401" t="str">
            <v>t</v>
          </cell>
          <cell r="I401" t="str">
            <v>none</v>
          </cell>
          <cell r="J401" t="str">
            <v>[Open-IDTD] Inert anodes</v>
          </cell>
        </row>
        <row r="402">
          <cell r="A402" t="str">
            <v>[Open-IDTD] Inert anodes</v>
          </cell>
          <cell r="B402" t="str">
            <v>electricity</v>
          </cell>
          <cell r="C402" t="str">
            <v>from technosphere (energy_carrier)</v>
          </cell>
          <cell r="E402" t="str">
            <v>Energy</v>
          </cell>
          <cell r="F402">
            <v>38.28</v>
          </cell>
          <cell r="G402" t="str">
            <v>GJ</v>
          </cell>
          <cell r="H402" t="str">
            <v>t</v>
          </cell>
          <cell r="I402" t="str">
            <v>none</v>
          </cell>
          <cell r="J402" t="str">
            <v>[Open-IDTD] Inert anodes</v>
          </cell>
        </row>
        <row r="403">
          <cell r="A403" t="str">
            <v>[Open-IDTD] Inert anodes</v>
          </cell>
          <cell r="B403" t="str">
            <v>natural gas</v>
          </cell>
          <cell r="C403" t="str">
            <v>from technosphere (energy_carrier)</v>
          </cell>
          <cell r="E403" t="str">
            <v>Energy</v>
          </cell>
          <cell r="F403">
            <v>2.2000000000000002</v>
          </cell>
          <cell r="G403" t="str">
            <v>GJ</v>
          </cell>
          <cell r="H403" t="str">
            <v>t</v>
          </cell>
          <cell r="I403" t="str">
            <v>none</v>
          </cell>
          <cell r="J403" t="str">
            <v>[Open-IDTD] Inert anodes</v>
          </cell>
        </row>
        <row r="404">
          <cell r="A404" t="str">
            <v>[Open-IDTD] Inert anodes</v>
          </cell>
          <cell r="B404" t="str">
            <v>carbon dioxide</v>
          </cell>
          <cell r="C404" t="str">
            <v>to environment (emission, combustion)</v>
          </cell>
          <cell r="E404" t="str">
            <v>Mass</v>
          </cell>
          <cell r="F404">
            <v>123.35539291594741</v>
          </cell>
          <cell r="G404" t="str">
            <v>kg</v>
          </cell>
          <cell r="H404" t="str">
            <v>t</v>
          </cell>
          <cell r="I404" t="str">
            <v>none</v>
          </cell>
          <cell r="J404" t="str">
            <v>[Open-IDTD] Inert anodes</v>
          </cell>
        </row>
        <row r="405">
          <cell r="A405" t="str">
            <v/>
          </cell>
        </row>
        <row r="406">
          <cell r="A406" t="str">
            <v>[Open-IDTD] Carbothermic reduction</v>
          </cell>
          <cell r="B406" t="str">
            <v>aluminium, primary</v>
          </cell>
          <cell r="C406" t="str">
            <v>reference_product</v>
          </cell>
          <cell r="D406">
            <v>7601</v>
          </cell>
          <cell r="E406" t="str">
            <v>Mass</v>
          </cell>
          <cell r="F406">
            <v>1</v>
          </cell>
          <cell r="G406" t="str">
            <v>t</v>
          </cell>
          <cell r="H406">
            <v>1</v>
          </cell>
          <cell r="I406" t="str">
            <v>none</v>
          </cell>
          <cell r="J406" t="str">
            <v>[Open-IDTD] Carbothermic reduction</v>
          </cell>
        </row>
        <row r="407">
          <cell r="A407" t="str">
            <v>[Open-IDTD] Carbothermic reduction</v>
          </cell>
          <cell r="B407" t="str">
            <v>alumina</v>
          </cell>
          <cell r="C407" t="str">
            <v>from technosphere (material)</v>
          </cell>
          <cell r="E407" t="str">
            <v>Mass</v>
          </cell>
          <cell r="F407">
            <v>1.9</v>
          </cell>
          <cell r="G407" t="str">
            <v>t</v>
          </cell>
          <cell r="H407" t="str">
            <v>t</v>
          </cell>
          <cell r="I407" t="str">
            <v>none</v>
          </cell>
          <cell r="J407" t="str">
            <v>[Open-IDTD] Carbothermic reduction</v>
          </cell>
        </row>
        <row r="408">
          <cell r="A408" t="str">
            <v>[Open-IDTD] Carbothermic reduction</v>
          </cell>
          <cell r="B408" t="str">
            <v>electricity</v>
          </cell>
          <cell r="C408" t="str">
            <v>from technosphere (energy_carrier)</v>
          </cell>
          <cell r="E408" t="str">
            <v>Energy</v>
          </cell>
          <cell r="F408">
            <v>34.08</v>
          </cell>
          <cell r="G408" t="str">
            <v>GJ</v>
          </cell>
          <cell r="H408" t="str">
            <v>t</v>
          </cell>
          <cell r="I408" t="str">
            <v>none</v>
          </cell>
          <cell r="J408" t="str">
            <v>[Open-IDTD] Carbothermic reduction</v>
          </cell>
        </row>
        <row r="409">
          <cell r="A409" t="str">
            <v>[Open-IDTD] Carbothermic reduction</v>
          </cell>
          <cell r="B409" t="str">
            <v>natural gas</v>
          </cell>
          <cell r="C409" t="str">
            <v>from technosphere (energy_carrier)</v>
          </cell>
          <cell r="E409" t="str">
            <v>Energy</v>
          </cell>
          <cell r="F409">
            <v>1.96</v>
          </cell>
          <cell r="G409" t="str">
            <v>GJ</v>
          </cell>
          <cell r="H409" t="str">
            <v>t</v>
          </cell>
          <cell r="I409" t="str">
            <v>none</v>
          </cell>
          <cell r="J409" t="str">
            <v>[Open-IDTD] Carbothermic reduction</v>
          </cell>
        </row>
        <row r="410">
          <cell r="A410" t="str">
            <v>[Open-IDTD] Carbothermic reduction</v>
          </cell>
          <cell r="B410" t="str">
            <v>carbon dioxide</v>
          </cell>
          <cell r="C410" t="str">
            <v>to environment (emission, combustion)</v>
          </cell>
          <cell r="E410" t="str">
            <v>Mass</v>
          </cell>
          <cell r="F410">
            <v>109.8984409614804</v>
          </cell>
          <cell r="G410" t="str">
            <v>kg</v>
          </cell>
          <cell r="H410" t="str">
            <v>t</v>
          </cell>
          <cell r="I410" t="str">
            <v>none</v>
          </cell>
          <cell r="J410" t="str">
            <v>[Open-IDTD] Carbothermic reduction</v>
          </cell>
        </row>
        <row r="411">
          <cell r="A411" t="str">
            <v/>
          </cell>
        </row>
        <row r="412">
          <cell r="A412" t="str">
            <v>[Open-IDTD] Kaolinite reduction</v>
          </cell>
          <cell r="B412" t="str">
            <v>aluminium, primary</v>
          </cell>
          <cell r="C412" t="str">
            <v>reference_product</v>
          </cell>
          <cell r="D412">
            <v>7601</v>
          </cell>
          <cell r="E412" t="str">
            <v>Mass</v>
          </cell>
          <cell r="F412">
            <v>1</v>
          </cell>
          <cell r="G412" t="str">
            <v>t</v>
          </cell>
          <cell r="H412">
            <v>1</v>
          </cell>
          <cell r="I412" t="str">
            <v>none</v>
          </cell>
          <cell r="J412" t="str">
            <v>[Open-IDTD] Kaolinite reduction</v>
          </cell>
        </row>
        <row r="413">
          <cell r="A413" t="str">
            <v>[Open-IDTD] Kaolinite reduction</v>
          </cell>
          <cell r="B413" t="str">
            <v>electricity</v>
          </cell>
          <cell r="C413" t="str">
            <v>from technosphere (energy_carrier)</v>
          </cell>
          <cell r="E413" t="str">
            <v>Energy</v>
          </cell>
          <cell r="F413">
            <v>50.39</v>
          </cell>
          <cell r="G413" t="str">
            <v>GJ</v>
          </cell>
          <cell r="H413" t="str">
            <v>t</v>
          </cell>
          <cell r="I413" t="str">
            <v>none</v>
          </cell>
          <cell r="J413" t="str">
            <v>[Open-IDTD] Kaolinite reduction</v>
          </cell>
        </row>
        <row r="414">
          <cell r="A414" t="str">
            <v/>
          </cell>
        </row>
        <row r="415">
          <cell r="A415" t="str">
            <v>[Open-IDTD] Copper production</v>
          </cell>
          <cell r="B415" t="str">
            <v>copper</v>
          </cell>
          <cell r="C415" t="str">
            <v>reference_product</v>
          </cell>
          <cell r="D415">
            <v>7402</v>
          </cell>
          <cell r="E415" t="str">
            <v>Mass</v>
          </cell>
          <cell r="F415">
            <v>1</v>
          </cell>
          <cell r="G415" t="str">
            <v>t</v>
          </cell>
          <cell r="H415">
            <v>1</v>
          </cell>
          <cell r="I415" t="str">
            <v>none</v>
          </cell>
          <cell r="J415" t="str">
            <v>[Open-IDTD] Copper</v>
          </cell>
        </row>
        <row r="416">
          <cell r="A416" t="str">
            <v>[Open-IDTD] Copper production</v>
          </cell>
          <cell r="B416" t="str">
            <v>coal</v>
          </cell>
          <cell r="C416" t="str">
            <v>from technosphere (energy_carrier)</v>
          </cell>
          <cell r="E416" t="str">
            <v>Energy</v>
          </cell>
          <cell r="F416">
            <v>0.26</v>
          </cell>
          <cell r="G416" t="str">
            <v>GJ</v>
          </cell>
          <cell r="H416" t="str">
            <v>t</v>
          </cell>
          <cell r="I416" t="str">
            <v>none</v>
          </cell>
          <cell r="J416" t="str">
            <v>[Open-IDTD] Copper</v>
          </cell>
        </row>
        <row r="417">
          <cell r="A417" t="str">
            <v>[Open-IDTD] Copper production</v>
          </cell>
          <cell r="B417" t="str">
            <v>electricity</v>
          </cell>
          <cell r="C417" t="str">
            <v>from technosphere (energy_carrier)</v>
          </cell>
          <cell r="E417" t="str">
            <v>Energy</v>
          </cell>
          <cell r="F417">
            <v>11.01</v>
          </cell>
          <cell r="G417" t="str">
            <v>GJ</v>
          </cell>
          <cell r="H417" t="str">
            <v>t</v>
          </cell>
          <cell r="I417" t="str">
            <v>none</v>
          </cell>
          <cell r="J417" t="str">
            <v>[Open-IDTD] Copper</v>
          </cell>
        </row>
        <row r="418">
          <cell r="A418" t="str">
            <v>[Open-IDTD] Copper production</v>
          </cell>
          <cell r="B418" t="str">
            <v>heavy fuel oil</v>
          </cell>
          <cell r="C418" t="str">
            <v>from technosphere (energy_carrier)</v>
          </cell>
          <cell r="E418" t="str">
            <v>Energy</v>
          </cell>
          <cell r="F418">
            <v>0.45</v>
          </cell>
          <cell r="G418" t="str">
            <v>GJ</v>
          </cell>
          <cell r="H418" t="str">
            <v>t</v>
          </cell>
          <cell r="I418" t="str">
            <v>none</v>
          </cell>
          <cell r="J418" t="str">
            <v>[Open-IDTD] Copper</v>
          </cell>
        </row>
        <row r="419">
          <cell r="A419" t="str">
            <v>[Open-IDTD] Copper production</v>
          </cell>
          <cell r="B419" t="str">
            <v xml:space="preserve">machine drive </v>
          </cell>
          <cell r="C419" t="str">
            <v>from technosphere (energy_carrier)</v>
          </cell>
          <cell r="E419" t="str">
            <v>Energy</v>
          </cell>
          <cell r="F419">
            <v>11.26</v>
          </cell>
          <cell r="G419" t="str">
            <v>GJ</v>
          </cell>
          <cell r="H419" t="str">
            <v>t</v>
          </cell>
          <cell r="I419" t="str">
            <v>none</v>
          </cell>
          <cell r="J419" t="str">
            <v>[Open-IDTD] Copper</v>
          </cell>
        </row>
        <row r="420">
          <cell r="A420" t="str">
            <v>[Open-IDTD] Copper production</v>
          </cell>
          <cell r="B420" t="str">
            <v>natural gas</v>
          </cell>
          <cell r="C420" t="str">
            <v>from technosphere (energy_carrier)</v>
          </cell>
          <cell r="E420" t="str">
            <v>Energy</v>
          </cell>
          <cell r="F420">
            <v>3.33</v>
          </cell>
          <cell r="G420" t="str">
            <v>GJ</v>
          </cell>
          <cell r="H420" t="str">
            <v>t</v>
          </cell>
          <cell r="I420" t="str">
            <v>none</v>
          </cell>
          <cell r="J420" t="str">
            <v>[Open-IDTD] Copper</v>
          </cell>
        </row>
        <row r="421">
          <cell r="A421" t="str">
            <v/>
          </cell>
        </row>
        <row r="422">
          <cell r="A422" t="str">
            <v>[Open-IDTD] Zinc production</v>
          </cell>
          <cell r="B422" t="str">
            <v>zinc</v>
          </cell>
          <cell r="C422" t="str">
            <v>reference_product</v>
          </cell>
          <cell r="D422" t="str">
            <v>8001</v>
          </cell>
          <cell r="E422" t="str">
            <v>Mass</v>
          </cell>
          <cell r="F422">
            <v>1</v>
          </cell>
          <cell r="G422" t="str">
            <v>t</v>
          </cell>
          <cell r="H422">
            <v>1</v>
          </cell>
          <cell r="I422" t="str">
            <v>none</v>
          </cell>
          <cell r="J422" t="str">
            <v>[Open-IDTD] Tin</v>
          </cell>
        </row>
        <row r="423">
          <cell r="A423" t="str">
            <v>[Open-IDTD] Zinc production</v>
          </cell>
          <cell r="B423" t="str">
            <v>steam</v>
          </cell>
          <cell r="C423" t="str">
            <v>from technosphere (energy_carrier)</v>
          </cell>
          <cell r="E423" t="str">
            <v>Energy</v>
          </cell>
          <cell r="F423">
            <v>4.7300000000000004</v>
          </cell>
          <cell r="G423" t="str">
            <v>GJ</v>
          </cell>
          <cell r="H423" t="str">
            <v>t</v>
          </cell>
          <cell r="I423" t="str">
            <v>none</v>
          </cell>
          <cell r="J423" t="str">
            <v>[Open-IDTD] Tin</v>
          </cell>
        </row>
        <row r="424">
          <cell r="A424" t="str">
            <v>[Open-IDTD] Zinc production</v>
          </cell>
          <cell r="B424" t="str">
            <v>electricity</v>
          </cell>
          <cell r="C424" t="str">
            <v>from technosphere (energy_carrier)</v>
          </cell>
          <cell r="E424" t="str">
            <v>Energy</v>
          </cell>
          <cell r="F424">
            <v>15.55</v>
          </cell>
          <cell r="G424" t="str">
            <v>GJ</v>
          </cell>
          <cell r="H424" t="str">
            <v>t</v>
          </cell>
          <cell r="I424" t="str">
            <v>none</v>
          </cell>
          <cell r="J424" t="str">
            <v>[Open-IDTD] Tin</v>
          </cell>
        </row>
        <row r="425">
          <cell r="A425" t="str">
            <v/>
          </cell>
        </row>
        <row r="426">
          <cell r="A426" t="str">
            <v>[Open-IDTD] Tin production</v>
          </cell>
          <cell r="B426" t="str">
            <v>tin</v>
          </cell>
          <cell r="C426" t="str">
            <v>reference_product</v>
          </cell>
          <cell r="D426" t="str">
            <v>8001</v>
          </cell>
          <cell r="E426" t="str">
            <v>Mass</v>
          </cell>
          <cell r="F426">
            <v>1</v>
          </cell>
          <cell r="G426" t="str">
            <v>t</v>
          </cell>
          <cell r="H426">
            <v>1</v>
          </cell>
          <cell r="I426" t="str">
            <v>none</v>
          </cell>
          <cell r="J426" t="str">
            <v>[Open-IDTD] Tin</v>
          </cell>
        </row>
        <row r="427">
          <cell r="A427" t="str">
            <v>[Open-IDTD] Tin production</v>
          </cell>
          <cell r="B427" t="str">
            <v>coal</v>
          </cell>
          <cell r="C427" t="str">
            <v>from technosphere (energy_carrier)</v>
          </cell>
          <cell r="E427" t="str">
            <v>Energy</v>
          </cell>
          <cell r="F427">
            <v>0.18</v>
          </cell>
          <cell r="G427" t="str">
            <v>GJ</v>
          </cell>
          <cell r="H427" t="str">
            <v>t</v>
          </cell>
          <cell r="I427" t="str">
            <v>none</v>
          </cell>
          <cell r="J427" t="str">
            <v>[Open-IDTD] Tin</v>
          </cell>
        </row>
        <row r="428">
          <cell r="A428" t="str">
            <v>[Open-IDTD] Tin production</v>
          </cell>
          <cell r="B428" t="str">
            <v>electricity</v>
          </cell>
          <cell r="C428" t="str">
            <v>from technosphere (energy_carrier)</v>
          </cell>
          <cell r="E428" t="str">
            <v>Energy</v>
          </cell>
          <cell r="F428">
            <v>7.83</v>
          </cell>
          <cell r="G428" t="str">
            <v>GJ</v>
          </cell>
          <cell r="H428" t="str">
            <v>t</v>
          </cell>
          <cell r="I428" t="str">
            <v>none</v>
          </cell>
          <cell r="J428" t="str">
            <v>[Open-IDTD] Tin</v>
          </cell>
        </row>
        <row r="429">
          <cell r="A429" t="str">
            <v>[Open-IDTD] Tin production</v>
          </cell>
          <cell r="B429" t="str">
            <v>gasoil</v>
          </cell>
          <cell r="C429" t="str">
            <v>from technosphere (energy_carrier)</v>
          </cell>
          <cell r="E429" t="str">
            <v>Energy</v>
          </cell>
          <cell r="F429">
            <v>0.9</v>
          </cell>
          <cell r="G429" t="str">
            <v>GJ</v>
          </cell>
          <cell r="H429" t="str">
            <v>t</v>
          </cell>
          <cell r="I429" t="str">
            <v>none</v>
          </cell>
          <cell r="J429" t="str">
            <v>[Open-IDTD] Tin</v>
          </cell>
        </row>
        <row r="430">
          <cell r="A430" t="str">
            <v>[Open-IDTD] Tin production</v>
          </cell>
          <cell r="B430" t="str">
            <v>heavy fuel oil</v>
          </cell>
          <cell r="C430" t="str">
            <v>from technosphere (energy_carrier)</v>
          </cell>
          <cell r="E430" t="str">
            <v>Energy</v>
          </cell>
          <cell r="F430">
            <v>0.32</v>
          </cell>
          <cell r="G430" t="str">
            <v>GJ</v>
          </cell>
          <cell r="H430" t="str">
            <v>t</v>
          </cell>
          <cell r="I430" t="str">
            <v>none</v>
          </cell>
          <cell r="J430" t="str">
            <v>[Open-IDTD] Tin</v>
          </cell>
        </row>
        <row r="431">
          <cell r="A431" t="str">
            <v>[Open-IDTD] Tin production</v>
          </cell>
          <cell r="B431" t="str">
            <v xml:space="preserve">machine drive </v>
          </cell>
          <cell r="C431" t="str">
            <v>from technosphere (energy_carrier)</v>
          </cell>
          <cell r="E431" t="str">
            <v>Energy</v>
          </cell>
          <cell r="F431">
            <v>8</v>
          </cell>
          <cell r="G431" t="str">
            <v>GJ</v>
          </cell>
          <cell r="H431" t="str">
            <v>t</v>
          </cell>
          <cell r="I431" t="str">
            <v>none</v>
          </cell>
          <cell r="J431" t="str">
            <v>[Open-IDTD] Tin</v>
          </cell>
        </row>
        <row r="432">
          <cell r="A432" t="str">
            <v>[Open-IDTD] Tin production</v>
          </cell>
          <cell r="B432" t="str">
            <v>natural gas</v>
          </cell>
          <cell r="C432" t="str">
            <v>from technosphere (energy_carrier)</v>
          </cell>
          <cell r="E432" t="str">
            <v>Energy</v>
          </cell>
          <cell r="F432">
            <v>2.37</v>
          </cell>
          <cell r="G432" t="str">
            <v>GJ</v>
          </cell>
          <cell r="H432" t="str">
            <v>t</v>
          </cell>
          <cell r="I432" t="str">
            <v>none</v>
          </cell>
          <cell r="J432" t="str">
            <v>[Open-IDTD] Tin</v>
          </cell>
        </row>
        <row r="433">
          <cell r="A433" t="str">
            <v/>
          </cell>
        </row>
        <row r="434">
          <cell r="A434" t="str">
            <v>[Open-IDTD] Kroll process</v>
          </cell>
          <cell r="B434" t="str">
            <v>titanium</v>
          </cell>
          <cell r="C434" t="str">
            <v>reference_product</v>
          </cell>
          <cell r="D434" t="str">
            <v>8108</v>
          </cell>
          <cell r="E434" t="str">
            <v>Mass</v>
          </cell>
          <cell r="F434">
            <v>1</v>
          </cell>
          <cell r="G434" t="str">
            <v>t</v>
          </cell>
          <cell r="H434">
            <v>1</v>
          </cell>
          <cell r="I434" t="str">
            <v>none</v>
          </cell>
          <cell r="J434" t="str">
            <v>[Open-IDTD] Titanium</v>
          </cell>
        </row>
        <row r="435">
          <cell r="A435" t="str">
            <v>[Open-IDTD] Kroll process</v>
          </cell>
          <cell r="B435" t="str">
            <v>coal</v>
          </cell>
          <cell r="C435" t="str">
            <v>from technosphere (energy_carrier)</v>
          </cell>
          <cell r="E435" t="str">
            <v>Energy</v>
          </cell>
          <cell r="F435">
            <v>92.02</v>
          </cell>
          <cell r="G435" t="str">
            <v>GJ</v>
          </cell>
          <cell r="H435" t="str">
            <v>t</v>
          </cell>
          <cell r="I435" t="str">
            <v>none</v>
          </cell>
          <cell r="J435" t="str">
            <v>[Open-IDTD] Titanium</v>
          </cell>
        </row>
        <row r="436">
          <cell r="A436" t="str">
            <v>[Open-IDTD] Kroll process</v>
          </cell>
          <cell r="B436" t="str">
            <v>coke</v>
          </cell>
          <cell r="C436" t="str">
            <v>from technosphere (energy_carrier)</v>
          </cell>
          <cell r="E436" t="str">
            <v>Energy</v>
          </cell>
          <cell r="F436">
            <v>36</v>
          </cell>
          <cell r="G436" t="str">
            <v>GJ</v>
          </cell>
          <cell r="H436" t="str">
            <v>t</v>
          </cell>
          <cell r="I436" t="str">
            <v>none</v>
          </cell>
          <cell r="J436" t="str">
            <v>[Open-IDTD] Titanium</v>
          </cell>
        </row>
        <row r="437">
          <cell r="A437" t="str">
            <v>[Open-IDTD] Kroll process</v>
          </cell>
          <cell r="B437" t="str">
            <v>electricity</v>
          </cell>
          <cell r="C437" t="str">
            <v>from technosphere (energy_carrier)</v>
          </cell>
          <cell r="E437" t="str">
            <v>Energy</v>
          </cell>
          <cell r="F437">
            <v>95.76</v>
          </cell>
          <cell r="G437" t="str">
            <v>GJ</v>
          </cell>
          <cell r="H437" t="str">
            <v>t</v>
          </cell>
          <cell r="I437" t="str">
            <v>none</v>
          </cell>
          <cell r="J437" t="str">
            <v>[Open-IDTD] Titanium</v>
          </cell>
        </row>
        <row r="438">
          <cell r="A438" t="str">
            <v>[Open-IDTD] Kroll process</v>
          </cell>
          <cell r="B438" t="str">
            <v>gasoil</v>
          </cell>
          <cell r="C438" t="str">
            <v>from technosphere (energy_carrier)</v>
          </cell>
          <cell r="E438" t="str">
            <v>Energy</v>
          </cell>
          <cell r="F438">
            <v>64.61</v>
          </cell>
          <cell r="G438" t="str">
            <v>GJ</v>
          </cell>
          <cell r="H438" t="str">
            <v>t</v>
          </cell>
          <cell r="I438" t="str">
            <v>none</v>
          </cell>
          <cell r="J438" t="str">
            <v>[Open-IDTD] Titanium</v>
          </cell>
        </row>
        <row r="439">
          <cell r="A439" t="str">
            <v>[Open-IDTD] Kroll process</v>
          </cell>
          <cell r="B439" t="str">
            <v>LPG</v>
          </cell>
          <cell r="C439" t="str">
            <v>from technosphere (energy_carrier)</v>
          </cell>
          <cell r="E439" t="str">
            <v>Energy</v>
          </cell>
          <cell r="F439">
            <v>3.3</v>
          </cell>
          <cell r="G439" t="str">
            <v>GJ</v>
          </cell>
          <cell r="H439" t="str">
            <v>t</v>
          </cell>
          <cell r="I439" t="str">
            <v>none</v>
          </cell>
          <cell r="J439" t="str">
            <v>[Open-IDTD] Titanium</v>
          </cell>
        </row>
        <row r="440">
          <cell r="A440" t="str">
            <v>[Open-IDTD] Kroll process</v>
          </cell>
          <cell r="B440" t="str">
            <v>natural gas</v>
          </cell>
          <cell r="C440" t="str">
            <v>from technosphere (energy_carrier)</v>
          </cell>
          <cell r="E440" t="str">
            <v>Energy</v>
          </cell>
          <cell r="F440">
            <v>5.92</v>
          </cell>
          <cell r="G440" t="str">
            <v>GJ</v>
          </cell>
          <cell r="H440" t="str">
            <v>t</v>
          </cell>
          <cell r="I440" t="str">
            <v>none</v>
          </cell>
          <cell r="J440" t="str">
            <v>[Open-IDTD] Titanium</v>
          </cell>
        </row>
        <row r="441">
          <cell r="A441" t="str">
            <v/>
          </cell>
        </row>
        <row r="442">
          <cell r="A442" t="str">
            <v>[Open-IDTD] Niobium production</v>
          </cell>
          <cell r="B442" t="str">
            <v xml:space="preserve">niobium </v>
          </cell>
          <cell r="C442" t="str">
            <v>reference_product</v>
          </cell>
          <cell r="D442">
            <v>2615</v>
          </cell>
          <cell r="E442" t="str">
            <v>Mass</v>
          </cell>
          <cell r="F442">
            <v>1</v>
          </cell>
          <cell r="G442" t="str">
            <v>t</v>
          </cell>
          <cell r="H442">
            <v>1</v>
          </cell>
          <cell r="I442" t="str">
            <v>none</v>
          </cell>
          <cell r="J442" t="str">
            <v>[Open-IDTD] Niobium</v>
          </cell>
        </row>
        <row r="443">
          <cell r="A443" t="str">
            <v>[Open-IDTD] Niobium production</v>
          </cell>
          <cell r="B443" t="str">
            <v>biomass</v>
          </cell>
          <cell r="C443" t="str">
            <v>from technosphere (energy_carrier)</v>
          </cell>
          <cell r="E443" t="str">
            <v>Energy</v>
          </cell>
          <cell r="F443">
            <v>0.16</v>
          </cell>
          <cell r="G443" t="str">
            <v>GJ</v>
          </cell>
          <cell r="H443" t="str">
            <v>t</v>
          </cell>
          <cell r="I443" t="str">
            <v>none</v>
          </cell>
          <cell r="J443" t="str">
            <v>[Open-IDTD] Niobium</v>
          </cell>
        </row>
        <row r="444">
          <cell r="A444" t="str">
            <v>[Open-IDTD] Niobium production</v>
          </cell>
          <cell r="B444" t="str">
            <v>coal</v>
          </cell>
          <cell r="C444" t="str">
            <v>from technosphere (energy_carrier)</v>
          </cell>
          <cell r="E444" t="str">
            <v>Energy</v>
          </cell>
          <cell r="F444">
            <v>2.14</v>
          </cell>
          <cell r="G444" t="str">
            <v>GJ</v>
          </cell>
          <cell r="H444" t="str">
            <v>t</v>
          </cell>
          <cell r="I444" t="str">
            <v>none</v>
          </cell>
          <cell r="J444" t="str">
            <v>[Open-IDTD] Niobium</v>
          </cell>
        </row>
        <row r="445">
          <cell r="A445" t="str">
            <v>[Open-IDTD] Niobium production</v>
          </cell>
          <cell r="B445" t="str">
            <v>coke</v>
          </cell>
          <cell r="C445" t="str">
            <v>from technosphere (energy_carrier)</v>
          </cell>
          <cell r="E445" t="str">
            <v>Energy</v>
          </cell>
          <cell r="F445">
            <v>1.02</v>
          </cell>
          <cell r="G445" t="str">
            <v>GJ</v>
          </cell>
          <cell r="H445" t="str">
            <v>t</v>
          </cell>
          <cell r="I445" t="str">
            <v>none</v>
          </cell>
          <cell r="J445" t="str">
            <v>[Open-IDTD] Niobium</v>
          </cell>
        </row>
        <row r="446">
          <cell r="A446" t="str">
            <v>[Open-IDTD] Niobium production</v>
          </cell>
          <cell r="B446" t="str">
            <v>electricity</v>
          </cell>
          <cell r="C446" t="str">
            <v>from technosphere (energy_carrier)</v>
          </cell>
          <cell r="E446" t="str">
            <v>Energy</v>
          </cell>
          <cell r="F446">
            <v>12.4</v>
          </cell>
          <cell r="G446" t="str">
            <v>GJ</v>
          </cell>
          <cell r="H446" t="str">
            <v>t</v>
          </cell>
          <cell r="I446" t="str">
            <v>none</v>
          </cell>
          <cell r="J446" t="str">
            <v>[Open-IDTD] Niobium</v>
          </cell>
        </row>
        <row r="447">
          <cell r="A447" t="str">
            <v>[Open-IDTD] Niobium production</v>
          </cell>
          <cell r="B447" t="str">
            <v>gasoil</v>
          </cell>
          <cell r="C447" t="str">
            <v>from technosphere (energy_carrier)</v>
          </cell>
          <cell r="E447" t="str">
            <v>Energy</v>
          </cell>
          <cell r="F447">
            <v>1.55</v>
          </cell>
          <cell r="G447" t="str">
            <v>GJ</v>
          </cell>
          <cell r="H447" t="str">
            <v>t</v>
          </cell>
          <cell r="I447" t="str">
            <v>none</v>
          </cell>
          <cell r="J447" t="str">
            <v>[Open-IDTD] Niobium</v>
          </cell>
        </row>
        <row r="448">
          <cell r="A448" t="str">
            <v/>
          </cell>
        </row>
        <row r="449">
          <cell r="A449" t="str">
            <v>[Open-IDTD] Dry clinker</v>
          </cell>
          <cell r="B449" t="str">
            <v>cement clinker</v>
          </cell>
          <cell r="C449" t="str">
            <v>reference_product</v>
          </cell>
          <cell r="D449">
            <v>2523</v>
          </cell>
          <cell r="E449" t="str">
            <v>Mass</v>
          </cell>
          <cell r="F449">
            <v>1</v>
          </cell>
          <cell r="G449" t="str">
            <v>t</v>
          </cell>
          <cell r="H449">
            <v>1</v>
          </cell>
          <cell r="I449" t="str">
            <v>none</v>
          </cell>
          <cell r="J449" t="str">
            <v>[Open-IDTD] Dry clinker</v>
          </cell>
        </row>
        <row r="450">
          <cell r="A450" t="str">
            <v>[Open-IDTD] Dry clinker</v>
          </cell>
          <cell r="B450" t="str">
            <v>biomass</v>
          </cell>
          <cell r="C450" t="str">
            <v>from technosphere (energy_carrier)</v>
          </cell>
          <cell r="E450" t="str">
            <v>Energy</v>
          </cell>
          <cell r="F450">
            <v>0.22</v>
          </cell>
          <cell r="G450" t="str">
            <v>GJ</v>
          </cell>
          <cell r="H450" t="str">
            <v>t</v>
          </cell>
          <cell r="I450" t="str">
            <v>none</v>
          </cell>
          <cell r="J450" t="str">
            <v>[Open-IDTD] Dry clinker</v>
          </cell>
        </row>
        <row r="451">
          <cell r="A451" t="str">
            <v>[Open-IDTD] Dry clinker</v>
          </cell>
          <cell r="B451" t="str">
            <v>coal</v>
          </cell>
          <cell r="C451" t="str">
            <v>from technosphere (energy_carrier)</v>
          </cell>
          <cell r="E451" t="str">
            <v>Energy</v>
          </cell>
          <cell r="F451">
            <v>2.67</v>
          </cell>
          <cell r="G451" t="str">
            <v>GJ</v>
          </cell>
          <cell r="H451" t="str">
            <v>t</v>
          </cell>
          <cell r="I451" t="str">
            <v>none</v>
          </cell>
          <cell r="J451" t="str">
            <v>[Open-IDTD] Dry clinker</v>
          </cell>
        </row>
        <row r="452">
          <cell r="A452" t="str">
            <v>[Open-IDTD] Dry clinker</v>
          </cell>
          <cell r="B452" t="str">
            <v>electricity</v>
          </cell>
          <cell r="C452" t="str">
            <v>from technosphere (energy_carrier)</v>
          </cell>
          <cell r="E452" t="str">
            <v>Energy</v>
          </cell>
          <cell r="F452">
            <v>0.41</v>
          </cell>
          <cell r="G452" t="str">
            <v>GJ</v>
          </cell>
          <cell r="H452" t="str">
            <v>t</v>
          </cell>
          <cell r="I452" t="str">
            <v>none</v>
          </cell>
          <cell r="J452" t="str">
            <v>[Open-IDTD] Dry clinker</v>
          </cell>
        </row>
        <row r="453">
          <cell r="A453" t="str">
            <v>[Open-IDTD] Dry clinker</v>
          </cell>
          <cell r="B453" t="str">
            <v>heavy fuel oil</v>
          </cell>
          <cell r="C453" t="str">
            <v>from technosphere (energy_carrier)</v>
          </cell>
          <cell r="E453" t="str">
            <v>Energy</v>
          </cell>
          <cell r="F453">
            <v>0.67</v>
          </cell>
          <cell r="G453" t="str">
            <v>GJ</v>
          </cell>
          <cell r="H453" t="str">
            <v>t</v>
          </cell>
          <cell r="I453" t="str">
            <v>none</v>
          </cell>
          <cell r="J453" t="str">
            <v>[Open-IDTD] Dry clinker</v>
          </cell>
        </row>
        <row r="454">
          <cell r="A454" t="str">
            <v>[Open-IDTD] Dry clinker</v>
          </cell>
          <cell r="B454" t="str">
            <v>natural gas</v>
          </cell>
          <cell r="C454" t="str">
            <v>from technosphere (energy_carrier)</v>
          </cell>
          <cell r="E454" t="str">
            <v>Energy</v>
          </cell>
          <cell r="F454">
            <v>0.34</v>
          </cell>
          <cell r="G454" t="str">
            <v>GJ</v>
          </cell>
          <cell r="H454" t="str">
            <v>t</v>
          </cell>
          <cell r="I454" t="str">
            <v>none</v>
          </cell>
          <cell r="J454" t="str">
            <v>[Open-IDTD] Dry clinker</v>
          </cell>
        </row>
        <row r="455">
          <cell r="A455" t="str">
            <v>[Open-IDTD] Dry clinker</v>
          </cell>
          <cell r="B455" t="str">
            <v>carbon dioxide</v>
          </cell>
          <cell r="C455" t="str">
            <v>to environment (emission, combustion)</v>
          </cell>
          <cell r="E455" t="str">
            <v>Mass</v>
          </cell>
          <cell r="F455">
            <v>330.13441611600541</v>
          </cell>
          <cell r="G455" t="str">
            <v>kg</v>
          </cell>
          <cell r="H455" t="str">
            <v>t</v>
          </cell>
          <cell r="I455" t="str">
            <v>none</v>
          </cell>
          <cell r="J455" t="str">
            <v>[Open-IDTD] Dry clinker</v>
          </cell>
        </row>
        <row r="456">
          <cell r="A456" t="str">
            <v>[Open-IDTD] Dry clinker</v>
          </cell>
          <cell r="B456" t="str">
            <v>carbon dioxide</v>
          </cell>
          <cell r="C456" t="str">
            <v>to environment (emission, process)</v>
          </cell>
          <cell r="E456" t="str">
            <v>Mass</v>
          </cell>
          <cell r="F456">
            <v>505.2</v>
          </cell>
          <cell r="G456" t="str">
            <v>kg</v>
          </cell>
          <cell r="H456" t="str">
            <v>t</v>
          </cell>
          <cell r="I456" t="str">
            <v>none</v>
          </cell>
          <cell r="J456" t="str">
            <v>[Open-IDTD] Dry clinker</v>
          </cell>
        </row>
        <row r="457">
          <cell r="A457" t="str">
            <v/>
          </cell>
        </row>
        <row r="458">
          <cell r="A458" t="str">
            <v>[Open-IDTD] Wet clinker</v>
          </cell>
          <cell r="B458" t="str">
            <v>cement clinker</v>
          </cell>
          <cell r="C458" t="str">
            <v>reference_product</v>
          </cell>
          <cell r="D458">
            <v>2523</v>
          </cell>
          <cell r="E458" t="str">
            <v>Mass</v>
          </cell>
          <cell r="F458">
            <v>1</v>
          </cell>
          <cell r="G458" t="str">
            <v>t</v>
          </cell>
          <cell r="H458">
            <v>1</v>
          </cell>
          <cell r="I458" t="str">
            <v>none</v>
          </cell>
          <cell r="J458" t="str">
            <v>[Open-IDTD] Wet clinker</v>
          </cell>
        </row>
        <row r="459">
          <cell r="A459" t="str">
            <v>[Open-IDTD] Wet clinker</v>
          </cell>
          <cell r="B459" t="str">
            <v>biomass</v>
          </cell>
          <cell r="C459" t="str">
            <v>from technosphere (energy_carrier)</v>
          </cell>
          <cell r="E459" t="str">
            <v>Energy</v>
          </cell>
          <cell r="F459">
            <v>0.35</v>
          </cell>
          <cell r="G459" t="str">
            <v>GJ</v>
          </cell>
          <cell r="H459" t="str">
            <v>t</v>
          </cell>
          <cell r="I459" t="str">
            <v>none</v>
          </cell>
          <cell r="J459" t="str">
            <v>[Open-IDTD] Wet clinker</v>
          </cell>
        </row>
        <row r="460">
          <cell r="A460" t="str">
            <v>[Open-IDTD] Wet clinker</v>
          </cell>
          <cell r="B460" t="str">
            <v>coal</v>
          </cell>
          <cell r="C460" t="str">
            <v>from technosphere (energy_carrier)</v>
          </cell>
          <cell r="E460" t="str">
            <v>Energy</v>
          </cell>
          <cell r="F460">
            <v>4.16</v>
          </cell>
          <cell r="G460" t="str">
            <v>GJ</v>
          </cell>
          <cell r="H460" t="str">
            <v>t</v>
          </cell>
          <cell r="I460" t="str">
            <v>none</v>
          </cell>
          <cell r="J460" t="str">
            <v>[Open-IDTD] Wet clinker</v>
          </cell>
        </row>
        <row r="461">
          <cell r="A461" t="str">
            <v>[Open-IDTD] Wet clinker</v>
          </cell>
          <cell r="B461" t="str">
            <v>electricity</v>
          </cell>
          <cell r="C461" t="str">
            <v>from technosphere (energy_carrier)</v>
          </cell>
          <cell r="E461" t="str">
            <v>Energy</v>
          </cell>
          <cell r="F461">
            <v>0.41</v>
          </cell>
          <cell r="G461" t="str">
            <v>GJ</v>
          </cell>
          <cell r="H461" t="str">
            <v>t</v>
          </cell>
          <cell r="I461" t="str">
            <v>none</v>
          </cell>
          <cell r="J461" t="str">
            <v>[Open-IDTD] Wet clinker</v>
          </cell>
        </row>
        <row r="462">
          <cell r="A462" t="str">
            <v>[Open-IDTD] Wet clinker</v>
          </cell>
          <cell r="B462" t="str">
            <v>heavy fuel oil</v>
          </cell>
          <cell r="C462" t="str">
            <v>from technosphere (energy_carrier)</v>
          </cell>
          <cell r="E462" t="str">
            <v>Energy</v>
          </cell>
          <cell r="F462">
            <v>1.04</v>
          </cell>
          <cell r="G462" t="str">
            <v>GJ</v>
          </cell>
          <cell r="H462" t="str">
            <v>t</v>
          </cell>
          <cell r="I462" t="str">
            <v>none</v>
          </cell>
          <cell r="J462" t="str">
            <v>[Open-IDTD] Wet clinker</v>
          </cell>
        </row>
        <row r="463">
          <cell r="A463" t="str">
            <v>[Open-IDTD] Wet clinker</v>
          </cell>
          <cell r="B463" t="str">
            <v>natural gas</v>
          </cell>
          <cell r="C463" t="str">
            <v>from technosphere (energy_carrier)</v>
          </cell>
          <cell r="E463" t="str">
            <v>Energy</v>
          </cell>
          <cell r="F463">
            <v>0.52</v>
          </cell>
          <cell r="G463" t="str">
            <v>GJ</v>
          </cell>
          <cell r="H463" t="str">
            <v>t</v>
          </cell>
          <cell r="I463" t="str">
            <v>none</v>
          </cell>
          <cell r="J463" t="str">
            <v>[Open-IDTD] Wet clinker</v>
          </cell>
        </row>
        <row r="464">
          <cell r="A464" t="str">
            <v>[Open-IDTD] Wet clinker</v>
          </cell>
          <cell r="B464" t="str">
            <v>carbon dioxide</v>
          </cell>
          <cell r="C464" t="str">
            <v>to environment (emission, combustion)</v>
          </cell>
          <cell r="E464" t="str">
            <v>Mass</v>
          </cell>
          <cell r="F464">
            <v>513.62101318070006</v>
          </cell>
          <cell r="G464" t="str">
            <v>kg</v>
          </cell>
          <cell r="H464" t="str">
            <v>t</v>
          </cell>
          <cell r="I464" t="str">
            <v>none</v>
          </cell>
          <cell r="J464" t="str">
            <v>[Open-IDTD] Wet clinker</v>
          </cell>
        </row>
        <row r="465">
          <cell r="A465" t="str">
            <v>[Open-IDTD] Wet clinker</v>
          </cell>
          <cell r="B465" t="str">
            <v>carbon dioxide</v>
          </cell>
          <cell r="C465" t="str">
            <v>to environment (emission, process)</v>
          </cell>
          <cell r="E465" t="str">
            <v>Mass</v>
          </cell>
          <cell r="F465">
            <v>505.2</v>
          </cell>
          <cell r="G465" t="str">
            <v>kg</v>
          </cell>
          <cell r="H465" t="str">
            <v>t</v>
          </cell>
          <cell r="I465" t="str">
            <v>none</v>
          </cell>
          <cell r="J465" t="str">
            <v>[Open-IDTD] Wet clinker</v>
          </cell>
        </row>
        <row r="466">
          <cell r="A466" t="str">
            <v/>
          </cell>
        </row>
        <row r="467">
          <cell r="A467" t="str">
            <v>[Open-IDTD] Efficient dry feed rotary kiln + on-site CCS</v>
          </cell>
          <cell r="B467" t="str">
            <v>cement clinker</v>
          </cell>
          <cell r="C467" t="str">
            <v>reference_product</v>
          </cell>
          <cell r="D467">
            <v>2523</v>
          </cell>
          <cell r="E467" t="str">
            <v>Mass</v>
          </cell>
          <cell r="F467">
            <v>1</v>
          </cell>
          <cell r="G467" t="str">
            <v>t</v>
          </cell>
          <cell r="H467">
            <v>1</v>
          </cell>
          <cell r="I467" t="str">
            <v>none</v>
          </cell>
          <cell r="J467" t="str">
            <v>[Open-IDTD] Dry cl. w/ post-comb. CCS</v>
          </cell>
        </row>
        <row r="468">
          <cell r="A468" t="str">
            <v>[Open-IDTD] Efficient dry feed rotary kiln + on-site CCS</v>
          </cell>
          <cell r="B468" t="str">
            <v>biomass</v>
          </cell>
          <cell r="C468" t="str">
            <v>from technosphere (energy_carrier)</v>
          </cell>
          <cell r="E468" t="str">
            <v>Energy</v>
          </cell>
          <cell r="F468">
            <v>0.22</v>
          </cell>
          <cell r="G468" t="str">
            <v>GJ</v>
          </cell>
          <cell r="H468" t="str">
            <v>t</v>
          </cell>
          <cell r="I468" t="str">
            <v>none</v>
          </cell>
          <cell r="J468" t="str">
            <v>[Open-IDTD] Dry cl. w/ post-comb. CCS</v>
          </cell>
        </row>
        <row r="469">
          <cell r="A469" t="str">
            <v>[Open-IDTD] Efficient dry feed rotary kiln + on-site CCS</v>
          </cell>
          <cell r="B469" t="str">
            <v>coal</v>
          </cell>
          <cell r="C469" t="str">
            <v>from technosphere (energy_carrier)</v>
          </cell>
          <cell r="E469" t="str">
            <v>Energy</v>
          </cell>
          <cell r="F469">
            <v>2.67</v>
          </cell>
          <cell r="G469" t="str">
            <v>GJ</v>
          </cell>
          <cell r="H469" t="str">
            <v>t</v>
          </cell>
          <cell r="I469" t="str">
            <v>none</v>
          </cell>
          <cell r="J469" t="str">
            <v>[Open-IDTD] Dry cl. w/ post-comb. CCS</v>
          </cell>
        </row>
        <row r="470">
          <cell r="A470" t="str">
            <v>[Open-IDTD] Efficient dry feed rotary kiln + on-site CCS</v>
          </cell>
          <cell r="B470" t="str">
            <v>electricity</v>
          </cell>
          <cell r="C470" t="str">
            <v>from technosphere (energy_carrier)</v>
          </cell>
          <cell r="E470" t="str">
            <v>Energy</v>
          </cell>
          <cell r="F470">
            <v>0.41</v>
          </cell>
          <cell r="G470" t="str">
            <v>GJ</v>
          </cell>
          <cell r="H470" t="str">
            <v>t</v>
          </cell>
          <cell r="I470" t="str">
            <v>none</v>
          </cell>
          <cell r="J470" t="str">
            <v>[Open-IDTD] Dry cl. w/ post-comb. CCS</v>
          </cell>
        </row>
        <row r="471">
          <cell r="A471" t="str">
            <v>[Open-IDTD] Efficient dry feed rotary kiln + on-site CCS</v>
          </cell>
          <cell r="B471" t="str">
            <v>heavy fuel oil</v>
          </cell>
          <cell r="C471" t="str">
            <v>from technosphere (energy_carrier)</v>
          </cell>
          <cell r="E471" t="str">
            <v>Energy</v>
          </cell>
          <cell r="F471">
            <v>0.67</v>
          </cell>
          <cell r="G471" t="str">
            <v>GJ</v>
          </cell>
          <cell r="H471" t="str">
            <v>t</v>
          </cell>
          <cell r="I471" t="str">
            <v>none</v>
          </cell>
          <cell r="J471" t="str">
            <v>[Open-IDTD] Dry cl. w/ post-comb. CCS</v>
          </cell>
        </row>
        <row r="472">
          <cell r="A472" t="str">
            <v>[Open-IDTD] Efficient dry feed rotary kiln + on-site CCS</v>
          </cell>
          <cell r="B472" t="str">
            <v xml:space="preserve">machine drive </v>
          </cell>
          <cell r="C472" t="str">
            <v>from technosphere (energy_carrier)</v>
          </cell>
          <cell r="E472" t="str">
            <v>Energy</v>
          </cell>
          <cell r="F472">
            <v>0.51</v>
          </cell>
          <cell r="G472" t="str">
            <v>GJ</v>
          </cell>
          <cell r="H472" t="str">
            <v>t</v>
          </cell>
          <cell r="I472" t="str">
            <v>none</v>
          </cell>
          <cell r="J472" t="str">
            <v>[Open-IDTD] Dry cl. w/ post-comb. CCS</v>
          </cell>
        </row>
        <row r="473">
          <cell r="A473" t="str">
            <v>[Open-IDTD] Efficient dry feed rotary kiln + on-site CCS</v>
          </cell>
          <cell r="B473" t="str">
            <v>natural gas</v>
          </cell>
          <cell r="C473" t="str">
            <v>from technosphere (energy_carrier)</v>
          </cell>
          <cell r="E473" t="str">
            <v>Energy</v>
          </cell>
          <cell r="F473">
            <v>0.34</v>
          </cell>
          <cell r="G473" t="str">
            <v>GJ</v>
          </cell>
          <cell r="H473" t="str">
            <v>t</v>
          </cell>
          <cell r="I473" t="str">
            <v>none</v>
          </cell>
          <cell r="J473" t="str">
            <v>[Open-IDTD] Dry cl. w/ post-comb. CCS</v>
          </cell>
        </row>
        <row r="474">
          <cell r="A474" t="str">
            <v>[Open-IDTD] Efficient dry feed rotary kiln + on-site CCS</v>
          </cell>
          <cell r="B474" t="str">
            <v>steam</v>
          </cell>
          <cell r="C474" t="str">
            <v>from technosphere (energy_carrier)</v>
          </cell>
          <cell r="E474" t="str">
            <v>Energy</v>
          </cell>
          <cell r="F474">
            <v>2.66</v>
          </cell>
          <cell r="G474" t="str">
            <v>GJ</v>
          </cell>
          <cell r="H474" t="str">
            <v>t</v>
          </cell>
          <cell r="I474" t="str">
            <v>none</v>
          </cell>
          <cell r="J474" t="str">
            <v>[Open-IDTD] Dry cl. w/ post-comb. CCS</v>
          </cell>
        </row>
        <row r="475">
          <cell r="A475" t="str">
            <v>[Open-IDTD] Efficient dry feed rotary kiln + on-site CCS</v>
          </cell>
          <cell r="B475" t="str">
            <v>carbon dioxide</v>
          </cell>
          <cell r="C475" t="str">
            <v>to environment (emission, combustion)</v>
          </cell>
          <cell r="E475" t="str">
            <v>Mass</v>
          </cell>
          <cell r="F475">
            <v>330.13441611600541</v>
          </cell>
          <cell r="G475" t="str">
            <v>kg</v>
          </cell>
          <cell r="H475" t="str">
            <v>t</v>
          </cell>
          <cell r="I475" t="str">
            <v>none</v>
          </cell>
          <cell r="J475" t="str">
            <v>[Open-IDTD] Dry cl. w/ post-comb. CCS</v>
          </cell>
        </row>
        <row r="476">
          <cell r="A476" t="str">
            <v>[Open-IDTD] Efficient dry feed rotary kiln + on-site CCS</v>
          </cell>
          <cell r="B476" t="str">
            <v>carbon dioxide</v>
          </cell>
          <cell r="C476" t="str">
            <v>to environment (emission, process)</v>
          </cell>
          <cell r="E476" t="str">
            <v>Mass</v>
          </cell>
          <cell r="F476">
            <v>505.2</v>
          </cell>
          <cell r="G476" t="str">
            <v>kg</v>
          </cell>
          <cell r="H476" t="str">
            <v>t</v>
          </cell>
          <cell r="I476" t="str">
            <v>none</v>
          </cell>
          <cell r="J476" t="str">
            <v>[Open-IDTD] Dry cl. w/ post-comb. CCS</v>
          </cell>
        </row>
        <row r="477">
          <cell r="A477" t="str">
            <v>[Open-IDTD] Efficient dry feed rotary kiln + on-site CCS</v>
          </cell>
          <cell r="B477" t="str">
            <v>carbon dioxide</v>
          </cell>
          <cell r="C477" t="str">
            <v>to technosphere (by-product)</v>
          </cell>
          <cell r="E477" t="str">
            <v>Mass</v>
          </cell>
          <cell r="F477">
            <v>835.12580000000003</v>
          </cell>
          <cell r="G477" t="str">
            <v>kg</v>
          </cell>
          <cell r="H477" t="str">
            <v>t</v>
          </cell>
          <cell r="I477" t="str">
            <v>none</v>
          </cell>
          <cell r="J477" t="str">
            <v>[Open-IDTD] Dry cl. w/ post-comb. CCS</v>
          </cell>
        </row>
        <row r="478">
          <cell r="A478" t="str">
            <v/>
          </cell>
        </row>
        <row r="479">
          <cell r="A479" t="str">
            <v>[Open-IDTD] Efficient dry feed rotary kiln + oxy-combustion CCS</v>
          </cell>
          <cell r="B479" t="str">
            <v>cement clinker</v>
          </cell>
          <cell r="C479" t="str">
            <v>reference_product</v>
          </cell>
          <cell r="D479">
            <v>2523</v>
          </cell>
          <cell r="E479" t="str">
            <v>Mass</v>
          </cell>
          <cell r="F479">
            <v>1</v>
          </cell>
          <cell r="G479" t="str">
            <v>t</v>
          </cell>
          <cell r="H479">
            <v>1</v>
          </cell>
          <cell r="I479" t="str">
            <v>none</v>
          </cell>
          <cell r="J479" t="str">
            <v>[Open-IDTD] Dry cl. w/ oxyfuel CCS</v>
          </cell>
        </row>
        <row r="480">
          <cell r="A480" t="str">
            <v>[Open-IDTD] Efficient dry feed rotary kiln + oxy-combustion CCS</v>
          </cell>
          <cell r="B480" t="str">
            <v>biomass</v>
          </cell>
          <cell r="C480" t="str">
            <v>from technosphere (energy_carrier)</v>
          </cell>
          <cell r="E480" t="str">
            <v>Energy</v>
          </cell>
          <cell r="F480">
            <v>0.22</v>
          </cell>
          <cell r="G480" t="str">
            <v>GJ</v>
          </cell>
          <cell r="H480" t="str">
            <v>t</v>
          </cell>
          <cell r="I480" t="str">
            <v>none</v>
          </cell>
          <cell r="J480" t="str">
            <v>[Open-IDTD] Dry cl. w/ oxyfuel CCS</v>
          </cell>
        </row>
        <row r="481">
          <cell r="A481" t="str">
            <v>[Open-IDTD] Efficient dry feed rotary kiln + oxy-combustion CCS</v>
          </cell>
          <cell r="B481" t="str">
            <v>coal</v>
          </cell>
          <cell r="C481" t="str">
            <v>from technosphere (energy_carrier)</v>
          </cell>
          <cell r="E481" t="str">
            <v>Energy</v>
          </cell>
          <cell r="F481">
            <v>2.67</v>
          </cell>
          <cell r="G481" t="str">
            <v>GJ</v>
          </cell>
          <cell r="H481" t="str">
            <v>t</v>
          </cell>
          <cell r="I481" t="str">
            <v>none</v>
          </cell>
          <cell r="J481" t="str">
            <v>[Open-IDTD] Dry cl. w/ oxyfuel CCS</v>
          </cell>
        </row>
        <row r="482">
          <cell r="A482" t="str">
            <v>[Open-IDTD] Efficient dry feed rotary kiln + oxy-combustion CCS</v>
          </cell>
          <cell r="B482" t="str">
            <v>electricity</v>
          </cell>
          <cell r="C482" t="str">
            <v>from technosphere (energy_carrier)</v>
          </cell>
          <cell r="E482" t="str">
            <v>Energy</v>
          </cell>
          <cell r="F482">
            <v>0.82</v>
          </cell>
          <cell r="G482" t="str">
            <v>GJ</v>
          </cell>
          <cell r="H482" t="str">
            <v>t</v>
          </cell>
          <cell r="I482" t="str">
            <v>none</v>
          </cell>
          <cell r="J482" t="str">
            <v>[Open-IDTD] Dry cl. w/ oxyfuel CCS</v>
          </cell>
        </row>
        <row r="483">
          <cell r="A483" t="str">
            <v>[Open-IDTD] Efficient dry feed rotary kiln + oxy-combustion CCS</v>
          </cell>
          <cell r="B483" t="str">
            <v>heavy fuel oil</v>
          </cell>
          <cell r="C483" t="str">
            <v>from technosphere (energy_carrier)</v>
          </cell>
          <cell r="E483" t="str">
            <v>Energy</v>
          </cell>
          <cell r="F483">
            <v>0.67</v>
          </cell>
          <cell r="G483" t="str">
            <v>GJ</v>
          </cell>
          <cell r="H483" t="str">
            <v>t</v>
          </cell>
          <cell r="I483" t="str">
            <v>none</v>
          </cell>
          <cell r="J483" t="str">
            <v>[Open-IDTD] Dry cl. w/ oxyfuel CCS</v>
          </cell>
        </row>
        <row r="484">
          <cell r="A484" t="str">
            <v>[Open-IDTD] Efficient dry feed rotary kiln + oxy-combustion CCS</v>
          </cell>
          <cell r="B484" t="str">
            <v>natural gas</v>
          </cell>
          <cell r="C484" t="str">
            <v>from technosphere (energy_carrier)</v>
          </cell>
          <cell r="E484" t="str">
            <v>Energy</v>
          </cell>
          <cell r="F484">
            <v>0.34</v>
          </cell>
          <cell r="G484" t="str">
            <v>GJ</v>
          </cell>
          <cell r="H484" t="str">
            <v>t</v>
          </cell>
          <cell r="I484" t="str">
            <v>none</v>
          </cell>
          <cell r="J484" t="str">
            <v>[Open-IDTD] Dry cl. w/ oxyfuel CCS</v>
          </cell>
        </row>
        <row r="485">
          <cell r="A485" t="str">
            <v>[Open-IDTD] Efficient dry feed rotary kiln + oxy-combustion CCS</v>
          </cell>
          <cell r="B485" t="str">
            <v>carbon dioxide</v>
          </cell>
          <cell r="C485" t="str">
            <v>to environment (emission, combustion)</v>
          </cell>
          <cell r="E485" t="str">
            <v>Mass</v>
          </cell>
          <cell r="F485">
            <v>330.13441611600541</v>
          </cell>
          <cell r="G485" t="str">
            <v>kg</v>
          </cell>
          <cell r="H485" t="str">
            <v>t</v>
          </cell>
          <cell r="I485" t="str">
            <v>none</v>
          </cell>
          <cell r="J485" t="str">
            <v>[Open-IDTD] Dry cl. w/ oxyfuel CCS</v>
          </cell>
        </row>
        <row r="486">
          <cell r="A486" t="str">
            <v>[Open-IDTD] Efficient dry feed rotary kiln + oxy-combustion CCS</v>
          </cell>
          <cell r="B486" t="str">
            <v>carbon dioxide</v>
          </cell>
          <cell r="C486" t="str">
            <v>to environment (emission, process)</v>
          </cell>
          <cell r="E486" t="str">
            <v>Mass</v>
          </cell>
          <cell r="F486">
            <v>505.2</v>
          </cell>
          <cell r="G486" t="str">
            <v>kg</v>
          </cell>
          <cell r="H486" t="str">
            <v>t</v>
          </cell>
          <cell r="I486" t="str">
            <v>none</v>
          </cell>
          <cell r="J486" t="str">
            <v>[Open-IDTD] Dry cl. w/ oxyfuel CCS</v>
          </cell>
        </row>
        <row r="487">
          <cell r="A487" t="str">
            <v>[Open-IDTD] Efficient dry feed rotary kiln + oxy-combustion CCS</v>
          </cell>
          <cell r="B487" t="str">
            <v>carbon dioxide</v>
          </cell>
          <cell r="C487" t="str">
            <v>to technosphere (by-product)</v>
          </cell>
          <cell r="E487" t="str">
            <v>Mass</v>
          </cell>
          <cell r="F487">
            <v>835.12580000000003</v>
          </cell>
          <cell r="G487" t="str">
            <v>kg</v>
          </cell>
          <cell r="H487" t="str">
            <v>t</v>
          </cell>
          <cell r="I487" t="str">
            <v>none</v>
          </cell>
          <cell r="J487" t="str">
            <v>[Open-IDTD] Dry cl. w/ oxyfuel CCS</v>
          </cell>
        </row>
        <row r="488">
          <cell r="A488" t="str">
            <v/>
          </cell>
        </row>
        <row r="489">
          <cell r="A489" t="str">
            <v>[Open-IDTD] Blended cement</v>
          </cell>
          <cell r="B489" t="str">
            <v>cement</v>
          </cell>
          <cell r="C489" t="str">
            <v>reference_product</v>
          </cell>
          <cell r="D489">
            <v>2523</v>
          </cell>
          <cell r="E489" t="str">
            <v>Mass</v>
          </cell>
          <cell r="F489">
            <v>1</v>
          </cell>
          <cell r="G489" t="str">
            <v>t</v>
          </cell>
          <cell r="H489">
            <v>1</v>
          </cell>
          <cell r="I489" t="str">
            <v>none</v>
          </cell>
          <cell r="J489" t="str">
            <v>[Open-IDTD] Blended cement</v>
          </cell>
        </row>
        <row r="490">
          <cell r="A490" t="str">
            <v>[Open-IDTD] Blended cement</v>
          </cell>
          <cell r="B490" t="str">
            <v>cement clinker</v>
          </cell>
          <cell r="C490" t="str">
            <v>from technosphere (material)</v>
          </cell>
          <cell r="E490" t="str">
            <v>Mass</v>
          </cell>
          <cell r="F490">
            <v>0.7</v>
          </cell>
          <cell r="G490" t="str">
            <v>t</v>
          </cell>
          <cell r="H490">
            <v>1</v>
          </cell>
          <cell r="I490" t="str">
            <v>none</v>
          </cell>
          <cell r="J490" t="str">
            <v>[Open-IDTD] Blended cement</v>
          </cell>
        </row>
        <row r="491">
          <cell r="A491" t="str">
            <v>[Open-IDTD] Blended cement</v>
          </cell>
          <cell r="B491" t="str">
            <v>slag</v>
          </cell>
          <cell r="C491" t="str">
            <v>from technosphere (material)</v>
          </cell>
          <cell r="E491" t="str">
            <v>Mass</v>
          </cell>
          <cell r="F491">
            <v>0.3</v>
          </cell>
          <cell r="G491" t="str">
            <v>t</v>
          </cell>
          <cell r="H491">
            <v>1</v>
          </cell>
          <cell r="I491" t="str">
            <v>none</v>
          </cell>
          <cell r="J491" t="str">
            <v>[Open-IDTD] Blended cement</v>
          </cell>
        </row>
        <row r="493">
          <cell r="A493" t="str">
            <v>[Open-IDTD] Alkali-activated cement</v>
          </cell>
          <cell r="B493" t="str">
            <v>cement</v>
          </cell>
          <cell r="C493" t="str">
            <v>reference_product</v>
          </cell>
          <cell r="D493">
            <v>2523</v>
          </cell>
          <cell r="E493" t="str">
            <v>Mass</v>
          </cell>
          <cell r="F493">
            <v>1</v>
          </cell>
          <cell r="G493" t="str">
            <v>t</v>
          </cell>
          <cell r="H493">
            <v>1</v>
          </cell>
          <cell r="I493" t="str">
            <v>none</v>
          </cell>
          <cell r="J493" t="str">
            <v>[Open-IDTD] AAC</v>
          </cell>
        </row>
        <row r="494">
          <cell r="A494" t="str">
            <v>[Open-IDTD] Alkali-activated cement</v>
          </cell>
          <cell r="B494" t="str">
            <v>biomass</v>
          </cell>
          <cell r="C494" t="str">
            <v>from technosphere (energy_carrier)</v>
          </cell>
          <cell r="E494" t="str">
            <v>Energy</v>
          </cell>
          <cell r="F494">
            <v>0.06</v>
          </cell>
          <cell r="G494" t="str">
            <v>GJ</v>
          </cell>
          <cell r="H494" t="str">
            <v>t</v>
          </cell>
          <cell r="I494" t="str">
            <v>none</v>
          </cell>
          <cell r="J494" t="str">
            <v>[Open-IDTD] AAC</v>
          </cell>
        </row>
        <row r="495">
          <cell r="A495" t="str">
            <v>[Open-IDTD] Alkali-activated cement</v>
          </cell>
          <cell r="B495" t="str">
            <v>coal</v>
          </cell>
          <cell r="C495" t="str">
            <v>from technosphere (energy_carrier)</v>
          </cell>
          <cell r="E495" t="str">
            <v>Energy</v>
          </cell>
          <cell r="F495">
            <v>0.74</v>
          </cell>
          <cell r="G495" t="str">
            <v>GJ</v>
          </cell>
          <cell r="H495" t="str">
            <v>t</v>
          </cell>
          <cell r="I495" t="str">
            <v>none</v>
          </cell>
          <cell r="J495" t="str">
            <v>[Open-IDTD] AAC</v>
          </cell>
        </row>
        <row r="496">
          <cell r="A496" t="str">
            <v>[Open-IDTD] Alkali-activated cement</v>
          </cell>
          <cell r="B496" t="str">
            <v>electricity</v>
          </cell>
          <cell r="C496" t="str">
            <v>from technosphere (energy_carrier)</v>
          </cell>
          <cell r="E496" t="str">
            <v>Energy</v>
          </cell>
          <cell r="F496">
            <v>0.11</v>
          </cell>
          <cell r="G496" t="str">
            <v>GJ</v>
          </cell>
          <cell r="H496" t="str">
            <v>t</v>
          </cell>
          <cell r="I496" t="str">
            <v>none</v>
          </cell>
          <cell r="J496" t="str">
            <v>[Open-IDTD] AAC</v>
          </cell>
        </row>
        <row r="497">
          <cell r="A497" t="str">
            <v>[Open-IDTD] Alkali-activated cement</v>
          </cell>
          <cell r="B497" t="str">
            <v>heavy fuel oil</v>
          </cell>
          <cell r="C497" t="str">
            <v>from technosphere (energy_carrier)</v>
          </cell>
          <cell r="E497" t="str">
            <v>Energy</v>
          </cell>
          <cell r="F497">
            <v>0.19</v>
          </cell>
          <cell r="G497" t="str">
            <v>GJ</v>
          </cell>
          <cell r="H497" t="str">
            <v>t</v>
          </cell>
          <cell r="I497" t="str">
            <v>none</v>
          </cell>
          <cell r="J497" t="str">
            <v>[Open-IDTD] AAC</v>
          </cell>
        </row>
        <row r="498">
          <cell r="A498" t="str">
            <v>[Open-IDTD] Alkali-activated cement</v>
          </cell>
          <cell r="B498" t="str">
            <v>natural gas</v>
          </cell>
          <cell r="C498" t="str">
            <v>from technosphere (energy_carrier)</v>
          </cell>
          <cell r="E498" t="str">
            <v>Energy</v>
          </cell>
          <cell r="F498">
            <v>0.09</v>
          </cell>
          <cell r="G498" t="str">
            <v>GJ</v>
          </cell>
          <cell r="H498" t="str">
            <v>t</v>
          </cell>
          <cell r="I498" t="str">
            <v>none</v>
          </cell>
          <cell r="J498" t="str">
            <v>[Open-IDTD] AAC</v>
          </cell>
        </row>
        <row r="499">
          <cell r="A499" t="str">
            <v>[Open-IDTD] Alkali-activated cement</v>
          </cell>
          <cell r="B499" t="str">
            <v>carbon dioxide</v>
          </cell>
          <cell r="C499" t="str">
            <v>to environment (emission, combustion)</v>
          </cell>
          <cell r="E499" t="str">
            <v>Mass</v>
          </cell>
          <cell r="F499">
            <v>91.579101204260311</v>
          </cell>
          <cell r="G499" t="str">
            <v>kg</v>
          </cell>
          <cell r="H499" t="str">
            <v>t</v>
          </cell>
          <cell r="I499" t="str">
            <v>none</v>
          </cell>
          <cell r="J499" t="str">
            <v>[Open-IDTD] AAC</v>
          </cell>
        </row>
        <row r="501">
          <cell r="A501" t="str">
            <v>[Open-IDTD] Belite cement</v>
          </cell>
          <cell r="B501" t="str">
            <v>cement</v>
          </cell>
          <cell r="C501" t="str">
            <v>reference_product</v>
          </cell>
          <cell r="D501">
            <v>2523</v>
          </cell>
          <cell r="E501" t="str">
            <v>Mass</v>
          </cell>
          <cell r="F501">
            <v>1</v>
          </cell>
          <cell r="G501" t="str">
            <v>t</v>
          </cell>
          <cell r="H501">
            <v>1</v>
          </cell>
          <cell r="I501" t="str">
            <v>none</v>
          </cell>
          <cell r="J501" t="str">
            <v>[Open-IDTD] Belite cement</v>
          </cell>
        </row>
        <row r="502">
          <cell r="A502" t="str">
            <v>[Open-IDTD] Belite cement</v>
          </cell>
          <cell r="B502" t="str">
            <v>biomass</v>
          </cell>
          <cell r="C502" t="str">
            <v>from technosphere (energy_carrier)</v>
          </cell>
          <cell r="E502" t="str">
            <v>Energy</v>
          </cell>
          <cell r="F502">
            <v>0.2</v>
          </cell>
          <cell r="G502" t="str">
            <v>GJ</v>
          </cell>
          <cell r="H502" t="str">
            <v>t</v>
          </cell>
          <cell r="I502" t="str">
            <v>none</v>
          </cell>
          <cell r="J502" t="str">
            <v>[Open-IDTD] Belite cement</v>
          </cell>
        </row>
        <row r="503">
          <cell r="A503" t="str">
            <v>[Open-IDTD] Belite cement</v>
          </cell>
          <cell r="B503" t="str">
            <v>coal</v>
          </cell>
          <cell r="C503" t="str">
            <v>from technosphere (energy_carrier)</v>
          </cell>
          <cell r="E503" t="str">
            <v>Energy</v>
          </cell>
          <cell r="F503">
            <v>2.4</v>
          </cell>
          <cell r="G503" t="str">
            <v>GJ</v>
          </cell>
          <cell r="H503" t="str">
            <v>t</v>
          </cell>
          <cell r="I503" t="str">
            <v>none</v>
          </cell>
          <cell r="J503" t="str">
            <v>[Open-IDTD] Belite cement</v>
          </cell>
        </row>
        <row r="504">
          <cell r="A504" t="str">
            <v>[Open-IDTD] Belite cement</v>
          </cell>
          <cell r="B504" t="str">
            <v>electricity</v>
          </cell>
          <cell r="C504" t="str">
            <v>from technosphere (energy_carrier)</v>
          </cell>
          <cell r="E504" t="str">
            <v>Energy</v>
          </cell>
          <cell r="F504">
            <v>0.43</v>
          </cell>
          <cell r="G504" t="str">
            <v>GJ</v>
          </cell>
          <cell r="H504" t="str">
            <v>t</v>
          </cell>
          <cell r="I504" t="str">
            <v>none</v>
          </cell>
          <cell r="J504" t="str">
            <v>[Open-IDTD] Belite cement</v>
          </cell>
        </row>
        <row r="505">
          <cell r="A505" t="str">
            <v>[Open-IDTD] Belite cement</v>
          </cell>
          <cell r="B505" t="str">
            <v>heavy fuel oil</v>
          </cell>
          <cell r="C505" t="str">
            <v>from technosphere (energy_carrier)</v>
          </cell>
          <cell r="E505" t="str">
            <v>Energy</v>
          </cell>
          <cell r="F505">
            <v>0.6</v>
          </cell>
          <cell r="G505" t="str">
            <v>GJ</v>
          </cell>
          <cell r="H505" t="str">
            <v>t</v>
          </cell>
          <cell r="I505" t="str">
            <v>none</v>
          </cell>
          <cell r="J505" t="str">
            <v>[Open-IDTD] Belite cement</v>
          </cell>
        </row>
        <row r="506">
          <cell r="A506" t="str">
            <v>[Open-IDTD] Belite cement</v>
          </cell>
          <cell r="B506" t="str">
            <v>natural gas</v>
          </cell>
          <cell r="C506" t="str">
            <v>from technosphere (energy_carrier)</v>
          </cell>
          <cell r="E506" t="str">
            <v>Energy</v>
          </cell>
          <cell r="F506">
            <v>0.31</v>
          </cell>
          <cell r="G506" t="str">
            <v>GJ</v>
          </cell>
          <cell r="H506" t="str">
            <v>t</v>
          </cell>
          <cell r="I506" t="str">
            <v>none</v>
          </cell>
          <cell r="J506" t="str">
            <v>[Open-IDTD] Belite cement</v>
          </cell>
        </row>
        <row r="507">
          <cell r="A507" t="str">
            <v>[Open-IDTD] Belite cement</v>
          </cell>
          <cell r="B507" t="str">
            <v>carbon dioxide</v>
          </cell>
          <cell r="C507" t="str">
            <v>to environment (emission, combustion)</v>
          </cell>
          <cell r="E507" t="str">
            <v>Mass</v>
          </cell>
          <cell r="F507">
            <v>296.85377063590079</v>
          </cell>
          <cell r="G507" t="str">
            <v>kg</v>
          </cell>
          <cell r="H507" t="str">
            <v>t</v>
          </cell>
          <cell r="I507" t="str">
            <v>none</v>
          </cell>
          <cell r="J507" t="str">
            <v>[Open-IDTD] Belite cement</v>
          </cell>
        </row>
        <row r="508">
          <cell r="A508" t="str">
            <v/>
          </cell>
        </row>
        <row r="509">
          <cell r="A509" t="str">
            <v>[Open-IDTD] Long rotary kiln</v>
          </cell>
          <cell r="B509" t="str">
            <v>lime</v>
          </cell>
          <cell r="C509" t="str">
            <v>reference_product</v>
          </cell>
          <cell r="D509">
            <v>2522</v>
          </cell>
          <cell r="E509" t="str">
            <v>Mass</v>
          </cell>
          <cell r="F509">
            <v>1</v>
          </cell>
          <cell r="G509" t="str">
            <v>t</v>
          </cell>
          <cell r="H509">
            <v>1</v>
          </cell>
          <cell r="I509" t="str">
            <v>none</v>
          </cell>
          <cell r="J509" t="str">
            <v>[Open-IDTD] Long rotary kiln</v>
          </cell>
        </row>
        <row r="510">
          <cell r="A510" t="str">
            <v>[Open-IDTD] Long rotary kiln</v>
          </cell>
          <cell r="B510" t="str">
            <v>biomass</v>
          </cell>
          <cell r="C510" t="str">
            <v>from technosphere (energy_carrier)</v>
          </cell>
          <cell r="E510" t="str">
            <v>Energy</v>
          </cell>
          <cell r="F510">
            <v>1.06</v>
          </cell>
          <cell r="G510" t="str">
            <v>GJ</v>
          </cell>
          <cell r="H510" t="str">
            <v>t</v>
          </cell>
          <cell r="I510" t="str">
            <v>none</v>
          </cell>
          <cell r="J510" t="str">
            <v>[Open-IDTD] Long rotary kiln</v>
          </cell>
        </row>
        <row r="511">
          <cell r="A511" t="str">
            <v>[Open-IDTD] Long rotary kiln</v>
          </cell>
          <cell r="B511" t="str">
            <v>coal</v>
          </cell>
          <cell r="C511" t="str">
            <v>from technosphere (energy_carrier)</v>
          </cell>
          <cell r="E511" t="str">
            <v>Energy</v>
          </cell>
          <cell r="F511">
            <v>6.16</v>
          </cell>
          <cell r="G511" t="str">
            <v>GJ</v>
          </cell>
          <cell r="H511" t="str">
            <v>t</v>
          </cell>
          <cell r="I511" t="str">
            <v>none</v>
          </cell>
          <cell r="J511" t="str">
            <v>[Open-IDTD] Long rotary kiln</v>
          </cell>
        </row>
        <row r="512">
          <cell r="A512" t="str">
            <v>[Open-IDTD] Long rotary kiln</v>
          </cell>
          <cell r="B512" t="str">
            <v>electricity</v>
          </cell>
          <cell r="C512" t="str">
            <v>from technosphere (energy_carrier)</v>
          </cell>
          <cell r="E512" t="str">
            <v>Energy</v>
          </cell>
          <cell r="F512">
            <v>0.08</v>
          </cell>
          <cell r="G512" t="str">
            <v>GJ</v>
          </cell>
          <cell r="H512" t="str">
            <v>t</v>
          </cell>
          <cell r="I512" t="str">
            <v>none</v>
          </cell>
          <cell r="J512" t="str">
            <v>[Open-IDTD] Long rotary kiln</v>
          </cell>
        </row>
        <row r="513">
          <cell r="A513" t="str">
            <v>[Open-IDTD] Long rotary kiln</v>
          </cell>
          <cell r="B513" t="str">
            <v>heavy fuel oil</v>
          </cell>
          <cell r="C513" t="str">
            <v>from technosphere (energy_carrier)</v>
          </cell>
          <cell r="E513" t="str">
            <v>Energy</v>
          </cell>
          <cell r="F513">
            <v>0.08</v>
          </cell>
          <cell r="G513" t="str">
            <v>GJ</v>
          </cell>
          <cell r="H513" t="str">
            <v>t</v>
          </cell>
          <cell r="I513" t="str">
            <v>none</v>
          </cell>
          <cell r="J513" t="str">
            <v>[Open-IDTD] Long rotary kiln</v>
          </cell>
        </row>
        <row r="514">
          <cell r="A514" t="str">
            <v>[Open-IDTD] Long rotary kiln</v>
          </cell>
          <cell r="B514" t="str">
            <v>natural gas</v>
          </cell>
          <cell r="C514" t="str">
            <v>from technosphere (energy_carrier)</v>
          </cell>
          <cell r="E514" t="str">
            <v>Energy</v>
          </cell>
          <cell r="F514">
            <v>0.23</v>
          </cell>
          <cell r="G514" t="str">
            <v>GJ</v>
          </cell>
          <cell r="H514" t="str">
            <v>t</v>
          </cell>
          <cell r="I514" t="str">
            <v>none</v>
          </cell>
          <cell r="J514" t="str">
            <v>[Open-IDTD] Long rotary kiln</v>
          </cell>
        </row>
        <row r="515">
          <cell r="A515" t="str">
            <v>[Open-IDTD] Long rotary kiln</v>
          </cell>
          <cell r="B515" t="str">
            <v>carbon dioxide</v>
          </cell>
          <cell r="C515" t="str">
            <v>to environment (emission, combustion)</v>
          </cell>
          <cell r="E515" t="str">
            <v>Mass</v>
          </cell>
          <cell r="F515">
            <v>625.26512981032988</v>
          </cell>
          <cell r="G515" t="str">
            <v>kg</v>
          </cell>
          <cell r="H515" t="str">
            <v>t</v>
          </cell>
          <cell r="I515" t="str">
            <v>none</v>
          </cell>
          <cell r="J515" t="str">
            <v>[Open-IDTD] Long rotary kiln</v>
          </cell>
        </row>
        <row r="516">
          <cell r="A516" t="str">
            <v/>
          </cell>
        </row>
        <row r="517">
          <cell r="A517" t="str">
            <v>[Open-IDTD] Parallel flow kiln</v>
          </cell>
          <cell r="B517" t="str">
            <v>lime</v>
          </cell>
          <cell r="C517" t="str">
            <v>reference_product</v>
          </cell>
          <cell r="D517">
            <v>2522</v>
          </cell>
          <cell r="E517" t="str">
            <v>Mass</v>
          </cell>
          <cell r="F517">
            <v>1</v>
          </cell>
          <cell r="G517" t="str">
            <v>t</v>
          </cell>
          <cell r="H517">
            <v>1</v>
          </cell>
          <cell r="I517" t="str">
            <v>none</v>
          </cell>
          <cell r="J517" t="str">
            <v>[Open-IDTD] Parallel flow kiln</v>
          </cell>
        </row>
        <row r="518">
          <cell r="A518" t="str">
            <v>[Open-IDTD] Parallel flow kiln</v>
          </cell>
          <cell r="B518" t="str">
            <v>biomass</v>
          </cell>
          <cell r="C518" t="str">
            <v>from technosphere (energy_carrier)</v>
          </cell>
          <cell r="E518" t="str">
            <v>Energy</v>
          </cell>
          <cell r="F518">
            <v>0.22</v>
          </cell>
          <cell r="G518" t="str">
            <v>GJ</v>
          </cell>
          <cell r="H518" t="str">
            <v>t</v>
          </cell>
          <cell r="I518" t="str">
            <v>none</v>
          </cell>
          <cell r="J518" t="str">
            <v>[Open-IDTD] Parallel flow kiln</v>
          </cell>
        </row>
        <row r="519">
          <cell r="A519" t="str">
            <v>[Open-IDTD] Parallel flow kiln</v>
          </cell>
          <cell r="B519" t="str">
            <v>coal</v>
          </cell>
          <cell r="C519" t="str">
            <v>from technosphere (energy_carrier)</v>
          </cell>
          <cell r="E519" t="str">
            <v>Energy</v>
          </cell>
          <cell r="F519">
            <v>0.74</v>
          </cell>
          <cell r="G519" t="str">
            <v>GJ</v>
          </cell>
          <cell r="H519" t="str">
            <v>t</v>
          </cell>
          <cell r="I519" t="str">
            <v>none</v>
          </cell>
          <cell r="J519" t="str">
            <v>[Open-IDTD] Parallel flow kiln</v>
          </cell>
        </row>
        <row r="520">
          <cell r="A520" t="str">
            <v>[Open-IDTD] Parallel flow kiln</v>
          </cell>
          <cell r="B520" t="str">
            <v>electricity</v>
          </cell>
          <cell r="C520" t="str">
            <v>from technosphere (energy_carrier)</v>
          </cell>
          <cell r="E520" t="str">
            <v>Energy</v>
          </cell>
          <cell r="F520">
            <v>0.08</v>
          </cell>
          <cell r="G520" t="str">
            <v>GJ</v>
          </cell>
          <cell r="H520" t="str">
            <v>t</v>
          </cell>
          <cell r="I520" t="str">
            <v>none</v>
          </cell>
          <cell r="J520" t="str">
            <v>[Open-IDTD] Parallel flow kiln</v>
          </cell>
        </row>
        <row r="521">
          <cell r="A521" t="str">
            <v>[Open-IDTD] Parallel flow kiln</v>
          </cell>
          <cell r="B521" t="str">
            <v>heavy fuel oil</v>
          </cell>
          <cell r="C521" t="str">
            <v>from technosphere (energy_carrier)</v>
          </cell>
          <cell r="E521" t="str">
            <v>Energy</v>
          </cell>
          <cell r="F521">
            <v>0.37</v>
          </cell>
          <cell r="G521" t="str">
            <v>GJ</v>
          </cell>
          <cell r="H521" t="str">
            <v>t</v>
          </cell>
          <cell r="I521" t="str">
            <v>none</v>
          </cell>
          <cell r="J521" t="str">
            <v>[Open-IDTD] Parallel flow kiln</v>
          </cell>
        </row>
        <row r="522">
          <cell r="A522" t="str">
            <v>[Open-IDTD] Parallel flow kiln</v>
          </cell>
          <cell r="B522" t="str">
            <v>natural gas</v>
          </cell>
          <cell r="C522" t="str">
            <v>from technosphere (energy_carrier)</v>
          </cell>
          <cell r="E522" t="str">
            <v>Energy</v>
          </cell>
          <cell r="F522">
            <v>2.37</v>
          </cell>
          <cell r="G522" t="str">
            <v>GJ</v>
          </cell>
          <cell r="H522" t="str">
            <v>t</v>
          </cell>
          <cell r="I522" t="str">
            <v>none</v>
          </cell>
          <cell r="J522" t="str">
            <v>[Open-IDTD] Parallel flow kiln</v>
          </cell>
        </row>
        <row r="523">
          <cell r="A523" t="str">
            <v>[Open-IDTD] Parallel flow kiln</v>
          </cell>
          <cell r="B523" t="str">
            <v>carbon dioxide</v>
          </cell>
          <cell r="C523" t="str">
            <v>to environment (emission, combustion)</v>
          </cell>
          <cell r="E523" t="str">
            <v>Mass</v>
          </cell>
          <cell r="F523">
            <v>235.5214448238745</v>
          </cell>
          <cell r="G523" t="str">
            <v>kg</v>
          </cell>
          <cell r="H523" t="str">
            <v>t</v>
          </cell>
          <cell r="I523" t="str">
            <v>none</v>
          </cell>
          <cell r="J523" t="str">
            <v>[Open-IDTD] Parallel flow kiln</v>
          </cell>
        </row>
        <row r="524">
          <cell r="A524" t="str">
            <v/>
          </cell>
        </row>
        <row r="525">
          <cell r="A525" t="str">
            <v>[Open-IDTD] Fossil fuel-fired furnace</v>
          </cell>
          <cell r="B525" t="str">
            <v>glass</v>
          </cell>
          <cell r="C525" t="str">
            <v>reference_product</v>
          </cell>
          <cell r="D525">
            <v>7003</v>
          </cell>
          <cell r="E525" t="str">
            <v>Mass</v>
          </cell>
          <cell r="F525">
            <v>1</v>
          </cell>
          <cell r="G525" t="str">
            <v>t</v>
          </cell>
          <cell r="H525">
            <v>1</v>
          </cell>
          <cell r="I525" t="str">
            <v>none</v>
          </cell>
          <cell r="J525" t="str">
            <v>[Open-IDTD] Fossil fuel-fired furnace</v>
          </cell>
        </row>
        <row r="526">
          <cell r="A526" t="str">
            <v>[Open-IDTD] Fossil fuel-fired furnace</v>
          </cell>
          <cell r="B526" t="str">
            <v>electricity</v>
          </cell>
          <cell r="C526" t="str">
            <v>from technosphere (energy_carrier)</v>
          </cell>
          <cell r="E526" t="str">
            <v>Energy</v>
          </cell>
          <cell r="F526">
            <v>0.8</v>
          </cell>
          <cell r="G526" t="str">
            <v>GJ</v>
          </cell>
          <cell r="H526" t="str">
            <v>t</v>
          </cell>
          <cell r="I526" t="str">
            <v>none</v>
          </cell>
          <cell r="J526" t="str">
            <v>[Open-IDTD] Fossil fuel-fired furnace</v>
          </cell>
        </row>
        <row r="527">
          <cell r="A527" t="str">
            <v>[Open-IDTD] Fossil fuel-fired furnace</v>
          </cell>
          <cell r="B527" t="str">
            <v>natural gas</v>
          </cell>
          <cell r="C527" t="str">
            <v>from technosphere (energy_carrier)</v>
          </cell>
          <cell r="E527" t="str">
            <v>Energy</v>
          </cell>
          <cell r="F527">
            <v>4.29</v>
          </cell>
          <cell r="G527" t="str">
            <v>GJ</v>
          </cell>
          <cell r="H527" t="str">
            <v>t</v>
          </cell>
          <cell r="I527" t="str">
            <v>none</v>
          </cell>
          <cell r="J527" t="str">
            <v>[Open-IDTD] Fossil fuel-fired furnace</v>
          </cell>
        </row>
        <row r="528">
          <cell r="A528" t="str">
            <v>[Open-IDTD] Fossil fuel-fired furnace</v>
          </cell>
          <cell r="B528" t="str">
            <v>oil</v>
          </cell>
          <cell r="C528" t="str">
            <v>from technosphere (energy_carrier)</v>
          </cell>
          <cell r="E528" t="str">
            <v>Energy</v>
          </cell>
          <cell r="F528">
            <v>10.119999999999999</v>
          </cell>
          <cell r="G528" t="str">
            <v>GJ</v>
          </cell>
          <cell r="H528" t="str">
            <v>t</v>
          </cell>
          <cell r="I528" t="str">
            <v>none</v>
          </cell>
          <cell r="J528" t="str">
            <v>[Open-IDTD] Fossil fuel-fired furnace</v>
          </cell>
        </row>
        <row r="529">
          <cell r="A529" t="str">
            <v>[Open-IDTD] Fossil fuel-fired furnace</v>
          </cell>
          <cell r="B529" t="str">
            <v>carbon dioxide</v>
          </cell>
          <cell r="C529" t="str">
            <v>to environment (emission, combustion)</v>
          </cell>
          <cell r="E529" t="str">
            <v>Mass</v>
          </cell>
          <cell r="F529">
            <v>987.07569144755303</v>
          </cell>
          <cell r="G529" t="str">
            <v>kg</v>
          </cell>
          <cell r="H529" t="str">
            <v>t</v>
          </cell>
          <cell r="I529" t="str">
            <v>none</v>
          </cell>
          <cell r="J529" t="str">
            <v>[Open-IDTD] Fossil fuel-fired furnace</v>
          </cell>
        </row>
        <row r="530">
          <cell r="A530" t="str">
            <v/>
          </cell>
        </row>
        <row r="531">
          <cell r="A531" t="str">
            <v>[Open-IDTD] All electric furnace</v>
          </cell>
          <cell r="B531" t="str">
            <v>glass</v>
          </cell>
          <cell r="C531" t="str">
            <v>reference_product</v>
          </cell>
          <cell r="D531">
            <v>7003</v>
          </cell>
          <cell r="E531" t="str">
            <v>Mass</v>
          </cell>
          <cell r="F531">
            <v>1</v>
          </cell>
          <cell r="G531" t="str">
            <v>t</v>
          </cell>
          <cell r="H531">
            <v>1</v>
          </cell>
          <cell r="I531" t="str">
            <v>none</v>
          </cell>
          <cell r="J531" t="str">
            <v>[Open-IDTD] All electric furnace</v>
          </cell>
        </row>
        <row r="532">
          <cell r="A532" t="str">
            <v>[Open-IDTD] All electric furnace</v>
          </cell>
          <cell r="B532" t="str">
            <v>electricity</v>
          </cell>
          <cell r="C532" t="str">
            <v>from technosphere (energy_carrier)</v>
          </cell>
          <cell r="E532" t="str">
            <v>Energy</v>
          </cell>
          <cell r="F532">
            <v>3.3</v>
          </cell>
          <cell r="G532" t="str">
            <v>GJ</v>
          </cell>
          <cell r="H532" t="str">
            <v>t</v>
          </cell>
          <cell r="I532" t="str">
            <v>none</v>
          </cell>
          <cell r="J532" t="str">
            <v>[Open-IDTD] All electric furnace</v>
          </cell>
        </row>
        <row r="533">
          <cell r="A533" t="str">
            <v>[Open-IDTD] All electric furnace</v>
          </cell>
          <cell r="B533" t="str">
            <v>oil</v>
          </cell>
          <cell r="C533" t="str">
            <v>from technosphere (energy_carrier)</v>
          </cell>
          <cell r="E533" t="str">
            <v>Energy</v>
          </cell>
          <cell r="F533">
            <v>7.5</v>
          </cell>
          <cell r="G533" t="str">
            <v>GJ</v>
          </cell>
          <cell r="H533" t="str">
            <v>t</v>
          </cell>
          <cell r="I533" t="str">
            <v>none</v>
          </cell>
          <cell r="J533" t="str">
            <v>[Open-IDTD] All electric furnace</v>
          </cell>
        </row>
        <row r="534">
          <cell r="A534" t="str">
            <v>[Open-IDTD] All electric furnace</v>
          </cell>
          <cell r="B534" t="str">
            <v>carbon dioxide</v>
          </cell>
          <cell r="C534" t="str">
            <v>to environment (emission, combustion)</v>
          </cell>
          <cell r="E534" t="str">
            <v>Mass</v>
          </cell>
          <cell r="F534">
            <v>553.26038186372705</v>
          </cell>
          <cell r="G534" t="str">
            <v>kg</v>
          </cell>
          <cell r="H534" t="str">
            <v>t</v>
          </cell>
          <cell r="I534" t="str">
            <v>none</v>
          </cell>
          <cell r="J534" t="str">
            <v>[Open-IDTD] All electric furnace</v>
          </cell>
        </row>
        <row r="535">
          <cell r="A535" t="str">
            <v/>
          </cell>
        </row>
        <row r="536">
          <cell r="A536" t="str">
            <v>[Open-IDTD] Ceramics</v>
          </cell>
          <cell r="B536" t="str">
            <v>ceramics</v>
          </cell>
          <cell r="C536" t="str">
            <v>reference_product</v>
          </cell>
          <cell r="D536">
            <v>6901</v>
          </cell>
          <cell r="E536" t="str">
            <v>Mass</v>
          </cell>
          <cell r="F536">
            <v>1</v>
          </cell>
          <cell r="G536" t="str">
            <v>t</v>
          </cell>
          <cell r="H536">
            <v>1</v>
          </cell>
          <cell r="I536" t="str">
            <v>none</v>
          </cell>
          <cell r="J536" t="str">
            <v>[Open-IDTD] Ceramics</v>
          </cell>
        </row>
        <row r="537">
          <cell r="A537" t="str">
            <v>[Open-IDTD] Ceramics</v>
          </cell>
          <cell r="B537" t="str">
            <v>electricity</v>
          </cell>
          <cell r="C537" t="str">
            <v>from technosphere (energy_carrier)</v>
          </cell>
          <cell r="E537" t="str">
            <v>Energy</v>
          </cell>
          <cell r="F537">
            <v>0.32</v>
          </cell>
          <cell r="G537" t="str">
            <v>GJ</v>
          </cell>
          <cell r="H537" t="str">
            <v>t</v>
          </cell>
          <cell r="I537" t="str">
            <v>none</v>
          </cell>
          <cell r="J537" t="str">
            <v>[Open-IDTD] Ceramics</v>
          </cell>
        </row>
        <row r="538">
          <cell r="A538" t="str">
            <v>[Open-IDTD] Ceramics</v>
          </cell>
          <cell r="B538" t="str">
            <v>natural gas</v>
          </cell>
          <cell r="C538" t="str">
            <v>from technosphere (energy_carrier)</v>
          </cell>
          <cell r="E538" t="str">
            <v>Energy</v>
          </cell>
          <cell r="F538">
            <v>2.2999999999999998</v>
          </cell>
          <cell r="G538" t="str">
            <v>GJ</v>
          </cell>
          <cell r="H538" t="str">
            <v>t</v>
          </cell>
          <cell r="I538" t="str">
            <v>none</v>
          </cell>
          <cell r="J538" t="str">
            <v>[Open-IDTD] Ceramics</v>
          </cell>
        </row>
        <row r="539">
          <cell r="A539" t="str">
            <v>[Open-IDTD] Ceramics</v>
          </cell>
          <cell r="B539" t="str">
            <v>carbon dioxide</v>
          </cell>
          <cell r="C539" t="str">
            <v>to environment (emission, combustion)</v>
          </cell>
          <cell r="E539" t="str">
            <v>Mass</v>
          </cell>
          <cell r="F539">
            <v>128.96245623030859</v>
          </cell>
          <cell r="G539" t="str">
            <v>kg</v>
          </cell>
          <cell r="H539" t="str">
            <v>t</v>
          </cell>
          <cell r="I539" t="str">
            <v>none</v>
          </cell>
          <cell r="J539" t="str">
            <v>[Open-IDTD] Ceramics</v>
          </cell>
        </row>
        <row r="540">
          <cell r="A540" t="str">
            <v/>
          </cell>
        </row>
        <row r="541">
          <cell r="A541" t="str">
            <v>[Open-IDTD] Ethane SC</v>
          </cell>
          <cell r="B541" t="str">
            <v>olefins</v>
          </cell>
          <cell r="C541" t="str">
            <v>reference_product</v>
          </cell>
          <cell r="D541" t="str">
            <v>2901-2903</v>
          </cell>
          <cell r="E541" t="str">
            <v>Mass</v>
          </cell>
          <cell r="F541">
            <v>1</v>
          </cell>
          <cell r="G541" t="str">
            <v>t</v>
          </cell>
          <cell r="H541">
            <v>1</v>
          </cell>
          <cell r="I541" t="str">
            <v>none</v>
          </cell>
          <cell r="J541" t="str">
            <v>[Open-IDTD] Ethane SC</v>
          </cell>
        </row>
        <row r="542">
          <cell r="A542" t="str">
            <v>[Open-IDTD] Ethane SC</v>
          </cell>
          <cell r="B542" t="str">
            <v>ethane</v>
          </cell>
          <cell r="C542" t="str">
            <v>from technosphere (energy_carrier)</v>
          </cell>
          <cell r="E542" t="str">
            <v>Energy</v>
          </cell>
          <cell r="F542">
            <v>17.100000000000001</v>
          </cell>
          <cell r="G542" t="str">
            <v>GJ</v>
          </cell>
          <cell r="H542" t="str">
            <v>t</v>
          </cell>
          <cell r="I542" t="str">
            <v>none</v>
          </cell>
          <cell r="J542" t="str">
            <v>[Open-IDTD] Ethane SC</v>
          </cell>
        </row>
        <row r="543">
          <cell r="A543" t="str">
            <v>[Open-IDTD] Ethane SC</v>
          </cell>
          <cell r="B543" t="str">
            <v xml:space="preserve">machine drive </v>
          </cell>
          <cell r="C543" t="str">
            <v>from technosphere (energy_carrier)</v>
          </cell>
          <cell r="E543" t="str">
            <v>Energy</v>
          </cell>
          <cell r="F543">
            <v>0.8</v>
          </cell>
          <cell r="G543" t="str">
            <v>GJ</v>
          </cell>
          <cell r="H543" t="str">
            <v>t</v>
          </cell>
          <cell r="I543" t="str">
            <v>none</v>
          </cell>
          <cell r="J543" t="str">
            <v>[Open-IDTD] Ethane SC</v>
          </cell>
        </row>
        <row r="544">
          <cell r="A544" t="str">
            <v>[Open-IDTD] Ethane SC</v>
          </cell>
          <cell r="B544" t="str">
            <v>ethane</v>
          </cell>
          <cell r="C544" t="str">
            <v>from technosphere (feedstock)</v>
          </cell>
          <cell r="E544" t="str">
            <v>Energy</v>
          </cell>
          <cell r="F544">
            <v>56.7</v>
          </cell>
          <cell r="G544" t="str">
            <v>GJ</v>
          </cell>
          <cell r="H544" t="str">
            <v>t</v>
          </cell>
          <cell r="I544" t="str">
            <v>none</v>
          </cell>
          <cell r="J544" t="str">
            <v>[Open-IDTD] Ethane SC</v>
          </cell>
        </row>
        <row r="545">
          <cell r="A545" t="str">
            <v>[Open-IDTD] Ethane SC</v>
          </cell>
          <cell r="B545" t="str">
            <v>steam</v>
          </cell>
          <cell r="C545" t="str">
            <v>to technosphere (by-product)</v>
          </cell>
          <cell r="E545" t="str">
            <v>Energy</v>
          </cell>
          <cell r="F545">
            <v>0.1</v>
          </cell>
          <cell r="G545" t="str">
            <v>GJ</v>
          </cell>
          <cell r="H545" t="str">
            <v>t</v>
          </cell>
          <cell r="I545" t="str">
            <v>none</v>
          </cell>
          <cell r="J545" t="str">
            <v>[Open-IDTD] Ethane SC</v>
          </cell>
        </row>
        <row r="546">
          <cell r="A546" t="str">
            <v>[Open-IDTD] Ethane SC</v>
          </cell>
          <cell r="B546" t="str">
            <v>carbon dioxide</v>
          </cell>
          <cell r="C546" t="str">
            <v>to environment (emission, combustion)</v>
          </cell>
          <cell r="E546" t="str">
            <v>Mass</v>
          </cell>
          <cell r="F546">
            <v>990.52479915971173</v>
          </cell>
          <cell r="G546" t="str">
            <v>kg</v>
          </cell>
          <cell r="H546" t="str">
            <v>t</v>
          </cell>
          <cell r="I546" t="str">
            <v>none</v>
          </cell>
          <cell r="J546" t="str">
            <v>[Open-IDTD] Ethane SC</v>
          </cell>
        </row>
        <row r="547">
          <cell r="A547" t="str">
            <v/>
          </cell>
        </row>
        <row r="548">
          <cell r="A548" t="str">
            <v>[Open-IDTD] Gas oil SC</v>
          </cell>
          <cell r="B548" t="str">
            <v>olefins</v>
          </cell>
          <cell r="C548" t="str">
            <v>reference_product</v>
          </cell>
          <cell r="D548" t="str">
            <v>2901-2903</v>
          </cell>
          <cell r="E548" t="str">
            <v>Mass</v>
          </cell>
          <cell r="F548">
            <v>1</v>
          </cell>
          <cell r="G548" t="str">
            <v>t</v>
          </cell>
          <cell r="H548">
            <v>1</v>
          </cell>
          <cell r="I548" t="str">
            <v>none</v>
          </cell>
          <cell r="J548" t="str">
            <v>[Open-IDTD] Gas oil SC</v>
          </cell>
        </row>
        <row r="549">
          <cell r="A549" t="str">
            <v>[Open-IDTD] Gas oil SC</v>
          </cell>
          <cell r="B549" t="str">
            <v>gasoil</v>
          </cell>
          <cell r="C549" t="str">
            <v>from technosphere (energy_carrier)</v>
          </cell>
          <cell r="E549" t="str">
            <v>Energy</v>
          </cell>
          <cell r="F549">
            <v>17.8</v>
          </cell>
          <cell r="G549" t="str">
            <v>GJ</v>
          </cell>
          <cell r="H549" t="str">
            <v>t</v>
          </cell>
          <cell r="I549" t="str">
            <v>none</v>
          </cell>
          <cell r="J549" t="str">
            <v>[Open-IDTD] Gas oil SC</v>
          </cell>
        </row>
        <row r="550">
          <cell r="A550" t="str">
            <v>[Open-IDTD] Gas oil SC</v>
          </cell>
          <cell r="B550" t="str">
            <v xml:space="preserve">machine drive </v>
          </cell>
          <cell r="C550" t="str">
            <v>from technosphere (energy_carrier)</v>
          </cell>
          <cell r="E550" t="str">
            <v>Energy</v>
          </cell>
          <cell r="F550">
            <v>0.3</v>
          </cell>
          <cell r="G550" t="str">
            <v>GJ</v>
          </cell>
          <cell r="H550" t="str">
            <v>t</v>
          </cell>
          <cell r="I550" t="str">
            <v>none</v>
          </cell>
          <cell r="J550" t="str">
            <v>[Open-IDTD] Gas oil SC</v>
          </cell>
        </row>
        <row r="551">
          <cell r="A551" t="str">
            <v>[Open-IDTD] Gas oil SC</v>
          </cell>
          <cell r="B551" t="str">
            <v>gasoil</v>
          </cell>
          <cell r="C551" t="str">
            <v>from technosphere (feedstock)</v>
          </cell>
          <cell r="E551" t="str">
            <v>Energy</v>
          </cell>
          <cell r="F551">
            <v>89.9</v>
          </cell>
          <cell r="G551" t="str">
            <v>GJ</v>
          </cell>
          <cell r="H551" t="str">
            <v>t</v>
          </cell>
          <cell r="I551" t="str">
            <v>none</v>
          </cell>
          <cell r="J551" t="str">
            <v>[Open-IDTD] Gas oil SC</v>
          </cell>
        </row>
        <row r="552">
          <cell r="A552" t="str">
            <v>[Open-IDTD] Gas oil SC</v>
          </cell>
          <cell r="B552" t="str">
            <v>steam</v>
          </cell>
          <cell r="C552" t="str">
            <v>to technosphere (by-product)</v>
          </cell>
          <cell r="E552" t="str">
            <v>Energy</v>
          </cell>
          <cell r="F552">
            <v>2.1</v>
          </cell>
          <cell r="G552" t="str">
            <v>GJ</v>
          </cell>
          <cell r="H552" t="str">
            <v>t</v>
          </cell>
          <cell r="I552" t="str">
            <v>none</v>
          </cell>
          <cell r="J552" t="str">
            <v>[Open-IDTD] Gas oil SC</v>
          </cell>
        </row>
        <row r="553">
          <cell r="A553" t="str">
            <v>[Open-IDTD] Gas oil SC</v>
          </cell>
          <cell r="B553" t="str">
            <v>carbon dioxide</v>
          </cell>
          <cell r="C553" t="str">
            <v>to environment (emission, combustion)</v>
          </cell>
          <cell r="E553" t="str">
            <v>Mass</v>
          </cell>
          <cell r="F553">
            <v>1318.98</v>
          </cell>
          <cell r="G553" t="str">
            <v>kg</v>
          </cell>
          <cell r="H553" t="str">
            <v>t</v>
          </cell>
          <cell r="I553" t="str">
            <v>none</v>
          </cell>
          <cell r="J553" t="str">
            <v>[Open-IDTD] Gas oil SC</v>
          </cell>
        </row>
        <row r="554">
          <cell r="A554" t="str">
            <v/>
          </cell>
        </row>
        <row r="555">
          <cell r="A555" t="str">
            <v>[Open-IDTD] LPG SC</v>
          </cell>
          <cell r="B555" t="str">
            <v>olefins</v>
          </cell>
          <cell r="C555" t="str">
            <v>reference_product</v>
          </cell>
          <cell r="D555" t="str">
            <v>2901-2903</v>
          </cell>
          <cell r="E555" t="str">
            <v>Mass</v>
          </cell>
          <cell r="F555">
            <v>1</v>
          </cell>
          <cell r="G555" t="str">
            <v>t</v>
          </cell>
          <cell r="H555">
            <v>1</v>
          </cell>
          <cell r="I555" t="str">
            <v>none</v>
          </cell>
          <cell r="J555" t="str">
            <v>[Open-IDTD] LPG SC</v>
          </cell>
        </row>
        <row r="556">
          <cell r="A556" t="str">
            <v>[Open-IDTD] LPG SC</v>
          </cell>
          <cell r="B556" t="str">
            <v>LPG</v>
          </cell>
          <cell r="C556" t="str">
            <v>from technosphere (energy_carrier)</v>
          </cell>
          <cell r="E556" t="str">
            <v>Energy</v>
          </cell>
          <cell r="F556">
            <v>18.600000000000001</v>
          </cell>
          <cell r="G556" t="str">
            <v>GJ</v>
          </cell>
          <cell r="H556" t="str">
            <v>t</v>
          </cell>
          <cell r="I556" t="str">
            <v>none</v>
          </cell>
          <cell r="J556" t="str">
            <v>[Open-IDTD] LPG SC</v>
          </cell>
        </row>
        <row r="557">
          <cell r="A557" t="str">
            <v>[Open-IDTD] LPG SC</v>
          </cell>
          <cell r="B557" t="str">
            <v xml:space="preserve">machine drive </v>
          </cell>
          <cell r="C557" t="str">
            <v>from technosphere (energy_carrier)</v>
          </cell>
          <cell r="E557" t="str">
            <v>Energy</v>
          </cell>
          <cell r="F557">
            <v>0.4</v>
          </cell>
          <cell r="G557" t="str">
            <v>GJ</v>
          </cell>
          <cell r="H557" t="str">
            <v>t</v>
          </cell>
          <cell r="I557" t="str">
            <v>none</v>
          </cell>
          <cell r="J557" t="str">
            <v>[Open-IDTD] LPG SC</v>
          </cell>
        </row>
        <row r="558">
          <cell r="A558" t="str">
            <v>[Open-IDTD] LPG SC</v>
          </cell>
          <cell r="B558" t="str">
            <v>LPG</v>
          </cell>
          <cell r="C558" t="str">
            <v>from technosphere (feedstock)</v>
          </cell>
          <cell r="E558" t="str">
            <v>Energy</v>
          </cell>
          <cell r="F558">
            <v>79.2</v>
          </cell>
          <cell r="G558" t="str">
            <v>GJ</v>
          </cell>
          <cell r="H558" t="str">
            <v>t</v>
          </cell>
          <cell r="I558" t="str">
            <v>none</v>
          </cell>
          <cell r="J558" t="str">
            <v>[Open-IDTD] LPG SC</v>
          </cell>
        </row>
        <row r="559">
          <cell r="A559" t="str">
            <v>[Open-IDTD] LPG SC</v>
          </cell>
          <cell r="B559" t="str">
            <v>steam</v>
          </cell>
          <cell r="C559" t="str">
            <v>to technosphere (by-product)</v>
          </cell>
          <cell r="E559" t="str">
            <v>Energy</v>
          </cell>
          <cell r="F559">
            <v>1.7</v>
          </cell>
          <cell r="G559" t="str">
            <v>GJ</v>
          </cell>
          <cell r="H559" t="str">
            <v>t</v>
          </cell>
          <cell r="I559" t="str">
            <v>none</v>
          </cell>
          <cell r="J559" t="str">
            <v>[Open-IDTD] LPG SC</v>
          </cell>
        </row>
        <row r="560">
          <cell r="A560" t="str">
            <v>[Open-IDTD] LPG SC</v>
          </cell>
          <cell r="B560" t="str">
            <v>carbon dioxide</v>
          </cell>
          <cell r="C560" t="str">
            <v>to environment (emission, combustion)</v>
          </cell>
          <cell r="E560" t="str">
            <v>Mass</v>
          </cell>
          <cell r="F560">
            <v>1173.6600000000001</v>
          </cell>
          <cell r="G560" t="str">
            <v>kg</v>
          </cell>
          <cell r="H560" t="str">
            <v>t</v>
          </cell>
          <cell r="I560" t="str">
            <v>none</v>
          </cell>
          <cell r="J560" t="str">
            <v>[Open-IDTD] LPG SC</v>
          </cell>
        </row>
        <row r="561">
          <cell r="A561" t="str">
            <v/>
          </cell>
        </row>
        <row r="562">
          <cell r="A562" t="str">
            <v>[Open-IDTD] Naphtha SC</v>
          </cell>
          <cell r="B562" t="str">
            <v>olefins</v>
          </cell>
          <cell r="C562" t="str">
            <v>reference_product</v>
          </cell>
          <cell r="D562" t="str">
            <v>2901-2903</v>
          </cell>
          <cell r="E562" t="str">
            <v>Mass</v>
          </cell>
          <cell r="F562">
            <v>1</v>
          </cell>
          <cell r="G562" t="str">
            <v>t</v>
          </cell>
          <cell r="H562">
            <v>1</v>
          </cell>
          <cell r="I562" t="str">
            <v>none</v>
          </cell>
          <cell r="J562" t="str">
            <v>[Open-IDTD] Naphtha SC</v>
          </cell>
        </row>
        <row r="563">
          <cell r="A563" t="str">
            <v>[Open-IDTD] Naphtha SC</v>
          </cell>
          <cell r="B563" t="str">
            <v xml:space="preserve">machine drive </v>
          </cell>
          <cell r="C563" t="str">
            <v>from technosphere (energy_carrier)</v>
          </cell>
          <cell r="E563" t="str">
            <v>Energy</v>
          </cell>
          <cell r="F563">
            <v>0.9</v>
          </cell>
          <cell r="G563" t="str">
            <v>GJ</v>
          </cell>
          <cell r="H563" t="str">
            <v>t</v>
          </cell>
          <cell r="I563" t="str">
            <v>none</v>
          </cell>
          <cell r="J563" t="str">
            <v>[Open-IDTD] Naphtha SC</v>
          </cell>
        </row>
        <row r="564">
          <cell r="A564" t="str">
            <v>[Open-IDTD] Naphtha SC</v>
          </cell>
          <cell r="B564" t="str">
            <v>naphtha</v>
          </cell>
          <cell r="C564" t="str">
            <v>from technosphere (energy_carrier)</v>
          </cell>
          <cell r="E564" t="str">
            <v>Energy</v>
          </cell>
          <cell r="F564">
            <v>14.5</v>
          </cell>
          <cell r="G564" t="str">
            <v>GJ</v>
          </cell>
          <cell r="H564" t="str">
            <v>t</v>
          </cell>
          <cell r="I564" t="str">
            <v>none</v>
          </cell>
          <cell r="J564" t="str">
            <v>[Open-IDTD] Naphtha SC</v>
          </cell>
        </row>
        <row r="565">
          <cell r="A565" t="str">
            <v>[Open-IDTD] Naphtha SC</v>
          </cell>
          <cell r="B565" t="str">
            <v>naphtha</v>
          </cell>
          <cell r="C565" t="str">
            <v>from technosphere (feedstock)</v>
          </cell>
          <cell r="E565" t="str">
            <v>Energy</v>
          </cell>
          <cell r="F565">
            <v>80.8</v>
          </cell>
          <cell r="G565" t="str">
            <v>GJ</v>
          </cell>
          <cell r="H565" t="str">
            <v>t</v>
          </cell>
          <cell r="I565" t="str">
            <v>none</v>
          </cell>
          <cell r="J565" t="str">
            <v>[Open-IDTD] Naphtha SC</v>
          </cell>
        </row>
        <row r="566">
          <cell r="A566" t="str">
            <v>[Open-IDTD] Naphtha SC</v>
          </cell>
          <cell r="B566" t="str">
            <v>steam</v>
          </cell>
          <cell r="C566" t="str">
            <v>to technosphere (by-product)</v>
          </cell>
          <cell r="E566" t="str">
            <v>Energy</v>
          </cell>
          <cell r="F566">
            <v>0.3</v>
          </cell>
          <cell r="G566" t="str">
            <v>GJ</v>
          </cell>
          <cell r="H566" t="str">
            <v>t</v>
          </cell>
          <cell r="I566" t="str">
            <v>none</v>
          </cell>
          <cell r="J566" t="str">
            <v>[Open-IDTD] Naphtha SC</v>
          </cell>
        </row>
        <row r="567">
          <cell r="A567" t="str">
            <v>[Open-IDTD] Naphtha SC</v>
          </cell>
          <cell r="B567" t="str">
            <v>carbon dioxide</v>
          </cell>
          <cell r="C567" t="str">
            <v>to environment (emission, combustion)</v>
          </cell>
          <cell r="E567" t="str">
            <v>Mass</v>
          </cell>
          <cell r="F567">
            <v>1062.8499999999999</v>
          </cell>
          <cell r="G567" t="str">
            <v>kg</v>
          </cell>
          <cell r="H567" t="str">
            <v>t</v>
          </cell>
          <cell r="I567" t="str">
            <v>none</v>
          </cell>
          <cell r="J567" t="str">
            <v>[Open-IDTD] Naphtha SC</v>
          </cell>
        </row>
        <row r="568">
          <cell r="A568" t="str">
            <v/>
          </cell>
        </row>
        <row r="569">
          <cell r="A569" t="str">
            <v>[Open-IDTD] PDH</v>
          </cell>
          <cell r="B569" t="str">
            <v>olefins</v>
          </cell>
          <cell r="C569" t="str">
            <v>reference_product</v>
          </cell>
          <cell r="D569" t="str">
            <v>2901-2903</v>
          </cell>
          <cell r="E569" t="str">
            <v>Mass</v>
          </cell>
          <cell r="F569">
            <v>1</v>
          </cell>
          <cell r="G569" t="str">
            <v>t</v>
          </cell>
          <cell r="H569">
            <v>1</v>
          </cell>
          <cell r="I569" t="str">
            <v>none</v>
          </cell>
          <cell r="J569" t="str">
            <v>[Open-IDTD] PDH</v>
          </cell>
        </row>
        <row r="570">
          <cell r="A570" t="str">
            <v>[Open-IDTD] PDH</v>
          </cell>
          <cell r="B570" t="str">
            <v>LPG</v>
          </cell>
          <cell r="C570" t="str">
            <v>from technosphere (energy_carrier)</v>
          </cell>
          <cell r="E570" t="str">
            <v>Energy</v>
          </cell>
          <cell r="F570">
            <v>10.7</v>
          </cell>
          <cell r="G570" t="str">
            <v>GJ</v>
          </cell>
          <cell r="H570" t="str">
            <v>t</v>
          </cell>
          <cell r="I570" t="str">
            <v>none</v>
          </cell>
          <cell r="J570" t="str">
            <v>[Open-IDTD] PDH</v>
          </cell>
        </row>
        <row r="571">
          <cell r="A571" t="str">
            <v>[Open-IDTD] PDH</v>
          </cell>
          <cell r="B571" t="str">
            <v xml:space="preserve">machine drive </v>
          </cell>
          <cell r="C571" t="str">
            <v>from technosphere (energy_carrier)</v>
          </cell>
          <cell r="E571" t="str">
            <v>Energy</v>
          </cell>
          <cell r="F571">
            <v>0.1</v>
          </cell>
          <cell r="G571" t="str">
            <v>GJ</v>
          </cell>
          <cell r="H571" t="str">
            <v>t</v>
          </cell>
          <cell r="I571" t="str">
            <v>none</v>
          </cell>
          <cell r="J571" t="str">
            <v>[Open-IDTD] PDH</v>
          </cell>
        </row>
        <row r="572">
          <cell r="A572" t="str">
            <v>[Open-IDTD] PDH</v>
          </cell>
          <cell r="B572" t="str">
            <v>steam</v>
          </cell>
          <cell r="C572" t="str">
            <v>from technosphere (energy_carrier)</v>
          </cell>
          <cell r="E572" t="str">
            <v>Energy</v>
          </cell>
          <cell r="F572">
            <v>2.7</v>
          </cell>
          <cell r="G572" t="str">
            <v>GJ</v>
          </cell>
          <cell r="H572" t="str">
            <v>t</v>
          </cell>
          <cell r="I572" t="str">
            <v>none</v>
          </cell>
          <cell r="J572" t="str">
            <v>[Open-IDTD] PDH</v>
          </cell>
        </row>
        <row r="573">
          <cell r="A573" t="str">
            <v>[Open-IDTD] PDH</v>
          </cell>
          <cell r="B573" t="str">
            <v>LPG</v>
          </cell>
          <cell r="C573" t="str">
            <v>from technosphere (feedstock)</v>
          </cell>
          <cell r="E573" t="str">
            <v>Energy</v>
          </cell>
          <cell r="F573">
            <v>55.9</v>
          </cell>
          <cell r="G573" t="str">
            <v>GJ</v>
          </cell>
          <cell r="H573" t="str">
            <v>t</v>
          </cell>
          <cell r="I573" t="str">
            <v>none</v>
          </cell>
          <cell r="J573" t="str">
            <v>[Open-IDTD] PDH</v>
          </cell>
        </row>
        <row r="574">
          <cell r="A574" t="str">
            <v>[Open-IDTD] PDH</v>
          </cell>
          <cell r="B574" t="str">
            <v>steam</v>
          </cell>
          <cell r="C574" t="str">
            <v>to technosphere (by-product)</v>
          </cell>
          <cell r="E574" t="str">
            <v>Energy</v>
          </cell>
          <cell r="F574">
            <v>0.1</v>
          </cell>
          <cell r="G574" t="str">
            <v>GJ</v>
          </cell>
          <cell r="H574" t="str">
            <v>t</v>
          </cell>
          <cell r="I574" t="str">
            <v>none</v>
          </cell>
          <cell r="J574" t="str">
            <v>[Open-IDTD] PDH</v>
          </cell>
        </row>
        <row r="575">
          <cell r="A575" t="str">
            <v>[Open-IDTD] PDH</v>
          </cell>
          <cell r="B575" t="str">
            <v>carbon dioxide</v>
          </cell>
          <cell r="C575" t="str">
            <v>to environment (emission, combustion)</v>
          </cell>
          <cell r="E575" t="str">
            <v>Mass</v>
          </cell>
          <cell r="F575">
            <v>675.17</v>
          </cell>
          <cell r="G575" t="str">
            <v>kg</v>
          </cell>
          <cell r="H575" t="str">
            <v>t</v>
          </cell>
          <cell r="I575" t="str">
            <v>none</v>
          </cell>
          <cell r="J575" t="str">
            <v>[Open-IDTD] PDH</v>
          </cell>
        </row>
        <row r="576">
          <cell r="A576" t="str">
            <v/>
          </cell>
        </row>
        <row r="577">
          <cell r="A577" t="str">
            <v>[Open-IDTD] Naphtha CC</v>
          </cell>
          <cell r="B577" t="str">
            <v>olefins</v>
          </cell>
          <cell r="C577" t="str">
            <v>reference_product</v>
          </cell>
          <cell r="D577" t="str">
            <v>2901-2903</v>
          </cell>
          <cell r="E577" t="str">
            <v>Mass</v>
          </cell>
          <cell r="F577">
            <v>1</v>
          </cell>
          <cell r="G577" t="str">
            <v>t</v>
          </cell>
          <cell r="H577">
            <v>1</v>
          </cell>
          <cell r="I577" t="str">
            <v>none</v>
          </cell>
          <cell r="J577" t="str">
            <v>[Open-IDTD] Naphtha CC</v>
          </cell>
        </row>
        <row r="578">
          <cell r="A578" t="str">
            <v>[Open-IDTD] Naphtha CC</v>
          </cell>
          <cell r="B578" t="str">
            <v xml:space="preserve">machine drive </v>
          </cell>
          <cell r="C578" t="str">
            <v>from technosphere (energy_carrier)</v>
          </cell>
          <cell r="E578" t="str">
            <v>Energy</v>
          </cell>
          <cell r="F578">
            <v>0.3</v>
          </cell>
          <cell r="G578" t="str">
            <v>GJ</v>
          </cell>
          <cell r="H578" t="str">
            <v>t</v>
          </cell>
          <cell r="I578" t="str">
            <v>none</v>
          </cell>
          <cell r="J578" t="str">
            <v>[Open-IDTD] Naphtha CC</v>
          </cell>
        </row>
        <row r="579">
          <cell r="A579" t="str">
            <v>[Open-IDTD] Naphtha CC</v>
          </cell>
          <cell r="B579" t="str">
            <v>naphtha</v>
          </cell>
          <cell r="C579" t="str">
            <v>from technosphere (energy_carrier)</v>
          </cell>
          <cell r="E579" t="str">
            <v>Energy</v>
          </cell>
          <cell r="F579">
            <v>10.9</v>
          </cell>
          <cell r="G579" t="str">
            <v>GJ</v>
          </cell>
          <cell r="H579" t="str">
            <v>t</v>
          </cell>
          <cell r="I579" t="str">
            <v>none</v>
          </cell>
          <cell r="J579" t="str">
            <v>[Open-IDTD] Naphtha CC</v>
          </cell>
        </row>
        <row r="580">
          <cell r="A580" t="str">
            <v>[Open-IDTD] Naphtha CC</v>
          </cell>
          <cell r="B580" t="str">
            <v>naphtha</v>
          </cell>
          <cell r="C580" t="str">
            <v>from technosphere (feedstock)</v>
          </cell>
          <cell r="E580" t="str">
            <v>Energy</v>
          </cell>
          <cell r="F580">
            <v>62.9</v>
          </cell>
          <cell r="G580" t="str">
            <v>GJ</v>
          </cell>
          <cell r="H580" t="str">
            <v>t</v>
          </cell>
          <cell r="I580" t="str">
            <v>none</v>
          </cell>
          <cell r="J580" t="str">
            <v>[Open-IDTD] Naphtha CC</v>
          </cell>
        </row>
        <row r="581">
          <cell r="A581" t="str">
            <v>[Open-IDTD] Naphtha CC</v>
          </cell>
          <cell r="B581" t="str">
            <v>steam</v>
          </cell>
          <cell r="C581" t="str">
            <v>to technosphere (by-product)</v>
          </cell>
          <cell r="E581" t="str">
            <v>Energy</v>
          </cell>
          <cell r="F581">
            <v>1.2</v>
          </cell>
          <cell r="G581" t="str">
            <v>GJ</v>
          </cell>
          <cell r="H581" t="str">
            <v>t</v>
          </cell>
          <cell r="I581" t="str">
            <v>none</v>
          </cell>
          <cell r="J581" t="str">
            <v>[Open-IDTD] Naphtha CC</v>
          </cell>
        </row>
        <row r="582">
          <cell r="A582" t="str">
            <v>[Open-IDTD] Naphtha CC</v>
          </cell>
          <cell r="B582" t="str">
            <v>carbon dioxide</v>
          </cell>
          <cell r="C582" t="str">
            <v>to environment (emission, combustion)</v>
          </cell>
          <cell r="E582" t="str">
            <v>Mass</v>
          </cell>
          <cell r="F582">
            <v>798.97</v>
          </cell>
          <cell r="G582" t="str">
            <v>kg</v>
          </cell>
          <cell r="H582" t="str">
            <v>t</v>
          </cell>
          <cell r="I582" t="str">
            <v>none</v>
          </cell>
          <cell r="J582" t="str">
            <v>[Open-IDTD] Naphtha CC</v>
          </cell>
        </row>
        <row r="583">
          <cell r="A583" t="str">
            <v/>
          </cell>
        </row>
        <row r="584">
          <cell r="A584" t="str">
            <v>[Open-IDTD] MTO</v>
          </cell>
          <cell r="B584" t="str">
            <v>olefins</v>
          </cell>
          <cell r="C584" t="str">
            <v>reference_product</v>
          </cell>
          <cell r="D584" t="str">
            <v>2901-2903</v>
          </cell>
          <cell r="E584" t="str">
            <v>Mass</v>
          </cell>
          <cell r="F584">
            <v>1</v>
          </cell>
          <cell r="G584" t="str">
            <v>t</v>
          </cell>
          <cell r="H584">
            <v>1</v>
          </cell>
          <cell r="I584" t="str">
            <v>none</v>
          </cell>
          <cell r="J584" t="str">
            <v>[Open-IDTD] MTO</v>
          </cell>
        </row>
        <row r="585">
          <cell r="A585" t="str">
            <v>[Open-IDTD] MTO</v>
          </cell>
          <cell r="B585" t="str">
            <v xml:space="preserve">machine drive </v>
          </cell>
          <cell r="C585" t="str">
            <v>from technosphere (energy_carrier)</v>
          </cell>
          <cell r="E585" t="str">
            <v>Energy</v>
          </cell>
          <cell r="F585">
            <v>0.2</v>
          </cell>
          <cell r="G585" t="str">
            <v>GJ</v>
          </cell>
          <cell r="H585" t="str">
            <v>t</v>
          </cell>
          <cell r="I585" t="str">
            <v>none</v>
          </cell>
          <cell r="J585" t="str">
            <v>[Open-IDTD] MTO</v>
          </cell>
        </row>
        <row r="586">
          <cell r="A586" t="str">
            <v>[Open-IDTD] MTO</v>
          </cell>
          <cell r="B586" t="str">
            <v>natural gas</v>
          </cell>
          <cell r="C586" t="str">
            <v>from technosphere (energy_carrier)</v>
          </cell>
          <cell r="E586" t="str">
            <v>Energy</v>
          </cell>
          <cell r="F586">
            <v>11.4</v>
          </cell>
          <cell r="G586" t="str">
            <v>GJ</v>
          </cell>
          <cell r="H586" t="str">
            <v>t</v>
          </cell>
          <cell r="I586" t="str">
            <v>none</v>
          </cell>
          <cell r="J586" t="str">
            <v>[Open-IDTD] MTO</v>
          </cell>
        </row>
        <row r="587">
          <cell r="A587" t="str">
            <v>[Open-IDTD] MTO</v>
          </cell>
          <cell r="B587" t="str">
            <v>methanol</v>
          </cell>
          <cell r="C587" t="str">
            <v>from technosphere (feedstock)</v>
          </cell>
          <cell r="E587" t="str">
            <v>Energy</v>
          </cell>
          <cell r="F587">
            <v>59.67</v>
          </cell>
          <cell r="G587" t="str">
            <v>GJ</v>
          </cell>
          <cell r="H587" t="str">
            <v>t</v>
          </cell>
          <cell r="I587" t="str">
            <v>none</v>
          </cell>
          <cell r="J587" t="str">
            <v>[Open-IDTD] MTO</v>
          </cell>
        </row>
        <row r="588">
          <cell r="A588" t="str">
            <v>[Open-IDTD] MTO</v>
          </cell>
          <cell r="B588" t="str">
            <v>steam</v>
          </cell>
          <cell r="C588" t="str">
            <v>to technosphere (by-product)</v>
          </cell>
          <cell r="E588" t="str">
            <v>Energy</v>
          </cell>
          <cell r="F588">
            <v>2.1</v>
          </cell>
          <cell r="G588" t="str">
            <v>GJ</v>
          </cell>
          <cell r="H588" t="str">
            <v>t</v>
          </cell>
          <cell r="I588" t="str">
            <v>none</v>
          </cell>
          <cell r="J588" t="str">
            <v>[Open-IDTD] MTO</v>
          </cell>
        </row>
        <row r="589">
          <cell r="A589" t="str">
            <v>[Open-IDTD] MTO</v>
          </cell>
          <cell r="B589" t="str">
            <v>carbon dioxide</v>
          </cell>
          <cell r="C589" t="str">
            <v>to environment (emission, combustion)</v>
          </cell>
          <cell r="E589" t="str">
            <v>Mass</v>
          </cell>
          <cell r="F589">
            <v>639.20521783718186</v>
          </cell>
          <cell r="G589" t="str">
            <v>kg</v>
          </cell>
          <cell r="H589" t="str">
            <v>t</v>
          </cell>
          <cell r="I589" t="str">
            <v>none</v>
          </cell>
          <cell r="J589" t="str">
            <v>[Open-IDTD] MTO</v>
          </cell>
        </row>
        <row r="590">
          <cell r="A590" t="str">
            <v/>
          </cell>
        </row>
        <row r="591">
          <cell r="A591" t="str">
            <v>[Open-IDTD] Bioethanol DH</v>
          </cell>
          <cell r="B591" t="str">
            <v>olefins</v>
          </cell>
          <cell r="C591" t="str">
            <v>reference_product</v>
          </cell>
          <cell r="D591" t="str">
            <v>2901-2903</v>
          </cell>
          <cell r="E591" t="str">
            <v>Mass</v>
          </cell>
          <cell r="F591">
            <v>1</v>
          </cell>
          <cell r="G591" t="str">
            <v>t</v>
          </cell>
          <cell r="H591">
            <v>1</v>
          </cell>
          <cell r="I591" t="str">
            <v>none</v>
          </cell>
          <cell r="J591" t="str">
            <v>[Open-IDTD] Bioethanol DH</v>
          </cell>
        </row>
        <row r="592">
          <cell r="A592" t="str">
            <v>[Open-IDTD] Bioethanol DH</v>
          </cell>
          <cell r="B592" t="str">
            <v>biomass</v>
          </cell>
          <cell r="C592" t="str">
            <v>from technosphere (energy_carrier)</v>
          </cell>
          <cell r="E592" t="str">
            <v>Energy</v>
          </cell>
          <cell r="F592">
            <v>1.6</v>
          </cell>
          <cell r="G592" t="str">
            <v>GJ</v>
          </cell>
          <cell r="H592" t="str">
            <v>t</v>
          </cell>
          <cell r="I592" t="str">
            <v>none</v>
          </cell>
          <cell r="J592" t="str">
            <v>[Open-IDTD] Bioethanol DH</v>
          </cell>
        </row>
        <row r="593">
          <cell r="A593" t="str">
            <v>[Open-IDTD] Bioethanol DH</v>
          </cell>
          <cell r="B593" t="str">
            <v xml:space="preserve">machine drive </v>
          </cell>
          <cell r="C593" t="str">
            <v>from technosphere (energy_carrier)</v>
          </cell>
          <cell r="E593" t="str">
            <v>Energy</v>
          </cell>
          <cell r="F593">
            <v>1.9</v>
          </cell>
          <cell r="G593" t="str">
            <v>GJ</v>
          </cell>
          <cell r="H593" t="str">
            <v>t</v>
          </cell>
          <cell r="I593" t="str">
            <v>none</v>
          </cell>
          <cell r="J593" t="str">
            <v>[Open-IDTD] Bioethanol DH</v>
          </cell>
        </row>
        <row r="594">
          <cell r="A594" t="str">
            <v>[Open-IDTD] Bioethanol DH</v>
          </cell>
          <cell r="B594" t="str">
            <v>steam</v>
          </cell>
          <cell r="C594" t="str">
            <v>from technosphere (energy_carrier)</v>
          </cell>
          <cell r="E594" t="str">
            <v>Energy</v>
          </cell>
          <cell r="F594">
            <v>45.5</v>
          </cell>
          <cell r="G594" t="str">
            <v>GJ</v>
          </cell>
          <cell r="H594" t="str">
            <v>t</v>
          </cell>
          <cell r="I594" t="str">
            <v>none</v>
          </cell>
          <cell r="J594" t="str">
            <v>[Open-IDTD] Bioethanol DH</v>
          </cell>
        </row>
        <row r="595">
          <cell r="A595" t="str">
            <v>[Open-IDTD] Bioethanol DH</v>
          </cell>
          <cell r="B595" t="str">
            <v>biomass</v>
          </cell>
          <cell r="C595" t="str">
            <v>from technosphere (feedstock)</v>
          </cell>
          <cell r="E595" t="str">
            <v>Energy</v>
          </cell>
          <cell r="F595">
            <v>45.9</v>
          </cell>
          <cell r="G595" t="str">
            <v>GJ</v>
          </cell>
          <cell r="H595" t="str">
            <v>t</v>
          </cell>
          <cell r="I595" t="str">
            <v>none</v>
          </cell>
          <cell r="J595" t="str">
            <v>[Open-IDTD] Bioethanol DH</v>
          </cell>
        </row>
        <row r="596">
          <cell r="A596" t="str">
            <v>[Open-IDTD] Bioethanol DH</v>
          </cell>
          <cell r="B596" t="str">
            <v>carbon dioxide</v>
          </cell>
          <cell r="C596" t="str">
            <v>to environment (emission, combustion)</v>
          </cell>
          <cell r="E596" t="str">
            <v>Mass</v>
          </cell>
          <cell r="F596">
            <v>22.256825421375218</v>
          </cell>
          <cell r="G596" t="str">
            <v>kg</v>
          </cell>
          <cell r="H596" t="str">
            <v>t</v>
          </cell>
          <cell r="I596" t="str">
            <v>none</v>
          </cell>
          <cell r="J596" t="str">
            <v>[Open-IDTD] Bioethanol DH</v>
          </cell>
        </row>
        <row r="597">
          <cell r="A597" t="str">
            <v/>
          </cell>
        </row>
        <row r="598">
          <cell r="A598" t="str">
            <v>[Open-IDTD] Coal GSF_MeOH</v>
          </cell>
          <cell r="B598" t="str">
            <v>methanol</v>
          </cell>
          <cell r="C598" t="str">
            <v>reference_product</v>
          </cell>
          <cell r="D598">
            <v>290513</v>
          </cell>
          <cell r="E598" t="str">
            <v>Mass</v>
          </cell>
          <cell r="F598">
            <v>1</v>
          </cell>
          <cell r="G598" t="str">
            <v>t</v>
          </cell>
          <cell r="H598">
            <v>1</v>
          </cell>
          <cell r="I598" t="str">
            <v>none</v>
          </cell>
          <cell r="J598" t="str">
            <v>[Open-IDTD] Coal GSF_MeOH</v>
          </cell>
        </row>
        <row r="599">
          <cell r="A599" t="str">
            <v>[Open-IDTD] Coal GSF_MeOH</v>
          </cell>
          <cell r="B599" t="str">
            <v>coal</v>
          </cell>
          <cell r="C599" t="str">
            <v>from technosphere (energy_carrier)</v>
          </cell>
          <cell r="E599" t="str">
            <v>Energy</v>
          </cell>
          <cell r="F599">
            <v>26.9</v>
          </cell>
          <cell r="G599" t="str">
            <v>GJ</v>
          </cell>
          <cell r="H599" t="str">
            <v>t</v>
          </cell>
          <cell r="I599" t="str">
            <v>none</v>
          </cell>
          <cell r="J599" t="str">
            <v>[Open-IDTD] Coal GSF_MeOH</v>
          </cell>
        </row>
        <row r="600">
          <cell r="A600" t="str">
            <v>[Open-IDTD] Coal GSF_MeOH</v>
          </cell>
          <cell r="B600" t="str">
            <v xml:space="preserve">machine drive </v>
          </cell>
          <cell r="C600" t="str">
            <v>from technosphere (energy_carrier)</v>
          </cell>
          <cell r="E600" t="str">
            <v>Energy</v>
          </cell>
          <cell r="F600">
            <v>3.7</v>
          </cell>
          <cell r="G600" t="str">
            <v>GJ</v>
          </cell>
          <cell r="H600" t="str">
            <v>t</v>
          </cell>
          <cell r="I600" t="str">
            <v>none</v>
          </cell>
          <cell r="J600" t="str">
            <v>[Open-IDTD] Coal GSF_MeOH</v>
          </cell>
        </row>
        <row r="601">
          <cell r="A601" t="str">
            <v>[Open-IDTD] Coal GSF_MeOH</v>
          </cell>
          <cell r="B601" t="str">
            <v>coal</v>
          </cell>
          <cell r="C601" t="str">
            <v>from technosphere (feedstock)</v>
          </cell>
          <cell r="E601" t="str">
            <v>Energy</v>
          </cell>
          <cell r="F601">
            <v>19.5</v>
          </cell>
          <cell r="G601" t="str">
            <v>GJ</v>
          </cell>
          <cell r="H601" t="str">
            <v>t</v>
          </cell>
          <cell r="I601" t="str">
            <v>none</v>
          </cell>
          <cell r="J601" t="str">
            <v>[Open-IDTD] Coal GSF_MeOH</v>
          </cell>
        </row>
        <row r="602">
          <cell r="A602" t="str">
            <v>[Open-IDTD] Coal GSF_MeOH</v>
          </cell>
          <cell r="B602" t="str">
            <v>steam</v>
          </cell>
          <cell r="C602" t="str">
            <v>to technosphere (by-product)</v>
          </cell>
          <cell r="E602" t="str">
            <v>Energy</v>
          </cell>
          <cell r="F602">
            <v>5.5</v>
          </cell>
          <cell r="G602" t="str">
            <v>GJ</v>
          </cell>
          <cell r="H602" t="str">
            <v>t</v>
          </cell>
          <cell r="I602" t="str">
            <v>none</v>
          </cell>
          <cell r="J602" t="str">
            <v>[Open-IDTD] Coal GSF_MeOH</v>
          </cell>
        </row>
        <row r="603">
          <cell r="A603" t="str">
            <v>[Open-IDTD] Coal GSF_MeOH</v>
          </cell>
          <cell r="B603" t="str">
            <v>carbon dioxide</v>
          </cell>
          <cell r="C603" t="str">
            <v>to environment (emission, combustion)</v>
          </cell>
          <cell r="E603" t="str">
            <v>Mass</v>
          </cell>
          <cell r="F603">
            <v>2582.8226978228472</v>
          </cell>
          <cell r="G603" t="str">
            <v>kg</v>
          </cell>
          <cell r="H603" t="str">
            <v>t</v>
          </cell>
          <cell r="I603" t="str">
            <v>none</v>
          </cell>
          <cell r="J603" t="str">
            <v>[Open-IDTD] Coal GSF_MeOH</v>
          </cell>
        </row>
        <row r="604">
          <cell r="A604" t="str">
            <v/>
          </cell>
          <cell r="J604" t="str">
            <v/>
          </cell>
        </row>
        <row r="605">
          <cell r="A605" t="str">
            <v>[Open-IDTD] Coal GSF_NH3</v>
          </cell>
          <cell r="B605" t="str">
            <v>ammonia</v>
          </cell>
          <cell r="C605" t="str">
            <v>reference_product</v>
          </cell>
          <cell r="D605">
            <v>281410</v>
          </cell>
          <cell r="E605" t="str">
            <v>Mass</v>
          </cell>
          <cell r="F605">
            <v>1</v>
          </cell>
          <cell r="G605" t="str">
            <v>t</v>
          </cell>
          <cell r="H605">
            <v>1</v>
          </cell>
          <cell r="I605" t="str">
            <v>none</v>
          </cell>
          <cell r="J605" t="str">
            <v>[Open-IDTD] Coal GSF_NH3</v>
          </cell>
        </row>
        <row r="606">
          <cell r="A606" t="str">
            <v>[Open-IDTD] Coal GSF_NH3</v>
          </cell>
          <cell r="B606" t="str">
            <v>coal</v>
          </cell>
          <cell r="C606" t="str">
            <v>from technosphere (energy_carrier)</v>
          </cell>
          <cell r="E606" t="str">
            <v>Energy</v>
          </cell>
          <cell r="F606">
            <v>23.6</v>
          </cell>
          <cell r="G606" t="str">
            <v>GJ</v>
          </cell>
          <cell r="H606" t="str">
            <v>t</v>
          </cell>
          <cell r="I606" t="str">
            <v>none</v>
          </cell>
          <cell r="J606" t="str">
            <v>[Open-IDTD] Coal GSF_NH3</v>
          </cell>
        </row>
        <row r="607">
          <cell r="A607" t="str">
            <v>[Open-IDTD] Coal GSF_NH3</v>
          </cell>
          <cell r="B607" t="str">
            <v>electricity</v>
          </cell>
          <cell r="C607" t="str">
            <v>from technosphere (energy_carrier)</v>
          </cell>
          <cell r="E607" t="str">
            <v>Energy</v>
          </cell>
          <cell r="F607">
            <v>3.7</v>
          </cell>
          <cell r="G607" t="str">
            <v>GJ</v>
          </cell>
          <cell r="H607" t="str">
            <v>t</v>
          </cell>
          <cell r="I607" t="str">
            <v>none</v>
          </cell>
          <cell r="J607" t="str">
            <v>[Open-IDTD] Coal GSF_NH3</v>
          </cell>
        </row>
        <row r="608">
          <cell r="A608" t="str">
            <v>[Open-IDTD] Coal GSF_NH3</v>
          </cell>
          <cell r="B608" t="str">
            <v>coal</v>
          </cell>
          <cell r="C608" t="str">
            <v>from technosphere (feedstock)</v>
          </cell>
          <cell r="E608" t="str">
            <v>Energy</v>
          </cell>
          <cell r="F608">
            <v>19.5</v>
          </cell>
          <cell r="G608" t="str">
            <v>GJ</v>
          </cell>
          <cell r="H608" t="str">
            <v>t</v>
          </cell>
          <cell r="I608" t="str">
            <v>none</v>
          </cell>
          <cell r="J608" t="str">
            <v>[Open-IDTD] Coal GSF_NH3</v>
          </cell>
        </row>
        <row r="609">
          <cell r="A609" t="str">
            <v>[Open-IDTD] Coal GSF_NH3</v>
          </cell>
          <cell r="B609" t="str">
            <v>steam</v>
          </cell>
          <cell r="C609" t="str">
            <v>to technosphere (by-product)</v>
          </cell>
          <cell r="E609" t="str">
            <v>Energy</v>
          </cell>
          <cell r="F609">
            <v>1.5</v>
          </cell>
          <cell r="G609" t="str">
            <v>GJ</v>
          </cell>
          <cell r="H609" t="str">
            <v>t</v>
          </cell>
          <cell r="I609" t="str">
            <v>none</v>
          </cell>
          <cell r="J609" t="str">
            <v>[Open-IDTD] Coal GSF_NH3</v>
          </cell>
        </row>
        <row r="610">
          <cell r="A610" t="str">
            <v>[Open-IDTD] Coal GSF_NH3</v>
          </cell>
          <cell r="B610" t="str">
            <v>carbon dioxide</v>
          </cell>
          <cell r="C610" t="str">
            <v>to environment (emission, combustion)</v>
          </cell>
          <cell r="E610" t="str">
            <v>Mass</v>
          </cell>
          <cell r="F610">
            <v>2265.9708426995985</v>
          </cell>
          <cell r="G610" t="str">
            <v>kg</v>
          </cell>
          <cell r="H610" t="str">
            <v>t</v>
          </cell>
          <cell r="I610" t="str">
            <v>none</v>
          </cell>
          <cell r="J610" t="str">
            <v>[Open-IDTD] Coal GSF_NH3</v>
          </cell>
        </row>
        <row r="611">
          <cell r="A611" t="str">
            <v/>
          </cell>
          <cell r="J611" t="str">
            <v/>
          </cell>
        </row>
        <row r="612">
          <cell r="A612" t="str">
            <v>[Open-IDTD] COG SR</v>
          </cell>
          <cell r="B612" t="str">
            <v>methanol</v>
          </cell>
          <cell r="C612" t="str">
            <v>reference_product</v>
          </cell>
          <cell r="D612">
            <v>290513</v>
          </cell>
          <cell r="E612" t="str">
            <v>Mass</v>
          </cell>
          <cell r="F612">
            <v>1</v>
          </cell>
          <cell r="G612" t="str">
            <v>t</v>
          </cell>
          <cell r="H612">
            <v>1</v>
          </cell>
          <cell r="I612" t="str">
            <v>none</v>
          </cell>
          <cell r="J612" t="str">
            <v>[Open-IDTD] COG SR</v>
          </cell>
        </row>
        <row r="613">
          <cell r="A613" t="str">
            <v>[Open-IDTD] COG SR</v>
          </cell>
          <cell r="B613" t="str">
            <v>coke oven gas</v>
          </cell>
          <cell r="C613" t="str">
            <v>from technosphere (energy_carrier)</v>
          </cell>
          <cell r="E613" t="str">
            <v>Energy</v>
          </cell>
          <cell r="F613">
            <v>26.9</v>
          </cell>
          <cell r="G613" t="str">
            <v>GJ</v>
          </cell>
          <cell r="H613" t="str">
            <v>t</v>
          </cell>
          <cell r="I613" t="str">
            <v>none</v>
          </cell>
          <cell r="J613" t="str">
            <v>[Open-IDTD] COG SR</v>
          </cell>
        </row>
        <row r="614">
          <cell r="A614" t="str">
            <v>[Open-IDTD] COG SR</v>
          </cell>
          <cell r="B614" t="str">
            <v xml:space="preserve">machine drive </v>
          </cell>
          <cell r="C614" t="str">
            <v>from technosphere (energy_carrier)</v>
          </cell>
          <cell r="E614" t="str">
            <v>Energy</v>
          </cell>
          <cell r="F614">
            <v>3.7</v>
          </cell>
          <cell r="G614" t="str">
            <v>GJ</v>
          </cell>
          <cell r="H614" t="str">
            <v>t</v>
          </cell>
          <cell r="I614" t="str">
            <v>none</v>
          </cell>
          <cell r="J614" t="str">
            <v>[Open-IDTD] COG SR</v>
          </cell>
        </row>
        <row r="615">
          <cell r="A615" t="str">
            <v>[Open-IDTD] COG SR</v>
          </cell>
          <cell r="B615" t="str">
            <v>natural gas</v>
          </cell>
          <cell r="C615" t="str">
            <v>from technosphere (feedstock)</v>
          </cell>
          <cell r="E615" t="str">
            <v>Energy</v>
          </cell>
          <cell r="F615">
            <v>21.9</v>
          </cell>
          <cell r="G615" t="str">
            <v>GJ</v>
          </cell>
          <cell r="H615" t="str">
            <v>t</v>
          </cell>
          <cell r="I615" t="str">
            <v>none</v>
          </cell>
          <cell r="J615" t="str">
            <v>[Open-IDTD] COG SR</v>
          </cell>
        </row>
        <row r="616">
          <cell r="A616" t="str">
            <v>[Open-IDTD] COG SR</v>
          </cell>
          <cell r="B616" t="str">
            <v>steam</v>
          </cell>
          <cell r="C616" t="str">
            <v>to technosphere (by-product)</v>
          </cell>
          <cell r="E616" t="str">
            <v>Energy</v>
          </cell>
          <cell r="F616">
            <v>5.5</v>
          </cell>
          <cell r="G616" t="str">
            <v>GJ</v>
          </cell>
          <cell r="H616" t="str">
            <v>t</v>
          </cell>
          <cell r="I616" t="str">
            <v>none</v>
          </cell>
          <cell r="J616" t="str">
            <v>[Open-IDTD] COG SR</v>
          </cell>
        </row>
        <row r="617">
          <cell r="A617" t="str">
            <v>[Open-IDTD] COG SR</v>
          </cell>
          <cell r="B617" t="str">
            <v>carbon dioxide</v>
          </cell>
          <cell r="C617" t="str">
            <v>to environment (emission, combustion)</v>
          </cell>
          <cell r="E617" t="str">
            <v>Mass</v>
          </cell>
          <cell r="F617">
            <v>1194.3599999999999</v>
          </cell>
          <cell r="G617" t="str">
            <v>kg</v>
          </cell>
          <cell r="H617" t="str">
            <v>t</v>
          </cell>
          <cell r="I617" t="str">
            <v>none</v>
          </cell>
          <cell r="J617" t="str">
            <v>[Open-IDTD] COG SR</v>
          </cell>
        </row>
        <row r="618">
          <cell r="A618" t="str">
            <v/>
          </cell>
          <cell r="J618" t="str">
            <v/>
          </cell>
        </row>
        <row r="619">
          <cell r="A619" t="str">
            <v>[Open-IDTD] LPG POX_MeOH</v>
          </cell>
          <cell r="B619" t="str">
            <v>methanol</v>
          </cell>
          <cell r="C619" t="str">
            <v>reference_product</v>
          </cell>
          <cell r="D619">
            <v>290513</v>
          </cell>
          <cell r="E619" t="str">
            <v>Mass</v>
          </cell>
          <cell r="F619">
            <v>1</v>
          </cell>
          <cell r="G619" t="str">
            <v>t</v>
          </cell>
          <cell r="H619">
            <v>1</v>
          </cell>
          <cell r="I619" t="str">
            <v>none</v>
          </cell>
          <cell r="J619" t="str">
            <v>[Open-IDTD] LPG POX_MeOH</v>
          </cell>
        </row>
        <row r="620">
          <cell r="A620" t="str">
            <v>[Open-IDTD] LPG POX_MeOH</v>
          </cell>
          <cell r="B620" t="str">
            <v>LPG</v>
          </cell>
          <cell r="C620" t="str">
            <v>from technosphere (energy_carrier)</v>
          </cell>
          <cell r="E620" t="str">
            <v>Energy</v>
          </cell>
          <cell r="F620">
            <v>14.8</v>
          </cell>
          <cell r="G620" t="str">
            <v>GJ</v>
          </cell>
          <cell r="H620" t="str">
            <v>t</v>
          </cell>
          <cell r="I620" t="str">
            <v>none</v>
          </cell>
          <cell r="J620" t="str">
            <v>[Open-IDTD] LPG POX_MeOH</v>
          </cell>
        </row>
        <row r="621">
          <cell r="A621" t="str">
            <v>[Open-IDTD] LPG POX_MeOH</v>
          </cell>
          <cell r="B621" t="str">
            <v xml:space="preserve">machine drive </v>
          </cell>
          <cell r="C621" t="str">
            <v>from technosphere (energy_carrier)</v>
          </cell>
          <cell r="E621" t="str">
            <v>Energy</v>
          </cell>
          <cell r="F621">
            <v>2</v>
          </cell>
          <cell r="G621" t="str">
            <v>GJ</v>
          </cell>
          <cell r="H621" t="str">
            <v>t</v>
          </cell>
          <cell r="I621" t="str">
            <v>none</v>
          </cell>
          <cell r="J621" t="str">
            <v>[Open-IDTD] LPG POX_MeOH</v>
          </cell>
        </row>
        <row r="622">
          <cell r="A622" t="str">
            <v>[Open-IDTD] LPG POX_MeOH</v>
          </cell>
          <cell r="B622" t="str">
            <v>LPG</v>
          </cell>
          <cell r="C622" t="str">
            <v>from technosphere (feedstock)</v>
          </cell>
          <cell r="E622" t="str">
            <v>Energy</v>
          </cell>
          <cell r="F622">
            <v>21</v>
          </cell>
          <cell r="G622" t="str">
            <v>GJ</v>
          </cell>
          <cell r="H622" t="str">
            <v>t</v>
          </cell>
          <cell r="I622" t="str">
            <v>none</v>
          </cell>
          <cell r="J622" t="str">
            <v>[Open-IDTD] LPG POX_MeOH</v>
          </cell>
        </row>
        <row r="623">
          <cell r="A623" t="str">
            <v>[Open-IDTD] LPG POX_MeOH</v>
          </cell>
          <cell r="B623" t="str">
            <v>steam</v>
          </cell>
          <cell r="C623" t="str">
            <v>to technosphere (by-product)</v>
          </cell>
          <cell r="E623" t="str">
            <v>Energy</v>
          </cell>
          <cell r="F623">
            <v>2.9</v>
          </cell>
          <cell r="G623" t="str">
            <v>GJ</v>
          </cell>
          <cell r="H623" t="str">
            <v>t</v>
          </cell>
          <cell r="I623" t="str">
            <v>none</v>
          </cell>
          <cell r="J623" t="str">
            <v>[Open-IDTD] LPG POX_MeOH</v>
          </cell>
        </row>
        <row r="624">
          <cell r="A624" t="str">
            <v>[Open-IDTD] LPG POX_MeOH</v>
          </cell>
          <cell r="B624" t="str">
            <v>carbon dioxide</v>
          </cell>
          <cell r="C624" t="str">
            <v>to environment (emission, combustion)</v>
          </cell>
          <cell r="E624" t="str">
            <v>Mass</v>
          </cell>
          <cell r="F624">
            <v>933.88000000000011</v>
          </cell>
          <cell r="G624" t="str">
            <v>kg</v>
          </cell>
          <cell r="H624" t="str">
            <v>t</v>
          </cell>
          <cell r="I624" t="str">
            <v>none</v>
          </cell>
          <cell r="J624" t="str">
            <v>[Open-IDTD] LPG POX_MeOH</v>
          </cell>
        </row>
        <row r="625">
          <cell r="A625" t="str">
            <v/>
          </cell>
          <cell r="J625" t="str">
            <v/>
          </cell>
        </row>
        <row r="626">
          <cell r="A626" t="str">
            <v>[Open-IDTD] NG SR_MeOH</v>
          </cell>
          <cell r="B626" t="str">
            <v>methanol</v>
          </cell>
          <cell r="C626" t="str">
            <v>reference_product</v>
          </cell>
          <cell r="D626">
            <v>290513</v>
          </cell>
          <cell r="E626" t="str">
            <v>Mass</v>
          </cell>
          <cell r="F626">
            <v>1</v>
          </cell>
          <cell r="G626" t="str">
            <v>t</v>
          </cell>
          <cell r="H626">
            <v>1</v>
          </cell>
          <cell r="I626" t="str">
            <v>none</v>
          </cell>
          <cell r="J626" t="str">
            <v>[Open-IDTD] NG SR_MeOH</v>
          </cell>
        </row>
        <row r="627">
          <cell r="A627" t="str">
            <v>[Open-IDTD] NG SR_MeOH</v>
          </cell>
          <cell r="B627" t="str">
            <v xml:space="preserve">machine drive </v>
          </cell>
          <cell r="C627" t="str">
            <v>from technosphere (energy_carrier)</v>
          </cell>
          <cell r="E627" t="str">
            <v>Energy</v>
          </cell>
          <cell r="F627">
            <v>0.3</v>
          </cell>
          <cell r="G627" t="str">
            <v>GJ</v>
          </cell>
          <cell r="H627" t="str">
            <v>t</v>
          </cell>
          <cell r="I627" t="str">
            <v>none</v>
          </cell>
          <cell r="J627" t="str">
            <v>[Open-IDTD] NG SR_MeOH</v>
          </cell>
        </row>
        <row r="628">
          <cell r="A628" t="str">
            <v>[Open-IDTD] NG SR_MeOH</v>
          </cell>
          <cell r="B628" t="str">
            <v>natural gas</v>
          </cell>
          <cell r="C628" t="str">
            <v>from technosphere (energy_carrier)</v>
          </cell>
          <cell r="E628" t="str">
            <v>Energy</v>
          </cell>
          <cell r="F628">
            <v>15.7</v>
          </cell>
          <cell r="G628" t="str">
            <v>GJ</v>
          </cell>
          <cell r="H628" t="str">
            <v>t</v>
          </cell>
          <cell r="I628" t="str">
            <v>none</v>
          </cell>
          <cell r="J628" t="str">
            <v>[Open-IDTD] NG SR_MeOH</v>
          </cell>
        </row>
        <row r="629">
          <cell r="A629" t="str">
            <v>[Open-IDTD] NG SR_MeOH</v>
          </cell>
          <cell r="B629" t="str">
            <v>natural gas</v>
          </cell>
          <cell r="C629" t="str">
            <v>from technosphere (feedstock)</v>
          </cell>
          <cell r="E629" t="str">
            <v>Energy</v>
          </cell>
          <cell r="F629">
            <v>21.9</v>
          </cell>
          <cell r="G629" t="str">
            <v>GJ</v>
          </cell>
          <cell r="H629" t="str">
            <v>t</v>
          </cell>
          <cell r="I629" t="str">
            <v>none</v>
          </cell>
          <cell r="J629" t="str">
            <v>[Open-IDTD] NG SR_MeOH</v>
          </cell>
        </row>
        <row r="630">
          <cell r="A630" t="str">
            <v/>
          </cell>
          <cell r="B630" t="str">
            <v>steam</v>
          </cell>
          <cell r="C630" t="str">
            <v>to technosphere (by-product)</v>
          </cell>
          <cell r="E630" t="str">
            <v>Energy</v>
          </cell>
          <cell r="F630">
            <v>2.8</v>
          </cell>
          <cell r="G630" t="str">
            <v>GJ</v>
          </cell>
          <cell r="H630" t="str">
            <v>t</v>
          </cell>
          <cell r="I630" t="str">
            <v>none</v>
          </cell>
          <cell r="J630" t="str">
            <v/>
          </cell>
        </row>
        <row r="631">
          <cell r="A631" t="str">
            <v>[Open-IDTD] NG SR_MeOH</v>
          </cell>
          <cell r="B631" t="str">
            <v>carbon dioxide</v>
          </cell>
          <cell r="C631" t="str">
            <v>to environment (emission, combustion)</v>
          </cell>
          <cell r="E631" t="str">
            <v>Mass</v>
          </cell>
          <cell r="F631">
            <v>880.30894035471533</v>
          </cell>
          <cell r="G631" t="str">
            <v>kg</v>
          </cell>
          <cell r="H631" t="str">
            <v>t</v>
          </cell>
          <cell r="I631" t="str">
            <v>none</v>
          </cell>
          <cell r="J631" t="str">
            <v>[Open-IDTD] NG SR_MeOH</v>
          </cell>
        </row>
        <row r="632">
          <cell r="A632" t="str">
            <v/>
          </cell>
          <cell r="J632" t="str">
            <v/>
          </cell>
        </row>
        <row r="633">
          <cell r="A633" t="str">
            <v>[Open-IDTD] NG SR_NH3</v>
          </cell>
          <cell r="B633" t="str">
            <v>ammonia</v>
          </cell>
          <cell r="C633" t="str">
            <v>reference_product</v>
          </cell>
          <cell r="D633">
            <v>281410</v>
          </cell>
          <cell r="E633" t="str">
            <v>Mass</v>
          </cell>
          <cell r="F633">
            <v>1</v>
          </cell>
          <cell r="G633" t="str">
            <v>t</v>
          </cell>
          <cell r="H633">
            <v>1</v>
          </cell>
          <cell r="I633" t="str">
            <v>none</v>
          </cell>
          <cell r="J633" t="str">
            <v>[Open-IDTD] NG SR_NH3</v>
          </cell>
        </row>
        <row r="634">
          <cell r="A634" t="str">
            <v>[Open-IDTD] NG SR_NH3</v>
          </cell>
          <cell r="B634" t="str">
            <v>electricity</v>
          </cell>
          <cell r="C634" t="str">
            <v>from technosphere (energy_carrier)</v>
          </cell>
          <cell r="E634" t="str">
            <v>Energy</v>
          </cell>
          <cell r="F634">
            <v>0.3</v>
          </cell>
          <cell r="G634" t="str">
            <v>GJ</v>
          </cell>
          <cell r="H634" t="str">
            <v>t</v>
          </cell>
          <cell r="I634" t="str">
            <v>none</v>
          </cell>
          <cell r="J634" t="str">
            <v>[Open-IDTD] NG SR_NH3</v>
          </cell>
        </row>
        <row r="635">
          <cell r="A635" t="str">
            <v>[Open-IDTD] NG SR_NH3</v>
          </cell>
          <cell r="B635" t="str">
            <v>natural gas</v>
          </cell>
          <cell r="C635" t="str">
            <v>from technosphere (energy_carrier)</v>
          </cell>
          <cell r="E635" t="str">
            <v>Energy</v>
          </cell>
          <cell r="F635">
            <v>26.3</v>
          </cell>
          <cell r="G635" t="str">
            <v>GJ</v>
          </cell>
          <cell r="H635" t="str">
            <v>t</v>
          </cell>
          <cell r="I635" t="str">
            <v>none</v>
          </cell>
          <cell r="J635" t="str">
            <v>[Open-IDTD] NG SR_NH3</v>
          </cell>
        </row>
        <row r="636">
          <cell r="A636" t="str">
            <v>[Open-IDTD] NG SR_NH3</v>
          </cell>
          <cell r="B636" t="str">
            <v>natural gas</v>
          </cell>
          <cell r="C636" t="str">
            <v>from technosphere (feedstock)</v>
          </cell>
          <cell r="E636" t="str">
            <v>Energy</v>
          </cell>
          <cell r="F636">
            <v>19.48</v>
          </cell>
          <cell r="G636" t="str">
            <v>GJ</v>
          </cell>
          <cell r="H636" t="str">
            <v>t</v>
          </cell>
          <cell r="I636" t="str">
            <v>none</v>
          </cell>
          <cell r="J636" t="str">
            <v>[Open-IDTD] NG SR_NH3</v>
          </cell>
        </row>
        <row r="637">
          <cell r="A637" t="str">
            <v/>
          </cell>
          <cell r="B637" t="str">
            <v>steam</v>
          </cell>
          <cell r="C637" t="str">
            <v>to technosphere (by-product)</v>
          </cell>
          <cell r="E637" t="str">
            <v>Energy</v>
          </cell>
          <cell r="F637">
            <v>9.3000000000000007</v>
          </cell>
          <cell r="G637" t="str">
            <v>GJ</v>
          </cell>
          <cell r="H637" t="str">
            <v>t</v>
          </cell>
          <cell r="I637" t="str">
            <v>none</v>
          </cell>
          <cell r="J637" t="str">
            <v/>
          </cell>
        </row>
        <row r="638">
          <cell r="A638" t="str">
            <v>[Open-IDTD] NG SR_NH3</v>
          </cell>
          <cell r="B638" t="str">
            <v>carbon dioxide</v>
          </cell>
          <cell r="C638" t="str">
            <v>to environment (emission, combustion)</v>
          </cell>
          <cell r="E638" t="str">
            <v>Mass</v>
          </cell>
          <cell r="F638">
            <v>1474.6576516770074</v>
          </cell>
          <cell r="G638" t="str">
            <v>kg</v>
          </cell>
          <cell r="H638" t="str">
            <v>t</v>
          </cell>
          <cell r="I638" t="str">
            <v>none</v>
          </cell>
          <cell r="J638" t="str">
            <v>[Open-IDTD] NG SR_NH3</v>
          </cell>
        </row>
        <row r="639">
          <cell r="A639" t="str">
            <v/>
          </cell>
          <cell r="J639" t="str">
            <v/>
          </cell>
        </row>
        <row r="640">
          <cell r="A640" t="str">
            <v>[Open-IDTD] Electrolysis_MeOH</v>
          </cell>
          <cell r="B640" t="str">
            <v>methanol</v>
          </cell>
          <cell r="C640" t="str">
            <v>reference_product</v>
          </cell>
          <cell r="D640">
            <v>290513</v>
          </cell>
          <cell r="E640" t="str">
            <v>Mass</v>
          </cell>
          <cell r="F640">
            <v>1</v>
          </cell>
          <cell r="G640" t="str">
            <v>t</v>
          </cell>
          <cell r="H640">
            <v>1</v>
          </cell>
          <cell r="I640" t="str">
            <v>none</v>
          </cell>
          <cell r="J640" t="str">
            <v>[Open-IDTD] Electrolysis_MeOH</v>
          </cell>
        </row>
        <row r="641">
          <cell r="A641" t="str">
            <v>[Open-IDTD] Electrolysis_MeOH</v>
          </cell>
          <cell r="B641" t="str">
            <v>hydrogen</v>
          </cell>
          <cell r="C641" t="str">
            <v>from technosphere (energy_carrier)</v>
          </cell>
          <cell r="E641" t="str">
            <v>Energy</v>
          </cell>
          <cell r="F641">
            <v>22.5</v>
          </cell>
          <cell r="G641" t="str">
            <v>GJ</v>
          </cell>
          <cell r="H641" t="str">
            <v>t</v>
          </cell>
          <cell r="I641" t="str">
            <v>none</v>
          </cell>
          <cell r="J641" t="str">
            <v>[Open-IDTD] Electrolysis_MeOH</v>
          </cell>
        </row>
        <row r="642">
          <cell r="A642" t="str">
            <v>[Open-IDTD] Electrolysis_MeOH</v>
          </cell>
          <cell r="B642" t="str">
            <v xml:space="preserve">machine drive </v>
          </cell>
          <cell r="C642" t="str">
            <v>from technosphere (energy_carrier)</v>
          </cell>
          <cell r="E642" t="str">
            <v>Energy</v>
          </cell>
          <cell r="F642">
            <v>1.4</v>
          </cell>
          <cell r="G642" t="str">
            <v>GJ</v>
          </cell>
          <cell r="H642" t="str">
            <v>t</v>
          </cell>
          <cell r="I642" t="str">
            <v>none</v>
          </cell>
          <cell r="J642" t="str">
            <v>[Open-IDTD] Electrolysis_MeOH</v>
          </cell>
        </row>
        <row r="643">
          <cell r="A643" t="str">
            <v/>
          </cell>
          <cell r="J643" t="str">
            <v/>
          </cell>
        </row>
        <row r="644">
          <cell r="A644" t="str">
            <v>[Open-IDTD] Electrolysis_NH3</v>
          </cell>
          <cell r="B644" t="str">
            <v>ammonia</v>
          </cell>
          <cell r="C644" t="str">
            <v>reference_product</v>
          </cell>
          <cell r="D644">
            <v>281410</v>
          </cell>
          <cell r="E644" t="str">
            <v>Mass</v>
          </cell>
          <cell r="F644">
            <v>1</v>
          </cell>
          <cell r="G644" t="str">
            <v>t</v>
          </cell>
          <cell r="H644">
            <v>1</v>
          </cell>
          <cell r="I644" t="str">
            <v>none</v>
          </cell>
          <cell r="J644" t="str">
            <v>[Open-IDTD] Electrolysis_NH3</v>
          </cell>
        </row>
        <row r="645">
          <cell r="A645" t="str">
            <v>[Open-IDTD] Electrolysis_NH3</v>
          </cell>
          <cell r="B645" t="str">
            <v>hydrogen</v>
          </cell>
          <cell r="C645" t="str">
            <v>from technosphere (energy_carrier)</v>
          </cell>
          <cell r="E645" t="str">
            <v>Energy</v>
          </cell>
          <cell r="F645">
            <v>36</v>
          </cell>
          <cell r="G645" t="str">
            <v>GJ</v>
          </cell>
          <cell r="H645" t="str">
            <v>t</v>
          </cell>
          <cell r="I645" t="str">
            <v>none</v>
          </cell>
          <cell r="J645" t="str">
            <v>[Open-IDTD] Electrolysis_NH3</v>
          </cell>
        </row>
        <row r="646">
          <cell r="A646" t="str">
            <v>[Open-IDTD] Electrolysis_NH3</v>
          </cell>
          <cell r="B646" t="str">
            <v xml:space="preserve">machine drive </v>
          </cell>
          <cell r="C646" t="str">
            <v>from technosphere (energy_carrier)</v>
          </cell>
          <cell r="E646" t="str">
            <v>Energy</v>
          </cell>
          <cell r="F646">
            <v>5.74</v>
          </cell>
          <cell r="G646" t="str">
            <v>GJ</v>
          </cell>
          <cell r="H646" t="str">
            <v>t</v>
          </cell>
          <cell r="I646" t="str">
            <v>none</v>
          </cell>
          <cell r="J646" t="str">
            <v>[Open-IDTD] Electrolysis_NH3</v>
          </cell>
        </row>
        <row r="647">
          <cell r="A647" t="str">
            <v/>
          </cell>
          <cell r="J647" t="str">
            <v/>
          </cell>
        </row>
        <row r="648">
          <cell r="A648" t="str">
            <v>[Open-IDTD] Biomass GSF_MeOH</v>
          </cell>
          <cell r="B648" t="str">
            <v>methanol</v>
          </cell>
          <cell r="C648" t="str">
            <v>reference_product</v>
          </cell>
          <cell r="D648">
            <v>290513</v>
          </cell>
          <cell r="E648" t="str">
            <v>Mass</v>
          </cell>
          <cell r="F648">
            <v>1</v>
          </cell>
          <cell r="G648" t="str">
            <v>t</v>
          </cell>
          <cell r="H648">
            <v>1</v>
          </cell>
          <cell r="I648" t="str">
            <v>none</v>
          </cell>
          <cell r="J648" t="str">
            <v>[Open-IDTD] Biomass GSF_MeOH</v>
          </cell>
        </row>
        <row r="649">
          <cell r="A649" t="str">
            <v>[Open-IDTD] Biomass GSF_MeOH</v>
          </cell>
          <cell r="B649" t="str">
            <v>biomass</v>
          </cell>
          <cell r="C649" t="str">
            <v>from technosphere (energy_carrier)</v>
          </cell>
          <cell r="E649" t="str">
            <v>Energy</v>
          </cell>
          <cell r="F649">
            <v>28</v>
          </cell>
          <cell r="G649" t="str">
            <v>GJ</v>
          </cell>
          <cell r="H649" t="str">
            <v>t</v>
          </cell>
          <cell r="I649" t="str">
            <v>none</v>
          </cell>
          <cell r="J649" t="str">
            <v>[Open-IDTD] Biomass GSF_MeOH</v>
          </cell>
        </row>
        <row r="650">
          <cell r="A650" t="str">
            <v>[Open-IDTD] Biomass GSF_MeOH</v>
          </cell>
          <cell r="B650" t="str">
            <v xml:space="preserve">machine drive </v>
          </cell>
          <cell r="C650" t="str">
            <v>from technosphere (energy_carrier)</v>
          </cell>
          <cell r="E650" t="str">
            <v>Energy</v>
          </cell>
          <cell r="F650">
            <v>5</v>
          </cell>
          <cell r="G650" t="str">
            <v>GJ</v>
          </cell>
          <cell r="H650" t="str">
            <v>t</v>
          </cell>
          <cell r="I650" t="str">
            <v>none</v>
          </cell>
          <cell r="J650" t="str">
            <v>[Open-IDTD] Biomass GSF_MeOH</v>
          </cell>
        </row>
        <row r="651">
          <cell r="A651" t="str">
            <v>[Open-IDTD] Biomass GSF_MeOH</v>
          </cell>
          <cell r="B651" t="str">
            <v>biomass</v>
          </cell>
          <cell r="C651" t="str">
            <v>from technosphere (feedstock)</v>
          </cell>
          <cell r="E651" t="str">
            <v>Energy</v>
          </cell>
          <cell r="F651">
            <v>28.4</v>
          </cell>
          <cell r="G651" t="str">
            <v>GJ</v>
          </cell>
          <cell r="H651" t="str">
            <v>t</v>
          </cell>
          <cell r="I651" t="str">
            <v>none</v>
          </cell>
          <cell r="J651" t="str">
            <v>[Open-IDTD] Biomass GSF_MeOH</v>
          </cell>
        </row>
        <row r="652">
          <cell r="A652" t="str">
            <v/>
          </cell>
          <cell r="B652" t="str">
            <v>steam</v>
          </cell>
          <cell r="C652" t="str">
            <v>to technosphere (by-product)</v>
          </cell>
          <cell r="E652" t="str">
            <v>Energy</v>
          </cell>
          <cell r="F652">
            <v>5.9</v>
          </cell>
          <cell r="G652" t="str">
            <v>GJ</v>
          </cell>
          <cell r="H652" t="str">
            <v>t</v>
          </cell>
          <cell r="I652" t="str">
            <v>none</v>
          </cell>
          <cell r="J652" t="str">
            <v/>
          </cell>
        </row>
        <row r="653">
          <cell r="A653" t="str">
            <v>[Open-IDTD] Biomass GSF_MeOH</v>
          </cell>
          <cell r="B653" t="str">
            <v>carbon dioxide</v>
          </cell>
          <cell r="C653" t="str">
            <v>to environment (emission, combustion)</v>
          </cell>
          <cell r="E653" t="str">
            <v>Mass</v>
          </cell>
          <cell r="F653">
            <v>389.49444487406629</v>
          </cell>
          <cell r="G653" t="str">
            <v>kg</v>
          </cell>
          <cell r="H653" t="str">
            <v>t</v>
          </cell>
          <cell r="I653" t="str">
            <v>none</v>
          </cell>
          <cell r="J653" t="str">
            <v>[Open-IDTD] Biomass GSF_MeOH</v>
          </cell>
        </row>
        <row r="654">
          <cell r="A654" t="str">
            <v/>
          </cell>
          <cell r="J654" t="str">
            <v/>
          </cell>
        </row>
        <row r="655">
          <cell r="A655" t="str">
            <v>[Open-IDTD] Biomass GSF_NH3</v>
          </cell>
          <cell r="B655" t="str">
            <v>ammonia</v>
          </cell>
          <cell r="C655" t="str">
            <v>reference_product</v>
          </cell>
          <cell r="D655">
            <v>281410</v>
          </cell>
          <cell r="E655" t="str">
            <v>Mass</v>
          </cell>
          <cell r="F655">
            <v>1</v>
          </cell>
          <cell r="G655" t="str">
            <v>t</v>
          </cell>
          <cell r="H655">
            <v>1</v>
          </cell>
          <cell r="I655" t="str">
            <v>none</v>
          </cell>
          <cell r="J655" t="str">
            <v>[Open-IDTD] Biomass GSF_NH3</v>
          </cell>
        </row>
        <row r="656">
          <cell r="A656" t="str">
            <v>[Open-IDTD] Biomass GSF_NH3</v>
          </cell>
          <cell r="B656" t="str">
            <v>biomass</v>
          </cell>
          <cell r="C656" t="str">
            <v>from technosphere (energy_carrier)</v>
          </cell>
          <cell r="E656" t="str">
            <v>Energy</v>
          </cell>
          <cell r="F656">
            <v>26.3</v>
          </cell>
          <cell r="G656" t="str">
            <v>GJ</v>
          </cell>
          <cell r="H656" t="str">
            <v>t</v>
          </cell>
          <cell r="I656" t="str">
            <v>none</v>
          </cell>
          <cell r="J656" t="str">
            <v>[Open-IDTD] Biomass GSF_NH3</v>
          </cell>
        </row>
        <row r="657">
          <cell r="A657" t="str">
            <v>[Open-IDTD] Biomass GSF_NH3</v>
          </cell>
          <cell r="B657" t="str">
            <v>electricity</v>
          </cell>
          <cell r="C657" t="str">
            <v>from technosphere (energy_carrier)</v>
          </cell>
          <cell r="E657" t="str">
            <v>Energy</v>
          </cell>
          <cell r="F657">
            <v>5</v>
          </cell>
          <cell r="G657" t="str">
            <v>GJ</v>
          </cell>
          <cell r="H657" t="str">
            <v>t</v>
          </cell>
          <cell r="I657" t="str">
            <v>none</v>
          </cell>
          <cell r="J657" t="str">
            <v>[Open-IDTD] Biomass GSF_NH3</v>
          </cell>
        </row>
        <row r="658">
          <cell r="A658" t="str">
            <v>[Open-IDTD] Biomass GSF_NH3</v>
          </cell>
          <cell r="B658" t="str">
            <v>biomass</v>
          </cell>
          <cell r="C658" t="str">
            <v>from technosphere (feedstock)</v>
          </cell>
          <cell r="E658" t="str">
            <v>Energy</v>
          </cell>
          <cell r="F658">
            <v>27</v>
          </cell>
          <cell r="G658" t="str">
            <v>GJ</v>
          </cell>
          <cell r="H658" t="str">
            <v>t</v>
          </cell>
          <cell r="I658" t="str">
            <v>none</v>
          </cell>
          <cell r="J658" t="str">
            <v>[Open-IDTD] Biomass GSF_NH3</v>
          </cell>
        </row>
        <row r="659">
          <cell r="A659" t="str">
            <v/>
          </cell>
          <cell r="B659" t="str">
            <v>steam</v>
          </cell>
          <cell r="C659" t="str">
            <v>to technosphere (by-product)</v>
          </cell>
          <cell r="E659" t="str">
            <v>Energy</v>
          </cell>
          <cell r="F659">
            <v>1.7</v>
          </cell>
          <cell r="G659" t="str">
            <v>GJ</v>
          </cell>
          <cell r="H659" t="str">
            <v>t</v>
          </cell>
          <cell r="I659" t="str">
            <v>none</v>
          </cell>
          <cell r="J659" t="str">
            <v/>
          </cell>
        </row>
        <row r="660">
          <cell r="A660" t="str">
            <v>[Open-IDTD] Biomass GSF_NH3</v>
          </cell>
          <cell r="B660" t="str">
            <v>carbon dioxide</v>
          </cell>
          <cell r="C660" t="str">
            <v>to environment (emission, combustion)</v>
          </cell>
          <cell r="E660" t="str">
            <v>Mass</v>
          </cell>
          <cell r="F660">
            <v>365.84656786385511</v>
          </cell>
          <cell r="G660" t="str">
            <v>kg</v>
          </cell>
          <cell r="H660" t="str">
            <v>t</v>
          </cell>
          <cell r="I660" t="str">
            <v>none</v>
          </cell>
          <cell r="J660" t="str">
            <v>[Open-IDTD] Biomass GSF_NH3</v>
          </cell>
        </row>
        <row r="661">
          <cell r="A661" t="str">
            <v/>
          </cell>
          <cell r="J661" t="str">
            <v/>
          </cell>
        </row>
        <row r="662">
          <cell r="A662" t="str">
            <v>[Open-IDTD] Naphtha POX</v>
          </cell>
          <cell r="B662" t="str">
            <v>ammonia</v>
          </cell>
          <cell r="C662" t="str">
            <v>reference_product</v>
          </cell>
          <cell r="D662">
            <v>281410</v>
          </cell>
          <cell r="E662" t="str">
            <v>Mass</v>
          </cell>
          <cell r="F662">
            <v>1</v>
          </cell>
          <cell r="G662" t="str">
            <v>t</v>
          </cell>
          <cell r="H662">
            <v>1</v>
          </cell>
          <cell r="I662" t="str">
            <v>none</v>
          </cell>
          <cell r="J662" t="str">
            <v>[Open-IDTD] Naphtha POX</v>
          </cell>
        </row>
        <row r="663">
          <cell r="A663" t="str">
            <v>[Open-IDTD] Naphtha POX</v>
          </cell>
          <cell r="B663" t="str">
            <v>electricity</v>
          </cell>
          <cell r="C663" t="str">
            <v>from technosphere (energy_carrier)</v>
          </cell>
          <cell r="E663" t="str">
            <v>Energy</v>
          </cell>
          <cell r="F663">
            <v>2</v>
          </cell>
          <cell r="G663" t="str">
            <v>GJ</v>
          </cell>
          <cell r="H663" t="str">
            <v>t</v>
          </cell>
          <cell r="I663" t="str">
            <v>none</v>
          </cell>
          <cell r="J663" t="str">
            <v>[Open-IDTD] Naphtha POX</v>
          </cell>
        </row>
        <row r="664">
          <cell r="A664" t="str">
            <v>[Open-IDTD] Naphtha POX</v>
          </cell>
          <cell r="B664" t="str">
            <v>naphtha</v>
          </cell>
          <cell r="C664" t="str">
            <v>from technosphere (energy_carrier)</v>
          </cell>
          <cell r="E664" t="str">
            <v>Energy</v>
          </cell>
          <cell r="F664">
            <v>27.9</v>
          </cell>
          <cell r="G664" t="str">
            <v>GJ</v>
          </cell>
          <cell r="H664" t="str">
            <v>t</v>
          </cell>
          <cell r="I664" t="str">
            <v>none</v>
          </cell>
          <cell r="J664" t="str">
            <v>[Open-IDTD] Naphtha POX</v>
          </cell>
        </row>
        <row r="665">
          <cell r="A665" t="str">
            <v>[Open-IDTD] Naphtha POX</v>
          </cell>
          <cell r="B665" t="str">
            <v>naphtha</v>
          </cell>
          <cell r="C665" t="str">
            <v>from technosphere (feedstock)</v>
          </cell>
          <cell r="E665" t="str">
            <v>Energy</v>
          </cell>
          <cell r="F665">
            <v>18.41</v>
          </cell>
          <cell r="G665" t="str">
            <v>GJ</v>
          </cell>
          <cell r="H665" t="str">
            <v>t</v>
          </cell>
          <cell r="I665" t="str">
            <v>none</v>
          </cell>
          <cell r="J665" t="str">
            <v>[Open-IDTD] Naphtha POX</v>
          </cell>
        </row>
        <row r="666">
          <cell r="A666" t="str">
            <v/>
          </cell>
          <cell r="B666" t="str">
            <v>steam</v>
          </cell>
          <cell r="C666" t="str">
            <v>to technosphere (by-product)</v>
          </cell>
          <cell r="E666" t="str">
            <v>Energy</v>
          </cell>
          <cell r="F666">
            <v>8.4</v>
          </cell>
          <cell r="G666" t="str">
            <v>GJ</v>
          </cell>
          <cell r="H666" t="str">
            <v>t</v>
          </cell>
          <cell r="I666" t="str">
            <v>none</v>
          </cell>
          <cell r="J666" t="str">
            <v/>
          </cell>
        </row>
        <row r="667">
          <cell r="A667" t="str">
            <v>[Open-IDTD] Naphtha POX</v>
          </cell>
          <cell r="B667" t="str">
            <v>carbon dioxide</v>
          </cell>
          <cell r="C667" t="str">
            <v>to environment (emission, combustion)</v>
          </cell>
          <cell r="E667" t="str">
            <v>Mass</v>
          </cell>
          <cell r="F667">
            <v>2045.07</v>
          </cell>
          <cell r="G667" t="str">
            <v>kg</v>
          </cell>
          <cell r="H667" t="str">
            <v>t</v>
          </cell>
          <cell r="I667" t="str">
            <v>none</v>
          </cell>
          <cell r="J667" t="str">
            <v>[Open-IDTD] Naphtha POX</v>
          </cell>
        </row>
        <row r="668">
          <cell r="A668" t="str">
            <v/>
          </cell>
          <cell r="J668" t="str">
            <v/>
          </cell>
        </row>
        <row r="669">
          <cell r="A669" t="str">
            <v>[Open-IDTD] NG SR w/ CCS</v>
          </cell>
          <cell r="B669" t="str">
            <v>ammonia</v>
          </cell>
          <cell r="C669" t="str">
            <v>reference_product</v>
          </cell>
          <cell r="D669">
            <v>281410</v>
          </cell>
          <cell r="E669" t="str">
            <v>Mass</v>
          </cell>
          <cell r="F669">
            <v>1</v>
          </cell>
          <cell r="G669" t="str">
            <v>t</v>
          </cell>
          <cell r="H669">
            <v>1</v>
          </cell>
          <cell r="I669" t="str">
            <v>none</v>
          </cell>
          <cell r="J669" t="str">
            <v>[Open-IDTD] NG SR w/ CCS</v>
          </cell>
        </row>
        <row r="670">
          <cell r="A670" t="str">
            <v>[Open-IDTD] NG SR w/ CCS</v>
          </cell>
          <cell r="B670" t="str">
            <v>electricity</v>
          </cell>
          <cell r="C670" t="str">
            <v>from technosphere (energy_carrier)</v>
          </cell>
          <cell r="E670" t="str">
            <v>Energy</v>
          </cell>
          <cell r="F670">
            <v>0.3</v>
          </cell>
          <cell r="G670" t="str">
            <v>GJ</v>
          </cell>
          <cell r="H670" t="str">
            <v>t</v>
          </cell>
          <cell r="I670" t="str">
            <v>none</v>
          </cell>
          <cell r="J670" t="str">
            <v>[Open-IDTD] NG SR w/ CCS</v>
          </cell>
        </row>
        <row r="671">
          <cell r="A671" t="str">
            <v>[Open-IDTD] NG SR w/ CCS</v>
          </cell>
          <cell r="B671" t="str">
            <v>natural gas</v>
          </cell>
          <cell r="C671" t="str">
            <v>from technosphere (energy_carrier)</v>
          </cell>
          <cell r="E671" t="str">
            <v>Energy</v>
          </cell>
          <cell r="F671">
            <v>26.3</v>
          </cell>
          <cell r="G671" t="str">
            <v>GJ</v>
          </cell>
          <cell r="H671" t="str">
            <v>t</v>
          </cell>
          <cell r="I671" t="str">
            <v>none</v>
          </cell>
          <cell r="J671" t="str">
            <v>[Open-IDTD] NG SR w/ CCS</v>
          </cell>
        </row>
        <row r="672">
          <cell r="A672" t="str">
            <v>[Open-IDTD] NG SR w/ CCS</v>
          </cell>
          <cell r="B672" t="str">
            <v>natural gas</v>
          </cell>
          <cell r="C672" t="str">
            <v>from technosphere (feedstock)</v>
          </cell>
          <cell r="E672" t="str">
            <v>Energy</v>
          </cell>
          <cell r="F672">
            <v>19.48</v>
          </cell>
          <cell r="G672" t="str">
            <v>GJ</v>
          </cell>
          <cell r="H672" t="str">
            <v>t</v>
          </cell>
          <cell r="I672" t="str">
            <v>none</v>
          </cell>
          <cell r="J672" t="str">
            <v>[Open-IDTD] NG SR w/ CCS</v>
          </cell>
        </row>
        <row r="673">
          <cell r="A673" t="str">
            <v>[Open-IDTD] NG SR w/ CCS</v>
          </cell>
          <cell r="B673" t="str">
            <v>carbon dioxide</v>
          </cell>
          <cell r="C673" t="str">
            <v>to environment (emission, combustion)</v>
          </cell>
          <cell r="E673" t="str">
            <v>Mass</v>
          </cell>
          <cell r="F673">
            <v>1474.6576516770069</v>
          </cell>
          <cell r="G673" t="str">
            <v>kg</v>
          </cell>
          <cell r="H673" t="str">
            <v>t</v>
          </cell>
          <cell r="I673" t="str">
            <v>none</v>
          </cell>
          <cell r="J673" t="str">
            <v>[Open-IDTD] NG SR w/ CCS</v>
          </cell>
        </row>
        <row r="674">
          <cell r="A674" t="str">
            <v>[Open-IDTD] NG SR w/ CCS</v>
          </cell>
          <cell r="B674" t="str">
            <v>steam</v>
          </cell>
          <cell r="C674" t="str">
            <v>to technosphere (by-product)</v>
          </cell>
          <cell r="E674" t="str">
            <v>Energy</v>
          </cell>
          <cell r="F674">
            <v>9.3000000000000007</v>
          </cell>
          <cell r="G674" t="str">
            <v>GJ</v>
          </cell>
          <cell r="H674" t="str">
            <v>t</v>
          </cell>
          <cell r="I674" t="str">
            <v>none</v>
          </cell>
          <cell r="J674" t="str">
            <v>[Open-IDTD] NG SR w/ CCS</v>
          </cell>
        </row>
        <row r="675">
          <cell r="A675" t="str">
            <v>[Open-IDTD] NG SR w/ CCS</v>
          </cell>
          <cell r="B675" t="str">
            <v>carbon dioxide</v>
          </cell>
          <cell r="C675" t="str">
            <v>to technosphere (by-product)</v>
          </cell>
          <cell r="E675" t="str">
            <v>Mass</v>
          </cell>
          <cell r="F675">
            <v>1327.89</v>
          </cell>
          <cell r="G675" t="str">
            <v>kg</v>
          </cell>
          <cell r="H675" t="str">
            <v>t</v>
          </cell>
          <cell r="I675" t="str">
            <v>none</v>
          </cell>
          <cell r="J675" t="str">
            <v>[Open-IDTD] NG SR w/ CCS</v>
          </cell>
        </row>
        <row r="676">
          <cell r="A676" t="str">
            <v/>
          </cell>
          <cell r="J676" t="str">
            <v/>
          </cell>
        </row>
        <row r="677">
          <cell r="A677" t="str">
            <v>[Open-IDTD] Mercury</v>
          </cell>
          <cell r="B677" t="str">
            <v>chlorine</v>
          </cell>
          <cell r="C677" t="str">
            <v>reference_product</v>
          </cell>
          <cell r="D677">
            <v>28011</v>
          </cell>
          <cell r="E677" t="str">
            <v>Mass</v>
          </cell>
          <cell r="F677">
            <v>1</v>
          </cell>
          <cell r="G677" t="str">
            <v>t</v>
          </cell>
          <cell r="H677">
            <v>1</v>
          </cell>
          <cell r="I677" t="str">
            <v>none</v>
          </cell>
          <cell r="J677" t="str">
            <v>[Open-IDTD] Mercury</v>
          </cell>
        </row>
        <row r="678">
          <cell r="A678" t="str">
            <v>[Open-IDTD] Mercury</v>
          </cell>
          <cell r="B678" t="str">
            <v>electricity</v>
          </cell>
          <cell r="C678" t="str">
            <v>from technosphere (energy_carrier)</v>
          </cell>
          <cell r="E678" t="str">
            <v>Energy</v>
          </cell>
          <cell r="F678">
            <v>13.32</v>
          </cell>
          <cell r="G678" t="str">
            <v>GJ</v>
          </cell>
          <cell r="H678" t="str">
            <v>t</v>
          </cell>
          <cell r="I678" t="str">
            <v>none</v>
          </cell>
          <cell r="J678" t="str">
            <v>[Open-IDTD] Mercury</v>
          </cell>
        </row>
        <row r="679">
          <cell r="A679" t="str">
            <v>[Open-IDTD] Mercury</v>
          </cell>
          <cell r="B679" t="str">
            <v xml:space="preserve">machine drive </v>
          </cell>
          <cell r="C679" t="str">
            <v>from technosphere (energy_carrier)</v>
          </cell>
          <cell r="E679" t="str">
            <v>Energy</v>
          </cell>
          <cell r="F679">
            <v>0.93</v>
          </cell>
          <cell r="G679" t="str">
            <v>GJ</v>
          </cell>
          <cell r="H679" t="str">
            <v>t</v>
          </cell>
          <cell r="I679" t="str">
            <v>none</v>
          </cell>
          <cell r="J679" t="str">
            <v>[Open-IDTD] Mercury</v>
          </cell>
        </row>
        <row r="680">
          <cell r="A680" t="str">
            <v>[Open-IDTD] Mercury</v>
          </cell>
          <cell r="B680" t="str">
            <v>steam</v>
          </cell>
          <cell r="C680" t="str">
            <v>from technosphere (energy_carrier)</v>
          </cell>
          <cell r="E680" t="str">
            <v>Energy</v>
          </cell>
          <cell r="F680">
            <v>1.44</v>
          </cell>
          <cell r="G680" t="str">
            <v>GJ</v>
          </cell>
          <cell r="H680" t="str">
            <v>t</v>
          </cell>
          <cell r="I680" t="str">
            <v>none</v>
          </cell>
          <cell r="J680" t="str">
            <v>[Open-IDTD] Mercury</v>
          </cell>
        </row>
        <row r="681">
          <cell r="A681" t="str">
            <v/>
          </cell>
          <cell r="J681" t="str">
            <v/>
          </cell>
        </row>
        <row r="682">
          <cell r="A682" t="str">
            <v>[Open-IDTD] Diaphragm</v>
          </cell>
          <cell r="B682" t="str">
            <v>chlorine</v>
          </cell>
          <cell r="C682" t="str">
            <v>reference_product</v>
          </cell>
          <cell r="D682">
            <v>28011</v>
          </cell>
          <cell r="E682" t="str">
            <v>Mass</v>
          </cell>
          <cell r="F682">
            <v>1</v>
          </cell>
          <cell r="G682" t="str">
            <v>t</v>
          </cell>
          <cell r="H682">
            <v>1</v>
          </cell>
          <cell r="I682" t="str">
            <v>none</v>
          </cell>
          <cell r="J682" t="str">
            <v>[Open-IDTD] Diaphragm</v>
          </cell>
        </row>
        <row r="683">
          <cell r="A683" t="str">
            <v>[Open-IDTD] Diaphragm</v>
          </cell>
          <cell r="B683" t="str">
            <v>electricity</v>
          </cell>
          <cell r="C683" t="str">
            <v>from technosphere (energy_carrier)</v>
          </cell>
          <cell r="E683" t="str">
            <v>Energy</v>
          </cell>
          <cell r="F683">
            <v>10.26</v>
          </cell>
          <cell r="G683" t="str">
            <v>GJ</v>
          </cell>
          <cell r="H683" t="str">
            <v>t</v>
          </cell>
          <cell r="I683" t="str">
            <v>none</v>
          </cell>
          <cell r="J683" t="str">
            <v>[Open-IDTD] Diaphragm</v>
          </cell>
        </row>
        <row r="684">
          <cell r="A684" t="str">
            <v>[Open-IDTD] Diaphragm</v>
          </cell>
          <cell r="B684" t="str">
            <v xml:space="preserve">machine drive </v>
          </cell>
          <cell r="C684" t="str">
            <v>from technosphere (energy_carrier)</v>
          </cell>
          <cell r="E684" t="str">
            <v>Energy</v>
          </cell>
          <cell r="F684">
            <v>0.93</v>
          </cell>
          <cell r="G684" t="str">
            <v>GJ</v>
          </cell>
          <cell r="H684" t="str">
            <v>t</v>
          </cell>
          <cell r="I684" t="str">
            <v>none</v>
          </cell>
          <cell r="J684" t="str">
            <v>[Open-IDTD] Diaphragm</v>
          </cell>
        </row>
        <row r="685">
          <cell r="A685" t="str">
            <v>[Open-IDTD] Diaphragm</v>
          </cell>
          <cell r="B685" t="str">
            <v>steam</v>
          </cell>
          <cell r="C685" t="str">
            <v>from technosphere (energy_carrier)</v>
          </cell>
          <cell r="E685" t="str">
            <v>Energy</v>
          </cell>
          <cell r="F685">
            <v>1.44</v>
          </cell>
          <cell r="G685" t="str">
            <v>GJ</v>
          </cell>
          <cell r="H685" t="str">
            <v>t</v>
          </cell>
          <cell r="I685" t="str">
            <v>none</v>
          </cell>
          <cell r="J685" t="str">
            <v>[Open-IDTD] Diaphragm</v>
          </cell>
        </row>
        <row r="686">
          <cell r="A686" t="str">
            <v/>
          </cell>
          <cell r="J686" t="str">
            <v/>
          </cell>
        </row>
        <row r="687">
          <cell r="A687" t="str">
            <v>[Open-IDTD] Membrane</v>
          </cell>
          <cell r="B687" t="str">
            <v>chlorine</v>
          </cell>
          <cell r="C687" t="str">
            <v>reference_product</v>
          </cell>
          <cell r="D687">
            <v>28011</v>
          </cell>
          <cell r="E687" t="str">
            <v>Mass</v>
          </cell>
          <cell r="F687">
            <v>1</v>
          </cell>
          <cell r="G687" t="str">
            <v>t</v>
          </cell>
          <cell r="H687">
            <v>1</v>
          </cell>
          <cell r="I687" t="str">
            <v>none</v>
          </cell>
          <cell r="J687" t="str">
            <v>[Open-IDTD] Membrane</v>
          </cell>
        </row>
        <row r="688">
          <cell r="A688" t="str">
            <v>[Open-IDTD] Membrane</v>
          </cell>
          <cell r="B688" t="str">
            <v>electricity</v>
          </cell>
          <cell r="C688" t="str">
            <v>from technosphere (energy_carrier)</v>
          </cell>
          <cell r="E688" t="str">
            <v>Energy</v>
          </cell>
          <cell r="F688">
            <v>1000</v>
          </cell>
          <cell r="G688" t="str">
            <v>GJ</v>
          </cell>
          <cell r="H688" t="str">
            <v>t</v>
          </cell>
          <cell r="I688" t="str">
            <v>none</v>
          </cell>
          <cell r="J688" t="str">
            <v>[Open-IDTD] Membrane</v>
          </cell>
        </row>
        <row r="689">
          <cell r="A689" t="str">
            <v>[Open-IDTD] Membrane</v>
          </cell>
          <cell r="B689" t="str">
            <v xml:space="preserve">machine drive </v>
          </cell>
          <cell r="C689" t="str">
            <v>from technosphere (energy_carrier)</v>
          </cell>
          <cell r="E689" t="str">
            <v>Energy</v>
          </cell>
          <cell r="F689">
            <v>0.93</v>
          </cell>
          <cell r="G689" t="str">
            <v>GJ</v>
          </cell>
          <cell r="H689" t="str">
            <v>t</v>
          </cell>
          <cell r="I689" t="str">
            <v>none</v>
          </cell>
          <cell r="J689" t="str">
            <v>[Open-IDTD] Membrane</v>
          </cell>
        </row>
        <row r="690">
          <cell r="A690" t="str">
            <v>[Open-IDTD] Membrane</v>
          </cell>
          <cell r="B690" t="str">
            <v>steam</v>
          </cell>
          <cell r="C690" t="str">
            <v>from technosphere (energy_carrier)</v>
          </cell>
          <cell r="E690" t="str">
            <v>Energy</v>
          </cell>
          <cell r="F690">
            <v>1.44</v>
          </cell>
          <cell r="G690" t="str">
            <v>GJ</v>
          </cell>
          <cell r="H690" t="str">
            <v>t</v>
          </cell>
          <cell r="I690" t="str">
            <v>none</v>
          </cell>
          <cell r="J690" t="str">
            <v>[Open-IDTD] Membrane</v>
          </cell>
        </row>
        <row r="691">
          <cell r="A691" t="str">
            <v/>
          </cell>
          <cell r="J691" t="str">
            <v/>
          </cell>
        </row>
        <row r="692">
          <cell r="A692" t="str">
            <v>[Open-IDTD] Mechanical pulping</v>
          </cell>
          <cell r="B692" t="str">
            <v>mechanical pulp</v>
          </cell>
          <cell r="C692" t="str">
            <v>reference_product</v>
          </cell>
          <cell r="D692">
            <v>4705</v>
          </cell>
          <cell r="E692" t="str">
            <v>Mass</v>
          </cell>
          <cell r="F692">
            <v>1</v>
          </cell>
          <cell r="G692" t="str">
            <v>t</v>
          </cell>
          <cell r="H692">
            <v>1</v>
          </cell>
          <cell r="I692" t="str">
            <v>none</v>
          </cell>
          <cell r="J692" t="str">
            <v>[Open-IDTD] Mechanical pulping</v>
          </cell>
        </row>
        <row r="693">
          <cell r="A693" t="str">
            <v>[Open-IDTD] Mechanical pulping</v>
          </cell>
          <cell r="B693" t="str">
            <v>biomass</v>
          </cell>
          <cell r="C693" t="str">
            <v>from technosphere (feedstock)</v>
          </cell>
          <cell r="E693" t="str">
            <v>Mass</v>
          </cell>
          <cell r="F693">
            <v>1.2</v>
          </cell>
          <cell r="G693" t="str">
            <v>t</v>
          </cell>
          <cell r="H693" t="str">
            <v>t</v>
          </cell>
          <cell r="I693" t="str">
            <v>none</v>
          </cell>
          <cell r="J693" t="str">
            <v>[Open-IDTD] Mechanical pulping</v>
          </cell>
        </row>
        <row r="694">
          <cell r="A694" t="str">
            <v>[Open-IDTD] Mechanical pulping</v>
          </cell>
          <cell r="B694" t="str">
            <v xml:space="preserve">machine drive </v>
          </cell>
          <cell r="C694" t="str">
            <v>from technosphere (energy_carrier)</v>
          </cell>
          <cell r="E694" t="str">
            <v>Energy</v>
          </cell>
          <cell r="F694">
            <v>7.35</v>
          </cell>
          <cell r="G694" t="str">
            <v>GJ</v>
          </cell>
          <cell r="H694" t="str">
            <v>t</v>
          </cell>
          <cell r="I694" t="str">
            <v>none</v>
          </cell>
          <cell r="J694" t="str">
            <v>[Open-IDTD] Mechanical pulping</v>
          </cell>
        </row>
        <row r="695">
          <cell r="A695" t="str">
            <v>[Open-IDTD] Mechanical pulping</v>
          </cell>
          <cell r="B695" t="str">
            <v>steam</v>
          </cell>
          <cell r="C695" t="str">
            <v>from technosphere (energy_carrier)</v>
          </cell>
          <cell r="E695" t="str">
            <v>Energy</v>
          </cell>
          <cell r="F695">
            <v>0.9</v>
          </cell>
          <cell r="G695" t="str">
            <v>GJ</v>
          </cell>
          <cell r="H695" t="str">
            <v>t</v>
          </cell>
          <cell r="I695" t="str">
            <v>none</v>
          </cell>
          <cell r="J695" t="str">
            <v>[Open-IDTD] Mechanical pulping</v>
          </cell>
        </row>
        <row r="696">
          <cell r="A696" t="str">
            <v/>
          </cell>
          <cell r="J696" t="str">
            <v/>
          </cell>
        </row>
        <row r="697">
          <cell r="A697" t="str">
            <v>[Open-IDTD] Semi-chemical pulping</v>
          </cell>
          <cell r="B697" t="str">
            <v>semi-chemical pulp</v>
          </cell>
          <cell r="C697" t="str">
            <v>reference_product</v>
          </cell>
          <cell r="D697">
            <v>4706</v>
          </cell>
          <cell r="E697" t="str">
            <v>Mass</v>
          </cell>
          <cell r="F697">
            <v>1</v>
          </cell>
          <cell r="G697" t="str">
            <v>t</v>
          </cell>
          <cell r="H697">
            <v>1</v>
          </cell>
          <cell r="I697" t="str">
            <v>none</v>
          </cell>
          <cell r="J697" t="str">
            <v>[Open-IDTD] Semi-chemical pulping</v>
          </cell>
        </row>
        <row r="698">
          <cell r="A698" t="str">
            <v>[Open-IDTD] Semi-chemical pulping</v>
          </cell>
          <cell r="B698" t="str">
            <v>biomass</v>
          </cell>
          <cell r="C698" t="str">
            <v>from technosphere (feedstock)</v>
          </cell>
          <cell r="E698" t="str">
            <v>Mass</v>
          </cell>
          <cell r="F698">
            <v>1.3</v>
          </cell>
          <cell r="G698" t="str">
            <v>t</v>
          </cell>
          <cell r="H698" t="str">
            <v>t</v>
          </cell>
          <cell r="I698" t="str">
            <v>none</v>
          </cell>
          <cell r="J698" t="str">
            <v>[Open-IDTD] Semi-chemical pulping</v>
          </cell>
        </row>
        <row r="699">
          <cell r="A699" t="str">
            <v>[Open-IDTD] Semi-chemical pulping</v>
          </cell>
          <cell r="B699" t="str">
            <v xml:space="preserve">machine drive </v>
          </cell>
          <cell r="C699" t="str">
            <v>from technosphere (energy_carrier)</v>
          </cell>
          <cell r="E699" t="str">
            <v>Energy</v>
          </cell>
          <cell r="F699">
            <v>1.56</v>
          </cell>
          <cell r="G699" t="str">
            <v>GJ</v>
          </cell>
          <cell r="H699" t="str">
            <v>t</v>
          </cell>
          <cell r="I699" t="str">
            <v>none</v>
          </cell>
          <cell r="J699" t="str">
            <v>[Open-IDTD] Semi-chemical pulping</v>
          </cell>
        </row>
        <row r="700">
          <cell r="A700" t="str">
            <v>[Open-IDTD] Semi-chemical pulping</v>
          </cell>
          <cell r="B700" t="str">
            <v>steam</v>
          </cell>
          <cell r="C700" t="str">
            <v>from technosphere (energy_carrier)</v>
          </cell>
          <cell r="E700" t="str">
            <v>Energy</v>
          </cell>
          <cell r="F700">
            <v>2.2999999999999998</v>
          </cell>
          <cell r="G700" t="str">
            <v>GJ</v>
          </cell>
          <cell r="H700" t="str">
            <v>t</v>
          </cell>
          <cell r="I700" t="str">
            <v>none</v>
          </cell>
          <cell r="J700" t="str">
            <v>[Open-IDTD] Semi-chemical pulping</v>
          </cell>
        </row>
        <row r="701">
          <cell r="A701" t="str">
            <v/>
          </cell>
          <cell r="J701" t="str">
            <v/>
          </cell>
        </row>
        <row r="702">
          <cell r="A702" t="str">
            <v>[Open-IDTD] Recycled fiber pulping</v>
          </cell>
          <cell r="B702" t="str">
            <v>pulp, recycled</v>
          </cell>
          <cell r="C702" t="str">
            <v>reference_product</v>
          </cell>
          <cell r="D702">
            <v>4707</v>
          </cell>
          <cell r="E702" t="str">
            <v>Mass</v>
          </cell>
          <cell r="F702">
            <v>1</v>
          </cell>
          <cell r="G702" t="str">
            <v>t</v>
          </cell>
          <cell r="H702">
            <v>1</v>
          </cell>
          <cell r="I702" t="str">
            <v>none</v>
          </cell>
          <cell r="J702" t="str">
            <v>[Open-IDTD] Recycled fiber pulping</v>
          </cell>
        </row>
        <row r="703">
          <cell r="A703" t="str">
            <v>[Open-IDTD] Recycled fiber pulping</v>
          </cell>
          <cell r="B703" t="str">
            <v xml:space="preserve">machine drive </v>
          </cell>
          <cell r="C703" t="str">
            <v>from technosphere (energy_carrier)</v>
          </cell>
          <cell r="E703" t="str">
            <v>Energy</v>
          </cell>
          <cell r="F703">
            <v>0.5</v>
          </cell>
          <cell r="G703" t="str">
            <v>GJ</v>
          </cell>
          <cell r="H703" t="str">
            <v>t</v>
          </cell>
          <cell r="I703" t="str">
            <v>none</v>
          </cell>
          <cell r="J703" t="str">
            <v>[Open-IDTD] Recycled fiber pulping</v>
          </cell>
        </row>
        <row r="704">
          <cell r="A704" t="str">
            <v>[Open-IDTD] Recycled fiber pulping</v>
          </cell>
          <cell r="B704" t="str">
            <v>steam</v>
          </cell>
          <cell r="C704" t="str">
            <v>from technosphere (energy_carrier)</v>
          </cell>
          <cell r="E704" t="str">
            <v>Energy</v>
          </cell>
          <cell r="F704">
            <v>0.8</v>
          </cell>
          <cell r="G704" t="str">
            <v>GJ</v>
          </cell>
          <cell r="H704" t="str">
            <v>t</v>
          </cell>
          <cell r="I704" t="str">
            <v>none</v>
          </cell>
          <cell r="J704" t="str">
            <v>[Open-IDTD] Recycled fiber pulping</v>
          </cell>
        </row>
        <row r="705">
          <cell r="A705" t="str">
            <v/>
          </cell>
          <cell r="J705" t="str">
            <v/>
          </cell>
        </row>
        <row r="706">
          <cell r="A706" t="str">
            <v>[Open-IDTD] Kraft process</v>
          </cell>
          <cell r="B706" t="str">
            <v>kraft pulp</v>
          </cell>
          <cell r="C706" t="str">
            <v>reference_product</v>
          </cell>
          <cell r="D706">
            <v>4703</v>
          </cell>
          <cell r="E706" t="str">
            <v>Mass</v>
          </cell>
          <cell r="F706">
            <v>1</v>
          </cell>
          <cell r="G706" t="str">
            <v>t</v>
          </cell>
          <cell r="H706">
            <v>1</v>
          </cell>
          <cell r="I706" t="str">
            <v>none</v>
          </cell>
          <cell r="J706" t="str">
            <v>[Open-IDTD] Kraft process</v>
          </cell>
        </row>
        <row r="707">
          <cell r="A707" t="str">
            <v>[Open-IDTD] Kraft process</v>
          </cell>
          <cell r="B707" t="str">
            <v>biomass</v>
          </cell>
          <cell r="C707" t="str">
            <v>from technosphere (feedstock)</v>
          </cell>
          <cell r="E707" t="str">
            <v>Mass</v>
          </cell>
          <cell r="F707">
            <v>2.2000000000000002</v>
          </cell>
          <cell r="G707" t="str">
            <v>t</v>
          </cell>
          <cell r="H707" t="str">
            <v>t</v>
          </cell>
          <cell r="I707" t="str">
            <v>none</v>
          </cell>
          <cell r="J707" t="str">
            <v>[Open-IDTD] Kraft process</v>
          </cell>
        </row>
        <row r="708">
          <cell r="A708" t="str">
            <v>[Open-IDTD] Kraft process</v>
          </cell>
          <cell r="B708" t="str">
            <v xml:space="preserve">machine drive </v>
          </cell>
          <cell r="C708" t="str">
            <v>from technosphere (energy_carrier)</v>
          </cell>
          <cell r="E708" t="str">
            <v>Energy</v>
          </cell>
          <cell r="F708">
            <v>2.52</v>
          </cell>
          <cell r="G708" t="str">
            <v>GJ</v>
          </cell>
          <cell r="H708" t="str">
            <v>t</v>
          </cell>
          <cell r="I708" t="str">
            <v>none</v>
          </cell>
          <cell r="J708" t="str">
            <v>[Open-IDTD] Kraft process</v>
          </cell>
        </row>
        <row r="709">
          <cell r="A709" t="str">
            <v>[Open-IDTD] Kraft process</v>
          </cell>
          <cell r="B709" t="str">
            <v>process heat</v>
          </cell>
          <cell r="C709" t="str">
            <v>from technosphere (energy_carrier)</v>
          </cell>
          <cell r="E709" t="str">
            <v>Energy</v>
          </cell>
          <cell r="F709">
            <v>11</v>
          </cell>
          <cell r="G709" t="str">
            <v>GJ</v>
          </cell>
          <cell r="H709" t="str">
            <v>t</v>
          </cell>
          <cell r="I709" t="str">
            <v>none</v>
          </cell>
          <cell r="J709" t="str">
            <v>[Open-IDTD] Kraft process</v>
          </cell>
        </row>
        <row r="710">
          <cell r="A710" t="str">
            <v>[Open-IDTD] Kraft process</v>
          </cell>
          <cell r="B710" t="str">
            <v>steam</v>
          </cell>
          <cell r="C710" t="str">
            <v>from technosphere (energy_carrier)</v>
          </cell>
          <cell r="E710" t="str">
            <v>Energy</v>
          </cell>
          <cell r="F710">
            <v>11.2</v>
          </cell>
          <cell r="G710" t="str">
            <v>GJ</v>
          </cell>
          <cell r="H710" t="str">
            <v>t</v>
          </cell>
          <cell r="I710" t="str">
            <v>none</v>
          </cell>
          <cell r="J710" t="str">
            <v>[Open-IDTD] Kraft process</v>
          </cell>
        </row>
        <row r="711">
          <cell r="A711" t="str">
            <v>[Open-IDTD] Kraft process</v>
          </cell>
          <cell r="B711" t="str">
            <v>solid biomasswaste</v>
          </cell>
          <cell r="C711" t="str">
            <v>to technosphere (by-product)</v>
          </cell>
          <cell r="E711" t="str">
            <v>Mass</v>
          </cell>
          <cell r="F711">
            <v>22.2</v>
          </cell>
          <cell r="G711" t="str">
            <v>t</v>
          </cell>
          <cell r="H711" t="str">
            <v>t</v>
          </cell>
          <cell r="I711" t="str">
            <v>none</v>
          </cell>
          <cell r="J711" t="str">
            <v>[Open-IDTD] Kraft process</v>
          </cell>
        </row>
        <row r="712">
          <cell r="A712" t="str">
            <v/>
          </cell>
          <cell r="J712" t="str">
            <v/>
          </cell>
        </row>
        <row r="713">
          <cell r="A713" t="str">
            <v>[Open-IDTD] Sulphite process</v>
          </cell>
          <cell r="B713" t="str">
            <v>sulphite pulp</v>
          </cell>
          <cell r="C713" t="str">
            <v>reference_product</v>
          </cell>
          <cell r="D713">
            <v>4702</v>
          </cell>
          <cell r="E713" t="str">
            <v>Mass</v>
          </cell>
          <cell r="F713">
            <v>1</v>
          </cell>
          <cell r="G713" t="str">
            <v>t</v>
          </cell>
          <cell r="H713">
            <v>1</v>
          </cell>
          <cell r="I713" t="str">
            <v>none</v>
          </cell>
          <cell r="J713" t="str">
            <v>[Open-IDTD] Sulphite process</v>
          </cell>
        </row>
        <row r="714">
          <cell r="A714" t="str">
            <v>[Open-IDTD] Sulphite process</v>
          </cell>
          <cell r="B714" t="str">
            <v>biomass</v>
          </cell>
          <cell r="C714" t="str">
            <v>from technosphere (feedstock)</v>
          </cell>
          <cell r="E714" t="str">
            <v>Mass</v>
          </cell>
          <cell r="F714">
            <v>2</v>
          </cell>
          <cell r="G714" t="str">
            <v>t</v>
          </cell>
          <cell r="H714" t="str">
            <v>t</v>
          </cell>
          <cell r="I714" t="str">
            <v>none</v>
          </cell>
          <cell r="J714" t="str">
            <v>[Open-IDTD] Sulphite process</v>
          </cell>
        </row>
        <row r="715">
          <cell r="A715" t="str">
            <v>[Open-IDTD] Sulphite process</v>
          </cell>
          <cell r="B715" t="str">
            <v xml:space="preserve">machine drive </v>
          </cell>
          <cell r="C715" t="str">
            <v>from technosphere (energy_carrier)</v>
          </cell>
          <cell r="E715" t="str">
            <v>Energy</v>
          </cell>
          <cell r="F715">
            <v>3.17</v>
          </cell>
          <cell r="G715" t="str">
            <v>GJ</v>
          </cell>
          <cell r="H715" t="str">
            <v>t</v>
          </cell>
          <cell r="I715" t="str">
            <v>none</v>
          </cell>
          <cell r="J715" t="str">
            <v>[Open-IDTD] Sulphite process</v>
          </cell>
        </row>
        <row r="716">
          <cell r="A716" t="str">
            <v>[Open-IDTD] Sulphite process</v>
          </cell>
          <cell r="B716" t="str">
            <v>process heat</v>
          </cell>
          <cell r="C716" t="str">
            <v>from technosphere (energy_carrier)</v>
          </cell>
          <cell r="E716" t="str">
            <v>Energy</v>
          </cell>
          <cell r="F716">
            <v>7.14</v>
          </cell>
          <cell r="G716" t="str">
            <v>GJ</v>
          </cell>
          <cell r="H716" t="str">
            <v>t</v>
          </cell>
          <cell r="I716" t="str">
            <v>none</v>
          </cell>
          <cell r="J716" t="str">
            <v>[Open-IDTD] Sulphite process</v>
          </cell>
        </row>
        <row r="717">
          <cell r="A717" t="str">
            <v>[Open-IDTD] Sulphite process</v>
          </cell>
          <cell r="B717" t="str">
            <v>steam</v>
          </cell>
          <cell r="C717" t="str">
            <v>from technosphere (energy_carrier)</v>
          </cell>
          <cell r="E717" t="str">
            <v>Energy</v>
          </cell>
          <cell r="F717">
            <v>6.51</v>
          </cell>
          <cell r="G717" t="str">
            <v>GJ</v>
          </cell>
          <cell r="H717" t="str">
            <v>t</v>
          </cell>
          <cell r="I717" t="str">
            <v>none</v>
          </cell>
          <cell r="J717" t="str">
            <v>[Open-IDTD] Sulphite process</v>
          </cell>
        </row>
        <row r="718">
          <cell r="A718" t="str">
            <v>[Open-IDTD] Sulphite process</v>
          </cell>
          <cell r="B718" t="str">
            <v>solid biomasswaste</v>
          </cell>
          <cell r="C718" t="str">
            <v>to technosphere (by-product)</v>
          </cell>
          <cell r="E718" t="str">
            <v>Mass</v>
          </cell>
          <cell r="F718">
            <v>12.3</v>
          </cell>
          <cell r="G718" t="str">
            <v>t</v>
          </cell>
          <cell r="H718" t="str">
            <v>t</v>
          </cell>
          <cell r="I718" t="str">
            <v>none</v>
          </cell>
          <cell r="J718" t="str">
            <v>[Open-IDTD] Sulphite process</v>
          </cell>
        </row>
        <row r="719">
          <cell r="A719" t="str">
            <v/>
          </cell>
          <cell r="J719" t="str">
            <v/>
          </cell>
        </row>
        <row r="720">
          <cell r="A720" t="str">
            <v>[Open-IDTD] Kraft/BLG</v>
          </cell>
          <cell r="B720" t="str">
            <v>kraft pulp</v>
          </cell>
          <cell r="C720" t="str">
            <v>reference_product</v>
          </cell>
          <cell r="D720">
            <v>4703</v>
          </cell>
          <cell r="E720" t="str">
            <v>Mass</v>
          </cell>
          <cell r="F720">
            <v>1</v>
          </cell>
          <cell r="G720" t="str">
            <v>t</v>
          </cell>
          <cell r="H720">
            <v>1</v>
          </cell>
          <cell r="I720" t="str">
            <v>none</v>
          </cell>
          <cell r="J720" t="str">
            <v>[Open-IDTD] Kraft/BLG</v>
          </cell>
        </row>
        <row r="721">
          <cell r="A721" t="str">
            <v>[Open-IDTD] Kraft/BLG</v>
          </cell>
          <cell r="B721" t="str">
            <v xml:space="preserve">machine drive </v>
          </cell>
          <cell r="C721" t="str">
            <v>from technosphere (energy_carrier)</v>
          </cell>
          <cell r="E721" t="str">
            <v>Energy</v>
          </cell>
          <cell r="F721">
            <v>2.52</v>
          </cell>
          <cell r="G721" t="str">
            <v>GJ</v>
          </cell>
          <cell r="H721" t="str">
            <v>t</v>
          </cell>
          <cell r="I721" t="str">
            <v>none</v>
          </cell>
          <cell r="J721" t="str">
            <v>[Open-IDTD] Kraft/BLG</v>
          </cell>
        </row>
        <row r="722">
          <cell r="A722" t="str">
            <v>[Open-IDTD] Kraft/BLG</v>
          </cell>
          <cell r="B722" t="str">
            <v>process heat</v>
          </cell>
          <cell r="C722" t="str">
            <v>from technosphere (energy_carrier)</v>
          </cell>
          <cell r="E722" t="str">
            <v>Energy</v>
          </cell>
          <cell r="F722">
            <v>11</v>
          </cell>
          <cell r="G722" t="str">
            <v>GJ</v>
          </cell>
          <cell r="H722" t="str">
            <v>t</v>
          </cell>
          <cell r="I722" t="str">
            <v>none</v>
          </cell>
          <cell r="J722" t="str">
            <v>[Open-IDTD] Kraft/BLG</v>
          </cell>
        </row>
        <row r="723">
          <cell r="A723" t="str">
            <v>[Open-IDTD] Kraft/BLG</v>
          </cell>
          <cell r="B723" t="str">
            <v>steam</v>
          </cell>
          <cell r="C723" t="str">
            <v>from technosphere (energy_carrier)</v>
          </cell>
          <cell r="E723" t="str">
            <v>Energy</v>
          </cell>
          <cell r="F723">
            <v>11.2</v>
          </cell>
          <cell r="G723" t="str">
            <v>GJ</v>
          </cell>
          <cell r="H723" t="str">
            <v>t</v>
          </cell>
          <cell r="I723" t="str">
            <v>none</v>
          </cell>
          <cell r="J723" t="str">
            <v>[Open-IDTD] Kraft/BLG</v>
          </cell>
        </row>
        <row r="724">
          <cell r="A724" t="str">
            <v/>
          </cell>
          <cell r="J724" t="str">
            <v/>
          </cell>
        </row>
        <row r="725">
          <cell r="A725" t="str">
            <v>[Open-IDTD] Paper mill</v>
          </cell>
          <cell r="B725" t="str">
            <v>paper</v>
          </cell>
          <cell r="C725" t="str">
            <v>reference_product</v>
          </cell>
          <cell r="D725">
            <v>4704</v>
          </cell>
          <cell r="E725" t="str">
            <v>Mass</v>
          </cell>
          <cell r="F725">
            <v>1</v>
          </cell>
          <cell r="G725" t="str">
            <v>t</v>
          </cell>
          <cell r="H725">
            <v>1</v>
          </cell>
          <cell r="I725" t="str">
            <v>none</v>
          </cell>
          <cell r="J725" t="str">
            <v>[Open-IDTD] Paper mill</v>
          </cell>
        </row>
        <row r="726">
          <cell r="A726" t="str">
            <v>[Open-IDTD] Paper mill</v>
          </cell>
          <cell r="B726" t="str">
            <v>pulp</v>
          </cell>
          <cell r="C726" t="str">
            <v>from technosphere (material)</v>
          </cell>
          <cell r="E726" t="str">
            <v>Mass</v>
          </cell>
          <cell r="F726">
            <v>0.57999999999999996</v>
          </cell>
          <cell r="G726" t="str">
            <v>t</v>
          </cell>
          <cell r="H726" t="str">
            <v>t</v>
          </cell>
          <cell r="I726" t="str">
            <v>none</v>
          </cell>
          <cell r="J726" t="str">
            <v>[Open-IDTD] Paper mill</v>
          </cell>
        </row>
        <row r="727">
          <cell r="A727" t="str">
            <v>[Open-IDTD] Paper mill</v>
          </cell>
          <cell r="B727" t="str">
            <v xml:space="preserve">machine drive </v>
          </cell>
          <cell r="C727" t="str">
            <v>from technosphere (energy_carrier)</v>
          </cell>
          <cell r="E727" t="str">
            <v>Energy</v>
          </cell>
          <cell r="F727">
            <v>2.48</v>
          </cell>
          <cell r="G727" t="str">
            <v>GJ</v>
          </cell>
          <cell r="H727" t="str">
            <v>t</v>
          </cell>
          <cell r="I727" t="str">
            <v>none</v>
          </cell>
          <cell r="J727" t="str">
            <v>[Open-IDTD] Paper mill</v>
          </cell>
        </row>
        <row r="728">
          <cell r="A728" t="str">
            <v>[Open-IDTD] Paper mill</v>
          </cell>
          <cell r="B728" t="str">
            <v>steam</v>
          </cell>
          <cell r="C728" t="str">
            <v>from technosphere (energy_carrier)</v>
          </cell>
          <cell r="E728" t="str">
            <v>Energy</v>
          </cell>
          <cell r="F728">
            <v>4.13</v>
          </cell>
          <cell r="G728" t="str">
            <v>GJ</v>
          </cell>
          <cell r="H728" t="str">
            <v>t</v>
          </cell>
          <cell r="I728" t="str">
            <v>none</v>
          </cell>
          <cell r="J728" t="str">
            <v>[Open-IDTD] Paper mill</v>
          </cell>
        </row>
        <row r="729">
          <cell r="A729" t="str">
            <v/>
          </cell>
        </row>
        <row r="730">
          <cell r="A730" t="str">
            <v>[ICM-CLK/DP] Clinker Production - Dry Process</v>
          </cell>
          <cell r="B730" t="str">
            <v>cement clinker</v>
          </cell>
          <cell r="C730" t="str">
            <v>reference_product</v>
          </cell>
          <cell r="E730" t="str">
            <v>Mass</v>
          </cell>
          <cell r="F730">
            <v>1</v>
          </cell>
          <cell r="G730" t="str">
            <v>t</v>
          </cell>
          <cell r="H730">
            <v>1</v>
          </cell>
          <cell r="I730" t="str">
            <v>none</v>
          </cell>
          <cell r="J730" t="str">
            <v>TIMES [ICM-CLK/DP]</v>
          </cell>
        </row>
        <row r="731">
          <cell r="A731" t="str">
            <v>[ICM-CLK/DP] Clinker Production - Dry Process</v>
          </cell>
          <cell r="B731" t="str">
            <v>process heat</v>
          </cell>
          <cell r="C731" t="str">
            <v>from technosphere (energy_carrier)</v>
          </cell>
          <cell r="E731" t="str">
            <v>Energy</v>
          </cell>
          <cell r="F731">
            <v>3.3</v>
          </cell>
          <cell r="G731" t="str">
            <v>GJ</v>
          </cell>
          <cell r="H731" t="str">
            <v>t</v>
          </cell>
          <cell r="I731" t="str">
            <v>none</v>
          </cell>
          <cell r="J731" t="str">
            <v>TIMES [ICM-CLK/DP]</v>
          </cell>
        </row>
        <row r="732">
          <cell r="A732" t="str">
            <v>[ICM-CLK/DP] Clinker Production - Dry Process</v>
          </cell>
          <cell r="B732" t="str">
            <v>electricity</v>
          </cell>
          <cell r="C732" t="str">
            <v>from technosphere (energy_carrier)</v>
          </cell>
          <cell r="E732" t="str">
            <v>Energy</v>
          </cell>
          <cell r="F732">
            <v>0.06</v>
          </cell>
          <cell r="G732" t="str">
            <v>GJ</v>
          </cell>
          <cell r="H732" t="str">
            <v>t</v>
          </cell>
          <cell r="I732" t="str">
            <v>none</v>
          </cell>
          <cell r="J732" t="str">
            <v>TIMES [ICM-CLK/DP]</v>
          </cell>
        </row>
        <row r="733">
          <cell r="A733" t="str">
            <v>[ICM-CLK/DP] Clinker Production - Dry Process</v>
          </cell>
          <cell r="B733" t="str">
            <v>carbon dioxide</v>
          </cell>
          <cell r="C733" t="str">
            <v>to environment (emission, process)</v>
          </cell>
          <cell r="E733" t="str">
            <v>Mass</v>
          </cell>
          <cell r="F733">
            <v>510</v>
          </cell>
          <cell r="G733" t="str">
            <v>kg</v>
          </cell>
          <cell r="H733" t="str">
            <v>t</v>
          </cell>
          <cell r="I733" t="str">
            <v>none</v>
          </cell>
          <cell r="J733" t="str">
            <v>TIMES [ICM-CLK/DP]</v>
          </cell>
        </row>
        <row r="734">
          <cell r="A734" t="str">
            <v/>
          </cell>
        </row>
        <row r="735">
          <cell r="A735" t="str">
            <v>[ICM-CLK/DP + CCS] Clinker Production - Dry Process with CCS</v>
          </cell>
          <cell r="B735" t="str">
            <v>cement clinker</v>
          </cell>
          <cell r="C735" t="str">
            <v>reference_product</v>
          </cell>
          <cell r="E735" t="str">
            <v>Mass</v>
          </cell>
          <cell r="F735">
            <v>1</v>
          </cell>
          <cell r="G735" t="str">
            <v>t</v>
          </cell>
          <cell r="H735">
            <v>1</v>
          </cell>
          <cell r="I735" t="str">
            <v>none</v>
          </cell>
          <cell r="J735" t="str">
            <v>TIMES [ICM-CLK/DP + CCS]</v>
          </cell>
        </row>
        <row r="736">
          <cell r="A736" t="str">
            <v>[ICM-CLK/DP + CCS] Clinker Production - Dry Process with CCS</v>
          </cell>
          <cell r="B736" t="str">
            <v>process heat</v>
          </cell>
          <cell r="C736" t="str">
            <v>from technosphere (energy_carrier)</v>
          </cell>
          <cell r="E736" t="str">
            <v>Energy</v>
          </cell>
          <cell r="F736">
            <v>5.6429999999999998</v>
          </cell>
          <cell r="G736" t="str">
            <v>t</v>
          </cell>
          <cell r="I736" t="str">
            <v>none</v>
          </cell>
          <cell r="J736" t="str">
            <v>TIMES [ICM-CLK/DP + CCS]</v>
          </cell>
        </row>
        <row r="737">
          <cell r="A737" t="str">
            <v>[ICM-CLK/DP + CCS] Clinker Production - Dry Process with CCS</v>
          </cell>
          <cell r="B737" t="str">
            <v>electricity</v>
          </cell>
          <cell r="C737" t="str">
            <v>from technosphere (energy_carrier)</v>
          </cell>
          <cell r="E737" t="str">
            <v>Energy</v>
          </cell>
          <cell r="F737">
            <v>0.1026</v>
          </cell>
          <cell r="G737" t="str">
            <v>t</v>
          </cell>
          <cell r="I737" t="str">
            <v>none</v>
          </cell>
          <cell r="J737" t="str">
            <v>TIMES [ICM-CLK/DP + CCS]</v>
          </cell>
        </row>
        <row r="738">
          <cell r="A738" t="str">
            <v>[ICM-CLK/DP + CCS] Clinker Production - Dry Process with CCS</v>
          </cell>
          <cell r="B738" t="str">
            <v>carbon dioxide</v>
          </cell>
          <cell r="C738" t="str">
            <v>to environment (emission, process)</v>
          </cell>
          <cell r="E738" t="str">
            <v>Mass</v>
          </cell>
          <cell r="F738">
            <v>510</v>
          </cell>
          <cell r="G738" t="str">
            <v>kg</v>
          </cell>
          <cell r="H738" t="str">
            <v>t</v>
          </cell>
          <cell r="I738" t="str">
            <v>none</v>
          </cell>
          <cell r="J738" t="str">
            <v>TIMES [ICM-CLK/DP + CCS]</v>
          </cell>
        </row>
        <row r="739">
          <cell r="A739" t="str">
            <v>[ICM-CLK/DP + CCS] Clinker Production - Dry Process with CCS</v>
          </cell>
          <cell r="B739" t="str">
            <v>carbon dioxide</v>
          </cell>
          <cell r="C739" t="str">
            <v>to technosphere (by-product)</v>
          </cell>
          <cell r="E739" t="str">
            <v>Mass</v>
          </cell>
          <cell r="F739">
            <v>484.5</v>
          </cell>
          <cell r="G739" t="str">
            <v>kg</v>
          </cell>
          <cell r="H739" t="str">
            <v>t</v>
          </cell>
          <cell r="I739" t="str">
            <v>none</v>
          </cell>
          <cell r="J739" t="str">
            <v>TIMES [ICM-CLK/DP + CCS]</v>
          </cell>
        </row>
        <row r="740">
          <cell r="A740" t="str">
            <v/>
          </cell>
        </row>
        <row r="741">
          <cell r="A741" t="str">
            <v>[ICM-CLK/WP] Clinker Production - Wet Process</v>
          </cell>
          <cell r="B741" t="str">
            <v>cement clinker</v>
          </cell>
          <cell r="E741" t="str">
            <v>Mass</v>
          </cell>
          <cell r="F741">
            <v>1</v>
          </cell>
          <cell r="G741" t="str">
            <v>t</v>
          </cell>
          <cell r="H741">
            <v>1</v>
          </cell>
          <cell r="I741" t="str">
            <v>none</v>
          </cell>
          <cell r="J741" t="str">
            <v>TIMES [ICM-CLK/WP]</v>
          </cell>
        </row>
        <row r="742">
          <cell r="A742" t="str">
            <v>[ICM-CLK/WP] Clinker Production - Wet Process</v>
          </cell>
          <cell r="B742" t="str">
            <v>heavy fuel oil</v>
          </cell>
          <cell r="C742" t="str">
            <v>from technosphere (energy_carrier)</v>
          </cell>
          <cell r="E742" t="str">
            <v>Energy</v>
          </cell>
          <cell r="F742">
            <v>6</v>
          </cell>
          <cell r="G742" t="str">
            <v>GJ</v>
          </cell>
          <cell r="H742" t="str">
            <v>t</v>
          </cell>
          <cell r="I742" t="str">
            <v>none</v>
          </cell>
          <cell r="J742" t="str">
            <v>TIMES [ICM-CLK/WP]</v>
          </cell>
        </row>
        <row r="743">
          <cell r="A743" t="str">
            <v>[ICM-CLK/WP] Clinker Production - Wet Process</v>
          </cell>
          <cell r="B743" t="str">
            <v>light fuel oil</v>
          </cell>
          <cell r="C743" t="str">
            <v>from technosphere (energy_carrier)</v>
          </cell>
          <cell r="E743" t="str">
            <v>Energy</v>
          </cell>
          <cell r="F743">
            <v>0.1</v>
          </cell>
          <cell r="G743" t="str">
            <v>GJ</v>
          </cell>
          <cell r="H743" t="str">
            <v>t</v>
          </cell>
          <cell r="I743" t="str">
            <v>none</v>
          </cell>
          <cell r="J743" t="str">
            <v>TIMES [ICM-CLK/WP]</v>
          </cell>
        </row>
        <row r="744">
          <cell r="A744" t="str">
            <v>[ICM-CLK/WP] Clinker Production - Wet Process</v>
          </cell>
          <cell r="B744" t="str">
            <v>electricity</v>
          </cell>
          <cell r="C744" t="str">
            <v>from technosphere (energy_carrier)</v>
          </cell>
          <cell r="E744" t="str">
            <v>Energy</v>
          </cell>
          <cell r="F744">
            <v>0.28999999999999998</v>
          </cell>
          <cell r="G744" t="str">
            <v>GJ</v>
          </cell>
          <cell r="H744" t="str">
            <v>t</v>
          </cell>
          <cell r="I744" t="str">
            <v>none</v>
          </cell>
          <cell r="J744" t="str">
            <v>TIMES [ICM-CLK/WP]</v>
          </cell>
        </row>
        <row r="745">
          <cell r="A745" t="str">
            <v>[ICM-CLK/WP] Clinker Production - Wet Process</v>
          </cell>
          <cell r="B745" t="str">
            <v>carbon dioxide</v>
          </cell>
          <cell r="C745" t="str">
            <v>to environment (emission, process)</v>
          </cell>
          <cell r="E745" t="str">
            <v>Mass</v>
          </cell>
          <cell r="F745">
            <v>510</v>
          </cell>
          <cell r="G745" t="str">
            <v>kg</v>
          </cell>
          <cell r="H745" t="str">
            <v>t</v>
          </cell>
          <cell r="I745" t="str">
            <v>none</v>
          </cell>
          <cell r="J745" t="str">
            <v>TIMES [ICM-CLK/WP]</v>
          </cell>
        </row>
        <row r="746">
          <cell r="A746" t="str">
            <v/>
          </cell>
        </row>
        <row r="747">
          <cell r="A747" t="str">
            <v>[ICM-CMT] Cement Production</v>
          </cell>
          <cell r="B747" t="str">
            <v>cement</v>
          </cell>
          <cell r="C747" t="str">
            <v>reference_product</v>
          </cell>
          <cell r="E747" t="str">
            <v>Mass</v>
          </cell>
          <cell r="F747">
            <v>1</v>
          </cell>
          <cell r="G747" t="str">
            <v>t</v>
          </cell>
          <cell r="H747">
            <v>1</v>
          </cell>
          <cell r="I747" t="str">
            <v>none</v>
          </cell>
          <cell r="J747" t="str">
            <v>TIMES [ICM-CMT]</v>
          </cell>
        </row>
        <row r="748">
          <cell r="A748" t="str">
            <v>[ICM-CMT] Cement Production</v>
          </cell>
          <cell r="B748" t="str">
            <v>cement clinker</v>
          </cell>
          <cell r="C748" t="str">
            <v>from technosphere (material)</v>
          </cell>
          <cell r="E748" t="str">
            <v>Mass</v>
          </cell>
          <cell r="F748">
            <v>0.74</v>
          </cell>
          <cell r="G748" t="str">
            <v>t</v>
          </cell>
          <cell r="H748" t="str">
            <v>t</v>
          </cell>
          <cell r="I748" t="str">
            <v xml:space="preserve">The total mass balance of finish process is 1 t material per t of cement. This means that if 0.1 t of blast furnace slag is consumed the clinker consumption is only 0.9 t. According to cemberau stats the current incorporation of clinker in Portand cement is 73.7% (https://lowcarboneconomy.cembureau.eu/5-parallel-routes/resource-efficiency/clinker-substitution/#:~:text=Ordinary%20Portland%20cement%20can%20contain%20up%20to%2095%25,cement%20types%20in%20the%20EU27%20is%2073.7%25%201.) </v>
          </cell>
          <cell r="J748" t="str">
            <v>TIMES [ICM-CMT]</v>
          </cell>
        </row>
        <row r="749">
          <cell r="A749" t="str">
            <v>[ICM-CMT] Cement Production</v>
          </cell>
          <cell r="B749" t="str">
            <v>Blast furnace slag</v>
          </cell>
          <cell r="C749" t="str">
            <v>to technosphere (by-product)</v>
          </cell>
          <cell r="E749" t="str">
            <v>Mass</v>
          </cell>
          <cell r="F749">
            <v>0.26</v>
          </cell>
          <cell r="G749" t="str">
            <v>t</v>
          </cell>
          <cell r="H749" t="str">
            <v>t</v>
          </cell>
          <cell r="J749" t="str">
            <v>TIMES [ICM-CMT]</v>
          </cell>
        </row>
        <row r="750">
          <cell r="A750" t="str">
            <v>[ICM-CMT] Cement Production</v>
          </cell>
          <cell r="B750" t="str">
            <v>electricity</v>
          </cell>
          <cell r="C750" t="str">
            <v>from technosphere (energy_carrier)</v>
          </cell>
          <cell r="E750" t="str">
            <v>Energy</v>
          </cell>
          <cell r="F750">
            <v>0.61</v>
          </cell>
          <cell r="G750" t="str">
            <v>GJ</v>
          </cell>
          <cell r="H750" t="str">
            <v>t</v>
          </cell>
          <cell r="I750" t="str">
            <v>this input varies according to the country and improves over time</v>
          </cell>
          <cell r="J750" t="str">
            <v>TIMES [ICM-CMT]</v>
          </cell>
        </row>
        <row r="751">
          <cell r="A751" t="str">
            <v>[ICM-CMT] Cement Production</v>
          </cell>
          <cell r="B751" t="str">
            <v>light fuel oil</v>
          </cell>
          <cell r="C751" t="str">
            <v>from technosphere (energy_carrier)</v>
          </cell>
          <cell r="E751" t="str">
            <v>Energy</v>
          </cell>
          <cell r="F751">
            <v>0.05</v>
          </cell>
          <cell r="G751" t="str">
            <v>GJ</v>
          </cell>
          <cell r="H751" t="str">
            <v>t</v>
          </cell>
          <cell r="I751" t="str">
            <v>this input varies according to the country and improves over time</v>
          </cell>
          <cell r="J751" t="str">
            <v>TIMES [ICM-CMT]</v>
          </cell>
        </row>
        <row r="752">
          <cell r="A752" t="str">
            <v>[ICM-CMT] Cement Production</v>
          </cell>
          <cell r="B752" t="str">
            <v>carbon dioxide</v>
          </cell>
          <cell r="C752" t="str">
            <v>to environment (emission, process)</v>
          </cell>
          <cell r="E752" t="str">
            <v>Mass</v>
          </cell>
          <cell r="F752"/>
          <cell r="G752" t="str">
            <v>kg</v>
          </cell>
          <cell r="H752" t="str">
            <v>t</v>
          </cell>
          <cell r="I752" t="str">
            <v>none</v>
          </cell>
          <cell r="J752" t="str">
            <v>TIMES [ICM-CLK/WP]</v>
          </cell>
        </row>
        <row r="753">
          <cell r="A753" t="str">
            <v/>
          </cell>
        </row>
        <row r="754">
          <cell r="A754" t="str">
            <v>[MIDDEN] Sinter plant</v>
          </cell>
          <cell r="B754" t="str">
            <v>sinter</v>
          </cell>
          <cell r="C754" t="str">
            <v>reference_product</v>
          </cell>
          <cell r="D754">
            <v>2601</v>
          </cell>
          <cell r="E754" t="str">
            <v>Mass</v>
          </cell>
          <cell r="F754">
            <v>1</v>
          </cell>
          <cell r="G754" t="str">
            <v>Mt</v>
          </cell>
          <cell r="H754">
            <v>1</v>
          </cell>
          <cell r="I754" t="str">
            <v>none</v>
          </cell>
          <cell r="J754" t="str">
            <v>[MIDDEN] TC0019</v>
          </cell>
          <cell r="K754" t="str">
            <v/>
          </cell>
        </row>
        <row r="755">
          <cell r="A755" t="str">
            <v>[MIDDEN] Sinter plant</v>
          </cell>
          <cell r="B755" t="str">
            <v>iron ore</v>
          </cell>
          <cell r="C755" t="str">
            <v>from environment (natural resource)</v>
          </cell>
          <cell r="E755" t="str">
            <v>Mass</v>
          </cell>
          <cell r="F755">
            <v>0.8</v>
          </cell>
          <cell r="G755" t="str">
            <v>Mt</v>
          </cell>
          <cell r="H755" t="str">
            <v>Mt</v>
          </cell>
          <cell r="I755" t="str">
            <v>none</v>
          </cell>
          <cell r="J755" t="str">
            <v>[MIDDEN] TC0019</v>
          </cell>
          <cell r="K755" t="str">
            <v>Verified by TATA steel</v>
          </cell>
          <cell r="L755">
            <v>48</v>
          </cell>
        </row>
        <row r="756">
          <cell r="A756" t="str">
            <v>[MIDDEN] Sinter plant</v>
          </cell>
          <cell r="B756" t="str">
            <v>limestone</v>
          </cell>
          <cell r="C756" t="str">
            <v>from technosphere (material)</v>
          </cell>
          <cell r="E756" t="str">
            <v>Mass</v>
          </cell>
          <cell r="F756">
            <v>0.18</v>
          </cell>
          <cell r="G756" t="str">
            <v>Mt</v>
          </cell>
          <cell r="H756" t="str">
            <v>Mt</v>
          </cell>
          <cell r="I756" t="str">
            <v>none</v>
          </cell>
          <cell r="J756" t="str">
            <v>[MIDDEN] TC0019</v>
          </cell>
          <cell r="K756" t="str">
            <v>Verified by TATA steel</v>
          </cell>
          <cell r="L756">
            <v>48</v>
          </cell>
        </row>
        <row r="757">
          <cell r="A757" t="str">
            <v>[MIDDEN] Sinter plant</v>
          </cell>
          <cell r="B757" t="str">
            <v>coke</v>
          </cell>
          <cell r="C757" t="str">
            <v>from technosphere (other)</v>
          </cell>
          <cell r="E757" t="str">
            <v>Mass</v>
          </cell>
          <cell r="F757">
            <v>0.04</v>
          </cell>
          <cell r="G757" t="str">
            <v>Mt</v>
          </cell>
          <cell r="H757" t="str">
            <v>Mt</v>
          </cell>
          <cell r="I757" t="str">
            <v>none</v>
          </cell>
          <cell r="J757" t="str">
            <v>[MIDDEN] TC0019</v>
          </cell>
          <cell r="K757" t="str">
            <v xml:space="preserve"> estimated in conjunction with quantity of coke breeze produced by coke plant </v>
          </cell>
          <cell r="L757">
            <v>49</v>
          </cell>
        </row>
        <row r="758">
          <cell r="A758" t="str">
            <v>[MIDDEN] Sinter plant</v>
          </cell>
          <cell r="B758" t="str">
            <v>electricity</v>
          </cell>
          <cell r="C758" t="str">
            <v>from technosphere (energy_carrier)</v>
          </cell>
          <cell r="E758" t="str">
            <v>Energy</v>
          </cell>
          <cell r="F758">
            <v>0.124</v>
          </cell>
          <cell r="G758" t="str">
            <v>PJ</v>
          </cell>
          <cell r="H758" t="str">
            <v>Mt</v>
          </cell>
          <cell r="I758" t="str">
            <v>none</v>
          </cell>
          <cell r="J758" t="str">
            <v>[MIDDEN] TC0019</v>
          </cell>
          <cell r="K758" t="str">
            <v xml:space="preserve"> lowest value </v>
          </cell>
          <cell r="L758">
            <v>49</v>
          </cell>
        </row>
        <row r="759">
          <cell r="A759" t="str">
            <v>[MIDDEN] Sinter plant</v>
          </cell>
          <cell r="B759" t="str">
            <v>natural gas</v>
          </cell>
          <cell r="C759" t="str">
            <v>from technosphere (energy_carrier)</v>
          </cell>
          <cell r="E759" t="str">
            <v>Energy</v>
          </cell>
          <cell r="F759">
            <v>0.04</v>
          </cell>
          <cell r="G759" t="str">
            <v>PJ</v>
          </cell>
          <cell r="H759" t="str">
            <v>Mt</v>
          </cell>
          <cell r="I759" t="str">
            <v>none</v>
          </cell>
          <cell r="J759" t="str">
            <v>[MIDDEN] TC0019</v>
          </cell>
          <cell r="K759" t="str">
            <v xml:space="preserve"> Deduced from overall natural gas use (CBS) and equal amount used in pellet and sinter plant assumption </v>
          </cell>
          <cell r="L759">
            <v>50</v>
          </cell>
        </row>
        <row r="760">
          <cell r="A760" t="str">
            <v>[MIDDEN] Sinter plant</v>
          </cell>
          <cell r="B760" t="str">
            <v>carbon dioxide</v>
          </cell>
          <cell r="C760" t="str">
            <v>to environment (emission)</v>
          </cell>
          <cell r="E760" t="str">
            <v>Mass</v>
          </cell>
          <cell r="F760">
            <v>7.0000000000000007E-2</v>
          </cell>
          <cell r="G760" t="str">
            <v>Mt</v>
          </cell>
          <cell r="H760" t="str">
            <v>Mt</v>
          </cell>
          <cell r="I760" t="str">
            <v>none</v>
          </cell>
          <cell r="J760" t="str">
            <v>[MIDDEN] TC0019</v>
          </cell>
          <cell r="K760" t="str">
            <v>Emission factors + carbon content of materials (example calculation in reference)</v>
          </cell>
          <cell r="L760">
            <v>48</v>
          </cell>
        </row>
        <row r="761">
          <cell r="A761" t="str">
            <v/>
          </cell>
          <cell r="K761" t="str">
            <v/>
          </cell>
          <cell r="L761" t="str">
            <v/>
          </cell>
        </row>
        <row r="762">
          <cell r="A762" t="str">
            <v>[MIDDEN] Pellet plant</v>
          </cell>
          <cell r="B762" t="str">
            <v>iron ore pellets</v>
          </cell>
          <cell r="C762" t="str">
            <v>reference_product</v>
          </cell>
          <cell r="D762">
            <v>2601</v>
          </cell>
          <cell r="E762" t="str">
            <v>Mass</v>
          </cell>
          <cell r="F762">
            <v>1</v>
          </cell>
          <cell r="G762" t="str">
            <v>Mt</v>
          </cell>
          <cell r="H762">
            <v>1</v>
          </cell>
          <cell r="I762" t="str">
            <v>none</v>
          </cell>
          <cell r="J762" t="str">
            <v>[MIDDEN] TC0020</v>
          </cell>
          <cell r="K762" t="str">
            <v/>
          </cell>
          <cell r="L762" t="str">
            <v/>
          </cell>
        </row>
        <row r="763">
          <cell r="A763" t="str">
            <v>[MIDDEN] Pellet plant</v>
          </cell>
          <cell r="B763" t="str">
            <v>iron ore</v>
          </cell>
          <cell r="C763" t="str">
            <v>from environment (natural resource)</v>
          </cell>
          <cell r="E763" t="str">
            <v>Mass</v>
          </cell>
          <cell r="F763">
            <v>1.08</v>
          </cell>
          <cell r="G763" t="str">
            <v>Mt</v>
          </cell>
          <cell r="H763" t="str">
            <v>Mt</v>
          </cell>
          <cell r="I763" t="str">
            <v>none</v>
          </cell>
          <cell r="J763" t="str">
            <v>[MIDDEN] TC0020</v>
          </cell>
          <cell r="K763" t="str">
            <v>Verified by TATA steel</v>
          </cell>
          <cell r="L763">
            <v>48</v>
          </cell>
        </row>
        <row r="764">
          <cell r="A764" t="str">
            <v>[MIDDEN] Pellet plant</v>
          </cell>
          <cell r="B764" t="str">
            <v>coke</v>
          </cell>
          <cell r="C764" t="str">
            <v>from technosphere (other)</v>
          </cell>
          <cell r="E764" t="str">
            <v>Mass</v>
          </cell>
          <cell r="F764">
            <v>8.3899999999999999E-3</v>
          </cell>
          <cell r="G764" t="str">
            <v>Mt</v>
          </cell>
          <cell r="H764" t="str">
            <v>Mt</v>
          </cell>
          <cell r="I764" t="str">
            <v>none</v>
          </cell>
          <cell r="J764" t="str">
            <v>[MIDDEN] TC0020</v>
          </cell>
          <cell r="K764" t="str">
            <v/>
          </cell>
          <cell r="L764">
            <v>49</v>
          </cell>
        </row>
        <row r="765">
          <cell r="A765" t="str">
            <v>[MIDDEN] Pellet plant</v>
          </cell>
          <cell r="B765" t="str">
            <v>basic oxygen furnace gas</v>
          </cell>
          <cell r="C765" t="str">
            <v>to technosphere (by-product)</v>
          </cell>
          <cell r="E765" t="str">
            <v>Energy</v>
          </cell>
          <cell r="F765">
            <v>0.23100000000000001</v>
          </cell>
          <cell r="G765" t="str">
            <v>PJ</v>
          </cell>
          <cell r="H765" t="str">
            <v>Mt</v>
          </cell>
          <cell r="I765" t="str">
            <v>none</v>
          </cell>
          <cell r="J765" t="str">
            <v>[MIDDEN] TC0020</v>
          </cell>
          <cell r="K765" t="str">
            <v xml:space="preserve"> assuming all BOFG heavy use is inputted into the pellet plant. Verified by TATA steel</v>
          </cell>
        </row>
        <row r="766">
          <cell r="A766" t="str">
            <v>[MIDDEN] Pellet plant</v>
          </cell>
          <cell r="B766" t="str">
            <v>natural gas</v>
          </cell>
          <cell r="C766" t="str">
            <v>from technosphere (energy_carrier)</v>
          </cell>
          <cell r="E766" t="str">
            <v>Energy</v>
          </cell>
          <cell r="F766">
            <v>8.3899999999999999E-3</v>
          </cell>
          <cell r="G766" t="str">
            <v>PJ</v>
          </cell>
          <cell r="H766" t="str">
            <v>Mt</v>
          </cell>
          <cell r="I766" t="str">
            <v>none</v>
          </cell>
          <cell r="J766" t="str">
            <v>[MIDDEN] TC0020</v>
          </cell>
          <cell r="K766" t="str">
            <v xml:space="preserve"> Deduced from overall natural gas use (CBS) and equal amount used in pellet and sinter plant assumption </v>
          </cell>
          <cell r="L766">
            <v>50</v>
          </cell>
        </row>
        <row r="767">
          <cell r="A767" t="str">
            <v>[MIDDEN] Pellet plant</v>
          </cell>
          <cell r="B767" t="str">
            <v>electricity</v>
          </cell>
          <cell r="C767" t="str">
            <v>from technosphere (energy_carrier)</v>
          </cell>
          <cell r="E767" t="str">
            <v>Energy</v>
          </cell>
          <cell r="F767">
            <v>7.6499999999999999E-2</v>
          </cell>
          <cell r="G767" t="str">
            <v>PJ</v>
          </cell>
          <cell r="H767" t="str">
            <v>Mt</v>
          </cell>
          <cell r="I767" t="str">
            <v>none</v>
          </cell>
          <cell r="J767" t="str">
            <v>[MIDDEN] TC0020</v>
          </cell>
          <cell r="K767" t="str">
            <v xml:space="preserve"> average value </v>
          </cell>
          <cell r="L767">
            <v>49</v>
          </cell>
        </row>
        <row r="768">
          <cell r="A768" t="str">
            <v>[MIDDEN] Pellet plant</v>
          </cell>
          <cell r="B768" t="str">
            <v>olivine</v>
          </cell>
          <cell r="C768" t="str">
            <v>from technosphere (material)</v>
          </cell>
          <cell r="E768" t="str">
            <v>Mass</v>
          </cell>
          <cell r="F768">
            <v>2.3099999999999999E-2</v>
          </cell>
          <cell r="G768" t="str">
            <v>kt</v>
          </cell>
          <cell r="H768" t="str">
            <v>Mt</v>
          </cell>
          <cell r="I768" t="str">
            <v>none</v>
          </cell>
          <cell r="J768" t="str">
            <v>[MIDDEN] TC0020</v>
          </cell>
          <cell r="K768" t="str">
            <v>Verified by TATA Steel</v>
          </cell>
          <cell r="L768">
            <v>48</v>
          </cell>
        </row>
        <row r="769">
          <cell r="A769" t="str">
            <v>[MIDDEN] Pellet plant</v>
          </cell>
          <cell r="B769" t="str">
            <v>limestone</v>
          </cell>
          <cell r="C769" t="str">
            <v>from technosphere (material)</v>
          </cell>
          <cell r="E769" t="str">
            <v>Mass</v>
          </cell>
          <cell r="F769">
            <v>1.47E-2</v>
          </cell>
          <cell r="G769" t="str">
            <v>kt</v>
          </cell>
          <cell r="H769" t="str">
            <v>Mt</v>
          </cell>
          <cell r="I769" t="str">
            <v>none</v>
          </cell>
          <cell r="J769" t="str">
            <v>[MIDDEN] TC0020</v>
          </cell>
          <cell r="K769" t="str">
            <v>Verified by TATA Steel</v>
          </cell>
          <cell r="L769">
            <v>48</v>
          </cell>
        </row>
        <row r="770">
          <cell r="A770" t="str">
            <v>[MIDDEN] Pellet plant</v>
          </cell>
          <cell r="B770" t="str">
            <v>carbon dioxide</v>
          </cell>
          <cell r="C770" t="str">
            <v>to environment (emission)</v>
          </cell>
          <cell r="E770" t="str">
            <v>Mass</v>
          </cell>
          <cell r="F770">
            <v>6.6199999999999995E-2</v>
          </cell>
          <cell r="G770" t="str">
            <v>Mt</v>
          </cell>
          <cell r="H770" t="str">
            <v>Mt</v>
          </cell>
          <cell r="I770" t="str">
            <v>none</v>
          </cell>
          <cell r="J770" t="str">
            <v>[MIDDEN] TC0020</v>
          </cell>
          <cell r="K770" t="str">
            <v>Emission factors + carbon content of materials (example calculation in reference)</v>
          </cell>
          <cell r="L770">
            <v>48</v>
          </cell>
        </row>
        <row r="771">
          <cell r="A771" t="str">
            <v/>
          </cell>
          <cell r="E771" t="str">
            <v/>
          </cell>
          <cell r="K771" t="str">
            <v/>
          </cell>
          <cell r="L771" t="str">
            <v/>
          </cell>
        </row>
        <row r="772">
          <cell r="A772" t="str">
            <v>[MIDDEN] Pellet plant no coke</v>
          </cell>
          <cell r="B772" t="str">
            <v>iron ore pellets</v>
          </cell>
          <cell r="C772" t="str">
            <v>reference_product</v>
          </cell>
          <cell r="D772">
            <v>2601</v>
          </cell>
          <cell r="E772" t="str">
            <v>Mass</v>
          </cell>
          <cell r="F772">
            <v>1</v>
          </cell>
          <cell r="G772" t="str">
            <v>Mt</v>
          </cell>
          <cell r="H772">
            <v>1</v>
          </cell>
          <cell r="I772" t="str">
            <v>none</v>
          </cell>
          <cell r="J772" t="str">
            <v>[MIDDEN] TC0021</v>
          </cell>
          <cell r="K772" t="str">
            <v/>
          </cell>
          <cell r="L772" t="str">
            <v/>
          </cell>
        </row>
        <row r="773">
          <cell r="A773" t="str">
            <v>[MIDDEN] Pellet plant no coke</v>
          </cell>
          <cell r="B773" t="str">
            <v>iron ore</v>
          </cell>
          <cell r="C773" t="str">
            <v>from environment (natural resource)</v>
          </cell>
          <cell r="E773" t="str">
            <v>Mass</v>
          </cell>
          <cell r="F773">
            <v>1.08</v>
          </cell>
          <cell r="G773" t="str">
            <v>Mt</v>
          </cell>
          <cell r="H773" t="str">
            <v>Mt</v>
          </cell>
          <cell r="I773" t="str">
            <v>none</v>
          </cell>
          <cell r="J773" t="str">
            <v>[MIDDEN] TC0021</v>
          </cell>
          <cell r="K773" t="str">
            <v>Verified by TATA steel</v>
          </cell>
          <cell r="L773">
            <v>48</v>
          </cell>
        </row>
        <row r="774">
          <cell r="A774" t="str">
            <v>[MIDDEN] Pellet plant no coke</v>
          </cell>
          <cell r="B774" t="str">
            <v>coal</v>
          </cell>
          <cell r="C774" t="str">
            <v>from technosphere (energy_carrier)</v>
          </cell>
          <cell r="E774" t="str">
            <v>Mass</v>
          </cell>
          <cell r="F774">
            <v>8.3899999999999999E-3</v>
          </cell>
          <cell r="G774" t="str">
            <v>Mt</v>
          </cell>
          <cell r="H774" t="str">
            <v>Mt</v>
          </cell>
          <cell r="I774" t="str">
            <v>none</v>
          </cell>
          <cell r="J774" t="str">
            <v>[MIDDEN] TC0021</v>
          </cell>
          <cell r="K774" t="str">
            <v xml:space="preserve">estimated in conjunction with quantity of coke breeze produced by coke plant. coal replaced coke from base case </v>
          </cell>
          <cell r="L774">
            <v>49</v>
          </cell>
        </row>
        <row r="775">
          <cell r="A775" t="str">
            <v>[MIDDEN] Pellet plant no coke</v>
          </cell>
          <cell r="B775" t="str">
            <v>natural gas</v>
          </cell>
          <cell r="C775" t="str">
            <v>from technosphere (energy_carrier)</v>
          </cell>
          <cell r="E775" t="str">
            <v>Energy</v>
          </cell>
          <cell r="F775">
            <v>0.23899999999999999</v>
          </cell>
          <cell r="G775" t="str">
            <v>PJ</v>
          </cell>
          <cell r="H775" t="str">
            <v>Mt</v>
          </cell>
          <cell r="I775" t="str">
            <v>none</v>
          </cell>
          <cell r="J775" t="str">
            <v>[MIDDEN] TC0021</v>
          </cell>
          <cell r="K775" t="str">
            <v xml:space="preserve"> natural gas replaces BOFG </v>
          </cell>
        </row>
        <row r="776">
          <cell r="A776" t="str">
            <v>[MIDDEN] Pellet plant no coke</v>
          </cell>
          <cell r="B776" t="str">
            <v>electricity</v>
          </cell>
          <cell r="C776" t="str">
            <v>from technosphere (energy_carrier)</v>
          </cell>
          <cell r="E776" t="str">
            <v>Energy</v>
          </cell>
          <cell r="F776">
            <v>7.6499999999999999E-2</v>
          </cell>
          <cell r="G776" t="str">
            <v>PJ</v>
          </cell>
          <cell r="H776" t="str">
            <v>Mt</v>
          </cell>
          <cell r="I776" t="str">
            <v>none</v>
          </cell>
          <cell r="J776" t="str">
            <v>[MIDDEN] TC0021</v>
          </cell>
          <cell r="K776" t="str">
            <v xml:space="preserve"> average value </v>
          </cell>
          <cell r="L776">
            <v>49</v>
          </cell>
        </row>
        <row r="777">
          <cell r="A777" t="str">
            <v>[MIDDEN] Pellet plant no coke</v>
          </cell>
          <cell r="B777" t="str">
            <v>olivine</v>
          </cell>
          <cell r="C777" t="str">
            <v>from technosphere (material)</v>
          </cell>
          <cell r="E777" t="str">
            <v>Mass</v>
          </cell>
          <cell r="F777">
            <v>2.3099999999999999E-2</v>
          </cell>
          <cell r="G777" t="str">
            <v>kt</v>
          </cell>
          <cell r="H777" t="str">
            <v>Mt</v>
          </cell>
          <cell r="I777" t="str">
            <v>none</v>
          </cell>
          <cell r="J777" t="str">
            <v>[MIDDEN] TC0021</v>
          </cell>
          <cell r="K777" t="str">
            <v/>
          </cell>
          <cell r="L777" t="str">
            <v/>
          </cell>
        </row>
        <row r="778">
          <cell r="A778" t="str">
            <v>[MIDDEN] Pellet plant no coke</v>
          </cell>
          <cell r="B778" t="str">
            <v>limestone</v>
          </cell>
          <cell r="C778" t="str">
            <v>from technosphere (material)</v>
          </cell>
          <cell r="E778" t="str">
            <v>Mass</v>
          </cell>
          <cell r="F778">
            <v>1.47E-2</v>
          </cell>
          <cell r="G778" t="str">
            <v>kt</v>
          </cell>
          <cell r="H778" t="str">
            <v>Mt</v>
          </cell>
          <cell r="I778" t="str">
            <v>none</v>
          </cell>
          <cell r="J778" t="str">
            <v>[MIDDEN] TC0021</v>
          </cell>
          <cell r="K778" t="str">
            <v>Verified by TATA Steel</v>
          </cell>
          <cell r="L778">
            <v>48</v>
          </cell>
        </row>
        <row r="779">
          <cell r="A779" t="str">
            <v>[MIDDEN] Pellet plant no coke</v>
          </cell>
          <cell r="B779" t="str">
            <v>carbon dioxide</v>
          </cell>
          <cell r="C779" t="str">
            <v>to environment (emission)</v>
          </cell>
          <cell r="E779" t="str">
            <v>Mass</v>
          </cell>
          <cell r="F779">
            <v>4.8099999999999997E-2</v>
          </cell>
          <cell r="G779" t="str">
            <v>Mt</v>
          </cell>
          <cell r="H779" t="str">
            <v>Mt</v>
          </cell>
          <cell r="I779" t="str">
            <v>none</v>
          </cell>
          <cell r="J779" t="str">
            <v>[MIDDEN] TC0021</v>
          </cell>
          <cell r="K779" t="str">
            <v>Emission factors + carbon content of materials (example calculation in reference)</v>
          </cell>
          <cell r="L779">
            <v>48</v>
          </cell>
        </row>
        <row r="780">
          <cell r="A780" t="str">
            <v/>
          </cell>
          <cell r="E780" t="str">
            <v/>
          </cell>
          <cell r="K780" t="str">
            <v/>
          </cell>
          <cell r="L780" t="str">
            <v/>
          </cell>
        </row>
        <row r="781">
          <cell r="A781" t="str">
            <v>[MIDDEN] Coke plant</v>
          </cell>
          <cell r="B781" t="str">
            <v>coke</v>
          </cell>
          <cell r="C781" t="str">
            <v>reference_product</v>
          </cell>
          <cell r="D781">
            <v>2704</v>
          </cell>
          <cell r="E781" t="str">
            <v>Mass</v>
          </cell>
          <cell r="F781">
            <v>1</v>
          </cell>
          <cell r="G781" t="str">
            <v>Mt</v>
          </cell>
          <cell r="H781">
            <v>1</v>
          </cell>
          <cell r="I781" t="str">
            <v>none</v>
          </cell>
          <cell r="J781" t="str">
            <v>[MIDDEN] TC0022</v>
          </cell>
          <cell r="K781" t="str">
            <v>Coke = 28.5 MJ/kg</v>
          </cell>
          <cell r="L781" t="str">
            <v/>
          </cell>
        </row>
        <row r="782">
          <cell r="A782" t="str">
            <v>[MIDDEN] Coke plant</v>
          </cell>
          <cell r="B782" t="str">
            <v>coke oven gas</v>
          </cell>
          <cell r="C782" t="str">
            <v>to technosphere (by-product)</v>
          </cell>
          <cell r="E782" t="str">
            <v>Energy</v>
          </cell>
          <cell r="F782">
            <v>7.23</v>
          </cell>
          <cell r="G782" t="str">
            <v>PJ</v>
          </cell>
          <cell r="H782" t="str">
            <v>Mt</v>
          </cell>
          <cell r="I782" t="str">
            <v>none</v>
          </cell>
          <cell r="J782" t="str">
            <v>[MIDDEN] TC0022</v>
          </cell>
          <cell r="K782" t="str">
            <v/>
          </cell>
          <cell r="L782">
            <v>50</v>
          </cell>
        </row>
        <row r="783">
          <cell r="A783" t="str">
            <v>[MIDDEN] Coke plant</v>
          </cell>
          <cell r="B783" t="str">
            <v>tar</v>
          </cell>
          <cell r="C783" t="str">
            <v>to technosphere (by-product)</v>
          </cell>
          <cell r="E783" t="str">
            <v>Mass</v>
          </cell>
          <cell r="F783">
            <v>35.9</v>
          </cell>
          <cell r="G783" t="str">
            <v>kt</v>
          </cell>
          <cell r="H783" t="str">
            <v>Mt</v>
          </cell>
          <cell r="I783" t="str">
            <v>none</v>
          </cell>
          <cell r="J783" t="str">
            <v>[MIDDEN] TC0022</v>
          </cell>
          <cell r="K783" t="str">
            <v/>
          </cell>
          <cell r="L783">
            <v>48</v>
          </cell>
        </row>
        <row r="784">
          <cell r="A784" t="str">
            <v>[MIDDEN] Coke plant</v>
          </cell>
          <cell r="B784" t="str">
            <v>BTX</v>
          </cell>
          <cell r="C784" t="str">
            <v>to technosphere (by-product)</v>
          </cell>
          <cell r="E784" t="str">
            <v>Mass</v>
          </cell>
          <cell r="F784">
            <v>11.8</v>
          </cell>
          <cell r="G784" t="str">
            <v>kt</v>
          </cell>
          <cell r="H784" t="str">
            <v>Mt</v>
          </cell>
          <cell r="I784" t="str">
            <v>none</v>
          </cell>
          <cell r="J784" t="str">
            <v>[MIDDEN] TC0022</v>
          </cell>
          <cell r="K784" t="str">
            <v>Verified by TATA Steel</v>
          </cell>
          <cell r="L784">
            <v>48</v>
          </cell>
        </row>
        <row r="785">
          <cell r="A785" t="str">
            <v>[MIDDEN] Coke plant</v>
          </cell>
          <cell r="B785" t="str">
            <v>steam, medium pressure, 10-19 bar</v>
          </cell>
          <cell r="C785" t="str">
            <v>from technosphere (energy_carrier)</v>
          </cell>
          <cell r="E785" t="str">
            <v>Energy</v>
          </cell>
          <cell r="F785">
            <v>1.5</v>
          </cell>
          <cell r="G785" t="str">
            <v>PJ</v>
          </cell>
          <cell r="H785" t="str">
            <v>Mt</v>
          </cell>
          <cell r="I785" t="str">
            <v>none</v>
          </cell>
          <cell r="J785" t="str">
            <v>[MIDDEN] TC0022</v>
          </cell>
          <cell r="K785" t="str">
            <v>In cases of coke dry quenching (with heat recovery in the form of steam).</v>
          </cell>
          <cell r="L785">
            <v>49</v>
          </cell>
        </row>
        <row r="786">
          <cell r="A786" t="str">
            <v>[MIDDEN] Coke plant</v>
          </cell>
          <cell r="B786" t="str">
            <v>coal</v>
          </cell>
          <cell r="C786" t="str">
            <v>from technosphere (energy_carrier)</v>
          </cell>
          <cell r="E786" t="str">
            <v>Energy</v>
          </cell>
          <cell r="F786">
            <v>36.700000000000003</v>
          </cell>
          <cell r="G786" t="str">
            <v>PJ</v>
          </cell>
          <cell r="H786" t="str">
            <v>Mt</v>
          </cell>
          <cell r="I786" t="str">
            <v>none</v>
          </cell>
          <cell r="J786" t="str">
            <v>[MIDDEN] TC0022</v>
          </cell>
          <cell r="K786" t="str">
            <v>Verified by TATA steel</v>
          </cell>
          <cell r="L786">
            <v>48</v>
          </cell>
        </row>
        <row r="787">
          <cell r="A787" t="str">
            <v>[MIDDEN] Coke plant</v>
          </cell>
          <cell r="B787" t="str">
            <v>coke oven gas</v>
          </cell>
          <cell r="C787" t="str">
            <v>to technosphere (by-product)</v>
          </cell>
          <cell r="E787" t="str">
            <v>Energy</v>
          </cell>
          <cell r="F787">
            <v>2.68</v>
          </cell>
          <cell r="G787" t="str">
            <v>PJ</v>
          </cell>
          <cell r="H787" t="str">
            <v>Mt</v>
          </cell>
          <cell r="I787" t="str">
            <v>none</v>
          </cell>
          <cell r="J787" t="str">
            <v>[MIDDEN] TC0022</v>
          </cell>
          <cell r="K787" t="str">
            <v>coke oven gas (COG)</v>
          </cell>
          <cell r="L787">
            <v>50</v>
          </cell>
        </row>
        <row r="788">
          <cell r="A788" t="str">
            <v>[MIDDEN] Coke plant</v>
          </cell>
          <cell r="B788" t="str">
            <v>blast furnace gas</v>
          </cell>
          <cell r="C788" t="str">
            <v>to technosphere (by-product)</v>
          </cell>
          <cell r="E788" t="str">
            <v>Energy</v>
          </cell>
          <cell r="F788">
            <v>0.81799999999999995</v>
          </cell>
          <cell r="G788" t="str">
            <v>PJ</v>
          </cell>
          <cell r="H788" t="str">
            <v>Mt</v>
          </cell>
          <cell r="I788" t="str">
            <v>none</v>
          </cell>
          <cell r="J788" t="str">
            <v>[MIDDEN] TC0022</v>
          </cell>
          <cell r="K788" t="str">
            <v>Blast furnace gas (BFG). Verified by TATA Steel</v>
          </cell>
          <cell r="L788">
            <v>48</v>
          </cell>
        </row>
        <row r="789">
          <cell r="A789" t="str">
            <v>[MIDDEN] Coke plant</v>
          </cell>
          <cell r="B789" t="str">
            <v>electricity</v>
          </cell>
          <cell r="C789" t="str">
            <v>from technosphere (energy_carrier)</v>
          </cell>
          <cell r="E789" t="str">
            <v>Energy</v>
          </cell>
          <cell r="F789">
            <v>0.13600000000000001</v>
          </cell>
          <cell r="G789" t="str">
            <v>PJ</v>
          </cell>
          <cell r="H789" t="str">
            <v>Mt</v>
          </cell>
          <cell r="I789" t="str">
            <v>none</v>
          </cell>
          <cell r="J789" t="str">
            <v>[MIDDEN] TC0022</v>
          </cell>
          <cell r="K789" t="str">
            <v/>
          </cell>
          <cell r="L789">
            <v>50</v>
          </cell>
        </row>
        <row r="790">
          <cell r="A790" t="str">
            <v>[MIDDEN] Coke plant</v>
          </cell>
          <cell r="B790" t="str">
            <v>steam, medium pressure, 10-19 bar</v>
          </cell>
          <cell r="C790" t="str">
            <v>from technosphere (energy_carrier)</v>
          </cell>
          <cell r="E790" t="str">
            <v>Energy</v>
          </cell>
          <cell r="F790">
            <v>0.43</v>
          </cell>
          <cell r="G790" t="str">
            <v>PJ</v>
          </cell>
          <cell r="H790" t="str">
            <v>Mt</v>
          </cell>
          <cell r="I790" t="str">
            <v>none</v>
          </cell>
          <cell r="J790" t="str">
            <v>[MIDDEN] TC0022</v>
          </cell>
          <cell r="K790" t="str">
            <v xml:space="preserve"> average value </v>
          </cell>
          <cell r="L790">
            <v>49</v>
          </cell>
        </row>
        <row r="791">
          <cell r="A791" t="str">
            <v>[MIDDEN] Coke plant</v>
          </cell>
          <cell r="B791" t="str">
            <v>carbon dioxide</v>
          </cell>
          <cell r="C791" t="str">
            <v>to environment (emission)</v>
          </cell>
          <cell r="E791" t="str">
            <v>Mass</v>
          </cell>
          <cell r="F791">
            <v>0.77500000000000002</v>
          </cell>
          <cell r="G791" t="str">
            <v>Mt</v>
          </cell>
          <cell r="H791" t="str">
            <v>Mt</v>
          </cell>
          <cell r="I791" t="str">
            <v>none</v>
          </cell>
          <cell r="J791" t="str">
            <v>[MIDDEN] TC0022</v>
          </cell>
          <cell r="K791" t="str">
            <v>Emission factors + carbon content of materials (example calculation in reference)</v>
          </cell>
          <cell r="L791">
            <v>48</v>
          </cell>
        </row>
        <row r="792">
          <cell r="A792" t="str">
            <v/>
          </cell>
          <cell r="E792" t="str">
            <v/>
          </cell>
          <cell r="K792" t="str">
            <v/>
          </cell>
          <cell r="L792" t="str">
            <v/>
          </cell>
        </row>
        <row r="793">
          <cell r="A793" t="str">
            <v>[MIDDEN] Blast furnace</v>
          </cell>
          <cell r="B793" t="str">
            <v>pig iron</v>
          </cell>
          <cell r="C793" t="str">
            <v>reference_product</v>
          </cell>
          <cell r="D793">
            <v>7201</v>
          </cell>
          <cell r="E793" t="str">
            <v>Mass</v>
          </cell>
          <cell r="F793">
            <v>1</v>
          </cell>
          <cell r="G793" t="str">
            <v>Mt</v>
          </cell>
          <cell r="H793">
            <v>1</v>
          </cell>
          <cell r="I793" t="str">
            <v>none</v>
          </cell>
          <cell r="J793" t="str">
            <v>[MIDDEN] TC0023</v>
          </cell>
          <cell r="K793" t="str">
            <v/>
          </cell>
          <cell r="L793" t="str">
            <v/>
          </cell>
        </row>
        <row r="794">
          <cell r="A794" t="str">
            <v>[MIDDEN] Blast furnace</v>
          </cell>
          <cell r="B794" t="str">
            <v>slag</v>
          </cell>
          <cell r="C794" t="str">
            <v>to technosphere (waste)</v>
          </cell>
          <cell r="E794" t="str">
            <v>Mass</v>
          </cell>
          <cell r="F794">
            <v>0.22</v>
          </cell>
          <cell r="G794" t="str">
            <v>Mt</v>
          </cell>
          <cell r="H794" t="str">
            <v>Mt</v>
          </cell>
          <cell r="I794" t="str">
            <v>none</v>
          </cell>
          <cell r="J794" t="str">
            <v>[MIDDEN] TC0023</v>
          </cell>
          <cell r="K794" t="str">
            <v>Verified by TATA Steel</v>
          </cell>
          <cell r="L794">
            <v>48</v>
          </cell>
        </row>
        <row r="795">
          <cell r="A795" t="str">
            <v>[MIDDEN] Blast furnace</v>
          </cell>
          <cell r="B795" t="str">
            <v>blast furnace gas</v>
          </cell>
          <cell r="C795" t="str">
            <v>to technosphere (by-product)</v>
          </cell>
          <cell r="E795" t="str">
            <v>Energy</v>
          </cell>
          <cell r="F795">
            <v>5.14</v>
          </cell>
          <cell r="G795" t="str">
            <v>PJ</v>
          </cell>
          <cell r="H795" t="str">
            <v>Mt</v>
          </cell>
          <cell r="I795" t="str">
            <v>none</v>
          </cell>
          <cell r="J795" t="str">
            <v>[MIDDEN] TC0023</v>
          </cell>
          <cell r="K795" t="str">
            <v/>
          </cell>
          <cell r="L795">
            <v>50</v>
          </cell>
        </row>
        <row r="796">
          <cell r="A796" t="str">
            <v>[MIDDEN] Blast furnace</v>
          </cell>
          <cell r="B796" t="str">
            <v>coal</v>
          </cell>
          <cell r="C796" t="str">
            <v>from technosphere (energy_carrier)</v>
          </cell>
          <cell r="E796" t="str">
            <v>Energy</v>
          </cell>
          <cell r="F796">
            <v>7.54</v>
          </cell>
          <cell r="G796" t="str">
            <v>PJ</v>
          </cell>
          <cell r="H796" t="str">
            <v>Mt</v>
          </cell>
          <cell r="I796" t="str">
            <v>none</v>
          </cell>
          <cell r="J796" t="str">
            <v>[MIDDEN] TC0023</v>
          </cell>
          <cell r="K796" t="str">
            <v/>
          </cell>
          <cell r="L796">
            <v>50</v>
          </cell>
        </row>
        <row r="797">
          <cell r="A797" t="str">
            <v>[MIDDEN] Blast furnace</v>
          </cell>
          <cell r="B797" t="str">
            <v>blast furnace gas</v>
          </cell>
          <cell r="C797" t="str">
            <v>to technosphere (by-product)</v>
          </cell>
          <cell r="E797" t="str">
            <v>Energy</v>
          </cell>
          <cell r="F797">
            <v>1.41</v>
          </cell>
          <cell r="G797" t="str">
            <v>PJ</v>
          </cell>
          <cell r="H797" t="str">
            <v>Mt</v>
          </cell>
          <cell r="I797" t="str">
            <v>none</v>
          </cell>
          <cell r="J797" t="str">
            <v>[MIDDEN] TC0023</v>
          </cell>
          <cell r="K797" t="str">
            <v/>
          </cell>
          <cell r="L797">
            <v>50</v>
          </cell>
        </row>
        <row r="798">
          <cell r="A798" t="str">
            <v>[MIDDEN] Blast furnace</v>
          </cell>
          <cell r="B798" t="str">
            <v>steam, medium pressure, 10-19 bar</v>
          </cell>
          <cell r="C798" t="str">
            <v>from technosphere (energy_carrier)</v>
          </cell>
          <cell r="E798" t="str">
            <v>Energy</v>
          </cell>
          <cell r="F798">
            <v>0.23</v>
          </cell>
          <cell r="G798" t="str">
            <v>PJ</v>
          </cell>
          <cell r="H798" t="str">
            <v>Mt</v>
          </cell>
          <cell r="I798" t="str">
            <v>none</v>
          </cell>
          <cell r="J798" t="str">
            <v>[MIDDEN] TC0023</v>
          </cell>
          <cell r="K798" t="str">
            <v xml:space="preserve"> average value </v>
          </cell>
          <cell r="L798">
            <v>49</v>
          </cell>
        </row>
        <row r="799">
          <cell r="A799" t="str">
            <v>[MIDDEN] Blast furnace</v>
          </cell>
          <cell r="B799" t="str">
            <v>electricity</v>
          </cell>
          <cell r="C799" t="str">
            <v>from technosphere (energy_carrier)</v>
          </cell>
          <cell r="E799" t="str">
            <v>Energy</v>
          </cell>
          <cell r="F799">
            <v>0.27</v>
          </cell>
          <cell r="G799" t="str">
            <v>PJ</v>
          </cell>
          <cell r="H799" t="str">
            <v>Mt</v>
          </cell>
          <cell r="I799" t="str">
            <v>none</v>
          </cell>
          <cell r="J799" t="str">
            <v>[MIDDEN] TC0023</v>
          </cell>
          <cell r="K799" t="str">
            <v xml:space="preserve"> average value </v>
          </cell>
          <cell r="L799">
            <v>49</v>
          </cell>
        </row>
        <row r="800">
          <cell r="A800" t="str">
            <v>[MIDDEN] Blast furnace</v>
          </cell>
          <cell r="B800" t="str">
            <v>natural gas</v>
          </cell>
          <cell r="C800" t="str">
            <v>from technosphere (energy_carrier)</v>
          </cell>
          <cell r="E800" t="str">
            <v>Energy</v>
          </cell>
          <cell r="F800">
            <v>0.16</v>
          </cell>
          <cell r="G800" t="str">
            <v>PJ</v>
          </cell>
          <cell r="H800" t="str">
            <v>Mt</v>
          </cell>
          <cell r="I800" t="str">
            <v>none</v>
          </cell>
          <cell r="J800" t="str">
            <v>[MIDDEN] TC0023</v>
          </cell>
          <cell r="K800" t="str">
            <v/>
          </cell>
          <cell r="L800">
            <v>50</v>
          </cell>
        </row>
        <row r="801">
          <cell r="A801" t="str">
            <v>[MIDDEN] Blast furnace</v>
          </cell>
          <cell r="B801" t="str">
            <v>coke oven gas</v>
          </cell>
          <cell r="C801" t="str">
            <v>to technosphere (by-product)</v>
          </cell>
          <cell r="E801" t="str">
            <v>Energy</v>
          </cell>
          <cell r="F801">
            <v>0.27</v>
          </cell>
          <cell r="G801" t="str">
            <v>PJ</v>
          </cell>
          <cell r="H801" t="str">
            <v>Mt</v>
          </cell>
          <cell r="I801" t="str">
            <v>none</v>
          </cell>
          <cell r="J801" t="str">
            <v>[MIDDEN] TC0023</v>
          </cell>
          <cell r="K801" t="str">
            <v/>
          </cell>
          <cell r="L801">
            <v>50</v>
          </cell>
        </row>
        <row r="802">
          <cell r="A802" t="str">
            <v>[MIDDEN] Blast furnace</v>
          </cell>
          <cell r="B802" t="str">
            <v>oxygen</v>
          </cell>
          <cell r="C802" t="str">
            <v>from technosphere (material)</v>
          </cell>
          <cell r="E802" t="str">
            <v>Mass</v>
          </cell>
          <cell r="F802">
            <v>52.6</v>
          </cell>
          <cell r="G802" t="str">
            <v>kt</v>
          </cell>
          <cell r="H802" t="str">
            <v>Mt</v>
          </cell>
          <cell r="I802" t="str">
            <v>none</v>
          </cell>
          <cell r="J802" t="str">
            <v>[MIDDEN] TC0023</v>
          </cell>
          <cell r="K802" t="str">
            <v xml:space="preserve">1.326 kg/Nm3 (Airproducts.com, 2019). Assumed 30% oxygen enrichment of dry air blast. 3.96e7 Nm3. Assumed 30% oxygen enrichment of dry air blast </v>
          </cell>
        </row>
        <row r="803">
          <cell r="A803" t="str">
            <v>[MIDDEN] Blast furnace</v>
          </cell>
          <cell r="B803" t="str">
            <v>oil</v>
          </cell>
          <cell r="C803" t="str">
            <v>from technosphere (energy_carrier)</v>
          </cell>
          <cell r="E803" t="str">
            <v>Energy</v>
          </cell>
          <cell r="F803">
            <v>0.03</v>
          </cell>
          <cell r="G803" t="str">
            <v>PJ</v>
          </cell>
          <cell r="H803" t="str">
            <v>Mt</v>
          </cell>
          <cell r="I803" t="str">
            <v>none</v>
          </cell>
          <cell r="J803" t="str">
            <v>[MIDDEN] TC0023</v>
          </cell>
          <cell r="K803" t="str">
            <v/>
          </cell>
          <cell r="L803">
            <v>50</v>
          </cell>
        </row>
        <row r="804">
          <cell r="A804" t="str">
            <v>[MIDDEN] Blast furnace</v>
          </cell>
          <cell r="B804" t="str">
            <v>sinter</v>
          </cell>
          <cell r="C804" t="str">
            <v>from technosphere (material)</v>
          </cell>
          <cell r="E804" t="str">
            <v>Mass</v>
          </cell>
          <cell r="F804">
            <v>0.6</v>
          </cell>
          <cell r="G804" t="str">
            <v>Mt</v>
          </cell>
          <cell r="H804" t="str">
            <v>Mt</v>
          </cell>
          <cell r="I804" t="str">
            <v>none</v>
          </cell>
          <cell r="J804" t="str">
            <v>[MIDDEN] TC0023</v>
          </cell>
          <cell r="K804" t="str">
            <v>Verified by TATA Steel</v>
          </cell>
          <cell r="L804">
            <v>48</v>
          </cell>
        </row>
        <row r="805">
          <cell r="A805" t="str">
            <v>[MIDDEN] Blast furnace</v>
          </cell>
          <cell r="B805" t="str">
            <v>iron ore pellets</v>
          </cell>
          <cell r="C805" t="str">
            <v>from technosphere (material)</v>
          </cell>
          <cell r="E805" t="str">
            <v>Mass</v>
          </cell>
          <cell r="F805">
            <v>0.75</v>
          </cell>
          <cell r="G805" t="str">
            <v>Mt</v>
          </cell>
          <cell r="H805" t="str">
            <v>Mt</v>
          </cell>
          <cell r="I805" t="str">
            <v>none</v>
          </cell>
          <cell r="J805" t="str">
            <v>[MIDDEN] TC0023</v>
          </cell>
          <cell r="K805" t="str">
            <v>Verified by TATA Steel</v>
          </cell>
          <cell r="L805">
            <v>48</v>
          </cell>
        </row>
        <row r="806">
          <cell r="A806" t="str">
            <v>[MIDDEN] Blast furnace</v>
          </cell>
          <cell r="B806" t="str">
            <v>iron ore</v>
          </cell>
          <cell r="C806" t="str">
            <v>from environment (natural resource)</v>
          </cell>
          <cell r="E806" t="str">
            <v>Mass</v>
          </cell>
          <cell r="F806">
            <v>0.04</v>
          </cell>
          <cell r="G806" t="str">
            <v>Mt</v>
          </cell>
          <cell r="H806" t="str">
            <v>Mt</v>
          </cell>
          <cell r="I806" t="str">
            <v>none</v>
          </cell>
          <cell r="J806" t="str">
            <v>[MIDDEN] TC0023</v>
          </cell>
          <cell r="K806" t="str">
            <v>Verified by TATA Steel</v>
          </cell>
          <cell r="L806">
            <v>48</v>
          </cell>
        </row>
        <row r="807">
          <cell r="A807" t="str">
            <v>[MIDDEN] Blast furnace</v>
          </cell>
          <cell r="B807" t="str">
            <v>coke</v>
          </cell>
          <cell r="C807" t="str">
            <v>from technosphere (other)</v>
          </cell>
          <cell r="E807" t="str">
            <v>Mass</v>
          </cell>
          <cell r="F807">
            <v>0.32</v>
          </cell>
          <cell r="G807" t="str">
            <v>Mt</v>
          </cell>
          <cell r="H807" t="str">
            <v>Mt</v>
          </cell>
          <cell r="I807" t="str">
            <v>none</v>
          </cell>
          <cell r="J807" t="str">
            <v>[MIDDEN] TC0023</v>
          </cell>
          <cell r="K807" t="str">
            <v>Verified by TATA Steel</v>
          </cell>
          <cell r="L807">
            <v>48</v>
          </cell>
        </row>
        <row r="808">
          <cell r="A808" t="str">
            <v>[MIDDEN] Blast furnace</v>
          </cell>
          <cell r="B808" t="str">
            <v>carbon dioxide</v>
          </cell>
          <cell r="C808" t="str">
            <v>to environment (emission)</v>
          </cell>
          <cell r="E808" t="str">
            <v>Mass</v>
          </cell>
          <cell r="F808">
            <v>0.54</v>
          </cell>
          <cell r="G808" t="str">
            <v>Mt</v>
          </cell>
          <cell r="H808" t="str">
            <v>Mt</v>
          </cell>
          <cell r="I808" t="str">
            <v>none</v>
          </cell>
          <cell r="J808" t="str">
            <v>[MIDDEN] TC0023</v>
          </cell>
          <cell r="K808" t="str">
            <v>Emission factors + carbon content of materials (example calculation in reference)</v>
          </cell>
          <cell r="L808">
            <v>48</v>
          </cell>
        </row>
        <row r="809">
          <cell r="A809" t="str">
            <v/>
          </cell>
          <cell r="E809" t="str">
            <v/>
          </cell>
          <cell r="K809" t="str">
            <v/>
          </cell>
          <cell r="L809" t="str">
            <v/>
          </cell>
        </row>
        <row r="810">
          <cell r="A810" t="str">
            <v>[MIDDEN] Basic oxygen furnace</v>
          </cell>
          <cell r="B810" t="str">
            <v>crude steel</v>
          </cell>
          <cell r="C810" t="str">
            <v>reference_product</v>
          </cell>
          <cell r="D810">
            <v>7206</v>
          </cell>
          <cell r="E810" t="str">
            <v>Mass</v>
          </cell>
          <cell r="F810">
            <v>1</v>
          </cell>
          <cell r="G810" t="str">
            <v>Mt</v>
          </cell>
          <cell r="H810">
            <v>1</v>
          </cell>
          <cell r="I810" t="str">
            <v>none</v>
          </cell>
          <cell r="J810" t="str">
            <v>[MIDDEN] TC0024</v>
          </cell>
          <cell r="K810" t="str">
            <v/>
          </cell>
          <cell r="L810" t="str">
            <v/>
          </cell>
        </row>
        <row r="811">
          <cell r="A811" t="str">
            <v>[MIDDEN] Basic oxygen furnace</v>
          </cell>
          <cell r="B811" t="str">
            <v>slag</v>
          </cell>
          <cell r="C811" t="str">
            <v>to technosphere (waste)</v>
          </cell>
          <cell r="E811" t="str">
            <v>Mass</v>
          </cell>
          <cell r="F811">
            <v>7.9399999999999998E-2</v>
          </cell>
          <cell r="G811" t="str">
            <v>Mt</v>
          </cell>
          <cell r="H811" t="str">
            <v>Mt</v>
          </cell>
          <cell r="I811" t="str">
            <v>none</v>
          </cell>
          <cell r="J811" t="str">
            <v>[MIDDEN] TC0024</v>
          </cell>
          <cell r="K811" t="str">
            <v>Verified by TATA Steel</v>
          </cell>
          <cell r="L811">
            <v>48</v>
          </cell>
        </row>
        <row r="812">
          <cell r="A812" t="str">
            <v>[MIDDEN] Basic oxygen furnace</v>
          </cell>
          <cell r="B812" t="str">
            <v>basic oxygen furnace gas</v>
          </cell>
          <cell r="C812" t="str">
            <v>to technosphere (by-product)</v>
          </cell>
          <cell r="E812" t="str">
            <v>Energy</v>
          </cell>
          <cell r="F812">
            <v>0.70899999999999996</v>
          </cell>
          <cell r="G812" t="str">
            <v>PJ</v>
          </cell>
          <cell r="H812" t="str">
            <v>Mt</v>
          </cell>
          <cell r="I812" t="str">
            <v>none</v>
          </cell>
          <cell r="J812" t="str">
            <v>[MIDDEN] TC0024</v>
          </cell>
          <cell r="K812" t="str">
            <v/>
          </cell>
          <cell r="L812">
            <v>48</v>
          </cell>
        </row>
        <row r="813">
          <cell r="A813" t="str">
            <v>[MIDDEN] Basic oxygen furnace</v>
          </cell>
          <cell r="B813" t="str">
            <v>steam, medium pressure, 10-19 bar</v>
          </cell>
          <cell r="C813" t="str">
            <v>from technosphere (energy_carrier)</v>
          </cell>
          <cell r="E813" t="str">
            <v>Energy</v>
          </cell>
          <cell r="F813">
            <v>0.23</v>
          </cell>
          <cell r="G813" t="str">
            <v>PJ</v>
          </cell>
          <cell r="H813" t="str">
            <v>Mt</v>
          </cell>
          <cell r="I813" t="str">
            <v>none</v>
          </cell>
          <cell r="J813" t="str">
            <v>[MIDDEN] TC0024</v>
          </cell>
          <cell r="K813" t="str">
            <v/>
          </cell>
          <cell r="L813">
            <v>49</v>
          </cell>
        </row>
        <row r="814">
          <cell r="A814" t="str">
            <v>[MIDDEN] Basic oxygen furnace</v>
          </cell>
          <cell r="B814" t="str">
            <v>pig iron</v>
          </cell>
          <cell r="C814" t="str">
            <v>from technosphere (material)</v>
          </cell>
          <cell r="E814" t="str">
            <v>Mass</v>
          </cell>
          <cell r="F814">
            <v>0.88400000000000001</v>
          </cell>
          <cell r="G814" t="str">
            <v>Mt</v>
          </cell>
          <cell r="H814" t="str">
            <v>Mt</v>
          </cell>
          <cell r="I814" t="str">
            <v>none</v>
          </cell>
          <cell r="J814" t="str">
            <v>[MIDDEN] TC0024</v>
          </cell>
          <cell r="K814" t="str">
            <v>Verified by TATA steel</v>
          </cell>
          <cell r="L814">
            <v>48</v>
          </cell>
        </row>
        <row r="815">
          <cell r="A815" t="str">
            <v>[MIDDEN] Basic oxygen furnace</v>
          </cell>
          <cell r="B815" t="str">
            <v>electricity</v>
          </cell>
          <cell r="C815" t="str">
            <v>from technosphere (energy_carrier)</v>
          </cell>
          <cell r="E815" t="str">
            <v>Energy</v>
          </cell>
          <cell r="F815">
            <v>9.7199999999999995E-2</v>
          </cell>
          <cell r="G815" t="str">
            <v>PJ</v>
          </cell>
          <cell r="H815" t="str">
            <v>Mt</v>
          </cell>
          <cell r="I815" t="str">
            <v>none</v>
          </cell>
          <cell r="J815" t="str">
            <v>[MIDDEN] TC0024</v>
          </cell>
          <cell r="K815" t="str">
            <v/>
          </cell>
          <cell r="L815">
            <v>51</v>
          </cell>
        </row>
        <row r="816">
          <cell r="A816" t="str">
            <v>[MIDDEN] Basic oxygen furnace</v>
          </cell>
          <cell r="B816" t="str">
            <v>steam, medium pressure, 10-19 bar</v>
          </cell>
          <cell r="C816" t="str">
            <v>from technosphere (energy_carrier)</v>
          </cell>
          <cell r="E816" t="str">
            <v>Energy</v>
          </cell>
          <cell r="F816">
            <v>8.2000000000000003E-2</v>
          </cell>
          <cell r="G816" t="str">
            <v>PJ</v>
          </cell>
          <cell r="H816" t="str">
            <v>Mt</v>
          </cell>
          <cell r="I816" t="str">
            <v>none</v>
          </cell>
          <cell r="J816" t="str">
            <v>[MIDDEN] TC0024</v>
          </cell>
          <cell r="K816" t="str">
            <v xml:space="preserve"> average value </v>
          </cell>
          <cell r="L816">
            <v>49</v>
          </cell>
        </row>
        <row r="817">
          <cell r="A817" t="str">
            <v>[MIDDEN] Basic oxygen furnace</v>
          </cell>
          <cell r="B817" t="str">
            <v>steel scrap</v>
          </cell>
          <cell r="C817" t="str">
            <v>from technosphere (material)</v>
          </cell>
          <cell r="E817" t="str">
            <v>Mass</v>
          </cell>
          <cell r="F817">
            <v>0.17</v>
          </cell>
          <cell r="G817" t="str">
            <v>Mt</v>
          </cell>
          <cell r="H817" t="str">
            <v>Mt</v>
          </cell>
          <cell r="I817" t="str">
            <v>none</v>
          </cell>
          <cell r="J817" t="str">
            <v>[MIDDEN] TC0024</v>
          </cell>
          <cell r="K817" t="str">
            <v>Verified by TATA Steel</v>
          </cell>
          <cell r="L817">
            <v>48</v>
          </cell>
        </row>
        <row r="818">
          <cell r="A818" t="str">
            <v>[MIDDEN] Basic oxygen furnace</v>
          </cell>
          <cell r="B818" t="str">
            <v>oxygen</v>
          </cell>
          <cell r="C818" t="str">
            <v>from technosphere (material)</v>
          </cell>
          <cell r="E818" t="str">
            <v>Mass</v>
          </cell>
          <cell r="F818">
            <v>70.3</v>
          </cell>
          <cell r="G818" t="str">
            <v>kt</v>
          </cell>
          <cell r="H818" t="str">
            <v>Mt</v>
          </cell>
          <cell r="I818" t="str">
            <v>none</v>
          </cell>
          <cell r="J818" t="str">
            <v>[MIDDEN] TC0024</v>
          </cell>
          <cell r="K818" t="str">
            <v>5.3e7 Nm3, 1.326 kg/Nm3</v>
          </cell>
          <cell r="L818">
            <v>48</v>
          </cell>
        </row>
        <row r="819">
          <cell r="A819" t="str">
            <v>[MIDDEN] Basic oxygen furnace</v>
          </cell>
          <cell r="B819" t="str">
            <v>iron ore pellets</v>
          </cell>
          <cell r="C819" t="str">
            <v>from technosphere (material)</v>
          </cell>
          <cell r="E819" t="str">
            <v>Mass</v>
          </cell>
          <cell r="F819">
            <v>1.6199999999999999E-2</v>
          </cell>
          <cell r="G819" t="str">
            <v>Mt</v>
          </cell>
          <cell r="H819" t="str">
            <v>Mt</v>
          </cell>
          <cell r="I819" t="str">
            <v>none</v>
          </cell>
          <cell r="J819" t="str">
            <v>[MIDDEN] TC0024</v>
          </cell>
          <cell r="K819" t="str">
            <v/>
          </cell>
          <cell r="L819" t="str">
            <v/>
          </cell>
        </row>
        <row r="820">
          <cell r="A820" t="str">
            <v>[MIDDEN] Basic oxygen furnace</v>
          </cell>
          <cell r="B820" t="str">
            <v>quicklime</v>
          </cell>
          <cell r="C820" t="str">
            <v>from technosphere (material)</v>
          </cell>
          <cell r="E820" t="str">
            <v>Mass</v>
          </cell>
          <cell r="F820">
            <v>2.41E-2</v>
          </cell>
          <cell r="G820" t="str">
            <v>Mt</v>
          </cell>
          <cell r="H820" t="str">
            <v>Mt</v>
          </cell>
          <cell r="I820" t="str">
            <v>none</v>
          </cell>
          <cell r="J820" t="str">
            <v>[MIDDEN] TC0024</v>
          </cell>
          <cell r="K820" t="str">
            <v>Verified by TATA Steel</v>
          </cell>
          <cell r="L820">
            <v>48</v>
          </cell>
        </row>
        <row r="821">
          <cell r="A821" t="str">
            <v>[MIDDEN] Basic oxygen furnace</v>
          </cell>
          <cell r="B821" t="str">
            <v>dolomite</v>
          </cell>
          <cell r="C821" t="str">
            <v>from technosphere (material)</v>
          </cell>
          <cell r="E821" t="str">
            <v>Mass</v>
          </cell>
          <cell r="F821">
            <v>8.94E-3</v>
          </cell>
          <cell r="G821" t="str">
            <v>Mt</v>
          </cell>
          <cell r="H821" t="str">
            <v>Mt</v>
          </cell>
          <cell r="I821" t="str">
            <v>none</v>
          </cell>
          <cell r="J821" t="str">
            <v>[MIDDEN] TC0024</v>
          </cell>
          <cell r="K821" t="str">
            <v>Verified by TATA Steel</v>
          </cell>
          <cell r="L821">
            <v>48</v>
          </cell>
        </row>
        <row r="822">
          <cell r="A822" t="str">
            <v>[MIDDEN] Basic oxygen furnace</v>
          </cell>
          <cell r="B822" t="str">
            <v>carbon dioxide</v>
          </cell>
          <cell r="C822" t="str">
            <v>to environment (emission)</v>
          </cell>
          <cell r="E822" t="str">
            <v>Mass</v>
          </cell>
          <cell r="F822">
            <v>8.0400000000000003E-3</v>
          </cell>
          <cell r="G822" t="str">
            <v>Mt</v>
          </cell>
          <cell r="H822" t="str">
            <v>Mt</v>
          </cell>
          <cell r="I822" t="str">
            <v>none</v>
          </cell>
          <cell r="J822" t="str">
            <v>[MIDDEN] TC0024</v>
          </cell>
          <cell r="K822" t="str">
            <v>Emission factors + carbon content of materials (example calculation in reference)</v>
          </cell>
          <cell r="L822">
            <v>48</v>
          </cell>
        </row>
        <row r="823">
          <cell r="A823" t="str">
            <v/>
          </cell>
          <cell r="E823" t="str">
            <v/>
          </cell>
          <cell r="K823" t="str">
            <v/>
          </cell>
          <cell r="L823" t="str">
            <v/>
          </cell>
        </row>
        <row r="824">
          <cell r="A824" t="str">
            <v>[MIDDEN] CHP Tata</v>
          </cell>
          <cell r="B824" t="str">
            <v>electricity</v>
          </cell>
          <cell r="C824" t="str">
            <v>reference_product</v>
          </cell>
          <cell r="D824" t="str">
            <v>?</v>
          </cell>
          <cell r="E824" t="str">
            <v>Energy</v>
          </cell>
          <cell r="F824">
            <v>3.1300000000000001E-2</v>
          </cell>
          <cell r="G824" t="str">
            <v>PJ</v>
          </cell>
          <cell r="H824">
            <v>1</v>
          </cell>
          <cell r="I824" t="str">
            <v>none</v>
          </cell>
          <cell r="J824" t="str">
            <v>[MIDDEN] TC0025</v>
          </cell>
          <cell r="K824" t="str">
            <v/>
          </cell>
          <cell r="L824">
            <v>50</v>
          </cell>
        </row>
        <row r="825">
          <cell r="A825" t="str">
            <v>[MIDDEN] CHP Tata</v>
          </cell>
          <cell r="B825" t="str">
            <v>steam, medium pressure, 10-19 bar</v>
          </cell>
          <cell r="C825" t="str">
            <v>from technosphere (energy_carrier)</v>
          </cell>
          <cell r="E825" t="str">
            <v>Energy</v>
          </cell>
          <cell r="F825">
            <v>0.17499999999999999</v>
          </cell>
          <cell r="G825" t="str">
            <v>PJ</v>
          </cell>
          <cell r="H825" t="str">
            <v>PJ</v>
          </cell>
          <cell r="I825" t="str">
            <v>none</v>
          </cell>
          <cell r="J825" t="str">
            <v>[MIDDEN] TC0025</v>
          </cell>
          <cell r="K825" t="str">
            <v/>
          </cell>
          <cell r="L825">
            <v>50</v>
          </cell>
        </row>
        <row r="826">
          <cell r="A826" t="str">
            <v>[MIDDEN] CHP Tata</v>
          </cell>
          <cell r="B826" t="str">
            <v>natural gas</v>
          </cell>
          <cell r="C826" t="str">
            <v>from technosphere (energy_carrier)</v>
          </cell>
          <cell r="E826" t="str">
            <v>Energy</v>
          </cell>
          <cell r="F826">
            <v>8.1299999999999997E-2</v>
          </cell>
          <cell r="G826" t="str">
            <v>PJ</v>
          </cell>
          <cell r="H826" t="str">
            <v>PJ</v>
          </cell>
          <cell r="I826" t="str">
            <v>none</v>
          </cell>
          <cell r="J826" t="str">
            <v>[MIDDEN] TC0025</v>
          </cell>
          <cell r="K826" t="str">
            <v/>
          </cell>
          <cell r="L826">
            <v>50</v>
          </cell>
        </row>
        <row r="827">
          <cell r="A827" t="str">
            <v>[MIDDEN] CHP Tata</v>
          </cell>
          <cell r="B827" t="str">
            <v>basic oxygen furnace gas</v>
          </cell>
          <cell r="C827" t="str">
            <v>to technosphere (by-product)</v>
          </cell>
          <cell r="E827" t="str">
            <v>Energy</v>
          </cell>
          <cell r="F827">
            <v>8.5000000000000006E-2</v>
          </cell>
          <cell r="G827" t="str">
            <v>PJ</v>
          </cell>
          <cell r="H827" t="str">
            <v>PJ</v>
          </cell>
          <cell r="I827" t="str">
            <v>none</v>
          </cell>
          <cell r="J827" t="str">
            <v>[MIDDEN] TC0025</v>
          </cell>
          <cell r="K827" t="str">
            <v>Verified by TATA steel</v>
          </cell>
          <cell r="L827" t="str">
            <v/>
          </cell>
        </row>
        <row r="828">
          <cell r="A828" t="str">
            <v>[MIDDEN] CHP Tata</v>
          </cell>
          <cell r="B828" t="str">
            <v>blast furnace gas</v>
          </cell>
          <cell r="C828" t="str">
            <v>to technosphere (by-product)</v>
          </cell>
          <cell r="E828" t="str">
            <v>Energy</v>
          </cell>
          <cell r="F828">
            <v>4.6199999999999998E-2</v>
          </cell>
          <cell r="G828" t="str">
            <v>PJ</v>
          </cell>
          <cell r="H828" t="str">
            <v>PJ</v>
          </cell>
          <cell r="I828" t="str">
            <v>none</v>
          </cell>
          <cell r="J828" t="str">
            <v>[MIDDEN] TC0025</v>
          </cell>
          <cell r="K828" t="str">
            <v/>
          </cell>
          <cell r="L828">
            <v>50</v>
          </cell>
        </row>
        <row r="829">
          <cell r="A829" t="str">
            <v>[MIDDEN] CHP Tata</v>
          </cell>
          <cell r="B829" t="str">
            <v>coke oven gas</v>
          </cell>
          <cell r="C829" t="str">
            <v>to technosphere (by-product)</v>
          </cell>
          <cell r="E829" t="str">
            <v>Energy</v>
          </cell>
          <cell r="F829">
            <v>2.5000000000000001E-2</v>
          </cell>
          <cell r="G829" t="str">
            <v>PJ</v>
          </cell>
          <cell r="H829" t="str">
            <v>PJ</v>
          </cell>
          <cell r="I829" t="str">
            <v>none</v>
          </cell>
          <cell r="J829" t="str">
            <v>[MIDDEN] TC0025</v>
          </cell>
          <cell r="K829" t="str">
            <v/>
          </cell>
          <cell r="L829" t="str">
            <v/>
          </cell>
        </row>
        <row r="830">
          <cell r="A830" t="str">
            <v>[MIDDEN] CHP Tata</v>
          </cell>
          <cell r="B830" t="str">
            <v>carbon dioxide</v>
          </cell>
          <cell r="C830" t="str">
            <v>to environment (emission)</v>
          </cell>
          <cell r="E830" t="str">
            <v>Mass</v>
          </cell>
          <cell r="F830">
            <v>3.3399999999999999E-2</v>
          </cell>
          <cell r="G830" t="str">
            <v>Mt</v>
          </cell>
          <cell r="H830" t="str">
            <v>PJ</v>
          </cell>
          <cell r="I830" t="str">
            <v>none</v>
          </cell>
          <cell r="J830" t="str">
            <v>[MIDDEN] TC0025</v>
          </cell>
          <cell r="K830" t="str">
            <v>Emission factors + carbon content of materials (example calculation in reference)</v>
          </cell>
          <cell r="L830">
            <v>48</v>
          </cell>
        </row>
        <row r="831">
          <cell r="A831" t="str">
            <v/>
          </cell>
          <cell r="E831" t="str">
            <v/>
          </cell>
          <cell r="K831" t="str">
            <v/>
          </cell>
          <cell r="L831" t="str">
            <v/>
          </cell>
        </row>
        <row r="832">
          <cell r="A832" t="str">
            <v>[MIDDEN] CCGT Velsen 24</v>
          </cell>
          <cell r="B832" t="str">
            <v>electricity</v>
          </cell>
          <cell r="C832" t="str">
            <v>reference_product</v>
          </cell>
          <cell r="D832" t="str">
            <v>?</v>
          </cell>
          <cell r="E832" t="str">
            <v>Energy</v>
          </cell>
          <cell r="F832">
            <v>3.15E-2</v>
          </cell>
          <cell r="G832" t="str">
            <v>PJ</v>
          </cell>
          <cell r="H832">
            <v>1</v>
          </cell>
          <cell r="I832" t="str">
            <v>none</v>
          </cell>
          <cell r="J832" t="str">
            <v>[MIDDEN] TC0026</v>
          </cell>
          <cell r="K832" t="str">
            <v xml:space="preserve"> Fuel input x 36% unit efficiency.Calculated from EEA LCP in conjunction with CBS industry data </v>
          </cell>
        </row>
        <row r="833">
          <cell r="A833" t="str">
            <v>[MIDDEN] CCGT Velsen 24</v>
          </cell>
          <cell r="B833" t="str">
            <v>blast furnace gas</v>
          </cell>
          <cell r="C833" t="str">
            <v>to technosphere (by-product)</v>
          </cell>
          <cell r="E833" t="str">
            <v>Energy</v>
          </cell>
          <cell r="F833">
            <v>5.3100000000000001E-2</v>
          </cell>
          <cell r="G833" t="str">
            <v>PJ</v>
          </cell>
          <cell r="H833" t="str">
            <v>PJ</v>
          </cell>
          <cell r="I833" t="str">
            <v>none</v>
          </cell>
          <cell r="J833" t="str">
            <v>[MIDDEN] TC0026</v>
          </cell>
          <cell r="K833" t="str">
            <v xml:space="preserve">Calculated from EEA LCP in conjunction with CBS industry data </v>
          </cell>
        </row>
        <row r="834">
          <cell r="A834" t="str">
            <v>[MIDDEN] CCGT Velsen 24</v>
          </cell>
          <cell r="B834" t="str">
            <v>basic oxygen furnace gas</v>
          </cell>
          <cell r="C834" t="str">
            <v>to technosphere (by-product)</v>
          </cell>
          <cell r="E834" t="str">
            <v>Energy</v>
          </cell>
          <cell r="F834">
            <v>1.3899999999999999E-2</v>
          </cell>
          <cell r="G834" t="str">
            <v>PJ</v>
          </cell>
          <cell r="H834" t="str">
            <v>PJ</v>
          </cell>
          <cell r="I834" t="str">
            <v>none</v>
          </cell>
          <cell r="J834" t="str">
            <v>[MIDDEN] TC0026</v>
          </cell>
          <cell r="K834" t="str">
            <v xml:space="preserve">Calculated from EEA LCP in conjunction with CBS industry data </v>
          </cell>
        </row>
        <row r="835">
          <cell r="A835" t="str">
            <v>[MIDDEN] CCGT Velsen 24</v>
          </cell>
          <cell r="B835" t="str">
            <v>coke oven gas</v>
          </cell>
          <cell r="C835" t="str">
            <v>to technosphere (by-product)</v>
          </cell>
          <cell r="E835" t="str">
            <v>Energy</v>
          </cell>
          <cell r="F835">
            <v>6.4400000000000004E-3</v>
          </cell>
          <cell r="G835" t="str">
            <v>PJ</v>
          </cell>
          <cell r="H835" t="str">
            <v>PJ</v>
          </cell>
          <cell r="I835" t="str">
            <v>none</v>
          </cell>
          <cell r="J835" t="str">
            <v>[MIDDEN] TC0026</v>
          </cell>
          <cell r="K835" t="str">
            <v xml:space="preserve">Calculated from EEA LCP in conjunction with CBS industry data </v>
          </cell>
        </row>
        <row r="836">
          <cell r="A836" t="str">
            <v>[MIDDEN] CCGT Velsen 24</v>
          </cell>
          <cell r="B836" t="str">
            <v>natural gas</v>
          </cell>
          <cell r="C836" t="str">
            <v>from technosphere (energy_carrier)</v>
          </cell>
          <cell r="E836" t="str">
            <v>Energy</v>
          </cell>
          <cell r="F836">
            <v>1.35E-2</v>
          </cell>
          <cell r="G836" t="str">
            <v>PJ</v>
          </cell>
          <cell r="H836" t="str">
            <v>PJ</v>
          </cell>
          <cell r="I836" t="str">
            <v>none</v>
          </cell>
          <cell r="J836" t="str">
            <v>[MIDDEN] TC0026</v>
          </cell>
          <cell r="K836" t="str">
            <v xml:space="preserve">Calculated from EEA LCP in conjunction with CBS industry data </v>
          </cell>
        </row>
        <row r="837">
          <cell r="A837" t="str">
            <v>[MIDDEN] CCGT Velsen 24</v>
          </cell>
          <cell r="B837" t="str">
            <v>carbon dioxide</v>
          </cell>
          <cell r="C837" t="str">
            <v>to environment (emission)</v>
          </cell>
          <cell r="E837" t="str">
            <v>Mass</v>
          </cell>
          <cell r="F837">
            <v>1.6799999999999999E-2</v>
          </cell>
          <cell r="G837" t="str">
            <v>Mt</v>
          </cell>
          <cell r="H837" t="str">
            <v>PJ</v>
          </cell>
          <cell r="I837" t="str">
            <v>none</v>
          </cell>
          <cell r="J837" t="str">
            <v>[MIDDEN] TC0026</v>
          </cell>
          <cell r="K837" t="str">
            <v>Emission factors + carbon content of materials (example calculation in reference)</v>
          </cell>
          <cell r="L837">
            <v>48</v>
          </cell>
        </row>
        <row r="838">
          <cell r="A838" t="str">
            <v/>
          </cell>
          <cell r="E838" t="str">
            <v/>
          </cell>
          <cell r="K838" t="str">
            <v/>
          </cell>
          <cell r="L838" t="str">
            <v/>
          </cell>
        </row>
        <row r="839">
          <cell r="A839" t="str">
            <v>[MIDDEN] CCGT Velsen 25</v>
          </cell>
          <cell r="B839" t="str">
            <v>electricity</v>
          </cell>
          <cell r="C839" t="str">
            <v>reference_product</v>
          </cell>
          <cell r="D839" t="str">
            <v>?</v>
          </cell>
          <cell r="E839" t="str">
            <v>Energy</v>
          </cell>
          <cell r="F839">
            <v>3.1399999999999997E-2</v>
          </cell>
          <cell r="G839" t="str">
            <v>PJ</v>
          </cell>
          <cell r="H839">
            <v>1</v>
          </cell>
          <cell r="I839" t="str">
            <v>none</v>
          </cell>
          <cell r="J839" t="str">
            <v>[MIDDEN] TC0027</v>
          </cell>
          <cell r="K839" t="str">
            <v xml:space="preserve"> Fuel input x 38% unit efficiency </v>
          </cell>
        </row>
        <row r="840">
          <cell r="A840" t="str">
            <v>[MIDDEN] CCGT Velsen 25</v>
          </cell>
          <cell r="B840" t="str">
            <v>blast furnace gas</v>
          </cell>
          <cell r="C840" t="str">
            <v>to technosphere (by-product)</v>
          </cell>
          <cell r="E840" t="str">
            <v>Energy</v>
          </cell>
          <cell r="F840">
            <v>5.2499999999999998E-2</v>
          </cell>
          <cell r="G840" t="str">
            <v>PJ</v>
          </cell>
          <cell r="H840" t="str">
            <v>PJ</v>
          </cell>
          <cell r="I840" t="str">
            <v>none</v>
          </cell>
          <cell r="J840" t="str">
            <v>[MIDDEN] TC0027</v>
          </cell>
          <cell r="K840" t="str">
            <v xml:space="preserve">Calculated from EEA LCP in conjunction with CBS industry data </v>
          </cell>
        </row>
        <row r="841">
          <cell r="A841" t="str">
            <v>[MIDDEN] CCGT Velsen 25</v>
          </cell>
          <cell r="B841" t="str">
            <v>basic oxygen furnace gas</v>
          </cell>
          <cell r="C841" t="str">
            <v>to technosphere (by-product)</v>
          </cell>
          <cell r="E841" t="str">
            <v>Energy</v>
          </cell>
          <cell r="F841">
            <v>1.1299999999999999E-2</v>
          </cell>
          <cell r="G841" t="str">
            <v>PJ</v>
          </cell>
          <cell r="H841" t="str">
            <v>PJ</v>
          </cell>
          <cell r="I841" t="str">
            <v>none</v>
          </cell>
          <cell r="J841" t="str">
            <v>[MIDDEN] TC0027</v>
          </cell>
          <cell r="K841" t="str">
            <v xml:space="preserve">Calculated from EEA LCP in conjunction with CBS industry data </v>
          </cell>
        </row>
        <row r="842">
          <cell r="A842" t="str">
            <v>[MIDDEN] CCGT Velsen 25</v>
          </cell>
          <cell r="B842" t="str">
            <v>coke oven gas</v>
          </cell>
          <cell r="C842" t="str">
            <v>to technosphere (by-product)</v>
          </cell>
          <cell r="E842" t="str">
            <v>Energy</v>
          </cell>
          <cell r="F842">
            <v>7.6600000000000001E-3</v>
          </cell>
          <cell r="G842" t="str">
            <v>PJ</v>
          </cell>
          <cell r="H842" t="str">
            <v>PJ</v>
          </cell>
          <cell r="I842" t="str">
            <v>none</v>
          </cell>
          <cell r="J842" t="str">
            <v>[MIDDEN] TC0027</v>
          </cell>
          <cell r="K842" t="str">
            <v xml:space="preserve">Calculated from EEA LCP in conjunction with CBS industry data </v>
          </cell>
        </row>
        <row r="843">
          <cell r="A843" t="str">
            <v>[MIDDEN] CCGT Velsen 25</v>
          </cell>
          <cell r="B843" t="str">
            <v>natural gas</v>
          </cell>
          <cell r="C843" t="str">
            <v>from technosphere (energy_carrier)</v>
          </cell>
          <cell r="E843" t="str">
            <v>Energy</v>
          </cell>
          <cell r="F843">
            <v>1.0999999999999999E-2</v>
          </cell>
          <cell r="G843" t="str">
            <v>PJ</v>
          </cell>
          <cell r="H843" t="str">
            <v>PJ</v>
          </cell>
          <cell r="I843" t="str">
            <v>none</v>
          </cell>
          <cell r="J843" t="str">
            <v>[MIDDEN] TC0027</v>
          </cell>
          <cell r="K843" t="str">
            <v xml:space="preserve">Calculated from EEA LCP in conjunction with CBS industry data </v>
          </cell>
        </row>
        <row r="844">
          <cell r="A844" t="str">
            <v>[MIDDEN] CCGT Velsen 25</v>
          </cell>
          <cell r="B844" t="str">
            <v>carbon dioxide</v>
          </cell>
          <cell r="C844" t="str">
            <v>to environment (emission)</v>
          </cell>
          <cell r="E844" t="str">
            <v>Mass</v>
          </cell>
          <cell r="F844">
            <v>1.5599999999999999E-2</v>
          </cell>
          <cell r="G844" t="str">
            <v>Mt</v>
          </cell>
          <cell r="H844" t="str">
            <v>PJ</v>
          </cell>
          <cell r="I844" t="str">
            <v>none</v>
          </cell>
          <cell r="J844" t="str">
            <v>[MIDDEN] TC0027</v>
          </cell>
          <cell r="K844" t="str">
            <v>Emission factors + carbon content of materials (example calculation in reference)</v>
          </cell>
          <cell r="L844">
            <v>48</v>
          </cell>
        </row>
        <row r="845">
          <cell r="A845" t="str">
            <v/>
          </cell>
          <cell r="E845" t="str">
            <v/>
          </cell>
          <cell r="K845" t="str">
            <v/>
          </cell>
          <cell r="L845" t="str">
            <v/>
          </cell>
        </row>
        <row r="846">
          <cell r="A846" t="str">
            <v>[MIDDEN] CHP IJmond</v>
          </cell>
          <cell r="B846" t="str">
            <v>electricity</v>
          </cell>
          <cell r="C846" t="str">
            <v>reference_product</v>
          </cell>
          <cell r="D846" t="str">
            <v>?</v>
          </cell>
          <cell r="E846" t="str">
            <v>Energy</v>
          </cell>
          <cell r="F846">
            <v>3.15E-2</v>
          </cell>
          <cell r="G846" t="str">
            <v>PJ</v>
          </cell>
          <cell r="H846">
            <v>1</v>
          </cell>
          <cell r="I846" t="str">
            <v>none</v>
          </cell>
          <cell r="J846" t="str">
            <v>[MIDDEN] TC0028</v>
          </cell>
          <cell r="K846" t="str">
            <v xml:space="preserve"> Fuel input x 41% unit efficiency </v>
          </cell>
        </row>
        <row r="847">
          <cell r="A847" t="str">
            <v>[MIDDEN] CHP IJmond</v>
          </cell>
          <cell r="B847" t="str">
            <v>steam, medium pressure, 10-19 bar</v>
          </cell>
          <cell r="C847" t="str">
            <v>from technosphere (energy_carrier)</v>
          </cell>
          <cell r="E847" t="str">
            <v>Energy</v>
          </cell>
          <cell r="F847">
            <v>2.3E-2</v>
          </cell>
          <cell r="G847" t="str">
            <v>PJ</v>
          </cell>
          <cell r="H847" t="str">
            <v>PJ</v>
          </cell>
          <cell r="I847" t="str">
            <v>none</v>
          </cell>
          <cell r="J847" t="str">
            <v>[MIDDEN] TC0028</v>
          </cell>
          <cell r="K847" t="str">
            <v xml:space="preserve">Power-to-heat ratio = 1.37 </v>
          </cell>
          <cell r="L847">
            <v>52</v>
          </cell>
        </row>
        <row r="848">
          <cell r="A848" t="str">
            <v>[MIDDEN] CHP IJmond</v>
          </cell>
          <cell r="B848" t="str">
            <v>blast furnace gas</v>
          </cell>
          <cell r="C848" t="str">
            <v>to technosphere (by-product)</v>
          </cell>
          <cell r="E848" t="str">
            <v>Energy</v>
          </cell>
          <cell r="F848">
            <v>7.6899999999999996E-2</v>
          </cell>
          <cell r="G848" t="str">
            <v>PJ</v>
          </cell>
          <cell r="H848" t="str">
            <v>PJ</v>
          </cell>
          <cell r="I848" t="str">
            <v>none</v>
          </cell>
          <cell r="J848" t="str">
            <v>[MIDDEN] TC0028</v>
          </cell>
          <cell r="K848" t="str">
            <v xml:space="preserve">Calculated from EEA LCP in conjunction with CBS industry data </v>
          </cell>
        </row>
        <row r="849">
          <cell r="A849" t="str">
            <v>[MIDDEN] CHP IJmond</v>
          </cell>
          <cell r="B849" t="str">
            <v>carbon dioxide</v>
          </cell>
          <cell r="C849" t="str">
            <v>to environment (emission)</v>
          </cell>
          <cell r="E849" t="str">
            <v>Mass</v>
          </cell>
          <cell r="F849">
            <v>1.9E-2</v>
          </cell>
          <cell r="G849" t="str">
            <v>Mt</v>
          </cell>
          <cell r="H849" t="str">
            <v>PJ</v>
          </cell>
          <cell r="I849" t="str">
            <v>none</v>
          </cell>
          <cell r="J849" t="str">
            <v>[MIDDEN] TC0028</v>
          </cell>
          <cell r="K849" t="str">
            <v>Emission factors + carbon content of materials (example calculation in reference)</v>
          </cell>
          <cell r="L849">
            <v>48</v>
          </cell>
        </row>
        <row r="850">
          <cell r="A850" t="str">
            <v/>
          </cell>
          <cell r="E850" t="str">
            <v/>
          </cell>
          <cell r="K850" t="str">
            <v/>
          </cell>
          <cell r="L850" t="str">
            <v/>
          </cell>
        </row>
        <row r="851">
          <cell r="A851" t="str">
            <v>[MIDDEN] Other steel-related activities</v>
          </cell>
          <cell r="B851" t="str">
            <v>steel products</v>
          </cell>
          <cell r="C851" t="str">
            <v>reference_product</v>
          </cell>
          <cell r="D851">
            <v>7208</v>
          </cell>
          <cell r="E851" t="str">
            <v>Mass</v>
          </cell>
          <cell r="F851">
            <v>1</v>
          </cell>
          <cell r="G851" t="str">
            <v>Mt</v>
          </cell>
          <cell r="H851">
            <v>1</v>
          </cell>
          <cell r="I851" t="str">
            <v>none</v>
          </cell>
          <cell r="J851" t="str">
            <v>[MIDDEN] TC0029</v>
          </cell>
          <cell r="K851" t="str">
            <v/>
          </cell>
          <cell r="L851" t="str">
            <v/>
          </cell>
        </row>
        <row r="852">
          <cell r="A852" t="str">
            <v>[MIDDEN] Other steel-related activities</v>
          </cell>
          <cell r="B852" t="str">
            <v>natural gas</v>
          </cell>
          <cell r="C852" t="str">
            <v>from technosphere (energy_carrier)</v>
          </cell>
          <cell r="E852" t="str">
            <v>Energy</v>
          </cell>
          <cell r="F852">
            <v>1.1399999999999999</v>
          </cell>
          <cell r="G852" t="str">
            <v>PJ</v>
          </cell>
          <cell r="H852" t="str">
            <v>Mt</v>
          </cell>
          <cell r="I852" t="str">
            <v>none</v>
          </cell>
          <cell r="J852" t="str">
            <v>[MIDDEN] TC0029</v>
          </cell>
          <cell r="K852" t="str">
            <v>Calculated to meet total NG consumption</v>
          </cell>
          <cell r="L852">
            <v>50</v>
          </cell>
        </row>
        <row r="853">
          <cell r="A853" t="str">
            <v>[MIDDEN] Other steel-related activities</v>
          </cell>
          <cell r="B853" t="str">
            <v>coke oven gas</v>
          </cell>
          <cell r="C853" t="str">
            <v>to technosphere (by-product)</v>
          </cell>
          <cell r="E853" t="str">
            <v>Energy</v>
          </cell>
          <cell r="F853">
            <v>0.88</v>
          </cell>
          <cell r="G853" t="str">
            <v>PJ</v>
          </cell>
          <cell r="H853" t="str">
            <v>Mt</v>
          </cell>
          <cell r="I853" t="str">
            <v>none</v>
          </cell>
          <cell r="J853" t="str">
            <v>[MIDDEN] TC0029</v>
          </cell>
          <cell r="K853" t="str">
            <v/>
          </cell>
          <cell r="L853" t="str">
            <v/>
          </cell>
        </row>
        <row r="854">
          <cell r="A854" t="str">
            <v>[MIDDEN] Other steel-related activities</v>
          </cell>
          <cell r="B854" t="str">
            <v>electricity</v>
          </cell>
          <cell r="C854" t="str">
            <v>from technosphere (energy_carrier)</v>
          </cell>
          <cell r="E854" t="str">
            <v>Energy</v>
          </cell>
          <cell r="F854">
            <v>0.56299999999999994</v>
          </cell>
          <cell r="G854" t="str">
            <v>PJ</v>
          </cell>
          <cell r="H854" t="str">
            <v>Mt</v>
          </cell>
          <cell r="I854" t="str">
            <v>none</v>
          </cell>
          <cell r="J854" t="str">
            <v>[MIDDEN] TC0029</v>
          </cell>
          <cell r="K854" t="str">
            <v/>
          </cell>
          <cell r="L854" t="str">
            <v/>
          </cell>
        </row>
        <row r="855">
          <cell r="A855" t="str">
            <v>[MIDDEN] Other steel-related activities</v>
          </cell>
          <cell r="B855" t="str">
            <v>carbon dioxide</v>
          </cell>
          <cell r="C855" t="str">
            <v>to environment (emission)</v>
          </cell>
          <cell r="E855" t="str">
            <v>Mass</v>
          </cell>
          <cell r="F855">
            <v>0.10199999999999999</v>
          </cell>
          <cell r="G855" t="str">
            <v>Mt</v>
          </cell>
          <cell r="H855" t="str">
            <v>Mt</v>
          </cell>
          <cell r="I855" t="str">
            <v>none</v>
          </cell>
          <cell r="J855" t="str">
            <v>[MIDDEN] TC0029</v>
          </cell>
          <cell r="K855" t="str">
            <v/>
          </cell>
          <cell r="L855" t="str">
            <v/>
          </cell>
        </row>
        <row r="856">
          <cell r="A856" t="str">
            <v/>
          </cell>
          <cell r="E856" t="str">
            <v/>
          </cell>
          <cell r="K856" t="str">
            <v/>
          </cell>
          <cell r="L856" t="str">
            <v/>
          </cell>
        </row>
        <row r="857">
          <cell r="A857" t="str">
            <v>[MIDDEN] TGR-blast furnace + CCS</v>
          </cell>
          <cell r="B857" t="str">
            <v>pig iron</v>
          </cell>
          <cell r="C857" t="str">
            <v>reference_product</v>
          </cell>
          <cell r="D857">
            <v>7201</v>
          </cell>
          <cell r="E857" t="str">
            <v>Mass</v>
          </cell>
          <cell r="F857">
            <v>1</v>
          </cell>
          <cell r="G857" t="str">
            <v>Mt</v>
          </cell>
          <cell r="H857">
            <v>1</v>
          </cell>
          <cell r="I857" t="str">
            <v>none</v>
          </cell>
          <cell r="J857" t="str">
            <v>[MIDDEN] TC0030</v>
          </cell>
          <cell r="K857" t="str">
            <v>Verified by TATA steel</v>
          </cell>
          <cell r="L857">
            <v>48</v>
          </cell>
        </row>
        <row r="858">
          <cell r="A858" t="str">
            <v>[MIDDEN] TGR-blast furnace + CCS</v>
          </cell>
          <cell r="B858" t="str">
            <v>slag</v>
          </cell>
          <cell r="C858" t="str">
            <v>to technosphere (waste)</v>
          </cell>
          <cell r="E858" t="str">
            <v>Mass</v>
          </cell>
          <cell r="F858">
            <v>0.26</v>
          </cell>
          <cell r="G858" t="str">
            <v>Mt</v>
          </cell>
          <cell r="H858" t="str">
            <v>Mt</v>
          </cell>
          <cell r="I858" t="str">
            <v>none</v>
          </cell>
          <cell r="J858" t="str">
            <v>[MIDDEN] TC0030</v>
          </cell>
          <cell r="K858" t="str">
            <v/>
          </cell>
          <cell r="L858">
            <v>53</v>
          </cell>
        </row>
        <row r="859">
          <cell r="A859" t="str">
            <v>[MIDDEN] TGR-blast furnace + CCS</v>
          </cell>
          <cell r="B859" t="str">
            <v>tail gas</v>
          </cell>
          <cell r="C859" t="str">
            <v>to technosphere (by-product)</v>
          </cell>
          <cell r="E859" t="str">
            <v>Energy</v>
          </cell>
          <cell r="F859">
            <v>0.7</v>
          </cell>
          <cell r="G859" t="str">
            <v>PJ</v>
          </cell>
          <cell r="H859" t="str">
            <v>Mt</v>
          </cell>
          <cell r="I859" t="str">
            <v>none</v>
          </cell>
          <cell r="J859" t="str">
            <v>[MIDDEN] TC0030</v>
          </cell>
          <cell r="K859" t="str">
            <v xml:space="preserve">output of vpsa. corresponds to 465 Nm3/t pig iron </v>
          </cell>
          <cell r="L859">
            <v>53</v>
          </cell>
        </row>
        <row r="860">
          <cell r="A860" t="str">
            <v>[MIDDEN] TGR-blast furnace + CCS</v>
          </cell>
          <cell r="B860" t="str">
            <v>carbon dioxide, compressed</v>
          </cell>
          <cell r="C860" t="str">
            <v>to technosphere (by-product)</v>
          </cell>
          <cell r="E860" t="str">
            <v>Mass</v>
          </cell>
          <cell r="F860">
            <v>0.78600000000000003</v>
          </cell>
          <cell r="G860" t="str">
            <v>Mt</v>
          </cell>
          <cell r="H860" t="str">
            <v>Mt</v>
          </cell>
          <cell r="I860" t="str">
            <v>none</v>
          </cell>
          <cell r="J860" t="str">
            <v>[MIDDEN] TC0030</v>
          </cell>
          <cell r="K860" t="str">
            <v/>
          </cell>
          <cell r="L860" t="str">
            <v/>
          </cell>
        </row>
        <row r="861">
          <cell r="A861" t="str">
            <v>[MIDDEN] TGR-blast furnace + CCS</v>
          </cell>
          <cell r="B861" t="str">
            <v>coal</v>
          </cell>
          <cell r="C861" t="str">
            <v>from technosphere (energy_carrier)</v>
          </cell>
          <cell r="E861" t="str">
            <v>Energy</v>
          </cell>
          <cell r="F861">
            <v>5.15</v>
          </cell>
          <cell r="G861" t="str">
            <v>PJ</v>
          </cell>
          <cell r="H861" t="str">
            <v>Mt</v>
          </cell>
          <cell r="I861" t="str">
            <v>none</v>
          </cell>
          <cell r="J861" t="str">
            <v>[MIDDEN] TC0030</v>
          </cell>
          <cell r="K861" t="str">
            <v/>
          </cell>
          <cell r="L861">
            <v>48</v>
          </cell>
        </row>
        <row r="862">
          <cell r="A862" t="str">
            <v>[MIDDEN] TGR-blast furnace + CCS</v>
          </cell>
          <cell r="B862" t="str">
            <v>electricity</v>
          </cell>
          <cell r="C862" t="str">
            <v>from technosphere (energy_carrier)</v>
          </cell>
          <cell r="E862" t="str">
            <v>Energy</v>
          </cell>
          <cell r="F862">
            <v>0.30099999999999999</v>
          </cell>
          <cell r="G862" t="str">
            <v>PJ</v>
          </cell>
          <cell r="H862" t="str">
            <v>Mt</v>
          </cell>
          <cell r="I862" t="str">
            <v>none</v>
          </cell>
          <cell r="J862" t="str">
            <v>[MIDDEN] TC0030</v>
          </cell>
          <cell r="K862" t="str">
            <v/>
          </cell>
          <cell r="L862">
            <v>53</v>
          </cell>
        </row>
        <row r="863">
          <cell r="A863" t="str">
            <v>[MIDDEN] TGR-blast furnace + CCS</v>
          </cell>
          <cell r="B863" t="str">
            <v>oxygen</v>
          </cell>
          <cell r="C863" t="str">
            <v>from technosphere (material)</v>
          </cell>
          <cell r="E863" t="str">
            <v>Mass</v>
          </cell>
          <cell r="F863">
            <v>266</v>
          </cell>
          <cell r="G863" t="str">
            <v>kt</v>
          </cell>
          <cell r="H863" t="str">
            <v>Mt</v>
          </cell>
          <cell r="I863" t="str">
            <v>none</v>
          </cell>
          <cell r="J863" t="str">
            <v>[MIDDEN] TC0030</v>
          </cell>
          <cell r="K863" t="str">
            <v>1.326 kg/Nm3 (Airproducts.com, 2019). 2.01e8 Nm3</v>
          </cell>
          <cell r="L863">
            <v>53</v>
          </cell>
        </row>
        <row r="864">
          <cell r="A864" t="str">
            <v>[MIDDEN] TGR-blast furnace + CCS</v>
          </cell>
          <cell r="B864" t="str">
            <v>sinter</v>
          </cell>
          <cell r="C864" t="str">
            <v>from technosphere (material)</v>
          </cell>
          <cell r="E864" t="str">
            <v>Mass</v>
          </cell>
          <cell r="F864">
            <v>0.79200000000000004</v>
          </cell>
          <cell r="G864" t="str">
            <v>Mt</v>
          </cell>
          <cell r="H864" t="str">
            <v>Mt</v>
          </cell>
          <cell r="I864" t="str">
            <v>none</v>
          </cell>
          <cell r="J864" t="str">
            <v>[MIDDEN] TC0030</v>
          </cell>
          <cell r="K864" t="str">
            <v/>
          </cell>
          <cell r="L864">
            <v>53</v>
          </cell>
        </row>
        <row r="865">
          <cell r="A865" t="str">
            <v>[MIDDEN] TGR-blast furnace + CCS</v>
          </cell>
          <cell r="B865" t="str">
            <v>iron ore pellets</v>
          </cell>
          <cell r="C865" t="str">
            <v>from technosphere (material)</v>
          </cell>
          <cell r="E865" t="str">
            <v>Mass</v>
          </cell>
          <cell r="F865">
            <v>0.79200000000000004</v>
          </cell>
          <cell r="G865" t="str">
            <v>Mt</v>
          </cell>
          <cell r="H865" t="str">
            <v>Mt</v>
          </cell>
          <cell r="I865" t="str">
            <v>none</v>
          </cell>
          <cell r="J865" t="str">
            <v>[MIDDEN] TC0030</v>
          </cell>
          <cell r="K865" t="str">
            <v/>
          </cell>
          <cell r="L865">
            <v>53</v>
          </cell>
        </row>
        <row r="866">
          <cell r="A866" t="str">
            <v>[MIDDEN] TGR-blast furnace + CCS</v>
          </cell>
          <cell r="B866" t="str">
            <v>coke oven gas</v>
          </cell>
          <cell r="C866" t="str">
            <v>to technosphere (by-product)</v>
          </cell>
          <cell r="E866" t="str">
            <v>Energy</v>
          </cell>
          <cell r="F866">
            <v>0.28999999999999998</v>
          </cell>
          <cell r="G866" t="str">
            <v>PJ</v>
          </cell>
          <cell r="H866" t="str">
            <v>Mt</v>
          </cell>
          <cell r="I866" t="str">
            <v>none</v>
          </cell>
          <cell r="J866" t="str">
            <v>[MIDDEN] TC0030</v>
          </cell>
          <cell r="K866" t="str">
            <v/>
          </cell>
          <cell r="L866">
            <v>53</v>
          </cell>
        </row>
        <row r="867">
          <cell r="A867" t="str">
            <v>[MIDDEN] TGR-blast furnace + CCS</v>
          </cell>
          <cell r="B867" t="str">
            <v>coke</v>
          </cell>
          <cell r="C867" t="str">
            <v>from technosphere (other)</v>
          </cell>
          <cell r="E867" t="str">
            <v>Mass</v>
          </cell>
          <cell r="F867">
            <v>0.187</v>
          </cell>
          <cell r="G867" t="str">
            <v>Mt</v>
          </cell>
          <cell r="H867" t="str">
            <v>Mt</v>
          </cell>
          <cell r="I867" t="str">
            <v>none</v>
          </cell>
          <cell r="J867" t="str">
            <v>[MIDDEN] TC0030</v>
          </cell>
          <cell r="K867" t="str">
            <v/>
          </cell>
          <cell r="L867">
            <v>53</v>
          </cell>
        </row>
        <row r="868">
          <cell r="A868" t="str">
            <v>[MIDDEN] TGR-blast furnace + CCS</v>
          </cell>
          <cell r="B868" t="str">
            <v>carbon dioxide</v>
          </cell>
          <cell r="C868" t="str">
            <v>to environment (emission)</v>
          </cell>
          <cell r="E868" t="str">
            <v>Mass</v>
          </cell>
          <cell r="F868">
            <v>4.8899999999999999E-2</v>
          </cell>
          <cell r="G868" t="str">
            <v>Mt</v>
          </cell>
          <cell r="H868" t="str">
            <v>Mt</v>
          </cell>
          <cell r="I868" t="str">
            <v>none</v>
          </cell>
          <cell r="J868" t="str">
            <v>[MIDDEN] TC0030</v>
          </cell>
          <cell r="K868" t="str">
            <v>Emission factors + carbon content of materials (example calculation in reference)</v>
          </cell>
          <cell r="L868">
            <v>48</v>
          </cell>
        </row>
        <row r="869">
          <cell r="A869" t="str">
            <v/>
          </cell>
          <cell r="E869" t="str">
            <v/>
          </cell>
          <cell r="K869" t="str">
            <v/>
          </cell>
          <cell r="L869" t="str">
            <v/>
          </cell>
        </row>
        <row r="870">
          <cell r="A870" t="str">
            <v>[MIDDEN] Coke plant for TGR+CCS</v>
          </cell>
          <cell r="B870" t="str">
            <v>coke</v>
          </cell>
          <cell r="C870" t="str">
            <v>reference_product</v>
          </cell>
          <cell r="D870">
            <v>2704</v>
          </cell>
          <cell r="E870" t="str">
            <v>Mass</v>
          </cell>
          <cell r="F870">
            <v>1</v>
          </cell>
          <cell r="G870" t="str">
            <v>Mt</v>
          </cell>
          <cell r="H870">
            <v>1</v>
          </cell>
          <cell r="I870" t="str">
            <v>none</v>
          </cell>
          <cell r="J870" t="str">
            <v>[MIDDEN] TC0031</v>
          </cell>
          <cell r="K870" t="str">
            <v>Coke = 28.5 MJ/kg. Verified by TATA Steel</v>
          </cell>
          <cell r="L870">
            <v>48</v>
          </cell>
        </row>
        <row r="871">
          <cell r="A871" t="str">
            <v>[MIDDEN] Coke plant for TGR+CCS</v>
          </cell>
          <cell r="B871" t="str">
            <v>coke oven gas</v>
          </cell>
          <cell r="C871" t="str">
            <v>to technosphere (by-product)</v>
          </cell>
          <cell r="E871" t="str">
            <v>Energy</v>
          </cell>
          <cell r="F871">
            <v>7.23</v>
          </cell>
          <cell r="G871" t="str">
            <v>PJ</v>
          </cell>
          <cell r="H871" t="str">
            <v>Mt</v>
          </cell>
          <cell r="I871" t="str">
            <v>none</v>
          </cell>
          <cell r="J871" t="str">
            <v>[MIDDEN] TC0031</v>
          </cell>
          <cell r="K871" t="str">
            <v/>
          </cell>
          <cell r="L871">
            <v>50</v>
          </cell>
        </row>
        <row r="872">
          <cell r="A872" t="str">
            <v>[MIDDEN] Coke plant for TGR+CCS</v>
          </cell>
          <cell r="B872" t="str">
            <v>tar</v>
          </cell>
          <cell r="C872" t="str">
            <v>to technosphere (by-product)</v>
          </cell>
          <cell r="E872" t="str">
            <v>Mass</v>
          </cell>
          <cell r="F872">
            <v>35.9</v>
          </cell>
          <cell r="G872" t="str">
            <v>kt</v>
          </cell>
          <cell r="H872" t="str">
            <v>Mt</v>
          </cell>
          <cell r="I872" t="str">
            <v>none</v>
          </cell>
          <cell r="J872" t="str">
            <v>[MIDDEN] TC0031</v>
          </cell>
          <cell r="K872" t="str">
            <v xml:space="preserve">Verified by Tata Steel </v>
          </cell>
        </row>
        <row r="873">
          <cell r="A873" t="str">
            <v>[MIDDEN] Coke plant for TGR+CCS</v>
          </cell>
          <cell r="B873" t="str">
            <v>BTX</v>
          </cell>
          <cell r="C873" t="str">
            <v>to technosphere (by-product)</v>
          </cell>
          <cell r="E873" t="str">
            <v>Mass</v>
          </cell>
          <cell r="F873">
            <v>11.8</v>
          </cell>
          <cell r="G873" t="str">
            <v>kt</v>
          </cell>
          <cell r="H873" t="str">
            <v>Mt</v>
          </cell>
          <cell r="I873" t="str">
            <v>none</v>
          </cell>
          <cell r="J873" t="str">
            <v>[MIDDEN] TC0031</v>
          </cell>
          <cell r="K873" t="str">
            <v>Verified by TATA Steel</v>
          </cell>
          <cell r="L873">
            <v>48</v>
          </cell>
        </row>
        <row r="874">
          <cell r="A874" t="str">
            <v>[MIDDEN] Coke plant for TGR+CCS</v>
          </cell>
          <cell r="B874" t="str">
            <v>steam, medium pressure, 10-19 bar</v>
          </cell>
          <cell r="C874" t="str">
            <v>from technosphere (energy_carrier)</v>
          </cell>
          <cell r="E874" t="str">
            <v>Energy</v>
          </cell>
          <cell r="F874">
            <v>1.5</v>
          </cell>
          <cell r="G874" t="str">
            <v>PJ</v>
          </cell>
          <cell r="H874" t="str">
            <v>Mt</v>
          </cell>
          <cell r="I874" t="str">
            <v>none</v>
          </cell>
          <cell r="J874" t="str">
            <v>[MIDDEN] TC0031</v>
          </cell>
          <cell r="K874" t="str">
            <v>In cases of coke dry quenching (with heat recovery in the form of steam).</v>
          </cell>
          <cell r="L874">
            <v>49</v>
          </cell>
        </row>
        <row r="875">
          <cell r="A875" t="str">
            <v>[MIDDEN] Coke plant for TGR+CCS</v>
          </cell>
          <cell r="B875" t="str">
            <v>coal</v>
          </cell>
          <cell r="C875" t="str">
            <v>from technosphere (energy_carrier)</v>
          </cell>
          <cell r="E875" t="str">
            <v>Energy</v>
          </cell>
          <cell r="F875">
            <v>36.700000000000003</v>
          </cell>
          <cell r="G875" t="str">
            <v>PJ</v>
          </cell>
          <cell r="H875" t="str">
            <v>Mt</v>
          </cell>
          <cell r="I875" t="str">
            <v>none</v>
          </cell>
          <cell r="J875" t="str">
            <v>[MIDDEN] TC0031</v>
          </cell>
          <cell r="K875" t="str">
            <v>Verified by TATA steel</v>
          </cell>
          <cell r="L875">
            <v>48</v>
          </cell>
        </row>
        <row r="876">
          <cell r="A876" t="str">
            <v>[MIDDEN] Coke plant for TGR+CCS</v>
          </cell>
          <cell r="B876" t="str">
            <v>coke oven gas</v>
          </cell>
          <cell r="C876" t="str">
            <v>to technosphere (by-product)</v>
          </cell>
          <cell r="E876" t="str">
            <v>Energy</v>
          </cell>
          <cell r="F876">
            <v>2.68</v>
          </cell>
          <cell r="G876" t="str">
            <v>PJ</v>
          </cell>
          <cell r="H876" t="str">
            <v>Mt</v>
          </cell>
          <cell r="I876" t="str">
            <v>none</v>
          </cell>
          <cell r="J876" t="str">
            <v>[MIDDEN] TC0031</v>
          </cell>
          <cell r="K876" t="str">
            <v>coke oven gas (COG)</v>
          </cell>
          <cell r="L876">
            <v>50</v>
          </cell>
        </row>
        <row r="877">
          <cell r="A877" t="str">
            <v>[MIDDEN] Coke plant for TGR+CCS</v>
          </cell>
          <cell r="B877" t="str">
            <v>natural gas</v>
          </cell>
          <cell r="C877" t="str">
            <v>from technosphere (energy_carrier)</v>
          </cell>
          <cell r="E877" t="str">
            <v>Energy</v>
          </cell>
          <cell r="F877">
            <v>0.81799999999999995</v>
          </cell>
          <cell r="G877" t="str">
            <v>PJ</v>
          </cell>
          <cell r="H877" t="str">
            <v>Mt</v>
          </cell>
          <cell r="I877" t="str">
            <v>none</v>
          </cell>
          <cell r="J877" t="str">
            <v>[MIDDEN] TC0031</v>
          </cell>
          <cell r="K877" t="str">
            <v>assumed substitution of BFG for NG</v>
          </cell>
          <cell r="L877" t="str">
            <v/>
          </cell>
        </row>
        <row r="878">
          <cell r="A878" t="str">
            <v>[MIDDEN] Coke plant for TGR+CCS</v>
          </cell>
          <cell r="B878" t="str">
            <v>electricity</v>
          </cell>
          <cell r="C878" t="str">
            <v>from technosphere (energy_carrier)</v>
          </cell>
          <cell r="E878" t="str">
            <v>Energy</v>
          </cell>
          <cell r="F878">
            <v>0.13600000000000001</v>
          </cell>
          <cell r="G878" t="str">
            <v>PJ</v>
          </cell>
          <cell r="H878" t="str">
            <v>Mt</v>
          </cell>
          <cell r="I878" t="str">
            <v>none</v>
          </cell>
          <cell r="J878" t="str">
            <v>[MIDDEN] TC0031</v>
          </cell>
          <cell r="K878" t="str">
            <v/>
          </cell>
          <cell r="L878">
            <v>50</v>
          </cell>
        </row>
        <row r="879">
          <cell r="A879" t="str">
            <v>[MIDDEN] Coke plant for TGR+CCS</v>
          </cell>
          <cell r="B879" t="str">
            <v>steam, medium pressure, 10-19 bar</v>
          </cell>
          <cell r="C879" t="str">
            <v>from technosphere (energy_carrier)</v>
          </cell>
          <cell r="E879" t="str">
            <v>Energy</v>
          </cell>
          <cell r="F879">
            <v>0.43</v>
          </cell>
          <cell r="G879" t="str">
            <v>PJ</v>
          </cell>
          <cell r="H879" t="str">
            <v>Mt</v>
          </cell>
          <cell r="I879" t="str">
            <v>none</v>
          </cell>
          <cell r="J879" t="str">
            <v>[MIDDEN] TC0031</v>
          </cell>
          <cell r="K879" t="str">
            <v/>
          </cell>
          <cell r="L879">
            <v>49</v>
          </cell>
        </row>
        <row r="880">
          <cell r="A880" t="str">
            <v>[MIDDEN] Coke plant for TGR+CCS</v>
          </cell>
          <cell r="B880" t="str">
            <v>carbon dioxide</v>
          </cell>
          <cell r="C880" t="str">
            <v>to environment (emission)</v>
          </cell>
          <cell r="E880" t="str">
            <v>Mass</v>
          </cell>
          <cell r="F880">
            <v>0.63200000000000001</v>
          </cell>
          <cell r="G880" t="str">
            <v>Mt</v>
          </cell>
          <cell r="H880" t="str">
            <v>Mt</v>
          </cell>
          <cell r="I880" t="str">
            <v>none</v>
          </cell>
          <cell r="J880" t="str">
            <v>[MIDDEN] TC0031</v>
          </cell>
          <cell r="K880" t="str">
            <v>Emission factors + carbon content of materials (example calculation in reference)</v>
          </cell>
          <cell r="L880">
            <v>48</v>
          </cell>
        </row>
        <row r="881">
          <cell r="A881" t="str">
            <v/>
          </cell>
          <cell r="E881" t="str">
            <v/>
          </cell>
          <cell r="K881" t="str">
            <v/>
          </cell>
          <cell r="L881" t="str">
            <v/>
          </cell>
        </row>
        <row r="882">
          <cell r="A882" t="str">
            <v>[MIDDEN] Other steel-related activities for TGR+CCS</v>
          </cell>
          <cell r="B882" t="str">
            <v>steel products</v>
          </cell>
          <cell r="C882" t="str">
            <v>reference_product</v>
          </cell>
          <cell r="D882">
            <v>7208</v>
          </cell>
          <cell r="E882" t="str">
            <v>Mass</v>
          </cell>
          <cell r="F882">
            <v>1</v>
          </cell>
          <cell r="G882" t="str">
            <v>Mt</v>
          </cell>
          <cell r="H882">
            <v>1</v>
          </cell>
          <cell r="I882" t="str">
            <v>none</v>
          </cell>
          <cell r="J882" t="str">
            <v>[MIDDEN] TC0032</v>
          </cell>
          <cell r="K882" t="str">
            <v/>
          </cell>
          <cell r="L882" t="str">
            <v/>
          </cell>
        </row>
        <row r="883">
          <cell r="A883" t="str">
            <v>[MIDDEN] Other steel-related activities for TGR+CCS</v>
          </cell>
          <cell r="B883" t="str">
            <v>natural gas</v>
          </cell>
          <cell r="C883" t="str">
            <v>from technosphere (energy_carrier)</v>
          </cell>
          <cell r="E883" t="str">
            <v>Energy</v>
          </cell>
          <cell r="F883">
            <v>1.52</v>
          </cell>
          <cell r="G883" t="str">
            <v>PJ</v>
          </cell>
          <cell r="H883" t="str">
            <v>Mt</v>
          </cell>
          <cell r="I883" t="str">
            <v>none</v>
          </cell>
          <cell r="J883" t="str">
            <v>[MIDDEN] TC0032</v>
          </cell>
          <cell r="K883" t="str">
            <v>Partial replacement COG by natural gas</v>
          </cell>
          <cell r="L883">
            <v>48</v>
          </cell>
        </row>
        <row r="884">
          <cell r="A884" t="str">
            <v>[MIDDEN] Other steel-related activities for TGR+CCS</v>
          </cell>
          <cell r="B884" t="str">
            <v>coke oven gas</v>
          </cell>
          <cell r="C884" t="str">
            <v>to technosphere (by-product)</v>
          </cell>
          <cell r="E884" t="str">
            <v>Energy</v>
          </cell>
          <cell r="F884">
            <v>0.498</v>
          </cell>
          <cell r="G884" t="str">
            <v>PJ</v>
          </cell>
          <cell r="H884" t="str">
            <v>Mt</v>
          </cell>
          <cell r="I884" t="str">
            <v>none</v>
          </cell>
          <cell r="J884" t="str">
            <v>[MIDDEN] TC0032</v>
          </cell>
          <cell r="K884" t="str">
            <v>Verified by TATA steel</v>
          </cell>
          <cell r="L884">
            <v>48</v>
          </cell>
        </row>
        <row r="885">
          <cell r="A885" t="str">
            <v>[MIDDEN] Other steel-related activities for TGR+CCS</v>
          </cell>
          <cell r="B885" t="str">
            <v>electricity</v>
          </cell>
          <cell r="C885" t="str">
            <v>from technosphere (energy_carrier)</v>
          </cell>
          <cell r="E885" t="str">
            <v>Energy</v>
          </cell>
          <cell r="F885">
            <v>0.56299999999999994</v>
          </cell>
          <cell r="G885" t="str">
            <v>PJ</v>
          </cell>
          <cell r="H885" t="str">
            <v>Mt</v>
          </cell>
          <cell r="I885" t="str">
            <v>none</v>
          </cell>
          <cell r="J885" t="str">
            <v>[MIDDEN] TC0032</v>
          </cell>
          <cell r="K885" t="str">
            <v/>
          </cell>
          <cell r="L885">
            <v>48</v>
          </cell>
        </row>
        <row r="886">
          <cell r="A886" t="str">
            <v>[MIDDEN] Other steel-related activities for TGR+CCS</v>
          </cell>
          <cell r="B886" t="str">
            <v>carbon dioxide</v>
          </cell>
          <cell r="C886" t="str">
            <v>to environment (emission)</v>
          </cell>
          <cell r="E886" t="str">
            <v>Mass</v>
          </cell>
          <cell r="F886">
            <v>0.10199999999999999</v>
          </cell>
          <cell r="G886" t="str">
            <v>Mt</v>
          </cell>
          <cell r="H886" t="str">
            <v>Mt</v>
          </cell>
          <cell r="I886" t="str">
            <v>none</v>
          </cell>
          <cell r="J886" t="str">
            <v>[MIDDEN] TC0032</v>
          </cell>
          <cell r="K886" t="str">
            <v/>
          </cell>
          <cell r="L886">
            <v>48</v>
          </cell>
        </row>
        <row r="887">
          <cell r="A887" t="str">
            <v/>
          </cell>
          <cell r="E887" t="str">
            <v/>
          </cell>
          <cell r="K887" t="str">
            <v/>
          </cell>
          <cell r="L887" t="str">
            <v/>
          </cell>
        </row>
        <row r="888">
          <cell r="A888" t="str">
            <v>[MIDDEN] Other steel-related activities on natural gas</v>
          </cell>
          <cell r="B888" t="str">
            <v>steel products</v>
          </cell>
          <cell r="C888" t="str">
            <v>reference_product</v>
          </cell>
          <cell r="D888">
            <v>7208</v>
          </cell>
          <cell r="E888" t="str">
            <v>Mass</v>
          </cell>
          <cell r="F888">
            <v>1</v>
          </cell>
          <cell r="G888" t="str">
            <v>Mt</v>
          </cell>
          <cell r="H888">
            <v>1</v>
          </cell>
          <cell r="I888" t="str">
            <v>none</v>
          </cell>
          <cell r="J888" t="str">
            <v>[MIDDEN] TC0033</v>
          </cell>
          <cell r="K888" t="str">
            <v/>
          </cell>
          <cell r="L888" t="str">
            <v/>
          </cell>
        </row>
        <row r="889">
          <cell r="A889" t="str">
            <v>[MIDDEN] Other steel-related activities on natural gas</v>
          </cell>
          <cell r="B889" t="str">
            <v>natural gas</v>
          </cell>
          <cell r="C889" t="str">
            <v>from technosphere (energy_carrier)</v>
          </cell>
          <cell r="E889" t="str">
            <v>Energy</v>
          </cell>
          <cell r="F889">
            <v>2.0099999999999998</v>
          </cell>
          <cell r="G889" t="str">
            <v>PJ</v>
          </cell>
          <cell r="H889" t="str">
            <v>Mt</v>
          </cell>
          <cell r="I889" t="str">
            <v>none</v>
          </cell>
          <cell r="J889" t="str">
            <v>[MIDDEN] TC0033</v>
          </cell>
          <cell r="K889" t="str">
            <v>Full replacement COG by natural gas</v>
          </cell>
          <cell r="L889">
            <v>48</v>
          </cell>
        </row>
        <row r="890">
          <cell r="A890" t="str">
            <v>[MIDDEN] Other steel-related activities on natural gas</v>
          </cell>
          <cell r="B890" t="str">
            <v>electricity</v>
          </cell>
          <cell r="C890" t="str">
            <v>from technosphere (energy_carrier)</v>
          </cell>
          <cell r="E890" t="str">
            <v>Energy</v>
          </cell>
          <cell r="F890">
            <v>0.56299999999999994</v>
          </cell>
          <cell r="G890" t="str">
            <v>PJ</v>
          </cell>
          <cell r="H890" t="str">
            <v>Mt</v>
          </cell>
          <cell r="I890" t="str">
            <v>none</v>
          </cell>
          <cell r="J890" t="str">
            <v>[MIDDEN] TC0033</v>
          </cell>
          <cell r="K890" t="str">
            <v>Verified by TATA steel</v>
          </cell>
          <cell r="L890">
            <v>48</v>
          </cell>
        </row>
        <row r="891">
          <cell r="A891" t="str">
            <v>[MIDDEN] Other steel-related activities on natural gas</v>
          </cell>
          <cell r="B891" t="str">
            <v>carbon dioxide</v>
          </cell>
          <cell r="C891" t="str">
            <v>to environment (emission)</v>
          </cell>
          <cell r="E891" t="str">
            <v>Mass</v>
          </cell>
          <cell r="F891">
            <v>0.114</v>
          </cell>
          <cell r="G891" t="str">
            <v>Mt</v>
          </cell>
          <cell r="H891" t="str">
            <v>Mt</v>
          </cell>
          <cell r="I891" t="str">
            <v>none</v>
          </cell>
          <cell r="J891" t="str">
            <v>[MIDDEN] TC0033</v>
          </cell>
          <cell r="K891" t="str">
            <v/>
          </cell>
          <cell r="L891">
            <v>48</v>
          </cell>
        </row>
        <row r="892">
          <cell r="A892" t="str">
            <v/>
          </cell>
          <cell r="E892" t="str">
            <v/>
          </cell>
          <cell r="K892" t="str">
            <v/>
          </cell>
          <cell r="L892" t="str">
            <v/>
          </cell>
        </row>
        <row r="893">
          <cell r="A893" t="str">
            <v>[MIDDEN] CHP for BOFG</v>
          </cell>
          <cell r="B893" t="str">
            <v>electricity</v>
          </cell>
          <cell r="C893" t="str">
            <v>reference_product</v>
          </cell>
          <cell r="D893" t="str">
            <v>?</v>
          </cell>
          <cell r="E893" t="str">
            <v>Energy</v>
          </cell>
          <cell r="F893">
            <v>3.15E-2</v>
          </cell>
          <cell r="G893" t="str">
            <v>PJ</v>
          </cell>
          <cell r="H893">
            <v>1</v>
          </cell>
          <cell r="I893" t="str">
            <v>none</v>
          </cell>
          <cell r="J893" t="str">
            <v>[MIDDEN] TC0034</v>
          </cell>
          <cell r="K893" t="str">
            <v>Fuel input x 40% efficiency (assumed)</v>
          </cell>
          <cell r="L893" t="str">
            <v/>
          </cell>
        </row>
        <row r="894">
          <cell r="A894" t="str">
            <v>[MIDDEN] CHP for BOFG</v>
          </cell>
          <cell r="B894" t="str">
            <v>steam, medium pressure, 10-19 bar</v>
          </cell>
          <cell r="C894" t="str">
            <v>from technosphere (energy_carrier)</v>
          </cell>
          <cell r="E894" t="str">
            <v>Energy</v>
          </cell>
          <cell r="F894">
            <v>2.3E-2</v>
          </cell>
          <cell r="G894" t="str">
            <v>PJ</v>
          </cell>
          <cell r="H894" t="str">
            <v>PJ</v>
          </cell>
          <cell r="I894" t="str">
            <v>none</v>
          </cell>
          <cell r="J894" t="str">
            <v>[MIDDEN] TC0034</v>
          </cell>
          <cell r="K894" t="str">
            <v>Power-to-heat ratio = 1.37 (assumed from IJmond)</v>
          </cell>
          <cell r="L894" t="str">
            <v/>
          </cell>
        </row>
        <row r="895">
          <cell r="A895" t="str">
            <v>[MIDDEN] CHP for BOFG</v>
          </cell>
          <cell r="B895" t="str">
            <v>basic oxygen furnace gas</v>
          </cell>
          <cell r="C895" t="str">
            <v>to technosphere (by-product)</v>
          </cell>
          <cell r="E895" t="str">
            <v>Energy</v>
          </cell>
          <cell r="F895">
            <v>7.8899999999999998E-2</v>
          </cell>
          <cell r="G895" t="str">
            <v>PJ</v>
          </cell>
          <cell r="H895" t="str">
            <v>PJ</v>
          </cell>
          <cell r="I895" t="str">
            <v>none</v>
          </cell>
          <cell r="J895" t="str">
            <v>[MIDDEN] TC0034</v>
          </cell>
          <cell r="K895" t="str">
            <v>Total BOFG produced minus pellet plant use</v>
          </cell>
          <cell r="L895">
            <v>48</v>
          </cell>
        </row>
        <row r="896">
          <cell r="A896" t="str">
            <v>[MIDDEN] CHP for BOFG</v>
          </cell>
          <cell r="B896" t="str">
            <v>carbon dioxide</v>
          </cell>
          <cell r="C896" t="str">
            <v>to environment (emission)</v>
          </cell>
          <cell r="E896" t="str">
            <v>Mass</v>
          </cell>
          <cell r="F896">
            <v>1.5100000000000001E-2</v>
          </cell>
          <cell r="G896" t="str">
            <v>Mt</v>
          </cell>
          <cell r="H896" t="str">
            <v>PJ</v>
          </cell>
          <cell r="I896" t="str">
            <v>none</v>
          </cell>
          <cell r="J896" t="str">
            <v>[MIDDEN] TC0034</v>
          </cell>
          <cell r="K896" t="str">
            <v>Emission factors + carbon content of materials (example calculation in reference)</v>
          </cell>
          <cell r="L896">
            <v>48</v>
          </cell>
        </row>
        <row r="897">
          <cell r="A897" t="str">
            <v/>
          </cell>
          <cell r="E897" t="str">
            <v/>
          </cell>
          <cell r="K897" t="str">
            <v/>
          </cell>
          <cell r="L897" t="str">
            <v/>
          </cell>
        </row>
        <row r="898">
          <cell r="A898" t="str">
            <v>[MIDDEN] HIsarna reactor with carbon capture</v>
          </cell>
          <cell r="B898" t="str">
            <v>pig iron</v>
          </cell>
          <cell r="C898" t="str">
            <v>reference_product</v>
          </cell>
          <cell r="D898">
            <v>7201</v>
          </cell>
          <cell r="E898" t="str">
            <v>Mass</v>
          </cell>
          <cell r="F898">
            <v>1</v>
          </cell>
          <cell r="G898" t="str">
            <v>Mt</v>
          </cell>
          <cell r="H898">
            <v>1</v>
          </cell>
          <cell r="I898" t="str">
            <v>none</v>
          </cell>
          <cell r="J898" t="str">
            <v>[MIDDEN] TC0035</v>
          </cell>
          <cell r="K898" t="str">
            <v>Verified by TATA steel</v>
          </cell>
          <cell r="L898">
            <v>48</v>
          </cell>
        </row>
        <row r="899">
          <cell r="A899" t="str">
            <v>[MIDDEN] HIsarna reactor with carbon capture</v>
          </cell>
          <cell r="B899" t="str">
            <v>slag</v>
          </cell>
          <cell r="C899" t="str">
            <v>to technosphere (waste)</v>
          </cell>
          <cell r="E899" t="str">
            <v>Mass</v>
          </cell>
          <cell r="F899">
            <v>0.26</v>
          </cell>
          <cell r="G899" t="str">
            <v>Mt</v>
          </cell>
          <cell r="H899" t="str">
            <v>Mt</v>
          </cell>
          <cell r="I899" t="str">
            <v>none</v>
          </cell>
          <cell r="J899" t="str">
            <v>[MIDDEN] TC0035</v>
          </cell>
          <cell r="K899" t="str">
            <v/>
          </cell>
          <cell r="L899">
            <v>48</v>
          </cell>
        </row>
        <row r="900">
          <cell r="A900" t="str">
            <v>[MIDDEN] HIsarna reactor with carbon capture</v>
          </cell>
          <cell r="B900" t="str">
            <v>carbon dioxide, compressed</v>
          </cell>
          <cell r="C900" t="str">
            <v>to technosphere (by-product)</v>
          </cell>
          <cell r="E900" t="str">
            <v>Mass</v>
          </cell>
          <cell r="F900">
            <v>1.1299999999999999</v>
          </cell>
          <cell r="G900" t="str">
            <v>Mt</v>
          </cell>
          <cell r="H900" t="str">
            <v>Mt</v>
          </cell>
          <cell r="I900" t="str">
            <v>none</v>
          </cell>
          <cell r="J900" t="str">
            <v>[MIDDEN] TC0035</v>
          </cell>
          <cell r="K900" t="str">
            <v>Assumed 90% captured</v>
          </cell>
          <cell r="L900">
            <v>48</v>
          </cell>
        </row>
        <row r="901">
          <cell r="A901" t="str">
            <v>[MIDDEN] HIsarna reactor with carbon capture</v>
          </cell>
          <cell r="B901" t="str">
            <v>Iron ore</v>
          </cell>
          <cell r="C901" t="str">
            <v>from environment (natural resource)</v>
          </cell>
          <cell r="E901" t="str">
            <v>Mass</v>
          </cell>
          <cell r="F901">
            <v>1.61</v>
          </cell>
          <cell r="G901" t="str">
            <v>Mt</v>
          </cell>
          <cell r="H901" t="str">
            <v>Mt</v>
          </cell>
          <cell r="I901" t="str">
            <v>none</v>
          </cell>
          <cell r="J901" t="str">
            <v>[MIDDEN] TC0035</v>
          </cell>
          <cell r="K901" t="str">
            <v>Estimated to be the same as iron ore requirement of the other options</v>
          </cell>
          <cell r="L901">
            <v>48</v>
          </cell>
        </row>
        <row r="902">
          <cell r="A902" t="str">
            <v>[MIDDEN] HIsarna reactor with carbon capture</v>
          </cell>
          <cell r="B902" t="str">
            <v>coal</v>
          </cell>
          <cell r="C902" t="str">
            <v>from technosphere (energy_carrier)</v>
          </cell>
          <cell r="E902" t="str">
            <v>Energy</v>
          </cell>
          <cell r="F902">
            <v>14.7</v>
          </cell>
          <cell r="G902" t="str">
            <v>PJ</v>
          </cell>
          <cell r="H902" t="str">
            <v>Mt</v>
          </cell>
          <cell r="I902" t="str">
            <v>none</v>
          </cell>
          <cell r="J902" t="str">
            <v>[MIDDEN] TC0035</v>
          </cell>
          <cell r="K902" t="str">
            <v/>
          </cell>
          <cell r="L902">
            <v>49</v>
          </cell>
        </row>
        <row r="903">
          <cell r="A903" t="str">
            <v>[MIDDEN] HIsarna reactor with carbon capture</v>
          </cell>
          <cell r="B903" t="str">
            <v>oxygen</v>
          </cell>
          <cell r="C903" t="str">
            <v>from technosphere (material)</v>
          </cell>
          <cell r="E903" t="str">
            <v>Mass</v>
          </cell>
          <cell r="F903">
            <v>1070</v>
          </cell>
          <cell r="G903" t="str">
            <v>kt</v>
          </cell>
          <cell r="H903" t="str">
            <v>Mt</v>
          </cell>
          <cell r="I903" t="str">
            <v>none</v>
          </cell>
          <cell r="J903" t="str">
            <v>[MIDDEN] TC0035</v>
          </cell>
          <cell r="K903" t="str">
            <v xml:space="preserve"> Estimated to be the similar oxygen requirement of TGR-BF, Keys et al., 2019 </v>
          </cell>
          <cell r="L903">
            <v>48</v>
          </cell>
        </row>
        <row r="904">
          <cell r="A904" t="str">
            <v>[MIDDEN] HIsarna reactor with carbon capture</v>
          </cell>
          <cell r="B904" t="str">
            <v>electricity</v>
          </cell>
          <cell r="C904" t="str">
            <v>from technosphere (energy_carrier)</v>
          </cell>
          <cell r="E904" t="str">
            <v>Energy</v>
          </cell>
          <cell r="F904">
            <v>1.25</v>
          </cell>
          <cell r="G904" t="str">
            <v>PJ</v>
          </cell>
          <cell r="H904" t="str">
            <v>Mt</v>
          </cell>
          <cell r="I904" t="str">
            <v>none</v>
          </cell>
          <cell r="J904" t="str">
            <v>[MIDDEN] TC0035</v>
          </cell>
          <cell r="K904" t="str">
            <v>electricity requirement for cryogenic  + compression CCS plus 0.3 PJ for HIsarna</v>
          </cell>
          <cell r="L904">
            <v>54</v>
          </cell>
        </row>
        <row r="905">
          <cell r="A905" t="str">
            <v>[MIDDEN] HIsarna reactor with carbon capture</v>
          </cell>
          <cell r="B905" t="str">
            <v>carbon dioxide</v>
          </cell>
          <cell r="C905" t="str">
            <v>to environment (emission)</v>
          </cell>
          <cell r="E905" t="str">
            <v>Mass</v>
          </cell>
          <cell r="F905">
            <v>0.125</v>
          </cell>
          <cell r="G905" t="str">
            <v>Mt</v>
          </cell>
          <cell r="H905" t="str">
            <v>Mt</v>
          </cell>
          <cell r="I905" t="str">
            <v>none</v>
          </cell>
          <cell r="J905" t="str">
            <v>[MIDDEN] TC0035</v>
          </cell>
          <cell r="K905" t="str">
            <v>Assumed 90% captured, rest emitted</v>
          </cell>
          <cell r="L905">
            <v>48</v>
          </cell>
        </row>
        <row r="906">
          <cell r="A906" t="str">
            <v/>
          </cell>
          <cell r="E906" t="str">
            <v/>
          </cell>
          <cell r="K906" t="str">
            <v/>
          </cell>
          <cell r="L906" t="str">
            <v/>
          </cell>
        </row>
        <row r="907">
          <cell r="A907" t="str">
            <v>[MIDDEN] ULCORED reactor with carbon capture</v>
          </cell>
          <cell r="B907" t="str">
            <v>sponge iron</v>
          </cell>
          <cell r="C907" t="str">
            <v>reference_product</v>
          </cell>
          <cell r="D907">
            <v>7203</v>
          </cell>
          <cell r="E907" t="str">
            <v>Mass</v>
          </cell>
          <cell r="F907">
            <v>1</v>
          </cell>
          <cell r="G907" t="str">
            <v>Mt</v>
          </cell>
          <cell r="H907">
            <v>1</v>
          </cell>
          <cell r="I907" t="str">
            <v>none</v>
          </cell>
          <cell r="J907" t="str">
            <v>[MIDDEN] TC0036</v>
          </cell>
          <cell r="K907" t="str">
            <v/>
          </cell>
          <cell r="L907">
            <v>55</v>
          </cell>
        </row>
        <row r="908">
          <cell r="A908" t="str">
            <v>[MIDDEN] ULCORED reactor with carbon capture</v>
          </cell>
          <cell r="B908" t="str">
            <v>carbon dioxide, compressed</v>
          </cell>
          <cell r="C908" t="str">
            <v>to technosphere (by-product)</v>
          </cell>
          <cell r="E908" t="str">
            <v>Mass</v>
          </cell>
          <cell r="F908">
            <v>0.39600000000000002</v>
          </cell>
          <cell r="G908" t="str">
            <v>Mt</v>
          </cell>
          <cell r="H908" t="str">
            <v>Mt</v>
          </cell>
          <cell r="I908" t="str">
            <v>none</v>
          </cell>
          <cell r="J908" t="str">
            <v>[MIDDEN] TC0036</v>
          </cell>
          <cell r="K908" t="str">
            <v/>
          </cell>
          <cell r="L908" t="str">
            <v/>
          </cell>
        </row>
        <row r="909">
          <cell r="A909" t="str">
            <v>[MIDDEN] ULCORED reactor with carbon capture</v>
          </cell>
          <cell r="B909" t="str">
            <v>iron ore pellets</v>
          </cell>
          <cell r="C909" t="str">
            <v>from technosphere (material)</v>
          </cell>
          <cell r="E909" t="str">
            <v>Mass</v>
          </cell>
          <cell r="F909">
            <v>1.33</v>
          </cell>
          <cell r="G909" t="str">
            <v>Mt</v>
          </cell>
          <cell r="H909" t="str">
            <v>Mt</v>
          </cell>
          <cell r="I909" t="str">
            <v>none</v>
          </cell>
          <cell r="J909" t="str">
            <v>[MIDDEN] TC0036</v>
          </cell>
          <cell r="K909" t="str">
            <v/>
          </cell>
          <cell r="L909">
            <v>55</v>
          </cell>
        </row>
        <row r="910">
          <cell r="A910" t="str">
            <v>[MIDDEN] ULCORED reactor with carbon capture</v>
          </cell>
          <cell r="B910" t="str">
            <v>natural gas</v>
          </cell>
          <cell r="C910" t="str">
            <v>from technosphere (energy_carrier)</v>
          </cell>
          <cell r="E910" t="str">
            <v>Energy</v>
          </cell>
          <cell r="F910">
            <v>7.95</v>
          </cell>
          <cell r="G910" t="str">
            <v>PJ</v>
          </cell>
          <cell r="H910" t="str">
            <v>Mt</v>
          </cell>
          <cell r="I910" t="str">
            <v>none</v>
          </cell>
          <cell r="J910" t="str">
            <v>[MIDDEN] TC0036</v>
          </cell>
          <cell r="K910" t="str">
            <v/>
          </cell>
          <cell r="L910">
            <v>55</v>
          </cell>
        </row>
        <row r="911">
          <cell r="A911" t="str">
            <v>[MIDDEN] ULCORED reactor with carbon capture</v>
          </cell>
          <cell r="B911" t="str">
            <v>oxygen</v>
          </cell>
          <cell r="C911" t="str">
            <v>from technosphere (material)</v>
          </cell>
          <cell r="E911" t="str">
            <v>Mass</v>
          </cell>
          <cell r="F911">
            <v>212</v>
          </cell>
          <cell r="G911" t="str">
            <v>kt</v>
          </cell>
          <cell r="H911" t="str">
            <v>Mt</v>
          </cell>
          <cell r="I911" t="str">
            <v>none</v>
          </cell>
          <cell r="J911" t="str">
            <v>[MIDDEN] TC0036</v>
          </cell>
          <cell r="K911" t="str">
            <v/>
          </cell>
          <cell r="L911">
            <v>55</v>
          </cell>
        </row>
        <row r="912">
          <cell r="A912" t="str">
            <v>[MIDDEN] ULCORED reactor with carbon capture</v>
          </cell>
          <cell r="B912" t="str">
            <v>electricity</v>
          </cell>
          <cell r="C912" t="str">
            <v>from technosphere (energy_carrier)</v>
          </cell>
          <cell r="E912" t="str">
            <v>Energy</v>
          </cell>
          <cell r="F912">
            <v>0.63200000000000001</v>
          </cell>
          <cell r="G912" t="str">
            <v>PJ</v>
          </cell>
          <cell r="H912" t="str">
            <v>Mt</v>
          </cell>
          <cell r="I912" t="str">
            <v>none</v>
          </cell>
          <cell r="J912" t="str">
            <v>[MIDDEN] TC0036</v>
          </cell>
          <cell r="K912" t="str">
            <v>Including electricity requirement for CCS (VPSA  + compression+ cryogenic flash) of 0.42 PJ</v>
          </cell>
          <cell r="L912">
            <v>55</v>
          </cell>
        </row>
        <row r="913">
          <cell r="A913" t="str">
            <v>[MIDDEN] ULCORED reactor with carbon capture</v>
          </cell>
          <cell r="B913" t="str">
            <v>carbon dioxide</v>
          </cell>
          <cell r="C913" t="str">
            <v>to environment (emission)</v>
          </cell>
          <cell r="E913" t="str">
            <v>Mass</v>
          </cell>
          <cell r="F913">
            <v>2.7799999999999998E-2</v>
          </cell>
          <cell r="G913" t="str">
            <v>Mt</v>
          </cell>
          <cell r="H913" t="str">
            <v>Mt</v>
          </cell>
          <cell r="I913" t="str">
            <v>none</v>
          </cell>
          <cell r="J913" t="str">
            <v>[MIDDEN] TC0036</v>
          </cell>
          <cell r="K913" t="str">
            <v>Emission factors + carbon content of materials (example calculation in reference)</v>
          </cell>
          <cell r="L913">
            <v>48</v>
          </cell>
        </row>
        <row r="914">
          <cell r="A914" t="str">
            <v/>
          </cell>
          <cell r="E914" t="str">
            <v/>
          </cell>
          <cell r="K914" t="str">
            <v/>
          </cell>
          <cell r="L914" t="str">
            <v/>
          </cell>
        </row>
        <row r="915">
          <cell r="A915" t="str">
            <v>[MIDDEN] EAF for DRI</v>
          </cell>
          <cell r="B915" t="str">
            <v>crude steel</v>
          </cell>
          <cell r="C915" t="str">
            <v>reference_product</v>
          </cell>
          <cell r="D915">
            <v>7207</v>
          </cell>
          <cell r="E915" t="str">
            <v>Mass</v>
          </cell>
          <cell r="F915">
            <v>1</v>
          </cell>
          <cell r="G915" t="str">
            <v>Mt</v>
          </cell>
          <cell r="H915">
            <v>1</v>
          </cell>
          <cell r="I915" t="str">
            <v>none</v>
          </cell>
          <cell r="J915" t="str">
            <v>[MIDDEN] TC0037</v>
          </cell>
          <cell r="K915" t="str">
            <v>Verified by TATA steel</v>
          </cell>
          <cell r="L915" t="str">
            <v/>
          </cell>
        </row>
        <row r="916">
          <cell r="A916" t="str">
            <v>[MIDDEN] EAF for DRI</v>
          </cell>
          <cell r="B916" t="str">
            <v>slag</v>
          </cell>
          <cell r="C916" t="str">
            <v>to technosphere (waste)</v>
          </cell>
          <cell r="E916" t="str">
            <v>Mass</v>
          </cell>
          <cell r="F916">
            <v>0.21</v>
          </cell>
          <cell r="G916" t="str">
            <v>Mt</v>
          </cell>
          <cell r="H916" t="str">
            <v>Mt</v>
          </cell>
          <cell r="I916" t="str">
            <v>none</v>
          </cell>
          <cell r="J916" t="str">
            <v>[MIDDEN] TC0037</v>
          </cell>
          <cell r="K916" t="str">
            <v/>
          </cell>
          <cell r="L916">
            <v>49</v>
          </cell>
        </row>
        <row r="917">
          <cell r="A917" t="str">
            <v>[MIDDEN] EAF for DRI</v>
          </cell>
          <cell r="B917" t="str">
            <v>sponge iron</v>
          </cell>
          <cell r="C917" t="str">
            <v>from technosphere (material)</v>
          </cell>
          <cell r="E917" t="str">
            <v>Mass</v>
          </cell>
          <cell r="F917">
            <v>0.98</v>
          </cell>
          <cell r="G917" t="str">
            <v>Mt</v>
          </cell>
          <cell r="H917" t="str">
            <v>Mt</v>
          </cell>
          <cell r="I917" t="str">
            <v>none</v>
          </cell>
          <cell r="J917" t="str">
            <v>[MIDDEN] TC0037</v>
          </cell>
          <cell r="K917" t="str">
            <v/>
          </cell>
          <cell r="L917">
            <v>56</v>
          </cell>
        </row>
        <row r="918">
          <cell r="A918" t="str">
            <v>[MIDDEN] EAF for DRI</v>
          </cell>
          <cell r="B918" t="str">
            <v>steel scrap</v>
          </cell>
          <cell r="C918" t="str">
            <v>from technosphere (material)</v>
          </cell>
          <cell r="E918" t="str">
            <v>Mass</v>
          </cell>
          <cell r="F918">
            <v>0.12</v>
          </cell>
          <cell r="G918" t="str">
            <v>Mt</v>
          </cell>
          <cell r="H918" t="str">
            <v>Mt</v>
          </cell>
          <cell r="I918" t="str">
            <v>none</v>
          </cell>
          <cell r="J918" t="str">
            <v>[MIDDEN] TC0037</v>
          </cell>
          <cell r="K918" t="str">
            <v/>
          </cell>
          <cell r="L918">
            <v>56</v>
          </cell>
        </row>
        <row r="919">
          <cell r="A919" t="str">
            <v>[MIDDEN] EAF for DRI</v>
          </cell>
          <cell r="B919" t="str">
            <v>oxygen</v>
          </cell>
          <cell r="C919" t="str">
            <v>from technosphere (material)</v>
          </cell>
          <cell r="E919" t="str">
            <v>Mass</v>
          </cell>
          <cell r="F919">
            <v>6.6400000000000001E-3</v>
          </cell>
          <cell r="G919" t="str">
            <v>kt</v>
          </cell>
          <cell r="H919" t="str">
            <v>Mt</v>
          </cell>
          <cell r="I919" t="str">
            <v>none</v>
          </cell>
          <cell r="J919" t="str">
            <v>[MIDDEN] TC0037</v>
          </cell>
          <cell r="K919" t="str">
            <v xml:space="preserve">average value (5000 Nm3) </v>
          </cell>
          <cell r="L919">
            <v>49</v>
          </cell>
        </row>
        <row r="920">
          <cell r="A920" t="str">
            <v>[MIDDEN] EAF for DRI</v>
          </cell>
          <cell r="B920" t="str">
            <v>natural gas</v>
          </cell>
          <cell r="C920" t="str">
            <v>from technosphere (energy_carrier)</v>
          </cell>
          <cell r="E920" t="str">
            <v>Energy</v>
          </cell>
          <cell r="F920">
            <v>0.77500000000000002</v>
          </cell>
          <cell r="G920" t="str">
            <v>PJ</v>
          </cell>
          <cell r="H920" t="str">
            <v>Mt</v>
          </cell>
          <cell r="I920" t="str">
            <v>none</v>
          </cell>
          <cell r="J920" t="str">
            <v>[MIDDEN] TC0037</v>
          </cell>
          <cell r="K920" t="str">
            <v/>
          </cell>
          <cell r="L920">
            <v>49</v>
          </cell>
        </row>
        <row r="921">
          <cell r="A921" t="str">
            <v>[MIDDEN] EAF for DRI</v>
          </cell>
          <cell r="B921" t="str">
            <v>coal</v>
          </cell>
          <cell r="C921" t="str">
            <v>from technosphere (energy_carrier)</v>
          </cell>
          <cell r="E921" t="str">
            <v>Energy</v>
          </cell>
          <cell r="F921">
            <v>0.75800000000000001</v>
          </cell>
          <cell r="G921" t="str">
            <v>PJ</v>
          </cell>
          <cell r="H921" t="str">
            <v>Mt</v>
          </cell>
          <cell r="I921" t="str">
            <v>none</v>
          </cell>
          <cell r="J921" t="str">
            <v>[MIDDEN] TC0037</v>
          </cell>
          <cell r="K921" t="str">
            <v/>
          </cell>
          <cell r="L921">
            <v>49</v>
          </cell>
        </row>
        <row r="922">
          <cell r="A922" t="str">
            <v>[MIDDEN] EAF for DRI</v>
          </cell>
          <cell r="B922" t="str">
            <v>electricity</v>
          </cell>
          <cell r="C922" t="str">
            <v>from technosphere (energy_carrier)</v>
          </cell>
          <cell r="E922" t="str">
            <v>Energy</v>
          </cell>
          <cell r="F922">
            <v>2.0699999999999998</v>
          </cell>
          <cell r="G922" t="str">
            <v>PJ</v>
          </cell>
          <cell r="H922" t="str">
            <v>Mt</v>
          </cell>
          <cell r="I922" t="str">
            <v>none</v>
          </cell>
          <cell r="J922" t="str">
            <v>[MIDDEN] TC0037</v>
          </cell>
          <cell r="K922" t="str">
            <v/>
          </cell>
          <cell r="L922">
            <v>49</v>
          </cell>
        </row>
        <row r="923">
          <cell r="A923" t="str">
            <v>[MIDDEN] EAF for DRI</v>
          </cell>
          <cell r="B923" t="str">
            <v>high alloy and stainless steel</v>
          </cell>
          <cell r="C923" t="str">
            <v>from technosphere (material)</v>
          </cell>
          <cell r="E923" t="str">
            <v>Mass</v>
          </cell>
          <cell r="F923">
            <v>0.19</v>
          </cell>
          <cell r="G923" t="str">
            <v>Mt</v>
          </cell>
          <cell r="H923" t="str">
            <v>Mt</v>
          </cell>
          <cell r="I923" t="str">
            <v>none</v>
          </cell>
          <cell r="J923" t="str">
            <v>[MIDDEN] TC0037</v>
          </cell>
          <cell r="K923" t="str">
            <v/>
          </cell>
          <cell r="L923">
            <v>49</v>
          </cell>
        </row>
        <row r="924">
          <cell r="A924" t="str">
            <v>[MIDDEN] EAF for DRI</v>
          </cell>
          <cell r="B924" t="str">
            <v>limestone</v>
          </cell>
          <cell r="C924" t="str">
            <v>from technosphere (material)</v>
          </cell>
          <cell r="E924" t="str">
            <v>Mass</v>
          </cell>
          <cell r="F924">
            <v>7.1499999999999994E-2</v>
          </cell>
          <cell r="G924" t="str">
            <v>Mt</v>
          </cell>
          <cell r="H924" t="str">
            <v>Mt</v>
          </cell>
          <cell r="I924" t="str">
            <v>none</v>
          </cell>
          <cell r="J924" t="str">
            <v>[MIDDEN] TC0037</v>
          </cell>
          <cell r="K924" t="str">
            <v/>
          </cell>
          <cell r="L924" t="str">
            <v/>
          </cell>
        </row>
        <row r="925">
          <cell r="A925" t="str">
            <v>[MIDDEN] EAF for DRI</v>
          </cell>
          <cell r="B925" t="str">
            <v>carbon steel</v>
          </cell>
          <cell r="C925" t="str">
            <v>from technosphere (material)</v>
          </cell>
          <cell r="E925" t="str">
            <v>Mass</v>
          </cell>
          <cell r="F925">
            <v>2.5499999999999998E-2</v>
          </cell>
          <cell r="G925" t="str">
            <v>Mt</v>
          </cell>
          <cell r="H925" t="str">
            <v>Mt</v>
          </cell>
          <cell r="I925" t="str">
            <v>none</v>
          </cell>
          <cell r="J925" t="str">
            <v>[MIDDEN] TC0037</v>
          </cell>
          <cell r="K925" t="str">
            <v/>
          </cell>
          <cell r="L925">
            <v>49</v>
          </cell>
        </row>
        <row r="926">
          <cell r="A926" t="str">
            <v>[MIDDEN] EAF for DRI</v>
          </cell>
          <cell r="B926" t="str">
            <v>water</v>
          </cell>
          <cell r="C926" t="str">
            <v>from environment (natural resource)</v>
          </cell>
          <cell r="E926" t="str">
            <v>Mass</v>
          </cell>
          <cell r="F926">
            <v>0.193</v>
          </cell>
          <cell r="G926" t="str">
            <v>kt</v>
          </cell>
          <cell r="H926" t="str">
            <v>Mt</v>
          </cell>
          <cell r="I926" t="str">
            <v>none</v>
          </cell>
          <cell r="J926" t="str">
            <v>[MIDDEN] TC0037</v>
          </cell>
          <cell r="K926" t="str">
            <v/>
          </cell>
          <cell r="L926">
            <v>49</v>
          </cell>
        </row>
        <row r="927">
          <cell r="A927" t="str">
            <v>[MIDDEN] EAF for DRI</v>
          </cell>
          <cell r="B927" t="str">
            <v>carbon dioxide</v>
          </cell>
          <cell r="C927" t="str">
            <v>to environment (emission)</v>
          </cell>
          <cell r="E927" t="str">
            <v>Mass</v>
          </cell>
          <cell r="F927">
            <v>0.12</v>
          </cell>
          <cell r="G927" t="str">
            <v>Mt</v>
          </cell>
          <cell r="H927" t="str">
            <v>Mt</v>
          </cell>
          <cell r="I927" t="str">
            <v>none</v>
          </cell>
          <cell r="J927" t="str">
            <v>[MIDDEN] TC0037</v>
          </cell>
          <cell r="K927" t="str">
            <v>Emission factors + carbon content of materials (example calculation in reference)</v>
          </cell>
          <cell r="L927">
            <v>48</v>
          </cell>
        </row>
        <row r="928">
          <cell r="A928" t="str">
            <v/>
          </cell>
          <cell r="E928" t="str">
            <v/>
          </cell>
          <cell r="K928" t="str">
            <v/>
          </cell>
          <cell r="L928" t="str">
            <v/>
          </cell>
        </row>
        <row r="929">
          <cell r="A929" t="str">
            <v>[MIDDEN] Water electrolyser</v>
          </cell>
          <cell r="B929" t="str">
            <v>hydrogen</v>
          </cell>
          <cell r="C929" t="str">
            <v>reference_product</v>
          </cell>
          <cell r="D929">
            <v>2804</v>
          </cell>
          <cell r="E929" t="str">
            <v>Mass</v>
          </cell>
          <cell r="F929">
            <v>1</v>
          </cell>
          <cell r="G929" t="str">
            <v>kt</v>
          </cell>
          <cell r="H929">
            <v>1</v>
          </cell>
          <cell r="I929" t="str">
            <v>none</v>
          </cell>
          <cell r="J929" t="str">
            <v>[MIDDEN] TC0038</v>
          </cell>
          <cell r="K929" t="str">
            <v/>
          </cell>
          <cell r="L929">
            <v>57</v>
          </cell>
        </row>
        <row r="930">
          <cell r="A930" t="str">
            <v>[MIDDEN] Water electrolyser</v>
          </cell>
          <cell r="B930" t="str">
            <v>oxygen</v>
          </cell>
          <cell r="C930" t="str">
            <v>from technosphere (material)</v>
          </cell>
          <cell r="E930" t="str">
            <v>Mass</v>
          </cell>
          <cell r="F930">
            <v>7.91</v>
          </cell>
          <cell r="G930" t="str">
            <v>kt</v>
          </cell>
          <cell r="H930" t="str">
            <v>kt</v>
          </cell>
          <cell r="I930" t="str">
            <v>none</v>
          </cell>
          <cell r="J930" t="str">
            <v>[MIDDEN] TC0038</v>
          </cell>
          <cell r="K930" t="str">
            <v/>
          </cell>
          <cell r="L930">
            <v>57</v>
          </cell>
        </row>
        <row r="931">
          <cell r="A931" t="str">
            <v>[MIDDEN] Water electrolyser</v>
          </cell>
          <cell r="B931" t="str">
            <v>electricity</v>
          </cell>
          <cell r="C931" t="str">
            <v>from technosphere (energy_carrier)</v>
          </cell>
          <cell r="E931" t="str">
            <v>Energy</v>
          </cell>
          <cell r="F931">
            <v>0.24399999999999999</v>
          </cell>
          <cell r="G931" t="str">
            <v>PJ</v>
          </cell>
          <cell r="H931" t="str">
            <v>kt</v>
          </cell>
          <cell r="I931" t="str">
            <v>none</v>
          </cell>
          <cell r="J931" t="str">
            <v>[MIDDEN] TC0038</v>
          </cell>
          <cell r="K931" t="str">
            <v>meaning efficiency of 58%</v>
          </cell>
          <cell r="L931">
            <v>57</v>
          </cell>
        </row>
        <row r="932">
          <cell r="A932" t="str">
            <v/>
          </cell>
          <cell r="E932" t="str">
            <v/>
          </cell>
          <cell r="K932" t="str">
            <v/>
          </cell>
          <cell r="L932" t="str">
            <v/>
          </cell>
        </row>
        <row r="933">
          <cell r="A933" t="str">
            <v>[MIDDEN] H-DR reactor</v>
          </cell>
          <cell r="B933" t="str">
            <v>sponge iron</v>
          </cell>
          <cell r="C933" t="str">
            <v>reference_product</v>
          </cell>
          <cell r="D933">
            <v>7203</v>
          </cell>
          <cell r="E933" t="str">
            <v>Mass</v>
          </cell>
          <cell r="F933">
            <v>1</v>
          </cell>
          <cell r="G933" t="str">
            <v>Mt</v>
          </cell>
          <cell r="H933">
            <v>1</v>
          </cell>
          <cell r="I933" t="str">
            <v>none</v>
          </cell>
          <cell r="J933" t="str">
            <v>[MIDDEN] TC0039</v>
          </cell>
          <cell r="K933" t="str">
            <v/>
          </cell>
          <cell r="L933">
            <v>57</v>
          </cell>
        </row>
        <row r="934">
          <cell r="A934" t="str">
            <v>[MIDDEN] H-DR reactor</v>
          </cell>
          <cell r="B934" t="str">
            <v>iron ore pellets</v>
          </cell>
          <cell r="C934" t="str">
            <v>from technosphere (material)</v>
          </cell>
          <cell r="E934" t="str">
            <v>Mass</v>
          </cell>
          <cell r="F934">
            <v>1.43</v>
          </cell>
          <cell r="G934" t="str">
            <v>Mt</v>
          </cell>
          <cell r="H934" t="str">
            <v>Mt</v>
          </cell>
          <cell r="I934" t="str">
            <v>none</v>
          </cell>
          <cell r="J934" t="str">
            <v>[MIDDEN] TC0039</v>
          </cell>
          <cell r="K934" t="str">
            <v/>
          </cell>
          <cell r="L934">
            <v>57</v>
          </cell>
        </row>
        <row r="935">
          <cell r="A935" t="str">
            <v>[MIDDEN] H-DR reactor</v>
          </cell>
          <cell r="B935" t="str">
            <v>hydrogen</v>
          </cell>
          <cell r="C935" t="str">
            <v>from technosphere (other)</v>
          </cell>
          <cell r="E935" t="str">
            <v>Mass</v>
          </cell>
          <cell r="F935">
            <v>44.2</v>
          </cell>
          <cell r="G935" t="str">
            <v>kt</v>
          </cell>
          <cell r="H935" t="str">
            <v>Mt</v>
          </cell>
          <cell r="I935" t="str">
            <v>none</v>
          </cell>
          <cell r="J935" t="str">
            <v>[MIDDEN] TC0039</v>
          </cell>
          <cell r="K935" t="str">
            <v/>
          </cell>
          <cell r="L935">
            <v>57</v>
          </cell>
        </row>
        <row r="936">
          <cell r="A936" t="str">
            <v/>
          </cell>
          <cell r="E936" t="str">
            <v/>
          </cell>
          <cell r="K936" t="str">
            <v/>
          </cell>
          <cell r="L936" t="str">
            <v/>
          </cell>
        </row>
        <row r="937">
          <cell r="A937" t="str">
            <v>[MIDDEN] ULCOWIN</v>
          </cell>
          <cell r="B937" t="str">
            <v>iron plate</v>
          </cell>
          <cell r="C937" t="str">
            <v>reference_product</v>
          </cell>
          <cell r="D937">
            <v>7208</v>
          </cell>
          <cell r="E937" t="str">
            <v>Mass</v>
          </cell>
          <cell r="F937">
            <v>1</v>
          </cell>
          <cell r="G937" t="str">
            <v>Mt</v>
          </cell>
          <cell r="H937">
            <v>1</v>
          </cell>
          <cell r="I937" t="str">
            <v>none</v>
          </cell>
          <cell r="J937" t="str">
            <v>[MIDDEN] TC0040</v>
          </cell>
          <cell r="K937" t="str">
            <v/>
          </cell>
          <cell r="L937">
            <v>49</v>
          </cell>
        </row>
        <row r="938">
          <cell r="A938" t="str">
            <v>[MIDDEN] ULCOWIN</v>
          </cell>
          <cell r="B938" t="str">
            <v>slag</v>
          </cell>
          <cell r="C938" t="str">
            <v>to technosphere (waste)</v>
          </cell>
          <cell r="E938" t="str">
            <v>Mass</v>
          </cell>
          <cell r="F938">
            <v>0.05</v>
          </cell>
          <cell r="G938" t="str">
            <v>Mt</v>
          </cell>
          <cell r="H938" t="str">
            <v>Mt</v>
          </cell>
          <cell r="I938" t="str">
            <v>none</v>
          </cell>
          <cell r="J938" t="str">
            <v>[MIDDEN] TC0040</v>
          </cell>
          <cell r="K938" t="str">
            <v/>
          </cell>
          <cell r="L938">
            <v>49</v>
          </cell>
        </row>
        <row r="939">
          <cell r="A939" t="str">
            <v>[MIDDEN] ULCOWIN</v>
          </cell>
          <cell r="B939" t="str">
            <v>oxygen</v>
          </cell>
          <cell r="C939" t="str">
            <v>from technosphere (material)</v>
          </cell>
          <cell r="E939" t="str">
            <v>Mass</v>
          </cell>
          <cell r="F939">
            <v>390</v>
          </cell>
          <cell r="G939" t="str">
            <v>kt</v>
          </cell>
          <cell r="H939" t="str">
            <v>Mt</v>
          </cell>
          <cell r="I939" t="str">
            <v>none</v>
          </cell>
          <cell r="J939" t="str">
            <v>[MIDDEN] TC0040</v>
          </cell>
          <cell r="K939" t="str">
            <v>2.94e8 Nm3, 1.326 kg/Nm3</v>
          </cell>
          <cell r="L939">
            <v>49</v>
          </cell>
        </row>
        <row r="940">
          <cell r="A940" t="str">
            <v>[MIDDEN] ULCOWIN</v>
          </cell>
          <cell r="B940" t="str">
            <v>iron ore</v>
          </cell>
          <cell r="C940" t="str">
            <v>from environment (natural resource)</v>
          </cell>
          <cell r="E940" t="str">
            <v>Mass</v>
          </cell>
          <cell r="F940">
            <v>1.46</v>
          </cell>
          <cell r="G940" t="str">
            <v>Mt</v>
          </cell>
          <cell r="H940" t="str">
            <v>Mt</v>
          </cell>
          <cell r="I940" t="str">
            <v>none</v>
          </cell>
          <cell r="J940" t="str">
            <v>[MIDDEN] TC0040</v>
          </cell>
          <cell r="K940" t="str">
            <v/>
          </cell>
          <cell r="L940">
            <v>49</v>
          </cell>
        </row>
        <row r="941">
          <cell r="A941" t="str">
            <v>[MIDDEN] ULCOWIN</v>
          </cell>
          <cell r="B941" t="str">
            <v>electricity</v>
          </cell>
          <cell r="C941" t="str">
            <v>from technosphere (energy_carrier)</v>
          </cell>
          <cell r="E941" t="str">
            <v>Energy</v>
          </cell>
          <cell r="F941">
            <v>9.61</v>
          </cell>
          <cell r="G941" t="str">
            <v>PJ</v>
          </cell>
          <cell r="H941" t="str">
            <v>Mt</v>
          </cell>
          <cell r="I941" t="str">
            <v>none</v>
          </cell>
          <cell r="J941" t="str">
            <v>[MIDDEN] TC0040</v>
          </cell>
          <cell r="K941" t="str">
            <v>Of which 0.33 PJ for ultrafine grinding, 0.66 PJ for leaching, and 8.6 PJ for electrowinning</v>
          </cell>
          <cell r="L941">
            <v>49</v>
          </cell>
        </row>
        <row r="942">
          <cell r="A942" t="str">
            <v>[MIDDEN] ULCOWIN</v>
          </cell>
          <cell r="B942" t="str">
            <v>limestone</v>
          </cell>
          <cell r="C942" t="str">
            <v>from technosphere (material)</v>
          </cell>
          <cell r="E942" t="str">
            <v>Mass</v>
          </cell>
          <cell r="F942">
            <v>2.76E-2</v>
          </cell>
          <cell r="G942" t="str">
            <v>Mt</v>
          </cell>
          <cell r="H942" t="str">
            <v>Mt</v>
          </cell>
          <cell r="I942" t="str">
            <v>none</v>
          </cell>
          <cell r="J942" t="str">
            <v>[MIDDEN] TC0040</v>
          </cell>
          <cell r="K942" t="str">
            <v/>
          </cell>
          <cell r="L942">
            <v>49</v>
          </cell>
        </row>
        <row r="943">
          <cell r="A943" t="str">
            <v>[MIDDEN] ULCOWIN</v>
          </cell>
          <cell r="B943" t="str">
            <v>carbon dioxide</v>
          </cell>
          <cell r="C943" t="str">
            <v>to environment (emission)</v>
          </cell>
          <cell r="E943" t="str">
            <v>Mass</v>
          </cell>
          <cell r="F943">
            <v>1.2200000000000001E-2</v>
          </cell>
          <cell r="G943" t="str">
            <v>Mt</v>
          </cell>
          <cell r="H943" t="str">
            <v>Mt</v>
          </cell>
          <cell r="I943" t="str">
            <v>none</v>
          </cell>
          <cell r="J943" t="str">
            <v>[MIDDEN] TC0040</v>
          </cell>
          <cell r="K943" t="str">
            <v>Emission factors + carbon content of materials (example calculation in reference)</v>
          </cell>
          <cell r="L943">
            <v>48</v>
          </cell>
        </row>
        <row r="944">
          <cell r="A944" t="str">
            <v/>
          </cell>
          <cell r="E944" t="str">
            <v/>
          </cell>
          <cell r="K944" t="str">
            <v/>
          </cell>
          <cell r="L944" t="str">
            <v/>
          </cell>
        </row>
        <row r="945">
          <cell r="A945" t="str">
            <v>[MIDDEN] EAF (iron plate-based)</v>
          </cell>
          <cell r="B945" t="str">
            <v>crude steel</v>
          </cell>
          <cell r="C945" t="str">
            <v>reference_product</v>
          </cell>
          <cell r="D945">
            <v>7206</v>
          </cell>
          <cell r="E945" t="str">
            <v>Mass</v>
          </cell>
          <cell r="F945">
            <v>1</v>
          </cell>
          <cell r="G945" t="str">
            <v>Mt</v>
          </cell>
          <cell r="H945">
            <v>1</v>
          </cell>
          <cell r="I945" t="str">
            <v>none</v>
          </cell>
          <cell r="J945" t="str">
            <v>[MIDDEN] TC0041</v>
          </cell>
          <cell r="K945" t="str">
            <v xml:space="preserve">Verified by Tata Steel </v>
          </cell>
          <cell r="L945" t="str">
            <v/>
          </cell>
        </row>
        <row r="946">
          <cell r="A946" t="str">
            <v>[MIDDEN] EAF (iron plate-based)</v>
          </cell>
          <cell r="B946" t="str">
            <v>slag</v>
          </cell>
          <cell r="C946" t="str">
            <v>to technosphere (waste)</v>
          </cell>
          <cell r="E946" t="str">
            <v>Mass</v>
          </cell>
          <cell r="F946">
            <v>9.9900000000000003E-2</v>
          </cell>
          <cell r="G946" t="str">
            <v>Mt</v>
          </cell>
          <cell r="H946" t="str">
            <v>Mt</v>
          </cell>
          <cell r="I946" t="str">
            <v>none</v>
          </cell>
          <cell r="J946" t="str">
            <v>[MIDDEN] TC0041</v>
          </cell>
          <cell r="K946" t="str">
            <v/>
          </cell>
          <cell r="L946">
            <v>49</v>
          </cell>
        </row>
        <row r="947">
          <cell r="A947" t="str">
            <v>[MIDDEN] EAF (iron plate-based)</v>
          </cell>
          <cell r="B947" t="str">
            <v>Iron plate</v>
          </cell>
          <cell r="C947" t="str">
            <v>from technosphere (material)</v>
          </cell>
          <cell r="E947" t="str">
            <v>Mass</v>
          </cell>
          <cell r="F947">
            <v>1.06</v>
          </cell>
          <cell r="G947" t="str">
            <v>Mt</v>
          </cell>
          <cell r="H947" t="str">
            <v>Mt</v>
          </cell>
          <cell r="I947" t="str">
            <v>none</v>
          </cell>
          <cell r="J947" t="str">
            <v>[MIDDEN] TC0041</v>
          </cell>
          <cell r="K947" t="str">
            <v/>
          </cell>
          <cell r="L947">
            <v>49</v>
          </cell>
        </row>
        <row r="948">
          <cell r="A948" t="str">
            <v>[MIDDEN] EAF (iron plate-based)</v>
          </cell>
          <cell r="B948" t="str">
            <v>coal</v>
          </cell>
          <cell r="C948" t="str">
            <v>from technosphere (energy_carrier)</v>
          </cell>
          <cell r="E948" t="str">
            <v>Energy</v>
          </cell>
          <cell r="F948">
            <v>0.78400000000000003</v>
          </cell>
          <cell r="G948" t="str">
            <v>PJ</v>
          </cell>
          <cell r="H948" t="str">
            <v>Mt</v>
          </cell>
          <cell r="I948" t="str">
            <v>none</v>
          </cell>
          <cell r="J948" t="str">
            <v>[MIDDEN] TC0041</v>
          </cell>
          <cell r="K948" t="str">
            <v/>
          </cell>
          <cell r="L948">
            <v>49</v>
          </cell>
        </row>
        <row r="949">
          <cell r="A949" t="str">
            <v>[MIDDEN] EAF (iron plate-based)</v>
          </cell>
          <cell r="B949" t="str">
            <v>natural gas</v>
          </cell>
          <cell r="C949" t="str">
            <v>from technosphere (energy_carrier)</v>
          </cell>
          <cell r="E949" t="str">
            <v>Energy</v>
          </cell>
          <cell r="F949">
            <v>0.46500000000000002</v>
          </cell>
          <cell r="G949" t="str">
            <v>PJ</v>
          </cell>
          <cell r="H949" t="str">
            <v>Mt</v>
          </cell>
          <cell r="I949" t="str">
            <v>none</v>
          </cell>
          <cell r="J949" t="str">
            <v>[MIDDEN] TC0041</v>
          </cell>
          <cell r="K949" t="str">
            <v/>
          </cell>
          <cell r="L949">
            <v>49</v>
          </cell>
        </row>
        <row r="950">
          <cell r="A950" t="str">
            <v>[MIDDEN] EAF (iron plate-based)</v>
          </cell>
          <cell r="B950" t="str">
            <v>oxygen</v>
          </cell>
          <cell r="C950" t="str">
            <v>from technosphere (material)</v>
          </cell>
          <cell r="E950" t="str">
            <v>Mass</v>
          </cell>
          <cell r="F950">
            <v>59.7</v>
          </cell>
          <cell r="G950" t="str">
            <v>kt</v>
          </cell>
          <cell r="H950" t="str">
            <v>Mt</v>
          </cell>
          <cell r="I950" t="str">
            <v>none</v>
          </cell>
          <cell r="J950" t="str">
            <v>[MIDDEN] TC0041</v>
          </cell>
          <cell r="K950" t="str">
            <v>4.5e7 Nm3, 1.326 kg/Nm3</v>
          </cell>
          <cell r="L950">
            <v>49</v>
          </cell>
        </row>
        <row r="951">
          <cell r="A951" t="str">
            <v>[MIDDEN] EAF (iron plate-based)</v>
          </cell>
          <cell r="B951" t="str">
            <v>iron ore</v>
          </cell>
          <cell r="C951" t="str">
            <v>from environment (natural resource)</v>
          </cell>
          <cell r="E951" t="str">
            <v>Mass</v>
          </cell>
          <cell r="F951">
            <v>4.8999999999999998E-3</v>
          </cell>
          <cell r="G951" t="str">
            <v>Mt</v>
          </cell>
          <cell r="H951" t="str">
            <v>Mt</v>
          </cell>
          <cell r="I951" t="str">
            <v>none</v>
          </cell>
          <cell r="J951" t="str">
            <v>[MIDDEN] TC0041</v>
          </cell>
          <cell r="K951" t="str">
            <v/>
          </cell>
          <cell r="L951">
            <v>49</v>
          </cell>
        </row>
        <row r="952">
          <cell r="A952" t="str">
            <v>[MIDDEN] EAF (iron plate-based)</v>
          </cell>
          <cell r="B952" t="str">
            <v>electricity</v>
          </cell>
          <cell r="C952" t="str">
            <v>from technosphere (energy_carrier)</v>
          </cell>
          <cell r="E952" t="str">
            <v>Energy</v>
          </cell>
          <cell r="F952">
            <v>1.8</v>
          </cell>
          <cell r="G952" t="str">
            <v>PJ</v>
          </cell>
          <cell r="H952" t="str">
            <v>Mt</v>
          </cell>
          <cell r="I952" t="str">
            <v>none</v>
          </cell>
          <cell r="J952" t="str">
            <v>[MIDDEN] TC0041</v>
          </cell>
          <cell r="K952" t="str">
            <v/>
          </cell>
          <cell r="L952">
            <v>49</v>
          </cell>
        </row>
        <row r="953">
          <cell r="A953" t="str">
            <v>[MIDDEN] EAF (iron plate-based)</v>
          </cell>
          <cell r="B953" t="str">
            <v>limestone</v>
          </cell>
          <cell r="C953" t="str">
            <v>from technosphere (material)</v>
          </cell>
          <cell r="E953" t="str">
            <v>Mass</v>
          </cell>
          <cell r="F953">
            <v>2.9399999999999999E-3</v>
          </cell>
          <cell r="G953" t="str">
            <v>Mt</v>
          </cell>
          <cell r="H953" t="str">
            <v>Mt</v>
          </cell>
          <cell r="I953" t="str">
            <v>none</v>
          </cell>
          <cell r="J953" t="str">
            <v>[MIDDEN] TC0041</v>
          </cell>
          <cell r="K953" t="str">
            <v/>
          </cell>
          <cell r="L953">
            <v>49</v>
          </cell>
        </row>
        <row r="954">
          <cell r="A954" t="str">
            <v>[MIDDEN] EAF (iron plate-based)</v>
          </cell>
          <cell r="B954" t="str">
            <v>carbon dioxide</v>
          </cell>
          <cell r="C954" t="str">
            <v>to environment (emission)</v>
          </cell>
          <cell r="E954" t="str">
            <v>Mass</v>
          </cell>
          <cell r="F954">
            <v>0.10100000000000001</v>
          </cell>
          <cell r="G954" t="str">
            <v>Mt</v>
          </cell>
          <cell r="H954" t="str">
            <v>Mt</v>
          </cell>
          <cell r="I954" t="str">
            <v>none</v>
          </cell>
          <cell r="J954" t="str">
            <v>[MIDDEN] TC0041</v>
          </cell>
          <cell r="K954" t="str">
            <v>Emission factors + carbon content of materials (example calculation in reference)</v>
          </cell>
          <cell r="L954">
            <v>48</v>
          </cell>
        </row>
        <row r="955">
          <cell r="A955" t="str">
            <v/>
          </cell>
          <cell r="E955" t="str">
            <v/>
          </cell>
          <cell r="K955" t="str">
            <v/>
          </cell>
          <cell r="L955" t="str">
            <v/>
          </cell>
        </row>
        <row r="956">
          <cell r="A956" t="str">
            <v>[MIDDEN] ULCOLYSIS cell</v>
          </cell>
          <cell r="B956" t="str">
            <v>crude steel</v>
          </cell>
          <cell r="C956" t="str">
            <v>reference_product</v>
          </cell>
          <cell r="D956">
            <v>7206</v>
          </cell>
          <cell r="E956" t="str">
            <v>Mass</v>
          </cell>
          <cell r="F956">
            <v>1</v>
          </cell>
          <cell r="G956" t="str">
            <v>Mt</v>
          </cell>
          <cell r="H956">
            <v>1</v>
          </cell>
          <cell r="I956" t="str">
            <v>none</v>
          </cell>
          <cell r="J956" t="str">
            <v>[MIDDEN] TC0042</v>
          </cell>
          <cell r="K956" t="str">
            <v xml:space="preserve">Verified by Tata Steel </v>
          </cell>
          <cell r="L956" t="str">
            <v/>
          </cell>
        </row>
        <row r="957">
          <cell r="A957" t="str">
            <v>[MIDDEN] ULCOLYSIS cell</v>
          </cell>
          <cell r="B957" t="str">
            <v>slag</v>
          </cell>
          <cell r="C957" t="str">
            <v>to technosphere (waste)</v>
          </cell>
          <cell r="E957" t="str">
            <v>Mass</v>
          </cell>
          <cell r="F957">
            <v>5.2900000000000003E-2</v>
          </cell>
          <cell r="G957" t="str">
            <v>Mt</v>
          </cell>
          <cell r="H957" t="str">
            <v>Mt</v>
          </cell>
          <cell r="I957" t="str">
            <v>none</v>
          </cell>
          <cell r="J957" t="str">
            <v>[MIDDEN] TC0042</v>
          </cell>
          <cell r="K957" t="str">
            <v/>
          </cell>
          <cell r="L957">
            <v>49</v>
          </cell>
        </row>
        <row r="958">
          <cell r="A958" t="str">
            <v>[MIDDEN] ULCOLYSIS cell</v>
          </cell>
          <cell r="B958" t="str">
            <v>oxygen</v>
          </cell>
          <cell r="C958" t="str">
            <v>from technosphere (material)</v>
          </cell>
          <cell r="E958" t="str">
            <v>Mass</v>
          </cell>
          <cell r="F958">
            <v>399</v>
          </cell>
          <cell r="G958" t="str">
            <v>kt</v>
          </cell>
          <cell r="H958" t="str">
            <v>Mt</v>
          </cell>
          <cell r="I958" t="str">
            <v>none</v>
          </cell>
          <cell r="J958" t="str">
            <v>[MIDDEN] TC0042</v>
          </cell>
          <cell r="K958" t="str">
            <v>3.e8 Nm3, 1.326 kg/Nm3</v>
          </cell>
          <cell r="L958">
            <v>49</v>
          </cell>
        </row>
        <row r="959">
          <cell r="A959" t="str">
            <v>[MIDDEN] ULCOLYSIS cell</v>
          </cell>
          <cell r="B959" t="str">
            <v>iron ore</v>
          </cell>
          <cell r="C959" t="str">
            <v>from environment (natural resource)</v>
          </cell>
          <cell r="E959" t="str">
            <v>Mass</v>
          </cell>
          <cell r="F959">
            <v>1.48</v>
          </cell>
          <cell r="G959" t="str">
            <v>Mt</v>
          </cell>
          <cell r="H959" t="str">
            <v>Mt</v>
          </cell>
          <cell r="I959" t="str">
            <v>none</v>
          </cell>
          <cell r="J959" t="str">
            <v>[MIDDEN] TC0042</v>
          </cell>
          <cell r="K959" t="str">
            <v/>
          </cell>
          <cell r="L959">
            <v>49</v>
          </cell>
        </row>
        <row r="960">
          <cell r="A960" t="str">
            <v>[MIDDEN] ULCOLYSIS cell</v>
          </cell>
          <cell r="B960" t="str">
            <v>electricity</v>
          </cell>
          <cell r="C960" t="str">
            <v>from technosphere (energy_carrier)</v>
          </cell>
          <cell r="E960" t="str">
            <v>Energy</v>
          </cell>
          <cell r="F960">
            <v>14.2</v>
          </cell>
          <cell r="G960" t="str">
            <v>PJ</v>
          </cell>
          <cell r="H960" t="str">
            <v>Mt</v>
          </cell>
          <cell r="I960" t="str">
            <v>none</v>
          </cell>
          <cell r="J960" t="str">
            <v>[MIDDEN] TC0042</v>
          </cell>
          <cell r="K960" t="str">
            <v/>
          </cell>
          <cell r="L960">
            <v>49</v>
          </cell>
        </row>
        <row r="961">
          <cell r="A961" t="str">
            <v/>
          </cell>
          <cell r="E961" t="str">
            <v/>
          </cell>
          <cell r="K961" t="str">
            <v/>
          </cell>
          <cell r="L961" t="str">
            <v/>
          </cell>
        </row>
        <row r="962">
          <cell r="A962" t="str">
            <v>[MIDDEN] Hall-Heroult process</v>
          </cell>
          <cell r="B962" t="str">
            <v>aliminium, primary, liquid</v>
          </cell>
          <cell r="C962" t="str">
            <v>reference_product</v>
          </cell>
          <cell r="D962">
            <v>7601</v>
          </cell>
          <cell r="E962" t="str">
            <v>Mass</v>
          </cell>
          <cell r="F962">
            <v>1</v>
          </cell>
          <cell r="G962" t="str">
            <v>tonne</v>
          </cell>
          <cell r="H962">
            <v>1</v>
          </cell>
          <cell r="I962" t="str">
            <v>none</v>
          </cell>
          <cell r="J962" t="str">
            <v>[MIDDEN] TC0217</v>
          </cell>
          <cell r="K962" t="str">
            <v/>
          </cell>
          <cell r="L962" t="str">
            <v/>
          </cell>
        </row>
        <row r="963">
          <cell r="A963" t="str">
            <v>[MIDDEN] Hall-Heroult process</v>
          </cell>
          <cell r="B963" t="str">
            <v>aluminium fluoride</v>
          </cell>
          <cell r="C963" t="str">
            <v>from technosphere (material)</v>
          </cell>
          <cell r="E963" t="str">
            <v>Mass</v>
          </cell>
          <cell r="F963">
            <v>16.5</v>
          </cell>
          <cell r="G963" t="str">
            <v>kg</v>
          </cell>
          <cell r="H963" t="str">
            <v>tonne</v>
          </cell>
          <cell r="I963" t="str">
            <v>none</v>
          </cell>
          <cell r="J963" t="str">
            <v>[MIDDEN] TC0217</v>
          </cell>
          <cell r="K963" t="str">
            <v>Indicative. AlF3 is periodically added to maximise the productivity of the electrolysis cells.</v>
          </cell>
          <cell r="L963">
            <v>58</v>
          </cell>
        </row>
        <row r="964">
          <cell r="A964" t="str">
            <v>[MIDDEN] Hall-Heroult process</v>
          </cell>
          <cell r="B964" t="str">
            <v>alumina</v>
          </cell>
          <cell r="C964" t="str">
            <v>from technosphere (material)</v>
          </cell>
          <cell r="E964" t="str">
            <v>Mass</v>
          </cell>
          <cell r="F964">
            <v>1.93</v>
          </cell>
          <cell r="G964" t="str">
            <v>tonne</v>
          </cell>
          <cell r="H964" t="str">
            <v>tonne</v>
          </cell>
          <cell r="I964" t="str">
            <v>none</v>
          </cell>
          <cell r="J964" t="str">
            <v>[MIDDEN] TC0217</v>
          </cell>
          <cell r="K964" t="str">
            <v>Indicative. Primary aluminium is extracted from aluminium oxide by means of electrolysis.</v>
          </cell>
          <cell r="L964" t="str">
            <v/>
          </cell>
        </row>
        <row r="965">
          <cell r="A965" t="str">
            <v>[MIDDEN] Hall-Heroult process</v>
          </cell>
          <cell r="B965" t="str">
            <v>prebaked carbon anodes</v>
          </cell>
          <cell r="C965" t="str">
            <v>from technosphere (product)</v>
          </cell>
          <cell r="E965" t="str">
            <v>Mass</v>
          </cell>
          <cell r="F965">
            <v>0.43</v>
          </cell>
          <cell r="G965" t="str">
            <v>tonne</v>
          </cell>
          <cell r="H965" t="str">
            <v>tonne</v>
          </cell>
          <cell r="I965" t="str">
            <v>none</v>
          </cell>
          <cell r="J965" t="str">
            <v>[MIDDEN] TC0217</v>
          </cell>
          <cell r="K965" t="str">
            <v>Indicative. The amount of carbon required per tonne of liquid primary aluminium.</v>
          </cell>
          <cell r="L965" t="str">
            <v/>
          </cell>
        </row>
        <row r="966">
          <cell r="A966" t="str">
            <v>[MIDDEN] Hall-Heroult process</v>
          </cell>
          <cell r="B966" t="str">
            <v>electricity</v>
          </cell>
          <cell r="C966" t="str">
            <v>from technosphere (energy_carrier)</v>
          </cell>
          <cell r="E966" t="str">
            <v>Energy</v>
          </cell>
          <cell r="F966">
            <v>54.8</v>
          </cell>
          <cell r="G966" t="str">
            <v>GJ</v>
          </cell>
          <cell r="H966" t="str">
            <v>tonne</v>
          </cell>
          <cell r="I966" t="str">
            <v>none</v>
          </cell>
          <cell r="J966" t="str">
            <v>[MIDDEN] TC0217</v>
          </cell>
          <cell r="K966" t="str">
            <v>Indicative. Amount of electricity consumed per tonne of liquid primary aluminium.</v>
          </cell>
          <cell r="L966">
            <v>58</v>
          </cell>
        </row>
        <row r="967">
          <cell r="A967" t="str">
            <v>[MIDDEN] Hall-Heroult process</v>
          </cell>
          <cell r="B967" t="str">
            <v>carbon dioxide</v>
          </cell>
          <cell r="C967" t="str">
            <v>to environment (emission)</v>
          </cell>
          <cell r="E967" t="str">
            <v>Mass</v>
          </cell>
          <cell r="F967">
            <v>1.58</v>
          </cell>
          <cell r="G967" t="str">
            <v>tonne</v>
          </cell>
          <cell r="H967" t="str">
            <v>tonne</v>
          </cell>
          <cell r="I967" t="str">
            <v>none</v>
          </cell>
          <cell r="J967" t="str">
            <v>[MIDDEN] TC0217</v>
          </cell>
          <cell r="K967" t="str">
            <v>Indicative. Based on a carbon anode consumption of 0.43 tonne per tonne of liquid primary aluminium.</v>
          </cell>
          <cell r="L967" t="str">
            <v/>
          </cell>
        </row>
        <row r="968">
          <cell r="A968" t="str">
            <v>[MIDDEN] Hall-Heroult process</v>
          </cell>
          <cell r="B968" t="str">
            <v>F-gases</v>
          </cell>
          <cell r="C968" t="str">
            <v>to environment (emission)</v>
          </cell>
          <cell r="E968" t="str">
            <v/>
          </cell>
          <cell r="F968">
            <v>5.5099999999999995E-4</v>
          </cell>
          <cell r="G968" t="str">
            <v>kt f_gases-eq</v>
          </cell>
          <cell r="H968" t="str">
            <v>tonne</v>
          </cell>
          <cell r="I968" t="str">
            <v>none</v>
          </cell>
          <cell r="J968" t="str">
            <v>[MIDDEN] TC0217</v>
          </cell>
          <cell r="K968" t="str">
            <v>Indicative. Emission of PFCs: CF4 and C2F6, expressed in f_gases equivalents.</v>
          </cell>
          <cell r="L968" t="str">
            <v/>
          </cell>
        </row>
        <row r="969">
          <cell r="A969" t="str">
            <v/>
          </cell>
          <cell r="E969" t="str">
            <v/>
          </cell>
          <cell r="K969" t="str">
            <v/>
          </cell>
          <cell r="L969" t="str">
            <v/>
          </cell>
        </row>
        <row r="970">
          <cell r="A970" t="str">
            <v>[MIDDEN] Casting of liquid primary aluminium</v>
          </cell>
          <cell r="B970" t="str">
            <v>aluminium billets and slabs</v>
          </cell>
          <cell r="C970" t="str">
            <v>reference_product</v>
          </cell>
          <cell r="D970">
            <v>7601</v>
          </cell>
          <cell r="E970" t="str">
            <v>Mass</v>
          </cell>
          <cell r="F970">
            <v>1</v>
          </cell>
          <cell r="G970" t="str">
            <v>tonne</v>
          </cell>
          <cell r="H970">
            <v>1</v>
          </cell>
          <cell r="I970" t="str">
            <v>none</v>
          </cell>
          <cell r="J970" t="str">
            <v>[MIDDEN] TC0218</v>
          </cell>
          <cell r="K970" t="str">
            <v/>
          </cell>
          <cell r="L970" t="str">
            <v/>
          </cell>
        </row>
        <row r="971">
          <cell r="A971" t="str">
            <v>[MIDDEN] Casting of liquid primary aluminium</v>
          </cell>
          <cell r="B971" t="str">
            <v>aliminium, primary, liquid</v>
          </cell>
          <cell r="C971" t="str">
            <v>from technosphere (material)</v>
          </cell>
          <cell r="E971" t="str">
            <v>Mass</v>
          </cell>
          <cell r="F971">
            <v>667</v>
          </cell>
          <cell r="G971" t="str">
            <v>kg</v>
          </cell>
          <cell r="H971" t="str">
            <v>tonne</v>
          </cell>
          <cell r="I971" t="str">
            <v>none</v>
          </cell>
          <cell r="J971" t="str">
            <v>[MIDDEN] TC0218</v>
          </cell>
          <cell r="K971" t="str">
            <v>Indicative. Liquid aluminium coming from the electrolysis department.</v>
          </cell>
          <cell r="L971">
            <v>58</v>
          </cell>
        </row>
        <row r="972">
          <cell r="A972" t="str">
            <v>[MIDDEN] Casting of liquid primary aluminium</v>
          </cell>
          <cell r="B972" t="str">
            <v>aluminium scrap, clean, industrial</v>
          </cell>
          <cell r="C972" t="str">
            <v>from technosphere (material)</v>
          </cell>
          <cell r="E972" t="str">
            <v>Mass</v>
          </cell>
          <cell r="F972">
            <v>127</v>
          </cell>
          <cell r="G972" t="str">
            <v>kg</v>
          </cell>
          <cell r="H972" t="str">
            <v>tonne</v>
          </cell>
          <cell r="I972" t="str">
            <v>none</v>
          </cell>
          <cell r="J972" t="str">
            <v>[MIDDEN] TC0218</v>
          </cell>
          <cell r="K972" t="str">
            <v xml:space="preserve">Indicative. To reduce on electricity costs, liquid primary aluminium is mixed with clean industrial aluminium scrap before it is casted. </v>
          </cell>
          <cell r="L972">
            <v>58</v>
          </cell>
        </row>
        <row r="973">
          <cell r="A973" t="str">
            <v>[MIDDEN] Casting of liquid primary aluminium</v>
          </cell>
          <cell r="B973" t="str">
            <v>aluminium, clean, pre-alloyed</v>
          </cell>
          <cell r="C973" t="str">
            <v>from technosphere (material)</v>
          </cell>
          <cell r="E973" t="str">
            <v>Mass</v>
          </cell>
          <cell r="F973">
            <v>202</v>
          </cell>
          <cell r="G973" t="str">
            <v>kg</v>
          </cell>
          <cell r="H973" t="str">
            <v>tonne</v>
          </cell>
          <cell r="I973" t="str">
            <v>none</v>
          </cell>
          <cell r="J973" t="str">
            <v>[MIDDEN] TC0218</v>
          </cell>
          <cell r="K973" t="str">
            <v>Indicative. To reduce on electricity costs, liquid primary aluminium is mixed with solid clean aluminium before it is casted.</v>
          </cell>
          <cell r="L973">
            <v>58</v>
          </cell>
        </row>
        <row r="974">
          <cell r="A974" t="str">
            <v>[MIDDEN] Casting of liquid primary aluminium</v>
          </cell>
          <cell r="B974" t="str">
            <v>aluminium alloys</v>
          </cell>
          <cell r="C974" t="str">
            <v>from technosphere (material)</v>
          </cell>
          <cell r="E974" t="str">
            <v>Mass</v>
          </cell>
          <cell r="F974">
            <v>20</v>
          </cell>
          <cell r="G974" t="str">
            <v>kg</v>
          </cell>
          <cell r="H974" t="str">
            <v>tonne</v>
          </cell>
          <cell r="I974" t="str">
            <v>none</v>
          </cell>
          <cell r="J974" t="str">
            <v>[MIDDEN] TC0218</v>
          </cell>
          <cell r="K974" t="str">
            <v>Indicative. Assumption based on average share of alloys in the production of secondary aluminium billets and slabs out of clean industrial scrap.</v>
          </cell>
          <cell r="L974" t="str">
            <v/>
          </cell>
        </row>
        <row r="975">
          <cell r="A975" t="str">
            <v>[MIDDEN] Casting of liquid primary aluminium</v>
          </cell>
          <cell r="B975" t="str">
            <v>electricity</v>
          </cell>
          <cell r="C975" t="str">
            <v>from technosphere (energy_carrier)</v>
          </cell>
          <cell r="E975" t="str">
            <v>Energy</v>
          </cell>
          <cell r="F975">
            <v>0.24099999999999999</v>
          </cell>
          <cell r="G975" t="str">
            <v>GJ</v>
          </cell>
          <cell r="H975" t="str">
            <v>tonne</v>
          </cell>
          <cell r="I975" t="str">
            <v>none</v>
          </cell>
          <cell r="J975" t="str">
            <v>[MIDDEN] TC0218</v>
          </cell>
          <cell r="K975" t="str">
            <v>Indicative. electricity consumed by induction furnaces.</v>
          </cell>
          <cell r="L975">
            <v>58</v>
          </cell>
        </row>
        <row r="976">
          <cell r="A976" t="str">
            <v>[MIDDEN] Casting of liquid primary aluminium</v>
          </cell>
          <cell r="B976" t="str">
            <v>natural gas</v>
          </cell>
          <cell r="C976" t="str">
            <v>from technosphere (energy_carrier)</v>
          </cell>
          <cell r="E976" t="str">
            <v>Energy</v>
          </cell>
          <cell r="F976">
            <v>2.63</v>
          </cell>
          <cell r="G976" t="str">
            <v>GJ</v>
          </cell>
          <cell r="H976" t="str">
            <v>tonne</v>
          </cell>
          <cell r="I976" t="str">
            <v>none</v>
          </cell>
          <cell r="J976" t="str">
            <v>[MIDDEN] TC0218</v>
          </cell>
          <cell r="K976" t="str">
            <v>Indicative. This includes natural gas consumed during homogenisation. 83 Nm3, converted to MJ using 31.65 MJ/Nm3.</v>
          </cell>
          <cell r="L976">
            <v>58</v>
          </cell>
        </row>
        <row r="977">
          <cell r="A977" t="str">
            <v>[MIDDEN] Casting of liquid primary aluminium</v>
          </cell>
          <cell r="B977" t="str">
            <v>carbon dioxide</v>
          </cell>
          <cell r="C977" t="str">
            <v>to environment (emission)</v>
          </cell>
          <cell r="E977" t="str">
            <v>Mass</v>
          </cell>
          <cell r="F977">
            <v>0.14799999999999999</v>
          </cell>
          <cell r="G977" t="str">
            <v>tonne</v>
          </cell>
          <cell r="H977" t="str">
            <v>tonne</v>
          </cell>
          <cell r="I977" t="str">
            <v>none</v>
          </cell>
          <cell r="J977" t="str">
            <v>[MIDDEN] TC0218</v>
          </cell>
          <cell r="K977" t="str">
            <v>Indicative. All f_gases emissions can be allocated to firing natural gas.</v>
          </cell>
          <cell r="L977">
            <v>58</v>
          </cell>
        </row>
        <row r="978">
          <cell r="A978" t="str">
            <v/>
          </cell>
          <cell r="E978" t="str">
            <v/>
          </cell>
          <cell r="K978" t="str">
            <v/>
          </cell>
          <cell r="L978" t="str">
            <v/>
          </cell>
        </row>
        <row r="979">
          <cell r="A979" t="str">
            <v>[MIDDEN] Inert anodes (primary aluminium producers)</v>
          </cell>
          <cell r="B979" t="str">
            <v>aliminium, primary, liquid</v>
          </cell>
          <cell r="C979" t="str">
            <v>reference_product</v>
          </cell>
          <cell r="D979">
            <v>7601</v>
          </cell>
          <cell r="E979" t="str">
            <v>Mass</v>
          </cell>
          <cell r="F979">
            <v>1</v>
          </cell>
          <cell r="G979" t="str">
            <v>tonne</v>
          </cell>
          <cell r="H979">
            <v>1</v>
          </cell>
          <cell r="I979" t="str">
            <v>none</v>
          </cell>
          <cell r="J979" t="str">
            <v>[MIDDEN] TC0219</v>
          </cell>
          <cell r="K979" t="str">
            <v/>
          </cell>
          <cell r="L979" t="str">
            <v/>
          </cell>
        </row>
        <row r="980">
          <cell r="A980" t="str">
            <v>[MIDDEN] Inert anodes (primary aluminium producers)</v>
          </cell>
          <cell r="B980" t="str">
            <v>aluminium fluoride</v>
          </cell>
          <cell r="C980" t="str">
            <v>from technosphere (material)</v>
          </cell>
          <cell r="E980" t="str">
            <v>Mass</v>
          </cell>
          <cell r="F980">
            <v>16.5</v>
          </cell>
          <cell r="G980" t="str">
            <v>kg</v>
          </cell>
          <cell r="H980" t="str">
            <v>tonne</v>
          </cell>
          <cell r="I980" t="str">
            <v>none</v>
          </cell>
          <cell r="J980" t="str">
            <v>[MIDDEN] TC0219</v>
          </cell>
          <cell r="K980" t="str">
            <v>Estimation. No changes compared to the base year configuration are assumed.</v>
          </cell>
          <cell r="L980">
            <v>58</v>
          </cell>
        </row>
        <row r="981">
          <cell r="A981" t="str">
            <v>[MIDDEN] Inert anodes (primary aluminium producers)</v>
          </cell>
          <cell r="B981" t="str">
            <v>alumina</v>
          </cell>
          <cell r="C981" t="str">
            <v>from technosphere (material)</v>
          </cell>
          <cell r="E981" t="str">
            <v>Mass</v>
          </cell>
          <cell r="F981">
            <v>1.93</v>
          </cell>
          <cell r="G981" t="str">
            <v>tonne</v>
          </cell>
          <cell r="H981" t="str">
            <v>tonne</v>
          </cell>
          <cell r="I981" t="str">
            <v>none</v>
          </cell>
          <cell r="J981" t="str">
            <v>[MIDDEN] TC0219</v>
          </cell>
          <cell r="K981" t="str">
            <v>Estimation. No changes compared to the base year configuration are assumed.</v>
          </cell>
          <cell r="L981" t="str">
            <v/>
          </cell>
        </row>
        <row r="982">
          <cell r="A982" t="str">
            <v>[MIDDEN] Inert anodes (primary aluminium producers)</v>
          </cell>
          <cell r="B982" t="str">
            <v>electricity</v>
          </cell>
          <cell r="C982" t="str">
            <v>from technosphere (energy_carrier)</v>
          </cell>
          <cell r="E982" t="str">
            <v>Energy</v>
          </cell>
          <cell r="F982">
            <v>65.599999999999994</v>
          </cell>
          <cell r="G982" t="str">
            <v>GJ</v>
          </cell>
          <cell r="H982" t="str">
            <v>tonne</v>
          </cell>
          <cell r="I982" t="str">
            <v>none</v>
          </cell>
          <cell r="J982" t="str">
            <v>[MIDDEN] TC0219</v>
          </cell>
          <cell r="K982" t="str">
            <v>Indicative. In general, it is estimated that inert anodes as a decarbonisation option on their own will increase the electricity consumption by approximately 3 MWh per tonne of liquid aluminium.</v>
          </cell>
          <cell r="L982" t="str">
            <v/>
          </cell>
        </row>
        <row r="983">
          <cell r="A983" t="str">
            <v/>
          </cell>
          <cell r="E983" t="str">
            <v/>
          </cell>
          <cell r="K983" t="str">
            <v/>
          </cell>
          <cell r="L983" t="str">
            <v/>
          </cell>
        </row>
        <row r="984">
          <cell r="A984" t="str">
            <v>[MIDDEN] Wetted cathodes</v>
          </cell>
          <cell r="B984" t="str">
            <v>aliminium, primary, liquid</v>
          </cell>
          <cell r="C984" t="str">
            <v>reference_product</v>
          </cell>
          <cell r="D984">
            <v>7601</v>
          </cell>
          <cell r="E984" t="str">
            <v>Mass</v>
          </cell>
          <cell r="F984">
            <v>1</v>
          </cell>
          <cell r="G984" t="str">
            <v>tonne</v>
          </cell>
          <cell r="H984">
            <v>1</v>
          </cell>
          <cell r="I984" t="str">
            <v>none</v>
          </cell>
          <cell r="J984" t="str">
            <v>[MIDDEN] TC0220</v>
          </cell>
          <cell r="K984" t="str">
            <v/>
          </cell>
          <cell r="L984" t="str">
            <v/>
          </cell>
        </row>
        <row r="985">
          <cell r="A985" t="str">
            <v>[MIDDEN] Wetted cathodes</v>
          </cell>
          <cell r="B985" t="str">
            <v>aluminium fluoride</v>
          </cell>
          <cell r="C985" t="str">
            <v>from technosphere (material)</v>
          </cell>
          <cell r="E985" t="str">
            <v>Mass</v>
          </cell>
          <cell r="F985">
            <v>16.5</v>
          </cell>
          <cell r="G985" t="str">
            <v>kg</v>
          </cell>
          <cell r="H985" t="str">
            <v>tonne</v>
          </cell>
          <cell r="I985" t="str">
            <v>none</v>
          </cell>
          <cell r="J985" t="str">
            <v>[MIDDEN] TC0220</v>
          </cell>
          <cell r="K985" t="str">
            <v>Estimation. No changes compared to the base year configuration are assumed.</v>
          </cell>
          <cell r="L985">
            <v>58</v>
          </cell>
        </row>
        <row r="986">
          <cell r="A986" t="str">
            <v>[MIDDEN] Wetted cathodes</v>
          </cell>
          <cell r="B986" t="str">
            <v>alumina</v>
          </cell>
          <cell r="C986" t="str">
            <v>from technosphere (material)</v>
          </cell>
          <cell r="E986" t="str">
            <v>Mass</v>
          </cell>
          <cell r="F986">
            <v>1.93</v>
          </cell>
          <cell r="G986" t="str">
            <v>tonne</v>
          </cell>
          <cell r="H986" t="str">
            <v>tonne</v>
          </cell>
          <cell r="I986" t="str">
            <v>none</v>
          </cell>
          <cell r="J986" t="str">
            <v>[MIDDEN] TC0220</v>
          </cell>
          <cell r="K986" t="str">
            <v>Estimation. No changes compared to the base year configuration are assumed.</v>
          </cell>
          <cell r="L986" t="str">
            <v/>
          </cell>
        </row>
        <row r="987">
          <cell r="A987" t="str">
            <v>[MIDDEN] Wetted cathodes</v>
          </cell>
          <cell r="B987" t="str">
            <v>prebaked carbon anodes</v>
          </cell>
          <cell r="C987" t="str">
            <v>from technosphere (product)</v>
          </cell>
          <cell r="E987" t="str">
            <v>Mass</v>
          </cell>
          <cell r="F987">
            <v>0.43</v>
          </cell>
          <cell r="G987" t="str">
            <v>tonne</v>
          </cell>
          <cell r="H987" t="str">
            <v>tonne</v>
          </cell>
          <cell r="I987" t="str">
            <v>none</v>
          </cell>
          <cell r="J987" t="str">
            <v>[MIDDEN] TC0220</v>
          </cell>
          <cell r="K987" t="str">
            <v>Estimation. No changes compared to the base year configuration are assumed.</v>
          </cell>
          <cell r="L987" t="str">
            <v/>
          </cell>
        </row>
        <row r="988">
          <cell r="A988" t="str">
            <v>[MIDDEN] Wetted cathodes</v>
          </cell>
          <cell r="B988" t="str">
            <v>electricity</v>
          </cell>
          <cell r="C988" t="str">
            <v>from technosphere (energy_carrier)</v>
          </cell>
          <cell r="E988" t="str">
            <v>Energy</v>
          </cell>
          <cell r="F988">
            <v>44.4</v>
          </cell>
          <cell r="G988" t="str">
            <v>GJ</v>
          </cell>
          <cell r="H988" t="str">
            <v>tonne</v>
          </cell>
          <cell r="I988" t="str">
            <v>none</v>
          </cell>
          <cell r="J988" t="str">
            <v>[MIDDEN] TC0220</v>
          </cell>
          <cell r="K988" t="str">
            <v>Indicative (average). By reducing the anode to cathode distance to 2 cm, the voltage drop through the electrolysis bath can be decreased with 1 V, corresponding with indicative electricity savings in the order of 15 to 23 %.</v>
          </cell>
          <cell r="L988">
            <v>62</v>
          </cell>
        </row>
        <row r="989">
          <cell r="A989" t="str">
            <v>[MIDDEN] Wetted cathodes</v>
          </cell>
          <cell r="B989" t="str">
            <v>carbon dioxide</v>
          </cell>
          <cell r="C989" t="str">
            <v>to environment (emission)</v>
          </cell>
          <cell r="E989" t="str">
            <v>Mass</v>
          </cell>
          <cell r="F989">
            <v>1.58</v>
          </cell>
          <cell r="G989" t="str">
            <v>tonne</v>
          </cell>
          <cell r="H989" t="str">
            <v>tonne</v>
          </cell>
          <cell r="I989" t="str">
            <v>none</v>
          </cell>
          <cell r="J989" t="str">
            <v>[MIDDEN] TC0220</v>
          </cell>
          <cell r="K989" t="str">
            <v>Estimation. No changes compared to the base year configuration are assumed.</v>
          </cell>
          <cell r="L989" t="str">
            <v/>
          </cell>
        </row>
        <row r="990">
          <cell r="A990" t="str">
            <v>[MIDDEN] Wetted cathodes</v>
          </cell>
          <cell r="B990" t="str">
            <v>F-gases</v>
          </cell>
          <cell r="C990" t="str">
            <v>to environment (emission)</v>
          </cell>
          <cell r="E990" t="str">
            <v/>
          </cell>
          <cell r="F990">
            <v>1.3799999999999999E-4</v>
          </cell>
          <cell r="G990" t="str">
            <v>kt f_gases-eq</v>
          </cell>
          <cell r="H990" t="str">
            <v>tonne</v>
          </cell>
          <cell r="I990" t="str">
            <v>none</v>
          </cell>
          <cell r="J990" t="str">
            <v>[MIDDEN] TC0220</v>
          </cell>
          <cell r="K990" t="str">
            <v>Indicative. Since the sloped surfaces prevent bath gases to accumulate under the anode, PFC emissions are expected to decrease with 75% f_gases-eq.</v>
          </cell>
          <cell r="L990" t="str">
            <v/>
          </cell>
        </row>
        <row r="991">
          <cell r="A991" t="str">
            <v/>
          </cell>
          <cell r="E991" t="str">
            <v/>
          </cell>
          <cell r="K991" t="str">
            <v/>
          </cell>
          <cell r="L991" t="str">
            <v/>
          </cell>
        </row>
        <row r="992">
          <cell r="A992" t="str">
            <v>[MIDDEN] Green gas-fired furnaces (casting department primary aluminium producers)</v>
          </cell>
          <cell r="B992" t="str">
            <v>aluminium billets and slabs</v>
          </cell>
          <cell r="C992" t="str">
            <v>reference_product</v>
          </cell>
          <cell r="D992">
            <v>7601</v>
          </cell>
          <cell r="E992" t="str">
            <v>Mass</v>
          </cell>
          <cell r="F992">
            <v>1</v>
          </cell>
          <cell r="G992" t="str">
            <v>tonne</v>
          </cell>
          <cell r="H992">
            <v>1</v>
          </cell>
          <cell r="I992" t="str">
            <v>none</v>
          </cell>
          <cell r="J992" t="str">
            <v>[MIDDEN] TC0221</v>
          </cell>
          <cell r="K992" t="str">
            <v/>
          </cell>
          <cell r="L992" t="str">
            <v/>
          </cell>
        </row>
        <row r="993">
          <cell r="A993" t="str">
            <v>[MIDDEN] Green gas-fired furnaces (casting department primary aluminium producers)</v>
          </cell>
          <cell r="B993" t="str">
            <v>aliminium, primary, liquid</v>
          </cell>
          <cell r="C993" t="str">
            <v>from technosphere (material)</v>
          </cell>
          <cell r="E993" t="str">
            <v>Mass</v>
          </cell>
          <cell r="F993">
            <v>667</v>
          </cell>
          <cell r="G993" t="str">
            <v>kg</v>
          </cell>
          <cell r="H993" t="str">
            <v>tonne</v>
          </cell>
          <cell r="I993" t="str">
            <v>none</v>
          </cell>
          <cell r="J993" t="str">
            <v>[MIDDEN] TC0221</v>
          </cell>
          <cell r="K993" t="str">
            <v>Estimation. No changes compared to the base year configuration are assumed.</v>
          </cell>
          <cell r="L993">
            <v>58</v>
          </cell>
        </row>
        <row r="994">
          <cell r="A994" t="str">
            <v>[MIDDEN] Green gas-fired furnaces (casting department primary aluminium producers)</v>
          </cell>
          <cell r="B994" t="str">
            <v>aluminium scrap, clean, industrial</v>
          </cell>
          <cell r="C994" t="str">
            <v>from technosphere (material)</v>
          </cell>
          <cell r="E994" t="str">
            <v>Mass</v>
          </cell>
          <cell r="F994">
            <v>127</v>
          </cell>
          <cell r="G994" t="str">
            <v>kg</v>
          </cell>
          <cell r="H994" t="str">
            <v>tonne</v>
          </cell>
          <cell r="I994" t="str">
            <v>none</v>
          </cell>
          <cell r="J994" t="str">
            <v>[MIDDEN] TC0221</v>
          </cell>
          <cell r="K994" t="str">
            <v>Estimation. No changes compared to the base year configuration are assumed.</v>
          </cell>
          <cell r="L994">
            <v>58</v>
          </cell>
        </row>
        <row r="995">
          <cell r="A995" t="str">
            <v>[MIDDEN] Green gas-fired furnaces (casting department primary aluminium producers)</v>
          </cell>
          <cell r="B995" t="str">
            <v>aluminium, clean, pre-alloyed</v>
          </cell>
          <cell r="C995" t="str">
            <v>from technosphere (material)</v>
          </cell>
          <cell r="E995" t="str">
            <v>Mass</v>
          </cell>
          <cell r="F995">
            <v>202</v>
          </cell>
          <cell r="G995" t="str">
            <v>kg</v>
          </cell>
          <cell r="H995" t="str">
            <v>tonne</v>
          </cell>
          <cell r="I995" t="str">
            <v>none</v>
          </cell>
          <cell r="J995" t="str">
            <v>[MIDDEN] TC0221</v>
          </cell>
          <cell r="K995" t="str">
            <v>Estimation. No changes compared to the base year configuration are assumed.</v>
          </cell>
          <cell r="L995">
            <v>58</v>
          </cell>
        </row>
        <row r="996">
          <cell r="A996" t="str">
            <v>[MIDDEN] Green gas-fired furnaces (casting department primary aluminium producers)</v>
          </cell>
          <cell r="B996" t="str">
            <v>aluminium alloys</v>
          </cell>
          <cell r="C996" t="str">
            <v>from technosphere (material)</v>
          </cell>
          <cell r="E996" t="str">
            <v>Mass</v>
          </cell>
          <cell r="F996">
            <v>20</v>
          </cell>
          <cell r="G996" t="str">
            <v>kg</v>
          </cell>
          <cell r="H996" t="str">
            <v>tonne</v>
          </cell>
          <cell r="I996" t="str">
            <v>none</v>
          </cell>
          <cell r="J996" t="str">
            <v>[MIDDEN] TC0221</v>
          </cell>
          <cell r="K996" t="str">
            <v>Estimation. No changes compared to the base year configuration are assumed.</v>
          </cell>
          <cell r="L996" t="str">
            <v/>
          </cell>
        </row>
        <row r="997">
          <cell r="A997" t="str">
            <v>[MIDDEN] Green gas-fired furnaces (casting department primary aluminium producers)</v>
          </cell>
          <cell r="B997" t="str">
            <v>electricity</v>
          </cell>
          <cell r="C997" t="str">
            <v>from technosphere (energy_carrier)</v>
          </cell>
          <cell r="E997" t="str">
            <v>Energy</v>
          </cell>
          <cell r="F997">
            <v>0.24099999999999999</v>
          </cell>
          <cell r="G997" t="str">
            <v>GJ</v>
          </cell>
          <cell r="H997" t="str">
            <v>tonne</v>
          </cell>
          <cell r="I997" t="str">
            <v>none</v>
          </cell>
          <cell r="J997" t="str">
            <v>[MIDDEN] TC0221</v>
          </cell>
          <cell r="K997" t="str">
            <v>Estimation. No changes compared to the base year configuration are assumed.</v>
          </cell>
          <cell r="L997">
            <v>58</v>
          </cell>
        </row>
        <row r="998">
          <cell r="A998" t="str">
            <v>[MIDDEN] Green gas-fired furnaces (casting department primary aluminium producers)</v>
          </cell>
          <cell r="B998" t="str">
            <v>green gas</v>
          </cell>
          <cell r="C998" t="str">
            <v>from technosphere (energy_carrier)</v>
          </cell>
          <cell r="E998" t="str">
            <v>Energy</v>
          </cell>
          <cell r="F998">
            <v>2.63</v>
          </cell>
          <cell r="G998" t="str">
            <v>GJ</v>
          </cell>
          <cell r="H998" t="str">
            <v>tonne</v>
          </cell>
          <cell r="I998" t="str">
            <v>none</v>
          </cell>
          <cell r="J998" t="str">
            <v>[MIDDEN] TC0221</v>
          </cell>
          <cell r="K998" t="str">
            <v>Current natural gas consumption is 83 Nm3 per tonne of aluminium billet or slab. Converted to MJ using 31.65 MJ/Nm3.</v>
          </cell>
          <cell r="L998">
            <v>58</v>
          </cell>
        </row>
        <row r="999">
          <cell r="A999" t="str">
            <v/>
          </cell>
          <cell r="E999" t="str">
            <v/>
          </cell>
          <cell r="K999" t="str">
            <v/>
          </cell>
          <cell r="L999" t="str">
            <v/>
          </cell>
        </row>
        <row r="1000">
          <cell r="A1000" t="str">
            <v>[MIDDEN] Production of prebaked carbon anodes</v>
          </cell>
          <cell r="B1000" t="str">
            <v>prebaked carbon anodes</v>
          </cell>
          <cell r="C1000" t="str">
            <v>reference_product</v>
          </cell>
          <cell r="D1000">
            <v>8545</v>
          </cell>
          <cell r="E1000" t="str">
            <v>Mass</v>
          </cell>
          <cell r="F1000">
            <v>1</v>
          </cell>
          <cell r="G1000" t="str">
            <v>tonne</v>
          </cell>
          <cell r="H1000">
            <v>1</v>
          </cell>
          <cell r="I1000" t="str">
            <v>none</v>
          </cell>
          <cell r="J1000" t="str">
            <v>[MIDDEN] TC0222</v>
          </cell>
          <cell r="K1000" t="str">
            <v/>
          </cell>
          <cell r="L1000" t="str">
            <v/>
          </cell>
        </row>
        <row r="1001">
          <cell r="A1001" t="str">
            <v>[MIDDEN] Production of prebaked carbon anodes</v>
          </cell>
          <cell r="B1001" t="str">
            <v>petroleum coke</v>
          </cell>
          <cell r="C1001" t="str">
            <v>from technosphere (material)</v>
          </cell>
          <cell r="E1001" t="str">
            <v>Mass</v>
          </cell>
          <cell r="F1001">
            <v>696</v>
          </cell>
          <cell r="G1001" t="str">
            <v>kg</v>
          </cell>
          <cell r="H1001" t="str">
            <v>tonne</v>
          </cell>
          <cell r="I1001" t="str">
            <v>none</v>
          </cell>
          <cell r="J1001" t="str">
            <v>[MIDDEN] TC0222</v>
          </cell>
          <cell r="K1001" t="str">
            <v>Indicative (average). Petroleum coke is the leading raw material used in the anode production process.</v>
          </cell>
          <cell r="L1001" t="str">
            <v/>
          </cell>
        </row>
        <row r="1002">
          <cell r="A1002" t="str">
            <v>[MIDDEN] Production of prebaked carbon anodes</v>
          </cell>
          <cell r="B1002" t="str">
            <v>anode residues</v>
          </cell>
          <cell r="C1002" t="str">
            <v>to technosphere (by-product)</v>
          </cell>
          <cell r="E1002" t="str">
            <v>Mass</v>
          </cell>
          <cell r="F1002">
            <v>194</v>
          </cell>
          <cell r="G1002" t="str">
            <v>kg</v>
          </cell>
          <cell r="H1002" t="str">
            <v>tonne</v>
          </cell>
          <cell r="I1002" t="str">
            <v>none</v>
          </cell>
          <cell r="J1002" t="str">
            <v>[MIDDEN] TC0222</v>
          </cell>
          <cell r="K1002" t="str">
            <v xml:space="preserve">Indicative (average). To reduce waste streams, a part of the input materials consists of anode residues, coming from primary aluminium factories. </v>
          </cell>
          <cell r="L1002" t="str">
            <v/>
          </cell>
        </row>
        <row r="1003">
          <cell r="A1003" t="str">
            <v>[MIDDEN] Production of prebaked carbon anodes</v>
          </cell>
          <cell r="B1003" t="str">
            <v>coaltar pitch</v>
          </cell>
          <cell r="C1003" t="str">
            <v>from technosphere (material)</v>
          </cell>
          <cell r="E1003" t="str">
            <v>Mass</v>
          </cell>
          <cell r="F1003">
            <v>147</v>
          </cell>
          <cell r="G1003" t="str">
            <v>kg</v>
          </cell>
          <cell r="H1003" t="str">
            <v>tonne</v>
          </cell>
          <cell r="I1003" t="str">
            <v>none</v>
          </cell>
          <cell r="J1003" t="str">
            <v>[MIDDEN] TC0222</v>
          </cell>
          <cell r="K1003" t="str">
            <v>Indicative. To bind crushed pet coke and anode residues, anode plants make use of preheated pitch.</v>
          </cell>
          <cell r="L1003" t="str">
            <v/>
          </cell>
        </row>
        <row r="1004">
          <cell r="A1004" t="str">
            <v>[MIDDEN] Production of prebaked carbon anodes</v>
          </cell>
          <cell r="B1004" t="str">
            <v>electricity</v>
          </cell>
          <cell r="C1004" t="str">
            <v>from technosphere (energy_carrier)</v>
          </cell>
          <cell r="E1004" t="str">
            <v>Energy</v>
          </cell>
          <cell r="F1004">
            <v>0.497</v>
          </cell>
          <cell r="G1004" t="str">
            <v>GJ</v>
          </cell>
          <cell r="H1004" t="str">
            <v>tonne</v>
          </cell>
          <cell r="I1004" t="str">
            <v>none</v>
          </cell>
          <cell r="J1004" t="str">
            <v>[MIDDEN] TC0222</v>
          </cell>
          <cell r="K1004" t="str">
            <v>Indicative. electricity is mainly consumed (67%) during the production of green anodes.</v>
          </cell>
          <cell r="L1004">
            <v>64</v>
          </cell>
        </row>
        <row r="1005">
          <cell r="A1005" t="str">
            <v>[MIDDEN] Production of prebaked carbon anodes</v>
          </cell>
          <cell r="B1005" t="str">
            <v>natural gas</v>
          </cell>
          <cell r="C1005" t="str">
            <v>from technosphere (energy_carrier)</v>
          </cell>
          <cell r="E1005" t="str">
            <v>Energy</v>
          </cell>
          <cell r="F1005">
            <v>3.67</v>
          </cell>
          <cell r="G1005" t="str">
            <v>GJ</v>
          </cell>
          <cell r="H1005" t="str">
            <v>tonne</v>
          </cell>
          <cell r="I1005" t="str">
            <v>none</v>
          </cell>
          <cell r="J1005" t="str">
            <v>[MIDDEN] TC0222</v>
          </cell>
          <cell r="K1005" t="str">
            <v>Indicative (average). Natural gas is mainly consumed during the baking of green anodes. Converted to MJ using 31.65 MJ/Nm3.</v>
          </cell>
          <cell r="L1005">
            <v>64</v>
          </cell>
        </row>
        <row r="1006">
          <cell r="A1006" t="str">
            <v>[MIDDEN] Production of prebaked carbon anodes</v>
          </cell>
          <cell r="B1006" t="str">
            <v>carbon dioxide</v>
          </cell>
          <cell r="C1006" t="str">
            <v>to environment (emission)</v>
          </cell>
          <cell r="E1006" t="str">
            <v>Mass</v>
          </cell>
          <cell r="F1006">
            <v>0.495</v>
          </cell>
          <cell r="G1006" t="str">
            <v>tonne</v>
          </cell>
          <cell r="H1006" t="str">
            <v>tonne</v>
          </cell>
          <cell r="I1006" t="str">
            <v>none</v>
          </cell>
          <cell r="J1006" t="str">
            <v>[MIDDEN] TC0222</v>
          </cell>
          <cell r="K1006" t="str">
            <v>Indicative (average). f_gases emissions can be allocated to firing natural gas and the combustion of VOCs and packing coke.</v>
          </cell>
          <cell r="L1006" t="str">
            <v/>
          </cell>
        </row>
        <row r="1007">
          <cell r="A1007" t="str">
            <v/>
          </cell>
          <cell r="E1007" t="str">
            <v/>
          </cell>
          <cell r="K1007" t="str">
            <v/>
          </cell>
          <cell r="L1007" t="str">
            <v/>
          </cell>
        </row>
        <row r="1008">
          <cell r="A1008" t="str">
            <v>[MIDDEN] Green gas-fired furnaces (anode plants)</v>
          </cell>
          <cell r="B1008" t="str">
            <v>prebaked carbon anodes</v>
          </cell>
          <cell r="C1008" t="str">
            <v>reference_product</v>
          </cell>
          <cell r="D1008">
            <v>8545</v>
          </cell>
          <cell r="E1008" t="str">
            <v>Mass</v>
          </cell>
          <cell r="F1008">
            <v>1</v>
          </cell>
          <cell r="G1008" t="str">
            <v>tonne</v>
          </cell>
          <cell r="H1008">
            <v>1</v>
          </cell>
          <cell r="I1008" t="str">
            <v>none</v>
          </cell>
          <cell r="J1008" t="str">
            <v>[MIDDEN] TC0223</v>
          </cell>
          <cell r="K1008" t="str">
            <v/>
          </cell>
          <cell r="L1008" t="str">
            <v/>
          </cell>
        </row>
        <row r="1009">
          <cell r="A1009" t="str">
            <v>[MIDDEN] Green gas-fired furnaces (anode plants)</v>
          </cell>
          <cell r="B1009" t="str">
            <v>petroleum coke</v>
          </cell>
          <cell r="C1009" t="str">
            <v>from technosphere (material)</v>
          </cell>
          <cell r="E1009" t="str">
            <v>Mass</v>
          </cell>
          <cell r="F1009">
            <v>696</v>
          </cell>
          <cell r="G1009" t="str">
            <v>kg</v>
          </cell>
          <cell r="H1009" t="str">
            <v>tonne</v>
          </cell>
          <cell r="I1009" t="str">
            <v>none</v>
          </cell>
          <cell r="J1009" t="str">
            <v>[MIDDEN] TC0223</v>
          </cell>
          <cell r="K1009" t="str">
            <v>Estimation. No changes compared to the base year configuration are assumed.</v>
          </cell>
          <cell r="L1009" t="str">
            <v/>
          </cell>
        </row>
        <row r="1010">
          <cell r="A1010" t="str">
            <v>[MIDDEN] Green gas-fired furnaces (anode plants)</v>
          </cell>
          <cell r="B1010" t="str">
            <v>anode residues</v>
          </cell>
          <cell r="C1010" t="str">
            <v>to technosphere (by-product)</v>
          </cell>
          <cell r="E1010" t="str">
            <v>Mass</v>
          </cell>
          <cell r="F1010">
            <v>194</v>
          </cell>
          <cell r="G1010" t="str">
            <v>kg</v>
          </cell>
          <cell r="H1010" t="str">
            <v>tonne</v>
          </cell>
          <cell r="I1010" t="str">
            <v>none</v>
          </cell>
          <cell r="J1010" t="str">
            <v>[MIDDEN] TC0223</v>
          </cell>
          <cell r="K1010" t="str">
            <v>Estimation. No changes compared to the base year configuration are assumed.</v>
          </cell>
          <cell r="L1010" t="str">
            <v/>
          </cell>
        </row>
        <row r="1011">
          <cell r="A1011" t="str">
            <v>[MIDDEN] Green gas-fired furnaces (anode plants)</v>
          </cell>
          <cell r="B1011" t="str">
            <v>coaltar pitch</v>
          </cell>
          <cell r="C1011" t="str">
            <v>from technosphere (material)</v>
          </cell>
          <cell r="E1011" t="str">
            <v>Mass</v>
          </cell>
          <cell r="F1011">
            <v>147</v>
          </cell>
          <cell r="G1011" t="str">
            <v>kg</v>
          </cell>
          <cell r="H1011" t="str">
            <v>tonne</v>
          </cell>
          <cell r="I1011" t="str">
            <v>none</v>
          </cell>
          <cell r="J1011" t="str">
            <v>[MIDDEN] TC0223</v>
          </cell>
          <cell r="K1011" t="str">
            <v>Estimation. No changes compared to the base year configuration are assumed.</v>
          </cell>
          <cell r="L1011" t="str">
            <v/>
          </cell>
        </row>
        <row r="1012">
          <cell r="A1012" t="str">
            <v>[MIDDEN] Green gas-fired furnaces (anode plants)</v>
          </cell>
          <cell r="B1012" t="str">
            <v>electricity</v>
          </cell>
          <cell r="C1012" t="str">
            <v>from technosphere (energy_carrier)</v>
          </cell>
          <cell r="E1012" t="str">
            <v>Energy</v>
          </cell>
          <cell r="F1012">
            <v>0.497</v>
          </cell>
          <cell r="G1012" t="str">
            <v>GJ</v>
          </cell>
          <cell r="H1012" t="str">
            <v>tonne</v>
          </cell>
          <cell r="I1012" t="str">
            <v>none</v>
          </cell>
          <cell r="J1012" t="str">
            <v>[MIDDEN] TC0223</v>
          </cell>
          <cell r="K1012" t="str">
            <v>Estimation. No changes compared to the base year configuration are assumed.</v>
          </cell>
          <cell r="L1012">
            <v>64</v>
          </cell>
        </row>
        <row r="1013">
          <cell r="A1013" t="str">
            <v>[MIDDEN] Green gas-fired furnaces (anode plants)</v>
          </cell>
          <cell r="B1013" t="str">
            <v>green gas</v>
          </cell>
          <cell r="C1013" t="str">
            <v>from technosphere (energy_carrier)</v>
          </cell>
          <cell r="E1013" t="str">
            <v>Energy</v>
          </cell>
          <cell r="F1013">
            <v>3.67</v>
          </cell>
          <cell r="G1013" t="str">
            <v>GJ</v>
          </cell>
          <cell r="H1013" t="str">
            <v>tonne</v>
          </cell>
          <cell r="I1013" t="str">
            <v>none</v>
          </cell>
          <cell r="J1013" t="str">
            <v>[MIDDEN] TC0223</v>
          </cell>
          <cell r="K1013" t="str">
            <v>Current natural gas consumption is 111 - 121 Nm3 per tonne of anode. Converted to MJ using 31.65 MJ/Nm3.</v>
          </cell>
          <cell r="L1013">
            <v>64</v>
          </cell>
        </row>
        <row r="1014">
          <cell r="A1014" t="str">
            <v>[MIDDEN] Green gas-fired furnaces (anode plants)</v>
          </cell>
          <cell r="B1014" t="str">
            <v>carbon dioxide</v>
          </cell>
          <cell r="C1014" t="str">
            <v>to environment (emission)</v>
          </cell>
          <cell r="E1014" t="str">
            <v>Mass</v>
          </cell>
          <cell r="F1014">
            <v>0.28599999999999998</v>
          </cell>
          <cell r="G1014" t="str">
            <v>tonne</v>
          </cell>
          <cell r="H1014" t="str">
            <v>tonne</v>
          </cell>
          <cell r="I1014" t="str">
            <v>none</v>
          </cell>
          <cell r="J1014" t="str">
            <v>[MIDDEN] TC0223</v>
          </cell>
          <cell r="K1014" t="str">
            <v>Indication/estimation. Approximately 40 – 45% of direct f_gases emissions from producing carbon anodes are related to firing natural gas. So, switching to green gas means that 40 – 45% of direct f_gases emissions can be avoided.</v>
          </cell>
          <cell r="L1014" t="str">
            <v/>
          </cell>
        </row>
        <row r="1015">
          <cell r="A1015" t="str">
            <v/>
          </cell>
          <cell r="E1015" t="str">
            <v/>
          </cell>
          <cell r="K1015" t="str">
            <v/>
          </cell>
          <cell r="L1015" t="str">
            <v/>
          </cell>
        </row>
        <row r="1016">
          <cell r="A1016" t="str">
            <v>[MIDDEN] Recycling and casting of secondary aluminium</v>
          </cell>
          <cell r="B1016" t="str">
            <v>aluminium billets and slabs</v>
          </cell>
          <cell r="C1016" t="str">
            <v>reference_product</v>
          </cell>
          <cell r="D1016">
            <v>7601</v>
          </cell>
          <cell r="E1016" t="str">
            <v>Mass</v>
          </cell>
          <cell r="F1016">
            <v>1</v>
          </cell>
          <cell r="G1016" t="str">
            <v>tonne</v>
          </cell>
          <cell r="H1016">
            <v>1</v>
          </cell>
          <cell r="I1016" t="str">
            <v>none</v>
          </cell>
          <cell r="J1016" t="str">
            <v>[MIDDEN] TC0224</v>
          </cell>
          <cell r="K1016" t="str">
            <v/>
          </cell>
          <cell r="L1016" t="str">
            <v/>
          </cell>
        </row>
        <row r="1017">
          <cell r="A1017" t="str">
            <v>[MIDDEN] Recycling and casting of secondary aluminium</v>
          </cell>
          <cell r="B1017" t="str">
            <v>aluminium scrap, clean</v>
          </cell>
          <cell r="C1017" t="str">
            <v>from technosphere (material)</v>
          </cell>
          <cell r="E1017" t="str">
            <v>Mass</v>
          </cell>
          <cell r="F1017">
            <v>600</v>
          </cell>
          <cell r="G1017" t="str">
            <v>kg</v>
          </cell>
          <cell r="H1017" t="str">
            <v>tonne</v>
          </cell>
          <cell r="I1017" t="str">
            <v>none</v>
          </cell>
          <cell r="J1017" t="str">
            <v>[MIDDEN] TC0224</v>
          </cell>
          <cell r="K1017" t="str">
            <v>Indication/estimation (average). Based on the production processes at E-MAX and Zalco.</v>
          </cell>
          <cell r="L1017" t="str">
            <v/>
          </cell>
        </row>
        <row r="1018">
          <cell r="A1018" t="str">
            <v>[MIDDEN] Recycling and casting of secondary aluminium</v>
          </cell>
          <cell r="B1018" t="str">
            <v>aluminium, scrap, contaminated</v>
          </cell>
          <cell r="C1018" t="str">
            <v>from technosphere (material)</v>
          </cell>
          <cell r="E1018" t="str">
            <v>Mass</v>
          </cell>
          <cell r="F1018">
            <v>150</v>
          </cell>
          <cell r="G1018" t="str">
            <v>kg</v>
          </cell>
          <cell r="H1018" t="str">
            <v>tonne</v>
          </cell>
          <cell r="I1018" t="str">
            <v>none</v>
          </cell>
          <cell r="J1018" t="str">
            <v>[MIDDEN] TC0224</v>
          </cell>
          <cell r="K1018" t="str">
            <v>Indication/estimation. Based on the production processes at E-MAX and Zalco.</v>
          </cell>
          <cell r="L1018" t="str">
            <v/>
          </cell>
        </row>
        <row r="1019">
          <cell r="A1019" t="str">
            <v>[MIDDEN] Recycling and casting of secondary aluminium</v>
          </cell>
          <cell r="B1019" t="str">
            <v>primary aluminium ingots</v>
          </cell>
          <cell r="C1019" t="str">
            <v>from technosphere (material)</v>
          </cell>
          <cell r="E1019" t="str">
            <v>Mass</v>
          </cell>
          <cell r="F1019">
            <v>250</v>
          </cell>
          <cell r="G1019" t="str">
            <v>kg</v>
          </cell>
          <cell r="H1019" t="str">
            <v>tonne</v>
          </cell>
          <cell r="I1019" t="str">
            <v>none</v>
          </cell>
          <cell r="J1019" t="str">
            <v>[MIDDEN] TC0224</v>
          </cell>
          <cell r="K1019" t="str">
            <v xml:space="preserve">Indication/estimation. By adding primary aluminium the quality of the end product can be increased to match with that of pure primary aluminium. </v>
          </cell>
          <cell r="L1019" t="str">
            <v/>
          </cell>
        </row>
        <row r="1020">
          <cell r="A1020" t="str">
            <v>[MIDDEN] Recycling and casting of secondary aluminium</v>
          </cell>
          <cell r="B1020" t="str">
            <v>aluminium alloys</v>
          </cell>
          <cell r="C1020" t="str">
            <v>from technosphere (material)</v>
          </cell>
          <cell r="E1020" t="str">
            <v>Mass</v>
          </cell>
          <cell r="F1020">
            <v>12.5</v>
          </cell>
          <cell r="G1020" t="str">
            <v>kg</v>
          </cell>
          <cell r="H1020" t="str">
            <v>tonne</v>
          </cell>
          <cell r="I1020" t="str">
            <v>none</v>
          </cell>
          <cell r="J1020" t="str">
            <v>[MIDDEN] TC0224</v>
          </cell>
          <cell r="K1020" t="str">
            <v>Indicative. Average share of alloys in the production of secondary aluminium billets and slabs.</v>
          </cell>
          <cell r="L1020">
            <v>66</v>
          </cell>
        </row>
        <row r="1021">
          <cell r="A1021" t="str">
            <v>[MIDDEN] Recycling and casting of secondary aluminium</v>
          </cell>
          <cell r="B1021" t="str">
            <v>electricity</v>
          </cell>
          <cell r="C1021" t="str">
            <v>from technosphere (energy_carrier)</v>
          </cell>
          <cell r="E1021" t="str">
            <v>Energy</v>
          </cell>
          <cell r="F1021">
            <v>0.57599999999999996</v>
          </cell>
          <cell r="G1021" t="str">
            <v>GJ</v>
          </cell>
          <cell r="H1021" t="str">
            <v>tonne</v>
          </cell>
          <cell r="I1021" t="str">
            <v>none</v>
          </cell>
          <cell r="J1021" t="str">
            <v>[MIDDEN] TC0224</v>
          </cell>
          <cell r="K1021" t="str">
            <v>Indicative. electricity is mainly used by auxiliary equipment, like electric motors.</v>
          </cell>
          <cell r="L1021">
            <v>66</v>
          </cell>
        </row>
        <row r="1022">
          <cell r="A1022" t="str">
            <v>[MIDDEN] Recycling and casting of secondary aluminium</v>
          </cell>
          <cell r="B1022" t="str">
            <v>natural gas</v>
          </cell>
          <cell r="C1022" t="str">
            <v>from technosphere (energy_carrier)</v>
          </cell>
          <cell r="E1022" t="str">
            <v>Energy</v>
          </cell>
          <cell r="F1022">
            <v>6.33</v>
          </cell>
          <cell r="G1022" t="str">
            <v>GJ</v>
          </cell>
          <cell r="H1022" t="str">
            <v>tonne</v>
          </cell>
          <cell r="I1022" t="str">
            <v>none</v>
          </cell>
          <cell r="J1022" t="str">
            <v>[MIDDEN] TC0224</v>
          </cell>
          <cell r="K1022" t="str">
            <v>Indicative (average). Natural gas is mainly used for remelting, casting, and homogenizing aluminium. 150-250 Nm3 converted to MJ using 31.65 MJ/Nm3.</v>
          </cell>
          <cell r="L1022">
            <v>66</v>
          </cell>
        </row>
        <row r="1023">
          <cell r="A1023" t="str">
            <v>[MIDDEN] Recycling and casting of secondary aluminium</v>
          </cell>
          <cell r="B1023" t="str">
            <v>carbon dioxide</v>
          </cell>
          <cell r="C1023" t="str">
            <v>to environment (emission)</v>
          </cell>
          <cell r="E1023" t="str">
            <v>Mass</v>
          </cell>
          <cell r="F1023">
            <v>0.36499999999999999</v>
          </cell>
          <cell r="G1023" t="str">
            <v>tonne</v>
          </cell>
          <cell r="H1023" t="str">
            <v>tonne</v>
          </cell>
          <cell r="I1023" t="str">
            <v>none</v>
          </cell>
          <cell r="J1023" t="str">
            <v>[MIDDEN] TC0224</v>
          </cell>
          <cell r="K1023" t="str">
            <v>Indicative (average). f_gases emissions can be allocated to firing natural gas and the refining of organic contaminated scrap.</v>
          </cell>
          <cell r="L1023">
            <v>66</v>
          </cell>
        </row>
        <row r="1024">
          <cell r="A1024" t="str">
            <v/>
          </cell>
          <cell r="E1024" t="str">
            <v/>
          </cell>
          <cell r="K1024" t="str">
            <v/>
          </cell>
          <cell r="L1024" t="str">
            <v/>
          </cell>
        </row>
        <row r="1025">
          <cell r="A1025" t="str">
            <v>[MIDDEN] Green gas-fired furnaces (recycling plants)</v>
          </cell>
          <cell r="B1025" t="str">
            <v>aluminium billets and slabs</v>
          </cell>
          <cell r="C1025" t="str">
            <v>reference_product</v>
          </cell>
          <cell r="D1025">
            <v>7601</v>
          </cell>
          <cell r="E1025" t="str">
            <v>Mass</v>
          </cell>
          <cell r="F1025">
            <v>1</v>
          </cell>
          <cell r="G1025" t="str">
            <v>tonne</v>
          </cell>
          <cell r="H1025">
            <v>1</v>
          </cell>
          <cell r="I1025" t="str">
            <v>none</v>
          </cell>
          <cell r="J1025" t="str">
            <v>[MIDDEN] TC0225</v>
          </cell>
          <cell r="K1025" t="str">
            <v/>
          </cell>
          <cell r="L1025" t="str">
            <v/>
          </cell>
        </row>
        <row r="1026">
          <cell r="A1026" t="str">
            <v>[MIDDEN] Green gas-fired furnaces (recycling plants)</v>
          </cell>
          <cell r="B1026" t="str">
            <v>aluminium scrap, clean</v>
          </cell>
          <cell r="C1026" t="str">
            <v>from technosphere (material)</v>
          </cell>
          <cell r="E1026" t="str">
            <v>Mass</v>
          </cell>
          <cell r="F1026">
            <v>600</v>
          </cell>
          <cell r="G1026" t="str">
            <v>kg</v>
          </cell>
          <cell r="H1026" t="str">
            <v>tonne</v>
          </cell>
          <cell r="I1026" t="str">
            <v>none</v>
          </cell>
          <cell r="J1026" t="str">
            <v>[MIDDEN] TC0225</v>
          </cell>
          <cell r="K1026" t="str">
            <v>Estimation. No changes compared to the base year configuration are assumed.</v>
          </cell>
          <cell r="L1026" t="str">
            <v/>
          </cell>
        </row>
        <row r="1027">
          <cell r="A1027" t="str">
            <v>[MIDDEN] Green gas-fired furnaces (recycling plants)</v>
          </cell>
          <cell r="B1027" t="str">
            <v>aluminium, scrap, contaminated</v>
          </cell>
          <cell r="C1027" t="str">
            <v>from technosphere (material)</v>
          </cell>
          <cell r="E1027" t="str">
            <v>Mass</v>
          </cell>
          <cell r="F1027">
            <v>150</v>
          </cell>
          <cell r="G1027" t="str">
            <v>kg</v>
          </cell>
          <cell r="H1027" t="str">
            <v>tonne</v>
          </cell>
          <cell r="I1027" t="str">
            <v>none</v>
          </cell>
          <cell r="J1027" t="str">
            <v>[MIDDEN] TC0225</v>
          </cell>
          <cell r="K1027" t="str">
            <v>Estimation. No changes compared to the base year configuration are assumed.</v>
          </cell>
          <cell r="L1027" t="str">
            <v/>
          </cell>
        </row>
        <row r="1028">
          <cell r="A1028" t="str">
            <v>[MIDDEN] Green gas-fired furnaces (recycling plants)</v>
          </cell>
          <cell r="B1028" t="str">
            <v>primary aluminium ingots</v>
          </cell>
          <cell r="C1028" t="str">
            <v>from technosphere (material)</v>
          </cell>
          <cell r="E1028" t="str">
            <v>Mass</v>
          </cell>
          <cell r="F1028">
            <v>250</v>
          </cell>
          <cell r="G1028" t="str">
            <v>kg</v>
          </cell>
          <cell r="H1028" t="str">
            <v>tonne</v>
          </cell>
          <cell r="I1028" t="str">
            <v>none</v>
          </cell>
          <cell r="J1028" t="str">
            <v>[MIDDEN] TC0225</v>
          </cell>
          <cell r="K1028" t="str">
            <v>Estimation. No changes compared to the base year configuration are assumed.</v>
          </cell>
          <cell r="L1028" t="str">
            <v/>
          </cell>
        </row>
        <row r="1029">
          <cell r="A1029" t="str">
            <v>[MIDDEN] Green gas-fired furnaces (recycling plants)</v>
          </cell>
          <cell r="B1029" t="str">
            <v>aluminium alloys</v>
          </cell>
          <cell r="C1029" t="str">
            <v>from technosphere (material)</v>
          </cell>
          <cell r="E1029" t="str">
            <v>Mass</v>
          </cell>
          <cell r="F1029">
            <v>12.5</v>
          </cell>
          <cell r="G1029" t="str">
            <v>kg</v>
          </cell>
          <cell r="H1029" t="str">
            <v>tonne</v>
          </cell>
          <cell r="I1029" t="str">
            <v>none</v>
          </cell>
          <cell r="J1029" t="str">
            <v>[MIDDEN] TC0225</v>
          </cell>
          <cell r="K1029" t="str">
            <v>Estimation. No changes compared to the base year configuration are assumed.</v>
          </cell>
          <cell r="L1029">
            <v>66</v>
          </cell>
        </row>
        <row r="1030">
          <cell r="A1030" t="str">
            <v>[MIDDEN] Green gas-fired furnaces (recycling plants)</v>
          </cell>
          <cell r="B1030" t="str">
            <v>electricity</v>
          </cell>
          <cell r="C1030" t="str">
            <v>from technosphere (energy_carrier)</v>
          </cell>
          <cell r="E1030" t="str">
            <v>Energy</v>
          </cell>
          <cell r="F1030">
            <v>0.57599999999999996</v>
          </cell>
          <cell r="G1030" t="str">
            <v>GJ</v>
          </cell>
          <cell r="H1030" t="str">
            <v>tonne</v>
          </cell>
          <cell r="I1030" t="str">
            <v>none</v>
          </cell>
          <cell r="J1030" t="str">
            <v>[MIDDEN] TC0225</v>
          </cell>
          <cell r="K1030" t="str">
            <v>Estimation. No changes compared to the base year configuration are assumed.</v>
          </cell>
          <cell r="L1030">
            <v>66</v>
          </cell>
        </row>
        <row r="1031">
          <cell r="A1031" t="str">
            <v>[MIDDEN] Green gas-fired furnaces (recycling plants)</v>
          </cell>
          <cell r="B1031" t="str">
            <v>green gas</v>
          </cell>
          <cell r="C1031" t="str">
            <v>from technosphere (energy_carrier)</v>
          </cell>
          <cell r="E1031" t="str">
            <v>Energy</v>
          </cell>
          <cell r="F1031">
            <v>6.33</v>
          </cell>
          <cell r="G1031" t="str">
            <v>GJ</v>
          </cell>
          <cell r="H1031" t="str">
            <v>tonne</v>
          </cell>
          <cell r="I1031" t="str">
            <v>none</v>
          </cell>
          <cell r="J1031" t="str">
            <v>[MIDDEN] TC0225</v>
          </cell>
          <cell r="K1031" t="str">
            <v>Current natural gas consumption is 150 - 250 Nm3 per tonne of aluminium billet or slab. Converted to MJ using 31.65 MJ/Nm3.</v>
          </cell>
          <cell r="L1031">
            <v>66</v>
          </cell>
        </row>
        <row r="1032">
          <cell r="A1032" t="str">
            <v>[MIDDEN] Green gas-fired furnaces (recycling plants)</v>
          </cell>
          <cell r="B1032" t="str">
            <v>carbon dioxide</v>
          </cell>
          <cell r="C1032" t="str">
            <v>to environment (emission)</v>
          </cell>
          <cell r="E1032" t="str">
            <v>Mass</v>
          </cell>
          <cell r="F1032">
            <v>2.9499999999999998E-2</v>
          </cell>
          <cell r="G1032" t="str">
            <v>tonne</v>
          </cell>
          <cell r="H1032" t="str">
            <v>tonne</v>
          </cell>
          <cell r="I1032" t="str">
            <v>none</v>
          </cell>
          <cell r="J1032" t="str">
            <v>[MIDDEN] TC0225</v>
          </cell>
          <cell r="K1032" t="str">
            <v>Indication/estimation. Not all of the direct f_gases emissions can be avoided since 10 - 20% of E-MAX's f_gases emissions comes from combusting organic material enclosed in the scrap.</v>
          </cell>
          <cell r="L1032" t="str">
            <v/>
          </cell>
        </row>
        <row r="1033">
          <cell r="A1033" t="str">
            <v/>
          </cell>
          <cell r="E1033" t="str">
            <v/>
          </cell>
          <cell r="K1033" t="str">
            <v/>
          </cell>
          <cell r="L1033" t="str">
            <v/>
          </cell>
        </row>
        <row r="1034">
          <cell r="A1034" t="str">
            <v>[MIDDEN] Natural gas dryer for blast furnace slag</v>
          </cell>
          <cell r="B1034" t="str">
            <v>blast furnace slag, dried</v>
          </cell>
          <cell r="C1034" t="str">
            <v>reference_product</v>
          </cell>
          <cell r="D1034">
            <v>2619</v>
          </cell>
          <cell r="E1034" t="str">
            <v>Mass</v>
          </cell>
          <cell r="F1034">
            <v>1</v>
          </cell>
          <cell r="G1034" t="str">
            <v>tonne</v>
          </cell>
          <cell r="H1034">
            <v>1</v>
          </cell>
          <cell r="I1034" t="str">
            <v>none</v>
          </cell>
          <cell r="J1034" t="str">
            <v>[MIDDEN] TC0318</v>
          </cell>
          <cell r="K1034" t="str">
            <v>The drying process is used for the Blast Furnace Slag</v>
          </cell>
          <cell r="L1034">
            <v>67</v>
          </cell>
        </row>
        <row r="1035">
          <cell r="A1035" t="str">
            <v>[MIDDEN] Natural gas dryer for blast furnace slag</v>
          </cell>
          <cell r="B1035" t="str">
            <v>natural gas</v>
          </cell>
          <cell r="C1035" t="str">
            <v>from technosphere (energy_carrier)</v>
          </cell>
          <cell r="E1035" t="str">
            <v>Energy</v>
          </cell>
          <cell r="F1035">
            <v>0.41399999999999998</v>
          </cell>
          <cell r="G1035" t="str">
            <v>GJ</v>
          </cell>
          <cell r="H1035" t="str">
            <v>tonne</v>
          </cell>
          <cell r="I1035" t="str">
            <v>none</v>
          </cell>
          <cell r="J1035" t="str">
            <v>[MIDDEN] TC0318</v>
          </cell>
          <cell r="K1035" t="str">
            <v>Estimation based on the amount of f_gases produced from the drying process in the industrial sites</v>
          </cell>
          <cell r="L1035" t="str">
            <v/>
          </cell>
        </row>
        <row r="1036">
          <cell r="A1036" t="str">
            <v>[MIDDEN] Natural gas dryer for blast furnace slag</v>
          </cell>
          <cell r="B1036" t="str">
            <v>wet blast furnace slag</v>
          </cell>
          <cell r="C1036" t="str">
            <v>to technosphere (waste)</v>
          </cell>
          <cell r="E1036" t="str">
            <v>Mass</v>
          </cell>
          <cell r="F1036">
            <v>1.2</v>
          </cell>
          <cell r="G1036" t="str">
            <v>tonne</v>
          </cell>
          <cell r="H1036" t="str">
            <v>tonne</v>
          </cell>
          <cell r="I1036" t="str">
            <v>none</v>
          </cell>
          <cell r="J1036" t="str">
            <v>[MIDDEN] TC0318</v>
          </cell>
          <cell r="K1036" t="str">
            <v xml:space="preserve">The drying process is used for the Blast Furnace Slag. Internal communication with the company </v>
          </cell>
          <cell r="L1036" t="str">
            <v/>
          </cell>
        </row>
        <row r="1037">
          <cell r="A1037" t="str">
            <v>[MIDDEN] Natural gas dryer for blast furnace slag</v>
          </cell>
          <cell r="B1037" t="str">
            <v>carbon dioxide</v>
          </cell>
          <cell r="C1037" t="str">
            <v>to environment (emission)</v>
          </cell>
          <cell r="E1037" t="str">
            <v>Mass</v>
          </cell>
          <cell r="F1037">
            <v>2.35E-2</v>
          </cell>
          <cell r="G1037" t="str">
            <v>tonne</v>
          </cell>
          <cell r="H1037" t="str">
            <v>tonne</v>
          </cell>
          <cell r="I1037" t="str">
            <v>none</v>
          </cell>
          <cell r="J1037" t="str">
            <v>[MIDDEN] TC0318</v>
          </cell>
          <cell r="K1037" t="str">
            <v>based on natural gas use.</v>
          </cell>
          <cell r="L1037" t="str">
            <v/>
          </cell>
        </row>
        <row r="1038">
          <cell r="A1038" t="str">
            <v/>
          </cell>
          <cell r="E1038" t="str">
            <v/>
          </cell>
          <cell r="K1038" t="str">
            <v/>
          </cell>
          <cell r="L1038" t="str">
            <v/>
          </cell>
        </row>
        <row r="1039">
          <cell r="A1039" t="str">
            <v>[MIDDEN] Cement production: Roller Press + two Ball Mills</v>
          </cell>
          <cell r="B1039" t="str">
            <v>cement</v>
          </cell>
          <cell r="C1039" t="str">
            <v>reference_product</v>
          </cell>
          <cell r="D1039">
            <v>2523</v>
          </cell>
          <cell r="E1039" t="str">
            <v>Mass</v>
          </cell>
          <cell r="F1039">
            <v>1</v>
          </cell>
          <cell r="G1039" t="str">
            <v>tonne</v>
          </cell>
          <cell r="H1039">
            <v>1</v>
          </cell>
          <cell r="I1039" t="str">
            <v>none</v>
          </cell>
          <cell r="J1039" t="str">
            <v>[MIDDEN] TC0319</v>
          </cell>
          <cell r="K1039" t="str">
            <v/>
          </cell>
          <cell r="L1039" t="str">
            <v/>
          </cell>
        </row>
        <row r="1040">
          <cell r="A1040" t="str">
            <v>[MIDDEN] Cement production: Roller Press + two Ball Mills</v>
          </cell>
          <cell r="B1040" t="str">
            <v>cement clinker</v>
          </cell>
          <cell r="C1040" t="str">
            <v>from technosphere (material)</v>
          </cell>
          <cell r="E1040" t="str">
            <v>Mass</v>
          </cell>
          <cell r="F1040">
            <v>0.312</v>
          </cell>
          <cell r="G1040" t="str">
            <v>tonne</v>
          </cell>
          <cell r="H1040" t="str">
            <v>tonne</v>
          </cell>
          <cell r="I1040" t="str">
            <v>none</v>
          </cell>
          <cell r="J1040" t="str">
            <v>[MIDDEN] TC0319</v>
          </cell>
          <cell r="K1040" t="str">
            <v>Amount of clinker used/ amount of cement produced. Lower limit is 2017 value for Ijmuiden, Upper limit is 2017 value for Rotterdam</v>
          </cell>
          <cell r="L1040">
            <v>67</v>
          </cell>
        </row>
        <row r="1041">
          <cell r="A1041" t="str">
            <v>[MIDDEN] Cement production: Roller Press + two Ball Mills</v>
          </cell>
          <cell r="B1041" t="str">
            <v>blast furnace slag, dried</v>
          </cell>
          <cell r="C1041" t="str">
            <v>from technosphere (material)</v>
          </cell>
          <cell r="E1041" t="str">
            <v>Mass</v>
          </cell>
          <cell r="F1041">
            <v>0.60399999999999998</v>
          </cell>
          <cell r="G1041" t="str">
            <v>tonne</v>
          </cell>
          <cell r="H1041" t="str">
            <v>tonne</v>
          </cell>
          <cell r="I1041" t="str">
            <v>none</v>
          </cell>
          <cell r="J1041" t="str">
            <v>[MIDDEN] TC0319</v>
          </cell>
          <cell r="K1041" t="str">
            <v>Amount of BFS used/ amount of cement produced. Upper limit is 2017 value for Ijmuiden, Lower limit is 2017 value for Rotterdam</v>
          </cell>
          <cell r="L1041">
            <v>67</v>
          </cell>
        </row>
        <row r="1042">
          <cell r="A1042" t="str">
            <v>[MIDDEN] Cement production: Roller Press + two Ball Mills</v>
          </cell>
          <cell r="B1042" t="str">
            <v>calcium sulphate</v>
          </cell>
          <cell r="C1042" t="str">
            <v>from technosphere (material)</v>
          </cell>
          <cell r="E1042" t="str">
            <v>Mass</v>
          </cell>
          <cell r="F1042">
            <v>2.1000000000000001E-2</v>
          </cell>
          <cell r="G1042" t="str">
            <v>tonne</v>
          </cell>
          <cell r="H1042" t="str">
            <v>tonne</v>
          </cell>
          <cell r="I1042" t="str">
            <v>none</v>
          </cell>
          <cell r="J1042" t="str">
            <v>[MIDDEN] TC0319</v>
          </cell>
          <cell r="K1042" t="str">
            <v>Estimation based on the input of material and output of cement.</v>
          </cell>
          <cell r="L1042" t="str">
            <v/>
          </cell>
        </row>
        <row r="1043">
          <cell r="A1043" t="str">
            <v>[MIDDEN] Cement production: Roller Press + two Ball Mills</v>
          </cell>
          <cell r="B1043" t="str">
            <v>limestone</v>
          </cell>
          <cell r="C1043" t="str">
            <v>from environment (natural resource)</v>
          </cell>
          <cell r="E1043" t="str">
            <v>Mass</v>
          </cell>
          <cell r="F1043">
            <v>6.3E-2</v>
          </cell>
          <cell r="G1043" t="str">
            <v>tonne</v>
          </cell>
          <cell r="H1043" t="str">
            <v>tonne</v>
          </cell>
          <cell r="I1043" t="str">
            <v>none</v>
          </cell>
          <cell r="J1043" t="str">
            <v>[MIDDEN] TC0319</v>
          </cell>
          <cell r="K1043" t="str">
            <v>Estimation based on the input of material and output of cement.</v>
          </cell>
          <cell r="L1043" t="str">
            <v/>
          </cell>
        </row>
        <row r="1044">
          <cell r="A1044" t="str">
            <v>[MIDDEN] Cement production: Roller Press + two Ball Mills</v>
          </cell>
          <cell r="B1044" t="str">
            <v>electricity</v>
          </cell>
          <cell r="C1044" t="str">
            <v>from technosphere (energy_carrier)</v>
          </cell>
          <cell r="E1044" t="str">
            <v>Energy</v>
          </cell>
          <cell r="F1044">
            <v>0.27500000000000002</v>
          </cell>
          <cell r="G1044" t="str">
            <v>GJ</v>
          </cell>
          <cell r="H1044" t="str">
            <v>tonne</v>
          </cell>
          <cell r="I1044" t="str">
            <v>none</v>
          </cell>
          <cell r="J1044" t="str">
            <v>[MIDDEN] TC0319</v>
          </cell>
          <cell r="K1044" t="str">
            <v>Estimation considering the biggest consumption of this grinding configuration.</v>
          </cell>
          <cell r="L1044">
            <v>68</v>
          </cell>
        </row>
        <row r="1045">
          <cell r="A1045" t="str">
            <v/>
          </cell>
          <cell r="E1045" t="str">
            <v/>
          </cell>
          <cell r="K1045" t="str">
            <v/>
          </cell>
          <cell r="L1045" t="str">
            <v/>
          </cell>
        </row>
        <row r="1046">
          <cell r="A1046" t="str">
            <v>[MIDDEN] Heat Pump Dryer for blast furnace slag</v>
          </cell>
          <cell r="B1046" t="str">
            <v>blast furnace slag, dried</v>
          </cell>
          <cell r="C1046" t="str">
            <v>reference_product</v>
          </cell>
          <cell r="D1046">
            <v>2619</v>
          </cell>
          <cell r="E1046" t="str">
            <v>Mass</v>
          </cell>
          <cell r="F1046">
            <v>1</v>
          </cell>
          <cell r="G1046" t="str">
            <v>tonne</v>
          </cell>
          <cell r="H1046">
            <v>1</v>
          </cell>
          <cell r="I1046" t="str">
            <v>none</v>
          </cell>
          <cell r="J1046" t="str">
            <v>[MIDDEN] TC0320</v>
          </cell>
          <cell r="K1046" t="str">
            <v>The drying process is used for the Blast Furnace Slag</v>
          </cell>
          <cell r="L1046">
            <v>67</v>
          </cell>
        </row>
        <row r="1047">
          <cell r="A1047" t="str">
            <v>[MIDDEN] Heat Pump Dryer for blast furnace slag</v>
          </cell>
          <cell r="B1047" t="str">
            <v>wet blast furnace slag</v>
          </cell>
          <cell r="C1047" t="str">
            <v>to technosphere (waste)</v>
          </cell>
          <cell r="E1047" t="str">
            <v>Mass</v>
          </cell>
          <cell r="F1047">
            <v>1.2</v>
          </cell>
          <cell r="G1047" t="str">
            <v>tonne</v>
          </cell>
          <cell r="H1047" t="str">
            <v>tonne</v>
          </cell>
          <cell r="I1047" t="str">
            <v>none</v>
          </cell>
          <cell r="J1047" t="str">
            <v>[MIDDEN] TC0320</v>
          </cell>
          <cell r="K1047" t="str">
            <v xml:space="preserve">The drying process is used for the Blast Furnace Slag.Internal communication with the company </v>
          </cell>
          <cell r="L1047" t="str">
            <v/>
          </cell>
        </row>
        <row r="1048">
          <cell r="A1048" t="str">
            <v>[MIDDEN] Heat Pump Dryer for blast furnace slag</v>
          </cell>
          <cell r="B1048" t="str">
            <v>electricity</v>
          </cell>
          <cell r="C1048" t="str">
            <v>from technosphere (energy_carrier)</v>
          </cell>
          <cell r="E1048" t="str">
            <v>Energy</v>
          </cell>
          <cell r="F1048">
            <v>0.104</v>
          </cell>
          <cell r="G1048" t="str">
            <v>GJ</v>
          </cell>
          <cell r="H1048" t="str">
            <v>tonne</v>
          </cell>
          <cell r="I1048" t="str">
            <v>none</v>
          </cell>
          <cell r="J1048" t="str">
            <v>[MIDDEN] TC0320</v>
          </cell>
          <cell r="K1048" t="str">
            <v>According to the Heat Pump Fact Sheet: For each kW of electricity consumed by a heat pump, about 4kW of thermal energy is generated. This corresponds to a 300% efficiency.</v>
          </cell>
          <cell r="L1048">
            <v>69</v>
          </cell>
        </row>
        <row r="1049">
          <cell r="A1049" t="str">
            <v/>
          </cell>
          <cell r="E1049" t="str">
            <v/>
          </cell>
          <cell r="K1049" t="str">
            <v/>
          </cell>
          <cell r="L1049" t="str">
            <v/>
          </cell>
        </row>
        <row r="1050">
          <cell r="A1050" t="str">
            <v>[MIDDEN] Hydrogen dryer for blast furnace slag</v>
          </cell>
          <cell r="B1050" t="str">
            <v>blast furnace slag, dried</v>
          </cell>
          <cell r="C1050" t="str">
            <v>reference_product</v>
          </cell>
          <cell r="D1050">
            <v>2619</v>
          </cell>
          <cell r="E1050" t="str">
            <v>Mass</v>
          </cell>
          <cell r="F1050">
            <v>1</v>
          </cell>
          <cell r="G1050" t="str">
            <v>tonne</v>
          </cell>
          <cell r="H1050">
            <v>1</v>
          </cell>
          <cell r="I1050" t="str">
            <v>none</v>
          </cell>
          <cell r="J1050" t="str">
            <v>[MIDDEN] TC0321</v>
          </cell>
          <cell r="K1050" t="str">
            <v>The drying process is used for the Blast Furnace Slag</v>
          </cell>
          <cell r="L1050">
            <v>67</v>
          </cell>
        </row>
        <row r="1051">
          <cell r="A1051" t="str">
            <v>[MIDDEN] Hydrogen dryer for blast furnace slag</v>
          </cell>
          <cell r="B1051" t="str">
            <v>hydrogen</v>
          </cell>
          <cell r="C1051" t="str">
            <v>from technosphere (other)</v>
          </cell>
          <cell r="E1051" t="str">
            <v>Energy</v>
          </cell>
          <cell r="F1051">
            <v>0.41399999999999998</v>
          </cell>
          <cell r="G1051" t="str">
            <v>GJ</v>
          </cell>
          <cell r="H1051" t="str">
            <v>tonne</v>
          </cell>
          <cell r="I1051" t="str">
            <v>none</v>
          </cell>
          <cell r="J1051" t="str">
            <v>[MIDDEN] TC0321</v>
          </cell>
          <cell r="K1051" t="str">
            <v>same energy demand as present value</v>
          </cell>
          <cell r="L1051" t="str">
            <v/>
          </cell>
        </row>
        <row r="1052">
          <cell r="A1052" t="str">
            <v>[MIDDEN] Hydrogen dryer for blast furnace slag</v>
          </cell>
          <cell r="B1052" t="str">
            <v>wet blast furnace slag</v>
          </cell>
          <cell r="C1052" t="str">
            <v>to technosphere (waste)</v>
          </cell>
          <cell r="E1052" t="str">
            <v>Mass</v>
          </cell>
          <cell r="F1052">
            <v>1.2</v>
          </cell>
          <cell r="G1052" t="str">
            <v>tonne</v>
          </cell>
          <cell r="H1052" t="str">
            <v>tonne</v>
          </cell>
          <cell r="I1052" t="str">
            <v>none</v>
          </cell>
          <cell r="J1052" t="str">
            <v>[MIDDEN] TC0321</v>
          </cell>
          <cell r="K1052" t="str">
            <v xml:space="preserve">The drying process is used for the Blast Furnace Slag.Internal communication with the company </v>
          </cell>
          <cell r="L1052" t="str">
            <v/>
          </cell>
        </row>
        <row r="1053">
          <cell r="A1053" t="str">
            <v/>
          </cell>
          <cell r="E1053" t="str">
            <v/>
          </cell>
          <cell r="K1053" t="str">
            <v/>
          </cell>
          <cell r="L1053" t="str">
            <v/>
          </cell>
        </row>
        <row r="1054">
          <cell r="A1054" t="str">
            <v>[MIDDEN] Green gas dryer for blast furnace slag</v>
          </cell>
          <cell r="B1054" t="str">
            <v>blast furnace slag, dried</v>
          </cell>
          <cell r="C1054" t="str">
            <v>reference_product</v>
          </cell>
          <cell r="D1054">
            <v>2619</v>
          </cell>
          <cell r="E1054" t="str">
            <v>Mass</v>
          </cell>
          <cell r="F1054">
            <v>1</v>
          </cell>
          <cell r="G1054" t="str">
            <v>tonne</v>
          </cell>
          <cell r="H1054">
            <v>1</v>
          </cell>
          <cell r="I1054" t="str">
            <v>none</v>
          </cell>
          <cell r="J1054" t="str">
            <v>[MIDDEN] TC0322</v>
          </cell>
          <cell r="K1054" t="str">
            <v>The drying process is used for the Blast Furnace Slag</v>
          </cell>
          <cell r="L1054">
            <v>67</v>
          </cell>
        </row>
        <row r="1055">
          <cell r="A1055" t="str">
            <v>[MIDDEN] Green gas dryer for blast furnace slag</v>
          </cell>
          <cell r="B1055" t="str">
            <v>green gas</v>
          </cell>
          <cell r="C1055" t="str">
            <v>from technosphere (energy_carrier)</v>
          </cell>
          <cell r="E1055" t="str">
            <v>Energy</v>
          </cell>
          <cell r="F1055">
            <v>0.41399999999999998</v>
          </cell>
          <cell r="G1055" t="str">
            <v>GJ</v>
          </cell>
          <cell r="H1055" t="str">
            <v>tonne</v>
          </cell>
          <cell r="I1055" t="str">
            <v>none</v>
          </cell>
          <cell r="J1055" t="str">
            <v>[MIDDEN] TC0322</v>
          </cell>
          <cell r="K1055" t="str">
            <v>same required energy content as base assumed.</v>
          </cell>
          <cell r="L1055" t="str">
            <v/>
          </cell>
        </row>
        <row r="1056">
          <cell r="A1056" t="str">
            <v>[MIDDEN] Green gas dryer for blast furnace slag</v>
          </cell>
          <cell r="B1056" t="str">
            <v>wet blast furnace slag</v>
          </cell>
          <cell r="C1056" t="str">
            <v>to technosphere (waste)</v>
          </cell>
          <cell r="E1056" t="str">
            <v>Mass</v>
          </cell>
          <cell r="F1056">
            <v>1.2</v>
          </cell>
          <cell r="G1056" t="str">
            <v>tonne</v>
          </cell>
          <cell r="H1056" t="str">
            <v>tonne</v>
          </cell>
          <cell r="I1056" t="str">
            <v>none</v>
          </cell>
          <cell r="J1056" t="str">
            <v>[MIDDEN] TC0322</v>
          </cell>
          <cell r="K1056" t="str">
            <v xml:space="preserve">The drying process is used for the Blast Furnace Slag.Internal communication with the company </v>
          </cell>
          <cell r="L1056" t="str">
            <v/>
          </cell>
        </row>
        <row r="1057">
          <cell r="A1057" t="str">
            <v/>
          </cell>
          <cell r="E1057" t="str">
            <v/>
          </cell>
          <cell r="K1057" t="str">
            <v/>
          </cell>
          <cell r="L1057" t="str">
            <v/>
          </cell>
        </row>
        <row r="1058">
          <cell r="A1058" t="str">
            <v>[MIDDEN] Cement production: Roller Press + two vertical roller Mills</v>
          </cell>
          <cell r="B1058" t="str">
            <v>cement</v>
          </cell>
          <cell r="C1058" t="str">
            <v>reference_product</v>
          </cell>
          <cell r="D1058">
            <v>2523</v>
          </cell>
          <cell r="E1058" t="str">
            <v>Mass</v>
          </cell>
          <cell r="F1058">
            <v>1</v>
          </cell>
          <cell r="G1058" t="str">
            <v>tonne</v>
          </cell>
          <cell r="H1058">
            <v>1</v>
          </cell>
          <cell r="I1058" t="str">
            <v>none</v>
          </cell>
          <cell r="J1058" t="str">
            <v>[MIDDEN] TC0323</v>
          </cell>
          <cell r="K1058" t="str">
            <v/>
          </cell>
          <cell r="L1058" t="str">
            <v/>
          </cell>
        </row>
        <row r="1059">
          <cell r="A1059" t="str">
            <v>[MIDDEN] Cement production: Roller Press + two vertical roller Mills</v>
          </cell>
          <cell r="B1059" t="str">
            <v>cement clinker</v>
          </cell>
          <cell r="C1059" t="str">
            <v>from technosphere (material)</v>
          </cell>
          <cell r="E1059" t="str">
            <v>Mass</v>
          </cell>
          <cell r="F1059">
            <v>0.312</v>
          </cell>
          <cell r="G1059" t="str">
            <v>tonne</v>
          </cell>
          <cell r="H1059" t="str">
            <v>tonne</v>
          </cell>
          <cell r="I1059" t="str">
            <v>none</v>
          </cell>
          <cell r="J1059" t="str">
            <v>[MIDDEN] TC0323</v>
          </cell>
          <cell r="K1059" t="str">
            <v/>
          </cell>
          <cell r="L1059">
            <v>67</v>
          </cell>
        </row>
        <row r="1060">
          <cell r="A1060" t="str">
            <v>[MIDDEN] Cement production: Roller Press + two vertical roller Mills</v>
          </cell>
          <cell r="B1060" t="str">
            <v>blast furnace slag, dried</v>
          </cell>
          <cell r="C1060" t="str">
            <v>from technosphere (material)</v>
          </cell>
          <cell r="E1060" t="str">
            <v>Mass</v>
          </cell>
          <cell r="F1060">
            <v>0.60399999999999998</v>
          </cell>
          <cell r="G1060" t="str">
            <v>tonne</v>
          </cell>
          <cell r="H1060" t="str">
            <v>tonne</v>
          </cell>
          <cell r="I1060" t="str">
            <v>none</v>
          </cell>
          <cell r="J1060" t="str">
            <v>[MIDDEN] TC0323</v>
          </cell>
          <cell r="K1060" t="str">
            <v/>
          </cell>
          <cell r="L1060">
            <v>67</v>
          </cell>
        </row>
        <row r="1061">
          <cell r="A1061" t="str">
            <v>[MIDDEN] Cement production: Roller Press + two vertical roller Mills</v>
          </cell>
          <cell r="B1061" t="str">
            <v>calcium sulphate</v>
          </cell>
          <cell r="C1061" t="str">
            <v>from technosphere (material)</v>
          </cell>
          <cell r="E1061" t="str">
            <v>Mass</v>
          </cell>
          <cell r="F1061">
            <v>2.1000000000000001E-2</v>
          </cell>
          <cell r="G1061" t="str">
            <v>tonne</v>
          </cell>
          <cell r="H1061" t="str">
            <v>tonne</v>
          </cell>
          <cell r="I1061" t="str">
            <v>none</v>
          </cell>
          <cell r="J1061" t="str">
            <v>[MIDDEN] TC0323</v>
          </cell>
          <cell r="K1061" t="str">
            <v>Estimation based on the input of material and output of cement.</v>
          </cell>
          <cell r="L1061" t="str">
            <v/>
          </cell>
        </row>
        <row r="1062">
          <cell r="A1062" t="str">
            <v>[MIDDEN] Cement production: Roller Press + two vertical roller Mills</v>
          </cell>
          <cell r="B1062" t="str">
            <v>limestone</v>
          </cell>
          <cell r="C1062" t="str">
            <v>from environment (natural resource)</v>
          </cell>
          <cell r="E1062" t="str">
            <v>Mass</v>
          </cell>
          <cell r="F1062">
            <v>6.3E-2</v>
          </cell>
          <cell r="G1062" t="str">
            <v>tonne</v>
          </cell>
          <cell r="H1062" t="str">
            <v>tonne</v>
          </cell>
          <cell r="I1062" t="str">
            <v>none</v>
          </cell>
          <cell r="J1062" t="str">
            <v>[MIDDEN] TC0323</v>
          </cell>
          <cell r="K1062" t="str">
            <v>Estimation based on the input of material and output of cement.</v>
          </cell>
          <cell r="L1062" t="str">
            <v/>
          </cell>
        </row>
        <row r="1063">
          <cell r="A1063" t="str">
            <v>[MIDDEN] Cement production: Roller Press + two vertical roller Mills</v>
          </cell>
          <cell r="B1063" t="str">
            <v>electricity</v>
          </cell>
          <cell r="C1063" t="str">
            <v>from technosphere (energy_carrier)</v>
          </cell>
          <cell r="E1063" t="str">
            <v>Energy</v>
          </cell>
          <cell r="F1063">
            <v>0.20899999999999999</v>
          </cell>
          <cell r="G1063" t="str">
            <v>GJ</v>
          </cell>
          <cell r="H1063" t="str">
            <v>tonne</v>
          </cell>
          <cell r="I1063" t="str">
            <v>none</v>
          </cell>
          <cell r="J1063" t="str">
            <v>[MIDDEN] TC0323</v>
          </cell>
          <cell r="K1063" t="str">
            <v>Estimation considering the biggest consumption of this grinding configuration.</v>
          </cell>
          <cell r="L1063">
            <v>68</v>
          </cell>
        </row>
        <row r="1064">
          <cell r="A1064" t="str">
            <v/>
          </cell>
          <cell r="E1064" t="str">
            <v/>
          </cell>
          <cell r="K1064" t="str">
            <v/>
          </cell>
          <cell r="L1064" t="str">
            <v/>
          </cell>
        </row>
        <row r="1065">
          <cell r="A1065" t="str">
            <v>[MIDDEN] Cement production: Roller Press + two High-Pressure Rolls</v>
          </cell>
          <cell r="B1065" t="str">
            <v>cement</v>
          </cell>
          <cell r="C1065" t="str">
            <v>reference_product</v>
          </cell>
          <cell r="D1065">
            <v>2523</v>
          </cell>
          <cell r="E1065" t="str">
            <v>Mass</v>
          </cell>
          <cell r="F1065">
            <v>1</v>
          </cell>
          <cell r="G1065" t="str">
            <v>tonne</v>
          </cell>
          <cell r="H1065">
            <v>1</v>
          </cell>
          <cell r="I1065" t="str">
            <v>none</v>
          </cell>
          <cell r="J1065" t="str">
            <v>[MIDDEN] TC0324</v>
          </cell>
          <cell r="K1065" t="str">
            <v/>
          </cell>
          <cell r="L1065" t="str">
            <v/>
          </cell>
        </row>
        <row r="1066">
          <cell r="A1066" t="str">
            <v>[MIDDEN] Cement production: Roller Press + two High-Pressure Rolls</v>
          </cell>
          <cell r="B1066" t="str">
            <v>cement clinker</v>
          </cell>
          <cell r="C1066" t="str">
            <v>from technosphere (material)</v>
          </cell>
          <cell r="E1066" t="str">
            <v>Mass</v>
          </cell>
          <cell r="F1066">
            <v>0.312</v>
          </cell>
          <cell r="G1066" t="str">
            <v>tonne</v>
          </cell>
          <cell r="H1066" t="str">
            <v>tonne</v>
          </cell>
          <cell r="I1066" t="str">
            <v>none</v>
          </cell>
          <cell r="J1066" t="str">
            <v>[MIDDEN] TC0324</v>
          </cell>
          <cell r="K1066" t="str">
            <v/>
          </cell>
          <cell r="L1066">
            <v>67</v>
          </cell>
        </row>
        <row r="1067">
          <cell r="A1067" t="str">
            <v>[MIDDEN] Cement production: Roller Press + two High-Pressure Rolls</v>
          </cell>
          <cell r="B1067" t="str">
            <v>blast furnace slag, dried</v>
          </cell>
          <cell r="C1067" t="str">
            <v>from technosphere (material)</v>
          </cell>
          <cell r="E1067" t="str">
            <v>Mass</v>
          </cell>
          <cell r="F1067">
            <v>0.60399999999999998</v>
          </cell>
          <cell r="G1067" t="str">
            <v>tonne</v>
          </cell>
          <cell r="H1067" t="str">
            <v>tonne</v>
          </cell>
          <cell r="I1067" t="str">
            <v>none</v>
          </cell>
          <cell r="J1067" t="str">
            <v>[MIDDEN] TC0324</v>
          </cell>
          <cell r="K1067" t="str">
            <v/>
          </cell>
          <cell r="L1067">
            <v>67</v>
          </cell>
        </row>
        <row r="1068">
          <cell r="A1068" t="str">
            <v>[MIDDEN] Cement production: Roller Press + two High-Pressure Rolls</v>
          </cell>
          <cell r="B1068" t="str">
            <v>calcium sulphate</v>
          </cell>
          <cell r="C1068" t="str">
            <v>from technosphere (material)</v>
          </cell>
          <cell r="E1068" t="str">
            <v>Mass</v>
          </cell>
          <cell r="F1068">
            <v>2.1000000000000001E-2</v>
          </cell>
          <cell r="G1068" t="str">
            <v>tonne</v>
          </cell>
          <cell r="H1068" t="str">
            <v>tonne</v>
          </cell>
          <cell r="I1068" t="str">
            <v>none</v>
          </cell>
          <cell r="J1068" t="str">
            <v>[MIDDEN] TC0324</v>
          </cell>
          <cell r="K1068" t="str">
            <v>Estimation based on the input of material and output of cement.</v>
          </cell>
          <cell r="L1068" t="str">
            <v/>
          </cell>
        </row>
        <row r="1069">
          <cell r="A1069" t="str">
            <v>[MIDDEN] Cement production: Roller Press + two High-Pressure Rolls</v>
          </cell>
          <cell r="B1069" t="str">
            <v>limestone</v>
          </cell>
          <cell r="C1069" t="str">
            <v>from environment (natural resource)</v>
          </cell>
          <cell r="E1069" t="str">
            <v>Mass</v>
          </cell>
          <cell r="F1069">
            <v>6.3E-2</v>
          </cell>
          <cell r="G1069" t="str">
            <v>tonne</v>
          </cell>
          <cell r="H1069" t="str">
            <v>tonne</v>
          </cell>
          <cell r="I1069" t="str">
            <v>none</v>
          </cell>
          <cell r="J1069" t="str">
            <v>[MIDDEN] TC0324</v>
          </cell>
          <cell r="K1069" t="str">
            <v>Estimation based on the input of material and output of cement.</v>
          </cell>
          <cell r="L1069" t="str">
            <v/>
          </cell>
        </row>
        <row r="1070">
          <cell r="A1070" t="str">
            <v>[MIDDEN] Cement production: Roller Press + two High-Pressure Rolls</v>
          </cell>
          <cell r="B1070" t="str">
            <v>electricity</v>
          </cell>
          <cell r="C1070" t="str">
            <v>from technosphere (energy_carrier)</v>
          </cell>
          <cell r="E1070" t="str">
            <v>Energy</v>
          </cell>
          <cell r="F1070">
            <v>0.187</v>
          </cell>
          <cell r="G1070" t="str">
            <v>GJ</v>
          </cell>
          <cell r="H1070" t="str">
            <v>tonne</v>
          </cell>
          <cell r="I1070" t="str">
            <v>none</v>
          </cell>
          <cell r="J1070" t="str">
            <v>[MIDDEN] TC0324</v>
          </cell>
          <cell r="K1070" t="str">
            <v>Estimation considering the biggest consumption of this grinding configuration.</v>
          </cell>
          <cell r="L1070">
            <v>68</v>
          </cell>
        </row>
        <row r="1071">
          <cell r="A1071" t="str">
            <v/>
          </cell>
          <cell r="E1071" t="str">
            <v/>
          </cell>
          <cell r="K1071" t="str">
            <v/>
          </cell>
          <cell r="L1071" t="str">
            <v/>
          </cell>
        </row>
        <row r="1072">
          <cell r="A1072" t="str">
            <v>[MIDDEN] High-efficiency classifiers for cement production</v>
          </cell>
          <cell r="B1072" t="str">
            <v>cement</v>
          </cell>
          <cell r="C1072" t="str">
            <v>reference_product</v>
          </cell>
          <cell r="D1072">
            <v>2523</v>
          </cell>
          <cell r="E1072" t="str">
            <v>Mass</v>
          </cell>
          <cell r="F1072">
            <v>1</v>
          </cell>
          <cell r="G1072" t="str">
            <v>tonne</v>
          </cell>
          <cell r="H1072">
            <v>1</v>
          </cell>
          <cell r="I1072" t="str">
            <v>none</v>
          </cell>
          <cell r="J1072" t="str">
            <v>[MIDDEN] TC0325</v>
          </cell>
          <cell r="K1072" t="str">
            <v/>
          </cell>
          <cell r="L1072" t="str">
            <v/>
          </cell>
        </row>
        <row r="1073">
          <cell r="A1073" t="str">
            <v>[MIDDEN] High-efficiency classifiers for cement production</v>
          </cell>
          <cell r="B1073" t="str">
            <v>electricity</v>
          </cell>
          <cell r="C1073" t="str">
            <v>from technosphere (energy_carrier)</v>
          </cell>
          <cell r="E1073" t="str">
            <v>Energy</v>
          </cell>
          <cell r="F1073">
            <v>-1.7999999999999999E-2</v>
          </cell>
          <cell r="G1073" t="str">
            <v>GJ</v>
          </cell>
          <cell r="H1073" t="str">
            <v>tonne</v>
          </cell>
          <cell r="I1073" t="str">
            <v>none</v>
          </cell>
          <cell r="J1073" t="str">
            <v>[MIDDEN] TC0325</v>
          </cell>
          <cell r="K1073" t="str">
            <v>Energy savings of between 0 and 6 kWh are reported, depending on the existing plant configuration, the type of cement, and the fineness required. Typical savings of 5 kWh per ton of cement are reported in China.</v>
          </cell>
          <cell r="L1073">
            <v>70</v>
          </cell>
        </row>
        <row r="1074">
          <cell r="A1074" t="str">
            <v>[MIDDEN] High-efficiency classifiers for cement production</v>
          </cell>
          <cell r="B1074" t="str">
            <v>cement</v>
          </cell>
          <cell r="C1074" t="str">
            <v>from technosphere (material)</v>
          </cell>
          <cell r="E1074" t="str">
            <v>Mass</v>
          </cell>
          <cell r="F1074">
            <v>1</v>
          </cell>
          <cell r="G1074" t="str">
            <v>tonne</v>
          </cell>
          <cell r="H1074" t="str">
            <v>tonne</v>
          </cell>
          <cell r="I1074" t="str">
            <v>none</v>
          </cell>
          <cell r="J1074" t="str">
            <v>[MIDDEN] TC0325</v>
          </cell>
          <cell r="K1074" t="str">
            <v/>
          </cell>
          <cell r="L1074" t="str">
            <v/>
          </cell>
        </row>
        <row r="1075">
          <cell r="A1075" t="str">
            <v/>
          </cell>
          <cell r="E1075" t="str">
            <v/>
          </cell>
          <cell r="K1075" t="str">
            <v/>
          </cell>
          <cell r="L1075" t="str">
            <v/>
          </cell>
        </row>
        <row r="1076">
          <cell r="A1076" t="str">
            <v xml:space="preserve">[MIDDEN] Cement production: Ball Mill + Ball Mill </v>
          </cell>
          <cell r="B1076" t="str">
            <v>cement</v>
          </cell>
          <cell r="C1076" t="str">
            <v>reference_product</v>
          </cell>
          <cell r="D1076">
            <v>2523</v>
          </cell>
          <cell r="E1076" t="str">
            <v>Mass</v>
          </cell>
          <cell r="F1076">
            <v>1</v>
          </cell>
          <cell r="G1076" t="str">
            <v>tonne</v>
          </cell>
          <cell r="H1076">
            <v>1</v>
          </cell>
          <cell r="I1076" t="str">
            <v>none</v>
          </cell>
          <cell r="J1076" t="str">
            <v>[MIDDEN] TC0326</v>
          </cell>
          <cell r="K1076" t="str">
            <v/>
          </cell>
          <cell r="L1076" t="str">
            <v/>
          </cell>
        </row>
        <row r="1077">
          <cell r="A1077" t="str">
            <v xml:space="preserve">[MIDDEN] Cement production: Ball Mill + Ball Mill </v>
          </cell>
          <cell r="B1077" t="str">
            <v>cement clinker</v>
          </cell>
          <cell r="C1077" t="str">
            <v>from technosphere (material)</v>
          </cell>
          <cell r="E1077" t="str">
            <v>Mass</v>
          </cell>
          <cell r="F1077">
            <v>0.46700000000000003</v>
          </cell>
          <cell r="G1077" t="str">
            <v>tonne</v>
          </cell>
          <cell r="H1077" t="str">
            <v>tonne</v>
          </cell>
          <cell r="I1077" t="str">
            <v>none</v>
          </cell>
          <cell r="J1077" t="str">
            <v>[MIDDEN] TC0326</v>
          </cell>
          <cell r="K1077" t="str">
            <v>Amount of clinker used/ amount of cement produced</v>
          </cell>
          <cell r="L1077">
            <v>67</v>
          </cell>
        </row>
        <row r="1078">
          <cell r="A1078" t="str">
            <v xml:space="preserve">[MIDDEN] Cement production: Ball Mill + Ball Mill </v>
          </cell>
          <cell r="B1078" t="str">
            <v>blast furnace slag, dried</v>
          </cell>
          <cell r="C1078" t="str">
            <v>from technosphere (material)</v>
          </cell>
          <cell r="E1078" t="str">
            <v>Mass</v>
          </cell>
          <cell r="F1078">
            <v>0.36799999999999999</v>
          </cell>
          <cell r="G1078" t="str">
            <v>tonne</v>
          </cell>
          <cell r="H1078" t="str">
            <v>tonne</v>
          </cell>
          <cell r="I1078" t="str">
            <v>none</v>
          </cell>
          <cell r="J1078" t="str">
            <v>[MIDDEN] TC0326</v>
          </cell>
          <cell r="K1078" t="str">
            <v/>
          </cell>
          <cell r="L1078">
            <v>67</v>
          </cell>
        </row>
        <row r="1079">
          <cell r="A1079" t="str">
            <v xml:space="preserve">[MIDDEN] Cement production: Ball Mill + Ball Mill </v>
          </cell>
          <cell r="B1079" t="str">
            <v>calcium sulphate</v>
          </cell>
          <cell r="C1079" t="str">
            <v>from technosphere (material)</v>
          </cell>
          <cell r="E1079" t="str">
            <v>Mass</v>
          </cell>
          <cell r="F1079">
            <v>4.1700000000000001E-2</v>
          </cell>
          <cell r="G1079" t="str">
            <v>tonne</v>
          </cell>
          <cell r="H1079" t="str">
            <v>tonne</v>
          </cell>
          <cell r="I1079" t="str">
            <v>none</v>
          </cell>
          <cell r="J1079" t="str">
            <v>[MIDDEN] TC0326</v>
          </cell>
          <cell r="K1079" t="str">
            <v>Estimation based on the input of material and output of cement.</v>
          </cell>
          <cell r="L1079" t="str">
            <v/>
          </cell>
        </row>
        <row r="1080">
          <cell r="A1080" t="str">
            <v xml:space="preserve">[MIDDEN] Cement production: Ball Mill + Ball Mill </v>
          </cell>
          <cell r="B1080" t="str">
            <v>limestone</v>
          </cell>
          <cell r="C1080" t="str">
            <v>from environment (natural resource)</v>
          </cell>
          <cell r="E1080" t="str">
            <v>Mass</v>
          </cell>
          <cell r="F1080">
            <v>0.123</v>
          </cell>
          <cell r="G1080" t="str">
            <v>tonne</v>
          </cell>
          <cell r="H1080" t="str">
            <v>tonne</v>
          </cell>
          <cell r="I1080" t="str">
            <v>none</v>
          </cell>
          <cell r="J1080" t="str">
            <v>[MIDDEN] TC0326</v>
          </cell>
          <cell r="K1080" t="str">
            <v>Estimation based on the input of material and output of cement.</v>
          </cell>
          <cell r="L1080" t="str">
            <v/>
          </cell>
        </row>
        <row r="1081">
          <cell r="A1081" t="str">
            <v xml:space="preserve">[MIDDEN] Cement production: Ball Mill + Ball Mill </v>
          </cell>
          <cell r="B1081" t="str">
            <v>electricity</v>
          </cell>
          <cell r="C1081" t="str">
            <v>from technosphere (energy_carrier)</v>
          </cell>
          <cell r="E1081" t="str">
            <v>Energy</v>
          </cell>
          <cell r="F1081">
            <v>0.3</v>
          </cell>
          <cell r="G1081" t="str">
            <v>GJ</v>
          </cell>
          <cell r="H1081" t="str">
            <v>tonne</v>
          </cell>
          <cell r="I1081" t="str">
            <v>none</v>
          </cell>
          <cell r="J1081" t="str">
            <v>[MIDDEN] TC0326</v>
          </cell>
          <cell r="K1081" t="str">
            <v>Estimation considering the biggest consumption of this grinding configuration.</v>
          </cell>
          <cell r="L1081">
            <v>68</v>
          </cell>
        </row>
        <row r="1082">
          <cell r="A1082" t="str">
            <v/>
          </cell>
          <cell r="L1082" t="str">
            <v/>
          </cell>
        </row>
        <row r="1083">
          <cell r="A1083" t="str">
            <v>[IMAGE] Coal-Methanol-HVC</v>
          </cell>
          <cell r="B1083" t="str">
            <v>HVC</v>
          </cell>
          <cell r="C1083" t="str">
            <v>reference_product</v>
          </cell>
          <cell r="D1083">
            <v>2901.21</v>
          </cell>
          <cell r="E1083" t="str">
            <v>Energy</v>
          </cell>
          <cell r="F1083">
            <v>1</v>
          </cell>
          <cell r="G1083" t="str">
            <v>GJ</v>
          </cell>
          <cell r="H1083">
            <v>1</v>
          </cell>
          <cell r="I1083" t="str">
            <v>none</v>
          </cell>
          <cell r="J1083" t="str">
            <v>[IMAGE]Coal-Methanol-HVC</v>
          </cell>
          <cell r="K1083" t="str">
            <v/>
          </cell>
        </row>
        <row r="1084">
          <cell r="A1084" t="str">
            <v>[IMAGE] Coal-Methanol-HVC</v>
          </cell>
          <cell r="B1084" t="str">
            <v>coal</v>
          </cell>
          <cell r="C1084" t="str">
            <v>from technosphere (energy_carrier)</v>
          </cell>
          <cell r="E1084" t="str">
            <v>Energy</v>
          </cell>
          <cell r="F1084">
            <v>1.8157685215073491</v>
          </cell>
          <cell r="G1084" t="str">
            <v>GJ</v>
          </cell>
          <cell r="H1084" t="str">
            <v>GJ</v>
          </cell>
          <cell r="I1084" t="str">
            <v>none</v>
          </cell>
          <cell r="J1084" t="str">
            <v>[IMAGE]Coal-Methanol-HVC</v>
          </cell>
        </row>
        <row r="1085">
          <cell r="A1085" t="str">
            <v>[IMAGE] Coal-Methanol-HVC</v>
          </cell>
          <cell r="B1085" t="str">
            <v>process heat</v>
          </cell>
          <cell r="C1085" t="str">
            <v>from technosphere (energy_carrier)</v>
          </cell>
          <cell r="E1085" t="str">
            <v>Energy</v>
          </cell>
          <cell r="F1085">
            <v>0.98966397157622721</v>
          </cell>
          <cell r="G1085" t="str">
            <v>GJ</v>
          </cell>
          <cell r="H1085" t="str">
            <v>GJ</v>
          </cell>
          <cell r="I1085" t="str">
            <v>none</v>
          </cell>
          <cell r="J1085" t="str">
            <v>[IMAGE]Coal-Methanol-HVC</v>
          </cell>
          <cell r="K1085" t="str">
            <v/>
          </cell>
        </row>
        <row r="1086">
          <cell r="A1086" t="str">
            <v/>
          </cell>
        </row>
        <row r="1087">
          <cell r="A1087" t="str">
            <v>[IMAGE] Coal-Naphtha-HVC</v>
          </cell>
          <cell r="B1087" t="str">
            <v>HVC</v>
          </cell>
          <cell r="C1087" t="str">
            <v>reference_product</v>
          </cell>
          <cell r="D1087">
            <v>2901.21</v>
          </cell>
          <cell r="E1087" t="str">
            <v>Energy</v>
          </cell>
          <cell r="F1087">
            <v>1</v>
          </cell>
          <cell r="G1087" t="str">
            <v>GJ</v>
          </cell>
          <cell r="H1087">
            <v>1</v>
          </cell>
          <cell r="I1087" t="str">
            <v>none</v>
          </cell>
          <cell r="J1087" t="str">
            <v>[IMAGE]Coal-Naphtha-HVC</v>
          </cell>
        </row>
        <row r="1088">
          <cell r="A1088" t="str">
            <v>[IMAGE] Coal-Naphtha-HVC</v>
          </cell>
          <cell r="B1088" t="str">
            <v>coal</v>
          </cell>
          <cell r="C1088" t="str">
            <v>from technosphere (feedstock)</v>
          </cell>
          <cell r="E1088" t="str">
            <v>Energy</v>
          </cell>
          <cell r="F1088">
            <v>3.0784030784030785</v>
          </cell>
          <cell r="G1088" t="str">
            <v>GJ</v>
          </cell>
          <cell r="H1088" t="str">
            <v>GJ</v>
          </cell>
          <cell r="I1088" t="str">
            <v>none</v>
          </cell>
          <cell r="J1088" t="str">
            <v>[IMAGE]Coal-Naphtha-HVC</v>
          </cell>
        </row>
        <row r="1089">
          <cell r="A1089" t="str">
            <v>[IMAGE] Coal-Naphtha-HVC</v>
          </cell>
          <cell r="B1089" t="str">
            <v>process heat</v>
          </cell>
          <cell r="C1089" t="str">
            <v>from technosphere (energy_carrier)</v>
          </cell>
          <cell r="E1089" t="str">
            <v>Energy</v>
          </cell>
          <cell r="F1089">
            <v>1.71</v>
          </cell>
          <cell r="G1089" t="str">
            <v>GJ</v>
          </cell>
          <cell r="H1089" t="str">
            <v>GJ</v>
          </cell>
          <cell r="I1089" t="str">
            <v>none</v>
          </cell>
          <cell r="J1089" t="str">
            <v>[IMAGE]Coal-Naphtha-HVC</v>
          </cell>
        </row>
        <row r="1090">
          <cell r="A1090" t="str">
            <v/>
          </cell>
        </row>
        <row r="1091">
          <cell r="A1091" t="str">
            <v>[IMAGE] Oil-Naphtha-HVC</v>
          </cell>
          <cell r="B1091" t="str">
            <v>HVC</v>
          </cell>
          <cell r="C1091" t="str">
            <v>reference_product</v>
          </cell>
          <cell r="D1091">
            <v>2901.21</v>
          </cell>
          <cell r="E1091" t="str">
            <v>Energy</v>
          </cell>
          <cell r="F1091">
            <v>1</v>
          </cell>
          <cell r="G1091" t="str">
            <v>GJ</v>
          </cell>
          <cell r="H1091">
            <v>1</v>
          </cell>
          <cell r="I1091" t="str">
            <v>none</v>
          </cell>
          <cell r="J1091" t="str">
            <v>[IMAGE]Oil-Naphtha-HVC</v>
          </cell>
        </row>
        <row r="1092">
          <cell r="A1092" t="str">
            <v>[IMAGE] Oil-Naphtha-HVC</v>
          </cell>
          <cell r="B1092" t="str">
            <v>oil</v>
          </cell>
          <cell r="C1092" t="str">
            <v>from technosphere (feedstock)</v>
          </cell>
          <cell r="E1092" t="str">
            <v>Energy</v>
          </cell>
          <cell r="F1092">
            <v>1.6666666666666667</v>
          </cell>
          <cell r="G1092" t="str">
            <v>GJ</v>
          </cell>
          <cell r="H1092" t="str">
            <v>GJ</v>
          </cell>
          <cell r="I1092" t="str">
            <v>none</v>
          </cell>
          <cell r="J1092" t="str">
            <v>[IMAGE]Oil-Naphtha-HVC</v>
          </cell>
        </row>
        <row r="1093">
          <cell r="A1093" t="str">
            <v>[IMAGE] Oil-Naphtha-HVC</v>
          </cell>
          <cell r="B1093" t="str">
            <v>process heat</v>
          </cell>
          <cell r="C1093" t="str">
            <v>from technosphere (energy_carrier)</v>
          </cell>
          <cell r="E1093" t="str">
            <v>Energy</v>
          </cell>
          <cell r="F1093">
            <v>0.44444966666666663</v>
          </cell>
          <cell r="G1093" t="str">
            <v>GJ</v>
          </cell>
          <cell r="H1093" t="str">
            <v>GJ</v>
          </cell>
          <cell r="I1093" t="str">
            <v>none</v>
          </cell>
          <cell r="J1093" t="str">
            <v>[IMAGE]Oil-Naphtha-HVC</v>
          </cell>
        </row>
        <row r="1094">
          <cell r="A1094" t="str">
            <v/>
          </cell>
        </row>
        <row r="1095">
          <cell r="A1095" t="str">
            <v>[IMAGE] BSF-Naphtha-HVC</v>
          </cell>
          <cell r="B1095" t="str">
            <v>HVC</v>
          </cell>
          <cell r="C1095" t="str">
            <v>reference_product</v>
          </cell>
          <cell r="D1095">
            <v>2901.21</v>
          </cell>
          <cell r="E1095" t="str">
            <v>Energy</v>
          </cell>
          <cell r="F1095">
            <v>1</v>
          </cell>
          <cell r="G1095" t="str">
            <v>GJ</v>
          </cell>
          <cell r="H1095">
            <v>1</v>
          </cell>
          <cell r="I1095" t="str">
            <v>none</v>
          </cell>
          <cell r="J1095" t="str">
            <v>[IMAGE]BSF-Naphtha-HVC</v>
          </cell>
        </row>
        <row r="1096">
          <cell r="A1096" t="str">
            <v>[IMAGE] BSF-Naphtha-HVC</v>
          </cell>
          <cell r="B1096" t="str">
            <v>biomass</v>
          </cell>
          <cell r="C1096" t="str">
            <v>from technosphere (feedstock)</v>
          </cell>
          <cell r="E1096" t="str">
            <v>Energy</v>
          </cell>
          <cell r="F1096">
            <v>4.1025641025641022</v>
          </cell>
          <cell r="G1096" t="str">
            <v>GJ</v>
          </cell>
          <cell r="H1096" t="str">
            <v>GJ</v>
          </cell>
          <cell r="I1096" t="str">
            <v>none</v>
          </cell>
          <cell r="J1096" t="str">
            <v>[IMAGE]BSF-Naphtha-HVC</v>
          </cell>
        </row>
        <row r="1097">
          <cell r="A1097" t="str">
            <v>[IMAGE] BSF-Naphtha-HVC</v>
          </cell>
          <cell r="B1097" t="str">
            <v>process heat</v>
          </cell>
          <cell r="C1097" t="str">
            <v>from technosphere (energy_carrier)</v>
          </cell>
          <cell r="E1097" t="str">
            <v>Energy</v>
          </cell>
          <cell r="F1097">
            <v>0.50370399999999993</v>
          </cell>
          <cell r="G1097" t="str">
            <v>GJ</v>
          </cell>
          <cell r="H1097" t="str">
            <v>GJ</v>
          </cell>
          <cell r="I1097" t="str">
            <v>none</v>
          </cell>
          <cell r="J1097" t="str">
            <v>[IMAGE]BSF-Naphtha-HVC</v>
          </cell>
        </row>
        <row r="1098">
          <cell r="A1098" t="str">
            <v/>
          </cell>
        </row>
        <row r="1099">
          <cell r="A1099" t="str">
            <v>[IMAGE] PCW-Naphtha-HVC</v>
          </cell>
          <cell r="B1099" t="str">
            <v>HVC</v>
          </cell>
          <cell r="C1099" t="str">
            <v>reference_product</v>
          </cell>
          <cell r="D1099">
            <v>2901.21</v>
          </cell>
          <cell r="E1099" t="str">
            <v>Energy</v>
          </cell>
          <cell r="F1099">
            <v>1</v>
          </cell>
          <cell r="G1099" t="str">
            <v>GJ</v>
          </cell>
          <cell r="H1099">
            <v>1</v>
          </cell>
          <cell r="I1099" t="str">
            <v>none</v>
          </cell>
          <cell r="J1099" t="str">
            <v>[IMAGE]PCW-Naphtha-HVC</v>
          </cell>
        </row>
        <row r="1100">
          <cell r="A1100" t="str">
            <v>[IMAGE] PCW-Naphtha-HVC</v>
          </cell>
          <cell r="B1100" t="str">
            <v>oil</v>
          </cell>
          <cell r="C1100" t="str">
            <v>from technosphere (feedstock)</v>
          </cell>
          <cell r="E1100" t="str">
            <v>Energy</v>
          </cell>
          <cell r="F1100">
            <v>3.1746031746031744</v>
          </cell>
          <cell r="G1100" t="str">
            <v>GJ</v>
          </cell>
          <cell r="H1100" t="str">
            <v>GJ</v>
          </cell>
          <cell r="I1100" t="str">
            <v>none</v>
          </cell>
          <cell r="J1100" t="str">
            <v>[IMAGE]PCW-Naphtha-HVC</v>
          </cell>
        </row>
        <row r="1101">
          <cell r="A1101" t="str">
            <v>[IMAGE] PCW-Naphtha-HVC</v>
          </cell>
          <cell r="B1101" t="str">
            <v>process heat</v>
          </cell>
          <cell r="C1101" t="str">
            <v>from technosphere (energy_carrier)</v>
          </cell>
          <cell r="E1101" t="str">
            <v>Energy</v>
          </cell>
          <cell r="F1101">
            <v>0.38730442857142855</v>
          </cell>
          <cell r="G1101" t="str">
            <v>GJ</v>
          </cell>
          <cell r="H1101" t="str">
            <v>GJ</v>
          </cell>
          <cell r="I1101" t="str">
            <v>none</v>
          </cell>
          <cell r="J1101" t="str">
            <v>[IMAGE]PCW-Naphtha-HVC</v>
          </cell>
        </row>
        <row r="1102">
          <cell r="A1102" t="str">
            <v/>
          </cell>
        </row>
        <row r="1103">
          <cell r="A1103" t="str">
            <v>[IMAGE] Natural gas-Ethane-HVC</v>
          </cell>
          <cell r="B1103" t="str">
            <v>HVC</v>
          </cell>
          <cell r="C1103" t="str">
            <v>reference_product</v>
          </cell>
          <cell r="D1103">
            <v>2901.21</v>
          </cell>
          <cell r="E1103" t="str">
            <v>Energy</v>
          </cell>
          <cell r="F1103">
            <v>1</v>
          </cell>
          <cell r="G1103" t="str">
            <v>GJ</v>
          </cell>
          <cell r="H1103">
            <v>1</v>
          </cell>
          <cell r="I1103" t="str">
            <v>none</v>
          </cell>
          <cell r="J1103" t="str">
            <v>[IMAGE]Natural gas-Ethane-HVC</v>
          </cell>
        </row>
        <row r="1104">
          <cell r="A1104" t="str">
            <v>[IMAGE] Natural gas-Ethane-HVC</v>
          </cell>
          <cell r="B1104" t="str">
            <v>biomass</v>
          </cell>
          <cell r="C1104" t="str">
            <v>from technosphere (feedstock)</v>
          </cell>
          <cell r="E1104" t="str">
            <v>Energy</v>
          </cell>
          <cell r="F1104">
            <v>1.2737133584509608</v>
          </cell>
          <cell r="G1104" t="str">
            <v>GJ</v>
          </cell>
          <cell r="H1104" t="str">
            <v>GJ</v>
          </cell>
          <cell r="I1104" t="str">
            <v>none</v>
          </cell>
          <cell r="J1104" t="str">
            <v>[IMAGE]Natural gas-Ethane-HVC</v>
          </cell>
        </row>
        <row r="1105">
          <cell r="A1105" t="str">
            <v>[IMAGE] Natural gas-Ethane-HVC</v>
          </cell>
          <cell r="B1105" t="str">
            <v>process heat</v>
          </cell>
          <cell r="C1105" t="str">
            <v>from technosphere (energy_carrier)</v>
          </cell>
          <cell r="E1105" t="str">
            <v>Energy</v>
          </cell>
          <cell r="F1105">
            <v>0.43197450340208837</v>
          </cell>
          <cell r="G1105" t="str">
            <v>GJ</v>
          </cell>
          <cell r="H1105" t="str">
            <v>GJ</v>
          </cell>
          <cell r="I1105" t="str">
            <v>none</v>
          </cell>
          <cell r="J1105" t="str">
            <v>[IMAGE]Natural gas-Ethane-HVC</v>
          </cell>
        </row>
        <row r="1106">
          <cell r="A1106" t="str">
            <v/>
          </cell>
        </row>
        <row r="1107">
          <cell r="A1107" t="str">
            <v>[IMAGE] Black liquor-methanol</v>
          </cell>
          <cell r="B1107" t="str">
            <v>methanol</v>
          </cell>
          <cell r="C1107" t="str">
            <v>reference_product</v>
          </cell>
          <cell r="D1107">
            <v>2905</v>
          </cell>
          <cell r="E1107" t="str">
            <v>Energy</v>
          </cell>
          <cell r="F1107">
            <v>1</v>
          </cell>
          <cell r="G1107" t="str">
            <v>GJ</v>
          </cell>
          <cell r="H1107">
            <v>1</v>
          </cell>
          <cell r="I1107" t="str">
            <v>none</v>
          </cell>
          <cell r="J1107" t="str">
            <v>[IMAGE]Black liquor-methanol</v>
          </cell>
        </row>
        <row r="1108">
          <cell r="A1108" t="str">
            <v>[IMAGE] Black liquor-methanol</v>
          </cell>
          <cell r="B1108" t="str">
            <v>black liquor</v>
          </cell>
          <cell r="C1108" t="str">
            <v>from technosphere (energy_carrier)</v>
          </cell>
          <cell r="E1108" t="str">
            <v>Energy</v>
          </cell>
          <cell r="F1108">
            <v>1.0136734410462731</v>
          </cell>
          <cell r="G1108" t="str">
            <v>GJ</v>
          </cell>
          <cell r="H1108" t="str">
            <v>GJ</v>
          </cell>
          <cell r="I1108" t="str">
            <v>none</v>
          </cell>
          <cell r="J1108" t="str">
            <v>[IMAGE]Black liquor-methanol</v>
          </cell>
        </row>
        <row r="1109">
          <cell r="A1109" t="str">
            <v>[IMAGE] Black liquor-methanol</v>
          </cell>
          <cell r="B1109" t="str">
            <v>process heat</v>
          </cell>
          <cell r="C1109" t="str">
            <v>from technosphere (energy_carrier)</v>
          </cell>
          <cell r="E1109" t="str">
            <v>Energy</v>
          </cell>
          <cell r="F1109">
            <v>0.42220000000000002</v>
          </cell>
          <cell r="G1109" t="str">
            <v>GJ</v>
          </cell>
          <cell r="H1109" t="str">
            <v>GJ</v>
          </cell>
          <cell r="I1109" t="str">
            <v>none</v>
          </cell>
          <cell r="J1109" t="str">
            <v>[IMAGE]Black liquor-methanol</v>
          </cell>
        </row>
        <row r="1110">
          <cell r="A1110" t="str">
            <v/>
          </cell>
        </row>
        <row r="1111">
          <cell r="A1111" t="str">
            <v>[IMAGE] CO2-methanol</v>
          </cell>
          <cell r="B1111" t="str">
            <v>methanol</v>
          </cell>
          <cell r="C1111" t="str">
            <v>reference_product</v>
          </cell>
          <cell r="D1111">
            <v>2905</v>
          </cell>
          <cell r="E1111" t="str">
            <v>Energy</v>
          </cell>
          <cell r="F1111">
            <v>1</v>
          </cell>
          <cell r="G1111" t="str">
            <v>GJ</v>
          </cell>
          <cell r="H1111">
            <v>1</v>
          </cell>
          <cell r="I1111" t="str">
            <v>none</v>
          </cell>
          <cell r="J1111" t="str">
            <v>[IMAGE]CO2-methanol</v>
          </cell>
        </row>
        <row r="1112">
          <cell r="A1112" t="str">
            <v>[IMAGE] CO2-methanol</v>
          </cell>
          <cell r="B1112" t="str">
            <v>carbon dioxide</v>
          </cell>
          <cell r="C1112" t="str">
            <v>from technosphere (material)</v>
          </cell>
          <cell r="E1112" t="str">
            <v>Energy</v>
          </cell>
          <cell r="F1112">
            <v>30.487804878048784</v>
          </cell>
          <cell r="G1112" t="str">
            <v>GJ</v>
          </cell>
          <cell r="H1112" t="str">
            <v>GJ</v>
          </cell>
          <cell r="I1112" t="str">
            <v>none</v>
          </cell>
          <cell r="J1112" t="str">
            <v>[IMAGE]CO2-methanol</v>
          </cell>
        </row>
        <row r="1113">
          <cell r="A1113" t="str">
            <v>[IMAGE] CO2-methanol</v>
          </cell>
          <cell r="B1113" t="str">
            <v>process heat</v>
          </cell>
          <cell r="C1113" t="str">
            <v>from technosphere (energy_carrier)</v>
          </cell>
          <cell r="E1113" t="str">
            <v>Energy</v>
          </cell>
          <cell r="F1113">
            <v>0.73</v>
          </cell>
          <cell r="G1113" t="str">
            <v>GJ</v>
          </cell>
          <cell r="H1113" t="str">
            <v>GJ</v>
          </cell>
          <cell r="I1113" t="str">
            <v>none</v>
          </cell>
          <cell r="J1113" t="str">
            <v>[IMAGE]CO2-methanol</v>
          </cell>
        </row>
        <row r="1114">
          <cell r="A1114" t="str">
            <v/>
          </cell>
        </row>
        <row r="1115">
          <cell r="A1115" t="str">
            <v>[TIMES] Paper mill, high quality</v>
          </cell>
          <cell r="B1115" t="str">
            <v>paper, high quality</v>
          </cell>
          <cell r="C1115" t="str">
            <v>reference_product</v>
          </cell>
          <cell r="D1115"/>
          <cell r="E1115" t="str">
            <v>Mass</v>
          </cell>
          <cell r="F1115">
            <v>1</v>
          </cell>
          <cell r="G1115" t="str">
            <v>t</v>
          </cell>
          <cell r="H1115"/>
          <cell r="I1115"/>
          <cell r="J1115" t="str">
            <v>[TIMES] Paper mill, high quality</v>
          </cell>
          <cell r="K1115"/>
          <cell r="L1115"/>
        </row>
        <row r="1116">
          <cell r="A1116" t="str">
            <v>[TIMES] Paper mill, high quality</v>
          </cell>
          <cell r="B1116" t="str">
            <v>pulp</v>
          </cell>
          <cell r="C1116" t="str">
            <v>from technosphere (product)</v>
          </cell>
          <cell r="D1116"/>
          <cell r="E1116" t="str">
            <v>Mass</v>
          </cell>
          <cell r="F1116">
            <v>1</v>
          </cell>
          <cell r="G1116" t="str">
            <v>t</v>
          </cell>
          <cell r="H1116"/>
          <cell r="I1116"/>
          <cell r="J1116" t="str">
            <v>[TIMES] Paper mill, high quality</v>
          </cell>
          <cell r="K1116"/>
          <cell r="L1116"/>
        </row>
        <row r="1117">
          <cell r="A1117" t="str">
            <v>[TIMES] Paper mill, high quality</v>
          </cell>
          <cell r="B1117" t="str">
            <v>electricity</v>
          </cell>
          <cell r="C1117" t="str">
            <v>from technosphere (energy_carrier)</v>
          </cell>
          <cell r="D1117"/>
          <cell r="E1117" t="str">
            <v>Energy</v>
          </cell>
          <cell r="F1117">
            <v>2.4</v>
          </cell>
          <cell r="G1117" t="str">
            <v>GJ</v>
          </cell>
          <cell r="H1117"/>
          <cell r="I1117"/>
          <cell r="J1117" t="str">
            <v>[TIMES] Paper mill, high quality</v>
          </cell>
          <cell r="K1117"/>
          <cell r="L1117"/>
        </row>
        <row r="1118">
          <cell r="A1118" t="str">
            <v>[TIMES] Paper mill, high quality</v>
          </cell>
          <cell r="B1118" t="str">
            <v>process heat</v>
          </cell>
          <cell r="C1118" t="str">
            <v>from technosphere (energy_carrier)</v>
          </cell>
          <cell r="D1118"/>
          <cell r="E1118" t="str">
            <v>Energy</v>
          </cell>
          <cell r="F1118">
            <v>8.4</v>
          </cell>
          <cell r="G1118" t="str">
            <v>GJ</v>
          </cell>
          <cell r="H1118"/>
          <cell r="I1118"/>
          <cell r="J1118" t="str">
            <v>[TIMES] Paper mill, high quality</v>
          </cell>
          <cell r="K1118"/>
          <cell r="L1118"/>
        </row>
        <row r="1119">
          <cell r="A1119" t="str">
            <v>[TIMES] Paper mill, high quality</v>
          </cell>
          <cell r="B1119" t="str">
            <v>carbon dioxide</v>
          </cell>
          <cell r="C1119" t="str">
            <v>to environment (emission, combustion)</v>
          </cell>
          <cell r="D1119"/>
          <cell r="E1119" t="str">
            <v>Mass</v>
          </cell>
          <cell r="F1119">
            <v>580</v>
          </cell>
          <cell r="G1119" t="str">
            <v>kg</v>
          </cell>
          <cell r="H1119" t="str">
            <v>t</v>
          </cell>
          <cell r="I1119"/>
          <cell r="J1119" t="str">
            <v>[TIMES] Paper mill, high quality</v>
          </cell>
          <cell r="K1119" t="str">
            <v>unit converter</v>
          </cell>
          <cell r="L1119"/>
        </row>
        <row r="1120">
          <cell r="A1120" t="str">
            <v/>
          </cell>
          <cell r="B1120"/>
          <cell r="C1120"/>
          <cell r="D1120"/>
          <cell r="E1120"/>
          <cell r="F1120"/>
          <cell r="G1120"/>
          <cell r="H1120"/>
          <cell r="I1120"/>
          <cell r="J1120" t="str">
            <v/>
          </cell>
          <cell r="K1120"/>
          <cell r="L1120"/>
        </row>
        <row r="1121">
          <cell r="A1121" t="str">
            <v>[TIMES] Paper mill, high quality + advanced drives</v>
          </cell>
          <cell r="B1121" t="str">
            <v>paper, high quality</v>
          </cell>
          <cell r="C1121" t="str">
            <v>reference_product</v>
          </cell>
          <cell r="D1121"/>
          <cell r="E1121" t="str">
            <v>Mass</v>
          </cell>
          <cell r="F1121">
            <v>1</v>
          </cell>
          <cell r="G1121" t="str">
            <v>t</v>
          </cell>
          <cell r="H1121"/>
          <cell r="I1121"/>
          <cell r="J1121" t="str">
            <v>[TIMES] Paper mill, high quality + advanced drives</v>
          </cell>
          <cell r="K1121"/>
          <cell r="L1121"/>
        </row>
        <row r="1122">
          <cell r="A1122" t="str">
            <v>[TIMES] Paper mill, high quality + advanced drives</v>
          </cell>
          <cell r="B1122" t="str">
            <v>pulp</v>
          </cell>
          <cell r="C1122" t="str">
            <v>from technosphere (product)</v>
          </cell>
          <cell r="D1122"/>
          <cell r="E1122" t="str">
            <v>Mass</v>
          </cell>
          <cell r="F1122">
            <v>1</v>
          </cell>
          <cell r="G1122" t="str">
            <v>t</v>
          </cell>
          <cell r="H1122"/>
          <cell r="I1122"/>
          <cell r="J1122" t="str">
            <v>[TIMES] Paper mill, high quality + advanced drives</v>
          </cell>
          <cell r="K1122"/>
          <cell r="L1122"/>
        </row>
        <row r="1123">
          <cell r="A1123" t="str">
            <v>[TIMES] Paper mill, high quality + advanced drives</v>
          </cell>
          <cell r="B1123" t="str">
            <v>natural gas</v>
          </cell>
          <cell r="C1123" t="str">
            <v>from technosphere (energy_carrier)</v>
          </cell>
          <cell r="D1123"/>
          <cell r="E1123" t="str">
            <v>Energy</v>
          </cell>
          <cell r="F1123">
            <v>3.6</v>
          </cell>
          <cell r="G1123" t="str">
            <v>GJ</v>
          </cell>
          <cell r="H1123"/>
          <cell r="I1123"/>
          <cell r="J1123" t="str">
            <v>[TIMES] Paper mill, high quality + advanced drives</v>
          </cell>
          <cell r="K1123"/>
          <cell r="L1123"/>
        </row>
        <row r="1124">
          <cell r="A1124" t="str">
            <v>[TIMES] Paper mill, high quality + advanced drives</v>
          </cell>
          <cell r="B1124" t="str">
            <v>electricity</v>
          </cell>
          <cell r="C1124" t="str">
            <v>from technosphere (energy_carrier)</v>
          </cell>
          <cell r="D1124"/>
          <cell r="E1124" t="str">
            <v>Energy</v>
          </cell>
          <cell r="F1124">
            <v>4.0999999999999996</v>
          </cell>
          <cell r="G1124" t="str">
            <v>GJ</v>
          </cell>
          <cell r="H1124"/>
          <cell r="I1124"/>
          <cell r="J1124" t="str">
            <v>[TIMES] Paper mill, high quality + advanced drives</v>
          </cell>
          <cell r="K1124"/>
          <cell r="L1124"/>
        </row>
        <row r="1125">
          <cell r="A1125" t="str">
            <v>[TIMES] Paper mill, high quality + advanced drives</v>
          </cell>
          <cell r="B1125" t="str">
            <v>process heat</v>
          </cell>
          <cell r="C1125" t="str">
            <v>from technosphere (energy_carrier)</v>
          </cell>
          <cell r="D1125"/>
          <cell r="E1125" t="str">
            <v>Energy</v>
          </cell>
          <cell r="F1125">
            <v>2.7</v>
          </cell>
          <cell r="G1125" t="str">
            <v>GJ</v>
          </cell>
          <cell r="H1125"/>
          <cell r="I1125"/>
          <cell r="J1125" t="str">
            <v>[TIMES] Paper mill, high quality + advanced drives</v>
          </cell>
          <cell r="K1125"/>
          <cell r="L1125"/>
        </row>
        <row r="1126">
          <cell r="A1126" t="str">
            <v>[TIMES] Paper mill, high quality + advanced drives</v>
          </cell>
          <cell r="B1126" t="str">
            <v>carbon dioxide</v>
          </cell>
          <cell r="C1126" t="str">
            <v>to environment (emission, combustion)</v>
          </cell>
          <cell r="D1126"/>
          <cell r="E1126" t="str">
            <v>Mass</v>
          </cell>
          <cell r="F1126">
            <v>398</v>
          </cell>
          <cell r="G1126" t="str">
            <v>kg</v>
          </cell>
          <cell r="H1126" t="str">
            <v>t</v>
          </cell>
          <cell r="I1126"/>
          <cell r="J1126" t="str">
            <v>[TIMES] Paper mill, high quality + advanced drives</v>
          </cell>
          <cell r="K1126" t="str">
            <v>unit converter</v>
          </cell>
          <cell r="L1126"/>
        </row>
        <row r="1127">
          <cell r="A1127" t="str">
            <v/>
          </cell>
          <cell r="B1127"/>
          <cell r="C1127"/>
          <cell r="D1127"/>
          <cell r="E1127"/>
          <cell r="F1127"/>
          <cell r="G1127"/>
          <cell r="H1127"/>
          <cell r="I1127"/>
          <cell r="J1127" t="str">
            <v/>
          </cell>
          <cell r="K1127"/>
          <cell r="L1127"/>
        </row>
        <row r="1128">
          <cell r="A1128" t="str">
            <v>[TIMES] Paper mill, high quality + advanced drives w/ CO2 capture</v>
          </cell>
          <cell r="B1128" t="str">
            <v>paper, high quality</v>
          </cell>
          <cell r="C1128" t="str">
            <v>reference_product</v>
          </cell>
          <cell r="D1128"/>
          <cell r="E1128" t="str">
            <v>Mass</v>
          </cell>
          <cell r="F1128">
            <v>1</v>
          </cell>
          <cell r="G1128" t="str">
            <v>t</v>
          </cell>
          <cell r="H1128"/>
          <cell r="I1128"/>
          <cell r="J1128" t="str">
            <v>[TIMES] Paper mill, high quality + advanced drives w/ CO2 capture</v>
          </cell>
          <cell r="K1128"/>
          <cell r="L1128"/>
        </row>
        <row r="1129">
          <cell r="A1129" t="str">
            <v>[TIMES] Paper mill, high quality + advanced drives w/ CO2 capture</v>
          </cell>
          <cell r="B1129" t="str">
            <v>pulp</v>
          </cell>
          <cell r="C1129" t="str">
            <v>from technosphere (product)</v>
          </cell>
          <cell r="D1129"/>
          <cell r="E1129" t="str">
            <v>Mass</v>
          </cell>
          <cell r="F1129">
            <v>1</v>
          </cell>
          <cell r="G1129" t="str">
            <v>t</v>
          </cell>
          <cell r="H1129"/>
          <cell r="I1129"/>
          <cell r="J1129" t="str">
            <v>[TIMES] Paper mill, high quality + advanced drives w/ CO2 capture</v>
          </cell>
          <cell r="K1129"/>
          <cell r="L1129"/>
        </row>
        <row r="1130">
          <cell r="A1130" t="str">
            <v>[TIMES] Paper mill, high quality + advanced drives w/ CO2 capture</v>
          </cell>
          <cell r="B1130" t="str">
            <v>natural gas</v>
          </cell>
          <cell r="C1130" t="str">
            <v>from technosphere (energy_carrier)</v>
          </cell>
          <cell r="D1130"/>
          <cell r="E1130" t="str">
            <v>Energy</v>
          </cell>
          <cell r="F1130">
            <v>3.8340000000000001</v>
          </cell>
          <cell r="G1130" t="str">
            <v>GJ</v>
          </cell>
          <cell r="H1130"/>
          <cell r="I1130"/>
          <cell r="J1130" t="str">
            <v>[TIMES] Paper mill, high quality + advanced drives w/ CO2 capture</v>
          </cell>
          <cell r="K1130"/>
          <cell r="L1130"/>
        </row>
        <row r="1131">
          <cell r="A1131" t="str">
            <v>[TIMES] Paper mill, high quality + advanced drives w/ CO2 capture</v>
          </cell>
          <cell r="B1131" t="str">
            <v>electricity</v>
          </cell>
          <cell r="C1131" t="str">
            <v>from technosphere (energy_carrier)</v>
          </cell>
          <cell r="D1131"/>
          <cell r="E1131" t="str">
            <v>Energy</v>
          </cell>
          <cell r="F1131">
            <v>4.3664999999999994</v>
          </cell>
          <cell r="G1131" t="str">
            <v>GJ</v>
          </cell>
          <cell r="H1131"/>
          <cell r="I1131"/>
          <cell r="J1131" t="str">
            <v>[TIMES] Paper mill, high quality + advanced drives w/ CO2 capture</v>
          </cell>
          <cell r="K1131"/>
          <cell r="L1131"/>
        </row>
        <row r="1132">
          <cell r="A1132" t="str">
            <v>[TIMES] Paper mill, high quality + advanced drives w/ CO2 capture</v>
          </cell>
          <cell r="B1132" t="str">
            <v>process heat</v>
          </cell>
          <cell r="C1132" t="str">
            <v>from technosphere (energy_carrier)</v>
          </cell>
          <cell r="D1132"/>
          <cell r="E1132" t="str">
            <v>Energy</v>
          </cell>
          <cell r="F1132">
            <v>2.8755000000000002</v>
          </cell>
          <cell r="G1132" t="str">
            <v>GJ</v>
          </cell>
          <cell r="H1132"/>
          <cell r="I1132"/>
          <cell r="J1132" t="str">
            <v>[TIMES] Paper mill, high quality + advanced drives w/ CO2 capture</v>
          </cell>
          <cell r="K1132"/>
          <cell r="L1132"/>
        </row>
        <row r="1133">
          <cell r="A1133" t="str">
            <v>[TIMES] Paper mill, high quality + advanced drives w/ CO2 capture</v>
          </cell>
          <cell r="B1133" t="str">
            <v>carbon dioxide</v>
          </cell>
          <cell r="C1133" t="str">
            <v>to environment (emission, combustion)</v>
          </cell>
          <cell r="D1133"/>
          <cell r="E1133" t="str">
            <v>Mass</v>
          </cell>
          <cell r="F1133">
            <v>662</v>
          </cell>
          <cell r="G1133" t="str">
            <v>kg</v>
          </cell>
          <cell r="H1133" t="str">
            <v>t</v>
          </cell>
          <cell r="I1133"/>
          <cell r="J1133" t="str">
            <v>[TIMES] Paper mill, high quality + advanced drives w/ CO2 capture</v>
          </cell>
          <cell r="K1133" t="str">
            <v>unit converter</v>
          </cell>
          <cell r="L1133"/>
        </row>
        <row r="1134">
          <cell r="A1134" t="str">
            <v>[TIMES] Paper mill, high quality + advanced drives w/ CO2 capture</v>
          </cell>
          <cell r="B1134" t="str">
            <v>carbon dioxide</v>
          </cell>
          <cell r="C1134" t="str">
            <v>to technosphere (by-product)</v>
          </cell>
          <cell r="D1134"/>
          <cell r="E1134" t="str">
            <v>Mass</v>
          </cell>
          <cell r="F1134">
            <v>582.56000000000006</v>
          </cell>
          <cell r="G1134" t="str">
            <v>kg</v>
          </cell>
          <cell r="H1134" t="str">
            <v>t</v>
          </cell>
          <cell r="I1134"/>
          <cell r="J1134" t="str">
            <v>[TIMES] Paper mill, high quality + advanced drives w/ CO2 capture</v>
          </cell>
          <cell r="K1134" t="str">
            <v>capture rate based on TIMES</v>
          </cell>
          <cell r="L1134"/>
        </row>
        <row r="1135">
          <cell r="A1135" t="str">
            <v/>
          </cell>
          <cell r="B1135"/>
          <cell r="C1135"/>
          <cell r="D1135"/>
          <cell r="E1135"/>
          <cell r="F1135"/>
          <cell r="G1135"/>
          <cell r="H1135"/>
          <cell r="I1135"/>
          <cell r="J1135" t="str">
            <v/>
          </cell>
          <cell r="K1135"/>
          <cell r="L1135"/>
        </row>
        <row r="1136">
          <cell r="A1136" t="str">
            <v>[TIMES] Paper mill, low quality</v>
          </cell>
          <cell r="B1136" t="str">
            <v>paper, low quality</v>
          </cell>
          <cell r="C1136" t="str">
            <v>reference_product</v>
          </cell>
          <cell r="D1136"/>
          <cell r="E1136" t="str">
            <v>Mass</v>
          </cell>
          <cell r="F1136">
            <v>1</v>
          </cell>
          <cell r="G1136" t="str">
            <v>t</v>
          </cell>
          <cell r="H1136"/>
          <cell r="I1136"/>
          <cell r="J1136" t="str">
            <v>[TIMES] Paper mill, low quality</v>
          </cell>
          <cell r="K1136"/>
          <cell r="L1136"/>
        </row>
        <row r="1137">
          <cell r="A1137" t="str">
            <v>[TIMES] Paper mill, low quality</v>
          </cell>
          <cell r="B1137" t="str">
            <v>pulp</v>
          </cell>
          <cell r="C1137" t="str">
            <v>from technosphere (product)</v>
          </cell>
          <cell r="D1137"/>
          <cell r="E1137" t="str">
            <v>Mass</v>
          </cell>
          <cell r="F1137">
            <v>0.67</v>
          </cell>
          <cell r="G1137" t="str">
            <v>t</v>
          </cell>
          <cell r="H1137"/>
          <cell r="I1137"/>
          <cell r="J1137" t="str">
            <v>[TIMES] Paper mill, low quality</v>
          </cell>
          <cell r="K1137"/>
          <cell r="L1137"/>
        </row>
        <row r="1138">
          <cell r="A1138" t="str">
            <v>[TIMES] Paper mill, low quality</v>
          </cell>
          <cell r="B1138" t="str">
            <v>gypsum</v>
          </cell>
          <cell r="C1138" t="str">
            <v>from environment (natural resource)</v>
          </cell>
          <cell r="D1138"/>
          <cell r="E1138" t="str">
            <v>Mass</v>
          </cell>
          <cell r="F1138">
            <v>0.19</v>
          </cell>
          <cell r="G1138" t="str">
            <v>t</v>
          </cell>
          <cell r="H1138"/>
          <cell r="I1138"/>
          <cell r="J1138" t="str">
            <v>[TIMES] Paper mill, low quality</v>
          </cell>
          <cell r="K1138"/>
          <cell r="L1138"/>
        </row>
        <row r="1139">
          <cell r="A1139" t="str">
            <v>[TIMES] Paper mill, low quality</v>
          </cell>
          <cell r="B1139" t="str">
            <v>kaolin</v>
          </cell>
          <cell r="C1139" t="str">
            <v>from environment (natural resource)</v>
          </cell>
          <cell r="D1139"/>
          <cell r="E1139" t="str">
            <v>Mass</v>
          </cell>
          <cell r="F1139">
            <v>0.03</v>
          </cell>
          <cell r="G1139" t="str">
            <v>t</v>
          </cell>
          <cell r="H1139"/>
          <cell r="I1139"/>
          <cell r="J1139" t="str">
            <v>[TIMES] Paper mill, low quality</v>
          </cell>
          <cell r="K1139"/>
          <cell r="L1139"/>
        </row>
        <row r="1140">
          <cell r="A1140" t="str">
            <v>[TIMES] Paper mill, low quality</v>
          </cell>
          <cell r="B1140" t="str">
            <v>paper, recycled</v>
          </cell>
          <cell r="C1140" t="str">
            <v>from technosphere (product)</v>
          </cell>
          <cell r="D1140"/>
          <cell r="E1140" t="str">
            <v>Mass</v>
          </cell>
          <cell r="F1140">
            <v>7.0000000000000007E-2</v>
          </cell>
          <cell r="G1140" t="str">
            <v>t</v>
          </cell>
          <cell r="H1140"/>
          <cell r="I1140"/>
          <cell r="J1140" t="str">
            <v>[TIMES] Paper mill, low quality</v>
          </cell>
          <cell r="K1140"/>
          <cell r="L1140"/>
        </row>
        <row r="1141">
          <cell r="A1141" t="str">
            <v>[TIMES] Paper mill, low quality</v>
          </cell>
          <cell r="B1141" t="str">
            <v>natural gas</v>
          </cell>
          <cell r="C1141" t="str">
            <v>from technosphere (energy_carrier)</v>
          </cell>
          <cell r="D1141"/>
          <cell r="E1141" t="str">
            <v>Energy</v>
          </cell>
          <cell r="F1141">
            <v>7.0000000000000007E-2</v>
          </cell>
          <cell r="G1141" t="str">
            <v>GJ</v>
          </cell>
          <cell r="H1141"/>
          <cell r="I1141"/>
          <cell r="J1141" t="str">
            <v>[TIMES] Paper mill, low quality</v>
          </cell>
          <cell r="K1141"/>
          <cell r="L1141"/>
        </row>
        <row r="1142">
          <cell r="A1142" t="str">
            <v>[TIMES] Paper mill, low quality</v>
          </cell>
          <cell r="B1142" t="str">
            <v>electricity</v>
          </cell>
          <cell r="C1142" t="str">
            <v>from technosphere (energy_carrier)</v>
          </cell>
          <cell r="D1142"/>
          <cell r="E1142" t="str">
            <v>Energy</v>
          </cell>
          <cell r="F1142">
            <v>2.2400000000000002</v>
          </cell>
          <cell r="G1142" t="str">
            <v>GJ</v>
          </cell>
          <cell r="H1142"/>
          <cell r="I1142"/>
          <cell r="J1142" t="str">
            <v>[TIMES] Paper mill, low quality</v>
          </cell>
          <cell r="K1142"/>
          <cell r="L1142"/>
        </row>
        <row r="1143">
          <cell r="A1143" t="str">
            <v>[TIMES] Paper mill, low quality</v>
          </cell>
          <cell r="B1143" t="str">
            <v>process heat</v>
          </cell>
          <cell r="C1143" t="str">
            <v>from technosphere (energy_carrier)</v>
          </cell>
          <cell r="D1143"/>
          <cell r="E1143" t="str">
            <v>Energy</v>
          </cell>
          <cell r="F1143">
            <v>7.4</v>
          </cell>
          <cell r="G1143" t="str">
            <v>GJ</v>
          </cell>
          <cell r="H1143"/>
          <cell r="I1143"/>
          <cell r="J1143" t="str">
            <v>[TIMES] Paper mill, low quality</v>
          </cell>
          <cell r="K1143"/>
          <cell r="L1143"/>
        </row>
        <row r="1144">
          <cell r="A1144" t="str">
            <v>[TIMES] Paper mill, low quality</v>
          </cell>
          <cell r="B1144" t="str">
            <v>carbon dioxide</v>
          </cell>
          <cell r="C1144" t="str">
            <v>to environment (emission, combustion)</v>
          </cell>
          <cell r="D1144"/>
          <cell r="E1144" t="str">
            <v>Mass</v>
          </cell>
          <cell r="F1144">
            <v>424</v>
          </cell>
          <cell r="G1144" t="str">
            <v>kg</v>
          </cell>
          <cell r="H1144" t="str">
            <v>t</v>
          </cell>
          <cell r="I1144"/>
          <cell r="J1144" t="str">
            <v>[TIMES] Paper mill, low quality</v>
          </cell>
          <cell r="K1144" t="str">
            <v>unit converter</v>
          </cell>
          <cell r="L1144"/>
        </row>
        <row r="1145">
          <cell r="A1145" t="str">
            <v/>
          </cell>
          <cell r="B1145"/>
          <cell r="C1145"/>
          <cell r="D1145"/>
          <cell r="E1145"/>
          <cell r="F1145"/>
          <cell r="G1145"/>
          <cell r="H1145"/>
          <cell r="I1145"/>
          <cell r="J1145" t="str">
            <v/>
          </cell>
          <cell r="K1145"/>
          <cell r="L1145"/>
        </row>
        <row r="1146">
          <cell r="A1146" t="str">
            <v>[TIMES] Paper mill, low quality + advanced drives</v>
          </cell>
          <cell r="B1146" t="str">
            <v>paper, low quality</v>
          </cell>
          <cell r="C1146" t="str">
            <v>reference_product</v>
          </cell>
          <cell r="D1146"/>
          <cell r="E1146" t="str">
            <v>Mass</v>
          </cell>
          <cell r="F1146">
            <v>1</v>
          </cell>
          <cell r="G1146" t="str">
            <v>t</v>
          </cell>
          <cell r="H1146">
            <v>1</v>
          </cell>
          <cell r="I1146"/>
          <cell r="J1146" t="str">
            <v>[TIMES] Paper mill, low quality + advanced drives</v>
          </cell>
          <cell r="K1146"/>
          <cell r="L1146"/>
        </row>
        <row r="1147">
          <cell r="A1147" t="str">
            <v>[TIMES] Paper mill, low quality + advanced drives</v>
          </cell>
          <cell r="B1147" t="str">
            <v>pulp</v>
          </cell>
          <cell r="C1147" t="str">
            <v>from technosphere (product)</v>
          </cell>
          <cell r="D1147"/>
          <cell r="E1147" t="str">
            <v>Mass</v>
          </cell>
          <cell r="F1147">
            <v>0.68</v>
          </cell>
          <cell r="G1147" t="str">
            <v>t</v>
          </cell>
          <cell r="H1147" t="str">
            <v>t</v>
          </cell>
          <cell r="I1147"/>
          <cell r="J1147" t="str">
            <v>[TIMES] Paper mill, low quality + advanced drives</v>
          </cell>
          <cell r="K1147"/>
          <cell r="L1147"/>
        </row>
        <row r="1148">
          <cell r="A1148" t="str">
            <v>[TIMES] Paper mill, low quality + advanced drives</v>
          </cell>
          <cell r="B1148" t="str">
            <v>gypsum</v>
          </cell>
          <cell r="C1148" t="str">
            <v>from environment (natural resource)</v>
          </cell>
          <cell r="D1148"/>
          <cell r="E1148" t="str">
            <v>Mass</v>
          </cell>
          <cell r="F1148">
            <v>0.22</v>
          </cell>
          <cell r="G1148" t="str">
            <v>t</v>
          </cell>
          <cell r="H1148" t="str">
            <v>t</v>
          </cell>
          <cell r="I1148"/>
          <cell r="J1148" t="str">
            <v>[TIMES] Paper mill, low quality + advanced drives</v>
          </cell>
          <cell r="K1148"/>
          <cell r="L1148"/>
        </row>
        <row r="1149">
          <cell r="A1149" t="str">
            <v>[TIMES] Paper mill, low quality + advanced drives</v>
          </cell>
          <cell r="B1149" t="str">
            <v>kaolin</v>
          </cell>
          <cell r="C1149" t="str">
            <v>from technosphere (material)</v>
          </cell>
          <cell r="D1149"/>
          <cell r="E1149" t="str">
            <v>Mass</v>
          </cell>
          <cell r="F1149">
            <v>0.05</v>
          </cell>
          <cell r="G1149" t="str">
            <v>t</v>
          </cell>
          <cell r="H1149" t="str">
            <v>t</v>
          </cell>
          <cell r="I1149"/>
          <cell r="J1149" t="str">
            <v>[TIMES] Paper mill, low quality + advanced drives</v>
          </cell>
          <cell r="K1149"/>
          <cell r="L1149"/>
        </row>
        <row r="1150">
          <cell r="A1150" t="str">
            <v>[TIMES] Paper mill, low quality + advanced drives</v>
          </cell>
          <cell r="B1150" t="str">
            <v>paper, recycled</v>
          </cell>
          <cell r="C1150" t="str">
            <v>from technosphere (product)</v>
          </cell>
          <cell r="D1150"/>
          <cell r="E1150" t="str">
            <v>Mass</v>
          </cell>
          <cell r="F1150">
            <v>0.09</v>
          </cell>
          <cell r="G1150" t="str">
            <v>t</v>
          </cell>
          <cell r="H1150" t="str">
            <v>t</v>
          </cell>
          <cell r="I1150"/>
          <cell r="J1150" t="str">
            <v>[TIMES] Paper mill, low quality + advanced drives</v>
          </cell>
          <cell r="K1150"/>
          <cell r="L1150"/>
        </row>
        <row r="1151">
          <cell r="A1151" t="str">
            <v>[TIMES] Paper mill, low quality + advanced drives</v>
          </cell>
          <cell r="B1151" t="str">
            <v>natural gas</v>
          </cell>
          <cell r="C1151" t="str">
            <v>from technosphere (energy_carrier)</v>
          </cell>
          <cell r="D1151"/>
          <cell r="E1151" t="str">
            <v>Energy</v>
          </cell>
          <cell r="F1151">
            <v>3.5</v>
          </cell>
          <cell r="G1151" t="str">
            <v>GJ</v>
          </cell>
          <cell r="H1151" t="str">
            <v>t</v>
          </cell>
          <cell r="I1151"/>
          <cell r="J1151" t="str">
            <v>[TIMES] Paper mill, low quality + advanced drives</v>
          </cell>
          <cell r="K1151"/>
          <cell r="L1151"/>
        </row>
        <row r="1152">
          <cell r="A1152" t="str">
            <v>[TIMES] Paper mill, low quality + advanced drives</v>
          </cell>
          <cell r="B1152" t="str">
            <v>electricity</v>
          </cell>
          <cell r="C1152" t="str">
            <v>from technosphere (energy_carrier)</v>
          </cell>
          <cell r="D1152"/>
          <cell r="E1152" t="str">
            <v>Energy</v>
          </cell>
          <cell r="F1152">
            <v>6.74</v>
          </cell>
          <cell r="G1152" t="str">
            <v>GJ</v>
          </cell>
          <cell r="H1152" t="str">
            <v>t</v>
          </cell>
          <cell r="I1152"/>
          <cell r="J1152" t="str">
            <v>[TIMES] Paper mill, low quality + advanced drives</v>
          </cell>
          <cell r="K1152"/>
          <cell r="L1152"/>
        </row>
        <row r="1153">
          <cell r="A1153" t="str">
            <v>[TIMES] Paper mill, low quality + advanced drives</v>
          </cell>
          <cell r="B1153" t="str">
            <v>process heat</v>
          </cell>
          <cell r="C1153" t="str">
            <v>from technosphere (energy_carrier)</v>
          </cell>
          <cell r="D1153"/>
          <cell r="E1153" t="str">
            <v>Energy</v>
          </cell>
          <cell r="F1153">
            <v>8</v>
          </cell>
          <cell r="G1153" t="str">
            <v>GJ</v>
          </cell>
          <cell r="H1153" t="str">
            <v>t</v>
          </cell>
          <cell r="I1153"/>
          <cell r="J1153" t="str">
            <v>[TIMES] Paper mill, low quality + advanced drives</v>
          </cell>
          <cell r="K1153"/>
          <cell r="L1153"/>
        </row>
        <row r="1154">
          <cell r="A1154" t="str">
            <v>[TIMES] Paper mill, low quality + advanced drives</v>
          </cell>
          <cell r="B1154" t="str">
            <v>carbon dioxide</v>
          </cell>
          <cell r="C1154" t="str">
            <v>to environment (emission, combustion)</v>
          </cell>
          <cell r="D1154"/>
          <cell r="E1154" t="str">
            <v>Mass</v>
          </cell>
          <cell r="F1154">
            <v>612</v>
          </cell>
          <cell r="G1154" t="str">
            <v>kg</v>
          </cell>
          <cell r="H1154" t="str">
            <v>t</v>
          </cell>
          <cell r="I1154"/>
          <cell r="J1154" t="str">
            <v>[TIMES] Paper mill, low quality + advanced drives</v>
          </cell>
          <cell r="K1154" t="str">
            <v>unit converter</v>
          </cell>
          <cell r="L1154"/>
        </row>
        <row r="1155">
          <cell r="A1155" t="str">
            <v/>
          </cell>
          <cell r="B1155"/>
          <cell r="C1155"/>
          <cell r="D1155"/>
          <cell r="E1155"/>
          <cell r="F1155"/>
          <cell r="G1155"/>
          <cell r="H1155"/>
          <cell r="I1155"/>
          <cell r="J1155" t="str">
            <v/>
          </cell>
          <cell r="K1155"/>
          <cell r="L1155"/>
        </row>
        <row r="1156">
          <cell r="A1156" t="str">
            <v>[TIMES] Paper mill, low quality + advanced drives w/ CO2 capture</v>
          </cell>
          <cell r="B1156" t="str">
            <v>paper, low quality</v>
          </cell>
          <cell r="C1156" t="str">
            <v>reference_product</v>
          </cell>
          <cell r="D1156"/>
          <cell r="E1156" t="str">
            <v>Mass</v>
          </cell>
          <cell r="F1156">
            <v>1</v>
          </cell>
          <cell r="G1156" t="str">
            <v>t</v>
          </cell>
          <cell r="H1156"/>
          <cell r="I1156"/>
          <cell r="J1156" t="str">
            <v>[TIMES] Paper mill, low quality + advanced drives w/ CO2 capture</v>
          </cell>
          <cell r="K1156"/>
          <cell r="L1156"/>
        </row>
        <row r="1157">
          <cell r="A1157" t="str">
            <v>[TIMES] Paper mill, low quality + advanced drives w/ CO2 capture</v>
          </cell>
          <cell r="B1157" t="str">
            <v>pulp</v>
          </cell>
          <cell r="C1157" t="str">
            <v>from technosphere (product)</v>
          </cell>
          <cell r="D1157"/>
          <cell r="E1157" t="str">
            <v>Mass</v>
          </cell>
          <cell r="F1157">
            <v>0.68</v>
          </cell>
          <cell r="G1157" t="str">
            <v>t</v>
          </cell>
          <cell r="H1157"/>
          <cell r="I1157"/>
          <cell r="J1157" t="str">
            <v>[TIMES] Paper mill, low quality + advanced drives w/ CO2 capture</v>
          </cell>
          <cell r="K1157"/>
          <cell r="L1157"/>
        </row>
        <row r="1158">
          <cell r="A1158" t="str">
            <v>[TIMES] Paper mill, low quality + advanced drives w/ CO2 capture</v>
          </cell>
          <cell r="B1158" t="str">
            <v>gypsum</v>
          </cell>
          <cell r="C1158" t="str">
            <v>from environment (natural resource)</v>
          </cell>
          <cell r="D1158"/>
          <cell r="E1158" t="str">
            <v>Mass</v>
          </cell>
          <cell r="F1158">
            <v>0.22</v>
          </cell>
          <cell r="G1158" t="str">
            <v>t</v>
          </cell>
          <cell r="H1158"/>
          <cell r="I1158"/>
          <cell r="J1158" t="str">
            <v>[TIMES] Paper mill, low quality + advanced drives w/ CO2 capture</v>
          </cell>
          <cell r="K1158"/>
          <cell r="L1158"/>
        </row>
        <row r="1159">
          <cell r="A1159" t="str">
            <v>[TIMES] Paper mill, low quality + advanced drives w/ CO2 capture</v>
          </cell>
          <cell r="B1159" t="str">
            <v>kaolin</v>
          </cell>
          <cell r="C1159" t="str">
            <v>from technosphere (material)</v>
          </cell>
          <cell r="D1159"/>
          <cell r="E1159" t="str">
            <v>Mass</v>
          </cell>
          <cell r="F1159">
            <v>0.05</v>
          </cell>
          <cell r="G1159" t="str">
            <v>t</v>
          </cell>
          <cell r="H1159"/>
          <cell r="I1159"/>
          <cell r="J1159" t="str">
            <v>[TIMES] Paper mill, low quality + advanced drives w/ CO2 capture</v>
          </cell>
          <cell r="K1159"/>
          <cell r="L1159"/>
        </row>
        <row r="1160">
          <cell r="A1160" t="str">
            <v>[TIMES] Paper mill, low quality + advanced drives w/ CO2 capture</v>
          </cell>
          <cell r="B1160" t="str">
            <v>paper, recycled</v>
          </cell>
          <cell r="C1160" t="str">
            <v>from technosphere (product)</v>
          </cell>
          <cell r="D1160"/>
          <cell r="E1160" t="str">
            <v>Mass</v>
          </cell>
          <cell r="F1160">
            <v>0.09</v>
          </cell>
          <cell r="G1160" t="str">
            <v>t</v>
          </cell>
          <cell r="H1160"/>
          <cell r="I1160"/>
          <cell r="J1160" t="str">
            <v>[TIMES] Paper mill, low quality + advanced drives w/ CO2 capture</v>
          </cell>
          <cell r="K1160"/>
          <cell r="L1160"/>
        </row>
        <row r="1161">
          <cell r="A1161" t="str">
            <v>[TIMES] Paper mill, low quality + advanced drives w/ CO2 capture</v>
          </cell>
          <cell r="B1161" t="str">
            <v>natural gas</v>
          </cell>
          <cell r="C1161" t="str">
            <v>from technosphere (energy_carrier)</v>
          </cell>
          <cell r="D1161"/>
          <cell r="E1161" t="str">
            <v>Energy</v>
          </cell>
          <cell r="F1161">
            <v>3.54</v>
          </cell>
          <cell r="G1161" t="str">
            <v>GJ</v>
          </cell>
          <cell r="H1161"/>
          <cell r="I1161"/>
          <cell r="J1161" t="str">
            <v>[TIMES] Paper mill, low quality + advanced drives w/ CO2 capture</v>
          </cell>
          <cell r="K1161"/>
          <cell r="L1161"/>
        </row>
        <row r="1162">
          <cell r="A1162" t="str">
            <v>[TIMES] Paper mill, low quality + advanced drives w/ CO2 capture</v>
          </cell>
          <cell r="B1162" t="str">
            <v>electricity</v>
          </cell>
          <cell r="C1162" t="str">
            <v>from technosphere (energy_carrier)</v>
          </cell>
          <cell r="D1162"/>
          <cell r="E1162" t="str">
            <v>Energy</v>
          </cell>
          <cell r="F1162">
            <v>7.4</v>
          </cell>
          <cell r="G1162" t="str">
            <v>GJ</v>
          </cell>
          <cell r="H1162"/>
          <cell r="I1162"/>
          <cell r="J1162" t="str">
            <v>[TIMES] Paper mill, low quality + advanced drives w/ CO2 capture</v>
          </cell>
          <cell r="K1162"/>
          <cell r="L1162"/>
        </row>
        <row r="1163">
          <cell r="A1163" t="str">
            <v>[TIMES] Paper mill, low quality + advanced drives w/ CO2 capture</v>
          </cell>
          <cell r="B1163" t="str">
            <v>process heat</v>
          </cell>
          <cell r="C1163" t="str">
            <v>from technosphere (energy_carrier)</v>
          </cell>
          <cell r="D1163"/>
          <cell r="E1163" t="str">
            <v>Energy</v>
          </cell>
          <cell r="F1163">
            <v>8</v>
          </cell>
          <cell r="G1163" t="str">
            <v>GJ</v>
          </cell>
          <cell r="H1163"/>
          <cell r="I1163"/>
          <cell r="J1163" t="str">
            <v>[TIMES] Paper mill, low quality + advanced drives w/ CO2 capture</v>
          </cell>
          <cell r="K1163"/>
          <cell r="L1163"/>
        </row>
        <row r="1164">
          <cell r="A1164" t="str">
            <v>[TIMES] Paper mill, low quality + advanced drives w/ CO2 capture</v>
          </cell>
          <cell r="B1164" t="str">
            <v>carbon dioxide</v>
          </cell>
          <cell r="C1164" t="str">
            <v>to environment (emission, combustion)</v>
          </cell>
          <cell r="D1164"/>
          <cell r="E1164" t="str">
            <v>Mass</v>
          </cell>
          <cell r="F1164">
            <v>615</v>
          </cell>
          <cell r="G1164" t="str">
            <v>kg</v>
          </cell>
          <cell r="H1164" t="str">
            <v>t</v>
          </cell>
          <cell r="I1164"/>
          <cell r="J1164" t="str">
            <v>[TIMES] Paper mill, low quality + advanced drives w/ CO2 capture</v>
          </cell>
          <cell r="K1164" t="str">
            <v>unit converter</v>
          </cell>
          <cell r="L1164"/>
        </row>
        <row r="1165">
          <cell r="A1165" t="str">
            <v>[TIMES] Paper mill, low quality + advanced drives w/ CO2 capture</v>
          </cell>
          <cell r="B1165" t="str">
            <v>carbon dioxide</v>
          </cell>
          <cell r="C1165" t="str">
            <v>to technosphere (by-product)</v>
          </cell>
          <cell r="D1165"/>
          <cell r="E1165" t="str">
            <v>Mass</v>
          </cell>
          <cell r="F1165">
            <v>541.20000000000005</v>
          </cell>
          <cell r="G1165" t="str">
            <v>kg</v>
          </cell>
          <cell r="H1165" t="str">
            <v>t</v>
          </cell>
          <cell r="I1165"/>
          <cell r="J1165" t="str">
            <v>[TIMES] Paper mill, low quality + advanced drives w/ CO2 capture</v>
          </cell>
          <cell r="K1165" t="str">
            <v>capture rate based on TIMES</v>
          </cell>
          <cell r="L1165"/>
        </row>
        <row r="1166">
          <cell r="A1166" t="str">
            <v/>
          </cell>
          <cell r="B1166"/>
          <cell r="C1166"/>
          <cell r="D1166"/>
          <cell r="E1166"/>
          <cell r="F1166"/>
          <cell r="G1166"/>
          <cell r="H1166"/>
          <cell r="I1166"/>
          <cell r="J1166" t="str">
            <v/>
          </cell>
          <cell r="K1166"/>
          <cell r="L1166"/>
        </row>
        <row r="1167">
          <cell r="A1167" t="str">
            <v>[TIMES] Kraft process</v>
          </cell>
          <cell r="B1167" t="str">
            <v>kraft pulp</v>
          </cell>
          <cell r="C1167" t="str">
            <v>reference_product</v>
          </cell>
          <cell r="D1167"/>
          <cell r="E1167" t="str">
            <v>Mass</v>
          </cell>
          <cell r="F1167">
            <v>1</v>
          </cell>
          <cell r="G1167" t="str">
            <v>t</v>
          </cell>
          <cell r="H1167"/>
          <cell r="I1167"/>
          <cell r="J1167" t="str">
            <v>[TIMES] Kraft process</v>
          </cell>
          <cell r="K1167" t="str">
            <v>"Chemical pulping" in TIMES</v>
          </cell>
          <cell r="L1167"/>
        </row>
        <row r="1168">
          <cell r="A1168" t="str">
            <v>[TIMES] Kraft process</v>
          </cell>
          <cell r="B1168" t="str">
            <v>black liquor</v>
          </cell>
          <cell r="C1168" t="str">
            <v>to technosphere (by-product)</v>
          </cell>
          <cell r="D1168"/>
          <cell r="E1168" t="str">
            <v>Energy</v>
          </cell>
          <cell r="F1168">
            <v>17.8</v>
          </cell>
          <cell r="G1168" t="str">
            <v>GJ</v>
          </cell>
          <cell r="H1168"/>
          <cell r="I1168"/>
          <cell r="J1168" t="str">
            <v>[TIMES] Kraft process</v>
          </cell>
          <cell r="K1168"/>
          <cell r="L1168"/>
        </row>
        <row r="1169">
          <cell r="A1169" t="str">
            <v>[TIMES] Kraft process</v>
          </cell>
          <cell r="B1169" t="str">
            <v>biomass</v>
          </cell>
          <cell r="C1169" t="str">
            <v>to technosphere (by-product)</v>
          </cell>
          <cell r="D1169"/>
          <cell r="E1169" t="str">
            <v>Energy</v>
          </cell>
          <cell r="F1169">
            <v>4.5999999999999996</v>
          </cell>
          <cell r="G1169" t="str">
            <v>GJ</v>
          </cell>
          <cell r="H1169"/>
          <cell r="I1169"/>
          <cell r="J1169" t="str">
            <v>[TIMES] Kraft process</v>
          </cell>
          <cell r="K1169"/>
          <cell r="L1169"/>
        </row>
        <row r="1170">
          <cell r="A1170" t="str">
            <v>[TIMES] Kraft process</v>
          </cell>
          <cell r="B1170" t="str">
            <v>biomass</v>
          </cell>
          <cell r="C1170" t="str">
            <v>from technosphere (feedstock)</v>
          </cell>
          <cell r="D1170"/>
          <cell r="E1170" t="str">
            <v>Mass</v>
          </cell>
          <cell r="F1170">
            <v>2.2999999999999998</v>
          </cell>
          <cell r="G1170" t="str">
            <v>t</v>
          </cell>
          <cell r="H1170"/>
          <cell r="I1170"/>
          <cell r="J1170" t="str">
            <v>[TIMES] Kraft process</v>
          </cell>
          <cell r="K1170"/>
          <cell r="L1170"/>
        </row>
        <row r="1171">
          <cell r="A1171" t="str">
            <v>[TIMES] Kraft process</v>
          </cell>
          <cell r="B1171" t="str">
            <v>process heat</v>
          </cell>
          <cell r="C1171" t="str">
            <v>from technosphere (energy_carrier)</v>
          </cell>
          <cell r="D1171"/>
          <cell r="E1171" t="str">
            <v>Mass</v>
          </cell>
          <cell r="F1171">
            <v>8.1999999999999993</v>
          </cell>
          <cell r="G1171" t="str">
            <v>t</v>
          </cell>
          <cell r="H1171"/>
          <cell r="I1171"/>
          <cell r="J1171" t="str">
            <v>[TIMES] Kraft process</v>
          </cell>
          <cell r="K1171"/>
          <cell r="L1171"/>
        </row>
        <row r="1172">
          <cell r="A1172" t="str">
            <v>[TIMES] Kraft process</v>
          </cell>
          <cell r="B1172" t="str">
            <v>sodium hydroxide</v>
          </cell>
          <cell r="C1172" t="str">
            <v>from technosphere (product)</v>
          </cell>
          <cell r="D1172"/>
          <cell r="E1172" t="str">
            <v>Mass</v>
          </cell>
          <cell r="F1172">
            <v>1.6E-2</v>
          </cell>
          <cell r="G1172" t="str">
            <v>t</v>
          </cell>
          <cell r="H1172"/>
          <cell r="I1172"/>
          <cell r="J1172" t="str">
            <v>[TIMES] Kraft process</v>
          </cell>
          <cell r="K1172"/>
          <cell r="L1172"/>
        </row>
        <row r="1173">
          <cell r="A1173" t="str">
            <v>[TIMES] Kraft process</v>
          </cell>
          <cell r="B1173" t="str">
            <v>oxygen</v>
          </cell>
          <cell r="C1173" t="str">
            <v>from technosphere (material)</v>
          </cell>
          <cell r="D1173"/>
          <cell r="E1173" t="str">
            <v>Mass</v>
          </cell>
          <cell r="F1173">
            <v>0.02</v>
          </cell>
          <cell r="G1173" t="str">
            <v>t</v>
          </cell>
          <cell r="H1173"/>
          <cell r="I1173"/>
          <cell r="J1173" t="str">
            <v>[TIMES] Kraft process</v>
          </cell>
          <cell r="K1173"/>
          <cell r="L1173"/>
        </row>
        <row r="1174">
          <cell r="A1174" t="str">
            <v>[TIMES] Kraft process</v>
          </cell>
          <cell r="B1174" t="str">
            <v>electricity</v>
          </cell>
          <cell r="C1174" t="str">
            <v>from technosphere (energy_carrier)</v>
          </cell>
          <cell r="D1174"/>
          <cell r="E1174" t="str">
            <v>Energy</v>
          </cell>
          <cell r="F1174">
            <v>2.5</v>
          </cell>
          <cell r="G1174" t="str">
            <v>GJ</v>
          </cell>
          <cell r="H1174"/>
          <cell r="I1174"/>
          <cell r="J1174" t="str">
            <v>[TIMES] Kraft process</v>
          </cell>
          <cell r="K1174"/>
          <cell r="L1174"/>
        </row>
        <row r="1175">
          <cell r="A1175" t="str">
            <v/>
          </cell>
          <cell r="B1175"/>
          <cell r="C1175"/>
          <cell r="D1175"/>
          <cell r="E1175"/>
          <cell r="F1175"/>
          <cell r="G1175"/>
          <cell r="H1175"/>
          <cell r="I1175"/>
          <cell r="J1175" t="str">
            <v/>
          </cell>
          <cell r="K1175"/>
          <cell r="L1175"/>
        </row>
        <row r="1176">
          <cell r="A1176" t="str">
            <v>[TIMES] Mechanical pulping</v>
          </cell>
          <cell r="B1176" t="str">
            <v>mechanical pulp</v>
          </cell>
          <cell r="C1176" t="str">
            <v>reference_product</v>
          </cell>
          <cell r="D1176"/>
          <cell r="E1176" t="str">
            <v>Mass</v>
          </cell>
          <cell r="F1176">
            <v>1</v>
          </cell>
          <cell r="G1176" t="str">
            <v>t</v>
          </cell>
          <cell r="H1176"/>
          <cell r="I1176"/>
          <cell r="J1176" t="str">
            <v>[TIMES] Mechanical pulping</v>
          </cell>
          <cell r="K1176"/>
          <cell r="L1176"/>
        </row>
        <row r="1177">
          <cell r="A1177" t="str">
            <v>[TIMES] Mechanical pulping</v>
          </cell>
          <cell r="B1177" t="str">
            <v>process heat</v>
          </cell>
          <cell r="C1177" t="str">
            <v>to technosphere (by-product)</v>
          </cell>
          <cell r="D1177"/>
          <cell r="E1177" t="str">
            <v>Energy</v>
          </cell>
          <cell r="F1177">
            <v>2.5299999999999998</v>
          </cell>
          <cell r="G1177" t="str">
            <v>GJ</v>
          </cell>
          <cell r="H1177"/>
          <cell r="I1177"/>
          <cell r="J1177" t="str">
            <v>[TIMES] Mechanical pulping</v>
          </cell>
          <cell r="K1177"/>
          <cell r="L1177"/>
        </row>
        <row r="1178">
          <cell r="A1178" t="str">
            <v>[TIMES] Mechanical pulping</v>
          </cell>
          <cell r="B1178" t="str">
            <v>biomass</v>
          </cell>
          <cell r="C1178" t="str">
            <v>from technosphere (feedstock)</v>
          </cell>
          <cell r="D1178"/>
          <cell r="E1178" t="str">
            <v>Mass</v>
          </cell>
          <cell r="F1178">
            <v>1.1000000000000001</v>
          </cell>
          <cell r="G1178" t="str">
            <v>t</v>
          </cell>
          <cell r="H1178"/>
          <cell r="I1178"/>
          <cell r="J1178" t="str">
            <v>[TIMES] Mechanical pulping</v>
          </cell>
          <cell r="K1178"/>
          <cell r="L1178"/>
        </row>
        <row r="1179">
          <cell r="A1179" t="str">
            <v>[TIMES] Mechanical pulping</v>
          </cell>
          <cell r="B1179" t="str">
            <v>electricity</v>
          </cell>
          <cell r="C1179" t="str">
            <v>from technosphere (energy_carrier)</v>
          </cell>
          <cell r="D1179"/>
          <cell r="E1179" t="str">
            <v>Energy</v>
          </cell>
          <cell r="F1179" t="str">
            <v>7.93</v>
          </cell>
          <cell r="G1179" t="str">
            <v>GJ</v>
          </cell>
          <cell r="H1179"/>
          <cell r="I1179"/>
          <cell r="J1179" t="str">
            <v>[TIMES] Mechanical pulping</v>
          </cell>
          <cell r="K1179"/>
          <cell r="L1179"/>
        </row>
        <row r="1180">
          <cell r="A1180" t="str">
            <v>[TIMES] Mechanical pulping</v>
          </cell>
          <cell r="B1180" t="str">
            <v>natural gas</v>
          </cell>
          <cell r="C1180" t="str">
            <v>from technosphere (energy_carrier)</v>
          </cell>
          <cell r="D1180"/>
          <cell r="E1180" t="str">
            <v>Energy</v>
          </cell>
          <cell r="F1180">
            <v>10.8</v>
          </cell>
          <cell r="G1180" t="str">
            <v>GJ</v>
          </cell>
          <cell r="H1180"/>
          <cell r="I1180"/>
          <cell r="J1180" t="str">
            <v>[TIMES] Mechanical pulping</v>
          </cell>
          <cell r="K1180"/>
          <cell r="L1180"/>
        </row>
        <row r="1181">
          <cell r="A1181" t="str">
            <v>[TIMES] Mechanical pulping</v>
          </cell>
          <cell r="B1181" t="str">
            <v>carbon dioxide</v>
          </cell>
          <cell r="C1181" t="str">
            <v>to environment (emission, combustion)</v>
          </cell>
          <cell r="D1181"/>
          <cell r="E1181" t="str">
            <v>Mass</v>
          </cell>
          <cell r="F1181">
            <v>606</v>
          </cell>
          <cell r="G1181" t="str">
            <v>kg</v>
          </cell>
          <cell r="H1181" t="str">
            <v>t</v>
          </cell>
          <cell r="I1181" t="str">
            <v>13;001*value;001*value</v>
          </cell>
          <cell r="J1181" t="str">
            <v>[TIMES] Mechanical pulping</v>
          </cell>
          <cell r="K1181" t="str">
            <v>unit converter</v>
          </cell>
          <cell r="L1181"/>
        </row>
        <row r="1182">
          <cell r="A1182" t="str">
            <v/>
          </cell>
          <cell r="B1182"/>
          <cell r="C1182"/>
          <cell r="D1182"/>
          <cell r="E1182"/>
          <cell r="F1182"/>
          <cell r="G1182"/>
          <cell r="H1182"/>
          <cell r="I1182"/>
          <cell r="J1182" t="str">
            <v/>
          </cell>
          <cell r="K1182"/>
          <cell r="L1182"/>
        </row>
        <row r="1183">
          <cell r="A1183" t="str">
            <v>[TIMES] Mechanical pulping, airless drying</v>
          </cell>
          <cell r="B1183" t="str">
            <v>mechanical pulp</v>
          </cell>
          <cell r="C1183" t="str">
            <v>reference_product</v>
          </cell>
          <cell r="D1183"/>
          <cell r="E1183" t="str">
            <v>Mass</v>
          </cell>
          <cell r="F1183">
            <v>1</v>
          </cell>
          <cell r="G1183" t="str">
            <v>t</v>
          </cell>
          <cell r="H1183"/>
          <cell r="I1183"/>
          <cell r="J1183" t="str">
            <v>[TIMES] Mechanical pulping, airless drying</v>
          </cell>
          <cell r="K1183"/>
          <cell r="L1183"/>
        </row>
        <row r="1184">
          <cell r="A1184" t="str">
            <v>[TIMES] Mechanical pulping, airless drying</v>
          </cell>
          <cell r="B1184" t="str">
            <v>process heat</v>
          </cell>
          <cell r="C1184" t="str">
            <v>to technosphere (by-product)</v>
          </cell>
          <cell r="D1184"/>
          <cell r="E1184" t="str">
            <v>Energy</v>
          </cell>
          <cell r="F1184">
            <v>1.7709999999999999</v>
          </cell>
          <cell r="G1184" t="str">
            <v>GJ</v>
          </cell>
          <cell r="H1184"/>
          <cell r="I1184"/>
          <cell r="J1184" t="str">
            <v>[TIMES] Mechanical pulping, airless drying</v>
          </cell>
          <cell r="K1184"/>
          <cell r="L1184"/>
        </row>
        <row r="1185">
          <cell r="A1185" t="str">
            <v>[TIMES] Mechanical pulping, airless drying</v>
          </cell>
          <cell r="B1185" t="str">
            <v>biomass</v>
          </cell>
          <cell r="C1185" t="str">
            <v>from technosphere (feedstock)</v>
          </cell>
          <cell r="D1185"/>
          <cell r="E1185" t="str">
            <v>Mass</v>
          </cell>
          <cell r="F1185">
            <v>1.1000000000000001</v>
          </cell>
          <cell r="G1185" t="str">
            <v>t</v>
          </cell>
          <cell r="H1185"/>
          <cell r="I1185"/>
          <cell r="J1185" t="str">
            <v>[TIMES] Mechanical pulping, airless drying</v>
          </cell>
          <cell r="K1185"/>
          <cell r="L1185"/>
        </row>
        <row r="1186">
          <cell r="A1186" t="str">
            <v>[TIMES] Mechanical pulping, airless drying</v>
          </cell>
          <cell r="B1186" t="str">
            <v>electricity</v>
          </cell>
          <cell r="C1186" t="str">
            <v>from technosphere (energy_carrier)</v>
          </cell>
          <cell r="D1186"/>
          <cell r="E1186" t="str">
            <v>Energy</v>
          </cell>
          <cell r="F1186">
            <v>14.84</v>
          </cell>
          <cell r="G1186" t="str">
            <v>GJ</v>
          </cell>
          <cell r="H1186"/>
          <cell r="I1186"/>
          <cell r="J1186" t="str">
            <v>[TIMES] Mechanical pulping, airless drying</v>
          </cell>
          <cell r="K1186"/>
          <cell r="L1186"/>
        </row>
        <row r="1187">
          <cell r="A1187" t="str">
            <v>[TIMES] Mechanical pulping, airless drying</v>
          </cell>
          <cell r="B1187" t="str">
            <v>natural gas</v>
          </cell>
          <cell r="C1187" t="str">
            <v>from technosphere (energy_carrier)</v>
          </cell>
          <cell r="D1187"/>
          <cell r="E1187" t="str">
            <v>Energy</v>
          </cell>
          <cell r="F1187">
            <v>7.56</v>
          </cell>
          <cell r="G1187" t="str">
            <v>GJ</v>
          </cell>
          <cell r="H1187"/>
          <cell r="I1187"/>
          <cell r="J1187" t="str">
            <v>[TIMES] Mechanical pulping, airless drying</v>
          </cell>
          <cell r="K1187"/>
          <cell r="L1187"/>
        </row>
        <row r="1188">
          <cell r="A1188" t="str">
            <v>[TIMES] Mechanical pulping, airless drying</v>
          </cell>
          <cell r="B1188" t="str">
            <v>carbon dioxide</v>
          </cell>
          <cell r="C1188" t="str">
            <v>to environment (emission, combustion)</v>
          </cell>
          <cell r="D1188"/>
          <cell r="E1188" t="str">
            <v>Mass</v>
          </cell>
          <cell r="F1188">
            <v>424</v>
          </cell>
          <cell r="G1188" t="str">
            <v>kg</v>
          </cell>
          <cell r="H1188" t="str">
            <v>t</v>
          </cell>
          <cell r="I1188" t="str">
            <v>13;001*value;001*value</v>
          </cell>
          <cell r="J1188" t="str">
            <v>[TIMES] Mechanical pulping, airless drying</v>
          </cell>
          <cell r="K1188"/>
          <cell r="L1188"/>
        </row>
        <row r="1189">
          <cell r="A1189" t="str">
            <v/>
          </cell>
          <cell r="B1189"/>
          <cell r="C1189"/>
          <cell r="D1189"/>
          <cell r="E1189"/>
          <cell r="F1189"/>
          <cell r="G1189"/>
          <cell r="H1189"/>
          <cell r="I1189"/>
          <cell r="J1189" t="str">
            <v/>
          </cell>
          <cell r="K1189"/>
          <cell r="L1189"/>
        </row>
        <row r="1190">
          <cell r="A1190" t="str">
            <v>[TIMES] Mechanical pulping, airless drying w/ CO2 capture</v>
          </cell>
          <cell r="B1190" t="str">
            <v>mechanical pulp</v>
          </cell>
          <cell r="C1190" t="str">
            <v>reference_product</v>
          </cell>
          <cell r="D1190"/>
          <cell r="E1190" t="str">
            <v>Mass</v>
          </cell>
          <cell r="F1190">
            <v>1</v>
          </cell>
          <cell r="G1190" t="str">
            <v>t</v>
          </cell>
          <cell r="H1190"/>
          <cell r="I1190"/>
          <cell r="J1190" t="str">
            <v>[TIMES] Mechanical pulping, airless drying w/ CO2 capture</v>
          </cell>
          <cell r="K1190"/>
          <cell r="L1190"/>
        </row>
        <row r="1191">
          <cell r="A1191" t="str">
            <v>[TIMES] Mechanical pulping, airless drying w/ CO2 capture</v>
          </cell>
          <cell r="B1191" t="str">
            <v>process heat</v>
          </cell>
          <cell r="C1191" t="str">
            <v>to technosphere (by-product)</v>
          </cell>
          <cell r="D1191"/>
          <cell r="E1191" t="str">
            <v>Energy</v>
          </cell>
          <cell r="F1191">
            <v>1.7709999999999999</v>
          </cell>
          <cell r="G1191" t="str">
            <v>GJ</v>
          </cell>
          <cell r="H1191"/>
          <cell r="I1191"/>
          <cell r="J1191" t="str">
            <v>[TIMES] Mechanical pulping, airless drying w/ CO2 capture</v>
          </cell>
          <cell r="K1191"/>
          <cell r="L1191"/>
        </row>
        <row r="1192">
          <cell r="A1192" t="str">
            <v>[TIMES] Mechanical pulping, airless drying w/ CO2 capture</v>
          </cell>
          <cell r="B1192" t="str">
            <v>biomass</v>
          </cell>
          <cell r="C1192" t="str">
            <v>from technosphere (feedstock)</v>
          </cell>
          <cell r="D1192"/>
          <cell r="E1192" t="str">
            <v>Mass</v>
          </cell>
          <cell r="F1192">
            <v>1.1000000000000001</v>
          </cell>
          <cell r="G1192" t="str">
            <v>t</v>
          </cell>
          <cell r="H1192"/>
          <cell r="I1192"/>
          <cell r="J1192" t="str">
            <v>[TIMES] Mechanical pulping, airless drying w/ CO2 capture</v>
          </cell>
          <cell r="K1192"/>
          <cell r="L1192"/>
        </row>
        <row r="1193">
          <cell r="A1193" t="str">
            <v>[TIMES] Mechanical pulping, airless drying w/ CO2 capture</v>
          </cell>
          <cell r="B1193" t="str">
            <v>electricity</v>
          </cell>
          <cell r="C1193" t="str">
            <v>from technosphere (energy_carrier)</v>
          </cell>
          <cell r="D1193"/>
          <cell r="E1193" t="str">
            <v>Energy</v>
          </cell>
          <cell r="F1193">
            <v>16.29</v>
          </cell>
          <cell r="G1193" t="str">
            <v>GJ</v>
          </cell>
          <cell r="H1193"/>
          <cell r="I1193"/>
          <cell r="J1193" t="str">
            <v>[TIMES] Mechanical pulping, airless drying w/ CO2 capture</v>
          </cell>
          <cell r="K1193"/>
          <cell r="L1193"/>
        </row>
        <row r="1194">
          <cell r="A1194" t="str">
            <v>[TIMES] Mechanical pulping, airless drying w/ CO2 capture</v>
          </cell>
          <cell r="B1194" t="str">
            <v>natural gas</v>
          </cell>
          <cell r="C1194" t="str">
            <v>from technosphere (energy_carrier)</v>
          </cell>
          <cell r="D1194"/>
          <cell r="E1194" t="str">
            <v>Energy</v>
          </cell>
          <cell r="F1194">
            <v>7.65</v>
          </cell>
          <cell r="G1194" t="str">
            <v>GJ</v>
          </cell>
          <cell r="H1194"/>
          <cell r="I1194"/>
          <cell r="J1194" t="str">
            <v>[TIMES] Mechanical pulping, airless drying w/ CO2 capture</v>
          </cell>
          <cell r="K1194"/>
          <cell r="L1194"/>
        </row>
        <row r="1195">
          <cell r="A1195" t="str">
            <v>[TIMES] Mechanical pulping, airless drying w/ CO2 capture</v>
          </cell>
          <cell r="B1195" t="str">
            <v>carbon dioxide</v>
          </cell>
          <cell r="C1195" t="str">
            <v>to environment (emission, combustion)</v>
          </cell>
          <cell r="D1195"/>
          <cell r="E1195" t="str">
            <v>Mass</v>
          </cell>
          <cell r="F1195">
            <v>429</v>
          </cell>
          <cell r="G1195" t="str">
            <v>kg</v>
          </cell>
          <cell r="H1195" t="str">
            <v>t</v>
          </cell>
          <cell r="I1195" t="str">
            <v>13;001*value;001*value</v>
          </cell>
          <cell r="J1195" t="str">
            <v>[TIMES] Mechanical pulping, airless drying w/ CO2 capture</v>
          </cell>
          <cell r="K1195" t="str">
            <v>unit converter</v>
          </cell>
          <cell r="L1195"/>
        </row>
        <row r="1196">
          <cell r="A1196" t="str">
            <v>[TIMES] Mechanical pulping, airless drying w/ CO2 capture</v>
          </cell>
          <cell r="B1196" t="str">
            <v>carbon dioxide</v>
          </cell>
          <cell r="C1196" t="str">
            <v>to technosphere (by-product)</v>
          </cell>
          <cell r="D1196"/>
          <cell r="E1196" t="str">
            <v>Mass</v>
          </cell>
          <cell r="F1196">
            <v>377.52</v>
          </cell>
          <cell r="G1196" t="str">
            <v>kg</v>
          </cell>
          <cell r="H1196" t="str">
            <v>t</v>
          </cell>
          <cell r="I1196"/>
          <cell r="J1196" t="str">
            <v>[TIMES] Mechanical pulping, airless drying w/ CO2 capture</v>
          </cell>
          <cell r="K1196" t="str">
            <v>capture rate based on TIMES</v>
          </cell>
          <cell r="L1196"/>
        </row>
        <row r="1197">
          <cell r="A1197" t="str">
            <v/>
          </cell>
          <cell r="B1197"/>
          <cell r="C1197"/>
          <cell r="D1197"/>
          <cell r="E1197"/>
          <cell r="F1197"/>
          <cell r="G1197"/>
          <cell r="H1197"/>
          <cell r="I1197"/>
          <cell r="J1197" t="str">
            <v/>
          </cell>
          <cell r="K1197"/>
          <cell r="L1197"/>
        </row>
        <row r="1198">
          <cell r="A1198" t="str">
            <v>[TIMES] Recycled fiber pulping</v>
          </cell>
          <cell r="B1198" t="str">
            <v>recycled pulp</v>
          </cell>
          <cell r="C1198" t="str">
            <v>reference_product</v>
          </cell>
          <cell r="D1198"/>
          <cell r="E1198" t="str">
            <v>Mass</v>
          </cell>
          <cell r="F1198">
            <v>1</v>
          </cell>
          <cell r="G1198" t="str">
            <v>t</v>
          </cell>
          <cell r="H1198"/>
          <cell r="I1198"/>
          <cell r="J1198" t="str">
            <v>[TIMES] Recycled fiber pulping</v>
          </cell>
          <cell r="K1198"/>
          <cell r="L1198"/>
        </row>
        <row r="1199">
          <cell r="A1199" t="str">
            <v>[TIMES] Recycled fiber pulping</v>
          </cell>
          <cell r="B1199" t="str">
            <v>paper, recycled</v>
          </cell>
          <cell r="C1199" t="str">
            <v>from technosphere (product)</v>
          </cell>
          <cell r="D1199"/>
          <cell r="E1199" t="str">
            <v>Mass</v>
          </cell>
          <cell r="F1199">
            <v>1.1499999999999999</v>
          </cell>
          <cell r="G1199" t="str">
            <v>t</v>
          </cell>
          <cell r="H1199"/>
          <cell r="I1199"/>
          <cell r="J1199" t="str">
            <v>[TIMES] Recycled fiber pulping</v>
          </cell>
          <cell r="K1199"/>
          <cell r="L1199"/>
        </row>
        <row r="1200">
          <cell r="A1200" t="str">
            <v>[TIMES] Recycled fiber pulping</v>
          </cell>
          <cell r="B1200" t="str">
            <v>electricity</v>
          </cell>
          <cell r="C1200" t="str">
            <v>from technosphere (energy_carrier)</v>
          </cell>
          <cell r="D1200"/>
          <cell r="E1200" t="str">
            <v>Energy</v>
          </cell>
          <cell r="F1200">
            <v>2</v>
          </cell>
          <cell r="G1200" t="str">
            <v>GJ</v>
          </cell>
          <cell r="H1200"/>
          <cell r="I1200"/>
          <cell r="J1200" t="str">
            <v>[TIMES] Recycled fiber pulping</v>
          </cell>
          <cell r="K1200"/>
          <cell r="L1200"/>
        </row>
        <row r="1201">
          <cell r="A1201" t="str">
            <v>[TIMES] Recycled fiber pulping</v>
          </cell>
          <cell r="B1201" t="str">
            <v>natural gas</v>
          </cell>
          <cell r="C1201" t="str">
            <v>from technosphere (energy_carrier)</v>
          </cell>
          <cell r="D1201"/>
          <cell r="E1201" t="str">
            <v>Energy</v>
          </cell>
          <cell r="F1201">
            <v>1</v>
          </cell>
          <cell r="G1201" t="str">
            <v>GJ</v>
          </cell>
          <cell r="H1201"/>
          <cell r="I1201"/>
          <cell r="J1201" t="str">
            <v>[TIMES] Recycled fiber pulping</v>
          </cell>
          <cell r="K1201"/>
          <cell r="L1201"/>
        </row>
        <row r="1202">
          <cell r="A1202" t="str">
            <v>[TIMES] Recycled fiber pulping</v>
          </cell>
          <cell r="B1202" t="str">
            <v>process heat</v>
          </cell>
          <cell r="C1202" t="str">
            <v>from technosphere (energy_carrier)</v>
          </cell>
          <cell r="D1202"/>
          <cell r="E1202" t="str">
            <v>Energy</v>
          </cell>
          <cell r="F1202">
            <v>1.1000000000000001</v>
          </cell>
          <cell r="G1202" t="str">
            <v>GJ</v>
          </cell>
          <cell r="H1202"/>
          <cell r="I1202"/>
          <cell r="J1202" t="str">
            <v>[TIMES] Recycled fiber pulping</v>
          </cell>
          <cell r="K1202"/>
          <cell r="L1202"/>
        </row>
        <row r="1203">
          <cell r="A1203" t="str">
            <v>[TIMES] Recycled fiber pulping</v>
          </cell>
          <cell r="B1203" t="str">
            <v>carbon dioxide</v>
          </cell>
          <cell r="C1203" t="str">
            <v>to environment (emission, combustion)</v>
          </cell>
          <cell r="D1203"/>
          <cell r="E1203" t="str">
            <v>Mass</v>
          </cell>
          <cell r="F1203">
            <v>56.1</v>
          </cell>
          <cell r="G1203" t="str">
            <v>kg</v>
          </cell>
          <cell r="H1203" t="str">
            <v>t</v>
          </cell>
          <cell r="I1203" t="str">
            <v>13;001*value;001*value</v>
          </cell>
          <cell r="J1203" t="str">
            <v>[TIMES] Recycled fiber pulping</v>
          </cell>
          <cell r="K1203" t="str">
            <v>unit converter</v>
          </cell>
          <cell r="L1203"/>
        </row>
        <row r="1204">
          <cell r="A1204" t="str">
            <v/>
          </cell>
          <cell r="J1204" t="str">
            <v/>
          </cell>
        </row>
        <row r="1205">
          <cell r="A1205" t="str">
            <v>[TIMES] Hall Heroult Regular</v>
          </cell>
          <cell r="B1205" t="str">
            <v>aluminium, crude</v>
          </cell>
          <cell r="C1205" t="str">
            <v>reference_product</v>
          </cell>
          <cell r="D1205"/>
          <cell r="E1205" t="str">
            <v>Mass</v>
          </cell>
          <cell r="F1205">
            <v>1</v>
          </cell>
          <cell r="G1205" t="str">
            <v>t</v>
          </cell>
          <cell r="H1205"/>
          <cell r="I1205"/>
          <cell r="J1205" t="str">
            <v>[TIMES] Hall Heroult Regular</v>
          </cell>
          <cell r="K1205"/>
          <cell r="L1205"/>
        </row>
        <row r="1206">
          <cell r="A1206" t="str">
            <v>[TIMES] Hall Heroult Regular</v>
          </cell>
          <cell r="B1206" t="str">
            <v>bauxite</v>
          </cell>
          <cell r="C1206" t="str">
            <v>from environment (natural resource)</v>
          </cell>
          <cell r="D1206"/>
          <cell r="E1206" t="str">
            <v>Mass</v>
          </cell>
          <cell r="F1206">
            <v>1.6</v>
          </cell>
          <cell r="G1206" t="str">
            <v>t</v>
          </cell>
          <cell r="H1206"/>
          <cell r="I1206"/>
          <cell r="J1206" t="str">
            <v>[TIMES] Hall Heroult Regular</v>
          </cell>
          <cell r="K1206"/>
          <cell r="L1206"/>
        </row>
        <row r="1207">
          <cell r="A1207" t="str">
            <v>[TIMES] Hall Heroult Regular</v>
          </cell>
          <cell r="B1207" t="str">
            <v>electricity</v>
          </cell>
          <cell r="C1207" t="str">
            <v>from technosphere (energy_carrier)</v>
          </cell>
          <cell r="D1207"/>
          <cell r="E1207" t="str">
            <v>Energy</v>
          </cell>
          <cell r="F1207">
            <v>39.799999999999997</v>
          </cell>
          <cell r="G1207" t="str">
            <v>GJ</v>
          </cell>
          <cell r="H1207"/>
          <cell r="I1207"/>
          <cell r="J1207" t="str">
            <v>[TIMES] Hall Heroult Regular</v>
          </cell>
          <cell r="K1207"/>
          <cell r="L1207"/>
        </row>
        <row r="1208">
          <cell r="A1208" t="str">
            <v>[TIMES] Hall Heroult Regular</v>
          </cell>
          <cell r="B1208" t="str">
            <v>natural gas</v>
          </cell>
          <cell r="C1208" t="str">
            <v>from technosphere (energy_carrier)</v>
          </cell>
          <cell r="D1208"/>
          <cell r="E1208" t="str">
            <v>Energy</v>
          </cell>
          <cell r="F1208">
            <v>3.4</v>
          </cell>
          <cell r="G1208" t="str">
            <v>GJ</v>
          </cell>
          <cell r="H1208"/>
          <cell r="I1208"/>
          <cell r="J1208" t="str">
            <v>[TIMES] Hall Heroult Regular</v>
          </cell>
          <cell r="K1208"/>
          <cell r="L1208"/>
        </row>
        <row r="1209">
          <cell r="A1209" t="str">
            <v>[TIMES] Hall Heroult Regular</v>
          </cell>
          <cell r="B1209" t="str">
            <v>light fuel oil</v>
          </cell>
          <cell r="C1209" t="str">
            <v>from technosphere (energy_carrier)</v>
          </cell>
          <cell r="D1209"/>
          <cell r="E1209" t="str">
            <v>Energy</v>
          </cell>
          <cell r="F1209">
            <v>10.3</v>
          </cell>
          <cell r="G1209" t="str">
            <v>GJ</v>
          </cell>
          <cell r="H1209"/>
          <cell r="I1209"/>
          <cell r="J1209" t="str">
            <v>[TIMES] Hall Heroult Regular</v>
          </cell>
          <cell r="K1209"/>
          <cell r="L1209"/>
        </row>
        <row r="1210">
          <cell r="A1210" t="str">
            <v>[TIMES] Hall Heroult Regular</v>
          </cell>
          <cell r="B1210" t="str">
            <v>fluorocarbons, combustion</v>
          </cell>
          <cell r="C1210" t="str">
            <v>to environment (emission)</v>
          </cell>
          <cell r="D1210"/>
          <cell r="E1210" t="str">
            <v>Mass</v>
          </cell>
          <cell r="F1210">
            <v>1.25</v>
          </cell>
          <cell r="G1210" t="str">
            <v>kg</v>
          </cell>
          <cell r="H1210"/>
          <cell r="I1210"/>
          <cell r="J1210" t="str">
            <v>[TIMES] Hall Heroult Regular</v>
          </cell>
          <cell r="K1210"/>
          <cell r="L1210"/>
        </row>
        <row r="1211">
          <cell r="A1211" t="str">
            <v/>
          </cell>
          <cell r="B1211"/>
          <cell r="C1211"/>
          <cell r="D1211"/>
          <cell r="E1211"/>
          <cell r="F1211"/>
          <cell r="G1211"/>
          <cell r="H1211"/>
          <cell r="I1211"/>
          <cell r="J1211" t="str">
            <v/>
          </cell>
          <cell r="K1211"/>
          <cell r="L1211"/>
        </row>
        <row r="1212">
          <cell r="A1212" t="str">
            <v>[TIMES] Hall Heroult Point Feeders</v>
          </cell>
          <cell r="B1212" t="str">
            <v>aluminium, crude</v>
          </cell>
          <cell r="C1212" t="str">
            <v>reference_product</v>
          </cell>
          <cell r="D1212"/>
          <cell r="E1212" t="str">
            <v>Mass</v>
          </cell>
          <cell r="F1212">
            <v>1</v>
          </cell>
          <cell r="G1212" t="str">
            <v>t</v>
          </cell>
          <cell r="H1212"/>
          <cell r="I1212"/>
          <cell r="J1212" t="str">
            <v>[TIMES] Hall Heroult Point Feeders</v>
          </cell>
          <cell r="K1212"/>
          <cell r="L1212"/>
        </row>
        <row r="1213">
          <cell r="A1213" t="str">
            <v>[TIMES] Hall Heroult Point Feeders</v>
          </cell>
          <cell r="B1213" t="str">
            <v>bauxite</v>
          </cell>
          <cell r="C1213" t="str">
            <v>from environment (natural resource)</v>
          </cell>
          <cell r="D1213"/>
          <cell r="E1213" t="str">
            <v>Mass</v>
          </cell>
          <cell r="F1213">
            <v>1.6</v>
          </cell>
          <cell r="G1213" t="str">
            <v>t</v>
          </cell>
          <cell r="H1213"/>
          <cell r="I1213"/>
          <cell r="J1213" t="str">
            <v>[TIMES] Hall Heroult Point Feeders</v>
          </cell>
          <cell r="K1213"/>
          <cell r="L1213"/>
        </row>
        <row r="1214">
          <cell r="A1214" t="str">
            <v>[TIMES] Hall Heroult Point Feeders</v>
          </cell>
          <cell r="B1214" t="str">
            <v>electricity</v>
          </cell>
          <cell r="C1214" t="str">
            <v>from technosphere (energy_carrier)</v>
          </cell>
          <cell r="D1214"/>
          <cell r="E1214" t="str">
            <v>Energy</v>
          </cell>
          <cell r="F1214">
            <v>35.200000000000003</v>
          </cell>
          <cell r="G1214" t="str">
            <v>GJ</v>
          </cell>
          <cell r="H1214"/>
          <cell r="I1214"/>
          <cell r="J1214" t="str">
            <v>[TIMES] Hall Heroult Point Feeders</v>
          </cell>
          <cell r="K1214"/>
          <cell r="L1214"/>
        </row>
        <row r="1215">
          <cell r="A1215" t="str">
            <v>[TIMES] Hall Heroult Point Feeders</v>
          </cell>
          <cell r="B1215" t="str">
            <v>natural gas</v>
          </cell>
          <cell r="C1215" t="str">
            <v>from technosphere (energy_carrier)</v>
          </cell>
          <cell r="D1215"/>
          <cell r="E1215" t="str">
            <v>Energy</v>
          </cell>
          <cell r="F1215">
            <v>1.5</v>
          </cell>
          <cell r="G1215" t="str">
            <v>GJ</v>
          </cell>
          <cell r="H1215"/>
          <cell r="I1215"/>
          <cell r="J1215" t="str">
            <v>[TIMES] Hall Heroult Point Feeders</v>
          </cell>
          <cell r="K1215"/>
          <cell r="L1215"/>
        </row>
        <row r="1216">
          <cell r="A1216" t="str">
            <v>[TIMES] Hall Heroult Point Feeders</v>
          </cell>
          <cell r="B1216" t="str">
            <v>light fuel oil</v>
          </cell>
          <cell r="C1216" t="str">
            <v>from technosphere (energy_carrier)</v>
          </cell>
          <cell r="D1216"/>
          <cell r="E1216" t="str">
            <v>Energy</v>
          </cell>
          <cell r="F1216">
            <v>0.5</v>
          </cell>
          <cell r="G1216" t="str">
            <v>GJ</v>
          </cell>
          <cell r="H1216"/>
          <cell r="I1216"/>
          <cell r="J1216" t="str">
            <v>[TIMES] Hall Heroult Point Feeders</v>
          </cell>
          <cell r="K1216"/>
          <cell r="L1216"/>
        </row>
        <row r="1217">
          <cell r="A1217" t="str">
            <v>[TIMES] Hall Heroult Point Feeders</v>
          </cell>
          <cell r="B1217" t="str">
            <v>fluorocarbons, combustion</v>
          </cell>
          <cell r="C1217" t="str">
            <v>to environment (emission)</v>
          </cell>
          <cell r="D1217"/>
          <cell r="E1217" t="str">
            <v>Mass</v>
          </cell>
          <cell r="F1217">
            <v>0.125</v>
          </cell>
          <cell r="G1217" t="str">
            <v>kg</v>
          </cell>
          <cell r="H1217"/>
          <cell r="I1217"/>
          <cell r="J1217" t="str">
            <v>[TIMES] Hall Heroult Point Feeders</v>
          </cell>
          <cell r="K1217"/>
          <cell r="L1217"/>
        </row>
        <row r="1218">
          <cell r="A1218" t="str">
            <v/>
          </cell>
          <cell r="B1218"/>
          <cell r="C1218"/>
          <cell r="D1218"/>
          <cell r="E1218"/>
          <cell r="F1218"/>
          <cell r="G1218"/>
          <cell r="H1218"/>
          <cell r="I1218"/>
          <cell r="J1218" t="str">
            <v/>
          </cell>
          <cell r="K1218"/>
          <cell r="L1218"/>
        </row>
        <row r="1219">
          <cell r="A1219" t="str">
            <v>[TIMES] Hall Heroult Optimal Electrolysis</v>
          </cell>
          <cell r="B1219" t="str">
            <v>aluminium, crude</v>
          </cell>
          <cell r="C1219" t="str">
            <v>reference_product</v>
          </cell>
          <cell r="D1219"/>
          <cell r="E1219" t="str">
            <v>Mass</v>
          </cell>
          <cell r="F1219">
            <v>1</v>
          </cell>
          <cell r="G1219" t="str">
            <v>t</v>
          </cell>
          <cell r="H1219"/>
          <cell r="I1219"/>
          <cell r="J1219" t="str">
            <v>[TIMES] Hall Heroult Optimal Electrolysis</v>
          </cell>
          <cell r="K1219"/>
          <cell r="L1219"/>
        </row>
        <row r="1220">
          <cell r="A1220" t="str">
            <v>[TIMES] Hall Heroult Optimal Electrolysis</v>
          </cell>
          <cell r="B1220" t="str">
            <v>bauxite</v>
          </cell>
          <cell r="C1220" t="str">
            <v>from environment (natural resource)</v>
          </cell>
          <cell r="D1220"/>
          <cell r="E1220" t="str">
            <v>Mass</v>
          </cell>
          <cell r="F1220">
            <v>1.6</v>
          </cell>
          <cell r="G1220" t="str">
            <v>t</v>
          </cell>
          <cell r="H1220"/>
          <cell r="I1220"/>
          <cell r="J1220" t="str">
            <v>[TIMES] Hall Heroult Optimal Electrolysis</v>
          </cell>
          <cell r="K1220"/>
          <cell r="L1220"/>
        </row>
        <row r="1221">
          <cell r="A1221" t="str">
            <v>[TIMES] Hall Heroult Optimal Electrolysis</v>
          </cell>
          <cell r="B1221" t="str">
            <v>electricity</v>
          </cell>
          <cell r="C1221" t="str">
            <v>from technosphere (energy_carrier)</v>
          </cell>
          <cell r="D1221"/>
          <cell r="E1221" t="str">
            <v>Energy</v>
          </cell>
          <cell r="F1221">
            <v>38</v>
          </cell>
          <cell r="G1221" t="str">
            <v>GJ</v>
          </cell>
          <cell r="H1221"/>
          <cell r="I1221"/>
          <cell r="J1221" t="str">
            <v>[TIMES] Hall Heroult Optimal Electrolysis</v>
          </cell>
          <cell r="K1221"/>
          <cell r="L1221"/>
        </row>
        <row r="1222">
          <cell r="A1222" t="str">
            <v>[TIMES] Hall Heroult Optimal Electrolysis</v>
          </cell>
          <cell r="B1222" t="str">
            <v>natural gas</v>
          </cell>
          <cell r="C1222" t="str">
            <v>from technosphere (energy_carrier)</v>
          </cell>
          <cell r="D1222"/>
          <cell r="E1222" t="str">
            <v>Energy</v>
          </cell>
          <cell r="F1222">
            <v>1.5</v>
          </cell>
          <cell r="G1222" t="str">
            <v>GJ</v>
          </cell>
          <cell r="H1222"/>
          <cell r="I1222"/>
          <cell r="J1222" t="str">
            <v>[TIMES] Hall Heroult Optimal Electrolysis</v>
          </cell>
          <cell r="K1222"/>
          <cell r="L1222"/>
        </row>
        <row r="1223">
          <cell r="A1223" t="str">
            <v>[TIMES] Hall Heroult Optimal Electrolysis</v>
          </cell>
          <cell r="B1223" t="str">
            <v>light fuel oil</v>
          </cell>
          <cell r="C1223" t="str">
            <v>from technosphere (energy_carrier)</v>
          </cell>
          <cell r="D1223"/>
          <cell r="E1223" t="str">
            <v>Energy</v>
          </cell>
          <cell r="F1223">
            <v>0.5</v>
          </cell>
          <cell r="G1223" t="str">
            <v>GJ</v>
          </cell>
          <cell r="H1223"/>
          <cell r="I1223"/>
          <cell r="J1223" t="str">
            <v>[TIMES] Hall Heroult Optimal Electrolysis</v>
          </cell>
          <cell r="K1223"/>
          <cell r="L1223"/>
        </row>
        <row r="1224">
          <cell r="A1224" t="str">
            <v>[TIMES] Hall Heroult Optimal Electrolysis</v>
          </cell>
          <cell r="B1224" t="str">
            <v>fluorocarbons, combustion</v>
          </cell>
          <cell r="C1224" t="str">
            <v>to environment (emission)</v>
          </cell>
          <cell r="D1224"/>
          <cell r="E1224" t="str">
            <v>Mass</v>
          </cell>
          <cell r="F1224">
            <v>1.25</v>
          </cell>
          <cell r="G1224" t="str">
            <v>kg</v>
          </cell>
          <cell r="H1224"/>
          <cell r="I1224"/>
          <cell r="J1224" t="str">
            <v>[TIMES] Hall Heroult Optimal Electrolysis</v>
          </cell>
          <cell r="K1224"/>
          <cell r="L1224"/>
        </row>
        <row r="1225">
          <cell r="A1225" t="str">
            <v/>
          </cell>
          <cell r="B1225"/>
          <cell r="C1225"/>
          <cell r="D1225"/>
          <cell r="E1225"/>
          <cell r="F1225"/>
          <cell r="G1225"/>
          <cell r="H1225"/>
          <cell r="I1225"/>
          <cell r="J1225" t="str">
            <v/>
          </cell>
          <cell r="K1225"/>
          <cell r="L1225"/>
        </row>
        <row r="1226">
          <cell r="A1226" t="str">
            <v>[TIMES] Hall Heroult Reduced Electrolyte Temperature</v>
          </cell>
          <cell r="B1226" t="str">
            <v>aluminium, crude</v>
          </cell>
          <cell r="C1226" t="str">
            <v>reference_product</v>
          </cell>
          <cell r="D1226"/>
          <cell r="E1226" t="str">
            <v>Mass</v>
          </cell>
          <cell r="F1226">
            <v>1</v>
          </cell>
          <cell r="G1226" t="str">
            <v>t</v>
          </cell>
          <cell r="H1226"/>
          <cell r="I1226"/>
          <cell r="J1226" t="str">
            <v>[TIMES] Hall Heroult Reduced Electrolyte Temperature</v>
          </cell>
          <cell r="K1226"/>
          <cell r="L1226"/>
        </row>
        <row r="1227">
          <cell r="A1227" t="str">
            <v>[TIMES] Hall Heroult Reduced Electrolyte Temperature</v>
          </cell>
          <cell r="B1227" t="str">
            <v>bauxite</v>
          </cell>
          <cell r="C1227" t="str">
            <v>from environment (natural resource)</v>
          </cell>
          <cell r="D1227"/>
          <cell r="E1227" t="str">
            <v>Mass</v>
          </cell>
          <cell r="F1227">
            <v>2</v>
          </cell>
          <cell r="G1227" t="str">
            <v>t</v>
          </cell>
          <cell r="H1227"/>
          <cell r="I1227"/>
          <cell r="J1227" t="str">
            <v>[TIMES] Hall Heroult Reduced Electrolyte Temperature</v>
          </cell>
          <cell r="K1227"/>
          <cell r="L1227"/>
        </row>
        <row r="1228">
          <cell r="A1228" t="str">
            <v>[TIMES] Hall Heroult Reduced Electrolyte Temperature</v>
          </cell>
          <cell r="B1228" t="str">
            <v>electricity</v>
          </cell>
          <cell r="C1228" t="str">
            <v>from technosphere (energy_carrier)</v>
          </cell>
          <cell r="D1228"/>
          <cell r="E1228" t="str">
            <v>Energy</v>
          </cell>
          <cell r="F1228">
            <v>36.5</v>
          </cell>
          <cell r="G1228" t="str">
            <v>GJ</v>
          </cell>
          <cell r="H1228"/>
          <cell r="I1228"/>
          <cell r="J1228" t="str">
            <v>[TIMES] Hall Heroult Reduced Electrolyte Temperature</v>
          </cell>
          <cell r="K1228"/>
          <cell r="L1228"/>
        </row>
        <row r="1229">
          <cell r="A1229" t="str">
            <v>[TIMES] Hall Heroult Reduced Electrolyte Temperature</v>
          </cell>
          <cell r="B1229" t="str">
            <v>natural gas</v>
          </cell>
          <cell r="C1229" t="str">
            <v>from technosphere (energy_carrier)</v>
          </cell>
          <cell r="D1229"/>
          <cell r="E1229" t="str">
            <v>Energy</v>
          </cell>
          <cell r="F1229">
            <v>1.5</v>
          </cell>
          <cell r="G1229" t="str">
            <v>GJ</v>
          </cell>
          <cell r="H1229"/>
          <cell r="I1229"/>
          <cell r="J1229" t="str">
            <v>[TIMES] Hall Heroult Reduced Electrolyte Temperature</v>
          </cell>
          <cell r="K1229"/>
          <cell r="L1229"/>
        </row>
        <row r="1230">
          <cell r="A1230" t="str">
            <v>[TIMES] Hall Heroult Reduced Electrolyte Temperature</v>
          </cell>
          <cell r="B1230" t="str">
            <v>light fuel oil</v>
          </cell>
          <cell r="C1230" t="str">
            <v>from technosphere (energy_carrier)</v>
          </cell>
          <cell r="D1230"/>
          <cell r="E1230" t="str">
            <v>Energy</v>
          </cell>
          <cell r="F1230">
            <v>0.5</v>
          </cell>
          <cell r="G1230" t="str">
            <v>GJ</v>
          </cell>
          <cell r="H1230"/>
          <cell r="I1230"/>
          <cell r="J1230" t="str">
            <v>[TIMES] Hall Heroult Reduced Electrolyte Temperature</v>
          </cell>
          <cell r="K1230"/>
          <cell r="L1230"/>
        </row>
        <row r="1231">
          <cell r="A1231" t="str">
            <v>[TIMES] Hall Heroult Reduced Electrolyte Temperature</v>
          </cell>
          <cell r="B1231" t="str">
            <v>fluorocarbons, combustion</v>
          </cell>
          <cell r="C1231" t="str">
            <v>to environment (emission)</v>
          </cell>
          <cell r="D1231"/>
          <cell r="E1231" t="str">
            <v>Mass</v>
          </cell>
          <cell r="F1231">
            <v>1.25</v>
          </cell>
          <cell r="G1231" t="str">
            <v>t</v>
          </cell>
          <cell r="H1231"/>
          <cell r="I1231"/>
          <cell r="J1231" t="str">
            <v>[TIMES] Hall Heroult Reduced Electrolyte Temperature</v>
          </cell>
          <cell r="K1231"/>
          <cell r="L1231"/>
        </row>
        <row r="1232">
          <cell r="A1232" t="str">
            <v/>
          </cell>
          <cell r="B1232"/>
          <cell r="C1232"/>
          <cell r="D1232"/>
          <cell r="E1232"/>
          <cell r="F1232"/>
          <cell r="G1232"/>
          <cell r="H1232"/>
          <cell r="I1232"/>
          <cell r="J1232" t="str">
            <v/>
          </cell>
          <cell r="K1232"/>
          <cell r="L1232"/>
        </row>
        <row r="1233">
          <cell r="A1233" t="str">
            <v>[TIMES] Aluminium Inert Anodes</v>
          </cell>
          <cell r="B1233" t="str">
            <v>aluminium, crude</v>
          </cell>
          <cell r="C1233" t="str">
            <v>reference_product</v>
          </cell>
          <cell r="D1233"/>
          <cell r="E1233" t="str">
            <v>Mass</v>
          </cell>
          <cell r="F1233">
            <v>1</v>
          </cell>
          <cell r="G1233" t="str">
            <v>t</v>
          </cell>
          <cell r="H1233"/>
          <cell r="I1233"/>
          <cell r="J1233" t="str">
            <v>[TIMES] Aluminium Inert Anodes</v>
          </cell>
          <cell r="K1233"/>
          <cell r="L1233"/>
        </row>
        <row r="1234">
          <cell r="A1234" t="str">
            <v>[TIMES] Aluminium Inert Anodes</v>
          </cell>
          <cell r="B1234" t="str">
            <v>bauxite</v>
          </cell>
          <cell r="C1234" t="str">
            <v>from environment (natural resource)</v>
          </cell>
          <cell r="D1234"/>
          <cell r="E1234" t="str">
            <v>Mass</v>
          </cell>
          <cell r="F1234">
            <v>1.9</v>
          </cell>
          <cell r="G1234" t="str">
            <v>t</v>
          </cell>
          <cell r="H1234"/>
          <cell r="I1234"/>
          <cell r="J1234" t="str">
            <v>[TIMES] Aluminium Inert Anodes</v>
          </cell>
          <cell r="K1234"/>
          <cell r="L1234"/>
        </row>
        <row r="1235">
          <cell r="A1235" t="str">
            <v>[TIMES] Aluminium Inert Anodes</v>
          </cell>
          <cell r="B1235" t="str">
            <v>electricity</v>
          </cell>
          <cell r="C1235" t="str">
            <v>from technosphere (energy_carrier)</v>
          </cell>
          <cell r="D1235"/>
          <cell r="E1235" t="str">
            <v>Energy</v>
          </cell>
          <cell r="F1235">
            <v>44</v>
          </cell>
          <cell r="G1235" t="str">
            <v>GJ</v>
          </cell>
          <cell r="H1235"/>
          <cell r="I1235"/>
          <cell r="J1235" t="str">
            <v>[TIMES] Aluminium Inert Anodes</v>
          </cell>
          <cell r="K1235"/>
          <cell r="L1235"/>
        </row>
        <row r="1236">
          <cell r="A1236" t="str">
            <v>[TIMES] Aluminium Inert Anodes</v>
          </cell>
          <cell r="B1236" t="str">
            <v>natural gas</v>
          </cell>
          <cell r="C1236" t="str">
            <v>from technosphere (energy_carrier)</v>
          </cell>
          <cell r="D1236"/>
          <cell r="E1236" t="str">
            <v>Energy</v>
          </cell>
          <cell r="F1236">
            <v>1.5</v>
          </cell>
          <cell r="G1236" t="str">
            <v>GJ</v>
          </cell>
          <cell r="H1236"/>
          <cell r="I1236"/>
          <cell r="J1236" t="str">
            <v>[TIMES] Aluminium Inert Anodes</v>
          </cell>
          <cell r="K1236"/>
          <cell r="L1236"/>
        </row>
        <row r="1237">
          <cell r="A1237" t="str">
            <v>[TIMES] Aluminium Inert Anodes</v>
          </cell>
          <cell r="B1237"/>
          <cell r="C1237"/>
          <cell r="D1237"/>
          <cell r="E1237"/>
          <cell r="F1237"/>
          <cell r="G1237"/>
          <cell r="H1237"/>
          <cell r="I1237"/>
          <cell r="J1237"/>
          <cell r="K1237"/>
          <cell r="L1237"/>
        </row>
        <row r="1238">
          <cell r="A1238" t="str">
            <v/>
          </cell>
          <cell r="B1238"/>
          <cell r="C1238"/>
          <cell r="D1238"/>
          <cell r="E1238"/>
          <cell r="F1238"/>
          <cell r="G1238"/>
          <cell r="H1238"/>
          <cell r="I1238"/>
          <cell r="J1238" t="str">
            <v/>
          </cell>
          <cell r="K1238"/>
          <cell r="L1238"/>
        </row>
        <row r="1239">
          <cell r="A1239" t="str">
            <v>[TIMES] Aluminium Recycled Production</v>
          </cell>
          <cell r="B1239" t="str">
            <v>aluminium, crude</v>
          </cell>
          <cell r="C1239" t="str">
            <v>reference_product</v>
          </cell>
          <cell r="D1239"/>
          <cell r="E1239" t="str">
            <v>Mass</v>
          </cell>
          <cell r="F1239">
            <v>1</v>
          </cell>
          <cell r="G1239" t="str">
            <v>t</v>
          </cell>
          <cell r="H1239"/>
          <cell r="I1239"/>
          <cell r="J1239" t="str">
            <v>[TIMES] Aluminium Recycled Production</v>
          </cell>
          <cell r="K1239"/>
          <cell r="L1239"/>
        </row>
        <row r="1240">
          <cell r="A1240" t="str">
            <v>[TIMES] Aluminium Recycled Production</v>
          </cell>
          <cell r="B1240" t="str">
            <v>bauxite</v>
          </cell>
          <cell r="C1240" t="str">
            <v>from environment (natural resource)</v>
          </cell>
          <cell r="D1240"/>
          <cell r="E1240" t="str">
            <v>Mass</v>
          </cell>
          <cell r="F1240">
            <v>2</v>
          </cell>
          <cell r="G1240" t="str">
            <v>t</v>
          </cell>
          <cell r="H1240"/>
          <cell r="I1240"/>
          <cell r="J1240" t="str">
            <v>[TIMES] Aluminium Recycled Production</v>
          </cell>
          <cell r="K1240"/>
          <cell r="L1240"/>
        </row>
        <row r="1241">
          <cell r="A1241" t="str">
            <v>[TIMES] Aluminium Recycled Production</v>
          </cell>
          <cell r="B1241" t="str">
            <v>aluminium, scrap</v>
          </cell>
          <cell r="C1241" t="str">
            <v>from technosphere (material)</v>
          </cell>
          <cell r="D1241"/>
          <cell r="E1241" t="str">
            <v>Mass</v>
          </cell>
          <cell r="F1241" t="str">
            <v>1,02-1,05</v>
          </cell>
          <cell r="G1241" t="str">
            <v>t</v>
          </cell>
          <cell r="H1241"/>
          <cell r="I1241"/>
          <cell r="J1241" t="str">
            <v>[TIMES] Aluminium Recycled Production</v>
          </cell>
          <cell r="K1241"/>
          <cell r="L1241"/>
        </row>
        <row r="1242">
          <cell r="A1242" t="str">
            <v>[TIMES] Aluminium Recycled Production</v>
          </cell>
          <cell r="B1242" t="str">
            <v>electricity</v>
          </cell>
          <cell r="C1242" t="str">
            <v>from technosphere (energy_carrier)</v>
          </cell>
          <cell r="D1242"/>
          <cell r="E1242" t="str">
            <v>Energy</v>
          </cell>
          <cell r="F1242">
            <v>1.38</v>
          </cell>
          <cell r="G1242" t="str">
            <v>GJ</v>
          </cell>
          <cell r="H1242"/>
          <cell r="I1242"/>
          <cell r="J1242" t="str">
            <v>[TIMES] Aluminium Recycled Production</v>
          </cell>
          <cell r="K1242"/>
          <cell r="L1242"/>
        </row>
        <row r="1243">
          <cell r="A1243" t="str">
            <v>[TIMES] Aluminium Recycled Production</v>
          </cell>
          <cell r="B1243" t="str">
            <v>natural gas</v>
          </cell>
          <cell r="C1243" t="str">
            <v>from technosphere (energy_carrier)</v>
          </cell>
          <cell r="D1243"/>
          <cell r="E1243" t="str">
            <v>Energy</v>
          </cell>
          <cell r="F1243">
            <v>4</v>
          </cell>
          <cell r="G1243" t="str">
            <v>GJ</v>
          </cell>
          <cell r="H1243"/>
          <cell r="I1243"/>
          <cell r="J1243" t="str">
            <v>[TIMES] Aluminium Recycled Production</v>
          </cell>
          <cell r="K1243"/>
          <cell r="L1243"/>
        </row>
        <row r="1244">
          <cell r="A1244" t="str">
            <v/>
          </cell>
          <cell r="B1244"/>
          <cell r="C1244"/>
          <cell r="D1244"/>
          <cell r="E1244"/>
          <cell r="F1244"/>
          <cell r="G1244"/>
          <cell r="H1244"/>
          <cell r="I1244"/>
          <cell r="J1244" t="str">
            <v/>
          </cell>
          <cell r="K1244"/>
          <cell r="L1244"/>
        </row>
        <row r="1245">
          <cell r="A1245" t="str">
            <v>[TIMES] Aluminium Recycled Production Scrap Pre-heat</v>
          </cell>
          <cell r="B1245" t="str">
            <v>aluminium, crude</v>
          </cell>
          <cell r="C1245" t="str">
            <v>reference_product</v>
          </cell>
          <cell r="D1245"/>
          <cell r="E1245" t="str">
            <v>Mass</v>
          </cell>
          <cell r="F1245">
            <v>1</v>
          </cell>
          <cell r="G1245" t="str">
            <v>t</v>
          </cell>
          <cell r="H1245"/>
          <cell r="I1245"/>
          <cell r="J1245" t="str">
            <v>[TIMES] Aluminium Recycled Production Scrap Pre-heat</v>
          </cell>
          <cell r="K1245"/>
          <cell r="L1245"/>
        </row>
        <row r="1246">
          <cell r="A1246" t="str">
            <v>[TIMES] Aluminium Recycled Production Scrap Pre-heat</v>
          </cell>
          <cell r="B1246" t="str">
            <v>bauxite</v>
          </cell>
          <cell r="C1246" t="str">
            <v>from environment (natural resource)</v>
          </cell>
          <cell r="D1246"/>
          <cell r="E1246" t="str">
            <v>Mass</v>
          </cell>
          <cell r="F1246">
            <v>2</v>
          </cell>
          <cell r="G1246" t="str">
            <v>t</v>
          </cell>
          <cell r="H1246"/>
          <cell r="I1246"/>
          <cell r="J1246" t="str">
            <v>[TIMES] Aluminium Recycled Production Scrap Pre-heat</v>
          </cell>
          <cell r="K1246"/>
          <cell r="L1246"/>
        </row>
        <row r="1247">
          <cell r="A1247" t="str">
            <v>[TIMES] Aluminium Recycled Production Scrap Pre-heat</v>
          </cell>
          <cell r="B1247" t="str">
            <v>aluminium, scrap</v>
          </cell>
          <cell r="C1247" t="str">
            <v>from technosphere (material)</v>
          </cell>
          <cell r="D1247"/>
          <cell r="E1247" t="str">
            <v>Mass</v>
          </cell>
          <cell r="F1247" t="str">
            <v>1,02-1,05</v>
          </cell>
          <cell r="G1247" t="str">
            <v>t</v>
          </cell>
          <cell r="H1247"/>
          <cell r="I1247"/>
          <cell r="J1247" t="str">
            <v>[TIMES] Aluminium Recycled Production Scrap Pre-heat</v>
          </cell>
          <cell r="K1247"/>
          <cell r="L1247"/>
        </row>
        <row r="1248">
          <cell r="A1248" t="str">
            <v>[TIMES] Aluminium Recycled Production Scrap Pre-heat</v>
          </cell>
          <cell r="B1248" t="str">
            <v>electricity</v>
          </cell>
          <cell r="C1248" t="str">
            <v>from technosphere (energy_carrier)</v>
          </cell>
          <cell r="D1248"/>
          <cell r="E1248" t="str">
            <v>Energy</v>
          </cell>
          <cell r="F1248">
            <v>1.38</v>
          </cell>
          <cell r="G1248" t="str">
            <v>GJ</v>
          </cell>
          <cell r="H1248"/>
          <cell r="I1248"/>
          <cell r="J1248" t="str">
            <v>[TIMES] Aluminium Recycled Production Scrap Pre-heat</v>
          </cell>
          <cell r="K1248"/>
          <cell r="L1248"/>
        </row>
        <row r="1249">
          <cell r="A1249" t="str">
            <v>[TIMES] Aluminium Recycled Production Scrap Pre-heat</v>
          </cell>
          <cell r="B1249" t="str">
            <v>natural gas</v>
          </cell>
          <cell r="C1249" t="str">
            <v>from technosphere (energy_carrier)</v>
          </cell>
          <cell r="D1249"/>
          <cell r="E1249" t="str">
            <v>Energy</v>
          </cell>
          <cell r="F1249">
            <v>3.6</v>
          </cell>
          <cell r="G1249" t="str">
            <v>GJ</v>
          </cell>
          <cell r="H1249"/>
          <cell r="I1249"/>
          <cell r="J1249" t="str">
            <v>[TIMES] Aluminium Recycled Production Scrap Pre-heat</v>
          </cell>
          <cell r="K1249"/>
          <cell r="L1249"/>
        </row>
        <row r="1250">
          <cell r="A1250" t="str">
            <v/>
          </cell>
          <cell r="B1250"/>
          <cell r="C1250"/>
          <cell r="D1250"/>
          <cell r="E1250"/>
          <cell r="F1250"/>
          <cell r="G1250"/>
          <cell r="H1250"/>
          <cell r="I1250"/>
          <cell r="J1250" t="str">
            <v/>
          </cell>
          <cell r="K1250"/>
          <cell r="L1250"/>
        </row>
        <row r="1251">
          <cell r="A1251" t="str">
            <v>[TIMES] Aluminium Recycled Production Enhanced Furnaces</v>
          </cell>
          <cell r="B1251" t="str">
            <v>aluminium, crude</v>
          </cell>
          <cell r="C1251" t="str">
            <v>reference_product</v>
          </cell>
          <cell r="D1251"/>
          <cell r="E1251" t="str">
            <v>Mass</v>
          </cell>
          <cell r="F1251">
            <v>1</v>
          </cell>
          <cell r="G1251" t="str">
            <v>t</v>
          </cell>
          <cell r="H1251"/>
          <cell r="I1251"/>
          <cell r="J1251" t="str">
            <v>[TIMES] Aluminium Recycled Production Enhanced Furnaces</v>
          </cell>
          <cell r="K1251"/>
          <cell r="L1251"/>
        </row>
        <row r="1252">
          <cell r="A1252" t="str">
            <v>[TIMES] Aluminium Recycled Production Enhanced Furnaces</v>
          </cell>
          <cell r="B1252" t="str">
            <v>bauxite</v>
          </cell>
          <cell r="C1252" t="str">
            <v>from environment (natural resource)</v>
          </cell>
          <cell r="D1252"/>
          <cell r="E1252" t="str">
            <v>Mass</v>
          </cell>
          <cell r="F1252">
            <v>2</v>
          </cell>
          <cell r="G1252" t="str">
            <v>t</v>
          </cell>
          <cell r="H1252"/>
          <cell r="I1252"/>
          <cell r="J1252" t="str">
            <v>[TIMES] Aluminium Recycled Production Enhanced Furnaces</v>
          </cell>
          <cell r="K1252"/>
          <cell r="L1252"/>
        </row>
        <row r="1253">
          <cell r="A1253" t="str">
            <v>[TIMES] Aluminium Recycled Production Enhanced Furnaces</v>
          </cell>
          <cell r="B1253" t="str">
            <v>aluminium, scrap</v>
          </cell>
          <cell r="C1253" t="str">
            <v>from technosphere (material)</v>
          </cell>
          <cell r="D1253"/>
          <cell r="E1253" t="str">
            <v>Mass</v>
          </cell>
          <cell r="F1253" t="str">
            <v>1,02-1,05</v>
          </cell>
          <cell r="G1253" t="str">
            <v>t</v>
          </cell>
          <cell r="H1253"/>
          <cell r="I1253"/>
          <cell r="J1253" t="str">
            <v>[TIMES] Aluminium Recycled Production Enhanced Furnaces</v>
          </cell>
          <cell r="K1253"/>
          <cell r="L1253"/>
        </row>
        <row r="1254">
          <cell r="A1254" t="str">
            <v>[TIMES] Aluminium Recycled Production Enhanced Furnaces</v>
          </cell>
          <cell r="B1254" t="str">
            <v>electricity</v>
          </cell>
          <cell r="C1254" t="str">
            <v>from technosphere (energy_carrier)</v>
          </cell>
          <cell r="D1254"/>
          <cell r="E1254" t="str">
            <v>Energy</v>
          </cell>
          <cell r="F1254">
            <v>1.38</v>
          </cell>
          <cell r="G1254" t="str">
            <v>GJ</v>
          </cell>
          <cell r="H1254"/>
          <cell r="I1254"/>
          <cell r="J1254" t="str">
            <v>[TIMES] Aluminium Recycled Production Enhanced Furnaces</v>
          </cell>
          <cell r="K1254"/>
          <cell r="L1254"/>
        </row>
        <row r="1255">
          <cell r="A1255" t="str">
            <v>[TIMES] Aluminium Recycled Production Enhanced Furnaces</v>
          </cell>
          <cell r="B1255" t="str">
            <v>natural gas</v>
          </cell>
          <cell r="C1255" t="str">
            <v>from technosphere (energy_carrier)</v>
          </cell>
          <cell r="D1255"/>
          <cell r="E1255" t="str">
            <v>Energy</v>
          </cell>
          <cell r="F1255">
            <v>2</v>
          </cell>
          <cell r="G1255" t="str">
            <v>GJ</v>
          </cell>
          <cell r="H1255"/>
          <cell r="I1255"/>
          <cell r="J1255" t="str">
            <v>[TIMES] Aluminium Recycled Production Enhanced Furnaces</v>
          </cell>
          <cell r="K1255"/>
          <cell r="L1255"/>
        </row>
        <row r="1256">
          <cell r="A1256" t="str">
            <v/>
          </cell>
          <cell r="B1256"/>
          <cell r="C1256"/>
          <cell r="D1256"/>
          <cell r="E1256"/>
          <cell r="F1256"/>
          <cell r="G1256"/>
          <cell r="H1256"/>
          <cell r="I1256"/>
          <cell r="J1256" t="str">
            <v/>
          </cell>
          <cell r="K1256"/>
          <cell r="L1256"/>
        </row>
        <row r="1257">
          <cell r="A1257" t="str">
            <v>[TIMES] Aluminium Finishing Processes</v>
          </cell>
          <cell r="B1257" t="str">
            <v>aluminium, finished</v>
          </cell>
          <cell r="C1257" t="str">
            <v>reference_product</v>
          </cell>
          <cell r="D1257"/>
          <cell r="E1257" t="str">
            <v>Mass</v>
          </cell>
          <cell r="F1257">
            <v>1</v>
          </cell>
          <cell r="G1257" t="str">
            <v>t</v>
          </cell>
          <cell r="H1257"/>
          <cell r="I1257"/>
          <cell r="J1257" t="str">
            <v>[TIMES] Aluminium Finishing Processes</v>
          </cell>
          <cell r="K1257"/>
          <cell r="L1257"/>
        </row>
        <row r="1258">
          <cell r="A1258" t="str">
            <v>[TIMES] Aluminium Finishing Processes</v>
          </cell>
          <cell r="B1258" t="str">
            <v>crude aluminium</v>
          </cell>
          <cell r="C1258" t="str">
            <v>from technosphere (material)</v>
          </cell>
          <cell r="D1258"/>
          <cell r="E1258" t="str">
            <v>Mass</v>
          </cell>
          <cell r="F1258">
            <v>1</v>
          </cell>
          <cell r="G1258" t="str">
            <v>t</v>
          </cell>
          <cell r="H1258"/>
          <cell r="I1258"/>
          <cell r="J1258" t="str">
            <v>[TIMES] Aluminium Finishing Processes</v>
          </cell>
          <cell r="K1258"/>
          <cell r="L1258"/>
        </row>
        <row r="1259">
          <cell r="A1259" t="str">
            <v>[TIMES] Aluminium Finishing Processes</v>
          </cell>
          <cell r="B1259" t="str">
            <v>electricity</v>
          </cell>
          <cell r="C1259" t="str">
            <v>from technosphere (energy_carrier)</v>
          </cell>
          <cell r="D1259"/>
          <cell r="E1259" t="str">
            <v>Energy</v>
          </cell>
          <cell r="F1259">
            <v>9.11</v>
          </cell>
          <cell r="G1259" t="str">
            <v>GJ</v>
          </cell>
          <cell r="H1259"/>
          <cell r="I1259"/>
          <cell r="J1259" t="str">
            <v>[TIMES] Aluminium Finishing Processes</v>
          </cell>
          <cell r="K1259"/>
          <cell r="L1259"/>
        </row>
        <row r="1260">
          <cell r="A1260" t="str">
            <v>[TIMES] Aluminium Finishing Processes</v>
          </cell>
          <cell r="B1260" t="str">
            <v>natural gas</v>
          </cell>
          <cell r="C1260" t="str">
            <v>from technosphere (energy_carrier)</v>
          </cell>
          <cell r="D1260"/>
          <cell r="E1260" t="str">
            <v>Energy</v>
          </cell>
          <cell r="F1260">
            <v>4.0599999999999996</v>
          </cell>
          <cell r="G1260" t="str">
            <v>GJ</v>
          </cell>
          <cell r="H1260"/>
          <cell r="I1260"/>
          <cell r="J1260" t="str">
            <v>[TIMES] Aluminium Finishing Processes</v>
          </cell>
          <cell r="K1260"/>
          <cell r="L1260"/>
        </row>
        <row r="1261">
          <cell r="A1261" t="str">
            <v>[TIMES] Aluminium Finishing Processes</v>
          </cell>
          <cell r="B1261" t="str">
            <v>light fuel oil</v>
          </cell>
          <cell r="C1261" t="str">
            <v>from technosphere (energy_carrier)</v>
          </cell>
          <cell r="D1261"/>
          <cell r="E1261" t="str">
            <v>Energy</v>
          </cell>
          <cell r="F1261">
            <v>0.03</v>
          </cell>
          <cell r="G1261" t="str">
            <v>GJ</v>
          </cell>
          <cell r="H1261"/>
          <cell r="I1261"/>
          <cell r="J1261" t="str">
            <v>[TIMES] Aluminium Finishing Processes</v>
          </cell>
          <cell r="K1261"/>
          <cell r="L1261"/>
        </row>
        <row r="1262">
          <cell r="A1262" t="str">
            <v>[TIMES] Aluminium Finishing Processes</v>
          </cell>
          <cell r="B1262" t="str">
            <v>industrial heat, high-temperature</v>
          </cell>
          <cell r="C1262" t="str">
            <v>from technosphere (energy_carrier)</v>
          </cell>
          <cell r="D1262"/>
          <cell r="E1262" t="str">
            <v>Energy</v>
          </cell>
          <cell r="F1262">
            <v>0.14000000000000001</v>
          </cell>
          <cell r="G1262" t="str">
            <v>GJ</v>
          </cell>
          <cell r="H1262"/>
          <cell r="I1262"/>
          <cell r="J1262" t="str">
            <v>[TIMES] Aluminium Finishing Processes</v>
          </cell>
          <cell r="K1262"/>
          <cell r="L1262"/>
        </row>
        <row r="1263">
          <cell r="A1263" t="str">
            <v/>
          </cell>
          <cell r="B1263"/>
          <cell r="C1263"/>
          <cell r="D1263"/>
          <cell r="E1263"/>
          <cell r="F1263"/>
          <cell r="G1263"/>
          <cell r="H1263"/>
          <cell r="I1263"/>
          <cell r="J1263" t="str">
            <v/>
          </cell>
          <cell r="K1263"/>
          <cell r="L1263"/>
        </row>
        <row r="1264">
          <cell r="A1264" t="str">
            <v>[TIMES] Glass Flat Production</v>
          </cell>
          <cell r="B1264" t="str">
            <v>glass, flat</v>
          </cell>
          <cell r="C1264" t="str">
            <v>reference_product</v>
          </cell>
          <cell r="D1264"/>
          <cell r="E1264" t="str">
            <v>Mass</v>
          </cell>
          <cell r="F1264">
            <v>1</v>
          </cell>
          <cell r="G1264" t="str">
            <v>t</v>
          </cell>
          <cell r="H1264"/>
          <cell r="I1264"/>
          <cell r="J1264" t="str">
            <v>[TIMES] Glass Flat Production</v>
          </cell>
          <cell r="K1264"/>
          <cell r="L1264"/>
        </row>
        <row r="1265">
          <cell r="A1265" t="str">
            <v>[TIMES] Glass Flat Production</v>
          </cell>
          <cell r="B1265" t="str">
            <v>electricity</v>
          </cell>
          <cell r="C1265" t="str">
            <v>from technosphere (energy_carrier)</v>
          </cell>
          <cell r="D1265"/>
          <cell r="E1265" t="str">
            <v>Energy</v>
          </cell>
          <cell r="F1265">
            <v>5.5</v>
          </cell>
          <cell r="G1265" t="str">
            <v>GJ</v>
          </cell>
          <cell r="H1265"/>
          <cell r="I1265"/>
          <cell r="J1265" t="str">
            <v>[TIMES] Glass Flat Production</v>
          </cell>
          <cell r="K1265"/>
          <cell r="L1265"/>
        </row>
        <row r="1266">
          <cell r="A1266" t="str">
            <v>[TIMES] Glass Flat Production</v>
          </cell>
          <cell r="B1266" t="str">
            <v>natural gas</v>
          </cell>
          <cell r="C1266" t="str">
            <v>from technosphere (energy_carrier)</v>
          </cell>
          <cell r="D1266"/>
          <cell r="E1266" t="str">
            <v>Energy</v>
          </cell>
          <cell r="F1266">
            <v>3</v>
          </cell>
          <cell r="G1266" t="str">
            <v>GJ</v>
          </cell>
          <cell r="H1266"/>
          <cell r="I1266"/>
          <cell r="J1266" t="str">
            <v>[TIMES] Glass Flat Production</v>
          </cell>
          <cell r="K1266"/>
          <cell r="L1266"/>
        </row>
        <row r="1267">
          <cell r="A1267" t="str">
            <v/>
          </cell>
          <cell r="B1267"/>
          <cell r="C1267"/>
          <cell r="D1267"/>
          <cell r="E1267"/>
          <cell r="F1267"/>
          <cell r="G1267"/>
          <cell r="H1267"/>
          <cell r="I1267"/>
          <cell r="J1267" t="str">
            <v/>
          </cell>
          <cell r="K1267"/>
          <cell r="L1267"/>
        </row>
        <row r="1268">
          <cell r="A1268" t="str">
            <v>[TIMES] Glass Flat Production Heat Recovery / Improved Burners</v>
          </cell>
          <cell r="B1268" t="str">
            <v>glass, flat</v>
          </cell>
          <cell r="C1268" t="str">
            <v>reference_product</v>
          </cell>
          <cell r="D1268"/>
          <cell r="E1268" t="str">
            <v>Mass</v>
          </cell>
          <cell r="F1268">
            <v>1</v>
          </cell>
          <cell r="G1268" t="str">
            <v>t</v>
          </cell>
          <cell r="H1268"/>
          <cell r="I1268"/>
          <cell r="J1268" t="str">
            <v>[TIMES] Glass Flat Production Heat Recovery / Improved Burners</v>
          </cell>
          <cell r="K1268"/>
          <cell r="L1268"/>
        </row>
        <row r="1269">
          <cell r="A1269" t="str">
            <v>[TIMES] Glass Flat Production Heat Recovery / Improved Burners</v>
          </cell>
          <cell r="B1269" t="str">
            <v>electricity</v>
          </cell>
          <cell r="C1269" t="str">
            <v>from technosphere (energy_carrier)</v>
          </cell>
          <cell r="D1269"/>
          <cell r="E1269" t="str">
            <v>Energy</v>
          </cell>
          <cell r="F1269">
            <v>4.125</v>
          </cell>
          <cell r="G1269" t="str">
            <v>GJ</v>
          </cell>
          <cell r="H1269"/>
          <cell r="I1269"/>
          <cell r="J1269" t="str">
            <v>[TIMES] Glass Flat Production Heat Recovery / Improved Burners</v>
          </cell>
          <cell r="K1269"/>
          <cell r="L1269"/>
        </row>
        <row r="1270">
          <cell r="A1270" t="str">
            <v>[TIMES] Glass Flat Production Heat Recovery / Improved Burners</v>
          </cell>
          <cell r="B1270" t="str">
            <v>natural gas</v>
          </cell>
          <cell r="C1270" t="str">
            <v>from technosphere (energy_carrier)</v>
          </cell>
          <cell r="D1270"/>
          <cell r="E1270" t="str">
            <v>Energy</v>
          </cell>
          <cell r="F1270">
            <v>2.25</v>
          </cell>
          <cell r="G1270" t="str">
            <v>GJ</v>
          </cell>
          <cell r="H1270"/>
          <cell r="I1270"/>
          <cell r="J1270" t="str">
            <v>[TIMES] Glass Flat Production Heat Recovery / Improved Burners</v>
          </cell>
          <cell r="K1270"/>
          <cell r="L1270"/>
        </row>
        <row r="1271">
          <cell r="A1271" t="str">
            <v/>
          </cell>
          <cell r="B1271"/>
          <cell r="C1271"/>
          <cell r="D1271"/>
          <cell r="E1271"/>
          <cell r="F1271"/>
          <cell r="G1271"/>
          <cell r="H1271"/>
          <cell r="I1271"/>
          <cell r="J1271" t="str">
            <v/>
          </cell>
          <cell r="K1271"/>
          <cell r="L1271"/>
        </row>
        <row r="1272">
          <cell r="A1272" t="str">
            <v>[TIMES] Glass Flat Production Heat Recovery / Improved Burners CCS</v>
          </cell>
          <cell r="B1272" t="str">
            <v>glass, flat</v>
          </cell>
          <cell r="C1272" t="str">
            <v>reference_product</v>
          </cell>
          <cell r="D1272"/>
          <cell r="E1272" t="str">
            <v>Mass</v>
          </cell>
          <cell r="F1272">
            <v>1</v>
          </cell>
          <cell r="G1272" t="str">
            <v>t</v>
          </cell>
          <cell r="H1272"/>
          <cell r="I1272"/>
          <cell r="J1272" t="str">
            <v>[TIMES] Glass Flat Production Heat Recovery / Improved Burners CCS</v>
          </cell>
          <cell r="K1272"/>
          <cell r="L1272"/>
        </row>
        <row r="1273">
          <cell r="A1273" t="str">
            <v>[TIMES] Glass Flat Production Heat Recovery / Improved Burners CCS</v>
          </cell>
          <cell r="B1273" t="str">
            <v>electricity</v>
          </cell>
          <cell r="C1273" t="str">
            <v>from technosphere (energy_carrier)</v>
          </cell>
          <cell r="D1273"/>
          <cell r="E1273" t="str">
            <v>Energy</v>
          </cell>
          <cell r="F1273">
            <v>4.45</v>
          </cell>
          <cell r="G1273" t="str">
            <v>GJ</v>
          </cell>
          <cell r="H1273"/>
          <cell r="I1273"/>
          <cell r="J1273" t="str">
            <v>[TIMES] Glass Flat Production Heat Recovery / Improved Burners CCS</v>
          </cell>
          <cell r="K1273"/>
          <cell r="L1273"/>
        </row>
        <row r="1274">
          <cell r="A1274" t="str">
            <v>[TIMES] Glass Flat Production Heat Recovery / Improved Burners CCS</v>
          </cell>
          <cell r="B1274" t="str">
            <v>natural gas</v>
          </cell>
          <cell r="C1274" t="str">
            <v>from technosphere (energy_carrier)</v>
          </cell>
          <cell r="D1274"/>
          <cell r="E1274" t="str">
            <v>Energy</v>
          </cell>
          <cell r="F1274">
            <v>0.55000000000000004</v>
          </cell>
          <cell r="G1274" t="str">
            <v>GJ</v>
          </cell>
          <cell r="H1274"/>
          <cell r="I1274"/>
          <cell r="J1274" t="str">
            <v>[TIMES] Glass Flat Production Heat Recovery / Improved Burners CCS</v>
          </cell>
          <cell r="K1274"/>
          <cell r="L1274"/>
        </row>
        <row r="1275">
          <cell r="A1275" t="str">
            <v/>
          </cell>
          <cell r="B1275"/>
          <cell r="C1275"/>
          <cell r="D1275"/>
          <cell r="E1275"/>
          <cell r="F1275"/>
          <cell r="G1275"/>
          <cell r="H1275"/>
          <cell r="I1275"/>
          <cell r="J1275" t="str">
            <v/>
          </cell>
          <cell r="K1275"/>
          <cell r="L1275"/>
        </row>
        <row r="1276">
          <cell r="A1276" t="str">
            <v>[TIMES] Glass Hollow Production</v>
          </cell>
          <cell r="B1276" t="str">
            <v>glass, hollow</v>
          </cell>
          <cell r="C1276" t="str">
            <v>reference_product</v>
          </cell>
          <cell r="D1276"/>
          <cell r="E1276" t="str">
            <v>Mass</v>
          </cell>
          <cell r="F1276">
            <v>1</v>
          </cell>
          <cell r="G1276" t="str">
            <v>t</v>
          </cell>
          <cell r="H1276"/>
          <cell r="I1276"/>
          <cell r="J1276" t="str">
            <v>[TIMES] Glass Hollow Production</v>
          </cell>
          <cell r="K1276"/>
          <cell r="L1276"/>
        </row>
        <row r="1277">
          <cell r="A1277" t="str">
            <v>[TIMES] Glass Hollow Production</v>
          </cell>
          <cell r="B1277" t="str">
            <v>electricity</v>
          </cell>
          <cell r="C1277" t="str">
            <v>from technosphere (energy_carrier)</v>
          </cell>
          <cell r="D1277"/>
          <cell r="E1277" t="str">
            <v>Energy</v>
          </cell>
          <cell r="F1277">
            <v>0.47</v>
          </cell>
          <cell r="G1277" t="str">
            <v>GJ</v>
          </cell>
          <cell r="H1277"/>
          <cell r="I1277"/>
          <cell r="J1277" t="str">
            <v>[TIMES] Glass Hollow Production</v>
          </cell>
          <cell r="K1277"/>
          <cell r="L1277"/>
        </row>
        <row r="1278">
          <cell r="A1278" t="str">
            <v>[TIMES] Glass Hollow Production</v>
          </cell>
          <cell r="B1278" t="str">
            <v>natural gas</v>
          </cell>
          <cell r="C1278" t="str">
            <v>from technosphere (energy_carrier)</v>
          </cell>
          <cell r="D1278"/>
          <cell r="E1278" t="str">
            <v>Energy</v>
          </cell>
          <cell r="F1278">
            <v>4</v>
          </cell>
          <cell r="G1278" t="str">
            <v>GJ</v>
          </cell>
          <cell r="H1278"/>
          <cell r="I1278"/>
          <cell r="J1278" t="str">
            <v>[TIMES] Glass Hollow Production</v>
          </cell>
          <cell r="K1278"/>
          <cell r="L1278"/>
        </row>
        <row r="1279">
          <cell r="A1279" t="str">
            <v>[TIMES] Glass Hollow Production</v>
          </cell>
          <cell r="B1279" t="str">
            <v>Heavy Fuel Oil</v>
          </cell>
          <cell r="C1279" t="str">
            <v>from technosphere (energy_carrier)</v>
          </cell>
          <cell r="D1279"/>
          <cell r="E1279" t="str">
            <v>Energy</v>
          </cell>
          <cell r="F1279">
            <v>1.6</v>
          </cell>
          <cell r="G1279" t="str">
            <v>GJ</v>
          </cell>
          <cell r="H1279"/>
          <cell r="I1279"/>
          <cell r="J1279" t="str">
            <v>[TIMES] Glass Hollow Production</v>
          </cell>
          <cell r="K1279"/>
          <cell r="L1279"/>
        </row>
        <row r="1280">
          <cell r="A1280"/>
          <cell r="B1280"/>
          <cell r="C1280"/>
          <cell r="D1280"/>
          <cell r="E1280"/>
          <cell r="F1280"/>
          <cell r="G1280"/>
          <cell r="H1280"/>
          <cell r="I1280"/>
          <cell r="J1280">
            <v>0</v>
          </cell>
          <cell r="K1280"/>
          <cell r="L1280"/>
        </row>
        <row r="1281">
          <cell r="A1281" t="str">
            <v/>
          </cell>
          <cell r="B1281"/>
          <cell r="C1281"/>
          <cell r="D1281"/>
          <cell r="E1281"/>
          <cell r="F1281"/>
          <cell r="G1281"/>
          <cell r="H1281"/>
          <cell r="I1281"/>
          <cell r="J1281" t="str">
            <v/>
          </cell>
          <cell r="K1281"/>
          <cell r="L1281"/>
        </row>
        <row r="1282">
          <cell r="A1282" t="str">
            <v>[TIMES] Glass Hollow Production Heat Recovery / Improved Burners</v>
          </cell>
          <cell r="B1282" t="str">
            <v>glass, hollow</v>
          </cell>
          <cell r="C1282" t="str">
            <v>reference_product</v>
          </cell>
          <cell r="D1282"/>
          <cell r="E1282" t="str">
            <v>Mass</v>
          </cell>
          <cell r="F1282">
            <v>1</v>
          </cell>
          <cell r="G1282" t="str">
            <v>t</v>
          </cell>
          <cell r="H1282"/>
          <cell r="I1282"/>
          <cell r="J1282" t="str">
            <v>[TIMES] Glass Hollow Production Heat Recovery / Improved Burners</v>
          </cell>
          <cell r="K1282"/>
          <cell r="L1282"/>
        </row>
        <row r="1283">
          <cell r="A1283" t="str">
            <v>[TIMES] Glass Hollow Production Heat Recovery / Improved Burners</v>
          </cell>
          <cell r="B1283" t="str">
            <v>electricity</v>
          </cell>
          <cell r="C1283" t="str">
            <v>from technosphere (energy_carrier)</v>
          </cell>
          <cell r="D1283"/>
          <cell r="E1283" t="str">
            <v>Energy</v>
          </cell>
          <cell r="F1283">
            <v>4.8899999999999997</v>
          </cell>
          <cell r="G1283" t="str">
            <v>GJ</v>
          </cell>
          <cell r="H1283"/>
          <cell r="I1283"/>
          <cell r="J1283" t="str">
            <v>[TIMES] Glass Hollow Production Heat Recovery / Improved Burners</v>
          </cell>
          <cell r="K1283"/>
          <cell r="L1283"/>
        </row>
        <row r="1284">
          <cell r="A1284" t="str">
            <v>[TIMES] Glass Hollow Production Heat Recovery / Improved Burners</v>
          </cell>
          <cell r="B1284" t="str">
            <v>natural gas</v>
          </cell>
          <cell r="C1284" t="str">
            <v>from technosphere (energy_carrier)</v>
          </cell>
          <cell r="D1284"/>
          <cell r="E1284" t="str">
            <v>Energy</v>
          </cell>
          <cell r="F1284">
            <v>3.75</v>
          </cell>
          <cell r="G1284" t="str">
            <v>GJ</v>
          </cell>
          <cell r="H1284"/>
          <cell r="I1284"/>
          <cell r="J1284" t="str">
            <v>[TIMES] Glass Hollow Production Heat Recovery / Improved Burners</v>
          </cell>
          <cell r="K1284"/>
          <cell r="L1284"/>
        </row>
        <row r="1285">
          <cell r="A1285" t="str">
            <v>[TIMES] Glass Hollow Production Heat Recovery / Improved Burners</v>
          </cell>
          <cell r="B1285" t="str">
            <v>Heavy Fuel Oil</v>
          </cell>
          <cell r="C1285" t="str">
            <v>from technosphere (energy_carrier)</v>
          </cell>
          <cell r="D1285"/>
          <cell r="E1285" t="str">
            <v>Energy</v>
          </cell>
          <cell r="F1285">
            <v>0.75</v>
          </cell>
          <cell r="G1285" t="str">
            <v>GJ</v>
          </cell>
          <cell r="H1285"/>
          <cell r="I1285"/>
          <cell r="J1285" t="str">
            <v>[TIMES] Glass Hollow Production Heat Recovery / Improved Burners</v>
          </cell>
          <cell r="K1285"/>
          <cell r="L1285"/>
        </row>
        <row r="1286">
          <cell r="A1286"/>
          <cell r="B1286"/>
          <cell r="C1286"/>
          <cell r="D1286"/>
          <cell r="E1286"/>
          <cell r="F1286"/>
          <cell r="G1286"/>
          <cell r="H1286"/>
          <cell r="I1286"/>
          <cell r="J1286">
            <v>0</v>
          </cell>
          <cell r="K1286"/>
          <cell r="L1286"/>
        </row>
        <row r="1287">
          <cell r="A1287"/>
          <cell r="B1287"/>
          <cell r="C1287"/>
          <cell r="D1287"/>
          <cell r="E1287"/>
          <cell r="F1287"/>
          <cell r="G1287"/>
          <cell r="H1287"/>
          <cell r="I1287"/>
          <cell r="J1287">
            <v>0</v>
          </cell>
          <cell r="K1287"/>
          <cell r="L1287"/>
        </row>
        <row r="1288">
          <cell r="A1288" t="str">
            <v/>
          </cell>
          <cell r="B1288"/>
          <cell r="C1288"/>
          <cell r="D1288"/>
          <cell r="E1288"/>
          <cell r="F1288"/>
          <cell r="G1288"/>
          <cell r="H1288"/>
          <cell r="I1288"/>
          <cell r="J1288" t="str">
            <v/>
          </cell>
          <cell r="K1288"/>
          <cell r="L1288"/>
        </row>
        <row r="1289">
          <cell r="A1289" t="str">
            <v>[TIMES] Glass Hollow Production Heat Recovery / Improved Burners CCS</v>
          </cell>
          <cell r="B1289" t="str">
            <v>glass, hollow</v>
          </cell>
          <cell r="C1289" t="str">
            <v>reference_product</v>
          </cell>
          <cell r="D1289"/>
          <cell r="E1289" t="str">
            <v>Mass</v>
          </cell>
          <cell r="F1289">
            <v>1</v>
          </cell>
          <cell r="G1289" t="str">
            <v>t</v>
          </cell>
          <cell r="H1289"/>
          <cell r="I1289"/>
          <cell r="J1289" t="str">
            <v>[TIMES] Glass Hollow Production Heat Recovery / Improved Burners CCS</v>
          </cell>
          <cell r="K1289"/>
          <cell r="L1289"/>
        </row>
        <row r="1290">
          <cell r="A1290" t="str">
            <v>[TIMES] Glass Hollow Production Heat Recovery / Improved Burners CCS</v>
          </cell>
          <cell r="B1290" t="str">
            <v>electricity</v>
          </cell>
          <cell r="C1290" t="str">
            <v>from technosphere (energy_carrier)</v>
          </cell>
          <cell r="D1290"/>
          <cell r="E1290" t="str">
            <v>Energy</v>
          </cell>
          <cell r="F1290">
            <v>5.367</v>
          </cell>
          <cell r="G1290" t="str">
            <v>GJ</v>
          </cell>
          <cell r="H1290"/>
          <cell r="I1290"/>
          <cell r="J1290" t="str">
            <v>[TIMES] Glass Hollow Production Heat Recovery / Improved Burners CCS</v>
          </cell>
          <cell r="K1290"/>
          <cell r="L1290"/>
        </row>
        <row r="1291">
          <cell r="A1291" t="str">
            <v>[TIMES] Glass Hollow Production Heat Recovery / Improved Burners CCS</v>
          </cell>
          <cell r="B1291" t="str">
            <v>natural gas</v>
          </cell>
          <cell r="C1291" t="str">
            <v>from technosphere (energy_carrier)</v>
          </cell>
          <cell r="D1291"/>
          <cell r="E1291" t="str">
            <v>Energy</v>
          </cell>
          <cell r="F1291">
            <v>3.79</v>
          </cell>
          <cell r="G1291" t="str">
            <v>GJ</v>
          </cell>
          <cell r="H1291"/>
          <cell r="I1291"/>
          <cell r="J1291" t="str">
            <v>[TIMES] Glass Hollow Production Heat Recovery / Improved Burners CCS</v>
          </cell>
          <cell r="K1291"/>
          <cell r="L1291"/>
        </row>
        <row r="1292">
          <cell r="A1292" t="str">
            <v>[TIMES] Glass Hollow Production Heat Recovery / Improved Burners CCS</v>
          </cell>
          <cell r="B1292" t="str">
            <v>Heavy Fuel Oil</v>
          </cell>
          <cell r="C1292" t="str">
            <v>from technosphere (energy_carrier)</v>
          </cell>
          <cell r="D1292"/>
          <cell r="E1292" t="str">
            <v>Energy</v>
          </cell>
          <cell r="F1292">
            <v>0.75</v>
          </cell>
          <cell r="G1292" t="str">
            <v>GJ</v>
          </cell>
          <cell r="H1292"/>
          <cell r="I1292"/>
          <cell r="J1292" t="str">
            <v>[TIMES] Glass Hollow Production Heat Recovery / Improved Burners CCS</v>
          </cell>
          <cell r="K1292"/>
          <cell r="L1292"/>
        </row>
        <row r="1293">
          <cell r="A1293"/>
          <cell r="B1293"/>
          <cell r="C1293"/>
          <cell r="D1293"/>
          <cell r="E1293"/>
          <cell r="F1293"/>
          <cell r="G1293"/>
          <cell r="H1293"/>
          <cell r="I1293"/>
          <cell r="J1293">
            <v>0</v>
          </cell>
          <cell r="K1293"/>
          <cell r="L1293"/>
        </row>
        <row r="1294">
          <cell r="A1294"/>
          <cell r="B1294"/>
          <cell r="C1294"/>
          <cell r="D1294"/>
          <cell r="E1294"/>
          <cell r="F1294"/>
          <cell r="G1294"/>
          <cell r="H1294"/>
          <cell r="I1294"/>
          <cell r="J1294">
            <v>0</v>
          </cell>
          <cell r="K1294"/>
          <cell r="L1294"/>
        </row>
        <row r="1295">
          <cell r="A1295" t="str">
            <v/>
          </cell>
          <cell r="B1295"/>
          <cell r="C1295"/>
          <cell r="D1295"/>
          <cell r="E1295"/>
          <cell r="F1295"/>
          <cell r="G1295"/>
          <cell r="H1295"/>
          <cell r="I1295"/>
          <cell r="J1295" t="str">
            <v/>
          </cell>
          <cell r="K1295"/>
          <cell r="L1295"/>
        </row>
        <row r="1296">
          <cell r="A1296" t="str">
            <v>[TIMES] Glass Hollow Recycling</v>
          </cell>
          <cell r="B1296" t="str">
            <v>glass, hollow</v>
          </cell>
          <cell r="C1296" t="str">
            <v>reference_product</v>
          </cell>
          <cell r="D1296"/>
          <cell r="E1296" t="str">
            <v>Mass</v>
          </cell>
          <cell r="F1296">
            <v>1</v>
          </cell>
          <cell r="G1296" t="str">
            <v>t</v>
          </cell>
          <cell r="H1296"/>
          <cell r="I1296"/>
          <cell r="J1296" t="str">
            <v>[TIMES] Glass Hollow Recycling</v>
          </cell>
          <cell r="K1296"/>
          <cell r="L1296"/>
        </row>
        <row r="1297">
          <cell r="A1297" t="str">
            <v>[TIMES] Glass Hollow Recycling</v>
          </cell>
          <cell r="B1297" t="str">
            <v>electricity</v>
          </cell>
          <cell r="C1297" t="str">
            <v>from technosphere (energy_carrier)</v>
          </cell>
          <cell r="D1297"/>
          <cell r="E1297" t="str">
            <v>Energy</v>
          </cell>
          <cell r="F1297">
            <v>0.52</v>
          </cell>
          <cell r="G1297" t="str">
            <v>GJ</v>
          </cell>
          <cell r="H1297"/>
          <cell r="I1297"/>
          <cell r="J1297" t="str">
            <v>[TIMES] Glass Hollow Recycling</v>
          </cell>
          <cell r="K1297"/>
          <cell r="L1297"/>
        </row>
        <row r="1298">
          <cell r="A1298" t="str">
            <v>[TIMES] Glass Hollow Recycling</v>
          </cell>
          <cell r="B1298" t="str">
            <v>natural gas</v>
          </cell>
          <cell r="C1298" t="str">
            <v>from technosphere (energy_carrier)</v>
          </cell>
          <cell r="D1298"/>
          <cell r="E1298" t="str">
            <v>Energy</v>
          </cell>
          <cell r="F1298">
            <v>3.9</v>
          </cell>
          <cell r="G1298" t="str">
            <v>GJ</v>
          </cell>
          <cell r="H1298"/>
          <cell r="I1298"/>
          <cell r="J1298" t="str">
            <v>[TIMES] Glass Hollow Recycling</v>
          </cell>
          <cell r="K1298"/>
          <cell r="L1298"/>
        </row>
        <row r="1299">
          <cell r="A1299" t="str">
            <v>[TIMES] Glass Hollow Recycling</v>
          </cell>
          <cell r="B1299" t="str">
            <v>Heavy Fuel Oil</v>
          </cell>
          <cell r="C1299" t="str">
            <v>from technosphere (energy_carrier)</v>
          </cell>
          <cell r="D1299"/>
          <cell r="E1299" t="str">
            <v>Energy</v>
          </cell>
          <cell r="F1299">
            <v>1.5</v>
          </cell>
          <cell r="G1299" t="str">
            <v>GJ</v>
          </cell>
          <cell r="H1299"/>
          <cell r="I1299"/>
          <cell r="J1299" t="str">
            <v>[TIMES] Glass Hollow Recycling</v>
          </cell>
          <cell r="K1299"/>
          <cell r="L1299"/>
        </row>
        <row r="1300">
          <cell r="A1300" t="str">
            <v>[TIMES] Glass Hollow Recycling</v>
          </cell>
          <cell r="B1300" t="str">
            <v>limestone</v>
          </cell>
          <cell r="C1300" t="str">
            <v>from environment (natural resource)</v>
          </cell>
          <cell r="D1300"/>
          <cell r="E1300" t="str">
            <v>Mass</v>
          </cell>
          <cell r="F1300">
            <v>1.79</v>
          </cell>
          <cell r="G1300" t="str">
            <v>t</v>
          </cell>
          <cell r="H1300"/>
          <cell r="I1300"/>
          <cell r="J1300" t="str">
            <v>[TIMES] Glass Hollow Recycling</v>
          </cell>
          <cell r="K1300"/>
          <cell r="L1300"/>
        </row>
        <row r="1301">
          <cell r="A1301" t="str">
            <v>[TIMES] Glass Hollow Recycling</v>
          </cell>
          <cell r="B1301" t="str">
            <v>glass, recycled</v>
          </cell>
          <cell r="C1301" t="str">
            <v>from technosphere (material)</v>
          </cell>
          <cell r="D1301"/>
          <cell r="E1301" t="str">
            <v>Mass</v>
          </cell>
          <cell r="F1301">
            <v>1.05</v>
          </cell>
          <cell r="G1301" t="str">
            <v>t</v>
          </cell>
          <cell r="H1301"/>
          <cell r="I1301"/>
          <cell r="J1301" t="str">
            <v>[TIMES] Glass Hollow Recycling</v>
          </cell>
          <cell r="K1301"/>
          <cell r="L1301"/>
        </row>
        <row r="1302">
          <cell r="A1302" t="str">
            <v/>
          </cell>
          <cell r="B1302"/>
          <cell r="C1302"/>
          <cell r="D1302"/>
          <cell r="E1302"/>
          <cell r="F1302"/>
          <cell r="G1302"/>
          <cell r="H1302"/>
          <cell r="I1302"/>
          <cell r="J1302" t="str">
            <v/>
          </cell>
          <cell r="K1302"/>
          <cell r="L1302"/>
        </row>
        <row r="1303">
          <cell r="A1303" t="str">
            <v>[TIMES] Glass Hollow Recycling Improved Melting</v>
          </cell>
          <cell r="B1303" t="str">
            <v>glass, hollow</v>
          </cell>
          <cell r="C1303" t="str">
            <v>reference_product</v>
          </cell>
          <cell r="D1303"/>
          <cell r="E1303" t="str">
            <v>Mass</v>
          </cell>
          <cell r="F1303">
            <v>1</v>
          </cell>
          <cell r="G1303" t="str">
            <v>t</v>
          </cell>
          <cell r="H1303"/>
          <cell r="I1303"/>
          <cell r="J1303" t="str">
            <v>[TIMES] Glass Hollow Recycling Improved Melting</v>
          </cell>
          <cell r="K1303"/>
          <cell r="L1303"/>
        </row>
        <row r="1304">
          <cell r="A1304" t="str">
            <v>[TIMES] Glass Hollow Recycling Improved Melting</v>
          </cell>
          <cell r="B1304" t="str">
            <v>electricity</v>
          </cell>
          <cell r="C1304" t="str">
            <v>from technosphere (energy_carrier)</v>
          </cell>
          <cell r="D1304"/>
          <cell r="E1304" t="str">
            <v>Energy</v>
          </cell>
          <cell r="F1304">
            <v>6.5</v>
          </cell>
          <cell r="G1304" t="str">
            <v>GJ</v>
          </cell>
          <cell r="H1304"/>
          <cell r="I1304"/>
          <cell r="J1304" t="str">
            <v>[TIMES] Glass Hollow Recycling Improved Melting</v>
          </cell>
          <cell r="K1304"/>
          <cell r="L1304"/>
        </row>
        <row r="1305">
          <cell r="A1305" t="str">
            <v>[TIMES] Glass Hollow Recycling Improved Melting</v>
          </cell>
          <cell r="B1305" t="str">
            <v>natural gas</v>
          </cell>
          <cell r="C1305" t="str">
            <v>from technosphere (energy_carrier)</v>
          </cell>
          <cell r="D1305"/>
          <cell r="E1305" t="str">
            <v>Energy</v>
          </cell>
          <cell r="F1305"/>
          <cell r="G1305" t="str">
            <v>GJ</v>
          </cell>
          <cell r="H1305"/>
          <cell r="I1305"/>
          <cell r="J1305" t="str">
            <v>[TIMES] Glass Hollow Recycling Improved Melting</v>
          </cell>
          <cell r="K1305"/>
          <cell r="L1305"/>
        </row>
        <row r="1306">
          <cell r="A1306" t="str">
            <v>[TIMES] Glass Hollow Recycling Improved Melting</v>
          </cell>
          <cell r="B1306" t="str">
            <v>heavy fuel oil</v>
          </cell>
          <cell r="C1306" t="str">
            <v>from technosphere (energy_carrier)</v>
          </cell>
          <cell r="D1306"/>
          <cell r="E1306" t="str">
            <v>Energy</v>
          </cell>
          <cell r="F1306"/>
          <cell r="G1306" t="str">
            <v>GJ</v>
          </cell>
          <cell r="H1306"/>
          <cell r="I1306"/>
          <cell r="J1306" t="str">
            <v>[TIMES] Glass Hollow Recycling Improved Melting</v>
          </cell>
          <cell r="K1306"/>
          <cell r="L1306"/>
        </row>
        <row r="1307">
          <cell r="A1307" t="str">
            <v>[TIMES] Glass Hollow Recycling Improved Melting</v>
          </cell>
          <cell r="B1307" t="str">
            <v>limestone</v>
          </cell>
          <cell r="C1307" t="str">
            <v>from environment (natural resource)</v>
          </cell>
          <cell r="D1307"/>
          <cell r="E1307" t="str">
            <v>Mass</v>
          </cell>
          <cell r="F1307">
            <v>1.786</v>
          </cell>
          <cell r="G1307" t="str">
            <v>t</v>
          </cell>
          <cell r="H1307"/>
          <cell r="I1307"/>
          <cell r="J1307" t="str">
            <v>[TIMES] Glass Hollow Recycling Improved Melting</v>
          </cell>
          <cell r="K1307"/>
          <cell r="L1307"/>
        </row>
        <row r="1308">
          <cell r="A1308" t="str">
            <v>[TIMES] Glass Hollow Recycling Improved Melting</v>
          </cell>
          <cell r="B1308" t="str">
            <v>glass, recycled</v>
          </cell>
          <cell r="C1308" t="str">
            <v>from technosphere (material)</v>
          </cell>
          <cell r="D1308"/>
          <cell r="E1308" t="str">
            <v>Mass</v>
          </cell>
          <cell r="F1308">
            <v>1.2</v>
          </cell>
          <cell r="G1308" t="str">
            <v>t</v>
          </cell>
          <cell r="H1308"/>
          <cell r="I1308"/>
          <cell r="J1308" t="str">
            <v>[TIMES] Glass Hollow Recycling Improved Melting</v>
          </cell>
          <cell r="K1308"/>
          <cell r="L1308"/>
        </row>
        <row r="1309">
          <cell r="A1309" t="str">
            <v/>
          </cell>
          <cell r="B1309"/>
          <cell r="C1309"/>
          <cell r="D1309"/>
          <cell r="E1309"/>
          <cell r="F1309"/>
          <cell r="G1309"/>
          <cell r="H1309"/>
          <cell r="I1309"/>
          <cell r="J1309" t="str">
            <v/>
          </cell>
          <cell r="K1309"/>
          <cell r="L1309"/>
        </row>
        <row r="1310">
          <cell r="A1310" t="str">
            <v>[TIMES] Glass Hollow Recycling Improved Melting CCS</v>
          </cell>
          <cell r="B1310" t="str">
            <v>glass, hollow</v>
          </cell>
          <cell r="C1310" t="str">
            <v>reference_product</v>
          </cell>
          <cell r="D1310"/>
          <cell r="E1310" t="str">
            <v>Mass</v>
          </cell>
          <cell r="F1310">
            <v>1</v>
          </cell>
          <cell r="G1310" t="str">
            <v>t</v>
          </cell>
          <cell r="H1310"/>
          <cell r="I1310"/>
          <cell r="J1310" t="str">
            <v>[TIMES] Glass Hollow Recycling Improved Melting CCS</v>
          </cell>
          <cell r="K1310"/>
          <cell r="L1310"/>
        </row>
        <row r="1311">
          <cell r="A1311" t="str">
            <v>[TIMES] Glass Hollow Recycling Improved Melting CCS</v>
          </cell>
          <cell r="B1311" t="str">
            <v>electricity</v>
          </cell>
          <cell r="C1311" t="str">
            <v>from technosphere (energy_carrier)</v>
          </cell>
          <cell r="D1311"/>
          <cell r="E1311" t="str">
            <v>Energy</v>
          </cell>
          <cell r="F1311">
            <v>6.9</v>
          </cell>
          <cell r="G1311" t="str">
            <v>GJ</v>
          </cell>
          <cell r="H1311"/>
          <cell r="I1311"/>
          <cell r="J1311" t="str">
            <v>[TIMES] Glass Hollow Recycling Improved Melting CCS</v>
          </cell>
          <cell r="K1311"/>
          <cell r="L1311"/>
        </row>
        <row r="1312">
          <cell r="A1312" t="str">
            <v>[TIMES] Glass Hollow Recycling Improved Melting CCS</v>
          </cell>
          <cell r="B1312" t="str">
            <v>natural gas</v>
          </cell>
          <cell r="C1312" t="str">
            <v>from technosphere (energy_carrier)</v>
          </cell>
          <cell r="D1312"/>
          <cell r="E1312" t="str">
            <v>Energy</v>
          </cell>
          <cell r="F1312"/>
          <cell r="G1312" t="str">
            <v>GJ</v>
          </cell>
          <cell r="H1312"/>
          <cell r="I1312"/>
          <cell r="J1312" t="str">
            <v>[TIMES] Glass Hollow Recycling Improved Melting CCS</v>
          </cell>
          <cell r="K1312"/>
          <cell r="L1312"/>
        </row>
        <row r="1313">
          <cell r="A1313" t="str">
            <v>[TIMES] Glass Hollow Recycling Improved Melting CCS</v>
          </cell>
          <cell r="B1313" t="str">
            <v>heavy fuel oil</v>
          </cell>
          <cell r="C1313" t="str">
            <v>from technosphere (energy_carrier)</v>
          </cell>
          <cell r="D1313"/>
          <cell r="E1313" t="str">
            <v>Energy</v>
          </cell>
          <cell r="F1313"/>
          <cell r="G1313" t="str">
            <v>GJ</v>
          </cell>
          <cell r="H1313"/>
          <cell r="I1313"/>
          <cell r="J1313" t="str">
            <v>[TIMES] Glass Hollow Recycling Improved Melting CCS</v>
          </cell>
          <cell r="K1313"/>
          <cell r="L1313"/>
        </row>
        <row r="1314">
          <cell r="A1314" t="str">
            <v>[TIMES] Glass Hollow Recycling Improved Melting CCS</v>
          </cell>
          <cell r="B1314" t="str">
            <v>limestone</v>
          </cell>
          <cell r="C1314" t="str">
            <v>from environment (natural resource)</v>
          </cell>
          <cell r="D1314"/>
          <cell r="E1314" t="str">
            <v>Mass</v>
          </cell>
          <cell r="F1314">
            <v>1.786</v>
          </cell>
          <cell r="G1314" t="str">
            <v>t</v>
          </cell>
          <cell r="H1314"/>
          <cell r="I1314"/>
          <cell r="J1314" t="str">
            <v>[TIMES] Glass Hollow Recycling Improved Melting CCS</v>
          </cell>
          <cell r="K1314"/>
          <cell r="L1314"/>
        </row>
        <row r="1315">
          <cell r="A1315" t="str">
            <v>[TIMES] Glass Hollow Recycling Improved Melting CCS</v>
          </cell>
          <cell r="B1315" t="str">
            <v>glass, recycled</v>
          </cell>
          <cell r="C1315" t="str">
            <v>from technosphere (material)</v>
          </cell>
          <cell r="D1315"/>
          <cell r="E1315" t="str">
            <v>Mass</v>
          </cell>
          <cell r="F1315">
            <v>1.2</v>
          </cell>
          <cell r="G1315" t="str">
            <v>t</v>
          </cell>
          <cell r="H1315"/>
          <cell r="I1315"/>
          <cell r="J1315" t="str">
            <v>[TIMES] Glass Hollow Recycling Improved Melting CCS</v>
          </cell>
          <cell r="K1315"/>
          <cell r="L1315"/>
        </row>
        <row r="1316">
          <cell r="A1316" t="str">
            <v/>
          </cell>
          <cell r="B1316"/>
          <cell r="C1316"/>
          <cell r="D1316"/>
          <cell r="E1316"/>
          <cell r="F1316"/>
          <cell r="G1316"/>
          <cell r="H1316"/>
          <cell r="I1316"/>
          <cell r="J1316" t="str">
            <v/>
          </cell>
          <cell r="K1316"/>
          <cell r="L1316"/>
        </row>
        <row r="1317">
          <cell r="A1317" t="str">
            <v>[TIMES] Quick Lime Production</v>
          </cell>
          <cell r="B1317" t="str">
            <v>quicklime</v>
          </cell>
          <cell r="C1317" t="str">
            <v>reference_product</v>
          </cell>
          <cell r="D1317"/>
          <cell r="E1317" t="str">
            <v>Mass</v>
          </cell>
          <cell r="F1317">
            <v>1</v>
          </cell>
          <cell r="G1317" t="str">
            <v>t</v>
          </cell>
          <cell r="H1317"/>
          <cell r="I1317"/>
          <cell r="J1317" t="str">
            <v>[TIMES] Quick Lime Production</v>
          </cell>
          <cell r="K1317"/>
          <cell r="L1317"/>
        </row>
        <row r="1318">
          <cell r="A1318" t="str">
            <v>[TIMES] Quick Lime Production</v>
          </cell>
          <cell r="B1318" t="str">
            <v>limestone</v>
          </cell>
          <cell r="C1318" t="str">
            <v>from environment (natural resource)</v>
          </cell>
          <cell r="D1318"/>
          <cell r="E1318" t="str">
            <v>Mass</v>
          </cell>
          <cell r="F1318">
            <v>1.786</v>
          </cell>
          <cell r="G1318" t="str">
            <v>t</v>
          </cell>
          <cell r="H1318"/>
          <cell r="I1318"/>
          <cell r="J1318" t="str">
            <v>[TIMES] Quick Lime Production</v>
          </cell>
          <cell r="K1318"/>
          <cell r="L1318"/>
        </row>
        <row r="1319">
          <cell r="A1319" t="str">
            <v>[TIMES] Quick Lime Production</v>
          </cell>
          <cell r="B1319" t="str">
            <v>electricity</v>
          </cell>
          <cell r="C1319" t="str">
            <v>from technosphere (energy_carrier)</v>
          </cell>
          <cell r="D1319"/>
          <cell r="E1319" t="str">
            <v>Energy</v>
          </cell>
          <cell r="F1319">
            <v>0.216</v>
          </cell>
          <cell r="G1319" t="str">
            <v>GJ</v>
          </cell>
          <cell r="H1319"/>
          <cell r="I1319"/>
          <cell r="J1319" t="str">
            <v>[TIMES] Quick Lime Production</v>
          </cell>
          <cell r="K1319"/>
          <cell r="L1319"/>
        </row>
        <row r="1320">
          <cell r="A1320" t="str">
            <v>[TIMES] Quick Lime Production</v>
          </cell>
          <cell r="B1320" t="str">
            <v>process heat</v>
          </cell>
          <cell r="C1320" t="str">
            <v>from technosphere (energy_carrier)</v>
          </cell>
          <cell r="D1320"/>
          <cell r="E1320" t="str">
            <v>Energy</v>
          </cell>
          <cell r="F1320">
            <v>3.03</v>
          </cell>
          <cell r="G1320" t="str">
            <v>GJ</v>
          </cell>
          <cell r="H1320"/>
          <cell r="I1320"/>
          <cell r="J1320" t="str">
            <v>[TIMES] Quick Lime Production</v>
          </cell>
          <cell r="K1320"/>
          <cell r="L1320"/>
        </row>
        <row r="1321">
          <cell r="A1321" t="str">
            <v/>
          </cell>
        </row>
        <row r="1322">
          <cell r="A1322" t="str">
            <v>[MPP] Hall-Heroult process</v>
          </cell>
          <cell r="B1322" t="str">
            <v>aluminium, primary</v>
          </cell>
          <cell r="C1322" t="str">
            <v>reference_product</v>
          </cell>
          <cell r="D1322">
            <v>7601</v>
          </cell>
          <cell r="E1322" t="str">
            <v>Mass</v>
          </cell>
          <cell r="F1322">
            <v>1</v>
          </cell>
          <cell r="G1322" t="str">
            <v>tonne</v>
          </cell>
          <cell r="H1322">
            <v>1</v>
          </cell>
          <cell r="I1322" t="str">
            <v>none</v>
          </cell>
          <cell r="J1322" t="str">
            <v>[MPP] Hall-Heroult</v>
          </cell>
        </row>
        <row r="1323">
          <cell r="A1323" t="str">
            <v>[MPP] Hall-Heroult process</v>
          </cell>
          <cell r="B1323" t="str">
            <v>alumina</v>
          </cell>
          <cell r="C1323" t="str">
            <v>from technosphere (material)</v>
          </cell>
          <cell r="E1323" t="str">
            <v>Mass</v>
          </cell>
          <cell r="F1323">
            <v>1.9350000000000001</v>
          </cell>
          <cell r="G1323" t="str">
            <v>kg</v>
          </cell>
          <cell r="H1323" t="str">
            <v>tonne</v>
          </cell>
          <cell r="I1323" t="str">
            <v>none</v>
          </cell>
          <cell r="J1323" t="str">
            <v>[MPP] Hall-Heroult</v>
          </cell>
          <cell r="L1323">
            <v>25</v>
          </cell>
        </row>
        <row r="1324">
          <cell r="A1324" t="str">
            <v>[MPP] Hall-Heroult process</v>
          </cell>
          <cell r="B1324" t="str">
            <v>electricity</v>
          </cell>
          <cell r="C1324" t="str">
            <v>from technosphere (energy_carrier)</v>
          </cell>
          <cell r="E1324" t="str">
            <v>Energy</v>
          </cell>
          <cell r="F1324">
            <v>55.26</v>
          </cell>
          <cell r="G1324" t="str">
            <v>GJ</v>
          </cell>
          <cell r="H1324" t="str">
            <v>tonne</v>
          </cell>
          <cell r="I1324" t="str">
            <v>13;0.88*value;1.12*value;none;none;none</v>
          </cell>
          <cell r="J1324" t="str">
            <v>[MPP] Hall-Heroult</v>
          </cell>
        </row>
        <row r="1325">
          <cell r="A1325" t="str">
            <v>[MPP] Hall-Heroult process</v>
          </cell>
          <cell r="B1325" t="str">
            <v>PFC</v>
          </cell>
          <cell r="C1325" t="str">
            <v>to environment (emission)</v>
          </cell>
          <cell r="E1325" t="str">
            <v>Mass</v>
          </cell>
          <cell r="F1325">
            <v>0.38</v>
          </cell>
          <cell r="G1325" t="str">
            <v>tCO2e</v>
          </cell>
          <cell r="H1325" t="str">
            <v>tonne</v>
          </cell>
          <cell r="I1325" t="str">
            <v>none</v>
          </cell>
          <cell r="J1325" t="str">
            <v>[MPP] Hall-Heroult</v>
          </cell>
        </row>
        <row r="1326">
          <cell r="A1326" t="str">
            <v>[MPP] Hall-Heroult process</v>
          </cell>
          <cell r="B1326" t="str">
            <v>carbon dioxide</v>
          </cell>
          <cell r="C1326" t="str">
            <v>to environment (emission, process)</v>
          </cell>
          <cell r="E1326" t="str">
            <v>Mass</v>
          </cell>
          <cell r="F1326">
            <v>1.55</v>
          </cell>
          <cell r="G1326" t="str">
            <v>tonne</v>
          </cell>
          <cell r="H1326" t="str">
            <v>tonne</v>
          </cell>
          <cell r="I1326" t="str">
            <v>none</v>
          </cell>
          <cell r="J1326" t="str">
            <v>[MPP] Hall-Heroult</v>
          </cell>
        </row>
        <row r="1327">
          <cell r="A1327" t="str">
            <v>[MPP] Hall-Heroult process</v>
          </cell>
          <cell r="B1327" t="str">
            <v>carbon dioxide</v>
          </cell>
          <cell r="C1327" t="str">
            <v>to environment (emission, process and energy from anode production)</v>
          </cell>
          <cell r="E1327" t="str">
            <v>Mass</v>
          </cell>
          <cell r="F1327">
            <v>0.2</v>
          </cell>
          <cell r="G1327" t="str">
            <v>tonne</v>
          </cell>
          <cell r="H1327" t="str">
            <v>tonne</v>
          </cell>
          <cell r="I1327" t="str">
            <v>none</v>
          </cell>
          <cell r="J1327" t="str">
            <v>[MPP] Hall-Heroult</v>
          </cell>
        </row>
        <row r="1328">
          <cell r="A1328" t="str">
            <v/>
          </cell>
        </row>
        <row r="1329">
          <cell r="A1329" t="str">
            <v>[MPP] Hall-Heroult + CCS</v>
          </cell>
          <cell r="B1329" t="str">
            <v>aluminium, primary</v>
          </cell>
          <cell r="C1329" t="str">
            <v>reference_product</v>
          </cell>
          <cell r="D1329">
            <v>7601</v>
          </cell>
          <cell r="E1329" t="str">
            <v>Mass</v>
          </cell>
          <cell r="F1329">
            <v>1</v>
          </cell>
          <cell r="G1329" t="str">
            <v>tonne</v>
          </cell>
          <cell r="H1329">
            <v>1</v>
          </cell>
          <cell r="I1329" t="str">
            <v>none</v>
          </cell>
          <cell r="J1329" t="str">
            <v>[MPP] Hall-Heroult + CCS</v>
          </cell>
        </row>
        <row r="1330">
          <cell r="A1330" t="str">
            <v>[MPP] Hall-Heroult + CCS</v>
          </cell>
          <cell r="B1330" t="str">
            <v>alumina</v>
          </cell>
          <cell r="C1330" t="str">
            <v>from technosphere (material)</v>
          </cell>
          <cell r="E1330" t="str">
            <v>Mass</v>
          </cell>
          <cell r="F1330">
            <v>1.9350000000000001</v>
          </cell>
          <cell r="G1330" t="str">
            <v>kg</v>
          </cell>
          <cell r="H1330" t="str">
            <v>tonne</v>
          </cell>
          <cell r="I1330" t="str">
            <v>none</v>
          </cell>
          <cell r="J1330" t="str">
            <v>[MPP] Hall-Heroult + CCS</v>
          </cell>
          <cell r="L1330">
            <v>25</v>
          </cell>
        </row>
        <row r="1331">
          <cell r="A1331" t="str">
            <v>[MPP] Hall-Heroult + CCS</v>
          </cell>
          <cell r="B1331" t="str">
            <v>electricity</v>
          </cell>
          <cell r="C1331" t="str">
            <v>from technosphere (energy_carrier)</v>
          </cell>
          <cell r="E1331" t="str">
            <v>Energy</v>
          </cell>
          <cell r="F1331">
            <v>55.98</v>
          </cell>
          <cell r="G1331" t="str">
            <v>GJ</v>
          </cell>
          <cell r="H1331" t="str">
            <v>tonne</v>
          </cell>
          <cell r="I1331" t="str">
            <v>13;0.88*value;1.12*value;none;none;none</v>
          </cell>
          <cell r="J1331" t="str">
            <v>[MPP] Hall-Heroult + CCS</v>
          </cell>
        </row>
        <row r="1332">
          <cell r="A1332" t="str">
            <v>[MPP] Hall-Heroult + CCS</v>
          </cell>
          <cell r="B1332" t="str">
            <v>PFC</v>
          </cell>
          <cell r="C1332" t="str">
            <v>to environment (emission)</v>
          </cell>
          <cell r="E1332" t="str">
            <v>Mass</v>
          </cell>
          <cell r="F1332">
            <v>0.38</v>
          </cell>
          <cell r="G1332" t="str">
            <v>tCO2e</v>
          </cell>
          <cell r="H1332" t="str">
            <v>tonne</v>
          </cell>
          <cell r="I1332" t="str">
            <v>none</v>
          </cell>
          <cell r="J1332" t="str">
            <v>[MPP] Hall-Heroult + CCS</v>
          </cell>
        </row>
        <row r="1333">
          <cell r="A1333" t="str">
            <v>[MPP] Hall-Heroult + CCS</v>
          </cell>
          <cell r="B1333" t="str">
            <v>carbon dioxide</v>
          </cell>
          <cell r="C1333" t="str">
            <v>to environment (emission, process)</v>
          </cell>
          <cell r="E1333" t="str">
            <v>Mass</v>
          </cell>
          <cell r="F1333">
            <v>0.16</v>
          </cell>
          <cell r="G1333" t="str">
            <v>tonne</v>
          </cell>
          <cell r="H1333" t="str">
            <v>tonne</v>
          </cell>
          <cell r="I1333" t="str">
            <v>none</v>
          </cell>
          <cell r="J1333" t="str">
            <v>[MPP] Hall-Heroult + CCS</v>
          </cell>
        </row>
        <row r="1334">
          <cell r="A1334" t="str">
            <v>[MPP] Hall-Heroult + CCS</v>
          </cell>
          <cell r="B1334" t="str">
            <v>carbon dioxide</v>
          </cell>
          <cell r="C1334" t="str">
            <v>to environment (emission, process and energy from anode production)</v>
          </cell>
          <cell r="E1334" t="str">
            <v>Mass</v>
          </cell>
          <cell r="F1334">
            <v>0.2</v>
          </cell>
          <cell r="G1334" t="str">
            <v>tonne</v>
          </cell>
          <cell r="H1334" t="str">
            <v>tonne</v>
          </cell>
          <cell r="I1334" t="str">
            <v>none</v>
          </cell>
          <cell r="J1334" t="str">
            <v>[MPP] Hall-Heroult + CCS</v>
          </cell>
        </row>
        <row r="1335">
          <cell r="A1335" t="str">
            <v>[MPP] Hall-Heroult + CCS</v>
          </cell>
          <cell r="B1335" t="str">
            <v>carbon dioxide</v>
          </cell>
          <cell r="C1335" t="str">
            <v>to environment (emission, CCS thermal energy)</v>
          </cell>
          <cell r="E1335" t="str">
            <v>Mass</v>
          </cell>
          <cell r="F1335">
            <v>0.43</v>
          </cell>
          <cell r="G1335" t="str">
            <v>tonne</v>
          </cell>
          <cell r="H1335" t="str">
            <v>tonne</v>
          </cell>
          <cell r="I1335" t="str">
            <v>none</v>
          </cell>
          <cell r="J1335" t="str">
            <v>[MPP] Hall-Heroult + CCS</v>
          </cell>
        </row>
        <row r="1337">
          <cell r="A1337" t="str">
            <v>[MPP] Inert anodes</v>
          </cell>
          <cell r="B1337" t="str">
            <v>aluminium, primary</v>
          </cell>
          <cell r="C1337" t="str">
            <v>reference_product</v>
          </cell>
          <cell r="D1337">
            <v>7601</v>
          </cell>
          <cell r="E1337" t="str">
            <v>Mass</v>
          </cell>
          <cell r="F1337">
            <v>1</v>
          </cell>
          <cell r="G1337" t="str">
            <v>tonne</v>
          </cell>
          <cell r="H1337">
            <v>1</v>
          </cell>
          <cell r="I1337" t="str">
            <v>none</v>
          </cell>
          <cell r="J1337" t="str">
            <v>[MPP] Inert anodes</v>
          </cell>
        </row>
        <row r="1338">
          <cell r="A1338" t="str">
            <v>[MPP] Inert anodes</v>
          </cell>
          <cell r="B1338" t="str">
            <v>alumina</v>
          </cell>
          <cell r="C1338" t="str">
            <v>from technosphere (material)</v>
          </cell>
          <cell r="E1338" t="str">
            <v>Mass</v>
          </cell>
          <cell r="F1338">
            <v>1.9350000000000001</v>
          </cell>
          <cell r="G1338" t="str">
            <v>kg</v>
          </cell>
          <cell r="H1338" t="str">
            <v>tonne</v>
          </cell>
          <cell r="I1338" t="str">
            <v>none</v>
          </cell>
          <cell r="J1338" t="str">
            <v>[MPP] Inert anodes</v>
          </cell>
          <cell r="L1338">
            <v>25</v>
          </cell>
        </row>
        <row r="1339">
          <cell r="A1339" t="str">
            <v>[MPP] Inert anodes</v>
          </cell>
          <cell r="B1339" t="str">
            <v>electricity</v>
          </cell>
          <cell r="C1339" t="str">
            <v>from technosphere (energy_carrier)</v>
          </cell>
          <cell r="E1339" t="str">
            <v>Energy</v>
          </cell>
          <cell r="F1339">
            <v>55.26</v>
          </cell>
          <cell r="G1339" t="str">
            <v>GJ</v>
          </cell>
          <cell r="H1339" t="str">
            <v>tonne</v>
          </cell>
          <cell r="I1339" t="str">
            <v>13;0.88*value;1.12*value;none;none;none</v>
          </cell>
          <cell r="J1339" t="str">
            <v>[MPP] Inert anodes</v>
          </cell>
          <cell r="K1339" t="str">
            <v>Inert anodes assumed to require the same amount of electricity consumption as carbon anodes; assumption developed and validated during stakeholder engagement.</v>
          </cell>
        </row>
        <row r="1340">
          <cell r="A1340" t="str">
            <v>[MPP] Inert anodes</v>
          </cell>
          <cell r="B1340" t="str">
            <v>carbon dioxide</v>
          </cell>
          <cell r="C1340" t="str">
            <v>to environment (emission, energy from anode production)</v>
          </cell>
          <cell r="E1340" t="str">
            <v>Mass</v>
          </cell>
          <cell r="F1340">
            <v>0.1</v>
          </cell>
          <cell r="G1340" t="str">
            <v>tCO2e</v>
          </cell>
          <cell r="H1340" t="str">
            <v>tonne</v>
          </cell>
          <cell r="I1340" t="str">
            <v>none</v>
          </cell>
          <cell r="J1340" t="str">
            <v>[MPP] Inert anodes</v>
          </cell>
        </row>
        <row r="1341">
          <cell r="A1341" t="str">
            <v/>
          </cell>
        </row>
        <row r="1342">
          <cell r="A1342" t="str">
            <v>[a] Copper cathode production, Hydrometallurgy (leaching, SX, EW)</v>
          </cell>
          <cell r="B1342" t="str">
            <v>copper, cathode</v>
          </cell>
          <cell r="C1342" t="str">
            <v>reference_product</v>
          </cell>
          <cell r="D1342">
            <v>7403</v>
          </cell>
          <cell r="E1342" t="str">
            <v>Mass</v>
          </cell>
          <cell r="F1342">
            <v>1</v>
          </cell>
          <cell r="G1342" t="str">
            <v>kg</v>
          </cell>
          <cell r="H1342">
            <v>1</v>
          </cell>
          <cell r="I1342" t="str">
            <v>none</v>
          </cell>
          <cell r="J1342" t="str">
            <v>[PU] Hydro_Copper</v>
          </cell>
          <cell r="K1342"/>
          <cell r="L1342" t="str">
            <v>see log sheet</v>
          </cell>
        </row>
        <row r="1343">
          <cell r="A1343" t="str">
            <v>[a] Copper cathode production, Hydrometallurgy (leaching, SX, EW)</v>
          </cell>
          <cell r="B1343" t="str">
            <v>electricity, leaching process</v>
          </cell>
          <cell r="C1343" t="str">
            <v>from technosphere (energy_carrier)</v>
          </cell>
          <cell r="D1343"/>
          <cell r="E1343" t="str">
            <v>Energy</v>
          </cell>
          <cell r="F1343">
            <v>5.22</v>
          </cell>
          <cell r="G1343" t="str">
            <v>MJ</v>
          </cell>
          <cell r="H1343" t="str">
            <v>kg</v>
          </cell>
          <cell r="I1343" t="str">
            <v>none</v>
          </cell>
          <cell r="J1343" t="str">
            <v>[PU] Hydro_Copper</v>
          </cell>
          <cell r="K1343"/>
          <cell r="L1343" t="str">
            <v>see log sheet</v>
          </cell>
        </row>
        <row r="1344">
          <cell r="A1344" t="str">
            <v>[a] Copper cathode production, Hydrometallurgy (leaching, SX, EW)</v>
          </cell>
          <cell r="B1344" t="str">
            <v>water</v>
          </cell>
          <cell r="C1344" t="str">
            <v>from environment (natural resource)</v>
          </cell>
          <cell r="D1344"/>
          <cell r="E1344" t="str">
            <v>Volume</v>
          </cell>
          <cell r="F1344">
            <v>2.2700000000000001E-2</v>
          </cell>
          <cell r="G1344" t="str">
            <v>m3</v>
          </cell>
          <cell r="H1344" t="str">
            <v>kg</v>
          </cell>
          <cell r="I1344" t="str">
            <v>none</v>
          </cell>
          <cell r="J1344" t="str">
            <v>[PU] Hydro_Copper</v>
          </cell>
          <cell r="K1344"/>
          <cell r="L1344" t="str">
            <v>see log sheet</v>
          </cell>
        </row>
        <row r="1345">
          <cell r="A1345" t="str">
            <v>[a] Copper cathode production, Hydrometallurgy (leaching, SX, EW)</v>
          </cell>
          <cell r="B1345" t="str">
            <v>sulfuric acid</v>
          </cell>
          <cell r="C1345" t="str">
            <v>from technosphere (material)</v>
          </cell>
          <cell r="D1345"/>
          <cell r="E1345" t="str">
            <v>Mass</v>
          </cell>
          <cell r="F1345">
            <v>2.95</v>
          </cell>
          <cell r="G1345" t="str">
            <v>kg</v>
          </cell>
          <cell r="H1345" t="str">
            <v>kg</v>
          </cell>
          <cell r="I1345" t="str">
            <v>none</v>
          </cell>
          <cell r="J1345" t="str">
            <v>[PU] Hydro_Copper</v>
          </cell>
          <cell r="K1345"/>
          <cell r="L1345" t="str">
            <v>see log sheet</v>
          </cell>
        </row>
        <row r="1346">
          <cell r="A1346" t="str">
            <v>[a] Copper cathode production, Hydrometallurgy (leaching, SX, EW)</v>
          </cell>
          <cell r="B1346" t="str">
            <v>electricity, SX process</v>
          </cell>
          <cell r="C1346" t="str">
            <v>from technosphere (energy_carrier)</v>
          </cell>
          <cell r="D1346"/>
          <cell r="E1346" t="str">
            <v>Energy</v>
          </cell>
          <cell r="F1346">
            <v>8.4600000000000009</v>
          </cell>
          <cell r="G1346" t="str">
            <v>MJ</v>
          </cell>
          <cell r="H1346" t="str">
            <v>kg</v>
          </cell>
          <cell r="I1346" t="str">
            <v>none</v>
          </cell>
          <cell r="J1346" t="str">
            <v>[PU] Hydro_Copper</v>
          </cell>
          <cell r="K1346"/>
          <cell r="L1346" t="str">
            <v>see log sheet</v>
          </cell>
        </row>
        <row r="1347">
          <cell r="A1347" t="str">
            <v>[a] Copper cathode production, Hydrometallurgy (leaching, SX, EW)</v>
          </cell>
          <cell r="B1347" t="str">
            <v>electricity, EW process</v>
          </cell>
          <cell r="C1347" t="str">
            <v>from technosphere (energy_carrier)</v>
          </cell>
          <cell r="D1347"/>
          <cell r="E1347" t="str">
            <v>Energy</v>
          </cell>
          <cell r="F1347">
            <v>16.899999999999999</v>
          </cell>
          <cell r="G1347" t="str">
            <v>MJ</v>
          </cell>
          <cell r="H1347" t="str">
            <v>kg</v>
          </cell>
          <cell r="I1347" t="str">
            <v>none</v>
          </cell>
          <cell r="J1347" t="str">
            <v>[PU] Hydro_Copper</v>
          </cell>
          <cell r="K1347"/>
          <cell r="L1347" t="str">
            <v>see log sheet</v>
          </cell>
        </row>
        <row r="1348">
          <cell r="A1348" t="str">
            <v>[a] Copper cathode production, Hydrometallurgy (leaching, SX, EW)</v>
          </cell>
          <cell r="B1348" t="str">
            <v>steam</v>
          </cell>
          <cell r="C1348" t="str">
            <v>from technosphere (energy_carrier)</v>
          </cell>
          <cell r="D1348"/>
          <cell r="E1348" t="str">
            <v>Mass</v>
          </cell>
          <cell r="F1348">
            <v>2.5599999999999999E-4</v>
          </cell>
          <cell r="G1348" t="str">
            <v>kg</v>
          </cell>
          <cell r="H1348" t="str">
            <v>kg</v>
          </cell>
          <cell r="I1348" t="str">
            <v>none</v>
          </cell>
          <cell r="J1348" t="str">
            <v>[PU] Hydro_Copper</v>
          </cell>
          <cell r="K1348"/>
          <cell r="L1348" t="str">
            <v>see log sheet</v>
          </cell>
        </row>
        <row r="1349">
          <cell r="A1349" t="str">
            <v>[a] Copper cathode production, Hydrometallurgy (leaching, SX, EW)</v>
          </cell>
          <cell r="B1349" t="str">
            <v>oxide ore</v>
          </cell>
          <cell r="C1349" t="str">
            <v>from environment (natural resource)</v>
          </cell>
          <cell r="D1349"/>
          <cell r="E1349" t="str">
            <v>Mass</v>
          </cell>
          <cell r="F1349">
            <v>143</v>
          </cell>
          <cell r="G1349" t="str">
            <v>kg</v>
          </cell>
          <cell r="H1349" t="str">
            <v>kg</v>
          </cell>
          <cell r="I1349" t="str">
            <v>none</v>
          </cell>
          <cell r="J1349" t="str">
            <v>[PU] Hydro_Copper</v>
          </cell>
          <cell r="K1349"/>
          <cell r="L1349" t="str">
            <v>see log sheet</v>
          </cell>
        </row>
        <row r="1350">
          <cell r="A1350" t="str">
            <v>[a] Copper cathode production, Hydrometallurgy (leaching, SX, EW)</v>
          </cell>
          <cell r="B1350" t="str">
            <v>water</v>
          </cell>
          <cell r="C1350" t="str">
            <v>to environment (emission)</v>
          </cell>
          <cell r="D1350"/>
          <cell r="E1350" t="str">
            <v>Volume</v>
          </cell>
          <cell r="F1350">
            <v>2.2700000000000001E-2</v>
          </cell>
          <cell r="G1350" t="str">
            <v>m3</v>
          </cell>
          <cell r="H1350" t="str">
            <v>kg</v>
          </cell>
          <cell r="I1350" t="str">
            <v>none</v>
          </cell>
          <cell r="J1350" t="str">
            <v>[PU] Hydro_Copper</v>
          </cell>
          <cell r="K1350"/>
          <cell r="L1350" t="str">
            <v>see log sheet</v>
          </cell>
        </row>
        <row r="1351">
          <cell r="A1351" t="str">
            <v/>
          </cell>
          <cell r="B1351"/>
          <cell r="C1351"/>
          <cell r="D1351"/>
          <cell r="E1351"/>
          <cell r="F1351"/>
          <cell r="G1351"/>
          <cell r="H1351"/>
          <cell r="I1351"/>
          <cell r="J1351"/>
          <cell r="K1351"/>
          <cell r="L1351"/>
        </row>
        <row r="1352">
          <cell r="A1352" t="str">
            <v>[a] Copper anode production (Flash smelting and converting)</v>
          </cell>
          <cell r="B1352" t="str">
            <v>copper, anode</v>
          </cell>
          <cell r="C1352" t="str">
            <v>reference_product</v>
          </cell>
          <cell r="D1352">
            <v>7402</v>
          </cell>
          <cell r="E1352" t="str">
            <v>Mass</v>
          </cell>
          <cell r="F1352">
            <v>1</v>
          </cell>
          <cell r="G1352" t="str">
            <v>kg</v>
          </cell>
          <cell r="H1352">
            <v>1</v>
          </cell>
          <cell r="I1352" t="str">
            <v>None</v>
          </cell>
          <cell r="J1352" t="str">
            <v>[PU] Pyro_Flash_Copper</v>
          </cell>
          <cell r="K1352"/>
          <cell r="L1352" t="str">
            <v>See log sheet</v>
          </cell>
        </row>
        <row r="1353">
          <cell r="A1353" t="str">
            <v>[a] Copper anode production (Flash smelting and converting)</v>
          </cell>
          <cell r="B1353" t="str">
            <v>copper concentrate, sulfide ore</v>
          </cell>
          <cell r="C1353" t="str">
            <v>from technosphere (material)</v>
          </cell>
          <cell r="D1353"/>
          <cell r="E1353" t="str">
            <v>Mass</v>
          </cell>
          <cell r="F1353">
            <v>3.57</v>
          </cell>
          <cell r="G1353" t="str">
            <v>kg</v>
          </cell>
          <cell r="H1353" t="str">
            <v>kg</v>
          </cell>
          <cell r="I1353" t="str">
            <v>None</v>
          </cell>
          <cell r="J1353" t="str">
            <v>[PU] Pyro_Flash_Copper</v>
          </cell>
          <cell r="K1353"/>
          <cell r="L1353" t="str">
            <v>See log sheet</v>
          </cell>
        </row>
        <row r="1354">
          <cell r="A1354" t="str">
            <v>[a] Copper anode production (Flash smelting and converting)</v>
          </cell>
          <cell r="B1354" t="str">
            <v>sulfuric acid</v>
          </cell>
          <cell r="C1354" t="str">
            <v>to technosphere (by-product)</v>
          </cell>
          <cell r="D1354">
            <v>2807</v>
          </cell>
          <cell r="E1354" t="str">
            <v>Mass</v>
          </cell>
          <cell r="F1354">
            <v>2.2000000000000002</v>
          </cell>
          <cell r="G1354" t="str">
            <v>kg</v>
          </cell>
          <cell r="H1354" t="str">
            <v>kg</v>
          </cell>
          <cell r="I1354" t="str">
            <v>None</v>
          </cell>
          <cell r="J1354" t="str">
            <v>[PU] Pyro_Flash_Copper</v>
          </cell>
          <cell r="K1354"/>
          <cell r="L1354" t="str">
            <v>See log sheet</v>
          </cell>
        </row>
        <row r="1355">
          <cell r="A1355" t="str">
            <v>[a] Copper anode production (Flash smelting and converting)</v>
          </cell>
          <cell r="B1355" t="str">
            <v>fuel oil</v>
          </cell>
          <cell r="C1355" t="str">
            <v>from technosphere (energy_carrier)</v>
          </cell>
          <cell r="D1355"/>
          <cell r="E1355" t="str">
            <v>Energy</v>
          </cell>
          <cell r="F1355">
            <v>1.52</v>
          </cell>
          <cell r="G1355" t="str">
            <v>MJ</v>
          </cell>
          <cell r="H1355" t="str">
            <v>kg</v>
          </cell>
          <cell r="I1355" t="str">
            <v>None</v>
          </cell>
          <cell r="J1355" t="str">
            <v>[PU] Pyro_Flash_Copper</v>
          </cell>
          <cell r="K1355"/>
          <cell r="L1355" t="str">
            <v>See log sheet</v>
          </cell>
        </row>
        <row r="1356">
          <cell r="A1356" t="str">
            <v>[a] Copper anode production (Flash smelting and converting)</v>
          </cell>
          <cell r="B1356" t="str">
            <v>electricity</v>
          </cell>
          <cell r="C1356" t="str">
            <v>from technosphere (energy_carrier)</v>
          </cell>
          <cell r="D1356"/>
          <cell r="E1356" t="str">
            <v>Energy</v>
          </cell>
          <cell r="F1356">
            <v>9.27</v>
          </cell>
          <cell r="G1356" t="str">
            <v>MJ</v>
          </cell>
          <cell r="H1356" t="str">
            <v>kg</v>
          </cell>
          <cell r="I1356" t="str">
            <v>None</v>
          </cell>
          <cell r="J1356" t="str">
            <v>[PU] Pyro_Flash_Copper</v>
          </cell>
          <cell r="K1356"/>
          <cell r="L1356" t="str">
            <v>See log sheet</v>
          </cell>
        </row>
        <row r="1357">
          <cell r="A1357" t="str">
            <v>[a] Copper anode production (Flash smelting and converting)</v>
          </cell>
          <cell r="B1357" t="str">
            <v>industrial oxygen</v>
          </cell>
          <cell r="C1357" t="str">
            <v>from technosphere (material)</v>
          </cell>
          <cell r="D1357"/>
          <cell r="E1357" t="str">
            <v>Mass</v>
          </cell>
          <cell r="F1357">
            <v>0.90900000000000003</v>
          </cell>
          <cell r="G1357" t="str">
            <v>kg</v>
          </cell>
          <cell r="H1357" t="str">
            <v>kg</v>
          </cell>
          <cell r="I1357" t="str">
            <v>None</v>
          </cell>
          <cell r="J1357" t="str">
            <v>[PU] Pyro_Flash_Copper</v>
          </cell>
          <cell r="K1357"/>
          <cell r="L1357" t="str">
            <v>See log sheet</v>
          </cell>
        </row>
        <row r="1358">
          <cell r="A1358" t="str">
            <v>[a] Copper anode production (Flash smelting and converting)</v>
          </cell>
          <cell r="B1358" t="str">
            <v>oxygen</v>
          </cell>
          <cell r="C1358" t="str">
            <v>from environment (natural resource)</v>
          </cell>
          <cell r="D1358"/>
          <cell r="E1358" t="str">
            <v>Mass</v>
          </cell>
          <cell r="F1358">
            <v>1.78</v>
          </cell>
          <cell r="G1358" t="str">
            <v>kg</v>
          </cell>
          <cell r="H1358" t="str">
            <v>kg</v>
          </cell>
          <cell r="I1358" t="str">
            <v>None</v>
          </cell>
          <cell r="J1358" t="str">
            <v>[PU] Pyro_Flash_Copper</v>
          </cell>
          <cell r="K1358"/>
          <cell r="L1358" t="str">
            <v>See log sheet</v>
          </cell>
        </row>
        <row r="1359">
          <cell r="A1359" t="str">
            <v>[a] Copper anode production (Flash smelting and converting)</v>
          </cell>
          <cell r="B1359" t="str">
            <v>silca flux</v>
          </cell>
          <cell r="C1359" t="str">
            <v>from technosphere (material)</v>
          </cell>
          <cell r="D1359"/>
          <cell r="E1359" t="str">
            <v>Mass</v>
          </cell>
          <cell r="F1359">
            <v>0.35</v>
          </cell>
          <cell r="G1359" t="str">
            <v>kg</v>
          </cell>
          <cell r="H1359" t="str">
            <v>kg</v>
          </cell>
          <cell r="I1359" t="str">
            <v>None</v>
          </cell>
          <cell r="J1359" t="str">
            <v>[PU] Pyro_Flash_Copper</v>
          </cell>
          <cell r="K1359"/>
          <cell r="L1359" t="str">
            <v>See log sheet</v>
          </cell>
        </row>
        <row r="1360">
          <cell r="A1360" t="str">
            <v>[a] Copper anode production (Flash smelting and converting)</v>
          </cell>
          <cell r="B1360" t="str">
            <v>limestone</v>
          </cell>
          <cell r="C1360" t="str">
            <v>from environment (natural resource)</v>
          </cell>
          <cell r="D1360"/>
          <cell r="E1360" t="str">
            <v>Mass</v>
          </cell>
          <cell r="F1360">
            <v>0.18</v>
          </cell>
          <cell r="G1360" t="str">
            <v>kg</v>
          </cell>
          <cell r="H1360" t="str">
            <v>kg</v>
          </cell>
          <cell r="I1360" t="str">
            <v>None</v>
          </cell>
          <cell r="J1360" t="str">
            <v>[PU] Pyro_Flash_Copper</v>
          </cell>
          <cell r="K1360"/>
          <cell r="L1360" t="str">
            <v>See log sheet</v>
          </cell>
        </row>
        <row r="1361">
          <cell r="A1361" t="str">
            <v>[a] Copper anode production (Flash smelting and converting)</v>
          </cell>
          <cell r="B1361" t="str">
            <v>scrap</v>
          </cell>
          <cell r="C1361" t="str">
            <v>from technosphere (other)</v>
          </cell>
          <cell r="D1361"/>
          <cell r="E1361" t="str">
            <v>Mass</v>
          </cell>
          <cell r="F1361">
            <v>0.11</v>
          </cell>
          <cell r="G1361" t="str">
            <v>kg</v>
          </cell>
          <cell r="H1361" t="str">
            <v>kg</v>
          </cell>
          <cell r="I1361" t="str">
            <v>None</v>
          </cell>
          <cell r="J1361" t="str">
            <v>[PU] Pyro_Flash_Copper</v>
          </cell>
          <cell r="K1361"/>
          <cell r="L1361" t="str">
            <v>See log sheet</v>
          </cell>
        </row>
        <row r="1362">
          <cell r="A1362" t="str">
            <v>[a] Copper anode production (Flash smelting and converting)</v>
          </cell>
          <cell r="B1362" t="str">
            <v>water</v>
          </cell>
          <cell r="C1362" t="str">
            <v>from environment (natural resource)</v>
          </cell>
          <cell r="D1362"/>
          <cell r="E1362" t="str">
            <v>Mass</v>
          </cell>
          <cell r="F1362">
            <v>0.49</v>
          </cell>
          <cell r="G1362" t="str">
            <v>kg</v>
          </cell>
          <cell r="H1362" t="str">
            <v>kg</v>
          </cell>
          <cell r="I1362" t="str">
            <v>None</v>
          </cell>
          <cell r="J1362" t="str">
            <v>[PU] Pyro_Flash_Copper</v>
          </cell>
          <cell r="K1362"/>
          <cell r="L1362" t="str">
            <v>See log sheet</v>
          </cell>
        </row>
        <row r="1363">
          <cell r="A1363" t="str">
            <v>[a] Copper anode production (Flash smelting and converting)</v>
          </cell>
          <cell r="B1363" t="str">
            <v>sulfur dioxide</v>
          </cell>
          <cell r="C1363" t="str">
            <v>to environment (emission)</v>
          </cell>
          <cell r="D1363"/>
          <cell r="E1363" t="str">
            <v>Mass</v>
          </cell>
          <cell r="F1363">
            <v>0.19</v>
          </cell>
          <cell r="G1363" t="str">
            <v>kg</v>
          </cell>
          <cell r="H1363" t="str">
            <v>kg</v>
          </cell>
          <cell r="I1363" t="str">
            <v>None</v>
          </cell>
          <cell r="J1363" t="str">
            <v>[PU] Pyro_Flash_Copper</v>
          </cell>
          <cell r="K1363"/>
          <cell r="L1363" t="str">
            <v>See log sheet</v>
          </cell>
        </row>
        <row r="1364">
          <cell r="A1364" t="str">
            <v>[a] Copper anode production (Flash smelting and converting)</v>
          </cell>
          <cell r="B1364" t="str">
            <v>carbon dioxide</v>
          </cell>
          <cell r="C1364" t="str">
            <v>to environment (emission)</v>
          </cell>
          <cell r="D1364"/>
          <cell r="E1364" t="str">
            <v>Mass</v>
          </cell>
          <cell r="F1364">
            <v>0.21</v>
          </cell>
          <cell r="G1364" t="str">
            <v>kg</v>
          </cell>
          <cell r="H1364" t="str">
            <v>kg</v>
          </cell>
          <cell r="I1364" t="str">
            <v>None</v>
          </cell>
          <cell r="J1364" t="str">
            <v>[PU] Pyro_Flash_Copper</v>
          </cell>
          <cell r="K1364"/>
          <cell r="L1364" t="str">
            <v>See log sheet</v>
          </cell>
        </row>
        <row r="1365">
          <cell r="A1365" t="str">
            <v>[a] Copper anode production (Flash smelting and converting)</v>
          </cell>
          <cell r="B1365" t="str">
            <v>oleum</v>
          </cell>
          <cell r="C1365" t="str">
            <v>to technosphere (by-product)</v>
          </cell>
          <cell r="D1365">
            <v>2807</v>
          </cell>
          <cell r="E1365" t="str">
            <v>Mass</v>
          </cell>
          <cell r="F1365">
            <v>0.3</v>
          </cell>
          <cell r="G1365" t="str">
            <v>kg</v>
          </cell>
          <cell r="H1365" t="str">
            <v>kg</v>
          </cell>
          <cell r="I1365" t="str">
            <v>None</v>
          </cell>
          <cell r="J1365" t="str">
            <v>[PU] Pyro_Flash_Copper</v>
          </cell>
          <cell r="K1365"/>
          <cell r="L1365" t="str">
            <v>See log sheet</v>
          </cell>
        </row>
        <row r="1366">
          <cell r="A1366" t="str">
            <v>[a] Copper anode production (Flash smelting and converting)</v>
          </cell>
          <cell r="B1366" t="str">
            <v>gypsum</v>
          </cell>
          <cell r="C1366" t="str">
            <v>to technosphere (by-product)</v>
          </cell>
          <cell r="D1366">
            <v>2520</v>
          </cell>
          <cell r="E1366" t="str">
            <v>Mass</v>
          </cell>
          <cell r="F1366">
            <v>0.8</v>
          </cell>
          <cell r="G1366" t="str">
            <v>kg</v>
          </cell>
          <cell r="H1366" t="str">
            <v>kg</v>
          </cell>
          <cell r="I1366" t="str">
            <v>None</v>
          </cell>
          <cell r="J1366" t="str">
            <v>[PU] Pyro_Flash_Copper</v>
          </cell>
          <cell r="K1366"/>
          <cell r="L1366" t="str">
            <v>See log sheet</v>
          </cell>
        </row>
        <row r="1367">
          <cell r="A1367" t="str">
            <v>[a] Copper anode production (Flash smelting and converting)</v>
          </cell>
          <cell r="B1367" t="str">
            <v>slag</v>
          </cell>
          <cell r="C1367" t="str">
            <v>to technosphere (waste)</v>
          </cell>
          <cell r="D1367"/>
          <cell r="E1367" t="str">
            <v>Mass</v>
          </cell>
          <cell r="F1367">
            <v>1.91</v>
          </cell>
          <cell r="G1367" t="str">
            <v>kg</v>
          </cell>
          <cell r="H1367" t="str">
            <v>kg</v>
          </cell>
          <cell r="I1367" t="str">
            <v>None</v>
          </cell>
          <cell r="J1367" t="str">
            <v>[PU] Pyro_Flash_Copper</v>
          </cell>
          <cell r="K1367"/>
          <cell r="L1367" t="str">
            <v>See log sheet</v>
          </cell>
        </row>
        <row r="1368">
          <cell r="A1368" t="str">
            <v/>
          </cell>
          <cell r="B1368"/>
          <cell r="C1368"/>
          <cell r="D1368"/>
          <cell r="E1368"/>
          <cell r="F1368"/>
          <cell r="G1368"/>
          <cell r="H1368"/>
          <cell r="I1368"/>
          <cell r="J1368"/>
          <cell r="K1368"/>
          <cell r="L1368"/>
        </row>
        <row r="1369">
          <cell r="A1369" t="str">
            <v>[a] Copper anode production (Continuous smelting and converting)</v>
          </cell>
          <cell r="B1369" t="str">
            <v>copper, anode</v>
          </cell>
          <cell r="C1369" t="str">
            <v>reference_product</v>
          </cell>
          <cell r="D1369">
            <v>7402</v>
          </cell>
          <cell r="E1369" t="str">
            <v>Mass</v>
          </cell>
          <cell r="F1369">
            <v>1</v>
          </cell>
          <cell r="G1369" t="str">
            <v>kg</v>
          </cell>
          <cell r="H1369">
            <v>1</v>
          </cell>
          <cell r="I1369" t="str">
            <v>None</v>
          </cell>
          <cell r="J1369" t="str">
            <v>[PU] Pyro_Cont_Copper</v>
          </cell>
          <cell r="K1369"/>
          <cell r="L1369" t="str">
            <v>See log sheet</v>
          </cell>
        </row>
        <row r="1370">
          <cell r="A1370" t="str">
            <v>[a] Copper anode production (Continuous smelting and converting)</v>
          </cell>
          <cell r="B1370" t="str">
            <v xml:space="preserve">copper concentrate, sulfide ore </v>
          </cell>
          <cell r="C1370" t="str">
            <v>from technosphere (material)</v>
          </cell>
          <cell r="D1370"/>
          <cell r="E1370" t="str">
            <v>Mass</v>
          </cell>
          <cell r="F1370">
            <v>3.57</v>
          </cell>
          <cell r="G1370" t="str">
            <v>kg</v>
          </cell>
          <cell r="H1370" t="str">
            <v>kg</v>
          </cell>
          <cell r="I1370" t="str">
            <v>None</v>
          </cell>
          <cell r="J1370" t="str">
            <v>[PU] Pyro_Cont_Copper</v>
          </cell>
          <cell r="K1370"/>
          <cell r="L1370" t="str">
            <v>See log sheet</v>
          </cell>
        </row>
        <row r="1371">
          <cell r="A1371" t="str">
            <v>[a] Copper anode production (Continuous smelting and converting)</v>
          </cell>
          <cell r="B1371" t="str">
            <v>sulfuric acid</v>
          </cell>
          <cell r="C1371" t="str">
            <v>to technosphere (by-product)</v>
          </cell>
          <cell r="D1371">
            <v>2807</v>
          </cell>
          <cell r="E1371" t="str">
            <v>Mass</v>
          </cell>
          <cell r="F1371">
            <v>2.48</v>
          </cell>
          <cell r="G1371" t="str">
            <v>kg</v>
          </cell>
          <cell r="H1371" t="str">
            <v>kg</v>
          </cell>
          <cell r="I1371" t="str">
            <v>None</v>
          </cell>
          <cell r="J1371" t="str">
            <v>[PU] Pyro_Cont_Copper</v>
          </cell>
          <cell r="K1371"/>
          <cell r="L1371" t="str">
            <v>See log sheet</v>
          </cell>
        </row>
        <row r="1372">
          <cell r="A1372" t="str">
            <v>[a] Copper anode production (Continuous smelting and converting)</v>
          </cell>
          <cell r="B1372" t="str">
            <v>fuel oil</v>
          </cell>
          <cell r="C1372" t="str">
            <v>from technosphere (energy_carrier)</v>
          </cell>
          <cell r="D1372"/>
          <cell r="E1372" t="str">
            <v>Energy</v>
          </cell>
          <cell r="F1372">
            <v>2.5</v>
          </cell>
          <cell r="G1372" t="str">
            <v>MJ</v>
          </cell>
          <cell r="H1372" t="str">
            <v>kg</v>
          </cell>
          <cell r="I1372" t="str">
            <v>None</v>
          </cell>
          <cell r="J1372" t="str">
            <v>[PU] Pyro_Cont_Copper</v>
          </cell>
          <cell r="K1372"/>
          <cell r="L1372" t="str">
            <v>See log sheet</v>
          </cell>
        </row>
        <row r="1373">
          <cell r="A1373" t="str">
            <v>[a] Copper anode production (Continuous smelting and converting)</v>
          </cell>
          <cell r="B1373" t="str">
            <v>electricity</v>
          </cell>
          <cell r="C1373" t="str">
            <v>from technosphere (energy_carrier)</v>
          </cell>
          <cell r="D1373"/>
          <cell r="E1373" t="str">
            <v>Energy</v>
          </cell>
          <cell r="F1373">
            <v>8.51</v>
          </cell>
          <cell r="G1373" t="str">
            <v>MJ</v>
          </cell>
          <cell r="H1373" t="str">
            <v>kg</v>
          </cell>
          <cell r="I1373" t="str">
            <v>None</v>
          </cell>
          <cell r="J1373" t="str">
            <v>[PU] Pyro_Cont_Copper</v>
          </cell>
          <cell r="K1373"/>
          <cell r="L1373" t="str">
            <v>See log sheet</v>
          </cell>
        </row>
        <row r="1374">
          <cell r="A1374" t="str">
            <v>[a] Copper anode production (Continuous smelting and converting)</v>
          </cell>
          <cell r="B1374" t="str">
            <v>oxygen</v>
          </cell>
          <cell r="C1374" t="str">
            <v>from environment (natural resource)</v>
          </cell>
          <cell r="D1374"/>
          <cell r="E1374" t="str">
            <v>Mass</v>
          </cell>
          <cell r="F1374">
            <v>2.71</v>
          </cell>
          <cell r="G1374" t="str">
            <v>kg</v>
          </cell>
          <cell r="H1374" t="str">
            <v>kg</v>
          </cell>
          <cell r="I1374" t="str">
            <v>None</v>
          </cell>
          <cell r="J1374" t="str">
            <v>[PU] Pyro_Cont_Copper</v>
          </cell>
          <cell r="K1374"/>
          <cell r="L1374" t="str">
            <v>See log sheet</v>
          </cell>
        </row>
        <row r="1375">
          <cell r="A1375" t="str">
            <v>[a] Copper anode production (Continuous smelting and converting)</v>
          </cell>
          <cell r="B1375" t="str">
            <v>silca flux</v>
          </cell>
          <cell r="C1375" t="str">
            <v>from technosphere (material)</v>
          </cell>
          <cell r="D1375"/>
          <cell r="E1375" t="str">
            <v>Mass</v>
          </cell>
          <cell r="F1375">
            <v>0.41099999999999998</v>
          </cell>
          <cell r="G1375" t="str">
            <v>kg</v>
          </cell>
          <cell r="H1375" t="str">
            <v>kg</v>
          </cell>
          <cell r="I1375" t="str">
            <v>None</v>
          </cell>
          <cell r="J1375" t="str">
            <v>[PU] Pyro_Cont_Copper</v>
          </cell>
          <cell r="K1375"/>
          <cell r="L1375" t="str">
            <v>See log sheet</v>
          </cell>
        </row>
        <row r="1376">
          <cell r="A1376" t="str">
            <v>[a] Copper anode production (Continuous smelting and converting)</v>
          </cell>
          <cell r="B1376" t="str">
            <v>industrial oxygen</v>
          </cell>
          <cell r="C1376" t="str">
            <v>from technosphere (material)</v>
          </cell>
          <cell r="D1376"/>
          <cell r="E1376" t="str">
            <v>Mass</v>
          </cell>
          <cell r="F1376">
            <v>1.47</v>
          </cell>
          <cell r="G1376" t="str">
            <v>kg</v>
          </cell>
          <cell r="H1376" t="str">
            <v>kg</v>
          </cell>
          <cell r="I1376" t="str">
            <v>None</v>
          </cell>
          <cell r="J1376" t="str">
            <v>[PU] Pyro_Cont_Copper</v>
          </cell>
          <cell r="K1376"/>
          <cell r="L1376" t="str">
            <v>See log sheet</v>
          </cell>
        </row>
        <row r="1377">
          <cell r="A1377" t="str">
            <v>[a] Copper anode production (Continuous smelting and converting)</v>
          </cell>
          <cell r="B1377" t="str">
            <v>limestone</v>
          </cell>
          <cell r="C1377" t="str">
            <v>from environment (natural resource)</v>
          </cell>
          <cell r="D1377"/>
          <cell r="E1377" t="str">
            <v>Mass</v>
          </cell>
          <cell r="F1377">
            <v>0.19400000000000001</v>
          </cell>
          <cell r="G1377" t="str">
            <v>kg</v>
          </cell>
          <cell r="H1377" t="str">
            <v>kg</v>
          </cell>
          <cell r="I1377" t="str">
            <v>None</v>
          </cell>
          <cell r="J1377" t="str">
            <v>[PU] Pyro_Cont_Copper</v>
          </cell>
          <cell r="K1377"/>
          <cell r="L1377" t="str">
            <v>See log sheet</v>
          </cell>
        </row>
        <row r="1378">
          <cell r="A1378" t="str">
            <v>[a] Copper anode production (Continuous smelting and converting)</v>
          </cell>
          <cell r="B1378" t="str">
            <v>scrap</v>
          </cell>
          <cell r="C1378" t="str">
            <v>from technosphere (other)</v>
          </cell>
          <cell r="D1378"/>
          <cell r="E1378" t="str">
            <v>Mass</v>
          </cell>
          <cell r="F1378">
            <v>0.30299999999999999</v>
          </cell>
          <cell r="G1378" t="str">
            <v>kg</v>
          </cell>
          <cell r="H1378" t="str">
            <v>kg</v>
          </cell>
          <cell r="I1378" t="str">
            <v>None</v>
          </cell>
          <cell r="J1378" t="str">
            <v>[PU] Pyro_Cont_Copper</v>
          </cell>
          <cell r="K1378"/>
          <cell r="L1378" t="str">
            <v>See log sheet</v>
          </cell>
        </row>
        <row r="1379">
          <cell r="A1379" t="str">
            <v>[a] Copper anode production (Continuous smelting and converting)</v>
          </cell>
          <cell r="B1379" t="str">
            <v>water</v>
          </cell>
          <cell r="C1379" t="str">
            <v>from environment (natural resource)</v>
          </cell>
          <cell r="D1379"/>
          <cell r="E1379" t="str">
            <v>Mass</v>
          </cell>
          <cell r="F1379">
            <v>0.54500000000000004</v>
          </cell>
          <cell r="G1379" t="str">
            <v>kg</v>
          </cell>
          <cell r="H1379" t="str">
            <v>kg</v>
          </cell>
          <cell r="I1379" t="str">
            <v>None</v>
          </cell>
          <cell r="J1379" t="str">
            <v>[PU] Pyro_Cont_Copper</v>
          </cell>
          <cell r="K1379"/>
          <cell r="L1379" t="str">
            <v>See log sheet</v>
          </cell>
        </row>
        <row r="1380">
          <cell r="A1380" t="str">
            <v>[a] Copper anode production (Continuous smelting and converting)</v>
          </cell>
          <cell r="B1380" t="str">
            <v>carbon dioxide</v>
          </cell>
          <cell r="C1380" t="str">
            <v>to environment (emission)</v>
          </cell>
          <cell r="D1380"/>
          <cell r="E1380" t="str">
            <v>Mass</v>
          </cell>
          <cell r="F1380">
            <v>0.28499999999999998</v>
          </cell>
          <cell r="G1380" t="str">
            <v>kg</v>
          </cell>
          <cell r="H1380" t="str">
            <v>kg</v>
          </cell>
          <cell r="I1380" t="str">
            <v>None</v>
          </cell>
          <cell r="J1380" t="str">
            <v>[PU] Pyro_Cont_Copper</v>
          </cell>
          <cell r="K1380"/>
          <cell r="L1380" t="str">
            <v>See log sheet</v>
          </cell>
        </row>
        <row r="1381">
          <cell r="A1381" t="str">
            <v>[a] Copper anode production (Continuous smelting and converting)</v>
          </cell>
          <cell r="B1381" t="str">
            <v>oleum</v>
          </cell>
          <cell r="C1381" t="str">
            <v>to technosphere (by-product)</v>
          </cell>
          <cell r="D1381">
            <v>2807</v>
          </cell>
          <cell r="E1381" t="str">
            <v>Mass</v>
          </cell>
          <cell r="F1381">
            <v>0.254</v>
          </cell>
          <cell r="G1381" t="str">
            <v>kg</v>
          </cell>
          <cell r="H1381" t="str">
            <v>kg</v>
          </cell>
          <cell r="I1381" t="str">
            <v>None</v>
          </cell>
          <cell r="J1381" t="str">
            <v>[PU] Pyro_Cont_Copper</v>
          </cell>
          <cell r="K1381"/>
          <cell r="L1381" t="str">
            <v>See log sheet</v>
          </cell>
        </row>
        <row r="1382">
          <cell r="A1382" t="str">
            <v>[a] Copper anode production (Continuous smelting and converting)</v>
          </cell>
          <cell r="B1382" t="str">
            <v>gypsum</v>
          </cell>
          <cell r="C1382" t="str">
            <v>to technosphere (by-product)</v>
          </cell>
          <cell r="D1382">
            <v>2520</v>
          </cell>
          <cell r="E1382" t="str">
            <v>Mass</v>
          </cell>
          <cell r="F1382">
            <v>0.30299999999999999</v>
          </cell>
          <cell r="G1382" t="str">
            <v>kg</v>
          </cell>
          <cell r="H1382" t="str">
            <v>kg</v>
          </cell>
          <cell r="I1382" t="str">
            <v>None</v>
          </cell>
          <cell r="J1382" t="str">
            <v>[PU] Pyro_Cont_Copper</v>
          </cell>
          <cell r="K1382"/>
          <cell r="L1382" t="str">
            <v>See log sheet</v>
          </cell>
        </row>
        <row r="1383">
          <cell r="A1383" t="str">
            <v>[a] Copper anode production (Continuous smelting and converting)</v>
          </cell>
          <cell r="B1383" t="str">
            <v>slag</v>
          </cell>
          <cell r="C1383" t="str">
            <v>to technosphere (waste)</v>
          </cell>
          <cell r="D1383"/>
          <cell r="E1383" t="str">
            <v>Mass</v>
          </cell>
          <cell r="F1383">
            <v>1.85</v>
          </cell>
          <cell r="G1383" t="str">
            <v>kg</v>
          </cell>
          <cell r="H1383" t="str">
            <v>kg</v>
          </cell>
          <cell r="I1383" t="str">
            <v>None</v>
          </cell>
          <cell r="J1383" t="str">
            <v>[PU] Pyro_Cont_Copper</v>
          </cell>
          <cell r="K1383"/>
          <cell r="L1383" t="str">
            <v>See log sheet</v>
          </cell>
        </row>
        <row r="1384">
          <cell r="A1384" t="str">
            <v/>
          </cell>
          <cell r="B1384"/>
          <cell r="C1384"/>
          <cell r="D1384"/>
          <cell r="E1384"/>
          <cell r="F1384"/>
          <cell r="G1384"/>
          <cell r="H1384"/>
          <cell r="I1384"/>
          <cell r="J1384"/>
          <cell r="K1384"/>
          <cell r="L1384"/>
        </row>
        <row r="1385">
          <cell r="A1385" t="str">
            <v>[a] Copper anode production (Bath smelting and converting)</v>
          </cell>
          <cell r="B1385" t="str">
            <v>copper, anode</v>
          </cell>
          <cell r="C1385" t="str">
            <v>reference_product</v>
          </cell>
          <cell r="D1385">
            <v>7402</v>
          </cell>
          <cell r="E1385" t="str">
            <v>Mass</v>
          </cell>
          <cell r="F1385">
            <v>1</v>
          </cell>
          <cell r="G1385" t="str">
            <v>kg</v>
          </cell>
          <cell r="H1385">
            <v>1</v>
          </cell>
          <cell r="I1385" t="str">
            <v>None</v>
          </cell>
          <cell r="J1385" t="str">
            <v>[PU] Pyro_Bath_Copper</v>
          </cell>
          <cell r="K1385"/>
          <cell r="L1385" t="str">
            <v>See log sheet</v>
          </cell>
        </row>
        <row r="1386">
          <cell r="A1386" t="str">
            <v>[a] Copper anode production (Bath smelting and converting)</v>
          </cell>
          <cell r="B1386" t="str">
            <v>copper concentrate, sulfide ore</v>
          </cell>
          <cell r="C1386" t="str">
            <v>from technosphere (material)</v>
          </cell>
          <cell r="D1386"/>
          <cell r="E1386" t="str">
            <v>Mass</v>
          </cell>
          <cell r="F1386">
            <v>3.57</v>
          </cell>
          <cell r="G1386" t="str">
            <v>kg</v>
          </cell>
          <cell r="H1386" t="str">
            <v>kg</v>
          </cell>
          <cell r="I1386" t="str">
            <v>None</v>
          </cell>
          <cell r="J1386" t="str">
            <v>[PU] Pyro_Bath_Copper</v>
          </cell>
          <cell r="K1386"/>
          <cell r="L1386" t="str">
            <v>See log sheet</v>
          </cell>
        </row>
        <row r="1387">
          <cell r="A1387" t="str">
            <v>[a] Copper anode production (Bath smelting and converting)</v>
          </cell>
          <cell r="B1387" t="str">
            <v>sulfuric acid</v>
          </cell>
          <cell r="C1387" t="str">
            <v>to technosphere (by-product)</v>
          </cell>
          <cell r="D1387">
            <v>2807</v>
          </cell>
          <cell r="E1387" t="str">
            <v>Mass</v>
          </cell>
          <cell r="F1387">
            <v>1.52</v>
          </cell>
          <cell r="G1387" t="str">
            <v>kg</v>
          </cell>
          <cell r="H1387" t="str">
            <v>kg</v>
          </cell>
          <cell r="I1387" t="str">
            <v>None</v>
          </cell>
          <cell r="J1387" t="str">
            <v>[PU] Pyro_Bath_Copper</v>
          </cell>
          <cell r="K1387"/>
          <cell r="L1387" t="str">
            <v>See log sheet</v>
          </cell>
        </row>
        <row r="1388">
          <cell r="A1388" t="str">
            <v>[a] Copper anode production (Bath smelting and converting)</v>
          </cell>
          <cell r="B1388" t="str">
            <v>fuel oil</v>
          </cell>
          <cell r="C1388" t="str">
            <v>from technosphere (energy_carrier)</v>
          </cell>
          <cell r="D1388"/>
          <cell r="E1388" t="str">
            <v>Energy</v>
          </cell>
          <cell r="F1388">
            <v>4.18</v>
          </cell>
          <cell r="G1388" t="str">
            <v>MJ</v>
          </cell>
          <cell r="H1388" t="str">
            <v>kg</v>
          </cell>
          <cell r="I1388" t="str">
            <v>None</v>
          </cell>
          <cell r="J1388" t="str">
            <v>[PU] Pyro_Bath_Copper</v>
          </cell>
          <cell r="K1388"/>
          <cell r="L1388" t="str">
            <v>See log sheet</v>
          </cell>
        </row>
        <row r="1389">
          <cell r="A1389" t="str">
            <v>[a] Copper anode production (Bath smelting and converting)</v>
          </cell>
          <cell r="B1389" t="str">
            <v>electricity</v>
          </cell>
          <cell r="C1389" t="str">
            <v>from technosphere (energy_carrier)</v>
          </cell>
          <cell r="D1389"/>
          <cell r="E1389" t="str">
            <v>Energy</v>
          </cell>
          <cell r="F1389">
            <v>6.9</v>
          </cell>
          <cell r="G1389" t="str">
            <v>MJ</v>
          </cell>
          <cell r="H1389" t="str">
            <v>kg</v>
          </cell>
          <cell r="I1389" t="str">
            <v>None</v>
          </cell>
          <cell r="J1389" t="str">
            <v>[PU] Pyro_Bath_Copper</v>
          </cell>
          <cell r="K1389"/>
          <cell r="L1389" t="str">
            <v>See log sheet</v>
          </cell>
        </row>
        <row r="1390">
          <cell r="A1390" t="str">
            <v>[a] Copper anode production (Bath smelting and converting)</v>
          </cell>
          <cell r="B1390" t="str">
            <v>oxygen</v>
          </cell>
          <cell r="C1390" t="str">
            <v>from environment (natural resource)</v>
          </cell>
          <cell r="D1390"/>
          <cell r="E1390" t="str">
            <v>Mass</v>
          </cell>
          <cell r="F1390">
            <v>2.79</v>
          </cell>
          <cell r="G1390" t="str">
            <v>kg</v>
          </cell>
          <cell r="H1390" t="str">
            <v>kg</v>
          </cell>
          <cell r="I1390" t="str">
            <v>None</v>
          </cell>
          <cell r="J1390" t="str">
            <v>[PU] Pyro_Bath_Copper</v>
          </cell>
          <cell r="K1390"/>
          <cell r="L1390" t="str">
            <v>See log sheet</v>
          </cell>
        </row>
        <row r="1391">
          <cell r="A1391" t="str">
            <v>[a] Copper anode production (Bath smelting and converting)</v>
          </cell>
          <cell r="B1391" t="str">
            <v>industrial oxygen</v>
          </cell>
          <cell r="C1391" t="str">
            <v>from technosphere (material)</v>
          </cell>
          <cell r="D1391"/>
          <cell r="E1391" t="str">
            <v>Mass</v>
          </cell>
          <cell r="F1391">
            <v>1.27</v>
          </cell>
          <cell r="G1391" t="str">
            <v>kg</v>
          </cell>
          <cell r="H1391" t="str">
            <v>kg</v>
          </cell>
          <cell r="I1391" t="str">
            <v>None</v>
          </cell>
          <cell r="J1391" t="str">
            <v>[PU] Pyro_Bath_Copper</v>
          </cell>
          <cell r="K1391"/>
          <cell r="L1391" t="str">
            <v>See log sheet</v>
          </cell>
        </row>
        <row r="1392">
          <cell r="A1392" t="str">
            <v>[a] Copper anode production (Bath smelting and converting)</v>
          </cell>
          <cell r="B1392" t="str">
            <v>silca flux</v>
          </cell>
          <cell r="C1392" t="str">
            <v>from technosphere (material)</v>
          </cell>
          <cell r="D1392"/>
          <cell r="E1392" t="str">
            <v>Mass</v>
          </cell>
          <cell r="F1392">
            <v>0.35499999999999998</v>
          </cell>
          <cell r="G1392" t="str">
            <v>kg</v>
          </cell>
          <cell r="H1392" t="str">
            <v>kg</v>
          </cell>
          <cell r="I1392" t="str">
            <v>None</v>
          </cell>
          <cell r="J1392" t="str">
            <v>[PU] Pyro_Bath_Copper</v>
          </cell>
          <cell r="K1392"/>
          <cell r="L1392" t="str">
            <v>See log sheet</v>
          </cell>
        </row>
        <row r="1393">
          <cell r="A1393" t="str">
            <v>[a] Copper anode production (Bath smelting and converting)</v>
          </cell>
          <cell r="B1393" t="str">
            <v>limestone</v>
          </cell>
          <cell r="C1393" t="str">
            <v>from environment (natural resource)</v>
          </cell>
          <cell r="D1393"/>
          <cell r="E1393" t="str">
            <v>Mass</v>
          </cell>
          <cell r="F1393">
            <v>0.127</v>
          </cell>
          <cell r="G1393" t="str">
            <v>kg</v>
          </cell>
          <cell r="H1393" t="str">
            <v>kg</v>
          </cell>
          <cell r="I1393" t="str">
            <v>None</v>
          </cell>
          <cell r="J1393" t="str">
            <v>[PU] Pyro_Bath_Copper</v>
          </cell>
          <cell r="K1393"/>
          <cell r="L1393" t="str">
            <v>See log sheet</v>
          </cell>
        </row>
        <row r="1394">
          <cell r="A1394" t="str">
            <v>[a] Copper anode production (Bath smelting and converting)</v>
          </cell>
          <cell r="B1394" t="str">
            <v>scrap</v>
          </cell>
          <cell r="C1394" t="str">
            <v>from technosphere (other)</v>
          </cell>
          <cell r="D1394"/>
          <cell r="E1394" t="str">
            <v>Mass</v>
          </cell>
          <cell r="F1394">
            <v>4.2299999999999997E-2</v>
          </cell>
          <cell r="G1394" t="str">
            <v>kg</v>
          </cell>
          <cell r="H1394" t="str">
            <v>kg</v>
          </cell>
          <cell r="I1394" t="str">
            <v>None</v>
          </cell>
          <cell r="J1394" t="str">
            <v>[PU] Pyro_Bath_Copper</v>
          </cell>
          <cell r="K1394"/>
          <cell r="L1394" t="str">
            <v>See log sheet</v>
          </cell>
        </row>
        <row r="1395">
          <cell r="A1395" t="str">
            <v>[a] Copper anode production (Bath smelting and converting)</v>
          </cell>
          <cell r="B1395" t="str">
            <v>water</v>
          </cell>
          <cell r="C1395" t="str">
            <v>from environment (natural resource)</v>
          </cell>
          <cell r="D1395"/>
          <cell r="E1395" t="str">
            <v>Mass</v>
          </cell>
          <cell r="F1395">
            <v>0.35499999999999998</v>
          </cell>
          <cell r="G1395" t="str">
            <v>kg</v>
          </cell>
          <cell r="H1395" t="str">
            <v>kg</v>
          </cell>
          <cell r="I1395" t="str">
            <v>None</v>
          </cell>
          <cell r="J1395" t="str">
            <v>[PU] Pyro_Bath_Copper</v>
          </cell>
          <cell r="K1395"/>
          <cell r="L1395" t="str">
            <v>See log sheet</v>
          </cell>
        </row>
        <row r="1396">
          <cell r="A1396" t="str">
            <v>[a] Copper anode production (Bath smelting and converting)</v>
          </cell>
          <cell r="B1396" t="str">
            <v>sulfur dioxide</v>
          </cell>
          <cell r="C1396" t="str">
            <v>to environment (emission)</v>
          </cell>
          <cell r="D1396">
            <v>2807</v>
          </cell>
          <cell r="E1396" t="str">
            <v>Mass</v>
          </cell>
          <cell r="F1396">
            <v>0.45</v>
          </cell>
          <cell r="G1396" t="str">
            <v>kg</v>
          </cell>
          <cell r="H1396" t="str">
            <v>kg</v>
          </cell>
          <cell r="I1396" t="str">
            <v>None</v>
          </cell>
          <cell r="J1396" t="str">
            <v>[PU] Pyro_Bath_Copper</v>
          </cell>
          <cell r="K1396"/>
          <cell r="L1396" t="str">
            <v>See log sheet</v>
          </cell>
        </row>
        <row r="1397">
          <cell r="A1397" t="str">
            <v>[a] Copper anode production (Bath smelting and converting)</v>
          </cell>
          <cell r="B1397" t="str">
            <v>carbon dioxide</v>
          </cell>
          <cell r="C1397" t="str">
            <v>to environment (emission)</v>
          </cell>
          <cell r="D1397">
            <v>2520</v>
          </cell>
          <cell r="E1397" t="str">
            <v>Mass</v>
          </cell>
          <cell r="F1397">
            <v>0.39</v>
          </cell>
          <cell r="G1397" t="str">
            <v>kg</v>
          </cell>
          <cell r="H1397" t="str">
            <v>kg</v>
          </cell>
          <cell r="I1397" t="str">
            <v>None</v>
          </cell>
          <cell r="J1397" t="str">
            <v>[PU] Pyro_Bath_Copper</v>
          </cell>
          <cell r="K1397"/>
          <cell r="L1397" t="str">
            <v>See log sheet</v>
          </cell>
        </row>
        <row r="1398">
          <cell r="A1398" t="str">
            <v>[a] Copper anode production (Bath smelting and converting)</v>
          </cell>
          <cell r="B1398" t="str">
            <v>slag</v>
          </cell>
          <cell r="C1398" t="str">
            <v>to technosphere (waste)</v>
          </cell>
          <cell r="D1398"/>
          <cell r="E1398" t="str">
            <v>Mass</v>
          </cell>
          <cell r="F1398">
            <v>1.91</v>
          </cell>
          <cell r="G1398" t="str">
            <v>kg</v>
          </cell>
          <cell r="H1398" t="str">
            <v>kg</v>
          </cell>
          <cell r="I1398" t="str">
            <v>None</v>
          </cell>
          <cell r="J1398" t="str">
            <v>[PU] Pyro_Bath_Copper</v>
          </cell>
          <cell r="K1398"/>
          <cell r="L1398" t="str">
            <v>See log sheet</v>
          </cell>
        </row>
        <row r="1399">
          <cell r="A1399" t="str">
            <v/>
          </cell>
          <cell r="B1399"/>
          <cell r="C1399"/>
          <cell r="D1399"/>
          <cell r="E1399"/>
          <cell r="F1399"/>
          <cell r="G1399"/>
          <cell r="H1399"/>
          <cell r="I1399"/>
          <cell r="J1399"/>
          <cell r="K1399"/>
          <cell r="L1399"/>
        </row>
        <row r="1400">
          <cell r="A1400" t="str">
            <v>[a] Electrorefining of copper anode</v>
          </cell>
          <cell r="B1400" t="str">
            <v>copper, cathode</v>
          </cell>
          <cell r="C1400" t="str">
            <v>reference_product</v>
          </cell>
          <cell r="D1400">
            <v>7403</v>
          </cell>
          <cell r="E1400" t="str">
            <v>Mass</v>
          </cell>
          <cell r="F1400">
            <v>1</v>
          </cell>
          <cell r="G1400" t="str">
            <v>kg</v>
          </cell>
          <cell r="H1400">
            <v>1</v>
          </cell>
          <cell r="I1400" t="str">
            <v>None</v>
          </cell>
          <cell r="J1400" t="str">
            <v>[PU] Pyro_ElecRef_Copper</v>
          </cell>
          <cell r="K1400"/>
          <cell r="L1400" t="str">
            <v>See log sheet</v>
          </cell>
        </row>
        <row r="1401">
          <cell r="A1401" t="str">
            <v>[a] Electrorefining of copper anode</v>
          </cell>
          <cell r="B1401" t="str">
            <v>copper, anode</v>
          </cell>
          <cell r="C1401" t="str">
            <v>from technosphere (material)</v>
          </cell>
          <cell r="D1401"/>
          <cell r="E1401" t="str">
            <v>Mass</v>
          </cell>
          <cell r="F1401">
            <v>0.99299999999999999</v>
          </cell>
          <cell r="G1401" t="str">
            <v>kg</v>
          </cell>
          <cell r="H1401" t="str">
            <v>kg</v>
          </cell>
          <cell r="I1401" t="str">
            <v>None</v>
          </cell>
          <cell r="J1401" t="str">
            <v>[PU] Pyro_ElecRef_Copper</v>
          </cell>
          <cell r="K1401"/>
          <cell r="L1401" t="str">
            <v>See log sheet</v>
          </cell>
        </row>
        <row r="1402">
          <cell r="A1402" t="str">
            <v>[a] Electrorefining of copper anode</v>
          </cell>
          <cell r="B1402" t="str">
            <v>electricity, high voltage</v>
          </cell>
          <cell r="C1402" t="str">
            <v>from technosphere (energy_carrier)</v>
          </cell>
          <cell r="D1402"/>
          <cell r="E1402" t="str">
            <v>Energy</v>
          </cell>
          <cell r="F1402">
            <v>0.4</v>
          </cell>
          <cell r="G1402" t="str">
            <v>kWh</v>
          </cell>
          <cell r="H1402" t="str">
            <v>kg</v>
          </cell>
          <cell r="I1402" t="str">
            <v>None</v>
          </cell>
          <cell r="J1402" t="str">
            <v>[PU] Pyro_ElecRef_Copper</v>
          </cell>
          <cell r="K1402"/>
          <cell r="L1402" t="str">
            <v>See log sheet</v>
          </cell>
        </row>
        <row r="1403">
          <cell r="A1403" t="str">
            <v>[a] Electrorefining of copper anode</v>
          </cell>
          <cell r="B1403" t="str">
            <v>diesel, burned in building machine</v>
          </cell>
          <cell r="C1403" t="str">
            <v>from technosphere (energy_carrier)</v>
          </cell>
          <cell r="D1403"/>
          <cell r="E1403" t="str">
            <v>Energy</v>
          </cell>
          <cell r="F1403">
            <v>2.2400000000000002</v>
          </cell>
          <cell r="G1403" t="str">
            <v>MJ</v>
          </cell>
          <cell r="H1403" t="str">
            <v>kg</v>
          </cell>
          <cell r="I1403" t="str">
            <v>None</v>
          </cell>
          <cell r="J1403" t="str">
            <v>[PU] Pyro_ElecRef_Copper</v>
          </cell>
          <cell r="K1403"/>
          <cell r="L1403" t="str">
            <v>See log sheet</v>
          </cell>
        </row>
        <row r="1404">
          <cell r="A1404" t="str">
            <v>[a] Electrorefining of copper anode</v>
          </cell>
          <cell r="B1404" t="str">
            <v>electrolyte, copper-rich</v>
          </cell>
          <cell r="C1404" t="str">
            <v>from technosphere (material)</v>
          </cell>
          <cell r="D1404"/>
          <cell r="E1404" t="str">
            <v>Mass</v>
          </cell>
          <cell r="F1404">
            <v>6.0099999999999997E-3</v>
          </cell>
          <cell r="G1404" t="str">
            <v>kg</v>
          </cell>
          <cell r="H1404" t="str">
            <v>kg</v>
          </cell>
          <cell r="I1404" t="str">
            <v>None</v>
          </cell>
          <cell r="J1404" t="str">
            <v>[PU] Pyro_ElecRef_Copper</v>
          </cell>
          <cell r="K1404"/>
          <cell r="L1404" t="str">
            <v>See log sheet</v>
          </cell>
        </row>
        <row r="1405">
          <cell r="A1405" t="str">
            <v>[a] Electrorefining of copper anode</v>
          </cell>
          <cell r="B1405" t="str">
            <v>copper-rich materials</v>
          </cell>
          <cell r="C1405" t="str">
            <v>from technosphere (material)</v>
          </cell>
          <cell r="D1405"/>
          <cell r="E1405" t="str">
            <v>Mass</v>
          </cell>
          <cell r="F1405">
            <v>4.9500000000000004E-3</v>
          </cell>
          <cell r="G1405" t="str">
            <v>kg</v>
          </cell>
          <cell r="H1405" t="str">
            <v>kg</v>
          </cell>
          <cell r="I1405" t="str">
            <v>None</v>
          </cell>
          <cell r="J1405" t="str">
            <v>[PU] Pyro_ElecRef_Copper</v>
          </cell>
          <cell r="K1405"/>
          <cell r="L1405" t="str">
            <v>See log sheet</v>
          </cell>
        </row>
        <row r="1406">
          <cell r="A1406" t="str">
            <v>[a] Electrorefining of copper anode</v>
          </cell>
          <cell r="B1406" t="str">
            <v>heat, waste</v>
          </cell>
          <cell r="C1406" t="str">
            <v>to environment (emission)</v>
          </cell>
          <cell r="D1406"/>
          <cell r="E1406" t="str">
            <v>Energy</v>
          </cell>
          <cell r="F1406">
            <v>1.77</v>
          </cell>
          <cell r="G1406" t="str">
            <v>MJ</v>
          </cell>
          <cell r="H1406" t="str">
            <v>kg</v>
          </cell>
          <cell r="I1406" t="str">
            <v>None</v>
          </cell>
          <cell r="J1406" t="str">
            <v>[PU] Pyro_ElecRef_Copper</v>
          </cell>
          <cell r="K1406"/>
          <cell r="L1406" t="str">
            <v>See log sheet</v>
          </cell>
        </row>
        <row r="1407">
          <cell r="A1407" t="str">
            <v>[a] Electrorefining of copper anode</v>
          </cell>
          <cell r="B1407" t="str">
            <v>anode slime</v>
          </cell>
          <cell r="C1407" t="str">
            <v>to technosphere (by-product)</v>
          </cell>
          <cell r="D1407">
            <v>711230</v>
          </cell>
          <cell r="E1407" t="str">
            <v>Mass</v>
          </cell>
          <cell r="F1407">
            <v>3.0000000000000001E-3</v>
          </cell>
          <cell r="G1407" t="str">
            <v>kg</v>
          </cell>
          <cell r="H1407" t="str">
            <v>kg</v>
          </cell>
          <cell r="I1407" t="str">
            <v>None</v>
          </cell>
          <cell r="J1407" t="str">
            <v>[PU] Pyro_ElecRef_Copper</v>
          </cell>
          <cell r="K1407"/>
          <cell r="L1407" t="str">
            <v>See log sheet</v>
          </cell>
        </row>
        <row r="1408">
          <cell r="A1408" t="str">
            <v/>
          </cell>
          <cell r="B1408"/>
          <cell r="C1408"/>
          <cell r="D1408"/>
          <cell r="E1408"/>
          <cell r="F1408"/>
          <cell r="G1408"/>
          <cell r="H1408"/>
          <cell r="I1408"/>
          <cell r="J1408"/>
          <cell r="K1408"/>
          <cell r="L1408"/>
        </row>
        <row r="1409">
          <cell r="A1409" t="str">
            <v>[a] Secondary copper production, from low grade scrap</v>
          </cell>
          <cell r="B1409" t="str">
            <v>copper, anode</v>
          </cell>
          <cell r="C1409" t="str">
            <v>reference_product</v>
          </cell>
          <cell r="D1409">
            <v>7402</v>
          </cell>
          <cell r="E1409" t="str">
            <v>Mass</v>
          </cell>
          <cell r="F1409">
            <v>1</v>
          </cell>
          <cell r="G1409" t="str">
            <v>kg</v>
          </cell>
          <cell r="H1409">
            <v>1</v>
          </cell>
          <cell r="I1409" t="str">
            <v>None</v>
          </cell>
          <cell r="J1409" t="str">
            <v>[PU] Sec_Copper_Low_Grade</v>
          </cell>
          <cell r="K1409"/>
          <cell r="L1409" t="str">
            <v>See log sheet</v>
          </cell>
        </row>
        <row r="1410">
          <cell r="A1410" t="str">
            <v>[a] Secondary copper production, from low grade scrap</v>
          </cell>
          <cell r="B1410" t="str">
            <v>copper scrap, low grade</v>
          </cell>
          <cell r="C1410" t="str">
            <v>from technosphere (material)</v>
          </cell>
          <cell r="D1410"/>
          <cell r="E1410" t="str">
            <v>Mass</v>
          </cell>
          <cell r="F1410">
            <v>3.33</v>
          </cell>
          <cell r="G1410" t="str">
            <v>kg</v>
          </cell>
          <cell r="H1410" t="str">
            <v>kg</v>
          </cell>
          <cell r="I1410" t="str">
            <v>None</v>
          </cell>
          <cell r="J1410" t="str">
            <v>[PU] Sec_Copper_Low_Grade</v>
          </cell>
          <cell r="K1410"/>
          <cell r="L1410" t="str">
            <v>See log sheet</v>
          </cell>
        </row>
        <row r="1411">
          <cell r="A1411" t="str">
            <v>[a] Secondary copper production, from low grade scrap</v>
          </cell>
          <cell r="B1411" t="str">
            <v>sulfuric acid</v>
          </cell>
          <cell r="C1411" t="str">
            <v>to technosphere (by-product)</v>
          </cell>
          <cell r="D1411"/>
          <cell r="E1411" t="str">
            <v>Mass</v>
          </cell>
          <cell r="F1411">
            <v>2.17</v>
          </cell>
          <cell r="G1411" t="str">
            <v>kg</v>
          </cell>
          <cell r="H1411" t="str">
            <v>kg</v>
          </cell>
          <cell r="I1411" t="str">
            <v>None</v>
          </cell>
          <cell r="J1411" t="str">
            <v>[PU] Sec_Copper_Low_Grade</v>
          </cell>
          <cell r="K1411"/>
          <cell r="L1411" t="str">
            <v>See log sheet</v>
          </cell>
        </row>
        <row r="1412">
          <cell r="A1412" t="str">
            <v>[a] Secondary copper production, from low grade scrap</v>
          </cell>
          <cell r="B1412" t="str">
            <v>fuel oil</v>
          </cell>
          <cell r="C1412" t="str">
            <v>from technosphere (energy_carrier)</v>
          </cell>
          <cell r="D1412"/>
          <cell r="E1412" t="str">
            <v>Energy</v>
          </cell>
          <cell r="F1412">
            <v>3.9</v>
          </cell>
          <cell r="G1412" t="str">
            <v>MJ</v>
          </cell>
          <cell r="H1412" t="str">
            <v>kg</v>
          </cell>
          <cell r="I1412" t="str">
            <v>None</v>
          </cell>
          <cell r="J1412" t="str">
            <v>[PU] Sec_Copper_Low_Grade</v>
          </cell>
          <cell r="K1412"/>
          <cell r="L1412" t="str">
            <v>See log sheet</v>
          </cell>
        </row>
        <row r="1413">
          <cell r="A1413" t="str">
            <v>[a] Secondary copper production, from low grade scrap</v>
          </cell>
          <cell r="B1413" t="str">
            <v>electricity</v>
          </cell>
          <cell r="C1413" t="str">
            <v>from technosphere (energy_carrier)</v>
          </cell>
          <cell r="D1413"/>
          <cell r="E1413" t="str">
            <v>Energy</v>
          </cell>
          <cell r="F1413">
            <v>6.44</v>
          </cell>
          <cell r="G1413" t="str">
            <v>MJ</v>
          </cell>
          <cell r="H1413" t="str">
            <v>kg</v>
          </cell>
          <cell r="I1413" t="str">
            <v>None</v>
          </cell>
          <cell r="J1413" t="str">
            <v>[PU] Sec_Copper_Low_Grade</v>
          </cell>
          <cell r="K1413"/>
          <cell r="L1413" t="str">
            <v>See log sheet</v>
          </cell>
        </row>
        <row r="1414">
          <cell r="A1414" t="str">
            <v>[a] Secondary copper production, from low grade scrap</v>
          </cell>
          <cell r="B1414" t="str">
            <v>industrial oxygen</v>
          </cell>
          <cell r="C1414" t="str">
            <v>from technosphere (material)</v>
          </cell>
          <cell r="D1414"/>
          <cell r="E1414" t="str">
            <v>Mass</v>
          </cell>
          <cell r="F1414">
            <v>1.77</v>
          </cell>
          <cell r="G1414" t="str">
            <v>kg</v>
          </cell>
          <cell r="H1414" t="str">
            <v>kg</v>
          </cell>
          <cell r="I1414" t="str">
            <v>None</v>
          </cell>
          <cell r="J1414" t="str">
            <v>[PU] Sec_Copper_Low_Grade</v>
          </cell>
          <cell r="K1414"/>
          <cell r="L1414" t="str">
            <v>See log sheet</v>
          </cell>
        </row>
        <row r="1415">
          <cell r="A1415" t="str">
            <v>[a] Secondary copper production, from low grade scrap</v>
          </cell>
          <cell r="B1415" t="str">
            <v>oxygen</v>
          </cell>
          <cell r="C1415" t="str">
            <v>from environment (natural resource)</v>
          </cell>
          <cell r="D1415"/>
          <cell r="E1415" t="str">
            <v>Mass</v>
          </cell>
          <cell r="F1415">
            <v>3.04</v>
          </cell>
          <cell r="G1415" t="str">
            <v>kg</v>
          </cell>
          <cell r="H1415" t="str">
            <v>kg</v>
          </cell>
          <cell r="I1415" t="str">
            <v>None</v>
          </cell>
          <cell r="J1415" t="str">
            <v>[PU] Sec_Copper_Low_Grade</v>
          </cell>
          <cell r="K1415"/>
          <cell r="L1415" t="str">
            <v>See log sheet</v>
          </cell>
        </row>
        <row r="1416">
          <cell r="A1416" t="str">
            <v>[a] Secondary copper production, from low grade scrap</v>
          </cell>
          <cell r="B1416" t="str">
            <v>silca flux</v>
          </cell>
          <cell r="C1416" t="str">
            <v>from technosphere (material)</v>
          </cell>
          <cell r="D1416"/>
          <cell r="E1416" t="str">
            <v>Mass</v>
          </cell>
          <cell r="F1416">
            <v>0.33</v>
          </cell>
          <cell r="G1416" t="str">
            <v>kg</v>
          </cell>
          <cell r="H1416" t="str">
            <v>kg</v>
          </cell>
          <cell r="I1416" t="str">
            <v>None</v>
          </cell>
          <cell r="J1416" t="str">
            <v>[PU] Sec_Copper_Low_Grade</v>
          </cell>
          <cell r="K1416"/>
          <cell r="L1416" t="str">
            <v>See log sheet</v>
          </cell>
        </row>
        <row r="1417">
          <cell r="A1417" t="str">
            <v>[a] Secondary copper production, from low grade scrap</v>
          </cell>
          <cell r="B1417" t="str">
            <v>limestone</v>
          </cell>
          <cell r="C1417" t="str">
            <v>from environment (natural resource)</v>
          </cell>
          <cell r="D1417"/>
          <cell r="E1417" t="str">
            <v>Mass</v>
          </cell>
          <cell r="F1417">
            <v>0.16</v>
          </cell>
          <cell r="G1417" t="str">
            <v>kg</v>
          </cell>
          <cell r="H1417" t="str">
            <v>kg</v>
          </cell>
          <cell r="I1417" t="str">
            <v>None</v>
          </cell>
          <cell r="J1417" t="str">
            <v>[PU] Sec_Copper_Low_Grade</v>
          </cell>
          <cell r="K1417"/>
          <cell r="L1417" t="str">
            <v>See log sheet</v>
          </cell>
        </row>
        <row r="1418">
          <cell r="A1418" t="str">
            <v>[a] Secondary copper production, from low grade scrap</v>
          </cell>
          <cell r="B1418" t="str">
            <v>scrap</v>
          </cell>
          <cell r="C1418" t="str">
            <v>from technosphere (other)</v>
          </cell>
          <cell r="D1418"/>
          <cell r="E1418" t="str">
            <v>Mass</v>
          </cell>
          <cell r="F1418">
            <v>0.01</v>
          </cell>
          <cell r="G1418" t="str">
            <v>kg</v>
          </cell>
          <cell r="H1418" t="str">
            <v>kg</v>
          </cell>
          <cell r="I1418" t="str">
            <v>None</v>
          </cell>
          <cell r="J1418" t="str">
            <v>[PU] Sec_Copper_Low_Grade</v>
          </cell>
          <cell r="K1418"/>
          <cell r="L1418" t="str">
            <v>See log sheet</v>
          </cell>
        </row>
        <row r="1419">
          <cell r="A1419" t="str">
            <v>[a] Secondary copper production, from low grade scrap</v>
          </cell>
          <cell r="B1419" t="str">
            <v>water</v>
          </cell>
          <cell r="C1419" t="str">
            <v>from environment (natural resource)</v>
          </cell>
          <cell r="D1419"/>
          <cell r="E1419" t="str">
            <v>Mass</v>
          </cell>
          <cell r="F1419">
            <v>0.44</v>
          </cell>
          <cell r="G1419" t="str">
            <v>kg</v>
          </cell>
          <cell r="H1419" t="str">
            <v>kg</v>
          </cell>
          <cell r="I1419" t="str">
            <v>None</v>
          </cell>
          <cell r="J1419" t="str">
            <v>[PU] Sec_Copper_Low_Grade</v>
          </cell>
          <cell r="K1419"/>
          <cell r="L1419" t="str">
            <v>See log sheet</v>
          </cell>
        </row>
        <row r="1420">
          <cell r="A1420" t="str">
            <v>[a] Secondary copper production, from low grade scrap</v>
          </cell>
          <cell r="B1420" t="str">
            <v>sulfur dioxide</v>
          </cell>
          <cell r="C1420" t="str">
            <v>to environment (emission)</v>
          </cell>
          <cell r="D1420"/>
          <cell r="E1420" t="str">
            <v>Mass</v>
          </cell>
          <cell r="F1420">
            <v>0.02</v>
          </cell>
          <cell r="G1420" t="str">
            <v>kg</v>
          </cell>
          <cell r="H1420" t="str">
            <v>kg</v>
          </cell>
          <cell r="I1420" t="str">
            <v>None</v>
          </cell>
          <cell r="J1420" t="str">
            <v>[PU] Sec_Copper_Low_Grade</v>
          </cell>
          <cell r="K1420"/>
          <cell r="L1420" t="str">
            <v>See log sheet</v>
          </cell>
        </row>
        <row r="1421">
          <cell r="A1421" t="str">
            <v>[a] Secondary copper production, from low grade scrap</v>
          </cell>
          <cell r="B1421" t="str">
            <v>carbon dioxide</v>
          </cell>
          <cell r="C1421" t="str">
            <v>to environment (emission)</v>
          </cell>
          <cell r="D1421"/>
          <cell r="E1421" t="str">
            <v>Mass</v>
          </cell>
          <cell r="F1421">
            <v>0.4</v>
          </cell>
          <cell r="G1421" t="str">
            <v>kg</v>
          </cell>
          <cell r="H1421" t="str">
            <v>kg</v>
          </cell>
          <cell r="I1421" t="str">
            <v>None</v>
          </cell>
          <cell r="J1421" t="str">
            <v>[PU] Sec_Copper_Low_Grade</v>
          </cell>
          <cell r="K1421"/>
          <cell r="L1421" t="str">
            <v>See log sheet</v>
          </cell>
        </row>
        <row r="1422">
          <cell r="A1422" t="str">
            <v>[a] Secondary copper production, from low grade scrap</v>
          </cell>
          <cell r="B1422" t="str">
            <v>slag</v>
          </cell>
          <cell r="C1422" t="str">
            <v>to technosphere (waste)</v>
          </cell>
          <cell r="D1422"/>
          <cell r="E1422" t="str">
            <v>Mass</v>
          </cell>
          <cell r="F1422">
            <v>1.83</v>
          </cell>
          <cell r="G1422" t="str">
            <v>kg</v>
          </cell>
          <cell r="H1422" t="str">
            <v>kg</v>
          </cell>
          <cell r="I1422" t="str">
            <v>None</v>
          </cell>
          <cell r="J1422" t="str">
            <v>[PU] Sec_Copper_Low_Grade</v>
          </cell>
          <cell r="K1422"/>
          <cell r="L1422" t="str">
            <v>See log sheet</v>
          </cell>
        </row>
        <row r="1423">
          <cell r="A1423" t="str">
            <v/>
          </cell>
          <cell r="B1423"/>
          <cell r="C1423"/>
          <cell r="D1423"/>
          <cell r="E1423"/>
          <cell r="F1423"/>
          <cell r="G1423"/>
          <cell r="H1423"/>
          <cell r="I1423"/>
          <cell r="J1423"/>
          <cell r="K1423"/>
          <cell r="L1423"/>
        </row>
        <row r="1424">
          <cell r="A1424" t="str">
            <v>[a] Secondary copper production, from medium grade scrap</v>
          </cell>
          <cell r="B1424" t="str">
            <v>copper, anode</v>
          </cell>
          <cell r="C1424" t="str">
            <v>reference_product</v>
          </cell>
          <cell r="D1424">
            <v>7402</v>
          </cell>
          <cell r="E1424" t="str">
            <v>Mass</v>
          </cell>
          <cell r="F1424">
            <v>1</v>
          </cell>
          <cell r="G1424" t="str">
            <v>kg</v>
          </cell>
          <cell r="H1424">
            <v>1</v>
          </cell>
          <cell r="I1424" t="str">
            <v>None</v>
          </cell>
          <cell r="J1424" t="str">
            <v>[PU] Sec_Copper_Med_Grade</v>
          </cell>
          <cell r="K1424"/>
          <cell r="L1424" t="str">
            <v>See log sheet</v>
          </cell>
        </row>
        <row r="1425">
          <cell r="A1425" t="str">
            <v>[a] Secondary copper production, from medium grade scrap</v>
          </cell>
          <cell r="B1425" t="str">
            <v>copper scrap, medium grade</v>
          </cell>
          <cell r="C1425" t="str">
            <v>from technosphere (material)</v>
          </cell>
          <cell r="D1425"/>
          <cell r="E1425" t="str">
            <v>Mass</v>
          </cell>
          <cell r="F1425">
            <v>2</v>
          </cell>
          <cell r="G1425" t="str">
            <v>kg</v>
          </cell>
          <cell r="H1425" t="str">
            <v>kg</v>
          </cell>
          <cell r="I1425" t="str">
            <v>None</v>
          </cell>
          <cell r="J1425" t="str">
            <v>[PU] Sec_Copper_Med_Grade</v>
          </cell>
          <cell r="K1425"/>
          <cell r="L1425" t="str">
            <v>See log sheet</v>
          </cell>
        </row>
        <row r="1426">
          <cell r="A1426" t="str">
            <v>[a] Secondary copper production, from medium grade scrap</v>
          </cell>
          <cell r="B1426" t="str">
            <v>fuel oil</v>
          </cell>
          <cell r="C1426" t="str">
            <v>from technosphere (energy_carrier)</v>
          </cell>
          <cell r="D1426"/>
          <cell r="E1426" t="str">
            <v>Energy</v>
          </cell>
          <cell r="F1426">
            <v>1.08</v>
          </cell>
          <cell r="G1426" t="str">
            <v>MJ</v>
          </cell>
          <cell r="H1426" t="str">
            <v>kg</v>
          </cell>
          <cell r="I1426" t="str">
            <v>None</v>
          </cell>
          <cell r="J1426" t="str">
            <v>[PU] Sec_Copper_Med_Grade</v>
          </cell>
          <cell r="K1426"/>
          <cell r="L1426" t="str">
            <v>See log sheet</v>
          </cell>
        </row>
        <row r="1427">
          <cell r="A1427" t="str">
            <v>[a] Secondary copper production, from medium grade scrap</v>
          </cell>
          <cell r="B1427" t="str">
            <v>electricity</v>
          </cell>
          <cell r="C1427" t="str">
            <v>from technosphere (energy_carrier)</v>
          </cell>
          <cell r="D1427"/>
          <cell r="E1427" t="str">
            <v>Energy</v>
          </cell>
          <cell r="F1427">
            <v>5.2</v>
          </cell>
          <cell r="G1427" t="str">
            <v>MJ</v>
          </cell>
          <cell r="H1427" t="str">
            <v>kg</v>
          </cell>
          <cell r="I1427" t="str">
            <v>None</v>
          </cell>
          <cell r="J1427" t="str">
            <v>[PU] Sec_Copper_Med_Grade</v>
          </cell>
          <cell r="K1427"/>
          <cell r="L1427" t="str">
            <v>See log sheet</v>
          </cell>
        </row>
        <row r="1428">
          <cell r="A1428" t="str">
            <v>[a] Secondary copper production, from medium grade scrap</v>
          </cell>
          <cell r="B1428" t="str">
            <v>oxygen</v>
          </cell>
          <cell r="C1428" t="str">
            <v>from environment (natural resource)</v>
          </cell>
          <cell r="D1428"/>
          <cell r="E1428" t="str">
            <v>Mass</v>
          </cell>
          <cell r="F1428">
            <v>0.28000000000000003</v>
          </cell>
          <cell r="G1428" t="str">
            <v>kg</v>
          </cell>
          <cell r="H1428" t="str">
            <v>kg</v>
          </cell>
          <cell r="I1428" t="str">
            <v>None</v>
          </cell>
          <cell r="J1428" t="str">
            <v>[PU] Sec_Copper_Med_Grade</v>
          </cell>
          <cell r="K1428"/>
          <cell r="L1428" t="str">
            <v>See log sheet</v>
          </cell>
        </row>
        <row r="1429">
          <cell r="A1429" t="str">
            <v>[a] Secondary copper production, from medium grade scrap</v>
          </cell>
          <cell r="B1429" t="str">
            <v>industrial oxygen</v>
          </cell>
          <cell r="C1429" t="str">
            <v>from technosphere (material)</v>
          </cell>
          <cell r="D1429"/>
          <cell r="E1429" t="str">
            <v>Mass</v>
          </cell>
          <cell r="F1429">
            <v>0.68400000000000005</v>
          </cell>
          <cell r="G1429" t="str">
            <v>kg</v>
          </cell>
          <cell r="H1429" t="str">
            <v>kg</v>
          </cell>
          <cell r="I1429" t="str">
            <v>None</v>
          </cell>
          <cell r="J1429" t="str">
            <v>[PU] Sec_Copper_Med_Grade</v>
          </cell>
          <cell r="K1429"/>
          <cell r="L1429" t="str">
            <v>See log sheet</v>
          </cell>
        </row>
        <row r="1430">
          <cell r="A1430" t="str">
            <v>[a] Secondary copper production, from medium grade scrap</v>
          </cell>
          <cell r="B1430" t="str">
            <v>silca flux</v>
          </cell>
          <cell r="C1430" t="str">
            <v>from technosphere (energy_carrier)</v>
          </cell>
          <cell r="D1430"/>
          <cell r="E1430" t="str">
            <v>Mass</v>
          </cell>
          <cell r="F1430">
            <v>0.1</v>
          </cell>
          <cell r="G1430" t="str">
            <v>kg</v>
          </cell>
          <cell r="H1430" t="str">
            <v>kg</v>
          </cell>
          <cell r="I1430" t="str">
            <v>None</v>
          </cell>
          <cell r="J1430" t="str">
            <v>[PU] Sec_Copper_Med_Grade</v>
          </cell>
          <cell r="K1430"/>
          <cell r="L1430" t="str">
            <v>See log sheet</v>
          </cell>
        </row>
        <row r="1431">
          <cell r="A1431" t="str">
            <v>[a] Secondary copper production, from medium grade scrap</v>
          </cell>
          <cell r="B1431" t="str">
            <v>sulfuric acid</v>
          </cell>
          <cell r="C1431" t="str">
            <v>to technosphere (by-product)</v>
          </cell>
          <cell r="D1431"/>
          <cell r="E1431" t="str">
            <v>Mass</v>
          </cell>
          <cell r="F1431">
            <v>1.32</v>
          </cell>
          <cell r="G1431" t="str">
            <v>kg</v>
          </cell>
          <cell r="H1431" t="str">
            <v>kg</v>
          </cell>
          <cell r="I1431" t="str">
            <v>None</v>
          </cell>
          <cell r="J1431" t="str">
            <v>[PU] Sec_Copper_Med_Grade</v>
          </cell>
          <cell r="K1431"/>
          <cell r="L1431" t="str">
            <v>See log sheet</v>
          </cell>
        </row>
        <row r="1432">
          <cell r="A1432" t="str">
            <v>[a] Secondary copper production, from medium grade scrap</v>
          </cell>
          <cell r="B1432" t="str">
            <v>scrap</v>
          </cell>
          <cell r="C1432" t="str">
            <v>from technosphere (other)</v>
          </cell>
          <cell r="D1432"/>
          <cell r="E1432" t="str">
            <v>Mass</v>
          </cell>
          <cell r="F1432">
            <v>0.01</v>
          </cell>
          <cell r="G1432" t="str">
            <v>kg</v>
          </cell>
          <cell r="H1432" t="str">
            <v>kg</v>
          </cell>
          <cell r="I1432" t="str">
            <v>None</v>
          </cell>
          <cell r="J1432" t="str">
            <v>[PU] Sec_Copper_Med_Grade</v>
          </cell>
          <cell r="K1432"/>
          <cell r="L1432" t="str">
            <v>See log sheet</v>
          </cell>
        </row>
        <row r="1433">
          <cell r="A1433" t="str">
            <v>[a] Secondary copper production, from medium grade scrap</v>
          </cell>
          <cell r="B1433" t="str">
            <v>water</v>
          </cell>
          <cell r="C1433" t="str">
            <v>from environment (natural resource)</v>
          </cell>
          <cell r="D1433"/>
          <cell r="E1433" t="str">
            <v>Mass</v>
          </cell>
          <cell r="F1433">
            <v>0.27</v>
          </cell>
          <cell r="G1433" t="str">
            <v>kg</v>
          </cell>
          <cell r="H1433" t="str">
            <v>kg</v>
          </cell>
          <cell r="I1433" t="str">
            <v>None</v>
          </cell>
          <cell r="J1433" t="str">
            <v>[PU] Sec_Copper_Med_Grade</v>
          </cell>
          <cell r="K1433"/>
          <cell r="L1433" t="str">
            <v>See log sheet</v>
          </cell>
        </row>
        <row r="1434">
          <cell r="A1434" t="str">
            <v>[a] Secondary copper production, from medium grade scrap</v>
          </cell>
          <cell r="B1434" t="str">
            <v>sulfur dioxide</v>
          </cell>
          <cell r="C1434" t="str">
            <v>to environment (emission)</v>
          </cell>
          <cell r="D1434"/>
          <cell r="E1434" t="str">
            <v>Mass</v>
          </cell>
          <cell r="F1434">
            <v>0.03</v>
          </cell>
          <cell r="G1434" t="str">
            <v>kg</v>
          </cell>
          <cell r="H1434" t="str">
            <v>kg</v>
          </cell>
          <cell r="I1434" t="str">
            <v>None</v>
          </cell>
          <cell r="J1434" t="str">
            <v>[PU] Sec_Copper_Med_Grade</v>
          </cell>
          <cell r="K1434"/>
          <cell r="L1434" t="str">
            <v>See log sheet</v>
          </cell>
        </row>
        <row r="1435">
          <cell r="A1435" t="str">
            <v>[a] Secondary copper production, from medium grade scrap</v>
          </cell>
          <cell r="B1435" t="str">
            <v>carbon dioxide</v>
          </cell>
          <cell r="C1435" t="str">
            <v>to environment (emission)</v>
          </cell>
          <cell r="D1435"/>
          <cell r="E1435" t="str">
            <v>Mass</v>
          </cell>
          <cell r="F1435">
            <v>0.08</v>
          </cell>
          <cell r="G1435" t="str">
            <v>kg</v>
          </cell>
          <cell r="H1435" t="str">
            <v>kg</v>
          </cell>
          <cell r="I1435" t="str">
            <v>None</v>
          </cell>
          <cell r="J1435" t="str">
            <v>[PU] Sec_Copper_Med_Grade</v>
          </cell>
          <cell r="K1435"/>
          <cell r="L1435" t="str">
            <v>See log sheet</v>
          </cell>
        </row>
        <row r="1436">
          <cell r="A1436" t="str">
            <v>[a] Secondary copper production, from medium grade scrap</v>
          </cell>
          <cell r="B1436" t="str">
            <v>slag</v>
          </cell>
          <cell r="C1436" t="str">
            <v>to technosphere (waste)</v>
          </cell>
          <cell r="D1436"/>
          <cell r="E1436" t="str">
            <v>Mass</v>
          </cell>
          <cell r="F1436">
            <v>0.65</v>
          </cell>
          <cell r="G1436" t="str">
            <v>kg</v>
          </cell>
          <cell r="H1436" t="str">
            <v>kg</v>
          </cell>
          <cell r="I1436" t="str">
            <v>None</v>
          </cell>
          <cell r="J1436" t="str">
            <v>[PU] Sec_Copper_Med_Grade</v>
          </cell>
          <cell r="K1436"/>
          <cell r="L1436" t="str">
            <v>See log sheet</v>
          </cell>
        </row>
        <row r="1437">
          <cell r="A1437" t="str">
            <v/>
          </cell>
          <cell r="B1437"/>
          <cell r="C1437"/>
          <cell r="D1437"/>
          <cell r="E1437"/>
          <cell r="F1437"/>
          <cell r="G1437"/>
          <cell r="H1437"/>
          <cell r="I1437"/>
          <cell r="J1437"/>
          <cell r="K1437"/>
          <cell r="L1437"/>
        </row>
        <row r="1438">
          <cell r="A1438" t="str">
            <v>[a] Secondary copper production, from high grade scrap</v>
          </cell>
          <cell r="B1438" t="str">
            <v>copper, cathode</v>
          </cell>
          <cell r="C1438" t="str">
            <v>reference_product</v>
          </cell>
          <cell r="D1438">
            <v>7403</v>
          </cell>
          <cell r="E1438" t="str">
            <v>Mass</v>
          </cell>
          <cell r="F1438">
            <v>1</v>
          </cell>
          <cell r="G1438" t="str">
            <v>kg</v>
          </cell>
          <cell r="H1438">
            <v>1</v>
          </cell>
          <cell r="I1438" t="str">
            <v>None</v>
          </cell>
          <cell r="J1438" t="str">
            <v>[PU] Sec_Copper_High_Grade</v>
          </cell>
          <cell r="K1438"/>
          <cell r="L1438" t="str">
            <v>See log sheet</v>
          </cell>
        </row>
        <row r="1439">
          <cell r="A1439" t="str">
            <v>[a] Secondary copper production, from high grade scrap</v>
          </cell>
          <cell r="B1439" t="str">
            <v>copper scrap, high grade</v>
          </cell>
          <cell r="C1439" t="str">
            <v>from technosphere (material)</v>
          </cell>
          <cell r="D1439"/>
          <cell r="E1439" t="str">
            <v>Mass</v>
          </cell>
          <cell r="F1439">
            <v>1.05</v>
          </cell>
          <cell r="G1439" t="str">
            <v>kg</v>
          </cell>
          <cell r="H1439" t="str">
            <v>kg</v>
          </cell>
          <cell r="I1439" t="str">
            <v>None</v>
          </cell>
          <cell r="J1439" t="str">
            <v>[PU] Sec_Copper_High_Grade</v>
          </cell>
          <cell r="K1439"/>
          <cell r="L1439" t="str">
            <v>See log sheet</v>
          </cell>
        </row>
        <row r="1440">
          <cell r="A1440" t="str">
            <v>[a] Secondary copper production, from high grade scrap</v>
          </cell>
          <cell r="B1440" t="str">
            <v>electricity, high voltage</v>
          </cell>
          <cell r="C1440" t="str">
            <v>from technosphere (energy_carrier)</v>
          </cell>
          <cell r="D1440"/>
          <cell r="E1440" t="str">
            <v>Energy</v>
          </cell>
          <cell r="F1440">
            <v>0.4</v>
          </cell>
          <cell r="G1440" t="str">
            <v>kWh</v>
          </cell>
          <cell r="H1440" t="str">
            <v>kg</v>
          </cell>
          <cell r="I1440" t="str">
            <v>None</v>
          </cell>
          <cell r="J1440" t="str">
            <v>[PU] Sec_Copper_High_Grade</v>
          </cell>
          <cell r="K1440"/>
          <cell r="L1440" t="str">
            <v>See log sheet</v>
          </cell>
        </row>
        <row r="1441">
          <cell r="A1441" t="str">
            <v>[a] Secondary copper production, from high grade scrap</v>
          </cell>
          <cell r="B1441" t="str">
            <v>diesel, burned in building machine</v>
          </cell>
          <cell r="C1441" t="str">
            <v>from technosphere (energy_carrier)</v>
          </cell>
          <cell r="D1441"/>
          <cell r="E1441" t="str">
            <v>Energy</v>
          </cell>
          <cell r="F1441">
            <v>2.23</v>
          </cell>
          <cell r="G1441" t="str">
            <v>MJ</v>
          </cell>
          <cell r="H1441" t="str">
            <v>kg</v>
          </cell>
          <cell r="I1441" t="str">
            <v>None</v>
          </cell>
          <cell r="J1441" t="str">
            <v>[PU] Sec_Copper_High_Grade</v>
          </cell>
          <cell r="K1441"/>
          <cell r="L1441" t="str">
            <v>See log sheet</v>
          </cell>
        </row>
        <row r="1442">
          <cell r="A1442" t="str">
            <v>[a] Secondary copper production, from high grade scrap</v>
          </cell>
          <cell r="B1442" t="str">
            <v>electrolyte, copper-rich</v>
          </cell>
          <cell r="C1442" t="str">
            <v>from technosphere (material)</v>
          </cell>
          <cell r="D1442"/>
          <cell r="E1442" t="str">
            <v>Mass</v>
          </cell>
          <cell r="F1442">
            <v>6.0099999999999997E-3</v>
          </cell>
          <cell r="G1442" t="str">
            <v>kg</v>
          </cell>
          <cell r="H1442" t="str">
            <v>kg</v>
          </cell>
          <cell r="I1442" t="str">
            <v>None</v>
          </cell>
          <cell r="J1442" t="str">
            <v>[PU] Sec_Copper_High_Grade</v>
          </cell>
          <cell r="K1442"/>
          <cell r="L1442" t="str">
            <v>See log sheet</v>
          </cell>
        </row>
        <row r="1443">
          <cell r="A1443" t="str">
            <v>[a] Secondary copper production, from high grade scrap</v>
          </cell>
          <cell r="B1443" t="str">
            <v>copper-rich materials</v>
          </cell>
          <cell r="C1443" t="str">
            <v>from technosphere (material)</v>
          </cell>
          <cell r="D1443"/>
          <cell r="E1443" t="str">
            <v>Mass</v>
          </cell>
          <cell r="F1443">
            <v>4.9500000000000004E-3</v>
          </cell>
          <cell r="G1443" t="str">
            <v>kg</v>
          </cell>
          <cell r="H1443" t="str">
            <v>kg</v>
          </cell>
          <cell r="I1443" t="str">
            <v>None</v>
          </cell>
          <cell r="J1443" t="str">
            <v>[PU] Sec_Copper_High_Grade</v>
          </cell>
          <cell r="K1443"/>
          <cell r="L1443" t="str">
            <v>See log sheet</v>
          </cell>
        </row>
        <row r="1444">
          <cell r="A1444" t="str">
            <v>[a] Secondary copper production, from high grade scrap</v>
          </cell>
          <cell r="B1444" t="str">
            <v>heat, waste</v>
          </cell>
          <cell r="C1444" t="str">
            <v>to environment (emission)</v>
          </cell>
          <cell r="D1444"/>
          <cell r="E1444" t="str">
            <v>Energy</v>
          </cell>
          <cell r="F1444">
            <v>1.76</v>
          </cell>
          <cell r="G1444" t="str">
            <v>MJ</v>
          </cell>
          <cell r="H1444" t="str">
            <v>kg</v>
          </cell>
          <cell r="I1444" t="str">
            <v>None</v>
          </cell>
          <cell r="J1444" t="str">
            <v>[PU] Sec_Copper_High_Grade</v>
          </cell>
          <cell r="K1444"/>
          <cell r="L1444" t="str">
            <v>See log sheet</v>
          </cell>
        </row>
        <row r="1445">
          <cell r="A1445" t="str">
            <v>[a] Secondary copper production, from high grade scrap</v>
          </cell>
          <cell r="B1445" t="str">
            <v>scrap waste</v>
          </cell>
          <cell r="C1445" t="str">
            <v>to technosphere (waste)</v>
          </cell>
          <cell r="D1445"/>
          <cell r="E1445" t="str">
            <v>Mass</v>
          </cell>
          <cell r="F1445">
            <v>4.7600000000000003E-2</v>
          </cell>
          <cell r="G1445" t="str">
            <v>kg</v>
          </cell>
          <cell r="H1445" t="str">
            <v>kg</v>
          </cell>
          <cell r="I1445" t="str">
            <v>None</v>
          </cell>
          <cell r="J1445" t="str">
            <v>[PU] Sec_Copper_High_Grade</v>
          </cell>
          <cell r="K1445"/>
          <cell r="L1445" t="str">
            <v>See log sheet</v>
          </cell>
        </row>
        <row r="1446">
          <cell r="A1446" t="str">
            <v>[a] Secondary copper production, from high grade scrap</v>
          </cell>
          <cell r="B1446" t="str">
            <v>anode slime</v>
          </cell>
          <cell r="C1446" t="str">
            <v>to technosphere (by-product)</v>
          </cell>
          <cell r="D1446">
            <v>711230</v>
          </cell>
          <cell r="E1446" t="str">
            <v>Mass</v>
          </cell>
          <cell r="F1446">
            <v>5.0000000000000001E-3</v>
          </cell>
          <cell r="G1446" t="str">
            <v>kg</v>
          </cell>
          <cell r="H1446" t="str">
            <v>kg</v>
          </cell>
          <cell r="I1446" t="str">
            <v>None</v>
          </cell>
          <cell r="J1446" t="str">
            <v>[PU] Sec_Copper_High_Grade</v>
          </cell>
          <cell r="K1446"/>
          <cell r="L1446" t="str">
            <v>See log sheet</v>
          </cell>
        </row>
        <row r="1447">
          <cell r="A1447" t="str">
            <v/>
          </cell>
          <cell r="B1447"/>
          <cell r="C1447"/>
          <cell r="D1447"/>
          <cell r="E1447"/>
          <cell r="F1447"/>
          <cell r="G1447"/>
          <cell r="H1447"/>
          <cell r="I1447"/>
          <cell r="J1447"/>
          <cell r="K1447"/>
          <cell r="L1447"/>
        </row>
        <row r="1448">
          <cell r="A1448" t="str">
            <v>[Zhang] Copper concentrate production, slag recycling</v>
          </cell>
          <cell r="B1448" t="str">
            <v>copper concentrate, from slag</v>
          </cell>
          <cell r="C1448" t="str">
            <v>reference_product</v>
          </cell>
          <cell r="D1448">
            <v>260300</v>
          </cell>
          <cell r="E1448" t="str">
            <v>Mass</v>
          </cell>
          <cell r="F1448">
            <v>1</v>
          </cell>
          <cell r="G1448" t="str">
            <v>kg</v>
          </cell>
          <cell r="H1448">
            <v>1</v>
          </cell>
          <cell r="I1448" t="str">
            <v>None</v>
          </cell>
          <cell r="J1448" t="str">
            <v>[PU] Conc_from_Slag</v>
          </cell>
          <cell r="K1448"/>
          <cell r="L1448" t="str">
            <v>See log sheet</v>
          </cell>
        </row>
        <row r="1449">
          <cell r="A1449" t="str">
            <v>[Zhang] Copper concentrate production, slag recycling</v>
          </cell>
          <cell r="B1449" t="str">
            <v>smelting slag</v>
          </cell>
          <cell r="C1449" t="str">
            <v>from technosphere (material)</v>
          </cell>
          <cell r="D1449">
            <v>262030</v>
          </cell>
          <cell r="E1449" t="str">
            <v>Mass</v>
          </cell>
          <cell r="F1449">
            <v>11</v>
          </cell>
          <cell r="G1449" t="str">
            <v>kg</v>
          </cell>
          <cell r="H1449" t="str">
            <v>kg</v>
          </cell>
          <cell r="I1449" t="str">
            <v>None</v>
          </cell>
          <cell r="J1449" t="str">
            <v>[PU] Conc_from_Slag</v>
          </cell>
          <cell r="K1449"/>
          <cell r="L1449" t="str">
            <v>See log sheet</v>
          </cell>
        </row>
        <row r="1450">
          <cell r="A1450" t="str">
            <v>[Zhang] Copper concentrate production, slag recycling</v>
          </cell>
          <cell r="B1450" t="str">
            <v>xanthate</v>
          </cell>
          <cell r="C1450" t="str">
            <v>from technosphere (material)</v>
          </cell>
          <cell r="D1450"/>
          <cell r="E1450" t="str">
            <v>Mass</v>
          </cell>
          <cell r="F1450">
            <v>2.7399999999999998E-3</v>
          </cell>
          <cell r="G1450" t="str">
            <v>kg</v>
          </cell>
          <cell r="H1450" t="str">
            <v>kg</v>
          </cell>
          <cell r="I1450" t="str">
            <v>None</v>
          </cell>
          <cell r="J1450" t="str">
            <v>[PU] Conc_from_Slag</v>
          </cell>
          <cell r="K1450"/>
          <cell r="L1450" t="str">
            <v>See log sheet</v>
          </cell>
        </row>
        <row r="1451">
          <cell r="A1451" t="str">
            <v>[Zhang] Copper concentrate production, slag recycling</v>
          </cell>
          <cell r="B1451" t="str">
            <v>turpentine</v>
          </cell>
          <cell r="C1451" t="str">
            <v>from technosphere (material)</v>
          </cell>
          <cell r="D1451"/>
          <cell r="E1451" t="str">
            <v>Mass</v>
          </cell>
          <cell r="F1451">
            <v>7.3499999999999998E-3</v>
          </cell>
          <cell r="G1451" t="str">
            <v>kg</v>
          </cell>
          <cell r="H1451" t="str">
            <v>kg</v>
          </cell>
          <cell r="I1451" t="str">
            <v>None</v>
          </cell>
          <cell r="J1451" t="str">
            <v>[PU] Conc_from_Slag</v>
          </cell>
          <cell r="K1451"/>
          <cell r="L1451" t="str">
            <v>See log sheet</v>
          </cell>
        </row>
        <row r="1452">
          <cell r="A1452" t="str">
            <v>[Zhang] Copper concentrate production, slag recycling</v>
          </cell>
          <cell r="B1452" t="str">
            <v>electricity</v>
          </cell>
          <cell r="C1452" t="str">
            <v>from technosphere (energy_carrier)</v>
          </cell>
          <cell r="D1452"/>
          <cell r="E1452" t="str">
            <v>Energy</v>
          </cell>
          <cell r="F1452">
            <v>0.96199999999999997</v>
          </cell>
          <cell r="G1452" t="str">
            <v>kWh</v>
          </cell>
          <cell r="H1452" t="str">
            <v>kg</v>
          </cell>
          <cell r="I1452" t="str">
            <v>None</v>
          </cell>
          <cell r="J1452" t="str">
            <v>[PU] Conc_from_Slag</v>
          </cell>
          <cell r="K1452"/>
          <cell r="L1452" t="str">
            <v>See log sheet</v>
          </cell>
        </row>
        <row r="1453">
          <cell r="A1453" t="str">
            <v>[Zhang] Copper concentrate production, slag recycling</v>
          </cell>
          <cell r="B1453" t="str">
            <v>slag tailings</v>
          </cell>
          <cell r="C1453" t="str">
            <v>to environment (emission)</v>
          </cell>
          <cell r="D1453"/>
          <cell r="E1453" t="str">
            <v>Mass</v>
          </cell>
          <cell r="F1453">
            <v>9.66</v>
          </cell>
          <cell r="G1453" t="str">
            <v>kg</v>
          </cell>
          <cell r="H1453" t="str">
            <v>kg</v>
          </cell>
          <cell r="I1453" t="str">
            <v>None</v>
          </cell>
          <cell r="J1453" t="str">
            <v>[PU] Conc_from_Slag</v>
          </cell>
          <cell r="K1453"/>
          <cell r="L1453" t="str">
            <v>See log sheet</v>
          </cell>
        </row>
        <row r="1454">
          <cell r="A1454" t="str">
            <v/>
          </cell>
          <cell r="B1454"/>
          <cell r="C1454"/>
          <cell r="D1454"/>
          <cell r="E1454"/>
          <cell r="F1454"/>
          <cell r="G1454"/>
          <cell r="H1454"/>
          <cell r="I1454"/>
          <cell r="J1454"/>
          <cell r="K1454"/>
          <cell r="L1454"/>
        </row>
        <row r="1455">
          <cell r="A1455" t="str">
            <v xml:space="preserve">[Zhang] Secondary copper production, ash recycling </v>
          </cell>
          <cell r="B1455" t="str">
            <v>recycling of 1kg of copper ash</v>
          </cell>
          <cell r="C1455" t="str">
            <v>reference_product</v>
          </cell>
          <cell r="D1455"/>
          <cell r="E1455" t="str">
            <v>Service</v>
          </cell>
          <cell r="F1455">
            <v>1</v>
          </cell>
          <cell r="G1455">
            <v>1</v>
          </cell>
          <cell r="H1455">
            <v>1</v>
          </cell>
          <cell r="I1455" t="str">
            <v>None</v>
          </cell>
          <cell r="J1455" t="str">
            <v>[PU] Copper_from_ash</v>
          </cell>
          <cell r="K1455"/>
          <cell r="L1455" t="str">
            <v>See log sheet</v>
          </cell>
        </row>
        <row r="1456">
          <cell r="A1456" t="str">
            <v xml:space="preserve">[Zhang] Secondary copper production, ash recycling </v>
          </cell>
          <cell r="B1456" t="str">
            <v>copper ash</v>
          </cell>
          <cell r="C1456" t="str">
            <v>from technosphere (material)</v>
          </cell>
          <cell r="D1456">
            <v>262030</v>
          </cell>
          <cell r="E1456" t="str">
            <v>Mass</v>
          </cell>
          <cell r="F1456">
            <v>1</v>
          </cell>
          <cell r="G1456" t="str">
            <v>kg</v>
          </cell>
          <cell r="H1456">
            <v>1</v>
          </cell>
          <cell r="I1456" t="str">
            <v>None</v>
          </cell>
          <cell r="J1456" t="str">
            <v>[PU] Copper_from_ash</v>
          </cell>
          <cell r="K1456"/>
          <cell r="L1456" t="str">
            <v>See log sheet</v>
          </cell>
        </row>
        <row r="1457">
          <cell r="A1457" t="str">
            <v xml:space="preserve">[Zhang] Secondary copper production, ash recycling </v>
          </cell>
          <cell r="B1457" t="str">
            <v>sulfuric acid</v>
          </cell>
          <cell r="C1457" t="str">
            <v>from technosphere (material)</v>
          </cell>
          <cell r="D1457"/>
          <cell r="E1457" t="str">
            <v>Mass</v>
          </cell>
          <cell r="F1457">
            <v>4.3200000000000002E-2</v>
          </cell>
          <cell r="G1457" t="str">
            <v>kg</v>
          </cell>
          <cell r="H1457">
            <v>1</v>
          </cell>
          <cell r="I1457" t="str">
            <v>None</v>
          </cell>
          <cell r="J1457" t="str">
            <v>[PU] Copper_from_ash</v>
          </cell>
          <cell r="K1457"/>
          <cell r="L1457" t="str">
            <v>See log sheet</v>
          </cell>
        </row>
        <row r="1458">
          <cell r="A1458" t="str">
            <v xml:space="preserve">[Zhang] Secondary copper production, ash recycling </v>
          </cell>
          <cell r="B1458" t="str">
            <v>limestone</v>
          </cell>
          <cell r="C1458" t="str">
            <v>from technosphere (material)</v>
          </cell>
          <cell r="D1458"/>
          <cell r="E1458" t="str">
            <v>Mass</v>
          </cell>
          <cell r="F1458">
            <v>8.7800000000000003E-2</v>
          </cell>
          <cell r="G1458" t="str">
            <v>kg</v>
          </cell>
          <cell r="H1458">
            <v>1</v>
          </cell>
          <cell r="I1458" t="str">
            <v>None</v>
          </cell>
          <cell r="J1458" t="str">
            <v>[PU] Copper_from_ash</v>
          </cell>
          <cell r="K1458"/>
          <cell r="L1458" t="str">
            <v>See log sheet</v>
          </cell>
        </row>
        <row r="1459">
          <cell r="A1459" t="str">
            <v xml:space="preserve">[Zhang] Secondary copper production, ash recycling </v>
          </cell>
          <cell r="B1459" t="str">
            <v>zinc oxide</v>
          </cell>
          <cell r="C1459" t="str">
            <v>from technosphere (material)</v>
          </cell>
          <cell r="D1459"/>
          <cell r="E1459" t="str">
            <v>Mass</v>
          </cell>
          <cell r="F1459">
            <v>1.0699999999999999E-2</v>
          </cell>
          <cell r="G1459" t="str">
            <v>kg</v>
          </cell>
          <cell r="H1459">
            <v>1</v>
          </cell>
          <cell r="I1459" t="str">
            <v>None</v>
          </cell>
          <cell r="J1459" t="str">
            <v>[PU] Copper_from_ash</v>
          </cell>
          <cell r="K1459"/>
          <cell r="L1459" t="str">
            <v>See log sheet</v>
          </cell>
        </row>
        <row r="1460">
          <cell r="A1460" t="str">
            <v xml:space="preserve">[Zhang] Secondary copper production, ash recycling </v>
          </cell>
          <cell r="B1460" t="str">
            <v>electricity</v>
          </cell>
          <cell r="C1460" t="str">
            <v>from technosphere (energy_carrier)</v>
          </cell>
          <cell r="D1460"/>
          <cell r="E1460" t="str">
            <v>Energy</v>
          </cell>
          <cell r="F1460">
            <v>0.78500000000000003</v>
          </cell>
          <cell r="G1460" t="str">
            <v>kWh</v>
          </cell>
          <cell r="H1460">
            <v>1</v>
          </cell>
          <cell r="I1460" t="str">
            <v>None</v>
          </cell>
          <cell r="J1460" t="str">
            <v>[PU] Copper_from_ash</v>
          </cell>
          <cell r="K1460"/>
          <cell r="L1460" t="str">
            <v>See log sheet</v>
          </cell>
        </row>
        <row r="1461">
          <cell r="A1461" t="str">
            <v xml:space="preserve">[Zhang] Secondary copper production, ash recycling </v>
          </cell>
          <cell r="B1461" t="str">
            <v>steam</v>
          </cell>
          <cell r="C1461" t="str">
            <v>from technosphere (energy_carrier)</v>
          </cell>
          <cell r="D1461"/>
          <cell r="E1461" t="str">
            <v>Mass</v>
          </cell>
          <cell r="F1461">
            <v>3.45</v>
          </cell>
          <cell r="G1461" t="str">
            <v>kg</v>
          </cell>
          <cell r="H1461">
            <v>1</v>
          </cell>
          <cell r="I1461" t="str">
            <v>None</v>
          </cell>
          <cell r="J1461" t="str">
            <v>[PU] Copper_from_ash</v>
          </cell>
          <cell r="K1461"/>
          <cell r="L1461" t="str">
            <v>See log sheet</v>
          </cell>
        </row>
        <row r="1462">
          <cell r="A1462" t="str">
            <v xml:space="preserve">[Zhang] Secondary copper production, ash recycling </v>
          </cell>
          <cell r="B1462" t="str">
            <v>water</v>
          </cell>
          <cell r="C1462" t="str">
            <v>from technosphere (material)</v>
          </cell>
          <cell r="D1462"/>
          <cell r="E1462" t="str">
            <v>Mass</v>
          </cell>
          <cell r="F1462">
            <v>1.1299999999999999</v>
          </cell>
          <cell r="G1462" t="str">
            <v>kg</v>
          </cell>
          <cell r="H1462">
            <v>1</v>
          </cell>
          <cell r="I1462" t="str">
            <v>None</v>
          </cell>
          <cell r="J1462" t="str">
            <v>[PU] Copper_from_ash</v>
          </cell>
          <cell r="K1462"/>
          <cell r="L1462" t="str">
            <v>See log sheet</v>
          </cell>
        </row>
        <row r="1463">
          <cell r="A1463" t="str">
            <v xml:space="preserve">[Zhang] Secondary copper production, ash recycling </v>
          </cell>
          <cell r="B1463" t="str">
            <v>copper, cathode</v>
          </cell>
          <cell r="C1463" t="str">
            <v>to technosphere (by-product)</v>
          </cell>
          <cell r="D1463">
            <v>7403</v>
          </cell>
          <cell r="E1463" t="str">
            <v>Mass</v>
          </cell>
          <cell r="F1463">
            <v>2.0400000000000001E-2</v>
          </cell>
          <cell r="G1463" t="str">
            <v>kg</v>
          </cell>
          <cell r="H1463">
            <v>1</v>
          </cell>
          <cell r="I1463" t="str">
            <v>None</v>
          </cell>
          <cell r="J1463" t="str">
            <v>[PU] Copper_from_ash</v>
          </cell>
          <cell r="K1463"/>
          <cell r="L1463" t="str">
            <v>See log sheet</v>
          </cell>
        </row>
        <row r="1464">
          <cell r="A1464" t="str">
            <v xml:space="preserve">[Zhang] Secondary copper production, ash recycling </v>
          </cell>
          <cell r="B1464" t="str">
            <v>sponge cadmium</v>
          </cell>
          <cell r="C1464" t="str">
            <v>to technosphere (by-product)</v>
          </cell>
          <cell r="D1464">
            <v>8107</v>
          </cell>
          <cell r="E1464" t="str">
            <v>Mass</v>
          </cell>
          <cell r="F1464">
            <v>3.8999999999999999E-4</v>
          </cell>
          <cell r="G1464" t="str">
            <v>kg</v>
          </cell>
          <cell r="H1464">
            <v>1</v>
          </cell>
          <cell r="I1464" t="str">
            <v>None</v>
          </cell>
          <cell r="J1464" t="str">
            <v>[PU] Copper_from_ash</v>
          </cell>
          <cell r="K1464"/>
          <cell r="L1464" t="str">
            <v>See log sheet</v>
          </cell>
        </row>
        <row r="1465">
          <cell r="A1465" t="str">
            <v xml:space="preserve">[Zhang] Secondary copper production, ash recycling </v>
          </cell>
          <cell r="B1465" t="str">
            <v>zinc sulfate</v>
          </cell>
          <cell r="C1465" t="str">
            <v>to technosphere (by-product)</v>
          </cell>
          <cell r="D1465">
            <v>2817</v>
          </cell>
          <cell r="E1465" t="str">
            <v>Mass</v>
          </cell>
          <cell r="F1465">
            <v>0.25800000000000001</v>
          </cell>
          <cell r="G1465" t="str">
            <v>kg</v>
          </cell>
          <cell r="H1465">
            <v>1</v>
          </cell>
          <cell r="I1465" t="str">
            <v>None</v>
          </cell>
          <cell r="J1465" t="str">
            <v>[PU] Copper_from_ash</v>
          </cell>
          <cell r="K1465"/>
          <cell r="L1465" t="str">
            <v>See log sheet</v>
          </cell>
        </row>
        <row r="1466">
          <cell r="A1466" t="str">
            <v xml:space="preserve">[Zhang] Secondary copper production, ash recycling </v>
          </cell>
          <cell r="B1466" t="str">
            <v>leach residue</v>
          </cell>
          <cell r="C1466" t="str">
            <v>to environment (emission)</v>
          </cell>
          <cell r="D1466"/>
          <cell r="E1466" t="str">
            <v>Mass</v>
          </cell>
          <cell r="F1466">
            <v>0.56499999999999995</v>
          </cell>
          <cell r="G1466" t="str">
            <v>kg</v>
          </cell>
          <cell r="H1466">
            <v>1</v>
          </cell>
          <cell r="I1466" t="str">
            <v>None</v>
          </cell>
          <cell r="J1466" t="str">
            <v>[PU] Copper_from_ash</v>
          </cell>
          <cell r="K1466"/>
          <cell r="L1466" t="str">
            <v>See log sheet</v>
          </cell>
        </row>
        <row r="1467">
          <cell r="A1467" t="str">
            <v/>
          </cell>
          <cell r="B1467"/>
          <cell r="C1467"/>
          <cell r="D1467"/>
          <cell r="E1467"/>
          <cell r="F1467"/>
          <cell r="G1467"/>
          <cell r="H1467"/>
          <cell r="I1467"/>
          <cell r="J1467"/>
          <cell r="K1467"/>
          <cell r="L1467"/>
        </row>
        <row r="1468">
          <cell r="A1468" t="str">
            <v>[Zhang2021] Processing of anode slime, from copper waste</v>
          </cell>
          <cell r="B1468" t="str">
            <v>extraction of metals from anode slime 1kg</v>
          </cell>
          <cell r="C1468" t="str">
            <v>reference_product</v>
          </cell>
          <cell r="D1468"/>
          <cell r="E1468" t="str">
            <v>Service</v>
          </cell>
          <cell r="F1468">
            <v>1</v>
          </cell>
          <cell r="G1468">
            <v>1</v>
          </cell>
          <cell r="H1468">
            <v>1</v>
          </cell>
          <cell r="I1468" t="str">
            <v>None</v>
          </cell>
          <cell r="J1468" t="str">
            <v>[PU] AS_treatment_from_Copper_Waste</v>
          </cell>
          <cell r="K1468"/>
          <cell r="L1468" t="str">
            <v>See log sheet</v>
          </cell>
        </row>
        <row r="1469">
          <cell r="A1469" t="str">
            <v>[Zhang2021] Processing of anode slime, from copper waste</v>
          </cell>
          <cell r="B1469" t="str">
            <v>Ammonia</v>
          </cell>
          <cell r="C1469" t="str">
            <v>from technosphere (material)</v>
          </cell>
          <cell r="D1469"/>
          <cell r="E1469" t="str">
            <v>Mass</v>
          </cell>
          <cell r="F1469">
            <v>0.23</v>
          </cell>
          <cell r="G1469" t="str">
            <v>kg</v>
          </cell>
          <cell r="H1469">
            <v>1</v>
          </cell>
          <cell r="I1469" t="str">
            <v>None</v>
          </cell>
          <cell r="J1469" t="str">
            <v>[PU] AS_treatment_from_Copper_Waste</v>
          </cell>
          <cell r="K1469"/>
          <cell r="L1469" t="str">
            <v>See log sheet</v>
          </cell>
        </row>
        <row r="1470">
          <cell r="A1470" t="str">
            <v>[Zhang2021] Processing of anode slime, from copper waste</v>
          </cell>
          <cell r="B1470" t="str">
            <v>anode slime</v>
          </cell>
          <cell r="C1470" t="str">
            <v>from technosphere (material)</v>
          </cell>
          <cell r="D1470"/>
          <cell r="E1470" t="str">
            <v>Mass</v>
          </cell>
          <cell r="F1470">
            <v>1</v>
          </cell>
          <cell r="G1470" t="str">
            <v>kg</v>
          </cell>
          <cell r="H1470">
            <v>1</v>
          </cell>
          <cell r="I1470" t="str">
            <v>None</v>
          </cell>
          <cell r="J1470" t="str">
            <v>[PU] AS_treatment_from_Copper_Waste</v>
          </cell>
          <cell r="K1470"/>
          <cell r="L1470" t="str">
            <v>See log sheet</v>
          </cell>
        </row>
        <row r="1471">
          <cell r="A1471" t="str">
            <v>[Zhang2021] Processing of anode slime, from copper waste</v>
          </cell>
          <cell r="B1471" t="str">
            <v>electricity</v>
          </cell>
          <cell r="C1471" t="str">
            <v>from technosphere (energy_carrier)</v>
          </cell>
          <cell r="D1471"/>
          <cell r="E1471" t="str">
            <v>Energy</v>
          </cell>
          <cell r="F1471">
            <v>4.8</v>
          </cell>
          <cell r="G1471" t="str">
            <v>MJ</v>
          </cell>
          <cell r="H1471">
            <v>1</v>
          </cell>
          <cell r="I1471" t="str">
            <v>None</v>
          </cell>
          <cell r="J1471" t="str">
            <v>[PU] AS_treatment_from_Copper_Waste</v>
          </cell>
          <cell r="K1471"/>
          <cell r="L1471" t="str">
            <v>See log sheet</v>
          </cell>
        </row>
        <row r="1472">
          <cell r="A1472" t="str">
            <v>[Zhang2021] Processing of anode slime, from copper waste</v>
          </cell>
          <cell r="B1472" t="str">
            <v>Hard Coal</v>
          </cell>
          <cell r="C1472" t="str">
            <v>from technosphere (energy_carrier)</v>
          </cell>
          <cell r="D1472"/>
          <cell r="E1472" t="str">
            <v>Mass</v>
          </cell>
          <cell r="F1472">
            <v>0.747</v>
          </cell>
          <cell r="G1472" t="str">
            <v>kg</v>
          </cell>
          <cell r="H1472">
            <v>1</v>
          </cell>
          <cell r="I1472" t="str">
            <v>None</v>
          </cell>
          <cell r="J1472" t="str">
            <v>[PU] AS_treatment_from_Copper_Waste</v>
          </cell>
          <cell r="K1472"/>
          <cell r="L1472" t="str">
            <v>See log sheet</v>
          </cell>
        </row>
        <row r="1473">
          <cell r="A1473" t="str">
            <v>[Zhang2021] Processing of anode slime, from copper waste</v>
          </cell>
          <cell r="B1473" t="str">
            <v>hydrazine</v>
          </cell>
          <cell r="C1473" t="str">
            <v>from technosphere (material)</v>
          </cell>
          <cell r="D1473"/>
          <cell r="E1473" t="str">
            <v>Mass</v>
          </cell>
          <cell r="F1473">
            <v>6.6699999999999995E-4</v>
          </cell>
          <cell r="G1473" t="str">
            <v>kg</v>
          </cell>
          <cell r="H1473">
            <v>1</v>
          </cell>
          <cell r="I1473" t="str">
            <v>None</v>
          </cell>
          <cell r="J1473" t="str">
            <v>[PU] AS_treatment_from_Copper_Waste</v>
          </cell>
          <cell r="K1473"/>
          <cell r="L1473" t="str">
            <v>See log sheet</v>
          </cell>
        </row>
        <row r="1474">
          <cell r="A1474" t="str">
            <v>[Zhang2021] Processing of anode slime, from copper waste</v>
          </cell>
          <cell r="B1474" t="str">
            <v>hydrochloric acid</v>
          </cell>
          <cell r="C1474" t="str">
            <v>from technosphere (material)</v>
          </cell>
          <cell r="D1474"/>
          <cell r="E1474" t="str">
            <v>Mass</v>
          </cell>
          <cell r="F1474">
            <v>6.4000000000000003E-3</v>
          </cell>
          <cell r="G1474" t="str">
            <v>kg</v>
          </cell>
          <cell r="H1474">
            <v>1</v>
          </cell>
          <cell r="I1474" t="str">
            <v>None</v>
          </cell>
          <cell r="J1474" t="str">
            <v>[PU] AS_treatment_from_Copper_Waste</v>
          </cell>
          <cell r="K1474"/>
          <cell r="L1474" t="str">
            <v>See log sheet</v>
          </cell>
        </row>
        <row r="1475">
          <cell r="A1475" t="str">
            <v>[Zhang2021] Processing of anode slime, from copper waste</v>
          </cell>
          <cell r="B1475" t="str">
            <v>quicklime</v>
          </cell>
          <cell r="C1475" t="str">
            <v>from technosphere (material)</v>
          </cell>
          <cell r="D1475"/>
          <cell r="E1475" t="str">
            <v>Mass</v>
          </cell>
          <cell r="F1475">
            <v>0.5</v>
          </cell>
          <cell r="G1475" t="str">
            <v>kg</v>
          </cell>
          <cell r="H1475">
            <v>1</v>
          </cell>
          <cell r="I1475" t="str">
            <v>None</v>
          </cell>
          <cell r="J1475" t="str">
            <v>[PU] AS_treatment_from_Copper_Waste</v>
          </cell>
          <cell r="K1475"/>
          <cell r="L1475" t="str">
            <v>See log sheet</v>
          </cell>
        </row>
        <row r="1476">
          <cell r="A1476" t="str">
            <v>[Zhang2021] Processing of anode slime, from copper waste</v>
          </cell>
          <cell r="B1476" t="str">
            <v>natural gas</v>
          </cell>
          <cell r="C1476" t="str">
            <v>from technosphere (energy_carrier)</v>
          </cell>
          <cell r="D1476"/>
          <cell r="E1476" t="str">
            <v>Mass</v>
          </cell>
          <cell r="F1476">
            <v>0.12</v>
          </cell>
          <cell r="G1476" t="str">
            <v>kg</v>
          </cell>
          <cell r="H1476">
            <v>1</v>
          </cell>
          <cell r="I1476" t="str">
            <v>None</v>
          </cell>
          <cell r="J1476" t="str">
            <v>[PU] AS_treatment_from_Copper_Waste</v>
          </cell>
          <cell r="K1476"/>
          <cell r="L1476" t="str">
            <v>See log sheet</v>
          </cell>
        </row>
        <row r="1477">
          <cell r="A1477" t="str">
            <v>[Zhang2021] Processing of anode slime, from copper waste</v>
          </cell>
          <cell r="B1477" t="str">
            <v>nitric acid</v>
          </cell>
          <cell r="C1477" t="str">
            <v>from technosphere (material)</v>
          </cell>
          <cell r="D1477"/>
          <cell r="E1477" t="str">
            <v>Mass</v>
          </cell>
          <cell r="F1477">
            <v>4.0000000000000001E-3</v>
          </cell>
          <cell r="G1477" t="str">
            <v>kg</v>
          </cell>
          <cell r="H1477">
            <v>1</v>
          </cell>
          <cell r="I1477" t="str">
            <v>None</v>
          </cell>
          <cell r="J1477" t="str">
            <v>[PU] AS_treatment_from_Copper_Waste</v>
          </cell>
          <cell r="K1477"/>
          <cell r="L1477" t="str">
            <v>See log sheet</v>
          </cell>
        </row>
        <row r="1478">
          <cell r="A1478" t="str">
            <v>[Zhang2021] Processing of anode slime, from copper waste</v>
          </cell>
          <cell r="B1478" t="str">
            <v>oxalic acid</v>
          </cell>
          <cell r="C1478" t="str">
            <v>from technosphere (material)</v>
          </cell>
          <cell r="D1478"/>
          <cell r="E1478" t="str">
            <v>Mass</v>
          </cell>
          <cell r="F1478">
            <v>1.3299999999999999E-2</v>
          </cell>
          <cell r="G1478" t="str">
            <v>kg</v>
          </cell>
          <cell r="H1478">
            <v>1</v>
          </cell>
          <cell r="I1478" t="str">
            <v>None</v>
          </cell>
          <cell r="J1478" t="str">
            <v>[PU] AS_treatment_from_Copper_Waste</v>
          </cell>
          <cell r="K1478"/>
          <cell r="L1478" t="str">
            <v>See log sheet</v>
          </cell>
        </row>
        <row r="1479">
          <cell r="A1479" t="str">
            <v>[Zhang2021] Processing of anode slime, from copper waste</v>
          </cell>
          <cell r="B1479" t="str">
            <v>cast iron</v>
          </cell>
          <cell r="C1479" t="str">
            <v>from technosphere (material)</v>
          </cell>
          <cell r="D1479"/>
          <cell r="E1479" t="str">
            <v>Mass</v>
          </cell>
          <cell r="F1479">
            <v>1.4</v>
          </cell>
          <cell r="G1479" t="str">
            <v>kg</v>
          </cell>
          <cell r="H1479">
            <v>1</v>
          </cell>
          <cell r="I1479" t="str">
            <v>None</v>
          </cell>
          <cell r="J1479" t="str">
            <v>[PU] AS_treatment_from_Copper_Waste</v>
          </cell>
          <cell r="K1479"/>
          <cell r="L1479" t="str">
            <v>See log sheet</v>
          </cell>
        </row>
        <row r="1480">
          <cell r="A1480" t="str">
            <v>[Zhang2021] Processing of anode slime, from copper waste</v>
          </cell>
          <cell r="B1480" t="str">
            <v>sodium carbonate</v>
          </cell>
          <cell r="C1480" t="str">
            <v>from technosphere (material)</v>
          </cell>
          <cell r="D1480"/>
          <cell r="E1480" t="str">
            <v>Mass</v>
          </cell>
          <cell r="F1480">
            <v>0.4</v>
          </cell>
          <cell r="G1480" t="str">
            <v>kg</v>
          </cell>
          <cell r="H1480">
            <v>1</v>
          </cell>
          <cell r="I1480" t="str">
            <v>None</v>
          </cell>
          <cell r="J1480" t="str">
            <v>[PU] AS_treatment_from_Copper_Waste</v>
          </cell>
          <cell r="K1480"/>
          <cell r="L1480" t="str">
            <v>See log sheet</v>
          </cell>
        </row>
        <row r="1481">
          <cell r="A1481" t="str">
            <v>[Zhang2021] Processing of anode slime, from copper waste</v>
          </cell>
          <cell r="B1481" t="str">
            <v>sodium chlorate</v>
          </cell>
          <cell r="C1481" t="str">
            <v>from technosphere (material)</v>
          </cell>
          <cell r="D1481"/>
          <cell r="E1481" t="str">
            <v>Mass</v>
          </cell>
          <cell r="F1481">
            <v>0.4</v>
          </cell>
          <cell r="G1481" t="str">
            <v>kg</v>
          </cell>
          <cell r="H1481">
            <v>1</v>
          </cell>
          <cell r="I1481" t="str">
            <v>None</v>
          </cell>
          <cell r="J1481" t="str">
            <v>[PU] AS_treatment_from_Copper_Waste</v>
          </cell>
          <cell r="K1481"/>
          <cell r="L1481" t="str">
            <v>See log sheet</v>
          </cell>
        </row>
        <row r="1482">
          <cell r="A1482" t="str">
            <v>[Zhang2021] Processing of anode slime, from copper waste</v>
          </cell>
          <cell r="B1482" t="str">
            <v>sodium chloride</v>
          </cell>
          <cell r="C1482" t="str">
            <v>from technosphere (material)</v>
          </cell>
          <cell r="D1482"/>
          <cell r="E1482" t="str">
            <v>Mass</v>
          </cell>
          <cell r="F1482">
            <v>0.2</v>
          </cell>
          <cell r="G1482" t="str">
            <v>kg</v>
          </cell>
          <cell r="H1482">
            <v>1</v>
          </cell>
          <cell r="I1482" t="str">
            <v>None</v>
          </cell>
          <cell r="J1482" t="str">
            <v>[PU] AS_treatment_from_Copper_Waste</v>
          </cell>
          <cell r="K1482"/>
          <cell r="L1482" t="str">
            <v>See log sheet</v>
          </cell>
        </row>
        <row r="1483">
          <cell r="A1483" t="str">
            <v>[Zhang2021] Processing of anode slime, from copper waste</v>
          </cell>
          <cell r="B1483" t="str">
            <v>Sodium Hydroxide</v>
          </cell>
          <cell r="C1483" t="str">
            <v>from technosphere (material)</v>
          </cell>
          <cell r="D1483"/>
          <cell r="E1483" t="str">
            <v>Mass</v>
          </cell>
          <cell r="F1483">
            <v>0.1</v>
          </cell>
          <cell r="G1483" t="str">
            <v>kg</v>
          </cell>
          <cell r="H1483">
            <v>1</v>
          </cell>
          <cell r="I1483" t="str">
            <v>None</v>
          </cell>
          <cell r="J1483" t="str">
            <v>[PU] AS_treatment_from_Copper_Waste</v>
          </cell>
          <cell r="K1483"/>
          <cell r="L1483" t="str">
            <v>See log sheet</v>
          </cell>
        </row>
        <row r="1484">
          <cell r="A1484" t="str">
            <v>[Zhang2021] Processing of anode slime, from copper waste</v>
          </cell>
          <cell r="B1484" t="str">
            <v>sodium sulfite</v>
          </cell>
          <cell r="C1484" t="str">
            <v>from technosphere (material)</v>
          </cell>
          <cell r="D1484"/>
          <cell r="E1484" t="str">
            <v>Mass</v>
          </cell>
          <cell r="F1484">
            <v>0.2</v>
          </cell>
          <cell r="G1484" t="str">
            <v>kg</v>
          </cell>
          <cell r="H1484">
            <v>1</v>
          </cell>
          <cell r="I1484" t="str">
            <v>None</v>
          </cell>
          <cell r="J1484" t="str">
            <v>[PU] AS_treatment_from_Copper_Waste</v>
          </cell>
          <cell r="K1484"/>
          <cell r="L1484" t="str">
            <v>See log sheet</v>
          </cell>
        </row>
        <row r="1485">
          <cell r="A1485" t="str">
            <v>[Zhang2021] Processing of anode slime, from copper waste</v>
          </cell>
          <cell r="B1485" t="str">
            <v>sulfuric acid</v>
          </cell>
          <cell r="C1485" t="str">
            <v>from technosphere (material)</v>
          </cell>
          <cell r="D1485"/>
          <cell r="E1485" t="str">
            <v>Mass</v>
          </cell>
          <cell r="F1485">
            <v>1.18</v>
          </cell>
          <cell r="G1485" t="str">
            <v>kg</v>
          </cell>
          <cell r="H1485">
            <v>1</v>
          </cell>
          <cell r="I1485" t="str">
            <v>None</v>
          </cell>
          <cell r="J1485" t="str">
            <v>[PU] AS_treatment_from_Copper_Waste</v>
          </cell>
          <cell r="K1485"/>
          <cell r="L1485" t="str">
            <v>See log sheet</v>
          </cell>
        </row>
        <row r="1486">
          <cell r="A1486" t="str">
            <v>[Zhang2021] Processing of anode slime, from copper waste</v>
          </cell>
          <cell r="B1486" t="str">
            <v>water</v>
          </cell>
          <cell r="C1486" t="str">
            <v>from environment (natural resource)</v>
          </cell>
          <cell r="D1486"/>
          <cell r="E1486" t="str">
            <v>Mass</v>
          </cell>
          <cell r="F1486">
            <v>0.28000000000000003</v>
          </cell>
          <cell r="G1486" t="str">
            <v>kg</v>
          </cell>
          <cell r="H1486">
            <v>1</v>
          </cell>
          <cell r="I1486" t="str">
            <v>None</v>
          </cell>
          <cell r="J1486" t="str">
            <v>[PU] AS_treatment_from_Copper_Waste</v>
          </cell>
          <cell r="K1486"/>
          <cell r="L1486" t="str">
            <v>See log sheet</v>
          </cell>
        </row>
        <row r="1487">
          <cell r="A1487" t="str">
            <v>[Zhang2021] Processing of anode slime, from copper waste</v>
          </cell>
          <cell r="B1487" t="str">
            <v>zinc dust</v>
          </cell>
          <cell r="C1487" t="str">
            <v>to technosphere (by-product)</v>
          </cell>
          <cell r="D1487"/>
          <cell r="E1487" t="str">
            <v>Mass</v>
          </cell>
          <cell r="F1487">
            <v>0.02</v>
          </cell>
          <cell r="G1487" t="str">
            <v>kg</v>
          </cell>
          <cell r="H1487">
            <v>1</v>
          </cell>
          <cell r="I1487" t="str">
            <v>None</v>
          </cell>
          <cell r="J1487" t="str">
            <v>[PU] AS_treatment_from_Copper_Waste</v>
          </cell>
          <cell r="K1487"/>
          <cell r="L1487" t="str">
            <v>See log sheet</v>
          </cell>
        </row>
        <row r="1488">
          <cell r="A1488" t="str">
            <v>[Zhang2021] Processing of anode slime, from copper waste</v>
          </cell>
          <cell r="B1488" t="str">
            <v>copper scrap for smelting</v>
          </cell>
          <cell r="C1488" t="str">
            <v>to technosphere (by-product)</v>
          </cell>
          <cell r="D1488"/>
          <cell r="E1488" t="str">
            <v>Mass</v>
          </cell>
          <cell r="F1488">
            <v>0.2</v>
          </cell>
          <cell r="G1488" t="str">
            <v>kg</v>
          </cell>
          <cell r="H1488">
            <v>1</v>
          </cell>
          <cell r="I1488" t="str">
            <v>None</v>
          </cell>
          <cell r="J1488" t="str">
            <v>[PU] AS_treatment_from_Copper_Waste</v>
          </cell>
          <cell r="K1488"/>
          <cell r="L1488" t="str">
            <v>See log sheet</v>
          </cell>
        </row>
        <row r="1489">
          <cell r="A1489" t="str">
            <v>[Zhang2021] Processing of anode slime, from copper waste</v>
          </cell>
          <cell r="B1489" t="str">
            <v>carbon dioxide</v>
          </cell>
          <cell r="C1489" t="str">
            <v>to environment (emission)</v>
          </cell>
          <cell r="D1489"/>
          <cell r="E1489" t="str">
            <v>Mass</v>
          </cell>
          <cell r="F1489">
            <v>1</v>
          </cell>
          <cell r="G1489" t="str">
            <v>kg</v>
          </cell>
          <cell r="H1489">
            <v>1</v>
          </cell>
          <cell r="I1489" t="str">
            <v>None</v>
          </cell>
          <cell r="J1489" t="str">
            <v>[PU] AS_treatment_from_Copper_Waste</v>
          </cell>
          <cell r="K1489"/>
          <cell r="L1489" t="str">
            <v>See log sheet</v>
          </cell>
        </row>
        <row r="1490">
          <cell r="A1490" t="str">
            <v>[Zhang2021] Processing of anode slime, from copper waste</v>
          </cell>
          <cell r="B1490" t="str">
            <v>flue gas</v>
          </cell>
          <cell r="C1490" t="str">
            <v>to environment (emission)</v>
          </cell>
          <cell r="D1490"/>
          <cell r="E1490" t="str">
            <v>Mass</v>
          </cell>
          <cell r="F1490">
            <v>4.71</v>
          </cell>
          <cell r="G1490" t="str">
            <v>kg</v>
          </cell>
          <cell r="H1490">
            <v>1</v>
          </cell>
          <cell r="I1490" t="str">
            <v>None</v>
          </cell>
          <cell r="J1490" t="str">
            <v>[PU] AS_treatment_from_Copper_Waste</v>
          </cell>
          <cell r="K1490"/>
          <cell r="L1490" t="str">
            <v>See log sheet</v>
          </cell>
        </row>
        <row r="1491">
          <cell r="A1491" t="str">
            <v>[Zhang2021] Processing of anode slime, from copper waste</v>
          </cell>
          <cell r="B1491" t="str">
            <v>treatment residue</v>
          </cell>
          <cell r="C1491" t="str">
            <v>to technosphere (waste)</v>
          </cell>
          <cell r="D1491"/>
          <cell r="E1491" t="str">
            <v>Mass</v>
          </cell>
          <cell r="F1491">
            <v>0.53300000000000003</v>
          </cell>
          <cell r="G1491" t="str">
            <v>kg</v>
          </cell>
          <cell r="H1491">
            <v>1</v>
          </cell>
          <cell r="I1491" t="str">
            <v>None</v>
          </cell>
          <cell r="J1491" t="str">
            <v>[PU] AS_treatment_from_Copper_Waste</v>
          </cell>
          <cell r="K1491"/>
          <cell r="L1491" t="str">
            <v>See log sheet</v>
          </cell>
        </row>
        <row r="1492">
          <cell r="A1492" t="str">
            <v>[Zhang2021] Processing of anode slime, from copper waste</v>
          </cell>
          <cell r="B1492" t="str">
            <v>waste</v>
          </cell>
          <cell r="C1492" t="str">
            <v>to technosphere (waste)</v>
          </cell>
          <cell r="D1492"/>
          <cell r="E1492" t="str">
            <v>Mass</v>
          </cell>
          <cell r="F1492">
            <v>0.22700000000000001</v>
          </cell>
          <cell r="G1492" t="str">
            <v>kg</v>
          </cell>
          <cell r="H1492">
            <v>1</v>
          </cell>
          <cell r="I1492" t="str">
            <v>None</v>
          </cell>
          <cell r="J1492" t="str">
            <v>[PU] AS_treatment_from_Copper_Waste</v>
          </cell>
          <cell r="K1492"/>
          <cell r="L1492" t="str">
            <v>See log sheet</v>
          </cell>
        </row>
        <row r="1493">
          <cell r="A1493" t="str">
            <v>[Zhang2021] Processing of anode slime, from copper waste</v>
          </cell>
          <cell r="B1493" t="str">
            <v>gold</v>
          </cell>
          <cell r="C1493" t="str">
            <v>to technosphere (by-product)</v>
          </cell>
          <cell r="D1493">
            <v>7108</v>
          </cell>
          <cell r="E1493" t="str">
            <v>Mass</v>
          </cell>
          <cell r="F1493">
            <v>1E-3</v>
          </cell>
          <cell r="G1493" t="str">
            <v>kg</v>
          </cell>
          <cell r="H1493">
            <v>1</v>
          </cell>
          <cell r="I1493" t="str">
            <v>None</v>
          </cell>
          <cell r="J1493" t="str">
            <v>[PU] AS_treatment_from_Copper_Waste</v>
          </cell>
          <cell r="K1493"/>
          <cell r="L1493" t="str">
            <v>See log sheet</v>
          </cell>
        </row>
        <row r="1494">
          <cell r="A1494" t="str">
            <v>[Zhang2021] Processing of anode slime, from copper waste</v>
          </cell>
          <cell r="B1494" t="str">
            <v>nickel carbonate</v>
          </cell>
          <cell r="C1494" t="str">
            <v>to technosphere (by-product)</v>
          </cell>
          <cell r="D1494">
            <v>282540</v>
          </cell>
          <cell r="E1494" t="str">
            <v>Mass</v>
          </cell>
          <cell r="F1494">
            <v>9.3299999999999994E-2</v>
          </cell>
          <cell r="G1494" t="str">
            <v>kg</v>
          </cell>
          <cell r="H1494">
            <v>1</v>
          </cell>
          <cell r="I1494" t="str">
            <v>None</v>
          </cell>
          <cell r="J1494" t="str">
            <v>[PU] AS_treatment_from_Copper_Waste</v>
          </cell>
          <cell r="K1494"/>
          <cell r="L1494" t="str">
            <v>See log sheet</v>
          </cell>
        </row>
        <row r="1495">
          <cell r="A1495" t="str">
            <v>[Zhang2021] Processing of anode slime, from copper waste</v>
          </cell>
          <cell r="B1495" t="str">
            <v>selenium</v>
          </cell>
          <cell r="C1495" t="str">
            <v>to technosphere (by-product)</v>
          </cell>
          <cell r="D1495">
            <v>280490</v>
          </cell>
          <cell r="E1495" t="str">
            <v>Mass</v>
          </cell>
          <cell r="F1495">
            <v>3.3300000000000003E-2</v>
          </cell>
          <cell r="G1495" t="str">
            <v>kg</v>
          </cell>
          <cell r="H1495">
            <v>1</v>
          </cell>
          <cell r="I1495" t="str">
            <v>None</v>
          </cell>
          <cell r="J1495" t="str">
            <v>[PU] AS_treatment_from_Copper_Waste</v>
          </cell>
          <cell r="K1495"/>
          <cell r="L1495" t="str">
            <v>See log sheet</v>
          </cell>
        </row>
        <row r="1496">
          <cell r="A1496" t="str">
            <v>[Zhang2021] Processing of anode slime, from copper waste</v>
          </cell>
          <cell r="B1496" t="str">
            <v>silver</v>
          </cell>
          <cell r="C1496" t="str">
            <v>to technosphere (by-product)</v>
          </cell>
          <cell r="D1496">
            <v>7106</v>
          </cell>
          <cell r="E1496" t="str">
            <v>Mass</v>
          </cell>
          <cell r="F1496">
            <v>0.06</v>
          </cell>
          <cell r="G1496" t="str">
            <v>kg</v>
          </cell>
          <cell r="H1496">
            <v>1</v>
          </cell>
          <cell r="I1496" t="str">
            <v>None</v>
          </cell>
          <cell r="J1496" t="str">
            <v>[PU] AS_treatment_from_Copper_Waste</v>
          </cell>
          <cell r="K1496"/>
          <cell r="L1496" t="str">
            <v>See log sheet</v>
          </cell>
        </row>
        <row r="1497">
          <cell r="A1497" t="str">
            <v/>
          </cell>
          <cell r="B1497"/>
          <cell r="C1497"/>
          <cell r="D1497"/>
          <cell r="E1497"/>
          <cell r="F1497"/>
          <cell r="G1497"/>
          <cell r="H1497"/>
          <cell r="I1497"/>
          <cell r="J1497"/>
          <cell r="K1497"/>
          <cell r="L1497"/>
        </row>
        <row r="1498">
          <cell r="A1498" t="str">
            <v>[ecoinvent] Processing of anode slime from secondary copper</v>
          </cell>
          <cell r="B1498" t="str">
            <v>extraction of metals from anode slime 1kg</v>
          </cell>
          <cell r="C1498" t="str">
            <v>reference_product</v>
          </cell>
          <cell r="D1498"/>
          <cell r="E1498" t="str">
            <v>Service</v>
          </cell>
          <cell r="F1498">
            <v>1</v>
          </cell>
          <cell r="G1498">
            <v>1</v>
          </cell>
          <cell r="H1498">
            <v>1</v>
          </cell>
          <cell r="I1498" t="str">
            <v>None</v>
          </cell>
          <cell r="J1498" t="str">
            <v>[PU] Anode_Slime_processing_EI</v>
          </cell>
          <cell r="K1498"/>
          <cell r="L1498"/>
        </row>
        <row r="1499">
          <cell r="A1499" t="str">
            <v>[ecoinvent] Processing of anode slime from secondary copper</v>
          </cell>
          <cell r="B1499" t="str">
            <v>gold</v>
          </cell>
          <cell r="C1499" t="str">
            <v>to technosphere (by-product)</v>
          </cell>
          <cell r="D1499">
            <v>7108</v>
          </cell>
          <cell r="E1499" t="str">
            <v>Mass</v>
          </cell>
          <cell r="F1499">
            <v>2.8000000000000001E-2</v>
          </cell>
          <cell r="G1499" t="str">
            <v>kg</v>
          </cell>
          <cell r="H1499">
            <v>1</v>
          </cell>
          <cell r="I1499" t="str">
            <v>None</v>
          </cell>
          <cell r="J1499" t="str">
            <v>[PU] Anode_Slime_processing_EI</v>
          </cell>
          <cell r="K1499"/>
          <cell r="L1499" t="str">
            <v>See log sheet</v>
          </cell>
        </row>
        <row r="1500">
          <cell r="A1500" t="str">
            <v>[ecoinvent] Processing of anode slime from secondary copper</v>
          </cell>
          <cell r="B1500" t="str">
            <v>palladium</v>
          </cell>
          <cell r="C1500" t="str">
            <v>to technosphere (by-product)</v>
          </cell>
          <cell r="D1500">
            <v>711021</v>
          </cell>
          <cell r="E1500" t="str">
            <v>Mass</v>
          </cell>
          <cell r="F1500">
            <v>5.0999999999999997E-2</v>
          </cell>
          <cell r="G1500" t="str">
            <v>kg</v>
          </cell>
          <cell r="H1500">
            <v>1</v>
          </cell>
          <cell r="I1500" t="str">
            <v>None</v>
          </cell>
          <cell r="J1500" t="str">
            <v>[PU] Anode_Slime_processing_EI</v>
          </cell>
          <cell r="K1500"/>
          <cell r="L1500" t="str">
            <v>See log sheet</v>
          </cell>
        </row>
        <row r="1501">
          <cell r="A1501" t="str">
            <v>[ecoinvent] Processing of anode slime from secondary copper</v>
          </cell>
          <cell r="B1501" t="str">
            <v>silver</v>
          </cell>
          <cell r="C1501" t="str">
            <v>to technosphere (by-product)</v>
          </cell>
          <cell r="D1501">
            <v>7106</v>
          </cell>
          <cell r="E1501" t="str">
            <v>Mass</v>
          </cell>
          <cell r="F1501">
            <v>0.92100000000000004</v>
          </cell>
          <cell r="G1501" t="str">
            <v>kg</v>
          </cell>
          <cell r="H1501">
            <v>1</v>
          </cell>
          <cell r="I1501" t="str">
            <v>None</v>
          </cell>
          <cell r="J1501" t="str">
            <v>[PU] Anode_Slime_processing_EI</v>
          </cell>
          <cell r="K1501"/>
          <cell r="L1501" t="str">
            <v>See log sheet</v>
          </cell>
        </row>
        <row r="1502">
          <cell r="A1502" t="str">
            <v>[ecoinvent] Processing of anode slime from secondary copper</v>
          </cell>
          <cell r="B1502" t="str">
            <v>electricity, high voltage</v>
          </cell>
          <cell r="C1502" t="str">
            <v>from technosphere (energy_carrier)</v>
          </cell>
          <cell r="D1502"/>
          <cell r="E1502" t="str">
            <v>Energy</v>
          </cell>
          <cell r="F1502">
            <v>1.36</v>
          </cell>
          <cell r="G1502" t="str">
            <v>kWh</v>
          </cell>
          <cell r="H1502">
            <v>1</v>
          </cell>
          <cell r="I1502" t="str">
            <v>None</v>
          </cell>
          <cell r="J1502" t="str">
            <v>[PU] Anode_Slime_processing_EI</v>
          </cell>
          <cell r="K1502"/>
          <cell r="L1502" t="str">
            <v>See log sheet</v>
          </cell>
        </row>
        <row r="1503">
          <cell r="A1503" t="str">
            <v>[ecoinvent] Processing of anode slime from secondary copper</v>
          </cell>
          <cell r="B1503" t="str">
            <v>heat, district or industrial, other than natural gas</v>
          </cell>
          <cell r="C1503" t="str">
            <v>from technosphere (energy_carrier)</v>
          </cell>
          <cell r="D1503"/>
          <cell r="E1503" t="str">
            <v>Energy</v>
          </cell>
          <cell r="F1503">
            <v>0.17100000000000001</v>
          </cell>
          <cell r="G1503" t="str">
            <v>MJ</v>
          </cell>
          <cell r="H1503">
            <v>1</v>
          </cell>
          <cell r="I1503" t="str">
            <v>None</v>
          </cell>
          <cell r="J1503" t="str">
            <v>[PU] Anode_Slime_processing_EI</v>
          </cell>
          <cell r="K1503"/>
          <cell r="L1503" t="str">
            <v>See log sheet</v>
          </cell>
        </row>
        <row r="1504">
          <cell r="A1504" t="str">
            <v>[ecoinvent] Processing of anode slime from secondary copper</v>
          </cell>
          <cell r="B1504" t="str">
            <v>oxygen, liquid</v>
          </cell>
          <cell r="C1504" t="str">
            <v>from technosphere (material)</v>
          </cell>
          <cell r="D1504"/>
          <cell r="E1504" t="str">
            <v>Mass</v>
          </cell>
          <cell r="F1504">
            <v>5.2400000000000002E-2</v>
          </cell>
          <cell r="G1504" t="str">
            <v>kg</v>
          </cell>
          <cell r="H1504">
            <v>1</v>
          </cell>
          <cell r="I1504" t="str">
            <v>None</v>
          </cell>
          <cell r="J1504" t="str">
            <v>[PU] Anode_Slime_processing_EI</v>
          </cell>
          <cell r="K1504"/>
          <cell r="L1504" t="str">
            <v>See log sheet</v>
          </cell>
        </row>
        <row r="1505">
          <cell r="A1505" t="str">
            <v>[ecoinvent] Processing of anode slime from secondary copper</v>
          </cell>
          <cell r="B1505" t="str">
            <v>anode slime</v>
          </cell>
          <cell r="C1505" t="str">
            <v>from technosphere (material)</v>
          </cell>
          <cell r="D1505"/>
          <cell r="E1505" t="str">
            <v>Mass</v>
          </cell>
          <cell r="F1505">
            <v>1</v>
          </cell>
          <cell r="G1505" t="str">
            <v>kg</v>
          </cell>
          <cell r="H1505">
            <v>1</v>
          </cell>
          <cell r="I1505" t="str">
            <v>None</v>
          </cell>
          <cell r="J1505" t="str">
            <v>[PU] Anode_Slime_processing_EI</v>
          </cell>
          <cell r="K1505"/>
          <cell r="L1505" t="str">
            <v>See log sheet</v>
          </cell>
        </row>
        <row r="1506">
          <cell r="A1506" t="str">
            <v>[ecoinvent] Processing of anode slime from secondary copper</v>
          </cell>
          <cell r="B1506" t="str">
            <v>cadmium II</v>
          </cell>
          <cell r="C1506" t="str">
            <v>to environment (emission)</v>
          </cell>
          <cell r="D1506"/>
          <cell r="E1506" t="str">
            <v>Mass</v>
          </cell>
          <cell r="F1506">
            <v>7.4099999999999995E-8</v>
          </cell>
          <cell r="G1506" t="str">
            <v>kg</v>
          </cell>
          <cell r="H1506">
            <v>1</v>
          </cell>
          <cell r="I1506" t="str">
            <v>None</v>
          </cell>
          <cell r="J1506" t="str">
            <v>[PU] Anode_Slime_processing_EI</v>
          </cell>
          <cell r="K1506"/>
          <cell r="L1506" t="str">
            <v>See log sheet</v>
          </cell>
        </row>
        <row r="1507">
          <cell r="A1507" t="str">
            <v>[ecoinvent] Processing of anode slime from secondary copper</v>
          </cell>
          <cell r="B1507" t="str">
            <v>chlorine</v>
          </cell>
          <cell r="C1507" t="str">
            <v>to environment (emission)</v>
          </cell>
          <cell r="D1507"/>
          <cell r="E1507" t="str">
            <v>Mass</v>
          </cell>
          <cell r="F1507">
            <v>1.5699999999999999E-4</v>
          </cell>
          <cell r="G1507" t="str">
            <v>kg</v>
          </cell>
          <cell r="H1507">
            <v>1</v>
          </cell>
          <cell r="I1507" t="str">
            <v>None</v>
          </cell>
          <cell r="J1507" t="str">
            <v>[PU] Anode_Slime_processing_EI</v>
          </cell>
          <cell r="K1507"/>
          <cell r="L1507" t="str">
            <v>See log sheet</v>
          </cell>
        </row>
        <row r="1508">
          <cell r="A1508" t="str">
            <v>[ecoinvent] Processing of anode slime from secondary copper</v>
          </cell>
          <cell r="B1508" t="str">
            <v>copper ion</v>
          </cell>
          <cell r="C1508" t="str">
            <v>to environment (emission)</v>
          </cell>
          <cell r="D1508"/>
          <cell r="E1508" t="str">
            <v>Mass</v>
          </cell>
          <cell r="F1508">
            <v>1.11E-6</v>
          </cell>
          <cell r="G1508" t="str">
            <v>kg</v>
          </cell>
          <cell r="H1508">
            <v>1</v>
          </cell>
          <cell r="I1508" t="str">
            <v>None</v>
          </cell>
          <cell r="J1508" t="str">
            <v>[PU] Anode_Slime_processing_EI</v>
          </cell>
          <cell r="K1508"/>
          <cell r="L1508" t="str">
            <v>See log sheet</v>
          </cell>
        </row>
        <row r="1509">
          <cell r="A1509" t="str">
            <v>[ecoinvent] Processing of anode slime from secondary copper</v>
          </cell>
          <cell r="B1509" t="str">
            <v>dioxins, measured as 2,3,7,8-tetrachlorodibenzo-p-dioxin</v>
          </cell>
          <cell r="C1509" t="str">
            <v>to environment (emission)</v>
          </cell>
          <cell r="D1509"/>
          <cell r="E1509" t="str">
            <v>Mass</v>
          </cell>
          <cell r="F1509">
            <v>3.1099999999999998E-9</v>
          </cell>
          <cell r="G1509" t="str">
            <v>kg</v>
          </cell>
          <cell r="H1509">
            <v>1</v>
          </cell>
          <cell r="I1509" t="str">
            <v>None</v>
          </cell>
          <cell r="J1509" t="str">
            <v>[PU] Anode_Slime_processing_EI</v>
          </cell>
          <cell r="K1509"/>
          <cell r="L1509" t="str">
            <v>See log sheet</v>
          </cell>
        </row>
        <row r="1510">
          <cell r="A1510" t="str">
            <v>[ecoinvent] Processing of anode slime from secondary copper</v>
          </cell>
          <cell r="B1510" t="str">
            <v>fluorine</v>
          </cell>
          <cell r="C1510" t="str">
            <v>to environment (emission)</v>
          </cell>
          <cell r="D1510"/>
          <cell r="E1510" t="str">
            <v>Mass</v>
          </cell>
          <cell r="F1510">
            <v>1.26E-6</v>
          </cell>
          <cell r="G1510" t="str">
            <v>kg</v>
          </cell>
          <cell r="H1510">
            <v>1</v>
          </cell>
          <cell r="I1510" t="str">
            <v>None</v>
          </cell>
          <cell r="J1510" t="str">
            <v>[PU] Anode_Slime_processing_EI</v>
          </cell>
          <cell r="K1510"/>
          <cell r="L1510" t="str">
            <v>See log sheet</v>
          </cell>
        </row>
        <row r="1511">
          <cell r="A1511" t="str">
            <v>[ecoinvent] Processing of anode slime from secondary copper</v>
          </cell>
          <cell r="B1511" t="str">
            <v>lead II</v>
          </cell>
          <cell r="C1511" t="str">
            <v>to environment (emission)</v>
          </cell>
          <cell r="D1511"/>
          <cell r="E1511" t="str">
            <v>Mass</v>
          </cell>
          <cell r="F1511">
            <v>3.0700000000000001E-5</v>
          </cell>
          <cell r="G1511" t="str">
            <v>kg</v>
          </cell>
          <cell r="H1511">
            <v>1</v>
          </cell>
          <cell r="I1511" t="str">
            <v>None</v>
          </cell>
          <cell r="J1511" t="str">
            <v>[PU] Anode_Slime_processing_EI</v>
          </cell>
          <cell r="K1511"/>
          <cell r="L1511" t="str">
            <v>See log sheet</v>
          </cell>
        </row>
        <row r="1512">
          <cell r="A1512" t="str">
            <v>[ecoinvent] Processing of anode slime from secondary copper</v>
          </cell>
          <cell r="B1512" t="str">
            <v>mercury II</v>
          </cell>
          <cell r="C1512" t="str">
            <v>to environment (emission)</v>
          </cell>
          <cell r="D1512"/>
          <cell r="E1512" t="str">
            <v>Mass</v>
          </cell>
          <cell r="F1512">
            <v>1.48E-7</v>
          </cell>
          <cell r="G1512" t="str">
            <v>kg</v>
          </cell>
          <cell r="H1512">
            <v>1</v>
          </cell>
          <cell r="I1512" t="str">
            <v>None</v>
          </cell>
          <cell r="J1512" t="str">
            <v>[PU] Anode_Slime_processing_EI</v>
          </cell>
          <cell r="K1512"/>
          <cell r="L1512" t="str">
            <v>See log sheet</v>
          </cell>
        </row>
        <row r="1513">
          <cell r="A1513" t="str">
            <v>[ecoinvent] Processing of anode slime from secondary copper</v>
          </cell>
          <cell r="B1513" t="str">
            <v>nitrogen oxides</v>
          </cell>
          <cell r="C1513" t="str">
            <v>to environment (emission)</v>
          </cell>
          <cell r="D1513"/>
          <cell r="E1513" t="str">
            <v>Mass</v>
          </cell>
          <cell r="F1513">
            <v>4.2999999999999999E-4</v>
          </cell>
          <cell r="G1513" t="str">
            <v>kg</v>
          </cell>
          <cell r="H1513">
            <v>1</v>
          </cell>
          <cell r="I1513" t="str">
            <v>None</v>
          </cell>
          <cell r="J1513" t="str">
            <v>[PU] Anode_Slime_processing_EI</v>
          </cell>
          <cell r="K1513"/>
          <cell r="L1513" t="str">
            <v>See log sheet</v>
          </cell>
        </row>
        <row r="1514">
          <cell r="A1514" t="str">
            <v>[ecoinvent] Processing of anode slime from secondary copper</v>
          </cell>
          <cell r="B1514" t="str">
            <v>particulate matter, &lt; 2.5 um</v>
          </cell>
          <cell r="C1514" t="str">
            <v>to environment (emission)</v>
          </cell>
          <cell r="D1514"/>
          <cell r="E1514" t="str">
            <v>Mass</v>
          </cell>
          <cell r="F1514">
            <v>3.3000000000000003E-5</v>
          </cell>
          <cell r="G1514" t="str">
            <v>kg</v>
          </cell>
          <cell r="H1514">
            <v>1</v>
          </cell>
          <cell r="I1514" t="str">
            <v>None</v>
          </cell>
          <cell r="J1514" t="str">
            <v>[PU] Anode_Slime_processing_EI</v>
          </cell>
          <cell r="K1514"/>
          <cell r="L1514" t="str">
            <v>See log sheet</v>
          </cell>
        </row>
        <row r="1515">
          <cell r="A1515" t="str">
            <v>[ecoinvent] Processing of anode slime from secondary copper</v>
          </cell>
          <cell r="B1515" t="str">
            <v>particulate matter, &gt; 10 um</v>
          </cell>
          <cell r="C1515" t="str">
            <v>to environment (emission)</v>
          </cell>
          <cell r="D1515"/>
          <cell r="E1515" t="str">
            <v>Mass</v>
          </cell>
          <cell r="F1515">
            <v>1.1E-5</v>
          </cell>
          <cell r="G1515" t="str">
            <v>kg</v>
          </cell>
          <cell r="H1515">
            <v>1</v>
          </cell>
          <cell r="I1515" t="str">
            <v>None</v>
          </cell>
          <cell r="J1515" t="str">
            <v>[PU] Anode_Slime_processing_EI</v>
          </cell>
          <cell r="K1515"/>
          <cell r="L1515" t="str">
            <v>See log sheet</v>
          </cell>
        </row>
        <row r="1516">
          <cell r="A1516" t="str">
            <v>[ecoinvent] Processing of anode slime from secondary copper</v>
          </cell>
          <cell r="B1516" t="str">
            <v>particulate matter, &gt; 2.5 um and &lt; 10um</v>
          </cell>
          <cell r="C1516" t="str">
            <v>to environment (emission)</v>
          </cell>
          <cell r="D1516"/>
          <cell r="E1516" t="str">
            <v>Mass</v>
          </cell>
          <cell r="F1516">
            <v>2.1999999999999999E-5</v>
          </cell>
          <cell r="G1516" t="str">
            <v>kg</v>
          </cell>
          <cell r="H1516">
            <v>1</v>
          </cell>
          <cell r="I1516" t="str">
            <v>None</v>
          </cell>
          <cell r="J1516" t="str">
            <v>[PU] Anode_Slime_processing_EI</v>
          </cell>
          <cell r="K1516"/>
          <cell r="L1516" t="str">
            <v>See log sheet</v>
          </cell>
        </row>
        <row r="1517">
          <cell r="A1517" t="str">
            <v>[ecoinvent] Processing of anode slime from secondary copper</v>
          </cell>
          <cell r="B1517" t="str">
            <v>Sulfur dioxide</v>
          </cell>
          <cell r="C1517" t="str">
            <v>to environment (emission)</v>
          </cell>
          <cell r="D1517"/>
          <cell r="E1517" t="str">
            <v>Mass</v>
          </cell>
          <cell r="F1517">
            <v>3.3300000000000002E-4</v>
          </cell>
          <cell r="G1517" t="str">
            <v>kg</v>
          </cell>
          <cell r="H1517">
            <v>1</v>
          </cell>
          <cell r="I1517" t="str">
            <v>None</v>
          </cell>
          <cell r="J1517" t="str">
            <v>[PU] Anode_Slime_processing_EI</v>
          </cell>
          <cell r="K1517"/>
          <cell r="L1517" t="str">
            <v>See log sheet</v>
          </cell>
        </row>
        <row r="1518">
          <cell r="A1518" t="str">
            <v>[ecoinvent] Processing of anode slime from secondary copper</v>
          </cell>
          <cell r="B1518" t="str">
            <v>zinc II</v>
          </cell>
          <cell r="C1518" t="str">
            <v>to environment (emission)</v>
          </cell>
          <cell r="D1518"/>
          <cell r="E1518" t="str">
            <v>Mass</v>
          </cell>
          <cell r="F1518">
            <v>4.1099999999999996E-6</v>
          </cell>
          <cell r="G1518" t="str">
            <v>kg</v>
          </cell>
          <cell r="H1518">
            <v>1</v>
          </cell>
          <cell r="I1518" t="str">
            <v>None</v>
          </cell>
          <cell r="J1518" t="str">
            <v>[PU] Anode_Slime_processing_EI</v>
          </cell>
          <cell r="K1518"/>
          <cell r="L1518" t="str">
            <v>See log sheet</v>
          </cell>
        </row>
        <row r="1519">
          <cell r="A1519" t="str">
            <v/>
          </cell>
          <cell r="B1519"/>
          <cell r="C1519"/>
          <cell r="D1519"/>
          <cell r="E1519"/>
          <cell r="F1519"/>
          <cell r="G1519"/>
          <cell r="H1519"/>
          <cell r="I1519"/>
          <cell r="J1519"/>
          <cell r="K1519"/>
          <cell r="L1519"/>
        </row>
        <row r="1520">
          <cell r="A1520" t="str">
            <v>[Zhang2023] Processing of anode slime</v>
          </cell>
          <cell r="B1520" t="str">
            <v>extraction of metals from anode slime 1kg</v>
          </cell>
          <cell r="C1520" t="str">
            <v>reference_product</v>
          </cell>
          <cell r="D1520"/>
          <cell r="E1520" t="str">
            <v>Service</v>
          </cell>
          <cell r="F1520">
            <v>1</v>
          </cell>
          <cell r="G1520">
            <v>1</v>
          </cell>
          <cell r="H1520">
            <v>1</v>
          </cell>
          <cell r="I1520" t="str">
            <v>None</v>
          </cell>
          <cell r="J1520" t="str">
            <v>[PU] Anode_Slime_processing</v>
          </cell>
          <cell r="K1520"/>
          <cell r="L1520" t="str">
            <v>See log sheet</v>
          </cell>
        </row>
        <row r="1521">
          <cell r="A1521" t="str">
            <v>[Zhang2023] Processing of anode slime</v>
          </cell>
          <cell r="B1521" t="str">
            <v>sulfuric acid</v>
          </cell>
          <cell r="C1521" t="str">
            <v>from technosphere (material)</v>
          </cell>
          <cell r="D1521"/>
          <cell r="E1521" t="str">
            <v>Mass</v>
          </cell>
          <cell r="F1521">
            <v>3.9600000000000003E-2</v>
          </cell>
          <cell r="G1521" t="str">
            <v>kg</v>
          </cell>
          <cell r="H1521">
            <v>1</v>
          </cell>
          <cell r="I1521" t="str">
            <v>None</v>
          </cell>
          <cell r="J1521" t="str">
            <v>[PU] Anode_Slime_processing</v>
          </cell>
          <cell r="K1521"/>
          <cell r="L1521" t="str">
            <v>See log sheet</v>
          </cell>
        </row>
        <row r="1522">
          <cell r="A1522" t="str">
            <v>[Zhang2023] Processing of anode slime</v>
          </cell>
          <cell r="B1522" t="str">
            <v>quartz sand</v>
          </cell>
          <cell r="C1522" t="str">
            <v>from environment (natural resource)</v>
          </cell>
          <cell r="D1522"/>
          <cell r="E1522" t="str">
            <v>Mass</v>
          </cell>
          <cell r="F1522">
            <v>4.9000000000000002E-2</v>
          </cell>
          <cell r="G1522" t="str">
            <v>kg</v>
          </cell>
          <cell r="H1522">
            <v>1</v>
          </cell>
          <cell r="I1522" t="str">
            <v>None</v>
          </cell>
          <cell r="J1522" t="str">
            <v>[PU] Anode_Slime_processing</v>
          </cell>
          <cell r="K1522"/>
          <cell r="L1522" t="str">
            <v>See log sheet</v>
          </cell>
        </row>
        <row r="1523">
          <cell r="A1523" t="str">
            <v>[Zhang2023] Processing of anode slime</v>
          </cell>
          <cell r="B1523" t="str">
            <v>sodium carbonate</v>
          </cell>
          <cell r="C1523" t="str">
            <v>from technosphere (material)</v>
          </cell>
          <cell r="D1523"/>
          <cell r="E1523" t="str">
            <v>Mass</v>
          </cell>
          <cell r="F1523">
            <v>5.6000000000000001E-2</v>
          </cell>
          <cell r="G1523" t="str">
            <v>kg</v>
          </cell>
          <cell r="H1523">
            <v>1</v>
          </cell>
          <cell r="I1523" t="str">
            <v>None</v>
          </cell>
          <cell r="J1523" t="str">
            <v>[PU] Anode_Slime_processing</v>
          </cell>
          <cell r="K1523"/>
          <cell r="L1523" t="str">
            <v>See log sheet</v>
          </cell>
        </row>
        <row r="1524">
          <cell r="A1524" t="str">
            <v>[Zhang2023] Processing of anode slime</v>
          </cell>
          <cell r="B1524" t="str">
            <v>sodium hydroxide</v>
          </cell>
          <cell r="C1524" t="str">
            <v>from technosphere (material)</v>
          </cell>
          <cell r="D1524"/>
          <cell r="E1524" t="str">
            <v>Mass</v>
          </cell>
          <cell r="F1524">
            <v>0.71699999999999997</v>
          </cell>
          <cell r="G1524" t="str">
            <v>kg</v>
          </cell>
          <cell r="H1524">
            <v>1</v>
          </cell>
          <cell r="I1524" t="str">
            <v>None</v>
          </cell>
          <cell r="J1524" t="str">
            <v>[PU] Anode_Slime_processing</v>
          </cell>
          <cell r="K1524"/>
          <cell r="L1524" t="str">
            <v>See log sheet</v>
          </cell>
        </row>
        <row r="1525">
          <cell r="A1525" t="str">
            <v>[Zhang2023] Processing of anode slime</v>
          </cell>
          <cell r="B1525" t="str">
            <v>hydrochloric acid</v>
          </cell>
          <cell r="C1525" t="str">
            <v>from technosphere (material)</v>
          </cell>
          <cell r="D1525"/>
          <cell r="E1525" t="str">
            <v>Mass</v>
          </cell>
          <cell r="F1525">
            <v>3.2300000000000002E-2</v>
          </cell>
          <cell r="G1525" t="str">
            <v>kg</v>
          </cell>
          <cell r="H1525">
            <v>1</v>
          </cell>
          <cell r="I1525" t="str">
            <v>None</v>
          </cell>
          <cell r="J1525" t="str">
            <v>[PU] Anode_Slime_processing</v>
          </cell>
          <cell r="K1525"/>
          <cell r="L1525" t="str">
            <v>See log sheet</v>
          </cell>
        </row>
        <row r="1526">
          <cell r="A1526" t="str">
            <v>[Zhang2023] Processing of anode slime</v>
          </cell>
          <cell r="B1526" t="str">
            <v>nitric acid</v>
          </cell>
          <cell r="C1526" t="str">
            <v>from technosphere (material)</v>
          </cell>
          <cell r="D1526"/>
          <cell r="E1526" t="str">
            <v>Mass</v>
          </cell>
          <cell r="F1526">
            <v>8.5100000000000002E-3</v>
          </cell>
          <cell r="G1526" t="str">
            <v>kg</v>
          </cell>
          <cell r="H1526">
            <v>1</v>
          </cell>
          <cell r="I1526" t="str">
            <v>None</v>
          </cell>
          <cell r="J1526" t="str">
            <v>[PU] Anode_Slime_processing</v>
          </cell>
          <cell r="K1526"/>
          <cell r="L1526" t="str">
            <v>See log sheet</v>
          </cell>
        </row>
        <row r="1527">
          <cell r="A1527" t="str">
            <v>[Zhang2023] Processing of anode slime</v>
          </cell>
          <cell r="B1527" t="str">
            <v>sodium chlorate</v>
          </cell>
          <cell r="C1527" t="str">
            <v>from technosphere (material)</v>
          </cell>
          <cell r="D1527"/>
          <cell r="E1527" t="str">
            <v>Mass</v>
          </cell>
          <cell r="F1527">
            <v>1.6999999999999999E-3</v>
          </cell>
          <cell r="G1527" t="str">
            <v>kg</v>
          </cell>
          <cell r="H1527">
            <v>1</v>
          </cell>
          <cell r="I1527" t="str">
            <v>None</v>
          </cell>
          <cell r="J1527" t="str">
            <v>[PU] Anode_Slime_processing</v>
          </cell>
          <cell r="K1527"/>
          <cell r="L1527" t="str">
            <v>See log sheet</v>
          </cell>
        </row>
        <row r="1528">
          <cell r="A1528" t="str">
            <v>[Zhang2023] Processing of anode slime</v>
          </cell>
          <cell r="B1528" t="str">
            <v>ammonium chloride</v>
          </cell>
          <cell r="C1528" t="str">
            <v>from technosphere (material)</v>
          </cell>
          <cell r="D1528"/>
          <cell r="E1528" t="str">
            <v>Mass</v>
          </cell>
          <cell r="F1528">
            <v>6.0000000000000002E-5</v>
          </cell>
          <cell r="G1528" t="str">
            <v>kg</v>
          </cell>
          <cell r="H1528">
            <v>1</v>
          </cell>
          <cell r="I1528" t="str">
            <v>None</v>
          </cell>
          <cell r="J1528" t="str">
            <v>[PU] Anode_Slime_processing</v>
          </cell>
          <cell r="K1528"/>
          <cell r="L1528" t="str">
            <v>See log sheet</v>
          </cell>
        </row>
        <row r="1529">
          <cell r="A1529" t="str">
            <v>[Zhang2023] Processing of anode slime</v>
          </cell>
          <cell r="B1529" t="str">
            <v>electricity</v>
          </cell>
          <cell r="C1529" t="str">
            <v>from technosphere (energy_carrier)</v>
          </cell>
          <cell r="D1529"/>
          <cell r="E1529" t="str">
            <v>Energy</v>
          </cell>
          <cell r="F1529">
            <v>3.15</v>
          </cell>
          <cell r="G1529" t="str">
            <v>kWh</v>
          </cell>
          <cell r="H1529">
            <v>1</v>
          </cell>
          <cell r="I1529" t="str">
            <v>None</v>
          </cell>
          <cell r="J1529" t="str">
            <v>[PU] Anode_Slime_processing</v>
          </cell>
          <cell r="K1529"/>
          <cell r="L1529" t="str">
            <v>See log sheet</v>
          </cell>
        </row>
        <row r="1530">
          <cell r="A1530" t="str">
            <v>[Zhang2023] Processing of anode slime</v>
          </cell>
          <cell r="B1530" t="str">
            <v>water</v>
          </cell>
          <cell r="C1530" t="str">
            <v>from environment (natural resource)</v>
          </cell>
          <cell r="D1530"/>
          <cell r="E1530" t="str">
            <v>Mass</v>
          </cell>
          <cell r="F1530">
            <v>1.1499999999999999</v>
          </cell>
          <cell r="G1530" t="str">
            <v>kg</v>
          </cell>
          <cell r="H1530">
            <v>1</v>
          </cell>
          <cell r="I1530" t="str">
            <v>None</v>
          </cell>
          <cell r="J1530" t="str">
            <v>[PU] Anode_Slime_processing</v>
          </cell>
          <cell r="K1530"/>
          <cell r="L1530" t="str">
            <v>See log sheet</v>
          </cell>
        </row>
        <row r="1531">
          <cell r="A1531" t="str">
            <v>[Zhang2023] Processing of anode slime</v>
          </cell>
          <cell r="B1531" t="str">
            <v>gold</v>
          </cell>
          <cell r="C1531" t="str">
            <v>to technosphere (by-product)</v>
          </cell>
          <cell r="D1531">
            <v>7108</v>
          </cell>
          <cell r="E1531" t="str">
            <v>Mass</v>
          </cell>
          <cell r="F1531">
            <v>1.67E-3</v>
          </cell>
          <cell r="G1531" t="str">
            <v>kg</v>
          </cell>
          <cell r="H1531">
            <v>1</v>
          </cell>
          <cell r="I1531" t="str">
            <v>None</v>
          </cell>
          <cell r="J1531" t="str">
            <v>[PU] Anode_Slime_processing</v>
          </cell>
          <cell r="K1531"/>
          <cell r="L1531" t="str">
            <v>See log sheet</v>
          </cell>
        </row>
        <row r="1532">
          <cell r="A1532" t="str">
            <v>[Zhang2023] Processing of anode slime</v>
          </cell>
          <cell r="B1532" t="str">
            <v>silver</v>
          </cell>
          <cell r="C1532" t="str">
            <v>to technosphere (by-product)</v>
          </cell>
          <cell r="D1532">
            <v>7106</v>
          </cell>
          <cell r="E1532" t="str">
            <v>Mass</v>
          </cell>
          <cell r="F1532">
            <v>3.7900000000000003E-2</v>
          </cell>
          <cell r="G1532" t="str">
            <v>kg</v>
          </cell>
          <cell r="H1532">
            <v>1</v>
          </cell>
          <cell r="I1532" t="str">
            <v>None</v>
          </cell>
          <cell r="J1532" t="str">
            <v>[PU] Anode_Slime_processing</v>
          </cell>
          <cell r="K1532"/>
          <cell r="L1532" t="str">
            <v>See log sheet</v>
          </cell>
        </row>
        <row r="1533">
          <cell r="A1533" t="str">
            <v>[Zhang2023] Processing of anode slime</v>
          </cell>
          <cell r="B1533" t="str">
            <v>telluride copper</v>
          </cell>
          <cell r="C1533" t="str">
            <v>to technosphere (by-product)</v>
          </cell>
          <cell r="D1533">
            <v>7406</v>
          </cell>
          <cell r="E1533" t="str">
            <v>Mass</v>
          </cell>
          <cell r="F1533">
            <v>2.3E-2</v>
          </cell>
          <cell r="G1533" t="str">
            <v>kg</v>
          </cell>
          <cell r="H1533">
            <v>1</v>
          </cell>
          <cell r="I1533" t="str">
            <v>None</v>
          </cell>
          <cell r="J1533" t="str">
            <v>[PU] Anode_Slime_processing</v>
          </cell>
          <cell r="K1533"/>
          <cell r="L1533" t="str">
            <v>See log sheet</v>
          </cell>
        </row>
        <row r="1534">
          <cell r="A1534" t="str">
            <v>[Zhang2023] Processing of anode slime</v>
          </cell>
          <cell r="B1534" t="str">
            <v>selenium</v>
          </cell>
          <cell r="C1534" t="str">
            <v>to technosphere (by-product)</v>
          </cell>
          <cell r="D1534">
            <v>280490</v>
          </cell>
          <cell r="E1534" t="str">
            <v>Mass</v>
          </cell>
          <cell r="F1534">
            <v>4.5499999999999999E-2</v>
          </cell>
          <cell r="G1534" t="str">
            <v>kg</v>
          </cell>
          <cell r="H1534">
            <v>1</v>
          </cell>
          <cell r="I1534" t="str">
            <v>None</v>
          </cell>
          <cell r="J1534" t="str">
            <v>[PU] Anode_Slime_processing</v>
          </cell>
          <cell r="K1534"/>
          <cell r="L1534" t="str">
            <v>See log sheet</v>
          </cell>
        </row>
        <row r="1535">
          <cell r="A1535" t="str">
            <v>[Zhang2023] Processing of anode slime</v>
          </cell>
          <cell r="B1535" t="str">
            <v>carbon dioxide</v>
          </cell>
          <cell r="C1535" t="str">
            <v>to environment (emission)</v>
          </cell>
          <cell r="D1535"/>
          <cell r="E1535" t="str">
            <v>Mass</v>
          </cell>
          <cell r="F1535">
            <v>1.1200000000000001</v>
          </cell>
          <cell r="G1535" t="str">
            <v>kg</v>
          </cell>
          <cell r="H1535">
            <v>1</v>
          </cell>
          <cell r="I1535" t="str">
            <v>None</v>
          </cell>
          <cell r="J1535" t="str">
            <v>[PU] Anode_Slime_processing</v>
          </cell>
          <cell r="K1535"/>
          <cell r="L1535" t="str">
            <v>See log sheet</v>
          </cell>
        </row>
        <row r="1536">
          <cell r="A1536" t="str">
            <v>[Zhang2023] Processing of anode slime</v>
          </cell>
          <cell r="B1536" t="str">
            <v>anode slime</v>
          </cell>
          <cell r="C1536" t="str">
            <v>from technosphere (material)</v>
          </cell>
          <cell r="D1536"/>
          <cell r="E1536" t="str">
            <v>Mass</v>
          </cell>
          <cell r="F1536">
            <v>1</v>
          </cell>
          <cell r="G1536" t="str">
            <v>kg</v>
          </cell>
          <cell r="H1536">
            <v>1</v>
          </cell>
          <cell r="I1536" t="str">
            <v>None</v>
          </cell>
          <cell r="J1536" t="str">
            <v>[PU] Anode_Slime_processing</v>
          </cell>
          <cell r="K1536"/>
          <cell r="L1536" t="str">
            <v>See log sheet</v>
          </cell>
        </row>
        <row r="1537">
          <cell r="A1537" t="str">
            <v>[Zhang2023] Processing of anode slime</v>
          </cell>
          <cell r="B1537" t="str">
            <v>kaldor furnace slag</v>
          </cell>
          <cell r="C1537" t="str">
            <v>to technosphere (waste)</v>
          </cell>
          <cell r="D1537"/>
          <cell r="E1537" t="str">
            <v>Mass</v>
          </cell>
          <cell r="F1537">
            <v>0.48</v>
          </cell>
          <cell r="G1537" t="str">
            <v>kg</v>
          </cell>
          <cell r="H1537">
            <v>1</v>
          </cell>
          <cell r="I1537" t="str">
            <v>None</v>
          </cell>
          <cell r="J1537" t="str">
            <v>[PU] Anode_Slime_processing</v>
          </cell>
          <cell r="K1537"/>
          <cell r="L1537" t="str">
            <v>See log sheet</v>
          </cell>
        </row>
        <row r="1538">
          <cell r="A1538" t="str">
            <v/>
          </cell>
          <cell r="B1538"/>
          <cell r="C1538"/>
          <cell r="D1538"/>
          <cell r="E1538"/>
          <cell r="F1538"/>
          <cell r="G1538"/>
          <cell r="H1538"/>
          <cell r="I1538"/>
          <cell r="J1538"/>
          <cell r="K1538"/>
          <cell r="L1538"/>
        </row>
        <row r="1539">
          <cell r="A1539" t="str">
            <v>[a] Beneficiation, sulfide ore (Crushing, grinding, flotation)</v>
          </cell>
          <cell r="B1539" t="str">
            <v>copper concentrate, sulfide ore</v>
          </cell>
          <cell r="C1539" t="str">
            <v>reference_product</v>
          </cell>
          <cell r="D1539">
            <v>2603</v>
          </cell>
          <cell r="E1539" t="str">
            <v>Mass</v>
          </cell>
          <cell r="F1539">
            <v>1</v>
          </cell>
          <cell r="G1539" t="str">
            <v>t</v>
          </cell>
          <cell r="H1539">
            <v>1</v>
          </cell>
          <cell r="I1539" t="str">
            <v>None</v>
          </cell>
          <cell r="J1539" t="str">
            <v>[PU] Sulf_Ore_Conc</v>
          </cell>
          <cell r="K1539"/>
          <cell r="L1539" t="str">
            <v>See log sheet</v>
          </cell>
        </row>
        <row r="1540">
          <cell r="A1540" t="str">
            <v>[a] Beneficiation, sulfide ore (Crushing, grinding, flotation)</v>
          </cell>
          <cell r="B1540" t="str">
            <v>sulphide ore</v>
          </cell>
          <cell r="C1540" t="str">
            <v>from environment (natural resource)</v>
          </cell>
          <cell r="D1540"/>
          <cell r="E1540" t="str">
            <v>Mass</v>
          </cell>
          <cell r="F1540">
            <v>4</v>
          </cell>
          <cell r="G1540" t="str">
            <v>t</v>
          </cell>
          <cell r="H1540" t="str">
            <v>t</v>
          </cell>
          <cell r="I1540" t="str">
            <v>None</v>
          </cell>
          <cell r="J1540" t="str">
            <v>[PU] Sulf_Ore_Conc</v>
          </cell>
          <cell r="K1540"/>
          <cell r="L1540" t="str">
            <v>See log sheet</v>
          </cell>
        </row>
        <row r="1541">
          <cell r="A1541" t="str">
            <v>[a] Beneficiation, sulfide ore (Crushing, grinding, flotation)</v>
          </cell>
          <cell r="B1541" t="str">
            <v>electricity</v>
          </cell>
          <cell r="C1541" t="str">
            <v>from technosphere (energy_carrier)</v>
          </cell>
          <cell r="D1541"/>
          <cell r="E1541" t="str">
            <v>Energy</v>
          </cell>
          <cell r="F1541">
            <v>16.399999999999999</v>
          </cell>
          <cell r="G1541" t="str">
            <v>kWh</v>
          </cell>
          <cell r="H1541" t="str">
            <v>t</v>
          </cell>
          <cell r="I1541" t="str">
            <v>None</v>
          </cell>
          <cell r="J1541" t="str">
            <v>[PU] Sulf_Ore_Conc</v>
          </cell>
          <cell r="K1541"/>
          <cell r="L1541" t="str">
            <v>See log sheet</v>
          </cell>
        </row>
        <row r="1542">
          <cell r="A1542" t="str">
            <v>[a] Beneficiation, sulfide ore (Crushing, grinding, flotation)</v>
          </cell>
          <cell r="B1542" t="str">
            <v>water</v>
          </cell>
          <cell r="C1542" t="str">
            <v>from environment (natural resource)</v>
          </cell>
          <cell r="D1542"/>
          <cell r="E1542" t="str">
            <v>Volume</v>
          </cell>
          <cell r="F1542">
            <v>0.6</v>
          </cell>
          <cell r="G1542" t="str">
            <v>m3</v>
          </cell>
          <cell r="H1542" t="str">
            <v>t</v>
          </cell>
          <cell r="I1542" t="str">
            <v>None</v>
          </cell>
          <cell r="J1542" t="str">
            <v>[PU] Sulf_Ore_Conc</v>
          </cell>
          <cell r="K1542"/>
          <cell r="L1542" t="str">
            <v>See log sheet</v>
          </cell>
        </row>
        <row r="1543">
          <cell r="A1543" t="str">
            <v>[a] Beneficiation, sulfide ore (Crushing, grinding, flotation)</v>
          </cell>
          <cell r="B1543" t="str">
            <v>steel</v>
          </cell>
          <cell r="C1543" t="str">
            <v>from technosphere (material)</v>
          </cell>
          <cell r="D1543"/>
          <cell r="E1543" t="str">
            <v>Mass</v>
          </cell>
          <cell r="F1543">
            <v>0.7</v>
          </cell>
          <cell r="G1543" t="str">
            <v>t</v>
          </cell>
          <cell r="H1543" t="str">
            <v>t</v>
          </cell>
          <cell r="I1543" t="str">
            <v>None</v>
          </cell>
          <cell r="J1543" t="str">
            <v>[PU] Sulf_Ore_Conc</v>
          </cell>
          <cell r="K1543"/>
          <cell r="L1543" t="str">
            <v>See log sheet</v>
          </cell>
        </row>
        <row r="1544">
          <cell r="A1544" t="str">
            <v>[a] Beneficiation, sulfide ore (Crushing, grinding, flotation)</v>
          </cell>
          <cell r="B1544" t="str">
            <v>quicklime</v>
          </cell>
          <cell r="C1544" t="str">
            <v>from technosphere (material)</v>
          </cell>
          <cell r="D1544"/>
          <cell r="E1544" t="str">
            <v>Mass</v>
          </cell>
          <cell r="F1544">
            <v>1</v>
          </cell>
          <cell r="G1544" t="str">
            <v>t</v>
          </cell>
          <cell r="H1544" t="str">
            <v>t</v>
          </cell>
          <cell r="I1544" t="str">
            <v>None</v>
          </cell>
          <cell r="J1544" t="str">
            <v>[PU] Sulf_Ore_Conc</v>
          </cell>
          <cell r="K1544"/>
          <cell r="L1544" t="str">
            <v>See log sheet</v>
          </cell>
        </row>
        <row r="1545">
          <cell r="A1545" t="str">
            <v>[a] Beneficiation, sulfide ore (Crushing, grinding, flotation)</v>
          </cell>
          <cell r="B1545" t="str">
            <v>other chemicals</v>
          </cell>
          <cell r="C1545" t="str">
            <v>from technosphere (material)</v>
          </cell>
          <cell r="D1545"/>
          <cell r="E1545" t="str">
            <v>Mass</v>
          </cell>
          <cell r="F1545">
            <v>0.13</v>
          </cell>
          <cell r="G1545" t="str">
            <v>t</v>
          </cell>
          <cell r="H1545" t="str">
            <v>t</v>
          </cell>
          <cell r="I1545" t="str">
            <v>None</v>
          </cell>
          <cell r="J1545" t="str">
            <v>[PU] Sulf_Ore_Conc</v>
          </cell>
          <cell r="K1545"/>
          <cell r="L1545" t="str">
            <v>See log sheet</v>
          </cell>
        </row>
        <row r="1546">
          <cell r="A1546" t="str">
            <v>[a] Beneficiation, sulfide ore (Crushing, grinding, flotation)</v>
          </cell>
          <cell r="B1546" t="str">
            <v>water</v>
          </cell>
          <cell r="C1546" t="str">
            <v>to technosphere (emission)</v>
          </cell>
          <cell r="D1546"/>
          <cell r="E1546" t="str">
            <v>Volume</v>
          </cell>
          <cell r="F1546">
            <v>0.6</v>
          </cell>
          <cell r="G1546" t="str">
            <v>m3</v>
          </cell>
          <cell r="H1546" t="str">
            <v>t</v>
          </cell>
          <cell r="I1546" t="str">
            <v>None</v>
          </cell>
          <cell r="J1546" t="str">
            <v>[PU] Sulf_Ore_Conc</v>
          </cell>
          <cell r="K1546"/>
          <cell r="L1546" t="str">
            <v>See log sheet</v>
          </cell>
        </row>
        <row r="1547">
          <cell r="A1547" t="str">
            <v>[a] Beneficiation, sulfide ore (Crushing, grinding, flotation)</v>
          </cell>
          <cell r="B1547" t="str">
            <v>tailings</v>
          </cell>
          <cell r="C1547" t="str">
            <v>to technosphere (waste)</v>
          </cell>
          <cell r="D1547"/>
          <cell r="E1547" t="str">
            <v>Mass</v>
          </cell>
          <cell r="F1547">
            <v>5.83</v>
          </cell>
          <cell r="G1547" t="str">
            <v>t</v>
          </cell>
          <cell r="H1547" t="str">
            <v>t</v>
          </cell>
          <cell r="I1547" t="str">
            <v>None</v>
          </cell>
          <cell r="J1547" t="str">
            <v>[PU] Sulf_Ore_Conc</v>
          </cell>
          <cell r="K1547"/>
          <cell r="L1547" t="str">
            <v>See log sheet</v>
          </cell>
        </row>
        <row r="1548">
          <cell r="A1548" t="str">
            <v/>
          </cell>
          <cell r="B1548"/>
          <cell r="C1548"/>
          <cell r="D1548"/>
          <cell r="E1548"/>
          <cell r="F1548"/>
          <cell r="G1548"/>
          <cell r="H1548"/>
          <cell r="I1548"/>
          <cell r="J1548"/>
          <cell r="K1548"/>
          <cell r="L1548"/>
        </row>
        <row r="1549">
          <cell r="A1549" t="str">
            <v>[a] Copper anode production, Pyrometallurgy (Hydrogen Reduction)</v>
          </cell>
          <cell r="B1549" t="str">
            <v>copper, anode</v>
          </cell>
          <cell r="C1549" t="str">
            <v>reference_product</v>
          </cell>
          <cell r="D1549">
            <v>7402</v>
          </cell>
          <cell r="E1549" t="str">
            <v>Mass</v>
          </cell>
          <cell r="F1549">
            <v>1</v>
          </cell>
          <cell r="G1549" t="str">
            <v>kg</v>
          </cell>
          <cell r="H1549">
            <v>1</v>
          </cell>
          <cell r="I1549" t="str">
            <v>None</v>
          </cell>
          <cell r="J1549" t="str">
            <v>[PU] Pyro_Copper_Hydrogen</v>
          </cell>
          <cell r="K1549"/>
          <cell r="L1549" t="str">
            <v>See log sheet</v>
          </cell>
        </row>
        <row r="1550">
          <cell r="A1550" t="str">
            <v>[a] Copper anode production, Pyrometallurgy (Hydrogen Reduction)</v>
          </cell>
          <cell r="B1550" t="str">
            <v>copper concentrate, sulfide ore</v>
          </cell>
          <cell r="C1550" t="str">
            <v>from technosphere (material)</v>
          </cell>
          <cell r="D1550"/>
          <cell r="E1550" t="str">
            <v>Mass</v>
          </cell>
          <cell r="F1550">
            <v>3.57</v>
          </cell>
          <cell r="G1550" t="str">
            <v>kg</v>
          </cell>
          <cell r="H1550" t="str">
            <v>kg</v>
          </cell>
          <cell r="I1550" t="str">
            <v>None</v>
          </cell>
          <cell r="J1550" t="str">
            <v>[PU] Pyro_Copper_Hydrogen</v>
          </cell>
          <cell r="K1550"/>
          <cell r="L1550" t="str">
            <v>See log sheet</v>
          </cell>
        </row>
        <row r="1551">
          <cell r="A1551" t="str">
            <v>[a] Copper anode production, Pyrometallurgy (Hydrogen Reduction)</v>
          </cell>
          <cell r="B1551" t="str">
            <v>sulfuric acid</v>
          </cell>
          <cell r="C1551" t="str">
            <v>to technosphere (by-product)</v>
          </cell>
          <cell r="D1551"/>
          <cell r="E1551" t="str">
            <v>Mass</v>
          </cell>
          <cell r="F1551">
            <v>2.2000000000000002</v>
          </cell>
          <cell r="G1551" t="str">
            <v>kg</v>
          </cell>
          <cell r="H1551" t="str">
            <v>kg</v>
          </cell>
          <cell r="I1551" t="str">
            <v>None</v>
          </cell>
          <cell r="J1551" t="str">
            <v>[PU] Pyro_Copper_Hydrogen</v>
          </cell>
          <cell r="K1551"/>
          <cell r="L1551" t="str">
            <v>See log sheet</v>
          </cell>
        </row>
        <row r="1552">
          <cell r="A1552" t="str">
            <v>[a] Copper anode production, Pyrometallurgy (Hydrogen Reduction)</v>
          </cell>
          <cell r="B1552" t="str">
            <v>hydrogen</v>
          </cell>
          <cell r="C1552" t="str">
            <v>from technosphere (reductant)</v>
          </cell>
          <cell r="D1552"/>
          <cell r="E1552" t="str">
            <v>Mass</v>
          </cell>
          <cell r="F1552">
            <v>2.4299999999999999E-2</v>
          </cell>
          <cell r="G1552" t="str">
            <v>kg</v>
          </cell>
          <cell r="H1552" t="str">
            <v>kg</v>
          </cell>
          <cell r="I1552" t="str">
            <v>None</v>
          </cell>
          <cell r="J1552" t="str">
            <v>[PU] Pyro_Copper_Hydrogen</v>
          </cell>
          <cell r="K1552"/>
          <cell r="L1552" t="str">
            <v>See log sheet</v>
          </cell>
        </row>
        <row r="1553">
          <cell r="A1553" t="str">
            <v>[a] Copper anode production, Pyrometallurgy (Hydrogen Reduction)</v>
          </cell>
          <cell r="B1553" t="str">
            <v>electricity</v>
          </cell>
          <cell r="C1553" t="str">
            <v>from technosphere (energy_carrier)</v>
          </cell>
          <cell r="D1553"/>
          <cell r="E1553" t="str">
            <v>Energy</v>
          </cell>
          <cell r="F1553">
            <v>9.27</v>
          </cell>
          <cell r="G1553" t="str">
            <v>MJ</v>
          </cell>
          <cell r="H1553" t="str">
            <v>kg</v>
          </cell>
          <cell r="I1553" t="str">
            <v>None</v>
          </cell>
          <cell r="J1553" t="str">
            <v>[PU] Pyro_Copper_Hydrogen</v>
          </cell>
          <cell r="K1553"/>
          <cell r="L1553" t="str">
            <v>See log sheet</v>
          </cell>
        </row>
        <row r="1554">
          <cell r="A1554" t="str">
            <v>[a] Copper anode production, Pyrometallurgy (Hydrogen Reduction)</v>
          </cell>
          <cell r="B1554" t="str">
            <v>industrial oxygen</v>
          </cell>
          <cell r="C1554" t="str">
            <v>from technosphere (material)</v>
          </cell>
          <cell r="D1554"/>
          <cell r="E1554" t="str">
            <v>Mass</v>
          </cell>
          <cell r="F1554">
            <v>0.90900000000000003</v>
          </cell>
          <cell r="G1554" t="str">
            <v>kg</v>
          </cell>
          <cell r="H1554" t="str">
            <v>kg</v>
          </cell>
          <cell r="I1554" t="str">
            <v>None</v>
          </cell>
          <cell r="J1554" t="str">
            <v>[PU] Pyro_Copper_Hydrogen</v>
          </cell>
          <cell r="K1554"/>
          <cell r="L1554" t="str">
            <v>See log sheet</v>
          </cell>
        </row>
        <row r="1555">
          <cell r="A1555" t="str">
            <v>[a] Copper anode production, Pyrometallurgy (Hydrogen Reduction)</v>
          </cell>
          <cell r="B1555" t="str">
            <v>oxygen</v>
          </cell>
          <cell r="C1555" t="str">
            <v>from environment (natural resource)</v>
          </cell>
          <cell r="D1555"/>
          <cell r="E1555" t="str">
            <v>Mass</v>
          </cell>
          <cell r="F1555">
            <v>1.78</v>
          </cell>
          <cell r="G1555" t="str">
            <v>kg</v>
          </cell>
          <cell r="H1555" t="str">
            <v>kg</v>
          </cell>
          <cell r="I1555" t="str">
            <v>None</v>
          </cell>
          <cell r="J1555" t="str">
            <v>[PU] Pyro_Copper_Hydrogen</v>
          </cell>
          <cell r="K1555"/>
          <cell r="L1555" t="str">
            <v>See log sheet</v>
          </cell>
        </row>
        <row r="1556">
          <cell r="A1556" t="str">
            <v>[a] Copper anode production, Pyrometallurgy (Hydrogen Reduction)</v>
          </cell>
          <cell r="B1556" t="str">
            <v>silca flux</v>
          </cell>
          <cell r="C1556" t="str">
            <v>from technosphere (material)</v>
          </cell>
          <cell r="D1556"/>
          <cell r="E1556" t="str">
            <v>Mass</v>
          </cell>
          <cell r="F1556">
            <v>0.35</v>
          </cell>
          <cell r="G1556" t="str">
            <v>kg</v>
          </cell>
          <cell r="H1556" t="str">
            <v>kg</v>
          </cell>
          <cell r="I1556" t="str">
            <v>None</v>
          </cell>
          <cell r="J1556" t="str">
            <v>[PU] Pyro_Copper_Hydrogen</v>
          </cell>
          <cell r="K1556"/>
          <cell r="L1556" t="str">
            <v>See log sheet</v>
          </cell>
        </row>
        <row r="1557">
          <cell r="A1557" t="str">
            <v>[a] Copper anode production, Pyrometallurgy (Hydrogen Reduction)</v>
          </cell>
          <cell r="B1557" t="str">
            <v>scrap</v>
          </cell>
          <cell r="C1557" t="str">
            <v>from technosphere (other)</v>
          </cell>
          <cell r="D1557"/>
          <cell r="E1557" t="str">
            <v>Mass</v>
          </cell>
          <cell r="F1557">
            <v>0.11</v>
          </cell>
          <cell r="G1557" t="str">
            <v>kg</v>
          </cell>
          <cell r="H1557" t="str">
            <v>kg</v>
          </cell>
          <cell r="I1557" t="str">
            <v>None</v>
          </cell>
          <cell r="J1557" t="str">
            <v>[PU] Pyro_Copper_Hydrogen</v>
          </cell>
          <cell r="K1557"/>
          <cell r="L1557" t="str">
            <v>See log sheet</v>
          </cell>
        </row>
        <row r="1558">
          <cell r="A1558" t="str">
            <v>[a] Copper anode production, Pyrometallurgy (Hydrogen Reduction)</v>
          </cell>
          <cell r="B1558" t="str">
            <v>water</v>
          </cell>
          <cell r="C1558" t="str">
            <v>from environment (natural resource)</v>
          </cell>
          <cell r="D1558"/>
          <cell r="E1558" t="str">
            <v>Mass</v>
          </cell>
          <cell r="F1558">
            <v>0.49</v>
          </cell>
          <cell r="G1558" t="str">
            <v>kg</v>
          </cell>
          <cell r="H1558" t="str">
            <v>kg</v>
          </cell>
          <cell r="I1558" t="str">
            <v>None</v>
          </cell>
          <cell r="J1558" t="str">
            <v>[PU] Pyro_Copper_Hydrogen</v>
          </cell>
          <cell r="K1558"/>
          <cell r="L1558" t="str">
            <v>See log sheet</v>
          </cell>
        </row>
        <row r="1559">
          <cell r="A1559" t="str">
            <v>[a] Copper anode production, Pyrometallurgy (Hydrogen Reduction)</v>
          </cell>
          <cell r="B1559" t="str">
            <v>sulfur dioxide</v>
          </cell>
          <cell r="C1559" t="str">
            <v>to environment (emission)</v>
          </cell>
          <cell r="D1559"/>
          <cell r="E1559" t="str">
            <v>Mass</v>
          </cell>
          <cell r="F1559">
            <v>0.19</v>
          </cell>
          <cell r="G1559" t="str">
            <v>kg</v>
          </cell>
          <cell r="H1559" t="str">
            <v>kg</v>
          </cell>
          <cell r="I1559" t="str">
            <v>None</v>
          </cell>
          <cell r="J1559" t="str">
            <v>[PU] Pyro_Copper_Hydrogen</v>
          </cell>
          <cell r="K1559"/>
          <cell r="L1559" t="str">
            <v>See log sheet</v>
          </cell>
        </row>
        <row r="1560">
          <cell r="A1560" t="str">
            <v>[a] Copper anode production, Pyrometallurgy (Hydrogen Reduction)</v>
          </cell>
          <cell r="B1560" t="str">
            <v>water</v>
          </cell>
          <cell r="C1560" t="str">
            <v>to technosphere (by-product)</v>
          </cell>
          <cell r="D1560"/>
          <cell r="E1560" t="str">
            <v>Mass</v>
          </cell>
          <cell r="F1560">
            <v>1.8</v>
          </cell>
          <cell r="G1560" t="str">
            <v>kg</v>
          </cell>
          <cell r="H1560" t="str">
            <v>kg</v>
          </cell>
          <cell r="I1560" t="str">
            <v>None</v>
          </cell>
          <cell r="J1560" t="str">
            <v>[PU] Pyro_Copper_Hydrogen</v>
          </cell>
          <cell r="K1560"/>
          <cell r="L1560" t="str">
            <v>See log sheet</v>
          </cell>
        </row>
        <row r="1561">
          <cell r="A1561" t="str">
            <v>[a] Copper anode production, Pyrometallurgy (Hydrogen Reduction)</v>
          </cell>
          <cell r="B1561" t="str">
            <v>oleum</v>
          </cell>
          <cell r="C1561" t="str">
            <v>to technosphere (by-product)</v>
          </cell>
          <cell r="D1561">
            <v>2807</v>
          </cell>
          <cell r="E1561" t="str">
            <v>Mass</v>
          </cell>
          <cell r="F1561">
            <v>0.3</v>
          </cell>
          <cell r="G1561" t="str">
            <v>kg</v>
          </cell>
          <cell r="H1561" t="str">
            <v>kg</v>
          </cell>
          <cell r="I1561" t="str">
            <v>None</v>
          </cell>
          <cell r="J1561" t="str">
            <v>[PU] Pyro_Copper_Hydrogen</v>
          </cell>
          <cell r="K1561"/>
          <cell r="L1561" t="str">
            <v>See log sheet</v>
          </cell>
        </row>
        <row r="1562">
          <cell r="A1562" t="str">
            <v>[a] Copper anode production, Pyrometallurgy (Hydrogen Reduction)</v>
          </cell>
          <cell r="B1562" t="str">
            <v>gypsum</v>
          </cell>
          <cell r="C1562" t="str">
            <v>to technosphere (by-product)</v>
          </cell>
          <cell r="D1562">
            <v>2520</v>
          </cell>
          <cell r="E1562" t="str">
            <v>Mass</v>
          </cell>
          <cell r="F1562">
            <v>0.8</v>
          </cell>
          <cell r="G1562" t="str">
            <v>kg</v>
          </cell>
          <cell r="H1562" t="str">
            <v>kg</v>
          </cell>
          <cell r="I1562" t="str">
            <v>None</v>
          </cell>
          <cell r="J1562" t="str">
            <v>[PU] Pyro_Copper_Hydrogen</v>
          </cell>
          <cell r="K1562"/>
          <cell r="L1562" t="str">
            <v>See log sheet</v>
          </cell>
        </row>
        <row r="1563">
          <cell r="A1563" t="str">
            <v>[a] Copper anode production, Pyrometallurgy (Hydrogen Reduction)</v>
          </cell>
          <cell r="B1563" t="str">
            <v>slag</v>
          </cell>
          <cell r="C1563" t="str">
            <v>to technosphere (waste)</v>
          </cell>
          <cell r="D1563"/>
          <cell r="E1563" t="str">
            <v>Mass</v>
          </cell>
          <cell r="F1563">
            <v>1.91</v>
          </cell>
          <cell r="G1563" t="str">
            <v>kg</v>
          </cell>
          <cell r="H1563" t="str">
            <v>kg</v>
          </cell>
          <cell r="I1563" t="str">
            <v>None</v>
          </cell>
          <cell r="J1563" t="str">
            <v>[PU] Pyro_Copper_Hydrogen</v>
          </cell>
          <cell r="K1563"/>
          <cell r="L1563" t="str">
            <v>See log sheet</v>
          </cell>
        </row>
        <row r="1564">
          <cell r="A1564" t="str">
            <v/>
          </cell>
        </row>
        <row r="1565">
          <cell r="A1565" t="str">
            <v>[Becci] Secondary copper production via biometallurgy, from low grade scrap</v>
          </cell>
          <cell r="B1565" t="str">
            <v>copper cathode</v>
          </cell>
          <cell r="C1565" t="str">
            <v>reference_product</v>
          </cell>
          <cell r="D1565">
            <v>7403</v>
          </cell>
          <cell r="E1565" t="str">
            <v>Mass</v>
          </cell>
          <cell r="F1565">
            <v>1</v>
          </cell>
          <cell r="G1565" t="str">
            <v>kg</v>
          </cell>
          <cell r="H1565">
            <v>1</v>
          </cell>
          <cell r="I1565" t="str">
            <v>None</v>
          </cell>
          <cell r="J1565" t="str">
            <v>[PU] Sec_Copper_Biometallurgy</v>
          </cell>
          <cell r="K1565"/>
          <cell r="L1565" t="str">
            <v>See log sheet</v>
          </cell>
        </row>
        <row r="1566">
          <cell r="A1566" t="str">
            <v>[Becci] Secondary copper production via biometallurgy, from low grade scrap</v>
          </cell>
          <cell r="B1566" t="str">
            <v>electricity</v>
          </cell>
          <cell r="C1566" t="str">
            <v>from technosphere (energy_carrier)</v>
          </cell>
          <cell r="D1566"/>
          <cell r="E1566" t="str">
            <v>Energy</v>
          </cell>
          <cell r="F1566">
            <v>19.2</v>
          </cell>
          <cell r="G1566" t="str">
            <v>kWh</v>
          </cell>
          <cell r="H1566" t="str">
            <v>kg</v>
          </cell>
          <cell r="I1566" t="str">
            <v>None</v>
          </cell>
          <cell r="J1566" t="str">
            <v>[PU] Sec_Copper_Biometallurgy</v>
          </cell>
          <cell r="K1566"/>
          <cell r="L1566" t="str">
            <v>See log sheet</v>
          </cell>
        </row>
        <row r="1567">
          <cell r="A1567" t="str">
            <v>[Becci] Secondary copper production via biometallurgy, from low grade scrap</v>
          </cell>
          <cell r="B1567" t="str">
            <v>ferrous sulphate</v>
          </cell>
          <cell r="C1567" t="str">
            <v>from technosphere (material)</v>
          </cell>
          <cell r="D1567"/>
          <cell r="E1567" t="str">
            <v>Mass</v>
          </cell>
          <cell r="F1567">
            <v>2.08</v>
          </cell>
          <cell r="G1567" t="str">
            <v>kg</v>
          </cell>
          <cell r="H1567" t="str">
            <v>kg</v>
          </cell>
          <cell r="I1567" t="str">
            <v>None</v>
          </cell>
          <cell r="J1567" t="str">
            <v>[PU] Sec_Copper_Biometallurgy</v>
          </cell>
          <cell r="K1567"/>
          <cell r="L1567" t="str">
            <v>See log sheet</v>
          </cell>
        </row>
        <row r="1568">
          <cell r="A1568" t="str">
            <v>[Becci] Secondary copper production via biometallurgy, from low grade scrap</v>
          </cell>
          <cell r="B1568" t="str">
            <v>water</v>
          </cell>
          <cell r="C1568" t="str">
            <v>from environment (natural resource)</v>
          </cell>
          <cell r="D1568"/>
          <cell r="E1568" t="str">
            <v>Mass</v>
          </cell>
          <cell r="F1568">
            <v>14.2</v>
          </cell>
          <cell r="G1568" t="str">
            <v>kg</v>
          </cell>
          <cell r="H1568" t="str">
            <v>kg</v>
          </cell>
          <cell r="I1568" t="str">
            <v>None</v>
          </cell>
          <cell r="J1568" t="str">
            <v>[PU] Sec_Copper_Biometallurgy</v>
          </cell>
          <cell r="K1568"/>
          <cell r="L1568" t="str">
            <v>See log sheet</v>
          </cell>
        </row>
        <row r="1569">
          <cell r="A1569" t="str">
            <v>[Becci] Secondary copper production via biometallurgy, from low grade scrap</v>
          </cell>
          <cell r="B1569" t="str">
            <v>sulphuric acid</v>
          </cell>
          <cell r="C1569" t="str">
            <v>from technosphere (material)</v>
          </cell>
          <cell r="D1569"/>
          <cell r="E1569" t="str">
            <v>Mass</v>
          </cell>
          <cell r="F1569">
            <v>1.25</v>
          </cell>
          <cell r="G1569" t="str">
            <v>kg</v>
          </cell>
          <cell r="H1569" t="str">
            <v>kg</v>
          </cell>
          <cell r="I1569" t="str">
            <v>None</v>
          </cell>
          <cell r="J1569" t="str">
            <v>[PU] Sec_Copper_Biometallurgy</v>
          </cell>
          <cell r="K1569"/>
          <cell r="L1569" t="str">
            <v>See log sheet</v>
          </cell>
        </row>
        <row r="1570">
          <cell r="A1570" t="str">
            <v>[Becci] Secondary copper production via biometallurgy, from low grade scrap</v>
          </cell>
          <cell r="B1570" t="str">
            <v>sodium hydroxide</v>
          </cell>
          <cell r="C1570" t="str">
            <v>from technosphere (material)</v>
          </cell>
          <cell r="D1570"/>
          <cell r="E1570" t="str">
            <v>Mass</v>
          </cell>
          <cell r="F1570">
            <v>0.83299999999999996</v>
          </cell>
          <cell r="G1570" t="str">
            <v>kg</v>
          </cell>
          <cell r="H1570" t="str">
            <v>kg</v>
          </cell>
          <cell r="I1570" t="str">
            <v>None</v>
          </cell>
          <cell r="J1570" t="str">
            <v>[PU] Sec_Copper_Biometallurgy</v>
          </cell>
          <cell r="K1570"/>
          <cell r="L1570" t="str">
            <v>See log sheet</v>
          </cell>
        </row>
        <row r="1571">
          <cell r="A1571" t="str">
            <v>[Becci] Secondary copper production via biometallurgy, from low grade scrap</v>
          </cell>
          <cell r="B1571" t="str">
            <v>micronutrients</v>
          </cell>
          <cell r="C1571" t="str">
            <v>from technosphere (material)</v>
          </cell>
          <cell r="D1571"/>
          <cell r="E1571" t="str">
            <v>Mass</v>
          </cell>
          <cell r="F1571">
            <v>3.3300000000000003E-2</v>
          </cell>
          <cell r="G1571" t="str">
            <v>kg</v>
          </cell>
          <cell r="H1571" t="str">
            <v>kg</v>
          </cell>
          <cell r="I1571" t="str">
            <v>None</v>
          </cell>
          <cell r="J1571" t="str">
            <v>[PU] Sec_Copper_Biometallurgy</v>
          </cell>
          <cell r="K1571"/>
          <cell r="L1571" t="str">
            <v>See log sheet</v>
          </cell>
        </row>
        <row r="1572">
          <cell r="A1572" t="str">
            <v>[Becci] Secondary copper production via biometallurgy, from low grade scrap</v>
          </cell>
          <cell r="B1572" t="str">
            <v>low grade scrap from shredded PCBs</v>
          </cell>
          <cell r="C1572" t="str">
            <v>from technosphere (other)</v>
          </cell>
          <cell r="D1572"/>
          <cell r="E1572" t="str">
            <v>Mass</v>
          </cell>
          <cell r="F1572">
            <v>4.17</v>
          </cell>
          <cell r="G1572" t="str">
            <v>kg</v>
          </cell>
          <cell r="H1572" t="str">
            <v>kg</v>
          </cell>
          <cell r="I1572" t="str">
            <v>None</v>
          </cell>
          <cell r="J1572" t="str">
            <v>[PU] Sec_Copper_Biometallurgy</v>
          </cell>
          <cell r="K1572"/>
          <cell r="L1572" t="str">
            <v>See log sheet</v>
          </cell>
        </row>
        <row r="1573">
          <cell r="A1573" t="str">
            <v>[Becci] Secondary copper production via biometallurgy, from low grade scrap</v>
          </cell>
          <cell r="B1573" t="str">
            <v>waste</v>
          </cell>
          <cell r="C1573" t="str">
            <v>to technosphere (waste)</v>
          </cell>
          <cell r="D1573"/>
          <cell r="E1573" t="str">
            <v>Mass</v>
          </cell>
          <cell r="F1573">
            <v>21.4</v>
          </cell>
          <cell r="G1573" t="str">
            <v>kg</v>
          </cell>
          <cell r="H1573" t="str">
            <v>kg</v>
          </cell>
          <cell r="I1573" t="str">
            <v>None</v>
          </cell>
          <cell r="J1573" t="str">
            <v>[PU] Sec_Copper_Biometallurgy</v>
          </cell>
          <cell r="K1573"/>
          <cell r="L1573" t="str">
            <v>See log sheet</v>
          </cell>
        </row>
        <row r="1574">
          <cell r="A1574" t="str">
            <v>[Becci] Secondary copper production via biometallurgy, from low grade scrap</v>
          </cell>
          <cell r="B1574" t="str">
            <v>Zinc</v>
          </cell>
          <cell r="C1574" t="str">
            <v>to technosphere (by-product)</v>
          </cell>
          <cell r="D1574">
            <v>262019</v>
          </cell>
          <cell r="E1574" t="str">
            <v>Mass</v>
          </cell>
          <cell r="F1574">
            <v>0.125</v>
          </cell>
          <cell r="G1574" t="str">
            <v>kg</v>
          </cell>
          <cell r="H1574" t="str">
            <v>kg</v>
          </cell>
          <cell r="I1574" t="str">
            <v>None</v>
          </cell>
          <cell r="J1574" t="str">
            <v>[PU] Sec_Copper_Biometallurgy</v>
          </cell>
          <cell r="K1574"/>
          <cell r="L1574" t="str">
            <v>See log sheet</v>
          </cell>
        </row>
        <row r="1575">
          <cell r="A1575" t="str">
            <v/>
          </cell>
          <cell r="B1575"/>
          <cell r="C1575"/>
          <cell r="D1575"/>
          <cell r="E1575"/>
          <cell r="F1575"/>
          <cell r="G1575"/>
          <cell r="H1575"/>
          <cell r="I1575"/>
          <cell r="J1575"/>
          <cell r="K1575"/>
          <cell r="L1575"/>
        </row>
        <row r="1576">
          <cell r="A1576" t="str">
            <v>[a] Secondary copper production, chemical treatment, from low grade scrap</v>
          </cell>
          <cell r="B1576" t="str">
            <v>copper cathode</v>
          </cell>
          <cell r="C1576" t="str">
            <v>reference_product</v>
          </cell>
          <cell r="D1576">
            <v>7403</v>
          </cell>
          <cell r="E1576" t="str">
            <v>Mass</v>
          </cell>
          <cell r="F1576">
            <v>1</v>
          </cell>
          <cell r="G1576" t="str">
            <v>kg</v>
          </cell>
          <cell r="H1576">
            <v>1</v>
          </cell>
          <cell r="I1576" t="str">
            <v>None</v>
          </cell>
          <cell r="J1576" t="str">
            <v>[PU] Sec_Copper_Chem</v>
          </cell>
          <cell r="K1576"/>
          <cell r="L1576" t="str">
            <v>See log sheet</v>
          </cell>
        </row>
        <row r="1577">
          <cell r="A1577" t="str">
            <v>[a] Secondary copper production, chemical treatment, from low grade scrap</v>
          </cell>
          <cell r="B1577" t="str">
            <v>electricity</v>
          </cell>
          <cell r="C1577" t="str">
            <v>from technosphere (energy_carrier)</v>
          </cell>
          <cell r="D1577"/>
          <cell r="E1577" t="str">
            <v>Energy</v>
          </cell>
          <cell r="F1577">
            <v>28.3</v>
          </cell>
          <cell r="G1577" t="str">
            <v>kWh</v>
          </cell>
          <cell r="H1577" t="str">
            <v>kg</v>
          </cell>
          <cell r="I1577" t="str">
            <v>None</v>
          </cell>
          <cell r="J1577" t="str">
            <v>[PU] Sec_Copper_Chem</v>
          </cell>
          <cell r="K1577"/>
          <cell r="L1577" t="str">
            <v>See log sheet</v>
          </cell>
        </row>
        <row r="1578">
          <cell r="A1578" t="str">
            <v>[a] Secondary copper production, chemical treatment, from low grade scrap</v>
          </cell>
          <cell r="B1578" t="str">
            <v>ferrous sulphate</v>
          </cell>
          <cell r="C1578" t="str">
            <v>from technosphere (material)</v>
          </cell>
          <cell r="D1578"/>
          <cell r="E1578" t="str">
            <v>Mass</v>
          </cell>
          <cell r="F1578">
            <v>0.52200000000000002</v>
          </cell>
          <cell r="G1578" t="str">
            <v>kg</v>
          </cell>
          <cell r="H1578" t="str">
            <v>kg</v>
          </cell>
          <cell r="I1578" t="str">
            <v>None</v>
          </cell>
          <cell r="J1578" t="str">
            <v>[PU] Sec_Copper_Chem</v>
          </cell>
          <cell r="K1578"/>
          <cell r="L1578" t="str">
            <v>See log sheet</v>
          </cell>
        </row>
        <row r="1579">
          <cell r="A1579" t="str">
            <v>[a] Secondary copper production, chemical treatment, from low grade scrap</v>
          </cell>
          <cell r="B1579" t="str">
            <v>water</v>
          </cell>
          <cell r="C1579" t="str">
            <v>from environment (natural resource)</v>
          </cell>
          <cell r="D1579"/>
          <cell r="E1579" t="str">
            <v>Mass</v>
          </cell>
          <cell r="F1579" t="str">
            <v>8.70E+00</v>
          </cell>
          <cell r="G1579" t="str">
            <v>kg</v>
          </cell>
          <cell r="H1579" t="str">
            <v>kg</v>
          </cell>
          <cell r="I1579" t="str">
            <v>None</v>
          </cell>
          <cell r="J1579" t="str">
            <v>[PU] Sec_Copper_Chem</v>
          </cell>
          <cell r="K1579"/>
          <cell r="L1579" t="str">
            <v>See log sheet</v>
          </cell>
        </row>
        <row r="1580">
          <cell r="A1580" t="str">
            <v>[a] Secondary copper production, chemical treatment, from low grade scrap</v>
          </cell>
          <cell r="B1580" t="str">
            <v>sulphuric acid</v>
          </cell>
          <cell r="C1580" t="str">
            <v>from technosphere (material)</v>
          </cell>
          <cell r="D1580"/>
          <cell r="E1580" t="str">
            <v>Mass</v>
          </cell>
          <cell r="F1580">
            <v>1.3</v>
          </cell>
          <cell r="G1580" t="str">
            <v>kg</v>
          </cell>
          <cell r="H1580" t="str">
            <v>kg</v>
          </cell>
          <cell r="I1580" t="str">
            <v>None</v>
          </cell>
          <cell r="J1580" t="str">
            <v>[PU] Sec_Copper_Chem</v>
          </cell>
          <cell r="K1580"/>
          <cell r="L1580" t="str">
            <v>See log sheet</v>
          </cell>
        </row>
        <row r="1581">
          <cell r="A1581" t="str">
            <v>[a] Secondary copper production, chemical treatment, from low grade scrap</v>
          </cell>
          <cell r="B1581" t="str">
            <v>sodium hydroxide</v>
          </cell>
          <cell r="C1581" t="str">
            <v>from technosphere (material)</v>
          </cell>
          <cell r="D1581"/>
          <cell r="E1581" t="str">
            <v>Mass</v>
          </cell>
          <cell r="F1581">
            <v>2.61</v>
          </cell>
          <cell r="G1581" t="str">
            <v>kg</v>
          </cell>
          <cell r="H1581" t="str">
            <v>kg</v>
          </cell>
          <cell r="I1581" t="str">
            <v>None</v>
          </cell>
          <cell r="J1581" t="str">
            <v>[PU] Sec_Copper_Chem</v>
          </cell>
          <cell r="K1581"/>
          <cell r="L1581" t="str">
            <v>See log sheet</v>
          </cell>
        </row>
        <row r="1582">
          <cell r="A1582" t="str">
            <v>[a] Secondary copper production, chemical treatment, from low grade scrap</v>
          </cell>
          <cell r="B1582" t="str">
            <v>low grade scrap from shredded PCBs</v>
          </cell>
          <cell r="C1582" t="str">
            <v>from technosphere (other)</v>
          </cell>
          <cell r="D1582"/>
          <cell r="E1582" t="str">
            <v>Mass</v>
          </cell>
          <cell r="F1582">
            <v>4.3499999999999996</v>
          </cell>
          <cell r="G1582" t="str">
            <v>kg</v>
          </cell>
          <cell r="H1582" t="str">
            <v>kg</v>
          </cell>
          <cell r="I1582" t="str">
            <v>None</v>
          </cell>
          <cell r="J1582" t="str">
            <v>[PU] Sec_Copper_Chem</v>
          </cell>
          <cell r="K1582"/>
          <cell r="L1582" t="str">
            <v>See log sheet</v>
          </cell>
        </row>
        <row r="1583">
          <cell r="A1583" t="str">
            <v>[a] Secondary copper production, chemical treatment, from low grade scrap</v>
          </cell>
          <cell r="B1583" t="str">
            <v>waste</v>
          </cell>
          <cell r="C1583" t="str">
            <v>to technosphere (waste)</v>
          </cell>
          <cell r="D1583"/>
          <cell r="E1583" t="str">
            <v>Mass</v>
          </cell>
          <cell r="F1583">
            <v>16.3</v>
          </cell>
          <cell r="G1583" t="str">
            <v>kg</v>
          </cell>
          <cell r="H1583" t="str">
            <v>kg</v>
          </cell>
          <cell r="I1583" t="str">
            <v>None</v>
          </cell>
          <cell r="J1583" t="str">
            <v>[PU] Sec_Copper_Chem</v>
          </cell>
          <cell r="K1583"/>
          <cell r="L1583" t="str">
            <v>See log sheet</v>
          </cell>
        </row>
        <row r="1584">
          <cell r="A1584" t="str">
            <v>[a] Secondary copper production, chemical treatment, from low grade scrap</v>
          </cell>
          <cell r="B1584" t="str">
            <v>Zinc</v>
          </cell>
          <cell r="C1584" t="str">
            <v>to technosphere (by-product)</v>
          </cell>
          <cell r="D1584">
            <v>262019</v>
          </cell>
          <cell r="E1584" t="str">
            <v>Mass</v>
          </cell>
          <cell r="F1584">
            <v>0.13</v>
          </cell>
          <cell r="G1584" t="str">
            <v>kg</v>
          </cell>
          <cell r="H1584" t="str">
            <v>kg</v>
          </cell>
          <cell r="I1584" t="str">
            <v>None</v>
          </cell>
          <cell r="J1584" t="str">
            <v>[PU] Sec_Copper_Chem</v>
          </cell>
          <cell r="K1584"/>
          <cell r="L1584" t="str">
            <v>See log sheet</v>
          </cell>
        </row>
        <row r="1585">
          <cell r="A1585" t="str">
            <v/>
          </cell>
          <cell r="B1585"/>
          <cell r="C1585"/>
          <cell r="D1585"/>
          <cell r="E1585"/>
          <cell r="F1585"/>
          <cell r="G1585"/>
          <cell r="H1585"/>
          <cell r="I1585"/>
          <cell r="J1585"/>
          <cell r="K1585"/>
          <cell r="L1585"/>
        </row>
        <row r="1586">
          <cell r="A1586" t="str">
            <v>[Becci] Secondary copper production, hydrometallurgy, from low grade scrap</v>
          </cell>
          <cell r="B1586" t="str">
            <v>copper cathode</v>
          </cell>
          <cell r="C1586" t="str">
            <v>reference_product</v>
          </cell>
          <cell r="D1586">
            <v>7403</v>
          </cell>
          <cell r="E1586" t="str">
            <v>Mass</v>
          </cell>
          <cell r="F1586">
            <v>1</v>
          </cell>
          <cell r="G1586" t="str">
            <v>kg</v>
          </cell>
          <cell r="H1586">
            <v>1</v>
          </cell>
          <cell r="I1586" t="str">
            <v>None</v>
          </cell>
          <cell r="J1586" t="str">
            <v>[PU] Sec_Copper_Hydro</v>
          </cell>
          <cell r="K1586"/>
          <cell r="L1586" t="str">
            <v>See log sheet</v>
          </cell>
        </row>
        <row r="1587">
          <cell r="A1587" t="str">
            <v>[Becci] Secondary copper production, hydrometallurgy, from low grade scrap</v>
          </cell>
          <cell r="B1587" t="str">
            <v>electricity</v>
          </cell>
          <cell r="C1587" t="str">
            <v>from technosphere (energy_carrier)</v>
          </cell>
          <cell r="D1587"/>
          <cell r="E1587" t="str">
            <v>Energy</v>
          </cell>
          <cell r="F1587">
            <v>16.399999999999999</v>
          </cell>
          <cell r="G1587" t="str">
            <v>kWh</v>
          </cell>
          <cell r="H1587" t="str">
            <v>kg</v>
          </cell>
          <cell r="I1587" t="str">
            <v>None</v>
          </cell>
          <cell r="J1587" t="str">
            <v>[PU] Sec_Copper_Hydro</v>
          </cell>
          <cell r="K1587"/>
          <cell r="L1587" t="str">
            <v>See log sheet</v>
          </cell>
        </row>
        <row r="1588">
          <cell r="A1588" t="str">
            <v>[Becci] Secondary copper production, hydrometallurgy, from low grade scrap</v>
          </cell>
          <cell r="B1588" t="str">
            <v>water</v>
          </cell>
          <cell r="C1588" t="str">
            <v>from environment (natural resource)</v>
          </cell>
          <cell r="D1588"/>
          <cell r="E1588" t="str">
            <v>Mass</v>
          </cell>
          <cell r="F1588">
            <v>35.700000000000003</v>
          </cell>
          <cell r="G1588" t="str">
            <v>kg</v>
          </cell>
          <cell r="H1588" t="str">
            <v>kg</v>
          </cell>
          <cell r="I1588" t="str">
            <v>None</v>
          </cell>
          <cell r="J1588" t="str">
            <v>[PU] Sec_Copper_Hydro</v>
          </cell>
          <cell r="K1588"/>
          <cell r="L1588" t="str">
            <v>See log sheet</v>
          </cell>
        </row>
        <row r="1589">
          <cell r="A1589" t="str">
            <v>[Becci] Secondary copper production, hydrometallurgy, from low grade scrap</v>
          </cell>
          <cell r="B1589" t="str">
            <v>sulphuric acid</v>
          </cell>
          <cell r="C1589" t="str">
            <v>from technosphere (material)</v>
          </cell>
          <cell r="D1589"/>
          <cell r="E1589" t="str">
            <v>Mass</v>
          </cell>
          <cell r="F1589">
            <v>7.86</v>
          </cell>
          <cell r="G1589" t="str">
            <v>kg</v>
          </cell>
          <cell r="H1589" t="str">
            <v>kg</v>
          </cell>
          <cell r="I1589" t="str">
            <v>None</v>
          </cell>
          <cell r="J1589" t="str">
            <v>[PU] Sec_Copper_Hydro</v>
          </cell>
          <cell r="K1589"/>
          <cell r="L1589" t="str">
            <v>See log sheet</v>
          </cell>
        </row>
        <row r="1590">
          <cell r="A1590" t="str">
            <v>[Becci] Secondary copper production, hydrometallurgy, from low grade scrap</v>
          </cell>
          <cell r="B1590" t="str">
            <v>hydrogen peroxide, 50% v/v</v>
          </cell>
          <cell r="C1590" t="str">
            <v>from technosphere (material)</v>
          </cell>
          <cell r="D1590"/>
          <cell r="E1590" t="str">
            <v>Mass</v>
          </cell>
          <cell r="F1590">
            <v>5</v>
          </cell>
          <cell r="G1590" t="str">
            <v>kg</v>
          </cell>
          <cell r="H1590" t="str">
            <v>kg</v>
          </cell>
          <cell r="I1590" t="str">
            <v>None</v>
          </cell>
          <cell r="J1590" t="str">
            <v>[PU] Sec_Copper_Hydro</v>
          </cell>
          <cell r="K1590"/>
          <cell r="L1590" t="str">
            <v>See log sheet</v>
          </cell>
        </row>
        <row r="1591">
          <cell r="A1591" t="str">
            <v>[Becci] Secondary copper production, hydrometallurgy, from low grade scrap</v>
          </cell>
          <cell r="B1591" t="str">
            <v>waste</v>
          </cell>
          <cell r="C1591" t="str">
            <v>to technosphere (waste)</v>
          </cell>
          <cell r="D1591"/>
          <cell r="E1591" t="str">
            <v>Mass</v>
          </cell>
          <cell r="F1591" t="str">
            <v>5.47E+01</v>
          </cell>
          <cell r="G1591" t="str">
            <v>kg</v>
          </cell>
          <cell r="H1591" t="str">
            <v>kg</v>
          </cell>
          <cell r="I1591" t="str">
            <v>None</v>
          </cell>
          <cell r="J1591" t="str">
            <v>[PU] Sec_Copper_Hydro</v>
          </cell>
          <cell r="K1591"/>
          <cell r="L1591" t="str">
            <v>See log sheet</v>
          </cell>
        </row>
        <row r="1592">
          <cell r="A1592" t="str">
            <v>[Becci] Secondary copper production, hydrometallurgy, from low grade scrap</v>
          </cell>
          <cell r="B1592" t="str">
            <v>low grade scrap from shredded PCBs</v>
          </cell>
          <cell r="C1592" t="str">
            <v>from technosphere (other)</v>
          </cell>
          <cell r="D1592"/>
          <cell r="E1592" t="str">
            <v>Mass</v>
          </cell>
          <cell r="F1592" t="str">
            <v>7.14E+00</v>
          </cell>
          <cell r="G1592" t="str">
            <v>kg</v>
          </cell>
          <cell r="H1592" t="str">
            <v>kg</v>
          </cell>
          <cell r="I1592" t="str">
            <v>None</v>
          </cell>
          <cell r="J1592" t="str">
            <v>[PU] Sec_Copper_Hydro</v>
          </cell>
          <cell r="K1592"/>
          <cell r="L1592" t="str">
            <v>See log sheet</v>
          </cell>
        </row>
        <row r="1593">
          <cell r="A1593" t="str">
            <v/>
          </cell>
        </row>
        <row r="1594">
          <cell r="A1594" t="str">
            <v>[MIDDEN] Asphalt mix, without RAP</v>
          </cell>
          <cell r="B1594" t="str">
            <v>asphalt mix, without RAP</v>
          </cell>
          <cell r="C1594" t="str">
            <v>reference_product</v>
          </cell>
          <cell r="D1594"/>
          <cell r="E1594" t="str">
            <v>Mass</v>
          </cell>
          <cell r="F1594">
            <v>1</v>
          </cell>
          <cell r="G1594" t="str">
            <v>ton</v>
          </cell>
          <cell r="H1594"/>
          <cell r="I1594" t="str">
            <v>none</v>
          </cell>
          <cell r="J1594" t="str">
            <v>[MIDDEN] 4791-1</v>
          </cell>
        </row>
        <row r="1595">
          <cell r="A1595" t="str">
            <v>[MIDDEN] Asphalt mix, without RAP</v>
          </cell>
          <cell r="B1595" t="str">
            <v>natural gas, rotary drum heating and drying</v>
          </cell>
          <cell r="C1595" t="str">
            <v>from technosphere (energy_carrier)</v>
          </cell>
          <cell r="D1595"/>
          <cell r="E1595" t="str">
            <v>Volume</v>
          </cell>
          <cell r="F1595">
            <v>8.1</v>
          </cell>
          <cell r="G1595" t="str">
            <v>m3</v>
          </cell>
          <cell r="H1595"/>
          <cell r="I1595" t="str">
            <v>none</v>
          </cell>
          <cell r="J1595" t="str">
            <v>[MIDDEN] 4791-1</v>
          </cell>
        </row>
        <row r="1596">
          <cell r="A1596" t="str">
            <v>[MIDDEN] Asphalt mix, without RAP</v>
          </cell>
          <cell r="B1596" t="str">
            <v>natural gas, rotary drum heating and drying for RAP</v>
          </cell>
          <cell r="C1596" t="str">
            <v>from technosphere (energy_carrier)</v>
          </cell>
          <cell r="D1596"/>
          <cell r="E1596" t="str">
            <v>Volume</v>
          </cell>
          <cell r="F1596">
            <v>0</v>
          </cell>
          <cell r="G1596" t="str">
            <v>m3</v>
          </cell>
          <cell r="H1596"/>
          <cell r="I1596" t="str">
            <v>none</v>
          </cell>
          <cell r="J1596" t="str">
            <v>[MIDDEN] 4791-1</v>
          </cell>
        </row>
        <row r="1597">
          <cell r="A1597" t="str">
            <v>[MIDDEN] Asphalt mix, without RAP</v>
          </cell>
          <cell r="B1597" t="str">
            <v>natural gas, recipe changes</v>
          </cell>
          <cell r="C1597" t="str">
            <v>from technosphere (energy_carrier)</v>
          </cell>
          <cell r="D1597"/>
          <cell r="E1597" t="str">
            <v>Volume</v>
          </cell>
          <cell r="F1597">
            <v>0.47</v>
          </cell>
          <cell r="G1597" t="str">
            <v>m3</v>
          </cell>
          <cell r="H1597"/>
          <cell r="I1597" t="str">
            <v>none</v>
          </cell>
          <cell r="J1597" t="str">
            <v>[MIDDEN] 4791-1</v>
          </cell>
        </row>
        <row r="1598">
          <cell r="A1598" t="str">
            <v>[MIDDEN] Asphalt mix, without RAP</v>
          </cell>
          <cell r="B1598" t="str">
            <v>natural gas, starts and stops</v>
          </cell>
          <cell r="C1598" t="str">
            <v>from technosphere (energy_carrier)</v>
          </cell>
          <cell r="D1598"/>
          <cell r="E1598" t="str">
            <v>Volume</v>
          </cell>
          <cell r="F1598">
            <v>0.25</v>
          </cell>
          <cell r="G1598" t="str">
            <v>m3</v>
          </cell>
          <cell r="H1598"/>
          <cell r="I1598" t="str">
            <v>none</v>
          </cell>
          <cell r="J1598" t="str">
            <v>[MIDDEN] 4791-1</v>
          </cell>
        </row>
        <row r="1599">
          <cell r="A1599" t="str">
            <v>[MIDDEN] Asphalt mix, without RAP</v>
          </cell>
          <cell r="B1599" t="str">
            <v>electricity, bitumen heating - electricity</v>
          </cell>
          <cell r="C1599" t="str">
            <v>from technosphere (energy_carrier)</v>
          </cell>
          <cell r="D1599"/>
          <cell r="E1599" t="str">
            <v>Energy</v>
          </cell>
          <cell r="F1599">
            <v>2.69</v>
          </cell>
          <cell r="G1599" t="str">
            <v>kWh</v>
          </cell>
          <cell r="H1599"/>
          <cell r="I1599" t="str">
            <v>none</v>
          </cell>
          <cell r="J1599" t="str">
            <v>[MIDDEN] 4791-1</v>
          </cell>
        </row>
        <row r="1600">
          <cell r="A1600" t="str">
            <v>[MIDDEN] Asphalt mix, without RAP</v>
          </cell>
          <cell r="B1600" t="str">
            <v>electricity, heated asphalt mix storage</v>
          </cell>
          <cell r="C1600" t="str">
            <v>from technosphere (energy_carrier)</v>
          </cell>
          <cell r="D1600"/>
          <cell r="E1600" t="str">
            <v>Energy</v>
          </cell>
          <cell r="F1600">
            <v>10.78</v>
          </cell>
          <cell r="G1600" t="str">
            <v>kWh</v>
          </cell>
          <cell r="H1600"/>
          <cell r="I1600" t="str">
            <v>none</v>
          </cell>
          <cell r="J1600" t="str">
            <v>[MIDDEN] 4791-1</v>
          </cell>
        </row>
        <row r="1601">
          <cell r="A1601" t="str">
            <v>[MIDDEN] Asphalt mix, without RAP</v>
          </cell>
          <cell r="B1601" t="str">
            <v>RAP</v>
          </cell>
          <cell r="C1601" t="str">
            <v>from technosphere (recycled material)</v>
          </cell>
          <cell r="D1601"/>
          <cell r="E1601" t="str">
            <v>Mass</v>
          </cell>
          <cell r="F1601">
            <v>0</v>
          </cell>
          <cell r="G1601" t="str">
            <v>ton</v>
          </cell>
          <cell r="H1601"/>
          <cell r="I1601" t="str">
            <v>none</v>
          </cell>
          <cell r="J1601" t="str">
            <v>[MIDDEN] 4791-1</v>
          </cell>
        </row>
        <row r="1602">
          <cell r="A1602" t="str">
            <v>[MIDDEN] Asphalt mix, without RAP</v>
          </cell>
          <cell r="B1602" t="str">
            <v>bitumen</v>
          </cell>
          <cell r="C1602" t="str">
            <v>from technosphere (material)</v>
          </cell>
          <cell r="D1602"/>
          <cell r="E1602" t="str">
            <v>Mass</v>
          </cell>
          <cell r="F1602">
            <v>0.06</v>
          </cell>
          <cell r="G1602" t="str">
            <v>ton</v>
          </cell>
          <cell r="H1602"/>
          <cell r="I1602" t="str">
            <v>none</v>
          </cell>
          <cell r="J1602" t="str">
            <v>[MIDDEN] 4791-1</v>
          </cell>
        </row>
        <row r="1603">
          <cell r="A1603" t="str">
            <v>[MIDDEN] Asphalt mix, without RAP</v>
          </cell>
          <cell r="B1603" t="str">
            <v>aggregates</v>
          </cell>
          <cell r="C1603" t="str">
            <v>from technosphere (material)</v>
          </cell>
          <cell r="D1603"/>
          <cell r="E1603" t="str">
            <v>Mass</v>
          </cell>
          <cell r="F1603">
            <v>0.89</v>
          </cell>
          <cell r="G1603" t="str">
            <v>ton</v>
          </cell>
          <cell r="H1603"/>
          <cell r="I1603" t="str">
            <v>none</v>
          </cell>
          <cell r="J1603" t="str">
            <v>[MIDDEN] 4791-1</v>
          </cell>
        </row>
        <row r="1604">
          <cell r="A1604" t="str">
            <v>[MIDDEN] Asphalt mix, without RAP</v>
          </cell>
          <cell r="B1604" t="str">
            <v>filler</v>
          </cell>
          <cell r="C1604" t="str">
            <v>from technosphere (material)</v>
          </cell>
          <cell r="D1604"/>
          <cell r="E1604" t="str">
            <v>Mass</v>
          </cell>
          <cell r="F1604">
            <v>0.05</v>
          </cell>
          <cell r="G1604" t="str">
            <v>ton</v>
          </cell>
          <cell r="H1604"/>
          <cell r="I1604" t="str">
            <v>none</v>
          </cell>
          <cell r="J1604" t="str">
            <v>[MIDDEN] 4791-1</v>
          </cell>
        </row>
        <row r="1605">
          <cell r="A1605" t="str">
            <v>[MIDDEN] Asphalt mix, without RAP</v>
          </cell>
          <cell r="B1605" t="str">
            <v>carbon dioxide</v>
          </cell>
          <cell r="C1605" t="str">
            <v>to environment (emission, direct)</v>
          </cell>
          <cell r="D1605"/>
          <cell r="E1605" t="str">
            <v>Mass</v>
          </cell>
          <cell r="F1605">
            <v>15.8</v>
          </cell>
          <cell r="G1605" t="str">
            <v>kg</v>
          </cell>
          <cell r="H1605"/>
          <cell r="I1605" t="str">
            <v>none</v>
          </cell>
          <cell r="J1605" t="str">
            <v>[MIDDEN] 4791-1</v>
          </cell>
        </row>
        <row r="1606">
          <cell r="A1606" t="str">
            <v>[MIDDEN] Asphalt mix, without RAP</v>
          </cell>
          <cell r="B1606" t="str">
            <v>nitrogen oxides</v>
          </cell>
          <cell r="C1606" t="str">
            <v>to environment (emission)</v>
          </cell>
          <cell r="D1606"/>
          <cell r="E1606" t="str">
            <v>Mass</v>
          </cell>
          <cell r="F1606">
            <v>1.23</v>
          </cell>
          <cell r="G1606" t="str">
            <v>g</v>
          </cell>
          <cell r="H1606"/>
          <cell r="I1606" t="str">
            <v>none</v>
          </cell>
          <cell r="J1606" t="str">
            <v>[MIDDEN] 4791-1</v>
          </cell>
        </row>
        <row r="1607">
          <cell r="A1607" t="str">
            <v/>
          </cell>
          <cell r="B1607"/>
          <cell r="C1607"/>
          <cell r="D1607"/>
        </row>
        <row r="1608">
          <cell r="A1608" t="str">
            <v>[MIDDEN] Asphalt mix, with RAP (reclaimed asphalt pavement)</v>
          </cell>
          <cell r="B1608" t="str">
            <v>asphalt mix, with RAP (reclaimed asphalt pavement)</v>
          </cell>
          <cell r="C1608" t="str">
            <v>reference_product</v>
          </cell>
          <cell r="D1608"/>
          <cell r="E1608" t="str">
            <v>Mass</v>
          </cell>
          <cell r="F1608">
            <v>1</v>
          </cell>
          <cell r="G1608" t="str">
            <v>ton</v>
          </cell>
          <cell r="H1608"/>
          <cell r="I1608" t="str">
            <v>none</v>
          </cell>
          <cell r="J1608" t="str">
            <v>[MIDDEN] 4791-2</v>
          </cell>
        </row>
        <row r="1609">
          <cell r="A1609" t="str">
            <v>[MIDDEN] Asphalt mix, with RAP (reclaimed asphalt pavement)</v>
          </cell>
          <cell r="B1609" t="str">
            <v>natural gas, rotary drum heating and drying</v>
          </cell>
          <cell r="C1609" t="str">
            <v>from technosphere (energy_carrier)</v>
          </cell>
          <cell r="D1609"/>
          <cell r="E1609" t="str">
            <v>Volume</v>
          </cell>
          <cell r="F1609">
            <v>6.25</v>
          </cell>
          <cell r="G1609" t="str">
            <v>m3</v>
          </cell>
          <cell r="H1609"/>
          <cell r="I1609" t="str">
            <v>none</v>
          </cell>
          <cell r="J1609" t="str">
            <v>[MIDDEN] 4791-2</v>
          </cell>
        </row>
        <row r="1610">
          <cell r="A1610" t="str">
            <v>[MIDDEN] Asphalt mix, with RAP (reclaimed asphalt pavement)</v>
          </cell>
          <cell r="B1610" t="str">
            <v>natural gas, rotary drum heating and drying for RAP</v>
          </cell>
          <cell r="C1610" t="str">
            <v>from technosphere (energy_carrier)</v>
          </cell>
          <cell r="D1610"/>
          <cell r="E1610" t="str">
            <v>Volume</v>
          </cell>
          <cell r="F1610">
            <v>2.31</v>
          </cell>
          <cell r="G1610" t="str">
            <v>m3</v>
          </cell>
          <cell r="H1610"/>
          <cell r="I1610" t="str">
            <v>none</v>
          </cell>
          <cell r="J1610" t="str">
            <v>[MIDDEN] 4791-2</v>
          </cell>
        </row>
        <row r="1611">
          <cell r="A1611" t="str">
            <v>[MIDDEN] Asphalt mix, with RAP (reclaimed asphalt pavement)</v>
          </cell>
          <cell r="B1611" t="str">
            <v>natural gas, recipe changes</v>
          </cell>
          <cell r="C1611" t="str">
            <v>from technosphere (energy_carrier)</v>
          </cell>
          <cell r="D1611"/>
          <cell r="E1611" t="str">
            <v>Volume</v>
          </cell>
          <cell r="F1611">
            <v>0.47</v>
          </cell>
          <cell r="G1611" t="str">
            <v>m3</v>
          </cell>
          <cell r="H1611"/>
          <cell r="I1611" t="str">
            <v>none</v>
          </cell>
          <cell r="J1611" t="str">
            <v>[MIDDEN] 4791-2</v>
          </cell>
        </row>
        <row r="1612">
          <cell r="A1612" t="str">
            <v>[MIDDEN] Asphalt mix, with RAP (reclaimed asphalt pavement)</v>
          </cell>
          <cell r="B1612" t="str">
            <v>natural gas, starts and stops</v>
          </cell>
          <cell r="C1612" t="str">
            <v>from technosphere (energy_carrier)</v>
          </cell>
          <cell r="D1612"/>
          <cell r="E1612" t="str">
            <v>Volume</v>
          </cell>
          <cell r="F1612">
            <v>0.25</v>
          </cell>
          <cell r="G1612" t="str">
            <v>m3</v>
          </cell>
          <cell r="H1612"/>
          <cell r="I1612" t="str">
            <v>none</v>
          </cell>
          <cell r="J1612" t="str">
            <v>[MIDDEN] 4791-2</v>
          </cell>
        </row>
        <row r="1613">
          <cell r="A1613" t="str">
            <v>[MIDDEN] Asphalt mix, with RAP (reclaimed asphalt pavement)</v>
          </cell>
          <cell r="B1613" t="str">
            <v>electricity, bitumen heating - electricity</v>
          </cell>
          <cell r="C1613" t="str">
            <v>from technosphere (energy_carrier)</v>
          </cell>
          <cell r="D1613"/>
          <cell r="E1613" t="str">
            <v>Energy</v>
          </cell>
          <cell r="F1613">
            <v>1.38</v>
          </cell>
          <cell r="G1613" t="str">
            <v>kWh</v>
          </cell>
          <cell r="H1613"/>
          <cell r="I1613" t="str">
            <v>none</v>
          </cell>
          <cell r="J1613" t="str">
            <v>[MIDDEN] 4791-2</v>
          </cell>
        </row>
        <row r="1614">
          <cell r="A1614" t="str">
            <v>[MIDDEN] Asphalt mix, with RAP (reclaimed asphalt pavement)</v>
          </cell>
          <cell r="B1614" t="str">
            <v>electricity, heated asphalt mix storage</v>
          </cell>
          <cell r="C1614" t="str">
            <v>from technosphere (energy_carrier)</v>
          </cell>
          <cell r="D1614"/>
          <cell r="E1614" t="str">
            <v>Energy</v>
          </cell>
          <cell r="F1614">
            <v>10.51</v>
          </cell>
          <cell r="G1614" t="str">
            <v>kWh</v>
          </cell>
          <cell r="H1614"/>
          <cell r="I1614" t="str">
            <v>none</v>
          </cell>
          <cell r="J1614" t="str">
            <v>[MIDDEN] 4791-2</v>
          </cell>
        </row>
        <row r="1615">
          <cell r="A1615" t="str">
            <v>[MIDDEN] Asphalt mix, with RAP (reclaimed asphalt pavement)</v>
          </cell>
          <cell r="B1615" t="str">
            <v>RAP</v>
          </cell>
          <cell r="C1615" t="str">
            <v>from technosphere (recycled material)</v>
          </cell>
          <cell r="D1615"/>
          <cell r="E1615" t="str">
            <v>Mass</v>
          </cell>
          <cell r="F1615">
            <v>0.36</v>
          </cell>
          <cell r="G1615" t="str">
            <v>ton</v>
          </cell>
          <cell r="H1615"/>
          <cell r="I1615" t="str">
            <v>none</v>
          </cell>
          <cell r="J1615" t="str">
            <v>[MIDDEN] 4791-2</v>
          </cell>
        </row>
        <row r="1616">
          <cell r="A1616" t="str">
            <v>[MIDDEN] Asphalt mix, with RAP (reclaimed asphalt pavement)</v>
          </cell>
          <cell r="B1616" t="str">
            <v>bitumen</v>
          </cell>
          <cell r="C1616" t="str">
            <v>from technosphere (material)</v>
          </cell>
          <cell r="D1616"/>
          <cell r="E1616" t="str">
            <v>Mass</v>
          </cell>
          <cell r="F1616">
            <v>0.04</v>
          </cell>
          <cell r="G1616" t="str">
            <v>ton</v>
          </cell>
          <cell r="H1616"/>
          <cell r="I1616" t="str">
            <v>none</v>
          </cell>
          <cell r="J1616" t="str">
            <v>[MIDDEN] 4791-2</v>
          </cell>
        </row>
        <row r="1617">
          <cell r="A1617" t="str">
            <v>[MIDDEN] Asphalt mix, with RAP (reclaimed asphalt pavement)</v>
          </cell>
          <cell r="B1617" t="str">
            <v>aggregates</v>
          </cell>
          <cell r="C1617" t="str">
            <v>from technosphere (material)</v>
          </cell>
          <cell r="D1617"/>
          <cell r="E1617" t="str">
            <v>Mass</v>
          </cell>
          <cell r="F1617">
            <v>0.57999999999999996</v>
          </cell>
          <cell r="G1617" t="str">
            <v>ton</v>
          </cell>
          <cell r="H1617"/>
          <cell r="I1617" t="str">
            <v>none</v>
          </cell>
          <cell r="J1617" t="str">
            <v>[MIDDEN] 4791-2</v>
          </cell>
        </row>
        <row r="1618">
          <cell r="A1618" t="str">
            <v>[MIDDEN] Asphalt mix, with RAP (reclaimed asphalt pavement)</v>
          </cell>
          <cell r="B1618" t="str">
            <v>filler</v>
          </cell>
          <cell r="C1618" t="str">
            <v>from technosphere (material)</v>
          </cell>
          <cell r="D1618"/>
          <cell r="E1618" t="str">
            <v>Mass</v>
          </cell>
          <cell r="F1618">
            <v>0.02</v>
          </cell>
          <cell r="G1618" t="str">
            <v>ton</v>
          </cell>
          <cell r="H1618"/>
          <cell r="I1618" t="str">
            <v>none</v>
          </cell>
          <cell r="J1618" t="str">
            <v>[MIDDEN] 4791-2</v>
          </cell>
        </row>
        <row r="1619">
          <cell r="A1619" t="str">
            <v>[MIDDEN] Asphalt mix, with RAP (reclaimed asphalt pavement)</v>
          </cell>
          <cell r="B1619" t="str">
            <v>carbon dioxide</v>
          </cell>
          <cell r="C1619" t="str">
            <v>to environment (emission, direct)</v>
          </cell>
          <cell r="D1619"/>
          <cell r="E1619" t="str">
            <v>Mass</v>
          </cell>
          <cell r="F1619">
            <v>16.600000000000001</v>
          </cell>
          <cell r="G1619" t="str">
            <v>kg</v>
          </cell>
          <cell r="H1619"/>
          <cell r="I1619" t="str">
            <v>none</v>
          </cell>
          <cell r="J1619" t="str">
            <v>[MIDDEN] 4791-2</v>
          </cell>
        </row>
        <row r="1620">
          <cell r="A1620" t="str">
            <v>[MIDDEN] Asphalt mix, with RAP (reclaimed asphalt pavement)</v>
          </cell>
          <cell r="B1620" t="str">
            <v>nitrogen oxides</v>
          </cell>
          <cell r="C1620" t="str">
            <v>to environment (emission)</v>
          </cell>
          <cell r="D1620"/>
          <cell r="E1620" t="str">
            <v>Mass</v>
          </cell>
          <cell r="F1620">
            <v>1.4</v>
          </cell>
          <cell r="G1620" t="str">
            <v>g</v>
          </cell>
          <cell r="H1620"/>
          <cell r="I1620" t="str">
            <v>none</v>
          </cell>
          <cell r="J1620" t="str">
            <v>[MIDDEN] 4791-2</v>
          </cell>
        </row>
        <row r="1621">
          <cell r="A1621" t="str">
            <v/>
          </cell>
          <cell r="B1621"/>
          <cell r="C1621"/>
          <cell r="D1621"/>
          <cell r="E1621"/>
        </row>
        <row r="1622">
          <cell r="A1622" t="str">
            <v>[MIDDEN] Asphalt mix, SMA (Stone Mastic Asphalt)</v>
          </cell>
          <cell r="B1622" t="str">
            <v>asphalt mix, SMA (Stone Mastic asphalt)</v>
          </cell>
          <cell r="C1622" t="str">
            <v>reference</v>
          </cell>
          <cell r="D1622"/>
          <cell r="E1622" t="str">
            <v>Mass</v>
          </cell>
          <cell r="F1622">
            <v>1</v>
          </cell>
          <cell r="G1622" t="str">
            <v>ton</v>
          </cell>
          <cell r="H1622"/>
          <cell r="I1622" t="str">
            <v>none</v>
          </cell>
          <cell r="J1622" t="str">
            <v>[MIDDEN] 4791-1</v>
          </cell>
        </row>
        <row r="1623">
          <cell r="A1623" t="str">
            <v>[MIDDEN] Asphalt mix, SMA (Stone Mastic Asphalt)</v>
          </cell>
          <cell r="B1623" t="str">
            <v>natural gas, rotary drum heating and drying</v>
          </cell>
          <cell r="C1623" t="str">
            <v>from technosphere (energy_carrier)</v>
          </cell>
          <cell r="D1623"/>
          <cell r="E1623" t="str">
            <v>Volume</v>
          </cell>
          <cell r="F1623">
            <v>7.28</v>
          </cell>
          <cell r="G1623" t="str">
            <v>m3</v>
          </cell>
          <cell r="H1623"/>
          <cell r="I1623" t="str">
            <v>none</v>
          </cell>
          <cell r="J1623" t="str">
            <v>[MIDDEN] 4791-1</v>
          </cell>
        </row>
        <row r="1624">
          <cell r="A1624" t="str">
            <v>[MIDDEN] Asphalt mix, SMA (Stone Mastic Asphalt)</v>
          </cell>
          <cell r="B1624" t="str">
            <v>natural gas, rotary drum heating and drying for RAP</v>
          </cell>
          <cell r="C1624" t="str">
            <v>from technosphere (energy_carrier)</v>
          </cell>
          <cell r="D1624"/>
          <cell r="E1624" t="str">
            <v>Volume</v>
          </cell>
          <cell r="F1624">
            <v>0</v>
          </cell>
          <cell r="G1624" t="str">
            <v>m3</v>
          </cell>
          <cell r="H1624"/>
          <cell r="I1624" t="str">
            <v>none</v>
          </cell>
          <cell r="J1624" t="str">
            <v>[MIDDEN] 4791-1</v>
          </cell>
        </row>
        <row r="1625">
          <cell r="A1625" t="str">
            <v>[MIDDEN] Asphalt mix, SMA (Stone Mastic Asphalt)</v>
          </cell>
          <cell r="B1625" t="str">
            <v>natural gas, recipe changes</v>
          </cell>
          <cell r="C1625" t="str">
            <v>from technosphere (energy_carrier)</v>
          </cell>
          <cell r="D1625"/>
          <cell r="E1625" t="str">
            <v>Volume</v>
          </cell>
          <cell r="F1625">
            <v>0.47</v>
          </cell>
          <cell r="G1625" t="str">
            <v>m3</v>
          </cell>
          <cell r="H1625"/>
          <cell r="I1625" t="str">
            <v>none</v>
          </cell>
          <cell r="J1625" t="str">
            <v>[MIDDEN] 4791-1</v>
          </cell>
        </row>
        <row r="1626">
          <cell r="A1626" t="str">
            <v>[MIDDEN] Asphalt mix, SMA (Stone Mastic Asphalt)</v>
          </cell>
          <cell r="B1626" t="str">
            <v>natural gas, starts and stops</v>
          </cell>
          <cell r="C1626" t="str">
            <v>from technosphere (energy_carrier)</v>
          </cell>
          <cell r="D1626"/>
          <cell r="E1626" t="str">
            <v>Volume</v>
          </cell>
          <cell r="F1626">
            <v>0.25</v>
          </cell>
          <cell r="G1626" t="str">
            <v>m3</v>
          </cell>
          <cell r="H1626"/>
          <cell r="I1626" t="str">
            <v>none</v>
          </cell>
          <cell r="J1626" t="str">
            <v>[MIDDEN] 4791-1</v>
          </cell>
        </row>
        <row r="1627">
          <cell r="A1627" t="str">
            <v>[MIDDEN] Asphalt mix, SMA (Stone Mastic Asphalt)</v>
          </cell>
          <cell r="B1627" t="str">
            <v>electricity, bitumen heating - electricity</v>
          </cell>
          <cell r="C1627" t="str">
            <v>from technosphere (energy_carrier)</v>
          </cell>
          <cell r="D1627"/>
          <cell r="E1627" t="str">
            <v>Energy</v>
          </cell>
          <cell r="F1627">
            <v>5.13</v>
          </cell>
          <cell r="G1627" t="str">
            <v>kWh</v>
          </cell>
          <cell r="H1627"/>
          <cell r="I1627" t="str">
            <v>none</v>
          </cell>
          <cell r="J1627" t="str">
            <v>[MIDDEN] 4791-1</v>
          </cell>
        </row>
        <row r="1628">
          <cell r="A1628" t="str">
            <v>[MIDDEN] Asphalt mix, SMA (Stone Mastic Asphalt)</v>
          </cell>
          <cell r="B1628" t="str">
            <v>electricity, heated asphalt mix storage</v>
          </cell>
          <cell r="C1628" t="str">
            <v>from technosphere (energy_carrier)</v>
          </cell>
          <cell r="D1628"/>
          <cell r="E1628" t="str">
            <v>Energy</v>
          </cell>
          <cell r="F1628">
            <v>11.27</v>
          </cell>
          <cell r="G1628" t="str">
            <v>kWh</v>
          </cell>
          <cell r="H1628"/>
          <cell r="I1628" t="str">
            <v>none</v>
          </cell>
          <cell r="J1628" t="str">
            <v>[MIDDEN] 4791-1</v>
          </cell>
        </row>
        <row r="1629">
          <cell r="A1629" t="str">
            <v>[MIDDEN] Asphalt mix, SMA (Stone Mastic Asphalt)</v>
          </cell>
          <cell r="B1629" t="str">
            <v>RAP</v>
          </cell>
          <cell r="C1629" t="str">
            <v>from technosphere (recycled material)</v>
          </cell>
          <cell r="D1629"/>
          <cell r="E1629" t="str">
            <v>Mass</v>
          </cell>
          <cell r="F1629">
            <v>0</v>
          </cell>
          <cell r="G1629" t="str">
            <v>ton</v>
          </cell>
          <cell r="H1629"/>
          <cell r="I1629" t="str">
            <v>none</v>
          </cell>
          <cell r="J1629" t="str">
            <v>[MIDDEN] 4791-1</v>
          </cell>
        </row>
        <row r="1630">
          <cell r="A1630" t="str">
            <v>[MIDDEN] Asphalt mix, SMA (Stone Mastic Asphalt)</v>
          </cell>
          <cell r="B1630" t="str">
            <v>bitumen</v>
          </cell>
          <cell r="C1630" t="str">
            <v>from technosphere (material)</v>
          </cell>
          <cell r="D1630"/>
          <cell r="E1630" t="str">
            <v>Mass</v>
          </cell>
          <cell r="F1630">
            <v>0.11</v>
          </cell>
          <cell r="G1630" t="str">
            <v>ton</v>
          </cell>
          <cell r="H1630"/>
          <cell r="I1630" t="str">
            <v>none</v>
          </cell>
          <cell r="J1630" t="str">
            <v>[MIDDEN] 4791-1</v>
          </cell>
        </row>
        <row r="1631">
          <cell r="A1631" t="str">
            <v>[MIDDEN] Asphalt mix, SMA (Stone Mastic Asphalt)</v>
          </cell>
          <cell r="B1631" t="str">
            <v>aggregates</v>
          </cell>
          <cell r="C1631" t="str">
            <v>from technosphere (material)</v>
          </cell>
          <cell r="D1631"/>
          <cell r="E1631" t="str">
            <v>Mass</v>
          </cell>
          <cell r="F1631">
            <v>0.82</v>
          </cell>
          <cell r="G1631" t="str">
            <v>ton</v>
          </cell>
          <cell r="H1631"/>
          <cell r="I1631" t="str">
            <v>none</v>
          </cell>
          <cell r="J1631" t="str">
            <v>[MIDDEN] 4791-1</v>
          </cell>
        </row>
        <row r="1632">
          <cell r="A1632" t="str">
            <v>[MIDDEN] Asphalt mix, SMA (Stone Mastic Asphalt)</v>
          </cell>
          <cell r="B1632" t="str">
            <v>filler</v>
          </cell>
          <cell r="C1632" t="str">
            <v>from technosphere (material)</v>
          </cell>
          <cell r="D1632"/>
          <cell r="E1632" t="str">
            <v>Mass</v>
          </cell>
          <cell r="F1632">
            <v>0.08</v>
          </cell>
          <cell r="G1632" t="str">
            <v>ton</v>
          </cell>
          <cell r="H1632"/>
          <cell r="I1632" t="str">
            <v>none</v>
          </cell>
          <cell r="J1632" t="str">
            <v>[MIDDEN] 4791-1</v>
          </cell>
        </row>
        <row r="1633">
          <cell r="A1633" t="str">
            <v>[MIDDEN] Asphalt mix, SMA (Stone Mastic Asphalt)</v>
          </cell>
          <cell r="B1633" t="str">
            <v>carbon dioxide</v>
          </cell>
          <cell r="C1633" t="str">
            <v>to environment (emission, direct)</v>
          </cell>
          <cell r="D1633"/>
          <cell r="E1633" t="str">
            <v>Mass</v>
          </cell>
          <cell r="F1633">
            <v>14.3</v>
          </cell>
          <cell r="G1633" t="str">
            <v>kg</v>
          </cell>
          <cell r="H1633"/>
          <cell r="I1633" t="str">
            <v>none</v>
          </cell>
          <cell r="J1633" t="str">
            <v>[MIDDEN] 4791-1</v>
          </cell>
        </row>
        <row r="1634">
          <cell r="A1634" t="str">
            <v>[MIDDEN] Asphalt mix, SMA (Stone Mastic Asphalt)</v>
          </cell>
          <cell r="B1634" t="str">
            <v>nitrogen oxides</v>
          </cell>
          <cell r="C1634" t="str">
            <v>to environment (emission)</v>
          </cell>
          <cell r="D1634"/>
          <cell r="E1634" t="str">
            <v>Mass</v>
          </cell>
          <cell r="F1634">
            <v>1.1599999999999999</v>
          </cell>
          <cell r="G1634" t="str">
            <v>g</v>
          </cell>
          <cell r="H1634"/>
          <cell r="I1634" t="str">
            <v>derived from average NOx unit process with and without RAP as a share of CO2</v>
          </cell>
          <cell r="J1634" t="str">
            <v>[MIDDEN] 4791-1</v>
          </cell>
        </row>
        <row r="1635">
          <cell r="A1635" t="str">
            <v/>
          </cell>
        </row>
        <row r="1636">
          <cell r="A1636" t="str">
            <v>[MIDDEN] Asphalt mix, ZOAB (Zeer Open Asfaltbeton)</v>
          </cell>
          <cell r="B1636" t="str">
            <v>asphalt mix, ZOAB (Zeer Open Asfaltbeton)</v>
          </cell>
          <cell r="C1636" t="str">
            <v>reference</v>
          </cell>
          <cell r="D1636"/>
          <cell r="E1636" t="str">
            <v>Mass</v>
          </cell>
          <cell r="F1636">
            <v>1</v>
          </cell>
          <cell r="G1636" t="str">
            <v>ton</v>
          </cell>
          <cell r="H1636"/>
          <cell r="I1636" t="str">
            <v>none</v>
          </cell>
          <cell r="J1636" t="str">
            <v>[MIDDEN] 4791-1</v>
          </cell>
        </row>
        <row r="1637">
          <cell r="A1637" t="str">
            <v>[MIDDEN] Asphalt mix, ZOAB (Zeer Open Asfaltbeton)</v>
          </cell>
          <cell r="B1637" t="str">
            <v>natural gas, rotary drum heating and drying</v>
          </cell>
          <cell r="C1637" t="str">
            <v>from technosphere (energy_carrier)</v>
          </cell>
          <cell r="D1637"/>
          <cell r="E1637" t="str">
            <v>Volume</v>
          </cell>
          <cell r="F1637">
            <v>6.69</v>
          </cell>
          <cell r="G1637" t="str">
            <v>m3</v>
          </cell>
          <cell r="H1637"/>
          <cell r="I1637" t="str">
            <v>none</v>
          </cell>
          <cell r="J1637" t="str">
            <v>[MIDDEN] 4791-1</v>
          </cell>
        </row>
        <row r="1638">
          <cell r="A1638" t="str">
            <v>[MIDDEN] Asphalt mix, ZOAB (Zeer Open Asfaltbeton)</v>
          </cell>
          <cell r="B1638" t="str">
            <v>natural gas, rotary drum heating and drying for RAP</v>
          </cell>
          <cell r="C1638" t="str">
            <v>from technosphere (energy_carrier)</v>
          </cell>
          <cell r="D1638"/>
          <cell r="E1638" t="str">
            <v>Volume</v>
          </cell>
          <cell r="F1638">
            <v>0</v>
          </cell>
          <cell r="G1638" t="str">
            <v>m3</v>
          </cell>
          <cell r="H1638"/>
          <cell r="I1638" t="str">
            <v>none</v>
          </cell>
          <cell r="J1638" t="str">
            <v>[MIDDEN] 4791-1</v>
          </cell>
        </row>
        <row r="1639">
          <cell r="A1639" t="str">
            <v>[MIDDEN] Asphalt mix, ZOAB (Zeer Open Asfaltbeton)</v>
          </cell>
          <cell r="B1639" t="str">
            <v>natural gas, recipe changes</v>
          </cell>
          <cell r="C1639" t="str">
            <v>from technosphere (energy_carrier)</v>
          </cell>
          <cell r="D1639"/>
          <cell r="E1639" t="str">
            <v>Volume</v>
          </cell>
          <cell r="F1639">
            <v>0.47</v>
          </cell>
          <cell r="G1639" t="str">
            <v>m3</v>
          </cell>
          <cell r="H1639"/>
          <cell r="I1639" t="str">
            <v>none</v>
          </cell>
          <cell r="J1639" t="str">
            <v>[MIDDEN] 4791-1</v>
          </cell>
        </row>
        <row r="1640">
          <cell r="A1640" t="str">
            <v>[MIDDEN] Asphalt mix, ZOAB (Zeer Open Asfaltbeton)</v>
          </cell>
          <cell r="B1640" t="str">
            <v>natural gas, starts and stops</v>
          </cell>
          <cell r="C1640" t="str">
            <v>from technosphere (energy_carrier)</v>
          </cell>
          <cell r="D1640"/>
          <cell r="E1640" t="str">
            <v>Volume</v>
          </cell>
          <cell r="F1640">
            <v>0.25</v>
          </cell>
          <cell r="G1640" t="str">
            <v>m3</v>
          </cell>
          <cell r="H1640"/>
          <cell r="I1640" t="str">
            <v>none</v>
          </cell>
          <cell r="J1640" t="str">
            <v>[MIDDEN] 4791-1</v>
          </cell>
        </row>
        <row r="1641">
          <cell r="A1641" t="str">
            <v>[MIDDEN] Asphalt mix, ZOAB (Zeer Open Asfaltbeton)</v>
          </cell>
          <cell r="B1641" t="str">
            <v>electricity, bitumen heating - electricity</v>
          </cell>
          <cell r="C1641" t="str">
            <v>from technosphere (energy_carrier)</v>
          </cell>
          <cell r="D1641"/>
          <cell r="E1641" t="str">
            <v>Energy</v>
          </cell>
          <cell r="F1641">
            <v>2.2599999999999998</v>
          </cell>
          <cell r="G1641" t="str">
            <v>kWh</v>
          </cell>
          <cell r="H1641"/>
          <cell r="I1641" t="str">
            <v>none</v>
          </cell>
          <cell r="J1641" t="str">
            <v>[MIDDEN] 4791-1</v>
          </cell>
        </row>
        <row r="1642">
          <cell r="A1642" t="str">
            <v>[MIDDEN] Asphalt mix, ZOAB (Zeer Open Asfaltbeton)</v>
          </cell>
          <cell r="B1642" t="str">
            <v>electricity, heated asphalt mix storage</v>
          </cell>
          <cell r="C1642" t="str">
            <v>from technosphere (energy_carrier)</v>
          </cell>
          <cell r="D1642"/>
          <cell r="E1642" t="str">
            <v>Energy</v>
          </cell>
          <cell r="F1642">
            <v>10.69</v>
          </cell>
          <cell r="G1642" t="str">
            <v>kWh</v>
          </cell>
          <cell r="H1642"/>
          <cell r="I1642" t="str">
            <v>none</v>
          </cell>
          <cell r="J1642" t="str">
            <v>[MIDDEN] 4791-1</v>
          </cell>
        </row>
        <row r="1643">
          <cell r="A1643" t="str">
            <v>[MIDDEN] Asphalt mix, ZOAB (Zeer Open Asfaltbeton)</v>
          </cell>
          <cell r="B1643" t="str">
            <v>RAP</v>
          </cell>
          <cell r="C1643" t="str">
            <v>from technosphere (recycled material)</v>
          </cell>
          <cell r="D1643"/>
          <cell r="E1643" t="str">
            <v>Mass</v>
          </cell>
          <cell r="F1643">
            <v>0</v>
          </cell>
          <cell r="G1643" t="str">
            <v>ton</v>
          </cell>
          <cell r="H1643"/>
          <cell r="I1643" t="str">
            <v>none</v>
          </cell>
          <cell r="J1643" t="str">
            <v>[MIDDEN] 4791-1</v>
          </cell>
        </row>
        <row r="1644">
          <cell r="A1644" t="str">
            <v>[MIDDEN] Asphalt mix, ZOAB (Zeer Open Asfaltbeton)</v>
          </cell>
          <cell r="B1644" t="str">
            <v>bitumen</v>
          </cell>
          <cell r="C1644" t="str">
            <v>from technosphere (material)</v>
          </cell>
          <cell r="D1644"/>
          <cell r="E1644" t="str">
            <v>Mass</v>
          </cell>
          <cell r="F1644">
            <v>0.05</v>
          </cell>
          <cell r="G1644" t="str">
            <v>ton</v>
          </cell>
          <cell r="H1644"/>
          <cell r="I1644" t="str">
            <v>none</v>
          </cell>
          <cell r="J1644" t="str">
            <v>[MIDDEN] 4791-1</v>
          </cell>
        </row>
        <row r="1645">
          <cell r="A1645" t="str">
            <v>[MIDDEN] Asphalt mix, ZOAB (Zeer Open Asfaltbeton)</v>
          </cell>
          <cell r="B1645" t="str">
            <v>aggregates</v>
          </cell>
          <cell r="C1645" t="str">
            <v>from technosphere (material)</v>
          </cell>
          <cell r="D1645"/>
          <cell r="E1645" t="str">
            <v>Mass</v>
          </cell>
          <cell r="F1645">
            <v>0.9</v>
          </cell>
          <cell r="G1645" t="str">
            <v>ton</v>
          </cell>
          <cell r="H1645"/>
          <cell r="I1645" t="str">
            <v>none</v>
          </cell>
          <cell r="J1645" t="str">
            <v>[MIDDEN] 4791-1</v>
          </cell>
        </row>
        <row r="1646">
          <cell r="A1646" t="str">
            <v>[MIDDEN] Asphalt mix, ZOAB (Zeer Open Asfaltbeton)</v>
          </cell>
          <cell r="B1646" t="str">
            <v>filler</v>
          </cell>
          <cell r="C1646" t="str">
            <v>from technosphere (material)</v>
          </cell>
          <cell r="D1646"/>
          <cell r="E1646" t="str">
            <v>Mass</v>
          </cell>
          <cell r="F1646">
            <v>0.05</v>
          </cell>
          <cell r="G1646" t="str">
            <v>ton</v>
          </cell>
          <cell r="H1646"/>
          <cell r="I1646" t="str">
            <v>none</v>
          </cell>
          <cell r="J1646" t="str">
            <v>[MIDDEN] 4791-1</v>
          </cell>
        </row>
        <row r="1647">
          <cell r="A1647" t="str">
            <v>[MIDDEN] Asphalt mix, ZOAB (Zeer Open Asfaltbeton)</v>
          </cell>
          <cell r="B1647" t="str">
            <v>carbon dioxide</v>
          </cell>
          <cell r="C1647" t="str">
            <v>to environment (emission, direct)</v>
          </cell>
          <cell r="D1647"/>
          <cell r="E1647" t="str">
            <v>Mass</v>
          </cell>
          <cell r="F1647">
            <v>13.2</v>
          </cell>
          <cell r="G1647" t="str">
            <v>kg</v>
          </cell>
          <cell r="H1647"/>
          <cell r="I1647" t="str">
            <v>none</v>
          </cell>
          <cell r="J1647" t="str">
            <v>[MIDDEN] 4791-1</v>
          </cell>
        </row>
        <row r="1648">
          <cell r="A1648" t="str">
            <v>[MIDDEN] Asphalt mix, ZOAB (Zeer Open Asfaltbeton)</v>
          </cell>
          <cell r="B1648" t="str">
            <v>nitrogen oxides</v>
          </cell>
          <cell r="C1648" t="str">
            <v>to environment (emission)</v>
          </cell>
          <cell r="D1648"/>
          <cell r="E1648" t="str">
            <v>Mass</v>
          </cell>
          <cell r="F1648">
            <v>1.0900000000000001</v>
          </cell>
          <cell r="G1648" t="str">
            <v>g</v>
          </cell>
          <cell r="H1648"/>
          <cell r="I1648" t="str">
            <v>derived from average NOx unit process with and without RAP as a share of CO2</v>
          </cell>
          <cell r="J1648" t="str">
            <v>[MIDDEN] 4791-1</v>
          </cell>
        </row>
        <row r="1649">
          <cell r="A1649" t="str">
            <v/>
          </cell>
          <cell r="B1649"/>
          <cell r="C1649"/>
          <cell r="D1649"/>
          <cell r="E1649"/>
          <cell r="F1649"/>
          <cell r="G1649"/>
          <cell r="H1649"/>
          <cell r="I1649"/>
        </row>
        <row r="1650">
          <cell r="A1650" t="str">
            <v>[MIDDEN] Asphalt mix, without RAP (100% electrified)</v>
          </cell>
          <cell r="B1650" t="str">
            <v>asphalt mix, without RAP (100% electrified)</v>
          </cell>
          <cell r="C1650" t="str">
            <v>reference_product</v>
          </cell>
          <cell r="D1650"/>
          <cell r="E1650" t="str">
            <v>Mass</v>
          </cell>
          <cell r="F1650">
            <v>1</v>
          </cell>
          <cell r="G1650" t="str">
            <v>ton</v>
          </cell>
          <cell r="H1650"/>
          <cell r="I1650" t="str">
            <v>none</v>
          </cell>
          <cell r="J1650" t="str">
            <v>[MIDDEN] 4791-3</v>
          </cell>
        </row>
        <row r="1651">
          <cell r="A1651" t="str">
            <v>[MIDDEN] Asphalt mix, without RAP (100% electrified)</v>
          </cell>
          <cell r="B1651" t="str">
            <v>natural gas, rotary drum heating and drying</v>
          </cell>
          <cell r="C1651" t="str">
            <v>from technosphere (energy_carrier)</v>
          </cell>
          <cell r="D1651"/>
          <cell r="E1651" t="str">
            <v>Volume</v>
          </cell>
          <cell r="F1651">
            <v>0</v>
          </cell>
          <cell r="G1651" t="str">
            <v>m3</v>
          </cell>
          <cell r="H1651"/>
          <cell r="I1651" t="str">
            <v>none</v>
          </cell>
          <cell r="J1651" t="str">
            <v>[MIDDEN] 4791-3</v>
          </cell>
        </row>
        <row r="1652">
          <cell r="A1652" t="str">
            <v>[MIDDEN] Asphalt mix, without RAP (100% electrified)</v>
          </cell>
          <cell r="B1652" t="str">
            <v>natural gas, rotary drum heating and drying for RAP</v>
          </cell>
          <cell r="C1652" t="str">
            <v>from technosphere (energy_carrier)</v>
          </cell>
          <cell r="D1652"/>
          <cell r="E1652" t="str">
            <v>Volume</v>
          </cell>
          <cell r="F1652">
            <v>0</v>
          </cell>
          <cell r="G1652" t="str">
            <v>m3</v>
          </cell>
          <cell r="H1652"/>
          <cell r="I1652" t="str">
            <v>none</v>
          </cell>
          <cell r="J1652" t="str">
            <v>[MIDDEN] 4791-3</v>
          </cell>
        </row>
        <row r="1653">
          <cell r="A1653" t="str">
            <v>[MIDDEN] Asphalt mix, without RAP (100% electrified)</v>
          </cell>
          <cell r="B1653" t="str">
            <v>natural gas, recipe changes</v>
          </cell>
          <cell r="C1653" t="str">
            <v>from technosphere (energy_carrier)</v>
          </cell>
          <cell r="D1653"/>
          <cell r="E1653" t="str">
            <v>Volume</v>
          </cell>
          <cell r="F1653">
            <v>0.47</v>
          </cell>
          <cell r="G1653" t="str">
            <v>m3</v>
          </cell>
          <cell r="H1653"/>
          <cell r="I1653" t="str">
            <v>none</v>
          </cell>
          <cell r="J1653" t="str">
            <v>[MIDDEN] 4791-3</v>
          </cell>
        </row>
        <row r="1654">
          <cell r="A1654" t="str">
            <v>[MIDDEN] Asphalt mix, without RAP (100% electrified)</v>
          </cell>
          <cell r="B1654" t="str">
            <v>natural gas, starts and stops</v>
          </cell>
          <cell r="C1654" t="str">
            <v>from technosphere (energy_carrier)</v>
          </cell>
          <cell r="D1654"/>
          <cell r="E1654" t="str">
            <v>Volume</v>
          </cell>
          <cell r="F1654">
            <v>0.25</v>
          </cell>
          <cell r="G1654" t="str">
            <v>m3</v>
          </cell>
          <cell r="H1654"/>
          <cell r="I1654" t="str">
            <v>none</v>
          </cell>
          <cell r="J1654" t="str">
            <v>[MIDDEN] 4791-3</v>
          </cell>
        </row>
        <row r="1655">
          <cell r="A1655" t="str">
            <v>[MIDDEN] Asphalt mix, without RAP (100% electrified)</v>
          </cell>
          <cell r="B1655" t="str">
            <v>electricity, bitumen heating - electricity</v>
          </cell>
          <cell r="C1655" t="str">
            <v>from technosphere (energy_carrier)</v>
          </cell>
          <cell r="D1655"/>
          <cell r="E1655" t="str">
            <v>Energy</v>
          </cell>
          <cell r="F1655">
            <v>2.69</v>
          </cell>
          <cell r="G1655" t="str">
            <v>kWh</v>
          </cell>
          <cell r="H1655"/>
          <cell r="I1655" t="str">
            <v>none</v>
          </cell>
          <cell r="J1655" t="str">
            <v>[MIDDEN] 4791-3</v>
          </cell>
        </row>
        <row r="1656">
          <cell r="A1656" t="str">
            <v>[MIDDEN] Asphalt mix, without RAP (100% electrified)</v>
          </cell>
          <cell r="B1656" t="str">
            <v>electricity, heated asphalt mix storage</v>
          </cell>
          <cell r="C1656" t="str">
            <v>from technosphere (energy_carrier)</v>
          </cell>
          <cell r="D1656"/>
          <cell r="E1656" t="str">
            <v>Energy</v>
          </cell>
          <cell r="F1656">
            <v>10.78</v>
          </cell>
          <cell r="G1656" t="str">
            <v>kWh</v>
          </cell>
          <cell r="H1656"/>
          <cell r="I1656" t="str">
            <v>none</v>
          </cell>
          <cell r="J1656" t="str">
            <v>[MIDDEN] 4791-3</v>
          </cell>
        </row>
        <row r="1657">
          <cell r="A1657" t="str">
            <v>[MIDDEN] Asphalt mix, without RAP (100% electrified)</v>
          </cell>
          <cell r="B1657" t="str">
            <v>electricity, electrification</v>
          </cell>
          <cell r="C1657" t="str">
            <v>from technosphere (energy_carrier)</v>
          </cell>
          <cell r="D1657"/>
          <cell r="E1657" t="str">
            <v>Energy</v>
          </cell>
          <cell r="F1657">
            <v>327</v>
          </cell>
          <cell r="G1657" t="str">
            <v>MJ</v>
          </cell>
          <cell r="H1657"/>
          <cell r="I1657" t="str">
            <v>none</v>
          </cell>
          <cell r="J1657" t="str">
            <v>[MIDDEN] 4791-3</v>
          </cell>
        </row>
        <row r="1658">
          <cell r="A1658" t="str">
            <v>[MIDDEN] Asphalt mix, without RAP (100% electrified)</v>
          </cell>
          <cell r="B1658" t="str">
            <v>RAP</v>
          </cell>
          <cell r="C1658" t="str">
            <v>from technosphere (recycled material)</v>
          </cell>
          <cell r="D1658"/>
          <cell r="E1658" t="str">
            <v>Mass</v>
          </cell>
          <cell r="F1658">
            <v>0</v>
          </cell>
          <cell r="G1658" t="str">
            <v>ton</v>
          </cell>
          <cell r="H1658"/>
          <cell r="I1658" t="str">
            <v>none</v>
          </cell>
          <cell r="J1658" t="str">
            <v>[MIDDEN] 4791-3</v>
          </cell>
        </row>
        <row r="1659">
          <cell r="A1659" t="str">
            <v>[MIDDEN] Asphalt mix, without RAP (100% electrified)</v>
          </cell>
          <cell r="B1659" t="str">
            <v>bitumen</v>
          </cell>
          <cell r="C1659" t="str">
            <v>from technosphere (material)</v>
          </cell>
          <cell r="D1659"/>
          <cell r="E1659" t="str">
            <v>Mass</v>
          </cell>
          <cell r="F1659">
            <v>0.06</v>
          </cell>
          <cell r="G1659" t="str">
            <v>ton</v>
          </cell>
          <cell r="H1659"/>
          <cell r="I1659" t="str">
            <v>none</v>
          </cell>
          <cell r="J1659" t="str">
            <v>[MIDDEN] 4791-3</v>
          </cell>
        </row>
        <row r="1660">
          <cell r="A1660" t="str">
            <v>[MIDDEN] Asphalt mix, without RAP (100% electrified)</v>
          </cell>
          <cell r="B1660" t="str">
            <v>aggregates</v>
          </cell>
          <cell r="C1660" t="str">
            <v>from technosphere (material)</v>
          </cell>
          <cell r="D1660"/>
          <cell r="E1660" t="str">
            <v>Mass</v>
          </cell>
          <cell r="F1660">
            <v>0.89</v>
          </cell>
          <cell r="G1660" t="str">
            <v>ton</v>
          </cell>
          <cell r="H1660"/>
          <cell r="I1660" t="str">
            <v>none</v>
          </cell>
          <cell r="J1660" t="str">
            <v>[MIDDEN] 4791-3</v>
          </cell>
        </row>
        <row r="1661">
          <cell r="A1661" t="str">
            <v>[MIDDEN] Asphalt mix, without RAP (100% electrified)</v>
          </cell>
          <cell r="B1661" t="str">
            <v>filler</v>
          </cell>
          <cell r="C1661" t="str">
            <v>from technosphere (material)</v>
          </cell>
          <cell r="D1661"/>
          <cell r="E1661" t="str">
            <v>Mass</v>
          </cell>
          <cell r="F1661">
            <v>0.05</v>
          </cell>
          <cell r="G1661" t="str">
            <v>ton</v>
          </cell>
          <cell r="H1661"/>
          <cell r="I1661" t="str">
            <v>none</v>
          </cell>
          <cell r="J1661" t="str">
            <v>[MIDDEN] 4791-3</v>
          </cell>
        </row>
        <row r="1662">
          <cell r="A1662" t="str">
            <v>[MIDDEN] Asphalt mix, without RAP (100% electrified)</v>
          </cell>
          <cell r="B1662" t="str">
            <v>carbon dioxide</v>
          </cell>
          <cell r="C1662" t="str">
            <v>to environment (emission, direct)</v>
          </cell>
          <cell r="D1662"/>
          <cell r="E1662" t="str">
            <v>Mass</v>
          </cell>
          <cell r="F1662">
            <v>0</v>
          </cell>
          <cell r="G1662" t="str">
            <v>kg</v>
          </cell>
          <cell r="H1662"/>
          <cell r="I1662" t="str">
            <v>none</v>
          </cell>
          <cell r="J1662" t="str">
            <v>[MIDDEN] 4791-3</v>
          </cell>
        </row>
        <row r="1663">
          <cell r="A1663" t="str">
            <v>[MIDDEN] Asphalt mix, without RAP (100% electrified)</v>
          </cell>
          <cell r="B1663" t="str">
            <v>nitrogen oxides</v>
          </cell>
          <cell r="C1663" t="str">
            <v>to environment (emission)</v>
          </cell>
          <cell r="D1663"/>
          <cell r="E1663" t="str">
            <v>Mass</v>
          </cell>
          <cell r="F1663">
            <v>1.23</v>
          </cell>
          <cell r="G1663" t="str">
            <v>kg</v>
          </cell>
          <cell r="H1663"/>
          <cell r="I1663" t="str">
            <v>none</v>
          </cell>
          <cell r="J1663" t="str">
            <v>[MIDDEN] 4791-3</v>
          </cell>
        </row>
        <row r="1664">
          <cell r="A1664" t="str">
            <v/>
          </cell>
          <cell r="B1664"/>
          <cell r="C1664"/>
          <cell r="D1664"/>
          <cell r="E1664"/>
          <cell r="F1664"/>
          <cell r="G1664"/>
          <cell r="H1664"/>
          <cell r="I1664"/>
        </row>
        <row r="1665">
          <cell r="A1665" t="str">
            <v>[MIDDEN] Asphalt mix, with RAP (100% electrified)</v>
          </cell>
          <cell r="B1665" t="str">
            <v>asphalt mix, with RAP (100% electrified)</v>
          </cell>
          <cell r="C1665" t="str">
            <v>reference_product</v>
          </cell>
          <cell r="D1665"/>
          <cell r="E1665" t="str">
            <v>Mass</v>
          </cell>
          <cell r="F1665">
            <v>1</v>
          </cell>
          <cell r="G1665" t="str">
            <v>ton</v>
          </cell>
          <cell r="H1665"/>
          <cell r="I1665" t="str">
            <v>none</v>
          </cell>
          <cell r="J1665" t="str">
            <v>[MIDDEN] 4791-3</v>
          </cell>
        </row>
        <row r="1666">
          <cell r="A1666" t="str">
            <v>[MIDDEN] Asphalt mix, with RAP (100% electrified)</v>
          </cell>
          <cell r="B1666" t="str">
            <v>natural gas, rotary drum heating and drying</v>
          </cell>
          <cell r="C1666" t="str">
            <v>from technosphere (energy_carrier)</v>
          </cell>
          <cell r="D1666"/>
          <cell r="E1666" t="str">
            <v>Volume</v>
          </cell>
          <cell r="F1666">
            <v>0</v>
          </cell>
          <cell r="G1666" t="str">
            <v>m3</v>
          </cell>
          <cell r="H1666"/>
          <cell r="I1666" t="str">
            <v>none</v>
          </cell>
          <cell r="J1666" t="str">
            <v>[MIDDEN] 4791-3</v>
          </cell>
        </row>
        <row r="1667">
          <cell r="A1667" t="str">
            <v>[MIDDEN] Asphalt mix, with RAP (100% electrified)</v>
          </cell>
          <cell r="B1667" t="str">
            <v>natural gas, rotary drum heating and drying for RAP</v>
          </cell>
          <cell r="C1667" t="str">
            <v>from technosphere (energy_carrier)</v>
          </cell>
          <cell r="D1667"/>
          <cell r="E1667" t="str">
            <v>Volume</v>
          </cell>
          <cell r="F1667">
            <v>0</v>
          </cell>
          <cell r="G1667" t="str">
            <v>m3</v>
          </cell>
          <cell r="H1667"/>
          <cell r="I1667" t="str">
            <v>none</v>
          </cell>
          <cell r="J1667" t="str">
            <v>[MIDDEN] 4791-3</v>
          </cell>
        </row>
        <row r="1668">
          <cell r="A1668" t="str">
            <v>[MIDDEN] Asphalt mix, with RAP (100% electrified)</v>
          </cell>
          <cell r="B1668" t="str">
            <v>natural gas, recipe changes</v>
          </cell>
          <cell r="C1668" t="str">
            <v>from technosphere (energy_carrier)</v>
          </cell>
          <cell r="D1668"/>
          <cell r="E1668" t="str">
            <v>Volume</v>
          </cell>
          <cell r="F1668">
            <v>0.47</v>
          </cell>
          <cell r="G1668" t="str">
            <v>m3</v>
          </cell>
          <cell r="H1668"/>
          <cell r="I1668" t="str">
            <v>none</v>
          </cell>
          <cell r="J1668" t="str">
            <v>[MIDDEN] 4791-3</v>
          </cell>
        </row>
        <row r="1669">
          <cell r="A1669" t="str">
            <v>[MIDDEN] Asphalt mix, with RAP (100% electrified)</v>
          </cell>
          <cell r="B1669" t="str">
            <v>natural gas, starts and stops</v>
          </cell>
          <cell r="C1669" t="str">
            <v>from technosphere (energy_carrier)</v>
          </cell>
          <cell r="D1669"/>
          <cell r="E1669" t="str">
            <v>Volume</v>
          </cell>
          <cell r="F1669">
            <v>0.25</v>
          </cell>
          <cell r="G1669" t="str">
            <v>m3</v>
          </cell>
          <cell r="H1669"/>
          <cell r="I1669" t="str">
            <v>none</v>
          </cell>
          <cell r="J1669" t="str">
            <v>[MIDDEN] 4791-3</v>
          </cell>
        </row>
        <row r="1670">
          <cell r="A1670" t="str">
            <v>[MIDDEN] Asphalt mix, with RAP (100% electrified)</v>
          </cell>
          <cell r="B1670" t="str">
            <v>electricity, bitumen heating - electricity</v>
          </cell>
          <cell r="C1670" t="str">
            <v>from technosphere (energy_carrier)</v>
          </cell>
          <cell r="D1670"/>
          <cell r="E1670" t="str">
            <v>Energy</v>
          </cell>
          <cell r="F1670">
            <v>1.38</v>
          </cell>
          <cell r="G1670" t="str">
            <v>kWh</v>
          </cell>
          <cell r="H1670"/>
          <cell r="I1670" t="str">
            <v>none</v>
          </cell>
          <cell r="J1670" t="str">
            <v>[MIDDEN] 4791-3</v>
          </cell>
        </row>
        <row r="1671">
          <cell r="A1671" t="str">
            <v>[MIDDEN] Asphalt mix, with RAP (100% electrified)</v>
          </cell>
          <cell r="B1671" t="str">
            <v>electricity, heated asphalt mix storage</v>
          </cell>
          <cell r="C1671" t="str">
            <v>from technosphere (energy_carrier)</v>
          </cell>
          <cell r="D1671"/>
          <cell r="E1671" t="str">
            <v>Energy</v>
          </cell>
          <cell r="F1671">
            <v>10.51</v>
          </cell>
          <cell r="G1671" t="str">
            <v>kWh</v>
          </cell>
          <cell r="H1671"/>
          <cell r="I1671" t="str">
            <v>none</v>
          </cell>
          <cell r="J1671" t="str">
            <v>[MIDDEN] 4791-3</v>
          </cell>
        </row>
        <row r="1672">
          <cell r="A1672" t="str">
            <v>[MIDDEN] Asphalt mix, with RAP (100% electrified)</v>
          </cell>
          <cell r="B1672" t="str">
            <v>electricity, electrification</v>
          </cell>
          <cell r="C1672" t="str">
            <v>from technosphere (energy_carrier)</v>
          </cell>
          <cell r="D1672"/>
          <cell r="E1672" t="str">
            <v>Energy</v>
          </cell>
          <cell r="F1672">
            <v>79.3</v>
          </cell>
          <cell r="G1672" t="str">
            <v>MJ</v>
          </cell>
          <cell r="H1672"/>
          <cell r="I1672" t="str">
            <v>none</v>
          </cell>
          <cell r="J1672" t="str">
            <v>[MIDDEN] 4791-3</v>
          </cell>
        </row>
        <row r="1673">
          <cell r="A1673" t="str">
            <v>[MIDDEN] Asphalt mix, with RAP (100% electrified)</v>
          </cell>
          <cell r="B1673" t="str">
            <v>RAP</v>
          </cell>
          <cell r="C1673" t="str">
            <v>from technosphere (recycled material)</v>
          </cell>
          <cell r="D1673"/>
          <cell r="E1673" t="str">
            <v>Mass</v>
          </cell>
          <cell r="F1673">
            <v>0.36</v>
          </cell>
          <cell r="G1673" t="str">
            <v>ton</v>
          </cell>
          <cell r="H1673"/>
          <cell r="I1673" t="str">
            <v>none</v>
          </cell>
          <cell r="J1673" t="str">
            <v>[MIDDEN] 4791-3</v>
          </cell>
        </row>
        <row r="1674">
          <cell r="A1674" t="str">
            <v>[MIDDEN] Asphalt mix, with RAP (100% electrified)</v>
          </cell>
          <cell r="B1674" t="str">
            <v>bitumen</v>
          </cell>
          <cell r="C1674" t="str">
            <v>from technosphere (material)</v>
          </cell>
          <cell r="D1674"/>
          <cell r="E1674" t="str">
            <v>Mass</v>
          </cell>
          <cell r="F1674">
            <v>0.04</v>
          </cell>
          <cell r="G1674" t="str">
            <v>ton</v>
          </cell>
          <cell r="H1674"/>
          <cell r="I1674" t="str">
            <v>none</v>
          </cell>
          <cell r="J1674" t="str">
            <v>[MIDDEN] 4791-3</v>
          </cell>
        </row>
        <row r="1675">
          <cell r="A1675" t="str">
            <v>[MIDDEN] Asphalt mix, with RAP (100% electrified)</v>
          </cell>
          <cell r="B1675" t="str">
            <v>aggregates</v>
          </cell>
          <cell r="C1675" t="str">
            <v>from technosphere (material)</v>
          </cell>
          <cell r="D1675"/>
          <cell r="E1675" t="str">
            <v>Mass</v>
          </cell>
          <cell r="F1675">
            <v>0.57999999999999996</v>
          </cell>
          <cell r="G1675" t="str">
            <v>ton</v>
          </cell>
          <cell r="H1675"/>
          <cell r="I1675" t="str">
            <v>none</v>
          </cell>
          <cell r="J1675" t="str">
            <v>[MIDDEN] 4791-3</v>
          </cell>
        </row>
        <row r="1676">
          <cell r="A1676" t="str">
            <v>[MIDDEN] Asphalt mix, with RAP (100% electrified)</v>
          </cell>
          <cell r="B1676" t="str">
            <v>filler</v>
          </cell>
          <cell r="C1676" t="str">
            <v>from technosphere (material)</v>
          </cell>
          <cell r="D1676"/>
          <cell r="E1676" t="str">
            <v>Mass</v>
          </cell>
          <cell r="F1676">
            <v>0.02</v>
          </cell>
          <cell r="G1676" t="str">
            <v>ton</v>
          </cell>
          <cell r="H1676"/>
          <cell r="I1676" t="str">
            <v>none</v>
          </cell>
          <cell r="J1676" t="str">
            <v>[MIDDEN] 4791-3</v>
          </cell>
        </row>
        <row r="1677">
          <cell r="A1677" t="str">
            <v>[MIDDEN] Asphalt mix, with RAP (100% electrified)</v>
          </cell>
          <cell r="B1677" t="str">
            <v>carbon dioxide</v>
          </cell>
          <cell r="C1677" t="str">
            <v>to environment (emission, direct)</v>
          </cell>
          <cell r="D1677"/>
          <cell r="E1677" t="str">
            <v>Mass</v>
          </cell>
          <cell r="F1677">
            <v>0</v>
          </cell>
          <cell r="G1677" t="str">
            <v>kg</v>
          </cell>
          <cell r="H1677"/>
          <cell r="I1677" t="str">
            <v>none</v>
          </cell>
          <cell r="J1677" t="str">
            <v>[MIDDEN] 4791-3</v>
          </cell>
        </row>
        <row r="1678">
          <cell r="A1678" t="str">
            <v>[MIDDEN] Asphalt mix, with RAP (100% electrified)</v>
          </cell>
          <cell r="B1678" t="str">
            <v>nitrogen oxides</v>
          </cell>
          <cell r="C1678" t="str">
            <v>to environment (emission)</v>
          </cell>
          <cell r="D1678"/>
          <cell r="E1678" t="str">
            <v>Mass</v>
          </cell>
          <cell r="F1678">
            <v>1.4</v>
          </cell>
          <cell r="G1678" t="str">
            <v>kg</v>
          </cell>
          <cell r="H1678"/>
          <cell r="I1678" t="str">
            <v>none</v>
          </cell>
          <cell r="J1678" t="str">
            <v>[MIDDEN] 4791-3</v>
          </cell>
        </row>
        <row r="1679">
          <cell r="A1679" t="str">
            <v/>
          </cell>
        </row>
        <row r="1680">
          <cell r="A1680" t="str">
            <v>[MIDDEN] Asphalt mix, without RAP (100% hydrogen)</v>
          </cell>
          <cell r="B1680" t="str">
            <v>asphalt mix, without RAP (100% hydrogen)</v>
          </cell>
          <cell r="C1680" t="str">
            <v>reference_product</v>
          </cell>
          <cell r="D1680"/>
          <cell r="E1680" t="str">
            <v>Mass</v>
          </cell>
          <cell r="F1680">
            <v>1</v>
          </cell>
          <cell r="G1680" t="str">
            <v>ton</v>
          </cell>
          <cell r="H1680"/>
          <cell r="I1680" t="str">
            <v>none</v>
          </cell>
          <cell r="J1680" t="str">
            <v>[MIDDEN] 4791-4</v>
          </cell>
        </row>
        <row r="1681">
          <cell r="A1681" t="str">
            <v>[MIDDEN] Asphalt mix, without RAP (100% hydrogen)</v>
          </cell>
          <cell r="B1681" t="str">
            <v>natural gas, rotary drum heating and drying</v>
          </cell>
          <cell r="C1681" t="str">
            <v>from technosphere (energy_carrier)</v>
          </cell>
          <cell r="D1681"/>
          <cell r="E1681" t="str">
            <v>Volume</v>
          </cell>
          <cell r="F1681">
            <v>0</v>
          </cell>
          <cell r="G1681" t="str">
            <v>m3</v>
          </cell>
          <cell r="H1681"/>
          <cell r="I1681" t="str">
            <v>none</v>
          </cell>
          <cell r="J1681" t="str">
            <v>[MIDDEN] 4791-4</v>
          </cell>
        </row>
        <row r="1682">
          <cell r="A1682" t="str">
            <v>[MIDDEN] Asphalt mix, without RAP (100% hydrogen)</v>
          </cell>
          <cell r="B1682" t="str">
            <v>natural gas, rotary drum heating and drying for RAP</v>
          </cell>
          <cell r="C1682" t="str">
            <v>from technosphere (energy_carrier)</v>
          </cell>
          <cell r="D1682"/>
          <cell r="E1682" t="str">
            <v>Volume</v>
          </cell>
          <cell r="F1682">
            <v>0</v>
          </cell>
          <cell r="G1682" t="str">
            <v>m3</v>
          </cell>
          <cell r="H1682"/>
          <cell r="I1682" t="str">
            <v>none</v>
          </cell>
          <cell r="J1682" t="str">
            <v>[MIDDEN] 4791-4</v>
          </cell>
        </row>
        <row r="1683">
          <cell r="A1683" t="str">
            <v>[MIDDEN] Asphalt mix, without RAP (100% hydrogen)</v>
          </cell>
          <cell r="B1683" t="str">
            <v>natural gas, recipe changes</v>
          </cell>
          <cell r="C1683" t="str">
            <v>from technosphere (energy_carrier)</v>
          </cell>
          <cell r="D1683"/>
          <cell r="E1683" t="str">
            <v>Volume</v>
          </cell>
          <cell r="F1683">
            <v>0.47</v>
          </cell>
          <cell r="G1683" t="str">
            <v>m3</v>
          </cell>
          <cell r="H1683"/>
          <cell r="I1683" t="str">
            <v>none</v>
          </cell>
          <cell r="J1683" t="str">
            <v>[MIDDEN] 4791-4</v>
          </cell>
        </row>
        <row r="1684">
          <cell r="A1684" t="str">
            <v>[MIDDEN] Asphalt mix, without RAP (100% hydrogen)</v>
          </cell>
          <cell r="B1684" t="str">
            <v>natural gas, starts and stops</v>
          </cell>
          <cell r="C1684" t="str">
            <v>from technosphere (energy_carrier)</v>
          </cell>
          <cell r="D1684"/>
          <cell r="E1684" t="str">
            <v>Volume</v>
          </cell>
          <cell r="F1684">
            <v>0.25</v>
          </cell>
          <cell r="G1684" t="str">
            <v>m3</v>
          </cell>
          <cell r="H1684"/>
          <cell r="I1684" t="str">
            <v>none</v>
          </cell>
          <cell r="J1684" t="str">
            <v>[MIDDEN] 4791-4</v>
          </cell>
        </row>
        <row r="1685">
          <cell r="A1685" t="str">
            <v>[MIDDEN] Asphalt mix, without RAP (100% hydrogen)</v>
          </cell>
          <cell r="B1685" t="str">
            <v>electricity, bitumen heating - electricity</v>
          </cell>
          <cell r="C1685" t="str">
            <v>from technosphere (energy_carrier)</v>
          </cell>
          <cell r="D1685"/>
          <cell r="E1685" t="str">
            <v>Energy</v>
          </cell>
          <cell r="F1685">
            <v>2.69</v>
          </cell>
          <cell r="G1685" t="str">
            <v>kWh</v>
          </cell>
          <cell r="H1685"/>
          <cell r="I1685" t="str">
            <v>none</v>
          </cell>
          <cell r="J1685" t="str">
            <v>[MIDDEN] 4791-4</v>
          </cell>
        </row>
        <row r="1686">
          <cell r="A1686" t="str">
            <v>[MIDDEN] Asphalt mix, without RAP (100% hydrogen)</v>
          </cell>
          <cell r="B1686" t="str">
            <v>electricity, heated asphalt mix storage</v>
          </cell>
          <cell r="C1686" t="str">
            <v>from technosphere (energy_carrier)</v>
          </cell>
          <cell r="D1686"/>
          <cell r="E1686" t="str">
            <v>Energy</v>
          </cell>
          <cell r="F1686">
            <v>10.78</v>
          </cell>
          <cell r="G1686" t="str">
            <v>kWh</v>
          </cell>
          <cell r="H1686"/>
          <cell r="I1686" t="str">
            <v>none</v>
          </cell>
          <cell r="J1686" t="str">
            <v>[MIDDEN] 4791-4</v>
          </cell>
        </row>
        <row r="1687">
          <cell r="A1687" t="str">
            <v>[MIDDEN] Asphalt mix, without RAP (100% hydrogen)</v>
          </cell>
          <cell r="B1687" t="str">
            <v>hydrogen, drum heating and drying</v>
          </cell>
          <cell r="C1687" t="str">
            <v>from technosphere (energy_carrier)</v>
          </cell>
          <cell r="D1687"/>
          <cell r="E1687" t="str">
            <v>Volume</v>
          </cell>
          <cell r="F1687">
            <v>23.8</v>
          </cell>
          <cell r="G1687" t="str">
            <v>m3</v>
          </cell>
          <cell r="H1687"/>
          <cell r="I1687" t="str">
            <v>none</v>
          </cell>
          <cell r="J1687" t="str">
            <v>[MIDDEN] 4791-4</v>
          </cell>
        </row>
        <row r="1688">
          <cell r="A1688" t="str">
            <v>[MIDDEN] Asphalt mix, without RAP (100% hydrogen)</v>
          </cell>
          <cell r="B1688" t="str">
            <v>RAP</v>
          </cell>
          <cell r="C1688" t="str">
            <v>from technosphere (recycled material)</v>
          </cell>
          <cell r="D1688"/>
          <cell r="E1688" t="str">
            <v>Mass</v>
          </cell>
          <cell r="F1688">
            <v>0</v>
          </cell>
          <cell r="G1688" t="str">
            <v>ton</v>
          </cell>
          <cell r="H1688"/>
          <cell r="I1688" t="str">
            <v>none</v>
          </cell>
          <cell r="J1688" t="str">
            <v>[MIDDEN] 4791-4</v>
          </cell>
        </row>
        <row r="1689">
          <cell r="A1689" t="str">
            <v>[MIDDEN] Asphalt mix, without RAP (100% hydrogen)</v>
          </cell>
          <cell r="B1689" t="str">
            <v>bitumen</v>
          </cell>
          <cell r="C1689" t="str">
            <v>from technosphere (material)</v>
          </cell>
          <cell r="D1689"/>
          <cell r="E1689" t="str">
            <v>Mass</v>
          </cell>
          <cell r="F1689">
            <v>0.06</v>
          </cell>
          <cell r="G1689" t="str">
            <v>ton</v>
          </cell>
          <cell r="H1689"/>
          <cell r="I1689" t="str">
            <v>none</v>
          </cell>
          <cell r="J1689" t="str">
            <v>[MIDDEN] 4791-4</v>
          </cell>
        </row>
        <row r="1690">
          <cell r="A1690" t="str">
            <v>[MIDDEN] Asphalt mix, without RAP (100% hydrogen)</v>
          </cell>
          <cell r="B1690" t="str">
            <v>aggregates</v>
          </cell>
          <cell r="C1690" t="str">
            <v>from technosphere (material)</v>
          </cell>
          <cell r="D1690"/>
          <cell r="E1690" t="str">
            <v>Mass</v>
          </cell>
          <cell r="F1690">
            <v>0.89</v>
          </cell>
          <cell r="G1690" t="str">
            <v>ton</v>
          </cell>
          <cell r="H1690"/>
          <cell r="I1690" t="str">
            <v>none</v>
          </cell>
          <cell r="J1690" t="str">
            <v>[MIDDEN] 4791-4</v>
          </cell>
        </row>
        <row r="1691">
          <cell r="A1691" t="str">
            <v>[MIDDEN] Asphalt mix, without RAP (100% hydrogen)</v>
          </cell>
          <cell r="B1691" t="str">
            <v>filler</v>
          </cell>
          <cell r="C1691" t="str">
            <v>from technosphere (material)</v>
          </cell>
          <cell r="D1691"/>
          <cell r="E1691" t="str">
            <v>Mass</v>
          </cell>
          <cell r="F1691">
            <v>0.05</v>
          </cell>
          <cell r="G1691" t="str">
            <v>ton</v>
          </cell>
          <cell r="H1691"/>
          <cell r="I1691" t="str">
            <v>none</v>
          </cell>
          <cell r="J1691" t="str">
            <v>[MIDDEN] 4791-4</v>
          </cell>
        </row>
        <row r="1692">
          <cell r="A1692" t="str">
            <v>[MIDDEN] Asphalt mix, without RAP (100% hydrogen)</v>
          </cell>
          <cell r="B1692" t="str">
            <v>carbon dioxide</v>
          </cell>
          <cell r="C1692" t="str">
            <v>to environment (emission, direct)</v>
          </cell>
          <cell r="D1692"/>
          <cell r="E1692" t="str">
            <v>Mass</v>
          </cell>
          <cell r="F1692">
            <v>0</v>
          </cell>
          <cell r="G1692" t="str">
            <v>kg</v>
          </cell>
          <cell r="H1692"/>
          <cell r="I1692" t="str">
            <v>none</v>
          </cell>
          <cell r="J1692" t="str">
            <v>[MIDDEN] 4791-4</v>
          </cell>
        </row>
        <row r="1693">
          <cell r="A1693" t="str">
            <v>[MIDDEN] Asphalt mix, without RAP (100% hydrogen)</v>
          </cell>
          <cell r="B1693" t="str">
            <v>nitrogen oxides</v>
          </cell>
          <cell r="C1693" t="str">
            <v>to environment (emission)</v>
          </cell>
          <cell r="D1693"/>
          <cell r="E1693" t="str">
            <v>Mass</v>
          </cell>
          <cell r="F1693">
            <v>4.43</v>
          </cell>
          <cell r="G1693" t="str">
            <v>g</v>
          </cell>
          <cell r="H1693"/>
          <cell r="I1693" t="str">
            <v>none</v>
          </cell>
          <cell r="J1693" t="str">
            <v>[MIDDEN] 4791-4</v>
          </cell>
        </row>
        <row r="1694">
          <cell r="A1694" t="str">
            <v/>
          </cell>
          <cell r="B1694"/>
          <cell r="C1694"/>
          <cell r="D1694"/>
          <cell r="E1694"/>
          <cell r="F1694"/>
          <cell r="G1694"/>
          <cell r="H1694"/>
          <cell r="I1694"/>
        </row>
        <row r="1695">
          <cell r="A1695" t="str">
            <v>[MIDDEN] Asphalt mix, with RAP (100% hydrogen)</v>
          </cell>
          <cell r="B1695" t="str">
            <v>asphalt mix, with RAP (100% hydrogen)</v>
          </cell>
          <cell r="C1695" t="str">
            <v>reference_product</v>
          </cell>
          <cell r="D1695"/>
          <cell r="E1695" t="str">
            <v>Mass</v>
          </cell>
          <cell r="F1695">
            <v>1</v>
          </cell>
          <cell r="G1695" t="str">
            <v>ton</v>
          </cell>
          <cell r="H1695"/>
          <cell r="I1695" t="str">
            <v>none</v>
          </cell>
          <cell r="J1695" t="str">
            <v>[MIDDEN] 4791-4</v>
          </cell>
        </row>
        <row r="1696">
          <cell r="A1696" t="str">
            <v>[MIDDEN] Asphalt mix, with RAP (100% hydrogen)</v>
          </cell>
          <cell r="B1696" t="str">
            <v>natural gas, rotary drum heating and drying</v>
          </cell>
          <cell r="C1696" t="str">
            <v>from technosphere (energy_carrier)</v>
          </cell>
          <cell r="D1696"/>
          <cell r="E1696" t="str">
            <v>Volume</v>
          </cell>
          <cell r="F1696">
            <v>0</v>
          </cell>
          <cell r="G1696" t="str">
            <v>m3</v>
          </cell>
          <cell r="H1696"/>
          <cell r="I1696" t="str">
            <v>none</v>
          </cell>
          <cell r="J1696" t="str">
            <v>[MIDDEN] 4791-4</v>
          </cell>
        </row>
        <row r="1697">
          <cell r="A1697" t="str">
            <v>[MIDDEN] Asphalt mix, with RAP (100% hydrogen)</v>
          </cell>
          <cell r="B1697" t="str">
            <v>natural gas, rotary drum heating and drying for RAP</v>
          </cell>
          <cell r="C1697" t="str">
            <v>from technosphere (energy_carrier)</v>
          </cell>
          <cell r="D1697"/>
          <cell r="E1697" t="str">
            <v>Volume</v>
          </cell>
          <cell r="F1697">
            <v>0</v>
          </cell>
          <cell r="G1697" t="str">
            <v>m3</v>
          </cell>
          <cell r="H1697"/>
          <cell r="I1697" t="str">
            <v>none</v>
          </cell>
          <cell r="J1697" t="str">
            <v>[MIDDEN] 4791-4</v>
          </cell>
        </row>
        <row r="1698">
          <cell r="A1698" t="str">
            <v>[MIDDEN] Asphalt mix, with RAP (100% hydrogen)</v>
          </cell>
          <cell r="B1698" t="str">
            <v>natural gas, recipe changes</v>
          </cell>
          <cell r="C1698" t="str">
            <v>from technosphere (energy_carrier)</v>
          </cell>
          <cell r="D1698"/>
          <cell r="E1698" t="str">
            <v>Volume</v>
          </cell>
          <cell r="F1698">
            <v>0.47</v>
          </cell>
          <cell r="G1698" t="str">
            <v>m3</v>
          </cell>
          <cell r="H1698"/>
          <cell r="I1698" t="str">
            <v>none</v>
          </cell>
          <cell r="J1698" t="str">
            <v>[MIDDEN] 4791-4</v>
          </cell>
        </row>
        <row r="1699">
          <cell r="A1699" t="str">
            <v>[MIDDEN] Asphalt mix, with RAP (100% hydrogen)</v>
          </cell>
          <cell r="B1699" t="str">
            <v>natural gas, starts and stops</v>
          </cell>
          <cell r="C1699" t="str">
            <v>from technosphere (energy_carrier)</v>
          </cell>
          <cell r="D1699"/>
          <cell r="E1699" t="str">
            <v>Volume</v>
          </cell>
          <cell r="F1699">
            <v>0.25</v>
          </cell>
          <cell r="G1699" t="str">
            <v>m3</v>
          </cell>
          <cell r="H1699"/>
          <cell r="I1699" t="str">
            <v>none</v>
          </cell>
          <cell r="J1699" t="str">
            <v>[MIDDEN] 4791-4</v>
          </cell>
        </row>
        <row r="1700">
          <cell r="A1700" t="str">
            <v>[MIDDEN] Asphalt mix, with RAP (100% hydrogen)</v>
          </cell>
          <cell r="B1700" t="str">
            <v>electricity, bitumen heating - electricity</v>
          </cell>
          <cell r="C1700" t="str">
            <v>from technosphere (energy_carrier)</v>
          </cell>
          <cell r="D1700"/>
          <cell r="E1700" t="str">
            <v>Energy</v>
          </cell>
          <cell r="F1700">
            <v>1.38</v>
          </cell>
          <cell r="G1700" t="str">
            <v>kWh</v>
          </cell>
          <cell r="H1700"/>
          <cell r="I1700" t="str">
            <v>none</v>
          </cell>
          <cell r="J1700" t="str">
            <v>[MIDDEN] 4791-4</v>
          </cell>
        </row>
        <row r="1701">
          <cell r="A1701" t="str">
            <v>[MIDDEN] Asphalt mix, with RAP (100% hydrogen)</v>
          </cell>
          <cell r="B1701" t="str">
            <v>electricity, heated asphalt mix storage</v>
          </cell>
          <cell r="C1701" t="str">
            <v>from technosphere (energy_carrier)</v>
          </cell>
          <cell r="D1701"/>
          <cell r="E1701" t="str">
            <v>Energy</v>
          </cell>
          <cell r="F1701">
            <v>10.51</v>
          </cell>
          <cell r="G1701" t="str">
            <v>kWh</v>
          </cell>
          <cell r="H1701"/>
          <cell r="I1701" t="str">
            <v>none</v>
          </cell>
          <cell r="J1701" t="str">
            <v>[MIDDEN] 4791-4</v>
          </cell>
        </row>
        <row r="1702">
          <cell r="A1702" t="str">
            <v>[MIDDEN] Asphalt mix, with RAP (100% hydrogen)</v>
          </cell>
          <cell r="B1702" t="str">
            <v>hydrogen, drum heating and drying</v>
          </cell>
          <cell r="C1702" t="str">
            <v>from technosphere (energy_carrier)</v>
          </cell>
          <cell r="D1702"/>
          <cell r="E1702" t="str">
            <v>Volume</v>
          </cell>
          <cell r="F1702">
            <v>27.2</v>
          </cell>
          <cell r="G1702" t="str">
            <v>m3</v>
          </cell>
          <cell r="H1702"/>
          <cell r="I1702" t="str">
            <v>none</v>
          </cell>
          <cell r="J1702" t="str">
            <v>[MIDDEN] 4791-4</v>
          </cell>
        </row>
        <row r="1703">
          <cell r="A1703" t="str">
            <v>[MIDDEN] Asphalt mix, with RAP (100% hydrogen)</v>
          </cell>
          <cell r="B1703" t="str">
            <v>RAP</v>
          </cell>
          <cell r="C1703" t="str">
            <v>from technosphere (recycled material)</v>
          </cell>
          <cell r="D1703"/>
          <cell r="E1703" t="str">
            <v>Mass</v>
          </cell>
          <cell r="F1703">
            <v>0.36</v>
          </cell>
          <cell r="G1703" t="str">
            <v>ton</v>
          </cell>
          <cell r="H1703"/>
          <cell r="I1703" t="str">
            <v>none</v>
          </cell>
          <cell r="J1703" t="str">
            <v>[MIDDEN] 4791-4</v>
          </cell>
        </row>
        <row r="1704">
          <cell r="A1704" t="str">
            <v>[MIDDEN] Asphalt mix, with RAP (100% hydrogen)</v>
          </cell>
          <cell r="B1704" t="str">
            <v>bitumen</v>
          </cell>
          <cell r="C1704" t="str">
            <v>from technosphere (material)</v>
          </cell>
          <cell r="D1704"/>
          <cell r="E1704" t="str">
            <v>Mass</v>
          </cell>
          <cell r="F1704">
            <v>0.04</v>
          </cell>
          <cell r="G1704" t="str">
            <v>ton</v>
          </cell>
          <cell r="H1704"/>
          <cell r="I1704" t="str">
            <v>none</v>
          </cell>
          <cell r="J1704" t="str">
            <v>[MIDDEN] 4791-4</v>
          </cell>
        </row>
        <row r="1705">
          <cell r="A1705" t="str">
            <v>[MIDDEN] Asphalt mix, with RAP (100% hydrogen)</v>
          </cell>
          <cell r="B1705" t="str">
            <v>aggregates</v>
          </cell>
          <cell r="C1705" t="str">
            <v>from technosphere (material)</v>
          </cell>
          <cell r="D1705"/>
          <cell r="E1705" t="str">
            <v>Mass</v>
          </cell>
          <cell r="F1705">
            <v>0.57999999999999996</v>
          </cell>
          <cell r="G1705" t="str">
            <v>ton</v>
          </cell>
          <cell r="H1705"/>
          <cell r="I1705" t="str">
            <v>none</v>
          </cell>
          <cell r="J1705" t="str">
            <v>[MIDDEN] 4791-4</v>
          </cell>
        </row>
        <row r="1706">
          <cell r="A1706" t="str">
            <v>[MIDDEN] Asphalt mix, with RAP (100% hydrogen)</v>
          </cell>
          <cell r="B1706" t="str">
            <v>filler</v>
          </cell>
          <cell r="C1706" t="str">
            <v>from technosphere (material)</v>
          </cell>
          <cell r="D1706"/>
          <cell r="E1706" t="str">
            <v>Mass</v>
          </cell>
          <cell r="F1706">
            <v>0.02</v>
          </cell>
          <cell r="G1706" t="str">
            <v>ton</v>
          </cell>
          <cell r="H1706"/>
          <cell r="I1706" t="str">
            <v>none</v>
          </cell>
          <cell r="J1706" t="str">
            <v>[MIDDEN] 4791-4</v>
          </cell>
        </row>
        <row r="1707">
          <cell r="A1707" t="str">
            <v>[MIDDEN] Asphalt mix, with RAP (100% hydrogen)</v>
          </cell>
          <cell r="B1707" t="str">
            <v>carbon dioxide</v>
          </cell>
          <cell r="C1707" t="str">
            <v>to environment (emission, direct)</v>
          </cell>
          <cell r="D1707"/>
          <cell r="E1707" t="str">
            <v>Mass</v>
          </cell>
          <cell r="F1707">
            <v>0</v>
          </cell>
          <cell r="G1707" t="str">
            <v>kg</v>
          </cell>
          <cell r="H1707"/>
          <cell r="I1707" t="str">
            <v>none</v>
          </cell>
          <cell r="J1707" t="str">
            <v>[MIDDEN] 4791-4</v>
          </cell>
        </row>
        <row r="1708">
          <cell r="A1708" t="str">
            <v>[MIDDEN] Asphalt mix, with RAP (100% hydrogen)</v>
          </cell>
          <cell r="B1708" t="str">
            <v>nitrogen oxides</v>
          </cell>
          <cell r="C1708" t="str">
            <v>to environment (emission)</v>
          </cell>
          <cell r="D1708"/>
          <cell r="E1708" t="str">
            <v>Mass</v>
          </cell>
          <cell r="F1708">
            <v>5.07</v>
          </cell>
          <cell r="G1708" t="str">
            <v>g</v>
          </cell>
          <cell r="H1708"/>
          <cell r="I1708" t="str">
            <v>none</v>
          </cell>
          <cell r="J1708" t="str">
            <v>[MIDDEN] 4791-4</v>
          </cell>
        </row>
        <row r="1709">
          <cell r="A1709" t="str">
            <v/>
          </cell>
          <cell r="B1709"/>
          <cell r="C1709"/>
          <cell r="D1709"/>
          <cell r="E1709"/>
          <cell r="F1709"/>
          <cell r="G1709"/>
          <cell r="H1709"/>
          <cell r="I1709"/>
        </row>
        <row r="1710">
          <cell r="A1710" t="str">
            <v>[MIDDEN] Asphalt mix, without RAP (70% feedstock substitution - lignin)</v>
          </cell>
          <cell r="B1710" t="str">
            <v>asphalt mix, without RAP (70% feedstock substitution - lignin)</v>
          </cell>
          <cell r="C1710" t="str">
            <v>reference_product</v>
          </cell>
          <cell r="D1710"/>
          <cell r="E1710" t="str">
            <v>Mass</v>
          </cell>
          <cell r="F1710">
            <v>1</v>
          </cell>
          <cell r="G1710" t="str">
            <v>ton</v>
          </cell>
          <cell r="H1710"/>
          <cell r="I1710" t="str">
            <v>none</v>
          </cell>
          <cell r="J1710" t="str">
            <v>[MIDDEN] 4791-5</v>
          </cell>
        </row>
        <row r="1711">
          <cell r="A1711" t="str">
            <v>[MIDDEN] Asphalt mix, without RAP (70% feedstock substitution - lignin)</v>
          </cell>
          <cell r="B1711" t="str">
            <v>natural gas, rotary drum heating and drying</v>
          </cell>
          <cell r="C1711" t="str">
            <v>from technosphere (energy_carrier)</v>
          </cell>
          <cell r="D1711"/>
          <cell r="E1711" t="str">
            <v>Volume</v>
          </cell>
          <cell r="F1711">
            <v>8.1</v>
          </cell>
          <cell r="G1711" t="str">
            <v>m3</v>
          </cell>
          <cell r="H1711"/>
          <cell r="I1711" t="str">
            <v>none</v>
          </cell>
          <cell r="J1711" t="str">
            <v>[MIDDEN] 4791-5</v>
          </cell>
        </row>
        <row r="1712">
          <cell r="A1712" t="str">
            <v>[MIDDEN] Asphalt mix, without RAP (70% feedstock substitution - lignin)</v>
          </cell>
          <cell r="B1712" t="str">
            <v>natural gas, rotary drum heating and drying for RAP</v>
          </cell>
          <cell r="C1712" t="str">
            <v>from technosphere (energy_carrier)</v>
          </cell>
          <cell r="D1712"/>
          <cell r="E1712" t="str">
            <v>Volume</v>
          </cell>
          <cell r="F1712">
            <v>0</v>
          </cell>
          <cell r="G1712" t="str">
            <v>m3</v>
          </cell>
          <cell r="H1712"/>
          <cell r="I1712" t="str">
            <v>none</v>
          </cell>
          <cell r="J1712" t="str">
            <v>[MIDDEN] 4791-5</v>
          </cell>
        </row>
        <row r="1713">
          <cell r="A1713" t="str">
            <v>[MIDDEN] Asphalt mix, without RAP (70% feedstock substitution - lignin)</v>
          </cell>
          <cell r="B1713" t="str">
            <v>natural gas, recipe changes</v>
          </cell>
          <cell r="C1713" t="str">
            <v>from technosphere (energy_carrier)</v>
          </cell>
          <cell r="D1713"/>
          <cell r="E1713" t="str">
            <v>Volume</v>
          </cell>
          <cell r="F1713">
            <v>0.47</v>
          </cell>
          <cell r="G1713" t="str">
            <v>m3</v>
          </cell>
          <cell r="H1713"/>
          <cell r="I1713" t="str">
            <v>none</v>
          </cell>
          <cell r="J1713" t="str">
            <v>[MIDDEN] 4791-5</v>
          </cell>
        </row>
        <row r="1714">
          <cell r="A1714" t="str">
            <v>[MIDDEN] Asphalt mix, without RAP (70% feedstock substitution - lignin)</v>
          </cell>
          <cell r="B1714" t="str">
            <v>natural gas, starts and stops</v>
          </cell>
          <cell r="C1714" t="str">
            <v>from technosphere (energy_carrier)</v>
          </cell>
          <cell r="D1714"/>
          <cell r="E1714" t="str">
            <v>Volume</v>
          </cell>
          <cell r="F1714">
            <v>0.25</v>
          </cell>
          <cell r="G1714" t="str">
            <v>m3</v>
          </cell>
          <cell r="H1714"/>
          <cell r="I1714" t="str">
            <v>none</v>
          </cell>
          <cell r="J1714" t="str">
            <v>[MIDDEN] 4791-5</v>
          </cell>
        </row>
        <row r="1715">
          <cell r="A1715" t="str">
            <v>[MIDDEN] Asphalt mix, without RAP (70% feedstock substitution - lignin)</v>
          </cell>
          <cell r="B1715" t="str">
            <v>electricity, bitumen heating - electricity</v>
          </cell>
          <cell r="C1715" t="str">
            <v>from technosphere (energy_carrier)</v>
          </cell>
          <cell r="D1715"/>
          <cell r="E1715" t="str">
            <v>Energy</v>
          </cell>
          <cell r="F1715">
            <v>2.69</v>
          </cell>
          <cell r="G1715" t="str">
            <v>kWh</v>
          </cell>
          <cell r="H1715"/>
          <cell r="I1715" t="str">
            <v>none</v>
          </cell>
          <cell r="J1715" t="str">
            <v>[MIDDEN] 4791-5</v>
          </cell>
        </row>
        <row r="1716">
          <cell r="A1716" t="str">
            <v>[MIDDEN] Asphalt mix, without RAP (70% feedstock substitution - lignin)</v>
          </cell>
          <cell r="B1716" t="str">
            <v>electricity, heated asphalt mix storage</v>
          </cell>
          <cell r="C1716" t="str">
            <v>from technosphere (energy_carrier)</v>
          </cell>
          <cell r="D1716"/>
          <cell r="E1716" t="str">
            <v>Energy</v>
          </cell>
          <cell r="F1716">
            <v>10.78</v>
          </cell>
          <cell r="G1716" t="str">
            <v>kWh</v>
          </cell>
          <cell r="H1716"/>
          <cell r="I1716" t="str">
            <v>none</v>
          </cell>
          <cell r="J1716" t="str">
            <v>[MIDDEN] 4791-5</v>
          </cell>
        </row>
        <row r="1717">
          <cell r="A1717" t="str">
            <v>[MIDDEN] Asphalt mix, without RAP (70% feedstock substitution - lignin)</v>
          </cell>
          <cell r="B1717" t="str">
            <v>RAP</v>
          </cell>
          <cell r="C1717" t="str">
            <v>from technosphere (recycled material)</v>
          </cell>
          <cell r="D1717"/>
          <cell r="E1717" t="str">
            <v>Mass</v>
          </cell>
          <cell r="F1717">
            <v>0</v>
          </cell>
          <cell r="G1717" t="str">
            <v>ton</v>
          </cell>
          <cell r="H1717"/>
          <cell r="I1717" t="str">
            <v>none</v>
          </cell>
          <cell r="J1717" t="str">
            <v>[MIDDEN] 4791-5</v>
          </cell>
        </row>
        <row r="1718">
          <cell r="A1718" t="str">
            <v>[MIDDEN] Asphalt mix, without RAP (70% feedstock substitution - lignin)</v>
          </cell>
          <cell r="B1718" t="str">
            <v>bitumen</v>
          </cell>
          <cell r="C1718" t="str">
            <v>from technosphere (material)</v>
          </cell>
          <cell r="D1718"/>
          <cell r="E1718" t="str">
            <v>Mass</v>
          </cell>
          <cell r="F1718">
            <v>0.04</v>
          </cell>
          <cell r="G1718" t="str">
            <v>ton</v>
          </cell>
          <cell r="H1718"/>
          <cell r="I1718" t="str">
            <v>none</v>
          </cell>
          <cell r="J1718" t="str">
            <v>[MIDDEN] 4791-5</v>
          </cell>
        </row>
        <row r="1719">
          <cell r="A1719" t="str">
            <v>[MIDDEN] Asphalt mix, without RAP (70% feedstock substitution - lignin)</v>
          </cell>
          <cell r="B1719" t="str">
            <v>lignin</v>
          </cell>
          <cell r="C1719" t="str">
            <v>from technosphere (material)</v>
          </cell>
          <cell r="D1719"/>
          <cell r="E1719" t="str">
            <v>Mass</v>
          </cell>
          <cell r="F1719">
            <v>0.02</v>
          </cell>
          <cell r="G1719" t="str">
            <v>ton</v>
          </cell>
          <cell r="H1719"/>
          <cell r="I1719" t="str">
            <v>none</v>
          </cell>
          <cell r="J1719" t="str">
            <v>[MIDDEN] 4791-5</v>
          </cell>
        </row>
        <row r="1720">
          <cell r="A1720" t="str">
            <v>[MIDDEN] Asphalt mix, without RAP (70% feedstock substitution - lignin)</v>
          </cell>
          <cell r="B1720" t="str">
            <v>aggregates</v>
          </cell>
          <cell r="C1720" t="str">
            <v>from technosphere (material)</v>
          </cell>
          <cell r="D1720"/>
          <cell r="E1720" t="str">
            <v>Mass</v>
          </cell>
          <cell r="F1720">
            <v>0.89</v>
          </cell>
          <cell r="G1720" t="str">
            <v>ton</v>
          </cell>
          <cell r="H1720"/>
          <cell r="I1720" t="str">
            <v>none</v>
          </cell>
          <cell r="J1720" t="str">
            <v>[MIDDEN] 4791-5</v>
          </cell>
        </row>
        <row r="1721">
          <cell r="A1721" t="str">
            <v>[MIDDEN] Asphalt mix, without RAP (70% feedstock substitution - lignin)</v>
          </cell>
          <cell r="B1721" t="str">
            <v>filler</v>
          </cell>
          <cell r="C1721" t="str">
            <v>from technosphere (material)</v>
          </cell>
          <cell r="D1721"/>
          <cell r="E1721" t="str">
            <v>Mass</v>
          </cell>
          <cell r="F1721">
            <v>0.05</v>
          </cell>
          <cell r="G1721" t="str">
            <v>ton</v>
          </cell>
          <cell r="H1721"/>
          <cell r="I1721" t="str">
            <v>none</v>
          </cell>
          <cell r="J1721" t="str">
            <v>[MIDDEN] 4791-5</v>
          </cell>
        </row>
        <row r="1722">
          <cell r="A1722" t="str">
            <v>[MIDDEN] Asphalt mix, without RAP (70% feedstock substitution - lignin)</v>
          </cell>
          <cell r="B1722" t="str">
            <v>carbon dioxide</v>
          </cell>
          <cell r="C1722" t="str">
            <v>to environment (emission, direct)</v>
          </cell>
          <cell r="D1722"/>
          <cell r="E1722" t="str">
            <v>Mass</v>
          </cell>
          <cell r="F1722">
            <v>15.8</v>
          </cell>
          <cell r="G1722" t="str">
            <v>kg</v>
          </cell>
          <cell r="H1722"/>
          <cell r="I1722" t="str">
            <v>none</v>
          </cell>
          <cell r="J1722" t="str">
            <v>[MIDDEN] 4791-5</v>
          </cell>
          <cell r="K1722" t="str">
            <v>-27.7 kgCO2 (indirect emissions reduction)</v>
          </cell>
        </row>
        <row r="1723">
          <cell r="A1723" t="str">
            <v>[MIDDEN] Asphalt mix, without RAP (70% feedstock substitution - lignin)</v>
          </cell>
          <cell r="B1723" t="str">
            <v>nitrogen oxides</v>
          </cell>
          <cell r="C1723" t="str">
            <v>to environment (emission)</v>
          </cell>
          <cell r="D1723"/>
          <cell r="E1723" t="str">
            <v>Mass</v>
          </cell>
          <cell r="F1723">
            <v>1.23</v>
          </cell>
          <cell r="G1723" t="str">
            <v>g</v>
          </cell>
          <cell r="H1723"/>
          <cell r="I1723" t="str">
            <v>none</v>
          </cell>
          <cell r="J1723" t="str">
            <v>[MIDDEN] 4791-5</v>
          </cell>
        </row>
        <row r="1724">
          <cell r="A1724" t="str">
            <v/>
          </cell>
          <cell r="B1724"/>
          <cell r="C1724"/>
          <cell r="D1724"/>
          <cell r="E1724"/>
          <cell r="F1724"/>
          <cell r="G1724"/>
          <cell r="H1724"/>
          <cell r="I1724"/>
        </row>
        <row r="1725">
          <cell r="A1725" t="str">
            <v>[MIDDEN] Asphalt mix, with RAP (70% feedstock substitution - lignin)</v>
          </cell>
          <cell r="B1725" t="str">
            <v>asphalt mix, with RAP (70% feedstock substitution - lignin)</v>
          </cell>
          <cell r="C1725" t="str">
            <v>reference_product</v>
          </cell>
          <cell r="D1725"/>
          <cell r="E1725" t="str">
            <v>Mass</v>
          </cell>
          <cell r="F1725">
            <v>1</v>
          </cell>
          <cell r="G1725" t="str">
            <v>ton</v>
          </cell>
          <cell r="H1725"/>
          <cell r="I1725" t="str">
            <v>none</v>
          </cell>
          <cell r="J1725" t="str">
            <v>[MIDDEN] 4791-5</v>
          </cell>
        </row>
        <row r="1726">
          <cell r="A1726" t="str">
            <v>[MIDDEN] Asphalt mix, with RAP (70% feedstock substitution - lignin)</v>
          </cell>
          <cell r="B1726" t="str">
            <v>natural gas, rotary drum heating and drying</v>
          </cell>
          <cell r="C1726" t="str">
            <v>from technosphere (energy_carrier)</v>
          </cell>
          <cell r="D1726"/>
          <cell r="E1726" t="str">
            <v>Volume</v>
          </cell>
          <cell r="F1726">
            <v>6.25</v>
          </cell>
          <cell r="G1726" t="str">
            <v>m3</v>
          </cell>
          <cell r="H1726"/>
          <cell r="I1726" t="str">
            <v>none</v>
          </cell>
          <cell r="J1726" t="str">
            <v>[MIDDEN] 4791-5</v>
          </cell>
        </row>
        <row r="1727">
          <cell r="A1727" t="str">
            <v>[MIDDEN] Asphalt mix, with RAP (70% feedstock substitution - lignin)</v>
          </cell>
          <cell r="B1727" t="str">
            <v>natural gas, rotary drum heating and drying for RAP</v>
          </cell>
          <cell r="C1727" t="str">
            <v>from technosphere (energy_carrier)</v>
          </cell>
          <cell r="D1727"/>
          <cell r="E1727" t="str">
            <v>Volume</v>
          </cell>
          <cell r="F1727">
            <v>2.31</v>
          </cell>
          <cell r="G1727" t="str">
            <v>m3</v>
          </cell>
          <cell r="H1727"/>
          <cell r="I1727" t="str">
            <v>none</v>
          </cell>
          <cell r="J1727" t="str">
            <v>[MIDDEN] 4791-5</v>
          </cell>
        </row>
        <row r="1728">
          <cell r="A1728" t="str">
            <v>[MIDDEN] Asphalt mix, with RAP (70% feedstock substitution - lignin)</v>
          </cell>
          <cell r="B1728" t="str">
            <v>natural gas, recipe changes</v>
          </cell>
          <cell r="C1728" t="str">
            <v>from technosphere (energy_carrier)</v>
          </cell>
          <cell r="D1728"/>
          <cell r="E1728" t="str">
            <v>Volume</v>
          </cell>
          <cell r="F1728">
            <v>0.47</v>
          </cell>
          <cell r="G1728" t="str">
            <v>m3</v>
          </cell>
          <cell r="H1728"/>
          <cell r="I1728" t="str">
            <v>none</v>
          </cell>
          <cell r="J1728" t="str">
            <v>[MIDDEN] 4791-5</v>
          </cell>
        </row>
        <row r="1729">
          <cell r="A1729" t="str">
            <v>[MIDDEN] Asphalt mix, with RAP (70% feedstock substitution - lignin)</v>
          </cell>
          <cell r="B1729" t="str">
            <v>natural gas, starts and stops</v>
          </cell>
          <cell r="C1729" t="str">
            <v>from technosphere (energy_carrier)</v>
          </cell>
          <cell r="D1729"/>
          <cell r="E1729" t="str">
            <v>Volume</v>
          </cell>
          <cell r="F1729">
            <v>0.25</v>
          </cell>
          <cell r="G1729" t="str">
            <v>m3</v>
          </cell>
          <cell r="H1729"/>
          <cell r="I1729" t="str">
            <v>none</v>
          </cell>
          <cell r="J1729" t="str">
            <v>[MIDDEN] 4791-5</v>
          </cell>
        </row>
        <row r="1730">
          <cell r="A1730" t="str">
            <v>[MIDDEN] Asphalt mix, with RAP (70% feedstock substitution - lignin)</v>
          </cell>
          <cell r="B1730" t="str">
            <v>electricity, bitumen heating - electricity</v>
          </cell>
          <cell r="C1730" t="str">
            <v>from technosphere (energy_carrier)</v>
          </cell>
          <cell r="D1730"/>
          <cell r="E1730" t="str">
            <v>Energy</v>
          </cell>
          <cell r="F1730">
            <v>1.38</v>
          </cell>
          <cell r="G1730" t="str">
            <v>kWh</v>
          </cell>
          <cell r="H1730"/>
          <cell r="I1730" t="str">
            <v>none</v>
          </cell>
          <cell r="J1730" t="str">
            <v>[MIDDEN] 4791-5</v>
          </cell>
        </row>
        <row r="1731">
          <cell r="A1731" t="str">
            <v>[MIDDEN] Asphalt mix, with RAP (70% feedstock substitution - lignin)</v>
          </cell>
          <cell r="B1731" t="str">
            <v>electricity, heated asphalt mix storage</v>
          </cell>
          <cell r="C1731" t="str">
            <v>from technosphere (energy_carrier)</v>
          </cell>
          <cell r="D1731"/>
          <cell r="E1731" t="str">
            <v>Energy</v>
          </cell>
          <cell r="F1731">
            <v>10.51</v>
          </cell>
          <cell r="G1731" t="str">
            <v>kWh</v>
          </cell>
          <cell r="H1731"/>
          <cell r="I1731" t="str">
            <v>none</v>
          </cell>
          <cell r="J1731" t="str">
            <v>[MIDDEN] 4791-5</v>
          </cell>
        </row>
        <row r="1732">
          <cell r="A1732" t="str">
            <v>[MIDDEN] Asphalt mix, with RAP (70% feedstock substitution - lignin)</v>
          </cell>
          <cell r="B1732" t="str">
            <v>RAP</v>
          </cell>
          <cell r="C1732" t="str">
            <v>from technosphere (recycled material)</v>
          </cell>
          <cell r="D1732"/>
          <cell r="E1732" t="str">
            <v>Mass</v>
          </cell>
          <cell r="F1732">
            <v>0.36</v>
          </cell>
          <cell r="G1732" t="str">
            <v>ton</v>
          </cell>
          <cell r="H1732"/>
          <cell r="I1732" t="str">
            <v>none</v>
          </cell>
          <cell r="J1732" t="str">
            <v>[MIDDEN] 4791-5</v>
          </cell>
        </row>
        <row r="1733">
          <cell r="A1733" t="str">
            <v>[MIDDEN] Asphalt mix, with RAP (70% feedstock substitution - lignin)</v>
          </cell>
          <cell r="B1733" t="str">
            <v>bitumen</v>
          </cell>
          <cell r="C1733" t="str">
            <v>from technosphere (material)</v>
          </cell>
          <cell r="D1733"/>
          <cell r="E1733" t="str">
            <v>Mass</v>
          </cell>
          <cell r="F1733">
            <v>0.03</v>
          </cell>
          <cell r="G1733" t="str">
            <v>ton</v>
          </cell>
          <cell r="H1733"/>
          <cell r="I1733" t="str">
            <v>none</v>
          </cell>
          <cell r="J1733" t="str">
            <v>[MIDDEN] 4791-5</v>
          </cell>
        </row>
        <row r="1734">
          <cell r="A1734" t="str">
            <v>[MIDDEN] Asphalt mix, with RAP (70% feedstock substitution - lignin)</v>
          </cell>
          <cell r="B1734" t="str">
            <v>lignin</v>
          </cell>
          <cell r="C1734" t="str">
            <v>from technosphere (material)</v>
          </cell>
          <cell r="D1734"/>
          <cell r="E1734" t="str">
            <v>Mass</v>
          </cell>
          <cell r="F1734">
            <v>0.03</v>
          </cell>
          <cell r="G1734" t="str">
            <v>ton</v>
          </cell>
          <cell r="H1734"/>
          <cell r="I1734" t="str">
            <v>none</v>
          </cell>
          <cell r="J1734" t="str">
            <v>[MIDDEN] 4791-5</v>
          </cell>
        </row>
        <row r="1735">
          <cell r="A1735" t="str">
            <v>[MIDDEN] Asphalt mix, with RAP (70% feedstock substitution - lignin)</v>
          </cell>
          <cell r="B1735" t="str">
            <v>aggregates</v>
          </cell>
          <cell r="C1735" t="str">
            <v>from technosphere (material)</v>
          </cell>
          <cell r="D1735"/>
          <cell r="E1735" t="str">
            <v>Mass</v>
          </cell>
          <cell r="F1735">
            <v>0.57999999999999996</v>
          </cell>
          <cell r="G1735" t="str">
            <v>ton</v>
          </cell>
          <cell r="H1735"/>
          <cell r="I1735" t="str">
            <v>none</v>
          </cell>
          <cell r="J1735" t="str">
            <v>[MIDDEN] 4791-5</v>
          </cell>
        </row>
        <row r="1736">
          <cell r="A1736" t="str">
            <v>[MIDDEN] Asphalt mix, with RAP (70% feedstock substitution - lignin)</v>
          </cell>
          <cell r="B1736" t="str">
            <v>filler</v>
          </cell>
          <cell r="C1736" t="str">
            <v>from technosphere (material)</v>
          </cell>
          <cell r="D1736"/>
          <cell r="E1736" t="str">
            <v>Mass</v>
          </cell>
          <cell r="F1736">
            <v>0.02</v>
          </cell>
          <cell r="G1736" t="str">
            <v>ton</v>
          </cell>
          <cell r="H1736"/>
          <cell r="I1736" t="str">
            <v>none</v>
          </cell>
          <cell r="J1736" t="str">
            <v>[MIDDEN] 4791-5</v>
          </cell>
        </row>
        <row r="1737">
          <cell r="A1737" t="str">
            <v>[MIDDEN] Asphalt mix, with RAP (70% feedstock substitution - lignin)</v>
          </cell>
          <cell r="B1737" t="str">
            <v>carbon dioxide</v>
          </cell>
          <cell r="C1737" t="str">
            <v>to environment (emission, direct)</v>
          </cell>
          <cell r="D1737"/>
          <cell r="E1737" t="str">
            <v>Mass</v>
          </cell>
          <cell r="F1737">
            <v>16.600000000000001</v>
          </cell>
          <cell r="G1737" t="str">
            <v>kg</v>
          </cell>
          <cell r="H1737"/>
          <cell r="I1737" t="str">
            <v>none</v>
          </cell>
          <cell r="J1737" t="str">
            <v>[MIDDEN] 4791-5</v>
          </cell>
          <cell r="K1737" t="str">
            <v>-35kgCO2 (indirect emissions reduction)</v>
          </cell>
        </row>
        <row r="1738">
          <cell r="A1738" t="str">
            <v>[MIDDEN] Asphalt mix, with RAP (70% feedstock substitution - lignin)</v>
          </cell>
          <cell r="B1738" t="str">
            <v>nitrogen oxides</v>
          </cell>
          <cell r="C1738" t="str">
            <v>to environment (emission)</v>
          </cell>
          <cell r="D1738"/>
          <cell r="E1738" t="str">
            <v>Mass</v>
          </cell>
          <cell r="F1738">
            <v>1.4</v>
          </cell>
          <cell r="G1738" t="str">
            <v>g</v>
          </cell>
          <cell r="H1738"/>
          <cell r="I1738" t="str">
            <v>none</v>
          </cell>
          <cell r="J1738" t="str">
            <v>[MIDDEN] 4791-5</v>
          </cell>
        </row>
        <row r="1739">
          <cell r="A1739" t="str">
            <v/>
          </cell>
        </row>
        <row r="1740">
          <cell r="A1740" t="str">
            <v>[COFFEE] BF-BOF</v>
          </cell>
          <cell r="B1740" t="str">
            <v>steel, primary</v>
          </cell>
          <cell r="C1740" t="str">
            <v>reference_product</v>
          </cell>
          <cell r="D1740" t="str">
            <v>7206</v>
          </cell>
          <cell r="E1740" t="str">
            <v>Mass</v>
          </cell>
          <cell r="F1740">
            <v>1</v>
          </cell>
          <cell r="G1740" t="str">
            <v>t</v>
          </cell>
          <cell r="H1740">
            <v>1</v>
          </cell>
          <cell r="I1740" t="str">
            <v>none</v>
          </cell>
          <cell r="J1740" t="str">
            <v>[COFFEE] BF-BOF</v>
          </cell>
        </row>
        <row r="1741">
          <cell r="A1741" t="str">
            <v>[COFFEE] BF-BOF</v>
          </cell>
          <cell r="B1741" t="str">
            <v>coking coal</v>
          </cell>
          <cell r="C1741" t="str">
            <v>from technosphere (energy_carrier)</v>
          </cell>
          <cell r="D1741"/>
          <cell r="E1741" t="str">
            <v>Energy</v>
          </cell>
          <cell r="F1741">
            <v>23</v>
          </cell>
          <cell r="G1741" t="str">
            <v>GJ</v>
          </cell>
          <cell r="H1741" t="str">
            <v>t</v>
          </cell>
          <cell r="I1741" t="str">
            <v>none</v>
          </cell>
          <cell r="J1741" t="str">
            <v>[COFFEE] BF-BOF</v>
          </cell>
        </row>
        <row r="1742">
          <cell r="A1742" t="str">
            <v>[COFFEE] BF-BOF</v>
          </cell>
          <cell r="B1742" t="str">
            <v>iron ore</v>
          </cell>
          <cell r="C1742" t="str">
            <v>from environment (natural resource)</v>
          </cell>
          <cell r="E1742" t="str">
            <v>Mass</v>
          </cell>
          <cell r="F1742">
            <v>1.6</v>
          </cell>
          <cell r="G1742" t="str">
            <v>t</v>
          </cell>
          <cell r="H1742" t="str">
            <v>t</v>
          </cell>
          <cell r="I1742" t="str">
            <v>none</v>
          </cell>
          <cell r="J1742" t="str">
            <v>[COFFEE] BF-BOF</v>
          </cell>
        </row>
        <row r="1743">
          <cell r="A1743" t="str">
            <v/>
          </cell>
        </row>
        <row r="1744">
          <cell r="A1744" t="str">
            <v>[COFFEE] BF-BOF BAT</v>
          </cell>
          <cell r="B1744" t="str">
            <v>steel, primary</v>
          </cell>
          <cell r="C1744" t="str">
            <v>reference_product</v>
          </cell>
          <cell r="D1744" t="str">
            <v>7206</v>
          </cell>
          <cell r="E1744" t="str">
            <v>Mass</v>
          </cell>
          <cell r="F1744">
            <v>1</v>
          </cell>
          <cell r="G1744" t="str">
            <v>t</v>
          </cell>
          <cell r="H1744">
            <v>1</v>
          </cell>
          <cell r="I1744" t="str">
            <v>none</v>
          </cell>
          <cell r="J1744" t="str">
            <v>[COFFEE] BF-BOF BAT</v>
          </cell>
        </row>
        <row r="1745">
          <cell r="A1745" t="str">
            <v>[COFFEE] BF-BOF BAT</v>
          </cell>
          <cell r="B1745" t="str">
            <v>coking coal</v>
          </cell>
          <cell r="C1745" t="str">
            <v>from technosphere (energy_carrier)</v>
          </cell>
          <cell r="D1745"/>
          <cell r="E1745" t="str">
            <v>Energy</v>
          </cell>
          <cell r="F1745">
            <v>18</v>
          </cell>
          <cell r="G1745" t="str">
            <v>GJ</v>
          </cell>
          <cell r="H1745" t="str">
            <v>t</v>
          </cell>
          <cell r="I1745" t="str">
            <v>none</v>
          </cell>
          <cell r="J1745" t="str">
            <v>[COFFEE] BF-BOF BAT</v>
          </cell>
        </row>
        <row r="1746">
          <cell r="A1746" t="str">
            <v>[COFFEE] BF-BOF BAT</v>
          </cell>
          <cell r="B1746" t="str">
            <v>iron ore</v>
          </cell>
          <cell r="C1746" t="str">
            <v>from environment (natural resource)</v>
          </cell>
          <cell r="E1746" t="str">
            <v>Mass</v>
          </cell>
          <cell r="F1746">
            <v>1.6</v>
          </cell>
          <cell r="G1746" t="str">
            <v>t</v>
          </cell>
          <cell r="H1746" t="str">
            <v>t</v>
          </cell>
          <cell r="I1746" t="str">
            <v>none</v>
          </cell>
          <cell r="J1746" t="str">
            <v>[COFFEE] BF-BOF BAT</v>
          </cell>
        </row>
        <row r="1747">
          <cell r="A1747" t="str">
            <v/>
          </cell>
        </row>
        <row r="1748">
          <cell r="A1748" t="str">
            <v>[COFFEE] Charcoal BF-BOF</v>
          </cell>
          <cell r="B1748" t="str">
            <v>steel, primary</v>
          </cell>
          <cell r="C1748" t="str">
            <v>reference_product</v>
          </cell>
          <cell r="D1748" t="str">
            <v>7206</v>
          </cell>
          <cell r="E1748" t="str">
            <v>Mass</v>
          </cell>
          <cell r="F1748">
            <v>1</v>
          </cell>
          <cell r="G1748" t="str">
            <v>t</v>
          </cell>
          <cell r="H1748">
            <v>1</v>
          </cell>
          <cell r="I1748" t="str">
            <v xml:space="preserve"> </v>
          </cell>
          <cell r="J1748" t="str">
            <v>[COFFEE] Charcoal BF-BOF</v>
          </cell>
        </row>
        <row r="1749">
          <cell r="A1749" t="str">
            <v>[COFFEE] Charcoal BF-BOF</v>
          </cell>
          <cell r="B1749" t="str">
            <v>charcoal</v>
          </cell>
          <cell r="C1749" t="str">
            <v>from technosphere (energy_carrier)</v>
          </cell>
          <cell r="D1749"/>
          <cell r="E1749" t="str">
            <v>Energy</v>
          </cell>
          <cell r="F1749">
            <v>24.8</v>
          </cell>
          <cell r="G1749" t="str">
            <v>GJ</v>
          </cell>
          <cell r="H1749" t="str">
            <v>t</v>
          </cell>
          <cell r="I1749" t="str">
            <v>none</v>
          </cell>
          <cell r="J1749" t="str">
            <v>[COFFEE] Charcoal BF-BOF</v>
          </cell>
        </row>
        <row r="1750">
          <cell r="A1750" t="str">
            <v>[COFFEE] Charcoal BF-BOF</v>
          </cell>
          <cell r="B1750" t="str">
            <v>iron ore</v>
          </cell>
          <cell r="C1750" t="str">
            <v>from environment (natural resource)</v>
          </cell>
          <cell r="E1750" t="str">
            <v>Mass</v>
          </cell>
          <cell r="F1750">
            <v>1.6</v>
          </cell>
          <cell r="G1750" t="str">
            <v>t</v>
          </cell>
          <cell r="H1750" t="str">
            <v>t</v>
          </cell>
          <cell r="I1750" t="str">
            <v>none</v>
          </cell>
          <cell r="J1750" t="str">
            <v>[COFFEE] Charcoal BF-BOF</v>
          </cell>
        </row>
        <row r="1751">
          <cell r="A1751" t="str">
            <v/>
          </cell>
        </row>
        <row r="1752">
          <cell r="A1752" t="str">
            <v>[COFFEE] Smelting Reduction</v>
          </cell>
          <cell r="B1752" t="str">
            <v>steel, primary</v>
          </cell>
          <cell r="C1752" t="str">
            <v>reference_product</v>
          </cell>
          <cell r="D1752" t="str">
            <v>7206</v>
          </cell>
          <cell r="E1752" t="str">
            <v>Mass</v>
          </cell>
          <cell r="F1752">
            <v>1</v>
          </cell>
          <cell r="G1752" t="str">
            <v>t</v>
          </cell>
          <cell r="H1752">
            <v>1</v>
          </cell>
          <cell r="I1752" t="str">
            <v xml:space="preserve"> </v>
          </cell>
          <cell r="J1752" t="str">
            <v>[COFFEE] Smelting Reduction</v>
          </cell>
        </row>
        <row r="1753">
          <cell r="A1753" t="str">
            <v>[COFFEE] Smelting Reduction</v>
          </cell>
          <cell r="B1753" t="str">
            <v>non-coking coal</v>
          </cell>
          <cell r="C1753" t="str">
            <v>from technosphere (energy_carrier)</v>
          </cell>
          <cell r="D1753"/>
          <cell r="E1753" t="str">
            <v>Energy</v>
          </cell>
          <cell r="F1753">
            <v>19.399999999999999</v>
          </cell>
          <cell r="G1753" t="str">
            <v>GJ</v>
          </cell>
          <cell r="H1753" t="str">
            <v>t</v>
          </cell>
          <cell r="I1753" t="str">
            <v>none</v>
          </cell>
          <cell r="J1753" t="str">
            <v>[COFFEE] Smelting Reduction</v>
          </cell>
        </row>
        <row r="1754">
          <cell r="A1754" t="str">
            <v>[COFFEE] Smelting Reduction</v>
          </cell>
          <cell r="B1754" t="str">
            <v>iron ore</v>
          </cell>
          <cell r="C1754" t="str">
            <v>from environment (natural resource)</v>
          </cell>
          <cell r="E1754" t="str">
            <v>Mass</v>
          </cell>
          <cell r="F1754">
            <v>1.6</v>
          </cell>
          <cell r="G1754" t="str">
            <v>t</v>
          </cell>
          <cell r="H1754" t="str">
            <v>t</v>
          </cell>
          <cell r="I1754" t="str">
            <v>none</v>
          </cell>
          <cell r="J1754" t="str">
            <v>[COFFEE] Smelting Reduction</v>
          </cell>
        </row>
        <row r="1755">
          <cell r="A1755" t="str">
            <v/>
          </cell>
        </row>
        <row r="1756">
          <cell r="A1756" t="str">
            <v>[COFFEE] BF-BOF+CCS</v>
          </cell>
          <cell r="B1756" t="str">
            <v>steel, primary</v>
          </cell>
          <cell r="C1756" t="str">
            <v>reference_product</v>
          </cell>
          <cell r="D1756" t="str">
            <v>7206</v>
          </cell>
          <cell r="E1756" t="str">
            <v>Mass</v>
          </cell>
          <cell r="F1756">
            <v>1</v>
          </cell>
          <cell r="G1756" t="str">
            <v>t</v>
          </cell>
          <cell r="H1756">
            <v>1</v>
          </cell>
          <cell r="I1756" t="str">
            <v xml:space="preserve"> </v>
          </cell>
          <cell r="J1756" t="str">
            <v>[COFFEE] BF-BOF+CCS</v>
          </cell>
        </row>
        <row r="1757">
          <cell r="A1757" t="str">
            <v>[COFFEE] BF-BOF+CCS</v>
          </cell>
          <cell r="B1757" t="str">
            <v>coking coal</v>
          </cell>
          <cell r="C1757" t="str">
            <v>from technosphere (energy_carrier)</v>
          </cell>
          <cell r="D1757"/>
          <cell r="E1757" t="str">
            <v>Energy</v>
          </cell>
          <cell r="F1757">
            <v>21.599999999999998</v>
          </cell>
          <cell r="G1757" t="str">
            <v>GJ</v>
          </cell>
          <cell r="H1757" t="str">
            <v>t</v>
          </cell>
          <cell r="I1757" t="str">
            <v>none</v>
          </cell>
          <cell r="J1757" t="str">
            <v>[COFFEE] BF-BOF+CCS</v>
          </cell>
        </row>
        <row r="1758">
          <cell r="A1758" t="str">
            <v>[COFFEE] BF-BOF+CCS</v>
          </cell>
          <cell r="B1758" t="str">
            <v>iron ore</v>
          </cell>
          <cell r="C1758" t="str">
            <v>from environment (natural resource)</v>
          </cell>
          <cell r="E1758" t="str">
            <v>Mass</v>
          </cell>
          <cell r="F1758">
            <v>1.6</v>
          </cell>
          <cell r="G1758" t="str">
            <v>t</v>
          </cell>
          <cell r="H1758" t="str">
            <v>t</v>
          </cell>
          <cell r="I1758" t="str">
            <v>none</v>
          </cell>
          <cell r="J1758" t="str">
            <v>[COFFEE] BF-BOF+CCS</v>
          </cell>
        </row>
        <row r="1759">
          <cell r="A1759" t="str">
            <v>[COFFEE] BF-BOF+CCS</v>
          </cell>
          <cell r="B1759" t="str">
            <v>carbon dioxide</v>
          </cell>
          <cell r="C1759" t="str">
            <v>to technosphere (by-product)</v>
          </cell>
          <cell r="E1759" t="str">
            <v>Mass</v>
          </cell>
          <cell r="F1759">
            <v>0.71</v>
          </cell>
          <cell r="G1759" t="str">
            <v>t</v>
          </cell>
          <cell r="H1759" t="str">
            <v>t</v>
          </cell>
          <cell r="I1759" t="str">
            <v>none</v>
          </cell>
          <cell r="J1759" t="str">
            <v>[COFFEE] BF-BOF+CCS</v>
          </cell>
        </row>
        <row r="1760">
          <cell r="A1760" t="str">
            <v/>
          </cell>
        </row>
        <row r="1761">
          <cell r="A1761" t="str">
            <v>[COFFEE] Charcoal BF-BOF+CCS</v>
          </cell>
          <cell r="B1761" t="str">
            <v>steel, primary</v>
          </cell>
          <cell r="C1761" t="str">
            <v>reference_product</v>
          </cell>
          <cell r="D1761" t="str">
            <v>7206</v>
          </cell>
          <cell r="E1761" t="str">
            <v>Mass</v>
          </cell>
          <cell r="F1761">
            <v>1</v>
          </cell>
          <cell r="G1761" t="str">
            <v>t</v>
          </cell>
          <cell r="H1761">
            <v>1</v>
          </cell>
          <cell r="I1761" t="str">
            <v xml:space="preserve"> </v>
          </cell>
          <cell r="J1761" t="str">
            <v>[COFFEE] Charcoal BF-BOF+CCS</v>
          </cell>
        </row>
        <row r="1762">
          <cell r="A1762" t="str">
            <v>[COFFEE] Charcoal BF-BOF+CCS</v>
          </cell>
          <cell r="B1762" t="str">
            <v>charcoal</v>
          </cell>
          <cell r="C1762" t="str">
            <v>from technosphere (energy_carrier)</v>
          </cell>
          <cell r="D1762"/>
          <cell r="E1762" t="str">
            <v>Energy</v>
          </cell>
          <cell r="F1762">
            <v>29.759999999999998</v>
          </cell>
          <cell r="G1762" t="str">
            <v>GJ</v>
          </cell>
          <cell r="H1762" t="str">
            <v>t</v>
          </cell>
          <cell r="I1762" t="str">
            <v>none</v>
          </cell>
          <cell r="J1762" t="str">
            <v>[COFFEE] Charcoal BF-BOF+CCS</v>
          </cell>
        </row>
        <row r="1763">
          <cell r="A1763" t="str">
            <v>[COFFEE] Charcoal BF-BOF+CCS</v>
          </cell>
          <cell r="B1763" t="str">
            <v>iron ore</v>
          </cell>
          <cell r="C1763" t="str">
            <v>from environment (natural resource)</v>
          </cell>
          <cell r="E1763" t="str">
            <v>Mass</v>
          </cell>
          <cell r="F1763">
            <v>1.6</v>
          </cell>
          <cell r="G1763" t="str">
            <v>t</v>
          </cell>
          <cell r="H1763" t="str">
            <v>t</v>
          </cell>
          <cell r="I1763" t="str">
            <v>none</v>
          </cell>
          <cell r="J1763" t="str">
            <v>[COFFEE] Charcoal BF-BOF+CCS</v>
          </cell>
        </row>
        <row r="1764">
          <cell r="A1764" t="str">
            <v>[COFFEE] Charcoal BF-BOF+CCS</v>
          </cell>
          <cell r="B1764" t="str">
            <v>carbon dioxide</v>
          </cell>
          <cell r="C1764" t="str">
            <v>to technosphere (by-product)</v>
          </cell>
          <cell r="E1764" t="str">
            <v>Mass</v>
          </cell>
          <cell r="F1764">
            <v>1.69</v>
          </cell>
          <cell r="G1764" t="str">
            <v>t</v>
          </cell>
          <cell r="H1764" t="str">
            <v>t</v>
          </cell>
          <cell r="I1764" t="str">
            <v>none</v>
          </cell>
          <cell r="J1764" t="str">
            <v>[COFFEE] Charcoal BF-BOF+CCS</v>
          </cell>
        </row>
        <row r="1765">
          <cell r="A1765" t="str">
            <v/>
          </cell>
          <cell r="B1765"/>
          <cell r="C1765"/>
          <cell r="D1765"/>
        </row>
        <row r="1766">
          <cell r="A1766" t="str">
            <v>[COFFEE] Smelting Reduction+CCS</v>
          </cell>
          <cell r="B1766" t="str">
            <v>steel, primary</v>
          </cell>
          <cell r="C1766" t="str">
            <v>reference_product</v>
          </cell>
          <cell r="D1766" t="str">
            <v>7206</v>
          </cell>
          <cell r="E1766" t="str">
            <v>Mass</v>
          </cell>
          <cell r="F1766">
            <v>1</v>
          </cell>
          <cell r="G1766" t="str">
            <v>t</v>
          </cell>
          <cell r="H1766">
            <v>1</v>
          </cell>
          <cell r="I1766" t="str">
            <v xml:space="preserve"> </v>
          </cell>
          <cell r="J1766" t="str">
            <v>[COFFEE] Smelting Reduction+CCS</v>
          </cell>
        </row>
        <row r="1767">
          <cell r="A1767" t="str">
            <v>[COFFEE] Smelting Reduction+CCS</v>
          </cell>
          <cell r="B1767" t="str">
            <v>non-coking coal</v>
          </cell>
          <cell r="C1767" t="str">
            <v>from technosphere (energy_carrier)</v>
          </cell>
          <cell r="D1767"/>
          <cell r="E1767" t="str">
            <v>Energy</v>
          </cell>
          <cell r="F1767">
            <v>23.279999999999998</v>
          </cell>
          <cell r="G1767" t="str">
            <v>GJ</v>
          </cell>
          <cell r="H1767" t="str">
            <v>t</v>
          </cell>
          <cell r="I1767" t="str">
            <v>none</v>
          </cell>
          <cell r="J1767" t="str">
            <v>[COFFEE] Smelting Reduction+CCS</v>
          </cell>
        </row>
        <row r="1768">
          <cell r="A1768" t="str">
            <v>[COFFEE] Smelting Reduction+CCS</v>
          </cell>
          <cell r="B1768" t="str">
            <v>iron ore</v>
          </cell>
          <cell r="C1768" t="str">
            <v>from environment (natural resource)</v>
          </cell>
          <cell r="E1768" t="str">
            <v>Mass</v>
          </cell>
          <cell r="F1768">
            <v>1.6</v>
          </cell>
          <cell r="G1768" t="str">
            <v>t</v>
          </cell>
          <cell r="H1768" t="str">
            <v>t</v>
          </cell>
          <cell r="I1768" t="str">
            <v>none</v>
          </cell>
          <cell r="J1768" t="str">
            <v>[COFFEE] Smelting Reduction+CCS</v>
          </cell>
        </row>
        <row r="1769">
          <cell r="A1769" t="str">
            <v>[COFFEE] Smelting Reduction+CCS</v>
          </cell>
          <cell r="B1769" t="str">
            <v>carbon dioxide</v>
          </cell>
          <cell r="C1769" t="str">
            <v>to technosphere (by-product)</v>
          </cell>
          <cell r="E1769" t="str">
            <v>Mass</v>
          </cell>
          <cell r="F1769">
            <v>1.69</v>
          </cell>
          <cell r="G1769" t="str">
            <v>t</v>
          </cell>
          <cell r="H1769" t="str">
            <v>t</v>
          </cell>
          <cell r="I1769" t="str">
            <v>none</v>
          </cell>
          <cell r="J1769" t="str">
            <v>[COFFEE] Smelting Reduction+CCS</v>
          </cell>
        </row>
        <row r="1770">
          <cell r="A1770" t="str">
            <v/>
          </cell>
        </row>
        <row r="1771">
          <cell r="A1771" t="str">
            <v>[COFFEE] DRI</v>
          </cell>
          <cell r="B1771" t="str">
            <v>sponge iron</v>
          </cell>
          <cell r="C1771" t="str">
            <v>reference_product</v>
          </cell>
          <cell r="D1771" t="str">
            <v>7206</v>
          </cell>
          <cell r="E1771" t="str">
            <v>Mass</v>
          </cell>
          <cell r="F1771">
            <v>1</v>
          </cell>
          <cell r="G1771" t="str">
            <v>t</v>
          </cell>
          <cell r="H1771">
            <v>1</v>
          </cell>
          <cell r="I1771" t="str">
            <v xml:space="preserve"> </v>
          </cell>
          <cell r="J1771" t="str">
            <v>[COFFEE] DRI</v>
          </cell>
        </row>
        <row r="1772">
          <cell r="A1772" t="str">
            <v>[COFFEE] DRI</v>
          </cell>
          <cell r="B1772" t="str">
            <v>natural gas</v>
          </cell>
          <cell r="C1772" t="str">
            <v>from technosphere (energy_carrier)</v>
          </cell>
          <cell r="D1772"/>
          <cell r="E1772" t="str">
            <v>Energy</v>
          </cell>
          <cell r="F1772">
            <v>14.9</v>
          </cell>
          <cell r="G1772" t="str">
            <v>GJ</v>
          </cell>
          <cell r="H1772" t="str">
            <v>t</v>
          </cell>
          <cell r="I1772" t="str">
            <v>none</v>
          </cell>
          <cell r="J1772" t="str">
            <v>[COFFEE] DRI</v>
          </cell>
        </row>
        <row r="1773">
          <cell r="A1773" t="str">
            <v>[COFFEE] DRI</v>
          </cell>
          <cell r="B1773" t="str">
            <v>iron ore</v>
          </cell>
          <cell r="C1773" t="str">
            <v>from environment (natural resource)</v>
          </cell>
          <cell r="E1773" t="str">
            <v>Mass</v>
          </cell>
          <cell r="F1773">
            <v>1.7</v>
          </cell>
          <cell r="G1773" t="str">
            <v>t</v>
          </cell>
          <cell r="H1773" t="str">
            <v>t</v>
          </cell>
          <cell r="I1773" t="str">
            <v>none</v>
          </cell>
          <cell r="J1773" t="str">
            <v>[COFFEE] DRI</v>
          </cell>
        </row>
        <row r="1774">
          <cell r="A1774" t="str">
            <v/>
          </cell>
          <cell r="B1774"/>
        </row>
        <row r="1775">
          <cell r="A1775" t="str">
            <v>[COFFEE] DRI+CCS</v>
          </cell>
          <cell r="B1775" t="str">
            <v>sponge iron</v>
          </cell>
          <cell r="C1775" t="str">
            <v>reference_product</v>
          </cell>
          <cell r="D1775" t="str">
            <v>7206</v>
          </cell>
          <cell r="E1775" t="str">
            <v>Mass</v>
          </cell>
          <cell r="F1775">
            <v>1</v>
          </cell>
          <cell r="G1775" t="str">
            <v>t</v>
          </cell>
          <cell r="H1775">
            <v>1</v>
          </cell>
          <cell r="I1775" t="str">
            <v xml:space="preserve"> </v>
          </cell>
          <cell r="J1775" t="str">
            <v>[COFFEE] DRI+CCS</v>
          </cell>
        </row>
        <row r="1776">
          <cell r="A1776" t="str">
            <v>[COFFEE] DRI+CCS</v>
          </cell>
          <cell r="B1776" t="str">
            <v>natural gas</v>
          </cell>
          <cell r="C1776" t="str">
            <v>from technosphere (energy_carrier)</v>
          </cell>
          <cell r="D1776"/>
          <cell r="E1776" t="str">
            <v>Energy</v>
          </cell>
          <cell r="F1776">
            <v>14.9</v>
          </cell>
          <cell r="G1776" t="str">
            <v>GJ</v>
          </cell>
          <cell r="H1776" t="str">
            <v>t</v>
          </cell>
          <cell r="I1776" t="str">
            <v>none</v>
          </cell>
          <cell r="J1776" t="str">
            <v>[COFFEE] DRI+CCS</v>
          </cell>
        </row>
        <row r="1777">
          <cell r="A1777" t="str">
            <v>[COFFEE] DRI+CCS</v>
          </cell>
          <cell r="B1777" t="str">
            <v>iron ore</v>
          </cell>
          <cell r="C1777" t="str">
            <v>from environment (natural resource)</v>
          </cell>
          <cell r="E1777" t="str">
            <v>Mass</v>
          </cell>
          <cell r="F1777">
            <v>1.7</v>
          </cell>
          <cell r="G1777" t="str">
            <v>t</v>
          </cell>
          <cell r="H1777" t="str">
            <v>t</v>
          </cell>
          <cell r="I1777" t="str">
            <v>none</v>
          </cell>
          <cell r="J1777" t="str">
            <v>[COFFEE] DRI+CCS</v>
          </cell>
        </row>
        <row r="1778">
          <cell r="A1778" t="str">
            <v>[COFFEE] DRI+CCS</v>
          </cell>
          <cell r="B1778" t="str">
            <v>carbon dioxide</v>
          </cell>
          <cell r="C1778" t="str">
            <v>to technosphere (by-product)</v>
          </cell>
          <cell r="E1778" t="str">
            <v>Mass</v>
          </cell>
          <cell r="F1778">
            <v>0.53</v>
          </cell>
          <cell r="G1778" t="str">
            <v>t</v>
          </cell>
          <cell r="H1778" t="str">
            <v>t</v>
          </cell>
          <cell r="I1778" t="str">
            <v>none</v>
          </cell>
          <cell r="J1778" t="str">
            <v>[COFFEE] DRI+CCS</v>
          </cell>
        </row>
        <row r="1779">
          <cell r="A1779" t="str">
            <v/>
          </cell>
        </row>
        <row r="1780">
          <cell r="A1780" t="str">
            <v>[COFFEE] HDRI</v>
          </cell>
          <cell r="B1780" t="str">
            <v>sponge iron</v>
          </cell>
          <cell r="C1780" t="str">
            <v>reference_product</v>
          </cell>
          <cell r="D1780" t="str">
            <v>7206</v>
          </cell>
          <cell r="E1780" t="str">
            <v>Mass</v>
          </cell>
          <cell r="F1780">
            <v>1</v>
          </cell>
          <cell r="G1780" t="str">
            <v>t</v>
          </cell>
          <cell r="H1780">
            <v>1</v>
          </cell>
          <cell r="I1780" t="str">
            <v xml:space="preserve"> </v>
          </cell>
          <cell r="J1780" t="str">
            <v>[COFFEE] HDRI</v>
          </cell>
        </row>
        <row r="1781">
          <cell r="A1781" t="str">
            <v>[COFFEE] HDRI</v>
          </cell>
          <cell r="B1781" t="str">
            <v>hydrogen</v>
          </cell>
          <cell r="C1781" t="str">
            <v>from technosphere (energy_carrier)</v>
          </cell>
          <cell r="D1781"/>
          <cell r="E1781" t="str">
            <v>Energy</v>
          </cell>
          <cell r="F1781">
            <v>14.2</v>
          </cell>
          <cell r="G1781" t="str">
            <v>GJ</v>
          </cell>
          <cell r="H1781" t="str">
            <v>t</v>
          </cell>
          <cell r="I1781" t="str">
            <v>none</v>
          </cell>
          <cell r="J1781" t="str">
            <v>[COFFEE] HDRI</v>
          </cell>
        </row>
        <row r="1782">
          <cell r="A1782" t="str">
            <v>[COFFEE] HDRI</v>
          </cell>
          <cell r="B1782" t="str">
            <v>iron ore</v>
          </cell>
          <cell r="C1782" t="str">
            <v>from environment (natural resource)</v>
          </cell>
          <cell r="E1782" t="str">
            <v>Mass</v>
          </cell>
          <cell r="F1782">
            <v>1.7</v>
          </cell>
          <cell r="G1782" t="str">
            <v>t</v>
          </cell>
          <cell r="H1782" t="str">
            <v>t</v>
          </cell>
          <cell r="I1782" t="str">
            <v>none</v>
          </cell>
          <cell r="J1782" t="str">
            <v>[COFFEE] HDRI</v>
          </cell>
        </row>
        <row r="1783">
          <cell r="A1783" t="str">
            <v/>
          </cell>
        </row>
        <row r="1784">
          <cell r="A1784" t="str">
            <v>[COFFEE] EAF</v>
          </cell>
          <cell r="B1784" t="str">
            <v>steel, primary</v>
          </cell>
          <cell r="C1784" t="str">
            <v>reference_product</v>
          </cell>
          <cell r="D1784" t="str">
            <v>7206</v>
          </cell>
          <cell r="E1784" t="str">
            <v>Mass</v>
          </cell>
          <cell r="F1784">
            <v>1</v>
          </cell>
          <cell r="G1784" t="str">
            <v>t</v>
          </cell>
          <cell r="H1784">
            <v>1</v>
          </cell>
          <cell r="I1784" t="str">
            <v xml:space="preserve"> </v>
          </cell>
          <cell r="J1784" t="str">
            <v>[COFFEE] EAF</v>
          </cell>
        </row>
        <row r="1785">
          <cell r="A1785" t="str">
            <v>[COFFEE] EAF</v>
          </cell>
          <cell r="B1785" t="str">
            <v>electricity</v>
          </cell>
          <cell r="C1785" t="str">
            <v>from technosphere (energy_carrier)</v>
          </cell>
          <cell r="D1785"/>
          <cell r="E1785" t="str">
            <v>Energy</v>
          </cell>
          <cell r="F1785">
            <v>2.1</v>
          </cell>
          <cell r="G1785" t="str">
            <v>GJ</v>
          </cell>
          <cell r="H1785" t="str">
            <v>t</v>
          </cell>
          <cell r="I1785" t="str">
            <v>none</v>
          </cell>
          <cell r="J1785" t="str">
            <v>[COFFEE] EAF</v>
          </cell>
        </row>
        <row r="1786">
          <cell r="A1786" t="str">
            <v>[COFFEE] EAF</v>
          </cell>
          <cell r="B1786" t="str">
            <v>sponge iron</v>
          </cell>
          <cell r="C1786" t="str">
            <v>from technosphere (material)</v>
          </cell>
          <cell r="E1786" t="str">
            <v>Mass</v>
          </cell>
          <cell r="F1786">
            <v>0.97</v>
          </cell>
          <cell r="G1786" t="str">
            <v>t</v>
          </cell>
          <cell r="H1786" t="str">
            <v>t</v>
          </cell>
          <cell r="I1786" t="str">
            <v>none</v>
          </cell>
          <cell r="J1786" t="str">
            <v>[COFFEE] EAF</v>
          </cell>
        </row>
        <row r="1787">
          <cell r="A1787" t="str">
            <v/>
          </cell>
        </row>
        <row r="1788">
          <cell r="A1788" t="str">
            <v>[COFFEE] Scrap EAF</v>
          </cell>
          <cell r="B1788" t="str">
            <v>steel, secondary</v>
          </cell>
          <cell r="C1788" t="str">
            <v>reference_product</v>
          </cell>
          <cell r="D1788" t="str">
            <v>7206</v>
          </cell>
          <cell r="E1788" t="str">
            <v>Mass</v>
          </cell>
          <cell r="F1788">
            <v>1</v>
          </cell>
          <cell r="G1788" t="str">
            <v>t</v>
          </cell>
          <cell r="H1788">
            <v>1</v>
          </cell>
          <cell r="I1788" t="str">
            <v xml:space="preserve"> </v>
          </cell>
          <cell r="J1788" t="str">
            <v>[COFFEE] Scrap EAF</v>
          </cell>
        </row>
        <row r="1789">
          <cell r="A1789" t="str">
            <v>[COFFEE] Scrap EAF</v>
          </cell>
          <cell r="B1789" t="str">
            <v>electricity</v>
          </cell>
          <cell r="C1789" t="str">
            <v>from technosphere (energy_carrier)</v>
          </cell>
          <cell r="D1789"/>
          <cell r="E1789" t="str">
            <v>Energy</v>
          </cell>
          <cell r="F1789">
            <v>2.1</v>
          </cell>
          <cell r="G1789" t="str">
            <v>GJ</v>
          </cell>
          <cell r="H1789" t="str">
            <v>t</v>
          </cell>
          <cell r="I1789" t="str">
            <v>none</v>
          </cell>
          <cell r="J1789" t="str">
            <v>[COFFEE] Scrap EAF</v>
          </cell>
        </row>
        <row r="1790">
          <cell r="A1790" t="str">
            <v>[COFFEE] Scrap EAF</v>
          </cell>
          <cell r="B1790" t="str">
            <v>steel scrap</v>
          </cell>
          <cell r="C1790" t="str">
            <v>from technosphere (recycled material)</v>
          </cell>
          <cell r="E1790" t="str">
            <v>Mass</v>
          </cell>
          <cell r="F1790">
            <v>0.95</v>
          </cell>
          <cell r="G1790" t="str">
            <v>t</v>
          </cell>
          <cell r="H1790" t="str">
            <v>t</v>
          </cell>
          <cell r="I1790" t="str">
            <v>none</v>
          </cell>
          <cell r="J1790" t="str">
            <v>[COFFEE] Scrap EAF</v>
          </cell>
        </row>
        <row r="1792">
          <cell r="A1792" t="str">
            <v>[a] Calcined clay, rotary kiln</v>
          </cell>
          <cell r="B1792" t="str">
            <v>metakaolin</v>
          </cell>
          <cell r="C1792" t="str">
            <v>reference_product</v>
          </cell>
          <cell r="D1792">
            <v>2507</v>
          </cell>
          <cell r="E1792" t="str">
            <v>Mass</v>
          </cell>
          <cell r="F1792">
            <v>1</v>
          </cell>
          <cell r="G1792" t="str">
            <v>tonne</v>
          </cell>
          <cell r="H1792">
            <v>1</v>
          </cell>
          <cell r="I1792" t="str">
            <v>none</v>
          </cell>
          <cell r="J1792" t="str">
            <v>[a] Calcined clay, rotary kiln</v>
          </cell>
          <cell r="K1792"/>
          <cell r="L1792"/>
        </row>
        <row r="1793">
          <cell r="A1793" t="str">
            <v>[a] Calcined clay, rotary kiln</v>
          </cell>
          <cell r="B1793" t="str">
            <v>kaolinite, dry</v>
          </cell>
          <cell r="C1793" t="str">
            <v>from environment (natural resource)</v>
          </cell>
          <cell r="D1793"/>
          <cell r="E1793" t="str">
            <v>Mass</v>
          </cell>
          <cell r="F1793">
            <v>1.1599999999999999</v>
          </cell>
          <cell r="G1793" t="str">
            <v>tonne</v>
          </cell>
          <cell r="H1793">
            <v>1</v>
          </cell>
          <cell r="I1793" t="str">
            <v>none</v>
          </cell>
          <cell r="J1793" t="str">
            <v>[a] Calcined clay, rotary kiln</v>
          </cell>
          <cell r="K1793" t="str">
            <v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v>
          </cell>
          <cell r="L1793" t="str">
            <v>Hanein et al. 2021 [114]</v>
          </cell>
        </row>
        <row r="1794">
          <cell r="A1794" t="str">
            <v>[a] Calcined clay, rotary kiln</v>
          </cell>
          <cell r="B1794" t="str">
            <v>industrial heat, high-temperature</v>
          </cell>
          <cell r="C1794" t="str">
            <v>from technosphere (energy_carrier)</v>
          </cell>
          <cell r="D1794"/>
          <cell r="E1794" t="str">
            <v>Energy</v>
          </cell>
          <cell r="F1794">
            <v>3.1</v>
          </cell>
          <cell r="G1794" t="str">
            <v>GJ</v>
          </cell>
          <cell r="H1794">
            <v>1</v>
          </cell>
          <cell r="I1794" t="str">
            <v>values found in literature (usually no information given about water content of clay): 3.1 GJ/tonne (Cancio Díaz et al. 2017); 3.2 GJ/tonne (Sánchez Berriel et al. 2016); 4.4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v>
          </cell>
          <cell r="J1794" t="str">
            <v>[a] Calcined clay, rotary kiln</v>
          </cell>
          <cell r="K1794" t="str">
            <v>energy demand (high temperature heat) for dry (0 w% water content) kaolinite input - value taken from Cancio Díaz et al. 2017, which report the lowest value among the studies specifying the calcination technology used; ~900°C used for industrial scale clay calcination in kiln calcination</v>
          </cell>
          <cell r="L1794" t="str">
            <v>Cancio Díaz et al. 2017 [115]</v>
          </cell>
        </row>
        <row r="1795">
          <cell r="A1795" t="str">
            <v>[a] Calcined clay, rotary kiln</v>
          </cell>
          <cell r="B1795" t="str">
            <v>electricity</v>
          </cell>
          <cell r="C1795" t="str">
            <v>from technosphere (energy_carrier)</v>
          </cell>
          <cell r="D1795"/>
          <cell r="E1795" t="str">
            <v>Energy</v>
          </cell>
          <cell r="F1795">
            <v>0.16500000000000001</v>
          </cell>
          <cell r="G1795" t="str">
            <v>GJ</v>
          </cell>
          <cell r="H1795">
            <v>1</v>
          </cell>
          <cell r="I1795" t="str">
            <v>none</v>
          </cell>
          <cell r="J1795" t="str">
            <v>[a] Calcined clay, rotary kiln</v>
          </cell>
          <cell r="K1795"/>
          <cell r="L1795" t="str">
            <v>Sánchez Berriel et al. 2016 [116]</v>
          </cell>
        </row>
        <row r="1796">
          <cell r="A1796" t="str">
            <v>[a] Calcined clay, rotary kiln</v>
          </cell>
          <cell r="B1796" t="str">
            <v>carbon dioxide</v>
          </cell>
          <cell r="C1796" t="str">
            <v>to environment (emission, process)</v>
          </cell>
          <cell r="D1796"/>
          <cell r="E1796" t="str">
            <v>Mass</v>
          </cell>
          <cell r="F1796">
            <v>0.03</v>
          </cell>
          <cell r="G1796" t="str">
            <v>tonne</v>
          </cell>
          <cell r="H1796">
            <v>1</v>
          </cell>
          <cell r="I1796" t="str">
            <v>none</v>
          </cell>
          <cell r="J1796" t="str">
            <v>[a] Calcined clay, rotary kiln</v>
          </cell>
          <cell r="K1796" t="str">
            <v>“The values of less than 30 g CO2 for clays are based on the assumption that the clay will contain\3 wt% CO2” (Hanein et al. 2021, 21)</v>
          </cell>
          <cell r="L1796" t="str">
            <v>Hanein et al. 2021 [114]</v>
          </cell>
        </row>
        <row r="1797">
          <cell r="A1797"/>
          <cell r="B1797"/>
          <cell r="C1797"/>
          <cell r="D1797"/>
          <cell r="E1797"/>
          <cell r="F1797"/>
          <cell r="G1797"/>
          <cell r="H1797"/>
          <cell r="I1797"/>
          <cell r="J1797"/>
          <cell r="K1797"/>
          <cell r="L1797"/>
        </row>
        <row r="1798">
          <cell r="A1798" t="str">
            <v>[a] Calcined clay, flash calciner</v>
          </cell>
          <cell r="B1798" t="str">
            <v>metakaolin</v>
          </cell>
          <cell r="C1798" t="str">
            <v>reference_product</v>
          </cell>
          <cell r="D1798">
            <v>2507</v>
          </cell>
          <cell r="E1798" t="str">
            <v>Mass</v>
          </cell>
          <cell r="F1798">
            <v>1</v>
          </cell>
          <cell r="G1798" t="str">
            <v>tonne</v>
          </cell>
          <cell r="H1798">
            <v>1</v>
          </cell>
          <cell r="I1798" t="str">
            <v>none</v>
          </cell>
          <cell r="J1798" t="str">
            <v>[a] Calcined clay, flash calciner</v>
          </cell>
          <cell r="K1798"/>
          <cell r="L1798"/>
        </row>
        <row r="1799">
          <cell r="A1799" t="str">
            <v>[a] Calcined clay, flash calciner</v>
          </cell>
          <cell r="B1799" t="str">
            <v>kaolinite, dry</v>
          </cell>
          <cell r="C1799" t="str">
            <v>from environment (natural resource)</v>
          </cell>
          <cell r="D1799"/>
          <cell r="E1799" t="str">
            <v>Mass</v>
          </cell>
          <cell r="F1799">
            <v>1.1599999999999999</v>
          </cell>
          <cell r="G1799" t="str">
            <v>tonne</v>
          </cell>
          <cell r="H1799">
            <v>1</v>
          </cell>
          <cell r="I1799" t="str">
            <v>none</v>
          </cell>
          <cell r="J1799" t="str">
            <v>[a] Calcined clay, flash calciner</v>
          </cell>
          <cell r="K1799" t="str">
            <v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v>
          </cell>
          <cell r="L1799" t="str">
            <v>Hanein et al. 2021 [114]</v>
          </cell>
        </row>
        <row r="1800">
          <cell r="A1800" t="str">
            <v>[a] Calcined clay, flash calciner</v>
          </cell>
          <cell r="B1800" t="str">
            <v>industrial heat, high-temperature</v>
          </cell>
          <cell r="C1800" t="str">
            <v>from technosphere (energy_carrier)</v>
          </cell>
          <cell r="D1800"/>
          <cell r="E1800" t="str">
            <v>Energy</v>
          </cell>
          <cell r="F1800">
            <v>2.7</v>
          </cell>
          <cell r="G1800" t="str">
            <v>GJ</v>
          </cell>
          <cell r="H1800">
            <v>1</v>
          </cell>
          <cell r="I1800" t="str">
            <v>values found in literature (usually no information given about water content of clay): 2.7 GJ/tonne (Cancio Díaz et al. 2017); 2.8 GJ/tonne (Sánchez Berriel et al. 2016); 3.7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v>
          </cell>
          <cell r="J1800" t="str">
            <v>[a] Calcined clay, flash calciner</v>
          </cell>
          <cell r="K1800" t="str">
            <v>energy demand (high temperature heat) for dry (0 w% water content) kaolinite input - value taken from Cancio Díaz et al. 2017, which report the lowest value among the studies specifying the calcination technology used; ~900°C used for industrial scale clay calcination in kiln calcination</v>
          </cell>
          <cell r="L1800" t="str">
            <v>Cancio Díaz et al. 2017 [115]</v>
          </cell>
        </row>
        <row r="1801">
          <cell r="A1801" t="str">
            <v>[a] Calcined clay, flash calciner</v>
          </cell>
          <cell r="B1801" t="str">
            <v>electricity</v>
          </cell>
          <cell r="C1801" t="str">
            <v>from technosphere (energy_carrier)</v>
          </cell>
          <cell r="D1801"/>
          <cell r="E1801" t="str">
            <v>Energy</v>
          </cell>
          <cell r="F1801">
            <v>5.0999999999999997E-2</v>
          </cell>
          <cell r="G1801" t="str">
            <v>GJ</v>
          </cell>
          <cell r="H1801">
            <v>1</v>
          </cell>
          <cell r="I1801" t="str">
            <v>none</v>
          </cell>
          <cell r="J1801" t="str">
            <v>[a] Calcined clay, flash calciner</v>
          </cell>
          <cell r="K1801"/>
          <cell r="L1801" t="str">
            <v>Sánchez Berriel et al. 2016 [116]</v>
          </cell>
        </row>
        <row r="1802">
          <cell r="A1802" t="str">
            <v>[a] Calcined clay, flash calciner</v>
          </cell>
          <cell r="B1802" t="str">
            <v>carbon dioxide</v>
          </cell>
          <cell r="C1802" t="str">
            <v>to environment (emission, process)</v>
          </cell>
          <cell r="D1802"/>
          <cell r="E1802" t="str">
            <v>Mass</v>
          </cell>
          <cell r="F1802">
            <v>0.03</v>
          </cell>
          <cell r="G1802" t="str">
            <v>tonne</v>
          </cell>
          <cell r="H1802">
            <v>1</v>
          </cell>
          <cell r="I1802" t="str">
            <v>none</v>
          </cell>
          <cell r="J1802" t="str">
            <v>[a] Calcined clay, flash calciner</v>
          </cell>
          <cell r="K1802" t="str">
            <v>“The values of less than 30 g CO2 for clays are based on the assumption that the clay will contain\3 wt% CO2” (Hanein et al. 2021, 21)</v>
          </cell>
          <cell r="L1802" t="str">
            <v>Hanein et al. 2021 [114]</v>
          </cell>
        </row>
        <row r="1803">
          <cell r="A1803"/>
          <cell r="B1803"/>
          <cell r="C1803"/>
          <cell r="D1803"/>
          <cell r="E1803"/>
          <cell r="F1803"/>
          <cell r="G1803"/>
          <cell r="H1803"/>
          <cell r="I1803"/>
          <cell r="J1803"/>
          <cell r="K1803"/>
          <cell r="L1803"/>
        </row>
        <row r="1804">
          <cell r="A1804" t="str">
            <v>[Martinez] Metakaolin limestone cement</v>
          </cell>
          <cell r="B1804" t="str">
            <v>cement</v>
          </cell>
          <cell r="C1804" t="str">
            <v>reference_product</v>
          </cell>
          <cell r="D1804">
            <v>2523</v>
          </cell>
          <cell r="E1804" t="str">
            <v>Mass</v>
          </cell>
          <cell r="F1804">
            <v>1</v>
          </cell>
          <cell r="G1804" t="str">
            <v>tonne</v>
          </cell>
          <cell r="H1804">
            <v>1</v>
          </cell>
          <cell r="I1804" t="str">
            <v>none</v>
          </cell>
          <cell r="J1804" t="str">
            <v>[a] Metakaolin limestone cement</v>
          </cell>
          <cell r="K1804"/>
          <cell r="L1804"/>
        </row>
        <row r="1805">
          <cell r="A1805" t="str">
            <v>[Martinez] Metakaolin limestone cement</v>
          </cell>
          <cell r="B1805" t="str">
            <v>metakaolin</v>
          </cell>
          <cell r="C1805" t="str">
            <v>from technosphere (material)</v>
          </cell>
          <cell r="D1805"/>
          <cell r="E1805" t="str">
            <v>Mass</v>
          </cell>
          <cell r="F1805">
            <v>0.35</v>
          </cell>
          <cell r="G1805" t="str">
            <v>tonne</v>
          </cell>
          <cell r="H1805">
            <v>1</v>
          </cell>
          <cell r="I1805" t="str">
            <v>none</v>
          </cell>
          <cell r="J1805" t="str">
            <v>[a] Metakaolin limestone cement</v>
          </cell>
          <cell r="K1805"/>
          <cell r="L1805" t="str">
            <v>Martinez et al. 2023 [117]</v>
          </cell>
        </row>
        <row r="1806">
          <cell r="A1806" t="str">
            <v>[Martinez] Metakaolin limestone cement</v>
          </cell>
          <cell r="B1806" t="str">
            <v>limestone</v>
          </cell>
          <cell r="C1806" t="str">
            <v>from environment (natural resource)</v>
          </cell>
          <cell r="D1806"/>
          <cell r="E1806" t="str">
            <v>Mass</v>
          </cell>
          <cell r="F1806">
            <v>0.15</v>
          </cell>
          <cell r="G1806" t="str">
            <v>tonne</v>
          </cell>
          <cell r="H1806">
            <v>1</v>
          </cell>
          <cell r="I1806" t="str">
            <v>none</v>
          </cell>
          <cell r="J1806" t="str">
            <v>[a] Metakaolin limestone cement</v>
          </cell>
          <cell r="K1806"/>
          <cell r="L1806" t="str">
            <v>Martinez et al. 2023 [117]</v>
          </cell>
        </row>
        <row r="1807">
          <cell r="A1807" t="str">
            <v>[Martinez] Metakaolin limestone cement</v>
          </cell>
          <cell r="B1807" t="str">
            <v>cement clinker</v>
          </cell>
          <cell r="C1807" t="str">
            <v>from technosphere (material)</v>
          </cell>
          <cell r="D1807"/>
          <cell r="E1807" t="str">
            <v>Mass</v>
          </cell>
          <cell r="F1807">
            <v>0.47499999999999998</v>
          </cell>
          <cell r="G1807" t="str">
            <v>tonne</v>
          </cell>
          <cell r="H1807">
            <v>1</v>
          </cell>
          <cell r="I1807" t="str">
            <v>none</v>
          </cell>
          <cell r="J1807" t="str">
            <v>[a] Metakaolin limestone cement</v>
          </cell>
          <cell r="K1807"/>
          <cell r="L1807" t="str">
            <v>Martinez et al. 2023 [117]</v>
          </cell>
        </row>
        <row r="1808">
          <cell r="A1808" t="str">
            <v>[Martinez] Metakaolin limestone cement</v>
          </cell>
          <cell r="B1808" t="str">
            <v>calcium sulphate</v>
          </cell>
          <cell r="C1808" t="str">
            <v>from technosphere (material)</v>
          </cell>
          <cell r="D1808"/>
          <cell r="E1808" t="str">
            <v>Mass</v>
          </cell>
          <cell r="F1808">
            <v>2.5000000000000001E-2</v>
          </cell>
          <cell r="G1808" t="str">
            <v>tonne</v>
          </cell>
          <cell r="H1808">
            <v>1</v>
          </cell>
          <cell r="I1808" t="str">
            <v>none</v>
          </cell>
          <cell r="J1808" t="str">
            <v>[a] Metakaolin limestone cement</v>
          </cell>
          <cell r="K1808"/>
          <cell r="L1808" t="str">
            <v>Martinez et al. 2023 [117]</v>
          </cell>
        </row>
        <row r="1809">
          <cell r="A1809" t="str">
            <v>[Martinez] Metakaolin limestone cement</v>
          </cell>
          <cell r="B1809" t="str">
            <v>electricity</v>
          </cell>
          <cell r="C1809" t="str">
            <v>from technosphere (energy_carrier)</v>
          </cell>
          <cell r="D1809"/>
          <cell r="E1809" t="str">
            <v>Energy</v>
          </cell>
          <cell r="F1809">
            <v>8.5999999999999993E-2</v>
          </cell>
          <cell r="G1809" t="str">
            <v>GJ</v>
          </cell>
          <cell r="H1809">
            <v>1</v>
          </cell>
          <cell r="I1809" t="str">
            <v>range: 0.054-0.086 GJ/tonne</v>
          </cell>
          <cell r="J1809" t="str">
            <v>[a] Metakaolin limestone cement</v>
          </cell>
          <cell r="K1809" t="str">
            <v xml:space="preserve">Value for electricity demand for "grinding + packing + other" for rotary kiln based industrial scale Metakoalin-Limestone Cement production (Best available technology, flash calciner based production, </v>
          </cell>
          <cell r="L1809" t="str">
            <v>Sánchez Berriel et al. 2016 [116]</v>
          </cell>
        </row>
        <row r="1811">
          <cell r="A1811" t="str">
            <v>[Shanks] cement clinker material flows, clay based</v>
          </cell>
          <cell r="B1811" t="str">
            <v>cement clinker</v>
          </cell>
          <cell r="C1811" t="str">
            <v>reference_product</v>
          </cell>
          <cell r="D1811">
            <v>252310</v>
          </cell>
          <cell r="E1811" t="str">
            <v>Mass</v>
          </cell>
          <cell r="F1811">
            <v>1</v>
          </cell>
          <cell r="G1811" t="str">
            <v>tonne</v>
          </cell>
          <cell r="H1811">
            <v>1</v>
          </cell>
          <cell r="I1811" t="str">
            <v>none</v>
          </cell>
          <cell r="J1811" t="str">
            <v>[Shanks] cement clinker material flows</v>
          </cell>
          <cell r="K1811" t="str">
            <v>UK cement sector</v>
          </cell>
          <cell r="L1811"/>
        </row>
        <row r="1812">
          <cell r="A1812" t="str">
            <v>[Shanks] cement clinker material flows, clay based</v>
          </cell>
          <cell r="B1812" t="str">
            <v>limestone</v>
          </cell>
          <cell r="C1812" t="str">
            <v>from environment (natural resource)</v>
          </cell>
          <cell r="D1812"/>
          <cell r="E1812" t="str">
            <v>Mass</v>
          </cell>
          <cell r="F1812">
            <v>1.22</v>
          </cell>
          <cell r="G1812" t="str">
            <v>tonne</v>
          </cell>
          <cell r="H1812">
            <v>1</v>
          </cell>
          <cell r="I1812" t="str">
            <v>+/- 7.1%</v>
          </cell>
          <cell r="J1812" t="str">
            <v>[Shanks] cement clinker material flows</v>
          </cell>
          <cell r="K1812"/>
          <cell r="L1812"/>
        </row>
        <row r="1813">
          <cell r="A1813" t="str">
            <v>[Shanks] cement clinker material flows, clay based</v>
          </cell>
          <cell r="B1813" t="str">
            <v>clay</v>
          </cell>
          <cell r="C1813" t="str">
            <v>from environment (natural resource)</v>
          </cell>
          <cell r="D1813"/>
          <cell r="E1813" t="str">
            <v>Mass</v>
          </cell>
          <cell r="F1813">
            <v>0.2</v>
          </cell>
          <cell r="G1813" t="str">
            <v>tonne</v>
          </cell>
          <cell r="H1813">
            <v>1</v>
          </cell>
          <cell r="I1813" t="str">
            <v>+/- 7.1%</v>
          </cell>
          <cell r="J1813" t="str">
            <v>[Shanks] cement clinker material flows</v>
          </cell>
          <cell r="K1813"/>
          <cell r="L1813"/>
        </row>
        <row r="1814">
          <cell r="A1814"/>
          <cell r="B1814"/>
          <cell r="C1814"/>
          <cell r="D1814"/>
          <cell r="E1814"/>
          <cell r="F1814"/>
          <cell r="G1814"/>
          <cell r="H1814"/>
          <cell r="I1814"/>
          <cell r="J1814"/>
          <cell r="K1814"/>
          <cell r="L1814"/>
        </row>
        <row r="1815">
          <cell r="A1815" t="str">
            <v>[Shanks] cement clinker material flows, shale based</v>
          </cell>
          <cell r="B1815" t="str">
            <v>cement clinker</v>
          </cell>
          <cell r="C1815" t="str">
            <v>reference_product</v>
          </cell>
          <cell r="D1815">
            <v>252310</v>
          </cell>
          <cell r="E1815" t="str">
            <v>Mass</v>
          </cell>
          <cell r="F1815">
            <v>1</v>
          </cell>
          <cell r="G1815" t="str">
            <v>tonne</v>
          </cell>
          <cell r="H1815">
            <v>1</v>
          </cell>
          <cell r="I1815" t="str">
            <v>none</v>
          </cell>
          <cell r="J1815" t="str">
            <v>[Shanks] cement clinker material flows</v>
          </cell>
          <cell r="K1815" t="str">
            <v>UK cement sector</v>
          </cell>
          <cell r="L1815"/>
        </row>
        <row r="1816">
          <cell r="A1816" t="str">
            <v>[Shanks] cement clinker material flows, shale based</v>
          </cell>
          <cell r="B1816" t="str">
            <v>limestone</v>
          </cell>
          <cell r="C1816" t="str">
            <v>from environment (natural resource)</v>
          </cell>
          <cell r="D1816"/>
          <cell r="E1816" t="str">
            <v>Mass</v>
          </cell>
          <cell r="F1816">
            <v>1.22</v>
          </cell>
          <cell r="G1816" t="str">
            <v>tonne</v>
          </cell>
          <cell r="H1816">
            <v>1</v>
          </cell>
          <cell r="I1816" t="str">
            <v>+/- 7.1%</v>
          </cell>
          <cell r="J1816" t="str">
            <v>[Shanks] cement clinker material flows</v>
          </cell>
          <cell r="K1816"/>
          <cell r="L1816"/>
        </row>
        <row r="1817">
          <cell r="A1817" t="str">
            <v>[Shanks] cement clinker material flows, shale based</v>
          </cell>
          <cell r="B1817" t="str">
            <v>shale</v>
          </cell>
          <cell r="C1817" t="str">
            <v>from environment (natural resource)</v>
          </cell>
          <cell r="D1817"/>
          <cell r="E1817" t="str">
            <v>Mass</v>
          </cell>
          <cell r="F1817">
            <v>0.2</v>
          </cell>
          <cell r="G1817" t="str">
            <v>tonne</v>
          </cell>
          <cell r="H1817">
            <v>1</v>
          </cell>
          <cell r="I1817" t="str">
            <v>+/- 7.1%</v>
          </cell>
          <cell r="J1817" t="str">
            <v>[Shanks] cement clinker material flows</v>
          </cell>
          <cell r="K1817"/>
          <cell r="L1817"/>
        </row>
        <row r="1818">
          <cell r="A1818"/>
          <cell r="B1818"/>
          <cell r="C1818"/>
          <cell r="D1818"/>
          <cell r="E1818"/>
          <cell r="F1818"/>
          <cell r="G1818"/>
          <cell r="H1818"/>
          <cell r="I1818"/>
          <cell r="J1818"/>
          <cell r="K1818"/>
          <cell r="L1818"/>
        </row>
        <row r="1819">
          <cell r="A1819" t="str">
            <v>[Wang] cement clinker material flows</v>
          </cell>
          <cell r="B1819" t="str">
            <v>cement clinker</v>
          </cell>
          <cell r="C1819" t="str">
            <v>reference_product</v>
          </cell>
          <cell r="D1819">
            <v>252310</v>
          </cell>
          <cell r="E1819" t="str">
            <v>Mass</v>
          </cell>
          <cell r="F1819">
            <v>1</v>
          </cell>
          <cell r="G1819" t="str">
            <v>tonne</v>
          </cell>
          <cell r="H1819">
            <v>1</v>
          </cell>
          <cell r="I1819" t="str">
            <v>none</v>
          </cell>
          <cell r="J1819" t="str">
            <v>[Wang] cement clinker material flows</v>
          </cell>
          <cell r="K1819" t="str">
            <v>Chinese cement sector</v>
          </cell>
          <cell r="L1819"/>
        </row>
        <row r="1820">
          <cell r="A1820" t="str">
            <v>[Wang] cement clinker material flows</v>
          </cell>
          <cell r="B1820" t="str">
            <v>limestone</v>
          </cell>
          <cell r="C1820" t="str">
            <v>from environment (natural resource)</v>
          </cell>
          <cell r="D1820"/>
          <cell r="E1820" t="str">
            <v>Mass</v>
          </cell>
          <cell r="F1820">
            <v>1.3</v>
          </cell>
          <cell r="G1820" t="str">
            <v>tonne</v>
          </cell>
          <cell r="H1820">
            <v>1</v>
          </cell>
          <cell r="I1820" t="str">
            <v>range: 1.20-1.49</v>
          </cell>
          <cell r="J1820" t="str">
            <v>[Wang] cement clinker material flows</v>
          </cell>
          <cell r="K1820"/>
          <cell r="L1820"/>
        </row>
        <row r="1821">
          <cell r="A1821" t="str">
            <v>[Wang] cement clinker material flows</v>
          </cell>
          <cell r="B1821" t="str">
            <v>siliceous raw material</v>
          </cell>
          <cell r="C1821" t="str">
            <v>from environment (natural resource)</v>
          </cell>
          <cell r="D1821"/>
          <cell r="E1821" t="str">
            <v>Mass</v>
          </cell>
          <cell r="F1821">
            <v>0.245</v>
          </cell>
          <cell r="G1821" t="str">
            <v>tonne</v>
          </cell>
          <cell r="H1821">
            <v>1</v>
          </cell>
          <cell r="I1821" t="str">
            <v>range: 0.189-0.307</v>
          </cell>
          <cell r="J1821" t="str">
            <v>[Wang] cement clinker material flows</v>
          </cell>
          <cell r="K1821" t="str">
            <v>Different siliceous raw materials are used to provide alumino-silicate (Silicon dioxide and Aluminium oxide); can be clay, shale, sand, etc.</v>
          </cell>
        </row>
        <row r="1823">
          <cell r="A1823" t="str">
            <v>[LBNL] Kraft IPP</v>
          </cell>
          <cell r="B1823" t="str">
            <v>paper</v>
          </cell>
          <cell r="C1823" t="str">
            <v>reference_product</v>
          </cell>
          <cell r="E1823" t="str">
            <v>Mass</v>
          </cell>
          <cell r="F1823">
            <v>1</v>
          </cell>
          <cell r="G1823" t="str">
            <v>tonne</v>
          </cell>
          <cell r="H1823">
            <v>1</v>
          </cell>
          <cell r="I1823" t="str">
            <v>none</v>
          </cell>
          <cell r="J1823" t="str">
            <v>[LBNL] Kraft IPP</v>
          </cell>
        </row>
        <row r="1824">
          <cell r="A1824" t="str">
            <v>[LBNL] Kraft IPP</v>
          </cell>
          <cell r="B1824" t="str">
            <v>natural gas</v>
          </cell>
          <cell r="C1824" t="str">
            <v>from technosphere (energy_carrier)</v>
          </cell>
          <cell r="E1824" t="str">
            <v>Energy</v>
          </cell>
          <cell r="F1824">
            <v>13.100000000000001</v>
          </cell>
          <cell r="G1824" t="str">
            <v>GJ</v>
          </cell>
          <cell r="H1824" t="str">
            <v>t</v>
          </cell>
          <cell r="I1824" t="str">
            <v>none</v>
          </cell>
          <cell r="J1824" t="str">
            <v>[LBNL] Kraft IPP</v>
          </cell>
          <cell r="K1824" t="str">
            <v>Direct fuel use and fuel use in boilers</v>
          </cell>
          <cell r="L1824">
            <v>91</v>
          </cell>
        </row>
        <row r="1825">
          <cell r="A1825" t="str">
            <v>[LBNL] Kraft IPP</v>
          </cell>
          <cell r="B1825" t="str">
            <v>electricity</v>
          </cell>
          <cell r="C1825" t="str">
            <v>from technosphere (energy_carrier)</v>
          </cell>
          <cell r="E1825" t="str">
            <v>Energy</v>
          </cell>
          <cell r="F1825">
            <v>3.56</v>
          </cell>
          <cell r="G1825" t="str">
            <v>GJ</v>
          </cell>
          <cell r="H1825" t="str">
            <v>t</v>
          </cell>
          <cell r="I1825" t="str">
            <v>none</v>
          </cell>
          <cell r="J1825" t="str">
            <v>[LBNL] Kraft IPP</v>
          </cell>
          <cell r="L1825">
            <v>91</v>
          </cell>
        </row>
        <row r="1826">
          <cell r="A1826" t="str">
            <v/>
          </cell>
          <cell r="J1826" t="str">
            <v/>
          </cell>
          <cell r="L1826" t="str">
            <v/>
          </cell>
        </row>
        <row r="1827">
          <cell r="A1827" t="str">
            <v>[LBNL] Kraft IPP + Heat pump</v>
          </cell>
          <cell r="B1827" t="str">
            <v>paper</v>
          </cell>
          <cell r="C1827" t="str">
            <v>reference_product</v>
          </cell>
          <cell r="E1827" t="str">
            <v>Mass</v>
          </cell>
          <cell r="F1827">
            <v>1</v>
          </cell>
          <cell r="G1827" t="str">
            <v>tonne</v>
          </cell>
          <cell r="H1827">
            <v>1</v>
          </cell>
          <cell r="I1827" t="str">
            <v>none</v>
          </cell>
          <cell r="J1827" t="str">
            <v>[LBNL] Kraft IPP + Heat pump</v>
          </cell>
          <cell r="L1827" t="str">
            <v/>
          </cell>
        </row>
        <row r="1828">
          <cell r="A1828" t="str">
            <v>[LBNL] Kraft IPP + Heat pump</v>
          </cell>
          <cell r="B1828" t="str">
            <v>natural gas</v>
          </cell>
          <cell r="C1828" t="str">
            <v>from technosphere (energy_carrier)</v>
          </cell>
          <cell r="E1828" t="str">
            <v>Energy</v>
          </cell>
          <cell r="F1828">
            <v>2.2000000000000002</v>
          </cell>
          <cell r="G1828" t="str">
            <v>GJ</v>
          </cell>
          <cell r="H1828" t="str">
            <v>t</v>
          </cell>
          <cell r="I1828" t="str">
            <v>none</v>
          </cell>
          <cell r="J1828" t="str">
            <v>[LBNL] Kraft IPP + Heat pump</v>
          </cell>
          <cell r="K1828" t="str">
            <v>Direct fuel use and fuel use in boilers</v>
          </cell>
          <cell r="L1828">
            <v>91</v>
          </cell>
        </row>
        <row r="1829">
          <cell r="A1829" t="str">
            <v>[LBNL] Kraft IPP + Heat pump</v>
          </cell>
          <cell r="B1829" t="str">
            <v>electricity</v>
          </cell>
          <cell r="C1829" t="str">
            <v>from technosphere (energy_carrier)</v>
          </cell>
          <cell r="E1829" t="str">
            <v>Energy</v>
          </cell>
          <cell r="F1829">
            <v>8.07</v>
          </cell>
          <cell r="G1829" t="str">
            <v>GJ</v>
          </cell>
          <cell r="H1829" t="str">
            <v>t</v>
          </cell>
          <cell r="I1829" t="str">
            <v>none</v>
          </cell>
          <cell r="J1829" t="str">
            <v>[LBNL] Kraft IPP + Heat pump</v>
          </cell>
          <cell r="L1829">
            <v>91</v>
          </cell>
        </row>
        <row r="1830">
          <cell r="L1830" t="str">
            <v/>
          </cell>
        </row>
        <row r="1831">
          <cell r="A1831" t="str">
            <v>[Meng] Ethylene production via Ethane steam cracking</v>
          </cell>
          <cell r="B1831" t="str">
            <v>ethylene</v>
          </cell>
          <cell r="C1831" t="str">
            <v>reference_product</v>
          </cell>
          <cell r="D1831">
            <v>271114</v>
          </cell>
          <cell r="E1831" t="str">
            <v>Mass</v>
          </cell>
          <cell r="F1831">
            <v>1</v>
          </cell>
          <cell r="G1831" t="str">
            <v>tonne</v>
          </cell>
          <cell r="H1831">
            <v>1</v>
          </cell>
          <cell r="I1831" t="str">
            <v>none</v>
          </cell>
          <cell r="J1831"/>
          <cell r="K1831"/>
          <cell r="L1831"/>
        </row>
        <row r="1832">
          <cell r="A1832" t="str">
            <v>[Meng] Ethylene production via Ethane steam cracking</v>
          </cell>
          <cell r="B1832" t="str">
            <v>ethane</v>
          </cell>
          <cell r="C1832" t="str">
            <v>from technosphere (material)</v>
          </cell>
          <cell r="D1832"/>
          <cell r="E1832" t="str">
            <v>Mass</v>
          </cell>
          <cell r="F1832">
            <v>1.25</v>
          </cell>
          <cell r="G1832" t="str">
            <v>tonne</v>
          </cell>
          <cell r="H1832">
            <v>1</v>
          </cell>
          <cell r="I1832" t="str">
            <v>none</v>
          </cell>
          <cell r="J1832" t="str">
            <v>plastics monomer production inventories, from Meng et al. (2023), DOI 10.1073/pnas.2218294120</v>
          </cell>
          <cell r="K1832" t="str">
            <v xml:space="preserve">"The ethane fraction is cracked to produce ethylene (80 % selectivity or 56.4 % yield) along with coproducts (hydrogen, methane, propane, butane, propylene, acetylene, propadiene, vinylacetylene, propyne and butadiene)". Process includes cracking, compression and recovery. </v>
          </cell>
          <cell r="L1832" t="str">
            <v>see log sheet</v>
          </cell>
        </row>
        <row r="1833">
          <cell r="A1833" t="str">
            <v>[Meng] Ethylene production via Ethane steam cracking</v>
          </cell>
          <cell r="B1833" t="str">
            <v>natural gas</v>
          </cell>
          <cell r="C1833" t="str">
            <v>from technosphere (material)</v>
          </cell>
          <cell r="D1833"/>
          <cell r="E1833" t="str">
            <v>Mass</v>
          </cell>
          <cell r="F1833">
            <v>13.7</v>
          </cell>
          <cell r="G1833" t="str">
            <v>GJ</v>
          </cell>
          <cell r="H1833">
            <v>1</v>
          </cell>
          <cell r="I1833" t="str">
            <v>none</v>
          </cell>
          <cell r="J1833" t="str">
            <v>plastics monomer production inventories, from Meng et al. (2023), DOI 10.1073/pnas.2218294120</v>
          </cell>
          <cell r="K1833" t="str">
            <v>The fuel requirements for steam cracking of ethane are 13.7 MJ/kg of ethylene, equal to 13.7 GJ/t ethylene. Steam necessary for the production of ethylene is already added into this process step.</v>
          </cell>
          <cell r="L1833" t="str">
            <v>see log sheet</v>
          </cell>
        </row>
        <row r="1834">
          <cell r="A1834" t="str">
            <v>[Meng] Ethylene production via Ethane steam cracking</v>
          </cell>
          <cell r="B1834" t="str">
            <v>electricity</v>
          </cell>
          <cell r="C1834" t="str">
            <v>from technosphere (energy_carrier)</v>
          </cell>
          <cell r="D1834"/>
          <cell r="E1834" t="str">
            <v>Energy</v>
          </cell>
          <cell r="F1834">
            <v>0.2</v>
          </cell>
          <cell r="G1834" t="str">
            <v>GJ</v>
          </cell>
          <cell r="H1834">
            <v>1</v>
          </cell>
          <cell r="I1834" t="str">
            <v>none</v>
          </cell>
          <cell r="J1834" t="str">
            <v>plastics monomer production inventories, from Meng et al. (2023), DOI 10.1073/pnas.2218294120</v>
          </cell>
          <cell r="K1834" t="str">
            <v xml:space="preserve">The power requirements for steam cracking of ethane are 0.2 MJ/kg of ethylene, this is equal to 0.2 GJ/ T of ethylene. </v>
          </cell>
          <cell r="L1834" t="str">
            <v>see log sheet</v>
          </cell>
        </row>
        <row r="1835">
          <cell r="A1835" t="str">
            <v>[Meng] Ethylene production via Ethane steam cracking</v>
          </cell>
          <cell r="B1835" t="str">
            <v>carbon dioxide</v>
          </cell>
          <cell r="C1835" t="str">
            <v>to environment (emission, direct)</v>
          </cell>
          <cell r="D1835"/>
          <cell r="E1835" t="str">
            <v>Mass</v>
          </cell>
          <cell r="F1835">
            <v>0.91790000000000005</v>
          </cell>
          <cell r="G1835" t="str">
            <v>tonne</v>
          </cell>
          <cell r="H1835">
            <v>1</v>
          </cell>
          <cell r="I1835" t="str">
            <v>none</v>
          </cell>
          <cell r="J1835" t="str">
            <v>adding direct emissions to plastics monomer production inventories, from Meng et al. (2023), DOI 10.1073/pnas.2218294120</v>
          </cell>
          <cell r="K1835" t="str">
            <v>only natural gas-based emissions</v>
          </cell>
          <cell r="L1835" t="str">
            <v>see log sheet</v>
          </cell>
        </row>
        <row r="1836">
          <cell r="A1836" t="str">
            <v>[Meng] Ethylene production via Naphtha steam cracking + CCS</v>
          </cell>
          <cell r="B1836" t="str">
            <v>ethylene</v>
          </cell>
          <cell r="C1836" t="str">
            <v>reference_product</v>
          </cell>
          <cell r="D1836">
            <v>271114</v>
          </cell>
          <cell r="E1836" t="str">
            <v>Mass</v>
          </cell>
          <cell r="F1836">
            <v>1</v>
          </cell>
          <cell r="G1836" t="str">
            <v>tonne</v>
          </cell>
          <cell r="H1836">
            <v>1</v>
          </cell>
          <cell r="I1836" t="str">
            <v>none</v>
          </cell>
          <cell r="J1836"/>
          <cell r="K1836"/>
          <cell r="L1836"/>
        </row>
        <row r="1837">
          <cell r="A1837" t="str">
            <v>[Meng] Ethylene production via Naphtha steam cracking + CCS</v>
          </cell>
          <cell r="B1837" t="str">
            <v>naphtha</v>
          </cell>
          <cell r="C1837" t="str">
            <v>from technosphere (material)</v>
          </cell>
          <cell r="D1837"/>
          <cell r="E1837" t="str">
            <v>Mass</v>
          </cell>
          <cell r="F1837">
            <v>0.98744939300000001</v>
          </cell>
          <cell r="G1837" t="str">
            <v>tonne</v>
          </cell>
          <cell r="H1837">
            <v>1</v>
          </cell>
          <cell r="I1837" t="str">
            <v>none</v>
          </cell>
          <cell r="J1837" t="str">
            <v>plastics monomer production inventories, from Meng et al. (2023), DOI 10.1073/pnas.2218294120</v>
          </cell>
          <cell r="K1837" t="str">
            <v xml:space="preserve">Value taken from Reshaping Plastics (2022) model in sheet 'Dynamic_input_output' </v>
          </cell>
          <cell r="L1837" t="str">
            <v>see log sheet</v>
          </cell>
        </row>
        <row r="1838">
          <cell r="A1838" t="str">
            <v>[Meng] Ethylene production via Naphtha steam cracking + CCS</v>
          </cell>
          <cell r="B1838" t="str">
            <v>ethane</v>
          </cell>
          <cell r="C1838" t="str">
            <v>from technosphere (material)</v>
          </cell>
          <cell r="D1838"/>
          <cell r="E1838" t="str">
            <v>Mass</v>
          </cell>
          <cell r="F1838">
            <v>0</v>
          </cell>
          <cell r="G1838" t="str">
            <v>tonne</v>
          </cell>
          <cell r="H1838">
            <v>1</v>
          </cell>
          <cell r="I1838" t="str">
            <v>none</v>
          </cell>
          <cell r="J1838" t="str">
            <v>plastics monomer production inventories, from Meng et al. (2023), DOI 10.1073/pnas.2218294120</v>
          </cell>
          <cell r="K1838" t="str">
            <v xml:space="preserve">Value taken from Reshaping Plastics (2022) model in sheet 'Dynamic_input_output' </v>
          </cell>
          <cell r="L1838" t="str">
            <v>see log sheet</v>
          </cell>
        </row>
        <row r="1839">
          <cell r="A1839" t="str">
            <v>[Meng] Ethylene production via Naphtha steam cracking + CCS</v>
          </cell>
          <cell r="B1839" t="str">
            <v>propane</v>
          </cell>
          <cell r="C1839" t="str">
            <v>from technosphere (material)</v>
          </cell>
          <cell r="D1839"/>
          <cell r="E1839" t="str">
            <v>Mass</v>
          </cell>
          <cell r="F1839">
            <v>2.4696355999999999E-2</v>
          </cell>
          <cell r="G1839" t="str">
            <v>tonne</v>
          </cell>
          <cell r="H1839">
            <v>1</v>
          </cell>
          <cell r="I1839" t="str">
            <v>none</v>
          </cell>
          <cell r="J1839" t="str">
            <v>plastics monomer production inventories, from Meng et al. (2023), DOI 10.1073/pnas.2218294120</v>
          </cell>
          <cell r="K1839" t="str">
            <v xml:space="preserve">Value taken from Reshaping Plastics (2022) model in sheet 'Dynamic_input_output' </v>
          </cell>
          <cell r="L1839" t="str">
            <v>see log sheet</v>
          </cell>
        </row>
        <row r="1840">
          <cell r="A1840" t="str">
            <v>[Meng] Ethylene production via Naphtha steam cracking + CCS</v>
          </cell>
          <cell r="B1840" t="str">
            <v>off-gases</v>
          </cell>
          <cell r="C1840" t="str">
            <v>from technosphere (energy_carrier)</v>
          </cell>
          <cell r="D1840"/>
          <cell r="E1840" t="str">
            <v>Energy</v>
          </cell>
          <cell r="F1840">
            <v>8.8663967610000007</v>
          </cell>
          <cell r="G1840" t="str">
            <v>GJ</v>
          </cell>
          <cell r="H1840">
            <v>1</v>
          </cell>
          <cell r="I1840" t="str">
            <v>none</v>
          </cell>
          <cell r="J1840" t="str">
            <v>plastics monomer production inventories, from Meng et al. (2023), DOI 10.1073/pnas.2218294120</v>
          </cell>
          <cell r="K1840" t="str">
            <v xml:space="preserve">Value taken from Reshaping Plastics (2022) model in sheet 'Dynamic_input_output' </v>
          </cell>
          <cell r="L1840" t="str">
            <v>see log sheet</v>
          </cell>
        </row>
        <row r="1841">
          <cell r="A1841" t="str">
            <v>[Meng] Ethylene production via Naphtha steam cracking + CCS</v>
          </cell>
          <cell r="B1841" t="str">
            <v>electricity</v>
          </cell>
          <cell r="C1841" t="str">
            <v>from technosphere (energy_carrier)</v>
          </cell>
          <cell r="D1841"/>
          <cell r="E1841" t="str">
            <v>Energy</v>
          </cell>
          <cell r="F1841">
            <v>0.415119081</v>
          </cell>
          <cell r="G1841" t="str">
            <v>GJ</v>
          </cell>
          <cell r="H1841">
            <v>1</v>
          </cell>
          <cell r="I1841" t="str">
            <v>none</v>
          </cell>
          <cell r="J1841" t="str">
            <v>plastics monomer production inventories, from Meng et al. (2023), DOI 10.1073/pnas.2218294120</v>
          </cell>
          <cell r="K1841" t="str">
            <v xml:space="preserve">Same value as conventional steam cracker. </v>
          </cell>
          <cell r="L1841" t="str">
            <v>see log sheet</v>
          </cell>
        </row>
        <row r="1842">
          <cell r="A1842" t="str">
            <v>[Meng] Ethylene production via Naphtha steam cracking + CCS</v>
          </cell>
          <cell r="B1842" t="str">
            <v>electricity</v>
          </cell>
          <cell r="C1842" t="str">
            <v>from technosphere (energy_carrier)</v>
          </cell>
          <cell r="D1842"/>
          <cell r="E1842" t="str">
            <v>Energy</v>
          </cell>
          <cell r="F1842">
            <v>1.363190283</v>
          </cell>
          <cell r="G1842" t="str">
            <v>GJ</v>
          </cell>
          <cell r="H1842">
            <v>1</v>
          </cell>
          <cell r="I1842" t="str">
            <v>none</v>
          </cell>
          <cell r="J1842" t="str">
            <v>plastics monomer production inventories, from Meng et al. (2023), DOI 10.1073/pnas.2218294120</v>
          </cell>
          <cell r="K1842" t="str">
            <v xml:space="preserve">CCS on steam cracker. Total value of 'Naphtha steam cracking + CCS' electricity demand from Reshaping Plastics (2022) model, with subtracted the electricity demand of 'Naphtha steam cracking'. </v>
          </cell>
          <cell r="L1842" t="str">
            <v>see log sheet</v>
          </cell>
        </row>
        <row r="1843">
          <cell r="A1843" t="str">
            <v>[Meng] Ethylene production via Naphtha steam cracking + CCS</v>
          </cell>
          <cell r="B1843" t="str">
            <v>electricity</v>
          </cell>
          <cell r="C1843" t="str">
            <v>from technosphere (energy_carrier)</v>
          </cell>
          <cell r="D1843"/>
          <cell r="E1843" t="str">
            <v>Energy</v>
          </cell>
          <cell r="F1843">
            <v>1.7783093640000001</v>
          </cell>
          <cell r="G1843" t="str">
            <v>GJ</v>
          </cell>
          <cell r="H1843">
            <v>1</v>
          </cell>
          <cell r="I1843" t="str">
            <v>none</v>
          </cell>
          <cell r="J1843" t="str">
            <v>plastics monomer production inventories, from Meng et al. (2023), DOI 10.1073/pnas.2218294120</v>
          </cell>
          <cell r="K1843" t="str">
            <v xml:space="preserve">Value taken from Reshaping Plastics (2022) model in sheet 'Dynamic_input_output' </v>
          </cell>
          <cell r="L1843" t="str">
            <v>see log sheet</v>
          </cell>
        </row>
        <row r="1844">
          <cell r="A1844" t="str">
            <v>[Meng] Ethylene production via Naphtha steam cracking + CCS</v>
          </cell>
          <cell r="B1844" t="str">
            <v>carbon dioxide</v>
          </cell>
          <cell r="C1844" t="str">
            <v>to environment (emission, direct)</v>
          </cell>
          <cell r="D1844"/>
          <cell r="E1844" t="str">
            <v>Mass</v>
          </cell>
          <cell r="F1844">
            <v>2.9702428999999999E-2</v>
          </cell>
          <cell r="G1844" t="str">
            <v>tonne</v>
          </cell>
          <cell r="H1844">
            <v>1</v>
          </cell>
          <cell r="I1844" t="str">
            <v>none</v>
          </cell>
          <cell r="J1844" t="str">
            <v>adding direct emissions to plastics monomer production inventories, from Meng et al. (2023), DOI 10.1073/pnas.2218294120</v>
          </cell>
          <cell r="K1844" t="str">
            <v>only natural gas-based emissions as proxy for off-gas direct emissions, plus 95% capture rate applied</v>
          </cell>
          <cell r="L1844" t="str">
            <v>see log sheet</v>
          </cell>
        </row>
        <row r="1845">
          <cell r="A1845" t="str">
            <v>[Meng] Ethylene production via Naphtha electric steam cracking</v>
          </cell>
          <cell r="B1845" t="str">
            <v>ethylene</v>
          </cell>
          <cell r="C1845" t="str">
            <v>reference_product</v>
          </cell>
          <cell r="D1845">
            <v>271114</v>
          </cell>
          <cell r="E1845" t="str">
            <v>Mass</v>
          </cell>
          <cell r="F1845">
            <v>1</v>
          </cell>
          <cell r="G1845" t="str">
            <v>tonne</v>
          </cell>
          <cell r="H1845">
            <v>1</v>
          </cell>
          <cell r="I1845" t="str">
            <v>none</v>
          </cell>
          <cell r="J1845"/>
          <cell r="K1845"/>
          <cell r="L1845"/>
        </row>
        <row r="1846">
          <cell r="A1846" t="str">
            <v>[Meng] Ethylene production via Naphtha electric steam cracking</v>
          </cell>
          <cell r="B1846" t="str">
            <v>naphtha</v>
          </cell>
          <cell r="C1846" t="str">
            <v>from technosphere (material)</v>
          </cell>
          <cell r="D1846"/>
          <cell r="E1846" t="str">
            <v>Mass</v>
          </cell>
          <cell r="F1846">
            <v>0.98744939300000001</v>
          </cell>
          <cell r="G1846" t="str">
            <v>tonne</v>
          </cell>
          <cell r="H1846">
            <v>1</v>
          </cell>
          <cell r="I1846" t="str">
            <v>none</v>
          </cell>
          <cell r="J1846" t="str">
            <v>plastics monomer production inventories, from Meng et al. (2023), DOI 10.1073/pnas.2218294120</v>
          </cell>
          <cell r="K1846" t="str">
            <v xml:space="preserve">Value taken from Reshaping Plastics (2022) model in sheet 'Dynamic_input_output' </v>
          </cell>
          <cell r="L1846" t="str">
            <v>see log sheet</v>
          </cell>
        </row>
        <row r="1847">
          <cell r="A1847" t="str">
            <v>[Meng] Ethylene production via Naphtha electric steam cracking</v>
          </cell>
          <cell r="B1847" t="str">
            <v>ethane</v>
          </cell>
          <cell r="C1847" t="str">
            <v>from technosphere (material)</v>
          </cell>
          <cell r="D1847"/>
          <cell r="E1847" t="str">
            <v>Mass</v>
          </cell>
          <cell r="F1847">
            <v>0</v>
          </cell>
          <cell r="G1847" t="str">
            <v>tonne</v>
          </cell>
          <cell r="H1847">
            <v>1</v>
          </cell>
          <cell r="I1847" t="str">
            <v>none</v>
          </cell>
          <cell r="J1847" t="str">
            <v>plastics monomer production inventories, from Meng et al. (2023), DOI 10.1073/pnas.2218294120</v>
          </cell>
          <cell r="K1847" t="str">
            <v xml:space="preserve">Value taken from Reshaping Plastics (2022) model in sheet 'Dynamic_input_output' </v>
          </cell>
          <cell r="L1847" t="str">
            <v>see log sheet</v>
          </cell>
        </row>
        <row r="1848">
          <cell r="A1848" t="str">
            <v>[Meng] Ethylene production via Naphtha electric steam cracking</v>
          </cell>
          <cell r="B1848" t="str">
            <v>propane</v>
          </cell>
          <cell r="C1848" t="str">
            <v>from technosphere (material)</v>
          </cell>
          <cell r="D1848"/>
          <cell r="E1848" t="str">
            <v>Mass</v>
          </cell>
          <cell r="F1848">
            <v>2.4696355999999999E-2</v>
          </cell>
          <cell r="G1848" t="str">
            <v>tonne</v>
          </cell>
          <cell r="H1848">
            <v>1</v>
          </cell>
          <cell r="I1848" t="str">
            <v>none</v>
          </cell>
          <cell r="J1848" t="str">
            <v>plastics monomer production inventories, from Meng et al. (2023), DOI 10.1073/pnas.2218294120</v>
          </cell>
          <cell r="K1848" t="str">
            <v xml:space="preserve">Value taken from Reshaping Plastics (2022) model in sheet 'Dynamic_input_output' </v>
          </cell>
          <cell r="L1848" t="str">
            <v>see log sheet</v>
          </cell>
        </row>
        <row r="1849">
          <cell r="A1849" t="str">
            <v>[Meng] Ethylene production via Naphtha electric steam cracking</v>
          </cell>
          <cell r="B1849" t="str">
            <v>electricity</v>
          </cell>
          <cell r="C1849" t="str">
            <v>from technosphere (energy_carrier)</v>
          </cell>
          <cell r="D1849"/>
          <cell r="E1849" t="str">
            <v>Energy</v>
          </cell>
          <cell r="F1849">
            <v>8.1201133599999995</v>
          </cell>
          <cell r="G1849" t="str">
            <v>GJ</v>
          </cell>
          <cell r="H1849">
            <v>1</v>
          </cell>
          <cell r="I1849" t="str">
            <v>none</v>
          </cell>
          <cell r="J1849" t="str">
            <v>plastics monomer production inventories, from Meng et al. (2023), DOI 10.1073/pnas.2218294120</v>
          </cell>
          <cell r="K1849" t="str">
            <v>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v>
          </cell>
          <cell r="L1849" t="str">
            <v>see log sheet</v>
          </cell>
        </row>
        <row r="1850">
          <cell r="A1850" t="str">
            <v>[Meng] Ethylene production via Naphtha electric steam cracking + by-product upgrade</v>
          </cell>
          <cell r="B1850" t="str">
            <v>ethylene</v>
          </cell>
          <cell r="C1850" t="str">
            <v>reference_product</v>
          </cell>
          <cell r="D1850">
            <v>271114</v>
          </cell>
          <cell r="E1850" t="str">
            <v>Mass</v>
          </cell>
          <cell r="F1850">
            <v>1</v>
          </cell>
          <cell r="G1850" t="str">
            <v>tonne</v>
          </cell>
          <cell r="H1850">
            <v>1</v>
          </cell>
          <cell r="I1850" t="str">
            <v>none</v>
          </cell>
          <cell r="J1850"/>
          <cell r="K1850"/>
          <cell r="L1850"/>
        </row>
        <row r="1851">
          <cell r="A1851" t="str">
            <v>[Meng] Ethylene production via Naphtha electric steam cracking + by-product upgrade</v>
          </cell>
          <cell r="B1851" t="str">
            <v>naphtha</v>
          </cell>
          <cell r="C1851" t="str">
            <v>from technosphere (material)</v>
          </cell>
          <cell r="D1851"/>
          <cell r="E1851" t="str">
            <v>Mass</v>
          </cell>
          <cell r="F1851">
            <v>0.84939271299999997</v>
          </cell>
          <cell r="G1851" t="str">
            <v>tonne</v>
          </cell>
          <cell r="H1851">
            <v>1</v>
          </cell>
          <cell r="I1851" t="str">
            <v>none</v>
          </cell>
          <cell r="J1851" t="str">
            <v>plastics monomer production inventories, from Meng et al. (2023), DOI 10.1073/pnas.2218294120</v>
          </cell>
          <cell r="K1851" t="str">
            <v xml:space="preserve">Value taken from Reshaping Plastics (2022) model in sheet 'Dynamic_input_output' </v>
          </cell>
          <cell r="L1851" t="str">
            <v>see log sheet</v>
          </cell>
        </row>
        <row r="1852">
          <cell r="A1852" t="str">
            <v>[Meng] Ethylene production via Naphtha electric steam cracking + by-product upgrade</v>
          </cell>
          <cell r="B1852" t="str">
            <v>ethane</v>
          </cell>
          <cell r="C1852" t="str">
            <v>from technosphere (material)</v>
          </cell>
          <cell r="D1852"/>
          <cell r="E1852" t="str">
            <v>Mass</v>
          </cell>
          <cell r="F1852">
            <v>0</v>
          </cell>
          <cell r="G1852" t="str">
            <v>tonne</v>
          </cell>
          <cell r="H1852">
            <v>1</v>
          </cell>
          <cell r="I1852" t="str">
            <v>none</v>
          </cell>
          <cell r="J1852" t="str">
            <v>plastics monomer production inventories, from Meng et al. (2023), DOI 10.1073/pnas.2218294120</v>
          </cell>
          <cell r="K1852" t="str">
            <v xml:space="preserve">Value taken from Reshaping Plastics (2022) model in sheet 'Dynamic_input_output' </v>
          </cell>
          <cell r="L1852" t="str">
            <v>see log sheet</v>
          </cell>
        </row>
        <row r="1853">
          <cell r="A1853" t="str">
            <v>[Meng] Ethylene production via Naphtha electric steam cracking + by-product upgrade</v>
          </cell>
          <cell r="B1853" t="str">
            <v>propane</v>
          </cell>
          <cell r="C1853" t="str">
            <v>from technosphere (material)</v>
          </cell>
          <cell r="D1853"/>
          <cell r="E1853" t="str">
            <v>Mass</v>
          </cell>
          <cell r="F1853">
            <v>2.1052632000000002E-2</v>
          </cell>
          <cell r="G1853" t="str">
            <v>tonne</v>
          </cell>
          <cell r="H1853">
            <v>1</v>
          </cell>
          <cell r="I1853" t="str">
            <v>none</v>
          </cell>
          <cell r="J1853" t="str">
            <v>plastics monomer production inventories, from Meng et al. (2023), DOI 10.1073/pnas.2218294120</v>
          </cell>
          <cell r="K1853" t="str">
            <v xml:space="preserve">Value taken from Reshaping Plastics (2022) model in sheet 'Dynamic_input_output' </v>
          </cell>
          <cell r="L1853" t="str">
            <v>see log sheet</v>
          </cell>
        </row>
        <row r="1854">
          <cell r="A1854" t="str">
            <v>[Meng] Ethylene production via Naphtha electric steam cracking + by-product upgrade</v>
          </cell>
          <cell r="B1854" t="str">
            <v>oxygen</v>
          </cell>
          <cell r="C1854" t="str">
            <v>from technosphere (material)</v>
          </cell>
          <cell r="D1854"/>
          <cell r="E1854" t="str">
            <v>Mass</v>
          </cell>
          <cell r="F1854">
            <v>6.4777327999999995E-2</v>
          </cell>
          <cell r="G1854" t="str">
            <v>tonne</v>
          </cell>
          <cell r="H1854">
            <v>1</v>
          </cell>
          <cell r="I1854" t="str">
            <v>none</v>
          </cell>
          <cell r="J1854" t="str">
            <v>plastics monomer production inventories, from Meng et al. (2023), DOI 10.1073/pnas.2218294120</v>
          </cell>
          <cell r="K1854" t="str">
            <v xml:space="preserve">Value taken from Reshaping Plastics (2022) model in sheet 'Dynamic_input_output' </v>
          </cell>
          <cell r="L1854" t="str">
            <v>see log sheet</v>
          </cell>
        </row>
        <row r="1855">
          <cell r="A1855" t="str">
            <v>[Meng] Ethylene production via Naphtha electric steam cracking + by-product upgrade</v>
          </cell>
          <cell r="B1855" t="str">
            <v>electricity</v>
          </cell>
          <cell r="C1855" t="str">
            <v>from technosphere (energy_carrier)</v>
          </cell>
          <cell r="D1855"/>
          <cell r="E1855" t="str">
            <v>Energy</v>
          </cell>
          <cell r="F1855">
            <v>8.1201133599999995</v>
          </cell>
          <cell r="G1855" t="str">
            <v>GJ</v>
          </cell>
          <cell r="H1855">
            <v>1</v>
          </cell>
          <cell r="I1855" t="str">
            <v>none</v>
          </cell>
          <cell r="J1855" t="str">
            <v>plastics monomer production inventories, from Meng et al. (2023), DOI 10.1073/pnas.2218294120</v>
          </cell>
          <cell r="K1855" t="str">
            <v>Same as naphtha electric steam cracking business case</v>
          </cell>
          <cell r="L1855" t="str">
            <v>see log sheet</v>
          </cell>
        </row>
        <row r="1856">
          <cell r="A1856" t="str">
            <v>[Meng] Ethylene production via Naphtha electric steam cracking + by-product upgrade</v>
          </cell>
          <cell r="B1856" t="str">
            <v>electricity</v>
          </cell>
          <cell r="C1856" t="str">
            <v>from technosphere (energy_carrier)</v>
          </cell>
          <cell r="D1856"/>
          <cell r="E1856" t="str">
            <v>Energy</v>
          </cell>
          <cell r="F1856">
            <v>1.5591093119999999</v>
          </cell>
          <cell r="G1856" t="str">
            <v>GJ</v>
          </cell>
          <cell r="H1856">
            <v>1</v>
          </cell>
          <cell r="I1856" t="str">
            <v>none</v>
          </cell>
          <cell r="J1856" t="str">
            <v>plastics monomer production inventories, from Meng et al. (2023), DOI 10.1073/pnas.2218294120</v>
          </cell>
          <cell r="K1856"/>
          <cell r="L1856" t="str">
            <v>see log sheet</v>
          </cell>
        </row>
        <row r="1857">
          <cell r="A1857" t="str">
            <v>[Meng] Ethylene production via Naphtha electric steam cracking + by-product upgrade</v>
          </cell>
          <cell r="B1857" t="str">
            <v>electricity</v>
          </cell>
          <cell r="C1857" t="str">
            <v>from technosphere (energy_carrier)</v>
          </cell>
          <cell r="D1857"/>
          <cell r="E1857" t="str">
            <v>Energy</v>
          </cell>
          <cell r="F1857">
            <v>9.6792226719999999</v>
          </cell>
          <cell r="G1857" t="str">
            <v>GJ</v>
          </cell>
          <cell r="H1857">
            <v>1</v>
          </cell>
          <cell r="I1857" t="str">
            <v>none</v>
          </cell>
          <cell r="J1857" t="str">
            <v>plastics monomer production inventories, from Meng et al. (2023), DOI 10.1073/pnas.2218294120</v>
          </cell>
          <cell r="K1857"/>
          <cell r="L1857" t="str">
            <v>see log sheet</v>
          </cell>
        </row>
        <row r="1858">
          <cell r="A1858" t="str">
            <v>[Meng] Ethylene production via Naphtha electric steam cracking + by-product upgrade</v>
          </cell>
          <cell r="B1858" t="str">
            <v>hydrogen</v>
          </cell>
          <cell r="C1858" t="str">
            <v>from technosphere (material)</v>
          </cell>
          <cell r="D1858"/>
          <cell r="E1858" t="str">
            <v>Mass</v>
          </cell>
          <cell r="F1858">
            <v>1.9190282999999999E-2</v>
          </cell>
          <cell r="G1858" t="str">
            <v>tonne</v>
          </cell>
          <cell r="H1858">
            <v>1</v>
          </cell>
          <cell r="I1858" t="str">
            <v>none</v>
          </cell>
          <cell r="J1858" t="str">
            <v>plastics monomer production inventories, from Meng et al. (2023), DOI 10.1073/pnas.2218294120</v>
          </cell>
          <cell r="K1858" t="str">
            <v>To rebalance the C:H ratio for synthesising methanol</v>
          </cell>
          <cell r="L1858" t="str">
            <v>see log sheet</v>
          </cell>
        </row>
        <row r="1859">
          <cell r="A1859" t="str">
            <v>[Meng] Ethylene production via Naphtha H2 steam cracking</v>
          </cell>
          <cell r="B1859" t="str">
            <v>ethylene</v>
          </cell>
          <cell r="C1859" t="str">
            <v>reference_product</v>
          </cell>
          <cell r="D1859">
            <v>271114</v>
          </cell>
          <cell r="E1859" t="str">
            <v>Mass</v>
          </cell>
          <cell r="F1859">
            <v>1</v>
          </cell>
          <cell r="G1859" t="str">
            <v>tonne</v>
          </cell>
          <cell r="H1859">
            <v>1</v>
          </cell>
          <cell r="I1859" t="str">
            <v>none</v>
          </cell>
          <cell r="J1859"/>
          <cell r="K1859"/>
          <cell r="L1859"/>
        </row>
        <row r="1860">
          <cell r="A1860" t="str">
            <v>[Meng] Ethylene production via Naphtha H2 steam cracking</v>
          </cell>
          <cell r="B1860" t="str">
            <v>naphtha</v>
          </cell>
          <cell r="C1860" t="str">
            <v>from technosphere (material)</v>
          </cell>
          <cell r="D1860"/>
          <cell r="E1860" t="str">
            <v>Mass</v>
          </cell>
          <cell r="F1860">
            <v>0.98744939300000001</v>
          </cell>
          <cell r="G1860" t="str">
            <v>tonne</v>
          </cell>
          <cell r="H1860">
            <v>1</v>
          </cell>
          <cell r="I1860" t="str">
            <v>none</v>
          </cell>
          <cell r="J1860" t="str">
            <v>plastics monomer production inventories, from Meng et al. (2023), DOI 10.1073/pnas.2218294120</v>
          </cell>
          <cell r="K1860" t="str">
            <v xml:space="preserve">Value taken from Reshaping Plastics (2022) model in sheet 'Dynamic_input_output' </v>
          </cell>
          <cell r="L1860" t="str">
            <v>see log sheet</v>
          </cell>
        </row>
        <row r="1861">
          <cell r="A1861" t="str">
            <v>[Meng] Ethylene production via Naphtha H2 steam cracking</v>
          </cell>
          <cell r="B1861" t="str">
            <v>ethane</v>
          </cell>
          <cell r="C1861" t="str">
            <v>from technosphere (material)</v>
          </cell>
          <cell r="D1861"/>
          <cell r="E1861" t="str">
            <v>Mass</v>
          </cell>
          <cell r="F1861">
            <v>0</v>
          </cell>
          <cell r="G1861" t="str">
            <v>tonne</v>
          </cell>
          <cell r="H1861">
            <v>1</v>
          </cell>
          <cell r="I1861" t="str">
            <v>none</v>
          </cell>
          <cell r="J1861" t="str">
            <v>plastics monomer production inventories, from Meng et al. (2023), DOI 10.1073/pnas.2218294120</v>
          </cell>
          <cell r="K1861" t="str">
            <v xml:space="preserve">Value taken from Reshaping Plastics (2022) model in sheet 'Dynamic_input_output' </v>
          </cell>
          <cell r="L1861" t="str">
            <v>see log sheet</v>
          </cell>
        </row>
        <row r="1862">
          <cell r="A1862" t="str">
            <v>[Meng] Ethylene production via Naphtha H2 steam cracking</v>
          </cell>
          <cell r="B1862" t="str">
            <v>propane</v>
          </cell>
          <cell r="C1862" t="str">
            <v>from technosphere (material)</v>
          </cell>
          <cell r="D1862"/>
          <cell r="E1862" t="str">
            <v>Mass</v>
          </cell>
          <cell r="F1862">
            <v>2.4696355999999999E-2</v>
          </cell>
          <cell r="G1862" t="str">
            <v>tonne</v>
          </cell>
          <cell r="H1862">
            <v>1</v>
          </cell>
          <cell r="I1862" t="str">
            <v>none</v>
          </cell>
          <cell r="J1862" t="str">
            <v>plastics monomer production inventories, from Meng et al. (2023), DOI 10.1073/pnas.2218294120</v>
          </cell>
          <cell r="K1862" t="str">
            <v xml:space="preserve">Value taken from Reshaping Plastics (2022) model in sheet 'Dynamic_input_output' </v>
          </cell>
          <cell r="L1862" t="str">
            <v>see log sheet</v>
          </cell>
        </row>
        <row r="1863">
          <cell r="A1863" t="str">
            <v>[Meng] Ethylene production via Naphtha H2 steam cracking</v>
          </cell>
          <cell r="B1863" t="str">
            <v>hydrogen</v>
          </cell>
          <cell r="C1863" t="str">
            <v>from technosphere (material)</v>
          </cell>
          <cell r="D1863"/>
          <cell r="E1863" t="str">
            <v>Mass</v>
          </cell>
          <cell r="F1863">
            <v>7.3886640000000003E-2</v>
          </cell>
          <cell r="G1863" t="str">
            <v>tonne</v>
          </cell>
          <cell r="H1863">
            <v>1</v>
          </cell>
          <cell r="I1863" t="str">
            <v>none</v>
          </cell>
          <cell r="J1863" t="str">
            <v>plastics monomer production inventories, from Meng et al. (2023), DOI 10.1073/pnas.2218294120</v>
          </cell>
          <cell r="K1863" t="str">
            <v xml:space="preserve">Value taken from Reshaping Plastics (2022) model in sheet 'Dynamic_input_output' </v>
          </cell>
          <cell r="L1863" t="str">
            <v>see log sheet</v>
          </cell>
        </row>
        <row r="1864">
          <cell r="A1864" t="str">
            <v>[Meng] Ethylene production via Naphtha H2 steam cracking</v>
          </cell>
          <cell r="B1864" t="str">
            <v>electricity</v>
          </cell>
          <cell r="C1864" t="str">
            <v>from technosphere (energy_carrier)</v>
          </cell>
          <cell r="D1864"/>
          <cell r="E1864" t="str">
            <v>Energy</v>
          </cell>
          <cell r="F1864">
            <v>1.0253441299999999</v>
          </cell>
          <cell r="G1864" t="str">
            <v>GJ</v>
          </cell>
          <cell r="H1864">
            <v>1</v>
          </cell>
          <cell r="I1864" t="str">
            <v>none</v>
          </cell>
          <cell r="J1864" t="str">
            <v>plastics monomer production inventories, from Meng et al. (2023), DOI 10.1073/pnas.2218294120</v>
          </cell>
          <cell r="K1864" t="str">
            <v xml:space="preserve">Value taken from Reshaping Plastics (2022) model in sheet 'Dynamic_input_output' </v>
          </cell>
          <cell r="L1864" t="str">
            <v>see log sheet</v>
          </cell>
        </row>
        <row r="1865">
          <cell r="A1865" t="str">
            <v>[Meng] Ethylene production via Naphtha H2 steam cracking + by-product upgrade</v>
          </cell>
          <cell r="B1865" t="str">
            <v>ethylene</v>
          </cell>
          <cell r="C1865" t="str">
            <v>reference_product</v>
          </cell>
          <cell r="D1865">
            <v>271114</v>
          </cell>
          <cell r="E1865" t="str">
            <v>Mass</v>
          </cell>
          <cell r="F1865">
            <v>1</v>
          </cell>
          <cell r="G1865" t="str">
            <v>tonne</v>
          </cell>
          <cell r="H1865">
            <v>1</v>
          </cell>
          <cell r="I1865" t="str">
            <v>none</v>
          </cell>
          <cell r="J1865"/>
          <cell r="K1865"/>
          <cell r="L1865"/>
        </row>
        <row r="1866">
          <cell r="A1866" t="str">
            <v>[Meng] Ethylene production via Naphtha H2 steam cracking + by-product upgrade</v>
          </cell>
          <cell r="B1866" t="str">
            <v>naphtha</v>
          </cell>
          <cell r="C1866" t="str">
            <v>from technosphere (material)</v>
          </cell>
          <cell r="D1866"/>
          <cell r="E1866" t="str">
            <v>Mass</v>
          </cell>
          <cell r="F1866">
            <v>0.84939271299999997</v>
          </cell>
          <cell r="G1866" t="str">
            <v>tonne</v>
          </cell>
          <cell r="H1866">
            <v>1</v>
          </cell>
          <cell r="I1866" t="str">
            <v>none</v>
          </cell>
          <cell r="J1866" t="str">
            <v>plastics monomer production inventories, from Meng et al. (2023), DOI 10.1073/pnas.2218294120</v>
          </cell>
          <cell r="K1866" t="str">
            <v xml:space="preserve">Value taken from Reshaping Plastics (2022) model in sheet 'Dynamic_input_output' </v>
          </cell>
          <cell r="L1866" t="str">
            <v>see log sheet</v>
          </cell>
        </row>
        <row r="1867">
          <cell r="A1867" t="str">
            <v>[Meng] Ethylene production via Naphtha H2 steam cracking + by-product upgrade</v>
          </cell>
          <cell r="B1867" t="str">
            <v>ethane</v>
          </cell>
          <cell r="C1867" t="str">
            <v>from technosphere (material)</v>
          </cell>
          <cell r="D1867"/>
          <cell r="E1867" t="str">
            <v>Mass</v>
          </cell>
          <cell r="F1867">
            <v>0</v>
          </cell>
          <cell r="G1867" t="str">
            <v>tonne</v>
          </cell>
          <cell r="H1867">
            <v>1</v>
          </cell>
          <cell r="I1867" t="str">
            <v>none</v>
          </cell>
          <cell r="J1867" t="str">
            <v>plastics monomer production inventories, from Meng et al. (2023), DOI 10.1073/pnas.2218294120</v>
          </cell>
          <cell r="K1867" t="str">
            <v xml:space="preserve">Value taken from Reshaping Plastics (2022) model in sheet 'Dynamic_input_output' </v>
          </cell>
          <cell r="L1867" t="str">
            <v>see log sheet</v>
          </cell>
        </row>
        <row r="1868">
          <cell r="A1868" t="str">
            <v>[Meng] Ethylene production via Naphtha H2 steam cracking + by-product upgrade</v>
          </cell>
          <cell r="B1868" t="str">
            <v>propane</v>
          </cell>
          <cell r="C1868" t="str">
            <v>from technosphere (material)</v>
          </cell>
          <cell r="D1868"/>
          <cell r="E1868" t="str">
            <v>Mass</v>
          </cell>
          <cell r="F1868">
            <v>2.1052632000000002E-2</v>
          </cell>
          <cell r="G1868" t="str">
            <v>tonne</v>
          </cell>
          <cell r="H1868">
            <v>1</v>
          </cell>
          <cell r="I1868" t="str">
            <v>none</v>
          </cell>
          <cell r="J1868" t="str">
            <v>plastics monomer production inventories, from Meng et al. (2023), DOI 10.1073/pnas.2218294120</v>
          </cell>
          <cell r="K1868" t="str">
            <v xml:space="preserve">Value taken from Reshaping Plastics (2022) model in sheet 'Dynamic_input_output' </v>
          </cell>
          <cell r="L1868" t="str">
            <v>see log sheet</v>
          </cell>
        </row>
        <row r="1869">
          <cell r="A1869" t="str">
            <v>[Meng] Ethylene production via Naphtha H2 steam cracking + by-product upgrade</v>
          </cell>
          <cell r="B1869" t="str">
            <v>oxygen</v>
          </cell>
          <cell r="C1869" t="str">
            <v>from technosphere (material)</v>
          </cell>
          <cell r="D1869"/>
          <cell r="E1869" t="str">
            <v>Mass</v>
          </cell>
          <cell r="F1869">
            <v>6.4736842000000003E-2</v>
          </cell>
          <cell r="G1869" t="str">
            <v>tonne</v>
          </cell>
          <cell r="H1869">
            <v>1</v>
          </cell>
          <cell r="I1869" t="str">
            <v>none</v>
          </cell>
          <cell r="J1869" t="str">
            <v>plastics monomer production inventories, from Meng et al. (2023), DOI 10.1073/pnas.2218294120</v>
          </cell>
          <cell r="K1869" t="str">
            <v xml:space="preserve">Value taken from Reshaping Plastics (2022) model in sheet 'Dynamic_input_output' </v>
          </cell>
          <cell r="L1869" t="str">
            <v>see log sheet</v>
          </cell>
        </row>
        <row r="1870">
          <cell r="A1870" t="str">
            <v>[Meng] Ethylene production via Naphtha H2 steam cracking + by-product upgrade</v>
          </cell>
          <cell r="B1870" t="str">
            <v>hydrogen</v>
          </cell>
          <cell r="C1870" t="str">
            <v>from technosphere (material)</v>
          </cell>
          <cell r="D1870"/>
          <cell r="E1870" t="str">
            <v>Mass</v>
          </cell>
          <cell r="F1870">
            <v>6.4736842000000003E-2</v>
          </cell>
          <cell r="G1870" t="str">
            <v>tonne</v>
          </cell>
          <cell r="H1870">
            <v>1</v>
          </cell>
          <cell r="I1870" t="str">
            <v>none</v>
          </cell>
          <cell r="J1870" t="str">
            <v>plastics monomer production inventories, from Meng et al. (2023), DOI 10.1073/pnas.2218294120</v>
          </cell>
          <cell r="K1870" t="str">
            <v xml:space="preserve">Value taken from Reshaping Plastics (2022) model in sheet 'Dynamic_input_output' </v>
          </cell>
          <cell r="L1870" t="str">
            <v>see log sheet</v>
          </cell>
        </row>
        <row r="1871">
          <cell r="A1871" t="str">
            <v>[Meng] Ethylene production via Naphtha H2 steam cracking + by-product upgrade</v>
          </cell>
          <cell r="B1871" t="str">
            <v>electricity</v>
          </cell>
          <cell r="C1871" t="str">
            <v>from technosphere (energy_carrier)</v>
          </cell>
          <cell r="D1871"/>
          <cell r="E1871" t="str">
            <v>Energy</v>
          </cell>
          <cell r="F1871">
            <v>1.0253441299999999</v>
          </cell>
          <cell r="G1871" t="str">
            <v>GJ</v>
          </cell>
          <cell r="H1871">
            <v>1</v>
          </cell>
          <cell r="I1871" t="str">
            <v>none</v>
          </cell>
          <cell r="J1871" t="str">
            <v>plastics monomer production inventories, from Meng et al. (2023), DOI 10.1073/pnas.2218294120</v>
          </cell>
          <cell r="K1871" t="str">
            <v>Same as naphtha H2 steam cracking business case</v>
          </cell>
          <cell r="L1871" t="str">
            <v>see log sheet</v>
          </cell>
        </row>
        <row r="1872">
          <cell r="A1872" t="str">
            <v>[Meng] Ethylene production via Naphtha H2 steam cracking + by-product upgrade</v>
          </cell>
          <cell r="B1872" t="str">
            <v>electricity</v>
          </cell>
          <cell r="C1872" t="str">
            <v>from technosphere (energy_carrier)</v>
          </cell>
          <cell r="D1872"/>
          <cell r="E1872" t="str">
            <v>Energy</v>
          </cell>
          <cell r="F1872">
            <v>1.5591093119999999</v>
          </cell>
          <cell r="G1872" t="str">
            <v>GJ</v>
          </cell>
          <cell r="H1872">
            <v>1</v>
          </cell>
          <cell r="I1872" t="str">
            <v>none</v>
          </cell>
          <cell r="J1872" t="str">
            <v>plastics monomer production inventories, from Meng et al. (2023), DOI 10.1073/pnas.2218294120</v>
          </cell>
          <cell r="K1872"/>
          <cell r="L1872" t="str">
            <v>see log sheet</v>
          </cell>
        </row>
        <row r="1873">
          <cell r="A1873" t="str">
            <v>[Meng] Ethylene production via Naphtha H2 steam cracking + by-product upgrade</v>
          </cell>
          <cell r="B1873" t="str">
            <v>electricity</v>
          </cell>
          <cell r="C1873" t="str">
            <v>from technosphere (energy_carrier)</v>
          </cell>
          <cell r="D1873"/>
          <cell r="E1873" t="str">
            <v>Energy</v>
          </cell>
          <cell r="F1873">
            <v>2.584453441</v>
          </cell>
          <cell r="G1873" t="str">
            <v>GJ</v>
          </cell>
          <cell r="H1873">
            <v>1</v>
          </cell>
          <cell r="I1873" t="str">
            <v>none</v>
          </cell>
          <cell r="J1873" t="str">
            <v>plastics monomer production inventories, from Meng et al. (2023), DOI 10.1073/pnas.2218294120</v>
          </cell>
          <cell r="K1873"/>
          <cell r="L1873" t="str">
            <v>see log sheet</v>
          </cell>
        </row>
        <row r="1874">
          <cell r="A1874" t="str">
            <v>[Meng] Ethylene production via Naphtha H2 steam cracking + by-product upgrade</v>
          </cell>
          <cell r="B1874" t="str">
            <v>hydrogen</v>
          </cell>
          <cell r="C1874" t="str">
            <v>from technosphere (material)</v>
          </cell>
          <cell r="D1874"/>
          <cell r="E1874" t="str">
            <v>Mass</v>
          </cell>
          <cell r="F1874">
            <v>1.9190282999999999E-2</v>
          </cell>
          <cell r="G1874" t="str">
            <v>tonne</v>
          </cell>
          <cell r="H1874">
            <v>1</v>
          </cell>
          <cell r="I1874" t="str">
            <v>none</v>
          </cell>
          <cell r="J1874" t="str">
            <v>plastics monomer production inventories, from Meng et al. (2023), DOI 10.1073/pnas.2218294120</v>
          </cell>
          <cell r="K1874"/>
          <cell r="L1874" t="str">
            <v>see log sheet</v>
          </cell>
        </row>
        <row r="1875">
          <cell r="A1875" t="str">
            <v>[Meng] Ethylene production via Naphtha steam cracking</v>
          </cell>
          <cell r="B1875" t="str">
            <v>ethylene</v>
          </cell>
          <cell r="C1875" t="str">
            <v>reference_product</v>
          </cell>
          <cell r="D1875">
            <v>271114</v>
          </cell>
          <cell r="E1875" t="str">
            <v>Mass</v>
          </cell>
          <cell r="F1875">
            <v>1</v>
          </cell>
          <cell r="G1875" t="str">
            <v>tonne</v>
          </cell>
          <cell r="H1875">
            <v>1</v>
          </cell>
          <cell r="I1875" t="str">
            <v>none</v>
          </cell>
          <cell r="J1875"/>
          <cell r="K1875"/>
          <cell r="L1875"/>
        </row>
        <row r="1876">
          <cell r="A1876" t="str">
            <v>[Meng] Ethylene production via Naphtha steam cracking</v>
          </cell>
          <cell r="B1876" t="str">
            <v>naphtha</v>
          </cell>
          <cell r="C1876" t="str">
            <v>from technosphere (material)</v>
          </cell>
          <cell r="D1876"/>
          <cell r="E1876" t="str">
            <v>Mass</v>
          </cell>
          <cell r="F1876">
            <v>0.98744939300000001</v>
          </cell>
          <cell r="G1876" t="str">
            <v>tonne</v>
          </cell>
          <cell r="H1876">
            <v>1</v>
          </cell>
          <cell r="I1876" t="str">
            <v>none</v>
          </cell>
          <cell r="J1876" t="str">
            <v>plastics monomer production inventories, from Meng et al. (2023), DOI 10.1073/pnas.2218294120</v>
          </cell>
          <cell r="K1876" t="str">
            <v xml:space="preserve">Value taken from Reshaping Plastics (2022) model in sheet 'Dynamic_input_output' . The share of feedstocks are used that are given for EU15+Norway. </v>
          </cell>
          <cell r="L1876" t="str">
            <v>see log sheet</v>
          </cell>
        </row>
        <row r="1877">
          <cell r="A1877" t="str">
            <v>[Meng] Ethylene production via Naphtha steam cracking</v>
          </cell>
          <cell r="B1877" t="str">
            <v>ethane</v>
          </cell>
          <cell r="C1877" t="str">
            <v>from technosphere (material)</v>
          </cell>
          <cell r="D1877"/>
          <cell r="E1877" t="str">
            <v>Mass</v>
          </cell>
          <cell r="F1877">
            <v>0</v>
          </cell>
          <cell r="G1877" t="str">
            <v>tonne</v>
          </cell>
          <cell r="H1877">
            <v>1</v>
          </cell>
          <cell r="I1877" t="str">
            <v>none</v>
          </cell>
          <cell r="J1877" t="str">
            <v>plastics monomer production inventories, from Meng et al. (2023), DOI 10.1073/pnas.2218294120</v>
          </cell>
          <cell r="K1877" t="str">
            <v xml:space="preserve">Value taken from Reshaping Plastics (2022) model in sheet 'Dynamic_input_output' </v>
          </cell>
          <cell r="L1877" t="str">
            <v>see log sheet</v>
          </cell>
        </row>
        <row r="1878">
          <cell r="A1878" t="str">
            <v>[Meng] Ethylene production via Naphtha steam cracking</v>
          </cell>
          <cell r="B1878" t="str">
            <v>propane</v>
          </cell>
          <cell r="C1878" t="str">
            <v>from technosphere (material)</v>
          </cell>
          <cell r="D1878"/>
          <cell r="E1878" t="str">
            <v>Mass</v>
          </cell>
          <cell r="F1878">
            <v>2.4696355999999999E-2</v>
          </cell>
          <cell r="G1878" t="str">
            <v>tonne</v>
          </cell>
          <cell r="H1878">
            <v>1</v>
          </cell>
          <cell r="I1878" t="str">
            <v>none</v>
          </cell>
          <cell r="J1878" t="str">
            <v>plastics monomer production inventories, from Meng et al. (2023), DOI 10.1073/pnas.2218294120</v>
          </cell>
          <cell r="K1878" t="str">
            <v xml:space="preserve">Value taken from Reshaping Plastics (2022) model in sheet 'Dynamic_input_output' </v>
          </cell>
          <cell r="L1878" t="str">
            <v>see log sheet</v>
          </cell>
        </row>
        <row r="1879">
          <cell r="A1879" t="str">
            <v>[Meng] Ethylene production via Naphtha steam cracking</v>
          </cell>
          <cell r="B1879" t="str">
            <v>off-gases</v>
          </cell>
          <cell r="C1879" t="str">
            <v>from technosphere (energy_carrier)</v>
          </cell>
          <cell r="D1879"/>
          <cell r="E1879" t="str">
            <v>Energy</v>
          </cell>
          <cell r="F1879">
            <v>8.8684184530000003</v>
          </cell>
          <cell r="G1879" t="str">
            <v>GJ</v>
          </cell>
          <cell r="H1879">
            <v>1</v>
          </cell>
          <cell r="I1879" t="str">
            <v>none</v>
          </cell>
          <cell r="J1879" t="str">
            <v>plastics monomer production inventories, from Meng et al. (2023), DOI 10.1073/pnas.2218294120</v>
          </cell>
          <cell r="K1879" t="str">
            <v xml:space="preserve">Value taken from Reshaping Plastics (2022) model in sheet 'Dynamic_input_output' . Off-gases are used as fuel for the process. </v>
          </cell>
          <cell r="L1879" t="str">
            <v>see log sheet</v>
          </cell>
        </row>
        <row r="1880">
          <cell r="A1880" t="str">
            <v>[Meng] Ethylene production via Naphtha steam cracking</v>
          </cell>
          <cell r="B1880" t="str">
            <v>electricity</v>
          </cell>
          <cell r="C1880" t="str">
            <v>from technosphere (energy_carrier)</v>
          </cell>
          <cell r="D1880"/>
          <cell r="E1880" t="str">
            <v>Energy</v>
          </cell>
          <cell r="F1880">
            <v>1.0253441299999999</v>
          </cell>
          <cell r="G1880" t="str">
            <v>GJ</v>
          </cell>
          <cell r="H1880">
            <v>1</v>
          </cell>
          <cell r="I1880" t="str">
            <v>none</v>
          </cell>
          <cell r="J1880" t="str">
            <v>plastics monomer production inventories, from Meng et al. (2023), DOI 10.1073/pnas.2218294120</v>
          </cell>
          <cell r="K1880" t="str">
            <v>Value taken from Reshaping Plastics (2022) model in sheet 'Dynamic_input_output' . The value was given in kWh, so a conversion factor is used to convert to the unit GJ.</v>
          </cell>
          <cell r="L1880" t="str">
            <v>see log sheet</v>
          </cell>
        </row>
        <row r="1881">
          <cell r="A1881" t="str">
            <v>[Meng] Ethylene production via Naphtha steam cracking</v>
          </cell>
          <cell r="B1881" t="str">
            <v>carbon dioxide</v>
          </cell>
          <cell r="C1881" t="str">
            <v>to environment (emission, direct)</v>
          </cell>
          <cell r="D1881"/>
          <cell r="E1881" t="str">
            <v>Mass</v>
          </cell>
          <cell r="F1881">
            <v>0.59418403600000003</v>
          </cell>
          <cell r="G1881" t="str">
            <v>tonne</v>
          </cell>
          <cell r="H1881">
            <v>1</v>
          </cell>
          <cell r="I1881" t="str">
            <v>none</v>
          </cell>
          <cell r="J1881" t="str">
            <v>adding direct emissions to plastics monomer production inventories, from Meng et al. (2023), DOI 10.1073/pnas.2218294120</v>
          </cell>
          <cell r="K1881" t="str">
            <v>only off-gas-based emissions, assume same carbon content per energy as for natural gas (off-gas has both H2 and olefin (Ethane, butane) content, assume they roughly cancel out in rel. to CO2 per MJ.</v>
          </cell>
          <cell r="L1881" t="str">
            <v>see log sheet</v>
          </cell>
        </row>
        <row r="1882">
          <cell r="A1882" t="str">
            <v>[Meng] Ethylene production via Naphtha steam cracking + by-product upgrade</v>
          </cell>
          <cell r="B1882" t="str">
            <v>ethylene</v>
          </cell>
          <cell r="C1882" t="str">
            <v>reference_product</v>
          </cell>
          <cell r="D1882">
            <v>271114</v>
          </cell>
          <cell r="E1882" t="str">
            <v>Mass</v>
          </cell>
          <cell r="F1882">
            <v>1</v>
          </cell>
          <cell r="G1882" t="str">
            <v>tonne</v>
          </cell>
          <cell r="H1882">
            <v>1</v>
          </cell>
          <cell r="I1882" t="str">
            <v>none</v>
          </cell>
          <cell r="J1882"/>
          <cell r="K1882"/>
          <cell r="L1882"/>
        </row>
        <row r="1883">
          <cell r="A1883" t="str">
            <v>[Meng] Ethylene production via Naphtha steam cracking + by-product upgrade</v>
          </cell>
          <cell r="B1883" t="str">
            <v>off-gases</v>
          </cell>
          <cell r="C1883" t="str">
            <v>from technosphere (energy_carrier)</v>
          </cell>
          <cell r="D1883"/>
          <cell r="E1883" t="str">
            <v>Energy</v>
          </cell>
          <cell r="F1883">
            <v>8.461538462</v>
          </cell>
          <cell r="G1883" t="str">
            <v>GJ</v>
          </cell>
          <cell r="H1883">
            <v>1</v>
          </cell>
          <cell r="I1883" t="str">
            <v>none</v>
          </cell>
          <cell r="J1883" t="str">
            <v>plastics monomer production inventories, from Meng et al. (2023), DOI 10.1073/pnas.2218294120</v>
          </cell>
          <cell r="K1883" t="str">
            <v xml:space="preserve">Value taken from Reshaping Plastics (2022) model in sheet 'Dynamic_input_output' </v>
          </cell>
          <cell r="L1883" t="str">
            <v>see log sheet</v>
          </cell>
        </row>
        <row r="1884">
          <cell r="A1884" t="str">
            <v>[Meng] Ethylene production via Naphtha steam cracking + by-product upgrade</v>
          </cell>
          <cell r="B1884" t="str">
            <v>naphtha</v>
          </cell>
          <cell r="C1884" t="str">
            <v>from technosphere (material)</v>
          </cell>
          <cell r="D1884"/>
          <cell r="E1884" t="str">
            <v>Mass</v>
          </cell>
          <cell r="F1884">
            <v>0.91821862300000001</v>
          </cell>
          <cell r="G1884" t="str">
            <v>tonne</v>
          </cell>
          <cell r="H1884">
            <v>1</v>
          </cell>
          <cell r="I1884" t="str">
            <v>none</v>
          </cell>
          <cell r="J1884" t="str">
            <v>plastics monomer production inventories, from Meng et al. (2023), DOI 10.1073/pnas.2218294120</v>
          </cell>
          <cell r="K1884" t="str">
            <v xml:space="preserve">Value taken from Reshaping Plastics (2022) model in sheet 'Dynamic_input_output' </v>
          </cell>
          <cell r="L1884" t="str">
            <v>see log sheet</v>
          </cell>
        </row>
        <row r="1885">
          <cell r="A1885" t="str">
            <v>[Meng] Ethylene production via Naphtha steam cracking + by-product upgrade</v>
          </cell>
          <cell r="B1885" t="str">
            <v>ethane</v>
          </cell>
          <cell r="C1885" t="str">
            <v>from technosphere (material)</v>
          </cell>
          <cell r="D1885"/>
          <cell r="E1885" t="str">
            <v>Mass</v>
          </cell>
          <cell r="F1885">
            <v>0</v>
          </cell>
          <cell r="G1885" t="str">
            <v>tonne</v>
          </cell>
          <cell r="H1885">
            <v>1</v>
          </cell>
          <cell r="I1885" t="str">
            <v>none</v>
          </cell>
          <cell r="J1885" t="str">
            <v>plastics monomer production inventories, from Meng et al. (2023), DOI 10.1073/pnas.2218294120</v>
          </cell>
          <cell r="K1885" t="str">
            <v xml:space="preserve">Value taken from Reshaping Plastics (2022) model in sheet 'Dynamic_input_output' </v>
          </cell>
          <cell r="L1885" t="str">
            <v>see log sheet</v>
          </cell>
        </row>
        <row r="1886">
          <cell r="A1886" t="str">
            <v>[Meng] Ethylene production via Naphtha steam cracking + by-product upgrade</v>
          </cell>
          <cell r="B1886" t="str">
            <v>propane</v>
          </cell>
          <cell r="C1886" t="str">
            <v>from technosphere (material)</v>
          </cell>
          <cell r="D1886"/>
          <cell r="E1886" t="str">
            <v>Mass</v>
          </cell>
          <cell r="F1886">
            <v>2.3076922999999999E-2</v>
          </cell>
          <cell r="G1886" t="str">
            <v>tonne</v>
          </cell>
          <cell r="H1886">
            <v>1</v>
          </cell>
          <cell r="I1886" t="str">
            <v>none</v>
          </cell>
          <cell r="J1886" t="str">
            <v>plastics monomer production inventories, from Meng et al. (2023), DOI 10.1073/pnas.2218294120</v>
          </cell>
          <cell r="K1886" t="str">
            <v xml:space="preserve">Value taken from Reshaping Plastics (2022) model in sheet 'Dynamic_input_output' </v>
          </cell>
          <cell r="L1886" t="str">
            <v>see log sheet</v>
          </cell>
        </row>
        <row r="1887">
          <cell r="A1887" t="str">
            <v>[Meng] Ethylene production via Naphtha steam cracking + by-product upgrade</v>
          </cell>
          <cell r="B1887" t="str">
            <v>oxygen</v>
          </cell>
          <cell r="C1887" t="str">
            <v>from technosphere (material)</v>
          </cell>
          <cell r="D1887"/>
          <cell r="E1887" t="str">
            <v>Mass</v>
          </cell>
          <cell r="F1887">
            <v>6.4777327999999995E-2</v>
          </cell>
          <cell r="G1887" t="str">
            <v>tonne</v>
          </cell>
          <cell r="H1887">
            <v>1</v>
          </cell>
          <cell r="I1887" t="str">
            <v>none</v>
          </cell>
          <cell r="J1887" t="str">
            <v>plastics monomer production inventories, from Meng et al. (2023), DOI 10.1073/pnas.2218294120</v>
          </cell>
          <cell r="K1887" t="str">
            <v>Value taken from Reshaping Plastics (2022) model in sheet 'Dynamic_input_output' . oxygen is necessary for the byproduct upgrade, as heavy fuels (byproducts) are partially oxidated.</v>
          </cell>
          <cell r="L1887" t="str">
            <v>see log sheet</v>
          </cell>
        </row>
        <row r="1888">
          <cell r="A1888" t="str">
            <v>[Meng] Ethylene production via Naphtha steam cracking + by-product upgrade</v>
          </cell>
          <cell r="B1888" t="str">
            <v>electricity</v>
          </cell>
          <cell r="C1888" t="str">
            <v>from technosphere (energy_carrier)</v>
          </cell>
          <cell r="D1888"/>
          <cell r="E1888" t="str">
            <v>Energy</v>
          </cell>
          <cell r="F1888">
            <v>1.0253441299999999</v>
          </cell>
          <cell r="G1888" t="str">
            <v>GJ</v>
          </cell>
          <cell r="H1888">
            <v>1</v>
          </cell>
          <cell r="I1888" t="str">
            <v>none</v>
          </cell>
          <cell r="J1888" t="str">
            <v>plastics monomer production inventories, from Meng et al. (2023), DOI 10.1073/pnas.2218294120</v>
          </cell>
          <cell r="K1888" t="str">
            <v>Value taken from Reshaping Plastics (2022) model in sheet 'Dynamic_input_output', equal to the electricity use of a conventional Naphtha steam cracker.</v>
          </cell>
          <cell r="L1888" t="str">
            <v>see log sheet</v>
          </cell>
        </row>
        <row r="1889">
          <cell r="A1889" t="str">
            <v>[Meng] Ethylene production via Naphtha steam cracking + by-product upgrade</v>
          </cell>
          <cell r="B1889" t="str">
            <v>electricity</v>
          </cell>
          <cell r="C1889" t="str">
            <v>from technosphere (energy_carrier)</v>
          </cell>
          <cell r="D1889"/>
          <cell r="E1889" t="str">
            <v>Energy</v>
          </cell>
          <cell r="F1889">
            <v>0.44048583000000002</v>
          </cell>
          <cell r="G1889" t="str">
            <v>GJ</v>
          </cell>
          <cell r="H1889">
            <v>1</v>
          </cell>
          <cell r="I1889" t="str">
            <v>none</v>
          </cell>
          <cell r="J1889" t="str">
            <v>plastics monomer production inventories, from Meng et al. (2023), DOI 10.1073/pnas.2218294120</v>
          </cell>
          <cell r="K1889"/>
          <cell r="L1889" t="str">
            <v>see log sheet</v>
          </cell>
        </row>
        <row r="1890">
          <cell r="A1890" t="str">
            <v>[Meng] Ethylene production via Naphtha steam cracking + by-product upgrade</v>
          </cell>
          <cell r="B1890" t="str">
            <v>electricity</v>
          </cell>
          <cell r="C1890" t="str">
            <v>from technosphere (energy_carrier)</v>
          </cell>
          <cell r="D1890"/>
          <cell r="E1890" t="str">
            <v>Energy</v>
          </cell>
          <cell r="F1890">
            <v>1.46582996</v>
          </cell>
          <cell r="G1890" t="str">
            <v>GJ</v>
          </cell>
          <cell r="H1890">
            <v>1</v>
          </cell>
          <cell r="I1890" t="str">
            <v>none</v>
          </cell>
          <cell r="J1890" t="str">
            <v>plastics monomer production inventories, from Meng et al. (2023), DOI 10.1073/pnas.2218294120</v>
          </cell>
          <cell r="K1890" t="str">
            <v>Sum of electricity use of conventional steam cracker and byproduct upgrade 'units'.</v>
          </cell>
          <cell r="L1890" t="str">
            <v>see log sheet</v>
          </cell>
        </row>
        <row r="1891">
          <cell r="A1891" t="str">
            <v>[Meng] Ethylene production via Naphtha steam cracking + by-product upgrade</v>
          </cell>
          <cell r="B1891" t="str">
            <v>carbon dioxide</v>
          </cell>
          <cell r="C1891" t="str">
            <v>to environment (emission, direct)</v>
          </cell>
          <cell r="D1891"/>
          <cell r="E1891" t="str">
            <v>Mass</v>
          </cell>
          <cell r="F1891">
            <v>2.9512551000000001E-2</v>
          </cell>
          <cell r="G1891" t="str">
            <v>tonne</v>
          </cell>
          <cell r="H1891">
            <v>1</v>
          </cell>
          <cell r="I1891" t="str">
            <v>none</v>
          </cell>
          <cell r="J1891" t="str">
            <v>adding direct emissions to plastics monomer production inventories, from Meng et al. (2023), DOI 10.1073/pnas.2218294120</v>
          </cell>
          <cell r="K1891" t="str">
            <v>only off-gas-based emissions, assume same carbon content per energy as for natural gas (off-gas has both H2 and olefin (Ethane, butane) content, assume they roughly cancel out in rel. to CO2 per MJ.</v>
          </cell>
          <cell r="L1891" t="str">
            <v>see log sheet</v>
          </cell>
        </row>
        <row r="1892">
          <cell r="A1892" t="str">
            <v>[Meng] Ethylene production via Pyrolysis oil steam cracking</v>
          </cell>
          <cell r="B1892" t="str">
            <v>ethylene</v>
          </cell>
          <cell r="C1892" t="str">
            <v>reference_product</v>
          </cell>
          <cell r="D1892">
            <v>271114</v>
          </cell>
          <cell r="E1892" t="str">
            <v>Mass</v>
          </cell>
          <cell r="F1892">
            <v>1</v>
          </cell>
          <cell r="G1892" t="str">
            <v>tonne</v>
          </cell>
          <cell r="H1892">
            <v>1</v>
          </cell>
          <cell r="I1892" t="str">
            <v>none</v>
          </cell>
          <cell r="J1892"/>
          <cell r="K1892"/>
          <cell r="L1892"/>
        </row>
        <row r="1893">
          <cell r="A1893" t="str">
            <v>[Meng] Ethylene production via Pyrolysis oil steam cracking</v>
          </cell>
          <cell r="B1893" t="str">
            <v>waste polymer</v>
          </cell>
          <cell r="C1893" t="str">
            <v>from technosphere (material)</v>
          </cell>
          <cell r="D1893"/>
          <cell r="E1893" t="str">
            <v>Mass</v>
          </cell>
          <cell r="F1893">
            <v>1.5283400810000001</v>
          </cell>
          <cell r="G1893" t="str">
            <v>tonne</v>
          </cell>
          <cell r="H1893">
            <v>1</v>
          </cell>
          <cell r="I1893" t="str">
            <v>none</v>
          </cell>
          <cell r="J1893" t="str">
            <v>plastics monomer production inventories, from Meng et al. (2023), DOI 10.1073/pnas.2218294120</v>
          </cell>
          <cell r="K1893" t="str">
            <v>Mike Muskett: if you have 100 ktepa of plastic, then you get about 80 ktepa of pyrolysis oil, which makes about 25 ktepa of ethylene (12 ktepa of propylene). This is why the input of pyrolysis oil is divided by 0.8 to get the input of waste polymers.
Scope 1 emissions for waste polymer is in its conversion process to pyrolysis oils only, not through to ethylene. See note under Raw Material, Pyrolysis Oils.</v>
          </cell>
          <cell r="L1893" t="str">
            <v>see log sheet</v>
          </cell>
        </row>
        <row r="1894">
          <cell r="A1894" t="str">
            <v>[Meng] Ethylene production via Pyrolysis oil steam cracking</v>
          </cell>
          <cell r="B1894" t="str">
            <v>pyrolysis oil</v>
          </cell>
          <cell r="C1894" t="str">
            <v>from technosphere (material)</v>
          </cell>
          <cell r="D1894"/>
          <cell r="E1894" t="str">
            <v>Mass</v>
          </cell>
          <cell r="F1894">
            <v>1.222672065</v>
          </cell>
          <cell r="G1894" t="str">
            <v>tonne</v>
          </cell>
          <cell r="H1894">
            <v>1</v>
          </cell>
          <cell r="I1894" t="str">
            <v>none</v>
          </cell>
          <cell r="J1894" t="str">
            <v>plastics monomer production inventories, from Meng et al. (2023), DOI 10.1073/pnas.2218294120</v>
          </cell>
          <cell r="K1894" t="str">
            <v>Value taken from Reshaping Plastics (2022) model in sheet 'Dynamic_input_output' . Mike Muskett: if you have 100 ktepa of plastic, then you get about 80 ktepa of pyrolysis oil, which makes about 25 ktepa of ethylene (12 ktepa of propylene).
This is in line with a different source (https://www.pbl.nl/sites/default/files/downloads/pbl-2021-decarbonisation-options-for-the-dutch-polyolefins-industry_4236.pdf).
Note that although pyrolysis oils is an intermediate in the process of waste polymer --&gt; pyrolysis oils --&gt; ethylene, we label it here a raw material so that its scope 1 emissions can also be taken into account. Scope 1 emissions for waste polymer is in its conversion process to pyrolysis oils only, not through to ethylene.</v>
          </cell>
          <cell r="L1894" t="str">
            <v>see log sheet</v>
          </cell>
        </row>
        <row r="1895">
          <cell r="A1895" t="str">
            <v>[Meng] Ethylene production via Pyrolysis oil steam cracking</v>
          </cell>
          <cell r="B1895" t="str">
            <v>off-gases</v>
          </cell>
          <cell r="C1895" t="str">
            <v>from technosphere (energy_carrier)</v>
          </cell>
          <cell r="D1895"/>
          <cell r="E1895" t="str">
            <v>Energy</v>
          </cell>
          <cell r="F1895">
            <v>8.8663967610000007</v>
          </cell>
          <cell r="G1895" t="str">
            <v>GJ</v>
          </cell>
          <cell r="H1895">
            <v>1</v>
          </cell>
          <cell r="I1895" t="str">
            <v>none</v>
          </cell>
          <cell r="J1895" t="str">
            <v>plastics monomer production inventories, from Meng et al. (2023), DOI 10.1073/pnas.2218294120</v>
          </cell>
          <cell r="K1895" t="str">
            <v xml:space="preserve">Value taken from Reshaping Plastics (2022) model in sheet 'Dynamic_input_output' </v>
          </cell>
          <cell r="L1895" t="str">
            <v>see log sheet</v>
          </cell>
        </row>
        <row r="1896">
          <cell r="A1896" t="str">
            <v>[Meng] Ethylene production via Pyrolysis oil steam cracking</v>
          </cell>
          <cell r="B1896" t="str">
            <v>electricity</v>
          </cell>
          <cell r="C1896" t="str">
            <v>from technosphere (energy_carrier)</v>
          </cell>
          <cell r="D1896"/>
          <cell r="E1896" t="str">
            <v>Energy</v>
          </cell>
          <cell r="F1896">
            <v>0.46537651800000002</v>
          </cell>
          <cell r="G1896" t="str">
            <v>GJ</v>
          </cell>
          <cell r="H1896">
            <v>1</v>
          </cell>
          <cell r="I1896" t="str">
            <v>none</v>
          </cell>
          <cell r="J1896" t="str">
            <v>plastics monomer production inventories, from Meng et al. (2023), DOI 10.1073/pnas.2218294120</v>
          </cell>
          <cell r="K1896" t="str">
            <v>This value is taken directly from the Reshaping Plastics (2022) model, in the sheet 'dynamic input and output', row 811 for electricity use for 'pyrolysis' in kWh/t ethylene.</v>
          </cell>
          <cell r="L1896" t="str">
            <v>see log sheet</v>
          </cell>
        </row>
        <row r="1897">
          <cell r="A1897" t="str">
            <v>[Meng] Ethylene production via Pyrolysis oil steam cracking</v>
          </cell>
          <cell r="B1897" t="str">
            <v>electricity</v>
          </cell>
          <cell r="C1897" t="str">
            <v>from technosphere (energy_carrier)</v>
          </cell>
          <cell r="D1897"/>
          <cell r="E1897" t="str">
            <v>Energy</v>
          </cell>
          <cell r="F1897">
            <v>1.0253441299999999</v>
          </cell>
          <cell r="G1897" t="str">
            <v>GJ</v>
          </cell>
          <cell r="H1897">
            <v>1</v>
          </cell>
          <cell r="I1897" t="str">
            <v>none</v>
          </cell>
          <cell r="J1897" t="str">
            <v>plastics monomer production inventories, from Meng et al. (2023), DOI 10.1073/pnas.2218294120</v>
          </cell>
          <cell r="K1897" t="str">
            <v>This value also includes electricity necessary for the hydrotreater. The electricity use is used for the process 'pyrolysis oil --&gt; steam cracking --&gt; monomer'.</v>
          </cell>
          <cell r="L1897" t="str">
            <v>see log sheet</v>
          </cell>
        </row>
        <row r="1898">
          <cell r="A1898" t="str">
            <v>[Meng] Ethylene production via Pyrolysis oil steam cracking</v>
          </cell>
          <cell r="B1898" t="str">
            <v>electricity</v>
          </cell>
          <cell r="C1898" t="str">
            <v>from technosphere (energy_carrier)</v>
          </cell>
          <cell r="D1898"/>
          <cell r="E1898" t="str">
            <v>Energy</v>
          </cell>
          <cell r="F1898">
            <v>1.4907206479999999</v>
          </cell>
          <cell r="G1898" t="str">
            <v>GJ</v>
          </cell>
          <cell r="H1898">
            <v>1</v>
          </cell>
          <cell r="I1898" t="str">
            <v>none</v>
          </cell>
          <cell r="J1898" t="str">
            <v>plastics monomer production inventories, from Meng et al. (2023), DOI 10.1073/pnas.2218294120</v>
          </cell>
          <cell r="K1898" t="str">
            <v>Sum of electricity use for pyrolysis unit (making the pyrolysis oil from waste polymers) and ethylene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ethylene gas and 19% for propylene gas. The pyrolysis of HDPE in a fluidized bed reactor has also been proven successful, obtaining a max yield of 42% for ethylene gas". They also mention that 1.482 GJ of heat is required per ton of plastic waste which (when converted to per ton of ethylene) also results in approximately the same value.</v>
          </cell>
          <cell r="L1898" t="str">
            <v>see log sheet</v>
          </cell>
        </row>
        <row r="1899">
          <cell r="A1899" t="str">
            <v>[Meng] Ethylene production via Pyrolysis oil steam cracking</v>
          </cell>
          <cell r="B1899" t="str">
            <v>carbon dioxide</v>
          </cell>
          <cell r="C1899" t="str">
            <v>to environment (emission, direct)</v>
          </cell>
          <cell r="D1899"/>
          <cell r="E1899" t="str">
            <v>Mass</v>
          </cell>
          <cell r="F1899">
            <v>0.59404858299999996</v>
          </cell>
          <cell r="G1899" t="str">
            <v>tonne</v>
          </cell>
          <cell r="H1899">
            <v>1</v>
          </cell>
          <cell r="I1899" t="str">
            <v>none</v>
          </cell>
          <cell r="J1899" t="str">
            <v>adding direct emissions to plastics monomer production inventories, from Meng et al. (2023), DOI 10.1073/pnas.2218294120</v>
          </cell>
          <cell r="K1899" t="str">
            <v>only off-gas-based emissions, assume same carbon content per energy as for natural gas (off-gas has both H2 and olefin (Ethane, butane) content, assume they roughly cancel out in rel. to CO2 per MJ.</v>
          </cell>
          <cell r="L1899" t="str">
            <v>see log sheet</v>
          </cell>
        </row>
        <row r="1900">
          <cell r="A1900" t="str">
            <v>[Meng] Ethylene production via Bio-oils steam cracking</v>
          </cell>
          <cell r="B1900" t="str">
            <v>ethylene</v>
          </cell>
          <cell r="C1900" t="str">
            <v>reference_product</v>
          </cell>
          <cell r="D1900">
            <v>271114</v>
          </cell>
          <cell r="E1900" t="str">
            <v>Mass</v>
          </cell>
          <cell r="F1900">
            <v>1</v>
          </cell>
          <cell r="G1900" t="str">
            <v>tonne</v>
          </cell>
          <cell r="H1900">
            <v>1</v>
          </cell>
          <cell r="I1900" t="str">
            <v>none</v>
          </cell>
          <cell r="J1900"/>
          <cell r="K1900"/>
          <cell r="L1900"/>
        </row>
        <row r="1901">
          <cell r="A1901" t="str">
            <v>[Meng] Ethylene production via Bio-oils steam cracking</v>
          </cell>
          <cell r="B1901" t="str">
            <v>bio-oils</v>
          </cell>
          <cell r="C1901" t="str">
            <v>from technosphere (material)</v>
          </cell>
          <cell r="D1901"/>
          <cell r="E1901" t="str">
            <v>Mass</v>
          </cell>
          <cell r="F1901">
            <v>1.5870445339999999</v>
          </cell>
          <cell r="G1901" t="str">
            <v>tonne</v>
          </cell>
          <cell r="H1901">
            <v>1</v>
          </cell>
          <cell r="I1901" t="str">
            <v>none</v>
          </cell>
          <cell r="J1901" t="str">
            <v>plastics monomer production inventories, from Meng et al. (2023), DOI 10.1073/pnas.2218294120</v>
          </cell>
          <cell r="K1901" t="str">
            <v xml:space="preserve">Value taken from Reshaping Plastics (2022) model in sheet 'Dynamic_input_output' </v>
          </cell>
          <cell r="L1901" t="str">
            <v>see log sheet</v>
          </cell>
        </row>
        <row r="1902">
          <cell r="A1902" t="str">
            <v>[Meng] Ethylene production via Bio-oils steam cracking</v>
          </cell>
          <cell r="B1902" t="str">
            <v>off-gases</v>
          </cell>
          <cell r="C1902" t="str">
            <v>from technosphere (energy_carrier)</v>
          </cell>
          <cell r="D1902"/>
          <cell r="E1902" t="str">
            <v>Energy</v>
          </cell>
          <cell r="F1902">
            <v>8.8663967610000007</v>
          </cell>
          <cell r="G1902" t="str">
            <v>GJ</v>
          </cell>
          <cell r="H1902">
            <v>1</v>
          </cell>
          <cell r="I1902" t="str">
            <v>none</v>
          </cell>
          <cell r="J1902" t="str">
            <v>plastics monomer production inventories, from Meng et al. (2023), DOI 10.1073/pnas.2218294120</v>
          </cell>
          <cell r="K1902" t="str">
            <v xml:space="preserve">Value taken from Reshaping Plastics (2022) model in sheet 'Dynamic_input_output' </v>
          </cell>
          <cell r="L1902" t="str">
            <v>see log sheet</v>
          </cell>
        </row>
        <row r="1903">
          <cell r="A1903" t="str">
            <v>[Meng] Ethylene production via Bio-oils steam cracking</v>
          </cell>
          <cell r="B1903" t="str">
            <v>electricity</v>
          </cell>
          <cell r="C1903" t="str">
            <v>from technosphere (energy_carrier)</v>
          </cell>
          <cell r="D1903"/>
          <cell r="E1903" t="str">
            <v>Energy</v>
          </cell>
          <cell r="F1903">
            <v>1.0253441299999999</v>
          </cell>
          <cell r="G1903" t="str">
            <v>GJ</v>
          </cell>
          <cell r="H1903">
            <v>1</v>
          </cell>
          <cell r="I1903" t="str">
            <v>none</v>
          </cell>
          <cell r="J1903" t="str">
            <v>plastics monomer production inventories, from Meng et al. (2023), DOI 10.1073/pnas.2218294120</v>
          </cell>
          <cell r="K1903" t="str">
            <v xml:space="preserve">Value taken from Reshaping Plastics (2022) model in sheet 'Dynamic_input_output' </v>
          </cell>
          <cell r="L1903" t="str">
            <v>see log sheet</v>
          </cell>
        </row>
        <row r="1904">
          <cell r="A1904" t="str">
            <v>[Meng] Ethylene production via Bio-oils steam cracking</v>
          </cell>
          <cell r="B1904" t="str">
            <v>carbon dioxide</v>
          </cell>
          <cell r="C1904" t="str">
            <v>to environment (emission, direct)</v>
          </cell>
          <cell r="D1904"/>
          <cell r="E1904" t="str">
            <v>Mass</v>
          </cell>
          <cell r="F1904">
            <v>0.59404858299999996</v>
          </cell>
          <cell r="G1904" t="str">
            <v>tonne</v>
          </cell>
          <cell r="H1904">
            <v>1</v>
          </cell>
          <cell r="I1904" t="str">
            <v>none</v>
          </cell>
          <cell r="J1904" t="str">
            <v>adding direct emissions to plastics monomer production inventories, from Meng et al. (2023), DOI 10.1073/pnas.2218294120</v>
          </cell>
          <cell r="K1904" t="str">
            <v>only off-gas-based emissions, assume same carbon content per energy as for natural gas (off-gas has both H2 and olefin (Ethane, butane) content, assume they roughly cancel out in rel. to CO2 per MJ.</v>
          </cell>
          <cell r="L1904" t="str">
            <v>see log sheet</v>
          </cell>
        </row>
        <row r="1905">
          <cell r="A1905" t="str">
            <v>[Meng] Ethylene production via Catalytic naphtha cracking</v>
          </cell>
          <cell r="B1905" t="str">
            <v>ethylene</v>
          </cell>
          <cell r="C1905" t="str">
            <v>reference_product</v>
          </cell>
          <cell r="D1905">
            <v>271114</v>
          </cell>
          <cell r="E1905" t="str">
            <v>Mass</v>
          </cell>
          <cell r="F1905">
            <v>1</v>
          </cell>
          <cell r="G1905" t="str">
            <v>tonne</v>
          </cell>
          <cell r="H1905">
            <v>1</v>
          </cell>
          <cell r="I1905" t="str">
            <v>none</v>
          </cell>
          <cell r="J1905"/>
          <cell r="K1905"/>
          <cell r="L1905"/>
        </row>
        <row r="1906">
          <cell r="A1906" t="str">
            <v>[Meng] Ethylene production via Catalytic naphtha cracking</v>
          </cell>
          <cell r="B1906" t="str">
            <v>naphtha</v>
          </cell>
          <cell r="C1906" t="str">
            <v>from technosphere (material)</v>
          </cell>
          <cell r="D1906"/>
          <cell r="E1906" t="str">
            <v>Mass</v>
          </cell>
          <cell r="F1906">
            <v>0.69454000000000005</v>
          </cell>
          <cell r="G1906" t="str">
            <v>tonne</v>
          </cell>
          <cell r="H1906">
            <v>1</v>
          </cell>
          <cell r="I1906" t="str">
            <v>none</v>
          </cell>
          <cell r="J1906" t="str">
            <v>plastics monomer production inventories, from Meng et al. (2023), DOI 10.1073/pnas.2218294120</v>
          </cell>
          <cell r="K1906" t="str">
            <v xml:space="preserve">Value taken from Reshaping Plastics (2022) model in sheet 'Dynamic_input_output' . The share of feedstocks are used that are given for EU15+Norway. </v>
          </cell>
          <cell r="L1906" t="str">
            <v>see log sheet</v>
          </cell>
        </row>
        <row r="1907">
          <cell r="A1907" t="str">
            <v>[Meng] Ethylene production via Catalytic naphtha cracking</v>
          </cell>
          <cell r="B1907" t="str">
            <v>ethane</v>
          </cell>
          <cell r="C1907" t="str">
            <v>from technosphere (material)</v>
          </cell>
          <cell r="D1907"/>
          <cell r="E1907" t="str">
            <v>Mass</v>
          </cell>
          <cell r="F1907">
            <v>5.9450000000000003E-2</v>
          </cell>
          <cell r="G1907" t="str">
            <v>tonne</v>
          </cell>
          <cell r="H1907">
            <v>1</v>
          </cell>
          <cell r="I1907" t="str">
            <v>none</v>
          </cell>
          <cell r="J1907" t="str">
            <v>plastics monomer production inventories, from Meng et al. (2023), DOI 10.1073/pnas.2218294120</v>
          </cell>
          <cell r="K1907" t="str">
            <v xml:space="preserve">Value taken from Reshaping Plastics (2022) model in sheet 'Dynamic_input_output' </v>
          </cell>
          <cell r="L1907" t="str">
            <v>see log sheet</v>
          </cell>
        </row>
        <row r="1908">
          <cell r="A1908" t="str">
            <v>[Meng] Ethylene production via Catalytic naphtha cracking</v>
          </cell>
          <cell r="B1908" t="str">
            <v>propane</v>
          </cell>
          <cell r="C1908" t="str">
            <v>from technosphere (material)</v>
          </cell>
          <cell r="D1908"/>
          <cell r="E1908" t="str">
            <v>Mass</v>
          </cell>
          <cell r="F1908">
            <v>0.27388000000000001</v>
          </cell>
          <cell r="G1908" t="str">
            <v>tonne</v>
          </cell>
          <cell r="H1908">
            <v>1</v>
          </cell>
          <cell r="I1908" t="str">
            <v>none</v>
          </cell>
          <cell r="J1908" t="str">
            <v>plastics monomer production inventories, from Meng et al. (2023), DOI 10.1073/pnas.2218294120</v>
          </cell>
          <cell r="K1908" t="str">
            <v xml:space="preserve">Value taken from Reshaping Plastics (2022) model in sheet 'Dynamic_input_output' </v>
          </cell>
          <cell r="L1908" t="str">
            <v>see log sheet</v>
          </cell>
        </row>
        <row r="1909">
          <cell r="A1909" t="str">
            <v>[Meng] Ethylene production via Catalytic naphtha cracking</v>
          </cell>
          <cell r="B1909" t="str">
            <v>off-gases</v>
          </cell>
          <cell r="C1909" t="str">
            <v>from technosphere (energy_carrier)</v>
          </cell>
          <cell r="D1909"/>
          <cell r="E1909" t="str">
            <v>Energy</v>
          </cell>
          <cell r="F1909">
            <v>7.5381556850000004</v>
          </cell>
          <cell r="G1909" t="str">
            <v>GJ</v>
          </cell>
          <cell r="H1909">
            <v>1</v>
          </cell>
          <cell r="I1909" t="str">
            <v>none</v>
          </cell>
          <cell r="J1909" t="str">
            <v>plastics monomer production inventories, from Meng et al. (2023), DOI 10.1073/pnas.2218294120</v>
          </cell>
          <cell r="K1909" t="str">
            <v>Conventional value multiplied by the efficiency increase of a catalytic cracker opposed to a conventional cracker.</v>
          </cell>
          <cell r="L1909" t="str">
            <v>see log sheet</v>
          </cell>
        </row>
        <row r="1910">
          <cell r="A1910" t="str">
            <v>[Meng] Ethylene production via Catalytic naphtha cracking</v>
          </cell>
          <cell r="B1910" t="str">
            <v>electricity</v>
          </cell>
          <cell r="C1910" t="str">
            <v>from technosphere (energy_carrier)</v>
          </cell>
          <cell r="D1910"/>
          <cell r="E1910" t="str">
            <v>Energy</v>
          </cell>
          <cell r="F1910">
            <v>2.1527099999999999</v>
          </cell>
          <cell r="G1910" t="str">
            <v>GJ</v>
          </cell>
          <cell r="H1910">
            <v>1</v>
          </cell>
          <cell r="I1910" t="str">
            <v>none</v>
          </cell>
          <cell r="J1910" t="str">
            <v>plastics monomer production inventories, from Meng et al. (2023), DOI 10.1073/pnas.2218294120</v>
          </cell>
          <cell r="K1910" t="str">
            <v>Conventional value multiplied by the efficiency increase of a catalytic cracker opposed to a conventional cracker.</v>
          </cell>
          <cell r="L1910" t="str">
            <v>see log sheet</v>
          </cell>
        </row>
        <row r="1911">
          <cell r="A1911" t="str">
            <v>[Meng] Ethylene production via Catalytic naphtha cracking</v>
          </cell>
          <cell r="B1911" t="str">
            <v>carbon dioxide</v>
          </cell>
          <cell r="C1911" t="str">
            <v>to environment (emission, direct)</v>
          </cell>
          <cell r="D1911"/>
          <cell r="E1911" t="str">
            <v>Mass</v>
          </cell>
          <cell r="F1911">
            <v>0.50505643099999997</v>
          </cell>
          <cell r="G1911" t="str">
            <v>tonne</v>
          </cell>
          <cell r="H1911">
            <v>1</v>
          </cell>
          <cell r="I1911" t="str">
            <v>none</v>
          </cell>
          <cell r="J1911" t="str">
            <v>adding direct emissions to plastics monomer production inventories, from Meng et al. (2023), DOI 10.1073/pnas.2218294120</v>
          </cell>
          <cell r="K1911" t="str">
            <v>only off-gas-based emissions, assume same carbon content per energy as for natural gas (off-gas has both H2 and olefin (Ethane, butane) content, assume they roughly cancel out in rel. to CO2 per MJ.</v>
          </cell>
          <cell r="L1911" t="str">
            <v>see log sheet</v>
          </cell>
        </row>
        <row r="1912">
          <cell r="A1912" t="str">
            <v>[Meng] Ethylene production via Catalytic naphtha electric steam cracking</v>
          </cell>
          <cell r="B1912" t="str">
            <v>ethylene</v>
          </cell>
          <cell r="C1912" t="str">
            <v>reference_product</v>
          </cell>
          <cell r="D1912">
            <v>271114</v>
          </cell>
          <cell r="E1912" t="str">
            <v>Mass</v>
          </cell>
          <cell r="F1912">
            <v>1</v>
          </cell>
          <cell r="G1912" t="str">
            <v>tonne</v>
          </cell>
          <cell r="H1912">
            <v>1</v>
          </cell>
          <cell r="I1912" t="str">
            <v>none</v>
          </cell>
          <cell r="J1912"/>
          <cell r="K1912"/>
          <cell r="L1912"/>
        </row>
        <row r="1913">
          <cell r="A1913" t="str">
            <v>[Meng] Ethylene production via Catalytic naphtha electric steam cracking</v>
          </cell>
          <cell r="B1913" t="str">
            <v>naphtha</v>
          </cell>
          <cell r="C1913" t="str">
            <v>from technosphere (material)</v>
          </cell>
          <cell r="D1913"/>
          <cell r="E1913" t="str">
            <v>Mass</v>
          </cell>
          <cell r="F1913">
            <v>0.69289999999999996</v>
          </cell>
          <cell r="G1913" t="str">
            <v>tonne</v>
          </cell>
          <cell r="H1913">
            <v>1</v>
          </cell>
          <cell r="I1913" t="str">
            <v>none</v>
          </cell>
          <cell r="J1913" t="str">
            <v>plastics monomer production inventories, from Meng et al. (2023), DOI 10.1073/pnas.2218294120</v>
          </cell>
          <cell r="K1913" t="str">
            <v xml:space="preserve">Value taken from Reshaping Plastics (2022) model in sheet 'Dynamic_input_output' </v>
          </cell>
          <cell r="L1913" t="str">
            <v>see log sheet</v>
          </cell>
        </row>
        <row r="1914">
          <cell r="A1914" t="str">
            <v>[Meng] Ethylene production via Catalytic naphtha electric steam cracking</v>
          </cell>
          <cell r="B1914" t="str">
            <v>ethane</v>
          </cell>
          <cell r="C1914" t="str">
            <v>from technosphere (material)</v>
          </cell>
          <cell r="D1914"/>
          <cell r="E1914" t="str">
            <v>Mass</v>
          </cell>
          <cell r="F1914">
            <v>5.9450000000000003E-2</v>
          </cell>
          <cell r="G1914" t="str">
            <v>tonne</v>
          </cell>
          <cell r="H1914">
            <v>1</v>
          </cell>
          <cell r="I1914" t="str">
            <v>none</v>
          </cell>
          <cell r="J1914" t="str">
            <v>plastics monomer production inventories, from Meng et al. (2023), DOI 10.1073/pnas.2218294120</v>
          </cell>
          <cell r="K1914" t="str">
            <v xml:space="preserve">Value taken from Reshaping Plastics (2022) model in sheet 'Dynamic_input_output' </v>
          </cell>
          <cell r="L1914" t="str">
            <v>see log sheet</v>
          </cell>
        </row>
        <row r="1915">
          <cell r="A1915" t="str">
            <v>[Meng] Ethylene production via Catalytic naphtha electric steam cracking</v>
          </cell>
          <cell r="B1915" t="str">
            <v>propane</v>
          </cell>
          <cell r="C1915" t="str">
            <v>from technosphere (material)</v>
          </cell>
          <cell r="D1915"/>
          <cell r="E1915" t="str">
            <v>Mass</v>
          </cell>
          <cell r="F1915">
            <v>0.27388000000000001</v>
          </cell>
          <cell r="G1915" t="str">
            <v>tonne</v>
          </cell>
          <cell r="H1915">
            <v>1</v>
          </cell>
          <cell r="I1915" t="str">
            <v>none</v>
          </cell>
          <cell r="J1915" t="str">
            <v>plastics monomer production inventories, from Meng et al. (2023), DOI 10.1073/pnas.2218294120</v>
          </cell>
          <cell r="K1915" t="str">
            <v xml:space="preserve">Value taken from Reshaping Plastics (2022) model in sheet 'Dynamic_input_output' </v>
          </cell>
          <cell r="L1915" t="str">
            <v>see log sheet</v>
          </cell>
        </row>
        <row r="1916">
          <cell r="A1916" t="str">
            <v>[Meng] Ethylene production via Catalytic naphtha electric steam cracking</v>
          </cell>
          <cell r="B1916" t="str">
            <v>electricity</v>
          </cell>
          <cell r="C1916" t="str">
            <v>from technosphere (energy_carrier)</v>
          </cell>
          <cell r="D1916"/>
          <cell r="E1916" t="str">
            <v>Energy</v>
          </cell>
          <cell r="F1916">
            <v>6.9897529799999996</v>
          </cell>
          <cell r="G1916" t="str">
            <v>GJ</v>
          </cell>
          <cell r="H1916">
            <v>1</v>
          </cell>
          <cell r="I1916" t="str">
            <v>none</v>
          </cell>
          <cell r="J1916" t="str">
            <v>plastics monomer production inventories, from Meng et al. (2023), DOI 10.1073/pnas.2218294120</v>
          </cell>
          <cell r="K1916"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
This value is multiplied by 0.85, to account for the 15% Energysavings.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Energysaving is used leading to 0.85* the value for conventional naphtha steam cracking.) [to be verified with Mike if this assumption is correct] </v>
          </cell>
          <cell r="L1916" t="str">
            <v>see log sheet</v>
          </cell>
        </row>
        <row r="1917">
          <cell r="A1917" t="str">
            <v xml:space="preserve">[Meng] Ethylene production via Catalytic naphtha cracking + CCS </v>
          </cell>
          <cell r="B1917" t="str">
            <v>ethylene</v>
          </cell>
          <cell r="C1917" t="str">
            <v>reference_product</v>
          </cell>
          <cell r="D1917">
            <v>271114</v>
          </cell>
          <cell r="E1917" t="str">
            <v>Mass</v>
          </cell>
          <cell r="F1917">
            <v>1</v>
          </cell>
          <cell r="G1917" t="str">
            <v>tonne</v>
          </cell>
          <cell r="H1917">
            <v>1</v>
          </cell>
          <cell r="I1917" t="str">
            <v>none</v>
          </cell>
          <cell r="J1917"/>
          <cell r="K1917"/>
          <cell r="L1917"/>
        </row>
        <row r="1918">
          <cell r="A1918" t="str">
            <v xml:space="preserve">[Meng] Ethylene production via Catalytic naphtha cracking + CCS </v>
          </cell>
          <cell r="B1918" t="str">
            <v>naphtha</v>
          </cell>
          <cell r="C1918" t="str">
            <v>from technosphere (material)</v>
          </cell>
          <cell r="D1918"/>
          <cell r="E1918" t="str">
            <v>Mass</v>
          </cell>
          <cell r="F1918">
            <v>0.98744939300000001</v>
          </cell>
          <cell r="G1918" t="str">
            <v>tonne</v>
          </cell>
          <cell r="H1918">
            <v>1</v>
          </cell>
          <cell r="I1918" t="str">
            <v>none</v>
          </cell>
          <cell r="J1918" t="str">
            <v>plastics monomer production inventories, from Meng et al. (2023), DOI 10.1073/pnas.2218294120</v>
          </cell>
          <cell r="K1918" t="str">
            <v xml:space="preserve">Value taken from Reshaping Plastics (2022) model in sheet 'Dynamic_input_output' </v>
          </cell>
          <cell r="L1918" t="str">
            <v>see log sheet</v>
          </cell>
        </row>
        <row r="1919">
          <cell r="A1919" t="str">
            <v xml:space="preserve">[Meng] Ethylene production via Catalytic naphtha cracking + CCS </v>
          </cell>
          <cell r="B1919" t="str">
            <v>ethane</v>
          </cell>
          <cell r="C1919" t="str">
            <v>from technosphere (material)</v>
          </cell>
          <cell r="D1919"/>
          <cell r="E1919" t="str">
            <v>Mass</v>
          </cell>
          <cell r="F1919">
            <v>0</v>
          </cell>
          <cell r="G1919" t="str">
            <v>tonne</v>
          </cell>
          <cell r="H1919">
            <v>1</v>
          </cell>
          <cell r="I1919" t="str">
            <v>none</v>
          </cell>
          <cell r="J1919" t="str">
            <v>plastics monomer production inventories, from Meng et al. (2023), DOI 10.1073/pnas.2218294120</v>
          </cell>
          <cell r="K1919" t="str">
            <v xml:space="preserve">Value taken from Reshaping Plastics (2022) model in sheet 'Dynamic_input_output' </v>
          </cell>
          <cell r="L1919" t="str">
            <v>see log sheet</v>
          </cell>
        </row>
        <row r="1920">
          <cell r="A1920" t="str">
            <v xml:space="preserve">[Meng] Ethylene production via Catalytic naphtha cracking + CCS </v>
          </cell>
          <cell r="B1920" t="str">
            <v>propane</v>
          </cell>
          <cell r="C1920" t="str">
            <v>from technosphere (material)</v>
          </cell>
          <cell r="D1920"/>
          <cell r="E1920" t="str">
            <v>Mass</v>
          </cell>
          <cell r="F1920">
            <v>2.4696355999999999E-2</v>
          </cell>
          <cell r="G1920" t="str">
            <v>tonne</v>
          </cell>
          <cell r="H1920">
            <v>1</v>
          </cell>
          <cell r="I1920" t="str">
            <v>none</v>
          </cell>
          <cell r="J1920" t="str">
            <v>plastics monomer production inventories, from Meng et al. (2023), DOI 10.1073/pnas.2218294120</v>
          </cell>
          <cell r="K1920" t="str">
            <v xml:space="preserve">Value taken from Reshaping Plastics (2022) model in sheet 'Dynamic_input_output' </v>
          </cell>
          <cell r="L1920" t="str">
            <v>see log sheet</v>
          </cell>
        </row>
        <row r="1921">
          <cell r="A1921" t="str">
            <v xml:space="preserve">[Meng] Ethylene production via Catalytic naphtha cracking + CCS </v>
          </cell>
          <cell r="B1921" t="str">
            <v>off-gases</v>
          </cell>
          <cell r="C1921" t="str">
            <v>from technosphere (energy_carrier)</v>
          </cell>
          <cell r="D1921"/>
          <cell r="E1921" t="str">
            <v>Energy</v>
          </cell>
          <cell r="F1921">
            <v>7.5364372470000003</v>
          </cell>
          <cell r="G1921" t="str">
            <v>GJ</v>
          </cell>
          <cell r="H1921">
            <v>1</v>
          </cell>
          <cell r="I1921" t="str">
            <v>none</v>
          </cell>
          <cell r="J1921" t="str">
            <v>plastics monomer production inventories, from Meng et al. (2023), DOI 10.1073/pnas.2218294120</v>
          </cell>
          <cell r="K1921" t="str">
            <v xml:space="preserve">Value taken from Reshaping Plastics (2022) model in sheet 'Dynamic_input_output' </v>
          </cell>
          <cell r="L1921" t="str">
            <v>see log sheet</v>
          </cell>
        </row>
        <row r="1922">
          <cell r="A1922" t="str">
            <v xml:space="preserve">[Meng] Ethylene production via Catalytic naphtha cracking + CCS </v>
          </cell>
          <cell r="B1922" t="str">
            <v>electricity</v>
          </cell>
          <cell r="C1922" t="str">
            <v>from technosphere (energy_carrier)</v>
          </cell>
          <cell r="D1922"/>
          <cell r="E1922" t="str">
            <v>Energy</v>
          </cell>
          <cell r="F1922">
            <v>0.87154251000000005</v>
          </cell>
          <cell r="G1922" t="str">
            <v>GJ</v>
          </cell>
          <cell r="H1922">
            <v>1</v>
          </cell>
          <cell r="I1922" t="str">
            <v>none</v>
          </cell>
          <cell r="J1922" t="str">
            <v>plastics monomer production inventories, from Meng et al. (2023), DOI 10.1073/pnas.2218294120</v>
          </cell>
          <cell r="K1922" t="str">
            <v xml:space="preserve">Same value as conventional catalytic steam cracker. </v>
          </cell>
          <cell r="L1922" t="str">
            <v>see log sheet</v>
          </cell>
        </row>
        <row r="1923">
          <cell r="A1923" t="str">
            <v xml:space="preserve">[Meng] Ethylene production via Catalytic naphtha cracking + CCS </v>
          </cell>
          <cell r="B1923" t="str">
            <v>electricity</v>
          </cell>
          <cell r="C1923" t="str">
            <v>from technosphere (energy_carrier)</v>
          </cell>
          <cell r="D1923"/>
          <cell r="E1923" t="str">
            <v>Energy</v>
          </cell>
          <cell r="F1923">
            <v>2.2222727999999998</v>
          </cell>
          <cell r="G1923" t="str">
            <v>GJ</v>
          </cell>
          <cell r="H1923">
            <v>1</v>
          </cell>
          <cell r="I1923" t="str">
            <v>none</v>
          </cell>
          <cell r="J1923" t="str">
            <v>plastics monomer production inventories, from Meng et al. (2023), DOI 10.1073/pnas.2218294120</v>
          </cell>
          <cell r="K1923" t="str">
            <v xml:space="preserve">CCS on steam cracker. Total value of 'Naphtha steam cracking + CCS' electricity demand from Reshaping Plastics (2022) model, with subtracted the electricity demand of 'Naphtha steam cracking'. </v>
          </cell>
          <cell r="L1923" t="str">
            <v>see log sheet</v>
          </cell>
        </row>
        <row r="1924">
          <cell r="A1924" t="str">
            <v xml:space="preserve">[Meng] Ethylene production via Catalytic naphtha cracking + CCS </v>
          </cell>
          <cell r="B1924" t="str">
            <v>electricity</v>
          </cell>
          <cell r="C1924" t="str">
            <v>from technosphere (energy_carrier)</v>
          </cell>
          <cell r="D1924"/>
          <cell r="E1924" t="str">
            <v>Energy</v>
          </cell>
          <cell r="F1924">
            <v>3.0938153100000001</v>
          </cell>
          <cell r="G1924" t="str">
            <v>GJ</v>
          </cell>
          <cell r="H1924">
            <v>1</v>
          </cell>
          <cell r="I1924" t="str">
            <v>none</v>
          </cell>
          <cell r="J1924" t="str">
            <v>plastics monomer production inventories, from Meng et al. (2023), DOI 10.1073/pnas.2218294120</v>
          </cell>
          <cell r="K1924" t="str">
            <v>electricity use of both the steam cracker and CCS unit.</v>
          </cell>
          <cell r="L1924" t="str">
            <v>see log sheet</v>
          </cell>
        </row>
        <row r="1925">
          <cell r="A1925" t="str">
            <v xml:space="preserve">[Meng] Ethylene production via Catalytic naphtha cracking + CCS </v>
          </cell>
          <cell r="B1925" t="str">
            <v>carbon dioxide</v>
          </cell>
          <cell r="C1925" t="str">
            <v>to environment (emission, direct)</v>
          </cell>
          <cell r="D1925"/>
          <cell r="E1925" t="str">
            <v>Mass</v>
          </cell>
          <cell r="F1925">
            <v>2.5247064999999999E-2</v>
          </cell>
          <cell r="G1925" t="str">
            <v>tonne</v>
          </cell>
          <cell r="H1925">
            <v>1</v>
          </cell>
          <cell r="I1925" t="str">
            <v>none</v>
          </cell>
          <cell r="J1925" t="str">
            <v>adding direct emissions to plastics monomer production inventories, from Meng et al. (2023), DOI 10.1073/pnas.2218294120</v>
          </cell>
          <cell r="K1925" t="str">
            <v>only off-gas-based emissions, assume same carbon content per energy as for natural gas (off-gas has both H2 and olefin (Ethane, butane) content, assume they roughly cancel out in rel. to CO2 per MJ.</v>
          </cell>
          <cell r="L1925" t="str">
            <v>see log sheet</v>
          </cell>
        </row>
        <row r="1926">
          <cell r="A1926" t="str">
            <v>[Meng] Ethylene production via Catalytic naphtha H2 cracking</v>
          </cell>
          <cell r="B1926" t="str">
            <v>ethylene</v>
          </cell>
          <cell r="C1926" t="str">
            <v>reference_product</v>
          </cell>
          <cell r="D1926">
            <v>271114</v>
          </cell>
          <cell r="E1926" t="str">
            <v>Mass</v>
          </cell>
          <cell r="F1926">
            <v>1</v>
          </cell>
          <cell r="G1926" t="str">
            <v>tonne</v>
          </cell>
          <cell r="H1926">
            <v>1</v>
          </cell>
          <cell r="I1926" t="str">
            <v>none</v>
          </cell>
          <cell r="J1926"/>
          <cell r="K1926"/>
          <cell r="L1926"/>
        </row>
        <row r="1927">
          <cell r="A1927" t="str">
            <v>[Meng] Ethylene production via Catalytic naphtha H2 cracking</v>
          </cell>
          <cell r="B1927" t="str">
            <v>naphtha</v>
          </cell>
          <cell r="C1927" t="str">
            <v>from technosphere (material)</v>
          </cell>
          <cell r="D1927"/>
          <cell r="E1927" t="str">
            <v>Mass</v>
          </cell>
          <cell r="F1927">
            <v>0.98744939300000001</v>
          </cell>
          <cell r="G1927" t="str">
            <v>tonne</v>
          </cell>
          <cell r="H1927">
            <v>1</v>
          </cell>
          <cell r="I1927" t="str">
            <v>none</v>
          </cell>
          <cell r="J1927" t="str">
            <v>plastics monomer production inventories, from Meng et al. (2023), DOI 10.1073/pnas.2218294120</v>
          </cell>
          <cell r="K1927" t="str">
            <v xml:space="preserve">Value taken from Reshaping Plastics (2022) model in sheet 'Dynamic_input_output' </v>
          </cell>
          <cell r="L1927" t="str">
            <v>see log sheet</v>
          </cell>
        </row>
        <row r="1928">
          <cell r="A1928" t="str">
            <v>[Meng] Ethylene production via Catalytic naphtha H2 cracking</v>
          </cell>
          <cell r="B1928" t="str">
            <v>ethane</v>
          </cell>
          <cell r="C1928" t="str">
            <v>from technosphere (material)</v>
          </cell>
          <cell r="D1928"/>
          <cell r="E1928" t="str">
            <v>Mass</v>
          </cell>
          <cell r="F1928">
            <v>0</v>
          </cell>
          <cell r="G1928" t="str">
            <v>tonne</v>
          </cell>
          <cell r="H1928">
            <v>1</v>
          </cell>
          <cell r="I1928" t="str">
            <v>none</v>
          </cell>
          <cell r="J1928" t="str">
            <v>plastics monomer production inventories, from Meng et al. (2023), DOI 10.1073/pnas.2218294120</v>
          </cell>
          <cell r="K1928" t="str">
            <v xml:space="preserve">Value taken from Reshaping Plastics (2022) model in sheet 'Dynamic_input_output' </v>
          </cell>
          <cell r="L1928" t="str">
            <v>see log sheet</v>
          </cell>
        </row>
        <row r="1929">
          <cell r="A1929" t="str">
            <v>[Meng] Ethylene production via Catalytic naphtha H2 cracking</v>
          </cell>
          <cell r="B1929" t="str">
            <v>propane</v>
          </cell>
          <cell r="C1929" t="str">
            <v>from technosphere (material)</v>
          </cell>
          <cell r="D1929"/>
          <cell r="E1929" t="str">
            <v>Mass</v>
          </cell>
          <cell r="F1929">
            <v>2.4696355999999999E-2</v>
          </cell>
          <cell r="G1929" t="str">
            <v>tonne</v>
          </cell>
          <cell r="H1929">
            <v>1</v>
          </cell>
          <cell r="I1929" t="str">
            <v>none</v>
          </cell>
          <cell r="J1929" t="str">
            <v>plastics monomer production inventories, from Meng et al. (2023), DOI 10.1073/pnas.2218294120</v>
          </cell>
          <cell r="K1929" t="str">
            <v xml:space="preserve">Value taken from Reshaping Plastics (2022) model in sheet 'Dynamic_input_output' </v>
          </cell>
          <cell r="L1929" t="str">
            <v>see log sheet</v>
          </cell>
        </row>
        <row r="1930">
          <cell r="A1930" t="str">
            <v>[Meng] Ethylene production via Catalytic naphtha H2 cracking</v>
          </cell>
          <cell r="B1930" t="str">
            <v>hydrogen</v>
          </cell>
          <cell r="C1930" t="str">
            <v>from technosphere (material)</v>
          </cell>
          <cell r="D1930"/>
          <cell r="E1930" t="str">
            <v>Mass</v>
          </cell>
          <cell r="F1930">
            <v>7.3886640000000003E-2</v>
          </cell>
          <cell r="G1930" t="str">
            <v>tonne</v>
          </cell>
          <cell r="H1930">
            <v>1</v>
          </cell>
          <cell r="I1930" t="str">
            <v>none</v>
          </cell>
          <cell r="J1930" t="str">
            <v>plastics monomer production inventories, from Meng et al. (2023), DOI 10.1073/pnas.2218294120</v>
          </cell>
          <cell r="K1930" t="str">
            <v xml:space="preserve">Value taken from Reshaping Plastics (2022) model in sheet 'Dynamic_input_output' </v>
          </cell>
          <cell r="L1930" t="str">
            <v>see log sheet</v>
          </cell>
        </row>
        <row r="1931">
          <cell r="A1931" t="str">
            <v>[Meng] Ethylene production via Catalytic naphtha H2 cracking</v>
          </cell>
          <cell r="B1931" t="str">
            <v>electricity</v>
          </cell>
          <cell r="C1931" t="str">
            <v>from technosphere (energy_carrier)</v>
          </cell>
          <cell r="D1931"/>
          <cell r="E1931" t="str">
            <v>Energy</v>
          </cell>
          <cell r="F1931">
            <v>0.87154251000000005</v>
          </cell>
          <cell r="G1931" t="str">
            <v>GJ</v>
          </cell>
          <cell r="H1931">
            <v>1</v>
          </cell>
          <cell r="I1931" t="str">
            <v>none</v>
          </cell>
          <cell r="J1931" t="str">
            <v>plastics monomer production inventories, from Meng et al. (2023), DOI 10.1073/pnas.2218294120</v>
          </cell>
          <cell r="K1931" t="str">
            <v xml:space="preserve">Value taken from Naphtha H2 catalytic steam cracking business case.  </v>
          </cell>
          <cell r="L1931" t="str">
            <v>see log sheet</v>
          </cell>
        </row>
        <row r="1932">
          <cell r="A1932" t="str">
            <v>[Meng] Ethylene production via MTO - Black</v>
          </cell>
          <cell r="B1932" t="str">
            <v>ethylene</v>
          </cell>
          <cell r="C1932" t="str">
            <v>reference_product</v>
          </cell>
          <cell r="D1932">
            <v>271114</v>
          </cell>
          <cell r="E1932" t="str">
            <v>Mass</v>
          </cell>
          <cell r="F1932">
            <v>1</v>
          </cell>
          <cell r="G1932" t="str">
            <v>tonne</v>
          </cell>
          <cell r="H1932">
            <v>1</v>
          </cell>
          <cell r="I1932" t="str">
            <v>none</v>
          </cell>
          <cell r="J1932"/>
          <cell r="K1932"/>
          <cell r="L1932"/>
        </row>
        <row r="1933">
          <cell r="A1933" t="str">
            <v>[Meng] Ethylene production via MTO - Black</v>
          </cell>
          <cell r="B1933" t="str">
            <v>methanol, black</v>
          </cell>
          <cell r="C1933" t="str">
            <v>from technosphere (material)</v>
          </cell>
          <cell r="D1933"/>
          <cell r="E1933" t="str">
            <v>Mass</v>
          </cell>
          <cell r="F1933">
            <v>2.56</v>
          </cell>
          <cell r="G1933" t="str">
            <v>tonne</v>
          </cell>
          <cell r="H1933">
            <v>1</v>
          </cell>
          <cell r="I1933" t="str">
            <v>none</v>
          </cell>
          <cell r="J1933" t="str">
            <v>plastics monomer production inventories, from Meng et al. (2023), DOI 10.1073/pnas.2218294120</v>
          </cell>
          <cell r="K1933" t="str">
            <v>Table 1 in Jasper paper (https://www.mdpi.com/2227-9717/3/3/684), where 1560 kt/annum methanol gives 386 kt/annum propylene and 214 kt/annum ethylene. 1560 tonnes * (214/(214+386)) proportion of total product = 556 tonnes methanol went to ethylene. 556/214 = 2.6 t methanol/t ethylene.
NOTE: cdid not take number from Peter Levi ("We use an input requirement of 2.83 tonnes of methanol per tonne of HVCs (just C2/C3 in the yield profile, with the ratio being close to 1:1), so that 32 Mt MeOH for 14 Mt HVCs would be more like 39 Mt") because that's for mixed HVCs and is therefore too high for ethylene only</v>
          </cell>
          <cell r="L1933" t="str">
            <v>see log sheet</v>
          </cell>
        </row>
        <row r="1934">
          <cell r="A1934" t="str">
            <v>[Meng] Ethylene production via MTO - Black</v>
          </cell>
          <cell r="B1934" t="str">
            <v>electricity</v>
          </cell>
          <cell r="C1934" t="str">
            <v>from technosphere (energy_carrier)</v>
          </cell>
          <cell r="D1934"/>
          <cell r="E1934" t="str">
            <v>Energy</v>
          </cell>
          <cell r="F1934">
            <v>5</v>
          </cell>
          <cell r="G1934" t="str">
            <v>GJ</v>
          </cell>
          <cell r="H1934">
            <v>1</v>
          </cell>
          <cell r="I1934" t="str">
            <v>none</v>
          </cell>
          <cell r="J1934" t="str">
            <v>plastics monomer production inventories, from Meng et al. (2023), DOI 10.1073/pnas.2218294120</v>
          </cell>
          <cell r="K1934" t="str">
            <v>MTO process require 5 GJ/ton of HVC, half of HVC is ethylene. We are going the mixed olefin route again for accounting for electricity.</v>
          </cell>
          <cell r="L1934" t="str">
            <v>see log sheet</v>
          </cell>
        </row>
        <row r="1935">
          <cell r="A1935" t="str">
            <v>[Meng] Ethylene production via MTO - Green</v>
          </cell>
          <cell r="B1935" t="str">
            <v>ethylene</v>
          </cell>
          <cell r="C1935" t="str">
            <v>reference_product</v>
          </cell>
          <cell r="D1935">
            <v>271114</v>
          </cell>
          <cell r="E1935" t="str">
            <v>Mass</v>
          </cell>
          <cell r="F1935">
            <v>1</v>
          </cell>
          <cell r="G1935" t="str">
            <v>tonne</v>
          </cell>
          <cell r="H1935">
            <v>1</v>
          </cell>
          <cell r="I1935" t="str">
            <v>none</v>
          </cell>
          <cell r="J1935"/>
          <cell r="K1935"/>
          <cell r="L1935"/>
        </row>
        <row r="1936">
          <cell r="A1936" t="str">
            <v>[Meng] Ethylene production via MTO - Green</v>
          </cell>
          <cell r="B1936" t="str">
            <v>methanol, green</v>
          </cell>
          <cell r="C1936" t="str">
            <v>from technosphere (material)</v>
          </cell>
          <cell r="D1936"/>
          <cell r="E1936" t="str">
            <v>Mass</v>
          </cell>
          <cell r="F1936">
            <v>2.56</v>
          </cell>
          <cell r="G1936" t="str">
            <v>tonne</v>
          </cell>
          <cell r="H1936">
            <v>1</v>
          </cell>
          <cell r="I1936" t="str">
            <v>none</v>
          </cell>
          <cell r="J1936" t="str">
            <v>plastics monomer production inventories, from Meng et al. (2023), DOI 10.1073/pnas.2218294120</v>
          </cell>
          <cell r="K1936" t="str">
            <v>Same as MTO - Black</v>
          </cell>
          <cell r="L1936" t="str">
            <v>see log sheet</v>
          </cell>
        </row>
        <row r="1937">
          <cell r="A1937" t="str">
            <v>[Meng] Ethylene production via MTO - Green</v>
          </cell>
          <cell r="B1937" t="str">
            <v>electricity</v>
          </cell>
          <cell r="C1937" t="str">
            <v>from technosphere (energy_carrier)</v>
          </cell>
          <cell r="D1937"/>
          <cell r="E1937" t="str">
            <v>Energy</v>
          </cell>
          <cell r="F1937">
            <v>5</v>
          </cell>
          <cell r="G1937" t="str">
            <v>GJ</v>
          </cell>
          <cell r="H1937">
            <v>1</v>
          </cell>
          <cell r="I1937" t="str">
            <v>none</v>
          </cell>
          <cell r="J1937" t="str">
            <v>plastics monomer production inventories, from Meng et al. (2023), DOI 10.1073/pnas.2218294120</v>
          </cell>
          <cell r="K1937" t="str">
            <v>Same as MTO - Black</v>
          </cell>
          <cell r="L1937" t="str">
            <v>see log sheet</v>
          </cell>
        </row>
        <row r="1938">
          <cell r="A1938" t="str">
            <v>[Meng] Ethylene production via Ethane steam cracking + CCS</v>
          </cell>
          <cell r="B1938" t="str">
            <v>ethylene</v>
          </cell>
          <cell r="C1938" t="str">
            <v>reference_product</v>
          </cell>
          <cell r="D1938">
            <v>271114</v>
          </cell>
          <cell r="E1938" t="str">
            <v>Mass</v>
          </cell>
          <cell r="F1938">
            <v>1</v>
          </cell>
          <cell r="G1938" t="str">
            <v>tonne</v>
          </cell>
          <cell r="H1938">
            <v>1</v>
          </cell>
          <cell r="I1938" t="str">
            <v>none</v>
          </cell>
          <cell r="J1938"/>
          <cell r="K1938"/>
          <cell r="L1938"/>
        </row>
        <row r="1939">
          <cell r="A1939" t="str">
            <v>[Meng] Ethylene production via Ethane steam cracking + CCS</v>
          </cell>
          <cell r="B1939" t="str">
            <v>ethane</v>
          </cell>
          <cell r="C1939" t="str">
            <v>from technosphere (material)</v>
          </cell>
          <cell r="D1939"/>
          <cell r="E1939" t="str">
            <v>Mass</v>
          </cell>
          <cell r="F1939">
            <v>1.25</v>
          </cell>
          <cell r="G1939" t="str">
            <v>tonne</v>
          </cell>
          <cell r="H1939">
            <v>1</v>
          </cell>
          <cell r="I1939" t="str">
            <v>none</v>
          </cell>
          <cell r="J1939" t="str">
            <v>plastics monomer production inventories, from Meng et al. (2023), DOI 10.1073/pnas.2218294120</v>
          </cell>
          <cell r="K1939" t="str">
            <v xml:space="preserve">Assumed same amount of ethane feedstock needed as conventional ethane cracking.
"The ethane fraction is cracked to produce ethylene (80 % selectivity or 56.4 % yield) along with coproducts (hydrogen, methane, propane, butane, propylene, acetylene, propadiene, vinylacetylene, propyne and butadiene)". Process includes cracking, compression and recovery. </v>
          </cell>
          <cell r="L1939" t="str">
            <v>see log sheet</v>
          </cell>
        </row>
        <row r="1940">
          <cell r="A1940" t="str">
            <v>[Meng] Ethylene production via Ethane steam cracking + CCS</v>
          </cell>
          <cell r="B1940" t="str">
            <v>natural gas</v>
          </cell>
          <cell r="C1940" t="str">
            <v>from technosphere (energy_carrier)</v>
          </cell>
          <cell r="D1940"/>
          <cell r="E1940" t="str">
            <v>Energy</v>
          </cell>
          <cell r="F1940">
            <v>13.7</v>
          </cell>
          <cell r="G1940" t="str">
            <v>GJ</v>
          </cell>
          <cell r="H1940">
            <v>1</v>
          </cell>
          <cell r="I1940" t="str">
            <v>none</v>
          </cell>
          <cell r="J1940" t="str">
            <v>plastics monomer production inventories, from Meng et al. (2023), DOI 10.1073/pnas.2218294120</v>
          </cell>
          <cell r="K1940" t="str">
            <v>Assumed same as Ethane steam cracker business case. "The fuel requirements for steam cracking of ethane are 13.7 MJ/kg of ethylene, equal to 13.7 GJ/t ethylene. Steam necessary for the production of ethylene is already added into this process step."</v>
          </cell>
          <cell r="L1940" t="str">
            <v>see log sheet</v>
          </cell>
        </row>
        <row r="1941">
          <cell r="A1941" t="str">
            <v>[Meng] Ethylene production via Ethane steam cracking + CCS</v>
          </cell>
          <cell r="B1941" t="str">
            <v>electricity</v>
          </cell>
          <cell r="C1941" t="str">
            <v>from technosphere (energy_carrier)</v>
          </cell>
          <cell r="D1941"/>
          <cell r="E1941" t="str">
            <v>Energy</v>
          </cell>
          <cell r="F1941">
            <v>0.2</v>
          </cell>
          <cell r="G1941" t="str">
            <v>GJ</v>
          </cell>
          <cell r="H1941">
            <v>1</v>
          </cell>
          <cell r="I1941" t="str">
            <v>none</v>
          </cell>
          <cell r="J1941" t="str">
            <v>plastics monomer production inventories, from Meng et al. (2023), DOI 10.1073/pnas.2218294120</v>
          </cell>
          <cell r="K1941" t="str">
            <v xml:space="preserve">Assumed same as Ethane steam cracker business case. "The power requirements for steam cracking of ethane are 0.2 MJ/kg of ethylene", this is equal to 0.2 GJ/ T of ethylene. </v>
          </cell>
          <cell r="L1941" t="str">
            <v>see log sheet</v>
          </cell>
        </row>
        <row r="1942">
          <cell r="A1942" t="str">
            <v>[Meng] Ethylene production via Ethane steam cracking + CCS</v>
          </cell>
          <cell r="B1942" t="str">
            <v>electricity</v>
          </cell>
          <cell r="C1942" t="str">
            <v>from technosphere (energy_carrier)</v>
          </cell>
          <cell r="D1942"/>
          <cell r="E1942" t="str">
            <v>Energy</v>
          </cell>
          <cell r="F1942">
            <v>1.363190283</v>
          </cell>
          <cell r="G1942" t="str">
            <v>GJ</v>
          </cell>
          <cell r="H1942">
            <v>1</v>
          </cell>
          <cell r="I1942" t="str">
            <v>none</v>
          </cell>
          <cell r="J1942" t="str">
            <v>plastics monomer production inventories, from Meng et al. (2023), DOI 10.1073/pnas.2218294120</v>
          </cell>
          <cell r="K1942" t="str">
            <v>CCS on steam cracker. Assumed same as electricity need of Naphtha steam cracking + CCS.</v>
          </cell>
          <cell r="L1942" t="str">
            <v>see log sheet</v>
          </cell>
        </row>
        <row r="1943">
          <cell r="A1943" t="str">
            <v>[Meng] Ethylene production via Ethane steam cracking + CCS</v>
          </cell>
          <cell r="B1943" t="str">
            <v>electricity</v>
          </cell>
          <cell r="C1943" t="str">
            <v>from technosphere (energy_carrier)</v>
          </cell>
          <cell r="D1943"/>
          <cell r="E1943" t="str">
            <v>Energy</v>
          </cell>
          <cell r="F1943">
            <v>1.563190283</v>
          </cell>
          <cell r="G1943" t="str">
            <v>GJ</v>
          </cell>
          <cell r="H1943">
            <v>1</v>
          </cell>
          <cell r="I1943" t="str">
            <v>none</v>
          </cell>
          <cell r="J1943" t="str">
            <v>plastics monomer production inventories, from Meng et al. (2023), DOI 10.1073/pnas.2218294120</v>
          </cell>
          <cell r="K1943" t="str">
            <v>Sum of electricity use for the steam cracker and CCS unit.</v>
          </cell>
          <cell r="L1943" t="str">
            <v>see log sheet</v>
          </cell>
        </row>
        <row r="1944">
          <cell r="A1944" t="str">
            <v>[Meng] Ethylene production via Ethane steam cracking + CCS</v>
          </cell>
          <cell r="B1944" t="str">
            <v>carbon dioxide</v>
          </cell>
          <cell r="C1944" t="str">
            <v>to environment (emission, direct)</v>
          </cell>
          <cell r="D1944"/>
          <cell r="E1944" t="str">
            <v>Mass</v>
          </cell>
          <cell r="F1944">
            <v>4.5894999999999998E-2</v>
          </cell>
          <cell r="G1944" t="str">
            <v>tonne</v>
          </cell>
          <cell r="H1944">
            <v>1</v>
          </cell>
          <cell r="I1944" t="str">
            <v>none</v>
          </cell>
          <cell r="J1944" t="str">
            <v>adding direct emissions to plastics monomer production inventories, from Meng et al. (2023), DOI 10.1073/pnas.2218294120</v>
          </cell>
          <cell r="K1944" t="str">
            <v>only natural gas-based emissions</v>
          </cell>
          <cell r="L1944" t="str">
            <v>see log sheet</v>
          </cell>
        </row>
        <row r="1945">
          <cell r="A1945" t="str">
            <v>[Meng] Ethylene production via Ethane electric steam cracking</v>
          </cell>
          <cell r="B1945" t="str">
            <v>ethylene</v>
          </cell>
          <cell r="C1945" t="str">
            <v>reference_product</v>
          </cell>
          <cell r="D1945">
            <v>271114</v>
          </cell>
          <cell r="E1945" t="str">
            <v>Mass</v>
          </cell>
          <cell r="F1945">
            <v>1</v>
          </cell>
          <cell r="G1945" t="str">
            <v>tonne</v>
          </cell>
          <cell r="H1945">
            <v>1</v>
          </cell>
          <cell r="I1945" t="str">
            <v>none</v>
          </cell>
          <cell r="J1945"/>
          <cell r="K1945"/>
          <cell r="L1945"/>
        </row>
        <row r="1946">
          <cell r="A1946" t="str">
            <v>[Meng] Ethylene production via Ethane electric steam cracking</v>
          </cell>
          <cell r="B1946" t="str">
            <v>ethane</v>
          </cell>
          <cell r="C1946" t="str">
            <v>from technosphere (material)</v>
          </cell>
          <cell r="D1946"/>
          <cell r="E1946" t="str">
            <v>Mass</v>
          </cell>
          <cell r="F1946">
            <v>1.25</v>
          </cell>
          <cell r="G1946" t="str">
            <v>tonne</v>
          </cell>
          <cell r="H1946">
            <v>1</v>
          </cell>
          <cell r="I1946" t="str">
            <v>none</v>
          </cell>
          <cell r="J1946" t="str">
            <v>plastics monomer production inventories, from Meng et al. (2023), DOI 10.1073/pnas.2218294120</v>
          </cell>
          <cell r="K1946" t="str">
            <v>Assumed same value as a conventional ethane steam cracker.</v>
          </cell>
          <cell r="L1946" t="str">
            <v>see log sheet</v>
          </cell>
        </row>
        <row r="1947">
          <cell r="A1947" t="str">
            <v>[Meng] Ethylene production via Ethane electric steam cracking</v>
          </cell>
          <cell r="B1947" t="str">
            <v>electricity</v>
          </cell>
          <cell r="C1947" t="str">
            <v>from technosphere (material)</v>
          </cell>
          <cell r="D1947"/>
          <cell r="E1947" t="str">
            <v>Mass</v>
          </cell>
          <cell r="F1947">
            <v>2.977374899</v>
          </cell>
          <cell r="G1947" t="str">
            <v>tonne</v>
          </cell>
          <cell r="H1947">
            <v>1</v>
          </cell>
          <cell r="I1947" t="str">
            <v>none</v>
          </cell>
          <cell r="J1947" t="str">
            <v>plastics monomer production inventories, from Meng et al. (2023), DOI 10.1073/pnas.2218294120</v>
          </cell>
          <cell r="K1947" t="str">
            <v>Mike Muskett: assume same as naphtha electric steam cracker, but factorised to take into account that 33% of product slate in naphtha cracking is ethylene compared to 90% of product slate in ethane cracking being ethylene.</v>
          </cell>
          <cell r="L1947" t="str">
            <v>see log sheet</v>
          </cell>
        </row>
        <row r="1948">
          <cell r="A1948" t="str">
            <v>[Meng] Ethylene production via Ethane H2 steam cracking</v>
          </cell>
          <cell r="B1948" t="str">
            <v>ethylene</v>
          </cell>
          <cell r="C1948" t="str">
            <v>reference_product</v>
          </cell>
          <cell r="D1948">
            <v>271114</v>
          </cell>
          <cell r="E1948" t="str">
            <v>Mass</v>
          </cell>
          <cell r="F1948">
            <v>1</v>
          </cell>
          <cell r="G1948" t="str">
            <v>tonne</v>
          </cell>
          <cell r="H1948">
            <v>1</v>
          </cell>
          <cell r="I1948" t="str">
            <v>none</v>
          </cell>
          <cell r="J1948"/>
          <cell r="K1948"/>
          <cell r="L1948"/>
        </row>
        <row r="1949">
          <cell r="A1949" t="str">
            <v>[Meng] Ethylene production via Ethane H2 steam cracking</v>
          </cell>
          <cell r="B1949" t="str">
            <v>ethane</v>
          </cell>
          <cell r="C1949" t="str">
            <v>from technosphere (material)</v>
          </cell>
          <cell r="D1949"/>
          <cell r="E1949" t="str">
            <v>Mass</v>
          </cell>
          <cell r="F1949">
            <v>1.25</v>
          </cell>
          <cell r="G1949" t="str">
            <v>tonne</v>
          </cell>
          <cell r="H1949">
            <v>1</v>
          </cell>
          <cell r="I1949" t="str">
            <v>none</v>
          </cell>
          <cell r="J1949" t="str">
            <v>plastics monomer production inventories, from Meng et al. (2023), DOI 10.1073/pnas.2218294120</v>
          </cell>
          <cell r="K1949"/>
          <cell r="L1949" t="str">
            <v>see log sheet</v>
          </cell>
        </row>
        <row r="1950">
          <cell r="A1950" t="str">
            <v>[Meng] Ethylene production via Ethane H2 steam cracking</v>
          </cell>
          <cell r="B1950" t="str">
            <v>hydrogen</v>
          </cell>
          <cell r="C1950" t="str">
            <v>from technosphere (material)</v>
          </cell>
          <cell r="D1950"/>
          <cell r="E1950" t="str">
            <v>Mass</v>
          </cell>
          <cell r="F1950">
            <v>2.7091767999999999E-2</v>
          </cell>
          <cell r="G1950" t="str">
            <v>tonne</v>
          </cell>
          <cell r="H1950">
            <v>1</v>
          </cell>
          <cell r="I1950" t="str">
            <v>none</v>
          </cell>
          <cell r="J1950" t="str">
            <v>plastics monomer production inventories, from Meng et al. (2023), DOI 10.1073/pnas.2218294120</v>
          </cell>
          <cell r="K1950" t="str">
            <v>Mike Muskett: assume same fuel requirements as hydrogen burner for naphtha H2 steam cracker, but factorised to take into account that 33% of product slate in naphtha cracking is ethylene compared to 90% of product slate in ethane cracking being ethylene.</v>
          </cell>
          <cell r="L1950" t="str">
            <v>see log sheet</v>
          </cell>
        </row>
        <row r="1951">
          <cell r="A1951" t="str">
            <v>[Meng] Ethylene production via Ethane H2 steam cracking</v>
          </cell>
          <cell r="B1951" t="str">
            <v>electricity</v>
          </cell>
          <cell r="C1951" t="str">
            <v>from technosphere (energy_carrier)</v>
          </cell>
          <cell r="D1951"/>
          <cell r="E1951" t="str">
            <v>Energy</v>
          </cell>
          <cell r="F1951">
            <v>0.2</v>
          </cell>
          <cell r="G1951" t="str">
            <v>GJ</v>
          </cell>
          <cell r="H1951">
            <v>1</v>
          </cell>
          <cell r="I1951" t="str">
            <v>none</v>
          </cell>
          <cell r="J1951" t="str">
            <v>plastics monomer production inventories, from Meng et al. (2023), DOI 10.1073/pnas.2218294120</v>
          </cell>
          <cell r="K1951"/>
          <cell r="L1951" t="str">
            <v>see log sheet</v>
          </cell>
        </row>
        <row r="1952">
          <cell r="A1952" t="str">
            <v>[Meng] Ethylene production via Naphtha steam cracking + CCS + by-product upgrade</v>
          </cell>
          <cell r="B1952" t="str">
            <v>ethylene</v>
          </cell>
          <cell r="C1952" t="str">
            <v>reference_product</v>
          </cell>
          <cell r="D1952">
            <v>271114</v>
          </cell>
          <cell r="E1952" t="str">
            <v>Mass</v>
          </cell>
          <cell r="F1952">
            <v>1</v>
          </cell>
          <cell r="G1952" t="str">
            <v>tonne</v>
          </cell>
          <cell r="H1952">
            <v>1</v>
          </cell>
          <cell r="I1952" t="str">
            <v>none</v>
          </cell>
          <cell r="J1952"/>
          <cell r="K1952"/>
          <cell r="L1952"/>
        </row>
        <row r="1953">
          <cell r="A1953" t="str">
            <v>[Meng] Ethylene production via Naphtha steam cracking + CCS + by-product upgrade</v>
          </cell>
          <cell r="B1953" t="str">
            <v>off-gases</v>
          </cell>
          <cell r="C1953" t="str">
            <v>from technosphere (energy_carrier)</v>
          </cell>
          <cell r="D1953"/>
          <cell r="E1953" t="str">
            <v>Energy</v>
          </cell>
          <cell r="F1953">
            <v>8.461538462</v>
          </cell>
          <cell r="G1953" t="str">
            <v>GJ</v>
          </cell>
          <cell r="H1953">
            <v>1</v>
          </cell>
          <cell r="I1953" t="str">
            <v>none</v>
          </cell>
          <cell r="J1953" t="str">
            <v>plastics monomer production inventories, from Meng et al. (2023), DOI 10.1073/pnas.2218294120</v>
          </cell>
          <cell r="K1953" t="str">
            <v>Same as naphtha steam cracker + by-product upgrade business case</v>
          </cell>
          <cell r="L1953" t="str">
            <v>see log sheet</v>
          </cell>
        </row>
        <row r="1954">
          <cell r="A1954" t="str">
            <v>[Meng] Ethylene production via Naphtha steam cracking + CCS + by-product upgrade</v>
          </cell>
          <cell r="B1954" t="str">
            <v>naphtha</v>
          </cell>
          <cell r="C1954" t="str">
            <v>from technosphere (material)</v>
          </cell>
          <cell r="D1954"/>
          <cell r="E1954" t="str">
            <v>Mass</v>
          </cell>
          <cell r="F1954">
            <v>0.91821862300000001</v>
          </cell>
          <cell r="G1954" t="str">
            <v>tonne</v>
          </cell>
          <cell r="H1954">
            <v>1</v>
          </cell>
          <cell r="I1954" t="str">
            <v>none</v>
          </cell>
          <cell r="J1954" t="str">
            <v>plastics monomer production inventories, from Meng et al. (2023), DOI 10.1073/pnas.2218294120</v>
          </cell>
          <cell r="K1954" t="str">
            <v>Same as naphtha steam cracker + by-product upgrade business case</v>
          </cell>
          <cell r="L1954" t="str">
            <v>see log sheet</v>
          </cell>
        </row>
        <row r="1955">
          <cell r="A1955" t="str">
            <v>[Meng] Ethylene production via Naphtha steam cracking + CCS + by-product upgrade</v>
          </cell>
          <cell r="B1955" t="str">
            <v>ethane</v>
          </cell>
          <cell r="C1955" t="str">
            <v>from technosphere (material)</v>
          </cell>
          <cell r="D1955"/>
          <cell r="E1955" t="str">
            <v>Mass</v>
          </cell>
          <cell r="F1955">
            <v>0</v>
          </cell>
          <cell r="G1955" t="str">
            <v>tonne</v>
          </cell>
          <cell r="H1955">
            <v>1</v>
          </cell>
          <cell r="I1955" t="str">
            <v>none</v>
          </cell>
          <cell r="J1955" t="str">
            <v>plastics monomer production inventories, from Meng et al. (2023), DOI 10.1073/pnas.2218294120</v>
          </cell>
          <cell r="K1955" t="str">
            <v>Same as naphtha steam cracker + by-product upgrade business case</v>
          </cell>
          <cell r="L1955" t="str">
            <v>see log sheet</v>
          </cell>
        </row>
        <row r="1956">
          <cell r="A1956" t="str">
            <v>[Meng] Ethylene production via Naphtha steam cracking + CCS + by-product upgrade</v>
          </cell>
          <cell r="B1956" t="str">
            <v>propane</v>
          </cell>
          <cell r="C1956" t="str">
            <v>from technosphere (material)</v>
          </cell>
          <cell r="D1956"/>
          <cell r="E1956" t="str">
            <v>Mass</v>
          </cell>
          <cell r="F1956">
            <v>2.3076922999999999E-2</v>
          </cell>
          <cell r="G1956" t="str">
            <v>tonne</v>
          </cell>
          <cell r="H1956">
            <v>1</v>
          </cell>
          <cell r="I1956" t="str">
            <v>none</v>
          </cell>
          <cell r="J1956" t="str">
            <v>plastics monomer production inventories, from Meng et al. (2023), DOI 10.1073/pnas.2218294120</v>
          </cell>
          <cell r="K1956" t="str">
            <v>Same as naphtha steam cracker + by-product upgrade business case</v>
          </cell>
          <cell r="L1956" t="str">
            <v>see log sheet</v>
          </cell>
        </row>
        <row r="1957">
          <cell r="A1957" t="str">
            <v>[Meng] Ethylene production via Naphtha steam cracking + CCS + by-product upgrade</v>
          </cell>
          <cell r="B1957" t="str">
            <v>oxygen</v>
          </cell>
          <cell r="C1957" t="str">
            <v>from technosphere (material)</v>
          </cell>
          <cell r="D1957"/>
          <cell r="E1957" t="str">
            <v>Mass</v>
          </cell>
          <cell r="F1957">
            <v>6.4777327999999995E-2</v>
          </cell>
          <cell r="G1957" t="str">
            <v>tonne</v>
          </cell>
          <cell r="H1957">
            <v>1</v>
          </cell>
          <cell r="I1957" t="str">
            <v>none</v>
          </cell>
          <cell r="J1957" t="str">
            <v>plastics monomer production inventories, from Meng et al. (2023), DOI 10.1073/pnas.2218294120</v>
          </cell>
          <cell r="K1957" t="str">
            <v>Same as naphtha steam cracker + by-product upgrade business case</v>
          </cell>
          <cell r="L1957" t="str">
            <v>see log sheet</v>
          </cell>
        </row>
        <row r="1958">
          <cell r="A1958" t="str">
            <v>[Meng] Ethylene production via Naphtha steam cracking + CCS + by-product upgrade</v>
          </cell>
          <cell r="B1958" t="str">
            <v>electricity</v>
          </cell>
          <cell r="C1958" t="str">
            <v>from technosphere (energy_carrier)</v>
          </cell>
          <cell r="D1958"/>
          <cell r="E1958" t="str">
            <v>Energy</v>
          </cell>
          <cell r="F1958">
            <v>1.0253441299999999</v>
          </cell>
          <cell r="G1958" t="str">
            <v>GJ</v>
          </cell>
          <cell r="H1958">
            <v>1</v>
          </cell>
          <cell r="I1958" t="str">
            <v>none</v>
          </cell>
          <cell r="J1958" t="str">
            <v>plastics monomer production inventories, from Meng et al. (2023), DOI 10.1073/pnas.2218294120</v>
          </cell>
          <cell r="K1958" t="str">
            <v>Same as naphtha steam cracker + by-product upgrade business case</v>
          </cell>
          <cell r="L1958" t="str">
            <v>see log sheet</v>
          </cell>
        </row>
        <row r="1959">
          <cell r="A1959" t="str">
            <v>[Meng] Ethylene production via Naphtha steam cracking + CCS + by-product upgrade</v>
          </cell>
          <cell r="B1959" t="str">
            <v>electricity</v>
          </cell>
          <cell r="C1959" t="str">
            <v>from technosphere (energy_carrier)</v>
          </cell>
          <cell r="D1959"/>
          <cell r="E1959" t="str">
            <v>Energy</v>
          </cell>
          <cell r="F1959">
            <v>1.363190283</v>
          </cell>
          <cell r="G1959" t="str">
            <v>GJ</v>
          </cell>
          <cell r="H1959">
            <v>1</v>
          </cell>
          <cell r="I1959" t="str">
            <v>none</v>
          </cell>
          <cell r="J1959" t="str">
            <v>plastics monomer production inventories, from Meng et al. (2023), DOI 10.1073/pnas.2218294120</v>
          </cell>
          <cell r="K1959" t="str">
            <v>Same as naphtha steam cracker + CCS business case</v>
          </cell>
          <cell r="L1959" t="str">
            <v>see log sheet</v>
          </cell>
        </row>
        <row r="1960">
          <cell r="A1960" t="str">
            <v>[Meng] Ethylene production via Naphtha steam cracking + CCS + by-product upgrade</v>
          </cell>
          <cell r="B1960" t="str">
            <v>electricity</v>
          </cell>
          <cell r="C1960" t="str">
            <v>from technosphere (energy_carrier)</v>
          </cell>
          <cell r="D1960"/>
          <cell r="E1960" t="str">
            <v>Energy</v>
          </cell>
          <cell r="F1960">
            <v>0.44048583000000002</v>
          </cell>
          <cell r="G1960" t="str">
            <v>GJ</v>
          </cell>
          <cell r="H1960">
            <v>1</v>
          </cell>
          <cell r="I1960" t="str">
            <v>none</v>
          </cell>
          <cell r="J1960" t="str">
            <v>plastics monomer production inventories, from Meng et al. (2023), DOI 10.1073/pnas.2218294120</v>
          </cell>
          <cell r="K1960" t="str">
            <v>Same as naphtha steam cracker + by-product upgrade business case</v>
          </cell>
          <cell r="L1960" t="str">
            <v>see log sheet</v>
          </cell>
        </row>
        <row r="1961">
          <cell r="A1961" t="str">
            <v>[Meng] Ethylene production via Naphtha steam cracking + CCS + by-product upgrade</v>
          </cell>
          <cell r="B1961" t="str">
            <v>electricity</v>
          </cell>
          <cell r="C1961" t="str">
            <v>from technosphere (energy_carrier)</v>
          </cell>
          <cell r="D1961"/>
          <cell r="E1961" t="str">
            <v>Energy</v>
          </cell>
          <cell r="F1961">
            <v>2.829020243</v>
          </cell>
          <cell r="G1961" t="str">
            <v>GJ</v>
          </cell>
          <cell r="H1961">
            <v>1</v>
          </cell>
          <cell r="I1961" t="str">
            <v>none</v>
          </cell>
          <cell r="J1961" t="str">
            <v>plastics monomer production inventories, from Meng et al. (2023), DOI 10.1073/pnas.2218294120</v>
          </cell>
          <cell r="K1961"/>
          <cell r="L1961" t="str">
            <v>see log sheet</v>
          </cell>
        </row>
        <row r="1962">
          <cell r="A1962" t="str">
            <v>[Meng] Ethylene production via Naphtha steam cracking + CCS + by-product upgrade</v>
          </cell>
          <cell r="B1962" t="str">
            <v>carbon dioxide</v>
          </cell>
          <cell r="C1962" t="str">
            <v>to environment (emission, direct)</v>
          </cell>
          <cell r="D1962"/>
          <cell r="E1962" t="str">
            <v>Mass</v>
          </cell>
          <cell r="F1962">
            <v>2.8346153999999998E-2</v>
          </cell>
          <cell r="G1962" t="str">
            <v>tonne</v>
          </cell>
          <cell r="H1962">
            <v>1</v>
          </cell>
          <cell r="I1962" t="str">
            <v>none</v>
          </cell>
          <cell r="J1962" t="str">
            <v>adding direct emissions to plastics monomer production inventories, from Meng et al. (2023), DOI 10.1073/pnas.2218294120</v>
          </cell>
          <cell r="K1962" t="str">
            <v>only off-gas-based emissions, assume same carbon content per energy as for natural gas (off-gas has both H2 and olefin (Ethane, butane) content, assume they roughly cancel out in rel. to CO2 per MJ.</v>
          </cell>
          <cell r="L1962" t="str">
            <v>see log sheet</v>
          </cell>
        </row>
        <row r="1963">
          <cell r="A1963" t="str">
            <v>[Meng] Ethylene production via Pyrolysis oil steam cracking + CCS + by-product upgrade</v>
          </cell>
          <cell r="B1963" t="str">
            <v>ethylene</v>
          </cell>
          <cell r="C1963" t="str">
            <v>reference_product</v>
          </cell>
          <cell r="D1963">
            <v>271114</v>
          </cell>
          <cell r="E1963" t="str">
            <v>Mass</v>
          </cell>
          <cell r="F1963">
            <v>1</v>
          </cell>
          <cell r="G1963" t="str">
            <v>tonne</v>
          </cell>
          <cell r="H1963">
            <v>1</v>
          </cell>
          <cell r="I1963" t="str">
            <v>none</v>
          </cell>
          <cell r="J1963"/>
          <cell r="K1963"/>
          <cell r="L1963"/>
        </row>
        <row r="1964">
          <cell r="A1964" t="str">
            <v>[Meng] Ethylene production via Pyrolysis oil steam cracking + CCS + by-product upgrade</v>
          </cell>
          <cell r="B1964" t="str">
            <v>waste polymer</v>
          </cell>
          <cell r="C1964" t="str">
            <v>from technosphere (material)</v>
          </cell>
          <cell r="D1964"/>
          <cell r="E1964" t="str">
            <v>Mass</v>
          </cell>
          <cell r="F1964">
            <v>1.4213562749999999</v>
          </cell>
          <cell r="G1964" t="str">
            <v>tonne</v>
          </cell>
          <cell r="H1964">
            <v>1</v>
          </cell>
          <cell r="I1964" t="str">
            <v>none</v>
          </cell>
          <cell r="J1964" t="str">
            <v>plastics monomer production inventories, from Meng et al. (2023), DOI 10.1073/pnas.2218294120</v>
          </cell>
          <cell r="K1964" t="str">
            <v>Same as pyrolysis oil steam cracking business case but 7% reduction in cracker feed due to by-product upgrade (same factor as naphtha steam cracking --&gt; naphtha steam cracking + by-product upgrade)</v>
          </cell>
          <cell r="L1964" t="str">
            <v>see log sheet</v>
          </cell>
        </row>
        <row r="1965">
          <cell r="A1965" t="str">
            <v>[Meng] Ethylene production via Pyrolysis oil steam cracking + CCS + by-product upgrade</v>
          </cell>
          <cell r="B1965" t="str">
            <v>pyrolysis oil</v>
          </cell>
          <cell r="C1965" t="str">
            <v>from technosphere (material)</v>
          </cell>
          <cell r="D1965"/>
          <cell r="E1965" t="str">
            <v>Mass</v>
          </cell>
          <cell r="F1965">
            <v>1.13708502</v>
          </cell>
          <cell r="G1965" t="str">
            <v>tonne</v>
          </cell>
          <cell r="H1965">
            <v>1</v>
          </cell>
          <cell r="I1965" t="str">
            <v>none</v>
          </cell>
          <cell r="J1965" t="str">
            <v>plastics monomer production inventories, from Meng et al. (2023), DOI 10.1073/pnas.2218294120</v>
          </cell>
          <cell r="K1965" t="str">
            <v>Same as pyrolysis oil steam cracking business case but 7% reduction in cracker feed due to by-product upgrade (same factor as naphtha steam cracking --&gt; naphtha steam cracking + by-product upgrade)</v>
          </cell>
          <cell r="L1965" t="str">
            <v>see log sheet</v>
          </cell>
        </row>
        <row r="1966">
          <cell r="A1966" t="str">
            <v>[Meng] Ethylene production via Pyrolysis oil steam cracking + CCS + by-product upgrade</v>
          </cell>
          <cell r="B1966" t="str">
            <v>oxygen</v>
          </cell>
          <cell r="C1966" t="str">
            <v>from technosphere (material)</v>
          </cell>
          <cell r="D1966"/>
          <cell r="E1966" t="str">
            <v>Mass</v>
          </cell>
          <cell r="F1966">
            <v>6.4777327999999995E-2</v>
          </cell>
          <cell r="G1966" t="str">
            <v>tonne</v>
          </cell>
          <cell r="H1966">
            <v>1</v>
          </cell>
          <cell r="I1966" t="str">
            <v>none</v>
          </cell>
          <cell r="J1966" t="str">
            <v>plastics monomer production inventories, from Meng et al. (2023), DOI 10.1073/pnas.2218294120</v>
          </cell>
          <cell r="K1966" t="str">
            <v>Same as naphtha steam cracking + by-product upgrade business case</v>
          </cell>
          <cell r="L1966" t="str">
            <v>see log sheet</v>
          </cell>
        </row>
        <row r="1967">
          <cell r="A1967" t="str">
            <v>[Meng] Ethylene production via Pyrolysis oil steam cracking + CCS + by-product upgrade</v>
          </cell>
          <cell r="B1967" t="str">
            <v>off-gases</v>
          </cell>
          <cell r="C1967" t="str">
            <v>from technosphere (energy_carrier)</v>
          </cell>
          <cell r="D1967"/>
          <cell r="E1967" t="str">
            <v>Energy</v>
          </cell>
          <cell r="F1967">
            <v>8.461538462</v>
          </cell>
          <cell r="G1967" t="str">
            <v>GJ</v>
          </cell>
          <cell r="H1967">
            <v>1</v>
          </cell>
          <cell r="I1967" t="str">
            <v>none</v>
          </cell>
          <cell r="J1967" t="str">
            <v>plastics monomer production inventories, from Meng et al. (2023), DOI 10.1073/pnas.2218294120</v>
          </cell>
          <cell r="K1967" t="str">
            <v>Same as pyrolysis oil steam cracking business case</v>
          </cell>
          <cell r="L1967" t="str">
            <v>see log sheet</v>
          </cell>
        </row>
        <row r="1968">
          <cell r="A1968" t="str">
            <v>[Meng] Ethylene production via Pyrolysis oil steam cracking + CCS + by-product upgrade</v>
          </cell>
          <cell r="B1968" t="str">
            <v>electricity</v>
          </cell>
          <cell r="C1968" t="str">
            <v>from technosphere (energy_carrier)</v>
          </cell>
          <cell r="D1968"/>
          <cell r="E1968" t="str">
            <v>Energy</v>
          </cell>
          <cell r="F1968">
            <v>0.46537651800000002</v>
          </cell>
          <cell r="G1968" t="str">
            <v>GJ</v>
          </cell>
          <cell r="H1968">
            <v>1</v>
          </cell>
          <cell r="I1968" t="str">
            <v>none</v>
          </cell>
          <cell r="J1968" t="str">
            <v>plastics monomer production inventories, from Meng et al. (2023), DOI 10.1073/pnas.2218294120</v>
          </cell>
          <cell r="K1968" t="str">
            <v>Same as pyrolysis oil steam cracking business case</v>
          </cell>
          <cell r="L1968" t="str">
            <v>see log sheet</v>
          </cell>
        </row>
        <row r="1969">
          <cell r="A1969" t="str">
            <v>[Meng] Ethylene production via Pyrolysis oil steam cracking + CCS + by-product upgrade</v>
          </cell>
          <cell r="B1969" t="str">
            <v>electricity</v>
          </cell>
          <cell r="C1969" t="str">
            <v>from technosphere (energy_carrier)</v>
          </cell>
          <cell r="D1969"/>
          <cell r="E1969" t="str">
            <v>Energy</v>
          </cell>
          <cell r="F1969">
            <v>1.0253441299999999</v>
          </cell>
          <cell r="G1969" t="str">
            <v>GJ</v>
          </cell>
          <cell r="H1969">
            <v>1</v>
          </cell>
          <cell r="I1969" t="str">
            <v>none</v>
          </cell>
          <cell r="J1969" t="str">
            <v>plastics monomer production inventories, from Meng et al. (2023), DOI 10.1073/pnas.2218294120</v>
          </cell>
          <cell r="K1969" t="str">
            <v>Same as pyrolysis oil steam cracking business case</v>
          </cell>
          <cell r="L1969" t="str">
            <v>see log sheet</v>
          </cell>
        </row>
        <row r="1970">
          <cell r="A1970" t="str">
            <v>[Meng] Ethylene production via Pyrolysis oil steam cracking + CCS + by-product upgrade</v>
          </cell>
          <cell r="B1970" t="str">
            <v>electricity</v>
          </cell>
          <cell r="C1970" t="str">
            <v>from technosphere (energy_carrier)</v>
          </cell>
          <cell r="D1970"/>
          <cell r="E1970" t="str">
            <v>Energy</v>
          </cell>
          <cell r="F1970">
            <v>1.363190283</v>
          </cell>
          <cell r="G1970" t="str">
            <v>GJ</v>
          </cell>
          <cell r="H1970">
            <v>1</v>
          </cell>
          <cell r="I1970" t="str">
            <v>none</v>
          </cell>
          <cell r="J1970" t="str">
            <v>plastics monomer production inventories, from Meng et al. (2023), DOI 10.1073/pnas.2218294120</v>
          </cell>
          <cell r="K1970" t="str">
            <v>Same as naphtha steam cracking + CCS + by-product upgrade business case</v>
          </cell>
          <cell r="L1970" t="str">
            <v>see log sheet</v>
          </cell>
        </row>
        <row r="1971">
          <cell r="A1971" t="str">
            <v>[Meng] Ethylene production via Pyrolysis oil steam cracking + CCS + by-product upgrade</v>
          </cell>
          <cell r="B1971" t="str">
            <v>electricity</v>
          </cell>
          <cell r="C1971" t="str">
            <v>from technosphere (energy_carrier)</v>
          </cell>
          <cell r="D1971"/>
          <cell r="E1971" t="str">
            <v>Energy</v>
          </cell>
          <cell r="F1971">
            <v>0.44048583000000002</v>
          </cell>
          <cell r="G1971" t="str">
            <v>GJ</v>
          </cell>
          <cell r="H1971">
            <v>1</v>
          </cell>
          <cell r="I1971" t="str">
            <v>none</v>
          </cell>
          <cell r="J1971" t="str">
            <v>plastics monomer production inventories, from Meng et al. (2023), DOI 10.1073/pnas.2218294120</v>
          </cell>
          <cell r="K1971" t="str">
            <v>Same as naphtha steam cracking + by-product upgrade business case</v>
          </cell>
          <cell r="L1971" t="str">
            <v>see log sheet</v>
          </cell>
        </row>
        <row r="1972">
          <cell r="A1972" t="str">
            <v>[Meng] Ethylene production via Pyrolysis oil steam cracking + CCS + by-product upgrade</v>
          </cell>
          <cell r="B1972" t="str">
            <v>electricity</v>
          </cell>
          <cell r="C1972" t="str">
            <v>from technosphere (energy_carrier)</v>
          </cell>
          <cell r="D1972"/>
          <cell r="E1972" t="str">
            <v>Energy</v>
          </cell>
          <cell r="F1972">
            <v>3.2943967609999998</v>
          </cell>
          <cell r="G1972" t="str">
            <v>GJ</v>
          </cell>
          <cell r="H1972">
            <v>1</v>
          </cell>
          <cell r="I1972" t="str">
            <v>none</v>
          </cell>
          <cell r="J1972" t="str">
            <v>plastics monomer production inventories, from Meng et al. (2023), DOI 10.1073/pnas.2218294120</v>
          </cell>
          <cell r="K1972"/>
          <cell r="L1972" t="str">
            <v>see log sheet</v>
          </cell>
        </row>
        <row r="1973">
          <cell r="A1973" t="str">
            <v>[Meng] Ethylene production via Pyrolysis oil steam cracking + CCS + by-product upgrade</v>
          </cell>
          <cell r="B1973" t="str">
            <v>carbon dioxide</v>
          </cell>
          <cell r="C1973" t="str">
            <v>to environment (emission, direct)</v>
          </cell>
          <cell r="D1973"/>
          <cell r="E1973" t="str">
            <v>Mass</v>
          </cell>
          <cell r="F1973">
            <v>2.8346153999999998E-2</v>
          </cell>
          <cell r="G1973" t="str">
            <v>tonne</v>
          </cell>
          <cell r="H1973">
            <v>1</v>
          </cell>
          <cell r="I1973" t="str">
            <v>none</v>
          </cell>
          <cell r="J1973" t="str">
            <v>adding direct emissions to plastics monomer production inventories, from Meng et al. (2023), DOI 10.1073/pnas.2218294120</v>
          </cell>
          <cell r="K1973" t="str">
            <v>only off-gas-based emissions, assume same carbon content per energy as for natural gas (off-gas has both H2 and olefin (Ethane, butane) content, assume they roughly cancel out in rel. to CO2 per MJ.</v>
          </cell>
          <cell r="L1973" t="str">
            <v>see log sheet</v>
          </cell>
        </row>
        <row r="1974">
          <cell r="A1974" t="str">
            <v>[Meng] Ethylene production via Bio-oils steam cracking + by-product upgrade</v>
          </cell>
          <cell r="B1974" t="str">
            <v>ethylene</v>
          </cell>
          <cell r="C1974" t="str">
            <v>reference_product</v>
          </cell>
          <cell r="D1974">
            <v>271114</v>
          </cell>
          <cell r="E1974" t="str">
            <v>Mass</v>
          </cell>
          <cell r="F1974">
            <v>1</v>
          </cell>
          <cell r="G1974" t="str">
            <v>tonne</v>
          </cell>
          <cell r="H1974">
            <v>1</v>
          </cell>
          <cell r="I1974" t="str">
            <v>none</v>
          </cell>
          <cell r="J1974"/>
          <cell r="K1974"/>
          <cell r="L1974"/>
        </row>
        <row r="1975">
          <cell r="A1975" t="str">
            <v>[Meng] Ethylene production via Bio-oils steam cracking + by-product upgrade</v>
          </cell>
          <cell r="B1975" t="str">
            <v>bio-oils</v>
          </cell>
          <cell r="C1975" t="str">
            <v>from technosphere (material)</v>
          </cell>
          <cell r="D1975"/>
          <cell r="E1975" t="str">
            <v>Mass</v>
          </cell>
          <cell r="F1975">
            <v>1.5870445339999999</v>
          </cell>
          <cell r="G1975" t="str">
            <v>tonne</v>
          </cell>
          <cell r="H1975">
            <v>1</v>
          </cell>
          <cell r="I1975" t="str">
            <v>none</v>
          </cell>
          <cell r="J1975" t="str">
            <v>plastics monomer production inventories, from Meng et al. (2023), DOI 10.1073/pnas.2218294120</v>
          </cell>
          <cell r="K1975" t="str">
            <v>Same as bio-oils steam cracking</v>
          </cell>
          <cell r="L1975" t="str">
            <v>see log sheet</v>
          </cell>
        </row>
        <row r="1976">
          <cell r="A1976" t="str">
            <v>[Meng] Ethylene production via Bio-oils steam cracking + by-product upgrade</v>
          </cell>
          <cell r="B1976" t="str">
            <v>oxygen</v>
          </cell>
          <cell r="C1976" t="str">
            <v>from technosphere (material)</v>
          </cell>
          <cell r="D1976"/>
          <cell r="E1976" t="str">
            <v>Mass</v>
          </cell>
          <cell r="F1976">
            <v>6.4777327999999995E-2</v>
          </cell>
          <cell r="G1976" t="str">
            <v>tonne</v>
          </cell>
          <cell r="H1976">
            <v>1</v>
          </cell>
          <cell r="I1976" t="str">
            <v>none</v>
          </cell>
          <cell r="J1976" t="str">
            <v>plastics monomer production inventories, from Meng et al. (2023), DOI 10.1073/pnas.2218294120</v>
          </cell>
          <cell r="K1976" t="str">
            <v>Same as pyrolysis oils steam cracking + by-product upgrade business case</v>
          </cell>
          <cell r="L1976" t="str">
            <v>see log sheet</v>
          </cell>
        </row>
        <row r="1977">
          <cell r="A1977" t="str">
            <v>[Meng] Ethylene production via Bio-oils steam cracking + by-product upgrade</v>
          </cell>
          <cell r="B1977" t="str">
            <v>electricity</v>
          </cell>
          <cell r="C1977" t="str">
            <v>from technosphere (energy_carrier)</v>
          </cell>
          <cell r="D1977"/>
          <cell r="E1977" t="str">
            <v>Energy</v>
          </cell>
          <cell r="F1977">
            <v>1.0253441299999999</v>
          </cell>
          <cell r="G1977" t="str">
            <v>GJ</v>
          </cell>
          <cell r="H1977">
            <v>1</v>
          </cell>
          <cell r="I1977" t="str">
            <v>none</v>
          </cell>
          <cell r="J1977" t="str">
            <v>plastics monomer production inventories, from Meng et al. (2023), DOI 10.1073/pnas.2218294120</v>
          </cell>
          <cell r="K1977" t="str">
            <v>Same as bio-oils steam cracking</v>
          </cell>
          <cell r="L1977" t="str">
            <v>see log sheet</v>
          </cell>
        </row>
        <row r="1978">
          <cell r="A1978" t="str">
            <v>[Meng] Ethylene production via Bio-oils steam cracking + by-product upgrade</v>
          </cell>
          <cell r="B1978" t="str">
            <v>electricity</v>
          </cell>
          <cell r="C1978" t="str">
            <v>from technosphere (energy_carrier)</v>
          </cell>
          <cell r="D1978"/>
          <cell r="E1978" t="str">
            <v>Energy</v>
          </cell>
          <cell r="F1978">
            <v>0.44048583000000002</v>
          </cell>
          <cell r="G1978" t="str">
            <v>GJ</v>
          </cell>
          <cell r="H1978">
            <v>1</v>
          </cell>
          <cell r="I1978" t="str">
            <v>none</v>
          </cell>
          <cell r="J1978" t="str">
            <v>plastics monomer production inventories, from Meng et al. (2023), DOI 10.1073/pnas.2218294120</v>
          </cell>
          <cell r="K1978" t="str">
            <v>Same as naphtha steam cracking + by-product upgrade business case</v>
          </cell>
          <cell r="L1978" t="str">
            <v>see log sheet</v>
          </cell>
        </row>
        <row r="1979">
          <cell r="A1979" t="str">
            <v>[Meng] Ethylene production via Bio-oils steam cracking + by-product upgrade</v>
          </cell>
          <cell r="B1979" t="str">
            <v>electricity</v>
          </cell>
          <cell r="C1979" t="str">
            <v>from technosphere (energy_carrier)</v>
          </cell>
          <cell r="D1979"/>
          <cell r="E1979" t="str">
            <v>Energy</v>
          </cell>
          <cell r="F1979">
            <v>1.46582996</v>
          </cell>
          <cell r="G1979" t="str">
            <v>GJ</v>
          </cell>
          <cell r="H1979">
            <v>1</v>
          </cell>
          <cell r="I1979" t="str">
            <v>none</v>
          </cell>
          <cell r="J1979" t="str">
            <v>plastics monomer production inventories, from Meng et al. (2023), DOI 10.1073/pnas.2218294120</v>
          </cell>
          <cell r="K1979"/>
          <cell r="L1979" t="str">
            <v>see log sheet</v>
          </cell>
        </row>
        <row r="1980">
          <cell r="A1980" t="str">
            <v>[Meng] Ethylene production via Pyrolysis oil H2 steam cracking + by-product upgrade</v>
          </cell>
          <cell r="B1980" t="str">
            <v>ethylene</v>
          </cell>
          <cell r="C1980" t="str">
            <v>reference_product</v>
          </cell>
          <cell r="D1980">
            <v>271114</v>
          </cell>
          <cell r="E1980" t="str">
            <v>Mass</v>
          </cell>
          <cell r="F1980">
            <v>1</v>
          </cell>
          <cell r="G1980" t="str">
            <v>tonne</v>
          </cell>
          <cell r="H1980">
            <v>1</v>
          </cell>
          <cell r="I1980" t="str">
            <v>none</v>
          </cell>
          <cell r="J1980"/>
          <cell r="K1980"/>
          <cell r="L1980"/>
        </row>
        <row r="1981">
          <cell r="A1981" t="str">
            <v>[Meng] Ethylene production via Pyrolysis oil H2 steam cracking + by-product upgrade</v>
          </cell>
          <cell r="B1981" t="str">
            <v>waste polymer</v>
          </cell>
          <cell r="C1981" t="str">
            <v>from technosphere (material)</v>
          </cell>
          <cell r="D1981"/>
          <cell r="E1981" t="str">
            <v>Mass</v>
          </cell>
          <cell r="F1981">
            <v>1.3220141700000001</v>
          </cell>
          <cell r="G1981" t="str">
            <v>tonne</v>
          </cell>
          <cell r="H1981">
            <v>1</v>
          </cell>
          <cell r="I1981" t="str">
            <v>none</v>
          </cell>
          <cell r="J1981" t="str">
            <v>plastics monomer production inventories, from Meng et al. (2023), DOI 10.1073/pnas.2218294120</v>
          </cell>
          <cell r="K1981" t="str">
            <v>Same as pyrolysis oil steam cracking business case but with reductions from by-product upgrading (and H2 fuel?)</v>
          </cell>
          <cell r="L1981" t="str">
            <v>see log sheet</v>
          </cell>
        </row>
        <row r="1982">
          <cell r="A1982" t="str">
            <v>[Meng] Ethylene production via Pyrolysis oil H2 steam cracking + by-product upgrade</v>
          </cell>
          <cell r="B1982" t="str">
            <v>pyrolysis oil</v>
          </cell>
          <cell r="C1982" t="str">
            <v>from technosphere (material)</v>
          </cell>
          <cell r="D1982"/>
          <cell r="E1982" t="str">
            <v>Mass</v>
          </cell>
          <cell r="F1982">
            <v>1.0576113359999999</v>
          </cell>
          <cell r="G1982" t="str">
            <v>tonne</v>
          </cell>
          <cell r="H1982">
            <v>1</v>
          </cell>
          <cell r="I1982" t="str">
            <v>none</v>
          </cell>
          <cell r="J1982" t="str">
            <v>plastics monomer production inventories, from Meng et al. (2023), DOI 10.1073/pnas.2218294120</v>
          </cell>
          <cell r="K1982" t="str">
            <v>Same as pyrolysis oil steam cracking business case but with reductions from by-product upgrading (and H2 fuel?)</v>
          </cell>
          <cell r="L1982" t="str">
            <v>see log sheet</v>
          </cell>
        </row>
        <row r="1983">
          <cell r="A1983" t="str">
            <v>[Meng] Ethylene production via Pyrolysis oil H2 steam cracking + by-product upgrade</v>
          </cell>
          <cell r="B1983" t="str">
            <v>oxygen</v>
          </cell>
          <cell r="C1983" t="str">
            <v>from technosphere (material)</v>
          </cell>
          <cell r="D1983"/>
          <cell r="E1983" t="str">
            <v>Mass</v>
          </cell>
          <cell r="F1983">
            <v>6.4777327999999995E-2</v>
          </cell>
          <cell r="G1983" t="str">
            <v>tonne</v>
          </cell>
          <cell r="H1983">
            <v>1</v>
          </cell>
          <cell r="I1983" t="str">
            <v>none</v>
          </cell>
          <cell r="J1983" t="str">
            <v>plastics monomer production inventories, from Meng et al. (2023), DOI 10.1073/pnas.2218294120</v>
          </cell>
          <cell r="K1983" t="str">
            <v>Same as naphtha steam cracking + by-product upgrade business case</v>
          </cell>
          <cell r="L1983" t="str">
            <v>see log sheet</v>
          </cell>
        </row>
        <row r="1984">
          <cell r="A1984" t="str">
            <v>[Meng] Ethylene production via Pyrolysis oil H2 steam cracking + by-product upgrade</v>
          </cell>
          <cell r="B1984" t="str">
            <v>hydrogen</v>
          </cell>
          <cell r="C1984" t="str">
            <v>from technosphere (material)</v>
          </cell>
          <cell r="D1984"/>
          <cell r="E1984" t="str">
            <v>Mass</v>
          </cell>
          <cell r="F1984">
            <v>6.4736842000000003E-2</v>
          </cell>
          <cell r="G1984" t="str">
            <v>tonne</v>
          </cell>
          <cell r="H1984">
            <v>1</v>
          </cell>
          <cell r="I1984" t="str">
            <v>none</v>
          </cell>
          <cell r="J1984" t="str">
            <v>plastics monomer production inventories, from Meng et al. (2023), DOI 10.1073/pnas.2218294120</v>
          </cell>
          <cell r="K1984" t="str">
            <v>Same as naphtha H2 steam cracking business case</v>
          </cell>
          <cell r="L1984" t="str">
            <v>see log sheet</v>
          </cell>
        </row>
        <row r="1985">
          <cell r="A1985" t="str">
            <v>[Meng] Ethylene production via Pyrolysis oil H2 steam cracking + by-product upgrade</v>
          </cell>
          <cell r="B1985" t="str">
            <v>electricity</v>
          </cell>
          <cell r="C1985" t="str">
            <v>from technosphere (energy_carrier)</v>
          </cell>
          <cell r="D1985"/>
          <cell r="E1985" t="str">
            <v>Energy</v>
          </cell>
          <cell r="F1985">
            <v>0.46537651800000002</v>
          </cell>
          <cell r="G1985" t="str">
            <v>GJ</v>
          </cell>
          <cell r="H1985">
            <v>1</v>
          </cell>
          <cell r="I1985" t="str">
            <v>none</v>
          </cell>
          <cell r="J1985" t="str">
            <v>plastics monomer production inventories, from Meng et al. (2023), DOI 10.1073/pnas.2218294120</v>
          </cell>
          <cell r="K1985" t="str">
            <v>Same as pyrolysis oil steam cracking business case</v>
          </cell>
          <cell r="L1985" t="str">
            <v>see log sheet</v>
          </cell>
        </row>
        <row r="1986">
          <cell r="A1986" t="str">
            <v>[Meng] Ethylene production via Pyrolysis oil H2 steam cracking + by-product upgrade</v>
          </cell>
          <cell r="B1986" t="str">
            <v>electricity</v>
          </cell>
          <cell r="C1986" t="str">
            <v>from technosphere (energy_carrier)</v>
          </cell>
          <cell r="D1986"/>
          <cell r="E1986" t="str">
            <v>Energy</v>
          </cell>
          <cell r="F1986">
            <v>1.0253441299999999</v>
          </cell>
          <cell r="G1986" t="str">
            <v>GJ</v>
          </cell>
          <cell r="H1986">
            <v>1</v>
          </cell>
          <cell r="I1986" t="str">
            <v>none</v>
          </cell>
          <cell r="J1986" t="str">
            <v>plastics monomer production inventories, from Meng et al. (2023), DOI 10.1073/pnas.2218294120</v>
          </cell>
          <cell r="K1986" t="str">
            <v>Same as pyrolysis oil steam cracking business case</v>
          </cell>
          <cell r="L1986" t="str">
            <v>see log sheet</v>
          </cell>
        </row>
        <row r="1987">
          <cell r="A1987" t="str">
            <v>[Meng] Ethylene production via Pyrolysis oil H2 steam cracking + by-product upgrade</v>
          </cell>
          <cell r="B1987" t="str">
            <v>electricity</v>
          </cell>
          <cell r="C1987" t="str">
            <v>from technosphere (energy_carrier)</v>
          </cell>
          <cell r="D1987"/>
          <cell r="E1987" t="str">
            <v>Energy</v>
          </cell>
          <cell r="F1987">
            <v>1.5591093119999999</v>
          </cell>
          <cell r="G1987" t="str">
            <v>GJ</v>
          </cell>
          <cell r="H1987">
            <v>1</v>
          </cell>
          <cell r="I1987" t="str">
            <v>none</v>
          </cell>
          <cell r="J1987" t="str">
            <v>plastics monomer production inventories, from Meng et al. (2023), DOI 10.1073/pnas.2218294120</v>
          </cell>
          <cell r="K1987" t="str">
            <v>Same as naphtha steam cracking + by-product upgrade business case</v>
          </cell>
          <cell r="L1987" t="str">
            <v>see log sheet</v>
          </cell>
        </row>
        <row r="1988">
          <cell r="A1988" t="str">
            <v>[Meng] Ethylene production via Pyrolysis oil H2 steam cracking + by-product upgrade</v>
          </cell>
          <cell r="B1988" t="str">
            <v>electricity</v>
          </cell>
          <cell r="C1988" t="str">
            <v>from technosphere (energy_carrier)</v>
          </cell>
          <cell r="D1988"/>
          <cell r="E1988" t="str">
            <v>Energy</v>
          </cell>
          <cell r="F1988">
            <v>3.0498299599999998</v>
          </cell>
          <cell r="G1988" t="str">
            <v>GJ</v>
          </cell>
          <cell r="H1988">
            <v>1</v>
          </cell>
          <cell r="I1988" t="str">
            <v>none</v>
          </cell>
          <cell r="J1988" t="str">
            <v>plastics monomer production inventories, from Meng et al. (2023), DOI 10.1073/pnas.2218294120</v>
          </cell>
          <cell r="K1988"/>
          <cell r="L1988" t="str">
            <v>see log sheet</v>
          </cell>
        </row>
        <row r="1989">
          <cell r="A1989" t="str">
            <v>[Meng] Ethylene production via Pyrolysis oil H2 steam cracking + by-product upgrade</v>
          </cell>
          <cell r="B1989" t="str">
            <v>hydrogen</v>
          </cell>
          <cell r="C1989" t="str">
            <v>from technosphere (material)</v>
          </cell>
          <cell r="D1989"/>
          <cell r="E1989" t="str">
            <v>Mass</v>
          </cell>
          <cell r="F1989">
            <v>1.9190282999999999E-2</v>
          </cell>
          <cell r="G1989" t="str">
            <v>tonne</v>
          </cell>
          <cell r="H1989">
            <v>1</v>
          </cell>
          <cell r="I1989" t="str">
            <v>none</v>
          </cell>
          <cell r="J1989" t="str">
            <v>plastics monomer production inventories, from Meng et al. (2023), DOI 10.1073/pnas.2218294120</v>
          </cell>
          <cell r="K1989"/>
          <cell r="L1989" t="str">
            <v>see log sheet</v>
          </cell>
        </row>
        <row r="1990">
          <cell r="A1990" t="str">
            <v>[Meng] Ethylene production via Bio-oils H2 steam cracking + by-product upgrade</v>
          </cell>
          <cell r="B1990" t="str">
            <v>ethylene</v>
          </cell>
          <cell r="C1990" t="str">
            <v>reference_product</v>
          </cell>
          <cell r="D1990">
            <v>271114</v>
          </cell>
          <cell r="E1990" t="str">
            <v>Mass</v>
          </cell>
          <cell r="F1990">
            <v>1</v>
          </cell>
          <cell r="G1990" t="str">
            <v>tonne</v>
          </cell>
          <cell r="H1990">
            <v>1</v>
          </cell>
          <cell r="I1990" t="str">
            <v>none</v>
          </cell>
          <cell r="J1990"/>
          <cell r="K1990"/>
          <cell r="L1990"/>
        </row>
        <row r="1991">
          <cell r="A1991" t="str">
            <v>[Meng] Ethylene production via Bio-oils H2 steam cracking + by-product upgrade</v>
          </cell>
          <cell r="B1991" t="str">
            <v>bio-oils</v>
          </cell>
          <cell r="C1991" t="str">
            <v>from technosphere (material)</v>
          </cell>
          <cell r="D1991"/>
          <cell r="E1991" t="str">
            <v>Mass</v>
          </cell>
          <cell r="F1991">
            <v>1.5870445339999999</v>
          </cell>
          <cell r="G1991" t="str">
            <v>tonne</v>
          </cell>
          <cell r="H1991">
            <v>1</v>
          </cell>
          <cell r="I1991" t="str">
            <v>none</v>
          </cell>
          <cell r="J1991" t="str">
            <v>plastics monomer production inventories, from Meng et al. (2023), DOI 10.1073/pnas.2218294120</v>
          </cell>
          <cell r="K1991"/>
          <cell r="L1991" t="str">
            <v>see log sheet</v>
          </cell>
        </row>
        <row r="1992">
          <cell r="A1992" t="str">
            <v>[Meng] Ethylene production via Bio-oils H2 steam cracking + by-product upgrade</v>
          </cell>
          <cell r="B1992" t="str">
            <v>oxygen</v>
          </cell>
          <cell r="C1992" t="str">
            <v>from technosphere (material)</v>
          </cell>
          <cell r="D1992"/>
          <cell r="E1992" t="str">
            <v>Mass</v>
          </cell>
          <cell r="F1992">
            <v>6.4777327999999995E-2</v>
          </cell>
          <cell r="G1992" t="str">
            <v>tonne</v>
          </cell>
          <cell r="H1992">
            <v>1</v>
          </cell>
          <cell r="I1992" t="str">
            <v>none</v>
          </cell>
          <cell r="J1992" t="str">
            <v>plastics monomer production inventories, from Meng et al. (2023), DOI 10.1073/pnas.2218294120</v>
          </cell>
          <cell r="K1992"/>
          <cell r="L1992" t="str">
            <v>see log sheet</v>
          </cell>
        </row>
        <row r="1993">
          <cell r="A1993" t="str">
            <v>[Meng] Ethylene production via Bio-oils H2 steam cracking + by-product upgrade</v>
          </cell>
          <cell r="B1993" t="str">
            <v>hydrogen</v>
          </cell>
          <cell r="C1993" t="str">
            <v>from technosphere (material)</v>
          </cell>
          <cell r="D1993"/>
          <cell r="E1993" t="str">
            <v>Mass</v>
          </cell>
          <cell r="F1993">
            <v>6.4736842000000003E-2</v>
          </cell>
          <cell r="G1993" t="str">
            <v>tonne</v>
          </cell>
          <cell r="H1993">
            <v>1</v>
          </cell>
          <cell r="I1993" t="str">
            <v>none</v>
          </cell>
          <cell r="J1993" t="str">
            <v>plastics monomer production inventories, from Meng et al. (2023), DOI 10.1073/pnas.2218294120</v>
          </cell>
          <cell r="K1993"/>
          <cell r="L1993" t="str">
            <v>see log sheet</v>
          </cell>
        </row>
        <row r="1994">
          <cell r="A1994" t="str">
            <v>[Meng] Ethylene production via Bio-oils H2 steam cracking + by-product upgrade</v>
          </cell>
          <cell r="B1994" t="str">
            <v>electricity</v>
          </cell>
          <cell r="C1994" t="str">
            <v>from technosphere (energy_carrier)</v>
          </cell>
          <cell r="D1994"/>
          <cell r="E1994" t="str">
            <v>Energy</v>
          </cell>
          <cell r="F1994">
            <v>1.0253441299999999</v>
          </cell>
          <cell r="G1994" t="str">
            <v>GJ</v>
          </cell>
          <cell r="H1994">
            <v>1</v>
          </cell>
          <cell r="I1994" t="str">
            <v>none</v>
          </cell>
          <cell r="J1994" t="str">
            <v>plastics monomer production inventories, from Meng et al. (2023), DOI 10.1073/pnas.2218294120</v>
          </cell>
          <cell r="K1994"/>
          <cell r="L1994" t="str">
            <v>see log sheet</v>
          </cell>
        </row>
        <row r="1995">
          <cell r="A1995" t="str">
            <v>[Meng] Ethylene production via Bio-oils H2 steam cracking + by-product upgrade</v>
          </cell>
          <cell r="B1995" t="str">
            <v>electricity</v>
          </cell>
          <cell r="C1995" t="str">
            <v>from technosphere (energy_carrier)</v>
          </cell>
          <cell r="D1995"/>
          <cell r="E1995" t="str">
            <v>Energy</v>
          </cell>
          <cell r="F1995">
            <v>1.5591093119999999</v>
          </cell>
          <cell r="G1995" t="str">
            <v>GJ</v>
          </cell>
          <cell r="H1995">
            <v>1</v>
          </cell>
          <cell r="I1995" t="str">
            <v>none</v>
          </cell>
          <cell r="J1995" t="str">
            <v>plastics monomer production inventories, from Meng et al. (2023), DOI 10.1073/pnas.2218294120</v>
          </cell>
          <cell r="K1995"/>
          <cell r="L1995" t="str">
            <v>see log sheet</v>
          </cell>
        </row>
        <row r="1996">
          <cell r="A1996" t="str">
            <v>[Meng] Ethylene production via Bio-oils H2 steam cracking + by-product upgrade</v>
          </cell>
          <cell r="B1996" t="str">
            <v>electricity</v>
          </cell>
          <cell r="C1996" t="str">
            <v>from technosphere (energy_carrier)</v>
          </cell>
          <cell r="D1996"/>
          <cell r="E1996" t="str">
            <v>Energy</v>
          </cell>
          <cell r="F1996">
            <v>2.584453441</v>
          </cell>
          <cell r="G1996" t="str">
            <v>GJ</v>
          </cell>
          <cell r="H1996">
            <v>1</v>
          </cell>
          <cell r="I1996" t="str">
            <v>none</v>
          </cell>
          <cell r="J1996" t="str">
            <v>plastics monomer production inventories, from Meng et al. (2023), DOI 10.1073/pnas.2218294120</v>
          </cell>
          <cell r="K1996"/>
          <cell r="L1996" t="str">
            <v>see log sheet</v>
          </cell>
        </row>
        <row r="1997">
          <cell r="A1997" t="str">
            <v>[Meng] Ethylene production via Bio-oils H2 steam cracking + by-product upgrade</v>
          </cell>
          <cell r="B1997" t="str">
            <v>hydrogen</v>
          </cell>
          <cell r="C1997" t="str">
            <v>from technosphere (material)</v>
          </cell>
          <cell r="D1997"/>
          <cell r="E1997" t="str">
            <v>Mass</v>
          </cell>
          <cell r="F1997">
            <v>1.9190282999999999E-2</v>
          </cell>
          <cell r="G1997" t="str">
            <v>tonne</v>
          </cell>
          <cell r="H1997">
            <v>1</v>
          </cell>
          <cell r="I1997" t="str">
            <v>none</v>
          </cell>
          <cell r="J1997" t="str">
            <v>plastics monomer production inventories, from Meng et al. (2023), DOI 10.1073/pnas.2218294120</v>
          </cell>
          <cell r="K1997"/>
          <cell r="L1997" t="str">
            <v>see log sheet</v>
          </cell>
        </row>
        <row r="1998">
          <cell r="A1998" t="str">
            <v>[Meng] Ethylene production via Pyrolysis oil H2 steam cracking + CCS + by-product upgrade</v>
          </cell>
          <cell r="B1998" t="str">
            <v>ethylene</v>
          </cell>
          <cell r="C1998" t="str">
            <v>reference_product</v>
          </cell>
          <cell r="D1998">
            <v>271114</v>
          </cell>
          <cell r="E1998" t="str">
            <v>Mass</v>
          </cell>
          <cell r="F1998">
            <v>1</v>
          </cell>
          <cell r="G1998" t="str">
            <v>tonne</v>
          </cell>
          <cell r="H1998">
            <v>1</v>
          </cell>
          <cell r="I1998" t="str">
            <v>none</v>
          </cell>
          <cell r="J1998"/>
          <cell r="K1998"/>
          <cell r="L1998"/>
        </row>
        <row r="1999">
          <cell r="A1999" t="str">
            <v>[Meng] Ethylene production via Pyrolysis oil H2 steam cracking + CCS + by-product upgrade</v>
          </cell>
          <cell r="B1999" t="str">
            <v>waste polymer</v>
          </cell>
          <cell r="C1999" t="str">
            <v>from technosphere (material)</v>
          </cell>
          <cell r="D1999"/>
          <cell r="E1999" t="str">
            <v>Mass</v>
          </cell>
          <cell r="F1999">
            <v>1.3220141700000001</v>
          </cell>
          <cell r="G1999" t="str">
            <v>tonne</v>
          </cell>
          <cell r="H1999">
            <v>1</v>
          </cell>
          <cell r="I1999" t="str">
            <v>none</v>
          </cell>
          <cell r="J1999" t="str">
            <v>plastics monomer production inventories, from Meng et al. (2023), DOI 10.1073/pnas.2218294120</v>
          </cell>
          <cell r="K1999" t="str">
            <v>Same as Pyrolysis H2 + by product upgrade BC</v>
          </cell>
          <cell r="L1999" t="str">
            <v>see log sheet</v>
          </cell>
        </row>
        <row r="2000">
          <cell r="A2000" t="str">
            <v>[Meng] Ethylene production via Pyrolysis oil H2 steam cracking + CCS + by-product upgrade</v>
          </cell>
          <cell r="B2000" t="str">
            <v>pyrolysis oil</v>
          </cell>
          <cell r="C2000" t="str">
            <v>from technosphere (material)</v>
          </cell>
          <cell r="D2000"/>
          <cell r="E2000" t="str">
            <v>Mass</v>
          </cell>
          <cell r="F2000">
            <v>1.0576113359999999</v>
          </cell>
          <cell r="G2000" t="str">
            <v>tonne</v>
          </cell>
          <cell r="H2000">
            <v>1</v>
          </cell>
          <cell r="I2000" t="str">
            <v>none</v>
          </cell>
          <cell r="J2000" t="str">
            <v>plastics monomer production inventories, from Meng et al. (2023), DOI 10.1073/pnas.2218294120</v>
          </cell>
          <cell r="K2000" t="str">
            <v>Same as Pyrolysis H2 + by product upgrade BC</v>
          </cell>
          <cell r="L2000" t="str">
            <v>see log sheet</v>
          </cell>
        </row>
        <row r="2001">
          <cell r="A2001" t="str">
            <v>[Meng] Ethylene production via Pyrolysis oil H2 steam cracking + CCS + by-product upgrade</v>
          </cell>
          <cell r="B2001" t="str">
            <v>oxygen</v>
          </cell>
          <cell r="C2001" t="str">
            <v>from technosphere (material)</v>
          </cell>
          <cell r="D2001"/>
          <cell r="E2001" t="str">
            <v>Mass</v>
          </cell>
          <cell r="F2001">
            <v>6.4777327999999995E-2</v>
          </cell>
          <cell r="G2001" t="str">
            <v>tonne</v>
          </cell>
          <cell r="H2001">
            <v>1</v>
          </cell>
          <cell r="I2001" t="str">
            <v>none</v>
          </cell>
          <cell r="J2001" t="str">
            <v>plastics monomer production inventories, from Meng et al. (2023), DOI 10.1073/pnas.2218294120</v>
          </cell>
          <cell r="K2001" t="str">
            <v>Same as Pyrolysis H2 + by product upgrade BC</v>
          </cell>
          <cell r="L2001" t="str">
            <v>see log sheet</v>
          </cell>
        </row>
        <row r="2002">
          <cell r="A2002" t="str">
            <v>[Meng] Ethylene production via Pyrolysis oil H2 steam cracking + CCS + by-product upgrade</v>
          </cell>
          <cell r="B2002" t="str">
            <v>hydrogen</v>
          </cell>
          <cell r="C2002" t="str">
            <v>from technosphere (material)</v>
          </cell>
          <cell r="D2002"/>
          <cell r="E2002" t="str">
            <v>Mass</v>
          </cell>
          <cell r="F2002">
            <v>6.4736842000000003E-2</v>
          </cell>
          <cell r="G2002" t="str">
            <v>tonne</v>
          </cell>
          <cell r="H2002">
            <v>1</v>
          </cell>
          <cell r="I2002" t="str">
            <v>none</v>
          </cell>
          <cell r="J2002" t="str">
            <v>plastics monomer production inventories, from Meng et al. (2023), DOI 10.1073/pnas.2218294120</v>
          </cell>
          <cell r="K2002" t="str">
            <v>Same as Pyrolysis H2 + by product upgrade BC</v>
          </cell>
          <cell r="L2002" t="str">
            <v>see log sheet</v>
          </cell>
        </row>
        <row r="2003">
          <cell r="A2003" t="str">
            <v>[Meng] Ethylene production via Pyrolysis oil H2 steam cracking + CCS + by-product upgrade</v>
          </cell>
          <cell r="B2003" t="str">
            <v>electricity</v>
          </cell>
          <cell r="C2003" t="str">
            <v>from technosphere (energy_carrier)</v>
          </cell>
          <cell r="D2003"/>
          <cell r="E2003" t="str">
            <v>Energy</v>
          </cell>
          <cell r="F2003">
            <v>0.46537651800000002</v>
          </cell>
          <cell r="G2003" t="str">
            <v>GJ</v>
          </cell>
          <cell r="H2003">
            <v>1</v>
          </cell>
          <cell r="I2003" t="str">
            <v>none</v>
          </cell>
          <cell r="J2003" t="str">
            <v>plastics monomer production inventories, from Meng et al. (2023), DOI 10.1073/pnas.2218294120</v>
          </cell>
          <cell r="K2003" t="str">
            <v>Same as Pyrolysis H2 + by product upgrade BC</v>
          </cell>
          <cell r="L2003" t="str">
            <v>see log sheet</v>
          </cell>
        </row>
        <row r="2004">
          <cell r="A2004" t="str">
            <v>[Meng] Ethylene production via Pyrolysis oil H2 steam cracking + CCS + by-product upgrade</v>
          </cell>
          <cell r="B2004" t="str">
            <v>electricity</v>
          </cell>
          <cell r="C2004" t="str">
            <v>from technosphere (energy_carrier)</v>
          </cell>
          <cell r="D2004"/>
          <cell r="E2004" t="str">
            <v>Energy</v>
          </cell>
          <cell r="F2004">
            <v>1.0253441299999999</v>
          </cell>
          <cell r="G2004" t="str">
            <v>GJ</v>
          </cell>
          <cell r="H2004">
            <v>1</v>
          </cell>
          <cell r="I2004" t="str">
            <v>none</v>
          </cell>
          <cell r="J2004" t="str">
            <v>plastics monomer production inventories, from Meng et al. (2023), DOI 10.1073/pnas.2218294120</v>
          </cell>
          <cell r="K2004" t="str">
            <v>Same as Pyrolysis H2 + by product upgrade BC</v>
          </cell>
          <cell r="L2004" t="str">
            <v>see log sheet</v>
          </cell>
        </row>
        <row r="2005">
          <cell r="A2005" t="str">
            <v>[Meng] Ethylene production via Pyrolysis oil H2 steam cracking + CCS + by-product upgrade</v>
          </cell>
          <cell r="B2005" t="str">
            <v>electricity</v>
          </cell>
          <cell r="C2005" t="str">
            <v>from technosphere (energy_carrier)</v>
          </cell>
          <cell r="D2005"/>
          <cell r="E2005" t="str">
            <v>Energy</v>
          </cell>
          <cell r="F2005">
            <v>1.5591093119999999</v>
          </cell>
          <cell r="G2005" t="str">
            <v>GJ</v>
          </cell>
          <cell r="H2005">
            <v>1</v>
          </cell>
          <cell r="I2005" t="str">
            <v>none</v>
          </cell>
          <cell r="J2005" t="str">
            <v>plastics monomer production inventories, from Meng et al. (2023), DOI 10.1073/pnas.2218294120</v>
          </cell>
          <cell r="K2005" t="str">
            <v>Same as Pyrolysis H2 + by product upgrade BC</v>
          </cell>
          <cell r="L2005" t="str">
            <v>see log sheet</v>
          </cell>
        </row>
        <row r="2006">
          <cell r="A2006" t="str">
            <v>[Meng] Ethylene production via Pyrolysis oil H2 steam cracking + CCS + by-product upgrade</v>
          </cell>
          <cell r="B2006" t="str">
            <v>electricity</v>
          </cell>
          <cell r="C2006" t="str">
            <v>from technosphere (energy_carrier)</v>
          </cell>
          <cell r="D2006"/>
          <cell r="E2006" t="str">
            <v>Energy</v>
          </cell>
          <cell r="F2006">
            <v>1.363190283</v>
          </cell>
          <cell r="G2006" t="str">
            <v>GJ</v>
          </cell>
          <cell r="H2006">
            <v>1</v>
          </cell>
          <cell r="I2006" t="str">
            <v>none</v>
          </cell>
          <cell r="J2006" t="str">
            <v>plastics monomer production inventories, from Meng et al. (2023), DOI 10.1073/pnas.2218294120</v>
          </cell>
          <cell r="K2006" t="str">
            <v>Same as naphtha steam cracking + CCS + by-product upgrade business case</v>
          </cell>
          <cell r="L2006" t="str">
            <v>see log sheet</v>
          </cell>
        </row>
        <row r="2007">
          <cell r="A2007" t="str">
            <v>[Meng] Ethylene production via Pyrolysis oil H2 steam cracking + CCS + by-product upgrade</v>
          </cell>
          <cell r="B2007" t="str">
            <v>electricity</v>
          </cell>
          <cell r="C2007" t="str">
            <v>from technosphere (energy_carrier)</v>
          </cell>
          <cell r="D2007"/>
          <cell r="E2007" t="str">
            <v>Energy</v>
          </cell>
          <cell r="F2007">
            <v>4.4130202430000001</v>
          </cell>
          <cell r="G2007" t="str">
            <v>GJ</v>
          </cell>
          <cell r="H2007">
            <v>1</v>
          </cell>
          <cell r="I2007" t="str">
            <v>none</v>
          </cell>
          <cell r="J2007" t="str">
            <v>plastics monomer production inventories, from Meng et al. (2023), DOI 10.1073/pnas.2218294120</v>
          </cell>
          <cell r="K2007"/>
          <cell r="L2007" t="str">
            <v>see log sheet</v>
          </cell>
        </row>
        <row r="2008">
          <cell r="A2008" t="str">
            <v>[Meng] Ethylene production via Pyrolysis oil electric steam cracking + by-product upgrade</v>
          </cell>
          <cell r="B2008" t="str">
            <v>ethylene</v>
          </cell>
          <cell r="C2008" t="str">
            <v>reference_product</v>
          </cell>
          <cell r="D2008">
            <v>271114</v>
          </cell>
          <cell r="E2008" t="str">
            <v>Mass</v>
          </cell>
          <cell r="F2008">
            <v>1</v>
          </cell>
          <cell r="G2008" t="str">
            <v>tonne</v>
          </cell>
          <cell r="H2008">
            <v>1</v>
          </cell>
          <cell r="I2008" t="str">
            <v>none</v>
          </cell>
          <cell r="J2008"/>
          <cell r="K2008"/>
          <cell r="L2008"/>
        </row>
        <row r="2009">
          <cell r="A2009" t="str">
            <v>[Meng] Ethylene production via Pyrolysis oil electric steam cracking + by-product upgrade</v>
          </cell>
          <cell r="B2009" t="str">
            <v>waste polymer</v>
          </cell>
          <cell r="C2009" t="str">
            <v>from technosphere (material)</v>
          </cell>
          <cell r="D2009"/>
          <cell r="E2009" t="str">
            <v>Mass</v>
          </cell>
          <cell r="F2009">
            <v>1.3220141700000001</v>
          </cell>
          <cell r="G2009" t="str">
            <v>tonne</v>
          </cell>
          <cell r="H2009">
            <v>1</v>
          </cell>
          <cell r="I2009" t="str">
            <v>none</v>
          </cell>
          <cell r="J2009" t="str">
            <v>plastics monomer production inventories, from Meng et al. (2023), DOI 10.1073/pnas.2218294120</v>
          </cell>
          <cell r="K2009" t="str">
            <v>Same as pyrolysis oil steam cracking business case</v>
          </cell>
          <cell r="L2009" t="str">
            <v>see log sheet</v>
          </cell>
        </row>
        <row r="2010">
          <cell r="A2010" t="str">
            <v>[Meng] Ethylene production via Pyrolysis oil electric steam cracking + by-product upgrade</v>
          </cell>
          <cell r="B2010" t="str">
            <v>pyrolysis oil</v>
          </cell>
          <cell r="C2010" t="str">
            <v>from technosphere (material)</v>
          </cell>
          <cell r="D2010"/>
          <cell r="E2010" t="str">
            <v>Mass</v>
          </cell>
          <cell r="F2010">
            <v>1.0576113359999999</v>
          </cell>
          <cell r="G2010" t="str">
            <v>tonne</v>
          </cell>
          <cell r="H2010">
            <v>1</v>
          </cell>
          <cell r="I2010" t="str">
            <v>none</v>
          </cell>
          <cell r="J2010" t="str">
            <v>plastics monomer production inventories, from Meng et al. (2023), DOI 10.1073/pnas.2218294120</v>
          </cell>
          <cell r="K2010" t="str">
            <v>Same as pyrolysis oil steam cracking business case</v>
          </cell>
          <cell r="L2010" t="str">
            <v>see log sheet</v>
          </cell>
        </row>
        <row r="2011">
          <cell r="A2011" t="str">
            <v>[Meng] Ethylene production via Pyrolysis oil electric steam cracking + by-product upgrade</v>
          </cell>
          <cell r="B2011" t="str">
            <v>oxygen</v>
          </cell>
          <cell r="C2011" t="str">
            <v>from technosphere (material)</v>
          </cell>
          <cell r="D2011"/>
          <cell r="E2011" t="str">
            <v>Mass</v>
          </cell>
          <cell r="F2011">
            <v>6.4777327999999995E-2</v>
          </cell>
          <cell r="G2011" t="str">
            <v>tonne</v>
          </cell>
          <cell r="H2011">
            <v>1</v>
          </cell>
          <cell r="I2011" t="str">
            <v>none</v>
          </cell>
          <cell r="J2011" t="str">
            <v>plastics monomer production inventories, from Meng et al. (2023), DOI 10.1073/pnas.2218294120</v>
          </cell>
          <cell r="K2011" t="str">
            <v>Same as naphtha steam cracking + by-product upgrade business case</v>
          </cell>
          <cell r="L2011" t="str">
            <v>see log sheet</v>
          </cell>
        </row>
        <row r="2012">
          <cell r="A2012" t="str">
            <v>[Meng] Ethylene production via Pyrolysis oil electric steam cracking + by-product upgrade</v>
          </cell>
          <cell r="B2012" t="str">
            <v>electricity</v>
          </cell>
          <cell r="C2012" t="str">
            <v>from technosphere (energy_carrier)</v>
          </cell>
          <cell r="D2012"/>
          <cell r="E2012" t="str">
            <v>Energy</v>
          </cell>
          <cell r="F2012">
            <v>0.46537651800000002</v>
          </cell>
          <cell r="G2012" t="str">
            <v>GJ</v>
          </cell>
          <cell r="H2012">
            <v>1</v>
          </cell>
          <cell r="I2012" t="str">
            <v>none</v>
          </cell>
          <cell r="J2012" t="str">
            <v>plastics monomer production inventories, from Meng et al. (2023), DOI 10.1073/pnas.2218294120</v>
          </cell>
          <cell r="K2012" t="str">
            <v>Same as pyrolysis oil steam cracking business case</v>
          </cell>
          <cell r="L2012" t="str">
            <v>see log sheet</v>
          </cell>
        </row>
        <row r="2013">
          <cell r="A2013" t="str">
            <v>[Meng] Ethylene production via Pyrolysis oil electric steam cracking + by-product upgrade</v>
          </cell>
          <cell r="B2013" t="str">
            <v>electricity</v>
          </cell>
          <cell r="C2013" t="str">
            <v>from technosphere (energy_carrier)</v>
          </cell>
          <cell r="D2013"/>
          <cell r="E2013" t="str">
            <v>Energy</v>
          </cell>
          <cell r="F2013">
            <v>8.1201133599999995</v>
          </cell>
          <cell r="G2013" t="str">
            <v>GJ</v>
          </cell>
          <cell r="H2013">
            <v>1</v>
          </cell>
          <cell r="I2013" t="str">
            <v>none</v>
          </cell>
          <cell r="J2013" t="str">
            <v>plastics monomer production inventories, from Meng et al. (2023), DOI 10.1073/pnas.2218294120</v>
          </cell>
          <cell r="K2013" t="str">
            <v>Same as naphtha electric steam cracking business case</v>
          </cell>
          <cell r="L2013" t="str">
            <v>see log sheet</v>
          </cell>
        </row>
        <row r="2014">
          <cell r="A2014" t="str">
            <v>[Meng] Ethylene production via Pyrolysis oil electric steam cracking + by-product upgrade</v>
          </cell>
          <cell r="B2014" t="str">
            <v>electricity</v>
          </cell>
          <cell r="C2014" t="str">
            <v>from technosphere (energy_carrier)</v>
          </cell>
          <cell r="D2014"/>
          <cell r="E2014" t="str">
            <v>Energy</v>
          </cell>
          <cell r="F2014">
            <v>1.5591093119999999</v>
          </cell>
          <cell r="G2014" t="str">
            <v>GJ</v>
          </cell>
          <cell r="H2014">
            <v>1</v>
          </cell>
          <cell r="I2014" t="str">
            <v>none</v>
          </cell>
          <cell r="J2014" t="str">
            <v>plastics monomer production inventories, from Meng et al. (2023), DOI 10.1073/pnas.2218294120</v>
          </cell>
          <cell r="K2014" t="str">
            <v>Same as naphtha steam cracking + by-product upgrade business case</v>
          </cell>
          <cell r="L2014" t="str">
            <v>see log sheet</v>
          </cell>
        </row>
        <row r="2015">
          <cell r="A2015" t="str">
            <v>[Meng] Ethylene production via Pyrolysis oil electric steam cracking + by-product upgrade</v>
          </cell>
          <cell r="B2015" t="str">
            <v>electricity</v>
          </cell>
          <cell r="C2015" t="str">
            <v>from technosphere (energy_carrier)</v>
          </cell>
          <cell r="D2015"/>
          <cell r="E2015" t="str">
            <v>Energy</v>
          </cell>
          <cell r="F2015">
            <v>10.144599189999999</v>
          </cell>
          <cell r="G2015" t="str">
            <v>GJ</v>
          </cell>
          <cell r="H2015">
            <v>1</v>
          </cell>
          <cell r="I2015" t="str">
            <v>none</v>
          </cell>
          <cell r="J2015" t="str">
            <v>plastics monomer production inventories, from Meng et al. (2023), DOI 10.1073/pnas.2218294120</v>
          </cell>
          <cell r="K2015"/>
          <cell r="L2015" t="str">
            <v>see log sheet</v>
          </cell>
        </row>
        <row r="2016">
          <cell r="A2016" t="str">
            <v>[Meng] Ethylene production via Pyrolysis oil electric steam cracking + by-product upgrade</v>
          </cell>
          <cell r="B2016" t="str">
            <v>hydrogen</v>
          </cell>
          <cell r="C2016" t="str">
            <v>from technosphere (material)</v>
          </cell>
          <cell r="D2016"/>
          <cell r="E2016" t="str">
            <v>Mass</v>
          </cell>
          <cell r="F2016">
            <v>1.9190282999999999E-2</v>
          </cell>
          <cell r="G2016" t="str">
            <v>tonne</v>
          </cell>
          <cell r="H2016">
            <v>1</v>
          </cell>
          <cell r="I2016" t="str">
            <v>none</v>
          </cell>
          <cell r="J2016" t="str">
            <v>plastics monomer production inventories, from Meng et al. (2023), DOI 10.1073/pnas.2218294120</v>
          </cell>
          <cell r="K2016"/>
          <cell r="L2016" t="str">
            <v>see log sheet</v>
          </cell>
        </row>
        <row r="2017">
          <cell r="A2017" t="str">
            <v>[Meng] Ethylene production via Bio-oils electric steam cracking + by-product upgrade</v>
          </cell>
          <cell r="B2017" t="str">
            <v>ethylene</v>
          </cell>
          <cell r="C2017" t="str">
            <v>reference_product</v>
          </cell>
          <cell r="D2017">
            <v>271114</v>
          </cell>
          <cell r="E2017" t="str">
            <v>Mass</v>
          </cell>
          <cell r="F2017">
            <v>1</v>
          </cell>
          <cell r="G2017" t="str">
            <v>tonne</v>
          </cell>
          <cell r="H2017">
            <v>1</v>
          </cell>
          <cell r="I2017" t="str">
            <v>none</v>
          </cell>
          <cell r="J2017"/>
          <cell r="K2017"/>
          <cell r="L2017"/>
        </row>
        <row r="2018">
          <cell r="A2018" t="str">
            <v>[Meng] Ethylene production via Bio-oils electric steam cracking + by-product upgrade</v>
          </cell>
          <cell r="B2018" t="str">
            <v>bio-oils</v>
          </cell>
          <cell r="C2018" t="str">
            <v>from technosphere (material)</v>
          </cell>
          <cell r="D2018"/>
          <cell r="E2018" t="str">
            <v>Mass</v>
          </cell>
          <cell r="F2018">
            <v>1.5870445339999999</v>
          </cell>
          <cell r="G2018" t="str">
            <v>tonne</v>
          </cell>
          <cell r="H2018">
            <v>1</v>
          </cell>
          <cell r="I2018" t="str">
            <v>none</v>
          </cell>
          <cell r="J2018" t="str">
            <v>plastics monomer production inventories, from Meng et al. (2023), DOI 10.1073/pnas.2218294120</v>
          </cell>
          <cell r="K2018"/>
          <cell r="L2018" t="str">
            <v>see log sheet</v>
          </cell>
        </row>
        <row r="2019">
          <cell r="A2019" t="str">
            <v>[Meng] Ethylene production via Bio-oils electric steam cracking + by-product upgrade</v>
          </cell>
          <cell r="B2019" t="str">
            <v>oxygen</v>
          </cell>
          <cell r="C2019" t="str">
            <v>from technosphere (material)</v>
          </cell>
          <cell r="D2019"/>
          <cell r="E2019" t="str">
            <v>Mass</v>
          </cell>
          <cell r="F2019">
            <v>6.4777327999999995E-2</v>
          </cell>
          <cell r="G2019" t="str">
            <v>tonne</v>
          </cell>
          <cell r="H2019">
            <v>1</v>
          </cell>
          <cell r="I2019" t="str">
            <v>none</v>
          </cell>
          <cell r="J2019" t="str">
            <v>plastics monomer production inventories, from Meng et al. (2023), DOI 10.1073/pnas.2218294120</v>
          </cell>
          <cell r="K2019"/>
          <cell r="L2019" t="str">
            <v>see log sheet</v>
          </cell>
        </row>
        <row r="2020">
          <cell r="A2020" t="str">
            <v>[Meng] Ethylene production via Bio-oils electric steam cracking + by-product upgrade</v>
          </cell>
          <cell r="B2020" t="str">
            <v>electricity</v>
          </cell>
          <cell r="C2020" t="str">
            <v>from technosphere (energy_carrier)</v>
          </cell>
          <cell r="D2020"/>
          <cell r="E2020" t="str">
            <v>Energy</v>
          </cell>
          <cell r="F2020">
            <v>8.1201133599999995</v>
          </cell>
          <cell r="G2020" t="str">
            <v>GJ</v>
          </cell>
          <cell r="H2020">
            <v>1</v>
          </cell>
          <cell r="I2020" t="str">
            <v>none</v>
          </cell>
          <cell r="J2020" t="str">
            <v>plastics monomer production inventories, from Meng et al. (2023), DOI 10.1073/pnas.2218294120</v>
          </cell>
          <cell r="K2020"/>
          <cell r="L2020" t="str">
            <v>see log sheet</v>
          </cell>
        </row>
        <row r="2021">
          <cell r="A2021" t="str">
            <v>[Meng] Ethylene production via Bio-oils electric steam cracking + by-product upgrade</v>
          </cell>
          <cell r="B2021" t="str">
            <v>electricity</v>
          </cell>
          <cell r="C2021" t="str">
            <v>from technosphere (energy_carrier)</v>
          </cell>
          <cell r="D2021"/>
          <cell r="E2021" t="str">
            <v>Energy</v>
          </cell>
          <cell r="F2021">
            <v>1.5591093119999999</v>
          </cell>
          <cell r="G2021" t="str">
            <v>GJ</v>
          </cell>
          <cell r="H2021">
            <v>1</v>
          </cell>
          <cell r="I2021" t="str">
            <v>none</v>
          </cell>
          <cell r="J2021" t="str">
            <v>plastics monomer production inventories, from Meng et al. (2023), DOI 10.1073/pnas.2218294120</v>
          </cell>
          <cell r="K2021"/>
          <cell r="L2021" t="str">
            <v>see log sheet</v>
          </cell>
        </row>
        <row r="2022">
          <cell r="A2022" t="str">
            <v>[Meng] Ethylene production via Bio-oils electric steam cracking + by-product upgrade</v>
          </cell>
          <cell r="B2022" t="str">
            <v>electricity</v>
          </cell>
          <cell r="C2022" t="str">
            <v>from technosphere (energy_carrier)</v>
          </cell>
          <cell r="D2022"/>
          <cell r="E2022" t="str">
            <v>Energy</v>
          </cell>
          <cell r="F2022">
            <v>9.6792226719999999</v>
          </cell>
          <cell r="G2022" t="str">
            <v>GJ</v>
          </cell>
          <cell r="H2022">
            <v>1</v>
          </cell>
          <cell r="I2022" t="str">
            <v>none</v>
          </cell>
          <cell r="J2022" t="str">
            <v>plastics monomer production inventories, from Meng et al. (2023), DOI 10.1073/pnas.2218294120</v>
          </cell>
          <cell r="K2022"/>
          <cell r="L2022" t="str">
            <v>see log sheet</v>
          </cell>
        </row>
        <row r="2023">
          <cell r="A2023" t="str">
            <v>[Meng] Ethylene production via Bio-oils electric steam cracking + by-product upgrade</v>
          </cell>
          <cell r="B2023" t="str">
            <v>hydrogen</v>
          </cell>
          <cell r="C2023" t="str">
            <v>from technosphere (material)</v>
          </cell>
          <cell r="D2023"/>
          <cell r="E2023" t="str">
            <v>Mass</v>
          </cell>
          <cell r="F2023">
            <v>1.9190282999999999E-2</v>
          </cell>
          <cell r="G2023" t="str">
            <v>tonne</v>
          </cell>
          <cell r="H2023">
            <v>1</v>
          </cell>
          <cell r="I2023" t="str">
            <v>none</v>
          </cell>
          <cell r="J2023" t="str">
            <v>plastics monomer production inventories, from Meng et al. (2023), DOI 10.1073/pnas.2218294120</v>
          </cell>
          <cell r="K2023"/>
          <cell r="L2023" t="str">
            <v>see log sheet</v>
          </cell>
        </row>
        <row r="2024">
          <cell r="A2024" t="str">
            <v>[Meng] Ethylene production via Pyrolysis oil electric steam cracking + CCS + by-product upgrade</v>
          </cell>
          <cell r="B2024" t="str">
            <v>ethylene</v>
          </cell>
          <cell r="C2024" t="str">
            <v>reference_product</v>
          </cell>
          <cell r="D2024">
            <v>271114</v>
          </cell>
          <cell r="E2024" t="str">
            <v>Mass</v>
          </cell>
          <cell r="F2024">
            <v>1</v>
          </cell>
          <cell r="G2024" t="str">
            <v>tonne</v>
          </cell>
          <cell r="H2024">
            <v>1</v>
          </cell>
          <cell r="I2024" t="str">
            <v>none</v>
          </cell>
          <cell r="J2024"/>
          <cell r="K2024"/>
          <cell r="L2024"/>
        </row>
        <row r="2025">
          <cell r="A2025" t="str">
            <v>[Meng] Ethylene production via Pyrolysis oil electric steam cracking + CCS + by-product upgrade</v>
          </cell>
          <cell r="B2025" t="str">
            <v>waste polymer</v>
          </cell>
          <cell r="C2025" t="str">
            <v>from technosphere (material)</v>
          </cell>
          <cell r="D2025"/>
          <cell r="E2025" t="str">
            <v>Mass</v>
          </cell>
          <cell r="F2025">
            <v>1.3220141700000001</v>
          </cell>
          <cell r="G2025" t="str">
            <v>tonne</v>
          </cell>
          <cell r="H2025">
            <v>1</v>
          </cell>
          <cell r="I2025" t="str">
            <v>none</v>
          </cell>
          <cell r="J2025" t="str">
            <v>plastics monomer production inventories, from Meng et al. (2023), DOI 10.1073/pnas.2218294120</v>
          </cell>
          <cell r="K2025" t="str">
            <v>Same as pyrolysis electric + by product upgrade BC</v>
          </cell>
          <cell r="L2025" t="str">
            <v>see log sheet</v>
          </cell>
        </row>
        <row r="2026">
          <cell r="A2026" t="str">
            <v>[Meng] Ethylene production via Pyrolysis oil electric steam cracking + CCS + by-product upgrade</v>
          </cell>
          <cell r="B2026" t="str">
            <v>pyrolysis oil</v>
          </cell>
          <cell r="C2026" t="str">
            <v>from technosphere (material)</v>
          </cell>
          <cell r="D2026"/>
          <cell r="E2026" t="str">
            <v>Mass</v>
          </cell>
          <cell r="F2026">
            <v>1.0576113359999999</v>
          </cell>
          <cell r="G2026" t="str">
            <v>tonne</v>
          </cell>
          <cell r="H2026">
            <v>1</v>
          </cell>
          <cell r="I2026" t="str">
            <v>none</v>
          </cell>
          <cell r="J2026" t="str">
            <v>plastics monomer production inventories, from Meng et al. (2023), DOI 10.1073/pnas.2218294120</v>
          </cell>
          <cell r="K2026" t="str">
            <v>Same as pyrolysis electric + by product upgrade BC</v>
          </cell>
          <cell r="L2026" t="str">
            <v>see log sheet</v>
          </cell>
        </row>
        <row r="2027">
          <cell r="A2027" t="str">
            <v>[Meng] Ethylene production via Pyrolysis oil electric steam cracking + CCS + by-product upgrade</v>
          </cell>
          <cell r="B2027" t="str">
            <v>oxygen</v>
          </cell>
          <cell r="C2027" t="str">
            <v>from technosphere (material)</v>
          </cell>
          <cell r="D2027"/>
          <cell r="E2027" t="str">
            <v>Mass</v>
          </cell>
          <cell r="F2027">
            <v>6.4777327999999995E-2</v>
          </cell>
          <cell r="G2027" t="str">
            <v>tonne</v>
          </cell>
          <cell r="H2027">
            <v>1</v>
          </cell>
          <cell r="I2027" t="str">
            <v>none</v>
          </cell>
          <cell r="J2027" t="str">
            <v>plastics monomer production inventories, from Meng et al. (2023), DOI 10.1073/pnas.2218294120</v>
          </cell>
          <cell r="K2027" t="str">
            <v>Same as pyrolysis electric + by product upgrade BC</v>
          </cell>
          <cell r="L2027" t="str">
            <v>see log sheet</v>
          </cell>
        </row>
        <row r="2028">
          <cell r="A2028" t="str">
            <v>[Meng] Ethylene production via Pyrolysis oil electric steam cracking + CCS + by-product upgrade</v>
          </cell>
          <cell r="B2028" t="str">
            <v>electricity</v>
          </cell>
          <cell r="C2028" t="str">
            <v>from technosphere (energy_carrier)</v>
          </cell>
          <cell r="D2028"/>
          <cell r="E2028" t="str">
            <v>Energy</v>
          </cell>
          <cell r="F2028">
            <v>0.46537651800000002</v>
          </cell>
          <cell r="G2028" t="str">
            <v>GJ</v>
          </cell>
          <cell r="H2028">
            <v>1</v>
          </cell>
          <cell r="I2028" t="str">
            <v>none</v>
          </cell>
          <cell r="J2028" t="str">
            <v>plastics monomer production inventories, from Meng et al. (2023), DOI 10.1073/pnas.2218294120</v>
          </cell>
          <cell r="K2028" t="str">
            <v>Same as pyrolysis electric + by product upgrade BC</v>
          </cell>
          <cell r="L2028" t="str">
            <v>see log sheet</v>
          </cell>
        </row>
        <row r="2029">
          <cell r="A2029" t="str">
            <v>[Meng] Ethylene production via Pyrolysis oil electric steam cracking + CCS + by-product upgrade</v>
          </cell>
          <cell r="B2029" t="str">
            <v>electricity</v>
          </cell>
          <cell r="C2029" t="str">
            <v>from technosphere (energy_carrier)</v>
          </cell>
          <cell r="D2029"/>
          <cell r="E2029" t="str">
            <v>Energy</v>
          </cell>
          <cell r="F2029">
            <v>8.1201133599999995</v>
          </cell>
          <cell r="G2029" t="str">
            <v>GJ</v>
          </cell>
          <cell r="H2029">
            <v>1</v>
          </cell>
          <cell r="I2029" t="str">
            <v>none</v>
          </cell>
          <cell r="J2029" t="str">
            <v>plastics monomer production inventories, from Meng et al. (2023), DOI 10.1073/pnas.2218294120</v>
          </cell>
          <cell r="K2029" t="str">
            <v>Same as pyrolysis electric + by product upgrade BC</v>
          </cell>
          <cell r="L2029" t="str">
            <v>see log sheet</v>
          </cell>
        </row>
        <row r="2030">
          <cell r="A2030" t="str">
            <v>[Meng] Ethylene production via Pyrolysis oil electric steam cracking + CCS + by-product upgrade</v>
          </cell>
          <cell r="B2030" t="str">
            <v>electricity</v>
          </cell>
          <cell r="C2030" t="str">
            <v>from technosphere (energy_carrier)</v>
          </cell>
          <cell r="D2030"/>
          <cell r="E2030" t="str">
            <v>Energy</v>
          </cell>
          <cell r="F2030">
            <v>1.5591093119999999</v>
          </cell>
          <cell r="G2030" t="str">
            <v>GJ</v>
          </cell>
          <cell r="H2030">
            <v>1</v>
          </cell>
          <cell r="I2030" t="str">
            <v>none</v>
          </cell>
          <cell r="J2030" t="str">
            <v>plastics monomer production inventories, from Meng et al. (2023), DOI 10.1073/pnas.2218294120</v>
          </cell>
          <cell r="K2030" t="str">
            <v>Same as pyrolysis electric + by product upgrade BC</v>
          </cell>
          <cell r="L2030" t="str">
            <v>see log sheet</v>
          </cell>
        </row>
        <row r="2031">
          <cell r="A2031" t="str">
            <v>[Meng] Ethylene production via Pyrolysis oil electric steam cracking + CCS + by-product upgrade</v>
          </cell>
          <cell r="B2031" t="str">
            <v>electricity</v>
          </cell>
          <cell r="C2031" t="str">
            <v>from technosphere (energy_carrier)</v>
          </cell>
          <cell r="D2031"/>
          <cell r="E2031" t="str">
            <v>Energy</v>
          </cell>
          <cell r="F2031">
            <v>1.363190283</v>
          </cell>
          <cell r="G2031" t="str">
            <v>GJ</v>
          </cell>
          <cell r="H2031">
            <v>1</v>
          </cell>
          <cell r="I2031" t="str">
            <v>none</v>
          </cell>
          <cell r="J2031" t="str">
            <v>plastics monomer production inventories, from Meng et al. (2023), DOI 10.1073/pnas.2218294120</v>
          </cell>
          <cell r="K2031" t="str">
            <v>Same as naphtha steam cracking + CCS + by-product upgrade business case</v>
          </cell>
          <cell r="L2031" t="str">
            <v>see log sheet</v>
          </cell>
        </row>
        <row r="2032">
          <cell r="A2032" t="str">
            <v>[Meng] Ethylene production via Pyrolysis oil electric steam cracking + CCS + by-product upgrade</v>
          </cell>
          <cell r="B2032" t="str">
            <v>electricity</v>
          </cell>
          <cell r="C2032" t="str">
            <v>from technosphere (energy_carrier)</v>
          </cell>
          <cell r="D2032"/>
          <cell r="E2032" t="str">
            <v>Energy</v>
          </cell>
          <cell r="F2032">
            <v>11.507789470000001</v>
          </cell>
          <cell r="G2032" t="str">
            <v>GJ</v>
          </cell>
          <cell r="H2032">
            <v>1</v>
          </cell>
          <cell r="I2032" t="str">
            <v>none</v>
          </cell>
          <cell r="J2032" t="str">
            <v>plastics monomer production inventories, from Meng et al. (2023), DOI 10.1073/pnas.2218294120</v>
          </cell>
          <cell r="K2032"/>
          <cell r="L2032" t="str">
            <v>see log sheet</v>
          </cell>
        </row>
        <row r="2033">
          <cell r="A2033" t="str">
            <v>[Meng] Ethylene production via Bioethanol Dehydration</v>
          </cell>
          <cell r="B2033" t="str">
            <v>ethylene</v>
          </cell>
          <cell r="C2033" t="str">
            <v>reference_product</v>
          </cell>
          <cell r="D2033">
            <v>271114</v>
          </cell>
          <cell r="E2033" t="str">
            <v>Mass</v>
          </cell>
          <cell r="F2033">
            <v>1</v>
          </cell>
          <cell r="G2033" t="str">
            <v>tonne</v>
          </cell>
          <cell r="H2033">
            <v>1</v>
          </cell>
          <cell r="I2033" t="str">
            <v>none</v>
          </cell>
          <cell r="J2033"/>
          <cell r="K2033"/>
          <cell r="L2033"/>
        </row>
        <row r="2034">
          <cell r="A2034" t="str">
            <v>[Meng] Ethylene production via Bioethanol Dehydration</v>
          </cell>
          <cell r="B2034" t="str">
            <v>electricity</v>
          </cell>
          <cell r="C2034" t="str">
            <v>from technosphere (energy_carrier)</v>
          </cell>
          <cell r="D2034"/>
          <cell r="E2034" t="str">
            <v>Energy</v>
          </cell>
          <cell r="F2034">
            <v>7</v>
          </cell>
          <cell r="G2034" t="str">
            <v>GJ</v>
          </cell>
          <cell r="H2034">
            <v>1</v>
          </cell>
          <cell r="I2034" t="str">
            <v>none</v>
          </cell>
          <cell r="J2034" t="str">
            <v>plastics monomer production inventories, from Meng et al. (2023), DOI 10.1073/pnas.2218294120</v>
          </cell>
          <cell r="K2034" t="str">
            <v>Assumption &amp; expert conversation</v>
          </cell>
          <cell r="L2034" t="str">
            <v>see log sheet</v>
          </cell>
        </row>
        <row r="2035">
          <cell r="A2035" t="str">
            <v>[Meng] Ethylene production via Bioethanol Dehydration</v>
          </cell>
          <cell r="B2035" t="str">
            <v>ethanol</v>
          </cell>
          <cell r="C2035" t="str">
            <v>from technosphere (material)</v>
          </cell>
          <cell r="D2035"/>
          <cell r="E2035" t="str">
            <v>Mass</v>
          </cell>
          <cell r="F2035">
            <v>1.74</v>
          </cell>
          <cell r="G2035" t="str">
            <v>tonne</v>
          </cell>
          <cell r="H2035">
            <v>1</v>
          </cell>
          <cell r="I2035" t="str">
            <v>none</v>
          </cell>
          <cell r="J2035" t="str">
            <v>plastics monomer production inventories, from Meng et al. (2023), DOI 10.1073/pnas.2218294120</v>
          </cell>
          <cell r="K2035" t="str">
            <v>1.74 t ethanol/t ethylene provided by PBL source. Assuming variable OPEX does not consist of electricity as the process produces excess electricity that it sells back to the grid, and assuming variable OPEX is 75 USD/t ethylene (see note for fixed O&amp;M above), then price of bioethanol is roughly 75/1.74 = 43 USD/t bioethanol --&gt; this is inputed in Prices tab</v>
          </cell>
          <cell r="L2035" t="str">
            <v>see log sheet</v>
          </cell>
        </row>
        <row r="2036">
          <cell r="A2036" t="str">
            <v>[Meng] Propylene production via Naphtha steam cracking + CCS</v>
          </cell>
          <cell r="B2036" t="str">
            <v>propylene</v>
          </cell>
          <cell r="C2036" t="str">
            <v>reference_product</v>
          </cell>
          <cell r="D2036">
            <v>271114</v>
          </cell>
          <cell r="E2036" t="str">
            <v>Mass</v>
          </cell>
          <cell r="F2036">
            <v>1</v>
          </cell>
          <cell r="G2036" t="str">
            <v>tonne</v>
          </cell>
          <cell r="H2036">
            <v>1</v>
          </cell>
          <cell r="I2036" t="str">
            <v>none</v>
          </cell>
          <cell r="J2036"/>
          <cell r="K2036"/>
          <cell r="L2036"/>
        </row>
        <row r="2037">
          <cell r="A2037" t="str">
            <v>[Meng] Propylene production via Naphtha steam cracking + CCS</v>
          </cell>
          <cell r="B2037" t="str">
            <v>naphtha</v>
          </cell>
          <cell r="C2037" t="str">
            <v>from technosphere (material)</v>
          </cell>
          <cell r="D2037"/>
          <cell r="E2037" t="str">
            <v>Mass</v>
          </cell>
          <cell r="F2037">
            <v>0.98744939300000001</v>
          </cell>
          <cell r="G2037" t="str">
            <v>tonne</v>
          </cell>
          <cell r="H2037">
            <v>1</v>
          </cell>
          <cell r="I2037" t="str">
            <v>none</v>
          </cell>
          <cell r="J2037" t="str">
            <v>plastics monomer production inventories, from Meng et al. (2023), DOI 10.1073/pnas.2218294120</v>
          </cell>
          <cell r="K2037" t="str">
            <v xml:space="preserve">Value taken from Reshaping Plastics (2022) model in sheet 'Dynamic_input_output' </v>
          </cell>
          <cell r="L2037" t="str">
            <v>see log sheet</v>
          </cell>
        </row>
        <row r="2038">
          <cell r="A2038" t="str">
            <v>[Meng] Propylene production via Naphtha steam cracking + CCS</v>
          </cell>
          <cell r="B2038" t="str">
            <v>ethane</v>
          </cell>
          <cell r="C2038" t="str">
            <v>from technosphere (material)</v>
          </cell>
          <cell r="D2038"/>
          <cell r="E2038" t="str">
            <v>Mass</v>
          </cell>
          <cell r="F2038">
            <v>0</v>
          </cell>
          <cell r="G2038" t="str">
            <v>tonne</v>
          </cell>
          <cell r="H2038">
            <v>1</v>
          </cell>
          <cell r="I2038" t="str">
            <v>none</v>
          </cell>
          <cell r="J2038" t="str">
            <v>plastics monomer production inventories, from Meng et al. (2023), DOI 10.1073/pnas.2218294120</v>
          </cell>
          <cell r="K2038" t="str">
            <v xml:space="preserve">Value taken from Reshaping Plastics (2022) model in sheet 'Dynamic_input_output' </v>
          </cell>
          <cell r="L2038" t="str">
            <v>see log sheet</v>
          </cell>
        </row>
        <row r="2039">
          <cell r="A2039" t="str">
            <v>[Meng] Propylene production via Naphtha steam cracking + CCS</v>
          </cell>
          <cell r="B2039" t="str">
            <v>propane</v>
          </cell>
          <cell r="C2039" t="str">
            <v>from technosphere (material)</v>
          </cell>
          <cell r="D2039"/>
          <cell r="E2039" t="str">
            <v>Mass</v>
          </cell>
          <cell r="F2039">
            <v>2.4696355999999999E-2</v>
          </cell>
          <cell r="G2039" t="str">
            <v>tonne</v>
          </cell>
          <cell r="H2039">
            <v>1</v>
          </cell>
          <cell r="I2039" t="str">
            <v>none</v>
          </cell>
          <cell r="J2039" t="str">
            <v>plastics monomer production inventories, from Meng et al. (2023), DOI 10.1073/pnas.2218294120</v>
          </cell>
          <cell r="K2039" t="str">
            <v xml:space="preserve">Value taken from Reshaping Plastics (2022) model in sheet 'Dynamic_input_output' </v>
          </cell>
          <cell r="L2039" t="str">
            <v>see log sheet</v>
          </cell>
        </row>
        <row r="2040">
          <cell r="A2040" t="str">
            <v>[Meng] Propylene production via Naphtha steam cracking + CCS</v>
          </cell>
          <cell r="B2040" t="str">
            <v>off-gases</v>
          </cell>
          <cell r="C2040" t="str">
            <v>from technosphere (energy_carrier)</v>
          </cell>
          <cell r="D2040"/>
          <cell r="E2040" t="str">
            <v>Energy</v>
          </cell>
          <cell r="F2040">
            <v>8.8663967610000007</v>
          </cell>
          <cell r="G2040" t="str">
            <v>GJ</v>
          </cell>
          <cell r="H2040">
            <v>1</v>
          </cell>
          <cell r="I2040" t="str">
            <v>none</v>
          </cell>
          <cell r="J2040" t="str">
            <v>plastics monomer production inventories, from Meng et al. (2023), DOI 10.1073/pnas.2218294120</v>
          </cell>
          <cell r="K2040" t="str">
            <v xml:space="preserve">Value taken from Reshaping Plastics (2022) model in sheet 'Dynamic_input_output' </v>
          </cell>
          <cell r="L2040" t="str">
            <v>see log sheet</v>
          </cell>
        </row>
        <row r="2041">
          <cell r="A2041" t="str">
            <v>[Meng] Propylene production via Naphtha steam cracking + CCS</v>
          </cell>
          <cell r="B2041" t="str">
            <v>electricity</v>
          </cell>
          <cell r="C2041" t="str">
            <v>from technosphere (energy_carrier)</v>
          </cell>
          <cell r="D2041"/>
          <cell r="E2041" t="str">
            <v>Energy</v>
          </cell>
          <cell r="F2041">
            <v>0.415119081</v>
          </cell>
          <cell r="G2041" t="str">
            <v>GJ</v>
          </cell>
          <cell r="H2041">
            <v>1</v>
          </cell>
          <cell r="I2041" t="str">
            <v>none</v>
          </cell>
          <cell r="J2041" t="str">
            <v>plastics monomer production inventories, from Meng et al. (2023), DOI 10.1073/pnas.2218294120</v>
          </cell>
          <cell r="K2041" t="str">
            <v xml:space="preserve">Same value as conventional steam cracker. </v>
          </cell>
          <cell r="L2041" t="str">
            <v>see log sheet</v>
          </cell>
        </row>
        <row r="2042">
          <cell r="A2042" t="str">
            <v>[Meng] Propylene production via Naphtha steam cracking + CCS</v>
          </cell>
          <cell r="B2042" t="str">
            <v>electricity</v>
          </cell>
          <cell r="C2042" t="str">
            <v>from technosphere (energy_carrier)</v>
          </cell>
          <cell r="D2042"/>
          <cell r="E2042" t="str">
            <v>Energy</v>
          </cell>
          <cell r="F2042">
            <v>1.363190283</v>
          </cell>
          <cell r="G2042" t="str">
            <v>GJ</v>
          </cell>
          <cell r="H2042">
            <v>1</v>
          </cell>
          <cell r="I2042" t="str">
            <v>none</v>
          </cell>
          <cell r="J2042" t="str">
            <v>plastics monomer production inventories, from Meng et al. (2023), DOI 10.1073/pnas.2218294120</v>
          </cell>
          <cell r="K2042" t="str">
            <v xml:space="preserve">CCS on steam cracker. Total value of 'Naphtha steam cracking + CCS' electricity demand from Reshaping Plastics (2022) model, with subtracted the electricity demand of 'Naphtha steam cracking'. </v>
          </cell>
          <cell r="L2042" t="str">
            <v>see log sheet</v>
          </cell>
        </row>
        <row r="2043">
          <cell r="A2043" t="str">
            <v>[Meng] Propylene production via Naphtha steam cracking + CCS</v>
          </cell>
          <cell r="B2043" t="str">
            <v>electricity</v>
          </cell>
          <cell r="C2043" t="str">
            <v>from technosphere (energy_carrier)</v>
          </cell>
          <cell r="D2043"/>
          <cell r="E2043" t="str">
            <v>Energy</v>
          </cell>
          <cell r="F2043">
            <v>1.7783093640000001</v>
          </cell>
          <cell r="G2043" t="str">
            <v>GJ</v>
          </cell>
          <cell r="H2043">
            <v>1</v>
          </cell>
          <cell r="I2043" t="str">
            <v>none</v>
          </cell>
          <cell r="J2043" t="str">
            <v>plastics monomer production inventories, from Meng et al. (2023), DOI 10.1073/pnas.2218294120</v>
          </cell>
          <cell r="K2043" t="str">
            <v xml:space="preserve">Value taken from Reshaping Plastics (2022) model in sheet 'Dynamic_input_output' </v>
          </cell>
          <cell r="L2043" t="str">
            <v>see log sheet</v>
          </cell>
        </row>
        <row r="2044">
          <cell r="A2044" t="str">
            <v>[Meng] Propylene production via Naphtha steam cracking + CCS</v>
          </cell>
          <cell r="B2044" t="str">
            <v>carbon dioxide</v>
          </cell>
          <cell r="C2044" t="str">
            <v>to environment (emission, direct)</v>
          </cell>
          <cell r="D2044"/>
          <cell r="E2044" t="str">
            <v>Mass</v>
          </cell>
          <cell r="F2044">
            <v>2.9702428999999999E-2</v>
          </cell>
          <cell r="G2044" t="str">
            <v>tonne</v>
          </cell>
          <cell r="H2044">
            <v>1</v>
          </cell>
          <cell r="I2044" t="str">
            <v>none</v>
          </cell>
          <cell r="J2044" t="str">
            <v>adding direct emissions to plastics monomer production inventories, from Meng et al. (2023), DOI 10.1073/pnas.2218294120</v>
          </cell>
          <cell r="K2044" t="str">
            <v>only off-gas-based emissions, assume same carbon content per energy as for natural gas (off-gas has both H2 and olefin (Ethane, butane) content, assume they roughly cancel out in rel. to CO2 per MJ.</v>
          </cell>
          <cell r="L2044" t="str">
            <v>see log sheet</v>
          </cell>
        </row>
        <row r="2045">
          <cell r="A2045" t="str">
            <v>[Meng] Propylene production via Naphtha electric steam cracking</v>
          </cell>
          <cell r="B2045" t="str">
            <v>propylene</v>
          </cell>
          <cell r="C2045" t="str">
            <v>reference_product</v>
          </cell>
          <cell r="D2045">
            <v>271114</v>
          </cell>
          <cell r="E2045" t="str">
            <v>Mass</v>
          </cell>
          <cell r="F2045">
            <v>1</v>
          </cell>
          <cell r="G2045" t="str">
            <v>tonne</v>
          </cell>
          <cell r="H2045">
            <v>1</v>
          </cell>
          <cell r="I2045" t="str">
            <v>none</v>
          </cell>
          <cell r="J2045"/>
          <cell r="K2045"/>
          <cell r="L2045"/>
        </row>
        <row r="2046">
          <cell r="A2046" t="str">
            <v>[Meng] Propylene production via Naphtha electric steam cracking</v>
          </cell>
          <cell r="B2046" t="str">
            <v>naphtha</v>
          </cell>
          <cell r="C2046" t="str">
            <v>from technosphere (material)</v>
          </cell>
          <cell r="D2046"/>
          <cell r="E2046" t="str">
            <v>Mass</v>
          </cell>
          <cell r="F2046">
            <v>0.98744939300000001</v>
          </cell>
          <cell r="G2046" t="str">
            <v>tonne</v>
          </cell>
          <cell r="H2046">
            <v>1</v>
          </cell>
          <cell r="I2046" t="str">
            <v>none</v>
          </cell>
          <cell r="J2046" t="str">
            <v>plastics monomer production inventories, from Meng et al. (2023), DOI 10.1073/pnas.2218294120</v>
          </cell>
          <cell r="K2046" t="str">
            <v xml:space="preserve">Value taken from Reshaping Plastics (2022) model in sheet 'Dynamic_input_output' </v>
          </cell>
          <cell r="L2046" t="str">
            <v>see log sheet</v>
          </cell>
        </row>
        <row r="2047">
          <cell r="A2047" t="str">
            <v>[Meng] Propylene production via Naphtha electric steam cracking</v>
          </cell>
          <cell r="B2047" t="str">
            <v>ethane</v>
          </cell>
          <cell r="C2047" t="str">
            <v>from technosphere (material)</v>
          </cell>
          <cell r="D2047"/>
          <cell r="E2047" t="str">
            <v>Mass</v>
          </cell>
          <cell r="F2047">
            <v>0</v>
          </cell>
          <cell r="G2047" t="str">
            <v>tonne</v>
          </cell>
          <cell r="H2047">
            <v>1</v>
          </cell>
          <cell r="I2047" t="str">
            <v>none</v>
          </cell>
          <cell r="J2047" t="str">
            <v>plastics monomer production inventories, from Meng et al. (2023), DOI 10.1073/pnas.2218294120</v>
          </cell>
          <cell r="K2047" t="str">
            <v xml:space="preserve">Value taken from Reshaping Plastics (2022) model in sheet 'Dynamic_input_output' </v>
          </cell>
          <cell r="L2047" t="str">
            <v>see log sheet</v>
          </cell>
        </row>
        <row r="2048">
          <cell r="A2048" t="str">
            <v>[Meng] Propylene production via Naphtha electric steam cracking</v>
          </cell>
          <cell r="B2048" t="str">
            <v>propane</v>
          </cell>
          <cell r="C2048" t="str">
            <v>from technosphere (material)</v>
          </cell>
          <cell r="D2048"/>
          <cell r="E2048" t="str">
            <v>Mass</v>
          </cell>
          <cell r="F2048">
            <v>2.4696355999999999E-2</v>
          </cell>
          <cell r="G2048" t="str">
            <v>tonne</v>
          </cell>
          <cell r="H2048">
            <v>1</v>
          </cell>
          <cell r="I2048" t="str">
            <v>none</v>
          </cell>
          <cell r="J2048" t="str">
            <v>plastics monomer production inventories, from Meng et al. (2023), DOI 10.1073/pnas.2218294120</v>
          </cell>
          <cell r="K2048" t="str">
            <v xml:space="preserve">Value taken from Reshaping Plastics (2022) model in sheet 'Dynamic_input_output' </v>
          </cell>
          <cell r="L2048" t="str">
            <v>see log sheet</v>
          </cell>
        </row>
        <row r="2049">
          <cell r="A2049" t="str">
            <v>[Meng] Propylene production via Naphtha electric steam cracking</v>
          </cell>
          <cell r="B2049" t="str">
            <v>electricity</v>
          </cell>
          <cell r="C2049" t="str">
            <v>from technosphere (energy_carrier)</v>
          </cell>
          <cell r="D2049"/>
          <cell r="E2049" t="str">
            <v>Energy</v>
          </cell>
          <cell r="F2049">
            <v>8.1201133599999995</v>
          </cell>
          <cell r="G2049" t="str">
            <v>GJ</v>
          </cell>
          <cell r="H2049">
            <v>1</v>
          </cell>
          <cell r="I2049" t="str">
            <v>none</v>
          </cell>
          <cell r="J2049" t="str">
            <v>plastics monomer production inventories, from Meng et al. (2023), DOI 10.1073/pnas.2218294120</v>
          </cell>
          <cell r="K2049" t="str">
            <v>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v>
          </cell>
          <cell r="L2049" t="str">
            <v>see log sheet</v>
          </cell>
        </row>
        <row r="2050">
          <cell r="A2050" t="str">
            <v>[Meng] Propylene production via Naphtha electric steam cracking + by-product upgrade</v>
          </cell>
          <cell r="B2050" t="str">
            <v>propylene</v>
          </cell>
          <cell r="C2050" t="str">
            <v>reference_product</v>
          </cell>
          <cell r="D2050">
            <v>271114</v>
          </cell>
          <cell r="E2050" t="str">
            <v>Mass</v>
          </cell>
          <cell r="F2050">
            <v>1</v>
          </cell>
          <cell r="G2050" t="str">
            <v>tonne</v>
          </cell>
          <cell r="H2050">
            <v>1</v>
          </cell>
          <cell r="I2050" t="str">
            <v>none</v>
          </cell>
          <cell r="J2050"/>
          <cell r="K2050"/>
          <cell r="L2050"/>
        </row>
        <row r="2051">
          <cell r="A2051" t="str">
            <v>[Meng] Propylene production via Naphtha electric steam cracking + by-product upgrade</v>
          </cell>
          <cell r="B2051" t="str">
            <v>naphtha</v>
          </cell>
          <cell r="C2051" t="str">
            <v>from technosphere (material)</v>
          </cell>
          <cell r="D2051"/>
          <cell r="E2051" t="str">
            <v>Mass</v>
          </cell>
          <cell r="F2051">
            <v>0.84939271299999997</v>
          </cell>
          <cell r="G2051" t="str">
            <v>tonne</v>
          </cell>
          <cell r="H2051">
            <v>1</v>
          </cell>
          <cell r="I2051" t="str">
            <v>none</v>
          </cell>
          <cell r="J2051" t="str">
            <v>plastics monomer production inventories, from Meng et al. (2023), DOI 10.1073/pnas.2218294120</v>
          </cell>
          <cell r="K2051" t="str">
            <v xml:space="preserve">Value taken from Reshaping Plastics (2022) model in sheet 'Dynamic_input_output' </v>
          </cell>
          <cell r="L2051" t="str">
            <v>see log sheet</v>
          </cell>
        </row>
        <row r="2052">
          <cell r="A2052" t="str">
            <v>[Meng] Propylene production via Naphtha electric steam cracking + by-product upgrade</v>
          </cell>
          <cell r="B2052" t="str">
            <v>ethane</v>
          </cell>
          <cell r="C2052" t="str">
            <v>from technosphere (material)</v>
          </cell>
          <cell r="D2052"/>
          <cell r="E2052" t="str">
            <v>Mass</v>
          </cell>
          <cell r="F2052">
            <v>0</v>
          </cell>
          <cell r="G2052" t="str">
            <v>tonne</v>
          </cell>
          <cell r="H2052">
            <v>1</v>
          </cell>
          <cell r="I2052" t="str">
            <v>none</v>
          </cell>
          <cell r="J2052" t="str">
            <v>plastics monomer production inventories, from Meng et al. (2023), DOI 10.1073/pnas.2218294120</v>
          </cell>
          <cell r="K2052" t="str">
            <v xml:space="preserve">Value taken from Reshaping Plastics (2022) model in sheet 'Dynamic_input_output' </v>
          </cell>
          <cell r="L2052" t="str">
            <v>see log sheet</v>
          </cell>
        </row>
        <row r="2053">
          <cell r="A2053" t="str">
            <v>[Meng] Propylene production via Naphtha electric steam cracking + by-product upgrade</v>
          </cell>
          <cell r="B2053" t="str">
            <v>propane</v>
          </cell>
          <cell r="C2053" t="str">
            <v>from technosphere (material)</v>
          </cell>
          <cell r="D2053"/>
          <cell r="E2053" t="str">
            <v>Mass</v>
          </cell>
          <cell r="F2053">
            <v>2.1052632000000002E-2</v>
          </cell>
          <cell r="G2053" t="str">
            <v>tonne</v>
          </cell>
          <cell r="H2053">
            <v>1</v>
          </cell>
          <cell r="I2053" t="str">
            <v>none</v>
          </cell>
          <cell r="J2053" t="str">
            <v>plastics monomer production inventories, from Meng et al. (2023), DOI 10.1073/pnas.2218294120</v>
          </cell>
          <cell r="K2053" t="str">
            <v xml:space="preserve">Value taken from Reshaping Plastics (2022) model in sheet 'Dynamic_input_output' </v>
          </cell>
          <cell r="L2053" t="str">
            <v>see log sheet</v>
          </cell>
        </row>
        <row r="2054">
          <cell r="A2054" t="str">
            <v>[Meng] Propylene production via Naphtha electric steam cracking + by-product upgrade</v>
          </cell>
          <cell r="B2054" t="str">
            <v>oxygen</v>
          </cell>
          <cell r="C2054" t="str">
            <v>from technosphere (material)</v>
          </cell>
          <cell r="D2054"/>
          <cell r="E2054" t="str">
            <v>Mass</v>
          </cell>
          <cell r="F2054">
            <v>6.4777327999999995E-2</v>
          </cell>
          <cell r="G2054" t="str">
            <v>tonne</v>
          </cell>
          <cell r="H2054">
            <v>1</v>
          </cell>
          <cell r="I2054" t="str">
            <v>none</v>
          </cell>
          <cell r="J2054" t="str">
            <v>plastics monomer production inventories, from Meng et al. (2023), DOI 10.1073/pnas.2218294120</v>
          </cell>
          <cell r="K2054" t="str">
            <v xml:space="preserve">Value taken from Reshaping Plastics (2022) model in sheet 'Dynamic_input_output' </v>
          </cell>
          <cell r="L2054" t="str">
            <v>see log sheet</v>
          </cell>
        </row>
        <row r="2055">
          <cell r="A2055" t="str">
            <v>[Meng] Propylene production via Naphtha electric steam cracking + by-product upgrade</v>
          </cell>
          <cell r="B2055" t="str">
            <v>electricity</v>
          </cell>
          <cell r="C2055" t="str">
            <v>from technosphere (energy_carrier)</v>
          </cell>
          <cell r="D2055"/>
          <cell r="E2055" t="str">
            <v>Energy</v>
          </cell>
          <cell r="F2055">
            <v>9.6792226719999999</v>
          </cell>
          <cell r="G2055" t="str">
            <v>GJ</v>
          </cell>
          <cell r="H2055">
            <v>1</v>
          </cell>
          <cell r="I2055" t="str">
            <v>none</v>
          </cell>
          <cell r="J2055" t="str">
            <v>plastics monomer production inventories, from Meng et al. (2023), DOI 10.1073/pnas.2218294120</v>
          </cell>
          <cell r="K2055" t="str">
            <v xml:space="preserve">Value taken from Reshaping Plastics (2022) model in sheet 'Dynamic_input_output' </v>
          </cell>
          <cell r="L2055" t="str">
            <v>see log sheet</v>
          </cell>
        </row>
        <row r="2056">
          <cell r="A2056" t="str">
            <v>[Meng] Propylene production via Naphtha electric steam cracking + by-product upgrade</v>
          </cell>
          <cell r="B2056" t="str">
            <v>hydrogen</v>
          </cell>
          <cell r="C2056" t="str">
            <v>from technosphere (material)</v>
          </cell>
          <cell r="D2056"/>
          <cell r="E2056" t="str">
            <v>Mass</v>
          </cell>
          <cell r="F2056">
            <v>1.9190282999999999E-2</v>
          </cell>
          <cell r="G2056" t="str">
            <v>tonne</v>
          </cell>
          <cell r="H2056">
            <v>1</v>
          </cell>
          <cell r="I2056" t="str">
            <v>none</v>
          </cell>
          <cell r="J2056" t="str">
            <v>plastics monomer production inventories, from Meng et al. (2023), DOI 10.1073/pnas.2218294120</v>
          </cell>
          <cell r="K2056"/>
          <cell r="L2056" t="str">
            <v>see log sheet</v>
          </cell>
        </row>
        <row r="2057">
          <cell r="A2057" t="str">
            <v>[Meng] Propylene production via Naphtha H2 steam cracking</v>
          </cell>
          <cell r="B2057" t="str">
            <v>propylene</v>
          </cell>
          <cell r="C2057" t="str">
            <v>reference_product</v>
          </cell>
          <cell r="D2057">
            <v>271114</v>
          </cell>
          <cell r="E2057" t="str">
            <v>Mass</v>
          </cell>
          <cell r="F2057">
            <v>1</v>
          </cell>
          <cell r="G2057" t="str">
            <v>tonne</v>
          </cell>
          <cell r="H2057">
            <v>1</v>
          </cell>
          <cell r="I2057" t="str">
            <v>none</v>
          </cell>
          <cell r="J2057"/>
          <cell r="K2057"/>
          <cell r="L2057"/>
        </row>
        <row r="2058">
          <cell r="A2058" t="str">
            <v>[Meng] Propylene production via Naphtha H2 steam cracking</v>
          </cell>
          <cell r="B2058" t="str">
            <v>naphtha</v>
          </cell>
          <cell r="C2058" t="str">
            <v>from technosphere (material)</v>
          </cell>
          <cell r="D2058"/>
          <cell r="E2058" t="str">
            <v>Mass</v>
          </cell>
          <cell r="F2058">
            <v>0.98744939300000001</v>
          </cell>
          <cell r="G2058" t="str">
            <v>tonne</v>
          </cell>
          <cell r="H2058">
            <v>1</v>
          </cell>
          <cell r="I2058" t="str">
            <v>none</v>
          </cell>
          <cell r="J2058" t="str">
            <v>plastics monomer production inventories, from Meng et al. (2023), DOI 10.1073/pnas.2218294120</v>
          </cell>
          <cell r="K2058" t="str">
            <v xml:space="preserve">Value taken from Reshaping Plastics (2022) model in sheet 'Dynamic_input_output' </v>
          </cell>
          <cell r="L2058" t="str">
            <v>see log sheet</v>
          </cell>
        </row>
        <row r="2059">
          <cell r="A2059" t="str">
            <v>[Meng] Propylene production via Naphtha H2 steam cracking</v>
          </cell>
          <cell r="B2059" t="str">
            <v>ethane</v>
          </cell>
          <cell r="C2059" t="str">
            <v>from technosphere (material)</v>
          </cell>
          <cell r="D2059"/>
          <cell r="E2059" t="str">
            <v>Mass</v>
          </cell>
          <cell r="F2059">
            <v>0</v>
          </cell>
          <cell r="G2059" t="str">
            <v>tonne</v>
          </cell>
          <cell r="H2059">
            <v>1</v>
          </cell>
          <cell r="I2059" t="str">
            <v>none</v>
          </cell>
          <cell r="J2059" t="str">
            <v>plastics monomer production inventories, from Meng et al. (2023), DOI 10.1073/pnas.2218294120</v>
          </cell>
          <cell r="K2059" t="str">
            <v xml:space="preserve">Value taken from Reshaping Plastics (2022) model in sheet 'Dynamic_input_output' </v>
          </cell>
          <cell r="L2059" t="str">
            <v>see log sheet</v>
          </cell>
        </row>
        <row r="2060">
          <cell r="A2060" t="str">
            <v>[Meng] Propylene production via Naphtha H2 steam cracking</v>
          </cell>
          <cell r="B2060" t="str">
            <v>propane</v>
          </cell>
          <cell r="C2060" t="str">
            <v>from technosphere (material)</v>
          </cell>
          <cell r="D2060"/>
          <cell r="E2060" t="str">
            <v>Mass</v>
          </cell>
          <cell r="F2060">
            <v>2.4696355999999999E-2</v>
          </cell>
          <cell r="G2060" t="str">
            <v>tonne</v>
          </cell>
          <cell r="H2060">
            <v>1</v>
          </cell>
          <cell r="I2060" t="str">
            <v>none</v>
          </cell>
          <cell r="J2060" t="str">
            <v>plastics monomer production inventories, from Meng et al. (2023), DOI 10.1073/pnas.2218294120</v>
          </cell>
          <cell r="K2060" t="str">
            <v xml:space="preserve">Value taken from Reshaping Plastics (2022) model in sheet 'Dynamic_input_output' </v>
          </cell>
          <cell r="L2060" t="str">
            <v>see log sheet</v>
          </cell>
        </row>
        <row r="2061">
          <cell r="A2061" t="str">
            <v>[Meng] Propylene production via Naphtha H2 steam cracking</v>
          </cell>
          <cell r="B2061" t="str">
            <v>hydrogen</v>
          </cell>
          <cell r="C2061" t="str">
            <v>from technosphere (material)</v>
          </cell>
          <cell r="D2061"/>
          <cell r="E2061" t="str">
            <v>Mass</v>
          </cell>
          <cell r="F2061">
            <v>7.3886640000000003E-2</v>
          </cell>
          <cell r="G2061" t="str">
            <v>tonne</v>
          </cell>
          <cell r="H2061">
            <v>1</v>
          </cell>
          <cell r="I2061" t="str">
            <v>none</v>
          </cell>
          <cell r="J2061" t="str">
            <v>plastics monomer production inventories, from Meng et al. (2023), DOI 10.1073/pnas.2218294120</v>
          </cell>
          <cell r="K2061" t="str">
            <v xml:space="preserve">Value taken from Reshaping Plastics (2022) model in sheet 'Dynamic_input_output' </v>
          </cell>
          <cell r="L2061" t="str">
            <v>see log sheet</v>
          </cell>
        </row>
        <row r="2062">
          <cell r="A2062" t="str">
            <v>[Meng] Propylene production via Naphtha H2 steam cracking</v>
          </cell>
          <cell r="B2062" t="str">
            <v>electricity</v>
          </cell>
          <cell r="C2062" t="str">
            <v>from technosphere (energy_carrier)</v>
          </cell>
          <cell r="D2062"/>
          <cell r="E2062" t="str">
            <v>Energy</v>
          </cell>
          <cell r="F2062">
            <v>1.0253441299999999</v>
          </cell>
          <cell r="G2062" t="str">
            <v>GJ</v>
          </cell>
          <cell r="H2062">
            <v>1</v>
          </cell>
          <cell r="I2062" t="str">
            <v>none</v>
          </cell>
          <cell r="J2062" t="str">
            <v>plastics monomer production inventories, from Meng et al. (2023), DOI 10.1073/pnas.2218294120</v>
          </cell>
          <cell r="K2062" t="str">
            <v xml:space="preserve">Value taken from Reshaping Plastics (2022) model in sheet 'Dynamic_input_output' </v>
          </cell>
          <cell r="L2062" t="str">
            <v>see log sheet</v>
          </cell>
        </row>
        <row r="2063">
          <cell r="A2063" t="str">
            <v>[Meng] Propylene production via Naphtha H2 steam cracking + by-product upgrade</v>
          </cell>
          <cell r="B2063" t="str">
            <v>propylene</v>
          </cell>
          <cell r="C2063" t="str">
            <v>reference_product</v>
          </cell>
          <cell r="D2063">
            <v>271114</v>
          </cell>
          <cell r="E2063" t="str">
            <v>Mass</v>
          </cell>
          <cell r="F2063">
            <v>1</v>
          </cell>
          <cell r="G2063" t="str">
            <v>tonne</v>
          </cell>
          <cell r="H2063">
            <v>1</v>
          </cell>
          <cell r="I2063" t="str">
            <v>none</v>
          </cell>
          <cell r="J2063"/>
          <cell r="K2063"/>
          <cell r="L2063"/>
        </row>
        <row r="2064">
          <cell r="A2064" t="str">
            <v>[Meng] Propylene production via Naphtha H2 steam cracking + by-product upgrade</v>
          </cell>
          <cell r="B2064" t="str">
            <v>naphtha</v>
          </cell>
          <cell r="C2064" t="str">
            <v>from technosphere (material)</v>
          </cell>
          <cell r="D2064"/>
          <cell r="E2064" t="str">
            <v>Mass</v>
          </cell>
          <cell r="F2064">
            <v>0.84939271299999997</v>
          </cell>
          <cell r="G2064" t="str">
            <v>tonne</v>
          </cell>
          <cell r="H2064">
            <v>1</v>
          </cell>
          <cell r="I2064" t="str">
            <v>none</v>
          </cell>
          <cell r="J2064" t="str">
            <v>plastics monomer production inventories, from Meng et al. (2023), DOI 10.1073/pnas.2218294120</v>
          </cell>
          <cell r="K2064" t="str">
            <v xml:space="preserve">Value taken from Reshaping Plastics (2022) model in sheet 'Dynamic_input_output' </v>
          </cell>
          <cell r="L2064" t="str">
            <v>see log sheet</v>
          </cell>
        </row>
        <row r="2065">
          <cell r="A2065" t="str">
            <v>[Meng] Propylene production via Naphtha H2 steam cracking + by-product upgrade</v>
          </cell>
          <cell r="B2065" t="str">
            <v>ethane</v>
          </cell>
          <cell r="C2065" t="str">
            <v>from technosphere (material)</v>
          </cell>
          <cell r="D2065"/>
          <cell r="E2065" t="str">
            <v>Mass</v>
          </cell>
          <cell r="F2065">
            <v>0</v>
          </cell>
          <cell r="G2065" t="str">
            <v>tonne</v>
          </cell>
          <cell r="H2065">
            <v>1</v>
          </cell>
          <cell r="I2065" t="str">
            <v>none</v>
          </cell>
          <cell r="J2065" t="str">
            <v>plastics monomer production inventories, from Meng et al. (2023), DOI 10.1073/pnas.2218294120</v>
          </cell>
          <cell r="K2065" t="str">
            <v xml:space="preserve">Value taken from Reshaping Plastics (2022) model in sheet 'Dynamic_input_output' </v>
          </cell>
          <cell r="L2065" t="str">
            <v>see log sheet</v>
          </cell>
        </row>
        <row r="2066">
          <cell r="A2066" t="str">
            <v>[Meng] Propylene production via Naphtha H2 steam cracking + by-product upgrade</v>
          </cell>
          <cell r="B2066" t="str">
            <v>propane</v>
          </cell>
          <cell r="C2066" t="str">
            <v>from technosphere (material)</v>
          </cell>
          <cell r="D2066"/>
          <cell r="E2066" t="str">
            <v>Mass</v>
          </cell>
          <cell r="F2066">
            <v>2.1052632000000002E-2</v>
          </cell>
          <cell r="G2066" t="str">
            <v>tonne</v>
          </cell>
          <cell r="H2066">
            <v>1</v>
          </cell>
          <cell r="I2066" t="str">
            <v>none</v>
          </cell>
          <cell r="J2066" t="str">
            <v>plastics monomer production inventories, from Meng et al. (2023), DOI 10.1073/pnas.2218294120</v>
          </cell>
          <cell r="K2066" t="str">
            <v xml:space="preserve">Value taken from Reshaping Plastics (2022) model in sheet 'Dynamic_input_output' </v>
          </cell>
          <cell r="L2066" t="str">
            <v>see log sheet</v>
          </cell>
        </row>
        <row r="2067">
          <cell r="A2067" t="str">
            <v>[Meng] Propylene production via Naphtha H2 steam cracking + by-product upgrade</v>
          </cell>
          <cell r="B2067" t="str">
            <v>oxygen</v>
          </cell>
          <cell r="C2067" t="str">
            <v>from technosphere (material)</v>
          </cell>
          <cell r="D2067"/>
          <cell r="E2067" t="str">
            <v>Mass</v>
          </cell>
          <cell r="F2067">
            <v>6.4736842000000003E-2</v>
          </cell>
          <cell r="G2067" t="str">
            <v>tonne</v>
          </cell>
          <cell r="H2067">
            <v>1</v>
          </cell>
          <cell r="I2067" t="str">
            <v>none</v>
          </cell>
          <cell r="J2067" t="str">
            <v>plastics monomer production inventories, from Meng et al. (2023), DOI 10.1073/pnas.2218294120</v>
          </cell>
          <cell r="K2067" t="str">
            <v xml:space="preserve">Value taken from Reshaping Plastics (2022) model in sheet 'Dynamic_input_output' </v>
          </cell>
          <cell r="L2067" t="str">
            <v>see log sheet</v>
          </cell>
        </row>
        <row r="2068">
          <cell r="A2068" t="str">
            <v>[Meng] Propylene production via Naphtha H2 steam cracking + by-product upgrade</v>
          </cell>
          <cell r="B2068" t="str">
            <v>hydrogen</v>
          </cell>
          <cell r="C2068" t="str">
            <v>from technosphere (material)</v>
          </cell>
          <cell r="D2068"/>
          <cell r="E2068" t="str">
            <v>Mass</v>
          </cell>
          <cell r="F2068">
            <v>6.4736842000000003E-2</v>
          </cell>
          <cell r="G2068" t="str">
            <v>tonne</v>
          </cell>
          <cell r="H2068">
            <v>1</v>
          </cell>
          <cell r="I2068" t="str">
            <v>none</v>
          </cell>
          <cell r="J2068" t="str">
            <v>plastics monomer production inventories, from Meng et al. (2023), DOI 10.1073/pnas.2218294120</v>
          </cell>
          <cell r="K2068" t="str">
            <v xml:space="preserve">Value taken from Reshaping Plastics (2022) model in sheet 'Dynamic_input_output' </v>
          </cell>
          <cell r="L2068" t="str">
            <v>see log sheet</v>
          </cell>
        </row>
        <row r="2069">
          <cell r="A2069" t="str">
            <v>[Meng] Propylene production via Naphtha H2 steam cracking + by-product upgrade</v>
          </cell>
          <cell r="B2069" t="str">
            <v>electricity</v>
          </cell>
          <cell r="C2069" t="str">
            <v>from technosphere (energy_carrier)</v>
          </cell>
          <cell r="D2069"/>
          <cell r="E2069" t="str">
            <v>Energy</v>
          </cell>
          <cell r="F2069">
            <v>2.584453441</v>
          </cell>
          <cell r="G2069" t="str">
            <v>GJ</v>
          </cell>
          <cell r="H2069">
            <v>1</v>
          </cell>
          <cell r="I2069" t="str">
            <v>none</v>
          </cell>
          <cell r="J2069" t="str">
            <v>plastics monomer production inventories, from Meng et al. (2023), DOI 10.1073/pnas.2218294120</v>
          </cell>
          <cell r="K2069" t="str">
            <v xml:space="preserve">Value taken from Reshaping Plastics (2022) model in sheet 'Dynamic_input_output' </v>
          </cell>
          <cell r="L2069" t="str">
            <v>see log sheet</v>
          </cell>
        </row>
        <row r="2070">
          <cell r="A2070" t="str">
            <v>[Meng] Propylene production via Naphtha H2 steam cracking + by-product upgrade</v>
          </cell>
          <cell r="B2070" t="str">
            <v>hydrogen</v>
          </cell>
          <cell r="C2070" t="str">
            <v>from technosphere (material)</v>
          </cell>
          <cell r="D2070"/>
          <cell r="E2070" t="str">
            <v>Mass</v>
          </cell>
          <cell r="F2070">
            <v>1.9190282999999999E-2</v>
          </cell>
          <cell r="G2070" t="str">
            <v>tonne</v>
          </cell>
          <cell r="H2070">
            <v>1</v>
          </cell>
          <cell r="I2070" t="str">
            <v>none</v>
          </cell>
          <cell r="J2070" t="str">
            <v>plastics monomer production inventories, from Meng et al. (2023), DOI 10.1073/pnas.2218294120</v>
          </cell>
          <cell r="K2070"/>
          <cell r="L2070" t="str">
            <v>see log sheet</v>
          </cell>
        </row>
        <row r="2071">
          <cell r="A2071" t="str">
            <v>[Meng] Propylene production via Naphtha steam cracking</v>
          </cell>
          <cell r="B2071" t="str">
            <v>propylene</v>
          </cell>
          <cell r="C2071" t="str">
            <v>reference_product</v>
          </cell>
          <cell r="D2071">
            <v>271114</v>
          </cell>
          <cell r="E2071" t="str">
            <v>Mass</v>
          </cell>
          <cell r="F2071">
            <v>1</v>
          </cell>
          <cell r="G2071" t="str">
            <v>tonne</v>
          </cell>
          <cell r="H2071">
            <v>1</v>
          </cell>
          <cell r="I2071" t="str">
            <v>none</v>
          </cell>
          <cell r="J2071"/>
          <cell r="K2071"/>
          <cell r="L2071"/>
        </row>
        <row r="2072">
          <cell r="A2072" t="str">
            <v>[Meng] Propylene production via Naphtha steam cracking</v>
          </cell>
          <cell r="B2072" t="str">
            <v>naphtha</v>
          </cell>
          <cell r="C2072" t="str">
            <v>from technosphere (material)</v>
          </cell>
          <cell r="D2072"/>
          <cell r="E2072" t="str">
            <v>Mass</v>
          </cell>
          <cell r="F2072">
            <v>0.98744939300000001</v>
          </cell>
          <cell r="G2072" t="str">
            <v>tonne</v>
          </cell>
          <cell r="H2072">
            <v>1</v>
          </cell>
          <cell r="I2072" t="str">
            <v>none</v>
          </cell>
          <cell r="J2072" t="str">
            <v>plastics monomer production inventories, from Meng et al. (2023), DOI 10.1073/pnas.2218294120</v>
          </cell>
          <cell r="K2072" t="str">
            <v xml:space="preserve">Value taken from Reshaping Plastics (2022) model in sheet 'Dynamic_input_output' . The share of feedstocks are used that are given for EU15+Norway. </v>
          </cell>
          <cell r="L2072" t="str">
            <v>see log sheet</v>
          </cell>
        </row>
        <row r="2073">
          <cell r="A2073" t="str">
            <v>[Meng] Propylene production via Naphtha steam cracking</v>
          </cell>
          <cell r="B2073" t="str">
            <v>ethane</v>
          </cell>
          <cell r="C2073" t="str">
            <v>from technosphere (material)</v>
          </cell>
          <cell r="D2073"/>
          <cell r="E2073" t="str">
            <v>Mass</v>
          </cell>
          <cell r="F2073">
            <v>0</v>
          </cell>
          <cell r="G2073" t="str">
            <v>tonne</v>
          </cell>
          <cell r="H2073">
            <v>1</v>
          </cell>
          <cell r="I2073" t="str">
            <v>none</v>
          </cell>
          <cell r="J2073" t="str">
            <v>plastics monomer production inventories, from Meng et al. (2023), DOI 10.1073/pnas.2218294120</v>
          </cell>
          <cell r="K2073" t="str">
            <v xml:space="preserve">Value taken from Reshaping Plastics (2022) model in sheet 'Dynamic_input_output' </v>
          </cell>
          <cell r="L2073" t="str">
            <v>see log sheet</v>
          </cell>
        </row>
        <row r="2074">
          <cell r="A2074" t="str">
            <v>[Meng] Propylene production via Naphtha steam cracking</v>
          </cell>
          <cell r="B2074" t="str">
            <v>propane</v>
          </cell>
          <cell r="C2074" t="str">
            <v>from technosphere (material)</v>
          </cell>
          <cell r="D2074"/>
          <cell r="E2074" t="str">
            <v>Mass</v>
          </cell>
          <cell r="F2074">
            <v>2.4696355999999999E-2</v>
          </cell>
          <cell r="G2074" t="str">
            <v>tonne</v>
          </cell>
          <cell r="H2074">
            <v>1</v>
          </cell>
          <cell r="I2074" t="str">
            <v>none</v>
          </cell>
          <cell r="J2074" t="str">
            <v>plastics monomer production inventories, from Meng et al. (2023), DOI 10.1073/pnas.2218294120</v>
          </cell>
          <cell r="K2074" t="str">
            <v xml:space="preserve">Value taken from Reshaping Plastics (2022) model in sheet 'Dynamic_input_output' </v>
          </cell>
          <cell r="L2074" t="str">
            <v>see log sheet</v>
          </cell>
        </row>
        <row r="2075">
          <cell r="A2075" t="str">
            <v>[Meng] Propylene production via Naphtha steam cracking</v>
          </cell>
          <cell r="B2075" t="str">
            <v>off-gases</v>
          </cell>
          <cell r="C2075" t="str">
            <v>from technosphere (energy_carrier)</v>
          </cell>
          <cell r="D2075"/>
          <cell r="E2075" t="str">
            <v>Energy</v>
          </cell>
          <cell r="F2075">
            <v>8.8684184530000003</v>
          </cell>
          <cell r="G2075" t="str">
            <v>GJ</v>
          </cell>
          <cell r="H2075">
            <v>1</v>
          </cell>
          <cell r="I2075" t="str">
            <v>none</v>
          </cell>
          <cell r="J2075" t="str">
            <v>plastics monomer production inventories, from Meng et al. (2023), DOI 10.1073/pnas.2218294120</v>
          </cell>
          <cell r="K2075" t="str">
            <v xml:space="preserve">Value taken from Reshaping Plastics (2022) model in sheet 'Dynamic_input_output' . Off-gases are used as fuel for the process. </v>
          </cell>
          <cell r="L2075" t="str">
            <v>see log sheet</v>
          </cell>
        </row>
        <row r="2076">
          <cell r="A2076" t="str">
            <v>[Meng] Propylene production via Naphtha steam cracking</v>
          </cell>
          <cell r="B2076" t="str">
            <v>electricity</v>
          </cell>
          <cell r="C2076" t="str">
            <v>from technosphere (energy_carrier)</v>
          </cell>
          <cell r="D2076"/>
          <cell r="E2076" t="str">
            <v>Energy</v>
          </cell>
          <cell r="F2076">
            <v>1.0253441299999999</v>
          </cell>
          <cell r="G2076" t="str">
            <v>GJ</v>
          </cell>
          <cell r="H2076">
            <v>1</v>
          </cell>
          <cell r="I2076" t="str">
            <v>none</v>
          </cell>
          <cell r="J2076" t="str">
            <v>plastics monomer production inventories, from Meng et al. (2023), DOI 10.1073/pnas.2218294120</v>
          </cell>
          <cell r="K2076" t="str">
            <v>Value taken from Reshaping Plastics (2022) model in sheet 'Dynamic_input_output' . The value was given in kWh, so a conversion factor is used to convert to the unit GJ.</v>
          </cell>
          <cell r="L2076" t="str">
            <v>see log sheet</v>
          </cell>
        </row>
        <row r="2077">
          <cell r="A2077" t="str">
            <v>[Meng] Propylene production via Naphtha steam cracking</v>
          </cell>
          <cell r="B2077" t="str">
            <v>carbon dioxide</v>
          </cell>
          <cell r="C2077" t="str">
            <v>to environment (emission, direct)</v>
          </cell>
          <cell r="D2077"/>
          <cell r="E2077" t="str">
            <v>Mass</v>
          </cell>
          <cell r="F2077">
            <v>0.59418403600000003</v>
          </cell>
          <cell r="G2077" t="str">
            <v>tonne</v>
          </cell>
          <cell r="H2077">
            <v>1</v>
          </cell>
          <cell r="I2077" t="str">
            <v>none</v>
          </cell>
          <cell r="J2077" t="str">
            <v>adding direct emissions to plastics monomer production inventories, from Meng et al. (2023), DOI 10.1073/pnas.2218294120</v>
          </cell>
          <cell r="K2077" t="str">
            <v>only off-gas-based emissions, assume same carbon content per energy as for natural gas (off-gas has both H2 and olefin (Ethane, butane) content, assume they roughly cancel out in rel. to CO2 per MJ.</v>
          </cell>
          <cell r="L2077" t="str">
            <v>see log sheet</v>
          </cell>
        </row>
        <row r="2078">
          <cell r="A2078" t="str">
            <v>[Meng] Propylene production via Naphtha steam cracking + by-product upgrade</v>
          </cell>
          <cell r="B2078" t="str">
            <v>propylene</v>
          </cell>
          <cell r="C2078" t="str">
            <v>reference_product</v>
          </cell>
          <cell r="D2078">
            <v>271114</v>
          </cell>
          <cell r="E2078" t="str">
            <v>Mass</v>
          </cell>
          <cell r="F2078">
            <v>1</v>
          </cell>
          <cell r="G2078" t="str">
            <v>tonne</v>
          </cell>
          <cell r="H2078">
            <v>1</v>
          </cell>
          <cell r="I2078" t="str">
            <v>none</v>
          </cell>
          <cell r="J2078"/>
          <cell r="K2078"/>
          <cell r="L2078"/>
        </row>
        <row r="2079">
          <cell r="A2079" t="str">
            <v>[Meng] Propylene production via Naphtha steam cracking + by-product upgrade</v>
          </cell>
          <cell r="B2079" t="str">
            <v>off-gases</v>
          </cell>
          <cell r="C2079" t="str">
            <v>from technosphere (energy_carrier)</v>
          </cell>
          <cell r="D2079"/>
          <cell r="E2079" t="str">
            <v>Energy</v>
          </cell>
          <cell r="F2079">
            <v>8.461538462</v>
          </cell>
          <cell r="G2079" t="str">
            <v>GJ</v>
          </cell>
          <cell r="H2079">
            <v>1</v>
          </cell>
          <cell r="I2079" t="str">
            <v>none</v>
          </cell>
          <cell r="J2079" t="str">
            <v>plastics monomer production inventories, from Meng et al. (2023), DOI 10.1073/pnas.2218294120</v>
          </cell>
          <cell r="K2079" t="str">
            <v xml:space="preserve">Value taken from Reshaping Plastics (2022) model in sheet 'Dynamic_input_output' </v>
          </cell>
          <cell r="L2079" t="str">
            <v>see log sheet</v>
          </cell>
        </row>
        <row r="2080">
          <cell r="A2080" t="str">
            <v>[Meng] Propylene production via Naphtha steam cracking + by-product upgrade</v>
          </cell>
          <cell r="B2080" t="str">
            <v>naphtha</v>
          </cell>
          <cell r="C2080" t="str">
            <v>from technosphere (material)</v>
          </cell>
          <cell r="D2080"/>
          <cell r="E2080" t="str">
            <v>Mass</v>
          </cell>
          <cell r="F2080">
            <v>0.91821862300000001</v>
          </cell>
          <cell r="G2080" t="str">
            <v>tonne</v>
          </cell>
          <cell r="H2080">
            <v>1</v>
          </cell>
          <cell r="I2080" t="str">
            <v>none</v>
          </cell>
          <cell r="J2080" t="str">
            <v>plastics monomer production inventories, from Meng et al. (2023), DOI 10.1073/pnas.2218294120</v>
          </cell>
          <cell r="K2080" t="str">
            <v xml:space="preserve">Value taken from Reshaping Plastics (2022) model in sheet 'Dynamic_input_output' </v>
          </cell>
          <cell r="L2080" t="str">
            <v>see log sheet</v>
          </cell>
        </row>
        <row r="2081">
          <cell r="A2081" t="str">
            <v>[Meng] Propylene production via Naphtha steam cracking + by-product upgrade</v>
          </cell>
          <cell r="B2081" t="str">
            <v>ethane</v>
          </cell>
          <cell r="C2081" t="str">
            <v>from technosphere (material)</v>
          </cell>
          <cell r="D2081"/>
          <cell r="E2081" t="str">
            <v>Mass</v>
          </cell>
          <cell r="F2081">
            <v>0</v>
          </cell>
          <cell r="G2081" t="str">
            <v>tonne</v>
          </cell>
          <cell r="H2081">
            <v>1</v>
          </cell>
          <cell r="I2081" t="str">
            <v>none</v>
          </cell>
          <cell r="J2081" t="str">
            <v>plastics monomer production inventories, from Meng et al. (2023), DOI 10.1073/pnas.2218294120</v>
          </cell>
          <cell r="K2081" t="str">
            <v xml:space="preserve">Value taken from Reshaping Plastics (2022) model in sheet 'Dynamic_input_output' </v>
          </cell>
          <cell r="L2081" t="str">
            <v>see log sheet</v>
          </cell>
        </row>
        <row r="2082">
          <cell r="A2082" t="str">
            <v>[Meng] Propylene production via Naphtha steam cracking + by-product upgrade</v>
          </cell>
          <cell r="B2082" t="str">
            <v>propane</v>
          </cell>
          <cell r="C2082" t="str">
            <v>from technosphere (material)</v>
          </cell>
          <cell r="D2082"/>
          <cell r="E2082" t="str">
            <v>Mass</v>
          </cell>
          <cell r="F2082">
            <v>2.3076922999999999E-2</v>
          </cell>
          <cell r="G2082" t="str">
            <v>tonne</v>
          </cell>
          <cell r="H2082">
            <v>1</v>
          </cell>
          <cell r="I2082" t="str">
            <v>none</v>
          </cell>
          <cell r="J2082" t="str">
            <v>plastics monomer production inventories, from Meng et al. (2023), DOI 10.1073/pnas.2218294120</v>
          </cell>
          <cell r="K2082" t="str">
            <v xml:space="preserve">Value taken from Reshaping Plastics (2022) model in sheet 'Dynamic_input_output' </v>
          </cell>
          <cell r="L2082" t="str">
            <v>see log sheet</v>
          </cell>
        </row>
        <row r="2083">
          <cell r="A2083" t="str">
            <v>[Meng] Propylene production via Naphtha steam cracking + by-product upgrade</v>
          </cell>
          <cell r="B2083" t="str">
            <v>oxygen</v>
          </cell>
          <cell r="C2083" t="str">
            <v>from technosphere (material)</v>
          </cell>
          <cell r="D2083"/>
          <cell r="E2083" t="str">
            <v>Mass</v>
          </cell>
          <cell r="F2083">
            <v>6.4777327999999995E-2</v>
          </cell>
          <cell r="G2083" t="str">
            <v>tonne</v>
          </cell>
          <cell r="H2083">
            <v>1</v>
          </cell>
          <cell r="I2083" t="str">
            <v>none</v>
          </cell>
          <cell r="J2083" t="str">
            <v>plastics monomer production inventories, from Meng et al. (2023), DOI 10.1073/pnas.2218294120</v>
          </cell>
          <cell r="K2083" t="str">
            <v>Value taken from Reshaping Plastics (2022) model in sheet 'Dynamic_input_output' . oxygen is necessary for the byproduct upgrade, as heavy fuels (byproducts) are partially oxidated.</v>
          </cell>
          <cell r="L2083" t="str">
            <v>see log sheet</v>
          </cell>
        </row>
        <row r="2084">
          <cell r="A2084" t="str">
            <v>[Meng] Propylene production via Naphtha steam cracking + by-product upgrade</v>
          </cell>
          <cell r="B2084" t="str">
            <v>electricity</v>
          </cell>
          <cell r="C2084" t="str">
            <v>from technosphere (energy_carrier)</v>
          </cell>
          <cell r="D2084"/>
          <cell r="E2084" t="str">
            <v>Energy</v>
          </cell>
          <cell r="F2084">
            <v>1.0253441299999999</v>
          </cell>
          <cell r="G2084" t="str">
            <v>GJ</v>
          </cell>
          <cell r="H2084">
            <v>1</v>
          </cell>
          <cell r="I2084" t="str">
            <v>none</v>
          </cell>
          <cell r="J2084" t="str">
            <v>plastics monomer production inventories, from Meng et al. (2023), DOI 10.1073/pnas.2218294120</v>
          </cell>
          <cell r="K2084" t="str">
            <v>Value taken from Reshaping Plastics (2022) model in sheet 'Dynamic_input_output', equal to the electricity use of a conventional Naphtha steam cracker.</v>
          </cell>
          <cell r="L2084" t="str">
            <v>see log sheet</v>
          </cell>
        </row>
        <row r="2085">
          <cell r="A2085" t="str">
            <v>[Meng] Propylene production via Naphtha steam cracking + by-product upgrade</v>
          </cell>
          <cell r="B2085" t="str">
            <v>electricity</v>
          </cell>
          <cell r="C2085" t="str">
            <v>from technosphere (energy_carrier)</v>
          </cell>
          <cell r="D2085"/>
          <cell r="E2085" t="str">
            <v>Energy</v>
          </cell>
          <cell r="F2085">
            <v>0.44048583000000002</v>
          </cell>
          <cell r="G2085" t="str">
            <v>GJ</v>
          </cell>
          <cell r="H2085">
            <v>1</v>
          </cell>
          <cell r="I2085" t="str">
            <v>none</v>
          </cell>
          <cell r="J2085" t="str">
            <v>plastics monomer production inventories, from Meng et al. (2023), DOI 10.1073/pnas.2218294120</v>
          </cell>
          <cell r="K2085" t="str">
            <v>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v>
          </cell>
          <cell r="L2085" t="str">
            <v>see log sheet</v>
          </cell>
        </row>
        <row r="2086">
          <cell r="A2086" t="str">
            <v>[Meng] Propylene production via Naphtha steam cracking + by-product upgrade</v>
          </cell>
          <cell r="B2086" t="str">
            <v>electricity</v>
          </cell>
          <cell r="C2086" t="str">
            <v>from technosphere (energy_carrier)</v>
          </cell>
          <cell r="D2086"/>
          <cell r="E2086" t="str">
            <v>Energy</v>
          </cell>
          <cell r="F2086">
            <v>1.46582996</v>
          </cell>
          <cell r="G2086" t="str">
            <v>GJ</v>
          </cell>
          <cell r="H2086">
            <v>1</v>
          </cell>
          <cell r="I2086" t="str">
            <v>none</v>
          </cell>
          <cell r="J2086" t="str">
            <v>plastics monomer production inventories, from Meng et al. (2023), DOI 10.1073/pnas.2218294120</v>
          </cell>
          <cell r="K2086" t="str">
            <v>Sum of electricity use of conventional steam cracker and byproduct upgrade 'units'.</v>
          </cell>
          <cell r="L2086" t="str">
            <v>see log sheet</v>
          </cell>
        </row>
        <row r="2087">
          <cell r="A2087" t="str">
            <v>[Meng] Propylene production via Naphtha steam cracking + by-product upgrade</v>
          </cell>
          <cell r="B2087" t="str">
            <v>carbon dioxide</v>
          </cell>
          <cell r="C2087" t="str">
            <v>to environment (emission, direct)</v>
          </cell>
          <cell r="D2087"/>
          <cell r="E2087" t="str">
            <v>Mass</v>
          </cell>
          <cell r="F2087">
            <v>0.566923077</v>
          </cell>
          <cell r="G2087" t="str">
            <v>tonne</v>
          </cell>
          <cell r="H2087">
            <v>1</v>
          </cell>
          <cell r="I2087" t="str">
            <v>none</v>
          </cell>
          <cell r="J2087" t="str">
            <v>adding direct emissions to plastics monomer production inventories, from Meng et al. (2023), DOI 10.1073/pnas.2218294120</v>
          </cell>
          <cell r="K2087" t="str">
            <v>only off-gas-based emissions, assume same carbon content per energy as for natural gas (off-gas has both H2 and olefin (Ethane, butane) content, assume they roughly cancel out in rel. to CO2 per MJ.</v>
          </cell>
          <cell r="L2087" t="str">
            <v>see log sheet</v>
          </cell>
        </row>
        <row r="2088">
          <cell r="A2088" t="str">
            <v>[Meng] Propylene production via Pyrolysis oil steam cracking</v>
          </cell>
          <cell r="B2088" t="str">
            <v>propylene</v>
          </cell>
          <cell r="C2088" t="str">
            <v>reference_product</v>
          </cell>
          <cell r="D2088">
            <v>271114</v>
          </cell>
          <cell r="E2088" t="str">
            <v>Mass</v>
          </cell>
          <cell r="F2088">
            <v>1</v>
          </cell>
          <cell r="G2088" t="str">
            <v>tonne</v>
          </cell>
          <cell r="H2088">
            <v>1</v>
          </cell>
          <cell r="I2088" t="str">
            <v>none</v>
          </cell>
          <cell r="J2088"/>
          <cell r="K2088"/>
          <cell r="L2088"/>
        </row>
        <row r="2089">
          <cell r="A2089" t="str">
            <v>[Meng] Propylene production via Pyrolysis oil steam cracking</v>
          </cell>
          <cell r="B2089" t="str">
            <v>waste polymer</v>
          </cell>
          <cell r="C2089" t="str">
            <v>from technosphere (material)</v>
          </cell>
          <cell r="D2089"/>
          <cell r="E2089" t="str">
            <v>Mass</v>
          </cell>
          <cell r="F2089">
            <v>1.5283400810000001</v>
          </cell>
          <cell r="G2089" t="str">
            <v>tonne</v>
          </cell>
          <cell r="H2089">
            <v>1</v>
          </cell>
          <cell r="I2089" t="str">
            <v>none</v>
          </cell>
          <cell r="J2089" t="str">
            <v>plastics monomer production inventories, from Meng et al. (2023), DOI 10.1073/pnas.2218294120</v>
          </cell>
          <cell r="K2089" t="str">
            <v>Mike Muskett: if you have 100 ktepa of plastic, then you get about 80 ktepa of pyrolysis oil, which makes about 25 ktepa of propylene (12 ktepa of propylene). This is why the input of pyrolysis oil is divided by 0.8 to get the input of waste polymers.</v>
          </cell>
          <cell r="L2089" t="str">
            <v>see log sheet</v>
          </cell>
        </row>
        <row r="2090">
          <cell r="A2090" t="str">
            <v>[Meng] Propylene production via Pyrolysis oil steam cracking</v>
          </cell>
          <cell r="B2090" t="str">
            <v>pyrolysis oil</v>
          </cell>
          <cell r="C2090" t="str">
            <v>from technosphere (material)</v>
          </cell>
          <cell r="D2090"/>
          <cell r="E2090" t="str">
            <v>Mass</v>
          </cell>
          <cell r="F2090">
            <v>1.222672065</v>
          </cell>
          <cell r="G2090" t="str">
            <v>tonne</v>
          </cell>
          <cell r="H2090">
            <v>1</v>
          </cell>
          <cell r="I2090" t="str">
            <v>none</v>
          </cell>
          <cell r="J2090" t="str">
            <v>plastics monomer production inventories, from Meng et al. (2023), DOI 10.1073/pnas.2218294120</v>
          </cell>
          <cell r="K2090" t="str">
            <v>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v>
          </cell>
          <cell r="L2090" t="str">
            <v>see log sheet</v>
          </cell>
        </row>
        <row r="2091">
          <cell r="A2091" t="str">
            <v>[Meng] Propylene production via Pyrolysis oil steam cracking</v>
          </cell>
          <cell r="B2091" t="str">
            <v>off-gases</v>
          </cell>
          <cell r="C2091" t="str">
            <v>from technosphere (energy_carrier)</v>
          </cell>
          <cell r="D2091"/>
          <cell r="E2091" t="str">
            <v>Energy</v>
          </cell>
          <cell r="F2091">
            <v>8.8663967610000007</v>
          </cell>
          <cell r="G2091" t="str">
            <v>GJ</v>
          </cell>
          <cell r="H2091">
            <v>1</v>
          </cell>
          <cell r="I2091" t="str">
            <v>none</v>
          </cell>
          <cell r="J2091" t="str">
            <v>plastics monomer production inventories, from Meng et al. (2023), DOI 10.1073/pnas.2218294120</v>
          </cell>
          <cell r="K2091" t="str">
            <v xml:space="preserve">Value taken from Reshaping Plastics (2022) model in sheet 'Dynamic_input_output' </v>
          </cell>
          <cell r="L2091" t="str">
            <v>see log sheet</v>
          </cell>
        </row>
        <row r="2092">
          <cell r="A2092" t="str">
            <v>[Meng] Propylene production via Pyrolysis oil steam cracking</v>
          </cell>
          <cell r="B2092" t="str">
            <v>electricity</v>
          </cell>
          <cell r="C2092" t="str">
            <v>from technosphere (energy_carrier)</v>
          </cell>
          <cell r="D2092"/>
          <cell r="E2092" t="str">
            <v>Energy</v>
          </cell>
          <cell r="F2092">
            <v>0.46537651800000002</v>
          </cell>
          <cell r="G2092" t="str">
            <v>GJ</v>
          </cell>
          <cell r="H2092">
            <v>1</v>
          </cell>
          <cell r="I2092" t="str">
            <v>none</v>
          </cell>
          <cell r="J2092" t="str">
            <v>plastics monomer production inventories, from Meng et al. (2023), DOI 10.1073/pnas.2218294120</v>
          </cell>
          <cell r="K2092" t="str">
            <v xml:space="preserve">This value is taken directly from the Reshaping Plastics (2022) model, in the sheet 'dynamic input and output', row 811 for electricity use for 'pyrolysis' in kWh/t propylene. </v>
          </cell>
          <cell r="L2092" t="str">
            <v>see log sheet</v>
          </cell>
        </row>
        <row r="2093">
          <cell r="A2093" t="str">
            <v>[Meng] Propylene production via Pyrolysis oil steam cracking</v>
          </cell>
          <cell r="B2093" t="str">
            <v>electricity</v>
          </cell>
          <cell r="C2093" t="str">
            <v>from technosphere (energy_carrier)</v>
          </cell>
          <cell r="D2093"/>
          <cell r="E2093" t="str">
            <v>Energy</v>
          </cell>
          <cell r="F2093">
            <v>1.0253441299999999</v>
          </cell>
          <cell r="G2093" t="str">
            <v>GJ</v>
          </cell>
          <cell r="H2093">
            <v>1</v>
          </cell>
          <cell r="I2093" t="str">
            <v>none</v>
          </cell>
          <cell r="J2093" t="str">
            <v>plastics monomer production inventories, from Meng et al. (2023), DOI 10.1073/pnas.2218294120</v>
          </cell>
          <cell r="K2093" t="str">
            <v>This value also includes electricity necessary for the hydrotreater. The electricity use is used for the process 'pyrolysis oil --&gt; steam cracking --&gt; monomer'.</v>
          </cell>
          <cell r="L2093" t="str">
            <v>see log sheet</v>
          </cell>
        </row>
        <row r="2094">
          <cell r="A2094" t="str">
            <v>[Meng] Propylene production via Pyrolysis oil steam cracking</v>
          </cell>
          <cell r="B2094" t="str">
            <v>electricity</v>
          </cell>
          <cell r="C2094" t="str">
            <v>from technosphere (energy_carrier)</v>
          </cell>
          <cell r="D2094"/>
          <cell r="E2094" t="str">
            <v>Energy</v>
          </cell>
          <cell r="F2094">
            <v>1.0253441299999999</v>
          </cell>
          <cell r="G2094" t="str">
            <v>GJ</v>
          </cell>
          <cell r="H2094">
            <v>1</v>
          </cell>
          <cell r="I2094" t="str">
            <v>none</v>
          </cell>
          <cell r="J2094" t="str">
            <v>plastics monomer production inventories, from Meng et al. (2023), DOI 10.1073/pnas.2218294120</v>
          </cell>
          <cell r="K2094" t="str">
            <v>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v>
          </cell>
          <cell r="L2094" t="str">
            <v>see log sheet</v>
          </cell>
        </row>
        <row r="2095">
          <cell r="A2095" t="str">
            <v>[Meng] Propylene production via Pyrolysis oil steam cracking</v>
          </cell>
          <cell r="B2095" t="str">
            <v>carbon dioxide</v>
          </cell>
          <cell r="C2095" t="str">
            <v>to environment (emission, direct)</v>
          </cell>
          <cell r="D2095"/>
          <cell r="E2095" t="str">
            <v>Mass</v>
          </cell>
          <cell r="F2095">
            <v>0.59404858299999996</v>
          </cell>
          <cell r="G2095" t="str">
            <v>tonne</v>
          </cell>
          <cell r="H2095">
            <v>1</v>
          </cell>
          <cell r="I2095" t="str">
            <v>none</v>
          </cell>
          <cell r="J2095" t="str">
            <v>adding direct emissions to plastics monomer production inventories, from Meng et al. (2023), DOI 10.1073/pnas.2218294120</v>
          </cell>
          <cell r="K2095" t="str">
            <v>only off-gas-based emissions, assume same carbon content per energy as for natural gas (off-gas has both H2 and olefin (Ethane, butane) content, assume they roughly cancel out in rel. to CO2 per MJ.</v>
          </cell>
          <cell r="L2095" t="str">
            <v>see log sheet</v>
          </cell>
        </row>
        <row r="2096">
          <cell r="A2096" t="str">
            <v>[Meng] Propylene production via Bio-oils steam cracking</v>
          </cell>
          <cell r="B2096" t="str">
            <v>propylene</v>
          </cell>
          <cell r="C2096" t="str">
            <v>reference_product</v>
          </cell>
          <cell r="D2096">
            <v>271114</v>
          </cell>
          <cell r="E2096" t="str">
            <v>Mass</v>
          </cell>
          <cell r="F2096">
            <v>1</v>
          </cell>
          <cell r="G2096" t="str">
            <v>tonne</v>
          </cell>
          <cell r="H2096">
            <v>1</v>
          </cell>
          <cell r="I2096" t="str">
            <v>none</v>
          </cell>
          <cell r="J2096"/>
          <cell r="K2096"/>
          <cell r="L2096"/>
        </row>
        <row r="2097">
          <cell r="A2097" t="str">
            <v>[Meng] Propylene production via Bio-oils steam cracking</v>
          </cell>
          <cell r="B2097" t="str">
            <v>bio-oils</v>
          </cell>
          <cell r="C2097" t="str">
            <v>from technosphere (material)</v>
          </cell>
          <cell r="D2097"/>
          <cell r="E2097" t="str">
            <v>Mass</v>
          </cell>
          <cell r="F2097">
            <v>1.5870445339999999</v>
          </cell>
          <cell r="G2097" t="str">
            <v>tonne</v>
          </cell>
          <cell r="H2097">
            <v>1</v>
          </cell>
          <cell r="I2097" t="str">
            <v>none</v>
          </cell>
          <cell r="J2097" t="str">
            <v>plastics monomer production inventories, from Meng et al. (2023), DOI 10.1073/pnas.2218294120</v>
          </cell>
          <cell r="K2097"/>
          <cell r="L2097" t="str">
            <v>see log sheet</v>
          </cell>
        </row>
        <row r="2098">
          <cell r="A2098" t="str">
            <v>[Meng] Propylene production via Bio-oils steam cracking</v>
          </cell>
          <cell r="B2098" t="str">
            <v>off-gases</v>
          </cell>
          <cell r="C2098" t="str">
            <v>from technosphere (energy_carrier)</v>
          </cell>
          <cell r="D2098"/>
          <cell r="E2098" t="str">
            <v>Energy</v>
          </cell>
          <cell r="F2098">
            <v>8.8663967610000007</v>
          </cell>
          <cell r="G2098" t="str">
            <v>GJ</v>
          </cell>
          <cell r="H2098">
            <v>1</v>
          </cell>
          <cell r="I2098" t="str">
            <v>none</v>
          </cell>
          <cell r="J2098" t="str">
            <v>plastics monomer production inventories, from Meng et al. (2023), DOI 10.1073/pnas.2218294120</v>
          </cell>
          <cell r="K2098"/>
          <cell r="L2098" t="str">
            <v>see log sheet</v>
          </cell>
        </row>
        <row r="2099">
          <cell r="A2099" t="str">
            <v>[Meng] Propylene production via Bio-oils steam cracking</v>
          </cell>
          <cell r="B2099" t="str">
            <v>electricity</v>
          </cell>
          <cell r="C2099" t="str">
            <v>from technosphere (energy_carrier)</v>
          </cell>
          <cell r="D2099"/>
          <cell r="E2099" t="str">
            <v>Energy</v>
          </cell>
          <cell r="F2099">
            <v>1.0253441299999999</v>
          </cell>
          <cell r="G2099" t="str">
            <v>GJ</v>
          </cell>
          <cell r="H2099">
            <v>1</v>
          </cell>
          <cell r="I2099" t="str">
            <v>none</v>
          </cell>
          <cell r="J2099" t="str">
            <v>plastics monomer production inventories, from Meng et al. (2023), DOI 10.1073/pnas.2218294120</v>
          </cell>
          <cell r="K2099"/>
          <cell r="L2099" t="str">
            <v>see log sheet</v>
          </cell>
        </row>
        <row r="2100">
          <cell r="A2100" t="str">
            <v>[Meng] Propylene production via Bio-oils steam cracking</v>
          </cell>
          <cell r="B2100" t="str">
            <v>carbon dioxide</v>
          </cell>
          <cell r="C2100" t="str">
            <v>to environment (emission, direct)</v>
          </cell>
          <cell r="D2100"/>
          <cell r="E2100" t="str">
            <v>Mass</v>
          </cell>
          <cell r="F2100">
            <v>0.59404858299999996</v>
          </cell>
          <cell r="G2100" t="str">
            <v>tonne</v>
          </cell>
          <cell r="H2100">
            <v>1</v>
          </cell>
          <cell r="I2100" t="str">
            <v>none</v>
          </cell>
          <cell r="J2100" t="str">
            <v>adding direct emissions to plastics monomer production inventories, from Meng et al. (2023), DOI 10.1073/pnas.2218294120</v>
          </cell>
          <cell r="K2100" t="str">
            <v>only off-gas-based emissions, assume same carbon content per energy as for natural gas (off-gas has both H2 and olefin (Ethane, butane) content, assume they roughly cancel out in rel. to CO2 per MJ.</v>
          </cell>
          <cell r="L2100" t="str">
            <v>see log sheet</v>
          </cell>
        </row>
        <row r="2101">
          <cell r="A2101" t="str">
            <v>[Meng] Propylene production via Catalytic naphtha cracking</v>
          </cell>
          <cell r="B2101" t="str">
            <v>propylene</v>
          </cell>
          <cell r="C2101" t="str">
            <v>reference_product</v>
          </cell>
          <cell r="D2101">
            <v>271114</v>
          </cell>
          <cell r="E2101" t="str">
            <v>Mass</v>
          </cell>
          <cell r="F2101">
            <v>1</v>
          </cell>
          <cell r="G2101" t="str">
            <v>tonne</v>
          </cell>
          <cell r="H2101">
            <v>1</v>
          </cell>
          <cell r="I2101" t="str">
            <v>none</v>
          </cell>
          <cell r="J2101"/>
          <cell r="K2101"/>
          <cell r="L2101"/>
        </row>
        <row r="2102">
          <cell r="A2102" t="str">
            <v>[Meng] Propylene production via Catalytic naphtha cracking</v>
          </cell>
          <cell r="B2102" t="str">
            <v>naphtha</v>
          </cell>
          <cell r="C2102" t="str">
            <v>from technosphere (material)</v>
          </cell>
          <cell r="D2102"/>
          <cell r="E2102" t="str">
            <v>Mass</v>
          </cell>
          <cell r="F2102">
            <v>0.69454000000000005</v>
          </cell>
          <cell r="G2102" t="str">
            <v>tonne</v>
          </cell>
          <cell r="H2102">
            <v>1</v>
          </cell>
          <cell r="I2102" t="str">
            <v>none</v>
          </cell>
          <cell r="J2102" t="str">
            <v>plastics monomer production inventories, from Meng et al. (2023), DOI 10.1073/pnas.2218294120</v>
          </cell>
          <cell r="K2102" t="str">
            <v xml:space="preserve">Value taken from Reshaping Plastics (2022) model in sheet 'Dynamic_input_output' . The share of feedstocks are used that are given for EU15+Norway. </v>
          </cell>
          <cell r="L2102" t="str">
            <v>see log sheet</v>
          </cell>
        </row>
        <row r="2103">
          <cell r="A2103" t="str">
            <v>[Meng] Propylene production via Catalytic naphtha cracking</v>
          </cell>
          <cell r="B2103" t="str">
            <v>ethane</v>
          </cell>
          <cell r="C2103" t="str">
            <v>from technosphere (material)</v>
          </cell>
          <cell r="D2103"/>
          <cell r="E2103" t="str">
            <v>Mass</v>
          </cell>
          <cell r="F2103">
            <v>5.9450000000000003E-2</v>
          </cell>
          <cell r="G2103" t="str">
            <v>tonne</v>
          </cell>
          <cell r="H2103">
            <v>1</v>
          </cell>
          <cell r="I2103" t="str">
            <v>none</v>
          </cell>
          <cell r="J2103" t="str">
            <v>plastics monomer production inventories, from Meng et al. (2023), DOI 10.1073/pnas.2218294120</v>
          </cell>
          <cell r="K2103" t="str">
            <v xml:space="preserve">Value taken from Reshaping Plastics (2022) model in sheet 'Dynamic_input_output' </v>
          </cell>
          <cell r="L2103" t="str">
            <v>see log sheet</v>
          </cell>
        </row>
        <row r="2104">
          <cell r="A2104" t="str">
            <v>[Meng] Propylene production via Catalytic naphtha cracking</v>
          </cell>
          <cell r="B2104" t="str">
            <v>propane</v>
          </cell>
          <cell r="C2104" t="str">
            <v>from technosphere (material)</v>
          </cell>
          <cell r="D2104"/>
          <cell r="E2104" t="str">
            <v>Mass</v>
          </cell>
          <cell r="F2104">
            <v>0.27388000000000001</v>
          </cell>
          <cell r="G2104" t="str">
            <v>tonne</v>
          </cell>
          <cell r="H2104">
            <v>1</v>
          </cell>
          <cell r="I2104" t="str">
            <v>none</v>
          </cell>
          <cell r="J2104" t="str">
            <v>plastics monomer production inventories, from Meng et al. (2023), DOI 10.1073/pnas.2218294120</v>
          </cell>
          <cell r="K2104" t="str">
            <v xml:space="preserve">Value taken from Reshaping Plastics (2022) model in sheet 'Dynamic_input_output' </v>
          </cell>
          <cell r="L2104" t="str">
            <v>see log sheet</v>
          </cell>
        </row>
        <row r="2105">
          <cell r="A2105" t="str">
            <v>[Meng] Propylene production via Catalytic naphtha cracking</v>
          </cell>
          <cell r="B2105" t="str">
            <v>off-gases</v>
          </cell>
          <cell r="C2105" t="str">
            <v>from technosphere (energy_carrier)</v>
          </cell>
          <cell r="D2105"/>
          <cell r="E2105" t="str">
            <v>Energy</v>
          </cell>
          <cell r="F2105">
            <v>7.5381556850000004</v>
          </cell>
          <cell r="G2105" t="str">
            <v>GJ</v>
          </cell>
          <cell r="H2105">
            <v>1</v>
          </cell>
          <cell r="I2105" t="str">
            <v>none</v>
          </cell>
          <cell r="J2105" t="str">
            <v>plastics monomer production inventories, from Meng et al. (2023), DOI 10.1073/pnas.2218294120</v>
          </cell>
          <cell r="K2105" t="str">
            <v>Conventional value multiplied by the efficiency increase of a catalytic cracker opposed to a conventional cracker.</v>
          </cell>
          <cell r="L2105" t="str">
            <v>see log sheet</v>
          </cell>
        </row>
        <row r="2106">
          <cell r="A2106" t="str">
            <v>[Meng] Propylene production via Catalytic naphtha cracking</v>
          </cell>
          <cell r="B2106" t="str">
            <v>electricity</v>
          </cell>
          <cell r="C2106" t="str">
            <v>from technosphere (energy_carrier)</v>
          </cell>
          <cell r="D2106"/>
          <cell r="E2106" t="str">
            <v>Energy</v>
          </cell>
          <cell r="F2106">
            <v>2.1527099999999999</v>
          </cell>
          <cell r="G2106" t="str">
            <v>GJ</v>
          </cell>
          <cell r="H2106">
            <v>1</v>
          </cell>
          <cell r="I2106" t="str">
            <v>none</v>
          </cell>
          <cell r="J2106" t="str">
            <v>plastics monomer production inventories, from Meng et al. (2023), DOI 10.1073/pnas.2218294120</v>
          </cell>
          <cell r="K2106" t="str">
            <v>Conventional value multiplied by the efficiency increase of a catalytic cracker opposed to a conventional cracker.</v>
          </cell>
          <cell r="L2106" t="str">
            <v>see log sheet</v>
          </cell>
        </row>
        <row r="2107">
          <cell r="A2107" t="str">
            <v>[Meng] Propylene production via Catalytic naphtha cracking</v>
          </cell>
          <cell r="B2107" t="str">
            <v>carbon dioxide</v>
          </cell>
          <cell r="C2107" t="str">
            <v>to environment (emission, direct)</v>
          </cell>
          <cell r="D2107"/>
          <cell r="E2107" t="str">
            <v>Mass</v>
          </cell>
          <cell r="F2107">
            <v>0.50505643099999997</v>
          </cell>
          <cell r="G2107" t="str">
            <v>tonne</v>
          </cell>
          <cell r="H2107">
            <v>1</v>
          </cell>
          <cell r="I2107" t="str">
            <v>none</v>
          </cell>
          <cell r="J2107" t="str">
            <v>adding direct emissions to plastics monomer production inventories, from Meng et al. (2023), DOI 10.1073/pnas.2218294120</v>
          </cell>
          <cell r="K2107" t="str">
            <v>only off-gas-based emissions, assume same carbon content per energy as for natural gas (off-gas has both H2 and olefin (Ethane, butane) content, assume they roughly cancel out in rel. to CO2 per MJ.</v>
          </cell>
          <cell r="L2107" t="str">
            <v>see log sheet</v>
          </cell>
        </row>
        <row r="2108">
          <cell r="A2108" t="str">
            <v>[Meng] Propylene production via Catalytic naphtha electric steam cracking</v>
          </cell>
          <cell r="B2108" t="str">
            <v>propylene</v>
          </cell>
          <cell r="C2108" t="str">
            <v>reference_product</v>
          </cell>
          <cell r="D2108">
            <v>271114</v>
          </cell>
          <cell r="E2108" t="str">
            <v>Mass</v>
          </cell>
          <cell r="F2108">
            <v>1</v>
          </cell>
          <cell r="G2108" t="str">
            <v>tonne</v>
          </cell>
          <cell r="H2108">
            <v>1</v>
          </cell>
          <cell r="I2108" t="str">
            <v>none</v>
          </cell>
          <cell r="J2108"/>
          <cell r="K2108"/>
          <cell r="L2108"/>
        </row>
        <row r="2109">
          <cell r="A2109" t="str">
            <v>[Meng] Propylene production via Catalytic naphtha electric steam cracking</v>
          </cell>
          <cell r="B2109" t="str">
            <v>naphtha</v>
          </cell>
          <cell r="C2109" t="str">
            <v>from technosphere (material)</v>
          </cell>
          <cell r="D2109"/>
          <cell r="E2109" t="str">
            <v>Mass</v>
          </cell>
          <cell r="F2109">
            <v>0.69289999999999996</v>
          </cell>
          <cell r="G2109" t="str">
            <v>tonne</v>
          </cell>
          <cell r="H2109">
            <v>1</v>
          </cell>
          <cell r="I2109" t="str">
            <v>none</v>
          </cell>
          <cell r="J2109" t="str">
            <v>plastics monomer production inventories, from Meng et al. (2023), DOI 10.1073/pnas.2218294120</v>
          </cell>
          <cell r="K2109" t="str">
            <v xml:space="preserve">Value taken from Reshaping Plastics (2022) model in sheet 'Dynamic_input_output' </v>
          </cell>
          <cell r="L2109" t="str">
            <v>see log sheet</v>
          </cell>
        </row>
        <row r="2110">
          <cell r="A2110" t="str">
            <v>[Meng] Propylene production via Catalytic naphtha electric steam cracking</v>
          </cell>
          <cell r="B2110" t="str">
            <v>ethane</v>
          </cell>
          <cell r="C2110" t="str">
            <v>from technosphere (material)</v>
          </cell>
          <cell r="D2110"/>
          <cell r="E2110" t="str">
            <v>Mass</v>
          </cell>
          <cell r="F2110">
            <v>5.9450000000000003E-2</v>
          </cell>
          <cell r="G2110" t="str">
            <v>tonne</v>
          </cell>
          <cell r="H2110">
            <v>1</v>
          </cell>
          <cell r="I2110" t="str">
            <v>none</v>
          </cell>
          <cell r="J2110" t="str">
            <v>plastics monomer production inventories, from Meng et al. (2023), DOI 10.1073/pnas.2218294120</v>
          </cell>
          <cell r="K2110" t="str">
            <v xml:space="preserve">Value taken from Reshaping Plastics (2022) model in sheet 'Dynamic_input_output' </v>
          </cell>
          <cell r="L2110" t="str">
            <v>see log sheet</v>
          </cell>
        </row>
        <row r="2111">
          <cell r="A2111" t="str">
            <v>[Meng] Propylene production via Catalytic naphtha electric steam cracking</v>
          </cell>
          <cell r="B2111" t="str">
            <v>propane</v>
          </cell>
          <cell r="C2111" t="str">
            <v>from technosphere (material)</v>
          </cell>
          <cell r="D2111"/>
          <cell r="E2111" t="str">
            <v>Mass</v>
          </cell>
          <cell r="F2111">
            <v>0.27388000000000001</v>
          </cell>
          <cell r="G2111" t="str">
            <v>tonne</v>
          </cell>
          <cell r="H2111">
            <v>1</v>
          </cell>
          <cell r="I2111" t="str">
            <v>none</v>
          </cell>
          <cell r="J2111" t="str">
            <v>plastics monomer production inventories, from Meng et al. (2023), DOI 10.1073/pnas.2218294120</v>
          </cell>
          <cell r="K2111" t="str">
            <v xml:space="preserve">Value taken from Reshaping Plastics (2022) model in sheet 'Dynamic_input_output' </v>
          </cell>
          <cell r="L2111" t="str">
            <v>see log sheet</v>
          </cell>
        </row>
        <row r="2112">
          <cell r="A2112" t="str">
            <v>[Meng] Propylene production via Catalytic naphtha electric steam cracking</v>
          </cell>
          <cell r="B2112" t="str">
            <v>electricity</v>
          </cell>
          <cell r="C2112" t="str">
            <v>from technosphere (energy_carrier)</v>
          </cell>
          <cell r="D2112"/>
          <cell r="E2112" t="str">
            <v>Energy</v>
          </cell>
          <cell r="F2112">
            <v>6.9897529799999996</v>
          </cell>
          <cell r="G2112" t="str">
            <v>GJ</v>
          </cell>
          <cell r="H2112">
            <v>1</v>
          </cell>
          <cell r="I2112" t="str">
            <v>none</v>
          </cell>
          <cell r="J2112" t="str">
            <v>plastics monomer production inventories, from Meng et al. (2023), DOI 10.1073/pnas.2218294120</v>
          </cell>
          <cell r="K2112"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v>
          </cell>
          <cell r="L2112" t="str">
            <v>see log sheet</v>
          </cell>
        </row>
        <row r="2113">
          <cell r="A2113" t="str">
            <v xml:space="preserve">[Meng] Propylene production via Catalytic naphtha cracking + CCS </v>
          </cell>
          <cell r="B2113" t="str">
            <v>propylene</v>
          </cell>
          <cell r="C2113" t="str">
            <v>reference_product</v>
          </cell>
          <cell r="D2113">
            <v>271114</v>
          </cell>
          <cell r="E2113" t="str">
            <v>Mass</v>
          </cell>
          <cell r="F2113">
            <v>1</v>
          </cell>
          <cell r="G2113" t="str">
            <v>tonne</v>
          </cell>
          <cell r="H2113">
            <v>1</v>
          </cell>
          <cell r="I2113" t="str">
            <v>none</v>
          </cell>
          <cell r="J2113"/>
          <cell r="K2113"/>
          <cell r="L2113"/>
        </row>
        <row r="2114">
          <cell r="A2114" t="str">
            <v xml:space="preserve">[Meng] Propylene production via Catalytic naphtha cracking + CCS </v>
          </cell>
          <cell r="B2114" t="str">
            <v>naphtha</v>
          </cell>
          <cell r="C2114" t="str">
            <v>from technosphere (material)</v>
          </cell>
          <cell r="D2114"/>
          <cell r="E2114" t="str">
            <v>Mass</v>
          </cell>
          <cell r="F2114">
            <v>0.98744939300000001</v>
          </cell>
          <cell r="G2114" t="str">
            <v>tonne</v>
          </cell>
          <cell r="H2114">
            <v>1</v>
          </cell>
          <cell r="I2114" t="str">
            <v>none</v>
          </cell>
          <cell r="J2114" t="str">
            <v>plastics monomer production inventories, from Meng et al. (2023), DOI 10.1073/pnas.2218294120</v>
          </cell>
          <cell r="K2114" t="str">
            <v xml:space="preserve">Value taken from Reshaping Plastics (2022) model in sheet 'Dynamic_input_output' </v>
          </cell>
          <cell r="L2114" t="str">
            <v>see log sheet</v>
          </cell>
        </row>
        <row r="2115">
          <cell r="A2115" t="str">
            <v xml:space="preserve">[Meng] Propylene production via Catalytic naphtha cracking + CCS </v>
          </cell>
          <cell r="B2115" t="str">
            <v>ethane</v>
          </cell>
          <cell r="C2115" t="str">
            <v>from technosphere (material)</v>
          </cell>
          <cell r="D2115"/>
          <cell r="E2115" t="str">
            <v>Mass</v>
          </cell>
          <cell r="F2115">
            <v>0</v>
          </cell>
          <cell r="G2115" t="str">
            <v>tonne</v>
          </cell>
          <cell r="H2115">
            <v>1</v>
          </cell>
          <cell r="I2115" t="str">
            <v>none</v>
          </cell>
          <cell r="J2115" t="str">
            <v>plastics monomer production inventories, from Meng et al. (2023), DOI 10.1073/pnas.2218294120</v>
          </cell>
          <cell r="K2115" t="str">
            <v xml:space="preserve">Value taken from Reshaping Plastics (2022) model in sheet 'Dynamic_input_output' </v>
          </cell>
          <cell r="L2115" t="str">
            <v>see log sheet</v>
          </cell>
        </row>
        <row r="2116">
          <cell r="A2116" t="str">
            <v xml:space="preserve">[Meng] Propylene production via Catalytic naphtha cracking + CCS </v>
          </cell>
          <cell r="B2116" t="str">
            <v>propane</v>
          </cell>
          <cell r="C2116" t="str">
            <v>from technosphere (material)</v>
          </cell>
          <cell r="D2116"/>
          <cell r="E2116" t="str">
            <v>Mass</v>
          </cell>
          <cell r="F2116">
            <v>2.4696355999999999E-2</v>
          </cell>
          <cell r="G2116" t="str">
            <v>tonne</v>
          </cell>
          <cell r="H2116">
            <v>1</v>
          </cell>
          <cell r="I2116" t="str">
            <v>none</v>
          </cell>
          <cell r="J2116" t="str">
            <v>plastics monomer production inventories, from Meng et al. (2023), DOI 10.1073/pnas.2218294120</v>
          </cell>
          <cell r="K2116" t="str">
            <v xml:space="preserve">Value taken from Reshaping Plastics (2022) model in sheet 'Dynamic_input_output' </v>
          </cell>
          <cell r="L2116" t="str">
            <v>see log sheet</v>
          </cell>
        </row>
        <row r="2117">
          <cell r="A2117" t="str">
            <v xml:space="preserve">[Meng] Propylene production via Catalytic naphtha cracking + CCS </v>
          </cell>
          <cell r="B2117" t="str">
            <v>off-gases</v>
          </cell>
          <cell r="C2117" t="str">
            <v>from technosphere (energy_carrier)</v>
          </cell>
          <cell r="D2117"/>
          <cell r="E2117" t="str">
            <v>Energy</v>
          </cell>
          <cell r="F2117">
            <v>7.5364372470000003</v>
          </cell>
          <cell r="G2117" t="str">
            <v>GJ</v>
          </cell>
          <cell r="H2117">
            <v>1</v>
          </cell>
          <cell r="I2117" t="str">
            <v>none</v>
          </cell>
          <cell r="J2117" t="str">
            <v>plastics monomer production inventories, from Meng et al. (2023), DOI 10.1073/pnas.2218294120</v>
          </cell>
          <cell r="K2117" t="str">
            <v xml:space="preserve">Value taken from Reshaping Plastics (2022) model in sheet 'Dynamic_input_output' </v>
          </cell>
          <cell r="L2117" t="str">
            <v>see log sheet</v>
          </cell>
        </row>
        <row r="2118">
          <cell r="A2118" t="str">
            <v xml:space="preserve">[Meng] Propylene production via Catalytic naphtha cracking + CCS </v>
          </cell>
          <cell r="B2118" t="str">
            <v>electricity</v>
          </cell>
          <cell r="C2118" t="str">
            <v>from technosphere (energy_carrier)</v>
          </cell>
          <cell r="D2118"/>
          <cell r="E2118" t="str">
            <v>Energy</v>
          </cell>
          <cell r="F2118">
            <v>0.87154251000000005</v>
          </cell>
          <cell r="G2118" t="str">
            <v>GJ</v>
          </cell>
          <cell r="H2118">
            <v>1</v>
          </cell>
          <cell r="I2118" t="str">
            <v>none</v>
          </cell>
          <cell r="J2118" t="str">
            <v>plastics monomer production inventories, from Meng et al. (2023), DOI 10.1073/pnas.2218294120</v>
          </cell>
          <cell r="K2118" t="str">
            <v xml:space="preserve">Same value as conventional catalytic steam cracker. </v>
          </cell>
          <cell r="L2118" t="str">
            <v>see log sheet</v>
          </cell>
        </row>
        <row r="2119">
          <cell r="A2119" t="str">
            <v xml:space="preserve">[Meng] Propylene production via Catalytic naphtha cracking + CCS </v>
          </cell>
          <cell r="B2119" t="str">
            <v>electricity</v>
          </cell>
          <cell r="C2119" t="str">
            <v>from technosphere (energy_carrier)</v>
          </cell>
          <cell r="D2119"/>
          <cell r="E2119" t="str">
            <v>Energy</v>
          </cell>
          <cell r="F2119">
            <v>2.2222727999999998</v>
          </cell>
          <cell r="G2119" t="str">
            <v>GJ</v>
          </cell>
          <cell r="H2119">
            <v>1</v>
          </cell>
          <cell r="I2119" t="str">
            <v>none</v>
          </cell>
          <cell r="J2119" t="str">
            <v>plastics monomer production inventories, from Meng et al. (2023), DOI 10.1073/pnas.2218294120</v>
          </cell>
          <cell r="K2119" t="str">
            <v xml:space="preserve">CCS on steam cracker. Total value of 'Naphtha steam cracking + CCS' electricity demand from Reshaping Plastics (2022) model, with subtracted the electricity demand of 'Naphtha steam cracking'. </v>
          </cell>
          <cell r="L2119" t="str">
            <v>see log sheet</v>
          </cell>
        </row>
        <row r="2120">
          <cell r="A2120" t="str">
            <v xml:space="preserve">[Meng] Propylene production via Catalytic naphtha cracking + CCS </v>
          </cell>
          <cell r="B2120" t="str">
            <v>electricity</v>
          </cell>
          <cell r="C2120" t="str">
            <v>from technosphere (energy_carrier)</v>
          </cell>
          <cell r="D2120"/>
          <cell r="E2120" t="str">
            <v>Energy</v>
          </cell>
          <cell r="F2120">
            <v>3.0938153100000001</v>
          </cell>
          <cell r="G2120" t="str">
            <v>GJ</v>
          </cell>
          <cell r="H2120">
            <v>1</v>
          </cell>
          <cell r="I2120" t="str">
            <v>none</v>
          </cell>
          <cell r="J2120" t="str">
            <v>plastics monomer production inventories, from Meng et al. (2023), DOI 10.1073/pnas.2218294120</v>
          </cell>
          <cell r="K2120" t="str">
            <v>electricity use of both the steam cracker and CCS unit.</v>
          </cell>
          <cell r="L2120" t="str">
            <v>see log sheet</v>
          </cell>
        </row>
        <row r="2121">
          <cell r="A2121" t="str">
            <v xml:space="preserve">[Meng] Propylene production via Catalytic naphtha cracking + CCS </v>
          </cell>
          <cell r="B2121" t="str">
            <v>carbon dioxide</v>
          </cell>
          <cell r="C2121" t="str">
            <v>to environment (emission, direct)</v>
          </cell>
          <cell r="D2121"/>
          <cell r="E2121" t="str">
            <v>Mass</v>
          </cell>
          <cell r="F2121">
            <v>2.5247064999999999E-2</v>
          </cell>
          <cell r="G2121" t="str">
            <v>tonne</v>
          </cell>
          <cell r="H2121">
            <v>1</v>
          </cell>
          <cell r="I2121" t="str">
            <v>none</v>
          </cell>
          <cell r="J2121" t="str">
            <v>adding direct emissions to plastics monomer production inventories, from Meng et al. (2023), DOI 10.1073/pnas.2218294120</v>
          </cell>
          <cell r="K2121" t="str">
            <v>only off-gas-based emissions, assume same carbon content per energy as for natural gas (off-gas has both H2 and olefin (Ethane, butane) content, assume they roughly cancel out in rel. to CO2 per MJ.</v>
          </cell>
          <cell r="L2121" t="str">
            <v>see log sheet</v>
          </cell>
        </row>
        <row r="2122">
          <cell r="A2122" t="str">
            <v>[Meng] Propylene production via Catalytic naphtha H2 cracking</v>
          </cell>
          <cell r="B2122" t="str">
            <v>propylene</v>
          </cell>
          <cell r="C2122" t="str">
            <v>reference_product</v>
          </cell>
          <cell r="D2122">
            <v>271114</v>
          </cell>
          <cell r="E2122" t="str">
            <v>Mass</v>
          </cell>
          <cell r="F2122">
            <v>1</v>
          </cell>
          <cell r="G2122" t="str">
            <v>tonne</v>
          </cell>
          <cell r="H2122">
            <v>1</v>
          </cell>
          <cell r="I2122" t="str">
            <v>none</v>
          </cell>
          <cell r="J2122"/>
          <cell r="K2122"/>
          <cell r="L2122"/>
        </row>
        <row r="2123">
          <cell r="A2123" t="str">
            <v>[Meng] Propylene production via Catalytic naphtha H2 cracking</v>
          </cell>
          <cell r="B2123" t="str">
            <v>naphtha</v>
          </cell>
          <cell r="C2123" t="str">
            <v>from technosphere (material)</v>
          </cell>
          <cell r="D2123"/>
          <cell r="E2123" t="str">
            <v>Mass</v>
          </cell>
          <cell r="F2123">
            <v>0.98744939300000001</v>
          </cell>
          <cell r="G2123" t="str">
            <v>tonne</v>
          </cell>
          <cell r="H2123">
            <v>1</v>
          </cell>
          <cell r="I2123" t="str">
            <v>none</v>
          </cell>
          <cell r="J2123" t="str">
            <v>plastics monomer production inventories, from Meng et al. (2023), DOI 10.1073/pnas.2218294120</v>
          </cell>
          <cell r="K2123" t="str">
            <v xml:space="preserve">Value taken from Reshaping Plastics (2022) model in sheet 'Dynamic_input_output' </v>
          </cell>
          <cell r="L2123" t="str">
            <v>see log sheet</v>
          </cell>
        </row>
        <row r="2124">
          <cell r="A2124" t="str">
            <v>[Meng] Propylene production via Catalytic naphtha H2 cracking</v>
          </cell>
          <cell r="B2124" t="str">
            <v>ethane</v>
          </cell>
          <cell r="C2124" t="str">
            <v>from technosphere (material)</v>
          </cell>
          <cell r="D2124"/>
          <cell r="E2124" t="str">
            <v>Mass</v>
          </cell>
          <cell r="F2124">
            <v>0</v>
          </cell>
          <cell r="G2124" t="str">
            <v>tonne</v>
          </cell>
          <cell r="H2124">
            <v>1</v>
          </cell>
          <cell r="I2124" t="str">
            <v>none</v>
          </cell>
          <cell r="J2124" t="str">
            <v>plastics monomer production inventories, from Meng et al. (2023), DOI 10.1073/pnas.2218294120</v>
          </cell>
          <cell r="K2124" t="str">
            <v xml:space="preserve">Value taken from Reshaping Plastics (2022) model in sheet 'Dynamic_input_output' </v>
          </cell>
          <cell r="L2124" t="str">
            <v>see log sheet</v>
          </cell>
        </row>
        <row r="2125">
          <cell r="A2125" t="str">
            <v>[Meng] Propylene production via Catalytic naphtha H2 cracking</v>
          </cell>
          <cell r="B2125" t="str">
            <v>propane</v>
          </cell>
          <cell r="C2125" t="str">
            <v>from technosphere (material)</v>
          </cell>
          <cell r="D2125"/>
          <cell r="E2125" t="str">
            <v>Mass</v>
          </cell>
          <cell r="F2125">
            <v>2.4696355999999999E-2</v>
          </cell>
          <cell r="G2125" t="str">
            <v>tonne</v>
          </cell>
          <cell r="H2125">
            <v>1</v>
          </cell>
          <cell r="I2125" t="str">
            <v>none</v>
          </cell>
          <cell r="J2125" t="str">
            <v>plastics monomer production inventories, from Meng et al. (2023), DOI 10.1073/pnas.2218294120</v>
          </cell>
          <cell r="K2125" t="str">
            <v xml:space="preserve">Value taken from Reshaping Plastics (2022) model in sheet 'Dynamic_input_output' </v>
          </cell>
          <cell r="L2125" t="str">
            <v>see log sheet</v>
          </cell>
        </row>
        <row r="2126">
          <cell r="A2126" t="str">
            <v>[Meng] Propylene production via Catalytic naphtha H2 cracking</v>
          </cell>
          <cell r="B2126" t="str">
            <v>hydrogen</v>
          </cell>
          <cell r="C2126" t="str">
            <v>from technosphere (material)</v>
          </cell>
          <cell r="D2126"/>
          <cell r="E2126" t="str">
            <v>Mass</v>
          </cell>
          <cell r="F2126">
            <v>7.3886640000000003E-2</v>
          </cell>
          <cell r="G2126" t="str">
            <v>tonne</v>
          </cell>
          <cell r="H2126">
            <v>1</v>
          </cell>
          <cell r="I2126" t="str">
            <v>none</v>
          </cell>
          <cell r="J2126" t="str">
            <v>plastics monomer production inventories, from Meng et al. (2023), DOI 10.1073/pnas.2218294120</v>
          </cell>
          <cell r="K2126" t="str">
            <v xml:space="preserve">Value taken from Reshaping Plastics (2022) model in sheet 'Dynamic_input_output' </v>
          </cell>
          <cell r="L2126" t="str">
            <v>see log sheet</v>
          </cell>
        </row>
        <row r="2127">
          <cell r="A2127" t="str">
            <v>[Meng] Propylene production via Catalytic naphtha H2 cracking</v>
          </cell>
          <cell r="B2127" t="str">
            <v>electricity</v>
          </cell>
          <cell r="C2127" t="str">
            <v>from technosphere (energy_carrier)</v>
          </cell>
          <cell r="D2127"/>
          <cell r="E2127" t="str">
            <v>Energy</v>
          </cell>
          <cell r="F2127">
            <v>0.87154251000000005</v>
          </cell>
          <cell r="G2127" t="str">
            <v>GJ</v>
          </cell>
          <cell r="H2127">
            <v>1</v>
          </cell>
          <cell r="I2127" t="str">
            <v>none</v>
          </cell>
          <cell r="J2127" t="str">
            <v>plastics monomer production inventories, from Meng et al. (2023), DOI 10.1073/pnas.2218294120</v>
          </cell>
          <cell r="K2127" t="str">
            <v xml:space="preserve">Value taken from Naphtha H2 catalytic steam cracking business case.  </v>
          </cell>
          <cell r="L2127" t="str">
            <v>see log sheet</v>
          </cell>
        </row>
        <row r="2128">
          <cell r="A2128" t="str">
            <v>[Meng] Propylene production via MTO - Black</v>
          </cell>
          <cell r="B2128" t="str">
            <v>propylene</v>
          </cell>
          <cell r="C2128" t="str">
            <v>reference_product</v>
          </cell>
          <cell r="D2128">
            <v>271114</v>
          </cell>
          <cell r="E2128" t="str">
            <v>Mass</v>
          </cell>
          <cell r="F2128">
            <v>1</v>
          </cell>
          <cell r="G2128" t="str">
            <v>tonne</v>
          </cell>
          <cell r="H2128">
            <v>1</v>
          </cell>
          <cell r="I2128" t="str">
            <v>none</v>
          </cell>
          <cell r="J2128"/>
          <cell r="K2128"/>
          <cell r="L2128"/>
        </row>
        <row r="2129">
          <cell r="A2129" t="str">
            <v>[Meng] Propylene production via MTO - Black</v>
          </cell>
          <cell r="B2129" t="str">
            <v>methanol, black</v>
          </cell>
          <cell r="C2129" t="str">
            <v>from technosphere (material)</v>
          </cell>
          <cell r="D2129"/>
          <cell r="E2129" t="str">
            <v>Mass</v>
          </cell>
          <cell r="F2129">
            <v>2.56</v>
          </cell>
          <cell r="G2129" t="str">
            <v>tonne</v>
          </cell>
          <cell r="H2129">
            <v>1</v>
          </cell>
          <cell r="I2129" t="str">
            <v>none</v>
          </cell>
          <cell r="J2129" t="str">
            <v>plastics monomer production inventories, from Meng et al. (2023), DOI 10.1073/pnas.2218294120</v>
          </cell>
          <cell r="K2129" t="str">
            <v>Note this is also in line with Table 1 in Jasper paper (https://www.mdpi.com/2227-9717/3/3/684), where 1560 kt/annum methanol gives 386 kt/annum propylene and 214 kt/annum ethylene. 1560 tonnes * (386/(214+386)) proportion of total product = 1004 tonnes methanol went to propylene. 1004/386 = 2.6 t methanol/t ethylene.</v>
          </cell>
          <cell r="L2129" t="str">
            <v>see log sheet</v>
          </cell>
        </row>
        <row r="2130">
          <cell r="A2130" t="str">
            <v>[Meng] Propylene production via MTO - Black</v>
          </cell>
          <cell r="B2130" t="str">
            <v>electricity</v>
          </cell>
          <cell r="C2130" t="str">
            <v>from technosphere (energy_carrier)</v>
          </cell>
          <cell r="D2130"/>
          <cell r="E2130" t="str">
            <v>Energy</v>
          </cell>
          <cell r="F2130">
            <v>5</v>
          </cell>
          <cell r="G2130" t="str">
            <v>GJ</v>
          </cell>
          <cell r="H2130">
            <v>1</v>
          </cell>
          <cell r="I2130" t="str">
            <v>none</v>
          </cell>
          <cell r="J2130" t="str">
            <v>plastics monomer production inventories, from Meng et al. (2023), DOI 10.1073/pnas.2218294120</v>
          </cell>
          <cell r="K2130" t="str">
            <v>MTO process require 5 GJ/ton of HVC, half of HVC is propylene. We are going the mixed olefin route again for accounting for electricity.</v>
          </cell>
          <cell r="L2130" t="str">
            <v>see log sheet</v>
          </cell>
        </row>
        <row r="2131">
          <cell r="A2131" t="str">
            <v>[Meng] Propylene production via MTO - Green</v>
          </cell>
          <cell r="B2131" t="str">
            <v>propylene</v>
          </cell>
          <cell r="C2131" t="str">
            <v>reference_product</v>
          </cell>
          <cell r="D2131">
            <v>271114</v>
          </cell>
          <cell r="E2131" t="str">
            <v>Mass</v>
          </cell>
          <cell r="F2131">
            <v>1</v>
          </cell>
          <cell r="G2131" t="str">
            <v>tonne</v>
          </cell>
          <cell r="H2131">
            <v>1</v>
          </cell>
          <cell r="I2131" t="str">
            <v>none</v>
          </cell>
          <cell r="J2131"/>
          <cell r="K2131"/>
          <cell r="L2131"/>
        </row>
        <row r="2132">
          <cell r="A2132" t="str">
            <v>[Meng] Propylene production via MTO - Green</v>
          </cell>
          <cell r="B2132" t="str">
            <v>methanol, green</v>
          </cell>
          <cell r="C2132" t="str">
            <v>from technosphere (material)</v>
          </cell>
          <cell r="D2132"/>
          <cell r="E2132" t="str">
            <v>Mass</v>
          </cell>
          <cell r="F2132">
            <v>2.56</v>
          </cell>
          <cell r="G2132" t="str">
            <v>tonne</v>
          </cell>
          <cell r="H2132">
            <v>1</v>
          </cell>
          <cell r="I2132" t="str">
            <v>none</v>
          </cell>
          <cell r="J2132" t="str">
            <v>plastics monomer production inventories, from Meng et al. (2023), DOI 10.1073/pnas.2218294120</v>
          </cell>
          <cell r="K2132"/>
          <cell r="L2132" t="str">
            <v>see log sheet</v>
          </cell>
        </row>
        <row r="2133">
          <cell r="A2133" t="str">
            <v>[Meng] Propylene production via MTO - Green</v>
          </cell>
          <cell r="B2133" t="str">
            <v>electricity</v>
          </cell>
          <cell r="C2133" t="str">
            <v>from technosphere (energy_carrier)</v>
          </cell>
          <cell r="D2133"/>
          <cell r="E2133" t="str">
            <v>Energy</v>
          </cell>
          <cell r="F2133">
            <v>5</v>
          </cell>
          <cell r="G2133" t="str">
            <v>GJ</v>
          </cell>
          <cell r="H2133">
            <v>1</v>
          </cell>
          <cell r="I2133" t="str">
            <v>none</v>
          </cell>
          <cell r="J2133" t="str">
            <v>plastics monomer production inventories, from Meng et al. (2023), DOI 10.1073/pnas.2218294120</v>
          </cell>
          <cell r="K2133"/>
          <cell r="L2133" t="str">
            <v>see log sheet</v>
          </cell>
        </row>
        <row r="2134">
          <cell r="A2134" t="str">
            <v>[Meng] Propylene production via Naphtha steam cracking + CCS + by-product upgrade</v>
          </cell>
          <cell r="B2134" t="str">
            <v>propylene</v>
          </cell>
          <cell r="C2134" t="str">
            <v>reference_product</v>
          </cell>
          <cell r="D2134">
            <v>271114</v>
          </cell>
          <cell r="E2134" t="str">
            <v>Mass</v>
          </cell>
          <cell r="F2134">
            <v>1</v>
          </cell>
          <cell r="G2134" t="str">
            <v>tonne</v>
          </cell>
          <cell r="H2134">
            <v>1</v>
          </cell>
          <cell r="I2134" t="str">
            <v>none</v>
          </cell>
          <cell r="J2134"/>
          <cell r="K2134"/>
          <cell r="L2134"/>
        </row>
        <row r="2135">
          <cell r="A2135" t="str">
            <v>[Meng] Propylene production via Naphtha steam cracking + CCS + by-product upgrade</v>
          </cell>
          <cell r="B2135" t="str">
            <v>off-gases</v>
          </cell>
          <cell r="C2135" t="str">
            <v>from technosphere (energy_carrier)</v>
          </cell>
          <cell r="D2135"/>
          <cell r="E2135" t="str">
            <v>Energy</v>
          </cell>
          <cell r="F2135">
            <v>8.461538462</v>
          </cell>
          <cell r="G2135" t="str">
            <v>GJ</v>
          </cell>
          <cell r="H2135">
            <v>1</v>
          </cell>
          <cell r="I2135" t="str">
            <v>none</v>
          </cell>
          <cell r="J2135" t="str">
            <v>plastics monomer production inventories, from Meng et al. (2023), DOI 10.1073/pnas.2218294120</v>
          </cell>
          <cell r="K2135" t="str">
            <v>Same as naphtha steam cracker + by-product upgrade business case</v>
          </cell>
          <cell r="L2135" t="str">
            <v>see log sheet</v>
          </cell>
        </row>
        <row r="2136">
          <cell r="A2136" t="str">
            <v>[Meng] Propylene production via Naphtha steam cracking + CCS + by-product upgrade</v>
          </cell>
          <cell r="B2136" t="str">
            <v>naphtha</v>
          </cell>
          <cell r="C2136" t="str">
            <v>from technosphere (material)</v>
          </cell>
          <cell r="D2136"/>
          <cell r="E2136" t="str">
            <v>Mass</v>
          </cell>
          <cell r="F2136">
            <v>0.91821862300000001</v>
          </cell>
          <cell r="G2136" t="str">
            <v>tonne</v>
          </cell>
          <cell r="H2136">
            <v>1</v>
          </cell>
          <cell r="I2136" t="str">
            <v>none</v>
          </cell>
          <cell r="J2136" t="str">
            <v>plastics monomer production inventories, from Meng et al. (2023), DOI 10.1073/pnas.2218294120</v>
          </cell>
          <cell r="K2136" t="str">
            <v>Same as naphtha steam cracker + by-product upgrade business case</v>
          </cell>
          <cell r="L2136" t="str">
            <v>see log sheet</v>
          </cell>
        </row>
        <row r="2137">
          <cell r="A2137" t="str">
            <v>[Meng] Propylene production via Naphtha steam cracking + CCS + by-product upgrade</v>
          </cell>
          <cell r="B2137" t="str">
            <v>ethane</v>
          </cell>
          <cell r="C2137" t="str">
            <v>from technosphere (material)</v>
          </cell>
          <cell r="D2137"/>
          <cell r="E2137" t="str">
            <v>Mass</v>
          </cell>
          <cell r="F2137">
            <v>0</v>
          </cell>
          <cell r="G2137" t="str">
            <v>tonne</v>
          </cell>
          <cell r="H2137">
            <v>1</v>
          </cell>
          <cell r="I2137" t="str">
            <v>none</v>
          </cell>
          <cell r="J2137" t="str">
            <v>plastics monomer production inventories, from Meng et al. (2023), DOI 10.1073/pnas.2218294120</v>
          </cell>
          <cell r="K2137" t="str">
            <v>Same as naphtha steam cracker + by-product upgrade business case</v>
          </cell>
          <cell r="L2137" t="str">
            <v>see log sheet</v>
          </cell>
        </row>
        <row r="2138">
          <cell r="A2138" t="str">
            <v>[Meng] Propylene production via Naphtha steam cracking + CCS + by-product upgrade</v>
          </cell>
          <cell r="B2138" t="str">
            <v>propane</v>
          </cell>
          <cell r="C2138" t="str">
            <v>from technosphere (material)</v>
          </cell>
          <cell r="D2138"/>
          <cell r="E2138" t="str">
            <v>Mass</v>
          </cell>
          <cell r="F2138">
            <v>2.3076922999999999E-2</v>
          </cell>
          <cell r="G2138" t="str">
            <v>tonne</v>
          </cell>
          <cell r="H2138">
            <v>1</v>
          </cell>
          <cell r="I2138" t="str">
            <v>none</v>
          </cell>
          <cell r="J2138" t="str">
            <v>plastics monomer production inventories, from Meng et al. (2023), DOI 10.1073/pnas.2218294120</v>
          </cell>
          <cell r="K2138" t="str">
            <v>Same as naphtha steam cracker + by-product upgrade business case</v>
          </cell>
          <cell r="L2138" t="str">
            <v>see log sheet</v>
          </cell>
        </row>
        <row r="2139">
          <cell r="A2139" t="str">
            <v>[Meng] Propylene production via Naphtha steam cracking + CCS + by-product upgrade</v>
          </cell>
          <cell r="B2139" t="str">
            <v>oxygen</v>
          </cell>
          <cell r="C2139" t="str">
            <v>from technosphere (material)</v>
          </cell>
          <cell r="D2139"/>
          <cell r="E2139" t="str">
            <v>Mass</v>
          </cell>
          <cell r="F2139">
            <v>6.4777327999999995E-2</v>
          </cell>
          <cell r="G2139" t="str">
            <v>tonne</v>
          </cell>
          <cell r="H2139">
            <v>1</v>
          </cell>
          <cell r="I2139" t="str">
            <v>none</v>
          </cell>
          <cell r="J2139" t="str">
            <v>plastics monomer production inventories, from Meng et al. (2023), DOI 10.1073/pnas.2218294120</v>
          </cell>
          <cell r="K2139" t="str">
            <v>Same as naphtha steam cracker + by-product upgrade business case</v>
          </cell>
          <cell r="L2139" t="str">
            <v>see log sheet</v>
          </cell>
        </row>
        <row r="2140">
          <cell r="A2140" t="str">
            <v>[Meng] Propylene production via Naphtha steam cracking + CCS + by-product upgrade</v>
          </cell>
          <cell r="B2140" t="str">
            <v>electricity</v>
          </cell>
          <cell r="C2140" t="str">
            <v>from technosphere (energy_carrier)</v>
          </cell>
          <cell r="D2140"/>
          <cell r="E2140" t="str">
            <v>Energy</v>
          </cell>
          <cell r="F2140">
            <v>1.0253441299999999</v>
          </cell>
          <cell r="G2140" t="str">
            <v>GJ</v>
          </cell>
          <cell r="H2140">
            <v>1</v>
          </cell>
          <cell r="I2140" t="str">
            <v>none</v>
          </cell>
          <cell r="J2140" t="str">
            <v>plastics monomer production inventories, from Meng et al. (2023), DOI 10.1073/pnas.2218294120</v>
          </cell>
          <cell r="K2140" t="str">
            <v>Same as naphtha steam cracker + by-product upgrade business case</v>
          </cell>
          <cell r="L2140" t="str">
            <v>see log sheet</v>
          </cell>
        </row>
        <row r="2141">
          <cell r="A2141" t="str">
            <v>[Meng] Propylene production via Naphtha steam cracking + CCS + by-product upgrade</v>
          </cell>
          <cell r="B2141" t="str">
            <v>electricity</v>
          </cell>
          <cell r="C2141" t="str">
            <v>from technosphere (energy_carrier)</v>
          </cell>
          <cell r="D2141"/>
          <cell r="E2141" t="str">
            <v>Energy</v>
          </cell>
          <cell r="F2141">
            <v>1.363190283</v>
          </cell>
          <cell r="G2141" t="str">
            <v>GJ</v>
          </cell>
          <cell r="H2141">
            <v>1</v>
          </cell>
          <cell r="I2141" t="str">
            <v>none</v>
          </cell>
          <cell r="J2141" t="str">
            <v>plastics monomer production inventories, from Meng et al. (2023), DOI 10.1073/pnas.2218294120</v>
          </cell>
          <cell r="K2141" t="str">
            <v>Same as naphtha steam cracker + CCS business case</v>
          </cell>
          <cell r="L2141" t="str">
            <v>see log sheet</v>
          </cell>
        </row>
        <row r="2142">
          <cell r="A2142" t="str">
            <v>[Meng] Propylene production via Naphtha steam cracking + CCS + by-product upgrade</v>
          </cell>
          <cell r="B2142" t="str">
            <v>electricity</v>
          </cell>
          <cell r="C2142" t="str">
            <v>from technosphere (energy_carrier)</v>
          </cell>
          <cell r="D2142"/>
          <cell r="E2142" t="str">
            <v>Energy</v>
          </cell>
          <cell r="F2142">
            <v>0.44048583000000002</v>
          </cell>
          <cell r="G2142" t="str">
            <v>GJ</v>
          </cell>
          <cell r="H2142">
            <v>1</v>
          </cell>
          <cell r="I2142" t="str">
            <v>none</v>
          </cell>
          <cell r="J2142" t="str">
            <v>plastics monomer production inventories, from Meng et al. (2023), DOI 10.1073/pnas.2218294120</v>
          </cell>
          <cell r="K2142" t="str">
            <v>Same as naphtha steam cracker + by-product upgrade business case</v>
          </cell>
          <cell r="L2142" t="str">
            <v>see log sheet</v>
          </cell>
        </row>
        <row r="2143">
          <cell r="A2143" t="str">
            <v>[Meng] Propylene production via Naphtha steam cracking + CCS + by-product upgrade</v>
          </cell>
          <cell r="B2143" t="str">
            <v>electricity</v>
          </cell>
          <cell r="C2143" t="str">
            <v>from technosphere (energy_carrier)</v>
          </cell>
          <cell r="D2143"/>
          <cell r="E2143" t="str">
            <v>Energy</v>
          </cell>
          <cell r="F2143">
            <v>2.829020243</v>
          </cell>
          <cell r="G2143" t="str">
            <v>GJ</v>
          </cell>
          <cell r="H2143">
            <v>1</v>
          </cell>
          <cell r="I2143" t="str">
            <v>none</v>
          </cell>
          <cell r="J2143" t="str">
            <v>plastics monomer production inventories, from Meng et al. (2023), DOI 10.1073/pnas.2218294120</v>
          </cell>
          <cell r="K2143"/>
          <cell r="L2143" t="str">
            <v>see log sheet</v>
          </cell>
        </row>
        <row r="2144">
          <cell r="A2144" t="str">
            <v>[Meng] Propylene production via Naphtha steam cracking + CCS + by-product upgrade</v>
          </cell>
          <cell r="B2144" t="str">
            <v>carbon dioxide</v>
          </cell>
          <cell r="C2144" t="str">
            <v>to environment (emission, direct)</v>
          </cell>
          <cell r="D2144"/>
          <cell r="E2144" t="str">
            <v>Mass</v>
          </cell>
          <cell r="F2144">
            <v>2.8346153999999998E-2</v>
          </cell>
          <cell r="G2144" t="str">
            <v>tonne</v>
          </cell>
          <cell r="H2144">
            <v>1</v>
          </cell>
          <cell r="I2144" t="str">
            <v>none</v>
          </cell>
          <cell r="J2144" t="str">
            <v>adding direct emissions to plastics monomer production inventories, from Meng et al. (2023), DOI 10.1073/pnas.2218294120</v>
          </cell>
          <cell r="K2144" t="str">
            <v>only off-gas-based emissions, assume same carbon content per energy as for natural gas (off-gas has both H2 and olefin (Ethane, butane) content, assume they roughly cancel out in rel. to CO2 per MJ.</v>
          </cell>
          <cell r="L2144" t="str">
            <v>see log sheet</v>
          </cell>
        </row>
        <row r="2145">
          <cell r="A2145" t="str">
            <v>[Meng] Propylene production via Pyrolysis oil steam cracking + CCS + by-product upgrade</v>
          </cell>
          <cell r="B2145" t="str">
            <v>propylene</v>
          </cell>
          <cell r="C2145" t="str">
            <v>reference_product</v>
          </cell>
          <cell r="D2145">
            <v>271114</v>
          </cell>
          <cell r="E2145" t="str">
            <v>Mass</v>
          </cell>
          <cell r="F2145">
            <v>1</v>
          </cell>
          <cell r="G2145" t="str">
            <v>tonne</v>
          </cell>
          <cell r="H2145">
            <v>1</v>
          </cell>
          <cell r="I2145" t="str">
            <v>none</v>
          </cell>
          <cell r="J2145"/>
          <cell r="K2145"/>
          <cell r="L2145"/>
        </row>
        <row r="2146">
          <cell r="A2146" t="str">
            <v>[Meng] Propylene production via Pyrolysis oil steam cracking + CCS + by-product upgrade</v>
          </cell>
          <cell r="B2146" t="str">
            <v>waste polymer</v>
          </cell>
          <cell r="C2146" t="str">
            <v>from technosphere (material)</v>
          </cell>
          <cell r="D2146"/>
          <cell r="E2146" t="str">
            <v>Mass</v>
          </cell>
          <cell r="F2146">
            <v>1.4213562749999999</v>
          </cell>
          <cell r="G2146" t="str">
            <v>tonne</v>
          </cell>
          <cell r="H2146">
            <v>1</v>
          </cell>
          <cell r="I2146" t="str">
            <v>none</v>
          </cell>
          <cell r="J2146" t="str">
            <v>plastics monomer production inventories, from Meng et al. (2023), DOI 10.1073/pnas.2218294120</v>
          </cell>
          <cell r="K2146" t="str">
            <v>Same as pyrolysis oil steam cracking business case</v>
          </cell>
          <cell r="L2146" t="str">
            <v>see log sheet</v>
          </cell>
        </row>
        <row r="2147">
          <cell r="A2147" t="str">
            <v>[Meng] Propylene production via Pyrolysis oil steam cracking + CCS + by-product upgrade</v>
          </cell>
          <cell r="B2147" t="str">
            <v>pyrolysis oil</v>
          </cell>
          <cell r="C2147" t="str">
            <v>from technosphere (material)</v>
          </cell>
          <cell r="D2147"/>
          <cell r="E2147" t="str">
            <v>Mass</v>
          </cell>
          <cell r="F2147">
            <v>1.13708502</v>
          </cell>
          <cell r="G2147" t="str">
            <v>tonne</v>
          </cell>
          <cell r="H2147">
            <v>1</v>
          </cell>
          <cell r="I2147" t="str">
            <v>none</v>
          </cell>
          <cell r="J2147" t="str">
            <v>plastics monomer production inventories, from Meng et al. (2023), DOI 10.1073/pnas.2218294120</v>
          </cell>
          <cell r="K2147" t="str">
            <v>Same as pyrolysis oil steam cracking business case</v>
          </cell>
          <cell r="L2147" t="str">
            <v>see log sheet</v>
          </cell>
        </row>
        <row r="2148">
          <cell r="A2148" t="str">
            <v>[Meng] Propylene production via Pyrolysis oil steam cracking + CCS + by-product upgrade</v>
          </cell>
          <cell r="B2148" t="str">
            <v>oxygen</v>
          </cell>
          <cell r="C2148" t="str">
            <v>from technosphere (material)</v>
          </cell>
          <cell r="D2148"/>
          <cell r="E2148" t="str">
            <v>Mass</v>
          </cell>
          <cell r="F2148">
            <v>6.4777327999999995E-2</v>
          </cell>
          <cell r="G2148" t="str">
            <v>tonne</v>
          </cell>
          <cell r="H2148">
            <v>1</v>
          </cell>
          <cell r="I2148" t="str">
            <v>none</v>
          </cell>
          <cell r="J2148" t="str">
            <v>plastics monomer production inventories, from Meng et al. (2023), DOI 10.1073/pnas.2218294120</v>
          </cell>
          <cell r="K2148" t="str">
            <v>Same as naphtha steam cracking + by-product upgrade business case</v>
          </cell>
          <cell r="L2148" t="str">
            <v>see log sheet</v>
          </cell>
        </row>
        <row r="2149">
          <cell r="A2149" t="str">
            <v>[Meng] Propylene production via Pyrolysis oil steam cracking + CCS + by-product upgrade</v>
          </cell>
          <cell r="B2149" t="str">
            <v>off-gases</v>
          </cell>
          <cell r="C2149" t="str">
            <v>from technosphere (energy_carrier)</v>
          </cell>
          <cell r="D2149"/>
          <cell r="E2149" t="str">
            <v>Energy</v>
          </cell>
          <cell r="F2149">
            <v>8.461538462</v>
          </cell>
          <cell r="G2149" t="str">
            <v>GJ</v>
          </cell>
          <cell r="H2149">
            <v>1</v>
          </cell>
          <cell r="I2149" t="str">
            <v>none</v>
          </cell>
          <cell r="J2149" t="str">
            <v>plastics monomer production inventories, from Meng et al. (2023), DOI 10.1073/pnas.2218294120</v>
          </cell>
          <cell r="K2149" t="str">
            <v>Same as pyrolysis oil steam cracking business case</v>
          </cell>
          <cell r="L2149" t="str">
            <v>see log sheet</v>
          </cell>
        </row>
        <row r="2150">
          <cell r="A2150" t="str">
            <v>[Meng] Propylene production via Pyrolysis oil steam cracking + CCS + by-product upgrade</v>
          </cell>
          <cell r="B2150" t="str">
            <v>electricity</v>
          </cell>
          <cell r="C2150" t="str">
            <v>from technosphere (energy_carrier)</v>
          </cell>
          <cell r="D2150"/>
          <cell r="E2150" t="str">
            <v>Energy</v>
          </cell>
          <cell r="F2150">
            <v>0.46537651800000002</v>
          </cell>
          <cell r="G2150" t="str">
            <v>GJ</v>
          </cell>
          <cell r="H2150">
            <v>1</v>
          </cell>
          <cell r="I2150" t="str">
            <v>none</v>
          </cell>
          <cell r="J2150" t="str">
            <v>plastics monomer production inventories, from Meng et al. (2023), DOI 10.1073/pnas.2218294120</v>
          </cell>
          <cell r="K2150" t="str">
            <v>Same as pyrolysis oil steam cracking business case</v>
          </cell>
          <cell r="L2150" t="str">
            <v>see log sheet</v>
          </cell>
        </row>
        <row r="2151">
          <cell r="A2151" t="str">
            <v>[Meng] Propylene production via Pyrolysis oil steam cracking + CCS + by-product upgrade</v>
          </cell>
          <cell r="B2151" t="str">
            <v>electricity</v>
          </cell>
          <cell r="C2151" t="str">
            <v>from technosphere (energy_carrier)</v>
          </cell>
          <cell r="D2151"/>
          <cell r="E2151" t="str">
            <v>Energy</v>
          </cell>
          <cell r="F2151">
            <v>1.0253441299999999</v>
          </cell>
          <cell r="G2151" t="str">
            <v>GJ</v>
          </cell>
          <cell r="H2151">
            <v>1</v>
          </cell>
          <cell r="I2151" t="str">
            <v>none</v>
          </cell>
          <cell r="J2151" t="str">
            <v>plastics monomer production inventories, from Meng et al. (2023), DOI 10.1073/pnas.2218294120</v>
          </cell>
          <cell r="K2151" t="str">
            <v>Same as pyrolysis oil steam cracking business case</v>
          </cell>
          <cell r="L2151" t="str">
            <v>see log sheet</v>
          </cell>
        </row>
        <row r="2152">
          <cell r="A2152" t="str">
            <v>[Meng] Propylene production via Pyrolysis oil steam cracking + CCS + by-product upgrade</v>
          </cell>
          <cell r="B2152" t="str">
            <v>electricity</v>
          </cell>
          <cell r="C2152" t="str">
            <v>from technosphere (energy_carrier)</v>
          </cell>
          <cell r="D2152"/>
          <cell r="E2152" t="str">
            <v>Energy</v>
          </cell>
          <cell r="F2152">
            <v>1.363190283</v>
          </cell>
          <cell r="G2152" t="str">
            <v>GJ</v>
          </cell>
          <cell r="H2152">
            <v>1</v>
          </cell>
          <cell r="I2152" t="str">
            <v>none</v>
          </cell>
          <cell r="J2152" t="str">
            <v>plastics monomer production inventories, from Meng et al. (2023), DOI 10.1073/pnas.2218294120</v>
          </cell>
          <cell r="K2152" t="str">
            <v>Same as naphtha steam cracking + CCS + by-product upgrade business case</v>
          </cell>
          <cell r="L2152" t="str">
            <v>see log sheet</v>
          </cell>
        </row>
        <row r="2153">
          <cell r="A2153" t="str">
            <v>[Meng] Propylene production via Pyrolysis oil steam cracking + CCS + by-product upgrade</v>
          </cell>
          <cell r="B2153" t="str">
            <v>electricity</v>
          </cell>
          <cell r="C2153" t="str">
            <v>from technosphere (energy_carrier)</v>
          </cell>
          <cell r="D2153"/>
          <cell r="E2153" t="str">
            <v>Energy</v>
          </cell>
          <cell r="F2153">
            <v>0.44048583000000002</v>
          </cell>
          <cell r="G2153" t="str">
            <v>GJ</v>
          </cell>
          <cell r="H2153">
            <v>1</v>
          </cell>
          <cell r="I2153" t="str">
            <v>none</v>
          </cell>
          <cell r="J2153" t="str">
            <v>plastics monomer production inventories, from Meng et al. (2023), DOI 10.1073/pnas.2218294120</v>
          </cell>
          <cell r="K2153" t="str">
            <v>Same as naphtha steam cracking + by-product upgrade business case</v>
          </cell>
          <cell r="L2153" t="str">
            <v>see log sheet</v>
          </cell>
        </row>
        <row r="2154">
          <cell r="A2154" t="str">
            <v>[Meng] Propylene production via Pyrolysis oil steam cracking + CCS + by-product upgrade</v>
          </cell>
          <cell r="B2154" t="str">
            <v>electricity</v>
          </cell>
          <cell r="C2154" t="str">
            <v>from technosphere (energy_carrier)</v>
          </cell>
          <cell r="D2154"/>
          <cell r="E2154" t="str">
            <v>Energy</v>
          </cell>
          <cell r="F2154">
            <v>2.829020243</v>
          </cell>
          <cell r="G2154" t="str">
            <v>GJ</v>
          </cell>
          <cell r="H2154">
            <v>1</v>
          </cell>
          <cell r="I2154" t="str">
            <v>none</v>
          </cell>
          <cell r="J2154" t="str">
            <v>plastics monomer production inventories, from Meng et al. (2023), DOI 10.1073/pnas.2218294120</v>
          </cell>
          <cell r="K2154"/>
          <cell r="L2154" t="str">
            <v>see log sheet</v>
          </cell>
        </row>
        <row r="2155">
          <cell r="A2155" t="str">
            <v>[Meng] Propylene production via Pyrolysis oil steam cracking + CCS + by-product upgrade</v>
          </cell>
          <cell r="B2155" t="str">
            <v>carbon dioxide</v>
          </cell>
          <cell r="C2155" t="str">
            <v>to environment (emission, direct)</v>
          </cell>
          <cell r="D2155"/>
          <cell r="E2155" t="str">
            <v>Mass</v>
          </cell>
          <cell r="F2155">
            <v>2.8346153999999998E-2</v>
          </cell>
          <cell r="G2155" t="str">
            <v>tonne</v>
          </cell>
          <cell r="H2155">
            <v>1</v>
          </cell>
          <cell r="I2155" t="str">
            <v>none</v>
          </cell>
          <cell r="J2155" t="str">
            <v>adding direct emissions to plastics monomer production inventories, from Meng et al. (2023), DOI 10.1073/pnas.2218294120</v>
          </cell>
          <cell r="K2155" t="str">
            <v>only off-gas-based emissions, assume same carbon content per energy as for natural gas (off-gas has both H2 and olefin (Ethane, butane) content, assume they roughly cancel out in rel. to CO2 per MJ.</v>
          </cell>
          <cell r="L2155" t="str">
            <v>see log sheet</v>
          </cell>
        </row>
        <row r="2156">
          <cell r="A2156" t="str">
            <v>[Meng] Propylene production via Bio-oils steam cracking + by-product upgrade</v>
          </cell>
          <cell r="B2156" t="str">
            <v>propylene</v>
          </cell>
          <cell r="C2156" t="str">
            <v>reference_product</v>
          </cell>
          <cell r="D2156">
            <v>271114</v>
          </cell>
          <cell r="E2156" t="str">
            <v>Mass</v>
          </cell>
          <cell r="F2156">
            <v>1</v>
          </cell>
          <cell r="G2156" t="str">
            <v>tonne</v>
          </cell>
          <cell r="H2156">
            <v>1</v>
          </cell>
          <cell r="I2156" t="str">
            <v>none</v>
          </cell>
          <cell r="J2156"/>
          <cell r="K2156"/>
          <cell r="L2156"/>
        </row>
        <row r="2157">
          <cell r="A2157" t="str">
            <v>[Meng] Propylene production via Bio-oils steam cracking + by-product upgrade</v>
          </cell>
          <cell r="B2157" t="str">
            <v>bio-oils</v>
          </cell>
          <cell r="C2157" t="str">
            <v>from technosphere (material)</v>
          </cell>
          <cell r="D2157"/>
          <cell r="E2157" t="str">
            <v>Mass</v>
          </cell>
          <cell r="F2157">
            <v>1.5870445339999999</v>
          </cell>
          <cell r="G2157" t="str">
            <v>tonne</v>
          </cell>
          <cell r="H2157">
            <v>1</v>
          </cell>
          <cell r="I2157" t="str">
            <v>none</v>
          </cell>
          <cell r="J2157" t="str">
            <v>plastics monomer production inventories, from Meng et al. (2023), DOI 10.1073/pnas.2218294120</v>
          </cell>
          <cell r="K2157"/>
          <cell r="L2157" t="str">
            <v>see log sheet</v>
          </cell>
        </row>
        <row r="2158">
          <cell r="A2158" t="str">
            <v>[Meng] Propylene production via Bio-oils steam cracking + by-product upgrade</v>
          </cell>
          <cell r="B2158" t="str">
            <v>oxygen</v>
          </cell>
          <cell r="C2158" t="str">
            <v>from technosphere (material)</v>
          </cell>
          <cell r="D2158"/>
          <cell r="E2158" t="str">
            <v>Mass</v>
          </cell>
          <cell r="F2158">
            <v>6.4777327999999995E-2</v>
          </cell>
          <cell r="G2158" t="str">
            <v>tonne</v>
          </cell>
          <cell r="H2158">
            <v>1</v>
          </cell>
          <cell r="I2158" t="str">
            <v>none</v>
          </cell>
          <cell r="J2158" t="str">
            <v>plastics monomer production inventories, from Meng et al. (2023), DOI 10.1073/pnas.2218294120</v>
          </cell>
          <cell r="K2158"/>
          <cell r="L2158" t="str">
            <v>see log sheet</v>
          </cell>
        </row>
        <row r="2159">
          <cell r="A2159" t="str">
            <v>[Meng] Propylene production via Bio-oils steam cracking + by-product upgrade</v>
          </cell>
          <cell r="B2159" t="str">
            <v>electricity</v>
          </cell>
          <cell r="C2159" t="str">
            <v>from technosphere (energy_carrier)</v>
          </cell>
          <cell r="D2159"/>
          <cell r="E2159" t="str">
            <v>Energy</v>
          </cell>
          <cell r="F2159">
            <v>1.46582996</v>
          </cell>
          <cell r="G2159" t="str">
            <v>GJ</v>
          </cell>
          <cell r="H2159">
            <v>1</v>
          </cell>
          <cell r="I2159" t="str">
            <v>none</v>
          </cell>
          <cell r="J2159" t="str">
            <v>plastics monomer production inventories, from Meng et al. (2023), DOI 10.1073/pnas.2218294120</v>
          </cell>
          <cell r="K2159"/>
          <cell r="L2159" t="str">
            <v>see log sheet</v>
          </cell>
        </row>
        <row r="2160">
          <cell r="A2160" t="str">
            <v>[Meng] Propylene production via Pyrolysis oil H2 steam cracking + by-product upgrade</v>
          </cell>
          <cell r="B2160" t="str">
            <v>propylene</v>
          </cell>
          <cell r="C2160" t="str">
            <v>reference_product</v>
          </cell>
          <cell r="D2160">
            <v>271114</v>
          </cell>
          <cell r="E2160" t="str">
            <v>Mass</v>
          </cell>
          <cell r="F2160">
            <v>1</v>
          </cell>
          <cell r="G2160" t="str">
            <v>tonne</v>
          </cell>
          <cell r="H2160">
            <v>1</v>
          </cell>
          <cell r="I2160" t="str">
            <v>none</v>
          </cell>
          <cell r="J2160"/>
          <cell r="K2160"/>
          <cell r="L2160"/>
        </row>
        <row r="2161">
          <cell r="A2161" t="str">
            <v>[Meng] Propylene production via Pyrolysis oil H2 steam cracking + by-product upgrade</v>
          </cell>
          <cell r="B2161" t="str">
            <v>waste polymer</v>
          </cell>
          <cell r="C2161" t="str">
            <v>from technosphere (material)</v>
          </cell>
          <cell r="D2161"/>
          <cell r="E2161" t="str">
            <v>Mass</v>
          </cell>
          <cell r="F2161">
            <v>1.3220141700000001</v>
          </cell>
          <cell r="G2161" t="str">
            <v>tonne</v>
          </cell>
          <cell r="H2161">
            <v>1</v>
          </cell>
          <cell r="I2161" t="str">
            <v>none</v>
          </cell>
          <cell r="J2161" t="str">
            <v>plastics monomer production inventories, from Meng et al. (2023), DOI 10.1073/pnas.2218294120</v>
          </cell>
          <cell r="K2161" t="str">
            <v>Same as pyrolysis oil steam cracking business case</v>
          </cell>
          <cell r="L2161" t="str">
            <v>see log sheet</v>
          </cell>
        </row>
        <row r="2162">
          <cell r="A2162" t="str">
            <v>[Meng] Propylene production via Pyrolysis oil H2 steam cracking + by-product upgrade</v>
          </cell>
          <cell r="B2162" t="str">
            <v>pyrolysis oil</v>
          </cell>
          <cell r="C2162" t="str">
            <v>from technosphere (material)</v>
          </cell>
          <cell r="D2162"/>
          <cell r="E2162" t="str">
            <v>Mass</v>
          </cell>
          <cell r="F2162">
            <v>1.0576113359999999</v>
          </cell>
          <cell r="G2162" t="str">
            <v>tonne</v>
          </cell>
          <cell r="H2162">
            <v>1</v>
          </cell>
          <cell r="I2162" t="str">
            <v>none</v>
          </cell>
          <cell r="J2162" t="str">
            <v>plastics monomer production inventories, from Meng et al. (2023), DOI 10.1073/pnas.2218294120</v>
          </cell>
          <cell r="K2162" t="str">
            <v>Same as pyrolysis oil steam cracking business case</v>
          </cell>
          <cell r="L2162" t="str">
            <v>see log sheet</v>
          </cell>
        </row>
        <row r="2163">
          <cell r="A2163" t="str">
            <v>[Meng] Propylene production via Pyrolysis oil H2 steam cracking + by-product upgrade</v>
          </cell>
          <cell r="B2163" t="str">
            <v>oxygen</v>
          </cell>
          <cell r="C2163" t="str">
            <v>from technosphere (material)</v>
          </cell>
          <cell r="D2163"/>
          <cell r="E2163" t="str">
            <v>Mass</v>
          </cell>
          <cell r="F2163">
            <v>6.4777327999999995E-2</v>
          </cell>
          <cell r="G2163" t="str">
            <v>tonne</v>
          </cell>
          <cell r="H2163">
            <v>1</v>
          </cell>
          <cell r="I2163" t="str">
            <v>none</v>
          </cell>
          <cell r="J2163" t="str">
            <v>plastics monomer production inventories, from Meng et al. (2023), DOI 10.1073/pnas.2218294120</v>
          </cell>
          <cell r="K2163" t="str">
            <v>Same as naphtha steam cracking + by-product upgrade business case</v>
          </cell>
          <cell r="L2163" t="str">
            <v>see log sheet</v>
          </cell>
        </row>
        <row r="2164">
          <cell r="A2164" t="str">
            <v>[Meng] Propylene production via Pyrolysis oil H2 steam cracking + by-product upgrade</v>
          </cell>
          <cell r="B2164" t="str">
            <v>hydrogen</v>
          </cell>
          <cell r="C2164" t="str">
            <v>from technosphere (material)</v>
          </cell>
          <cell r="D2164"/>
          <cell r="E2164" t="str">
            <v>Mass</v>
          </cell>
          <cell r="F2164">
            <v>6.4736842000000003E-2</v>
          </cell>
          <cell r="G2164" t="str">
            <v>tonne</v>
          </cell>
          <cell r="H2164">
            <v>1</v>
          </cell>
          <cell r="I2164" t="str">
            <v>none</v>
          </cell>
          <cell r="J2164" t="str">
            <v>plastics monomer production inventories, from Meng et al. (2023), DOI 10.1073/pnas.2218294120</v>
          </cell>
          <cell r="K2164" t="str">
            <v>Same as naphtha H2 steam cracking business case</v>
          </cell>
          <cell r="L2164" t="str">
            <v>see log sheet</v>
          </cell>
        </row>
        <row r="2165">
          <cell r="A2165" t="str">
            <v>[Meng] Propylene production via Pyrolysis oil H2 steam cracking + by-product upgrade</v>
          </cell>
          <cell r="B2165" t="str">
            <v>electricity</v>
          </cell>
          <cell r="C2165" t="str">
            <v>from technosphere (energy_carrier)</v>
          </cell>
          <cell r="D2165"/>
          <cell r="E2165" t="str">
            <v>Energy</v>
          </cell>
          <cell r="F2165">
            <v>0.46537651800000002</v>
          </cell>
          <cell r="G2165" t="str">
            <v>GJ</v>
          </cell>
          <cell r="H2165">
            <v>1</v>
          </cell>
          <cell r="I2165" t="str">
            <v>none</v>
          </cell>
          <cell r="J2165" t="str">
            <v>plastics monomer production inventories, from Meng et al. (2023), DOI 10.1073/pnas.2218294120</v>
          </cell>
          <cell r="K2165" t="str">
            <v>Same as pyrolysis oil steam cracking business case</v>
          </cell>
          <cell r="L2165" t="str">
            <v>see log sheet</v>
          </cell>
        </row>
        <row r="2166">
          <cell r="A2166" t="str">
            <v>[Meng] Propylene production via Pyrolysis oil H2 steam cracking + by-product upgrade</v>
          </cell>
          <cell r="B2166" t="str">
            <v>electricity</v>
          </cell>
          <cell r="C2166" t="str">
            <v>from technosphere (energy_carrier)</v>
          </cell>
          <cell r="D2166"/>
          <cell r="E2166" t="str">
            <v>Energy</v>
          </cell>
          <cell r="F2166">
            <v>1.0253441299999999</v>
          </cell>
          <cell r="G2166" t="str">
            <v>GJ</v>
          </cell>
          <cell r="H2166">
            <v>1</v>
          </cell>
          <cell r="I2166" t="str">
            <v>none</v>
          </cell>
          <cell r="J2166" t="str">
            <v>plastics monomer production inventories, from Meng et al. (2023), DOI 10.1073/pnas.2218294120</v>
          </cell>
          <cell r="K2166" t="str">
            <v>Same as pyrolysis oil steam cracking business case</v>
          </cell>
          <cell r="L2166" t="str">
            <v>see log sheet</v>
          </cell>
        </row>
        <row r="2167">
          <cell r="A2167" t="str">
            <v>[Meng] Propylene production via Pyrolysis oil H2 steam cracking + by-product upgrade</v>
          </cell>
          <cell r="B2167" t="str">
            <v>electricity</v>
          </cell>
          <cell r="C2167" t="str">
            <v>from technosphere (energy_carrier)</v>
          </cell>
          <cell r="D2167"/>
          <cell r="E2167" t="str">
            <v>Energy</v>
          </cell>
          <cell r="F2167">
            <v>1.5591093119999999</v>
          </cell>
          <cell r="G2167" t="str">
            <v>GJ</v>
          </cell>
          <cell r="H2167">
            <v>1</v>
          </cell>
          <cell r="I2167" t="str">
            <v>none</v>
          </cell>
          <cell r="J2167" t="str">
            <v>plastics monomer production inventories, from Meng et al. (2023), DOI 10.1073/pnas.2218294120</v>
          </cell>
          <cell r="K2167" t="str">
            <v>Same as naphtha steam cracking + by-product upgrade business case</v>
          </cell>
          <cell r="L2167" t="str">
            <v>see log sheet</v>
          </cell>
        </row>
        <row r="2168">
          <cell r="A2168" t="str">
            <v>[Meng] Propylene production via Pyrolysis oil H2 steam cracking + by-product upgrade</v>
          </cell>
          <cell r="B2168" t="str">
            <v>electricity</v>
          </cell>
          <cell r="C2168" t="str">
            <v>from technosphere (energy_carrier)</v>
          </cell>
          <cell r="D2168"/>
          <cell r="E2168" t="str">
            <v>Energy</v>
          </cell>
          <cell r="F2168">
            <v>2.584453441</v>
          </cell>
          <cell r="G2168" t="str">
            <v>GJ</v>
          </cell>
          <cell r="H2168">
            <v>1</v>
          </cell>
          <cell r="I2168" t="str">
            <v>none</v>
          </cell>
          <cell r="J2168" t="str">
            <v>plastics monomer production inventories, from Meng et al. (2023), DOI 10.1073/pnas.2218294120</v>
          </cell>
          <cell r="K2168"/>
          <cell r="L2168" t="str">
            <v>see log sheet</v>
          </cell>
        </row>
        <row r="2169">
          <cell r="A2169" t="str">
            <v>[Meng] Propylene production via Pyrolysis oil H2 steam cracking + by-product upgrade</v>
          </cell>
          <cell r="B2169" t="str">
            <v>hydrogen</v>
          </cell>
          <cell r="C2169" t="str">
            <v>from technosphere (material)</v>
          </cell>
          <cell r="D2169"/>
          <cell r="E2169" t="str">
            <v>Mass</v>
          </cell>
          <cell r="F2169">
            <v>1.9190282999999999E-2</v>
          </cell>
          <cell r="G2169" t="str">
            <v>tonne</v>
          </cell>
          <cell r="H2169">
            <v>1</v>
          </cell>
          <cell r="I2169" t="str">
            <v>none</v>
          </cell>
          <cell r="J2169" t="str">
            <v>plastics monomer production inventories, from Meng et al. (2023), DOI 10.1073/pnas.2218294120</v>
          </cell>
          <cell r="K2169"/>
          <cell r="L2169" t="str">
            <v>see log sheet</v>
          </cell>
        </row>
        <row r="2170">
          <cell r="A2170" t="str">
            <v>[Meng] Propylene production via Bio-oils H2 steam cracking + by-product upgrade</v>
          </cell>
          <cell r="B2170" t="str">
            <v>propylene</v>
          </cell>
          <cell r="C2170" t="str">
            <v>reference_product</v>
          </cell>
          <cell r="D2170">
            <v>271114</v>
          </cell>
          <cell r="E2170" t="str">
            <v>Mass</v>
          </cell>
          <cell r="F2170">
            <v>1</v>
          </cell>
          <cell r="G2170" t="str">
            <v>tonne</v>
          </cell>
          <cell r="H2170">
            <v>1</v>
          </cell>
          <cell r="I2170" t="str">
            <v>none</v>
          </cell>
          <cell r="J2170"/>
          <cell r="K2170"/>
          <cell r="L2170"/>
        </row>
        <row r="2171">
          <cell r="A2171" t="str">
            <v>[Meng] Propylene production via Bio-oils H2 steam cracking + by-product upgrade</v>
          </cell>
          <cell r="B2171" t="str">
            <v>bio-oils</v>
          </cell>
          <cell r="C2171" t="str">
            <v>from technosphere (material)</v>
          </cell>
          <cell r="D2171"/>
          <cell r="E2171" t="str">
            <v>Mass</v>
          </cell>
          <cell r="F2171">
            <v>1.5870445339999999</v>
          </cell>
          <cell r="G2171" t="str">
            <v>tonne</v>
          </cell>
          <cell r="H2171">
            <v>1</v>
          </cell>
          <cell r="I2171" t="str">
            <v>none</v>
          </cell>
          <cell r="J2171" t="str">
            <v>plastics monomer production inventories, from Meng et al. (2023), DOI 10.1073/pnas.2218294120</v>
          </cell>
          <cell r="K2171"/>
          <cell r="L2171" t="str">
            <v>see log sheet</v>
          </cell>
        </row>
        <row r="2172">
          <cell r="A2172" t="str">
            <v>[Meng] Propylene production via Bio-oils H2 steam cracking + by-product upgrade</v>
          </cell>
          <cell r="B2172" t="str">
            <v>oxygen</v>
          </cell>
          <cell r="C2172" t="str">
            <v>from technosphere (material)</v>
          </cell>
          <cell r="D2172"/>
          <cell r="E2172" t="str">
            <v>Mass</v>
          </cell>
          <cell r="F2172">
            <v>6.4777327999999995E-2</v>
          </cell>
          <cell r="G2172" t="str">
            <v>tonne</v>
          </cell>
          <cell r="H2172">
            <v>1</v>
          </cell>
          <cell r="I2172" t="str">
            <v>none</v>
          </cell>
          <cell r="J2172" t="str">
            <v>plastics monomer production inventories, from Meng et al. (2023), DOI 10.1073/pnas.2218294120</v>
          </cell>
          <cell r="K2172"/>
          <cell r="L2172" t="str">
            <v>see log sheet</v>
          </cell>
        </row>
        <row r="2173">
          <cell r="A2173" t="str">
            <v>[Meng] Propylene production via Bio-oils H2 steam cracking + by-product upgrade</v>
          </cell>
          <cell r="B2173" t="str">
            <v>hydrogen</v>
          </cell>
          <cell r="C2173" t="str">
            <v>from technosphere (material)</v>
          </cell>
          <cell r="D2173"/>
          <cell r="E2173" t="str">
            <v>Mass</v>
          </cell>
          <cell r="F2173">
            <v>6.4736842000000003E-2</v>
          </cell>
          <cell r="G2173" t="str">
            <v>tonne</v>
          </cell>
          <cell r="H2173">
            <v>1</v>
          </cell>
          <cell r="I2173" t="str">
            <v>none</v>
          </cell>
          <cell r="J2173" t="str">
            <v>plastics monomer production inventories, from Meng et al. (2023), DOI 10.1073/pnas.2218294120</v>
          </cell>
          <cell r="K2173"/>
          <cell r="L2173" t="str">
            <v>see log sheet</v>
          </cell>
        </row>
        <row r="2174">
          <cell r="A2174" t="str">
            <v>[Meng] Propylene production via Bio-oils H2 steam cracking + by-product upgrade</v>
          </cell>
          <cell r="B2174" t="str">
            <v>electricity</v>
          </cell>
          <cell r="C2174" t="str">
            <v>from technosphere (energy_carrier)</v>
          </cell>
          <cell r="D2174"/>
          <cell r="E2174" t="str">
            <v>Energy</v>
          </cell>
          <cell r="F2174">
            <v>1.0253441299999999</v>
          </cell>
          <cell r="G2174" t="str">
            <v>GJ</v>
          </cell>
          <cell r="H2174">
            <v>1</v>
          </cell>
          <cell r="I2174" t="str">
            <v>none</v>
          </cell>
          <cell r="J2174" t="str">
            <v>plastics monomer production inventories, from Meng et al. (2023), DOI 10.1073/pnas.2218294120</v>
          </cell>
          <cell r="K2174"/>
          <cell r="L2174" t="str">
            <v>see log sheet</v>
          </cell>
        </row>
        <row r="2175">
          <cell r="A2175" t="str">
            <v>[Meng] Propylene production via Bio-oils H2 steam cracking + by-product upgrade</v>
          </cell>
          <cell r="B2175" t="str">
            <v>electricity</v>
          </cell>
          <cell r="C2175" t="str">
            <v>from technosphere (energy_carrier)</v>
          </cell>
          <cell r="D2175"/>
          <cell r="E2175" t="str">
            <v>Energy</v>
          </cell>
          <cell r="F2175">
            <v>1.5591093119999999</v>
          </cell>
          <cell r="G2175" t="str">
            <v>GJ</v>
          </cell>
          <cell r="H2175">
            <v>1</v>
          </cell>
          <cell r="I2175" t="str">
            <v>none</v>
          </cell>
          <cell r="J2175" t="str">
            <v>plastics monomer production inventories, from Meng et al. (2023), DOI 10.1073/pnas.2218294120</v>
          </cell>
          <cell r="K2175"/>
          <cell r="L2175" t="str">
            <v>see log sheet</v>
          </cell>
        </row>
        <row r="2176">
          <cell r="A2176" t="str">
            <v>[Meng] Propylene production via Bio-oils H2 steam cracking + by-product upgrade</v>
          </cell>
          <cell r="B2176" t="str">
            <v>electricity</v>
          </cell>
          <cell r="C2176" t="str">
            <v>from technosphere (energy_carrier)</v>
          </cell>
          <cell r="D2176"/>
          <cell r="E2176" t="str">
            <v>Energy</v>
          </cell>
          <cell r="F2176">
            <v>2.584453441</v>
          </cell>
          <cell r="G2176" t="str">
            <v>GJ</v>
          </cell>
          <cell r="H2176">
            <v>1</v>
          </cell>
          <cell r="I2176" t="str">
            <v>none</v>
          </cell>
          <cell r="J2176" t="str">
            <v>plastics monomer production inventories, from Meng et al. (2023), DOI 10.1073/pnas.2218294120</v>
          </cell>
          <cell r="K2176"/>
          <cell r="L2176" t="str">
            <v>see log sheet</v>
          </cell>
        </row>
        <row r="2177">
          <cell r="A2177" t="str">
            <v>[Meng] Propylene production via Bio-oils H2 steam cracking + by-product upgrade</v>
          </cell>
          <cell r="B2177" t="str">
            <v>hydrogen</v>
          </cell>
          <cell r="C2177" t="str">
            <v>from technosphere (material)</v>
          </cell>
          <cell r="D2177"/>
          <cell r="E2177" t="str">
            <v>Mass</v>
          </cell>
          <cell r="F2177">
            <v>1.9190282999999999E-2</v>
          </cell>
          <cell r="G2177" t="str">
            <v>tonne</v>
          </cell>
          <cell r="H2177">
            <v>1</v>
          </cell>
          <cell r="I2177" t="str">
            <v>none</v>
          </cell>
          <cell r="J2177" t="str">
            <v>plastics monomer production inventories, from Meng et al. (2023), DOI 10.1073/pnas.2218294120</v>
          </cell>
          <cell r="K2177"/>
          <cell r="L2177" t="str">
            <v>see log sheet</v>
          </cell>
        </row>
        <row r="2178">
          <cell r="A2178" t="str">
            <v>[Meng] Propylene production via Pyrolysis oil H2 steam cracking + CCS + by-product upgrade</v>
          </cell>
          <cell r="B2178" t="str">
            <v>propylene</v>
          </cell>
          <cell r="C2178" t="str">
            <v>reference_product</v>
          </cell>
          <cell r="D2178">
            <v>271114</v>
          </cell>
          <cell r="E2178" t="str">
            <v>Mass</v>
          </cell>
          <cell r="F2178">
            <v>1</v>
          </cell>
          <cell r="G2178" t="str">
            <v>tonne</v>
          </cell>
          <cell r="H2178">
            <v>1</v>
          </cell>
          <cell r="I2178" t="str">
            <v>none</v>
          </cell>
          <cell r="J2178"/>
          <cell r="K2178"/>
          <cell r="L2178"/>
        </row>
        <row r="2179">
          <cell r="A2179" t="str">
            <v>[Meng] Propylene production via Pyrolysis oil H2 steam cracking + CCS + by-product upgrade</v>
          </cell>
          <cell r="B2179" t="str">
            <v>waste polymer</v>
          </cell>
          <cell r="C2179" t="str">
            <v>from technosphere (material)</v>
          </cell>
          <cell r="D2179"/>
          <cell r="E2179" t="str">
            <v>Mass</v>
          </cell>
          <cell r="F2179">
            <v>1.3220141700000001</v>
          </cell>
          <cell r="G2179" t="str">
            <v>tonne</v>
          </cell>
          <cell r="H2179">
            <v>1</v>
          </cell>
          <cell r="I2179" t="str">
            <v>none</v>
          </cell>
          <cell r="J2179" t="str">
            <v>plastics monomer production inventories, from Meng et al. (2023), DOI 10.1073/pnas.2218294120</v>
          </cell>
          <cell r="K2179"/>
          <cell r="L2179" t="str">
            <v>see log sheet</v>
          </cell>
        </row>
        <row r="2180">
          <cell r="A2180" t="str">
            <v>[Meng] Propylene production via Pyrolysis oil H2 steam cracking + CCS + by-product upgrade</v>
          </cell>
          <cell r="B2180" t="str">
            <v>pyrolysis oil</v>
          </cell>
          <cell r="C2180" t="str">
            <v>from technosphere (material)</v>
          </cell>
          <cell r="D2180"/>
          <cell r="E2180" t="str">
            <v>Mass</v>
          </cell>
          <cell r="F2180">
            <v>1.0576113359999999</v>
          </cell>
          <cell r="G2180" t="str">
            <v>tonne</v>
          </cell>
          <cell r="H2180">
            <v>1</v>
          </cell>
          <cell r="I2180" t="str">
            <v>none</v>
          </cell>
          <cell r="J2180" t="str">
            <v>plastics monomer production inventories, from Meng et al. (2023), DOI 10.1073/pnas.2218294120</v>
          </cell>
          <cell r="K2180"/>
          <cell r="L2180" t="str">
            <v>see log sheet</v>
          </cell>
        </row>
        <row r="2181">
          <cell r="A2181" t="str">
            <v>[Meng] Propylene production via Pyrolysis oil H2 steam cracking + CCS + by-product upgrade</v>
          </cell>
          <cell r="B2181" t="str">
            <v>oxygen</v>
          </cell>
          <cell r="C2181" t="str">
            <v>from technosphere (material)</v>
          </cell>
          <cell r="D2181"/>
          <cell r="E2181" t="str">
            <v>Mass</v>
          </cell>
          <cell r="F2181">
            <v>6.4777327999999995E-2</v>
          </cell>
          <cell r="G2181" t="str">
            <v>tonne</v>
          </cell>
          <cell r="H2181">
            <v>1</v>
          </cell>
          <cell r="I2181" t="str">
            <v>none</v>
          </cell>
          <cell r="J2181" t="str">
            <v>plastics monomer production inventories, from Meng et al. (2023), DOI 10.1073/pnas.2218294120</v>
          </cell>
          <cell r="K2181"/>
          <cell r="L2181" t="str">
            <v>see log sheet</v>
          </cell>
        </row>
        <row r="2182">
          <cell r="A2182" t="str">
            <v>[Meng] Propylene production via Pyrolysis oil H2 steam cracking + CCS + by-product upgrade</v>
          </cell>
          <cell r="B2182" t="str">
            <v>hydrogen</v>
          </cell>
          <cell r="C2182" t="str">
            <v>from technosphere (material)</v>
          </cell>
          <cell r="D2182"/>
          <cell r="E2182" t="str">
            <v>Mass</v>
          </cell>
          <cell r="F2182">
            <v>6.4736842000000003E-2</v>
          </cell>
          <cell r="G2182" t="str">
            <v>tonne</v>
          </cell>
          <cell r="H2182">
            <v>1</v>
          </cell>
          <cell r="I2182" t="str">
            <v>none</v>
          </cell>
          <cell r="J2182" t="str">
            <v>plastics monomer production inventories, from Meng et al. (2023), DOI 10.1073/pnas.2218294120</v>
          </cell>
          <cell r="K2182"/>
          <cell r="L2182" t="str">
            <v>see log sheet</v>
          </cell>
        </row>
        <row r="2183">
          <cell r="A2183" t="str">
            <v>[Meng] Propylene production via Pyrolysis oil H2 steam cracking + CCS + by-product upgrade</v>
          </cell>
          <cell r="B2183" t="str">
            <v>electricity</v>
          </cell>
          <cell r="C2183" t="str">
            <v>from technosphere (energy_carrier)</v>
          </cell>
          <cell r="D2183"/>
          <cell r="E2183" t="str">
            <v>Energy</v>
          </cell>
          <cell r="F2183">
            <v>0.46537651800000002</v>
          </cell>
          <cell r="G2183" t="str">
            <v>GJ</v>
          </cell>
          <cell r="H2183">
            <v>1</v>
          </cell>
          <cell r="I2183" t="str">
            <v>none</v>
          </cell>
          <cell r="J2183" t="str">
            <v>plastics monomer production inventories, from Meng et al. (2023), DOI 10.1073/pnas.2218294120</v>
          </cell>
          <cell r="K2183"/>
          <cell r="L2183" t="str">
            <v>see log sheet</v>
          </cell>
        </row>
        <row r="2184">
          <cell r="A2184" t="str">
            <v>[Meng] Propylene production via Pyrolysis oil H2 steam cracking + CCS + by-product upgrade</v>
          </cell>
          <cell r="B2184" t="str">
            <v>electricity</v>
          </cell>
          <cell r="C2184" t="str">
            <v>from technosphere (energy_carrier)</v>
          </cell>
          <cell r="D2184"/>
          <cell r="E2184" t="str">
            <v>Energy</v>
          </cell>
          <cell r="F2184">
            <v>1.0253441299999999</v>
          </cell>
          <cell r="G2184" t="str">
            <v>GJ</v>
          </cell>
          <cell r="H2184">
            <v>1</v>
          </cell>
          <cell r="I2184" t="str">
            <v>none</v>
          </cell>
          <cell r="J2184" t="str">
            <v>plastics monomer production inventories, from Meng et al. (2023), DOI 10.1073/pnas.2218294120</v>
          </cell>
          <cell r="K2184"/>
          <cell r="L2184" t="str">
            <v>see log sheet</v>
          </cell>
        </row>
        <row r="2185">
          <cell r="A2185" t="str">
            <v>[Meng] Propylene production via Pyrolysis oil H2 steam cracking + CCS + by-product upgrade</v>
          </cell>
          <cell r="B2185" t="str">
            <v>electricity</v>
          </cell>
          <cell r="C2185" t="str">
            <v>from technosphere (energy_carrier)</v>
          </cell>
          <cell r="D2185"/>
          <cell r="E2185" t="str">
            <v>Energy</v>
          </cell>
          <cell r="F2185">
            <v>1.5591093119999999</v>
          </cell>
          <cell r="G2185" t="str">
            <v>GJ</v>
          </cell>
          <cell r="H2185">
            <v>1</v>
          </cell>
          <cell r="I2185" t="str">
            <v>none</v>
          </cell>
          <cell r="J2185" t="str">
            <v>plastics monomer production inventories, from Meng et al. (2023), DOI 10.1073/pnas.2218294120</v>
          </cell>
          <cell r="K2185"/>
          <cell r="L2185" t="str">
            <v>see log sheet</v>
          </cell>
        </row>
        <row r="2186">
          <cell r="A2186" t="str">
            <v>[Meng] Propylene production via Pyrolysis oil H2 steam cracking + CCS + by-product upgrade</v>
          </cell>
          <cell r="B2186" t="str">
            <v>electricity</v>
          </cell>
          <cell r="C2186" t="str">
            <v>from technosphere (energy_carrier)</v>
          </cell>
          <cell r="D2186"/>
          <cell r="E2186" t="str">
            <v>Energy</v>
          </cell>
          <cell r="F2186">
            <v>1.363190283</v>
          </cell>
          <cell r="G2186" t="str">
            <v>GJ</v>
          </cell>
          <cell r="H2186">
            <v>1</v>
          </cell>
          <cell r="I2186" t="str">
            <v>none</v>
          </cell>
          <cell r="J2186" t="str">
            <v>plastics monomer production inventories, from Meng et al. (2023), DOI 10.1073/pnas.2218294120</v>
          </cell>
          <cell r="K2186"/>
          <cell r="L2186" t="str">
            <v>see log sheet</v>
          </cell>
        </row>
        <row r="2187">
          <cell r="A2187" t="str">
            <v>[Meng] Propylene production via Pyrolysis oil H2 steam cracking + CCS + by-product upgrade</v>
          </cell>
          <cell r="B2187" t="str">
            <v>electricity</v>
          </cell>
          <cell r="C2187" t="str">
            <v>from technosphere (energy_carrier)</v>
          </cell>
          <cell r="D2187"/>
          <cell r="E2187" t="str">
            <v>Energy</v>
          </cell>
          <cell r="F2187">
            <v>4.4130202430000001</v>
          </cell>
          <cell r="G2187" t="str">
            <v>GJ</v>
          </cell>
          <cell r="H2187">
            <v>1</v>
          </cell>
          <cell r="I2187" t="str">
            <v>none</v>
          </cell>
          <cell r="J2187" t="str">
            <v>plastics monomer production inventories, from Meng et al. (2023), DOI 10.1073/pnas.2218294120</v>
          </cell>
          <cell r="K2187"/>
          <cell r="L2187" t="str">
            <v>see log sheet</v>
          </cell>
        </row>
        <row r="2188">
          <cell r="A2188" t="str">
            <v>[Meng] Propylene production via Pyrolysis oil electric steam cracking + by-product upgrade</v>
          </cell>
          <cell r="B2188" t="str">
            <v>propylene</v>
          </cell>
          <cell r="C2188" t="str">
            <v>reference_product</v>
          </cell>
          <cell r="D2188">
            <v>271114</v>
          </cell>
          <cell r="E2188" t="str">
            <v>Mass</v>
          </cell>
          <cell r="F2188">
            <v>1</v>
          </cell>
          <cell r="G2188" t="str">
            <v>tonne</v>
          </cell>
          <cell r="H2188">
            <v>1</v>
          </cell>
          <cell r="I2188" t="str">
            <v>none</v>
          </cell>
          <cell r="J2188"/>
          <cell r="K2188"/>
          <cell r="L2188"/>
        </row>
        <row r="2189">
          <cell r="A2189" t="str">
            <v>[Meng] Propylene production via Pyrolysis oil electric steam cracking + by-product upgrade</v>
          </cell>
          <cell r="B2189" t="str">
            <v>waste polymer</v>
          </cell>
          <cell r="C2189" t="str">
            <v>from technosphere (material)</v>
          </cell>
          <cell r="D2189"/>
          <cell r="E2189" t="str">
            <v>Mass</v>
          </cell>
          <cell r="F2189">
            <v>1.3220141700000001</v>
          </cell>
          <cell r="G2189" t="str">
            <v>tonne</v>
          </cell>
          <cell r="H2189">
            <v>1</v>
          </cell>
          <cell r="I2189" t="str">
            <v>none</v>
          </cell>
          <cell r="J2189" t="str">
            <v>plastics monomer production inventories, from Meng et al. (2023), DOI 10.1073/pnas.2218294120</v>
          </cell>
          <cell r="K2189" t="str">
            <v>Same as pyrolysis oil steam cracking business case</v>
          </cell>
          <cell r="L2189" t="str">
            <v>see log sheet</v>
          </cell>
        </row>
        <row r="2190">
          <cell r="A2190" t="str">
            <v>[Meng] Propylene production via Pyrolysis oil electric steam cracking + by-product upgrade</v>
          </cell>
          <cell r="B2190" t="str">
            <v>pyrolysis oil</v>
          </cell>
          <cell r="C2190" t="str">
            <v>from technosphere (material)</v>
          </cell>
          <cell r="D2190"/>
          <cell r="E2190" t="str">
            <v>Mass</v>
          </cell>
          <cell r="F2190">
            <v>1.0576113359999999</v>
          </cell>
          <cell r="G2190" t="str">
            <v>tonne</v>
          </cell>
          <cell r="H2190">
            <v>1</v>
          </cell>
          <cell r="I2190" t="str">
            <v>none</v>
          </cell>
          <cell r="J2190" t="str">
            <v>plastics monomer production inventories, from Meng et al. (2023), DOI 10.1073/pnas.2218294120</v>
          </cell>
          <cell r="K2190" t="str">
            <v>Same as pyrolysis oil steam cracking business case</v>
          </cell>
          <cell r="L2190" t="str">
            <v>see log sheet</v>
          </cell>
        </row>
        <row r="2191">
          <cell r="A2191" t="str">
            <v>[Meng] Propylene production via Pyrolysis oil electric steam cracking + by-product upgrade</v>
          </cell>
          <cell r="B2191" t="str">
            <v>oxygen</v>
          </cell>
          <cell r="C2191" t="str">
            <v>from technosphere (material)</v>
          </cell>
          <cell r="D2191"/>
          <cell r="E2191" t="str">
            <v>Mass</v>
          </cell>
          <cell r="F2191">
            <v>6.4777327999999995E-2</v>
          </cell>
          <cell r="G2191" t="str">
            <v>tonne</v>
          </cell>
          <cell r="H2191">
            <v>1</v>
          </cell>
          <cell r="I2191" t="str">
            <v>none</v>
          </cell>
          <cell r="J2191" t="str">
            <v>plastics monomer production inventories, from Meng et al. (2023), DOI 10.1073/pnas.2218294120</v>
          </cell>
          <cell r="K2191" t="str">
            <v>Same as naphtha steam cracking + by-product upgrade business case</v>
          </cell>
          <cell r="L2191" t="str">
            <v>see log sheet</v>
          </cell>
        </row>
        <row r="2192">
          <cell r="A2192" t="str">
            <v>[Meng] Propylene production via Pyrolysis oil electric steam cracking + by-product upgrade</v>
          </cell>
          <cell r="B2192" t="str">
            <v>electricity</v>
          </cell>
          <cell r="C2192" t="str">
            <v>from technosphere (energy_carrier)</v>
          </cell>
          <cell r="D2192"/>
          <cell r="E2192" t="str">
            <v>Energy</v>
          </cell>
          <cell r="F2192">
            <v>0.46537651800000002</v>
          </cell>
          <cell r="G2192" t="str">
            <v>GJ</v>
          </cell>
          <cell r="H2192">
            <v>1</v>
          </cell>
          <cell r="I2192" t="str">
            <v>none</v>
          </cell>
          <cell r="J2192" t="str">
            <v>plastics monomer production inventories, from Meng et al. (2023), DOI 10.1073/pnas.2218294120</v>
          </cell>
          <cell r="K2192" t="str">
            <v>Same as pyrolysis oil steam cracking business case</v>
          </cell>
          <cell r="L2192" t="str">
            <v>see log sheet</v>
          </cell>
        </row>
        <row r="2193">
          <cell r="A2193" t="str">
            <v>[Meng] Propylene production via Pyrolysis oil electric steam cracking + by-product upgrade</v>
          </cell>
          <cell r="B2193" t="str">
            <v>electricity</v>
          </cell>
          <cell r="C2193" t="str">
            <v>from technosphere (energy_carrier)</v>
          </cell>
          <cell r="D2193"/>
          <cell r="E2193" t="str">
            <v>Energy</v>
          </cell>
          <cell r="F2193">
            <v>8.1201133599999995</v>
          </cell>
          <cell r="G2193" t="str">
            <v>GJ</v>
          </cell>
          <cell r="H2193">
            <v>1</v>
          </cell>
          <cell r="I2193" t="str">
            <v>none</v>
          </cell>
          <cell r="J2193" t="str">
            <v>plastics monomer production inventories, from Meng et al. (2023), DOI 10.1073/pnas.2218294120</v>
          </cell>
          <cell r="K2193" t="str">
            <v>Same as naphtha electric steam cracking business case</v>
          </cell>
          <cell r="L2193" t="str">
            <v>see log sheet</v>
          </cell>
        </row>
        <row r="2194">
          <cell r="A2194" t="str">
            <v>[Meng] Propylene production via Pyrolysis oil electric steam cracking + by-product upgrade</v>
          </cell>
          <cell r="B2194" t="str">
            <v>electricity</v>
          </cell>
          <cell r="C2194" t="str">
            <v>from technosphere (energy_carrier)</v>
          </cell>
          <cell r="D2194"/>
          <cell r="E2194" t="str">
            <v>Energy</v>
          </cell>
          <cell r="F2194">
            <v>1.5591093119999999</v>
          </cell>
          <cell r="G2194" t="str">
            <v>GJ</v>
          </cell>
          <cell r="H2194">
            <v>1</v>
          </cell>
          <cell r="I2194" t="str">
            <v>none</v>
          </cell>
          <cell r="J2194" t="str">
            <v>plastics monomer production inventories, from Meng et al. (2023), DOI 10.1073/pnas.2218294120</v>
          </cell>
          <cell r="K2194" t="str">
            <v>Same as naphtha steam cracking + by-product upgrade business case</v>
          </cell>
          <cell r="L2194" t="str">
            <v>see log sheet</v>
          </cell>
        </row>
        <row r="2195">
          <cell r="A2195" t="str">
            <v>[Meng] Propylene production via Pyrolysis oil electric steam cracking + by-product upgrade</v>
          </cell>
          <cell r="B2195" t="str">
            <v>electricity</v>
          </cell>
          <cell r="C2195" t="str">
            <v>from technosphere (energy_carrier)</v>
          </cell>
          <cell r="D2195"/>
          <cell r="E2195" t="str">
            <v>Energy</v>
          </cell>
          <cell r="F2195">
            <v>9.6792226719999999</v>
          </cell>
          <cell r="G2195" t="str">
            <v>GJ</v>
          </cell>
          <cell r="H2195">
            <v>1</v>
          </cell>
          <cell r="I2195" t="str">
            <v>none</v>
          </cell>
          <cell r="J2195" t="str">
            <v>plastics monomer production inventories, from Meng et al. (2023), DOI 10.1073/pnas.2218294120</v>
          </cell>
          <cell r="K2195"/>
          <cell r="L2195" t="str">
            <v>see log sheet</v>
          </cell>
        </row>
        <row r="2196">
          <cell r="A2196" t="str">
            <v>[Meng] Propylene production via Pyrolysis oil electric steam cracking + by-product upgrade</v>
          </cell>
          <cell r="B2196" t="str">
            <v>hydrogen</v>
          </cell>
          <cell r="C2196" t="str">
            <v>from technosphere (material)</v>
          </cell>
          <cell r="D2196"/>
          <cell r="E2196" t="str">
            <v>Mass</v>
          </cell>
          <cell r="F2196">
            <v>1.9190282999999999E-2</v>
          </cell>
          <cell r="G2196" t="str">
            <v>tonne</v>
          </cell>
          <cell r="H2196">
            <v>1</v>
          </cell>
          <cell r="I2196" t="str">
            <v>none</v>
          </cell>
          <cell r="J2196" t="str">
            <v>plastics monomer production inventories, from Meng et al. (2023), DOI 10.1073/pnas.2218294120</v>
          </cell>
          <cell r="K2196"/>
          <cell r="L2196" t="str">
            <v>see log sheet</v>
          </cell>
        </row>
        <row r="2197">
          <cell r="A2197" t="str">
            <v>[Meng] Propylene production via Bio-oils electric steam cracking + by-product upgrade</v>
          </cell>
          <cell r="B2197" t="str">
            <v>propylene</v>
          </cell>
          <cell r="C2197" t="str">
            <v>reference_product</v>
          </cell>
          <cell r="D2197">
            <v>271114</v>
          </cell>
          <cell r="E2197" t="str">
            <v>Mass</v>
          </cell>
          <cell r="F2197">
            <v>1</v>
          </cell>
          <cell r="G2197" t="str">
            <v>tonne</v>
          </cell>
          <cell r="H2197">
            <v>1</v>
          </cell>
          <cell r="I2197" t="str">
            <v>none</v>
          </cell>
          <cell r="J2197"/>
          <cell r="K2197"/>
          <cell r="L2197"/>
        </row>
        <row r="2198">
          <cell r="A2198" t="str">
            <v>[Meng] Propylene production via Bio-oils electric steam cracking + by-product upgrade</v>
          </cell>
          <cell r="B2198" t="str">
            <v>bio-oils</v>
          </cell>
          <cell r="C2198" t="str">
            <v>from technosphere (material)</v>
          </cell>
          <cell r="D2198"/>
          <cell r="E2198" t="str">
            <v>Mass</v>
          </cell>
          <cell r="F2198">
            <v>1.5870445339999999</v>
          </cell>
          <cell r="G2198" t="str">
            <v>tonne</v>
          </cell>
          <cell r="H2198">
            <v>1</v>
          </cell>
          <cell r="I2198" t="str">
            <v>none</v>
          </cell>
          <cell r="J2198" t="str">
            <v>plastics monomer production inventories, from Meng et al. (2023), DOI 10.1073/pnas.2218294120</v>
          </cell>
          <cell r="K2198"/>
          <cell r="L2198" t="str">
            <v>see log sheet</v>
          </cell>
        </row>
        <row r="2199">
          <cell r="A2199" t="str">
            <v>[Meng] Propylene production via Bio-oils electric steam cracking + by-product upgrade</v>
          </cell>
          <cell r="B2199" t="str">
            <v>oxygen</v>
          </cell>
          <cell r="C2199" t="str">
            <v>from technosphere (material)</v>
          </cell>
          <cell r="D2199"/>
          <cell r="E2199" t="str">
            <v>Mass</v>
          </cell>
          <cell r="F2199">
            <v>6.4777327999999995E-2</v>
          </cell>
          <cell r="G2199" t="str">
            <v>tonne</v>
          </cell>
          <cell r="H2199">
            <v>1</v>
          </cell>
          <cell r="I2199" t="str">
            <v>none</v>
          </cell>
          <cell r="J2199" t="str">
            <v>plastics monomer production inventories, from Meng et al. (2023), DOI 10.1073/pnas.2218294120</v>
          </cell>
          <cell r="K2199"/>
          <cell r="L2199" t="str">
            <v>see log sheet</v>
          </cell>
        </row>
        <row r="2200">
          <cell r="A2200" t="str">
            <v>[Meng] Propylene production via Bio-oils electric steam cracking + by-product upgrade</v>
          </cell>
          <cell r="B2200" t="str">
            <v>electricity</v>
          </cell>
          <cell r="C2200" t="str">
            <v>from technosphere (energy_carrier)</v>
          </cell>
          <cell r="D2200"/>
          <cell r="E2200" t="str">
            <v>Energy</v>
          </cell>
          <cell r="F2200">
            <v>8.1201133599999995</v>
          </cell>
          <cell r="G2200" t="str">
            <v>GJ</v>
          </cell>
          <cell r="H2200">
            <v>1</v>
          </cell>
          <cell r="I2200" t="str">
            <v>none</v>
          </cell>
          <cell r="J2200" t="str">
            <v>plastics monomer production inventories, from Meng et al. (2023), DOI 10.1073/pnas.2218294120</v>
          </cell>
          <cell r="K2200"/>
          <cell r="L2200" t="str">
            <v>see log sheet</v>
          </cell>
        </row>
        <row r="2201">
          <cell r="A2201" t="str">
            <v>[Meng] Propylene production via Bio-oils electric steam cracking + by-product upgrade</v>
          </cell>
          <cell r="B2201" t="str">
            <v>electricity</v>
          </cell>
          <cell r="C2201" t="str">
            <v>from technosphere (energy_carrier)</v>
          </cell>
          <cell r="D2201"/>
          <cell r="E2201" t="str">
            <v>Energy</v>
          </cell>
          <cell r="F2201">
            <v>1.5591093119999999</v>
          </cell>
          <cell r="G2201" t="str">
            <v>GJ</v>
          </cell>
          <cell r="H2201">
            <v>1</v>
          </cell>
          <cell r="I2201" t="str">
            <v>none</v>
          </cell>
          <cell r="J2201" t="str">
            <v>plastics monomer production inventories, from Meng et al. (2023), DOI 10.1073/pnas.2218294120</v>
          </cell>
          <cell r="K2201"/>
          <cell r="L2201" t="str">
            <v>see log sheet</v>
          </cell>
        </row>
        <row r="2202">
          <cell r="A2202" t="str">
            <v>[Meng] Propylene production via Bio-oils electric steam cracking + by-product upgrade</v>
          </cell>
          <cell r="B2202" t="str">
            <v>electricity</v>
          </cell>
          <cell r="C2202" t="str">
            <v>from technosphere (energy_carrier)</v>
          </cell>
          <cell r="D2202"/>
          <cell r="E2202" t="str">
            <v>Energy</v>
          </cell>
          <cell r="F2202">
            <v>9.6792226719999999</v>
          </cell>
          <cell r="G2202" t="str">
            <v>GJ</v>
          </cell>
          <cell r="H2202">
            <v>1</v>
          </cell>
          <cell r="I2202" t="str">
            <v>none</v>
          </cell>
          <cell r="J2202" t="str">
            <v>plastics monomer production inventories, from Meng et al. (2023), DOI 10.1073/pnas.2218294120</v>
          </cell>
          <cell r="K2202"/>
          <cell r="L2202" t="str">
            <v>see log sheet</v>
          </cell>
        </row>
        <row r="2203">
          <cell r="A2203" t="str">
            <v>[Meng] Propylene production via Bio-oils electric steam cracking + by-product upgrade</v>
          </cell>
          <cell r="B2203" t="str">
            <v>hydrogen</v>
          </cell>
          <cell r="C2203" t="str">
            <v>from technosphere (material)</v>
          </cell>
          <cell r="D2203"/>
          <cell r="E2203" t="str">
            <v>Mass</v>
          </cell>
          <cell r="F2203">
            <v>1.9190282999999999E-2</v>
          </cell>
          <cell r="G2203" t="str">
            <v>tonne</v>
          </cell>
          <cell r="H2203">
            <v>1</v>
          </cell>
          <cell r="I2203" t="str">
            <v>none</v>
          </cell>
          <cell r="J2203" t="str">
            <v>plastics monomer production inventories, from Meng et al. (2023), DOI 10.1073/pnas.2218294120</v>
          </cell>
          <cell r="K2203"/>
          <cell r="L2203" t="str">
            <v>see log sheet</v>
          </cell>
        </row>
        <row r="2204">
          <cell r="A2204" t="str">
            <v>[Meng] Propylene production via Pyrolysis oil electric steam cracking + CCS + by-product upgrade</v>
          </cell>
          <cell r="B2204" t="str">
            <v>propylene</v>
          </cell>
          <cell r="C2204" t="str">
            <v>reference_product</v>
          </cell>
          <cell r="D2204">
            <v>271114</v>
          </cell>
          <cell r="E2204" t="str">
            <v>Mass</v>
          </cell>
          <cell r="F2204">
            <v>1</v>
          </cell>
          <cell r="G2204" t="str">
            <v>tonne</v>
          </cell>
          <cell r="H2204">
            <v>1</v>
          </cell>
          <cell r="I2204" t="str">
            <v>none</v>
          </cell>
          <cell r="J2204"/>
          <cell r="K2204"/>
          <cell r="L2204"/>
        </row>
        <row r="2205">
          <cell r="A2205" t="str">
            <v>[Meng] Propylene production via Pyrolysis oil electric steam cracking + CCS + by-product upgrade</v>
          </cell>
          <cell r="B2205" t="str">
            <v>waste polymer</v>
          </cell>
          <cell r="C2205" t="str">
            <v>from technosphere (material)</v>
          </cell>
          <cell r="D2205"/>
          <cell r="E2205" t="str">
            <v>Mass</v>
          </cell>
          <cell r="F2205">
            <v>1.3220141700000001</v>
          </cell>
          <cell r="G2205" t="str">
            <v>tonne</v>
          </cell>
          <cell r="H2205">
            <v>1</v>
          </cell>
          <cell r="I2205" t="str">
            <v>none</v>
          </cell>
          <cell r="J2205" t="str">
            <v>plastics monomer production inventories, from Meng et al. (2023), DOI 10.1073/pnas.2218294120</v>
          </cell>
          <cell r="K2205"/>
          <cell r="L2205" t="str">
            <v>see log sheet</v>
          </cell>
        </row>
        <row r="2206">
          <cell r="A2206" t="str">
            <v>[Meng] Propylene production via Pyrolysis oil electric steam cracking + CCS + by-product upgrade</v>
          </cell>
          <cell r="B2206" t="str">
            <v>pyrolysis oil</v>
          </cell>
          <cell r="C2206" t="str">
            <v>from technosphere (material)</v>
          </cell>
          <cell r="D2206"/>
          <cell r="E2206" t="str">
            <v>Mass</v>
          </cell>
          <cell r="F2206">
            <v>1.0576113359999999</v>
          </cell>
          <cell r="G2206" t="str">
            <v>tonne</v>
          </cell>
          <cell r="H2206">
            <v>1</v>
          </cell>
          <cell r="I2206" t="str">
            <v>none</v>
          </cell>
          <cell r="J2206" t="str">
            <v>plastics monomer production inventories, from Meng et al. (2023), DOI 10.1073/pnas.2218294120</v>
          </cell>
          <cell r="K2206"/>
          <cell r="L2206" t="str">
            <v>see log sheet</v>
          </cell>
        </row>
        <row r="2207">
          <cell r="A2207" t="str">
            <v>[Meng] Propylene production via Pyrolysis oil electric steam cracking + CCS + by-product upgrade</v>
          </cell>
          <cell r="B2207" t="str">
            <v>oxygen</v>
          </cell>
          <cell r="C2207" t="str">
            <v>from technosphere (material)</v>
          </cell>
          <cell r="D2207"/>
          <cell r="E2207" t="str">
            <v>Mass</v>
          </cell>
          <cell r="F2207">
            <v>6.4777327999999995E-2</v>
          </cell>
          <cell r="G2207" t="str">
            <v>tonne</v>
          </cell>
          <cell r="H2207">
            <v>1</v>
          </cell>
          <cell r="I2207" t="str">
            <v>none</v>
          </cell>
          <cell r="J2207" t="str">
            <v>plastics monomer production inventories, from Meng et al. (2023), DOI 10.1073/pnas.2218294120</v>
          </cell>
          <cell r="K2207"/>
          <cell r="L2207" t="str">
            <v>see log sheet</v>
          </cell>
        </row>
        <row r="2208">
          <cell r="A2208" t="str">
            <v>[Meng] Propylene production via Pyrolysis oil electric steam cracking + CCS + by-product upgrade</v>
          </cell>
          <cell r="B2208" t="str">
            <v>electricity</v>
          </cell>
          <cell r="C2208" t="str">
            <v>from technosphere (energy_carrier)</v>
          </cell>
          <cell r="D2208"/>
          <cell r="E2208" t="str">
            <v>Energy</v>
          </cell>
          <cell r="F2208">
            <v>0.46537651800000002</v>
          </cell>
          <cell r="G2208" t="str">
            <v>GJ</v>
          </cell>
          <cell r="H2208">
            <v>1</v>
          </cell>
          <cell r="I2208" t="str">
            <v>none</v>
          </cell>
          <cell r="J2208" t="str">
            <v>plastics monomer production inventories, from Meng et al. (2023), DOI 10.1073/pnas.2218294120</v>
          </cell>
          <cell r="K2208"/>
          <cell r="L2208" t="str">
            <v>see log sheet</v>
          </cell>
        </row>
        <row r="2209">
          <cell r="A2209" t="str">
            <v>[Meng] Propylene production via Pyrolysis oil electric steam cracking + CCS + by-product upgrade</v>
          </cell>
          <cell r="B2209" t="str">
            <v>electricity</v>
          </cell>
          <cell r="C2209" t="str">
            <v>from technosphere (energy_carrier)</v>
          </cell>
          <cell r="D2209"/>
          <cell r="E2209" t="str">
            <v>Energy</v>
          </cell>
          <cell r="F2209">
            <v>8.1201133599999995</v>
          </cell>
          <cell r="G2209" t="str">
            <v>GJ</v>
          </cell>
          <cell r="H2209">
            <v>1</v>
          </cell>
          <cell r="I2209" t="str">
            <v>none</v>
          </cell>
          <cell r="J2209" t="str">
            <v>plastics monomer production inventories, from Meng et al. (2023), DOI 10.1073/pnas.2218294120</v>
          </cell>
          <cell r="K2209"/>
          <cell r="L2209" t="str">
            <v>see log sheet</v>
          </cell>
        </row>
        <row r="2210">
          <cell r="A2210" t="str">
            <v>[Meng] Propylene production via Pyrolysis oil electric steam cracking + CCS + by-product upgrade</v>
          </cell>
          <cell r="B2210" t="str">
            <v>electricity</v>
          </cell>
          <cell r="C2210" t="str">
            <v>from technosphere (energy_carrier)</v>
          </cell>
          <cell r="D2210"/>
          <cell r="E2210" t="str">
            <v>Energy</v>
          </cell>
          <cell r="F2210">
            <v>1.5591093119999999</v>
          </cell>
          <cell r="G2210" t="str">
            <v>GJ</v>
          </cell>
          <cell r="H2210">
            <v>1</v>
          </cell>
          <cell r="I2210" t="str">
            <v>none</v>
          </cell>
          <cell r="J2210" t="str">
            <v>plastics monomer production inventories, from Meng et al. (2023), DOI 10.1073/pnas.2218294120</v>
          </cell>
          <cell r="K2210"/>
          <cell r="L2210" t="str">
            <v>see log sheet</v>
          </cell>
        </row>
        <row r="2211">
          <cell r="A2211" t="str">
            <v>[Meng] Propylene production via Pyrolysis oil electric steam cracking + CCS + by-product upgrade</v>
          </cell>
          <cell r="B2211" t="str">
            <v>electricity</v>
          </cell>
          <cell r="C2211" t="str">
            <v>from technosphere (energy_carrier)</v>
          </cell>
          <cell r="D2211"/>
          <cell r="E2211" t="str">
            <v>Energy</v>
          </cell>
          <cell r="F2211">
            <v>1.363190283</v>
          </cell>
          <cell r="G2211" t="str">
            <v>GJ</v>
          </cell>
          <cell r="H2211">
            <v>1</v>
          </cell>
          <cell r="I2211" t="str">
            <v>none</v>
          </cell>
          <cell r="J2211" t="str">
            <v>plastics monomer production inventories, from Meng et al. (2023), DOI 10.1073/pnas.2218294120</v>
          </cell>
          <cell r="K2211"/>
          <cell r="L2211" t="str">
            <v>see log sheet</v>
          </cell>
        </row>
        <row r="2212">
          <cell r="A2212" t="str">
            <v>[Meng] Propylene production via Pyrolysis oil electric steam cracking + CCS + by-product upgrade</v>
          </cell>
          <cell r="B2212" t="str">
            <v>electricity</v>
          </cell>
          <cell r="C2212" t="str">
            <v>from technosphere (energy_carrier)</v>
          </cell>
          <cell r="D2212"/>
          <cell r="E2212" t="str">
            <v>Energy</v>
          </cell>
          <cell r="F2212">
            <v>11.507789470000001</v>
          </cell>
          <cell r="G2212" t="str">
            <v>GJ</v>
          </cell>
          <cell r="H2212">
            <v>1</v>
          </cell>
          <cell r="I2212" t="str">
            <v>none</v>
          </cell>
          <cell r="J2212" t="str">
            <v>plastics monomer production inventories, from Meng et al. (2023), DOI 10.1073/pnas.2218294120</v>
          </cell>
          <cell r="K2212"/>
          <cell r="L2212" t="str">
            <v>see log sheet</v>
          </cell>
        </row>
        <row r="2213">
          <cell r="A2213" t="str">
            <v>[Meng] Propylene production via PDH</v>
          </cell>
          <cell r="B2213" t="str">
            <v>propylene</v>
          </cell>
          <cell r="C2213" t="str">
            <v>reference_product</v>
          </cell>
          <cell r="D2213">
            <v>271114</v>
          </cell>
          <cell r="E2213" t="str">
            <v>Mass</v>
          </cell>
          <cell r="F2213">
            <v>1</v>
          </cell>
          <cell r="G2213" t="str">
            <v>tonne</v>
          </cell>
          <cell r="H2213">
            <v>1</v>
          </cell>
          <cell r="I2213" t="str">
            <v>none</v>
          </cell>
          <cell r="J2213"/>
          <cell r="K2213"/>
          <cell r="L2213"/>
        </row>
        <row r="2214">
          <cell r="A2214" t="str">
            <v>[Meng] Propylene production via PDH</v>
          </cell>
          <cell r="B2214" t="str">
            <v>propane</v>
          </cell>
          <cell r="C2214" t="str">
            <v>from technosphere (material)</v>
          </cell>
          <cell r="D2214"/>
          <cell r="E2214" t="str">
            <v>Mass</v>
          </cell>
          <cell r="F2214">
            <v>1.17</v>
          </cell>
          <cell r="G2214" t="str">
            <v>tonne</v>
          </cell>
          <cell r="H2214">
            <v>1</v>
          </cell>
          <cell r="I2214" t="str">
            <v>none</v>
          </cell>
          <cell r="J2214" t="str">
            <v>plastics monomer production inventories, from Meng et al. (2023), DOI 10.1073/pnas.2218294120</v>
          </cell>
          <cell r="K2214" t="str">
            <v>Value given directly in Table 2 of Paper. Verified by 1.18 tons/ton propylene on pg 6 of paper on PDH in Saudi Arabia: https://core.ac.uk/download/pdf/235050644.pdf</v>
          </cell>
          <cell r="L2214" t="str">
            <v>see log sheet</v>
          </cell>
        </row>
        <row r="2215">
          <cell r="A2215" t="str">
            <v>[Meng] Propylene production via PDH</v>
          </cell>
          <cell r="B2215" t="str">
            <v>carbon dioxide</v>
          </cell>
          <cell r="C2215" t="str">
            <v>from technosphere (material)</v>
          </cell>
          <cell r="D2215"/>
          <cell r="E2215" t="str">
            <v>Mass</v>
          </cell>
          <cell r="F2215">
            <v>0.88</v>
          </cell>
          <cell r="G2215" t="str">
            <v>tonne</v>
          </cell>
          <cell r="H2215">
            <v>1</v>
          </cell>
          <cell r="I2215" t="str">
            <v>none</v>
          </cell>
          <cell r="J2215" t="str">
            <v>plastics monomer production inventories, from Meng et al. (2023), DOI 10.1073/pnas.2218294120</v>
          </cell>
          <cell r="K2215" t="str">
            <v>Value given directly in Table 2 of Paper. This is noted as a waste stream.</v>
          </cell>
          <cell r="L2215" t="str">
            <v>see log sheet</v>
          </cell>
        </row>
        <row r="2216">
          <cell r="A2216" t="str">
            <v>[Meng] Propylene production via PDH</v>
          </cell>
          <cell r="B2216" t="str">
            <v>C4</v>
          </cell>
          <cell r="C2216" t="str">
            <v>from technosphere (material)</v>
          </cell>
          <cell r="D2216"/>
          <cell r="E2216" t="str">
            <v>Mass</v>
          </cell>
          <cell r="F2216">
            <v>0.09</v>
          </cell>
          <cell r="G2216" t="str">
            <v>tonne</v>
          </cell>
          <cell r="H2216">
            <v>1</v>
          </cell>
          <cell r="I2216" t="str">
            <v>none</v>
          </cell>
          <cell r="J2216" t="str">
            <v>plastics monomer production inventories, from Meng et al. (2023), DOI 10.1073/pnas.2218294120</v>
          </cell>
          <cell r="K2216" t="str">
            <v>Value given directly in Table 2 of Paper. This is noted as a byproduct.</v>
          </cell>
          <cell r="L2216" t="str">
            <v>see log sheet</v>
          </cell>
        </row>
        <row r="2217">
          <cell r="A2217" t="str">
            <v>[Meng] Propylene production via PDH</v>
          </cell>
          <cell r="B2217" t="str">
            <v>hydrogen</v>
          </cell>
          <cell r="C2217" t="str">
            <v>from technosphere (material)</v>
          </cell>
          <cell r="D2217"/>
          <cell r="E2217" t="str">
            <v>Mass</v>
          </cell>
          <cell r="F2217">
            <v>0.04</v>
          </cell>
          <cell r="G2217" t="str">
            <v>tonne</v>
          </cell>
          <cell r="H2217">
            <v>1</v>
          </cell>
          <cell r="I2217" t="str">
            <v>none</v>
          </cell>
          <cell r="J2217" t="str">
            <v>plastics monomer production inventories, from Meng et al. (2023), DOI 10.1073/pnas.2218294120</v>
          </cell>
          <cell r="K2217" t="str">
            <v>Value given directly in Table 2 of Paper. This is noted as a byproduct.</v>
          </cell>
          <cell r="L2217" t="str">
            <v>see log sheet</v>
          </cell>
        </row>
        <row r="2218">
          <cell r="A2218" t="str">
            <v>[Meng] Propylene production via PDH</v>
          </cell>
          <cell r="B2218" t="str">
            <v>electricity</v>
          </cell>
          <cell r="C2218" t="str">
            <v>from technosphere (energy_carrier)</v>
          </cell>
          <cell r="D2218"/>
          <cell r="E2218" t="str">
            <v>Energy</v>
          </cell>
          <cell r="F2218">
            <v>2.5019999999999998</v>
          </cell>
          <cell r="G2218" t="str">
            <v>GJ</v>
          </cell>
          <cell r="H2218">
            <v>1</v>
          </cell>
          <cell r="I2218" t="str">
            <v>none</v>
          </cell>
          <cell r="J2218" t="str">
            <v>plastics monomer production inventories, from Meng et al. (2023), DOI 10.1073/pnas.2218294120</v>
          </cell>
          <cell r="K2218" t="str">
            <v>Value given directly in Table 2 of Paper.</v>
          </cell>
          <cell r="L2218" t="str">
            <v>see log sheet</v>
          </cell>
        </row>
        <row r="2219">
          <cell r="A2219" t="str">
            <v>[Meng] Propylene production via PDH</v>
          </cell>
          <cell r="B2219" t="str">
            <v>steam</v>
          </cell>
          <cell r="C2219" t="str">
            <v>from technosphere (energy_carrier)</v>
          </cell>
          <cell r="D2219"/>
          <cell r="E2219" t="str">
            <v>Energy</v>
          </cell>
          <cell r="F2219">
            <v>1.3699999999999999E-3</v>
          </cell>
          <cell r="G2219" t="str">
            <v>GJ</v>
          </cell>
          <cell r="H2219">
            <v>1</v>
          </cell>
          <cell r="I2219" t="str">
            <v>none</v>
          </cell>
          <cell r="J2219" t="str">
            <v>plastics monomer production inventories, from Meng et al. (2023), DOI 10.1073/pnas.2218294120</v>
          </cell>
          <cell r="K2219" t="str">
            <v>Value given directly in Table 2 of Paper.</v>
          </cell>
          <cell r="L2219" t="str">
            <v>see log sheet</v>
          </cell>
        </row>
        <row r="2220">
          <cell r="A2220" t="str">
            <v>[Meng] Propylene production via PDH</v>
          </cell>
          <cell r="B2220" t="str">
            <v>cooling</v>
          </cell>
          <cell r="C2220" t="str">
            <v>from technosphere (energy_carrier)</v>
          </cell>
          <cell r="D2220"/>
          <cell r="E2220" t="str">
            <v>Energy</v>
          </cell>
          <cell r="F2220">
            <v>3.63</v>
          </cell>
          <cell r="G2220" t="str">
            <v>GJ</v>
          </cell>
          <cell r="H2220">
            <v>1</v>
          </cell>
          <cell r="I2220" t="str">
            <v>none</v>
          </cell>
          <cell r="J2220" t="str">
            <v>plastics monomer production inventories, from Meng et al. (2023), DOI 10.1073/pnas.2218294120</v>
          </cell>
          <cell r="K2220" t="str">
            <v>Value given directly in Table 2 of Paper.</v>
          </cell>
          <cell r="L2220" t="str">
            <v>see log sheet</v>
          </cell>
        </row>
        <row r="2221">
          <cell r="A2221" t="str">
            <v>[Meng] Propylene production via PDH</v>
          </cell>
          <cell r="B2221" t="str">
            <v>natural gas</v>
          </cell>
          <cell r="C2221" t="str">
            <v>from technosphere (energy_carrier)</v>
          </cell>
          <cell r="D2221"/>
          <cell r="E2221" t="str">
            <v>Energy</v>
          </cell>
          <cell r="F2221">
            <v>4.218</v>
          </cell>
          <cell r="G2221" t="str">
            <v>GJ</v>
          </cell>
          <cell r="H2221">
            <v>1</v>
          </cell>
          <cell r="I2221" t="str">
            <v>none</v>
          </cell>
          <cell r="J2221" t="str">
            <v>plastics monomer production inventories, from Meng et al. (2023), DOI 10.1073/pnas.2218294120</v>
          </cell>
          <cell r="K2221" t="str">
            <v>Value given directly in Table 2 of Paper.</v>
          </cell>
          <cell r="L2221" t="str">
            <v>see log sheet</v>
          </cell>
        </row>
        <row r="2222">
          <cell r="A2222" t="str">
            <v>[Meng] Propylene production via PDH</v>
          </cell>
          <cell r="B2222" t="str">
            <v>carbon dioxide</v>
          </cell>
          <cell r="C2222" t="str">
            <v>to environment (emission, direct)</v>
          </cell>
          <cell r="D2222"/>
          <cell r="E2222" t="str">
            <v>Mass</v>
          </cell>
          <cell r="F2222">
            <v>0.28260600000000002</v>
          </cell>
          <cell r="G2222" t="str">
            <v>tonne</v>
          </cell>
          <cell r="H2222">
            <v>1</v>
          </cell>
          <cell r="I2222" t="str">
            <v>none</v>
          </cell>
          <cell r="J2222" t="str">
            <v>adding direct emissions to plastics monomer production inventories, from Meng et al. (2023), DOI 10.1073/pnas.2218294120</v>
          </cell>
          <cell r="K2222" t="str">
            <v>only natural gas-based emissions</v>
          </cell>
          <cell r="L2222" t="str">
            <v>see log sheet</v>
          </cell>
        </row>
        <row r="2223">
          <cell r="A2223" t="str">
            <v>[Meng] Propylene production via PDH + CCS</v>
          </cell>
          <cell r="B2223" t="str">
            <v>propylene</v>
          </cell>
          <cell r="C2223" t="str">
            <v>reference_product</v>
          </cell>
          <cell r="D2223">
            <v>271114</v>
          </cell>
          <cell r="E2223" t="str">
            <v>Mass</v>
          </cell>
          <cell r="F2223">
            <v>1</v>
          </cell>
          <cell r="G2223" t="str">
            <v>tonne</v>
          </cell>
          <cell r="H2223">
            <v>1</v>
          </cell>
          <cell r="I2223" t="str">
            <v>none</v>
          </cell>
          <cell r="J2223"/>
          <cell r="K2223"/>
          <cell r="L2223"/>
        </row>
        <row r="2224">
          <cell r="A2224" t="str">
            <v>[Meng] Propylene production via PDH + CCS</v>
          </cell>
          <cell r="B2224" t="str">
            <v>propane</v>
          </cell>
          <cell r="C2224" t="str">
            <v>from technosphere (material)</v>
          </cell>
          <cell r="D2224"/>
          <cell r="E2224" t="str">
            <v>Mass</v>
          </cell>
          <cell r="F2224">
            <v>1.17</v>
          </cell>
          <cell r="G2224" t="str">
            <v>tonne</v>
          </cell>
          <cell r="H2224">
            <v>1</v>
          </cell>
          <cell r="I2224" t="str">
            <v>none</v>
          </cell>
          <cell r="J2224" t="str">
            <v>plastics monomer production inventories, from Meng et al. (2023), DOI 10.1073/pnas.2218294120</v>
          </cell>
          <cell r="K2224" t="str">
            <v>Value given directly in Table 2 of Paper. Verified by 1.18 tons/ton propylene on pg 6 of paper on PDH in Saudi Arabia: https://core.ac.uk/download/pdf/235050644.pdf</v>
          </cell>
          <cell r="L2224" t="str">
            <v>see log sheet</v>
          </cell>
        </row>
        <row r="2225">
          <cell r="A2225" t="str">
            <v>[Meng] Propylene production via PDH + CCS</v>
          </cell>
          <cell r="B2225" t="str">
            <v>electricity</v>
          </cell>
          <cell r="C2225" t="str">
            <v>from technosphere (energy_carrier)</v>
          </cell>
          <cell r="D2225"/>
          <cell r="E2225" t="str">
            <v>Energy</v>
          </cell>
          <cell r="F2225">
            <v>2.5019999999999998</v>
          </cell>
          <cell r="G2225" t="str">
            <v>GJ</v>
          </cell>
          <cell r="H2225">
            <v>1</v>
          </cell>
          <cell r="I2225" t="str">
            <v>none</v>
          </cell>
          <cell r="J2225" t="str">
            <v>plastics monomer production inventories, from Meng et al. (2023), DOI 10.1073/pnas.2218294120</v>
          </cell>
          <cell r="K2225" t="str">
            <v>Value given directly in Table 2 of Paper.</v>
          </cell>
          <cell r="L2225" t="str">
            <v>see log sheet</v>
          </cell>
        </row>
        <row r="2226">
          <cell r="A2226" t="str">
            <v>[Meng] Propylene production via PDH + CCS</v>
          </cell>
          <cell r="B2226" t="str">
            <v>electricity</v>
          </cell>
          <cell r="C2226" t="str">
            <v>from technosphere (energy_carrier)</v>
          </cell>
          <cell r="D2226"/>
          <cell r="E2226" t="str">
            <v>Energy</v>
          </cell>
          <cell r="F2226">
            <v>0.3</v>
          </cell>
          <cell r="G2226" t="str">
            <v>GJ</v>
          </cell>
          <cell r="H2226">
            <v>1</v>
          </cell>
          <cell r="I2226" t="str">
            <v>none</v>
          </cell>
          <cell r="J2226" t="str">
            <v>plastics monomer production inventories, from Meng et al. (2023), DOI 10.1073/pnas.2218294120</v>
          </cell>
          <cell r="K2226"/>
          <cell r="L2226" t="str">
            <v>see log sheet</v>
          </cell>
        </row>
        <row r="2227">
          <cell r="A2227" t="str">
            <v>[Meng] Propylene production via PDH + CCS</v>
          </cell>
          <cell r="B2227" t="str">
            <v>electricity</v>
          </cell>
          <cell r="C2227" t="str">
            <v>from technosphere (energy_carrier)</v>
          </cell>
          <cell r="D2227"/>
          <cell r="E2227" t="str">
            <v>Energy</v>
          </cell>
          <cell r="F2227">
            <v>2.802</v>
          </cell>
          <cell r="G2227" t="str">
            <v>GJ</v>
          </cell>
          <cell r="H2227">
            <v>1</v>
          </cell>
          <cell r="I2227" t="str">
            <v>none</v>
          </cell>
          <cell r="J2227" t="str">
            <v>plastics monomer production inventories, from Meng et al. (2023), DOI 10.1073/pnas.2218294120</v>
          </cell>
          <cell r="K2227"/>
          <cell r="L2227" t="str">
            <v>see log sheet</v>
          </cell>
        </row>
        <row r="2228">
          <cell r="A2228" t="str">
            <v>[Meng] Propylene production via PDH + CCS</v>
          </cell>
          <cell r="B2228" t="str">
            <v>natural gas</v>
          </cell>
          <cell r="C2228" t="str">
            <v>from technosphere (energy_carrier)</v>
          </cell>
          <cell r="D2228"/>
          <cell r="E2228" t="str">
            <v>Energy</v>
          </cell>
          <cell r="F2228">
            <v>4.218</v>
          </cell>
          <cell r="G2228" t="str">
            <v>GJ</v>
          </cell>
          <cell r="H2228">
            <v>1</v>
          </cell>
          <cell r="I2228" t="str">
            <v>none</v>
          </cell>
          <cell r="J2228" t="str">
            <v>plastics monomer production inventories, from Meng et al. (2023), DOI 10.1073/pnas.2218294120</v>
          </cell>
          <cell r="K2228" t="str">
            <v>Value given directly in Table 2 of Paper.</v>
          </cell>
          <cell r="L2228" t="str">
            <v>see log sheet</v>
          </cell>
        </row>
        <row r="2229">
          <cell r="A2229" t="str">
            <v>[Meng] Propylene production via PDH + CCS</v>
          </cell>
          <cell r="B2229" t="str">
            <v>carbon dioxide</v>
          </cell>
          <cell r="C2229" t="str">
            <v>to environment (emission, direct)</v>
          </cell>
          <cell r="D2229"/>
          <cell r="E2229" t="str">
            <v>Mass</v>
          </cell>
          <cell r="F2229">
            <v>1.41303E-2</v>
          </cell>
          <cell r="G2229" t="str">
            <v>tonne</v>
          </cell>
          <cell r="H2229">
            <v>1</v>
          </cell>
          <cell r="I2229" t="str">
            <v>none</v>
          </cell>
          <cell r="J2229" t="str">
            <v>adding direct emissions to plastics monomer production inventories, from Meng et al. (2023), DOI 10.1073/pnas.2218294120</v>
          </cell>
          <cell r="K2229" t="str">
            <v>only natural gas-based emissions</v>
          </cell>
          <cell r="L2229" t="str">
            <v>see log sheet</v>
          </cell>
        </row>
        <row r="2230">
          <cell r="A2230" t="str">
            <v>[Meng] Propylene production via MTP - Black</v>
          </cell>
          <cell r="B2230" t="str">
            <v>propylene</v>
          </cell>
          <cell r="C2230" t="str">
            <v>reference_product</v>
          </cell>
          <cell r="D2230">
            <v>271114</v>
          </cell>
          <cell r="E2230" t="str">
            <v>Mass</v>
          </cell>
          <cell r="F2230">
            <v>1</v>
          </cell>
          <cell r="G2230" t="str">
            <v>tonne</v>
          </cell>
          <cell r="H2230">
            <v>1</v>
          </cell>
          <cell r="I2230" t="str">
            <v>none</v>
          </cell>
          <cell r="J2230"/>
          <cell r="K2230"/>
          <cell r="L2230"/>
        </row>
        <row r="2231">
          <cell r="A2231" t="str">
            <v>[Meng] Propylene production via MTP - Black</v>
          </cell>
          <cell r="B2231" t="str">
            <v>methanol, black</v>
          </cell>
          <cell r="C2231" t="str">
            <v>from technosphere (material)</v>
          </cell>
          <cell r="D2231"/>
          <cell r="E2231" t="str">
            <v>Mass</v>
          </cell>
          <cell r="F2231">
            <v>3.5</v>
          </cell>
          <cell r="G2231" t="str">
            <v>tonne</v>
          </cell>
          <cell r="H2231">
            <v>1</v>
          </cell>
          <cell r="I2231" t="str">
            <v>none</v>
          </cell>
          <cell r="J2231" t="str">
            <v>plastics monomer production inventories, from Meng et al. (2023), DOI 10.1073/pnas.2218294120</v>
          </cell>
          <cell r="K2231" t="str">
            <v>Mike verifies he thinks it's around 3.05 t methanol/t propylene plus a little more.</v>
          </cell>
          <cell r="L2231" t="str">
            <v>see log sheet</v>
          </cell>
        </row>
        <row r="2232">
          <cell r="A2232" t="str">
            <v>[Meng] Propylene production via MTP - Black</v>
          </cell>
          <cell r="B2232" t="str">
            <v>natural gas</v>
          </cell>
          <cell r="C2232" t="str">
            <v>from technosphere (material)</v>
          </cell>
          <cell r="D2232"/>
          <cell r="E2232" t="str">
            <v>Mass</v>
          </cell>
          <cell r="F2232">
            <v>0</v>
          </cell>
          <cell r="G2232" t="str">
            <v>tonne</v>
          </cell>
          <cell r="H2232">
            <v>1</v>
          </cell>
          <cell r="I2232" t="str">
            <v>none</v>
          </cell>
          <cell r="J2232" t="str">
            <v>plastics monomer production inventories, from Meng et al. (2023), DOI 10.1073/pnas.2218294120</v>
          </cell>
          <cell r="K2232"/>
          <cell r="L2232" t="str">
            <v>see log sheet</v>
          </cell>
        </row>
        <row r="2233">
          <cell r="A2233" t="str">
            <v>[Meng] Propylene production via MTP - Black</v>
          </cell>
          <cell r="B2233" t="str">
            <v>electricity</v>
          </cell>
          <cell r="C2233" t="str">
            <v>from technosphere (energy_carrier)</v>
          </cell>
          <cell r="D2233"/>
          <cell r="E2233" t="str">
            <v>Energy</v>
          </cell>
          <cell r="F2233">
            <v>0</v>
          </cell>
          <cell r="G2233" t="str">
            <v>GJ</v>
          </cell>
          <cell r="H2233">
            <v>1</v>
          </cell>
          <cell r="I2233" t="str">
            <v>none</v>
          </cell>
          <cell r="J2233" t="str">
            <v>plastics monomer production inventories, from Meng et al. (2023), DOI 10.1073/pnas.2218294120</v>
          </cell>
          <cell r="K2233" t="str">
            <v>Value given directly in Table 2 of Paper. Negative electricity consumption because "electricity generation outweighs consumption in the process" due to Rankine cycle. Mike would challenge the negativity but still thinks it's very small electricity usage, so putting 0 down.</v>
          </cell>
          <cell r="L2233" t="str">
            <v>see log sheet</v>
          </cell>
        </row>
        <row r="2234">
          <cell r="A2234" t="str">
            <v>[Meng] Propylene production via MTP - Black</v>
          </cell>
          <cell r="B2234" t="str">
            <v>carbon dioxide</v>
          </cell>
          <cell r="C2234" t="str">
            <v>to environment (emission, direct)</v>
          </cell>
          <cell r="D2234"/>
          <cell r="E2234" t="str">
            <v>Mass</v>
          </cell>
          <cell r="F2234">
            <v>0</v>
          </cell>
          <cell r="G2234" t="str">
            <v>tonne</v>
          </cell>
          <cell r="H2234">
            <v>1</v>
          </cell>
          <cell r="I2234" t="str">
            <v>none</v>
          </cell>
          <cell r="J2234" t="str">
            <v>adding direct emissions to plastics monomer production inventories, from Meng et al. (2023), DOI 10.1073/pnas.2218294120</v>
          </cell>
          <cell r="K2234" t="str">
            <v>only natural gas-based emissions</v>
          </cell>
          <cell r="L2234" t="str">
            <v>see log sheet</v>
          </cell>
        </row>
        <row r="2235">
          <cell r="A2235" t="str">
            <v>[Meng] Propylene production via MTP - Green</v>
          </cell>
          <cell r="B2235" t="str">
            <v>propylene</v>
          </cell>
          <cell r="C2235" t="str">
            <v>reference_product</v>
          </cell>
          <cell r="D2235">
            <v>271114</v>
          </cell>
          <cell r="E2235" t="str">
            <v>Mass</v>
          </cell>
          <cell r="F2235">
            <v>1</v>
          </cell>
          <cell r="G2235" t="str">
            <v>tonne</v>
          </cell>
          <cell r="H2235">
            <v>1</v>
          </cell>
          <cell r="I2235" t="str">
            <v>none</v>
          </cell>
          <cell r="J2235"/>
          <cell r="K2235"/>
          <cell r="L2235"/>
        </row>
        <row r="2236">
          <cell r="A2236" t="str">
            <v>[Meng] Propylene production via MTP - Green</v>
          </cell>
          <cell r="B2236" t="str">
            <v>methanol, green</v>
          </cell>
          <cell r="C2236" t="str">
            <v>from technosphere (material)</v>
          </cell>
          <cell r="D2236"/>
          <cell r="E2236" t="str">
            <v>Mass</v>
          </cell>
          <cell r="F2236">
            <v>3.5</v>
          </cell>
          <cell r="G2236" t="str">
            <v>tonne</v>
          </cell>
          <cell r="H2236">
            <v>1</v>
          </cell>
          <cell r="I2236" t="str">
            <v>none</v>
          </cell>
          <cell r="J2236" t="str">
            <v>plastics monomer production inventories, from Meng et al. (2023), DOI 10.1073/pnas.2218294120</v>
          </cell>
          <cell r="K2236" t="str">
            <v>Mike verifies he thinks it's around 3.05 t methanol/t propylene plus a little more.</v>
          </cell>
          <cell r="L2236" t="str">
            <v>see log sheet</v>
          </cell>
        </row>
        <row r="2237">
          <cell r="A2237" t="str">
            <v>[Meng] Propylene production via MTP - Green</v>
          </cell>
          <cell r="B2237" t="str">
            <v>natural gas</v>
          </cell>
          <cell r="C2237" t="str">
            <v>from technosphere (material)</v>
          </cell>
          <cell r="D2237"/>
          <cell r="E2237" t="str">
            <v>Mass</v>
          </cell>
          <cell r="F2237">
            <v>0</v>
          </cell>
          <cell r="G2237" t="str">
            <v>tonne</v>
          </cell>
          <cell r="H2237">
            <v>1</v>
          </cell>
          <cell r="I2237" t="str">
            <v>none</v>
          </cell>
          <cell r="J2237" t="str">
            <v>plastics monomer production inventories, from Meng et al. (2023), DOI 10.1073/pnas.2218294120</v>
          </cell>
          <cell r="K2237"/>
          <cell r="L2237" t="str">
            <v>see log sheet</v>
          </cell>
        </row>
        <row r="2238">
          <cell r="A2238" t="str">
            <v>[Meng] Propylene production via MTP - Green</v>
          </cell>
          <cell r="B2238" t="str">
            <v>electricity</v>
          </cell>
          <cell r="C2238" t="str">
            <v>from technosphere (energy_carrier)</v>
          </cell>
          <cell r="D2238"/>
          <cell r="E2238" t="str">
            <v>Energy</v>
          </cell>
          <cell r="F2238">
            <v>0</v>
          </cell>
          <cell r="G2238" t="str">
            <v>GJ</v>
          </cell>
          <cell r="H2238">
            <v>1</v>
          </cell>
          <cell r="I2238" t="str">
            <v>none</v>
          </cell>
          <cell r="J2238" t="str">
            <v>plastics monomer production inventories, from Meng et al. (2023), DOI 10.1073/pnas.2218294120</v>
          </cell>
          <cell r="K2238" t="str">
            <v>Value given directly in Table 2 of Paper. Negative electricity consumption because "electricity generation outweighs consumption in the process" due to Rankine cycle. Mike would challenge the negativity but still thinks it's very small electricity usage, so putting 0 down.</v>
          </cell>
          <cell r="L2238" t="str">
            <v>see log sheet</v>
          </cell>
        </row>
        <row r="2239">
          <cell r="A2239" t="str">
            <v>[Meng] Propylene production via MTP - Green</v>
          </cell>
          <cell r="B2239" t="str">
            <v>carbon dioxide</v>
          </cell>
          <cell r="C2239" t="str">
            <v>to environment (emission, direct)</v>
          </cell>
          <cell r="D2239"/>
          <cell r="E2239" t="str">
            <v>Mass</v>
          </cell>
          <cell r="F2239">
            <v>0</v>
          </cell>
          <cell r="G2239" t="str">
            <v>tonne</v>
          </cell>
          <cell r="H2239">
            <v>1</v>
          </cell>
          <cell r="I2239" t="str">
            <v>none</v>
          </cell>
          <cell r="J2239" t="str">
            <v>adding direct emissions to plastics monomer production inventories, from Meng et al. (2023), DOI 10.1073/pnas.2218294120</v>
          </cell>
          <cell r="K2239" t="str">
            <v>only natural gas-based emissions</v>
          </cell>
          <cell r="L2239" t="str">
            <v>see log sheet</v>
          </cell>
        </row>
        <row r="2240">
          <cell r="A2240" t="str">
            <v>[Meng] Propylene production via Refineries - Propylene</v>
          </cell>
          <cell r="B2240" t="str">
            <v>electricity</v>
          </cell>
          <cell r="C2240" t="str">
            <v>from technosphere (energy_carrier)</v>
          </cell>
          <cell r="D2240"/>
          <cell r="E2240" t="str">
            <v>Energy</v>
          </cell>
          <cell r="F2240">
            <v>0.60119999999999996</v>
          </cell>
          <cell r="G2240" t="str">
            <v>GJ</v>
          </cell>
          <cell r="H2240">
            <v>1</v>
          </cell>
          <cell r="I2240" t="str">
            <v>none</v>
          </cell>
          <cell r="J2240" t="str">
            <v>plastics monomer production inventories, from Meng et al. (2023), DOI 10.1073/pnas.2218294120</v>
          </cell>
          <cell r="K2240"/>
          <cell r="L2240" t="str">
            <v>see log sheet</v>
          </cell>
        </row>
        <row r="2241">
          <cell r="A2241" t="str">
            <v>[Meng] Butadiene production via Naphtha steam cracking + CCS</v>
          </cell>
          <cell r="B2241" t="str">
            <v>butadiene</v>
          </cell>
          <cell r="C2241" t="str">
            <v>reference_product</v>
          </cell>
          <cell r="D2241">
            <v>271114</v>
          </cell>
          <cell r="E2241" t="str">
            <v>Mass</v>
          </cell>
          <cell r="F2241">
            <v>1</v>
          </cell>
          <cell r="G2241" t="str">
            <v>tonne</v>
          </cell>
          <cell r="H2241">
            <v>1</v>
          </cell>
          <cell r="I2241" t="str">
            <v>none</v>
          </cell>
          <cell r="J2241"/>
          <cell r="K2241"/>
          <cell r="L2241"/>
        </row>
        <row r="2242">
          <cell r="A2242" t="str">
            <v>[Meng] Butadiene production via Naphtha steam cracking + CCS</v>
          </cell>
          <cell r="B2242" t="str">
            <v>naphtha</v>
          </cell>
          <cell r="C2242" t="str">
            <v>from technosphere (material)</v>
          </cell>
          <cell r="D2242"/>
          <cell r="E2242" t="str">
            <v>Mass</v>
          </cell>
          <cell r="F2242">
            <v>0.98744939300000001</v>
          </cell>
          <cell r="G2242" t="str">
            <v>tonne</v>
          </cell>
          <cell r="H2242">
            <v>1</v>
          </cell>
          <cell r="I2242" t="str">
            <v>none</v>
          </cell>
          <cell r="J2242" t="str">
            <v>plastics monomer production inventories, from Meng et al. (2023), DOI 10.1073/pnas.2218294120</v>
          </cell>
          <cell r="K2242" t="str">
            <v xml:space="preserve">Value taken from Reshaping Plastics (2022) model in sheet 'Dynamic_input_output' </v>
          </cell>
          <cell r="L2242" t="str">
            <v>see log sheet</v>
          </cell>
        </row>
        <row r="2243">
          <cell r="A2243" t="str">
            <v>[Meng] Butadiene production via Naphtha steam cracking + CCS</v>
          </cell>
          <cell r="B2243" t="str">
            <v>ethane</v>
          </cell>
          <cell r="C2243" t="str">
            <v>from technosphere (material)</v>
          </cell>
          <cell r="D2243"/>
          <cell r="E2243" t="str">
            <v>Mass</v>
          </cell>
          <cell r="F2243">
            <v>0</v>
          </cell>
          <cell r="G2243" t="str">
            <v>tonne</v>
          </cell>
          <cell r="H2243">
            <v>1</v>
          </cell>
          <cell r="I2243" t="str">
            <v>none</v>
          </cell>
          <cell r="J2243" t="str">
            <v>plastics monomer production inventories, from Meng et al. (2023), DOI 10.1073/pnas.2218294120</v>
          </cell>
          <cell r="K2243" t="str">
            <v xml:space="preserve">Value taken from Reshaping Plastics (2022) model in sheet 'Dynamic_input_output' </v>
          </cell>
          <cell r="L2243" t="str">
            <v>see log sheet</v>
          </cell>
        </row>
        <row r="2244">
          <cell r="A2244" t="str">
            <v>[Meng] Butadiene production via Naphtha steam cracking + CCS</v>
          </cell>
          <cell r="B2244" t="str">
            <v>propane</v>
          </cell>
          <cell r="C2244" t="str">
            <v>from technosphere (material)</v>
          </cell>
          <cell r="D2244"/>
          <cell r="E2244" t="str">
            <v>Mass</v>
          </cell>
          <cell r="F2244">
            <v>2.4696355999999999E-2</v>
          </cell>
          <cell r="G2244" t="str">
            <v>tonne</v>
          </cell>
          <cell r="H2244">
            <v>1</v>
          </cell>
          <cell r="I2244" t="str">
            <v>none</v>
          </cell>
          <cell r="J2244" t="str">
            <v>plastics monomer production inventories, from Meng et al. (2023), DOI 10.1073/pnas.2218294120</v>
          </cell>
          <cell r="K2244" t="str">
            <v xml:space="preserve">Value taken from Reshaping Plastics (2022) model in sheet 'Dynamic_input_output' </v>
          </cell>
          <cell r="L2244" t="str">
            <v>see log sheet</v>
          </cell>
        </row>
        <row r="2245">
          <cell r="A2245" t="str">
            <v>[Meng] Butadiene production via Naphtha steam cracking + CCS</v>
          </cell>
          <cell r="B2245" t="str">
            <v>off-gases</v>
          </cell>
          <cell r="C2245" t="str">
            <v>from technosphere (energy_carrier)</v>
          </cell>
          <cell r="D2245"/>
          <cell r="E2245" t="str">
            <v>Energy</v>
          </cell>
          <cell r="F2245">
            <v>8.8663967610000007</v>
          </cell>
          <cell r="G2245" t="str">
            <v>GJ</v>
          </cell>
          <cell r="H2245">
            <v>1</v>
          </cell>
          <cell r="I2245" t="str">
            <v>none</v>
          </cell>
          <cell r="J2245" t="str">
            <v>plastics monomer production inventories, from Meng et al. (2023), DOI 10.1073/pnas.2218294120</v>
          </cell>
          <cell r="K2245" t="str">
            <v xml:space="preserve">Value taken from Reshaping Plastics (2022) model in sheet 'Dynamic_input_output' </v>
          </cell>
          <cell r="L2245" t="str">
            <v>see log sheet</v>
          </cell>
        </row>
        <row r="2246">
          <cell r="A2246" t="str">
            <v>[Meng] Butadiene production via Naphtha steam cracking + CCS</v>
          </cell>
          <cell r="B2246" t="str">
            <v>electricity</v>
          </cell>
          <cell r="C2246" t="str">
            <v>from technosphere (energy_carrier)</v>
          </cell>
          <cell r="D2246"/>
          <cell r="E2246" t="str">
            <v>Energy</v>
          </cell>
          <cell r="F2246">
            <v>0.415119081</v>
          </cell>
          <cell r="G2246" t="str">
            <v>GJ</v>
          </cell>
          <cell r="H2246">
            <v>1</v>
          </cell>
          <cell r="I2246" t="str">
            <v>none</v>
          </cell>
          <cell r="J2246" t="str">
            <v>plastics monomer production inventories, from Meng et al. (2023), DOI 10.1073/pnas.2218294120</v>
          </cell>
          <cell r="K2246" t="str">
            <v xml:space="preserve">Same value as conventional steam cracker. </v>
          </cell>
          <cell r="L2246" t="str">
            <v>see log sheet</v>
          </cell>
        </row>
        <row r="2247">
          <cell r="A2247" t="str">
            <v>[Meng] Butadiene production via Naphtha steam cracking + CCS</v>
          </cell>
          <cell r="B2247" t="str">
            <v>electricity</v>
          </cell>
          <cell r="C2247" t="str">
            <v>from technosphere (energy_carrier)</v>
          </cell>
          <cell r="D2247"/>
          <cell r="E2247" t="str">
            <v>Energy</v>
          </cell>
          <cell r="F2247">
            <v>1.363190283</v>
          </cell>
          <cell r="G2247" t="str">
            <v>GJ</v>
          </cell>
          <cell r="H2247">
            <v>1</v>
          </cell>
          <cell r="I2247" t="str">
            <v>none</v>
          </cell>
          <cell r="J2247" t="str">
            <v>plastics monomer production inventories, from Meng et al. (2023), DOI 10.1073/pnas.2218294120</v>
          </cell>
          <cell r="K2247" t="str">
            <v xml:space="preserve">CCS on steam cracker. Total value of 'Naphtha steam cracking + CCS' electricity demand from Reshaping Plastics (2022) model, with subtracted the electricity demand of 'Naphtha steam cracking'. </v>
          </cell>
          <cell r="L2247" t="str">
            <v>see log sheet</v>
          </cell>
        </row>
        <row r="2248">
          <cell r="A2248" t="str">
            <v>[Meng] Butadiene production via Naphtha steam cracking + CCS</v>
          </cell>
          <cell r="B2248" t="str">
            <v>electricity</v>
          </cell>
          <cell r="C2248" t="str">
            <v>from technosphere (energy_carrier)</v>
          </cell>
          <cell r="D2248"/>
          <cell r="E2248" t="str">
            <v>Energy</v>
          </cell>
          <cell r="F2248">
            <v>3.2571428569999998</v>
          </cell>
          <cell r="G2248" t="str">
            <v>GJ</v>
          </cell>
          <cell r="H2248">
            <v>1</v>
          </cell>
          <cell r="I2248" t="str">
            <v>none</v>
          </cell>
          <cell r="J2248" t="str">
            <v>plastics monomer production inventories, from Meng et al. (2023), DOI 10.1073/pnas.2218294120</v>
          </cell>
          <cell r="K2248" t="str">
            <v>57 USD/tonne utilities cost, assume averaged global electricity price of 17.5 USD/GJ</v>
          </cell>
          <cell r="L2248" t="str">
            <v>see log sheet</v>
          </cell>
        </row>
        <row r="2249">
          <cell r="A2249" t="str">
            <v>[Meng] Butadiene production via Naphtha steam cracking + CCS</v>
          </cell>
          <cell r="B2249" t="str">
            <v>electricity</v>
          </cell>
          <cell r="C2249" t="str">
            <v>from technosphere (energy_carrier)</v>
          </cell>
          <cell r="D2249"/>
          <cell r="E2249" t="str">
            <v>Energy</v>
          </cell>
          <cell r="F2249">
            <v>5.0354522209999999</v>
          </cell>
          <cell r="G2249" t="str">
            <v>GJ</v>
          </cell>
          <cell r="H2249">
            <v>1</v>
          </cell>
          <cell r="I2249" t="str">
            <v>none</v>
          </cell>
          <cell r="J2249" t="str">
            <v>plastics monomer production inventories, from Meng et al. (2023), DOI 10.1073/pnas.2218294120</v>
          </cell>
          <cell r="K2249" t="str">
            <v xml:space="preserve">Value taken from Reshaping Plastics (2022) model in sheet 'Dynamic_input_output' </v>
          </cell>
          <cell r="L2249" t="str">
            <v>see log sheet</v>
          </cell>
        </row>
        <row r="2250">
          <cell r="A2250" t="str">
            <v>[Meng] Butadiene production via Naphtha steam cracking + CCS</v>
          </cell>
          <cell r="B2250" t="str">
            <v>carbon dioxide</v>
          </cell>
          <cell r="C2250" t="str">
            <v>to environment (emission, direct)</v>
          </cell>
          <cell r="D2250"/>
          <cell r="E2250" t="str">
            <v>Mass</v>
          </cell>
          <cell r="F2250">
            <v>2.9702428999999999E-2</v>
          </cell>
          <cell r="G2250" t="str">
            <v>tonne</v>
          </cell>
          <cell r="H2250">
            <v>1</v>
          </cell>
          <cell r="I2250" t="str">
            <v>none</v>
          </cell>
          <cell r="J2250" t="str">
            <v>adding direct emissions to plastics monomer production inventories, from Meng et al. (2023), DOI 10.1073/pnas.2218294120</v>
          </cell>
          <cell r="K2250" t="str">
            <v>only off-gas-based emissions, assume same carbon content per energy as for natural gas (off-gas has both H2 and olefin (Ethane, butane) content, assume they roughly cancel out in rel. to CO2 per MJ.</v>
          </cell>
          <cell r="L2250" t="str">
            <v>see log sheet</v>
          </cell>
        </row>
        <row r="2251">
          <cell r="A2251" t="str">
            <v>[Meng] Butadiene production via Naphtha electric steam cracking</v>
          </cell>
          <cell r="B2251" t="str">
            <v>butadiene</v>
          </cell>
          <cell r="C2251" t="str">
            <v>reference_product</v>
          </cell>
          <cell r="D2251">
            <v>271114</v>
          </cell>
          <cell r="E2251" t="str">
            <v>Mass</v>
          </cell>
          <cell r="F2251">
            <v>1</v>
          </cell>
          <cell r="G2251" t="str">
            <v>tonne</v>
          </cell>
          <cell r="H2251">
            <v>1</v>
          </cell>
          <cell r="I2251" t="str">
            <v>none</v>
          </cell>
          <cell r="J2251"/>
          <cell r="K2251"/>
          <cell r="L2251"/>
        </row>
        <row r="2252">
          <cell r="A2252" t="str">
            <v>[Meng] Butadiene production via Naphtha electric steam cracking</v>
          </cell>
          <cell r="B2252" t="str">
            <v>naphtha</v>
          </cell>
          <cell r="C2252" t="str">
            <v>from technosphere (material)</v>
          </cell>
          <cell r="D2252"/>
          <cell r="E2252" t="str">
            <v>Mass</v>
          </cell>
          <cell r="F2252">
            <v>0.98744939300000001</v>
          </cell>
          <cell r="G2252" t="str">
            <v>tonne</v>
          </cell>
          <cell r="H2252">
            <v>1</v>
          </cell>
          <cell r="I2252" t="str">
            <v>none</v>
          </cell>
          <cell r="J2252" t="str">
            <v>plastics monomer production inventories, from Meng et al. (2023), DOI 10.1073/pnas.2218294120</v>
          </cell>
          <cell r="K2252" t="str">
            <v xml:space="preserve">Value taken from Reshaping Plastics (2022) model in sheet 'Dynamic_input_output' </v>
          </cell>
          <cell r="L2252" t="str">
            <v>see log sheet</v>
          </cell>
        </row>
        <row r="2253">
          <cell r="A2253" t="str">
            <v>[Meng] Butadiene production via Naphtha electric steam cracking</v>
          </cell>
          <cell r="B2253" t="str">
            <v>ethane</v>
          </cell>
          <cell r="C2253" t="str">
            <v>from technosphere (material)</v>
          </cell>
          <cell r="D2253"/>
          <cell r="E2253" t="str">
            <v>Mass</v>
          </cell>
          <cell r="F2253">
            <v>0</v>
          </cell>
          <cell r="G2253" t="str">
            <v>tonne</v>
          </cell>
          <cell r="H2253">
            <v>1</v>
          </cell>
          <cell r="I2253" t="str">
            <v>none</v>
          </cell>
          <cell r="J2253" t="str">
            <v>plastics monomer production inventories, from Meng et al. (2023), DOI 10.1073/pnas.2218294120</v>
          </cell>
          <cell r="K2253" t="str">
            <v xml:space="preserve">Value taken from Reshaping Plastics (2022) model in sheet 'Dynamic_input_output' </v>
          </cell>
          <cell r="L2253" t="str">
            <v>see log sheet</v>
          </cell>
        </row>
        <row r="2254">
          <cell r="A2254" t="str">
            <v>[Meng] Butadiene production via Naphtha electric steam cracking</v>
          </cell>
          <cell r="B2254" t="str">
            <v>propane</v>
          </cell>
          <cell r="C2254" t="str">
            <v>from technosphere (material)</v>
          </cell>
          <cell r="D2254"/>
          <cell r="E2254" t="str">
            <v>Mass</v>
          </cell>
          <cell r="F2254">
            <v>2.4696355999999999E-2</v>
          </cell>
          <cell r="G2254" t="str">
            <v>tonne</v>
          </cell>
          <cell r="H2254">
            <v>1</v>
          </cell>
          <cell r="I2254" t="str">
            <v>none</v>
          </cell>
          <cell r="J2254" t="str">
            <v>plastics monomer production inventories, from Meng et al. (2023), DOI 10.1073/pnas.2218294120</v>
          </cell>
          <cell r="K2254" t="str">
            <v xml:space="preserve">Value taken from Reshaping Plastics (2022) model in sheet 'Dynamic_input_output' </v>
          </cell>
          <cell r="L2254" t="str">
            <v>see log sheet</v>
          </cell>
        </row>
        <row r="2255">
          <cell r="A2255" t="str">
            <v>[Meng] Butadiene production via Naphtha electric steam cracking</v>
          </cell>
          <cell r="B2255" t="str">
            <v>electricity</v>
          </cell>
          <cell r="C2255" t="str">
            <v>from technosphere (energy_carrier)</v>
          </cell>
          <cell r="D2255"/>
          <cell r="E2255" t="str">
            <v>Energy</v>
          </cell>
          <cell r="F2255">
            <v>8.1201133599999995</v>
          </cell>
          <cell r="G2255" t="str">
            <v>GJ</v>
          </cell>
          <cell r="H2255">
            <v>1</v>
          </cell>
          <cell r="I2255" t="str">
            <v>none</v>
          </cell>
          <cell r="J2255" t="str">
            <v>plastics monomer production inventories, from Meng et al. (2023), DOI 10.1073/pnas.2218294120</v>
          </cell>
          <cell r="K2255" t="str">
            <v>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v>
          </cell>
          <cell r="L2255" t="str">
            <v>see log sheet</v>
          </cell>
        </row>
        <row r="2256">
          <cell r="A2256" t="str">
            <v>[Meng] Butadiene production via Naphtha electric steam cracking</v>
          </cell>
          <cell r="B2256" t="str">
            <v>electricity</v>
          </cell>
          <cell r="C2256" t="str">
            <v>from technosphere (energy_carrier)</v>
          </cell>
          <cell r="D2256"/>
          <cell r="E2256" t="str">
            <v>Energy</v>
          </cell>
          <cell r="F2256">
            <v>3.2571428569999998</v>
          </cell>
          <cell r="G2256" t="str">
            <v>GJ</v>
          </cell>
          <cell r="H2256">
            <v>1</v>
          </cell>
          <cell r="I2256" t="str">
            <v>none</v>
          </cell>
          <cell r="J2256" t="str">
            <v>plastics monomer production inventories, from Meng et al. (2023), DOI 10.1073/pnas.2218294120</v>
          </cell>
          <cell r="K2256" t="str">
            <v>57 USD/tonne utilities cost, assume averaged global electricity price of 17.5 USD/GJ</v>
          </cell>
          <cell r="L2256" t="str">
            <v>see log sheet</v>
          </cell>
        </row>
        <row r="2257">
          <cell r="A2257" t="str">
            <v>[Meng] Butadiene production via Naphtha electric steam cracking</v>
          </cell>
          <cell r="B2257" t="str">
            <v>electricity</v>
          </cell>
          <cell r="C2257" t="str">
            <v>from technosphere (energy_carrier)</v>
          </cell>
          <cell r="D2257"/>
          <cell r="E2257" t="str">
            <v>Energy</v>
          </cell>
          <cell r="F2257">
            <v>11.37725622</v>
          </cell>
          <cell r="G2257" t="str">
            <v>GJ</v>
          </cell>
          <cell r="H2257">
            <v>1</v>
          </cell>
          <cell r="I2257" t="str">
            <v>none</v>
          </cell>
          <cell r="J2257" t="str">
            <v>plastics monomer production inventories, from Meng et al. (2023), DOI 10.1073/pnas.2218294120</v>
          </cell>
          <cell r="K2257"/>
          <cell r="L2257" t="str">
            <v>see log sheet</v>
          </cell>
        </row>
        <row r="2258">
          <cell r="A2258" t="str">
            <v>[Meng] Butadiene production via Naphtha electric steam cracking + by-product upgrade</v>
          </cell>
          <cell r="B2258" t="str">
            <v>butadiene</v>
          </cell>
          <cell r="C2258" t="str">
            <v>reference_product</v>
          </cell>
          <cell r="D2258">
            <v>271114</v>
          </cell>
          <cell r="E2258" t="str">
            <v>Mass</v>
          </cell>
          <cell r="F2258">
            <v>1</v>
          </cell>
          <cell r="G2258" t="str">
            <v>tonne</v>
          </cell>
          <cell r="H2258">
            <v>1</v>
          </cell>
          <cell r="I2258" t="str">
            <v>none</v>
          </cell>
          <cell r="J2258"/>
          <cell r="K2258"/>
          <cell r="L2258"/>
        </row>
        <row r="2259">
          <cell r="A2259" t="str">
            <v>[Meng] Butadiene production via Naphtha electric steam cracking + by-product upgrade</v>
          </cell>
          <cell r="B2259" t="str">
            <v>naphtha</v>
          </cell>
          <cell r="C2259" t="str">
            <v>from technosphere (material)</v>
          </cell>
          <cell r="D2259"/>
          <cell r="E2259" t="str">
            <v>Mass</v>
          </cell>
          <cell r="F2259">
            <v>0.84939271299999997</v>
          </cell>
          <cell r="G2259" t="str">
            <v>tonne</v>
          </cell>
          <cell r="H2259">
            <v>1</v>
          </cell>
          <cell r="I2259" t="str">
            <v>none</v>
          </cell>
          <cell r="J2259" t="str">
            <v>plastics monomer production inventories, from Meng et al. (2023), DOI 10.1073/pnas.2218294120</v>
          </cell>
          <cell r="K2259" t="str">
            <v xml:space="preserve">Value taken from Reshaping Plastics (2022) model in sheet 'Dynamic_input_output' </v>
          </cell>
          <cell r="L2259" t="str">
            <v>see log sheet</v>
          </cell>
        </row>
        <row r="2260">
          <cell r="A2260" t="str">
            <v>[Meng] Butadiene production via Naphtha electric steam cracking + by-product upgrade</v>
          </cell>
          <cell r="B2260" t="str">
            <v>ethane</v>
          </cell>
          <cell r="C2260" t="str">
            <v>from technosphere (material)</v>
          </cell>
          <cell r="D2260"/>
          <cell r="E2260" t="str">
            <v>Mass</v>
          </cell>
          <cell r="F2260">
            <v>0</v>
          </cell>
          <cell r="G2260" t="str">
            <v>tonne</v>
          </cell>
          <cell r="H2260">
            <v>1</v>
          </cell>
          <cell r="I2260" t="str">
            <v>none</v>
          </cell>
          <cell r="J2260" t="str">
            <v>plastics monomer production inventories, from Meng et al. (2023), DOI 10.1073/pnas.2218294120</v>
          </cell>
          <cell r="K2260" t="str">
            <v xml:space="preserve">Value taken from Reshaping Plastics (2022) model in sheet 'Dynamic_input_output' </v>
          </cell>
          <cell r="L2260" t="str">
            <v>see log sheet</v>
          </cell>
        </row>
        <row r="2261">
          <cell r="A2261" t="str">
            <v>[Meng] Butadiene production via Naphtha electric steam cracking + by-product upgrade</v>
          </cell>
          <cell r="B2261" t="str">
            <v>propane</v>
          </cell>
          <cell r="C2261" t="str">
            <v>from technosphere (material)</v>
          </cell>
          <cell r="D2261"/>
          <cell r="E2261" t="str">
            <v>Mass</v>
          </cell>
          <cell r="F2261">
            <v>2.1052632000000002E-2</v>
          </cell>
          <cell r="G2261" t="str">
            <v>tonne</v>
          </cell>
          <cell r="H2261">
            <v>1</v>
          </cell>
          <cell r="I2261" t="str">
            <v>none</v>
          </cell>
          <cell r="J2261" t="str">
            <v>plastics monomer production inventories, from Meng et al. (2023), DOI 10.1073/pnas.2218294120</v>
          </cell>
          <cell r="K2261" t="str">
            <v xml:space="preserve">Value taken from Reshaping Plastics (2022) model in sheet 'Dynamic_input_output' </v>
          </cell>
          <cell r="L2261" t="str">
            <v>see log sheet</v>
          </cell>
        </row>
        <row r="2262">
          <cell r="A2262" t="str">
            <v>[Meng] Butadiene production via Naphtha electric steam cracking + by-product upgrade</v>
          </cell>
          <cell r="B2262" t="str">
            <v>oxygen</v>
          </cell>
          <cell r="C2262" t="str">
            <v>from technosphere (material)</v>
          </cell>
          <cell r="D2262"/>
          <cell r="E2262" t="str">
            <v>Mass</v>
          </cell>
          <cell r="F2262">
            <v>6.4777327999999995E-2</v>
          </cell>
          <cell r="G2262" t="str">
            <v>tonne</v>
          </cell>
          <cell r="H2262">
            <v>1</v>
          </cell>
          <cell r="I2262" t="str">
            <v>none</v>
          </cell>
          <cell r="J2262" t="str">
            <v>plastics monomer production inventories, from Meng et al. (2023), DOI 10.1073/pnas.2218294120</v>
          </cell>
          <cell r="K2262" t="str">
            <v xml:space="preserve">Value taken from Reshaping Plastics (2022) model in sheet 'Dynamic_input_output' </v>
          </cell>
          <cell r="L2262" t="str">
            <v>see log sheet</v>
          </cell>
        </row>
        <row r="2263">
          <cell r="A2263" t="str">
            <v>[Meng] Butadiene production via Naphtha electric steam cracking + by-product upgrade</v>
          </cell>
          <cell r="B2263" t="str">
            <v>electricity</v>
          </cell>
          <cell r="C2263" t="str">
            <v>from technosphere (energy_carrier)</v>
          </cell>
          <cell r="D2263"/>
          <cell r="E2263" t="str">
            <v>Energy</v>
          </cell>
          <cell r="F2263">
            <v>3.2571428569999998</v>
          </cell>
          <cell r="G2263" t="str">
            <v>GJ</v>
          </cell>
          <cell r="H2263">
            <v>1</v>
          </cell>
          <cell r="I2263" t="str">
            <v>none</v>
          </cell>
          <cell r="J2263" t="str">
            <v>plastics monomer production inventories, from Meng et al. (2023), DOI 10.1073/pnas.2218294120</v>
          </cell>
          <cell r="K2263"/>
          <cell r="L2263" t="str">
            <v>see log sheet</v>
          </cell>
        </row>
        <row r="2264">
          <cell r="A2264" t="str">
            <v>[Meng] Butadiene production via Naphtha electric steam cracking + by-product upgrade</v>
          </cell>
          <cell r="B2264" t="str">
            <v>electricity</v>
          </cell>
          <cell r="C2264" t="str">
            <v>from technosphere (energy_carrier)</v>
          </cell>
          <cell r="D2264"/>
          <cell r="E2264" t="str">
            <v>Energy</v>
          </cell>
          <cell r="F2264">
            <v>12.93636553</v>
          </cell>
          <cell r="G2264" t="str">
            <v>GJ</v>
          </cell>
          <cell r="H2264">
            <v>1</v>
          </cell>
          <cell r="I2264" t="str">
            <v>none</v>
          </cell>
          <cell r="J2264" t="str">
            <v>plastics monomer production inventories, from Meng et al. (2023), DOI 10.1073/pnas.2218294120</v>
          </cell>
          <cell r="K2264" t="str">
            <v xml:space="preserve">Value taken from Reshaping Plastics (2022) model in sheet 'Dynamic_input_output' </v>
          </cell>
          <cell r="L2264" t="str">
            <v>see log sheet</v>
          </cell>
        </row>
        <row r="2265">
          <cell r="A2265" t="str">
            <v>[Meng] Butadiene production via Naphtha H2 steam cracking</v>
          </cell>
          <cell r="B2265" t="str">
            <v>butadiene</v>
          </cell>
          <cell r="C2265" t="str">
            <v>reference_product</v>
          </cell>
          <cell r="D2265">
            <v>271114</v>
          </cell>
          <cell r="E2265" t="str">
            <v>Mass</v>
          </cell>
          <cell r="F2265">
            <v>1</v>
          </cell>
          <cell r="G2265" t="str">
            <v>tonne</v>
          </cell>
          <cell r="H2265">
            <v>1</v>
          </cell>
          <cell r="I2265" t="str">
            <v>none</v>
          </cell>
          <cell r="J2265"/>
          <cell r="K2265"/>
          <cell r="L2265"/>
        </row>
        <row r="2266">
          <cell r="A2266" t="str">
            <v>[Meng] Butadiene production via Naphtha H2 steam cracking</v>
          </cell>
          <cell r="B2266" t="str">
            <v>naphtha</v>
          </cell>
          <cell r="C2266" t="str">
            <v>from technosphere (material)</v>
          </cell>
          <cell r="D2266"/>
          <cell r="E2266" t="str">
            <v>Mass</v>
          </cell>
          <cell r="F2266">
            <v>0.98744939300000001</v>
          </cell>
          <cell r="G2266" t="str">
            <v>tonne</v>
          </cell>
          <cell r="H2266">
            <v>1</v>
          </cell>
          <cell r="I2266" t="str">
            <v>none</v>
          </cell>
          <cell r="J2266" t="str">
            <v>plastics monomer production inventories, from Meng et al. (2023), DOI 10.1073/pnas.2218294120</v>
          </cell>
          <cell r="K2266" t="str">
            <v xml:space="preserve">Value taken from Reshaping Plastics (2022) model in sheet 'Dynamic_input_output' </v>
          </cell>
          <cell r="L2266" t="str">
            <v>see log sheet</v>
          </cell>
        </row>
        <row r="2267">
          <cell r="A2267" t="str">
            <v>[Meng] Butadiene production via Naphtha H2 steam cracking</v>
          </cell>
          <cell r="B2267" t="str">
            <v>ethane</v>
          </cell>
          <cell r="C2267" t="str">
            <v>from technosphere (material)</v>
          </cell>
          <cell r="D2267"/>
          <cell r="E2267" t="str">
            <v>Mass</v>
          </cell>
          <cell r="F2267">
            <v>0</v>
          </cell>
          <cell r="G2267" t="str">
            <v>tonne</v>
          </cell>
          <cell r="H2267">
            <v>1</v>
          </cell>
          <cell r="I2267" t="str">
            <v>none</v>
          </cell>
          <cell r="J2267" t="str">
            <v>plastics monomer production inventories, from Meng et al. (2023), DOI 10.1073/pnas.2218294120</v>
          </cell>
          <cell r="K2267" t="str">
            <v xml:space="preserve">Value taken from Reshaping Plastics (2022) model in sheet 'Dynamic_input_output' </v>
          </cell>
          <cell r="L2267" t="str">
            <v>see log sheet</v>
          </cell>
        </row>
        <row r="2268">
          <cell r="A2268" t="str">
            <v>[Meng] Butadiene production via Naphtha H2 steam cracking</v>
          </cell>
          <cell r="B2268" t="str">
            <v>propane</v>
          </cell>
          <cell r="C2268" t="str">
            <v>from technosphere (material)</v>
          </cell>
          <cell r="D2268"/>
          <cell r="E2268" t="str">
            <v>Mass</v>
          </cell>
          <cell r="F2268">
            <v>2.4696355999999999E-2</v>
          </cell>
          <cell r="G2268" t="str">
            <v>tonne</v>
          </cell>
          <cell r="H2268">
            <v>1</v>
          </cell>
          <cell r="I2268" t="str">
            <v>none</v>
          </cell>
          <cell r="J2268" t="str">
            <v>plastics monomer production inventories, from Meng et al. (2023), DOI 10.1073/pnas.2218294120</v>
          </cell>
          <cell r="K2268" t="str">
            <v xml:space="preserve">Value taken from Reshaping Plastics (2022) model in sheet 'Dynamic_input_output' </v>
          </cell>
          <cell r="L2268" t="str">
            <v>see log sheet</v>
          </cell>
        </row>
        <row r="2269">
          <cell r="A2269" t="str">
            <v>[Meng] Butadiene production via Naphtha H2 steam cracking</v>
          </cell>
          <cell r="B2269" t="str">
            <v>hydrogen</v>
          </cell>
          <cell r="C2269" t="str">
            <v>from technosphere (energy_carrier)</v>
          </cell>
          <cell r="D2269"/>
          <cell r="E2269" t="str">
            <v>Energy</v>
          </cell>
          <cell r="F2269">
            <v>7.3886640000000003E-2</v>
          </cell>
          <cell r="G2269" t="str">
            <v>tonne</v>
          </cell>
          <cell r="H2269">
            <v>1</v>
          </cell>
          <cell r="I2269" t="str">
            <v>none</v>
          </cell>
          <cell r="J2269" t="str">
            <v>plastics monomer production inventories, from Meng et al. (2023), DOI 10.1073/pnas.2218294120</v>
          </cell>
          <cell r="K2269" t="str">
            <v xml:space="preserve">Value taken from Reshaping Plastics (2022) model in sheet 'Dynamic_input_output' </v>
          </cell>
          <cell r="L2269" t="str">
            <v>see log sheet</v>
          </cell>
        </row>
        <row r="2270">
          <cell r="A2270" t="str">
            <v>[Meng] Butadiene production via Naphtha H2 steam cracking</v>
          </cell>
          <cell r="B2270" t="str">
            <v>electricity</v>
          </cell>
          <cell r="C2270" t="str">
            <v>from technosphere (energy_carrier)</v>
          </cell>
          <cell r="D2270"/>
          <cell r="E2270" t="str">
            <v>Energy</v>
          </cell>
          <cell r="F2270">
            <v>3.2571428569999998</v>
          </cell>
          <cell r="G2270" t="str">
            <v>GJ</v>
          </cell>
          <cell r="H2270">
            <v>1</v>
          </cell>
          <cell r="I2270" t="str">
            <v>none</v>
          </cell>
          <cell r="J2270" t="str">
            <v>plastics monomer production inventories, from Meng et al. (2023), DOI 10.1073/pnas.2218294120</v>
          </cell>
          <cell r="K2270" t="str">
            <v>57 USD/tonne utilities cost, assume averaged global electricity price of 17.5 USD/GJ</v>
          </cell>
          <cell r="L2270" t="str">
            <v>see log sheet</v>
          </cell>
        </row>
        <row r="2271">
          <cell r="A2271" t="str">
            <v>[Meng] Butadiene production via Naphtha H2 steam cracking</v>
          </cell>
          <cell r="B2271" t="str">
            <v>electricity</v>
          </cell>
          <cell r="C2271" t="str">
            <v>from technosphere (energy_carrier)</v>
          </cell>
          <cell r="D2271"/>
          <cell r="E2271" t="str">
            <v>Energy</v>
          </cell>
          <cell r="F2271">
            <v>4.2824869870000004</v>
          </cell>
          <cell r="G2271" t="str">
            <v>GJ</v>
          </cell>
          <cell r="H2271">
            <v>1</v>
          </cell>
          <cell r="I2271" t="str">
            <v>none</v>
          </cell>
          <cell r="J2271" t="str">
            <v>plastics monomer production inventories, from Meng et al. (2023), DOI 10.1073/pnas.2218294120</v>
          </cell>
          <cell r="K2271" t="str">
            <v xml:space="preserve">Value taken from Reshaping Plastics (2022) model in sheet 'Dynamic_input_output' </v>
          </cell>
          <cell r="L2271" t="str">
            <v>see log sheet</v>
          </cell>
        </row>
        <row r="2272">
          <cell r="A2272" t="str">
            <v>[Meng] Butadiene production via Naphtha H2 steam cracking + by-product upgrade</v>
          </cell>
          <cell r="B2272" t="str">
            <v>butadiene</v>
          </cell>
          <cell r="C2272" t="str">
            <v>reference_product</v>
          </cell>
          <cell r="D2272">
            <v>271114</v>
          </cell>
          <cell r="E2272" t="str">
            <v>Mass</v>
          </cell>
          <cell r="F2272">
            <v>1</v>
          </cell>
          <cell r="G2272" t="str">
            <v>tonne</v>
          </cell>
          <cell r="H2272">
            <v>1</v>
          </cell>
          <cell r="I2272" t="str">
            <v>none</v>
          </cell>
          <cell r="J2272"/>
          <cell r="K2272"/>
          <cell r="L2272"/>
        </row>
        <row r="2273">
          <cell r="A2273" t="str">
            <v>[Meng] Butadiene production via Naphtha H2 steam cracking + by-product upgrade</v>
          </cell>
          <cell r="B2273" t="str">
            <v>naphtha</v>
          </cell>
          <cell r="C2273" t="str">
            <v>from technosphere (material)</v>
          </cell>
          <cell r="D2273"/>
          <cell r="E2273" t="str">
            <v>Mass</v>
          </cell>
          <cell r="F2273">
            <v>0.84939271299999997</v>
          </cell>
          <cell r="G2273" t="str">
            <v>tonne</v>
          </cell>
          <cell r="H2273">
            <v>1</v>
          </cell>
          <cell r="I2273" t="str">
            <v>none</v>
          </cell>
          <cell r="J2273" t="str">
            <v>plastics monomer production inventories, from Meng et al. (2023), DOI 10.1073/pnas.2218294120</v>
          </cell>
          <cell r="K2273" t="str">
            <v xml:space="preserve">Value taken from Reshaping Plastics (2022) model in sheet 'Dynamic_input_output' </v>
          </cell>
          <cell r="L2273" t="str">
            <v>see log sheet</v>
          </cell>
        </row>
        <row r="2274">
          <cell r="A2274" t="str">
            <v>[Meng] Butadiene production via Naphtha H2 steam cracking + by-product upgrade</v>
          </cell>
          <cell r="B2274" t="str">
            <v>ethane</v>
          </cell>
          <cell r="C2274" t="str">
            <v>from technosphere (material)</v>
          </cell>
          <cell r="D2274"/>
          <cell r="E2274" t="str">
            <v>Mass</v>
          </cell>
          <cell r="F2274">
            <v>0</v>
          </cell>
          <cell r="G2274" t="str">
            <v>tonne</v>
          </cell>
          <cell r="H2274">
            <v>1</v>
          </cell>
          <cell r="I2274" t="str">
            <v>none</v>
          </cell>
          <cell r="J2274" t="str">
            <v>plastics monomer production inventories, from Meng et al. (2023), DOI 10.1073/pnas.2218294120</v>
          </cell>
          <cell r="K2274" t="str">
            <v xml:space="preserve">Value taken from Reshaping Plastics (2022) model in sheet 'Dynamic_input_output' </v>
          </cell>
          <cell r="L2274" t="str">
            <v>see log sheet</v>
          </cell>
        </row>
        <row r="2275">
          <cell r="A2275" t="str">
            <v>[Meng] Butadiene production via Naphtha H2 steam cracking + by-product upgrade</v>
          </cell>
          <cell r="B2275" t="str">
            <v>propane</v>
          </cell>
          <cell r="C2275" t="str">
            <v>from technosphere (material)</v>
          </cell>
          <cell r="D2275"/>
          <cell r="E2275" t="str">
            <v>Mass</v>
          </cell>
          <cell r="F2275">
            <v>2.1052632000000002E-2</v>
          </cell>
          <cell r="G2275" t="str">
            <v>tonne</v>
          </cell>
          <cell r="H2275">
            <v>1</v>
          </cell>
          <cell r="I2275" t="str">
            <v>none</v>
          </cell>
          <cell r="J2275" t="str">
            <v>plastics monomer production inventories, from Meng et al. (2023), DOI 10.1073/pnas.2218294120</v>
          </cell>
          <cell r="K2275" t="str">
            <v xml:space="preserve">Value taken from Reshaping Plastics (2022) model in sheet 'Dynamic_input_output' </v>
          </cell>
          <cell r="L2275" t="str">
            <v>see log sheet</v>
          </cell>
        </row>
        <row r="2276">
          <cell r="A2276" t="str">
            <v>[Meng] Butadiene production via Naphtha H2 steam cracking + by-product upgrade</v>
          </cell>
          <cell r="B2276" t="str">
            <v>oxygen</v>
          </cell>
          <cell r="C2276" t="str">
            <v>from technosphere (material)</v>
          </cell>
          <cell r="D2276"/>
          <cell r="E2276" t="str">
            <v>Mass</v>
          </cell>
          <cell r="F2276">
            <v>6.4736842000000003E-2</v>
          </cell>
          <cell r="G2276" t="str">
            <v>tonne</v>
          </cell>
          <cell r="H2276">
            <v>1</v>
          </cell>
          <cell r="I2276" t="str">
            <v>none</v>
          </cell>
          <cell r="J2276" t="str">
            <v>plastics monomer production inventories, from Meng et al. (2023), DOI 10.1073/pnas.2218294120</v>
          </cell>
          <cell r="K2276" t="str">
            <v xml:space="preserve">Value taken from Reshaping Plastics (2022) model in sheet 'Dynamic_input_output' </v>
          </cell>
          <cell r="L2276" t="str">
            <v>see log sheet</v>
          </cell>
        </row>
        <row r="2277">
          <cell r="A2277" t="str">
            <v>[Meng] Butadiene production via Naphtha H2 steam cracking + by-product upgrade</v>
          </cell>
          <cell r="B2277" t="str">
            <v>hydrogen</v>
          </cell>
          <cell r="C2277" t="str">
            <v>from technosphere (energy_carrier)</v>
          </cell>
          <cell r="D2277"/>
          <cell r="E2277" t="str">
            <v>Energy</v>
          </cell>
          <cell r="F2277">
            <v>6.4736842000000003E-2</v>
          </cell>
          <cell r="G2277" t="str">
            <v>tonne</v>
          </cell>
          <cell r="H2277">
            <v>1</v>
          </cell>
          <cell r="I2277" t="str">
            <v>none</v>
          </cell>
          <cell r="J2277" t="str">
            <v>plastics monomer production inventories, from Meng et al. (2023), DOI 10.1073/pnas.2218294120</v>
          </cell>
          <cell r="K2277" t="str">
            <v xml:space="preserve">Value taken from Reshaping Plastics (2022) model in sheet 'Dynamic_input_output' </v>
          </cell>
          <cell r="L2277" t="str">
            <v>see log sheet</v>
          </cell>
        </row>
        <row r="2278">
          <cell r="A2278" t="str">
            <v>[Meng] Butadiene production via Naphtha H2 steam cracking + by-product upgrade</v>
          </cell>
          <cell r="B2278" t="str">
            <v>electricity</v>
          </cell>
          <cell r="C2278" t="str">
            <v>from technosphere (energy_carrier)</v>
          </cell>
          <cell r="D2278"/>
          <cell r="E2278" t="str">
            <v>Energy</v>
          </cell>
          <cell r="F2278">
            <v>3.2571428569999998</v>
          </cell>
          <cell r="G2278" t="str">
            <v>GJ</v>
          </cell>
          <cell r="H2278">
            <v>1</v>
          </cell>
          <cell r="I2278" t="str">
            <v>none</v>
          </cell>
          <cell r="J2278" t="str">
            <v>plastics monomer production inventories, from Meng et al. (2023), DOI 10.1073/pnas.2218294120</v>
          </cell>
          <cell r="K2278" t="str">
            <v>57 USD/tonne utilities cost, assume averaged global electricity price of 17.5 USD/GJ</v>
          </cell>
          <cell r="L2278" t="str">
            <v>see log sheet</v>
          </cell>
        </row>
        <row r="2279">
          <cell r="A2279" t="str">
            <v>[Meng] Butadiene production via Naphtha H2 steam cracking + by-product upgrade</v>
          </cell>
          <cell r="B2279" t="str">
            <v>electricity</v>
          </cell>
          <cell r="C2279" t="str">
            <v>from technosphere (energy_carrier)</v>
          </cell>
          <cell r="D2279"/>
          <cell r="E2279" t="str">
            <v>Energy</v>
          </cell>
          <cell r="F2279">
            <v>5.8415962979999998</v>
          </cell>
          <cell r="G2279" t="str">
            <v>GJ</v>
          </cell>
          <cell r="H2279">
            <v>1</v>
          </cell>
          <cell r="I2279" t="str">
            <v>none</v>
          </cell>
          <cell r="J2279" t="str">
            <v>plastics monomer production inventories, from Meng et al. (2023), DOI 10.1073/pnas.2218294120</v>
          </cell>
          <cell r="K2279" t="str">
            <v xml:space="preserve">Value taken from Reshaping Plastics (2022) model in sheet 'Dynamic_input_output' </v>
          </cell>
          <cell r="L2279" t="str">
            <v>see log sheet</v>
          </cell>
        </row>
        <row r="2280">
          <cell r="A2280" t="str">
            <v>[Meng] Butadiene production via Naphtha steam cracking</v>
          </cell>
          <cell r="B2280" t="str">
            <v>butadiene</v>
          </cell>
          <cell r="C2280" t="str">
            <v>reference_product</v>
          </cell>
          <cell r="D2280">
            <v>271114</v>
          </cell>
          <cell r="E2280" t="str">
            <v>Mass</v>
          </cell>
          <cell r="F2280">
            <v>1</v>
          </cell>
          <cell r="G2280" t="str">
            <v>tonne</v>
          </cell>
          <cell r="H2280">
            <v>1</v>
          </cell>
          <cell r="I2280" t="str">
            <v>none</v>
          </cell>
          <cell r="J2280"/>
          <cell r="K2280"/>
          <cell r="L2280"/>
        </row>
        <row r="2281">
          <cell r="A2281" t="str">
            <v>[Meng] Butadiene production via Naphtha steam cracking</v>
          </cell>
          <cell r="B2281" t="str">
            <v>naphtha</v>
          </cell>
          <cell r="C2281" t="str">
            <v>from technosphere (material)</v>
          </cell>
          <cell r="D2281"/>
          <cell r="E2281" t="str">
            <v>Mass</v>
          </cell>
          <cell r="F2281">
            <v>0.98744939300000001</v>
          </cell>
          <cell r="G2281" t="str">
            <v>tonne</v>
          </cell>
          <cell r="H2281">
            <v>1</v>
          </cell>
          <cell r="I2281" t="str">
            <v>none</v>
          </cell>
          <cell r="J2281" t="str">
            <v>plastics monomer production inventories, from Meng et al. (2023), DOI 10.1073/pnas.2218294120</v>
          </cell>
          <cell r="K2281" t="str">
            <v xml:space="preserve">Value taken from Reshaping Plastics (2022) model in sheet 'Dynamic_input_output' . The share of feedstocks are used that are given for EU15+Norway. </v>
          </cell>
          <cell r="L2281" t="str">
            <v>see log sheet</v>
          </cell>
        </row>
        <row r="2282">
          <cell r="A2282" t="str">
            <v>[Meng] Butadiene production via Naphtha steam cracking</v>
          </cell>
          <cell r="B2282" t="str">
            <v>ethane</v>
          </cell>
          <cell r="C2282" t="str">
            <v>from technosphere (material)</v>
          </cell>
          <cell r="D2282"/>
          <cell r="E2282" t="str">
            <v>Mass</v>
          </cell>
          <cell r="F2282">
            <v>0</v>
          </cell>
          <cell r="G2282" t="str">
            <v>tonne</v>
          </cell>
          <cell r="H2282">
            <v>1</v>
          </cell>
          <cell r="I2282" t="str">
            <v>none</v>
          </cell>
          <cell r="J2282" t="str">
            <v>plastics monomer production inventories, from Meng et al. (2023), DOI 10.1073/pnas.2218294120</v>
          </cell>
          <cell r="K2282" t="str">
            <v xml:space="preserve">Value taken from Reshaping Plastics (2022) model in sheet 'Dynamic_input_output' </v>
          </cell>
          <cell r="L2282" t="str">
            <v>see log sheet</v>
          </cell>
        </row>
        <row r="2283">
          <cell r="A2283" t="str">
            <v>[Meng] Butadiene production via Naphtha steam cracking</v>
          </cell>
          <cell r="B2283" t="str">
            <v>propane</v>
          </cell>
          <cell r="C2283" t="str">
            <v>from technosphere (material)</v>
          </cell>
          <cell r="D2283"/>
          <cell r="E2283" t="str">
            <v>Mass</v>
          </cell>
          <cell r="F2283">
            <v>2.4696355999999999E-2</v>
          </cell>
          <cell r="G2283" t="str">
            <v>tonne</v>
          </cell>
          <cell r="H2283">
            <v>1</v>
          </cell>
          <cell r="I2283" t="str">
            <v>none</v>
          </cell>
          <cell r="J2283" t="str">
            <v>plastics monomer production inventories, from Meng et al. (2023), DOI 10.1073/pnas.2218294120</v>
          </cell>
          <cell r="K2283" t="str">
            <v xml:space="preserve">Value taken from Reshaping Plastics (2022) model in sheet 'Dynamic_input_output' </v>
          </cell>
          <cell r="L2283" t="str">
            <v>see log sheet</v>
          </cell>
        </row>
        <row r="2284">
          <cell r="A2284" t="str">
            <v>[Meng] Butadiene production via Naphtha steam cracking</v>
          </cell>
          <cell r="B2284" t="str">
            <v>off-gases</v>
          </cell>
          <cell r="C2284" t="str">
            <v>from technosphere (energy_carrier)</v>
          </cell>
          <cell r="D2284"/>
          <cell r="E2284" t="str">
            <v>Energy</v>
          </cell>
          <cell r="F2284">
            <v>8.8684184530000003</v>
          </cell>
          <cell r="G2284" t="str">
            <v>GJ</v>
          </cell>
          <cell r="H2284">
            <v>1</v>
          </cell>
          <cell r="I2284" t="str">
            <v>none</v>
          </cell>
          <cell r="J2284" t="str">
            <v>plastics monomer production inventories, from Meng et al. (2023), DOI 10.1073/pnas.2218294120</v>
          </cell>
          <cell r="K2284" t="str">
            <v xml:space="preserve">Value taken from Reshaping Plastics (2022) model in sheet 'Dynamic_input_output' . Off-gases are used as fuel for the process. </v>
          </cell>
          <cell r="L2284" t="str">
            <v>see log sheet</v>
          </cell>
        </row>
        <row r="2285">
          <cell r="A2285" t="str">
            <v>[Meng] Butadiene production via Naphtha steam cracking</v>
          </cell>
          <cell r="B2285" t="str">
            <v>electricity</v>
          </cell>
          <cell r="C2285" t="str">
            <v>from technosphere (energy_carrier)</v>
          </cell>
          <cell r="D2285"/>
          <cell r="E2285" t="str">
            <v>Energy</v>
          </cell>
          <cell r="F2285">
            <v>1.0253441299999999</v>
          </cell>
          <cell r="G2285" t="str">
            <v>GJ</v>
          </cell>
          <cell r="H2285">
            <v>1</v>
          </cell>
          <cell r="I2285" t="str">
            <v>none</v>
          </cell>
          <cell r="J2285" t="str">
            <v>plastics monomer production inventories, from Meng et al. (2023), DOI 10.1073/pnas.2218294120</v>
          </cell>
          <cell r="K2285" t="str">
            <v>Value taken from Reshaping Plastics (2022) model in sheet 'Dynamic_input_output' . The value was given in kWh, so a conversion factor is used to convert to the unit GJ.</v>
          </cell>
          <cell r="L2285" t="str">
            <v>see log sheet</v>
          </cell>
        </row>
        <row r="2286">
          <cell r="A2286" t="str">
            <v>[Meng] Butadiene production via Naphtha steam cracking</v>
          </cell>
          <cell r="B2286" t="str">
            <v>electricity</v>
          </cell>
          <cell r="C2286" t="str">
            <v>from technosphere (energy_carrier)</v>
          </cell>
          <cell r="D2286"/>
          <cell r="E2286" t="str">
            <v>Energy</v>
          </cell>
          <cell r="F2286">
            <v>3.2571428569999998</v>
          </cell>
          <cell r="G2286" t="str">
            <v>GJ</v>
          </cell>
          <cell r="H2286">
            <v>1</v>
          </cell>
          <cell r="I2286" t="str">
            <v>none</v>
          </cell>
          <cell r="J2286" t="str">
            <v>plastics monomer production inventories, from Meng et al. (2023), DOI 10.1073/pnas.2218294120</v>
          </cell>
          <cell r="K2286" t="str">
            <v>57 USD/tonne utilities cost, assume averaged global electricity price of 17.5 USD/GJ</v>
          </cell>
          <cell r="L2286" t="str">
            <v>see log sheet</v>
          </cell>
        </row>
        <row r="2287">
          <cell r="A2287" t="str">
            <v>[Meng] Butadiene production via Naphtha steam cracking</v>
          </cell>
          <cell r="B2287" t="str">
            <v>electricity</v>
          </cell>
          <cell r="C2287" t="str">
            <v>from technosphere (energy_carrier)</v>
          </cell>
          <cell r="D2287"/>
          <cell r="E2287" t="str">
            <v>Energy</v>
          </cell>
          <cell r="F2287">
            <v>4.2824869870000004</v>
          </cell>
          <cell r="G2287" t="str">
            <v>GJ</v>
          </cell>
          <cell r="H2287">
            <v>1</v>
          </cell>
          <cell r="I2287" t="str">
            <v>none</v>
          </cell>
          <cell r="J2287" t="str">
            <v>plastics monomer production inventories, from Meng et al. (2023), DOI 10.1073/pnas.2218294120</v>
          </cell>
          <cell r="K2287"/>
          <cell r="L2287" t="str">
            <v>see log sheet</v>
          </cell>
        </row>
        <row r="2288">
          <cell r="A2288" t="str">
            <v>[Meng] Butadiene production via Naphtha steam cracking</v>
          </cell>
          <cell r="B2288" t="str">
            <v>carbon dioxide</v>
          </cell>
          <cell r="C2288" t="str">
            <v>to environment (emission, direct)</v>
          </cell>
          <cell r="D2288"/>
          <cell r="E2288" t="str">
            <v>Mass</v>
          </cell>
          <cell r="F2288">
            <v>0.59418403600000003</v>
          </cell>
          <cell r="G2288" t="str">
            <v>tonne</v>
          </cell>
          <cell r="H2288">
            <v>1</v>
          </cell>
          <cell r="I2288" t="str">
            <v>none</v>
          </cell>
          <cell r="J2288" t="str">
            <v>adding direct emissions to plastics monomer production inventories, from Meng et al. (2023), DOI 10.1073/pnas.2218294120</v>
          </cell>
          <cell r="K2288" t="str">
            <v>only off-gas-based emissions, assume same carbon content per energy as for natural gas (off-gas has both H2 and olefin (Ethane, butane) content, assume they roughly cancel out in rel. to CO2 per MJ.</v>
          </cell>
          <cell r="L2288" t="str">
            <v>see log sheet</v>
          </cell>
        </row>
        <row r="2289">
          <cell r="A2289" t="str">
            <v>[Meng] Butadiene production via Naphtha steam cracking + by-product upgrade</v>
          </cell>
          <cell r="B2289" t="str">
            <v>butadiene</v>
          </cell>
          <cell r="C2289" t="str">
            <v>reference_product</v>
          </cell>
          <cell r="D2289">
            <v>271114</v>
          </cell>
          <cell r="E2289" t="str">
            <v>Mass</v>
          </cell>
          <cell r="F2289">
            <v>1</v>
          </cell>
          <cell r="G2289" t="str">
            <v>tonne</v>
          </cell>
          <cell r="H2289">
            <v>1</v>
          </cell>
          <cell r="I2289" t="str">
            <v>none</v>
          </cell>
          <cell r="J2289"/>
          <cell r="K2289"/>
          <cell r="L2289"/>
        </row>
        <row r="2290">
          <cell r="A2290" t="str">
            <v>[Meng] Butadiene production via Naphtha steam cracking + by-product upgrade</v>
          </cell>
          <cell r="B2290" t="str">
            <v>off-gases</v>
          </cell>
          <cell r="C2290" t="str">
            <v>from technosphere (energy_carrier)</v>
          </cell>
          <cell r="D2290"/>
          <cell r="E2290" t="str">
            <v>Energy</v>
          </cell>
          <cell r="F2290">
            <v>8.461538462</v>
          </cell>
          <cell r="G2290" t="str">
            <v>GJ</v>
          </cell>
          <cell r="H2290">
            <v>1</v>
          </cell>
          <cell r="I2290" t="str">
            <v>none</v>
          </cell>
          <cell r="J2290" t="str">
            <v>plastics monomer production inventories, from Meng et al. (2023), DOI 10.1073/pnas.2218294120</v>
          </cell>
          <cell r="K2290" t="str">
            <v xml:space="preserve">Value taken from Reshaping Plastics (2022) model in sheet 'Dynamic_input_output' </v>
          </cell>
          <cell r="L2290" t="str">
            <v>see log sheet</v>
          </cell>
        </row>
        <row r="2291">
          <cell r="A2291" t="str">
            <v>[Meng] Butadiene production via Naphtha steam cracking + by-product upgrade</v>
          </cell>
          <cell r="B2291" t="str">
            <v>naphtha</v>
          </cell>
          <cell r="C2291" t="str">
            <v>from technosphere (material)</v>
          </cell>
          <cell r="D2291"/>
          <cell r="E2291" t="str">
            <v>Mass</v>
          </cell>
          <cell r="F2291">
            <v>0.91821862300000001</v>
          </cell>
          <cell r="G2291" t="str">
            <v>tonne</v>
          </cell>
          <cell r="H2291">
            <v>1</v>
          </cell>
          <cell r="I2291" t="str">
            <v>none</v>
          </cell>
          <cell r="J2291" t="str">
            <v>plastics monomer production inventories, from Meng et al. (2023), DOI 10.1073/pnas.2218294120</v>
          </cell>
          <cell r="K2291" t="str">
            <v xml:space="preserve">Value taken from Reshaping Plastics (2022) model in sheet 'Dynamic_input_output' </v>
          </cell>
          <cell r="L2291" t="str">
            <v>see log sheet</v>
          </cell>
        </row>
        <row r="2292">
          <cell r="A2292" t="str">
            <v>[Meng] Butadiene production via Naphtha steam cracking + by-product upgrade</v>
          </cell>
          <cell r="B2292" t="str">
            <v>ethane</v>
          </cell>
          <cell r="C2292" t="str">
            <v>from technosphere (material)</v>
          </cell>
          <cell r="D2292"/>
          <cell r="E2292" t="str">
            <v>Mass</v>
          </cell>
          <cell r="F2292">
            <v>0</v>
          </cell>
          <cell r="G2292" t="str">
            <v>tonne</v>
          </cell>
          <cell r="H2292">
            <v>1</v>
          </cell>
          <cell r="I2292" t="str">
            <v>none</v>
          </cell>
          <cell r="J2292" t="str">
            <v>plastics monomer production inventories, from Meng et al. (2023), DOI 10.1073/pnas.2218294120</v>
          </cell>
          <cell r="K2292" t="str">
            <v xml:space="preserve">Value taken from Reshaping Plastics (2022) model in sheet 'Dynamic_input_output' </v>
          </cell>
          <cell r="L2292" t="str">
            <v>see log sheet</v>
          </cell>
        </row>
        <row r="2293">
          <cell r="A2293" t="str">
            <v>[Meng] Butadiene production via Naphtha steam cracking + by-product upgrade</v>
          </cell>
          <cell r="B2293" t="str">
            <v>propane</v>
          </cell>
          <cell r="C2293" t="str">
            <v>from technosphere (material)</v>
          </cell>
          <cell r="D2293"/>
          <cell r="E2293" t="str">
            <v>Mass</v>
          </cell>
          <cell r="F2293">
            <v>2.3076922999999999E-2</v>
          </cell>
          <cell r="G2293" t="str">
            <v>tonne</v>
          </cell>
          <cell r="H2293">
            <v>1</v>
          </cell>
          <cell r="I2293" t="str">
            <v>none</v>
          </cell>
          <cell r="J2293" t="str">
            <v>plastics monomer production inventories, from Meng et al. (2023), DOI 10.1073/pnas.2218294120</v>
          </cell>
          <cell r="K2293" t="str">
            <v xml:space="preserve">Value taken from Reshaping Plastics (2022) model in sheet 'Dynamic_input_output' </v>
          </cell>
          <cell r="L2293" t="str">
            <v>see log sheet</v>
          </cell>
        </row>
        <row r="2294">
          <cell r="A2294" t="str">
            <v>[Meng] Butadiene production via Naphtha steam cracking + by-product upgrade</v>
          </cell>
          <cell r="B2294" t="str">
            <v>oxygen</v>
          </cell>
          <cell r="C2294" t="str">
            <v>from technosphere (material)</v>
          </cell>
          <cell r="D2294"/>
          <cell r="E2294" t="str">
            <v>Mass</v>
          </cell>
          <cell r="F2294">
            <v>6.4777327999999995E-2</v>
          </cell>
          <cell r="G2294" t="str">
            <v>tonne</v>
          </cell>
          <cell r="H2294">
            <v>1</v>
          </cell>
          <cell r="I2294" t="str">
            <v>none</v>
          </cell>
          <cell r="J2294" t="str">
            <v>plastics monomer production inventories, from Meng et al. (2023), DOI 10.1073/pnas.2218294120</v>
          </cell>
          <cell r="K2294" t="str">
            <v>Value taken from Reshaping Plastics (2022) model in sheet 'Dynamic_input_output' . oxygen is necessary for the byproduct upgrade, as heavy fuels (byproducts) are partially oxidated.</v>
          </cell>
          <cell r="L2294" t="str">
            <v>see log sheet</v>
          </cell>
        </row>
        <row r="2295">
          <cell r="A2295" t="str">
            <v>[Meng] Butadiene production via Naphtha steam cracking + by-product upgrade</v>
          </cell>
          <cell r="B2295" t="str">
            <v>electricity</v>
          </cell>
          <cell r="C2295" t="str">
            <v>from technosphere (energy_carrier)</v>
          </cell>
          <cell r="D2295"/>
          <cell r="E2295" t="str">
            <v>Energy</v>
          </cell>
          <cell r="F2295">
            <v>1.0253441299999999</v>
          </cell>
          <cell r="G2295" t="str">
            <v>GJ</v>
          </cell>
          <cell r="H2295">
            <v>1</v>
          </cell>
          <cell r="I2295" t="str">
            <v>none</v>
          </cell>
          <cell r="J2295" t="str">
            <v>plastics monomer production inventories, from Meng et al. (2023), DOI 10.1073/pnas.2218294120</v>
          </cell>
          <cell r="K2295" t="str">
            <v>Value taken from Reshaping Plastics (2022) model in sheet 'Dynamic_input_output', equal to the electricity use of a conventional Naphtha steam cracker.</v>
          </cell>
          <cell r="L2295" t="str">
            <v>see log sheet</v>
          </cell>
        </row>
        <row r="2296">
          <cell r="A2296" t="str">
            <v>[Meng] Butadiene production via Naphtha steam cracking + by-product upgrade</v>
          </cell>
          <cell r="B2296" t="str">
            <v>electricity</v>
          </cell>
          <cell r="C2296" t="str">
            <v>from technosphere (energy_carrier)</v>
          </cell>
          <cell r="D2296"/>
          <cell r="E2296" t="str">
            <v>Energy</v>
          </cell>
          <cell r="F2296">
            <v>0.44048583000000002</v>
          </cell>
          <cell r="G2296" t="str">
            <v>GJ</v>
          </cell>
          <cell r="H2296">
            <v>1</v>
          </cell>
          <cell r="I2296" t="str">
            <v>none</v>
          </cell>
          <cell r="J2296" t="str">
            <v>plastics monomer production inventories, from Meng et al. (2023), DOI 10.1073/pnas.2218294120</v>
          </cell>
          <cell r="K2296" t="str">
            <v>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v>
          </cell>
          <cell r="L2296" t="str">
            <v>see log sheet</v>
          </cell>
        </row>
        <row r="2297">
          <cell r="A2297" t="str">
            <v>[Meng] Butadiene production via Naphtha steam cracking + by-product upgrade</v>
          </cell>
          <cell r="B2297" t="str">
            <v>electricity</v>
          </cell>
          <cell r="C2297" t="str">
            <v>from technosphere (energy_carrier)</v>
          </cell>
          <cell r="D2297"/>
          <cell r="E2297" t="str">
            <v>Energy</v>
          </cell>
          <cell r="F2297">
            <v>3.2571428569999998</v>
          </cell>
          <cell r="G2297" t="str">
            <v>GJ</v>
          </cell>
          <cell r="H2297">
            <v>1</v>
          </cell>
          <cell r="I2297" t="str">
            <v>none</v>
          </cell>
          <cell r="J2297" t="str">
            <v>plastics monomer production inventories, from Meng et al. (2023), DOI 10.1073/pnas.2218294120</v>
          </cell>
          <cell r="K2297" t="str">
            <v>57 USD/tonne utilities cost, assume averaged global electricity price of 17.5 USD/GJ</v>
          </cell>
          <cell r="L2297" t="str">
            <v>see log sheet</v>
          </cell>
        </row>
        <row r="2298">
          <cell r="A2298" t="str">
            <v>[Meng] Butadiene production via Naphtha steam cracking + by-product upgrade</v>
          </cell>
          <cell r="B2298" t="str">
            <v>electricity</v>
          </cell>
          <cell r="C2298" t="str">
            <v>from technosphere (energy_carrier)</v>
          </cell>
          <cell r="D2298"/>
          <cell r="E2298" t="str">
            <v>Energy</v>
          </cell>
          <cell r="F2298">
            <v>4.7229728169999996</v>
          </cell>
          <cell r="G2298" t="str">
            <v>GJ</v>
          </cell>
          <cell r="H2298">
            <v>1</v>
          </cell>
          <cell r="I2298" t="str">
            <v>none</v>
          </cell>
          <cell r="J2298" t="str">
            <v>plastics monomer production inventories, from Meng et al. (2023), DOI 10.1073/pnas.2218294120</v>
          </cell>
          <cell r="K2298" t="str">
            <v>Sum of electricity use of conventional steam cracker and byproduct upgrade 'units'.</v>
          </cell>
          <cell r="L2298" t="str">
            <v>see log sheet</v>
          </cell>
        </row>
        <row r="2299">
          <cell r="A2299" t="str">
            <v>[Meng] Butadiene production via Naphtha steam cracking + by-product upgrade</v>
          </cell>
          <cell r="B2299" t="str">
            <v>carbon dioxide</v>
          </cell>
          <cell r="C2299" t="str">
            <v>to environment (emission, direct)</v>
          </cell>
          <cell r="D2299"/>
          <cell r="E2299" t="str">
            <v>Mass</v>
          </cell>
          <cell r="F2299">
            <v>0.566923077</v>
          </cell>
          <cell r="G2299" t="str">
            <v>tonne</v>
          </cell>
          <cell r="H2299">
            <v>1</v>
          </cell>
          <cell r="I2299" t="str">
            <v>none</v>
          </cell>
          <cell r="J2299" t="str">
            <v>adding direct emissions to plastics monomer production inventories, from Meng et al. (2023), DOI 10.1073/pnas.2218294120</v>
          </cell>
          <cell r="K2299" t="str">
            <v>only off-gas-based emissions, assume same carbon content per energy as for natural gas (off-gas has both H2 and olefin (Ethane, butane) content, assume they roughly cancel out in rel. to CO2 per MJ.</v>
          </cell>
          <cell r="L2299" t="str">
            <v>see log sheet</v>
          </cell>
        </row>
        <row r="2300">
          <cell r="A2300" t="str">
            <v>[Meng] Butadiene production via Pyrolysis oil steam cracking</v>
          </cell>
          <cell r="B2300" t="str">
            <v>butadiene</v>
          </cell>
          <cell r="C2300" t="str">
            <v>reference_product</v>
          </cell>
          <cell r="D2300">
            <v>271114</v>
          </cell>
          <cell r="E2300" t="str">
            <v>Mass</v>
          </cell>
          <cell r="F2300">
            <v>1</v>
          </cell>
          <cell r="G2300" t="str">
            <v>tonne</v>
          </cell>
          <cell r="H2300">
            <v>1</v>
          </cell>
          <cell r="I2300" t="str">
            <v>none</v>
          </cell>
          <cell r="J2300"/>
          <cell r="K2300"/>
          <cell r="L2300"/>
        </row>
        <row r="2301">
          <cell r="A2301" t="str">
            <v>[Meng] Butadiene production via Pyrolysis oil steam cracking</v>
          </cell>
          <cell r="B2301" t="str">
            <v>waste polymer</v>
          </cell>
          <cell r="C2301" t="str">
            <v>from technosphere (material)</v>
          </cell>
          <cell r="D2301"/>
          <cell r="E2301" t="str">
            <v>Mass</v>
          </cell>
          <cell r="F2301">
            <v>1.5283400810000001</v>
          </cell>
          <cell r="G2301" t="str">
            <v>tonne</v>
          </cell>
          <cell r="H2301">
            <v>1</v>
          </cell>
          <cell r="I2301" t="str">
            <v>none</v>
          </cell>
          <cell r="J2301" t="str">
            <v>plastics monomer production inventories, from Meng et al. (2023), DOI 10.1073/pnas.2218294120</v>
          </cell>
          <cell r="K2301" t="str">
            <v>Mike Muskett: if you have 100 ktepa of plastic, then you get about 80 ktepa of pyrolysis oil, which makes about 25 ktepa of propylene (12 ktepa of propylene). This is why the input of pyrolysis oil is divided by 0.8 to get the input of waste polymers.</v>
          </cell>
          <cell r="L2301" t="str">
            <v>see log sheet</v>
          </cell>
        </row>
        <row r="2302">
          <cell r="A2302" t="str">
            <v>[Meng] Butadiene production via Pyrolysis oil steam cracking</v>
          </cell>
          <cell r="B2302" t="str">
            <v>pyrolysis oil</v>
          </cell>
          <cell r="C2302" t="str">
            <v>from technosphere (material)</v>
          </cell>
          <cell r="D2302"/>
          <cell r="E2302" t="str">
            <v>Mass</v>
          </cell>
          <cell r="F2302">
            <v>1.222672065</v>
          </cell>
          <cell r="G2302" t="str">
            <v>tonne</v>
          </cell>
          <cell r="H2302">
            <v>1</v>
          </cell>
          <cell r="I2302" t="str">
            <v>none</v>
          </cell>
          <cell r="J2302" t="str">
            <v>plastics monomer production inventories, from Meng et al. (2023), DOI 10.1073/pnas.2218294120</v>
          </cell>
          <cell r="K2302" t="str">
            <v>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v>
          </cell>
          <cell r="L2302" t="str">
            <v>see log sheet</v>
          </cell>
        </row>
        <row r="2303">
          <cell r="A2303" t="str">
            <v>[Meng] Butadiene production via Pyrolysis oil steam cracking</v>
          </cell>
          <cell r="B2303" t="str">
            <v>off-gases</v>
          </cell>
          <cell r="C2303" t="str">
            <v>from technosphere (energy_carrier)</v>
          </cell>
          <cell r="D2303"/>
          <cell r="E2303" t="str">
            <v>Energy</v>
          </cell>
          <cell r="F2303">
            <v>8.8663967610000007</v>
          </cell>
          <cell r="G2303" t="str">
            <v>GJ</v>
          </cell>
          <cell r="H2303">
            <v>1</v>
          </cell>
          <cell r="I2303" t="str">
            <v>none</v>
          </cell>
          <cell r="J2303" t="str">
            <v>plastics monomer production inventories, from Meng et al. (2023), DOI 10.1073/pnas.2218294120</v>
          </cell>
          <cell r="K2303" t="str">
            <v xml:space="preserve">Value taken from Reshaping Plastics (2022) model in sheet 'Dynamic_input_output' </v>
          </cell>
          <cell r="L2303" t="str">
            <v>see log sheet</v>
          </cell>
        </row>
        <row r="2304">
          <cell r="A2304" t="str">
            <v>[Meng] Butadiene production via Pyrolysis oil steam cracking</v>
          </cell>
          <cell r="B2304" t="str">
            <v>electricity</v>
          </cell>
          <cell r="C2304" t="str">
            <v>from technosphere (energy_carrier)</v>
          </cell>
          <cell r="D2304"/>
          <cell r="E2304" t="str">
            <v>Energy</v>
          </cell>
          <cell r="F2304">
            <v>0.46537651800000002</v>
          </cell>
          <cell r="G2304" t="str">
            <v>GJ</v>
          </cell>
          <cell r="H2304">
            <v>1</v>
          </cell>
          <cell r="I2304" t="str">
            <v>none</v>
          </cell>
          <cell r="J2304" t="str">
            <v>plastics monomer production inventories, from Meng et al. (2023), DOI 10.1073/pnas.2218294120</v>
          </cell>
          <cell r="K2304" t="str">
            <v xml:space="preserve">This value is taken directly from the Reshaping Plastics (2022) model, in the sheet 'dynamic input and output', row 811 for electricity use for 'pyrolysis' in kWh/t propylene. </v>
          </cell>
          <cell r="L2304" t="str">
            <v>see log sheet</v>
          </cell>
        </row>
        <row r="2305">
          <cell r="A2305" t="str">
            <v>[Meng] Butadiene production via Pyrolysis oil steam cracking</v>
          </cell>
          <cell r="B2305" t="str">
            <v>electricity</v>
          </cell>
          <cell r="C2305" t="str">
            <v>from technosphere (energy_carrier)</v>
          </cell>
          <cell r="D2305"/>
          <cell r="E2305" t="str">
            <v>Energy</v>
          </cell>
          <cell r="F2305">
            <v>1.0253441299999999</v>
          </cell>
          <cell r="G2305" t="str">
            <v>GJ</v>
          </cell>
          <cell r="H2305">
            <v>1</v>
          </cell>
          <cell r="I2305" t="str">
            <v>none</v>
          </cell>
          <cell r="J2305" t="str">
            <v>plastics monomer production inventories, from Meng et al. (2023), DOI 10.1073/pnas.2218294120</v>
          </cell>
          <cell r="K2305" t="str">
            <v>This value also includes electricity necessary for the hydrotreater. The electricity use is used for the process 'pyrolysis oil --&gt; steam cracking --&gt; monomer'.</v>
          </cell>
          <cell r="L2305" t="str">
            <v>see log sheet</v>
          </cell>
        </row>
        <row r="2306">
          <cell r="A2306" t="str">
            <v>[Meng] Butadiene production via Pyrolysis oil steam cracking</v>
          </cell>
          <cell r="B2306" t="str">
            <v>electricity</v>
          </cell>
          <cell r="C2306" t="str">
            <v>from technosphere (energy_carrier)</v>
          </cell>
          <cell r="D2306"/>
          <cell r="E2306" t="str">
            <v>Energy</v>
          </cell>
          <cell r="F2306">
            <v>3.2571428569999998</v>
          </cell>
          <cell r="G2306" t="str">
            <v>GJ</v>
          </cell>
          <cell r="H2306">
            <v>1</v>
          </cell>
          <cell r="I2306" t="str">
            <v>none</v>
          </cell>
          <cell r="J2306" t="str">
            <v>plastics monomer production inventories, from Meng et al. (2023), DOI 10.1073/pnas.2218294120</v>
          </cell>
          <cell r="K2306" t="str">
            <v>57 USD/tonne utilities cost, assume averaged global electricity price of 17.5 USD/GJ</v>
          </cell>
          <cell r="L2306" t="str">
            <v>see log sheet</v>
          </cell>
        </row>
        <row r="2307">
          <cell r="A2307" t="str">
            <v>[Meng] Butadiene production via Pyrolysis oil steam cracking</v>
          </cell>
          <cell r="B2307" t="str">
            <v>electricity</v>
          </cell>
          <cell r="C2307" t="str">
            <v>from technosphere (energy_carrier)</v>
          </cell>
          <cell r="D2307"/>
          <cell r="E2307" t="str">
            <v>Energy</v>
          </cell>
          <cell r="F2307">
            <v>4.7478635049999998</v>
          </cell>
          <cell r="G2307" t="str">
            <v>GJ</v>
          </cell>
          <cell r="H2307">
            <v>1</v>
          </cell>
          <cell r="I2307" t="str">
            <v>none</v>
          </cell>
          <cell r="J2307" t="str">
            <v>plastics monomer production inventories, from Meng et al. (2023), DOI 10.1073/pnas.2218294120</v>
          </cell>
          <cell r="K2307" t="str">
            <v>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v>
          </cell>
          <cell r="L2307" t="str">
            <v>see log sheet</v>
          </cell>
        </row>
        <row r="2308">
          <cell r="A2308" t="str">
            <v>[Meng] Butadiene production via Pyrolysis oil steam cracking</v>
          </cell>
          <cell r="B2308" t="str">
            <v>carbon dioxide</v>
          </cell>
          <cell r="C2308" t="str">
            <v>to environment (emission, direct)</v>
          </cell>
          <cell r="D2308"/>
          <cell r="E2308" t="str">
            <v>Mass</v>
          </cell>
          <cell r="F2308">
            <v>0.59404858299999996</v>
          </cell>
          <cell r="G2308" t="str">
            <v>tonne</v>
          </cell>
          <cell r="H2308">
            <v>1</v>
          </cell>
          <cell r="I2308" t="str">
            <v>none</v>
          </cell>
          <cell r="J2308" t="str">
            <v>adding direct emissions to plastics monomer production inventories, from Meng et al. (2023), DOI 10.1073/pnas.2218294120</v>
          </cell>
          <cell r="K2308" t="str">
            <v>only off-gas-based emissions, assume same carbon content per energy as for natural gas (off-gas has both H2 and olefin (Ethane, butane) content, assume they roughly cancel out in rel. to CO2 per MJ.</v>
          </cell>
          <cell r="L2308" t="str">
            <v>see log sheet</v>
          </cell>
        </row>
        <row r="2309">
          <cell r="A2309" t="str">
            <v>[Meng] Butadiene production via Bio-oils steam cracking</v>
          </cell>
          <cell r="B2309" t="str">
            <v>butadiene</v>
          </cell>
          <cell r="C2309" t="str">
            <v>reference_product</v>
          </cell>
          <cell r="D2309">
            <v>271114</v>
          </cell>
          <cell r="E2309" t="str">
            <v>Mass</v>
          </cell>
          <cell r="F2309">
            <v>1</v>
          </cell>
          <cell r="G2309" t="str">
            <v>tonne</v>
          </cell>
          <cell r="H2309">
            <v>1</v>
          </cell>
          <cell r="I2309" t="str">
            <v>none</v>
          </cell>
          <cell r="J2309"/>
          <cell r="K2309"/>
          <cell r="L2309"/>
        </row>
        <row r="2310">
          <cell r="A2310" t="str">
            <v>[Meng] Butadiene production via Bio-oils steam cracking</v>
          </cell>
          <cell r="B2310" t="str">
            <v>bio-oils</v>
          </cell>
          <cell r="C2310" t="str">
            <v>from technosphere (material)</v>
          </cell>
          <cell r="D2310"/>
          <cell r="E2310" t="str">
            <v>Mass</v>
          </cell>
          <cell r="F2310">
            <v>1.5870445339999999</v>
          </cell>
          <cell r="G2310" t="str">
            <v>tonne</v>
          </cell>
          <cell r="H2310">
            <v>1</v>
          </cell>
          <cell r="I2310" t="str">
            <v>none</v>
          </cell>
          <cell r="J2310" t="str">
            <v>plastics monomer production inventories, from Meng et al. (2023), DOI 10.1073/pnas.2218294120</v>
          </cell>
          <cell r="K2310"/>
          <cell r="L2310" t="str">
            <v>see log sheet</v>
          </cell>
        </row>
        <row r="2311">
          <cell r="A2311" t="str">
            <v>[Meng] Butadiene production via Bio-oils steam cracking</v>
          </cell>
          <cell r="B2311" t="str">
            <v>off-gases</v>
          </cell>
          <cell r="C2311" t="str">
            <v>from technosphere (energy_carrier)</v>
          </cell>
          <cell r="D2311"/>
          <cell r="E2311" t="str">
            <v>Energy</v>
          </cell>
          <cell r="F2311">
            <v>8.8663967610000007</v>
          </cell>
          <cell r="G2311" t="str">
            <v>GJ</v>
          </cell>
          <cell r="H2311">
            <v>1</v>
          </cell>
          <cell r="I2311" t="str">
            <v>none</v>
          </cell>
          <cell r="J2311" t="str">
            <v>plastics monomer production inventories, from Meng et al. (2023), DOI 10.1073/pnas.2218294120</v>
          </cell>
          <cell r="K2311"/>
          <cell r="L2311" t="str">
            <v>see log sheet</v>
          </cell>
        </row>
        <row r="2312">
          <cell r="A2312" t="str">
            <v>[Meng] Butadiene production via Bio-oils steam cracking</v>
          </cell>
          <cell r="B2312" t="str">
            <v>electricity</v>
          </cell>
          <cell r="C2312" t="str">
            <v>from technosphere (energy_carrier)</v>
          </cell>
          <cell r="D2312"/>
          <cell r="E2312" t="str">
            <v>Energy</v>
          </cell>
          <cell r="F2312">
            <v>1.0253441299999999</v>
          </cell>
          <cell r="G2312" t="str">
            <v>GJ</v>
          </cell>
          <cell r="H2312">
            <v>1</v>
          </cell>
          <cell r="I2312" t="str">
            <v>none</v>
          </cell>
          <cell r="J2312" t="str">
            <v>plastics monomer production inventories, from Meng et al. (2023), DOI 10.1073/pnas.2218294120</v>
          </cell>
          <cell r="K2312"/>
          <cell r="L2312" t="str">
            <v>see log sheet</v>
          </cell>
        </row>
        <row r="2313">
          <cell r="A2313" t="str">
            <v>[Meng] Butadiene production via Bio-oils steam cracking</v>
          </cell>
          <cell r="B2313" t="str">
            <v>electricity</v>
          </cell>
          <cell r="C2313" t="str">
            <v>from technosphere (energy_carrier)</v>
          </cell>
          <cell r="D2313"/>
          <cell r="E2313" t="str">
            <v>Energy</v>
          </cell>
          <cell r="F2313">
            <v>3.2571428569999998</v>
          </cell>
          <cell r="G2313" t="str">
            <v>GJ</v>
          </cell>
          <cell r="H2313">
            <v>1</v>
          </cell>
          <cell r="I2313" t="str">
            <v>none</v>
          </cell>
          <cell r="J2313" t="str">
            <v>plastics monomer production inventories, from Meng et al. (2023), DOI 10.1073/pnas.2218294120</v>
          </cell>
          <cell r="K2313" t="str">
            <v>57 USD/tonne utilities cost, assume averaged global electricity price of 17.5 USD/GJ</v>
          </cell>
          <cell r="L2313" t="str">
            <v>see log sheet</v>
          </cell>
        </row>
        <row r="2314">
          <cell r="A2314" t="str">
            <v>[Meng] Butadiene production via Bio-oils steam cracking</v>
          </cell>
          <cell r="B2314" t="str">
            <v>electricity</v>
          </cell>
          <cell r="C2314" t="str">
            <v>from technosphere (energy_carrier)</v>
          </cell>
          <cell r="D2314"/>
          <cell r="E2314" t="str">
            <v>Energy</v>
          </cell>
          <cell r="F2314">
            <v>4.2824869870000004</v>
          </cell>
          <cell r="G2314" t="str">
            <v>GJ</v>
          </cell>
          <cell r="H2314">
            <v>1</v>
          </cell>
          <cell r="I2314" t="str">
            <v>none</v>
          </cell>
          <cell r="J2314" t="str">
            <v>plastics monomer production inventories, from Meng et al. (2023), DOI 10.1073/pnas.2218294120</v>
          </cell>
          <cell r="K2314"/>
          <cell r="L2314" t="str">
            <v>see log sheet</v>
          </cell>
        </row>
        <row r="2315">
          <cell r="A2315" t="str">
            <v>[Meng] Butadiene production via Bio-oils steam cracking</v>
          </cell>
          <cell r="B2315" t="str">
            <v>carbon dioxide</v>
          </cell>
          <cell r="C2315" t="str">
            <v>to environment (emission, direct)</v>
          </cell>
          <cell r="D2315"/>
          <cell r="E2315" t="str">
            <v>Mass</v>
          </cell>
          <cell r="F2315">
            <v>0.59404858299999996</v>
          </cell>
          <cell r="G2315" t="str">
            <v>tonne</v>
          </cell>
          <cell r="H2315">
            <v>1</v>
          </cell>
          <cell r="I2315" t="str">
            <v>none</v>
          </cell>
          <cell r="J2315" t="str">
            <v>adding direct emissions to plastics monomer production inventories, from Meng et al. (2023), DOI 10.1073/pnas.2218294120</v>
          </cell>
          <cell r="K2315" t="str">
            <v>only off-gas-based emissions, assume same carbon content per energy as for natural gas (off-gas has both H2 and olefin (Ethane, butane) content, assume they roughly cancel out in rel. to CO2 per MJ.</v>
          </cell>
          <cell r="L2315" t="str">
            <v>see log sheet</v>
          </cell>
        </row>
        <row r="2316">
          <cell r="A2316" t="str">
            <v>[Meng] Butadiene production via Catalytic naphtha cracking</v>
          </cell>
          <cell r="B2316" t="str">
            <v>butadiene</v>
          </cell>
          <cell r="C2316" t="str">
            <v>reference_product</v>
          </cell>
          <cell r="D2316">
            <v>271114</v>
          </cell>
          <cell r="E2316" t="str">
            <v>Mass</v>
          </cell>
          <cell r="F2316">
            <v>1</v>
          </cell>
          <cell r="G2316" t="str">
            <v>tonne</v>
          </cell>
          <cell r="H2316">
            <v>1</v>
          </cell>
          <cell r="I2316" t="str">
            <v>none</v>
          </cell>
          <cell r="J2316"/>
          <cell r="K2316"/>
          <cell r="L2316"/>
        </row>
        <row r="2317">
          <cell r="A2317" t="str">
            <v>[Meng] Butadiene production via Catalytic naphtha cracking</v>
          </cell>
          <cell r="B2317" t="str">
            <v>naphtha</v>
          </cell>
          <cell r="C2317" t="str">
            <v>from technosphere (material)</v>
          </cell>
          <cell r="D2317"/>
          <cell r="E2317" t="str">
            <v>Mass</v>
          </cell>
          <cell r="F2317">
            <v>0.69454000000000005</v>
          </cell>
          <cell r="G2317" t="str">
            <v>tonne</v>
          </cell>
          <cell r="H2317">
            <v>1</v>
          </cell>
          <cell r="I2317" t="str">
            <v>none</v>
          </cell>
          <cell r="J2317" t="str">
            <v>plastics monomer production inventories, from Meng et al. (2023), DOI 10.1073/pnas.2218294120</v>
          </cell>
          <cell r="K2317" t="str">
            <v xml:space="preserve">Value taken from Reshaping Plastics (2022) model in sheet 'Dynamic_input_output' . The share of feedstocks are used that are given for EU15+Norway. </v>
          </cell>
          <cell r="L2317" t="str">
            <v>see log sheet</v>
          </cell>
        </row>
        <row r="2318">
          <cell r="A2318" t="str">
            <v>[Meng] Butadiene production via Catalytic naphtha cracking</v>
          </cell>
          <cell r="B2318" t="str">
            <v>ethane</v>
          </cell>
          <cell r="C2318" t="str">
            <v>from technosphere (material)</v>
          </cell>
          <cell r="D2318"/>
          <cell r="E2318" t="str">
            <v>Mass</v>
          </cell>
          <cell r="F2318">
            <v>5.9450000000000003E-2</v>
          </cell>
          <cell r="G2318" t="str">
            <v>tonne</v>
          </cell>
          <cell r="H2318">
            <v>1</v>
          </cell>
          <cell r="I2318" t="str">
            <v>none</v>
          </cell>
          <cell r="J2318" t="str">
            <v>plastics monomer production inventories, from Meng et al. (2023), DOI 10.1073/pnas.2218294120</v>
          </cell>
          <cell r="K2318" t="str">
            <v xml:space="preserve">Value taken from Reshaping Plastics (2022) model in sheet 'Dynamic_input_output' </v>
          </cell>
          <cell r="L2318" t="str">
            <v>see log sheet</v>
          </cell>
        </row>
        <row r="2319">
          <cell r="A2319" t="str">
            <v>[Meng] Butadiene production via Catalytic naphtha cracking</v>
          </cell>
          <cell r="B2319" t="str">
            <v>propane</v>
          </cell>
          <cell r="C2319" t="str">
            <v>from technosphere (material)</v>
          </cell>
          <cell r="D2319"/>
          <cell r="E2319" t="str">
            <v>Mass</v>
          </cell>
          <cell r="F2319">
            <v>0.27388000000000001</v>
          </cell>
          <cell r="G2319" t="str">
            <v>tonne</v>
          </cell>
          <cell r="H2319">
            <v>1</v>
          </cell>
          <cell r="I2319" t="str">
            <v>none</v>
          </cell>
          <cell r="J2319" t="str">
            <v>plastics monomer production inventories, from Meng et al. (2023), DOI 10.1073/pnas.2218294120</v>
          </cell>
          <cell r="K2319" t="str">
            <v xml:space="preserve">Value taken from Reshaping Plastics (2022) model in sheet 'Dynamic_input_output' </v>
          </cell>
          <cell r="L2319" t="str">
            <v>see log sheet</v>
          </cell>
        </row>
        <row r="2320">
          <cell r="A2320" t="str">
            <v>[Meng] Butadiene production via Catalytic naphtha cracking</v>
          </cell>
          <cell r="B2320" t="str">
            <v>off-gases</v>
          </cell>
          <cell r="C2320" t="str">
            <v>from technosphere (energy_carrier)</v>
          </cell>
          <cell r="D2320"/>
          <cell r="E2320" t="str">
            <v>Energy</v>
          </cell>
          <cell r="F2320">
            <v>7.5381556850000004</v>
          </cell>
          <cell r="G2320" t="str">
            <v>GJ</v>
          </cell>
          <cell r="H2320">
            <v>1</v>
          </cell>
          <cell r="I2320" t="str">
            <v>none</v>
          </cell>
          <cell r="J2320" t="str">
            <v>plastics monomer production inventories, from Meng et al. (2023), DOI 10.1073/pnas.2218294120</v>
          </cell>
          <cell r="K2320" t="str">
            <v>Conventional value multiplied by the efficiency increase of a catalytic cracker opposed to a conventional cracker.</v>
          </cell>
          <cell r="L2320" t="str">
            <v>see log sheet</v>
          </cell>
        </row>
        <row r="2321">
          <cell r="A2321" t="str">
            <v>[Meng] Butadiene production via Catalytic naphtha cracking</v>
          </cell>
          <cell r="B2321" t="str">
            <v>electricity</v>
          </cell>
          <cell r="C2321" t="str">
            <v>from technosphere (energy_carrier)</v>
          </cell>
          <cell r="D2321"/>
          <cell r="E2321" t="str">
            <v>Energy</v>
          </cell>
          <cell r="F2321">
            <v>2.1527099999999999</v>
          </cell>
          <cell r="G2321" t="str">
            <v>GJ</v>
          </cell>
          <cell r="H2321">
            <v>1</v>
          </cell>
          <cell r="I2321" t="str">
            <v>none</v>
          </cell>
          <cell r="J2321" t="str">
            <v>plastics monomer production inventories, from Meng et al. (2023), DOI 10.1073/pnas.2218294120</v>
          </cell>
          <cell r="K2321" t="str">
            <v>Conventional value multiplied by the efficiency increase of a catalytic cracker opposed to a conventional cracker.</v>
          </cell>
          <cell r="L2321" t="str">
            <v>see log sheet</v>
          </cell>
        </row>
        <row r="2322">
          <cell r="A2322" t="str">
            <v>[Meng] Butadiene production via Catalytic naphtha cracking</v>
          </cell>
          <cell r="B2322" t="str">
            <v>carbon dioxide</v>
          </cell>
          <cell r="C2322" t="str">
            <v>to environment (emission, direct)</v>
          </cell>
          <cell r="D2322"/>
          <cell r="E2322" t="str">
            <v>Mass</v>
          </cell>
          <cell r="F2322">
            <v>0.50505643099999997</v>
          </cell>
          <cell r="G2322" t="str">
            <v>tonne</v>
          </cell>
          <cell r="H2322">
            <v>1</v>
          </cell>
          <cell r="I2322" t="str">
            <v>none</v>
          </cell>
          <cell r="J2322" t="str">
            <v>adding direct emissions to plastics monomer production inventories, from Meng et al. (2023), DOI 10.1073/pnas.2218294120</v>
          </cell>
          <cell r="K2322" t="str">
            <v>only off-gas-based emissions, assume same carbon content per energy as for natural gas (off-gas has both H2 and olefin (Ethane, butane) content, assume they roughly cancel out in rel. to CO2 per MJ.</v>
          </cell>
          <cell r="L2322" t="str">
            <v>see log sheet</v>
          </cell>
        </row>
        <row r="2323">
          <cell r="A2323" t="str">
            <v>[Meng] Butadiene production via Catalytic naphtha electric steam cracking</v>
          </cell>
          <cell r="B2323" t="str">
            <v>butadiene</v>
          </cell>
          <cell r="C2323" t="str">
            <v>reference_product</v>
          </cell>
          <cell r="D2323">
            <v>271114</v>
          </cell>
          <cell r="E2323" t="str">
            <v>Mass</v>
          </cell>
          <cell r="F2323">
            <v>1</v>
          </cell>
          <cell r="G2323" t="str">
            <v>tonne</v>
          </cell>
          <cell r="H2323">
            <v>1</v>
          </cell>
          <cell r="I2323" t="str">
            <v>none</v>
          </cell>
          <cell r="J2323"/>
          <cell r="K2323"/>
          <cell r="L2323"/>
        </row>
        <row r="2324">
          <cell r="A2324" t="str">
            <v>[Meng] Butadiene production via Catalytic naphtha electric steam cracking</v>
          </cell>
          <cell r="B2324" t="str">
            <v>naphtha</v>
          </cell>
          <cell r="C2324" t="str">
            <v>from technosphere (material)</v>
          </cell>
          <cell r="D2324"/>
          <cell r="E2324" t="str">
            <v>Mass</v>
          </cell>
          <cell r="F2324">
            <v>0.69289999999999996</v>
          </cell>
          <cell r="G2324" t="str">
            <v>tonne</v>
          </cell>
          <cell r="H2324">
            <v>1</v>
          </cell>
          <cell r="I2324" t="str">
            <v>none</v>
          </cell>
          <cell r="J2324" t="str">
            <v>plastics monomer production inventories, from Meng et al. (2023), DOI 10.1073/pnas.2218294120</v>
          </cell>
          <cell r="K2324" t="str">
            <v xml:space="preserve">Value taken from Reshaping Plastics (2022) model in sheet 'Dynamic_input_output' </v>
          </cell>
          <cell r="L2324" t="str">
            <v>see log sheet</v>
          </cell>
        </row>
        <row r="2325">
          <cell r="A2325" t="str">
            <v>[Meng] Butadiene production via Catalytic naphtha electric steam cracking</v>
          </cell>
          <cell r="B2325" t="str">
            <v>ethane</v>
          </cell>
          <cell r="C2325" t="str">
            <v>from technosphere (material)</v>
          </cell>
          <cell r="D2325"/>
          <cell r="E2325" t="str">
            <v>Mass</v>
          </cell>
          <cell r="F2325">
            <v>5.9450000000000003E-2</v>
          </cell>
          <cell r="G2325" t="str">
            <v>tonne</v>
          </cell>
          <cell r="H2325">
            <v>1</v>
          </cell>
          <cell r="I2325" t="str">
            <v>none</v>
          </cell>
          <cell r="J2325" t="str">
            <v>plastics monomer production inventories, from Meng et al. (2023), DOI 10.1073/pnas.2218294120</v>
          </cell>
          <cell r="K2325" t="str">
            <v xml:space="preserve">Value taken from Reshaping Plastics (2022) model in sheet 'Dynamic_input_output' </v>
          </cell>
          <cell r="L2325" t="str">
            <v>see log sheet</v>
          </cell>
        </row>
        <row r="2326">
          <cell r="A2326" t="str">
            <v>[Meng] Butadiene production via Catalytic naphtha electric steam cracking</v>
          </cell>
          <cell r="B2326" t="str">
            <v>propane</v>
          </cell>
          <cell r="C2326" t="str">
            <v>from technosphere (material)</v>
          </cell>
          <cell r="D2326"/>
          <cell r="E2326" t="str">
            <v>Mass</v>
          </cell>
          <cell r="F2326">
            <v>0.27388000000000001</v>
          </cell>
          <cell r="G2326" t="str">
            <v>tonne</v>
          </cell>
          <cell r="H2326">
            <v>1</v>
          </cell>
          <cell r="I2326" t="str">
            <v>none</v>
          </cell>
          <cell r="J2326" t="str">
            <v>plastics monomer production inventories, from Meng et al. (2023), DOI 10.1073/pnas.2218294120</v>
          </cell>
          <cell r="K2326" t="str">
            <v xml:space="preserve">Value taken from Reshaping Plastics (2022) model in sheet 'Dynamic_input_output' </v>
          </cell>
          <cell r="L2326" t="str">
            <v>see log sheet</v>
          </cell>
        </row>
        <row r="2327">
          <cell r="A2327" t="str">
            <v>[Meng] Butadiene production via Catalytic naphtha electric steam cracking</v>
          </cell>
          <cell r="B2327" t="str">
            <v>electricity</v>
          </cell>
          <cell r="C2327" t="str">
            <v>from technosphere (energy_carrier)</v>
          </cell>
          <cell r="D2327"/>
          <cell r="E2327" t="str">
            <v>Energy</v>
          </cell>
          <cell r="F2327">
            <v>6.9897529799999996</v>
          </cell>
          <cell r="G2327" t="str">
            <v>GJ</v>
          </cell>
          <cell r="H2327">
            <v>1</v>
          </cell>
          <cell r="I2327" t="str">
            <v>none</v>
          </cell>
          <cell r="J2327" t="str">
            <v>plastics monomer production inventories, from Meng et al. (2023), DOI 10.1073/pnas.2218294120</v>
          </cell>
          <cell r="K2327"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v>
          </cell>
          <cell r="L2327" t="str">
            <v>see log sheet</v>
          </cell>
        </row>
        <row r="2328">
          <cell r="A2328" t="str">
            <v xml:space="preserve">[Meng] Butadiene production via Catalytic naphtha cracking + CCS </v>
          </cell>
          <cell r="B2328" t="str">
            <v>butadiene</v>
          </cell>
          <cell r="C2328" t="str">
            <v>reference_product</v>
          </cell>
          <cell r="D2328">
            <v>271114</v>
          </cell>
          <cell r="E2328" t="str">
            <v>Mass</v>
          </cell>
          <cell r="F2328">
            <v>1</v>
          </cell>
          <cell r="G2328" t="str">
            <v>tonne</v>
          </cell>
          <cell r="H2328">
            <v>1</v>
          </cell>
          <cell r="I2328" t="str">
            <v>none</v>
          </cell>
          <cell r="J2328"/>
          <cell r="K2328"/>
          <cell r="L2328"/>
        </row>
        <row r="2329">
          <cell r="A2329" t="str">
            <v xml:space="preserve">[Meng] Butadiene production via Catalytic naphtha cracking + CCS </v>
          </cell>
          <cell r="B2329" t="str">
            <v>naphtha</v>
          </cell>
          <cell r="C2329" t="str">
            <v>from technosphere (material)</v>
          </cell>
          <cell r="D2329"/>
          <cell r="E2329" t="str">
            <v>Mass</v>
          </cell>
          <cell r="F2329">
            <v>0.98744939300000001</v>
          </cell>
          <cell r="G2329" t="str">
            <v>tonne</v>
          </cell>
          <cell r="H2329">
            <v>1</v>
          </cell>
          <cell r="I2329" t="str">
            <v>none</v>
          </cell>
          <cell r="J2329" t="str">
            <v>plastics monomer production inventories, from Meng et al. (2023), DOI 10.1073/pnas.2218294120</v>
          </cell>
          <cell r="K2329" t="str">
            <v xml:space="preserve">Value taken from Reshaping Plastics (2022) model in sheet 'Dynamic_input_output' </v>
          </cell>
          <cell r="L2329" t="str">
            <v>see log sheet</v>
          </cell>
        </row>
        <row r="2330">
          <cell r="A2330" t="str">
            <v xml:space="preserve">[Meng] Butadiene production via Catalytic naphtha cracking + CCS </v>
          </cell>
          <cell r="B2330" t="str">
            <v>ethane</v>
          </cell>
          <cell r="C2330" t="str">
            <v>from technosphere (material)</v>
          </cell>
          <cell r="D2330"/>
          <cell r="E2330" t="str">
            <v>Mass</v>
          </cell>
          <cell r="F2330">
            <v>0</v>
          </cell>
          <cell r="G2330" t="str">
            <v>tonne</v>
          </cell>
          <cell r="H2330">
            <v>1</v>
          </cell>
          <cell r="I2330" t="str">
            <v>none</v>
          </cell>
          <cell r="J2330" t="str">
            <v>plastics monomer production inventories, from Meng et al. (2023), DOI 10.1073/pnas.2218294120</v>
          </cell>
          <cell r="K2330" t="str">
            <v xml:space="preserve">Value taken from Reshaping Plastics (2022) model in sheet 'Dynamic_input_output' </v>
          </cell>
          <cell r="L2330" t="str">
            <v>see log sheet</v>
          </cell>
        </row>
        <row r="2331">
          <cell r="A2331" t="str">
            <v xml:space="preserve">[Meng] Butadiene production via Catalytic naphtha cracking + CCS </v>
          </cell>
          <cell r="B2331" t="str">
            <v>propane</v>
          </cell>
          <cell r="C2331" t="str">
            <v>from technosphere (material)</v>
          </cell>
          <cell r="D2331"/>
          <cell r="E2331" t="str">
            <v>Mass</v>
          </cell>
          <cell r="F2331">
            <v>2.4696355999999999E-2</v>
          </cell>
          <cell r="G2331" t="str">
            <v>tonne</v>
          </cell>
          <cell r="H2331">
            <v>1</v>
          </cell>
          <cell r="I2331" t="str">
            <v>none</v>
          </cell>
          <cell r="J2331" t="str">
            <v>plastics monomer production inventories, from Meng et al. (2023), DOI 10.1073/pnas.2218294120</v>
          </cell>
          <cell r="K2331" t="str">
            <v xml:space="preserve">Value taken from Reshaping Plastics (2022) model in sheet 'Dynamic_input_output' </v>
          </cell>
          <cell r="L2331" t="str">
            <v>see log sheet</v>
          </cell>
        </row>
        <row r="2332">
          <cell r="A2332" t="str">
            <v xml:space="preserve">[Meng] Butadiene production via Catalytic naphtha cracking + CCS </v>
          </cell>
          <cell r="B2332" t="str">
            <v>off-gases</v>
          </cell>
          <cell r="C2332" t="str">
            <v>from technosphere (energy_carrier)</v>
          </cell>
          <cell r="D2332"/>
          <cell r="E2332" t="str">
            <v>Energy</v>
          </cell>
          <cell r="F2332">
            <v>7.5364372470000003</v>
          </cell>
          <cell r="G2332" t="str">
            <v>GJ</v>
          </cell>
          <cell r="H2332">
            <v>1</v>
          </cell>
          <cell r="I2332" t="str">
            <v>none</v>
          </cell>
          <cell r="J2332" t="str">
            <v>plastics monomer production inventories, from Meng et al. (2023), DOI 10.1073/pnas.2218294120</v>
          </cell>
          <cell r="K2332" t="str">
            <v xml:space="preserve">Value taken from Reshaping Plastics (2022) model in sheet 'Dynamic_input_output' </v>
          </cell>
          <cell r="L2332" t="str">
            <v>see log sheet</v>
          </cell>
        </row>
        <row r="2333">
          <cell r="A2333" t="str">
            <v xml:space="preserve">[Meng] Butadiene production via Catalytic naphtha cracking + CCS </v>
          </cell>
          <cell r="B2333" t="str">
            <v>electricity</v>
          </cell>
          <cell r="C2333" t="str">
            <v>from technosphere (energy_carrier)</v>
          </cell>
          <cell r="D2333"/>
          <cell r="E2333" t="str">
            <v>Energy</v>
          </cell>
          <cell r="F2333">
            <v>0.87154251000000005</v>
          </cell>
          <cell r="G2333" t="str">
            <v>GJ</v>
          </cell>
          <cell r="H2333">
            <v>1</v>
          </cell>
          <cell r="I2333" t="str">
            <v>none</v>
          </cell>
          <cell r="J2333" t="str">
            <v>plastics monomer production inventories, from Meng et al. (2023), DOI 10.1073/pnas.2218294120</v>
          </cell>
          <cell r="K2333" t="str">
            <v xml:space="preserve">Same value as conventional catalytic steam cracker. </v>
          </cell>
          <cell r="L2333" t="str">
            <v>see log sheet</v>
          </cell>
        </row>
        <row r="2334">
          <cell r="A2334" t="str">
            <v xml:space="preserve">[Meng] Butadiene production via Catalytic naphtha cracking + CCS </v>
          </cell>
          <cell r="B2334" t="str">
            <v>electricity</v>
          </cell>
          <cell r="C2334" t="str">
            <v>from technosphere (energy_carrier)</v>
          </cell>
          <cell r="D2334"/>
          <cell r="E2334" t="str">
            <v>Energy</v>
          </cell>
          <cell r="F2334">
            <v>2.2222727999999998</v>
          </cell>
          <cell r="G2334" t="str">
            <v>GJ</v>
          </cell>
          <cell r="H2334">
            <v>1</v>
          </cell>
          <cell r="I2334" t="str">
            <v>none</v>
          </cell>
          <cell r="J2334" t="str">
            <v>plastics monomer production inventories, from Meng et al. (2023), DOI 10.1073/pnas.2218294120</v>
          </cell>
          <cell r="K2334" t="str">
            <v xml:space="preserve">CCS on steam cracker. Total value of 'Naphtha steam cracking + CCS' electricity demand from Reshaping Plastics (2022) model, with subtracted the electricity demand of 'Naphtha steam cracking'. </v>
          </cell>
          <cell r="L2334" t="str">
            <v>see log sheet</v>
          </cell>
        </row>
        <row r="2335">
          <cell r="A2335" t="str">
            <v xml:space="preserve">[Meng] Butadiene production via Catalytic naphtha cracking + CCS </v>
          </cell>
          <cell r="B2335" t="str">
            <v>electricity</v>
          </cell>
          <cell r="C2335" t="str">
            <v>from technosphere (energy_carrier)</v>
          </cell>
          <cell r="D2335"/>
          <cell r="E2335" t="str">
            <v>Energy</v>
          </cell>
          <cell r="F2335">
            <v>3.0938153100000001</v>
          </cell>
          <cell r="G2335" t="str">
            <v>GJ</v>
          </cell>
          <cell r="H2335">
            <v>1</v>
          </cell>
          <cell r="I2335" t="str">
            <v>none</v>
          </cell>
          <cell r="J2335" t="str">
            <v>plastics monomer production inventories, from Meng et al. (2023), DOI 10.1073/pnas.2218294120</v>
          </cell>
          <cell r="K2335" t="str">
            <v>electricity use of both the steam cracker and CCS unit.</v>
          </cell>
          <cell r="L2335" t="str">
            <v>see log sheet</v>
          </cell>
        </row>
        <row r="2336">
          <cell r="A2336" t="str">
            <v xml:space="preserve">[Meng] Butadiene production via Catalytic naphtha cracking + CCS </v>
          </cell>
          <cell r="B2336" t="str">
            <v>carbon dioxide</v>
          </cell>
          <cell r="C2336" t="str">
            <v>to environment (emission, direct)</v>
          </cell>
          <cell r="D2336"/>
          <cell r="E2336" t="str">
            <v>Mass</v>
          </cell>
          <cell r="F2336">
            <v>2.5247064999999999E-2</v>
          </cell>
          <cell r="G2336" t="str">
            <v>tonne</v>
          </cell>
          <cell r="H2336">
            <v>1</v>
          </cell>
          <cell r="I2336" t="str">
            <v>none</v>
          </cell>
          <cell r="J2336" t="str">
            <v>adding direct emissions to plastics monomer production inventories, from Meng et al. (2023), DOI 10.1073/pnas.2218294120</v>
          </cell>
          <cell r="K2336" t="str">
            <v>only off-gas-based emissions, assume same carbon content per energy as for natural gas (off-gas has both H2 and olefin (Ethane, butane) content, assume they roughly cancel out in rel. to CO2 per MJ.</v>
          </cell>
          <cell r="L2336" t="str">
            <v>see log sheet</v>
          </cell>
        </row>
        <row r="2337">
          <cell r="A2337" t="str">
            <v>[Meng] Butadiene production via Catalytic naphtha H2 cracking</v>
          </cell>
          <cell r="B2337" t="str">
            <v>butadiene</v>
          </cell>
          <cell r="C2337" t="str">
            <v>reference_product</v>
          </cell>
          <cell r="D2337">
            <v>271114</v>
          </cell>
          <cell r="E2337" t="str">
            <v>Mass</v>
          </cell>
          <cell r="F2337">
            <v>1</v>
          </cell>
          <cell r="G2337" t="str">
            <v>tonne</v>
          </cell>
          <cell r="H2337">
            <v>1</v>
          </cell>
          <cell r="I2337" t="str">
            <v>none</v>
          </cell>
          <cell r="J2337"/>
          <cell r="K2337"/>
          <cell r="L2337"/>
        </row>
        <row r="2338">
          <cell r="A2338" t="str">
            <v>[Meng] Butadiene production via Catalytic naphtha H2 cracking</v>
          </cell>
          <cell r="B2338" t="str">
            <v>naphtha</v>
          </cell>
          <cell r="C2338" t="str">
            <v>from technosphere (material)</v>
          </cell>
          <cell r="D2338"/>
          <cell r="E2338" t="str">
            <v>Mass</v>
          </cell>
          <cell r="F2338">
            <v>0.98744939300000001</v>
          </cell>
          <cell r="G2338" t="str">
            <v>tonne</v>
          </cell>
          <cell r="H2338">
            <v>1</v>
          </cell>
          <cell r="I2338" t="str">
            <v>none</v>
          </cell>
          <cell r="J2338" t="str">
            <v>plastics monomer production inventories, from Meng et al. (2023), DOI 10.1073/pnas.2218294120</v>
          </cell>
          <cell r="K2338" t="str">
            <v xml:space="preserve">Value taken from Reshaping Plastics (2022) model in sheet 'Dynamic_input_output' </v>
          </cell>
          <cell r="L2338" t="str">
            <v>see log sheet</v>
          </cell>
        </row>
        <row r="2339">
          <cell r="A2339" t="str">
            <v>[Meng] Butadiene production via Catalytic naphtha H2 cracking</v>
          </cell>
          <cell r="B2339" t="str">
            <v>ethane</v>
          </cell>
          <cell r="C2339" t="str">
            <v>from technosphere (material)</v>
          </cell>
          <cell r="D2339"/>
          <cell r="E2339" t="str">
            <v>Mass</v>
          </cell>
          <cell r="F2339">
            <v>0</v>
          </cell>
          <cell r="G2339" t="str">
            <v>tonne</v>
          </cell>
          <cell r="H2339">
            <v>1</v>
          </cell>
          <cell r="I2339" t="str">
            <v>none</v>
          </cell>
          <cell r="J2339" t="str">
            <v>plastics monomer production inventories, from Meng et al. (2023), DOI 10.1073/pnas.2218294120</v>
          </cell>
          <cell r="K2339" t="str">
            <v xml:space="preserve">Value taken from Reshaping Plastics (2022) model in sheet 'Dynamic_input_output' </v>
          </cell>
          <cell r="L2339" t="str">
            <v>see log sheet</v>
          </cell>
        </row>
        <row r="2340">
          <cell r="A2340" t="str">
            <v>[Meng] Butadiene production via Catalytic naphtha H2 cracking</v>
          </cell>
          <cell r="B2340" t="str">
            <v>propane</v>
          </cell>
          <cell r="C2340" t="str">
            <v>from technosphere (material)</v>
          </cell>
          <cell r="D2340"/>
          <cell r="E2340" t="str">
            <v>Mass</v>
          </cell>
          <cell r="F2340">
            <v>2.4696355999999999E-2</v>
          </cell>
          <cell r="G2340" t="str">
            <v>tonne</v>
          </cell>
          <cell r="H2340">
            <v>1</v>
          </cell>
          <cell r="I2340" t="str">
            <v>none</v>
          </cell>
          <cell r="J2340" t="str">
            <v>plastics monomer production inventories, from Meng et al. (2023), DOI 10.1073/pnas.2218294120</v>
          </cell>
          <cell r="K2340" t="str">
            <v xml:space="preserve">Value taken from Reshaping Plastics (2022) model in sheet 'Dynamic_input_output' </v>
          </cell>
          <cell r="L2340" t="str">
            <v>see log sheet</v>
          </cell>
        </row>
        <row r="2341">
          <cell r="A2341" t="str">
            <v>[Meng] Butadiene production via Catalytic naphtha H2 cracking</v>
          </cell>
          <cell r="B2341" t="str">
            <v>hydrogen</v>
          </cell>
          <cell r="C2341" t="str">
            <v>from technosphere (energy_carrier)</v>
          </cell>
          <cell r="D2341"/>
          <cell r="E2341" t="str">
            <v>Energy</v>
          </cell>
          <cell r="F2341">
            <v>7.3886640000000003E-2</v>
          </cell>
          <cell r="G2341" t="str">
            <v>tonne</v>
          </cell>
          <cell r="H2341">
            <v>1</v>
          </cell>
          <cell r="I2341" t="str">
            <v>none</v>
          </cell>
          <cell r="J2341" t="str">
            <v>plastics monomer production inventories, from Meng et al. (2023), DOI 10.1073/pnas.2218294120</v>
          </cell>
          <cell r="K2341" t="str">
            <v xml:space="preserve">Value taken from Reshaping Plastics (2022) model in sheet 'Dynamic_input_output' </v>
          </cell>
          <cell r="L2341" t="str">
            <v>see log sheet</v>
          </cell>
        </row>
        <row r="2342">
          <cell r="A2342" t="str">
            <v>[Meng] Butadiene production via Catalytic naphtha H2 cracking</v>
          </cell>
          <cell r="B2342" t="str">
            <v>electricity</v>
          </cell>
          <cell r="C2342" t="str">
            <v>from technosphere (energy_carrier)</v>
          </cell>
          <cell r="D2342"/>
          <cell r="E2342" t="str">
            <v>Energy</v>
          </cell>
          <cell r="F2342">
            <v>0.87154251000000005</v>
          </cell>
          <cell r="G2342" t="str">
            <v>GJ</v>
          </cell>
          <cell r="H2342">
            <v>1</v>
          </cell>
          <cell r="I2342" t="str">
            <v>none</v>
          </cell>
          <cell r="J2342" t="str">
            <v>plastics monomer production inventories, from Meng et al. (2023), DOI 10.1073/pnas.2218294120</v>
          </cell>
          <cell r="K2342" t="str">
            <v xml:space="preserve">Value taken from Naphtha H2 catalytic steam cracking business case.  </v>
          </cell>
          <cell r="L2342" t="str">
            <v>see log sheet</v>
          </cell>
        </row>
        <row r="2343">
          <cell r="A2343" t="str">
            <v>[Meng] Butadiene production via Naphtha steam cracking + CCS + by-product upgrade</v>
          </cell>
          <cell r="B2343" t="str">
            <v>butadiene</v>
          </cell>
          <cell r="C2343" t="str">
            <v>reference_product</v>
          </cell>
          <cell r="D2343">
            <v>271114</v>
          </cell>
          <cell r="E2343" t="str">
            <v>Mass</v>
          </cell>
          <cell r="F2343">
            <v>1</v>
          </cell>
          <cell r="G2343" t="str">
            <v>tonne</v>
          </cell>
          <cell r="H2343">
            <v>1</v>
          </cell>
          <cell r="I2343" t="str">
            <v>none</v>
          </cell>
          <cell r="J2343"/>
          <cell r="K2343"/>
          <cell r="L2343"/>
        </row>
        <row r="2344">
          <cell r="A2344" t="str">
            <v>[Meng] Butadiene production via Naphtha steam cracking + CCS + by-product upgrade</v>
          </cell>
          <cell r="B2344" t="str">
            <v>off-gases</v>
          </cell>
          <cell r="C2344" t="str">
            <v>from technosphere (material)</v>
          </cell>
          <cell r="D2344"/>
          <cell r="E2344" t="str">
            <v>Mass</v>
          </cell>
          <cell r="F2344">
            <v>8.461538462</v>
          </cell>
          <cell r="G2344" t="str">
            <v>GJ</v>
          </cell>
          <cell r="H2344">
            <v>1</v>
          </cell>
          <cell r="I2344" t="str">
            <v>none</v>
          </cell>
          <cell r="J2344" t="str">
            <v>plastics monomer production inventories, from Meng et al. (2023), DOI 10.1073/pnas.2218294120</v>
          </cell>
          <cell r="K2344" t="str">
            <v>Same as naphtha steam cracker + by-product upgrade business case</v>
          </cell>
          <cell r="L2344" t="str">
            <v>see log sheet</v>
          </cell>
        </row>
        <row r="2345">
          <cell r="A2345" t="str">
            <v>[Meng] Butadiene production via Naphtha steam cracking + CCS + by-product upgrade</v>
          </cell>
          <cell r="B2345" t="str">
            <v>naphtha</v>
          </cell>
          <cell r="C2345" t="str">
            <v>from technosphere (material)</v>
          </cell>
          <cell r="D2345"/>
          <cell r="E2345" t="str">
            <v>Mass</v>
          </cell>
          <cell r="F2345">
            <v>0.91821862300000001</v>
          </cell>
          <cell r="G2345" t="str">
            <v>tonne</v>
          </cell>
          <cell r="H2345">
            <v>1</v>
          </cell>
          <cell r="I2345" t="str">
            <v>none</v>
          </cell>
          <cell r="J2345" t="str">
            <v>plastics monomer production inventories, from Meng et al. (2023), DOI 10.1073/pnas.2218294120</v>
          </cell>
          <cell r="K2345" t="str">
            <v>Same as naphtha steam cracker + by-product upgrade business case</v>
          </cell>
          <cell r="L2345" t="str">
            <v>see log sheet</v>
          </cell>
        </row>
        <row r="2346">
          <cell r="A2346" t="str">
            <v>[Meng] Butadiene production via Naphtha steam cracking + CCS + by-product upgrade</v>
          </cell>
          <cell r="B2346" t="str">
            <v>ethane</v>
          </cell>
          <cell r="C2346" t="str">
            <v>from technosphere (material)</v>
          </cell>
          <cell r="D2346"/>
          <cell r="E2346" t="str">
            <v>Mass</v>
          </cell>
          <cell r="F2346">
            <v>0</v>
          </cell>
          <cell r="G2346" t="str">
            <v>tonne</v>
          </cell>
          <cell r="H2346">
            <v>1</v>
          </cell>
          <cell r="I2346" t="str">
            <v>none</v>
          </cell>
          <cell r="J2346" t="str">
            <v>plastics monomer production inventories, from Meng et al. (2023), DOI 10.1073/pnas.2218294120</v>
          </cell>
          <cell r="K2346" t="str">
            <v>Same as naphtha steam cracker + by-product upgrade business case</v>
          </cell>
          <cell r="L2346" t="str">
            <v>see log sheet</v>
          </cell>
        </row>
        <row r="2347">
          <cell r="A2347" t="str">
            <v>[Meng] Butadiene production via Naphtha steam cracking + CCS + by-product upgrade</v>
          </cell>
          <cell r="B2347" t="str">
            <v>propane</v>
          </cell>
          <cell r="C2347" t="str">
            <v>from technosphere (material)</v>
          </cell>
          <cell r="D2347"/>
          <cell r="E2347" t="str">
            <v>Mass</v>
          </cell>
          <cell r="F2347">
            <v>2.3076922999999999E-2</v>
          </cell>
          <cell r="G2347" t="str">
            <v>tonne</v>
          </cell>
          <cell r="H2347">
            <v>1</v>
          </cell>
          <cell r="I2347" t="str">
            <v>none</v>
          </cell>
          <cell r="J2347" t="str">
            <v>plastics monomer production inventories, from Meng et al. (2023), DOI 10.1073/pnas.2218294120</v>
          </cell>
          <cell r="K2347" t="str">
            <v>Same as naphtha steam cracker + by-product upgrade business case</v>
          </cell>
          <cell r="L2347" t="str">
            <v>see log sheet</v>
          </cell>
        </row>
        <row r="2348">
          <cell r="A2348" t="str">
            <v>[Meng] Butadiene production via Naphtha steam cracking + CCS + by-product upgrade</v>
          </cell>
          <cell r="B2348" t="str">
            <v>oxygen</v>
          </cell>
          <cell r="C2348" t="str">
            <v>from technosphere (material)</v>
          </cell>
          <cell r="D2348"/>
          <cell r="E2348" t="str">
            <v>Mass</v>
          </cell>
          <cell r="F2348">
            <v>6.4777327999999995E-2</v>
          </cell>
          <cell r="G2348" t="str">
            <v>tonne</v>
          </cell>
          <cell r="H2348">
            <v>1</v>
          </cell>
          <cell r="I2348" t="str">
            <v>none</v>
          </cell>
          <cell r="J2348" t="str">
            <v>plastics monomer production inventories, from Meng et al. (2023), DOI 10.1073/pnas.2218294120</v>
          </cell>
          <cell r="K2348" t="str">
            <v>Same as naphtha steam cracker + by-product upgrade business case</v>
          </cell>
          <cell r="L2348" t="str">
            <v>see log sheet</v>
          </cell>
        </row>
        <row r="2349">
          <cell r="A2349" t="str">
            <v>[Meng] Butadiene production via Naphtha steam cracking + CCS + by-product upgrade</v>
          </cell>
          <cell r="B2349" t="str">
            <v>electricity</v>
          </cell>
          <cell r="C2349" t="str">
            <v>from technosphere (energy_carrier)</v>
          </cell>
          <cell r="D2349"/>
          <cell r="E2349" t="str">
            <v>Energy</v>
          </cell>
          <cell r="F2349">
            <v>1.0253441299999999</v>
          </cell>
          <cell r="G2349" t="str">
            <v>GJ</v>
          </cell>
          <cell r="H2349">
            <v>1</v>
          </cell>
          <cell r="I2349" t="str">
            <v>none</v>
          </cell>
          <cell r="J2349" t="str">
            <v>plastics monomer production inventories, from Meng et al. (2023), DOI 10.1073/pnas.2218294120</v>
          </cell>
          <cell r="K2349" t="str">
            <v>Same as naphtha steam cracker + by-product upgrade business case</v>
          </cell>
          <cell r="L2349" t="str">
            <v>see log sheet</v>
          </cell>
        </row>
        <row r="2350">
          <cell r="A2350" t="str">
            <v>[Meng] Butadiene production via Naphtha steam cracking + CCS + by-product upgrade</v>
          </cell>
          <cell r="B2350" t="str">
            <v>electricity</v>
          </cell>
          <cell r="C2350" t="str">
            <v>from technosphere (energy_carrier)</v>
          </cell>
          <cell r="D2350"/>
          <cell r="E2350" t="str">
            <v>Energy</v>
          </cell>
          <cell r="F2350">
            <v>1.363190283</v>
          </cell>
          <cell r="G2350" t="str">
            <v>GJ</v>
          </cell>
          <cell r="H2350">
            <v>1</v>
          </cell>
          <cell r="I2350" t="str">
            <v>none</v>
          </cell>
          <cell r="J2350" t="str">
            <v>plastics monomer production inventories, from Meng et al. (2023), DOI 10.1073/pnas.2218294120</v>
          </cell>
          <cell r="K2350" t="str">
            <v>Same as naphtha steam cracker + CCS business case</v>
          </cell>
          <cell r="L2350" t="str">
            <v>see log sheet</v>
          </cell>
        </row>
        <row r="2351">
          <cell r="A2351" t="str">
            <v>[Meng] Butadiene production via Naphtha steam cracking + CCS + by-product upgrade</v>
          </cell>
          <cell r="B2351" t="str">
            <v>electricity</v>
          </cell>
          <cell r="C2351" t="str">
            <v>from technosphere (energy_carrier)</v>
          </cell>
          <cell r="D2351"/>
          <cell r="E2351" t="str">
            <v>Energy</v>
          </cell>
          <cell r="F2351">
            <v>0.44048583000000002</v>
          </cell>
          <cell r="G2351" t="str">
            <v>GJ</v>
          </cell>
          <cell r="H2351">
            <v>1</v>
          </cell>
          <cell r="I2351" t="str">
            <v>none</v>
          </cell>
          <cell r="J2351" t="str">
            <v>plastics monomer production inventories, from Meng et al. (2023), DOI 10.1073/pnas.2218294120</v>
          </cell>
          <cell r="K2351" t="str">
            <v>Same as naphtha steam cracker + by-product upgrade business case</v>
          </cell>
          <cell r="L2351" t="str">
            <v>see log sheet</v>
          </cell>
        </row>
        <row r="2352">
          <cell r="A2352" t="str">
            <v>[Meng] Butadiene production via Naphtha steam cracking + CCS + by-product upgrade</v>
          </cell>
          <cell r="B2352" t="str">
            <v>electricity</v>
          </cell>
          <cell r="C2352" t="str">
            <v>from technosphere (energy_carrier)</v>
          </cell>
          <cell r="D2352"/>
          <cell r="E2352" t="str">
            <v>Energy</v>
          </cell>
          <cell r="F2352">
            <v>3.2571428569999998</v>
          </cell>
          <cell r="G2352" t="str">
            <v>GJ</v>
          </cell>
          <cell r="H2352">
            <v>1</v>
          </cell>
          <cell r="I2352" t="str">
            <v>none</v>
          </cell>
          <cell r="J2352" t="str">
            <v>plastics monomer production inventories, from Meng et al. (2023), DOI 10.1073/pnas.2218294120</v>
          </cell>
          <cell r="K2352" t="str">
            <v>57 USD/tonne utilities cost, assume averaged global electricity price of 17.5 USD/GJ</v>
          </cell>
          <cell r="L2352" t="str">
            <v>see log sheet</v>
          </cell>
        </row>
        <row r="2353">
          <cell r="A2353" t="str">
            <v>[Meng] Butadiene production via Naphtha steam cracking + CCS + by-product upgrade</v>
          </cell>
          <cell r="B2353" t="str">
            <v>electricity</v>
          </cell>
          <cell r="C2353" t="str">
            <v>from technosphere (energy_carrier)</v>
          </cell>
          <cell r="D2353"/>
          <cell r="E2353" t="str">
            <v>Energy</v>
          </cell>
          <cell r="F2353">
            <v>6.0861631000000003</v>
          </cell>
          <cell r="G2353" t="str">
            <v>GJ</v>
          </cell>
          <cell r="H2353">
            <v>1</v>
          </cell>
          <cell r="I2353" t="str">
            <v>none</v>
          </cell>
          <cell r="J2353" t="str">
            <v>plastics monomer production inventories, from Meng et al. (2023), DOI 10.1073/pnas.2218294120</v>
          </cell>
          <cell r="K2353"/>
          <cell r="L2353" t="str">
            <v>see log sheet</v>
          </cell>
        </row>
        <row r="2354">
          <cell r="A2354" t="str">
            <v>[Meng] Butadiene production via Naphtha steam cracking + CCS + by-product upgrade</v>
          </cell>
          <cell r="B2354" t="str">
            <v>carbon dioxide</v>
          </cell>
          <cell r="C2354" t="str">
            <v>to environment (emission, direct)</v>
          </cell>
          <cell r="D2354"/>
          <cell r="E2354" t="str">
            <v>Mass</v>
          </cell>
          <cell r="F2354">
            <v>2.8346153999999998E-2</v>
          </cell>
          <cell r="G2354" t="str">
            <v>tonne</v>
          </cell>
          <cell r="H2354">
            <v>1</v>
          </cell>
          <cell r="I2354" t="str">
            <v>none</v>
          </cell>
          <cell r="J2354" t="str">
            <v>adding direct emissions to plastics monomer production inventories, from Meng et al. (2023), DOI 10.1073/pnas.2218294120</v>
          </cell>
          <cell r="K2354" t="str">
            <v>only off-gas-based emissions, assume same carbon content per energy as for natural gas (off-gas has both H2 and olefin (Ethane, butane) content, assume they roughly cancel out in rel. to CO2 per MJ.</v>
          </cell>
          <cell r="L2354" t="str">
            <v>see log sheet</v>
          </cell>
        </row>
        <row r="2355">
          <cell r="A2355" t="str">
            <v>[Meng] Butadiene production via Pyrolysis oil steam cracking + CCS + by-product upgrade</v>
          </cell>
          <cell r="B2355" t="str">
            <v>butadiene</v>
          </cell>
          <cell r="C2355" t="str">
            <v>reference_product</v>
          </cell>
          <cell r="D2355">
            <v>271114</v>
          </cell>
          <cell r="E2355" t="str">
            <v>Mass</v>
          </cell>
          <cell r="F2355">
            <v>1</v>
          </cell>
          <cell r="G2355" t="str">
            <v>tonne</v>
          </cell>
          <cell r="H2355">
            <v>1</v>
          </cell>
          <cell r="I2355" t="str">
            <v>none</v>
          </cell>
          <cell r="J2355"/>
          <cell r="K2355"/>
          <cell r="L2355"/>
        </row>
        <row r="2356">
          <cell r="A2356" t="str">
            <v>[Meng] Butadiene production via Pyrolysis oil steam cracking + CCS + by-product upgrade</v>
          </cell>
          <cell r="B2356" t="str">
            <v>waste polymer</v>
          </cell>
          <cell r="C2356" t="str">
            <v>from technosphere (material)</v>
          </cell>
          <cell r="D2356"/>
          <cell r="E2356" t="str">
            <v>Mass</v>
          </cell>
          <cell r="F2356">
            <v>1.4213562749999999</v>
          </cell>
          <cell r="G2356" t="str">
            <v>tonne</v>
          </cell>
          <cell r="H2356">
            <v>1</v>
          </cell>
          <cell r="I2356" t="str">
            <v>none</v>
          </cell>
          <cell r="J2356" t="str">
            <v>plastics monomer production inventories, from Meng et al. (2023), DOI 10.1073/pnas.2218294120</v>
          </cell>
          <cell r="K2356" t="str">
            <v>Same as pyrolysis oil steam cracking business case</v>
          </cell>
          <cell r="L2356" t="str">
            <v>see log sheet</v>
          </cell>
        </row>
        <row r="2357">
          <cell r="A2357" t="str">
            <v>[Meng] Butadiene production via Pyrolysis oil steam cracking + CCS + by-product upgrade</v>
          </cell>
          <cell r="B2357" t="str">
            <v>pyrolysis oil</v>
          </cell>
          <cell r="C2357" t="str">
            <v>from technosphere (material)</v>
          </cell>
          <cell r="D2357"/>
          <cell r="E2357" t="str">
            <v>Mass</v>
          </cell>
          <cell r="F2357">
            <v>1.13708502</v>
          </cell>
          <cell r="G2357" t="str">
            <v>tonne</v>
          </cell>
          <cell r="H2357">
            <v>1</v>
          </cell>
          <cell r="I2357" t="str">
            <v>none</v>
          </cell>
          <cell r="J2357" t="str">
            <v>plastics monomer production inventories, from Meng et al. (2023), DOI 10.1073/pnas.2218294120</v>
          </cell>
          <cell r="K2357" t="str">
            <v>Same as pyrolysis oil steam cracking business case</v>
          </cell>
          <cell r="L2357" t="str">
            <v>see log sheet</v>
          </cell>
        </row>
        <row r="2358">
          <cell r="A2358" t="str">
            <v>[Meng] Butadiene production via Pyrolysis oil steam cracking + CCS + by-product upgrade</v>
          </cell>
          <cell r="B2358" t="str">
            <v>oxygen</v>
          </cell>
          <cell r="C2358" t="str">
            <v>from technosphere (material)</v>
          </cell>
          <cell r="D2358"/>
          <cell r="E2358" t="str">
            <v>Mass</v>
          </cell>
          <cell r="F2358">
            <v>6.4777327999999995E-2</v>
          </cell>
          <cell r="G2358" t="str">
            <v>tonne</v>
          </cell>
          <cell r="H2358">
            <v>1</v>
          </cell>
          <cell r="I2358" t="str">
            <v>none</v>
          </cell>
          <cell r="J2358" t="str">
            <v>plastics monomer production inventories, from Meng et al. (2023), DOI 10.1073/pnas.2218294120</v>
          </cell>
          <cell r="K2358" t="str">
            <v>Same as naphtha steam cracking + by-product upgrade business case</v>
          </cell>
          <cell r="L2358" t="str">
            <v>see log sheet</v>
          </cell>
        </row>
        <row r="2359">
          <cell r="A2359" t="str">
            <v>[Meng] Butadiene production via Pyrolysis oil steam cracking + CCS + by-product upgrade</v>
          </cell>
          <cell r="B2359" t="str">
            <v>off-gases</v>
          </cell>
          <cell r="C2359" t="str">
            <v>from technosphere (energy_carrier)</v>
          </cell>
          <cell r="D2359"/>
          <cell r="E2359" t="str">
            <v>Energy</v>
          </cell>
          <cell r="F2359">
            <v>8.461538462</v>
          </cell>
          <cell r="G2359" t="str">
            <v>GJ</v>
          </cell>
          <cell r="H2359">
            <v>1</v>
          </cell>
          <cell r="I2359" t="str">
            <v>none</v>
          </cell>
          <cell r="J2359" t="str">
            <v>plastics monomer production inventories, from Meng et al. (2023), DOI 10.1073/pnas.2218294120</v>
          </cell>
          <cell r="K2359" t="str">
            <v>Same as pyrolysis oil steam cracking business case</v>
          </cell>
          <cell r="L2359" t="str">
            <v>see log sheet</v>
          </cell>
        </row>
        <row r="2360">
          <cell r="A2360" t="str">
            <v>[Meng] Butadiene production via Pyrolysis oil steam cracking + CCS + by-product upgrade</v>
          </cell>
          <cell r="B2360" t="str">
            <v>electricity</v>
          </cell>
          <cell r="C2360" t="str">
            <v>from technosphere (energy_carrier)</v>
          </cell>
          <cell r="D2360"/>
          <cell r="E2360" t="str">
            <v>Energy</v>
          </cell>
          <cell r="F2360">
            <v>0.46537651800000002</v>
          </cell>
          <cell r="G2360" t="str">
            <v>GJ</v>
          </cell>
          <cell r="H2360">
            <v>1</v>
          </cell>
          <cell r="I2360" t="str">
            <v>none</v>
          </cell>
          <cell r="J2360" t="str">
            <v>plastics monomer production inventories, from Meng et al. (2023), DOI 10.1073/pnas.2218294120</v>
          </cell>
          <cell r="K2360" t="str">
            <v>Same as pyrolysis oil steam cracking business case</v>
          </cell>
          <cell r="L2360" t="str">
            <v>see log sheet</v>
          </cell>
        </row>
        <row r="2361">
          <cell r="A2361" t="str">
            <v>[Meng] Butadiene production via Pyrolysis oil steam cracking + CCS + by-product upgrade</v>
          </cell>
          <cell r="B2361" t="str">
            <v>electricity</v>
          </cell>
          <cell r="C2361" t="str">
            <v>from technosphere (energy_carrier)</v>
          </cell>
          <cell r="D2361"/>
          <cell r="E2361" t="str">
            <v>Energy</v>
          </cell>
          <cell r="F2361">
            <v>1.0253441299999999</v>
          </cell>
          <cell r="G2361" t="str">
            <v>GJ</v>
          </cell>
          <cell r="H2361">
            <v>1</v>
          </cell>
          <cell r="I2361" t="str">
            <v>none</v>
          </cell>
          <cell r="J2361" t="str">
            <v>plastics monomer production inventories, from Meng et al. (2023), DOI 10.1073/pnas.2218294120</v>
          </cell>
          <cell r="K2361" t="str">
            <v>Same as pyrolysis oil steam cracking business case</v>
          </cell>
          <cell r="L2361" t="str">
            <v>see log sheet</v>
          </cell>
        </row>
        <row r="2362">
          <cell r="A2362" t="str">
            <v>[Meng] Butadiene production via Pyrolysis oil steam cracking + CCS + by-product upgrade</v>
          </cell>
          <cell r="B2362" t="str">
            <v>electricity</v>
          </cell>
          <cell r="C2362" t="str">
            <v>from technosphere (energy_carrier)</v>
          </cell>
          <cell r="D2362"/>
          <cell r="E2362" t="str">
            <v>Energy</v>
          </cell>
          <cell r="F2362">
            <v>1.363190283</v>
          </cell>
          <cell r="G2362" t="str">
            <v>GJ</v>
          </cell>
          <cell r="H2362">
            <v>1</v>
          </cell>
          <cell r="I2362" t="str">
            <v>none</v>
          </cell>
          <cell r="J2362" t="str">
            <v>plastics monomer production inventories, from Meng et al. (2023), DOI 10.1073/pnas.2218294120</v>
          </cell>
          <cell r="K2362" t="str">
            <v>Same as naphtha steam cracking + CCS + by-product upgrade business case</v>
          </cell>
          <cell r="L2362" t="str">
            <v>see log sheet</v>
          </cell>
        </row>
        <row r="2363">
          <cell r="A2363" t="str">
            <v>[Meng] Butadiene production via Pyrolysis oil steam cracking + CCS + by-product upgrade</v>
          </cell>
          <cell r="B2363" t="str">
            <v>electricity</v>
          </cell>
          <cell r="C2363" t="str">
            <v>from technosphere (energy_carrier)</v>
          </cell>
          <cell r="D2363"/>
          <cell r="E2363" t="str">
            <v>Energy</v>
          </cell>
          <cell r="F2363">
            <v>0.44048583000000002</v>
          </cell>
          <cell r="G2363" t="str">
            <v>GJ</v>
          </cell>
          <cell r="H2363">
            <v>1</v>
          </cell>
          <cell r="I2363" t="str">
            <v>none</v>
          </cell>
          <cell r="J2363" t="str">
            <v>plastics monomer production inventories, from Meng et al. (2023), DOI 10.1073/pnas.2218294120</v>
          </cell>
          <cell r="K2363" t="str">
            <v>Same as naphtha steam cracking + by-product upgrade business case</v>
          </cell>
          <cell r="L2363" t="str">
            <v>see log sheet</v>
          </cell>
        </row>
        <row r="2364">
          <cell r="A2364" t="str">
            <v>[Meng] Butadiene production via Pyrolysis oil steam cracking + CCS + by-product upgrade</v>
          </cell>
          <cell r="B2364" t="str">
            <v>electricity</v>
          </cell>
          <cell r="C2364" t="str">
            <v>from technosphere (energy_carrier)</v>
          </cell>
          <cell r="D2364"/>
          <cell r="E2364" t="str">
            <v>Energy</v>
          </cell>
          <cell r="F2364">
            <v>3.2571428569999998</v>
          </cell>
          <cell r="G2364" t="str">
            <v>GJ</v>
          </cell>
          <cell r="H2364">
            <v>1</v>
          </cell>
          <cell r="I2364" t="str">
            <v>none</v>
          </cell>
          <cell r="J2364" t="str">
            <v>plastics monomer production inventories, from Meng et al. (2023), DOI 10.1073/pnas.2218294120</v>
          </cell>
          <cell r="K2364" t="str">
            <v>57 USD/tonne utilities cost, assume averaged global electricity price of 17.5 USD/GJ</v>
          </cell>
          <cell r="L2364" t="str">
            <v>see log sheet</v>
          </cell>
        </row>
        <row r="2365">
          <cell r="A2365" t="str">
            <v>[Meng] Butadiene production via Pyrolysis oil steam cracking + CCS + by-product upgrade</v>
          </cell>
          <cell r="B2365" t="str">
            <v>electricity</v>
          </cell>
          <cell r="C2365" t="str">
            <v>from technosphere (energy_carrier)</v>
          </cell>
          <cell r="D2365"/>
          <cell r="E2365" t="str">
            <v>Energy</v>
          </cell>
          <cell r="F2365">
            <v>6.5515396179999996</v>
          </cell>
          <cell r="G2365" t="str">
            <v>GJ</v>
          </cell>
          <cell r="H2365">
            <v>1</v>
          </cell>
          <cell r="I2365" t="str">
            <v>none</v>
          </cell>
          <cell r="J2365" t="str">
            <v>plastics monomer production inventories, from Meng et al. (2023), DOI 10.1073/pnas.2218294120</v>
          </cell>
          <cell r="K2365"/>
          <cell r="L2365" t="str">
            <v>see log sheet</v>
          </cell>
        </row>
        <row r="2366">
          <cell r="A2366" t="str">
            <v>[Meng] Butadiene production via Pyrolysis oil steam cracking + CCS + by-product upgrade</v>
          </cell>
          <cell r="B2366" t="str">
            <v>carbon dioxide</v>
          </cell>
          <cell r="C2366" t="str">
            <v>to environment (emission, direct)</v>
          </cell>
          <cell r="D2366"/>
          <cell r="E2366" t="str">
            <v>Mass</v>
          </cell>
          <cell r="F2366">
            <v>2.8346153999999998E-2</v>
          </cell>
          <cell r="G2366" t="str">
            <v>tonne</v>
          </cell>
          <cell r="H2366">
            <v>1</v>
          </cell>
          <cell r="I2366" t="str">
            <v>none</v>
          </cell>
          <cell r="J2366" t="str">
            <v>adding direct emissions to plastics monomer production inventories, from Meng et al. (2023), DOI 10.1073/pnas.2218294120</v>
          </cell>
          <cell r="K2366" t="str">
            <v>only off-gas-based emissions, assume same carbon content per energy as for natural gas (off-gas has both H2 and olefin (Ethane, butane) content, assume they roughly cancel out in rel. to CO2 per MJ.</v>
          </cell>
          <cell r="L2366" t="str">
            <v>see log sheet</v>
          </cell>
        </row>
        <row r="2367">
          <cell r="A2367" t="str">
            <v>[Meng] Butadiene production via Bio-oils steam cracking + by-product upgrade</v>
          </cell>
          <cell r="B2367" t="str">
            <v>butadiene</v>
          </cell>
          <cell r="C2367" t="str">
            <v>reference_product</v>
          </cell>
          <cell r="D2367">
            <v>271114</v>
          </cell>
          <cell r="E2367" t="str">
            <v>Mass</v>
          </cell>
          <cell r="F2367">
            <v>1</v>
          </cell>
          <cell r="G2367" t="str">
            <v>tonne</v>
          </cell>
          <cell r="H2367">
            <v>1</v>
          </cell>
          <cell r="I2367" t="str">
            <v>none</v>
          </cell>
          <cell r="J2367"/>
          <cell r="K2367"/>
          <cell r="L2367"/>
        </row>
        <row r="2368">
          <cell r="A2368" t="str">
            <v>[Meng] Butadiene production via Bio-oils steam cracking + by-product upgrade</v>
          </cell>
          <cell r="B2368" t="str">
            <v>bio-oils</v>
          </cell>
          <cell r="C2368" t="str">
            <v>from technosphere (material)</v>
          </cell>
          <cell r="D2368"/>
          <cell r="E2368" t="str">
            <v>Mass</v>
          </cell>
          <cell r="F2368">
            <v>1.5870445339999999</v>
          </cell>
          <cell r="G2368" t="str">
            <v>tonne</v>
          </cell>
          <cell r="H2368">
            <v>1</v>
          </cell>
          <cell r="I2368" t="str">
            <v>none</v>
          </cell>
          <cell r="J2368" t="str">
            <v>plastics monomer production inventories, from Meng et al. (2023), DOI 10.1073/pnas.2218294120</v>
          </cell>
          <cell r="K2368"/>
          <cell r="L2368" t="str">
            <v>see log sheet</v>
          </cell>
        </row>
        <row r="2369">
          <cell r="A2369" t="str">
            <v>[Meng] Butadiene production via Bio-oils steam cracking + by-product upgrade</v>
          </cell>
          <cell r="B2369" t="str">
            <v>oxygen</v>
          </cell>
          <cell r="C2369" t="str">
            <v>from technosphere (material)</v>
          </cell>
          <cell r="D2369"/>
          <cell r="E2369" t="str">
            <v>Mass</v>
          </cell>
          <cell r="F2369">
            <v>6.4777327999999995E-2</v>
          </cell>
          <cell r="G2369" t="str">
            <v>tonne</v>
          </cell>
          <cell r="H2369">
            <v>1</v>
          </cell>
          <cell r="I2369" t="str">
            <v>none</v>
          </cell>
          <cell r="J2369" t="str">
            <v>plastics monomer production inventories, from Meng et al. (2023), DOI 10.1073/pnas.2218294120</v>
          </cell>
          <cell r="K2369"/>
          <cell r="L2369" t="str">
            <v>see log sheet</v>
          </cell>
        </row>
        <row r="2370">
          <cell r="A2370" t="str">
            <v>[Meng] Butadiene production via Bio-oils steam cracking + by-product upgrade</v>
          </cell>
          <cell r="B2370" t="str">
            <v>electricity</v>
          </cell>
          <cell r="C2370" t="str">
            <v>from technosphere (energy_carrier)</v>
          </cell>
          <cell r="D2370"/>
          <cell r="E2370" t="str">
            <v>Energy</v>
          </cell>
          <cell r="F2370">
            <v>1.0253441299999999</v>
          </cell>
          <cell r="G2370" t="str">
            <v>GJ</v>
          </cell>
          <cell r="H2370">
            <v>1</v>
          </cell>
          <cell r="I2370" t="str">
            <v>none</v>
          </cell>
          <cell r="J2370" t="str">
            <v>plastics monomer production inventories, from Meng et al. (2023), DOI 10.1073/pnas.2218294120</v>
          </cell>
          <cell r="K2370"/>
          <cell r="L2370" t="str">
            <v>see log sheet</v>
          </cell>
        </row>
        <row r="2371">
          <cell r="A2371" t="str">
            <v>[Meng] Butadiene production via Bio-oils steam cracking + by-product upgrade</v>
          </cell>
          <cell r="B2371" t="str">
            <v>electricity</v>
          </cell>
          <cell r="C2371" t="str">
            <v>from technosphere (energy_carrier)</v>
          </cell>
          <cell r="D2371"/>
          <cell r="E2371" t="str">
            <v>Energy</v>
          </cell>
          <cell r="F2371">
            <v>0.44048583000000002</v>
          </cell>
          <cell r="G2371" t="str">
            <v>GJ</v>
          </cell>
          <cell r="H2371">
            <v>1</v>
          </cell>
          <cell r="I2371" t="str">
            <v>none</v>
          </cell>
          <cell r="J2371" t="str">
            <v>plastics monomer production inventories, from Meng et al. (2023), DOI 10.1073/pnas.2218294120</v>
          </cell>
          <cell r="K2371"/>
          <cell r="L2371" t="str">
            <v>see log sheet</v>
          </cell>
        </row>
        <row r="2372">
          <cell r="A2372" t="str">
            <v>[Meng] Butadiene production via Bio-oils steam cracking + by-product upgrade</v>
          </cell>
          <cell r="B2372" t="str">
            <v>electricity</v>
          </cell>
          <cell r="C2372" t="str">
            <v>from technosphere (energy_carrier)</v>
          </cell>
          <cell r="D2372"/>
          <cell r="E2372" t="str">
            <v>Energy</v>
          </cell>
          <cell r="F2372">
            <v>3.2571428569999998</v>
          </cell>
          <cell r="G2372" t="str">
            <v>GJ</v>
          </cell>
          <cell r="H2372">
            <v>1</v>
          </cell>
          <cell r="I2372" t="str">
            <v>none</v>
          </cell>
          <cell r="J2372" t="str">
            <v>plastics monomer production inventories, from Meng et al. (2023), DOI 10.1073/pnas.2218294120</v>
          </cell>
          <cell r="K2372" t="str">
            <v>57 USD/tonne utilities cost, assume averaged global electricity price of 17.5 USD/GJ</v>
          </cell>
          <cell r="L2372" t="str">
            <v>see log sheet</v>
          </cell>
        </row>
        <row r="2373">
          <cell r="A2373" t="str">
            <v>[Meng] Butadiene production via Bio-oils steam cracking + by-product upgrade</v>
          </cell>
          <cell r="B2373" t="str">
            <v>electricity</v>
          </cell>
          <cell r="C2373" t="str">
            <v>from technosphere (energy_carrier)</v>
          </cell>
          <cell r="D2373"/>
          <cell r="E2373" t="str">
            <v>Energy</v>
          </cell>
          <cell r="F2373">
            <v>4.7229728169999996</v>
          </cell>
          <cell r="G2373" t="str">
            <v>GJ</v>
          </cell>
          <cell r="H2373">
            <v>1</v>
          </cell>
          <cell r="I2373" t="str">
            <v>none</v>
          </cell>
          <cell r="J2373" t="str">
            <v>plastics monomer production inventories, from Meng et al. (2023), DOI 10.1073/pnas.2218294120</v>
          </cell>
          <cell r="K2373"/>
          <cell r="L2373" t="str">
            <v>see log sheet</v>
          </cell>
        </row>
        <row r="2374">
          <cell r="A2374" t="str">
            <v>[Meng] Butadiene production via Pyrolysis oil H2 steam cracking + by-product upgrade</v>
          </cell>
          <cell r="B2374" t="str">
            <v>butadiene</v>
          </cell>
          <cell r="C2374" t="str">
            <v>reference_product</v>
          </cell>
          <cell r="D2374">
            <v>271114</v>
          </cell>
          <cell r="E2374" t="str">
            <v>Mass</v>
          </cell>
          <cell r="F2374">
            <v>1</v>
          </cell>
          <cell r="G2374" t="str">
            <v>tonne</v>
          </cell>
          <cell r="H2374">
            <v>1</v>
          </cell>
          <cell r="I2374" t="str">
            <v>none</v>
          </cell>
          <cell r="J2374"/>
          <cell r="K2374"/>
          <cell r="L2374"/>
        </row>
        <row r="2375">
          <cell r="A2375" t="str">
            <v>[Meng] Butadiene production via Pyrolysis oil H2 steam cracking + by-product upgrade</v>
          </cell>
          <cell r="B2375" t="str">
            <v>waste polymer</v>
          </cell>
          <cell r="C2375" t="str">
            <v>from technosphere (material)</v>
          </cell>
          <cell r="D2375"/>
          <cell r="E2375" t="str">
            <v>Mass</v>
          </cell>
          <cell r="F2375">
            <v>1.3220141700000001</v>
          </cell>
          <cell r="G2375" t="str">
            <v>tonne</v>
          </cell>
          <cell r="H2375">
            <v>1</v>
          </cell>
          <cell r="I2375" t="str">
            <v>none</v>
          </cell>
          <cell r="J2375" t="str">
            <v>plastics monomer production inventories, from Meng et al. (2023), DOI 10.1073/pnas.2218294120</v>
          </cell>
          <cell r="K2375" t="str">
            <v>Same as pyrolysis oil steam cracking business case</v>
          </cell>
          <cell r="L2375" t="str">
            <v>see log sheet</v>
          </cell>
        </row>
        <row r="2376">
          <cell r="A2376" t="str">
            <v>[Meng] Butadiene production via Pyrolysis oil H2 steam cracking + by-product upgrade</v>
          </cell>
          <cell r="B2376" t="str">
            <v>pyrolysis oil</v>
          </cell>
          <cell r="C2376" t="str">
            <v>from technosphere (material)</v>
          </cell>
          <cell r="D2376"/>
          <cell r="E2376" t="str">
            <v>Mass</v>
          </cell>
          <cell r="F2376">
            <v>1.0576113359999999</v>
          </cell>
          <cell r="G2376" t="str">
            <v>tonne</v>
          </cell>
          <cell r="H2376">
            <v>1</v>
          </cell>
          <cell r="I2376" t="str">
            <v>none</v>
          </cell>
          <cell r="J2376" t="str">
            <v>plastics monomer production inventories, from Meng et al. (2023), DOI 10.1073/pnas.2218294120</v>
          </cell>
          <cell r="K2376" t="str">
            <v>Same as pyrolysis oil steam cracking business case</v>
          </cell>
          <cell r="L2376" t="str">
            <v>see log sheet</v>
          </cell>
        </row>
        <row r="2377">
          <cell r="A2377" t="str">
            <v>[Meng] Butadiene production via Pyrolysis oil H2 steam cracking + by-product upgrade</v>
          </cell>
          <cell r="B2377" t="str">
            <v>oxygen</v>
          </cell>
          <cell r="C2377" t="str">
            <v>from technosphere (material)</v>
          </cell>
          <cell r="D2377"/>
          <cell r="E2377" t="str">
            <v>Mass</v>
          </cell>
          <cell r="F2377">
            <v>6.4777327999999995E-2</v>
          </cell>
          <cell r="G2377" t="str">
            <v>tonne</v>
          </cell>
          <cell r="H2377">
            <v>1</v>
          </cell>
          <cell r="I2377" t="str">
            <v>none</v>
          </cell>
          <cell r="J2377" t="str">
            <v>plastics monomer production inventories, from Meng et al. (2023), DOI 10.1073/pnas.2218294120</v>
          </cell>
          <cell r="K2377" t="str">
            <v>Same as naphtha steam cracking + by-product upgrade business case</v>
          </cell>
          <cell r="L2377" t="str">
            <v>see log sheet</v>
          </cell>
        </row>
        <row r="2378">
          <cell r="A2378" t="str">
            <v>[Meng] Butadiene production via Pyrolysis oil H2 steam cracking + by-product upgrade</v>
          </cell>
          <cell r="B2378" t="str">
            <v>hydrogen</v>
          </cell>
          <cell r="C2378" t="str">
            <v>from technosphere (energy_carrier)</v>
          </cell>
          <cell r="D2378"/>
          <cell r="E2378" t="str">
            <v>Energy</v>
          </cell>
          <cell r="F2378">
            <v>6.4736842000000003E-2</v>
          </cell>
          <cell r="G2378" t="str">
            <v>tonne</v>
          </cell>
          <cell r="H2378">
            <v>1</v>
          </cell>
          <cell r="I2378" t="str">
            <v>none</v>
          </cell>
          <cell r="J2378" t="str">
            <v>plastics monomer production inventories, from Meng et al. (2023), DOI 10.1073/pnas.2218294120</v>
          </cell>
          <cell r="K2378" t="str">
            <v>Same as naphtha H2 steam cracking business case</v>
          </cell>
          <cell r="L2378" t="str">
            <v>see log sheet</v>
          </cell>
        </row>
        <row r="2379">
          <cell r="A2379" t="str">
            <v>[Meng] Butadiene production via Pyrolysis oil H2 steam cracking + by-product upgrade</v>
          </cell>
          <cell r="B2379" t="str">
            <v>electricity</v>
          </cell>
          <cell r="C2379" t="str">
            <v>from technosphere (energy_carrier)</v>
          </cell>
          <cell r="D2379"/>
          <cell r="E2379" t="str">
            <v>Energy</v>
          </cell>
          <cell r="F2379">
            <v>0.46537651800000002</v>
          </cell>
          <cell r="G2379" t="str">
            <v>GJ</v>
          </cell>
          <cell r="H2379">
            <v>1</v>
          </cell>
          <cell r="I2379" t="str">
            <v>none</v>
          </cell>
          <cell r="J2379" t="str">
            <v>plastics monomer production inventories, from Meng et al. (2023), DOI 10.1073/pnas.2218294120</v>
          </cell>
          <cell r="K2379" t="str">
            <v>Same as pyrolysis oil steam cracking business case</v>
          </cell>
          <cell r="L2379" t="str">
            <v>see log sheet</v>
          </cell>
        </row>
        <row r="2380">
          <cell r="A2380" t="str">
            <v>[Meng] Butadiene production via Pyrolysis oil H2 steam cracking + by-product upgrade</v>
          </cell>
          <cell r="B2380" t="str">
            <v>electricity</v>
          </cell>
          <cell r="C2380" t="str">
            <v>from technosphere (energy_carrier)</v>
          </cell>
          <cell r="D2380"/>
          <cell r="E2380" t="str">
            <v>Energy</v>
          </cell>
          <cell r="F2380">
            <v>1.0253441299999999</v>
          </cell>
          <cell r="G2380" t="str">
            <v>GJ</v>
          </cell>
          <cell r="H2380">
            <v>1</v>
          </cell>
          <cell r="I2380" t="str">
            <v>none</v>
          </cell>
          <cell r="J2380" t="str">
            <v>plastics monomer production inventories, from Meng et al. (2023), DOI 10.1073/pnas.2218294120</v>
          </cell>
          <cell r="K2380" t="str">
            <v>Same as pyrolysis oil steam cracking business case</v>
          </cell>
          <cell r="L2380" t="str">
            <v>see log sheet</v>
          </cell>
        </row>
        <row r="2381">
          <cell r="A2381" t="str">
            <v>[Meng] Butadiene production via Pyrolysis oil H2 steam cracking + by-product upgrade</v>
          </cell>
          <cell r="B2381" t="str">
            <v>electricity</v>
          </cell>
          <cell r="C2381" t="str">
            <v>from technosphere (energy_carrier)</v>
          </cell>
          <cell r="D2381"/>
          <cell r="E2381" t="str">
            <v>Energy</v>
          </cell>
          <cell r="F2381">
            <v>1.5591093119999999</v>
          </cell>
          <cell r="G2381" t="str">
            <v>GJ</v>
          </cell>
          <cell r="H2381">
            <v>1</v>
          </cell>
          <cell r="I2381" t="str">
            <v>none</v>
          </cell>
          <cell r="J2381" t="str">
            <v>plastics monomer production inventories, from Meng et al. (2023), DOI 10.1073/pnas.2218294120</v>
          </cell>
          <cell r="K2381" t="str">
            <v>Same as naphtha steam cracking + by-product upgrade business case</v>
          </cell>
          <cell r="L2381" t="str">
            <v>see log sheet</v>
          </cell>
        </row>
        <row r="2382">
          <cell r="A2382" t="str">
            <v>[Meng] Butadiene production via Pyrolysis oil H2 steam cracking + by-product upgrade</v>
          </cell>
          <cell r="B2382" t="str">
            <v>electricity</v>
          </cell>
          <cell r="C2382" t="str">
            <v>from technosphere (energy_carrier)</v>
          </cell>
          <cell r="D2382"/>
          <cell r="E2382" t="str">
            <v>Energy</v>
          </cell>
          <cell r="F2382">
            <v>3.2571428569999998</v>
          </cell>
          <cell r="G2382" t="str">
            <v>GJ</v>
          </cell>
          <cell r="H2382">
            <v>1</v>
          </cell>
          <cell r="I2382" t="str">
            <v>none</v>
          </cell>
          <cell r="J2382" t="str">
            <v>plastics monomer production inventories, from Meng et al. (2023), DOI 10.1073/pnas.2218294120</v>
          </cell>
          <cell r="K2382" t="str">
            <v>57 USD/tonne utilities cost, assume averaged global electricity price of 17.5 USD/GJ</v>
          </cell>
          <cell r="L2382" t="str">
            <v>see log sheet</v>
          </cell>
        </row>
        <row r="2383">
          <cell r="A2383" t="str">
            <v>[Meng] Butadiene production via Pyrolysis oil H2 steam cracking + by-product upgrade</v>
          </cell>
          <cell r="B2383" t="str">
            <v>electricity</v>
          </cell>
          <cell r="C2383" t="str">
            <v>from technosphere (energy_carrier)</v>
          </cell>
          <cell r="D2383"/>
          <cell r="E2383" t="str">
            <v>Energy</v>
          </cell>
          <cell r="F2383">
            <v>6.3069728170000001</v>
          </cell>
          <cell r="G2383" t="str">
            <v>GJ</v>
          </cell>
          <cell r="H2383">
            <v>1</v>
          </cell>
          <cell r="I2383" t="str">
            <v>none</v>
          </cell>
          <cell r="J2383" t="str">
            <v>plastics monomer production inventories, from Meng et al. (2023), DOI 10.1073/pnas.2218294120</v>
          </cell>
          <cell r="K2383"/>
          <cell r="L2383" t="str">
            <v>see log sheet</v>
          </cell>
        </row>
        <row r="2384">
          <cell r="A2384" t="str">
            <v>[Meng] Butadiene production via Bio-oils H2 steam cracking + by-product upgrade</v>
          </cell>
          <cell r="B2384" t="str">
            <v>butadiene</v>
          </cell>
          <cell r="C2384" t="str">
            <v>reference_product</v>
          </cell>
          <cell r="D2384">
            <v>271114</v>
          </cell>
          <cell r="E2384" t="str">
            <v>Mass</v>
          </cell>
          <cell r="F2384">
            <v>1</v>
          </cell>
          <cell r="G2384" t="str">
            <v>tonne</v>
          </cell>
          <cell r="H2384">
            <v>1</v>
          </cell>
          <cell r="I2384" t="str">
            <v>none</v>
          </cell>
          <cell r="J2384"/>
          <cell r="K2384"/>
          <cell r="L2384"/>
        </row>
        <row r="2385">
          <cell r="A2385" t="str">
            <v>[Meng] Butadiene production via Bio-oils H2 steam cracking + by-product upgrade</v>
          </cell>
          <cell r="B2385" t="str">
            <v>bio-oils</v>
          </cell>
          <cell r="C2385" t="str">
            <v>from technosphere (material)</v>
          </cell>
          <cell r="D2385"/>
          <cell r="E2385" t="str">
            <v>Mass</v>
          </cell>
          <cell r="F2385">
            <v>1.5870445339999999</v>
          </cell>
          <cell r="G2385" t="str">
            <v>tonne</v>
          </cell>
          <cell r="H2385">
            <v>1</v>
          </cell>
          <cell r="I2385" t="str">
            <v>none</v>
          </cell>
          <cell r="J2385" t="str">
            <v>plastics monomer production inventories, from Meng et al. (2023), DOI 10.1073/pnas.2218294120</v>
          </cell>
          <cell r="K2385"/>
          <cell r="L2385" t="str">
            <v>see log sheet</v>
          </cell>
        </row>
        <row r="2386">
          <cell r="A2386" t="str">
            <v>[Meng] Butadiene production via Bio-oils H2 steam cracking + by-product upgrade</v>
          </cell>
          <cell r="B2386" t="str">
            <v>oxygen</v>
          </cell>
          <cell r="C2386" t="str">
            <v>from technosphere (material)</v>
          </cell>
          <cell r="D2386"/>
          <cell r="E2386" t="str">
            <v>Mass</v>
          </cell>
          <cell r="F2386">
            <v>6.4777327999999995E-2</v>
          </cell>
          <cell r="G2386" t="str">
            <v>tonne</v>
          </cell>
          <cell r="H2386">
            <v>1</v>
          </cell>
          <cell r="I2386" t="str">
            <v>none</v>
          </cell>
          <cell r="J2386" t="str">
            <v>plastics monomer production inventories, from Meng et al. (2023), DOI 10.1073/pnas.2218294120</v>
          </cell>
          <cell r="K2386"/>
          <cell r="L2386" t="str">
            <v>see log sheet</v>
          </cell>
        </row>
        <row r="2387">
          <cell r="A2387" t="str">
            <v>[Meng] Butadiene production via Bio-oils H2 steam cracking + by-product upgrade</v>
          </cell>
          <cell r="B2387" t="str">
            <v>hydrogen</v>
          </cell>
          <cell r="C2387" t="str">
            <v>from technosphere (energy_carrier)</v>
          </cell>
          <cell r="D2387"/>
          <cell r="E2387" t="str">
            <v>Energy</v>
          </cell>
          <cell r="F2387">
            <v>6.4736842000000003E-2</v>
          </cell>
          <cell r="G2387" t="str">
            <v>tonne</v>
          </cell>
          <cell r="H2387">
            <v>1</v>
          </cell>
          <cell r="I2387" t="str">
            <v>none</v>
          </cell>
          <cell r="J2387" t="str">
            <v>plastics monomer production inventories, from Meng et al. (2023), DOI 10.1073/pnas.2218294120</v>
          </cell>
          <cell r="K2387"/>
          <cell r="L2387" t="str">
            <v>see log sheet</v>
          </cell>
        </row>
        <row r="2388">
          <cell r="A2388" t="str">
            <v>[Meng] Butadiene production via Bio-oils H2 steam cracking + by-product upgrade</v>
          </cell>
          <cell r="B2388" t="str">
            <v>electricity</v>
          </cell>
          <cell r="C2388" t="str">
            <v>from technosphere (energy_carrier)</v>
          </cell>
          <cell r="D2388"/>
          <cell r="E2388" t="str">
            <v>Energy</v>
          </cell>
          <cell r="F2388">
            <v>1.0253441299999999</v>
          </cell>
          <cell r="G2388" t="str">
            <v>GJ</v>
          </cell>
          <cell r="H2388">
            <v>1</v>
          </cell>
          <cell r="I2388" t="str">
            <v>none</v>
          </cell>
          <cell r="J2388" t="str">
            <v>plastics monomer production inventories, from Meng et al. (2023), DOI 10.1073/pnas.2218294120</v>
          </cell>
          <cell r="K2388"/>
          <cell r="L2388" t="str">
            <v>see log sheet</v>
          </cell>
        </row>
        <row r="2389">
          <cell r="A2389" t="str">
            <v>[Meng] Butadiene production via Bio-oils H2 steam cracking + by-product upgrade</v>
          </cell>
          <cell r="B2389" t="str">
            <v>electricity</v>
          </cell>
          <cell r="C2389" t="str">
            <v>from technosphere (energy_carrier)</v>
          </cell>
          <cell r="D2389"/>
          <cell r="E2389" t="str">
            <v>Energy</v>
          </cell>
          <cell r="F2389">
            <v>1.5591093119999999</v>
          </cell>
          <cell r="G2389" t="str">
            <v>GJ</v>
          </cell>
          <cell r="H2389">
            <v>1</v>
          </cell>
          <cell r="I2389" t="str">
            <v>none</v>
          </cell>
          <cell r="J2389" t="str">
            <v>plastics monomer production inventories, from Meng et al. (2023), DOI 10.1073/pnas.2218294120</v>
          </cell>
          <cell r="K2389"/>
          <cell r="L2389" t="str">
            <v>see log sheet</v>
          </cell>
        </row>
        <row r="2390">
          <cell r="A2390" t="str">
            <v>[Meng] Butadiene production via Bio-oils H2 steam cracking + by-product upgrade</v>
          </cell>
          <cell r="B2390" t="str">
            <v>electricity</v>
          </cell>
          <cell r="C2390" t="str">
            <v>from technosphere (energy_carrier)</v>
          </cell>
          <cell r="D2390"/>
          <cell r="E2390" t="str">
            <v>Energy</v>
          </cell>
          <cell r="F2390">
            <v>3.2571428569999998</v>
          </cell>
          <cell r="G2390" t="str">
            <v>GJ</v>
          </cell>
          <cell r="H2390">
            <v>1</v>
          </cell>
          <cell r="I2390" t="str">
            <v>none</v>
          </cell>
          <cell r="J2390" t="str">
            <v>plastics monomer production inventories, from Meng et al. (2023), DOI 10.1073/pnas.2218294120</v>
          </cell>
          <cell r="K2390" t="str">
            <v>57 USD/tonne utilities cost, assume averaged global electricity price of 17.5 USD/GJ</v>
          </cell>
          <cell r="L2390" t="str">
            <v>see log sheet</v>
          </cell>
        </row>
        <row r="2391">
          <cell r="A2391" t="str">
            <v>[Meng] Butadiene production via Bio-oils H2 steam cracking + by-product upgrade</v>
          </cell>
          <cell r="B2391" t="str">
            <v>electricity</v>
          </cell>
          <cell r="C2391" t="str">
            <v>from technosphere (energy_carrier)</v>
          </cell>
          <cell r="D2391"/>
          <cell r="E2391" t="str">
            <v>Energy</v>
          </cell>
          <cell r="F2391">
            <v>5.8415962979999998</v>
          </cell>
          <cell r="G2391" t="str">
            <v>GJ</v>
          </cell>
          <cell r="H2391">
            <v>1</v>
          </cell>
          <cell r="I2391" t="str">
            <v>none</v>
          </cell>
          <cell r="J2391" t="str">
            <v>plastics monomer production inventories, from Meng et al. (2023), DOI 10.1073/pnas.2218294120</v>
          </cell>
          <cell r="K2391"/>
          <cell r="L2391" t="str">
            <v>see log sheet</v>
          </cell>
        </row>
        <row r="2392">
          <cell r="A2392" t="str">
            <v>[Meng] Butadiene production via Pyrolysis oil H2 steam cracking + CCS + by-product upgrade</v>
          </cell>
          <cell r="B2392" t="str">
            <v>butadiene</v>
          </cell>
          <cell r="C2392" t="str">
            <v>reference_product</v>
          </cell>
          <cell r="D2392">
            <v>271114</v>
          </cell>
          <cell r="E2392" t="str">
            <v>Mass</v>
          </cell>
          <cell r="F2392">
            <v>1</v>
          </cell>
          <cell r="G2392" t="str">
            <v>tonne</v>
          </cell>
          <cell r="H2392">
            <v>1</v>
          </cell>
          <cell r="I2392" t="str">
            <v>none</v>
          </cell>
          <cell r="J2392"/>
          <cell r="K2392"/>
          <cell r="L2392"/>
        </row>
        <row r="2393">
          <cell r="A2393" t="str">
            <v>[Meng] Butadiene production via Pyrolysis oil H2 steam cracking + CCS + by-product upgrade</v>
          </cell>
          <cell r="B2393" t="str">
            <v>waste polymer</v>
          </cell>
          <cell r="C2393" t="str">
            <v>from technosphere (material)</v>
          </cell>
          <cell r="D2393"/>
          <cell r="E2393" t="str">
            <v>Mass</v>
          </cell>
          <cell r="F2393">
            <v>1.3220141700000001</v>
          </cell>
          <cell r="G2393" t="str">
            <v>tonne</v>
          </cell>
          <cell r="H2393">
            <v>1</v>
          </cell>
          <cell r="I2393" t="str">
            <v>none</v>
          </cell>
          <cell r="J2393" t="str">
            <v>plastics monomer production inventories, from Meng et al. (2023), DOI 10.1073/pnas.2218294120</v>
          </cell>
          <cell r="K2393"/>
          <cell r="L2393" t="str">
            <v>see log sheet</v>
          </cell>
        </row>
        <row r="2394">
          <cell r="A2394" t="str">
            <v>[Meng] Butadiene production via Pyrolysis oil H2 steam cracking + CCS + by-product upgrade</v>
          </cell>
          <cell r="B2394" t="str">
            <v>pyrolysis oil</v>
          </cell>
          <cell r="C2394" t="str">
            <v>from technosphere (material)</v>
          </cell>
          <cell r="D2394"/>
          <cell r="E2394" t="str">
            <v>Mass</v>
          </cell>
          <cell r="F2394">
            <v>1.0576113359999999</v>
          </cell>
          <cell r="G2394" t="str">
            <v>tonne</v>
          </cell>
          <cell r="H2394">
            <v>1</v>
          </cell>
          <cell r="I2394" t="str">
            <v>none</v>
          </cell>
          <cell r="J2394" t="str">
            <v>plastics monomer production inventories, from Meng et al. (2023), DOI 10.1073/pnas.2218294120</v>
          </cell>
          <cell r="K2394"/>
          <cell r="L2394" t="str">
            <v>see log sheet</v>
          </cell>
        </row>
        <row r="2395">
          <cell r="A2395" t="str">
            <v>[Meng] Butadiene production via Pyrolysis oil H2 steam cracking + CCS + by-product upgrade</v>
          </cell>
          <cell r="B2395" t="str">
            <v>oxygen</v>
          </cell>
          <cell r="C2395" t="str">
            <v>from technosphere (material)</v>
          </cell>
          <cell r="D2395"/>
          <cell r="E2395" t="str">
            <v>Mass</v>
          </cell>
          <cell r="F2395">
            <v>6.4777327999999995E-2</v>
          </cell>
          <cell r="G2395" t="str">
            <v>tonne</v>
          </cell>
          <cell r="H2395">
            <v>1</v>
          </cell>
          <cell r="I2395" t="str">
            <v>none</v>
          </cell>
          <cell r="J2395" t="str">
            <v>plastics monomer production inventories, from Meng et al. (2023), DOI 10.1073/pnas.2218294120</v>
          </cell>
          <cell r="K2395"/>
          <cell r="L2395" t="str">
            <v>see log sheet</v>
          </cell>
        </row>
        <row r="2396">
          <cell r="A2396" t="str">
            <v>[Meng] Butadiene production via Pyrolysis oil H2 steam cracking + CCS + by-product upgrade</v>
          </cell>
          <cell r="B2396" t="str">
            <v>hydrogen</v>
          </cell>
          <cell r="C2396" t="str">
            <v>from technosphere (energy_carrier)</v>
          </cell>
          <cell r="D2396"/>
          <cell r="E2396" t="str">
            <v>Energy</v>
          </cell>
          <cell r="F2396">
            <v>6.4736842000000003E-2</v>
          </cell>
          <cell r="G2396" t="str">
            <v>tonne</v>
          </cell>
          <cell r="H2396">
            <v>1</v>
          </cell>
          <cell r="I2396" t="str">
            <v>none</v>
          </cell>
          <cell r="J2396" t="str">
            <v>plastics monomer production inventories, from Meng et al. (2023), DOI 10.1073/pnas.2218294120</v>
          </cell>
          <cell r="K2396"/>
          <cell r="L2396" t="str">
            <v>see log sheet</v>
          </cell>
        </row>
        <row r="2397">
          <cell r="A2397" t="str">
            <v>[Meng] Butadiene production via Pyrolysis oil H2 steam cracking + CCS + by-product upgrade</v>
          </cell>
          <cell r="B2397" t="str">
            <v>electricity</v>
          </cell>
          <cell r="C2397" t="str">
            <v>from technosphere (energy_carrier)</v>
          </cell>
          <cell r="D2397"/>
          <cell r="E2397" t="str">
            <v>Energy</v>
          </cell>
          <cell r="F2397">
            <v>0.46537651800000002</v>
          </cell>
          <cell r="G2397" t="str">
            <v>GJ</v>
          </cell>
          <cell r="H2397">
            <v>1</v>
          </cell>
          <cell r="I2397" t="str">
            <v>none</v>
          </cell>
          <cell r="J2397" t="str">
            <v>plastics monomer production inventories, from Meng et al. (2023), DOI 10.1073/pnas.2218294120</v>
          </cell>
          <cell r="K2397"/>
          <cell r="L2397" t="str">
            <v>see log sheet</v>
          </cell>
        </row>
        <row r="2398">
          <cell r="A2398" t="str">
            <v>[Meng] Butadiene production via Pyrolysis oil H2 steam cracking + CCS + by-product upgrade</v>
          </cell>
          <cell r="B2398" t="str">
            <v>electricity</v>
          </cell>
          <cell r="C2398" t="str">
            <v>from technosphere (energy_carrier)</v>
          </cell>
          <cell r="D2398"/>
          <cell r="E2398" t="str">
            <v>Energy</v>
          </cell>
          <cell r="F2398">
            <v>1.0253441299999999</v>
          </cell>
          <cell r="G2398" t="str">
            <v>GJ</v>
          </cell>
          <cell r="H2398">
            <v>1</v>
          </cell>
          <cell r="I2398" t="str">
            <v>none</v>
          </cell>
          <cell r="J2398" t="str">
            <v>plastics monomer production inventories, from Meng et al. (2023), DOI 10.1073/pnas.2218294120</v>
          </cell>
          <cell r="K2398"/>
          <cell r="L2398" t="str">
            <v>see log sheet</v>
          </cell>
        </row>
        <row r="2399">
          <cell r="A2399" t="str">
            <v>[Meng] Butadiene production via Pyrolysis oil H2 steam cracking + CCS + by-product upgrade</v>
          </cell>
          <cell r="B2399" t="str">
            <v>electricity</v>
          </cell>
          <cell r="C2399" t="str">
            <v>from technosphere (energy_carrier)</v>
          </cell>
          <cell r="D2399"/>
          <cell r="E2399" t="str">
            <v>Energy</v>
          </cell>
          <cell r="F2399">
            <v>1.5591093119999999</v>
          </cell>
          <cell r="G2399" t="str">
            <v>GJ</v>
          </cell>
          <cell r="H2399">
            <v>1</v>
          </cell>
          <cell r="I2399" t="str">
            <v>none</v>
          </cell>
          <cell r="J2399" t="str">
            <v>plastics monomer production inventories, from Meng et al. (2023), DOI 10.1073/pnas.2218294120</v>
          </cell>
          <cell r="K2399"/>
          <cell r="L2399" t="str">
            <v>see log sheet</v>
          </cell>
        </row>
        <row r="2400">
          <cell r="A2400" t="str">
            <v>[Meng] Butadiene production via Pyrolysis oil H2 steam cracking + CCS + by-product upgrade</v>
          </cell>
          <cell r="B2400" t="str">
            <v>electricity</v>
          </cell>
          <cell r="C2400" t="str">
            <v>from technosphere (energy_carrier)</v>
          </cell>
          <cell r="D2400"/>
          <cell r="E2400" t="str">
            <v>Energy</v>
          </cell>
          <cell r="F2400">
            <v>1.363190283</v>
          </cell>
          <cell r="G2400" t="str">
            <v>GJ</v>
          </cell>
          <cell r="H2400">
            <v>1</v>
          </cell>
          <cell r="I2400" t="str">
            <v>none</v>
          </cell>
          <cell r="J2400" t="str">
            <v>plastics monomer production inventories, from Meng et al. (2023), DOI 10.1073/pnas.2218294120</v>
          </cell>
          <cell r="K2400"/>
          <cell r="L2400" t="str">
            <v>see log sheet</v>
          </cell>
        </row>
        <row r="2401">
          <cell r="A2401" t="str">
            <v>[Meng] Butadiene production via Pyrolysis oil H2 steam cracking + CCS + by-product upgrade</v>
          </cell>
          <cell r="B2401" t="str">
            <v>electricity</v>
          </cell>
          <cell r="C2401" t="str">
            <v>from technosphere (energy_carrier)</v>
          </cell>
          <cell r="D2401"/>
          <cell r="E2401" t="str">
            <v>Energy</v>
          </cell>
          <cell r="F2401">
            <v>3.2571428569999998</v>
          </cell>
          <cell r="G2401" t="str">
            <v>GJ</v>
          </cell>
          <cell r="H2401">
            <v>1</v>
          </cell>
          <cell r="I2401" t="str">
            <v>none</v>
          </cell>
          <cell r="J2401" t="str">
            <v>plastics monomer production inventories, from Meng et al. (2023), DOI 10.1073/pnas.2218294120</v>
          </cell>
          <cell r="K2401" t="str">
            <v>57 USD/tonne utilities cost, assume averaged global electricity price of 17.5 USD/GJ</v>
          </cell>
          <cell r="L2401" t="str">
            <v>see log sheet</v>
          </cell>
        </row>
        <row r="2402">
          <cell r="A2402" t="str">
            <v>[Meng] Butadiene production via Pyrolysis oil H2 steam cracking + CCS + by-product upgrade</v>
          </cell>
          <cell r="B2402" t="str">
            <v>electricity</v>
          </cell>
          <cell r="C2402" t="str">
            <v>from technosphere (energy_carrier)</v>
          </cell>
          <cell r="D2402"/>
          <cell r="E2402" t="str">
            <v>Energy</v>
          </cell>
          <cell r="F2402">
            <v>7.6701630999999999</v>
          </cell>
          <cell r="G2402" t="str">
            <v>GJ</v>
          </cell>
          <cell r="H2402">
            <v>1</v>
          </cell>
          <cell r="I2402" t="str">
            <v>none</v>
          </cell>
          <cell r="J2402" t="str">
            <v>plastics monomer production inventories, from Meng et al. (2023), DOI 10.1073/pnas.2218294120</v>
          </cell>
          <cell r="K2402"/>
          <cell r="L2402" t="str">
            <v>see log sheet</v>
          </cell>
        </row>
        <row r="2403">
          <cell r="A2403" t="str">
            <v>[Meng] Butadiene production via Pyrolysis oil electric steam cracking + by-product upgrade</v>
          </cell>
          <cell r="B2403" t="str">
            <v>butadiene</v>
          </cell>
          <cell r="C2403" t="str">
            <v>reference_product</v>
          </cell>
          <cell r="D2403">
            <v>271114</v>
          </cell>
          <cell r="E2403" t="str">
            <v>Mass</v>
          </cell>
          <cell r="F2403">
            <v>1</v>
          </cell>
          <cell r="G2403" t="str">
            <v>tonne</v>
          </cell>
          <cell r="H2403">
            <v>1</v>
          </cell>
          <cell r="I2403" t="str">
            <v>none</v>
          </cell>
          <cell r="J2403"/>
          <cell r="K2403"/>
          <cell r="L2403"/>
        </row>
        <row r="2404">
          <cell r="A2404" t="str">
            <v>[Meng] Butadiene production via Pyrolysis oil electric steam cracking + by-product upgrade</v>
          </cell>
          <cell r="B2404" t="str">
            <v>waste polymer</v>
          </cell>
          <cell r="C2404" t="str">
            <v>from technosphere (material)</v>
          </cell>
          <cell r="D2404"/>
          <cell r="E2404" t="str">
            <v>Mass</v>
          </cell>
          <cell r="F2404">
            <v>1.3220141700000001</v>
          </cell>
          <cell r="G2404" t="str">
            <v>tonne</v>
          </cell>
          <cell r="H2404">
            <v>1</v>
          </cell>
          <cell r="I2404" t="str">
            <v>none</v>
          </cell>
          <cell r="J2404" t="str">
            <v>plastics monomer production inventories, from Meng et al. (2023), DOI 10.1073/pnas.2218294120</v>
          </cell>
          <cell r="K2404" t="str">
            <v>Same as pyrolysis oil steam cracking business case</v>
          </cell>
          <cell r="L2404" t="str">
            <v>see log sheet</v>
          </cell>
        </row>
        <row r="2405">
          <cell r="A2405" t="str">
            <v>[Meng] Butadiene production via Pyrolysis oil electric steam cracking + by-product upgrade</v>
          </cell>
          <cell r="B2405" t="str">
            <v>pyrolysis oil</v>
          </cell>
          <cell r="C2405" t="str">
            <v>from technosphere (material)</v>
          </cell>
          <cell r="D2405"/>
          <cell r="E2405" t="str">
            <v>Mass</v>
          </cell>
          <cell r="F2405">
            <v>1.0576113359999999</v>
          </cell>
          <cell r="G2405" t="str">
            <v>tonne</v>
          </cell>
          <cell r="H2405">
            <v>1</v>
          </cell>
          <cell r="I2405" t="str">
            <v>none</v>
          </cell>
          <cell r="J2405" t="str">
            <v>plastics monomer production inventories, from Meng et al. (2023), DOI 10.1073/pnas.2218294120</v>
          </cell>
          <cell r="K2405" t="str">
            <v>Same as pyrolysis oil steam cracking business case</v>
          </cell>
          <cell r="L2405" t="str">
            <v>see log sheet</v>
          </cell>
        </row>
        <row r="2406">
          <cell r="A2406" t="str">
            <v>[Meng] Butadiene production via Pyrolysis oil electric steam cracking + by-product upgrade</v>
          </cell>
          <cell r="B2406" t="str">
            <v>oxygen</v>
          </cell>
          <cell r="C2406" t="str">
            <v>from technosphere (material)</v>
          </cell>
          <cell r="D2406"/>
          <cell r="E2406" t="str">
            <v>Mass</v>
          </cell>
          <cell r="F2406">
            <v>6.4777327999999995E-2</v>
          </cell>
          <cell r="G2406" t="str">
            <v>tonne</v>
          </cell>
          <cell r="H2406">
            <v>1</v>
          </cell>
          <cell r="I2406" t="str">
            <v>none</v>
          </cell>
          <cell r="J2406" t="str">
            <v>plastics monomer production inventories, from Meng et al. (2023), DOI 10.1073/pnas.2218294120</v>
          </cell>
          <cell r="K2406" t="str">
            <v>Same as naphtha steam cracking + by-product upgrade business case</v>
          </cell>
          <cell r="L2406" t="str">
            <v>see log sheet</v>
          </cell>
        </row>
        <row r="2407">
          <cell r="A2407" t="str">
            <v>[Meng] Butadiene production via Pyrolysis oil electric steam cracking + by-product upgrade</v>
          </cell>
          <cell r="B2407" t="str">
            <v>electricity</v>
          </cell>
          <cell r="C2407" t="str">
            <v>from technosphere (energy_carrier)</v>
          </cell>
          <cell r="D2407"/>
          <cell r="E2407" t="str">
            <v>Energy</v>
          </cell>
          <cell r="F2407">
            <v>0.46537651800000002</v>
          </cell>
          <cell r="G2407" t="str">
            <v>GJ</v>
          </cell>
          <cell r="H2407">
            <v>1</v>
          </cell>
          <cell r="I2407" t="str">
            <v>none</v>
          </cell>
          <cell r="J2407" t="str">
            <v>plastics monomer production inventories, from Meng et al. (2023), DOI 10.1073/pnas.2218294120</v>
          </cell>
          <cell r="K2407" t="str">
            <v>Same as pyrolysis oil steam cracking business case</v>
          </cell>
          <cell r="L2407" t="str">
            <v>see log sheet</v>
          </cell>
        </row>
        <row r="2408">
          <cell r="A2408" t="str">
            <v>[Meng] Butadiene production via Pyrolysis oil electric steam cracking + by-product upgrade</v>
          </cell>
          <cell r="B2408" t="str">
            <v>electricity</v>
          </cell>
          <cell r="C2408" t="str">
            <v>from technosphere (energy_carrier)</v>
          </cell>
          <cell r="D2408"/>
          <cell r="E2408" t="str">
            <v>Energy</v>
          </cell>
          <cell r="F2408">
            <v>8.1201133599999995</v>
          </cell>
          <cell r="G2408" t="str">
            <v>GJ</v>
          </cell>
          <cell r="H2408">
            <v>1</v>
          </cell>
          <cell r="I2408" t="str">
            <v>none</v>
          </cell>
          <cell r="J2408" t="str">
            <v>plastics monomer production inventories, from Meng et al. (2023), DOI 10.1073/pnas.2218294120</v>
          </cell>
          <cell r="K2408" t="str">
            <v>Same as naphtha electric steam cracking business case</v>
          </cell>
          <cell r="L2408" t="str">
            <v>see log sheet</v>
          </cell>
        </row>
        <row r="2409">
          <cell r="A2409" t="str">
            <v>[Meng] Butadiene production via Pyrolysis oil electric steam cracking + by-product upgrade</v>
          </cell>
          <cell r="B2409" t="str">
            <v>electricity</v>
          </cell>
          <cell r="C2409" t="str">
            <v>from technosphere (energy_carrier)</v>
          </cell>
          <cell r="D2409"/>
          <cell r="E2409" t="str">
            <v>Energy</v>
          </cell>
          <cell r="F2409">
            <v>1.5591093119999999</v>
          </cell>
          <cell r="G2409" t="str">
            <v>GJ</v>
          </cell>
          <cell r="H2409">
            <v>1</v>
          </cell>
          <cell r="I2409" t="str">
            <v>none</v>
          </cell>
          <cell r="J2409" t="str">
            <v>plastics monomer production inventories, from Meng et al. (2023), DOI 10.1073/pnas.2218294120</v>
          </cell>
          <cell r="K2409" t="str">
            <v>Same as naphtha steam cracking + by-product upgrade business case</v>
          </cell>
          <cell r="L2409" t="str">
            <v>see log sheet</v>
          </cell>
        </row>
        <row r="2410">
          <cell r="A2410" t="str">
            <v>[Meng] Butadiene production via Pyrolysis oil electric steam cracking + by-product upgrade</v>
          </cell>
          <cell r="B2410" t="str">
            <v>electricity</v>
          </cell>
          <cell r="C2410" t="str">
            <v>from technosphere (energy_carrier)</v>
          </cell>
          <cell r="D2410"/>
          <cell r="E2410" t="str">
            <v>Energy</v>
          </cell>
          <cell r="F2410">
            <v>3.2571428569999998</v>
          </cell>
          <cell r="G2410" t="str">
            <v>GJ</v>
          </cell>
          <cell r="H2410">
            <v>1</v>
          </cell>
          <cell r="I2410" t="str">
            <v>none</v>
          </cell>
          <cell r="J2410" t="str">
            <v>plastics monomer production inventories, from Meng et al. (2023), DOI 10.1073/pnas.2218294120</v>
          </cell>
          <cell r="K2410" t="str">
            <v>57 USD/tonne utilities cost, assume averaged global electricity price of 17.5 USD/GJ</v>
          </cell>
          <cell r="L2410" t="str">
            <v>see log sheet</v>
          </cell>
        </row>
        <row r="2411">
          <cell r="A2411" t="str">
            <v>[Meng] Butadiene production via Pyrolysis oil electric steam cracking + by-product upgrade</v>
          </cell>
          <cell r="B2411" t="str">
            <v>electricity</v>
          </cell>
          <cell r="C2411" t="str">
            <v>from technosphere (energy_carrier)</v>
          </cell>
          <cell r="D2411"/>
          <cell r="E2411" t="str">
            <v>Energy</v>
          </cell>
          <cell r="F2411">
            <v>13.401742049999999</v>
          </cell>
          <cell r="G2411" t="str">
            <v>GJ</v>
          </cell>
          <cell r="H2411">
            <v>1</v>
          </cell>
          <cell r="I2411" t="str">
            <v>none</v>
          </cell>
          <cell r="J2411" t="str">
            <v>plastics monomer production inventories, from Meng et al. (2023), DOI 10.1073/pnas.2218294120</v>
          </cell>
          <cell r="K2411"/>
          <cell r="L2411" t="str">
            <v>see log sheet</v>
          </cell>
        </row>
        <row r="2412">
          <cell r="A2412" t="str">
            <v>[Meng] Butadiene production via Bio-oils electric steam cracking + by-product upgrade</v>
          </cell>
          <cell r="B2412" t="str">
            <v>butadiene</v>
          </cell>
          <cell r="C2412" t="str">
            <v>reference_product</v>
          </cell>
          <cell r="D2412">
            <v>271114</v>
          </cell>
          <cell r="E2412" t="str">
            <v>Mass</v>
          </cell>
          <cell r="F2412">
            <v>1</v>
          </cell>
          <cell r="G2412" t="str">
            <v>tonne</v>
          </cell>
          <cell r="H2412">
            <v>1</v>
          </cell>
          <cell r="I2412" t="str">
            <v>none</v>
          </cell>
          <cell r="J2412"/>
          <cell r="K2412"/>
          <cell r="L2412"/>
        </row>
        <row r="2413">
          <cell r="A2413" t="str">
            <v>[Meng] Butadiene production via Bio-oils electric steam cracking + by-product upgrade</v>
          </cell>
          <cell r="B2413" t="str">
            <v>bio-oils</v>
          </cell>
          <cell r="C2413" t="str">
            <v>from technosphere (material)</v>
          </cell>
          <cell r="D2413"/>
          <cell r="E2413" t="str">
            <v>Mass</v>
          </cell>
          <cell r="F2413">
            <v>1.5870445339999999</v>
          </cell>
          <cell r="G2413" t="str">
            <v>tonne</v>
          </cell>
          <cell r="H2413">
            <v>1</v>
          </cell>
          <cell r="I2413" t="str">
            <v>none</v>
          </cell>
          <cell r="J2413" t="str">
            <v>plastics monomer production inventories, from Meng et al. (2023), DOI 10.1073/pnas.2218294120</v>
          </cell>
          <cell r="K2413"/>
          <cell r="L2413" t="str">
            <v>see log sheet</v>
          </cell>
        </row>
        <row r="2414">
          <cell r="A2414" t="str">
            <v>[Meng] Butadiene production via Bio-oils electric steam cracking + by-product upgrade</v>
          </cell>
          <cell r="B2414" t="str">
            <v>oxygen</v>
          </cell>
          <cell r="C2414" t="str">
            <v>from technosphere (material)</v>
          </cell>
          <cell r="D2414"/>
          <cell r="E2414" t="str">
            <v>Mass</v>
          </cell>
          <cell r="F2414">
            <v>6.4777327999999995E-2</v>
          </cell>
          <cell r="G2414" t="str">
            <v>tonne</v>
          </cell>
          <cell r="H2414">
            <v>1</v>
          </cell>
          <cell r="I2414" t="str">
            <v>none</v>
          </cell>
          <cell r="J2414" t="str">
            <v>plastics monomer production inventories, from Meng et al. (2023), DOI 10.1073/pnas.2218294120</v>
          </cell>
          <cell r="K2414"/>
          <cell r="L2414" t="str">
            <v>see log sheet</v>
          </cell>
        </row>
        <row r="2415">
          <cell r="A2415" t="str">
            <v>[Meng] Butadiene production via Bio-oils electric steam cracking + by-product upgrade</v>
          </cell>
          <cell r="B2415" t="str">
            <v>electricity</v>
          </cell>
          <cell r="C2415" t="str">
            <v>from technosphere (energy_carrier)</v>
          </cell>
          <cell r="D2415"/>
          <cell r="E2415" t="str">
            <v>Energy</v>
          </cell>
          <cell r="F2415">
            <v>8.1201133599999995</v>
          </cell>
          <cell r="G2415" t="str">
            <v>GJ</v>
          </cell>
          <cell r="H2415">
            <v>1</v>
          </cell>
          <cell r="I2415" t="str">
            <v>none</v>
          </cell>
          <cell r="J2415" t="str">
            <v>plastics monomer production inventories, from Meng et al. (2023), DOI 10.1073/pnas.2218294120</v>
          </cell>
          <cell r="K2415"/>
          <cell r="L2415" t="str">
            <v>see log sheet</v>
          </cell>
        </row>
        <row r="2416">
          <cell r="A2416" t="str">
            <v>[Meng] Butadiene production via Bio-oils electric steam cracking + by-product upgrade</v>
          </cell>
          <cell r="B2416" t="str">
            <v>electricity</v>
          </cell>
          <cell r="C2416" t="str">
            <v>from technosphere (energy_carrier)</v>
          </cell>
          <cell r="D2416"/>
          <cell r="E2416" t="str">
            <v>Energy</v>
          </cell>
          <cell r="F2416">
            <v>1.5591093119999999</v>
          </cell>
          <cell r="G2416" t="str">
            <v>GJ</v>
          </cell>
          <cell r="H2416">
            <v>1</v>
          </cell>
          <cell r="I2416" t="str">
            <v>none</v>
          </cell>
          <cell r="J2416" t="str">
            <v>plastics monomer production inventories, from Meng et al. (2023), DOI 10.1073/pnas.2218294120</v>
          </cell>
          <cell r="K2416"/>
          <cell r="L2416" t="str">
            <v>see log sheet</v>
          </cell>
        </row>
        <row r="2417">
          <cell r="A2417" t="str">
            <v>[Meng] Butadiene production via Bio-oils electric steam cracking + by-product upgrade</v>
          </cell>
          <cell r="B2417" t="str">
            <v>electricity</v>
          </cell>
          <cell r="C2417" t="str">
            <v>from technosphere (energy_carrier)</v>
          </cell>
          <cell r="D2417"/>
          <cell r="E2417" t="str">
            <v>Energy</v>
          </cell>
          <cell r="F2417">
            <v>3.2571428569999998</v>
          </cell>
          <cell r="G2417" t="str">
            <v>GJ</v>
          </cell>
          <cell r="H2417">
            <v>1</v>
          </cell>
          <cell r="I2417" t="str">
            <v>none</v>
          </cell>
          <cell r="J2417" t="str">
            <v>plastics monomer production inventories, from Meng et al. (2023), DOI 10.1073/pnas.2218294120</v>
          </cell>
          <cell r="K2417" t="str">
            <v>57 USD/tonne utilities cost, assume averaged global electricity price of 17.5 USD/GJ</v>
          </cell>
          <cell r="L2417" t="str">
            <v>see log sheet</v>
          </cell>
        </row>
        <row r="2418">
          <cell r="A2418" t="str">
            <v>[Meng] Butadiene production via Bio-oils electric steam cracking + by-product upgrade</v>
          </cell>
          <cell r="B2418" t="str">
            <v>electricity</v>
          </cell>
          <cell r="C2418" t="str">
            <v>from technosphere (energy_carrier)</v>
          </cell>
          <cell r="D2418"/>
          <cell r="E2418" t="str">
            <v>Energy</v>
          </cell>
          <cell r="F2418">
            <v>12.93636553</v>
          </cell>
          <cell r="G2418" t="str">
            <v>GJ</v>
          </cell>
          <cell r="H2418">
            <v>1</v>
          </cell>
          <cell r="I2418" t="str">
            <v>none</v>
          </cell>
          <cell r="J2418" t="str">
            <v>plastics monomer production inventories, from Meng et al. (2023), DOI 10.1073/pnas.2218294120</v>
          </cell>
          <cell r="K2418"/>
          <cell r="L2418" t="str">
            <v>see log sheet</v>
          </cell>
        </row>
        <row r="2419">
          <cell r="A2419" t="str">
            <v>[Meng] Butadiene production via Pyrolysis oil electric steam cracking + CCS + by-product upgrade</v>
          </cell>
          <cell r="B2419" t="str">
            <v>butadiene</v>
          </cell>
          <cell r="C2419" t="str">
            <v>reference_product</v>
          </cell>
          <cell r="D2419">
            <v>271114</v>
          </cell>
          <cell r="E2419" t="str">
            <v>Mass</v>
          </cell>
          <cell r="F2419">
            <v>1</v>
          </cell>
          <cell r="G2419" t="str">
            <v>tonne</v>
          </cell>
          <cell r="H2419">
            <v>1</v>
          </cell>
          <cell r="I2419" t="str">
            <v>none</v>
          </cell>
          <cell r="J2419"/>
          <cell r="K2419"/>
          <cell r="L2419"/>
        </row>
        <row r="2420">
          <cell r="A2420" t="str">
            <v>[Meng] Butadiene production via Pyrolysis oil electric steam cracking + CCS + by-product upgrade</v>
          </cell>
          <cell r="B2420" t="str">
            <v>waste polymer</v>
          </cell>
          <cell r="C2420" t="str">
            <v>from technosphere (material)</v>
          </cell>
          <cell r="D2420"/>
          <cell r="E2420" t="str">
            <v>Mass</v>
          </cell>
          <cell r="F2420">
            <v>1.3220141700000001</v>
          </cell>
          <cell r="G2420" t="str">
            <v>tonne</v>
          </cell>
          <cell r="H2420">
            <v>1</v>
          </cell>
          <cell r="I2420" t="str">
            <v>none</v>
          </cell>
          <cell r="J2420" t="str">
            <v>plastics monomer production inventories, from Meng et al. (2023), DOI 10.1073/pnas.2218294120</v>
          </cell>
          <cell r="K2420"/>
          <cell r="L2420" t="str">
            <v>see log sheet</v>
          </cell>
        </row>
        <row r="2421">
          <cell r="A2421" t="str">
            <v>[Meng] Butadiene production via Pyrolysis oil electric steam cracking + CCS + by-product upgrade</v>
          </cell>
          <cell r="B2421" t="str">
            <v>pyrolysis oil</v>
          </cell>
          <cell r="C2421" t="str">
            <v>from technosphere (material)</v>
          </cell>
          <cell r="D2421"/>
          <cell r="E2421" t="str">
            <v>Mass</v>
          </cell>
          <cell r="F2421">
            <v>1.0576113359999999</v>
          </cell>
          <cell r="G2421" t="str">
            <v>tonne</v>
          </cell>
          <cell r="H2421">
            <v>1</v>
          </cell>
          <cell r="I2421" t="str">
            <v>none</v>
          </cell>
          <cell r="J2421" t="str">
            <v>plastics monomer production inventories, from Meng et al. (2023), DOI 10.1073/pnas.2218294120</v>
          </cell>
          <cell r="K2421"/>
          <cell r="L2421" t="str">
            <v>see log sheet</v>
          </cell>
        </row>
        <row r="2422">
          <cell r="A2422" t="str">
            <v>[Meng] Butadiene production via Pyrolysis oil electric steam cracking + CCS + by-product upgrade</v>
          </cell>
          <cell r="B2422" t="str">
            <v>oxygen</v>
          </cell>
          <cell r="C2422" t="str">
            <v>from technosphere (material)</v>
          </cell>
          <cell r="D2422"/>
          <cell r="E2422" t="str">
            <v>Mass</v>
          </cell>
          <cell r="F2422">
            <v>6.4777327999999995E-2</v>
          </cell>
          <cell r="G2422" t="str">
            <v>tonne</v>
          </cell>
          <cell r="H2422">
            <v>1</v>
          </cell>
          <cell r="I2422" t="str">
            <v>none</v>
          </cell>
          <cell r="J2422" t="str">
            <v>plastics monomer production inventories, from Meng et al. (2023), DOI 10.1073/pnas.2218294120</v>
          </cell>
          <cell r="K2422"/>
          <cell r="L2422" t="str">
            <v>see log sheet</v>
          </cell>
        </row>
        <row r="2423">
          <cell r="A2423" t="str">
            <v>[Meng] Butadiene production via Pyrolysis oil electric steam cracking + CCS + by-product upgrade</v>
          </cell>
          <cell r="B2423" t="str">
            <v>electricity</v>
          </cell>
          <cell r="C2423" t="str">
            <v>from technosphere (energy_carrier)</v>
          </cell>
          <cell r="D2423"/>
          <cell r="E2423" t="str">
            <v>Energy</v>
          </cell>
          <cell r="F2423">
            <v>0.46537651800000002</v>
          </cell>
          <cell r="G2423" t="str">
            <v>GJ</v>
          </cell>
          <cell r="H2423">
            <v>1</v>
          </cell>
          <cell r="I2423" t="str">
            <v>none</v>
          </cell>
          <cell r="J2423" t="str">
            <v>plastics monomer production inventories, from Meng et al. (2023), DOI 10.1073/pnas.2218294120</v>
          </cell>
          <cell r="K2423"/>
          <cell r="L2423" t="str">
            <v>see log sheet</v>
          </cell>
        </row>
        <row r="2424">
          <cell r="A2424" t="str">
            <v>[Meng] Butadiene production via Pyrolysis oil electric steam cracking + CCS + by-product upgrade</v>
          </cell>
          <cell r="B2424" t="str">
            <v>electricity</v>
          </cell>
          <cell r="C2424" t="str">
            <v>from technosphere (energy_carrier)</v>
          </cell>
          <cell r="D2424"/>
          <cell r="E2424" t="str">
            <v>Energy</v>
          </cell>
          <cell r="F2424">
            <v>8.1201133599999995</v>
          </cell>
          <cell r="G2424" t="str">
            <v>GJ</v>
          </cell>
          <cell r="H2424">
            <v>1</v>
          </cell>
          <cell r="I2424" t="str">
            <v>none</v>
          </cell>
          <cell r="J2424" t="str">
            <v>plastics monomer production inventories, from Meng et al. (2023), DOI 10.1073/pnas.2218294120</v>
          </cell>
          <cell r="K2424"/>
          <cell r="L2424" t="str">
            <v>see log sheet</v>
          </cell>
        </row>
        <row r="2425">
          <cell r="A2425" t="str">
            <v>[Meng] Butadiene production via Pyrolysis oil electric steam cracking + CCS + by-product upgrade</v>
          </cell>
          <cell r="B2425" t="str">
            <v>electricity</v>
          </cell>
          <cell r="C2425" t="str">
            <v>from technosphere (energy_carrier)</v>
          </cell>
          <cell r="D2425"/>
          <cell r="E2425" t="str">
            <v>Energy</v>
          </cell>
          <cell r="F2425">
            <v>1.5591093119999999</v>
          </cell>
          <cell r="G2425" t="str">
            <v>GJ</v>
          </cell>
          <cell r="H2425">
            <v>1</v>
          </cell>
          <cell r="I2425" t="str">
            <v>none</v>
          </cell>
          <cell r="J2425" t="str">
            <v>plastics monomer production inventories, from Meng et al. (2023), DOI 10.1073/pnas.2218294120</v>
          </cell>
          <cell r="K2425"/>
          <cell r="L2425" t="str">
            <v>see log sheet</v>
          </cell>
        </row>
        <row r="2426">
          <cell r="A2426" t="str">
            <v>[Meng] Butadiene production via Pyrolysis oil electric steam cracking + CCS + by-product upgrade</v>
          </cell>
          <cell r="B2426" t="str">
            <v>electricity</v>
          </cell>
          <cell r="C2426" t="str">
            <v>from technosphere (energy_carrier)</v>
          </cell>
          <cell r="D2426"/>
          <cell r="E2426" t="str">
            <v>Energy</v>
          </cell>
          <cell r="F2426">
            <v>1.363190283</v>
          </cell>
          <cell r="G2426" t="str">
            <v>GJ</v>
          </cell>
          <cell r="H2426">
            <v>1</v>
          </cell>
          <cell r="I2426" t="str">
            <v>none</v>
          </cell>
          <cell r="J2426" t="str">
            <v>plastics monomer production inventories, from Meng et al. (2023), DOI 10.1073/pnas.2218294120</v>
          </cell>
          <cell r="K2426"/>
          <cell r="L2426" t="str">
            <v>see log sheet</v>
          </cell>
        </row>
        <row r="2427">
          <cell r="A2427" t="str">
            <v>[Meng] Butadiene production via Pyrolysis oil electric steam cracking + CCS + by-product upgrade</v>
          </cell>
          <cell r="B2427" t="str">
            <v>electricity</v>
          </cell>
          <cell r="C2427" t="str">
            <v>from technosphere (energy_carrier)</v>
          </cell>
          <cell r="D2427"/>
          <cell r="E2427" t="str">
            <v>Energy</v>
          </cell>
          <cell r="F2427">
            <v>3.2571428569999998</v>
          </cell>
          <cell r="G2427" t="str">
            <v>GJ</v>
          </cell>
          <cell r="H2427">
            <v>1</v>
          </cell>
          <cell r="I2427" t="str">
            <v>none</v>
          </cell>
          <cell r="J2427" t="str">
            <v>plastics monomer production inventories, from Meng et al. (2023), DOI 10.1073/pnas.2218294120</v>
          </cell>
          <cell r="K2427" t="str">
            <v>57 USD/tonne utilities cost, assume averaged global electricity price of 17.5 USD/GJ</v>
          </cell>
          <cell r="L2427" t="str">
            <v>see log sheet</v>
          </cell>
        </row>
        <row r="2428">
          <cell r="A2428" t="str">
            <v>[Meng] Butadiene production via Pyrolysis oil electric steam cracking + CCS + by-product upgrade</v>
          </cell>
          <cell r="B2428" t="str">
            <v>electricity</v>
          </cell>
          <cell r="C2428" t="str">
            <v>from technosphere (energy_carrier)</v>
          </cell>
          <cell r="D2428"/>
          <cell r="E2428" t="str">
            <v>Energy</v>
          </cell>
          <cell r="F2428">
            <v>14.764932330000001</v>
          </cell>
          <cell r="G2428" t="str">
            <v>GJ</v>
          </cell>
          <cell r="H2428">
            <v>1</v>
          </cell>
          <cell r="I2428" t="str">
            <v>none</v>
          </cell>
          <cell r="J2428" t="str">
            <v>plastics monomer production inventories, from Meng et al. (2023), DOI 10.1073/pnas.2218294120</v>
          </cell>
          <cell r="K2428"/>
          <cell r="L2428" t="str">
            <v>see log sheet</v>
          </cell>
        </row>
        <row r="2429">
          <cell r="A2429" t="str">
            <v>[Meng] Butadiene production via Ethanol to butadiene</v>
          </cell>
          <cell r="B2429" t="str">
            <v>butadiene</v>
          </cell>
          <cell r="C2429" t="str">
            <v>reference_product</v>
          </cell>
          <cell r="D2429">
            <v>271114</v>
          </cell>
          <cell r="E2429" t="str">
            <v>Mass</v>
          </cell>
          <cell r="F2429">
            <v>1</v>
          </cell>
          <cell r="G2429" t="str">
            <v>tonne</v>
          </cell>
          <cell r="H2429">
            <v>1</v>
          </cell>
          <cell r="I2429" t="str">
            <v>none</v>
          </cell>
          <cell r="J2429"/>
          <cell r="K2429"/>
          <cell r="L2429"/>
        </row>
        <row r="2430">
          <cell r="A2430" t="str">
            <v>[Meng] Butadiene production via Ethanol to butadiene</v>
          </cell>
          <cell r="B2430" t="str">
            <v>ethanol</v>
          </cell>
          <cell r="C2430" t="str">
            <v>from technosphere (material)</v>
          </cell>
          <cell r="D2430"/>
          <cell r="E2430" t="str">
            <v>Mass</v>
          </cell>
          <cell r="F2430">
            <v>2.6</v>
          </cell>
          <cell r="G2430" t="str">
            <v>tonne</v>
          </cell>
          <cell r="H2430">
            <v>1</v>
          </cell>
          <cell r="I2430" t="str">
            <v>none</v>
          </cell>
          <cell r="J2430" t="str">
            <v>plastics monomer production inventories, from Meng et al. (2023), DOI 10.1073/pnas.2218294120</v>
          </cell>
          <cell r="K2430"/>
          <cell r="L2430" t="str">
            <v>see log sheet</v>
          </cell>
        </row>
        <row r="2431">
          <cell r="A2431" t="str">
            <v>[Meng] Butadiene production via Ethanol to butadiene</v>
          </cell>
          <cell r="B2431" t="str">
            <v>electricity</v>
          </cell>
          <cell r="C2431" t="str">
            <v>from technosphere (energy_carrier)</v>
          </cell>
          <cell r="D2431"/>
          <cell r="E2431" t="str">
            <v>Energy</v>
          </cell>
          <cell r="F2431">
            <v>8.18</v>
          </cell>
          <cell r="G2431" t="str">
            <v>GJ</v>
          </cell>
          <cell r="H2431">
            <v>1</v>
          </cell>
          <cell r="I2431" t="str">
            <v>none</v>
          </cell>
          <cell r="J2431" t="str">
            <v>plastics monomer production inventories, from Meng et al. (2023), DOI 10.1073/pnas.2218294120</v>
          </cell>
          <cell r="K2431"/>
          <cell r="L2431" t="str">
            <v>see log sheet</v>
          </cell>
        </row>
        <row r="2432">
          <cell r="A2432" t="str">
            <v>[Russo] butadiene polymerisation</v>
          </cell>
          <cell r="B2432" t="str">
            <v>polybutadiene</v>
          </cell>
          <cell r="C2432" t="str">
            <v>reference_product</v>
          </cell>
          <cell r="D2432">
            <v>271114</v>
          </cell>
          <cell r="E2432" t="str">
            <v>Mass</v>
          </cell>
          <cell r="F2432">
            <v>1</v>
          </cell>
          <cell r="G2432" t="str">
            <v>tonne</v>
          </cell>
          <cell r="H2432">
            <v>1</v>
          </cell>
          <cell r="I2432" t="str">
            <v>none</v>
          </cell>
          <cell r="J2432" t="str">
            <v>production process inventory for butadiene polymerisation</v>
          </cell>
          <cell r="K2432"/>
          <cell r="L2432"/>
        </row>
        <row r="2433">
          <cell r="A2433" t="str">
            <v>[Russo] butadiene polymerisation</v>
          </cell>
          <cell r="B2433" t="str">
            <v>natural gas</v>
          </cell>
          <cell r="C2433" t="str">
            <v>from technosphere (energy_carrier)</v>
          </cell>
          <cell r="D2433"/>
          <cell r="E2433" t="str">
            <v>Energy</v>
          </cell>
          <cell r="F2433">
            <v>1.826923077</v>
          </cell>
          <cell r="G2433" t="str">
            <v>GJ</v>
          </cell>
          <cell r="H2433">
            <v>1</v>
          </cell>
          <cell r="I2433" t="str">
            <v>none</v>
          </cell>
          <cell r="J2433" t="str">
            <v>production process inventory for butadiene polymerisation</v>
          </cell>
          <cell r="K2433"/>
          <cell r="L2433"/>
        </row>
        <row r="2434">
          <cell r="A2434" t="str">
            <v>[Russo] butadiene polymerisation</v>
          </cell>
          <cell r="B2434" t="str">
            <v>electricity</v>
          </cell>
          <cell r="C2434" t="str">
            <v>from technosphere (energy_carrier)</v>
          </cell>
          <cell r="D2434"/>
          <cell r="E2434" t="str">
            <v>Energy</v>
          </cell>
          <cell r="F2434">
            <v>1.9</v>
          </cell>
          <cell r="G2434" t="str">
            <v>GJ</v>
          </cell>
          <cell r="H2434">
            <v>1</v>
          </cell>
          <cell r="I2434" t="str">
            <v>none</v>
          </cell>
          <cell r="J2434" t="str">
            <v>production process inventory for butadiene polymerisation</v>
          </cell>
          <cell r="K2434"/>
          <cell r="L2434"/>
        </row>
        <row r="2435">
          <cell r="A2435" t="str">
            <v>[Russo] butadiene polymerisation</v>
          </cell>
          <cell r="B2435" t="str">
            <v>heat</v>
          </cell>
          <cell r="C2435" t="str">
            <v>from technosphere (energy_carrier)</v>
          </cell>
          <cell r="D2435"/>
          <cell r="E2435" t="str">
            <v>Energy</v>
          </cell>
          <cell r="F2435">
            <v>9.75</v>
          </cell>
          <cell r="G2435" t="str">
            <v>GJ</v>
          </cell>
          <cell r="H2435">
            <v>1</v>
          </cell>
          <cell r="I2435" t="str">
            <v>none</v>
          </cell>
          <cell r="J2435" t="str">
            <v>production process inventory for butadiene polymerisation</v>
          </cell>
          <cell r="K2435"/>
          <cell r="L2435"/>
        </row>
        <row r="2436">
          <cell r="A2436" t="str">
            <v>[Russo] butadiene polymerisation</v>
          </cell>
          <cell r="B2436" t="str">
            <v>carbon dioxide</v>
          </cell>
          <cell r="C2436" t="str">
            <v>to environment (emission, direct)</v>
          </cell>
          <cell r="D2436"/>
          <cell r="E2436" t="str">
            <v>Mass</v>
          </cell>
          <cell r="F2436">
            <v>0.122403846</v>
          </cell>
          <cell r="G2436" t="str">
            <v>tonne</v>
          </cell>
          <cell r="H2436">
            <v>1</v>
          </cell>
          <cell r="I2436" t="str">
            <v>none</v>
          </cell>
          <cell r="J2436" t="str">
            <v>with conversion factor 0.067 t/GJ for the direct combustion emissions</v>
          </cell>
          <cell r="K2436"/>
          <cell r="L2436" t="str">
            <v>see log sheet</v>
          </cell>
        </row>
        <row r="2437">
          <cell r="A2437" t="str">
            <v>[a] naphta production</v>
          </cell>
          <cell r="B2437" t="str">
            <v>naphtha</v>
          </cell>
          <cell r="C2437" t="str">
            <v>reference_product</v>
          </cell>
          <cell r="D2437">
            <v>271114</v>
          </cell>
          <cell r="E2437" t="str">
            <v>Mass</v>
          </cell>
          <cell r="F2437">
            <v>1</v>
          </cell>
          <cell r="G2437" t="str">
            <v>tonne</v>
          </cell>
          <cell r="H2437">
            <v>1</v>
          </cell>
          <cell r="I2437" t="str">
            <v>none</v>
          </cell>
          <cell r="J2437" t="str">
            <v>Production process inventories for naphta, vinyl chloride, PVC, PP, PE.</v>
          </cell>
          <cell r="K2437"/>
          <cell r="L2437"/>
        </row>
        <row r="2438">
          <cell r="A2438" t="str">
            <v>[a] naphta production</v>
          </cell>
          <cell r="B2438" t="str">
            <v>natural gas</v>
          </cell>
          <cell r="C2438" t="str">
            <v>from technosphere (energy_carrier)</v>
          </cell>
          <cell r="D2438"/>
          <cell r="E2438" t="str">
            <v>Energy</v>
          </cell>
          <cell r="F2438">
            <v>8.6E-3</v>
          </cell>
          <cell r="G2438" t="str">
            <v>GJ</v>
          </cell>
          <cell r="H2438">
            <v>1</v>
          </cell>
          <cell r="I2438" t="str">
            <v>none</v>
          </cell>
          <cell r="J2438" t="str">
            <v>Production process inventories for naphta, vinyl chloride, PVC, PP, PE.</v>
          </cell>
          <cell r="K2438"/>
          <cell r="L2438"/>
        </row>
        <row r="2439">
          <cell r="A2439" t="str">
            <v>[a] naphta production</v>
          </cell>
          <cell r="B2439" t="str">
            <v>petroleum</v>
          </cell>
          <cell r="C2439" t="str">
            <v>from technosphere (material)</v>
          </cell>
          <cell r="D2439"/>
          <cell r="E2439" t="str">
            <v>Mass</v>
          </cell>
          <cell r="F2439">
            <v>1.0660000000000001</v>
          </cell>
          <cell r="G2439" t="str">
            <v>tonne</v>
          </cell>
          <cell r="H2439">
            <v>1</v>
          </cell>
          <cell r="I2439" t="str">
            <v>none</v>
          </cell>
          <cell r="J2439" t="str">
            <v>Production process inventories for naphta, vinyl chloride, PVC, PP, PE.</v>
          </cell>
          <cell r="K2439"/>
          <cell r="L2439"/>
        </row>
        <row r="2440">
          <cell r="A2440" t="str">
            <v>[a] naphta production</v>
          </cell>
          <cell r="B2440" t="str">
            <v>carbon dioxide</v>
          </cell>
          <cell r="C2440" t="str">
            <v>to environment (emission, direct)</v>
          </cell>
          <cell r="D2440"/>
          <cell r="E2440" t="str">
            <v>Mass</v>
          </cell>
          <cell r="F2440">
            <v>0.09</v>
          </cell>
          <cell r="G2440" t="str">
            <v>tonne</v>
          </cell>
          <cell r="H2440">
            <v>1</v>
          </cell>
          <cell r="I2440" t="str">
            <v>none</v>
          </cell>
          <cell r="J2440" t="str">
            <v>Production process inventories for naphta, vinyl chloride, PVC, PP, PE.</v>
          </cell>
          <cell r="K2440"/>
          <cell r="L2440"/>
        </row>
        <row r="2441">
          <cell r="A2441" t="str">
            <v>[a] naphta production</v>
          </cell>
          <cell r="B2441" t="str">
            <v>CH4</v>
          </cell>
          <cell r="C2441" t="str">
            <v>to environment (emission, direct)</v>
          </cell>
          <cell r="D2441"/>
          <cell r="E2441" t="str">
            <v>Mass</v>
          </cell>
          <cell r="F2441">
            <v>1.0849999999999999E-5</v>
          </cell>
          <cell r="G2441" t="str">
            <v>tonne</v>
          </cell>
          <cell r="H2441">
            <v>1</v>
          </cell>
          <cell r="I2441" t="str">
            <v>none</v>
          </cell>
          <cell r="J2441" t="str">
            <v>Production process inventories for naphta, vinyl chloride, PVC, PP, PE.</v>
          </cell>
          <cell r="K2441"/>
          <cell r="L2441"/>
        </row>
        <row r="2442">
          <cell r="A2442" t="str">
            <v>[a] vinyl chloride production</v>
          </cell>
          <cell r="B2442" t="str">
            <v>vinyl chloride</v>
          </cell>
          <cell r="C2442" t="str">
            <v>reference_product</v>
          </cell>
          <cell r="D2442">
            <v>271114</v>
          </cell>
          <cell r="E2442" t="str">
            <v>Mass</v>
          </cell>
          <cell r="F2442">
            <v>1</v>
          </cell>
          <cell r="G2442" t="str">
            <v>tonne</v>
          </cell>
          <cell r="H2442">
            <v>1</v>
          </cell>
          <cell r="I2442" t="str">
            <v>none</v>
          </cell>
          <cell r="J2442" t="str">
            <v>Production process inventories for naphta, vinyl chloride, PVC, PP, PE.</v>
          </cell>
          <cell r="K2442"/>
          <cell r="L2442"/>
        </row>
        <row r="2443">
          <cell r="A2443" t="str">
            <v>[a] vinyl chloride production</v>
          </cell>
          <cell r="B2443" t="str">
            <v>carbon dioxide</v>
          </cell>
          <cell r="C2443" t="str">
            <v>to environment (emission, direct)</v>
          </cell>
          <cell r="D2443"/>
          <cell r="E2443" t="str">
            <v>Mass</v>
          </cell>
          <cell r="F2443">
            <v>0.18710470700000001</v>
          </cell>
          <cell r="G2443" t="str">
            <v>tonne</v>
          </cell>
          <cell r="H2443">
            <v>1</v>
          </cell>
          <cell r="I2443" t="str">
            <v>none</v>
          </cell>
          <cell r="J2443" t="str">
            <v>Production process inventories for naphta, vinyl chloride, PVC, PP, PE.</v>
          </cell>
          <cell r="K2443"/>
          <cell r="L2443"/>
        </row>
        <row r="2444">
          <cell r="A2444" t="str">
            <v>[a] vinyl chloride production</v>
          </cell>
          <cell r="B2444" t="str">
            <v>CH4</v>
          </cell>
          <cell r="C2444" t="str">
            <v>to environment (emission, direct)</v>
          </cell>
          <cell r="D2444"/>
          <cell r="E2444" t="str">
            <v>Mass</v>
          </cell>
          <cell r="F2444">
            <v>1.03064E-5</v>
          </cell>
          <cell r="G2444" t="str">
            <v>tonne</v>
          </cell>
          <cell r="H2444">
            <v>1</v>
          </cell>
          <cell r="I2444" t="str">
            <v>none</v>
          </cell>
          <cell r="J2444" t="str">
            <v>Production process inventories for naphta, vinyl chloride, PVC, PP, PE.</v>
          </cell>
          <cell r="K2444"/>
          <cell r="L2444"/>
        </row>
        <row r="2445">
          <cell r="A2445" t="str">
            <v>[a] vinyl chloride production</v>
          </cell>
          <cell r="B2445" t="str">
            <v>chlorine</v>
          </cell>
          <cell r="C2445" t="str">
            <v>from technosphere (material)</v>
          </cell>
          <cell r="D2445"/>
          <cell r="E2445" t="str">
            <v>Mass</v>
          </cell>
          <cell r="F2445">
            <v>0.42599999999999999</v>
          </cell>
          <cell r="G2445" t="str">
            <v>tonne</v>
          </cell>
          <cell r="H2445">
            <v>1</v>
          </cell>
          <cell r="I2445" t="str">
            <v>none</v>
          </cell>
          <cell r="J2445" t="str">
            <v>Production process inventories for naphta, vinyl chloride, PVC, PP, PE.</v>
          </cell>
          <cell r="K2445"/>
          <cell r="L2445"/>
        </row>
        <row r="2446">
          <cell r="A2446" t="str">
            <v>[a] vinyl chloride production</v>
          </cell>
          <cell r="B2446" t="str">
            <v>electricity</v>
          </cell>
          <cell r="C2446" t="str">
            <v>from technosphere (energy_carrier)</v>
          </cell>
          <cell r="D2446"/>
          <cell r="E2446" t="str">
            <v>Energy</v>
          </cell>
          <cell r="F2446">
            <v>0.55800000000000005</v>
          </cell>
          <cell r="G2446" t="str">
            <v>GJ</v>
          </cell>
          <cell r="H2446">
            <v>1</v>
          </cell>
          <cell r="I2446" t="str">
            <v>none</v>
          </cell>
          <cell r="J2446" t="str">
            <v>Production process inventories for naphta, vinyl chloride, PVC, PP, PE.</v>
          </cell>
          <cell r="K2446"/>
          <cell r="L2446"/>
        </row>
        <row r="2447">
          <cell r="A2447" t="str">
            <v>[a] vinyl chloride production</v>
          </cell>
          <cell r="B2447" t="str">
            <v>ethylene</v>
          </cell>
          <cell r="C2447" t="str">
            <v>from technosphere (material)</v>
          </cell>
          <cell r="D2447"/>
          <cell r="E2447" t="str">
            <v>Mass</v>
          </cell>
          <cell r="F2447">
            <v>0.433</v>
          </cell>
          <cell r="G2447" t="str">
            <v>tonne</v>
          </cell>
          <cell r="H2447">
            <v>1</v>
          </cell>
          <cell r="I2447" t="str">
            <v>none</v>
          </cell>
          <cell r="J2447" t="str">
            <v>Production process inventories for naphta, vinyl chloride, PVC, PP, PE.</v>
          </cell>
          <cell r="K2447"/>
          <cell r="L2447"/>
        </row>
        <row r="2448">
          <cell r="A2448" t="str">
            <v>[a] vinyl chloride production</v>
          </cell>
          <cell r="B2448" t="str">
            <v>ethylene dichloride</v>
          </cell>
          <cell r="C2448" t="str">
            <v>from technosphere (material)</v>
          </cell>
          <cell r="D2448"/>
          <cell r="E2448" t="str">
            <v>Mass</v>
          </cell>
          <cell r="F2448">
            <v>0.13900000000000001</v>
          </cell>
          <cell r="G2448" t="str">
            <v>tonne</v>
          </cell>
          <cell r="H2448">
            <v>1</v>
          </cell>
          <cell r="I2448" t="str">
            <v>none</v>
          </cell>
          <cell r="J2448" t="str">
            <v>Production process inventories for naphta, vinyl chloride, PVC, PP, PE.</v>
          </cell>
          <cell r="K2448"/>
          <cell r="L2448"/>
        </row>
        <row r="2449">
          <cell r="A2449" t="str">
            <v>[a] vinyl chloride production</v>
          </cell>
          <cell r="B2449" t="str">
            <v>hydrochloric acid</v>
          </cell>
          <cell r="C2449" t="str">
            <v>from technosphere (material)</v>
          </cell>
          <cell r="D2449"/>
          <cell r="E2449" t="str">
            <v>Mass</v>
          </cell>
          <cell r="F2449">
            <v>5.2999999999999999E-2</v>
          </cell>
          <cell r="G2449" t="str">
            <v>tonne</v>
          </cell>
          <cell r="H2449">
            <v>1</v>
          </cell>
          <cell r="I2449" t="str">
            <v>none</v>
          </cell>
          <cell r="J2449" t="str">
            <v>Production process inventories for naphta, vinyl chloride, PVC, PP, PE.</v>
          </cell>
          <cell r="K2449"/>
          <cell r="L2449"/>
        </row>
        <row r="2450">
          <cell r="A2450" t="str">
            <v>[a] vinyl chloride production</v>
          </cell>
          <cell r="B2450" t="str">
            <v>natural gas</v>
          </cell>
          <cell r="C2450" t="str">
            <v>from technosphere (energy_carrier)</v>
          </cell>
          <cell r="D2450"/>
          <cell r="E2450" t="str">
            <v>Energy</v>
          </cell>
          <cell r="F2450">
            <v>4.1496000000000004</v>
          </cell>
          <cell r="G2450" t="str">
            <v>GJ</v>
          </cell>
          <cell r="H2450">
            <v>1</v>
          </cell>
          <cell r="I2450" t="str">
            <v>none</v>
          </cell>
          <cell r="J2450" t="str">
            <v>Production process inventories for naphta, vinyl chloride, PVC, PP, PE.</v>
          </cell>
          <cell r="K2450"/>
          <cell r="L2450"/>
        </row>
        <row r="2451">
          <cell r="A2451" t="str">
            <v>[a] vinyl chloride production</v>
          </cell>
          <cell r="B2451" t="str">
            <v>nitrogen, liquid</v>
          </cell>
          <cell r="C2451" t="str">
            <v>from technosphere (material)</v>
          </cell>
          <cell r="D2451"/>
          <cell r="E2451" t="str">
            <v>Mass</v>
          </cell>
          <cell r="F2451">
            <v>3.6999999999999998E-2</v>
          </cell>
          <cell r="G2451" t="str">
            <v>tonne</v>
          </cell>
          <cell r="H2451">
            <v>1</v>
          </cell>
          <cell r="I2451" t="str">
            <v>none</v>
          </cell>
          <cell r="J2451" t="str">
            <v>Production process inventories for naphta, vinyl chloride, PVC, PP, PE.</v>
          </cell>
          <cell r="K2451"/>
          <cell r="L2451"/>
        </row>
        <row r="2452">
          <cell r="A2452" t="str">
            <v>[a] vinyl chloride production</v>
          </cell>
          <cell r="B2452" t="str">
            <v>oxygen, liquid</v>
          </cell>
          <cell r="C2452" t="str">
            <v>from technosphere (material)</v>
          </cell>
          <cell r="D2452"/>
          <cell r="E2452" t="str">
            <v>Mass</v>
          </cell>
          <cell r="F2452">
            <v>0.111</v>
          </cell>
          <cell r="G2452" t="str">
            <v>tonne</v>
          </cell>
          <cell r="H2452">
            <v>1</v>
          </cell>
          <cell r="I2452" t="str">
            <v>none</v>
          </cell>
          <cell r="J2452" t="str">
            <v>Production process inventories for naphta, vinyl chloride, PVC, PP, PE.</v>
          </cell>
          <cell r="K2452"/>
          <cell r="L2452"/>
        </row>
        <row r="2453">
          <cell r="A2453" t="str">
            <v>[a] polyvinylchloride production</v>
          </cell>
          <cell r="B2453" t="str">
            <v>polyvinylchloride</v>
          </cell>
          <cell r="C2453" t="str">
            <v>reference_product</v>
          </cell>
          <cell r="D2453">
            <v>271114</v>
          </cell>
          <cell r="E2453" t="str">
            <v>Mass</v>
          </cell>
          <cell r="F2453">
            <v>1</v>
          </cell>
          <cell r="G2453" t="str">
            <v>tonne</v>
          </cell>
          <cell r="H2453">
            <v>1</v>
          </cell>
          <cell r="I2453" t="str">
            <v>none</v>
          </cell>
          <cell r="J2453" t="str">
            <v>Production process inventories for naphta, vinyl chloride, PVC, PP, PE.</v>
          </cell>
          <cell r="K2453"/>
          <cell r="L2453"/>
        </row>
        <row r="2454">
          <cell r="A2454" t="str">
            <v>[a] polyvinylchloride production</v>
          </cell>
          <cell r="B2454" t="str">
            <v>carbon dioxide</v>
          </cell>
          <cell r="C2454" t="str">
            <v>to environment (emission, direct)</v>
          </cell>
          <cell r="D2454"/>
          <cell r="E2454" t="str">
            <v>Mass</v>
          </cell>
          <cell r="F2454">
            <v>1.0831891999999999E-2</v>
          </cell>
          <cell r="G2454" t="str">
            <v>tonne</v>
          </cell>
          <cell r="H2454">
            <v>1</v>
          </cell>
          <cell r="I2454" t="str">
            <v>none</v>
          </cell>
          <cell r="J2454" t="str">
            <v>Production process inventories for naphta, vinyl chloride, PVC, PP, PE.</v>
          </cell>
          <cell r="K2454"/>
          <cell r="L2454"/>
        </row>
        <row r="2455">
          <cell r="A2455" t="str">
            <v>[a] polyvinylchloride production</v>
          </cell>
          <cell r="B2455" t="str">
            <v>CH4</v>
          </cell>
          <cell r="C2455" t="str">
            <v>to environment (emission, direct)</v>
          </cell>
          <cell r="D2455"/>
          <cell r="E2455" t="str">
            <v>Mass</v>
          </cell>
          <cell r="F2455">
            <v>0</v>
          </cell>
          <cell r="G2455" t="str">
            <v>tonne</v>
          </cell>
          <cell r="H2455">
            <v>1</v>
          </cell>
          <cell r="I2455" t="str">
            <v>none</v>
          </cell>
          <cell r="J2455" t="str">
            <v>Production process inventories for naphta, vinyl chloride, PVC, PP, PE.</v>
          </cell>
          <cell r="K2455"/>
          <cell r="L2455"/>
        </row>
        <row r="2456">
          <cell r="A2456" t="str">
            <v>[a] polyvinylchloride production</v>
          </cell>
          <cell r="B2456" t="str">
            <v>vinyl chloride</v>
          </cell>
          <cell r="C2456" t="str">
            <v>from technosphere (material)</v>
          </cell>
          <cell r="D2456"/>
          <cell r="E2456" t="str">
            <v>Mass</v>
          </cell>
          <cell r="F2456">
            <v>1</v>
          </cell>
          <cell r="G2456" t="str">
            <v>tonne</v>
          </cell>
          <cell r="H2456">
            <v>1</v>
          </cell>
          <cell r="I2456" t="str">
            <v>none</v>
          </cell>
          <cell r="J2456" t="str">
            <v>Production process inventories for naphta, vinyl chloride, PVC, PP, PE.</v>
          </cell>
          <cell r="K2456"/>
          <cell r="L2456"/>
        </row>
        <row r="2457">
          <cell r="A2457" t="str">
            <v>[a] polyvinylchloride production</v>
          </cell>
          <cell r="B2457" t="str">
            <v>natural gas</v>
          </cell>
          <cell r="C2457" t="str">
            <v>from technosphere (energy_carrier)</v>
          </cell>
          <cell r="D2457"/>
          <cell r="E2457" t="str">
            <v>Energy</v>
          </cell>
          <cell r="F2457">
            <v>0.43485000000000001</v>
          </cell>
          <cell r="G2457" t="str">
            <v>GJ</v>
          </cell>
          <cell r="H2457">
            <v>1</v>
          </cell>
          <cell r="I2457" t="str">
            <v>none</v>
          </cell>
          <cell r="J2457" t="str">
            <v>Production process inventories for naphta, vinyl chloride, PVC, PP, PE.</v>
          </cell>
          <cell r="K2457"/>
          <cell r="L2457"/>
        </row>
        <row r="2458">
          <cell r="A2458" t="str">
            <v>[a] polyvinylchloride production</v>
          </cell>
          <cell r="B2458" t="str">
            <v>electricity</v>
          </cell>
          <cell r="C2458" t="str">
            <v>from technosphere (energy_carrier)</v>
          </cell>
          <cell r="D2458"/>
          <cell r="E2458" t="str">
            <v>Energy</v>
          </cell>
          <cell r="F2458">
            <v>0.69479999999999997</v>
          </cell>
          <cell r="G2458" t="str">
            <v>GJ</v>
          </cell>
          <cell r="H2458">
            <v>1</v>
          </cell>
          <cell r="I2458" t="str">
            <v>none</v>
          </cell>
          <cell r="J2458" t="str">
            <v>Production process inventories for naphta, vinyl chloride, PVC, PP, PE.</v>
          </cell>
          <cell r="K2458"/>
          <cell r="L2458"/>
        </row>
        <row r="2459">
          <cell r="A2459" t="str">
            <v>[a] polyvinylchloride production</v>
          </cell>
          <cell r="B2459" t="str">
            <v>heat</v>
          </cell>
          <cell r="C2459" t="str">
            <v>from technosphere (energy_carrier)</v>
          </cell>
          <cell r="D2459"/>
          <cell r="E2459" t="str">
            <v>Energy</v>
          </cell>
          <cell r="F2459">
            <v>1.93</v>
          </cell>
          <cell r="G2459" t="str">
            <v>GJ</v>
          </cell>
          <cell r="H2459">
            <v>1</v>
          </cell>
          <cell r="I2459" t="str">
            <v>none</v>
          </cell>
          <cell r="J2459" t="str">
            <v>Production process inventories for naphta, vinyl chloride, PVC, PP, PE.</v>
          </cell>
          <cell r="K2459"/>
          <cell r="L2459"/>
        </row>
        <row r="2460">
          <cell r="A2460" t="str">
            <v>[a] polyethylene production</v>
          </cell>
          <cell r="B2460" t="str">
            <v>polyethylene</v>
          </cell>
          <cell r="C2460" t="str">
            <v>reference_product</v>
          </cell>
          <cell r="D2460">
            <v>271114</v>
          </cell>
          <cell r="E2460" t="str">
            <v>Mass</v>
          </cell>
          <cell r="F2460">
            <v>1</v>
          </cell>
          <cell r="G2460" t="str">
            <v>tonne</v>
          </cell>
          <cell r="H2460">
            <v>1</v>
          </cell>
          <cell r="I2460" t="str">
            <v>none</v>
          </cell>
          <cell r="J2460" t="str">
            <v>Production process inventories for naphta, vinyl chloride, PVC, PP, PE.</v>
          </cell>
          <cell r="K2460"/>
          <cell r="L2460"/>
        </row>
        <row r="2461">
          <cell r="A2461" t="str">
            <v>[a] polyethylene production</v>
          </cell>
          <cell r="B2461" t="str">
            <v>carbon dioxide</v>
          </cell>
          <cell r="C2461" t="str">
            <v>to environment (emission, direct)</v>
          </cell>
          <cell r="D2461"/>
          <cell r="E2461" t="str">
            <v>Mass</v>
          </cell>
          <cell r="F2461">
            <v>3.4904803999999998E-2</v>
          </cell>
          <cell r="G2461" t="str">
            <v>tonne</v>
          </cell>
          <cell r="H2461">
            <v>1</v>
          </cell>
          <cell r="I2461" t="str">
            <v>none</v>
          </cell>
          <cell r="J2461" t="str">
            <v>Production process inventories for naphta, vinyl chloride, PVC, PP, PE.</v>
          </cell>
          <cell r="K2461"/>
          <cell r="L2461"/>
        </row>
        <row r="2462">
          <cell r="A2462" t="str">
            <v>[a] polyethylene production</v>
          </cell>
          <cell r="B2462" t="str">
            <v>CH4</v>
          </cell>
          <cell r="C2462" t="str">
            <v>to environment (emission, direct)</v>
          </cell>
          <cell r="D2462"/>
          <cell r="E2462" t="str">
            <v>Mass</v>
          </cell>
          <cell r="F2462">
            <v>0</v>
          </cell>
          <cell r="G2462" t="str">
            <v>tonne</v>
          </cell>
          <cell r="H2462">
            <v>1</v>
          </cell>
          <cell r="I2462" t="str">
            <v>none</v>
          </cell>
          <cell r="J2462" t="str">
            <v>Production process inventories for naphta, vinyl chloride, PVC, PP, PE.</v>
          </cell>
          <cell r="K2462"/>
          <cell r="L2462"/>
        </row>
        <row r="2463">
          <cell r="A2463" t="str">
            <v>[a] polyethylene production</v>
          </cell>
          <cell r="B2463" t="str">
            <v>ethylene</v>
          </cell>
          <cell r="C2463" t="str">
            <v>from technosphere (material)</v>
          </cell>
          <cell r="D2463"/>
          <cell r="E2463" t="str">
            <v>Mass</v>
          </cell>
          <cell r="F2463">
            <v>1.0018</v>
          </cell>
          <cell r="G2463" t="str">
            <v>tonne</v>
          </cell>
          <cell r="H2463">
            <v>1</v>
          </cell>
          <cell r="I2463" t="str">
            <v>none</v>
          </cell>
          <cell r="J2463" t="str">
            <v>Production process inventories for naphta, vinyl chloride, PVC, PP, PE.</v>
          </cell>
          <cell r="K2463"/>
          <cell r="L2463"/>
        </row>
        <row r="2464">
          <cell r="A2464" t="str">
            <v>[a] polyethylene production</v>
          </cell>
          <cell r="B2464" t="str">
            <v>natural gas</v>
          </cell>
          <cell r="C2464" t="str">
            <v>from technosphere (energy_carrier)</v>
          </cell>
          <cell r="D2464"/>
          <cell r="E2464" t="str">
            <v>Energy</v>
          </cell>
          <cell r="F2464">
            <v>0.12831000000000001</v>
          </cell>
          <cell r="G2464" t="str">
            <v>GJ</v>
          </cell>
          <cell r="H2464">
            <v>1</v>
          </cell>
          <cell r="I2464" t="str">
            <v>none</v>
          </cell>
          <cell r="J2464" t="str">
            <v>Production process inventories for naphta, vinyl chloride, PVC, PP, PE.</v>
          </cell>
          <cell r="K2464"/>
          <cell r="L2464"/>
        </row>
        <row r="2465">
          <cell r="A2465" t="str">
            <v>[a] polyethylene production</v>
          </cell>
          <cell r="B2465" t="str">
            <v>electricity</v>
          </cell>
          <cell r="C2465" t="str">
            <v>from technosphere (energy_carrier)</v>
          </cell>
          <cell r="D2465"/>
          <cell r="E2465" t="str">
            <v>Energy</v>
          </cell>
          <cell r="F2465">
            <v>1.5551999999999999</v>
          </cell>
          <cell r="G2465" t="str">
            <v>GJ</v>
          </cell>
          <cell r="H2465">
            <v>1</v>
          </cell>
          <cell r="I2465" t="str">
            <v>none</v>
          </cell>
          <cell r="J2465" t="str">
            <v>Production process inventories for naphta, vinyl chloride, PVC, PP, PE.</v>
          </cell>
          <cell r="K2465"/>
          <cell r="L2465"/>
        </row>
        <row r="2466">
          <cell r="A2466" t="str">
            <v>[a] polyethylene production</v>
          </cell>
          <cell r="B2466" t="str">
            <v>heat</v>
          </cell>
          <cell r="C2466" t="str">
            <v>from technosphere (energy_carrier)</v>
          </cell>
          <cell r="D2466"/>
          <cell r="E2466" t="str">
            <v>Energy</v>
          </cell>
          <cell r="F2466">
            <v>1.121</v>
          </cell>
          <cell r="G2466" t="str">
            <v>GJ</v>
          </cell>
          <cell r="H2466">
            <v>1</v>
          </cell>
          <cell r="I2466" t="str">
            <v>none</v>
          </cell>
          <cell r="J2466" t="str">
            <v>Production process inventories for naphta, vinyl chloride, PVC, PP, PE.</v>
          </cell>
          <cell r="K2466"/>
          <cell r="L2466"/>
        </row>
        <row r="2467">
          <cell r="A2467" t="str">
            <v>[a] polyethylene production</v>
          </cell>
          <cell r="B2467" t="str">
            <v>hydrogen</v>
          </cell>
          <cell r="C2467" t="str">
            <v>from technosphere (material)</v>
          </cell>
          <cell r="D2467"/>
          <cell r="E2467" t="str">
            <v>Mass</v>
          </cell>
          <cell r="F2467">
            <v>2.4000000000000001E-4</v>
          </cell>
          <cell r="G2467" t="str">
            <v>tonne</v>
          </cell>
          <cell r="H2467">
            <v>1</v>
          </cell>
          <cell r="I2467" t="str">
            <v>none</v>
          </cell>
          <cell r="J2467" t="str">
            <v>Production process inventories for naphta, vinyl chloride, PVC, PP, PE.</v>
          </cell>
          <cell r="K2467"/>
          <cell r="L2467"/>
        </row>
        <row r="2468">
          <cell r="A2468" t="str">
            <v>[a] polypropylene production</v>
          </cell>
          <cell r="B2468" t="str">
            <v>polypropylene</v>
          </cell>
          <cell r="C2468" t="str">
            <v>reference_product</v>
          </cell>
          <cell r="D2468">
            <v>271114</v>
          </cell>
          <cell r="E2468" t="str">
            <v>Mass</v>
          </cell>
          <cell r="F2468">
            <v>1</v>
          </cell>
          <cell r="G2468" t="str">
            <v>tonne</v>
          </cell>
          <cell r="H2468">
            <v>1</v>
          </cell>
          <cell r="I2468" t="str">
            <v>none</v>
          </cell>
          <cell r="J2468" t="str">
            <v>Production process inventories for naphta, vinyl chloride, PVC, PP, PE.</v>
          </cell>
          <cell r="K2468"/>
          <cell r="L2468"/>
        </row>
        <row r="2469">
          <cell r="A2469" t="str">
            <v>[a] polypropylene production</v>
          </cell>
          <cell r="B2469" t="str">
            <v>carbon dioxide</v>
          </cell>
          <cell r="C2469" t="str">
            <v>to environment (emission, direct)</v>
          </cell>
          <cell r="D2469"/>
          <cell r="E2469" t="str">
            <v>Mass</v>
          </cell>
          <cell r="F2469">
            <v>4.1573270000000002E-2</v>
          </cell>
          <cell r="G2469" t="str">
            <v>tonne</v>
          </cell>
          <cell r="H2469">
            <v>1</v>
          </cell>
          <cell r="I2469" t="str">
            <v>none</v>
          </cell>
          <cell r="J2469" t="str">
            <v>Production process inventories for naphta, vinyl chloride, PVC, PP, PE.</v>
          </cell>
          <cell r="K2469"/>
          <cell r="L2469"/>
        </row>
        <row r="2470">
          <cell r="A2470" t="str">
            <v>[a] polypropylene production</v>
          </cell>
          <cell r="B2470" t="str">
            <v>CH4</v>
          </cell>
          <cell r="C2470" t="str">
            <v>to environment (emission, direct)</v>
          </cell>
          <cell r="D2470"/>
          <cell r="E2470" t="str">
            <v>Mass</v>
          </cell>
          <cell r="F2470">
            <v>3.2054299999999998E-6</v>
          </cell>
          <cell r="G2470" t="str">
            <v>tonne</v>
          </cell>
          <cell r="H2470">
            <v>1</v>
          </cell>
          <cell r="I2470" t="str">
            <v>none</v>
          </cell>
          <cell r="J2470" t="str">
            <v>Production process inventories for naphta, vinyl chloride, PVC, PP, PE.</v>
          </cell>
          <cell r="K2470"/>
          <cell r="L2470"/>
        </row>
        <row r="2471">
          <cell r="A2471" t="str">
            <v>[a] polypropylene production</v>
          </cell>
          <cell r="B2471" t="str">
            <v>propylene</v>
          </cell>
          <cell r="C2471" t="str">
            <v>from technosphere (material)</v>
          </cell>
          <cell r="D2471"/>
          <cell r="E2471" t="str">
            <v>Mass</v>
          </cell>
          <cell r="F2471">
            <v>0.98765999999999998</v>
          </cell>
          <cell r="G2471" t="str">
            <v>tonne</v>
          </cell>
          <cell r="H2471">
            <v>1</v>
          </cell>
          <cell r="I2471" t="str">
            <v>none</v>
          </cell>
          <cell r="J2471" t="str">
            <v>Production process inventories for naphta, vinyl chloride, PVC, PP, PE.</v>
          </cell>
          <cell r="K2471"/>
          <cell r="L2471"/>
        </row>
        <row r="2472">
          <cell r="A2472" t="str">
            <v>[a] polypropylene production</v>
          </cell>
          <cell r="B2472" t="str">
            <v>natural gas</v>
          </cell>
          <cell r="C2472" t="str">
            <v>from technosphere (energy_carrier)</v>
          </cell>
          <cell r="D2472"/>
          <cell r="E2472" t="str">
            <v>Energy</v>
          </cell>
          <cell r="F2472">
            <v>0.19694999999999999</v>
          </cell>
          <cell r="G2472" t="str">
            <v>GJ</v>
          </cell>
          <cell r="H2472">
            <v>1</v>
          </cell>
          <cell r="I2472" t="str">
            <v>none</v>
          </cell>
          <cell r="J2472" t="str">
            <v>Production process inventories for naphta, vinyl chloride, PVC, PP, PE.</v>
          </cell>
          <cell r="K2472"/>
          <cell r="L2472"/>
        </row>
        <row r="2473">
          <cell r="A2473" t="str">
            <v>[a] polypropylene production</v>
          </cell>
          <cell r="B2473" t="str">
            <v>electricity</v>
          </cell>
          <cell r="C2473" t="str">
            <v>from technosphere (energy_carrier)</v>
          </cell>
          <cell r="D2473"/>
          <cell r="E2473" t="str">
            <v>Energy</v>
          </cell>
          <cell r="F2473">
            <v>1.26468</v>
          </cell>
          <cell r="G2473" t="str">
            <v>GJ</v>
          </cell>
          <cell r="H2473">
            <v>1</v>
          </cell>
          <cell r="I2473" t="str">
            <v>none</v>
          </cell>
          <cell r="J2473" t="str">
            <v>Production process inventories for naphta, vinyl chloride, PVC, PP, PE.</v>
          </cell>
          <cell r="K2473"/>
          <cell r="L2473"/>
        </row>
        <row r="2474">
          <cell r="A2474" t="str">
            <v>[a] polypropylene production</v>
          </cell>
          <cell r="B2474" t="str">
            <v>heat</v>
          </cell>
          <cell r="C2474" t="str">
            <v>from technosphere (energy_carrier)</v>
          </cell>
          <cell r="D2474"/>
          <cell r="E2474" t="str">
            <v>Energy</v>
          </cell>
          <cell r="F2474">
            <v>0.56899999999999995</v>
          </cell>
          <cell r="G2474" t="str">
            <v>GJ</v>
          </cell>
          <cell r="H2474">
            <v>1</v>
          </cell>
          <cell r="I2474" t="str">
            <v>none</v>
          </cell>
          <cell r="J2474" t="str">
            <v>Production process inventories for naphta, vinyl chloride, PVC, PP, PE.</v>
          </cell>
          <cell r="K2474"/>
          <cell r="L2474"/>
        </row>
        <row r="2475">
          <cell r="A2475" t="str">
            <v>[a] polypropylene production</v>
          </cell>
          <cell r="B2475" t="str">
            <v>hydrogen</v>
          </cell>
          <cell r="C2475" t="str">
            <v>from technosphere (material)</v>
          </cell>
          <cell r="D2475"/>
          <cell r="E2475" t="str">
            <v>Mass</v>
          </cell>
          <cell r="F2475">
            <v>2.0000000000000001E-4</v>
          </cell>
          <cell r="G2475" t="str">
            <v>tonne</v>
          </cell>
          <cell r="H2475">
            <v>1</v>
          </cell>
          <cell r="I2475" t="str">
            <v>none</v>
          </cell>
          <cell r="J2475" t="str">
            <v>Production process inventories for naphta, vinyl chloride, PVC, PP, PE.</v>
          </cell>
          <cell r="K2475"/>
          <cell r="L2475"/>
        </row>
        <row r="2476">
          <cell r="A2476" t="str">
            <v>[a] polypropylene production</v>
          </cell>
          <cell r="B2476" t="str">
            <v>nitrogen, liquid</v>
          </cell>
          <cell r="C2476" t="str">
            <v>from technosphere (material)</v>
          </cell>
          <cell r="D2476"/>
          <cell r="E2476" t="str">
            <v>Mass</v>
          </cell>
          <cell r="F2476">
            <v>5.2600000000000001E-2</v>
          </cell>
          <cell r="G2476" t="str">
            <v>tonne</v>
          </cell>
          <cell r="H2476">
            <v>1</v>
          </cell>
          <cell r="I2476" t="str">
            <v>none</v>
          </cell>
          <cell r="J2476" t="str">
            <v>Production process inventories for naphta, vinyl chloride, PVC, PP, PE.</v>
          </cell>
          <cell r="K2476"/>
          <cell r="L2476"/>
        </row>
        <row r="2477">
          <cell r="A2477" t="str">
            <v>[Rueter] production of solid structural timber</v>
          </cell>
          <cell r="B2477" t="str">
            <v>solid structural timber</v>
          </cell>
          <cell r="C2477" t="str">
            <v>reference_product</v>
          </cell>
          <cell r="D2477">
            <v>4407</v>
          </cell>
          <cell r="E2477" t="str">
            <v>Mass</v>
          </cell>
          <cell r="F2477">
            <v>1</v>
          </cell>
          <cell r="G2477" t="str">
            <v>m³</v>
          </cell>
          <cell r="H2477">
            <v>1</v>
          </cell>
          <cell r="I2477" t="str">
            <v>none</v>
          </cell>
          <cell r="J2477" t="str">
            <v>production process inventory for wood products</v>
          </cell>
          <cell r="K2477"/>
          <cell r="L2477" t="str">
            <v>from Table Tabelle 3.2.5.C in the main reference of this data process</v>
          </cell>
        </row>
        <row r="2478">
          <cell r="A2478" t="str">
            <v>[Rueter] production of solid structural timber</v>
          </cell>
          <cell r="B2478" t="str">
            <v>sawdust and woodchips</v>
          </cell>
          <cell r="C2478" t="str">
            <v>to technosphere (by-product)</v>
          </cell>
          <cell r="D2478"/>
          <cell r="E2478" t="str">
            <v>Mass</v>
          </cell>
          <cell r="F2478">
            <v>0.45600000000000002</v>
          </cell>
          <cell r="G2478" t="str">
            <v>m³</v>
          </cell>
          <cell r="H2478">
            <v>1</v>
          </cell>
          <cell r="I2478" t="str">
            <v>none</v>
          </cell>
          <cell r="J2478" t="str">
            <v>production process inventory for wood products</v>
          </cell>
          <cell r="K2478"/>
          <cell r="L2478" t="str">
            <v>from Table Tabelle 3.2.5.C in the main reference of this data process</v>
          </cell>
        </row>
        <row r="2479">
          <cell r="A2479" t="str">
            <v>[Rueter] production of solid structural timber</v>
          </cell>
          <cell r="B2479" t="str">
            <v>roundwood with bark</v>
          </cell>
          <cell r="C2479" t="str">
            <v>from technosphere (material)</v>
          </cell>
          <cell r="D2479"/>
          <cell r="E2479" t="str">
            <v>Mass</v>
          </cell>
          <cell r="F2479">
            <v>0.52900000000000003</v>
          </cell>
          <cell r="G2479" t="str">
            <v>m³</v>
          </cell>
          <cell r="H2479">
            <v>1</v>
          </cell>
          <cell r="I2479" t="str">
            <v>none</v>
          </cell>
          <cell r="J2479" t="str">
            <v>production process inventory for wood products</v>
          </cell>
          <cell r="K2479"/>
          <cell r="L2479" t="str">
            <v>from Table Tabelle 3.2.5.C in the main reference of this data process</v>
          </cell>
        </row>
        <row r="2480">
          <cell r="A2480" t="str">
            <v>[Rueter] production of solid structural timber</v>
          </cell>
          <cell r="B2480" t="str">
            <v>sawnwood, not dried</v>
          </cell>
          <cell r="C2480" t="str">
            <v>from technosphere (material)</v>
          </cell>
          <cell r="D2480"/>
          <cell r="E2480" t="str">
            <v>Mass</v>
          </cell>
          <cell r="F2480">
            <v>0.379</v>
          </cell>
          <cell r="G2480" t="str">
            <v>m³</v>
          </cell>
          <cell r="H2480">
            <v>1</v>
          </cell>
          <cell r="I2480" t="str">
            <v>none</v>
          </cell>
          <cell r="J2480" t="str">
            <v>production process inventory for wood products</v>
          </cell>
          <cell r="K2480"/>
          <cell r="L2480" t="str">
            <v>from Table Tabelle 3.2.5.C in the main reference of this data process</v>
          </cell>
        </row>
        <row r="2481">
          <cell r="A2481" t="str">
            <v>[Rueter] production of solid structural timber</v>
          </cell>
          <cell r="B2481" t="str">
            <v>sawnwood, dried in chamber</v>
          </cell>
          <cell r="C2481" t="str">
            <v>from technosphere (material)</v>
          </cell>
          <cell r="D2481"/>
          <cell r="E2481" t="str">
            <v>Mass</v>
          </cell>
          <cell r="F2481">
            <v>0.54900000000000004</v>
          </cell>
          <cell r="G2481" t="str">
            <v>m³</v>
          </cell>
          <cell r="H2481">
            <v>1</v>
          </cell>
          <cell r="I2481" t="str">
            <v>none</v>
          </cell>
          <cell r="J2481" t="str">
            <v>production process inventory for wood products</v>
          </cell>
          <cell r="K2481"/>
          <cell r="L2481" t="str">
            <v>from Table Tabelle 3.2.5.C in the main reference of this data process</v>
          </cell>
        </row>
        <row r="2482">
          <cell r="A2482" t="str">
            <v>[Rueter] production of solid structural timber</v>
          </cell>
          <cell r="B2482" t="str">
            <v>electricity</v>
          </cell>
          <cell r="C2482" t="str">
            <v>from technosphere (energy_carrier)</v>
          </cell>
          <cell r="D2482"/>
          <cell r="E2482" t="str">
            <v>Energy</v>
          </cell>
          <cell r="F2482">
            <v>58.662999999999997</v>
          </cell>
          <cell r="G2482" t="str">
            <v>kWh</v>
          </cell>
          <cell r="H2482">
            <v>1</v>
          </cell>
          <cell r="I2482" t="str">
            <v>none</v>
          </cell>
          <cell r="J2482" t="str">
            <v>production process inventory for wood products</v>
          </cell>
          <cell r="K2482"/>
          <cell r="L2482" t="str">
            <v>from Table Tabelle 3.2.5.C in the main reference of this data process</v>
          </cell>
        </row>
        <row r="2483">
          <cell r="A2483" t="str">
            <v>[Rueter] production of solid structural timber</v>
          </cell>
          <cell r="B2483" t="str">
            <v>natural gas</v>
          </cell>
          <cell r="C2483" t="str">
            <v>from technosphere (energy_carrier)</v>
          </cell>
          <cell r="D2483"/>
          <cell r="E2483" t="str">
            <v>Energy</v>
          </cell>
          <cell r="F2483">
            <v>6.23</v>
          </cell>
          <cell r="G2483" t="str">
            <v>MJ</v>
          </cell>
          <cell r="H2483">
            <v>1</v>
          </cell>
          <cell r="I2483" t="str">
            <v>none</v>
          </cell>
          <cell r="J2483" t="str">
            <v>production process inventory for wood products</v>
          </cell>
          <cell r="K2483"/>
          <cell r="L2483" t="str">
            <v>from Table Tabelle 3.2.5.C in the main reference of this data process</v>
          </cell>
        </row>
        <row r="2484">
          <cell r="A2484" t="str">
            <v>[Rueter] production of solid structural timber</v>
          </cell>
          <cell r="B2484" t="str">
            <v>fuel oil</v>
          </cell>
          <cell r="C2484" t="str">
            <v>from technosphere (energy_carrier)</v>
          </cell>
          <cell r="D2484"/>
          <cell r="E2484" t="str">
            <v>Energy</v>
          </cell>
          <cell r="F2484">
            <v>41.506</v>
          </cell>
          <cell r="G2484" t="str">
            <v>MJ</v>
          </cell>
          <cell r="H2484">
            <v>1</v>
          </cell>
          <cell r="I2484" t="str">
            <v>none</v>
          </cell>
          <cell r="J2484" t="str">
            <v>production process inventory for wood products</v>
          </cell>
          <cell r="K2484"/>
          <cell r="L2484" t="str">
            <v>from Table Tabelle 3.2.5.C in the main reference of this data process</v>
          </cell>
        </row>
        <row r="2485">
          <cell r="A2485" t="str">
            <v>[Rueter] production of solid structural timber</v>
          </cell>
          <cell r="B2485" t="str">
            <v>waste wood</v>
          </cell>
          <cell r="C2485" t="str">
            <v>from technosphere (energy_carrier)</v>
          </cell>
          <cell r="D2485"/>
          <cell r="E2485" t="str">
            <v>Energy</v>
          </cell>
          <cell r="F2485">
            <v>115.961</v>
          </cell>
          <cell r="G2485" t="str">
            <v>MJ</v>
          </cell>
          <cell r="H2485">
            <v>1</v>
          </cell>
          <cell r="I2485" t="str">
            <v>none</v>
          </cell>
          <cell r="J2485" t="str">
            <v>production process inventory for wood products</v>
          </cell>
          <cell r="K2485"/>
          <cell r="L2485" t="str">
            <v>from Table Tabelle 3.2.5.C in the main reference of this data process</v>
          </cell>
        </row>
        <row r="2486">
          <cell r="A2486" t="str">
            <v>[Rueter] production of solid structural timber</v>
          </cell>
          <cell r="B2486" t="str">
            <v>waste wood</v>
          </cell>
          <cell r="C2486" t="str">
            <v>from technosphere (use of own by-product)</v>
          </cell>
          <cell r="D2486"/>
          <cell r="E2486" t="str">
            <v>Energy</v>
          </cell>
          <cell r="F2486">
            <v>1186.3399999999999</v>
          </cell>
          <cell r="G2486" t="str">
            <v>MJ</v>
          </cell>
          <cell r="H2486">
            <v>1</v>
          </cell>
          <cell r="I2486" t="str">
            <v>none</v>
          </cell>
          <cell r="J2486" t="str">
            <v>production process inventory for wood products</v>
          </cell>
          <cell r="K2486"/>
          <cell r="L2486" t="str">
            <v>from Table Tabelle 3.2.5.C in the main reference of this data process</v>
          </cell>
        </row>
        <row r="2487">
          <cell r="A2487" t="str">
            <v>[Rueter] production of solid structural timber</v>
          </cell>
          <cell r="B2487" t="str">
            <v>diesel</v>
          </cell>
          <cell r="C2487" t="str">
            <v>from technosphere (energy_carrier)</v>
          </cell>
          <cell r="D2487"/>
          <cell r="E2487" t="str">
            <v>Energy</v>
          </cell>
          <cell r="F2487">
            <v>56.64</v>
          </cell>
          <cell r="G2487" t="str">
            <v>MJ</v>
          </cell>
          <cell r="H2487">
            <v>1</v>
          </cell>
          <cell r="I2487" t="str">
            <v>none</v>
          </cell>
          <cell r="J2487" t="str">
            <v>production process inventory for wood products</v>
          </cell>
          <cell r="K2487"/>
          <cell r="L2487" t="str">
            <v>from Table Tabelle 3.2.5.C in the main reference of this data process</v>
          </cell>
        </row>
        <row r="2488">
          <cell r="A2488" t="str">
            <v>[Rueter] production of solid structural timber</v>
          </cell>
          <cell r="B2488" t="str">
            <v>melamine formaldehyde resin</v>
          </cell>
          <cell r="C2488" t="str">
            <v>from technosphere (material)</v>
          </cell>
          <cell r="D2488"/>
          <cell r="E2488" t="str">
            <v>Mass</v>
          </cell>
          <cell r="F2488">
            <v>0.21199999999999999</v>
          </cell>
          <cell r="G2488" t="str">
            <v>kg</v>
          </cell>
          <cell r="H2488">
            <v>1</v>
          </cell>
          <cell r="I2488" t="str">
            <v>none</v>
          </cell>
          <cell r="J2488" t="str">
            <v>production process inventory for wood products</v>
          </cell>
          <cell r="K2488"/>
          <cell r="L2488" t="str">
            <v>from Table Tabelle 3.2.5.C in the main reference of this data process</v>
          </cell>
        </row>
        <row r="2489">
          <cell r="A2489" t="str">
            <v>[Rueter] production of solid structural timber</v>
          </cell>
          <cell r="B2489" t="str">
            <v>polyurethaneresin</v>
          </cell>
          <cell r="C2489" t="str">
            <v>from technosphere (material)</v>
          </cell>
          <cell r="D2489"/>
          <cell r="E2489" t="str">
            <v>Mass</v>
          </cell>
          <cell r="F2489">
            <v>0.29099999999999998</v>
          </cell>
          <cell r="G2489" t="str">
            <v>kg</v>
          </cell>
          <cell r="H2489">
            <v>1</v>
          </cell>
          <cell r="I2489" t="str">
            <v>none</v>
          </cell>
          <cell r="J2489" t="str">
            <v>production process inventory for wood products</v>
          </cell>
          <cell r="K2489"/>
          <cell r="L2489" t="str">
            <v>from Table Tabelle 3.2.5.C in the main reference of this data process</v>
          </cell>
        </row>
        <row r="2490">
          <cell r="A2490" t="str">
            <v>[Rueter] production of solid structural timber</v>
          </cell>
          <cell r="B2490" t="str">
            <v>carbon dioxide</v>
          </cell>
          <cell r="C2490" t="str">
            <v>to environment (emission, direct)</v>
          </cell>
          <cell r="D2490"/>
          <cell r="E2490" t="str">
            <v>Mass</v>
          </cell>
          <cell r="F2490">
            <v>7.4554285709999997</v>
          </cell>
          <cell r="G2490" t="str">
            <v>kg</v>
          </cell>
          <cell r="H2490">
            <v>1</v>
          </cell>
          <cell r="I2490" t="str">
            <v>none</v>
          </cell>
          <cell r="J2490" t="str">
            <v>production process inventory for wood products</v>
          </cell>
          <cell r="K2490"/>
          <cell r="L2490" t="str">
            <v>from values on https://en.wikipedia.org/wiki/Energy_content_of_biofuel</v>
          </cell>
        </row>
        <row r="2491">
          <cell r="A2491" t="str">
            <v>[Rueter] production of solid structural timber</v>
          </cell>
          <cell r="B2491" t="str">
            <v>carbon dioxide</v>
          </cell>
          <cell r="C2491" t="str">
            <v>to environment (emission, direct, biogenic)</v>
          </cell>
          <cell r="D2491"/>
          <cell r="E2491" t="str">
            <v>Mass</v>
          </cell>
          <cell r="F2491">
            <v>130.23009999999999</v>
          </cell>
          <cell r="G2491" t="str">
            <v>kg</v>
          </cell>
          <cell r="H2491">
            <v>1</v>
          </cell>
          <cell r="I2491" t="str">
            <v>none</v>
          </cell>
          <cell r="J2491" t="str">
            <v>production process inventory for wood products</v>
          </cell>
          <cell r="K2491"/>
          <cell r="L2491" t="str">
            <v>from values on https://en.wikipedia.org/wiki/Energy_content_of_biofuel</v>
          </cell>
        </row>
        <row r="2492">
          <cell r="A2492" t="str">
            <v>[Rueter] production of glued-laminated timber</v>
          </cell>
          <cell r="B2492" t="str">
            <v>glued-laminated timber</v>
          </cell>
          <cell r="C2492" t="str">
            <v>reference_product</v>
          </cell>
          <cell r="D2492">
            <v>4412</v>
          </cell>
          <cell r="E2492" t="str">
            <v>Mass</v>
          </cell>
          <cell r="F2492">
            <v>1</v>
          </cell>
          <cell r="G2492" t="str">
            <v>m³</v>
          </cell>
          <cell r="H2492">
            <v>1</v>
          </cell>
          <cell r="I2492" t="str">
            <v>none</v>
          </cell>
          <cell r="J2492" t="str">
            <v>production process inventory for wood products</v>
          </cell>
          <cell r="K2492"/>
          <cell r="L2492" t="str">
            <v>from Table Tabelle 3.2.6.C in the main reference of this data process</v>
          </cell>
        </row>
        <row r="2493">
          <cell r="A2493" t="str">
            <v>[Rueter] production of glued-laminated timber</v>
          </cell>
          <cell r="B2493" t="str">
            <v>sawdust and woodchips</v>
          </cell>
          <cell r="C2493" t="str">
            <v>to technosphere (by-product)</v>
          </cell>
          <cell r="D2493"/>
          <cell r="E2493" t="str">
            <v>Mass</v>
          </cell>
          <cell r="F2493">
            <v>0.40300000000000002</v>
          </cell>
          <cell r="G2493" t="str">
            <v>m³</v>
          </cell>
          <cell r="H2493">
            <v>1</v>
          </cell>
          <cell r="I2493" t="str">
            <v>none</v>
          </cell>
          <cell r="J2493" t="str">
            <v>production process inventory for wood products</v>
          </cell>
          <cell r="K2493"/>
          <cell r="L2493" t="str">
            <v>from Table Tabelle 3.2.6.C in the main reference of this data process</v>
          </cell>
        </row>
        <row r="2494">
          <cell r="A2494" t="str">
            <v>[Rueter] production of glued-laminated timber</v>
          </cell>
          <cell r="B2494" t="str">
            <v>roundwood with bark</v>
          </cell>
          <cell r="C2494" t="str">
            <v>from technosphere (material)</v>
          </cell>
          <cell r="D2494"/>
          <cell r="E2494" t="str">
            <v>Mass</v>
          </cell>
          <cell r="F2494">
            <v>0.30599999999999999</v>
          </cell>
          <cell r="G2494" t="str">
            <v>m³</v>
          </cell>
          <cell r="H2494">
            <v>1</v>
          </cell>
          <cell r="I2494" t="str">
            <v>none</v>
          </cell>
          <cell r="J2494" t="str">
            <v>production process inventory for wood products</v>
          </cell>
          <cell r="K2494"/>
          <cell r="L2494" t="str">
            <v>from Table Tabelle 3.2.6.C in the main reference of this data process</v>
          </cell>
        </row>
        <row r="2495">
          <cell r="A2495" t="str">
            <v>[Rueter] production of glued-laminated timber</v>
          </cell>
          <cell r="B2495" t="str">
            <v>sawnwood, not dried</v>
          </cell>
          <cell r="C2495" t="str">
            <v>from technosphere (material)</v>
          </cell>
          <cell r="D2495"/>
          <cell r="E2495" t="str">
            <v>Mass</v>
          </cell>
          <cell r="F2495">
            <v>0.65900000000000003</v>
          </cell>
          <cell r="G2495" t="str">
            <v>m³</v>
          </cell>
          <cell r="H2495">
            <v>1</v>
          </cell>
          <cell r="I2495" t="str">
            <v>none</v>
          </cell>
          <cell r="J2495" t="str">
            <v>production process inventory for wood products</v>
          </cell>
          <cell r="K2495"/>
          <cell r="L2495" t="str">
            <v>from Table Tabelle 3.2.6.C in the main reference of this data process</v>
          </cell>
        </row>
        <row r="2496">
          <cell r="A2496" t="str">
            <v>[Rueter] production of glued-laminated timber</v>
          </cell>
          <cell r="B2496" t="str">
            <v>sawnwood, dried in chamber</v>
          </cell>
          <cell r="C2496" t="str">
            <v>from technosphere (material)</v>
          </cell>
          <cell r="D2496"/>
          <cell r="E2496" t="str">
            <v>Mass</v>
          </cell>
          <cell r="F2496">
            <v>0.438</v>
          </cell>
          <cell r="G2496" t="str">
            <v>m³</v>
          </cell>
          <cell r="H2496">
            <v>1</v>
          </cell>
          <cell r="I2496" t="str">
            <v>none</v>
          </cell>
          <cell r="J2496" t="str">
            <v>production process inventory for wood products</v>
          </cell>
          <cell r="K2496"/>
          <cell r="L2496" t="str">
            <v>from Table Tabelle 3.2.6.C in the main reference of this data process</v>
          </cell>
        </row>
        <row r="2497">
          <cell r="A2497" t="str">
            <v>[Rueter] production of glued-laminated timber</v>
          </cell>
          <cell r="B2497" t="str">
            <v>electricity</v>
          </cell>
          <cell r="C2497" t="str">
            <v>from technosphere (energy_carrier)</v>
          </cell>
          <cell r="D2497"/>
          <cell r="E2497" t="str">
            <v>Energy</v>
          </cell>
          <cell r="F2497">
            <v>88.619</v>
          </cell>
          <cell r="G2497" t="str">
            <v>kWh</v>
          </cell>
          <cell r="H2497">
            <v>1</v>
          </cell>
          <cell r="I2497" t="str">
            <v>none</v>
          </cell>
          <cell r="J2497" t="str">
            <v>production process inventory for wood products</v>
          </cell>
          <cell r="K2497"/>
          <cell r="L2497" t="str">
            <v>from Table Tabelle 3.2.6.C in the main reference of this data process</v>
          </cell>
        </row>
        <row r="2498">
          <cell r="A2498" t="str">
            <v>[Rueter] production of glued-laminated timber</v>
          </cell>
          <cell r="B2498" t="str">
            <v>natural gas</v>
          </cell>
          <cell r="C2498" t="str">
            <v>from technosphere (energy_carrier)</v>
          </cell>
          <cell r="D2498"/>
          <cell r="E2498" t="str">
            <v>Energy</v>
          </cell>
          <cell r="F2498">
            <v>6.6630000000000003</v>
          </cell>
          <cell r="G2498" t="str">
            <v>MJ</v>
          </cell>
          <cell r="H2498">
            <v>1</v>
          </cell>
          <cell r="I2498" t="str">
            <v>none</v>
          </cell>
          <cell r="J2498" t="str">
            <v>production process inventory for wood products</v>
          </cell>
          <cell r="K2498"/>
          <cell r="L2498" t="str">
            <v>from Table Tabelle 3.2.6.C in the main reference of this data process</v>
          </cell>
        </row>
        <row r="2499">
          <cell r="A2499" t="str">
            <v>[Rueter] production of glued-laminated timber</v>
          </cell>
          <cell r="B2499" t="str">
            <v>fuel oil</v>
          </cell>
          <cell r="C2499" t="str">
            <v>from technosphere (energy_carrier)</v>
          </cell>
          <cell r="D2499"/>
          <cell r="E2499" t="str">
            <v>Energy</v>
          </cell>
          <cell r="F2499">
            <v>114.39700000000001</v>
          </cell>
          <cell r="G2499" t="str">
            <v>MJ</v>
          </cell>
          <cell r="H2499">
            <v>1</v>
          </cell>
          <cell r="I2499" t="str">
            <v>none</v>
          </cell>
          <cell r="J2499" t="str">
            <v>production process inventory for wood products</v>
          </cell>
          <cell r="K2499"/>
          <cell r="L2499" t="str">
            <v>from Table Tabelle 3.2.6.C in the main reference of this data process</v>
          </cell>
        </row>
        <row r="2500">
          <cell r="A2500" t="str">
            <v>[Rueter] production of glued-laminated timber</v>
          </cell>
          <cell r="B2500" t="str">
            <v>waste wood</v>
          </cell>
          <cell r="C2500" t="str">
            <v>from technosphere (energy_carrier)</v>
          </cell>
          <cell r="D2500"/>
          <cell r="E2500" t="str">
            <v>Energy</v>
          </cell>
          <cell r="F2500">
            <v>19.78</v>
          </cell>
          <cell r="G2500" t="str">
            <v>MJ</v>
          </cell>
          <cell r="H2500">
            <v>1</v>
          </cell>
          <cell r="I2500" t="str">
            <v>none</v>
          </cell>
          <cell r="J2500" t="str">
            <v>production process inventory for wood products</v>
          </cell>
          <cell r="K2500"/>
          <cell r="L2500" t="str">
            <v>from Table Tabelle 3.2.6.C in the main reference of this data process</v>
          </cell>
        </row>
        <row r="2501">
          <cell r="A2501" t="str">
            <v>[Rueter] production of glued-laminated timber</v>
          </cell>
          <cell r="B2501" t="str">
            <v>industrial roundwood</v>
          </cell>
          <cell r="C2501" t="str">
            <v>from technosphere (energy_carrier)</v>
          </cell>
          <cell r="D2501"/>
          <cell r="E2501" t="str">
            <v>Energy</v>
          </cell>
          <cell r="F2501">
            <v>58.198</v>
          </cell>
          <cell r="G2501" t="str">
            <v>MJ</v>
          </cell>
          <cell r="H2501">
            <v>1</v>
          </cell>
          <cell r="I2501" t="str">
            <v>none</v>
          </cell>
          <cell r="J2501" t="str">
            <v>production process inventory for wood products</v>
          </cell>
          <cell r="K2501"/>
          <cell r="L2501" t="str">
            <v>from Table Tabelle 3.2.6.C in the main reference of this data process</v>
          </cell>
        </row>
        <row r="2502">
          <cell r="A2502" t="str">
            <v>[Rueter] production of glued-laminated timber</v>
          </cell>
          <cell r="B2502" t="str">
            <v>waste wood</v>
          </cell>
          <cell r="C2502" t="str">
            <v>from technosphere (use of own by-product)</v>
          </cell>
          <cell r="D2502"/>
          <cell r="E2502" t="str">
            <v>Energy</v>
          </cell>
          <cell r="F2502">
            <v>1228.4690000000001</v>
          </cell>
          <cell r="G2502" t="str">
            <v>MJ</v>
          </cell>
          <cell r="H2502">
            <v>1</v>
          </cell>
          <cell r="I2502" t="str">
            <v>none</v>
          </cell>
          <cell r="J2502" t="str">
            <v>production process inventory for wood products</v>
          </cell>
          <cell r="K2502"/>
          <cell r="L2502" t="str">
            <v>from Table Tabelle 3.2.6.C in the main reference of this data process</v>
          </cell>
        </row>
        <row r="2503">
          <cell r="A2503" t="str">
            <v>[Rueter] production of glued-laminated timber</v>
          </cell>
          <cell r="B2503" t="str">
            <v>diesel</v>
          </cell>
          <cell r="C2503" t="str">
            <v>from technosphere (energy_carrier)</v>
          </cell>
          <cell r="D2503"/>
          <cell r="E2503" t="str">
            <v>Energy</v>
          </cell>
          <cell r="F2503">
            <v>53.04</v>
          </cell>
          <cell r="G2503" t="str">
            <v>MJ</v>
          </cell>
          <cell r="H2503">
            <v>1</v>
          </cell>
          <cell r="I2503" t="str">
            <v>none</v>
          </cell>
          <cell r="J2503" t="str">
            <v>production process inventory for wood products</v>
          </cell>
          <cell r="K2503"/>
          <cell r="L2503" t="str">
            <v>from Table Tabelle 3.2.6.C in the main reference of this data process</v>
          </cell>
        </row>
        <row r="2504">
          <cell r="A2504" t="str">
            <v>[Rueter] production of glued-laminated timber</v>
          </cell>
          <cell r="B2504" t="str">
            <v>melamine formaldehyde resin</v>
          </cell>
          <cell r="C2504" t="str">
            <v>from technosphere (material)</v>
          </cell>
          <cell r="D2504"/>
          <cell r="E2504" t="str">
            <v>Mass</v>
          </cell>
          <cell r="F2504">
            <v>8.7219999999999995</v>
          </cell>
          <cell r="G2504" t="str">
            <v>kg</v>
          </cell>
          <cell r="H2504">
            <v>1</v>
          </cell>
          <cell r="I2504" t="str">
            <v>none</v>
          </cell>
          <cell r="J2504" t="str">
            <v>production process inventory for wood products</v>
          </cell>
          <cell r="K2504"/>
          <cell r="L2504" t="str">
            <v>from Table Tabelle 3.2.6.C in the main reference of this data process</v>
          </cell>
        </row>
        <row r="2505">
          <cell r="A2505" t="str">
            <v>[Rueter] production of glued-laminated timber</v>
          </cell>
          <cell r="B2505" t="str">
            <v>phenol-resorcin-formaldehyde resin</v>
          </cell>
          <cell r="C2505" t="str">
            <v>from technosphere (material)</v>
          </cell>
          <cell r="D2505"/>
          <cell r="E2505" t="str">
            <v>Mass</v>
          </cell>
          <cell r="F2505">
            <v>0.32500000000000001</v>
          </cell>
          <cell r="G2505" t="str">
            <v>kg</v>
          </cell>
          <cell r="H2505">
            <v>1</v>
          </cell>
          <cell r="I2505" t="str">
            <v>none</v>
          </cell>
          <cell r="J2505" t="str">
            <v>production process inventory for wood products</v>
          </cell>
          <cell r="K2505"/>
          <cell r="L2505" t="str">
            <v>from Table Tabelle 3.2.6.C in the main reference of this data process</v>
          </cell>
        </row>
        <row r="2506">
          <cell r="A2506" t="str">
            <v>[Rueter] production of glued-laminated timber</v>
          </cell>
          <cell r="B2506" t="str">
            <v>polyurethaneresin</v>
          </cell>
          <cell r="C2506" t="str">
            <v>from technosphere (material)</v>
          </cell>
          <cell r="D2506"/>
          <cell r="E2506" t="str">
            <v>Mass</v>
          </cell>
          <cell r="F2506">
            <v>0.41499999999999998</v>
          </cell>
          <cell r="G2506" t="str">
            <v>kg</v>
          </cell>
          <cell r="H2506">
            <v>1</v>
          </cell>
          <cell r="I2506" t="str">
            <v>none</v>
          </cell>
          <cell r="J2506" t="str">
            <v>production process inventory for wood products</v>
          </cell>
          <cell r="K2506"/>
          <cell r="L2506" t="str">
            <v>from Table Tabelle 3.2.6.C in the main reference of this data process</v>
          </cell>
        </row>
        <row r="2507">
          <cell r="A2507" t="str">
            <v>[Rueter] production of glued-laminated timber</v>
          </cell>
          <cell r="B2507" t="str">
            <v>carbon dioxide</v>
          </cell>
          <cell r="C2507" t="str">
            <v>to environment (emission, direct)</v>
          </cell>
          <cell r="D2507"/>
          <cell r="E2507" t="str">
            <v>Mass</v>
          </cell>
          <cell r="F2507">
            <v>12.43571429</v>
          </cell>
          <cell r="G2507" t="str">
            <v>kg</v>
          </cell>
          <cell r="H2507">
            <v>1</v>
          </cell>
          <cell r="I2507" t="str">
            <v>none</v>
          </cell>
          <cell r="J2507" t="str">
            <v>production process inventory for wood products</v>
          </cell>
          <cell r="K2507"/>
          <cell r="L2507" t="str">
            <v>from values on https://en.wikipedia.org/wiki/Energy_content_of_biofuel</v>
          </cell>
        </row>
        <row r="2508">
          <cell r="A2508" t="str">
            <v>[Rueter] production of glued-laminated timber</v>
          </cell>
          <cell r="B2508" t="str">
            <v>carbon dioxide</v>
          </cell>
          <cell r="C2508" t="str">
            <v>to environment (emission, direct, biogenic)</v>
          </cell>
          <cell r="D2508"/>
          <cell r="E2508" t="str">
            <v>Mass</v>
          </cell>
          <cell r="F2508">
            <v>130.6447</v>
          </cell>
          <cell r="G2508" t="str">
            <v>kg</v>
          </cell>
          <cell r="H2508">
            <v>1</v>
          </cell>
          <cell r="I2508" t="str">
            <v>none</v>
          </cell>
          <cell r="J2508" t="str">
            <v>production process inventory for wood products</v>
          </cell>
          <cell r="K2508"/>
          <cell r="L2508" t="str">
            <v>from values on https://en.wikipedia.org/wiki/Energy_content_of_biofuel</v>
          </cell>
        </row>
        <row r="2509">
          <cell r="A2509" t="str">
            <v>[Rueter] production of cross laminated timber</v>
          </cell>
          <cell r="B2509" t="str">
            <v>cross laminated timber</v>
          </cell>
          <cell r="C2509" t="str">
            <v>reference_product</v>
          </cell>
          <cell r="D2509">
            <v>4412</v>
          </cell>
          <cell r="E2509" t="str">
            <v>Mass</v>
          </cell>
          <cell r="F2509">
            <v>1</v>
          </cell>
          <cell r="G2509" t="str">
            <v>m³</v>
          </cell>
          <cell r="H2509">
            <v>1</v>
          </cell>
          <cell r="I2509" t="str">
            <v>none</v>
          </cell>
          <cell r="J2509" t="str">
            <v>production process inventory for wood products</v>
          </cell>
          <cell r="K2509"/>
          <cell r="L2509" t="str">
            <v>from Table Tabelle 3.2.9.C in the main reference of this data process</v>
          </cell>
        </row>
        <row r="2510">
          <cell r="A2510" t="str">
            <v>[Rueter] production of cross laminated timber</v>
          </cell>
          <cell r="B2510" t="str">
            <v>sawdust and woodchips</v>
          </cell>
          <cell r="C2510" t="str">
            <v>to technosphere (by-product)</v>
          </cell>
          <cell r="D2510"/>
          <cell r="E2510" t="str">
            <v>Mass</v>
          </cell>
          <cell r="F2510">
            <v>0.58799999999999997</v>
          </cell>
          <cell r="G2510" t="str">
            <v>m³</v>
          </cell>
          <cell r="H2510">
            <v>1</v>
          </cell>
          <cell r="I2510" t="str">
            <v>none</v>
          </cell>
          <cell r="J2510" t="str">
            <v>production process inventory for wood products</v>
          </cell>
          <cell r="K2510"/>
          <cell r="L2510" t="str">
            <v>from Table Tabelle 3.2.9.C in the main reference of this data process</v>
          </cell>
        </row>
        <row r="2511">
          <cell r="A2511" t="str">
            <v>[Rueter] production of cross laminated timber</v>
          </cell>
          <cell r="B2511" t="str">
            <v>roundwood with bark</v>
          </cell>
          <cell r="C2511" t="str">
            <v>from technosphere (material)</v>
          </cell>
          <cell r="D2511"/>
          <cell r="E2511" t="str">
            <v>Mass</v>
          </cell>
          <cell r="F2511">
            <v>0.63300000000000001</v>
          </cell>
          <cell r="G2511" t="str">
            <v>m³</v>
          </cell>
          <cell r="H2511">
            <v>1</v>
          </cell>
          <cell r="I2511" t="str">
            <v>none</v>
          </cell>
          <cell r="J2511" t="str">
            <v>production process inventory for wood products</v>
          </cell>
          <cell r="K2511"/>
          <cell r="L2511" t="str">
            <v>from Table Tabelle 3.2.9.C in the main reference of this data process</v>
          </cell>
        </row>
        <row r="2512">
          <cell r="A2512" t="str">
            <v>[Rueter] production of cross laminated timber</v>
          </cell>
          <cell r="B2512" t="str">
            <v>sawnwood, not dried</v>
          </cell>
          <cell r="C2512" t="str">
            <v>from technosphere (material)</v>
          </cell>
          <cell r="D2512"/>
          <cell r="E2512" t="str">
            <v>Mass</v>
          </cell>
          <cell r="F2512">
            <v>0</v>
          </cell>
          <cell r="G2512" t="str">
            <v>m³</v>
          </cell>
          <cell r="H2512">
            <v>1</v>
          </cell>
          <cell r="I2512" t="str">
            <v>none</v>
          </cell>
          <cell r="J2512" t="str">
            <v>production process inventory for wood products</v>
          </cell>
          <cell r="K2512"/>
          <cell r="L2512" t="str">
            <v>from Table Tabelle 3.2.9.C in the main reference of this data process</v>
          </cell>
        </row>
        <row r="2513">
          <cell r="A2513" t="str">
            <v>[Rueter] production of cross laminated timber</v>
          </cell>
          <cell r="B2513" t="str">
            <v>sawnwood, dried in chamber</v>
          </cell>
          <cell r="C2513" t="str">
            <v>from technosphere (material)</v>
          </cell>
          <cell r="D2513"/>
          <cell r="E2513" t="str">
            <v>Mass</v>
          </cell>
          <cell r="F2513">
            <v>0.95499999999999996</v>
          </cell>
          <cell r="G2513" t="str">
            <v>m³</v>
          </cell>
          <cell r="H2513">
            <v>1</v>
          </cell>
          <cell r="I2513" t="str">
            <v>none</v>
          </cell>
          <cell r="J2513" t="str">
            <v>production process inventory for wood products</v>
          </cell>
          <cell r="K2513"/>
          <cell r="L2513" t="str">
            <v>from Table Tabelle 3.2.9.C in the main reference of this data process</v>
          </cell>
        </row>
        <row r="2514">
          <cell r="A2514" t="str">
            <v>[Rueter] production of cross laminated timber</v>
          </cell>
          <cell r="B2514" t="str">
            <v>electricity</v>
          </cell>
          <cell r="C2514" t="str">
            <v>from technosphere (energy_carrier)</v>
          </cell>
          <cell r="D2514"/>
          <cell r="E2514" t="str">
            <v>Energy</v>
          </cell>
          <cell r="F2514">
            <v>101.776</v>
          </cell>
          <cell r="G2514" t="str">
            <v>kWh</v>
          </cell>
          <cell r="H2514">
            <v>1</v>
          </cell>
          <cell r="I2514" t="str">
            <v>none</v>
          </cell>
          <cell r="J2514" t="str">
            <v>production process inventory for wood products</v>
          </cell>
          <cell r="K2514"/>
          <cell r="L2514" t="str">
            <v>from Table Tabelle 3.2.9.C in the main reference of this data process</v>
          </cell>
        </row>
        <row r="2515">
          <cell r="A2515" t="str">
            <v>[Rueter] production of cross laminated timber</v>
          </cell>
          <cell r="B2515" t="str">
            <v>natural gas</v>
          </cell>
          <cell r="C2515" t="str">
            <v>from technosphere (energy_carrier)</v>
          </cell>
          <cell r="D2515"/>
          <cell r="E2515" t="str">
            <v>Energy</v>
          </cell>
          <cell r="F2515">
            <v>0</v>
          </cell>
          <cell r="G2515" t="str">
            <v>MJ</v>
          </cell>
          <cell r="H2515">
            <v>1</v>
          </cell>
          <cell r="I2515" t="str">
            <v>none</v>
          </cell>
          <cell r="J2515" t="str">
            <v>production process inventory for wood products</v>
          </cell>
          <cell r="K2515"/>
          <cell r="L2515" t="str">
            <v>from Table Tabelle 3.2.9.C in the main reference of this data process</v>
          </cell>
        </row>
        <row r="2516">
          <cell r="A2516" t="str">
            <v>[Rueter] production of cross laminated timber</v>
          </cell>
          <cell r="B2516" t="str">
            <v>fuel oil</v>
          </cell>
          <cell r="C2516" t="str">
            <v>from technosphere (energy_carrier)</v>
          </cell>
          <cell r="D2516"/>
          <cell r="E2516" t="str">
            <v>Energy</v>
          </cell>
          <cell r="F2516">
            <v>1.167</v>
          </cell>
          <cell r="G2516" t="str">
            <v>MJ</v>
          </cell>
          <cell r="H2516">
            <v>1</v>
          </cell>
          <cell r="I2516" t="str">
            <v>none</v>
          </cell>
          <cell r="J2516" t="str">
            <v>production process inventory for wood products</v>
          </cell>
          <cell r="K2516"/>
          <cell r="L2516" t="str">
            <v>from Table Tabelle 3.2.9.C in the main reference of this data process</v>
          </cell>
        </row>
        <row r="2517">
          <cell r="A2517" t="str">
            <v>[Rueter] production of cross laminated timber</v>
          </cell>
          <cell r="B2517" t="str">
            <v>waste wood</v>
          </cell>
          <cell r="C2517" t="str">
            <v>from technosphere (energy_carrier)</v>
          </cell>
          <cell r="D2517"/>
          <cell r="E2517" t="str">
            <v>Energy</v>
          </cell>
          <cell r="F2517">
            <v>0</v>
          </cell>
          <cell r="G2517" t="str">
            <v>MJ</v>
          </cell>
          <cell r="H2517">
            <v>1</v>
          </cell>
          <cell r="I2517" t="str">
            <v>none</v>
          </cell>
          <cell r="J2517" t="str">
            <v>production process inventory for wood products</v>
          </cell>
          <cell r="K2517"/>
          <cell r="L2517" t="str">
            <v>from Table Tabelle 3.2.9.C in the main reference of this data process</v>
          </cell>
        </row>
        <row r="2518">
          <cell r="A2518" t="str">
            <v>[Rueter] production of cross laminated timber</v>
          </cell>
          <cell r="B2518" t="str">
            <v>industrial roundwood</v>
          </cell>
          <cell r="C2518" t="str">
            <v>from technosphere (energy_carrier)</v>
          </cell>
          <cell r="D2518"/>
          <cell r="E2518" t="str">
            <v>Energy</v>
          </cell>
          <cell r="F2518">
            <v>0</v>
          </cell>
          <cell r="G2518" t="str">
            <v>MJ</v>
          </cell>
          <cell r="H2518">
            <v>1</v>
          </cell>
          <cell r="I2518" t="str">
            <v>none</v>
          </cell>
          <cell r="J2518" t="str">
            <v>production process inventory for wood products</v>
          </cell>
          <cell r="K2518"/>
          <cell r="L2518" t="str">
            <v>from Table Tabelle 3.2.9.C in the main reference of this data process</v>
          </cell>
        </row>
        <row r="2519">
          <cell r="A2519" t="str">
            <v>[Rueter] production of cross laminated timber</v>
          </cell>
          <cell r="B2519" t="str">
            <v>waste wood</v>
          </cell>
          <cell r="C2519" t="str">
            <v>from technosphere (use of own by-product)</v>
          </cell>
          <cell r="D2519"/>
          <cell r="E2519" t="str">
            <v>Energy</v>
          </cell>
          <cell r="F2519">
            <v>844.88</v>
          </cell>
          <cell r="G2519" t="str">
            <v>MJ</v>
          </cell>
          <cell r="H2519">
            <v>1</v>
          </cell>
          <cell r="I2519" t="str">
            <v>none</v>
          </cell>
          <cell r="J2519" t="str">
            <v>production process inventory for wood products</v>
          </cell>
          <cell r="K2519"/>
          <cell r="L2519" t="str">
            <v>from Table Tabelle 3.2.9.C in the main reference of this data process</v>
          </cell>
        </row>
        <row r="2520">
          <cell r="A2520" t="str">
            <v>[Rueter] production of cross laminated timber</v>
          </cell>
          <cell r="B2520" t="str">
            <v>diesel</v>
          </cell>
          <cell r="C2520" t="str">
            <v>from technosphere (energy_carrier)</v>
          </cell>
          <cell r="D2520"/>
          <cell r="E2520" t="str">
            <v>Energy</v>
          </cell>
          <cell r="F2520">
            <v>86.831999999999994</v>
          </cell>
          <cell r="G2520" t="str">
            <v>MJ</v>
          </cell>
          <cell r="H2520">
            <v>1</v>
          </cell>
          <cell r="I2520" t="str">
            <v>none</v>
          </cell>
          <cell r="J2520" t="str">
            <v>production process inventory for wood products</v>
          </cell>
          <cell r="K2520"/>
          <cell r="L2520" t="str">
            <v>from Table Tabelle 3.2.9.C in the main reference of this data process</v>
          </cell>
        </row>
        <row r="2521">
          <cell r="A2521" t="str">
            <v>[Rueter] production of cross laminated timber</v>
          </cell>
          <cell r="B2521" t="str">
            <v>melamine formaldehyde resin</v>
          </cell>
          <cell r="C2521" t="str">
            <v>from technosphere (material)</v>
          </cell>
          <cell r="D2521"/>
          <cell r="E2521" t="str">
            <v>Mass</v>
          </cell>
          <cell r="F2521">
            <v>3.9830000000000001</v>
          </cell>
          <cell r="G2521" t="str">
            <v>kg</v>
          </cell>
          <cell r="H2521">
            <v>1</v>
          </cell>
          <cell r="I2521" t="str">
            <v>none</v>
          </cell>
          <cell r="J2521" t="str">
            <v>production process inventory for wood products</v>
          </cell>
          <cell r="K2521"/>
          <cell r="L2521" t="str">
            <v>from Table Tabelle 3.2.9.C in the main reference of this data process</v>
          </cell>
        </row>
        <row r="2522">
          <cell r="A2522" t="str">
            <v>[Rueter] production of cross laminated timber</v>
          </cell>
          <cell r="B2522" t="str">
            <v>emulsion polymer isocyanate</v>
          </cell>
          <cell r="C2522" t="str">
            <v>from technosphere (material)</v>
          </cell>
          <cell r="D2522"/>
          <cell r="E2522" t="str">
            <v>Mass</v>
          </cell>
          <cell r="F2522">
            <v>0.189</v>
          </cell>
          <cell r="G2522" t="str">
            <v>kg</v>
          </cell>
          <cell r="H2522">
            <v>1</v>
          </cell>
          <cell r="I2522" t="str">
            <v>none</v>
          </cell>
          <cell r="J2522" t="str">
            <v>production process inventory for wood products</v>
          </cell>
          <cell r="K2522"/>
          <cell r="L2522" t="str">
            <v>from Table Tabelle 3.2.9.C in the main reference of this data process</v>
          </cell>
        </row>
        <row r="2523">
          <cell r="A2523" t="str">
            <v>[Rueter] production of cross laminated timber</v>
          </cell>
          <cell r="B2523" t="str">
            <v>polyurethaneresin</v>
          </cell>
          <cell r="C2523" t="str">
            <v>from technosphere (material)</v>
          </cell>
          <cell r="D2523"/>
          <cell r="E2523" t="str">
            <v>Mass</v>
          </cell>
          <cell r="F2523">
            <v>3.3820000000000001</v>
          </cell>
          <cell r="G2523" t="str">
            <v>kg</v>
          </cell>
          <cell r="H2523">
            <v>1</v>
          </cell>
          <cell r="I2523" t="str">
            <v>none</v>
          </cell>
          <cell r="J2523" t="str">
            <v>production process inventory for wood products</v>
          </cell>
          <cell r="K2523"/>
          <cell r="L2523" t="str">
            <v>from Table Tabelle 3.2.9.C in the main reference of this data process</v>
          </cell>
        </row>
        <row r="2524">
          <cell r="A2524" t="str">
            <v>[Rueter] production of cross laminated timber</v>
          </cell>
          <cell r="B2524" t="str">
            <v>carbon dioxide</v>
          </cell>
          <cell r="C2524" t="str">
            <v>to environment (emission, direct)</v>
          </cell>
          <cell r="D2524"/>
          <cell r="E2524" t="str">
            <v>Mass</v>
          </cell>
          <cell r="F2524">
            <v>6.285642857</v>
          </cell>
          <cell r="G2524" t="str">
            <v>kg</v>
          </cell>
          <cell r="H2524">
            <v>1</v>
          </cell>
          <cell r="I2524" t="str">
            <v>none</v>
          </cell>
          <cell r="J2524" t="str">
            <v>production process inventory for wood products</v>
          </cell>
          <cell r="K2524"/>
          <cell r="L2524" t="str">
            <v>from values on https://en.wikipedia.org/wiki/Energy_content_of_biofuel</v>
          </cell>
        </row>
        <row r="2525">
          <cell r="A2525" t="str">
            <v>[Rueter] production of cross laminated timber</v>
          </cell>
          <cell r="B2525" t="str">
            <v>carbon dioxide</v>
          </cell>
          <cell r="C2525" t="str">
            <v>to environment (emission, direct, biogenic)</v>
          </cell>
          <cell r="D2525"/>
          <cell r="E2525" t="str">
            <v>Mass</v>
          </cell>
          <cell r="F2525">
            <v>84.488</v>
          </cell>
          <cell r="G2525" t="str">
            <v>kg</v>
          </cell>
          <cell r="H2525">
            <v>1</v>
          </cell>
          <cell r="I2525" t="str">
            <v>none</v>
          </cell>
          <cell r="J2525" t="str">
            <v>production process inventory for wood products</v>
          </cell>
          <cell r="K2525"/>
          <cell r="L2525" t="str">
            <v>from values on https://en.wikipedia.org/wiki/Energy_content_of_biofuel</v>
          </cell>
        </row>
        <row r="2526">
          <cell r="A2526" t="str">
            <v>[Rueter] production of laminated veneer lumber</v>
          </cell>
          <cell r="B2526" t="str">
            <v>laminated veneer lumber</v>
          </cell>
          <cell r="C2526" t="str">
            <v>reference_product</v>
          </cell>
          <cell r="D2526">
            <v>4412</v>
          </cell>
          <cell r="E2526" t="str">
            <v>Mass</v>
          </cell>
          <cell r="F2526">
            <v>1</v>
          </cell>
          <cell r="G2526" t="str">
            <v>m³</v>
          </cell>
          <cell r="H2526">
            <v>1</v>
          </cell>
          <cell r="I2526" t="str">
            <v>none</v>
          </cell>
          <cell r="J2526" t="str">
            <v>production process inventory for wood products</v>
          </cell>
          <cell r="K2526"/>
          <cell r="L2526" t="str">
            <v>from Table Tabelle 3.2.10.C in the main reference of this data process</v>
          </cell>
        </row>
        <row r="2527">
          <cell r="A2527" t="str">
            <v>[Rueter] production of laminated veneer lumber</v>
          </cell>
          <cell r="B2527" t="str">
            <v>sawdust and woodchips</v>
          </cell>
          <cell r="C2527" t="str">
            <v>to technosphere (by-product)</v>
          </cell>
          <cell r="D2527"/>
          <cell r="E2527" t="str">
            <v>Mass</v>
          </cell>
          <cell r="F2527">
            <v>1.26</v>
          </cell>
          <cell r="G2527" t="str">
            <v>m³</v>
          </cell>
          <cell r="H2527">
            <v>1</v>
          </cell>
          <cell r="I2527" t="str">
            <v>none</v>
          </cell>
          <cell r="J2527" t="str">
            <v>production process inventory for wood products</v>
          </cell>
          <cell r="K2527"/>
          <cell r="L2527" t="str">
            <v>from Table Tabelle 3.2.10.C in the main reference of this data process</v>
          </cell>
        </row>
        <row r="2528">
          <cell r="A2528" t="str">
            <v>[Rueter] production of laminated veneer lumber</v>
          </cell>
          <cell r="B2528" t="str">
            <v>roundwood with bark</v>
          </cell>
          <cell r="C2528" t="str">
            <v>from technosphere (material)</v>
          </cell>
          <cell r="D2528"/>
          <cell r="E2528" t="str">
            <v>Mass</v>
          </cell>
          <cell r="F2528">
            <v>2.2679999999999998</v>
          </cell>
          <cell r="G2528" t="str">
            <v>m³</v>
          </cell>
          <cell r="H2528">
            <v>1</v>
          </cell>
          <cell r="I2528" t="str">
            <v>none</v>
          </cell>
          <cell r="J2528" t="str">
            <v>production process inventory for wood products</v>
          </cell>
          <cell r="K2528"/>
          <cell r="L2528" t="str">
            <v>from Table Tabelle 3.2.10.C in the main reference of this data process</v>
          </cell>
        </row>
        <row r="2529">
          <cell r="A2529" t="str">
            <v>[Rueter] production of laminated veneer lumber</v>
          </cell>
          <cell r="B2529" t="str">
            <v>sawnwood, not dried</v>
          </cell>
          <cell r="C2529" t="str">
            <v>from technosphere (material)</v>
          </cell>
          <cell r="D2529"/>
          <cell r="E2529" t="str">
            <v>Mass</v>
          </cell>
          <cell r="F2529">
            <v>0</v>
          </cell>
          <cell r="G2529" t="str">
            <v>m³</v>
          </cell>
          <cell r="H2529">
            <v>1</v>
          </cell>
          <cell r="I2529" t="str">
            <v>none</v>
          </cell>
          <cell r="J2529" t="str">
            <v>production process inventory for wood products</v>
          </cell>
          <cell r="K2529"/>
          <cell r="L2529" t="str">
            <v>from Table Tabelle 3.2.10.C in the main reference of this data process</v>
          </cell>
        </row>
        <row r="2530">
          <cell r="A2530" t="str">
            <v>[Rueter] production of laminated veneer lumber</v>
          </cell>
          <cell r="B2530" t="str">
            <v>sawnwood, dried in chamber</v>
          </cell>
          <cell r="C2530" t="str">
            <v>from technosphere (material)</v>
          </cell>
          <cell r="D2530"/>
          <cell r="E2530" t="str">
            <v>Mass</v>
          </cell>
          <cell r="F2530">
            <v>0</v>
          </cell>
          <cell r="G2530" t="str">
            <v>m³</v>
          </cell>
          <cell r="H2530">
            <v>1</v>
          </cell>
          <cell r="I2530" t="str">
            <v>none</v>
          </cell>
          <cell r="J2530" t="str">
            <v>production process inventory for wood products</v>
          </cell>
          <cell r="K2530"/>
          <cell r="L2530" t="str">
            <v>from Table Tabelle 3.2.10.C in the main reference of this data process</v>
          </cell>
        </row>
        <row r="2531">
          <cell r="A2531" t="str">
            <v>[Rueter] production of laminated veneer lumber</v>
          </cell>
          <cell r="B2531" t="str">
            <v>electricity</v>
          </cell>
          <cell r="C2531" t="str">
            <v>from technosphere (energy_carrier)</v>
          </cell>
          <cell r="D2531"/>
          <cell r="E2531" t="str">
            <v>Energy</v>
          </cell>
          <cell r="F2531">
            <v>533.995</v>
          </cell>
          <cell r="G2531" t="str">
            <v>kWh</v>
          </cell>
          <cell r="H2531">
            <v>1</v>
          </cell>
          <cell r="I2531" t="str">
            <v>none</v>
          </cell>
          <cell r="J2531" t="str">
            <v>production process inventory for wood products</v>
          </cell>
          <cell r="K2531"/>
          <cell r="L2531" t="str">
            <v>from Table Tabelle 3.2.10.C in the main reference of this data process</v>
          </cell>
        </row>
        <row r="2532">
          <cell r="A2532" t="str">
            <v>[Rueter] production of laminated veneer lumber</v>
          </cell>
          <cell r="B2532" t="str">
            <v>natural gas</v>
          </cell>
          <cell r="C2532" t="str">
            <v>from technosphere (energy_carrier)</v>
          </cell>
          <cell r="D2532"/>
          <cell r="E2532" t="str">
            <v>Energy</v>
          </cell>
          <cell r="F2532">
            <v>0</v>
          </cell>
          <cell r="G2532" t="str">
            <v>MJ</v>
          </cell>
          <cell r="H2532">
            <v>1</v>
          </cell>
          <cell r="I2532" t="str">
            <v>none</v>
          </cell>
          <cell r="J2532" t="str">
            <v>production process inventory for wood products</v>
          </cell>
          <cell r="K2532"/>
          <cell r="L2532" t="str">
            <v>from Table Tabelle 3.2.10.C in the main reference of this data process</v>
          </cell>
        </row>
        <row r="2533">
          <cell r="A2533" t="str">
            <v>[Rueter] production of laminated veneer lumber</v>
          </cell>
          <cell r="B2533" t="str">
            <v>fuel oil</v>
          </cell>
          <cell r="C2533" t="str">
            <v>from technosphere (energy_carrier)</v>
          </cell>
          <cell r="D2533"/>
          <cell r="E2533" t="str">
            <v>Energy</v>
          </cell>
          <cell r="F2533">
            <v>73.016999999999996</v>
          </cell>
          <cell r="G2533" t="str">
            <v>MJ</v>
          </cell>
          <cell r="H2533">
            <v>1</v>
          </cell>
          <cell r="I2533" t="str">
            <v>none</v>
          </cell>
          <cell r="J2533" t="str">
            <v>production process inventory for wood products</v>
          </cell>
          <cell r="K2533"/>
          <cell r="L2533" t="str">
            <v>from Table Tabelle 3.2.10.C in the main reference of this data process</v>
          </cell>
        </row>
        <row r="2534">
          <cell r="A2534" t="str">
            <v>[Rueter] production of laminated veneer lumber</v>
          </cell>
          <cell r="B2534" t="str">
            <v>waste wood</v>
          </cell>
          <cell r="C2534" t="str">
            <v>from technosphere (energy_carrier)</v>
          </cell>
          <cell r="D2534"/>
          <cell r="E2534" t="str">
            <v>Energy</v>
          </cell>
          <cell r="F2534">
            <v>0</v>
          </cell>
          <cell r="G2534" t="str">
            <v>MJ</v>
          </cell>
          <cell r="H2534">
            <v>1</v>
          </cell>
          <cell r="I2534" t="str">
            <v>none</v>
          </cell>
          <cell r="J2534" t="str">
            <v>production process inventory for wood products</v>
          </cell>
          <cell r="K2534"/>
          <cell r="L2534" t="str">
            <v>from Table Tabelle 3.2.10.C in the main reference of this data process</v>
          </cell>
        </row>
        <row r="2535">
          <cell r="A2535" t="str">
            <v>[Rueter] production of laminated veneer lumber</v>
          </cell>
          <cell r="B2535" t="str">
            <v>industrial roundwood</v>
          </cell>
          <cell r="C2535" t="str">
            <v>from technosphere (energy_carrier)</v>
          </cell>
          <cell r="D2535"/>
          <cell r="E2535" t="str">
            <v>Energy</v>
          </cell>
          <cell r="F2535">
            <v>0</v>
          </cell>
          <cell r="G2535" t="str">
            <v>MJ</v>
          </cell>
          <cell r="H2535">
            <v>1</v>
          </cell>
          <cell r="I2535" t="str">
            <v>none</v>
          </cell>
          <cell r="J2535" t="str">
            <v>production process inventory for wood products</v>
          </cell>
          <cell r="K2535"/>
          <cell r="L2535" t="str">
            <v>from Table Tabelle 3.2.10.C in the main reference of this data process</v>
          </cell>
        </row>
        <row r="2536">
          <cell r="A2536" t="str">
            <v>[Rueter] production of laminated veneer lumber</v>
          </cell>
          <cell r="B2536" t="str">
            <v>waste wood</v>
          </cell>
          <cell r="C2536" t="str">
            <v>from technosphere (use of own by-product)</v>
          </cell>
          <cell r="D2536"/>
          <cell r="E2536" t="str">
            <v>Energy</v>
          </cell>
          <cell r="F2536">
            <v>11573</v>
          </cell>
          <cell r="G2536" t="str">
            <v>MJ</v>
          </cell>
          <cell r="H2536">
            <v>1</v>
          </cell>
          <cell r="I2536" t="str">
            <v>none</v>
          </cell>
          <cell r="J2536" t="str">
            <v>production process inventory for wood products</v>
          </cell>
          <cell r="K2536"/>
          <cell r="L2536" t="str">
            <v>from Table Tabelle 3.2.10.C in the main reference of this data process</v>
          </cell>
        </row>
        <row r="2537">
          <cell r="A2537" t="str">
            <v>[Rueter] production of laminated veneer lumber</v>
          </cell>
          <cell r="B2537" t="str">
            <v>diesel</v>
          </cell>
          <cell r="C2537" t="str">
            <v>from technosphere (energy_carrier)</v>
          </cell>
          <cell r="D2537"/>
          <cell r="E2537" t="str">
            <v>Energy</v>
          </cell>
          <cell r="F2537">
            <v>4.032</v>
          </cell>
          <cell r="G2537" t="str">
            <v>MJ</v>
          </cell>
          <cell r="H2537">
            <v>1</v>
          </cell>
          <cell r="I2537" t="str">
            <v>none</v>
          </cell>
          <cell r="J2537" t="str">
            <v>production process inventory for wood products</v>
          </cell>
          <cell r="K2537"/>
          <cell r="L2537" t="str">
            <v>from Table Tabelle 3.2.10.C in the main reference of this data process</v>
          </cell>
        </row>
        <row r="2538">
          <cell r="A2538" t="str">
            <v>[Rueter] production of laminated veneer lumber</v>
          </cell>
          <cell r="B2538" t="str">
            <v>urea formaldehyde resin</v>
          </cell>
          <cell r="C2538" t="str">
            <v>from technosphere (material)</v>
          </cell>
          <cell r="D2538"/>
          <cell r="E2538" t="str">
            <v>Mass</v>
          </cell>
          <cell r="F2538">
            <v>89.53</v>
          </cell>
          <cell r="G2538" t="str">
            <v>kg</v>
          </cell>
          <cell r="H2538">
            <v>1</v>
          </cell>
          <cell r="I2538" t="str">
            <v>none</v>
          </cell>
          <cell r="J2538" t="str">
            <v>production process inventory for wood products</v>
          </cell>
          <cell r="K2538"/>
          <cell r="L2538" t="str">
            <v>from Table Tabelle 3.2.10.C in the main reference of this data process</v>
          </cell>
        </row>
        <row r="2539">
          <cell r="A2539" t="str">
            <v>[Rueter] production of laminated veneer lumber</v>
          </cell>
          <cell r="B2539" t="str">
            <v>emulsion polymer isocyanate</v>
          </cell>
          <cell r="C2539" t="str">
            <v>from technosphere (material)</v>
          </cell>
          <cell r="D2539"/>
          <cell r="E2539" t="str">
            <v>Mass</v>
          </cell>
          <cell r="F2539">
            <v>0</v>
          </cell>
          <cell r="G2539" t="str">
            <v>kg</v>
          </cell>
          <cell r="H2539">
            <v>1</v>
          </cell>
          <cell r="I2539" t="str">
            <v>none</v>
          </cell>
          <cell r="J2539" t="str">
            <v>production process inventory for wood products</v>
          </cell>
          <cell r="K2539"/>
          <cell r="L2539" t="str">
            <v>from Table Tabelle 3.2.10.C in the main reference of this data process</v>
          </cell>
        </row>
        <row r="2540">
          <cell r="A2540" t="str">
            <v>[Rueter] production of laminated veneer lumber</v>
          </cell>
          <cell r="B2540" t="str">
            <v>polyurethaneresin</v>
          </cell>
          <cell r="C2540" t="str">
            <v>from technosphere (material)</v>
          </cell>
          <cell r="D2540"/>
          <cell r="E2540" t="str">
            <v>Mass</v>
          </cell>
          <cell r="F2540">
            <v>0</v>
          </cell>
          <cell r="G2540" t="str">
            <v>kg</v>
          </cell>
          <cell r="H2540">
            <v>1</v>
          </cell>
          <cell r="I2540" t="str">
            <v>none</v>
          </cell>
          <cell r="J2540" t="str">
            <v>production process inventory for wood products</v>
          </cell>
          <cell r="K2540"/>
          <cell r="L2540" t="str">
            <v>from Table Tabelle 3.2.10.C in the main reference of this data process</v>
          </cell>
        </row>
        <row r="2541">
          <cell r="A2541" t="str">
            <v>[Rueter] production of laminated veneer lumber</v>
          </cell>
          <cell r="B2541" t="str">
            <v>carbon dioxide</v>
          </cell>
          <cell r="C2541" t="str">
            <v>to environment (emission, direct)</v>
          </cell>
          <cell r="D2541"/>
          <cell r="E2541" t="str">
            <v>Mass</v>
          </cell>
          <cell r="F2541">
            <v>5.5034999999999998</v>
          </cell>
          <cell r="G2541" t="str">
            <v>kg</v>
          </cell>
          <cell r="H2541">
            <v>1</v>
          </cell>
          <cell r="I2541" t="str">
            <v>none</v>
          </cell>
          <cell r="J2541" t="str">
            <v>production process inventory for wood products</v>
          </cell>
          <cell r="K2541"/>
          <cell r="L2541" t="str">
            <v>from values on https://en.wikipedia.org/wiki/Energy_content_of_biofuel</v>
          </cell>
        </row>
        <row r="2542">
          <cell r="A2542" t="str">
            <v>[Rueter] production of laminated veneer lumber</v>
          </cell>
          <cell r="B2542" t="str">
            <v>carbon dioxide</v>
          </cell>
          <cell r="C2542" t="str">
            <v>to environment (emission, direct, biogenic)</v>
          </cell>
          <cell r="D2542"/>
          <cell r="E2542" t="str">
            <v>Mass</v>
          </cell>
          <cell r="F2542">
            <v>1157.3</v>
          </cell>
          <cell r="G2542" t="str">
            <v>kg</v>
          </cell>
          <cell r="H2542">
            <v>1</v>
          </cell>
          <cell r="I2542" t="str">
            <v>none</v>
          </cell>
          <cell r="J2542" t="str">
            <v>production process inventory for wood products</v>
          </cell>
          <cell r="K2542"/>
          <cell r="L2542" t="str">
            <v>from values on https://en.wikipedia.org/wiki/Energy_content_of_biofuel</v>
          </cell>
        </row>
        <row r="2543">
          <cell r="A2543" t="str">
            <v>[Rueter] production of wood particle board</v>
          </cell>
          <cell r="B2543" t="str">
            <v>wood particle board</v>
          </cell>
          <cell r="C2543" t="str">
            <v>reference_product</v>
          </cell>
          <cell r="D2543">
            <v>441011</v>
          </cell>
          <cell r="E2543" t="str">
            <v>Mass</v>
          </cell>
          <cell r="F2543">
            <v>1</v>
          </cell>
          <cell r="G2543" t="str">
            <v>m³</v>
          </cell>
          <cell r="H2543">
            <v>1</v>
          </cell>
          <cell r="I2543" t="str">
            <v>none</v>
          </cell>
          <cell r="J2543" t="str">
            <v>production process inventory for wood products</v>
          </cell>
          <cell r="K2543"/>
          <cell r="L2543" t="str">
            <v>from Table Tabelle 3.2.12.C in the main reference of this data process</v>
          </cell>
        </row>
        <row r="2544">
          <cell r="A2544" t="str">
            <v>[Rueter] production of wood particle board</v>
          </cell>
          <cell r="B2544" t="str">
            <v>sawdust and woodchips</v>
          </cell>
          <cell r="C2544" t="str">
            <v>to technosphere (by-product)</v>
          </cell>
          <cell r="D2544"/>
          <cell r="E2544" t="str">
            <v>Mass</v>
          </cell>
          <cell r="F2544">
            <v>0.08</v>
          </cell>
          <cell r="G2544" t="str">
            <v>m³</v>
          </cell>
          <cell r="H2544">
            <v>1</v>
          </cell>
          <cell r="I2544" t="str">
            <v>none</v>
          </cell>
          <cell r="J2544" t="str">
            <v>production process inventory for wood products</v>
          </cell>
          <cell r="K2544"/>
          <cell r="L2544" t="str">
            <v>from Table Tabelle 3.2.12.C in the main reference of this data process</v>
          </cell>
        </row>
        <row r="2545">
          <cell r="A2545" t="str">
            <v>[Rueter] production of wood particle board</v>
          </cell>
          <cell r="B2545" t="str">
            <v>roundwood with bark</v>
          </cell>
          <cell r="C2545" t="str">
            <v>from technosphere (material)</v>
          </cell>
          <cell r="D2545"/>
          <cell r="E2545" t="str">
            <v>Dry mass</v>
          </cell>
          <cell r="F2545">
            <v>0.23599999999999999</v>
          </cell>
          <cell r="G2545" t="str">
            <v>t</v>
          </cell>
          <cell r="H2545">
            <v>1</v>
          </cell>
          <cell r="I2545" t="str">
            <v>none</v>
          </cell>
          <cell r="J2545" t="str">
            <v>production process inventory for wood products</v>
          </cell>
          <cell r="K2545"/>
          <cell r="L2545" t="str">
            <v>from Table Tabelle 3.2.12.C in the main reference of this data process</v>
          </cell>
        </row>
        <row r="2546">
          <cell r="A2546" t="str">
            <v>[Rueter] production of wood particle board</v>
          </cell>
          <cell r="B2546" t="str">
            <v>sawdust and woodchips</v>
          </cell>
          <cell r="C2546" t="str">
            <v>from technosphere (material)</v>
          </cell>
          <cell r="D2546"/>
          <cell r="E2546" t="str">
            <v>Dry mass</v>
          </cell>
          <cell r="F2546">
            <v>0.25700000000000001</v>
          </cell>
          <cell r="G2546" t="str">
            <v>t</v>
          </cell>
          <cell r="H2546">
            <v>1</v>
          </cell>
          <cell r="I2546" t="str">
            <v>none</v>
          </cell>
          <cell r="J2546" t="str">
            <v>production process inventory for wood products</v>
          </cell>
          <cell r="K2546"/>
          <cell r="L2546" t="str">
            <v>from Table Tabelle 3.2.12.C in the main reference of this data process</v>
          </cell>
        </row>
        <row r="2547">
          <cell r="A2547" t="str">
            <v>[Rueter] production of wood particle board</v>
          </cell>
          <cell r="B2547" t="str">
            <v>waste wood</v>
          </cell>
          <cell r="C2547" t="str">
            <v>from technosphere (material)</v>
          </cell>
          <cell r="D2547"/>
          <cell r="E2547" t="str">
            <v>Dry mass</v>
          </cell>
          <cell r="F2547">
            <v>0.126</v>
          </cell>
          <cell r="G2547" t="str">
            <v>t</v>
          </cell>
          <cell r="H2547">
            <v>1</v>
          </cell>
          <cell r="I2547" t="str">
            <v>none</v>
          </cell>
          <cell r="J2547" t="str">
            <v>production process inventory for wood products</v>
          </cell>
          <cell r="K2547"/>
          <cell r="L2547" t="str">
            <v>from Table Tabelle 3.2.12.C in the main reference of this data process</v>
          </cell>
        </row>
        <row r="2548">
          <cell r="A2548" t="str">
            <v>[Rueter] production of wood particle board</v>
          </cell>
          <cell r="B2548" t="str">
            <v>electricity</v>
          </cell>
          <cell r="C2548" t="str">
            <v>from technosphere (energy_carrier)</v>
          </cell>
          <cell r="D2548"/>
          <cell r="E2548" t="str">
            <v>Energy</v>
          </cell>
          <cell r="F2548">
            <v>102.4</v>
          </cell>
          <cell r="G2548" t="str">
            <v>kWh</v>
          </cell>
          <cell r="H2548">
            <v>1</v>
          </cell>
          <cell r="I2548" t="str">
            <v>none</v>
          </cell>
          <cell r="J2548" t="str">
            <v>production process inventory for wood products</v>
          </cell>
          <cell r="K2548"/>
          <cell r="L2548" t="str">
            <v>from Table Tabelle 3.2.12.C in the main reference of this data process</v>
          </cell>
        </row>
        <row r="2549">
          <cell r="A2549" t="str">
            <v>[Rueter] production of wood particle board</v>
          </cell>
          <cell r="B2549" t="str">
            <v>natural gas</v>
          </cell>
          <cell r="C2549" t="str">
            <v>from technosphere (energy_carrier)</v>
          </cell>
          <cell r="D2549"/>
          <cell r="E2549" t="str">
            <v>Energy</v>
          </cell>
          <cell r="F2549">
            <v>69.05</v>
          </cell>
          <cell r="G2549" t="str">
            <v>MJ</v>
          </cell>
          <cell r="H2549">
            <v>1</v>
          </cell>
          <cell r="I2549" t="str">
            <v>none</v>
          </cell>
          <cell r="J2549" t="str">
            <v>production process inventory for wood products</v>
          </cell>
          <cell r="K2549"/>
          <cell r="L2549" t="str">
            <v>from Table Tabelle 3.2.12.C in the main reference of this data process</v>
          </cell>
        </row>
        <row r="2550">
          <cell r="A2550" t="str">
            <v>[Rueter] production of wood particle board</v>
          </cell>
          <cell r="B2550" t="str">
            <v>fuel oil</v>
          </cell>
          <cell r="C2550" t="str">
            <v>from technosphere (energy_carrier)</v>
          </cell>
          <cell r="D2550"/>
          <cell r="E2550" t="str">
            <v>Energy</v>
          </cell>
          <cell r="F2550">
            <v>17.22</v>
          </cell>
          <cell r="G2550" t="str">
            <v>MJ</v>
          </cell>
          <cell r="H2550">
            <v>1</v>
          </cell>
          <cell r="I2550" t="str">
            <v>none</v>
          </cell>
          <cell r="J2550" t="str">
            <v>production process inventory for wood products</v>
          </cell>
          <cell r="K2550"/>
          <cell r="L2550" t="str">
            <v>from Table Tabelle 3.2.12.C in the main reference of this data process</v>
          </cell>
        </row>
        <row r="2551">
          <cell r="A2551" t="str">
            <v>[Rueter] production of wood particle board</v>
          </cell>
          <cell r="B2551" t="str">
            <v>waste wood</v>
          </cell>
          <cell r="C2551" t="str">
            <v>from technosphere (energy_carrier)</v>
          </cell>
          <cell r="D2551"/>
          <cell r="E2551" t="str">
            <v>Energy</v>
          </cell>
          <cell r="F2551">
            <v>1934.3</v>
          </cell>
          <cell r="G2551" t="str">
            <v>MJ</v>
          </cell>
          <cell r="H2551">
            <v>1</v>
          </cell>
          <cell r="I2551" t="str">
            <v>none</v>
          </cell>
          <cell r="J2551" t="str">
            <v>production process inventory for wood products</v>
          </cell>
          <cell r="K2551"/>
          <cell r="L2551" t="str">
            <v>from Table Tabelle 3.2.12.C in the main reference of this data process</v>
          </cell>
        </row>
        <row r="2552">
          <cell r="A2552" t="str">
            <v>[Rueter] production of wood particle board</v>
          </cell>
          <cell r="B2552" t="str">
            <v>industrial roundwood</v>
          </cell>
          <cell r="C2552" t="str">
            <v>from technosphere (energy_carrier)</v>
          </cell>
          <cell r="D2552"/>
          <cell r="E2552" t="str">
            <v>Energy</v>
          </cell>
          <cell r="F2552">
            <v>0</v>
          </cell>
          <cell r="G2552" t="str">
            <v>MJ</v>
          </cell>
          <cell r="H2552">
            <v>1</v>
          </cell>
          <cell r="I2552" t="str">
            <v>none</v>
          </cell>
          <cell r="J2552" t="str">
            <v>production process inventory for wood products</v>
          </cell>
          <cell r="K2552"/>
          <cell r="L2552" t="str">
            <v>from Table Tabelle 3.2.12.C in the main reference of this data process</v>
          </cell>
        </row>
        <row r="2553">
          <cell r="A2553" t="str">
            <v>[Rueter] production of wood particle board</v>
          </cell>
          <cell r="B2553" t="str">
            <v>waste wood</v>
          </cell>
          <cell r="C2553" t="str">
            <v>from technosphere (use of own by-product)</v>
          </cell>
          <cell r="D2553"/>
          <cell r="E2553" t="str">
            <v>Energy</v>
          </cell>
          <cell r="F2553">
            <v>1279.3900000000001</v>
          </cell>
          <cell r="G2553" t="str">
            <v>MJ</v>
          </cell>
          <cell r="H2553">
            <v>1</v>
          </cell>
          <cell r="I2553" t="str">
            <v>none</v>
          </cell>
          <cell r="J2553" t="str">
            <v>production process inventory for wood products</v>
          </cell>
          <cell r="K2553"/>
          <cell r="L2553" t="str">
            <v>from Table Tabelle 3.2.12.C in the main reference of this data process</v>
          </cell>
        </row>
        <row r="2554">
          <cell r="A2554" t="str">
            <v>[Rueter] production of wood particle board</v>
          </cell>
          <cell r="B2554" t="str">
            <v>diesel</v>
          </cell>
          <cell r="C2554" t="str">
            <v>from technosphere (energy_carrier)</v>
          </cell>
          <cell r="D2554"/>
          <cell r="E2554" t="str">
            <v>Energy</v>
          </cell>
          <cell r="F2554">
            <v>28.992000000000001</v>
          </cell>
          <cell r="G2554" t="str">
            <v>MJ</v>
          </cell>
          <cell r="H2554">
            <v>1</v>
          </cell>
          <cell r="I2554" t="str">
            <v>none</v>
          </cell>
          <cell r="J2554" t="str">
            <v>production process inventory for wood products</v>
          </cell>
          <cell r="K2554"/>
          <cell r="L2554" t="str">
            <v>from Table Tabelle 3.2.12.C in the main reference of this data process</v>
          </cell>
        </row>
        <row r="2555">
          <cell r="A2555" t="str">
            <v>[Rueter] production of wood particle board</v>
          </cell>
          <cell r="B2555" t="str">
            <v>urea formaldehyde resin</v>
          </cell>
          <cell r="C2555" t="str">
            <v>from technosphere (material)</v>
          </cell>
          <cell r="D2555"/>
          <cell r="E2555" t="str">
            <v>Mass</v>
          </cell>
          <cell r="F2555">
            <v>42.847999999999999</v>
          </cell>
          <cell r="G2555" t="str">
            <v>kg</v>
          </cell>
          <cell r="H2555">
            <v>1</v>
          </cell>
          <cell r="I2555" t="str">
            <v>none</v>
          </cell>
          <cell r="J2555" t="str">
            <v>production process inventory for wood products</v>
          </cell>
          <cell r="K2555"/>
          <cell r="L2555" t="str">
            <v>from Table Tabelle 3.2.12.C in the main reference of this data process</v>
          </cell>
        </row>
        <row r="2556">
          <cell r="A2556" t="str">
            <v>[Rueter] production of wood particle board</v>
          </cell>
          <cell r="B2556" t="str">
            <v>melamine formaldehyde resin</v>
          </cell>
          <cell r="C2556" t="str">
            <v>from technosphere (material)</v>
          </cell>
          <cell r="D2556"/>
          <cell r="E2556" t="str">
            <v>Mass</v>
          </cell>
          <cell r="F2556">
            <v>3.7429999999999999</v>
          </cell>
          <cell r="G2556" t="str">
            <v>kg</v>
          </cell>
          <cell r="H2556">
            <v>1</v>
          </cell>
          <cell r="I2556" t="str">
            <v>none</v>
          </cell>
          <cell r="J2556" t="str">
            <v>production process inventory for wood products</v>
          </cell>
          <cell r="K2556"/>
          <cell r="L2556" t="str">
            <v>from Table Tabelle 3.2.12.C in the main reference of this data process</v>
          </cell>
        </row>
        <row r="2557">
          <cell r="A2557" t="str">
            <v>[Rueter] production of wood particle board</v>
          </cell>
          <cell r="B2557" t="str">
            <v>phenol-resorcin-formaldehyde resin</v>
          </cell>
          <cell r="C2557" t="str">
            <v>from technosphere (material)</v>
          </cell>
          <cell r="D2557"/>
          <cell r="E2557" t="str">
            <v>Mass</v>
          </cell>
          <cell r="F2557">
            <v>1.5189999999999999</v>
          </cell>
          <cell r="G2557" t="str">
            <v>kg</v>
          </cell>
          <cell r="H2557">
            <v>1</v>
          </cell>
          <cell r="I2557" t="str">
            <v>none</v>
          </cell>
          <cell r="J2557" t="str">
            <v>production process inventory for wood products</v>
          </cell>
          <cell r="K2557"/>
          <cell r="L2557" t="str">
            <v>from Table Tabelle 3.2.12.C in the main reference of this data process</v>
          </cell>
        </row>
        <row r="2558">
          <cell r="A2558" t="str">
            <v>[Rueter] production of wood particle board</v>
          </cell>
          <cell r="B2558" t="str">
            <v>carbon dioxide</v>
          </cell>
          <cell r="C2558" t="str">
            <v>to environment (emission, direct)</v>
          </cell>
          <cell r="D2558"/>
          <cell r="E2558" t="str">
            <v>Mass</v>
          </cell>
          <cell r="F2558">
            <v>8.2330000000000005</v>
          </cell>
          <cell r="G2558" t="str">
            <v>kg</v>
          </cell>
          <cell r="H2558">
            <v>1</v>
          </cell>
          <cell r="I2558" t="str">
            <v>none</v>
          </cell>
          <cell r="J2558" t="str">
            <v>production process inventory for wood products</v>
          </cell>
          <cell r="K2558"/>
          <cell r="L2558" t="str">
            <v>from values on https://en.wikipedia.org/wiki/Energy_content_of_biofuel</v>
          </cell>
        </row>
        <row r="2559">
          <cell r="A2559" t="str">
            <v>[Rueter] production of wood particle board</v>
          </cell>
          <cell r="B2559" t="str">
            <v>carbon dioxide</v>
          </cell>
          <cell r="C2559" t="str">
            <v>to environment (emission, direct, biogenic)</v>
          </cell>
          <cell r="D2559"/>
          <cell r="E2559" t="str">
            <v>Mass</v>
          </cell>
          <cell r="F2559">
            <v>321.36900000000003</v>
          </cell>
          <cell r="G2559" t="str">
            <v>kg</v>
          </cell>
          <cell r="H2559">
            <v>1</v>
          </cell>
          <cell r="I2559" t="str">
            <v>none</v>
          </cell>
          <cell r="J2559" t="str">
            <v>production process inventory for wood products</v>
          </cell>
          <cell r="K2559"/>
          <cell r="L2559" t="str">
            <v>from values on https://en.wikipedia.org/wiki/Energy_content_of_biofuel</v>
          </cell>
        </row>
        <row r="2560">
          <cell r="A2560" t="str">
            <v>[Rueter] production of oriented strand board (OSB)</v>
          </cell>
          <cell r="B2560" t="str">
            <v>oriented strand board (OSB)</v>
          </cell>
          <cell r="C2560" t="str">
            <v>reference_product</v>
          </cell>
          <cell r="D2560">
            <v>441012</v>
          </cell>
          <cell r="E2560" t="str">
            <v>Mass</v>
          </cell>
          <cell r="F2560">
            <v>1</v>
          </cell>
          <cell r="G2560" t="str">
            <v>m³</v>
          </cell>
          <cell r="H2560">
            <v>1</v>
          </cell>
          <cell r="I2560" t="str">
            <v>none</v>
          </cell>
          <cell r="J2560" t="str">
            <v>production process inventory for wood products</v>
          </cell>
          <cell r="K2560"/>
          <cell r="L2560" t="str">
            <v>from Table Tabelle 3.2.15.C in the main reference of this data process</v>
          </cell>
        </row>
        <row r="2561">
          <cell r="A2561" t="str">
            <v>[Rueter] production of oriented strand board (OSB)</v>
          </cell>
          <cell r="B2561" t="str">
            <v>sawdust and woodchips</v>
          </cell>
          <cell r="C2561" t="str">
            <v>to technosphere (by-product)</v>
          </cell>
          <cell r="D2561"/>
          <cell r="E2561" t="str">
            <v>Dry mass</v>
          </cell>
          <cell r="F2561">
            <v>0.17799999999999999</v>
          </cell>
          <cell r="G2561" t="str">
            <v>t</v>
          </cell>
          <cell r="H2561">
            <v>1</v>
          </cell>
          <cell r="I2561" t="str">
            <v>none</v>
          </cell>
          <cell r="J2561" t="str">
            <v>production process inventory for wood products</v>
          </cell>
          <cell r="K2561"/>
          <cell r="L2561" t="str">
            <v>from Table Tabelle 3.2.15.C in the main reference of this data process</v>
          </cell>
        </row>
        <row r="2562">
          <cell r="A2562" t="str">
            <v>[Rueter] production of oriented strand board (OSB)</v>
          </cell>
          <cell r="B2562" t="str">
            <v>roundwood with bark</v>
          </cell>
          <cell r="C2562" t="str">
            <v>from technosphere (material)</v>
          </cell>
          <cell r="D2562"/>
          <cell r="E2562" t="str">
            <v>Dry mass</v>
          </cell>
          <cell r="F2562">
            <v>0.70799999999999996</v>
          </cell>
          <cell r="G2562" t="str">
            <v>t</v>
          </cell>
          <cell r="H2562">
            <v>1</v>
          </cell>
          <cell r="I2562" t="str">
            <v>none</v>
          </cell>
          <cell r="J2562" t="str">
            <v>production process inventory for wood products</v>
          </cell>
          <cell r="K2562"/>
          <cell r="L2562" t="str">
            <v>from Table Tabelle 3.2.15.C in the main reference of this data process</v>
          </cell>
        </row>
        <row r="2563">
          <cell r="A2563" t="str">
            <v>[Rueter] production of oriented strand board (OSB)</v>
          </cell>
          <cell r="B2563" t="str">
            <v>sawnwood, not dried</v>
          </cell>
          <cell r="C2563" t="str">
            <v>from technosphere (material)</v>
          </cell>
          <cell r="D2563"/>
          <cell r="E2563" t="str">
            <v>Dry mass</v>
          </cell>
          <cell r="F2563">
            <v>0</v>
          </cell>
          <cell r="G2563" t="str">
            <v>t</v>
          </cell>
          <cell r="H2563">
            <v>1</v>
          </cell>
          <cell r="I2563" t="str">
            <v>none</v>
          </cell>
          <cell r="J2563" t="str">
            <v>production process inventory for wood products</v>
          </cell>
          <cell r="K2563"/>
          <cell r="L2563" t="str">
            <v>from Table Tabelle 3.2.15.C in the main reference of this data process</v>
          </cell>
        </row>
        <row r="2564">
          <cell r="A2564" t="str">
            <v>[Rueter] production of oriented strand board (OSB)</v>
          </cell>
          <cell r="B2564" t="str">
            <v>sawnwood, dried in chamber</v>
          </cell>
          <cell r="C2564" t="str">
            <v>from technosphere (material)</v>
          </cell>
          <cell r="D2564"/>
          <cell r="E2564" t="str">
            <v>Dry mass</v>
          </cell>
          <cell r="F2564">
            <v>0</v>
          </cell>
          <cell r="G2564" t="str">
            <v>t</v>
          </cell>
          <cell r="H2564">
            <v>1</v>
          </cell>
          <cell r="I2564" t="str">
            <v>none</v>
          </cell>
          <cell r="J2564" t="str">
            <v>production process inventory for wood products</v>
          </cell>
          <cell r="K2564"/>
          <cell r="L2564" t="str">
            <v>from Table Tabelle 3.2.15.C in the main reference of this data process</v>
          </cell>
        </row>
        <row r="2565">
          <cell r="A2565" t="str">
            <v>[Rueter] production of oriented strand board (OSB)</v>
          </cell>
          <cell r="B2565" t="str">
            <v>electricity</v>
          </cell>
          <cell r="C2565" t="str">
            <v>from technosphere (energy_carrier)</v>
          </cell>
          <cell r="D2565"/>
          <cell r="E2565" t="str">
            <v>Energy</v>
          </cell>
          <cell r="F2565">
            <v>120.923</v>
          </cell>
          <cell r="G2565" t="str">
            <v>kWh</v>
          </cell>
          <cell r="H2565">
            <v>1</v>
          </cell>
          <cell r="I2565" t="str">
            <v>none</v>
          </cell>
          <cell r="J2565" t="str">
            <v>production process inventory for wood products</v>
          </cell>
          <cell r="K2565"/>
          <cell r="L2565" t="str">
            <v>from Table Tabelle 3.2.15.C in the main reference of this data process</v>
          </cell>
        </row>
        <row r="2566">
          <cell r="A2566" t="str">
            <v>[Rueter] production of oriented strand board (OSB)</v>
          </cell>
          <cell r="B2566" t="str">
            <v>natural gas</v>
          </cell>
          <cell r="C2566" t="str">
            <v>from technosphere (energy_carrier)</v>
          </cell>
          <cell r="D2566"/>
          <cell r="E2566" t="str">
            <v>Energy</v>
          </cell>
          <cell r="F2566">
            <v>404.14600000000002</v>
          </cell>
          <cell r="G2566" t="str">
            <v>MJ</v>
          </cell>
          <cell r="H2566">
            <v>1</v>
          </cell>
          <cell r="I2566" t="str">
            <v>none</v>
          </cell>
          <cell r="J2566" t="str">
            <v>production process inventory for wood products</v>
          </cell>
          <cell r="K2566"/>
          <cell r="L2566" t="str">
            <v>from Table Tabelle 3.2.15.C in the main reference of this data process</v>
          </cell>
        </row>
        <row r="2567">
          <cell r="A2567" t="str">
            <v>[Rueter] production of oriented strand board (OSB)</v>
          </cell>
          <cell r="B2567" t="str">
            <v>fuel oil</v>
          </cell>
          <cell r="C2567" t="str">
            <v>from technosphere (energy_carrier)</v>
          </cell>
          <cell r="D2567"/>
          <cell r="E2567" t="str">
            <v>Energy</v>
          </cell>
          <cell r="F2567">
            <v>5.2279999999999998</v>
          </cell>
          <cell r="G2567" t="str">
            <v>MJ</v>
          </cell>
          <cell r="H2567">
            <v>1</v>
          </cell>
          <cell r="I2567" t="str">
            <v>none</v>
          </cell>
          <cell r="J2567" t="str">
            <v>production process inventory for wood products</v>
          </cell>
          <cell r="K2567"/>
          <cell r="L2567" t="str">
            <v>from Table Tabelle 3.2.15.C in the main reference of this data process</v>
          </cell>
        </row>
        <row r="2568">
          <cell r="A2568" t="str">
            <v>[Rueter] production of oriented strand board (OSB)</v>
          </cell>
          <cell r="B2568" t="str">
            <v>waste wood</v>
          </cell>
          <cell r="C2568" t="str">
            <v>from technosphere (energy_carrier)</v>
          </cell>
          <cell r="D2568"/>
          <cell r="E2568" t="str">
            <v>Energy</v>
          </cell>
          <cell r="F2568">
            <v>0</v>
          </cell>
          <cell r="G2568" t="str">
            <v>MJ</v>
          </cell>
          <cell r="H2568">
            <v>1</v>
          </cell>
          <cell r="I2568" t="str">
            <v>none</v>
          </cell>
          <cell r="J2568" t="str">
            <v>production process inventory for wood products</v>
          </cell>
          <cell r="K2568"/>
          <cell r="L2568" t="str">
            <v>from Table Tabelle 3.2.15.C in the main reference of this data process</v>
          </cell>
        </row>
        <row r="2569">
          <cell r="A2569" t="str">
            <v>[Rueter] production of oriented strand board (OSB)</v>
          </cell>
          <cell r="B2569" t="str">
            <v>industrial roundwood</v>
          </cell>
          <cell r="C2569" t="str">
            <v>from technosphere (energy_carrier)</v>
          </cell>
          <cell r="D2569"/>
          <cell r="E2569" t="str">
            <v>Energy</v>
          </cell>
          <cell r="F2569">
            <v>0</v>
          </cell>
          <cell r="G2569" t="str">
            <v>MJ</v>
          </cell>
          <cell r="H2569">
            <v>1</v>
          </cell>
          <cell r="I2569" t="str">
            <v>none</v>
          </cell>
          <cell r="J2569" t="str">
            <v>production process inventory for wood products</v>
          </cell>
          <cell r="K2569"/>
          <cell r="L2569" t="str">
            <v>from Table Tabelle 3.2.15.C in the main reference of this data process</v>
          </cell>
        </row>
        <row r="2570">
          <cell r="A2570" t="str">
            <v>[Rueter] production of oriented strand board (OSB)</v>
          </cell>
          <cell r="B2570" t="str">
            <v>waste wood</v>
          </cell>
          <cell r="C2570" t="str">
            <v>from technosphere (use of own by-product)</v>
          </cell>
          <cell r="D2570"/>
          <cell r="E2570" t="str">
            <v>Energy</v>
          </cell>
          <cell r="F2570">
            <v>1683</v>
          </cell>
          <cell r="G2570" t="str">
            <v>MJ</v>
          </cell>
          <cell r="H2570">
            <v>1</v>
          </cell>
          <cell r="I2570" t="str">
            <v>none</v>
          </cell>
          <cell r="J2570" t="str">
            <v>production process inventory for wood products</v>
          </cell>
          <cell r="K2570"/>
          <cell r="L2570" t="str">
            <v>from Table Tabelle 3.2.15.C in the main reference of this data process</v>
          </cell>
        </row>
        <row r="2571">
          <cell r="A2571" t="str">
            <v>[Rueter] production of oriented strand board (OSB)</v>
          </cell>
          <cell r="B2571" t="str">
            <v>diesel</v>
          </cell>
          <cell r="C2571" t="str">
            <v>from technosphere (energy_carrier)</v>
          </cell>
          <cell r="D2571"/>
          <cell r="E2571" t="str">
            <v>Energy</v>
          </cell>
          <cell r="F2571">
            <v>28.992000000000001</v>
          </cell>
          <cell r="G2571" t="str">
            <v>MJ</v>
          </cell>
          <cell r="H2571">
            <v>1</v>
          </cell>
          <cell r="I2571" t="str">
            <v>none</v>
          </cell>
          <cell r="J2571" t="str">
            <v>production process inventory for wood products</v>
          </cell>
          <cell r="K2571"/>
          <cell r="L2571" t="str">
            <v>from Table Tabelle 3.2.15.C in the main reference of this data process</v>
          </cell>
        </row>
        <row r="2572">
          <cell r="A2572" t="str">
            <v>[Rueter] production of oriented strand board (OSB)</v>
          </cell>
          <cell r="B2572" t="str">
            <v>melamine formaldehyde resin</v>
          </cell>
          <cell r="C2572" t="str">
            <v>from technosphere (material)</v>
          </cell>
          <cell r="D2572"/>
          <cell r="E2572" t="str">
            <v>Mass</v>
          </cell>
          <cell r="F2572">
            <v>9.68</v>
          </cell>
          <cell r="G2572" t="str">
            <v>kg</v>
          </cell>
          <cell r="H2572">
            <v>1</v>
          </cell>
          <cell r="I2572" t="str">
            <v>none</v>
          </cell>
          <cell r="J2572" t="str">
            <v>production process inventory for wood products</v>
          </cell>
          <cell r="K2572"/>
          <cell r="L2572" t="str">
            <v>from Table Tabelle 3.2.15.C in the main reference of this data process</v>
          </cell>
        </row>
        <row r="2573">
          <cell r="A2573" t="str">
            <v>[Rueter] production of oriented strand board (OSB)</v>
          </cell>
          <cell r="B2573" t="str">
            <v>polymeric methylene diphenyl diisocyanate (PMDI)</v>
          </cell>
          <cell r="C2573" t="str">
            <v>from technosphere (material)</v>
          </cell>
          <cell r="D2573"/>
          <cell r="E2573" t="str">
            <v>Mass</v>
          </cell>
          <cell r="F2573">
            <v>21.14</v>
          </cell>
          <cell r="G2573" t="str">
            <v>kg</v>
          </cell>
          <cell r="H2573">
            <v>1</v>
          </cell>
          <cell r="I2573" t="str">
            <v>none</v>
          </cell>
          <cell r="J2573" t="str">
            <v>production process inventory for wood products</v>
          </cell>
          <cell r="K2573"/>
          <cell r="L2573" t="str">
            <v>from Table Tabelle 3.2.15.C in the main reference of this data process</v>
          </cell>
        </row>
        <row r="2574">
          <cell r="A2574" t="str">
            <v>[Rueter] production of oriented strand board (OSB)</v>
          </cell>
          <cell r="B2574" t="str">
            <v>polyurethaneresin</v>
          </cell>
          <cell r="C2574" t="str">
            <v>from technosphere (material)</v>
          </cell>
          <cell r="D2574"/>
          <cell r="E2574" t="str">
            <v>Mass</v>
          </cell>
          <cell r="F2574">
            <v>0</v>
          </cell>
          <cell r="G2574" t="str">
            <v>kg</v>
          </cell>
          <cell r="H2574">
            <v>1</v>
          </cell>
          <cell r="I2574" t="str">
            <v>none</v>
          </cell>
          <cell r="J2574" t="str">
            <v>production process inventory for wood products</v>
          </cell>
          <cell r="K2574"/>
          <cell r="L2574" t="str">
            <v>from Table Tabelle 3.2.15.C in the main reference of this data process</v>
          </cell>
        </row>
        <row r="2575">
          <cell r="A2575" t="str">
            <v>[Rueter] production of oriented strand board (OSB)</v>
          </cell>
          <cell r="B2575" t="str">
            <v>carbon dioxide</v>
          </cell>
          <cell r="C2575" t="str">
            <v>to environment (emission, direct)</v>
          </cell>
          <cell r="D2575"/>
          <cell r="E2575" t="str">
            <v>Mass</v>
          </cell>
          <cell r="F2575">
            <v>31.311857140000001</v>
          </cell>
          <cell r="G2575" t="str">
            <v>kg</v>
          </cell>
          <cell r="H2575">
            <v>1</v>
          </cell>
          <cell r="I2575" t="str">
            <v>none</v>
          </cell>
          <cell r="J2575" t="str">
            <v>production process inventory for wood products</v>
          </cell>
          <cell r="K2575"/>
          <cell r="L2575" t="str">
            <v>from values on https://en.wikipedia.org/wiki/Energy_content_of_biofuel</v>
          </cell>
        </row>
        <row r="2576">
          <cell r="A2576" t="str">
            <v>[Rueter] production of oriented strand board (OSB)</v>
          </cell>
          <cell r="B2576" t="str">
            <v>carbon dioxide</v>
          </cell>
          <cell r="C2576" t="str">
            <v>to environment (emission, direct, biogenic)</v>
          </cell>
          <cell r="D2576"/>
          <cell r="E2576" t="str">
            <v>Mass</v>
          </cell>
          <cell r="F2576">
            <v>168.3</v>
          </cell>
          <cell r="G2576" t="str">
            <v>kg</v>
          </cell>
          <cell r="H2576">
            <v>1</v>
          </cell>
          <cell r="I2576" t="str">
            <v>none</v>
          </cell>
          <cell r="J2576" t="str">
            <v>production process inventory for wood products</v>
          </cell>
          <cell r="K2576"/>
          <cell r="L2576" t="str">
            <v>from values on https://en.wikipedia.org/wiki/Energy_content_of_biofuel</v>
          </cell>
        </row>
        <row r="2577">
          <cell r="A2577" t="str">
            <v>[Rueter] production of fiberboard, medium density</v>
          </cell>
          <cell r="B2577" t="str">
            <v>fiberboard, medium density</v>
          </cell>
          <cell r="C2577" t="str">
            <v>reference_product</v>
          </cell>
          <cell r="D2577">
            <v>441193</v>
          </cell>
          <cell r="E2577" t="str">
            <v>Mass</v>
          </cell>
          <cell r="F2577">
            <v>1</v>
          </cell>
          <cell r="G2577" t="str">
            <v>m³</v>
          </cell>
          <cell r="H2577">
            <v>1</v>
          </cell>
          <cell r="I2577" t="str">
            <v>none</v>
          </cell>
          <cell r="J2577" t="str">
            <v>production process inventory for wood products</v>
          </cell>
          <cell r="K2577"/>
          <cell r="L2577" t="str">
            <v>from Table Tabelle 3.2.16.C in the main reference of this data process</v>
          </cell>
        </row>
        <row r="2578">
          <cell r="A2578" t="str">
            <v>[Rueter] production of fiberboard, medium density</v>
          </cell>
          <cell r="B2578" t="str">
            <v>sawdust and woodchips</v>
          </cell>
          <cell r="C2578" t="str">
            <v>to technosphere (by-product)</v>
          </cell>
          <cell r="D2578"/>
          <cell r="E2578" t="str">
            <v>Mass</v>
          </cell>
          <cell r="F2578">
            <v>0.222</v>
          </cell>
          <cell r="G2578" t="str">
            <v>m³</v>
          </cell>
          <cell r="H2578">
            <v>1</v>
          </cell>
          <cell r="I2578" t="str">
            <v>none</v>
          </cell>
          <cell r="J2578" t="str">
            <v>production process inventory for wood products</v>
          </cell>
          <cell r="K2578"/>
          <cell r="L2578" t="str">
            <v>from Table Tabelle 3.2.16.C in the main reference of this data process</v>
          </cell>
        </row>
        <row r="2579">
          <cell r="A2579" t="str">
            <v>[Rueter] production of fiberboard, medium density</v>
          </cell>
          <cell r="B2579" t="str">
            <v>roundwood with bark</v>
          </cell>
          <cell r="C2579" t="str">
            <v>from technosphere (material)</v>
          </cell>
          <cell r="D2579"/>
          <cell r="E2579" t="str">
            <v>Dry mass</v>
          </cell>
          <cell r="F2579">
            <v>0.41399999999999998</v>
          </cell>
          <cell r="G2579" t="str">
            <v>t</v>
          </cell>
          <cell r="H2579">
            <v>1</v>
          </cell>
          <cell r="I2579" t="str">
            <v>none</v>
          </cell>
          <cell r="J2579" t="str">
            <v>production process inventory for wood products</v>
          </cell>
          <cell r="K2579"/>
          <cell r="L2579" t="str">
            <v>from Table Tabelle 3.2.16.C in the main reference of this data process</v>
          </cell>
        </row>
        <row r="2580">
          <cell r="A2580" t="str">
            <v>[Rueter] production of fiberboard, medium density</v>
          </cell>
          <cell r="B2580" t="str">
            <v>sawdust and woodchips</v>
          </cell>
          <cell r="C2580" t="str">
            <v>from technosphere (material)</v>
          </cell>
          <cell r="D2580"/>
          <cell r="E2580" t="str">
            <v>Dry mass</v>
          </cell>
          <cell r="F2580">
            <v>0.39900000000000002</v>
          </cell>
          <cell r="G2580" t="str">
            <v>t</v>
          </cell>
          <cell r="H2580">
            <v>1</v>
          </cell>
          <cell r="I2580" t="str">
            <v>none</v>
          </cell>
          <cell r="J2580" t="str">
            <v>production process inventory for wood products</v>
          </cell>
          <cell r="K2580"/>
          <cell r="L2580" t="str">
            <v>from Table Tabelle 3.2.16.C in the main reference of this data process</v>
          </cell>
        </row>
        <row r="2581">
          <cell r="A2581" t="str">
            <v>[Rueter] production of fiberboard, medium density</v>
          </cell>
          <cell r="B2581" t="str">
            <v>waste wood</v>
          </cell>
          <cell r="C2581" t="str">
            <v>from technosphere (material)</v>
          </cell>
          <cell r="D2581"/>
          <cell r="E2581" t="str">
            <v>Dry mass</v>
          </cell>
          <cell r="F2581">
            <v>0</v>
          </cell>
          <cell r="G2581" t="str">
            <v>t</v>
          </cell>
          <cell r="H2581">
            <v>1</v>
          </cell>
          <cell r="I2581" t="str">
            <v>none</v>
          </cell>
          <cell r="J2581" t="str">
            <v>production process inventory for wood products</v>
          </cell>
          <cell r="K2581"/>
          <cell r="L2581" t="str">
            <v>from Table Tabelle 3.2.16.C in the main reference of this data process</v>
          </cell>
        </row>
        <row r="2582">
          <cell r="A2582" t="str">
            <v>[Rueter] production of fiberboard, medium density</v>
          </cell>
          <cell r="B2582" t="str">
            <v>electricity</v>
          </cell>
          <cell r="C2582" t="str">
            <v>from technosphere (energy_carrier)</v>
          </cell>
          <cell r="D2582"/>
          <cell r="E2582" t="str">
            <v>Energy</v>
          </cell>
          <cell r="F2582">
            <v>297.637</v>
          </cell>
          <cell r="G2582" t="str">
            <v>kWh</v>
          </cell>
          <cell r="H2582">
            <v>1</v>
          </cell>
          <cell r="I2582" t="str">
            <v>none</v>
          </cell>
          <cell r="J2582" t="str">
            <v>production process inventory for wood products</v>
          </cell>
          <cell r="K2582"/>
          <cell r="L2582" t="str">
            <v>from Table Tabelle 3.2.16.C in the main reference of this data process</v>
          </cell>
        </row>
        <row r="2583">
          <cell r="A2583" t="str">
            <v>[Rueter] production of fiberboard, medium density</v>
          </cell>
          <cell r="B2583" t="str">
            <v>natural gas</v>
          </cell>
          <cell r="C2583" t="str">
            <v>from technosphere (energy_carrier)</v>
          </cell>
          <cell r="D2583"/>
          <cell r="E2583" t="str">
            <v>Energy</v>
          </cell>
          <cell r="F2583">
            <v>1.9419999999999999</v>
          </cell>
          <cell r="G2583" t="str">
            <v>MJ</v>
          </cell>
          <cell r="H2583">
            <v>1</v>
          </cell>
          <cell r="I2583" t="str">
            <v>none</v>
          </cell>
          <cell r="J2583" t="str">
            <v>production process inventory for wood products</v>
          </cell>
          <cell r="K2583"/>
          <cell r="L2583" t="str">
            <v>from Table Tabelle 3.2.16.C in the main reference of this data process</v>
          </cell>
        </row>
        <row r="2584">
          <cell r="A2584" t="str">
            <v>[Rueter] production of fiberboard, medium density</v>
          </cell>
          <cell r="B2584" t="str">
            <v>fuel oil</v>
          </cell>
          <cell r="C2584" t="str">
            <v>from technosphere (energy_carrier)</v>
          </cell>
          <cell r="D2584"/>
          <cell r="E2584" t="str">
            <v>Energy</v>
          </cell>
          <cell r="F2584">
            <v>70.298000000000002</v>
          </cell>
          <cell r="G2584" t="str">
            <v>MJ</v>
          </cell>
          <cell r="H2584">
            <v>1</v>
          </cell>
          <cell r="I2584" t="str">
            <v>none</v>
          </cell>
          <cell r="J2584" t="str">
            <v>production process inventory for wood products</v>
          </cell>
          <cell r="K2584"/>
          <cell r="L2584" t="str">
            <v>from Table Tabelle 3.2.16.C in the main reference of this data process</v>
          </cell>
        </row>
        <row r="2585">
          <cell r="A2585" t="str">
            <v>[Rueter] production of fiberboard, medium density</v>
          </cell>
          <cell r="B2585" t="str">
            <v>waste wood</v>
          </cell>
          <cell r="C2585" t="str">
            <v>from technosphere (energy_carrier)</v>
          </cell>
          <cell r="D2585"/>
          <cell r="E2585" t="str">
            <v>Energy</v>
          </cell>
          <cell r="F2585">
            <v>3843</v>
          </cell>
          <cell r="G2585" t="str">
            <v>MJ</v>
          </cell>
          <cell r="H2585">
            <v>1</v>
          </cell>
          <cell r="I2585" t="str">
            <v>none</v>
          </cell>
          <cell r="J2585" t="str">
            <v>production process inventory for wood products</v>
          </cell>
          <cell r="K2585"/>
          <cell r="L2585" t="str">
            <v>from Table Tabelle 3.2.16.C in the main reference of this data process</v>
          </cell>
        </row>
        <row r="2586">
          <cell r="A2586" t="str">
            <v>[Rueter] production of fiberboard, medium density</v>
          </cell>
          <cell r="B2586" t="str">
            <v>industrial roundwood</v>
          </cell>
          <cell r="C2586" t="str">
            <v>from technosphere (energy_carrier)</v>
          </cell>
          <cell r="D2586"/>
          <cell r="E2586" t="str">
            <v>Energy</v>
          </cell>
          <cell r="F2586">
            <v>0</v>
          </cell>
          <cell r="G2586" t="str">
            <v>MJ</v>
          </cell>
          <cell r="H2586">
            <v>1</v>
          </cell>
          <cell r="I2586" t="str">
            <v>none</v>
          </cell>
          <cell r="J2586" t="str">
            <v>production process inventory for wood products</v>
          </cell>
          <cell r="K2586"/>
          <cell r="L2586" t="str">
            <v>from Table Tabelle 3.2.16.C in the main reference of this data process</v>
          </cell>
        </row>
        <row r="2587">
          <cell r="A2587" t="str">
            <v>[Rueter] production of fiberboard, medium density</v>
          </cell>
          <cell r="B2587" t="str">
            <v>waste wood</v>
          </cell>
          <cell r="C2587" t="str">
            <v>from technosphere (use of own by-product)</v>
          </cell>
          <cell r="D2587"/>
          <cell r="E2587" t="str">
            <v>Energy</v>
          </cell>
          <cell r="F2587">
            <v>3462.3</v>
          </cell>
          <cell r="G2587" t="str">
            <v>MJ</v>
          </cell>
          <cell r="H2587">
            <v>1</v>
          </cell>
          <cell r="I2587" t="str">
            <v>none</v>
          </cell>
          <cell r="J2587" t="str">
            <v>production process inventory for wood products</v>
          </cell>
          <cell r="K2587"/>
          <cell r="L2587" t="str">
            <v>from Table Tabelle 3.2.16.C in the main reference of this data process</v>
          </cell>
        </row>
        <row r="2588">
          <cell r="A2588" t="str">
            <v>[Rueter] production of fiberboard, medium density</v>
          </cell>
          <cell r="B2588" t="str">
            <v>diesel</v>
          </cell>
          <cell r="C2588" t="str">
            <v>from technosphere (energy_carrier)</v>
          </cell>
          <cell r="D2588"/>
          <cell r="E2588" t="str">
            <v>Energy</v>
          </cell>
          <cell r="F2588">
            <v>37.968000000000004</v>
          </cell>
          <cell r="G2588" t="str">
            <v>MJ</v>
          </cell>
          <cell r="H2588">
            <v>1</v>
          </cell>
          <cell r="I2588" t="str">
            <v>none</v>
          </cell>
          <cell r="J2588" t="str">
            <v>production process inventory for wood products</v>
          </cell>
          <cell r="K2588"/>
          <cell r="L2588" t="str">
            <v>from Table Tabelle 3.2.16.C in the main reference of this data process</v>
          </cell>
        </row>
        <row r="2589">
          <cell r="A2589" t="str">
            <v>[Rueter] production of fiberboard, medium density</v>
          </cell>
          <cell r="B2589" t="str">
            <v>urea formaldehyde resin</v>
          </cell>
          <cell r="C2589" t="str">
            <v>from technosphere (material)</v>
          </cell>
          <cell r="D2589"/>
          <cell r="E2589" t="str">
            <v>Mass</v>
          </cell>
          <cell r="F2589">
            <v>95.590999999999994</v>
          </cell>
          <cell r="G2589" t="str">
            <v>kg</v>
          </cell>
          <cell r="H2589">
            <v>1</v>
          </cell>
          <cell r="I2589" t="str">
            <v>none</v>
          </cell>
          <cell r="J2589" t="str">
            <v>production process inventory for wood products</v>
          </cell>
          <cell r="K2589"/>
          <cell r="L2589" t="str">
            <v>from Table Tabelle 3.2.16.C in the main reference of this data process</v>
          </cell>
        </row>
        <row r="2590">
          <cell r="A2590" t="str">
            <v>[Rueter] production of fiberboard, medium density</v>
          </cell>
          <cell r="B2590" t="str">
            <v>polymeric methylene diphenyl diisocyanate (PMDI)</v>
          </cell>
          <cell r="C2590" t="str">
            <v>from technosphere (material)</v>
          </cell>
          <cell r="D2590"/>
          <cell r="E2590" t="str">
            <v>Mass</v>
          </cell>
          <cell r="F2590">
            <v>0</v>
          </cell>
          <cell r="G2590" t="str">
            <v>kg</v>
          </cell>
          <cell r="H2590">
            <v>1</v>
          </cell>
          <cell r="I2590" t="str">
            <v>none</v>
          </cell>
          <cell r="J2590" t="str">
            <v>production process inventory for wood products</v>
          </cell>
          <cell r="K2590"/>
          <cell r="L2590" t="str">
            <v>from Table Tabelle 3.2.16.C in the main reference of this data process</v>
          </cell>
        </row>
        <row r="2591">
          <cell r="A2591" t="str">
            <v>[Rueter] production of fiberboard, medium density</v>
          </cell>
          <cell r="B2591" t="str">
            <v>polyurethaneresin</v>
          </cell>
          <cell r="C2591" t="str">
            <v>from technosphere (material)</v>
          </cell>
          <cell r="D2591"/>
          <cell r="E2591" t="str">
            <v>Mass</v>
          </cell>
          <cell r="F2591">
            <v>0</v>
          </cell>
          <cell r="G2591" t="str">
            <v>kg</v>
          </cell>
          <cell r="H2591">
            <v>1</v>
          </cell>
          <cell r="I2591" t="str">
            <v>none</v>
          </cell>
          <cell r="J2591" t="str">
            <v>production process inventory for wood products</v>
          </cell>
          <cell r="K2591"/>
          <cell r="L2591" t="str">
            <v>from Table Tabelle 3.2.16.C in the main reference of this data process</v>
          </cell>
        </row>
        <row r="2592">
          <cell r="A2592" t="str">
            <v>[Rueter] production of fiberboard, medium density</v>
          </cell>
          <cell r="B2592" t="str">
            <v>carbon dioxide</v>
          </cell>
          <cell r="C2592" t="str">
            <v>to environment (emission, direct)</v>
          </cell>
          <cell r="D2592"/>
          <cell r="E2592" t="str">
            <v>Mass</v>
          </cell>
          <cell r="F2592">
            <v>7.8719999999999999</v>
          </cell>
          <cell r="G2592" t="str">
            <v>kg</v>
          </cell>
          <cell r="H2592">
            <v>1</v>
          </cell>
          <cell r="I2592" t="str">
            <v>none</v>
          </cell>
          <cell r="J2592" t="str">
            <v>production process inventory for wood products</v>
          </cell>
          <cell r="K2592"/>
          <cell r="L2592" t="str">
            <v>from values on https://en.wikipedia.org/wiki/Energy_content_of_biofuel</v>
          </cell>
        </row>
        <row r="2593">
          <cell r="A2593" t="str">
            <v>[Rueter] production of fiberboard, medium density</v>
          </cell>
          <cell r="B2593" t="str">
            <v>carbon dioxide</v>
          </cell>
          <cell r="C2593" t="str">
            <v>to environment (emission, direct, biogenic)</v>
          </cell>
          <cell r="D2593"/>
          <cell r="E2593" t="str">
            <v>Mass</v>
          </cell>
          <cell r="F2593">
            <v>730.53</v>
          </cell>
          <cell r="G2593" t="str">
            <v>kg</v>
          </cell>
          <cell r="H2593">
            <v>1</v>
          </cell>
          <cell r="I2593" t="str">
            <v>none</v>
          </cell>
          <cell r="J2593" t="str">
            <v>production process inventory for wood products</v>
          </cell>
          <cell r="K2593"/>
          <cell r="L2593" t="str">
            <v>from values on https://en.wikipedia.org/wiki/Energy_content_of_biofuel</v>
          </cell>
        </row>
        <row r="2594">
          <cell r="A2594" t="str">
            <v>[Rueter] production of fiberboard, high density</v>
          </cell>
          <cell r="B2594" t="str">
            <v>fiberboard, high density</v>
          </cell>
          <cell r="C2594" t="str">
            <v>reference_product</v>
          </cell>
          <cell r="D2594">
            <v>441192</v>
          </cell>
          <cell r="E2594" t="str">
            <v>Mass</v>
          </cell>
          <cell r="F2594">
            <v>1</v>
          </cell>
          <cell r="G2594" t="str">
            <v>m³</v>
          </cell>
          <cell r="H2594">
            <v>1</v>
          </cell>
          <cell r="I2594" t="str">
            <v>none</v>
          </cell>
          <cell r="J2594" t="str">
            <v>production process inventory for wood products</v>
          </cell>
          <cell r="K2594"/>
          <cell r="L2594" t="str">
            <v>from Table Tabelle 3.2.17.C in the main reference of this data process</v>
          </cell>
        </row>
        <row r="2595">
          <cell r="A2595" t="str">
            <v>[Rueter] production of fiberboard, high density</v>
          </cell>
          <cell r="B2595" t="str">
            <v>sawdust and woodchips</v>
          </cell>
          <cell r="C2595" t="str">
            <v>to technosphere (by-product)</v>
          </cell>
          <cell r="D2595"/>
          <cell r="E2595" t="str">
            <v>Dry mass</v>
          </cell>
          <cell r="F2595">
            <v>0.19900000000000001</v>
          </cell>
          <cell r="G2595" t="str">
            <v>t</v>
          </cell>
          <cell r="H2595">
            <v>1</v>
          </cell>
          <cell r="I2595" t="str">
            <v>none</v>
          </cell>
          <cell r="J2595" t="str">
            <v>production process inventory for wood products</v>
          </cell>
          <cell r="K2595"/>
          <cell r="L2595" t="str">
            <v>from Table Tabelle 3.2.17.C in the main reference of this data process</v>
          </cell>
        </row>
        <row r="2596">
          <cell r="A2596" t="str">
            <v>[Rueter] production of fiberboard, high density</v>
          </cell>
          <cell r="B2596" t="str">
            <v>roundwood with bark</v>
          </cell>
          <cell r="C2596" t="str">
            <v>from technosphere (material)</v>
          </cell>
          <cell r="D2596"/>
          <cell r="E2596" t="str">
            <v>Dry mass</v>
          </cell>
          <cell r="F2596">
            <v>0.254</v>
          </cell>
          <cell r="G2596" t="str">
            <v>t</v>
          </cell>
          <cell r="H2596">
            <v>1</v>
          </cell>
          <cell r="I2596" t="str">
            <v>none</v>
          </cell>
          <cell r="J2596" t="str">
            <v>production process inventory for wood products</v>
          </cell>
          <cell r="K2596"/>
          <cell r="L2596" t="str">
            <v>from Table Tabelle 3.2.17.C in the main reference of this data process</v>
          </cell>
        </row>
        <row r="2597">
          <cell r="A2597" t="str">
            <v>[Rueter] production of fiberboard, high density</v>
          </cell>
          <cell r="B2597" t="str">
            <v>sawdust and woodchips</v>
          </cell>
          <cell r="C2597" t="str">
            <v>from technosphere (material)</v>
          </cell>
          <cell r="D2597"/>
          <cell r="E2597" t="str">
            <v>Dry mass</v>
          </cell>
          <cell r="F2597">
            <v>0.61399999999999999</v>
          </cell>
          <cell r="G2597" t="str">
            <v>t</v>
          </cell>
          <cell r="H2597">
            <v>1</v>
          </cell>
          <cell r="I2597" t="str">
            <v>none</v>
          </cell>
          <cell r="J2597" t="str">
            <v>production process inventory for wood products</v>
          </cell>
          <cell r="K2597"/>
          <cell r="L2597" t="str">
            <v>from Table Tabelle 3.2.17.C in the main reference of this data process</v>
          </cell>
        </row>
        <row r="2598">
          <cell r="A2598" t="str">
            <v>[Rueter] production of fiberboard, high density</v>
          </cell>
          <cell r="B2598" t="str">
            <v>waste wood</v>
          </cell>
          <cell r="C2598" t="str">
            <v>from technosphere (material)</v>
          </cell>
          <cell r="D2598"/>
          <cell r="E2598" t="str">
            <v>Dry mass</v>
          </cell>
          <cell r="F2598">
            <v>0</v>
          </cell>
          <cell r="G2598" t="str">
            <v>t</v>
          </cell>
          <cell r="H2598">
            <v>1</v>
          </cell>
          <cell r="I2598" t="str">
            <v>none</v>
          </cell>
          <cell r="J2598" t="str">
            <v>production process inventory for wood products</v>
          </cell>
          <cell r="K2598"/>
          <cell r="L2598" t="str">
            <v>from Table Tabelle 3.2.17.C in the main reference of this data process</v>
          </cell>
        </row>
        <row r="2599">
          <cell r="A2599" t="str">
            <v>[Rueter] production of fiberboard, high density</v>
          </cell>
          <cell r="B2599" t="str">
            <v>electricity</v>
          </cell>
          <cell r="C2599" t="str">
            <v>from technosphere (energy_carrier)</v>
          </cell>
          <cell r="D2599"/>
          <cell r="E2599" t="str">
            <v>Energy</v>
          </cell>
          <cell r="F2599">
            <v>301.06200000000001</v>
          </cell>
          <cell r="G2599" t="str">
            <v>kWh</v>
          </cell>
          <cell r="H2599">
            <v>1</v>
          </cell>
          <cell r="I2599" t="str">
            <v>none</v>
          </cell>
          <cell r="J2599" t="str">
            <v>production process inventory for wood products</v>
          </cell>
          <cell r="K2599"/>
          <cell r="L2599" t="str">
            <v>from Table Tabelle 3.2.17.C in the main reference of this data process</v>
          </cell>
        </row>
        <row r="2600">
          <cell r="A2600" t="str">
            <v>[Rueter] production of fiberboard, high density</v>
          </cell>
          <cell r="B2600" t="str">
            <v>natural gas</v>
          </cell>
          <cell r="C2600" t="str">
            <v>from technosphere (energy_carrier)</v>
          </cell>
          <cell r="D2600"/>
          <cell r="E2600" t="str">
            <v>Energy</v>
          </cell>
          <cell r="F2600">
            <v>2.464</v>
          </cell>
          <cell r="G2600" t="str">
            <v>MJ</v>
          </cell>
          <cell r="H2600">
            <v>1</v>
          </cell>
          <cell r="I2600" t="str">
            <v>none</v>
          </cell>
          <cell r="J2600" t="str">
            <v>production process inventory for wood products</v>
          </cell>
          <cell r="K2600"/>
          <cell r="L2600" t="str">
            <v>from Table Tabelle 3.2.17.C in the main reference of this data process</v>
          </cell>
        </row>
        <row r="2601">
          <cell r="A2601" t="str">
            <v>[Rueter] production of fiberboard, high density</v>
          </cell>
          <cell r="B2601" t="str">
            <v>fuel oil</v>
          </cell>
          <cell r="C2601" t="str">
            <v>from technosphere (energy_carrier)</v>
          </cell>
          <cell r="D2601"/>
          <cell r="E2601" t="str">
            <v>Energy</v>
          </cell>
          <cell r="F2601">
            <v>34.683</v>
          </cell>
          <cell r="G2601" t="str">
            <v>MJ</v>
          </cell>
          <cell r="H2601">
            <v>1</v>
          </cell>
          <cell r="I2601" t="str">
            <v>none</v>
          </cell>
          <cell r="J2601" t="str">
            <v>production process inventory for wood products</v>
          </cell>
          <cell r="K2601"/>
          <cell r="L2601" t="str">
            <v>from Table Tabelle 3.2.17.C in the main reference of this data process</v>
          </cell>
        </row>
        <row r="2602">
          <cell r="A2602" t="str">
            <v>[Rueter] production of fiberboard, high density</v>
          </cell>
          <cell r="B2602" t="str">
            <v>waste wood</v>
          </cell>
          <cell r="C2602" t="str">
            <v>from technosphere (energy_carrier)</v>
          </cell>
          <cell r="D2602"/>
          <cell r="E2602" t="str">
            <v>Energy</v>
          </cell>
          <cell r="F2602">
            <v>5883.4</v>
          </cell>
          <cell r="G2602" t="str">
            <v>MJ</v>
          </cell>
          <cell r="H2602">
            <v>1</v>
          </cell>
          <cell r="I2602" t="str">
            <v>none</v>
          </cell>
          <cell r="J2602" t="str">
            <v>production process inventory for wood products</v>
          </cell>
          <cell r="K2602"/>
          <cell r="L2602" t="str">
            <v>from Table Tabelle 3.2.17.C in the main reference of this data process</v>
          </cell>
        </row>
        <row r="2603">
          <cell r="A2603" t="str">
            <v>[Rueter] production of fiberboard, high density</v>
          </cell>
          <cell r="B2603" t="str">
            <v>industrial roundwood</v>
          </cell>
          <cell r="C2603" t="str">
            <v>from technosphere (energy_carrier)</v>
          </cell>
          <cell r="D2603"/>
          <cell r="E2603" t="str">
            <v>Energy</v>
          </cell>
          <cell r="F2603">
            <v>0</v>
          </cell>
          <cell r="G2603" t="str">
            <v>MJ</v>
          </cell>
          <cell r="H2603">
            <v>1</v>
          </cell>
          <cell r="I2603" t="str">
            <v>none</v>
          </cell>
          <cell r="J2603" t="str">
            <v>production process inventory for wood products</v>
          </cell>
          <cell r="K2603"/>
          <cell r="L2603" t="str">
            <v>from Table Tabelle 3.2.17.C in the main reference of this data process</v>
          </cell>
        </row>
        <row r="2604">
          <cell r="A2604" t="str">
            <v>[Rueter] production of fiberboard, high density</v>
          </cell>
          <cell r="B2604" t="str">
            <v>waste wood</v>
          </cell>
          <cell r="C2604" t="str">
            <v>from technosphere (use of own by-product)</v>
          </cell>
          <cell r="D2604"/>
          <cell r="E2604" t="str">
            <v>Energy</v>
          </cell>
          <cell r="F2604">
            <v>3701</v>
          </cell>
          <cell r="G2604" t="str">
            <v>MJ</v>
          </cell>
          <cell r="H2604">
            <v>1</v>
          </cell>
          <cell r="I2604" t="str">
            <v>none</v>
          </cell>
          <cell r="J2604" t="str">
            <v>production process inventory for wood products</v>
          </cell>
          <cell r="K2604"/>
          <cell r="L2604" t="str">
            <v>from Table Tabelle 3.2.17.C in the main reference of this data process</v>
          </cell>
        </row>
        <row r="2605">
          <cell r="A2605" t="str">
            <v>[Rueter] production of fiberboard, high density</v>
          </cell>
          <cell r="B2605" t="str">
            <v>diesel</v>
          </cell>
          <cell r="C2605" t="str">
            <v>from technosphere (energy_carrier)</v>
          </cell>
          <cell r="D2605"/>
          <cell r="E2605" t="str">
            <v>Energy</v>
          </cell>
          <cell r="F2605">
            <v>32.4</v>
          </cell>
          <cell r="G2605" t="str">
            <v>MJ</v>
          </cell>
          <cell r="H2605">
            <v>1</v>
          </cell>
          <cell r="I2605" t="str">
            <v>none</v>
          </cell>
          <cell r="J2605" t="str">
            <v>production process inventory for wood products</v>
          </cell>
          <cell r="K2605"/>
          <cell r="L2605" t="str">
            <v>from Table Tabelle 3.2.17.C in the main reference of this data process</v>
          </cell>
        </row>
        <row r="2606">
          <cell r="A2606" t="str">
            <v>[Rueter] production of fiberboard, high density</v>
          </cell>
          <cell r="B2606" t="str">
            <v>urea formaldehyde resin</v>
          </cell>
          <cell r="C2606" t="str">
            <v>from technosphere (material)</v>
          </cell>
          <cell r="D2606"/>
          <cell r="E2606" t="str">
            <v>Mass</v>
          </cell>
          <cell r="F2606">
            <v>113.27800000000001</v>
          </cell>
          <cell r="G2606" t="str">
            <v>kg</v>
          </cell>
          <cell r="H2606">
            <v>1</v>
          </cell>
          <cell r="I2606" t="str">
            <v>none</v>
          </cell>
          <cell r="J2606" t="str">
            <v>production process inventory for wood products</v>
          </cell>
          <cell r="K2606"/>
          <cell r="L2606" t="str">
            <v>from Table Tabelle 3.2.17.C in the main reference of this data process</v>
          </cell>
        </row>
        <row r="2607">
          <cell r="A2607" t="str">
            <v>[Rueter] production of fiberboard, high density</v>
          </cell>
          <cell r="B2607" t="str">
            <v>polymeric methylene diphenyl diisocyanate (PMDI)</v>
          </cell>
          <cell r="C2607" t="str">
            <v>from technosphere (material)</v>
          </cell>
          <cell r="D2607"/>
          <cell r="E2607" t="str">
            <v>Mass</v>
          </cell>
          <cell r="F2607">
            <v>0</v>
          </cell>
          <cell r="G2607" t="str">
            <v>kg</v>
          </cell>
          <cell r="H2607">
            <v>1</v>
          </cell>
          <cell r="I2607" t="str">
            <v>none</v>
          </cell>
          <cell r="J2607" t="str">
            <v>production process inventory for wood products</v>
          </cell>
          <cell r="K2607"/>
          <cell r="L2607" t="str">
            <v>from Table Tabelle 3.2.17.C in the main reference of this data process</v>
          </cell>
        </row>
        <row r="2608">
          <cell r="A2608" t="str">
            <v>[Rueter] production of fiberboard, high density</v>
          </cell>
          <cell r="B2608" t="str">
            <v>polyurethaneresin</v>
          </cell>
          <cell r="C2608" t="str">
            <v>from technosphere (material)</v>
          </cell>
          <cell r="D2608"/>
          <cell r="E2608" t="str">
            <v>Mass</v>
          </cell>
          <cell r="F2608">
            <v>0</v>
          </cell>
          <cell r="G2608" t="str">
            <v>kg</v>
          </cell>
          <cell r="H2608">
            <v>1</v>
          </cell>
          <cell r="I2608" t="str">
            <v>none</v>
          </cell>
          <cell r="J2608" t="str">
            <v>production process inventory for wood products</v>
          </cell>
          <cell r="K2608"/>
          <cell r="L2608" t="str">
            <v>from Table Tabelle 3.2.17.C in the main reference of this data process</v>
          </cell>
        </row>
        <row r="2609">
          <cell r="A2609" t="str">
            <v>[Rueter] production of fiberboard, high density</v>
          </cell>
          <cell r="B2609" t="str">
            <v>carbon dioxide</v>
          </cell>
          <cell r="C2609" t="str">
            <v>to environment (emission, direct)</v>
          </cell>
          <cell r="D2609"/>
          <cell r="E2609" t="str">
            <v>Mass</v>
          </cell>
          <cell r="F2609">
            <v>4.9676428570000004</v>
          </cell>
          <cell r="G2609" t="str">
            <v>kg</v>
          </cell>
          <cell r="H2609">
            <v>1</v>
          </cell>
          <cell r="I2609" t="str">
            <v>none</v>
          </cell>
          <cell r="J2609" t="str">
            <v>production process inventory for wood products</v>
          </cell>
          <cell r="K2609"/>
          <cell r="L2609" t="str">
            <v>from values on https://en.wikipedia.org/wiki/Energy_content_of_biofuel</v>
          </cell>
        </row>
        <row r="2610">
          <cell r="A2610" t="str">
            <v>[Rueter] production of fiberboard, high density</v>
          </cell>
          <cell r="B2610" t="str">
            <v>carbon dioxide</v>
          </cell>
          <cell r="C2610" t="str">
            <v>to environment (emission, direct, biogenic)</v>
          </cell>
          <cell r="D2610"/>
          <cell r="E2610" t="str">
            <v>Mass</v>
          </cell>
          <cell r="F2610">
            <v>958.44</v>
          </cell>
          <cell r="G2610" t="str">
            <v>kg</v>
          </cell>
          <cell r="H2610">
            <v>1</v>
          </cell>
          <cell r="I2610" t="str">
            <v>none</v>
          </cell>
          <cell r="J2610" t="str">
            <v>production process inventory for wood products</v>
          </cell>
          <cell r="K2610"/>
          <cell r="L2610" t="str">
            <v>from values on https://en.wikipedia.org/wiki/Energy_content_of_biofuel</v>
          </cell>
        </row>
        <row r="2611">
          <cell r="A2611" t="str">
            <v>[Rueter] production of sawnwood, softwood, 55% humidity</v>
          </cell>
          <cell r="B2611" t="str">
            <v>sawnwood, softwood, 55% humidity</v>
          </cell>
          <cell r="C2611" t="str">
            <v>reference_product</v>
          </cell>
          <cell r="D2611">
            <v>4407</v>
          </cell>
          <cell r="E2611" t="str">
            <v>Mass</v>
          </cell>
          <cell r="F2611">
            <v>1</v>
          </cell>
          <cell r="G2611" t="str">
            <v>m³</v>
          </cell>
          <cell r="H2611">
            <v>1</v>
          </cell>
          <cell r="I2611" t="str">
            <v>none</v>
          </cell>
          <cell r="J2611" t="str">
            <v>production process inventory for wood products</v>
          </cell>
          <cell r="K2611"/>
          <cell r="L2611" t="str">
            <v>from Table Tabelle 3.2.1.C in the main reference of this data process</v>
          </cell>
        </row>
        <row r="2612">
          <cell r="A2612" t="str">
            <v>[Rueter] production of sawnwood, softwood, 55% humidity</v>
          </cell>
          <cell r="B2612" t="str">
            <v>sawdust and woodchips</v>
          </cell>
          <cell r="C2612" t="str">
            <v>to technosphere (by-product)</v>
          </cell>
          <cell r="D2612"/>
          <cell r="E2612" t="str">
            <v>Mass</v>
          </cell>
          <cell r="F2612">
            <v>0.82</v>
          </cell>
          <cell r="G2612" t="str">
            <v>m³</v>
          </cell>
          <cell r="H2612">
            <v>1</v>
          </cell>
          <cell r="I2612" t="str">
            <v>none</v>
          </cell>
          <cell r="J2612" t="str">
            <v>production process inventory for wood products</v>
          </cell>
          <cell r="K2612"/>
          <cell r="L2612" t="str">
            <v>from Table Tabelle 3.2.1.C in the main reference of this data process</v>
          </cell>
        </row>
        <row r="2613">
          <cell r="A2613" t="str">
            <v>[Rueter] production of sawnwood, softwood, 55% humidity</v>
          </cell>
          <cell r="B2613" t="str">
            <v>roundwood with bark</v>
          </cell>
          <cell r="C2613" t="str">
            <v>from technosphere (material)</v>
          </cell>
          <cell r="D2613"/>
          <cell r="E2613" t="str">
            <v>Mass</v>
          </cell>
          <cell r="F2613">
            <v>1.7549999999999999</v>
          </cell>
          <cell r="G2613" t="str">
            <v>m³</v>
          </cell>
          <cell r="H2613">
            <v>1</v>
          </cell>
          <cell r="I2613" t="str">
            <v>none</v>
          </cell>
          <cell r="J2613" t="str">
            <v>production process inventory for wood products</v>
          </cell>
          <cell r="K2613"/>
          <cell r="L2613" t="str">
            <v>from Table Tabelle 3.2.1.C in the main reference of this data process</v>
          </cell>
        </row>
        <row r="2614">
          <cell r="A2614" t="str">
            <v>[Rueter] production of sawnwood, softwood, 55% humidity</v>
          </cell>
          <cell r="B2614" t="str">
            <v>roundwood without bark</v>
          </cell>
          <cell r="C2614" t="str">
            <v>from technosphere (material)</v>
          </cell>
          <cell r="D2614"/>
          <cell r="E2614" t="str">
            <v>Mass</v>
          </cell>
          <cell r="F2614">
            <v>6.5000000000000002E-2</v>
          </cell>
          <cell r="G2614" t="str">
            <v>m³</v>
          </cell>
          <cell r="H2614">
            <v>1</v>
          </cell>
          <cell r="I2614" t="str">
            <v>none</v>
          </cell>
          <cell r="J2614" t="str">
            <v>production process inventory for wood products</v>
          </cell>
          <cell r="K2614"/>
          <cell r="L2614" t="str">
            <v>from Table Tabelle 3.2.1.C in the main reference of this data process</v>
          </cell>
        </row>
        <row r="2615">
          <cell r="A2615" t="str">
            <v>[Rueter] production of sawnwood, softwood, 55% humidity</v>
          </cell>
          <cell r="B2615" t="str">
            <v>electricity</v>
          </cell>
          <cell r="C2615" t="str">
            <v>from technosphere (energy_carrier)</v>
          </cell>
          <cell r="D2615"/>
          <cell r="E2615" t="str">
            <v>Energy</v>
          </cell>
          <cell r="F2615">
            <v>21.77</v>
          </cell>
          <cell r="G2615" t="str">
            <v>kWh</v>
          </cell>
          <cell r="H2615">
            <v>1</v>
          </cell>
          <cell r="I2615" t="str">
            <v>none</v>
          </cell>
          <cell r="J2615" t="str">
            <v>production process inventory for wood products</v>
          </cell>
          <cell r="K2615"/>
          <cell r="L2615" t="str">
            <v>from Table Tabelle 3.2.1.C in the main reference of this data process</v>
          </cell>
        </row>
        <row r="2616">
          <cell r="A2616" t="str">
            <v>[Rueter] production of sawnwood, softwood, 55% humidity</v>
          </cell>
          <cell r="B2616" t="str">
            <v>natural gas</v>
          </cell>
          <cell r="C2616" t="str">
            <v>from technosphere (energy_carrier)</v>
          </cell>
          <cell r="D2616"/>
          <cell r="E2616" t="str">
            <v>Energy</v>
          </cell>
          <cell r="F2616">
            <v>0</v>
          </cell>
          <cell r="G2616" t="str">
            <v>MJ</v>
          </cell>
          <cell r="H2616">
            <v>1</v>
          </cell>
          <cell r="I2616" t="str">
            <v>none</v>
          </cell>
          <cell r="J2616" t="str">
            <v>production process inventory for wood products</v>
          </cell>
          <cell r="K2616"/>
          <cell r="L2616" t="str">
            <v>from Table Tabelle 3.2.1.C in the main reference of this data process</v>
          </cell>
        </row>
        <row r="2617">
          <cell r="A2617" t="str">
            <v>[Rueter] production of sawnwood, softwood, 55% humidity</v>
          </cell>
          <cell r="B2617" t="str">
            <v>diesel</v>
          </cell>
          <cell r="C2617" t="str">
            <v>from technosphere (energy_carrier)</v>
          </cell>
          <cell r="D2617"/>
          <cell r="E2617" t="str">
            <v>Energy</v>
          </cell>
          <cell r="F2617">
            <v>39.456000000000003</v>
          </cell>
          <cell r="G2617" t="str">
            <v>MJ</v>
          </cell>
          <cell r="H2617">
            <v>1</v>
          </cell>
          <cell r="I2617" t="str">
            <v>none</v>
          </cell>
          <cell r="J2617" t="str">
            <v>production process inventory for wood products</v>
          </cell>
          <cell r="K2617"/>
          <cell r="L2617" t="str">
            <v>from Table Tabelle 3.2.1.C in the main reference of this data process</v>
          </cell>
        </row>
        <row r="2618">
          <cell r="A2618" t="str">
            <v>[Rueter] production of sawnwood, softwood, 55% humidity</v>
          </cell>
          <cell r="B2618" t="str">
            <v>carbon dioxide</v>
          </cell>
          <cell r="C2618" t="str">
            <v>to environment (emission, direct)</v>
          </cell>
          <cell r="D2618"/>
          <cell r="E2618" t="str">
            <v>Mass</v>
          </cell>
          <cell r="F2618">
            <v>2.8182857139999999</v>
          </cell>
          <cell r="G2618" t="str">
            <v>kg</v>
          </cell>
          <cell r="H2618">
            <v>1</v>
          </cell>
          <cell r="I2618" t="str">
            <v>none</v>
          </cell>
          <cell r="J2618" t="str">
            <v>production process inventory for wood products</v>
          </cell>
          <cell r="K2618"/>
          <cell r="L2618" t="str">
            <v>from values on https://en.wikipedia.org/wiki/Energy_content_of_biofuel</v>
          </cell>
        </row>
        <row r="2619">
          <cell r="A2619" t="str">
            <v>[Rueter] production of sawnwood, softwood, 55% humidity</v>
          </cell>
          <cell r="B2619" t="str">
            <v>carbon dioxide</v>
          </cell>
          <cell r="C2619" t="str">
            <v>to environment (emission, direct, biogenic)</v>
          </cell>
          <cell r="D2619"/>
          <cell r="E2619" t="str">
            <v>Mass</v>
          </cell>
          <cell r="F2619">
            <v>0</v>
          </cell>
          <cell r="G2619" t="str">
            <v>kg</v>
          </cell>
          <cell r="H2619">
            <v>1</v>
          </cell>
          <cell r="I2619" t="str">
            <v>none</v>
          </cell>
          <cell r="J2619" t="str">
            <v>production process inventory for wood products</v>
          </cell>
          <cell r="K2619"/>
          <cell r="L2619" t="str">
            <v>from values on https://en.wikipedia.org/wiki/Energy_content_of_biofuel</v>
          </cell>
        </row>
        <row r="2620">
          <cell r="A2620" t="str">
            <v>[Rueter] production of sawnwood, softwood, chamber dried, 8%-20% humidity</v>
          </cell>
          <cell r="B2620" t="str">
            <v>sawnwood, softwood, chamber dried, 8%-20% humidity</v>
          </cell>
          <cell r="C2620" t="str">
            <v>reference_product</v>
          </cell>
          <cell r="D2620">
            <v>4407</v>
          </cell>
          <cell r="E2620" t="str">
            <v>Mass</v>
          </cell>
          <cell r="F2620">
            <v>1</v>
          </cell>
          <cell r="G2620" t="str">
            <v>m³</v>
          </cell>
          <cell r="H2620">
            <v>1</v>
          </cell>
          <cell r="I2620" t="str">
            <v>none</v>
          </cell>
          <cell r="J2620" t="str">
            <v>production process inventory for wood products</v>
          </cell>
          <cell r="K2620"/>
          <cell r="L2620" t="str">
            <v>from Table Tabelle 3.2.2.C in the main reference of this data process</v>
          </cell>
        </row>
        <row r="2621">
          <cell r="A2621" t="str">
            <v>[Rueter] production of sawnwood, softwood, chamber dried, 8%-20% humidity</v>
          </cell>
          <cell r="B2621" t="str">
            <v>sawdust and woodchips</v>
          </cell>
          <cell r="C2621" t="str">
            <v>to technosphere (by-product)</v>
          </cell>
          <cell r="D2621"/>
          <cell r="E2621" t="str">
            <v>Mass</v>
          </cell>
          <cell r="F2621">
            <v>1.04</v>
          </cell>
          <cell r="G2621" t="str">
            <v>m³</v>
          </cell>
          <cell r="H2621">
            <v>1</v>
          </cell>
          <cell r="I2621" t="str">
            <v>none</v>
          </cell>
          <cell r="J2621" t="str">
            <v>production process inventory for wood products</v>
          </cell>
          <cell r="K2621"/>
          <cell r="L2621" t="str">
            <v>from Table Tabelle 3.2.2.C in the main reference of this data process</v>
          </cell>
        </row>
        <row r="2622">
          <cell r="A2622" t="str">
            <v>[Rueter] production of sawnwood, softwood, chamber dried, 8%-20% humidity</v>
          </cell>
          <cell r="B2622" t="str">
            <v>roundwood with bark</v>
          </cell>
          <cell r="C2622" t="str">
            <v>from technosphere (material)</v>
          </cell>
          <cell r="D2622"/>
          <cell r="E2622" t="str">
            <v>Mass</v>
          </cell>
          <cell r="F2622">
            <v>1.9910000000000001</v>
          </cell>
          <cell r="G2622" t="str">
            <v>m³</v>
          </cell>
          <cell r="H2622">
            <v>1</v>
          </cell>
          <cell r="I2622" t="str">
            <v>none</v>
          </cell>
          <cell r="J2622" t="str">
            <v>production process inventory for wood products</v>
          </cell>
          <cell r="K2622"/>
          <cell r="L2622" t="str">
            <v>from Table Tabelle 3.2.2.C in the main reference of this data process</v>
          </cell>
        </row>
        <row r="2623">
          <cell r="A2623" t="str">
            <v>[Rueter] production of sawnwood, softwood, chamber dried, 8%-20% humidity</v>
          </cell>
          <cell r="B2623" t="str">
            <v>roundwood without bark</v>
          </cell>
          <cell r="C2623" t="str">
            <v>from technosphere (material)</v>
          </cell>
          <cell r="D2623"/>
          <cell r="E2623" t="str">
            <v>Mass</v>
          </cell>
          <cell r="F2623">
            <v>0.05</v>
          </cell>
          <cell r="G2623" t="str">
            <v>m³</v>
          </cell>
          <cell r="H2623">
            <v>1</v>
          </cell>
          <cell r="I2623" t="str">
            <v>none</v>
          </cell>
          <cell r="J2623" t="str">
            <v>production process inventory for wood products</v>
          </cell>
          <cell r="K2623"/>
          <cell r="L2623" t="str">
            <v>from Table Tabelle 3.2.2.C in the main reference of this data process</v>
          </cell>
        </row>
        <row r="2624">
          <cell r="A2624" t="str">
            <v>[Rueter] production of sawnwood, softwood, chamber dried, 8%-20% humidity</v>
          </cell>
          <cell r="B2624" t="str">
            <v>electricity</v>
          </cell>
          <cell r="C2624" t="str">
            <v>from technosphere (energy_carrier)</v>
          </cell>
          <cell r="D2624"/>
          <cell r="E2624" t="str">
            <v>Energy</v>
          </cell>
          <cell r="F2624">
            <v>43.411000000000001</v>
          </cell>
          <cell r="G2624" t="str">
            <v>kWh</v>
          </cell>
          <cell r="H2624">
            <v>1</v>
          </cell>
          <cell r="I2624" t="str">
            <v>none</v>
          </cell>
          <cell r="J2624" t="str">
            <v>production process inventory for wood products</v>
          </cell>
          <cell r="K2624"/>
          <cell r="L2624" t="str">
            <v>from Table Tabelle 3.2.2.C in the main reference of this data process</v>
          </cell>
        </row>
        <row r="2625">
          <cell r="A2625" t="str">
            <v>[Rueter] production of sawnwood, softwood, chamber dried, 8%-20% humidity</v>
          </cell>
          <cell r="B2625" t="str">
            <v>natural gas</v>
          </cell>
          <cell r="C2625" t="str">
            <v>from technosphere (energy_carrier)</v>
          </cell>
          <cell r="D2625"/>
          <cell r="E2625" t="str">
            <v>Energy</v>
          </cell>
          <cell r="F2625">
            <v>3.4000000000000002E-2</v>
          </cell>
          <cell r="G2625" t="str">
            <v>MJ</v>
          </cell>
          <cell r="H2625">
            <v>1</v>
          </cell>
          <cell r="I2625" t="str">
            <v>none</v>
          </cell>
          <cell r="J2625" t="str">
            <v>production process inventory for wood products</v>
          </cell>
          <cell r="K2625"/>
          <cell r="L2625" t="str">
            <v>from Table Tabelle 3.2.2.C in the main reference of this data process</v>
          </cell>
        </row>
        <row r="2626">
          <cell r="A2626" t="str">
            <v>[Rueter] production of sawnwood, softwood, chamber dried, 8%-20% humidity</v>
          </cell>
          <cell r="B2626" t="str">
            <v>fuel oil</v>
          </cell>
          <cell r="C2626" t="str">
            <v>from technosphere (energy_carrier)</v>
          </cell>
          <cell r="D2626"/>
          <cell r="E2626" t="str">
            <v>Energy</v>
          </cell>
          <cell r="F2626">
            <v>5.3810000000000002</v>
          </cell>
          <cell r="G2626" t="str">
            <v>MJ</v>
          </cell>
          <cell r="H2626">
            <v>1</v>
          </cell>
          <cell r="I2626" t="str">
            <v>none</v>
          </cell>
          <cell r="J2626" t="str">
            <v>production process inventory for wood products</v>
          </cell>
          <cell r="K2626"/>
          <cell r="L2626" t="str">
            <v>from Table Tabelle 3.2.2.C in the main reference of this data process</v>
          </cell>
        </row>
        <row r="2627">
          <cell r="A2627" t="str">
            <v>[Rueter] production of sawnwood, softwood, chamber dried, 8%-20% humidity</v>
          </cell>
          <cell r="B2627" t="str">
            <v>waste wood</v>
          </cell>
          <cell r="C2627" t="str">
            <v>from technosphere (energy_carrier)</v>
          </cell>
          <cell r="D2627"/>
          <cell r="E2627" t="str">
            <v>Energy</v>
          </cell>
          <cell r="F2627">
            <v>161.09700000000001</v>
          </cell>
          <cell r="G2627" t="str">
            <v>MJ</v>
          </cell>
          <cell r="H2627">
            <v>1</v>
          </cell>
          <cell r="I2627" t="str">
            <v>none</v>
          </cell>
          <cell r="J2627" t="str">
            <v>production process inventory for wood products</v>
          </cell>
          <cell r="K2627"/>
          <cell r="L2627" t="str">
            <v>from Table Tabelle 3.2.2.C in the main reference of this data process</v>
          </cell>
        </row>
        <row r="2628">
          <cell r="A2628" t="str">
            <v>[Rueter] production of sawnwood, softwood, chamber dried, 8%-20% humidity</v>
          </cell>
          <cell r="B2628" t="str">
            <v>industrial roundwood</v>
          </cell>
          <cell r="C2628" t="str">
            <v>from technosphere (energy_carrier)</v>
          </cell>
          <cell r="D2628"/>
          <cell r="E2628" t="str">
            <v>Energy</v>
          </cell>
          <cell r="F2628">
            <v>47.854999999999997</v>
          </cell>
          <cell r="G2628" t="str">
            <v>MJ</v>
          </cell>
          <cell r="H2628">
            <v>1</v>
          </cell>
          <cell r="I2628" t="str">
            <v>none</v>
          </cell>
          <cell r="J2628" t="str">
            <v>production process inventory for wood products</v>
          </cell>
          <cell r="K2628"/>
          <cell r="L2628" t="str">
            <v>from Table Tabelle 3.2.2.C in the main reference of this data process</v>
          </cell>
        </row>
        <row r="2629">
          <cell r="A2629" t="str">
            <v>[Rueter] production of sawnwood, softwood, chamber dried, 8%-20% humidity</v>
          </cell>
          <cell r="B2629" t="str">
            <v>waste wood</v>
          </cell>
          <cell r="C2629" t="str">
            <v>from technosphere (use of own by-product)</v>
          </cell>
          <cell r="D2629"/>
          <cell r="E2629" t="str">
            <v>Energy</v>
          </cell>
          <cell r="F2629">
            <v>1087.5999999999999</v>
          </cell>
          <cell r="G2629" t="str">
            <v>MJ</v>
          </cell>
          <cell r="H2629">
            <v>1</v>
          </cell>
          <cell r="I2629" t="str">
            <v>none</v>
          </cell>
          <cell r="J2629" t="str">
            <v>production process inventory for wood products</v>
          </cell>
          <cell r="K2629"/>
          <cell r="L2629" t="str">
            <v>from Table Tabelle 3.2.2.C in the main reference of this data process</v>
          </cell>
        </row>
        <row r="2630">
          <cell r="A2630" t="str">
            <v>[Rueter] production of sawnwood, softwood, chamber dried, 8%-20% humidity</v>
          </cell>
          <cell r="B2630" t="str">
            <v>diesel</v>
          </cell>
          <cell r="C2630" t="str">
            <v>from technosphere (energy_carrier)</v>
          </cell>
          <cell r="D2630"/>
          <cell r="E2630" t="str">
            <v>Energy</v>
          </cell>
          <cell r="F2630">
            <v>62.064</v>
          </cell>
          <cell r="G2630" t="str">
            <v>MJ</v>
          </cell>
          <cell r="H2630">
            <v>1</v>
          </cell>
          <cell r="I2630" t="str">
            <v>none</v>
          </cell>
          <cell r="J2630" t="str">
            <v>production process inventory for wood products</v>
          </cell>
          <cell r="K2630"/>
          <cell r="L2630" t="str">
            <v>from Table Tabelle 3.2.2.C in the main reference of this data process</v>
          </cell>
        </row>
        <row r="2631">
          <cell r="A2631" t="str">
            <v>[Rueter] production of sawnwood, softwood, chamber dried, 8%-20% humidity</v>
          </cell>
          <cell r="B2631" t="str">
            <v>carbon dioxide</v>
          </cell>
          <cell r="C2631" t="str">
            <v>to environment (emission, direct)</v>
          </cell>
          <cell r="D2631"/>
          <cell r="E2631" t="str">
            <v>Mass</v>
          </cell>
          <cell r="F2631">
            <v>4.8199285710000002</v>
          </cell>
          <cell r="G2631" t="str">
            <v>kg</v>
          </cell>
          <cell r="H2631">
            <v>1</v>
          </cell>
          <cell r="I2631" t="str">
            <v>none</v>
          </cell>
          <cell r="J2631" t="str">
            <v>production process inventory for wood products</v>
          </cell>
          <cell r="K2631"/>
          <cell r="L2631" t="str">
            <v>from values on https://en.wikipedia.org/wiki/Energy_content_of_biofuel</v>
          </cell>
        </row>
        <row r="2632">
          <cell r="A2632" t="str">
            <v>[Rueter] production of sawnwood, softwood, chamber dried, 8%-20% humidity</v>
          </cell>
          <cell r="B2632" t="str">
            <v>carbon dioxide</v>
          </cell>
          <cell r="C2632" t="str">
            <v>to environment (emission, direct, biogenic)</v>
          </cell>
          <cell r="D2632"/>
          <cell r="E2632" t="str">
            <v>Mass</v>
          </cell>
          <cell r="F2632">
            <v>129.65520000000001</v>
          </cell>
          <cell r="G2632" t="str">
            <v>kg</v>
          </cell>
          <cell r="H2632">
            <v>1</v>
          </cell>
          <cell r="I2632" t="str">
            <v>none</v>
          </cell>
          <cell r="J2632" t="str">
            <v>production process inventory for wood products</v>
          </cell>
          <cell r="K2632"/>
          <cell r="L2632" t="str">
            <v>from values on https://en.wikipedia.org/wiki/Energy_content_of_biofuel</v>
          </cell>
        </row>
        <row r="2633">
          <cell r="A2633" t="str">
            <v>[Rueter] production of sawnwood, hardwood, chamber dried, 8%-20% humidity</v>
          </cell>
          <cell r="B2633" t="str">
            <v>sawnwood, hardwood, chamber dried, 8%-20% humidity</v>
          </cell>
          <cell r="C2633" t="str">
            <v>reference_product</v>
          </cell>
          <cell r="D2633">
            <v>4407</v>
          </cell>
          <cell r="E2633" t="str">
            <v>Mass</v>
          </cell>
          <cell r="F2633">
            <v>1</v>
          </cell>
          <cell r="G2633" t="str">
            <v>m³</v>
          </cell>
          <cell r="H2633">
            <v>1</v>
          </cell>
          <cell r="I2633" t="str">
            <v>none</v>
          </cell>
          <cell r="J2633" t="str">
            <v>production process inventory for wood products</v>
          </cell>
          <cell r="K2633"/>
          <cell r="L2633" t="str">
            <v>from Table Tabelle 3.2.3.C in the main reference of this data process</v>
          </cell>
        </row>
        <row r="2634">
          <cell r="A2634" t="str">
            <v>[Rueter] production of sawnwood, hardwood, chamber dried, 8%-20% humidity</v>
          </cell>
          <cell r="B2634" t="str">
            <v>sawdust and woodchips</v>
          </cell>
          <cell r="C2634" t="str">
            <v>to technosphere (by-product)</v>
          </cell>
          <cell r="D2634"/>
          <cell r="E2634" t="str">
            <v>Mass</v>
          </cell>
          <cell r="F2634">
            <v>1.06</v>
          </cell>
          <cell r="G2634" t="str">
            <v>m³</v>
          </cell>
          <cell r="H2634">
            <v>1</v>
          </cell>
          <cell r="I2634" t="str">
            <v>none</v>
          </cell>
          <cell r="J2634" t="str">
            <v>production process inventory for wood products</v>
          </cell>
          <cell r="K2634"/>
          <cell r="L2634" t="str">
            <v>from Table Tabelle 3.2.3.C in the main reference of this data process</v>
          </cell>
        </row>
        <row r="2635">
          <cell r="A2635" t="str">
            <v>[Rueter] production of sawnwood, hardwood, chamber dried, 8%-20% humidity</v>
          </cell>
          <cell r="B2635" t="str">
            <v>roundwood with bark</v>
          </cell>
          <cell r="C2635" t="str">
            <v>from technosphere (material)</v>
          </cell>
          <cell r="D2635"/>
          <cell r="E2635" t="str">
            <v>Mass</v>
          </cell>
          <cell r="F2635">
            <v>2.06</v>
          </cell>
          <cell r="G2635" t="str">
            <v>m³</v>
          </cell>
          <cell r="H2635">
            <v>1</v>
          </cell>
          <cell r="I2635" t="str">
            <v>none</v>
          </cell>
          <cell r="J2635" t="str">
            <v>production process inventory for wood products</v>
          </cell>
          <cell r="K2635"/>
          <cell r="L2635" t="str">
            <v>from Table Tabelle 3.2.3.C in the main reference of this data process</v>
          </cell>
        </row>
        <row r="2636">
          <cell r="A2636" t="str">
            <v>[Rueter] production of sawnwood, hardwood, chamber dried, 8%-20% humidity</v>
          </cell>
          <cell r="B2636" t="str">
            <v>roundwood without bark</v>
          </cell>
          <cell r="C2636" t="str">
            <v>from technosphere (material)</v>
          </cell>
          <cell r="D2636"/>
          <cell r="E2636" t="str">
            <v>Mass</v>
          </cell>
          <cell r="F2636">
            <v>0</v>
          </cell>
          <cell r="G2636" t="str">
            <v>m³</v>
          </cell>
          <cell r="H2636">
            <v>1</v>
          </cell>
          <cell r="I2636" t="str">
            <v>none</v>
          </cell>
          <cell r="J2636" t="str">
            <v>production process inventory for wood products</v>
          </cell>
          <cell r="K2636"/>
          <cell r="L2636" t="str">
            <v>from Table Tabelle 3.2.3.C in the main reference of this data process</v>
          </cell>
        </row>
        <row r="2637">
          <cell r="A2637" t="str">
            <v>[Rueter] production of sawnwood, hardwood, chamber dried, 8%-20% humidity</v>
          </cell>
          <cell r="B2637" t="str">
            <v>electricity</v>
          </cell>
          <cell r="C2637" t="str">
            <v>from technosphere (energy_carrier)</v>
          </cell>
          <cell r="D2637"/>
          <cell r="E2637" t="str">
            <v>Energy</v>
          </cell>
          <cell r="F2637">
            <v>118.762</v>
          </cell>
          <cell r="G2637" t="str">
            <v>kWh</v>
          </cell>
          <cell r="H2637">
            <v>1</v>
          </cell>
          <cell r="I2637" t="str">
            <v>none</v>
          </cell>
          <cell r="J2637" t="str">
            <v>production process inventory for wood products</v>
          </cell>
          <cell r="K2637"/>
          <cell r="L2637" t="str">
            <v>from Table Tabelle 3.2.3.C in the main reference of this data process</v>
          </cell>
        </row>
        <row r="2638">
          <cell r="A2638" t="str">
            <v>[Rueter] production of sawnwood, hardwood, chamber dried, 8%-20% humidity</v>
          </cell>
          <cell r="B2638" t="str">
            <v>natural gas</v>
          </cell>
          <cell r="C2638" t="str">
            <v>from technosphere (energy_carrier)</v>
          </cell>
          <cell r="D2638"/>
          <cell r="E2638" t="str">
            <v>Energy</v>
          </cell>
          <cell r="F2638">
            <v>0</v>
          </cell>
          <cell r="G2638" t="str">
            <v>MJ</v>
          </cell>
          <cell r="H2638">
            <v>1</v>
          </cell>
          <cell r="I2638" t="str">
            <v>none</v>
          </cell>
          <cell r="J2638" t="str">
            <v>production process inventory for wood products</v>
          </cell>
          <cell r="K2638"/>
          <cell r="L2638" t="str">
            <v>from Table Tabelle 3.2.3.C in the main reference of this data process</v>
          </cell>
        </row>
        <row r="2639">
          <cell r="A2639" t="str">
            <v>[Rueter] production of sawnwood, hardwood, chamber dried, 8%-20% humidity</v>
          </cell>
          <cell r="B2639" t="str">
            <v>fuel oil</v>
          </cell>
          <cell r="C2639" t="str">
            <v>from technosphere (energy_carrier)</v>
          </cell>
          <cell r="D2639"/>
          <cell r="E2639" t="str">
            <v>Energy</v>
          </cell>
          <cell r="F2639">
            <v>0</v>
          </cell>
          <cell r="G2639" t="str">
            <v>MJ</v>
          </cell>
          <cell r="H2639">
            <v>1</v>
          </cell>
          <cell r="I2639" t="str">
            <v>none</v>
          </cell>
          <cell r="J2639" t="str">
            <v>production process inventory for wood products</v>
          </cell>
          <cell r="K2639"/>
          <cell r="L2639" t="str">
            <v>from Table Tabelle 3.2.3.C in the main reference of this data process</v>
          </cell>
        </row>
        <row r="2640">
          <cell r="A2640" t="str">
            <v>[Rueter] production of sawnwood, hardwood, chamber dried, 8%-20% humidity</v>
          </cell>
          <cell r="B2640" t="str">
            <v>waste wood</v>
          </cell>
          <cell r="C2640" t="str">
            <v>from technosphere (energy_carrier)</v>
          </cell>
          <cell r="D2640"/>
          <cell r="E2640" t="str">
            <v>Energy</v>
          </cell>
          <cell r="F2640">
            <v>0</v>
          </cell>
          <cell r="G2640" t="str">
            <v>MJ</v>
          </cell>
          <cell r="H2640">
            <v>1</v>
          </cell>
          <cell r="I2640" t="str">
            <v>none</v>
          </cell>
          <cell r="J2640" t="str">
            <v>production process inventory for wood products</v>
          </cell>
          <cell r="K2640"/>
          <cell r="L2640" t="str">
            <v>from Table Tabelle 3.2.3.C in the main reference of this data process</v>
          </cell>
        </row>
        <row r="2641">
          <cell r="A2641" t="str">
            <v>[Rueter] production of sawnwood, hardwood, chamber dried, 8%-20% humidity</v>
          </cell>
          <cell r="B2641" t="str">
            <v>industrial roundwood</v>
          </cell>
          <cell r="C2641" t="str">
            <v>from technosphere (energy_carrier)</v>
          </cell>
          <cell r="D2641"/>
          <cell r="E2641" t="str">
            <v>Energy</v>
          </cell>
          <cell r="F2641">
            <v>497.16699999999997</v>
          </cell>
          <cell r="G2641" t="str">
            <v>MJ</v>
          </cell>
          <cell r="H2641">
            <v>1</v>
          </cell>
          <cell r="I2641" t="str">
            <v>none</v>
          </cell>
          <cell r="J2641" t="str">
            <v>production process inventory for wood products</v>
          </cell>
          <cell r="K2641"/>
          <cell r="L2641" t="str">
            <v>from Table Tabelle 3.2.3.C in the main reference of this data process</v>
          </cell>
        </row>
        <row r="2642">
          <cell r="A2642" t="str">
            <v>[Rueter] production of sawnwood, hardwood, chamber dried, 8%-20% humidity</v>
          </cell>
          <cell r="B2642" t="str">
            <v>waste wood</v>
          </cell>
          <cell r="C2642" t="str">
            <v>from technosphere (use of own by-product)</v>
          </cell>
          <cell r="D2642"/>
          <cell r="E2642" t="str">
            <v>Energy</v>
          </cell>
          <cell r="F2642">
            <v>1900.691</v>
          </cell>
          <cell r="G2642" t="str">
            <v>MJ</v>
          </cell>
          <cell r="H2642">
            <v>1</v>
          </cell>
          <cell r="I2642" t="str">
            <v>none</v>
          </cell>
          <cell r="J2642" t="str">
            <v>production process inventory for wood products</v>
          </cell>
          <cell r="K2642"/>
          <cell r="L2642" t="str">
            <v>from Table Tabelle 3.2.3.C in the main reference of this data process</v>
          </cell>
        </row>
        <row r="2643">
          <cell r="A2643" t="str">
            <v>[Rueter] production of sawnwood, hardwood, chamber dried, 8%-20% humidity</v>
          </cell>
          <cell r="B2643" t="str">
            <v>diesel</v>
          </cell>
          <cell r="C2643" t="str">
            <v>from technosphere (energy_carrier)</v>
          </cell>
          <cell r="D2643"/>
          <cell r="E2643" t="str">
            <v>Energy</v>
          </cell>
          <cell r="F2643">
            <v>75.408000000000001</v>
          </cell>
          <cell r="G2643" t="str">
            <v>MJ</v>
          </cell>
          <cell r="H2643">
            <v>1</v>
          </cell>
          <cell r="I2643" t="str">
            <v>none</v>
          </cell>
          <cell r="J2643" t="str">
            <v>production process inventory for wood products</v>
          </cell>
          <cell r="K2643"/>
          <cell r="L2643" t="str">
            <v>from Table Tabelle 3.2.3.C in the main reference of this data process</v>
          </cell>
        </row>
        <row r="2644">
          <cell r="A2644" t="str">
            <v>[Rueter] production of sawnwood, hardwood, chamber dried, 8%-20% humidity</v>
          </cell>
          <cell r="B2644" t="str">
            <v>carbon dioxide</v>
          </cell>
          <cell r="C2644" t="str">
            <v>to environment (emission, direct)</v>
          </cell>
          <cell r="D2644"/>
          <cell r="E2644" t="str">
            <v>Mass</v>
          </cell>
          <cell r="F2644">
            <v>5.3862857139999996</v>
          </cell>
          <cell r="G2644" t="str">
            <v>kg</v>
          </cell>
          <cell r="H2644">
            <v>1</v>
          </cell>
          <cell r="I2644" t="str">
            <v>none</v>
          </cell>
          <cell r="J2644" t="str">
            <v>production process inventory for wood products</v>
          </cell>
          <cell r="K2644"/>
          <cell r="L2644" t="str">
            <v>from values on https://en.wikipedia.org/wiki/Energy_content_of_biofuel</v>
          </cell>
        </row>
        <row r="2645">
          <cell r="A2645" t="str">
            <v>[Rueter] production of sawnwood, hardwood, chamber dried, 8%-20% humidity</v>
          </cell>
          <cell r="B2645" t="str">
            <v>carbon dioxide</v>
          </cell>
          <cell r="C2645" t="str">
            <v>to environment (emission, direct, biogenic)</v>
          </cell>
          <cell r="D2645"/>
          <cell r="E2645" t="str">
            <v>Mass</v>
          </cell>
          <cell r="F2645">
            <v>239.78579999999999</v>
          </cell>
          <cell r="G2645" t="str">
            <v>kg</v>
          </cell>
          <cell r="H2645">
            <v>1</v>
          </cell>
          <cell r="I2645" t="str">
            <v>none</v>
          </cell>
          <cell r="J2645" t="str">
            <v>production process inventory for wood products</v>
          </cell>
          <cell r="K2645"/>
          <cell r="L2645" t="str">
            <v>from values on https://en.wikipedia.org/wiki/Energy_content_of_biofuel</v>
          </cell>
        </row>
        <row r="2646">
          <cell r="F2646"/>
        </row>
        <row r="2647">
          <cell r="A2647" t="str">
            <v>[Agora] Integrated blast-furnace route</v>
          </cell>
          <cell r="B2647" t="str">
            <v>steel, primary</v>
          </cell>
          <cell r="C2647" t="str">
            <v>reference_product</v>
          </cell>
          <cell r="D2647" t="str">
            <v>7206</v>
          </cell>
          <cell r="E2647" t="str">
            <v>Mass</v>
          </cell>
          <cell r="F2647">
            <v>1</v>
          </cell>
          <cell r="G2647" t="str">
            <v>t</v>
          </cell>
          <cell r="H2647">
            <v>1</v>
          </cell>
          <cell r="I2647" t="str">
            <v>none</v>
          </cell>
          <cell r="J2647" t="str">
            <v>[Agora]BF-BOF</v>
          </cell>
          <cell r="K2647" t="str">
            <v>*Primary steel routes, 12% scrap assumed in each case</v>
          </cell>
          <cell r="L2647" t="str">
            <v>see log sheet</v>
          </cell>
        </row>
        <row r="2648">
          <cell r="A2648" t="str">
            <v>[Agora] Integrated blast-furnace route</v>
          </cell>
          <cell r="B2648" t="str">
            <v>coal</v>
          </cell>
          <cell r="C2648" t="str">
            <v>from technosphere (energy_carrier)</v>
          </cell>
          <cell r="D2648"/>
          <cell r="E2648" t="str">
            <v>Energy</v>
          </cell>
          <cell r="F2648">
            <v>15</v>
          </cell>
          <cell r="G2648" t="str">
            <v>GJ</v>
          </cell>
          <cell r="H2648" t="str">
            <v>t</v>
          </cell>
          <cell r="I2648" t="str">
            <v>none</v>
          </cell>
          <cell r="J2648" t="str">
            <v>[Agora]BF-BOF</v>
          </cell>
          <cell r="K2648" t="str">
            <v>*Primary steel routes, 12% scrap assumed in each case</v>
          </cell>
          <cell r="L2648" t="str">
            <v>see log sheet</v>
          </cell>
        </row>
        <row r="2649">
          <cell r="A2649" t="str">
            <v>[Agora] Integrated blast-furnace route</v>
          </cell>
          <cell r="B2649" t="str">
            <v>carbon dioxide</v>
          </cell>
          <cell r="C2649" t="str">
            <v>to environment (emission, direct)</v>
          </cell>
          <cell r="E2649" t="str">
            <v>Mass</v>
          </cell>
          <cell r="F2649">
            <v>1.8</v>
          </cell>
          <cell r="G2649" t="str">
            <v>t</v>
          </cell>
          <cell r="H2649" t="str">
            <v>t</v>
          </cell>
          <cell r="I2649" t="str">
            <v>none</v>
          </cell>
          <cell r="J2649" t="str">
            <v>[Agora]BF-BOF</v>
          </cell>
          <cell r="K2649" t="str">
            <v>*Primary steel routes, 12% scrap assumed in each case</v>
          </cell>
          <cell r="L2649" t="str">
            <v>see log sheet</v>
          </cell>
        </row>
        <row r="2650">
          <cell r="A2650" t="str">
            <v/>
          </cell>
        </row>
        <row r="2651">
          <cell r="A2651" t="str">
            <v>[Agora] Electric arc furnace route</v>
          </cell>
          <cell r="B2651" t="str">
            <v>steel, secondary</v>
          </cell>
          <cell r="C2651" t="str">
            <v>reference_product</v>
          </cell>
          <cell r="D2651" t="str">
            <v>7206</v>
          </cell>
          <cell r="E2651" t="str">
            <v>Mass</v>
          </cell>
          <cell r="F2651">
            <v>1</v>
          </cell>
          <cell r="G2651" t="str">
            <v>t</v>
          </cell>
          <cell r="H2651">
            <v>1</v>
          </cell>
          <cell r="I2651" t="str">
            <v>none</v>
          </cell>
          <cell r="J2651" t="str">
            <v>[Agora]Scrap-EAF</v>
          </cell>
          <cell r="K2651" t="str">
            <v>**Secondary steel route, &gt; 95 % scrap use</v>
          </cell>
          <cell r="L2651" t="str">
            <v>see log sheet</v>
          </cell>
        </row>
        <row r="2652">
          <cell r="A2652" t="str">
            <v>[Agora] Electric arc furnace route</v>
          </cell>
          <cell r="B2652" t="str">
            <v>electricity</v>
          </cell>
          <cell r="C2652" t="str">
            <v>from technosphere (energy_carrier)</v>
          </cell>
          <cell r="D2652"/>
          <cell r="E2652" t="str">
            <v>Energy</v>
          </cell>
          <cell r="F2652">
            <v>2</v>
          </cell>
          <cell r="G2652" t="str">
            <v>GJ</v>
          </cell>
          <cell r="H2652" t="str">
            <v>t</v>
          </cell>
          <cell r="I2652" t="str">
            <v>none</v>
          </cell>
          <cell r="J2652" t="str">
            <v>[Agora]Scrap-EAF</v>
          </cell>
          <cell r="K2652" t="str">
            <v>**Secondary steel route, &gt; 95 % scrap use</v>
          </cell>
          <cell r="L2652" t="str">
            <v>see log sheet</v>
          </cell>
        </row>
        <row r="2653">
          <cell r="A2653" t="str">
            <v>[Agora] Electric arc furnace route</v>
          </cell>
          <cell r="B2653" t="str">
            <v>carbon dioxide</v>
          </cell>
          <cell r="C2653" t="str">
            <v>to environment (emission, direct)</v>
          </cell>
          <cell r="E2653" t="str">
            <v>Mass</v>
          </cell>
          <cell r="F2653">
            <v>7.0000000000000007E-2</v>
          </cell>
          <cell r="G2653" t="str">
            <v>t</v>
          </cell>
          <cell r="H2653" t="str">
            <v>t</v>
          </cell>
          <cell r="I2653" t="str">
            <v>none</v>
          </cell>
          <cell r="J2653" t="str">
            <v>[Agora]Scrap-EAF</v>
          </cell>
          <cell r="K2653" t="str">
            <v>**Secondary steel route, &gt; 95 % scrap use</v>
          </cell>
          <cell r="L2653" t="str">
            <v>see log sheet</v>
          </cell>
        </row>
        <row r="2654">
          <cell r="A2654" t="str">
            <v/>
          </cell>
        </row>
        <row r="2655">
          <cell r="A2655" t="str">
            <v>[Agora] Natural gas direct reduction</v>
          </cell>
          <cell r="B2655" t="str">
            <v>steel, primary</v>
          </cell>
          <cell r="C2655" t="str">
            <v>reference_product</v>
          </cell>
          <cell r="D2655" t="str">
            <v>7206</v>
          </cell>
          <cell r="E2655" t="str">
            <v>Mass</v>
          </cell>
          <cell r="F2655">
            <v>1</v>
          </cell>
          <cell r="G2655" t="str">
            <v>t</v>
          </cell>
          <cell r="H2655">
            <v>1</v>
          </cell>
          <cell r="I2655" t="str">
            <v>none</v>
          </cell>
          <cell r="J2655" t="str">
            <v>[Agora]DRI-EAF</v>
          </cell>
          <cell r="K2655" t="str">
            <v>*Primary steel routes, 12% scrap assumed in each case</v>
          </cell>
          <cell r="L2655" t="str">
            <v>see log sheet</v>
          </cell>
        </row>
        <row r="2656">
          <cell r="A2656" t="str">
            <v>[Agora] Natural gas direct reduction</v>
          </cell>
          <cell r="B2656" t="str">
            <v>natural gas</v>
          </cell>
          <cell r="C2656" t="str">
            <v>from technosphere (energy_carrier)</v>
          </cell>
          <cell r="D2656"/>
          <cell r="E2656" t="str">
            <v>Energy</v>
          </cell>
          <cell r="F2656">
            <v>11</v>
          </cell>
          <cell r="G2656" t="str">
            <v>GJ</v>
          </cell>
          <cell r="H2656" t="str">
            <v>t</v>
          </cell>
          <cell r="I2656" t="str">
            <v>none</v>
          </cell>
          <cell r="J2656" t="str">
            <v>[Agora]DRI-EAF</v>
          </cell>
          <cell r="K2656" t="str">
            <v>*Primary steel routes, 12% scrap assumed in each case.Natural gas and electricity reported as 13GJ combined.</v>
          </cell>
          <cell r="L2656" t="str">
            <v>see log sheet</v>
          </cell>
        </row>
        <row r="2657">
          <cell r="A2657" t="str">
            <v>[Agora] Natural gas direct reduction</v>
          </cell>
          <cell r="B2657" t="str">
            <v>electricity</v>
          </cell>
          <cell r="C2657" t="str">
            <v>from technosphere (energy_carrier)</v>
          </cell>
          <cell r="D2657"/>
          <cell r="E2657" t="str">
            <v>Energy</v>
          </cell>
          <cell r="F2657">
            <v>2</v>
          </cell>
          <cell r="G2657" t="str">
            <v>GJ</v>
          </cell>
          <cell r="H2657" t="str">
            <v>t</v>
          </cell>
          <cell r="I2657" t="str">
            <v>none</v>
          </cell>
          <cell r="J2657" t="str">
            <v>[Agora]DRI-EAF</v>
          </cell>
          <cell r="K2657" t="str">
            <v>*Primary steel routes, 12% scrap assumed in each case.Natural gas and electricity reported as 13GJ combined.</v>
          </cell>
          <cell r="L2657" t="str">
            <v>see log sheet</v>
          </cell>
        </row>
        <row r="2658">
          <cell r="A2658" t="str">
            <v>[Agora] Natural gas direct reduction</v>
          </cell>
          <cell r="B2658" t="str">
            <v>carbon dioxide</v>
          </cell>
          <cell r="C2658" t="str">
            <v>to environment (emission, direct)</v>
          </cell>
          <cell r="E2658" t="str">
            <v>Mass</v>
          </cell>
          <cell r="F2658">
            <v>0.5</v>
          </cell>
          <cell r="G2658" t="str">
            <v>t</v>
          </cell>
          <cell r="H2658" t="str">
            <v>t</v>
          </cell>
          <cell r="I2658" t="str">
            <v>none</v>
          </cell>
          <cell r="J2658" t="str">
            <v>[Agora]DRI-EAF</v>
          </cell>
          <cell r="K2658" t="str">
            <v>*Primary steel routes, 12% scrap assumed in each case</v>
          </cell>
          <cell r="L2658" t="str">
            <v>see log sheet</v>
          </cell>
        </row>
        <row r="2659">
          <cell r="A2659" t="str">
            <v/>
          </cell>
        </row>
        <row r="2660">
          <cell r="A2660" t="str">
            <v>[Agora] Direct reduction with H2</v>
          </cell>
          <cell r="B2660" t="str">
            <v>steel, primary</v>
          </cell>
          <cell r="C2660" t="str">
            <v>reference_product</v>
          </cell>
          <cell r="D2660" t="str">
            <v>7206</v>
          </cell>
          <cell r="E2660" t="str">
            <v>Mass</v>
          </cell>
          <cell r="F2660">
            <v>1</v>
          </cell>
          <cell r="G2660" t="str">
            <v>t</v>
          </cell>
          <cell r="H2660">
            <v>1</v>
          </cell>
          <cell r="I2660" t="str">
            <v>none</v>
          </cell>
          <cell r="J2660" t="str">
            <v>[Agora]H2DRI-EAF</v>
          </cell>
          <cell r="L2660" t="str">
            <v>see log sheet</v>
          </cell>
        </row>
        <row r="2661">
          <cell r="A2661" t="str">
            <v>[Agora] Direct reduction with H2</v>
          </cell>
          <cell r="B2661" t="str">
            <v>carbon dioxide</v>
          </cell>
          <cell r="C2661" t="str">
            <v>to environment (emission, direct)</v>
          </cell>
          <cell r="E2661" t="str">
            <v>Mass</v>
          </cell>
          <cell r="F2661">
            <v>0.05</v>
          </cell>
          <cell r="G2661" t="str">
            <v>t</v>
          </cell>
          <cell r="H2661" t="str">
            <v>t</v>
          </cell>
          <cell r="I2661" t="str">
            <v>none</v>
          </cell>
          <cell r="J2661" t="str">
            <v>[Agora]H2DRI-EAF</v>
          </cell>
          <cell r="K2661" t="str">
            <v>specific energy use information missing</v>
          </cell>
          <cell r="L2661" t="str">
            <v>see log sheet</v>
          </cell>
        </row>
        <row r="2662">
          <cell r="A2662" t="str">
            <v/>
          </cell>
          <cell r="B2662"/>
          <cell r="E2662"/>
          <cell r="I2662"/>
          <cell r="J2662"/>
          <cell r="L2662"/>
        </row>
        <row r="2663">
          <cell r="A2663" t="str">
            <v>[Agora] Iron electrolysis and smelting in electric arc furnaces</v>
          </cell>
          <cell r="B2663" t="str">
            <v>steel, primary</v>
          </cell>
          <cell r="C2663" t="str">
            <v>reference_product</v>
          </cell>
          <cell r="D2663" t="str">
            <v>7206</v>
          </cell>
          <cell r="E2663" t="str">
            <v>Mass</v>
          </cell>
          <cell r="F2663">
            <v>1</v>
          </cell>
          <cell r="G2663" t="str">
            <v>t</v>
          </cell>
          <cell r="H2663">
            <v>1</v>
          </cell>
          <cell r="I2663" t="str">
            <v>none</v>
          </cell>
          <cell r="J2663" t="str">
            <v>[Agora] Iron electrolysis and smelting in electric arc furnaces</v>
          </cell>
          <cell r="L2663" t="str">
            <v>see log sheet</v>
          </cell>
        </row>
        <row r="2664">
          <cell r="A2664" t="str">
            <v>[Agora] Iron electrolysis and smelting in electric arc furnaces</v>
          </cell>
          <cell r="B2664" t="str">
            <v>carbon dioxide</v>
          </cell>
          <cell r="C2664" t="str">
            <v>to environment (emission, direct)</v>
          </cell>
          <cell r="E2664" t="str">
            <v>Mass</v>
          </cell>
          <cell r="F2664">
            <v>0.22</v>
          </cell>
          <cell r="G2664" t="str">
            <v>t</v>
          </cell>
          <cell r="H2664" t="str">
            <v>t</v>
          </cell>
          <cell r="I2664" t="str">
            <v>none</v>
          </cell>
          <cell r="J2664" t="str">
            <v>[Agora] Iron electrolysis and smelting in electric arc furnaces</v>
          </cell>
          <cell r="K2664" t="str">
            <v>specific energy use information missing</v>
          </cell>
          <cell r="L2664" t="str">
            <v>see log sheet</v>
          </cell>
        </row>
        <row r="2665">
          <cell r="A2665" t="str">
            <v/>
          </cell>
          <cell r="B2665"/>
          <cell r="E2665"/>
          <cell r="I2665"/>
          <cell r="J2665"/>
        </row>
        <row r="2666">
          <cell r="A2666" t="str">
            <v>[Agora] HIsarna® with CCS</v>
          </cell>
          <cell r="B2666" t="str">
            <v>steel, primary</v>
          </cell>
          <cell r="C2666" t="str">
            <v>reference_product</v>
          </cell>
          <cell r="D2666" t="str">
            <v>7206</v>
          </cell>
          <cell r="E2666" t="str">
            <v>Mass</v>
          </cell>
          <cell r="F2666">
            <v>1</v>
          </cell>
          <cell r="G2666" t="str">
            <v>t</v>
          </cell>
          <cell r="H2666">
            <v>1</v>
          </cell>
          <cell r="I2666" t="str">
            <v>none</v>
          </cell>
          <cell r="J2666" t="str">
            <v>[Agora] HIsarna® with CCS</v>
          </cell>
          <cell r="L2666" t="str">
            <v>see log sheet</v>
          </cell>
        </row>
        <row r="2667">
          <cell r="A2667" t="str">
            <v>[Agora] HIsarna® with CCS</v>
          </cell>
          <cell r="B2667" t="str">
            <v>carbon dioxide</v>
          </cell>
          <cell r="C2667" t="str">
            <v>to environment (emission, direct)</v>
          </cell>
          <cell r="E2667" t="str">
            <v>Mass</v>
          </cell>
          <cell r="F2667">
            <v>0.24</v>
          </cell>
          <cell r="G2667" t="str">
            <v>t</v>
          </cell>
          <cell r="H2667" t="str">
            <v>t</v>
          </cell>
          <cell r="I2667" t="str">
            <v>none</v>
          </cell>
          <cell r="J2667" t="str">
            <v>[Agora] HIsarna® with CCS</v>
          </cell>
          <cell r="K2667" t="str">
            <v>specific energy use information missing</v>
          </cell>
          <cell r="L2667" t="str">
            <v>see log sheet</v>
          </cell>
        </row>
        <row r="2668">
          <cell r="A2668" t="str">
            <v/>
          </cell>
          <cell r="B2668"/>
          <cell r="E2668"/>
          <cell r="I2668"/>
          <cell r="J2668"/>
          <cell r="L2668"/>
        </row>
        <row r="2669">
          <cell r="A2669" t="str">
            <v>[Agora] CCU of smelting gases from the blast-furnace route</v>
          </cell>
          <cell r="B2669" t="str">
            <v>steel, primary</v>
          </cell>
          <cell r="C2669" t="str">
            <v>reference_product</v>
          </cell>
          <cell r="D2669" t="str">
            <v>7206</v>
          </cell>
          <cell r="E2669" t="str">
            <v>Mass</v>
          </cell>
          <cell r="F2669">
            <v>1</v>
          </cell>
          <cell r="G2669" t="str">
            <v>t</v>
          </cell>
          <cell r="H2669">
            <v>1</v>
          </cell>
          <cell r="I2669" t="str">
            <v>none</v>
          </cell>
          <cell r="J2669" t="str">
            <v>[Agora] CCU of smelting gases from the blast-furnace route</v>
          </cell>
          <cell r="K2669" t="str">
            <v>CCU approaches should be considered holistically. Since CCU in the steel sector consumes high levels of electricity and the CO₂ capture rate is limited (50 to 78 per cent max.)</v>
          </cell>
          <cell r="L2669" t="str">
            <v>see log sheet</v>
          </cell>
        </row>
        <row r="2670">
          <cell r="A2670" t="str">
            <v>[Agora] CCU of smelting gases from the blast-furnace route</v>
          </cell>
          <cell r="B2670" t="str">
            <v>carbon dioxide</v>
          </cell>
          <cell r="C2670" t="str">
            <v>to environment (emission, direct)</v>
          </cell>
          <cell r="E2670" t="str">
            <v>Mass</v>
          </cell>
          <cell r="F2670">
            <v>0.85</v>
          </cell>
          <cell r="G2670" t="str">
            <v>t</v>
          </cell>
          <cell r="H2670" t="str">
            <v>t</v>
          </cell>
          <cell r="I2670" t="str">
            <v>none</v>
          </cell>
          <cell r="J2670" t="str">
            <v>[Agora] CCU of smelting gases from the blast-furnace route</v>
          </cell>
          <cell r="K2670" t="str">
            <v>or 0.64, provided that CO2 reduction in the chemical sector (MTO route) is completely credited to steelmakers</v>
          </cell>
          <cell r="L2670" t="str">
            <v>see log sheet</v>
          </cell>
        </row>
        <row r="2672">
          <cell r="A2672" t="str">
            <v>[TIMES] Black liquor-DME</v>
          </cell>
          <cell r="B2672" t="str">
            <v>dimethyl ether</v>
          </cell>
          <cell r="C2672" t="str">
            <v>reference_product</v>
          </cell>
          <cell r="D2672"/>
          <cell r="E2672" t="str">
            <v>Energy</v>
          </cell>
          <cell r="F2672">
            <v>1</v>
          </cell>
          <cell r="G2672" t="str">
            <v>GJ</v>
          </cell>
          <cell r="H2672">
            <v>1</v>
          </cell>
          <cell r="I2672"/>
          <cell r="J2672" t="str">
            <v>[TIMES] Black liquor-DME</v>
          </cell>
          <cell r="K2672"/>
          <cell r="L2672"/>
        </row>
        <row r="2673">
          <cell r="A2673" t="str">
            <v>[TIMES] Black liquor-DME</v>
          </cell>
          <cell r="B2673" t="str">
            <v>process heat</v>
          </cell>
          <cell r="C2673" t="str">
            <v>to technosphere (by-product)</v>
          </cell>
          <cell r="D2673"/>
          <cell r="E2673" t="str">
            <v>Energy</v>
          </cell>
          <cell r="F2673">
            <v>0.2</v>
          </cell>
          <cell r="G2673" t="str">
            <v>GJ</v>
          </cell>
          <cell r="H2673" t="str">
            <v>GJ</v>
          </cell>
          <cell r="I2673"/>
          <cell r="J2673" t="str">
            <v>[TIMES] Black liquor-DME</v>
          </cell>
          <cell r="K2673"/>
          <cell r="L2673"/>
        </row>
        <row r="2674">
          <cell r="A2674" t="str">
            <v>[TIMES] Black liquor-DME</v>
          </cell>
          <cell r="B2674" t="str">
            <v>black liquor</v>
          </cell>
          <cell r="C2674" t="str">
            <v>from technosphere (product)</v>
          </cell>
          <cell r="D2674"/>
          <cell r="E2674" t="str">
            <v>Energy</v>
          </cell>
          <cell r="F2674">
            <v>1.77</v>
          </cell>
          <cell r="G2674" t="str">
            <v>GJ</v>
          </cell>
          <cell r="H2674" t="str">
            <v>GJ</v>
          </cell>
          <cell r="I2674"/>
          <cell r="J2674" t="str">
            <v>[TIMES] Black liquor-DME</v>
          </cell>
          <cell r="K2674"/>
          <cell r="L2674"/>
        </row>
        <row r="2675">
          <cell r="A2675" t="str">
            <v/>
          </cell>
        </row>
        <row r="2676">
          <cell r="A2676" t="str">
            <v>[TIMES] Black liquor-FT diesel</v>
          </cell>
          <cell r="B2676" t="str">
            <v>FT diesel</v>
          </cell>
          <cell r="C2676" t="str">
            <v>reference_product</v>
          </cell>
          <cell r="D2676"/>
          <cell r="E2676" t="str">
            <v>Energy</v>
          </cell>
          <cell r="F2676">
            <v>1</v>
          </cell>
          <cell r="G2676" t="str">
            <v>GJ</v>
          </cell>
          <cell r="H2676">
            <v>1</v>
          </cell>
          <cell r="I2676"/>
          <cell r="J2676" t="str">
            <v>[TIMES] Black liquor-FT diesel</v>
          </cell>
          <cell r="K2676"/>
          <cell r="L2676"/>
        </row>
        <row r="2677">
          <cell r="A2677" t="str">
            <v>[TIMES] Black liquor-FT diesel</v>
          </cell>
          <cell r="B2677" t="str">
            <v>process heat</v>
          </cell>
          <cell r="C2677" t="str">
            <v>to technosphere (by-product)</v>
          </cell>
          <cell r="D2677"/>
          <cell r="E2677" t="str">
            <v>Energy</v>
          </cell>
          <cell r="F2677">
            <v>0.2</v>
          </cell>
          <cell r="G2677" t="str">
            <v>GJ</v>
          </cell>
          <cell r="H2677" t="str">
            <v>GJ</v>
          </cell>
          <cell r="I2677"/>
          <cell r="J2677" t="str">
            <v>[TIMES] Black liquor-FT diesel</v>
          </cell>
          <cell r="K2677"/>
          <cell r="L2677"/>
        </row>
        <row r="2678">
          <cell r="A2678" t="str">
            <v>[TIMES] Black liquor-FT diesel</v>
          </cell>
          <cell r="B2678" t="str">
            <v>black liquor</v>
          </cell>
          <cell r="C2678" t="str">
            <v>from technosphere (product)</v>
          </cell>
          <cell r="D2678"/>
          <cell r="E2678" t="str">
            <v>Energy</v>
          </cell>
          <cell r="F2678">
            <v>2.13</v>
          </cell>
          <cell r="G2678" t="str">
            <v>GJ</v>
          </cell>
          <cell r="H2678" t="str">
            <v>GJ</v>
          </cell>
          <cell r="I2678"/>
          <cell r="J2678" t="str">
            <v>[TIMES] Black liquor-FT diesel</v>
          </cell>
          <cell r="K2678"/>
          <cell r="L2678"/>
        </row>
        <row r="2679">
          <cell r="A2679" t="str">
            <v/>
          </cell>
        </row>
        <row r="2680">
          <cell r="A2680" t="str">
            <v>[TIMES] Black liquor-Methane</v>
          </cell>
          <cell r="B2680" t="str">
            <v>methane</v>
          </cell>
          <cell r="C2680" t="str">
            <v>reference_product</v>
          </cell>
          <cell r="D2680"/>
          <cell r="E2680" t="str">
            <v>Energy</v>
          </cell>
          <cell r="F2680">
            <v>1</v>
          </cell>
          <cell r="G2680" t="str">
            <v>GJ</v>
          </cell>
          <cell r="H2680">
            <v>1</v>
          </cell>
          <cell r="I2680"/>
          <cell r="J2680" t="str">
            <v>[TIMES] Black liquor-Methane</v>
          </cell>
          <cell r="K2680"/>
          <cell r="L2680"/>
        </row>
        <row r="2681">
          <cell r="A2681" t="str">
            <v>[TIMES] Black liquor-Methane</v>
          </cell>
          <cell r="B2681" t="str">
            <v>process heat</v>
          </cell>
          <cell r="C2681" t="str">
            <v>to technosphere (by-product)</v>
          </cell>
          <cell r="D2681"/>
          <cell r="E2681" t="str">
            <v>Energy</v>
          </cell>
          <cell r="F2681">
            <v>0.2</v>
          </cell>
          <cell r="G2681" t="str">
            <v>GJ</v>
          </cell>
          <cell r="H2681" t="str">
            <v>GJ</v>
          </cell>
          <cell r="I2681"/>
          <cell r="J2681" t="str">
            <v>[TIMES] Black liquor-Methane</v>
          </cell>
          <cell r="K2681"/>
          <cell r="L2681"/>
        </row>
        <row r="2682">
          <cell r="A2682" t="str">
            <v>[TIMES] Black liquor-Methane</v>
          </cell>
          <cell r="B2682" t="str">
            <v>black liquor</v>
          </cell>
          <cell r="C2682" t="str">
            <v>from technosphere (product)</v>
          </cell>
          <cell r="D2682"/>
          <cell r="E2682" t="str">
            <v>Energy</v>
          </cell>
          <cell r="F2682">
            <v>1.92</v>
          </cell>
          <cell r="G2682" t="str">
            <v>GJ</v>
          </cell>
          <cell r="H2682" t="str">
            <v>GJ</v>
          </cell>
          <cell r="I2682"/>
          <cell r="J2682" t="str">
            <v>[TIMES] Black liquor-Methane</v>
          </cell>
          <cell r="K2682"/>
          <cell r="L2682"/>
        </row>
        <row r="2683">
          <cell r="A2683" t="str">
            <v/>
          </cell>
        </row>
        <row r="2684">
          <cell r="A2684" t="str">
            <v>[TIMES] Black liquor-Methanol</v>
          </cell>
          <cell r="B2684" t="str">
            <v>methanol</v>
          </cell>
          <cell r="C2684" t="str">
            <v>reference_product</v>
          </cell>
          <cell r="D2684"/>
          <cell r="E2684" t="str">
            <v>Energy</v>
          </cell>
          <cell r="F2684">
            <v>1</v>
          </cell>
          <cell r="G2684" t="str">
            <v>GJ</v>
          </cell>
          <cell r="H2684">
            <v>1</v>
          </cell>
          <cell r="I2684"/>
          <cell r="J2684" t="str">
            <v>[TIMES] Black liquor-Methanol</v>
          </cell>
          <cell r="K2684"/>
          <cell r="L2684"/>
        </row>
        <row r="2685">
          <cell r="A2685" t="str">
            <v>[TIMES] Black liquor-Methanol</v>
          </cell>
          <cell r="B2685" t="str">
            <v>process heat</v>
          </cell>
          <cell r="C2685" t="str">
            <v>to technosphere (by-product)</v>
          </cell>
          <cell r="D2685"/>
          <cell r="E2685" t="str">
            <v>Energy</v>
          </cell>
          <cell r="F2685">
            <v>0.2</v>
          </cell>
          <cell r="G2685" t="str">
            <v>GJ</v>
          </cell>
          <cell r="H2685" t="str">
            <v>GJ</v>
          </cell>
          <cell r="I2685"/>
          <cell r="J2685" t="str">
            <v>[TIMES] Black liquor-Methanol</v>
          </cell>
          <cell r="K2685"/>
          <cell r="L2685"/>
        </row>
        <row r="2686">
          <cell r="A2686" t="str">
            <v>[TIMES] Black liquor-Methanol</v>
          </cell>
          <cell r="B2686" t="str">
            <v>black liquor</v>
          </cell>
          <cell r="C2686" t="str">
            <v>from technosphere (product)</v>
          </cell>
          <cell r="D2686"/>
          <cell r="E2686" t="str">
            <v>Energy</v>
          </cell>
          <cell r="F2686">
            <v>1.79</v>
          </cell>
          <cell r="G2686" t="str">
            <v>GJ</v>
          </cell>
          <cell r="H2686" t="str">
            <v>GJ</v>
          </cell>
          <cell r="I2686"/>
          <cell r="J2686" t="str">
            <v>[TIMES] Black liquor-Methanol</v>
          </cell>
          <cell r="K2686"/>
          <cell r="L2686"/>
        </row>
        <row r="2687">
          <cell r="A2687" t="str">
            <v/>
          </cell>
        </row>
        <row r="2688">
          <cell r="A2688" t="str">
            <v>[TIMES] Black liquor-IGCC</v>
          </cell>
          <cell r="B2688" t="str">
            <v>methanol</v>
          </cell>
          <cell r="C2688" t="str">
            <v>reference_product</v>
          </cell>
          <cell r="D2688"/>
          <cell r="E2688" t="str">
            <v>Energy</v>
          </cell>
          <cell r="F2688">
            <v>1</v>
          </cell>
          <cell r="G2688" t="str">
            <v>GJ</v>
          </cell>
          <cell r="H2688">
            <v>1</v>
          </cell>
          <cell r="I2688"/>
          <cell r="J2688" t="str">
            <v>[TIMES] Black liquor-Methanol</v>
          </cell>
          <cell r="K2688"/>
          <cell r="L2688"/>
        </row>
        <row r="2689">
          <cell r="A2689" t="str">
            <v>[TIMES] Black liquor-IGCC</v>
          </cell>
          <cell r="B2689" t="str">
            <v>process heat</v>
          </cell>
          <cell r="C2689" t="str">
            <v>to technosphere (by-product)</v>
          </cell>
          <cell r="D2689"/>
          <cell r="E2689" t="str">
            <v>Energy</v>
          </cell>
          <cell r="F2689">
            <v>0.2</v>
          </cell>
          <cell r="G2689" t="str">
            <v>GJ</v>
          </cell>
          <cell r="H2689" t="str">
            <v>GJ</v>
          </cell>
          <cell r="I2689"/>
          <cell r="J2689" t="str">
            <v>[TIMES] Black liquor-Methanol</v>
          </cell>
          <cell r="K2689"/>
          <cell r="L2689"/>
        </row>
        <row r="2690">
          <cell r="A2690" t="str">
            <v>[TIMES] Black liquor-IGCC</v>
          </cell>
          <cell r="B2690" t="str">
            <v>black liquor</v>
          </cell>
          <cell r="C2690" t="str">
            <v>from technosphere (product)</v>
          </cell>
          <cell r="D2690"/>
          <cell r="E2690" t="str">
            <v>Energy</v>
          </cell>
          <cell r="F2690">
            <v>1.79</v>
          </cell>
          <cell r="G2690" t="str">
            <v>GJ</v>
          </cell>
          <cell r="H2690" t="str">
            <v>GJ</v>
          </cell>
          <cell r="I2690"/>
          <cell r="J2690" t="str">
            <v>[TIMES] Black liquor-Methanol</v>
          </cell>
          <cell r="K2690"/>
          <cell r="L2690"/>
        </row>
        <row r="2691">
          <cell r="A2691" t="str">
            <v/>
          </cell>
        </row>
        <row r="2692">
          <cell r="A2692" t="str">
            <v>[TIMES_SE] Kraft process</v>
          </cell>
          <cell r="B2692" t="str">
            <v>kraft pulp</v>
          </cell>
          <cell r="C2692" t="str">
            <v>reference_product</v>
          </cell>
          <cell r="D2692"/>
          <cell r="E2692" t="str">
            <v>Mass</v>
          </cell>
          <cell r="F2692">
            <v>1</v>
          </cell>
          <cell r="G2692" t="str">
            <v>tonne</v>
          </cell>
          <cell r="H2692"/>
          <cell r="I2692"/>
          <cell r="J2692" t="str">
            <v>[TIMES_SE] Kraft process</v>
          </cell>
          <cell r="K2692"/>
          <cell r="L2692"/>
        </row>
        <row r="2693">
          <cell r="A2693" t="str">
            <v>[TIMES_SE] Kraft process</v>
          </cell>
          <cell r="B2693" t="str">
            <v>black liquor</v>
          </cell>
          <cell r="C2693" t="str">
            <v>to technosphere (by-product)</v>
          </cell>
          <cell r="D2693"/>
          <cell r="E2693" t="str">
            <v>Energy</v>
          </cell>
          <cell r="F2693">
            <v>17.8</v>
          </cell>
          <cell r="G2693" t="str">
            <v>GJ</v>
          </cell>
          <cell r="H2693"/>
          <cell r="I2693"/>
          <cell r="J2693" t="str">
            <v>[TIMES_SE] Kraft process</v>
          </cell>
          <cell r="K2693"/>
          <cell r="L2693"/>
        </row>
        <row r="2694">
          <cell r="A2694" t="str">
            <v>[TIMES_SE] Kraft process</v>
          </cell>
          <cell r="B2694" t="str">
            <v>tall oil</v>
          </cell>
          <cell r="C2694" t="str">
            <v>to technosphere (by-product)</v>
          </cell>
          <cell r="D2694"/>
          <cell r="E2694" t="str">
            <v>Energy</v>
          </cell>
          <cell r="F2694">
            <v>1.5</v>
          </cell>
          <cell r="G2694" t="str">
            <v>GJ</v>
          </cell>
          <cell r="H2694"/>
          <cell r="I2694"/>
          <cell r="J2694" t="str">
            <v>[TIMES_SE] Kraft process</v>
          </cell>
          <cell r="K2694"/>
          <cell r="L2694"/>
        </row>
        <row r="2695">
          <cell r="A2695" t="str">
            <v>[TIMES_SE] Kraft process</v>
          </cell>
          <cell r="B2695" t="str">
            <v>biomass</v>
          </cell>
          <cell r="C2695" t="str">
            <v>from technosphere (feedstock)</v>
          </cell>
          <cell r="D2695"/>
          <cell r="E2695" t="str">
            <v>Mass</v>
          </cell>
          <cell r="F2695">
            <v>1.9230769230769229</v>
          </cell>
          <cell r="G2695" t="str">
            <v>tonne</v>
          </cell>
          <cell r="H2695"/>
          <cell r="I2695"/>
          <cell r="J2695" t="str">
            <v>[TIMES_SE] Kraft process</v>
          </cell>
          <cell r="K2695" t="str">
            <v>material yield 0,52 t/t</v>
          </cell>
          <cell r="L2695"/>
        </row>
        <row r="2696">
          <cell r="A2696" t="str">
            <v>[TIMES_SE] Kraft process</v>
          </cell>
          <cell r="B2696" t="str">
            <v>quicklime</v>
          </cell>
          <cell r="C2696" t="str">
            <v>from technosphere (product)</v>
          </cell>
          <cell r="D2696"/>
          <cell r="E2696" t="str">
            <v>Mass</v>
          </cell>
          <cell r="F2696">
            <v>0.28399999999999997</v>
          </cell>
          <cell r="G2696" t="str">
            <v>tonne</v>
          </cell>
          <cell r="H2696"/>
          <cell r="I2696"/>
          <cell r="J2696" t="str">
            <v>[TIMES_SE] Kraft process</v>
          </cell>
          <cell r="K2696"/>
          <cell r="L2696"/>
        </row>
        <row r="2697">
          <cell r="A2697" t="str">
            <v>[TIMES_SE] Kraft process</v>
          </cell>
          <cell r="B2697" t="str">
            <v>process heat</v>
          </cell>
          <cell r="C2697" t="str">
            <v>from technosphere (energy_carrier)</v>
          </cell>
          <cell r="D2697"/>
          <cell r="E2697" t="str">
            <v>Energy</v>
          </cell>
          <cell r="F2697">
            <v>6.8</v>
          </cell>
          <cell r="G2697" t="str">
            <v>GJ</v>
          </cell>
          <cell r="H2697"/>
          <cell r="I2697"/>
          <cell r="J2697" t="str">
            <v>[TIMES_SE] Kraft process</v>
          </cell>
          <cell r="K2697"/>
          <cell r="L2697"/>
        </row>
        <row r="2698">
          <cell r="A2698" t="str">
            <v>[TIMES_SE] Kraft process</v>
          </cell>
          <cell r="B2698" t="str">
            <v>electricity</v>
          </cell>
          <cell r="C2698" t="str">
            <v>from technosphere (energy_carrier)</v>
          </cell>
          <cell r="D2698"/>
          <cell r="E2698" t="str">
            <v>Energy</v>
          </cell>
          <cell r="F2698">
            <v>1.7</v>
          </cell>
          <cell r="G2698" t="str">
            <v>GJ</v>
          </cell>
          <cell r="H2698"/>
          <cell r="I2698"/>
          <cell r="J2698" t="str">
            <v>[TIMES_SE] Kraft process</v>
          </cell>
          <cell r="K2698"/>
          <cell r="L2698"/>
        </row>
        <row r="2699">
          <cell r="A2699" t="str">
            <v/>
          </cell>
        </row>
        <row r="2700">
          <cell r="A2700" t="str">
            <v>[TIMES_SE] Mechanical pulping</v>
          </cell>
          <cell r="B2700" t="str">
            <v>mechanical pulp</v>
          </cell>
          <cell r="C2700" t="str">
            <v>reference_product</v>
          </cell>
          <cell r="D2700"/>
          <cell r="E2700" t="str">
            <v>Mass</v>
          </cell>
          <cell r="F2700">
            <v>1</v>
          </cell>
          <cell r="G2700" t="str">
            <v>tonne</v>
          </cell>
          <cell r="H2700"/>
          <cell r="I2700"/>
          <cell r="J2700" t="str">
            <v>[TIMES_SE] Mechanical pulping</v>
          </cell>
          <cell r="K2700"/>
          <cell r="L2700"/>
        </row>
        <row r="2701">
          <cell r="A2701" t="str">
            <v>[TIMES_SE] Mechanical pulping</v>
          </cell>
          <cell r="B2701" t="str">
            <v>process heat</v>
          </cell>
          <cell r="C2701" t="str">
            <v>to technosphere (by-product)</v>
          </cell>
          <cell r="D2701"/>
          <cell r="E2701" t="str">
            <v>Energy</v>
          </cell>
          <cell r="F2701">
            <v>2.7</v>
          </cell>
          <cell r="G2701" t="str">
            <v>GJ</v>
          </cell>
          <cell r="H2701"/>
          <cell r="I2701"/>
          <cell r="J2701" t="str">
            <v>[TIMES_SE] Mechanical pulping</v>
          </cell>
          <cell r="K2701"/>
          <cell r="L2701"/>
        </row>
        <row r="2702">
          <cell r="A2702" t="str">
            <v>[TIMES_SE] Mechanical pulping</v>
          </cell>
          <cell r="B2702" t="str">
            <v>biomass</v>
          </cell>
          <cell r="C2702" t="str">
            <v>from technosphere (feedstock)</v>
          </cell>
          <cell r="D2702"/>
          <cell r="E2702" t="str">
            <v>Mass</v>
          </cell>
          <cell r="F2702">
            <v>1.0638297872340425</v>
          </cell>
          <cell r="G2702" t="str">
            <v>tonne</v>
          </cell>
          <cell r="H2702"/>
          <cell r="I2702"/>
          <cell r="J2702" t="str">
            <v>[TIMES_SE] Mechanical pulping</v>
          </cell>
          <cell r="K2702" t="str">
            <v>material yield 0,94 t/t</v>
          </cell>
          <cell r="L2702"/>
        </row>
        <row r="2703">
          <cell r="A2703" t="str">
            <v>[TIMES_SE] Mechanical pulping</v>
          </cell>
          <cell r="B2703" t="str">
            <v>electricity</v>
          </cell>
          <cell r="C2703" t="str">
            <v>from technosphere (energy_carrier)</v>
          </cell>
          <cell r="D2703"/>
          <cell r="E2703" t="str">
            <v>Energy</v>
          </cell>
          <cell r="F2703">
            <v>8.5</v>
          </cell>
          <cell r="G2703" t="str">
            <v>GJ</v>
          </cell>
          <cell r="H2703"/>
          <cell r="I2703"/>
          <cell r="J2703" t="str">
            <v>[TIMES_SE] Mechanical pulping</v>
          </cell>
          <cell r="K2703"/>
          <cell r="L2703"/>
        </row>
        <row r="2704">
          <cell r="A2704" t="str">
            <v/>
          </cell>
        </row>
        <row r="2705">
          <cell r="A2705" t="str">
            <v>[TIMES_SE] Recycled fiber pulping</v>
          </cell>
          <cell r="B2705" t="str">
            <v>recycled pulp</v>
          </cell>
          <cell r="C2705" t="str">
            <v>reference_product</v>
          </cell>
          <cell r="D2705"/>
          <cell r="E2705" t="str">
            <v>Mass</v>
          </cell>
          <cell r="F2705">
            <v>1</v>
          </cell>
          <cell r="G2705" t="str">
            <v>tonne</v>
          </cell>
          <cell r="H2705"/>
          <cell r="I2705"/>
          <cell r="J2705" t="str">
            <v>[TIMES_SE] Recycled fiber pulping</v>
          </cell>
          <cell r="K2705"/>
          <cell r="L2705"/>
        </row>
        <row r="2706">
          <cell r="A2706" t="str">
            <v>[TIMES_SE] Recycled fiber pulping</v>
          </cell>
          <cell r="B2706" t="str">
            <v>paper, recycled</v>
          </cell>
          <cell r="C2706" t="str">
            <v>from technosphere (product)</v>
          </cell>
          <cell r="D2706"/>
          <cell r="E2706" t="str">
            <v>Mass</v>
          </cell>
          <cell r="F2706">
            <v>1.0638297872340425</v>
          </cell>
          <cell r="G2706" t="str">
            <v>tonne</v>
          </cell>
          <cell r="H2706"/>
          <cell r="I2706"/>
          <cell r="J2706" t="str">
            <v>[TIMES_SE] Recycled fiber pulping</v>
          </cell>
          <cell r="K2706" t="str">
            <v>material yield 0,94 t/t</v>
          </cell>
          <cell r="L2706"/>
        </row>
        <row r="2707">
          <cell r="A2707" t="str">
            <v>[TIMES_SE] Recycled fiber pulping</v>
          </cell>
          <cell r="B2707" t="str">
            <v>electricity</v>
          </cell>
          <cell r="C2707" t="str">
            <v>from technosphere (energy_carrier)</v>
          </cell>
          <cell r="D2707"/>
          <cell r="E2707" t="str">
            <v>Energy</v>
          </cell>
          <cell r="F2707">
            <v>0.8</v>
          </cell>
          <cell r="G2707" t="str">
            <v>GJ</v>
          </cell>
          <cell r="H2707"/>
          <cell r="I2707"/>
          <cell r="J2707" t="str">
            <v>[TIMES_SE] Recycled fiber pulping</v>
          </cell>
          <cell r="K2707"/>
          <cell r="L2707"/>
        </row>
        <row r="2708">
          <cell r="A2708" t="str">
            <v>[TIMES_SE] Recycled fiber pulping</v>
          </cell>
          <cell r="B2708" t="str">
            <v>process heat</v>
          </cell>
          <cell r="C2708" t="str">
            <v>from technosphere (energy_carrier)</v>
          </cell>
          <cell r="D2708"/>
          <cell r="E2708" t="str">
            <v>Energy</v>
          </cell>
          <cell r="F2708">
            <v>0.35</v>
          </cell>
          <cell r="G2708" t="str">
            <v>GJ</v>
          </cell>
          <cell r="H2708"/>
          <cell r="I2708"/>
          <cell r="J2708" t="str">
            <v>[TIMES_SE] Recycled fiber pulping</v>
          </cell>
          <cell r="K2708"/>
          <cell r="L2708"/>
        </row>
        <row r="2709">
          <cell r="A2709" t="str">
            <v/>
          </cell>
        </row>
        <row r="2710">
          <cell r="A2710" t="str">
            <v>[TIMES_SE] Paper mill, graphical - conventional</v>
          </cell>
          <cell r="B2710" t="str">
            <v>paper, graphical</v>
          </cell>
          <cell r="C2710" t="str">
            <v>reference_product</v>
          </cell>
          <cell r="D2710"/>
          <cell r="E2710" t="str">
            <v>Mass</v>
          </cell>
          <cell r="F2710">
            <v>1</v>
          </cell>
          <cell r="G2710" t="str">
            <v>tonne</v>
          </cell>
          <cell r="H2710"/>
          <cell r="I2710"/>
          <cell r="J2710" t="str">
            <v>[TIMES_SE] Paper mill, graphical - conventional</v>
          </cell>
          <cell r="K2710"/>
          <cell r="L2710"/>
        </row>
        <row r="2711">
          <cell r="A2711" t="str">
            <v>[TIMES_SE] Paper mill, graphical - conventional</v>
          </cell>
          <cell r="B2711" t="str">
            <v>kraft pulp</v>
          </cell>
          <cell r="C2711" t="str">
            <v>from technosphere (product)</v>
          </cell>
          <cell r="D2711"/>
          <cell r="E2711" t="str">
            <v>Mass</v>
          </cell>
          <cell r="F2711">
            <v>0.7</v>
          </cell>
          <cell r="G2711" t="str">
            <v>tonne</v>
          </cell>
          <cell r="H2711"/>
          <cell r="I2711"/>
          <cell r="J2711" t="str">
            <v>[TIMES_SE] Paper mill, graphical - conventional</v>
          </cell>
          <cell r="K2711"/>
          <cell r="L2711"/>
        </row>
        <row r="2712">
          <cell r="A2712" t="str">
            <v>[TIMES_SE] Paper mill, graphical - conventional</v>
          </cell>
          <cell r="B2712" t="str">
            <v>filler material</v>
          </cell>
          <cell r="C2712" t="str">
            <v>from technosphere (product)</v>
          </cell>
          <cell r="D2712"/>
          <cell r="E2712" t="str">
            <v>Mass</v>
          </cell>
          <cell r="F2712">
            <v>0.3</v>
          </cell>
          <cell r="G2712" t="str">
            <v>tonne</v>
          </cell>
          <cell r="H2712"/>
          <cell r="I2712"/>
          <cell r="J2712" t="str">
            <v>[TIMES_SE] Paper mill, graphical - conventional</v>
          </cell>
          <cell r="K2712"/>
          <cell r="L2712"/>
        </row>
        <row r="2713">
          <cell r="A2713" t="str">
            <v>[TIMES_SE] Paper mill, graphical - conventional</v>
          </cell>
          <cell r="B2713" t="str">
            <v>LPG</v>
          </cell>
          <cell r="C2713" t="str">
            <v>from technosphere (energy_carrier)</v>
          </cell>
          <cell r="D2713"/>
          <cell r="E2713" t="str">
            <v>Energy</v>
          </cell>
          <cell r="F2713">
            <v>0.23</v>
          </cell>
          <cell r="G2713" t="str">
            <v>GJ</v>
          </cell>
          <cell r="H2713"/>
          <cell r="I2713"/>
          <cell r="J2713" t="str">
            <v>[TIMES_SE] Paper mill, graphical - conventional</v>
          </cell>
          <cell r="K2713"/>
          <cell r="L2713"/>
        </row>
        <row r="2714">
          <cell r="A2714" t="str">
            <v>[TIMES_SE] Paper mill, graphical - conventional</v>
          </cell>
          <cell r="B2714" t="str">
            <v>natural gas</v>
          </cell>
          <cell r="C2714" t="str">
            <v>from technosphere (energy_carrier)</v>
          </cell>
          <cell r="D2714"/>
          <cell r="E2714" t="str">
            <v>Energy</v>
          </cell>
          <cell r="F2714"/>
          <cell r="G2714" t="str">
            <v>GJ</v>
          </cell>
          <cell r="H2714"/>
          <cell r="I2714"/>
          <cell r="J2714" t="str">
            <v>[TIMES_SE] Paper mill, graphical - conventional</v>
          </cell>
          <cell r="K2714"/>
          <cell r="L2714"/>
        </row>
        <row r="2715">
          <cell r="A2715" t="str">
            <v>[TIMES_SE] Paper mill, graphical - conventional</v>
          </cell>
          <cell r="B2715" t="str">
            <v>electricity</v>
          </cell>
          <cell r="C2715" t="str">
            <v>from technosphere (energy_carrier)</v>
          </cell>
          <cell r="D2715"/>
          <cell r="E2715" t="str">
            <v>Energy</v>
          </cell>
          <cell r="F2715">
            <v>2.16</v>
          </cell>
          <cell r="G2715" t="str">
            <v>GJ</v>
          </cell>
          <cell r="H2715"/>
          <cell r="I2715"/>
          <cell r="J2715" t="str">
            <v>[TIMES_SE] Paper mill, graphical - conventional</v>
          </cell>
          <cell r="K2715"/>
          <cell r="L2715"/>
        </row>
        <row r="2716">
          <cell r="A2716" t="str">
            <v>[TIMES_SE] Paper mill, graphical - conventional</v>
          </cell>
          <cell r="B2716" t="str">
            <v>process heat</v>
          </cell>
          <cell r="C2716" t="str">
            <v>from technosphere (energy_carrier)</v>
          </cell>
          <cell r="D2716"/>
          <cell r="E2716" t="str">
            <v>Energy</v>
          </cell>
          <cell r="F2716">
            <v>4.8</v>
          </cell>
          <cell r="G2716" t="str">
            <v>GJ</v>
          </cell>
          <cell r="H2716"/>
          <cell r="I2716"/>
          <cell r="J2716" t="str">
            <v>[TIMES_SE] Paper mill, graphical - conventional</v>
          </cell>
          <cell r="K2716"/>
          <cell r="L2716"/>
        </row>
        <row r="2717">
          <cell r="A2717" t="str">
            <v>[TIMES_SE] Paper mill, graphical - conventional</v>
          </cell>
          <cell r="B2717" t="str">
            <v>waste heat</v>
          </cell>
          <cell r="C2717" t="str">
            <v>to technosphere (by-product)</v>
          </cell>
          <cell r="D2717"/>
          <cell r="E2717" t="str">
            <v>Energy</v>
          </cell>
          <cell r="F2717">
            <v>1.78</v>
          </cell>
          <cell r="G2717" t="str">
            <v>GJ</v>
          </cell>
          <cell r="H2717"/>
          <cell r="I2717"/>
          <cell r="J2717" t="str">
            <v>[TIMES_SE] Paper mill, graphical - conventional</v>
          </cell>
          <cell r="K2717"/>
          <cell r="L2717"/>
        </row>
        <row r="2718">
          <cell r="A2718" t="str">
            <v/>
          </cell>
        </row>
        <row r="2719">
          <cell r="A2719" t="str">
            <v>[TIMES_SE] Paper mill, graphical - press dryer</v>
          </cell>
          <cell r="B2719" t="str">
            <v>paper, graphical</v>
          </cell>
          <cell r="C2719" t="str">
            <v>reference_product</v>
          </cell>
          <cell r="D2719"/>
          <cell r="E2719" t="str">
            <v>Mass</v>
          </cell>
          <cell r="F2719">
            <v>1</v>
          </cell>
          <cell r="G2719" t="str">
            <v>tonne</v>
          </cell>
          <cell r="H2719"/>
          <cell r="I2719"/>
          <cell r="J2719" t="str">
            <v>[TIMES_SE] Paper mill, graphical - press dryer</v>
          </cell>
          <cell r="K2719"/>
          <cell r="L2719"/>
        </row>
        <row r="2720">
          <cell r="A2720" t="str">
            <v>[TIMES_SE] Paper mill, graphical - press dryer</v>
          </cell>
          <cell r="B2720" t="str">
            <v>kraft pulp</v>
          </cell>
          <cell r="C2720" t="str">
            <v>from technosphere (product)</v>
          </cell>
          <cell r="D2720"/>
          <cell r="E2720" t="str">
            <v>Mass</v>
          </cell>
          <cell r="F2720">
            <v>0.7</v>
          </cell>
          <cell r="G2720" t="str">
            <v>tonne</v>
          </cell>
          <cell r="H2720"/>
          <cell r="I2720"/>
          <cell r="J2720" t="str">
            <v>[TIMES_SE] Paper mill, graphical - press dryer</v>
          </cell>
          <cell r="K2720"/>
          <cell r="L2720"/>
        </row>
        <row r="2721">
          <cell r="A2721" t="str">
            <v>[TIMES_SE] Paper mill, graphical - press dryer</v>
          </cell>
          <cell r="B2721" t="str">
            <v>filler material</v>
          </cell>
          <cell r="C2721" t="str">
            <v>from technosphere (product)</v>
          </cell>
          <cell r="D2721"/>
          <cell r="E2721" t="str">
            <v>Mass</v>
          </cell>
          <cell r="F2721">
            <v>0.3</v>
          </cell>
          <cell r="G2721" t="str">
            <v>tonne</v>
          </cell>
          <cell r="H2721"/>
          <cell r="I2721"/>
          <cell r="J2721" t="str">
            <v>[TIMES_SE] Paper mill, graphical - press dryer</v>
          </cell>
          <cell r="K2721"/>
          <cell r="L2721"/>
        </row>
        <row r="2722">
          <cell r="A2722" t="str">
            <v>[TIMES_SE] Paper mill, graphical - press dryer</v>
          </cell>
          <cell r="B2722" t="str">
            <v>LPG</v>
          </cell>
          <cell r="C2722" t="str">
            <v>from technosphere (energy_carrier)</v>
          </cell>
          <cell r="D2722"/>
          <cell r="E2722" t="str">
            <v>Energy</v>
          </cell>
          <cell r="F2722">
            <v>0.23</v>
          </cell>
          <cell r="G2722" t="str">
            <v>GJ</v>
          </cell>
          <cell r="H2722"/>
          <cell r="I2722"/>
          <cell r="J2722" t="str">
            <v>[TIMES_SE] Paper mill, graphical - press dryer</v>
          </cell>
          <cell r="K2722"/>
          <cell r="L2722"/>
        </row>
        <row r="2723">
          <cell r="A2723" t="str">
            <v>[TIMES_SE] Paper mill, graphical - press dryer</v>
          </cell>
          <cell r="B2723" t="str">
            <v>natural gas</v>
          </cell>
          <cell r="C2723" t="str">
            <v>from technosphere (energy_carrier)</v>
          </cell>
          <cell r="D2723"/>
          <cell r="E2723" t="str">
            <v>Energy</v>
          </cell>
          <cell r="F2723"/>
          <cell r="G2723" t="str">
            <v>GJ</v>
          </cell>
          <cell r="H2723"/>
          <cell r="I2723"/>
          <cell r="J2723" t="str">
            <v>[TIMES_SE] Paper mill, graphical - press dryer</v>
          </cell>
          <cell r="K2723"/>
          <cell r="L2723"/>
        </row>
        <row r="2724">
          <cell r="A2724" t="str">
            <v>[TIMES_SE] Paper mill, graphical - press dryer</v>
          </cell>
          <cell r="B2724" t="str">
            <v>electricity</v>
          </cell>
          <cell r="C2724" t="str">
            <v>from technosphere (energy_carrier)</v>
          </cell>
          <cell r="D2724"/>
          <cell r="E2724" t="str">
            <v>Energy</v>
          </cell>
          <cell r="F2724">
            <v>1.94</v>
          </cell>
          <cell r="G2724" t="str">
            <v>GJ</v>
          </cell>
          <cell r="H2724"/>
          <cell r="I2724"/>
          <cell r="J2724" t="str">
            <v>[TIMES_SE] Paper mill, graphical - press dryer</v>
          </cell>
          <cell r="K2724"/>
          <cell r="L2724"/>
        </row>
        <row r="2725">
          <cell r="A2725" t="str">
            <v>[TIMES_SE] Paper mill, graphical - press dryer</v>
          </cell>
          <cell r="B2725" t="str">
            <v>process heat</v>
          </cell>
          <cell r="C2725" t="str">
            <v>from technosphere (energy_carrier)</v>
          </cell>
          <cell r="D2725"/>
          <cell r="E2725" t="str">
            <v>Energy</v>
          </cell>
          <cell r="F2725">
            <v>4.08</v>
          </cell>
          <cell r="G2725" t="str">
            <v>GJ</v>
          </cell>
          <cell r="H2725"/>
          <cell r="I2725"/>
          <cell r="J2725" t="str">
            <v>[TIMES_SE] Paper mill, graphical - press dryer</v>
          </cell>
          <cell r="K2725"/>
          <cell r="L2725"/>
        </row>
        <row r="2726">
          <cell r="A2726" t="str">
            <v>[TIMES_SE] Paper mill, graphical - press dryer</v>
          </cell>
          <cell r="B2726" t="str">
            <v>waste heat</v>
          </cell>
          <cell r="C2726" t="str">
            <v>to technosphere (by-product)</v>
          </cell>
          <cell r="D2726"/>
          <cell r="E2726" t="str">
            <v>Energy</v>
          </cell>
          <cell r="F2726">
            <v>1.78</v>
          </cell>
          <cell r="G2726" t="str">
            <v>GJ</v>
          </cell>
          <cell r="H2726"/>
          <cell r="I2726"/>
          <cell r="J2726" t="str">
            <v>[TIMES_SE] Paper mill, graphical - press dryer</v>
          </cell>
          <cell r="K2726"/>
          <cell r="L2726"/>
        </row>
        <row r="2727">
          <cell r="A2727" t="str">
            <v/>
          </cell>
        </row>
        <row r="2728">
          <cell r="A2728" t="str">
            <v>[TIMES_SE] Paper mill, graphical - condebelt</v>
          </cell>
          <cell r="B2728" t="str">
            <v>paper, graphical</v>
          </cell>
          <cell r="C2728" t="str">
            <v>reference_product</v>
          </cell>
          <cell r="D2728"/>
          <cell r="E2728" t="str">
            <v>Mass</v>
          </cell>
          <cell r="F2728">
            <v>1</v>
          </cell>
          <cell r="G2728" t="str">
            <v>tonne</v>
          </cell>
          <cell r="H2728"/>
          <cell r="I2728"/>
          <cell r="J2728" t="str">
            <v>[TIMES_SE] Paper mill, graphical - condebelt</v>
          </cell>
          <cell r="K2728"/>
          <cell r="L2728"/>
        </row>
        <row r="2729">
          <cell r="A2729" t="str">
            <v>[TIMES_SE] Paper mill, graphical - condebelt</v>
          </cell>
          <cell r="B2729" t="str">
            <v>kraft pulp</v>
          </cell>
          <cell r="C2729" t="str">
            <v>from technosphere (product)</v>
          </cell>
          <cell r="D2729"/>
          <cell r="E2729" t="str">
            <v>Mass</v>
          </cell>
          <cell r="F2729">
            <v>0.7</v>
          </cell>
          <cell r="G2729" t="str">
            <v>tonne</v>
          </cell>
          <cell r="H2729"/>
          <cell r="I2729"/>
          <cell r="J2729" t="str">
            <v>[TIMES_SE] Paper mill, graphical - condebelt</v>
          </cell>
          <cell r="K2729"/>
          <cell r="L2729"/>
        </row>
        <row r="2730">
          <cell r="A2730" t="str">
            <v>[TIMES_SE] Paper mill, graphical - condebelt</v>
          </cell>
          <cell r="B2730" t="str">
            <v>filler material</v>
          </cell>
          <cell r="C2730" t="str">
            <v>from technosphere (product)</v>
          </cell>
          <cell r="D2730"/>
          <cell r="E2730" t="str">
            <v>Mass</v>
          </cell>
          <cell r="F2730">
            <v>0.3</v>
          </cell>
          <cell r="G2730" t="str">
            <v>tonne</v>
          </cell>
          <cell r="H2730"/>
          <cell r="I2730"/>
          <cell r="J2730" t="str">
            <v>[TIMES_SE] Paper mill, graphical - condebelt</v>
          </cell>
          <cell r="K2730"/>
          <cell r="L2730"/>
        </row>
        <row r="2731">
          <cell r="A2731" t="str">
            <v>[TIMES_SE] Paper mill, graphical - condebelt</v>
          </cell>
          <cell r="B2731" t="str">
            <v>LPG</v>
          </cell>
          <cell r="C2731" t="str">
            <v>from technosphere (energy_carrier)</v>
          </cell>
          <cell r="D2731"/>
          <cell r="E2731" t="str">
            <v>Energy</v>
          </cell>
          <cell r="F2731">
            <v>0.23</v>
          </cell>
          <cell r="G2731" t="str">
            <v>GJ</v>
          </cell>
          <cell r="H2731"/>
          <cell r="I2731"/>
          <cell r="J2731" t="str">
            <v>[TIMES_SE] Paper mill, graphical - condebelt</v>
          </cell>
          <cell r="K2731"/>
          <cell r="L2731"/>
        </row>
        <row r="2732">
          <cell r="A2732" t="str">
            <v>[TIMES_SE] Paper mill, graphical - condebelt</v>
          </cell>
          <cell r="B2732" t="str">
            <v>natural gas</v>
          </cell>
          <cell r="C2732" t="str">
            <v>from technosphere (energy_carrier)</v>
          </cell>
          <cell r="D2732"/>
          <cell r="E2732" t="str">
            <v>Energy</v>
          </cell>
          <cell r="F2732"/>
          <cell r="G2732" t="str">
            <v>GJ</v>
          </cell>
          <cell r="H2732"/>
          <cell r="I2732"/>
          <cell r="J2732" t="str">
            <v>[TIMES_SE] Paper mill, graphical - condebelt</v>
          </cell>
          <cell r="K2732"/>
          <cell r="L2732"/>
        </row>
        <row r="2733">
          <cell r="A2733" t="str">
            <v>[TIMES_SE] Paper mill, graphical - condebelt</v>
          </cell>
          <cell r="B2733" t="str">
            <v>electricity</v>
          </cell>
          <cell r="C2733" t="str">
            <v>from technosphere (energy_carrier)</v>
          </cell>
          <cell r="D2733"/>
          <cell r="E2733" t="str">
            <v>Energy</v>
          </cell>
          <cell r="F2733">
            <v>2.16</v>
          </cell>
          <cell r="G2733" t="str">
            <v>GJ</v>
          </cell>
          <cell r="H2733"/>
          <cell r="I2733"/>
          <cell r="J2733" t="str">
            <v>[TIMES_SE] Paper mill, graphical - condebelt</v>
          </cell>
          <cell r="K2733"/>
          <cell r="L2733"/>
        </row>
        <row r="2734">
          <cell r="A2734" t="str">
            <v>[TIMES_SE] Paper mill, graphical - condebelt</v>
          </cell>
          <cell r="B2734" t="str">
            <v>process heat</v>
          </cell>
          <cell r="C2734" t="str">
            <v>from technosphere (energy_carrier)</v>
          </cell>
          <cell r="D2734"/>
          <cell r="E2734" t="str">
            <v>Energy</v>
          </cell>
          <cell r="F2734">
            <v>4.08</v>
          </cell>
          <cell r="G2734" t="str">
            <v>GJ</v>
          </cell>
          <cell r="H2734"/>
          <cell r="I2734"/>
          <cell r="J2734" t="str">
            <v>[TIMES_SE] Paper mill, graphical - condebelt</v>
          </cell>
          <cell r="K2734"/>
          <cell r="L2734"/>
        </row>
        <row r="2735">
          <cell r="A2735" t="str">
            <v>[TIMES_SE] Paper mill, graphical - condebelt</v>
          </cell>
          <cell r="B2735" t="str">
            <v>waste heat</v>
          </cell>
          <cell r="C2735" t="str">
            <v>to technosphere (by-product)</v>
          </cell>
          <cell r="D2735"/>
          <cell r="E2735" t="str">
            <v>Energy</v>
          </cell>
          <cell r="F2735">
            <v>2.31</v>
          </cell>
          <cell r="G2735" t="str">
            <v>GJ</v>
          </cell>
          <cell r="H2735"/>
          <cell r="I2735"/>
          <cell r="J2735" t="str">
            <v>[TIMES_SE] Paper mill, graphical - condebelt</v>
          </cell>
          <cell r="K2735"/>
          <cell r="L2735"/>
        </row>
        <row r="2736">
          <cell r="A2736" t="str">
            <v/>
          </cell>
        </row>
        <row r="2737">
          <cell r="A2737" t="str">
            <v>[TIMES_SE] Paper mill, graphical - impulse</v>
          </cell>
          <cell r="B2737" t="str">
            <v>paper, graphical</v>
          </cell>
          <cell r="C2737" t="str">
            <v>reference_product</v>
          </cell>
          <cell r="D2737"/>
          <cell r="E2737" t="str">
            <v>Mass</v>
          </cell>
          <cell r="F2737">
            <v>1</v>
          </cell>
          <cell r="G2737" t="str">
            <v>tonne</v>
          </cell>
          <cell r="H2737"/>
          <cell r="I2737"/>
          <cell r="J2737" t="str">
            <v>[TIMES_SE] Paper mill, graphical - impulse</v>
          </cell>
          <cell r="K2737"/>
          <cell r="L2737"/>
        </row>
        <row r="2738">
          <cell r="A2738" t="str">
            <v>[TIMES_SE] Paper mill, graphical - impulse</v>
          </cell>
          <cell r="B2738" t="str">
            <v>kraft pulp</v>
          </cell>
          <cell r="C2738" t="str">
            <v>from technosphere (product)</v>
          </cell>
          <cell r="D2738"/>
          <cell r="E2738" t="str">
            <v>Mass</v>
          </cell>
          <cell r="F2738">
            <v>0.7</v>
          </cell>
          <cell r="G2738" t="str">
            <v>tonne</v>
          </cell>
          <cell r="H2738"/>
          <cell r="I2738"/>
          <cell r="J2738" t="str">
            <v>[TIMES_SE] Paper mill, graphical - impulse</v>
          </cell>
          <cell r="K2738"/>
          <cell r="L2738"/>
        </row>
        <row r="2739">
          <cell r="A2739" t="str">
            <v>[TIMES_SE] Paper mill, graphical - impulse</v>
          </cell>
          <cell r="B2739" t="str">
            <v>filler material</v>
          </cell>
          <cell r="C2739" t="str">
            <v>from technosphere (product)</v>
          </cell>
          <cell r="D2739"/>
          <cell r="E2739" t="str">
            <v>Mass</v>
          </cell>
          <cell r="F2739">
            <v>0.3</v>
          </cell>
          <cell r="G2739" t="str">
            <v>tonne</v>
          </cell>
          <cell r="H2739"/>
          <cell r="I2739"/>
          <cell r="J2739" t="str">
            <v>[TIMES_SE] Paper mill, graphical - impulse</v>
          </cell>
          <cell r="K2739"/>
          <cell r="L2739"/>
        </row>
        <row r="2740">
          <cell r="A2740" t="str">
            <v>[TIMES_SE] Paper mill, graphical - impulse</v>
          </cell>
          <cell r="B2740" t="str">
            <v>LPG</v>
          </cell>
          <cell r="C2740" t="str">
            <v>from technosphere (energy_carrier)</v>
          </cell>
          <cell r="D2740"/>
          <cell r="E2740" t="str">
            <v>Energy</v>
          </cell>
          <cell r="F2740">
            <v>0.23</v>
          </cell>
          <cell r="G2740" t="str">
            <v>GJ</v>
          </cell>
          <cell r="H2740"/>
          <cell r="I2740"/>
          <cell r="J2740" t="str">
            <v>[TIMES_SE] Paper mill, graphical - impulse</v>
          </cell>
          <cell r="K2740"/>
          <cell r="L2740"/>
        </row>
        <row r="2741">
          <cell r="A2741" t="str">
            <v>[TIMES_SE] Paper mill, graphical - impulse</v>
          </cell>
          <cell r="B2741" t="str">
            <v>natural gas</v>
          </cell>
          <cell r="C2741" t="str">
            <v>from technosphere (energy_carrier)</v>
          </cell>
          <cell r="D2741"/>
          <cell r="E2741" t="str">
            <v>Energy</v>
          </cell>
          <cell r="F2741"/>
          <cell r="G2741" t="str">
            <v>GJ</v>
          </cell>
          <cell r="H2741"/>
          <cell r="I2741"/>
          <cell r="J2741" t="str">
            <v>[TIMES_SE] Paper mill, graphical - impulse</v>
          </cell>
          <cell r="K2741"/>
          <cell r="L2741"/>
        </row>
        <row r="2742">
          <cell r="A2742" t="str">
            <v>[TIMES_SE] Paper mill, graphical - impulse</v>
          </cell>
          <cell r="B2742" t="str">
            <v>electricity</v>
          </cell>
          <cell r="C2742" t="str">
            <v>from technosphere (energy_carrier)</v>
          </cell>
          <cell r="D2742"/>
          <cell r="E2742" t="str">
            <v>Energy</v>
          </cell>
          <cell r="F2742">
            <v>2.38</v>
          </cell>
          <cell r="G2742" t="str">
            <v>GJ</v>
          </cell>
          <cell r="H2742"/>
          <cell r="I2742"/>
          <cell r="J2742" t="str">
            <v>[TIMES_SE] Paper mill, graphical - impulse</v>
          </cell>
          <cell r="K2742"/>
          <cell r="L2742"/>
        </row>
        <row r="2743">
          <cell r="A2743" t="str">
            <v>[TIMES_SE] Paper mill, graphical - impulse</v>
          </cell>
          <cell r="B2743" t="str">
            <v>process heat</v>
          </cell>
          <cell r="C2743" t="str">
            <v>from technosphere (energy_carrier)</v>
          </cell>
          <cell r="D2743"/>
          <cell r="E2743" t="str">
            <v>Energy</v>
          </cell>
          <cell r="F2743">
            <v>1.68</v>
          </cell>
          <cell r="G2743" t="str">
            <v>GJ</v>
          </cell>
          <cell r="H2743"/>
          <cell r="I2743"/>
          <cell r="J2743" t="str">
            <v>[TIMES_SE] Paper mill, graphical - impulse</v>
          </cell>
          <cell r="K2743"/>
          <cell r="L2743"/>
        </row>
        <row r="2744">
          <cell r="A2744" t="str">
            <v>[TIMES_SE] Paper mill, graphical - impulse</v>
          </cell>
          <cell r="B2744" t="str">
            <v>waste heat</v>
          </cell>
          <cell r="C2744" t="str">
            <v>to technosphere (by-product)</v>
          </cell>
          <cell r="D2744"/>
          <cell r="E2744" t="str">
            <v>Energy</v>
          </cell>
          <cell r="F2744">
            <v>0</v>
          </cell>
          <cell r="G2744" t="str">
            <v>GJ</v>
          </cell>
          <cell r="H2744"/>
          <cell r="I2744"/>
          <cell r="J2744" t="str">
            <v>[TIMES_SE] Paper mill, graphical - impulse</v>
          </cell>
          <cell r="K2744"/>
          <cell r="L2744"/>
        </row>
        <row r="2745">
          <cell r="A2745" t="str">
            <v/>
          </cell>
        </row>
        <row r="2746">
          <cell r="A2746" t="str">
            <v>[TIMES_SE] Paper mill, graphical - air impingement</v>
          </cell>
          <cell r="B2746" t="str">
            <v>paper, graphical</v>
          </cell>
          <cell r="C2746" t="str">
            <v>reference_product</v>
          </cell>
          <cell r="D2746"/>
          <cell r="E2746" t="str">
            <v>Mass</v>
          </cell>
          <cell r="F2746">
            <v>1</v>
          </cell>
          <cell r="G2746" t="str">
            <v>tonne</v>
          </cell>
          <cell r="H2746"/>
          <cell r="I2746"/>
          <cell r="J2746" t="str">
            <v>[TIMES_SE] Paper mill, graphical - air impingement</v>
          </cell>
          <cell r="K2746"/>
          <cell r="L2746"/>
        </row>
        <row r="2747">
          <cell r="A2747" t="str">
            <v>[TIMES_SE] Paper mill, graphical - air impingement</v>
          </cell>
          <cell r="B2747" t="str">
            <v>kraft pulp</v>
          </cell>
          <cell r="C2747" t="str">
            <v>from technosphere (product)</v>
          </cell>
          <cell r="D2747"/>
          <cell r="E2747" t="str">
            <v>Mass</v>
          </cell>
          <cell r="F2747">
            <v>0.7</v>
          </cell>
          <cell r="G2747" t="str">
            <v>tonne</v>
          </cell>
          <cell r="H2747"/>
          <cell r="I2747"/>
          <cell r="J2747" t="str">
            <v>[TIMES_SE] Paper mill, graphical - air impingement</v>
          </cell>
          <cell r="K2747"/>
          <cell r="L2747"/>
        </row>
        <row r="2748">
          <cell r="A2748" t="str">
            <v>[TIMES_SE] Paper mill, graphical - air impingement</v>
          </cell>
          <cell r="B2748" t="str">
            <v>filler material</v>
          </cell>
          <cell r="C2748" t="str">
            <v>from technosphere (product)</v>
          </cell>
          <cell r="D2748"/>
          <cell r="E2748" t="str">
            <v>Mass</v>
          </cell>
          <cell r="F2748">
            <v>0.3</v>
          </cell>
          <cell r="G2748" t="str">
            <v>tonne</v>
          </cell>
          <cell r="H2748"/>
          <cell r="I2748"/>
          <cell r="J2748" t="str">
            <v>[TIMES_SE] Paper mill, graphical - air impingement</v>
          </cell>
          <cell r="K2748"/>
          <cell r="L2748"/>
        </row>
        <row r="2749">
          <cell r="A2749" t="str">
            <v>[TIMES_SE] Paper mill, graphical - air impingement</v>
          </cell>
          <cell r="B2749" t="str">
            <v>LPG</v>
          </cell>
          <cell r="C2749" t="str">
            <v>from technosphere (energy_carrier)</v>
          </cell>
          <cell r="D2749"/>
          <cell r="E2749" t="str">
            <v>Energy</v>
          </cell>
          <cell r="F2749">
            <v>1.994</v>
          </cell>
          <cell r="G2749" t="str">
            <v>GJ</v>
          </cell>
          <cell r="H2749"/>
          <cell r="I2749"/>
          <cell r="J2749" t="str">
            <v>[TIMES_SE] Paper mill, graphical - air impingement</v>
          </cell>
          <cell r="K2749"/>
          <cell r="L2749"/>
        </row>
        <row r="2750">
          <cell r="A2750" t="str">
            <v>[TIMES_SE] Paper mill, graphical - air impingement</v>
          </cell>
          <cell r="B2750" t="str">
            <v>natural gas</v>
          </cell>
          <cell r="C2750" t="str">
            <v>from technosphere (energy_carrier)</v>
          </cell>
          <cell r="D2750"/>
          <cell r="E2750" t="str">
            <v>Energy</v>
          </cell>
          <cell r="F2750"/>
          <cell r="G2750" t="str">
            <v>GJ</v>
          </cell>
          <cell r="H2750"/>
          <cell r="I2750"/>
          <cell r="J2750" t="str">
            <v>[TIMES_SE] Paper mill, graphical - air impingement</v>
          </cell>
          <cell r="K2750"/>
          <cell r="L2750"/>
        </row>
        <row r="2751">
          <cell r="A2751" t="str">
            <v>[TIMES_SE] Paper mill, graphical - air impingement</v>
          </cell>
          <cell r="B2751" t="str">
            <v>electricity</v>
          </cell>
          <cell r="C2751" t="str">
            <v>from technosphere (energy_carrier)</v>
          </cell>
          <cell r="D2751"/>
          <cell r="E2751" t="str">
            <v>Energy</v>
          </cell>
          <cell r="F2751">
            <v>2.27</v>
          </cell>
          <cell r="G2751" t="str">
            <v>GJ</v>
          </cell>
          <cell r="H2751"/>
          <cell r="I2751"/>
          <cell r="J2751" t="str">
            <v>[TIMES_SE] Paper mill, graphical - air impingement</v>
          </cell>
          <cell r="K2751"/>
          <cell r="L2751"/>
        </row>
        <row r="2752">
          <cell r="A2752" t="str">
            <v>[TIMES_SE] Paper mill, graphical - air impingement</v>
          </cell>
          <cell r="B2752" t="str">
            <v>process heat</v>
          </cell>
          <cell r="C2752" t="str">
            <v>from technosphere (energy_carrier)</v>
          </cell>
          <cell r="D2752"/>
          <cell r="E2752" t="str">
            <v>Energy</v>
          </cell>
          <cell r="F2752">
            <v>2.95</v>
          </cell>
          <cell r="G2752" t="str">
            <v>GJ</v>
          </cell>
          <cell r="H2752"/>
          <cell r="I2752"/>
          <cell r="J2752" t="str">
            <v>[TIMES_SE] Paper mill, graphical - air impingement</v>
          </cell>
          <cell r="K2752"/>
          <cell r="L2752"/>
        </row>
        <row r="2753">
          <cell r="A2753" t="str">
            <v>[TIMES_SE] Paper mill, graphical - air impingement</v>
          </cell>
          <cell r="B2753" t="str">
            <v>waste heat</v>
          </cell>
          <cell r="C2753" t="str">
            <v>to technosphere (by-product)</v>
          </cell>
          <cell r="D2753"/>
          <cell r="E2753" t="str">
            <v>Energy</v>
          </cell>
          <cell r="F2753">
            <v>1.78</v>
          </cell>
          <cell r="G2753" t="str">
            <v>GJ</v>
          </cell>
          <cell r="H2753"/>
          <cell r="I2753"/>
          <cell r="J2753" t="str">
            <v>[TIMES_SE] Paper mill, graphical - air impingement</v>
          </cell>
          <cell r="K2753"/>
          <cell r="L2753"/>
        </row>
        <row r="2754">
          <cell r="A2754" t="str">
            <v/>
          </cell>
        </row>
        <row r="2755">
          <cell r="A2755" t="str">
            <v>[TIMES_SE] Paper mill, graphical - airless</v>
          </cell>
          <cell r="B2755" t="str">
            <v>paper, graphical</v>
          </cell>
          <cell r="C2755" t="str">
            <v>reference_product</v>
          </cell>
          <cell r="D2755"/>
          <cell r="E2755" t="str">
            <v>Mass</v>
          </cell>
          <cell r="F2755">
            <v>1</v>
          </cell>
          <cell r="G2755" t="str">
            <v>tonne</v>
          </cell>
          <cell r="H2755"/>
          <cell r="I2755"/>
          <cell r="J2755" t="str">
            <v>[TIMES_SE] Paper mill, graphical - airless</v>
          </cell>
          <cell r="K2755"/>
          <cell r="L2755"/>
        </row>
        <row r="2756">
          <cell r="A2756" t="str">
            <v>[TIMES_SE] Paper mill, graphical - airless</v>
          </cell>
          <cell r="B2756" t="str">
            <v>kraft pulp</v>
          </cell>
          <cell r="C2756" t="str">
            <v>from technosphere (product)</v>
          </cell>
          <cell r="D2756"/>
          <cell r="E2756" t="str">
            <v>Mass</v>
          </cell>
          <cell r="F2756">
            <v>0.7</v>
          </cell>
          <cell r="G2756" t="str">
            <v>tonne</v>
          </cell>
          <cell r="H2756"/>
          <cell r="I2756"/>
          <cell r="J2756" t="str">
            <v>[TIMES_SE] Paper mill, graphical - airless</v>
          </cell>
          <cell r="K2756"/>
          <cell r="L2756"/>
        </row>
        <row r="2757">
          <cell r="A2757" t="str">
            <v>[TIMES_SE] Paper mill, graphical - airless</v>
          </cell>
          <cell r="B2757" t="str">
            <v>filler material</v>
          </cell>
          <cell r="C2757" t="str">
            <v>from technosphere (product)</v>
          </cell>
          <cell r="D2757"/>
          <cell r="E2757" t="str">
            <v>Mass</v>
          </cell>
          <cell r="F2757">
            <v>0.3</v>
          </cell>
          <cell r="G2757" t="str">
            <v>tonne</v>
          </cell>
          <cell r="H2757"/>
          <cell r="I2757"/>
          <cell r="J2757" t="str">
            <v>[TIMES_SE] Paper mill, graphical - airless</v>
          </cell>
          <cell r="K2757"/>
          <cell r="L2757"/>
        </row>
        <row r="2758">
          <cell r="A2758" t="str">
            <v>[TIMES_SE] Paper mill, graphical - airless</v>
          </cell>
          <cell r="B2758" t="str">
            <v>LPG</v>
          </cell>
          <cell r="C2758" t="str">
            <v>from technosphere (energy_carrier)</v>
          </cell>
          <cell r="D2758"/>
          <cell r="E2758" t="str">
            <v>Energy</v>
          </cell>
          <cell r="F2758">
            <v>0.23</v>
          </cell>
          <cell r="G2758" t="str">
            <v>GJ</v>
          </cell>
          <cell r="H2758"/>
          <cell r="I2758"/>
          <cell r="J2758" t="str">
            <v>[TIMES_SE] Paper mill, graphical - airless</v>
          </cell>
          <cell r="K2758"/>
          <cell r="L2758"/>
        </row>
        <row r="2759">
          <cell r="A2759" t="str">
            <v>[TIMES_SE] Paper mill, graphical - airless</v>
          </cell>
          <cell r="B2759" t="str">
            <v>natural gas</v>
          </cell>
          <cell r="C2759" t="str">
            <v>from technosphere (energy_carrier)</v>
          </cell>
          <cell r="D2759"/>
          <cell r="E2759" t="str">
            <v>Energy</v>
          </cell>
          <cell r="F2759"/>
          <cell r="G2759" t="str">
            <v>GJ</v>
          </cell>
          <cell r="H2759"/>
          <cell r="I2759"/>
          <cell r="J2759" t="str">
            <v>[TIMES_SE] Paper mill, graphical - airless</v>
          </cell>
          <cell r="K2759"/>
          <cell r="L2759"/>
        </row>
        <row r="2760">
          <cell r="A2760" t="str">
            <v>[TIMES_SE] Paper mill, graphical - airless</v>
          </cell>
          <cell r="B2760" t="str">
            <v>electricity</v>
          </cell>
          <cell r="C2760" t="str">
            <v>from technosphere (energy_carrier)</v>
          </cell>
          <cell r="D2760"/>
          <cell r="E2760" t="str">
            <v>Energy</v>
          </cell>
          <cell r="F2760">
            <v>2.59</v>
          </cell>
          <cell r="G2760" t="str">
            <v>GJ</v>
          </cell>
          <cell r="H2760"/>
          <cell r="I2760"/>
          <cell r="J2760" t="str">
            <v>[TIMES_SE] Paper mill, graphical - airless</v>
          </cell>
          <cell r="K2760"/>
          <cell r="L2760"/>
        </row>
        <row r="2761">
          <cell r="A2761" t="str">
            <v>[TIMES_SE] Paper mill, graphical - airless</v>
          </cell>
          <cell r="B2761" t="str">
            <v>process heat</v>
          </cell>
          <cell r="C2761" t="str">
            <v>from technosphere (energy_carrier)</v>
          </cell>
          <cell r="D2761"/>
          <cell r="E2761" t="str">
            <v>Energy</v>
          </cell>
          <cell r="F2761">
            <v>0.96</v>
          </cell>
          <cell r="G2761" t="str">
            <v>GJ</v>
          </cell>
          <cell r="H2761"/>
          <cell r="I2761"/>
          <cell r="J2761" t="str">
            <v>[TIMES_SE] Paper mill, graphical - airless</v>
          </cell>
          <cell r="K2761"/>
          <cell r="L2761"/>
        </row>
        <row r="2762">
          <cell r="A2762" t="str">
            <v>[TIMES_SE] Paper mill, graphical - airless</v>
          </cell>
          <cell r="B2762" t="str">
            <v>waste heat</v>
          </cell>
          <cell r="C2762" t="str">
            <v>to technosphere (by-product)</v>
          </cell>
          <cell r="D2762"/>
          <cell r="E2762" t="str">
            <v>Energy</v>
          </cell>
          <cell r="F2762">
            <v>0</v>
          </cell>
          <cell r="G2762" t="str">
            <v>GJ</v>
          </cell>
          <cell r="H2762"/>
          <cell r="I2762"/>
          <cell r="J2762" t="str">
            <v>[TIMES_SE] Paper mill, graphical - airless</v>
          </cell>
          <cell r="K2762"/>
          <cell r="L2762"/>
        </row>
        <row r="2763">
          <cell r="A2763" t="str">
            <v/>
          </cell>
        </row>
        <row r="2764">
          <cell r="A2764" t="str">
            <v>[TIMES_SE] Paper mill, soft - conventional</v>
          </cell>
          <cell r="B2764" t="str">
            <v>paper, soft</v>
          </cell>
          <cell r="C2764" t="str">
            <v>reference_product</v>
          </cell>
          <cell r="D2764"/>
          <cell r="E2764" t="str">
            <v>Mass</v>
          </cell>
          <cell r="F2764">
            <v>1</v>
          </cell>
          <cell r="G2764" t="str">
            <v>tonne</v>
          </cell>
          <cell r="H2764"/>
          <cell r="I2764"/>
          <cell r="J2764" t="str">
            <v>[TIMES_SE] Paper mill, soft - conventional</v>
          </cell>
          <cell r="K2764"/>
          <cell r="L2764"/>
        </row>
        <row r="2765">
          <cell r="A2765" t="str">
            <v>[TIMES_SE] Paper mill, soft - conventional</v>
          </cell>
          <cell r="B2765" t="str">
            <v>kraft pulp</v>
          </cell>
          <cell r="C2765" t="str">
            <v>from technosphere (product)</v>
          </cell>
          <cell r="D2765"/>
          <cell r="E2765" t="str">
            <v>Mass</v>
          </cell>
          <cell r="F2765">
            <v>0.3</v>
          </cell>
          <cell r="G2765" t="str">
            <v>tonne</v>
          </cell>
          <cell r="H2765"/>
          <cell r="I2765"/>
          <cell r="J2765" t="str">
            <v>[TIMES_SE] Paper mill, soft - conventional</v>
          </cell>
          <cell r="K2765"/>
          <cell r="L2765"/>
        </row>
        <row r="2766">
          <cell r="A2766" t="str">
            <v>[TIMES_SE] Paper mill, soft - conventional</v>
          </cell>
          <cell r="B2766" t="str">
            <v>recycled pulp</v>
          </cell>
          <cell r="C2766" t="str">
            <v>from technosphere (product)</v>
          </cell>
          <cell r="D2766"/>
          <cell r="E2766" t="str">
            <v>Mass</v>
          </cell>
          <cell r="F2766">
            <v>0.7</v>
          </cell>
          <cell r="G2766" t="str">
            <v>tonne</v>
          </cell>
          <cell r="H2766"/>
          <cell r="I2766"/>
          <cell r="J2766" t="str">
            <v>[TIMES_SE] Paper mill, soft - conventional</v>
          </cell>
          <cell r="K2766"/>
          <cell r="L2766"/>
        </row>
        <row r="2767">
          <cell r="A2767" t="str">
            <v>[TIMES_SE] Paper mill, soft - conventional</v>
          </cell>
          <cell r="B2767" t="str">
            <v>LPG</v>
          </cell>
          <cell r="C2767" t="str">
            <v>from technosphere (energy_carrier)</v>
          </cell>
          <cell r="D2767"/>
          <cell r="E2767" t="str">
            <v>Energy</v>
          </cell>
          <cell r="F2767">
            <v>2.56</v>
          </cell>
          <cell r="G2767" t="str">
            <v>GJ</v>
          </cell>
          <cell r="H2767"/>
          <cell r="I2767"/>
          <cell r="J2767" t="str">
            <v>[TIMES_SE] Paper mill, soft - conventional</v>
          </cell>
          <cell r="K2767"/>
          <cell r="L2767"/>
        </row>
        <row r="2768">
          <cell r="A2768" t="str">
            <v>[TIMES_SE] Paper mill, soft - conventional</v>
          </cell>
          <cell r="B2768" t="str">
            <v>natural gas</v>
          </cell>
          <cell r="C2768" t="str">
            <v>from technosphere (energy_carrier)</v>
          </cell>
          <cell r="D2768"/>
          <cell r="E2768" t="str">
            <v>Energy</v>
          </cell>
          <cell r="F2768"/>
          <cell r="G2768" t="str">
            <v>GJ</v>
          </cell>
          <cell r="H2768"/>
          <cell r="I2768"/>
          <cell r="J2768" t="str">
            <v>[TIMES_SE] Paper mill, soft - conventional</v>
          </cell>
          <cell r="K2768"/>
          <cell r="L2768"/>
        </row>
        <row r="2769">
          <cell r="A2769" t="str">
            <v>[TIMES_SE] Paper mill, soft - conventional</v>
          </cell>
          <cell r="B2769" t="str">
            <v>electricity</v>
          </cell>
          <cell r="C2769" t="str">
            <v>from technosphere (energy_carrier)</v>
          </cell>
          <cell r="D2769"/>
          <cell r="E2769" t="str">
            <v>Energy</v>
          </cell>
          <cell r="F2769">
            <v>3.37</v>
          </cell>
          <cell r="G2769" t="str">
            <v>GJ</v>
          </cell>
          <cell r="H2769"/>
          <cell r="I2769"/>
          <cell r="J2769" t="str">
            <v>[TIMES_SE] Paper mill, soft - conventional</v>
          </cell>
          <cell r="K2769"/>
          <cell r="L2769"/>
        </row>
        <row r="2770">
          <cell r="A2770" t="str">
            <v>[TIMES_SE] Paper mill, soft - conventional</v>
          </cell>
          <cell r="B2770" t="str">
            <v>process heat</v>
          </cell>
          <cell r="C2770" t="str">
            <v>from technosphere (energy_carrier)</v>
          </cell>
          <cell r="D2770"/>
          <cell r="E2770" t="str">
            <v>Energy</v>
          </cell>
          <cell r="F2770">
            <v>4</v>
          </cell>
          <cell r="G2770" t="str">
            <v>GJ</v>
          </cell>
          <cell r="H2770"/>
          <cell r="I2770"/>
          <cell r="J2770" t="str">
            <v>[TIMES_SE] Paper mill, soft - conventional</v>
          </cell>
          <cell r="K2770"/>
          <cell r="L2770"/>
        </row>
        <row r="2771">
          <cell r="A2771" t="str">
            <v>[TIMES_SE] Paper mill, soft - conventional</v>
          </cell>
          <cell r="B2771" t="str">
            <v>waste heat</v>
          </cell>
          <cell r="C2771" t="str">
            <v>to technosphere (by-product)</v>
          </cell>
          <cell r="D2771"/>
          <cell r="E2771" t="str">
            <v>Energy</v>
          </cell>
          <cell r="F2771">
            <v>1.48</v>
          </cell>
          <cell r="G2771" t="str">
            <v>GJ</v>
          </cell>
          <cell r="H2771"/>
          <cell r="I2771"/>
          <cell r="J2771" t="str">
            <v>[TIMES_SE] Paper mill, soft - conventional</v>
          </cell>
          <cell r="K2771"/>
          <cell r="L2771"/>
        </row>
        <row r="2772">
          <cell r="A2772" t="str">
            <v/>
          </cell>
        </row>
        <row r="2773">
          <cell r="A2773" t="str">
            <v>[TIMES_SE] Paper mill, soft - air impingement</v>
          </cell>
          <cell r="B2773" t="str">
            <v>paper, graphical</v>
          </cell>
          <cell r="C2773" t="str">
            <v>reference_product</v>
          </cell>
          <cell r="D2773"/>
          <cell r="E2773" t="str">
            <v>Mass</v>
          </cell>
          <cell r="F2773">
            <v>1</v>
          </cell>
          <cell r="G2773" t="str">
            <v>tonne</v>
          </cell>
          <cell r="H2773"/>
          <cell r="I2773"/>
          <cell r="J2773" t="str">
            <v>[TIMES_SE] Paper mill, soft - air impingement</v>
          </cell>
          <cell r="K2773"/>
          <cell r="L2773"/>
        </row>
        <row r="2774">
          <cell r="A2774" t="str">
            <v>[TIMES_SE] Paper mill, soft - air impingement</v>
          </cell>
          <cell r="B2774" t="str">
            <v>kraft pulp</v>
          </cell>
          <cell r="C2774" t="str">
            <v>from technosphere (product)</v>
          </cell>
          <cell r="D2774"/>
          <cell r="E2774" t="str">
            <v>Mass</v>
          </cell>
          <cell r="F2774">
            <v>0.3</v>
          </cell>
          <cell r="G2774" t="str">
            <v>tonne</v>
          </cell>
          <cell r="H2774"/>
          <cell r="I2774"/>
          <cell r="J2774" t="str">
            <v>[TIMES_SE] Paper mill, soft - air impingement</v>
          </cell>
          <cell r="K2774"/>
          <cell r="L2774"/>
        </row>
        <row r="2775">
          <cell r="A2775" t="str">
            <v>[TIMES_SE] Paper mill, soft - air impingement</v>
          </cell>
          <cell r="B2775" t="str">
            <v>recycled pulp</v>
          </cell>
          <cell r="C2775" t="str">
            <v>from technosphere (product)</v>
          </cell>
          <cell r="D2775"/>
          <cell r="E2775" t="str">
            <v>Mass</v>
          </cell>
          <cell r="F2775">
            <v>0.7</v>
          </cell>
          <cell r="G2775" t="str">
            <v>tonne</v>
          </cell>
          <cell r="H2775"/>
          <cell r="I2775"/>
          <cell r="J2775" t="str">
            <v>[TIMES_SE] Paper mill, soft - air impingement</v>
          </cell>
          <cell r="K2775"/>
          <cell r="L2775"/>
        </row>
        <row r="2776">
          <cell r="A2776" t="str">
            <v>[TIMES_SE] Paper mill, soft - air impingement</v>
          </cell>
          <cell r="B2776" t="str">
            <v>LPG</v>
          </cell>
          <cell r="C2776" t="str">
            <v>from technosphere (energy_carrier)</v>
          </cell>
          <cell r="D2776"/>
          <cell r="E2776" t="str">
            <v>Energy</v>
          </cell>
          <cell r="F2776">
            <v>4.2220000000000004</v>
          </cell>
          <cell r="G2776" t="str">
            <v>GJ</v>
          </cell>
          <cell r="H2776"/>
          <cell r="I2776"/>
          <cell r="J2776" t="str">
            <v>[TIMES_SE] Paper mill, soft - air impingement</v>
          </cell>
          <cell r="K2776"/>
          <cell r="L2776"/>
        </row>
        <row r="2777">
          <cell r="A2777" t="str">
            <v>[TIMES_SE] Paper mill, soft - air impingement</v>
          </cell>
          <cell r="B2777" t="str">
            <v>natural gas</v>
          </cell>
          <cell r="C2777" t="str">
            <v>from technosphere (energy_carrier)</v>
          </cell>
          <cell r="D2777"/>
          <cell r="E2777" t="str">
            <v>Energy</v>
          </cell>
          <cell r="F2777"/>
          <cell r="G2777" t="str">
            <v>GJ</v>
          </cell>
          <cell r="H2777"/>
          <cell r="I2777"/>
          <cell r="J2777" t="str">
            <v>[TIMES_SE] Paper mill, soft - air impingement</v>
          </cell>
          <cell r="K2777"/>
          <cell r="L2777"/>
        </row>
        <row r="2778">
          <cell r="A2778" t="str">
            <v>[TIMES_SE] Paper mill, soft - air impingement</v>
          </cell>
          <cell r="B2778" t="str">
            <v>electricity</v>
          </cell>
          <cell r="C2778" t="str">
            <v>from technosphere (energy_carrier)</v>
          </cell>
          <cell r="D2778"/>
          <cell r="E2778" t="str">
            <v>Energy</v>
          </cell>
          <cell r="F2778">
            <v>3.54</v>
          </cell>
          <cell r="G2778" t="str">
            <v>GJ</v>
          </cell>
          <cell r="H2778"/>
          <cell r="I2778"/>
          <cell r="J2778" t="str">
            <v>[TIMES_SE] Paper mill, soft - air impingement</v>
          </cell>
          <cell r="K2778"/>
          <cell r="L2778"/>
        </row>
        <row r="2779">
          <cell r="A2779" t="str">
            <v>[TIMES_SE] Paper mill, soft - air impingement</v>
          </cell>
          <cell r="B2779" t="str">
            <v>process heat</v>
          </cell>
          <cell r="C2779" t="str">
            <v>from technosphere (energy_carrier)</v>
          </cell>
          <cell r="D2779"/>
          <cell r="E2779" t="str">
            <v>Energy</v>
          </cell>
          <cell r="F2779">
            <v>2.46</v>
          </cell>
          <cell r="G2779" t="str">
            <v>GJ</v>
          </cell>
          <cell r="H2779"/>
          <cell r="I2779"/>
          <cell r="J2779" t="str">
            <v>[TIMES_SE] Paper mill, soft - air impingement</v>
          </cell>
          <cell r="K2779"/>
          <cell r="L2779"/>
        </row>
        <row r="2780">
          <cell r="A2780" t="str">
            <v>[TIMES_SE] Paper mill, soft - air impingement</v>
          </cell>
          <cell r="B2780" t="str">
            <v>waste heat</v>
          </cell>
          <cell r="C2780" t="str">
            <v>to technosphere (by-product)</v>
          </cell>
          <cell r="D2780"/>
          <cell r="E2780" t="str">
            <v>Energy</v>
          </cell>
          <cell r="F2780">
            <v>1.48</v>
          </cell>
          <cell r="G2780" t="str">
            <v>GJ</v>
          </cell>
          <cell r="H2780"/>
          <cell r="I2780"/>
          <cell r="J2780" t="str">
            <v>[TIMES_SE] Paper mill, soft - air impingement</v>
          </cell>
          <cell r="K2780"/>
          <cell r="L2780"/>
        </row>
        <row r="2781">
          <cell r="A2781" t="str">
            <v/>
          </cell>
        </row>
        <row r="2782">
          <cell r="A2782" t="str">
            <v>[TIMES_SE] Paper mill, soft - steam impingement</v>
          </cell>
          <cell r="B2782" t="str">
            <v>paper, graphical</v>
          </cell>
          <cell r="C2782" t="str">
            <v>reference_product</v>
          </cell>
          <cell r="D2782"/>
          <cell r="E2782" t="str">
            <v>Mass</v>
          </cell>
          <cell r="F2782">
            <v>1</v>
          </cell>
          <cell r="G2782" t="str">
            <v>tonne</v>
          </cell>
          <cell r="H2782"/>
          <cell r="I2782"/>
          <cell r="J2782" t="str">
            <v>[TIMES_SE] Paper mill, soft - steam impingement</v>
          </cell>
          <cell r="K2782"/>
          <cell r="L2782"/>
        </row>
        <row r="2783">
          <cell r="A2783" t="str">
            <v>[TIMES_SE] Paper mill, soft - steam impingement</v>
          </cell>
          <cell r="B2783" t="str">
            <v>kraft pulp</v>
          </cell>
          <cell r="C2783" t="str">
            <v>from technosphere (product)</v>
          </cell>
          <cell r="D2783"/>
          <cell r="E2783" t="str">
            <v>Mass</v>
          </cell>
          <cell r="F2783">
            <v>0.3</v>
          </cell>
          <cell r="G2783" t="str">
            <v>tonne</v>
          </cell>
          <cell r="H2783"/>
          <cell r="I2783"/>
          <cell r="J2783" t="str">
            <v>[TIMES_SE] Paper mill, soft - steam impingement</v>
          </cell>
          <cell r="K2783"/>
          <cell r="L2783"/>
        </row>
        <row r="2784">
          <cell r="A2784" t="str">
            <v>[TIMES_SE] Paper mill, soft - steam impingement</v>
          </cell>
          <cell r="B2784" t="str">
            <v>recycled pulp</v>
          </cell>
          <cell r="C2784" t="str">
            <v>from technosphere (product)</v>
          </cell>
          <cell r="D2784"/>
          <cell r="E2784" t="str">
            <v>Mass</v>
          </cell>
          <cell r="F2784">
            <v>0.7</v>
          </cell>
          <cell r="G2784" t="str">
            <v>tonne</v>
          </cell>
          <cell r="H2784"/>
          <cell r="I2784"/>
          <cell r="J2784" t="str">
            <v>[TIMES_SE] Paper mill, soft - steam impingement</v>
          </cell>
          <cell r="K2784"/>
          <cell r="L2784"/>
        </row>
        <row r="2785">
          <cell r="A2785" t="str">
            <v>[TIMES_SE] Paper mill, soft - steam impingement</v>
          </cell>
          <cell r="B2785" t="str">
            <v>LPG</v>
          </cell>
          <cell r="C2785" t="str">
            <v>from technosphere (energy_carrier)</v>
          </cell>
          <cell r="D2785"/>
          <cell r="E2785" t="str">
            <v>Energy</v>
          </cell>
          <cell r="F2785">
            <v>2.56</v>
          </cell>
          <cell r="G2785" t="str">
            <v>GJ</v>
          </cell>
          <cell r="H2785"/>
          <cell r="I2785"/>
          <cell r="J2785" t="str">
            <v>[TIMES_SE] Paper mill, soft - steam impingement</v>
          </cell>
          <cell r="K2785"/>
          <cell r="L2785"/>
        </row>
        <row r="2786">
          <cell r="A2786" t="str">
            <v>[TIMES_SE] Paper mill, soft - steam impingement</v>
          </cell>
          <cell r="B2786" t="str">
            <v>natural gas</v>
          </cell>
          <cell r="C2786" t="str">
            <v>from technosphere (energy_carrier)</v>
          </cell>
          <cell r="D2786"/>
          <cell r="E2786" t="str">
            <v>Energy</v>
          </cell>
          <cell r="F2786"/>
          <cell r="G2786" t="str">
            <v>GJ</v>
          </cell>
          <cell r="H2786"/>
          <cell r="I2786"/>
          <cell r="J2786" t="str">
            <v>[TIMES_SE] Paper mill, soft - steam impingement</v>
          </cell>
          <cell r="K2786"/>
          <cell r="L2786"/>
        </row>
        <row r="2787">
          <cell r="A2787" t="str">
            <v>[TIMES_SE] Paper mill, soft - steam impingement</v>
          </cell>
          <cell r="B2787" t="str">
            <v>electricity</v>
          </cell>
          <cell r="C2787" t="str">
            <v>from technosphere (energy_carrier)</v>
          </cell>
          <cell r="D2787"/>
          <cell r="E2787" t="str">
            <v>Energy</v>
          </cell>
          <cell r="F2787">
            <v>3.03</v>
          </cell>
          <cell r="G2787" t="str">
            <v>GJ</v>
          </cell>
          <cell r="H2787"/>
          <cell r="I2787"/>
          <cell r="J2787" t="str">
            <v>[TIMES_SE] Paper mill, soft - steam impingement</v>
          </cell>
          <cell r="K2787"/>
          <cell r="L2787"/>
        </row>
        <row r="2788">
          <cell r="A2788" t="str">
            <v>[TIMES_SE] Paper mill, soft - steam impingement</v>
          </cell>
          <cell r="B2788" t="str">
            <v>process heat</v>
          </cell>
          <cell r="C2788" t="str">
            <v>from technosphere (energy_carrier)</v>
          </cell>
          <cell r="D2788"/>
          <cell r="E2788" t="str">
            <v>Energy</v>
          </cell>
          <cell r="F2788">
            <v>3.4</v>
          </cell>
          <cell r="G2788" t="str">
            <v>GJ</v>
          </cell>
          <cell r="H2788"/>
          <cell r="I2788"/>
          <cell r="J2788" t="str">
            <v>[TIMES_SE] Paper mill, soft - steam impingement</v>
          </cell>
          <cell r="K2788"/>
          <cell r="L2788"/>
        </row>
        <row r="2789">
          <cell r="A2789" t="str">
            <v>[TIMES_SE] Paper mill, soft - steam impingement</v>
          </cell>
          <cell r="B2789" t="str">
            <v>waste heat</v>
          </cell>
          <cell r="C2789" t="str">
            <v>to technosphere (by-product)</v>
          </cell>
          <cell r="D2789"/>
          <cell r="E2789" t="str">
            <v>Energy</v>
          </cell>
          <cell r="F2789">
            <v>1.48</v>
          </cell>
          <cell r="G2789" t="str">
            <v>GJ</v>
          </cell>
          <cell r="H2789"/>
          <cell r="I2789"/>
          <cell r="J2789" t="str">
            <v>[TIMES_SE] Paper mill, soft - steam impingement</v>
          </cell>
          <cell r="K2789"/>
          <cell r="L2789"/>
        </row>
        <row r="2791">
          <cell r="A2791" t="str">
            <v>[TIMES_SE] Cement clinker kiln</v>
          </cell>
          <cell r="B2791" t="str">
            <v>cement clinker</v>
          </cell>
          <cell r="C2791" t="str">
            <v>reference_product</v>
          </cell>
          <cell r="D2791" t="str">
            <v>252310</v>
          </cell>
          <cell r="E2791" t="str">
            <v>Mass</v>
          </cell>
          <cell r="F2791">
            <v>1</v>
          </cell>
          <cell r="G2791" t="str">
            <v>tonne</v>
          </cell>
          <cell r="H2791"/>
          <cell r="I2791" t="str">
            <v>none</v>
          </cell>
          <cell r="J2791" t="str">
            <v>[TIMES_SE] Cement clinker kiln</v>
          </cell>
          <cell r="K2791"/>
          <cell r="L2791"/>
        </row>
        <row r="2792">
          <cell r="A2792" t="str">
            <v>[TIMES_SE] Cement clinker kiln</v>
          </cell>
          <cell r="B2792" t="str">
            <v>limestone</v>
          </cell>
          <cell r="C2792" t="str">
            <v>from technosphere (product)</v>
          </cell>
          <cell r="D2792"/>
          <cell r="E2792" t="str">
            <v>Mass</v>
          </cell>
          <cell r="F2792">
            <v>1.2000000000000002</v>
          </cell>
          <cell r="G2792" t="str">
            <v>tonne</v>
          </cell>
          <cell r="H2792"/>
          <cell r="I2792" t="str">
            <v>13;0,8;none;none;none</v>
          </cell>
          <cell r="J2792" t="str">
            <v>[TIMES_SE] Cement clinker kiln</v>
          </cell>
          <cell r="K2792" t="str">
            <v>input is an average of 0,8 (minimum contribution) and 1,6 (total input)</v>
          </cell>
          <cell r="L2792"/>
        </row>
        <row r="2793">
          <cell r="A2793" t="str">
            <v>[TIMES_SE] Cement clinker kiln</v>
          </cell>
          <cell r="B2793" t="str">
            <v>cement additives</v>
          </cell>
          <cell r="C2793" t="str">
            <v>from technosphere (product)</v>
          </cell>
          <cell r="D2793"/>
          <cell r="E2793" t="str">
            <v>Mass</v>
          </cell>
          <cell r="F2793">
            <v>0.39999999999999991</v>
          </cell>
          <cell r="G2793" t="str">
            <v>tonne</v>
          </cell>
          <cell r="H2793"/>
          <cell r="I2793" t="str">
            <v>13;none;0,8;none;none</v>
          </cell>
          <cell r="J2793" t="str">
            <v>[TIMES_SE] Cement clinker kiln</v>
          </cell>
          <cell r="K2793"/>
          <cell r="L2793"/>
        </row>
        <row r="2794">
          <cell r="A2794" t="str">
            <v>[TIMES_SE] Cement clinker kiln</v>
          </cell>
          <cell r="B2794" t="str">
            <v>hard coal</v>
          </cell>
          <cell r="C2794" t="str">
            <v>from technosphere (energy_carrier)</v>
          </cell>
          <cell r="D2794"/>
          <cell r="E2794" t="str">
            <v>Energy</v>
          </cell>
          <cell r="F2794">
            <v>2.1320000000000001</v>
          </cell>
          <cell r="G2794" t="str">
            <v>GJ</v>
          </cell>
          <cell r="H2794"/>
          <cell r="I2794" t="str">
            <v>13;none;3,28;none;none</v>
          </cell>
          <cell r="J2794" t="str">
            <v>[TIMES_SE] Cement clinker kiln</v>
          </cell>
          <cell r="K2794" t="str">
            <v>The source qualitatively reports a fuel mix dominated by coal. The dominant share of coal is assumed to be 65%. A technology variant uses gas as input</v>
          </cell>
          <cell r="L2794"/>
        </row>
        <row r="2795">
          <cell r="A2795" t="str">
            <v>[TIMES_SE] Cement clinker kiln</v>
          </cell>
          <cell r="B2795" t="str">
            <v>industrial heat, high-temperature</v>
          </cell>
          <cell r="C2795" t="str">
            <v>from technosphere (energy_carrier)</v>
          </cell>
          <cell r="D2795"/>
          <cell r="E2795" t="str">
            <v>Energy</v>
          </cell>
          <cell r="F2795">
            <v>1.1479999999999997</v>
          </cell>
          <cell r="G2795" t="str">
            <v>GJ</v>
          </cell>
          <cell r="H2795"/>
          <cell r="I2795" t="str">
            <v>13;0;none;none;none</v>
          </cell>
          <cell r="J2795" t="str">
            <v>[TIMES_SE] Cement clinker kiln</v>
          </cell>
          <cell r="K2795" t="str">
            <v>Fuel mix that can include fuel oil, petroleum coke, recycled plastic and tyres, biomass and biofuels</v>
          </cell>
          <cell r="L2795"/>
        </row>
        <row r="2796">
          <cell r="A2796" t="str">
            <v>[TIMES_SE] Cement clinker kiln</v>
          </cell>
          <cell r="B2796" t="str">
            <v>electricity</v>
          </cell>
          <cell r="C2796" t="str">
            <v>from technosphere (energy_carrier)</v>
          </cell>
          <cell r="D2796"/>
          <cell r="E2796" t="str">
            <v>Energy</v>
          </cell>
          <cell r="F2796">
            <v>0.23</v>
          </cell>
          <cell r="G2796" t="str">
            <v>GJ</v>
          </cell>
          <cell r="H2796"/>
          <cell r="I2796" t="str">
            <v>none</v>
          </cell>
          <cell r="J2796" t="str">
            <v>[TIMES_SE] Cement clinker kiln</v>
          </cell>
          <cell r="K2796"/>
          <cell r="L2796"/>
        </row>
        <row r="2798">
          <cell r="A2798" t="str">
            <v>[TIMES_SE] Cement clinker kiln, PCC CCS</v>
          </cell>
          <cell r="B2798" t="str">
            <v>cement clinker</v>
          </cell>
          <cell r="C2798" t="str">
            <v>reference_product</v>
          </cell>
          <cell r="D2798" t="str">
            <v>252310</v>
          </cell>
          <cell r="E2798" t="str">
            <v>Mass</v>
          </cell>
          <cell r="F2798">
            <v>1</v>
          </cell>
          <cell r="G2798" t="str">
            <v>tonne</v>
          </cell>
          <cell r="H2798"/>
          <cell r="I2798" t="str">
            <v>none</v>
          </cell>
          <cell r="J2798" t="str">
            <v>[TIMES_SE] Cement clinker kiln, PCC CCS</v>
          </cell>
          <cell r="K2798"/>
          <cell r="L2798"/>
        </row>
        <row r="2799">
          <cell r="A2799" t="str">
            <v>[TIMES_SE] Cement clinker kiln, PCC CCS</v>
          </cell>
          <cell r="B2799" t="str">
            <v>limestone</v>
          </cell>
          <cell r="C2799" t="str">
            <v>from technosphere (product)</v>
          </cell>
          <cell r="D2799"/>
          <cell r="E2799" t="str">
            <v>Mass</v>
          </cell>
          <cell r="F2799">
            <v>1.2000000000000002</v>
          </cell>
          <cell r="G2799" t="str">
            <v>tonne</v>
          </cell>
          <cell r="H2799"/>
          <cell r="I2799" t="str">
            <v>13;0,8;none;none;none</v>
          </cell>
          <cell r="J2799" t="str">
            <v>[TIMES_SE] Cement clinker kiln, PCC CCS</v>
          </cell>
          <cell r="K2799" t="str">
            <v>input is an average of 0,8 (minimum contribution) and 1,6 (total input)</v>
          </cell>
          <cell r="L2799"/>
        </row>
        <row r="2800">
          <cell r="A2800" t="str">
            <v>[TIMES_SE] Cement clinker kiln, PCC CCS</v>
          </cell>
          <cell r="B2800" t="str">
            <v>cement additives</v>
          </cell>
          <cell r="C2800" t="str">
            <v>from technosphere (product)</v>
          </cell>
          <cell r="D2800"/>
          <cell r="E2800" t="str">
            <v>Mass</v>
          </cell>
          <cell r="F2800">
            <v>0.39999999999999991</v>
          </cell>
          <cell r="G2800" t="str">
            <v>tonne</v>
          </cell>
          <cell r="H2800"/>
          <cell r="I2800" t="str">
            <v>13;none;0,8;none;none</v>
          </cell>
          <cell r="J2800" t="str">
            <v>[TIMES_SE] Cement clinker kiln, PCC CCS</v>
          </cell>
          <cell r="K2800"/>
          <cell r="L2800"/>
        </row>
        <row r="2801">
          <cell r="A2801" t="str">
            <v>[TIMES_SE] Cement clinker kiln, PCC CCS</v>
          </cell>
          <cell r="B2801" t="str">
            <v>hard coal</v>
          </cell>
          <cell r="C2801" t="str">
            <v>from technosphere (energy_carrier)</v>
          </cell>
          <cell r="D2801"/>
          <cell r="E2801" t="str">
            <v>Energy</v>
          </cell>
          <cell r="F2801">
            <v>2.1320000000000001</v>
          </cell>
          <cell r="G2801" t="str">
            <v>GJ</v>
          </cell>
          <cell r="H2801"/>
          <cell r="I2801" t="str">
            <v>13;none;3,28;none;none</v>
          </cell>
          <cell r="J2801" t="str">
            <v>[TIMES_SE] Cement clinker kiln, PCC CCS</v>
          </cell>
          <cell r="K2801" t="str">
            <v>The source qualitatively reports a fuel mix dominated by coal. The dominant share of coal is assumed to be 65%. A technology variant uses gas as input</v>
          </cell>
          <cell r="L2801"/>
        </row>
        <row r="2802">
          <cell r="A2802" t="str">
            <v>[TIMES_SE] Cement clinker kiln, PCC CCS</v>
          </cell>
          <cell r="B2802" t="str">
            <v>industrial heat, high-temperature</v>
          </cell>
          <cell r="C2802" t="str">
            <v>from technosphere (energy_carrier)</v>
          </cell>
          <cell r="D2802"/>
          <cell r="E2802" t="str">
            <v>Energy</v>
          </cell>
          <cell r="F2802">
            <v>1.1479999999999997</v>
          </cell>
          <cell r="G2802" t="str">
            <v>GJ</v>
          </cell>
          <cell r="H2802"/>
          <cell r="I2802" t="str">
            <v>13;0;none;none;none</v>
          </cell>
          <cell r="J2802" t="str">
            <v>[TIMES_SE] Cement clinker kiln, PCC CCS</v>
          </cell>
          <cell r="K2802" t="str">
            <v>Fuel mix that can include fuel oil, petroleum coke, recycled plastic and tyres, biomass and biofuels</v>
          </cell>
          <cell r="L2802"/>
        </row>
        <row r="2803">
          <cell r="A2803" t="str">
            <v>[TIMES_SE] Cement clinker kiln, PCC CCS</v>
          </cell>
          <cell r="B2803" t="str">
            <v>steam</v>
          </cell>
          <cell r="C2803" t="str">
            <v>from technosphere (energy_carrier)</v>
          </cell>
          <cell r="D2803"/>
          <cell r="E2803" t="str">
            <v>Energy</v>
          </cell>
          <cell r="F2803">
            <v>2.77</v>
          </cell>
          <cell r="G2803" t="str">
            <v>GJ</v>
          </cell>
          <cell r="H2803"/>
          <cell r="I2803" t="str">
            <v>none</v>
          </cell>
          <cell r="J2803" t="str">
            <v>[TIMES_SE] Cement clinker kiln, PCC CCS</v>
          </cell>
          <cell r="K2803"/>
          <cell r="L2803"/>
        </row>
        <row r="2804">
          <cell r="A2804" t="str">
            <v>[TIMES_SE] Cement clinker kiln, PCC CCS</v>
          </cell>
          <cell r="B2804" t="str">
            <v>electricity</v>
          </cell>
          <cell r="C2804" t="str">
            <v>from technosphere (energy_carrier)</v>
          </cell>
          <cell r="D2804"/>
          <cell r="E2804" t="str">
            <v>Energy</v>
          </cell>
          <cell r="F2804">
            <v>0.65</v>
          </cell>
          <cell r="G2804" t="str">
            <v>GJ</v>
          </cell>
          <cell r="H2804"/>
          <cell r="I2804" t="str">
            <v>none</v>
          </cell>
          <cell r="J2804" t="str">
            <v>[TIMES_SE] Cement clinker kiln, PCC CCS</v>
          </cell>
          <cell r="K2804"/>
          <cell r="L2804"/>
        </row>
        <row r="2805">
          <cell r="A2805" t="str">
            <v>[TIMES_SE] Cement clinker kiln, PCC CCS</v>
          </cell>
          <cell r="B2805" t="str">
            <v>carbon dioxide</v>
          </cell>
          <cell r="C2805" t="str">
            <v>to environment (emission, combustion)</v>
          </cell>
          <cell r="E2805" t="str">
            <v>Mass</v>
          </cell>
          <cell r="F2805">
            <v>84.444444444444443</v>
          </cell>
          <cell r="G2805" t="str">
            <v>kg</v>
          </cell>
          <cell r="H2805" t="str">
            <v>t</v>
          </cell>
          <cell r="I2805" t="str">
            <v>none</v>
          </cell>
          <cell r="J2805" t="str">
            <v>[TIMES_SE] Cement clinker kiln, PCC CCS</v>
          </cell>
          <cell r="K2805" t="str">
            <v>capture efficiency 0,9</v>
          </cell>
          <cell r="L2805"/>
        </row>
        <row r="2806">
          <cell r="A2806" t="str">
            <v>[TIMES_SE] Cement clinker kiln, PCC CCS</v>
          </cell>
          <cell r="B2806" t="str">
            <v>carbon dioxide</v>
          </cell>
          <cell r="C2806" t="str">
            <v>to technosphere (by-product)</v>
          </cell>
          <cell r="E2806" t="str">
            <v>Mass</v>
          </cell>
          <cell r="F2806">
            <v>760</v>
          </cell>
          <cell r="G2806" t="str">
            <v>kg</v>
          </cell>
          <cell r="H2806" t="str">
            <v>t</v>
          </cell>
          <cell r="I2806" t="str">
            <v>none</v>
          </cell>
          <cell r="J2806" t="str">
            <v>[TIMES_SE] Cement clinker kiln, PCC CCS</v>
          </cell>
          <cell r="K2806" t="str">
            <v>CO2 capture 0.76 t/t clinker</v>
          </cell>
        </row>
        <row r="2808">
          <cell r="A2808" t="str">
            <v>[TIMES_SE] Cement clinker kiln, chilled NH3 CCS</v>
          </cell>
          <cell r="B2808" t="str">
            <v>cement clinker</v>
          </cell>
          <cell r="C2808" t="str">
            <v>reference_product</v>
          </cell>
          <cell r="D2808" t="str">
            <v>252310</v>
          </cell>
          <cell r="E2808" t="str">
            <v>Mass</v>
          </cell>
          <cell r="F2808">
            <v>1</v>
          </cell>
          <cell r="G2808" t="str">
            <v>tonne</v>
          </cell>
          <cell r="H2808"/>
          <cell r="I2808" t="str">
            <v>none</v>
          </cell>
          <cell r="J2808" t="str">
            <v>[TIMES_SE] Cement clinker kiln, chilled NH3 CCS</v>
          </cell>
          <cell r="K2808"/>
          <cell r="L2808"/>
        </row>
        <row r="2809">
          <cell r="A2809" t="str">
            <v>[TIMES_SE] Cement clinker kiln, chilled NH3 CCS</v>
          </cell>
          <cell r="B2809" t="str">
            <v>limestone</v>
          </cell>
          <cell r="C2809" t="str">
            <v>from technosphere (product)</v>
          </cell>
          <cell r="D2809"/>
          <cell r="E2809" t="str">
            <v>Mass</v>
          </cell>
          <cell r="F2809">
            <v>1.2000000000000002</v>
          </cell>
          <cell r="G2809" t="str">
            <v>tonne</v>
          </cell>
          <cell r="H2809"/>
          <cell r="I2809" t="str">
            <v>13;0,8;none;none;none</v>
          </cell>
          <cell r="J2809" t="str">
            <v>[TIMES_SE] Cement clinker kiln, chilled NH3 CCS</v>
          </cell>
          <cell r="K2809" t="str">
            <v>input is an average of 0,8 (minimum contribution) and 1,6 (total input)</v>
          </cell>
          <cell r="L2809"/>
        </row>
        <row r="2810">
          <cell r="A2810" t="str">
            <v>[TIMES_SE] Cement clinker kiln, chilled NH3 CCS</v>
          </cell>
          <cell r="B2810" t="str">
            <v>cement additives</v>
          </cell>
          <cell r="C2810" t="str">
            <v>from technosphere (product)</v>
          </cell>
          <cell r="D2810"/>
          <cell r="E2810" t="str">
            <v>Mass</v>
          </cell>
          <cell r="F2810">
            <v>0.39999999999999991</v>
          </cell>
          <cell r="G2810" t="str">
            <v>tonne</v>
          </cell>
          <cell r="H2810"/>
          <cell r="I2810" t="str">
            <v>13;none;0,8;none;none</v>
          </cell>
          <cell r="J2810" t="str">
            <v>[TIMES_SE] Cement clinker kiln, chilled NH3 CCS</v>
          </cell>
          <cell r="K2810"/>
          <cell r="L2810"/>
        </row>
        <row r="2811">
          <cell r="A2811" t="str">
            <v>[TIMES_SE] Cement clinker kiln, chilled NH3 CCS</v>
          </cell>
          <cell r="B2811" t="str">
            <v>hard coal</v>
          </cell>
          <cell r="C2811" t="str">
            <v>from technosphere (energy_carrier)</v>
          </cell>
          <cell r="D2811"/>
          <cell r="E2811" t="str">
            <v>Energy</v>
          </cell>
          <cell r="F2811">
            <v>2.1320000000000001</v>
          </cell>
          <cell r="G2811" t="str">
            <v>GJ</v>
          </cell>
          <cell r="H2811"/>
          <cell r="I2811" t="str">
            <v>13;none;3,28;none;none</v>
          </cell>
          <cell r="J2811" t="str">
            <v>[TIMES_SE] Cement clinker kiln, chilled NH3 CCS</v>
          </cell>
          <cell r="K2811" t="str">
            <v>The source qualitatively reports a fuel mix dominated by coal. The dominant share of coal is assumed to be 65%. A technology variant uses gas as input</v>
          </cell>
          <cell r="L2811"/>
        </row>
        <row r="2812">
          <cell r="A2812" t="str">
            <v>[TIMES_SE] Cement clinker kiln, chilled NH3 CCS</v>
          </cell>
          <cell r="B2812" t="str">
            <v>industrial heat, high-temperature</v>
          </cell>
          <cell r="C2812" t="str">
            <v>from technosphere (energy_carrier)</v>
          </cell>
          <cell r="D2812"/>
          <cell r="E2812" t="str">
            <v>Energy</v>
          </cell>
          <cell r="F2812">
            <v>1.1479999999999997</v>
          </cell>
          <cell r="G2812" t="str">
            <v>GJ</v>
          </cell>
          <cell r="H2812"/>
          <cell r="I2812" t="str">
            <v>13;0;none;none;none</v>
          </cell>
          <cell r="J2812" t="str">
            <v>[TIMES_SE] Cement clinker kiln, chilled NH3 CCS</v>
          </cell>
          <cell r="K2812" t="str">
            <v>Fuel mix that can include fuel oil, petroleum coke, recycled plastic and tyres, biomass and biofuels</v>
          </cell>
          <cell r="L2812"/>
        </row>
        <row r="2813">
          <cell r="A2813" t="str">
            <v>[TIMES_SE] Cement clinker kiln, chilled NH3 CCS</v>
          </cell>
          <cell r="B2813" t="str">
            <v>steam</v>
          </cell>
          <cell r="C2813" t="str">
            <v>from technosphere (energy_carrier)</v>
          </cell>
          <cell r="D2813"/>
          <cell r="E2813" t="str">
            <v>Energy</v>
          </cell>
          <cell r="F2813">
            <v>1.61</v>
          </cell>
          <cell r="G2813" t="str">
            <v>GJ</v>
          </cell>
          <cell r="H2813"/>
          <cell r="I2813" t="str">
            <v>none</v>
          </cell>
          <cell r="J2813" t="str">
            <v>[TIMES_SE] Cement clinker kiln, chilled NH3 CCS</v>
          </cell>
          <cell r="K2813"/>
          <cell r="L2813"/>
        </row>
        <row r="2814">
          <cell r="A2814" t="str">
            <v>[TIMES_SE] Cement clinker kiln, chilled NH3 CCS</v>
          </cell>
          <cell r="B2814" t="str">
            <v>electricity</v>
          </cell>
          <cell r="C2814" t="str">
            <v>from technosphere (energy_carrier)</v>
          </cell>
          <cell r="D2814"/>
          <cell r="E2814" t="str">
            <v>Energy</v>
          </cell>
          <cell r="F2814">
            <v>0.47</v>
          </cell>
          <cell r="G2814" t="str">
            <v>GJ</v>
          </cell>
          <cell r="H2814"/>
          <cell r="I2814" t="str">
            <v>none</v>
          </cell>
          <cell r="J2814" t="str">
            <v>[TIMES_SE] Cement clinker kiln, chilled NH3 CCS</v>
          </cell>
          <cell r="K2814"/>
          <cell r="L2814"/>
        </row>
        <row r="2815">
          <cell r="A2815" t="str">
            <v>[TIMES_SE] Cement clinker kiln, chilled NH3 CCS</v>
          </cell>
          <cell r="B2815" t="str">
            <v>carbon dioxide</v>
          </cell>
          <cell r="C2815" t="str">
            <v>to environment (emission, combustion)</v>
          </cell>
          <cell r="E2815" t="str">
            <v>Mass</v>
          </cell>
          <cell r="F2815">
            <v>84.666666666666671</v>
          </cell>
          <cell r="G2815" t="str">
            <v>kg</v>
          </cell>
          <cell r="H2815" t="str">
            <v>t</v>
          </cell>
          <cell r="I2815" t="str">
            <v>none</v>
          </cell>
          <cell r="J2815" t="str">
            <v>[TIMES_SE] Cement clinker kiln, chilled NH3 CCS</v>
          </cell>
          <cell r="K2815" t="str">
            <v>capture efficiency 0,9</v>
          </cell>
          <cell r="L2815"/>
        </row>
        <row r="2816">
          <cell r="A2816" t="str">
            <v>[TIMES_SE] Cement clinker kiln, chilled NH3 CCS</v>
          </cell>
          <cell r="B2816" t="str">
            <v>carbon dioxide</v>
          </cell>
          <cell r="C2816" t="str">
            <v>to technosphere (by-product)</v>
          </cell>
          <cell r="E2816" t="str">
            <v>Mass</v>
          </cell>
          <cell r="F2816">
            <v>762</v>
          </cell>
          <cell r="G2816" t="str">
            <v>kg</v>
          </cell>
          <cell r="H2816" t="str">
            <v>t</v>
          </cell>
          <cell r="I2816" t="str">
            <v>none</v>
          </cell>
          <cell r="J2816" t="str">
            <v>[TIMES_SE] Cement clinker kiln, chilled NH3 CCS</v>
          </cell>
          <cell r="K2816" t="str">
            <v>CO2 capture 0.762 t/t clinker</v>
          </cell>
        </row>
        <row r="2818">
          <cell r="A2818" t="str">
            <v>[TIMES_SE] Cement clinker kiln, membrane CCS</v>
          </cell>
          <cell r="B2818" t="str">
            <v>cement clinker</v>
          </cell>
          <cell r="C2818" t="str">
            <v>reference_product</v>
          </cell>
          <cell r="D2818" t="str">
            <v>252310</v>
          </cell>
          <cell r="E2818" t="str">
            <v>Mass</v>
          </cell>
          <cell r="F2818">
            <v>1</v>
          </cell>
          <cell r="G2818" t="str">
            <v>tonne</v>
          </cell>
          <cell r="H2818"/>
          <cell r="I2818" t="str">
            <v>none</v>
          </cell>
          <cell r="J2818" t="str">
            <v>[TIMES_SE] Cement clinker kiln, membrane CCS</v>
          </cell>
          <cell r="K2818"/>
          <cell r="L2818"/>
        </row>
        <row r="2819">
          <cell r="A2819" t="str">
            <v>[TIMES_SE] Cement clinker kiln, membrane CCS</v>
          </cell>
          <cell r="B2819" t="str">
            <v>limestone</v>
          </cell>
          <cell r="C2819" t="str">
            <v>from technosphere (product)</v>
          </cell>
          <cell r="D2819"/>
          <cell r="E2819" t="str">
            <v>Mass</v>
          </cell>
          <cell r="F2819">
            <v>1.2000000000000002</v>
          </cell>
          <cell r="G2819" t="str">
            <v>tonne</v>
          </cell>
          <cell r="H2819"/>
          <cell r="I2819" t="str">
            <v>13;0,8;none;none;none</v>
          </cell>
          <cell r="J2819" t="str">
            <v>[TIMES_SE] Cement clinker kiln, membrane CCS</v>
          </cell>
          <cell r="K2819" t="str">
            <v>input is an average of 0,8 (minimum contribution) and 1,6 (total input)</v>
          </cell>
          <cell r="L2819"/>
        </row>
        <row r="2820">
          <cell r="A2820" t="str">
            <v>[TIMES_SE] Cement clinker kiln, membrane CCS</v>
          </cell>
          <cell r="B2820" t="str">
            <v>cement additives</v>
          </cell>
          <cell r="C2820" t="str">
            <v>from technosphere (product)</v>
          </cell>
          <cell r="D2820"/>
          <cell r="E2820" t="str">
            <v>Mass</v>
          </cell>
          <cell r="F2820">
            <v>0.39999999999999991</v>
          </cell>
          <cell r="G2820" t="str">
            <v>tonne</v>
          </cell>
          <cell r="H2820"/>
          <cell r="I2820" t="str">
            <v>13;none;0,8;none;none</v>
          </cell>
          <cell r="J2820" t="str">
            <v>[TIMES_SE] Cement clinker kiln, membrane CCS</v>
          </cell>
          <cell r="K2820"/>
          <cell r="L2820"/>
        </row>
        <row r="2821">
          <cell r="A2821" t="str">
            <v>[TIMES_SE] Cement clinker kiln, membrane CCS</v>
          </cell>
          <cell r="B2821" t="str">
            <v>hard coal</v>
          </cell>
          <cell r="C2821" t="str">
            <v>from technosphere (energy_carrier)</v>
          </cell>
          <cell r="D2821"/>
          <cell r="E2821" t="str">
            <v>Energy</v>
          </cell>
          <cell r="F2821">
            <v>2.1320000000000001</v>
          </cell>
          <cell r="G2821" t="str">
            <v>GJ</v>
          </cell>
          <cell r="H2821"/>
          <cell r="I2821" t="str">
            <v>13;none;3,28;none;none</v>
          </cell>
          <cell r="J2821" t="str">
            <v>[TIMES_SE] Cement clinker kiln, membrane CCS</v>
          </cell>
          <cell r="K2821" t="str">
            <v>The source qualitatively reports a fuel mix dominated by coal. The dominant share of coal is assumed to be 65%. A technology variant uses gas as input</v>
          </cell>
          <cell r="L2821"/>
        </row>
        <row r="2822">
          <cell r="A2822" t="str">
            <v>[TIMES_SE] Cement clinker kiln, membrane CCS</v>
          </cell>
          <cell r="B2822" t="str">
            <v>industrial heat, high-temperature</v>
          </cell>
          <cell r="C2822" t="str">
            <v>from technosphere (energy_carrier)</v>
          </cell>
          <cell r="D2822"/>
          <cell r="E2822" t="str">
            <v>Energy</v>
          </cell>
          <cell r="F2822">
            <v>1.1479999999999997</v>
          </cell>
          <cell r="G2822" t="str">
            <v>GJ</v>
          </cell>
          <cell r="H2822"/>
          <cell r="I2822" t="str">
            <v>13;0;none;none;none</v>
          </cell>
          <cell r="J2822" t="str">
            <v>[TIMES_SE] Cement clinker kiln, membrane CCS</v>
          </cell>
          <cell r="K2822" t="str">
            <v>Fuel mix that can include fuel oil, petroleum coke, recycled plastic and tyres, biomass and biofuels</v>
          </cell>
          <cell r="L2822"/>
        </row>
        <row r="2823">
          <cell r="A2823" t="str">
            <v>[TIMES_SE] Cement clinker kiln, membrane CCS</v>
          </cell>
          <cell r="B2823" t="str">
            <v>electricity</v>
          </cell>
          <cell r="C2823" t="str">
            <v>from technosphere (energy_carrier)</v>
          </cell>
          <cell r="D2823"/>
          <cell r="E2823" t="str">
            <v>Energy</v>
          </cell>
          <cell r="F2823">
            <v>1.33</v>
          </cell>
          <cell r="G2823" t="str">
            <v>GJ</v>
          </cell>
          <cell r="H2823"/>
          <cell r="I2823" t="str">
            <v>none</v>
          </cell>
          <cell r="J2823" t="str">
            <v>[TIMES_SE] Cement clinker kiln, membrane CCS</v>
          </cell>
          <cell r="K2823"/>
          <cell r="L2823"/>
        </row>
        <row r="2824">
          <cell r="A2824" t="str">
            <v>[TIMES_SE] Cement clinker kiln, membrane CCS</v>
          </cell>
          <cell r="B2824" t="str">
            <v>carbon dioxide</v>
          </cell>
          <cell r="C2824" t="str">
            <v>to environment (emission, combustion)</v>
          </cell>
          <cell r="E2824" t="str">
            <v>Mass</v>
          </cell>
          <cell r="F2824">
            <v>84.666666666666671</v>
          </cell>
          <cell r="G2824" t="str">
            <v>kg</v>
          </cell>
          <cell r="H2824" t="str">
            <v>t</v>
          </cell>
          <cell r="I2824" t="str">
            <v>none</v>
          </cell>
          <cell r="J2824" t="str">
            <v>[TIMES_SE] Cement clinker kiln, membrane CCS</v>
          </cell>
          <cell r="K2824" t="str">
            <v>capture efficiency 0,9</v>
          </cell>
          <cell r="L2824"/>
        </row>
        <row r="2825">
          <cell r="A2825" t="str">
            <v>[TIMES_SE] Cement clinker kiln, membrane CCS</v>
          </cell>
          <cell r="B2825" t="str">
            <v>carbon dioxide</v>
          </cell>
          <cell r="C2825" t="str">
            <v>to technosphere (by-product)</v>
          </cell>
          <cell r="E2825" t="str">
            <v>Mass</v>
          </cell>
          <cell r="F2825">
            <v>762</v>
          </cell>
          <cell r="G2825" t="str">
            <v>kg</v>
          </cell>
          <cell r="H2825" t="str">
            <v>t</v>
          </cell>
          <cell r="I2825" t="str">
            <v>none</v>
          </cell>
          <cell r="J2825" t="str">
            <v>[TIMES_SE] Cement clinker kiln, membrane CCS</v>
          </cell>
          <cell r="K2825" t="str">
            <v>CO2 capture 0.762 t/t clinker</v>
          </cell>
        </row>
        <row r="2827">
          <cell r="A2827" t="str">
            <v>[TIMES_SE] Cement clinker kiln, tail end Ca loop CCS</v>
          </cell>
          <cell r="B2827" t="str">
            <v>cement clinker</v>
          </cell>
          <cell r="C2827" t="str">
            <v>reference_product</v>
          </cell>
          <cell r="D2827" t="str">
            <v>252310</v>
          </cell>
          <cell r="E2827" t="str">
            <v>Mass</v>
          </cell>
          <cell r="F2827">
            <v>1</v>
          </cell>
          <cell r="G2827" t="str">
            <v>tonne</v>
          </cell>
          <cell r="H2827"/>
          <cell r="I2827" t="str">
            <v>none</v>
          </cell>
          <cell r="J2827" t="str">
            <v>[TIMES_SE] Cement clinker kiln, tail end Ca loop CCS</v>
          </cell>
          <cell r="K2827"/>
          <cell r="L2827"/>
        </row>
        <row r="2828">
          <cell r="A2828" t="str">
            <v>[TIMES_SE] Cement clinker kiln, tail end Ca loop CCS</v>
          </cell>
          <cell r="B2828" t="str">
            <v>limestone</v>
          </cell>
          <cell r="C2828" t="str">
            <v>from technosphere (product)</v>
          </cell>
          <cell r="D2828"/>
          <cell r="E2828" t="str">
            <v>Mass</v>
          </cell>
          <cell r="F2828">
            <v>1.2000000000000002</v>
          </cell>
          <cell r="G2828" t="str">
            <v>tonne</v>
          </cell>
          <cell r="H2828"/>
          <cell r="I2828" t="str">
            <v>13;0,8;none;none;none</v>
          </cell>
          <cell r="J2828" t="str">
            <v>[TIMES_SE] Cement clinker kiln, tail end Ca loop CCS</v>
          </cell>
          <cell r="K2828" t="str">
            <v>input is an average of 0,8 (minimum contribution) and 1,6 (total input)</v>
          </cell>
          <cell r="L2828"/>
        </row>
        <row r="2829">
          <cell r="A2829" t="str">
            <v>[TIMES_SE] Cement clinker kiln, tail end Ca loop CCS</v>
          </cell>
          <cell r="B2829" t="str">
            <v>cement additives</v>
          </cell>
          <cell r="C2829" t="str">
            <v>from technosphere (product)</v>
          </cell>
          <cell r="D2829"/>
          <cell r="E2829" t="str">
            <v>Mass</v>
          </cell>
          <cell r="F2829">
            <v>0.39999999999999991</v>
          </cell>
          <cell r="G2829" t="str">
            <v>tonne</v>
          </cell>
          <cell r="H2829"/>
          <cell r="I2829" t="str">
            <v>13;none;0,8;none;none</v>
          </cell>
          <cell r="J2829" t="str">
            <v>[TIMES_SE] Cement clinker kiln, tail end Ca loop CCS</v>
          </cell>
          <cell r="K2829"/>
          <cell r="L2829"/>
        </row>
        <row r="2830">
          <cell r="A2830" t="str">
            <v>[TIMES_SE] Cement clinker kiln, tail end Ca loop CCS</v>
          </cell>
          <cell r="B2830" t="str">
            <v>hard coal</v>
          </cell>
          <cell r="C2830" t="str">
            <v>from technosphere (energy_carrier)</v>
          </cell>
          <cell r="D2830"/>
          <cell r="E2830" t="str">
            <v>Energy</v>
          </cell>
          <cell r="F2830">
            <v>4.6150000000000002</v>
          </cell>
          <cell r="G2830" t="str">
            <v>GJ</v>
          </cell>
          <cell r="H2830"/>
          <cell r="I2830" t="str">
            <v>13;none;7,1;none;none</v>
          </cell>
          <cell r="J2830" t="str">
            <v>[TIMES_SE] Cement clinker kiln, tail end Ca loop CCS</v>
          </cell>
          <cell r="K2830" t="str">
            <v>The source qualitatively reports a fuel mix dominated by coal. The dominant share of coal is assumed to be 65%. A technology variant uses gas as input</v>
          </cell>
          <cell r="L2830"/>
        </row>
        <row r="2831">
          <cell r="A2831" t="str">
            <v>[TIMES_SE] Cement clinker kiln, tail end Ca loop CCS</v>
          </cell>
          <cell r="B2831" t="str">
            <v>industrial heat, high-temperature</v>
          </cell>
          <cell r="C2831" t="str">
            <v>from technosphere (energy_carrier)</v>
          </cell>
          <cell r="D2831"/>
          <cell r="E2831" t="str">
            <v>Energy</v>
          </cell>
          <cell r="F2831">
            <v>2.4849999999999994</v>
          </cell>
          <cell r="G2831" t="str">
            <v>GJ</v>
          </cell>
          <cell r="H2831"/>
          <cell r="I2831" t="str">
            <v>13;0;none;none;none</v>
          </cell>
          <cell r="J2831" t="str">
            <v>[TIMES_SE] Cement clinker kiln, tail end Ca loop CCS</v>
          </cell>
          <cell r="K2831" t="str">
            <v>Fuel mix that can include fuel oil, petroleum coke, recycled plastic and tyres, biomass and biofuels</v>
          </cell>
          <cell r="L2831"/>
        </row>
        <row r="2832">
          <cell r="A2832" t="str">
            <v>[TIMES_SE] Cement clinker kiln, tail end Ca loop CCS</v>
          </cell>
          <cell r="B2832" t="str">
            <v>electricity</v>
          </cell>
          <cell r="C2832" t="str">
            <v>from technosphere (energy_carrier)</v>
          </cell>
          <cell r="D2832"/>
          <cell r="E2832" t="str">
            <v>Energy</v>
          </cell>
          <cell r="F2832">
            <v>1.24</v>
          </cell>
          <cell r="G2832" t="str">
            <v>GJ</v>
          </cell>
          <cell r="H2832"/>
          <cell r="I2832" t="str">
            <v>none</v>
          </cell>
          <cell r="J2832" t="str">
            <v>[TIMES_SE] Cement clinker kiln, tail end Ca loop CCS</v>
          </cell>
          <cell r="K2832"/>
          <cell r="L2832"/>
        </row>
        <row r="2833">
          <cell r="A2833" t="str">
            <v>[TIMES_SE] Cement clinker kiln, tail end Ca loop CCS</v>
          </cell>
          <cell r="B2833" t="str">
            <v>electricity</v>
          </cell>
          <cell r="C2833" t="str">
            <v>to technosphere (by-product)</v>
          </cell>
          <cell r="D2833"/>
          <cell r="E2833" t="str">
            <v>Energy</v>
          </cell>
          <cell r="F2833">
            <v>1.2709999999999999</v>
          </cell>
          <cell r="G2833" t="str">
            <v>GJ</v>
          </cell>
          <cell r="H2833"/>
          <cell r="I2833" t="str">
            <v>none</v>
          </cell>
          <cell r="J2833" t="str">
            <v>[TIMES_SE] Cement clinker kiln, tail end Ca loop CCS</v>
          </cell>
          <cell r="K2833"/>
          <cell r="L2833"/>
        </row>
        <row r="2834">
          <cell r="A2834" t="str">
            <v>[TIMES_SE] Cement clinker kiln, tail end Ca loop CCS</v>
          </cell>
          <cell r="B2834" t="str">
            <v>carbon dioxide</v>
          </cell>
          <cell r="C2834" t="str">
            <v>to environment (emission, combustion)</v>
          </cell>
          <cell r="E2834" t="str">
            <v>Mass</v>
          </cell>
          <cell r="F2834">
            <v>78.974358974358893</v>
          </cell>
          <cell r="G2834" t="str">
            <v>kg</v>
          </cell>
          <cell r="H2834" t="str">
            <v>t</v>
          </cell>
          <cell r="I2834" t="str">
            <v>none</v>
          </cell>
          <cell r="J2834" t="str">
            <v>[TIMES_SE] Cement clinker kiln, tail end Ca loop CCS</v>
          </cell>
          <cell r="K2834" t="str">
            <v>capture efficiency 0,936</v>
          </cell>
          <cell r="L2834"/>
        </row>
        <row r="2835">
          <cell r="A2835" t="str">
            <v>[TIMES_SE] Cement clinker kiln, tail end Ca loop CCS</v>
          </cell>
          <cell r="B2835" t="str">
            <v>carbon dioxide</v>
          </cell>
          <cell r="C2835" t="str">
            <v>to technosphere (by-product)</v>
          </cell>
          <cell r="E2835" t="str">
            <v>Mass</v>
          </cell>
          <cell r="F2835">
            <v>1155</v>
          </cell>
          <cell r="G2835" t="str">
            <v>kg</v>
          </cell>
          <cell r="H2835" t="str">
            <v>t</v>
          </cell>
          <cell r="I2835" t="str">
            <v>none</v>
          </cell>
          <cell r="J2835" t="str">
            <v>[TIMES_SE] Cement clinker kiln, tail end Ca loop CCS</v>
          </cell>
          <cell r="K2835" t="str">
            <v>CO2 capture 1,155 t/t clinker</v>
          </cell>
        </row>
        <row r="2837">
          <cell r="A2837" t="str">
            <v>[TIMES_SE] Cement clinker kiln, oxyfuel CCS</v>
          </cell>
          <cell r="B2837" t="str">
            <v>cement clinker</v>
          </cell>
          <cell r="C2837" t="str">
            <v>reference_product</v>
          </cell>
          <cell r="D2837" t="str">
            <v>252310</v>
          </cell>
          <cell r="E2837" t="str">
            <v>Mass</v>
          </cell>
          <cell r="F2837">
            <v>1</v>
          </cell>
          <cell r="G2837" t="str">
            <v>tonne</v>
          </cell>
          <cell r="H2837"/>
          <cell r="I2837" t="str">
            <v>none</v>
          </cell>
          <cell r="J2837" t="str">
            <v>[TIMES_SE] Cement clinker kiln, oxyfuel CCS</v>
          </cell>
          <cell r="K2837"/>
          <cell r="L2837"/>
        </row>
        <row r="2838">
          <cell r="A2838" t="str">
            <v>[TIMES_SE] Cement clinker kiln, oxyfuel CCS</v>
          </cell>
          <cell r="B2838" t="str">
            <v>limestone</v>
          </cell>
          <cell r="C2838" t="str">
            <v>from technosphere (product)</v>
          </cell>
          <cell r="D2838"/>
          <cell r="E2838" t="str">
            <v>Mass</v>
          </cell>
          <cell r="F2838">
            <v>1.2000000000000002</v>
          </cell>
          <cell r="G2838" t="str">
            <v>tonne</v>
          </cell>
          <cell r="H2838"/>
          <cell r="I2838" t="str">
            <v>13;0,8;none;none;none</v>
          </cell>
          <cell r="J2838" t="str">
            <v>[TIMES_SE] Cement clinker kiln, oxyfuel CCS</v>
          </cell>
          <cell r="K2838" t="str">
            <v>input is an average of 0,8 (minimum contribution) and 1,6 (total input)</v>
          </cell>
          <cell r="L2838"/>
        </row>
        <row r="2839">
          <cell r="A2839" t="str">
            <v>[TIMES_SE] Cement clinker kiln, oxyfuel CCS</v>
          </cell>
          <cell r="B2839" t="str">
            <v>cement additives</v>
          </cell>
          <cell r="C2839" t="str">
            <v>from technosphere (product)</v>
          </cell>
          <cell r="D2839"/>
          <cell r="E2839" t="str">
            <v>Mass</v>
          </cell>
          <cell r="F2839">
            <v>0.39999999999999991</v>
          </cell>
          <cell r="G2839" t="str">
            <v>tonne</v>
          </cell>
          <cell r="H2839"/>
          <cell r="I2839" t="str">
            <v>13;none;0,8;none;none</v>
          </cell>
          <cell r="J2839" t="str">
            <v>[TIMES_SE] Cement clinker kiln, oxyfuel CCS</v>
          </cell>
          <cell r="K2839"/>
          <cell r="L2839"/>
        </row>
        <row r="2840">
          <cell r="A2840" t="str">
            <v>[TIMES_SE] Cement clinker kiln, oxyfuel CCS</v>
          </cell>
          <cell r="B2840" t="str">
            <v>hard coal</v>
          </cell>
          <cell r="C2840" t="str">
            <v>from technosphere (energy_carrier)</v>
          </cell>
          <cell r="D2840"/>
          <cell r="E2840" t="str">
            <v>Energy</v>
          </cell>
          <cell r="F2840">
            <v>2.0410000000000004</v>
          </cell>
          <cell r="G2840" t="str">
            <v>GJ</v>
          </cell>
          <cell r="H2840"/>
          <cell r="I2840" t="str">
            <v>13;none;3,14;none;none</v>
          </cell>
          <cell r="J2840" t="str">
            <v>[TIMES_SE] Cement clinker kiln, oxyfuel CCS</v>
          </cell>
          <cell r="K2840" t="str">
            <v>The source qualitatively reports a fuel mix dominated by coal. The dominant share of coal is assumed to be 65%. A technology variant uses gas as input</v>
          </cell>
          <cell r="L2840"/>
        </row>
        <row r="2841">
          <cell r="A2841" t="str">
            <v>[TIMES_SE] Cement clinker kiln, oxyfuel CCS</v>
          </cell>
          <cell r="B2841" t="str">
            <v>industrial heat, high-temperature</v>
          </cell>
          <cell r="C2841" t="str">
            <v>from technosphere (energy_carrier)</v>
          </cell>
          <cell r="D2841"/>
          <cell r="E2841" t="str">
            <v>Energy</v>
          </cell>
          <cell r="F2841">
            <v>1.0989999999999998</v>
          </cell>
          <cell r="G2841" t="str">
            <v>GJ</v>
          </cell>
          <cell r="H2841"/>
          <cell r="I2841" t="str">
            <v>13;0;none;none;none</v>
          </cell>
          <cell r="J2841" t="str">
            <v>[TIMES_SE] Cement clinker kiln, oxyfuel CCS</v>
          </cell>
          <cell r="K2841" t="str">
            <v>Fuel mix that can include fuel oil, petroleum coke, recycled plastic and tyres, biomass and biofuels</v>
          </cell>
          <cell r="L2841"/>
        </row>
        <row r="2842">
          <cell r="A2842" t="str">
            <v>[TIMES_SE] Cement clinker kiln, oxyfuel CCS</v>
          </cell>
          <cell r="B2842" t="str">
            <v>electricity</v>
          </cell>
          <cell r="C2842" t="str">
            <v>from technosphere (energy_carrier)</v>
          </cell>
          <cell r="D2842"/>
          <cell r="E2842" t="str">
            <v>Energy</v>
          </cell>
          <cell r="F2842">
            <v>0.82</v>
          </cell>
          <cell r="G2842" t="str">
            <v>GJ</v>
          </cell>
          <cell r="H2842"/>
          <cell r="I2842" t="str">
            <v>none</v>
          </cell>
          <cell r="J2842" t="str">
            <v>[TIMES_SE] Cement clinker kiln, oxyfuel CCS</v>
          </cell>
          <cell r="K2842"/>
          <cell r="L2842"/>
        </row>
        <row r="2843">
          <cell r="A2843" t="str">
            <v>[TIMES_SE] Cement clinker kiln, oxyfuel CCS</v>
          </cell>
          <cell r="B2843" t="str">
            <v>electricity</v>
          </cell>
          <cell r="C2843" t="str">
            <v>to technosphere (by-product)</v>
          </cell>
          <cell r="D2843"/>
          <cell r="E2843" t="str">
            <v>Energy</v>
          </cell>
          <cell r="F2843">
            <v>8.4000000000000005E-2</v>
          </cell>
          <cell r="G2843" t="str">
            <v>GJ</v>
          </cell>
          <cell r="H2843"/>
          <cell r="I2843" t="str">
            <v>none</v>
          </cell>
          <cell r="J2843" t="str">
            <v>[TIMES_SE] Cement clinker kiln, oxyfuel CCS</v>
          </cell>
          <cell r="K2843"/>
          <cell r="L2843"/>
        </row>
        <row r="2844">
          <cell r="A2844" t="str">
            <v>[TIMES_SE] Cement clinker kiln, oxyfuel CCS</v>
          </cell>
          <cell r="B2844" t="str">
            <v>carbon dioxide</v>
          </cell>
          <cell r="C2844" t="str">
            <v>to environment (emission, combustion)</v>
          </cell>
          <cell r="E2844" t="str">
            <v>Mass</v>
          </cell>
          <cell r="F2844">
            <v>87.999999999999986</v>
          </cell>
          <cell r="G2844" t="str">
            <v>kg</v>
          </cell>
          <cell r="H2844" t="str">
            <v>t</v>
          </cell>
          <cell r="I2844" t="str">
            <v>none</v>
          </cell>
          <cell r="J2844" t="str">
            <v>[TIMES_SE] Cement clinker kiln, oxyfuel CCS</v>
          </cell>
          <cell r="K2844" t="str">
            <v>capture efficiency 0,9</v>
          </cell>
          <cell r="L2844"/>
        </row>
        <row r="2845">
          <cell r="A2845" t="str">
            <v>[TIMES_SE] Cement clinker kiln, oxyfuel CCS</v>
          </cell>
          <cell r="B2845" t="str">
            <v>carbon dioxide</v>
          </cell>
          <cell r="C2845" t="str">
            <v>to technosphere (by-product)</v>
          </cell>
          <cell r="E2845" t="str">
            <v>Mass</v>
          </cell>
          <cell r="F2845">
            <v>792</v>
          </cell>
          <cell r="G2845" t="str">
            <v>kg</v>
          </cell>
          <cell r="H2845" t="str">
            <v>t</v>
          </cell>
          <cell r="I2845" t="str">
            <v>none</v>
          </cell>
          <cell r="J2845" t="str">
            <v>[TIMES_SE] Cement clinker kiln, oxyfuel CCS</v>
          </cell>
          <cell r="K2845" t="str">
            <v>CO2 capture 0,792 t/t clinker</v>
          </cell>
        </row>
        <row r="2847">
          <cell r="A2847" t="str">
            <v>[TIMES_SE] Cement clinker kiln, integrated Ca. loop CCS</v>
          </cell>
          <cell r="B2847" t="str">
            <v>cement clinker</v>
          </cell>
          <cell r="C2847" t="str">
            <v>reference_product</v>
          </cell>
          <cell r="D2847" t="str">
            <v>252310</v>
          </cell>
          <cell r="E2847" t="str">
            <v>Mass</v>
          </cell>
          <cell r="F2847">
            <v>1</v>
          </cell>
          <cell r="G2847" t="str">
            <v>tonne</v>
          </cell>
          <cell r="H2847"/>
          <cell r="I2847" t="str">
            <v>none</v>
          </cell>
          <cell r="J2847" t="str">
            <v>[TIMES_SE] Cement clinker kiln, integrated Ca. loop CCS</v>
          </cell>
          <cell r="K2847"/>
          <cell r="L2847"/>
        </row>
        <row r="2848">
          <cell r="A2848" t="str">
            <v>[TIMES_SE] Cement clinker kiln, integrated Ca. loop CCS</v>
          </cell>
          <cell r="B2848" t="str">
            <v>limestone</v>
          </cell>
          <cell r="C2848" t="str">
            <v>from technosphere (product)</v>
          </cell>
          <cell r="D2848"/>
          <cell r="E2848" t="str">
            <v>Mass</v>
          </cell>
          <cell r="F2848">
            <v>1.2000000000000002</v>
          </cell>
          <cell r="G2848" t="str">
            <v>tonne</v>
          </cell>
          <cell r="H2848"/>
          <cell r="I2848" t="str">
            <v>13;0,8;none;none;none</v>
          </cell>
          <cell r="J2848" t="str">
            <v>[TIMES_SE] Cement clinker kiln, integrated Ca. loop CCS</v>
          </cell>
          <cell r="K2848" t="str">
            <v>input is an average of 0,8 (minimum contribution) and 1,6 (total input)</v>
          </cell>
          <cell r="L2848"/>
        </row>
        <row r="2849">
          <cell r="A2849" t="str">
            <v>[TIMES_SE] Cement clinker kiln, integrated Ca. loop CCS</v>
          </cell>
          <cell r="B2849" t="str">
            <v>cement additives</v>
          </cell>
          <cell r="C2849" t="str">
            <v>from technosphere (product)</v>
          </cell>
          <cell r="D2849"/>
          <cell r="E2849" t="str">
            <v>Mass</v>
          </cell>
          <cell r="F2849">
            <v>0.39999999999999991</v>
          </cell>
          <cell r="G2849" t="str">
            <v>tonne</v>
          </cell>
          <cell r="H2849"/>
          <cell r="I2849" t="str">
            <v>13;none;0,8;none;none</v>
          </cell>
          <cell r="J2849" t="str">
            <v>[TIMES_SE] Cement clinker kiln, integrated Ca. loop CCS</v>
          </cell>
          <cell r="K2849"/>
          <cell r="L2849"/>
        </row>
        <row r="2850">
          <cell r="A2850" t="str">
            <v>[TIMES_SE] Cement clinker kiln, integrated Ca. loop CCS</v>
          </cell>
          <cell r="B2850" t="str">
            <v>hard coal</v>
          </cell>
          <cell r="C2850" t="str">
            <v>from technosphere (energy_carrier)</v>
          </cell>
          <cell r="D2850"/>
          <cell r="E2850" t="str">
            <v>Energy</v>
          </cell>
          <cell r="F2850">
            <v>3.5360000000000005</v>
          </cell>
          <cell r="G2850" t="str">
            <v>GJ</v>
          </cell>
          <cell r="H2850"/>
          <cell r="I2850" t="str">
            <v>13;none;5,44;none;none</v>
          </cell>
          <cell r="J2850" t="str">
            <v>[TIMES_SE] Cement clinker kiln, integrated Ca. loop CCS</v>
          </cell>
          <cell r="K2850" t="str">
            <v>The source qualitatively reports a fuel mix dominated by coal. The dominant share of coal is assumed to be 65%. A technology variant uses gas as input</v>
          </cell>
          <cell r="L2850"/>
        </row>
        <row r="2851">
          <cell r="A2851" t="str">
            <v>[TIMES_SE] Cement clinker kiln, integrated Ca. loop CCS</v>
          </cell>
          <cell r="B2851" t="str">
            <v>industrial heat, high-temperature</v>
          </cell>
          <cell r="C2851" t="str">
            <v>from technosphere (energy_carrier)</v>
          </cell>
          <cell r="D2851"/>
          <cell r="E2851" t="str">
            <v>Energy</v>
          </cell>
          <cell r="F2851">
            <v>1.9039999999999999</v>
          </cell>
          <cell r="G2851" t="str">
            <v>GJ</v>
          </cell>
          <cell r="H2851"/>
          <cell r="I2851" t="str">
            <v>13;0;none;none;none</v>
          </cell>
          <cell r="J2851" t="str">
            <v>[TIMES_SE] Cement clinker kiln, integrated Ca. loop CCS</v>
          </cell>
          <cell r="K2851" t="str">
            <v>Fuel mix that can include fuel oil, petroleum coke, recycled plastic and tyres, biomass and biofuels</v>
          </cell>
          <cell r="L2851"/>
        </row>
        <row r="2852">
          <cell r="A2852" t="str">
            <v>[TIMES_SE] Cement clinker kiln, integrated Ca. loop CCS</v>
          </cell>
          <cell r="B2852" t="str">
            <v>electricity</v>
          </cell>
          <cell r="C2852" t="str">
            <v>from technosphere (energy_carrier)</v>
          </cell>
          <cell r="D2852"/>
          <cell r="E2852" t="str">
            <v>Energy</v>
          </cell>
          <cell r="F2852">
            <v>1.3</v>
          </cell>
          <cell r="G2852" t="str">
            <v>GJ</v>
          </cell>
          <cell r="H2852"/>
          <cell r="I2852" t="str">
            <v>none</v>
          </cell>
          <cell r="J2852" t="str">
            <v>[TIMES_SE] Cement clinker kiln, integrated Ca. loop CCS</v>
          </cell>
          <cell r="K2852"/>
          <cell r="L2852"/>
        </row>
        <row r="2853">
          <cell r="A2853" t="str">
            <v>[TIMES_SE] Cement clinker kiln, integrated Ca. loop CCS</v>
          </cell>
          <cell r="B2853" t="str">
            <v>electricity</v>
          </cell>
          <cell r="C2853" t="str">
            <v>to technosphere (by-product)</v>
          </cell>
          <cell r="D2853"/>
          <cell r="E2853" t="str">
            <v>Energy</v>
          </cell>
          <cell r="F2853">
            <v>0.67400000000000004</v>
          </cell>
          <cell r="G2853" t="str">
            <v>GJ</v>
          </cell>
          <cell r="H2853"/>
          <cell r="I2853" t="str">
            <v>none</v>
          </cell>
          <cell r="J2853" t="str">
            <v>[TIMES_SE] Cement clinker kiln, integrated Ca. loop CCS</v>
          </cell>
          <cell r="K2853"/>
          <cell r="L2853"/>
        </row>
        <row r="2854">
          <cell r="A2854" t="str">
            <v>[TIMES_SE] Cement clinker kiln, integrated Ca. loop CCS</v>
          </cell>
          <cell r="B2854" t="str">
            <v>carbon dioxide</v>
          </cell>
          <cell r="C2854" t="str">
            <v>to environment (emission, combustion)</v>
          </cell>
          <cell r="E2854" t="str">
            <v>Mass</v>
          </cell>
          <cell r="F2854">
            <v>60.264050901378639</v>
          </cell>
          <cell r="G2854" t="str">
            <v>kg</v>
          </cell>
          <cell r="H2854" t="str">
            <v>t</v>
          </cell>
          <cell r="I2854" t="str">
            <v>none</v>
          </cell>
          <cell r="J2854" t="str">
            <v>[TIMES_SE] Cement clinker kiln, integrated Ca. loop CCS</v>
          </cell>
          <cell r="K2854" t="str">
            <v>capture efficiency 0,943</v>
          </cell>
          <cell r="L2854"/>
        </row>
        <row r="2855">
          <cell r="A2855" t="str">
            <v>[TIMES_SE] Cement clinker kiln, integrated Ca. loop CCS</v>
          </cell>
          <cell r="B2855" t="str">
            <v>carbon dioxide</v>
          </cell>
          <cell r="C2855" t="str">
            <v>to technosphere (by-product)</v>
          </cell>
          <cell r="E2855" t="str">
            <v>Mass</v>
          </cell>
          <cell r="F2855">
            <v>997</v>
          </cell>
          <cell r="G2855" t="str">
            <v>kg</v>
          </cell>
          <cell r="H2855" t="str">
            <v>t</v>
          </cell>
          <cell r="I2855" t="str">
            <v>none</v>
          </cell>
          <cell r="J2855" t="str">
            <v>[TIMES_SE] Cement clinker kiln, integrated Ca. loop CCS</v>
          </cell>
          <cell r="K2855" t="str">
            <v>CO2 capture 0,997 t/t clinker</v>
          </cell>
        </row>
        <row r="2857">
          <cell r="A2857" t="str">
            <v>[TIMES_SE] Cement clinker kiln plasma</v>
          </cell>
          <cell r="B2857" t="str">
            <v>cement clinker</v>
          </cell>
          <cell r="C2857" t="str">
            <v>reference_product</v>
          </cell>
          <cell r="D2857" t="str">
            <v>252310</v>
          </cell>
          <cell r="E2857" t="str">
            <v>Mass</v>
          </cell>
          <cell r="F2857">
            <v>1</v>
          </cell>
          <cell r="G2857" t="str">
            <v>tonne</v>
          </cell>
          <cell r="H2857"/>
          <cell r="I2857" t="str">
            <v>none</v>
          </cell>
          <cell r="J2857" t="str">
            <v>[TIMES_SE] Cement clinker kiln plasma</v>
          </cell>
          <cell r="K2857"/>
          <cell r="L2857"/>
        </row>
        <row r="2858">
          <cell r="A2858" t="str">
            <v>[TIMES_SE] Cement clinker kiln plasma</v>
          </cell>
          <cell r="B2858" t="str">
            <v>limestone</v>
          </cell>
          <cell r="C2858" t="str">
            <v>from technosphere (product)</v>
          </cell>
          <cell r="D2858"/>
          <cell r="E2858" t="str">
            <v>Mass</v>
          </cell>
          <cell r="F2858">
            <v>1.2000000000000002</v>
          </cell>
          <cell r="G2858" t="str">
            <v>tonne</v>
          </cell>
          <cell r="H2858"/>
          <cell r="I2858" t="str">
            <v>13;0,8;none;none;none</v>
          </cell>
          <cell r="J2858" t="str">
            <v>[TIMES_SE] Cement clinker kiln plasma</v>
          </cell>
          <cell r="K2858" t="str">
            <v>input is an average of 0,8 (minimum contribution) and 1,6 (total input)</v>
          </cell>
          <cell r="L2858"/>
        </row>
        <row r="2859">
          <cell r="A2859" t="str">
            <v>[TIMES_SE] Cement clinker kiln plasma</v>
          </cell>
          <cell r="B2859" t="str">
            <v>cement additives</v>
          </cell>
          <cell r="C2859" t="str">
            <v>from technosphere (product)</v>
          </cell>
          <cell r="D2859"/>
          <cell r="E2859" t="str">
            <v>Mass</v>
          </cell>
          <cell r="F2859">
            <v>0.39999999999999991</v>
          </cell>
          <cell r="G2859" t="str">
            <v>tonne</v>
          </cell>
          <cell r="H2859"/>
          <cell r="I2859" t="str">
            <v>13;none;0,8;none;none</v>
          </cell>
          <cell r="J2859" t="str">
            <v>[TIMES_SE] Cement clinker kiln plasma</v>
          </cell>
          <cell r="K2859"/>
          <cell r="L2859"/>
        </row>
        <row r="2860">
          <cell r="A2860" t="str">
            <v>[TIMES_SE] Cement clinker kiln plasma</v>
          </cell>
          <cell r="B2860" t="str">
            <v>electricity</v>
          </cell>
          <cell r="C2860" t="str">
            <v>from technosphere (energy_carrier)</v>
          </cell>
          <cell r="D2860"/>
          <cell r="E2860" t="str">
            <v>Energy</v>
          </cell>
          <cell r="F2860">
            <v>4.8959999999999999</v>
          </cell>
          <cell r="G2860" t="str">
            <v>GJ</v>
          </cell>
          <cell r="H2860"/>
          <cell r="I2860" t="str">
            <v>none</v>
          </cell>
          <cell r="J2860" t="str">
            <v>[TIMES_SE] Cement clinker kiln plasma</v>
          </cell>
          <cell r="K2860"/>
          <cell r="L2860"/>
        </row>
        <row r="2862">
          <cell r="A2862" t="str">
            <v>[TIMES_SE] Cement clinker kiln, plasma CCS</v>
          </cell>
          <cell r="B2862" t="str">
            <v>cement clinker</v>
          </cell>
          <cell r="C2862" t="str">
            <v>reference_product</v>
          </cell>
          <cell r="D2862" t="str">
            <v>252310</v>
          </cell>
          <cell r="E2862" t="str">
            <v>Mass</v>
          </cell>
          <cell r="F2862">
            <v>1</v>
          </cell>
          <cell r="G2862" t="str">
            <v>tonne</v>
          </cell>
          <cell r="H2862"/>
          <cell r="I2862" t="str">
            <v>none</v>
          </cell>
          <cell r="J2862" t="str">
            <v>[TIMES_SE] Cement clinker kiln, plasma CCS</v>
          </cell>
          <cell r="K2862"/>
          <cell r="L2862"/>
        </row>
        <row r="2863">
          <cell r="A2863" t="str">
            <v>[TIMES_SE] Cement clinker kiln, plasma CCS</v>
          </cell>
          <cell r="B2863" t="str">
            <v>limestone</v>
          </cell>
          <cell r="C2863" t="str">
            <v>from technosphere (product)</v>
          </cell>
          <cell r="D2863"/>
          <cell r="E2863" t="str">
            <v>Mass</v>
          </cell>
          <cell r="F2863">
            <v>1.2000000000000002</v>
          </cell>
          <cell r="G2863" t="str">
            <v>tonne</v>
          </cell>
          <cell r="H2863"/>
          <cell r="I2863" t="str">
            <v>13;0,8;none;none;none</v>
          </cell>
          <cell r="J2863" t="str">
            <v>[TIMES_SE] Cement clinker kiln, plasma CCS</v>
          </cell>
          <cell r="K2863" t="str">
            <v>input is an average of 0,8 (minimum contribution) and 1,6 (total input)</v>
          </cell>
          <cell r="L2863"/>
        </row>
        <row r="2864">
          <cell r="A2864" t="str">
            <v>[TIMES_SE] Cement clinker kiln, plasma CCS</v>
          </cell>
          <cell r="B2864" t="str">
            <v>cement additives</v>
          </cell>
          <cell r="C2864" t="str">
            <v>from technosphere (product)</v>
          </cell>
          <cell r="D2864"/>
          <cell r="E2864" t="str">
            <v>Mass</v>
          </cell>
          <cell r="F2864">
            <v>0.39999999999999991</v>
          </cell>
          <cell r="G2864" t="str">
            <v>tonne</v>
          </cell>
          <cell r="H2864"/>
          <cell r="I2864" t="str">
            <v>13;none;0,8;none;none</v>
          </cell>
          <cell r="J2864" t="str">
            <v>[TIMES_SE] Cement clinker kiln, plasma CCS</v>
          </cell>
          <cell r="K2864"/>
          <cell r="L2864"/>
        </row>
        <row r="2865">
          <cell r="A2865" t="str">
            <v>[TIMES_SE] Cement clinker kiln, plasma CCS</v>
          </cell>
          <cell r="B2865" t="str">
            <v>electricity</v>
          </cell>
          <cell r="C2865" t="str">
            <v>from technosphere (energy_carrier)</v>
          </cell>
          <cell r="D2865"/>
          <cell r="E2865" t="str">
            <v>Energy</v>
          </cell>
          <cell r="F2865">
            <v>5.13</v>
          </cell>
          <cell r="G2865" t="str">
            <v>GJ</v>
          </cell>
          <cell r="H2865"/>
          <cell r="I2865" t="str">
            <v>none</v>
          </cell>
          <cell r="J2865" t="str">
            <v>[TIMES_SE] Cement clinker kiln, plasma CCS</v>
          </cell>
          <cell r="K2865"/>
          <cell r="L2865"/>
        </row>
        <row r="2866">
          <cell r="A2866" t="str">
            <v>[TIMES_SE] Cement clinker kiln, plasma CCS</v>
          </cell>
          <cell r="B2866" t="str">
            <v>carbon dioxide</v>
          </cell>
          <cell r="C2866" t="str">
            <v>to technosphere (by-product)</v>
          </cell>
          <cell r="E2866" t="str">
            <v>Mass</v>
          </cell>
          <cell r="F2866">
            <v>525</v>
          </cell>
          <cell r="G2866" t="str">
            <v>kg</v>
          </cell>
          <cell r="H2866" t="str">
            <v>t</v>
          </cell>
          <cell r="I2866" t="str">
            <v>none</v>
          </cell>
          <cell r="J2866" t="str">
            <v>[TIMES_SE] Cement clinker kiln, plasma CCS</v>
          </cell>
          <cell r="K2866" t="str">
            <v>CO2 capture 0,525 t/t clinker, capture efficiency 1</v>
          </cell>
        </row>
        <row r="2868">
          <cell r="A2868" t="str">
            <v>[TIMES_SE] Cement grinder</v>
          </cell>
          <cell r="B2868" t="str">
            <v>cement</v>
          </cell>
          <cell r="C2868" t="str">
            <v>reference_product</v>
          </cell>
          <cell r="D2868"/>
          <cell r="E2868" t="str">
            <v>Mass</v>
          </cell>
          <cell r="F2868">
            <v>1</v>
          </cell>
          <cell r="G2868" t="str">
            <v>tonne</v>
          </cell>
          <cell r="H2868"/>
          <cell r="I2868" t="str">
            <v>none</v>
          </cell>
          <cell r="J2868" t="str">
            <v>[TIMES_SE] Cement grinder</v>
          </cell>
          <cell r="K2868"/>
          <cell r="L2868"/>
        </row>
        <row r="2869">
          <cell r="A2869" t="str">
            <v>[TIMES_SE] Cement grinder</v>
          </cell>
          <cell r="B2869" t="str">
            <v>cement clinker</v>
          </cell>
          <cell r="C2869" t="str">
            <v>from technosphere (product)</v>
          </cell>
          <cell r="D2869"/>
          <cell r="E2869" t="str">
            <v>Mass</v>
          </cell>
          <cell r="F2869">
            <v>0.84</v>
          </cell>
          <cell r="G2869" t="str">
            <v>tonne</v>
          </cell>
          <cell r="H2869"/>
          <cell r="I2869" t="str">
            <v>13;0,84;none;none;none</v>
          </cell>
          <cell r="J2869" t="str">
            <v>[TIMES_SE] Cement grinder</v>
          </cell>
          <cell r="K2869"/>
          <cell r="L2869"/>
        </row>
        <row r="2870">
          <cell r="A2870" t="str">
            <v>[TIMES_SE] Cement grinder</v>
          </cell>
          <cell r="B2870" t="str">
            <v>cement additives</v>
          </cell>
          <cell r="C2870" t="str">
            <v>from technosphere (product)</v>
          </cell>
          <cell r="D2870"/>
          <cell r="E2870" t="str">
            <v>Mass</v>
          </cell>
          <cell r="F2870">
            <v>0.16000000000000003</v>
          </cell>
          <cell r="G2870" t="str">
            <v>tonne</v>
          </cell>
          <cell r="H2870"/>
          <cell r="I2870" t="str">
            <v>13;none;1,6;none;none</v>
          </cell>
          <cell r="J2870" t="str">
            <v>[TIMES_SE] Cement grinder</v>
          </cell>
          <cell r="K2870"/>
          <cell r="L2870"/>
        </row>
        <row r="2871">
          <cell r="A2871" t="str">
            <v>[TIMES_SE] Cement grinder</v>
          </cell>
          <cell r="B2871" t="str">
            <v>electricity</v>
          </cell>
          <cell r="C2871" t="str">
            <v>from technosphere (energy_carrier)</v>
          </cell>
          <cell r="D2871"/>
          <cell r="E2871" t="str">
            <v>Energy</v>
          </cell>
          <cell r="F2871">
            <v>0.17</v>
          </cell>
          <cell r="G2871" t="str">
            <v>GJ</v>
          </cell>
          <cell r="H2871"/>
          <cell r="I2871" t="str">
            <v>none</v>
          </cell>
          <cell r="J2871" t="str">
            <v>[TIMES_SE] Cement grinder</v>
          </cell>
          <cell r="K2871"/>
          <cell r="L2871"/>
        </row>
        <row r="2873">
          <cell r="A2873" t="str">
            <v>[TIMES_SE] Aluminium electrolysis</v>
          </cell>
          <cell r="B2873" t="str">
            <v>aluminium, primary</v>
          </cell>
          <cell r="C2873" t="str">
            <v>reference_product</v>
          </cell>
          <cell r="D2873"/>
          <cell r="E2873" t="str">
            <v>Mass</v>
          </cell>
          <cell r="F2873">
            <v>1</v>
          </cell>
          <cell r="G2873" t="str">
            <v>tonne</v>
          </cell>
          <cell r="H2873"/>
          <cell r="I2873" t="str">
            <v>none</v>
          </cell>
          <cell r="J2873" t="str">
            <v>[TIMES_SE] Aluminium electrolysis</v>
          </cell>
          <cell r="K2873"/>
          <cell r="L2873"/>
        </row>
        <row r="2874">
          <cell r="A2874" t="str">
            <v>[TIMES_SE] Aluminium electrolysis</v>
          </cell>
          <cell r="B2874" t="str">
            <v>alumina</v>
          </cell>
          <cell r="C2874" t="str">
            <v>from technosphere (material)</v>
          </cell>
          <cell r="D2874"/>
          <cell r="E2874" t="str">
            <v>Mass</v>
          </cell>
          <cell r="F2874">
            <v>1.9230769230769229</v>
          </cell>
          <cell r="G2874" t="str">
            <v>tonne</v>
          </cell>
          <cell r="H2874"/>
          <cell r="I2874" t="str">
            <v>none</v>
          </cell>
          <cell r="J2874" t="str">
            <v>[TIMES_SE] Aluminium electrolysis</v>
          </cell>
          <cell r="K2874" t="str">
            <v>material yield 0,52 t/t</v>
          </cell>
          <cell r="L2874"/>
        </row>
        <row r="2875">
          <cell r="A2875" t="str">
            <v>[TIMES_SE] Aluminium electrolysis</v>
          </cell>
          <cell r="B2875" t="str">
            <v>coal</v>
          </cell>
          <cell r="C2875" t="str">
            <v>from technosphere (energy_carrier)</v>
          </cell>
          <cell r="D2875"/>
          <cell r="E2875" t="str">
            <v>Energy</v>
          </cell>
          <cell r="F2875">
            <v>10.4</v>
          </cell>
          <cell r="G2875" t="str">
            <v>GJ</v>
          </cell>
          <cell r="H2875"/>
          <cell r="I2875" t="str">
            <v>none</v>
          </cell>
          <cell r="J2875" t="str">
            <v>[TIMES_SE] Aluminium electrolysis</v>
          </cell>
          <cell r="K2875"/>
          <cell r="L2875"/>
        </row>
        <row r="2876">
          <cell r="A2876" t="str">
            <v>[TIMES_SE] Aluminium electrolysis</v>
          </cell>
          <cell r="B2876" t="str">
            <v>electricity</v>
          </cell>
          <cell r="C2876" t="str">
            <v>from technosphere (energy_carrier)</v>
          </cell>
          <cell r="D2876"/>
          <cell r="E2876" t="str">
            <v>Energy</v>
          </cell>
          <cell r="F2876">
            <v>49</v>
          </cell>
          <cell r="G2876" t="str">
            <v>GJ</v>
          </cell>
          <cell r="H2876"/>
          <cell r="I2876" t="str">
            <v>none</v>
          </cell>
          <cell r="J2876" t="str">
            <v>[TIMES_SE] Aluminium electrolysis</v>
          </cell>
          <cell r="K2876"/>
          <cell r="L2876"/>
        </row>
        <row r="2878">
          <cell r="A2878" t="str">
            <v>[TIMES_SE] Aluminium electrolysis w. CCS (PCC MEA)</v>
          </cell>
          <cell r="B2878" t="str">
            <v>aluminium, primary</v>
          </cell>
          <cell r="C2878" t="str">
            <v>reference_product</v>
          </cell>
          <cell r="D2878"/>
          <cell r="E2878" t="str">
            <v>Mass</v>
          </cell>
          <cell r="F2878">
            <v>1</v>
          </cell>
          <cell r="G2878" t="str">
            <v>tonne</v>
          </cell>
          <cell r="H2878"/>
          <cell r="I2878" t="str">
            <v>none</v>
          </cell>
          <cell r="J2878" t="str">
            <v>[TIMES_SE] Aluminium electrolysis w. CCS (PCC MEA)</v>
          </cell>
          <cell r="K2878" t="str">
            <v>raw aluminium</v>
          </cell>
          <cell r="L2878"/>
        </row>
        <row r="2879">
          <cell r="A2879" t="str">
            <v>[TIMES_SE] Aluminium electrolysis w. CCS (PCC MEA)</v>
          </cell>
          <cell r="B2879" t="str">
            <v>alumina</v>
          </cell>
          <cell r="C2879" t="str">
            <v>from technosphere (material)</v>
          </cell>
          <cell r="D2879"/>
          <cell r="E2879" t="str">
            <v>Mass</v>
          </cell>
          <cell r="F2879">
            <v>1.9230769230769229</v>
          </cell>
          <cell r="G2879" t="str">
            <v>tonne</v>
          </cell>
          <cell r="H2879"/>
          <cell r="I2879" t="str">
            <v>none</v>
          </cell>
          <cell r="J2879" t="str">
            <v>[TIMES_SE] Aluminium electrolysis w. CCS (PCC MEA)</v>
          </cell>
          <cell r="K2879" t="str">
            <v>material yield 0,52 t/t</v>
          </cell>
          <cell r="L2879"/>
        </row>
        <row r="2880">
          <cell r="A2880" t="str">
            <v>[TIMES_SE] Aluminium electrolysis w. CCS (PCC MEA)</v>
          </cell>
          <cell r="B2880" t="str">
            <v>coal</v>
          </cell>
          <cell r="C2880" t="str">
            <v>from technosphere (energy_carrier)</v>
          </cell>
          <cell r="D2880"/>
          <cell r="E2880" t="str">
            <v>Mass</v>
          </cell>
          <cell r="F2880">
            <v>10.4</v>
          </cell>
          <cell r="G2880" t="str">
            <v>GJ</v>
          </cell>
          <cell r="H2880"/>
          <cell r="I2880" t="str">
            <v>none</v>
          </cell>
          <cell r="J2880" t="str">
            <v>[TIMES_SE] Aluminium electrolysis w. CCS (PCC MEA)</v>
          </cell>
          <cell r="K2880"/>
          <cell r="L2880"/>
        </row>
        <row r="2881">
          <cell r="A2881" t="str">
            <v>[TIMES_SE] Aluminium electrolysis w. CCS (PCC MEA)</v>
          </cell>
          <cell r="B2881" t="str">
            <v>electricity</v>
          </cell>
          <cell r="C2881" t="str">
            <v>from technosphere (energy_carrier)</v>
          </cell>
          <cell r="D2881"/>
          <cell r="E2881" t="str">
            <v>Energy</v>
          </cell>
          <cell r="F2881">
            <v>49.47</v>
          </cell>
          <cell r="G2881" t="str">
            <v>GJ</v>
          </cell>
          <cell r="H2881"/>
          <cell r="I2881" t="str">
            <v>none</v>
          </cell>
          <cell r="J2881" t="str">
            <v>[TIMES_SE] Aluminium electrolysis w. CCS (PCC MEA)</v>
          </cell>
          <cell r="K2881"/>
          <cell r="L2881"/>
        </row>
        <row r="2882">
          <cell r="A2882" t="str">
            <v>[TIMES_SE] Aluminium electrolysis w. CCS (PCC MEA)</v>
          </cell>
          <cell r="B2882" t="str">
            <v>HETPST</v>
          </cell>
          <cell r="C2882" t="str">
            <v>from technosphere (energy_carrier)</v>
          </cell>
          <cell r="D2882"/>
          <cell r="E2882" t="str">
            <v>Energy</v>
          </cell>
          <cell r="F2882">
            <v>4.79</v>
          </cell>
          <cell r="G2882" t="str">
            <v>GJ</v>
          </cell>
          <cell r="H2882"/>
          <cell r="I2882" t="str">
            <v>none</v>
          </cell>
          <cell r="J2882" t="str">
            <v>[TIMES_SE] Aluminium electrolysis w. CCS (PCC MEA)</v>
          </cell>
          <cell r="K2882"/>
          <cell r="L2882"/>
        </row>
        <row r="2883">
          <cell r="A2883" t="str">
            <v>[TIMES_SE] Aluminium electrolysis w. CCS (PCC MEA)</v>
          </cell>
          <cell r="B2883" t="str">
            <v>carbon dioxide</v>
          </cell>
          <cell r="C2883" t="str">
            <v>to environment (emission, combustion)</v>
          </cell>
          <cell r="E2883" t="str">
            <v>Mass</v>
          </cell>
          <cell r="F2883"/>
          <cell r="G2883" t="str">
            <v>kg</v>
          </cell>
          <cell r="H2883" t="str">
            <v>t</v>
          </cell>
          <cell r="I2883" t="str">
            <v>none</v>
          </cell>
          <cell r="J2883" t="str">
            <v>[TIMES_SE] Aluminium electrolysis w. CCS (PCC MEA)</v>
          </cell>
          <cell r="K2883" t="str">
            <v>capture efficiency 0,9</v>
          </cell>
          <cell r="L2883"/>
        </row>
        <row r="2884">
          <cell r="A2884" t="str">
            <v>[TIMES_SE] Aluminium electrolysis w. CCS (PCC MEA)</v>
          </cell>
          <cell r="B2884" t="str">
            <v>carbon dioxide</v>
          </cell>
          <cell r="C2884" t="str">
            <v>to technosphere (by-product)</v>
          </cell>
          <cell r="E2884" t="str">
            <v>Mass</v>
          </cell>
          <cell r="F2884"/>
          <cell r="G2884" t="str">
            <v>kg</v>
          </cell>
          <cell r="H2884" t="str">
            <v>t</v>
          </cell>
          <cell r="I2884" t="str">
            <v>none</v>
          </cell>
          <cell r="J2884" t="str">
            <v>[TIMES_SE] Aluminium electrolysis w. CCS (PCC MEA)</v>
          </cell>
        </row>
        <row r="2886">
          <cell r="A2886" t="str">
            <v>[TIMES_SE] Aluminium electrolysis inert</v>
          </cell>
          <cell r="B2886" t="str">
            <v>aluminium, primary</v>
          </cell>
          <cell r="C2886" t="str">
            <v>reference_product</v>
          </cell>
          <cell r="D2886"/>
          <cell r="E2886" t="str">
            <v>Mass</v>
          </cell>
          <cell r="F2886">
            <v>1</v>
          </cell>
          <cell r="G2886" t="str">
            <v>tonne</v>
          </cell>
          <cell r="H2886"/>
          <cell r="I2886" t="str">
            <v>none</v>
          </cell>
          <cell r="J2886" t="str">
            <v>[TIMES_SE] Aluminium electrolysis inert</v>
          </cell>
          <cell r="K2886" t="str">
            <v>raw aluminium</v>
          </cell>
          <cell r="L2886"/>
        </row>
        <row r="2887">
          <cell r="A2887" t="str">
            <v>[TIMES_SE] Aluminium electrolysis inert</v>
          </cell>
          <cell r="B2887" t="str">
            <v>alumina</v>
          </cell>
          <cell r="C2887" t="str">
            <v>from technosphere (material)</v>
          </cell>
          <cell r="D2887"/>
          <cell r="E2887" t="str">
            <v>Mass</v>
          </cell>
          <cell r="F2887">
            <v>1.9230769230769229</v>
          </cell>
          <cell r="G2887" t="str">
            <v>tonne</v>
          </cell>
          <cell r="H2887"/>
          <cell r="I2887" t="str">
            <v>none</v>
          </cell>
          <cell r="J2887" t="str">
            <v>[TIMES_SE] Aluminium electrolysis inert</v>
          </cell>
          <cell r="K2887" t="str">
            <v>material yield 0,52 t/t</v>
          </cell>
          <cell r="L2887"/>
        </row>
        <row r="2888">
          <cell r="A2888" t="str">
            <v>[TIMES_SE] Aluminium electrolysis inert</v>
          </cell>
          <cell r="B2888" t="str">
            <v>electricity</v>
          </cell>
          <cell r="C2888" t="str">
            <v>from technosphere (energy_carrier)</v>
          </cell>
          <cell r="D2888"/>
          <cell r="E2888" t="str">
            <v>Energy</v>
          </cell>
          <cell r="F2888">
            <v>44.52</v>
          </cell>
          <cell r="G2888" t="str">
            <v>GJ</v>
          </cell>
          <cell r="H2888"/>
          <cell r="I2888" t="str">
            <v>none</v>
          </cell>
          <cell r="J2888" t="str">
            <v>[TIMES_SE] Aluminium electrolysis inert</v>
          </cell>
          <cell r="K2888"/>
          <cell r="L2888"/>
        </row>
        <row r="2890">
          <cell r="A2890" t="str">
            <v xml:space="preserve">[TIMES_SE] Recycled aluminium </v>
          </cell>
          <cell r="B2890" t="str">
            <v>aluminium, recycled</v>
          </cell>
          <cell r="C2890" t="str">
            <v>reference_product</v>
          </cell>
          <cell r="D2890"/>
          <cell r="E2890" t="str">
            <v>Mass</v>
          </cell>
          <cell r="F2890">
            <v>1</v>
          </cell>
          <cell r="G2890" t="str">
            <v>tonne</v>
          </cell>
          <cell r="H2890">
            <v>1</v>
          </cell>
          <cell r="I2890" t="str">
            <v>none</v>
          </cell>
          <cell r="J2890" t="str">
            <v xml:space="preserve">[TIMES_SE] Recycled aluminium </v>
          </cell>
          <cell r="K2890" t="str">
            <v>crude aluminium</v>
          </cell>
          <cell r="L2890"/>
        </row>
        <row r="2891">
          <cell r="A2891" t="str">
            <v xml:space="preserve">[TIMES_SE] Recycled aluminium </v>
          </cell>
          <cell r="B2891" t="str">
            <v>aluminium, scrap</v>
          </cell>
          <cell r="C2891" t="str">
            <v>from technosphere (material)</v>
          </cell>
          <cell r="D2891"/>
          <cell r="E2891" t="str">
            <v>Mass</v>
          </cell>
          <cell r="F2891">
            <v>1.1494252873563218</v>
          </cell>
          <cell r="G2891" t="str">
            <v>tonne</v>
          </cell>
          <cell r="H2891" t="str">
            <v>t</v>
          </cell>
          <cell r="I2891" t="str">
            <v>none</v>
          </cell>
          <cell r="J2891" t="str">
            <v xml:space="preserve">[TIMES_SE] Recycled aluminium </v>
          </cell>
          <cell r="K2891" t="str">
            <v>material yield 0,87 t/t</v>
          </cell>
          <cell r="L2891"/>
        </row>
        <row r="2892">
          <cell r="A2892" t="str">
            <v xml:space="preserve">[TIMES_SE] Recycled aluminium </v>
          </cell>
          <cell r="B2892" t="str">
            <v>natural gas</v>
          </cell>
          <cell r="C2892" t="str">
            <v>from technosphere (energy_carrier)</v>
          </cell>
          <cell r="D2892"/>
          <cell r="E2892" t="str">
            <v>Energy</v>
          </cell>
          <cell r="F2892">
            <v>2.34</v>
          </cell>
          <cell r="G2892" t="str">
            <v>GJ</v>
          </cell>
          <cell r="H2892" t="str">
            <v>t</v>
          </cell>
          <cell r="I2892" t="str">
            <v>none</v>
          </cell>
          <cell r="J2892" t="str">
            <v xml:space="preserve">[TIMES_SE] Recycled aluminium </v>
          </cell>
          <cell r="K2892"/>
          <cell r="L2892"/>
        </row>
        <row r="2893">
          <cell r="A2893" t="str">
            <v xml:space="preserve">[TIMES_SE] Recycled aluminium </v>
          </cell>
          <cell r="B2893" t="str">
            <v>electricity</v>
          </cell>
          <cell r="C2893" t="str">
            <v>from technosphere (energy_carrier)</v>
          </cell>
          <cell r="D2893"/>
          <cell r="E2893" t="str">
            <v>Energy</v>
          </cell>
          <cell r="F2893">
            <v>0.5</v>
          </cell>
          <cell r="G2893" t="str">
            <v>GJ</v>
          </cell>
          <cell r="H2893" t="str">
            <v>t</v>
          </cell>
          <cell r="I2893" t="str">
            <v>none</v>
          </cell>
          <cell r="J2893" t="str">
            <v xml:space="preserve">[TIMES_SE] Recycled aluminium </v>
          </cell>
          <cell r="K2893"/>
          <cell r="L2893"/>
        </row>
        <row r="2894">
          <cell r="A2894" t="str">
            <v xml:space="preserve">[TIMES_SE] Recycled aluminium </v>
          </cell>
          <cell r="B2894" t="str">
            <v>oxygen</v>
          </cell>
          <cell r="C2894" t="str">
            <v>from technosphere (material)</v>
          </cell>
          <cell r="D2894"/>
          <cell r="E2894" t="str">
            <v>Mass</v>
          </cell>
          <cell r="F2894">
            <v>88</v>
          </cell>
          <cell r="G2894" t="str">
            <v>t</v>
          </cell>
          <cell r="H2894" t="str">
            <v>t</v>
          </cell>
          <cell r="I2894" t="str">
            <v>none</v>
          </cell>
          <cell r="J2894" t="str">
            <v xml:space="preserve">[TIMES_SE] Recycled aluminium </v>
          </cell>
        </row>
        <row r="2896">
          <cell r="A2896" t="str">
            <v>[ecoinvent] Processing of anode slime from electrorefining of primary copper</v>
          </cell>
          <cell r="B2896" t="str">
            <v>Extraction of metals from anode slime 1kg</v>
          </cell>
          <cell r="C2896" t="str">
            <v>reference_product</v>
          </cell>
          <cell r="D2896"/>
          <cell r="E2896" t="str">
            <v>Service</v>
          </cell>
          <cell r="F2896" t="str">
            <v>1.00E+00</v>
          </cell>
          <cell r="G2896">
            <v>1</v>
          </cell>
          <cell r="H2896">
            <v>1</v>
          </cell>
          <cell r="I2896" t="str">
            <v>None</v>
          </cell>
          <cell r="J2896" t="str">
            <v>[PU] Anode_Slime_processing_primary_copper_EI</v>
          </cell>
          <cell r="K2896"/>
          <cell r="L2896"/>
        </row>
        <row r="2897">
          <cell r="A2897" t="str">
            <v>[ecoinvent] Processing of anode slime from electrorefining of primary copper</v>
          </cell>
          <cell r="B2897" t="str">
            <v>Gold</v>
          </cell>
          <cell r="C2897" t="str">
            <v>to technosphere (by-product)</v>
          </cell>
          <cell r="D2897">
            <v>7108</v>
          </cell>
          <cell r="E2897" t="str">
            <v>Mass</v>
          </cell>
          <cell r="F2897" t="str">
            <v>2.38E-03</v>
          </cell>
          <cell r="G2897" t="str">
            <v>kg</v>
          </cell>
          <cell r="H2897">
            <v>1</v>
          </cell>
          <cell r="I2897" t="str">
            <v>None</v>
          </cell>
          <cell r="J2897" t="str">
            <v>[PU] Anode_Slime_processing_primary_copper_EI</v>
          </cell>
          <cell r="K2897"/>
          <cell r="L2897" t="str">
            <v>See log sheet</v>
          </cell>
        </row>
        <row r="2898">
          <cell r="A2898" t="str">
            <v>[ecoinvent] Processing of anode slime from electrorefining of primary copper</v>
          </cell>
          <cell r="B2898" t="str">
            <v>Selenium</v>
          </cell>
          <cell r="C2898" t="str">
            <v>to technosphere (by-product)</v>
          </cell>
          <cell r="D2898">
            <v>280490</v>
          </cell>
          <cell r="E2898" t="str">
            <v>Mass</v>
          </cell>
          <cell r="F2898" t="str">
            <v>4.97E-02</v>
          </cell>
          <cell r="G2898" t="str">
            <v>kg</v>
          </cell>
          <cell r="H2898">
            <v>1</v>
          </cell>
          <cell r="I2898" t="str">
            <v>None</v>
          </cell>
          <cell r="J2898" t="str">
            <v>[PU] Anode_Slime_processing_primary_copper_EI</v>
          </cell>
          <cell r="K2898"/>
          <cell r="L2898" t="str">
            <v>See log sheet</v>
          </cell>
        </row>
        <row r="2899">
          <cell r="A2899" t="str">
            <v>[ecoinvent] Processing of anode slime from electrorefining of primary copper</v>
          </cell>
          <cell r="B2899" t="str">
            <v>Silver</v>
          </cell>
          <cell r="C2899" t="str">
            <v>to technosphere (by-product)</v>
          </cell>
          <cell r="D2899">
            <v>7106</v>
          </cell>
          <cell r="E2899" t="str">
            <v>Mass</v>
          </cell>
          <cell r="F2899" t="str">
            <v>5.81E-02</v>
          </cell>
          <cell r="G2899" t="str">
            <v>kg</v>
          </cell>
          <cell r="H2899">
            <v>1</v>
          </cell>
          <cell r="I2899" t="str">
            <v>None</v>
          </cell>
          <cell r="J2899" t="str">
            <v>[PU] Anode_Slime_processing_primary_copper_EI</v>
          </cell>
          <cell r="K2899"/>
          <cell r="L2899" t="str">
            <v>See log sheet</v>
          </cell>
        </row>
        <row r="2900">
          <cell r="A2900" t="str">
            <v>[ecoinvent] Processing of anode slime from electrorefining of primary copper</v>
          </cell>
          <cell r="B2900" t="str">
            <v>Copper slag</v>
          </cell>
          <cell r="C2900" t="str">
            <v>to technosphere (by-product)</v>
          </cell>
          <cell r="D2900">
            <v>262030</v>
          </cell>
          <cell r="E2900" t="str">
            <v>Mass</v>
          </cell>
          <cell r="F2900" t="str">
            <v>8.78E-01</v>
          </cell>
          <cell r="G2900" t="str">
            <v>kg</v>
          </cell>
          <cell r="H2900">
            <v>1</v>
          </cell>
          <cell r="I2900" t="str">
            <v>None</v>
          </cell>
          <cell r="J2900" t="str">
            <v>[PU] Anode_Slime_processing_primary_copper_EI</v>
          </cell>
          <cell r="K2900"/>
          <cell r="L2900" t="str">
            <v>See log sheet</v>
          </cell>
        </row>
        <row r="2901">
          <cell r="A2901" t="str">
            <v>[ecoinvent] Processing of anode slime from electrorefining of primary copper</v>
          </cell>
          <cell r="B2901" t="str">
            <v>electricity, high voltage</v>
          </cell>
          <cell r="C2901" t="str">
            <v>from technosphere (energy_carrier)</v>
          </cell>
          <cell r="D2901"/>
          <cell r="E2901" t="str">
            <v>Energy</v>
          </cell>
          <cell r="F2901" t="str">
            <v>1.36E+00</v>
          </cell>
          <cell r="G2901" t="str">
            <v>kWh</v>
          </cell>
          <cell r="H2901">
            <v>1</v>
          </cell>
          <cell r="I2901" t="str">
            <v>None</v>
          </cell>
          <cell r="J2901" t="str">
            <v>[PU] Anode_Slime_processing_primary_copper_EI</v>
          </cell>
          <cell r="K2901"/>
          <cell r="L2901" t="str">
            <v>See log sheet</v>
          </cell>
        </row>
        <row r="2902">
          <cell r="A2902" t="str">
            <v>[ecoinvent] Processing of anode slime from electrorefining of primary copper</v>
          </cell>
          <cell r="B2902" t="str">
            <v>heat, district or industrial, other than natural gas</v>
          </cell>
          <cell r="C2902" t="str">
            <v>from technosphere (energy_carrier)</v>
          </cell>
          <cell r="D2902"/>
          <cell r="E2902" t="str">
            <v>Energy</v>
          </cell>
          <cell r="F2902" t="str">
            <v>1.72E-01</v>
          </cell>
          <cell r="G2902" t="str">
            <v>MJ</v>
          </cell>
          <cell r="H2902">
            <v>1</v>
          </cell>
          <cell r="I2902" t="str">
            <v>None</v>
          </cell>
          <cell r="J2902" t="str">
            <v>[PU] Anode_Slime_processing_primary_copper_EI</v>
          </cell>
          <cell r="K2902"/>
          <cell r="L2902" t="str">
            <v>See log sheet</v>
          </cell>
        </row>
        <row r="2903">
          <cell r="A2903" t="str">
            <v>[ecoinvent] Processing of anode slime from electrorefining of primary copper</v>
          </cell>
          <cell r="B2903" t="str">
            <v>oxygen liquid</v>
          </cell>
          <cell r="C2903" t="str">
            <v>from technosphere (material)</v>
          </cell>
          <cell r="D2903"/>
          <cell r="E2903" t="str">
            <v>Mass</v>
          </cell>
          <cell r="F2903" t="str">
            <v>5.24E-02</v>
          </cell>
          <cell r="G2903" t="str">
            <v>kg</v>
          </cell>
          <cell r="H2903">
            <v>1</v>
          </cell>
          <cell r="I2903" t="str">
            <v>None</v>
          </cell>
          <cell r="J2903" t="str">
            <v>[PU] Anode_Slime_processing_primary_copper_EI</v>
          </cell>
          <cell r="K2903"/>
          <cell r="L2903" t="str">
            <v>See log sheet</v>
          </cell>
        </row>
        <row r="2904">
          <cell r="A2904" t="str">
            <v>[ecoinvent] Processing of anode slime from electrorefining of primary copper</v>
          </cell>
          <cell r="B2904" t="str">
            <v>Anode slime</v>
          </cell>
          <cell r="C2904" t="str">
            <v>from technosphere (material)</v>
          </cell>
          <cell r="D2904"/>
          <cell r="E2904" t="str">
            <v>Mass</v>
          </cell>
          <cell r="F2904" t="str">
            <v>1.00E+00</v>
          </cell>
          <cell r="G2904" t="str">
            <v>kg</v>
          </cell>
          <cell r="H2904">
            <v>1</v>
          </cell>
          <cell r="I2904" t="str">
            <v>None</v>
          </cell>
          <cell r="J2904" t="str">
            <v>[PU] Anode_Slime_processing_primary_copper_EI</v>
          </cell>
          <cell r="K2904"/>
          <cell r="L2904" t="str">
            <v>See log sheet</v>
          </cell>
        </row>
        <row r="2905">
          <cell r="A2905" t="str">
            <v>[ecoinvent] Processing of anode slime from electrorefining of primary copper</v>
          </cell>
          <cell r="B2905" t="str">
            <v>cadmium II</v>
          </cell>
          <cell r="C2905" t="str">
            <v>to environment (emission)</v>
          </cell>
          <cell r="D2905"/>
          <cell r="E2905" t="str">
            <v>Mass</v>
          </cell>
          <cell r="F2905" t="str">
            <v>7.41E-08</v>
          </cell>
          <cell r="G2905" t="str">
            <v>kg</v>
          </cell>
          <cell r="H2905">
            <v>1</v>
          </cell>
          <cell r="I2905" t="str">
            <v>None</v>
          </cell>
          <cell r="J2905" t="str">
            <v>[PU] Anode_Slime_processing_primary_copper_EI</v>
          </cell>
          <cell r="K2905"/>
          <cell r="L2905" t="str">
            <v>See log sheet</v>
          </cell>
        </row>
        <row r="2906">
          <cell r="A2906" t="str">
            <v>[ecoinvent] Processing of anode slime from electrorefining of primary copper</v>
          </cell>
          <cell r="B2906" t="str">
            <v>Chlorine</v>
          </cell>
          <cell r="C2906" t="str">
            <v>to environment (emission)</v>
          </cell>
          <cell r="D2906"/>
          <cell r="E2906" t="str">
            <v>Mass</v>
          </cell>
          <cell r="F2906" t="str">
            <v>1.57E-04</v>
          </cell>
          <cell r="G2906" t="str">
            <v>kg</v>
          </cell>
          <cell r="H2906">
            <v>1</v>
          </cell>
          <cell r="I2906" t="str">
            <v>None</v>
          </cell>
          <cell r="J2906" t="str">
            <v>[PU] Anode_Slime_processing_primary_copper_EI</v>
          </cell>
          <cell r="K2906"/>
          <cell r="L2906" t="str">
            <v>See log sheet</v>
          </cell>
        </row>
        <row r="2907">
          <cell r="A2907" t="str">
            <v>[ecoinvent] Processing of anode slime from electrorefining of primary copper</v>
          </cell>
          <cell r="B2907" t="str">
            <v>Copper ion</v>
          </cell>
          <cell r="C2907" t="str">
            <v>to environment (emission)</v>
          </cell>
          <cell r="D2907"/>
          <cell r="E2907" t="str">
            <v>Mass</v>
          </cell>
          <cell r="F2907" t="str">
            <v>1.11E-06</v>
          </cell>
          <cell r="G2907" t="str">
            <v>kg</v>
          </cell>
          <cell r="H2907">
            <v>1</v>
          </cell>
          <cell r="I2907" t="str">
            <v>None</v>
          </cell>
          <cell r="J2907" t="str">
            <v>[PU] Anode_Slime_processing_primary_copper_EI</v>
          </cell>
          <cell r="K2907"/>
          <cell r="L2907" t="str">
            <v>See log sheet</v>
          </cell>
        </row>
        <row r="2908">
          <cell r="A2908" t="str">
            <v>[ecoinvent] Processing of anode slime from electrorefining of primary copper</v>
          </cell>
          <cell r="B2908" t="str">
            <v>Dioxins, measured as 2,3,7,8-tetrachlorodibenzo-p-dioxin</v>
          </cell>
          <cell r="C2908" t="str">
            <v>to environment (emission)</v>
          </cell>
          <cell r="D2908"/>
          <cell r="E2908" t="str">
            <v>Mass</v>
          </cell>
          <cell r="F2908" t="str">
            <v>3.11E-09</v>
          </cell>
          <cell r="G2908" t="str">
            <v>kg</v>
          </cell>
          <cell r="H2908">
            <v>1</v>
          </cell>
          <cell r="I2908" t="str">
            <v>None</v>
          </cell>
          <cell r="J2908" t="str">
            <v>[PU] Anode_Slime_processing_primary_copper_EI</v>
          </cell>
          <cell r="K2908"/>
          <cell r="L2908" t="str">
            <v>See log sheet</v>
          </cell>
        </row>
        <row r="2909">
          <cell r="A2909" t="str">
            <v>[ecoinvent] Processing of anode slime from electrorefining of primary copper</v>
          </cell>
          <cell r="B2909" t="str">
            <v>Fluorine</v>
          </cell>
          <cell r="C2909" t="str">
            <v>to environment (emission)</v>
          </cell>
          <cell r="D2909"/>
          <cell r="E2909" t="str">
            <v>Mass</v>
          </cell>
          <cell r="F2909" t="str">
            <v>1.26E-06</v>
          </cell>
          <cell r="G2909" t="str">
            <v>kg</v>
          </cell>
          <cell r="H2909">
            <v>1</v>
          </cell>
          <cell r="I2909" t="str">
            <v>None</v>
          </cell>
          <cell r="J2909" t="str">
            <v>[PU] Anode_Slime_processing_primary_copper_EI</v>
          </cell>
          <cell r="K2909"/>
          <cell r="L2909" t="str">
            <v>See log sheet</v>
          </cell>
        </row>
        <row r="2910">
          <cell r="A2910" t="str">
            <v>[ecoinvent] Processing of anode slime from electrorefining of primary copper</v>
          </cell>
          <cell r="B2910" t="str">
            <v>Lead II</v>
          </cell>
          <cell r="C2910" t="str">
            <v>to environment (emission)</v>
          </cell>
          <cell r="D2910"/>
          <cell r="E2910" t="str">
            <v>Mass</v>
          </cell>
          <cell r="F2910" t="str">
            <v>3.07E-05</v>
          </cell>
          <cell r="G2910" t="str">
            <v>kg</v>
          </cell>
          <cell r="H2910">
            <v>1</v>
          </cell>
          <cell r="I2910" t="str">
            <v>None</v>
          </cell>
          <cell r="J2910" t="str">
            <v>[PU] Anode_Slime_processing_primary_copper_EI</v>
          </cell>
          <cell r="K2910"/>
          <cell r="L2910" t="str">
            <v>See log sheet</v>
          </cell>
        </row>
        <row r="2911">
          <cell r="A2911" t="str">
            <v>[ecoinvent] Processing of anode slime from electrorefining of primary copper</v>
          </cell>
          <cell r="B2911" t="str">
            <v>Mercury II</v>
          </cell>
          <cell r="C2911" t="str">
            <v>to environment (emission)</v>
          </cell>
          <cell r="D2911"/>
          <cell r="E2911" t="str">
            <v>Mass</v>
          </cell>
          <cell r="F2911" t="str">
            <v>1.48E-07</v>
          </cell>
          <cell r="G2911" t="str">
            <v>kg</v>
          </cell>
          <cell r="H2911">
            <v>1</v>
          </cell>
          <cell r="I2911" t="str">
            <v>None</v>
          </cell>
          <cell r="J2911" t="str">
            <v>[PU] Anode_Slime_processing_primary_copper_EI</v>
          </cell>
          <cell r="K2911"/>
          <cell r="L2911" t="str">
            <v>See log sheet</v>
          </cell>
        </row>
        <row r="2912">
          <cell r="A2912" t="str">
            <v>[ecoinvent] Processing of anode slime from electrorefining of primary copper</v>
          </cell>
          <cell r="B2912" t="str">
            <v>Nitrogen oxides</v>
          </cell>
          <cell r="C2912" t="str">
            <v>to environment (emission)</v>
          </cell>
          <cell r="D2912"/>
          <cell r="E2912" t="str">
            <v>Mass</v>
          </cell>
          <cell r="F2912" t="str">
            <v>4.30E-04</v>
          </cell>
          <cell r="G2912" t="str">
            <v>kg</v>
          </cell>
          <cell r="H2912">
            <v>1</v>
          </cell>
          <cell r="I2912" t="str">
            <v>None</v>
          </cell>
          <cell r="J2912" t="str">
            <v>[PU] Anode_Slime_processing_primary_copper_EI</v>
          </cell>
          <cell r="K2912"/>
          <cell r="L2912" t="str">
            <v>See log sheet</v>
          </cell>
        </row>
        <row r="2913">
          <cell r="A2913" t="str">
            <v>[ecoinvent] Processing of anode slime from electrorefining of primary copper</v>
          </cell>
          <cell r="B2913" t="str">
            <v>Particulate Matter, &lt; 2.5 um</v>
          </cell>
          <cell r="C2913" t="str">
            <v>to environment (emission)</v>
          </cell>
          <cell r="D2913"/>
          <cell r="E2913" t="str">
            <v>Mass</v>
          </cell>
          <cell r="F2913" t="str">
            <v>3.30E-05</v>
          </cell>
          <cell r="G2913" t="str">
            <v>kg</v>
          </cell>
          <cell r="H2913">
            <v>1</v>
          </cell>
          <cell r="I2913" t="str">
            <v>None</v>
          </cell>
          <cell r="J2913" t="str">
            <v>[PU] Anode_Slime_processing_primary_copper_EI</v>
          </cell>
          <cell r="K2913"/>
          <cell r="L2913" t="str">
            <v>See log sheet</v>
          </cell>
        </row>
        <row r="2914">
          <cell r="A2914" t="str">
            <v>[ecoinvent] Processing of anode slime from electrorefining of primary copper</v>
          </cell>
          <cell r="B2914" t="str">
            <v>Particulate Matter, &gt; 10 um</v>
          </cell>
          <cell r="C2914" t="str">
            <v>to environment (emission)</v>
          </cell>
          <cell r="D2914"/>
          <cell r="E2914" t="str">
            <v>Mass</v>
          </cell>
          <cell r="F2914" t="str">
            <v>1.10E-05</v>
          </cell>
          <cell r="G2914" t="str">
            <v>kg</v>
          </cell>
          <cell r="H2914">
            <v>1</v>
          </cell>
          <cell r="I2914" t="str">
            <v>None</v>
          </cell>
          <cell r="J2914" t="str">
            <v>[PU] Anode_Slime_processing_primary_copper_EI</v>
          </cell>
          <cell r="K2914"/>
          <cell r="L2914" t="str">
            <v>See log sheet</v>
          </cell>
        </row>
        <row r="2915">
          <cell r="A2915" t="str">
            <v>[ecoinvent] Processing of anode slime from electrorefining of primary copper</v>
          </cell>
          <cell r="B2915" t="str">
            <v>Particulate Matter, &gt; 2.5 um and &lt; 10um</v>
          </cell>
          <cell r="C2915" t="str">
            <v>to environment (emission)</v>
          </cell>
          <cell r="D2915"/>
          <cell r="E2915" t="str">
            <v>Mass</v>
          </cell>
          <cell r="F2915" t="str">
            <v>2.20E-05</v>
          </cell>
          <cell r="G2915" t="str">
            <v>kg</v>
          </cell>
          <cell r="H2915">
            <v>1</v>
          </cell>
          <cell r="I2915" t="str">
            <v>None</v>
          </cell>
          <cell r="J2915" t="str">
            <v>[PU] Anode_Slime_processing_primary_copper_EI</v>
          </cell>
          <cell r="K2915"/>
          <cell r="L2915" t="str">
            <v>See log sheet</v>
          </cell>
        </row>
        <row r="2916">
          <cell r="A2916" t="str">
            <v>[ecoinvent] Processing of anode slime from electrorefining of primary copper</v>
          </cell>
          <cell r="B2916" t="str">
            <v>Sulfur dioxide</v>
          </cell>
          <cell r="C2916" t="str">
            <v>to environment (emission)</v>
          </cell>
          <cell r="D2916"/>
          <cell r="E2916" t="str">
            <v>Mass</v>
          </cell>
          <cell r="F2916" t="str">
            <v>3.34E-04</v>
          </cell>
          <cell r="G2916" t="str">
            <v>kg</v>
          </cell>
          <cell r="H2916">
            <v>1</v>
          </cell>
          <cell r="I2916" t="str">
            <v>None</v>
          </cell>
          <cell r="J2916" t="str">
            <v>[PU] Anode_Slime_processing_primary_copper_EI</v>
          </cell>
          <cell r="K2916"/>
          <cell r="L2916" t="str">
            <v>See log sheet</v>
          </cell>
        </row>
        <row r="2917">
          <cell r="A2917" t="str">
            <v>[ecoinvent] Processing of anode slime from electrorefining of primary copper</v>
          </cell>
          <cell r="B2917" t="str">
            <v>Zinc II</v>
          </cell>
          <cell r="C2917" t="str">
            <v>to environment (emission)</v>
          </cell>
          <cell r="D2917"/>
          <cell r="E2917" t="str">
            <v>Mass</v>
          </cell>
          <cell r="F2917" t="str">
            <v>4.12E-06</v>
          </cell>
          <cell r="G2917" t="str">
            <v>kg</v>
          </cell>
          <cell r="H2917">
            <v>1</v>
          </cell>
          <cell r="I2917" t="str">
            <v>None</v>
          </cell>
          <cell r="J2917" t="str">
            <v>[PU] Anode_Slime_processing_primary_copper_EI</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Ahmed Ismail Mohamed younis" id="{829BA267-8A75-49E6-84A8-A3C7EC466D2D}" userId="S::a.younis@FCT.UNL.PT::0ab46565-0b8c-40d4-9275-9e454085e19c" providerId="AD"/>
  <person displayName="Patrícia Fortes" id="{7007DFCD-EE5A-4713-AFF6-FCA6E39BF2BB}" userId="S::pas11067@FCT.UNL.PT::038fb7ab-0936-4af3-9475-a3e615095911"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53" dT="2023-12-04T01:16:43.88" personId="{7007DFCD-EE5A-4713-AFF6-FCA6E39BF2BB}" id="{61D18D03-1D7C-4D62-A1A7-EA95DFBBE30E}">
    <text>Representative value of EU</text>
  </threadedComment>
  <threadedComment ref="E2599" dT="2024-01-06T15:16:08.86" personId="{829BA267-8A75-49E6-84A8-A3C7EC466D2D}" id="{7164A800-DA19-4A99-9224-AD6D0B110D00}">
    <text>Unclear what the source of CO2 is when energy input is electricity.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016/j.jclepro.2018.08.279" TargetMode="External"/><Relationship Id="rId18" Type="http://schemas.openxmlformats.org/officeDocument/2006/relationships/hyperlink" Target="https://www.sciencedirect.com/science/article/pii/S0956053X14002074" TargetMode="External"/><Relationship Id="rId26" Type="http://schemas.openxmlformats.org/officeDocument/2006/relationships/hyperlink" Target="https://doi.org/10.1016/j.jenvman.2020.111276" TargetMode="External"/><Relationship Id="rId39" Type="http://schemas.openxmlformats.org/officeDocument/2006/relationships/hyperlink" Target="https://www.sciencedirect.com/science/article/pii/S0959652618324831" TargetMode="External"/><Relationship Id="rId21" Type="http://schemas.openxmlformats.org/officeDocument/2006/relationships/hyperlink" Target="https://doi.org/10.1016/j.scitotenv.2020.144483" TargetMode="External"/><Relationship Id="rId34" Type="http://schemas.openxmlformats.org/officeDocument/2006/relationships/hyperlink" Target="https://www.sciencedirect.com/science/article/pii/S0956053X10003211" TargetMode="External"/><Relationship Id="rId42" Type="http://schemas.openxmlformats.org/officeDocument/2006/relationships/hyperlink" Target="https://www.sciencedirect.com/science/article/pii/S0956053X14004346" TargetMode="External"/><Relationship Id="rId7" Type="http://schemas.openxmlformats.org/officeDocument/2006/relationships/hyperlink" Target="https://doi.org/10.1016/j.jclepro.2016.02.125" TargetMode="External"/><Relationship Id="rId2" Type="http://schemas.openxmlformats.org/officeDocument/2006/relationships/hyperlink" Target="https://www.pbl.nl/sites/default/files/downloads/pbl-2022-decarbonisation-options-for-the-dutch-asphalt-industry_4791.pdf" TargetMode="External"/><Relationship Id="rId16" Type="http://schemas.openxmlformats.org/officeDocument/2006/relationships/hyperlink" Target="https://onlinelibrary.wiley.com/doi/full/10.1111/jiec.13145" TargetMode="External"/><Relationship Id="rId20" Type="http://schemas.openxmlformats.org/officeDocument/2006/relationships/hyperlink" Target="https://doi.org/10.1016/j.resconrec.2020.105010" TargetMode="External"/><Relationship Id="rId29" Type="http://schemas.openxmlformats.org/officeDocument/2006/relationships/hyperlink" Target="https://www.sciencedirect.com/science/article/pii/S0304389411012283" TargetMode="External"/><Relationship Id="rId41" Type="http://schemas.openxmlformats.org/officeDocument/2006/relationships/hyperlink" Target="https://www.sciencedirect.com/science/article/pii/S0956053X10001492" TargetMode="External"/><Relationship Id="rId1" Type="http://schemas.openxmlformats.org/officeDocument/2006/relationships/hyperlink" Target="https://www.sciencedirect.com/science/article/pii/S1364032121000381" TargetMode="External"/><Relationship Id="rId6" Type="http://schemas.openxmlformats.org/officeDocument/2006/relationships/hyperlink" Target="https://doi.org/10.1088/2515-7620/acccd8" TargetMode="External"/><Relationship Id="rId11" Type="http://schemas.openxmlformats.org/officeDocument/2006/relationships/hyperlink" Target="http://data.europa.eu/89h/8141a398-41a8-42fa-81a4-5b825a51761b" TargetMode="External"/><Relationship Id="rId24" Type="http://schemas.openxmlformats.org/officeDocument/2006/relationships/hyperlink" Target="https://doi.org/10.3390/su16031082" TargetMode="External"/><Relationship Id="rId32" Type="http://schemas.openxmlformats.org/officeDocument/2006/relationships/hyperlink" Target="https://scholar.uwindsor.ca/cgi/viewcontent.cgi?article=8847&amp;context=etd" TargetMode="External"/><Relationship Id="rId37" Type="http://schemas.openxmlformats.org/officeDocument/2006/relationships/hyperlink" Target="http://dx.doi.org/10.1016/S0921-3449(01)00114-8" TargetMode="External"/><Relationship Id="rId40" Type="http://schemas.openxmlformats.org/officeDocument/2006/relationships/hyperlink" Target="https://doi.org/10.1016/j.wasman.2015.03.041" TargetMode="External"/><Relationship Id="rId5" Type="http://schemas.openxmlformats.org/officeDocument/2006/relationships/hyperlink" Target="https://doi.org/10.1016/j.resconrec.2018.11.002" TargetMode="External"/><Relationship Id="rId15" Type="http://schemas.openxmlformats.org/officeDocument/2006/relationships/hyperlink" Target="https://www.tandfonline.com/doi/full/10.1080/00207233.2019.1618670" TargetMode="External"/><Relationship Id="rId23" Type="http://schemas.openxmlformats.org/officeDocument/2006/relationships/hyperlink" Target="https://www.sciencedirect.com/science/article/pii/S0959652614002613" TargetMode="External"/><Relationship Id="rId28" Type="http://schemas.openxmlformats.org/officeDocument/2006/relationships/hyperlink" Target="https://doi.org/10.1007/s11367-010-0222-1" TargetMode="External"/><Relationship Id="rId36" Type="http://schemas.openxmlformats.org/officeDocument/2006/relationships/hyperlink" Target="https://businessanalytiq.com/procurementanalytics/index/sodium-hydroxide-price-index/" TargetMode="External"/><Relationship Id="rId10" Type="http://schemas.openxmlformats.org/officeDocument/2006/relationships/hyperlink" Target="https://www.worldsteel.org/en/dam/jcr:7eb5b4b0-2d1d-49d8-b580-a8ed74e67436/" TargetMode="External"/><Relationship Id="rId19" Type="http://schemas.openxmlformats.org/officeDocument/2006/relationships/hyperlink" Target="https://doi.org/10.1016/j.wasman.2014.05.007" TargetMode="External"/><Relationship Id="rId31" Type="http://schemas.openxmlformats.org/officeDocument/2006/relationships/hyperlink" Target="https://www.sciencedirect.com/science/article/pii/S2212827115001547" TargetMode="External"/><Relationship Id="rId4" Type="http://schemas.openxmlformats.org/officeDocument/2006/relationships/hyperlink" Target="https://doi.org/10.1016/j.jclepro.2015.06.103" TargetMode="External"/><Relationship Id="rId9" Type="http://schemas.openxmlformats.org/officeDocument/2006/relationships/hyperlink" Target="https://doi.org/10.1016/j.deveng.2017.06.001" TargetMode="External"/><Relationship Id="rId14" Type="http://schemas.openxmlformats.org/officeDocument/2006/relationships/hyperlink" Target="http://link.springer.com/10.1007/s11367-016-1087-8" TargetMode="External"/><Relationship Id="rId22" Type="http://schemas.openxmlformats.org/officeDocument/2006/relationships/hyperlink" Target="https://doi.org/10.1016/j.resconrec.2015.10.026" TargetMode="External"/><Relationship Id="rId27" Type="http://schemas.openxmlformats.org/officeDocument/2006/relationships/hyperlink" Target="https://doi.org/10.1016/j.jenvman.2020.111276" TargetMode="External"/><Relationship Id="rId30" Type="http://schemas.openxmlformats.org/officeDocument/2006/relationships/hyperlink" Target="https://www.sciencedirect.com/science/article/pii/S0921344922002038" TargetMode="External"/><Relationship Id="rId35" Type="http://schemas.openxmlformats.org/officeDocument/2006/relationships/hyperlink" Target="https://www.researchgate.net/publication/284131751_CHANGES_TO_THE_NATURAL_GAS_CORN_AND_FERTILIZER_PRICE_RELATIONSHIPS_FROM_THE_BIOFUELS_ERA/figures?lo=1" TargetMode="External"/><Relationship Id="rId8" Type="http://schemas.openxmlformats.org/officeDocument/2006/relationships/hyperlink" Target="https://doi.org/10.1617/s11527-021-01807-6" TargetMode="External"/><Relationship Id="rId3" Type="http://schemas.openxmlformats.org/officeDocument/2006/relationships/hyperlink" Target="https://doi.org/10.1007/s12053-023-10089-6" TargetMode="External"/><Relationship Id="rId12" Type="http://schemas.openxmlformats.org/officeDocument/2006/relationships/hyperlink" Target="https://doi.org/10.1016/j.jclepro.2018.08.279" TargetMode="External"/><Relationship Id="rId17" Type="http://schemas.openxmlformats.org/officeDocument/2006/relationships/hyperlink" Target="https://doi.org/10.1007/s11367-016-1087-8" TargetMode="External"/><Relationship Id="rId25" Type="http://schemas.openxmlformats.org/officeDocument/2006/relationships/hyperlink" Target="https://doi.org/10.1016/j.solmat.2016.03.020" TargetMode="External"/><Relationship Id="rId33" Type="http://schemas.openxmlformats.org/officeDocument/2006/relationships/hyperlink" Target="https://www.sciencedirect.com/science/article/pii/S0956053X21001434?via%3Dihub" TargetMode="External"/><Relationship Id="rId38" Type="http://schemas.openxmlformats.org/officeDocument/2006/relationships/hyperlink" Target="https://www.sciencedirect.com/science/article/pii/S09596526163034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opLeftCell="A19" zoomScale="85" zoomScaleNormal="85" workbookViewId="0">
      <selection activeCell="I11" sqref="I11"/>
    </sheetView>
  </sheetViews>
  <sheetFormatPr baseColWidth="10" defaultColWidth="9.3125" defaultRowHeight="14.4" x14ac:dyDescent="0.55000000000000004"/>
  <cols>
    <col min="1" max="1" width="7.3125" customWidth="1"/>
    <col min="2" max="2" width="15.68359375" customWidth="1"/>
    <col min="3" max="3" width="23.3125" bestFit="1" customWidth="1"/>
    <col min="4" max="4" width="46.68359375" customWidth="1"/>
    <col min="5" max="5" width="11.68359375" bestFit="1" customWidth="1"/>
    <col min="6" max="6" width="24.3125" bestFit="1" customWidth="1"/>
    <col min="7" max="8" width="26" bestFit="1" customWidth="1"/>
    <col min="9" max="9" width="24.68359375" bestFit="1" customWidth="1"/>
    <col min="10" max="11" width="3.3125" customWidth="1"/>
  </cols>
  <sheetData>
    <row r="1" spans="1:12" x14ac:dyDescent="0.55000000000000004">
      <c r="E1" s="1"/>
      <c r="H1" s="21"/>
    </row>
    <row r="2" spans="1:12" ht="15.55" customHeight="1" x14ac:dyDescent="0.6">
      <c r="B2" s="179" t="s">
        <v>0</v>
      </c>
      <c r="C2" s="175"/>
      <c r="D2" s="175"/>
      <c r="E2" s="1"/>
      <c r="F2" s="179" t="s">
        <v>1</v>
      </c>
      <c r="G2" s="175"/>
      <c r="H2" s="175"/>
      <c r="I2" s="175"/>
      <c r="L2" s="1"/>
    </row>
    <row r="3" spans="1:12" x14ac:dyDescent="0.55000000000000004">
      <c r="B3" s="5"/>
      <c r="C3" s="6" t="s">
        <v>2</v>
      </c>
      <c r="D3" s="7" t="s">
        <v>3</v>
      </c>
      <c r="E3" s="1"/>
      <c r="L3" s="1"/>
    </row>
    <row r="4" spans="1:12" x14ac:dyDescent="0.55000000000000004">
      <c r="A4">
        <v>1</v>
      </c>
      <c r="B4" s="180" t="s">
        <v>4</v>
      </c>
      <c r="C4" s="8" t="s">
        <v>5</v>
      </c>
      <c r="D4" s="9" t="s">
        <v>6</v>
      </c>
      <c r="E4" s="1" t="s">
        <v>7</v>
      </c>
      <c r="F4" s="10" t="s">
        <v>8</v>
      </c>
      <c r="G4" s="11"/>
      <c r="H4" s="11"/>
      <c r="I4" s="12"/>
      <c r="L4" s="1"/>
    </row>
    <row r="5" spans="1:12" x14ac:dyDescent="0.55000000000000004">
      <c r="A5">
        <v>2</v>
      </c>
      <c r="B5" s="175"/>
      <c r="C5" s="41" t="s">
        <v>9</v>
      </c>
      <c r="D5" s="37" t="s">
        <v>3278</v>
      </c>
      <c r="E5" s="1" t="s">
        <v>7</v>
      </c>
      <c r="F5" s="13"/>
      <c r="I5" s="14"/>
      <c r="L5" s="1"/>
    </row>
    <row r="6" spans="1:12" x14ac:dyDescent="0.55000000000000004">
      <c r="A6">
        <v>3</v>
      </c>
      <c r="B6" s="15"/>
      <c r="C6" s="41" t="s">
        <v>10</v>
      </c>
      <c r="D6" s="37" t="s">
        <v>3279</v>
      </c>
      <c r="E6" s="1" t="s">
        <v>7</v>
      </c>
      <c r="F6" s="16" t="s">
        <v>11</v>
      </c>
      <c r="G6" s="17" t="s">
        <v>12</v>
      </c>
      <c r="H6" s="4"/>
      <c r="I6" s="18"/>
      <c r="L6" s="1"/>
    </row>
    <row r="7" spans="1:12" x14ac:dyDescent="0.55000000000000004">
      <c r="A7">
        <v>4</v>
      </c>
      <c r="B7" s="181" t="s">
        <v>13</v>
      </c>
      <c r="C7" s="41" t="s">
        <v>14</v>
      </c>
      <c r="D7" s="37" t="s">
        <v>15</v>
      </c>
      <c r="E7" s="1" t="s">
        <v>7</v>
      </c>
      <c r="F7" s="16" t="s">
        <v>16</v>
      </c>
      <c r="G7" s="17" t="s">
        <v>17</v>
      </c>
      <c r="H7" s="19"/>
      <c r="I7" s="20"/>
      <c r="L7" s="1"/>
    </row>
    <row r="8" spans="1:12" x14ac:dyDescent="0.55000000000000004">
      <c r="A8">
        <v>5</v>
      </c>
      <c r="B8" s="175"/>
      <c r="C8" s="41" t="s">
        <v>18</v>
      </c>
      <c r="D8" s="37">
        <v>4</v>
      </c>
      <c r="E8" s="1" t="s">
        <v>7</v>
      </c>
      <c r="F8" s="16" t="s">
        <v>19</v>
      </c>
      <c r="G8" s="17" t="s">
        <v>17</v>
      </c>
      <c r="H8" s="21"/>
      <c r="I8" s="22"/>
      <c r="L8" s="1"/>
    </row>
    <row r="9" spans="1:12" x14ac:dyDescent="0.55000000000000004">
      <c r="A9">
        <v>6</v>
      </c>
      <c r="B9" s="175"/>
      <c r="C9" s="41" t="s">
        <v>20</v>
      </c>
      <c r="D9" s="37" t="s">
        <v>21</v>
      </c>
      <c r="E9" s="1"/>
      <c r="F9" s="16" t="s">
        <v>22</v>
      </c>
      <c r="G9" s="17" t="s">
        <v>17</v>
      </c>
      <c r="H9" s="21"/>
      <c r="I9" s="22"/>
      <c r="L9" s="1"/>
    </row>
    <row r="10" spans="1:12" x14ac:dyDescent="0.55000000000000004">
      <c r="A10">
        <v>7</v>
      </c>
      <c r="B10" s="175"/>
      <c r="C10" s="41" t="s">
        <v>23</v>
      </c>
      <c r="D10" s="37" t="s">
        <v>24</v>
      </c>
      <c r="E10" s="1"/>
      <c r="F10" s="23" t="s">
        <v>25</v>
      </c>
      <c r="G10" s="24" t="s">
        <v>17</v>
      </c>
      <c r="H10" s="25" t="s">
        <v>26</v>
      </c>
      <c r="I10" s="141">
        <v>4386</v>
      </c>
      <c r="L10" s="1"/>
    </row>
    <row r="11" spans="1:12" x14ac:dyDescent="0.55000000000000004">
      <c r="A11">
        <v>8</v>
      </c>
      <c r="B11" s="182" t="s">
        <v>27</v>
      </c>
      <c r="C11" s="28" t="s">
        <v>28</v>
      </c>
      <c r="D11" s="37" t="s">
        <v>29</v>
      </c>
      <c r="E11" s="1"/>
      <c r="F11" s="16" t="s">
        <v>30</v>
      </c>
      <c r="G11" s="26" t="s">
        <v>31</v>
      </c>
      <c r="H11" s="26" t="s">
        <v>32</v>
      </c>
      <c r="I11" s="27" t="s">
        <v>33</v>
      </c>
      <c r="L11" s="1"/>
    </row>
    <row r="12" spans="1:12" x14ac:dyDescent="0.55000000000000004">
      <c r="A12">
        <v>9</v>
      </c>
      <c r="B12" s="175"/>
      <c r="C12" s="28" t="s">
        <v>34</v>
      </c>
      <c r="D12" s="37" t="s">
        <v>35</v>
      </c>
      <c r="E12" s="1"/>
      <c r="F12" s="46" t="s">
        <v>36</v>
      </c>
      <c r="G12" s="3">
        <v>1</v>
      </c>
      <c r="H12" s="29" t="s">
        <v>37</v>
      </c>
      <c r="I12" s="30"/>
      <c r="L12" s="1"/>
    </row>
    <row r="13" spans="1:12" x14ac:dyDescent="0.55000000000000004">
      <c r="A13">
        <v>10</v>
      </c>
      <c r="B13" s="175"/>
      <c r="C13" s="28" t="s">
        <v>38</v>
      </c>
      <c r="D13" s="37" t="s">
        <v>39</v>
      </c>
      <c r="E13" s="1"/>
      <c r="F13" s="46" t="s">
        <v>3374</v>
      </c>
      <c r="G13" s="3">
        <v>1</v>
      </c>
      <c r="H13" s="29" t="s">
        <v>40</v>
      </c>
      <c r="I13" s="30"/>
      <c r="L13" s="1"/>
    </row>
    <row r="14" spans="1:12" x14ac:dyDescent="0.55000000000000004">
      <c r="A14">
        <v>11</v>
      </c>
      <c r="B14" s="175"/>
      <c r="C14" s="28" t="s">
        <v>41</v>
      </c>
      <c r="D14" s="37" t="s">
        <v>39</v>
      </c>
      <c r="E14" s="1"/>
      <c r="F14" s="31" t="s">
        <v>42</v>
      </c>
      <c r="G14" s="3">
        <v>1</v>
      </c>
      <c r="H14" s="29" t="s">
        <v>43</v>
      </c>
      <c r="I14" s="30"/>
      <c r="L14" s="1"/>
    </row>
    <row r="15" spans="1:12" x14ac:dyDescent="0.55000000000000004">
      <c r="A15">
        <v>12</v>
      </c>
      <c r="B15" s="175"/>
      <c r="C15" s="28" t="s">
        <v>44</v>
      </c>
      <c r="D15" s="37" t="s">
        <v>45</v>
      </c>
      <c r="E15" s="1"/>
      <c r="F15" s="46" t="s">
        <v>50</v>
      </c>
      <c r="G15" s="3">
        <v>1</v>
      </c>
      <c r="H15" s="29" t="s">
        <v>47</v>
      </c>
      <c r="I15" s="30"/>
      <c r="L15" s="1"/>
    </row>
    <row r="16" spans="1:12" x14ac:dyDescent="0.55000000000000004">
      <c r="A16">
        <v>13</v>
      </c>
      <c r="B16" s="175"/>
      <c r="C16" s="28" t="s">
        <v>48</v>
      </c>
      <c r="D16" s="37" t="s">
        <v>49</v>
      </c>
      <c r="E16" s="1"/>
      <c r="F16" s="13"/>
      <c r="H16" s="29" t="s">
        <v>51</v>
      </c>
      <c r="I16" s="30"/>
      <c r="L16" s="1"/>
    </row>
    <row r="17" spans="1:15" x14ac:dyDescent="0.55000000000000004">
      <c r="A17">
        <v>14</v>
      </c>
      <c r="B17" s="175"/>
      <c r="C17" s="28" t="s">
        <v>52</v>
      </c>
      <c r="D17" s="37" t="s">
        <v>53</v>
      </c>
      <c r="E17" s="1"/>
      <c r="F17" s="13"/>
      <c r="I17" s="14"/>
      <c r="L17" s="1"/>
    </row>
    <row r="18" spans="1:15" x14ac:dyDescent="0.55000000000000004">
      <c r="A18">
        <v>15</v>
      </c>
      <c r="B18" s="175"/>
      <c r="C18" s="28" t="s">
        <v>54</v>
      </c>
      <c r="D18" s="37" t="s">
        <v>55</v>
      </c>
      <c r="E18" s="1"/>
      <c r="F18" s="13"/>
      <c r="I18" s="14"/>
      <c r="L18" s="1"/>
    </row>
    <row r="19" spans="1:15" x14ac:dyDescent="0.55000000000000004">
      <c r="A19">
        <v>16</v>
      </c>
      <c r="B19" s="175"/>
      <c r="C19" s="28" t="s">
        <v>56</v>
      </c>
      <c r="D19" s="37" t="s">
        <v>57</v>
      </c>
      <c r="E19" s="1"/>
      <c r="F19" s="13"/>
      <c r="I19" s="14"/>
      <c r="L19" s="1"/>
    </row>
    <row r="20" spans="1:15" x14ac:dyDescent="0.55000000000000004">
      <c r="A20">
        <v>17</v>
      </c>
      <c r="B20" s="175"/>
      <c r="C20" s="28" t="s">
        <v>58</v>
      </c>
      <c r="D20" s="37" t="s">
        <v>55</v>
      </c>
      <c r="E20" s="1"/>
      <c r="F20" s="13"/>
      <c r="I20" s="14"/>
      <c r="L20" s="1"/>
    </row>
    <row r="21" spans="1:15" x14ac:dyDescent="0.55000000000000004">
      <c r="A21">
        <v>18</v>
      </c>
      <c r="B21" s="183" t="s">
        <v>59</v>
      </c>
      <c r="C21" s="28" t="s">
        <v>60</v>
      </c>
      <c r="D21" s="37" t="s">
        <v>61</v>
      </c>
      <c r="E21" s="1" t="s">
        <v>7</v>
      </c>
      <c r="F21" s="32"/>
      <c r="G21" s="33"/>
      <c r="H21" s="33"/>
      <c r="I21" s="34"/>
      <c r="L21" s="1"/>
    </row>
    <row r="22" spans="1:15" x14ac:dyDescent="0.55000000000000004">
      <c r="A22">
        <v>19</v>
      </c>
      <c r="B22" s="175"/>
      <c r="C22" s="28" t="s">
        <v>62</v>
      </c>
      <c r="D22" s="37" t="s">
        <v>63</v>
      </c>
      <c r="E22" s="1"/>
      <c r="L22" s="1"/>
    </row>
    <row r="23" spans="1:15" x14ac:dyDescent="0.55000000000000004">
      <c r="A23">
        <v>20</v>
      </c>
      <c r="B23" s="175"/>
      <c r="C23" s="28" t="s">
        <v>64</v>
      </c>
      <c r="D23" s="37" t="s">
        <v>3372</v>
      </c>
      <c r="E23" s="1"/>
      <c r="L23" s="1"/>
      <c r="N23" s="35"/>
    </row>
    <row r="24" spans="1:15" x14ac:dyDescent="0.55000000000000004">
      <c r="A24">
        <v>21</v>
      </c>
      <c r="B24" s="175"/>
      <c r="C24" s="28" t="s">
        <v>65</v>
      </c>
      <c r="D24" s="37">
        <v>4386</v>
      </c>
      <c r="E24" s="1" t="s">
        <v>7</v>
      </c>
      <c r="H24" s="21"/>
      <c r="L24" s="1"/>
      <c r="N24" s="4"/>
      <c r="O24" s="1"/>
    </row>
    <row r="25" spans="1:15" x14ac:dyDescent="0.55000000000000004">
      <c r="A25">
        <v>22</v>
      </c>
      <c r="B25" s="175"/>
      <c r="C25" s="28" t="s">
        <v>51</v>
      </c>
      <c r="D25" s="37"/>
      <c r="E25" s="1" t="s">
        <v>7</v>
      </c>
      <c r="G25" s="35"/>
      <c r="L25" s="1"/>
      <c r="N25" s="4"/>
    </row>
    <row r="26" spans="1:15" x14ac:dyDescent="0.55000000000000004">
      <c r="A26">
        <v>23</v>
      </c>
      <c r="B26" s="174" t="s">
        <v>66</v>
      </c>
      <c r="C26" s="36" t="s">
        <v>67</v>
      </c>
      <c r="D26" s="37" t="s">
        <v>36</v>
      </c>
      <c r="E26" s="1" t="s">
        <v>7</v>
      </c>
      <c r="G26" s="4"/>
      <c r="H26" s="1"/>
      <c r="L26" s="1"/>
      <c r="N26" s="4"/>
    </row>
    <row r="27" spans="1:15" x14ac:dyDescent="0.55000000000000004">
      <c r="A27">
        <v>24</v>
      </c>
      <c r="B27" s="175"/>
      <c r="C27" s="36" t="s">
        <v>68</v>
      </c>
      <c r="D27" s="37">
        <v>82</v>
      </c>
      <c r="E27" s="1" t="s">
        <v>7</v>
      </c>
      <c r="G27" s="4"/>
      <c r="L27" s="1"/>
      <c r="N27" s="4"/>
      <c r="O27" s="1"/>
    </row>
    <row r="28" spans="1:15" x14ac:dyDescent="0.55000000000000004">
      <c r="A28">
        <v>25</v>
      </c>
      <c r="B28" s="175"/>
      <c r="C28" s="36" t="s">
        <v>69</v>
      </c>
      <c r="D28" s="37" t="s">
        <v>3374</v>
      </c>
      <c r="E28" s="1" t="s">
        <v>7</v>
      </c>
      <c r="G28" s="4"/>
      <c r="L28" s="1"/>
      <c r="N28" s="4"/>
      <c r="O28" s="1"/>
    </row>
    <row r="29" spans="1:15" x14ac:dyDescent="0.55000000000000004">
      <c r="A29">
        <v>26</v>
      </c>
      <c r="B29" s="175"/>
      <c r="C29" s="36" t="s">
        <v>70</v>
      </c>
      <c r="D29" s="38">
        <v>83</v>
      </c>
      <c r="E29" s="1" t="s">
        <v>7</v>
      </c>
      <c r="G29" s="4"/>
      <c r="H29" s="1"/>
      <c r="N29" s="4"/>
      <c r="O29" s="1"/>
    </row>
    <row r="30" spans="1:15" x14ac:dyDescent="0.55000000000000004">
      <c r="A30">
        <v>27</v>
      </c>
      <c r="B30" s="175"/>
      <c r="C30" s="36" t="s">
        <v>71</v>
      </c>
      <c r="D30" s="37" t="s">
        <v>42</v>
      </c>
      <c r="E30" s="1" t="s">
        <v>7</v>
      </c>
      <c r="G30" s="4"/>
      <c r="H30" s="1"/>
      <c r="N30" s="4"/>
    </row>
    <row r="31" spans="1:15" x14ac:dyDescent="0.55000000000000004">
      <c r="A31">
        <v>28</v>
      </c>
      <c r="B31" s="175"/>
      <c r="C31" s="36" t="s">
        <v>72</v>
      </c>
      <c r="D31" s="37">
        <v>84</v>
      </c>
      <c r="E31" s="1" t="s">
        <v>7</v>
      </c>
      <c r="G31" s="4"/>
      <c r="H31" s="1"/>
      <c r="N31" s="4"/>
    </row>
    <row r="32" spans="1:15" x14ac:dyDescent="0.55000000000000004">
      <c r="A32">
        <v>29</v>
      </c>
      <c r="B32" s="175"/>
      <c r="C32" s="36" t="s">
        <v>73</v>
      </c>
      <c r="D32" s="38" t="s">
        <v>50</v>
      </c>
      <c r="E32" s="1" t="s">
        <v>7</v>
      </c>
      <c r="G32" s="4"/>
      <c r="N32" s="4"/>
    </row>
    <row r="33" spans="1:17" x14ac:dyDescent="0.55000000000000004">
      <c r="A33">
        <v>30</v>
      </c>
      <c r="B33" s="175"/>
      <c r="C33" s="36" t="s">
        <v>74</v>
      </c>
      <c r="D33" s="37">
        <v>20</v>
      </c>
      <c r="E33" s="1" t="s">
        <v>7</v>
      </c>
      <c r="G33" s="4"/>
      <c r="N33" s="4"/>
      <c r="O33" s="2"/>
    </row>
    <row r="34" spans="1:17" x14ac:dyDescent="0.55000000000000004">
      <c r="A34">
        <v>31</v>
      </c>
      <c r="B34" s="175"/>
      <c r="C34" s="36" t="s">
        <v>75</v>
      </c>
      <c r="D34" s="37" t="s">
        <v>39</v>
      </c>
      <c r="E34" s="1" t="s">
        <v>7</v>
      </c>
      <c r="G34" s="4"/>
      <c r="N34" s="4"/>
      <c r="O34" s="2"/>
    </row>
    <row r="35" spans="1:17" x14ac:dyDescent="0.55000000000000004">
      <c r="A35">
        <v>32</v>
      </c>
      <c r="B35" s="175"/>
      <c r="C35" s="36" t="s">
        <v>76</v>
      </c>
      <c r="D35" s="37" t="s">
        <v>39</v>
      </c>
      <c r="E35" s="1" t="s">
        <v>7</v>
      </c>
      <c r="G35" s="4"/>
      <c r="H35" s="2"/>
      <c r="N35" s="4"/>
    </row>
    <row r="36" spans="1:17" x14ac:dyDescent="0.55000000000000004">
      <c r="A36">
        <v>33</v>
      </c>
      <c r="B36" s="175"/>
      <c r="C36" s="36" t="s">
        <v>77</v>
      </c>
      <c r="D36" s="37" t="s">
        <v>39</v>
      </c>
      <c r="E36" s="1" t="s">
        <v>7</v>
      </c>
      <c r="G36" s="4"/>
      <c r="H36" s="2"/>
      <c r="N36" s="4"/>
      <c r="O36" s="1"/>
    </row>
    <row r="37" spans="1:17" x14ac:dyDescent="0.55000000000000004">
      <c r="A37">
        <v>34</v>
      </c>
      <c r="B37" s="175"/>
      <c r="C37" s="36" t="s">
        <v>78</v>
      </c>
      <c r="D37" s="37" t="s">
        <v>39</v>
      </c>
      <c r="E37" s="1" t="s">
        <v>7</v>
      </c>
      <c r="G37" s="4"/>
      <c r="N37" s="4"/>
    </row>
    <row r="38" spans="1:17" x14ac:dyDescent="0.55000000000000004">
      <c r="A38">
        <v>35</v>
      </c>
      <c r="B38" s="175"/>
      <c r="C38" s="36" t="s">
        <v>79</v>
      </c>
      <c r="D38" s="37" t="s">
        <v>39</v>
      </c>
      <c r="E38" s="1" t="s">
        <v>7</v>
      </c>
      <c r="N38" s="4"/>
    </row>
    <row r="39" spans="1:17" x14ac:dyDescent="0.55000000000000004">
      <c r="A39">
        <v>36</v>
      </c>
      <c r="B39" s="175"/>
      <c r="C39" s="36" t="s">
        <v>80</v>
      </c>
      <c r="D39" s="37" t="s">
        <v>39</v>
      </c>
      <c r="E39" s="1" t="s">
        <v>7</v>
      </c>
      <c r="G39" s="4"/>
      <c r="N39" s="4"/>
    </row>
    <row r="40" spans="1:17" x14ac:dyDescent="0.55000000000000004">
      <c r="A40">
        <v>37</v>
      </c>
      <c r="B40" s="175"/>
      <c r="C40" s="36" t="s">
        <v>81</v>
      </c>
      <c r="D40" s="37" t="s">
        <v>39</v>
      </c>
      <c r="E40" s="1" t="s">
        <v>7</v>
      </c>
      <c r="G40" s="4"/>
      <c r="N40" s="4"/>
    </row>
    <row r="41" spans="1:17" x14ac:dyDescent="0.55000000000000004">
      <c r="A41">
        <v>38</v>
      </c>
      <c r="B41" s="175"/>
      <c r="C41" s="36" t="s">
        <v>82</v>
      </c>
      <c r="D41" s="37" t="s">
        <v>39</v>
      </c>
      <c r="E41" s="1" t="s">
        <v>7</v>
      </c>
      <c r="G41" s="4"/>
      <c r="N41" s="4"/>
    </row>
    <row r="42" spans="1:17" x14ac:dyDescent="0.55000000000000004">
      <c r="A42">
        <v>39</v>
      </c>
      <c r="B42" s="175"/>
      <c r="C42" s="36" t="s">
        <v>83</v>
      </c>
      <c r="D42" s="37" t="s">
        <v>39</v>
      </c>
      <c r="E42" s="1" t="s">
        <v>7</v>
      </c>
      <c r="G42" s="4"/>
      <c r="N42" s="4"/>
    </row>
    <row r="43" spans="1:17" x14ac:dyDescent="0.55000000000000004">
      <c r="A43">
        <v>40</v>
      </c>
      <c r="B43" s="175"/>
      <c r="C43" s="36" t="s">
        <v>84</v>
      </c>
      <c r="D43" s="37" t="s">
        <v>39</v>
      </c>
      <c r="E43" s="1" t="s">
        <v>7</v>
      </c>
      <c r="G43" s="4"/>
      <c r="N43" s="4"/>
      <c r="O43" s="35"/>
      <c r="P43" s="39"/>
      <c r="Q43" s="45"/>
    </row>
    <row r="44" spans="1:17" x14ac:dyDescent="0.55000000000000004">
      <c r="A44">
        <v>41</v>
      </c>
      <c r="B44" s="175"/>
      <c r="C44" s="36" t="s">
        <v>85</v>
      </c>
      <c r="D44" s="37" t="s">
        <v>39</v>
      </c>
      <c r="E44" s="1" t="s">
        <v>7</v>
      </c>
      <c r="G44" s="4"/>
      <c r="N44" s="4"/>
      <c r="O44" s="4"/>
      <c r="P44" s="4"/>
      <c r="Q44" s="4"/>
    </row>
    <row r="45" spans="1:17" x14ac:dyDescent="0.55000000000000004">
      <c r="A45">
        <v>42</v>
      </c>
      <c r="B45" s="175"/>
      <c r="C45" s="36" t="s">
        <v>86</v>
      </c>
      <c r="D45" s="37" t="s">
        <v>39</v>
      </c>
      <c r="E45" s="1" t="s">
        <v>7</v>
      </c>
      <c r="G45" s="4"/>
      <c r="H45" s="35"/>
      <c r="I45" s="39"/>
      <c r="O45" s="3"/>
      <c r="Q45" s="2"/>
    </row>
    <row r="46" spans="1:17" x14ac:dyDescent="0.55000000000000004">
      <c r="A46">
        <v>43</v>
      </c>
      <c r="B46" s="175"/>
      <c r="C46" s="36" t="s">
        <v>87</v>
      </c>
      <c r="D46" s="37" t="s">
        <v>39</v>
      </c>
      <c r="E46" s="1" t="s">
        <v>7</v>
      </c>
      <c r="G46" s="4"/>
      <c r="H46" s="4"/>
      <c r="I46" s="4"/>
      <c r="O46" s="3"/>
      <c r="Q46" s="2"/>
    </row>
    <row r="47" spans="1:17" x14ac:dyDescent="0.55000000000000004">
      <c r="A47">
        <v>44</v>
      </c>
      <c r="B47" s="175"/>
      <c r="C47" s="36" t="s">
        <v>88</v>
      </c>
      <c r="D47" s="37" t="s">
        <v>39</v>
      </c>
      <c r="E47" s="1" t="s">
        <v>7</v>
      </c>
      <c r="H47" s="40"/>
      <c r="N47" s="21"/>
      <c r="O47" s="3"/>
      <c r="Q47" s="2"/>
    </row>
    <row r="48" spans="1:17" x14ac:dyDescent="0.55000000000000004">
      <c r="A48">
        <v>45</v>
      </c>
      <c r="B48" s="175"/>
      <c r="C48" s="36" t="s">
        <v>89</v>
      </c>
      <c r="D48" s="37" t="s">
        <v>39</v>
      </c>
      <c r="E48" s="1" t="s">
        <v>7</v>
      </c>
      <c r="H48" s="3"/>
      <c r="N48" s="21"/>
      <c r="O48" s="3"/>
      <c r="Q48" s="2"/>
    </row>
    <row r="49" spans="1:17" x14ac:dyDescent="0.55000000000000004">
      <c r="A49">
        <v>46</v>
      </c>
      <c r="B49" s="175"/>
      <c r="C49" s="36" t="s">
        <v>90</v>
      </c>
      <c r="D49" s="37" t="s">
        <v>39</v>
      </c>
      <c r="E49" s="1" t="s">
        <v>7</v>
      </c>
      <c r="G49" s="21"/>
      <c r="H49" s="3"/>
      <c r="Q49" s="2"/>
    </row>
    <row r="50" spans="1:17" x14ac:dyDescent="0.55000000000000004">
      <c r="A50">
        <v>47</v>
      </c>
      <c r="B50" s="175"/>
      <c r="C50" s="28" t="s">
        <v>91</v>
      </c>
      <c r="D50" s="37" t="s">
        <v>3282</v>
      </c>
      <c r="E50" s="1" t="s">
        <v>7</v>
      </c>
      <c r="H50" s="47"/>
    </row>
    <row r="51" spans="1:17" x14ac:dyDescent="0.55000000000000004">
      <c r="A51">
        <v>48</v>
      </c>
      <c r="B51" s="175"/>
      <c r="C51" s="28" t="s">
        <v>92</v>
      </c>
      <c r="D51" s="37" t="s">
        <v>3284</v>
      </c>
      <c r="E51" s="1" t="s">
        <v>7</v>
      </c>
      <c r="H51" s="47"/>
    </row>
    <row r="52" spans="1:17" x14ac:dyDescent="0.55000000000000004">
      <c r="A52">
        <v>49</v>
      </c>
      <c r="B52" s="175"/>
      <c r="C52" s="28" t="s">
        <v>93</v>
      </c>
      <c r="D52" s="37" t="s">
        <v>3283</v>
      </c>
      <c r="E52" s="1" t="s">
        <v>7</v>
      </c>
      <c r="H52" s="47"/>
    </row>
    <row r="53" spans="1:17" x14ac:dyDescent="0.55000000000000004">
      <c r="A53">
        <v>50</v>
      </c>
      <c r="B53" s="176" t="s">
        <v>94</v>
      </c>
      <c r="C53" s="41" t="s">
        <v>95</v>
      </c>
      <c r="D53" s="142" t="s">
        <v>3373</v>
      </c>
      <c r="E53" s="1" t="s">
        <v>7</v>
      </c>
    </row>
    <row r="54" spans="1:17" x14ac:dyDescent="0.55000000000000004">
      <c r="A54">
        <v>51</v>
      </c>
      <c r="B54" s="175"/>
      <c r="C54" s="41" t="s">
        <v>96</v>
      </c>
      <c r="D54" s="142" t="s">
        <v>3281</v>
      </c>
      <c r="E54" s="1" t="s">
        <v>7</v>
      </c>
    </row>
    <row r="55" spans="1:17" x14ac:dyDescent="0.55000000000000004">
      <c r="A55">
        <v>52</v>
      </c>
      <c r="B55" s="175"/>
      <c r="C55" s="41" t="s">
        <v>97</v>
      </c>
      <c r="D55" s="142" t="s">
        <v>3280</v>
      </c>
      <c r="E55" s="1" t="s">
        <v>7</v>
      </c>
    </row>
    <row r="56" spans="1:17" x14ac:dyDescent="0.55000000000000004">
      <c r="A56">
        <v>53</v>
      </c>
      <c r="B56" s="175"/>
      <c r="C56" s="41" t="s">
        <v>98</v>
      </c>
      <c r="D56" s="142" t="s">
        <v>3280</v>
      </c>
      <c r="E56" s="1" t="s">
        <v>7</v>
      </c>
    </row>
    <row r="57" spans="1:17" x14ac:dyDescent="0.55000000000000004">
      <c r="A57">
        <v>54</v>
      </c>
      <c r="B57" s="175"/>
      <c r="C57" s="28" t="s">
        <v>99</v>
      </c>
      <c r="D57" s="142" t="s">
        <v>3280</v>
      </c>
      <c r="E57" s="1" t="s">
        <v>7</v>
      </c>
    </row>
    <row r="58" spans="1:17" x14ac:dyDescent="0.55000000000000004">
      <c r="A58">
        <v>55</v>
      </c>
      <c r="B58" s="175"/>
      <c r="C58" s="41" t="s">
        <v>100</v>
      </c>
      <c r="D58" s="142" t="s">
        <v>3280</v>
      </c>
      <c r="E58" s="1" t="s">
        <v>7</v>
      </c>
    </row>
    <row r="59" spans="1:17" x14ac:dyDescent="0.55000000000000004">
      <c r="A59">
        <v>56</v>
      </c>
      <c r="B59" s="175"/>
      <c r="C59" s="41" t="s">
        <v>101</v>
      </c>
      <c r="D59" s="142" t="s">
        <v>3280</v>
      </c>
      <c r="E59" s="1" t="s">
        <v>7</v>
      </c>
    </row>
    <row r="60" spans="1:17" x14ac:dyDescent="0.55000000000000004">
      <c r="A60">
        <v>57</v>
      </c>
      <c r="B60" s="175"/>
      <c r="C60" s="41" t="s">
        <v>102</v>
      </c>
      <c r="D60" s="42">
        <v>1</v>
      </c>
      <c r="E60" s="1" t="s">
        <v>7</v>
      </c>
    </row>
    <row r="61" spans="1:17" x14ac:dyDescent="0.55000000000000004">
      <c r="A61">
        <v>58</v>
      </c>
      <c r="B61" s="177" t="s">
        <v>103</v>
      </c>
      <c r="C61" s="41" t="s">
        <v>104</v>
      </c>
      <c r="D61" s="142" t="s">
        <v>3280</v>
      </c>
      <c r="E61" s="1" t="s">
        <v>7</v>
      </c>
    </row>
    <row r="62" spans="1:17" x14ac:dyDescent="0.55000000000000004">
      <c r="A62">
        <v>59</v>
      </c>
      <c r="B62" s="175"/>
      <c r="C62" s="41" t="s">
        <v>105</v>
      </c>
      <c r="D62" s="143">
        <v>45138</v>
      </c>
      <c r="E62" s="1" t="s">
        <v>7</v>
      </c>
    </row>
    <row r="63" spans="1:17" x14ac:dyDescent="0.55000000000000004">
      <c r="A63">
        <v>60</v>
      </c>
      <c r="B63" s="175"/>
      <c r="C63" s="41" t="s">
        <v>106</v>
      </c>
      <c r="D63" s="37" t="s">
        <v>107</v>
      </c>
      <c r="E63" s="1" t="s">
        <v>7</v>
      </c>
    </row>
    <row r="64" spans="1:17" x14ac:dyDescent="0.55000000000000004">
      <c r="A64">
        <v>61</v>
      </c>
      <c r="B64" s="175"/>
      <c r="C64" s="41" t="s">
        <v>108</v>
      </c>
      <c r="D64" s="37" t="s">
        <v>109</v>
      </c>
      <c r="E64" s="1" t="s">
        <v>7</v>
      </c>
    </row>
    <row r="65" spans="1:5" x14ac:dyDescent="0.55000000000000004">
      <c r="A65">
        <v>62</v>
      </c>
      <c r="B65" s="175"/>
      <c r="C65" s="41" t="s">
        <v>110</v>
      </c>
      <c r="D65" s="144"/>
      <c r="E65" s="1" t="s">
        <v>7</v>
      </c>
    </row>
    <row r="66" spans="1:5" x14ac:dyDescent="0.55000000000000004">
      <c r="A66">
        <v>63</v>
      </c>
      <c r="B66" s="175"/>
      <c r="C66" s="41" t="s">
        <v>111</v>
      </c>
      <c r="D66" s="144"/>
      <c r="E66" s="1" t="s">
        <v>7</v>
      </c>
    </row>
    <row r="67" spans="1:5" x14ac:dyDescent="0.55000000000000004">
      <c r="A67">
        <v>64</v>
      </c>
      <c r="B67" s="175"/>
      <c r="C67" s="41" t="s">
        <v>112</v>
      </c>
      <c r="D67" s="144"/>
      <c r="E67" s="1" t="s">
        <v>7</v>
      </c>
    </row>
    <row r="68" spans="1:5" x14ac:dyDescent="0.55000000000000004">
      <c r="A68">
        <v>65</v>
      </c>
      <c r="B68" s="178" t="s">
        <v>113</v>
      </c>
      <c r="C68" s="43" t="s">
        <v>114</v>
      </c>
      <c r="D68" s="144"/>
      <c r="E68" s="1" t="s">
        <v>7</v>
      </c>
    </row>
    <row r="69" spans="1:5" x14ac:dyDescent="0.55000000000000004">
      <c r="A69">
        <v>66</v>
      </c>
      <c r="B69" s="175"/>
      <c r="C69" s="43" t="s">
        <v>115</v>
      </c>
      <c r="D69" s="144"/>
      <c r="E69" s="1" t="s">
        <v>7</v>
      </c>
    </row>
    <row r="70" spans="1:5" x14ac:dyDescent="0.55000000000000004">
      <c r="A70">
        <v>67</v>
      </c>
      <c r="B70" s="175"/>
      <c r="C70" s="43" t="s">
        <v>116</v>
      </c>
      <c r="D70" s="14"/>
      <c r="E70" s="1" t="s">
        <v>7</v>
      </c>
    </row>
    <row r="71" spans="1:5" x14ac:dyDescent="0.55000000000000004">
      <c r="A71">
        <v>68</v>
      </c>
      <c r="B71" s="175"/>
      <c r="C71" s="43" t="s">
        <v>117</v>
      </c>
      <c r="D71" s="14"/>
      <c r="E71" s="1" t="s">
        <v>7</v>
      </c>
    </row>
    <row r="72" spans="1:5" x14ac:dyDescent="0.55000000000000004">
      <c r="A72">
        <v>69</v>
      </c>
      <c r="B72" s="175"/>
      <c r="C72" s="44" t="s">
        <v>118</v>
      </c>
      <c r="D72" s="34"/>
      <c r="E72" s="1" t="s">
        <v>7</v>
      </c>
    </row>
  </sheetData>
  <mergeCells count="10">
    <mergeCell ref="F2:I2"/>
    <mergeCell ref="B4:B5"/>
    <mergeCell ref="B7:B10"/>
    <mergeCell ref="B11:B20"/>
    <mergeCell ref="B21:B25"/>
    <mergeCell ref="B26:B52"/>
    <mergeCell ref="B53:B60"/>
    <mergeCell ref="B61:B67"/>
    <mergeCell ref="B68:B72"/>
    <mergeCell ref="B2:D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6A1F-B960-45F2-BE47-6FED6006AB98}">
  <dimension ref="A1:M4387"/>
  <sheetViews>
    <sheetView tabSelected="1" topLeftCell="A4106" zoomScale="55" zoomScaleNormal="55" workbookViewId="0">
      <selection activeCell="B4112" sqref="B4112"/>
    </sheetView>
  </sheetViews>
  <sheetFormatPr baseColWidth="10" defaultRowHeight="14.4" x14ac:dyDescent="0.55000000000000004"/>
  <cols>
    <col min="1" max="1" width="67.578125" customWidth="1"/>
    <col min="2" max="2" width="22.26171875" customWidth="1"/>
  </cols>
  <sheetData>
    <row r="1" spans="1:13" x14ac:dyDescent="0.55000000000000004">
      <c r="A1" s="49" t="s">
        <v>36</v>
      </c>
      <c r="B1" s="49" t="s">
        <v>3374</v>
      </c>
      <c r="C1" s="49" t="s">
        <v>42</v>
      </c>
      <c r="D1" s="49" t="s">
        <v>50</v>
      </c>
      <c r="E1" s="145" t="s">
        <v>37</v>
      </c>
      <c r="F1" s="155" t="s">
        <v>40</v>
      </c>
      <c r="G1" s="147" t="s">
        <v>43</v>
      </c>
      <c r="H1" s="50" t="s">
        <v>3285</v>
      </c>
      <c r="I1" s="50" t="s">
        <v>51</v>
      </c>
      <c r="J1" s="50" t="s">
        <v>119</v>
      </c>
      <c r="K1" s="50" t="s">
        <v>120</v>
      </c>
      <c r="L1" s="158" t="s">
        <v>46</v>
      </c>
    </row>
    <row r="2" spans="1:13" x14ac:dyDescent="0.55000000000000004">
      <c r="A2" s="101" t="s">
        <v>1228</v>
      </c>
      <c r="B2" s="61" t="s">
        <v>1210</v>
      </c>
      <c r="C2" s="61" t="s">
        <v>121</v>
      </c>
      <c r="D2" s="61" t="s">
        <v>3288</v>
      </c>
      <c r="E2" s="119">
        <v>1</v>
      </c>
      <c r="F2" s="148" t="s">
        <v>135</v>
      </c>
      <c r="G2" s="148">
        <v>1</v>
      </c>
      <c r="H2" s="61" t="s">
        <v>39</v>
      </c>
      <c r="I2" s="61" t="s">
        <v>535</v>
      </c>
      <c r="J2" s="62" t="s">
        <v>1229</v>
      </c>
      <c r="K2" s="61" t="s">
        <v>831</v>
      </c>
      <c r="L2" s="159">
        <v>2603</v>
      </c>
    </row>
    <row r="3" spans="1:13" x14ac:dyDescent="0.55000000000000004">
      <c r="A3" s="101" t="s">
        <v>1228</v>
      </c>
      <c r="B3" s="61" t="s">
        <v>1230</v>
      </c>
      <c r="C3" s="61" t="s">
        <v>132</v>
      </c>
      <c r="D3" s="61" t="s">
        <v>3288</v>
      </c>
      <c r="E3" s="119">
        <v>4</v>
      </c>
      <c r="F3" s="148" t="s">
        <v>135</v>
      </c>
      <c r="G3" s="148" t="s">
        <v>135</v>
      </c>
      <c r="H3" s="61" t="s">
        <v>39</v>
      </c>
      <c r="I3" s="61" t="s">
        <v>535</v>
      </c>
      <c r="J3" s="62" t="s">
        <v>1229</v>
      </c>
      <c r="K3" s="61" t="s">
        <v>831</v>
      </c>
      <c r="L3" s="159"/>
      <c r="M3" s="169"/>
    </row>
    <row r="4" spans="1:13" x14ac:dyDescent="0.55000000000000004">
      <c r="A4" s="101" t="s">
        <v>1228</v>
      </c>
      <c r="B4" s="61" t="s">
        <v>153</v>
      </c>
      <c r="C4" s="61" t="s">
        <v>127</v>
      </c>
      <c r="D4" s="61" t="s">
        <v>2994</v>
      </c>
      <c r="E4" s="119">
        <v>16.399999999999999</v>
      </c>
      <c r="F4" s="148" t="s">
        <v>130</v>
      </c>
      <c r="G4" s="148" t="s">
        <v>135</v>
      </c>
      <c r="H4" s="61" t="s">
        <v>39</v>
      </c>
      <c r="I4" s="61" t="s">
        <v>535</v>
      </c>
      <c r="J4" s="62" t="s">
        <v>1229</v>
      </c>
      <c r="K4" s="61" t="s">
        <v>831</v>
      </c>
      <c r="L4" s="159"/>
      <c r="M4" s="169"/>
    </row>
    <row r="5" spans="1:13" x14ac:dyDescent="0.55000000000000004">
      <c r="A5" s="101" t="s">
        <v>1228</v>
      </c>
      <c r="B5" s="61" t="s">
        <v>154</v>
      </c>
      <c r="C5" s="61" t="s">
        <v>132</v>
      </c>
      <c r="D5" s="61" t="s">
        <v>3289</v>
      </c>
      <c r="E5" s="119">
        <v>0.6</v>
      </c>
      <c r="F5" s="148" t="s">
        <v>133</v>
      </c>
      <c r="G5" s="148" t="s">
        <v>135</v>
      </c>
      <c r="H5" s="61" t="s">
        <v>39</v>
      </c>
      <c r="I5" s="61" t="s">
        <v>535</v>
      </c>
      <c r="J5" s="62" t="s">
        <v>1229</v>
      </c>
      <c r="K5" s="61" t="s">
        <v>831</v>
      </c>
      <c r="L5" s="159"/>
      <c r="M5" s="169"/>
    </row>
    <row r="6" spans="1:13" x14ac:dyDescent="0.55000000000000004">
      <c r="A6" s="101" t="s">
        <v>1228</v>
      </c>
      <c r="B6" s="61" t="s">
        <v>1231</v>
      </c>
      <c r="C6" s="61" t="s">
        <v>125</v>
      </c>
      <c r="D6" s="61" t="s">
        <v>3288</v>
      </c>
      <c r="E6" s="119">
        <v>0.7</v>
      </c>
      <c r="F6" s="148" t="s">
        <v>135</v>
      </c>
      <c r="G6" s="148" t="s">
        <v>135</v>
      </c>
      <c r="H6" s="61" t="s">
        <v>39</v>
      </c>
      <c r="I6" s="61" t="s">
        <v>535</v>
      </c>
      <c r="J6" s="62" t="s">
        <v>1229</v>
      </c>
      <c r="K6" s="61" t="s">
        <v>831</v>
      </c>
      <c r="L6" s="159"/>
      <c r="M6" s="169"/>
    </row>
    <row r="7" spans="1:13" x14ac:dyDescent="0.55000000000000004">
      <c r="A7" s="101" t="s">
        <v>1228</v>
      </c>
      <c r="B7" s="168" t="s">
        <v>170</v>
      </c>
      <c r="C7" s="61" t="s">
        <v>125</v>
      </c>
      <c r="D7" s="61" t="s">
        <v>3288</v>
      </c>
      <c r="E7" s="119">
        <v>1</v>
      </c>
      <c r="F7" s="148" t="s">
        <v>135</v>
      </c>
      <c r="G7" s="148" t="s">
        <v>135</v>
      </c>
      <c r="H7" s="61" t="s">
        <v>39</v>
      </c>
      <c r="I7" s="61" t="s">
        <v>535</v>
      </c>
      <c r="J7" s="62" t="s">
        <v>1229</v>
      </c>
      <c r="K7" s="61" t="s">
        <v>831</v>
      </c>
      <c r="L7" s="159"/>
      <c r="M7" s="169"/>
    </row>
    <row r="8" spans="1:13" x14ac:dyDescent="0.55000000000000004">
      <c r="A8" s="101" t="s">
        <v>1228</v>
      </c>
      <c r="B8" s="61" t="s">
        <v>1233</v>
      </c>
      <c r="C8" s="61" t="s">
        <v>125</v>
      </c>
      <c r="D8" s="61" t="s">
        <v>3288</v>
      </c>
      <c r="E8" s="119">
        <v>0.13</v>
      </c>
      <c r="F8" s="148" t="s">
        <v>135</v>
      </c>
      <c r="G8" s="148" t="s">
        <v>135</v>
      </c>
      <c r="H8" s="61" t="s">
        <v>39</v>
      </c>
      <c r="I8" s="61" t="s">
        <v>535</v>
      </c>
      <c r="J8" s="62" t="s">
        <v>1229</v>
      </c>
      <c r="K8" s="61" t="s">
        <v>831</v>
      </c>
      <c r="L8" s="159"/>
      <c r="M8" s="169"/>
    </row>
    <row r="9" spans="1:13" x14ac:dyDescent="0.55000000000000004">
      <c r="A9" s="101" t="s">
        <v>1228</v>
      </c>
      <c r="B9" s="61" t="s">
        <v>154</v>
      </c>
      <c r="C9" s="168" t="s">
        <v>124</v>
      </c>
      <c r="D9" s="61" t="s">
        <v>3289</v>
      </c>
      <c r="E9" s="119">
        <v>0.6</v>
      </c>
      <c r="F9" s="148" t="s">
        <v>133</v>
      </c>
      <c r="G9" s="148" t="s">
        <v>135</v>
      </c>
      <c r="H9" s="61" t="s">
        <v>39</v>
      </c>
      <c r="I9" s="61" t="s">
        <v>535</v>
      </c>
      <c r="J9" s="62" t="s">
        <v>1229</v>
      </c>
      <c r="K9" s="61" t="s">
        <v>831</v>
      </c>
      <c r="L9" s="159"/>
      <c r="M9" s="169"/>
    </row>
    <row r="10" spans="1:13" x14ac:dyDescent="0.55000000000000004">
      <c r="A10" s="101" t="s">
        <v>1228</v>
      </c>
      <c r="B10" s="61" t="s">
        <v>1234</v>
      </c>
      <c r="C10" s="61" t="s">
        <v>163</v>
      </c>
      <c r="D10" s="61" t="s">
        <v>3288</v>
      </c>
      <c r="E10" s="119">
        <v>5.83</v>
      </c>
      <c r="F10" s="148" t="s">
        <v>135</v>
      </c>
      <c r="G10" s="148" t="s">
        <v>135</v>
      </c>
      <c r="H10" s="61" t="s">
        <v>39</v>
      </c>
      <c r="I10" s="61" t="s">
        <v>535</v>
      </c>
      <c r="J10" s="62" t="s">
        <v>1229</v>
      </c>
      <c r="K10" s="61" t="s">
        <v>831</v>
      </c>
      <c r="L10" s="159"/>
      <c r="M10" s="169"/>
    </row>
    <row r="11" spans="1:13" x14ac:dyDescent="0.55000000000000004">
      <c r="A11" s="104" t="s">
        <v>1225</v>
      </c>
      <c r="B11" s="61" t="s">
        <v>1016</v>
      </c>
      <c r="C11" s="61" t="s">
        <v>121</v>
      </c>
      <c r="D11" s="61" t="s">
        <v>3288</v>
      </c>
      <c r="E11" s="119">
        <v>1</v>
      </c>
      <c r="F11" s="148" t="s">
        <v>135</v>
      </c>
      <c r="G11" s="148">
        <v>1</v>
      </c>
      <c r="H11" s="61" t="s">
        <v>39</v>
      </c>
      <c r="I11" s="61"/>
      <c r="J11" s="61" t="s">
        <v>1225</v>
      </c>
      <c r="K11" s="61" t="s">
        <v>936</v>
      </c>
      <c r="L11" s="159">
        <v>2507</v>
      </c>
      <c r="M11" s="169"/>
    </row>
    <row r="12" spans="1:13" x14ac:dyDescent="0.55000000000000004">
      <c r="A12" s="104" t="s">
        <v>1225</v>
      </c>
      <c r="B12" s="61" t="s">
        <v>1223</v>
      </c>
      <c r="C12" s="61" t="s">
        <v>132</v>
      </c>
      <c r="D12" s="61" t="s">
        <v>3288</v>
      </c>
      <c r="E12" s="119">
        <v>1.1599999999999999</v>
      </c>
      <c r="F12" s="148" t="s">
        <v>135</v>
      </c>
      <c r="G12" s="148">
        <v>1</v>
      </c>
      <c r="H12" s="61" t="s">
        <v>39</v>
      </c>
      <c r="I12" s="61"/>
      <c r="J12" s="61" t="s">
        <v>1225</v>
      </c>
      <c r="K12" s="61" t="s">
        <v>936</v>
      </c>
      <c r="L12" s="159"/>
      <c r="M12" s="169"/>
    </row>
    <row r="13" spans="1:13" x14ac:dyDescent="0.55000000000000004">
      <c r="A13" s="104" t="s">
        <v>1225</v>
      </c>
      <c r="B13" s="168" t="s">
        <v>137</v>
      </c>
      <c r="C13" s="61" t="s">
        <v>127</v>
      </c>
      <c r="D13" s="61" t="s">
        <v>2994</v>
      </c>
      <c r="E13" s="119">
        <v>2.7</v>
      </c>
      <c r="F13" s="148" t="s">
        <v>138</v>
      </c>
      <c r="G13" s="148">
        <v>1</v>
      </c>
      <c r="H13" s="61" t="s">
        <v>1227</v>
      </c>
      <c r="I13" s="61"/>
      <c r="J13" s="61" t="s">
        <v>1225</v>
      </c>
      <c r="K13" s="61" t="s">
        <v>936</v>
      </c>
      <c r="L13" s="159"/>
      <c r="M13" s="169"/>
    </row>
    <row r="14" spans="1:13" x14ac:dyDescent="0.55000000000000004">
      <c r="A14" s="104" t="s">
        <v>1225</v>
      </c>
      <c r="B14" s="61" t="s">
        <v>153</v>
      </c>
      <c r="C14" s="61" t="s">
        <v>127</v>
      </c>
      <c r="D14" s="61" t="s">
        <v>2994</v>
      </c>
      <c r="E14" s="119">
        <v>5.0999999999999997E-2</v>
      </c>
      <c r="F14" s="148" t="s">
        <v>138</v>
      </c>
      <c r="G14" s="148">
        <v>1</v>
      </c>
      <c r="H14" s="61" t="s">
        <v>39</v>
      </c>
      <c r="I14" s="61"/>
      <c r="J14" s="61" t="s">
        <v>1225</v>
      </c>
      <c r="K14" s="61" t="s">
        <v>936</v>
      </c>
      <c r="L14" s="159"/>
      <c r="M14" s="169"/>
    </row>
    <row r="15" spans="1:13" x14ac:dyDescent="0.55000000000000004">
      <c r="A15" s="104" t="s">
        <v>1225</v>
      </c>
      <c r="B15" s="61" t="s">
        <v>160</v>
      </c>
      <c r="C15" s="61" t="s">
        <v>560</v>
      </c>
      <c r="D15" s="61" t="s">
        <v>3288</v>
      </c>
      <c r="E15" s="119">
        <v>0.03</v>
      </c>
      <c r="F15" s="148" t="s">
        <v>135</v>
      </c>
      <c r="G15" s="148">
        <v>1</v>
      </c>
      <c r="H15" s="61" t="s">
        <v>39</v>
      </c>
      <c r="I15" s="61" t="s">
        <v>937</v>
      </c>
      <c r="J15" s="61" t="s">
        <v>1225</v>
      </c>
      <c r="K15" s="61" t="s">
        <v>934</v>
      </c>
      <c r="L15" s="159"/>
      <c r="M15" s="169"/>
    </row>
    <row r="16" spans="1:13" x14ac:dyDescent="0.55000000000000004">
      <c r="A16" s="104" t="s">
        <v>1222</v>
      </c>
      <c r="B16" s="61" t="s">
        <v>1016</v>
      </c>
      <c r="C16" s="61" t="s">
        <v>121</v>
      </c>
      <c r="D16" s="61" t="s">
        <v>3288</v>
      </c>
      <c r="E16" s="119">
        <v>1</v>
      </c>
      <c r="F16" s="148" t="s">
        <v>135</v>
      </c>
      <c r="G16" s="148">
        <v>1</v>
      </c>
      <c r="H16" s="61" t="s">
        <v>39</v>
      </c>
      <c r="I16" s="61" t="s">
        <v>930</v>
      </c>
      <c r="J16" s="61" t="s">
        <v>1222</v>
      </c>
      <c r="K16" s="61" t="s">
        <v>931</v>
      </c>
      <c r="L16" s="159">
        <v>2507</v>
      </c>
      <c r="M16" s="169"/>
    </row>
    <row r="17" spans="1:13" x14ac:dyDescent="0.55000000000000004">
      <c r="A17" s="104" t="s">
        <v>1222</v>
      </c>
      <c r="B17" s="61" t="s">
        <v>1223</v>
      </c>
      <c r="C17" s="61" t="s">
        <v>132</v>
      </c>
      <c r="D17" s="61" t="s">
        <v>3288</v>
      </c>
      <c r="E17" s="119">
        <v>1.1599999999999999</v>
      </c>
      <c r="F17" s="148" t="s">
        <v>135</v>
      </c>
      <c r="G17" s="148">
        <v>1</v>
      </c>
      <c r="H17" s="61" t="s">
        <v>39</v>
      </c>
      <c r="I17" s="61" t="s">
        <v>932</v>
      </c>
      <c r="J17" s="61" t="s">
        <v>1222</v>
      </c>
      <c r="K17" s="61" t="s">
        <v>933</v>
      </c>
      <c r="L17" s="159"/>
      <c r="M17" s="169"/>
    </row>
    <row r="18" spans="1:13" x14ac:dyDescent="0.55000000000000004">
      <c r="A18" s="104" t="s">
        <v>1222</v>
      </c>
      <c r="B18" s="168" t="s">
        <v>137</v>
      </c>
      <c r="C18" s="61" t="s">
        <v>127</v>
      </c>
      <c r="D18" s="61" t="s">
        <v>2994</v>
      </c>
      <c r="E18" s="119">
        <v>3.1</v>
      </c>
      <c r="F18" s="148" t="s">
        <v>138</v>
      </c>
      <c r="G18" s="148">
        <v>1</v>
      </c>
      <c r="H18" s="61" t="s">
        <v>1224</v>
      </c>
      <c r="I18" s="61"/>
      <c r="J18" s="61" t="s">
        <v>1222</v>
      </c>
      <c r="K18" s="61" t="s">
        <v>934</v>
      </c>
      <c r="L18" s="159"/>
      <c r="M18" s="169"/>
    </row>
    <row r="19" spans="1:13" x14ac:dyDescent="0.55000000000000004">
      <c r="A19" s="104" t="s">
        <v>1222</v>
      </c>
      <c r="B19" s="61" t="s">
        <v>153</v>
      </c>
      <c r="C19" s="61" t="s">
        <v>127</v>
      </c>
      <c r="D19" s="61" t="s">
        <v>2994</v>
      </c>
      <c r="E19" s="119">
        <v>0.16500000000000001</v>
      </c>
      <c r="F19" s="148" t="s">
        <v>138</v>
      </c>
      <c r="G19" s="148">
        <v>1</v>
      </c>
      <c r="H19" s="61" t="s">
        <v>39</v>
      </c>
      <c r="I19" s="61" t="s">
        <v>935</v>
      </c>
      <c r="J19" s="61" t="s">
        <v>1222</v>
      </c>
      <c r="K19" s="61" t="s">
        <v>931</v>
      </c>
      <c r="L19" s="159"/>
      <c r="M19" s="169"/>
    </row>
    <row r="20" spans="1:13" x14ac:dyDescent="0.55000000000000004">
      <c r="A20" s="104" t="s">
        <v>1222</v>
      </c>
      <c r="B20" s="61" t="s">
        <v>160</v>
      </c>
      <c r="C20" s="61" t="s">
        <v>560</v>
      </c>
      <c r="D20" s="61" t="s">
        <v>3288</v>
      </c>
      <c r="E20" s="119">
        <v>0.03</v>
      </c>
      <c r="F20" s="148" t="s">
        <v>135</v>
      </c>
      <c r="G20" s="148">
        <v>1</v>
      </c>
      <c r="H20" s="61" t="s">
        <v>39</v>
      </c>
      <c r="I20" s="61"/>
      <c r="J20" s="61" t="s">
        <v>1222</v>
      </c>
      <c r="K20" s="61"/>
      <c r="L20" s="159"/>
      <c r="M20" s="169"/>
    </row>
    <row r="21" spans="1:13" x14ac:dyDescent="0.55000000000000004">
      <c r="A21" s="101" t="s">
        <v>1219</v>
      </c>
      <c r="B21" s="61" t="s">
        <v>1166</v>
      </c>
      <c r="C21" s="61" t="s">
        <v>121</v>
      </c>
      <c r="D21" s="61" t="s">
        <v>3288</v>
      </c>
      <c r="E21" s="119">
        <v>1</v>
      </c>
      <c r="F21" s="148" t="s">
        <v>122</v>
      </c>
      <c r="G21" s="148">
        <v>1</v>
      </c>
      <c r="H21" s="61" t="s">
        <v>39</v>
      </c>
      <c r="I21" s="61" t="s">
        <v>535</v>
      </c>
      <c r="J21" s="62" t="s">
        <v>1220</v>
      </c>
      <c r="K21" s="61" t="s">
        <v>831</v>
      </c>
      <c r="L21" s="159">
        <v>7402</v>
      </c>
      <c r="M21" s="169"/>
    </row>
    <row r="22" spans="1:13" x14ac:dyDescent="0.55000000000000004">
      <c r="A22" s="101" t="s">
        <v>1219</v>
      </c>
      <c r="B22" s="61" t="s">
        <v>1210</v>
      </c>
      <c r="C22" s="61" t="s">
        <v>125</v>
      </c>
      <c r="D22" s="61" t="s">
        <v>3288</v>
      </c>
      <c r="E22" s="119">
        <v>3.57</v>
      </c>
      <c r="F22" s="148" t="s">
        <v>122</v>
      </c>
      <c r="G22" s="148" t="s">
        <v>122</v>
      </c>
      <c r="H22" s="61" t="s">
        <v>39</v>
      </c>
      <c r="I22" s="61" t="s">
        <v>535</v>
      </c>
      <c r="J22" s="62" t="s">
        <v>1220</v>
      </c>
      <c r="K22" s="61" t="s">
        <v>831</v>
      </c>
      <c r="L22" s="159"/>
      <c r="M22" s="169"/>
    </row>
    <row r="23" spans="1:13" x14ac:dyDescent="0.55000000000000004">
      <c r="A23" s="101" t="s">
        <v>1219</v>
      </c>
      <c r="B23" s="61" t="s">
        <v>145</v>
      </c>
      <c r="C23" s="61" t="s">
        <v>156</v>
      </c>
      <c r="D23" s="61" t="s">
        <v>3288</v>
      </c>
      <c r="E23" s="119">
        <v>1.52</v>
      </c>
      <c r="F23" s="148" t="s">
        <v>122</v>
      </c>
      <c r="G23" s="148" t="s">
        <v>122</v>
      </c>
      <c r="H23" s="61" t="s">
        <v>39</v>
      </c>
      <c r="I23" s="61" t="s">
        <v>535</v>
      </c>
      <c r="J23" s="62" t="s">
        <v>1220</v>
      </c>
      <c r="K23" s="61" t="s">
        <v>831</v>
      </c>
      <c r="L23" s="159">
        <v>2807</v>
      </c>
      <c r="M23" s="169"/>
    </row>
    <row r="24" spans="1:13" x14ac:dyDescent="0.55000000000000004">
      <c r="A24" s="101" t="s">
        <v>1219</v>
      </c>
      <c r="B24" s="61" t="s">
        <v>505</v>
      </c>
      <c r="C24" s="61" t="s">
        <v>127</v>
      </c>
      <c r="D24" s="61" t="s">
        <v>2994</v>
      </c>
      <c r="E24" s="119">
        <v>4.18</v>
      </c>
      <c r="F24" s="148" t="s">
        <v>167</v>
      </c>
      <c r="G24" s="148" t="s">
        <v>122</v>
      </c>
      <c r="H24" s="61" t="s">
        <v>39</v>
      </c>
      <c r="I24" s="61" t="s">
        <v>535</v>
      </c>
      <c r="J24" s="62" t="s">
        <v>1220</v>
      </c>
      <c r="K24" s="61" t="s">
        <v>831</v>
      </c>
      <c r="L24" s="159"/>
      <c r="M24" s="169"/>
    </row>
    <row r="25" spans="1:13" x14ac:dyDescent="0.55000000000000004">
      <c r="A25" s="101" t="s">
        <v>1219</v>
      </c>
      <c r="B25" s="61" t="s">
        <v>153</v>
      </c>
      <c r="C25" s="61" t="s">
        <v>127</v>
      </c>
      <c r="D25" s="61" t="s">
        <v>2994</v>
      </c>
      <c r="E25" s="119">
        <v>6.9</v>
      </c>
      <c r="F25" s="148" t="s">
        <v>167</v>
      </c>
      <c r="G25" s="148" t="s">
        <v>122</v>
      </c>
      <c r="H25" s="61" t="s">
        <v>39</v>
      </c>
      <c r="I25" s="61" t="s">
        <v>535</v>
      </c>
      <c r="J25" s="62" t="s">
        <v>1220</v>
      </c>
      <c r="K25" s="61" t="s">
        <v>831</v>
      </c>
      <c r="L25" s="159"/>
      <c r="M25" s="169"/>
    </row>
    <row r="26" spans="1:13" x14ac:dyDescent="0.55000000000000004">
      <c r="A26" s="101" t="s">
        <v>1219</v>
      </c>
      <c r="B26" s="61" t="s">
        <v>213</v>
      </c>
      <c r="C26" s="61" t="s">
        <v>132</v>
      </c>
      <c r="D26" s="61" t="s">
        <v>3288</v>
      </c>
      <c r="E26" s="119">
        <v>2.79</v>
      </c>
      <c r="F26" s="148" t="s">
        <v>122</v>
      </c>
      <c r="G26" s="148" t="s">
        <v>122</v>
      </c>
      <c r="H26" s="61" t="s">
        <v>39</v>
      </c>
      <c r="I26" s="61" t="s">
        <v>535</v>
      </c>
      <c r="J26" s="62" t="s">
        <v>1220</v>
      </c>
      <c r="K26" s="61" t="s">
        <v>831</v>
      </c>
      <c r="L26" s="159"/>
      <c r="M26" s="169"/>
    </row>
    <row r="27" spans="1:13" x14ac:dyDescent="0.55000000000000004">
      <c r="A27" s="101" t="s">
        <v>1219</v>
      </c>
      <c r="B27" s="61" t="s">
        <v>1169</v>
      </c>
      <c r="C27" s="61" t="s">
        <v>125</v>
      </c>
      <c r="D27" s="61" t="s">
        <v>3288</v>
      </c>
      <c r="E27" s="119">
        <v>1.27</v>
      </c>
      <c r="F27" s="148" t="s">
        <v>122</v>
      </c>
      <c r="G27" s="148" t="s">
        <v>122</v>
      </c>
      <c r="H27" s="61" t="s">
        <v>39</v>
      </c>
      <c r="I27" s="61" t="s">
        <v>535</v>
      </c>
      <c r="J27" s="62" t="s">
        <v>1220</v>
      </c>
      <c r="K27" s="61" t="s">
        <v>831</v>
      </c>
      <c r="L27" s="159"/>
      <c r="M27" s="169"/>
    </row>
    <row r="28" spans="1:13" x14ac:dyDescent="0.55000000000000004">
      <c r="A28" s="101" t="s">
        <v>1219</v>
      </c>
      <c r="B28" s="61" t="s">
        <v>1170</v>
      </c>
      <c r="C28" s="61" t="s">
        <v>125</v>
      </c>
      <c r="D28" s="61" t="s">
        <v>3288</v>
      </c>
      <c r="E28" s="119">
        <v>0.35499999999999998</v>
      </c>
      <c r="F28" s="148" t="s">
        <v>122</v>
      </c>
      <c r="G28" s="148" t="s">
        <v>122</v>
      </c>
      <c r="H28" s="61" t="s">
        <v>39</v>
      </c>
      <c r="I28" s="61" t="s">
        <v>535</v>
      </c>
      <c r="J28" s="62" t="s">
        <v>1220</v>
      </c>
      <c r="K28" s="61" t="s">
        <v>831</v>
      </c>
      <c r="L28" s="159"/>
      <c r="M28" s="169"/>
    </row>
    <row r="29" spans="1:13" x14ac:dyDescent="0.55000000000000004">
      <c r="A29" s="101" t="s">
        <v>1219</v>
      </c>
      <c r="B29" s="168" t="s">
        <v>131</v>
      </c>
      <c r="C29" s="61" t="s">
        <v>132</v>
      </c>
      <c r="D29" s="61" t="s">
        <v>3288</v>
      </c>
      <c r="E29" s="119">
        <v>0.127</v>
      </c>
      <c r="F29" s="148" t="s">
        <v>122</v>
      </c>
      <c r="G29" s="148" t="s">
        <v>122</v>
      </c>
      <c r="H29" s="61" t="s">
        <v>39</v>
      </c>
      <c r="I29" s="61" t="s">
        <v>535</v>
      </c>
      <c r="J29" s="62" t="s">
        <v>1220</v>
      </c>
      <c r="K29" s="61" t="s">
        <v>831</v>
      </c>
      <c r="L29" s="159"/>
      <c r="M29" s="169"/>
    </row>
    <row r="30" spans="1:13" x14ac:dyDescent="0.55000000000000004">
      <c r="A30" s="101" t="s">
        <v>1219</v>
      </c>
      <c r="B30" s="61" t="s">
        <v>1171</v>
      </c>
      <c r="C30" s="61" t="s">
        <v>348</v>
      </c>
      <c r="D30" s="61" t="s">
        <v>3288</v>
      </c>
      <c r="E30" s="119">
        <v>4.2299999999999997E-2</v>
      </c>
      <c r="F30" s="148" t="s">
        <v>122</v>
      </c>
      <c r="G30" s="148" t="s">
        <v>122</v>
      </c>
      <c r="H30" s="61" t="s">
        <v>39</v>
      </c>
      <c r="I30" s="61" t="s">
        <v>535</v>
      </c>
      <c r="J30" s="62" t="s">
        <v>1220</v>
      </c>
      <c r="K30" s="61" t="s">
        <v>831</v>
      </c>
      <c r="L30" s="159"/>
      <c r="M30" s="169"/>
    </row>
    <row r="31" spans="1:13" x14ac:dyDescent="0.55000000000000004">
      <c r="A31" s="101" t="s">
        <v>1219</v>
      </c>
      <c r="B31" s="61" t="s">
        <v>154</v>
      </c>
      <c r="C31" s="61" t="s">
        <v>132</v>
      </c>
      <c r="D31" s="61" t="s">
        <v>3288</v>
      </c>
      <c r="E31" s="119">
        <v>0.35499999999999998</v>
      </c>
      <c r="F31" s="148" t="s">
        <v>122</v>
      </c>
      <c r="G31" s="148" t="s">
        <v>122</v>
      </c>
      <c r="H31" s="61" t="s">
        <v>39</v>
      </c>
      <c r="I31" s="61" t="s">
        <v>535</v>
      </c>
      <c r="J31" s="62" t="s">
        <v>1220</v>
      </c>
      <c r="K31" s="61" t="s">
        <v>831</v>
      </c>
      <c r="L31" s="159"/>
      <c r="M31" s="169"/>
    </row>
    <row r="32" spans="1:13" x14ac:dyDescent="0.55000000000000004">
      <c r="A32" s="101" t="s">
        <v>1219</v>
      </c>
      <c r="B32" s="61" t="s">
        <v>1172</v>
      </c>
      <c r="C32" s="61" t="s">
        <v>124</v>
      </c>
      <c r="D32" s="61" t="s">
        <v>3288</v>
      </c>
      <c r="E32" s="119">
        <v>0.45</v>
      </c>
      <c r="F32" s="148" t="s">
        <v>122</v>
      </c>
      <c r="G32" s="148" t="s">
        <v>122</v>
      </c>
      <c r="H32" s="61" t="s">
        <v>39</v>
      </c>
      <c r="I32" s="61" t="s">
        <v>535</v>
      </c>
      <c r="J32" s="62" t="s">
        <v>1220</v>
      </c>
      <c r="K32" s="61" t="s">
        <v>831</v>
      </c>
      <c r="L32" s="159">
        <v>2807</v>
      </c>
      <c r="M32" s="169"/>
    </row>
    <row r="33" spans="1:13" x14ac:dyDescent="0.55000000000000004">
      <c r="A33" s="101" t="s">
        <v>1219</v>
      </c>
      <c r="B33" s="61" t="s">
        <v>160</v>
      </c>
      <c r="C33" s="61" t="s">
        <v>124</v>
      </c>
      <c r="D33" s="61" t="s">
        <v>3288</v>
      </c>
      <c r="E33" s="119">
        <v>0.39</v>
      </c>
      <c r="F33" s="148" t="s">
        <v>122</v>
      </c>
      <c r="G33" s="148" t="s">
        <v>122</v>
      </c>
      <c r="H33" s="61" t="s">
        <v>39</v>
      </c>
      <c r="I33" s="61" t="s">
        <v>535</v>
      </c>
      <c r="J33" s="62" t="s">
        <v>1220</v>
      </c>
      <c r="K33" s="61" t="s">
        <v>831</v>
      </c>
      <c r="L33" s="159">
        <v>2520</v>
      </c>
      <c r="M33" s="169"/>
    </row>
    <row r="34" spans="1:13" x14ac:dyDescent="0.55000000000000004">
      <c r="A34" s="101" t="s">
        <v>1219</v>
      </c>
      <c r="B34" s="61" t="s">
        <v>735</v>
      </c>
      <c r="C34" s="61" t="s">
        <v>163</v>
      </c>
      <c r="D34" s="61" t="s">
        <v>3288</v>
      </c>
      <c r="E34" s="119">
        <v>1.91</v>
      </c>
      <c r="F34" s="148" t="s">
        <v>122</v>
      </c>
      <c r="G34" s="148" t="s">
        <v>122</v>
      </c>
      <c r="H34" s="61" t="s">
        <v>39</v>
      </c>
      <c r="I34" s="61" t="s">
        <v>535</v>
      </c>
      <c r="J34" s="62" t="s">
        <v>1220</v>
      </c>
      <c r="K34" s="61" t="s">
        <v>831</v>
      </c>
      <c r="L34" s="159"/>
      <c r="M34" s="169"/>
    </row>
    <row r="35" spans="1:13" x14ac:dyDescent="0.55000000000000004">
      <c r="A35" s="101" t="s">
        <v>1215</v>
      </c>
      <c r="B35" s="61" t="s">
        <v>1166</v>
      </c>
      <c r="C35" s="61" t="s">
        <v>121</v>
      </c>
      <c r="D35" s="61" t="s">
        <v>3288</v>
      </c>
      <c r="E35" s="119">
        <v>1</v>
      </c>
      <c r="F35" s="148" t="s">
        <v>122</v>
      </c>
      <c r="G35" s="148">
        <v>1</v>
      </c>
      <c r="H35" s="61" t="s">
        <v>39</v>
      </c>
      <c r="I35" s="61" t="s">
        <v>535</v>
      </c>
      <c r="J35" s="62" t="s">
        <v>1216</v>
      </c>
      <c r="K35" s="61" t="s">
        <v>831</v>
      </c>
      <c r="L35" s="159">
        <v>7402</v>
      </c>
      <c r="M35" s="169"/>
    </row>
    <row r="36" spans="1:13" x14ac:dyDescent="0.55000000000000004">
      <c r="A36" s="101" t="s">
        <v>1215</v>
      </c>
      <c r="B36" s="61" t="s">
        <v>1210</v>
      </c>
      <c r="C36" s="61" t="s">
        <v>125</v>
      </c>
      <c r="D36" s="61" t="s">
        <v>3288</v>
      </c>
      <c r="E36" s="119">
        <v>3.57</v>
      </c>
      <c r="F36" s="148" t="s">
        <v>122</v>
      </c>
      <c r="G36" s="148" t="s">
        <v>122</v>
      </c>
      <c r="H36" s="61" t="s">
        <v>39</v>
      </c>
      <c r="I36" s="61" t="s">
        <v>535</v>
      </c>
      <c r="J36" s="62" t="s">
        <v>1216</v>
      </c>
      <c r="K36" s="61" t="s">
        <v>831</v>
      </c>
      <c r="L36" s="159"/>
      <c r="M36" s="169"/>
    </row>
    <row r="37" spans="1:13" x14ac:dyDescent="0.55000000000000004">
      <c r="A37" s="101" t="s">
        <v>1215</v>
      </c>
      <c r="B37" s="61" t="s">
        <v>145</v>
      </c>
      <c r="C37" s="61" t="s">
        <v>156</v>
      </c>
      <c r="D37" s="61" t="s">
        <v>3288</v>
      </c>
      <c r="E37" s="119">
        <v>2.48</v>
      </c>
      <c r="F37" s="148" t="s">
        <v>122</v>
      </c>
      <c r="G37" s="148" t="s">
        <v>122</v>
      </c>
      <c r="H37" s="61" t="s">
        <v>39</v>
      </c>
      <c r="I37" s="61" t="s">
        <v>535</v>
      </c>
      <c r="J37" s="62" t="s">
        <v>1216</v>
      </c>
      <c r="K37" s="61" t="s">
        <v>831</v>
      </c>
      <c r="L37" s="159">
        <v>2807</v>
      </c>
      <c r="M37" s="169"/>
    </row>
    <row r="38" spans="1:13" x14ac:dyDescent="0.55000000000000004">
      <c r="A38" s="101" t="s">
        <v>1215</v>
      </c>
      <c r="B38" s="61" t="s">
        <v>505</v>
      </c>
      <c r="C38" s="61" t="s">
        <v>127</v>
      </c>
      <c r="D38" s="61" t="s">
        <v>2994</v>
      </c>
      <c r="E38" s="119">
        <v>2.5</v>
      </c>
      <c r="F38" s="148" t="s">
        <v>167</v>
      </c>
      <c r="G38" s="148" t="s">
        <v>122</v>
      </c>
      <c r="H38" s="61" t="s">
        <v>39</v>
      </c>
      <c r="I38" s="61" t="s">
        <v>535</v>
      </c>
      <c r="J38" s="62" t="s">
        <v>1216</v>
      </c>
      <c r="K38" s="61" t="s">
        <v>831</v>
      </c>
      <c r="L38" s="159"/>
      <c r="M38" s="169"/>
    </row>
    <row r="39" spans="1:13" x14ac:dyDescent="0.55000000000000004">
      <c r="A39" s="101" t="s">
        <v>1215</v>
      </c>
      <c r="B39" s="61" t="s">
        <v>153</v>
      </c>
      <c r="C39" s="61" t="s">
        <v>127</v>
      </c>
      <c r="D39" s="61" t="s">
        <v>2994</v>
      </c>
      <c r="E39" s="119">
        <v>8.51</v>
      </c>
      <c r="F39" s="148" t="s">
        <v>167</v>
      </c>
      <c r="G39" s="148" t="s">
        <v>122</v>
      </c>
      <c r="H39" s="61" t="s">
        <v>39</v>
      </c>
      <c r="I39" s="61" t="s">
        <v>535</v>
      </c>
      <c r="J39" s="62" t="s">
        <v>1216</v>
      </c>
      <c r="K39" s="61" t="s">
        <v>831</v>
      </c>
      <c r="L39" s="159"/>
      <c r="M39" s="169"/>
    </row>
    <row r="40" spans="1:13" x14ac:dyDescent="0.55000000000000004">
      <c r="A40" s="101" t="s">
        <v>1215</v>
      </c>
      <c r="B40" s="61" t="s">
        <v>213</v>
      </c>
      <c r="C40" s="61" t="s">
        <v>132</v>
      </c>
      <c r="D40" s="61" t="s">
        <v>3288</v>
      </c>
      <c r="E40" s="119">
        <v>2.71</v>
      </c>
      <c r="F40" s="148" t="s">
        <v>122</v>
      </c>
      <c r="G40" s="148" t="s">
        <v>122</v>
      </c>
      <c r="H40" s="61" t="s">
        <v>39</v>
      </c>
      <c r="I40" s="61" t="s">
        <v>535</v>
      </c>
      <c r="J40" s="62" t="s">
        <v>1216</v>
      </c>
      <c r="K40" s="61" t="s">
        <v>831</v>
      </c>
      <c r="L40" s="159"/>
      <c r="M40" s="169"/>
    </row>
    <row r="41" spans="1:13" x14ac:dyDescent="0.55000000000000004">
      <c r="A41" s="101" t="s">
        <v>1215</v>
      </c>
      <c r="B41" s="61" t="s">
        <v>1170</v>
      </c>
      <c r="C41" s="61" t="s">
        <v>125</v>
      </c>
      <c r="D41" s="61" t="s">
        <v>3288</v>
      </c>
      <c r="E41" s="119">
        <v>0.41099999999999998</v>
      </c>
      <c r="F41" s="148" t="s">
        <v>122</v>
      </c>
      <c r="G41" s="148" t="s">
        <v>122</v>
      </c>
      <c r="H41" s="61" t="s">
        <v>39</v>
      </c>
      <c r="I41" s="61" t="s">
        <v>535</v>
      </c>
      <c r="J41" s="62" t="s">
        <v>1216</v>
      </c>
      <c r="K41" s="61" t="s">
        <v>831</v>
      </c>
      <c r="L41" s="159"/>
      <c r="M41" s="169"/>
    </row>
    <row r="42" spans="1:13" x14ac:dyDescent="0.55000000000000004">
      <c r="A42" s="101" t="s">
        <v>1215</v>
      </c>
      <c r="B42" s="61" t="s">
        <v>1169</v>
      </c>
      <c r="C42" s="61" t="s">
        <v>125</v>
      </c>
      <c r="D42" s="61" t="s">
        <v>3288</v>
      </c>
      <c r="E42" s="119">
        <v>1.47</v>
      </c>
      <c r="F42" s="148" t="s">
        <v>122</v>
      </c>
      <c r="G42" s="148" t="s">
        <v>122</v>
      </c>
      <c r="H42" s="61" t="s">
        <v>39</v>
      </c>
      <c r="I42" s="61" t="s">
        <v>535</v>
      </c>
      <c r="J42" s="62" t="s">
        <v>1216</v>
      </c>
      <c r="K42" s="61" t="s">
        <v>831</v>
      </c>
      <c r="L42" s="159"/>
      <c r="M42" s="169"/>
    </row>
    <row r="43" spans="1:13" x14ac:dyDescent="0.55000000000000004">
      <c r="A43" s="101" t="s">
        <v>1215</v>
      </c>
      <c r="B43" s="168" t="s">
        <v>131</v>
      </c>
      <c r="C43" s="61" t="s">
        <v>132</v>
      </c>
      <c r="D43" s="61" t="s">
        <v>3288</v>
      </c>
      <c r="E43" s="119">
        <v>0.19400000000000001</v>
      </c>
      <c r="F43" s="148" t="s">
        <v>122</v>
      </c>
      <c r="G43" s="148" t="s">
        <v>122</v>
      </c>
      <c r="H43" s="61" t="s">
        <v>39</v>
      </c>
      <c r="I43" s="61" t="s">
        <v>535</v>
      </c>
      <c r="J43" s="62" t="s">
        <v>1216</v>
      </c>
      <c r="K43" s="61" t="s">
        <v>831</v>
      </c>
      <c r="L43" s="159"/>
      <c r="M43" s="169"/>
    </row>
    <row r="44" spans="1:13" x14ac:dyDescent="0.55000000000000004">
      <c r="A44" s="101" t="s">
        <v>1215</v>
      </c>
      <c r="B44" s="61" t="s">
        <v>1171</v>
      </c>
      <c r="C44" s="61" t="s">
        <v>348</v>
      </c>
      <c r="D44" s="61" t="s">
        <v>3288</v>
      </c>
      <c r="E44" s="119">
        <v>0.30299999999999999</v>
      </c>
      <c r="F44" s="148" t="s">
        <v>122</v>
      </c>
      <c r="G44" s="148" t="s">
        <v>122</v>
      </c>
      <c r="H44" s="61" t="s">
        <v>39</v>
      </c>
      <c r="I44" s="61" t="s">
        <v>535</v>
      </c>
      <c r="J44" s="62" t="s">
        <v>1216</v>
      </c>
      <c r="K44" s="61" t="s">
        <v>831</v>
      </c>
      <c r="L44" s="159"/>
      <c r="M44" s="169"/>
    </row>
    <row r="45" spans="1:13" x14ac:dyDescent="0.55000000000000004">
      <c r="A45" s="101" t="s">
        <v>1215</v>
      </c>
      <c r="B45" s="61" t="s">
        <v>154</v>
      </c>
      <c r="C45" s="61" t="s">
        <v>132</v>
      </c>
      <c r="D45" s="61" t="s">
        <v>3288</v>
      </c>
      <c r="E45" s="119">
        <v>0.54500000000000004</v>
      </c>
      <c r="F45" s="148" t="s">
        <v>122</v>
      </c>
      <c r="G45" s="148" t="s">
        <v>122</v>
      </c>
      <c r="H45" s="61" t="s">
        <v>39</v>
      </c>
      <c r="I45" s="61" t="s">
        <v>535</v>
      </c>
      <c r="J45" s="62" t="s">
        <v>1216</v>
      </c>
      <c r="K45" s="61" t="s">
        <v>831</v>
      </c>
      <c r="L45" s="159"/>
      <c r="M45" s="169"/>
    </row>
    <row r="46" spans="1:13" x14ac:dyDescent="0.55000000000000004">
      <c r="A46" s="101" t="s">
        <v>1215</v>
      </c>
      <c r="B46" s="61" t="s">
        <v>160</v>
      </c>
      <c r="C46" s="61" t="s">
        <v>124</v>
      </c>
      <c r="D46" s="61" t="s">
        <v>3288</v>
      </c>
      <c r="E46" s="119">
        <v>0.28499999999999998</v>
      </c>
      <c r="F46" s="148" t="s">
        <v>122</v>
      </c>
      <c r="G46" s="148" t="s">
        <v>122</v>
      </c>
      <c r="H46" s="61" t="s">
        <v>39</v>
      </c>
      <c r="I46" s="61" t="s">
        <v>535</v>
      </c>
      <c r="J46" s="62" t="s">
        <v>1216</v>
      </c>
      <c r="K46" s="61" t="s">
        <v>831</v>
      </c>
      <c r="L46" s="159"/>
      <c r="M46" s="169"/>
    </row>
    <row r="47" spans="1:13" x14ac:dyDescent="0.55000000000000004">
      <c r="A47" s="101" t="s">
        <v>1215</v>
      </c>
      <c r="B47" s="61" t="s">
        <v>1211</v>
      </c>
      <c r="C47" s="61" t="s">
        <v>156</v>
      </c>
      <c r="D47" s="61" t="s">
        <v>3288</v>
      </c>
      <c r="E47" s="119">
        <v>0.254</v>
      </c>
      <c r="F47" s="148" t="s">
        <v>122</v>
      </c>
      <c r="G47" s="148" t="s">
        <v>122</v>
      </c>
      <c r="H47" s="61" t="s">
        <v>39</v>
      </c>
      <c r="I47" s="61" t="s">
        <v>535</v>
      </c>
      <c r="J47" s="62" t="s">
        <v>1216</v>
      </c>
      <c r="K47" s="61" t="s">
        <v>831</v>
      </c>
      <c r="L47" s="159">
        <v>2807</v>
      </c>
      <c r="M47" s="169"/>
    </row>
    <row r="48" spans="1:13" x14ac:dyDescent="0.55000000000000004">
      <c r="A48" s="101" t="s">
        <v>1215</v>
      </c>
      <c r="B48" s="61" t="s">
        <v>394</v>
      </c>
      <c r="C48" s="61" t="s">
        <v>156</v>
      </c>
      <c r="D48" s="61" t="s">
        <v>3288</v>
      </c>
      <c r="E48" s="119">
        <v>0.30299999999999999</v>
      </c>
      <c r="F48" s="148" t="s">
        <v>122</v>
      </c>
      <c r="G48" s="148" t="s">
        <v>122</v>
      </c>
      <c r="H48" s="61" t="s">
        <v>39</v>
      </c>
      <c r="I48" s="61" t="s">
        <v>535</v>
      </c>
      <c r="J48" s="62" t="s">
        <v>1216</v>
      </c>
      <c r="K48" s="61" t="s">
        <v>831</v>
      </c>
      <c r="L48" s="159">
        <v>2520</v>
      </c>
      <c r="M48" s="169"/>
    </row>
    <row r="49" spans="1:13" x14ac:dyDescent="0.55000000000000004">
      <c r="A49" s="101" t="s">
        <v>1215</v>
      </c>
      <c r="B49" s="61" t="s">
        <v>735</v>
      </c>
      <c r="C49" s="61" t="s">
        <v>163</v>
      </c>
      <c r="D49" s="61" t="s">
        <v>3288</v>
      </c>
      <c r="E49" s="119">
        <v>1.85</v>
      </c>
      <c r="F49" s="148" t="s">
        <v>122</v>
      </c>
      <c r="G49" s="148" t="s">
        <v>122</v>
      </c>
      <c r="H49" s="61" t="s">
        <v>39</v>
      </c>
      <c r="I49" s="61" t="s">
        <v>535</v>
      </c>
      <c r="J49" s="62" t="s">
        <v>1216</v>
      </c>
      <c r="K49" s="61" t="s">
        <v>831</v>
      </c>
      <c r="L49" s="159"/>
      <c r="M49" s="169"/>
    </row>
    <row r="50" spans="1:13" x14ac:dyDescent="0.55000000000000004">
      <c r="A50" s="101" t="s">
        <v>1212</v>
      </c>
      <c r="B50" s="61" t="s">
        <v>1166</v>
      </c>
      <c r="C50" s="61" t="s">
        <v>121</v>
      </c>
      <c r="D50" s="61" t="s">
        <v>3288</v>
      </c>
      <c r="E50" s="119">
        <v>1</v>
      </c>
      <c r="F50" s="148" t="s">
        <v>122</v>
      </c>
      <c r="G50" s="148">
        <v>1</v>
      </c>
      <c r="H50" s="61" t="s">
        <v>39</v>
      </c>
      <c r="I50" s="61" t="s">
        <v>535</v>
      </c>
      <c r="J50" s="62" t="s">
        <v>1213</v>
      </c>
      <c r="K50" s="61" t="s">
        <v>831</v>
      </c>
      <c r="L50" s="159">
        <v>7402</v>
      </c>
      <c r="M50" s="169"/>
    </row>
    <row r="51" spans="1:13" x14ac:dyDescent="0.55000000000000004">
      <c r="A51" s="101" t="s">
        <v>1212</v>
      </c>
      <c r="B51" s="61" t="s">
        <v>1210</v>
      </c>
      <c r="C51" s="61" t="s">
        <v>125</v>
      </c>
      <c r="D51" s="61" t="s">
        <v>3288</v>
      </c>
      <c r="E51" s="119">
        <v>3.57</v>
      </c>
      <c r="F51" s="148" t="s">
        <v>122</v>
      </c>
      <c r="G51" s="148" t="s">
        <v>122</v>
      </c>
      <c r="H51" s="61" t="s">
        <v>39</v>
      </c>
      <c r="I51" s="61" t="s">
        <v>535</v>
      </c>
      <c r="J51" s="62" t="s">
        <v>1213</v>
      </c>
      <c r="K51" s="61" t="s">
        <v>831</v>
      </c>
      <c r="L51" s="159"/>
      <c r="M51" s="169"/>
    </row>
    <row r="52" spans="1:13" x14ac:dyDescent="0.55000000000000004">
      <c r="A52" s="101" t="s">
        <v>1212</v>
      </c>
      <c r="B52" s="61" t="s">
        <v>145</v>
      </c>
      <c r="C52" s="61" t="s">
        <v>156</v>
      </c>
      <c r="D52" s="61" t="s">
        <v>3288</v>
      </c>
      <c r="E52" s="119">
        <v>2.2000000000000002</v>
      </c>
      <c r="F52" s="148" t="s">
        <v>122</v>
      </c>
      <c r="G52" s="148" t="s">
        <v>122</v>
      </c>
      <c r="H52" s="61" t="s">
        <v>39</v>
      </c>
      <c r="I52" s="61" t="s">
        <v>535</v>
      </c>
      <c r="J52" s="62" t="s">
        <v>1213</v>
      </c>
      <c r="K52" s="61" t="s">
        <v>831</v>
      </c>
      <c r="L52" s="159">
        <v>2807</v>
      </c>
      <c r="M52" s="169"/>
    </row>
    <row r="53" spans="1:13" x14ac:dyDescent="0.55000000000000004">
      <c r="A53" s="101" t="s">
        <v>1212</v>
      </c>
      <c r="B53" s="61" t="s">
        <v>505</v>
      </c>
      <c r="C53" s="61" t="s">
        <v>127</v>
      </c>
      <c r="D53" s="61" t="s">
        <v>2994</v>
      </c>
      <c r="E53" s="119">
        <v>1.52</v>
      </c>
      <c r="F53" s="148" t="s">
        <v>167</v>
      </c>
      <c r="G53" s="148" t="s">
        <v>122</v>
      </c>
      <c r="H53" s="61" t="s">
        <v>39</v>
      </c>
      <c r="I53" s="61" t="s">
        <v>535</v>
      </c>
      <c r="J53" s="62" t="s">
        <v>1213</v>
      </c>
      <c r="K53" s="61" t="s">
        <v>831</v>
      </c>
      <c r="L53" s="159"/>
      <c r="M53" s="169"/>
    </row>
    <row r="54" spans="1:13" x14ac:dyDescent="0.55000000000000004">
      <c r="A54" s="101" t="s">
        <v>1212</v>
      </c>
      <c r="B54" s="61" t="s">
        <v>153</v>
      </c>
      <c r="C54" s="61" t="s">
        <v>127</v>
      </c>
      <c r="D54" s="61" t="s">
        <v>2994</v>
      </c>
      <c r="E54" s="119">
        <v>9.27</v>
      </c>
      <c r="F54" s="148" t="s">
        <v>167</v>
      </c>
      <c r="G54" s="148" t="s">
        <v>122</v>
      </c>
      <c r="H54" s="61" t="s">
        <v>39</v>
      </c>
      <c r="I54" s="61" t="s">
        <v>535</v>
      </c>
      <c r="J54" s="62" t="s">
        <v>1213</v>
      </c>
      <c r="K54" s="61" t="s">
        <v>831</v>
      </c>
      <c r="L54" s="159"/>
      <c r="M54" s="169"/>
    </row>
    <row r="55" spans="1:13" x14ac:dyDescent="0.55000000000000004">
      <c r="A55" s="101" t="s">
        <v>1212</v>
      </c>
      <c r="B55" s="61" t="s">
        <v>1169</v>
      </c>
      <c r="C55" s="61" t="s">
        <v>125</v>
      </c>
      <c r="D55" s="61" t="s">
        <v>3288</v>
      </c>
      <c r="E55" s="119">
        <v>0.90900000000000003</v>
      </c>
      <c r="F55" s="148" t="s">
        <v>122</v>
      </c>
      <c r="G55" s="148" t="s">
        <v>122</v>
      </c>
      <c r="H55" s="61" t="s">
        <v>39</v>
      </c>
      <c r="I55" s="61" t="s">
        <v>535</v>
      </c>
      <c r="J55" s="62" t="s">
        <v>1213</v>
      </c>
      <c r="K55" s="61" t="s">
        <v>831</v>
      </c>
      <c r="L55" s="159"/>
      <c r="M55" s="169"/>
    </row>
    <row r="56" spans="1:13" x14ac:dyDescent="0.55000000000000004">
      <c r="A56" s="101" t="s">
        <v>1212</v>
      </c>
      <c r="B56" s="61" t="s">
        <v>213</v>
      </c>
      <c r="C56" s="61" t="s">
        <v>132</v>
      </c>
      <c r="D56" s="61" t="s">
        <v>3288</v>
      </c>
      <c r="E56" s="119">
        <v>1.78</v>
      </c>
      <c r="F56" s="148" t="s">
        <v>122</v>
      </c>
      <c r="G56" s="148" t="s">
        <v>122</v>
      </c>
      <c r="H56" s="61" t="s">
        <v>39</v>
      </c>
      <c r="I56" s="61" t="s">
        <v>535</v>
      </c>
      <c r="J56" s="62" t="s">
        <v>1213</v>
      </c>
      <c r="K56" s="61" t="s">
        <v>831</v>
      </c>
      <c r="L56" s="159"/>
      <c r="M56" s="169"/>
    </row>
    <row r="57" spans="1:13" x14ac:dyDescent="0.55000000000000004">
      <c r="A57" s="101" t="s">
        <v>1212</v>
      </c>
      <c r="B57" s="61" t="s">
        <v>1170</v>
      </c>
      <c r="C57" s="61" t="s">
        <v>125</v>
      </c>
      <c r="D57" s="61" t="s">
        <v>3288</v>
      </c>
      <c r="E57" s="119">
        <v>0.35</v>
      </c>
      <c r="F57" s="148" t="s">
        <v>122</v>
      </c>
      <c r="G57" s="148" t="s">
        <v>122</v>
      </c>
      <c r="H57" s="61" t="s">
        <v>39</v>
      </c>
      <c r="I57" s="61" t="s">
        <v>535</v>
      </c>
      <c r="J57" s="62" t="s">
        <v>1213</v>
      </c>
      <c r="K57" s="61" t="s">
        <v>831</v>
      </c>
      <c r="L57" s="159"/>
      <c r="M57" s="169"/>
    </row>
    <row r="58" spans="1:13" x14ac:dyDescent="0.55000000000000004">
      <c r="A58" s="101" t="s">
        <v>1212</v>
      </c>
      <c r="B58" s="168" t="s">
        <v>131</v>
      </c>
      <c r="C58" s="61" t="s">
        <v>132</v>
      </c>
      <c r="D58" s="61" t="s">
        <v>3288</v>
      </c>
      <c r="E58" s="119">
        <v>0.18</v>
      </c>
      <c r="F58" s="148" t="s">
        <v>122</v>
      </c>
      <c r="G58" s="148" t="s">
        <v>122</v>
      </c>
      <c r="H58" s="61" t="s">
        <v>39</v>
      </c>
      <c r="I58" s="61" t="s">
        <v>535</v>
      </c>
      <c r="J58" s="62" t="s">
        <v>1213</v>
      </c>
      <c r="K58" s="61" t="s">
        <v>831</v>
      </c>
      <c r="L58" s="159"/>
      <c r="M58" s="169"/>
    </row>
    <row r="59" spans="1:13" x14ac:dyDescent="0.55000000000000004">
      <c r="A59" s="101" t="s">
        <v>1212</v>
      </c>
      <c r="B59" s="61" t="s">
        <v>1171</v>
      </c>
      <c r="C59" s="61" t="s">
        <v>348</v>
      </c>
      <c r="D59" s="61" t="s">
        <v>3288</v>
      </c>
      <c r="E59" s="119">
        <v>0.11</v>
      </c>
      <c r="F59" s="148" t="s">
        <v>122</v>
      </c>
      <c r="G59" s="148" t="s">
        <v>122</v>
      </c>
      <c r="H59" s="61" t="s">
        <v>39</v>
      </c>
      <c r="I59" s="61" t="s">
        <v>535</v>
      </c>
      <c r="J59" s="62" t="s">
        <v>1213</v>
      </c>
      <c r="K59" s="61" t="s">
        <v>831</v>
      </c>
      <c r="L59" s="159"/>
      <c r="M59" s="169"/>
    </row>
    <row r="60" spans="1:13" x14ac:dyDescent="0.55000000000000004">
      <c r="A60" s="101" t="s">
        <v>1212</v>
      </c>
      <c r="B60" s="61" t="s">
        <v>154</v>
      </c>
      <c r="C60" s="61" t="s">
        <v>132</v>
      </c>
      <c r="D60" s="61" t="s">
        <v>3288</v>
      </c>
      <c r="E60" s="119">
        <v>0.49</v>
      </c>
      <c r="F60" s="148" t="s">
        <v>122</v>
      </c>
      <c r="G60" s="148" t="s">
        <v>122</v>
      </c>
      <c r="H60" s="61" t="s">
        <v>39</v>
      </c>
      <c r="I60" s="61" t="s">
        <v>535</v>
      </c>
      <c r="J60" s="62" t="s">
        <v>1213</v>
      </c>
      <c r="K60" s="61" t="s">
        <v>831</v>
      </c>
      <c r="L60" s="159"/>
      <c r="M60" s="169"/>
    </row>
    <row r="61" spans="1:13" x14ac:dyDescent="0.55000000000000004">
      <c r="A61" s="101" t="s">
        <v>1212</v>
      </c>
      <c r="B61" s="61" t="s">
        <v>1172</v>
      </c>
      <c r="C61" s="61" t="s">
        <v>124</v>
      </c>
      <c r="D61" s="61" t="s">
        <v>3288</v>
      </c>
      <c r="E61" s="119">
        <v>0.19</v>
      </c>
      <c r="F61" s="148" t="s">
        <v>122</v>
      </c>
      <c r="G61" s="148" t="s">
        <v>122</v>
      </c>
      <c r="H61" s="61" t="s">
        <v>39</v>
      </c>
      <c r="I61" s="61" t="s">
        <v>535</v>
      </c>
      <c r="J61" s="62" t="s">
        <v>1213</v>
      </c>
      <c r="K61" s="61" t="s">
        <v>831</v>
      </c>
      <c r="L61" s="159"/>
      <c r="M61" s="169"/>
    </row>
    <row r="62" spans="1:13" x14ac:dyDescent="0.55000000000000004">
      <c r="A62" s="101" t="s">
        <v>1212</v>
      </c>
      <c r="B62" s="61" t="s">
        <v>160</v>
      </c>
      <c r="C62" s="61" t="s">
        <v>124</v>
      </c>
      <c r="D62" s="61" t="s">
        <v>3288</v>
      </c>
      <c r="E62" s="119">
        <v>0.21</v>
      </c>
      <c r="F62" s="148" t="s">
        <v>122</v>
      </c>
      <c r="G62" s="148" t="s">
        <v>122</v>
      </c>
      <c r="H62" s="61" t="s">
        <v>39</v>
      </c>
      <c r="I62" s="61" t="s">
        <v>535</v>
      </c>
      <c r="J62" s="62" t="s">
        <v>1213</v>
      </c>
      <c r="K62" s="61" t="s">
        <v>831</v>
      </c>
      <c r="L62" s="159"/>
      <c r="M62" s="169"/>
    </row>
    <row r="63" spans="1:13" x14ac:dyDescent="0.55000000000000004">
      <c r="A63" s="101" t="s">
        <v>1212</v>
      </c>
      <c r="B63" s="61" t="s">
        <v>1211</v>
      </c>
      <c r="C63" s="61" t="s">
        <v>156</v>
      </c>
      <c r="D63" s="61" t="s">
        <v>3288</v>
      </c>
      <c r="E63" s="119">
        <v>0.3</v>
      </c>
      <c r="F63" s="148" t="s">
        <v>122</v>
      </c>
      <c r="G63" s="148" t="s">
        <v>122</v>
      </c>
      <c r="H63" s="61" t="s">
        <v>39</v>
      </c>
      <c r="I63" s="61" t="s">
        <v>535</v>
      </c>
      <c r="J63" s="62" t="s">
        <v>1213</v>
      </c>
      <c r="K63" s="61" t="s">
        <v>831</v>
      </c>
      <c r="L63" s="159">
        <v>2807</v>
      </c>
      <c r="M63" s="169"/>
    </row>
    <row r="64" spans="1:13" x14ac:dyDescent="0.55000000000000004">
      <c r="A64" s="101" t="s">
        <v>1212</v>
      </c>
      <c r="B64" s="61" t="s">
        <v>394</v>
      </c>
      <c r="C64" s="61" t="s">
        <v>156</v>
      </c>
      <c r="D64" s="61" t="s">
        <v>3288</v>
      </c>
      <c r="E64" s="119">
        <v>0.8</v>
      </c>
      <c r="F64" s="148" t="s">
        <v>122</v>
      </c>
      <c r="G64" s="148" t="s">
        <v>122</v>
      </c>
      <c r="H64" s="61" t="s">
        <v>39</v>
      </c>
      <c r="I64" s="61" t="s">
        <v>535</v>
      </c>
      <c r="J64" s="62" t="s">
        <v>1213</v>
      </c>
      <c r="K64" s="61" t="s">
        <v>831</v>
      </c>
      <c r="L64" s="159">
        <v>2520</v>
      </c>
      <c r="M64" s="169"/>
    </row>
    <row r="65" spans="1:13" x14ac:dyDescent="0.55000000000000004">
      <c r="A65" s="101" t="s">
        <v>1212</v>
      </c>
      <c r="B65" s="61" t="s">
        <v>735</v>
      </c>
      <c r="C65" s="61" t="s">
        <v>163</v>
      </c>
      <c r="D65" s="61" t="s">
        <v>3288</v>
      </c>
      <c r="E65" s="119">
        <v>1.91</v>
      </c>
      <c r="F65" s="148" t="s">
        <v>122</v>
      </c>
      <c r="G65" s="148" t="s">
        <v>122</v>
      </c>
      <c r="H65" s="61" t="s">
        <v>39</v>
      </c>
      <c r="I65" s="61" t="s">
        <v>535</v>
      </c>
      <c r="J65" s="62" t="s">
        <v>1213</v>
      </c>
      <c r="K65" s="61" t="s">
        <v>831</v>
      </c>
      <c r="L65" s="159"/>
      <c r="M65" s="169"/>
    </row>
    <row r="66" spans="1:13" x14ac:dyDescent="0.55000000000000004">
      <c r="A66" s="101" t="s">
        <v>1208</v>
      </c>
      <c r="B66" s="61" t="s">
        <v>1166</v>
      </c>
      <c r="C66" s="61" t="s">
        <v>121</v>
      </c>
      <c r="D66" s="61" t="s">
        <v>3288</v>
      </c>
      <c r="E66" s="119">
        <v>1</v>
      </c>
      <c r="F66" s="148" t="s">
        <v>122</v>
      </c>
      <c r="G66" s="148">
        <v>1</v>
      </c>
      <c r="H66" s="61" t="s">
        <v>39</v>
      </c>
      <c r="I66" s="61" t="s">
        <v>535</v>
      </c>
      <c r="J66" s="62" t="s">
        <v>1209</v>
      </c>
      <c r="K66" s="61" t="s">
        <v>831</v>
      </c>
      <c r="L66" s="159">
        <v>7402</v>
      </c>
      <c r="M66" s="169"/>
    </row>
    <row r="67" spans="1:13" x14ac:dyDescent="0.55000000000000004">
      <c r="A67" s="101" t="s">
        <v>1208</v>
      </c>
      <c r="B67" s="61" t="s">
        <v>1210</v>
      </c>
      <c r="C67" s="61" t="s">
        <v>125</v>
      </c>
      <c r="D67" s="61" t="s">
        <v>3288</v>
      </c>
      <c r="E67" s="119">
        <v>3.57</v>
      </c>
      <c r="F67" s="148" t="s">
        <v>122</v>
      </c>
      <c r="G67" s="148" t="s">
        <v>122</v>
      </c>
      <c r="H67" s="61" t="s">
        <v>39</v>
      </c>
      <c r="I67" s="61" t="s">
        <v>535</v>
      </c>
      <c r="J67" s="62" t="s">
        <v>1209</v>
      </c>
      <c r="K67" s="61" t="s">
        <v>831</v>
      </c>
      <c r="L67" s="159"/>
      <c r="M67" s="169"/>
    </row>
    <row r="68" spans="1:13" x14ac:dyDescent="0.55000000000000004">
      <c r="A68" s="101" t="s">
        <v>1208</v>
      </c>
      <c r="B68" s="61" t="s">
        <v>145</v>
      </c>
      <c r="C68" s="61" t="s">
        <v>156</v>
      </c>
      <c r="D68" s="61" t="s">
        <v>3288</v>
      </c>
      <c r="E68" s="119">
        <v>2.2000000000000002</v>
      </c>
      <c r="F68" s="148" t="s">
        <v>122</v>
      </c>
      <c r="G68" s="148" t="s">
        <v>122</v>
      </c>
      <c r="H68" s="61" t="s">
        <v>39</v>
      </c>
      <c r="I68" s="61" t="s">
        <v>535</v>
      </c>
      <c r="J68" s="62" t="s">
        <v>1209</v>
      </c>
      <c r="K68" s="61" t="s">
        <v>831</v>
      </c>
      <c r="L68" s="159"/>
      <c r="M68" s="169"/>
    </row>
    <row r="69" spans="1:13" x14ac:dyDescent="0.55000000000000004">
      <c r="A69" s="101" t="s">
        <v>1208</v>
      </c>
      <c r="B69" s="61" t="s">
        <v>334</v>
      </c>
      <c r="C69" s="61" t="s">
        <v>294</v>
      </c>
      <c r="D69" s="61" t="s">
        <v>3288</v>
      </c>
      <c r="E69" s="119">
        <v>2.4299999999999999E-2</v>
      </c>
      <c r="F69" s="148" t="s">
        <v>122</v>
      </c>
      <c r="G69" s="148" t="s">
        <v>122</v>
      </c>
      <c r="H69" s="61" t="s">
        <v>39</v>
      </c>
      <c r="I69" s="61" t="s">
        <v>535</v>
      </c>
      <c r="J69" s="62" t="s">
        <v>1209</v>
      </c>
      <c r="K69" s="61" t="s">
        <v>831</v>
      </c>
      <c r="L69" s="159"/>
      <c r="M69" s="169"/>
    </row>
    <row r="70" spans="1:13" x14ac:dyDescent="0.55000000000000004">
      <c r="A70" s="101" t="s">
        <v>1208</v>
      </c>
      <c r="B70" s="61" t="s">
        <v>153</v>
      </c>
      <c r="C70" s="61" t="s">
        <v>127</v>
      </c>
      <c r="D70" s="61" t="s">
        <v>2994</v>
      </c>
      <c r="E70" s="119">
        <v>9.27</v>
      </c>
      <c r="F70" s="148" t="s">
        <v>167</v>
      </c>
      <c r="G70" s="148" t="s">
        <v>122</v>
      </c>
      <c r="H70" s="61" t="s">
        <v>39</v>
      </c>
      <c r="I70" s="61" t="s">
        <v>535</v>
      </c>
      <c r="J70" s="62" t="s">
        <v>1209</v>
      </c>
      <c r="K70" s="61" t="s">
        <v>831</v>
      </c>
      <c r="L70" s="159"/>
      <c r="M70" s="169"/>
    </row>
    <row r="71" spans="1:13" x14ac:dyDescent="0.55000000000000004">
      <c r="A71" s="101" t="s">
        <v>1208</v>
      </c>
      <c r="B71" s="61" t="s">
        <v>1169</v>
      </c>
      <c r="C71" s="61" t="s">
        <v>125</v>
      </c>
      <c r="D71" s="61" t="s">
        <v>3288</v>
      </c>
      <c r="E71" s="119">
        <v>0.90900000000000003</v>
      </c>
      <c r="F71" s="148" t="s">
        <v>122</v>
      </c>
      <c r="G71" s="148" t="s">
        <v>122</v>
      </c>
      <c r="H71" s="61" t="s">
        <v>39</v>
      </c>
      <c r="I71" s="61" t="s">
        <v>535</v>
      </c>
      <c r="J71" s="62" t="s">
        <v>1209</v>
      </c>
      <c r="K71" s="61" t="s">
        <v>831</v>
      </c>
      <c r="L71" s="159"/>
      <c r="M71" s="169"/>
    </row>
    <row r="72" spans="1:13" x14ac:dyDescent="0.55000000000000004">
      <c r="A72" s="101" t="s">
        <v>1208</v>
      </c>
      <c r="B72" s="61" t="s">
        <v>213</v>
      </c>
      <c r="C72" s="61" t="s">
        <v>132</v>
      </c>
      <c r="D72" s="61" t="s">
        <v>3288</v>
      </c>
      <c r="E72" s="119">
        <v>1.78</v>
      </c>
      <c r="F72" s="148" t="s">
        <v>122</v>
      </c>
      <c r="G72" s="148" t="s">
        <v>122</v>
      </c>
      <c r="H72" s="61" t="s">
        <v>39</v>
      </c>
      <c r="I72" s="61" t="s">
        <v>535</v>
      </c>
      <c r="J72" s="62" t="s">
        <v>1209</v>
      </c>
      <c r="K72" s="61" t="s">
        <v>831</v>
      </c>
      <c r="L72" s="159"/>
      <c r="M72" s="169"/>
    </row>
    <row r="73" spans="1:13" x14ac:dyDescent="0.55000000000000004">
      <c r="A73" s="101" t="s">
        <v>1208</v>
      </c>
      <c r="B73" s="61" t="s">
        <v>1170</v>
      </c>
      <c r="C73" s="61" t="s">
        <v>125</v>
      </c>
      <c r="D73" s="61" t="s">
        <v>3288</v>
      </c>
      <c r="E73" s="119">
        <v>0.35</v>
      </c>
      <c r="F73" s="148" t="s">
        <v>122</v>
      </c>
      <c r="G73" s="148" t="s">
        <v>122</v>
      </c>
      <c r="H73" s="61" t="s">
        <v>39</v>
      </c>
      <c r="I73" s="61" t="s">
        <v>535</v>
      </c>
      <c r="J73" s="62" t="s">
        <v>1209</v>
      </c>
      <c r="K73" s="61" t="s">
        <v>831</v>
      </c>
      <c r="L73" s="159"/>
      <c r="M73" s="169"/>
    </row>
    <row r="74" spans="1:13" x14ac:dyDescent="0.55000000000000004">
      <c r="A74" s="101" t="s">
        <v>1208</v>
      </c>
      <c r="B74" s="61" t="s">
        <v>1171</v>
      </c>
      <c r="C74" s="61" t="s">
        <v>348</v>
      </c>
      <c r="D74" s="61" t="s">
        <v>3288</v>
      </c>
      <c r="E74" s="119">
        <v>0.11</v>
      </c>
      <c r="F74" s="148" t="s">
        <v>122</v>
      </c>
      <c r="G74" s="148" t="s">
        <v>122</v>
      </c>
      <c r="H74" s="61" t="s">
        <v>39</v>
      </c>
      <c r="I74" s="61" t="s">
        <v>535</v>
      </c>
      <c r="J74" s="62" t="s">
        <v>1209</v>
      </c>
      <c r="K74" s="61" t="s">
        <v>831</v>
      </c>
      <c r="L74" s="159"/>
      <c r="M74" s="169"/>
    </row>
    <row r="75" spans="1:13" x14ac:dyDescent="0.55000000000000004">
      <c r="A75" s="101" t="s">
        <v>1208</v>
      </c>
      <c r="B75" s="61" t="s">
        <v>154</v>
      </c>
      <c r="C75" s="61" t="s">
        <v>132</v>
      </c>
      <c r="D75" s="61" t="s">
        <v>3288</v>
      </c>
      <c r="E75" s="119">
        <v>0.49</v>
      </c>
      <c r="F75" s="148" t="s">
        <v>122</v>
      </c>
      <c r="G75" s="148" t="s">
        <v>122</v>
      </c>
      <c r="H75" s="61" t="s">
        <v>39</v>
      </c>
      <c r="I75" s="61" t="s">
        <v>535</v>
      </c>
      <c r="J75" s="62" t="s">
        <v>1209</v>
      </c>
      <c r="K75" s="61" t="s">
        <v>831</v>
      </c>
      <c r="L75" s="159"/>
      <c r="M75" s="169"/>
    </row>
    <row r="76" spans="1:13" x14ac:dyDescent="0.55000000000000004">
      <c r="A76" s="101" t="s">
        <v>1208</v>
      </c>
      <c r="B76" s="61" t="s">
        <v>1172</v>
      </c>
      <c r="C76" s="61" t="s">
        <v>124</v>
      </c>
      <c r="D76" s="61" t="s">
        <v>3288</v>
      </c>
      <c r="E76" s="119">
        <v>0.19</v>
      </c>
      <c r="F76" s="148" t="s">
        <v>122</v>
      </c>
      <c r="G76" s="148" t="s">
        <v>122</v>
      </c>
      <c r="H76" s="61" t="s">
        <v>39</v>
      </c>
      <c r="I76" s="61" t="s">
        <v>535</v>
      </c>
      <c r="J76" s="62" t="s">
        <v>1209</v>
      </c>
      <c r="K76" s="61" t="s">
        <v>831</v>
      </c>
      <c r="L76" s="159"/>
      <c r="M76" s="169"/>
    </row>
    <row r="77" spans="1:13" x14ac:dyDescent="0.55000000000000004">
      <c r="A77" s="101" t="s">
        <v>1208</v>
      </c>
      <c r="B77" s="61" t="s">
        <v>154</v>
      </c>
      <c r="C77" s="61" t="s">
        <v>156</v>
      </c>
      <c r="D77" s="61" t="s">
        <v>3288</v>
      </c>
      <c r="E77" s="119">
        <v>1.8</v>
      </c>
      <c r="F77" s="148" t="s">
        <v>122</v>
      </c>
      <c r="G77" s="148" t="s">
        <v>122</v>
      </c>
      <c r="H77" s="61" t="s">
        <v>39</v>
      </c>
      <c r="I77" s="61" t="s">
        <v>535</v>
      </c>
      <c r="J77" s="62" t="s">
        <v>1209</v>
      </c>
      <c r="K77" s="61" t="s">
        <v>831</v>
      </c>
      <c r="L77" s="159"/>
      <c r="M77" s="169"/>
    </row>
    <row r="78" spans="1:13" x14ac:dyDescent="0.55000000000000004">
      <c r="A78" s="101" t="s">
        <v>1208</v>
      </c>
      <c r="B78" s="61" t="s">
        <v>1211</v>
      </c>
      <c r="C78" s="61" t="s">
        <v>156</v>
      </c>
      <c r="D78" s="61" t="s">
        <v>3288</v>
      </c>
      <c r="E78" s="119">
        <v>0.3</v>
      </c>
      <c r="F78" s="148" t="s">
        <v>122</v>
      </c>
      <c r="G78" s="148" t="s">
        <v>122</v>
      </c>
      <c r="H78" s="61" t="s">
        <v>39</v>
      </c>
      <c r="I78" s="61" t="s">
        <v>535</v>
      </c>
      <c r="J78" s="62" t="s">
        <v>1209</v>
      </c>
      <c r="K78" s="61" t="s">
        <v>831</v>
      </c>
      <c r="L78" s="159">
        <v>2807</v>
      </c>
      <c r="M78" s="169"/>
    </row>
    <row r="79" spans="1:13" x14ac:dyDescent="0.55000000000000004">
      <c r="A79" s="101" t="s">
        <v>1208</v>
      </c>
      <c r="B79" s="61" t="s">
        <v>394</v>
      </c>
      <c r="C79" s="61" t="s">
        <v>156</v>
      </c>
      <c r="D79" s="61" t="s">
        <v>3288</v>
      </c>
      <c r="E79" s="119">
        <v>0.8</v>
      </c>
      <c r="F79" s="148" t="s">
        <v>122</v>
      </c>
      <c r="G79" s="148" t="s">
        <v>122</v>
      </c>
      <c r="H79" s="61" t="s">
        <v>39</v>
      </c>
      <c r="I79" s="61" t="s">
        <v>535</v>
      </c>
      <c r="J79" s="62" t="s">
        <v>1209</v>
      </c>
      <c r="K79" s="61" t="s">
        <v>831</v>
      </c>
      <c r="L79" s="159">
        <v>2520</v>
      </c>
      <c r="M79" s="169"/>
    </row>
    <row r="80" spans="1:13" x14ac:dyDescent="0.55000000000000004">
      <c r="A80" s="101" t="s">
        <v>1208</v>
      </c>
      <c r="B80" s="61" t="s">
        <v>735</v>
      </c>
      <c r="C80" s="61" t="s">
        <v>163</v>
      </c>
      <c r="D80" s="61" t="s">
        <v>3288</v>
      </c>
      <c r="E80" s="119">
        <v>1.91</v>
      </c>
      <c r="F80" s="148" t="s">
        <v>122</v>
      </c>
      <c r="G80" s="148" t="s">
        <v>122</v>
      </c>
      <c r="H80" s="61" t="s">
        <v>39</v>
      </c>
      <c r="I80" s="61" t="s">
        <v>535</v>
      </c>
      <c r="J80" s="62" t="s">
        <v>1209</v>
      </c>
      <c r="K80" s="61" t="s">
        <v>831</v>
      </c>
      <c r="L80" s="159"/>
      <c r="M80" s="169"/>
    </row>
    <row r="81" spans="1:13" x14ac:dyDescent="0.55000000000000004">
      <c r="A81" s="101" t="s">
        <v>1201</v>
      </c>
      <c r="B81" s="61" t="s">
        <v>189</v>
      </c>
      <c r="C81" s="61" t="s">
        <v>121</v>
      </c>
      <c r="D81" s="61" t="s">
        <v>3288</v>
      </c>
      <c r="E81" s="119">
        <v>1</v>
      </c>
      <c r="F81" s="148" t="s">
        <v>122</v>
      </c>
      <c r="G81" s="148">
        <v>1</v>
      </c>
      <c r="H81" s="61" t="s">
        <v>39</v>
      </c>
      <c r="I81" s="61" t="s">
        <v>535</v>
      </c>
      <c r="J81" s="62" t="s">
        <v>1202</v>
      </c>
      <c r="K81" s="61" t="s">
        <v>126</v>
      </c>
      <c r="L81" s="159">
        <v>7403</v>
      </c>
      <c r="M81" s="169"/>
    </row>
    <row r="82" spans="1:13" x14ac:dyDescent="0.55000000000000004">
      <c r="A82" s="101" t="s">
        <v>1201</v>
      </c>
      <c r="B82" s="61" t="s">
        <v>1203</v>
      </c>
      <c r="C82" s="61" t="s">
        <v>127</v>
      </c>
      <c r="D82" s="61" t="s">
        <v>2994</v>
      </c>
      <c r="E82" s="119">
        <v>5.22</v>
      </c>
      <c r="F82" s="148" t="s">
        <v>167</v>
      </c>
      <c r="G82" s="148" t="s">
        <v>122</v>
      </c>
      <c r="H82" s="61" t="s">
        <v>39</v>
      </c>
      <c r="I82" s="61" t="s">
        <v>535</v>
      </c>
      <c r="J82" s="62" t="s">
        <v>1202</v>
      </c>
      <c r="K82" s="61" t="s">
        <v>126</v>
      </c>
      <c r="L82" s="159"/>
      <c r="M82" s="169"/>
    </row>
    <row r="83" spans="1:13" x14ac:dyDescent="0.55000000000000004">
      <c r="A83" s="101" t="s">
        <v>1201</v>
      </c>
      <c r="B83" s="61" t="s">
        <v>154</v>
      </c>
      <c r="C83" s="61" t="s">
        <v>132</v>
      </c>
      <c r="D83" s="61" t="s">
        <v>3289</v>
      </c>
      <c r="E83" s="119">
        <v>2.2700000000000001E-2</v>
      </c>
      <c r="F83" s="148" t="s">
        <v>133</v>
      </c>
      <c r="G83" s="148" t="s">
        <v>122</v>
      </c>
      <c r="H83" s="61" t="s">
        <v>39</v>
      </c>
      <c r="I83" s="61" t="s">
        <v>535</v>
      </c>
      <c r="J83" s="62" t="s">
        <v>1202</v>
      </c>
      <c r="K83" s="61" t="s">
        <v>126</v>
      </c>
      <c r="L83" s="159"/>
      <c r="M83" s="169"/>
    </row>
    <row r="84" spans="1:13" x14ac:dyDescent="0.55000000000000004">
      <c r="A84" s="101" t="s">
        <v>1201</v>
      </c>
      <c r="B84" s="61" t="s">
        <v>145</v>
      </c>
      <c r="C84" s="61" t="s">
        <v>125</v>
      </c>
      <c r="D84" s="61" t="s">
        <v>3288</v>
      </c>
      <c r="E84" s="119">
        <v>2.95</v>
      </c>
      <c r="F84" s="148" t="s">
        <v>122</v>
      </c>
      <c r="G84" s="148" t="s">
        <v>122</v>
      </c>
      <c r="H84" s="61" t="s">
        <v>39</v>
      </c>
      <c r="I84" s="61" t="s">
        <v>535</v>
      </c>
      <c r="J84" s="62" t="s">
        <v>1202</v>
      </c>
      <c r="K84" s="61" t="s">
        <v>126</v>
      </c>
      <c r="L84" s="159"/>
      <c r="M84" s="169"/>
    </row>
    <row r="85" spans="1:13" x14ac:dyDescent="0.55000000000000004">
      <c r="A85" s="101" t="s">
        <v>1201</v>
      </c>
      <c r="B85" s="61" t="s">
        <v>1204</v>
      </c>
      <c r="C85" s="61" t="s">
        <v>127</v>
      </c>
      <c r="D85" s="61" t="s">
        <v>2994</v>
      </c>
      <c r="E85" s="119">
        <v>8.4600000000000009</v>
      </c>
      <c r="F85" s="148" t="s">
        <v>167</v>
      </c>
      <c r="G85" s="148" t="s">
        <v>122</v>
      </c>
      <c r="H85" s="61" t="s">
        <v>39</v>
      </c>
      <c r="I85" s="61" t="s">
        <v>535</v>
      </c>
      <c r="J85" s="62" t="s">
        <v>1202</v>
      </c>
      <c r="K85" s="61" t="s">
        <v>126</v>
      </c>
      <c r="L85" s="159"/>
      <c r="M85" s="169"/>
    </row>
    <row r="86" spans="1:13" x14ac:dyDescent="0.55000000000000004">
      <c r="A86" s="101" t="s">
        <v>1201</v>
      </c>
      <c r="B86" s="61" t="s">
        <v>1205</v>
      </c>
      <c r="C86" s="61" t="s">
        <v>127</v>
      </c>
      <c r="D86" s="61" t="s">
        <v>2994</v>
      </c>
      <c r="E86" s="119">
        <v>16.899999999999999</v>
      </c>
      <c r="F86" s="148" t="s">
        <v>167</v>
      </c>
      <c r="G86" s="148" t="s">
        <v>122</v>
      </c>
      <c r="H86" s="61" t="s">
        <v>39</v>
      </c>
      <c r="I86" s="61" t="s">
        <v>535</v>
      </c>
      <c r="J86" s="62" t="s">
        <v>1202</v>
      </c>
      <c r="K86" s="61" t="s">
        <v>126</v>
      </c>
      <c r="L86" s="159"/>
      <c r="M86" s="169"/>
    </row>
    <row r="87" spans="1:13" x14ac:dyDescent="0.55000000000000004">
      <c r="A87" s="101" t="s">
        <v>1201</v>
      </c>
      <c r="B87" s="61" t="s">
        <v>188</v>
      </c>
      <c r="C87" s="61" t="s">
        <v>127</v>
      </c>
      <c r="D87" s="61" t="s">
        <v>3288</v>
      </c>
      <c r="E87" s="119">
        <v>2.5599999999999999E-4</v>
      </c>
      <c r="F87" s="148" t="s">
        <v>122</v>
      </c>
      <c r="G87" s="148" t="s">
        <v>122</v>
      </c>
      <c r="H87" s="61" t="s">
        <v>39</v>
      </c>
      <c r="I87" s="61" t="s">
        <v>535</v>
      </c>
      <c r="J87" s="62" t="s">
        <v>1202</v>
      </c>
      <c r="K87" s="61" t="s">
        <v>126</v>
      </c>
      <c r="L87" s="159"/>
      <c r="M87" s="169"/>
    </row>
    <row r="88" spans="1:13" x14ac:dyDescent="0.55000000000000004">
      <c r="A88" s="101" t="s">
        <v>1201</v>
      </c>
      <c r="B88" s="61" t="s">
        <v>1206</v>
      </c>
      <c r="C88" s="61" t="s">
        <v>132</v>
      </c>
      <c r="D88" s="61" t="s">
        <v>3288</v>
      </c>
      <c r="E88" s="119">
        <v>143</v>
      </c>
      <c r="F88" s="148" t="s">
        <v>122</v>
      </c>
      <c r="G88" s="148" t="s">
        <v>122</v>
      </c>
      <c r="H88" s="61" t="s">
        <v>39</v>
      </c>
      <c r="I88" s="61" t="s">
        <v>535</v>
      </c>
      <c r="J88" s="62" t="s">
        <v>1202</v>
      </c>
      <c r="K88" s="61" t="s">
        <v>126</v>
      </c>
      <c r="L88" s="159"/>
      <c r="M88" s="169"/>
    </row>
    <row r="89" spans="1:13" x14ac:dyDescent="0.55000000000000004">
      <c r="A89" s="101" t="s">
        <v>1201</v>
      </c>
      <c r="B89" s="61" t="s">
        <v>154</v>
      </c>
      <c r="C89" s="61" t="s">
        <v>124</v>
      </c>
      <c r="D89" s="61" t="s">
        <v>3289</v>
      </c>
      <c r="E89" s="119">
        <v>2.2700000000000001E-2</v>
      </c>
      <c r="F89" s="148" t="s">
        <v>133</v>
      </c>
      <c r="G89" s="148" t="s">
        <v>122</v>
      </c>
      <c r="H89" s="61" t="s">
        <v>39</v>
      </c>
      <c r="I89" s="61" t="s">
        <v>535</v>
      </c>
      <c r="J89" s="62" t="s">
        <v>1202</v>
      </c>
      <c r="K89" s="61" t="s">
        <v>126</v>
      </c>
      <c r="L89" s="159"/>
      <c r="M89" s="169"/>
    </row>
    <row r="90" spans="1:13" x14ac:dyDescent="0.55000000000000004">
      <c r="A90" s="101" t="s">
        <v>1199</v>
      </c>
      <c r="B90" s="61" t="s">
        <v>189</v>
      </c>
      <c r="C90" s="61" t="s">
        <v>121</v>
      </c>
      <c r="D90" s="61" t="s">
        <v>3288</v>
      </c>
      <c r="E90" s="119">
        <v>1</v>
      </c>
      <c r="F90" s="148" t="s">
        <v>122</v>
      </c>
      <c r="G90" s="148">
        <v>1</v>
      </c>
      <c r="H90" s="61" t="s">
        <v>39</v>
      </c>
      <c r="I90" s="61" t="s">
        <v>535</v>
      </c>
      <c r="J90" s="62" t="s">
        <v>1200</v>
      </c>
      <c r="K90" s="61" t="s">
        <v>831</v>
      </c>
      <c r="L90" s="159">
        <v>7403</v>
      </c>
      <c r="M90" s="169"/>
    </row>
    <row r="91" spans="1:13" x14ac:dyDescent="0.55000000000000004">
      <c r="A91" s="101" t="s">
        <v>1199</v>
      </c>
      <c r="B91" s="61" t="s">
        <v>1166</v>
      </c>
      <c r="C91" s="61" t="s">
        <v>125</v>
      </c>
      <c r="D91" s="61" t="s">
        <v>3288</v>
      </c>
      <c r="E91" s="119">
        <v>0.99299999999999999</v>
      </c>
      <c r="F91" s="148" t="s">
        <v>122</v>
      </c>
      <c r="G91" s="148" t="s">
        <v>122</v>
      </c>
      <c r="H91" s="61" t="s">
        <v>39</v>
      </c>
      <c r="I91" s="61" t="s">
        <v>535</v>
      </c>
      <c r="J91" s="62" t="s">
        <v>1200</v>
      </c>
      <c r="K91" s="61" t="s">
        <v>831</v>
      </c>
      <c r="L91" s="159"/>
      <c r="M91" s="169"/>
    </row>
    <row r="92" spans="1:13" x14ac:dyDescent="0.55000000000000004">
      <c r="A92" s="101" t="s">
        <v>1199</v>
      </c>
      <c r="B92" s="61" t="s">
        <v>1088</v>
      </c>
      <c r="C92" s="61" t="s">
        <v>127</v>
      </c>
      <c r="D92" s="61" t="s">
        <v>2994</v>
      </c>
      <c r="E92" s="119">
        <v>0.4</v>
      </c>
      <c r="F92" s="148" t="s">
        <v>130</v>
      </c>
      <c r="G92" s="148" t="s">
        <v>122</v>
      </c>
      <c r="H92" s="61" t="s">
        <v>39</v>
      </c>
      <c r="I92" s="61" t="s">
        <v>535</v>
      </c>
      <c r="J92" s="62" t="s">
        <v>1200</v>
      </c>
      <c r="K92" s="61" t="s">
        <v>831</v>
      </c>
      <c r="L92" s="159"/>
      <c r="M92" s="169"/>
    </row>
    <row r="93" spans="1:13" x14ac:dyDescent="0.55000000000000004">
      <c r="A93" s="101" t="s">
        <v>1199</v>
      </c>
      <c r="B93" s="61" t="s">
        <v>1180</v>
      </c>
      <c r="C93" s="61" t="s">
        <v>127</v>
      </c>
      <c r="D93" s="61" t="s">
        <v>2994</v>
      </c>
      <c r="E93" s="119">
        <v>2.2400000000000002</v>
      </c>
      <c r="F93" s="148" t="s">
        <v>167</v>
      </c>
      <c r="G93" s="148" t="s">
        <v>122</v>
      </c>
      <c r="H93" s="61" t="s">
        <v>39</v>
      </c>
      <c r="I93" s="61" t="s">
        <v>535</v>
      </c>
      <c r="J93" s="62" t="s">
        <v>1200</v>
      </c>
      <c r="K93" s="61" t="s">
        <v>831</v>
      </c>
      <c r="L93" s="159"/>
      <c r="M93" s="169"/>
    </row>
    <row r="94" spans="1:13" x14ac:dyDescent="0.55000000000000004">
      <c r="A94" s="101" t="s">
        <v>1199</v>
      </c>
      <c r="B94" s="61" t="s">
        <v>1181</v>
      </c>
      <c r="C94" s="61" t="s">
        <v>125</v>
      </c>
      <c r="D94" s="61" t="s">
        <v>3288</v>
      </c>
      <c r="E94" s="119">
        <v>6.0099999999999997E-3</v>
      </c>
      <c r="F94" s="148" t="s">
        <v>122</v>
      </c>
      <c r="G94" s="148" t="s">
        <v>122</v>
      </c>
      <c r="H94" s="61" t="s">
        <v>39</v>
      </c>
      <c r="I94" s="61" t="s">
        <v>535</v>
      </c>
      <c r="J94" s="62" t="s">
        <v>1200</v>
      </c>
      <c r="K94" s="61" t="s">
        <v>831</v>
      </c>
      <c r="L94" s="159"/>
      <c r="M94" s="169"/>
    </row>
    <row r="95" spans="1:13" x14ac:dyDescent="0.55000000000000004">
      <c r="A95" s="101" t="s">
        <v>1199</v>
      </c>
      <c r="B95" s="61" t="s">
        <v>1182</v>
      </c>
      <c r="C95" s="61" t="s">
        <v>125</v>
      </c>
      <c r="D95" s="61" t="s">
        <v>3288</v>
      </c>
      <c r="E95" s="119">
        <v>4.9500000000000004E-3</v>
      </c>
      <c r="F95" s="148" t="s">
        <v>122</v>
      </c>
      <c r="G95" s="148" t="s">
        <v>122</v>
      </c>
      <c r="H95" s="61" t="s">
        <v>39</v>
      </c>
      <c r="I95" s="61" t="s">
        <v>535</v>
      </c>
      <c r="J95" s="62" t="s">
        <v>1200</v>
      </c>
      <c r="K95" s="61" t="s">
        <v>831</v>
      </c>
      <c r="L95" s="159"/>
      <c r="M95" s="169"/>
    </row>
    <row r="96" spans="1:13" x14ac:dyDescent="0.55000000000000004">
      <c r="A96" s="101" t="s">
        <v>1199</v>
      </c>
      <c r="B96" s="61" t="s">
        <v>1183</v>
      </c>
      <c r="C96" s="61" t="s">
        <v>124</v>
      </c>
      <c r="D96" s="61" t="s">
        <v>2994</v>
      </c>
      <c r="E96" s="119">
        <v>1.77</v>
      </c>
      <c r="F96" s="148" t="s">
        <v>167</v>
      </c>
      <c r="G96" s="148" t="s">
        <v>122</v>
      </c>
      <c r="H96" s="61" t="s">
        <v>39</v>
      </c>
      <c r="I96" s="61" t="s">
        <v>535</v>
      </c>
      <c r="J96" s="62" t="s">
        <v>1200</v>
      </c>
      <c r="K96" s="61" t="s">
        <v>831</v>
      </c>
      <c r="L96" s="159"/>
      <c r="M96" s="169"/>
    </row>
    <row r="97" spans="1:13" x14ac:dyDescent="0.55000000000000004">
      <c r="A97" s="101" t="s">
        <v>1199</v>
      </c>
      <c r="B97" s="61" t="s">
        <v>161</v>
      </c>
      <c r="C97" s="61" t="s">
        <v>156</v>
      </c>
      <c r="D97" s="61" t="s">
        <v>3288</v>
      </c>
      <c r="E97" s="119">
        <v>3.0000000000000001E-3</v>
      </c>
      <c r="F97" s="148" t="s">
        <v>122</v>
      </c>
      <c r="G97" s="148" t="s">
        <v>122</v>
      </c>
      <c r="H97" s="61" t="s">
        <v>39</v>
      </c>
      <c r="I97" s="61" t="s">
        <v>535</v>
      </c>
      <c r="J97" s="62" t="s">
        <v>1200</v>
      </c>
      <c r="K97" s="61" t="s">
        <v>831</v>
      </c>
      <c r="L97" s="159">
        <v>711230</v>
      </c>
      <c r="M97" s="169"/>
    </row>
    <row r="98" spans="1:13" x14ac:dyDescent="0.55000000000000004">
      <c r="A98" s="105" t="s">
        <v>1196</v>
      </c>
      <c r="B98" s="61" t="s">
        <v>625</v>
      </c>
      <c r="C98" s="61" t="s">
        <v>121</v>
      </c>
      <c r="D98" s="61" t="s">
        <v>3288</v>
      </c>
      <c r="E98" s="119">
        <v>1</v>
      </c>
      <c r="F98" s="148" t="s">
        <v>135</v>
      </c>
      <c r="G98" s="148">
        <v>1</v>
      </c>
      <c r="H98" s="61" t="s">
        <v>39</v>
      </c>
      <c r="I98" s="61" t="s">
        <v>535</v>
      </c>
      <c r="J98" s="85" t="s">
        <v>1161</v>
      </c>
      <c r="K98" s="61" t="s">
        <v>535</v>
      </c>
      <c r="L98" s="159">
        <v>271114</v>
      </c>
      <c r="M98" s="169"/>
    </row>
    <row r="99" spans="1:13" x14ac:dyDescent="0.55000000000000004">
      <c r="A99" s="105" t="s">
        <v>1196</v>
      </c>
      <c r="B99" s="61" t="s">
        <v>171</v>
      </c>
      <c r="C99" s="61" t="s">
        <v>127</v>
      </c>
      <c r="D99" s="61" t="s">
        <v>2994</v>
      </c>
      <c r="E99" s="119">
        <v>8.6E-3</v>
      </c>
      <c r="F99" s="148" t="s">
        <v>138</v>
      </c>
      <c r="G99" s="148">
        <v>1</v>
      </c>
      <c r="H99" s="61" t="s">
        <v>39</v>
      </c>
      <c r="I99" s="61" t="s">
        <v>535</v>
      </c>
      <c r="J99" s="85" t="s">
        <v>1161</v>
      </c>
      <c r="K99" s="61" t="s">
        <v>535</v>
      </c>
      <c r="L99" s="159"/>
      <c r="M99" s="169"/>
    </row>
    <row r="100" spans="1:13" x14ac:dyDescent="0.55000000000000004">
      <c r="A100" s="105" t="s">
        <v>1196</v>
      </c>
      <c r="B100" s="61" t="s">
        <v>1197</v>
      </c>
      <c r="C100" s="61" t="s">
        <v>125</v>
      </c>
      <c r="D100" s="61" t="s">
        <v>3288</v>
      </c>
      <c r="E100" s="119">
        <v>1.0660000000000001</v>
      </c>
      <c r="F100" s="148" t="s">
        <v>135</v>
      </c>
      <c r="G100" s="148">
        <v>1</v>
      </c>
      <c r="H100" s="61" t="s">
        <v>39</v>
      </c>
      <c r="I100" s="61" t="s">
        <v>535</v>
      </c>
      <c r="J100" s="85" t="s">
        <v>1161</v>
      </c>
      <c r="K100" s="61" t="s">
        <v>535</v>
      </c>
      <c r="L100" s="159"/>
      <c r="M100" s="169"/>
    </row>
    <row r="101" spans="1:13" x14ac:dyDescent="0.55000000000000004">
      <c r="A101" s="105" t="s">
        <v>1196</v>
      </c>
      <c r="B101" s="61" t="s">
        <v>160</v>
      </c>
      <c r="C101" s="61" t="s">
        <v>497</v>
      </c>
      <c r="D101" s="61" t="s">
        <v>3288</v>
      </c>
      <c r="E101" s="119">
        <v>0.09</v>
      </c>
      <c r="F101" s="148" t="s">
        <v>135</v>
      </c>
      <c r="G101" s="148">
        <v>1</v>
      </c>
      <c r="H101" s="61" t="s">
        <v>39</v>
      </c>
      <c r="I101" s="61" t="s">
        <v>535</v>
      </c>
      <c r="J101" s="85" t="s">
        <v>1161</v>
      </c>
      <c r="K101" s="61" t="s">
        <v>535</v>
      </c>
      <c r="L101" s="159"/>
      <c r="M101" s="169"/>
    </row>
    <row r="102" spans="1:13" x14ac:dyDescent="0.55000000000000004">
      <c r="A102" s="105" t="s">
        <v>1196</v>
      </c>
      <c r="B102" s="61" t="s">
        <v>1162</v>
      </c>
      <c r="C102" s="61" t="s">
        <v>497</v>
      </c>
      <c r="D102" s="61" t="s">
        <v>3288</v>
      </c>
      <c r="E102" s="119">
        <v>1.0849999999999999E-5</v>
      </c>
      <c r="F102" s="148" t="s">
        <v>135</v>
      </c>
      <c r="G102" s="148">
        <v>1</v>
      </c>
      <c r="H102" s="61" t="s">
        <v>39</v>
      </c>
      <c r="I102" s="61" t="s">
        <v>535</v>
      </c>
      <c r="J102" s="85" t="s">
        <v>1161</v>
      </c>
      <c r="K102" s="61" t="s">
        <v>535</v>
      </c>
      <c r="L102" s="159"/>
      <c r="M102" s="169"/>
    </row>
    <row r="103" spans="1:13" x14ac:dyDescent="0.55000000000000004">
      <c r="A103" s="105" t="s">
        <v>1194</v>
      </c>
      <c r="B103" s="61" t="s">
        <v>1195</v>
      </c>
      <c r="C103" s="61" t="s">
        <v>121</v>
      </c>
      <c r="D103" s="61" t="s">
        <v>3288</v>
      </c>
      <c r="E103" s="119">
        <v>1</v>
      </c>
      <c r="F103" s="148" t="s">
        <v>135</v>
      </c>
      <c r="G103" s="148">
        <v>1</v>
      </c>
      <c r="H103" s="61" t="s">
        <v>39</v>
      </c>
      <c r="I103" s="61" t="s">
        <v>535</v>
      </c>
      <c r="J103" s="85" t="s">
        <v>1161</v>
      </c>
      <c r="K103" s="61" t="s">
        <v>535</v>
      </c>
      <c r="L103" s="159">
        <v>271114</v>
      </c>
      <c r="M103" s="169"/>
    </row>
    <row r="104" spans="1:13" x14ac:dyDescent="0.55000000000000004">
      <c r="A104" s="105" t="s">
        <v>1194</v>
      </c>
      <c r="B104" s="61" t="s">
        <v>160</v>
      </c>
      <c r="C104" s="61" t="s">
        <v>497</v>
      </c>
      <c r="D104" s="61" t="s">
        <v>3288</v>
      </c>
      <c r="E104" s="119">
        <v>3.4904803999999998E-2</v>
      </c>
      <c r="F104" s="148" t="s">
        <v>135</v>
      </c>
      <c r="G104" s="148">
        <v>1</v>
      </c>
      <c r="H104" s="61" t="s">
        <v>39</v>
      </c>
      <c r="I104" s="61" t="s">
        <v>535</v>
      </c>
      <c r="J104" s="85" t="s">
        <v>1161</v>
      </c>
      <c r="K104" s="61" t="s">
        <v>535</v>
      </c>
      <c r="L104" s="159"/>
      <c r="M104" s="169"/>
    </row>
    <row r="105" spans="1:13" x14ac:dyDescent="0.55000000000000004">
      <c r="A105" s="105" t="s">
        <v>1194</v>
      </c>
      <c r="B105" s="61" t="s">
        <v>1162</v>
      </c>
      <c r="C105" s="61" t="s">
        <v>497</v>
      </c>
      <c r="D105" s="61" t="s">
        <v>3288</v>
      </c>
      <c r="E105" s="119">
        <v>0</v>
      </c>
      <c r="F105" s="148" t="s">
        <v>135</v>
      </c>
      <c r="G105" s="148">
        <v>1</v>
      </c>
      <c r="H105" s="61" t="s">
        <v>39</v>
      </c>
      <c r="I105" s="61" t="s">
        <v>535</v>
      </c>
      <c r="J105" s="85" t="s">
        <v>1161</v>
      </c>
      <c r="K105" s="61" t="s">
        <v>535</v>
      </c>
      <c r="L105" s="159"/>
      <c r="M105" s="169"/>
    </row>
    <row r="106" spans="1:13" x14ac:dyDescent="0.55000000000000004">
      <c r="A106" s="105" t="s">
        <v>1194</v>
      </c>
      <c r="B106" s="61" t="s">
        <v>948</v>
      </c>
      <c r="C106" s="61" t="s">
        <v>125</v>
      </c>
      <c r="D106" s="61" t="s">
        <v>3288</v>
      </c>
      <c r="E106" s="119">
        <v>1.0018</v>
      </c>
      <c r="F106" s="148" t="s">
        <v>135</v>
      </c>
      <c r="G106" s="148">
        <v>1</v>
      </c>
      <c r="H106" s="61" t="s">
        <v>39</v>
      </c>
      <c r="I106" s="61" t="s">
        <v>535</v>
      </c>
      <c r="J106" s="85" t="s">
        <v>1161</v>
      </c>
      <c r="K106" s="61" t="s">
        <v>535</v>
      </c>
      <c r="L106" s="159"/>
      <c r="M106" s="169"/>
    </row>
    <row r="107" spans="1:13" x14ac:dyDescent="0.55000000000000004">
      <c r="A107" s="105" t="s">
        <v>1194</v>
      </c>
      <c r="B107" s="61" t="s">
        <v>171</v>
      </c>
      <c r="C107" s="61" t="s">
        <v>127</v>
      </c>
      <c r="D107" s="61" t="s">
        <v>2994</v>
      </c>
      <c r="E107" s="119">
        <v>0.12831000000000001</v>
      </c>
      <c r="F107" s="148" t="s">
        <v>138</v>
      </c>
      <c r="G107" s="148">
        <v>1</v>
      </c>
      <c r="H107" s="61" t="s">
        <v>39</v>
      </c>
      <c r="I107" s="61" t="s">
        <v>535</v>
      </c>
      <c r="J107" s="85" t="s">
        <v>1161</v>
      </c>
      <c r="K107" s="61" t="s">
        <v>535</v>
      </c>
      <c r="L107" s="159"/>
      <c r="M107" s="169"/>
    </row>
    <row r="108" spans="1:13" x14ac:dyDescent="0.55000000000000004">
      <c r="A108" s="105" t="s">
        <v>1194</v>
      </c>
      <c r="B108" s="61" t="s">
        <v>153</v>
      </c>
      <c r="C108" s="61" t="s">
        <v>127</v>
      </c>
      <c r="D108" s="61" t="s">
        <v>2994</v>
      </c>
      <c r="E108" s="119">
        <v>1.5551999999999999</v>
      </c>
      <c r="F108" s="148" t="s">
        <v>138</v>
      </c>
      <c r="G108" s="148">
        <v>1</v>
      </c>
      <c r="H108" s="61" t="s">
        <v>39</v>
      </c>
      <c r="I108" s="61" t="s">
        <v>535</v>
      </c>
      <c r="J108" s="85" t="s">
        <v>1161</v>
      </c>
      <c r="K108" s="61" t="s">
        <v>535</v>
      </c>
      <c r="L108" s="159"/>
      <c r="M108" s="169"/>
    </row>
    <row r="109" spans="1:13" x14ac:dyDescent="0.55000000000000004">
      <c r="A109" s="105" t="s">
        <v>1194</v>
      </c>
      <c r="B109" s="61" t="s">
        <v>496</v>
      </c>
      <c r="C109" s="61" t="s">
        <v>127</v>
      </c>
      <c r="D109" s="61" t="s">
        <v>2994</v>
      </c>
      <c r="E109" s="119">
        <v>1.121</v>
      </c>
      <c r="F109" s="148" t="s">
        <v>138</v>
      </c>
      <c r="G109" s="148">
        <v>1</v>
      </c>
      <c r="H109" s="61" t="s">
        <v>39</v>
      </c>
      <c r="I109" s="61" t="s">
        <v>535</v>
      </c>
      <c r="J109" s="85" t="s">
        <v>1161</v>
      </c>
      <c r="K109" s="61" t="s">
        <v>535</v>
      </c>
      <c r="L109" s="159"/>
      <c r="M109" s="169"/>
    </row>
    <row r="110" spans="1:13" x14ac:dyDescent="0.55000000000000004">
      <c r="A110" s="105" t="s">
        <v>1194</v>
      </c>
      <c r="B110" s="61" t="s">
        <v>334</v>
      </c>
      <c r="C110" s="61" t="s">
        <v>125</v>
      </c>
      <c r="D110" s="61" t="s">
        <v>3288</v>
      </c>
      <c r="E110" s="119">
        <v>2.4000000000000001E-4</v>
      </c>
      <c r="F110" s="148" t="s">
        <v>135</v>
      </c>
      <c r="G110" s="148">
        <v>1</v>
      </c>
      <c r="H110" s="61" t="s">
        <v>39</v>
      </c>
      <c r="I110" s="61" t="s">
        <v>535</v>
      </c>
      <c r="J110" s="85" t="s">
        <v>1161</v>
      </c>
      <c r="K110" s="61" t="s">
        <v>535</v>
      </c>
      <c r="L110" s="159"/>
      <c r="M110" s="169"/>
    </row>
    <row r="111" spans="1:13" x14ac:dyDescent="0.55000000000000004">
      <c r="A111" s="105" t="s">
        <v>1191</v>
      </c>
      <c r="B111" s="61" t="s">
        <v>1192</v>
      </c>
      <c r="C111" s="61" t="s">
        <v>121</v>
      </c>
      <c r="D111" s="61" t="s">
        <v>3288</v>
      </c>
      <c r="E111" s="119">
        <v>1</v>
      </c>
      <c r="F111" s="148" t="s">
        <v>135</v>
      </c>
      <c r="G111" s="148">
        <v>1</v>
      </c>
      <c r="H111" s="61" t="s">
        <v>39</v>
      </c>
      <c r="I111" s="61" t="s">
        <v>535</v>
      </c>
      <c r="J111" s="85" t="s">
        <v>1161</v>
      </c>
      <c r="K111" s="61" t="s">
        <v>535</v>
      </c>
      <c r="L111" s="159">
        <v>271114</v>
      </c>
      <c r="M111" s="169"/>
    </row>
    <row r="112" spans="1:13" x14ac:dyDescent="0.55000000000000004">
      <c r="A112" s="105" t="s">
        <v>1191</v>
      </c>
      <c r="B112" s="61" t="s">
        <v>160</v>
      </c>
      <c r="C112" s="61" t="s">
        <v>497</v>
      </c>
      <c r="D112" s="61" t="s">
        <v>3288</v>
      </c>
      <c r="E112" s="119">
        <v>4.1573270000000002E-2</v>
      </c>
      <c r="F112" s="148" t="s">
        <v>135</v>
      </c>
      <c r="G112" s="148">
        <v>1</v>
      </c>
      <c r="H112" s="61" t="s">
        <v>39</v>
      </c>
      <c r="I112" s="61" t="s">
        <v>535</v>
      </c>
      <c r="J112" s="85" t="s">
        <v>1161</v>
      </c>
      <c r="K112" s="61" t="s">
        <v>535</v>
      </c>
      <c r="L112" s="159"/>
      <c r="M112" s="169"/>
    </row>
    <row r="113" spans="1:13" x14ac:dyDescent="0.55000000000000004">
      <c r="A113" s="105" t="s">
        <v>1191</v>
      </c>
      <c r="B113" s="61" t="s">
        <v>1162</v>
      </c>
      <c r="C113" s="61" t="s">
        <v>497</v>
      </c>
      <c r="D113" s="61" t="s">
        <v>3288</v>
      </c>
      <c r="E113" s="119">
        <v>3.2054299999999998E-6</v>
      </c>
      <c r="F113" s="148" t="s">
        <v>135</v>
      </c>
      <c r="G113" s="148">
        <v>1</v>
      </c>
      <c r="H113" s="61" t="s">
        <v>39</v>
      </c>
      <c r="I113" s="61" t="s">
        <v>535</v>
      </c>
      <c r="J113" s="85" t="s">
        <v>1161</v>
      </c>
      <c r="K113" s="61" t="s">
        <v>535</v>
      </c>
      <c r="L113" s="159"/>
      <c r="M113" s="169"/>
    </row>
    <row r="114" spans="1:13" x14ac:dyDescent="0.55000000000000004">
      <c r="A114" s="105" t="s">
        <v>1191</v>
      </c>
      <c r="B114" s="61" t="s">
        <v>920</v>
      </c>
      <c r="C114" s="61" t="s">
        <v>125</v>
      </c>
      <c r="D114" s="61" t="s">
        <v>3288</v>
      </c>
      <c r="E114" s="119">
        <v>0.98765999999999998</v>
      </c>
      <c r="F114" s="148" t="s">
        <v>135</v>
      </c>
      <c r="G114" s="148">
        <v>1</v>
      </c>
      <c r="H114" s="61" t="s">
        <v>39</v>
      </c>
      <c r="I114" s="61" t="s">
        <v>535</v>
      </c>
      <c r="J114" s="85" t="s">
        <v>1161</v>
      </c>
      <c r="K114" s="61" t="s">
        <v>535</v>
      </c>
      <c r="L114" s="159"/>
      <c r="M114" s="169"/>
    </row>
    <row r="115" spans="1:13" x14ac:dyDescent="0.55000000000000004">
      <c r="A115" s="105" t="s">
        <v>1191</v>
      </c>
      <c r="B115" s="61" t="s">
        <v>171</v>
      </c>
      <c r="C115" s="61" t="s">
        <v>127</v>
      </c>
      <c r="D115" s="61" t="s">
        <v>2994</v>
      </c>
      <c r="E115" s="119">
        <v>0.19694999999999999</v>
      </c>
      <c r="F115" s="148" t="s">
        <v>138</v>
      </c>
      <c r="G115" s="148">
        <v>1</v>
      </c>
      <c r="H115" s="61" t="s">
        <v>39</v>
      </c>
      <c r="I115" s="61" t="s">
        <v>535</v>
      </c>
      <c r="J115" s="85" t="s">
        <v>1161</v>
      </c>
      <c r="K115" s="61" t="s">
        <v>535</v>
      </c>
      <c r="L115" s="159"/>
      <c r="M115" s="169"/>
    </row>
    <row r="116" spans="1:13" x14ac:dyDescent="0.55000000000000004">
      <c r="A116" s="105" t="s">
        <v>1191</v>
      </c>
      <c r="B116" s="61" t="s">
        <v>153</v>
      </c>
      <c r="C116" s="61" t="s">
        <v>127</v>
      </c>
      <c r="D116" s="61" t="s">
        <v>2994</v>
      </c>
      <c r="E116" s="119">
        <v>1.26468</v>
      </c>
      <c r="F116" s="148" t="s">
        <v>138</v>
      </c>
      <c r="G116" s="148">
        <v>1</v>
      </c>
      <c r="H116" s="61" t="s">
        <v>39</v>
      </c>
      <c r="I116" s="61" t="s">
        <v>535</v>
      </c>
      <c r="J116" s="85" t="s">
        <v>1161</v>
      </c>
      <c r="K116" s="61" t="s">
        <v>535</v>
      </c>
      <c r="L116" s="159"/>
      <c r="M116" s="169"/>
    </row>
    <row r="117" spans="1:13" x14ac:dyDescent="0.55000000000000004">
      <c r="A117" s="105" t="s">
        <v>1191</v>
      </c>
      <c r="B117" s="61" t="s">
        <v>496</v>
      </c>
      <c r="C117" s="61" t="s">
        <v>127</v>
      </c>
      <c r="D117" s="61" t="s">
        <v>2994</v>
      </c>
      <c r="E117" s="119">
        <v>0.56899999999999995</v>
      </c>
      <c r="F117" s="148" t="s">
        <v>138</v>
      </c>
      <c r="G117" s="148">
        <v>1</v>
      </c>
      <c r="H117" s="61" t="s">
        <v>39</v>
      </c>
      <c r="I117" s="61" t="s">
        <v>535</v>
      </c>
      <c r="J117" s="85" t="s">
        <v>1161</v>
      </c>
      <c r="K117" s="61" t="s">
        <v>535</v>
      </c>
      <c r="L117" s="159"/>
      <c r="M117" s="169"/>
    </row>
    <row r="118" spans="1:13" x14ac:dyDescent="0.55000000000000004">
      <c r="A118" s="105" t="s">
        <v>1191</v>
      </c>
      <c r="B118" s="61" t="s">
        <v>334</v>
      </c>
      <c r="C118" s="61" t="s">
        <v>125</v>
      </c>
      <c r="D118" s="61" t="s">
        <v>3288</v>
      </c>
      <c r="E118" s="119">
        <v>2.0000000000000001E-4</v>
      </c>
      <c r="F118" s="148" t="s">
        <v>135</v>
      </c>
      <c r="G118" s="148">
        <v>1</v>
      </c>
      <c r="H118" s="61" t="s">
        <v>39</v>
      </c>
      <c r="I118" s="61" t="s">
        <v>535</v>
      </c>
      <c r="J118" s="85" t="s">
        <v>1161</v>
      </c>
      <c r="K118" s="61" t="s">
        <v>535</v>
      </c>
      <c r="L118" s="159"/>
      <c r="M118" s="169"/>
    </row>
    <row r="119" spans="1:13" x14ac:dyDescent="0.55000000000000004">
      <c r="A119" s="105" t="s">
        <v>1191</v>
      </c>
      <c r="B119" s="61" t="s">
        <v>1164</v>
      </c>
      <c r="C119" s="61" t="s">
        <v>125</v>
      </c>
      <c r="D119" s="61" t="s">
        <v>3288</v>
      </c>
      <c r="E119" s="119">
        <v>5.2600000000000001E-2</v>
      </c>
      <c r="F119" s="148" t="s">
        <v>135</v>
      </c>
      <c r="G119" s="148">
        <v>1</v>
      </c>
      <c r="H119" s="61" t="s">
        <v>39</v>
      </c>
      <c r="I119" s="61" t="s">
        <v>535</v>
      </c>
      <c r="J119" s="85" t="s">
        <v>1161</v>
      </c>
      <c r="K119" s="61" t="s">
        <v>535</v>
      </c>
      <c r="L119" s="159"/>
      <c r="M119" s="169"/>
    </row>
    <row r="120" spans="1:13" x14ac:dyDescent="0.55000000000000004">
      <c r="A120" s="105" t="s">
        <v>1189</v>
      </c>
      <c r="B120" s="61" t="s">
        <v>1190</v>
      </c>
      <c r="C120" s="61" t="s">
        <v>121</v>
      </c>
      <c r="D120" s="61" t="s">
        <v>3288</v>
      </c>
      <c r="E120" s="119">
        <v>1</v>
      </c>
      <c r="F120" s="148" t="s">
        <v>135</v>
      </c>
      <c r="G120" s="148">
        <v>1</v>
      </c>
      <c r="H120" s="61" t="s">
        <v>39</v>
      </c>
      <c r="I120" s="61" t="s">
        <v>535</v>
      </c>
      <c r="J120" s="85" t="s">
        <v>1161</v>
      </c>
      <c r="K120" s="61" t="s">
        <v>535</v>
      </c>
      <c r="L120" s="159">
        <v>271114</v>
      </c>
      <c r="M120" s="169"/>
    </row>
    <row r="121" spans="1:13" x14ac:dyDescent="0.55000000000000004">
      <c r="A121" s="105" t="s">
        <v>1189</v>
      </c>
      <c r="B121" s="61" t="s">
        <v>160</v>
      </c>
      <c r="C121" s="61" t="s">
        <v>497</v>
      </c>
      <c r="D121" s="61" t="s">
        <v>3288</v>
      </c>
      <c r="E121" s="119">
        <v>1.0831891999999999E-2</v>
      </c>
      <c r="F121" s="148" t="s">
        <v>135</v>
      </c>
      <c r="G121" s="148">
        <v>1</v>
      </c>
      <c r="H121" s="61" t="s">
        <v>39</v>
      </c>
      <c r="I121" s="61" t="s">
        <v>535</v>
      </c>
      <c r="J121" s="85" t="s">
        <v>1161</v>
      </c>
      <c r="K121" s="61" t="s">
        <v>535</v>
      </c>
      <c r="L121" s="159"/>
      <c r="M121" s="169"/>
    </row>
    <row r="122" spans="1:13" x14ac:dyDescent="0.55000000000000004">
      <c r="A122" s="105" t="s">
        <v>1189</v>
      </c>
      <c r="B122" s="61" t="s">
        <v>1162</v>
      </c>
      <c r="C122" s="61" t="s">
        <v>497</v>
      </c>
      <c r="D122" s="61" t="s">
        <v>3288</v>
      </c>
      <c r="E122" s="119">
        <v>0</v>
      </c>
      <c r="F122" s="148" t="s">
        <v>135</v>
      </c>
      <c r="G122" s="148">
        <v>1</v>
      </c>
      <c r="H122" s="61" t="s">
        <v>39</v>
      </c>
      <c r="I122" s="61" t="s">
        <v>535</v>
      </c>
      <c r="J122" s="85" t="s">
        <v>1161</v>
      </c>
      <c r="K122" s="61" t="s">
        <v>535</v>
      </c>
      <c r="L122" s="159"/>
      <c r="M122" s="169"/>
    </row>
    <row r="123" spans="1:13" x14ac:dyDescent="0.55000000000000004">
      <c r="A123" s="105" t="s">
        <v>1189</v>
      </c>
      <c r="B123" s="61" t="s">
        <v>1160</v>
      </c>
      <c r="C123" s="61" t="s">
        <v>125</v>
      </c>
      <c r="D123" s="61" t="s">
        <v>3288</v>
      </c>
      <c r="E123" s="119">
        <v>1</v>
      </c>
      <c r="F123" s="148" t="s">
        <v>135</v>
      </c>
      <c r="G123" s="148">
        <v>1</v>
      </c>
      <c r="H123" s="61" t="s">
        <v>39</v>
      </c>
      <c r="I123" s="61" t="s">
        <v>535</v>
      </c>
      <c r="J123" s="85" t="s">
        <v>1161</v>
      </c>
      <c r="K123" s="61" t="s">
        <v>535</v>
      </c>
      <c r="L123" s="159"/>
      <c r="M123" s="169"/>
    </row>
    <row r="124" spans="1:13" x14ac:dyDescent="0.55000000000000004">
      <c r="A124" s="105" t="s">
        <v>1189</v>
      </c>
      <c r="B124" s="61" t="s">
        <v>171</v>
      </c>
      <c r="C124" s="61" t="s">
        <v>127</v>
      </c>
      <c r="D124" s="61" t="s">
        <v>2994</v>
      </c>
      <c r="E124" s="119">
        <v>0.43485000000000001</v>
      </c>
      <c r="F124" s="148" t="s">
        <v>138</v>
      </c>
      <c r="G124" s="148">
        <v>1</v>
      </c>
      <c r="H124" s="61" t="s">
        <v>39</v>
      </c>
      <c r="I124" s="61" t="s">
        <v>535</v>
      </c>
      <c r="J124" s="85" t="s">
        <v>1161</v>
      </c>
      <c r="K124" s="61" t="s">
        <v>535</v>
      </c>
      <c r="L124" s="159"/>
      <c r="M124" s="169"/>
    </row>
    <row r="125" spans="1:13" x14ac:dyDescent="0.55000000000000004">
      <c r="A125" s="105" t="s">
        <v>1189</v>
      </c>
      <c r="B125" s="61" t="s">
        <v>153</v>
      </c>
      <c r="C125" s="61" t="s">
        <v>127</v>
      </c>
      <c r="D125" s="61" t="s">
        <v>2994</v>
      </c>
      <c r="E125" s="119">
        <v>0.69479999999999997</v>
      </c>
      <c r="F125" s="148" t="s">
        <v>138</v>
      </c>
      <c r="G125" s="148">
        <v>1</v>
      </c>
      <c r="H125" s="61" t="s">
        <v>39</v>
      </c>
      <c r="I125" s="61" t="s">
        <v>535</v>
      </c>
      <c r="J125" s="85" t="s">
        <v>1161</v>
      </c>
      <c r="K125" s="61" t="s">
        <v>535</v>
      </c>
      <c r="L125" s="159"/>
      <c r="M125" s="169"/>
    </row>
    <row r="126" spans="1:13" x14ac:dyDescent="0.55000000000000004">
      <c r="A126" s="105" t="s">
        <v>1189</v>
      </c>
      <c r="B126" s="61" t="s">
        <v>496</v>
      </c>
      <c r="C126" s="61" t="s">
        <v>127</v>
      </c>
      <c r="D126" s="61" t="s">
        <v>2994</v>
      </c>
      <c r="E126" s="119">
        <v>1.93</v>
      </c>
      <c r="F126" s="148" t="s">
        <v>138</v>
      </c>
      <c r="G126" s="148">
        <v>1</v>
      </c>
      <c r="H126" s="61" t="s">
        <v>39</v>
      </c>
      <c r="I126" s="61" t="s">
        <v>535</v>
      </c>
      <c r="J126" s="85" t="s">
        <v>1161</v>
      </c>
      <c r="K126" s="61" t="s">
        <v>535</v>
      </c>
      <c r="L126" s="159"/>
      <c r="M126" s="169"/>
    </row>
    <row r="127" spans="1:13" x14ac:dyDescent="0.55000000000000004">
      <c r="A127" s="101" t="s">
        <v>1185</v>
      </c>
      <c r="B127" s="61" t="s">
        <v>1138</v>
      </c>
      <c r="C127" s="61" t="s">
        <v>121</v>
      </c>
      <c r="D127" s="61" t="s">
        <v>3288</v>
      </c>
      <c r="E127" s="119">
        <v>1</v>
      </c>
      <c r="F127" s="148" t="s">
        <v>122</v>
      </c>
      <c r="G127" s="148">
        <v>1</v>
      </c>
      <c r="H127" s="61" t="s">
        <v>39</v>
      </c>
      <c r="I127" s="61" t="s">
        <v>535</v>
      </c>
      <c r="J127" s="62" t="s">
        <v>1186</v>
      </c>
      <c r="K127" s="61" t="s">
        <v>831</v>
      </c>
      <c r="L127" s="159">
        <v>7403</v>
      </c>
      <c r="M127" s="169"/>
    </row>
    <row r="128" spans="1:13" x14ac:dyDescent="0.55000000000000004">
      <c r="A128" s="101" t="s">
        <v>1185</v>
      </c>
      <c r="B128" s="61" t="s">
        <v>153</v>
      </c>
      <c r="C128" s="61" t="s">
        <v>127</v>
      </c>
      <c r="D128" s="61" t="s">
        <v>2994</v>
      </c>
      <c r="E128" s="119">
        <v>28.3</v>
      </c>
      <c r="F128" s="148" t="s">
        <v>130</v>
      </c>
      <c r="G128" s="148" t="s">
        <v>122</v>
      </c>
      <c r="H128" s="61" t="s">
        <v>39</v>
      </c>
      <c r="I128" s="61" t="s">
        <v>535</v>
      </c>
      <c r="J128" s="62" t="s">
        <v>1186</v>
      </c>
      <c r="K128" s="61" t="s">
        <v>831</v>
      </c>
      <c r="L128" s="159"/>
      <c r="M128" s="169"/>
    </row>
    <row r="129" spans="1:13" x14ac:dyDescent="0.55000000000000004">
      <c r="A129" s="101" t="s">
        <v>1185</v>
      </c>
      <c r="B129" s="61" t="s">
        <v>1145</v>
      </c>
      <c r="C129" s="61" t="s">
        <v>125</v>
      </c>
      <c r="D129" s="61" t="s">
        <v>3288</v>
      </c>
      <c r="E129" s="119">
        <v>0.52200000000000002</v>
      </c>
      <c r="F129" s="148" t="s">
        <v>122</v>
      </c>
      <c r="G129" s="148" t="s">
        <v>122</v>
      </c>
      <c r="H129" s="61" t="s">
        <v>39</v>
      </c>
      <c r="I129" s="61" t="s">
        <v>535</v>
      </c>
      <c r="J129" s="62" t="s">
        <v>1186</v>
      </c>
      <c r="K129" s="61" t="s">
        <v>831</v>
      </c>
      <c r="L129" s="159"/>
      <c r="M129" s="169"/>
    </row>
    <row r="130" spans="1:13" x14ac:dyDescent="0.55000000000000004">
      <c r="A130" s="101" t="s">
        <v>1185</v>
      </c>
      <c r="B130" s="61" t="s">
        <v>154</v>
      </c>
      <c r="C130" s="61" t="s">
        <v>132</v>
      </c>
      <c r="D130" s="61" t="s">
        <v>3288</v>
      </c>
      <c r="E130" s="119">
        <v>8.6999999999999993</v>
      </c>
      <c r="F130" s="148" t="s">
        <v>122</v>
      </c>
      <c r="G130" s="148" t="s">
        <v>122</v>
      </c>
      <c r="H130" s="61" t="s">
        <v>39</v>
      </c>
      <c r="I130" s="61" t="s">
        <v>535</v>
      </c>
      <c r="J130" s="62" t="s">
        <v>1186</v>
      </c>
      <c r="K130" s="61" t="s">
        <v>831</v>
      </c>
      <c r="L130" s="159"/>
      <c r="M130" s="169"/>
    </row>
    <row r="131" spans="1:13" x14ac:dyDescent="0.55000000000000004">
      <c r="A131" s="101" t="s">
        <v>1185</v>
      </c>
      <c r="B131" s="61" t="s">
        <v>1140</v>
      </c>
      <c r="C131" s="61" t="s">
        <v>125</v>
      </c>
      <c r="D131" s="61" t="s">
        <v>3288</v>
      </c>
      <c r="E131" s="119">
        <v>1.3</v>
      </c>
      <c r="F131" s="148" t="s">
        <v>122</v>
      </c>
      <c r="G131" s="148" t="s">
        <v>122</v>
      </c>
      <c r="H131" s="61" t="s">
        <v>39</v>
      </c>
      <c r="I131" s="61" t="s">
        <v>535</v>
      </c>
      <c r="J131" s="62" t="s">
        <v>1186</v>
      </c>
      <c r="K131" s="61" t="s">
        <v>831</v>
      </c>
      <c r="L131" s="159"/>
      <c r="M131" s="169"/>
    </row>
    <row r="132" spans="1:13" x14ac:dyDescent="0.55000000000000004">
      <c r="A132" s="101" t="s">
        <v>1185</v>
      </c>
      <c r="B132" s="61" t="s">
        <v>148</v>
      </c>
      <c r="C132" s="61" t="s">
        <v>125</v>
      </c>
      <c r="D132" s="61" t="s">
        <v>3288</v>
      </c>
      <c r="E132" s="119">
        <v>2.61</v>
      </c>
      <c r="F132" s="148" t="s">
        <v>122</v>
      </c>
      <c r="G132" s="148" t="s">
        <v>122</v>
      </c>
      <c r="H132" s="61" t="s">
        <v>39</v>
      </c>
      <c r="I132" s="61" t="s">
        <v>535</v>
      </c>
      <c r="J132" s="62" t="s">
        <v>1186</v>
      </c>
      <c r="K132" s="61" t="s">
        <v>831</v>
      </c>
      <c r="L132" s="159"/>
      <c r="M132" s="169"/>
    </row>
    <row r="133" spans="1:13" x14ac:dyDescent="0.55000000000000004">
      <c r="A133" s="101" t="s">
        <v>1185</v>
      </c>
      <c r="B133" s="61" t="s">
        <v>1142</v>
      </c>
      <c r="C133" s="61" t="s">
        <v>348</v>
      </c>
      <c r="D133" s="61" t="s">
        <v>3288</v>
      </c>
      <c r="E133" s="119">
        <v>4.3499999999999996</v>
      </c>
      <c r="F133" s="148" t="s">
        <v>122</v>
      </c>
      <c r="G133" s="148" t="s">
        <v>122</v>
      </c>
      <c r="H133" s="61" t="s">
        <v>39</v>
      </c>
      <c r="I133" s="61" t="s">
        <v>535</v>
      </c>
      <c r="J133" s="62" t="s">
        <v>1186</v>
      </c>
      <c r="K133" s="61" t="s">
        <v>831</v>
      </c>
      <c r="L133" s="159"/>
      <c r="M133" s="169"/>
    </row>
    <row r="134" spans="1:13" x14ac:dyDescent="0.55000000000000004">
      <c r="A134" s="101" t="s">
        <v>1185</v>
      </c>
      <c r="B134" s="61" t="s">
        <v>181</v>
      </c>
      <c r="C134" s="61" t="s">
        <v>163</v>
      </c>
      <c r="D134" s="61" t="s">
        <v>3288</v>
      </c>
      <c r="E134" s="119">
        <v>16.3</v>
      </c>
      <c r="F134" s="148" t="s">
        <v>122</v>
      </c>
      <c r="G134" s="148" t="s">
        <v>122</v>
      </c>
      <c r="H134" s="61" t="s">
        <v>39</v>
      </c>
      <c r="I134" s="61" t="s">
        <v>535</v>
      </c>
      <c r="J134" s="62" t="s">
        <v>1186</v>
      </c>
      <c r="K134" s="61" t="s">
        <v>831</v>
      </c>
      <c r="L134" s="159"/>
      <c r="M134" s="169"/>
    </row>
    <row r="135" spans="1:13" x14ac:dyDescent="0.55000000000000004">
      <c r="A135" s="101" t="s">
        <v>1185</v>
      </c>
      <c r="B135" s="61" t="s">
        <v>556</v>
      </c>
      <c r="C135" s="61" t="s">
        <v>156</v>
      </c>
      <c r="D135" s="61" t="s">
        <v>3288</v>
      </c>
      <c r="E135" s="119">
        <v>0.13</v>
      </c>
      <c r="F135" s="148" t="s">
        <v>122</v>
      </c>
      <c r="G135" s="148" t="s">
        <v>122</v>
      </c>
      <c r="H135" s="61" t="s">
        <v>39</v>
      </c>
      <c r="I135" s="61" t="s">
        <v>535</v>
      </c>
      <c r="J135" s="62" t="s">
        <v>1186</v>
      </c>
      <c r="K135" s="61" t="s">
        <v>831</v>
      </c>
      <c r="L135" s="159">
        <v>262019</v>
      </c>
      <c r="M135" s="169"/>
    </row>
    <row r="136" spans="1:13" x14ac:dyDescent="0.55000000000000004">
      <c r="A136" s="101" t="s">
        <v>1177</v>
      </c>
      <c r="B136" s="61" t="s">
        <v>189</v>
      </c>
      <c r="C136" s="61" t="s">
        <v>121</v>
      </c>
      <c r="D136" s="61" t="s">
        <v>3288</v>
      </c>
      <c r="E136" s="119">
        <v>1</v>
      </c>
      <c r="F136" s="148" t="s">
        <v>122</v>
      </c>
      <c r="G136" s="148">
        <v>1</v>
      </c>
      <c r="H136" s="61" t="s">
        <v>39</v>
      </c>
      <c r="I136" s="61" t="s">
        <v>535</v>
      </c>
      <c r="J136" s="62" t="s">
        <v>1178</v>
      </c>
      <c r="K136" s="61" t="s">
        <v>831</v>
      </c>
      <c r="L136" s="159">
        <v>7403</v>
      </c>
      <c r="M136" s="169"/>
    </row>
    <row r="137" spans="1:13" x14ac:dyDescent="0.55000000000000004">
      <c r="A137" s="101" t="s">
        <v>1177</v>
      </c>
      <c r="B137" s="61" t="s">
        <v>1179</v>
      </c>
      <c r="C137" s="61" t="s">
        <v>125</v>
      </c>
      <c r="D137" s="61" t="s">
        <v>3288</v>
      </c>
      <c r="E137" s="119">
        <v>1.05</v>
      </c>
      <c r="F137" s="148" t="s">
        <v>122</v>
      </c>
      <c r="G137" s="148" t="s">
        <v>122</v>
      </c>
      <c r="H137" s="61" t="s">
        <v>39</v>
      </c>
      <c r="I137" s="61" t="s">
        <v>535</v>
      </c>
      <c r="J137" s="62" t="s">
        <v>1178</v>
      </c>
      <c r="K137" s="61" t="s">
        <v>831</v>
      </c>
      <c r="L137" s="159"/>
      <c r="M137" s="169"/>
    </row>
    <row r="138" spans="1:13" x14ac:dyDescent="0.55000000000000004">
      <c r="A138" s="101" t="s">
        <v>1177</v>
      </c>
      <c r="B138" s="61" t="s">
        <v>1088</v>
      </c>
      <c r="C138" s="61" t="s">
        <v>127</v>
      </c>
      <c r="D138" s="61" t="s">
        <v>2994</v>
      </c>
      <c r="E138" s="119">
        <v>0.4</v>
      </c>
      <c r="F138" s="148" t="s">
        <v>130</v>
      </c>
      <c r="G138" s="148" t="s">
        <v>122</v>
      </c>
      <c r="H138" s="61" t="s">
        <v>39</v>
      </c>
      <c r="I138" s="61" t="s">
        <v>535</v>
      </c>
      <c r="J138" s="62" t="s">
        <v>1178</v>
      </c>
      <c r="K138" s="61" t="s">
        <v>831</v>
      </c>
      <c r="L138" s="159"/>
      <c r="M138" s="169"/>
    </row>
    <row r="139" spans="1:13" x14ac:dyDescent="0.55000000000000004">
      <c r="A139" s="101" t="s">
        <v>1177</v>
      </c>
      <c r="B139" s="61" t="s">
        <v>1180</v>
      </c>
      <c r="C139" s="61" t="s">
        <v>127</v>
      </c>
      <c r="D139" s="61" t="s">
        <v>2994</v>
      </c>
      <c r="E139" s="119">
        <v>2.23</v>
      </c>
      <c r="F139" s="148" t="s">
        <v>167</v>
      </c>
      <c r="G139" s="148" t="s">
        <v>122</v>
      </c>
      <c r="H139" s="61" t="s">
        <v>39</v>
      </c>
      <c r="I139" s="61" t="s">
        <v>535</v>
      </c>
      <c r="J139" s="62" t="s">
        <v>1178</v>
      </c>
      <c r="K139" s="61" t="s">
        <v>831</v>
      </c>
      <c r="L139" s="159"/>
      <c r="M139" s="169"/>
    </row>
    <row r="140" spans="1:13" x14ac:dyDescent="0.55000000000000004">
      <c r="A140" s="101" t="s">
        <v>1177</v>
      </c>
      <c r="B140" s="61" t="s">
        <v>1181</v>
      </c>
      <c r="C140" s="61" t="s">
        <v>125</v>
      </c>
      <c r="D140" s="61" t="s">
        <v>3288</v>
      </c>
      <c r="E140" s="119">
        <v>6.0099999999999997E-3</v>
      </c>
      <c r="F140" s="148" t="s">
        <v>122</v>
      </c>
      <c r="G140" s="148" t="s">
        <v>122</v>
      </c>
      <c r="H140" s="61" t="s">
        <v>39</v>
      </c>
      <c r="I140" s="61" t="s">
        <v>535</v>
      </c>
      <c r="J140" s="62" t="s">
        <v>1178</v>
      </c>
      <c r="K140" s="61" t="s">
        <v>831</v>
      </c>
      <c r="L140" s="159"/>
      <c r="M140" s="169"/>
    </row>
    <row r="141" spans="1:13" x14ac:dyDescent="0.55000000000000004">
      <c r="A141" s="101" t="s">
        <v>1177</v>
      </c>
      <c r="B141" s="61" t="s">
        <v>1182</v>
      </c>
      <c r="C141" s="61" t="s">
        <v>125</v>
      </c>
      <c r="D141" s="61" t="s">
        <v>3288</v>
      </c>
      <c r="E141" s="119">
        <v>4.9500000000000004E-3</v>
      </c>
      <c r="F141" s="148" t="s">
        <v>122</v>
      </c>
      <c r="G141" s="148" t="s">
        <v>122</v>
      </c>
      <c r="H141" s="61" t="s">
        <v>39</v>
      </c>
      <c r="I141" s="61" t="s">
        <v>535</v>
      </c>
      <c r="J141" s="62" t="s">
        <v>1178</v>
      </c>
      <c r="K141" s="61" t="s">
        <v>831</v>
      </c>
      <c r="L141" s="159"/>
      <c r="M141" s="169"/>
    </row>
    <row r="142" spans="1:13" x14ac:dyDescent="0.55000000000000004">
      <c r="A142" s="101" t="s">
        <v>1177</v>
      </c>
      <c r="B142" s="61" t="s">
        <v>1183</v>
      </c>
      <c r="C142" s="61" t="s">
        <v>124</v>
      </c>
      <c r="D142" s="61" t="s">
        <v>2994</v>
      </c>
      <c r="E142" s="119">
        <v>1.76</v>
      </c>
      <c r="F142" s="148" t="s">
        <v>167</v>
      </c>
      <c r="G142" s="148" t="s">
        <v>122</v>
      </c>
      <c r="H142" s="61" t="s">
        <v>39</v>
      </c>
      <c r="I142" s="61" t="s">
        <v>535</v>
      </c>
      <c r="J142" s="62" t="s">
        <v>1178</v>
      </c>
      <c r="K142" s="61" t="s">
        <v>831</v>
      </c>
      <c r="L142" s="159"/>
      <c r="M142" s="169"/>
    </row>
    <row r="143" spans="1:13" x14ac:dyDescent="0.55000000000000004">
      <c r="A143" s="101" t="s">
        <v>1177</v>
      </c>
      <c r="B143" s="61" t="s">
        <v>1184</v>
      </c>
      <c r="C143" s="61" t="s">
        <v>163</v>
      </c>
      <c r="D143" s="61" t="s">
        <v>3288</v>
      </c>
      <c r="E143" s="119">
        <v>4.7600000000000003E-2</v>
      </c>
      <c r="F143" s="148" t="s">
        <v>122</v>
      </c>
      <c r="G143" s="148" t="s">
        <v>122</v>
      </c>
      <c r="H143" s="61" t="s">
        <v>39</v>
      </c>
      <c r="I143" s="61" t="s">
        <v>535</v>
      </c>
      <c r="J143" s="62" t="s">
        <v>1178</v>
      </c>
      <c r="K143" s="61" t="s">
        <v>831</v>
      </c>
      <c r="L143" s="159"/>
      <c r="M143" s="169"/>
    </row>
    <row r="144" spans="1:13" x14ac:dyDescent="0.55000000000000004">
      <c r="A144" s="101" t="s">
        <v>1177</v>
      </c>
      <c r="B144" s="61" t="s">
        <v>161</v>
      </c>
      <c r="C144" s="61" t="s">
        <v>156</v>
      </c>
      <c r="D144" s="61" t="s">
        <v>3288</v>
      </c>
      <c r="E144" s="119">
        <v>5.0000000000000001E-3</v>
      </c>
      <c r="F144" s="148" t="s">
        <v>122</v>
      </c>
      <c r="G144" s="148" t="s">
        <v>122</v>
      </c>
      <c r="H144" s="61" t="s">
        <v>39</v>
      </c>
      <c r="I144" s="61" t="s">
        <v>535</v>
      </c>
      <c r="J144" s="62" t="s">
        <v>1178</v>
      </c>
      <c r="K144" s="61" t="s">
        <v>831</v>
      </c>
      <c r="L144" s="159">
        <v>711230</v>
      </c>
      <c r="M144" s="169"/>
    </row>
    <row r="145" spans="1:13" x14ac:dyDescent="0.55000000000000004">
      <c r="A145" s="101" t="s">
        <v>1173</v>
      </c>
      <c r="B145" s="61" t="s">
        <v>1166</v>
      </c>
      <c r="C145" s="61" t="s">
        <v>121</v>
      </c>
      <c r="D145" s="61" t="s">
        <v>3288</v>
      </c>
      <c r="E145" s="119">
        <v>1</v>
      </c>
      <c r="F145" s="148" t="s">
        <v>122</v>
      </c>
      <c r="G145" s="148">
        <v>1</v>
      </c>
      <c r="H145" s="61" t="s">
        <v>39</v>
      </c>
      <c r="I145" s="61" t="s">
        <v>535</v>
      </c>
      <c r="J145" s="62" t="s">
        <v>1174</v>
      </c>
      <c r="K145" s="109" t="s">
        <v>831</v>
      </c>
      <c r="L145" s="159">
        <v>7402</v>
      </c>
      <c r="M145" s="169"/>
    </row>
    <row r="146" spans="1:13" x14ac:dyDescent="0.55000000000000004">
      <c r="A146" s="101" t="s">
        <v>1173</v>
      </c>
      <c r="B146" s="61" t="s">
        <v>1175</v>
      </c>
      <c r="C146" s="61" t="s">
        <v>125</v>
      </c>
      <c r="D146" s="61" t="s">
        <v>3288</v>
      </c>
      <c r="E146" s="119">
        <v>3.33</v>
      </c>
      <c r="F146" s="148" t="s">
        <v>122</v>
      </c>
      <c r="G146" s="148" t="s">
        <v>122</v>
      </c>
      <c r="H146" s="61" t="s">
        <v>39</v>
      </c>
      <c r="I146" s="61" t="s">
        <v>535</v>
      </c>
      <c r="J146" s="62" t="s">
        <v>1174</v>
      </c>
      <c r="K146" s="109" t="s">
        <v>831</v>
      </c>
      <c r="L146" s="159"/>
      <c r="M146" s="169"/>
    </row>
    <row r="147" spans="1:13" x14ac:dyDescent="0.55000000000000004">
      <c r="A147" s="101" t="s">
        <v>1173</v>
      </c>
      <c r="B147" s="61" t="s">
        <v>145</v>
      </c>
      <c r="C147" s="61" t="s">
        <v>156</v>
      </c>
      <c r="D147" s="61" t="s">
        <v>3288</v>
      </c>
      <c r="E147" s="119">
        <v>2.17</v>
      </c>
      <c r="F147" s="148" t="s">
        <v>122</v>
      </c>
      <c r="G147" s="148" t="s">
        <v>122</v>
      </c>
      <c r="H147" s="61" t="s">
        <v>39</v>
      </c>
      <c r="I147" s="61" t="s">
        <v>535</v>
      </c>
      <c r="J147" s="62" t="s">
        <v>1174</v>
      </c>
      <c r="K147" s="109" t="s">
        <v>831</v>
      </c>
      <c r="L147" s="159"/>
      <c r="M147" s="169"/>
    </row>
    <row r="148" spans="1:13" x14ac:dyDescent="0.55000000000000004">
      <c r="A148" s="101" t="s">
        <v>1173</v>
      </c>
      <c r="B148" s="61" t="s">
        <v>505</v>
      </c>
      <c r="C148" s="61" t="s">
        <v>127</v>
      </c>
      <c r="D148" s="61" t="s">
        <v>2994</v>
      </c>
      <c r="E148" s="119">
        <v>3.9</v>
      </c>
      <c r="F148" s="148" t="s">
        <v>167</v>
      </c>
      <c r="G148" s="148" t="s">
        <v>122</v>
      </c>
      <c r="H148" s="61" t="s">
        <v>39</v>
      </c>
      <c r="I148" s="61" t="s">
        <v>535</v>
      </c>
      <c r="J148" s="62" t="s">
        <v>1174</v>
      </c>
      <c r="K148" s="109" t="s">
        <v>831</v>
      </c>
      <c r="L148" s="159"/>
      <c r="M148" s="169"/>
    </row>
    <row r="149" spans="1:13" x14ac:dyDescent="0.55000000000000004">
      <c r="A149" s="101" t="s">
        <v>1173</v>
      </c>
      <c r="B149" s="61" t="s">
        <v>153</v>
      </c>
      <c r="C149" s="61" t="s">
        <v>127</v>
      </c>
      <c r="D149" s="61" t="s">
        <v>2994</v>
      </c>
      <c r="E149" s="119">
        <v>6.44</v>
      </c>
      <c r="F149" s="148" t="s">
        <v>167</v>
      </c>
      <c r="G149" s="148" t="s">
        <v>122</v>
      </c>
      <c r="H149" s="61" t="s">
        <v>39</v>
      </c>
      <c r="I149" s="61" t="s">
        <v>535</v>
      </c>
      <c r="J149" s="62" t="s">
        <v>1174</v>
      </c>
      <c r="K149" s="109" t="s">
        <v>831</v>
      </c>
      <c r="L149" s="159"/>
      <c r="M149" s="169"/>
    </row>
    <row r="150" spans="1:13" x14ac:dyDescent="0.55000000000000004">
      <c r="A150" s="101" t="s">
        <v>1173</v>
      </c>
      <c r="B150" s="61" t="s">
        <v>1169</v>
      </c>
      <c r="C150" s="61" t="s">
        <v>125</v>
      </c>
      <c r="D150" s="61" t="s">
        <v>3288</v>
      </c>
      <c r="E150" s="119">
        <v>1.77</v>
      </c>
      <c r="F150" s="148" t="s">
        <v>122</v>
      </c>
      <c r="G150" s="148" t="s">
        <v>122</v>
      </c>
      <c r="H150" s="61" t="s">
        <v>39</v>
      </c>
      <c r="I150" s="61" t="s">
        <v>535</v>
      </c>
      <c r="J150" s="62" t="s">
        <v>1174</v>
      </c>
      <c r="K150" s="109" t="s">
        <v>831</v>
      </c>
      <c r="L150" s="159"/>
      <c r="M150" s="169"/>
    </row>
    <row r="151" spans="1:13" x14ac:dyDescent="0.55000000000000004">
      <c r="A151" s="101" t="s">
        <v>1173</v>
      </c>
      <c r="B151" s="61" t="s">
        <v>213</v>
      </c>
      <c r="C151" s="61" t="s">
        <v>132</v>
      </c>
      <c r="D151" s="61" t="s">
        <v>3288</v>
      </c>
      <c r="E151" s="119">
        <v>3.04</v>
      </c>
      <c r="F151" s="148" t="s">
        <v>122</v>
      </c>
      <c r="G151" s="148" t="s">
        <v>122</v>
      </c>
      <c r="H151" s="61" t="s">
        <v>39</v>
      </c>
      <c r="I151" s="61" t="s">
        <v>535</v>
      </c>
      <c r="J151" s="62" t="s">
        <v>1174</v>
      </c>
      <c r="K151" s="109" t="s">
        <v>831</v>
      </c>
      <c r="L151" s="159"/>
      <c r="M151" s="169"/>
    </row>
    <row r="152" spans="1:13" x14ac:dyDescent="0.55000000000000004">
      <c r="A152" s="101" t="s">
        <v>1173</v>
      </c>
      <c r="B152" s="61" t="s">
        <v>1170</v>
      </c>
      <c r="C152" s="61" t="s">
        <v>125</v>
      </c>
      <c r="D152" s="61" t="s">
        <v>3288</v>
      </c>
      <c r="E152" s="119">
        <v>0.33</v>
      </c>
      <c r="F152" s="148" t="s">
        <v>122</v>
      </c>
      <c r="G152" s="148" t="s">
        <v>122</v>
      </c>
      <c r="H152" s="61" t="s">
        <v>39</v>
      </c>
      <c r="I152" s="61" t="s">
        <v>535</v>
      </c>
      <c r="J152" s="62" t="s">
        <v>1174</v>
      </c>
      <c r="K152" s="109" t="s">
        <v>831</v>
      </c>
      <c r="L152" s="159"/>
      <c r="M152" s="169"/>
    </row>
    <row r="153" spans="1:13" x14ac:dyDescent="0.55000000000000004">
      <c r="A153" s="101" t="s">
        <v>1173</v>
      </c>
      <c r="B153" s="168" t="s">
        <v>131</v>
      </c>
      <c r="C153" s="61" t="s">
        <v>132</v>
      </c>
      <c r="D153" s="61" t="s">
        <v>3288</v>
      </c>
      <c r="E153" s="119">
        <v>0.16</v>
      </c>
      <c r="F153" s="148" t="s">
        <v>122</v>
      </c>
      <c r="G153" s="148" t="s">
        <v>122</v>
      </c>
      <c r="H153" s="61" t="s">
        <v>39</v>
      </c>
      <c r="I153" s="61" t="s">
        <v>535</v>
      </c>
      <c r="J153" s="62" t="s">
        <v>1174</v>
      </c>
      <c r="K153" s="109" t="s">
        <v>831</v>
      </c>
      <c r="L153" s="159"/>
      <c r="M153" s="169"/>
    </row>
    <row r="154" spans="1:13" x14ac:dyDescent="0.55000000000000004">
      <c r="A154" s="101" t="s">
        <v>1173</v>
      </c>
      <c r="B154" s="61" t="s">
        <v>1171</v>
      </c>
      <c r="C154" s="61" t="s">
        <v>348</v>
      </c>
      <c r="D154" s="61" t="s">
        <v>3288</v>
      </c>
      <c r="E154" s="119">
        <v>0.01</v>
      </c>
      <c r="F154" s="148" t="s">
        <v>122</v>
      </c>
      <c r="G154" s="148" t="s">
        <v>122</v>
      </c>
      <c r="H154" s="61" t="s">
        <v>39</v>
      </c>
      <c r="I154" s="61" t="s">
        <v>535</v>
      </c>
      <c r="J154" s="62" t="s">
        <v>1174</v>
      </c>
      <c r="K154" s="109" t="s">
        <v>831</v>
      </c>
      <c r="L154" s="159"/>
      <c r="M154" s="169"/>
    </row>
    <row r="155" spans="1:13" x14ac:dyDescent="0.55000000000000004">
      <c r="A155" s="101" t="s">
        <v>1173</v>
      </c>
      <c r="B155" s="61" t="s">
        <v>154</v>
      </c>
      <c r="C155" s="61" t="s">
        <v>132</v>
      </c>
      <c r="D155" s="61" t="s">
        <v>3288</v>
      </c>
      <c r="E155" s="119">
        <v>0.44</v>
      </c>
      <c r="F155" s="148" t="s">
        <v>122</v>
      </c>
      <c r="G155" s="148" t="s">
        <v>122</v>
      </c>
      <c r="H155" s="61" t="s">
        <v>39</v>
      </c>
      <c r="I155" s="61" t="s">
        <v>535</v>
      </c>
      <c r="J155" s="62" t="s">
        <v>1174</v>
      </c>
      <c r="K155" s="61" t="s">
        <v>831</v>
      </c>
      <c r="L155" s="159"/>
      <c r="M155" s="169"/>
    </row>
    <row r="156" spans="1:13" x14ac:dyDescent="0.55000000000000004">
      <c r="A156" s="101" t="s">
        <v>1173</v>
      </c>
      <c r="B156" s="61" t="s">
        <v>1172</v>
      </c>
      <c r="C156" s="61" t="s">
        <v>124</v>
      </c>
      <c r="D156" s="61" t="s">
        <v>3288</v>
      </c>
      <c r="E156" s="119">
        <v>0.02</v>
      </c>
      <c r="F156" s="148" t="s">
        <v>122</v>
      </c>
      <c r="G156" s="148" t="s">
        <v>122</v>
      </c>
      <c r="H156" s="61" t="s">
        <v>39</v>
      </c>
      <c r="I156" s="61" t="s">
        <v>535</v>
      </c>
      <c r="J156" s="62" t="s">
        <v>1174</v>
      </c>
      <c r="K156" s="61" t="s">
        <v>831</v>
      </c>
      <c r="L156" s="159"/>
      <c r="M156" s="169"/>
    </row>
    <row r="157" spans="1:13" x14ac:dyDescent="0.55000000000000004">
      <c r="A157" s="101" t="s">
        <v>1173</v>
      </c>
      <c r="B157" s="61" t="s">
        <v>160</v>
      </c>
      <c r="C157" s="61" t="s">
        <v>124</v>
      </c>
      <c r="D157" s="61" t="s">
        <v>3288</v>
      </c>
      <c r="E157" s="119">
        <v>0.4</v>
      </c>
      <c r="F157" s="148" t="s">
        <v>122</v>
      </c>
      <c r="G157" s="148" t="s">
        <v>122</v>
      </c>
      <c r="H157" s="61" t="s">
        <v>39</v>
      </c>
      <c r="I157" s="61" t="s">
        <v>535</v>
      </c>
      <c r="J157" s="62" t="s">
        <v>1174</v>
      </c>
      <c r="K157" s="61" t="s">
        <v>831</v>
      </c>
      <c r="L157" s="159"/>
      <c r="M157" s="169"/>
    </row>
    <row r="158" spans="1:13" x14ac:dyDescent="0.55000000000000004">
      <c r="A158" s="101" t="s">
        <v>1173</v>
      </c>
      <c r="B158" s="61" t="s">
        <v>735</v>
      </c>
      <c r="C158" s="61" t="s">
        <v>163</v>
      </c>
      <c r="D158" s="61" t="s">
        <v>3288</v>
      </c>
      <c r="E158" s="119">
        <v>1.83</v>
      </c>
      <c r="F158" s="148" t="s">
        <v>122</v>
      </c>
      <c r="G158" s="148" t="s">
        <v>122</v>
      </c>
      <c r="H158" s="61" t="s">
        <v>39</v>
      </c>
      <c r="I158" s="61" t="s">
        <v>535</v>
      </c>
      <c r="J158" s="62" t="s">
        <v>1174</v>
      </c>
      <c r="K158" s="61" t="s">
        <v>831</v>
      </c>
      <c r="L158" s="159"/>
      <c r="M158" s="169"/>
    </row>
    <row r="159" spans="1:13" x14ac:dyDescent="0.55000000000000004">
      <c r="A159" s="101" t="s">
        <v>1165</v>
      </c>
      <c r="B159" s="61" t="s">
        <v>1166</v>
      </c>
      <c r="C159" s="61" t="s">
        <v>121</v>
      </c>
      <c r="D159" s="61" t="s">
        <v>3288</v>
      </c>
      <c r="E159" s="119">
        <v>1</v>
      </c>
      <c r="F159" s="148" t="s">
        <v>122</v>
      </c>
      <c r="G159" s="148">
        <v>1</v>
      </c>
      <c r="H159" s="61" t="s">
        <v>39</v>
      </c>
      <c r="I159" s="61" t="s">
        <v>535</v>
      </c>
      <c r="J159" s="62" t="s">
        <v>1167</v>
      </c>
      <c r="K159" s="109" t="s">
        <v>831</v>
      </c>
      <c r="L159" s="159">
        <v>7402</v>
      </c>
      <c r="M159" s="169"/>
    </row>
    <row r="160" spans="1:13" x14ac:dyDescent="0.55000000000000004">
      <c r="A160" s="101" t="s">
        <v>1165</v>
      </c>
      <c r="B160" s="61" t="s">
        <v>1168</v>
      </c>
      <c r="C160" s="61" t="s">
        <v>125</v>
      </c>
      <c r="D160" s="61" t="s">
        <v>3288</v>
      </c>
      <c r="E160" s="119">
        <v>2</v>
      </c>
      <c r="F160" s="148" t="s">
        <v>122</v>
      </c>
      <c r="G160" s="148" t="s">
        <v>122</v>
      </c>
      <c r="H160" s="61" t="s">
        <v>39</v>
      </c>
      <c r="I160" s="61" t="s">
        <v>535</v>
      </c>
      <c r="J160" s="62" t="s">
        <v>1167</v>
      </c>
      <c r="K160" s="109" t="s">
        <v>831</v>
      </c>
      <c r="L160" s="159"/>
      <c r="M160" s="169"/>
    </row>
    <row r="161" spans="1:13" x14ac:dyDescent="0.55000000000000004">
      <c r="A161" s="101" t="s">
        <v>1165</v>
      </c>
      <c r="B161" s="61" t="s">
        <v>505</v>
      </c>
      <c r="C161" s="61" t="s">
        <v>127</v>
      </c>
      <c r="D161" s="61" t="s">
        <v>2994</v>
      </c>
      <c r="E161" s="119">
        <v>1.08</v>
      </c>
      <c r="F161" s="148" t="s">
        <v>167</v>
      </c>
      <c r="G161" s="148" t="s">
        <v>122</v>
      </c>
      <c r="H161" s="61" t="s">
        <v>39</v>
      </c>
      <c r="I161" s="61" t="s">
        <v>535</v>
      </c>
      <c r="J161" s="62" t="s">
        <v>1167</v>
      </c>
      <c r="K161" s="109" t="s">
        <v>831</v>
      </c>
      <c r="L161" s="159"/>
      <c r="M161" s="169"/>
    </row>
    <row r="162" spans="1:13" x14ac:dyDescent="0.55000000000000004">
      <c r="A162" s="101" t="s">
        <v>1165</v>
      </c>
      <c r="B162" s="61" t="s">
        <v>153</v>
      </c>
      <c r="C162" s="61" t="s">
        <v>127</v>
      </c>
      <c r="D162" s="61" t="s">
        <v>2994</v>
      </c>
      <c r="E162" s="119">
        <v>5.2</v>
      </c>
      <c r="F162" s="148" t="s">
        <v>167</v>
      </c>
      <c r="G162" s="148" t="s">
        <v>122</v>
      </c>
      <c r="H162" s="61" t="s">
        <v>39</v>
      </c>
      <c r="I162" s="61" t="s">
        <v>535</v>
      </c>
      <c r="J162" s="62" t="s">
        <v>1167</v>
      </c>
      <c r="K162" s="109" t="s">
        <v>831</v>
      </c>
      <c r="L162" s="159"/>
      <c r="M162" s="169"/>
    </row>
    <row r="163" spans="1:13" x14ac:dyDescent="0.55000000000000004">
      <c r="A163" s="101" t="s">
        <v>1165</v>
      </c>
      <c r="B163" s="61" t="s">
        <v>213</v>
      </c>
      <c r="C163" s="61" t="s">
        <v>132</v>
      </c>
      <c r="D163" s="61" t="s">
        <v>3288</v>
      </c>
      <c r="E163" s="119">
        <v>0.28000000000000003</v>
      </c>
      <c r="F163" s="148" t="s">
        <v>122</v>
      </c>
      <c r="G163" s="148" t="s">
        <v>122</v>
      </c>
      <c r="H163" s="61" t="s">
        <v>39</v>
      </c>
      <c r="I163" s="61" t="s">
        <v>535</v>
      </c>
      <c r="J163" s="62" t="s">
        <v>1167</v>
      </c>
      <c r="K163" s="109" t="s">
        <v>831</v>
      </c>
      <c r="L163" s="159"/>
      <c r="M163" s="169"/>
    </row>
    <row r="164" spans="1:13" x14ac:dyDescent="0.55000000000000004">
      <c r="A164" s="101" t="s">
        <v>1165</v>
      </c>
      <c r="B164" s="61" t="s">
        <v>1169</v>
      </c>
      <c r="C164" s="61" t="s">
        <v>125</v>
      </c>
      <c r="D164" s="61" t="s">
        <v>3288</v>
      </c>
      <c r="E164" s="119">
        <v>0.68400000000000005</v>
      </c>
      <c r="F164" s="148" t="s">
        <v>122</v>
      </c>
      <c r="G164" s="148" t="s">
        <v>122</v>
      </c>
      <c r="H164" s="61" t="s">
        <v>39</v>
      </c>
      <c r="I164" s="61" t="s">
        <v>535</v>
      </c>
      <c r="J164" s="62" t="s">
        <v>1167</v>
      </c>
      <c r="K164" s="109" t="s">
        <v>831</v>
      </c>
      <c r="L164" s="159"/>
      <c r="M164" s="169"/>
    </row>
    <row r="165" spans="1:13" x14ac:dyDescent="0.55000000000000004">
      <c r="A165" s="101" t="s">
        <v>1165</v>
      </c>
      <c r="B165" s="61" t="s">
        <v>1170</v>
      </c>
      <c r="C165" s="61" t="s">
        <v>127</v>
      </c>
      <c r="D165" s="61" t="s">
        <v>3288</v>
      </c>
      <c r="E165" s="119">
        <v>0.1</v>
      </c>
      <c r="F165" s="148" t="s">
        <v>122</v>
      </c>
      <c r="G165" s="148" t="s">
        <v>122</v>
      </c>
      <c r="H165" s="61" t="s">
        <v>39</v>
      </c>
      <c r="I165" s="61" t="s">
        <v>535</v>
      </c>
      <c r="J165" s="62" t="s">
        <v>1167</v>
      </c>
      <c r="K165" s="109" t="s">
        <v>831</v>
      </c>
      <c r="L165" s="159"/>
      <c r="M165" s="169"/>
    </row>
    <row r="166" spans="1:13" x14ac:dyDescent="0.55000000000000004">
      <c r="A166" s="101" t="s">
        <v>1165</v>
      </c>
      <c r="B166" s="61" t="s">
        <v>145</v>
      </c>
      <c r="C166" s="61" t="s">
        <v>156</v>
      </c>
      <c r="D166" s="61" t="s">
        <v>3288</v>
      </c>
      <c r="E166" s="119">
        <v>1.32</v>
      </c>
      <c r="F166" s="148" t="s">
        <v>122</v>
      </c>
      <c r="G166" s="148" t="s">
        <v>122</v>
      </c>
      <c r="H166" s="61" t="s">
        <v>39</v>
      </c>
      <c r="I166" s="61" t="s">
        <v>535</v>
      </c>
      <c r="J166" s="62" t="s">
        <v>1167</v>
      </c>
      <c r="K166" s="109" t="s">
        <v>831</v>
      </c>
      <c r="L166" s="159"/>
      <c r="M166" s="169"/>
    </row>
    <row r="167" spans="1:13" x14ac:dyDescent="0.55000000000000004">
      <c r="A167" s="101" t="s">
        <v>1165</v>
      </c>
      <c r="B167" s="61" t="s">
        <v>1171</v>
      </c>
      <c r="C167" s="61" t="s">
        <v>348</v>
      </c>
      <c r="D167" s="61" t="s">
        <v>3288</v>
      </c>
      <c r="E167" s="119">
        <v>0.01</v>
      </c>
      <c r="F167" s="148" t="s">
        <v>122</v>
      </c>
      <c r="G167" s="148" t="s">
        <v>122</v>
      </c>
      <c r="H167" s="61" t="s">
        <v>39</v>
      </c>
      <c r="I167" s="61" t="s">
        <v>535</v>
      </c>
      <c r="J167" s="62" t="s">
        <v>1167</v>
      </c>
      <c r="K167" s="109" t="s">
        <v>831</v>
      </c>
      <c r="L167" s="159"/>
      <c r="M167" s="169"/>
    </row>
    <row r="168" spans="1:13" x14ac:dyDescent="0.55000000000000004">
      <c r="A168" s="101" t="s">
        <v>1165</v>
      </c>
      <c r="B168" s="61" t="s">
        <v>154</v>
      </c>
      <c r="C168" s="61" t="s">
        <v>132</v>
      </c>
      <c r="D168" s="61" t="s">
        <v>3288</v>
      </c>
      <c r="E168" s="119">
        <v>0.27</v>
      </c>
      <c r="F168" s="148" t="s">
        <v>122</v>
      </c>
      <c r="G168" s="148" t="s">
        <v>122</v>
      </c>
      <c r="H168" s="61" t="s">
        <v>39</v>
      </c>
      <c r="I168" s="61" t="s">
        <v>535</v>
      </c>
      <c r="J168" s="62" t="s">
        <v>1167</v>
      </c>
      <c r="K168" s="109" t="s">
        <v>831</v>
      </c>
      <c r="L168" s="159"/>
      <c r="M168" s="169"/>
    </row>
    <row r="169" spans="1:13" x14ac:dyDescent="0.55000000000000004">
      <c r="A169" s="101" t="s">
        <v>1165</v>
      </c>
      <c r="B169" s="61" t="s">
        <v>1172</v>
      </c>
      <c r="C169" s="61" t="s">
        <v>124</v>
      </c>
      <c r="D169" s="61" t="s">
        <v>3288</v>
      </c>
      <c r="E169" s="119">
        <v>0.03</v>
      </c>
      <c r="F169" s="148" t="s">
        <v>122</v>
      </c>
      <c r="G169" s="148" t="s">
        <v>122</v>
      </c>
      <c r="H169" s="61" t="s">
        <v>39</v>
      </c>
      <c r="I169" s="61" t="s">
        <v>535</v>
      </c>
      <c r="J169" s="62" t="s">
        <v>1167</v>
      </c>
      <c r="K169" s="109" t="s">
        <v>831</v>
      </c>
      <c r="L169" s="159"/>
      <c r="M169" s="169"/>
    </row>
    <row r="170" spans="1:13" x14ac:dyDescent="0.55000000000000004">
      <c r="A170" s="101" t="s">
        <v>1165</v>
      </c>
      <c r="B170" s="61" t="s">
        <v>160</v>
      </c>
      <c r="C170" s="61" t="s">
        <v>124</v>
      </c>
      <c r="D170" s="61" t="s">
        <v>3288</v>
      </c>
      <c r="E170" s="119">
        <v>0.08</v>
      </c>
      <c r="F170" s="148" t="s">
        <v>122</v>
      </c>
      <c r="G170" s="148" t="s">
        <v>122</v>
      </c>
      <c r="H170" s="61" t="s">
        <v>39</v>
      </c>
      <c r="I170" s="61" t="s">
        <v>535</v>
      </c>
      <c r="J170" s="62" t="s">
        <v>1167</v>
      </c>
      <c r="K170" s="109" t="s">
        <v>831</v>
      </c>
      <c r="L170" s="159"/>
      <c r="M170" s="169"/>
    </row>
    <row r="171" spans="1:13" x14ac:dyDescent="0.55000000000000004">
      <c r="A171" s="101" t="s">
        <v>1165</v>
      </c>
      <c r="B171" s="61" t="s">
        <v>735</v>
      </c>
      <c r="C171" s="61" t="s">
        <v>163</v>
      </c>
      <c r="D171" s="61" t="s">
        <v>3288</v>
      </c>
      <c r="E171" s="119">
        <v>0.65</v>
      </c>
      <c r="F171" s="148" t="s">
        <v>122</v>
      </c>
      <c r="G171" s="148" t="s">
        <v>122</v>
      </c>
      <c r="H171" s="61" t="s">
        <v>39</v>
      </c>
      <c r="I171" s="61" t="s">
        <v>535</v>
      </c>
      <c r="J171" s="62" t="s">
        <v>1167</v>
      </c>
      <c r="K171" s="109" t="s">
        <v>831</v>
      </c>
      <c r="L171" s="159"/>
      <c r="M171" s="169"/>
    </row>
    <row r="172" spans="1:13" x14ac:dyDescent="0.55000000000000004">
      <c r="A172" s="105" t="s">
        <v>1159</v>
      </c>
      <c r="B172" s="61" t="s">
        <v>1160</v>
      </c>
      <c r="C172" s="61" t="s">
        <v>121</v>
      </c>
      <c r="D172" s="61" t="s">
        <v>3288</v>
      </c>
      <c r="E172" s="119">
        <v>1</v>
      </c>
      <c r="F172" s="148" t="s">
        <v>135</v>
      </c>
      <c r="G172" s="148">
        <v>1</v>
      </c>
      <c r="H172" s="61" t="s">
        <v>39</v>
      </c>
      <c r="I172" s="61" t="s">
        <v>535</v>
      </c>
      <c r="J172" s="85" t="s">
        <v>1161</v>
      </c>
      <c r="K172" s="61" t="s">
        <v>535</v>
      </c>
      <c r="L172" s="159">
        <v>271114</v>
      </c>
      <c r="M172" s="169"/>
    </row>
    <row r="173" spans="1:13" x14ac:dyDescent="0.55000000000000004">
      <c r="A173" s="105" t="s">
        <v>1159</v>
      </c>
      <c r="B173" s="61" t="s">
        <v>160</v>
      </c>
      <c r="C173" s="61" t="s">
        <v>497</v>
      </c>
      <c r="D173" s="61" t="s">
        <v>3288</v>
      </c>
      <c r="E173" s="119">
        <v>0.18710470700000001</v>
      </c>
      <c r="F173" s="148" t="s">
        <v>135</v>
      </c>
      <c r="G173" s="148">
        <v>1</v>
      </c>
      <c r="H173" s="61" t="s">
        <v>39</v>
      </c>
      <c r="I173" s="61" t="s">
        <v>535</v>
      </c>
      <c r="J173" s="85" t="s">
        <v>1161</v>
      </c>
      <c r="K173" s="61" t="s">
        <v>535</v>
      </c>
      <c r="L173" s="159"/>
      <c r="M173" s="169"/>
    </row>
    <row r="174" spans="1:13" x14ac:dyDescent="0.55000000000000004">
      <c r="A174" s="105" t="s">
        <v>1159</v>
      </c>
      <c r="B174" s="61" t="s">
        <v>1162</v>
      </c>
      <c r="C174" s="61" t="s">
        <v>497</v>
      </c>
      <c r="D174" s="61" t="s">
        <v>3288</v>
      </c>
      <c r="E174" s="119">
        <v>1.03064E-5</v>
      </c>
      <c r="F174" s="148" t="s">
        <v>135</v>
      </c>
      <c r="G174" s="148">
        <v>1</v>
      </c>
      <c r="H174" s="61" t="s">
        <v>39</v>
      </c>
      <c r="I174" s="61" t="s">
        <v>535</v>
      </c>
      <c r="J174" s="85" t="s">
        <v>1161</v>
      </c>
      <c r="K174" s="61" t="s">
        <v>535</v>
      </c>
      <c r="L174" s="159"/>
      <c r="M174" s="169"/>
    </row>
    <row r="175" spans="1:13" x14ac:dyDescent="0.55000000000000004">
      <c r="A175" s="105" t="s">
        <v>1159</v>
      </c>
      <c r="B175" s="61" t="s">
        <v>632</v>
      </c>
      <c r="C175" s="61" t="s">
        <v>125</v>
      </c>
      <c r="D175" s="61" t="s">
        <v>3288</v>
      </c>
      <c r="E175" s="119">
        <v>0.42599999999999999</v>
      </c>
      <c r="F175" s="148" t="s">
        <v>135</v>
      </c>
      <c r="G175" s="148">
        <v>1</v>
      </c>
      <c r="H175" s="61" t="s">
        <v>39</v>
      </c>
      <c r="I175" s="61" t="s">
        <v>535</v>
      </c>
      <c r="J175" s="85" t="s">
        <v>1161</v>
      </c>
      <c r="K175" s="61" t="s">
        <v>535</v>
      </c>
      <c r="L175" s="159"/>
      <c r="M175" s="169"/>
    </row>
    <row r="176" spans="1:13" x14ac:dyDescent="0.55000000000000004">
      <c r="A176" s="105" t="s">
        <v>1159</v>
      </c>
      <c r="B176" s="61" t="s">
        <v>153</v>
      </c>
      <c r="C176" s="61" t="s">
        <v>127</v>
      </c>
      <c r="D176" s="61" t="s">
        <v>2994</v>
      </c>
      <c r="E176" s="119">
        <v>0.55800000000000005</v>
      </c>
      <c r="F176" s="148" t="s">
        <v>138</v>
      </c>
      <c r="G176" s="148">
        <v>1</v>
      </c>
      <c r="H176" s="61" t="s">
        <v>39</v>
      </c>
      <c r="I176" s="61" t="s">
        <v>535</v>
      </c>
      <c r="J176" s="85" t="s">
        <v>1161</v>
      </c>
      <c r="K176" s="61" t="s">
        <v>535</v>
      </c>
      <c r="L176" s="159"/>
      <c r="M176" s="169"/>
    </row>
    <row r="177" spans="1:13" x14ac:dyDescent="0.55000000000000004">
      <c r="A177" s="105" t="s">
        <v>1159</v>
      </c>
      <c r="B177" s="61" t="s">
        <v>948</v>
      </c>
      <c r="C177" s="61" t="s">
        <v>125</v>
      </c>
      <c r="D177" s="61" t="s">
        <v>3288</v>
      </c>
      <c r="E177" s="119">
        <v>0.433</v>
      </c>
      <c r="F177" s="148" t="s">
        <v>135</v>
      </c>
      <c r="G177" s="148">
        <v>1</v>
      </c>
      <c r="H177" s="61" t="s">
        <v>39</v>
      </c>
      <c r="I177" s="61" t="s">
        <v>535</v>
      </c>
      <c r="J177" s="85" t="s">
        <v>1161</v>
      </c>
      <c r="K177" s="61" t="s">
        <v>535</v>
      </c>
      <c r="L177" s="159"/>
      <c r="M177" s="169"/>
    </row>
    <row r="178" spans="1:13" x14ac:dyDescent="0.55000000000000004">
      <c r="A178" s="105" t="s">
        <v>1159</v>
      </c>
      <c r="B178" s="61" t="s">
        <v>1163</v>
      </c>
      <c r="C178" s="61" t="s">
        <v>125</v>
      </c>
      <c r="D178" s="61" t="s">
        <v>3288</v>
      </c>
      <c r="E178" s="119">
        <v>0.13900000000000001</v>
      </c>
      <c r="F178" s="148" t="s">
        <v>135</v>
      </c>
      <c r="G178" s="148">
        <v>1</v>
      </c>
      <c r="H178" s="61" t="s">
        <v>39</v>
      </c>
      <c r="I178" s="61" t="s">
        <v>535</v>
      </c>
      <c r="J178" s="85" t="s">
        <v>1161</v>
      </c>
      <c r="K178" s="61" t="s">
        <v>535</v>
      </c>
      <c r="L178" s="159"/>
      <c r="M178" s="169"/>
    </row>
    <row r="179" spans="1:13" x14ac:dyDescent="0.55000000000000004">
      <c r="A179" s="105" t="s">
        <v>1159</v>
      </c>
      <c r="B179" s="61" t="s">
        <v>149</v>
      </c>
      <c r="C179" s="61" t="s">
        <v>125</v>
      </c>
      <c r="D179" s="61" t="s">
        <v>3288</v>
      </c>
      <c r="E179" s="119">
        <v>5.2999999999999999E-2</v>
      </c>
      <c r="F179" s="148" t="s">
        <v>135</v>
      </c>
      <c r="G179" s="148">
        <v>1</v>
      </c>
      <c r="H179" s="61" t="s">
        <v>39</v>
      </c>
      <c r="I179" s="61" t="s">
        <v>535</v>
      </c>
      <c r="J179" s="85" t="s">
        <v>1161</v>
      </c>
      <c r="K179" s="61" t="s">
        <v>535</v>
      </c>
      <c r="L179" s="159"/>
      <c r="M179" s="169"/>
    </row>
    <row r="180" spans="1:13" x14ac:dyDescent="0.55000000000000004">
      <c r="A180" s="105" t="s">
        <v>1159</v>
      </c>
      <c r="B180" s="61" t="s">
        <v>171</v>
      </c>
      <c r="C180" s="61" t="s">
        <v>127</v>
      </c>
      <c r="D180" s="61" t="s">
        <v>2994</v>
      </c>
      <c r="E180" s="119">
        <v>4.1496000000000004</v>
      </c>
      <c r="F180" s="148" t="s">
        <v>138</v>
      </c>
      <c r="G180" s="148">
        <v>1</v>
      </c>
      <c r="H180" s="61" t="s">
        <v>39</v>
      </c>
      <c r="I180" s="61" t="s">
        <v>535</v>
      </c>
      <c r="J180" s="85" t="s">
        <v>1161</v>
      </c>
      <c r="K180" s="61" t="s">
        <v>535</v>
      </c>
      <c r="L180" s="159"/>
      <c r="M180" s="169"/>
    </row>
    <row r="181" spans="1:13" x14ac:dyDescent="0.55000000000000004">
      <c r="A181" s="105" t="s">
        <v>1159</v>
      </c>
      <c r="B181" s="61" t="s">
        <v>1164</v>
      </c>
      <c r="C181" s="61" t="s">
        <v>125</v>
      </c>
      <c r="D181" s="61" t="s">
        <v>3288</v>
      </c>
      <c r="E181" s="119">
        <v>3.6999999999999998E-2</v>
      </c>
      <c r="F181" s="148" t="s">
        <v>135</v>
      </c>
      <c r="G181" s="148">
        <v>1</v>
      </c>
      <c r="H181" s="61" t="s">
        <v>39</v>
      </c>
      <c r="I181" s="61" t="s">
        <v>535</v>
      </c>
      <c r="J181" s="85" t="s">
        <v>1161</v>
      </c>
      <c r="K181" s="61" t="s">
        <v>535</v>
      </c>
      <c r="L181" s="159"/>
      <c r="M181" s="169"/>
    </row>
    <row r="182" spans="1:13" x14ac:dyDescent="0.55000000000000004">
      <c r="A182" s="105" t="s">
        <v>1159</v>
      </c>
      <c r="B182" s="61" t="s">
        <v>1090</v>
      </c>
      <c r="C182" s="61" t="s">
        <v>125</v>
      </c>
      <c r="D182" s="61" t="s">
        <v>3288</v>
      </c>
      <c r="E182" s="119">
        <v>0.111</v>
      </c>
      <c r="F182" s="148" t="s">
        <v>135</v>
      </c>
      <c r="G182" s="148">
        <v>1</v>
      </c>
      <c r="H182" s="61" t="s">
        <v>39</v>
      </c>
      <c r="I182" s="61" t="s">
        <v>535</v>
      </c>
      <c r="J182" s="85" t="s">
        <v>1161</v>
      </c>
      <c r="K182" s="61" t="s">
        <v>535</v>
      </c>
      <c r="L182" s="159"/>
      <c r="M182" s="169"/>
    </row>
    <row r="183" spans="1:13" x14ac:dyDescent="0.55000000000000004">
      <c r="A183" s="92" t="s">
        <v>1158</v>
      </c>
      <c r="B183" s="61" t="s">
        <v>140</v>
      </c>
      <c r="C183" s="61" t="s">
        <v>121</v>
      </c>
      <c r="D183" s="61" t="s">
        <v>3288</v>
      </c>
      <c r="E183" s="116">
        <v>1</v>
      </c>
      <c r="F183" s="149" t="s">
        <v>135</v>
      </c>
      <c r="G183" s="149">
        <v>1</v>
      </c>
      <c r="H183" s="168" t="s">
        <v>39</v>
      </c>
      <c r="I183" s="168" t="s">
        <v>1240</v>
      </c>
      <c r="J183" s="61" t="str">
        <f>A183</f>
        <v>[Agora] CCU of smelting gases from the blast-furnace route</v>
      </c>
      <c r="K183" s="61" t="s">
        <v>126</v>
      </c>
      <c r="L183" s="160" t="s">
        <v>1021</v>
      </c>
      <c r="M183" s="169"/>
    </row>
    <row r="184" spans="1:13" x14ac:dyDescent="0.55000000000000004">
      <c r="A184" s="92" t="s">
        <v>1158</v>
      </c>
      <c r="B184" s="61" t="s">
        <v>160</v>
      </c>
      <c r="C184" s="168" t="s">
        <v>497</v>
      </c>
      <c r="D184" s="61" t="s">
        <v>3288</v>
      </c>
      <c r="E184" s="116">
        <v>0.85</v>
      </c>
      <c r="F184" s="149" t="s">
        <v>135</v>
      </c>
      <c r="G184" s="149" t="s">
        <v>135</v>
      </c>
      <c r="H184" s="61" t="s">
        <v>39</v>
      </c>
      <c r="I184" s="168" t="s">
        <v>1241</v>
      </c>
      <c r="J184" s="61" t="str">
        <f>A184</f>
        <v>[Agora] CCU of smelting gases from the blast-furnace route</v>
      </c>
      <c r="K184" s="61" t="s">
        <v>126</v>
      </c>
      <c r="L184" s="160"/>
      <c r="M184" s="169"/>
    </row>
    <row r="185" spans="1:13" x14ac:dyDescent="0.55000000000000004">
      <c r="A185" s="92" t="s">
        <v>1156</v>
      </c>
      <c r="B185" s="61" t="s">
        <v>140</v>
      </c>
      <c r="C185" s="61" t="s">
        <v>121</v>
      </c>
      <c r="D185" s="61" t="s">
        <v>3288</v>
      </c>
      <c r="E185" s="116">
        <v>1</v>
      </c>
      <c r="F185" s="149" t="s">
        <v>135</v>
      </c>
      <c r="G185" s="149">
        <v>1</v>
      </c>
      <c r="H185" s="168" t="s">
        <v>39</v>
      </c>
      <c r="I185" s="168"/>
      <c r="J185" s="61" t="s">
        <v>1157</v>
      </c>
      <c r="K185" s="61" t="s">
        <v>126</v>
      </c>
      <c r="L185" s="160" t="s">
        <v>1021</v>
      </c>
      <c r="M185" s="169"/>
    </row>
    <row r="186" spans="1:13" x14ac:dyDescent="0.55000000000000004">
      <c r="A186" s="92" t="s">
        <v>1156</v>
      </c>
      <c r="B186" s="61" t="s">
        <v>160</v>
      </c>
      <c r="C186" s="168" t="s">
        <v>497</v>
      </c>
      <c r="D186" s="61" t="s">
        <v>3288</v>
      </c>
      <c r="E186" s="116">
        <v>0.05</v>
      </c>
      <c r="F186" s="149" t="s">
        <v>135</v>
      </c>
      <c r="G186" s="149" t="s">
        <v>135</v>
      </c>
      <c r="H186" s="61" t="s">
        <v>39</v>
      </c>
      <c r="I186" s="168" t="s">
        <v>1239</v>
      </c>
      <c r="J186" s="61" t="s">
        <v>1157</v>
      </c>
      <c r="K186" s="61" t="s">
        <v>126</v>
      </c>
      <c r="L186" s="160"/>
      <c r="M186" s="169"/>
    </row>
    <row r="187" spans="1:13" x14ac:dyDescent="0.55000000000000004">
      <c r="A187" s="92" t="s">
        <v>1154</v>
      </c>
      <c r="B187" s="61" t="s">
        <v>1126</v>
      </c>
      <c r="C187" s="61" t="s">
        <v>121</v>
      </c>
      <c r="D187" s="61" t="s">
        <v>3288</v>
      </c>
      <c r="E187" s="116">
        <v>1</v>
      </c>
      <c r="F187" s="149" t="s">
        <v>135</v>
      </c>
      <c r="G187" s="148">
        <v>1</v>
      </c>
      <c r="H187" s="61" t="s">
        <v>39</v>
      </c>
      <c r="I187" s="168" t="s">
        <v>1237</v>
      </c>
      <c r="J187" s="61" t="s">
        <v>1155</v>
      </c>
      <c r="K187" s="61" t="s">
        <v>126</v>
      </c>
      <c r="L187" s="160" t="s">
        <v>1021</v>
      </c>
      <c r="M187" s="169"/>
    </row>
    <row r="188" spans="1:13" x14ac:dyDescent="0.55000000000000004">
      <c r="A188" s="92" t="s">
        <v>1154</v>
      </c>
      <c r="B188" s="61" t="s">
        <v>153</v>
      </c>
      <c r="C188" s="61" t="s">
        <v>127</v>
      </c>
      <c r="D188" s="61" t="s">
        <v>2994</v>
      </c>
      <c r="E188" s="116">
        <v>2</v>
      </c>
      <c r="F188" s="149" t="s">
        <v>138</v>
      </c>
      <c r="G188" s="148" t="s">
        <v>135</v>
      </c>
      <c r="H188" s="61" t="s">
        <v>39</v>
      </c>
      <c r="I188" s="168" t="s">
        <v>1237</v>
      </c>
      <c r="J188" s="61" t="s">
        <v>1155</v>
      </c>
      <c r="K188" s="61" t="s">
        <v>126</v>
      </c>
      <c r="L188" s="159"/>
      <c r="M188" s="169"/>
    </row>
    <row r="189" spans="1:13" x14ac:dyDescent="0.55000000000000004">
      <c r="A189" s="92" t="s">
        <v>1154</v>
      </c>
      <c r="B189" s="61" t="s">
        <v>160</v>
      </c>
      <c r="C189" s="168" t="s">
        <v>497</v>
      </c>
      <c r="D189" s="61" t="s">
        <v>3288</v>
      </c>
      <c r="E189" s="116">
        <v>7.0000000000000007E-2</v>
      </c>
      <c r="F189" s="149" t="s">
        <v>135</v>
      </c>
      <c r="G189" s="149" t="s">
        <v>135</v>
      </c>
      <c r="H189" s="61" t="s">
        <v>39</v>
      </c>
      <c r="I189" s="168" t="s">
        <v>1237</v>
      </c>
      <c r="J189" s="61" t="s">
        <v>1155</v>
      </c>
      <c r="K189" s="61" t="s">
        <v>126</v>
      </c>
      <c r="L189" s="160"/>
      <c r="M189" s="169"/>
    </row>
    <row r="190" spans="1:13" x14ac:dyDescent="0.55000000000000004">
      <c r="A190" s="92" t="s">
        <v>1153</v>
      </c>
      <c r="B190" s="61" t="s">
        <v>140</v>
      </c>
      <c r="C190" s="61" t="s">
        <v>121</v>
      </c>
      <c r="D190" s="61" t="s">
        <v>3288</v>
      </c>
      <c r="E190" s="116">
        <v>1</v>
      </c>
      <c r="F190" s="149" t="s">
        <v>135</v>
      </c>
      <c r="G190" s="149">
        <v>1</v>
      </c>
      <c r="H190" s="168" t="s">
        <v>39</v>
      </c>
      <c r="I190" s="168"/>
      <c r="J190" s="61" t="str">
        <f>A190</f>
        <v>[Agora] HIsarna® with CCS</v>
      </c>
      <c r="K190" s="61" t="s">
        <v>126</v>
      </c>
      <c r="L190" s="160" t="s">
        <v>1021</v>
      </c>
      <c r="M190" s="169"/>
    </row>
    <row r="191" spans="1:13" x14ac:dyDescent="0.55000000000000004">
      <c r="A191" s="92" t="s">
        <v>1153</v>
      </c>
      <c r="B191" s="61" t="s">
        <v>160</v>
      </c>
      <c r="C191" s="168" t="s">
        <v>497</v>
      </c>
      <c r="D191" s="61" t="s">
        <v>3288</v>
      </c>
      <c r="E191" s="116">
        <v>0.24</v>
      </c>
      <c r="F191" s="149" t="s">
        <v>135</v>
      </c>
      <c r="G191" s="149" t="s">
        <v>135</v>
      </c>
      <c r="H191" s="61" t="s">
        <v>39</v>
      </c>
      <c r="I191" s="168" t="s">
        <v>1239</v>
      </c>
      <c r="J191" s="61" t="str">
        <f>A191</f>
        <v>[Agora] HIsarna® with CCS</v>
      </c>
      <c r="K191" s="61" t="s">
        <v>126</v>
      </c>
      <c r="L191" s="160"/>
      <c r="M191" s="169"/>
    </row>
    <row r="192" spans="1:13" x14ac:dyDescent="0.55000000000000004">
      <c r="A192" s="92" t="s">
        <v>1151</v>
      </c>
      <c r="B192" s="61" t="s">
        <v>140</v>
      </c>
      <c r="C192" s="61" t="s">
        <v>121</v>
      </c>
      <c r="D192" s="61" t="s">
        <v>3288</v>
      </c>
      <c r="E192" s="116">
        <v>1</v>
      </c>
      <c r="F192" s="149" t="s">
        <v>135</v>
      </c>
      <c r="G192" s="148">
        <v>1</v>
      </c>
      <c r="H192" s="61" t="s">
        <v>39</v>
      </c>
      <c r="I192" s="168" t="s">
        <v>1236</v>
      </c>
      <c r="J192" s="61" t="s">
        <v>1152</v>
      </c>
      <c r="K192" s="61" t="s">
        <v>126</v>
      </c>
      <c r="L192" s="160" t="s">
        <v>1021</v>
      </c>
      <c r="M192" s="169"/>
    </row>
    <row r="193" spans="1:13" x14ac:dyDescent="0.55000000000000004">
      <c r="A193" s="92" t="s">
        <v>1151</v>
      </c>
      <c r="B193" s="61" t="s">
        <v>262</v>
      </c>
      <c r="C193" s="61" t="s">
        <v>127</v>
      </c>
      <c r="D193" s="61" t="s">
        <v>2994</v>
      </c>
      <c r="E193" s="116">
        <v>15</v>
      </c>
      <c r="F193" s="149" t="s">
        <v>138</v>
      </c>
      <c r="G193" s="148" t="s">
        <v>135</v>
      </c>
      <c r="H193" s="61" t="s">
        <v>39</v>
      </c>
      <c r="I193" s="168" t="s">
        <v>1236</v>
      </c>
      <c r="J193" s="61" t="s">
        <v>1152</v>
      </c>
      <c r="K193" s="61" t="s">
        <v>126</v>
      </c>
      <c r="L193" s="159"/>
      <c r="M193" s="169"/>
    </row>
    <row r="194" spans="1:13" x14ac:dyDescent="0.55000000000000004">
      <c r="A194" s="92" t="s">
        <v>1151</v>
      </c>
      <c r="B194" s="61" t="s">
        <v>160</v>
      </c>
      <c r="C194" s="168" t="s">
        <v>497</v>
      </c>
      <c r="D194" s="61" t="s">
        <v>3288</v>
      </c>
      <c r="E194" s="116">
        <v>1.8</v>
      </c>
      <c r="F194" s="149" t="s">
        <v>135</v>
      </c>
      <c r="G194" s="149" t="s">
        <v>135</v>
      </c>
      <c r="H194" s="61" t="s">
        <v>39</v>
      </c>
      <c r="I194" s="168" t="s">
        <v>1236</v>
      </c>
      <c r="J194" s="61" t="s">
        <v>1152</v>
      </c>
      <c r="K194" s="61" t="s">
        <v>126</v>
      </c>
      <c r="L194" s="160"/>
      <c r="M194" s="169"/>
    </row>
    <row r="195" spans="1:13" x14ac:dyDescent="0.55000000000000004">
      <c r="A195" s="92" t="s">
        <v>1150</v>
      </c>
      <c r="B195" s="61" t="s">
        <v>140</v>
      </c>
      <c r="C195" s="61" t="s">
        <v>121</v>
      </c>
      <c r="D195" s="61" t="s">
        <v>3288</v>
      </c>
      <c r="E195" s="116">
        <v>1</v>
      </c>
      <c r="F195" s="149" t="s">
        <v>135</v>
      </c>
      <c r="G195" s="149">
        <v>1</v>
      </c>
      <c r="H195" s="168" t="s">
        <v>39</v>
      </c>
      <c r="I195" s="168"/>
      <c r="J195" s="61" t="str">
        <f>A195</f>
        <v>[Agora] Iron electrolysis and smelting in electric arc furnaces</v>
      </c>
      <c r="K195" s="61" t="s">
        <v>126</v>
      </c>
      <c r="L195" s="160" t="s">
        <v>1021</v>
      </c>
      <c r="M195" s="169"/>
    </row>
    <row r="196" spans="1:13" x14ac:dyDescent="0.55000000000000004">
      <c r="A196" s="92" t="s">
        <v>1150</v>
      </c>
      <c r="B196" s="61" t="s">
        <v>160</v>
      </c>
      <c r="C196" s="168" t="s">
        <v>497</v>
      </c>
      <c r="D196" s="61" t="s">
        <v>3288</v>
      </c>
      <c r="E196" s="116">
        <v>0.22</v>
      </c>
      <c r="F196" s="149" t="s">
        <v>135</v>
      </c>
      <c r="G196" s="149" t="s">
        <v>135</v>
      </c>
      <c r="H196" s="61" t="s">
        <v>39</v>
      </c>
      <c r="I196" s="168" t="s">
        <v>1239</v>
      </c>
      <c r="J196" s="61" t="str">
        <f>A196</f>
        <v>[Agora] Iron electrolysis and smelting in electric arc furnaces</v>
      </c>
      <c r="K196" s="61" t="s">
        <v>126</v>
      </c>
      <c r="L196" s="160"/>
      <c r="M196" s="169"/>
    </row>
    <row r="197" spans="1:13" x14ac:dyDescent="0.55000000000000004">
      <c r="A197" s="92" t="s">
        <v>1148</v>
      </c>
      <c r="B197" s="61" t="s">
        <v>140</v>
      </c>
      <c r="C197" s="61" t="s">
        <v>121</v>
      </c>
      <c r="D197" s="61" t="s">
        <v>3288</v>
      </c>
      <c r="E197" s="116">
        <v>1</v>
      </c>
      <c r="F197" s="149" t="s">
        <v>135</v>
      </c>
      <c r="G197" s="149">
        <v>1</v>
      </c>
      <c r="H197" s="168" t="s">
        <v>39</v>
      </c>
      <c r="I197" s="168" t="s">
        <v>1236</v>
      </c>
      <c r="J197" s="61" t="s">
        <v>1149</v>
      </c>
      <c r="K197" s="61" t="s">
        <v>126</v>
      </c>
      <c r="L197" s="160" t="s">
        <v>1021</v>
      </c>
      <c r="M197" s="169"/>
    </row>
    <row r="198" spans="1:13" x14ac:dyDescent="0.55000000000000004">
      <c r="A198" s="92" t="s">
        <v>1148</v>
      </c>
      <c r="B198" s="61" t="s">
        <v>171</v>
      </c>
      <c r="C198" s="61" t="s">
        <v>127</v>
      </c>
      <c r="D198" s="61" t="s">
        <v>2994</v>
      </c>
      <c r="E198" s="116">
        <v>11</v>
      </c>
      <c r="F198" s="149" t="s">
        <v>138</v>
      </c>
      <c r="G198" s="148" t="s">
        <v>135</v>
      </c>
      <c r="H198" s="61" t="s">
        <v>39</v>
      </c>
      <c r="I198" s="168" t="s">
        <v>1238</v>
      </c>
      <c r="J198" s="61" t="s">
        <v>1149</v>
      </c>
      <c r="K198" s="61" t="s">
        <v>126</v>
      </c>
      <c r="L198" s="159"/>
      <c r="M198" s="169"/>
    </row>
    <row r="199" spans="1:13" x14ac:dyDescent="0.55000000000000004">
      <c r="A199" s="92" t="s">
        <v>1148</v>
      </c>
      <c r="B199" s="61" t="s">
        <v>153</v>
      </c>
      <c r="C199" s="61" t="s">
        <v>127</v>
      </c>
      <c r="D199" s="61" t="s">
        <v>2994</v>
      </c>
      <c r="E199" s="116">
        <v>2</v>
      </c>
      <c r="F199" s="149" t="s">
        <v>138</v>
      </c>
      <c r="G199" s="148" t="s">
        <v>135</v>
      </c>
      <c r="H199" s="61" t="s">
        <v>39</v>
      </c>
      <c r="I199" s="168" t="s">
        <v>1238</v>
      </c>
      <c r="J199" s="61" t="s">
        <v>1149</v>
      </c>
      <c r="K199" s="61" t="s">
        <v>126</v>
      </c>
      <c r="L199" s="159"/>
      <c r="M199" s="169"/>
    </row>
    <row r="200" spans="1:13" x14ac:dyDescent="0.55000000000000004">
      <c r="A200" s="92" t="s">
        <v>1148</v>
      </c>
      <c r="B200" s="61" t="s">
        <v>160</v>
      </c>
      <c r="C200" s="168" t="s">
        <v>497</v>
      </c>
      <c r="D200" s="61" t="s">
        <v>3288</v>
      </c>
      <c r="E200" s="116">
        <v>0.5</v>
      </c>
      <c r="F200" s="149" t="s">
        <v>135</v>
      </c>
      <c r="G200" s="149" t="s">
        <v>135</v>
      </c>
      <c r="H200" s="61" t="s">
        <v>39</v>
      </c>
      <c r="I200" s="168" t="s">
        <v>1236</v>
      </c>
      <c r="J200" s="61" t="s">
        <v>1149</v>
      </c>
      <c r="K200" s="61" t="s">
        <v>126</v>
      </c>
      <c r="L200" s="160"/>
      <c r="M200" s="169"/>
    </row>
    <row r="201" spans="1:13" x14ac:dyDescent="0.55000000000000004">
      <c r="A201" s="101" t="s">
        <v>1143</v>
      </c>
      <c r="B201" s="61" t="s">
        <v>1138</v>
      </c>
      <c r="C201" s="61" t="s">
        <v>121</v>
      </c>
      <c r="D201" s="61" t="s">
        <v>3288</v>
      </c>
      <c r="E201" s="119">
        <v>1</v>
      </c>
      <c r="F201" s="148" t="s">
        <v>122</v>
      </c>
      <c r="G201" s="148">
        <v>1</v>
      </c>
      <c r="H201" s="61" t="s">
        <v>39</v>
      </c>
      <c r="I201" s="61" t="s">
        <v>535</v>
      </c>
      <c r="J201" s="62" t="s">
        <v>1144</v>
      </c>
      <c r="K201" s="61" t="s">
        <v>831</v>
      </c>
      <c r="L201" s="159">
        <v>7403</v>
      </c>
      <c r="M201" s="169"/>
    </row>
    <row r="202" spans="1:13" x14ac:dyDescent="0.55000000000000004">
      <c r="A202" s="101" t="s">
        <v>1143</v>
      </c>
      <c r="B202" s="61" t="s">
        <v>153</v>
      </c>
      <c r="C202" s="61" t="s">
        <v>127</v>
      </c>
      <c r="D202" s="61" t="s">
        <v>2994</v>
      </c>
      <c r="E202" s="119">
        <v>19.2</v>
      </c>
      <c r="F202" s="148" t="s">
        <v>130</v>
      </c>
      <c r="G202" s="148" t="s">
        <v>122</v>
      </c>
      <c r="H202" s="61" t="s">
        <v>39</v>
      </c>
      <c r="I202" s="61" t="s">
        <v>535</v>
      </c>
      <c r="J202" s="62" t="s">
        <v>1144</v>
      </c>
      <c r="K202" s="61" t="s">
        <v>831</v>
      </c>
      <c r="L202" s="159"/>
      <c r="M202" s="169"/>
    </row>
    <row r="203" spans="1:13" x14ac:dyDescent="0.55000000000000004">
      <c r="A203" s="101" t="s">
        <v>1143</v>
      </c>
      <c r="B203" s="61" t="s">
        <v>1145</v>
      </c>
      <c r="C203" s="61" t="s">
        <v>125</v>
      </c>
      <c r="D203" s="61" t="s">
        <v>3288</v>
      </c>
      <c r="E203" s="119">
        <v>2.08</v>
      </c>
      <c r="F203" s="148" t="s">
        <v>122</v>
      </c>
      <c r="G203" s="148" t="s">
        <v>122</v>
      </c>
      <c r="H203" s="61" t="s">
        <v>39</v>
      </c>
      <c r="I203" s="61" t="s">
        <v>535</v>
      </c>
      <c r="J203" s="62" t="s">
        <v>1144</v>
      </c>
      <c r="K203" s="61" t="s">
        <v>831</v>
      </c>
      <c r="L203" s="159"/>
      <c r="M203" s="169"/>
    </row>
    <row r="204" spans="1:13" x14ac:dyDescent="0.55000000000000004">
      <c r="A204" s="101" t="s">
        <v>1143</v>
      </c>
      <c r="B204" s="61" t="s">
        <v>154</v>
      </c>
      <c r="C204" s="61" t="s">
        <v>132</v>
      </c>
      <c r="D204" s="61" t="s">
        <v>3288</v>
      </c>
      <c r="E204" s="119">
        <v>14.2</v>
      </c>
      <c r="F204" s="148" t="s">
        <v>122</v>
      </c>
      <c r="G204" s="148" t="s">
        <v>122</v>
      </c>
      <c r="H204" s="61" t="s">
        <v>39</v>
      </c>
      <c r="I204" s="61" t="s">
        <v>535</v>
      </c>
      <c r="J204" s="62" t="s">
        <v>1144</v>
      </c>
      <c r="K204" s="61" t="s">
        <v>831</v>
      </c>
      <c r="L204" s="159"/>
      <c r="M204" s="169"/>
    </row>
    <row r="205" spans="1:13" x14ac:dyDescent="0.55000000000000004">
      <c r="A205" s="101" t="s">
        <v>1143</v>
      </c>
      <c r="B205" s="61" t="s">
        <v>1140</v>
      </c>
      <c r="C205" s="61" t="s">
        <v>125</v>
      </c>
      <c r="D205" s="61" t="s">
        <v>3288</v>
      </c>
      <c r="E205" s="119">
        <v>1.25</v>
      </c>
      <c r="F205" s="148" t="s">
        <v>122</v>
      </c>
      <c r="G205" s="148" t="s">
        <v>122</v>
      </c>
      <c r="H205" s="61" t="s">
        <v>39</v>
      </c>
      <c r="I205" s="61" t="s">
        <v>535</v>
      </c>
      <c r="J205" s="62" t="s">
        <v>1144</v>
      </c>
      <c r="K205" s="61" t="s">
        <v>831</v>
      </c>
      <c r="L205" s="159"/>
      <c r="M205" s="169"/>
    </row>
    <row r="206" spans="1:13" x14ac:dyDescent="0.55000000000000004">
      <c r="A206" s="101" t="s">
        <v>1143</v>
      </c>
      <c r="B206" s="61" t="s">
        <v>148</v>
      </c>
      <c r="C206" s="61" t="s">
        <v>125</v>
      </c>
      <c r="D206" s="61" t="s">
        <v>3288</v>
      </c>
      <c r="E206" s="119">
        <v>0.83299999999999996</v>
      </c>
      <c r="F206" s="148" t="s">
        <v>122</v>
      </c>
      <c r="G206" s="148" t="s">
        <v>122</v>
      </c>
      <c r="H206" s="61" t="s">
        <v>39</v>
      </c>
      <c r="I206" s="61" t="s">
        <v>535</v>
      </c>
      <c r="J206" s="62" t="s">
        <v>1144</v>
      </c>
      <c r="K206" s="61" t="s">
        <v>831</v>
      </c>
      <c r="L206" s="159"/>
      <c r="M206" s="169"/>
    </row>
    <row r="207" spans="1:13" x14ac:dyDescent="0.55000000000000004">
      <c r="A207" s="101" t="s">
        <v>1143</v>
      </c>
      <c r="B207" s="61" t="s">
        <v>1146</v>
      </c>
      <c r="C207" s="61" t="s">
        <v>125</v>
      </c>
      <c r="D207" s="61" t="s">
        <v>3288</v>
      </c>
      <c r="E207" s="119">
        <v>3.3300000000000003E-2</v>
      </c>
      <c r="F207" s="148" t="s">
        <v>122</v>
      </c>
      <c r="G207" s="148" t="s">
        <v>122</v>
      </c>
      <c r="H207" s="61" t="s">
        <v>39</v>
      </c>
      <c r="I207" s="61" t="s">
        <v>535</v>
      </c>
      <c r="J207" s="62" t="s">
        <v>1144</v>
      </c>
      <c r="K207" s="61" t="s">
        <v>831</v>
      </c>
      <c r="L207" s="159"/>
      <c r="M207" s="169"/>
    </row>
    <row r="208" spans="1:13" x14ac:dyDescent="0.55000000000000004">
      <c r="A208" s="101" t="s">
        <v>1143</v>
      </c>
      <c r="B208" s="61" t="s">
        <v>1142</v>
      </c>
      <c r="C208" s="61" t="s">
        <v>348</v>
      </c>
      <c r="D208" s="61" t="s">
        <v>3288</v>
      </c>
      <c r="E208" s="119">
        <v>4.17</v>
      </c>
      <c r="F208" s="148" t="s">
        <v>122</v>
      </c>
      <c r="G208" s="148" t="s">
        <v>122</v>
      </c>
      <c r="H208" s="61" t="s">
        <v>39</v>
      </c>
      <c r="I208" s="61" t="s">
        <v>535</v>
      </c>
      <c r="J208" s="62" t="s">
        <v>1144</v>
      </c>
      <c r="K208" s="61" t="s">
        <v>831</v>
      </c>
      <c r="L208" s="159"/>
      <c r="M208" s="169"/>
    </row>
    <row r="209" spans="1:13" x14ac:dyDescent="0.55000000000000004">
      <c r="A209" s="101" t="s">
        <v>1143</v>
      </c>
      <c r="B209" s="61" t="s">
        <v>181</v>
      </c>
      <c r="C209" s="61" t="s">
        <v>163</v>
      </c>
      <c r="D209" s="61" t="s">
        <v>3288</v>
      </c>
      <c r="E209" s="119">
        <v>21.4</v>
      </c>
      <c r="F209" s="148" t="s">
        <v>122</v>
      </c>
      <c r="G209" s="148" t="s">
        <v>122</v>
      </c>
      <c r="H209" s="61" t="s">
        <v>39</v>
      </c>
      <c r="I209" s="61" t="s">
        <v>535</v>
      </c>
      <c r="J209" s="62" t="s">
        <v>1144</v>
      </c>
      <c r="K209" s="61" t="s">
        <v>831</v>
      </c>
      <c r="L209" s="159"/>
      <c r="M209" s="169"/>
    </row>
    <row r="210" spans="1:13" x14ac:dyDescent="0.55000000000000004">
      <c r="A210" s="101" t="s">
        <v>1143</v>
      </c>
      <c r="B210" s="61" t="s">
        <v>556</v>
      </c>
      <c r="C210" s="61" t="s">
        <v>156</v>
      </c>
      <c r="D210" s="61" t="s">
        <v>3288</v>
      </c>
      <c r="E210" s="119">
        <v>0.125</v>
      </c>
      <c r="F210" s="148" t="s">
        <v>122</v>
      </c>
      <c r="G210" s="148" t="s">
        <v>122</v>
      </c>
      <c r="H210" s="61" t="s">
        <v>39</v>
      </c>
      <c r="I210" s="61" t="s">
        <v>535</v>
      </c>
      <c r="J210" s="62" t="s">
        <v>1144</v>
      </c>
      <c r="K210" s="61" t="s">
        <v>831</v>
      </c>
      <c r="L210" s="159">
        <v>262019</v>
      </c>
      <c r="M210" s="169"/>
    </row>
    <row r="211" spans="1:13" x14ac:dyDescent="0.55000000000000004">
      <c r="A211" s="101" t="s">
        <v>1137</v>
      </c>
      <c r="B211" s="61" t="s">
        <v>1138</v>
      </c>
      <c r="C211" s="61" t="s">
        <v>121</v>
      </c>
      <c r="D211" s="61" t="s">
        <v>3288</v>
      </c>
      <c r="E211" s="119">
        <v>1</v>
      </c>
      <c r="F211" s="148" t="s">
        <v>122</v>
      </c>
      <c r="G211" s="148">
        <v>1</v>
      </c>
      <c r="H211" s="61" t="s">
        <v>39</v>
      </c>
      <c r="I211" s="61" t="s">
        <v>535</v>
      </c>
      <c r="J211" s="62" t="s">
        <v>1139</v>
      </c>
      <c r="K211" s="61" t="s">
        <v>831</v>
      </c>
      <c r="L211" s="159">
        <v>7403</v>
      </c>
      <c r="M211" s="169"/>
    </row>
    <row r="212" spans="1:13" x14ac:dyDescent="0.55000000000000004">
      <c r="A212" s="101" t="s">
        <v>1137</v>
      </c>
      <c r="B212" s="61" t="s">
        <v>153</v>
      </c>
      <c r="C212" s="61" t="s">
        <v>127</v>
      </c>
      <c r="D212" s="61" t="s">
        <v>2994</v>
      </c>
      <c r="E212" s="119">
        <v>16.399999999999999</v>
      </c>
      <c r="F212" s="148" t="s">
        <v>130</v>
      </c>
      <c r="G212" s="148" t="s">
        <v>122</v>
      </c>
      <c r="H212" s="61" t="s">
        <v>39</v>
      </c>
      <c r="I212" s="61" t="s">
        <v>535</v>
      </c>
      <c r="J212" s="62" t="s">
        <v>1139</v>
      </c>
      <c r="K212" s="61" t="s">
        <v>831</v>
      </c>
      <c r="L212" s="159"/>
      <c r="M212" s="169"/>
    </row>
    <row r="213" spans="1:13" x14ac:dyDescent="0.55000000000000004">
      <c r="A213" s="101" t="s">
        <v>1137</v>
      </c>
      <c r="B213" s="61" t="s">
        <v>154</v>
      </c>
      <c r="C213" s="61" t="s">
        <v>132</v>
      </c>
      <c r="D213" s="61" t="s">
        <v>3288</v>
      </c>
      <c r="E213" s="119">
        <v>35.700000000000003</v>
      </c>
      <c r="F213" s="148" t="s">
        <v>122</v>
      </c>
      <c r="G213" s="148" t="s">
        <v>122</v>
      </c>
      <c r="H213" s="61" t="s">
        <v>39</v>
      </c>
      <c r="I213" s="61" t="s">
        <v>535</v>
      </c>
      <c r="J213" s="62" t="s">
        <v>1139</v>
      </c>
      <c r="K213" s="61" t="s">
        <v>831</v>
      </c>
      <c r="L213" s="159"/>
      <c r="M213" s="169"/>
    </row>
    <row r="214" spans="1:13" x14ac:dyDescent="0.55000000000000004">
      <c r="A214" s="101" t="s">
        <v>1137</v>
      </c>
      <c r="B214" s="61" t="s">
        <v>1140</v>
      </c>
      <c r="C214" s="61" t="s">
        <v>125</v>
      </c>
      <c r="D214" s="61" t="s">
        <v>3288</v>
      </c>
      <c r="E214" s="119">
        <v>7.86</v>
      </c>
      <c r="F214" s="148" t="s">
        <v>122</v>
      </c>
      <c r="G214" s="148" t="s">
        <v>122</v>
      </c>
      <c r="H214" s="61" t="s">
        <v>39</v>
      </c>
      <c r="I214" s="61" t="s">
        <v>535</v>
      </c>
      <c r="J214" s="62" t="s">
        <v>1139</v>
      </c>
      <c r="K214" s="61" t="s">
        <v>831</v>
      </c>
      <c r="L214" s="159"/>
      <c r="M214" s="169"/>
    </row>
    <row r="215" spans="1:13" x14ac:dyDescent="0.55000000000000004">
      <c r="A215" s="101" t="s">
        <v>1137</v>
      </c>
      <c r="B215" s="61" t="s">
        <v>1141</v>
      </c>
      <c r="C215" s="61" t="s">
        <v>125</v>
      </c>
      <c r="D215" s="61" t="s">
        <v>3288</v>
      </c>
      <c r="E215" s="119">
        <v>5</v>
      </c>
      <c r="F215" s="148" t="s">
        <v>122</v>
      </c>
      <c r="G215" s="148" t="s">
        <v>122</v>
      </c>
      <c r="H215" s="61" t="s">
        <v>39</v>
      </c>
      <c r="I215" s="61" t="s">
        <v>535</v>
      </c>
      <c r="J215" s="62" t="s">
        <v>1139</v>
      </c>
      <c r="K215" s="61" t="s">
        <v>831</v>
      </c>
      <c r="L215" s="159"/>
      <c r="M215" s="169"/>
    </row>
    <row r="216" spans="1:13" x14ac:dyDescent="0.55000000000000004">
      <c r="A216" s="101" t="s">
        <v>1137</v>
      </c>
      <c r="B216" s="61" t="s">
        <v>181</v>
      </c>
      <c r="C216" s="61" t="s">
        <v>163</v>
      </c>
      <c r="D216" s="61" t="s">
        <v>3288</v>
      </c>
      <c r="E216" s="119">
        <v>54.7</v>
      </c>
      <c r="F216" s="148" t="s">
        <v>122</v>
      </c>
      <c r="G216" s="148" t="s">
        <v>122</v>
      </c>
      <c r="H216" s="61" t="s">
        <v>39</v>
      </c>
      <c r="I216" s="61" t="s">
        <v>535</v>
      </c>
      <c r="J216" s="62" t="s">
        <v>1139</v>
      </c>
      <c r="K216" s="61" t="s">
        <v>831</v>
      </c>
      <c r="L216" s="159"/>
      <c r="M216" s="169"/>
    </row>
    <row r="217" spans="1:13" x14ac:dyDescent="0.55000000000000004">
      <c r="A217" s="101" t="s">
        <v>1137</v>
      </c>
      <c r="B217" s="61" t="s">
        <v>1142</v>
      </c>
      <c r="C217" s="61" t="s">
        <v>348</v>
      </c>
      <c r="D217" s="61" t="s">
        <v>3288</v>
      </c>
      <c r="E217" s="119">
        <v>7.14</v>
      </c>
      <c r="F217" s="148" t="s">
        <v>122</v>
      </c>
      <c r="G217" s="148" t="s">
        <v>122</v>
      </c>
      <c r="H217" s="61" t="s">
        <v>39</v>
      </c>
      <c r="I217" s="61" t="s">
        <v>535</v>
      </c>
      <c r="J217" s="62" t="s">
        <v>1139</v>
      </c>
      <c r="K217" s="61" t="s">
        <v>831</v>
      </c>
      <c r="L217" s="159"/>
      <c r="M217" s="169"/>
    </row>
    <row r="218" spans="1:13" x14ac:dyDescent="0.55000000000000004">
      <c r="A218" s="92" t="s">
        <v>1136</v>
      </c>
      <c r="B218" s="61" t="s">
        <v>140</v>
      </c>
      <c r="C218" s="61" t="s">
        <v>121</v>
      </c>
      <c r="D218" s="168" t="s">
        <v>3288</v>
      </c>
      <c r="E218" s="116">
        <v>1</v>
      </c>
      <c r="F218" s="149" t="s">
        <v>135</v>
      </c>
      <c r="G218" s="149">
        <v>1</v>
      </c>
      <c r="H218" s="168" t="s">
        <v>39</v>
      </c>
      <c r="I218" s="61" t="s">
        <v>535</v>
      </c>
      <c r="J218" s="92" t="s">
        <v>1136</v>
      </c>
      <c r="K218" s="61" t="s">
        <v>535</v>
      </c>
      <c r="L218" s="160" t="s">
        <v>1021</v>
      </c>
      <c r="M218" s="169"/>
    </row>
    <row r="219" spans="1:13" x14ac:dyDescent="0.55000000000000004">
      <c r="A219" s="92" t="s">
        <v>1136</v>
      </c>
      <c r="B219" s="61" t="s">
        <v>1134</v>
      </c>
      <c r="C219" s="61" t="s">
        <v>127</v>
      </c>
      <c r="D219" s="168" t="s">
        <v>2994</v>
      </c>
      <c r="E219" s="120">
        <v>23</v>
      </c>
      <c r="F219" s="148" t="s">
        <v>138</v>
      </c>
      <c r="G219" s="148" t="s">
        <v>135</v>
      </c>
      <c r="H219" s="168" t="s">
        <v>39</v>
      </c>
      <c r="I219" s="61" t="s">
        <v>535</v>
      </c>
      <c r="J219" s="92" t="s">
        <v>1136</v>
      </c>
      <c r="K219" s="61" t="s">
        <v>535</v>
      </c>
      <c r="L219" s="161"/>
      <c r="M219" s="169"/>
    </row>
    <row r="220" spans="1:13" x14ac:dyDescent="0.55000000000000004">
      <c r="A220" s="92" t="s">
        <v>1136</v>
      </c>
      <c r="B220" s="113" t="s">
        <v>160</v>
      </c>
      <c r="C220" s="113" t="s">
        <v>247</v>
      </c>
      <c r="D220" s="114" t="s">
        <v>3288</v>
      </c>
      <c r="E220" s="146">
        <v>2.1757999999999997</v>
      </c>
      <c r="F220" s="150" t="s">
        <v>3286</v>
      </c>
      <c r="G220" s="150" t="s">
        <v>135</v>
      </c>
      <c r="H220" s="113" t="s">
        <v>2088</v>
      </c>
      <c r="I220" s="113"/>
      <c r="J220" s="92" t="s">
        <v>1136</v>
      </c>
      <c r="K220" s="113"/>
      <c r="L220" s="162"/>
      <c r="M220" s="169"/>
    </row>
    <row r="221" spans="1:13" x14ac:dyDescent="0.55000000000000004">
      <c r="A221" s="92" t="s">
        <v>1136</v>
      </c>
      <c r="B221" s="61" t="s">
        <v>316</v>
      </c>
      <c r="C221" s="168" t="s">
        <v>132</v>
      </c>
      <c r="D221" s="168" t="s">
        <v>3288</v>
      </c>
      <c r="E221" s="116">
        <v>1.6</v>
      </c>
      <c r="F221" s="149" t="s">
        <v>135</v>
      </c>
      <c r="G221" s="149" t="s">
        <v>135</v>
      </c>
      <c r="H221" s="168" t="s">
        <v>39</v>
      </c>
      <c r="I221" s="61" t="s">
        <v>535</v>
      </c>
      <c r="J221" s="92" t="s">
        <v>1136</v>
      </c>
      <c r="K221" s="61" t="s">
        <v>535</v>
      </c>
      <c r="L221" s="160"/>
      <c r="M221" s="169"/>
    </row>
    <row r="222" spans="1:13" x14ac:dyDescent="0.55000000000000004">
      <c r="A222" s="92" t="s">
        <v>1135</v>
      </c>
      <c r="B222" s="61" t="s">
        <v>140</v>
      </c>
      <c r="C222" s="61" t="s">
        <v>121</v>
      </c>
      <c r="D222" s="168" t="s">
        <v>3288</v>
      </c>
      <c r="E222" s="116">
        <v>1</v>
      </c>
      <c r="F222" s="149" t="s">
        <v>135</v>
      </c>
      <c r="G222" s="149">
        <v>1</v>
      </c>
      <c r="H222" s="168" t="s">
        <v>39</v>
      </c>
      <c r="I222" s="61" t="s">
        <v>535</v>
      </c>
      <c r="J222" s="92" t="s">
        <v>1135</v>
      </c>
      <c r="K222" s="61" t="s">
        <v>535</v>
      </c>
      <c r="L222" s="160" t="s">
        <v>1021</v>
      </c>
      <c r="M222" s="169"/>
    </row>
    <row r="223" spans="1:13" x14ac:dyDescent="0.55000000000000004">
      <c r="A223" s="92" t="s">
        <v>1135</v>
      </c>
      <c r="B223" s="61" t="s">
        <v>1134</v>
      </c>
      <c r="C223" s="61" t="s">
        <v>127</v>
      </c>
      <c r="D223" s="168" t="s">
        <v>2994</v>
      </c>
      <c r="E223" s="120">
        <v>18</v>
      </c>
      <c r="F223" s="148" t="s">
        <v>138</v>
      </c>
      <c r="G223" s="148" t="s">
        <v>135</v>
      </c>
      <c r="H223" s="168" t="s">
        <v>39</v>
      </c>
      <c r="I223" s="61" t="s">
        <v>535</v>
      </c>
      <c r="J223" s="92" t="s">
        <v>1135</v>
      </c>
      <c r="K223" s="61" t="s">
        <v>535</v>
      </c>
      <c r="L223" s="161"/>
      <c r="M223" s="169"/>
    </row>
    <row r="224" spans="1:13" x14ac:dyDescent="0.55000000000000004">
      <c r="A224" s="92" t="s">
        <v>1135</v>
      </c>
      <c r="B224" s="61" t="s">
        <v>316</v>
      </c>
      <c r="C224" s="168" t="s">
        <v>132</v>
      </c>
      <c r="D224" s="168" t="s">
        <v>3288</v>
      </c>
      <c r="E224" s="116">
        <v>1.6</v>
      </c>
      <c r="F224" s="149" t="s">
        <v>135</v>
      </c>
      <c r="G224" s="149" t="s">
        <v>135</v>
      </c>
      <c r="H224" s="168" t="s">
        <v>39</v>
      </c>
      <c r="I224" s="61" t="s">
        <v>535</v>
      </c>
      <c r="J224" s="92" t="s">
        <v>1135</v>
      </c>
      <c r="K224" s="61" t="s">
        <v>535</v>
      </c>
      <c r="L224" s="160"/>
      <c r="M224" s="169"/>
    </row>
    <row r="225" spans="1:13" x14ac:dyDescent="0.55000000000000004">
      <c r="A225" s="92" t="s">
        <v>1135</v>
      </c>
      <c r="B225" s="61" t="s">
        <v>160</v>
      </c>
      <c r="C225" s="168" t="s">
        <v>247</v>
      </c>
      <c r="D225" s="168" t="s">
        <v>3288</v>
      </c>
      <c r="E225" s="116">
        <v>1.7027999999999999</v>
      </c>
      <c r="F225" s="149" t="s">
        <v>3286</v>
      </c>
      <c r="G225" s="149" t="s">
        <v>135</v>
      </c>
      <c r="H225" s="168" t="s">
        <v>2088</v>
      </c>
      <c r="I225" s="61"/>
      <c r="J225" s="92" t="s">
        <v>1135</v>
      </c>
      <c r="K225" s="61"/>
      <c r="L225" s="160"/>
      <c r="M225" s="169"/>
    </row>
    <row r="226" spans="1:13" x14ac:dyDescent="0.55000000000000004">
      <c r="A226" s="65" t="s">
        <v>1133</v>
      </c>
      <c r="B226" s="61" t="s">
        <v>140</v>
      </c>
      <c r="C226" s="61" t="s">
        <v>121</v>
      </c>
      <c r="D226" s="168" t="s">
        <v>3288</v>
      </c>
      <c r="E226" s="116">
        <v>1</v>
      </c>
      <c r="F226" s="149" t="s">
        <v>135</v>
      </c>
      <c r="G226" s="149">
        <v>1</v>
      </c>
      <c r="H226" s="168" t="s">
        <v>7</v>
      </c>
      <c r="I226" s="61" t="s">
        <v>535</v>
      </c>
      <c r="J226" s="65" t="s">
        <v>1133</v>
      </c>
      <c r="K226" s="61" t="s">
        <v>535</v>
      </c>
      <c r="L226" s="160" t="s">
        <v>1021</v>
      </c>
      <c r="M226" s="169"/>
    </row>
    <row r="227" spans="1:13" x14ac:dyDescent="0.55000000000000004">
      <c r="A227" s="65" t="s">
        <v>1133</v>
      </c>
      <c r="B227" s="61" t="s">
        <v>1134</v>
      </c>
      <c r="C227" s="61" t="s">
        <v>127</v>
      </c>
      <c r="D227" s="168" t="s">
        <v>2994</v>
      </c>
      <c r="E227" s="120">
        <v>21.599999999999998</v>
      </c>
      <c r="F227" s="148" t="s">
        <v>138</v>
      </c>
      <c r="G227" s="148" t="s">
        <v>135</v>
      </c>
      <c r="H227" s="168" t="s">
        <v>39</v>
      </c>
      <c r="I227" s="61" t="s">
        <v>535</v>
      </c>
      <c r="J227" s="65" t="s">
        <v>1133</v>
      </c>
      <c r="K227" s="61" t="s">
        <v>535</v>
      </c>
      <c r="L227" s="161"/>
      <c r="M227" s="169"/>
    </row>
    <row r="228" spans="1:13" x14ac:dyDescent="0.55000000000000004">
      <c r="A228" s="65" t="s">
        <v>1133</v>
      </c>
      <c r="B228" s="61" t="s">
        <v>316</v>
      </c>
      <c r="C228" s="168" t="s">
        <v>132</v>
      </c>
      <c r="D228" s="168" t="s">
        <v>3288</v>
      </c>
      <c r="E228" s="116">
        <v>1.6</v>
      </c>
      <c r="F228" s="149" t="s">
        <v>135</v>
      </c>
      <c r="G228" s="149" t="s">
        <v>135</v>
      </c>
      <c r="H228" s="168" t="s">
        <v>39</v>
      </c>
      <c r="I228" s="61" t="s">
        <v>535</v>
      </c>
      <c r="J228" s="65" t="s">
        <v>1133</v>
      </c>
      <c r="K228" s="61" t="s">
        <v>535</v>
      </c>
      <c r="L228" s="160"/>
      <c r="M228" s="169"/>
    </row>
    <row r="229" spans="1:13" x14ac:dyDescent="0.55000000000000004">
      <c r="A229" s="65" t="s">
        <v>1133</v>
      </c>
      <c r="B229" s="61" t="s">
        <v>160</v>
      </c>
      <c r="C229" s="168" t="s">
        <v>156</v>
      </c>
      <c r="D229" s="168" t="s">
        <v>3288</v>
      </c>
      <c r="E229" s="116">
        <v>0.71</v>
      </c>
      <c r="F229" s="149" t="s">
        <v>135</v>
      </c>
      <c r="G229" s="149" t="s">
        <v>135</v>
      </c>
      <c r="H229" s="168" t="s">
        <v>39</v>
      </c>
      <c r="I229" s="61" t="s">
        <v>535</v>
      </c>
      <c r="J229" s="65" t="s">
        <v>1133</v>
      </c>
      <c r="K229" s="61" t="s">
        <v>535</v>
      </c>
      <c r="L229" s="160"/>
      <c r="M229" s="169"/>
    </row>
    <row r="230" spans="1:13" x14ac:dyDescent="0.55000000000000004">
      <c r="A230" s="65" t="s">
        <v>1133</v>
      </c>
      <c r="B230" s="61" t="s">
        <v>160</v>
      </c>
      <c r="C230" s="168" t="s">
        <v>247</v>
      </c>
      <c r="D230" s="168" t="s">
        <v>3288</v>
      </c>
      <c r="E230" s="116">
        <v>2.0433599999999998</v>
      </c>
      <c r="F230" s="149" t="s">
        <v>3286</v>
      </c>
      <c r="G230" s="149" t="s">
        <v>135</v>
      </c>
      <c r="H230" s="168" t="s">
        <v>2088</v>
      </c>
      <c r="I230" s="61"/>
      <c r="J230" s="65" t="s">
        <v>1133</v>
      </c>
      <c r="K230" s="61"/>
      <c r="L230" s="160"/>
      <c r="M230" s="169"/>
    </row>
    <row r="231" spans="1:13" x14ac:dyDescent="0.55000000000000004">
      <c r="A231" s="92" t="s">
        <v>1132</v>
      </c>
      <c r="B231" s="61" t="s">
        <v>140</v>
      </c>
      <c r="C231" s="61" t="s">
        <v>121</v>
      </c>
      <c r="D231" s="168" t="s">
        <v>3288</v>
      </c>
      <c r="E231" s="116">
        <v>1</v>
      </c>
      <c r="F231" s="149" t="s">
        <v>135</v>
      </c>
      <c r="G231" s="149">
        <v>1</v>
      </c>
      <c r="H231" s="168" t="s">
        <v>7</v>
      </c>
      <c r="I231" s="61" t="s">
        <v>535</v>
      </c>
      <c r="J231" s="92" t="s">
        <v>1132</v>
      </c>
      <c r="K231" s="61" t="s">
        <v>535</v>
      </c>
      <c r="L231" s="160" t="s">
        <v>1021</v>
      </c>
      <c r="M231" s="169"/>
    </row>
    <row r="232" spans="1:13" x14ac:dyDescent="0.55000000000000004">
      <c r="A232" s="92" t="s">
        <v>1132</v>
      </c>
      <c r="B232" s="61" t="s">
        <v>297</v>
      </c>
      <c r="C232" s="61" t="s">
        <v>127</v>
      </c>
      <c r="D232" s="168" t="s">
        <v>2994</v>
      </c>
      <c r="E232" s="120">
        <v>24.8</v>
      </c>
      <c r="F232" s="148" t="s">
        <v>138</v>
      </c>
      <c r="G232" s="148" t="s">
        <v>135</v>
      </c>
      <c r="H232" s="168" t="s">
        <v>39</v>
      </c>
      <c r="I232" s="61" t="s">
        <v>535</v>
      </c>
      <c r="J232" s="92" t="s">
        <v>1132</v>
      </c>
      <c r="K232" s="61" t="s">
        <v>535</v>
      </c>
      <c r="L232" s="161"/>
      <c r="M232" s="169"/>
    </row>
    <row r="233" spans="1:13" x14ac:dyDescent="0.55000000000000004">
      <c r="A233" s="92" t="s">
        <v>1132</v>
      </c>
      <c r="B233" s="61" t="s">
        <v>316</v>
      </c>
      <c r="C233" s="168" t="s">
        <v>132</v>
      </c>
      <c r="D233" s="168" t="s">
        <v>3288</v>
      </c>
      <c r="E233" s="116">
        <v>1.6</v>
      </c>
      <c r="F233" s="149" t="s">
        <v>135</v>
      </c>
      <c r="G233" s="149" t="s">
        <v>135</v>
      </c>
      <c r="H233" s="168" t="s">
        <v>39</v>
      </c>
      <c r="I233" s="61" t="s">
        <v>535</v>
      </c>
      <c r="J233" s="92" t="s">
        <v>1132</v>
      </c>
      <c r="K233" s="61" t="s">
        <v>535</v>
      </c>
      <c r="L233" s="160"/>
      <c r="M233" s="169"/>
    </row>
    <row r="234" spans="1:13" x14ac:dyDescent="0.55000000000000004">
      <c r="A234" s="92" t="s">
        <v>1132</v>
      </c>
      <c r="B234" s="61" t="s">
        <v>160</v>
      </c>
      <c r="C234" s="168" t="s">
        <v>247</v>
      </c>
      <c r="D234" s="168" t="s">
        <v>3288</v>
      </c>
      <c r="E234" s="116">
        <v>3.1</v>
      </c>
      <c r="F234" s="149" t="s">
        <v>3286</v>
      </c>
      <c r="G234" s="149" t="s">
        <v>135</v>
      </c>
      <c r="H234" s="168" t="s">
        <v>2088</v>
      </c>
      <c r="I234" s="61"/>
      <c r="J234" s="92" t="s">
        <v>1132</v>
      </c>
      <c r="K234" s="61"/>
      <c r="L234" s="160"/>
      <c r="M234" s="169"/>
    </row>
    <row r="235" spans="1:13" x14ac:dyDescent="0.55000000000000004">
      <c r="A235" s="65" t="s">
        <v>1131</v>
      </c>
      <c r="B235" s="61" t="s">
        <v>140</v>
      </c>
      <c r="C235" s="61" t="s">
        <v>121</v>
      </c>
      <c r="D235" s="168" t="s">
        <v>3288</v>
      </c>
      <c r="E235" s="116">
        <v>1</v>
      </c>
      <c r="F235" s="149" t="s">
        <v>135</v>
      </c>
      <c r="G235" s="149">
        <v>1</v>
      </c>
      <c r="H235" s="168" t="s">
        <v>7</v>
      </c>
      <c r="I235" s="61" t="s">
        <v>535</v>
      </c>
      <c r="J235" s="65" t="s">
        <v>1131</v>
      </c>
      <c r="K235" s="61" t="s">
        <v>535</v>
      </c>
      <c r="L235" s="160" t="s">
        <v>1021</v>
      </c>
      <c r="M235" s="169"/>
    </row>
    <row r="236" spans="1:13" x14ac:dyDescent="0.55000000000000004">
      <c r="A236" s="65" t="s">
        <v>1131</v>
      </c>
      <c r="B236" s="61" t="s">
        <v>297</v>
      </c>
      <c r="C236" s="61" t="s">
        <v>127</v>
      </c>
      <c r="D236" s="168" t="s">
        <v>2994</v>
      </c>
      <c r="E236" s="120">
        <v>29.759999999999998</v>
      </c>
      <c r="F236" s="148" t="s">
        <v>138</v>
      </c>
      <c r="G236" s="148" t="s">
        <v>135</v>
      </c>
      <c r="H236" s="168" t="s">
        <v>39</v>
      </c>
      <c r="I236" s="61" t="s">
        <v>535</v>
      </c>
      <c r="J236" s="65" t="s">
        <v>1131</v>
      </c>
      <c r="K236" s="61" t="s">
        <v>535</v>
      </c>
      <c r="L236" s="161"/>
      <c r="M236" s="169"/>
    </row>
    <row r="237" spans="1:13" x14ac:dyDescent="0.55000000000000004">
      <c r="A237" s="65" t="s">
        <v>1131</v>
      </c>
      <c r="B237" s="61" t="s">
        <v>316</v>
      </c>
      <c r="C237" s="168" t="s">
        <v>132</v>
      </c>
      <c r="D237" s="168" t="s">
        <v>3288</v>
      </c>
      <c r="E237" s="116">
        <v>1.6</v>
      </c>
      <c r="F237" s="149" t="s">
        <v>135</v>
      </c>
      <c r="G237" s="149" t="s">
        <v>135</v>
      </c>
      <c r="H237" s="168" t="s">
        <v>39</v>
      </c>
      <c r="I237" s="61" t="s">
        <v>535</v>
      </c>
      <c r="J237" s="65" t="s">
        <v>1131</v>
      </c>
      <c r="K237" s="61" t="s">
        <v>535</v>
      </c>
      <c r="L237" s="160"/>
      <c r="M237" s="169"/>
    </row>
    <row r="238" spans="1:13" x14ac:dyDescent="0.55000000000000004">
      <c r="A238" s="65" t="s">
        <v>1131</v>
      </c>
      <c r="B238" s="61" t="s">
        <v>160</v>
      </c>
      <c r="C238" s="168" t="s">
        <v>156</v>
      </c>
      <c r="D238" s="168" t="s">
        <v>3288</v>
      </c>
      <c r="E238" s="116">
        <v>1.69</v>
      </c>
      <c r="F238" s="149" t="s">
        <v>135</v>
      </c>
      <c r="G238" s="149" t="s">
        <v>135</v>
      </c>
      <c r="H238" s="168" t="s">
        <v>39</v>
      </c>
      <c r="I238" s="61" t="s">
        <v>535</v>
      </c>
      <c r="J238" s="65" t="s">
        <v>1131</v>
      </c>
      <c r="K238" s="61" t="s">
        <v>535</v>
      </c>
      <c r="L238" s="160"/>
      <c r="M238" s="169"/>
    </row>
    <row r="239" spans="1:13" x14ac:dyDescent="0.55000000000000004">
      <c r="A239" s="65" t="s">
        <v>1131</v>
      </c>
      <c r="B239" s="61" t="s">
        <v>160</v>
      </c>
      <c r="C239" s="168" t="s">
        <v>247</v>
      </c>
      <c r="D239" s="168" t="s">
        <v>3288</v>
      </c>
      <c r="E239" s="116">
        <v>3.7199999999999998</v>
      </c>
      <c r="F239" s="149" t="s">
        <v>3286</v>
      </c>
      <c r="G239" s="149">
        <v>1</v>
      </c>
      <c r="H239" s="168" t="s">
        <v>2088</v>
      </c>
      <c r="I239" s="61"/>
      <c r="J239" s="65" t="s">
        <v>1131</v>
      </c>
      <c r="K239" s="61"/>
      <c r="L239" s="160"/>
      <c r="M239" s="169"/>
    </row>
    <row r="240" spans="1:13" x14ac:dyDescent="0.55000000000000004">
      <c r="A240" s="65" t="s">
        <v>1130</v>
      </c>
      <c r="B240" s="61" t="s">
        <v>315</v>
      </c>
      <c r="C240" s="61" t="s">
        <v>121</v>
      </c>
      <c r="D240" s="168" t="s">
        <v>3288</v>
      </c>
      <c r="E240" s="116">
        <v>1</v>
      </c>
      <c r="F240" s="149" t="s">
        <v>135</v>
      </c>
      <c r="G240" s="149">
        <v>1</v>
      </c>
      <c r="H240" s="168" t="s">
        <v>7</v>
      </c>
      <c r="I240" s="61" t="s">
        <v>535</v>
      </c>
      <c r="J240" s="65" t="s">
        <v>1130</v>
      </c>
      <c r="K240" s="61" t="s">
        <v>535</v>
      </c>
      <c r="L240" s="160" t="s">
        <v>1021</v>
      </c>
      <c r="M240" s="169"/>
    </row>
    <row r="241" spans="1:13" x14ac:dyDescent="0.55000000000000004">
      <c r="A241" s="65" t="s">
        <v>1130</v>
      </c>
      <c r="B241" s="61" t="s">
        <v>171</v>
      </c>
      <c r="C241" s="61" t="s">
        <v>127</v>
      </c>
      <c r="D241" s="168" t="s">
        <v>2994</v>
      </c>
      <c r="E241" s="120">
        <v>14.9</v>
      </c>
      <c r="F241" s="148" t="s">
        <v>138</v>
      </c>
      <c r="G241" s="148" t="s">
        <v>135</v>
      </c>
      <c r="H241" s="168" t="s">
        <v>39</v>
      </c>
      <c r="I241" s="61" t="s">
        <v>535</v>
      </c>
      <c r="J241" s="65" t="s">
        <v>1130</v>
      </c>
      <c r="K241" s="61" t="s">
        <v>535</v>
      </c>
      <c r="L241" s="161"/>
      <c r="M241" s="169"/>
    </row>
    <row r="242" spans="1:13" x14ac:dyDescent="0.55000000000000004">
      <c r="A242" s="65" t="s">
        <v>1130</v>
      </c>
      <c r="B242" s="61" t="s">
        <v>316</v>
      </c>
      <c r="C242" s="168" t="s">
        <v>132</v>
      </c>
      <c r="D242" s="168" t="s">
        <v>3288</v>
      </c>
      <c r="E242" s="116">
        <v>1.7</v>
      </c>
      <c r="F242" s="149" t="s">
        <v>135</v>
      </c>
      <c r="G242" s="149" t="s">
        <v>135</v>
      </c>
      <c r="H242" s="168" t="s">
        <v>39</v>
      </c>
      <c r="I242" s="61" t="s">
        <v>535</v>
      </c>
      <c r="J242" s="65" t="s">
        <v>1130</v>
      </c>
      <c r="K242" s="61" t="s">
        <v>535</v>
      </c>
      <c r="L242" s="160"/>
      <c r="M242" s="169"/>
    </row>
    <row r="243" spans="1:13" x14ac:dyDescent="0.55000000000000004">
      <c r="A243" s="65" t="s">
        <v>1130</v>
      </c>
      <c r="B243" s="61" t="s">
        <v>160</v>
      </c>
      <c r="C243" s="168" t="s">
        <v>247</v>
      </c>
      <c r="D243" s="168" t="s">
        <v>3288</v>
      </c>
      <c r="E243" s="116">
        <v>0.83589000000000002</v>
      </c>
      <c r="F243" s="149" t="s">
        <v>3286</v>
      </c>
      <c r="G243" s="149" t="s">
        <v>135</v>
      </c>
      <c r="H243" s="168" t="s">
        <v>376</v>
      </c>
      <c r="I243" s="61"/>
      <c r="J243" s="65" t="s">
        <v>1130</v>
      </c>
      <c r="K243" s="61"/>
      <c r="L243" s="160"/>
      <c r="M243" s="169"/>
    </row>
    <row r="244" spans="1:13" x14ac:dyDescent="0.55000000000000004">
      <c r="A244" s="65" t="s">
        <v>1129</v>
      </c>
      <c r="B244" s="61" t="s">
        <v>315</v>
      </c>
      <c r="C244" s="61" t="s">
        <v>121</v>
      </c>
      <c r="D244" s="168" t="s">
        <v>3288</v>
      </c>
      <c r="E244" s="116">
        <v>1</v>
      </c>
      <c r="F244" s="149" t="s">
        <v>135</v>
      </c>
      <c r="G244" s="149">
        <v>1</v>
      </c>
      <c r="H244" s="168" t="s">
        <v>7</v>
      </c>
      <c r="I244" s="61" t="s">
        <v>535</v>
      </c>
      <c r="J244" s="65" t="s">
        <v>1129</v>
      </c>
      <c r="K244" s="61" t="s">
        <v>535</v>
      </c>
      <c r="L244" s="160" t="s">
        <v>1021</v>
      </c>
      <c r="M244" s="169"/>
    </row>
    <row r="245" spans="1:13" x14ac:dyDescent="0.55000000000000004">
      <c r="A245" s="65" t="s">
        <v>1129</v>
      </c>
      <c r="B245" s="61" t="s">
        <v>171</v>
      </c>
      <c r="C245" s="61" t="s">
        <v>127</v>
      </c>
      <c r="D245" s="168" t="s">
        <v>2994</v>
      </c>
      <c r="E245" s="120">
        <v>14.9</v>
      </c>
      <c r="F245" s="148" t="s">
        <v>138</v>
      </c>
      <c r="G245" s="148" t="s">
        <v>135</v>
      </c>
      <c r="H245" s="168" t="s">
        <v>39</v>
      </c>
      <c r="I245" s="61" t="s">
        <v>535</v>
      </c>
      <c r="J245" s="65" t="s">
        <v>1129</v>
      </c>
      <c r="K245" s="61" t="s">
        <v>535</v>
      </c>
      <c r="L245" s="161"/>
      <c r="M245" s="169"/>
    </row>
    <row r="246" spans="1:13" x14ac:dyDescent="0.55000000000000004">
      <c r="A246" s="65" t="s">
        <v>1129</v>
      </c>
      <c r="B246" s="61" t="s">
        <v>316</v>
      </c>
      <c r="C246" s="168" t="s">
        <v>132</v>
      </c>
      <c r="D246" s="168" t="s">
        <v>3288</v>
      </c>
      <c r="E246" s="116">
        <v>1.7</v>
      </c>
      <c r="F246" s="149" t="s">
        <v>135</v>
      </c>
      <c r="G246" s="149" t="s">
        <v>135</v>
      </c>
      <c r="H246" s="168" t="s">
        <v>39</v>
      </c>
      <c r="I246" s="61" t="s">
        <v>535</v>
      </c>
      <c r="J246" s="65" t="s">
        <v>1129</v>
      </c>
      <c r="K246" s="61" t="s">
        <v>535</v>
      </c>
      <c r="L246" s="160"/>
      <c r="M246" s="169"/>
    </row>
    <row r="247" spans="1:13" x14ac:dyDescent="0.55000000000000004">
      <c r="A247" s="65" t="s">
        <v>1129</v>
      </c>
      <c r="B247" s="61" t="s">
        <v>160</v>
      </c>
      <c r="C247" s="168" t="s">
        <v>156</v>
      </c>
      <c r="D247" s="168" t="s">
        <v>3288</v>
      </c>
      <c r="E247" s="116">
        <v>0.53</v>
      </c>
      <c r="F247" s="149" t="s">
        <v>135</v>
      </c>
      <c r="G247" s="149" t="s">
        <v>135</v>
      </c>
      <c r="H247" s="168" t="s">
        <v>39</v>
      </c>
      <c r="I247" s="61" t="s">
        <v>535</v>
      </c>
      <c r="J247" s="65" t="s">
        <v>1129</v>
      </c>
      <c r="K247" s="61" t="s">
        <v>535</v>
      </c>
      <c r="L247" s="160"/>
      <c r="M247" s="169"/>
    </row>
    <row r="248" spans="1:13" x14ac:dyDescent="0.55000000000000004">
      <c r="A248" s="65" t="s">
        <v>1129</v>
      </c>
      <c r="B248" s="61" t="s">
        <v>160</v>
      </c>
      <c r="C248" s="168" t="s">
        <v>247</v>
      </c>
      <c r="D248" s="168" t="s">
        <v>3288</v>
      </c>
      <c r="E248" s="116">
        <v>0.83589000000000002</v>
      </c>
      <c r="F248" s="149" t="s">
        <v>3286</v>
      </c>
      <c r="G248" s="149" t="s">
        <v>135</v>
      </c>
      <c r="H248" s="168" t="s">
        <v>376</v>
      </c>
      <c r="I248" s="61"/>
      <c r="J248" s="65" t="s">
        <v>1129</v>
      </c>
      <c r="K248" s="61"/>
      <c r="L248" s="160"/>
      <c r="M248" s="169"/>
    </row>
    <row r="249" spans="1:13" x14ac:dyDescent="0.55000000000000004">
      <c r="A249" s="65" t="s">
        <v>1128</v>
      </c>
      <c r="B249" s="61" t="s">
        <v>140</v>
      </c>
      <c r="C249" s="61" t="s">
        <v>121</v>
      </c>
      <c r="D249" s="168" t="s">
        <v>3288</v>
      </c>
      <c r="E249" s="116">
        <v>1</v>
      </c>
      <c r="F249" s="149" t="s">
        <v>135</v>
      </c>
      <c r="G249" s="149">
        <v>1</v>
      </c>
      <c r="H249" s="168" t="s">
        <v>7</v>
      </c>
      <c r="I249" s="61" t="s">
        <v>535</v>
      </c>
      <c r="J249" s="65" t="s">
        <v>1128</v>
      </c>
      <c r="K249" s="61" t="s">
        <v>535</v>
      </c>
      <c r="L249" s="160" t="s">
        <v>1021</v>
      </c>
      <c r="M249" s="169"/>
    </row>
    <row r="250" spans="1:13" x14ac:dyDescent="0.55000000000000004">
      <c r="A250" s="65" t="s">
        <v>1128</v>
      </c>
      <c r="B250" s="61" t="s">
        <v>153</v>
      </c>
      <c r="C250" s="61" t="s">
        <v>127</v>
      </c>
      <c r="D250" s="168" t="s">
        <v>2994</v>
      </c>
      <c r="E250" s="120">
        <v>2.1</v>
      </c>
      <c r="F250" s="148" t="s">
        <v>138</v>
      </c>
      <c r="G250" s="148" t="s">
        <v>135</v>
      </c>
      <c r="H250" s="168" t="s">
        <v>39</v>
      </c>
      <c r="I250" s="61" t="s">
        <v>535</v>
      </c>
      <c r="J250" s="65" t="s">
        <v>1128</v>
      </c>
      <c r="K250" s="61" t="s">
        <v>535</v>
      </c>
      <c r="L250" s="161"/>
      <c r="M250" s="169"/>
    </row>
    <row r="251" spans="1:13" x14ac:dyDescent="0.55000000000000004">
      <c r="A251" s="65" t="s">
        <v>1128</v>
      </c>
      <c r="B251" s="61" t="s">
        <v>315</v>
      </c>
      <c r="C251" s="61" t="s">
        <v>125</v>
      </c>
      <c r="D251" s="168" t="s">
        <v>3288</v>
      </c>
      <c r="E251" s="116">
        <v>0.97</v>
      </c>
      <c r="F251" s="149" t="s">
        <v>135</v>
      </c>
      <c r="G251" s="149" t="s">
        <v>135</v>
      </c>
      <c r="H251" s="168" t="s">
        <v>39</v>
      </c>
      <c r="I251" s="61" t="s">
        <v>535</v>
      </c>
      <c r="J251" s="65" t="s">
        <v>1128</v>
      </c>
      <c r="K251" s="61" t="s">
        <v>535</v>
      </c>
      <c r="L251" s="160"/>
      <c r="M251" s="169"/>
    </row>
    <row r="252" spans="1:13" x14ac:dyDescent="0.55000000000000004">
      <c r="A252" s="65" t="s">
        <v>1127</v>
      </c>
      <c r="B252" s="61" t="s">
        <v>315</v>
      </c>
      <c r="C252" s="61" t="s">
        <v>121</v>
      </c>
      <c r="D252" s="168" t="s">
        <v>3288</v>
      </c>
      <c r="E252" s="116">
        <v>1</v>
      </c>
      <c r="F252" s="149" t="s">
        <v>135</v>
      </c>
      <c r="G252" s="149">
        <v>1</v>
      </c>
      <c r="H252" s="168" t="s">
        <v>7</v>
      </c>
      <c r="I252" s="61" t="s">
        <v>535</v>
      </c>
      <c r="J252" s="65" t="s">
        <v>1127</v>
      </c>
      <c r="K252" s="61" t="s">
        <v>535</v>
      </c>
      <c r="L252" s="160" t="s">
        <v>1021</v>
      </c>
      <c r="M252" s="169"/>
    </row>
    <row r="253" spans="1:13" x14ac:dyDescent="0.55000000000000004">
      <c r="A253" s="65" t="s">
        <v>1127</v>
      </c>
      <c r="B253" s="61" t="s">
        <v>334</v>
      </c>
      <c r="C253" s="61" t="s">
        <v>127</v>
      </c>
      <c r="D253" s="168" t="s">
        <v>2994</v>
      </c>
      <c r="E253" s="120">
        <v>14.2</v>
      </c>
      <c r="F253" s="148" t="s">
        <v>138</v>
      </c>
      <c r="G253" s="148" t="s">
        <v>135</v>
      </c>
      <c r="H253" s="168" t="s">
        <v>39</v>
      </c>
      <c r="I253" s="61" t="s">
        <v>535</v>
      </c>
      <c r="J253" s="65" t="s">
        <v>1127</v>
      </c>
      <c r="K253" s="61" t="s">
        <v>535</v>
      </c>
      <c r="L253" s="161"/>
      <c r="M253" s="169"/>
    </row>
    <row r="254" spans="1:13" x14ac:dyDescent="0.55000000000000004">
      <c r="A254" s="65" t="s">
        <v>1127</v>
      </c>
      <c r="B254" s="61" t="s">
        <v>316</v>
      </c>
      <c r="C254" s="168" t="s">
        <v>132</v>
      </c>
      <c r="D254" s="168" t="s">
        <v>3288</v>
      </c>
      <c r="E254" s="116">
        <v>1.7</v>
      </c>
      <c r="F254" s="149" t="s">
        <v>135</v>
      </c>
      <c r="G254" s="149" t="s">
        <v>135</v>
      </c>
      <c r="H254" s="168" t="s">
        <v>39</v>
      </c>
      <c r="I254" s="61" t="s">
        <v>535</v>
      </c>
      <c r="J254" s="65" t="s">
        <v>1127</v>
      </c>
      <c r="K254" s="61" t="s">
        <v>535</v>
      </c>
      <c r="L254" s="160"/>
      <c r="M254" s="169"/>
    </row>
    <row r="255" spans="1:13" x14ac:dyDescent="0.55000000000000004">
      <c r="A255" s="65" t="s">
        <v>1125</v>
      </c>
      <c r="B255" s="61" t="s">
        <v>1126</v>
      </c>
      <c r="C255" s="61" t="s">
        <v>121</v>
      </c>
      <c r="D255" s="168" t="s">
        <v>3288</v>
      </c>
      <c r="E255" s="116">
        <v>1</v>
      </c>
      <c r="F255" s="149" t="s">
        <v>135</v>
      </c>
      <c r="G255" s="149">
        <v>1</v>
      </c>
      <c r="H255" s="168" t="s">
        <v>7</v>
      </c>
      <c r="I255" s="61" t="s">
        <v>535</v>
      </c>
      <c r="J255" s="65" t="s">
        <v>1125</v>
      </c>
      <c r="K255" s="61" t="s">
        <v>535</v>
      </c>
      <c r="L255" s="160" t="s">
        <v>1021</v>
      </c>
      <c r="M255" s="169"/>
    </row>
    <row r="256" spans="1:13" x14ac:dyDescent="0.55000000000000004">
      <c r="A256" s="65" t="s">
        <v>1125</v>
      </c>
      <c r="B256" s="61" t="s">
        <v>153</v>
      </c>
      <c r="C256" s="61" t="s">
        <v>127</v>
      </c>
      <c r="D256" s="168" t="s">
        <v>2994</v>
      </c>
      <c r="E256" s="120">
        <v>2.1</v>
      </c>
      <c r="F256" s="148" t="s">
        <v>138</v>
      </c>
      <c r="G256" s="148" t="s">
        <v>135</v>
      </c>
      <c r="H256" s="168" t="s">
        <v>39</v>
      </c>
      <c r="I256" s="61" t="s">
        <v>535</v>
      </c>
      <c r="J256" s="65" t="s">
        <v>1125</v>
      </c>
      <c r="K256" s="61" t="s">
        <v>535</v>
      </c>
      <c r="L256" s="161"/>
      <c r="M256" s="169"/>
    </row>
    <row r="257" spans="1:13" x14ac:dyDescent="0.55000000000000004">
      <c r="A257" s="65" t="s">
        <v>1125</v>
      </c>
      <c r="B257" s="61" t="s">
        <v>341</v>
      </c>
      <c r="C257" s="61" t="s">
        <v>887</v>
      </c>
      <c r="D257" s="168" t="s">
        <v>3288</v>
      </c>
      <c r="E257" s="116">
        <v>0.95</v>
      </c>
      <c r="F257" s="149" t="s">
        <v>135</v>
      </c>
      <c r="G257" s="149" t="s">
        <v>135</v>
      </c>
      <c r="H257" s="168" t="s">
        <v>39</v>
      </c>
      <c r="I257" s="61" t="s">
        <v>535</v>
      </c>
      <c r="J257" s="65" t="s">
        <v>1125</v>
      </c>
      <c r="K257" s="61" t="s">
        <v>535</v>
      </c>
      <c r="L257" s="160"/>
      <c r="M257" s="169"/>
    </row>
    <row r="258" spans="1:13" x14ac:dyDescent="0.55000000000000004">
      <c r="A258" s="92" t="s">
        <v>1124</v>
      </c>
      <c r="B258" s="61" t="s">
        <v>140</v>
      </c>
      <c r="C258" s="61" t="s">
        <v>121</v>
      </c>
      <c r="D258" s="168" t="s">
        <v>3288</v>
      </c>
      <c r="E258" s="116">
        <v>1</v>
      </c>
      <c r="F258" s="149" t="s">
        <v>135</v>
      </c>
      <c r="G258" s="149">
        <v>1</v>
      </c>
      <c r="H258" s="168" t="s">
        <v>7</v>
      </c>
      <c r="I258" s="61" t="s">
        <v>535</v>
      </c>
      <c r="J258" s="92" t="s">
        <v>1124</v>
      </c>
      <c r="K258" s="61" t="s">
        <v>535</v>
      </c>
      <c r="L258" s="160" t="s">
        <v>1021</v>
      </c>
      <c r="M258" s="169"/>
    </row>
    <row r="259" spans="1:13" x14ac:dyDescent="0.55000000000000004">
      <c r="A259" s="92" t="s">
        <v>1124</v>
      </c>
      <c r="B259" s="61" t="s">
        <v>1123</v>
      </c>
      <c r="C259" s="61" t="s">
        <v>127</v>
      </c>
      <c r="D259" s="168" t="s">
        <v>2994</v>
      </c>
      <c r="E259" s="120">
        <v>19.399999999999999</v>
      </c>
      <c r="F259" s="148" t="s">
        <v>138</v>
      </c>
      <c r="G259" s="148" t="s">
        <v>135</v>
      </c>
      <c r="H259" s="168" t="s">
        <v>39</v>
      </c>
      <c r="I259" s="61" t="s">
        <v>535</v>
      </c>
      <c r="J259" s="92" t="s">
        <v>1124</v>
      </c>
      <c r="K259" s="61" t="s">
        <v>535</v>
      </c>
      <c r="L259" s="161"/>
      <c r="M259" s="169"/>
    </row>
    <row r="260" spans="1:13" x14ac:dyDescent="0.55000000000000004">
      <c r="A260" s="92" t="s">
        <v>1124</v>
      </c>
      <c r="B260" s="61" t="s">
        <v>316</v>
      </c>
      <c r="C260" s="168" t="s">
        <v>132</v>
      </c>
      <c r="D260" s="168" t="s">
        <v>3288</v>
      </c>
      <c r="E260" s="116">
        <v>1.6</v>
      </c>
      <c r="F260" s="149" t="s">
        <v>135</v>
      </c>
      <c r="G260" s="149" t="s">
        <v>135</v>
      </c>
      <c r="H260" s="168" t="s">
        <v>39</v>
      </c>
      <c r="I260" s="61" t="s">
        <v>535</v>
      </c>
      <c r="J260" s="92" t="s">
        <v>1124</v>
      </c>
      <c r="K260" s="61" t="s">
        <v>535</v>
      </c>
      <c r="L260" s="160"/>
      <c r="M260" s="169"/>
    </row>
    <row r="261" spans="1:13" x14ac:dyDescent="0.55000000000000004">
      <c r="A261" s="92" t="s">
        <v>1124</v>
      </c>
      <c r="B261" s="61" t="s">
        <v>160</v>
      </c>
      <c r="C261" s="168" t="s">
        <v>247</v>
      </c>
      <c r="D261" s="168" t="s">
        <v>3288</v>
      </c>
      <c r="E261" s="116">
        <v>1.91381</v>
      </c>
      <c r="F261" s="149" t="s">
        <v>3286</v>
      </c>
      <c r="G261" s="149" t="s">
        <v>135</v>
      </c>
      <c r="H261" s="168" t="s">
        <v>2089</v>
      </c>
      <c r="I261" s="61"/>
      <c r="J261" s="92" t="s">
        <v>1124</v>
      </c>
      <c r="K261" s="61"/>
      <c r="L261" s="160"/>
      <c r="M261" s="169"/>
    </row>
    <row r="262" spans="1:13" x14ac:dyDescent="0.55000000000000004">
      <c r="A262" s="65" t="s">
        <v>1122</v>
      </c>
      <c r="B262" s="61" t="s">
        <v>140</v>
      </c>
      <c r="C262" s="61" t="s">
        <v>121</v>
      </c>
      <c r="D262" s="168" t="s">
        <v>3288</v>
      </c>
      <c r="E262" s="116">
        <v>1</v>
      </c>
      <c r="F262" s="149" t="s">
        <v>135</v>
      </c>
      <c r="G262" s="149">
        <v>1</v>
      </c>
      <c r="H262" s="168" t="s">
        <v>7</v>
      </c>
      <c r="I262" s="61" t="s">
        <v>535</v>
      </c>
      <c r="J262" s="65" t="s">
        <v>1122</v>
      </c>
      <c r="K262" s="61" t="s">
        <v>535</v>
      </c>
      <c r="L262" s="160" t="s">
        <v>1021</v>
      </c>
      <c r="M262" s="169"/>
    </row>
    <row r="263" spans="1:13" x14ac:dyDescent="0.55000000000000004">
      <c r="A263" s="65" t="s">
        <v>1122</v>
      </c>
      <c r="B263" s="61" t="s">
        <v>1123</v>
      </c>
      <c r="C263" s="61" t="s">
        <v>127</v>
      </c>
      <c r="D263" s="168" t="s">
        <v>2994</v>
      </c>
      <c r="E263" s="120">
        <v>23.279999999999998</v>
      </c>
      <c r="F263" s="148" t="s">
        <v>138</v>
      </c>
      <c r="G263" s="148" t="s">
        <v>135</v>
      </c>
      <c r="H263" s="168" t="s">
        <v>39</v>
      </c>
      <c r="I263" s="61" t="s">
        <v>535</v>
      </c>
      <c r="J263" s="65" t="s">
        <v>1122</v>
      </c>
      <c r="K263" s="61" t="s">
        <v>535</v>
      </c>
      <c r="L263" s="161"/>
      <c r="M263" s="169"/>
    </row>
    <row r="264" spans="1:13" x14ac:dyDescent="0.55000000000000004">
      <c r="A264" s="65" t="s">
        <v>1122</v>
      </c>
      <c r="B264" s="61" t="s">
        <v>316</v>
      </c>
      <c r="C264" s="168" t="s">
        <v>132</v>
      </c>
      <c r="D264" s="168" t="s">
        <v>3288</v>
      </c>
      <c r="E264" s="116">
        <v>1.6</v>
      </c>
      <c r="F264" s="149" t="s">
        <v>135</v>
      </c>
      <c r="G264" s="149" t="s">
        <v>135</v>
      </c>
      <c r="H264" s="168" t="s">
        <v>39</v>
      </c>
      <c r="I264" s="61" t="s">
        <v>535</v>
      </c>
      <c r="J264" s="65" t="s">
        <v>1122</v>
      </c>
      <c r="K264" s="61" t="s">
        <v>535</v>
      </c>
      <c r="L264" s="160"/>
      <c r="M264" s="169"/>
    </row>
    <row r="265" spans="1:13" x14ac:dyDescent="0.55000000000000004">
      <c r="A265" s="65" t="s">
        <v>1122</v>
      </c>
      <c r="B265" s="61" t="s">
        <v>160</v>
      </c>
      <c r="C265" s="168" t="s">
        <v>247</v>
      </c>
      <c r="D265" s="168" t="s">
        <v>3288</v>
      </c>
      <c r="E265" s="116">
        <v>2.2965720000000003</v>
      </c>
      <c r="F265" s="149" t="s">
        <v>3286</v>
      </c>
      <c r="G265" s="149" t="s">
        <v>135</v>
      </c>
      <c r="H265" s="168" t="s">
        <v>2089</v>
      </c>
      <c r="I265" s="61"/>
      <c r="J265" s="65" t="s">
        <v>1122</v>
      </c>
      <c r="K265" s="61"/>
      <c r="L265" s="160"/>
      <c r="M265" s="169"/>
    </row>
    <row r="266" spans="1:13" x14ac:dyDescent="0.55000000000000004">
      <c r="A266" s="65" t="s">
        <v>1122</v>
      </c>
      <c r="B266" s="61" t="s">
        <v>160</v>
      </c>
      <c r="C266" s="168" t="s">
        <v>156</v>
      </c>
      <c r="D266" s="168" t="s">
        <v>3288</v>
      </c>
      <c r="E266" s="116">
        <v>1.69</v>
      </c>
      <c r="F266" s="149" t="s">
        <v>135</v>
      </c>
      <c r="G266" s="149" t="s">
        <v>135</v>
      </c>
      <c r="H266" s="168" t="s">
        <v>39</v>
      </c>
      <c r="I266" s="61" t="s">
        <v>535</v>
      </c>
      <c r="J266" s="65" t="s">
        <v>1122</v>
      </c>
      <c r="K266" s="61" t="s">
        <v>535</v>
      </c>
      <c r="L266" s="160"/>
      <c r="M266" s="169"/>
    </row>
    <row r="267" spans="1:13" x14ac:dyDescent="0.55000000000000004">
      <c r="A267" s="101" t="s">
        <v>1102</v>
      </c>
      <c r="B267" s="61" t="s">
        <v>143</v>
      </c>
      <c r="C267" s="61" t="s">
        <v>121</v>
      </c>
      <c r="D267" s="61" t="s">
        <v>2682</v>
      </c>
      <c r="E267" s="119">
        <v>1</v>
      </c>
      <c r="F267" s="148">
        <v>1</v>
      </c>
      <c r="G267" s="148">
        <v>1</v>
      </c>
      <c r="H267" s="61" t="s">
        <v>39</v>
      </c>
      <c r="I267" s="61" t="s">
        <v>535</v>
      </c>
      <c r="J267" s="62" t="s">
        <v>1104</v>
      </c>
      <c r="K267" s="168" t="s">
        <v>831</v>
      </c>
      <c r="L267" s="159"/>
      <c r="M267" s="169"/>
    </row>
    <row r="268" spans="1:13" x14ac:dyDescent="0.55000000000000004">
      <c r="A268" s="101" t="s">
        <v>1102</v>
      </c>
      <c r="B268" s="61" t="s">
        <v>155</v>
      </c>
      <c r="C268" s="61" t="s">
        <v>156</v>
      </c>
      <c r="D268" s="61" t="s">
        <v>3288</v>
      </c>
      <c r="E268" s="118">
        <v>2.3800000000000002E-3</v>
      </c>
      <c r="F268" s="148" t="s">
        <v>122</v>
      </c>
      <c r="G268" s="148">
        <v>1</v>
      </c>
      <c r="H268" s="61" t="s">
        <v>39</v>
      </c>
      <c r="I268" s="61" t="s">
        <v>535</v>
      </c>
      <c r="J268" s="62" t="s">
        <v>1104</v>
      </c>
      <c r="K268" s="168" t="s">
        <v>831</v>
      </c>
      <c r="L268" s="159">
        <v>7108</v>
      </c>
      <c r="M268" s="169"/>
    </row>
    <row r="269" spans="1:13" x14ac:dyDescent="0.55000000000000004">
      <c r="A269" s="101" t="s">
        <v>1102</v>
      </c>
      <c r="B269" s="61" t="s">
        <v>159</v>
      </c>
      <c r="C269" s="61" t="s">
        <v>156</v>
      </c>
      <c r="D269" s="61" t="s">
        <v>3288</v>
      </c>
      <c r="E269" s="118">
        <v>4.9700000000000001E-2</v>
      </c>
      <c r="F269" s="148" t="s">
        <v>122</v>
      </c>
      <c r="G269" s="148">
        <v>1</v>
      </c>
      <c r="H269" s="61" t="s">
        <v>39</v>
      </c>
      <c r="I269" s="61" t="s">
        <v>535</v>
      </c>
      <c r="J269" s="62" t="s">
        <v>1104</v>
      </c>
      <c r="K269" s="168" t="s">
        <v>831</v>
      </c>
      <c r="L269" s="159">
        <v>280490</v>
      </c>
      <c r="M269" s="169"/>
    </row>
    <row r="270" spans="1:13" x14ac:dyDescent="0.55000000000000004">
      <c r="A270" s="101" t="s">
        <v>1102</v>
      </c>
      <c r="B270" s="61" t="s">
        <v>157</v>
      </c>
      <c r="C270" s="61" t="s">
        <v>156</v>
      </c>
      <c r="D270" s="61" t="s">
        <v>3288</v>
      </c>
      <c r="E270" s="118">
        <v>5.8099999999999999E-2</v>
      </c>
      <c r="F270" s="148" t="s">
        <v>122</v>
      </c>
      <c r="G270" s="148">
        <v>1</v>
      </c>
      <c r="H270" s="61" t="s">
        <v>39</v>
      </c>
      <c r="I270" s="61" t="s">
        <v>535</v>
      </c>
      <c r="J270" s="62" t="s">
        <v>1104</v>
      </c>
      <c r="K270" s="168" t="s">
        <v>831</v>
      </c>
      <c r="L270" s="159">
        <v>7106</v>
      </c>
      <c r="M270" s="169"/>
    </row>
    <row r="271" spans="1:13" x14ac:dyDescent="0.55000000000000004">
      <c r="A271" s="101" t="s">
        <v>1102</v>
      </c>
      <c r="B271" s="61" t="s">
        <v>3417</v>
      </c>
      <c r="C271" s="61" t="s">
        <v>156</v>
      </c>
      <c r="D271" s="61" t="s">
        <v>3288</v>
      </c>
      <c r="E271" s="118">
        <v>0.878</v>
      </c>
      <c r="F271" s="148" t="s">
        <v>122</v>
      </c>
      <c r="G271" s="148">
        <v>1</v>
      </c>
      <c r="H271" s="61" t="s">
        <v>39</v>
      </c>
      <c r="I271" s="61" t="s">
        <v>535</v>
      </c>
      <c r="J271" s="62" t="s">
        <v>1104</v>
      </c>
      <c r="K271" s="168" t="s">
        <v>831</v>
      </c>
      <c r="L271" s="159">
        <v>262030</v>
      </c>
      <c r="M271" s="169"/>
    </row>
    <row r="272" spans="1:13" x14ac:dyDescent="0.55000000000000004">
      <c r="A272" s="101" t="s">
        <v>1102</v>
      </c>
      <c r="B272" s="61" t="s">
        <v>1088</v>
      </c>
      <c r="C272" s="61" t="s">
        <v>127</v>
      </c>
      <c r="D272" s="61" t="s">
        <v>2994</v>
      </c>
      <c r="E272" s="118">
        <v>1.36</v>
      </c>
      <c r="F272" s="148" t="s">
        <v>130</v>
      </c>
      <c r="G272" s="148">
        <v>1</v>
      </c>
      <c r="H272" s="61" t="s">
        <v>39</v>
      </c>
      <c r="I272" s="61" t="s">
        <v>535</v>
      </c>
      <c r="J272" s="62" t="s">
        <v>1104</v>
      </c>
      <c r="K272" s="168" t="s">
        <v>831</v>
      </c>
      <c r="L272" s="159"/>
      <c r="M272" s="169"/>
    </row>
    <row r="273" spans="1:13" x14ac:dyDescent="0.55000000000000004">
      <c r="A273" s="101" t="s">
        <v>1102</v>
      </c>
      <c r="B273" s="61" t="s">
        <v>1089</v>
      </c>
      <c r="C273" s="61" t="s">
        <v>127</v>
      </c>
      <c r="D273" s="61" t="s">
        <v>2994</v>
      </c>
      <c r="E273" s="118">
        <v>0.17199999999999999</v>
      </c>
      <c r="F273" s="148" t="s">
        <v>167</v>
      </c>
      <c r="G273" s="148">
        <v>1</v>
      </c>
      <c r="H273" s="61" t="s">
        <v>39</v>
      </c>
      <c r="I273" s="61" t="s">
        <v>535</v>
      </c>
      <c r="J273" s="62" t="s">
        <v>1104</v>
      </c>
      <c r="K273" s="168" t="s">
        <v>831</v>
      </c>
      <c r="L273" s="159"/>
      <c r="M273" s="169"/>
    </row>
    <row r="274" spans="1:13" x14ac:dyDescent="0.55000000000000004">
      <c r="A274" s="101" t="s">
        <v>1102</v>
      </c>
      <c r="B274" s="61" t="s">
        <v>1109</v>
      </c>
      <c r="C274" s="61" t="s">
        <v>125</v>
      </c>
      <c r="D274" s="61" t="s">
        <v>3288</v>
      </c>
      <c r="E274" s="118">
        <v>5.2400000000000002E-2</v>
      </c>
      <c r="F274" s="148" t="s">
        <v>122</v>
      </c>
      <c r="G274" s="148">
        <v>1</v>
      </c>
      <c r="H274" s="61" t="s">
        <v>39</v>
      </c>
      <c r="I274" s="61" t="s">
        <v>535</v>
      </c>
      <c r="J274" s="62" t="s">
        <v>1104</v>
      </c>
      <c r="K274" s="168" t="s">
        <v>831</v>
      </c>
      <c r="L274" s="159"/>
      <c r="M274" s="169"/>
    </row>
    <row r="275" spans="1:13" x14ac:dyDescent="0.55000000000000004">
      <c r="A275" s="101" t="s">
        <v>1102</v>
      </c>
      <c r="B275" s="61" t="s">
        <v>161</v>
      </c>
      <c r="C275" s="61" t="s">
        <v>125</v>
      </c>
      <c r="D275" s="61" t="s">
        <v>3288</v>
      </c>
      <c r="E275" s="118">
        <v>1</v>
      </c>
      <c r="F275" s="148" t="s">
        <v>122</v>
      </c>
      <c r="G275" s="148">
        <v>1</v>
      </c>
      <c r="H275" s="61" t="s">
        <v>39</v>
      </c>
      <c r="I275" s="61" t="s">
        <v>535</v>
      </c>
      <c r="J275" s="62" t="s">
        <v>1104</v>
      </c>
      <c r="K275" s="168" t="s">
        <v>831</v>
      </c>
      <c r="L275" s="159"/>
      <c r="M275" s="169"/>
    </row>
    <row r="276" spans="1:13" x14ac:dyDescent="0.55000000000000004">
      <c r="A276" s="101" t="s">
        <v>1102</v>
      </c>
      <c r="B276" s="61" t="s">
        <v>1091</v>
      </c>
      <c r="C276" s="61" t="s">
        <v>124</v>
      </c>
      <c r="D276" s="61" t="s">
        <v>3288</v>
      </c>
      <c r="E276" s="118">
        <v>7.4099999999999995E-8</v>
      </c>
      <c r="F276" s="148" t="s">
        <v>122</v>
      </c>
      <c r="G276" s="148">
        <v>1</v>
      </c>
      <c r="H276" s="61" t="s">
        <v>39</v>
      </c>
      <c r="I276" s="61" t="s">
        <v>535</v>
      </c>
      <c r="J276" s="62" t="s">
        <v>1104</v>
      </c>
      <c r="K276" s="168" t="s">
        <v>831</v>
      </c>
      <c r="L276" s="159"/>
      <c r="M276" s="169"/>
    </row>
    <row r="277" spans="1:13" x14ac:dyDescent="0.55000000000000004">
      <c r="A277" s="101" t="s">
        <v>1102</v>
      </c>
      <c r="B277" s="61" t="s">
        <v>632</v>
      </c>
      <c r="C277" s="61" t="s">
        <v>124</v>
      </c>
      <c r="D277" s="61" t="s">
        <v>3288</v>
      </c>
      <c r="E277" s="118">
        <v>1.5699999999999999E-4</v>
      </c>
      <c r="F277" s="148" t="s">
        <v>122</v>
      </c>
      <c r="G277" s="148">
        <v>1</v>
      </c>
      <c r="H277" s="61" t="s">
        <v>39</v>
      </c>
      <c r="I277" s="61" t="s">
        <v>535</v>
      </c>
      <c r="J277" s="62" t="s">
        <v>1104</v>
      </c>
      <c r="K277" s="168" t="s">
        <v>831</v>
      </c>
      <c r="L277" s="159"/>
      <c r="M277" s="169"/>
    </row>
    <row r="278" spans="1:13" x14ac:dyDescent="0.55000000000000004">
      <c r="A278" s="101" t="s">
        <v>1102</v>
      </c>
      <c r="B278" s="61" t="s">
        <v>1092</v>
      </c>
      <c r="C278" s="61" t="s">
        <v>124</v>
      </c>
      <c r="D278" s="61" t="s">
        <v>3288</v>
      </c>
      <c r="E278" s="118">
        <v>1.11E-6</v>
      </c>
      <c r="F278" s="148" t="s">
        <v>122</v>
      </c>
      <c r="G278" s="148">
        <v>1</v>
      </c>
      <c r="H278" s="61" t="s">
        <v>39</v>
      </c>
      <c r="I278" s="61" t="s">
        <v>535</v>
      </c>
      <c r="J278" s="62" t="s">
        <v>1104</v>
      </c>
      <c r="K278" s="168" t="s">
        <v>831</v>
      </c>
      <c r="L278" s="159"/>
      <c r="M278" s="169"/>
    </row>
    <row r="279" spans="1:13" x14ac:dyDescent="0.55000000000000004">
      <c r="A279" s="101" t="s">
        <v>1102</v>
      </c>
      <c r="B279" s="61" t="s">
        <v>1093</v>
      </c>
      <c r="C279" s="61" t="s">
        <v>124</v>
      </c>
      <c r="D279" s="61" t="s">
        <v>3288</v>
      </c>
      <c r="E279" s="118">
        <v>3.1099999999999998E-9</v>
      </c>
      <c r="F279" s="148" t="s">
        <v>122</v>
      </c>
      <c r="G279" s="148">
        <v>1</v>
      </c>
      <c r="H279" s="61" t="s">
        <v>39</v>
      </c>
      <c r="I279" s="61" t="s">
        <v>535</v>
      </c>
      <c r="J279" s="62" t="s">
        <v>1104</v>
      </c>
      <c r="K279" s="168" t="s">
        <v>831</v>
      </c>
      <c r="L279" s="159"/>
      <c r="M279" s="169"/>
    </row>
    <row r="280" spans="1:13" x14ac:dyDescent="0.55000000000000004">
      <c r="A280" s="101" t="s">
        <v>1102</v>
      </c>
      <c r="B280" s="61" t="s">
        <v>1094</v>
      </c>
      <c r="C280" s="61" t="s">
        <v>124</v>
      </c>
      <c r="D280" s="61" t="s">
        <v>3288</v>
      </c>
      <c r="E280" s="118">
        <v>1.26E-6</v>
      </c>
      <c r="F280" s="148" t="s">
        <v>122</v>
      </c>
      <c r="G280" s="148">
        <v>1</v>
      </c>
      <c r="H280" s="61" t="s">
        <v>39</v>
      </c>
      <c r="I280" s="61" t="s">
        <v>535</v>
      </c>
      <c r="J280" s="62" t="s">
        <v>1104</v>
      </c>
      <c r="K280" s="168" t="s">
        <v>831</v>
      </c>
      <c r="L280" s="159"/>
      <c r="M280" s="169"/>
    </row>
    <row r="281" spans="1:13" x14ac:dyDescent="0.55000000000000004">
      <c r="A281" s="101" t="s">
        <v>1102</v>
      </c>
      <c r="B281" s="61" t="s">
        <v>1095</v>
      </c>
      <c r="C281" s="61" t="s">
        <v>124</v>
      </c>
      <c r="D281" s="61" t="s">
        <v>3288</v>
      </c>
      <c r="E281" s="118">
        <v>3.0700000000000001E-5</v>
      </c>
      <c r="F281" s="148" t="s">
        <v>122</v>
      </c>
      <c r="G281" s="148">
        <v>1</v>
      </c>
      <c r="H281" s="61" t="s">
        <v>39</v>
      </c>
      <c r="I281" s="61" t="s">
        <v>535</v>
      </c>
      <c r="J281" s="62" t="s">
        <v>1104</v>
      </c>
      <c r="K281" s="168" t="s">
        <v>831</v>
      </c>
      <c r="L281" s="159"/>
      <c r="M281" s="169"/>
    </row>
    <row r="282" spans="1:13" x14ac:dyDescent="0.55000000000000004">
      <c r="A282" s="101" t="s">
        <v>1102</v>
      </c>
      <c r="B282" s="61" t="s">
        <v>1096</v>
      </c>
      <c r="C282" s="61" t="s">
        <v>124</v>
      </c>
      <c r="D282" s="61" t="s">
        <v>3288</v>
      </c>
      <c r="E282" s="118">
        <v>1.48E-7</v>
      </c>
      <c r="F282" s="148" t="s">
        <v>122</v>
      </c>
      <c r="G282" s="148">
        <v>1</v>
      </c>
      <c r="H282" s="61" t="s">
        <v>39</v>
      </c>
      <c r="I282" s="61" t="s">
        <v>535</v>
      </c>
      <c r="J282" s="62" t="s">
        <v>1104</v>
      </c>
      <c r="K282" s="168" t="s">
        <v>831</v>
      </c>
      <c r="L282" s="159"/>
      <c r="M282" s="169"/>
    </row>
    <row r="283" spans="1:13" x14ac:dyDescent="0.55000000000000004">
      <c r="A283" s="101" t="s">
        <v>1102</v>
      </c>
      <c r="B283" s="61" t="s">
        <v>891</v>
      </c>
      <c r="C283" s="61" t="s">
        <v>124</v>
      </c>
      <c r="D283" s="61" t="s">
        <v>3288</v>
      </c>
      <c r="E283" s="118">
        <v>4.2999999999999999E-4</v>
      </c>
      <c r="F283" s="148" t="s">
        <v>122</v>
      </c>
      <c r="G283" s="148">
        <v>1</v>
      </c>
      <c r="H283" s="61" t="s">
        <v>39</v>
      </c>
      <c r="I283" s="61" t="s">
        <v>535</v>
      </c>
      <c r="J283" s="62" t="s">
        <v>1104</v>
      </c>
      <c r="K283" s="168" t="s">
        <v>831</v>
      </c>
      <c r="L283" s="159"/>
      <c r="M283" s="169"/>
    </row>
    <row r="284" spans="1:13" x14ac:dyDescent="0.55000000000000004">
      <c r="A284" s="101" t="s">
        <v>1102</v>
      </c>
      <c r="B284" s="61" t="s">
        <v>1097</v>
      </c>
      <c r="C284" s="61" t="s">
        <v>124</v>
      </c>
      <c r="D284" s="61" t="s">
        <v>3288</v>
      </c>
      <c r="E284" s="118">
        <v>3.3000000000000003E-5</v>
      </c>
      <c r="F284" s="148" t="s">
        <v>122</v>
      </c>
      <c r="G284" s="148">
        <v>1</v>
      </c>
      <c r="H284" s="61" t="s">
        <v>39</v>
      </c>
      <c r="I284" s="61" t="s">
        <v>535</v>
      </c>
      <c r="J284" s="62" t="s">
        <v>1104</v>
      </c>
      <c r="K284" s="168" t="s">
        <v>831</v>
      </c>
      <c r="L284" s="159"/>
      <c r="M284" s="169"/>
    </row>
    <row r="285" spans="1:13" x14ac:dyDescent="0.55000000000000004">
      <c r="A285" s="101" t="s">
        <v>1102</v>
      </c>
      <c r="B285" s="61" t="s">
        <v>1098</v>
      </c>
      <c r="C285" s="61" t="s">
        <v>124</v>
      </c>
      <c r="D285" s="61" t="s">
        <v>3288</v>
      </c>
      <c r="E285" s="118">
        <v>1.1E-5</v>
      </c>
      <c r="F285" s="148" t="s">
        <v>122</v>
      </c>
      <c r="G285" s="148">
        <v>1</v>
      </c>
      <c r="H285" s="61" t="s">
        <v>39</v>
      </c>
      <c r="I285" s="61" t="s">
        <v>535</v>
      </c>
      <c r="J285" s="62" t="s">
        <v>1104</v>
      </c>
      <c r="K285" s="168" t="s">
        <v>831</v>
      </c>
      <c r="L285" s="159"/>
      <c r="M285" s="169"/>
    </row>
    <row r="286" spans="1:13" x14ac:dyDescent="0.55000000000000004">
      <c r="A286" s="101" t="s">
        <v>1102</v>
      </c>
      <c r="B286" s="61" t="s">
        <v>1099</v>
      </c>
      <c r="C286" s="61" t="s">
        <v>124</v>
      </c>
      <c r="D286" s="61" t="s">
        <v>3288</v>
      </c>
      <c r="E286" s="118">
        <v>2.1999999999999999E-5</v>
      </c>
      <c r="F286" s="148" t="s">
        <v>122</v>
      </c>
      <c r="G286" s="148">
        <v>1</v>
      </c>
      <c r="H286" s="61" t="s">
        <v>39</v>
      </c>
      <c r="I286" s="61" t="s">
        <v>535</v>
      </c>
      <c r="J286" s="62" t="s">
        <v>1104</v>
      </c>
      <c r="K286" s="168" t="s">
        <v>831</v>
      </c>
      <c r="L286" s="159"/>
      <c r="M286" s="169"/>
    </row>
    <row r="287" spans="1:13" x14ac:dyDescent="0.55000000000000004">
      <c r="A287" s="101" t="s">
        <v>1102</v>
      </c>
      <c r="B287" s="61" t="s">
        <v>1172</v>
      </c>
      <c r="C287" s="61" t="s">
        <v>124</v>
      </c>
      <c r="D287" s="61" t="s">
        <v>3288</v>
      </c>
      <c r="E287" s="118">
        <v>3.3399999999999999E-4</v>
      </c>
      <c r="F287" s="148" t="s">
        <v>122</v>
      </c>
      <c r="G287" s="148">
        <v>1</v>
      </c>
      <c r="H287" s="61" t="s">
        <v>39</v>
      </c>
      <c r="I287" s="61" t="s">
        <v>535</v>
      </c>
      <c r="J287" s="62" t="s">
        <v>1104</v>
      </c>
      <c r="K287" s="168" t="s">
        <v>831</v>
      </c>
      <c r="L287" s="159"/>
      <c r="M287" s="169"/>
    </row>
    <row r="288" spans="1:13" x14ac:dyDescent="0.55000000000000004">
      <c r="A288" s="101" t="s">
        <v>1102</v>
      </c>
      <c r="B288" s="61" t="s">
        <v>1101</v>
      </c>
      <c r="C288" s="61" t="s">
        <v>124</v>
      </c>
      <c r="D288" s="61" t="s">
        <v>3288</v>
      </c>
      <c r="E288" s="118">
        <v>4.1200000000000004E-6</v>
      </c>
      <c r="F288" s="148" t="s">
        <v>122</v>
      </c>
      <c r="G288" s="148">
        <v>1</v>
      </c>
      <c r="H288" s="61" t="s">
        <v>39</v>
      </c>
      <c r="I288" s="61" t="s">
        <v>535</v>
      </c>
      <c r="J288" s="62" t="s">
        <v>1104</v>
      </c>
      <c r="K288" s="168" t="s">
        <v>831</v>
      </c>
      <c r="L288" s="159"/>
      <c r="M288" s="169"/>
    </row>
    <row r="289" spans="1:13" x14ac:dyDescent="0.55000000000000004">
      <c r="A289" s="101" t="s">
        <v>1085</v>
      </c>
      <c r="B289" s="61" t="s">
        <v>143</v>
      </c>
      <c r="C289" s="61" t="s">
        <v>121</v>
      </c>
      <c r="D289" s="61" t="s">
        <v>2682</v>
      </c>
      <c r="E289" s="118">
        <v>1</v>
      </c>
      <c r="F289" s="148">
        <v>1</v>
      </c>
      <c r="G289" s="148">
        <v>1</v>
      </c>
      <c r="H289" s="61" t="s">
        <v>39</v>
      </c>
      <c r="I289" s="61" t="s">
        <v>535</v>
      </c>
      <c r="J289" s="62" t="s">
        <v>1086</v>
      </c>
      <c r="K289" s="168" t="s">
        <v>831</v>
      </c>
      <c r="L289" s="159"/>
      <c r="M289" s="169"/>
    </row>
    <row r="290" spans="1:13" x14ac:dyDescent="0.55000000000000004">
      <c r="A290" s="101" t="s">
        <v>1085</v>
      </c>
      <c r="B290" s="61" t="s">
        <v>155</v>
      </c>
      <c r="C290" s="61" t="s">
        <v>156</v>
      </c>
      <c r="D290" s="61" t="s">
        <v>3288</v>
      </c>
      <c r="E290" s="118">
        <v>2.8000000000000001E-2</v>
      </c>
      <c r="F290" s="148" t="s">
        <v>122</v>
      </c>
      <c r="G290" s="148">
        <v>1</v>
      </c>
      <c r="H290" s="61" t="s">
        <v>39</v>
      </c>
      <c r="I290" s="61" t="s">
        <v>535</v>
      </c>
      <c r="J290" s="62" t="s">
        <v>1086</v>
      </c>
      <c r="K290" s="168" t="s">
        <v>831</v>
      </c>
      <c r="L290" s="159">
        <v>7108</v>
      </c>
      <c r="M290" s="169"/>
    </row>
    <row r="291" spans="1:13" x14ac:dyDescent="0.55000000000000004">
      <c r="A291" s="101" t="s">
        <v>1085</v>
      </c>
      <c r="B291" s="61" t="s">
        <v>1087</v>
      </c>
      <c r="C291" s="61" t="s">
        <v>156</v>
      </c>
      <c r="D291" s="61" t="s">
        <v>3288</v>
      </c>
      <c r="E291" s="118">
        <v>5.0999999999999997E-2</v>
      </c>
      <c r="F291" s="148" t="s">
        <v>122</v>
      </c>
      <c r="G291" s="148">
        <v>1</v>
      </c>
      <c r="H291" s="61" t="s">
        <v>39</v>
      </c>
      <c r="I291" s="61" t="s">
        <v>535</v>
      </c>
      <c r="J291" s="62" t="s">
        <v>1086</v>
      </c>
      <c r="K291" s="168" t="s">
        <v>831</v>
      </c>
      <c r="L291" s="159">
        <v>711021</v>
      </c>
      <c r="M291" s="169"/>
    </row>
    <row r="292" spans="1:13" x14ac:dyDescent="0.55000000000000004">
      <c r="A292" s="101" t="s">
        <v>1085</v>
      </c>
      <c r="B292" s="61" t="s">
        <v>157</v>
      </c>
      <c r="C292" s="61" t="s">
        <v>156</v>
      </c>
      <c r="D292" s="61" t="s">
        <v>3288</v>
      </c>
      <c r="E292" s="118">
        <v>0.92100000000000004</v>
      </c>
      <c r="F292" s="148" t="s">
        <v>122</v>
      </c>
      <c r="G292" s="148">
        <v>1</v>
      </c>
      <c r="H292" s="61" t="s">
        <v>39</v>
      </c>
      <c r="I292" s="61" t="s">
        <v>535</v>
      </c>
      <c r="J292" s="62" t="s">
        <v>1086</v>
      </c>
      <c r="K292" s="168" t="s">
        <v>831</v>
      </c>
      <c r="L292" s="159">
        <v>7106</v>
      </c>
      <c r="M292" s="169"/>
    </row>
    <row r="293" spans="1:13" x14ac:dyDescent="0.55000000000000004">
      <c r="A293" s="101" t="s">
        <v>1085</v>
      </c>
      <c r="B293" s="61" t="s">
        <v>1088</v>
      </c>
      <c r="C293" s="61" t="s">
        <v>127</v>
      </c>
      <c r="D293" s="61" t="s">
        <v>2994</v>
      </c>
      <c r="E293" s="118">
        <v>1.36</v>
      </c>
      <c r="F293" s="148" t="s">
        <v>130</v>
      </c>
      <c r="G293" s="148">
        <v>1</v>
      </c>
      <c r="H293" s="61" t="s">
        <v>39</v>
      </c>
      <c r="I293" s="61" t="s">
        <v>535</v>
      </c>
      <c r="J293" s="62" t="s">
        <v>1086</v>
      </c>
      <c r="K293" s="168" t="s">
        <v>831</v>
      </c>
      <c r="L293" s="159"/>
      <c r="M293" s="169"/>
    </row>
    <row r="294" spans="1:13" x14ac:dyDescent="0.55000000000000004">
      <c r="A294" s="101" t="s">
        <v>1085</v>
      </c>
      <c r="B294" s="61" t="s">
        <v>1089</v>
      </c>
      <c r="C294" s="61" t="s">
        <v>127</v>
      </c>
      <c r="D294" s="61" t="s">
        <v>2994</v>
      </c>
      <c r="E294" s="118">
        <v>0.17100000000000001</v>
      </c>
      <c r="F294" s="148" t="s">
        <v>167</v>
      </c>
      <c r="G294" s="148">
        <v>1</v>
      </c>
      <c r="H294" s="61" t="s">
        <v>39</v>
      </c>
      <c r="I294" s="61" t="s">
        <v>535</v>
      </c>
      <c r="J294" s="62" t="s">
        <v>1086</v>
      </c>
      <c r="K294" s="168" t="s">
        <v>831</v>
      </c>
      <c r="L294" s="159"/>
      <c r="M294" s="169"/>
    </row>
    <row r="295" spans="1:13" x14ac:dyDescent="0.55000000000000004">
      <c r="A295" s="101" t="s">
        <v>1085</v>
      </c>
      <c r="B295" s="61" t="s">
        <v>1090</v>
      </c>
      <c r="C295" s="61" t="s">
        <v>125</v>
      </c>
      <c r="D295" s="61" t="s">
        <v>3288</v>
      </c>
      <c r="E295" s="118">
        <v>5.2400000000000002E-2</v>
      </c>
      <c r="F295" s="148" t="s">
        <v>122</v>
      </c>
      <c r="G295" s="148">
        <v>1</v>
      </c>
      <c r="H295" s="61" t="s">
        <v>39</v>
      </c>
      <c r="I295" s="61" t="s">
        <v>535</v>
      </c>
      <c r="J295" s="62" t="s">
        <v>1086</v>
      </c>
      <c r="K295" s="168" t="s">
        <v>831</v>
      </c>
      <c r="L295" s="159"/>
      <c r="M295" s="169"/>
    </row>
    <row r="296" spans="1:13" x14ac:dyDescent="0.55000000000000004">
      <c r="A296" s="101" t="s">
        <v>1085</v>
      </c>
      <c r="B296" s="61" t="s">
        <v>161</v>
      </c>
      <c r="C296" s="61" t="s">
        <v>125</v>
      </c>
      <c r="D296" s="61" t="s">
        <v>3288</v>
      </c>
      <c r="E296" s="118">
        <v>1</v>
      </c>
      <c r="F296" s="148" t="s">
        <v>122</v>
      </c>
      <c r="G296" s="148">
        <v>1</v>
      </c>
      <c r="H296" s="61" t="s">
        <v>39</v>
      </c>
      <c r="I296" s="61" t="s">
        <v>535</v>
      </c>
      <c r="J296" s="62" t="s">
        <v>1086</v>
      </c>
      <c r="K296" s="168" t="s">
        <v>831</v>
      </c>
      <c r="L296" s="159"/>
      <c r="M296" s="169"/>
    </row>
    <row r="297" spans="1:13" x14ac:dyDescent="0.55000000000000004">
      <c r="A297" s="101" t="s">
        <v>1085</v>
      </c>
      <c r="B297" s="61" t="s">
        <v>1091</v>
      </c>
      <c r="C297" s="61" t="s">
        <v>124</v>
      </c>
      <c r="D297" s="61" t="s">
        <v>3288</v>
      </c>
      <c r="E297" s="118">
        <v>7.4099999999999995E-8</v>
      </c>
      <c r="F297" s="148" t="s">
        <v>122</v>
      </c>
      <c r="G297" s="148">
        <v>1</v>
      </c>
      <c r="H297" s="61" t="s">
        <v>39</v>
      </c>
      <c r="I297" s="61" t="s">
        <v>535</v>
      </c>
      <c r="J297" s="62" t="s">
        <v>1086</v>
      </c>
      <c r="K297" s="168" t="s">
        <v>831</v>
      </c>
      <c r="L297" s="159"/>
      <c r="M297" s="169"/>
    </row>
    <row r="298" spans="1:13" x14ac:dyDescent="0.55000000000000004">
      <c r="A298" s="101" t="s">
        <v>1085</v>
      </c>
      <c r="B298" s="61" t="s">
        <v>632</v>
      </c>
      <c r="C298" s="61" t="s">
        <v>124</v>
      </c>
      <c r="D298" s="61" t="s">
        <v>3288</v>
      </c>
      <c r="E298" s="118">
        <v>1.5699999999999999E-4</v>
      </c>
      <c r="F298" s="148" t="s">
        <v>122</v>
      </c>
      <c r="G298" s="148">
        <v>1</v>
      </c>
      <c r="H298" s="61" t="s">
        <v>39</v>
      </c>
      <c r="I298" s="61" t="s">
        <v>535</v>
      </c>
      <c r="J298" s="62" t="s">
        <v>1086</v>
      </c>
      <c r="K298" s="168" t="s">
        <v>831</v>
      </c>
      <c r="L298" s="159"/>
      <c r="M298" s="169"/>
    </row>
    <row r="299" spans="1:13" x14ac:dyDescent="0.55000000000000004">
      <c r="A299" s="101" t="s">
        <v>1085</v>
      </c>
      <c r="B299" s="61" t="s">
        <v>1092</v>
      </c>
      <c r="C299" s="61" t="s">
        <v>124</v>
      </c>
      <c r="D299" s="61" t="s">
        <v>3288</v>
      </c>
      <c r="E299" s="118">
        <v>1.11E-6</v>
      </c>
      <c r="F299" s="148" t="s">
        <v>122</v>
      </c>
      <c r="G299" s="148">
        <v>1</v>
      </c>
      <c r="H299" s="61" t="s">
        <v>39</v>
      </c>
      <c r="I299" s="61" t="s">
        <v>535</v>
      </c>
      <c r="J299" s="62" t="s">
        <v>1086</v>
      </c>
      <c r="K299" s="168" t="s">
        <v>831</v>
      </c>
      <c r="L299" s="159"/>
      <c r="M299" s="169"/>
    </row>
    <row r="300" spans="1:13" x14ac:dyDescent="0.55000000000000004">
      <c r="A300" s="101" t="s">
        <v>1085</v>
      </c>
      <c r="B300" s="61" t="s">
        <v>1093</v>
      </c>
      <c r="C300" s="61" t="s">
        <v>124</v>
      </c>
      <c r="D300" s="61" t="s">
        <v>3288</v>
      </c>
      <c r="E300" s="118">
        <v>3.1099999999999998E-9</v>
      </c>
      <c r="F300" s="148" t="s">
        <v>122</v>
      </c>
      <c r="G300" s="148">
        <v>1</v>
      </c>
      <c r="H300" s="61" t="s">
        <v>39</v>
      </c>
      <c r="I300" s="61" t="s">
        <v>535</v>
      </c>
      <c r="J300" s="62" t="s">
        <v>1086</v>
      </c>
      <c r="K300" s="168" t="s">
        <v>831</v>
      </c>
      <c r="L300" s="159"/>
      <c r="M300" s="169"/>
    </row>
    <row r="301" spans="1:13" x14ac:dyDescent="0.55000000000000004">
      <c r="A301" s="101" t="s">
        <v>1085</v>
      </c>
      <c r="B301" s="61" t="s">
        <v>1094</v>
      </c>
      <c r="C301" s="61" t="s">
        <v>124</v>
      </c>
      <c r="D301" s="61" t="s">
        <v>3288</v>
      </c>
      <c r="E301" s="118">
        <v>1.26E-6</v>
      </c>
      <c r="F301" s="148" t="s">
        <v>122</v>
      </c>
      <c r="G301" s="148">
        <v>1</v>
      </c>
      <c r="H301" s="61" t="s">
        <v>39</v>
      </c>
      <c r="I301" s="61" t="s">
        <v>535</v>
      </c>
      <c r="J301" s="62" t="s">
        <v>1086</v>
      </c>
      <c r="K301" s="168" t="s">
        <v>831</v>
      </c>
      <c r="L301" s="159"/>
      <c r="M301" s="169"/>
    </row>
    <row r="302" spans="1:13" x14ac:dyDescent="0.55000000000000004">
      <c r="A302" s="101" t="s">
        <v>1085</v>
      </c>
      <c r="B302" s="61" t="s">
        <v>1095</v>
      </c>
      <c r="C302" s="61" t="s">
        <v>124</v>
      </c>
      <c r="D302" s="61" t="s">
        <v>3288</v>
      </c>
      <c r="E302" s="118">
        <v>3.0700000000000001E-5</v>
      </c>
      <c r="F302" s="148" t="s">
        <v>122</v>
      </c>
      <c r="G302" s="148">
        <v>1</v>
      </c>
      <c r="H302" s="61" t="s">
        <v>39</v>
      </c>
      <c r="I302" s="61" t="s">
        <v>535</v>
      </c>
      <c r="J302" s="62" t="s">
        <v>1086</v>
      </c>
      <c r="K302" s="168" t="s">
        <v>831</v>
      </c>
      <c r="L302" s="159"/>
      <c r="M302" s="169"/>
    </row>
    <row r="303" spans="1:13" x14ac:dyDescent="0.55000000000000004">
      <c r="A303" s="101" t="s">
        <v>1085</v>
      </c>
      <c r="B303" s="61" t="s">
        <v>1096</v>
      </c>
      <c r="C303" s="61" t="s">
        <v>124</v>
      </c>
      <c r="D303" s="61" t="s">
        <v>3288</v>
      </c>
      <c r="E303" s="118">
        <v>1.48E-7</v>
      </c>
      <c r="F303" s="148" t="s">
        <v>122</v>
      </c>
      <c r="G303" s="148">
        <v>1</v>
      </c>
      <c r="H303" s="61" t="s">
        <v>39</v>
      </c>
      <c r="I303" s="61" t="s">
        <v>535</v>
      </c>
      <c r="J303" s="62" t="s">
        <v>1086</v>
      </c>
      <c r="K303" s="168" t="s">
        <v>831</v>
      </c>
      <c r="L303" s="159"/>
      <c r="M303" s="169"/>
    </row>
    <row r="304" spans="1:13" x14ac:dyDescent="0.55000000000000004">
      <c r="A304" s="101" t="s">
        <v>1085</v>
      </c>
      <c r="B304" s="61" t="s">
        <v>891</v>
      </c>
      <c r="C304" s="61" t="s">
        <v>124</v>
      </c>
      <c r="D304" s="61" t="s">
        <v>3288</v>
      </c>
      <c r="E304" s="118">
        <v>4.2999999999999999E-4</v>
      </c>
      <c r="F304" s="148" t="s">
        <v>122</v>
      </c>
      <c r="G304" s="148">
        <v>1</v>
      </c>
      <c r="H304" s="61" t="s">
        <v>39</v>
      </c>
      <c r="I304" s="61" t="s">
        <v>535</v>
      </c>
      <c r="J304" s="62" t="s">
        <v>1086</v>
      </c>
      <c r="K304" s="168" t="s">
        <v>831</v>
      </c>
      <c r="L304" s="159"/>
      <c r="M304" s="169"/>
    </row>
    <row r="305" spans="1:13" x14ac:dyDescent="0.55000000000000004">
      <c r="A305" s="101" t="s">
        <v>1085</v>
      </c>
      <c r="B305" s="61" t="s">
        <v>1097</v>
      </c>
      <c r="C305" s="61" t="s">
        <v>124</v>
      </c>
      <c r="D305" s="61" t="s">
        <v>3288</v>
      </c>
      <c r="E305" s="118">
        <v>3.3000000000000003E-5</v>
      </c>
      <c r="F305" s="148" t="s">
        <v>122</v>
      </c>
      <c r="G305" s="148">
        <v>1</v>
      </c>
      <c r="H305" s="61" t="s">
        <v>39</v>
      </c>
      <c r="I305" s="61" t="s">
        <v>535</v>
      </c>
      <c r="J305" s="62" t="s">
        <v>1086</v>
      </c>
      <c r="K305" s="168" t="s">
        <v>831</v>
      </c>
      <c r="L305" s="159"/>
      <c r="M305" s="169"/>
    </row>
    <row r="306" spans="1:13" x14ac:dyDescent="0.55000000000000004">
      <c r="A306" s="101" t="s">
        <v>1085</v>
      </c>
      <c r="B306" s="61" t="s">
        <v>1098</v>
      </c>
      <c r="C306" s="61" t="s">
        <v>124</v>
      </c>
      <c r="D306" s="61" t="s">
        <v>3288</v>
      </c>
      <c r="E306" s="118">
        <v>1.1E-5</v>
      </c>
      <c r="F306" s="148" t="s">
        <v>122</v>
      </c>
      <c r="G306" s="148">
        <v>1</v>
      </c>
      <c r="H306" s="61" t="s">
        <v>39</v>
      </c>
      <c r="I306" s="61" t="s">
        <v>535</v>
      </c>
      <c r="J306" s="62" t="s">
        <v>1086</v>
      </c>
      <c r="K306" s="168" t="s">
        <v>831</v>
      </c>
      <c r="L306" s="159"/>
      <c r="M306" s="169"/>
    </row>
    <row r="307" spans="1:13" x14ac:dyDescent="0.55000000000000004">
      <c r="A307" s="101" t="s">
        <v>1085</v>
      </c>
      <c r="B307" s="61" t="s">
        <v>1099</v>
      </c>
      <c r="C307" s="61" t="s">
        <v>124</v>
      </c>
      <c r="D307" s="61" t="s">
        <v>3288</v>
      </c>
      <c r="E307" s="118">
        <v>2.1999999999999999E-5</v>
      </c>
      <c r="F307" s="148" t="s">
        <v>122</v>
      </c>
      <c r="G307" s="148">
        <v>1</v>
      </c>
      <c r="H307" s="61" t="s">
        <v>39</v>
      </c>
      <c r="I307" s="61" t="s">
        <v>535</v>
      </c>
      <c r="J307" s="62" t="s">
        <v>1086</v>
      </c>
      <c r="K307" s="168" t="s">
        <v>831</v>
      </c>
      <c r="L307" s="159"/>
      <c r="M307" s="169"/>
    </row>
    <row r="308" spans="1:13" x14ac:dyDescent="0.55000000000000004">
      <c r="A308" s="101" t="s">
        <v>1085</v>
      </c>
      <c r="B308" s="61" t="s">
        <v>1172</v>
      </c>
      <c r="C308" s="61" t="s">
        <v>124</v>
      </c>
      <c r="D308" s="61" t="s">
        <v>3288</v>
      </c>
      <c r="E308" s="118">
        <v>3.3300000000000002E-4</v>
      </c>
      <c r="F308" s="148" t="s">
        <v>122</v>
      </c>
      <c r="G308" s="148">
        <v>1</v>
      </c>
      <c r="H308" s="61" t="s">
        <v>39</v>
      </c>
      <c r="I308" s="61" t="s">
        <v>535</v>
      </c>
      <c r="J308" s="62" t="s">
        <v>1086</v>
      </c>
      <c r="K308" s="168" t="s">
        <v>831</v>
      </c>
      <c r="L308" s="159"/>
      <c r="M308" s="169"/>
    </row>
    <row r="309" spans="1:13" x14ac:dyDescent="0.55000000000000004">
      <c r="A309" s="101" t="s">
        <v>1085</v>
      </c>
      <c r="B309" s="61" t="s">
        <v>1101</v>
      </c>
      <c r="C309" s="61" t="s">
        <v>124</v>
      </c>
      <c r="D309" s="61" t="s">
        <v>3288</v>
      </c>
      <c r="E309" s="118">
        <v>4.1099999999999996E-6</v>
      </c>
      <c r="F309" s="148" t="s">
        <v>122</v>
      </c>
      <c r="G309" s="148">
        <v>1</v>
      </c>
      <c r="H309" s="61" t="s">
        <v>39</v>
      </c>
      <c r="I309" s="61" t="s">
        <v>535</v>
      </c>
      <c r="J309" s="62" t="s">
        <v>1086</v>
      </c>
      <c r="K309" s="168" t="s">
        <v>831</v>
      </c>
      <c r="L309" s="159"/>
      <c r="M309" s="169"/>
    </row>
    <row r="310" spans="1:13" x14ac:dyDescent="0.55000000000000004">
      <c r="A310" s="94" t="s">
        <v>1072</v>
      </c>
      <c r="B310" s="168" t="s">
        <v>469</v>
      </c>
      <c r="C310" s="168" t="s">
        <v>121</v>
      </c>
      <c r="D310" s="168" t="s">
        <v>2994</v>
      </c>
      <c r="E310" s="116">
        <v>1</v>
      </c>
      <c r="F310" s="149" t="s">
        <v>138</v>
      </c>
      <c r="G310" s="149">
        <v>1</v>
      </c>
      <c r="H310" s="168" t="s">
        <v>39</v>
      </c>
      <c r="I310" s="61"/>
      <c r="J310" s="94" t="s">
        <v>1073</v>
      </c>
      <c r="K310" s="61"/>
      <c r="L310" s="160">
        <v>2905</v>
      </c>
      <c r="M310" s="169"/>
    </row>
    <row r="311" spans="1:13" x14ac:dyDescent="0.55000000000000004">
      <c r="A311" s="94" t="s">
        <v>1072</v>
      </c>
      <c r="B311" s="168" t="s">
        <v>233</v>
      </c>
      <c r="C311" s="168" t="s">
        <v>231</v>
      </c>
      <c r="D311" s="168" t="s">
        <v>2994</v>
      </c>
      <c r="E311" s="116">
        <v>1.0136734410462731</v>
      </c>
      <c r="F311" s="149" t="s">
        <v>138</v>
      </c>
      <c r="G311" s="149" t="s">
        <v>138</v>
      </c>
      <c r="H311" s="168" t="s">
        <v>39</v>
      </c>
      <c r="I311" s="61"/>
      <c r="J311" s="94" t="s">
        <v>1073</v>
      </c>
      <c r="K311" s="61"/>
      <c r="L311" s="160"/>
      <c r="M311" s="169"/>
    </row>
    <row r="312" spans="1:13" x14ac:dyDescent="0.55000000000000004">
      <c r="A312" s="94" t="s">
        <v>1072</v>
      </c>
      <c r="B312" s="168" t="s">
        <v>208</v>
      </c>
      <c r="C312" s="168" t="s">
        <v>127</v>
      </c>
      <c r="D312" s="168" t="s">
        <v>2994</v>
      </c>
      <c r="E312" s="116">
        <v>0.42220000000000002</v>
      </c>
      <c r="F312" s="149" t="s">
        <v>138</v>
      </c>
      <c r="G312" s="149" t="s">
        <v>138</v>
      </c>
      <c r="H312" s="168" t="s">
        <v>39</v>
      </c>
      <c r="I312" s="61"/>
      <c r="J312" s="94" t="s">
        <v>1073</v>
      </c>
      <c r="K312" s="61"/>
      <c r="L312" s="160"/>
      <c r="M312" s="169"/>
    </row>
    <row r="313" spans="1:13" x14ac:dyDescent="0.55000000000000004">
      <c r="A313" s="94" t="s">
        <v>1072</v>
      </c>
      <c r="B313" s="168" t="s">
        <v>160</v>
      </c>
      <c r="C313" s="168" t="s">
        <v>247</v>
      </c>
      <c r="D313" s="168" t="s">
        <v>3288</v>
      </c>
      <c r="E313" s="116">
        <v>2.1954399999999999E-2</v>
      </c>
      <c r="F313" s="149" t="s">
        <v>3286</v>
      </c>
      <c r="G313" s="149" t="s">
        <v>135</v>
      </c>
      <c r="H313" s="168"/>
      <c r="I313" s="61"/>
      <c r="J313" s="94" t="s">
        <v>1073</v>
      </c>
      <c r="K313" s="61"/>
      <c r="L313" s="160"/>
      <c r="M313" s="169"/>
    </row>
    <row r="314" spans="1:13" x14ac:dyDescent="0.55000000000000004">
      <c r="A314" s="60" t="s">
        <v>3375</v>
      </c>
      <c r="B314" s="61" t="s">
        <v>140</v>
      </c>
      <c r="C314" s="61" t="s">
        <v>121</v>
      </c>
      <c r="D314" s="168" t="s">
        <v>3288</v>
      </c>
      <c r="E314" s="116">
        <v>1</v>
      </c>
      <c r="F314" s="149" t="s">
        <v>135</v>
      </c>
      <c r="G314" s="149">
        <v>1</v>
      </c>
      <c r="H314" s="168" t="s">
        <v>39</v>
      </c>
      <c r="I314" s="61"/>
      <c r="J314" s="60" t="s">
        <v>1071</v>
      </c>
      <c r="K314" s="61"/>
      <c r="L314" s="160" t="s">
        <v>1021</v>
      </c>
      <c r="M314" s="169"/>
    </row>
    <row r="315" spans="1:13" x14ac:dyDescent="0.55000000000000004">
      <c r="A315" s="60" t="s">
        <v>3375</v>
      </c>
      <c r="B315" s="61" t="s">
        <v>137</v>
      </c>
      <c r="C315" s="61" t="s">
        <v>127</v>
      </c>
      <c r="D315" s="168" t="s">
        <v>2994</v>
      </c>
      <c r="E315" s="120">
        <v>23.5</v>
      </c>
      <c r="F315" s="148" t="s">
        <v>138</v>
      </c>
      <c r="G315" s="148" t="s">
        <v>135</v>
      </c>
      <c r="H315" s="168"/>
      <c r="I315" s="61"/>
      <c r="J315" s="60" t="s">
        <v>1071</v>
      </c>
      <c r="K315" s="61"/>
      <c r="L315" s="161"/>
      <c r="M315" s="169"/>
    </row>
    <row r="316" spans="1:13" x14ac:dyDescent="0.55000000000000004">
      <c r="A316" s="60" t="s">
        <v>3376</v>
      </c>
      <c r="B316" s="61" t="s">
        <v>140</v>
      </c>
      <c r="C316" s="61" t="s">
        <v>121</v>
      </c>
      <c r="D316" s="168" t="s">
        <v>3288</v>
      </c>
      <c r="E316" s="116">
        <v>1</v>
      </c>
      <c r="F316" s="149" t="s">
        <v>135</v>
      </c>
      <c r="G316" s="149">
        <v>1</v>
      </c>
      <c r="H316" s="168" t="s">
        <v>39</v>
      </c>
      <c r="I316" s="61"/>
      <c r="J316" s="60" t="s">
        <v>1069</v>
      </c>
      <c r="K316" s="61"/>
      <c r="L316" s="160" t="s">
        <v>1021</v>
      </c>
      <c r="M316" s="169"/>
    </row>
    <row r="317" spans="1:13" x14ac:dyDescent="0.55000000000000004">
      <c r="A317" s="60" t="s">
        <v>3376</v>
      </c>
      <c r="B317" s="61" t="s">
        <v>137</v>
      </c>
      <c r="C317" s="61" t="s">
        <v>127</v>
      </c>
      <c r="D317" s="168" t="s">
        <v>2994</v>
      </c>
      <c r="E317" s="117">
        <v>18.5</v>
      </c>
      <c r="F317" s="148" t="s">
        <v>138</v>
      </c>
      <c r="G317" s="148" t="s">
        <v>135</v>
      </c>
      <c r="H317" s="168"/>
      <c r="I317" s="61"/>
      <c r="J317" s="60" t="s">
        <v>1069</v>
      </c>
      <c r="K317" s="61"/>
      <c r="L317" s="161"/>
      <c r="M317" s="169"/>
    </row>
    <row r="318" spans="1:13" x14ac:dyDescent="0.55000000000000004">
      <c r="A318" s="60" t="s">
        <v>3376</v>
      </c>
      <c r="B318" s="61" t="s">
        <v>160</v>
      </c>
      <c r="C318" s="61" t="s">
        <v>247</v>
      </c>
      <c r="D318" s="168" t="s">
        <v>3288</v>
      </c>
      <c r="E318" s="117">
        <v>0.96199999999999997</v>
      </c>
      <c r="F318" s="148" t="s">
        <v>3286</v>
      </c>
      <c r="G318" s="148" t="s">
        <v>135</v>
      </c>
      <c r="H318" s="168" t="s">
        <v>373</v>
      </c>
      <c r="I318" s="61"/>
      <c r="J318" s="60" t="s">
        <v>1069</v>
      </c>
      <c r="K318" s="61"/>
      <c r="L318" s="161"/>
      <c r="M318" s="169"/>
    </row>
    <row r="319" spans="1:13" x14ac:dyDescent="0.55000000000000004">
      <c r="A319" s="60" t="s">
        <v>3376</v>
      </c>
      <c r="B319" s="61" t="s">
        <v>160</v>
      </c>
      <c r="C319" s="168" t="s">
        <v>156</v>
      </c>
      <c r="D319" s="168" t="s">
        <v>3288</v>
      </c>
      <c r="E319" s="116">
        <f>E318*0.8</f>
        <v>0.76960000000000006</v>
      </c>
      <c r="F319" s="149" t="s">
        <v>135</v>
      </c>
      <c r="G319" s="149" t="s">
        <v>135</v>
      </c>
      <c r="H319" s="168" t="s">
        <v>39</v>
      </c>
      <c r="I319" s="61" t="s">
        <v>2096</v>
      </c>
      <c r="J319" s="60" t="s">
        <v>1069</v>
      </c>
      <c r="K319" s="61"/>
      <c r="L319" s="160"/>
      <c r="M319" s="169"/>
    </row>
    <row r="320" spans="1:13" x14ac:dyDescent="0.55000000000000004">
      <c r="A320" s="94" t="s">
        <v>1066</v>
      </c>
      <c r="B320" s="168" t="s">
        <v>1037</v>
      </c>
      <c r="C320" s="168" t="s">
        <v>121</v>
      </c>
      <c r="D320" s="168" t="s">
        <v>2994</v>
      </c>
      <c r="E320" s="116">
        <v>1</v>
      </c>
      <c r="F320" s="149" t="s">
        <v>138</v>
      </c>
      <c r="G320" s="149">
        <v>1</v>
      </c>
      <c r="H320" s="168" t="s">
        <v>39</v>
      </c>
      <c r="I320" s="61"/>
      <c r="J320" s="94" t="s">
        <v>1067</v>
      </c>
      <c r="K320" s="61"/>
      <c r="L320" s="160">
        <v>2901.21</v>
      </c>
      <c r="M320" s="169"/>
    </row>
    <row r="321" spans="1:13" x14ac:dyDescent="0.55000000000000004">
      <c r="A321" s="94" t="s">
        <v>1066</v>
      </c>
      <c r="B321" s="168" t="s">
        <v>230</v>
      </c>
      <c r="C321" s="168" t="s">
        <v>231</v>
      </c>
      <c r="D321" s="168" t="s">
        <v>2994</v>
      </c>
      <c r="E321" s="116">
        <v>4.1025641025641022</v>
      </c>
      <c r="F321" s="149" t="s">
        <v>138</v>
      </c>
      <c r="G321" s="149" t="s">
        <v>138</v>
      </c>
      <c r="H321" s="168" t="s">
        <v>39</v>
      </c>
      <c r="I321" s="61"/>
      <c r="J321" s="94" t="s">
        <v>1067</v>
      </c>
      <c r="K321" s="61"/>
      <c r="L321" s="160"/>
      <c r="M321" s="169"/>
    </row>
    <row r="322" spans="1:13" x14ac:dyDescent="0.55000000000000004">
      <c r="A322" s="94" t="s">
        <v>1066</v>
      </c>
      <c r="B322" s="168" t="s">
        <v>208</v>
      </c>
      <c r="C322" s="168" t="s">
        <v>127</v>
      </c>
      <c r="D322" s="168" t="s">
        <v>2994</v>
      </c>
      <c r="E322" s="116">
        <v>0.50370399999999993</v>
      </c>
      <c r="F322" s="149" t="s">
        <v>138</v>
      </c>
      <c r="G322" s="149" t="s">
        <v>138</v>
      </c>
      <c r="H322" s="168" t="s">
        <v>39</v>
      </c>
      <c r="I322" s="61"/>
      <c r="J322" s="94" t="s">
        <v>1067</v>
      </c>
      <c r="K322" s="61"/>
      <c r="L322" s="160"/>
      <c r="M322" s="169"/>
    </row>
    <row r="323" spans="1:13" x14ac:dyDescent="0.55000000000000004">
      <c r="A323" s="94" t="s">
        <v>1066</v>
      </c>
      <c r="B323" s="168" t="s">
        <v>160</v>
      </c>
      <c r="C323" s="168" t="s">
        <v>247</v>
      </c>
      <c r="D323" s="168" t="s">
        <v>3288</v>
      </c>
      <c r="E323" s="116">
        <v>2.6192607999999996E-2</v>
      </c>
      <c r="F323" s="149" t="s">
        <v>3286</v>
      </c>
      <c r="G323" s="149" t="s">
        <v>135</v>
      </c>
      <c r="H323" s="168" t="s">
        <v>373</v>
      </c>
      <c r="I323" s="61"/>
      <c r="J323" s="94" t="s">
        <v>1067</v>
      </c>
      <c r="K323" s="61"/>
      <c r="L323" s="160"/>
      <c r="M323" s="169"/>
    </row>
    <row r="324" spans="1:13" x14ac:dyDescent="0.55000000000000004">
      <c r="A324" s="94" t="s">
        <v>1064</v>
      </c>
      <c r="B324" s="168" t="s">
        <v>469</v>
      </c>
      <c r="C324" s="168" t="s">
        <v>121</v>
      </c>
      <c r="D324" s="168" t="s">
        <v>2994</v>
      </c>
      <c r="E324" s="116">
        <v>1</v>
      </c>
      <c r="F324" s="149" t="s">
        <v>138</v>
      </c>
      <c r="G324" s="149">
        <v>1</v>
      </c>
      <c r="H324" s="168" t="s">
        <v>39</v>
      </c>
      <c r="I324" s="61"/>
      <c r="J324" s="94" t="s">
        <v>1065</v>
      </c>
      <c r="K324" s="61"/>
      <c r="L324" s="160">
        <v>2905</v>
      </c>
      <c r="M324" s="169"/>
    </row>
    <row r="325" spans="1:13" x14ac:dyDescent="0.55000000000000004">
      <c r="A325" s="94" t="s">
        <v>1064</v>
      </c>
      <c r="B325" s="168" t="s">
        <v>160</v>
      </c>
      <c r="C325" s="168" t="s">
        <v>125</v>
      </c>
      <c r="D325" s="168" t="s">
        <v>2994</v>
      </c>
      <c r="E325" s="116">
        <v>30.487804878048784</v>
      </c>
      <c r="F325" s="149" t="s">
        <v>138</v>
      </c>
      <c r="G325" s="149" t="s">
        <v>138</v>
      </c>
      <c r="H325" s="168" t="s">
        <v>39</v>
      </c>
      <c r="I325" s="61"/>
      <c r="J325" s="94" t="s">
        <v>1065</v>
      </c>
      <c r="K325" s="61"/>
      <c r="L325" s="160"/>
      <c r="M325" s="169"/>
    </row>
    <row r="326" spans="1:13" x14ac:dyDescent="0.55000000000000004">
      <c r="A326" s="94" t="s">
        <v>1064</v>
      </c>
      <c r="B326" s="168" t="s">
        <v>208</v>
      </c>
      <c r="C326" s="168" t="s">
        <v>127</v>
      </c>
      <c r="D326" s="168" t="s">
        <v>2994</v>
      </c>
      <c r="E326" s="116">
        <v>0.73</v>
      </c>
      <c r="F326" s="149" t="s">
        <v>138</v>
      </c>
      <c r="G326" s="149" t="s">
        <v>138</v>
      </c>
      <c r="H326" s="168" t="s">
        <v>39</v>
      </c>
      <c r="I326" s="61"/>
      <c r="J326" s="94" t="s">
        <v>1065</v>
      </c>
      <c r="K326" s="61"/>
      <c r="L326" s="160"/>
      <c r="M326" s="169"/>
    </row>
    <row r="327" spans="1:13" x14ac:dyDescent="0.55000000000000004">
      <c r="A327" s="94" t="s">
        <v>1064</v>
      </c>
      <c r="B327" s="168" t="s">
        <v>160</v>
      </c>
      <c r="C327" s="168" t="s">
        <v>247</v>
      </c>
      <c r="D327" s="168" t="s">
        <v>3288</v>
      </c>
      <c r="E327" s="116">
        <v>3.7960000000000001E-2</v>
      </c>
      <c r="F327" s="149" t="s">
        <v>3286</v>
      </c>
      <c r="G327" s="149" t="s">
        <v>135</v>
      </c>
      <c r="H327" s="168" t="s">
        <v>373</v>
      </c>
      <c r="I327" s="61"/>
      <c r="J327" s="94" t="s">
        <v>1065</v>
      </c>
      <c r="K327" s="61"/>
      <c r="L327" s="160"/>
      <c r="M327" s="169"/>
    </row>
    <row r="328" spans="1:13" x14ac:dyDescent="0.55000000000000004">
      <c r="A328" s="94" t="s">
        <v>1062</v>
      </c>
      <c r="B328" s="168" t="s">
        <v>1037</v>
      </c>
      <c r="C328" s="168" t="s">
        <v>121</v>
      </c>
      <c r="D328" s="168" t="s">
        <v>2994</v>
      </c>
      <c r="E328" s="116">
        <v>1</v>
      </c>
      <c r="F328" s="149" t="s">
        <v>138</v>
      </c>
      <c r="G328" s="149">
        <v>1</v>
      </c>
      <c r="H328" s="168" t="s">
        <v>39</v>
      </c>
      <c r="I328" s="61"/>
      <c r="J328" s="94" t="s">
        <v>1063</v>
      </c>
      <c r="K328" s="61"/>
      <c r="L328" s="160">
        <v>2901.21</v>
      </c>
      <c r="M328" s="169"/>
    </row>
    <row r="329" spans="1:13" x14ac:dyDescent="0.55000000000000004">
      <c r="A329" s="94" t="s">
        <v>1062</v>
      </c>
      <c r="B329" s="168" t="s">
        <v>262</v>
      </c>
      <c r="C329" s="168" t="s">
        <v>231</v>
      </c>
      <c r="D329" s="168" t="s">
        <v>2994</v>
      </c>
      <c r="E329" s="116">
        <v>1.8157685215073491</v>
      </c>
      <c r="F329" s="149" t="s">
        <v>138</v>
      </c>
      <c r="G329" s="149" t="s">
        <v>138</v>
      </c>
      <c r="H329" s="168" t="s">
        <v>39</v>
      </c>
      <c r="I329" s="61"/>
      <c r="J329" s="94" t="s">
        <v>1063</v>
      </c>
      <c r="K329" s="61"/>
      <c r="L329" s="160"/>
      <c r="M329" s="169"/>
    </row>
    <row r="330" spans="1:13" x14ac:dyDescent="0.55000000000000004">
      <c r="A330" s="94" t="s">
        <v>1062</v>
      </c>
      <c r="B330" s="168" t="s">
        <v>208</v>
      </c>
      <c r="C330" s="168" t="s">
        <v>127</v>
      </c>
      <c r="D330" s="168" t="s">
        <v>2994</v>
      </c>
      <c r="E330" s="116">
        <v>0.98966397157622721</v>
      </c>
      <c r="F330" s="149" t="s">
        <v>138</v>
      </c>
      <c r="G330" s="149" t="s">
        <v>138</v>
      </c>
      <c r="H330" s="168" t="s">
        <v>39</v>
      </c>
      <c r="I330" s="61"/>
      <c r="J330" s="94" t="s">
        <v>1063</v>
      </c>
      <c r="K330" s="61"/>
      <c r="L330" s="160"/>
      <c r="M330" s="169"/>
    </row>
    <row r="331" spans="1:13" x14ac:dyDescent="0.55000000000000004">
      <c r="A331" s="94" t="s">
        <v>1062</v>
      </c>
      <c r="B331" s="168" t="s">
        <v>160</v>
      </c>
      <c r="C331" s="168" t="s">
        <v>247</v>
      </c>
      <c r="D331" s="168" t="s">
        <v>3288</v>
      </c>
      <c r="E331" s="116">
        <v>5.1462526521963814E-2</v>
      </c>
      <c r="F331" s="149" t="s">
        <v>3286</v>
      </c>
      <c r="G331" s="149" t="s">
        <v>135</v>
      </c>
      <c r="H331" s="168" t="s">
        <v>373</v>
      </c>
      <c r="I331" s="61"/>
      <c r="J331" s="94" t="s">
        <v>1063</v>
      </c>
      <c r="K331" s="61"/>
      <c r="L331" s="160"/>
      <c r="M331" s="169"/>
    </row>
    <row r="332" spans="1:13" x14ac:dyDescent="0.55000000000000004">
      <c r="A332" s="94" t="s">
        <v>1060</v>
      </c>
      <c r="B332" s="168" t="s">
        <v>1037</v>
      </c>
      <c r="C332" s="168" t="s">
        <v>121</v>
      </c>
      <c r="D332" s="168" t="s">
        <v>2994</v>
      </c>
      <c r="E332" s="116">
        <v>1</v>
      </c>
      <c r="F332" s="149" t="s">
        <v>138</v>
      </c>
      <c r="G332" s="149">
        <v>1</v>
      </c>
      <c r="H332" s="168" t="s">
        <v>39</v>
      </c>
      <c r="I332" s="61"/>
      <c r="J332" s="94" t="s">
        <v>1061</v>
      </c>
      <c r="K332" s="61"/>
      <c r="L332" s="160">
        <v>2901.21</v>
      </c>
      <c r="M332" s="169"/>
    </row>
    <row r="333" spans="1:13" x14ac:dyDescent="0.55000000000000004">
      <c r="A333" s="94" t="s">
        <v>1060</v>
      </c>
      <c r="B333" s="168" t="s">
        <v>262</v>
      </c>
      <c r="C333" s="168" t="s">
        <v>231</v>
      </c>
      <c r="D333" s="168" t="s">
        <v>2994</v>
      </c>
      <c r="E333" s="116">
        <v>3.0784030784030785</v>
      </c>
      <c r="F333" s="149" t="s">
        <v>138</v>
      </c>
      <c r="G333" s="149" t="s">
        <v>138</v>
      </c>
      <c r="H333" s="168" t="s">
        <v>39</v>
      </c>
      <c r="I333" s="61"/>
      <c r="J333" s="94" t="s">
        <v>1061</v>
      </c>
      <c r="K333" s="61"/>
      <c r="L333" s="160"/>
      <c r="M333" s="169"/>
    </row>
    <row r="334" spans="1:13" x14ac:dyDescent="0.55000000000000004">
      <c r="A334" s="94" t="s">
        <v>1060</v>
      </c>
      <c r="B334" s="168" t="s">
        <v>208</v>
      </c>
      <c r="C334" s="168" t="s">
        <v>127</v>
      </c>
      <c r="D334" s="168" t="s">
        <v>2994</v>
      </c>
      <c r="E334" s="116">
        <v>1.71</v>
      </c>
      <c r="F334" s="149" t="s">
        <v>138</v>
      </c>
      <c r="G334" s="149" t="s">
        <v>138</v>
      </c>
      <c r="H334" s="168" t="s">
        <v>39</v>
      </c>
      <c r="I334" s="61"/>
      <c r="J334" s="94" t="s">
        <v>1061</v>
      </c>
      <c r="K334" s="61"/>
      <c r="L334" s="160"/>
      <c r="M334" s="169"/>
    </row>
    <row r="335" spans="1:13" x14ac:dyDescent="0.55000000000000004">
      <c r="A335" s="94" t="s">
        <v>1060</v>
      </c>
      <c r="B335" s="168" t="s">
        <v>160</v>
      </c>
      <c r="C335" s="168" t="s">
        <v>247</v>
      </c>
      <c r="D335" s="168" t="s">
        <v>3288</v>
      </c>
      <c r="E335" s="116">
        <v>8.8919999999999999E-2</v>
      </c>
      <c r="F335" s="149" t="s">
        <v>3286</v>
      </c>
      <c r="G335" s="149" t="s">
        <v>135</v>
      </c>
      <c r="H335" s="168" t="s">
        <v>373</v>
      </c>
      <c r="I335" s="61"/>
      <c r="J335" s="94" t="s">
        <v>1061</v>
      </c>
      <c r="K335" s="61"/>
      <c r="L335" s="160"/>
      <c r="M335" s="169"/>
    </row>
    <row r="336" spans="1:13" x14ac:dyDescent="0.55000000000000004">
      <c r="A336" s="60" t="s">
        <v>1058</v>
      </c>
      <c r="B336" s="61" t="s">
        <v>140</v>
      </c>
      <c r="C336" s="61" t="s">
        <v>121</v>
      </c>
      <c r="D336" s="168" t="s">
        <v>3288</v>
      </c>
      <c r="E336" s="116">
        <v>1</v>
      </c>
      <c r="F336" s="149" t="s">
        <v>135</v>
      </c>
      <c r="G336" s="149">
        <v>1</v>
      </c>
      <c r="H336" s="168" t="s">
        <v>39</v>
      </c>
      <c r="I336" s="61"/>
      <c r="J336" s="60" t="s">
        <v>1059</v>
      </c>
      <c r="K336" s="61"/>
      <c r="L336" s="160" t="s">
        <v>1021</v>
      </c>
      <c r="M336" s="169"/>
    </row>
    <row r="337" spans="1:13" x14ac:dyDescent="0.55000000000000004">
      <c r="A337" s="60" t="s">
        <v>1058</v>
      </c>
      <c r="B337" s="61" t="s">
        <v>137</v>
      </c>
      <c r="C337" s="61" t="s">
        <v>127</v>
      </c>
      <c r="D337" s="168" t="s">
        <v>2994</v>
      </c>
      <c r="E337" s="120">
        <v>19.8</v>
      </c>
      <c r="F337" s="148" t="s">
        <v>138</v>
      </c>
      <c r="G337" s="148" t="s">
        <v>135</v>
      </c>
      <c r="H337" s="168"/>
      <c r="I337" s="61"/>
      <c r="J337" s="60" t="s">
        <v>1059</v>
      </c>
      <c r="K337" s="61"/>
      <c r="L337" s="161"/>
      <c r="M337" s="169"/>
    </row>
    <row r="338" spans="1:13" x14ac:dyDescent="0.55000000000000004">
      <c r="A338" s="60" t="s">
        <v>1058</v>
      </c>
      <c r="B338" s="61" t="s">
        <v>160</v>
      </c>
      <c r="C338" s="61" t="s">
        <v>247</v>
      </c>
      <c r="D338" s="168" t="s">
        <v>3288</v>
      </c>
      <c r="E338" s="120">
        <v>1.0296000000000001</v>
      </c>
      <c r="F338" s="148" t="s">
        <v>3286</v>
      </c>
      <c r="G338" s="148" t="s">
        <v>135</v>
      </c>
      <c r="H338" s="168" t="s">
        <v>373</v>
      </c>
      <c r="I338" s="61"/>
      <c r="J338" s="60" t="s">
        <v>1059</v>
      </c>
      <c r="K338" s="61"/>
      <c r="L338" s="161"/>
      <c r="M338" s="169"/>
    </row>
    <row r="339" spans="1:13" x14ac:dyDescent="0.55000000000000004">
      <c r="A339" s="60" t="s">
        <v>1056</v>
      </c>
      <c r="B339" s="61" t="s">
        <v>140</v>
      </c>
      <c r="C339" s="61" t="s">
        <v>121</v>
      </c>
      <c r="D339" s="168" t="s">
        <v>3288</v>
      </c>
      <c r="E339" s="116">
        <v>1</v>
      </c>
      <c r="F339" s="149" t="s">
        <v>135</v>
      </c>
      <c r="G339" s="149">
        <v>1</v>
      </c>
      <c r="H339" s="168" t="s">
        <v>39</v>
      </c>
      <c r="I339" s="61"/>
      <c r="J339" s="60" t="s">
        <v>1057</v>
      </c>
      <c r="K339" s="61"/>
      <c r="L339" s="160" t="s">
        <v>1021</v>
      </c>
      <c r="M339" s="169"/>
    </row>
    <row r="340" spans="1:13" x14ac:dyDescent="0.55000000000000004">
      <c r="A340" s="60" t="s">
        <v>1056</v>
      </c>
      <c r="B340" s="61" t="s">
        <v>137</v>
      </c>
      <c r="C340" s="61" t="s">
        <v>127</v>
      </c>
      <c r="D340" s="168" t="s">
        <v>2994</v>
      </c>
      <c r="E340" s="117">
        <v>19.8</v>
      </c>
      <c r="F340" s="148" t="s">
        <v>138</v>
      </c>
      <c r="G340" s="148" t="s">
        <v>135</v>
      </c>
      <c r="H340" s="168"/>
      <c r="I340" s="61"/>
      <c r="J340" s="60" t="s">
        <v>1057</v>
      </c>
      <c r="K340" s="61"/>
      <c r="L340" s="161"/>
      <c r="M340" s="169"/>
    </row>
    <row r="341" spans="1:13" x14ac:dyDescent="0.55000000000000004">
      <c r="A341" s="60" t="s">
        <v>1056</v>
      </c>
      <c r="B341" s="61" t="s">
        <v>160</v>
      </c>
      <c r="C341" s="61" t="s">
        <v>247</v>
      </c>
      <c r="D341" s="168" t="s">
        <v>3288</v>
      </c>
      <c r="E341" s="117">
        <v>1.0296000000000001</v>
      </c>
      <c r="F341" s="148" t="s">
        <v>3286</v>
      </c>
      <c r="G341" s="148" t="s">
        <v>135</v>
      </c>
      <c r="H341" s="168" t="s">
        <v>373</v>
      </c>
      <c r="I341" s="61"/>
      <c r="J341" s="60" t="s">
        <v>1057</v>
      </c>
      <c r="K341" s="61"/>
      <c r="L341" s="161"/>
      <c r="M341" s="169"/>
    </row>
    <row r="342" spans="1:13" x14ac:dyDescent="0.55000000000000004">
      <c r="A342" s="60" t="s">
        <v>1056</v>
      </c>
      <c r="B342" s="61" t="s">
        <v>160</v>
      </c>
      <c r="C342" s="168" t="s">
        <v>156</v>
      </c>
      <c r="D342" s="168" t="s">
        <v>3288</v>
      </c>
      <c r="E342" s="116">
        <f>E341*0.8</f>
        <v>0.82368000000000008</v>
      </c>
      <c r="F342" s="149" t="s">
        <v>135</v>
      </c>
      <c r="G342" s="149" t="s">
        <v>135</v>
      </c>
      <c r="H342" s="168" t="s">
        <v>39</v>
      </c>
      <c r="I342" s="61" t="s">
        <v>2096</v>
      </c>
      <c r="J342" s="60" t="s">
        <v>1057</v>
      </c>
      <c r="K342" s="61"/>
      <c r="L342" s="160"/>
      <c r="M342" s="169"/>
    </row>
    <row r="343" spans="1:13" x14ac:dyDescent="0.55000000000000004">
      <c r="A343" s="62" t="s">
        <v>1054</v>
      </c>
      <c r="B343" s="168" t="s">
        <v>134</v>
      </c>
      <c r="C343" s="61" t="s">
        <v>121</v>
      </c>
      <c r="D343" s="168" t="s">
        <v>3288</v>
      </c>
      <c r="E343" s="116">
        <v>1</v>
      </c>
      <c r="F343" s="149" t="s">
        <v>135</v>
      </c>
      <c r="G343" s="149">
        <v>1</v>
      </c>
      <c r="H343" s="168" t="s">
        <v>39</v>
      </c>
      <c r="I343" s="61"/>
      <c r="J343" s="62" t="s">
        <v>1055</v>
      </c>
      <c r="K343" s="61"/>
      <c r="L343" s="160" t="s">
        <v>241</v>
      </c>
      <c r="M343" s="169"/>
    </row>
    <row r="344" spans="1:13" x14ac:dyDescent="0.55000000000000004">
      <c r="A344" s="62" t="s">
        <v>1054</v>
      </c>
      <c r="B344" s="61" t="s">
        <v>137</v>
      </c>
      <c r="C344" s="61" t="s">
        <v>127</v>
      </c>
      <c r="D344" s="168" t="s">
        <v>2994</v>
      </c>
      <c r="E344" s="120">
        <v>2.9</v>
      </c>
      <c r="F344" s="148" t="s">
        <v>138</v>
      </c>
      <c r="G344" s="148" t="s">
        <v>135</v>
      </c>
      <c r="H344" s="168"/>
      <c r="I344" s="61"/>
      <c r="J344" s="62" t="s">
        <v>1055</v>
      </c>
      <c r="K344" s="61"/>
      <c r="L344" s="161"/>
      <c r="M344" s="169"/>
    </row>
    <row r="345" spans="1:13" x14ac:dyDescent="0.55000000000000004">
      <c r="A345" s="62" t="s">
        <v>1054</v>
      </c>
      <c r="B345" s="61" t="s">
        <v>160</v>
      </c>
      <c r="C345" s="61" t="s">
        <v>247</v>
      </c>
      <c r="D345" s="168" t="s">
        <v>3288</v>
      </c>
      <c r="E345" s="120">
        <v>0.15079999999999999</v>
      </c>
      <c r="F345" s="148" t="s">
        <v>3286</v>
      </c>
      <c r="G345" s="148" t="s">
        <v>135</v>
      </c>
      <c r="H345" s="168" t="s">
        <v>373</v>
      </c>
      <c r="I345" s="61"/>
      <c r="J345" s="62" t="s">
        <v>1055</v>
      </c>
      <c r="K345" s="61"/>
      <c r="L345" s="161"/>
      <c r="M345" s="169"/>
    </row>
    <row r="346" spans="1:13" x14ac:dyDescent="0.55000000000000004">
      <c r="A346" s="62" t="s">
        <v>1054</v>
      </c>
      <c r="B346" s="61" t="s">
        <v>160</v>
      </c>
      <c r="C346" s="61" t="s">
        <v>560</v>
      </c>
      <c r="D346" s="168" t="s">
        <v>3288</v>
      </c>
      <c r="E346" s="120">
        <v>0.5</v>
      </c>
      <c r="F346" s="148" t="s">
        <v>3286</v>
      </c>
      <c r="G346" s="148" t="s">
        <v>135</v>
      </c>
      <c r="H346" s="168" t="s">
        <v>39</v>
      </c>
      <c r="I346" s="61"/>
      <c r="J346" s="62" t="s">
        <v>1055</v>
      </c>
      <c r="K346" s="61"/>
      <c r="L346" s="161"/>
      <c r="M346" s="169"/>
    </row>
    <row r="347" spans="1:13" x14ac:dyDescent="0.55000000000000004">
      <c r="A347" s="62" t="s">
        <v>1052</v>
      </c>
      <c r="B347" s="168" t="s">
        <v>134</v>
      </c>
      <c r="C347" s="61" t="s">
        <v>121</v>
      </c>
      <c r="D347" s="168" t="s">
        <v>3288</v>
      </c>
      <c r="E347" s="116">
        <v>1</v>
      </c>
      <c r="F347" s="149" t="s">
        <v>135</v>
      </c>
      <c r="G347" s="149">
        <v>1</v>
      </c>
      <c r="H347" s="168" t="s">
        <v>39</v>
      </c>
      <c r="I347" s="168"/>
      <c r="J347" s="62" t="s">
        <v>1053</v>
      </c>
      <c r="K347" s="61"/>
      <c r="L347" s="160" t="s">
        <v>241</v>
      </c>
      <c r="M347" s="169"/>
    </row>
    <row r="348" spans="1:13" x14ac:dyDescent="0.55000000000000004">
      <c r="A348" s="62" t="s">
        <v>1052</v>
      </c>
      <c r="B348" s="61" t="s">
        <v>137</v>
      </c>
      <c r="C348" s="61" t="s">
        <v>127</v>
      </c>
      <c r="D348" s="168" t="s">
        <v>2994</v>
      </c>
      <c r="E348" s="120">
        <v>3.3</v>
      </c>
      <c r="F348" s="148" t="s">
        <v>138</v>
      </c>
      <c r="G348" s="148" t="s">
        <v>135</v>
      </c>
      <c r="H348" s="168"/>
      <c r="I348" s="61"/>
      <c r="J348" s="62" t="s">
        <v>1053</v>
      </c>
      <c r="K348" s="61"/>
      <c r="L348" s="161"/>
      <c r="M348" s="169"/>
    </row>
    <row r="349" spans="1:13" x14ac:dyDescent="0.55000000000000004">
      <c r="A349" s="62" t="s">
        <v>1052</v>
      </c>
      <c r="B349" s="61" t="s">
        <v>160</v>
      </c>
      <c r="C349" s="61" t="s">
        <v>247</v>
      </c>
      <c r="D349" s="168" t="s">
        <v>3288</v>
      </c>
      <c r="E349" s="120">
        <v>0.1716</v>
      </c>
      <c r="F349" s="148" t="s">
        <v>3286</v>
      </c>
      <c r="G349" s="148" t="s">
        <v>135</v>
      </c>
      <c r="H349" s="168" t="s">
        <v>373</v>
      </c>
      <c r="I349" s="61"/>
      <c r="J349" s="62" t="s">
        <v>1053</v>
      </c>
      <c r="K349" s="61"/>
      <c r="L349" s="161"/>
      <c r="M349" s="169"/>
    </row>
    <row r="350" spans="1:13" x14ac:dyDescent="0.55000000000000004">
      <c r="A350" s="62" t="s">
        <v>1052</v>
      </c>
      <c r="B350" s="61" t="s">
        <v>160</v>
      </c>
      <c r="C350" s="168" t="s">
        <v>156</v>
      </c>
      <c r="D350" s="168" t="s">
        <v>3288</v>
      </c>
      <c r="E350" s="116">
        <f>0.55*(E349+E351)</f>
        <v>0.36938000000000004</v>
      </c>
      <c r="F350" s="149" t="s">
        <v>135</v>
      </c>
      <c r="G350" s="149" t="s">
        <v>135</v>
      </c>
      <c r="H350" s="168" t="s">
        <v>39</v>
      </c>
      <c r="I350" s="61" t="s">
        <v>2094</v>
      </c>
      <c r="J350" s="62" t="s">
        <v>1053</v>
      </c>
      <c r="K350" s="61"/>
      <c r="L350" s="160"/>
      <c r="M350" s="169"/>
    </row>
    <row r="351" spans="1:13" x14ac:dyDescent="0.55000000000000004">
      <c r="A351" s="62" t="s">
        <v>1052</v>
      </c>
      <c r="B351" s="61" t="s">
        <v>160</v>
      </c>
      <c r="C351" s="61" t="s">
        <v>560</v>
      </c>
      <c r="D351" s="168" t="s">
        <v>3288</v>
      </c>
      <c r="E351" s="120">
        <v>0.5</v>
      </c>
      <c r="F351" s="148" t="s">
        <v>3286</v>
      </c>
      <c r="G351" s="148" t="s">
        <v>135</v>
      </c>
      <c r="H351" s="168" t="s">
        <v>39</v>
      </c>
      <c r="I351" s="61"/>
      <c r="J351" s="62" t="s">
        <v>1053</v>
      </c>
      <c r="K351" s="61"/>
      <c r="L351" s="161"/>
      <c r="M351" s="169"/>
    </row>
    <row r="352" spans="1:13" x14ac:dyDescent="0.55000000000000004">
      <c r="A352" s="62" t="s">
        <v>1050</v>
      </c>
      <c r="B352" s="168" t="s">
        <v>134</v>
      </c>
      <c r="C352" s="61" t="s">
        <v>121</v>
      </c>
      <c r="D352" s="168" t="s">
        <v>3288</v>
      </c>
      <c r="E352" s="116">
        <v>1</v>
      </c>
      <c r="F352" s="149" t="s">
        <v>135</v>
      </c>
      <c r="G352" s="149">
        <v>1</v>
      </c>
      <c r="H352" s="168" t="s">
        <v>39</v>
      </c>
      <c r="I352" s="168"/>
      <c r="J352" s="62" t="s">
        <v>1051</v>
      </c>
      <c r="K352" s="61"/>
      <c r="L352" s="160" t="s">
        <v>241</v>
      </c>
      <c r="M352" s="169"/>
    </row>
    <row r="353" spans="1:13" x14ac:dyDescent="0.55000000000000004">
      <c r="A353" s="62" t="s">
        <v>1050</v>
      </c>
      <c r="B353" s="61" t="s">
        <v>137</v>
      </c>
      <c r="C353" s="61" t="s">
        <v>127</v>
      </c>
      <c r="D353" s="168" t="s">
        <v>2994</v>
      </c>
      <c r="E353" s="120">
        <v>8.1999999999999993</v>
      </c>
      <c r="F353" s="148" t="s">
        <v>138</v>
      </c>
      <c r="G353" s="148" t="s">
        <v>135</v>
      </c>
      <c r="H353" s="168"/>
      <c r="I353" s="61"/>
      <c r="J353" s="62" t="s">
        <v>1051</v>
      </c>
      <c r="K353" s="61"/>
      <c r="L353" s="161"/>
      <c r="M353" s="169"/>
    </row>
    <row r="354" spans="1:13" x14ac:dyDescent="0.55000000000000004">
      <c r="A354" s="62" t="s">
        <v>1050</v>
      </c>
      <c r="B354" s="61" t="s">
        <v>160</v>
      </c>
      <c r="C354" s="61" t="s">
        <v>247</v>
      </c>
      <c r="D354" s="168" t="s">
        <v>3288</v>
      </c>
      <c r="E354" s="120">
        <v>0.4264</v>
      </c>
      <c r="F354" s="148" t="s">
        <v>3286</v>
      </c>
      <c r="G354" s="148" t="s">
        <v>135</v>
      </c>
      <c r="H354" s="168" t="s">
        <v>373</v>
      </c>
      <c r="I354" s="61"/>
      <c r="J354" s="62" t="s">
        <v>1051</v>
      </c>
      <c r="K354" s="61"/>
      <c r="L354" s="161"/>
      <c r="M354" s="169"/>
    </row>
    <row r="355" spans="1:13" x14ac:dyDescent="0.55000000000000004">
      <c r="A355" s="62" t="s">
        <v>1050</v>
      </c>
      <c r="B355" s="61" t="s">
        <v>160</v>
      </c>
      <c r="C355" s="61" t="s">
        <v>560</v>
      </c>
      <c r="D355" s="168" t="s">
        <v>3288</v>
      </c>
      <c r="E355" s="120">
        <v>0.5</v>
      </c>
      <c r="F355" s="148" t="s">
        <v>3286</v>
      </c>
      <c r="G355" s="148" t="s">
        <v>135</v>
      </c>
      <c r="H355" s="168" t="s">
        <v>39</v>
      </c>
      <c r="I355" s="61"/>
      <c r="J355" s="62" t="s">
        <v>1051</v>
      </c>
      <c r="K355" s="61"/>
      <c r="L355" s="161"/>
      <c r="M355" s="169"/>
    </row>
    <row r="356" spans="1:13" x14ac:dyDescent="0.55000000000000004">
      <c r="A356" s="62" t="s">
        <v>1050</v>
      </c>
      <c r="B356" s="61" t="s">
        <v>160</v>
      </c>
      <c r="C356" s="168" t="s">
        <v>156</v>
      </c>
      <c r="D356" s="168" t="s">
        <v>3288</v>
      </c>
      <c r="E356" s="116">
        <f>0.86*(E355+E354)</f>
        <v>0.79670399999999997</v>
      </c>
      <c r="F356" s="149" t="s">
        <v>135</v>
      </c>
      <c r="G356" s="149" t="s">
        <v>135</v>
      </c>
      <c r="H356" s="168" t="s">
        <v>39</v>
      </c>
      <c r="I356" s="61" t="s">
        <v>2095</v>
      </c>
      <c r="J356" s="62" t="s">
        <v>1051</v>
      </c>
      <c r="K356" s="61"/>
      <c r="L356" s="160"/>
      <c r="M356" s="169"/>
    </row>
    <row r="357" spans="1:13" x14ac:dyDescent="0.55000000000000004">
      <c r="A357" s="60" t="s">
        <v>1047</v>
      </c>
      <c r="B357" s="61" t="s">
        <v>140</v>
      </c>
      <c r="C357" s="61" t="s">
        <v>121</v>
      </c>
      <c r="D357" s="168" t="s">
        <v>3288</v>
      </c>
      <c r="E357" s="116">
        <v>1</v>
      </c>
      <c r="F357" s="149" t="s">
        <v>135</v>
      </c>
      <c r="G357" s="149">
        <v>1</v>
      </c>
      <c r="H357" s="168" t="s">
        <v>39</v>
      </c>
      <c r="I357" s="61"/>
      <c r="J357" s="60" t="s">
        <v>1048</v>
      </c>
      <c r="K357" s="61"/>
      <c r="L357" s="160" t="s">
        <v>1021</v>
      </c>
      <c r="M357" s="169"/>
    </row>
    <row r="358" spans="1:13" x14ac:dyDescent="0.55000000000000004">
      <c r="A358" s="60" t="s">
        <v>1047</v>
      </c>
      <c r="B358" s="61" t="s">
        <v>137</v>
      </c>
      <c r="C358" s="61" t="s">
        <v>127</v>
      </c>
      <c r="D358" s="168" t="s">
        <v>2994</v>
      </c>
      <c r="E358" s="120">
        <v>12</v>
      </c>
      <c r="F358" s="148" t="s">
        <v>138</v>
      </c>
      <c r="G358" s="148" t="s">
        <v>135</v>
      </c>
      <c r="H358" s="168"/>
      <c r="I358" s="61"/>
      <c r="J358" s="60" t="s">
        <v>1049</v>
      </c>
      <c r="K358" s="61"/>
      <c r="L358" s="160"/>
      <c r="M358" s="169"/>
    </row>
    <row r="359" spans="1:13" x14ac:dyDescent="0.55000000000000004">
      <c r="A359" s="60" t="s">
        <v>1047</v>
      </c>
      <c r="B359" s="61" t="s">
        <v>160</v>
      </c>
      <c r="C359" s="61" t="s">
        <v>247</v>
      </c>
      <c r="D359" s="168" t="s">
        <v>3288</v>
      </c>
      <c r="E359" s="120">
        <v>0.624</v>
      </c>
      <c r="F359" s="148" t="s">
        <v>3286</v>
      </c>
      <c r="G359" s="148">
        <v>1</v>
      </c>
      <c r="H359" s="168" t="s">
        <v>373</v>
      </c>
      <c r="I359" s="61"/>
      <c r="J359" s="60" t="s">
        <v>1049</v>
      </c>
      <c r="K359" s="61"/>
      <c r="L359" s="160"/>
      <c r="M359" s="169"/>
    </row>
    <row r="360" spans="1:13" x14ac:dyDescent="0.55000000000000004">
      <c r="A360" s="60" t="s">
        <v>1045</v>
      </c>
      <c r="B360" s="61" t="s">
        <v>140</v>
      </c>
      <c r="C360" s="61" t="s">
        <v>121</v>
      </c>
      <c r="D360" s="168" t="s">
        <v>3288</v>
      </c>
      <c r="E360" s="116">
        <v>1</v>
      </c>
      <c r="F360" s="149" t="s">
        <v>135</v>
      </c>
      <c r="G360" s="149">
        <v>1</v>
      </c>
      <c r="H360" s="168" t="s">
        <v>39</v>
      </c>
      <c r="I360" s="61"/>
      <c r="J360" s="60" t="s">
        <v>1046</v>
      </c>
      <c r="K360" s="61">
        <v>120</v>
      </c>
      <c r="L360" s="160" t="s">
        <v>1021</v>
      </c>
      <c r="M360" s="169"/>
    </row>
    <row r="361" spans="1:13" x14ac:dyDescent="0.55000000000000004">
      <c r="A361" s="60" t="s">
        <v>1045</v>
      </c>
      <c r="B361" s="61" t="s">
        <v>137</v>
      </c>
      <c r="C361" s="61" t="s">
        <v>127</v>
      </c>
      <c r="D361" s="168" t="s">
        <v>2994</v>
      </c>
      <c r="E361" s="120">
        <v>16</v>
      </c>
      <c r="F361" s="148" t="s">
        <v>138</v>
      </c>
      <c r="G361" s="148" t="s">
        <v>135</v>
      </c>
      <c r="H361" s="168"/>
      <c r="I361" s="61"/>
      <c r="J361" s="60" t="s">
        <v>1046</v>
      </c>
      <c r="K361" s="61"/>
      <c r="L361" s="161"/>
      <c r="M361" s="169"/>
    </row>
    <row r="362" spans="1:13" x14ac:dyDescent="0.55000000000000004">
      <c r="A362" s="60" t="s">
        <v>1045</v>
      </c>
      <c r="B362" s="61" t="s">
        <v>160</v>
      </c>
      <c r="C362" s="61" t="s">
        <v>247</v>
      </c>
      <c r="D362" s="168" t="s">
        <v>3288</v>
      </c>
      <c r="E362" s="120">
        <v>0.83199999999999996</v>
      </c>
      <c r="F362" s="148" t="s">
        <v>3286</v>
      </c>
      <c r="G362" s="148">
        <v>1</v>
      </c>
      <c r="H362" s="168" t="s">
        <v>373</v>
      </c>
      <c r="I362" s="61"/>
      <c r="J362" s="60" t="s">
        <v>1046</v>
      </c>
      <c r="K362" s="61"/>
      <c r="L362" s="161"/>
      <c r="M362" s="169"/>
    </row>
    <row r="363" spans="1:13" x14ac:dyDescent="0.55000000000000004">
      <c r="A363" s="60" t="s">
        <v>3377</v>
      </c>
      <c r="B363" s="61" t="s">
        <v>140</v>
      </c>
      <c r="C363" s="61" t="s">
        <v>121</v>
      </c>
      <c r="D363" s="168" t="s">
        <v>3288</v>
      </c>
      <c r="E363" s="116">
        <v>1</v>
      </c>
      <c r="F363" s="149" t="s">
        <v>135</v>
      </c>
      <c r="G363" s="149">
        <v>1</v>
      </c>
      <c r="H363" s="168" t="s">
        <v>39</v>
      </c>
      <c r="I363" s="61"/>
      <c r="J363" s="60" t="s">
        <v>1044</v>
      </c>
      <c r="K363" s="61"/>
      <c r="L363" s="160" t="s">
        <v>1021</v>
      </c>
      <c r="M363" s="169"/>
    </row>
    <row r="364" spans="1:13" x14ac:dyDescent="0.55000000000000004">
      <c r="A364" s="60" t="s">
        <v>3377</v>
      </c>
      <c r="B364" s="61" t="s">
        <v>137</v>
      </c>
      <c r="C364" s="61" t="s">
        <v>127</v>
      </c>
      <c r="D364" s="168" t="s">
        <v>2994</v>
      </c>
      <c r="E364" s="120">
        <v>22.2</v>
      </c>
      <c r="F364" s="148" t="s">
        <v>138</v>
      </c>
      <c r="G364" s="148" t="s">
        <v>135</v>
      </c>
      <c r="H364" s="168"/>
      <c r="I364" s="61"/>
      <c r="J364" s="60" t="s">
        <v>1044</v>
      </c>
      <c r="K364" s="61"/>
      <c r="L364" s="161"/>
      <c r="M364" s="169"/>
    </row>
    <row r="365" spans="1:13" x14ac:dyDescent="0.55000000000000004">
      <c r="A365" s="60" t="s">
        <v>3377</v>
      </c>
      <c r="B365" s="61" t="s">
        <v>160</v>
      </c>
      <c r="C365" s="61" t="s">
        <v>247</v>
      </c>
      <c r="D365" s="168" t="s">
        <v>3288</v>
      </c>
      <c r="E365" s="120">
        <v>1.1543999999999999</v>
      </c>
      <c r="F365" s="148" t="s">
        <v>3286</v>
      </c>
      <c r="G365" s="148">
        <v>1</v>
      </c>
      <c r="H365" s="168" t="s">
        <v>373</v>
      </c>
      <c r="I365" s="61"/>
      <c r="J365" s="60" t="s">
        <v>1044</v>
      </c>
      <c r="K365" s="61"/>
      <c r="L365" s="161"/>
      <c r="M365" s="169"/>
    </row>
    <row r="366" spans="1:13" x14ac:dyDescent="0.55000000000000004">
      <c r="A366" s="94" t="s">
        <v>1041</v>
      </c>
      <c r="B366" s="168" t="s">
        <v>1037</v>
      </c>
      <c r="C366" s="168" t="s">
        <v>121</v>
      </c>
      <c r="D366" s="168" t="s">
        <v>2994</v>
      </c>
      <c r="E366" s="116">
        <v>1</v>
      </c>
      <c r="F366" s="149" t="s">
        <v>138</v>
      </c>
      <c r="G366" s="149">
        <v>1</v>
      </c>
      <c r="H366" s="168" t="s">
        <v>39</v>
      </c>
      <c r="I366" s="61"/>
      <c r="J366" s="94" t="s">
        <v>1042</v>
      </c>
      <c r="K366" s="61"/>
      <c r="L366" s="160">
        <v>2901.21</v>
      </c>
      <c r="M366" s="169"/>
    </row>
    <row r="367" spans="1:13" x14ac:dyDescent="0.55000000000000004">
      <c r="A367" s="94" t="s">
        <v>1041</v>
      </c>
      <c r="B367" s="168" t="s">
        <v>230</v>
      </c>
      <c r="C367" s="168" t="s">
        <v>231</v>
      </c>
      <c r="D367" s="168" t="s">
        <v>2994</v>
      </c>
      <c r="E367" s="116">
        <v>1.2737133584509608</v>
      </c>
      <c r="F367" s="149" t="s">
        <v>138</v>
      </c>
      <c r="G367" s="149" t="s">
        <v>138</v>
      </c>
      <c r="H367" s="168" t="s">
        <v>39</v>
      </c>
      <c r="I367" s="61"/>
      <c r="J367" s="94" t="s">
        <v>1042</v>
      </c>
      <c r="K367" s="61"/>
      <c r="L367" s="160"/>
      <c r="M367" s="169"/>
    </row>
    <row r="368" spans="1:13" x14ac:dyDescent="0.55000000000000004">
      <c r="A368" s="94" t="s">
        <v>1041</v>
      </c>
      <c r="B368" s="168" t="s">
        <v>208</v>
      </c>
      <c r="C368" s="168" t="s">
        <v>127</v>
      </c>
      <c r="D368" s="168" t="s">
        <v>2994</v>
      </c>
      <c r="E368" s="116">
        <v>0.43197450340208837</v>
      </c>
      <c r="F368" s="149" t="s">
        <v>138</v>
      </c>
      <c r="G368" s="149" t="s">
        <v>138</v>
      </c>
      <c r="H368" s="168" t="s">
        <v>39</v>
      </c>
      <c r="I368" s="61"/>
      <c r="J368" s="94" t="s">
        <v>1042</v>
      </c>
      <c r="K368" s="61"/>
      <c r="L368" s="160"/>
      <c r="M368" s="169"/>
    </row>
    <row r="369" spans="1:13" x14ac:dyDescent="0.55000000000000004">
      <c r="A369" s="94" t="s">
        <v>1041</v>
      </c>
      <c r="B369" s="168" t="s">
        <v>160</v>
      </c>
      <c r="C369" s="168" t="s">
        <v>247</v>
      </c>
      <c r="D369" s="168" t="s">
        <v>3288</v>
      </c>
      <c r="E369" s="116">
        <v>2.2462674176908597E-2</v>
      </c>
      <c r="F369" s="149" t="s">
        <v>3286</v>
      </c>
      <c r="G369" s="149">
        <v>1</v>
      </c>
      <c r="H369" s="168" t="s">
        <v>373</v>
      </c>
      <c r="I369" s="61"/>
      <c r="J369" s="94" t="s">
        <v>1042</v>
      </c>
      <c r="K369" s="61"/>
      <c r="L369" s="160"/>
      <c r="M369" s="169"/>
    </row>
    <row r="370" spans="1:13" x14ac:dyDescent="0.55000000000000004">
      <c r="A370" s="94" t="s">
        <v>1039</v>
      </c>
      <c r="B370" s="168" t="s">
        <v>1037</v>
      </c>
      <c r="C370" s="168" t="s">
        <v>121</v>
      </c>
      <c r="D370" s="168" t="s">
        <v>2994</v>
      </c>
      <c r="E370" s="116">
        <v>1</v>
      </c>
      <c r="F370" s="149" t="s">
        <v>138</v>
      </c>
      <c r="G370" s="149">
        <v>1</v>
      </c>
      <c r="H370" s="168" t="s">
        <v>39</v>
      </c>
      <c r="I370" s="61"/>
      <c r="J370" s="94" t="s">
        <v>1040</v>
      </c>
      <c r="K370" s="61"/>
      <c r="L370" s="160">
        <v>2901.21</v>
      </c>
      <c r="M370" s="169"/>
    </row>
    <row r="371" spans="1:13" x14ac:dyDescent="0.55000000000000004">
      <c r="A371" s="94" t="s">
        <v>1039</v>
      </c>
      <c r="B371" s="168" t="s">
        <v>691</v>
      </c>
      <c r="C371" s="168" t="s">
        <v>231</v>
      </c>
      <c r="D371" s="168" t="s">
        <v>2994</v>
      </c>
      <c r="E371" s="116">
        <v>1.6666666666666667</v>
      </c>
      <c r="F371" s="149" t="s">
        <v>138</v>
      </c>
      <c r="G371" s="149" t="s">
        <v>138</v>
      </c>
      <c r="H371" s="168" t="s">
        <v>39</v>
      </c>
      <c r="I371" s="61"/>
      <c r="J371" s="94" t="s">
        <v>1040</v>
      </c>
      <c r="K371" s="61"/>
      <c r="L371" s="160"/>
      <c r="M371" s="169"/>
    </row>
    <row r="372" spans="1:13" x14ac:dyDescent="0.55000000000000004">
      <c r="A372" s="94" t="s">
        <v>1039</v>
      </c>
      <c r="B372" s="168" t="s">
        <v>208</v>
      </c>
      <c r="C372" s="168" t="s">
        <v>127</v>
      </c>
      <c r="D372" s="168" t="s">
        <v>2994</v>
      </c>
      <c r="E372" s="116">
        <v>0.44444966666666663</v>
      </c>
      <c r="F372" s="149" t="s">
        <v>138</v>
      </c>
      <c r="G372" s="149" t="s">
        <v>138</v>
      </c>
      <c r="H372" s="168" t="s">
        <v>39</v>
      </c>
      <c r="I372" s="61"/>
      <c r="J372" s="94" t="s">
        <v>1040</v>
      </c>
      <c r="K372" s="61"/>
      <c r="L372" s="160"/>
      <c r="M372" s="169"/>
    </row>
    <row r="373" spans="1:13" x14ac:dyDescent="0.55000000000000004">
      <c r="A373" s="94" t="s">
        <v>1039</v>
      </c>
      <c r="B373" s="168" t="s">
        <v>160</v>
      </c>
      <c r="C373" s="168" t="s">
        <v>247</v>
      </c>
      <c r="D373" s="168" t="s">
        <v>3288</v>
      </c>
      <c r="E373" s="116">
        <v>2.3111382666666663E-2</v>
      </c>
      <c r="F373" s="149" t="s">
        <v>3286</v>
      </c>
      <c r="G373" s="149">
        <v>1</v>
      </c>
      <c r="H373" s="168" t="s">
        <v>373</v>
      </c>
      <c r="I373" s="61"/>
      <c r="J373" s="94" t="s">
        <v>1040</v>
      </c>
      <c r="K373" s="61"/>
      <c r="L373" s="160"/>
      <c r="M373" s="169"/>
    </row>
    <row r="374" spans="1:13" x14ac:dyDescent="0.55000000000000004">
      <c r="A374" s="94" t="s">
        <v>1036</v>
      </c>
      <c r="B374" s="168" t="s">
        <v>1037</v>
      </c>
      <c r="C374" s="168" t="s">
        <v>121</v>
      </c>
      <c r="D374" s="168" t="s">
        <v>2994</v>
      </c>
      <c r="E374" s="116">
        <v>1</v>
      </c>
      <c r="F374" s="149" t="s">
        <v>138</v>
      </c>
      <c r="G374" s="149">
        <v>1</v>
      </c>
      <c r="H374" s="168" t="s">
        <v>39</v>
      </c>
      <c r="I374" s="61"/>
      <c r="J374" s="94" t="s">
        <v>1038</v>
      </c>
      <c r="K374" s="61"/>
      <c r="L374" s="160">
        <v>2901.21</v>
      </c>
      <c r="M374" s="169"/>
    </row>
    <row r="375" spans="1:13" x14ac:dyDescent="0.55000000000000004">
      <c r="A375" s="94" t="s">
        <v>1036</v>
      </c>
      <c r="B375" s="168" t="s">
        <v>691</v>
      </c>
      <c r="C375" s="168" t="s">
        <v>231</v>
      </c>
      <c r="D375" s="168" t="s">
        <v>2994</v>
      </c>
      <c r="E375" s="116">
        <v>3.1746031746031744</v>
      </c>
      <c r="F375" s="149" t="s">
        <v>138</v>
      </c>
      <c r="G375" s="149" t="s">
        <v>138</v>
      </c>
      <c r="H375" s="168" t="s">
        <v>39</v>
      </c>
      <c r="I375" s="61"/>
      <c r="J375" s="94" t="s">
        <v>1038</v>
      </c>
      <c r="K375" s="61"/>
      <c r="L375" s="160"/>
      <c r="M375" s="169"/>
    </row>
    <row r="376" spans="1:13" x14ac:dyDescent="0.55000000000000004">
      <c r="A376" s="94" t="s">
        <v>1036</v>
      </c>
      <c r="B376" s="168" t="s">
        <v>208</v>
      </c>
      <c r="C376" s="168" t="s">
        <v>127</v>
      </c>
      <c r="D376" s="168" t="s">
        <v>2994</v>
      </c>
      <c r="E376" s="116">
        <v>0.38730442857142855</v>
      </c>
      <c r="F376" s="149" t="s">
        <v>138</v>
      </c>
      <c r="G376" s="149" t="s">
        <v>138</v>
      </c>
      <c r="H376" s="168" t="s">
        <v>39</v>
      </c>
      <c r="I376" s="61"/>
      <c r="J376" s="94" t="s">
        <v>1038</v>
      </c>
      <c r="K376" s="61"/>
      <c r="L376" s="160"/>
      <c r="M376" s="169"/>
    </row>
    <row r="377" spans="1:13" x14ac:dyDescent="0.55000000000000004">
      <c r="A377" s="94" t="s">
        <v>1036</v>
      </c>
      <c r="B377" s="168" t="s">
        <v>160</v>
      </c>
      <c r="C377" s="168" t="s">
        <v>247</v>
      </c>
      <c r="D377" s="168" t="s">
        <v>3288</v>
      </c>
      <c r="E377" s="116">
        <v>2.0139830285714286E-2</v>
      </c>
      <c r="F377" s="149" t="s">
        <v>3286</v>
      </c>
      <c r="G377" s="149">
        <v>1</v>
      </c>
      <c r="H377" s="168" t="s">
        <v>373</v>
      </c>
      <c r="I377" s="61"/>
      <c r="J377" s="94" t="s">
        <v>1038</v>
      </c>
      <c r="K377" s="61"/>
      <c r="L377" s="160"/>
      <c r="M377" s="169"/>
    </row>
    <row r="378" spans="1:13" x14ac:dyDescent="0.55000000000000004">
      <c r="A378" s="60" t="s">
        <v>3378</v>
      </c>
      <c r="B378" s="61" t="s">
        <v>140</v>
      </c>
      <c r="C378" s="61" t="s">
        <v>121</v>
      </c>
      <c r="D378" s="168" t="s">
        <v>3288</v>
      </c>
      <c r="E378" s="116">
        <v>1</v>
      </c>
      <c r="F378" s="149" t="s">
        <v>135</v>
      </c>
      <c r="G378" s="149">
        <v>1</v>
      </c>
      <c r="H378" s="168" t="s">
        <v>39</v>
      </c>
      <c r="I378" s="61"/>
      <c r="J378" s="60" t="s">
        <v>1035</v>
      </c>
      <c r="K378" s="61"/>
      <c r="L378" s="160" t="s">
        <v>1021</v>
      </c>
      <c r="M378" s="169"/>
    </row>
    <row r="379" spans="1:13" x14ac:dyDescent="0.55000000000000004">
      <c r="A379" s="60" t="s">
        <v>3378</v>
      </c>
      <c r="B379" s="61" t="s">
        <v>137</v>
      </c>
      <c r="C379" s="61" t="s">
        <v>127</v>
      </c>
      <c r="D379" s="168" t="s">
        <v>2994</v>
      </c>
      <c r="E379" s="117">
        <v>20.3</v>
      </c>
      <c r="F379" s="148" t="s">
        <v>138</v>
      </c>
      <c r="G379" s="148" t="s">
        <v>135</v>
      </c>
      <c r="H379" s="168"/>
      <c r="I379" s="61"/>
      <c r="J379" s="60" t="s">
        <v>1035</v>
      </c>
      <c r="K379" s="61"/>
      <c r="L379" s="161"/>
      <c r="M379" s="169"/>
    </row>
    <row r="380" spans="1:13" x14ac:dyDescent="0.55000000000000004">
      <c r="A380" s="60" t="s">
        <v>3378</v>
      </c>
      <c r="B380" s="61" t="s">
        <v>160</v>
      </c>
      <c r="C380" s="61" t="s">
        <v>247</v>
      </c>
      <c r="D380" s="168" t="s">
        <v>3288</v>
      </c>
      <c r="E380" s="117">
        <v>1.0556000000000001</v>
      </c>
      <c r="F380" s="148" t="s">
        <v>3286</v>
      </c>
      <c r="G380" s="148">
        <v>1</v>
      </c>
      <c r="H380" s="168" t="s">
        <v>373</v>
      </c>
      <c r="I380" s="61"/>
      <c r="J380" s="60" t="s">
        <v>1035</v>
      </c>
      <c r="K380" s="61"/>
      <c r="L380" s="161"/>
      <c r="M380" s="169"/>
    </row>
    <row r="381" spans="1:13" x14ac:dyDescent="0.55000000000000004">
      <c r="A381" s="60" t="s">
        <v>3379</v>
      </c>
      <c r="B381" s="61" t="s">
        <v>140</v>
      </c>
      <c r="C381" s="61" t="s">
        <v>121</v>
      </c>
      <c r="D381" s="168" t="s">
        <v>3288</v>
      </c>
      <c r="E381" s="116">
        <v>1</v>
      </c>
      <c r="F381" s="149" t="s">
        <v>135</v>
      </c>
      <c r="G381" s="149">
        <v>1</v>
      </c>
      <c r="H381" s="168" t="s">
        <v>39</v>
      </c>
      <c r="I381" s="61"/>
      <c r="J381" s="60" t="s">
        <v>1033</v>
      </c>
      <c r="K381" s="61"/>
      <c r="L381" s="160" t="s">
        <v>1021</v>
      </c>
      <c r="M381" s="169"/>
    </row>
    <row r="382" spans="1:13" x14ac:dyDescent="0.55000000000000004">
      <c r="A382" s="60" t="s">
        <v>3379</v>
      </c>
      <c r="B382" s="61" t="s">
        <v>137</v>
      </c>
      <c r="C382" s="61" t="s">
        <v>127</v>
      </c>
      <c r="D382" s="168" t="s">
        <v>2994</v>
      </c>
      <c r="E382" s="117">
        <v>20.3</v>
      </c>
      <c r="F382" s="148" t="s">
        <v>138</v>
      </c>
      <c r="G382" s="148" t="s">
        <v>135</v>
      </c>
      <c r="H382" s="168"/>
      <c r="I382" s="61"/>
      <c r="J382" s="60" t="s">
        <v>1033</v>
      </c>
      <c r="K382" s="61"/>
      <c r="L382" s="161"/>
      <c r="M382" s="169"/>
    </row>
    <row r="383" spans="1:13" x14ac:dyDescent="0.55000000000000004">
      <c r="A383" s="60" t="s">
        <v>3379</v>
      </c>
      <c r="B383" s="61" t="s">
        <v>160</v>
      </c>
      <c r="C383" s="61" t="s">
        <v>247</v>
      </c>
      <c r="D383" s="168" t="s">
        <v>3288</v>
      </c>
      <c r="E383" s="117">
        <v>1.0556000000000001</v>
      </c>
      <c r="F383" s="148" t="s">
        <v>3286</v>
      </c>
      <c r="G383" s="148">
        <v>1</v>
      </c>
      <c r="H383" s="168" t="s">
        <v>373</v>
      </c>
      <c r="I383" s="61"/>
      <c r="J383" s="60" t="s">
        <v>1033</v>
      </c>
      <c r="K383" s="61"/>
      <c r="L383" s="161"/>
      <c r="M383" s="169"/>
    </row>
    <row r="384" spans="1:13" x14ac:dyDescent="0.55000000000000004">
      <c r="A384" s="60" t="s">
        <v>3379</v>
      </c>
      <c r="B384" s="61" t="s">
        <v>160</v>
      </c>
      <c r="C384" s="168" t="s">
        <v>156</v>
      </c>
      <c r="D384" s="168" t="s">
        <v>3288</v>
      </c>
      <c r="E384" s="116">
        <f>E383*0.8</f>
        <v>0.84448000000000012</v>
      </c>
      <c r="F384" s="149" t="s">
        <v>135</v>
      </c>
      <c r="G384" s="149" t="s">
        <v>135</v>
      </c>
      <c r="H384" s="168" t="s">
        <v>39</v>
      </c>
      <c r="I384" s="61" t="s">
        <v>2096</v>
      </c>
      <c r="J384" s="60" t="s">
        <v>1033</v>
      </c>
      <c r="K384" s="61"/>
      <c r="L384" s="160"/>
      <c r="M384" s="169"/>
    </row>
    <row r="385" spans="1:13" x14ac:dyDescent="0.55000000000000004">
      <c r="A385" s="62" t="s">
        <v>1030</v>
      </c>
      <c r="B385" s="168" t="s">
        <v>134</v>
      </c>
      <c r="C385" s="61" t="s">
        <v>121</v>
      </c>
      <c r="D385" s="168" t="s">
        <v>3288</v>
      </c>
      <c r="E385" s="116">
        <v>1</v>
      </c>
      <c r="F385" s="149" t="s">
        <v>135</v>
      </c>
      <c r="G385" s="149">
        <v>1</v>
      </c>
      <c r="H385" s="168" t="s">
        <v>39</v>
      </c>
      <c r="I385" s="61"/>
      <c r="J385" s="62" t="s">
        <v>1031</v>
      </c>
      <c r="K385" s="61"/>
      <c r="L385" s="160" t="s">
        <v>241</v>
      </c>
      <c r="M385" s="169"/>
    </row>
    <row r="386" spans="1:13" x14ac:dyDescent="0.55000000000000004">
      <c r="A386" s="62" t="s">
        <v>1030</v>
      </c>
      <c r="B386" s="61" t="s">
        <v>137</v>
      </c>
      <c r="C386" s="61" t="s">
        <v>127</v>
      </c>
      <c r="D386" s="168" t="s">
        <v>2994</v>
      </c>
      <c r="E386" s="120">
        <v>3.9</v>
      </c>
      <c r="F386" s="148" t="s">
        <v>138</v>
      </c>
      <c r="G386" s="148" t="s">
        <v>135</v>
      </c>
      <c r="H386" s="168"/>
      <c r="I386" s="61"/>
      <c r="J386" s="62" t="s">
        <v>1031</v>
      </c>
      <c r="K386" s="61"/>
      <c r="L386" s="161"/>
      <c r="M386" s="169"/>
    </row>
    <row r="387" spans="1:13" x14ac:dyDescent="0.55000000000000004">
      <c r="A387" s="62" t="s">
        <v>1030</v>
      </c>
      <c r="B387" s="61" t="s">
        <v>160</v>
      </c>
      <c r="C387" s="61" t="s">
        <v>247</v>
      </c>
      <c r="D387" s="168" t="s">
        <v>3288</v>
      </c>
      <c r="E387" s="120">
        <v>0.20279999999999998</v>
      </c>
      <c r="F387" s="148" t="s">
        <v>3286</v>
      </c>
      <c r="G387" s="148">
        <v>1</v>
      </c>
      <c r="H387" s="168" t="s">
        <v>373</v>
      </c>
      <c r="I387" s="61"/>
      <c r="J387" s="62" t="s">
        <v>1031</v>
      </c>
      <c r="K387" s="61"/>
      <c r="L387" s="161"/>
      <c r="M387" s="169"/>
    </row>
    <row r="388" spans="1:13" x14ac:dyDescent="0.55000000000000004">
      <c r="A388" s="62" t="s">
        <v>1030</v>
      </c>
      <c r="B388" s="61" t="s">
        <v>160</v>
      </c>
      <c r="C388" s="61" t="s">
        <v>560</v>
      </c>
      <c r="D388" s="168" t="s">
        <v>3288</v>
      </c>
      <c r="E388" s="120">
        <v>0.5</v>
      </c>
      <c r="F388" s="148" t="s">
        <v>3286</v>
      </c>
      <c r="G388" s="148">
        <v>1</v>
      </c>
      <c r="H388" s="168" t="s">
        <v>39</v>
      </c>
      <c r="I388" s="61"/>
      <c r="J388" s="62" t="s">
        <v>1031</v>
      </c>
      <c r="K388" s="61"/>
      <c r="L388" s="161"/>
      <c r="M388" s="169"/>
    </row>
    <row r="389" spans="1:13" x14ac:dyDescent="0.55000000000000004">
      <c r="A389" s="60" t="s">
        <v>1028</v>
      </c>
      <c r="B389" s="61" t="s">
        <v>582</v>
      </c>
      <c r="C389" s="61" t="s">
        <v>121</v>
      </c>
      <c r="D389" s="168" t="s">
        <v>3288</v>
      </c>
      <c r="E389" s="116">
        <v>1</v>
      </c>
      <c r="F389" s="149" t="s">
        <v>135</v>
      </c>
      <c r="G389" s="149">
        <v>1</v>
      </c>
      <c r="H389" s="168" t="s">
        <v>39</v>
      </c>
      <c r="I389" s="61"/>
      <c r="J389" s="60" t="s">
        <v>1029</v>
      </c>
      <c r="K389" s="61"/>
      <c r="L389" s="160" t="s">
        <v>1021</v>
      </c>
      <c r="M389" s="169"/>
    </row>
    <row r="390" spans="1:13" x14ac:dyDescent="0.55000000000000004">
      <c r="A390" s="60" t="s">
        <v>1028</v>
      </c>
      <c r="B390" s="61" t="s">
        <v>137</v>
      </c>
      <c r="C390" s="61" t="s">
        <v>127</v>
      </c>
      <c r="D390" s="168" t="s">
        <v>2994</v>
      </c>
      <c r="E390" s="121">
        <v>8</v>
      </c>
      <c r="F390" s="148" t="s">
        <v>138</v>
      </c>
      <c r="G390" s="148" t="s">
        <v>135</v>
      </c>
      <c r="H390" s="168"/>
      <c r="I390" s="61"/>
      <c r="J390" s="60" t="s">
        <v>1029</v>
      </c>
      <c r="K390" s="61"/>
      <c r="L390" s="160"/>
      <c r="M390" s="169"/>
    </row>
    <row r="391" spans="1:13" x14ac:dyDescent="0.55000000000000004">
      <c r="A391" s="60" t="s">
        <v>1028</v>
      </c>
      <c r="B391" s="61" t="s">
        <v>160</v>
      </c>
      <c r="C391" s="61" t="s">
        <v>247</v>
      </c>
      <c r="D391" s="168" t="s">
        <v>3288</v>
      </c>
      <c r="E391" s="121">
        <v>0.41599999999999998</v>
      </c>
      <c r="F391" s="148" t="s">
        <v>3286</v>
      </c>
      <c r="G391" s="148">
        <v>1</v>
      </c>
      <c r="H391" s="168" t="s">
        <v>373</v>
      </c>
      <c r="I391" s="61"/>
      <c r="J391" s="60" t="s">
        <v>1029</v>
      </c>
      <c r="K391" s="61"/>
      <c r="L391" s="160"/>
      <c r="M391" s="169"/>
    </row>
    <row r="392" spans="1:13" x14ac:dyDescent="0.55000000000000004">
      <c r="A392" s="60" t="s">
        <v>3380</v>
      </c>
      <c r="B392" s="61" t="s">
        <v>140</v>
      </c>
      <c r="C392" s="61" t="s">
        <v>121</v>
      </c>
      <c r="D392" s="168" t="s">
        <v>3288</v>
      </c>
      <c r="E392" s="116">
        <v>1</v>
      </c>
      <c r="F392" s="149" t="s">
        <v>135</v>
      </c>
      <c r="G392" s="149">
        <v>1</v>
      </c>
      <c r="H392" s="168" t="s">
        <v>39</v>
      </c>
      <c r="I392" s="61"/>
      <c r="J392" s="60" t="s">
        <v>1027</v>
      </c>
      <c r="K392" s="61"/>
      <c r="L392" s="160" t="s">
        <v>1021</v>
      </c>
      <c r="M392" s="169"/>
    </row>
    <row r="393" spans="1:13" x14ac:dyDescent="0.55000000000000004">
      <c r="A393" s="60" t="s">
        <v>3380</v>
      </c>
      <c r="B393" s="61" t="s">
        <v>137</v>
      </c>
      <c r="C393" s="61" t="s">
        <v>127</v>
      </c>
      <c r="D393" s="168" t="s">
        <v>2994</v>
      </c>
      <c r="E393" s="117">
        <v>19.3</v>
      </c>
      <c r="F393" s="148" t="s">
        <v>138</v>
      </c>
      <c r="G393" s="148" t="s">
        <v>135</v>
      </c>
      <c r="H393" s="168"/>
      <c r="I393" s="61"/>
      <c r="J393" s="60" t="s">
        <v>1027</v>
      </c>
      <c r="K393" s="61"/>
      <c r="L393" s="161"/>
      <c r="M393" s="169"/>
    </row>
    <row r="394" spans="1:13" x14ac:dyDescent="0.55000000000000004">
      <c r="A394" s="60" t="s">
        <v>3380</v>
      </c>
      <c r="B394" s="61" t="s">
        <v>160</v>
      </c>
      <c r="C394" s="61" t="s">
        <v>247</v>
      </c>
      <c r="D394" s="168" t="s">
        <v>3288</v>
      </c>
      <c r="E394" s="117">
        <v>1.0036</v>
      </c>
      <c r="F394" s="148" t="s">
        <v>3286</v>
      </c>
      <c r="G394" s="148">
        <v>1</v>
      </c>
      <c r="H394" s="168" t="s">
        <v>373</v>
      </c>
      <c r="I394" s="61"/>
      <c r="J394" s="60" t="s">
        <v>1027</v>
      </c>
      <c r="K394" s="61"/>
      <c r="L394" s="161"/>
      <c r="M394" s="169"/>
    </row>
    <row r="395" spans="1:13" x14ac:dyDescent="0.55000000000000004">
      <c r="A395" s="60" t="s">
        <v>3381</v>
      </c>
      <c r="B395" s="61" t="s">
        <v>140</v>
      </c>
      <c r="C395" s="61" t="s">
        <v>121</v>
      </c>
      <c r="D395" s="168" t="s">
        <v>3288</v>
      </c>
      <c r="E395" s="116">
        <v>1</v>
      </c>
      <c r="F395" s="149" t="s">
        <v>135</v>
      </c>
      <c r="G395" s="149">
        <v>1</v>
      </c>
      <c r="H395" s="168" t="s">
        <v>39</v>
      </c>
      <c r="I395" s="61"/>
      <c r="J395" s="60" t="s">
        <v>1025</v>
      </c>
      <c r="K395" s="61"/>
      <c r="L395" s="160" t="s">
        <v>1021</v>
      </c>
      <c r="M395" s="169"/>
    </row>
    <row r="396" spans="1:13" x14ac:dyDescent="0.55000000000000004">
      <c r="A396" s="60" t="s">
        <v>3381</v>
      </c>
      <c r="B396" s="61" t="s">
        <v>137</v>
      </c>
      <c r="C396" s="61" t="s">
        <v>127</v>
      </c>
      <c r="D396" s="168" t="s">
        <v>2994</v>
      </c>
      <c r="E396" s="120">
        <v>10.15</v>
      </c>
      <c r="F396" s="148" t="s">
        <v>138</v>
      </c>
      <c r="G396" s="148" t="s">
        <v>135</v>
      </c>
      <c r="H396" s="168"/>
      <c r="I396" s="61"/>
      <c r="J396" s="60" t="s">
        <v>1025</v>
      </c>
      <c r="K396" s="61"/>
      <c r="L396" s="161"/>
      <c r="M396" s="169"/>
    </row>
    <row r="397" spans="1:13" x14ac:dyDescent="0.55000000000000004">
      <c r="A397" s="60" t="s">
        <v>3381</v>
      </c>
      <c r="B397" s="61" t="s">
        <v>160</v>
      </c>
      <c r="C397" s="61" t="s">
        <v>247</v>
      </c>
      <c r="D397" s="168" t="s">
        <v>3288</v>
      </c>
      <c r="E397" s="120">
        <v>0.52780000000000005</v>
      </c>
      <c r="F397" s="148" t="s">
        <v>3286</v>
      </c>
      <c r="G397" s="148">
        <v>1</v>
      </c>
      <c r="H397" s="168" t="s">
        <v>373</v>
      </c>
      <c r="I397" s="61"/>
      <c r="J397" s="60" t="s">
        <v>1025</v>
      </c>
      <c r="K397" s="61"/>
      <c r="L397" s="161"/>
      <c r="M397" s="169"/>
    </row>
    <row r="398" spans="1:13" x14ac:dyDescent="0.55000000000000004">
      <c r="A398" s="60" t="s">
        <v>3382</v>
      </c>
      <c r="B398" s="61" t="s">
        <v>140</v>
      </c>
      <c r="C398" s="61" t="s">
        <v>121</v>
      </c>
      <c r="D398" s="168" t="s">
        <v>3288</v>
      </c>
      <c r="E398" s="116">
        <v>1</v>
      </c>
      <c r="F398" s="149" t="s">
        <v>135</v>
      </c>
      <c r="G398" s="149">
        <v>1</v>
      </c>
      <c r="H398" s="168" t="s">
        <v>39</v>
      </c>
      <c r="I398" s="61"/>
      <c r="J398" s="60" t="s">
        <v>1022</v>
      </c>
      <c r="K398" s="61"/>
      <c r="L398" s="160" t="s">
        <v>1021</v>
      </c>
      <c r="M398" s="169"/>
    </row>
    <row r="399" spans="1:13" x14ac:dyDescent="0.55000000000000004">
      <c r="A399" s="60" t="s">
        <v>3382</v>
      </c>
      <c r="B399" s="61" t="s">
        <v>137</v>
      </c>
      <c r="C399" s="61" t="s">
        <v>127</v>
      </c>
      <c r="D399" s="168" t="s">
        <v>2994</v>
      </c>
      <c r="E399" s="120">
        <v>10.15</v>
      </c>
      <c r="F399" s="148" t="s">
        <v>138</v>
      </c>
      <c r="G399" s="148" t="s">
        <v>135</v>
      </c>
      <c r="H399" s="168"/>
      <c r="I399" s="61"/>
      <c r="J399" s="60" t="s">
        <v>1022</v>
      </c>
      <c r="K399" s="61"/>
      <c r="L399" s="161"/>
      <c r="M399" s="169"/>
    </row>
    <row r="400" spans="1:13" x14ac:dyDescent="0.55000000000000004">
      <c r="A400" s="60" t="s">
        <v>3382</v>
      </c>
      <c r="B400" s="61" t="s">
        <v>160</v>
      </c>
      <c r="C400" s="61" t="s">
        <v>247</v>
      </c>
      <c r="D400" s="168" t="s">
        <v>3288</v>
      </c>
      <c r="E400" s="120">
        <v>0.52780000000000005</v>
      </c>
      <c r="F400" s="148" t="s">
        <v>3286</v>
      </c>
      <c r="G400" s="148">
        <v>1</v>
      </c>
      <c r="H400" s="168" t="s">
        <v>373</v>
      </c>
      <c r="I400" s="61"/>
      <c r="J400" s="60" t="s">
        <v>1022</v>
      </c>
      <c r="K400" s="61"/>
      <c r="L400" s="161"/>
      <c r="M400" s="169"/>
    </row>
    <row r="401" spans="1:13" x14ac:dyDescent="0.55000000000000004">
      <c r="A401" s="60" t="s">
        <v>3382</v>
      </c>
      <c r="B401" s="61" t="s">
        <v>160</v>
      </c>
      <c r="C401" s="168" t="s">
        <v>156</v>
      </c>
      <c r="D401" s="168" t="s">
        <v>3288</v>
      </c>
      <c r="E401" s="116">
        <f>E400*0.8</f>
        <v>0.42224000000000006</v>
      </c>
      <c r="F401" s="149" t="s">
        <v>135</v>
      </c>
      <c r="G401" s="149" t="s">
        <v>135</v>
      </c>
      <c r="H401" s="168" t="s">
        <v>39</v>
      </c>
      <c r="I401" s="61" t="s">
        <v>2096</v>
      </c>
      <c r="J401" s="60" t="s">
        <v>1022</v>
      </c>
      <c r="K401" s="61"/>
      <c r="L401" s="160"/>
      <c r="M401" s="169"/>
    </row>
    <row r="402" spans="1:13" x14ac:dyDescent="0.55000000000000004">
      <c r="A402" s="95" t="s">
        <v>1019</v>
      </c>
      <c r="B402" s="168" t="s">
        <v>606</v>
      </c>
      <c r="C402" s="168" t="s">
        <v>121</v>
      </c>
      <c r="D402" s="168" t="s">
        <v>3288</v>
      </c>
      <c r="E402" s="116">
        <v>1</v>
      </c>
      <c r="F402" s="149" t="s">
        <v>135</v>
      </c>
      <c r="G402" s="149">
        <v>1</v>
      </c>
      <c r="H402" s="168" t="s">
        <v>39</v>
      </c>
      <c r="I402" s="61"/>
      <c r="J402" s="168" t="str">
        <f t="shared" ref="J402:J409" si="0">A402</f>
        <v>[LBNL] Kraft IPP</v>
      </c>
      <c r="K402" s="61"/>
      <c r="L402" s="160"/>
      <c r="M402" s="169"/>
    </row>
    <row r="403" spans="1:13" x14ac:dyDescent="0.55000000000000004">
      <c r="A403" s="95" t="s">
        <v>1019</v>
      </c>
      <c r="B403" s="168" t="s">
        <v>171</v>
      </c>
      <c r="C403" s="168" t="s">
        <v>127</v>
      </c>
      <c r="D403" s="168" t="s">
        <v>2994</v>
      </c>
      <c r="E403" s="116">
        <f>2.2+10.9</f>
        <v>13.100000000000001</v>
      </c>
      <c r="F403" s="149" t="s">
        <v>138</v>
      </c>
      <c r="G403" s="149" t="s">
        <v>135</v>
      </c>
      <c r="H403" s="168" t="s">
        <v>39</v>
      </c>
      <c r="I403" s="168" t="s">
        <v>942</v>
      </c>
      <c r="J403" s="168" t="str">
        <f t="shared" si="0"/>
        <v>[LBNL] Kraft IPP</v>
      </c>
      <c r="K403" s="168">
        <v>91</v>
      </c>
      <c r="L403" s="160"/>
      <c r="M403" s="169"/>
    </row>
    <row r="404" spans="1:13" x14ac:dyDescent="0.55000000000000004">
      <c r="A404" s="95" t="s">
        <v>1019</v>
      </c>
      <c r="B404" s="168" t="s">
        <v>153</v>
      </c>
      <c r="C404" s="168" t="s">
        <v>127</v>
      </c>
      <c r="D404" s="168" t="s">
        <v>2994</v>
      </c>
      <c r="E404" s="116">
        <v>3.56</v>
      </c>
      <c r="F404" s="149" t="s">
        <v>138</v>
      </c>
      <c r="G404" s="149" t="s">
        <v>135</v>
      </c>
      <c r="H404" s="168" t="s">
        <v>39</v>
      </c>
      <c r="I404" s="168"/>
      <c r="J404" s="168" t="str">
        <f t="shared" si="0"/>
        <v>[LBNL] Kraft IPP</v>
      </c>
      <c r="K404" s="168">
        <v>91</v>
      </c>
      <c r="L404" s="160"/>
      <c r="M404" s="169"/>
    </row>
    <row r="405" spans="1:13" x14ac:dyDescent="0.55000000000000004">
      <c r="A405" s="95" t="s">
        <v>1019</v>
      </c>
      <c r="B405" s="68" t="s">
        <v>160</v>
      </c>
      <c r="C405" s="168" t="s">
        <v>247</v>
      </c>
      <c r="D405" s="68" t="s">
        <v>3288</v>
      </c>
      <c r="E405" s="119">
        <v>0.73491000000000006</v>
      </c>
      <c r="F405" s="151" t="s">
        <v>135</v>
      </c>
      <c r="G405" s="151" t="s">
        <v>135</v>
      </c>
      <c r="H405" s="68" t="s">
        <v>376</v>
      </c>
      <c r="I405" s="168"/>
      <c r="J405" s="74" t="str">
        <f t="shared" si="0"/>
        <v>[LBNL] Kraft IPP</v>
      </c>
      <c r="K405" s="168"/>
      <c r="L405" s="163"/>
      <c r="M405" s="169"/>
    </row>
    <row r="406" spans="1:13" x14ac:dyDescent="0.55000000000000004">
      <c r="A406" s="95" t="s">
        <v>1018</v>
      </c>
      <c r="B406" s="168" t="s">
        <v>606</v>
      </c>
      <c r="C406" s="168" t="s">
        <v>121</v>
      </c>
      <c r="D406" s="168" t="s">
        <v>3288</v>
      </c>
      <c r="E406" s="116">
        <v>1</v>
      </c>
      <c r="F406" s="149" t="s">
        <v>135</v>
      </c>
      <c r="G406" s="149">
        <v>1</v>
      </c>
      <c r="H406" s="168" t="s">
        <v>39</v>
      </c>
      <c r="I406" s="61"/>
      <c r="J406" s="168" t="str">
        <f t="shared" si="0"/>
        <v>[LBNL] Kraft IPP + Heat pump</v>
      </c>
      <c r="K406" s="61"/>
      <c r="L406" s="160"/>
      <c r="M406" s="169"/>
    </row>
    <row r="407" spans="1:13" x14ac:dyDescent="0.55000000000000004">
      <c r="A407" s="95" t="s">
        <v>1018</v>
      </c>
      <c r="B407" s="168" t="s">
        <v>171</v>
      </c>
      <c r="C407" s="168" t="s">
        <v>127</v>
      </c>
      <c r="D407" s="168" t="s">
        <v>2994</v>
      </c>
      <c r="E407" s="116">
        <v>2.2000000000000002</v>
      </c>
      <c r="F407" s="149" t="s">
        <v>138</v>
      </c>
      <c r="G407" s="149" t="s">
        <v>135</v>
      </c>
      <c r="H407" s="168" t="s">
        <v>39</v>
      </c>
      <c r="I407" s="168" t="s">
        <v>942</v>
      </c>
      <c r="J407" s="168" t="str">
        <f t="shared" si="0"/>
        <v>[LBNL] Kraft IPP + Heat pump</v>
      </c>
      <c r="K407" s="168">
        <v>91</v>
      </c>
      <c r="L407" s="160"/>
      <c r="M407" s="169"/>
    </row>
    <row r="408" spans="1:13" x14ac:dyDescent="0.55000000000000004">
      <c r="A408" s="95" t="s">
        <v>1018</v>
      </c>
      <c r="B408" s="168" t="s">
        <v>153</v>
      </c>
      <c r="C408" s="168" t="s">
        <v>127</v>
      </c>
      <c r="D408" s="168" t="s">
        <v>2994</v>
      </c>
      <c r="E408" s="116">
        <f>3.56+4.51</f>
        <v>8.07</v>
      </c>
      <c r="F408" s="149" t="s">
        <v>138</v>
      </c>
      <c r="G408" s="149" t="s">
        <v>135</v>
      </c>
      <c r="H408" s="168" t="s">
        <v>39</v>
      </c>
      <c r="I408" s="168"/>
      <c r="J408" s="168" t="str">
        <f t="shared" si="0"/>
        <v>[LBNL] Kraft IPP + Heat pump</v>
      </c>
      <c r="K408" s="168">
        <v>91</v>
      </c>
      <c r="L408" s="160"/>
      <c r="M408" s="169"/>
    </row>
    <row r="409" spans="1:13" x14ac:dyDescent="0.55000000000000004">
      <c r="A409" s="95" t="s">
        <v>1018</v>
      </c>
      <c r="B409" s="68" t="s">
        <v>160</v>
      </c>
      <c r="C409" s="168" t="s">
        <v>247</v>
      </c>
      <c r="D409" s="68" t="s">
        <v>3288</v>
      </c>
      <c r="E409" s="119">
        <v>0.12342000000000002</v>
      </c>
      <c r="F409" s="151" t="s">
        <v>135</v>
      </c>
      <c r="G409" s="151" t="s">
        <v>135</v>
      </c>
      <c r="H409" s="68" t="s">
        <v>376</v>
      </c>
      <c r="I409" s="168"/>
      <c r="J409" s="74" t="str">
        <f t="shared" si="0"/>
        <v>[LBNL] Kraft IPP + Heat pump</v>
      </c>
      <c r="K409" s="168"/>
      <c r="L409" s="163"/>
      <c r="M409" s="169"/>
    </row>
    <row r="410" spans="1:13" x14ac:dyDescent="0.55000000000000004">
      <c r="A410" s="104" t="s">
        <v>1014</v>
      </c>
      <c r="B410" s="61" t="s">
        <v>236</v>
      </c>
      <c r="C410" s="61" t="s">
        <v>121</v>
      </c>
      <c r="D410" s="61" t="s">
        <v>3288</v>
      </c>
      <c r="E410" s="119">
        <v>1</v>
      </c>
      <c r="F410" s="148" t="s">
        <v>135</v>
      </c>
      <c r="G410" s="148">
        <v>1</v>
      </c>
      <c r="H410" s="61" t="s">
        <v>39</v>
      </c>
      <c r="I410" s="61" t="s">
        <v>535</v>
      </c>
      <c r="J410" s="61" t="s">
        <v>1015</v>
      </c>
      <c r="K410" s="61" t="s">
        <v>535</v>
      </c>
      <c r="L410" s="159">
        <v>2523</v>
      </c>
      <c r="M410" s="169"/>
    </row>
    <row r="411" spans="1:13" x14ac:dyDescent="0.55000000000000004">
      <c r="A411" s="104" t="s">
        <v>1014</v>
      </c>
      <c r="B411" s="61" t="s">
        <v>1016</v>
      </c>
      <c r="C411" s="61" t="s">
        <v>125</v>
      </c>
      <c r="D411" s="61" t="s">
        <v>3288</v>
      </c>
      <c r="E411" s="119">
        <v>0.35</v>
      </c>
      <c r="F411" s="148" t="s">
        <v>135</v>
      </c>
      <c r="G411" s="148">
        <v>1</v>
      </c>
      <c r="H411" s="61" t="s">
        <v>39</v>
      </c>
      <c r="I411" s="61" t="s">
        <v>930</v>
      </c>
      <c r="J411" s="61" t="s">
        <v>1015</v>
      </c>
      <c r="K411" s="61" t="s">
        <v>931</v>
      </c>
      <c r="L411" s="159"/>
      <c r="M411" s="169"/>
    </row>
    <row r="412" spans="1:13" x14ac:dyDescent="0.55000000000000004">
      <c r="A412" s="104" t="s">
        <v>1014</v>
      </c>
      <c r="B412" s="61" t="s">
        <v>131</v>
      </c>
      <c r="C412" s="61" t="s">
        <v>132</v>
      </c>
      <c r="D412" s="61" t="s">
        <v>3288</v>
      </c>
      <c r="E412" s="119">
        <v>0.15</v>
      </c>
      <c r="F412" s="148" t="s">
        <v>135</v>
      </c>
      <c r="G412" s="148">
        <v>1</v>
      </c>
      <c r="H412" s="61" t="s">
        <v>39</v>
      </c>
      <c r="I412" s="61" t="s">
        <v>932</v>
      </c>
      <c r="J412" s="61" t="s">
        <v>1015</v>
      </c>
      <c r="K412" s="61" t="s">
        <v>933</v>
      </c>
      <c r="L412" s="159"/>
      <c r="M412" s="169"/>
    </row>
    <row r="413" spans="1:13" x14ac:dyDescent="0.55000000000000004">
      <c r="A413" s="104" t="s">
        <v>1014</v>
      </c>
      <c r="B413" s="61" t="s">
        <v>134</v>
      </c>
      <c r="C413" s="61" t="s">
        <v>125</v>
      </c>
      <c r="D413" s="61" t="s">
        <v>3288</v>
      </c>
      <c r="E413" s="119">
        <v>0.47499999999999998</v>
      </c>
      <c r="F413" s="148" t="s">
        <v>135</v>
      </c>
      <c r="G413" s="148">
        <v>1</v>
      </c>
      <c r="H413" s="61" t="s">
        <v>39</v>
      </c>
      <c r="I413" s="61"/>
      <c r="J413" s="61" t="s">
        <v>1015</v>
      </c>
      <c r="K413" s="61" t="s">
        <v>934</v>
      </c>
      <c r="L413" s="159"/>
      <c r="M413" s="169"/>
    </row>
    <row r="414" spans="1:13" x14ac:dyDescent="0.55000000000000004">
      <c r="A414" s="104" t="s">
        <v>1014</v>
      </c>
      <c r="B414" s="168" t="s">
        <v>859</v>
      </c>
      <c r="C414" s="61" t="s">
        <v>125</v>
      </c>
      <c r="D414" s="61" t="s">
        <v>3288</v>
      </c>
      <c r="E414" s="119">
        <v>2.5000000000000001E-2</v>
      </c>
      <c r="F414" s="148" t="s">
        <v>135</v>
      </c>
      <c r="G414" s="148">
        <v>1</v>
      </c>
      <c r="H414" s="61" t="s">
        <v>39</v>
      </c>
      <c r="I414" s="61" t="s">
        <v>935</v>
      </c>
      <c r="J414" s="61" t="s">
        <v>1015</v>
      </c>
      <c r="K414" s="61" t="s">
        <v>931</v>
      </c>
      <c r="L414" s="159"/>
      <c r="M414" s="169"/>
    </row>
    <row r="415" spans="1:13" x14ac:dyDescent="0.55000000000000004">
      <c r="A415" s="104" t="s">
        <v>1014</v>
      </c>
      <c r="B415" s="61" t="s">
        <v>153</v>
      </c>
      <c r="C415" s="61" t="s">
        <v>127</v>
      </c>
      <c r="D415" s="61" t="s">
        <v>2994</v>
      </c>
      <c r="E415" s="119">
        <v>8.5999999999999993E-2</v>
      </c>
      <c r="F415" s="148" t="s">
        <v>138</v>
      </c>
      <c r="G415" s="148">
        <v>1</v>
      </c>
      <c r="H415" s="61" t="s">
        <v>1017</v>
      </c>
      <c r="I415" s="61" t="s">
        <v>937</v>
      </c>
      <c r="J415" s="61" t="s">
        <v>1015</v>
      </c>
      <c r="K415" s="61" t="s">
        <v>934</v>
      </c>
      <c r="L415" s="159"/>
      <c r="M415" s="169"/>
    </row>
    <row r="416" spans="1:13" x14ac:dyDescent="0.55000000000000004">
      <c r="A416" s="105" t="s">
        <v>3291</v>
      </c>
      <c r="B416" s="61" t="s">
        <v>998</v>
      </c>
      <c r="C416" s="61" t="s">
        <v>121</v>
      </c>
      <c r="D416" s="61" t="s">
        <v>3288</v>
      </c>
      <c r="E416" s="119">
        <v>1</v>
      </c>
      <c r="F416" s="148" t="s">
        <v>135</v>
      </c>
      <c r="G416" s="148">
        <v>1</v>
      </c>
      <c r="H416" s="61" t="s">
        <v>39</v>
      </c>
      <c r="I416" s="61"/>
      <c r="J416" s="61"/>
      <c r="K416" s="61"/>
      <c r="L416" s="159">
        <v>271114</v>
      </c>
      <c r="M416" s="169"/>
    </row>
    <row r="417" spans="1:13" x14ac:dyDescent="0.55000000000000004">
      <c r="A417" s="105" t="s">
        <v>3291</v>
      </c>
      <c r="B417" s="61" t="s">
        <v>939</v>
      </c>
      <c r="C417" s="61" t="s">
        <v>125</v>
      </c>
      <c r="D417" s="61" t="s">
        <v>3288</v>
      </c>
      <c r="E417" s="119">
        <v>1.5870445339999999</v>
      </c>
      <c r="F417" s="148" t="s">
        <v>135</v>
      </c>
      <c r="G417" s="148">
        <v>1</v>
      </c>
      <c r="H417" s="61" t="s">
        <v>39</v>
      </c>
      <c r="I417" s="61"/>
      <c r="J417" s="61" t="s">
        <v>919</v>
      </c>
      <c r="K417" s="61" t="s">
        <v>126</v>
      </c>
      <c r="L417" s="159"/>
      <c r="M417" s="169"/>
    </row>
    <row r="418" spans="1:13" x14ac:dyDescent="0.55000000000000004">
      <c r="A418" s="105" t="s">
        <v>3291</v>
      </c>
      <c r="B418" s="61" t="s">
        <v>213</v>
      </c>
      <c r="C418" s="61" t="s">
        <v>125</v>
      </c>
      <c r="D418" s="61" t="s">
        <v>3288</v>
      </c>
      <c r="E418" s="119">
        <v>6.4777327999999995E-2</v>
      </c>
      <c r="F418" s="148" t="s">
        <v>135</v>
      </c>
      <c r="G418" s="148">
        <v>1</v>
      </c>
      <c r="H418" s="61" t="s">
        <v>39</v>
      </c>
      <c r="I418" s="61"/>
      <c r="J418" s="61" t="s">
        <v>919</v>
      </c>
      <c r="K418" s="61" t="s">
        <v>126</v>
      </c>
      <c r="L418" s="159"/>
      <c r="M418" s="169"/>
    </row>
    <row r="419" spans="1:13" x14ac:dyDescent="0.55000000000000004">
      <c r="A419" s="105" t="s">
        <v>3291</v>
      </c>
      <c r="B419" s="61" t="s">
        <v>153</v>
      </c>
      <c r="C419" s="61" t="s">
        <v>127</v>
      </c>
      <c r="D419" s="61" t="s">
        <v>2994</v>
      </c>
      <c r="E419" s="119">
        <v>8.1201133599999995</v>
      </c>
      <c r="F419" s="148" t="s">
        <v>138</v>
      </c>
      <c r="G419" s="148">
        <v>1</v>
      </c>
      <c r="H419" s="61" t="s">
        <v>39</v>
      </c>
      <c r="I419" s="61"/>
      <c r="J419" s="61" t="s">
        <v>919</v>
      </c>
      <c r="K419" s="61" t="s">
        <v>126</v>
      </c>
      <c r="L419" s="159"/>
      <c r="M419" s="169"/>
    </row>
    <row r="420" spans="1:13" x14ac:dyDescent="0.55000000000000004">
      <c r="A420" s="105" t="s">
        <v>3291</v>
      </c>
      <c r="B420" s="61" t="s">
        <v>153</v>
      </c>
      <c r="C420" s="61" t="s">
        <v>127</v>
      </c>
      <c r="D420" s="61" t="s">
        <v>2994</v>
      </c>
      <c r="E420" s="119">
        <v>1.5591093119999999</v>
      </c>
      <c r="F420" s="148" t="s">
        <v>138</v>
      </c>
      <c r="G420" s="148">
        <v>1</v>
      </c>
      <c r="H420" s="61" t="s">
        <v>39</v>
      </c>
      <c r="I420" s="61"/>
      <c r="J420" s="61" t="s">
        <v>919</v>
      </c>
      <c r="K420" s="61" t="s">
        <v>126</v>
      </c>
      <c r="L420" s="159"/>
      <c r="M420" s="169"/>
    </row>
    <row r="421" spans="1:13" x14ac:dyDescent="0.55000000000000004">
      <c r="A421" s="105" t="s">
        <v>3291</v>
      </c>
      <c r="B421" s="61" t="s">
        <v>153</v>
      </c>
      <c r="C421" s="61" t="s">
        <v>127</v>
      </c>
      <c r="D421" s="61" t="s">
        <v>2994</v>
      </c>
      <c r="E421" s="119">
        <v>3.2571428569999998</v>
      </c>
      <c r="F421" s="148" t="s">
        <v>138</v>
      </c>
      <c r="G421" s="148">
        <v>1</v>
      </c>
      <c r="H421" s="61" t="s">
        <v>39</v>
      </c>
      <c r="I421" s="61" t="s">
        <v>1023</v>
      </c>
      <c r="J421" s="61" t="s">
        <v>919</v>
      </c>
      <c r="K421" s="61" t="s">
        <v>126</v>
      </c>
      <c r="L421" s="159"/>
      <c r="M421" s="169"/>
    </row>
    <row r="422" spans="1:13" x14ac:dyDescent="0.55000000000000004">
      <c r="A422" s="105" t="s">
        <v>3291</v>
      </c>
      <c r="B422" s="61" t="s">
        <v>153</v>
      </c>
      <c r="C422" s="61" t="s">
        <v>127</v>
      </c>
      <c r="D422" s="61" t="s">
        <v>2994</v>
      </c>
      <c r="E422" s="119">
        <v>12.93636553</v>
      </c>
      <c r="F422" s="148" t="s">
        <v>138</v>
      </c>
      <c r="G422" s="148">
        <v>1</v>
      </c>
      <c r="H422" s="61" t="s">
        <v>39</v>
      </c>
      <c r="I422" s="61"/>
      <c r="J422" s="61" t="s">
        <v>919</v>
      </c>
      <c r="K422" s="61" t="s">
        <v>126</v>
      </c>
      <c r="L422" s="159"/>
      <c r="M422" s="169"/>
    </row>
    <row r="423" spans="1:13" x14ac:dyDescent="0.55000000000000004">
      <c r="A423" s="105" t="s">
        <v>3292</v>
      </c>
      <c r="B423" s="61" t="s">
        <v>998</v>
      </c>
      <c r="C423" s="61" t="s">
        <v>121</v>
      </c>
      <c r="D423" s="61" t="s">
        <v>3288</v>
      </c>
      <c r="E423" s="119">
        <v>1</v>
      </c>
      <c r="F423" s="148" t="s">
        <v>135</v>
      </c>
      <c r="G423" s="148">
        <v>1</v>
      </c>
      <c r="H423" s="61" t="s">
        <v>39</v>
      </c>
      <c r="I423" s="61"/>
      <c r="J423" s="61"/>
      <c r="K423" s="61"/>
      <c r="L423" s="159">
        <v>271114</v>
      </c>
      <c r="M423" s="169"/>
    </row>
    <row r="424" spans="1:13" x14ac:dyDescent="0.55000000000000004">
      <c r="A424" s="105" t="s">
        <v>3292</v>
      </c>
      <c r="B424" s="61" t="s">
        <v>939</v>
      </c>
      <c r="C424" s="61" t="s">
        <v>125</v>
      </c>
      <c r="D424" s="61" t="s">
        <v>3288</v>
      </c>
      <c r="E424" s="119">
        <v>1.5870445339999999</v>
      </c>
      <c r="F424" s="148" t="s">
        <v>135</v>
      </c>
      <c r="G424" s="148">
        <v>1</v>
      </c>
      <c r="H424" s="61" t="s">
        <v>39</v>
      </c>
      <c r="I424" s="61"/>
      <c r="J424" s="61" t="s">
        <v>919</v>
      </c>
      <c r="K424" s="61" t="s">
        <v>126</v>
      </c>
      <c r="L424" s="159"/>
      <c r="M424" s="169"/>
    </row>
    <row r="425" spans="1:13" x14ac:dyDescent="0.55000000000000004">
      <c r="A425" s="105" t="s">
        <v>3292</v>
      </c>
      <c r="B425" s="61" t="s">
        <v>213</v>
      </c>
      <c r="C425" s="61" t="s">
        <v>125</v>
      </c>
      <c r="D425" s="61" t="s">
        <v>3288</v>
      </c>
      <c r="E425" s="119">
        <v>6.4777327999999995E-2</v>
      </c>
      <c r="F425" s="148" t="s">
        <v>135</v>
      </c>
      <c r="G425" s="148">
        <v>1</v>
      </c>
      <c r="H425" s="61" t="s">
        <v>39</v>
      </c>
      <c r="I425" s="61"/>
      <c r="J425" s="61" t="s">
        <v>919</v>
      </c>
      <c r="K425" s="61" t="s">
        <v>126</v>
      </c>
      <c r="L425" s="159"/>
      <c r="M425" s="169"/>
    </row>
    <row r="426" spans="1:13" x14ac:dyDescent="0.55000000000000004">
      <c r="A426" s="105" t="s">
        <v>3292</v>
      </c>
      <c r="B426" s="61" t="s">
        <v>334</v>
      </c>
      <c r="C426" s="61" t="s">
        <v>127</v>
      </c>
      <c r="D426" s="61" t="s">
        <v>2994</v>
      </c>
      <c r="E426" s="119">
        <v>6.4736842000000003E-2</v>
      </c>
      <c r="F426" s="148" t="s">
        <v>135</v>
      </c>
      <c r="G426" s="148">
        <v>1</v>
      </c>
      <c r="H426" s="61" t="s">
        <v>39</v>
      </c>
      <c r="I426" s="61"/>
      <c r="J426" s="61" t="s">
        <v>919</v>
      </c>
      <c r="K426" s="61" t="s">
        <v>126</v>
      </c>
      <c r="L426" s="159"/>
      <c r="M426" s="169"/>
    </row>
    <row r="427" spans="1:13" x14ac:dyDescent="0.55000000000000004">
      <c r="A427" s="105" t="s">
        <v>3292</v>
      </c>
      <c r="B427" s="61" t="s">
        <v>153</v>
      </c>
      <c r="C427" s="61" t="s">
        <v>127</v>
      </c>
      <c r="D427" s="61" t="s">
        <v>2994</v>
      </c>
      <c r="E427" s="119">
        <v>1.0253441299999999</v>
      </c>
      <c r="F427" s="148" t="s">
        <v>138</v>
      </c>
      <c r="G427" s="148">
        <v>1</v>
      </c>
      <c r="H427" s="61" t="s">
        <v>39</v>
      </c>
      <c r="I427" s="61"/>
      <c r="J427" s="61" t="s">
        <v>919</v>
      </c>
      <c r="K427" s="61" t="s">
        <v>126</v>
      </c>
      <c r="L427" s="159"/>
      <c r="M427" s="169"/>
    </row>
    <row r="428" spans="1:13" x14ac:dyDescent="0.55000000000000004">
      <c r="A428" s="105" t="s">
        <v>3292</v>
      </c>
      <c r="B428" s="61" t="s">
        <v>153</v>
      </c>
      <c r="C428" s="61" t="s">
        <v>127</v>
      </c>
      <c r="D428" s="61" t="s">
        <v>2994</v>
      </c>
      <c r="E428" s="119">
        <v>1.5591093119999999</v>
      </c>
      <c r="F428" s="148" t="s">
        <v>138</v>
      </c>
      <c r="G428" s="148">
        <v>1</v>
      </c>
      <c r="H428" s="61" t="s">
        <v>39</v>
      </c>
      <c r="I428" s="61"/>
      <c r="J428" s="61" t="s">
        <v>919</v>
      </c>
      <c r="K428" s="61" t="s">
        <v>126</v>
      </c>
      <c r="L428" s="159"/>
      <c r="M428" s="169"/>
    </row>
    <row r="429" spans="1:13" x14ac:dyDescent="0.55000000000000004">
      <c r="A429" s="105" t="s">
        <v>3292</v>
      </c>
      <c r="B429" s="61" t="s">
        <v>153</v>
      </c>
      <c r="C429" s="61" t="s">
        <v>127</v>
      </c>
      <c r="D429" s="61" t="s">
        <v>2994</v>
      </c>
      <c r="E429" s="119">
        <v>3.2571428569999998</v>
      </c>
      <c r="F429" s="148" t="s">
        <v>138</v>
      </c>
      <c r="G429" s="148">
        <v>1</v>
      </c>
      <c r="H429" s="61" t="s">
        <v>39</v>
      </c>
      <c r="I429" s="61" t="s">
        <v>1023</v>
      </c>
      <c r="J429" s="61" t="s">
        <v>919</v>
      </c>
      <c r="K429" s="61" t="s">
        <v>126</v>
      </c>
      <c r="L429" s="159"/>
      <c r="M429" s="169"/>
    </row>
    <row r="430" spans="1:13" x14ac:dyDescent="0.55000000000000004">
      <c r="A430" s="105" t="s">
        <v>3292</v>
      </c>
      <c r="B430" s="61" t="s">
        <v>153</v>
      </c>
      <c r="C430" s="61" t="s">
        <v>127</v>
      </c>
      <c r="D430" s="61" t="s">
        <v>2994</v>
      </c>
      <c r="E430" s="119">
        <v>5.8415962979999998</v>
      </c>
      <c r="F430" s="148" t="s">
        <v>138</v>
      </c>
      <c r="G430" s="148">
        <v>1</v>
      </c>
      <c r="H430" s="61" t="s">
        <v>39</v>
      </c>
      <c r="I430" s="61"/>
      <c r="J430" s="61" t="s">
        <v>919</v>
      </c>
      <c r="K430" s="61" t="s">
        <v>126</v>
      </c>
      <c r="L430" s="159"/>
      <c r="M430" s="169"/>
    </row>
    <row r="431" spans="1:13" x14ac:dyDescent="0.55000000000000004">
      <c r="A431" s="105" t="s">
        <v>3293</v>
      </c>
      <c r="B431" s="61" t="s">
        <v>998</v>
      </c>
      <c r="C431" s="61" t="s">
        <v>121</v>
      </c>
      <c r="D431" s="61" t="s">
        <v>3288</v>
      </c>
      <c r="E431" s="119">
        <v>1</v>
      </c>
      <c r="F431" s="148" t="s">
        <v>135</v>
      </c>
      <c r="G431" s="148">
        <v>1</v>
      </c>
      <c r="H431" s="61" t="s">
        <v>39</v>
      </c>
      <c r="I431" s="61"/>
      <c r="J431" s="61"/>
      <c r="K431" s="61"/>
      <c r="L431" s="159">
        <v>271114</v>
      </c>
      <c r="M431" s="169"/>
    </row>
    <row r="432" spans="1:13" x14ac:dyDescent="0.55000000000000004">
      <c r="A432" s="105" t="s">
        <v>3293</v>
      </c>
      <c r="B432" s="61" t="s">
        <v>939</v>
      </c>
      <c r="C432" s="61" t="s">
        <v>125</v>
      </c>
      <c r="D432" s="61" t="s">
        <v>3288</v>
      </c>
      <c r="E432" s="119">
        <v>1.5870445339999999</v>
      </c>
      <c r="F432" s="148" t="s">
        <v>135</v>
      </c>
      <c r="G432" s="148">
        <v>1</v>
      </c>
      <c r="H432" s="61" t="s">
        <v>39</v>
      </c>
      <c r="I432" s="61"/>
      <c r="J432" s="61" t="s">
        <v>919</v>
      </c>
      <c r="K432" s="61" t="s">
        <v>126</v>
      </c>
      <c r="L432" s="159"/>
      <c r="M432" s="169"/>
    </row>
    <row r="433" spans="1:13" x14ac:dyDescent="0.55000000000000004">
      <c r="A433" s="105" t="s">
        <v>3293</v>
      </c>
      <c r="B433" s="61" t="s">
        <v>923</v>
      </c>
      <c r="C433" s="61" t="s">
        <v>127</v>
      </c>
      <c r="D433" s="61" t="s">
        <v>2994</v>
      </c>
      <c r="E433" s="119">
        <v>8.8663967610000007</v>
      </c>
      <c r="F433" s="148" t="s">
        <v>138</v>
      </c>
      <c r="G433" s="148">
        <v>1</v>
      </c>
      <c r="H433" s="61" t="s">
        <v>39</v>
      </c>
      <c r="I433" s="61"/>
      <c r="J433" s="61" t="s">
        <v>919</v>
      </c>
      <c r="K433" s="61" t="s">
        <v>126</v>
      </c>
      <c r="L433" s="159"/>
      <c r="M433" s="169"/>
    </row>
    <row r="434" spans="1:13" x14ac:dyDescent="0.55000000000000004">
      <c r="A434" s="105" t="s">
        <v>3293</v>
      </c>
      <c r="B434" s="61" t="s">
        <v>153</v>
      </c>
      <c r="C434" s="61" t="s">
        <v>127</v>
      </c>
      <c r="D434" s="61" t="s">
        <v>2994</v>
      </c>
      <c r="E434" s="119">
        <v>1.0253441299999999</v>
      </c>
      <c r="F434" s="148" t="s">
        <v>138</v>
      </c>
      <c r="G434" s="148">
        <v>1</v>
      </c>
      <c r="H434" s="61" t="s">
        <v>39</v>
      </c>
      <c r="I434" s="61"/>
      <c r="J434" s="61" t="s">
        <v>919</v>
      </c>
      <c r="K434" s="61" t="s">
        <v>126</v>
      </c>
      <c r="L434" s="159"/>
      <c r="M434" s="169"/>
    </row>
    <row r="435" spans="1:13" x14ac:dyDescent="0.55000000000000004">
      <c r="A435" s="105" t="s">
        <v>3293</v>
      </c>
      <c r="B435" s="61" t="s">
        <v>153</v>
      </c>
      <c r="C435" s="61" t="s">
        <v>127</v>
      </c>
      <c r="D435" s="61" t="s">
        <v>2994</v>
      </c>
      <c r="E435" s="119">
        <v>3.2571428569999998</v>
      </c>
      <c r="F435" s="148" t="s">
        <v>138</v>
      </c>
      <c r="G435" s="148">
        <v>1</v>
      </c>
      <c r="H435" s="61" t="s">
        <v>39</v>
      </c>
      <c r="I435" s="61" t="s">
        <v>1023</v>
      </c>
      <c r="J435" s="61" t="s">
        <v>919</v>
      </c>
      <c r="K435" s="61" t="s">
        <v>126</v>
      </c>
      <c r="L435" s="159"/>
      <c r="M435" s="169"/>
    </row>
    <row r="436" spans="1:13" x14ac:dyDescent="0.55000000000000004">
      <c r="A436" s="105" t="s">
        <v>3293</v>
      </c>
      <c r="B436" s="61" t="s">
        <v>153</v>
      </c>
      <c r="C436" s="61" t="s">
        <v>127</v>
      </c>
      <c r="D436" s="61" t="s">
        <v>2994</v>
      </c>
      <c r="E436" s="119">
        <v>4.2824869870000004</v>
      </c>
      <c r="F436" s="148" t="s">
        <v>138</v>
      </c>
      <c r="G436" s="148">
        <v>1</v>
      </c>
      <c r="H436" s="61" t="s">
        <v>39</v>
      </c>
      <c r="I436" s="61"/>
      <c r="J436" s="61" t="s">
        <v>919</v>
      </c>
      <c r="K436" s="61" t="s">
        <v>126</v>
      </c>
      <c r="L436" s="159"/>
      <c r="M436" s="169"/>
    </row>
    <row r="437" spans="1:13" x14ac:dyDescent="0.55000000000000004">
      <c r="A437" s="105" t="s">
        <v>3293</v>
      </c>
      <c r="B437" s="61" t="s">
        <v>160</v>
      </c>
      <c r="C437" s="61" t="s">
        <v>497</v>
      </c>
      <c r="D437" s="61" t="s">
        <v>3288</v>
      </c>
      <c r="E437" s="119">
        <v>0.59404858299999996</v>
      </c>
      <c r="F437" s="148" t="s">
        <v>135</v>
      </c>
      <c r="G437" s="148">
        <v>1</v>
      </c>
      <c r="H437" s="61" t="s">
        <v>39</v>
      </c>
      <c r="I437" s="61" t="s">
        <v>959</v>
      </c>
      <c r="J437" s="61" t="s">
        <v>924</v>
      </c>
      <c r="K437" s="61" t="s">
        <v>126</v>
      </c>
      <c r="L437" s="159"/>
      <c r="M437" s="169"/>
    </row>
    <row r="438" spans="1:13" x14ac:dyDescent="0.55000000000000004">
      <c r="A438" s="105" t="s">
        <v>3294</v>
      </c>
      <c r="B438" s="61" t="s">
        <v>998</v>
      </c>
      <c r="C438" s="61" t="s">
        <v>121</v>
      </c>
      <c r="D438" s="61" t="s">
        <v>3288</v>
      </c>
      <c r="E438" s="119">
        <v>1</v>
      </c>
      <c r="F438" s="148" t="s">
        <v>135</v>
      </c>
      <c r="G438" s="148">
        <v>1</v>
      </c>
      <c r="H438" s="61" t="s">
        <v>39</v>
      </c>
      <c r="I438" s="61"/>
      <c r="J438" s="61"/>
      <c r="K438" s="61"/>
      <c r="L438" s="159">
        <v>271114</v>
      </c>
      <c r="M438" s="169"/>
    </row>
    <row r="439" spans="1:13" x14ac:dyDescent="0.55000000000000004">
      <c r="A439" s="105" t="s">
        <v>3294</v>
      </c>
      <c r="B439" s="61" t="s">
        <v>939</v>
      </c>
      <c r="C439" s="61" t="s">
        <v>125</v>
      </c>
      <c r="D439" s="61" t="s">
        <v>3288</v>
      </c>
      <c r="E439" s="119">
        <v>1.5870445339999999</v>
      </c>
      <c r="F439" s="148" t="s">
        <v>135</v>
      </c>
      <c r="G439" s="148">
        <v>1</v>
      </c>
      <c r="H439" s="61" t="s">
        <v>39</v>
      </c>
      <c r="I439" s="61"/>
      <c r="J439" s="61" t="s">
        <v>919</v>
      </c>
      <c r="K439" s="61" t="s">
        <v>126</v>
      </c>
      <c r="L439" s="159"/>
      <c r="M439" s="169"/>
    </row>
    <row r="440" spans="1:13" x14ac:dyDescent="0.55000000000000004">
      <c r="A440" s="105" t="s">
        <v>3294</v>
      </c>
      <c r="B440" s="61" t="s">
        <v>213</v>
      </c>
      <c r="C440" s="61" t="s">
        <v>125</v>
      </c>
      <c r="D440" s="61" t="s">
        <v>3288</v>
      </c>
      <c r="E440" s="119">
        <v>6.4777327999999995E-2</v>
      </c>
      <c r="F440" s="148" t="s">
        <v>135</v>
      </c>
      <c r="G440" s="148">
        <v>1</v>
      </c>
      <c r="H440" s="61" t="s">
        <v>39</v>
      </c>
      <c r="I440" s="61"/>
      <c r="J440" s="61" t="s">
        <v>919</v>
      </c>
      <c r="K440" s="61" t="s">
        <v>126</v>
      </c>
      <c r="L440" s="159"/>
      <c r="M440" s="169"/>
    </row>
    <row r="441" spans="1:13" x14ac:dyDescent="0.55000000000000004">
      <c r="A441" s="105" t="s">
        <v>3294</v>
      </c>
      <c r="B441" s="61" t="s">
        <v>153</v>
      </c>
      <c r="C441" s="61" t="s">
        <v>127</v>
      </c>
      <c r="D441" s="61" t="s">
        <v>2994</v>
      </c>
      <c r="E441" s="119">
        <v>1.0253441299999999</v>
      </c>
      <c r="F441" s="148" t="s">
        <v>138</v>
      </c>
      <c r="G441" s="148">
        <v>1</v>
      </c>
      <c r="H441" s="61" t="s">
        <v>39</v>
      </c>
      <c r="I441" s="61"/>
      <c r="J441" s="61" t="s">
        <v>919</v>
      </c>
      <c r="K441" s="61" t="s">
        <v>126</v>
      </c>
      <c r="L441" s="159"/>
      <c r="M441" s="169"/>
    </row>
    <row r="442" spans="1:13" x14ac:dyDescent="0.55000000000000004">
      <c r="A442" s="105" t="s">
        <v>3294</v>
      </c>
      <c r="B442" s="61" t="s">
        <v>153</v>
      </c>
      <c r="C442" s="61" t="s">
        <v>127</v>
      </c>
      <c r="D442" s="61" t="s">
        <v>2994</v>
      </c>
      <c r="E442" s="119">
        <v>0.44048583000000002</v>
      </c>
      <c r="F442" s="148" t="s">
        <v>138</v>
      </c>
      <c r="G442" s="148">
        <v>1</v>
      </c>
      <c r="H442" s="61" t="s">
        <v>39</v>
      </c>
      <c r="I442" s="61"/>
      <c r="J442" s="61" t="s">
        <v>919</v>
      </c>
      <c r="K442" s="61" t="s">
        <v>126</v>
      </c>
      <c r="L442" s="159"/>
      <c r="M442" s="169"/>
    </row>
    <row r="443" spans="1:13" x14ac:dyDescent="0.55000000000000004">
      <c r="A443" s="105" t="s">
        <v>3294</v>
      </c>
      <c r="B443" s="61" t="s">
        <v>153</v>
      </c>
      <c r="C443" s="61" t="s">
        <v>127</v>
      </c>
      <c r="D443" s="61" t="s">
        <v>2994</v>
      </c>
      <c r="E443" s="119">
        <v>3.2571428569999998</v>
      </c>
      <c r="F443" s="148" t="s">
        <v>138</v>
      </c>
      <c r="G443" s="148">
        <v>1</v>
      </c>
      <c r="H443" s="61" t="s">
        <v>39</v>
      </c>
      <c r="I443" s="61" t="s">
        <v>1023</v>
      </c>
      <c r="J443" s="61" t="s">
        <v>919</v>
      </c>
      <c r="K443" s="61" t="s">
        <v>126</v>
      </c>
      <c r="L443" s="159"/>
      <c r="M443" s="169"/>
    </row>
    <row r="444" spans="1:13" x14ac:dyDescent="0.55000000000000004">
      <c r="A444" s="105" t="s">
        <v>3294</v>
      </c>
      <c r="B444" s="61" t="s">
        <v>153</v>
      </c>
      <c r="C444" s="61" t="s">
        <v>127</v>
      </c>
      <c r="D444" s="61" t="s">
        <v>2994</v>
      </c>
      <c r="E444" s="119">
        <v>4.7229728169999996</v>
      </c>
      <c r="F444" s="148" t="s">
        <v>138</v>
      </c>
      <c r="G444" s="148">
        <v>1</v>
      </c>
      <c r="H444" s="61" t="s">
        <v>39</v>
      </c>
      <c r="I444" s="61"/>
      <c r="J444" s="61" t="s">
        <v>919</v>
      </c>
      <c r="K444" s="61" t="s">
        <v>126</v>
      </c>
      <c r="L444" s="159"/>
      <c r="M444" s="169"/>
    </row>
    <row r="445" spans="1:13" x14ac:dyDescent="0.55000000000000004">
      <c r="A445" s="105" t="s">
        <v>3295</v>
      </c>
      <c r="B445" s="61" t="s">
        <v>998</v>
      </c>
      <c r="C445" s="61" t="s">
        <v>121</v>
      </c>
      <c r="D445" s="61" t="s">
        <v>3288</v>
      </c>
      <c r="E445" s="119">
        <v>1</v>
      </c>
      <c r="F445" s="148" t="s">
        <v>135</v>
      </c>
      <c r="G445" s="148">
        <v>1</v>
      </c>
      <c r="H445" s="61" t="s">
        <v>39</v>
      </c>
      <c r="I445" s="61"/>
      <c r="J445" s="61"/>
      <c r="K445" s="61"/>
      <c r="L445" s="159">
        <v>271114</v>
      </c>
      <c r="M445" s="169"/>
    </row>
    <row r="446" spans="1:13" x14ac:dyDescent="0.55000000000000004">
      <c r="A446" s="105" t="s">
        <v>3295</v>
      </c>
      <c r="B446" s="61" t="s">
        <v>625</v>
      </c>
      <c r="C446" s="61" t="s">
        <v>125</v>
      </c>
      <c r="D446" s="61" t="s">
        <v>3288</v>
      </c>
      <c r="E446" s="119">
        <v>0.69454000000000005</v>
      </c>
      <c r="F446" s="148" t="s">
        <v>135</v>
      </c>
      <c r="G446" s="148">
        <v>1</v>
      </c>
      <c r="H446" s="61" t="s">
        <v>39</v>
      </c>
      <c r="I446" s="61" t="s">
        <v>956</v>
      </c>
      <c r="J446" s="61" t="s">
        <v>919</v>
      </c>
      <c r="K446" s="61" t="s">
        <v>126</v>
      </c>
      <c r="L446" s="159"/>
      <c r="M446" s="169"/>
    </row>
    <row r="447" spans="1:13" x14ac:dyDescent="0.55000000000000004">
      <c r="A447" s="105" t="s">
        <v>3295</v>
      </c>
      <c r="B447" s="61" t="s">
        <v>706</v>
      </c>
      <c r="C447" s="61" t="s">
        <v>125</v>
      </c>
      <c r="D447" s="61" t="s">
        <v>3288</v>
      </c>
      <c r="E447" s="119">
        <v>5.9450000000000003E-2</v>
      </c>
      <c r="F447" s="148" t="s">
        <v>135</v>
      </c>
      <c r="G447" s="148">
        <v>1</v>
      </c>
      <c r="H447" s="61" t="s">
        <v>39</v>
      </c>
      <c r="I447" s="61" t="s">
        <v>947</v>
      </c>
      <c r="J447" s="61" t="s">
        <v>919</v>
      </c>
      <c r="K447" s="61" t="s">
        <v>126</v>
      </c>
      <c r="L447" s="159"/>
      <c r="M447" s="169"/>
    </row>
    <row r="448" spans="1:13" x14ac:dyDescent="0.55000000000000004">
      <c r="A448" s="105" t="s">
        <v>3295</v>
      </c>
      <c r="B448" s="61" t="s">
        <v>925</v>
      </c>
      <c r="C448" s="61" t="s">
        <v>125</v>
      </c>
      <c r="D448" s="61" t="s">
        <v>3288</v>
      </c>
      <c r="E448" s="119">
        <v>0.27388000000000001</v>
      </c>
      <c r="F448" s="148" t="s">
        <v>135</v>
      </c>
      <c r="G448" s="148">
        <v>1</v>
      </c>
      <c r="H448" s="61" t="s">
        <v>39</v>
      </c>
      <c r="I448" s="61" t="s">
        <v>947</v>
      </c>
      <c r="J448" s="61" t="s">
        <v>919</v>
      </c>
      <c r="K448" s="61" t="s">
        <v>126</v>
      </c>
      <c r="L448" s="159"/>
      <c r="M448" s="169"/>
    </row>
    <row r="449" spans="1:13" x14ac:dyDescent="0.55000000000000004">
      <c r="A449" s="105" t="s">
        <v>3295</v>
      </c>
      <c r="B449" s="61" t="s">
        <v>923</v>
      </c>
      <c r="C449" s="61" t="s">
        <v>127</v>
      </c>
      <c r="D449" s="61" t="s">
        <v>2994</v>
      </c>
      <c r="E449" s="119">
        <v>7.5381556850000004</v>
      </c>
      <c r="F449" s="148" t="s">
        <v>138</v>
      </c>
      <c r="G449" s="148">
        <v>1</v>
      </c>
      <c r="H449" s="61" t="s">
        <v>39</v>
      </c>
      <c r="I449" s="61" t="s">
        <v>968</v>
      </c>
      <c r="J449" s="61" t="s">
        <v>919</v>
      </c>
      <c r="K449" s="61" t="s">
        <v>126</v>
      </c>
      <c r="L449" s="159"/>
      <c r="M449" s="169"/>
    </row>
    <row r="450" spans="1:13" x14ac:dyDescent="0.55000000000000004">
      <c r="A450" s="105" t="s">
        <v>3295</v>
      </c>
      <c r="B450" s="61" t="s">
        <v>153</v>
      </c>
      <c r="C450" s="61" t="s">
        <v>127</v>
      </c>
      <c r="D450" s="61" t="s">
        <v>2994</v>
      </c>
      <c r="E450" s="119">
        <v>2.1527099999999999</v>
      </c>
      <c r="F450" s="148" t="s">
        <v>138</v>
      </c>
      <c r="G450" s="148">
        <v>1</v>
      </c>
      <c r="H450" s="61" t="s">
        <v>39</v>
      </c>
      <c r="I450" s="61" t="s">
        <v>968</v>
      </c>
      <c r="J450" s="61" t="s">
        <v>919</v>
      </c>
      <c r="K450" s="61" t="s">
        <v>126</v>
      </c>
      <c r="L450" s="159"/>
      <c r="M450" s="169"/>
    </row>
    <row r="451" spans="1:13" x14ac:dyDescent="0.55000000000000004">
      <c r="A451" s="105" t="s">
        <v>3295</v>
      </c>
      <c r="B451" s="61" t="s">
        <v>160</v>
      </c>
      <c r="C451" s="61" t="s">
        <v>497</v>
      </c>
      <c r="D451" s="61" t="s">
        <v>3288</v>
      </c>
      <c r="E451" s="119">
        <v>0.50505643099999997</v>
      </c>
      <c r="F451" s="148" t="s">
        <v>135</v>
      </c>
      <c r="G451" s="148">
        <v>1</v>
      </c>
      <c r="H451" s="61" t="s">
        <v>39</v>
      </c>
      <c r="I451" s="61" t="s">
        <v>959</v>
      </c>
      <c r="J451" s="61" t="s">
        <v>924</v>
      </c>
      <c r="K451" s="61" t="s">
        <v>126</v>
      </c>
      <c r="L451" s="159"/>
      <c r="M451" s="169"/>
    </row>
    <row r="452" spans="1:13" x14ac:dyDescent="0.55000000000000004">
      <c r="A452" s="105" t="s">
        <v>3296</v>
      </c>
      <c r="B452" s="61" t="s">
        <v>998</v>
      </c>
      <c r="C452" s="61" t="s">
        <v>121</v>
      </c>
      <c r="D452" s="61" t="s">
        <v>3288</v>
      </c>
      <c r="E452" s="119">
        <v>1</v>
      </c>
      <c r="F452" s="148" t="s">
        <v>135</v>
      </c>
      <c r="G452" s="148">
        <v>1</v>
      </c>
      <c r="H452" s="61" t="s">
        <v>39</v>
      </c>
      <c r="I452" s="61"/>
      <c r="J452" s="61"/>
      <c r="K452" s="61"/>
      <c r="L452" s="159">
        <v>271114</v>
      </c>
      <c r="M452" s="169"/>
    </row>
    <row r="453" spans="1:13" x14ac:dyDescent="0.55000000000000004">
      <c r="A453" s="105" t="s">
        <v>3296</v>
      </c>
      <c r="B453" s="61" t="s">
        <v>625</v>
      </c>
      <c r="C453" s="61" t="s">
        <v>125</v>
      </c>
      <c r="D453" s="61" t="s">
        <v>3288</v>
      </c>
      <c r="E453" s="119">
        <v>0.98744939300000001</v>
      </c>
      <c r="F453" s="148" t="s">
        <v>135</v>
      </c>
      <c r="G453" s="148">
        <v>1</v>
      </c>
      <c r="H453" s="61" t="s">
        <v>39</v>
      </c>
      <c r="I453" s="61" t="s">
        <v>947</v>
      </c>
      <c r="J453" s="61" t="s">
        <v>919</v>
      </c>
      <c r="K453" s="61" t="s">
        <v>126</v>
      </c>
      <c r="L453" s="159"/>
      <c r="M453" s="169"/>
    </row>
    <row r="454" spans="1:13" x14ac:dyDescent="0.55000000000000004">
      <c r="A454" s="105" t="s">
        <v>3296</v>
      </c>
      <c r="B454" s="61" t="s">
        <v>706</v>
      </c>
      <c r="C454" s="61" t="s">
        <v>125</v>
      </c>
      <c r="D454" s="61" t="s">
        <v>3288</v>
      </c>
      <c r="E454" s="119">
        <v>0</v>
      </c>
      <c r="F454" s="148" t="s">
        <v>135</v>
      </c>
      <c r="G454" s="148">
        <v>1</v>
      </c>
      <c r="H454" s="61" t="s">
        <v>39</v>
      </c>
      <c r="I454" s="61" t="s">
        <v>947</v>
      </c>
      <c r="J454" s="61" t="s">
        <v>919</v>
      </c>
      <c r="K454" s="61" t="s">
        <v>126</v>
      </c>
      <c r="L454" s="159"/>
      <c r="M454" s="169"/>
    </row>
    <row r="455" spans="1:13" x14ac:dyDescent="0.55000000000000004">
      <c r="A455" s="105" t="s">
        <v>3296</v>
      </c>
      <c r="B455" s="61" t="s">
        <v>925</v>
      </c>
      <c r="C455" s="61" t="s">
        <v>125</v>
      </c>
      <c r="D455" s="61" t="s">
        <v>3288</v>
      </c>
      <c r="E455" s="119">
        <v>2.4696355999999999E-2</v>
      </c>
      <c r="F455" s="148" t="s">
        <v>135</v>
      </c>
      <c r="G455" s="148">
        <v>1</v>
      </c>
      <c r="H455" s="61" t="s">
        <v>39</v>
      </c>
      <c r="I455" s="61" t="s">
        <v>947</v>
      </c>
      <c r="J455" s="61" t="s">
        <v>919</v>
      </c>
      <c r="K455" s="61" t="s">
        <v>126</v>
      </c>
      <c r="L455" s="159"/>
      <c r="M455" s="169"/>
    </row>
    <row r="456" spans="1:13" x14ac:dyDescent="0.55000000000000004">
      <c r="A456" s="105" t="s">
        <v>3296</v>
      </c>
      <c r="B456" s="61" t="s">
        <v>923</v>
      </c>
      <c r="C456" s="61" t="s">
        <v>127</v>
      </c>
      <c r="D456" s="61" t="s">
        <v>2994</v>
      </c>
      <c r="E456" s="119">
        <v>7.5364372470000003</v>
      </c>
      <c r="F456" s="148" t="s">
        <v>138</v>
      </c>
      <c r="G456" s="148">
        <v>1</v>
      </c>
      <c r="H456" s="61" t="s">
        <v>39</v>
      </c>
      <c r="I456" s="61" t="s">
        <v>947</v>
      </c>
      <c r="J456" s="61" t="s">
        <v>919</v>
      </c>
      <c r="K456" s="61" t="s">
        <v>126</v>
      </c>
      <c r="L456" s="159"/>
      <c r="M456" s="169"/>
    </row>
    <row r="457" spans="1:13" x14ac:dyDescent="0.55000000000000004">
      <c r="A457" s="105" t="s">
        <v>3296</v>
      </c>
      <c r="B457" s="61" t="s">
        <v>153</v>
      </c>
      <c r="C457" s="61" t="s">
        <v>127</v>
      </c>
      <c r="D457" s="61" t="s">
        <v>2994</v>
      </c>
      <c r="E457" s="119">
        <v>0.87154251000000005</v>
      </c>
      <c r="F457" s="148" t="s">
        <v>138</v>
      </c>
      <c r="G457" s="148">
        <v>1</v>
      </c>
      <c r="H457" s="61" t="s">
        <v>39</v>
      </c>
      <c r="I457" s="61" t="s">
        <v>970</v>
      </c>
      <c r="J457" s="61" t="s">
        <v>919</v>
      </c>
      <c r="K457" s="61" t="s">
        <v>126</v>
      </c>
      <c r="L457" s="159"/>
      <c r="M457" s="169"/>
    </row>
    <row r="458" spans="1:13" x14ac:dyDescent="0.55000000000000004">
      <c r="A458" s="105" t="s">
        <v>3296</v>
      </c>
      <c r="B458" s="61" t="s">
        <v>153</v>
      </c>
      <c r="C458" s="61" t="s">
        <v>127</v>
      </c>
      <c r="D458" s="61" t="s">
        <v>2994</v>
      </c>
      <c r="E458" s="119">
        <v>2.2222727999999998</v>
      </c>
      <c r="F458" s="148" t="s">
        <v>138</v>
      </c>
      <c r="G458" s="148">
        <v>1</v>
      </c>
      <c r="H458" s="61" t="s">
        <v>39</v>
      </c>
      <c r="I458" s="61" t="s">
        <v>950</v>
      </c>
      <c r="J458" s="61" t="s">
        <v>919</v>
      </c>
      <c r="K458" s="61" t="s">
        <v>126</v>
      </c>
      <c r="L458" s="159"/>
      <c r="M458" s="169"/>
    </row>
    <row r="459" spans="1:13" x14ac:dyDescent="0.55000000000000004">
      <c r="A459" s="105" t="s">
        <v>3296</v>
      </c>
      <c r="B459" s="61" t="s">
        <v>153</v>
      </c>
      <c r="C459" s="61" t="s">
        <v>127</v>
      </c>
      <c r="D459" s="61" t="s">
        <v>2994</v>
      </c>
      <c r="E459" s="119">
        <v>3.0938153100000001</v>
      </c>
      <c r="F459" s="148" t="s">
        <v>138</v>
      </c>
      <c r="G459" s="148">
        <v>1</v>
      </c>
      <c r="H459" s="61" t="s">
        <v>39</v>
      </c>
      <c r="I459" s="61" t="s">
        <v>971</v>
      </c>
      <c r="J459" s="61" t="s">
        <v>919</v>
      </c>
      <c r="K459" s="61" t="s">
        <v>126</v>
      </c>
      <c r="L459" s="159"/>
      <c r="M459" s="169"/>
    </row>
    <row r="460" spans="1:13" x14ac:dyDescent="0.55000000000000004">
      <c r="A460" s="105" t="s">
        <v>3296</v>
      </c>
      <c r="B460" s="61" t="s">
        <v>160</v>
      </c>
      <c r="C460" s="61" t="s">
        <v>497</v>
      </c>
      <c r="D460" s="61" t="s">
        <v>3288</v>
      </c>
      <c r="E460" s="119">
        <v>2.5247064999999999E-2</v>
      </c>
      <c r="F460" s="148" t="s">
        <v>135</v>
      </c>
      <c r="G460" s="148">
        <v>1</v>
      </c>
      <c r="H460" s="61" t="s">
        <v>39</v>
      </c>
      <c r="I460" s="61" t="s">
        <v>959</v>
      </c>
      <c r="J460" s="61" t="s">
        <v>924</v>
      </c>
      <c r="K460" s="61" t="s">
        <v>126</v>
      </c>
      <c r="L460" s="159"/>
      <c r="M460" s="169"/>
    </row>
    <row r="461" spans="1:13" x14ac:dyDescent="0.55000000000000004">
      <c r="A461" s="105" t="s">
        <v>3297</v>
      </c>
      <c r="B461" s="61" t="s">
        <v>998</v>
      </c>
      <c r="C461" s="61" t="s">
        <v>121</v>
      </c>
      <c r="D461" s="61" t="s">
        <v>3288</v>
      </c>
      <c r="E461" s="119">
        <v>1</v>
      </c>
      <c r="F461" s="148" t="s">
        <v>135</v>
      </c>
      <c r="G461" s="148">
        <v>1</v>
      </c>
      <c r="H461" s="61" t="s">
        <v>39</v>
      </c>
      <c r="I461" s="61"/>
      <c r="J461" s="61"/>
      <c r="K461" s="61"/>
      <c r="L461" s="159">
        <v>271114</v>
      </c>
      <c r="M461" s="169"/>
    </row>
    <row r="462" spans="1:13" x14ac:dyDescent="0.55000000000000004">
      <c r="A462" s="105" t="s">
        <v>3297</v>
      </c>
      <c r="B462" s="61" t="s">
        <v>625</v>
      </c>
      <c r="C462" s="61" t="s">
        <v>125</v>
      </c>
      <c r="D462" s="61" t="s">
        <v>3288</v>
      </c>
      <c r="E462" s="119">
        <v>0.69289999999999996</v>
      </c>
      <c r="F462" s="148" t="s">
        <v>135</v>
      </c>
      <c r="G462" s="148">
        <v>1</v>
      </c>
      <c r="H462" s="61" t="s">
        <v>39</v>
      </c>
      <c r="I462" s="61" t="s">
        <v>947</v>
      </c>
      <c r="J462" s="61" t="s">
        <v>919</v>
      </c>
      <c r="K462" s="61" t="s">
        <v>126</v>
      </c>
      <c r="L462" s="159"/>
      <c r="M462" s="169"/>
    </row>
    <row r="463" spans="1:13" x14ac:dyDescent="0.55000000000000004">
      <c r="A463" s="105" t="s">
        <v>3297</v>
      </c>
      <c r="B463" s="61" t="s">
        <v>706</v>
      </c>
      <c r="C463" s="61" t="s">
        <v>125</v>
      </c>
      <c r="D463" s="61" t="s">
        <v>3288</v>
      </c>
      <c r="E463" s="119">
        <v>5.9450000000000003E-2</v>
      </c>
      <c r="F463" s="148" t="s">
        <v>135</v>
      </c>
      <c r="G463" s="148">
        <v>1</v>
      </c>
      <c r="H463" s="61" t="s">
        <v>39</v>
      </c>
      <c r="I463" s="61" t="s">
        <v>947</v>
      </c>
      <c r="J463" s="61" t="s">
        <v>919</v>
      </c>
      <c r="K463" s="61" t="s">
        <v>126</v>
      </c>
      <c r="L463" s="159"/>
      <c r="M463" s="169"/>
    </row>
    <row r="464" spans="1:13" x14ac:dyDescent="0.55000000000000004">
      <c r="A464" s="105" t="s">
        <v>3297</v>
      </c>
      <c r="B464" s="61" t="s">
        <v>925</v>
      </c>
      <c r="C464" s="61" t="s">
        <v>125</v>
      </c>
      <c r="D464" s="61" t="s">
        <v>3288</v>
      </c>
      <c r="E464" s="119">
        <v>0.27388000000000001</v>
      </c>
      <c r="F464" s="148" t="s">
        <v>135</v>
      </c>
      <c r="G464" s="148">
        <v>1</v>
      </c>
      <c r="H464" s="61" t="s">
        <v>39</v>
      </c>
      <c r="I464" s="61" t="s">
        <v>947</v>
      </c>
      <c r="J464" s="61" t="s">
        <v>919</v>
      </c>
      <c r="K464" s="61" t="s">
        <v>126</v>
      </c>
      <c r="L464" s="159"/>
      <c r="M464" s="169"/>
    </row>
    <row r="465" spans="1:13" x14ac:dyDescent="0.55000000000000004">
      <c r="A465" s="105" t="s">
        <v>3297</v>
      </c>
      <c r="B465" s="61" t="s">
        <v>153</v>
      </c>
      <c r="C465" s="61" t="s">
        <v>127</v>
      </c>
      <c r="D465" s="61" t="s">
        <v>2994</v>
      </c>
      <c r="E465" s="119">
        <v>6.9897529799999996</v>
      </c>
      <c r="F465" s="148" t="s">
        <v>138</v>
      </c>
      <c r="G465" s="148">
        <v>1</v>
      </c>
      <c r="H465" s="61" t="s">
        <v>39</v>
      </c>
      <c r="I465" s="61" t="s">
        <v>1005</v>
      </c>
      <c r="J465" s="61" t="s">
        <v>919</v>
      </c>
      <c r="K465" s="61" t="s">
        <v>126</v>
      </c>
      <c r="L465" s="159"/>
      <c r="M465" s="169"/>
    </row>
    <row r="466" spans="1:13" x14ac:dyDescent="0.55000000000000004">
      <c r="A466" s="105" t="s">
        <v>3298</v>
      </c>
      <c r="B466" s="61" t="s">
        <v>998</v>
      </c>
      <c r="C466" s="61" t="s">
        <v>121</v>
      </c>
      <c r="D466" s="61" t="s">
        <v>3288</v>
      </c>
      <c r="E466" s="119">
        <v>1</v>
      </c>
      <c r="F466" s="148" t="s">
        <v>135</v>
      </c>
      <c r="G466" s="148">
        <v>1</v>
      </c>
      <c r="H466" s="61" t="s">
        <v>39</v>
      </c>
      <c r="I466" s="61"/>
      <c r="J466" s="61"/>
      <c r="K466" s="61"/>
      <c r="L466" s="159">
        <v>271114</v>
      </c>
      <c r="M466" s="169"/>
    </row>
    <row r="467" spans="1:13" x14ac:dyDescent="0.55000000000000004">
      <c r="A467" s="105" t="s">
        <v>3298</v>
      </c>
      <c r="B467" s="61" t="s">
        <v>625</v>
      </c>
      <c r="C467" s="61" t="s">
        <v>125</v>
      </c>
      <c r="D467" s="61" t="s">
        <v>3288</v>
      </c>
      <c r="E467" s="119">
        <v>0.98744939300000001</v>
      </c>
      <c r="F467" s="148" t="s">
        <v>135</v>
      </c>
      <c r="G467" s="148">
        <v>1</v>
      </c>
      <c r="H467" s="61" t="s">
        <v>39</v>
      </c>
      <c r="I467" s="61" t="s">
        <v>947</v>
      </c>
      <c r="J467" s="61" t="s">
        <v>919</v>
      </c>
      <c r="K467" s="61" t="s">
        <v>126</v>
      </c>
      <c r="L467" s="159"/>
      <c r="M467" s="169"/>
    </row>
    <row r="468" spans="1:13" x14ac:dyDescent="0.55000000000000004">
      <c r="A468" s="105" t="s">
        <v>3298</v>
      </c>
      <c r="B468" s="61" t="s">
        <v>706</v>
      </c>
      <c r="C468" s="61" t="s">
        <v>125</v>
      </c>
      <c r="D468" s="61" t="s">
        <v>3288</v>
      </c>
      <c r="E468" s="119">
        <v>0</v>
      </c>
      <c r="F468" s="148" t="s">
        <v>135</v>
      </c>
      <c r="G468" s="148">
        <v>1</v>
      </c>
      <c r="H468" s="61" t="s">
        <v>39</v>
      </c>
      <c r="I468" s="61" t="s">
        <v>947</v>
      </c>
      <c r="J468" s="61" t="s">
        <v>919</v>
      </c>
      <c r="K468" s="61" t="s">
        <v>126</v>
      </c>
      <c r="L468" s="159"/>
      <c r="M468" s="169"/>
    </row>
    <row r="469" spans="1:13" x14ac:dyDescent="0.55000000000000004">
      <c r="A469" s="105" t="s">
        <v>3298</v>
      </c>
      <c r="B469" s="61" t="s">
        <v>925</v>
      </c>
      <c r="C469" s="61" t="s">
        <v>125</v>
      </c>
      <c r="D469" s="61" t="s">
        <v>3288</v>
      </c>
      <c r="E469" s="119">
        <v>2.4696355999999999E-2</v>
      </c>
      <c r="F469" s="148" t="s">
        <v>135</v>
      </c>
      <c r="G469" s="148">
        <v>1</v>
      </c>
      <c r="H469" s="61" t="s">
        <v>39</v>
      </c>
      <c r="I469" s="61" t="s">
        <v>947</v>
      </c>
      <c r="J469" s="61" t="s">
        <v>919</v>
      </c>
      <c r="K469" s="61" t="s">
        <v>126</v>
      </c>
      <c r="L469" s="159"/>
      <c r="M469" s="169"/>
    </row>
    <row r="470" spans="1:13" x14ac:dyDescent="0.55000000000000004">
      <c r="A470" s="105" t="s">
        <v>3298</v>
      </c>
      <c r="B470" s="61" t="s">
        <v>334</v>
      </c>
      <c r="C470" s="61" t="s">
        <v>127</v>
      </c>
      <c r="D470" s="61" t="s">
        <v>2994</v>
      </c>
      <c r="E470" s="119">
        <v>7.3886640000000003E-2</v>
      </c>
      <c r="F470" s="148" t="s">
        <v>135</v>
      </c>
      <c r="G470" s="148">
        <v>1</v>
      </c>
      <c r="H470" s="61" t="s">
        <v>39</v>
      </c>
      <c r="I470" s="61" t="s">
        <v>947</v>
      </c>
      <c r="J470" s="61" t="s">
        <v>919</v>
      </c>
      <c r="K470" s="61" t="s">
        <v>126</v>
      </c>
      <c r="L470" s="159"/>
      <c r="M470" s="169"/>
    </row>
    <row r="471" spans="1:13" x14ac:dyDescent="0.55000000000000004">
      <c r="A471" s="105" t="s">
        <v>3298</v>
      </c>
      <c r="B471" s="61" t="s">
        <v>153</v>
      </c>
      <c r="C471" s="61" t="s">
        <v>127</v>
      </c>
      <c r="D471" s="61" t="s">
        <v>2994</v>
      </c>
      <c r="E471" s="119">
        <v>0.87154251000000005</v>
      </c>
      <c r="F471" s="148" t="s">
        <v>138</v>
      </c>
      <c r="G471" s="148">
        <v>1</v>
      </c>
      <c r="H471" s="61" t="s">
        <v>39</v>
      </c>
      <c r="I471" s="61" t="s">
        <v>972</v>
      </c>
      <c r="J471" s="61" t="s">
        <v>919</v>
      </c>
      <c r="K471" s="61" t="s">
        <v>126</v>
      </c>
      <c r="L471" s="159"/>
      <c r="M471" s="169"/>
    </row>
    <row r="472" spans="1:13" x14ac:dyDescent="0.55000000000000004">
      <c r="A472" s="105" t="s">
        <v>3299</v>
      </c>
      <c r="B472" s="61" t="s">
        <v>998</v>
      </c>
      <c r="C472" s="61" t="s">
        <v>121</v>
      </c>
      <c r="D472" s="61" t="s">
        <v>3288</v>
      </c>
      <c r="E472" s="119">
        <v>1</v>
      </c>
      <c r="F472" s="148" t="s">
        <v>135</v>
      </c>
      <c r="G472" s="148">
        <v>1</v>
      </c>
      <c r="H472" s="61" t="s">
        <v>39</v>
      </c>
      <c r="I472" s="61"/>
      <c r="J472" s="61"/>
      <c r="K472" s="61"/>
      <c r="L472" s="159">
        <v>271114</v>
      </c>
      <c r="M472" s="169"/>
    </row>
    <row r="473" spans="1:13" x14ac:dyDescent="0.55000000000000004">
      <c r="A473" s="105" t="s">
        <v>3299</v>
      </c>
      <c r="B473" s="61" t="s">
        <v>997</v>
      </c>
      <c r="C473" s="61" t="s">
        <v>125</v>
      </c>
      <c r="D473" s="61" t="s">
        <v>3288</v>
      </c>
      <c r="E473" s="119">
        <v>2.6</v>
      </c>
      <c r="F473" s="148" t="s">
        <v>135</v>
      </c>
      <c r="G473" s="148">
        <v>1</v>
      </c>
      <c r="H473" s="61" t="s">
        <v>39</v>
      </c>
      <c r="I473" s="61"/>
      <c r="J473" s="61" t="s">
        <v>919</v>
      </c>
      <c r="K473" s="61" t="s">
        <v>126</v>
      </c>
      <c r="L473" s="159"/>
      <c r="M473" s="169"/>
    </row>
    <row r="474" spans="1:13" x14ac:dyDescent="0.55000000000000004">
      <c r="A474" s="105" t="s">
        <v>3299</v>
      </c>
      <c r="B474" s="61" t="s">
        <v>153</v>
      </c>
      <c r="C474" s="61" t="s">
        <v>127</v>
      </c>
      <c r="D474" s="61" t="s">
        <v>2994</v>
      </c>
      <c r="E474" s="119">
        <v>8.18</v>
      </c>
      <c r="F474" s="148" t="s">
        <v>138</v>
      </c>
      <c r="G474" s="148">
        <v>1</v>
      </c>
      <c r="H474" s="61" t="s">
        <v>39</v>
      </c>
      <c r="I474" s="61"/>
      <c r="J474" s="61" t="s">
        <v>919</v>
      </c>
      <c r="K474" s="61" t="s">
        <v>126</v>
      </c>
      <c r="L474" s="159"/>
      <c r="M474" s="169"/>
    </row>
    <row r="475" spans="1:13" x14ac:dyDescent="0.55000000000000004">
      <c r="A475" s="105" t="s">
        <v>3300</v>
      </c>
      <c r="B475" s="61" t="s">
        <v>998</v>
      </c>
      <c r="C475" s="61" t="s">
        <v>121</v>
      </c>
      <c r="D475" s="61" t="s">
        <v>3288</v>
      </c>
      <c r="E475" s="119">
        <v>1</v>
      </c>
      <c r="F475" s="148" t="s">
        <v>135</v>
      </c>
      <c r="G475" s="148">
        <v>1</v>
      </c>
      <c r="H475" s="61" t="s">
        <v>39</v>
      </c>
      <c r="I475" s="61"/>
      <c r="J475" s="61"/>
      <c r="K475" s="61"/>
      <c r="L475" s="159">
        <v>271114</v>
      </c>
      <c r="M475" s="169"/>
    </row>
    <row r="476" spans="1:13" x14ac:dyDescent="0.55000000000000004">
      <c r="A476" s="105" t="s">
        <v>3300</v>
      </c>
      <c r="B476" s="61" t="s">
        <v>625</v>
      </c>
      <c r="C476" s="61" t="s">
        <v>125</v>
      </c>
      <c r="D476" s="61" t="s">
        <v>3288</v>
      </c>
      <c r="E476" s="119">
        <v>0.98744939300000001</v>
      </c>
      <c r="F476" s="148" t="s">
        <v>135</v>
      </c>
      <c r="G476" s="148">
        <v>1</v>
      </c>
      <c r="H476" s="61" t="s">
        <v>39</v>
      </c>
      <c r="I476" s="61" t="s">
        <v>947</v>
      </c>
      <c r="J476" s="61" t="s">
        <v>919</v>
      </c>
      <c r="K476" s="61" t="s">
        <v>126</v>
      </c>
      <c r="L476" s="159"/>
      <c r="M476" s="169"/>
    </row>
    <row r="477" spans="1:13" x14ac:dyDescent="0.55000000000000004">
      <c r="A477" s="105" t="s">
        <v>3300</v>
      </c>
      <c r="B477" s="61" t="s">
        <v>706</v>
      </c>
      <c r="C477" s="61" t="s">
        <v>125</v>
      </c>
      <c r="D477" s="61" t="s">
        <v>3288</v>
      </c>
      <c r="E477" s="119">
        <v>0</v>
      </c>
      <c r="F477" s="148" t="s">
        <v>135</v>
      </c>
      <c r="G477" s="148">
        <v>1</v>
      </c>
      <c r="H477" s="61" t="s">
        <v>39</v>
      </c>
      <c r="I477" s="61" t="s">
        <v>947</v>
      </c>
      <c r="J477" s="61" t="s">
        <v>919</v>
      </c>
      <c r="K477" s="61" t="s">
        <v>126</v>
      </c>
      <c r="L477" s="159"/>
      <c r="M477" s="169"/>
    </row>
    <row r="478" spans="1:13" x14ac:dyDescent="0.55000000000000004">
      <c r="A478" s="105" t="s">
        <v>3300</v>
      </c>
      <c r="B478" s="61" t="s">
        <v>925</v>
      </c>
      <c r="C478" s="61" t="s">
        <v>125</v>
      </c>
      <c r="D478" s="61" t="s">
        <v>3288</v>
      </c>
      <c r="E478" s="119">
        <v>2.4696355999999999E-2</v>
      </c>
      <c r="F478" s="148" t="s">
        <v>135</v>
      </c>
      <c r="G478" s="148">
        <v>1</v>
      </c>
      <c r="H478" s="61" t="s">
        <v>39</v>
      </c>
      <c r="I478" s="61" t="s">
        <v>947</v>
      </c>
      <c r="J478" s="61" t="s">
        <v>919</v>
      </c>
      <c r="K478" s="61" t="s">
        <v>126</v>
      </c>
      <c r="L478" s="159"/>
      <c r="M478" s="169"/>
    </row>
    <row r="479" spans="1:13" x14ac:dyDescent="0.55000000000000004">
      <c r="A479" s="105" t="s">
        <v>3300</v>
      </c>
      <c r="B479" s="61" t="s">
        <v>153</v>
      </c>
      <c r="C479" s="61" t="s">
        <v>127</v>
      </c>
      <c r="D479" s="61" t="s">
        <v>2994</v>
      </c>
      <c r="E479" s="119">
        <v>8.1201133599999995</v>
      </c>
      <c r="F479" s="148" t="s">
        <v>138</v>
      </c>
      <c r="G479" s="148">
        <v>1</v>
      </c>
      <c r="H479" s="61" t="s">
        <v>39</v>
      </c>
      <c r="I479" s="61" t="s">
        <v>999</v>
      </c>
      <c r="J479" s="61" t="s">
        <v>919</v>
      </c>
      <c r="K479" s="61" t="s">
        <v>126</v>
      </c>
      <c r="L479" s="159"/>
      <c r="M479" s="169"/>
    </row>
    <row r="480" spans="1:13" x14ac:dyDescent="0.55000000000000004">
      <c r="A480" s="105" t="s">
        <v>3300</v>
      </c>
      <c r="B480" s="61" t="s">
        <v>153</v>
      </c>
      <c r="C480" s="61" t="s">
        <v>127</v>
      </c>
      <c r="D480" s="61" t="s">
        <v>2994</v>
      </c>
      <c r="E480" s="119">
        <v>3.2571428569999998</v>
      </c>
      <c r="F480" s="148" t="s">
        <v>138</v>
      </c>
      <c r="G480" s="148">
        <v>1</v>
      </c>
      <c r="H480" s="61" t="s">
        <v>39</v>
      </c>
      <c r="I480" s="61" t="s">
        <v>1023</v>
      </c>
      <c r="J480" s="61" t="s">
        <v>919</v>
      </c>
      <c r="K480" s="61" t="s">
        <v>126</v>
      </c>
      <c r="L480" s="159"/>
      <c r="M480" s="169"/>
    </row>
    <row r="481" spans="1:13" x14ac:dyDescent="0.55000000000000004">
      <c r="A481" s="105" t="s">
        <v>3300</v>
      </c>
      <c r="B481" s="61" t="s">
        <v>153</v>
      </c>
      <c r="C481" s="61" t="s">
        <v>127</v>
      </c>
      <c r="D481" s="61" t="s">
        <v>2994</v>
      </c>
      <c r="E481" s="119">
        <v>11.37725622</v>
      </c>
      <c r="F481" s="148" t="s">
        <v>138</v>
      </c>
      <c r="G481" s="148">
        <v>1</v>
      </c>
      <c r="H481" s="61" t="s">
        <v>39</v>
      </c>
      <c r="I481" s="61"/>
      <c r="J481" s="61" t="s">
        <v>919</v>
      </c>
      <c r="K481" s="61" t="s">
        <v>126</v>
      </c>
      <c r="L481" s="159"/>
      <c r="M481" s="169"/>
    </row>
    <row r="482" spans="1:13" x14ac:dyDescent="0.55000000000000004">
      <c r="A482" s="105" t="s">
        <v>3301</v>
      </c>
      <c r="B482" s="61" t="s">
        <v>998</v>
      </c>
      <c r="C482" s="61" t="s">
        <v>121</v>
      </c>
      <c r="D482" s="61" t="s">
        <v>3288</v>
      </c>
      <c r="E482" s="119">
        <v>1</v>
      </c>
      <c r="F482" s="148" t="s">
        <v>135</v>
      </c>
      <c r="G482" s="148">
        <v>1</v>
      </c>
      <c r="H482" s="61" t="s">
        <v>39</v>
      </c>
      <c r="I482" s="61"/>
      <c r="J482" s="61"/>
      <c r="K482" s="61"/>
      <c r="L482" s="159">
        <v>271114</v>
      </c>
      <c r="M482" s="169"/>
    </row>
    <row r="483" spans="1:13" x14ac:dyDescent="0.55000000000000004">
      <c r="A483" s="105" t="s">
        <v>3301</v>
      </c>
      <c r="B483" s="61" t="s">
        <v>625</v>
      </c>
      <c r="C483" s="61" t="s">
        <v>125</v>
      </c>
      <c r="D483" s="61" t="s">
        <v>3288</v>
      </c>
      <c r="E483" s="119">
        <v>0.84939271299999997</v>
      </c>
      <c r="F483" s="148" t="s">
        <v>135</v>
      </c>
      <c r="G483" s="148">
        <v>1</v>
      </c>
      <c r="H483" s="61" t="s">
        <v>39</v>
      </c>
      <c r="I483" s="61" t="s">
        <v>947</v>
      </c>
      <c r="J483" s="61" t="s">
        <v>919</v>
      </c>
      <c r="K483" s="61" t="s">
        <v>126</v>
      </c>
      <c r="L483" s="159"/>
      <c r="M483" s="169"/>
    </row>
    <row r="484" spans="1:13" x14ac:dyDescent="0.55000000000000004">
      <c r="A484" s="105" t="s">
        <v>3301</v>
      </c>
      <c r="B484" s="61" t="s">
        <v>706</v>
      </c>
      <c r="C484" s="61" t="s">
        <v>125</v>
      </c>
      <c r="D484" s="61" t="s">
        <v>3288</v>
      </c>
      <c r="E484" s="119">
        <v>0</v>
      </c>
      <c r="F484" s="148" t="s">
        <v>135</v>
      </c>
      <c r="G484" s="148">
        <v>1</v>
      </c>
      <c r="H484" s="61" t="s">
        <v>39</v>
      </c>
      <c r="I484" s="61" t="s">
        <v>947</v>
      </c>
      <c r="J484" s="61" t="s">
        <v>919</v>
      </c>
      <c r="K484" s="61" t="s">
        <v>126</v>
      </c>
      <c r="L484" s="159"/>
      <c r="M484" s="169"/>
    </row>
    <row r="485" spans="1:13" x14ac:dyDescent="0.55000000000000004">
      <c r="A485" s="105" t="s">
        <v>3301</v>
      </c>
      <c r="B485" s="61" t="s">
        <v>925</v>
      </c>
      <c r="C485" s="61" t="s">
        <v>125</v>
      </c>
      <c r="D485" s="61" t="s">
        <v>3288</v>
      </c>
      <c r="E485" s="119">
        <v>2.1052632000000002E-2</v>
      </c>
      <c r="F485" s="148" t="s">
        <v>135</v>
      </c>
      <c r="G485" s="148">
        <v>1</v>
      </c>
      <c r="H485" s="61" t="s">
        <v>39</v>
      </c>
      <c r="I485" s="61" t="s">
        <v>947</v>
      </c>
      <c r="J485" s="61" t="s">
        <v>919</v>
      </c>
      <c r="K485" s="61" t="s">
        <v>126</v>
      </c>
      <c r="L485" s="159"/>
      <c r="M485" s="169"/>
    </row>
    <row r="486" spans="1:13" x14ac:dyDescent="0.55000000000000004">
      <c r="A486" s="105" t="s">
        <v>3301</v>
      </c>
      <c r="B486" s="61" t="s">
        <v>213</v>
      </c>
      <c r="C486" s="61" t="s">
        <v>125</v>
      </c>
      <c r="D486" s="61" t="s">
        <v>3288</v>
      </c>
      <c r="E486" s="119">
        <v>6.4777327999999995E-2</v>
      </c>
      <c r="F486" s="148" t="s">
        <v>135</v>
      </c>
      <c r="G486" s="148">
        <v>1</v>
      </c>
      <c r="H486" s="61" t="s">
        <v>39</v>
      </c>
      <c r="I486" s="61" t="s">
        <v>947</v>
      </c>
      <c r="J486" s="61" t="s">
        <v>919</v>
      </c>
      <c r="K486" s="61" t="s">
        <v>126</v>
      </c>
      <c r="L486" s="159"/>
      <c r="M486" s="169"/>
    </row>
    <row r="487" spans="1:13" x14ac:dyDescent="0.55000000000000004">
      <c r="A487" s="105" t="s">
        <v>3301</v>
      </c>
      <c r="B487" s="61" t="s">
        <v>153</v>
      </c>
      <c r="C487" s="61" t="s">
        <v>127</v>
      </c>
      <c r="D487" s="61" t="s">
        <v>2994</v>
      </c>
      <c r="E487" s="119">
        <v>3.2571428569999998</v>
      </c>
      <c r="F487" s="148" t="s">
        <v>138</v>
      </c>
      <c r="G487" s="148">
        <v>1</v>
      </c>
      <c r="H487" s="61" t="s">
        <v>39</v>
      </c>
      <c r="I487" s="61"/>
      <c r="J487" s="61" t="s">
        <v>919</v>
      </c>
      <c r="K487" s="61" t="s">
        <v>126</v>
      </c>
      <c r="L487" s="159"/>
      <c r="M487" s="169"/>
    </row>
    <row r="488" spans="1:13" x14ac:dyDescent="0.55000000000000004">
      <c r="A488" s="105" t="s">
        <v>3301</v>
      </c>
      <c r="B488" s="61" t="s">
        <v>153</v>
      </c>
      <c r="C488" s="61" t="s">
        <v>127</v>
      </c>
      <c r="D488" s="61" t="s">
        <v>2994</v>
      </c>
      <c r="E488" s="119">
        <v>12.93636553</v>
      </c>
      <c r="F488" s="148" t="s">
        <v>138</v>
      </c>
      <c r="G488" s="148">
        <v>1</v>
      </c>
      <c r="H488" s="61" t="s">
        <v>39</v>
      </c>
      <c r="I488" s="61" t="s">
        <v>947</v>
      </c>
      <c r="J488" s="61" t="s">
        <v>919</v>
      </c>
      <c r="K488" s="61" t="s">
        <v>126</v>
      </c>
      <c r="L488" s="159"/>
      <c r="M488" s="169"/>
    </row>
    <row r="489" spans="1:13" x14ac:dyDescent="0.55000000000000004">
      <c r="A489" s="105" t="s">
        <v>3302</v>
      </c>
      <c r="B489" s="61" t="s">
        <v>998</v>
      </c>
      <c r="C489" s="61" t="s">
        <v>121</v>
      </c>
      <c r="D489" s="61" t="s">
        <v>3288</v>
      </c>
      <c r="E489" s="119">
        <v>1</v>
      </c>
      <c r="F489" s="148" t="s">
        <v>135</v>
      </c>
      <c r="G489" s="148">
        <v>1</v>
      </c>
      <c r="H489" s="61" t="s">
        <v>39</v>
      </c>
      <c r="I489" s="61"/>
      <c r="J489" s="61"/>
      <c r="K489" s="61"/>
      <c r="L489" s="159">
        <v>271114</v>
      </c>
      <c r="M489" s="169"/>
    </row>
    <row r="490" spans="1:13" x14ac:dyDescent="0.55000000000000004">
      <c r="A490" s="105" t="s">
        <v>3302</v>
      </c>
      <c r="B490" s="61" t="s">
        <v>625</v>
      </c>
      <c r="C490" s="61" t="s">
        <v>125</v>
      </c>
      <c r="D490" s="61" t="s">
        <v>3288</v>
      </c>
      <c r="E490" s="119">
        <v>0.98744939300000001</v>
      </c>
      <c r="F490" s="148" t="s">
        <v>135</v>
      </c>
      <c r="G490" s="148">
        <v>1</v>
      </c>
      <c r="H490" s="61" t="s">
        <v>39</v>
      </c>
      <c r="I490" s="61" t="s">
        <v>947</v>
      </c>
      <c r="J490" s="61" t="s">
        <v>919</v>
      </c>
      <c r="K490" s="61" t="s">
        <v>126</v>
      </c>
      <c r="L490" s="159"/>
      <c r="M490" s="169"/>
    </row>
    <row r="491" spans="1:13" x14ac:dyDescent="0.55000000000000004">
      <c r="A491" s="105" t="s">
        <v>3302</v>
      </c>
      <c r="B491" s="61" t="s">
        <v>706</v>
      </c>
      <c r="C491" s="61" t="s">
        <v>125</v>
      </c>
      <c r="D491" s="61" t="s">
        <v>3288</v>
      </c>
      <c r="E491" s="119">
        <v>0</v>
      </c>
      <c r="F491" s="148" t="s">
        <v>135</v>
      </c>
      <c r="G491" s="148">
        <v>1</v>
      </c>
      <c r="H491" s="61" t="s">
        <v>39</v>
      </c>
      <c r="I491" s="61" t="s">
        <v>947</v>
      </c>
      <c r="J491" s="61" t="s">
        <v>919</v>
      </c>
      <c r="K491" s="61" t="s">
        <v>126</v>
      </c>
      <c r="L491" s="159"/>
      <c r="M491" s="169"/>
    </row>
    <row r="492" spans="1:13" x14ac:dyDescent="0.55000000000000004">
      <c r="A492" s="105" t="s">
        <v>3302</v>
      </c>
      <c r="B492" s="61" t="s">
        <v>925</v>
      </c>
      <c r="C492" s="61" t="s">
        <v>125</v>
      </c>
      <c r="D492" s="61" t="s">
        <v>3288</v>
      </c>
      <c r="E492" s="119">
        <v>2.4696355999999999E-2</v>
      </c>
      <c r="F492" s="148" t="s">
        <v>135</v>
      </c>
      <c r="G492" s="148">
        <v>1</v>
      </c>
      <c r="H492" s="61" t="s">
        <v>39</v>
      </c>
      <c r="I492" s="61" t="s">
        <v>947</v>
      </c>
      <c r="J492" s="61" t="s">
        <v>919</v>
      </c>
      <c r="K492" s="61" t="s">
        <v>126</v>
      </c>
      <c r="L492" s="159"/>
      <c r="M492" s="169"/>
    </row>
    <row r="493" spans="1:13" x14ac:dyDescent="0.55000000000000004">
      <c r="A493" s="105" t="s">
        <v>3302</v>
      </c>
      <c r="B493" s="61" t="s">
        <v>334</v>
      </c>
      <c r="C493" s="61" t="s">
        <v>127</v>
      </c>
      <c r="D493" s="61" t="s">
        <v>2994</v>
      </c>
      <c r="E493" s="119">
        <v>7.3886640000000003E-2</v>
      </c>
      <c r="F493" s="148" t="s">
        <v>135</v>
      </c>
      <c r="G493" s="148">
        <v>1</v>
      </c>
      <c r="H493" s="61" t="s">
        <v>39</v>
      </c>
      <c r="I493" s="61" t="s">
        <v>947</v>
      </c>
      <c r="J493" s="61" t="s">
        <v>919</v>
      </c>
      <c r="K493" s="61" t="s">
        <v>126</v>
      </c>
      <c r="L493" s="159"/>
      <c r="M493" s="169"/>
    </row>
    <row r="494" spans="1:13" x14ac:dyDescent="0.55000000000000004">
      <c r="A494" s="105" t="s">
        <v>3302</v>
      </c>
      <c r="B494" s="61" t="s">
        <v>153</v>
      </c>
      <c r="C494" s="61" t="s">
        <v>127</v>
      </c>
      <c r="D494" s="61" t="s">
        <v>2994</v>
      </c>
      <c r="E494" s="119">
        <v>3.2571428569999998</v>
      </c>
      <c r="F494" s="148" t="s">
        <v>138</v>
      </c>
      <c r="G494" s="148">
        <v>1</v>
      </c>
      <c r="H494" s="61" t="s">
        <v>39</v>
      </c>
      <c r="I494" s="61" t="s">
        <v>1023</v>
      </c>
      <c r="J494" s="61" t="s">
        <v>919</v>
      </c>
      <c r="K494" s="61" t="s">
        <v>126</v>
      </c>
      <c r="L494" s="159"/>
      <c r="M494" s="169"/>
    </row>
    <row r="495" spans="1:13" x14ac:dyDescent="0.55000000000000004">
      <c r="A495" s="105" t="s">
        <v>3302</v>
      </c>
      <c r="B495" s="61" t="s">
        <v>153</v>
      </c>
      <c r="C495" s="61" t="s">
        <v>127</v>
      </c>
      <c r="D495" s="61" t="s">
        <v>2994</v>
      </c>
      <c r="E495" s="119">
        <v>4.2824869870000004</v>
      </c>
      <c r="F495" s="148" t="s">
        <v>138</v>
      </c>
      <c r="G495" s="148">
        <v>1</v>
      </c>
      <c r="H495" s="61" t="s">
        <v>39</v>
      </c>
      <c r="I495" s="61" t="s">
        <v>947</v>
      </c>
      <c r="J495" s="61" t="s">
        <v>919</v>
      </c>
      <c r="K495" s="61" t="s">
        <v>126</v>
      </c>
      <c r="L495" s="159"/>
      <c r="M495" s="169"/>
    </row>
    <row r="496" spans="1:13" x14ac:dyDescent="0.55000000000000004">
      <c r="A496" s="105" t="s">
        <v>3303</v>
      </c>
      <c r="B496" s="61" t="s">
        <v>998</v>
      </c>
      <c r="C496" s="61" t="s">
        <v>121</v>
      </c>
      <c r="D496" s="61" t="s">
        <v>3288</v>
      </c>
      <c r="E496" s="119">
        <v>1</v>
      </c>
      <c r="F496" s="148" t="s">
        <v>135</v>
      </c>
      <c r="G496" s="148">
        <v>1</v>
      </c>
      <c r="H496" s="61" t="s">
        <v>39</v>
      </c>
      <c r="I496" s="61"/>
      <c r="J496" s="61"/>
      <c r="K496" s="61"/>
      <c r="L496" s="159">
        <v>271114</v>
      </c>
      <c r="M496" s="169"/>
    </row>
    <row r="497" spans="1:13" x14ac:dyDescent="0.55000000000000004">
      <c r="A497" s="105" t="s">
        <v>3303</v>
      </c>
      <c r="B497" s="61" t="s">
        <v>625</v>
      </c>
      <c r="C497" s="61" t="s">
        <v>125</v>
      </c>
      <c r="D497" s="61" t="s">
        <v>3288</v>
      </c>
      <c r="E497" s="119">
        <v>0.84939271299999997</v>
      </c>
      <c r="F497" s="148" t="s">
        <v>135</v>
      </c>
      <c r="G497" s="148">
        <v>1</v>
      </c>
      <c r="H497" s="61" t="s">
        <v>39</v>
      </c>
      <c r="I497" s="61" t="s">
        <v>947</v>
      </c>
      <c r="J497" s="61" t="s">
        <v>919</v>
      </c>
      <c r="K497" s="61" t="s">
        <v>126</v>
      </c>
      <c r="L497" s="159"/>
      <c r="M497" s="169"/>
    </row>
    <row r="498" spans="1:13" x14ac:dyDescent="0.55000000000000004">
      <c r="A498" s="105" t="s">
        <v>3303</v>
      </c>
      <c r="B498" s="61" t="s">
        <v>706</v>
      </c>
      <c r="C498" s="61" t="s">
        <v>125</v>
      </c>
      <c r="D498" s="61" t="s">
        <v>3288</v>
      </c>
      <c r="E498" s="119">
        <v>0</v>
      </c>
      <c r="F498" s="148" t="s">
        <v>135</v>
      </c>
      <c r="G498" s="148">
        <v>1</v>
      </c>
      <c r="H498" s="61" t="s">
        <v>39</v>
      </c>
      <c r="I498" s="61" t="s">
        <v>947</v>
      </c>
      <c r="J498" s="61" t="s">
        <v>919</v>
      </c>
      <c r="K498" s="61" t="s">
        <v>126</v>
      </c>
      <c r="L498" s="159"/>
      <c r="M498" s="169"/>
    </row>
    <row r="499" spans="1:13" x14ac:dyDescent="0.55000000000000004">
      <c r="A499" s="105" t="s">
        <v>3303</v>
      </c>
      <c r="B499" s="61" t="s">
        <v>925</v>
      </c>
      <c r="C499" s="61" t="s">
        <v>125</v>
      </c>
      <c r="D499" s="61" t="s">
        <v>3288</v>
      </c>
      <c r="E499" s="119">
        <v>2.1052632000000002E-2</v>
      </c>
      <c r="F499" s="148" t="s">
        <v>135</v>
      </c>
      <c r="G499" s="148">
        <v>1</v>
      </c>
      <c r="H499" s="61" t="s">
        <v>39</v>
      </c>
      <c r="I499" s="61" t="s">
        <v>947</v>
      </c>
      <c r="J499" s="61" t="s">
        <v>919</v>
      </c>
      <c r="K499" s="61" t="s">
        <v>126</v>
      </c>
      <c r="L499" s="159"/>
      <c r="M499" s="169"/>
    </row>
    <row r="500" spans="1:13" x14ac:dyDescent="0.55000000000000004">
      <c r="A500" s="105" t="s">
        <v>3303</v>
      </c>
      <c r="B500" s="61" t="s">
        <v>213</v>
      </c>
      <c r="C500" s="61" t="s">
        <v>125</v>
      </c>
      <c r="D500" s="61" t="s">
        <v>3288</v>
      </c>
      <c r="E500" s="119">
        <v>6.4736842000000003E-2</v>
      </c>
      <c r="F500" s="148" t="s">
        <v>135</v>
      </c>
      <c r="G500" s="148">
        <v>1</v>
      </c>
      <c r="H500" s="61" t="s">
        <v>39</v>
      </c>
      <c r="I500" s="61" t="s">
        <v>947</v>
      </c>
      <c r="J500" s="61" t="s">
        <v>919</v>
      </c>
      <c r="K500" s="61" t="s">
        <v>126</v>
      </c>
      <c r="L500" s="159"/>
      <c r="M500" s="169"/>
    </row>
    <row r="501" spans="1:13" x14ac:dyDescent="0.55000000000000004">
      <c r="A501" s="105" t="s">
        <v>3303</v>
      </c>
      <c r="B501" s="61" t="s">
        <v>334</v>
      </c>
      <c r="C501" s="61" t="s">
        <v>127</v>
      </c>
      <c r="D501" s="61" t="s">
        <v>2994</v>
      </c>
      <c r="E501" s="119">
        <v>6.4736842000000003E-2</v>
      </c>
      <c r="F501" s="148" t="s">
        <v>135</v>
      </c>
      <c r="G501" s="148">
        <v>1</v>
      </c>
      <c r="H501" s="61" t="s">
        <v>39</v>
      </c>
      <c r="I501" s="61" t="s">
        <v>947</v>
      </c>
      <c r="J501" s="61" t="s">
        <v>919</v>
      </c>
      <c r="K501" s="61" t="s">
        <v>126</v>
      </c>
      <c r="L501" s="159"/>
      <c r="M501" s="169"/>
    </row>
    <row r="502" spans="1:13" x14ac:dyDescent="0.55000000000000004">
      <c r="A502" s="105" t="s">
        <v>3303</v>
      </c>
      <c r="B502" s="61" t="s">
        <v>153</v>
      </c>
      <c r="C502" s="61" t="s">
        <v>127</v>
      </c>
      <c r="D502" s="61" t="s">
        <v>2994</v>
      </c>
      <c r="E502" s="119">
        <v>3.2571428569999998</v>
      </c>
      <c r="F502" s="148" t="s">
        <v>138</v>
      </c>
      <c r="G502" s="148">
        <v>1</v>
      </c>
      <c r="H502" s="61" t="s">
        <v>39</v>
      </c>
      <c r="I502" s="61" t="s">
        <v>1023</v>
      </c>
      <c r="J502" s="61" t="s">
        <v>919</v>
      </c>
      <c r="K502" s="61" t="s">
        <v>126</v>
      </c>
      <c r="L502" s="159"/>
      <c r="M502" s="169"/>
    </row>
    <row r="503" spans="1:13" x14ac:dyDescent="0.55000000000000004">
      <c r="A503" s="105" t="s">
        <v>3303</v>
      </c>
      <c r="B503" s="61" t="s">
        <v>153</v>
      </c>
      <c r="C503" s="61" t="s">
        <v>127</v>
      </c>
      <c r="D503" s="61" t="s">
        <v>2994</v>
      </c>
      <c r="E503" s="119">
        <v>5.8415962979999998</v>
      </c>
      <c r="F503" s="148" t="s">
        <v>138</v>
      </c>
      <c r="G503" s="148">
        <v>1</v>
      </c>
      <c r="H503" s="61" t="s">
        <v>39</v>
      </c>
      <c r="I503" s="61" t="s">
        <v>947</v>
      </c>
      <c r="J503" s="61" t="s">
        <v>919</v>
      </c>
      <c r="K503" s="61" t="s">
        <v>126</v>
      </c>
      <c r="L503" s="159"/>
      <c r="M503" s="169"/>
    </row>
    <row r="504" spans="1:13" x14ac:dyDescent="0.55000000000000004">
      <c r="A504" s="105" t="s">
        <v>3304</v>
      </c>
      <c r="B504" s="61" t="s">
        <v>998</v>
      </c>
      <c r="C504" s="61" t="s">
        <v>121</v>
      </c>
      <c r="D504" s="61" t="s">
        <v>3288</v>
      </c>
      <c r="E504" s="119">
        <v>1</v>
      </c>
      <c r="F504" s="148" t="s">
        <v>135</v>
      </c>
      <c r="G504" s="148">
        <v>1</v>
      </c>
      <c r="H504" s="61" t="s">
        <v>39</v>
      </c>
      <c r="I504" s="61"/>
      <c r="J504" s="61"/>
      <c r="K504" s="61"/>
      <c r="L504" s="159">
        <v>271114</v>
      </c>
      <c r="M504" s="169"/>
    </row>
    <row r="505" spans="1:13" x14ac:dyDescent="0.55000000000000004">
      <c r="A505" s="105" t="s">
        <v>3304</v>
      </c>
      <c r="B505" s="61" t="s">
        <v>625</v>
      </c>
      <c r="C505" s="61" t="s">
        <v>125</v>
      </c>
      <c r="D505" s="61" t="s">
        <v>3288</v>
      </c>
      <c r="E505" s="119">
        <v>0.98744939300000001</v>
      </c>
      <c r="F505" s="148" t="s">
        <v>135</v>
      </c>
      <c r="G505" s="148">
        <v>1</v>
      </c>
      <c r="H505" s="61" t="s">
        <v>39</v>
      </c>
      <c r="I505" s="61" t="s">
        <v>956</v>
      </c>
      <c r="J505" s="61" t="s">
        <v>919</v>
      </c>
      <c r="K505" s="61" t="s">
        <v>126</v>
      </c>
      <c r="L505" s="159"/>
      <c r="M505" s="169"/>
    </row>
    <row r="506" spans="1:13" x14ac:dyDescent="0.55000000000000004">
      <c r="A506" s="105" t="s">
        <v>3304</v>
      </c>
      <c r="B506" s="61" t="s">
        <v>706</v>
      </c>
      <c r="C506" s="61" t="s">
        <v>125</v>
      </c>
      <c r="D506" s="61" t="s">
        <v>3288</v>
      </c>
      <c r="E506" s="119">
        <v>0</v>
      </c>
      <c r="F506" s="148" t="s">
        <v>135</v>
      </c>
      <c r="G506" s="148">
        <v>1</v>
      </c>
      <c r="H506" s="61" t="s">
        <v>39</v>
      </c>
      <c r="I506" s="61" t="s">
        <v>947</v>
      </c>
      <c r="J506" s="61" t="s">
        <v>919</v>
      </c>
      <c r="K506" s="61" t="s">
        <v>126</v>
      </c>
      <c r="L506" s="159"/>
      <c r="M506" s="169"/>
    </row>
    <row r="507" spans="1:13" x14ac:dyDescent="0.55000000000000004">
      <c r="A507" s="105" t="s">
        <v>3304</v>
      </c>
      <c r="B507" s="61" t="s">
        <v>925</v>
      </c>
      <c r="C507" s="61" t="s">
        <v>125</v>
      </c>
      <c r="D507" s="61" t="s">
        <v>3288</v>
      </c>
      <c r="E507" s="119">
        <v>2.4696355999999999E-2</v>
      </c>
      <c r="F507" s="148" t="s">
        <v>135</v>
      </c>
      <c r="G507" s="148">
        <v>1</v>
      </c>
      <c r="H507" s="61" t="s">
        <v>39</v>
      </c>
      <c r="I507" s="61" t="s">
        <v>947</v>
      </c>
      <c r="J507" s="61" t="s">
        <v>919</v>
      </c>
      <c r="K507" s="61" t="s">
        <v>126</v>
      </c>
      <c r="L507" s="159"/>
      <c r="M507" s="169"/>
    </row>
    <row r="508" spans="1:13" x14ac:dyDescent="0.55000000000000004">
      <c r="A508" s="105" t="s">
        <v>3304</v>
      </c>
      <c r="B508" s="61" t="s">
        <v>923</v>
      </c>
      <c r="C508" s="61" t="s">
        <v>127</v>
      </c>
      <c r="D508" s="61" t="s">
        <v>2994</v>
      </c>
      <c r="E508" s="119">
        <v>8.8684184530000003</v>
      </c>
      <c r="F508" s="148" t="s">
        <v>138</v>
      </c>
      <c r="G508" s="148">
        <v>1</v>
      </c>
      <c r="H508" s="61" t="s">
        <v>39</v>
      </c>
      <c r="I508" s="61" t="s">
        <v>957</v>
      </c>
      <c r="J508" s="61" t="s">
        <v>919</v>
      </c>
      <c r="K508" s="61" t="s">
        <v>126</v>
      </c>
      <c r="L508" s="159"/>
      <c r="M508" s="169"/>
    </row>
    <row r="509" spans="1:13" x14ac:dyDescent="0.55000000000000004">
      <c r="A509" s="105" t="s">
        <v>3304</v>
      </c>
      <c r="B509" s="61" t="s">
        <v>153</v>
      </c>
      <c r="C509" s="61" t="s">
        <v>127</v>
      </c>
      <c r="D509" s="61" t="s">
        <v>2994</v>
      </c>
      <c r="E509" s="119">
        <v>1.0253441299999999</v>
      </c>
      <c r="F509" s="148" t="s">
        <v>138</v>
      </c>
      <c r="G509" s="148">
        <v>1</v>
      </c>
      <c r="H509" s="61" t="s">
        <v>39</v>
      </c>
      <c r="I509" s="61" t="s">
        <v>958</v>
      </c>
      <c r="J509" s="61" t="s">
        <v>919</v>
      </c>
      <c r="K509" s="61" t="s">
        <v>126</v>
      </c>
      <c r="L509" s="159"/>
      <c r="M509" s="169"/>
    </row>
    <row r="510" spans="1:13" x14ac:dyDescent="0.55000000000000004">
      <c r="A510" s="105" t="s">
        <v>3304</v>
      </c>
      <c r="B510" s="61" t="s">
        <v>153</v>
      </c>
      <c r="C510" s="61" t="s">
        <v>127</v>
      </c>
      <c r="D510" s="61" t="s">
        <v>2994</v>
      </c>
      <c r="E510" s="119">
        <v>3.2571428569999998</v>
      </c>
      <c r="F510" s="148" t="s">
        <v>138</v>
      </c>
      <c r="G510" s="148">
        <v>1</v>
      </c>
      <c r="H510" s="61" t="s">
        <v>39</v>
      </c>
      <c r="I510" s="61" t="s">
        <v>1023</v>
      </c>
      <c r="J510" s="61" t="s">
        <v>919</v>
      </c>
      <c r="K510" s="61" t="s">
        <v>126</v>
      </c>
      <c r="L510" s="159"/>
      <c r="M510" s="169"/>
    </row>
    <row r="511" spans="1:13" x14ac:dyDescent="0.55000000000000004">
      <c r="A511" s="105" t="s">
        <v>3304</v>
      </c>
      <c r="B511" s="61" t="s">
        <v>153</v>
      </c>
      <c r="C511" s="61" t="s">
        <v>127</v>
      </c>
      <c r="D511" s="61" t="s">
        <v>2994</v>
      </c>
      <c r="E511" s="119">
        <v>4.2824869870000004</v>
      </c>
      <c r="F511" s="148" t="s">
        <v>138</v>
      </c>
      <c r="G511" s="148">
        <v>1</v>
      </c>
      <c r="H511" s="61" t="s">
        <v>39</v>
      </c>
      <c r="I511" s="61"/>
      <c r="J511" s="61" t="s">
        <v>919</v>
      </c>
      <c r="K511" s="61" t="s">
        <v>126</v>
      </c>
      <c r="L511" s="159"/>
      <c r="M511" s="169"/>
    </row>
    <row r="512" spans="1:13" x14ac:dyDescent="0.55000000000000004">
      <c r="A512" s="105" t="s">
        <v>3304</v>
      </c>
      <c r="B512" s="61" t="s">
        <v>160</v>
      </c>
      <c r="C512" s="61" t="s">
        <v>497</v>
      </c>
      <c r="D512" s="61" t="s">
        <v>3288</v>
      </c>
      <c r="E512" s="119">
        <v>0.59418403600000003</v>
      </c>
      <c r="F512" s="148" t="s">
        <v>135</v>
      </c>
      <c r="G512" s="148">
        <v>1</v>
      </c>
      <c r="H512" s="61" t="s">
        <v>39</v>
      </c>
      <c r="I512" s="61" t="s">
        <v>959</v>
      </c>
      <c r="J512" s="61" t="s">
        <v>924</v>
      </c>
      <c r="K512" s="61" t="s">
        <v>126</v>
      </c>
      <c r="L512" s="159"/>
      <c r="M512" s="169"/>
    </row>
    <row r="513" spans="1:13" x14ac:dyDescent="0.55000000000000004">
      <c r="A513" s="105" t="s">
        <v>3305</v>
      </c>
      <c r="B513" s="61" t="s">
        <v>998</v>
      </c>
      <c r="C513" s="61" t="s">
        <v>121</v>
      </c>
      <c r="D513" s="61" t="s">
        <v>3288</v>
      </c>
      <c r="E513" s="119">
        <v>1</v>
      </c>
      <c r="F513" s="148" t="s">
        <v>135</v>
      </c>
      <c r="G513" s="148">
        <v>1</v>
      </c>
      <c r="H513" s="61" t="s">
        <v>39</v>
      </c>
      <c r="I513" s="61"/>
      <c r="J513" s="61"/>
      <c r="K513" s="61"/>
      <c r="L513" s="159">
        <v>271114</v>
      </c>
      <c r="M513" s="169"/>
    </row>
    <row r="514" spans="1:13" x14ac:dyDescent="0.55000000000000004">
      <c r="A514" s="105" t="s">
        <v>3305</v>
      </c>
      <c r="B514" s="61" t="s">
        <v>923</v>
      </c>
      <c r="C514" s="61" t="s">
        <v>127</v>
      </c>
      <c r="D514" s="61" t="s">
        <v>2994</v>
      </c>
      <c r="E514" s="119">
        <v>8.461538462</v>
      </c>
      <c r="F514" s="148" t="s">
        <v>138</v>
      </c>
      <c r="G514" s="148">
        <v>1</v>
      </c>
      <c r="H514" s="61" t="s">
        <v>39</v>
      </c>
      <c r="I514" s="61" t="s">
        <v>947</v>
      </c>
      <c r="J514" s="61" t="s">
        <v>919</v>
      </c>
      <c r="K514" s="61" t="s">
        <v>126</v>
      </c>
      <c r="L514" s="159"/>
      <c r="M514" s="169"/>
    </row>
    <row r="515" spans="1:13" x14ac:dyDescent="0.55000000000000004">
      <c r="A515" s="105" t="s">
        <v>3305</v>
      </c>
      <c r="B515" s="61" t="s">
        <v>625</v>
      </c>
      <c r="C515" s="61" t="s">
        <v>125</v>
      </c>
      <c r="D515" s="61" t="s">
        <v>3288</v>
      </c>
      <c r="E515" s="119">
        <v>0.91821862300000001</v>
      </c>
      <c r="F515" s="148" t="s">
        <v>135</v>
      </c>
      <c r="G515" s="148">
        <v>1</v>
      </c>
      <c r="H515" s="61" t="s">
        <v>39</v>
      </c>
      <c r="I515" s="61" t="s">
        <v>947</v>
      </c>
      <c r="J515" s="61" t="s">
        <v>919</v>
      </c>
      <c r="K515" s="61" t="s">
        <v>126</v>
      </c>
      <c r="L515" s="159"/>
      <c r="M515" s="169"/>
    </row>
    <row r="516" spans="1:13" x14ac:dyDescent="0.55000000000000004">
      <c r="A516" s="105" t="s">
        <v>3305</v>
      </c>
      <c r="B516" s="61" t="s">
        <v>706</v>
      </c>
      <c r="C516" s="61" t="s">
        <v>125</v>
      </c>
      <c r="D516" s="61" t="s">
        <v>3288</v>
      </c>
      <c r="E516" s="119">
        <v>0</v>
      </c>
      <c r="F516" s="148" t="s">
        <v>135</v>
      </c>
      <c r="G516" s="148">
        <v>1</v>
      </c>
      <c r="H516" s="61" t="s">
        <v>39</v>
      </c>
      <c r="I516" s="61" t="s">
        <v>947</v>
      </c>
      <c r="J516" s="61" t="s">
        <v>919</v>
      </c>
      <c r="K516" s="61" t="s">
        <v>126</v>
      </c>
      <c r="L516" s="159"/>
      <c r="M516" s="169"/>
    </row>
    <row r="517" spans="1:13" x14ac:dyDescent="0.55000000000000004">
      <c r="A517" s="105" t="s">
        <v>3305</v>
      </c>
      <c r="B517" s="61" t="s">
        <v>925</v>
      </c>
      <c r="C517" s="61" t="s">
        <v>125</v>
      </c>
      <c r="D517" s="61" t="s">
        <v>3288</v>
      </c>
      <c r="E517" s="119">
        <v>2.3076922999999999E-2</v>
      </c>
      <c r="F517" s="148" t="s">
        <v>135</v>
      </c>
      <c r="G517" s="148">
        <v>1</v>
      </c>
      <c r="H517" s="61" t="s">
        <v>39</v>
      </c>
      <c r="I517" s="61" t="s">
        <v>947</v>
      </c>
      <c r="J517" s="61" t="s">
        <v>919</v>
      </c>
      <c r="K517" s="61" t="s">
        <v>126</v>
      </c>
      <c r="L517" s="159"/>
      <c r="M517" s="169"/>
    </row>
    <row r="518" spans="1:13" x14ac:dyDescent="0.55000000000000004">
      <c r="A518" s="105" t="s">
        <v>3305</v>
      </c>
      <c r="B518" s="61" t="s">
        <v>213</v>
      </c>
      <c r="C518" s="61" t="s">
        <v>125</v>
      </c>
      <c r="D518" s="61" t="s">
        <v>3288</v>
      </c>
      <c r="E518" s="119">
        <v>6.4777327999999995E-2</v>
      </c>
      <c r="F518" s="148" t="s">
        <v>135</v>
      </c>
      <c r="G518" s="148">
        <v>1</v>
      </c>
      <c r="H518" s="61" t="s">
        <v>39</v>
      </c>
      <c r="I518" s="61" t="s">
        <v>960</v>
      </c>
      <c r="J518" s="61" t="s">
        <v>919</v>
      </c>
      <c r="K518" s="61" t="s">
        <v>126</v>
      </c>
      <c r="L518" s="159"/>
      <c r="M518" s="169"/>
    </row>
    <row r="519" spans="1:13" x14ac:dyDescent="0.55000000000000004">
      <c r="A519" s="105" t="s">
        <v>3305</v>
      </c>
      <c r="B519" s="61" t="s">
        <v>153</v>
      </c>
      <c r="C519" s="61" t="s">
        <v>127</v>
      </c>
      <c r="D519" s="61" t="s">
        <v>2994</v>
      </c>
      <c r="E519" s="119">
        <v>1.0253441299999999</v>
      </c>
      <c r="F519" s="148" t="s">
        <v>138</v>
      </c>
      <c r="G519" s="148">
        <v>1</v>
      </c>
      <c r="H519" s="61" t="s">
        <v>39</v>
      </c>
      <c r="I519" s="61" t="s">
        <v>961</v>
      </c>
      <c r="J519" s="61" t="s">
        <v>919</v>
      </c>
      <c r="K519" s="61" t="s">
        <v>126</v>
      </c>
      <c r="L519" s="159"/>
      <c r="M519" s="169"/>
    </row>
    <row r="520" spans="1:13" x14ac:dyDescent="0.55000000000000004">
      <c r="A520" s="105" t="s">
        <v>3305</v>
      </c>
      <c r="B520" s="61" t="s">
        <v>153</v>
      </c>
      <c r="C520" s="61" t="s">
        <v>127</v>
      </c>
      <c r="D520" s="61" t="s">
        <v>2994</v>
      </c>
      <c r="E520" s="119">
        <v>0.44048583000000002</v>
      </c>
      <c r="F520" s="148" t="s">
        <v>138</v>
      </c>
      <c r="G520" s="148">
        <v>1</v>
      </c>
      <c r="H520" s="61" t="s">
        <v>39</v>
      </c>
      <c r="I520" s="61" t="s">
        <v>1000</v>
      </c>
      <c r="J520" s="61" t="s">
        <v>919</v>
      </c>
      <c r="K520" s="61" t="s">
        <v>126</v>
      </c>
      <c r="L520" s="159"/>
      <c r="M520" s="169"/>
    </row>
    <row r="521" spans="1:13" x14ac:dyDescent="0.55000000000000004">
      <c r="A521" s="105" t="s">
        <v>3305</v>
      </c>
      <c r="B521" s="61" t="s">
        <v>153</v>
      </c>
      <c r="C521" s="61" t="s">
        <v>127</v>
      </c>
      <c r="D521" s="61" t="s">
        <v>2994</v>
      </c>
      <c r="E521" s="119">
        <v>3.2571428569999998</v>
      </c>
      <c r="F521" s="148" t="s">
        <v>138</v>
      </c>
      <c r="G521" s="148">
        <v>1</v>
      </c>
      <c r="H521" s="61" t="s">
        <v>39</v>
      </c>
      <c r="I521" s="61" t="s">
        <v>1023</v>
      </c>
      <c r="J521" s="61" t="s">
        <v>919</v>
      </c>
      <c r="K521" s="61" t="s">
        <v>126</v>
      </c>
      <c r="L521" s="159"/>
      <c r="M521" s="169"/>
    </row>
    <row r="522" spans="1:13" x14ac:dyDescent="0.55000000000000004">
      <c r="A522" s="105" t="s">
        <v>3305</v>
      </c>
      <c r="B522" s="61" t="s">
        <v>153</v>
      </c>
      <c r="C522" s="61" t="s">
        <v>127</v>
      </c>
      <c r="D522" s="61" t="s">
        <v>2994</v>
      </c>
      <c r="E522" s="119">
        <v>4.7229728169999996</v>
      </c>
      <c r="F522" s="148" t="s">
        <v>138</v>
      </c>
      <c r="G522" s="148">
        <v>1</v>
      </c>
      <c r="H522" s="61" t="s">
        <v>39</v>
      </c>
      <c r="I522" s="61" t="s">
        <v>962</v>
      </c>
      <c r="J522" s="61" t="s">
        <v>919</v>
      </c>
      <c r="K522" s="61" t="s">
        <v>126</v>
      </c>
      <c r="L522" s="159"/>
      <c r="M522" s="169"/>
    </row>
    <row r="523" spans="1:13" x14ac:dyDescent="0.55000000000000004">
      <c r="A523" s="105" t="s">
        <v>3305</v>
      </c>
      <c r="B523" s="61" t="s">
        <v>160</v>
      </c>
      <c r="C523" s="61" t="s">
        <v>497</v>
      </c>
      <c r="D523" s="61" t="s">
        <v>3288</v>
      </c>
      <c r="E523" s="119">
        <v>0.566923077</v>
      </c>
      <c r="F523" s="148" t="s">
        <v>135</v>
      </c>
      <c r="G523" s="148">
        <v>1</v>
      </c>
      <c r="H523" s="61" t="s">
        <v>39</v>
      </c>
      <c r="I523" s="61" t="s">
        <v>959</v>
      </c>
      <c r="J523" s="61" t="s">
        <v>924</v>
      </c>
      <c r="K523" s="61" t="s">
        <v>126</v>
      </c>
      <c r="L523" s="159"/>
      <c r="M523" s="169"/>
    </row>
    <row r="524" spans="1:13" x14ac:dyDescent="0.55000000000000004">
      <c r="A524" s="105" t="s">
        <v>3306</v>
      </c>
      <c r="B524" s="61" t="s">
        <v>998</v>
      </c>
      <c r="C524" s="61" t="s">
        <v>121</v>
      </c>
      <c r="D524" s="61" t="s">
        <v>3288</v>
      </c>
      <c r="E524" s="119">
        <v>1</v>
      </c>
      <c r="F524" s="148" t="s">
        <v>135</v>
      </c>
      <c r="G524" s="148">
        <v>1</v>
      </c>
      <c r="H524" s="61" t="s">
        <v>39</v>
      </c>
      <c r="I524" s="61"/>
      <c r="J524" s="61"/>
      <c r="K524" s="61"/>
      <c r="L524" s="159">
        <v>271114</v>
      </c>
      <c r="M524" s="169"/>
    </row>
    <row r="525" spans="1:13" x14ac:dyDescent="0.55000000000000004">
      <c r="A525" s="105" t="s">
        <v>3306</v>
      </c>
      <c r="B525" s="61" t="s">
        <v>625</v>
      </c>
      <c r="C525" s="61" t="s">
        <v>125</v>
      </c>
      <c r="D525" s="61" t="s">
        <v>3288</v>
      </c>
      <c r="E525" s="119">
        <v>0.98744939300000001</v>
      </c>
      <c r="F525" s="148" t="s">
        <v>135</v>
      </c>
      <c r="G525" s="148">
        <v>1</v>
      </c>
      <c r="H525" s="61" t="s">
        <v>39</v>
      </c>
      <c r="I525" s="61" t="s">
        <v>947</v>
      </c>
      <c r="J525" s="61" t="s">
        <v>919</v>
      </c>
      <c r="K525" s="61" t="s">
        <v>126</v>
      </c>
      <c r="L525" s="159"/>
      <c r="M525" s="169"/>
    </row>
    <row r="526" spans="1:13" x14ac:dyDescent="0.55000000000000004">
      <c r="A526" s="105" t="s">
        <v>3306</v>
      </c>
      <c r="B526" s="61" t="s">
        <v>706</v>
      </c>
      <c r="C526" s="61" t="s">
        <v>125</v>
      </c>
      <c r="D526" s="61" t="s">
        <v>3288</v>
      </c>
      <c r="E526" s="119">
        <v>0</v>
      </c>
      <c r="F526" s="148" t="s">
        <v>135</v>
      </c>
      <c r="G526" s="148">
        <v>1</v>
      </c>
      <c r="H526" s="61" t="s">
        <v>39</v>
      </c>
      <c r="I526" s="61" t="s">
        <v>947</v>
      </c>
      <c r="J526" s="61" t="s">
        <v>919</v>
      </c>
      <c r="K526" s="61" t="s">
        <v>126</v>
      </c>
      <c r="L526" s="159"/>
      <c r="M526" s="169"/>
    </row>
    <row r="527" spans="1:13" x14ac:dyDescent="0.55000000000000004">
      <c r="A527" s="105" t="s">
        <v>3306</v>
      </c>
      <c r="B527" s="61" t="s">
        <v>925</v>
      </c>
      <c r="C527" s="61" t="s">
        <v>125</v>
      </c>
      <c r="D527" s="61" t="s">
        <v>3288</v>
      </c>
      <c r="E527" s="119">
        <v>2.4696355999999999E-2</v>
      </c>
      <c r="F527" s="148" t="s">
        <v>135</v>
      </c>
      <c r="G527" s="148">
        <v>1</v>
      </c>
      <c r="H527" s="61" t="s">
        <v>39</v>
      </c>
      <c r="I527" s="61" t="s">
        <v>947</v>
      </c>
      <c r="J527" s="61" t="s">
        <v>919</v>
      </c>
      <c r="K527" s="61" t="s">
        <v>126</v>
      </c>
      <c r="L527" s="159"/>
      <c r="M527" s="169"/>
    </row>
    <row r="528" spans="1:13" x14ac:dyDescent="0.55000000000000004">
      <c r="A528" s="105" t="s">
        <v>3306</v>
      </c>
      <c r="B528" s="61" t="s">
        <v>923</v>
      </c>
      <c r="C528" s="61" t="s">
        <v>127</v>
      </c>
      <c r="D528" s="61" t="s">
        <v>2994</v>
      </c>
      <c r="E528" s="119">
        <v>8.8663967610000007</v>
      </c>
      <c r="F528" s="148" t="s">
        <v>138</v>
      </c>
      <c r="G528" s="148">
        <v>1</v>
      </c>
      <c r="H528" s="61" t="s">
        <v>39</v>
      </c>
      <c r="I528" s="61" t="s">
        <v>947</v>
      </c>
      <c r="J528" s="61" t="s">
        <v>919</v>
      </c>
      <c r="K528" s="61" t="s">
        <v>126</v>
      </c>
      <c r="L528" s="159"/>
      <c r="M528" s="169"/>
    </row>
    <row r="529" spans="1:13" x14ac:dyDescent="0.55000000000000004">
      <c r="A529" s="105" t="s">
        <v>3306</v>
      </c>
      <c r="B529" s="61" t="s">
        <v>153</v>
      </c>
      <c r="C529" s="61" t="s">
        <v>127</v>
      </c>
      <c r="D529" s="61" t="s">
        <v>2994</v>
      </c>
      <c r="E529" s="119">
        <v>0.415119081</v>
      </c>
      <c r="F529" s="148" t="s">
        <v>138</v>
      </c>
      <c r="G529" s="148">
        <v>1</v>
      </c>
      <c r="H529" s="61" t="s">
        <v>39</v>
      </c>
      <c r="I529" s="61" t="s">
        <v>949</v>
      </c>
      <c r="J529" s="61" t="s">
        <v>919</v>
      </c>
      <c r="K529" s="61" t="s">
        <v>126</v>
      </c>
      <c r="L529" s="159"/>
      <c r="M529" s="169"/>
    </row>
    <row r="530" spans="1:13" x14ac:dyDescent="0.55000000000000004">
      <c r="A530" s="105" t="s">
        <v>3306</v>
      </c>
      <c r="B530" s="61" t="s">
        <v>153</v>
      </c>
      <c r="C530" s="61" t="s">
        <v>127</v>
      </c>
      <c r="D530" s="61" t="s">
        <v>2994</v>
      </c>
      <c r="E530" s="119">
        <v>1.363190283</v>
      </c>
      <c r="F530" s="148" t="s">
        <v>138</v>
      </c>
      <c r="G530" s="148">
        <v>1</v>
      </c>
      <c r="H530" s="61" t="s">
        <v>39</v>
      </c>
      <c r="I530" s="61" t="s">
        <v>950</v>
      </c>
      <c r="J530" s="61" t="s">
        <v>919</v>
      </c>
      <c r="K530" s="61" t="s">
        <v>126</v>
      </c>
      <c r="L530" s="159"/>
      <c r="M530" s="169"/>
    </row>
    <row r="531" spans="1:13" x14ac:dyDescent="0.55000000000000004">
      <c r="A531" s="105" t="s">
        <v>3306</v>
      </c>
      <c r="B531" s="61" t="s">
        <v>153</v>
      </c>
      <c r="C531" s="61" t="s">
        <v>127</v>
      </c>
      <c r="D531" s="61" t="s">
        <v>2994</v>
      </c>
      <c r="E531" s="119">
        <v>3.2571428569999998</v>
      </c>
      <c r="F531" s="148" t="s">
        <v>138</v>
      </c>
      <c r="G531" s="148">
        <v>1</v>
      </c>
      <c r="H531" s="61" t="s">
        <v>39</v>
      </c>
      <c r="I531" s="61" t="s">
        <v>1023</v>
      </c>
      <c r="J531" s="61" t="s">
        <v>919</v>
      </c>
      <c r="K531" s="61" t="s">
        <v>126</v>
      </c>
      <c r="L531" s="159"/>
      <c r="M531" s="169"/>
    </row>
    <row r="532" spans="1:13" x14ac:dyDescent="0.55000000000000004">
      <c r="A532" s="105" t="s">
        <v>3306</v>
      </c>
      <c r="B532" s="61" t="s">
        <v>153</v>
      </c>
      <c r="C532" s="61" t="s">
        <v>127</v>
      </c>
      <c r="D532" s="61" t="s">
        <v>2994</v>
      </c>
      <c r="E532" s="119">
        <v>5.0354522209999999</v>
      </c>
      <c r="F532" s="148" t="s">
        <v>138</v>
      </c>
      <c r="G532" s="148">
        <v>1</v>
      </c>
      <c r="H532" s="61" t="s">
        <v>39</v>
      </c>
      <c r="I532" s="61" t="s">
        <v>947</v>
      </c>
      <c r="J532" s="61" t="s">
        <v>919</v>
      </c>
      <c r="K532" s="61" t="s">
        <v>126</v>
      </c>
      <c r="L532" s="159"/>
      <c r="M532" s="169"/>
    </row>
    <row r="533" spans="1:13" x14ac:dyDescent="0.55000000000000004">
      <c r="A533" s="105" t="s">
        <v>3306</v>
      </c>
      <c r="B533" s="61" t="s">
        <v>160</v>
      </c>
      <c r="C533" s="61" t="s">
        <v>497</v>
      </c>
      <c r="D533" s="61" t="s">
        <v>3288</v>
      </c>
      <c r="E533" s="119">
        <v>2.9702428999999999E-2</v>
      </c>
      <c r="F533" s="148" t="s">
        <v>135</v>
      </c>
      <c r="G533" s="148">
        <v>1</v>
      </c>
      <c r="H533" s="61" t="s">
        <v>39</v>
      </c>
      <c r="I533" s="61" t="s">
        <v>959</v>
      </c>
      <c r="J533" s="61" t="s">
        <v>924</v>
      </c>
      <c r="K533" s="61" t="s">
        <v>126</v>
      </c>
      <c r="L533" s="159"/>
      <c r="M533" s="169"/>
    </row>
    <row r="534" spans="1:13" x14ac:dyDescent="0.55000000000000004">
      <c r="A534" s="105" t="s">
        <v>3307</v>
      </c>
      <c r="B534" s="61" t="s">
        <v>998</v>
      </c>
      <c r="C534" s="61" t="s">
        <v>121</v>
      </c>
      <c r="D534" s="61" t="s">
        <v>3288</v>
      </c>
      <c r="E534" s="119">
        <v>1</v>
      </c>
      <c r="F534" s="148" t="s">
        <v>135</v>
      </c>
      <c r="G534" s="148">
        <v>1</v>
      </c>
      <c r="H534" s="61" t="s">
        <v>39</v>
      </c>
      <c r="I534" s="61"/>
      <c r="J534" s="61"/>
      <c r="K534" s="61"/>
      <c r="L534" s="159">
        <v>271114</v>
      </c>
      <c r="M534" s="169"/>
    </row>
    <row r="535" spans="1:13" x14ac:dyDescent="0.55000000000000004">
      <c r="A535" s="105" t="s">
        <v>3307</v>
      </c>
      <c r="B535" s="61" t="s">
        <v>923</v>
      </c>
      <c r="C535" s="61" t="s">
        <v>125</v>
      </c>
      <c r="D535" s="61" t="s">
        <v>3288</v>
      </c>
      <c r="E535" s="119">
        <v>8.461538462</v>
      </c>
      <c r="F535" s="148" t="s">
        <v>138</v>
      </c>
      <c r="G535" s="148">
        <v>1</v>
      </c>
      <c r="H535" s="61" t="s">
        <v>39</v>
      </c>
      <c r="I535" s="61" t="s">
        <v>984</v>
      </c>
      <c r="J535" s="61" t="s">
        <v>919</v>
      </c>
      <c r="K535" s="61" t="s">
        <v>126</v>
      </c>
      <c r="L535" s="159"/>
      <c r="M535" s="169"/>
    </row>
    <row r="536" spans="1:13" x14ac:dyDescent="0.55000000000000004">
      <c r="A536" s="105" t="s">
        <v>3307</v>
      </c>
      <c r="B536" s="61" t="s">
        <v>625</v>
      </c>
      <c r="C536" s="61" t="s">
        <v>125</v>
      </c>
      <c r="D536" s="61" t="s">
        <v>3288</v>
      </c>
      <c r="E536" s="119">
        <v>0.91821862300000001</v>
      </c>
      <c r="F536" s="148" t="s">
        <v>135</v>
      </c>
      <c r="G536" s="148">
        <v>1</v>
      </c>
      <c r="H536" s="61" t="s">
        <v>39</v>
      </c>
      <c r="I536" s="61" t="s">
        <v>984</v>
      </c>
      <c r="J536" s="61" t="s">
        <v>919</v>
      </c>
      <c r="K536" s="61" t="s">
        <v>126</v>
      </c>
      <c r="L536" s="159"/>
      <c r="M536" s="169"/>
    </row>
    <row r="537" spans="1:13" x14ac:dyDescent="0.55000000000000004">
      <c r="A537" s="105" t="s">
        <v>3307</v>
      </c>
      <c r="B537" s="61" t="s">
        <v>706</v>
      </c>
      <c r="C537" s="61" t="s">
        <v>125</v>
      </c>
      <c r="D537" s="61" t="s">
        <v>3288</v>
      </c>
      <c r="E537" s="119">
        <v>0</v>
      </c>
      <c r="F537" s="148" t="s">
        <v>135</v>
      </c>
      <c r="G537" s="148">
        <v>1</v>
      </c>
      <c r="H537" s="61" t="s">
        <v>39</v>
      </c>
      <c r="I537" s="61" t="s">
        <v>984</v>
      </c>
      <c r="J537" s="61" t="s">
        <v>919</v>
      </c>
      <c r="K537" s="61" t="s">
        <v>126</v>
      </c>
      <c r="L537" s="159"/>
      <c r="M537" s="169"/>
    </row>
    <row r="538" spans="1:13" x14ac:dyDescent="0.55000000000000004">
      <c r="A538" s="105" t="s">
        <v>3307</v>
      </c>
      <c r="B538" s="61" t="s">
        <v>925</v>
      </c>
      <c r="C538" s="61" t="s">
        <v>125</v>
      </c>
      <c r="D538" s="61" t="s">
        <v>3288</v>
      </c>
      <c r="E538" s="119">
        <v>2.3076922999999999E-2</v>
      </c>
      <c r="F538" s="148" t="s">
        <v>135</v>
      </c>
      <c r="G538" s="148">
        <v>1</v>
      </c>
      <c r="H538" s="61" t="s">
        <v>39</v>
      </c>
      <c r="I538" s="61" t="s">
        <v>984</v>
      </c>
      <c r="J538" s="61" t="s">
        <v>919</v>
      </c>
      <c r="K538" s="61" t="s">
        <v>126</v>
      </c>
      <c r="L538" s="159"/>
      <c r="M538" s="169"/>
    </row>
    <row r="539" spans="1:13" x14ac:dyDescent="0.55000000000000004">
      <c r="A539" s="105" t="s">
        <v>3307</v>
      </c>
      <c r="B539" s="61" t="s">
        <v>213</v>
      </c>
      <c r="C539" s="61" t="s">
        <v>125</v>
      </c>
      <c r="D539" s="61" t="s">
        <v>3288</v>
      </c>
      <c r="E539" s="119">
        <v>6.4777327999999995E-2</v>
      </c>
      <c r="F539" s="148" t="s">
        <v>135</v>
      </c>
      <c r="G539" s="148">
        <v>1</v>
      </c>
      <c r="H539" s="61" t="s">
        <v>39</v>
      </c>
      <c r="I539" s="61" t="s">
        <v>984</v>
      </c>
      <c r="J539" s="61" t="s">
        <v>919</v>
      </c>
      <c r="K539" s="61" t="s">
        <v>126</v>
      </c>
      <c r="L539" s="159"/>
      <c r="M539" s="169"/>
    </row>
    <row r="540" spans="1:13" x14ac:dyDescent="0.55000000000000004">
      <c r="A540" s="105" t="s">
        <v>3307</v>
      </c>
      <c r="B540" s="61" t="s">
        <v>153</v>
      </c>
      <c r="C540" s="61" t="s">
        <v>127</v>
      </c>
      <c r="D540" s="61" t="s">
        <v>2994</v>
      </c>
      <c r="E540" s="119">
        <v>1.0253441299999999</v>
      </c>
      <c r="F540" s="148" t="s">
        <v>138</v>
      </c>
      <c r="G540" s="148">
        <v>1</v>
      </c>
      <c r="H540" s="61" t="s">
        <v>39</v>
      </c>
      <c r="I540" s="61" t="s">
        <v>984</v>
      </c>
      <c r="J540" s="61" t="s">
        <v>919</v>
      </c>
      <c r="K540" s="61" t="s">
        <v>126</v>
      </c>
      <c r="L540" s="159"/>
      <c r="M540" s="169"/>
    </row>
    <row r="541" spans="1:13" x14ac:dyDescent="0.55000000000000004">
      <c r="A541" s="105" t="s">
        <v>3307</v>
      </c>
      <c r="B541" s="61" t="s">
        <v>153</v>
      </c>
      <c r="C541" s="61" t="s">
        <v>127</v>
      </c>
      <c r="D541" s="61" t="s">
        <v>2994</v>
      </c>
      <c r="E541" s="119">
        <v>1.363190283</v>
      </c>
      <c r="F541" s="148" t="s">
        <v>138</v>
      </c>
      <c r="G541" s="148">
        <v>1</v>
      </c>
      <c r="H541" s="61" t="s">
        <v>39</v>
      </c>
      <c r="I541" s="61" t="s">
        <v>985</v>
      </c>
      <c r="J541" s="61" t="s">
        <v>919</v>
      </c>
      <c r="K541" s="61" t="s">
        <v>126</v>
      </c>
      <c r="L541" s="159"/>
      <c r="M541" s="169"/>
    </row>
    <row r="542" spans="1:13" x14ac:dyDescent="0.55000000000000004">
      <c r="A542" s="105" t="s">
        <v>3307</v>
      </c>
      <c r="B542" s="61" t="s">
        <v>153</v>
      </c>
      <c r="C542" s="61" t="s">
        <v>127</v>
      </c>
      <c r="D542" s="61" t="s">
        <v>2994</v>
      </c>
      <c r="E542" s="119">
        <v>0.44048583000000002</v>
      </c>
      <c r="F542" s="148" t="s">
        <v>138</v>
      </c>
      <c r="G542" s="148">
        <v>1</v>
      </c>
      <c r="H542" s="61" t="s">
        <v>39</v>
      </c>
      <c r="I542" s="61" t="s">
        <v>984</v>
      </c>
      <c r="J542" s="61" t="s">
        <v>919</v>
      </c>
      <c r="K542" s="61" t="s">
        <v>126</v>
      </c>
      <c r="L542" s="159"/>
      <c r="M542" s="169"/>
    </row>
    <row r="543" spans="1:13" x14ac:dyDescent="0.55000000000000004">
      <c r="A543" s="105" t="s">
        <v>3307</v>
      </c>
      <c r="B543" s="61" t="s">
        <v>153</v>
      </c>
      <c r="C543" s="61" t="s">
        <v>127</v>
      </c>
      <c r="D543" s="61" t="s">
        <v>2994</v>
      </c>
      <c r="E543" s="119">
        <v>3.2571428569999998</v>
      </c>
      <c r="F543" s="148" t="s">
        <v>138</v>
      </c>
      <c r="G543" s="148">
        <v>1</v>
      </c>
      <c r="H543" s="61" t="s">
        <v>39</v>
      </c>
      <c r="I543" s="61" t="s">
        <v>1023</v>
      </c>
      <c r="J543" s="61" t="s">
        <v>919</v>
      </c>
      <c r="K543" s="61" t="s">
        <v>126</v>
      </c>
      <c r="L543" s="159"/>
      <c r="M543" s="169"/>
    </row>
    <row r="544" spans="1:13" x14ac:dyDescent="0.55000000000000004">
      <c r="A544" s="105" t="s">
        <v>3307</v>
      </c>
      <c r="B544" s="61" t="s">
        <v>153</v>
      </c>
      <c r="C544" s="61" t="s">
        <v>127</v>
      </c>
      <c r="D544" s="61" t="s">
        <v>2994</v>
      </c>
      <c r="E544" s="119">
        <v>6.0861631000000003</v>
      </c>
      <c r="F544" s="148" t="s">
        <v>138</v>
      </c>
      <c r="G544" s="148">
        <v>1</v>
      </c>
      <c r="H544" s="61" t="s">
        <v>39</v>
      </c>
      <c r="I544" s="61"/>
      <c r="J544" s="61" t="s">
        <v>919</v>
      </c>
      <c r="K544" s="61" t="s">
        <v>126</v>
      </c>
      <c r="L544" s="159"/>
      <c r="M544" s="169"/>
    </row>
    <row r="545" spans="1:13" x14ac:dyDescent="0.55000000000000004">
      <c r="A545" s="105" t="s">
        <v>3307</v>
      </c>
      <c r="B545" s="61" t="s">
        <v>160</v>
      </c>
      <c r="C545" s="61" t="s">
        <v>497</v>
      </c>
      <c r="D545" s="61" t="s">
        <v>3288</v>
      </c>
      <c r="E545" s="119">
        <v>2.8346153999999998E-2</v>
      </c>
      <c r="F545" s="148" t="s">
        <v>135</v>
      </c>
      <c r="G545" s="148">
        <v>1</v>
      </c>
      <c r="H545" s="61" t="s">
        <v>39</v>
      </c>
      <c r="I545" s="61" t="s">
        <v>959</v>
      </c>
      <c r="J545" s="61" t="s">
        <v>924</v>
      </c>
      <c r="K545" s="61" t="s">
        <v>126</v>
      </c>
      <c r="L545" s="159"/>
      <c r="M545" s="169"/>
    </row>
    <row r="546" spans="1:13" x14ac:dyDescent="0.55000000000000004">
      <c r="A546" s="105" t="s">
        <v>3308</v>
      </c>
      <c r="B546" s="61" t="s">
        <v>998</v>
      </c>
      <c r="C546" s="61" t="s">
        <v>121</v>
      </c>
      <c r="D546" s="61" t="s">
        <v>3288</v>
      </c>
      <c r="E546" s="119">
        <v>1</v>
      </c>
      <c r="F546" s="148" t="s">
        <v>135</v>
      </c>
      <c r="G546" s="148">
        <v>1</v>
      </c>
      <c r="H546" s="61" t="s">
        <v>39</v>
      </c>
      <c r="I546" s="61"/>
      <c r="J546" s="61"/>
      <c r="K546" s="61"/>
      <c r="L546" s="159">
        <v>271114</v>
      </c>
      <c r="M546" s="169"/>
    </row>
    <row r="547" spans="1:13" x14ac:dyDescent="0.55000000000000004">
      <c r="A547" s="105" t="s">
        <v>3308</v>
      </c>
      <c r="B547" s="61" t="s">
        <v>921</v>
      </c>
      <c r="C547" s="61" t="s">
        <v>125</v>
      </c>
      <c r="D547" s="61" t="s">
        <v>3288</v>
      </c>
      <c r="E547" s="119">
        <v>1.3220141700000001</v>
      </c>
      <c r="F547" s="148" t="s">
        <v>135</v>
      </c>
      <c r="G547" s="148">
        <v>1</v>
      </c>
      <c r="H547" s="61" t="s">
        <v>39</v>
      </c>
      <c r="I547" s="61" t="s">
        <v>988</v>
      </c>
      <c r="J547" s="61" t="s">
        <v>919</v>
      </c>
      <c r="K547" s="61" t="s">
        <v>126</v>
      </c>
      <c r="L547" s="159"/>
      <c r="M547" s="169"/>
    </row>
    <row r="548" spans="1:13" x14ac:dyDescent="0.55000000000000004">
      <c r="A548" s="105" t="s">
        <v>3308</v>
      </c>
      <c r="B548" s="61" t="s">
        <v>922</v>
      </c>
      <c r="C548" s="61" t="s">
        <v>125</v>
      </c>
      <c r="D548" s="61" t="s">
        <v>3288</v>
      </c>
      <c r="E548" s="119">
        <v>1.0576113359999999</v>
      </c>
      <c r="F548" s="148" t="s">
        <v>135</v>
      </c>
      <c r="G548" s="148">
        <v>1</v>
      </c>
      <c r="H548" s="61" t="s">
        <v>39</v>
      </c>
      <c r="I548" s="61" t="s">
        <v>988</v>
      </c>
      <c r="J548" s="61" t="s">
        <v>919</v>
      </c>
      <c r="K548" s="61" t="s">
        <v>126</v>
      </c>
      <c r="L548" s="159"/>
      <c r="M548" s="169"/>
    </row>
    <row r="549" spans="1:13" x14ac:dyDescent="0.55000000000000004">
      <c r="A549" s="105" t="s">
        <v>3308</v>
      </c>
      <c r="B549" s="61" t="s">
        <v>213</v>
      </c>
      <c r="C549" s="61" t="s">
        <v>125</v>
      </c>
      <c r="D549" s="61" t="s">
        <v>3288</v>
      </c>
      <c r="E549" s="119">
        <v>6.4777327999999995E-2</v>
      </c>
      <c r="F549" s="148" t="s">
        <v>135</v>
      </c>
      <c r="G549" s="148">
        <v>1</v>
      </c>
      <c r="H549" s="61" t="s">
        <v>39</v>
      </c>
      <c r="I549" s="61" t="s">
        <v>987</v>
      </c>
      <c r="J549" s="61" t="s">
        <v>919</v>
      </c>
      <c r="K549" s="61" t="s">
        <v>126</v>
      </c>
      <c r="L549" s="159"/>
      <c r="M549" s="169"/>
    </row>
    <row r="550" spans="1:13" x14ac:dyDescent="0.55000000000000004">
      <c r="A550" s="105" t="s">
        <v>3308</v>
      </c>
      <c r="B550" s="61" t="s">
        <v>153</v>
      </c>
      <c r="C550" s="61" t="s">
        <v>127</v>
      </c>
      <c r="D550" s="61" t="s">
        <v>2994</v>
      </c>
      <c r="E550" s="119">
        <v>0.46537651800000002</v>
      </c>
      <c r="F550" s="148" t="s">
        <v>138</v>
      </c>
      <c r="G550" s="148">
        <v>1</v>
      </c>
      <c r="H550" s="61" t="s">
        <v>39</v>
      </c>
      <c r="I550" s="61" t="s">
        <v>988</v>
      </c>
      <c r="J550" s="61" t="s">
        <v>919</v>
      </c>
      <c r="K550" s="61" t="s">
        <v>126</v>
      </c>
      <c r="L550" s="159"/>
      <c r="M550" s="169"/>
    </row>
    <row r="551" spans="1:13" x14ac:dyDescent="0.55000000000000004">
      <c r="A551" s="105" t="s">
        <v>3308</v>
      </c>
      <c r="B551" s="61" t="s">
        <v>153</v>
      </c>
      <c r="C551" s="61" t="s">
        <v>127</v>
      </c>
      <c r="D551" s="61" t="s">
        <v>2994</v>
      </c>
      <c r="E551" s="119">
        <v>8.1201133599999995</v>
      </c>
      <c r="F551" s="148" t="s">
        <v>138</v>
      </c>
      <c r="G551" s="148">
        <v>1</v>
      </c>
      <c r="H551" s="61" t="s">
        <v>39</v>
      </c>
      <c r="I551" s="61" t="s">
        <v>953</v>
      </c>
      <c r="J551" s="61" t="s">
        <v>919</v>
      </c>
      <c r="K551" s="61" t="s">
        <v>126</v>
      </c>
      <c r="L551" s="159"/>
      <c r="M551" s="169"/>
    </row>
    <row r="552" spans="1:13" x14ac:dyDescent="0.55000000000000004">
      <c r="A552" s="105" t="s">
        <v>3308</v>
      </c>
      <c r="B552" s="61" t="s">
        <v>153</v>
      </c>
      <c r="C552" s="61" t="s">
        <v>127</v>
      </c>
      <c r="D552" s="61" t="s">
        <v>2994</v>
      </c>
      <c r="E552" s="119">
        <v>1.5591093119999999</v>
      </c>
      <c r="F552" s="148" t="s">
        <v>138</v>
      </c>
      <c r="G552" s="148">
        <v>1</v>
      </c>
      <c r="H552" s="61" t="s">
        <v>39</v>
      </c>
      <c r="I552" s="61" t="s">
        <v>987</v>
      </c>
      <c r="J552" s="61" t="s">
        <v>919</v>
      </c>
      <c r="K552" s="61" t="s">
        <v>126</v>
      </c>
      <c r="L552" s="159"/>
      <c r="M552" s="169"/>
    </row>
    <row r="553" spans="1:13" x14ac:dyDescent="0.55000000000000004">
      <c r="A553" s="105" t="s">
        <v>3308</v>
      </c>
      <c r="B553" s="61" t="s">
        <v>153</v>
      </c>
      <c r="C553" s="61" t="s">
        <v>127</v>
      </c>
      <c r="D553" s="61" t="s">
        <v>2994</v>
      </c>
      <c r="E553" s="119">
        <v>3.2571428569999998</v>
      </c>
      <c r="F553" s="148" t="s">
        <v>138</v>
      </c>
      <c r="G553" s="148">
        <v>1</v>
      </c>
      <c r="H553" s="61" t="s">
        <v>39</v>
      </c>
      <c r="I553" s="61" t="s">
        <v>1023</v>
      </c>
      <c r="J553" s="61" t="s">
        <v>919</v>
      </c>
      <c r="K553" s="61" t="s">
        <v>126</v>
      </c>
      <c r="L553" s="159"/>
      <c r="M553" s="169"/>
    </row>
    <row r="554" spans="1:13" x14ac:dyDescent="0.55000000000000004">
      <c r="A554" s="105" t="s">
        <v>3308</v>
      </c>
      <c r="B554" s="61" t="s">
        <v>153</v>
      </c>
      <c r="C554" s="61" t="s">
        <v>127</v>
      </c>
      <c r="D554" s="61" t="s">
        <v>2994</v>
      </c>
      <c r="E554" s="119">
        <v>13.401742049999999</v>
      </c>
      <c r="F554" s="148" t="s">
        <v>138</v>
      </c>
      <c r="G554" s="148">
        <v>1</v>
      </c>
      <c r="H554" s="61" t="s">
        <v>39</v>
      </c>
      <c r="I554" s="61"/>
      <c r="J554" s="61" t="s">
        <v>919</v>
      </c>
      <c r="K554" s="61" t="s">
        <v>126</v>
      </c>
      <c r="L554" s="159"/>
      <c r="M554" s="169"/>
    </row>
    <row r="555" spans="1:13" x14ac:dyDescent="0.55000000000000004">
      <c r="A555" s="105" t="s">
        <v>3309</v>
      </c>
      <c r="B555" s="61" t="s">
        <v>998</v>
      </c>
      <c r="C555" s="61" t="s">
        <v>121</v>
      </c>
      <c r="D555" s="61" t="s">
        <v>3288</v>
      </c>
      <c r="E555" s="119">
        <v>1</v>
      </c>
      <c r="F555" s="148" t="s">
        <v>135</v>
      </c>
      <c r="G555" s="148">
        <v>1</v>
      </c>
      <c r="H555" s="61" t="s">
        <v>39</v>
      </c>
      <c r="I555" s="61"/>
      <c r="J555" s="61"/>
      <c r="K555" s="61"/>
      <c r="L555" s="159">
        <v>271114</v>
      </c>
      <c r="M555" s="169"/>
    </row>
    <row r="556" spans="1:13" x14ac:dyDescent="0.55000000000000004">
      <c r="A556" s="105" t="s">
        <v>3309</v>
      </c>
      <c r="B556" s="61" t="s">
        <v>921</v>
      </c>
      <c r="C556" s="61" t="s">
        <v>125</v>
      </c>
      <c r="D556" s="61" t="s">
        <v>3288</v>
      </c>
      <c r="E556" s="119">
        <v>1.3220141700000001</v>
      </c>
      <c r="F556" s="148" t="s">
        <v>135</v>
      </c>
      <c r="G556" s="148">
        <v>1</v>
      </c>
      <c r="H556" s="61" t="s">
        <v>39</v>
      </c>
      <c r="I556" s="61"/>
      <c r="J556" s="61" t="s">
        <v>919</v>
      </c>
      <c r="K556" s="61" t="s">
        <v>126</v>
      </c>
      <c r="L556" s="159"/>
      <c r="M556" s="169"/>
    </row>
    <row r="557" spans="1:13" x14ac:dyDescent="0.55000000000000004">
      <c r="A557" s="105" t="s">
        <v>3309</v>
      </c>
      <c r="B557" s="61" t="s">
        <v>922</v>
      </c>
      <c r="C557" s="61" t="s">
        <v>125</v>
      </c>
      <c r="D557" s="61" t="s">
        <v>3288</v>
      </c>
      <c r="E557" s="119">
        <v>1.0576113359999999</v>
      </c>
      <c r="F557" s="148" t="s">
        <v>135</v>
      </c>
      <c r="G557" s="148">
        <v>1</v>
      </c>
      <c r="H557" s="61" t="s">
        <v>39</v>
      </c>
      <c r="I557" s="61"/>
      <c r="J557" s="61" t="s">
        <v>919</v>
      </c>
      <c r="K557" s="61" t="s">
        <v>126</v>
      </c>
      <c r="L557" s="159"/>
      <c r="M557" s="169"/>
    </row>
    <row r="558" spans="1:13" x14ac:dyDescent="0.55000000000000004">
      <c r="A558" s="105" t="s">
        <v>3309</v>
      </c>
      <c r="B558" s="61" t="s">
        <v>213</v>
      </c>
      <c r="C558" s="61" t="s">
        <v>125</v>
      </c>
      <c r="D558" s="61" t="s">
        <v>3288</v>
      </c>
      <c r="E558" s="119">
        <v>6.4777327999999995E-2</v>
      </c>
      <c r="F558" s="148" t="s">
        <v>135</v>
      </c>
      <c r="G558" s="148">
        <v>1</v>
      </c>
      <c r="H558" s="61" t="s">
        <v>39</v>
      </c>
      <c r="I558" s="61"/>
      <c r="J558" s="61" t="s">
        <v>919</v>
      </c>
      <c r="K558" s="61" t="s">
        <v>126</v>
      </c>
      <c r="L558" s="159"/>
      <c r="M558" s="169"/>
    </row>
    <row r="559" spans="1:13" x14ac:dyDescent="0.55000000000000004">
      <c r="A559" s="105" t="s">
        <v>3309</v>
      </c>
      <c r="B559" s="61" t="s">
        <v>153</v>
      </c>
      <c r="C559" s="61" t="s">
        <v>127</v>
      </c>
      <c r="D559" s="61" t="s">
        <v>2994</v>
      </c>
      <c r="E559" s="119">
        <v>0.46537651800000002</v>
      </c>
      <c r="F559" s="148" t="s">
        <v>138</v>
      </c>
      <c r="G559" s="148">
        <v>1</v>
      </c>
      <c r="H559" s="61" t="s">
        <v>39</v>
      </c>
      <c r="I559" s="61"/>
      <c r="J559" s="61" t="s">
        <v>919</v>
      </c>
      <c r="K559" s="61" t="s">
        <v>126</v>
      </c>
      <c r="L559" s="159"/>
      <c r="M559" s="169"/>
    </row>
    <row r="560" spans="1:13" x14ac:dyDescent="0.55000000000000004">
      <c r="A560" s="105" t="s">
        <v>3309</v>
      </c>
      <c r="B560" s="61" t="s">
        <v>153</v>
      </c>
      <c r="C560" s="61" t="s">
        <v>127</v>
      </c>
      <c r="D560" s="61" t="s">
        <v>2994</v>
      </c>
      <c r="E560" s="119">
        <v>8.1201133599999995</v>
      </c>
      <c r="F560" s="148" t="s">
        <v>138</v>
      </c>
      <c r="G560" s="148">
        <v>1</v>
      </c>
      <c r="H560" s="61" t="s">
        <v>39</v>
      </c>
      <c r="I560" s="61"/>
      <c r="J560" s="61" t="s">
        <v>919</v>
      </c>
      <c r="K560" s="61" t="s">
        <v>126</v>
      </c>
      <c r="L560" s="159"/>
      <c r="M560" s="169"/>
    </row>
    <row r="561" spans="1:13" x14ac:dyDescent="0.55000000000000004">
      <c r="A561" s="105" t="s">
        <v>3309</v>
      </c>
      <c r="B561" s="61" t="s">
        <v>153</v>
      </c>
      <c r="C561" s="61" t="s">
        <v>127</v>
      </c>
      <c r="D561" s="61" t="s">
        <v>2994</v>
      </c>
      <c r="E561" s="119">
        <v>1.5591093119999999</v>
      </c>
      <c r="F561" s="148" t="s">
        <v>138</v>
      </c>
      <c r="G561" s="148">
        <v>1</v>
      </c>
      <c r="H561" s="61" t="s">
        <v>39</v>
      </c>
      <c r="I561" s="61"/>
      <c r="J561" s="61" t="s">
        <v>919</v>
      </c>
      <c r="K561" s="61" t="s">
        <v>126</v>
      </c>
      <c r="L561" s="159"/>
      <c r="M561" s="169"/>
    </row>
    <row r="562" spans="1:13" x14ac:dyDescent="0.55000000000000004">
      <c r="A562" s="105" t="s">
        <v>3309</v>
      </c>
      <c r="B562" s="61" t="s">
        <v>153</v>
      </c>
      <c r="C562" s="61" t="s">
        <v>127</v>
      </c>
      <c r="D562" s="61" t="s">
        <v>2994</v>
      </c>
      <c r="E562" s="119">
        <v>1.363190283</v>
      </c>
      <c r="F562" s="148" t="s">
        <v>138</v>
      </c>
      <c r="G562" s="148">
        <v>1</v>
      </c>
      <c r="H562" s="61" t="s">
        <v>39</v>
      </c>
      <c r="I562" s="61"/>
      <c r="J562" s="61" t="s">
        <v>919</v>
      </c>
      <c r="K562" s="61" t="s">
        <v>126</v>
      </c>
      <c r="L562" s="159"/>
      <c r="M562" s="169"/>
    </row>
    <row r="563" spans="1:13" x14ac:dyDescent="0.55000000000000004">
      <c r="A563" s="105" t="s">
        <v>3309</v>
      </c>
      <c r="B563" s="61" t="s">
        <v>153</v>
      </c>
      <c r="C563" s="61" t="s">
        <v>127</v>
      </c>
      <c r="D563" s="61" t="s">
        <v>2994</v>
      </c>
      <c r="E563" s="119">
        <v>3.2571428569999998</v>
      </c>
      <c r="F563" s="148" t="s">
        <v>138</v>
      </c>
      <c r="G563" s="148">
        <v>1</v>
      </c>
      <c r="H563" s="61" t="s">
        <v>39</v>
      </c>
      <c r="I563" s="61" t="s">
        <v>1023</v>
      </c>
      <c r="J563" s="61" t="s">
        <v>919</v>
      </c>
      <c r="K563" s="61" t="s">
        <v>126</v>
      </c>
      <c r="L563" s="159"/>
      <c r="M563" s="169"/>
    </row>
    <row r="564" spans="1:13" x14ac:dyDescent="0.55000000000000004">
      <c r="A564" s="105" t="s">
        <v>3309</v>
      </c>
      <c r="B564" s="61" t="s">
        <v>153</v>
      </c>
      <c r="C564" s="61" t="s">
        <v>127</v>
      </c>
      <c r="D564" s="61" t="s">
        <v>2994</v>
      </c>
      <c r="E564" s="119">
        <v>14.764932330000001</v>
      </c>
      <c r="F564" s="148" t="s">
        <v>138</v>
      </c>
      <c r="G564" s="148">
        <v>1</v>
      </c>
      <c r="H564" s="61" t="s">
        <v>39</v>
      </c>
      <c r="I564" s="61"/>
      <c r="J564" s="61" t="s">
        <v>919</v>
      </c>
      <c r="K564" s="61" t="s">
        <v>126</v>
      </c>
      <c r="L564" s="159"/>
      <c r="M564" s="169"/>
    </row>
    <row r="565" spans="1:13" x14ac:dyDescent="0.55000000000000004">
      <c r="A565" s="105" t="s">
        <v>3310</v>
      </c>
      <c r="B565" s="61" t="s">
        <v>998</v>
      </c>
      <c r="C565" s="61" t="s">
        <v>121</v>
      </c>
      <c r="D565" s="61" t="s">
        <v>3288</v>
      </c>
      <c r="E565" s="119">
        <v>1</v>
      </c>
      <c r="F565" s="148" t="s">
        <v>135</v>
      </c>
      <c r="G565" s="148">
        <v>1</v>
      </c>
      <c r="H565" s="61" t="s">
        <v>39</v>
      </c>
      <c r="I565" s="61"/>
      <c r="J565" s="61"/>
      <c r="K565" s="61"/>
      <c r="L565" s="159">
        <v>271114</v>
      </c>
      <c r="M565" s="169"/>
    </row>
    <row r="566" spans="1:13" x14ac:dyDescent="0.55000000000000004">
      <c r="A566" s="105" t="s">
        <v>3310</v>
      </c>
      <c r="B566" s="61" t="s">
        <v>921</v>
      </c>
      <c r="C566" s="61" t="s">
        <v>125</v>
      </c>
      <c r="D566" s="61" t="s">
        <v>3288</v>
      </c>
      <c r="E566" s="119">
        <v>1.3220141700000001</v>
      </c>
      <c r="F566" s="148" t="s">
        <v>135</v>
      </c>
      <c r="G566" s="148">
        <v>1</v>
      </c>
      <c r="H566" s="61" t="s">
        <v>39</v>
      </c>
      <c r="I566" s="61" t="s">
        <v>988</v>
      </c>
      <c r="J566" s="61" t="s">
        <v>919</v>
      </c>
      <c r="K566" s="61" t="s">
        <v>126</v>
      </c>
      <c r="L566" s="159"/>
      <c r="M566" s="169"/>
    </row>
    <row r="567" spans="1:13" x14ac:dyDescent="0.55000000000000004">
      <c r="A567" s="105" t="s">
        <v>3310</v>
      </c>
      <c r="B567" s="61" t="s">
        <v>922</v>
      </c>
      <c r="C567" s="61" t="s">
        <v>125</v>
      </c>
      <c r="D567" s="61" t="s">
        <v>3288</v>
      </c>
      <c r="E567" s="119">
        <v>1.0576113359999999</v>
      </c>
      <c r="F567" s="148" t="s">
        <v>135</v>
      </c>
      <c r="G567" s="148">
        <v>1</v>
      </c>
      <c r="H567" s="61" t="s">
        <v>39</v>
      </c>
      <c r="I567" s="61" t="s">
        <v>988</v>
      </c>
      <c r="J567" s="61" t="s">
        <v>919</v>
      </c>
      <c r="K567" s="61" t="s">
        <v>126</v>
      </c>
      <c r="L567" s="159"/>
      <c r="M567" s="169"/>
    </row>
    <row r="568" spans="1:13" x14ac:dyDescent="0.55000000000000004">
      <c r="A568" s="105" t="s">
        <v>3310</v>
      </c>
      <c r="B568" s="61" t="s">
        <v>213</v>
      </c>
      <c r="C568" s="61" t="s">
        <v>125</v>
      </c>
      <c r="D568" s="61" t="s">
        <v>3288</v>
      </c>
      <c r="E568" s="119">
        <v>6.4777327999999995E-2</v>
      </c>
      <c r="F568" s="148" t="s">
        <v>135</v>
      </c>
      <c r="G568" s="148">
        <v>1</v>
      </c>
      <c r="H568" s="61" t="s">
        <v>39</v>
      </c>
      <c r="I568" s="61" t="s">
        <v>987</v>
      </c>
      <c r="J568" s="61" t="s">
        <v>919</v>
      </c>
      <c r="K568" s="61" t="s">
        <v>126</v>
      </c>
      <c r="L568" s="159"/>
      <c r="M568" s="169"/>
    </row>
    <row r="569" spans="1:13" x14ac:dyDescent="0.55000000000000004">
      <c r="A569" s="105" t="s">
        <v>3310</v>
      </c>
      <c r="B569" s="61" t="s">
        <v>334</v>
      </c>
      <c r="C569" s="61" t="s">
        <v>127</v>
      </c>
      <c r="D569" s="61" t="s">
        <v>2994</v>
      </c>
      <c r="E569" s="119">
        <v>6.4736842000000003E-2</v>
      </c>
      <c r="F569" s="148" t="s">
        <v>135</v>
      </c>
      <c r="G569" s="148">
        <v>1</v>
      </c>
      <c r="H569" s="61" t="s">
        <v>39</v>
      </c>
      <c r="I569" s="61" t="s">
        <v>955</v>
      </c>
      <c r="J569" s="61" t="s">
        <v>919</v>
      </c>
      <c r="K569" s="61" t="s">
        <v>126</v>
      </c>
      <c r="L569" s="159"/>
      <c r="M569" s="169"/>
    </row>
    <row r="570" spans="1:13" x14ac:dyDescent="0.55000000000000004">
      <c r="A570" s="105" t="s">
        <v>3310</v>
      </c>
      <c r="B570" s="61" t="s">
        <v>153</v>
      </c>
      <c r="C570" s="61" t="s">
        <v>127</v>
      </c>
      <c r="D570" s="61" t="s">
        <v>2994</v>
      </c>
      <c r="E570" s="119">
        <v>0.46537651800000002</v>
      </c>
      <c r="F570" s="148" t="s">
        <v>138</v>
      </c>
      <c r="G570" s="148">
        <v>1</v>
      </c>
      <c r="H570" s="61" t="s">
        <v>39</v>
      </c>
      <c r="I570" s="61" t="s">
        <v>988</v>
      </c>
      <c r="J570" s="61" t="s">
        <v>919</v>
      </c>
      <c r="K570" s="61" t="s">
        <v>126</v>
      </c>
      <c r="L570" s="159"/>
      <c r="M570" s="169"/>
    </row>
    <row r="571" spans="1:13" x14ac:dyDescent="0.55000000000000004">
      <c r="A571" s="105" t="s">
        <v>3310</v>
      </c>
      <c r="B571" s="61" t="s">
        <v>153</v>
      </c>
      <c r="C571" s="61" t="s">
        <v>127</v>
      </c>
      <c r="D571" s="61" t="s">
        <v>2994</v>
      </c>
      <c r="E571" s="119">
        <v>1.0253441299999999</v>
      </c>
      <c r="F571" s="148" t="s">
        <v>138</v>
      </c>
      <c r="G571" s="148">
        <v>1</v>
      </c>
      <c r="H571" s="61" t="s">
        <v>39</v>
      </c>
      <c r="I571" s="61" t="s">
        <v>988</v>
      </c>
      <c r="J571" s="61" t="s">
        <v>919</v>
      </c>
      <c r="K571" s="61" t="s">
        <v>126</v>
      </c>
      <c r="L571" s="159"/>
      <c r="M571" s="169"/>
    </row>
    <row r="572" spans="1:13" x14ac:dyDescent="0.55000000000000004">
      <c r="A572" s="105" t="s">
        <v>3310</v>
      </c>
      <c r="B572" s="61" t="s">
        <v>153</v>
      </c>
      <c r="C572" s="61" t="s">
        <v>127</v>
      </c>
      <c r="D572" s="61" t="s">
        <v>2994</v>
      </c>
      <c r="E572" s="119">
        <v>1.5591093119999999</v>
      </c>
      <c r="F572" s="148" t="s">
        <v>138</v>
      </c>
      <c r="G572" s="148">
        <v>1</v>
      </c>
      <c r="H572" s="61" t="s">
        <v>39</v>
      </c>
      <c r="I572" s="61" t="s">
        <v>987</v>
      </c>
      <c r="J572" s="61" t="s">
        <v>919</v>
      </c>
      <c r="K572" s="61" t="s">
        <v>126</v>
      </c>
      <c r="L572" s="159"/>
      <c r="M572" s="169"/>
    </row>
    <row r="573" spans="1:13" x14ac:dyDescent="0.55000000000000004">
      <c r="A573" s="105" t="s">
        <v>3310</v>
      </c>
      <c r="B573" s="61" t="s">
        <v>153</v>
      </c>
      <c r="C573" s="61" t="s">
        <v>127</v>
      </c>
      <c r="D573" s="61" t="s">
        <v>2994</v>
      </c>
      <c r="E573" s="119">
        <v>3.2571428569999998</v>
      </c>
      <c r="F573" s="148" t="s">
        <v>138</v>
      </c>
      <c r="G573" s="148">
        <v>1</v>
      </c>
      <c r="H573" s="61" t="s">
        <v>39</v>
      </c>
      <c r="I573" s="61" t="s">
        <v>1023</v>
      </c>
      <c r="J573" s="61" t="s">
        <v>919</v>
      </c>
      <c r="K573" s="61" t="s">
        <v>126</v>
      </c>
      <c r="L573" s="159"/>
      <c r="M573" s="169"/>
    </row>
    <row r="574" spans="1:13" x14ac:dyDescent="0.55000000000000004">
      <c r="A574" s="105" t="s">
        <v>3310</v>
      </c>
      <c r="B574" s="61" t="s">
        <v>153</v>
      </c>
      <c r="C574" s="61" t="s">
        <v>127</v>
      </c>
      <c r="D574" s="61" t="s">
        <v>2994</v>
      </c>
      <c r="E574" s="119">
        <v>6.3069728170000001</v>
      </c>
      <c r="F574" s="148" t="s">
        <v>138</v>
      </c>
      <c r="G574" s="148">
        <v>1</v>
      </c>
      <c r="H574" s="61" t="s">
        <v>39</v>
      </c>
      <c r="I574" s="61"/>
      <c r="J574" s="61" t="s">
        <v>919</v>
      </c>
      <c r="K574" s="61" t="s">
        <v>126</v>
      </c>
      <c r="L574" s="159"/>
      <c r="M574" s="169"/>
    </row>
    <row r="575" spans="1:13" x14ac:dyDescent="0.55000000000000004">
      <c r="A575" s="105" t="s">
        <v>3311</v>
      </c>
      <c r="B575" s="61" t="s">
        <v>998</v>
      </c>
      <c r="C575" s="61" t="s">
        <v>121</v>
      </c>
      <c r="D575" s="61" t="s">
        <v>3288</v>
      </c>
      <c r="E575" s="119">
        <v>1</v>
      </c>
      <c r="F575" s="148" t="s">
        <v>135</v>
      </c>
      <c r="G575" s="148">
        <v>1</v>
      </c>
      <c r="H575" s="61" t="s">
        <v>39</v>
      </c>
      <c r="I575" s="61"/>
      <c r="J575" s="61"/>
      <c r="K575" s="61"/>
      <c r="L575" s="159">
        <v>271114</v>
      </c>
      <c r="M575" s="169"/>
    </row>
    <row r="576" spans="1:13" x14ac:dyDescent="0.55000000000000004">
      <c r="A576" s="105" t="s">
        <v>3311</v>
      </c>
      <c r="B576" s="61" t="s">
        <v>921</v>
      </c>
      <c r="C576" s="61" t="s">
        <v>125</v>
      </c>
      <c r="D576" s="61" t="s">
        <v>3288</v>
      </c>
      <c r="E576" s="119">
        <v>1.3220141700000001</v>
      </c>
      <c r="F576" s="148" t="s">
        <v>135</v>
      </c>
      <c r="G576" s="148">
        <v>1</v>
      </c>
      <c r="H576" s="61" t="s">
        <v>39</v>
      </c>
      <c r="I576" s="61"/>
      <c r="J576" s="61" t="s">
        <v>919</v>
      </c>
      <c r="K576" s="61" t="s">
        <v>126</v>
      </c>
      <c r="L576" s="159"/>
      <c r="M576" s="169"/>
    </row>
    <row r="577" spans="1:13" x14ac:dyDescent="0.55000000000000004">
      <c r="A577" s="105" t="s">
        <v>3311</v>
      </c>
      <c r="B577" s="61" t="s">
        <v>922</v>
      </c>
      <c r="C577" s="61" t="s">
        <v>125</v>
      </c>
      <c r="D577" s="61" t="s">
        <v>3288</v>
      </c>
      <c r="E577" s="119">
        <v>1.0576113359999999</v>
      </c>
      <c r="F577" s="148" t="s">
        <v>135</v>
      </c>
      <c r="G577" s="148">
        <v>1</v>
      </c>
      <c r="H577" s="61" t="s">
        <v>39</v>
      </c>
      <c r="I577" s="61"/>
      <c r="J577" s="61" t="s">
        <v>919</v>
      </c>
      <c r="K577" s="61" t="s">
        <v>126</v>
      </c>
      <c r="L577" s="159"/>
      <c r="M577" s="169"/>
    </row>
    <row r="578" spans="1:13" x14ac:dyDescent="0.55000000000000004">
      <c r="A578" s="105" t="s">
        <v>3311</v>
      </c>
      <c r="B578" s="61" t="s">
        <v>213</v>
      </c>
      <c r="C578" s="61" t="s">
        <v>125</v>
      </c>
      <c r="D578" s="61" t="s">
        <v>3288</v>
      </c>
      <c r="E578" s="119">
        <v>6.4777327999999995E-2</v>
      </c>
      <c r="F578" s="148" t="s">
        <v>135</v>
      </c>
      <c r="G578" s="148">
        <v>1</v>
      </c>
      <c r="H578" s="61" t="s">
        <v>39</v>
      </c>
      <c r="I578" s="61"/>
      <c r="J578" s="61" t="s">
        <v>919</v>
      </c>
      <c r="K578" s="61" t="s">
        <v>126</v>
      </c>
      <c r="L578" s="159"/>
      <c r="M578" s="169"/>
    </row>
    <row r="579" spans="1:13" x14ac:dyDescent="0.55000000000000004">
      <c r="A579" s="105" t="s">
        <v>3311</v>
      </c>
      <c r="B579" s="61" t="s">
        <v>334</v>
      </c>
      <c r="C579" s="61" t="s">
        <v>127</v>
      </c>
      <c r="D579" s="61" t="s">
        <v>2994</v>
      </c>
      <c r="E579" s="119">
        <v>6.4736842000000003E-2</v>
      </c>
      <c r="F579" s="148" t="s">
        <v>135</v>
      </c>
      <c r="G579" s="148">
        <v>1</v>
      </c>
      <c r="H579" s="61" t="s">
        <v>39</v>
      </c>
      <c r="I579" s="61"/>
      <c r="J579" s="61" t="s">
        <v>919</v>
      </c>
      <c r="K579" s="61" t="s">
        <v>126</v>
      </c>
      <c r="L579" s="159"/>
      <c r="M579" s="169"/>
    </row>
    <row r="580" spans="1:13" x14ac:dyDescent="0.55000000000000004">
      <c r="A580" s="105" t="s">
        <v>3311</v>
      </c>
      <c r="B580" s="61" t="s">
        <v>153</v>
      </c>
      <c r="C580" s="61" t="s">
        <v>127</v>
      </c>
      <c r="D580" s="61" t="s">
        <v>2994</v>
      </c>
      <c r="E580" s="119">
        <v>0.46537651800000002</v>
      </c>
      <c r="F580" s="148" t="s">
        <v>138</v>
      </c>
      <c r="G580" s="148">
        <v>1</v>
      </c>
      <c r="H580" s="61" t="s">
        <v>39</v>
      </c>
      <c r="I580" s="61"/>
      <c r="J580" s="61" t="s">
        <v>919</v>
      </c>
      <c r="K580" s="61" t="s">
        <v>126</v>
      </c>
      <c r="L580" s="159"/>
      <c r="M580" s="169"/>
    </row>
    <row r="581" spans="1:13" x14ac:dyDescent="0.55000000000000004">
      <c r="A581" s="105" t="s">
        <v>3311</v>
      </c>
      <c r="B581" s="61" t="s">
        <v>153</v>
      </c>
      <c r="C581" s="61" t="s">
        <v>127</v>
      </c>
      <c r="D581" s="61" t="s">
        <v>2994</v>
      </c>
      <c r="E581" s="119">
        <v>1.0253441299999999</v>
      </c>
      <c r="F581" s="148" t="s">
        <v>138</v>
      </c>
      <c r="G581" s="148">
        <v>1</v>
      </c>
      <c r="H581" s="61" t="s">
        <v>39</v>
      </c>
      <c r="I581" s="61"/>
      <c r="J581" s="61" t="s">
        <v>919</v>
      </c>
      <c r="K581" s="61" t="s">
        <v>126</v>
      </c>
      <c r="L581" s="159"/>
      <c r="M581" s="169"/>
    </row>
    <row r="582" spans="1:13" x14ac:dyDescent="0.55000000000000004">
      <c r="A582" s="105" t="s">
        <v>3311</v>
      </c>
      <c r="B582" s="61" t="s">
        <v>153</v>
      </c>
      <c r="C582" s="61" t="s">
        <v>127</v>
      </c>
      <c r="D582" s="61" t="s">
        <v>2994</v>
      </c>
      <c r="E582" s="119">
        <v>1.5591093119999999</v>
      </c>
      <c r="F582" s="148" t="s">
        <v>138</v>
      </c>
      <c r="G582" s="148">
        <v>1</v>
      </c>
      <c r="H582" s="61" t="s">
        <v>39</v>
      </c>
      <c r="I582" s="61"/>
      <c r="J582" s="61" t="s">
        <v>919</v>
      </c>
      <c r="K582" s="61" t="s">
        <v>126</v>
      </c>
      <c r="L582" s="159"/>
      <c r="M582" s="169"/>
    </row>
    <row r="583" spans="1:13" x14ac:dyDescent="0.55000000000000004">
      <c r="A583" s="105" t="s">
        <v>3311</v>
      </c>
      <c r="B583" s="61" t="s">
        <v>153</v>
      </c>
      <c r="C583" s="61" t="s">
        <v>127</v>
      </c>
      <c r="D583" s="61" t="s">
        <v>2994</v>
      </c>
      <c r="E583" s="119">
        <v>1.363190283</v>
      </c>
      <c r="F583" s="148" t="s">
        <v>138</v>
      </c>
      <c r="G583" s="148">
        <v>1</v>
      </c>
      <c r="H583" s="61" t="s">
        <v>39</v>
      </c>
      <c r="I583" s="61"/>
      <c r="J583" s="61" t="s">
        <v>919</v>
      </c>
      <c r="K583" s="61" t="s">
        <v>126</v>
      </c>
      <c r="L583" s="159"/>
      <c r="M583" s="169"/>
    </row>
    <row r="584" spans="1:13" x14ac:dyDescent="0.55000000000000004">
      <c r="A584" s="105" t="s">
        <v>3311</v>
      </c>
      <c r="B584" s="61" t="s">
        <v>153</v>
      </c>
      <c r="C584" s="61" t="s">
        <v>127</v>
      </c>
      <c r="D584" s="61" t="s">
        <v>2994</v>
      </c>
      <c r="E584" s="119">
        <v>3.2571428569999998</v>
      </c>
      <c r="F584" s="148" t="s">
        <v>138</v>
      </c>
      <c r="G584" s="148">
        <v>1</v>
      </c>
      <c r="H584" s="61" t="s">
        <v>39</v>
      </c>
      <c r="I584" s="61" t="s">
        <v>1023</v>
      </c>
      <c r="J584" s="61" t="s">
        <v>919</v>
      </c>
      <c r="K584" s="61" t="s">
        <v>126</v>
      </c>
      <c r="L584" s="159"/>
      <c r="M584" s="169"/>
    </row>
    <row r="585" spans="1:13" x14ac:dyDescent="0.55000000000000004">
      <c r="A585" s="105" t="s">
        <v>3311</v>
      </c>
      <c r="B585" s="61" t="s">
        <v>153</v>
      </c>
      <c r="C585" s="61" t="s">
        <v>127</v>
      </c>
      <c r="D585" s="61" t="s">
        <v>2994</v>
      </c>
      <c r="E585" s="119">
        <v>7.6701630999999999</v>
      </c>
      <c r="F585" s="148" t="s">
        <v>138</v>
      </c>
      <c r="G585" s="148">
        <v>1</v>
      </c>
      <c r="H585" s="61" t="s">
        <v>39</v>
      </c>
      <c r="I585" s="61"/>
      <c r="J585" s="61" t="s">
        <v>919</v>
      </c>
      <c r="K585" s="61" t="s">
        <v>126</v>
      </c>
      <c r="L585" s="159"/>
      <c r="M585" s="169"/>
    </row>
    <row r="586" spans="1:13" x14ac:dyDescent="0.55000000000000004">
      <c r="A586" s="105" t="s">
        <v>3312</v>
      </c>
      <c r="B586" s="61" t="s">
        <v>998</v>
      </c>
      <c r="C586" s="61" t="s">
        <v>121</v>
      </c>
      <c r="D586" s="61" t="s">
        <v>3288</v>
      </c>
      <c r="E586" s="119">
        <v>1</v>
      </c>
      <c r="F586" s="148" t="s">
        <v>135</v>
      </c>
      <c r="G586" s="148">
        <v>1</v>
      </c>
      <c r="H586" s="61" t="s">
        <v>39</v>
      </c>
      <c r="I586" s="61"/>
      <c r="J586" s="61"/>
      <c r="K586" s="61"/>
      <c r="L586" s="159">
        <v>271114</v>
      </c>
      <c r="M586" s="169"/>
    </row>
    <row r="587" spans="1:13" x14ac:dyDescent="0.55000000000000004">
      <c r="A587" s="105" t="s">
        <v>3312</v>
      </c>
      <c r="B587" s="61" t="s">
        <v>921</v>
      </c>
      <c r="C587" s="61" t="s">
        <v>125</v>
      </c>
      <c r="D587" s="61" t="s">
        <v>3288</v>
      </c>
      <c r="E587" s="119">
        <v>1.5283400810000001</v>
      </c>
      <c r="F587" s="148" t="s">
        <v>135</v>
      </c>
      <c r="G587" s="148">
        <v>1</v>
      </c>
      <c r="H587" s="61" t="s">
        <v>39</v>
      </c>
      <c r="I587" s="61" t="s">
        <v>1001</v>
      </c>
      <c r="J587" s="61" t="s">
        <v>919</v>
      </c>
      <c r="K587" s="61" t="s">
        <v>126</v>
      </c>
      <c r="L587" s="159"/>
      <c r="M587" s="169"/>
    </row>
    <row r="588" spans="1:13" x14ac:dyDescent="0.55000000000000004">
      <c r="A588" s="105" t="s">
        <v>3312</v>
      </c>
      <c r="B588" s="61" t="s">
        <v>922</v>
      </c>
      <c r="C588" s="61" t="s">
        <v>125</v>
      </c>
      <c r="D588" s="61" t="s">
        <v>3288</v>
      </c>
      <c r="E588" s="119">
        <v>1.222672065</v>
      </c>
      <c r="F588" s="148" t="s">
        <v>135</v>
      </c>
      <c r="G588" s="148">
        <v>1</v>
      </c>
      <c r="H588" s="61" t="s">
        <v>39</v>
      </c>
      <c r="I588" s="61" t="s">
        <v>1002</v>
      </c>
      <c r="J588" s="61" t="s">
        <v>919</v>
      </c>
      <c r="K588" s="61" t="s">
        <v>126</v>
      </c>
      <c r="L588" s="159"/>
      <c r="M588" s="169"/>
    </row>
    <row r="589" spans="1:13" x14ac:dyDescent="0.55000000000000004">
      <c r="A589" s="105" t="s">
        <v>3312</v>
      </c>
      <c r="B589" s="61" t="s">
        <v>923</v>
      </c>
      <c r="C589" s="61" t="s">
        <v>127</v>
      </c>
      <c r="D589" s="61" t="s">
        <v>2994</v>
      </c>
      <c r="E589" s="119">
        <v>8.8663967610000007</v>
      </c>
      <c r="F589" s="148" t="s">
        <v>138</v>
      </c>
      <c r="G589" s="148">
        <v>1</v>
      </c>
      <c r="H589" s="61" t="s">
        <v>39</v>
      </c>
      <c r="I589" s="61" t="s">
        <v>947</v>
      </c>
      <c r="J589" s="61" t="s">
        <v>919</v>
      </c>
      <c r="K589" s="61" t="s">
        <v>126</v>
      </c>
      <c r="L589" s="159"/>
      <c r="M589" s="169"/>
    </row>
    <row r="590" spans="1:13" x14ac:dyDescent="0.55000000000000004">
      <c r="A590" s="105" t="s">
        <v>3312</v>
      </c>
      <c r="B590" s="61" t="s">
        <v>153</v>
      </c>
      <c r="C590" s="61" t="s">
        <v>127</v>
      </c>
      <c r="D590" s="61" t="s">
        <v>2994</v>
      </c>
      <c r="E590" s="119">
        <v>0.46537651800000002</v>
      </c>
      <c r="F590" s="148" t="s">
        <v>138</v>
      </c>
      <c r="G590" s="148">
        <v>1</v>
      </c>
      <c r="H590" s="61" t="s">
        <v>39</v>
      </c>
      <c r="I590" s="61" t="s">
        <v>1003</v>
      </c>
      <c r="J590" s="61" t="s">
        <v>919</v>
      </c>
      <c r="K590" s="61" t="s">
        <v>126</v>
      </c>
      <c r="L590" s="159"/>
      <c r="M590" s="169"/>
    </row>
    <row r="591" spans="1:13" x14ac:dyDescent="0.55000000000000004">
      <c r="A591" s="105" t="s">
        <v>3312</v>
      </c>
      <c r="B591" s="61" t="s">
        <v>153</v>
      </c>
      <c r="C591" s="61" t="s">
        <v>127</v>
      </c>
      <c r="D591" s="61" t="s">
        <v>2994</v>
      </c>
      <c r="E591" s="119">
        <v>1.0253441299999999</v>
      </c>
      <c r="F591" s="148" t="s">
        <v>138</v>
      </c>
      <c r="G591" s="148">
        <v>1</v>
      </c>
      <c r="H591" s="61" t="s">
        <v>39</v>
      </c>
      <c r="I591" s="61" t="s">
        <v>966</v>
      </c>
      <c r="J591" s="61" t="s">
        <v>919</v>
      </c>
      <c r="K591" s="61" t="s">
        <v>126</v>
      </c>
      <c r="L591" s="159"/>
      <c r="M591" s="169"/>
    </row>
    <row r="592" spans="1:13" x14ac:dyDescent="0.55000000000000004">
      <c r="A592" s="105" t="s">
        <v>3312</v>
      </c>
      <c r="B592" s="61" t="s">
        <v>153</v>
      </c>
      <c r="C592" s="61" t="s">
        <v>127</v>
      </c>
      <c r="D592" s="61" t="s">
        <v>2994</v>
      </c>
      <c r="E592" s="119">
        <v>3.2571428569999998</v>
      </c>
      <c r="F592" s="148" t="s">
        <v>138</v>
      </c>
      <c r="G592" s="148">
        <v>1</v>
      </c>
      <c r="H592" s="61" t="s">
        <v>39</v>
      </c>
      <c r="I592" s="61" t="s">
        <v>1023</v>
      </c>
      <c r="J592" s="61" t="s">
        <v>919</v>
      </c>
      <c r="K592" s="61" t="s">
        <v>126</v>
      </c>
      <c r="L592" s="159"/>
      <c r="M592" s="169"/>
    </row>
    <row r="593" spans="1:13" x14ac:dyDescent="0.55000000000000004">
      <c r="A593" s="105" t="s">
        <v>3312</v>
      </c>
      <c r="B593" s="61" t="s">
        <v>153</v>
      </c>
      <c r="C593" s="61" t="s">
        <v>127</v>
      </c>
      <c r="D593" s="61" t="s">
        <v>2994</v>
      </c>
      <c r="E593" s="119">
        <v>4.7478635049999998</v>
      </c>
      <c r="F593" s="148" t="s">
        <v>138</v>
      </c>
      <c r="G593" s="148">
        <v>1</v>
      </c>
      <c r="H593" s="61" t="s">
        <v>39</v>
      </c>
      <c r="I593" s="61" t="s">
        <v>1004</v>
      </c>
      <c r="J593" s="61" t="s">
        <v>919</v>
      </c>
      <c r="K593" s="61" t="s">
        <v>126</v>
      </c>
      <c r="L593" s="159"/>
      <c r="M593" s="169"/>
    </row>
    <row r="594" spans="1:13" x14ac:dyDescent="0.55000000000000004">
      <c r="A594" s="105" t="s">
        <v>3312</v>
      </c>
      <c r="B594" s="61" t="s">
        <v>160</v>
      </c>
      <c r="C594" s="61" t="s">
        <v>497</v>
      </c>
      <c r="D594" s="61" t="s">
        <v>3288</v>
      </c>
      <c r="E594" s="119">
        <v>0.59404858299999996</v>
      </c>
      <c r="F594" s="148" t="s">
        <v>135</v>
      </c>
      <c r="G594" s="148">
        <v>1</v>
      </c>
      <c r="H594" s="61" t="s">
        <v>39</v>
      </c>
      <c r="I594" s="61" t="s">
        <v>959</v>
      </c>
      <c r="J594" s="61" t="s">
        <v>924</v>
      </c>
      <c r="K594" s="61" t="s">
        <v>126</v>
      </c>
      <c r="L594" s="159"/>
      <c r="M594" s="169"/>
    </row>
    <row r="595" spans="1:13" x14ac:dyDescent="0.55000000000000004">
      <c r="A595" s="105" t="s">
        <v>3313</v>
      </c>
      <c r="B595" s="61" t="s">
        <v>998</v>
      </c>
      <c r="C595" s="61" t="s">
        <v>121</v>
      </c>
      <c r="D595" s="61" t="s">
        <v>3288</v>
      </c>
      <c r="E595" s="119">
        <v>1</v>
      </c>
      <c r="F595" s="148" t="s">
        <v>135</v>
      </c>
      <c r="G595" s="148">
        <v>1</v>
      </c>
      <c r="H595" s="61" t="s">
        <v>39</v>
      </c>
      <c r="I595" s="61"/>
      <c r="J595" s="61"/>
      <c r="K595" s="61"/>
      <c r="L595" s="159">
        <v>271114</v>
      </c>
      <c r="M595" s="169"/>
    </row>
    <row r="596" spans="1:13" x14ac:dyDescent="0.55000000000000004">
      <c r="A596" s="105" t="s">
        <v>3313</v>
      </c>
      <c r="B596" s="61" t="s">
        <v>921</v>
      </c>
      <c r="C596" s="61" t="s">
        <v>125</v>
      </c>
      <c r="D596" s="61" t="s">
        <v>3288</v>
      </c>
      <c r="E596" s="119">
        <v>1.4213562749999999</v>
      </c>
      <c r="F596" s="148" t="s">
        <v>135</v>
      </c>
      <c r="G596" s="148">
        <v>1</v>
      </c>
      <c r="H596" s="61" t="s">
        <v>39</v>
      </c>
      <c r="I596" s="61" t="s">
        <v>988</v>
      </c>
      <c r="J596" s="61" t="s">
        <v>919</v>
      </c>
      <c r="K596" s="61" t="s">
        <v>126</v>
      </c>
      <c r="L596" s="159"/>
      <c r="M596" s="169"/>
    </row>
    <row r="597" spans="1:13" x14ac:dyDescent="0.55000000000000004">
      <c r="A597" s="105" t="s">
        <v>3313</v>
      </c>
      <c r="B597" s="61" t="s">
        <v>922</v>
      </c>
      <c r="C597" s="61" t="s">
        <v>125</v>
      </c>
      <c r="D597" s="61" t="s">
        <v>3288</v>
      </c>
      <c r="E597" s="119">
        <v>1.13708502</v>
      </c>
      <c r="F597" s="148" t="s">
        <v>135</v>
      </c>
      <c r="G597" s="148">
        <v>1</v>
      </c>
      <c r="H597" s="61" t="s">
        <v>39</v>
      </c>
      <c r="I597" s="61" t="s">
        <v>988</v>
      </c>
      <c r="J597" s="61" t="s">
        <v>919</v>
      </c>
      <c r="K597" s="61" t="s">
        <v>126</v>
      </c>
      <c r="L597" s="159"/>
      <c r="M597" s="169"/>
    </row>
    <row r="598" spans="1:13" x14ac:dyDescent="0.55000000000000004">
      <c r="A598" s="105" t="s">
        <v>3313</v>
      </c>
      <c r="B598" s="61" t="s">
        <v>213</v>
      </c>
      <c r="C598" s="61" t="s">
        <v>125</v>
      </c>
      <c r="D598" s="61" t="s">
        <v>3288</v>
      </c>
      <c r="E598" s="119">
        <v>6.4777327999999995E-2</v>
      </c>
      <c r="F598" s="148" t="s">
        <v>135</v>
      </c>
      <c r="G598" s="148">
        <v>1</v>
      </c>
      <c r="H598" s="61" t="s">
        <v>39</v>
      </c>
      <c r="I598" s="61" t="s">
        <v>987</v>
      </c>
      <c r="J598" s="61" t="s">
        <v>919</v>
      </c>
      <c r="K598" s="61" t="s">
        <v>126</v>
      </c>
      <c r="L598" s="159"/>
      <c r="M598" s="169"/>
    </row>
    <row r="599" spans="1:13" x14ac:dyDescent="0.55000000000000004">
      <c r="A599" s="105" t="s">
        <v>3313</v>
      </c>
      <c r="B599" s="61" t="s">
        <v>923</v>
      </c>
      <c r="C599" s="61" t="s">
        <v>127</v>
      </c>
      <c r="D599" s="61" t="s">
        <v>2994</v>
      </c>
      <c r="E599" s="119">
        <v>8.461538462</v>
      </c>
      <c r="F599" s="148" t="s">
        <v>138</v>
      </c>
      <c r="G599" s="148">
        <v>1</v>
      </c>
      <c r="H599" s="61" t="s">
        <v>39</v>
      </c>
      <c r="I599" s="61" t="s">
        <v>988</v>
      </c>
      <c r="J599" s="61" t="s">
        <v>919</v>
      </c>
      <c r="K599" s="61" t="s">
        <v>126</v>
      </c>
      <c r="L599" s="159"/>
      <c r="M599" s="169"/>
    </row>
    <row r="600" spans="1:13" x14ac:dyDescent="0.55000000000000004">
      <c r="A600" s="105" t="s">
        <v>3313</v>
      </c>
      <c r="B600" s="61" t="s">
        <v>153</v>
      </c>
      <c r="C600" s="61" t="s">
        <v>127</v>
      </c>
      <c r="D600" s="61" t="s">
        <v>2994</v>
      </c>
      <c r="E600" s="119">
        <v>0.46537651800000002</v>
      </c>
      <c r="F600" s="148" t="s">
        <v>138</v>
      </c>
      <c r="G600" s="148">
        <v>1</v>
      </c>
      <c r="H600" s="61" t="s">
        <v>39</v>
      </c>
      <c r="I600" s="61" t="s">
        <v>988</v>
      </c>
      <c r="J600" s="61" t="s">
        <v>919</v>
      </c>
      <c r="K600" s="61" t="s">
        <v>126</v>
      </c>
      <c r="L600" s="159"/>
      <c r="M600" s="169"/>
    </row>
    <row r="601" spans="1:13" x14ac:dyDescent="0.55000000000000004">
      <c r="A601" s="105" t="s">
        <v>3313</v>
      </c>
      <c r="B601" s="61" t="s">
        <v>153</v>
      </c>
      <c r="C601" s="61" t="s">
        <v>127</v>
      </c>
      <c r="D601" s="61" t="s">
        <v>2994</v>
      </c>
      <c r="E601" s="119">
        <v>1.0253441299999999</v>
      </c>
      <c r="F601" s="148" t="s">
        <v>138</v>
      </c>
      <c r="G601" s="148">
        <v>1</v>
      </c>
      <c r="H601" s="61" t="s">
        <v>39</v>
      </c>
      <c r="I601" s="61" t="s">
        <v>988</v>
      </c>
      <c r="J601" s="61" t="s">
        <v>919</v>
      </c>
      <c r="K601" s="61" t="s">
        <v>126</v>
      </c>
      <c r="L601" s="159"/>
      <c r="M601" s="169"/>
    </row>
    <row r="602" spans="1:13" x14ac:dyDescent="0.55000000000000004">
      <c r="A602" s="105" t="s">
        <v>3313</v>
      </c>
      <c r="B602" s="61" t="s">
        <v>153</v>
      </c>
      <c r="C602" s="61" t="s">
        <v>127</v>
      </c>
      <c r="D602" s="61" t="s">
        <v>2994</v>
      </c>
      <c r="E602" s="119">
        <v>1.363190283</v>
      </c>
      <c r="F602" s="148" t="s">
        <v>138</v>
      </c>
      <c r="G602" s="148">
        <v>1</v>
      </c>
      <c r="H602" s="61" t="s">
        <v>39</v>
      </c>
      <c r="I602" s="61" t="s">
        <v>989</v>
      </c>
      <c r="J602" s="61" t="s">
        <v>919</v>
      </c>
      <c r="K602" s="61" t="s">
        <v>126</v>
      </c>
      <c r="L602" s="159"/>
      <c r="M602" s="169"/>
    </row>
    <row r="603" spans="1:13" x14ac:dyDescent="0.55000000000000004">
      <c r="A603" s="105" t="s">
        <v>3313</v>
      </c>
      <c r="B603" s="61" t="s">
        <v>153</v>
      </c>
      <c r="C603" s="61" t="s">
        <v>127</v>
      </c>
      <c r="D603" s="61" t="s">
        <v>2994</v>
      </c>
      <c r="E603" s="119">
        <v>0.44048583000000002</v>
      </c>
      <c r="F603" s="148" t="s">
        <v>138</v>
      </c>
      <c r="G603" s="148">
        <v>1</v>
      </c>
      <c r="H603" s="61" t="s">
        <v>39</v>
      </c>
      <c r="I603" s="61" t="s">
        <v>987</v>
      </c>
      <c r="J603" s="61" t="s">
        <v>919</v>
      </c>
      <c r="K603" s="61" t="s">
        <v>126</v>
      </c>
      <c r="L603" s="159"/>
      <c r="M603" s="169"/>
    </row>
    <row r="604" spans="1:13" x14ac:dyDescent="0.55000000000000004">
      <c r="A604" s="105" t="s">
        <v>3313</v>
      </c>
      <c r="B604" s="61" t="s">
        <v>153</v>
      </c>
      <c r="C604" s="61" t="s">
        <v>127</v>
      </c>
      <c r="D604" s="61" t="s">
        <v>2994</v>
      </c>
      <c r="E604" s="119">
        <v>3.2571428569999998</v>
      </c>
      <c r="F604" s="148" t="s">
        <v>138</v>
      </c>
      <c r="G604" s="148">
        <v>1</v>
      </c>
      <c r="H604" s="61" t="s">
        <v>39</v>
      </c>
      <c r="I604" s="61" t="s">
        <v>1023</v>
      </c>
      <c r="J604" s="61" t="s">
        <v>919</v>
      </c>
      <c r="K604" s="61" t="s">
        <v>126</v>
      </c>
      <c r="L604" s="159"/>
      <c r="M604" s="169"/>
    </row>
    <row r="605" spans="1:13" x14ac:dyDescent="0.55000000000000004">
      <c r="A605" s="105" t="s">
        <v>3313</v>
      </c>
      <c r="B605" s="61" t="s">
        <v>153</v>
      </c>
      <c r="C605" s="61" t="s">
        <v>127</v>
      </c>
      <c r="D605" s="61" t="s">
        <v>2994</v>
      </c>
      <c r="E605" s="119">
        <v>6.5515396179999996</v>
      </c>
      <c r="F605" s="148" t="s">
        <v>138</v>
      </c>
      <c r="G605" s="148">
        <v>1</v>
      </c>
      <c r="H605" s="61" t="s">
        <v>39</v>
      </c>
      <c r="I605" s="61"/>
      <c r="J605" s="61" t="s">
        <v>919</v>
      </c>
      <c r="K605" s="61" t="s">
        <v>126</v>
      </c>
      <c r="L605" s="159"/>
      <c r="M605" s="169"/>
    </row>
    <row r="606" spans="1:13" x14ac:dyDescent="0.55000000000000004">
      <c r="A606" s="105" t="s">
        <v>3313</v>
      </c>
      <c r="B606" s="61" t="s">
        <v>160</v>
      </c>
      <c r="C606" s="61" t="s">
        <v>497</v>
      </c>
      <c r="D606" s="61" t="s">
        <v>3288</v>
      </c>
      <c r="E606" s="119">
        <v>2.8346153999999998E-2</v>
      </c>
      <c r="F606" s="148" t="s">
        <v>135</v>
      </c>
      <c r="G606" s="148">
        <v>1</v>
      </c>
      <c r="H606" s="61" t="s">
        <v>39</v>
      </c>
      <c r="I606" s="61" t="s">
        <v>959</v>
      </c>
      <c r="J606" s="61" t="s">
        <v>924</v>
      </c>
      <c r="K606" s="61" t="s">
        <v>126</v>
      </c>
      <c r="L606" s="159"/>
      <c r="M606" s="169"/>
    </row>
    <row r="607" spans="1:13" x14ac:dyDescent="0.55000000000000004">
      <c r="A607" s="105" t="s">
        <v>3314</v>
      </c>
      <c r="B607" s="61" t="s">
        <v>948</v>
      </c>
      <c r="C607" s="61" t="s">
        <v>121</v>
      </c>
      <c r="D607" s="61" t="s">
        <v>3288</v>
      </c>
      <c r="E607" s="119">
        <v>1</v>
      </c>
      <c r="F607" s="148" t="s">
        <v>135</v>
      </c>
      <c r="G607" s="148">
        <v>1</v>
      </c>
      <c r="H607" s="61" t="s">
        <v>39</v>
      </c>
      <c r="I607" s="61"/>
      <c r="J607" s="61"/>
      <c r="K607" s="61"/>
      <c r="L607" s="159">
        <v>271114</v>
      </c>
      <c r="M607" s="169"/>
    </row>
    <row r="608" spans="1:13" x14ac:dyDescent="0.55000000000000004">
      <c r="A608" s="105" t="s">
        <v>3314</v>
      </c>
      <c r="B608" s="61" t="s">
        <v>153</v>
      </c>
      <c r="C608" s="61" t="s">
        <v>127</v>
      </c>
      <c r="D608" s="61" t="s">
        <v>2994</v>
      </c>
      <c r="E608" s="119">
        <v>7</v>
      </c>
      <c r="F608" s="148" t="s">
        <v>138</v>
      </c>
      <c r="G608" s="148">
        <v>1</v>
      </c>
      <c r="H608" s="61" t="s">
        <v>39</v>
      </c>
      <c r="I608" s="61" t="s">
        <v>995</v>
      </c>
      <c r="J608" s="61" t="s">
        <v>919</v>
      </c>
      <c r="K608" s="61" t="s">
        <v>126</v>
      </c>
      <c r="L608" s="159"/>
      <c r="M608" s="169"/>
    </row>
    <row r="609" spans="1:13" x14ac:dyDescent="0.55000000000000004">
      <c r="A609" s="105" t="s">
        <v>3314</v>
      </c>
      <c r="B609" s="61" t="s">
        <v>997</v>
      </c>
      <c r="C609" s="61" t="s">
        <v>125</v>
      </c>
      <c r="D609" s="61" t="s">
        <v>3288</v>
      </c>
      <c r="E609" s="119">
        <v>1.74</v>
      </c>
      <c r="F609" s="148" t="s">
        <v>135</v>
      </c>
      <c r="G609" s="148">
        <v>1</v>
      </c>
      <c r="H609" s="61" t="s">
        <v>39</v>
      </c>
      <c r="I609" s="61" t="s">
        <v>996</v>
      </c>
      <c r="J609" s="61" t="s">
        <v>919</v>
      </c>
      <c r="K609" s="61" t="s">
        <v>126</v>
      </c>
      <c r="L609" s="159"/>
      <c r="M609" s="169"/>
    </row>
    <row r="610" spans="1:13" x14ac:dyDescent="0.55000000000000004">
      <c r="A610" s="105" t="s">
        <v>3315</v>
      </c>
      <c r="B610" s="61" t="s">
        <v>948</v>
      </c>
      <c r="C610" s="61" t="s">
        <v>121</v>
      </c>
      <c r="D610" s="61" t="s">
        <v>3288</v>
      </c>
      <c r="E610" s="119">
        <v>1</v>
      </c>
      <c r="F610" s="148" t="s">
        <v>135</v>
      </c>
      <c r="G610" s="148">
        <v>1</v>
      </c>
      <c r="H610" s="61" t="s">
        <v>39</v>
      </c>
      <c r="I610" s="61"/>
      <c r="J610" s="61"/>
      <c r="K610" s="61"/>
      <c r="L610" s="159">
        <v>271114</v>
      </c>
      <c r="M610" s="169"/>
    </row>
    <row r="611" spans="1:13" x14ac:dyDescent="0.55000000000000004">
      <c r="A611" s="105" t="s">
        <v>3315</v>
      </c>
      <c r="B611" s="61" t="s">
        <v>939</v>
      </c>
      <c r="C611" s="61" t="s">
        <v>125</v>
      </c>
      <c r="D611" s="61" t="s">
        <v>3288</v>
      </c>
      <c r="E611" s="119">
        <v>1.5870445339999999</v>
      </c>
      <c r="F611" s="148" t="s">
        <v>135</v>
      </c>
      <c r="G611" s="148">
        <v>1</v>
      </c>
      <c r="H611" s="61" t="s">
        <v>39</v>
      </c>
      <c r="I611" s="61"/>
      <c r="J611" s="61" t="s">
        <v>919</v>
      </c>
      <c r="K611" s="61" t="s">
        <v>126</v>
      </c>
      <c r="L611" s="159"/>
      <c r="M611" s="169"/>
    </row>
    <row r="612" spans="1:13" x14ac:dyDescent="0.55000000000000004">
      <c r="A612" s="105" t="s">
        <v>3315</v>
      </c>
      <c r="B612" s="61" t="s">
        <v>213</v>
      </c>
      <c r="C612" s="61" t="s">
        <v>125</v>
      </c>
      <c r="D612" s="61" t="s">
        <v>3288</v>
      </c>
      <c r="E612" s="119">
        <v>6.4777327999999995E-2</v>
      </c>
      <c r="F612" s="148" t="s">
        <v>135</v>
      </c>
      <c r="G612" s="148">
        <v>1</v>
      </c>
      <c r="H612" s="61" t="s">
        <v>39</v>
      </c>
      <c r="I612" s="61"/>
      <c r="J612" s="61" t="s">
        <v>919</v>
      </c>
      <c r="K612" s="61" t="s">
        <v>126</v>
      </c>
      <c r="L612" s="159"/>
      <c r="M612" s="169"/>
    </row>
    <row r="613" spans="1:13" x14ac:dyDescent="0.55000000000000004">
      <c r="A613" s="105" t="s">
        <v>3315</v>
      </c>
      <c r="B613" s="61" t="s">
        <v>153</v>
      </c>
      <c r="C613" s="61" t="s">
        <v>127</v>
      </c>
      <c r="D613" s="61" t="s">
        <v>2994</v>
      </c>
      <c r="E613" s="119">
        <v>8.1201133599999995</v>
      </c>
      <c r="F613" s="148" t="s">
        <v>138</v>
      </c>
      <c r="G613" s="148">
        <v>1</v>
      </c>
      <c r="H613" s="61" t="s">
        <v>39</v>
      </c>
      <c r="I613" s="61"/>
      <c r="J613" s="61" t="s">
        <v>919</v>
      </c>
      <c r="K613" s="61" t="s">
        <v>126</v>
      </c>
      <c r="L613" s="159"/>
      <c r="M613" s="169"/>
    </row>
    <row r="614" spans="1:13" x14ac:dyDescent="0.55000000000000004">
      <c r="A614" s="105" t="s">
        <v>3315</v>
      </c>
      <c r="B614" s="61" t="s">
        <v>153</v>
      </c>
      <c r="C614" s="61" t="s">
        <v>127</v>
      </c>
      <c r="D614" s="61" t="s">
        <v>2994</v>
      </c>
      <c r="E614" s="119">
        <v>1.5591093119999999</v>
      </c>
      <c r="F614" s="148" t="s">
        <v>138</v>
      </c>
      <c r="G614" s="148">
        <v>1</v>
      </c>
      <c r="H614" s="61" t="s">
        <v>39</v>
      </c>
      <c r="I614" s="61"/>
      <c r="J614" s="61" t="s">
        <v>919</v>
      </c>
      <c r="K614" s="61" t="s">
        <v>126</v>
      </c>
      <c r="L614" s="159"/>
      <c r="M614" s="169"/>
    </row>
    <row r="615" spans="1:13" x14ac:dyDescent="0.55000000000000004">
      <c r="A615" s="105" t="s">
        <v>3315</v>
      </c>
      <c r="B615" s="61" t="s">
        <v>153</v>
      </c>
      <c r="C615" s="61" t="s">
        <v>127</v>
      </c>
      <c r="D615" s="61" t="s">
        <v>2994</v>
      </c>
      <c r="E615" s="119">
        <v>9.6792226719999999</v>
      </c>
      <c r="F615" s="148" t="s">
        <v>138</v>
      </c>
      <c r="G615" s="148">
        <v>1</v>
      </c>
      <c r="H615" s="61" t="s">
        <v>39</v>
      </c>
      <c r="I615" s="61"/>
      <c r="J615" s="61" t="s">
        <v>919</v>
      </c>
      <c r="K615" s="61" t="s">
        <v>126</v>
      </c>
      <c r="L615" s="159"/>
      <c r="M615" s="169"/>
    </row>
    <row r="616" spans="1:13" x14ac:dyDescent="0.55000000000000004">
      <c r="A616" s="105" t="s">
        <v>3315</v>
      </c>
      <c r="B616" s="61" t="s">
        <v>334</v>
      </c>
      <c r="C616" s="61" t="s">
        <v>125</v>
      </c>
      <c r="D616" s="61" t="s">
        <v>3288</v>
      </c>
      <c r="E616" s="119">
        <v>1.9190282999999999E-2</v>
      </c>
      <c r="F616" s="148" t="s">
        <v>135</v>
      </c>
      <c r="G616" s="148">
        <v>1</v>
      </c>
      <c r="H616" s="61" t="s">
        <v>39</v>
      </c>
      <c r="I616" s="61"/>
      <c r="J616" s="61" t="s">
        <v>919</v>
      </c>
      <c r="K616" s="61" t="s">
        <v>126</v>
      </c>
      <c r="L616" s="159"/>
      <c r="M616" s="169"/>
    </row>
    <row r="617" spans="1:13" x14ac:dyDescent="0.55000000000000004">
      <c r="A617" s="105" t="s">
        <v>3316</v>
      </c>
      <c r="B617" s="61" t="s">
        <v>948</v>
      </c>
      <c r="C617" s="61" t="s">
        <v>121</v>
      </c>
      <c r="D617" s="61" t="s">
        <v>3288</v>
      </c>
      <c r="E617" s="119">
        <v>1</v>
      </c>
      <c r="F617" s="148" t="s">
        <v>135</v>
      </c>
      <c r="G617" s="148">
        <v>1</v>
      </c>
      <c r="H617" s="61" t="s">
        <v>39</v>
      </c>
      <c r="I617" s="61"/>
      <c r="J617" s="61"/>
      <c r="K617" s="61"/>
      <c r="L617" s="159">
        <v>271114</v>
      </c>
      <c r="M617" s="169"/>
    </row>
    <row r="618" spans="1:13" x14ac:dyDescent="0.55000000000000004">
      <c r="A618" s="105" t="s">
        <v>3316</v>
      </c>
      <c r="B618" s="61" t="s">
        <v>939</v>
      </c>
      <c r="C618" s="61" t="s">
        <v>125</v>
      </c>
      <c r="D618" s="61" t="s">
        <v>3288</v>
      </c>
      <c r="E618" s="119">
        <v>1.5870445339999999</v>
      </c>
      <c r="F618" s="148" t="s">
        <v>135</v>
      </c>
      <c r="G618" s="148">
        <v>1</v>
      </c>
      <c r="H618" s="61" t="s">
        <v>39</v>
      </c>
      <c r="I618" s="61"/>
      <c r="J618" s="61" t="s">
        <v>919</v>
      </c>
      <c r="K618" s="61" t="s">
        <v>126</v>
      </c>
      <c r="L618" s="159"/>
      <c r="M618" s="169"/>
    </row>
    <row r="619" spans="1:13" x14ac:dyDescent="0.55000000000000004">
      <c r="A619" s="105" t="s">
        <v>3316</v>
      </c>
      <c r="B619" s="61" t="s">
        <v>213</v>
      </c>
      <c r="C619" s="61" t="s">
        <v>125</v>
      </c>
      <c r="D619" s="61" t="s">
        <v>3288</v>
      </c>
      <c r="E619" s="119">
        <v>6.4777327999999995E-2</v>
      </c>
      <c r="F619" s="148" t="s">
        <v>135</v>
      </c>
      <c r="G619" s="148">
        <v>1</v>
      </c>
      <c r="H619" s="61" t="s">
        <v>39</v>
      </c>
      <c r="I619" s="61"/>
      <c r="J619" s="61" t="s">
        <v>919</v>
      </c>
      <c r="K619" s="61" t="s">
        <v>126</v>
      </c>
      <c r="L619" s="159"/>
      <c r="M619" s="169"/>
    </row>
    <row r="620" spans="1:13" x14ac:dyDescent="0.55000000000000004">
      <c r="A620" s="105" t="s">
        <v>3316</v>
      </c>
      <c r="B620" s="61" t="s">
        <v>334</v>
      </c>
      <c r="C620" s="61" t="s">
        <v>125</v>
      </c>
      <c r="D620" s="61" t="s">
        <v>3288</v>
      </c>
      <c r="E620" s="119">
        <v>6.4736842000000003E-2</v>
      </c>
      <c r="F620" s="148" t="s">
        <v>135</v>
      </c>
      <c r="G620" s="148">
        <v>1</v>
      </c>
      <c r="H620" s="61" t="s">
        <v>39</v>
      </c>
      <c r="I620" s="61"/>
      <c r="J620" s="61" t="s">
        <v>919</v>
      </c>
      <c r="K620" s="61" t="s">
        <v>126</v>
      </c>
      <c r="L620" s="159"/>
      <c r="M620" s="169"/>
    </row>
    <row r="621" spans="1:13" x14ac:dyDescent="0.55000000000000004">
      <c r="A621" s="105" t="s">
        <v>3316</v>
      </c>
      <c r="B621" s="61" t="s">
        <v>153</v>
      </c>
      <c r="C621" s="61" t="s">
        <v>127</v>
      </c>
      <c r="D621" s="61" t="s">
        <v>2994</v>
      </c>
      <c r="E621" s="119">
        <v>1.0253441299999999</v>
      </c>
      <c r="F621" s="148" t="s">
        <v>138</v>
      </c>
      <c r="G621" s="148">
        <v>1</v>
      </c>
      <c r="H621" s="61" t="s">
        <v>39</v>
      </c>
      <c r="I621" s="61"/>
      <c r="J621" s="61" t="s">
        <v>919</v>
      </c>
      <c r="K621" s="61" t="s">
        <v>126</v>
      </c>
      <c r="L621" s="159"/>
      <c r="M621" s="169"/>
    </row>
    <row r="622" spans="1:13" x14ac:dyDescent="0.55000000000000004">
      <c r="A622" s="105" t="s">
        <v>3316</v>
      </c>
      <c r="B622" s="61" t="s">
        <v>153</v>
      </c>
      <c r="C622" s="61" t="s">
        <v>127</v>
      </c>
      <c r="D622" s="61" t="s">
        <v>2994</v>
      </c>
      <c r="E622" s="119">
        <v>1.5591093119999999</v>
      </c>
      <c r="F622" s="148" t="s">
        <v>138</v>
      </c>
      <c r="G622" s="148">
        <v>1</v>
      </c>
      <c r="H622" s="61" t="s">
        <v>39</v>
      </c>
      <c r="I622" s="61"/>
      <c r="J622" s="61" t="s">
        <v>919</v>
      </c>
      <c r="K622" s="61" t="s">
        <v>126</v>
      </c>
      <c r="L622" s="159"/>
      <c r="M622" s="169"/>
    </row>
    <row r="623" spans="1:13" x14ac:dyDescent="0.55000000000000004">
      <c r="A623" s="105" t="s">
        <v>3316</v>
      </c>
      <c r="B623" s="61" t="s">
        <v>153</v>
      </c>
      <c r="C623" s="61" t="s">
        <v>127</v>
      </c>
      <c r="D623" s="61" t="s">
        <v>2994</v>
      </c>
      <c r="E623" s="119">
        <v>2.584453441</v>
      </c>
      <c r="F623" s="148" t="s">
        <v>138</v>
      </c>
      <c r="G623" s="148">
        <v>1</v>
      </c>
      <c r="H623" s="61" t="s">
        <v>39</v>
      </c>
      <c r="I623" s="61"/>
      <c r="J623" s="61" t="s">
        <v>919</v>
      </c>
      <c r="K623" s="61" t="s">
        <v>126</v>
      </c>
      <c r="L623" s="159"/>
      <c r="M623" s="169"/>
    </row>
    <row r="624" spans="1:13" x14ac:dyDescent="0.55000000000000004">
      <c r="A624" s="105" t="s">
        <v>3316</v>
      </c>
      <c r="B624" s="61" t="s">
        <v>334</v>
      </c>
      <c r="C624" s="61" t="s">
        <v>125</v>
      </c>
      <c r="D624" s="61" t="s">
        <v>3288</v>
      </c>
      <c r="E624" s="119">
        <v>1.9190282999999999E-2</v>
      </c>
      <c r="F624" s="148" t="s">
        <v>135</v>
      </c>
      <c r="G624" s="148">
        <v>1</v>
      </c>
      <c r="H624" s="61" t="s">
        <v>39</v>
      </c>
      <c r="I624" s="61"/>
      <c r="J624" s="61" t="s">
        <v>919</v>
      </c>
      <c r="K624" s="61" t="s">
        <v>126</v>
      </c>
      <c r="L624" s="159"/>
      <c r="M624" s="169"/>
    </row>
    <row r="625" spans="1:13" x14ac:dyDescent="0.55000000000000004">
      <c r="A625" s="105" t="s">
        <v>3317</v>
      </c>
      <c r="B625" s="61" t="s">
        <v>948</v>
      </c>
      <c r="C625" s="61" t="s">
        <v>121</v>
      </c>
      <c r="D625" s="61" t="s">
        <v>3288</v>
      </c>
      <c r="E625" s="119">
        <v>1</v>
      </c>
      <c r="F625" s="148" t="s">
        <v>135</v>
      </c>
      <c r="G625" s="148">
        <v>1</v>
      </c>
      <c r="H625" s="61" t="s">
        <v>39</v>
      </c>
      <c r="I625" s="61"/>
      <c r="J625" s="61"/>
      <c r="K625" s="61"/>
      <c r="L625" s="159">
        <v>271114</v>
      </c>
      <c r="M625" s="169"/>
    </row>
    <row r="626" spans="1:13" x14ac:dyDescent="0.55000000000000004">
      <c r="A626" s="105" t="s">
        <v>3317</v>
      </c>
      <c r="B626" s="61" t="s">
        <v>939</v>
      </c>
      <c r="C626" s="61" t="s">
        <v>125</v>
      </c>
      <c r="D626" s="61" t="s">
        <v>3288</v>
      </c>
      <c r="E626" s="119">
        <v>1.5870445339999999</v>
      </c>
      <c r="F626" s="148" t="s">
        <v>135</v>
      </c>
      <c r="G626" s="148">
        <v>1</v>
      </c>
      <c r="H626" s="61" t="s">
        <v>39</v>
      </c>
      <c r="I626" s="61" t="s">
        <v>947</v>
      </c>
      <c r="J626" s="61" t="s">
        <v>919</v>
      </c>
      <c r="K626" s="61" t="s">
        <v>126</v>
      </c>
      <c r="L626" s="159"/>
      <c r="M626" s="169"/>
    </row>
    <row r="627" spans="1:13" x14ac:dyDescent="0.55000000000000004">
      <c r="A627" s="105" t="s">
        <v>3317</v>
      </c>
      <c r="B627" s="61" t="s">
        <v>923</v>
      </c>
      <c r="C627" s="61" t="s">
        <v>127</v>
      </c>
      <c r="D627" s="61" t="s">
        <v>2994</v>
      </c>
      <c r="E627" s="119">
        <v>8.8663967610000007</v>
      </c>
      <c r="F627" s="148" t="s">
        <v>138</v>
      </c>
      <c r="G627" s="148">
        <v>1</v>
      </c>
      <c r="H627" s="61" t="s">
        <v>39</v>
      </c>
      <c r="I627" s="61" t="s">
        <v>947</v>
      </c>
      <c r="J627" s="61" t="s">
        <v>919</v>
      </c>
      <c r="K627" s="61" t="s">
        <v>126</v>
      </c>
      <c r="L627" s="159"/>
      <c r="M627" s="169"/>
    </row>
    <row r="628" spans="1:13" x14ac:dyDescent="0.55000000000000004">
      <c r="A628" s="105" t="s">
        <v>3317</v>
      </c>
      <c r="B628" s="61" t="s">
        <v>153</v>
      </c>
      <c r="C628" s="61" t="s">
        <v>127</v>
      </c>
      <c r="D628" s="61" t="s">
        <v>2994</v>
      </c>
      <c r="E628" s="119">
        <v>1.0253441299999999</v>
      </c>
      <c r="F628" s="148" t="s">
        <v>138</v>
      </c>
      <c r="G628" s="148">
        <v>1</v>
      </c>
      <c r="H628" s="61" t="s">
        <v>39</v>
      </c>
      <c r="I628" s="61" t="s">
        <v>947</v>
      </c>
      <c r="J628" s="61" t="s">
        <v>919</v>
      </c>
      <c r="K628" s="61" t="s">
        <v>126</v>
      </c>
      <c r="L628" s="159"/>
      <c r="M628" s="169"/>
    </row>
    <row r="629" spans="1:13" x14ac:dyDescent="0.55000000000000004">
      <c r="A629" s="105" t="s">
        <v>3317</v>
      </c>
      <c r="B629" s="61" t="s">
        <v>160</v>
      </c>
      <c r="C629" s="61" t="s">
        <v>497</v>
      </c>
      <c r="D629" s="61" t="s">
        <v>3288</v>
      </c>
      <c r="E629" s="119">
        <v>0.59404858299999996</v>
      </c>
      <c r="F629" s="148" t="s">
        <v>135</v>
      </c>
      <c r="G629" s="148">
        <v>1</v>
      </c>
      <c r="H629" s="61" t="s">
        <v>39</v>
      </c>
      <c r="I629" s="61" t="s">
        <v>959</v>
      </c>
      <c r="J629" s="61" t="s">
        <v>924</v>
      </c>
      <c r="K629" s="61" t="s">
        <v>126</v>
      </c>
      <c r="L629" s="159"/>
      <c r="M629" s="169"/>
    </row>
    <row r="630" spans="1:13" x14ac:dyDescent="0.55000000000000004">
      <c r="A630" s="105" t="s">
        <v>3318</v>
      </c>
      <c r="B630" s="61" t="s">
        <v>948</v>
      </c>
      <c r="C630" s="61" t="s">
        <v>121</v>
      </c>
      <c r="D630" s="61" t="s">
        <v>3288</v>
      </c>
      <c r="E630" s="119">
        <v>1</v>
      </c>
      <c r="F630" s="148" t="s">
        <v>135</v>
      </c>
      <c r="G630" s="148">
        <v>1</v>
      </c>
      <c r="H630" s="61" t="s">
        <v>39</v>
      </c>
      <c r="I630" s="61"/>
      <c r="J630" s="61"/>
      <c r="K630" s="61"/>
      <c r="L630" s="159">
        <v>271114</v>
      </c>
      <c r="M630" s="169"/>
    </row>
    <row r="631" spans="1:13" x14ac:dyDescent="0.55000000000000004">
      <c r="A631" s="105" t="s">
        <v>3318</v>
      </c>
      <c r="B631" s="61" t="s">
        <v>939</v>
      </c>
      <c r="C631" s="61" t="s">
        <v>125</v>
      </c>
      <c r="D631" s="61" t="s">
        <v>3288</v>
      </c>
      <c r="E631" s="119">
        <v>1.5870445339999999</v>
      </c>
      <c r="F631" s="148" t="s">
        <v>135</v>
      </c>
      <c r="G631" s="148">
        <v>1</v>
      </c>
      <c r="H631" s="61" t="s">
        <v>39</v>
      </c>
      <c r="I631" s="61" t="s">
        <v>990</v>
      </c>
      <c r="J631" s="61" t="s">
        <v>919</v>
      </c>
      <c r="K631" s="61" t="s">
        <v>126</v>
      </c>
      <c r="L631" s="159"/>
      <c r="M631" s="169"/>
    </row>
    <row r="632" spans="1:13" x14ac:dyDescent="0.55000000000000004">
      <c r="A632" s="105" t="s">
        <v>3318</v>
      </c>
      <c r="B632" s="61" t="s">
        <v>213</v>
      </c>
      <c r="C632" s="61" t="s">
        <v>125</v>
      </c>
      <c r="D632" s="61" t="s">
        <v>3288</v>
      </c>
      <c r="E632" s="119">
        <v>6.4777327999999995E-2</v>
      </c>
      <c r="F632" s="148" t="s">
        <v>135</v>
      </c>
      <c r="G632" s="148">
        <v>1</v>
      </c>
      <c r="H632" s="61" t="s">
        <v>39</v>
      </c>
      <c r="I632" s="61" t="s">
        <v>991</v>
      </c>
      <c r="J632" s="61" t="s">
        <v>919</v>
      </c>
      <c r="K632" s="61" t="s">
        <v>126</v>
      </c>
      <c r="L632" s="159"/>
      <c r="M632" s="169"/>
    </row>
    <row r="633" spans="1:13" x14ac:dyDescent="0.55000000000000004">
      <c r="A633" s="105" t="s">
        <v>3318</v>
      </c>
      <c r="B633" s="61" t="s">
        <v>153</v>
      </c>
      <c r="C633" s="61" t="s">
        <v>127</v>
      </c>
      <c r="D633" s="61" t="s">
        <v>2994</v>
      </c>
      <c r="E633" s="119">
        <v>1.0253441299999999</v>
      </c>
      <c r="F633" s="148" t="s">
        <v>138</v>
      </c>
      <c r="G633" s="148">
        <v>1</v>
      </c>
      <c r="H633" s="61" t="s">
        <v>39</v>
      </c>
      <c r="I633" s="61" t="s">
        <v>990</v>
      </c>
      <c r="J633" s="61" t="s">
        <v>919</v>
      </c>
      <c r="K633" s="61" t="s">
        <v>126</v>
      </c>
      <c r="L633" s="159"/>
      <c r="M633" s="169"/>
    </row>
    <row r="634" spans="1:13" x14ac:dyDescent="0.55000000000000004">
      <c r="A634" s="105" t="s">
        <v>3318</v>
      </c>
      <c r="B634" s="61" t="s">
        <v>153</v>
      </c>
      <c r="C634" s="61" t="s">
        <v>127</v>
      </c>
      <c r="D634" s="61" t="s">
        <v>2994</v>
      </c>
      <c r="E634" s="119">
        <v>0.44048583000000002</v>
      </c>
      <c r="F634" s="148" t="s">
        <v>138</v>
      </c>
      <c r="G634" s="148">
        <v>1</v>
      </c>
      <c r="H634" s="61" t="s">
        <v>39</v>
      </c>
      <c r="I634" s="61" t="s">
        <v>987</v>
      </c>
      <c r="J634" s="61" t="s">
        <v>919</v>
      </c>
      <c r="K634" s="61" t="s">
        <v>126</v>
      </c>
      <c r="L634" s="159"/>
      <c r="M634" s="169"/>
    </row>
    <row r="635" spans="1:13" x14ac:dyDescent="0.55000000000000004">
      <c r="A635" s="105" t="s">
        <v>3318</v>
      </c>
      <c r="B635" s="61" t="s">
        <v>153</v>
      </c>
      <c r="C635" s="61" t="s">
        <v>127</v>
      </c>
      <c r="D635" s="61" t="s">
        <v>2994</v>
      </c>
      <c r="E635" s="119">
        <v>1.46582996</v>
      </c>
      <c r="F635" s="148" t="s">
        <v>138</v>
      </c>
      <c r="G635" s="148">
        <v>1</v>
      </c>
      <c r="H635" s="61" t="s">
        <v>39</v>
      </c>
      <c r="I635" s="61"/>
      <c r="J635" s="61" t="s">
        <v>919</v>
      </c>
      <c r="K635" s="61" t="s">
        <v>126</v>
      </c>
      <c r="L635" s="159"/>
      <c r="M635" s="169"/>
    </row>
    <row r="636" spans="1:13" x14ac:dyDescent="0.55000000000000004">
      <c r="A636" s="105" t="s">
        <v>3319</v>
      </c>
      <c r="B636" s="61" t="s">
        <v>948</v>
      </c>
      <c r="C636" s="61" t="s">
        <v>121</v>
      </c>
      <c r="D636" s="61" t="s">
        <v>3288</v>
      </c>
      <c r="E636" s="119">
        <v>1</v>
      </c>
      <c r="F636" s="148" t="s">
        <v>135</v>
      </c>
      <c r="G636" s="148">
        <v>1</v>
      </c>
      <c r="H636" s="61" t="s">
        <v>39</v>
      </c>
      <c r="I636" s="61"/>
      <c r="J636" s="61"/>
      <c r="K636" s="61"/>
      <c r="L636" s="159">
        <v>271114</v>
      </c>
      <c r="M636" s="169"/>
    </row>
    <row r="637" spans="1:13" x14ac:dyDescent="0.55000000000000004">
      <c r="A637" s="105" t="s">
        <v>3319</v>
      </c>
      <c r="B637" s="61" t="s">
        <v>625</v>
      </c>
      <c r="C637" s="61" t="s">
        <v>125</v>
      </c>
      <c r="D637" s="61" t="s">
        <v>3288</v>
      </c>
      <c r="E637" s="119">
        <v>0.69454000000000005</v>
      </c>
      <c r="F637" s="148" t="s">
        <v>135</v>
      </c>
      <c r="G637" s="148">
        <v>1</v>
      </c>
      <c r="H637" s="61" t="s">
        <v>39</v>
      </c>
      <c r="I637" s="61" t="s">
        <v>956</v>
      </c>
      <c r="J637" s="61" t="s">
        <v>919</v>
      </c>
      <c r="K637" s="61" t="s">
        <v>126</v>
      </c>
      <c r="L637" s="159"/>
      <c r="M637" s="169"/>
    </row>
    <row r="638" spans="1:13" x14ac:dyDescent="0.55000000000000004">
      <c r="A638" s="105" t="s">
        <v>3319</v>
      </c>
      <c r="B638" s="61" t="s">
        <v>706</v>
      </c>
      <c r="C638" s="61" t="s">
        <v>125</v>
      </c>
      <c r="D638" s="61" t="s">
        <v>3288</v>
      </c>
      <c r="E638" s="119">
        <v>5.9450000000000003E-2</v>
      </c>
      <c r="F638" s="148" t="s">
        <v>135</v>
      </c>
      <c r="G638" s="148">
        <v>1</v>
      </c>
      <c r="H638" s="61" t="s">
        <v>39</v>
      </c>
      <c r="I638" s="61" t="s">
        <v>947</v>
      </c>
      <c r="J638" s="61" t="s">
        <v>919</v>
      </c>
      <c r="K638" s="61" t="s">
        <v>126</v>
      </c>
      <c r="L638" s="159"/>
      <c r="M638" s="169"/>
    </row>
    <row r="639" spans="1:13" x14ac:dyDescent="0.55000000000000004">
      <c r="A639" s="105" t="s">
        <v>3319</v>
      </c>
      <c r="B639" s="61" t="s">
        <v>925</v>
      </c>
      <c r="C639" s="61" t="s">
        <v>125</v>
      </c>
      <c r="D639" s="61" t="s">
        <v>3288</v>
      </c>
      <c r="E639" s="119">
        <v>0.27388000000000001</v>
      </c>
      <c r="F639" s="148" t="s">
        <v>135</v>
      </c>
      <c r="G639" s="148">
        <v>1</v>
      </c>
      <c r="H639" s="61" t="s">
        <v>39</v>
      </c>
      <c r="I639" s="61" t="s">
        <v>947</v>
      </c>
      <c r="J639" s="61" t="s">
        <v>919</v>
      </c>
      <c r="K639" s="61" t="s">
        <v>126</v>
      </c>
      <c r="L639" s="159"/>
      <c r="M639" s="169"/>
    </row>
    <row r="640" spans="1:13" x14ac:dyDescent="0.55000000000000004">
      <c r="A640" s="105" t="s">
        <v>3319</v>
      </c>
      <c r="B640" s="61" t="s">
        <v>923</v>
      </c>
      <c r="C640" s="61" t="s">
        <v>127</v>
      </c>
      <c r="D640" s="61" t="s">
        <v>2994</v>
      </c>
      <c r="E640" s="119">
        <v>7.5381556850000004</v>
      </c>
      <c r="F640" s="148" t="s">
        <v>138</v>
      </c>
      <c r="G640" s="148">
        <v>1</v>
      </c>
      <c r="H640" s="61" t="s">
        <v>39</v>
      </c>
      <c r="I640" s="61" t="s">
        <v>968</v>
      </c>
      <c r="J640" s="61" t="s">
        <v>919</v>
      </c>
      <c r="K640" s="61" t="s">
        <v>126</v>
      </c>
      <c r="L640" s="159"/>
      <c r="M640" s="169"/>
    </row>
    <row r="641" spans="1:13" x14ac:dyDescent="0.55000000000000004">
      <c r="A641" s="105" t="s">
        <v>3319</v>
      </c>
      <c r="B641" s="61" t="s">
        <v>153</v>
      </c>
      <c r="C641" s="61" t="s">
        <v>127</v>
      </c>
      <c r="D641" s="61" t="s">
        <v>2994</v>
      </c>
      <c r="E641" s="119">
        <v>2.1527099999999999</v>
      </c>
      <c r="F641" s="148" t="s">
        <v>138</v>
      </c>
      <c r="G641" s="148">
        <v>1</v>
      </c>
      <c r="H641" s="61" t="s">
        <v>39</v>
      </c>
      <c r="I641" s="61" t="s">
        <v>968</v>
      </c>
      <c r="J641" s="61" t="s">
        <v>919</v>
      </c>
      <c r="K641" s="61" t="s">
        <v>126</v>
      </c>
      <c r="L641" s="159"/>
      <c r="M641" s="169"/>
    </row>
    <row r="642" spans="1:13" x14ac:dyDescent="0.55000000000000004">
      <c r="A642" s="105" t="s">
        <v>3319</v>
      </c>
      <c r="B642" s="61" t="s">
        <v>160</v>
      </c>
      <c r="C642" s="61" t="s">
        <v>497</v>
      </c>
      <c r="D642" s="61" t="s">
        <v>3288</v>
      </c>
      <c r="E642" s="119">
        <v>0.50505643099999997</v>
      </c>
      <c r="F642" s="148" t="s">
        <v>135</v>
      </c>
      <c r="G642" s="148">
        <v>1</v>
      </c>
      <c r="H642" s="61" t="s">
        <v>39</v>
      </c>
      <c r="I642" s="61" t="s">
        <v>959</v>
      </c>
      <c r="J642" s="61" t="s">
        <v>924</v>
      </c>
      <c r="K642" s="61" t="s">
        <v>126</v>
      </c>
      <c r="L642" s="159"/>
      <c r="M642" s="169"/>
    </row>
    <row r="643" spans="1:13" x14ac:dyDescent="0.55000000000000004">
      <c r="A643" s="105" t="s">
        <v>3320</v>
      </c>
      <c r="B643" s="61" t="s">
        <v>948</v>
      </c>
      <c r="C643" s="61" t="s">
        <v>121</v>
      </c>
      <c r="D643" s="61" t="s">
        <v>3288</v>
      </c>
      <c r="E643" s="119">
        <v>1</v>
      </c>
      <c r="F643" s="148" t="s">
        <v>135</v>
      </c>
      <c r="G643" s="148">
        <v>1</v>
      </c>
      <c r="H643" s="61" t="s">
        <v>39</v>
      </c>
      <c r="I643" s="61"/>
      <c r="J643" s="61"/>
      <c r="K643" s="61"/>
      <c r="L643" s="159">
        <v>271114</v>
      </c>
      <c r="M643" s="169"/>
    </row>
    <row r="644" spans="1:13" x14ac:dyDescent="0.55000000000000004">
      <c r="A644" s="105" t="s">
        <v>3320</v>
      </c>
      <c r="B644" s="61" t="s">
        <v>625</v>
      </c>
      <c r="C644" s="61" t="s">
        <v>125</v>
      </c>
      <c r="D644" s="61" t="s">
        <v>3288</v>
      </c>
      <c r="E644" s="119">
        <v>0.98744939300000001</v>
      </c>
      <c r="F644" s="148" t="s">
        <v>135</v>
      </c>
      <c r="G644" s="148">
        <v>1</v>
      </c>
      <c r="H644" s="61" t="s">
        <v>39</v>
      </c>
      <c r="I644" s="61" t="s">
        <v>947</v>
      </c>
      <c r="J644" s="61" t="s">
        <v>919</v>
      </c>
      <c r="K644" s="61" t="s">
        <v>126</v>
      </c>
      <c r="L644" s="159"/>
      <c r="M644" s="169"/>
    </row>
    <row r="645" spans="1:13" x14ac:dyDescent="0.55000000000000004">
      <c r="A645" s="105" t="s">
        <v>3320</v>
      </c>
      <c r="B645" s="61" t="s">
        <v>706</v>
      </c>
      <c r="C645" s="61" t="s">
        <v>125</v>
      </c>
      <c r="D645" s="61" t="s">
        <v>3288</v>
      </c>
      <c r="E645" s="119">
        <v>0</v>
      </c>
      <c r="F645" s="148" t="s">
        <v>135</v>
      </c>
      <c r="G645" s="148">
        <v>1</v>
      </c>
      <c r="H645" s="61" t="s">
        <v>39</v>
      </c>
      <c r="I645" s="61" t="s">
        <v>947</v>
      </c>
      <c r="J645" s="61" t="s">
        <v>919</v>
      </c>
      <c r="K645" s="61" t="s">
        <v>126</v>
      </c>
      <c r="L645" s="159"/>
      <c r="M645" s="169"/>
    </row>
    <row r="646" spans="1:13" x14ac:dyDescent="0.55000000000000004">
      <c r="A646" s="105" t="s">
        <v>3320</v>
      </c>
      <c r="B646" s="61" t="s">
        <v>925</v>
      </c>
      <c r="C646" s="61" t="s">
        <v>125</v>
      </c>
      <c r="D646" s="61" t="s">
        <v>3288</v>
      </c>
      <c r="E646" s="119">
        <v>2.4696355999999999E-2</v>
      </c>
      <c r="F646" s="148" t="s">
        <v>135</v>
      </c>
      <c r="G646" s="148">
        <v>1</v>
      </c>
      <c r="H646" s="61" t="s">
        <v>39</v>
      </c>
      <c r="I646" s="61" t="s">
        <v>947</v>
      </c>
      <c r="J646" s="61" t="s">
        <v>919</v>
      </c>
      <c r="K646" s="61" t="s">
        <v>126</v>
      </c>
      <c r="L646" s="159"/>
      <c r="M646" s="169"/>
    </row>
    <row r="647" spans="1:13" x14ac:dyDescent="0.55000000000000004">
      <c r="A647" s="105" t="s">
        <v>3320</v>
      </c>
      <c r="B647" s="61" t="s">
        <v>923</v>
      </c>
      <c r="C647" s="61" t="s">
        <v>127</v>
      </c>
      <c r="D647" s="61" t="s">
        <v>2994</v>
      </c>
      <c r="E647" s="119">
        <v>7.5364372470000003</v>
      </c>
      <c r="F647" s="148" t="s">
        <v>138</v>
      </c>
      <c r="G647" s="148">
        <v>1</v>
      </c>
      <c r="H647" s="61" t="s">
        <v>39</v>
      </c>
      <c r="I647" s="61" t="s">
        <v>947</v>
      </c>
      <c r="J647" s="61" t="s">
        <v>919</v>
      </c>
      <c r="K647" s="61" t="s">
        <v>126</v>
      </c>
      <c r="L647" s="159"/>
      <c r="M647" s="169"/>
    </row>
    <row r="648" spans="1:13" x14ac:dyDescent="0.55000000000000004">
      <c r="A648" s="105" t="s">
        <v>3320</v>
      </c>
      <c r="B648" s="61" t="s">
        <v>153</v>
      </c>
      <c r="C648" s="61" t="s">
        <v>127</v>
      </c>
      <c r="D648" s="61" t="s">
        <v>2994</v>
      </c>
      <c r="E648" s="119">
        <v>0.87154251000000005</v>
      </c>
      <c r="F648" s="148" t="s">
        <v>138</v>
      </c>
      <c r="G648" s="148">
        <v>1</v>
      </c>
      <c r="H648" s="61" t="s">
        <v>39</v>
      </c>
      <c r="I648" s="61" t="s">
        <v>970</v>
      </c>
      <c r="J648" s="61" t="s">
        <v>919</v>
      </c>
      <c r="K648" s="61" t="s">
        <v>126</v>
      </c>
      <c r="L648" s="159"/>
      <c r="M648" s="169"/>
    </row>
    <row r="649" spans="1:13" x14ac:dyDescent="0.55000000000000004">
      <c r="A649" s="105" t="s">
        <v>3320</v>
      </c>
      <c r="B649" s="61" t="s">
        <v>153</v>
      </c>
      <c r="C649" s="61" t="s">
        <v>127</v>
      </c>
      <c r="D649" s="61" t="s">
        <v>2994</v>
      </c>
      <c r="E649" s="119">
        <v>2.2222727999999998</v>
      </c>
      <c r="F649" s="148" t="s">
        <v>138</v>
      </c>
      <c r="G649" s="148">
        <v>1</v>
      </c>
      <c r="H649" s="61" t="s">
        <v>39</v>
      </c>
      <c r="I649" s="61" t="s">
        <v>950</v>
      </c>
      <c r="J649" s="61" t="s">
        <v>919</v>
      </c>
      <c r="K649" s="61" t="s">
        <v>126</v>
      </c>
      <c r="L649" s="159"/>
      <c r="M649" s="169"/>
    </row>
    <row r="650" spans="1:13" x14ac:dyDescent="0.55000000000000004">
      <c r="A650" s="105" t="s">
        <v>3320</v>
      </c>
      <c r="B650" s="61" t="s">
        <v>153</v>
      </c>
      <c r="C650" s="61" t="s">
        <v>127</v>
      </c>
      <c r="D650" s="61" t="s">
        <v>2994</v>
      </c>
      <c r="E650" s="119">
        <v>3.0938153100000001</v>
      </c>
      <c r="F650" s="148" t="s">
        <v>138</v>
      </c>
      <c r="G650" s="148">
        <v>1</v>
      </c>
      <c r="H650" s="61" t="s">
        <v>39</v>
      </c>
      <c r="I650" s="61" t="s">
        <v>971</v>
      </c>
      <c r="J650" s="61" t="s">
        <v>919</v>
      </c>
      <c r="K650" s="61" t="s">
        <v>126</v>
      </c>
      <c r="L650" s="159"/>
      <c r="M650" s="169"/>
    </row>
    <row r="651" spans="1:13" x14ac:dyDescent="0.55000000000000004">
      <c r="A651" s="105" t="s">
        <v>3320</v>
      </c>
      <c r="B651" s="61" t="s">
        <v>160</v>
      </c>
      <c r="C651" s="61" t="s">
        <v>497</v>
      </c>
      <c r="D651" s="61" t="s">
        <v>3288</v>
      </c>
      <c r="E651" s="119">
        <v>2.5247064999999999E-2</v>
      </c>
      <c r="F651" s="148" t="s">
        <v>135</v>
      </c>
      <c r="G651" s="148">
        <v>1</v>
      </c>
      <c r="H651" s="61" t="s">
        <v>39</v>
      </c>
      <c r="I651" s="61" t="s">
        <v>959</v>
      </c>
      <c r="J651" s="61" t="s">
        <v>924</v>
      </c>
      <c r="K651" s="61" t="s">
        <v>126</v>
      </c>
      <c r="L651" s="159"/>
      <c r="M651" s="169"/>
    </row>
    <row r="652" spans="1:13" x14ac:dyDescent="0.55000000000000004">
      <c r="A652" s="105" t="s">
        <v>3321</v>
      </c>
      <c r="B652" s="61" t="s">
        <v>948</v>
      </c>
      <c r="C652" s="61" t="s">
        <v>121</v>
      </c>
      <c r="D652" s="61" t="s">
        <v>3288</v>
      </c>
      <c r="E652" s="119">
        <v>1</v>
      </c>
      <c r="F652" s="148" t="s">
        <v>135</v>
      </c>
      <c r="G652" s="148">
        <v>1</v>
      </c>
      <c r="H652" s="61" t="s">
        <v>39</v>
      </c>
      <c r="I652" s="61"/>
      <c r="J652" s="61"/>
      <c r="K652" s="61"/>
      <c r="L652" s="159">
        <v>271114</v>
      </c>
      <c r="M652" s="169"/>
    </row>
    <row r="653" spans="1:13" x14ac:dyDescent="0.55000000000000004">
      <c r="A653" s="105" t="s">
        <v>3321</v>
      </c>
      <c r="B653" s="61" t="s">
        <v>625</v>
      </c>
      <c r="C653" s="61" t="s">
        <v>125</v>
      </c>
      <c r="D653" s="61" t="s">
        <v>3288</v>
      </c>
      <c r="E653" s="119">
        <v>0.69289999999999996</v>
      </c>
      <c r="F653" s="148" t="s">
        <v>135</v>
      </c>
      <c r="G653" s="148">
        <v>1</v>
      </c>
      <c r="H653" s="61" t="s">
        <v>39</v>
      </c>
      <c r="I653" s="61" t="s">
        <v>947</v>
      </c>
      <c r="J653" s="61" t="s">
        <v>919</v>
      </c>
      <c r="K653" s="61" t="s">
        <v>126</v>
      </c>
      <c r="L653" s="159"/>
      <c r="M653" s="169"/>
    </row>
    <row r="654" spans="1:13" x14ac:dyDescent="0.55000000000000004">
      <c r="A654" s="105" t="s">
        <v>3321</v>
      </c>
      <c r="B654" s="61" t="s">
        <v>706</v>
      </c>
      <c r="C654" s="61" t="s">
        <v>125</v>
      </c>
      <c r="D654" s="61" t="s">
        <v>3288</v>
      </c>
      <c r="E654" s="119">
        <v>5.9450000000000003E-2</v>
      </c>
      <c r="F654" s="148" t="s">
        <v>135</v>
      </c>
      <c r="G654" s="148">
        <v>1</v>
      </c>
      <c r="H654" s="61" t="s">
        <v>39</v>
      </c>
      <c r="I654" s="61" t="s">
        <v>947</v>
      </c>
      <c r="J654" s="61" t="s">
        <v>919</v>
      </c>
      <c r="K654" s="61" t="s">
        <v>126</v>
      </c>
      <c r="L654" s="159"/>
      <c r="M654" s="169"/>
    </row>
    <row r="655" spans="1:13" x14ac:dyDescent="0.55000000000000004">
      <c r="A655" s="105" t="s">
        <v>3321</v>
      </c>
      <c r="B655" s="61" t="s">
        <v>925</v>
      </c>
      <c r="C655" s="61" t="s">
        <v>125</v>
      </c>
      <c r="D655" s="61" t="s">
        <v>3288</v>
      </c>
      <c r="E655" s="119">
        <v>0.27388000000000001</v>
      </c>
      <c r="F655" s="148" t="s">
        <v>135</v>
      </c>
      <c r="G655" s="148">
        <v>1</v>
      </c>
      <c r="H655" s="61" t="s">
        <v>39</v>
      </c>
      <c r="I655" s="61" t="s">
        <v>947</v>
      </c>
      <c r="J655" s="61" t="s">
        <v>919</v>
      </c>
      <c r="K655" s="61" t="s">
        <v>126</v>
      </c>
      <c r="L655" s="159"/>
      <c r="M655" s="169"/>
    </row>
    <row r="656" spans="1:13" x14ac:dyDescent="0.55000000000000004">
      <c r="A656" s="105" t="s">
        <v>3321</v>
      </c>
      <c r="B656" s="61" t="s">
        <v>153</v>
      </c>
      <c r="C656" s="61" t="s">
        <v>127</v>
      </c>
      <c r="D656" s="61" t="s">
        <v>2994</v>
      </c>
      <c r="E656" s="119">
        <v>6.9897529799999996</v>
      </c>
      <c r="F656" s="148" t="s">
        <v>138</v>
      </c>
      <c r="G656" s="148">
        <v>1</v>
      </c>
      <c r="H656" s="61" t="s">
        <v>39</v>
      </c>
      <c r="I656" s="61" t="s">
        <v>969</v>
      </c>
      <c r="J656" s="61" t="s">
        <v>919</v>
      </c>
      <c r="K656" s="61" t="s">
        <v>126</v>
      </c>
      <c r="L656" s="159"/>
      <c r="M656" s="169"/>
    </row>
    <row r="657" spans="1:13" x14ac:dyDescent="0.55000000000000004">
      <c r="A657" s="105" t="s">
        <v>3322</v>
      </c>
      <c r="B657" s="61" t="s">
        <v>948</v>
      </c>
      <c r="C657" s="61" t="s">
        <v>121</v>
      </c>
      <c r="D657" s="61" t="s">
        <v>3288</v>
      </c>
      <c r="E657" s="119">
        <v>1</v>
      </c>
      <c r="F657" s="148" t="s">
        <v>135</v>
      </c>
      <c r="G657" s="148">
        <v>1</v>
      </c>
      <c r="H657" s="61" t="s">
        <v>39</v>
      </c>
      <c r="I657" s="61"/>
      <c r="J657" s="61"/>
      <c r="K657" s="61"/>
      <c r="L657" s="159">
        <v>271114</v>
      </c>
      <c r="M657" s="169"/>
    </row>
    <row r="658" spans="1:13" x14ac:dyDescent="0.55000000000000004">
      <c r="A658" s="105" t="s">
        <v>3322</v>
      </c>
      <c r="B658" s="61" t="s">
        <v>625</v>
      </c>
      <c r="C658" s="61" t="s">
        <v>125</v>
      </c>
      <c r="D658" s="61" t="s">
        <v>3288</v>
      </c>
      <c r="E658" s="119">
        <v>0.98744939300000001</v>
      </c>
      <c r="F658" s="148" t="s">
        <v>135</v>
      </c>
      <c r="G658" s="148">
        <v>1</v>
      </c>
      <c r="H658" s="61" t="s">
        <v>39</v>
      </c>
      <c r="I658" s="61" t="s">
        <v>947</v>
      </c>
      <c r="J658" s="61" t="s">
        <v>919</v>
      </c>
      <c r="K658" s="61" t="s">
        <v>126</v>
      </c>
      <c r="L658" s="159"/>
      <c r="M658" s="169"/>
    </row>
    <row r="659" spans="1:13" x14ac:dyDescent="0.55000000000000004">
      <c r="A659" s="105" t="s">
        <v>3322</v>
      </c>
      <c r="B659" s="61" t="s">
        <v>706</v>
      </c>
      <c r="C659" s="61" t="s">
        <v>125</v>
      </c>
      <c r="D659" s="61" t="s">
        <v>3288</v>
      </c>
      <c r="E659" s="119">
        <v>0</v>
      </c>
      <c r="F659" s="148" t="s">
        <v>135</v>
      </c>
      <c r="G659" s="148">
        <v>1</v>
      </c>
      <c r="H659" s="61" t="s">
        <v>39</v>
      </c>
      <c r="I659" s="61" t="s">
        <v>947</v>
      </c>
      <c r="J659" s="61" t="s">
        <v>919</v>
      </c>
      <c r="K659" s="61" t="s">
        <v>126</v>
      </c>
      <c r="L659" s="159"/>
      <c r="M659" s="169"/>
    </row>
    <row r="660" spans="1:13" x14ac:dyDescent="0.55000000000000004">
      <c r="A660" s="105" t="s">
        <v>3322</v>
      </c>
      <c r="B660" s="61" t="s">
        <v>925</v>
      </c>
      <c r="C660" s="61" t="s">
        <v>125</v>
      </c>
      <c r="D660" s="61" t="s">
        <v>3288</v>
      </c>
      <c r="E660" s="119">
        <v>2.4696355999999999E-2</v>
      </c>
      <c r="F660" s="148" t="s">
        <v>135</v>
      </c>
      <c r="G660" s="148">
        <v>1</v>
      </c>
      <c r="H660" s="61" t="s">
        <v>39</v>
      </c>
      <c r="I660" s="61" t="s">
        <v>947</v>
      </c>
      <c r="J660" s="61" t="s">
        <v>919</v>
      </c>
      <c r="K660" s="61" t="s">
        <v>126</v>
      </c>
      <c r="L660" s="159"/>
      <c r="M660" s="169"/>
    </row>
    <row r="661" spans="1:13" x14ac:dyDescent="0.55000000000000004">
      <c r="A661" s="105" t="s">
        <v>3322</v>
      </c>
      <c r="B661" s="61" t="s">
        <v>334</v>
      </c>
      <c r="C661" s="61" t="s">
        <v>125</v>
      </c>
      <c r="D661" s="61" t="s">
        <v>3288</v>
      </c>
      <c r="E661" s="119">
        <v>7.3886640000000003E-2</v>
      </c>
      <c r="F661" s="148" t="s">
        <v>135</v>
      </c>
      <c r="G661" s="148">
        <v>1</v>
      </c>
      <c r="H661" s="61" t="s">
        <v>39</v>
      </c>
      <c r="I661" s="61" t="s">
        <v>947</v>
      </c>
      <c r="J661" s="61" t="s">
        <v>919</v>
      </c>
      <c r="K661" s="61" t="s">
        <v>126</v>
      </c>
      <c r="L661" s="159"/>
      <c r="M661" s="169"/>
    </row>
    <row r="662" spans="1:13" x14ac:dyDescent="0.55000000000000004">
      <c r="A662" s="105" t="s">
        <v>3322</v>
      </c>
      <c r="B662" s="61" t="s">
        <v>153</v>
      </c>
      <c r="C662" s="61" t="s">
        <v>127</v>
      </c>
      <c r="D662" s="61" t="s">
        <v>2994</v>
      </c>
      <c r="E662" s="119">
        <v>0.87154251000000005</v>
      </c>
      <c r="F662" s="148" t="s">
        <v>138</v>
      </c>
      <c r="G662" s="148">
        <v>1</v>
      </c>
      <c r="H662" s="61" t="s">
        <v>39</v>
      </c>
      <c r="I662" s="61" t="s">
        <v>972</v>
      </c>
      <c r="J662" s="61" t="s">
        <v>919</v>
      </c>
      <c r="K662" s="61" t="s">
        <v>126</v>
      </c>
      <c r="L662" s="159"/>
      <c r="M662" s="169"/>
    </row>
    <row r="663" spans="1:13" x14ac:dyDescent="0.55000000000000004">
      <c r="A663" s="105" t="s">
        <v>3323</v>
      </c>
      <c r="B663" s="61" t="s">
        <v>948</v>
      </c>
      <c r="C663" s="61" t="s">
        <v>121</v>
      </c>
      <c r="D663" s="61" t="s">
        <v>3288</v>
      </c>
      <c r="E663" s="119">
        <v>1</v>
      </c>
      <c r="F663" s="148" t="s">
        <v>135</v>
      </c>
      <c r="G663" s="148">
        <v>1</v>
      </c>
      <c r="H663" s="61" t="s">
        <v>39</v>
      </c>
      <c r="I663" s="61"/>
      <c r="J663" s="61"/>
      <c r="K663" s="61"/>
      <c r="L663" s="159">
        <v>271114</v>
      </c>
      <c r="M663" s="169"/>
    </row>
    <row r="664" spans="1:13" x14ac:dyDescent="0.55000000000000004">
      <c r="A664" s="105" t="s">
        <v>3323</v>
      </c>
      <c r="B664" s="61" t="s">
        <v>706</v>
      </c>
      <c r="C664" s="61" t="s">
        <v>125</v>
      </c>
      <c r="D664" s="61" t="s">
        <v>3288</v>
      </c>
      <c r="E664" s="119">
        <v>1.25</v>
      </c>
      <c r="F664" s="148" t="s">
        <v>135</v>
      </c>
      <c r="G664" s="148">
        <v>1</v>
      </c>
      <c r="H664" s="61" t="s">
        <v>39</v>
      </c>
      <c r="I664" s="61" t="s">
        <v>981</v>
      </c>
      <c r="J664" s="61" t="s">
        <v>919</v>
      </c>
      <c r="K664" s="61" t="s">
        <v>126</v>
      </c>
      <c r="L664" s="159"/>
      <c r="M664" s="169"/>
    </row>
    <row r="665" spans="1:13" x14ac:dyDescent="0.55000000000000004">
      <c r="A665" s="105" t="s">
        <v>3323</v>
      </c>
      <c r="B665" s="61" t="s">
        <v>153</v>
      </c>
      <c r="C665" s="61" t="s">
        <v>125</v>
      </c>
      <c r="D665" s="61" t="s">
        <v>3288</v>
      </c>
      <c r="E665" s="119">
        <v>2.977374899</v>
      </c>
      <c r="F665" s="148" t="s">
        <v>135</v>
      </c>
      <c r="G665" s="148">
        <v>1</v>
      </c>
      <c r="H665" s="61" t="s">
        <v>39</v>
      </c>
      <c r="I665" s="61" t="s">
        <v>982</v>
      </c>
      <c r="J665" s="61" t="s">
        <v>919</v>
      </c>
      <c r="K665" s="61" t="s">
        <v>126</v>
      </c>
      <c r="L665" s="159"/>
      <c r="M665" s="169"/>
    </row>
    <row r="666" spans="1:13" x14ac:dyDescent="0.55000000000000004">
      <c r="A666" s="105" t="s">
        <v>3324</v>
      </c>
      <c r="B666" s="61" t="s">
        <v>948</v>
      </c>
      <c r="C666" s="61" t="s">
        <v>121</v>
      </c>
      <c r="D666" s="61" t="s">
        <v>3288</v>
      </c>
      <c r="E666" s="119">
        <v>1</v>
      </c>
      <c r="F666" s="148" t="s">
        <v>135</v>
      </c>
      <c r="G666" s="148">
        <v>1</v>
      </c>
      <c r="H666" s="61" t="s">
        <v>39</v>
      </c>
      <c r="I666" s="61"/>
      <c r="J666" s="61"/>
      <c r="K666" s="61"/>
      <c r="L666" s="159">
        <v>271114</v>
      </c>
      <c r="M666" s="169"/>
    </row>
    <row r="667" spans="1:13" x14ac:dyDescent="0.55000000000000004">
      <c r="A667" s="105" t="s">
        <v>3324</v>
      </c>
      <c r="B667" s="61" t="s">
        <v>706</v>
      </c>
      <c r="C667" s="61" t="s">
        <v>125</v>
      </c>
      <c r="D667" s="61" t="s">
        <v>3288</v>
      </c>
      <c r="E667" s="119">
        <v>1.25</v>
      </c>
      <c r="F667" s="148" t="s">
        <v>135</v>
      </c>
      <c r="G667" s="148">
        <v>1</v>
      </c>
      <c r="H667" s="61" t="s">
        <v>39</v>
      </c>
      <c r="I667" s="61"/>
      <c r="J667" s="61" t="s">
        <v>919</v>
      </c>
      <c r="K667" s="61" t="s">
        <v>126</v>
      </c>
      <c r="L667" s="159"/>
      <c r="M667" s="169"/>
    </row>
    <row r="668" spans="1:13" x14ac:dyDescent="0.55000000000000004">
      <c r="A668" s="105" t="s">
        <v>3324</v>
      </c>
      <c r="B668" s="61" t="s">
        <v>334</v>
      </c>
      <c r="C668" s="61" t="s">
        <v>125</v>
      </c>
      <c r="D668" s="61" t="s">
        <v>3288</v>
      </c>
      <c r="E668" s="119">
        <v>2.7091767999999999E-2</v>
      </c>
      <c r="F668" s="148" t="s">
        <v>135</v>
      </c>
      <c r="G668" s="148">
        <v>1</v>
      </c>
      <c r="H668" s="61" t="s">
        <v>39</v>
      </c>
      <c r="I668" s="61" t="s">
        <v>983</v>
      </c>
      <c r="J668" s="61" t="s">
        <v>919</v>
      </c>
      <c r="K668" s="61" t="s">
        <v>126</v>
      </c>
      <c r="L668" s="159"/>
      <c r="M668" s="169"/>
    </row>
    <row r="669" spans="1:13" x14ac:dyDescent="0.55000000000000004">
      <c r="A669" s="105" t="s">
        <v>3324</v>
      </c>
      <c r="B669" s="61" t="s">
        <v>153</v>
      </c>
      <c r="C669" s="61" t="s">
        <v>127</v>
      </c>
      <c r="D669" s="61" t="s">
        <v>2994</v>
      </c>
      <c r="E669" s="119">
        <v>0.2</v>
      </c>
      <c r="F669" s="148" t="s">
        <v>138</v>
      </c>
      <c r="G669" s="148">
        <v>1</v>
      </c>
      <c r="H669" s="61" t="s">
        <v>39</v>
      </c>
      <c r="I669" s="61"/>
      <c r="J669" s="61" t="s">
        <v>919</v>
      </c>
      <c r="K669" s="61" t="s">
        <v>126</v>
      </c>
      <c r="L669" s="159"/>
      <c r="M669" s="169"/>
    </row>
    <row r="670" spans="1:13" x14ac:dyDescent="0.55000000000000004">
      <c r="A670" s="105" t="s">
        <v>3325</v>
      </c>
      <c r="B670" s="61" t="s">
        <v>948</v>
      </c>
      <c r="C670" s="61" t="s">
        <v>121</v>
      </c>
      <c r="D670" s="61" t="s">
        <v>3288</v>
      </c>
      <c r="E670" s="119">
        <v>1</v>
      </c>
      <c r="F670" s="148" t="s">
        <v>135</v>
      </c>
      <c r="G670" s="148">
        <v>1</v>
      </c>
      <c r="H670" s="61" t="s">
        <v>39</v>
      </c>
      <c r="I670" s="61"/>
      <c r="J670" s="61"/>
      <c r="K670" s="61"/>
      <c r="L670" s="159">
        <v>271114</v>
      </c>
      <c r="M670" s="169"/>
    </row>
    <row r="671" spans="1:13" x14ac:dyDescent="0.55000000000000004">
      <c r="A671" s="105" t="s">
        <v>3325</v>
      </c>
      <c r="B671" s="61" t="s">
        <v>706</v>
      </c>
      <c r="C671" s="61" t="s">
        <v>125</v>
      </c>
      <c r="D671" s="61" t="s">
        <v>3288</v>
      </c>
      <c r="E671" s="119">
        <v>1.25</v>
      </c>
      <c r="F671" s="148" t="s">
        <v>135</v>
      </c>
      <c r="G671" s="148">
        <v>1</v>
      </c>
      <c r="H671" s="61" t="s">
        <v>39</v>
      </c>
      <c r="I671" s="61" t="s">
        <v>943</v>
      </c>
      <c r="J671" s="61" t="s">
        <v>919</v>
      </c>
      <c r="K671" s="61" t="s">
        <v>126</v>
      </c>
      <c r="L671" s="159"/>
      <c r="M671" s="169"/>
    </row>
    <row r="672" spans="1:13" x14ac:dyDescent="0.55000000000000004">
      <c r="A672" s="105" t="s">
        <v>3325</v>
      </c>
      <c r="B672" s="61" t="s">
        <v>171</v>
      </c>
      <c r="C672" s="61" t="s">
        <v>125</v>
      </c>
      <c r="D672" s="61" t="s">
        <v>3288</v>
      </c>
      <c r="E672" s="119">
        <v>13.7</v>
      </c>
      <c r="F672" s="148" t="s">
        <v>138</v>
      </c>
      <c r="G672" s="148">
        <v>1</v>
      </c>
      <c r="H672" s="61" t="s">
        <v>39</v>
      </c>
      <c r="I672" s="61" t="s">
        <v>944</v>
      </c>
      <c r="J672" s="61" t="s">
        <v>919</v>
      </c>
      <c r="K672" s="61" t="s">
        <v>126</v>
      </c>
      <c r="L672" s="159"/>
      <c r="M672" s="169"/>
    </row>
    <row r="673" spans="1:13" x14ac:dyDescent="0.55000000000000004">
      <c r="A673" s="105" t="s">
        <v>3325</v>
      </c>
      <c r="B673" s="61" t="s">
        <v>153</v>
      </c>
      <c r="C673" s="61" t="s">
        <v>127</v>
      </c>
      <c r="D673" s="61" t="s">
        <v>2994</v>
      </c>
      <c r="E673" s="119">
        <v>0.2</v>
      </c>
      <c r="F673" s="148" t="s">
        <v>138</v>
      </c>
      <c r="G673" s="148">
        <v>1</v>
      </c>
      <c r="H673" s="61" t="s">
        <v>39</v>
      </c>
      <c r="I673" s="61" t="s">
        <v>945</v>
      </c>
      <c r="J673" s="61" t="s">
        <v>919</v>
      </c>
      <c r="K673" s="61" t="s">
        <v>126</v>
      </c>
      <c r="L673" s="159"/>
      <c r="M673" s="169"/>
    </row>
    <row r="674" spans="1:13" x14ac:dyDescent="0.55000000000000004">
      <c r="A674" s="105" t="s">
        <v>3325</v>
      </c>
      <c r="B674" s="61" t="s">
        <v>160</v>
      </c>
      <c r="C674" s="61" t="s">
        <v>497</v>
      </c>
      <c r="D674" s="61" t="s">
        <v>3288</v>
      </c>
      <c r="E674" s="119">
        <v>0.91790000000000005</v>
      </c>
      <c r="F674" s="148" t="s">
        <v>135</v>
      </c>
      <c r="G674" s="148">
        <v>1</v>
      </c>
      <c r="H674" s="61" t="s">
        <v>39</v>
      </c>
      <c r="I674" s="61" t="s">
        <v>946</v>
      </c>
      <c r="J674" s="61" t="s">
        <v>924</v>
      </c>
      <c r="K674" s="61" t="s">
        <v>126</v>
      </c>
      <c r="L674" s="159"/>
      <c r="M674" s="169"/>
    </row>
    <row r="675" spans="1:13" x14ac:dyDescent="0.55000000000000004">
      <c r="A675" s="105" t="s">
        <v>3326</v>
      </c>
      <c r="B675" s="61" t="s">
        <v>948</v>
      </c>
      <c r="C675" s="61" t="s">
        <v>121</v>
      </c>
      <c r="D675" s="61" t="s">
        <v>3288</v>
      </c>
      <c r="E675" s="119">
        <v>1</v>
      </c>
      <c r="F675" s="148" t="s">
        <v>135</v>
      </c>
      <c r="G675" s="148">
        <v>1</v>
      </c>
      <c r="H675" s="61" t="s">
        <v>39</v>
      </c>
      <c r="I675" s="61"/>
      <c r="J675" s="61"/>
      <c r="K675" s="61"/>
      <c r="L675" s="159">
        <v>271114</v>
      </c>
      <c r="M675" s="169"/>
    </row>
    <row r="676" spans="1:13" x14ac:dyDescent="0.55000000000000004">
      <c r="A676" s="105" t="s">
        <v>3326</v>
      </c>
      <c r="B676" s="61" t="s">
        <v>706</v>
      </c>
      <c r="C676" s="61" t="s">
        <v>125</v>
      </c>
      <c r="D676" s="61" t="s">
        <v>3288</v>
      </c>
      <c r="E676" s="119">
        <v>1.25</v>
      </c>
      <c r="F676" s="148" t="s">
        <v>135</v>
      </c>
      <c r="G676" s="148">
        <v>1</v>
      </c>
      <c r="H676" s="61" t="s">
        <v>39</v>
      </c>
      <c r="I676" s="61" t="s">
        <v>976</v>
      </c>
      <c r="J676" s="61" t="s">
        <v>919</v>
      </c>
      <c r="K676" s="61" t="s">
        <v>126</v>
      </c>
      <c r="L676" s="159"/>
      <c r="M676" s="169"/>
    </row>
    <row r="677" spans="1:13" x14ac:dyDescent="0.55000000000000004">
      <c r="A677" s="105" t="s">
        <v>3326</v>
      </c>
      <c r="B677" s="61" t="s">
        <v>171</v>
      </c>
      <c r="C677" s="61" t="s">
        <v>127</v>
      </c>
      <c r="D677" s="61" t="s">
        <v>2994</v>
      </c>
      <c r="E677" s="119">
        <v>13.7</v>
      </c>
      <c r="F677" s="148" t="s">
        <v>138</v>
      </c>
      <c r="G677" s="148">
        <v>1</v>
      </c>
      <c r="H677" s="61" t="s">
        <v>39</v>
      </c>
      <c r="I677" s="61" t="s">
        <v>977</v>
      </c>
      <c r="J677" s="61" t="s">
        <v>919</v>
      </c>
      <c r="K677" s="61" t="s">
        <v>126</v>
      </c>
      <c r="L677" s="159"/>
      <c r="M677" s="169"/>
    </row>
    <row r="678" spans="1:13" x14ac:dyDescent="0.55000000000000004">
      <c r="A678" s="105" t="s">
        <v>3326</v>
      </c>
      <c r="B678" s="61" t="s">
        <v>153</v>
      </c>
      <c r="C678" s="61" t="s">
        <v>127</v>
      </c>
      <c r="D678" s="61" t="s">
        <v>2994</v>
      </c>
      <c r="E678" s="119">
        <v>0.2</v>
      </c>
      <c r="F678" s="148" t="s">
        <v>138</v>
      </c>
      <c r="G678" s="148">
        <v>1</v>
      </c>
      <c r="H678" s="61" t="s">
        <v>39</v>
      </c>
      <c r="I678" s="61" t="s">
        <v>978</v>
      </c>
      <c r="J678" s="61" t="s">
        <v>919</v>
      </c>
      <c r="K678" s="61" t="s">
        <v>126</v>
      </c>
      <c r="L678" s="159"/>
      <c r="M678" s="169"/>
    </row>
    <row r="679" spans="1:13" x14ac:dyDescent="0.55000000000000004">
      <c r="A679" s="105" t="s">
        <v>3326</v>
      </c>
      <c r="B679" s="61" t="s">
        <v>153</v>
      </c>
      <c r="C679" s="61" t="s">
        <v>127</v>
      </c>
      <c r="D679" s="61" t="s">
        <v>2994</v>
      </c>
      <c r="E679" s="119">
        <v>1.363190283</v>
      </c>
      <c r="F679" s="148" t="s">
        <v>138</v>
      </c>
      <c r="G679" s="148">
        <v>1</v>
      </c>
      <c r="H679" s="61" t="s">
        <v>39</v>
      </c>
      <c r="I679" s="61" t="s">
        <v>979</v>
      </c>
      <c r="J679" s="61" t="s">
        <v>919</v>
      </c>
      <c r="K679" s="61" t="s">
        <v>126</v>
      </c>
      <c r="L679" s="159"/>
      <c r="M679" s="169"/>
    </row>
    <row r="680" spans="1:13" x14ac:dyDescent="0.55000000000000004">
      <c r="A680" s="105" t="s">
        <v>3326</v>
      </c>
      <c r="B680" s="61" t="s">
        <v>153</v>
      </c>
      <c r="C680" s="61" t="s">
        <v>127</v>
      </c>
      <c r="D680" s="61" t="s">
        <v>2994</v>
      </c>
      <c r="E680" s="119">
        <v>1.563190283</v>
      </c>
      <c r="F680" s="148" t="s">
        <v>138</v>
      </c>
      <c r="G680" s="148">
        <v>1</v>
      </c>
      <c r="H680" s="61" t="s">
        <v>39</v>
      </c>
      <c r="I680" s="61" t="s">
        <v>980</v>
      </c>
      <c r="J680" s="61" t="s">
        <v>919</v>
      </c>
      <c r="K680" s="61" t="s">
        <v>126</v>
      </c>
      <c r="L680" s="159"/>
      <c r="M680" s="169"/>
    </row>
    <row r="681" spans="1:13" x14ac:dyDescent="0.55000000000000004">
      <c r="A681" s="105" t="s">
        <v>3326</v>
      </c>
      <c r="B681" s="61" t="s">
        <v>160</v>
      </c>
      <c r="C681" s="61" t="s">
        <v>497</v>
      </c>
      <c r="D681" s="61" t="s">
        <v>3288</v>
      </c>
      <c r="E681" s="119">
        <v>4.5894999999999998E-2</v>
      </c>
      <c r="F681" s="148" t="s">
        <v>135</v>
      </c>
      <c r="G681" s="148">
        <v>1</v>
      </c>
      <c r="H681" s="61" t="s">
        <v>39</v>
      </c>
      <c r="I681" s="61" t="s">
        <v>946</v>
      </c>
      <c r="J681" s="61" t="s">
        <v>924</v>
      </c>
      <c r="K681" s="61" t="s">
        <v>126</v>
      </c>
      <c r="L681" s="159"/>
      <c r="M681" s="169"/>
    </row>
    <row r="682" spans="1:13" x14ac:dyDescent="0.55000000000000004">
      <c r="A682" s="105" t="s">
        <v>3327</v>
      </c>
      <c r="B682" s="61" t="s">
        <v>948</v>
      </c>
      <c r="C682" s="61" t="s">
        <v>121</v>
      </c>
      <c r="D682" s="61" t="s">
        <v>3288</v>
      </c>
      <c r="E682" s="119">
        <v>1</v>
      </c>
      <c r="F682" s="148" t="s">
        <v>135</v>
      </c>
      <c r="G682" s="148">
        <v>1</v>
      </c>
      <c r="H682" s="61" t="s">
        <v>39</v>
      </c>
      <c r="I682" s="61"/>
      <c r="J682" s="61"/>
      <c r="K682" s="61"/>
      <c r="L682" s="159">
        <v>271114</v>
      </c>
      <c r="M682" s="169"/>
    </row>
    <row r="683" spans="1:13" x14ac:dyDescent="0.55000000000000004">
      <c r="A683" s="105" t="s">
        <v>3327</v>
      </c>
      <c r="B683" s="61" t="s">
        <v>929</v>
      </c>
      <c r="C683" s="61" t="s">
        <v>125</v>
      </c>
      <c r="D683" s="61" t="s">
        <v>3288</v>
      </c>
      <c r="E683" s="119">
        <v>2.56</v>
      </c>
      <c r="F683" s="148" t="s">
        <v>135</v>
      </c>
      <c r="G683" s="148">
        <v>1</v>
      </c>
      <c r="H683" s="61" t="s">
        <v>39</v>
      </c>
      <c r="I683" s="61" t="s">
        <v>973</v>
      </c>
      <c r="J683" s="61" t="s">
        <v>919</v>
      </c>
      <c r="K683" s="61" t="s">
        <v>126</v>
      </c>
      <c r="L683" s="159"/>
      <c r="M683" s="169"/>
    </row>
    <row r="684" spans="1:13" x14ac:dyDescent="0.55000000000000004">
      <c r="A684" s="105" t="s">
        <v>3327</v>
      </c>
      <c r="B684" s="61" t="s">
        <v>153</v>
      </c>
      <c r="C684" s="61" t="s">
        <v>127</v>
      </c>
      <c r="D684" s="61" t="s">
        <v>2994</v>
      </c>
      <c r="E684" s="119">
        <v>5</v>
      </c>
      <c r="F684" s="148" t="s">
        <v>138</v>
      </c>
      <c r="G684" s="148">
        <v>1</v>
      </c>
      <c r="H684" s="61" t="s">
        <v>39</v>
      </c>
      <c r="I684" s="61" t="s">
        <v>974</v>
      </c>
      <c r="J684" s="61" t="s">
        <v>919</v>
      </c>
      <c r="K684" s="61" t="s">
        <v>126</v>
      </c>
      <c r="L684" s="159"/>
      <c r="M684" s="169"/>
    </row>
    <row r="685" spans="1:13" x14ac:dyDescent="0.55000000000000004">
      <c r="A685" s="105" t="s">
        <v>3328</v>
      </c>
      <c r="B685" s="61" t="s">
        <v>948</v>
      </c>
      <c r="C685" s="61" t="s">
        <v>121</v>
      </c>
      <c r="D685" s="61" t="s">
        <v>3288</v>
      </c>
      <c r="E685" s="119">
        <v>1</v>
      </c>
      <c r="F685" s="148" t="s">
        <v>135</v>
      </c>
      <c r="G685" s="148">
        <v>1</v>
      </c>
      <c r="H685" s="61" t="s">
        <v>39</v>
      </c>
      <c r="I685" s="61"/>
      <c r="J685" s="61"/>
      <c r="K685" s="61"/>
      <c r="L685" s="159">
        <v>271114</v>
      </c>
      <c r="M685" s="169"/>
    </row>
    <row r="686" spans="1:13" x14ac:dyDescent="0.55000000000000004">
      <c r="A686" s="105" t="s">
        <v>3328</v>
      </c>
      <c r="B686" s="61" t="s">
        <v>928</v>
      </c>
      <c r="C686" s="61" t="s">
        <v>125</v>
      </c>
      <c r="D686" s="61" t="s">
        <v>3288</v>
      </c>
      <c r="E686" s="119">
        <v>2.56</v>
      </c>
      <c r="F686" s="148" t="s">
        <v>135</v>
      </c>
      <c r="G686" s="148">
        <v>1</v>
      </c>
      <c r="H686" s="61" t="s">
        <v>39</v>
      </c>
      <c r="I686" s="61" t="s">
        <v>975</v>
      </c>
      <c r="J686" s="61" t="s">
        <v>919</v>
      </c>
      <c r="K686" s="61" t="s">
        <v>126</v>
      </c>
      <c r="L686" s="159"/>
      <c r="M686" s="169"/>
    </row>
    <row r="687" spans="1:13" x14ac:dyDescent="0.55000000000000004">
      <c r="A687" s="105" t="s">
        <v>3328</v>
      </c>
      <c r="B687" s="61" t="s">
        <v>153</v>
      </c>
      <c r="C687" s="61" t="s">
        <v>127</v>
      </c>
      <c r="D687" s="61" t="s">
        <v>2994</v>
      </c>
      <c r="E687" s="119">
        <v>5</v>
      </c>
      <c r="F687" s="148" t="s">
        <v>138</v>
      </c>
      <c r="G687" s="148">
        <v>1</v>
      </c>
      <c r="H687" s="61" t="s">
        <v>39</v>
      </c>
      <c r="I687" s="61" t="s">
        <v>975</v>
      </c>
      <c r="J687" s="61" t="s">
        <v>919</v>
      </c>
      <c r="K687" s="61" t="s">
        <v>126</v>
      </c>
      <c r="L687" s="159"/>
      <c r="M687" s="169"/>
    </row>
    <row r="688" spans="1:13" x14ac:dyDescent="0.55000000000000004">
      <c r="A688" s="105" t="s">
        <v>3329</v>
      </c>
      <c r="B688" s="61" t="s">
        <v>948</v>
      </c>
      <c r="C688" s="61" t="s">
        <v>121</v>
      </c>
      <c r="D688" s="61" t="s">
        <v>3288</v>
      </c>
      <c r="E688" s="119">
        <v>1</v>
      </c>
      <c r="F688" s="148" t="s">
        <v>135</v>
      </c>
      <c r="G688" s="148">
        <v>1</v>
      </c>
      <c r="H688" s="61" t="s">
        <v>39</v>
      </c>
      <c r="I688" s="61"/>
      <c r="J688" s="61"/>
      <c r="K688" s="61"/>
      <c r="L688" s="159">
        <v>271114</v>
      </c>
      <c r="M688" s="169"/>
    </row>
    <row r="689" spans="1:13" x14ac:dyDescent="0.55000000000000004">
      <c r="A689" s="105" t="s">
        <v>3329</v>
      </c>
      <c r="B689" s="61" t="s">
        <v>625</v>
      </c>
      <c r="C689" s="61" t="s">
        <v>125</v>
      </c>
      <c r="D689" s="61" t="s">
        <v>3288</v>
      </c>
      <c r="E689" s="119">
        <v>0.98744939300000001</v>
      </c>
      <c r="F689" s="148" t="s">
        <v>135</v>
      </c>
      <c r="G689" s="148">
        <v>1</v>
      </c>
      <c r="H689" s="61" t="s">
        <v>39</v>
      </c>
      <c r="I689" s="61" t="s">
        <v>947</v>
      </c>
      <c r="J689" s="61" t="s">
        <v>919</v>
      </c>
      <c r="K689" s="61" t="s">
        <v>126</v>
      </c>
      <c r="L689" s="159"/>
      <c r="M689" s="169"/>
    </row>
    <row r="690" spans="1:13" x14ac:dyDescent="0.55000000000000004">
      <c r="A690" s="105" t="s">
        <v>3329</v>
      </c>
      <c r="B690" s="61" t="s">
        <v>706</v>
      </c>
      <c r="C690" s="61" t="s">
        <v>125</v>
      </c>
      <c r="D690" s="61" t="s">
        <v>3288</v>
      </c>
      <c r="E690" s="119">
        <v>0</v>
      </c>
      <c r="F690" s="148" t="s">
        <v>135</v>
      </c>
      <c r="G690" s="148">
        <v>1</v>
      </c>
      <c r="H690" s="61" t="s">
        <v>39</v>
      </c>
      <c r="I690" s="61" t="s">
        <v>947</v>
      </c>
      <c r="J690" s="61" t="s">
        <v>919</v>
      </c>
      <c r="K690" s="61" t="s">
        <v>126</v>
      </c>
      <c r="L690" s="159"/>
      <c r="M690" s="169"/>
    </row>
    <row r="691" spans="1:13" x14ac:dyDescent="0.55000000000000004">
      <c r="A691" s="105" t="s">
        <v>3329</v>
      </c>
      <c r="B691" s="61" t="s">
        <v>925</v>
      </c>
      <c r="C691" s="61" t="s">
        <v>125</v>
      </c>
      <c r="D691" s="61" t="s">
        <v>3288</v>
      </c>
      <c r="E691" s="119">
        <v>2.4696355999999999E-2</v>
      </c>
      <c r="F691" s="148" t="s">
        <v>135</v>
      </c>
      <c r="G691" s="148">
        <v>1</v>
      </c>
      <c r="H691" s="61" t="s">
        <v>39</v>
      </c>
      <c r="I691" s="61" t="s">
        <v>947</v>
      </c>
      <c r="J691" s="61" t="s">
        <v>919</v>
      </c>
      <c r="K691" s="61" t="s">
        <v>126</v>
      </c>
      <c r="L691" s="159"/>
      <c r="M691" s="169"/>
    </row>
    <row r="692" spans="1:13" x14ac:dyDescent="0.55000000000000004">
      <c r="A692" s="105" t="s">
        <v>3329</v>
      </c>
      <c r="B692" s="61" t="s">
        <v>153</v>
      </c>
      <c r="C692" s="61" t="s">
        <v>127</v>
      </c>
      <c r="D692" s="61" t="s">
        <v>2994</v>
      </c>
      <c r="E692" s="119">
        <v>8.1201133599999995</v>
      </c>
      <c r="F692" s="148" t="s">
        <v>138</v>
      </c>
      <c r="G692" s="148">
        <v>1</v>
      </c>
      <c r="H692" s="61" t="s">
        <v>39</v>
      </c>
      <c r="I692" s="61" t="s">
        <v>952</v>
      </c>
      <c r="J692" s="61" t="s">
        <v>919</v>
      </c>
      <c r="K692" s="61" t="s">
        <v>126</v>
      </c>
      <c r="L692" s="159"/>
      <c r="M692" s="169"/>
    </row>
    <row r="693" spans="1:13" x14ac:dyDescent="0.55000000000000004">
      <c r="A693" s="105" t="s">
        <v>3330</v>
      </c>
      <c r="B693" s="61" t="s">
        <v>948</v>
      </c>
      <c r="C693" s="61" t="s">
        <v>121</v>
      </c>
      <c r="D693" s="61" t="s">
        <v>3288</v>
      </c>
      <c r="E693" s="119">
        <v>1</v>
      </c>
      <c r="F693" s="148" t="s">
        <v>135</v>
      </c>
      <c r="G693" s="148">
        <v>1</v>
      </c>
      <c r="H693" s="61" t="s">
        <v>39</v>
      </c>
      <c r="I693" s="61"/>
      <c r="J693" s="61"/>
      <c r="K693" s="61"/>
      <c r="L693" s="159">
        <v>271114</v>
      </c>
      <c r="M693" s="169"/>
    </row>
    <row r="694" spans="1:13" x14ac:dyDescent="0.55000000000000004">
      <c r="A694" s="105" t="s">
        <v>3330</v>
      </c>
      <c r="B694" s="61" t="s">
        <v>625</v>
      </c>
      <c r="C694" s="61" t="s">
        <v>125</v>
      </c>
      <c r="D694" s="61" t="s">
        <v>3288</v>
      </c>
      <c r="E694" s="119">
        <v>0.84939271299999997</v>
      </c>
      <c r="F694" s="148" t="s">
        <v>135</v>
      </c>
      <c r="G694" s="148">
        <v>1</v>
      </c>
      <c r="H694" s="61" t="s">
        <v>39</v>
      </c>
      <c r="I694" s="61" t="s">
        <v>947</v>
      </c>
      <c r="J694" s="61" t="s">
        <v>919</v>
      </c>
      <c r="K694" s="61" t="s">
        <v>126</v>
      </c>
      <c r="L694" s="159"/>
      <c r="M694" s="169"/>
    </row>
    <row r="695" spans="1:13" x14ac:dyDescent="0.55000000000000004">
      <c r="A695" s="105" t="s">
        <v>3330</v>
      </c>
      <c r="B695" s="61" t="s">
        <v>706</v>
      </c>
      <c r="C695" s="61" t="s">
        <v>125</v>
      </c>
      <c r="D695" s="61" t="s">
        <v>3288</v>
      </c>
      <c r="E695" s="119">
        <v>0</v>
      </c>
      <c r="F695" s="148" t="s">
        <v>135</v>
      </c>
      <c r="G695" s="148">
        <v>1</v>
      </c>
      <c r="H695" s="61" t="s">
        <v>39</v>
      </c>
      <c r="I695" s="61" t="s">
        <v>947</v>
      </c>
      <c r="J695" s="61" t="s">
        <v>919</v>
      </c>
      <c r="K695" s="61" t="s">
        <v>126</v>
      </c>
      <c r="L695" s="159"/>
      <c r="M695" s="169"/>
    </row>
    <row r="696" spans="1:13" x14ac:dyDescent="0.55000000000000004">
      <c r="A696" s="105" t="s">
        <v>3330</v>
      </c>
      <c r="B696" s="61" t="s">
        <v>925</v>
      </c>
      <c r="C696" s="61" t="s">
        <v>125</v>
      </c>
      <c r="D696" s="61" t="s">
        <v>3288</v>
      </c>
      <c r="E696" s="119">
        <v>2.1052632000000002E-2</v>
      </c>
      <c r="F696" s="148" t="s">
        <v>135</v>
      </c>
      <c r="G696" s="148">
        <v>1</v>
      </c>
      <c r="H696" s="61" t="s">
        <v>39</v>
      </c>
      <c r="I696" s="61" t="s">
        <v>947</v>
      </c>
      <c r="J696" s="61" t="s">
        <v>919</v>
      </c>
      <c r="K696" s="61" t="s">
        <v>126</v>
      </c>
      <c r="L696" s="159"/>
      <c r="M696" s="169"/>
    </row>
    <row r="697" spans="1:13" x14ac:dyDescent="0.55000000000000004">
      <c r="A697" s="105" t="s">
        <v>3330</v>
      </c>
      <c r="B697" s="61" t="s">
        <v>213</v>
      </c>
      <c r="C697" s="61" t="s">
        <v>125</v>
      </c>
      <c r="D697" s="61" t="s">
        <v>3288</v>
      </c>
      <c r="E697" s="119">
        <v>6.4777327999999995E-2</v>
      </c>
      <c r="F697" s="148" t="s">
        <v>135</v>
      </c>
      <c r="G697" s="148">
        <v>1</v>
      </c>
      <c r="H697" s="61" t="s">
        <v>39</v>
      </c>
      <c r="I697" s="61" t="s">
        <v>947</v>
      </c>
      <c r="J697" s="61" t="s">
        <v>919</v>
      </c>
      <c r="K697" s="61" t="s">
        <v>126</v>
      </c>
      <c r="L697" s="159"/>
      <c r="M697" s="169"/>
    </row>
    <row r="698" spans="1:13" x14ac:dyDescent="0.55000000000000004">
      <c r="A698" s="105" t="s">
        <v>3330</v>
      </c>
      <c r="B698" s="61" t="s">
        <v>153</v>
      </c>
      <c r="C698" s="61" t="s">
        <v>127</v>
      </c>
      <c r="D698" s="61" t="s">
        <v>2994</v>
      </c>
      <c r="E698" s="119">
        <v>8.1201133599999995</v>
      </c>
      <c r="F698" s="148" t="s">
        <v>138</v>
      </c>
      <c r="G698" s="148">
        <v>1</v>
      </c>
      <c r="H698" s="61" t="s">
        <v>39</v>
      </c>
      <c r="I698" s="61" t="s">
        <v>953</v>
      </c>
      <c r="J698" s="61" t="s">
        <v>919</v>
      </c>
      <c r="K698" s="61" t="s">
        <v>126</v>
      </c>
      <c r="L698" s="159"/>
      <c r="M698" s="169"/>
    </row>
    <row r="699" spans="1:13" x14ac:dyDescent="0.55000000000000004">
      <c r="A699" s="105" t="s">
        <v>3330</v>
      </c>
      <c r="B699" s="61" t="s">
        <v>153</v>
      </c>
      <c r="C699" s="61" t="s">
        <v>127</v>
      </c>
      <c r="D699" s="61" t="s">
        <v>2994</v>
      </c>
      <c r="E699" s="119">
        <v>1.5591093119999999</v>
      </c>
      <c r="F699" s="148" t="s">
        <v>138</v>
      </c>
      <c r="G699" s="148">
        <v>1</v>
      </c>
      <c r="H699" s="61" t="s">
        <v>39</v>
      </c>
      <c r="I699" s="61"/>
      <c r="J699" s="61" t="s">
        <v>919</v>
      </c>
      <c r="K699" s="61" t="s">
        <v>126</v>
      </c>
      <c r="L699" s="159"/>
      <c r="M699" s="169"/>
    </row>
    <row r="700" spans="1:13" x14ac:dyDescent="0.55000000000000004">
      <c r="A700" s="105" t="s">
        <v>3330</v>
      </c>
      <c r="B700" s="61" t="s">
        <v>153</v>
      </c>
      <c r="C700" s="61" t="s">
        <v>127</v>
      </c>
      <c r="D700" s="61" t="s">
        <v>2994</v>
      </c>
      <c r="E700" s="119">
        <v>9.6792226719999999</v>
      </c>
      <c r="F700" s="148" t="s">
        <v>138</v>
      </c>
      <c r="G700" s="148">
        <v>1</v>
      </c>
      <c r="H700" s="61" t="s">
        <v>39</v>
      </c>
      <c r="I700" s="61"/>
      <c r="J700" s="61" t="s">
        <v>919</v>
      </c>
      <c r="K700" s="61" t="s">
        <v>126</v>
      </c>
      <c r="L700" s="159"/>
      <c r="M700" s="169"/>
    </row>
    <row r="701" spans="1:13" x14ac:dyDescent="0.55000000000000004">
      <c r="A701" s="105" t="s">
        <v>3330</v>
      </c>
      <c r="B701" s="61" t="s">
        <v>334</v>
      </c>
      <c r="C701" s="61" t="s">
        <v>125</v>
      </c>
      <c r="D701" s="61" t="s">
        <v>3288</v>
      </c>
      <c r="E701" s="119">
        <v>1.9190282999999999E-2</v>
      </c>
      <c r="F701" s="148" t="s">
        <v>135</v>
      </c>
      <c r="G701" s="148">
        <v>1</v>
      </c>
      <c r="H701" s="61" t="s">
        <v>39</v>
      </c>
      <c r="I701" s="61" t="s">
        <v>954</v>
      </c>
      <c r="J701" s="61" t="s">
        <v>919</v>
      </c>
      <c r="K701" s="61" t="s">
        <v>126</v>
      </c>
      <c r="L701" s="159"/>
      <c r="M701" s="169"/>
    </row>
    <row r="702" spans="1:13" x14ac:dyDescent="0.55000000000000004">
      <c r="A702" s="105" t="s">
        <v>3331</v>
      </c>
      <c r="B702" s="61" t="s">
        <v>948</v>
      </c>
      <c r="C702" s="61" t="s">
        <v>121</v>
      </c>
      <c r="D702" s="61" t="s">
        <v>3288</v>
      </c>
      <c r="E702" s="119">
        <v>1</v>
      </c>
      <c r="F702" s="148" t="s">
        <v>135</v>
      </c>
      <c r="G702" s="148">
        <v>1</v>
      </c>
      <c r="H702" s="61" t="s">
        <v>39</v>
      </c>
      <c r="I702" s="61"/>
      <c r="J702" s="61"/>
      <c r="K702" s="61"/>
      <c r="L702" s="159">
        <v>271114</v>
      </c>
      <c r="M702" s="169"/>
    </row>
    <row r="703" spans="1:13" x14ac:dyDescent="0.55000000000000004">
      <c r="A703" s="105" t="s">
        <v>3331</v>
      </c>
      <c r="B703" s="61" t="s">
        <v>625</v>
      </c>
      <c r="C703" s="61" t="s">
        <v>125</v>
      </c>
      <c r="D703" s="61" t="s">
        <v>3288</v>
      </c>
      <c r="E703" s="119">
        <v>0.98744939300000001</v>
      </c>
      <c r="F703" s="148" t="s">
        <v>135</v>
      </c>
      <c r="G703" s="148">
        <v>1</v>
      </c>
      <c r="H703" s="61" t="s">
        <v>39</v>
      </c>
      <c r="I703" s="61" t="s">
        <v>947</v>
      </c>
      <c r="J703" s="61" t="s">
        <v>919</v>
      </c>
      <c r="K703" s="61" t="s">
        <v>126</v>
      </c>
      <c r="L703" s="159"/>
      <c r="M703" s="169"/>
    </row>
    <row r="704" spans="1:13" x14ac:dyDescent="0.55000000000000004">
      <c r="A704" s="105" t="s">
        <v>3331</v>
      </c>
      <c r="B704" s="61" t="s">
        <v>706</v>
      </c>
      <c r="C704" s="61" t="s">
        <v>125</v>
      </c>
      <c r="D704" s="61" t="s">
        <v>3288</v>
      </c>
      <c r="E704" s="119">
        <v>0</v>
      </c>
      <c r="F704" s="148" t="s">
        <v>135</v>
      </c>
      <c r="G704" s="148">
        <v>1</v>
      </c>
      <c r="H704" s="61" t="s">
        <v>39</v>
      </c>
      <c r="I704" s="61" t="s">
        <v>947</v>
      </c>
      <c r="J704" s="61" t="s">
        <v>919</v>
      </c>
      <c r="K704" s="61" t="s">
        <v>126</v>
      </c>
      <c r="L704" s="159"/>
      <c r="M704" s="169"/>
    </row>
    <row r="705" spans="1:13" x14ac:dyDescent="0.55000000000000004">
      <c r="A705" s="105" t="s">
        <v>3331</v>
      </c>
      <c r="B705" s="61" t="s">
        <v>925</v>
      </c>
      <c r="C705" s="61" t="s">
        <v>125</v>
      </c>
      <c r="D705" s="61" t="s">
        <v>3288</v>
      </c>
      <c r="E705" s="119">
        <v>2.4696355999999999E-2</v>
      </c>
      <c r="F705" s="148" t="s">
        <v>135</v>
      </c>
      <c r="G705" s="148">
        <v>1</v>
      </c>
      <c r="H705" s="61" t="s">
        <v>39</v>
      </c>
      <c r="I705" s="61" t="s">
        <v>947</v>
      </c>
      <c r="J705" s="61" t="s">
        <v>919</v>
      </c>
      <c r="K705" s="61" t="s">
        <v>126</v>
      </c>
      <c r="L705" s="159"/>
      <c r="M705" s="169"/>
    </row>
    <row r="706" spans="1:13" x14ac:dyDescent="0.55000000000000004">
      <c r="A706" s="105" t="s">
        <v>3331</v>
      </c>
      <c r="B706" s="61" t="s">
        <v>334</v>
      </c>
      <c r="C706" s="61" t="s">
        <v>125</v>
      </c>
      <c r="D706" s="61" t="s">
        <v>3288</v>
      </c>
      <c r="E706" s="119">
        <v>7.3886640000000003E-2</v>
      </c>
      <c r="F706" s="148" t="s">
        <v>135</v>
      </c>
      <c r="G706" s="148">
        <v>1</v>
      </c>
      <c r="H706" s="61" t="s">
        <v>39</v>
      </c>
      <c r="I706" s="61" t="s">
        <v>947</v>
      </c>
      <c r="J706" s="61" t="s">
        <v>919</v>
      </c>
      <c r="K706" s="61" t="s">
        <v>126</v>
      </c>
      <c r="L706" s="159"/>
      <c r="M706" s="169"/>
    </row>
    <row r="707" spans="1:13" x14ac:dyDescent="0.55000000000000004">
      <c r="A707" s="105" t="s">
        <v>3331</v>
      </c>
      <c r="B707" s="61" t="s">
        <v>153</v>
      </c>
      <c r="C707" s="61" t="s">
        <v>127</v>
      </c>
      <c r="D707" s="61" t="s">
        <v>2994</v>
      </c>
      <c r="E707" s="119">
        <v>1.0253441299999999</v>
      </c>
      <c r="F707" s="148" t="s">
        <v>138</v>
      </c>
      <c r="G707" s="148">
        <v>1</v>
      </c>
      <c r="H707" s="61" t="s">
        <v>39</v>
      </c>
      <c r="I707" s="61" t="s">
        <v>947</v>
      </c>
      <c r="J707" s="61" t="s">
        <v>919</v>
      </c>
      <c r="K707" s="61" t="s">
        <v>126</v>
      </c>
      <c r="L707" s="159"/>
      <c r="M707" s="169"/>
    </row>
    <row r="708" spans="1:13" x14ac:dyDescent="0.55000000000000004">
      <c r="A708" s="105" t="s">
        <v>3332</v>
      </c>
      <c r="B708" s="61" t="s">
        <v>948</v>
      </c>
      <c r="C708" s="61" t="s">
        <v>121</v>
      </c>
      <c r="D708" s="61" t="s">
        <v>3288</v>
      </c>
      <c r="E708" s="119">
        <v>1</v>
      </c>
      <c r="F708" s="148" t="s">
        <v>135</v>
      </c>
      <c r="G708" s="148">
        <v>1</v>
      </c>
      <c r="H708" s="61" t="s">
        <v>39</v>
      </c>
      <c r="I708" s="61"/>
      <c r="J708" s="61"/>
      <c r="K708" s="61"/>
      <c r="L708" s="159">
        <v>271114</v>
      </c>
      <c r="M708" s="169"/>
    </row>
    <row r="709" spans="1:13" x14ac:dyDescent="0.55000000000000004">
      <c r="A709" s="105" t="s">
        <v>3332</v>
      </c>
      <c r="B709" s="61" t="s">
        <v>625</v>
      </c>
      <c r="C709" s="61" t="s">
        <v>125</v>
      </c>
      <c r="D709" s="61" t="s">
        <v>3288</v>
      </c>
      <c r="E709" s="119">
        <v>0.84939271299999997</v>
      </c>
      <c r="F709" s="148" t="s">
        <v>135</v>
      </c>
      <c r="G709" s="148">
        <v>1</v>
      </c>
      <c r="H709" s="61" t="s">
        <v>39</v>
      </c>
      <c r="I709" s="61" t="s">
        <v>947</v>
      </c>
      <c r="J709" s="61" t="s">
        <v>919</v>
      </c>
      <c r="K709" s="61" t="s">
        <v>126</v>
      </c>
      <c r="L709" s="159"/>
      <c r="M709" s="169"/>
    </row>
    <row r="710" spans="1:13" x14ac:dyDescent="0.55000000000000004">
      <c r="A710" s="105" t="s">
        <v>3332</v>
      </c>
      <c r="B710" s="61" t="s">
        <v>706</v>
      </c>
      <c r="C710" s="61" t="s">
        <v>125</v>
      </c>
      <c r="D710" s="61" t="s">
        <v>3288</v>
      </c>
      <c r="E710" s="119">
        <v>0</v>
      </c>
      <c r="F710" s="148" t="s">
        <v>135</v>
      </c>
      <c r="G710" s="148">
        <v>1</v>
      </c>
      <c r="H710" s="61" t="s">
        <v>39</v>
      </c>
      <c r="I710" s="61" t="s">
        <v>947</v>
      </c>
      <c r="J710" s="61" t="s">
        <v>919</v>
      </c>
      <c r="K710" s="61" t="s">
        <v>126</v>
      </c>
      <c r="L710" s="159"/>
      <c r="M710" s="169"/>
    </row>
    <row r="711" spans="1:13" x14ac:dyDescent="0.55000000000000004">
      <c r="A711" s="105" t="s">
        <v>3332</v>
      </c>
      <c r="B711" s="61" t="s">
        <v>925</v>
      </c>
      <c r="C711" s="61" t="s">
        <v>125</v>
      </c>
      <c r="D711" s="61" t="s">
        <v>3288</v>
      </c>
      <c r="E711" s="119">
        <v>2.1052632000000002E-2</v>
      </c>
      <c r="F711" s="148" t="s">
        <v>135</v>
      </c>
      <c r="G711" s="148">
        <v>1</v>
      </c>
      <c r="H711" s="61" t="s">
        <v>39</v>
      </c>
      <c r="I711" s="61" t="s">
        <v>947</v>
      </c>
      <c r="J711" s="61" t="s">
        <v>919</v>
      </c>
      <c r="K711" s="61" t="s">
        <v>126</v>
      </c>
      <c r="L711" s="159"/>
      <c r="M711" s="169"/>
    </row>
    <row r="712" spans="1:13" x14ac:dyDescent="0.55000000000000004">
      <c r="A712" s="105" t="s">
        <v>3332</v>
      </c>
      <c r="B712" s="61" t="s">
        <v>213</v>
      </c>
      <c r="C712" s="61" t="s">
        <v>125</v>
      </c>
      <c r="D712" s="61" t="s">
        <v>3288</v>
      </c>
      <c r="E712" s="119">
        <v>6.4736842000000003E-2</v>
      </c>
      <c r="F712" s="148" t="s">
        <v>135</v>
      </c>
      <c r="G712" s="148">
        <v>1</v>
      </c>
      <c r="H712" s="61" t="s">
        <v>39</v>
      </c>
      <c r="I712" s="61" t="s">
        <v>947</v>
      </c>
      <c r="J712" s="61" t="s">
        <v>919</v>
      </c>
      <c r="K712" s="61" t="s">
        <v>126</v>
      </c>
      <c r="L712" s="159"/>
      <c r="M712" s="169"/>
    </row>
    <row r="713" spans="1:13" x14ac:dyDescent="0.55000000000000004">
      <c r="A713" s="105" t="s">
        <v>3332</v>
      </c>
      <c r="B713" s="61" t="s">
        <v>334</v>
      </c>
      <c r="C713" s="61" t="s">
        <v>125</v>
      </c>
      <c r="D713" s="61" t="s">
        <v>3288</v>
      </c>
      <c r="E713" s="119">
        <v>6.4736842000000003E-2</v>
      </c>
      <c r="F713" s="148" t="s">
        <v>135</v>
      </c>
      <c r="G713" s="148">
        <v>1</v>
      </c>
      <c r="H713" s="61" t="s">
        <v>39</v>
      </c>
      <c r="I713" s="61" t="s">
        <v>947</v>
      </c>
      <c r="J713" s="61" t="s">
        <v>919</v>
      </c>
      <c r="K713" s="61" t="s">
        <v>126</v>
      </c>
      <c r="L713" s="159"/>
      <c r="M713" s="169"/>
    </row>
    <row r="714" spans="1:13" x14ac:dyDescent="0.55000000000000004">
      <c r="A714" s="105" t="s">
        <v>3332</v>
      </c>
      <c r="B714" s="61" t="s">
        <v>153</v>
      </c>
      <c r="C714" s="61" t="s">
        <v>127</v>
      </c>
      <c r="D714" s="61" t="s">
        <v>2994</v>
      </c>
      <c r="E714" s="119">
        <v>1.0253441299999999</v>
      </c>
      <c r="F714" s="148" t="s">
        <v>138</v>
      </c>
      <c r="G714" s="148">
        <v>1</v>
      </c>
      <c r="H714" s="61" t="s">
        <v>39</v>
      </c>
      <c r="I714" s="61" t="s">
        <v>955</v>
      </c>
      <c r="J714" s="61" t="s">
        <v>919</v>
      </c>
      <c r="K714" s="61" t="s">
        <v>126</v>
      </c>
      <c r="L714" s="159"/>
      <c r="M714" s="169"/>
    </row>
    <row r="715" spans="1:13" x14ac:dyDescent="0.55000000000000004">
      <c r="A715" s="105" t="s">
        <v>3332</v>
      </c>
      <c r="B715" s="61" t="s">
        <v>153</v>
      </c>
      <c r="C715" s="61" t="s">
        <v>127</v>
      </c>
      <c r="D715" s="61" t="s">
        <v>2994</v>
      </c>
      <c r="E715" s="119">
        <v>1.5591093119999999</v>
      </c>
      <c r="F715" s="148" t="s">
        <v>138</v>
      </c>
      <c r="G715" s="148">
        <v>1</v>
      </c>
      <c r="H715" s="61" t="s">
        <v>39</v>
      </c>
      <c r="I715" s="61"/>
      <c r="J715" s="61" t="s">
        <v>919</v>
      </c>
      <c r="K715" s="61" t="s">
        <v>126</v>
      </c>
      <c r="L715" s="159"/>
      <c r="M715" s="169"/>
    </row>
    <row r="716" spans="1:13" x14ac:dyDescent="0.55000000000000004">
      <c r="A716" s="105" t="s">
        <v>3332</v>
      </c>
      <c r="B716" s="61" t="s">
        <v>153</v>
      </c>
      <c r="C716" s="61" t="s">
        <v>127</v>
      </c>
      <c r="D716" s="61" t="s">
        <v>2994</v>
      </c>
      <c r="E716" s="119">
        <v>2.584453441</v>
      </c>
      <c r="F716" s="148" t="s">
        <v>138</v>
      </c>
      <c r="G716" s="148">
        <v>1</v>
      </c>
      <c r="H716" s="61" t="s">
        <v>39</v>
      </c>
      <c r="I716" s="61"/>
      <c r="J716" s="61" t="s">
        <v>919</v>
      </c>
      <c r="K716" s="61" t="s">
        <v>126</v>
      </c>
      <c r="L716" s="159"/>
      <c r="M716" s="169"/>
    </row>
    <row r="717" spans="1:13" x14ac:dyDescent="0.55000000000000004">
      <c r="A717" s="105" t="s">
        <v>3332</v>
      </c>
      <c r="B717" s="61" t="s">
        <v>334</v>
      </c>
      <c r="C717" s="61" t="s">
        <v>125</v>
      </c>
      <c r="D717" s="61" t="s">
        <v>3288</v>
      </c>
      <c r="E717" s="119">
        <v>1.9190282999999999E-2</v>
      </c>
      <c r="F717" s="148" t="s">
        <v>135</v>
      </c>
      <c r="G717" s="148">
        <v>1</v>
      </c>
      <c r="H717" s="61" t="s">
        <v>39</v>
      </c>
      <c r="I717" s="61"/>
      <c r="J717" s="61" t="s">
        <v>919</v>
      </c>
      <c r="K717" s="61" t="s">
        <v>126</v>
      </c>
      <c r="L717" s="159"/>
      <c r="M717" s="169"/>
    </row>
    <row r="718" spans="1:13" x14ac:dyDescent="0.55000000000000004">
      <c r="A718" s="105" t="s">
        <v>3333</v>
      </c>
      <c r="B718" s="61" t="s">
        <v>948</v>
      </c>
      <c r="C718" s="61" t="s">
        <v>121</v>
      </c>
      <c r="D718" s="61" t="s">
        <v>3288</v>
      </c>
      <c r="E718" s="119">
        <v>1</v>
      </c>
      <c r="F718" s="148" t="s">
        <v>135</v>
      </c>
      <c r="G718" s="148">
        <v>1</v>
      </c>
      <c r="H718" s="61" t="s">
        <v>39</v>
      </c>
      <c r="I718" s="61"/>
      <c r="J718" s="61"/>
      <c r="K718" s="61"/>
      <c r="L718" s="159">
        <v>271114</v>
      </c>
      <c r="M718" s="169"/>
    </row>
    <row r="719" spans="1:13" x14ac:dyDescent="0.55000000000000004">
      <c r="A719" s="105" t="s">
        <v>3333</v>
      </c>
      <c r="B719" s="61" t="s">
        <v>625</v>
      </c>
      <c r="C719" s="61" t="s">
        <v>125</v>
      </c>
      <c r="D719" s="61" t="s">
        <v>3288</v>
      </c>
      <c r="E719" s="119">
        <v>0.98744939300000001</v>
      </c>
      <c r="F719" s="148" t="s">
        <v>135</v>
      </c>
      <c r="G719" s="148">
        <v>1</v>
      </c>
      <c r="H719" s="61" t="s">
        <v>39</v>
      </c>
      <c r="I719" s="61" t="s">
        <v>956</v>
      </c>
      <c r="J719" s="61" t="s">
        <v>919</v>
      </c>
      <c r="K719" s="61" t="s">
        <v>126</v>
      </c>
      <c r="L719" s="159"/>
      <c r="M719" s="169"/>
    </row>
    <row r="720" spans="1:13" x14ac:dyDescent="0.55000000000000004">
      <c r="A720" s="105" t="s">
        <v>3333</v>
      </c>
      <c r="B720" s="61" t="s">
        <v>706</v>
      </c>
      <c r="C720" s="61" t="s">
        <v>125</v>
      </c>
      <c r="D720" s="61" t="s">
        <v>3288</v>
      </c>
      <c r="E720" s="119">
        <v>0</v>
      </c>
      <c r="F720" s="148" t="s">
        <v>135</v>
      </c>
      <c r="G720" s="148">
        <v>1</v>
      </c>
      <c r="H720" s="61" t="s">
        <v>39</v>
      </c>
      <c r="I720" s="61" t="s">
        <v>947</v>
      </c>
      <c r="J720" s="61" t="s">
        <v>919</v>
      </c>
      <c r="K720" s="61" t="s">
        <v>126</v>
      </c>
      <c r="L720" s="159"/>
      <c r="M720" s="169"/>
    </row>
    <row r="721" spans="1:13" x14ac:dyDescent="0.55000000000000004">
      <c r="A721" s="105" t="s">
        <v>3333</v>
      </c>
      <c r="B721" s="61" t="s">
        <v>925</v>
      </c>
      <c r="C721" s="61" t="s">
        <v>125</v>
      </c>
      <c r="D721" s="61" t="s">
        <v>3288</v>
      </c>
      <c r="E721" s="119">
        <v>2.4696355999999999E-2</v>
      </c>
      <c r="F721" s="148" t="s">
        <v>135</v>
      </c>
      <c r="G721" s="148">
        <v>1</v>
      </c>
      <c r="H721" s="61" t="s">
        <v>39</v>
      </c>
      <c r="I721" s="61" t="s">
        <v>947</v>
      </c>
      <c r="J721" s="61" t="s">
        <v>919</v>
      </c>
      <c r="K721" s="61" t="s">
        <v>126</v>
      </c>
      <c r="L721" s="159"/>
      <c r="M721" s="169"/>
    </row>
    <row r="722" spans="1:13" x14ac:dyDescent="0.55000000000000004">
      <c r="A722" s="105" t="s">
        <v>3333</v>
      </c>
      <c r="B722" s="61" t="s">
        <v>923</v>
      </c>
      <c r="C722" s="61" t="s">
        <v>127</v>
      </c>
      <c r="D722" s="61" t="s">
        <v>2994</v>
      </c>
      <c r="E722" s="119">
        <v>8.8684184530000003</v>
      </c>
      <c r="F722" s="148" t="s">
        <v>138</v>
      </c>
      <c r="G722" s="148">
        <v>1</v>
      </c>
      <c r="H722" s="61" t="s">
        <v>39</v>
      </c>
      <c r="I722" s="61" t="s">
        <v>957</v>
      </c>
      <c r="J722" s="61" t="s">
        <v>919</v>
      </c>
      <c r="K722" s="61" t="s">
        <v>126</v>
      </c>
      <c r="L722" s="159"/>
      <c r="M722" s="169"/>
    </row>
    <row r="723" spans="1:13" x14ac:dyDescent="0.55000000000000004">
      <c r="A723" s="105" t="s">
        <v>3333</v>
      </c>
      <c r="B723" s="61" t="s">
        <v>153</v>
      </c>
      <c r="C723" s="61" t="s">
        <v>127</v>
      </c>
      <c r="D723" s="61" t="s">
        <v>2994</v>
      </c>
      <c r="E723" s="119">
        <v>1.0253441299999999</v>
      </c>
      <c r="F723" s="148" t="s">
        <v>138</v>
      </c>
      <c r="G723" s="148">
        <v>1</v>
      </c>
      <c r="H723" s="61" t="s">
        <v>39</v>
      </c>
      <c r="I723" s="61" t="s">
        <v>958</v>
      </c>
      <c r="J723" s="61" t="s">
        <v>919</v>
      </c>
      <c r="K723" s="61" t="s">
        <v>126</v>
      </c>
      <c r="L723" s="159"/>
      <c r="M723" s="169"/>
    </row>
    <row r="724" spans="1:13" x14ac:dyDescent="0.55000000000000004">
      <c r="A724" s="105" t="s">
        <v>3333</v>
      </c>
      <c r="B724" s="61" t="s">
        <v>160</v>
      </c>
      <c r="C724" s="61" t="s">
        <v>497</v>
      </c>
      <c r="D724" s="61" t="s">
        <v>3288</v>
      </c>
      <c r="E724" s="119">
        <v>0.59418403600000003</v>
      </c>
      <c r="F724" s="148" t="s">
        <v>135</v>
      </c>
      <c r="G724" s="148">
        <v>1</v>
      </c>
      <c r="H724" s="61" t="s">
        <v>39</v>
      </c>
      <c r="I724" s="61" t="s">
        <v>959</v>
      </c>
      <c r="J724" s="61" t="s">
        <v>924</v>
      </c>
      <c r="K724" s="61" t="s">
        <v>126</v>
      </c>
      <c r="L724" s="159"/>
      <c r="M724" s="169"/>
    </row>
    <row r="725" spans="1:13" x14ac:dyDescent="0.55000000000000004">
      <c r="A725" s="105" t="s">
        <v>3334</v>
      </c>
      <c r="B725" s="61" t="s">
        <v>948</v>
      </c>
      <c r="C725" s="61" t="s">
        <v>121</v>
      </c>
      <c r="D725" s="61" t="s">
        <v>3288</v>
      </c>
      <c r="E725" s="119">
        <v>1</v>
      </c>
      <c r="F725" s="148" t="s">
        <v>135</v>
      </c>
      <c r="G725" s="148">
        <v>1</v>
      </c>
      <c r="H725" s="61" t="s">
        <v>39</v>
      </c>
      <c r="I725" s="61"/>
      <c r="J725" s="61"/>
      <c r="K725" s="61"/>
      <c r="L725" s="159">
        <v>271114</v>
      </c>
      <c r="M725" s="169"/>
    </row>
    <row r="726" spans="1:13" x14ac:dyDescent="0.55000000000000004">
      <c r="A726" s="105" t="s">
        <v>3334</v>
      </c>
      <c r="B726" s="61" t="s">
        <v>923</v>
      </c>
      <c r="C726" s="61" t="s">
        <v>127</v>
      </c>
      <c r="D726" s="61" t="s">
        <v>2994</v>
      </c>
      <c r="E726" s="119">
        <v>8.461538462</v>
      </c>
      <c r="F726" s="148" t="s">
        <v>138</v>
      </c>
      <c r="G726" s="148">
        <v>1</v>
      </c>
      <c r="H726" s="61" t="s">
        <v>39</v>
      </c>
      <c r="I726" s="61" t="s">
        <v>947</v>
      </c>
      <c r="J726" s="61" t="s">
        <v>919</v>
      </c>
      <c r="K726" s="61" t="s">
        <v>126</v>
      </c>
      <c r="L726" s="159"/>
      <c r="M726" s="169"/>
    </row>
    <row r="727" spans="1:13" x14ac:dyDescent="0.55000000000000004">
      <c r="A727" s="105" t="s">
        <v>3334</v>
      </c>
      <c r="B727" s="61" t="s">
        <v>625</v>
      </c>
      <c r="C727" s="61" t="s">
        <v>125</v>
      </c>
      <c r="D727" s="61" t="s">
        <v>3288</v>
      </c>
      <c r="E727" s="119">
        <v>0.91821862300000001</v>
      </c>
      <c r="F727" s="148" t="s">
        <v>135</v>
      </c>
      <c r="G727" s="148">
        <v>1</v>
      </c>
      <c r="H727" s="61" t="s">
        <v>39</v>
      </c>
      <c r="I727" s="61" t="s">
        <v>947</v>
      </c>
      <c r="J727" s="61" t="s">
        <v>919</v>
      </c>
      <c r="K727" s="61" t="s">
        <v>126</v>
      </c>
      <c r="L727" s="159"/>
      <c r="M727" s="169"/>
    </row>
    <row r="728" spans="1:13" x14ac:dyDescent="0.55000000000000004">
      <c r="A728" s="105" t="s">
        <v>3334</v>
      </c>
      <c r="B728" s="61" t="s">
        <v>706</v>
      </c>
      <c r="C728" s="61" t="s">
        <v>125</v>
      </c>
      <c r="D728" s="61" t="s">
        <v>3288</v>
      </c>
      <c r="E728" s="119">
        <v>0</v>
      </c>
      <c r="F728" s="148" t="s">
        <v>135</v>
      </c>
      <c r="G728" s="148">
        <v>1</v>
      </c>
      <c r="H728" s="61" t="s">
        <v>39</v>
      </c>
      <c r="I728" s="61" t="s">
        <v>947</v>
      </c>
      <c r="J728" s="61" t="s">
        <v>919</v>
      </c>
      <c r="K728" s="61" t="s">
        <v>126</v>
      </c>
      <c r="L728" s="159"/>
      <c r="M728" s="169"/>
    </row>
    <row r="729" spans="1:13" x14ac:dyDescent="0.55000000000000004">
      <c r="A729" s="105" t="s">
        <v>3334</v>
      </c>
      <c r="B729" s="61" t="s">
        <v>925</v>
      </c>
      <c r="C729" s="61" t="s">
        <v>125</v>
      </c>
      <c r="D729" s="61" t="s">
        <v>3288</v>
      </c>
      <c r="E729" s="119">
        <v>2.3076922999999999E-2</v>
      </c>
      <c r="F729" s="148" t="s">
        <v>135</v>
      </c>
      <c r="G729" s="148">
        <v>1</v>
      </c>
      <c r="H729" s="61" t="s">
        <v>39</v>
      </c>
      <c r="I729" s="61" t="s">
        <v>947</v>
      </c>
      <c r="J729" s="61" t="s">
        <v>919</v>
      </c>
      <c r="K729" s="61" t="s">
        <v>126</v>
      </c>
      <c r="L729" s="159"/>
      <c r="M729" s="169"/>
    </row>
    <row r="730" spans="1:13" x14ac:dyDescent="0.55000000000000004">
      <c r="A730" s="105" t="s">
        <v>3334</v>
      </c>
      <c r="B730" s="61" t="s">
        <v>213</v>
      </c>
      <c r="C730" s="61" t="s">
        <v>125</v>
      </c>
      <c r="D730" s="61" t="s">
        <v>3288</v>
      </c>
      <c r="E730" s="119">
        <v>6.4777327999999995E-2</v>
      </c>
      <c r="F730" s="148" t="s">
        <v>135</v>
      </c>
      <c r="G730" s="148">
        <v>1</v>
      </c>
      <c r="H730" s="61" t="s">
        <v>39</v>
      </c>
      <c r="I730" s="61" t="s">
        <v>960</v>
      </c>
      <c r="J730" s="61" t="s">
        <v>919</v>
      </c>
      <c r="K730" s="61" t="s">
        <v>126</v>
      </c>
      <c r="L730" s="159"/>
      <c r="M730" s="169"/>
    </row>
    <row r="731" spans="1:13" x14ac:dyDescent="0.55000000000000004">
      <c r="A731" s="105" t="s">
        <v>3334</v>
      </c>
      <c r="B731" s="61" t="s">
        <v>153</v>
      </c>
      <c r="C731" s="61" t="s">
        <v>127</v>
      </c>
      <c r="D731" s="61" t="s">
        <v>2994</v>
      </c>
      <c r="E731" s="119">
        <v>1.0253441299999999</v>
      </c>
      <c r="F731" s="148" t="s">
        <v>138</v>
      </c>
      <c r="G731" s="148">
        <v>1</v>
      </c>
      <c r="H731" s="61" t="s">
        <v>39</v>
      </c>
      <c r="I731" s="61" t="s">
        <v>961</v>
      </c>
      <c r="J731" s="61" t="s">
        <v>919</v>
      </c>
      <c r="K731" s="61" t="s">
        <v>126</v>
      </c>
      <c r="L731" s="159"/>
      <c r="M731" s="169"/>
    </row>
    <row r="732" spans="1:13" x14ac:dyDescent="0.55000000000000004">
      <c r="A732" s="105" t="s">
        <v>3334</v>
      </c>
      <c r="B732" s="61" t="s">
        <v>153</v>
      </c>
      <c r="C732" s="61" t="s">
        <v>127</v>
      </c>
      <c r="D732" s="61" t="s">
        <v>2994</v>
      </c>
      <c r="E732" s="119">
        <v>0.44048583000000002</v>
      </c>
      <c r="F732" s="148" t="s">
        <v>138</v>
      </c>
      <c r="G732" s="148">
        <v>1</v>
      </c>
      <c r="H732" s="61" t="s">
        <v>39</v>
      </c>
      <c r="I732" s="61"/>
      <c r="J732" s="61" t="s">
        <v>919</v>
      </c>
      <c r="K732" s="61" t="s">
        <v>126</v>
      </c>
      <c r="L732" s="159"/>
      <c r="M732" s="169"/>
    </row>
    <row r="733" spans="1:13" x14ac:dyDescent="0.55000000000000004">
      <c r="A733" s="105" t="s">
        <v>3334</v>
      </c>
      <c r="B733" s="61" t="s">
        <v>153</v>
      </c>
      <c r="C733" s="61" t="s">
        <v>127</v>
      </c>
      <c r="D733" s="61" t="s">
        <v>2994</v>
      </c>
      <c r="E733" s="119">
        <v>1.46582996</v>
      </c>
      <c r="F733" s="148" t="s">
        <v>138</v>
      </c>
      <c r="G733" s="148">
        <v>1</v>
      </c>
      <c r="H733" s="61" t="s">
        <v>39</v>
      </c>
      <c r="I733" s="61" t="s">
        <v>962</v>
      </c>
      <c r="J733" s="61" t="s">
        <v>919</v>
      </c>
      <c r="K733" s="61" t="s">
        <v>126</v>
      </c>
      <c r="L733" s="159"/>
      <c r="M733" s="169"/>
    </row>
    <row r="734" spans="1:13" x14ac:dyDescent="0.55000000000000004">
      <c r="A734" s="105" t="s">
        <v>3334</v>
      </c>
      <c r="B734" s="61" t="s">
        <v>160</v>
      </c>
      <c r="C734" s="61" t="s">
        <v>497</v>
      </c>
      <c r="D734" s="61" t="s">
        <v>3288</v>
      </c>
      <c r="E734" s="119">
        <v>2.9512551000000001E-2</v>
      </c>
      <c r="F734" s="148" t="s">
        <v>135</v>
      </c>
      <c r="G734" s="148">
        <v>1</v>
      </c>
      <c r="H734" s="61" t="s">
        <v>39</v>
      </c>
      <c r="I734" s="61" t="s">
        <v>959</v>
      </c>
      <c r="J734" s="61" t="s">
        <v>924</v>
      </c>
      <c r="K734" s="61" t="s">
        <v>126</v>
      </c>
      <c r="L734" s="159"/>
      <c r="M734" s="169"/>
    </row>
    <row r="735" spans="1:13" x14ac:dyDescent="0.55000000000000004">
      <c r="A735" s="105" t="s">
        <v>3335</v>
      </c>
      <c r="B735" s="61" t="s">
        <v>948</v>
      </c>
      <c r="C735" s="61" t="s">
        <v>121</v>
      </c>
      <c r="D735" s="61" t="s">
        <v>3288</v>
      </c>
      <c r="E735" s="119">
        <v>1</v>
      </c>
      <c r="F735" s="148" t="s">
        <v>135</v>
      </c>
      <c r="G735" s="148">
        <v>1</v>
      </c>
      <c r="H735" s="61" t="s">
        <v>39</v>
      </c>
      <c r="I735" s="61"/>
      <c r="J735" s="61"/>
      <c r="K735" s="61"/>
      <c r="L735" s="159">
        <v>271114</v>
      </c>
      <c r="M735" s="169"/>
    </row>
    <row r="736" spans="1:13" x14ac:dyDescent="0.55000000000000004">
      <c r="A736" s="105" t="s">
        <v>3335</v>
      </c>
      <c r="B736" s="61" t="s">
        <v>625</v>
      </c>
      <c r="C736" s="61" t="s">
        <v>125</v>
      </c>
      <c r="D736" s="61" t="s">
        <v>3288</v>
      </c>
      <c r="E736" s="119">
        <v>0.98744939300000001</v>
      </c>
      <c r="F736" s="148" t="s">
        <v>135</v>
      </c>
      <c r="G736" s="148">
        <v>1</v>
      </c>
      <c r="H736" s="61" t="s">
        <v>39</v>
      </c>
      <c r="I736" s="61" t="s">
        <v>947</v>
      </c>
      <c r="J736" s="61" t="s">
        <v>919</v>
      </c>
      <c r="K736" s="61" t="s">
        <v>126</v>
      </c>
      <c r="L736" s="159"/>
      <c r="M736" s="169"/>
    </row>
    <row r="737" spans="1:13" x14ac:dyDescent="0.55000000000000004">
      <c r="A737" s="105" t="s">
        <v>3335</v>
      </c>
      <c r="B737" s="61" t="s">
        <v>706</v>
      </c>
      <c r="C737" s="61" t="s">
        <v>125</v>
      </c>
      <c r="D737" s="61" t="s">
        <v>3288</v>
      </c>
      <c r="E737" s="119">
        <v>0</v>
      </c>
      <c r="F737" s="148" t="s">
        <v>135</v>
      </c>
      <c r="G737" s="148">
        <v>1</v>
      </c>
      <c r="H737" s="61" t="s">
        <v>39</v>
      </c>
      <c r="I737" s="61" t="s">
        <v>947</v>
      </c>
      <c r="J737" s="61" t="s">
        <v>919</v>
      </c>
      <c r="K737" s="61" t="s">
        <v>126</v>
      </c>
      <c r="L737" s="159"/>
      <c r="M737" s="169"/>
    </row>
    <row r="738" spans="1:13" x14ac:dyDescent="0.55000000000000004">
      <c r="A738" s="105" t="s">
        <v>3335</v>
      </c>
      <c r="B738" s="61" t="s">
        <v>925</v>
      </c>
      <c r="C738" s="61" t="s">
        <v>125</v>
      </c>
      <c r="D738" s="61" t="s">
        <v>3288</v>
      </c>
      <c r="E738" s="119">
        <v>2.4696355999999999E-2</v>
      </c>
      <c r="F738" s="148" t="s">
        <v>135</v>
      </c>
      <c r="G738" s="148">
        <v>1</v>
      </c>
      <c r="H738" s="61" t="s">
        <v>39</v>
      </c>
      <c r="I738" s="61" t="s">
        <v>947</v>
      </c>
      <c r="J738" s="61" t="s">
        <v>919</v>
      </c>
      <c r="K738" s="61" t="s">
        <v>126</v>
      </c>
      <c r="L738" s="159"/>
      <c r="M738" s="169"/>
    </row>
    <row r="739" spans="1:13" x14ac:dyDescent="0.55000000000000004">
      <c r="A739" s="105" t="s">
        <v>3335</v>
      </c>
      <c r="B739" s="61" t="s">
        <v>923</v>
      </c>
      <c r="C739" s="61" t="s">
        <v>127</v>
      </c>
      <c r="D739" s="61" t="s">
        <v>2994</v>
      </c>
      <c r="E739" s="119">
        <v>8.8663967610000007</v>
      </c>
      <c r="F739" s="148" t="s">
        <v>138</v>
      </c>
      <c r="G739" s="148">
        <v>1</v>
      </c>
      <c r="H739" s="61" t="s">
        <v>39</v>
      </c>
      <c r="I739" s="61" t="s">
        <v>947</v>
      </c>
      <c r="J739" s="61" t="s">
        <v>919</v>
      </c>
      <c r="K739" s="61" t="s">
        <v>126</v>
      </c>
      <c r="L739" s="159"/>
      <c r="M739" s="169"/>
    </row>
    <row r="740" spans="1:13" x14ac:dyDescent="0.55000000000000004">
      <c r="A740" s="105" t="s">
        <v>3335</v>
      </c>
      <c r="B740" s="61" t="s">
        <v>153</v>
      </c>
      <c r="C740" s="61" t="s">
        <v>127</v>
      </c>
      <c r="D740" s="61" t="s">
        <v>2994</v>
      </c>
      <c r="E740" s="119">
        <v>0.415119081</v>
      </c>
      <c r="F740" s="148" t="s">
        <v>138</v>
      </c>
      <c r="G740" s="148">
        <v>1</v>
      </c>
      <c r="H740" s="61" t="s">
        <v>39</v>
      </c>
      <c r="I740" s="61" t="s">
        <v>949</v>
      </c>
      <c r="J740" s="61" t="s">
        <v>919</v>
      </c>
      <c r="K740" s="61" t="s">
        <v>126</v>
      </c>
      <c r="L740" s="159"/>
      <c r="M740" s="169"/>
    </row>
    <row r="741" spans="1:13" x14ac:dyDescent="0.55000000000000004">
      <c r="A741" s="105" t="s">
        <v>3335</v>
      </c>
      <c r="B741" s="61" t="s">
        <v>153</v>
      </c>
      <c r="C741" s="61" t="s">
        <v>127</v>
      </c>
      <c r="D741" s="61" t="s">
        <v>2994</v>
      </c>
      <c r="E741" s="119">
        <v>1.363190283</v>
      </c>
      <c r="F741" s="148" t="s">
        <v>138</v>
      </c>
      <c r="G741" s="148">
        <v>1</v>
      </c>
      <c r="H741" s="61" t="s">
        <v>39</v>
      </c>
      <c r="I741" s="61" t="s">
        <v>950</v>
      </c>
      <c r="J741" s="61" t="s">
        <v>919</v>
      </c>
      <c r="K741" s="61" t="s">
        <v>126</v>
      </c>
      <c r="L741" s="159"/>
      <c r="M741" s="169"/>
    </row>
    <row r="742" spans="1:13" x14ac:dyDescent="0.55000000000000004">
      <c r="A742" s="105" t="s">
        <v>3335</v>
      </c>
      <c r="B742" s="61" t="s">
        <v>153</v>
      </c>
      <c r="C742" s="61" t="s">
        <v>127</v>
      </c>
      <c r="D742" s="61" t="s">
        <v>2994</v>
      </c>
      <c r="E742" s="119">
        <v>1.7783093640000001</v>
      </c>
      <c r="F742" s="148" t="s">
        <v>138</v>
      </c>
      <c r="G742" s="148">
        <v>1</v>
      </c>
      <c r="H742" s="61" t="s">
        <v>39</v>
      </c>
      <c r="I742" s="61" t="s">
        <v>947</v>
      </c>
      <c r="J742" s="61" t="s">
        <v>919</v>
      </c>
      <c r="K742" s="61" t="s">
        <v>126</v>
      </c>
      <c r="L742" s="159"/>
      <c r="M742" s="169"/>
    </row>
    <row r="743" spans="1:13" x14ac:dyDescent="0.55000000000000004">
      <c r="A743" s="105" t="s">
        <v>3335</v>
      </c>
      <c r="B743" s="61" t="s">
        <v>160</v>
      </c>
      <c r="C743" s="61" t="s">
        <v>497</v>
      </c>
      <c r="D743" s="61" t="s">
        <v>3288</v>
      </c>
      <c r="E743" s="119">
        <v>2.9702428999999999E-2</v>
      </c>
      <c r="F743" s="148" t="s">
        <v>135</v>
      </c>
      <c r="G743" s="148">
        <v>1</v>
      </c>
      <c r="H743" s="61" t="s">
        <v>39</v>
      </c>
      <c r="I743" s="61" t="s">
        <v>951</v>
      </c>
      <c r="J743" s="61" t="s">
        <v>924</v>
      </c>
      <c r="K743" s="61" t="s">
        <v>126</v>
      </c>
      <c r="L743" s="159"/>
      <c r="M743" s="169"/>
    </row>
    <row r="744" spans="1:13" x14ac:dyDescent="0.55000000000000004">
      <c r="A744" s="105" t="s">
        <v>3336</v>
      </c>
      <c r="B744" s="61" t="s">
        <v>948</v>
      </c>
      <c r="C744" s="61" t="s">
        <v>121</v>
      </c>
      <c r="D744" s="61" t="s">
        <v>3288</v>
      </c>
      <c r="E744" s="119">
        <v>1</v>
      </c>
      <c r="F744" s="148" t="s">
        <v>135</v>
      </c>
      <c r="G744" s="148">
        <v>1</v>
      </c>
      <c r="H744" s="61" t="s">
        <v>39</v>
      </c>
      <c r="I744" s="61"/>
      <c r="J744" s="61"/>
      <c r="K744" s="61"/>
      <c r="L744" s="159">
        <v>271114</v>
      </c>
      <c r="M744" s="169"/>
    </row>
    <row r="745" spans="1:13" x14ac:dyDescent="0.55000000000000004">
      <c r="A745" s="105" t="s">
        <v>3336</v>
      </c>
      <c r="B745" s="61" t="s">
        <v>923</v>
      </c>
      <c r="C745" s="61" t="s">
        <v>127</v>
      </c>
      <c r="D745" s="61" t="s">
        <v>2994</v>
      </c>
      <c r="E745" s="119">
        <v>8.461538462</v>
      </c>
      <c r="F745" s="148" t="s">
        <v>138</v>
      </c>
      <c r="G745" s="148">
        <v>1</v>
      </c>
      <c r="H745" s="61" t="s">
        <v>39</v>
      </c>
      <c r="I745" s="61" t="s">
        <v>984</v>
      </c>
      <c r="J745" s="61" t="s">
        <v>919</v>
      </c>
      <c r="K745" s="61" t="s">
        <v>126</v>
      </c>
      <c r="L745" s="159"/>
      <c r="M745" s="169"/>
    </row>
    <row r="746" spans="1:13" x14ac:dyDescent="0.55000000000000004">
      <c r="A746" s="105" t="s">
        <v>3336</v>
      </c>
      <c r="B746" s="61" t="s">
        <v>625</v>
      </c>
      <c r="C746" s="61" t="s">
        <v>125</v>
      </c>
      <c r="D746" s="61" t="s">
        <v>3288</v>
      </c>
      <c r="E746" s="119">
        <v>0.91821862300000001</v>
      </c>
      <c r="F746" s="148" t="s">
        <v>135</v>
      </c>
      <c r="G746" s="148">
        <v>1</v>
      </c>
      <c r="H746" s="61" t="s">
        <v>39</v>
      </c>
      <c r="I746" s="61" t="s">
        <v>984</v>
      </c>
      <c r="J746" s="61" t="s">
        <v>919</v>
      </c>
      <c r="K746" s="61" t="s">
        <v>126</v>
      </c>
      <c r="L746" s="159"/>
      <c r="M746" s="169"/>
    </row>
    <row r="747" spans="1:13" x14ac:dyDescent="0.55000000000000004">
      <c r="A747" s="105" t="s">
        <v>3336</v>
      </c>
      <c r="B747" s="61" t="s">
        <v>706</v>
      </c>
      <c r="C747" s="61" t="s">
        <v>125</v>
      </c>
      <c r="D747" s="61" t="s">
        <v>3288</v>
      </c>
      <c r="E747" s="119">
        <v>0</v>
      </c>
      <c r="F747" s="148" t="s">
        <v>135</v>
      </c>
      <c r="G747" s="148">
        <v>1</v>
      </c>
      <c r="H747" s="61" t="s">
        <v>39</v>
      </c>
      <c r="I747" s="61" t="s">
        <v>984</v>
      </c>
      <c r="J747" s="61" t="s">
        <v>919</v>
      </c>
      <c r="K747" s="61" t="s">
        <v>126</v>
      </c>
      <c r="L747" s="159"/>
      <c r="M747" s="169"/>
    </row>
    <row r="748" spans="1:13" x14ac:dyDescent="0.55000000000000004">
      <c r="A748" s="105" t="s">
        <v>3336</v>
      </c>
      <c r="B748" s="61" t="s">
        <v>925</v>
      </c>
      <c r="C748" s="61" t="s">
        <v>125</v>
      </c>
      <c r="D748" s="61" t="s">
        <v>3288</v>
      </c>
      <c r="E748" s="119">
        <v>2.3076922999999999E-2</v>
      </c>
      <c r="F748" s="148" t="s">
        <v>135</v>
      </c>
      <c r="G748" s="148">
        <v>1</v>
      </c>
      <c r="H748" s="61" t="s">
        <v>39</v>
      </c>
      <c r="I748" s="61" t="s">
        <v>984</v>
      </c>
      <c r="J748" s="61" t="s">
        <v>919</v>
      </c>
      <c r="K748" s="61" t="s">
        <v>126</v>
      </c>
      <c r="L748" s="159"/>
      <c r="M748" s="169"/>
    </row>
    <row r="749" spans="1:13" x14ac:dyDescent="0.55000000000000004">
      <c r="A749" s="105" t="s">
        <v>3336</v>
      </c>
      <c r="B749" s="61" t="s">
        <v>213</v>
      </c>
      <c r="C749" s="61" t="s">
        <v>125</v>
      </c>
      <c r="D749" s="61" t="s">
        <v>3288</v>
      </c>
      <c r="E749" s="119">
        <v>6.4777327999999995E-2</v>
      </c>
      <c r="F749" s="148" t="s">
        <v>135</v>
      </c>
      <c r="G749" s="148">
        <v>1</v>
      </c>
      <c r="H749" s="61" t="s">
        <v>39</v>
      </c>
      <c r="I749" s="61" t="s">
        <v>984</v>
      </c>
      <c r="J749" s="61" t="s">
        <v>919</v>
      </c>
      <c r="K749" s="61" t="s">
        <v>126</v>
      </c>
      <c r="L749" s="159"/>
      <c r="M749" s="169"/>
    </row>
    <row r="750" spans="1:13" x14ac:dyDescent="0.55000000000000004">
      <c r="A750" s="105" t="s">
        <v>3336</v>
      </c>
      <c r="B750" s="61" t="s">
        <v>153</v>
      </c>
      <c r="C750" s="61" t="s">
        <v>127</v>
      </c>
      <c r="D750" s="61" t="s">
        <v>2994</v>
      </c>
      <c r="E750" s="119">
        <v>1.0253441299999999</v>
      </c>
      <c r="F750" s="148" t="s">
        <v>138</v>
      </c>
      <c r="G750" s="148">
        <v>1</v>
      </c>
      <c r="H750" s="61" t="s">
        <v>39</v>
      </c>
      <c r="I750" s="61" t="s">
        <v>984</v>
      </c>
      <c r="J750" s="61" t="s">
        <v>919</v>
      </c>
      <c r="K750" s="61" t="s">
        <v>126</v>
      </c>
      <c r="L750" s="159"/>
      <c r="M750" s="169"/>
    </row>
    <row r="751" spans="1:13" x14ac:dyDescent="0.55000000000000004">
      <c r="A751" s="105" t="s">
        <v>3336</v>
      </c>
      <c r="B751" s="61" t="s">
        <v>153</v>
      </c>
      <c r="C751" s="61" t="s">
        <v>127</v>
      </c>
      <c r="D751" s="61" t="s">
        <v>2994</v>
      </c>
      <c r="E751" s="119">
        <v>1.363190283</v>
      </c>
      <c r="F751" s="148" t="s">
        <v>138</v>
      </c>
      <c r="G751" s="148">
        <v>1</v>
      </c>
      <c r="H751" s="61" t="s">
        <v>39</v>
      </c>
      <c r="I751" s="61" t="s">
        <v>985</v>
      </c>
      <c r="J751" s="61" t="s">
        <v>919</v>
      </c>
      <c r="K751" s="61" t="s">
        <v>126</v>
      </c>
      <c r="L751" s="159"/>
      <c r="M751" s="169"/>
    </row>
    <row r="752" spans="1:13" x14ac:dyDescent="0.55000000000000004">
      <c r="A752" s="105" t="s">
        <v>3336</v>
      </c>
      <c r="B752" s="61" t="s">
        <v>153</v>
      </c>
      <c r="C752" s="61" t="s">
        <v>127</v>
      </c>
      <c r="D752" s="61" t="s">
        <v>2994</v>
      </c>
      <c r="E752" s="119">
        <v>0.44048583000000002</v>
      </c>
      <c r="F752" s="148" t="s">
        <v>138</v>
      </c>
      <c r="G752" s="148">
        <v>1</v>
      </c>
      <c r="H752" s="61" t="s">
        <v>39</v>
      </c>
      <c r="I752" s="61" t="s">
        <v>984</v>
      </c>
      <c r="J752" s="61" t="s">
        <v>919</v>
      </c>
      <c r="K752" s="61" t="s">
        <v>126</v>
      </c>
      <c r="L752" s="159"/>
      <c r="M752" s="169"/>
    </row>
    <row r="753" spans="1:13" x14ac:dyDescent="0.55000000000000004">
      <c r="A753" s="105" t="s">
        <v>3336</v>
      </c>
      <c r="B753" s="61" t="s">
        <v>153</v>
      </c>
      <c r="C753" s="61" t="s">
        <v>127</v>
      </c>
      <c r="D753" s="61" t="s">
        <v>2994</v>
      </c>
      <c r="E753" s="119">
        <v>2.829020243</v>
      </c>
      <c r="F753" s="148" t="s">
        <v>138</v>
      </c>
      <c r="G753" s="148">
        <v>1</v>
      </c>
      <c r="H753" s="61" t="s">
        <v>39</v>
      </c>
      <c r="I753" s="61"/>
      <c r="J753" s="61" t="s">
        <v>919</v>
      </c>
      <c r="K753" s="61" t="s">
        <v>126</v>
      </c>
      <c r="L753" s="159"/>
      <c r="M753" s="169"/>
    </row>
    <row r="754" spans="1:13" x14ac:dyDescent="0.55000000000000004">
      <c r="A754" s="105" t="s">
        <v>3336</v>
      </c>
      <c r="B754" s="61" t="s">
        <v>160</v>
      </c>
      <c r="C754" s="61" t="s">
        <v>497</v>
      </c>
      <c r="D754" s="61" t="s">
        <v>3288</v>
      </c>
      <c r="E754" s="119">
        <v>2.8346153999999998E-2</v>
      </c>
      <c r="F754" s="148" t="s">
        <v>135</v>
      </c>
      <c r="G754" s="148">
        <v>1</v>
      </c>
      <c r="H754" s="61" t="s">
        <v>39</v>
      </c>
      <c r="I754" s="61" t="s">
        <v>959</v>
      </c>
      <c r="J754" s="61" t="s">
        <v>924</v>
      </c>
      <c r="K754" s="61" t="s">
        <v>126</v>
      </c>
      <c r="L754" s="159"/>
      <c r="M754" s="169"/>
    </row>
    <row r="755" spans="1:13" x14ac:dyDescent="0.55000000000000004">
      <c r="A755" s="105" t="s">
        <v>3337</v>
      </c>
      <c r="B755" s="61" t="s">
        <v>948</v>
      </c>
      <c r="C755" s="61" t="s">
        <v>121</v>
      </c>
      <c r="D755" s="61" t="s">
        <v>3288</v>
      </c>
      <c r="E755" s="119">
        <v>1</v>
      </c>
      <c r="F755" s="148" t="s">
        <v>135</v>
      </c>
      <c r="G755" s="148">
        <v>1</v>
      </c>
      <c r="H755" s="61" t="s">
        <v>39</v>
      </c>
      <c r="I755" s="61"/>
      <c r="J755" s="61"/>
      <c r="K755" s="61"/>
      <c r="L755" s="159">
        <v>271114</v>
      </c>
      <c r="M755" s="169"/>
    </row>
    <row r="756" spans="1:13" x14ac:dyDescent="0.55000000000000004">
      <c r="A756" s="105" t="s">
        <v>3337</v>
      </c>
      <c r="B756" s="61" t="s">
        <v>921</v>
      </c>
      <c r="C756" s="61" t="s">
        <v>125</v>
      </c>
      <c r="D756" s="61" t="s">
        <v>3288</v>
      </c>
      <c r="E756" s="119">
        <v>1.3220141700000001</v>
      </c>
      <c r="F756" s="148" t="s">
        <v>135</v>
      </c>
      <c r="G756" s="148">
        <v>1</v>
      </c>
      <c r="H756" s="61" t="s">
        <v>39</v>
      </c>
      <c r="I756" s="61" t="s">
        <v>988</v>
      </c>
      <c r="J756" s="61" t="s">
        <v>919</v>
      </c>
      <c r="K756" s="61" t="s">
        <v>126</v>
      </c>
      <c r="L756" s="159"/>
      <c r="M756" s="169"/>
    </row>
    <row r="757" spans="1:13" x14ac:dyDescent="0.55000000000000004">
      <c r="A757" s="105" t="s">
        <v>3337</v>
      </c>
      <c r="B757" s="61" t="s">
        <v>922</v>
      </c>
      <c r="C757" s="61" t="s">
        <v>125</v>
      </c>
      <c r="D757" s="61" t="s">
        <v>3288</v>
      </c>
      <c r="E757" s="119">
        <v>1.0576113359999999</v>
      </c>
      <c r="F757" s="148" t="s">
        <v>135</v>
      </c>
      <c r="G757" s="148">
        <v>1</v>
      </c>
      <c r="H757" s="61" t="s">
        <v>39</v>
      </c>
      <c r="I757" s="61" t="s">
        <v>988</v>
      </c>
      <c r="J757" s="61" t="s">
        <v>919</v>
      </c>
      <c r="K757" s="61" t="s">
        <v>126</v>
      </c>
      <c r="L757" s="159"/>
      <c r="M757" s="169"/>
    </row>
    <row r="758" spans="1:13" x14ac:dyDescent="0.55000000000000004">
      <c r="A758" s="105" t="s">
        <v>3337</v>
      </c>
      <c r="B758" s="61" t="s">
        <v>213</v>
      </c>
      <c r="C758" s="61" t="s">
        <v>125</v>
      </c>
      <c r="D758" s="61" t="s">
        <v>3288</v>
      </c>
      <c r="E758" s="119">
        <v>6.4777327999999995E-2</v>
      </c>
      <c r="F758" s="148" t="s">
        <v>135</v>
      </c>
      <c r="G758" s="148">
        <v>1</v>
      </c>
      <c r="H758" s="61" t="s">
        <v>39</v>
      </c>
      <c r="I758" s="61" t="s">
        <v>987</v>
      </c>
      <c r="J758" s="61" t="s">
        <v>919</v>
      </c>
      <c r="K758" s="61" t="s">
        <v>126</v>
      </c>
      <c r="L758" s="159"/>
      <c r="M758" s="169"/>
    </row>
    <row r="759" spans="1:13" x14ac:dyDescent="0.55000000000000004">
      <c r="A759" s="105" t="s">
        <v>3337</v>
      </c>
      <c r="B759" s="61" t="s">
        <v>153</v>
      </c>
      <c r="C759" s="61" t="s">
        <v>127</v>
      </c>
      <c r="D759" s="61" t="s">
        <v>2994</v>
      </c>
      <c r="E759" s="119">
        <v>0.46537651800000002</v>
      </c>
      <c r="F759" s="148" t="s">
        <v>138</v>
      </c>
      <c r="G759" s="148">
        <v>1</v>
      </c>
      <c r="H759" s="61" t="s">
        <v>39</v>
      </c>
      <c r="I759" s="61" t="s">
        <v>988</v>
      </c>
      <c r="J759" s="61" t="s">
        <v>919</v>
      </c>
      <c r="K759" s="61" t="s">
        <v>126</v>
      </c>
      <c r="L759" s="159"/>
      <c r="M759" s="169"/>
    </row>
    <row r="760" spans="1:13" x14ac:dyDescent="0.55000000000000004">
      <c r="A760" s="105" t="s">
        <v>3337</v>
      </c>
      <c r="B760" s="61" t="s">
        <v>153</v>
      </c>
      <c r="C760" s="61" t="s">
        <v>127</v>
      </c>
      <c r="D760" s="61" t="s">
        <v>2994</v>
      </c>
      <c r="E760" s="119">
        <v>8.1201133599999995</v>
      </c>
      <c r="F760" s="148" t="s">
        <v>138</v>
      </c>
      <c r="G760" s="148">
        <v>1</v>
      </c>
      <c r="H760" s="61" t="s">
        <v>39</v>
      </c>
      <c r="I760" s="61" t="s">
        <v>953</v>
      </c>
      <c r="J760" s="61" t="s">
        <v>919</v>
      </c>
      <c r="K760" s="61" t="s">
        <v>126</v>
      </c>
      <c r="L760" s="159"/>
      <c r="M760" s="169"/>
    </row>
    <row r="761" spans="1:13" x14ac:dyDescent="0.55000000000000004">
      <c r="A761" s="105" t="s">
        <v>3337</v>
      </c>
      <c r="B761" s="61" t="s">
        <v>153</v>
      </c>
      <c r="C761" s="61" t="s">
        <v>127</v>
      </c>
      <c r="D761" s="61" t="s">
        <v>2994</v>
      </c>
      <c r="E761" s="119">
        <v>1.5591093119999999</v>
      </c>
      <c r="F761" s="148" t="s">
        <v>138</v>
      </c>
      <c r="G761" s="148">
        <v>1</v>
      </c>
      <c r="H761" s="61" t="s">
        <v>39</v>
      </c>
      <c r="I761" s="61" t="s">
        <v>987</v>
      </c>
      <c r="J761" s="61" t="s">
        <v>919</v>
      </c>
      <c r="K761" s="61" t="s">
        <v>126</v>
      </c>
      <c r="L761" s="159"/>
      <c r="M761" s="169"/>
    </row>
    <row r="762" spans="1:13" x14ac:dyDescent="0.55000000000000004">
      <c r="A762" s="105" t="s">
        <v>3337</v>
      </c>
      <c r="B762" s="61" t="s">
        <v>153</v>
      </c>
      <c r="C762" s="61" t="s">
        <v>127</v>
      </c>
      <c r="D762" s="61" t="s">
        <v>2994</v>
      </c>
      <c r="E762" s="119">
        <v>10.144599189999999</v>
      </c>
      <c r="F762" s="148" t="s">
        <v>138</v>
      </c>
      <c r="G762" s="148">
        <v>1</v>
      </c>
      <c r="H762" s="61" t="s">
        <v>39</v>
      </c>
      <c r="I762" s="61"/>
      <c r="J762" s="61" t="s">
        <v>919</v>
      </c>
      <c r="K762" s="61" t="s">
        <v>126</v>
      </c>
      <c r="L762" s="159"/>
      <c r="M762" s="169"/>
    </row>
    <row r="763" spans="1:13" x14ac:dyDescent="0.55000000000000004">
      <c r="A763" s="105" t="s">
        <v>3337</v>
      </c>
      <c r="B763" s="61" t="s">
        <v>334</v>
      </c>
      <c r="C763" s="61" t="s">
        <v>125</v>
      </c>
      <c r="D763" s="61" t="s">
        <v>3288</v>
      </c>
      <c r="E763" s="119">
        <v>1.9190282999999999E-2</v>
      </c>
      <c r="F763" s="148" t="s">
        <v>135</v>
      </c>
      <c r="G763" s="148">
        <v>1</v>
      </c>
      <c r="H763" s="61" t="s">
        <v>39</v>
      </c>
      <c r="I763" s="61"/>
      <c r="J763" s="61" t="s">
        <v>919</v>
      </c>
      <c r="K763" s="61" t="s">
        <v>126</v>
      </c>
      <c r="L763" s="159"/>
      <c r="M763" s="169"/>
    </row>
    <row r="764" spans="1:13" x14ac:dyDescent="0.55000000000000004">
      <c r="A764" s="105" t="s">
        <v>3338</v>
      </c>
      <c r="B764" s="61" t="s">
        <v>948</v>
      </c>
      <c r="C764" s="61" t="s">
        <v>121</v>
      </c>
      <c r="D764" s="61" t="s">
        <v>3288</v>
      </c>
      <c r="E764" s="119">
        <v>1</v>
      </c>
      <c r="F764" s="148" t="s">
        <v>135</v>
      </c>
      <c r="G764" s="148">
        <v>1</v>
      </c>
      <c r="H764" s="61" t="s">
        <v>39</v>
      </c>
      <c r="I764" s="61"/>
      <c r="J764" s="61"/>
      <c r="K764" s="61"/>
      <c r="L764" s="159">
        <v>271114</v>
      </c>
      <c r="M764" s="169"/>
    </row>
    <row r="765" spans="1:13" x14ac:dyDescent="0.55000000000000004">
      <c r="A765" s="105" t="s">
        <v>3338</v>
      </c>
      <c r="B765" s="61" t="s">
        <v>921</v>
      </c>
      <c r="C765" s="61" t="s">
        <v>125</v>
      </c>
      <c r="D765" s="61" t="s">
        <v>3288</v>
      </c>
      <c r="E765" s="119">
        <v>1.3220141700000001</v>
      </c>
      <c r="F765" s="148" t="s">
        <v>135</v>
      </c>
      <c r="G765" s="148">
        <v>1</v>
      </c>
      <c r="H765" s="61" t="s">
        <v>39</v>
      </c>
      <c r="I765" s="61" t="s">
        <v>994</v>
      </c>
      <c r="J765" s="61" t="s">
        <v>919</v>
      </c>
      <c r="K765" s="61" t="s">
        <v>126</v>
      </c>
      <c r="L765" s="159"/>
      <c r="M765" s="169"/>
    </row>
    <row r="766" spans="1:13" x14ac:dyDescent="0.55000000000000004">
      <c r="A766" s="105" t="s">
        <v>3338</v>
      </c>
      <c r="B766" s="61" t="s">
        <v>922</v>
      </c>
      <c r="C766" s="61" t="s">
        <v>125</v>
      </c>
      <c r="D766" s="61" t="s">
        <v>3288</v>
      </c>
      <c r="E766" s="119">
        <v>1.0576113359999999</v>
      </c>
      <c r="F766" s="148" t="s">
        <v>135</v>
      </c>
      <c r="G766" s="148">
        <v>1</v>
      </c>
      <c r="H766" s="61" t="s">
        <v>39</v>
      </c>
      <c r="I766" s="61" t="s">
        <v>994</v>
      </c>
      <c r="J766" s="61" t="s">
        <v>919</v>
      </c>
      <c r="K766" s="61" t="s">
        <v>126</v>
      </c>
      <c r="L766" s="159"/>
      <c r="M766" s="169"/>
    </row>
    <row r="767" spans="1:13" x14ac:dyDescent="0.55000000000000004">
      <c r="A767" s="105" t="s">
        <v>3338</v>
      </c>
      <c r="B767" s="61" t="s">
        <v>213</v>
      </c>
      <c r="C767" s="61" t="s">
        <v>125</v>
      </c>
      <c r="D767" s="61" t="s">
        <v>3288</v>
      </c>
      <c r="E767" s="119">
        <v>6.4777327999999995E-2</v>
      </c>
      <c r="F767" s="148" t="s">
        <v>135</v>
      </c>
      <c r="G767" s="148">
        <v>1</v>
      </c>
      <c r="H767" s="61" t="s">
        <v>39</v>
      </c>
      <c r="I767" s="61" t="s">
        <v>994</v>
      </c>
      <c r="J767" s="61" t="s">
        <v>919</v>
      </c>
      <c r="K767" s="61" t="s">
        <v>126</v>
      </c>
      <c r="L767" s="159"/>
      <c r="M767" s="169"/>
    </row>
    <row r="768" spans="1:13" x14ac:dyDescent="0.55000000000000004">
      <c r="A768" s="105" t="s">
        <v>3338</v>
      </c>
      <c r="B768" s="61" t="s">
        <v>153</v>
      </c>
      <c r="C768" s="61" t="s">
        <v>127</v>
      </c>
      <c r="D768" s="61" t="s">
        <v>2994</v>
      </c>
      <c r="E768" s="119">
        <v>0.46537651800000002</v>
      </c>
      <c r="F768" s="148" t="s">
        <v>138</v>
      </c>
      <c r="G768" s="148">
        <v>1</v>
      </c>
      <c r="H768" s="61" t="s">
        <v>39</v>
      </c>
      <c r="I768" s="61" t="s">
        <v>994</v>
      </c>
      <c r="J768" s="61" t="s">
        <v>919</v>
      </c>
      <c r="K768" s="61" t="s">
        <v>126</v>
      </c>
      <c r="L768" s="159"/>
      <c r="M768" s="169"/>
    </row>
    <row r="769" spans="1:13" x14ac:dyDescent="0.55000000000000004">
      <c r="A769" s="105" t="s">
        <v>3338</v>
      </c>
      <c r="B769" s="61" t="s">
        <v>153</v>
      </c>
      <c r="C769" s="61" t="s">
        <v>127</v>
      </c>
      <c r="D769" s="61" t="s">
        <v>2994</v>
      </c>
      <c r="E769" s="119">
        <v>8.1201133599999995</v>
      </c>
      <c r="F769" s="148" t="s">
        <v>138</v>
      </c>
      <c r="G769" s="148">
        <v>1</v>
      </c>
      <c r="H769" s="61" t="s">
        <v>39</v>
      </c>
      <c r="I769" s="61" t="s">
        <v>994</v>
      </c>
      <c r="J769" s="61" t="s">
        <v>919</v>
      </c>
      <c r="K769" s="61" t="s">
        <v>126</v>
      </c>
      <c r="L769" s="159"/>
      <c r="M769" s="169"/>
    </row>
    <row r="770" spans="1:13" x14ac:dyDescent="0.55000000000000004">
      <c r="A770" s="105" t="s">
        <v>3338</v>
      </c>
      <c r="B770" s="61" t="s">
        <v>153</v>
      </c>
      <c r="C770" s="61" t="s">
        <v>127</v>
      </c>
      <c r="D770" s="61" t="s">
        <v>2994</v>
      </c>
      <c r="E770" s="119">
        <v>1.5591093119999999</v>
      </c>
      <c r="F770" s="148" t="s">
        <v>138</v>
      </c>
      <c r="G770" s="148">
        <v>1</v>
      </c>
      <c r="H770" s="61" t="s">
        <v>39</v>
      </c>
      <c r="I770" s="61" t="s">
        <v>994</v>
      </c>
      <c r="J770" s="61" t="s">
        <v>919</v>
      </c>
      <c r="K770" s="61" t="s">
        <v>126</v>
      </c>
      <c r="L770" s="159"/>
      <c r="M770" s="169"/>
    </row>
    <row r="771" spans="1:13" x14ac:dyDescent="0.55000000000000004">
      <c r="A771" s="105" t="s">
        <v>3338</v>
      </c>
      <c r="B771" s="61" t="s">
        <v>153</v>
      </c>
      <c r="C771" s="61" t="s">
        <v>127</v>
      </c>
      <c r="D771" s="61" t="s">
        <v>2994</v>
      </c>
      <c r="E771" s="119">
        <v>1.363190283</v>
      </c>
      <c r="F771" s="148" t="s">
        <v>138</v>
      </c>
      <c r="G771" s="148">
        <v>1</v>
      </c>
      <c r="H771" s="61" t="s">
        <v>39</v>
      </c>
      <c r="I771" s="61" t="s">
        <v>989</v>
      </c>
      <c r="J771" s="61" t="s">
        <v>919</v>
      </c>
      <c r="K771" s="61" t="s">
        <v>126</v>
      </c>
      <c r="L771" s="159"/>
      <c r="M771" s="169"/>
    </row>
    <row r="772" spans="1:13" x14ac:dyDescent="0.55000000000000004">
      <c r="A772" s="105" t="s">
        <v>3338</v>
      </c>
      <c r="B772" s="61" t="s">
        <v>153</v>
      </c>
      <c r="C772" s="61" t="s">
        <v>127</v>
      </c>
      <c r="D772" s="61" t="s">
        <v>2994</v>
      </c>
      <c r="E772" s="119">
        <v>11.507789470000001</v>
      </c>
      <c r="F772" s="148" t="s">
        <v>138</v>
      </c>
      <c r="G772" s="148">
        <v>1</v>
      </c>
      <c r="H772" s="61" t="s">
        <v>39</v>
      </c>
      <c r="I772" s="61"/>
      <c r="J772" s="61" t="s">
        <v>919</v>
      </c>
      <c r="K772" s="61" t="s">
        <v>126</v>
      </c>
      <c r="L772" s="159"/>
      <c r="M772" s="169"/>
    </row>
    <row r="773" spans="1:13" x14ac:dyDescent="0.55000000000000004">
      <c r="A773" s="105" t="s">
        <v>3339</v>
      </c>
      <c r="B773" s="61" t="s">
        <v>948</v>
      </c>
      <c r="C773" s="61" t="s">
        <v>121</v>
      </c>
      <c r="D773" s="61" t="s">
        <v>3288</v>
      </c>
      <c r="E773" s="119">
        <v>1</v>
      </c>
      <c r="F773" s="148" t="s">
        <v>135</v>
      </c>
      <c r="G773" s="148">
        <v>1</v>
      </c>
      <c r="H773" s="61" t="s">
        <v>39</v>
      </c>
      <c r="I773" s="61"/>
      <c r="J773" s="61"/>
      <c r="K773" s="61"/>
      <c r="L773" s="159">
        <v>271114</v>
      </c>
      <c r="M773" s="169"/>
    </row>
    <row r="774" spans="1:13" x14ac:dyDescent="0.55000000000000004">
      <c r="A774" s="105" t="s">
        <v>3339</v>
      </c>
      <c r="B774" s="61" t="s">
        <v>921</v>
      </c>
      <c r="C774" s="61" t="s">
        <v>125</v>
      </c>
      <c r="D774" s="61" t="s">
        <v>3288</v>
      </c>
      <c r="E774" s="119">
        <v>1.3220141700000001</v>
      </c>
      <c r="F774" s="148" t="s">
        <v>135</v>
      </c>
      <c r="G774" s="148">
        <v>1</v>
      </c>
      <c r="H774" s="61" t="s">
        <v>39</v>
      </c>
      <c r="I774" s="61" t="s">
        <v>992</v>
      </c>
      <c r="J774" s="61" t="s">
        <v>919</v>
      </c>
      <c r="K774" s="61" t="s">
        <v>126</v>
      </c>
      <c r="L774" s="159"/>
      <c r="M774" s="169"/>
    </row>
    <row r="775" spans="1:13" x14ac:dyDescent="0.55000000000000004">
      <c r="A775" s="105" t="s">
        <v>3339</v>
      </c>
      <c r="B775" s="61" t="s">
        <v>922</v>
      </c>
      <c r="C775" s="61" t="s">
        <v>125</v>
      </c>
      <c r="D775" s="61" t="s">
        <v>3288</v>
      </c>
      <c r="E775" s="119">
        <v>1.0576113359999999</v>
      </c>
      <c r="F775" s="148" t="s">
        <v>135</v>
      </c>
      <c r="G775" s="148">
        <v>1</v>
      </c>
      <c r="H775" s="61" t="s">
        <v>39</v>
      </c>
      <c r="I775" s="61" t="s">
        <v>992</v>
      </c>
      <c r="J775" s="61" t="s">
        <v>919</v>
      </c>
      <c r="K775" s="61" t="s">
        <v>126</v>
      </c>
      <c r="L775" s="159"/>
      <c r="M775" s="169"/>
    </row>
    <row r="776" spans="1:13" x14ac:dyDescent="0.55000000000000004">
      <c r="A776" s="105" t="s">
        <v>3339</v>
      </c>
      <c r="B776" s="61" t="s">
        <v>213</v>
      </c>
      <c r="C776" s="61" t="s">
        <v>125</v>
      </c>
      <c r="D776" s="61" t="s">
        <v>3288</v>
      </c>
      <c r="E776" s="119">
        <v>6.4777327999999995E-2</v>
      </c>
      <c r="F776" s="148" t="s">
        <v>135</v>
      </c>
      <c r="G776" s="148">
        <v>1</v>
      </c>
      <c r="H776" s="61" t="s">
        <v>39</v>
      </c>
      <c r="I776" s="61" t="s">
        <v>987</v>
      </c>
      <c r="J776" s="61" t="s">
        <v>919</v>
      </c>
      <c r="K776" s="61" t="s">
        <v>126</v>
      </c>
      <c r="L776" s="159"/>
      <c r="M776" s="169"/>
    </row>
    <row r="777" spans="1:13" x14ac:dyDescent="0.55000000000000004">
      <c r="A777" s="105" t="s">
        <v>3339</v>
      </c>
      <c r="B777" s="61" t="s">
        <v>334</v>
      </c>
      <c r="C777" s="61" t="s">
        <v>125</v>
      </c>
      <c r="D777" s="61" t="s">
        <v>3288</v>
      </c>
      <c r="E777" s="119">
        <v>6.4736842000000003E-2</v>
      </c>
      <c r="F777" s="148" t="s">
        <v>135</v>
      </c>
      <c r="G777" s="148">
        <v>1</v>
      </c>
      <c r="H777" s="61" t="s">
        <v>39</v>
      </c>
      <c r="I777" s="61" t="s">
        <v>955</v>
      </c>
      <c r="J777" s="61" t="s">
        <v>919</v>
      </c>
      <c r="K777" s="61" t="s">
        <v>126</v>
      </c>
      <c r="L777" s="159"/>
      <c r="M777" s="169"/>
    </row>
    <row r="778" spans="1:13" x14ac:dyDescent="0.55000000000000004">
      <c r="A778" s="105" t="s">
        <v>3339</v>
      </c>
      <c r="B778" s="61" t="s">
        <v>153</v>
      </c>
      <c r="C778" s="61" t="s">
        <v>127</v>
      </c>
      <c r="D778" s="61" t="s">
        <v>2994</v>
      </c>
      <c r="E778" s="119">
        <v>0.46537651800000002</v>
      </c>
      <c r="F778" s="148" t="s">
        <v>138</v>
      </c>
      <c r="G778" s="148">
        <v>1</v>
      </c>
      <c r="H778" s="61" t="s">
        <v>39</v>
      </c>
      <c r="I778" s="61" t="s">
        <v>988</v>
      </c>
      <c r="J778" s="61" t="s">
        <v>919</v>
      </c>
      <c r="K778" s="61" t="s">
        <v>126</v>
      </c>
      <c r="L778" s="159"/>
      <c r="M778" s="169"/>
    </row>
    <row r="779" spans="1:13" x14ac:dyDescent="0.55000000000000004">
      <c r="A779" s="105" t="s">
        <v>3339</v>
      </c>
      <c r="B779" s="61" t="s">
        <v>153</v>
      </c>
      <c r="C779" s="61" t="s">
        <v>127</v>
      </c>
      <c r="D779" s="61" t="s">
        <v>2994</v>
      </c>
      <c r="E779" s="119">
        <v>1.0253441299999999</v>
      </c>
      <c r="F779" s="148" t="s">
        <v>138</v>
      </c>
      <c r="G779" s="148">
        <v>1</v>
      </c>
      <c r="H779" s="61" t="s">
        <v>39</v>
      </c>
      <c r="I779" s="61" t="s">
        <v>988</v>
      </c>
      <c r="J779" s="61" t="s">
        <v>919</v>
      </c>
      <c r="K779" s="61" t="s">
        <v>126</v>
      </c>
      <c r="L779" s="159"/>
      <c r="M779" s="169"/>
    </row>
    <row r="780" spans="1:13" x14ac:dyDescent="0.55000000000000004">
      <c r="A780" s="105" t="s">
        <v>3339</v>
      </c>
      <c r="B780" s="61" t="s">
        <v>153</v>
      </c>
      <c r="C780" s="61" t="s">
        <v>127</v>
      </c>
      <c r="D780" s="61" t="s">
        <v>2994</v>
      </c>
      <c r="E780" s="119">
        <v>1.5591093119999999</v>
      </c>
      <c r="F780" s="148" t="s">
        <v>138</v>
      </c>
      <c r="G780" s="148">
        <v>1</v>
      </c>
      <c r="H780" s="61" t="s">
        <v>39</v>
      </c>
      <c r="I780" s="61" t="s">
        <v>987</v>
      </c>
      <c r="J780" s="61" t="s">
        <v>919</v>
      </c>
      <c r="K780" s="61" t="s">
        <v>126</v>
      </c>
      <c r="L780" s="159"/>
      <c r="M780" s="169"/>
    </row>
    <row r="781" spans="1:13" x14ac:dyDescent="0.55000000000000004">
      <c r="A781" s="105" t="s">
        <v>3339</v>
      </c>
      <c r="B781" s="61" t="s">
        <v>153</v>
      </c>
      <c r="C781" s="61" t="s">
        <v>127</v>
      </c>
      <c r="D781" s="61" t="s">
        <v>2994</v>
      </c>
      <c r="E781" s="119">
        <v>3.0498299599999998</v>
      </c>
      <c r="F781" s="148" t="s">
        <v>138</v>
      </c>
      <c r="G781" s="148">
        <v>1</v>
      </c>
      <c r="H781" s="61" t="s">
        <v>39</v>
      </c>
      <c r="I781" s="61"/>
      <c r="J781" s="61" t="s">
        <v>919</v>
      </c>
      <c r="K781" s="61" t="s">
        <v>126</v>
      </c>
      <c r="L781" s="159"/>
      <c r="M781" s="169"/>
    </row>
    <row r="782" spans="1:13" x14ac:dyDescent="0.55000000000000004">
      <c r="A782" s="105" t="s">
        <v>3339</v>
      </c>
      <c r="B782" s="61" t="s">
        <v>334</v>
      </c>
      <c r="C782" s="61" t="s">
        <v>125</v>
      </c>
      <c r="D782" s="61" t="s">
        <v>3288</v>
      </c>
      <c r="E782" s="119">
        <v>1.9190282999999999E-2</v>
      </c>
      <c r="F782" s="148" t="s">
        <v>135</v>
      </c>
      <c r="G782" s="148">
        <v>1</v>
      </c>
      <c r="H782" s="61" t="s">
        <v>39</v>
      </c>
      <c r="I782" s="61"/>
      <c r="J782" s="61" t="s">
        <v>919</v>
      </c>
      <c r="K782" s="61" t="s">
        <v>126</v>
      </c>
      <c r="L782" s="159"/>
      <c r="M782" s="169"/>
    </row>
    <row r="783" spans="1:13" x14ac:dyDescent="0.55000000000000004">
      <c r="A783" s="105" t="s">
        <v>3340</v>
      </c>
      <c r="B783" s="61" t="s">
        <v>948</v>
      </c>
      <c r="C783" s="61" t="s">
        <v>121</v>
      </c>
      <c r="D783" s="61" t="s">
        <v>3288</v>
      </c>
      <c r="E783" s="119">
        <v>1</v>
      </c>
      <c r="F783" s="148" t="s">
        <v>135</v>
      </c>
      <c r="G783" s="148">
        <v>1</v>
      </c>
      <c r="H783" s="61" t="s">
        <v>39</v>
      </c>
      <c r="I783" s="61"/>
      <c r="J783" s="61"/>
      <c r="K783" s="61"/>
      <c r="L783" s="159">
        <v>271114</v>
      </c>
      <c r="M783" s="169"/>
    </row>
    <row r="784" spans="1:13" x14ac:dyDescent="0.55000000000000004">
      <c r="A784" s="105" t="s">
        <v>3340</v>
      </c>
      <c r="B784" s="61" t="s">
        <v>921</v>
      </c>
      <c r="C784" s="61" t="s">
        <v>125</v>
      </c>
      <c r="D784" s="61" t="s">
        <v>3288</v>
      </c>
      <c r="E784" s="119">
        <v>1.3220141700000001</v>
      </c>
      <c r="F784" s="148" t="s">
        <v>135</v>
      </c>
      <c r="G784" s="148">
        <v>1</v>
      </c>
      <c r="H784" s="61" t="s">
        <v>39</v>
      </c>
      <c r="I784" s="61" t="s">
        <v>993</v>
      </c>
      <c r="J784" s="61" t="s">
        <v>919</v>
      </c>
      <c r="K784" s="61" t="s">
        <v>126</v>
      </c>
      <c r="L784" s="159"/>
      <c r="M784" s="169"/>
    </row>
    <row r="785" spans="1:13" x14ac:dyDescent="0.55000000000000004">
      <c r="A785" s="105" t="s">
        <v>3340</v>
      </c>
      <c r="B785" s="61" t="s">
        <v>922</v>
      </c>
      <c r="C785" s="61" t="s">
        <v>125</v>
      </c>
      <c r="D785" s="61" t="s">
        <v>3288</v>
      </c>
      <c r="E785" s="119">
        <v>1.0576113359999999</v>
      </c>
      <c r="F785" s="148" t="s">
        <v>135</v>
      </c>
      <c r="G785" s="148">
        <v>1</v>
      </c>
      <c r="H785" s="61" t="s">
        <v>39</v>
      </c>
      <c r="I785" s="61" t="s">
        <v>993</v>
      </c>
      <c r="J785" s="61" t="s">
        <v>919</v>
      </c>
      <c r="K785" s="61" t="s">
        <v>126</v>
      </c>
      <c r="L785" s="159"/>
      <c r="M785" s="169"/>
    </row>
    <row r="786" spans="1:13" x14ac:dyDescent="0.55000000000000004">
      <c r="A786" s="105" t="s">
        <v>3340</v>
      </c>
      <c r="B786" s="61" t="s">
        <v>213</v>
      </c>
      <c r="C786" s="61" t="s">
        <v>125</v>
      </c>
      <c r="D786" s="61" t="s">
        <v>3288</v>
      </c>
      <c r="E786" s="119">
        <v>6.4777327999999995E-2</v>
      </c>
      <c r="F786" s="148" t="s">
        <v>135</v>
      </c>
      <c r="G786" s="148">
        <v>1</v>
      </c>
      <c r="H786" s="61" t="s">
        <v>39</v>
      </c>
      <c r="I786" s="61" t="s">
        <v>993</v>
      </c>
      <c r="J786" s="61" t="s">
        <v>919</v>
      </c>
      <c r="K786" s="61" t="s">
        <v>126</v>
      </c>
      <c r="L786" s="159"/>
      <c r="M786" s="169"/>
    </row>
    <row r="787" spans="1:13" x14ac:dyDescent="0.55000000000000004">
      <c r="A787" s="105" t="s">
        <v>3340</v>
      </c>
      <c r="B787" s="61" t="s">
        <v>334</v>
      </c>
      <c r="C787" s="61" t="s">
        <v>125</v>
      </c>
      <c r="D787" s="61" t="s">
        <v>3288</v>
      </c>
      <c r="E787" s="119">
        <v>6.4736842000000003E-2</v>
      </c>
      <c r="F787" s="148" t="s">
        <v>135</v>
      </c>
      <c r="G787" s="148">
        <v>1</v>
      </c>
      <c r="H787" s="61" t="s">
        <v>39</v>
      </c>
      <c r="I787" s="61" t="s">
        <v>993</v>
      </c>
      <c r="J787" s="61" t="s">
        <v>919</v>
      </c>
      <c r="K787" s="61" t="s">
        <v>126</v>
      </c>
      <c r="L787" s="159"/>
      <c r="M787" s="169"/>
    </row>
    <row r="788" spans="1:13" x14ac:dyDescent="0.55000000000000004">
      <c r="A788" s="105" t="s">
        <v>3340</v>
      </c>
      <c r="B788" s="61" t="s">
        <v>153</v>
      </c>
      <c r="C788" s="61" t="s">
        <v>127</v>
      </c>
      <c r="D788" s="61" t="s">
        <v>2994</v>
      </c>
      <c r="E788" s="119">
        <v>0.46537651800000002</v>
      </c>
      <c r="F788" s="148" t="s">
        <v>138</v>
      </c>
      <c r="G788" s="148">
        <v>1</v>
      </c>
      <c r="H788" s="61" t="s">
        <v>39</v>
      </c>
      <c r="I788" s="61" t="s">
        <v>993</v>
      </c>
      <c r="J788" s="61" t="s">
        <v>919</v>
      </c>
      <c r="K788" s="61" t="s">
        <v>126</v>
      </c>
      <c r="L788" s="159"/>
      <c r="M788" s="169"/>
    </row>
    <row r="789" spans="1:13" x14ac:dyDescent="0.55000000000000004">
      <c r="A789" s="105" t="s">
        <v>3340</v>
      </c>
      <c r="B789" s="61" t="s">
        <v>153</v>
      </c>
      <c r="C789" s="61" t="s">
        <v>127</v>
      </c>
      <c r="D789" s="61" t="s">
        <v>2994</v>
      </c>
      <c r="E789" s="119">
        <v>1.0253441299999999</v>
      </c>
      <c r="F789" s="148" t="s">
        <v>138</v>
      </c>
      <c r="G789" s="148">
        <v>1</v>
      </c>
      <c r="H789" s="61" t="s">
        <v>39</v>
      </c>
      <c r="I789" s="61" t="s">
        <v>993</v>
      </c>
      <c r="J789" s="61" t="s">
        <v>919</v>
      </c>
      <c r="K789" s="61" t="s">
        <v>126</v>
      </c>
      <c r="L789" s="159"/>
      <c r="M789" s="169"/>
    </row>
    <row r="790" spans="1:13" x14ac:dyDescent="0.55000000000000004">
      <c r="A790" s="105" t="s">
        <v>3340</v>
      </c>
      <c r="B790" s="61" t="s">
        <v>153</v>
      </c>
      <c r="C790" s="61" t="s">
        <v>127</v>
      </c>
      <c r="D790" s="61" t="s">
        <v>2994</v>
      </c>
      <c r="E790" s="119">
        <v>1.5591093119999999</v>
      </c>
      <c r="F790" s="148" t="s">
        <v>138</v>
      </c>
      <c r="G790" s="148">
        <v>1</v>
      </c>
      <c r="H790" s="61" t="s">
        <v>39</v>
      </c>
      <c r="I790" s="61" t="s">
        <v>993</v>
      </c>
      <c r="J790" s="61" t="s">
        <v>919</v>
      </c>
      <c r="K790" s="61" t="s">
        <v>126</v>
      </c>
      <c r="L790" s="159"/>
      <c r="M790" s="169"/>
    </row>
    <row r="791" spans="1:13" x14ac:dyDescent="0.55000000000000004">
      <c r="A791" s="105" t="s">
        <v>3340</v>
      </c>
      <c r="B791" s="61" t="s">
        <v>153</v>
      </c>
      <c r="C791" s="61" t="s">
        <v>127</v>
      </c>
      <c r="D791" s="61" t="s">
        <v>2994</v>
      </c>
      <c r="E791" s="119">
        <v>1.363190283</v>
      </c>
      <c r="F791" s="148" t="s">
        <v>138</v>
      </c>
      <c r="G791" s="148">
        <v>1</v>
      </c>
      <c r="H791" s="61" t="s">
        <v>39</v>
      </c>
      <c r="I791" s="61" t="s">
        <v>989</v>
      </c>
      <c r="J791" s="61" t="s">
        <v>919</v>
      </c>
      <c r="K791" s="61" t="s">
        <v>126</v>
      </c>
      <c r="L791" s="159"/>
      <c r="M791" s="169"/>
    </row>
    <row r="792" spans="1:13" x14ac:dyDescent="0.55000000000000004">
      <c r="A792" s="105" t="s">
        <v>3340</v>
      </c>
      <c r="B792" s="61" t="s">
        <v>153</v>
      </c>
      <c r="C792" s="61" t="s">
        <v>127</v>
      </c>
      <c r="D792" s="61" t="s">
        <v>2994</v>
      </c>
      <c r="E792" s="119">
        <v>4.4130202430000001</v>
      </c>
      <c r="F792" s="148" t="s">
        <v>138</v>
      </c>
      <c r="G792" s="148">
        <v>1</v>
      </c>
      <c r="H792" s="61" t="s">
        <v>39</v>
      </c>
      <c r="I792" s="61"/>
      <c r="J792" s="61" t="s">
        <v>919</v>
      </c>
      <c r="K792" s="61" t="s">
        <v>126</v>
      </c>
      <c r="L792" s="159"/>
      <c r="M792" s="169"/>
    </row>
    <row r="793" spans="1:13" x14ac:dyDescent="0.55000000000000004">
      <c r="A793" s="105" t="s">
        <v>3341</v>
      </c>
      <c r="B793" s="61" t="s">
        <v>948</v>
      </c>
      <c r="C793" s="61" t="s">
        <v>121</v>
      </c>
      <c r="D793" s="61" t="s">
        <v>3288</v>
      </c>
      <c r="E793" s="119">
        <v>1</v>
      </c>
      <c r="F793" s="148" t="s">
        <v>135</v>
      </c>
      <c r="G793" s="148">
        <v>1</v>
      </c>
      <c r="H793" s="61" t="s">
        <v>39</v>
      </c>
      <c r="I793" s="61"/>
      <c r="J793" s="61"/>
      <c r="K793" s="61"/>
      <c r="L793" s="159">
        <v>271114</v>
      </c>
      <c r="M793" s="169"/>
    </row>
    <row r="794" spans="1:13" x14ac:dyDescent="0.55000000000000004">
      <c r="A794" s="105" t="s">
        <v>3341</v>
      </c>
      <c r="B794" s="61" t="s">
        <v>921</v>
      </c>
      <c r="C794" s="61" t="s">
        <v>125</v>
      </c>
      <c r="D794" s="61" t="s">
        <v>3288</v>
      </c>
      <c r="E794" s="119">
        <v>1.5283400810000001</v>
      </c>
      <c r="F794" s="148" t="s">
        <v>135</v>
      </c>
      <c r="G794" s="148">
        <v>1</v>
      </c>
      <c r="H794" s="61" t="s">
        <v>39</v>
      </c>
      <c r="I794" s="61" t="s">
        <v>963</v>
      </c>
      <c r="J794" s="61" t="s">
        <v>919</v>
      </c>
      <c r="K794" s="61" t="s">
        <v>126</v>
      </c>
      <c r="L794" s="159"/>
      <c r="M794" s="169"/>
    </row>
    <row r="795" spans="1:13" x14ac:dyDescent="0.55000000000000004">
      <c r="A795" s="105" t="s">
        <v>3341</v>
      </c>
      <c r="B795" s="61" t="s">
        <v>922</v>
      </c>
      <c r="C795" s="61" t="s">
        <v>125</v>
      </c>
      <c r="D795" s="61" t="s">
        <v>3288</v>
      </c>
      <c r="E795" s="119">
        <v>1.222672065</v>
      </c>
      <c r="F795" s="148" t="s">
        <v>135</v>
      </c>
      <c r="G795" s="148">
        <v>1</v>
      </c>
      <c r="H795" s="61" t="s">
        <v>39</v>
      </c>
      <c r="I795" s="61" t="s">
        <v>964</v>
      </c>
      <c r="J795" s="61" t="s">
        <v>919</v>
      </c>
      <c r="K795" s="61" t="s">
        <v>126</v>
      </c>
      <c r="L795" s="159"/>
      <c r="M795" s="169"/>
    </row>
    <row r="796" spans="1:13" x14ac:dyDescent="0.55000000000000004">
      <c r="A796" s="105" t="s">
        <v>3341</v>
      </c>
      <c r="B796" s="61" t="s">
        <v>923</v>
      </c>
      <c r="C796" s="61" t="s">
        <v>127</v>
      </c>
      <c r="D796" s="61" t="s">
        <v>2994</v>
      </c>
      <c r="E796" s="119">
        <v>8.8663967610000007</v>
      </c>
      <c r="F796" s="148" t="s">
        <v>138</v>
      </c>
      <c r="G796" s="148">
        <v>1</v>
      </c>
      <c r="H796" s="61" t="s">
        <v>39</v>
      </c>
      <c r="I796" s="61" t="s">
        <v>947</v>
      </c>
      <c r="J796" s="61" t="s">
        <v>919</v>
      </c>
      <c r="K796" s="61" t="s">
        <v>126</v>
      </c>
      <c r="L796" s="159"/>
      <c r="M796" s="169"/>
    </row>
    <row r="797" spans="1:13" x14ac:dyDescent="0.55000000000000004">
      <c r="A797" s="105" t="s">
        <v>3341</v>
      </c>
      <c r="B797" s="61" t="s">
        <v>153</v>
      </c>
      <c r="C797" s="61" t="s">
        <v>127</v>
      </c>
      <c r="D797" s="61" t="s">
        <v>2994</v>
      </c>
      <c r="E797" s="119">
        <v>0.46537651800000002</v>
      </c>
      <c r="F797" s="148" t="s">
        <v>138</v>
      </c>
      <c r="G797" s="148">
        <v>1</v>
      </c>
      <c r="H797" s="61" t="s">
        <v>39</v>
      </c>
      <c r="I797" s="61" t="s">
        <v>965</v>
      </c>
      <c r="J797" s="61" t="s">
        <v>919</v>
      </c>
      <c r="K797" s="61" t="s">
        <v>126</v>
      </c>
      <c r="L797" s="159"/>
      <c r="M797" s="169"/>
    </row>
    <row r="798" spans="1:13" x14ac:dyDescent="0.55000000000000004">
      <c r="A798" s="105" t="s">
        <v>3341</v>
      </c>
      <c r="B798" s="61" t="s">
        <v>153</v>
      </c>
      <c r="C798" s="61" t="s">
        <v>127</v>
      </c>
      <c r="D798" s="61" t="s">
        <v>2994</v>
      </c>
      <c r="E798" s="119">
        <v>1.0253441299999999</v>
      </c>
      <c r="F798" s="148" t="s">
        <v>138</v>
      </c>
      <c r="G798" s="148">
        <v>1</v>
      </c>
      <c r="H798" s="61" t="s">
        <v>39</v>
      </c>
      <c r="I798" s="61" t="s">
        <v>966</v>
      </c>
      <c r="J798" s="61" t="s">
        <v>919</v>
      </c>
      <c r="K798" s="61" t="s">
        <v>126</v>
      </c>
      <c r="L798" s="159"/>
      <c r="M798" s="169"/>
    </row>
    <row r="799" spans="1:13" x14ac:dyDescent="0.55000000000000004">
      <c r="A799" s="105" t="s">
        <v>3341</v>
      </c>
      <c r="B799" s="61" t="s">
        <v>153</v>
      </c>
      <c r="C799" s="61" t="s">
        <v>127</v>
      </c>
      <c r="D799" s="61" t="s">
        <v>2994</v>
      </c>
      <c r="E799" s="119">
        <v>1.4907206479999999</v>
      </c>
      <c r="F799" s="148" t="s">
        <v>138</v>
      </c>
      <c r="G799" s="148">
        <v>1</v>
      </c>
      <c r="H799" s="61" t="s">
        <v>39</v>
      </c>
      <c r="I799" s="61" t="s">
        <v>967</v>
      </c>
      <c r="J799" s="61" t="s">
        <v>919</v>
      </c>
      <c r="K799" s="61" t="s">
        <v>126</v>
      </c>
      <c r="L799" s="159"/>
      <c r="M799" s="169"/>
    </row>
    <row r="800" spans="1:13" x14ac:dyDescent="0.55000000000000004">
      <c r="A800" s="105" t="s">
        <v>3341</v>
      </c>
      <c r="B800" s="61" t="s">
        <v>160</v>
      </c>
      <c r="C800" s="61" t="s">
        <v>497</v>
      </c>
      <c r="D800" s="61" t="s">
        <v>3288</v>
      </c>
      <c r="E800" s="119">
        <v>0.59404858299999996</v>
      </c>
      <c r="F800" s="148" t="s">
        <v>135</v>
      </c>
      <c r="G800" s="148">
        <v>1</v>
      </c>
      <c r="H800" s="61" t="s">
        <v>39</v>
      </c>
      <c r="I800" s="61" t="s">
        <v>959</v>
      </c>
      <c r="J800" s="61" t="s">
        <v>924</v>
      </c>
      <c r="K800" s="61" t="s">
        <v>126</v>
      </c>
      <c r="L800" s="159"/>
      <c r="M800" s="169"/>
    </row>
    <row r="801" spans="1:13" x14ac:dyDescent="0.55000000000000004">
      <c r="A801" s="105" t="s">
        <v>3342</v>
      </c>
      <c r="B801" s="61" t="s">
        <v>948</v>
      </c>
      <c r="C801" s="61" t="s">
        <v>121</v>
      </c>
      <c r="D801" s="61" t="s">
        <v>3288</v>
      </c>
      <c r="E801" s="119">
        <v>1</v>
      </c>
      <c r="F801" s="148" t="s">
        <v>135</v>
      </c>
      <c r="G801" s="148">
        <v>1</v>
      </c>
      <c r="H801" s="61" t="s">
        <v>39</v>
      </c>
      <c r="I801" s="61"/>
      <c r="J801" s="61"/>
      <c r="K801" s="61"/>
      <c r="L801" s="159">
        <v>271114</v>
      </c>
      <c r="M801" s="169"/>
    </row>
    <row r="802" spans="1:13" x14ac:dyDescent="0.55000000000000004">
      <c r="A802" s="105" t="s">
        <v>3342</v>
      </c>
      <c r="B802" s="61" t="s">
        <v>921</v>
      </c>
      <c r="C802" s="61" t="s">
        <v>125</v>
      </c>
      <c r="D802" s="61" t="s">
        <v>3288</v>
      </c>
      <c r="E802" s="119">
        <v>1.4213562749999999</v>
      </c>
      <c r="F802" s="148" t="s">
        <v>135</v>
      </c>
      <c r="G802" s="148">
        <v>1</v>
      </c>
      <c r="H802" s="61" t="s">
        <v>39</v>
      </c>
      <c r="I802" s="61" t="s">
        <v>986</v>
      </c>
      <c r="J802" s="61" t="s">
        <v>919</v>
      </c>
      <c r="K802" s="61" t="s">
        <v>126</v>
      </c>
      <c r="L802" s="159"/>
      <c r="M802" s="169"/>
    </row>
    <row r="803" spans="1:13" x14ac:dyDescent="0.55000000000000004">
      <c r="A803" s="105" t="s">
        <v>3342</v>
      </c>
      <c r="B803" s="61" t="s">
        <v>922</v>
      </c>
      <c r="C803" s="61" t="s">
        <v>125</v>
      </c>
      <c r="D803" s="61" t="s">
        <v>3288</v>
      </c>
      <c r="E803" s="119">
        <v>1.13708502</v>
      </c>
      <c r="F803" s="148" t="s">
        <v>135</v>
      </c>
      <c r="G803" s="148">
        <v>1</v>
      </c>
      <c r="H803" s="61" t="s">
        <v>39</v>
      </c>
      <c r="I803" s="61" t="s">
        <v>986</v>
      </c>
      <c r="J803" s="61" t="s">
        <v>919</v>
      </c>
      <c r="K803" s="61" t="s">
        <v>126</v>
      </c>
      <c r="L803" s="159"/>
      <c r="M803" s="169"/>
    </row>
    <row r="804" spans="1:13" x14ac:dyDescent="0.55000000000000004">
      <c r="A804" s="105" t="s">
        <v>3342</v>
      </c>
      <c r="B804" s="61" t="s">
        <v>213</v>
      </c>
      <c r="C804" s="61" t="s">
        <v>125</v>
      </c>
      <c r="D804" s="61" t="s">
        <v>3288</v>
      </c>
      <c r="E804" s="119">
        <v>6.4777327999999995E-2</v>
      </c>
      <c r="F804" s="148" t="s">
        <v>135</v>
      </c>
      <c r="G804" s="148">
        <v>1</v>
      </c>
      <c r="H804" s="61" t="s">
        <v>39</v>
      </c>
      <c r="I804" s="61" t="s">
        <v>987</v>
      </c>
      <c r="J804" s="61" t="s">
        <v>919</v>
      </c>
      <c r="K804" s="61" t="s">
        <v>126</v>
      </c>
      <c r="L804" s="159"/>
      <c r="M804" s="169"/>
    </row>
    <row r="805" spans="1:13" x14ac:dyDescent="0.55000000000000004">
      <c r="A805" s="105" t="s">
        <v>3342</v>
      </c>
      <c r="B805" s="61" t="s">
        <v>923</v>
      </c>
      <c r="C805" s="61" t="s">
        <v>127</v>
      </c>
      <c r="D805" s="61" t="s">
        <v>2994</v>
      </c>
      <c r="E805" s="119">
        <v>8.461538462</v>
      </c>
      <c r="F805" s="148" t="s">
        <v>138</v>
      </c>
      <c r="G805" s="148">
        <v>1</v>
      </c>
      <c r="H805" s="61" t="s">
        <v>39</v>
      </c>
      <c r="I805" s="61" t="s">
        <v>988</v>
      </c>
      <c r="J805" s="61" t="s">
        <v>919</v>
      </c>
      <c r="K805" s="61" t="s">
        <v>126</v>
      </c>
      <c r="L805" s="159"/>
      <c r="M805" s="169"/>
    </row>
    <row r="806" spans="1:13" x14ac:dyDescent="0.55000000000000004">
      <c r="A806" s="105" t="s">
        <v>3342</v>
      </c>
      <c r="B806" s="61" t="s">
        <v>153</v>
      </c>
      <c r="C806" s="61" t="s">
        <v>127</v>
      </c>
      <c r="D806" s="61" t="s">
        <v>2994</v>
      </c>
      <c r="E806" s="119">
        <v>0.46537651800000002</v>
      </c>
      <c r="F806" s="148" t="s">
        <v>138</v>
      </c>
      <c r="G806" s="148">
        <v>1</v>
      </c>
      <c r="H806" s="61" t="s">
        <v>39</v>
      </c>
      <c r="I806" s="61" t="s">
        <v>988</v>
      </c>
      <c r="J806" s="61" t="s">
        <v>919</v>
      </c>
      <c r="K806" s="61" t="s">
        <v>126</v>
      </c>
      <c r="L806" s="159"/>
      <c r="M806" s="169"/>
    </row>
    <row r="807" spans="1:13" x14ac:dyDescent="0.55000000000000004">
      <c r="A807" s="105" t="s">
        <v>3342</v>
      </c>
      <c r="B807" s="61" t="s">
        <v>153</v>
      </c>
      <c r="C807" s="61" t="s">
        <v>127</v>
      </c>
      <c r="D807" s="61" t="s">
        <v>2994</v>
      </c>
      <c r="E807" s="119">
        <v>1.0253441299999999</v>
      </c>
      <c r="F807" s="148" t="s">
        <v>138</v>
      </c>
      <c r="G807" s="148">
        <v>1</v>
      </c>
      <c r="H807" s="61" t="s">
        <v>39</v>
      </c>
      <c r="I807" s="61" t="s">
        <v>988</v>
      </c>
      <c r="J807" s="61" t="s">
        <v>919</v>
      </c>
      <c r="K807" s="61" t="s">
        <v>126</v>
      </c>
      <c r="L807" s="159"/>
      <c r="M807" s="169"/>
    </row>
    <row r="808" spans="1:13" x14ac:dyDescent="0.55000000000000004">
      <c r="A808" s="105" t="s">
        <v>3342</v>
      </c>
      <c r="B808" s="61" t="s">
        <v>153</v>
      </c>
      <c r="C808" s="61" t="s">
        <v>127</v>
      </c>
      <c r="D808" s="61" t="s">
        <v>2994</v>
      </c>
      <c r="E808" s="119">
        <v>1.363190283</v>
      </c>
      <c r="F808" s="148" t="s">
        <v>138</v>
      </c>
      <c r="G808" s="148">
        <v>1</v>
      </c>
      <c r="H808" s="61" t="s">
        <v>39</v>
      </c>
      <c r="I808" s="61" t="s">
        <v>989</v>
      </c>
      <c r="J808" s="61" t="s">
        <v>919</v>
      </c>
      <c r="K808" s="61" t="s">
        <v>126</v>
      </c>
      <c r="L808" s="159"/>
      <c r="M808" s="169"/>
    </row>
    <row r="809" spans="1:13" x14ac:dyDescent="0.55000000000000004">
      <c r="A809" s="105" t="s">
        <v>3342</v>
      </c>
      <c r="B809" s="61" t="s">
        <v>153</v>
      </c>
      <c r="C809" s="61" t="s">
        <v>127</v>
      </c>
      <c r="D809" s="61" t="s">
        <v>2994</v>
      </c>
      <c r="E809" s="119">
        <v>0.44048583000000002</v>
      </c>
      <c r="F809" s="148" t="s">
        <v>138</v>
      </c>
      <c r="G809" s="148">
        <v>1</v>
      </c>
      <c r="H809" s="61" t="s">
        <v>39</v>
      </c>
      <c r="I809" s="61" t="s">
        <v>987</v>
      </c>
      <c r="J809" s="61" t="s">
        <v>919</v>
      </c>
      <c r="K809" s="61" t="s">
        <v>126</v>
      </c>
      <c r="L809" s="159"/>
      <c r="M809" s="169"/>
    </row>
    <row r="810" spans="1:13" x14ac:dyDescent="0.55000000000000004">
      <c r="A810" s="105" t="s">
        <v>3342</v>
      </c>
      <c r="B810" s="61" t="s">
        <v>153</v>
      </c>
      <c r="C810" s="61" t="s">
        <v>127</v>
      </c>
      <c r="D810" s="61" t="s">
        <v>2994</v>
      </c>
      <c r="E810" s="119">
        <v>3.2943967609999998</v>
      </c>
      <c r="F810" s="148" t="s">
        <v>138</v>
      </c>
      <c r="G810" s="148">
        <v>1</v>
      </c>
      <c r="H810" s="61" t="s">
        <v>39</v>
      </c>
      <c r="I810" s="61"/>
      <c r="J810" s="61" t="s">
        <v>919</v>
      </c>
      <c r="K810" s="61" t="s">
        <v>126</v>
      </c>
      <c r="L810" s="159"/>
      <c r="M810" s="169"/>
    </row>
    <row r="811" spans="1:13" x14ac:dyDescent="0.55000000000000004">
      <c r="A811" s="105" t="s">
        <v>3342</v>
      </c>
      <c r="B811" s="61" t="s">
        <v>160</v>
      </c>
      <c r="C811" s="61" t="s">
        <v>497</v>
      </c>
      <c r="D811" s="61" t="s">
        <v>3288</v>
      </c>
      <c r="E811" s="119">
        <v>2.8346153999999998E-2</v>
      </c>
      <c r="F811" s="148" t="s">
        <v>135</v>
      </c>
      <c r="G811" s="148">
        <v>1</v>
      </c>
      <c r="H811" s="61" t="s">
        <v>39</v>
      </c>
      <c r="I811" s="61" t="s">
        <v>959</v>
      </c>
      <c r="J811" s="61" t="s">
        <v>924</v>
      </c>
      <c r="K811" s="61" t="s">
        <v>126</v>
      </c>
      <c r="L811" s="159"/>
      <c r="M811" s="169"/>
    </row>
    <row r="812" spans="1:13" x14ac:dyDescent="0.55000000000000004">
      <c r="A812" s="105" t="s">
        <v>3343</v>
      </c>
      <c r="B812" s="61" t="s">
        <v>920</v>
      </c>
      <c r="C812" s="61" t="s">
        <v>121</v>
      </c>
      <c r="D812" s="61" t="s">
        <v>3288</v>
      </c>
      <c r="E812" s="119">
        <v>1</v>
      </c>
      <c r="F812" s="148" t="s">
        <v>135</v>
      </c>
      <c r="G812" s="148">
        <v>1</v>
      </c>
      <c r="H812" s="61" t="s">
        <v>39</v>
      </c>
      <c r="I812" s="61"/>
      <c r="J812" s="61"/>
      <c r="K812" s="61"/>
      <c r="L812" s="159">
        <v>271114</v>
      </c>
      <c r="M812" s="169"/>
    </row>
    <row r="813" spans="1:13" x14ac:dyDescent="0.55000000000000004">
      <c r="A813" s="105" t="s">
        <v>3343</v>
      </c>
      <c r="B813" s="61" t="s">
        <v>939</v>
      </c>
      <c r="C813" s="61" t="s">
        <v>125</v>
      </c>
      <c r="D813" s="61" t="s">
        <v>3288</v>
      </c>
      <c r="E813" s="119">
        <v>1.5870445339999999</v>
      </c>
      <c r="F813" s="148" t="s">
        <v>135</v>
      </c>
      <c r="G813" s="148">
        <v>1</v>
      </c>
      <c r="H813" s="61" t="s">
        <v>39</v>
      </c>
      <c r="I813" s="61"/>
      <c r="J813" s="61" t="s">
        <v>919</v>
      </c>
      <c r="K813" s="61" t="s">
        <v>126</v>
      </c>
      <c r="L813" s="159"/>
      <c r="M813" s="169"/>
    </row>
    <row r="814" spans="1:13" x14ac:dyDescent="0.55000000000000004">
      <c r="A814" s="105" t="s">
        <v>3343</v>
      </c>
      <c r="B814" s="61" t="s">
        <v>213</v>
      </c>
      <c r="C814" s="61" t="s">
        <v>125</v>
      </c>
      <c r="D814" s="61" t="s">
        <v>3288</v>
      </c>
      <c r="E814" s="119">
        <v>6.4777327999999995E-2</v>
      </c>
      <c r="F814" s="148" t="s">
        <v>135</v>
      </c>
      <c r="G814" s="148">
        <v>1</v>
      </c>
      <c r="H814" s="61" t="s">
        <v>39</v>
      </c>
      <c r="I814" s="61"/>
      <c r="J814" s="61" t="s">
        <v>919</v>
      </c>
      <c r="K814" s="61" t="s">
        <v>126</v>
      </c>
      <c r="L814" s="159"/>
      <c r="M814" s="169"/>
    </row>
    <row r="815" spans="1:13" x14ac:dyDescent="0.55000000000000004">
      <c r="A815" s="105" t="s">
        <v>3343</v>
      </c>
      <c r="B815" s="61" t="s">
        <v>153</v>
      </c>
      <c r="C815" s="61" t="s">
        <v>127</v>
      </c>
      <c r="D815" s="61" t="s">
        <v>2994</v>
      </c>
      <c r="E815" s="119">
        <v>8.1201133599999995</v>
      </c>
      <c r="F815" s="148" t="s">
        <v>138</v>
      </c>
      <c r="G815" s="148">
        <v>1</v>
      </c>
      <c r="H815" s="61" t="s">
        <v>39</v>
      </c>
      <c r="I815" s="61"/>
      <c r="J815" s="61" t="s">
        <v>919</v>
      </c>
      <c r="K815" s="61" t="s">
        <v>126</v>
      </c>
      <c r="L815" s="159"/>
      <c r="M815" s="169"/>
    </row>
    <row r="816" spans="1:13" x14ac:dyDescent="0.55000000000000004">
      <c r="A816" s="105" t="s">
        <v>3343</v>
      </c>
      <c r="B816" s="61" t="s">
        <v>153</v>
      </c>
      <c r="C816" s="61" t="s">
        <v>127</v>
      </c>
      <c r="D816" s="61" t="s">
        <v>2994</v>
      </c>
      <c r="E816" s="119">
        <v>1.5591093119999999</v>
      </c>
      <c r="F816" s="148" t="s">
        <v>138</v>
      </c>
      <c r="G816" s="148">
        <v>1</v>
      </c>
      <c r="H816" s="61" t="s">
        <v>39</v>
      </c>
      <c r="I816" s="61"/>
      <c r="J816" s="61" t="s">
        <v>919</v>
      </c>
      <c r="K816" s="61" t="s">
        <v>126</v>
      </c>
      <c r="L816" s="159"/>
      <c r="M816" s="169"/>
    </row>
    <row r="817" spans="1:13" x14ac:dyDescent="0.55000000000000004">
      <c r="A817" s="105" t="s">
        <v>3343</v>
      </c>
      <c r="B817" s="61" t="s">
        <v>153</v>
      </c>
      <c r="C817" s="61" t="s">
        <v>127</v>
      </c>
      <c r="D817" s="61" t="s">
        <v>2994</v>
      </c>
      <c r="E817" s="119">
        <v>9.6792226719999999</v>
      </c>
      <c r="F817" s="148" t="s">
        <v>138</v>
      </c>
      <c r="G817" s="148">
        <v>1</v>
      </c>
      <c r="H817" s="61" t="s">
        <v>39</v>
      </c>
      <c r="I817" s="61"/>
      <c r="J817" s="61" t="s">
        <v>919</v>
      </c>
      <c r="K817" s="61" t="s">
        <v>126</v>
      </c>
      <c r="L817" s="159"/>
      <c r="M817" s="169"/>
    </row>
    <row r="818" spans="1:13" x14ac:dyDescent="0.55000000000000004">
      <c r="A818" s="105" t="s">
        <v>3343</v>
      </c>
      <c r="B818" s="61" t="s">
        <v>334</v>
      </c>
      <c r="C818" s="61" t="s">
        <v>125</v>
      </c>
      <c r="D818" s="61" t="s">
        <v>3288</v>
      </c>
      <c r="E818" s="119">
        <v>1.9190282999999999E-2</v>
      </c>
      <c r="F818" s="148" t="s">
        <v>135</v>
      </c>
      <c r="G818" s="148">
        <v>1</v>
      </c>
      <c r="H818" s="61" t="s">
        <v>39</v>
      </c>
      <c r="I818" s="61"/>
      <c r="J818" s="61" t="s">
        <v>919</v>
      </c>
      <c r="K818" s="61" t="s">
        <v>126</v>
      </c>
      <c r="L818" s="159"/>
      <c r="M818" s="169"/>
    </row>
    <row r="819" spans="1:13" x14ac:dyDescent="0.55000000000000004">
      <c r="A819" s="105" t="s">
        <v>3344</v>
      </c>
      <c r="B819" s="61" t="s">
        <v>920</v>
      </c>
      <c r="C819" s="61" t="s">
        <v>121</v>
      </c>
      <c r="D819" s="61" t="s">
        <v>3288</v>
      </c>
      <c r="E819" s="119">
        <v>1</v>
      </c>
      <c r="F819" s="148" t="s">
        <v>135</v>
      </c>
      <c r="G819" s="148">
        <v>1</v>
      </c>
      <c r="H819" s="61" t="s">
        <v>39</v>
      </c>
      <c r="I819" s="168"/>
      <c r="J819" s="61"/>
      <c r="K819" s="168"/>
      <c r="L819" s="159">
        <v>271114</v>
      </c>
      <c r="M819" s="169"/>
    </row>
    <row r="820" spans="1:13" x14ac:dyDescent="0.55000000000000004">
      <c r="A820" s="105" t="s">
        <v>3344</v>
      </c>
      <c r="B820" s="61" t="s">
        <v>939</v>
      </c>
      <c r="C820" s="61" t="s">
        <v>125</v>
      </c>
      <c r="D820" s="61" t="s">
        <v>3288</v>
      </c>
      <c r="E820" s="119">
        <v>1.5870445339999999</v>
      </c>
      <c r="F820" s="148" t="s">
        <v>135</v>
      </c>
      <c r="G820" s="148">
        <v>1</v>
      </c>
      <c r="H820" s="61" t="s">
        <v>39</v>
      </c>
      <c r="I820" s="61"/>
      <c r="J820" s="61" t="s">
        <v>919</v>
      </c>
      <c r="K820" s="61" t="s">
        <v>126</v>
      </c>
      <c r="L820" s="159"/>
      <c r="M820" s="169"/>
    </row>
    <row r="821" spans="1:13" x14ac:dyDescent="0.55000000000000004">
      <c r="A821" s="105" t="s">
        <v>3344</v>
      </c>
      <c r="B821" s="61" t="s">
        <v>213</v>
      </c>
      <c r="C821" s="61" t="s">
        <v>125</v>
      </c>
      <c r="D821" s="61" t="s">
        <v>3288</v>
      </c>
      <c r="E821" s="119">
        <v>6.4777327999999995E-2</v>
      </c>
      <c r="F821" s="148" t="s">
        <v>135</v>
      </c>
      <c r="G821" s="148">
        <v>1</v>
      </c>
      <c r="H821" s="61" t="s">
        <v>39</v>
      </c>
      <c r="I821" s="61"/>
      <c r="J821" s="61" t="s">
        <v>919</v>
      </c>
      <c r="K821" s="61" t="s">
        <v>126</v>
      </c>
      <c r="L821" s="159"/>
      <c r="M821" s="169"/>
    </row>
    <row r="822" spans="1:13" x14ac:dyDescent="0.55000000000000004">
      <c r="A822" s="105" t="s">
        <v>3344</v>
      </c>
      <c r="B822" s="61" t="s">
        <v>334</v>
      </c>
      <c r="C822" s="61" t="s">
        <v>125</v>
      </c>
      <c r="D822" s="61" t="s">
        <v>3288</v>
      </c>
      <c r="E822" s="119">
        <v>6.4736842000000003E-2</v>
      </c>
      <c r="F822" s="148" t="s">
        <v>135</v>
      </c>
      <c r="G822" s="148">
        <v>1</v>
      </c>
      <c r="H822" s="61" t="s">
        <v>39</v>
      </c>
      <c r="I822" s="61"/>
      <c r="J822" s="61" t="s">
        <v>919</v>
      </c>
      <c r="K822" s="61" t="s">
        <v>126</v>
      </c>
      <c r="L822" s="159"/>
      <c r="M822" s="169"/>
    </row>
    <row r="823" spans="1:13" x14ac:dyDescent="0.55000000000000004">
      <c r="A823" s="105" t="s">
        <v>3344</v>
      </c>
      <c r="B823" s="61" t="s">
        <v>153</v>
      </c>
      <c r="C823" s="61" t="s">
        <v>127</v>
      </c>
      <c r="D823" s="61" t="s">
        <v>2994</v>
      </c>
      <c r="E823" s="119">
        <v>1.0253441299999999</v>
      </c>
      <c r="F823" s="148" t="s">
        <v>138</v>
      </c>
      <c r="G823" s="148">
        <v>1</v>
      </c>
      <c r="H823" s="61" t="s">
        <v>39</v>
      </c>
      <c r="I823" s="61"/>
      <c r="J823" s="61" t="s">
        <v>919</v>
      </c>
      <c r="K823" s="61" t="s">
        <v>126</v>
      </c>
      <c r="L823" s="159"/>
      <c r="M823" s="169"/>
    </row>
    <row r="824" spans="1:13" x14ac:dyDescent="0.55000000000000004">
      <c r="A824" s="105" t="s">
        <v>3344</v>
      </c>
      <c r="B824" s="61" t="s">
        <v>153</v>
      </c>
      <c r="C824" s="61" t="s">
        <v>127</v>
      </c>
      <c r="D824" s="61" t="s">
        <v>2994</v>
      </c>
      <c r="E824" s="119">
        <v>1.5591093119999999</v>
      </c>
      <c r="F824" s="148" t="s">
        <v>138</v>
      </c>
      <c r="G824" s="148">
        <v>1</v>
      </c>
      <c r="H824" s="61" t="s">
        <v>39</v>
      </c>
      <c r="I824" s="61"/>
      <c r="J824" s="61" t="s">
        <v>919</v>
      </c>
      <c r="K824" s="61" t="s">
        <v>126</v>
      </c>
      <c r="L824" s="159"/>
      <c r="M824" s="169"/>
    </row>
    <row r="825" spans="1:13" x14ac:dyDescent="0.55000000000000004">
      <c r="A825" s="105" t="s">
        <v>3344</v>
      </c>
      <c r="B825" s="61" t="s">
        <v>153</v>
      </c>
      <c r="C825" s="61" t="s">
        <v>127</v>
      </c>
      <c r="D825" s="61" t="s">
        <v>2994</v>
      </c>
      <c r="E825" s="119">
        <v>2.584453441</v>
      </c>
      <c r="F825" s="148" t="s">
        <v>138</v>
      </c>
      <c r="G825" s="148">
        <v>1</v>
      </c>
      <c r="H825" s="61" t="s">
        <v>39</v>
      </c>
      <c r="I825" s="61"/>
      <c r="J825" s="61" t="s">
        <v>919</v>
      </c>
      <c r="K825" s="61" t="s">
        <v>126</v>
      </c>
      <c r="L825" s="159"/>
      <c r="M825" s="169"/>
    </row>
    <row r="826" spans="1:13" x14ac:dyDescent="0.55000000000000004">
      <c r="A826" s="105" t="s">
        <v>3344</v>
      </c>
      <c r="B826" s="61" t="s">
        <v>334</v>
      </c>
      <c r="C826" s="61" t="s">
        <v>125</v>
      </c>
      <c r="D826" s="61" t="s">
        <v>3288</v>
      </c>
      <c r="E826" s="119">
        <v>1.9190282999999999E-2</v>
      </c>
      <c r="F826" s="148" t="s">
        <v>135</v>
      </c>
      <c r="G826" s="148">
        <v>1</v>
      </c>
      <c r="H826" s="61" t="s">
        <v>39</v>
      </c>
      <c r="I826" s="61"/>
      <c r="J826" s="61" t="s">
        <v>919</v>
      </c>
      <c r="K826" s="61" t="s">
        <v>126</v>
      </c>
      <c r="L826" s="159"/>
      <c r="M826" s="169"/>
    </row>
    <row r="827" spans="1:13" x14ac:dyDescent="0.55000000000000004">
      <c r="A827" s="105" t="s">
        <v>3345</v>
      </c>
      <c r="B827" s="61" t="s">
        <v>920</v>
      </c>
      <c r="C827" s="61" t="s">
        <v>121</v>
      </c>
      <c r="D827" s="61" t="s">
        <v>3288</v>
      </c>
      <c r="E827" s="119">
        <v>1</v>
      </c>
      <c r="F827" s="148" t="s">
        <v>135</v>
      </c>
      <c r="G827" s="148">
        <v>1</v>
      </c>
      <c r="H827" s="61" t="s">
        <v>39</v>
      </c>
      <c r="I827" s="61"/>
      <c r="J827" s="61"/>
      <c r="K827" s="61"/>
      <c r="L827" s="159">
        <v>271114</v>
      </c>
      <c r="M827" s="169"/>
    </row>
    <row r="828" spans="1:13" x14ac:dyDescent="0.55000000000000004">
      <c r="A828" s="105" t="s">
        <v>3345</v>
      </c>
      <c r="B828" s="61" t="s">
        <v>939</v>
      </c>
      <c r="C828" s="61" t="s">
        <v>125</v>
      </c>
      <c r="D828" s="61" t="s">
        <v>3288</v>
      </c>
      <c r="E828" s="119">
        <v>1.5870445339999999</v>
      </c>
      <c r="F828" s="148" t="s">
        <v>135</v>
      </c>
      <c r="G828" s="148">
        <v>1</v>
      </c>
      <c r="H828" s="61" t="s">
        <v>39</v>
      </c>
      <c r="I828" s="61"/>
      <c r="J828" s="61" t="s">
        <v>919</v>
      </c>
      <c r="K828" s="61" t="s">
        <v>126</v>
      </c>
      <c r="L828" s="159"/>
      <c r="M828" s="169"/>
    </row>
    <row r="829" spans="1:13" x14ac:dyDescent="0.55000000000000004">
      <c r="A829" s="105" t="s">
        <v>3345</v>
      </c>
      <c r="B829" s="61" t="s">
        <v>923</v>
      </c>
      <c r="C829" s="61" t="s">
        <v>127</v>
      </c>
      <c r="D829" s="61" t="s">
        <v>2994</v>
      </c>
      <c r="E829" s="119">
        <v>8.8663967610000007</v>
      </c>
      <c r="F829" s="148" t="s">
        <v>138</v>
      </c>
      <c r="G829" s="148">
        <v>1</v>
      </c>
      <c r="H829" s="61" t="s">
        <v>39</v>
      </c>
      <c r="I829" s="61"/>
      <c r="J829" s="61" t="s">
        <v>919</v>
      </c>
      <c r="K829" s="61" t="s">
        <v>126</v>
      </c>
      <c r="L829" s="159"/>
      <c r="M829" s="169"/>
    </row>
    <row r="830" spans="1:13" x14ac:dyDescent="0.55000000000000004">
      <c r="A830" s="105" t="s">
        <v>3345</v>
      </c>
      <c r="B830" s="61" t="s">
        <v>153</v>
      </c>
      <c r="C830" s="61" t="s">
        <v>127</v>
      </c>
      <c r="D830" s="61" t="s">
        <v>2994</v>
      </c>
      <c r="E830" s="119">
        <v>1.0253441299999999</v>
      </c>
      <c r="F830" s="148" t="s">
        <v>138</v>
      </c>
      <c r="G830" s="148">
        <v>1</v>
      </c>
      <c r="H830" s="61" t="s">
        <v>39</v>
      </c>
      <c r="I830" s="61"/>
      <c r="J830" s="61" t="s">
        <v>919</v>
      </c>
      <c r="K830" s="61" t="s">
        <v>126</v>
      </c>
      <c r="L830" s="159"/>
      <c r="M830" s="169"/>
    </row>
    <row r="831" spans="1:13" x14ac:dyDescent="0.55000000000000004">
      <c r="A831" s="105" t="s">
        <v>3345</v>
      </c>
      <c r="B831" s="61" t="s">
        <v>160</v>
      </c>
      <c r="C831" s="61" t="s">
        <v>497</v>
      </c>
      <c r="D831" s="61" t="s">
        <v>3288</v>
      </c>
      <c r="E831" s="119">
        <v>0.59404858299999996</v>
      </c>
      <c r="F831" s="148" t="s">
        <v>135</v>
      </c>
      <c r="G831" s="148">
        <v>1</v>
      </c>
      <c r="H831" s="61" t="s">
        <v>39</v>
      </c>
      <c r="I831" s="61" t="s">
        <v>959</v>
      </c>
      <c r="J831" s="61" t="s">
        <v>924</v>
      </c>
      <c r="K831" s="61" t="s">
        <v>126</v>
      </c>
      <c r="L831" s="159"/>
      <c r="M831" s="169"/>
    </row>
    <row r="832" spans="1:13" x14ac:dyDescent="0.55000000000000004">
      <c r="A832" s="105" t="s">
        <v>3346</v>
      </c>
      <c r="B832" s="61" t="s">
        <v>920</v>
      </c>
      <c r="C832" s="61" t="s">
        <v>121</v>
      </c>
      <c r="D832" s="61" t="s">
        <v>3288</v>
      </c>
      <c r="E832" s="119">
        <v>1</v>
      </c>
      <c r="F832" s="148" t="s">
        <v>135</v>
      </c>
      <c r="G832" s="148">
        <v>1</v>
      </c>
      <c r="H832" s="61" t="s">
        <v>39</v>
      </c>
      <c r="I832" s="61"/>
      <c r="J832" s="61"/>
      <c r="K832" s="61"/>
      <c r="L832" s="159">
        <v>271114</v>
      </c>
      <c r="M832" s="169"/>
    </row>
    <row r="833" spans="1:13" x14ac:dyDescent="0.55000000000000004">
      <c r="A833" s="105" t="s">
        <v>3346</v>
      </c>
      <c r="B833" s="61" t="s">
        <v>939</v>
      </c>
      <c r="C833" s="61" t="s">
        <v>125</v>
      </c>
      <c r="D833" s="61" t="s">
        <v>3288</v>
      </c>
      <c r="E833" s="119">
        <v>1.5870445339999999</v>
      </c>
      <c r="F833" s="148" t="s">
        <v>135</v>
      </c>
      <c r="G833" s="148">
        <v>1</v>
      </c>
      <c r="H833" s="61" t="s">
        <v>39</v>
      </c>
      <c r="I833" s="61"/>
      <c r="J833" s="61" t="s">
        <v>919</v>
      </c>
      <c r="K833" s="61" t="s">
        <v>126</v>
      </c>
      <c r="L833" s="159"/>
      <c r="M833" s="169"/>
    </row>
    <row r="834" spans="1:13" x14ac:dyDescent="0.55000000000000004">
      <c r="A834" s="105" t="s">
        <v>3346</v>
      </c>
      <c r="B834" s="61" t="s">
        <v>213</v>
      </c>
      <c r="C834" s="61" t="s">
        <v>125</v>
      </c>
      <c r="D834" s="61" t="s">
        <v>3288</v>
      </c>
      <c r="E834" s="119">
        <v>6.4777327999999995E-2</v>
      </c>
      <c r="F834" s="148" t="s">
        <v>135</v>
      </c>
      <c r="G834" s="148">
        <v>1</v>
      </c>
      <c r="H834" s="61" t="s">
        <v>39</v>
      </c>
      <c r="I834" s="61"/>
      <c r="J834" s="61" t="s">
        <v>919</v>
      </c>
      <c r="K834" s="61" t="s">
        <v>126</v>
      </c>
      <c r="L834" s="159"/>
      <c r="M834" s="169"/>
    </row>
    <row r="835" spans="1:13" x14ac:dyDescent="0.55000000000000004">
      <c r="A835" s="105" t="s">
        <v>3346</v>
      </c>
      <c r="B835" s="61" t="s">
        <v>153</v>
      </c>
      <c r="C835" s="61" t="s">
        <v>127</v>
      </c>
      <c r="D835" s="61" t="s">
        <v>2994</v>
      </c>
      <c r="E835" s="119">
        <v>1.46582996</v>
      </c>
      <c r="F835" s="148" t="s">
        <v>138</v>
      </c>
      <c r="G835" s="148">
        <v>1</v>
      </c>
      <c r="H835" s="61" t="s">
        <v>39</v>
      </c>
      <c r="I835" s="61"/>
      <c r="J835" s="61" t="s">
        <v>919</v>
      </c>
      <c r="K835" s="61" t="s">
        <v>126</v>
      </c>
      <c r="L835" s="159"/>
      <c r="M835" s="169"/>
    </row>
    <row r="836" spans="1:13" x14ac:dyDescent="0.55000000000000004">
      <c r="A836" s="105" t="s">
        <v>3347</v>
      </c>
      <c r="B836" s="61" t="s">
        <v>920</v>
      </c>
      <c r="C836" s="61" t="s">
        <v>121</v>
      </c>
      <c r="D836" s="61" t="s">
        <v>3288</v>
      </c>
      <c r="E836" s="119">
        <v>1</v>
      </c>
      <c r="F836" s="148" t="s">
        <v>135</v>
      </c>
      <c r="G836" s="148">
        <v>1</v>
      </c>
      <c r="H836" s="61" t="s">
        <v>39</v>
      </c>
      <c r="I836" s="61"/>
      <c r="J836" s="61"/>
      <c r="K836" s="61"/>
      <c r="L836" s="159">
        <v>271114</v>
      </c>
      <c r="M836" s="169"/>
    </row>
    <row r="837" spans="1:13" x14ac:dyDescent="0.55000000000000004">
      <c r="A837" s="105" t="s">
        <v>3347</v>
      </c>
      <c r="B837" s="61" t="s">
        <v>625</v>
      </c>
      <c r="C837" s="61" t="s">
        <v>125</v>
      </c>
      <c r="D837" s="61" t="s">
        <v>3288</v>
      </c>
      <c r="E837" s="119">
        <v>0.69454000000000005</v>
      </c>
      <c r="F837" s="148" t="s">
        <v>135</v>
      </c>
      <c r="G837" s="148">
        <v>1</v>
      </c>
      <c r="H837" s="61" t="s">
        <v>39</v>
      </c>
      <c r="I837" s="61" t="s">
        <v>956</v>
      </c>
      <c r="J837" s="61" t="s">
        <v>919</v>
      </c>
      <c r="K837" s="61" t="s">
        <v>126</v>
      </c>
      <c r="L837" s="159"/>
      <c r="M837" s="169"/>
    </row>
    <row r="838" spans="1:13" x14ac:dyDescent="0.55000000000000004">
      <c r="A838" s="105" t="s">
        <v>3347</v>
      </c>
      <c r="B838" s="61" t="s">
        <v>706</v>
      </c>
      <c r="C838" s="61" t="s">
        <v>125</v>
      </c>
      <c r="D838" s="61" t="s">
        <v>3288</v>
      </c>
      <c r="E838" s="119">
        <v>5.9450000000000003E-2</v>
      </c>
      <c r="F838" s="148" t="s">
        <v>135</v>
      </c>
      <c r="G838" s="148">
        <v>1</v>
      </c>
      <c r="H838" s="61" t="s">
        <v>39</v>
      </c>
      <c r="I838" s="61" t="s">
        <v>947</v>
      </c>
      <c r="J838" s="61" t="s">
        <v>919</v>
      </c>
      <c r="K838" s="61" t="s">
        <v>126</v>
      </c>
      <c r="L838" s="159"/>
      <c r="M838" s="169"/>
    </row>
    <row r="839" spans="1:13" x14ac:dyDescent="0.55000000000000004">
      <c r="A839" s="105" t="s">
        <v>3347</v>
      </c>
      <c r="B839" s="61" t="s">
        <v>925</v>
      </c>
      <c r="C839" s="61" t="s">
        <v>125</v>
      </c>
      <c r="D839" s="61" t="s">
        <v>3288</v>
      </c>
      <c r="E839" s="119">
        <v>0.27388000000000001</v>
      </c>
      <c r="F839" s="148" t="s">
        <v>135</v>
      </c>
      <c r="G839" s="148">
        <v>1</v>
      </c>
      <c r="H839" s="61" t="s">
        <v>39</v>
      </c>
      <c r="I839" s="61" t="s">
        <v>947</v>
      </c>
      <c r="J839" s="61" t="s">
        <v>919</v>
      </c>
      <c r="K839" s="61" t="s">
        <v>126</v>
      </c>
      <c r="L839" s="159"/>
      <c r="M839" s="169"/>
    </row>
    <row r="840" spans="1:13" x14ac:dyDescent="0.55000000000000004">
      <c r="A840" s="105" t="s">
        <v>3347</v>
      </c>
      <c r="B840" s="61" t="s">
        <v>923</v>
      </c>
      <c r="C840" s="61" t="s">
        <v>127</v>
      </c>
      <c r="D840" s="61" t="s">
        <v>2994</v>
      </c>
      <c r="E840" s="119">
        <v>7.5381556850000004</v>
      </c>
      <c r="F840" s="148" t="s">
        <v>138</v>
      </c>
      <c r="G840" s="148">
        <v>1</v>
      </c>
      <c r="H840" s="61" t="s">
        <v>39</v>
      </c>
      <c r="I840" s="61" t="s">
        <v>968</v>
      </c>
      <c r="J840" s="61" t="s">
        <v>919</v>
      </c>
      <c r="K840" s="61" t="s">
        <v>126</v>
      </c>
      <c r="L840" s="159"/>
      <c r="M840" s="169"/>
    </row>
    <row r="841" spans="1:13" x14ac:dyDescent="0.55000000000000004">
      <c r="A841" s="105" t="s">
        <v>3347</v>
      </c>
      <c r="B841" s="61" t="s">
        <v>153</v>
      </c>
      <c r="C841" s="61" t="s">
        <v>127</v>
      </c>
      <c r="D841" s="61" t="s">
        <v>2994</v>
      </c>
      <c r="E841" s="119">
        <v>2.1527099999999999</v>
      </c>
      <c r="F841" s="148" t="s">
        <v>138</v>
      </c>
      <c r="G841" s="148">
        <v>1</v>
      </c>
      <c r="H841" s="61" t="s">
        <v>39</v>
      </c>
      <c r="I841" s="61" t="s">
        <v>968</v>
      </c>
      <c r="J841" s="61" t="s">
        <v>919</v>
      </c>
      <c r="K841" s="61" t="s">
        <v>126</v>
      </c>
      <c r="L841" s="159"/>
      <c r="M841" s="169"/>
    </row>
    <row r="842" spans="1:13" x14ac:dyDescent="0.55000000000000004">
      <c r="A842" s="105" t="s">
        <v>3347</v>
      </c>
      <c r="B842" s="61" t="s">
        <v>160</v>
      </c>
      <c r="C842" s="61" t="s">
        <v>497</v>
      </c>
      <c r="D842" s="61" t="s">
        <v>3288</v>
      </c>
      <c r="E842" s="119">
        <v>0.50505643099999997</v>
      </c>
      <c r="F842" s="148" t="s">
        <v>135</v>
      </c>
      <c r="G842" s="148">
        <v>1</v>
      </c>
      <c r="H842" s="61" t="s">
        <v>39</v>
      </c>
      <c r="I842" s="61" t="s">
        <v>959</v>
      </c>
      <c r="J842" s="61" t="s">
        <v>924</v>
      </c>
      <c r="K842" s="61" t="s">
        <v>126</v>
      </c>
      <c r="L842" s="159"/>
      <c r="M842" s="169"/>
    </row>
    <row r="843" spans="1:13" x14ac:dyDescent="0.55000000000000004">
      <c r="A843" s="105" t="s">
        <v>3348</v>
      </c>
      <c r="B843" s="61" t="s">
        <v>920</v>
      </c>
      <c r="C843" s="61" t="s">
        <v>121</v>
      </c>
      <c r="D843" s="61" t="s">
        <v>3288</v>
      </c>
      <c r="E843" s="119">
        <v>1</v>
      </c>
      <c r="F843" s="148" t="s">
        <v>135</v>
      </c>
      <c r="G843" s="148">
        <v>1</v>
      </c>
      <c r="H843" s="61" t="s">
        <v>39</v>
      </c>
      <c r="I843" s="61"/>
      <c r="J843" s="61"/>
      <c r="K843" s="61"/>
      <c r="L843" s="159">
        <v>271114</v>
      </c>
      <c r="M843" s="169"/>
    </row>
    <row r="844" spans="1:13" x14ac:dyDescent="0.55000000000000004">
      <c r="A844" s="105" t="s">
        <v>3348</v>
      </c>
      <c r="B844" s="61" t="s">
        <v>625</v>
      </c>
      <c r="C844" s="61" t="s">
        <v>125</v>
      </c>
      <c r="D844" s="61" t="s">
        <v>3288</v>
      </c>
      <c r="E844" s="119">
        <v>0.98744939300000001</v>
      </c>
      <c r="F844" s="148" t="s">
        <v>135</v>
      </c>
      <c r="G844" s="148">
        <v>1</v>
      </c>
      <c r="H844" s="61" t="s">
        <v>39</v>
      </c>
      <c r="I844" s="61" t="s">
        <v>947</v>
      </c>
      <c r="J844" s="61" t="s">
        <v>919</v>
      </c>
      <c r="K844" s="61" t="s">
        <v>126</v>
      </c>
      <c r="L844" s="159"/>
      <c r="M844" s="169"/>
    </row>
    <row r="845" spans="1:13" x14ac:dyDescent="0.55000000000000004">
      <c r="A845" s="105" t="s">
        <v>3348</v>
      </c>
      <c r="B845" s="61" t="s">
        <v>706</v>
      </c>
      <c r="C845" s="61" t="s">
        <v>125</v>
      </c>
      <c r="D845" s="61" t="s">
        <v>3288</v>
      </c>
      <c r="E845" s="119">
        <v>0</v>
      </c>
      <c r="F845" s="148" t="s">
        <v>135</v>
      </c>
      <c r="G845" s="148">
        <v>1</v>
      </c>
      <c r="H845" s="61" t="s">
        <v>39</v>
      </c>
      <c r="I845" s="61" t="s">
        <v>947</v>
      </c>
      <c r="J845" s="61" t="s">
        <v>919</v>
      </c>
      <c r="K845" s="61" t="s">
        <v>126</v>
      </c>
      <c r="L845" s="159"/>
      <c r="M845" s="169"/>
    </row>
    <row r="846" spans="1:13" x14ac:dyDescent="0.55000000000000004">
      <c r="A846" s="105" t="s">
        <v>3348</v>
      </c>
      <c r="B846" s="61" t="s">
        <v>925</v>
      </c>
      <c r="C846" s="61" t="s">
        <v>125</v>
      </c>
      <c r="D846" s="61" t="s">
        <v>3288</v>
      </c>
      <c r="E846" s="119">
        <v>2.4696355999999999E-2</v>
      </c>
      <c r="F846" s="148" t="s">
        <v>135</v>
      </c>
      <c r="G846" s="148">
        <v>1</v>
      </c>
      <c r="H846" s="61" t="s">
        <v>39</v>
      </c>
      <c r="I846" s="61" t="s">
        <v>947</v>
      </c>
      <c r="J846" s="61" t="s">
        <v>919</v>
      </c>
      <c r="K846" s="61" t="s">
        <v>126</v>
      </c>
      <c r="L846" s="159"/>
      <c r="M846" s="169"/>
    </row>
    <row r="847" spans="1:13" x14ac:dyDescent="0.55000000000000004">
      <c r="A847" s="105" t="s">
        <v>3348</v>
      </c>
      <c r="B847" s="61" t="s">
        <v>923</v>
      </c>
      <c r="C847" s="61" t="s">
        <v>127</v>
      </c>
      <c r="D847" s="61" t="s">
        <v>2994</v>
      </c>
      <c r="E847" s="119">
        <v>7.5364372470000003</v>
      </c>
      <c r="F847" s="148" t="s">
        <v>138</v>
      </c>
      <c r="G847" s="148">
        <v>1</v>
      </c>
      <c r="H847" s="61" t="s">
        <v>39</v>
      </c>
      <c r="I847" s="61" t="s">
        <v>947</v>
      </c>
      <c r="J847" s="61" t="s">
        <v>919</v>
      </c>
      <c r="K847" s="61" t="s">
        <v>126</v>
      </c>
      <c r="L847" s="159"/>
      <c r="M847" s="169"/>
    </row>
    <row r="848" spans="1:13" x14ac:dyDescent="0.55000000000000004">
      <c r="A848" s="105" t="s">
        <v>3348</v>
      </c>
      <c r="B848" s="61" t="s">
        <v>153</v>
      </c>
      <c r="C848" s="61" t="s">
        <v>127</v>
      </c>
      <c r="D848" s="61" t="s">
        <v>2994</v>
      </c>
      <c r="E848" s="119">
        <v>0.87154251000000005</v>
      </c>
      <c r="F848" s="148" t="s">
        <v>138</v>
      </c>
      <c r="G848" s="148">
        <v>1</v>
      </c>
      <c r="H848" s="61" t="s">
        <v>39</v>
      </c>
      <c r="I848" s="61" t="s">
        <v>970</v>
      </c>
      <c r="J848" s="61" t="s">
        <v>919</v>
      </c>
      <c r="K848" s="61" t="s">
        <v>126</v>
      </c>
      <c r="L848" s="159"/>
      <c r="M848" s="169"/>
    </row>
    <row r="849" spans="1:13" x14ac:dyDescent="0.55000000000000004">
      <c r="A849" s="105" t="s">
        <v>3348</v>
      </c>
      <c r="B849" s="61" t="s">
        <v>153</v>
      </c>
      <c r="C849" s="61" t="s">
        <v>127</v>
      </c>
      <c r="D849" s="61" t="s">
        <v>2994</v>
      </c>
      <c r="E849" s="119">
        <v>2.2222727999999998</v>
      </c>
      <c r="F849" s="148" t="s">
        <v>138</v>
      </c>
      <c r="G849" s="148">
        <v>1</v>
      </c>
      <c r="H849" s="61" t="s">
        <v>39</v>
      </c>
      <c r="I849" s="61" t="s">
        <v>950</v>
      </c>
      <c r="J849" s="61" t="s">
        <v>919</v>
      </c>
      <c r="K849" s="61" t="s">
        <v>126</v>
      </c>
      <c r="L849" s="159"/>
      <c r="M849" s="169"/>
    </row>
    <row r="850" spans="1:13" x14ac:dyDescent="0.55000000000000004">
      <c r="A850" s="105" t="s">
        <v>3348</v>
      </c>
      <c r="B850" s="61" t="s">
        <v>153</v>
      </c>
      <c r="C850" s="61" t="s">
        <v>127</v>
      </c>
      <c r="D850" s="61" t="s">
        <v>2994</v>
      </c>
      <c r="E850" s="119">
        <v>3.0938153100000001</v>
      </c>
      <c r="F850" s="148" t="s">
        <v>138</v>
      </c>
      <c r="G850" s="148">
        <v>1</v>
      </c>
      <c r="H850" s="61" t="s">
        <v>39</v>
      </c>
      <c r="I850" s="61" t="s">
        <v>971</v>
      </c>
      <c r="J850" s="61" t="s">
        <v>919</v>
      </c>
      <c r="K850" s="61" t="s">
        <v>126</v>
      </c>
      <c r="L850" s="159"/>
      <c r="M850" s="169"/>
    </row>
    <row r="851" spans="1:13" x14ac:dyDescent="0.55000000000000004">
      <c r="A851" s="105" t="s">
        <v>3348</v>
      </c>
      <c r="B851" s="61" t="s">
        <v>160</v>
      </c>
      <c r="C851" s="61" t="s">
        <v>497</v>
      </c>
      <c r="D851" s="61" t="s">
        <v>3288</v>
      </c>
      <c r="E851" s="119">
        <v>2.5247064999999999E-2</v>
      </c>
      <c r="F851" s="148" t="s">
        <v>135</v>
      </c>
      <c r="G851" s="148">
        <v>1</v>
      </c>
      <c r="H851" s="61" t="s">
        <v>39</v>
      </c>
      <c r="I851" s="61" t="s">
        <v>959</v>
      </c>
      <c r="J851" s="61" t="s">
        <v>924</v>
      </c>
      <c r="K851" s="61" t="s">
        <v>126</v>
      </c>
      <c r="L851" s="159"/>
      <c r="M851" s="169"/>
    </row>
    <row r="852" spans="1:13" x14ac:dyDescent="0.55000000000000004">
      <c r="A852" s="105" t="s">
        <v>3349</v>
      </c>
      <c r="B852" s="61" t="s">
        <v>920</v>
      </c>
      <c r="C852" s="61" t="s">
        <v>121</v>
      </c>
      <c r="D852" s="61" t="s">
        <v>3288</v>
      </c>
      <c r="E852" s="119">
        <v>1</v>
      </c>
      <c r="F852" s="148" t="s">
        <v>135</v>
      </c>
      <c r="G852" s="148">
        <v>1</v>
      </c>
      <c r="H852" s="61" t="s">
        <v>39</v>
      </c>
      <c r="I852" s="61"/>
      <c r="J852" s="61"/>
      <c r="K852" s="61"/>
      <c r="L852" s="159">
        <v>271114</v>
      </c>
      <c r="M852" s="169"/>
    </row>
    <row r="853" spans="1:13" x14ac:dyDescent="0.55000000000000004">
      <c r="A853" s="105" t="s">
        <v>3349</v>
      </c>
      <c r="B853" s="61" t="s">
        <v>625</v>
      </c>
      <c r="C853" s="61" t="s">
        <v>125</v>
      </c>
      <c r="D853" s="61" t="s">
        <v>3288</v>
      </c>
      <c r="E853" s="119">
        <v>0.69289999999999996</v>
      </c>
      <c r="F853" s="148" t="s">
        <v>135</v>
      </c>
      <c r="G853" s="148">
        <v>1</v>
      </c>
      <c r="H853" s="61" t="s">
        <v>39</v>
      </c>
      <c r="I853" s="61" t="s">
        <v>947</v>
      </c>
      <c r="J853" s="61" t="s">
        <v>919</v>
      </c>
      <c r="K853" s="61" t="s">
        <v>126</v>
      </c>
      <c r="L853" s="159"/>
      <c r="M853" s="169"/>
    </row>
    <row r="854" spans="1:13" x14ac:dyDescent="0.55000000000000004">
      <c r="A854" s="105" t="s">
        <v>3349</v>
      </c>
      <c r="B854" s="61" t="s">
        <v>706</v>
      </c>
      <c r="C854" s="61" t="s">
        <v>125</v>
      </c>
      <c r="D854" s="61" t="s">
        <v>3288</v>
      </c>
      <c r="E854" s="119">
        <v>5.9450000000000003E-2</v>
      </c>
      <c r="F854" s="148" t="s">
        <v>135</v>
      </c>
      <c r="G854" s="148">
        <v>1</v>
      </c>
      <c r="H854" s="61" t="s">
        <v>39</v>
      </c>
      <c r="I854" s="61" t="s">
        <v>947</v>
      </c>
      <c r="J854" s="61" t="s">
        <v>919</v>
      </c>
      <c r="K854" s="61" t="s">
        <v>126</v>
      </c>
      <c r="L854" s="159"/>
      <c r="M854" s="169"/>
    </row>
    <row r="855" spans="1:13" x14ac:dyDescent="0.55000000000000004">
      <c r="A855" s="105" t="s">
        <v>3349</v>
      </c>
      <c r="B855" s="61" t="s">
        <v>925</v>
      </c>
      <c r="C855" s="61" t="s">
        <v>125</v>
      </c>
      <c r="D855" s="61" t="s">
        <v>3288</v>
      </c>
      <c r="E855" s="119">
        <v>0.27388000000000001</v>
      </c>
      <c r="F855" s="148" t="s">
        <v>135</v>
      </c>
      <c r="G855" s="148">
        <v>1</v>
      </c>
      <c r="H855" s="61" t="s">
        <v>39</v>
      </c>
      <c r="I855" s="61" t="s">
        <v>947</v>
      </c>
      <c r="J855" s="61" t="s">
        <v>919</v>
      </c>
      <c r="K855" s="61" t="s">
        <v>126</v>
      </c>
      <c r="L855" s="159"/>
      <c r="M855" s="169"/>
    </row>
    <row r="856" spans="1:13" x14ac:dyDescent="0.55000000000000004">
      <c r="A856" s="105" t="s">
        <v>3349</v>
      </c>
      <c r="B856" s="61" t="s">
        <v>153</v>
      </c>
      <c r="C856" s="61" t="s">
        <v>127</v>
      </c>
      <c r="D856" s="61" t="s">
        <v>2994</v>
      </c>
      <c r="E856" s="119">
        <v>6.9897529799999996</v>
      </c>
      <c r="F856" s="148" t="s">
        <v>138</v>
      </c>
      <c r="G856" s="148">
        <v>1</v>
      </c>
      <c r="H856" s="61" t="s">
        <v>39</v>
      </c>
      <c r="I856" s="61" t="s">
        <v>1005</v>
      </c>
      <c r="J856" s="61" t="s">
        <v>919</v>
      </c>
      <c r="K856" s="61" t="s">
        <v>126</v>
      </c>
      <c r="L856" s="159"/>
      <c r="M856" s="169"/>
    </row>
    <row r="857" spans="1:13" x14ac:dyDescent="0.55000000000000004">
      <c r="A857" s="105" t="s">
        <v>3350</v>
      </c>
      <c r="B857" s="61" t="s">
        <v>920</v>
      </c>
      <c r="C857" s="61" t="s">
        <v>121</v>
      </c>
      <c r="D857" s="61" t="s">
        <v>3288</v>
      </c>
      <c r="E857" s="119">
        <v>1</v>
      </c>
      <c r="F857" s="148" t="s">
        <v>135</v>
      </c>
      <c r="G857" s="148">
        <v>1</v>
      </c>
      <c r="H857" s="61" t="s">
        <v>39</v>
      </c>
      <c r="I857" s="61"/>
      <c r="J857" s="61"/>
      <c r="K857" s="61"/>
      <c r="L857" s="159">
        <v>271114</v>
      </c>
      <c r="M857" s="169"/>
    </row>
    <row r="858" spans="1:13" x14ac:dyDescent="0.55000000000000004">
      <c r="A858" s="105" t="s">
        <v>3350</v>
      </c>
      <c r="B858" s="61" t="s">
        <v>625</v>
      </c>
      <c r="C858" s="61" t="s">
        <v>125</v>
      </c>
      <c r="D858" s="61" t="s">
        <v>3288</v>
      </c>
      <c r="E858" s="119">
        <v>0.98744939300000001</v>
      </c>
      <c r="F858" s="148" t="s">
        <v>135</v>
      </c>
      <c r="G858" s="148">
        <v>1</v>
      </c>
      <c r="H858" s="61" t="s">
        <v>39</v>
      </c>
      <c r="I858" s="61" t="s">
        <v>947</v>
      </c>
      <c r="J858" s="61" t="s">
        <v>919</v>
      </c>
      <c r="K858" s="61" t="s">
        <v>126</v>
      </c>
      <c r="L858" s="159"/>
      <c r="M858" s="169"/>
    </row>
    <row r="859" spans="1:13" x14ac:dyDescent="0.55000000000000004">
      <c r="A859" s="105" t="s">
        <v>3350</v>
      </c>
      <c r="B859" s="61" t="s">
        <v>706</v>
      </c>
      <c r="C859" s="61" t="s">
        <v>125</v>
      </c>
      <c r="D859" s="61" t="s">
        <v>3288</v>
      </c>
      <c r="E859" s="119">
        <v>0</v>
      </c>
      <c r="F859" s="148" t="s">
        <v>135</v>
      </c>
      <c r="G859" s="148">
        <v>1</v>
      </c>
      <c r="H859" s="61" t="s">
        <v>39</v>
      </c>
      <c r="I859" s="61" t="s">
        <v>947</v>
      </c>
      <c r="J859" s="61" t="s">
        <v>919</v>
      </c>
      <c r="K859" s="61" t="s">
        <v>126</v>
      </c>
      <c r="L859" s="159"/>
      <c r="M859" s="169"/>
    </row>
    <row r="860" spans="1:13" x14ac:dyDescent="0.55000000000000004">
      <c r="A860" s="105" t="s">
        <v>3350</v>
      </c>
      <c r="B860" s="61" t="s">
        <v>925</v>
      </c>
      <c r="C860" s="61" t="s">
        <v>125</v>
      </c>
      <c r="D860" s="61" t="s">
        <v>3288</v>
      </c>
      <c r="E860" s="119">
        <v>2.4696355999999999E-2</v>
      </c>
      <c r="F860" s="148" t="s">
        <v>135</v>
      </c>
      <c r="G860" s="148">
        <v>1</v>
      </c>
      <c r="H860" s="61" t="s">
        <v>39</v>
      </c>
      <c r="I860" s="61" t="s">
        <v>947</v>
      </c>
      <c r="J860" s="61" t="s">
        <v>919</v>
      </c>
      <c r="K860" s="61" t="s">
        <v>126</v>
      </c>
      <c r="L860" s="159"/>
      <c r="M860" s="169"/>
    </row>
    <row r="861" spans="1:13" x14ac:dyDescent="0.55000000000000004">
      <c r="A861" s="105" t="s">
        <v>3350</v>
      </c>
      <c r="B861" s="61" t="s">
        <v>334</v>
      </c>
      <c r="C861" s="61" t="s">
        <v>125</v>
      </c>
      <c r="D861" s="61" t="s">
        <v>3288</v>
      </c>
      <c r="E861" s="119">
        <v>7.3886640000000003E-2</v>
      </c>
      <c r="F861" s="148" t="s">
        <v>135</v>
      </c>
      <c r="G861" s="148">
        <v>1</v>
      </c>
      <c r="H861" s="61" t="s">
        <v>39</v>
      </c>
      <c r="I861" s="61" t="s">
        <v>947</v>
      </c>
      <c r="J861" s="61" t="s">
        <v>919</v>
      </c>
      <c r="K861" s="61" t="s">
        <v>126</v>
      </c>
      <c r="L861" s="159"/>
      <c r="M861" s="169"/>
    </row>
    <row r="862" spans="1:13" x14ac:dyDescent="0.55000000000000004">
      <c r="A862" s="105" t="s">
        <v>3350</v>
      </c>
      <c r="B862" s="61" t="s">
        <v>153</v>
      </c>
      <c r="C862" s="61" t="s">
        <v>127</v>
      </c>
      <c r="D862" s="61" t="s">
        <v>2994</v>
      </c>
      <c r="E862" s="119">
        <v>0.87154251000000005</v>
      </c>
      <c r="F862" s="148" t="s">
        <v>138</v>
      </c>
      <c r="G862" s="148">
        <v>1</v>
      </c>
      <c r="H862" s="61" t="s">
        <v>39</v>
      </c>
      <c r="I862" s="61" t="s">
        <v>972</v>
      </c>
      <c r="J862" s="61" t="s">
        <v>919</v>
      </c>
      <c r="K862" s="61" t="s">
        <v>126</v>
      </c>
      <c r="L862" s="159"/>
      <c r="M862" s="169"/>
    </row>
    <row r="863" spans="1:13" x14ac:dyDescent="0.55000000000000004">
      <c r="A863" s="105" t="s">
        <v>3351</v>
      </c>
      <c r="B863" s="61" t="s">
        <v>920</v>
      </c>
      <c r="C863" s="61" t="s">
        <v>121</v>
      </c>
      <c r="D863" s="61" t="s">
        <v>3288</v>
      </c>
      <c r="E863" s="119">
        <v>1</v>
      </c>
      <c r="F863" s="148" t="s">
        <v>135</v>
      </c>
      <c r="G863" s="148">
        <v>1</v>
      </c>
      <c r="H863" s="61" t="s">
        <v>39</v>
      </c>
      <c r="I863" s="168"/>
      <c r="J863" s="61"/>
      <c r="K863" s="168"/>
      <c r="L863" s="159">
        <v>271114</v>
      </c>
      <c r="M863" s="169"/>
    </row>
    <row r="864" spans="1:13" x14ac:dyDescent="0.55000000000000004">
      <c r="A864" s="105" t="s">
        <v>3351</v>
      </c>
      <c r="B864" s="61" t="s">
        <v>929</v>
      </c>
      <c r="C864" s="61" t="s">
        <v>125</v>
      </c>
      <c r="D864" s="61" t="s">
        <v>3288</v>
      </c>
      <c r="E864" s="119">
        <v>2.56</v>
      </c>
      <c r="F864" s="148" t="s">
        <v>135</v>
      </c>
      <c r="G864" s="148">
        <v>1</v>
      </c>
      <c r="H864" s="61" t="s">
        <v>39</v>
      </c>
      <c r="I864" s="61" t="s">
        <v>1006</v>
      </c>
      <c r="J864" s="61" t="s">
        <v>919</v>
      </c>
      <c r="K864" s="61" t="s">
        <v>126</v>
      </c>
      <c r="L864" s="159"/>
      <c r="M864" s="169"/>
    </row>
    <row r="865" spans="1:13" x14ac:dyDescent="0.55000000000000004">
      <c r="A865" s="105" t="s">
        <v>3351</v>
      </c>
      <c r="B865" s="61" t="s">
        <v>153</v>
      </c>
      <c r="C865" s="61" t="s">
        <v>127</v>
      </c>
      <c r="D865" s="61" t="s">
        <v>2994</v>
      </c>
      <c r="E865" s="119">
        <v>5</v>
      </c>
      <c r="F865" s="148" t="s">
        <v>138</v>
      </c>
      <c r="G865" s="148">
        <v>1</v>
      </c>
      <c r="H865" s="61" t="s">
        <v>39</v>
      </c>
      <c r="I865" s="61" t="s">
        <v>1007</v>
      </c>
      <c r="J865" s="61" t="s">
        <v>919</v>
      </c>
      <c r="K865" s="61" t="s">
        <v>126</v>
      </c>
      <c r="L865" s="159"/>
      <c r="M865" s="169"/>
    </row>
    <row r="866" spans="1:13" x14ac:dyDescent="0.55000000000000004">
      <c r="A866" s="105" t="s">
        <v>3352</v>
      </c>
      <c r="B866" s="61" t="s">
        <v>920</v>
      </c>
      <c r="C866" s="61" t="s">
        <v>121</v>
      </c>
      <c r="D866" s="61" t="s">
        <v>3288</v>
      </c>
      <c r="E866" s="119">
        <v>1</v>
      </c>
      <c r="F866" s="148" t="s">
        <v>135</v>
      </c>
      <c r="G866" s="148">
        <v>1</v>
      </c>
      <c r="H866" s="61" t="s">
        <v>39</v>
      </c>
      <c r="I866" s="61"/>
      <c r="J866" s="61"/>
      <c r="K866" s="61"/>
      <c r="L866" s="159">
        <v>271114</v>
      </c>
      <c r="M866" s="169"/>
    </row>
    <row r="867" spans="1:13" x14ac:dyDescent="0.55000000000000004">
      <c r="A867" s="105" t="s">
        <v>3352</v>
      </c>
      <c r="B867" s="61" t="s">
        <v>928</v>
      </c>
      <c r="C867" s="61" t="s">
        <v>125</v>
      </c>
      <c r="D867" s="61" t="s">
        <v>3288</v>
      </c>
      <c r="E867" s="119">
        <v>2.56</v>
      </c>
      <c r="F867" s="148" t="s">
        <v>135</v>
      </c>
      <c r="G867" s="148">
        <v>1</v>
      </c>
      <c r="H867" s="61" t="s">
        <v>39</v>
      </c>
      <c r="I867" s="61"/>
      <c r="J867" s="61" t="s">
        <v>919</v>
      </c>
      <c r="K867" s="61" t="s">
        <v>126</v>
      </c>
      <c r="L867" s="159"/>
      <c r="M867" s="169"/>
    </row>
    <row r="868" spans="1:13" x14ac:dyDescent="0.55000000000000004">
      <c r="A868" s="105" t="s">
        <v>3352</v>
      </c>
      <c r="B868" s="61" t="s">
        <v>153</v>
      </c>
      <c r="C868" s="61" t="s">
        <v>127</v>
      </c>
      <c r="D868" s="61" t="s">
        <v>2994</v>
      </c>
      <c r="E868" s="119">
        <v>5</v>
      </c>
      <c r="F868" s="148" t="s">
        <v>138</v>
      </c>
      <c r="G868" s="148">
        <v>1</v>
      </c>
      <c r="H868" s="61" t="s">
        <v>39</v>
      </c>
      <c r="I868" s="61"/>
      <c r="J868" s="61" t="s">
        <v>919</v>
      </c>
      <c r="K868" s="61" t="s">
        <v>126</v>
      </c>
      <c r="L868" s="159"/>
      <c r="M868" s="169"/>
    </row>
    <row r="869" spans="1:13" x14ac:dyDescent="0.55000000000000004">
      <c r="A869" s="105" t="s">
        <v>3353</v>
      </c>
      <c r="B869" s="61" t="s">
        <v>920</v>
      </c>
      <c r="C869" s="61" t="s">
        <v>121</v>
      </c>
      <c r="D869" s="61" t="s">
        <v>3288</v>
      </c>
      <c r="E869" s="119">
        <v>1</v>
      </c>
      <c r="F869" s="148" t="s">
        <v>135</v>
      </c>
      <c r="G869" s="148">
        <v>1</v>
      </c>
      <c r="H869" s="61" t="s">
        <v>39</v>
      </c>
      <c r="I869" s="61" t="s">
        <v>1012</v>
      </c>
      <c r="J869" s="61"/>
      <c r="K869" s="61" t="s">
        <v>126</v>
      </c>
      <c r="L869" s="159">
        <v>271114</v>
      </c>
      <c r="M869" s="169"/>
    </row>
    <row r="870" spans="1:13" x14ac:dyDescent="0.55000000000000004">
      <c r="A870" s="105" t="s">
        <v>3353</v>
      </c>
      <c r="B870" s="61" t="s">
        <v>929</v>
      </c>
      <c r="C870" s="61" t="s">
        <v>125</v>
      </c>
      <c r="D870" s="61" t="s">
        <v>3288</v>
      </c>
      <c r="E870" s="119">
        <v>3.5</v>
      </c>
      <c r="F870" s="148" t="s">
        <v>135</v>
      </c>
      <c r="G870" s="148">
        <v>1</v>
      </c>
      <c r="H870" s="61" t="s">
        <v>39</v>
      </c>
      <c r="I870" s="61"/>
      <c r="J870" s="61" t="s">
        <v>919</v>
      </c>
      <c r="K870" s="61" t="s">
        <v>126</v>
      </c>
      <c r="L870" s="159"/>
      <c r="M870" s="169"/>
    </row>
    <row r="871" spans="1:13" x14ac:dyDescent="0.55000000000000004">
      <c r="A871" s="105" t="s">
        <v>3353</v>
      </c>
      <c r="B871" s="61" t="s">
        <v>171</v>
      </c>
      <c r="C871" s="61" t="s">
        <v>125</v>
      </c>
      <c r="D871" s="61" t="s">
        <v>3288</v>
      </c>
      <c r="E871" s="119">
        <v>0</v>
      </c>
      <c r="F871" s="148" t="s">
        <v>135</v>
      </c>
      <c r="G871" s="148">
        <v>1</v>
      </c>
      <c r="H871" s="61" t="s">
        <v>39</v>
      </c>
      <c r="I871" s="61" t="s">
        <v>1013</v>
      </c>
      <c r="J871" s="61" t="s">
        <v>919</v>
      </c>
      <c r="K871" s="61" t="s">
        <v>126</v>
      </c>
      <c r="L871" s="159"/>
      <c r="M871" s="169"/>
    </row>
    <row r="872" spans="1:13" x14ac:dyDescent="0.55000000000000004">
      <c r="A872" s="105" t="s">
        <v>3353</v>
      </c>
      <c r="B872" s="61" t="s">
        <v>153</v>
      </c>
      <c r="C872" s="61" t="s">
        <v>127</v>
      </c>
      <c r="D872" s="61" t="s">
        <v>2994</v>
      </c>
      <c r="E872" s="119">
        <v>0</v>
      </c>
      <c r="F872" s="148" t="s">
        <v>138</v>
      </c>
      <c r="G872" s="148">
        <v>1</v>
      </c>
      <c r="H872" s="61" t="s">
        <v>39</v>
      </c>
      <c r="I872" s="61" t="s">
        <v>946</v>
      </c>
      <c r="J872" s="61" t="s">
        <v>919</v>
      </c>
      <c r="K872" s="61" t="s">
        <v>126</v>
      </c>
      <c r="L872" s="159"/>
      <c r="M872" s="169"/>
    </row>
    <row r="873" spans="1:13" x14ac:dyDescent="0.55000000000000004">
      <c r="A873" s="105" t="s">
        <v>3353</v>
      </c>
      <c r="B873" s="61" t="s">
        <v>160</v>
      </c>
      <c r="C873" s="61" t="s">
        <v>497</v>
      </c>
      <c r="D873" s="61" t="s">
        <v>3288</v>
      </c>
      <c r="E873" s="119">
        <v>0</v>
      </c>
      <c r="F873" s="148" t="s">
        <v>135</v>
      </c>
      <c r="G873" s="148">
        <v>1</v>
      </c>
      <c r="H873" s="61" t="s">
        <v>39</v>
      </c>
      <c r="I873" s="61"/>
      <c r="J873" s="61" t="s">
        <v>924</v>
      </c>
      <c r="K873" s="61"/>
      <c r="L873" s="159"/>
      <c r="M873" s="169"/>
    </row>
    <row r="874" spans="1:13" x14ac:dyDescent="0.55000000000000004">
      <c r="A874" s="105" t="s">
        <v>3354</v>
      </c>
      <c r="B874" s="61" t="s">
        <v>920</v>
      </c>
      <c r="C874" s="61" t="s">
        <v>121</v>
      </c>
      <c r="D874" s="61" t="s">
        <v>3288</v>
      </c>
      <c r="E874" s="119">
        <v>1</v>
      </c>
      <c r="F874" s="148" t="s">
        <v>135</v>
      </c>
      <c r="G874" s="148">
        <v>1</v>
      </c>
      <c r="H874" s="61" t="s">
        <v>39</v>
      </c>
      <c r="I874" s="168" t="s">
        <v>1012</v>
      </c>
      <c r="J874" s="61"/>
      <c r="K874" s="168" t="s">
        <v>126</v>
      </c>
      <c r="L874" s="159">
        <v>271114</v>
      </c>
      <c r="M874" s="169"/>
    </row>
    <row r="875" spans="1:13" x14ac:dyDescent="0.55000000000000004">
      <c r="A875" s="105" t="s">
        <v>3354</v>
      </c>
      <c r="B875" s="61" t="s">
        <v>928</v>
      </c>
      <c r="C875" s="61" t="s">
        <v>125</v>
      </c>
      <c r="D875" s="61" t="s">
        <v>3288</v>
      </c>
      <c r="E875" s="119">
        <v>3.5</v>
      </c>
      <c r="F875" s="148" t="s">
        <v>135</v>
      </c>
      <c r="G875" s="148">
        <v>1</v>
      </c>
      <c r="H875" s="61" t="s">
        <v>39</v>
      </c>
      <c r="I875" s="61"/>
      <c r="J875" s="61" t="s">
        <v>919</v>
      </c>
      <c r="K875" s="61" t="s">
        <v>126</v>
      </c>
      <c r="L875" s="159"/>
      <c r="M875" s="169"/>
    </row>
    <row r="876" spans="1:13" x14ac:dyDescent="0.55000000000000004">
      <c r="A876" s="105" t="s">
        <v>3354</v>
      </c>
      <c r="B876" s="61" t="s">
        <v>171</v>
      </c>
      <c r="C876" s="61" t="s">
        <v>125</v>
      </c>
      <c r="D876" s="61" t="s">
        <v>3288</v>
      </c>
      <c r="E876" s="119">
        <v>0</v>
      </c>
      <c r="F876" s="148" t="s">
        <v>135</v>
      </c>
      <c r="G876" s="148">
        <v>1</v>
      </c>
      <c r="H876" s="61" t="s">
        <v>39</v>
      </c>
      <c r="I876" s="61" t="s">
        <v>1013</v>
      </c>
      <c r="J876" s="61" t="s">
        <v>919</v>
      </c>
      <c r="K876" s="61" t="s">
        <v>126</v>
      </c>
      <c r="L876" s="159"/>
      <c r="M876" s="169"/>
    </row>
    <row r="877" spans="1:13" x14ac:dyDescent="0.55000000000000004">
      <c r="A877" s="105" t="s">
        <v>3354</v>
      </c>
      <c r="B877" s="61" t="s">
        <v>153</v>
      </c>
      <c r="C877" s="61" t="s">
        <v>127</v>
      </c>
      <c r="D877" s="61" t="s">
        <v>2994</v>
      </c>
      <c r="E877" s="119">
        <v>0</v>
      </c>
      <c r="F877" s="148" t="s">
        <v>138</v>
      </c>
      <c r="G877" s="148">
        <v>1</v>
      </c>
      <c r="H877" s="61" t="s">
        <v>39</v>
      </c>
      <c r="I877" s="61" t="s">
        <v>946</v>
      </c>
      <c r="J877" s="61" t="s">
        <v>919</v>
      </c>
      <c r="K877" s="61" t="s">
        <v>126</v>
      </c>
      <c r="L877" s="159"/>
      <c r="M877" s="169"/>
    </row>
    <row r="878" spans="1:13" x14ac:dyDescent="0.55000000000000004">
      <c r="A878" s="105" t="s">
        <v>3354</v>
      </c>
      <c r="B878" s="61" t="s">
        <v>160</v>
      </c>
      <c r="C878" s="61" t="s">
        <v>497</v>
      </c>
      <c r="D878" s="61" t="s">
        <v>3288</v>
      </c>
      <c r="E878" s="119">
        <v>0</v>
      </c>
      <c r="F878" s="148" t="s">
        <v>135</v>
      </c>
      <c r="G878" s="148">
        <v>1</v>
      </c>
      <c r="H878" s="61" t="s">
        <v>39</v>
      </c>
      <c r="I878" s="61"/>
      <c r="J878" s="61" t="s">
        <v>924</v>
      </c>
      <c r="K878" s="61"/>
      <c r="L878" s="159"/>
      <c r="M878" s="169"/>
    </row>
    <row r="879" spans="1:13" x14ac:dyDescent="0.55000000000000004">
      <c r="A879" s="105" t="s">
        <v>3355</v>
      </c>
      <c r="B879" s="61" t="s">
        <v>920</v>
      </c>
      <c r="C879" s="61" t="s">
        <v>121</v>
      </c>
      <c r="D879" s="61" t="s">
        <v>3288</v>
      </c>
      <c r="E879" s="119">
        <v>1</v>
      </c>
      <c r="F879" s="148" t="s">
        <v>135</v>
      </c>
      <c r="G879" s="148">
        <v>1</v>
      </c>
      <c r="H879" s="61" t="s">
        <v>39</v>
      </c>
      <c r="I879" s="61"/>
      <c r="J879" s="61"/>
      <c r="K879" s="61"/>
      <c r="L879" s="159">
        <v>271114</v>
      </c>
      <c r="M879" s="169"/>
    </row>
    <row r="880" spans="1:13" x14ac:dyDescent="0.55000000000000004">
      <c r="A880" s="105" t="s">
        <v>3355</v>
      </c>
      <c r="B880" s="61" t="s">
        <v>625</v>
      </c>
      <c r="C880" s="61" t="s">
        <v>125</v>
      </c>
      <c r="D880" s="61" t="s">
        <v>3288</v>
      </c>
      <c r="E880" s="119">
        <v>0.98744939300000001</v>
      </c>
      <c r="F880" s="148" t="s">
        <v>135</v>
      </c>
      <c r="G880" s="148">
        <v>1</v>
      </c>
      <c r="H880" s="61" t="s">
        <v>39</v>
      </c>
      <c r="I880" s="61" t="s">
        <v>947</v>
      </c>
      <c r="J880" s="61" t="s">
        <v>919</v>
      </c>
      <c r="K880" s="61" t="s">
        <v>126</v>
      </c>
      <c r="L880" s="159"/>
      <c r="M880" s="169"/>
    </row>
    <row r="881" spans="1:13" x14ac:dyDescent="0.55000000000000004">
      <c r="A881" s="105" t="s">
        <v>3355</v>
      </c>
      <c r="B881" s="61" t="s">
        <v>706</v>
      </c>
      <c r="C881" s="61" t="s">
        <v>125</v>
      </c>
      <c r="D881" s="61" t="s">
        <v>3288</v>
      </c>
      <c r="E881" s="119">
        <v>0</v>
      </c>
      <c r="F881" s="148" t="s">
        <v>135</v>
      </c>
      <c r="G881" s="148">
        <v>1</v>
      </c>
      <c r="H881" s="61" t="s">
        <v>39</v>
      </c>
      <c r="I881" s="61" t="s">
        <v>947</v>
      </c>
      <c r="J881" s="61" t="s">
        <v>919</v>
      </c>
      <c r="K881" s="61" t="s">
        <v>126</v>
      </c>
      <c r="L881" s="159"/>
      <c r="M881" s="169"/>
    </row>
    <row r="882" spans="1:13" x14ac:dyDescent="0.55000000000000004">
      <c r="A882" s="105" t="s">
        <v>3355</v>
      </c>
      <c r="B882" s="61" t="s">
        <v>925</v>
      </c>
      <c r="C882" s="61" t="s">
        <v>125</v>
      </c>
      <c r="D882" s="61" t="s">
        <v>3288</v>
      </c>
      <c r="E882" s="119">
        <v>2.4696355999999999E-2</v>
      </c>
      <c r="F882" s="148" t="s">
        <v>135</v>
      </c>
      <c r="G882" s="148">
        <v>1</v>
      </c>
      <c r="H882" s="61" t="s">
        <v>39</v>
      </c>
      <c r="I882" s="61" t="s">
        <v>947</v>
      </c>
      <c r="J882" s="61" t="s">
        <v>919</v>
      </c>
      <c r="K882" s="61" t="s">
        <v>126</v>
      </c>
      <c r="L882" s="159"/>
      <c r="M882" s="169"/>
    </row>
    <row r="883" spans="1:13" x14ac:dyDescent="0.55000000000000004">
      <c r="A883" s="105" t="s">
        <v>3355</v>
      </c>
      <c r="B883" s="61" t="s">
        <v>153</v>
      </c>
      <c r="C883" s="61" t="s">
        <v>127</v>
      </c>
      <c r="D883" s="61" t="s">
        <v>2994</v>
      </c>
      <c r="E883" s="119">
        <v>8.1201133599999995</v>
      </c>
      <c r="F883" s="148" t="s">
        <v>138</v>
      </c>
      <c r="G883" s="148">
        <v>1</v>
      </c>
      <c r="H883" s="61" t="s">
        <v>39</v>
      </c>
      <c r="I883" s="61" t="s">
        <v>999</v>
      </c>
      <c r="J883" s="61" t="s">
        <v>919</v>
      </c>
      <c r="K883" s="61" t="s">
        <v>126</v>
      </c>
      <c r="L883" s="159"/>
      <c r="M883" s="169"/>
    </row>
    <row r="884" spans="1:13" x14ac:dyDescent="0.55000000000000004">
      <c r="A884" s="105" t="s">
        <v>3356</v>
      </c>
      <c r="B884" s="61" t="s">
        <v>920</v>
      </c>
      <c r="C884" s="61" t="s">
        <v>121</v>
      </c>
      <c r="D884" s="61" t="s">
        <v>3288</v>
      </c>
      <c r="E884" s="119">
        <v>1</v>
      </c>
      <c r="F884" s="148" t="s">
        <v>135</v>
      </c>
      <c r="G884" s="148">
        <v>1</v>
      </c>
      <c r="H884" s="61" t="s">
        <v>39</v>
      </c>
      <c r="I884" s="168"/>
      <c r="J884" s="61"/>
      <c r="K884" s="168"/>
      <c r="L884" s="159">
        <v>271114</v>
      </c>
      <c r="M884" s="169"/>
    </row>
    <row r="885" spans="1:13" x14ac:dyDescent="0.55000000000000004">
      <c r="A885" s="105" t="s">
        <v>3356</v>
      </c>
      <c r="B885" s="61" t="s">
        <v>625</v>
      </c>
      <c r="C885" s="61" t="s">
        <v>125</v>
      </c>
      <c r="D885" s="61" t="s">
        <v>3288</v>
      </c>
      <c r="E885" s="119">
        <v>0.84939271299999997</v>
      </c>
      <c r="F885" s="148" t="s">
        <v>135</v>
      </c>
      <c r="G885" s="148">
        <v>1</v>
      </c>
      <c r="H885" s="61" t="s">
        <v>39</v>
      </c>
      <c r="I885" s="61" t="s">
        <v>947</v>
      </c>
      <c r="J885" s="61" t="s">
        <v>919</v>
      </c>
      <c r="K885" s="61" t="s">
        <v>126</v>
      </c>
      <c r="L885" s="159"/>
      <c r="M885" s="169"/>
    </row>
    <row r="886" spans="1:13" x14ac:dyDescent="0.55000000000000004">
      <c r="A886" s="105" t="s">
        <v>3356</v>
      </c>
      <c r="B886" s="61" t="s">
        <v>706</v>
      </c>
      <c r="C886" s="61" t="s">
        <v>125</v>
      </c>
      <c r="D886" s="61" t="s">
        <v>3288</v>
      </c>
      <c r="E886" s="119">
        <v>0</v>
      </c>
      <c r="F886" s="148" t="s">
        <v>135</v>
      </c>
      <c r="G886" s="148">
        <v>1</v>
      </c>
      <c r="H886" s="61" t="s">
        <v>39</v>
      </c>
      <c r="I886" s="61" t="s">
        <v>947</v>
      </c>
      <c r="J886" s="61" t="s">
        <v>919</v>
      </c>
      <c r="K886" s="61" t="s">
        <v>126</v>
      </c>
      <c r="L886" s="159"/>
      <c r="M886" s="169"/>
    </row>
    <row r="887" spans="1:13" x14ac:dyDescent="0.55000000000000004">
      <c r="A887" s="105" t="s">
        <v>3356</v>
      </c>
      <c r="B887" s="61" t="s">
        <v>925</v>
      </c>
      <c r="C887" s="61" t="s">
        <v>125</v>
      </c>
      <c r="D887" s="61" t="s">
        <v>3288</v>
      </c>
      <c r="E887" s="119">
        <v>2.1052632000000002E-2</v>
      </c>
      <c r="F887" s="148" t="s">
        <v>135</v>
      </c>
      <c r="G887" s="148">
        <v>1</v>
      </c>
      <c r="H887" s="61" t="s">
        <v>39</v>
      </c>
      <c r="I887" s="61" t="s">
        <v>947</v>
      </c>
      <c r="J887" s="61" t="s">
        <v>919</v>
      </c>
      <c r="K887" s="61" t="s">
        <v>126</v>
      </c>
      <c r="L887" s="159"/>
      <c r="M887" s="169"/>
    </row>
    <row r="888" spans="1:13" x14ac:dyDescent="0.55000000000000004">
      <c r="A888" s="105" t="s">
        <v>3356</v>
      </c>
      <c r="B888" s="61" t="s">
        <v>213</v>
      </c>
      <c r="C888" s="61" t="s">
        <v>125</v>
      </c>
      <c r="D888" s="61" t="s">
        <v>3288</v>
      </c>
      <c r="E888" s="119">
        <v>6.4777327999999995E-2</v>
      </c>
      <c r="F888" s="148" t="s">
        <v>135</v>
      </c>
      <c r="G888" s="148">
        <v>1</v>
      </c>
      <c r="H888" s="61" t="s">
        <v>39</v>
      </c>
      <c r="I888" s="61" t="s">
        <v>947</v>
      </c>
      <c r="J888" s="61" t="s">
        <v>919</v>
      </c>
      <c r="K888" s="61" t="s">
        <v>126</v>
      </c>
      <c r="L888" s="159"/>
      <c r="M888" s="169"/>
    </row>
    <row r="889" spans="1:13" x14ac:dyDescent="0.55000000000000004">
      <c r="A889" s="105" t="s">
        <v>3356</v>
      </c>
      <c r="B889" s="61" t="s">
        <v>153</v>
      </c>
      <c r="C889" s="61" t="s">
        <v>127</v>
      </c>
      <c r="D889" s="61" t="s">
        <v>2994</v>
      </c>
      <c r="E889" s="119">
        <v>9.6792226719999999</v>
      </c>
      <c r="F889" s="148" t="s">
        <v>138</v>
      </c>
      <c r="G889" s="148">
        <v>1</v>
      </c>
      <c r="H889" s="61" t="s">
        <v>39</v>
      </c>
      <c r="I889" s="61" t="s">
        <v>947</v>
      </c>
      <c r="J889" s="61" t="s">
        <v>919</v>
      </c>
      <c r="K889" s="61" t="s">
        <v>126</v>
      </c>
      <c r="L889" s="159"/>
      <c r="M889" s="169"/>
    </row>
    <row r="890" spans="1:13" x14ac:dyDescent="0.55000000000000004">
      <c r="A890" s="105" t="s">
        <v>3356</v>
      </c>
      <c r="B890" s="61" t="s">
        <v>334</v>
      </c>
      <c r="C890" s="61" t="s">
        <v>125</v>
      </c>
      <c r="D890" s="61" t="s">
        <v>3288</v>
      </c>
      <c r="E890" s="119">
        <v>1.9190282999999999E-2</v>
      </c>
      <c r="F890" s="148" t="s">
        <v>135</v>
      </c>
      <c r="G890" s="148">
        <v>1</v>
      </c>
      <c r="H890" s="61" t="s">
        <v>39</v>
      </c>
      <c r="I890" s="61"/>
      <c r="J890" s="61" t="s">
        <v>919</v>
      </c>
      <c r="K890" s="61" t="s">
        <v>126</v>
      </c>
      <c r="L890" s="159"/>
      <c r="M890" s="169"/>
    </row>
    <row r="891" spans="1:13" x14ac:dyDescent="0.55000000000000004">
      <c r="A891" s="105" t="s">
        <v>3357</v>
      </c>
      <c r="B891" s="61" t="s">
        <v>920</v>
      </c>
      <c r="C891" s="61" t="s">
        <v>121</v>
      </c>
      <c r="D891" s="61" t="s">
        <v>3288</v>
      </c>
      <c r="E891" s="119">
        <v>1</v>
      </c>
      <c r="F891" s="148" t="s">
        <v>135</v>
      </c>
      <c r="G891" s="148">
        <v>1</v>
      </c>
      <c r="H891" s="61" t="s">
        <v>39</v>
      </c>
      <c r="I891" s="168"/>
      <c r="J891" s="61"/>
      <c r="K891" s="168"/>
      <c r="L891" s="159">
        <v>271114</v>
      </c>
      <c r="M891" s="169"/>
    </row>
    <row r="892" spans="1:13" x14ac:dyDescent="0.55000000000000004">
      <c r="A892" s="105" t="s">
        <v>3357</v>
      </c>
      <c r="B892" s="61" t="s">
        <v>625</v>
      </c>
      <c r="C892" s="61" t="s">
        <v>125</v>
      </c>
      <c r="D892" s="61" t="s">
        <v>3288</v>
      </c>
      <c r="E892" s="119">
        <v>0.98744939300000001</v>
      </c>
      <c r="F892" s="148" t="s">
        <v>135</v>
      </c>
      <c r="G892" s="148">
        <v>1</v>
      </c>
      <c r="H892" s="61" t="s">
        <v>39</v>
      </c>
      <c r="I892" s="61" t="s">
        <v>947</v>
      </c>
      <c r="J892" s="61" t="s">
        <v>919</v>
      </c>
      <c r="K892" s="61" t="s">
        <v>126</v>
      </c>
      <c r="L892" s="159"/>
      <c r="M892" s="169"/>
    </row>
    <row r="893" spans="1:13" x14ac:dyDescent="0.55000000000000004">
      <c r="A893" s="105" t="s">
        <v>3357</v>
      </c>
      <c r="B893" s="61" t="s">
        <v>706</v>
      </c>
      <c r="C893" s="61" t="s">
        <v>125</v>
      </c>
      <c r="D893" s="61" t="s">
        <v>3288</v>
      </c>
      <c r="E893" s="119">
        <v>0</v>
      </c>
      <c r="F893" s="148" t="s">
        <v>135</v>
      </c>
      <c r="G893" s="148">
        <v>1</v>
      </c>
      <c r="H893" s="61" t="s">
        <v>39</v>
      </c>
      <c r="I893" s="61" t="s">
        <v>947</v>
      </c>
      <c r="J893" s="61" t="s">
        <v>919</v>
      </c>
      <c r="K893" s="61" t="s">
        <v>126</v>
      </c>
      <c r="L893" s="159"/>
      <c r="M893" s="169"/>
    </row>
    <row r="894" spans="1:13" x14ac:dyDescent="0.55000000000000004">
      <c r="A894" s="105" t="s">
        <v>3357</v>
      </c>
      <c r="B894" s="61" t="s">
        <v>925</v>
      </c>
      <c r="C894" s="61" t="s">
        <v>125</v>
      </c>
      <c r="D894" s="61" t="s">
        <v>3288</v>
      </c>
      <c r="E894" s="119">
        <v>2.4696355999999999E-2</v>
      </c>
      <c r="F894" s="148" t="s">
        <v>135</v>
      </c>
      <c r="G894" s="148">
        <v>1</v>
      </c>
      <c r="H894" s="61" t="s">
        <v>39</v>
      </c>
      <c r="I894" s="61" t="s">
        <v>947</v>
      </c>
      <c r="J894" s="61" t="s">
        <v>919</v>
      </c>
      <c r="K894" s="61" t="s">
        <v>126</v>
      </c>
      <c r="L894" s="159"/>
      <c r="M894" s="169"/>
    </row>
    <row r="895" spans="1:13" x14ac:dyDescent="0.55000000000000004">
      <c r="A895" s="105" t="s">
        <v>3357</v>
      </c>
      <c r="B895" s="61" t="s">
        <v>334</v>
      </c>
      <c r="C895" s="61" t="s">
        <v>125</v>
      </c>
      <c r="D895" s="61" t="s">
        <v>3288</v>
      </c>
      <c r="E895" s="119">
        <v>7.3886640000000003E-2</v>
      </c>
      <c r="F895" s="148" t="s">
        <v>135</v>
      </c>
      <c r="G895" s="148">
        <v>1</v>
      </c>
      <c r="H895" s="61" t="s">
        <v>39</v>
      </c>
      <c r="I895" s="61" t="s">
        <v>947</v>
      </c>
      <c r="J895" s="61" t="s">
        <v>919</v>
      </c>
      <c r="K895" s="61" t="s">
        <v>126</v>
      </c>
      <c r="L895" s="159"/>
      <c r="M895" s="169"/>
    </row>
    <row r="896" spans="1:13" x14ac:dyDescent="0.55000000000000004">
      <c r="A896" s="105" t="s">
        <v>3357</v>
      </c>
      <c r="B896" s="61" t="s">
        <v>153</v>
      </c>
      <c r="C896" s="61" t="s">
        <v>127</v>
      </c>
      <c r="D896" s="61" t="s">
        <v>2994</v>
      </c>
      <c r="E896" s="119">
        <v>1.0253441299999999</v>
      </c>
      <c r="F896" s="148" t="s">
        <v>138</v>
      </c>
      <c r="G896" s="148">
        <v>1</v>
      </c>
      <c r="H896" s="61" t="s">
        <v>39</v>
      </c>
      <c r="I896" s="61" t="s">
        <v>947</v>
      </c>
      <c r="J896" s="61" t="s">
        <v>919</v>
      </c>
      <c r="K896" s="61" t="s">
        <v>126</v>
      </c>
      <c r="L896" s="159"/>
      <c r="M896" s="169"/>
    </row>
    <row r="897" spans="1:13" x14ac:dyDescent="0.55000000000000004">
      <c r="A897" s="105" t="s">
        <v>3358</v>
      </c>
      <c r="B897" s="61" t="s">
        <v>920</v>
      </c>
      <c r="C897" s="61" t="s">
        <v>121</v>
      </c>
      <c r="D897" s="61" t="s">
        <v>3288</v>
      </c>
      <c r="E897" s="119">
        <v>1</v>
      </c>
      <c r="F897" s="148" t="s">
        <v>135</v>
      </c>
      <c r="G897" s="148">
        <v>1</v>
      </c>
      <c r="H897" s="61" t="s">
        <v>39</v>
      </c>
      <c r="I897" s="168"/>
      <c r="J897" s="61"/>
      <c r="K897" s="168"/>
      <c r="L897" s="159">
        <v>271114</v>
      </c>
      <c r="M897" s="169"/>
    </row>
    <row r="898" spans="1:13" x14ac:dyDescent="0.55000000000000004">
      <c r="A898" s="105" t="s">
        <v>3358</v>
      </c>
      <c r="B898" s="61" t="s">
        <v>625</v>
      </c>
      <c r="C898" s="61" t="s">
        <v>125</v>
      </c>
      <c r="D898" s="61" t="s">
        <v>3288</v>
      </c>
      <c r="E898" s="119">
        <v>0.84939271299999997</v>
      </c>
      <c r="F898" s="148" t="s">
        <v>135</v>
      </c>
      <c r="G898" s="148">
        <v>1</v>
      </c>
      <c r="H898" s="61" t="s">
        <v>39</v>
      </c>
      <c r="I898" s="168" t="s">
        <v>947</v>
      </c>
      <c r="J898" s="61" t="s">
        <v>919</v>
      </c>
      <c r="K898" s="168" t="s">
        <v>126</v>
      </c>
      <c r="L898" s="159"/>
      <c r="M898" s="169"/>
    </row>
    <row r="899" spans="1:13" x14ac:dyDescent="0.55000000000000004">
      <c r="A899" s="105" t="s">
        <v>3358</v>
      </c>
      <c r="B899" s="61" t="s">
        <v>706</v>
      </c>
      <c r="C899" s="61" t="s">
        <v>125</v>
      </c>
      <c r="D899" s="61" t="s">
        <v>3288</v>
      </c>
      <c r="E899" s="119">
        <v>0</v>
      </c>
      <c r="F899" s="148" t="s">
        <v>135</v>
      </c>
      <c r="G899" s="148">
        <v>1</v>
      </c>
      <c r="H899" s="61" t="s">
        <v>39</v>
      </c>
      <c r="I899" s="168" t="s">
        <v>947</v>
      </c>
      <c r="J899" s="61" t="s">
        <v>919</v>
      </c>
      <c r="K899" s="168" t="s">
        <v>126</v>
      </c>
      <c r="L899" s="159"/>
      <c r="M899" s="169"/>
    </row>
    <row r="900" spans="1:13" x14ac:dyDescent="0.55000000000000004">
      <c r="A900" s="105" t="s">
        <v>3358</v>
      </c>
      <c r="B900" s="61" t="s">
        <v>925</v>
      </c>
      <c r="C900" s="61" t="s">
        <v>125</v>
      </c>
      <c r="D900" s="61" t="s">
        <v>3288</v>
      </c>
      <c r="E900" s="119">
        <v>2.1052632000000002E-2</v>
      </c>
      <c r="F900" s="148" t="s">
        <v>135</v>
      </c>
      <c r="G900" s="148">
        <v>1</v>
      </c>
      <c r="H900" s="61" t="s">
        <v>39</v>
      </c>
      <c r="I900" s="168" t="s">
        <v>947</v>
      </c>
      <c r="J900" s="61" t="s">
        <v>919</v>
      </c>
      <c r="K900" s="168" t="s">
        <v>126</v>
      </c>
      <c r="L900" s="159"/>
      <c r="M900" s="169"/>
    </row>
    <row r="901" spans="1:13" x14ac:dyDescent="0.55000000000000004">
      <c r="A901" s="105" t="s">
        <v>3358</v>
      </c>
      <c r="B901" s="61" t="s">
        <v>213</v>
      </c>
      <c r="C901" s="61" t="s">
        <v>125</v>
      </c>
      <c r="D901" s="61" t="s">
        <v>3288</v>
      </c>
      <c r="E901" s="119">
        <v>6.4736842000000003E-2</v>
      </c>
      <c r="F901" s="148" t="s">
        <v>135</v>
      </c>
      <c r="G901" s="148">
        <v>1</v>
      </c>
      <c r="H901" s="61" t="s">
        <v>39</v>
      </c>
      <c r="I901" s="168" t="s">
        <v>947</v>
      </c>
      <c r="J901" s="61" t="s">
        <v>919</v>
      </c>
      <c r="K901" s="168" t="s">
        <v>126</v>
      </c>
      <c r="L901" s="159"/>
      <c r="M901" s="169"/>
    </row>
    <row r="902" spans="1:13" x14ac:dyDescent="0.55000000000000004">
      <c r="A902" s="105" t="s">
        <v>3358</v>
      </c>
      <c r="B902" s="61" t="s">
        <v>334</v>
      </c>
      <c r="C902" s="61" t="s">
        <v>125</v>
      </c>
      <c r="D902" s="61" t="s">
        <v>3288</v>
      </c>
      <c r="E902" s="119">
        <v>6.4736842000000003E-2</v>
      </c>
      <c r="F902" s="148" t="s">
        <v>135</v>
      </c>
      <c r="G902" s="148">
        <v>1</v>
      </c>
      <c r="H902" s="61" t="s">
        <v>39</v>
      </c>
      <c r="I902" s="168" t="s">
        <v>947</v>
      </c>
      <c r="J902" s="61" t="s">
        <v>919</v>
      </c>
      <c r="K902" s="168" t="s">
        <v>126</v>
      </c>
      <c r="L902" s="159"/>
      <c r="M902" s="169"/>
    </row>
    <row r="903" spans="1:13" x14ac:dyDescent="0.55000000000000004">
      <c r="A903" s="105" t="s">
        <v>3358</v>
      </c>
      <c r="B903" s="61" t="s">
        <v>153</v>
      </c>
      <c r="C903" s="61" t="s">
        <v>127</v>
      </c>
      <c r="D903" s="61" t="s">
        <v>2994</v>
      </c>
      <c r="E903" s="119">
        <v>2.584453441</v>
      </c>
      <c r="F903" s="148" t="s">
        <v>138</v>
      </c>
      <c r="G903" s="148">
        <v>1</v>
      </c>
      <c r="H903" s="61" t="s">
        <v>39</v>
      </c>
      <c r="I903" s="168" t="s">
        <v>947</v>
      </c>
      <c r="J903" s="61" t="s">
        <v>919</v>
      </c>
      <c r="K903" s="168" t="s">
        <v>126</v>
      </c>
      <c r="L903" s="159"/>
      <c r="M903" s="169"/>
    </row>
    <row r="904" spans="1:13" x14ac:dyDescent="0.55000000000000004">
      <c r="A904" s="105" t="s">
        <v>3358</v>
      </c>
      <c r="B904" s="61" t="s">
        <v>334</v>
      </c>
      <c r="C904" s="61" t="s">
        <v>125</v>
      </c>
      <c r="D904" s="61" t="s">
        <v>3288</v>
      </c>
      <c r="E904" s="119">
        <v>1.9190282999999999E-2</v>
      </c>
      <c r="F904" s="148" t="s">
        <v>135</v>
      </c>
      <c r="G904" s="148">
        <v>1</v>
      </c>
      <c r="H904" s="61" t="s">
        <v>39</v>
      </c>
      <c r="I904" s="168"/>
      <c r="J904" s="61" t="s">
        <v>919</v>
      </c>
      <c r="K904" s="168" t="s">
        <v>126</v>
      </c>
      <c r="L904" s="159"/>
      <c r="M904" s="169"/>
    </row>
    <row r="905" spans="1:13" x14ac:dyDescent="0.55000000000000004">
      <c r="A905" s="105" t="s">
        <v>3359</v>
      </c>
      <c r="B905" s="61" t="s">
        <v>920</v>
      </c>
      <c r="C905" s="61" t="s">
        <v>121</v>
      </c>
      <c r="D905" s="61" t="s">
        <v>3288</v>
      </c>
      <c r="E905" s="119">
        <v>1</v>
      </c>
      <c r="F905" s="148" t="s">
        <v>135</v>
      </c>
      <c r="G905" s="148">
        <v>1</v>
      </c>
      <c r="H905" s="61" t="s">
        <v>39</v>
      </c>
      <c r="I905" s="168"/>
      <c r="J905" s="61"/>
      <c r="K905" s="168"/>
      <c r="L905" s="159">
        <v>271114</v>
      </c>
      <c r="M905" s="169"/>
    </row>
    <row r="906" spans="1:13" x14ac:dyDescent="0.55000000000000004">
      <c r="A906" s="105" t="s">
        <v>3359</v>
      </c>
      <c r="B906" s="61" t="s">
        <v>625</v>
      </c>
      <c r="C906" s="61" t="s">
        <v>125</v>
      </c>
      <c r="D906" s="61" t="s">
        <v>3288</v>
      </c>
      <c r="E906" s="119">
        <v>0.98744939300000001</v>
      </c>
      <c r="F906" s="148" t="s">
        <v>135</v>
      </c>
      <c r="G906" s="148">
        <v>1</v>
      </c>
      <c r="H906" s="61" t="s">
        <v>39</v>
      </c>
      <c r="I906" s="61" t="s">
        <v>956</v>
      </c>
      <c r="J906" s="61" t="s">
        <v>919</v>
      </c>
      <c r="K906" s="61" t="s">
        <v>126</v>
      </c>
      <c r="L906" s="159"/>
      <c r="M906" s="169"/>
    </row>
    <row r="907" spans="1:13" x14ac:dyDescent="0.55000000000000004">
      <c r="A907" s="105" t="s">
        <v>3359</v>
      </c>
      <c r="B907" s="61" t="s">
        <v>706</v>
      </c>
      <c r="C907" s="61" t="s">
        <v>125</v>
      </c>
      <c r="D907" s="61" t="s">
        <v>3288</v>
      </c>
      <c r="E907" s="119">
        <v>0</v>
      </c>
      <c r="F907" s="148" t="s">
        <v>135</v>
      </c>
      <c r="G907" s="148">
        <v>1</v>
      </c>
      <c r="H907" s="61" t="s">
        <v>39</v>
      </c>
      <c r="I907" s="61" t="s">
        <v>947</v>
      </c>
      <c r="J907" s="61" t="s">
        <v>919</v>
      </c>
      <c r="K907" s="61" t="s">
        <v>126</v>
      </c>
      <c r="L907" s="159"/>
      <c r="M907" s="169"/>
    </row>
    <row r="908" spans="1:13" x14ac:dyDescent="0.55000000000000004">
      <c r="A908" s="105" t="s">
        <v>3359</v>
      </c>
      <c r="B908" s="61" t="s">
        <v>925</v>
      </c>
      <c r="C908" s="61" t="s">
        <v>125</v>
      </c>
      <c r="D908" s="61" t="s">
        <v>3288</v>
      </c>
      <c r="E908" s="119">
        <v>2.4696355999999999E-2</v>
      </c>
      <c r="F908" s="148" t="s">
        <v>135</v>
      </c>
      <c r="G908" s="148">
        <v>1</v>
      </c>
      <c r="H908" s="61" t="s">
        <v>39</v>
      </c>
      <c r="I908" s="61" t="s">
        <v>947</v>
      </c>
      <c r="J908" s="61" t="s">
        <v>919</v>
      </c>
      <c r="K908" s="61" t="s">
        <v>126</v>
      </c>
      <c r="L908" s="159"/>
      <c r="M908" s="169"/>
    </row>
    <row r="909" spans="1:13" x14ac:dyDescent="0.55000000000000004">
      <c r="A909" s="105" t="s">
        <v>3359</v>
      </c>
      <c r="B909" s="61" t="s">
        <v>923</v>
      </c>
      <c r="C909" s="61" t="s">
        <v>127</v>
      </c>
      <c r="D909" s="61" t="s">
        <v>2994</v>
      </c>
      <c r="E909" s="119">
        <v>8.8684184530000003</v>
      </c>
      <c r="F909" s="148" t="s">
        <v>138</v>
      </c>
      <c r="G909" s="148">
        <v>1</v>
      </c>
      <c r="H909" s="61" t="s">
        <v>39</v>
      </c>
      <c r="I909" s="61" t="s">
        <v>957</v>
      </c>
      <c r="J909" s="61" t="s">
        <v>919</v>
      </c>
      <c r="K909" s="61" t="s">
        <v>126</v>
      </c>
      <c r="L909" s="159"/>
      <c r="M909" s="169"/>
    </row>
    <row r="910" spans="1:13" x14ac:dyDescent="0.55000000000000004">
      <c r="A910" s="105" t="s">
        <v>3359</v>
      </c>
      <c r="B910" s="61" t="s">
        <v>153</v>
      </c>
      <c r="C910" s="61" t="s">
        <v>127</v>
      </c>
      <c r="D910" s="61" t="s">
        <v>2994</v>
      </c>
      <c r="E910" s="119">
        <v>1.0253441299999999</v>
      </c>
      <c r="F910" s="148" t="s">
        <v>138</v>
      </c>
      <c r="G910" s="148">
        <v>1</v>
      </c>
      <c r="H910" s="61" t="s">
        <v>39</v>
      </c>
      <c r="I910" s="61" t="s">
        <v>958</v>
      </c>
      <c r="J910" s="61" t="s">
        <v>919</v>
      </c>
      <c r="K910" s="61" t="s">
        <v>126</v>
      </c>
      <c r="L910" s="159"/>
      <c r="M910" s="169"/>
    </row>
    <row r="911" spans="1:13" x14ac:dyDescent="0.55000000000000004">
      <c r="A911" s="105" t="s">
        <v>3359</v>
      </c>
      <c r="B911" s="61" t="s">
        <v>160</v>
      </c>
      <c r="C911" s="61" t="s">
        <v>497</v>
      </c>
      <c r="D911" s="61" t="s">
        <v>3288</v>
      </c>
      <c r="E911" s="119">
        <v>0.59418403600000003</v>
      </c>
      <c r="F911" s="148" t="s">
        <v>135</v>
      </c>
      <c r="G911" s="148">
        <v>1</v>
      </c>
      <c r="H911" s="61" t="s">
        <v>39</v>
      </c>
      <c r="I911" s="61" t="s">
        <v>959</v>
      </c>
      <c r="J911" s="61" t="s">
        <v>924</v>
      </c>
      <c r="K911" s="61" t="s">
        <v>126</v>
      </c>
      <c r="L911" s="159"/>
      <c r="M911" s="169"/>
    </row>
    <row r="912" spans="1:13" x14ac:dyDescent="0.55000000000000004">
      <c r="A912" s="105" t="s">
        <v>3360</v>
      </c>
      <c r="B912" s="61" t="s">
        <v>920</v>
      </c>
      <c r="C912" s="61" t="s">
        <v>121</v>
      </c>
      <c r="D912" s="61" t="s">
        <v>3288</v>
      </c>
      <c r="E912" s="119">
        <v>1</v>
      </c>
      <c r="F912" s="148" t="s">
        <v>135</v>
      </c>
      <c r="G912" s="148">
        <v>1</v>
      </c>
      <c r="H912" s="61" t="s">
        <v>39</v>
      </c>
      <c r="I912" s="168"/>
      <c r="J912" s="61"/>
      <c r="K912" s="168"/>
      <c r="L912" s="159">
        <v>271114</v>
      </c>
      <c r="M912" s="169"/>
    </row>
    <row r="913" spans="1:13" x14ac:dyDescent="0.55000000000000004">
      <c r="A913" s="105" t="s">
        <v>3360</v>
      </c>
      <c r="B913" s="61" t="s">
        <v>923</v>
      </c>
      <c r="C913" s="61" t="s">
        <v>127</v>
      </c>
      <c r="D913" s="61" t="s">
        <v>2994</v>
      </c>
      <c r="E913" s="119">
        <v>8.461538462</v>
      </c>
      <c r="F913" s="148" t="s">
        <v>138</v>
      </c>
      <c r="G913" s="148">
        <v>1</v>
      </c>
      <c r="H913" s="61" t="s">
        <v>39</v>
      </c>
      <c r="I913" s="61" t="s">
        <v>947</v>
      </c>
      <c r="J913" s="61" t="s">
        <v>919</v>
      </c>
      <c r="K913" s="61" t="s">
        <v>126</v>
      </c>
      <c r="L913" s="159"/>
      <c r="M913" s="169"/>
    </row>
    <row r="914" spans="1:13" x14ac:dyDescent="0.55000000000000004">
      <c r="A914" s="105" t="s">
        <v>3360</v>
      </c>
      <c r="B914" s="61" t="s">
        <v>625</v>
      </c>
      <c r="C914" s="61" t="s">
        <v>125</v>
      </c>
      <c r="D914" s="61" t="s">
        <v>3288</v>
      </c>
      <c r="E914" s="119">
        <v>0.91821862300000001</v>
      </c>
      <c r="F914" s="148" t="s">
        <v>135</v>
      </c>
      <c r="G914" s="148">
        <v>1</v>
      </c>
      <c r="H914" s="61" t="s">
        <v>39</v>
      </c>
      <c r="I914" s="61" t="s">
        <v>947</v>
      </c>
      <c r="J914" s="61" t="s">
        <v>919</v>
      </c>
      <c r="K914" s="61" t="s">
        <v>126</v>
      </c>
      <c r="L914" s="159"/>
      <c r="M914" s="169"/>
    </row>
    <row r="915" spans="1:13" x14ac:dyDescent="0.55000000000000004">
      <c r="A915" s="105" t="s">
        <v>3360</v>
      </c>
      <c r="B915" s="61" t="s">
        <v>706</v>
      </c>
      <c r="C915" s="61" t="s">
        <v>125</v>
      </c>
      <c r="D915" s="61" t="s">
        <v>3288</v>
      </c>
      <c r="E915" s="119">
        <v>0</v>
      </c>
      <c r="F915" s="148" t="s">
        <v>135</v>
      </c>
      <c r="G915" s="148">
        <v>1</v>
      </c>
      <c r="H915" s="61" t="s">
        <v>39</v>
      </c>
      <c r="I915" s="61" t="s">
        <v>947</v>
      </c>
      <c r="J915" s="61" t="s">
        <v>919</v>
      </c>
      <c r="K915" s="61" t="s">
        <v>126</v>
      </c>
      <c r="L915" s="159"/>
      <c r="M915" s="169"/>
    </row>
    <row r="916" spans="1:13" x14ac:dyDescent="0.55000000000000004">
      <c r="A916" s="105" t="s">
        <v>3360</v>
      </c>
      <c r="B916" s="61" t="s">
        <v>925</v>
      </c>
      <c r="C916" s="61" t="s">
        <v>125</v>
      </c>
      <c r="D916" s="61" t="s">
        <v>3288</v>
      </c>
      <c r="E916" s="119">
        <v>2.3076922999999999E-2</v>
      </c>
      <c r="F916" s="148" t="s">
        <v>135</v>
      </c>
      <c r="G916" s="148">
        <v>1</v>
      </c>
      <c r="H916" s="61" t="s">
        <v>39</v>
      </c>
      <c r="I916" s="61" t="s">
        <v>947</v>
      </c>
      <c r="J916" s="61" t="s">
        <v>919</v>
      </c>
      <c r="K916" s="61" t="s">
        <v>126</v>
      </c>
      <c r="L916" s="159"/>
      <c r="M916" s="169"/>
    </row>
    <row r="917" spans="1:13" x14ac:dyDescent="0.55000000000000004">
      <c r="A917" s="105" t="s">
        <v>3360</v>
      </c>
      <c r="B917" s="61" t="s">
        <v>213</v>
      </c>
      <c r="C917" s="61" t="s">
        <v>125</v>
      </c>
      <c r="D917" s="61" t="s">
        <v>3288</v>
      </c>
      <c r="E917" s="119">
        <v>6.4777327999999995E-2</v>
      </c>
      <c r="F917" s="148" t="s">
        <v>135</v>
      </c>
      <c r="G917" s="148">
        <v>1</v>
      </c>
      <c r="H917" s="61" t="s">
        <v>39</v>
      </c>
      <c r="I917" s="61" t="s">
        <v>960</v>
      </c>
      <c r="J917" s="61" t="s">
        <v>919</v>
      </c>
      <c r="K917" s="61" t="s">
        <v>126</v>
      </c>
      <c r="L917" s="159"/>
      <c r="M917" s="169"/>
    </row>
    <row r="918" spans="1:13" x14ac:dyDescent="0.55000000000000004">
      <c r="A918" s="105" t="s">
        <v>3360</v>
      </c>
      <c r="B918" s="61" t="s">
        <v>153</v>
      </c>
      <c r="C918" s="61" t="s">
        <v>127</v>
      </c>
      <c r="D918" s="61" t="s">
        <v>2994</v>
      </c>
      <c r="E918" s="119">
        <v>1.0253441299999999</v>
      </c>
      <c r="F918" s="148" t="s">
        <v>138</v>
      </c>
      <c r="G918" s="148">
        <v>1</v>
      </c>
      <c r="H918" s="61" t="s">
        <v>39</v>
      </c>
      <c r="I918" s="61" t="s">
        <v>961</v>
      </c>
      <c r="J918" s="61" t="s">
        <v>919</v>
      </c>
      <c r="K918" s="61" t="s">
        <v>126</v>
      </c>
      <c r="L918" s="159"/>
      <c r="M918" s="169"/>
    </row>
    <row r="919" spans="1:13" x14ac:dyDescent="0.55000000000000004">
      <c r="A919" s="105" t="s">
        <v>3360</v>
      </c>
      <c r="B919" s="61" t="s">
        <v>153</v>
      </c>
      <c r="C919" s="61" t="s">
        <v>127</v>
      </c>
      <c r="D919" s="61" t="s">
        <v>2994</v>
      </c>
      <c r="E919" s="119">
        <v>0.44048583000000002</v>
      </c>
      <c r="F919" s="148" t="s">
        <v>138</v>
      </c>
      <c r="G919" s="148">
        <v>1</v>
      </c>
      <c r="H919" s="61" t="s">
        <v>39</v>
      </c>
      <c r="I919" s="61" t="s">
        <v>1000</v>
      </c>
      <c r="J919" s="61" t="s">
        <v>919</v>
      </c>
      <c r="K919" s="61" t="s">
        <v>126</v>
      </c>
      <c r="L919" s="159"/>
      <c r="M919" s="169"/>
    </row>
    <row r="920" spans="1:13" x14ac:dyDescent="0.55000000000000004">
      <c r="A920" s="105" t="s">
        <v>3360</v>
      </c>
      <c r="B920" s="61" t="s">
        <v>153</v>
      </c>
      <c r="C920" s="61" t="s">
        <v>127</v>
      </c>
      <c r="D920" s="61" t="s">
        <v>2994</v>
      </c>
      <c r="E920" s="119">
        <v>1.46582996</v>
      </c>
      <c r="F920" s="148" t="s">
        <v>138</v>
      </c>
      <c r="G920" s="148">
        <v>1</v>
      </c>
      <c r="H920" s="61" t="s">
        <v>39</v>
      </c>
      <c r="I920" s="61" t="s">
        <v>962</v>
      </c>
      <c r="J920" s="61" t="s">
        <v>919</v>
      </c>
      <c r="K920" s="61" t="s">
        <v>126</v>
      </c>
      <c r="L920" s="159"/>
      <c r="M920" s="169"/>
    </row>
    <row r="921" spans="1:13" x14ac:dyDescent="0.55000000000000004">
      <c r="A921" s="105" t="s">
        <v>3360</v>
      </c>
      <c r="B921" s="61" t="s">
        <v>160</v>
      </c>
      <c r="C921" s="61" t="s">
        <v>497</v>
      </c>
      <c r="D921" s="61" t="s">
        <v>3288</v>
      </c>
      <c r="E921" s="119">
        <v>0.566923077</v>
      </c>
      <c r="F921" s="148" t="s">
        <v>135</v>
      </c>
      <c r="G921" s="148">
        <v>1</v>
      </c>
      <c r="H921" s="61" t="s">
        <v>39</v>
      </c>
      <c r="I921" s="61" t="s">
        <v>959</v>
      </c>
      <c r="J921" s="61" t="s">
        <v>924</v>
      </c>
      <c r="K921" s="61" t="s">
        <v>126</v>
      </c>
      <c r="L921" s="159"/>
      <c r="M921" s="169"/>
    </row>
    <row r="922" spans="1:13" x14ac:dyDescent="0.55000000000000004">
      <c r="A922" s="105" t="s">
        <v>3361</v>
      </c>
      <c r="B922" s="61" t="s">
        <v>920</v>
      </c>
      <c r="C922" s="61" t="s">
        <v>121</v>
      </c>
      <c r="D922" s="61" t="s">
        <v>3288</v>
      </c>
      <c r="E922" s="119">
        <v>1</v>
      </c>
      <c r="F922" s="148" t="s">
        <v>135</v>
      </c>
      <c r="G922" s="148">
        <v>1</v>
      </c>
      <c r="H922" s="61" t="s">
        <v>39</v>
      </c>
      <c r="I922" s="61"/>
      <c r="J922" s="61"/>
      <c r="K922" s="61"/>
      <c r="L922" s="159">
        <v>271114</v>
      </c>
      <c r="M922" s="169"/>
    </row>
    <row r="923" spans="1:13" x14ac:dyDescent="0.55000000000000004">
      <c r="A923" s="105" t="s">
        <v>3361</v>
      </c>
      <c r="B923" s="61" t="s">
        <v>625</v>
      </c>
      <c r="C923" s="61" t="s">
        <v>125</v>
      </c>
      <c r="D923" s="61" t="s">
        <v>3288</v>
      </c>
      <c r="E923" s="119">
        <v>0.98744939300000001</v>
      </c>
      <c r="F923" s="148" t="s">
        <v>135</v>
      </c>
      <c r="G923" s="148">
        <v>1</v>
      </c>
      <c r="H923" s="61" t="s">
        <v>39</v>
      </c>
      <c r="I923" s="61" t="s">
        <v>947</v>
      </c>
      <c r="J923" s="61" t="s">
        <v>919</v>
      </c>
      <c r="K923" s="61" t="s">
        <v>126</v>
      </c>
      <c r="L923" s="159"/>
      <c r="M923" s="169"/>
    </row>
    <row r="924" spans="1:13" x14ac:dyDescent="0.55000000000000004">
      <c r="A924" s="105" t="s">
        <v>3361</v>
      </c>
      <c r="B924" s="61" t="s">
        <v>706</v>
      </c>
      <c r="C924" s="61" t="s">
        <v>125</v>
      </c>
      <c r="D924" s="61" t="s">
        <v>3288</v>
      </c>
      <c r="E924" s="119">
        <v>0</v>
      </c>
      <c r="F924" s="148" t="s">
        <v>135</v>
      </c>
      <c r="G924" s="148">
        <v>1</v>
      </c>
      <c r="H924" s="61" t="s">
        <v>39</v>
      </c>
      <c r="I924" s="61" t="s">
        <v>947</v>
      </c>
      <c r="J924" s="61" t="s">
        <v>919</v>
      </c>
      <c r="K924" s="61" t="s">
        <v>126</v>
      </c>
      <c r="L924" s="159"/>
      <c r="M924" s="169"/>
    </row>
    <row r="925" spans="1:13" x14ac:dyDescent="0.55000000000000004">
      <c r="A925" s="105" t="s">
        <v>3361</v>
      </c>
      <c r="B925" s="61" t="s">
        <v>925</v>
      </c>
      <c r="C925" s="61" t="s">
        <v>125</v>
      </c>
      <c r="D925" s="61" t="s">
        <v>3288</v>
      </c>
      <c r="E925" s="119">
        <v>2.4696355999999999E-2</v>
      </c>
      <c r="F925" s="148" t="s">
        <v>135</v>
      </c>
      <c r="G925" s="148">
        <v>1</v>
      </c>
      <c r="H925" s="61" t="s">
        <v>39</v>
      </c>
      <c r="I925" s="61" t="s">
        <v>947</v>
      </c>
      <c r="J925" s="61" t="s">
        <v>919</v>
      </c>
      <c r="K925" s="61" t="s">
        <v>126</v>
      </c>
      <c r="L925" s="159"/>
      <c r="M925" s="169"/>
    </row>
    <row r="926" spans="1:13" x14ac:dyDescent="0.55000000000000004">
      <c r="A926" s="105" t="s">
        <v>3361</v>
      </c>
      <c r="B926" s="61" t="s">
        <v>923</v>
      </c>
      <c r="C926" s="61" t="s">
        <v>127</v>
      </c>
      <c r="D926" s="61" t="s">
        <v>2994</v>
      </c>
      <c r="E926" s="119">
        <v>8.8663967610000007</v>
      </c>
      <c r="F926" s="148" t="s">
        <v>138</v>
      </c>
      <c r="G926" s="148">
        <v>1</v>
      </c>
      <c r="H926" s="61" t="s">
        <v>39</v>
      </c>
      <c r="I926" s="61" t="s">
        <v>947</v>
      </c>
      <c r="J926" s="61" t="s">
        <v>919</v>
      </c>
      <c r="K926" s="61" t="s">
        <v>126</v>
      </c>
      <c r="L926" s="159"/>
      <c r="M926" s="169"/>
    </row>
    <row r="927" spans="1:13" x14ac:dyDescent="0.55000000000000004">
      <c r="A927" s="105" t="s">
        <v>3361</v>
      </c>
      <c r="B927" s="61" t="s">
        <v>153</v>
      </c>
      <c r="C927" s="61" t="s">
        <v>127</v>
      </c>
      <c r="D927" s="61" t="s">
        <v>2994</v>
      </c>
      <c r="E927" s="119">
        <v>0.415119081</v>
      </c>
      <c r="F927" s="148" t="s">
        <v>138</v>
      </c>
      <c r="G927" s="148">
        <v>1</v>
      </c>
      <c r="H927" s="61" t="s">
        <v>39</v>
      </c>
      <c r="I927" s="61" t="s">
        <v>949</v>
      </c>
      <c r="J927" s="61" t="s">
        <v>919</v>
      </c>
      <c r="K927" s="61" t="s">
        <v>126</v>
      </c>
      <c r="L927" s="159"/>
      <c r="M927" s="169"/>
    </row>
    <row r="928" spans="1:13" x14ac:dyDescent="0.55000000000000004">
      <c r="A928" s="105" t="s">
        <v>3361</v>
      </c>
      <c r="B928" s="61" t="s">
        <v>153</v>
      </c>
      <c r="C928" s="61" t="s">
        <v>127</v>
      </c>
      <c r="D928" s="61" t="s">
        <v>2994</v>
      </c>
      <c r="E928" s="119">
        <v>1.363190283</v>
      </c>
      <c r="F928" s="148" t="s">
        <v>138</v>
      </c>
      <c r="G928" s="148">
        <v>1</v>
      </c>
      <c r="H928" s="61" t="s">
        <v>39</v>
      </c>
      <c r="I928" s="61" t="s">
        <v>950</v>
      </c>
      <c r="J928" s="61" t="s">
        <v>919</v>
      </c>
      <c r="K928" s="61" t="s">
        <v>126</v>
      </c>
      <c r="L928" s="159"/>
      <c r="M928" s="169"/>
    </row>
    <row r="929" spans="1:13" x14ac:dyDescent="0.55000000000000004">
      <c r="A929" s="105" t="s">
        <v>3361</v>
      </c>
      <c r="B929" s="61" t="s">
        <v>153</v>
      </c>
      <c r="C929" s="61" t="s">
        <v>127</v>
      </c>
      <c r="D929" s="61" t="s">
        <v>2994</v>
      </c>
      <c r="E929" s="119">
        <v>1.7783093640000001</v>
      </c>
      <c r="F929" s="148" t="s">
        <v>138</v>
      </c>
      <c r="G929" s="148">
        <v>1</v>
      </c>
      <c r="H929" s="61" t="s">
        <v>39</v>
      </c>
      <c r="I929" s="61" t="s">
        <v>947</v>
      </c>
      <c r="J929" s="61" t="s">
        <v>919</v>
      </c>
      <c r="K929" s="61" t="s">
        <v>126</v>
      </c>
      <c r="L929" s="159"/>
      <c r="M929" s="169"/>
    </row>
    <row r="930" spans="1:13" x14ac:dyDescent="0.55000000000000004">
      <c r="A930" s="105" t="s">
        <v>3361</v>
      </c>
      <c r="B930" s="61" t="s">
        <v>160</v>
      </c>
      <c r="C930" s="61" t="s">
        <v>497</v>
      </c>
      <c r="D930" s="61" t="s">
        <v>3288</v>
      </c>
      <c r="E930" s="119">
        <v>2.9702428999999999E-2</v>
      </c>
      <c r="F930" s="148" t="s">
        <v>135</v>
      </c>
      <c r="G930" s="148">
        <v>1</v>
      </c>
      <c r="H930" s="61" t="s">
        <v>39</v>
      </c>
      <c r="I930" s="61" t="s">
        <v>959</v>
      </c>
      <c r="J930" s="61" t="s">
        <v>924</v>
      </c>
      <c r="K930" s="61" t="s">
        <v>126</v>
      </c>
      <c r="L930" s="159"/>
      <c r="M930" s="169"/>
    </row>
    <row r="931" spans="1:13" x14ac:dyDescent="0.55000000000000004">
      <c r="A931" s="105" t="s">
        <v>3362</v>
      </c>
      <c r="B931" s="61" t="s">
        <v>920</v>
      </c>
      <c r="C931" s="61" t="s">
        <v>121</v>
      </c>
      <c r="D931" s="61" t="s">
        <v>3288</v>
      </c>
      <c r="E931" s="119">
        <v>1</v>
      </c>
      <c r="F931" s="148" t="s">
        <v>135</v>
      </c>
      <c r="G931" s="148">
        <v>1</v>
      </c>
      <c r="H931" s="61" t="s">
        <v>39</v>
      </c>
      <c r="I931" s="168" t="s">
        <v>984</v>
      </c>
      <c r="J931" s="61"/>
      <c r="K931" s="168" t="s">
        <v>126</v>
      </c>
      <c r="L931" s="159">
        <v>271114</v>
      </c>
      <c r="M931" s="169"/>
    </row>
    <row r="932" spans="1:13" x14ac:dyDescent="0.55000000000000004">
      <c r="A932" s="105" t="s">
        <v>3362</v>
      </c>
      <c r="B932" s="61" t="s">
        <v>923</v>
      </c>
      <c r="C932" s="61" t="s">
        <v>127</v>
      </c>
      <c r="D932" s="61" t="s">
        <v>2994</v>
      </c>
      <c r="E932" s="119">
        <v>8.461538462</v>
      </c>
      <c r="F932" s="148" t="s">
        <v>138</v>
      </c>
      <c r="G932" s="148">
        <v>1</v>
      </c>
      <c r="H932" s="61" t="s">
        <v>39</v>
      </c>
      <c r="I932" s="61" t="s">
        <v>984</v>
      </c>
      <c r="J932" s="61" t="s">
        <v>919</v>
      </c>
      <c r="K932" s="61" t="s">
        <v>126</v>
      </c>
      <c r="L932" s="159"/>
      <c r="M932" s="169"/>
    </row>
    <row r="933" spans="1:13" x14ac:dyDescent="0.55000000000000004">
      <c r="A933" s="105" t="s">
        <v>3362</v>
      </c>
      <c r="B933" s="61" t="s">
        <v>625</v>
      </c>
      <c r="C933" s="61" t="s">
        <v>125</v>
      </c>
      <c r="D933" s="61" t="s">
        <v>3288</v>
      </c>
      <c r="E933" s="119">
        <v>0.91821862300000001</v>
      </c>
      <c r="F933" s="148" t="s">
        <v>135</v>
      </c>
      <c r="G933" s="148">
        <v>1</v>
      </c>
      <c r="H933" s="61" t="s">
        <v>39</v>
      </c>
      <c r="I933" s="61" t="s">
        <v>984</v>
      </c>
      <c r="J933" s="61" t="s">
        <v>919</v>
      </c>
      <c r="K933" s="61" t="s">
        <v>126</v>
      </c>
      <c r="L933" s="159"/>
      <c r="M933" s="169"/>
    </row>
    <row r="934" spans="1:13" x14ac:dyDescent="0.55000000000000004">
      <c r="A934" s="105" t="s">
        <v>3362</v>
      </c>
      <c r="B934" s="61" t="s">
        <v>706</v>
      </c>
      <c r="C934" s="61" t="s">
        <v>125</v>
      </c>
      <c r="D934" s="61" t="s">
        <v>3288</v>
      </c>
      <c r="E934" s="119">
        <v>0</v>
      </c>
      <c r="F934" s="148" t="s">
        <v>135</v>
      </c>
      <c r="G934" s="148">
        <v>1</v>
      </c>
      <c r="H934" s="61" t="s">
        <v>39</v>
      </c>
      <c r="I934" s="168" t="s">
        <v>984</v>
      </c>
      <c r="J934" s="61" t="s">
        <v>919</v>
      </c>
      <c r="K934" s="61" t="s">
        <v>126</v>
      </c>
      <c r="L934" s="159"/>
      <c r="M934" s="169"/>
    </row>
    <row r="935" spans="1:13" x14ac:dyDescent="0.55000000000000004">
      <c r="A935" s="105" t="s">
        <v>3362</v>
      </c>
      <c r="B935" s="61" t="s">
        <v>925</v>
      </c>
      <c r="C935" s="61" t="s">
        <v>125</v>
      </c>
      <c r="D935" s="61" t="s">
        <v>3288</v>
      </c>
      <c r="E935" s="119">
        <v>2.3076922999999999E-2</v>
      </c>
      <c r="F935" s="148" t="s">
        <v>135</v>
      </c>
      <c r="G935" s="148">
        <v>1</v>
      </c>
      <c r="H935" s="61" t="s">
        <v>39</v>
      </c>
      <c r="I935" s="61" t="s">
        <v>984</v>
      </c>
      <c r="J935" s="61" t="s">
        <v>919</v>
      </c>
      <c r="K935" s="61" t="s">
        <v>126</v>
      </c>
      <c r="L935" s="159"/>
      <c r="M935" s="169"/>
    </row>
    <row r="936" spans="1:13" x14ac:dyDescent="0.55000000000000004">
      <c r="A936" s="105" t="s">
        <v>3362</v>
      </c>
      <c r="B936" s="61" t="s">
        <v>213</v>
      </c>
      <c r="C936" s="61" t="s">
        <v>125</v>
      </c>
      <c r="D936" s="61" t="s">
        <v>3288</v>
      </c>
      <c r="E936" s="119">
        <v>6.4777327999999995E-2</v>
      </c>
      <c r="F936" s="148" t="s">
        <v>135</v>
      </c>
      <c r="G936" s="148">
        <v>1</v>
      </c>
      <c r="H936" s="61" t="s">
        <v>39</v>
      </c>
      <c r="I936" s="61" t="s">
        <v>984</v>
      </c>
      <c r="J936" s="61" t="s">
        <v>919</v>
      </c>
      <c r="K936" s="61" t="s">
        <v>126</v>
      </c>
      <c r="L936" s="159"/>
      <c r="M936" s="169"/>
    </row>
    <row r="937" spans="1:13" x14ac:dyDescent="0.55000000000000004">
      <c r="A937" s="105" t="s">
        <v>3362</v>
      </c>
      <c r="B937" s="61" t="s">
        <v>153</v>
      </c>
      <c r="C937" s="61" t="s">
        <v>127</v>
      </c>
      <c r="D937" s="61" t="s">
        <v>2994</v>
      </c>
      <c r="E937" s="119">
        <v>1.0253441299999999</v>
      </c>
      <c r="F937" s="148" t="s">
        <v>138</v>
      </c>
      <c r="G937" s="148">
        <v>1</v>
      </c>
      <c r="H937" s="61" t="s">
        <v>39</v>
      </c>
      <c r="I937" s="61" t="s">
        <v>985</v>
      </c>
      <c r="J937" s="61" t="s">
        <v>919</v>
      </c>
      <c r="K937" s="61" t="s">
        <v>126</v>
      </c>
      <c r="L937" s="159"/>
      <c r="M937" s="169"/>
    </row>
    <row r="938" spans="1:13" x14ac:dyDescent="0.55000000000000004">
      <c r="A938" s="105" t="s">
        <v>3362</v>
      </c>
      <c r="B938" s="61" t="s">
        <v>153</v>
      </c>
      <c r="C938" s="61" t="s">
        <v>127</v>
      </c>
      <c r="D938" s="61" t="s">
        <v>2994</v>
      </c>
      <c r="E938" s="119">
        <v>1.363190283</v>
      </c>
      <c r="F938" s="148" t="s">
        <v>138</v>
      </c>
      <c r="G938" s="148">
        <v>1</v>
      </c>
      <c r="H938" s="61" t="s">
        <v>39</v>
      </c>
      <c r="I938" s="61" t="s">
        <v>984</v>
      </c>
      <c r="J938" s="61" t="s">
        <v>919</v>
      </c>
      <c r="K938" s="61" t="s">
        <v>126</v>
      </c>
      <c r="L938" s="159"/>
      <c r="M938" s="169"/>
    </row>
    <row r="939" spans="1:13" x14ac:dyDescent="0.55000000000000004">
      <c r="A939" s="105" t="s">
        <v>3362</v>
      </c>
      <c r="B939" s="61" t="s">
        <v>153</v>
      </c>
      <c r="C939" s="61" t="s">
        <v>127</v>
      </c>
      <c r="D939" s="61" t="s">
        <v>2994</v>
      </c>
      <c r="E939" s="119">
        <v>0.44048583000000002</v>
      </c>
      <c r="F939" s="148" t="s">
        <v>138</v>
      </c>
      <c r="G939" s="148">
        <v>1</v>
      </c>
      <c r="H939" s="61" t="s">
        <v>39</v>
      </c>
      <c r="I939" s="61"/>
      <c r="J939" s="61" t="s">
        <v>919</v>
      </c>
      <c r="K939" s="61" t="s">
        <v>126</v>
      </c>
      <c r="L939" s="159"/>
      <c r="M939" s="169"/>
    </row>
    <row r="940" spans="1:13" x14ac:dyDescent="0.55000000000000004">
      <c r="A940" s="105" t="s">
        <v>3362</v>
      </c>
      <c r="B940" s="61" t="s">
        <v>153</v>
      </c>
      <c r="C940" s="61" t="s">
        <v>127</v>
      </c>
      <c r="D940" s="61" t="s">
        <v>2994</v>
      </c>
      <c r="E940" s="119">
        <v>2.829020243</v>
      </c>
      <c r="F940" s="148" t="s">
        <v>138</v>
      </c>
      <c r="G940" s="148">
        <v>1</v>
      </c>
      <c r="H940" s="61" t="s">
        <v>39</v>
      </c>
      <c r="I940" s="61" t="s">
        <v>959</v>
      </c>
      <c r="J940" s="61" t="s">
        <v>919</v>
      </c>
      <c r="K940" s="61" t="s">
        <v>126</v>
      </c>
      <c r="L940" s="159"/>
      <c r="M940" s="169"/>
    </row>
    <row r="941" spans="1:13" x14ac:dyDescent="0.55000000000000004">
      <c r="A941" s="105" t="s">
        <v>3362</v>
      </c>
      <c r="B941" s="61" t="s">
        <v>160</v>
      </c>
      <c r="C941" s="61" t="s">
        <v>497</v>
      </c>
      <c r="D941" s="61" t="s">
        <v>3288</v>
      </c>
      <c r="E941" s="119">
        <v>2.8346153999999998E-2</v>
      </c>
      <c r="F941" s="148" t="s">
        <v>135</v>
      </c>
      <c r="G941" s="148">
        <v>1</v>
      </c>
      <c r="H941" s="61" t="s">
        <v>39</v>
      </c>
      <c r="I941" s="61"/>
      <c r="J941" s="61" t="s">
        <v>924</v>
      </c>
      <c r="K941" s="61"/>
      <c r="L941" s="159"/>
      <c r="M941" s="169"/>
    </row>
    <row r="942" spans="1:13" x14ac:dyDescent="0.55000000000000004">
      <c r="A942" s="105" t="s">
        <v>3363</v>
      </c>
      <c r="B942" s="61" t="s">
        <v>920</v>
      </c>
      <c r="C942" s="61" t="s">
        <v>121</v>
      </c>
      <c r="D942" s="61" t="s">
        <v>3288</v>
      </c>
      <c r="E942" s="119">
        <v>1</v>
      </c>
      <c r="F942" s="148" t="s">
        <v>135</v>
      </c>
      <c r="G942" s="148">
        <v>1</v>
      </c>
      <c r="H942" s="61" t="s">
        <v>39</v>
      </c>
      <c r="I942" s="168" t="s">
        <v>1008</v>
      </c>
      <c r="J942" s="61"/>
      <c r="K942" s="168" t="s">
        <v>126</v>
      </c>
      <c r="L942" s="159">
        <v>271114</v>
      </c>
      <c r="M942" s="169"/>
    </row>
    <row r="943" spans="1:13" x14ac:dyDescent="0.55000000000000004">
      <c r="A943" s="105" t="s">
        <v>3363</v>
      </c>
      <c r="B943" s="61" t="s">
        <v>925</v>
      </c>
      <c r="C943" s="61" t="s">
        <v>125</v>
      </c>
      <c r="D943" s="61" t="s">
        <v>3288</v>
      </c>
      <c r="E943" s="119">
        <v>1.17</v>
      </c>
      <c r="F943" s="148" t="s">
        <v>135</v>
      </c>
      <c r="G943" s="148">
        <v>1</v>
      </c>
      <c r="H943" s="61" t="s">
        <v>39</v>
      </c>
      <c r="I943" s="61" t="s">
        <v>1009</v>
      </c>
      <c r="J943" s="61" t="s">
        <v>919</v>
      </c>
      <c r="K943" s="61" t="s">
        <v>126</v>
      </c>
      <c r="L943" s="159"/>
      <c r="M943" s="169"/>
    </row>
    <row r="944" spans="1:13" x14ac:dyDescent="0.55000000000000004">
      <c r="A944" s="105" t="s">
        <v>3363</v>
      </c>
      <c r="B944" s="61" t="s">
        <v>160</v>
      </c>
      <c r="C944" s="61" t="s">
        <v>125</v>
      </c>
      <c r="D944" s="61" t="s">
        <v>3288</v>
      </c>
      <c r="E944" s="119">
        <v>0.88</v>
      </c>
      <c r="F944" s="148" t="s">
        <v>135</v>
      </c>
      <c r="G944" s="148">
        <v>1</v>
      </c>
      <c r="H944" s="61" t="s">
        <v>39</v>
      </c>
      <c r="I944" s="61" t="s">
        <v>1010</v>
      </c>
      <c r="J944" s="61" t="s">
        <v>919</v>
      </c>
      <c r="K944" s="61" t="s">
        <v>126</v>
      </c>
      <c r="L944" s="159"/>
      <c r="M944" s="169"/>
    </row>
    <row r="945" spans="1:13" x14ac:dyDescent="0.55000000000000004">
      <c r="A945" s="105" t="s">
        <v>3363</v>
      </c>
      <c r="B945" s="61" t="s">
        <v>926</v>
      </c>
      <c r="C945" s="61" t="s">
        <v>125</v>
      </c>
      <c r="D945" s="61" t="s">
        <v>3288</v>
      </c>
      <c r="E945" s="119">
        <v>0.09</v>
      </c>
      <c r="F945" s="148" t="s">
        <v>135</v>
      </c>
      <c r="G945" s="148">
        <v>1</v>
      </c>
      <c r="H945" s="61" t="s">
        <v>39</v>
      </c>
      <c r="I945" s="61" t="s">
        <v>1010</v>
      </c>
      <c r="J945" s="61" t="s">
        <v>919</v>
      </c>
      <c r="K945" s="61" t="s">
        <v>126</v>
      </c>
      <c r="L945" s="159"/>
      <c r="M945" s="169"/>
    </row>
    <row r="946" spans="1:13" x14ac:dyDescent="0.55000000000000004">
      <c r="A946" s="105" t="s">
        <v>3363</v>
      </c>
      <c r="B946" s="61" t="s">
        <v>334</v>
      </c>
      <c r="C946" s="61" t="s">
        <v>125</v>
      </c>
      <c r="D946" s="61" t="s">
        <v>3288</v>
      </c>
      <c r="E946" s="119">
        <v>0.04</v>
      </c>
      <c r="F946" s="148" t="s">
        <v>135</v>
      </c>
      <c r="G946" s="148">
        <v>1</v>
      </c>
      <c r="H946" s="61" t="s">
        <v>39</v>
      </c>
      <c r="I946" s="61" t="s">
        <v>1011</v>
      </c>
      <c r="J946" s="61" t="s">
        <v>919</v>
      </c>
      <c r="K946" s="61" t="s">
        <v>126</v>
      </c>
      <c r="L946" s="159"/>
      <c r="M946" s="169"/>
    </row>
    <row r="947" spans="1:13" x14ac:dyDescent="0.55000000000000004">
      <c r="A947" s="105" t="s">
        <v>3363</v>
      </c>
      <c r="B947" s="61" t="s">
        <v>153</v>
      </c>
      <c r="C947" s="61" t="s">
        <v>127</v>
      </c>
      <c r="D947" s="61" t="s">
        <v>2994</v>
      </c>
      <c r="E947" s="119">
        <v>2.5019999999999998</v>
      </c>
      <c r="F947" s="148" t="s">
        <v>138</v>
      </c>
      <c r="G947" s="148">
        <v>1</v>
      </c>
      <c r="H947" s="61" t="s">
        <v>39</v>
      </c>
      <c r="I947" s="61" t="s">
        <v>1011</v>
      </c>
      <c r="J947" s="61" t="s">
        <v>919</v>
      </c>
      <c r="K947" s="61" t="s">
        <v>126</v>
      </c>
      <c r="L947" s="159"/>
      <c r="M947" s="169"/>
    </row>
    <row r="948" spans="1:13" x14ac:dyDescent="0.55000000000000004">
      <c r="A948" s="105" t="s">
        <v>3363</v>
      </c>
      <c r="B948" s="61" t="s">
        <v>188</v>
      </c>
      <c r="C948" s="61" t="s">
        <v>127</v>
      </c>
      <c r="D948" s="61" t="s">
        <v>2994</v>
      </c>
      <c r="E948" s="119">
        <v>1.3699999999999999E-3</v>
      </c>
      <c r="F948" s="148" t="s">
        <v>138</v>
      </c>
      <c r="G948" s="148">
        <v>1</v>
      </c>
      <c r="H948" s="61" t="s">
        <v>39</v>
      </c>
      <c r="I948" s="61" t="s">
        <v>1011</v>
      </c>
      <c r="J948" s="61" t="s">
        <v>919</v>
      </c>
      <c r="K948" s="61" t="s">
        <v>126</v>
      </c>
      <c r="L948" s="159"/>
      <c r="M948" s="169"/>
    </row>
    <row r="949" spans="1:13" x14ac:dyDescent="0.55000000000000004">
      <c r="A949" s="105" t="s">
        <v>3363</v>
      </c>
      <c r="B949" s="61" t="s">
        <v>927</v>
      </c>
      <c r="C949" s="61" t="s">
        <v>127</v>
      </c>
      <c r="D949" s="61" t="s">
        <v>2994</v>
      </c>
      <c r="E949" s="119">
        <v>3.63</v>
      </c>
      <c r="F949" s="148" t="s">
        <v>138</v>
      </c>
      <c r="G949" s="148">
        <v>1</v>
      </c>
      <c r="H949" s="61" t="s">
        <v>39</v>
      </c>
      <c r="I949" s="61" t="s">
        <v>1011</v>
      </c>
      <c r="J949" s="61" t="s">
        <v>919</v>
      </c>
      <c r="K949" s="61" t="s">
        <v>126</v>
      </c>
      <c r="L949" s="159"/>
      <c r="M949" s="169"/>
    </row>
    <row r="950" spans="1:13" x14ac:dyDescent="0.55000000000000004">
      <c r="A950" s="105" t="s">
        <v>3363</v>
      </c>
      <c r="B950" s="61" t="s">
        <v>171</v>
      </c>
      <c r="C950" s="61" t="s">
        <v>127</v>
      </c>
      <c r="D950" s="61" t="s">
        <v>2994</v>
      </c>
      <c r="E950" s="119">
        <v>4.218</v>
      </c>
      <c r="F950" s="148" t="s">
        <v>138</v>
      </c>
      <c r="G950" s="148">
        <v>1</v>
      </c>
      <c r="H950" s="61" t="s">
        <v>39</v>
      </c>
      <c r="I950" s="61" t="s">
        <v>946</v>
      </c>
      <c r="J950" s="61" t="s">
        <v>919</v>
      </c>
      <c r="K950" s="61" t="s">
        <v>126</v>
      </c>
      <c r="L950" s="159"/>
      <c r="M950" s="169"/>
    </row>
    <row r="951" spans="1:13" x14ac:dyDescent="0.55000000000000004">
      <c r="A951" s="105" t="s">
        <v>3363</v>
      </c>
      <c r="B951" s="61" t="s">
        <v>160</v>
      </c>
      <c r="C951" s="61" t="s">
        <v>497</v>
      </c>
      <c r="D951" s="61" t="s">
        <v>3288</v>
      </c>
      <c r="E951" s="119">
        <v>0.28260600000000002</v>
      </c>
      <c r="F951" s="148" t="s">
        <v>135</v>
      </c>
      <c r="G951" s="148">
        <v>1</v>
      </c>
      <c r="H951" s="61" t="s">
        <v>39</v>
      </c>
      <c r="I951" s="61"/>
      <c r="J951" s="61" t="s">
        <v>924</v>
      </c>
      <c r="K951" s="61"/>
      <c r="L951" s="159"/>
      <c r="M951" s="169"/>
    </row>
    <row r="952" spans="1:13" x14ac:dyDescent="0.55000000000000004">
      <c r="A952" s="105" t="s">
        <v>3364</v>
      </c>
      <c r="B952" s="61" t="s">
        <v>920</v>
      </c>
      <c r="C952" s="61" t="s">
        <v>121</v>
      </c>
      <c r="D952" s="61" t="s">
        <v>3288</v>
      </c>
      <c r="E952" s="119">
        <v>1</v>
      </c>
      <c r="F952" s="148" t="s">
        <v>135</v>
      </c>
      <c r="G952" s="148">
        <v>1</v>
      </c>
      <c r="H952" s="61" t="s">
        <v>39</v>
      </c>
      <c r="I952" s="168" t="s">
        <v>1008</v>
      </c>
      <c r="J952" s="61"/>
      <c r="K952" s="168" t="s">
        <v>126</v>
      </c>
      <c r="L952" s="159">
        <v>271114</v>
      </c>
      <c r="M952" s="169"/>
    </row>
    <row r="953" spans="1:13" x14ac:dyDescent="0.55000000000000004">
      <c r="A953" s="105" t="s">
        <v>3364</v>
      </c>
      <c r="B953" s="61" t="s">
        <v>925</v>
      </c>
      <c r="C953" s="61" t="s">
        <v>125</v>
      </c>
      <c r="D953" s="61" t="s">
        <v>3288</v>
      </c>
      <c r="E953" s="119">
        <v>1.17</v>
      </c>
      <c r="F953" s="148" t="s">
        <v>135</v>
      </c>
      <c r="G953" s="148">
        <v>1</v>
      </c>
      <c r="H953" s="61" t="s">
        <v>39</v>
      </c>
      <c r="I953" s="61" t="s">
        <v>1011</v>
      </c>
      <c r="J953" s="61" t="s">
        <v>919</v>
      </c>
      <c r="K953" s="61" t="s">
        <v>126</v>
      </c>
      <c r="L953" s="159"/>
      <c r="M953" s="169"/>
    </row>
    <row r="954" spans="1:13" x14ac:dyDescent="0.55000000000000004">
      <c r="A954" s="105" t="s">
        <v>3364</v>
      </c>
      <c r="B954" s="61" t="s">
        <v>153</v>
      </c>
      <c r="C954" s="61" t="s">
        <v>127</v>
      </c>
      <c r="D954" s="61" t="s">
        <v>2994</v>
      </c>
      <c r="E954" s="119">
        <v>2.5019999999999998</v>
      </c>
      <c r="F954" s="148" t="s">
        <v>138</v>
      </c>
      <c r="G954" s="148">
        <v>1</v>
      </c>
      <c r="H954" s="61" t="s">
        <v>39</v>
      </c>
      <c r="I954" s="61"/>
      <c r="J954" s="61" t="s">
        <v>919</v>
      </c>
      <c r="K954" s="61" t="s">
        <v>126</v>
      </c>
      <c r="L954" s="159"/>
      <c r="M954" s="169"/>
    </row>
    <row r="955" spans="1:13" x14ac:dyDescent="0.55000000000000004">
      <c r="A955" s="105" t="s">
        <v>3364</v>
      </c>
      <c r="B955" s="61" t="s">
        <v>153</v>
      </c>
      <c r="C955" s="61" t="s">
        <v>127</v>
      </c>
      <c r="D955" s="61" t="s">
        <v>2994</v>
      </c>
      <c r="E955" s="119">
        <v>0.3</v>
      </c>
      <c r="F955" s="148" t="s">
        <v>138</v>
      </c>
      <c r="G955" s="148">
        <v>1</v>
      </c>
      <c r="H955" s="61" t="s">
        <v>39</v>
      </c>
      <c r="I955" s="61"/>
      <c r="J955" s="61" t="s">
        <v>919</v>
      </c>
      <c r="K955" s="61" t="s">
        <v>126</v>
      </c>
      <c r="L955" s="159"/>
      <c r="M955" s="169"/>
    </row>
    <row r="956" spans="1:13" x14ac:dyDescent="0.55000000000000004">
      <c r="A956" s="105" t="s">
        <v>3364</v>
      </c>
      <c r="B956" s="61" t="s">
        <v>153</v>
      </c>
      <c r="C956" s="61" t="s">
        <v>127</v>
      </c>
      <c r="D956" s="61" t="s">
        <v>2994</v>
      </c>
      <c r="E956" s="119">
        <v>2.802</v>
      </c>
      <c r="F956" s="148" t="s">
        <v>138</v>
      </c>
      <c r="G956" s="148">
        <v>1</v>
      </c>
      <c r="H956" s="61" t="s">
        <v>39</v>
      </c>
      <c r="I956" s="61" t="s">
        <v>1011</v>
      </c>
      <c r="J956" s="61" t="s">
        <v>919</v>
      </c>
      <c r="K956" s="61" t="s">
        <v>126</v>
      </c>
      <c r="L956" s="159"/>
      <c r="M956" s="169"/>
    </row>
    <row r="957" spans="1:13" x14ac:dyDescent="0.55000000000000004">
      <c r="A957" s="105" t="s">
        <v>3364</v>
      </c>
      <c r="B957" s="61" t="s">
        <v>171</v>
      </c>
      <c r="C957" s="61" t="s">
        <v>127</v>
      </c>
      <c r="D957" s="61" t="s">
        <v>2994</v>
      </c>
      <c r="E957" s="119">
        <v>4.218</v>
      </c>
      <c r="F957" s="148" t="s">
        <v>138</v>
      </c>
      <c r="G957" s="148">
        <v>1</v>
      </c>
      <c r="H957" s="61" t="s">
        <v>39</v>
      </c>
      <c r="I957" s="61" t="s">
        <v>946</v>
      </c>
      <c r="J957" s="61" t="s">
        <v>919</v>
      </c>
      <c r="K957" s="61" t="s">
        <v>126</v>
      </c>
      <c r="L957" s="159"/>
      <c r="M957" s="169"/>
    </row>
    <row r="958" spans="1:13" x14ac:dyDescent="0.55000000000000004">
      <c r="A958" s="105" t="s">
        <v>3364</v>
      </c>
      <c r="B958" s="61" t="s">
        <v>160</v>
      </c>
      <c r="C958" s="61" t="s">
        <v>497</v>
      </c>
      <c r="D958" s="61" t="s">
        <v>3288</v>
      </c>
      <c r="E958" s="119">
        <v>1.41303E-2</v>
      </c>
      <c r="F958" s="148" t="s">
        <v>135</v>
      </c>
      <c r="G958" s="148">
        <v>1</v>
      </c>
      <c r="H958" s="61" t="s">
        <v>39</v>
      </c>
      <c r="I958" s="61"/>
      <c r="J958" s="61" t="s">
        <v>924</v>
      </c>
      <c r="K958" s="61"/>
      <c r="L958" s="159"/>
      <c r="M958" s="169"/>
    </row>
    <row r="959" spans="1:13" x14ac:dyDescent="0.55000000000000004">
      <c r="A959" s="105" t="s">
        <v>3365</v>
      </c>
      <c r="B959" s="61" t="s">
        <v>920</v>
      </c>
      <c r="C959" s="61" t="s">
        <v>121</v>
      </c>
      <c r="D959" s="61" t="s">
        <v>3288</v>
      </c>
      <c r="E959" s="119">
        <v>1</v>
      </c>
      <c r="F959" s="148" t="s">
        <v>135</v>
      </c>
      <c r="G959" s="148">
        <v>1</v>
      </c>
      <c r="H959" s="61" t="s">
        <v>39</v>
      </c>
      <c r="I959" s="168" t="s">
        <v>988</v>
      </c>
      <c r="J959" s="61"/>
      <c r="K959" s="168" t="s">
        <v>126</v>
      </c>
      <c r="L959" s="159">
        <v>271114</v>
      </c>
      <c r="M959" s="169"/>
    </row>
    <row r="960" spans="1:13" x14ac:dyDescent="0.55000000000000004">
      <c r="A960" s="105" t="s">
        <v>3365</v>
      </c>
      <c r="B960" s="61" t="s">
        <v>921</v>
      </c>
      <c r="C960" s="61" t="s">
        <v>125</v>
      </c>
      <c r="D960" s="61" t="s">
        <v>3288</v>
      </c>
      <c r="E960" s="119">
        <v>1.3220141700000001</v>
      </c>
      <c r="F960" s="148" t="s">
        <v>135</v>
      </c>
      <c r="G960" s="148">
        <v>1</v>
      </c>
      <c r="H960" s="61" t="s">
        <v>39</v>
      </c>
      <c r="I960" s="61" t="s">
        <v>988</v>
      </c>
      <c r="J960" s="61" t="s">
        <v>919</v>
      </c>
      <c r="K960" s="61" t="s">
        <v>126</v>
      </c>
      <c r="L960" s="159"/>
      <c r="M960" s="169"/>
    </row>
    <row r="961" spans="1:13" x14ac:dyDescent="0.55000000000000004">
      <c r="A961" s="105" t="s">
        <v>3365</v>
      </c>
      <c r="B961" s="61" t="s">
        <v>922</v>
      </c>
      <c r="C961" s="61" t="s">
        <v>125</v>
      </c>
      <c r="D961" s="61" t="s">
        <v>3288</v>
      </c>
      <c r="E961" s="119">
        <v>1.0576113359999999</v>
      </c>
      <c r="F961" s="148" t="s">
        <v>135</v>
      </c>
      <c r="G961" s="148">
        <v>1</v>
      </c>
      <c r="H961" s="61" t="s">
        <v>39</v>
      </c>
      <c r="I961" s="61" t="s">
        <v>987</v>
      </c>
      <c r="J961" s="61" t="s">
        <v>919</v>
      </c>
      <c r="K961" s="61" t="s">
        <v>126</v>
      </c>
      <c r="L961" s="159"/>
      <c r="M961" s="169"/>
    </row>
    <row r="962" spans="1:13" x14ac:dyDescent="0.55000000000000004">
      <c r="A962" s="105" t="s">
        <v>3365</v>
      </c>
      <c r="B962" s="61" t="s">
        <v>213</v>
      </c>
      <c r="C962" s="61" t="s">
        <v>125</v>
      </c>
      <c r="D962" s="61" t="s">
        <v>3288</v>
      </c>
      <c r="E962" s="119">
        <v>6.4777327999999995E-2</v>
      </c>
      <c r="F962" s="148" t="s">
        <v>135</v>
      </c>
      <c r="G962" s="148">
        <v>1</v>
      </c>
      <c r="H962" s="61" t="s">
        <v>39</v>
      </c>
      <c r="I962" s="61" t="s">
        <v>988</v>
      </c>
      <c r="J962" s="61" t="s">
        <v>919</v>
      </c>
      <c r="K962" s="61" t="s">
        <v>126</v>
      </c>
      <c r="L962" s="159"/>
      <c r="M962" s="169"/>
    </row>
    <row r="963" spans="1:13" x14ac:dyDescent="0.55000000000000004">
      <c r="A963" s="105" t="s">
        <v>3365</v>
      </c>
      <c r="B963" s="61" t="s">
        <v>153</v>
      </c>
      <c r="C963" s="61" t="s">
        <v>127</v>
      </c>
      <c r="D963" s="61" t="s">
        <v>2994</v>
      </c>
      <c r="E963" s="119">
        <v>0.46537651800000002</v>
      </c>
      <c r="F963" s="148" t="s">
        <v>138</v>
      </c>
      <c r="G963" s="148">
        <v>1</v>
      </c>
      <c r="H963" s="61" t="s">
        <v>39</v>
      </c>
      <c r="I963" s="61" t="s">
        <v>953</v>
      </c>
      <c r="J963" s="61" t="s">
        <v>919</v>
      </c>
      <c r="K963" s="61" t="s">
        <v>126</v>
      </c>
      <c r="L963" s="159"/>
      <c r="M963" s="169"/>
    </row>
    <row r="964" spans="1:13" x14ac:dyDescent="0.55000000000000004">
      <c r="A964" s="105" t="s">
        <v>3365</v>
      </c>
      <c r="B964" s="61" t="s">
        <v>153</v>
      </c>
      <c r="C964" s="61" t="s">
        <v>127</v>
      </c>
      <c r="D964" s="61" t="s">
        <v>2994</v>
      </c>
      <c r="E964" s="119">
        <v>8.1201133599999995</v>
      </c>
      <c r="F964" s="148" t="s">
        <v>138</v>
      </c>
      <c r="G964" s="148">
        <v>1</v>
      </c>
      <c r="H964" s="61" t="s">
        <v>39</v>
      </c>
      <c r="I964" s="61" t="s">
        <v>987</v>
      </c>
      <c r="J964" s="61" t="s">
        <v>919</v>
      </c>
      <c r="K964" s="61" t="s">
        <v>126</v>
      </c>
      <c r="L964" s="159"/>
      <c r="M964" s="169"/>
    </row>
    <row r="965" spans="1:13" x14ac:dyDescent="0.55000000000000004">
      <c r="A965" s="105" t="s">
        <v>3365</v>
      </c>
      <c r="B965" s="61" t="s">
        <v>153</v>
      </c>
      <c r="C965" s="61" t="s">
        <v>127</v>
      </c>
      <c r="D965" s="61" t="s">
        <v>2994</v>
      </c>
      <c r="E965" s="119">
        <v>1.5591093119999999</v>
      </c>
      <c r="F965" s="148" t="s">
        <v>138</v>
      </c>
      <c r="G965" s="148">
        <v>1</v>
      </c>
      <c r="H965" s="61" t="s">
        <v>39</v>
      </c>
      <c r="I965" s="61"/>
      <c r="J965" s="61" t="s">
        <v>919</v>
      </c>
      <c r="K965" s="61" t="s">
        <v>126</v>
      </c>
      <c r="L965" s="159"/>
      <c r="M965" s="169"/>
    </row>
    <row r="966" spans="1:13" x14ac:dyDescent="0.55000000000000004">
      <c r="A966" s="105" t="s">
        <v>3365</v>
      </c>
      <c r="B966" s="61" t="s">
        <v>153</v>
      </c>
      <c r="C966" s="61" t="s">
        <v>127</v>
      </c>
      <c r="D966" s="61" t="s">
        <v>2994</v>
      </c>
      <c r="E966" s="119">
        <v>9.6792226719999999</v>
      </c>
      <c r="F966" s="148" t="s">
        <v>138</v>
      </c>
      <c r="G966" s="148">
        <v>1</v>
      </c>
      <c r="H966" s="61" t="s">
        <v>39</v>
      </c>
      <c r="I966" s="61"/>
      <c r="J966" s="61" t="s">
        <v>919</v>
      </c>
      <c r="K966" s="61" t="s">
        <v>126</v>
      </c>
      <c r="L966" s="159"/>
      <c r="M966" s="169"/>
    </row>
    <row r="967" spans="1:13" x14ac:dyDescent="0.55000000000000004">
      <c r="A967" s="105" t="s">
        <v>3365</v>
      </c>
      <c r="B967" s="61" t="s">
        <v>334</v>
      </c>
      <c r="C967" s="61" t="s">
        <v>125</v>
      </c>
      <c r="D967" s="61" t="s">
        <v>3288</v>
      </c>
      <c r="E967" s="119">
        <v>1.9190282999999999E-2</v>
      </c>
      <c r="F967" s="148" t="s">
        <v>135</v>
      </c>
      <c r="G967" s="148">
        <v>1</v>
      </c>
      <c r="H967" s="61" t="s">
        <v>39</v>
      </c>
      <c r="I967" s="61"/>
      <c r="J967" s="61" t="s">
        <v>919</v>
      </c>
      <c r="K967" s="61"/>
      <c r="L967" s="159"/>
      <c r="M967" s="169"/>
    </row>
    <row r="968" spans="1:13" x14ac:dyDescent="0.55000000000000004">
      <c r="A968" s="105" t="s">
        <v>3366</v>
      </c>
      <c r="B968" s="61" t="s">
        <v>920</v>
      </c>
      <c r="C968" s="61" t="s">
        <v>121</v>
      </c>
      <c r="D968" s="61" t="s">
        <v>3288</v>
      </c>
      <c r="E968" s="119">
        <v>1</v>
      </c>
      <c r="F968" s="148" t="s">
        <v>135</v>
      </c>
      <c r="G968" s="148">
        <v>1</v>
      </c>
      <c r="H968" s="61" t="s">
        <v>39</v>
      </c>
      <c r="I968" s="168"/>
      <c r="J968" s="61"/>
      <c r="K968" s="168" t="s">
        <v>126</v>
      </c>
      <c r="L968" s="159">
        <v>271114</v>
      </c>
      <c r="M968" s="169"/>
    </row>
    <row r="969" spans="1:13" x14ac:dyDescent="0.55000000000000004">
      <c r="A969" s="105" t="s">
        <v>3366</v>
      </c>
      <c r="B969" s="61" t="s">
        <v>921</v>
      </c>
      <c r="C969" s="61" t="s">
        <v>125</v>
      </c>
      <c r="D969" s="61" t="s">
        <v>3288</v>
      </c>
      <c r="E969" s="119">
        <v>1.3220141700000001</v>
      </c>
      <c r="F969" s="148" t="s">
        <v>135</v>
      </c>
      <c r="G969" s="148">
        <v>1</v>
      </c>
      <c r="H969" s="61" t="s">
        <v>39</v>
      </c>
      <c r="I969" s="61"/>
      <c r="J969" s="61" t="s">
        <v>919</v>
      </c>
      <c r="K969" s="61" t="s">
        <v>126</v>
      </c>
      <c r="L969" s="159"/>
      <c r="M969" s="169"/>
    </row>
    <row r="970" spans="1:13" x14ac:dyDescent="0.55000000000000004">
      <c r="A970" s="105" t="s">
        <v>3366</v>
      </c>
      <c r="B970" s="61" t="s">
        <v>922</v>
      </c>
      <c r="C970" s="61" t="s">
        <v>125</v>
      </c>
      <c r="D970" s="61" t="s">
        <v>3288</v>
      </c>
      <c r="E970" s="119">
        <v>1.0576113359999999</v>
      </c>
      <c r="F970" s="148" t="s">
        <v>135</v>
      </c>
      <c r="G970" s="148">
        <v>1</v>
      </c>
      <c r="H970" s="61" t="s">
        <v>39</v>
      </c>
      <c r="I970" s="61"/>
      <c r="J970" s="61" t="s">
        <v>919</v>
      </c>
      <c r="K970" s="61" t="s">
        <v>126</v>
      </c>
      <c r="L970" s="159"/>
      <c r="M970" s="169"/>
    </row>
    <row r="971" spans="1:13" x14ac:dyDescent="0.55000000000000004">
      <c r="A971" s="105" t="s">
        <v>3366</v>
      </c>
      <c r="B971" s="61" t="s">
        <v>213</v>
      </c>
      <c r="C971" s="61" t="s">
        <v>125</v>
      </c>
      <c r="D971" s="61" t="s">
        <v>3288</v>
      </c>
      <c r="E971" s="119">
        <v>6.4777327999999995E-2</v>
      </c>
      <c r="F971" s="148" t="s">
        <v>135</v>
      </c>
      <c r="G971" s="148">
        <v>1</v>
      </c>
      <c r="H971" s="61" t="s">
        <v>39</v>
      </c>
      <c r="I971" s="61"/>
      <c r="J971" s="61" t="s">
        <v>919</v>
      </c>
      <c r="K971" s="61" t="s">
        <v>126</v>
      </c>
      <c r="L971" s="159"/>
      <c r="M971" s="169"/>
    </row>
    <row r="972" spans="1:13" x14ac:dyDescent="0.55000000000000004">
      <c r="A972" s="105" t="s">
        <v>3366</v>
      </c>
      <c r="B972" s="61" t="s">
        <v>153</v>
      </c>
      <c r="C972" s="61" t="s">
        <v>127</v>
      </c>
      <c r="D972" s="61" t="s">
        <v>2994</v>
      </c>
      <c r="E972" s="119">
        <v>0.46537651800000002</v>
      </c>
      <c r="F972" s="148" t="s">
        <v>138</v>
      </c>
      <c r="G972" s="148">
        <v>1</v>
      </c>
      <c r="H972" s="61" t="s">
        <v>39</v>
      </c>
      <c r="I972" s="61"/>
      <c r="J972" s="61" t="s">
        <v>919</v>
      </c>
      <c r="K972" s="61" t="s">
        <v>126</v>
      </c>
      <c r="L972" s="159"/>
      <c r="M972" s="169"/>
    </row>
    <row r="973" spans="1:13" x14ac:dyDescent="0.55000000000000004">
      <c r="A973" s="105" t="s">
        <v>3366</v>
      </c>
      <c r="B973" s="61" t="s">
        <v>153</v>
      </c>
      <c r="C973" s="61" t="s">
        <v>127</v>
      </c>
      <c r="D973" s="61" t="s">
        <v>2994</v>
      </c>
      <c r="E973" s="119">
        <v>8.1201133599999995</v>
      </c>
      <c r="F973" s="148" t="s">
        <v>138</v>
      </c>
      <c r="G973" s="148">
        <v>1</v>
      </c>
      <c r="H973" s="61" t="s">
        <v>39</v>
      </c>
      <c r="I973" s="61"/>
      <c r="J973" s="61" t="s">
        <v>919</v>
      </c>
      <c r="K973" s="61" t="s">
        <v>126</v>
      </c>
      <c r="L973" s="159"/>
      <c r="M973" s="169"/>
    </row>
    <row r="974" spans="1:13" x14ac:dyDescent="0.55000000000000004">
      <c r="A974" s="105" t="s">
        <v>3366</v>
      </c>
      <c r="B974" s="61" t="s">
        <v>153</v>
      </c>
      <c r="C974" s="61" t="s">
        <v>127</v>
      </c>
      <c r="D974" s="61" t="s">
        <v>2994</v>
      </c>
      <c r="E974" s="119">
        <v>1.5591093119999999</v>
      </c>
      <c r="F974" s="148" t="s">
        <v>138</v>
      </c>
      <c r="G974" s="148">
        <v>1</v>
      </c>
      <c r="H974" s="61" t="s">
        <v>39</v>
      </c>
      <c r="I974" s="61"/>
      <c r="J974" s="61" t="s">
        <v>919</v>
      </c>
      <c r="K974" s="61" t="s">
        <v>126</v>
      </c>
      <c r="L974" s="159"/>
      <c r="M974" s="169"/>
    </row>
    <row r="975" spans="1:13" x14ac:dyDescent="0.55000000000000004">
      <c r="A975" s="105" t="s">
        <v>3366</v>
      </c>
      <c r="B975" s="61" t="s">
        <v>153</v>
      </c>
      <c r="C975" s="61" t="s">
        <v>127</v>
      </c>
      <c r="D975" s="61" t="s">
        <v>2994</v>
      </c>
      <c r="E975" s="119">
        <v>1.363190283</v>
      </c>
      <c r="F975" s="148" t="s">
        <v>138</v>
      </c>
      <c r="G975" s="148">
        <v>1</v>
      </c>
      <c r="H975" s="61" t="s">
        <v>39</v>
      </c>
      <c r="I975" s="61"/>
      <c r="J975" s="61" t="s">
        <v>919</v>
      </c>
      <c r="K975" s="61" t="s">
        <v>126</v>
      </c>
      <c r="L975" s="159"/>
      <c r="M975" s="169"/>
    </row>
    <row r="976" spans="1:13" x14ac:dyDescent="0.55000000000000004">
      <c r="A976" s="105" t="s">
        <v>3366</v>
      </c>
      <c r="B976" s="61" t="s">
        <v>153</v>
      </c>
      <c r="C976" s="61" t="s">
        <v>127</v>
      </c>
      <c r="D976" s="61" t="s">
        <v>2994</v>
      </c>
      <c r="E976" s="119">
        <v>11.507789470000001</v>
      </c>
      <c r="F976" s="148" t="s">
        <v>138</v>
      </c>
      <c r="G976" s="148">
        <v>1</v>
      </c>
      <c r="H976" s="61" t="s">
        <v>39</v>
      </c>
      <c r="I976" s="61"/>
      <c r="J976" s="61" t="s">
        <v>919</v>
      </c>
      <c r="K976" s="61"/>
      <c r="L976" s="159"/>
      <c r="M976" s="169"/>
    </row>
    <row r="977" spans="1:13" x14ac:dyDescent="0.55000000000000004">
      <c r="A977" s="105" t="s">
        <v>3367</v>
      </c>
      <c r="B977" s="61" t="s">
        <v>920</v>
      </c>
      <c r="C977" s="61" t="s">
        <v>121</v>
      </c>
      <c r="D977" s="61" t="s">
        <v>3288</v>
      </c>
      <c r="E977" s="119">
        <v>1</v>
      </c>
      <c r="F977" s="148" t="s">
        <v>135</v>
      </c>
      <c r="G977" s="148">
        <v>1</v>
      </c>
      <c r="H977" s="61" t="s">
        <v>39</v>
      </c>
      <c r="I977" s="168" t="s">
        <v>988</v>
      </c>
      <c r="J977" s="61"/>
      <c r="K977" s="168" t="s">
        <v>126</v>
      </c>
      <c r="L977" s="159">
        <v>271114</v>
      </c>
      <c r="M977" s="169"/>
    </row>
    <row r="978" spans="1:13" x14ac:dyDescent="0.55000000000000004">
      <c r="A978" s="105" t="s">
        <v>3367</v>
      </c>
      <c r="B978" s="61" t="s">
        <v>921</v>
      </c>
      <c r="C978" s="61" t="s">
        <v>125</v>
      </c>
      <c r="D978" s="61" t="s">
        <v>3288</v>
      </c>
      <c r="E978" s="119">
        <v>1.3220141700000001</v>
      </c>
      <c r="F978" s="148" t="s">
        <v>135</v>
      </c>
      <c r="G978" s="148">
        <v>1</v>
      </c>
      <c r="H978" s="61" t="s">
        <v>39</v>
      </c>
      <c r="I978" s="61" t="s">
        <v>988</v>
      </c>
      <c r="J978" s="61" t="s">
        <v>919</v>
      </c>
      <c r="K978" s="61" t="s">
        <v>126</v>
      </c>
      <c r="L978" s="159"/>
      <c r="M978" s="169"/>
    </row>
    <row r="979" spans="1:13" x14ac:dyDescent="0.55000000000000004">
      <c r="A979" s="105" t="s">
        <v>3367</v>
      </c>
      <c r="B979" s="61" t="s">
        <v>922</v>
      </c>
      <c r="C979" s="61" t="s">
        <v>125</v>
      </c>
      <c r="D979" s="61" t="s">
        <v>3288</v>
      </c>
      <c r="E979" s="119">
        <v>1.0576113359999999</v>
      </c>
      <c r="F979" s="148" t="s">
        <v>135</v>
      </c>
      <c r="G979" s="148">
        <v>1</v>
      </c>
      <c r="H979" s="61" t="s">
        <v>39</v>
      </c>
      <c r="I979" s="61" t="s">
        <v>987</v>
      </c>
      <c r="J979" s="61" t="s">
        <v>919</v>
      </c>
      <c r="K979" s="61" t="s">
        <v>126</v>
      </c>
      <c r="L979" s="159"/>
      <c r="M979" s="169"/>
    </row>
    <row r="980" spans="1:13" x14ac:dyDescent="0.55000000000000004">
      <c r="A980" s="105" t="s">
        <v>3367</v>
      </c>
      <c r="B980" s="61" t="s">
        <v>213</v>
      </c>
      <c r="C980" s="61" t="s">
        <v>125</v>
      </c>
      <c r="D980" s="61" t="s">
        <v>3288</v>
      </c>
      <c r="E980" s="119">
        <v>6.4777327999999995E-2</v>
      </c>
      <c r="F980" s="148" t="s">
        <v>135</v>
      </c>
      <c r="G980" s="148">
        <v>1</v>
      </c>
      <c r="H980" s="61" t="s">
        <v>39</v>
      </c>
      <c r="I980" s="61" t="s">
        <v>955</v>
      </c>
      <c r="J980" s="61" t="s">
        <v>919</v>
      </c>
      <c r="K980" s="61" t="s">
        <v>126</v>
      </c>
      <c r="L980" s="159"/>
      <c r="M980" s="169"/>
    </row>
    <row r="981" spans="1:13" x14ac:dyDescent="0.55000000000000004">
      <c r="A981" s="105" t="s">
        <v>3367</v>
      </c>
      <c r="B981" s="61" t="s">
        <v>334</v>
      </c>
      <c r="C981" s="61" t="s">
        <v>125</v>
      </c>
      <c r="D981" s="61" t="s">
        <v>3288</v>
      </c>
      <c r="E981" s="119">
        <v>6.4736842000000003E-2</v>
      </c>
      <c r="F981" s="148" t="s">
        <v>135</v>
      </c>
      <c r="G981" s="148">
        <v>1</v>
      </c>
      <c r="H981" s="61" t="s">
        <v>39</v>
      </c>
      <c r="I981" s="61" t="s">
        <v>988</v>
      </c>
      <c r="J981" s="61" t="s">
        <v>919</v>
      </c>
      <c r="K981" s="61" t="s">
        <v>126</v>
      </c>
      <c r="L981" s="159"/>
      <c r="M981" s="169"/>
    </row>
    <row r="982" spans="1:13" x14ac:dyDescent="0.55000000000000004">
      <c r="A982" s="105" t="s">
        <v>3367</v>
      </c>
      <c r="B982" s="61" t="s">
        <v>153</v>
      </c>
      <c r="C982" s="61" t="s">
        <v>127</v>
      </c>
      <c r="D982" s="61" t="s">
        <v>2994</v>
      </c>
      <c r="E982" s="119">
        <v>0.46537651800000002</v>
      </c>
      <c r="F982" s="148" t="s">
        <v>138</v>
      </c>
      <c r="G982" s="148">
        <v>1</v>
      </c>
      <c r="H982" s="61" t="s">
        <v>39</v>
      </c>
      <c r="I982" s="61" t="s">
        <v>988</v>
      </c>
      <c r="J982" s="61" t="s">
        <v>919</v>
      </c>
      <c r="K982" s="61" t="s">
        <v>126</v>
      </c>
      <c r="L982" s="159"/>
      <c r="M982" s="169"/>
    </row>
    <row r="983" spans="1:13" x14ac:dyDescent="0.55000000000000004">
      <c r="A983" s="105" t="s">
        <v>3367</v>
      </c>
      <c r="B983" s="61" t="s">
        <v>153</v>
      </c>
      <c r="C983" s="61" t="s">
        <v>127</v>
      </c>
      <c r="D983" s="61" t="s">
        <v>2994</v>
      </c>
      <c r="E983" s="119">
        <v>1.0253441299999999</v>
      </c>
      <c r="F983" s="148" t="s">
        <v>138</v>
      </c>
      <c r="G983" s="148">
        <v>1</v>
      </c>
      <c r="H983" s="61" t="s">
        <v>39</v>
      </c>
      <c r="I983" s="61" t="s">
        <v>987</v>
      </c>
      <c r="J983" s="61" t="s">
        <v>919</v>
      </c>
      <c r="K983" s="61" t="s">
        <v>126</v>
      </c>
      <c r="L983" s="159"/>
      <c r="M983" s="169"/>
    </row>
    <row r="984" spans="1:13" x14ac:dyDescent="0.55000000000000004">
      <c r="A984" s="105" t="s">
        <v>3367</v>
      </c>
      <c r="B984" s="61" t="s">
        <v>153</v>
      </c>
      <c r="C984" s="61" t="s">
        <v>127</v>
      </c>
      <c r="D984" s="61" t="s">
        <v>2994</v>
      </c>
      <c r="E984" s="119">
        <v>1.5591093119999999</v>
      </c>
      <c r="F984" s="148" t="s">
        <v>138</v>
      </c>
      <c r="G984" s="148">
        <v>1</v>
      </c>
      <c r="H984" s="61" t="s">
        <v>39</v>
      </c>
      <c r="I984" s="61"/>
      <c r="J984" s="61" t="s">
        <v>919</v>
      </c>
      <c r="K984" s="61" t="s">
        <v>126</v>
      </c>
      <c r="L984" s="159"/>
      <c r="M984" s="169"/>
    </row>
    <row r="985" spans="1:13" x14ac:dyDescent="0.55000000000000004">
      <c r="A985" s="105" t="s">
        <v>3367</v>
      </c>
      <c r="B985" s="61" t="s">
        <v>153</v>
      </c>
      <c r="C985" s="61" t="s">
        <v>127</v>
      </c>
      <c r="D985" s="61" t="s">
        <v>2994</v>
      </c>
      <c r="E985" s="119">
        <v>2.584453441</v>
      </c>
      <c r="F985" s="148" t="s">
        <v>138</v>
      </c>
      <c r="G985" s="148">
        <v>1</v>
      </c>
      <c r="H985" s="61" t="s">
        <v>39</v>
      </c>
      <c r="I985" s="61"/>
      <c r="J985" s="61" t="s">
        <v>919</v>
      </c>
      <c r="K985" s="61" t="s">
        <v>126</v>
      </c>
      <c r="L985" s="159"/>
      <c r="M985" s="169"/>
    </row>
    <row r="986" spans="1:13" x14ac:dyDescent="0.55000000000000004">
      <c r="A986" s="105" t="s">
        <v>3367</v>
      </c>
      <c r="B986" s="61" t="s">
        <v>334</v>
      </c>
      <c r="C986" s="61" t="s">
        <v>125</v>
      </c>
      <c r="D986" s="61" t="s">
        <v>3288</v>
      </c>
      <c r="E986" s="119">
        <v>1.9190282999999999E-2</v>
      </c>
      <c r="F986" s="148" t="s">
        <v>135</v>
      </c>
      <c r="G986" s="148">
        <v>1</v>
      </c>
      <c r="H986" s="61" t="s">
        <v>39</v>
      </c>
      <c r="I986" s="61"/>
      <c r="J986" s="61" t="s">
        <v>919</v>
      </c>
      <c r="K986" s="61"/>
      <c r="L986" s="159"/>
      <c r="M986" s="169"/>
    </row>
    <row r="987" spans="1:13" x14ac:dyDescent="0.55000000000000004">
      <c r="A987" s="105" t="s">
        <v>3368</v>
      </c>
      <c r="B987" s="61" t="s">
        <v>920</v>
      </c>
      <c r="C987" s="61" t="s">
        <v>121</v>
      </c>
      <c r="D987" s="61" t="s">
        <v>3288</v>
      </c>
      <c r="E987" s="119">
        <v>1</v>
      </c>
      <c r="F987" s="148" t="s">
        <v>135</v>
      </c>
      <c r="G987" s="148">
        <v>1</v>
      </c>
      <c r="H987" s="61" t="s">
        <v>39</v>
      </c>
      <c r="I987" s="168"/>
      <c r="J987" s="61"/>
      <c r="K987" s="168" t="s">
        <v>126</v>
      </c>
      <c r="L987" s="159">
        <v>271114</v>
      </c>
      <c r="M987" s="169"/>
    </row>
    <row r="988" spans="1:13" x14ac:dyDescent="0.55000000000000004">
      <c r="A988" s="105" t="s">
        <v>3368</v>
      </c>
      <c r="B988" s="61" t="s">
        <v>921</v>
      </c>
      <c r="C988" s="61" t="s">
        <v>125</v>
      </c>
      <c r="D988" s="61" t="s">
        <v>3288</v>
      </c>
      <c r="E988" s="119">
        <v>1.3220141700000001</v>
      </c>
      <c r="F988" s="148" t="s">
        <v>135</v>
      </c>
      <c r="G988" s="148">
        <v>1</v>
      </c>
      <c r="H988" s="61" t="s">
        <v>39</v>
      </c>
      <c r="I988" s="61"/>
      <c r="J988" s="61" t="s">
        <v>919</v>
      </c>
      <c r="K988" s="61" t="s">
        <v>126</v>
      </c>
      <c r="L988" s="159"/>
      <c r="M988" s="169"/>
    </row>
    <row r="989" spans="1:13" x14ac:dyDescent="0.55000000000000004">
      <c r="A989" s="105" t="s">
        <v>3368</v>
      </c>
      <c r="B989" s="61" t="s">
        <v>922</v>
      </c>
      <c r="C989" s="61" t="s">
        <v>125</v>
      </c>
      <c r="D989" s="61" t="s">
        <v>3288</v>
      </c>
      <c r="E989" s="119">
        <v>1.0576113359999999</v>
      </c>
      <c r="F989" s="148" t="s">
        <v>135</v>
      </c>
      <c r="G989" s="148">
        <v>1</v>
      </c>
      <c r="H989" s="61" t="s">
        <v>39</v>
      </c>
      <c r="I989" s="61"/>
      <c r="J989" s="61" t="s">
        <v>919</v>
      </c>
      <c r="K989" s="61" t="s">
        <v>126</v>
      </c>
      <c r="L989" s="159"/>
      <c r="M989" s="169"/>
    </row>
    <row r="990" spans="1:13" x14ac:dyDescent="0.55000000000000004">
      <c r="A990" s="105" t="s">
        <v>3368</v>
      </c>
      <c r="B990" s="61" t="s">
        <v>213</v>
      </c>
      <c r="C990" s="61" t="s">
        <v>125</v>
      </c>
      <c r="D990" s="61" t="s">
        <v>3288</v>
      </c>
      <c r="E990" s="119">
        <v>6.4777327999999995E-2</v>
      </c>
      <c r="F990" s="148" t="s">
        <v>135</v>
      </c>
      <c r="G990" s="148">
        <v>1</v>
      </c>
      <c r="H990" s="61" t="s">
        <v>39</v>
      </c>
      <c r="I990" s="61"/>
      <c r="J990" s="61" t="s">
        <v>919</v>
      </c>
      <c r="K990" s="61" t="s">
        <v>126</v>
      </c>
      <c r="L990" s="159"/>
      <c r="M990" s="169"/>
    </row>
    <row r="991" spans="1:13" x14ac:dyDescent="0.55000000000000004">
      <c r="A991" s="105" t="s">
        <v>3368</v>
      </c>
      <c r="B991" s="61" t="s">
        <v>334</v>
      </c>
      <c r="C991" s="61" t="s">
        <v>125</v>
      </c>
      <c r="D991" s="61" t="s">
        <v>3288</v>
      </c>
      <c r="E991" s="119">
        <v>6.4736842000000003E-2</v>
      </c>
      <c r="F991" s="148" t="s">
        <v>135</v>
      </c>
      <c r="G991" s="148">
        <v>1</v>
      </c>
      <c r="H991" s="61" t="s">
        <v>39</v>
      </c>
      <c r="I991" s="61"/>
      <c r="J991" s="61" t="s">
        <v>919</v>
      </c>
      <c r="K991" s="61" t="s">
        <v>126</v>
      </c>
      <c r="L991" s="159"/>
      <c r="M991" s="169"/>
    </row>
    <row r="992" spans="1:13" x14ac:dyDescent="0.55000000000000004">
      <c r="A992" s="105" t="s">
        <v>3368</v>
      </c>
      <c r="B992" s="61" t="s">
        <v>153</v>
      </c>
      <c r="C992" s="61" t="s">
        <v>127</v>
      </c>
      <c r="D992" s="61" t="s">
        <v>2994</v>
      </c>
      <c r="E992" s="119">
        <v>0.46537651800000002</v>
      </c>
      <c r="F992" s="148" t="s">
        <v>138</v>
      </c>
      <c r="G992" s="148">
        <v>1</v>
      </c>
      <c r="H992" s="61" t="s">
        <v>39</v>
      </c>
      <c r="I992" s="61"/>
      <c r="J992" s="61" t="s">
        <v>919</v>
      </c>
      <c r="K992" s="61" t="s">
        <v>126</v>
      </c>
      <c r="L992" s="159"/>
      <c r="M992" s="169"/>
    </row>
    <row r="993" spans="1:13" x14ac:dyDescent="0.55000000000000004">
      <c r="A993" s="105" t="s">
        <v>3368</v>
      </c>
      <c r="B993" s="61" t="s">
        <v>153</v>
      </c>
      <c r="C993" s="61" t="s">
        <v>127</v>
      </c>
      <c r="D993" s="61" t="s">
        <v>2994</v>
      </c>
      <c r="E993" s="119">
        <v>1.0253441299999999</v>
      </c>
      <c r="F993" s="148" t="s">
        <v>138</v>
      </c>
      <c r="G993" s="148">
        <v>1</v>
      </c>
      <c r="H993" s="61" t="s">
        <v>39</v>
      </c>
      <c r="I993" s="61"/>
      <c r="J993" s="61" t="s">
        <v>919</v>
      </c>
      <c r="K993" s="61" t="s">
        <v>126</v>
      </c>
      <c r="L993" s="159"/>
      <c r="M993" s="169"/>
    </row>
    <row r="994" spans="1:13" x14ac:dyDescent="0.55000000000000004">
      <c r="A994" s="105" t="s">
        <v>3368</v>
      </c>
      <c r="B994" s="61" t="s">
        <v>153</v>
      </c>
      <c r="C994" s="61" t="s">
        <v>127</v>
      </c>
      <c r="D994" s="61" t="s">
        <v>2994</v>
      </c>
      <c r="E994" s="119">
        <v>1.5591093119999999</v>
      </c>
      <c r="F994" s="148" t="s">
        <v>138</v>
      </c>
      <c r="G994" s="148">
        <v>1</v>
      </c>
      <c r="H994" s="61" t="s">
        <v>39</v>
      </c>
      <c r="I994" s="61"/>
      <c r="J994" s="61" t="s">
        <v>919</v>
      </c>
      <c r="K994" s="61" t="s">
        <v>126</v>
      </c>
      <c r="L994" s="159"/>
      <c r="M994" s="169"/>
    </row>
    <row r="995" spans="1:13" x14ac:dyDescent="0.55000000000000004">
      <c r="A995" s="105" t="s">
        <v>3368</v>
      </c>
      <c r="B995" s="61" t="s">
        <v>153</v>
      </c>
      <c r="C995" s="61" t="s">
        <v>127</v>
      </c>
      <c r="D995" s="61" t="s">
        <v>2994</v>
      </c>
      <c r="E995" s="119">
        <v>1.363190283</v>
      </c>
      <c r="F995" s="148" t="s">
        <v>138</v>
      </c>
      <c r="G995" s="148">
        <v>1</v>
      </c>
      <c r="H995" s="61" t="s">
        <v>39</v>
      </c>
      <c r="I995" s="61"/>
      <c r="J995" s="61" t="s">
        <v>919</v>
      </c>
      <c r="K995" s="61" t="s">
        <v>126</v>
      </c>
      <c r="L995" s="159"/>
      <c r="M995" s="169"/>
    </row>
    <row r="996" spans="1:13" x14ac:dyDescent="0.55000000000000004">
      <c r="A996" s="105" t="s">
        <v>3368</v>
      </c>
      <c r="B996" s="61" t="s">
        <v>153</v>
      </c>
      <c r="C996" s="61" t="s">
        <v>127</v>
      </c>
      <c r="D996" s="61" t="s">
        <v>2994</v>
      </c>
      <c r="E996" s="119">
        <v>4.4130202430000001</v>
      </c>
      <c r="F996" s="148" t="s">
        <v>138</v>
      </c>
      <c r="G996" s="148">
        <v>1</v>
      </c>
      <c r="H996" s="61" t="s">
        <v>39</v>
      </c>
      <c r="I996" s="61"/>
      <c r="J996" s="61" t="s">
        <v>919</v>
      </c>
      <c r="K996" s="61"/>
      <c r="L996" s="159"/>
      <c r="M996" s="169"/>
    </row>
    <row r="997" spans="1:13" x14ac:dyDescent="0.55000000000000004">
      <c r="A997" s="105" t="s">
        <v>3369</v>
      </c>
      <c r="B997" s="61" t="s">
        <v>920</v>
      </c>
      <c r="C997" s="61" t="s">
        <v>121</v>
      </c>
      <c r="D997" s="61" t="s">
        <v>3288</v>
      </c>
      <c r="E997" s="119">
        <v>1</v>
      </c>
      <c r="F997" s="148" t="s">
        <v>135</v>
      </c>
      <c r="G997" s="148">
        <v>1</v>
      </c>
      <c r="H997" s="61" t="s">
        <v>39</v>
      </c>
      <c r="I997" s="168" t="s">
        <v>1001</v>
      </c>
      <c r="J997" s="61"/>
      <c r="K997" s="168" t="s">
        <v>126</v>
      </c>
      <c r="L997" s="159">
        <v>271114</v>
      </c>
      <c r="M997" s="169"/>
    </row>
    <row r="998" spans="1:13" x14ac:dyDescent="0.55000000000000004">
      <c r="A998" s="105" t="s">
        <v>3369</v>
      </c>
      <c r="B998" s="61" t="s">
        <v>921</v>
      </c>
      <c r="C998" s="61" t="s">
        <v>125</v>
      </c>
      <c r="D998" s="61" t="s">
        <v>3288</v>
      </c>
      <c r="E998" s="119">
        <v>1.5283400810000001</v>
      </c>
      <c r="F998" s="148" t="s">
        <v>135</v>
      </c>
      <c r="G998" s="148">
        <v>1</v>
      </c>
      <c r="H998" s="61" t="s">
        <v>39</v>
      </c>
      <c r="I998" s="61" t="s">
        <v>1002</v>
      </c>
      <c r="J998" s="61" t="s">
        <v>919</v>
      </c>
      <c r="K998" s="61" t="s">
        <v>126</v>
      </c>
      <c r="L998" s="159"/>
      <c r="M998" s="169"/>
    </row>
    <row r="999" spans="1:13" x14ac:dyDescent="0.55000000000000004">
      <c r="A999" s="105" t="s">
        <v>3369</v>
      </c>
      <c r="B999" s="61" t="s">
        <v>922</v>
      </c>
      <c r="C999" s="61" t="s">
        <v>125</v>
      </c>
      <c r="D999" s="61" t="s">
        <v>3288</v>
      </c>
      <c r="E999" s="119">
        <v>1.222672065</v>
      </c>
      <c r="F999" s="148" t="s">
        <v>135</v>
      </c>
      <c r="G999" s="148">
        <v>1</v>
      </c>
      <c r="H999" s="61" t="s">
        <v>39</v>
      </c>
      <c r="I999" s="61" t="s">
        <v>947</v>
      </c>
      <c r="J999" s="61" t="s">
        <v>919</v>
      </c>
      <c r="K999" s="61" t="s">
        <v>126</v>
      </c>
      <c r="L999" s="159"/>
      <c r="M999" s="169"/>
    </row>
    <row r="1000" spans="1:13" x14ac:dyDescent="0.55000000000000004">
      <c r="A1000" s="105" t="s">
        <v>3369</v>
      </c>
      <c r="B1000" s="61" t="s">
        <v>923</v>
      </c>
      <c r="C1000" s="61" t="s">
        <v>127</v>
      </c>
      <c r="D1000" s="61" t="s">
        <v>2994</v>
      </c>
      <c r="E1000" s="119">
        <v>8.8663967610000007</v>
      </c>
      <c r="F1000" s="148" t="s">
        <v>138</v>
      </c>
      <c r="G1000" s="148">
        <v>1</v>
      </c>
      <c r="H1000" s="61" t="s">
        <v>39</v>
      </c>
      <c r="I1000" s="61" t="s">
        <v>1003</v>
      </c>
      <c r="J1000" s="61" t="s">
        <v>919</v>
      </c>
      <c r="K1000" s="61" t="s">
        <v>126</v>
      </c>
      <c r="L1000" s="159"/>
      <c r="M1000" s="169"/>
    </row>
    <row r="1001" spans="1:13" x14ac:dyDescent="0.55000000000000004">
      <c r="A1001" s="105" t="s">
        <v>3369</v>
      </c>
      <c r="B1001" s="61" t="s">
        <v>153</v>
      </c>
      <c r="C1001" s="61" t="s">
        <v>127</v>
      </c>
      <c r="D1001" s="61" t="s">
        <v>2994</v>
      </c>
      <c r="E1001" s="119">
        <v>0.46537651800000002</v>
      </c>
      <c r="F1001" s="148" t="s">
        <v>138</v>
      </c>
      <c r="G1001" s="148">
        <v>1</v>
      </c>
      <c r="H1001" s="61" t="s">
        <v>39</v>
      </c>
      <c r="I1001" s="61" t="s">
        <v>966</v>
      </c>
      <c r="J1001" s="61" t="s">
        <v>919</v>
      </c>
      <c r="K1001" s="61" t="s">
        <v>126</v>
      </c>
      <c r="L1001" s="159"/>
      <c r="M1001" s="169"/>
    </row>
    <row r="1002" spans="1:13" x14ac:dyDescent="0.55000000000000004">
      <c r="A1002" s="105" t="s">
        <v>3369</v>
      </c>
      <c r="B1002" s="61" t="s">
        <v>153</v>
      </c>
      <c r="C1002" s="61" t="s">
        <v>127</v>
      </c>
      <c r="D1002" s="61" t="s">
        <v>2994</v>
      </c>
      <c r="E1002" s="119">
        <v>1.0253441299999999</v>
      </c>
      <c r="F1002" s="148" t="s">
        <v>138</v>
      </c>
      <c r="G1002" s="148">
        <v>1</v>
      </c>
      <c r="H1002" s="61" t="s">
        <v>39</v>
      </c>
      <c r="I1002" s="61" t="s">
        <v>1004</v>
      </c>
      <c r="J1002" s="61" t="s">
        <v>919</v>
      </c>
      <c r="K1002" s="61" t="s">
        <v>126</v>
      </c>
      <c r="L1002" s="159"/>
      <c r="M1002" s="169"/>
    </row>
    <row r="1003" spans="1:13" x14ac:dyDescent="0.55000000000000004">
      <c r="A1003" s="105" t="s">
        <v>3369</v>
      </c>
      <c r="B1003" s="61" t="s">
        <v>153</v>
      </c>
      <c r="C1003" s="61" t="s">
        <v>127</v>
      </c>
      <c r="D1003" s="61" t="s">
        <v>2994</v>
      </c>
      <c r="E1003" s="119">
        <v>1.0253441299999999</v>
      </c>
      <c r="F1003" s="148" t="s">
        <v>138</v>
      </c>
      <c r="G1003" s="148">
        <v>1</v>
      </c>
      <c r="H1003" s="61" t="s">
        <v>39</v>
      </c>
      <c r="I1003" s="61" t="s">
        <v>959</v>
      </c>
      <c r="J1003" s="61" t="s">
        <v>919</v>
      </c>
      <c r="K1003" s="61" t="s">
        <v>126</v>
      </c>
      <c r="L1003" s="159"/>
      <c r="M1003" s="169"/>
    </row>
    <row r="1004" spans="1:13" x14ac:dyDescent="0.55000000000000004">
      <c r="A1004" s="105" t="s">
        <v>3369</v>
      </c>
      <c r="B1004" s="61" t="s">
        <v>160</v>
      </c>
      <c r="C1004" s="61" t="s">
        <v>497</v>
      </c>
      <c r="D1004" s="61" t="s">
        <v>3288</v>
      </c>
      <c r="E1004" s="119">
        <v>0.59404858299999996</v>
      </c>
      <c r="F1004" s="148" t="s">
        <v>135</v>
      </c>
      <c r="G1004" s="148">
        <v>1</v>
      </c>
      <c r="H1004" s="61" t="s">
        <v>39</v>
      </c>
      <c r="I1004" s="61"/>
      <c r="J1004" s="61" t="s">
        <v>924</v>
      </c>
      <c r="K1004" s="61"/>
      <c r="L1004" s="159"/>
      <c r="M1004" s="169"/>
    </row>
    <row r="1005" spans="1:13" x14ac:dyDescent="0.55000000000000004">
      <c r="A1005" s="105" t="s">
        <v>3370</v>
      </c>
      <c r="B1005" s="61" t="s">
        <v>920</v>
      </c>
      <c r="C1005" s="61" t="s">
        <v>121</v>
      </c>
      <c r="D1005" s="61" t="s">
        <v>3288</v>
      </c>
      <c r="E1005" s="119">
        <v>1</v>
      </c>
      <c r="F1005" s="148" t="s">
        <v>135</v>
      </c>
      <c r="G1005" s="148">
        <v>1</v>
      </c>
      <c r="H1005" s="61" t="s">
        <v>39</v>
      </c>
      <c r="I1005" s="168" t="s">
        <v>988</v>
      </c>
      <c r="J1005" s="61"/>
      <c r="K1005" s="168" t="s">
        <v>126</v>
      </c>
      <c r="L1005" s="159">
        <v>271114</v>
      </c>
      <c r="M1005" s="169"/>
    </row>
    <row r="1006" spans="1:13" x14ac:dyDescent="0.55000000000000004">
      <c r="A1006" s="105" t="s">
        <v>3370</v>
      </c>
      <c r="B1006" s="61" t="s">
        <v>921</v>
      </c>
      <c r="C1006" s="61" t="s">
        <v>125</v>
      </c>
      <c r="D1006" s="61" t="s">
        <v>3288</v>
      </c>
      <c r="E1006" s="119">
        <v>1.4213562749999999</v>
      </c>
      <c r="F1006" s="148" t="s">
        <v>135</v>
      </c>
      <c r="G1006" s="148">
        <v>1</v>
      </c>
      <c r="H1006" s="61" t="s">
        <v>39</v>
      </c>
      <c r="I1006" s="61" t="s">
        <v>988</v>
      </c>
      <c r="J1006" s="61" t="s">
        <v>919</v>
      </c>
      <c r="K1006" s="61" t="s">
        <v>126</v>
      </c>
      <c r="L1006" s="159"/>
      <c r="M1006" s="169"/>
    </row>
    <row r="1007" spans="1:13" x14ac:dyDescent="0.55000000000000004">
      <c r="A1007" s="105" t="s">
        <v>3370</v>
      </c>
      <c r="B1007" s="61" t="s">
        <v>922</v>
      </c>
      <c r="C1007" s="61" t="s">
        <v>125</v>
      </c>
      <c r="D1007" s="61" t="s">
        <v>3288</v>
      </c>
      <c r="E1007" s="119">
        <v>1.13708502</v>
      </c>
      <c r="F1007" s="148" t="s">
        <v>135</v>
      </c>
      <c r="G1007" s="148">
        <v>1</v>
      </c>
      <c r="H1007" s="61" t="s">
        <v>39</v>
      </c>
      <c r="I1007" s="61" t="s">
        <v>987</v>
      </c>
      <c r="J1007" s="61" t="s">
        <v>919</v>
      </c>
      <c r="K1007" s="61" t="s">
        <v>126</v>
      </c>
      <c r="L1007" s="159"/>
      <c r="M1007" s="169"/>
    </row>
    <row r="1008" spans="1:13" x14ac:dyDescent="0.55000000000000004">
      <c r="A1008" s="105" t="s">
        <v>3370</v>
      </c>
      <c r="B1008" s="61" t="s">
        <v>213</v>
      </c>
      <c r="C1008" s="61" t="s">
        <v>125</v>
      </c>
      <c r="D1008" s="61" t="s">
        <v>3288</v>
      </c>
      <c r="E1008" s="119">
        <v>6.4777327999999995E-2</v>
      </c>
      <c r="F1008" s="148" t="s">
        <v>135</v>
      </c>
      <c r="G1008" s="148">
        <v>1</v>
      </c>
      <c r="H1008" s="61" t="s">
        <v>39</v>
      </c>
      <c r="I1008" s="61" t="s">
        <v>988</v>
      </c>
      <c r="J1008" s="61" t="s">
        <v>919</v>
      </c>
      <c r="K1008" s="61" t="s">
        <v>126</v>
      </c>
      <c r="L1008" s="159"/>
      <c r="M1008" s="169"/>
    </row>
    <row r="1009" spans="1:13" x14ac:dyDescent="0.55000000000000004">
      <c r="A1009" s="105" t="s">
        <v>3370</v>
      </c>
      <c r="B1009" s="61" t="s">
        <v>923</v>
      </c>
      <c r="C1009" s="61" t="s">
        <v>127</v>
      </c>
      <c r="D1009" s="61" t="s">
        <v>2994</v>
      </c>
      <c r="E1009" s="119">
        <v>8.461538462</v>
      </c>
      <c r="F1009" s="148" t="s">
        <v>138</v>
      </c>
      <c r="G1009" s="148">
        <v>1</v>
      </c>
      <c r="H1009" s="61" t="s">
        <v>39</v>
      </c>
      <c r="I1009" s="61" t="s">
        <v>988</v>
      </c>
      <c r="J1009" s="61" t="s">
        <v>919</v>
      </c>
      <c r="K1009" s="61" t="s">
        <v>126</v>
      </c>
      <c r="L1009" s="159"/>
      <c r="M1009" s="169"/>
    </row>
    <row r="1010" spans="1:13" x14ac:dyDescent="0.55000000000000004">
      <c r="A1010" s="105" t="s">
        <v>3370</v>
      </c>
      <c r="B1010" s="61" t="s">
        <v>153</v>
      </c>
      <c r="C1010" s="61" t="s">
        <v>127</v>
      </c>
      <c r="D1010" s="61" t="s">
        <v>2994</v>
      </c>
      <c r="E1010" s="119">
        <v>0.46537651800000002</v>
      </c>
      <c r="F1010" s="148" t="s">
        <v>138</v>
      </c>
      <c r="G1010" s="148">
        <v>1</v>
      </c>
      <c r="H1010" s="61" t="s">
        <v>39</v>
      </c>
      <c r="I1010" s="61" t="s">
        <v>988</v>
      </c>
      <c r="J1010" s="61" t="s">
        <v>919</v>
      </c>
      <c r="K1010" s="61" t="s">
        <v>126</v>
      </c>
      <c r="L1010" s="159"/>
      <c r="M1010" s="169"/>
    </row>
    <row r="1011" spans="1:13" x14ac:dyDescent="0.55000000000000004">
      <c r="A1011" s="105" t="s">
        <v>3370</v>
      </c>
      <c r="B1011" s="61" t="s">
        <v>153</v>
      </c>
      <c r="C1011" s="61" t="s">
        <v>127</v>
      </c>
      <c r="D1011" s="61" t="s">
        <v>2994</v>
      </c>
      <c r="E1011" s="119">
        <v>1.0253441299999999</v>
      </c>
      <c r="F1011" s="148" t="s">
        <v>138</v>
      </c>
      <c r="G1011" s="148">
        <v>1</v>
      </c>
      <c r="H1011" s="61" t="s">
        <v>39</v>
      </c>
      <c r="I1011" s="61" t="s">
        <v>989</v>
      </c>
      <c r="J1011" s="61" t="s">
        <v>919</v>
      </c>
      <c r="K1011" s="61" t="s">
        <v>126</v>
      </c>
      <c r="L1011" s="159"/>
      <c r="M1011" s="169"/>
    </row>
    <row r="1012" spans="1:13" x14ac:dyDescent="0.55000000000000004">
      <c r="A1012" s="105" t="s">
        <v>3370</v>
      </c>
      <c r="B1012" s="61" t="s">
        <v>153</v>
      </c>
      <c r="C1012" s="61" t="s">
        <v>127</v>
      </c>
      <c r="D1012" s="61" t="s">
        <v>2994</v>
      </c>
      <c r="E1012" s="119">
        <v>1.363190283</v>
      </c>
      <c r="F1012" s="148" t="s">
        <v>138</v>
      </c>
      <c r="G1012" s="148">
        <v>1</v>
      </c>
      <c r="H1012" s="61" t="s">
        <v>39</v>
      </c>
      <c r="I1012" s="61" t="s">
        <v>987</v>
      </c>
      <c r="J1012" s="61" t="s">
        <v>919</v>
      </c>
      <c r="K1012" s="61" t="s">
        <v>126</v>
      </c>
      <c r="L1012" s="159"/>
      <c r="M1012" s="169"/>
    </row>
    <row r="1013" spans="1:13" x14ac:dyDescent="0.55000000000000004">
      <c r="A1013" s="105" t="s">
        <v>3370</v>
      </c>
      <c r="B1013" s="61" t="s">
        <v>153</v>
      </c>
      <c r="C1013" s="61" t="s">
        <v>127</v>
      </c>
      <c r="D1013" s="61" t="s">
        <v>2994</v>
      </c>
      <c r="E1013" s="119">
        <v>0.44048583000000002</v>
      </c>
      <c r="F1013" s="148" t="s">
        <v>138</v>
      </c>
      <c r="G1013" s="148">
        <v>1</v>
      </c>
      <c r="H1013" s="61" t="s">
        <v>39</v>
      </c>
      <c r="I1013" s="61"/>
      <c r="J1013" s="61" t="s">
        <v>919</v>
      </c>
      <c r="K1013" s="61" t="s">
        <v>126</v>
      </c>
      <c r="L1013" s="159"/>
      <c r="M1013" s="169"/>
    </row>
    <row r="1014" spans="1:13" x14ac:dyDescent="0.55000000000000004">
      <c r="A1014" s="105" t="s">
        <v>3370</v>
      </c>
      <c r="B1014" s="61" t="s">
        <v>153</v>
      </c>
      <c r="C1014" s="61" t="s">
        <v>127</v>
      </c>
      <c r="D1014" s="61" t="s">
        <v>2994</v>
      </c>
      <c r="E1014" s="119">
        <v>2.829020243</v>
      </c>
      <c r="F1014" s="148" t="s">
        <v>138</v>
      </c>
      <c r="G1014" s="148">
        <v>1</v>
      </c>
      <c r="H1014" s="61" t="s">
        <v>39</v>
      </c>
      <c r="I1014" s="61" t="s">
        <v>959</v>
      </c>
      <c r="J1014" s="61" t="s">
        <v>919</v>
      </c>
      <c r="K1014" s="61" t="s">
        <v>126</v>
      </c>
      <c r="L1014" s="159"/>
      <c r="M1014" s="169"/>
    </row>
    <row r="1015" spans="1:13" x14ac:dyDescent="0.55000000000000004">
      <c r="A1015" s="105" t="s">
        <v>3370</v>
      </c>
      <c r="B1015" s="61" t="s">
        <v>160</v>
      </c>
      <c r="C1015" s="61" t="s">
        <v>497</v>
      </c>
      <c r="D1015" s="61" t="s">
        <v>3288</v>
      </c>
      <c r="E1015" s="119">
        <v>2.8346153999999998E-2</v>
      </c>
      <c r="F1015" s="148" t="s">
        <v>135</v>
      </c>
      <c r="G1015" s="148">
        <v>1</v>
      </c>
      <c r="H1015" s="61" t="s">
        <v>39</v>
      </c>
      <c r="I1015" s="61"/>
      <c r="J1015" s="61" t="s">
        <v>924</v>
      </c>
      <c r="K1015" s="61"/>
      <c r="L1015" s="159"/>
      <c r="M1015" s="169"/>
    </row>
    <row r="1016" spans="1:13" x14ac:dyDescent="0.55000000000000004">
      <c r="A1016" s="105" t="s">
        <v>3371</v>
      </c>
      <c r="B1016" s="61" t="s">
        <v>153</v>
      </c>
      <c r="C1016" s="61" t="s">
        <v>127</v>
      </c>
      <c r="D1016" s="61" t="s">
        <v>2994</v>
      </c>
      <c r="E1016" s="119">
        <v>0.60119999999999996</v>
      </c>
      <c r="F1016" s="148" t="s">
        <v>138</v>
      </c>
      <c r="G1016" s="148">
        <v>1</v>
      </c>
      <c r="H1016" s="61" t="s">
        <v>39</v>
      </c>
      <c r="I1016" s="61"/>
      <c r="J1016" s="61" t="s">
        <v>919</v>
      </c>
      <c r="K1016" s="61" t="s">
        <v>126</v>
      </c>
      <c r="L1016" s="159"/>
      <c r="M1016" s="169"/>
    </row>
    <row r="1017" spans="1:13" x14ac:dyDescent="0.55000000000000004">
      <c r="A1017" s="102" t="s">
        <v>917</v>
      </c>
      <c r="B1017" s="61" t="s">
        <v>918</v>
      </c>
      <c r="C1017" s="61" t="s">
        <v>121</v>
      </c>
      <c r="D1017" s="61" t="s">
        <v>3288</v>
      </c>
      <c r="E1017" s="119">
        <v>1</v>
      </c>
      <c r="F1017" s="148" t="s">
        <v>135</v>
      </c>
      <c r="G1017" s="148">
        <v>1</v>
      </c>
      <c r="H1017" s="61" t="s">
        <v>39</v>
      </c>
      <c r="I1017" s="168"/>
      <c r="J1017" s="168" t="s">
        <v>879</v>
      </c>
      <c r="K1017" s="168"/>
      <c r="L1017" s="159"/>
      <c r="M1017" s="169"/>
    </row>
    <row r="1018" spans="1:13" x14ac:dyDescent="0.55000000000000004">
      <c r="A1018" s="102" t="s">
        <v>917</v>
      </c>
      <c r="B1018" s="61" t="s">
        <v>880</v>
      </c>
      <c r="C1018" s="61" t="s">
        <v>127</v>
      </c>
      <c r="D1018" s="61" t="s">
        <v>3289</v>
      </c>
      <c r="E1018" s="119">
        <v>7.28</v>
      </c>
      <c r="F1018" s="148" t="s">
        <v>133</v>
      </c>
      <c r="G1018" s="148">
        <v>1</v>
      </c>
      <c r="H1018" s="61" t="s">
        <v>39</v>
      </c>
      <c r="I1018" s="168"/>
      <c r="J1018" s="168" t="s">
        <v>879</v>
      </c>
      <c r="K1018" s="168"/>
      <c r="L1018" s="159"/>
      <c r="M1018" s="169"/>
    </row>
    <row r="1019" spans="1:13" x14ac:dyDescent="0.55000000000000004">
      <c r="A1019" s="102" t="s">
        <v>917</v>
      </c>
      <c r="B1019" s="61" t="s">
        <v>881</v>
      </c>
      <c r="C1019" s="61" t="s">
        <v>127</v>
      </c>
      <c r="D1019" s="61" t="s">
        <v>3289</v>
      </c>
      <c r="E1019" s="119">
        <v>0</v>
      </c>
      <c r="F1019" s="148" t="s">
        <v>133</v>
      </c>
      <c r="G1019" s="148">
        <v>1</v>
      </c>
      <c r="H1019" s="61" t="s">
        <v>39</v>
      </c>
      <c r="I1019" s="168"/>
      <c r="J1019" s="168" t="s">
        <v>879</v>
      </c>
      <c r="K1019" s="168"/>
      <c r="L1019" s="159"/>
      <c r="M1019" s="169"/>
    </row>
    <row r="1020" spans="1:13" x14ac:dyDescent="0.55000000000000004">
      <c r="A1020" s="102" t="s">
        <v>917</v>
      </c>
      <c r="B1020" s="61" t="s">
        <v>882</v>
      </c>
      <c r="C1020" s="61" t="s">
        <v>127</v>
      </c>
      <c r="D1020" s="61" t="s">
        <v>3289</v>
      </c>
      <c r="E1020" s="119">
        <v>0.47</v>
      </c>
      <c r="F1020" s="148" t="s">
        <v>133</v>
      </c>
      <c r="G1020" s="148">
        <v>1</v>
      </c>
      <c r="H1020" s="61" t="s">
        <v>39</v>
      </c>
      <c r="I1020" s="168"/>
      <c r="J1020" s="168" t="s">
        <v>879</v>
      </c>
      <c r="K1020" s="168"/>
      <c r="L1020" s="159"/>
      <c r="M1020" s="169"/>
    </row>
    <row r="1021" spans="1:13" x14ac:dyDescent="0.55000000000000004">
      <c r="A1021" s="102" t="s">
        <v>917</v>
      </c>
      <c r="B1021" s="61" t="s">
        <v>883</v>
      </c>
      <c r="C1021" s="61" t="s">
        <v>127</v>
      </c>
      <c r="D1021" s="61" t="s">
        <v>3289</v>
      </c>
      <c r="E1021" s="119">
        <v>0.25</v>
      </c>
      <c r="F1021" s="148" t="s">
        <v>133</v>
      </c>
      <c r="G1021" s="148">
        <v>1</v>
      </c>
      <c r="H1021" s="61" t="s">
        <v>39</v>
      </c>
      <c r="I1021" s="168"/>
      <c r="J1021" s="168" t="s">
        <v>879</v>
      </c>
      <c r="K1021" s="168"/>
      <c r="L1021" s="159"/>
      <c r="M1021" s="169"/>
    </row>
    <row r="1022" spans="1:13" x14ac:dyDescent="0.55000000000000004">
      <c r="A1022" s="102" t="s">
        <v>917</v>
      </c>
      <c r="B1022" s="61" t="s">
        <v>884</v>
      </c>
      <c r="C1022" s="61" t="s">
        <v>127</v>
      </c>
      <c r="D1022" s="61" t="s">
        <v>2994</v>
      </c>
      <c r="E1022" s="119">
        <v>5.13</v>
      </c>
      <c r="F1022" s="148" t="s">
        <v>130</v>
      </c>
      <c r="G1022" s="148">
        <v>1</v>
      </c>
      <c r="H1022" s="61" t="s">
        <v>39</v>
      </c>
      <c r="I1022" s="168"/>
      <c r="J1022" s="168" t="s">
        <v>879</v>
      </c>
      <c r="K1022" s="168"/>
      <c r="L1022" s="159"/>
      <c r="M1022" s="169"/>
    </row>
    <row r="1023" spans="1:13" x14ac:dyDescent="0.55000000000000004">
      <c r="A1023" s="102" t="s">
        <v>917</v>
      </c>
      <c r="B1023" s="61" t="s">
        <v>885</v>
      </c>
      <c r="C1023" s="61" t="s">
        <v>127</v>
      </c>
      <c r="D1023" s="61" t="s">
        <v>2994</v>
      </c>
      <c r="E1023" s="119">
        <v>11.27</v>
      </c>
      <c r="F1023" s="148" t="s">
        <v>130</v>
      </c>
      <c r="G1023" s="148">
        <v>1</v>
      </c>
      <c r="H1023" s="61" t="s">
        <v>39</v>
      </c>
      <c r="I1023" s="168"/>
      <c r="J1023" s="168" t="s">
        <v>879</v>
      </c>
      <c r="K1023" s="168"/>
      <c r="L1023" s="159"/>
      <c r="M1023" s="169"/>
    </row>
    <row r="1024" spans="1:13" x14ac:dyDescent="0.55000000000000004">
      <c r="A1024" s="102" t="s">
        <v>917</v>
      </c>
      <c r="B1024" s="61" t="s">
        <v>886</v>
      </c>
      <c r="C1024" s="61" t="s">
        <v>887</v>
      </c>
      <c r="D1024" s="61" t="s">
        <v>3288</v>
      </c>
      <c r="E1024" s="119">
        <v>0</v>
      </c>
      <c r="F1024" s="148" t="s">
        <v>135</v>
      </c>
      <c r="G1024" s="148">
        <v>1</v>
      </c>
      <c r="H1024" s="61" t="s">
        <v>39</v>
      </c>
      <c r="I1024" s="168"/>
      <c r="J1024" s="168" t="s">
        <v>879</v>
      </c>
      <c r="K1024" s="168"/>
      <c r="L1024" s="159"/>
      <c r="M1024" s="169"/>
    </row>
    <row r="1025" spans="1:13" x14ac:dyDescent="0.55000000000000004">
      <c r="A1025" s="102" t="s">
        <v>917</v>
      </c>
      <c r="B1025" s="61" t="s">
        <v>888</v>
      </c>
      <c r="C1025" s="61" t="s">
        <v>125</v>
      </c>
      <c r="D1025" s="61" t="s">
        <v>3288</v>
      </c>
      <c r="E1025" s="119">
        <v>0.11</v>
      </c>
      <c r="F1025" s="148" t="s">
        <v>135</v>
      </c>
      <c r="G1025" s="148">
        <v>1</v>
      </c>
      <c r="H1025" s="61" t="s">
        <v>39</v>
      </c>
      <c r="I1025" s="168"/>
      <c r="J1025" s="168" t="s">
        <v>879</v>
      </c>
      <c r="K1025" s="168"/>
      <c r="L1025" s="159"/>
      <c r="M1025" s="169"/>
    </row>
    <row r="1026" spans="1:13" x14ac:dyDescent="0.55000000000000004">
      <c r="A1026" s="102" t="s">
        <v>917</v>
      </c>
      <c r="B1026" s="61" t="s">
        <v>889</v>
      </c>
      <c r="C1026" s="61" t="s">
        <v>125</v>
      </c>
      <c r="D1026" s="61" t="s">
        <v>3288</v>
      </c>
      <c r="E1026" s="119">
        <v>0.82</v>
      </c>
      <c r="F1026" s="148" t="s">
        <v>135</v>
      </c>
      <c r="G1026" s="148">
        <v>1</v>
      </c>
      <c r="H1026" s="61" t="s">
        <v>39</v>
      </c>
      <c r="I1026" s="168"/>
      <c r="J1026" s="168" t="s">
        <v>879</v>
      </c>
      <c r="K1026" s="168"/>
      <c r="L1026" s="159"/>
      <c r="M1026" s="169"/>
    </row>
    <row r="1027" spans="1:13" x14ac:dyDescent="0.55000000000000004">
      <c r="A1027" s="102" t="s">
        <v>917</v>
      </c>
      <c r="B1027" s="61" t="s">
        <v>890</v>
      </c>
      <c r="C1027" s="61" t="s">
        <v>125</v>
      </c>
      <c r="D1027" s="61" t="s">
        <v>3288</v>
      </c>
      <c r="E1027" s="119">
        <v>0.08</v>
      </c>
      <c r="F1027" s="148" t="s">
        <v>135</v>
      </c>
      <c r="G1027" s="148">
        <v>1</v>
      </c>
      <c r="H1027" s="61" t="s">
        <v>39</v>
      </c>
      <c r="I1027" s="168"/>
      <c r="J1027" s="168" t="s">
        <v>879</v>
      </c>
      <c r="K1027" s="168"/>
      <c r="L1027" s="159"/>
      <c r="M1027" s="169"/>
    </row>
    <row r="1028" spans="1:13" x14ac:dyDescent="0.55000000000000004">
      <c r="A1028" s="102" t="s">
        <v>917</v>
      </c>
      <c r="B1028" s="61" t="s">
        <v>160</v>
      </c>
      <c r="C1028" s="61" t="s">
        <v>497</v>
      </c>
      <c r="D1028" s="61" t="s">
        <v>3288</v>
      </c>
      <c r="E1028" s="119">
        <v>14.3</v>
      </c>
      <c r="F1028" s="148" t="s">
        <v>122</v>
      </c>
      <c r="G1028" s="148">
        <v>1</v>
      </c>
      <c r="H1028" s="61" t="s">
        <v>39</v>
      </c>
      <c r="I1028" s="168" t="str">
        <f>"-35kgCO2 (indirect emissions reduction)"</f>
        <v>-35kgCO2 (indirect emissions reduction)</v>
      </c>
      <c r="J1028" s="168" t="s">
        <v>879</v>
      </c>
      <c r="K1028" s="168"/>
      <c r="L1028" s="159"/>
      <c r="M1028" s="169"/>
    </row>
    <row r="1029" spans="1:13" x14ac:dyDescent="0.55000000000000004">
      <c r="A1029" s="102" t="s">
        <v>917</v>
      </c>
      <c r="B1029" s="61" t="s">
        <v>891</v>
      </c>
      <c r="C1029" s="122" t="s">
        <v>124</v>
      </c>
      <c r="D1029" s="61" t="s">
        <v>3288</v>
      </c>
      <c r="E1029" s="119">
        <v>1.1599999999999999</v>
      </c>
      <c r="F1029" s="148" t="s">
        <v>892</v>
      </c>
      <c r="G1029" s="148">
        <v>1</v>
      </c>
      <c r="H1029" s="61" t="s">
        <v>893</v>
      </c>
      <c r="I1029" s="168"/>
      <c r="J1029" s="168" t="s">
        <v>879</v>
      </c>
      <c r="K1029" s="168"/>
      <c r="L1029" s="164"/>
      <c r="M1029" s="169"/>
    </row>
    <row r="1030" spans="1:13" x14ac:dyDescent="0.55000000000000004">
      <c r="A1030" s="102" t="s">
        <v>915</v>
      </c>
      <c r="B1030" s="61" t="s">
        <v>916</v>
      </c>
      <c r="C1030" s="61" t="s">
        <v>121</v>
      </c>
      <c r="D1030" s="61" t="s">
        <v>3288</v>
      </c>
      <c r="E1030" s="119">
        <v>1</v>
      </c>
      <c r="F1030" s="148" t="s">
        <v>135</v>
      </c>
      <c r="G1030" s="148">
        <v>1</v>
      </c>
      <c r="H1030" s="61" t="s">
        <v>39</v>
      </c>
      <c r="I1030" s="168"/>
      <c r="J1030" s="68" t="s">
        <v>904</v>
      </c>
      <c r="K1030" s="168"/>
      <c r="L1030" s="159"/>
      <c r="M1030" s="169"/>
    </row>
    <row r="1031" spans="1:13" x14ac:dyDescent="0.55000000000000004">
      <c r="A1031" s="102" t="s">
        <v>915</v>
      </c>
      <c r="B1031" s="61" t="s">
        <v>880</v>
      </c>
      <c r="C1031" s="61" t="s">
        <v>127</v>
      </c>
      <c r="D1031" s="61" t="s">
        <v>3289</v>
      </c>
      <c r="E1031" s="119">
        <v>0</v>
      </c>
      <c r="F1031" s="148" t="s">
        <v>133</v>
      </c>
      <c r="G1031" s="148">
        <v>1</v>
      </c>
      <c r="H1031" s="61" t="s">
        <v>39</v>
      </c>
      <c r="I1031" s="168"/>
      <c r="J1031" s="68" t="s">
        <v>904</v>
      </c>
      <c r="K1031" s="168"/>
      <c r="L1031" s="159"/>
      <c r="M1031" s="169"/>
    </row>
    <row r="1032" spans="1:13" x14ac:dyDescent="0.55000000000000004">
      <c r="A1032" s="102" t="s">
        <v>915</v>
      </c>
      <c r="B1032" s="61" t="s">
        <v>881</v>
      </c>
      <c r="C1032" s="61" t="s">
        <v>127</v>
      </c>
      <c r="D1032" s="61" t="s">
        <v>3289</v>
      </c>
      <c r="E1032" s="119">
        <v>0</v>
      </c>
      <c r="F1032" s="148" t="s">
        <v>133</v>
      </c>
      <c r="G1032" s="148">
        <v>1</v>
      </c>
      <c r="H1032" s="61" t="s">
        <v>39</v>
      </c>
      <c r="I1032" s="168"/>
      <c r="J1032" s="68" t="s">
        <v>904</v>
      </c>
      <c r="K1032" s="168"/>
      <c r="L1032" s="159"/>
      <c r="M1032" s="169"/>
    </row>
    <row r="1033" spans="1:13" x14ac:dyDescent="0.55000000000000004">
      <c r="A1033" s="102" t="s">
        <v>915</v>
      </c>
      <c r="B1033" s="61" t="s">
        <v>882</v>
      </c>
      <c r="C1033" s="61" t="s">
        <v>127</v>
      </c>
      <c r="D1033" s="61" t="s">
        <v>3289</v>
      </c>
      <c r="E1033" s="119">
        <v>0.47</v>
      </c>
      <c r="F1033" s="148" t="s">
        <v>133</v>
      </c>
      <c r="G1033" s="148">
        <v>1</v>
      </c>
      <c r="H1033" s="61" t="s">
        <v>39</v>
      </c>
      <c r="I1033" s="168"/>
      <c r="J1033" s="68" t="s">
        <v>904</v>
      </c>
      <c r="K1033" s="168"/>
      <c r="L1033" s="159"/>
      <c r="M1033" s="169"/>
    </row>
    <row r="1034" spans="1:13" x14ac:dyDescent="0.55000000000000004">
      <c r="A1034" s="102" t="s">
        <v>915</v>
      </c>
      <c r="B1034" s="61" t="s">
        <v>883</v>
      </c>
      <c r="C1034" s="61" t="s">
        <v>127</v>
      </c>
      <c r="D1034" s="61" t="s">
        <v>3289</v>
      </c>
      <c r="E1034" s="119">
        <v>0.25</v>
      </c>
      <c r="F1034" s="148" t="s">
        <v>133</v>
      </c>
      <c r="G1034" s="148">
        <v>1</v>
      </c>
      <c r="H1034" s="61" t="s">
        <v>39</v>
      </c>
      <c r="I1034" s="168"/>
      <c r="J1034" s="68" t="s">
        <v>904</v>
      </c>
      <c r="K1034" s="168"/>
      <c r="L1034" s="159"/>
      <c r="M1034" s="169"/>
    </row>
    <row r="1035" spans="1:13" x14ac:dyDescent="0.55000000000000004">
      <c r="A1035" s="102" t="s">
        <v>915</v>
      </c>
      <c r="B1035" s="61" t="s">
        <v>884</v>
      </c>
      <c r="C1035" s="61" t="s">
        <v>127</v>
      </c>
      <c r="D1035" s="61" t="s">
        <v>2994</v>
      </c>
      <c r="E1035" s="119">
        <v>1.38</v>
      </c>
      <c r="F1035" s="148" t="s">
        <v>130</v>
      </c>
      <c r="G1035" s="148">
        <v>1</v>
      </c>
      <c r="H1035" s="61" t="s">
        <v>39</v>
      </c>
      <c r="I1035" s="168"/>
      <c r="J1035" s="68" t="s">
        <v>904</v>
      </c>
      <c r="K1035" s="168"/>
      <c r="L1035" s="159"/>
      <c r="M1035" s="169"/>
    </row>
    <row r="1036" spans="1:13" x14ac:dyDescent="0.55000000000000004">
      <c r="A1036" s="102" t="s">
        <v>915</v>
      </c>
      <c r="B1036" s="61" t="s">
        <v>885</v>
      </c>
      <c r="C1036" s="61" t="s">
        <v>127</v>
      </c>
      <c r="D1036" s="61" t="s">
        <v>2994</v>
      </c>
      <c r="E1036" s="119">
        <v>10.51</v>
      </c>
      <c r="F1036" s="148" t="s">
        <v>130</v>
      </c>
      <c r="G1036" s="148">
        <v>1</v>
      </c>
      <c r="H1036" s="61" t="s">
        <v>39</v>
      </c>
      <c r="I1036" s="168"/>
      <c r="J1036" s="68" t="s">
        <v>904</v>
      </c>
      <c r="K1036" s="168"/>
      <c r="L1036" s="159"/>
      <c r="M1036" s="169"/>
    </row>
    <row r="1037" spans="1:13" x14ac:dyDescent="0.55000000000000004">
      <c r="A1037" s="102" t="s">
        <v>915</v>
      </c>
      <c r="B1037" s="61" t="s">
        <v>905</v>
      </c>
      <c r="C1037" s="61" t="s">
        <v>127</v>
      </c>
      <c r="D1037" s="61" t="s">
        <v>2994</v>
      </c>
      <c r="E1037" s="119">
        <v>79.3</v>
      </c>
      <c r="F1037" s="148" t="s">
        <v>167</v>
      </c>
      <c r="G1037" s="148">
        <v>1</v>
      </c>
      <c r="H1037" s="61" t="s">
        <v>39</v>
      </c>
      <c r="I1037" s="168"/>
      <c r="J1037" s="68" t="s">
        <v>904</v>
      </c>
      <c r="K1037" s="168"/>
      <c r="L1037" s="159"/>
      <c r="M1037" s="169"/>
    </row>
    <row r="1038" spans="1:13" x14ac:dyDescent="0.55000000000000004">
      <c r="A1038" s="102" t="s">
        <v>915</v>
      </c>
      <c r="B1038" s="61" t="s">
        <v>886</v>
      </c>
      <c r="C1038" s="61" t="s">
        <v>887</v>
      </c>
      <c r="D1038" s="61" t="s">
        <v>3288</v>
      </c>
      <c r="E1038" s="119">
        <v>0.36</v>
      </c>
      <c r="F1038" s="148" t="s">
        <v>135</v>
      </c>
      <c r="G1038" s="148">
        <v>1</v>
      </c>
      <c r="H1038" s="61" t="s">
        <v>39</v>
      </c>
      <c r="I1038" s="168"/>
      <c r="J1038" s="68" t="s">
        <v>904</v>
      </c>
      <c r="K1038" s="168"/>
      <c r="L1038" s="159"/>
      <c r="M1038" s="169"/>
    </row>
    <row r="1039" spans="1:13" x14ac:dyDescent="0.55000000000000004">
      <c r="A1039" s="102" t="s">
        <v>915</v>
      </c>
      <c r="B1039" s="61" t="s">
        <v>888</v>
      </c>
      <c r="C1039" s="61" t="s">
        <v>125</v>
      </c>
      <c r="D1039" s="61" t="s">
        <v>3288</v>
      </c>
      <c r="E1039" s="119">
        <v>0.04</v>
      </c>
      <c r="F1039" s="148" t="s">
        <v>135</v>
      </c>
      <c r="G1039" s="148">
        <v>1</v>
      </c>
      <c r="H1039" s="61" t="s">
        <v>39</v>
      </c>
      <c r="I1039" s="168"/>
      <c r="J1039" s="68" t="s">
        <v>904</v>
      </c>
      <c r="K1039" s="168"/>
      <c r="L1039" s="159"/>
      <c r="M1039" s="169"/>
    </row>
    <row r="1040" spans="1:13" x14ac:dyDescent="0.55000000000000004">
      <c r="A1040" s="102" t="s">
        <v>915</v>
      </c>
      <c r="B1040" s="61" t="s">
        <v>889</v>
      </c>
      <c r="C1040" s="61" t="s">
        <v>125</v>
      </c>
      <c r="D1040" s="61" t="s">
        <v>3288</v>
      </c>
      <c r="E1040" s="119">
        <v>0.57999999999999996</v>
      </c>
      <c r="F1040" s="148" t="s">
        <v>135</v>
      </c>
      <c r="G1040" s="148">
        <v>1</v>
      </c>
      <c r="H1040" s="61" t="s">
        <v>39</v>
      </c>
      <c r="I1040" s="168"/>
      <c r="J1040" s="68" t="s">
        <v>904</v>
      </c>
      <c r="K1040" s="168"/>
      <c r="L1040" s="159"/>
      <c r="M1040" s="169"/>
    </row>
    <row r="1041" spans="1:13" x14ac:dyDescent="0.55000000000000004">
      <c r="A1041" s="102" t="s">
        <v>915</v>
      </c>
      <c r="B1041" s="61" t="s">
        <v>890</v>
      </c>
      <c r="C1041" s="61" t="s">
        <v>125</v>
      </c>
      <c r="D1041" s="61" t="s">
        <v>3288</v>
      </c>
      <c r="E1041" s="119">
        <v>0.02</v>
      </c>
      <c r="F1041" s="148" t="s">
        <v>135</v>
      </c>
      <c r="G1041" s="148">
        <v>1</v>
      </c>
      <c r="H1041" s="61" t="s">
        <v>39</v>
      </c>
      <c r="I1041" s="168" t="str">
        <f>"-27.7 kgCO2 (indirect emissions reduction)"</f>
        <v>-27.7 kgCO2 (indirect emissions reduction)</v>
      </c>
      <c r="J1041" s="68" t="s">
        <v>904</v>
      </c>
      <c r="K1041" s="168"/>
      <c r="L1041" s="159"/>
      <c r="M1041" s="169"/>
    </row>
    <row r="1042" spans="1:13" x14ac:dyDescent="0.55000000000000004">
      <c r="A1042" s="102" t="s">
        <v>915</v>
      </c>
      <c r="B1042" s="61" t="s">
        <v>160</v>
      </c>
      <c r="C1042" s="61" t="s">
        <v>497</v>
      </c>
      <c r="D1042" s="61" t="s">
        <v>3288</v>
      </c>
      <c r="E1042" s="119">
        <v>0</v>
      </c>
      <c r="F1042" s="148" t="s">
        <v>122</v>
      </c>
      <c r="G1042" s="148">
        <v>1</v>
      </c>
      <c r="H1042" s="61" t="s">
        <v>39</v>
      </c>
      <c r="I1042" s="168"/>
      <c r="J1042" s="68" t="s">
        <v>904</v>
      </c>
      <c r="K1042" s="168"/>
      <c r="L1042" s="159"/>
      <c r="M1042" s="169"/>
    </row>
    <row r="1043" spans="1:13" x14ac:dyDescent="0.55000000000000004">
      <c r="A1043" s="102" t="s">
        <v>915</v>
      </c>
      <c r="B1043" s="61" t="s">
        <v>891</v>
      </c>
      <c r="C1043" s="61" t="s">
        <v>124</v>
      </c>
      <c r="D1043" s="61" t="s">
        <v>3288</v>
      </c>
      <c r="E1043" s="119">
        <v>1.4</v>
      </c>
      <c r="F1043" s="148" t="s">
        <v>122</v>
      </c>
      <c r="G1043" s="148">
        <v>1</v>
      </c>
      <c r="H1043" s="61" t="s">
        <v>39</v>
      </c>
      <c r="I1043" s="168"/>
      <c r="J1043" s="68" t="s">
        <v>904</v>
      </c>
      <c r="K1043" s="168"/>
      <c r="L1043" s="159"/>
      <c r="M1043" s="169"/>
    </row>
    <row r="1044" spans="1:13" x14ac:dyDescent="0.55000000000000004">
      <c r="A1044" s="102" t="s">
        <v>913</v>
      </c>
      <c r="B1044" s="61" t="s">
        <v>914</v>
      </c>
      <c r="C1044" s="61" t="s">
        <v>121</v>
      </c>
      <c r="D1044" s="61" t="s">
        <v>3288</v>
      </c>
      <c r="E1044" s="119">
        <v>1</v>
      </c>
      <c r="F1044" s="148" t="s">
        <v>135</v>
      </c>
      <c r="G1044" s="148">
        <v>1</v>
      </c>
      <c r="H1044" s="61" t="s">
        <v>39</v>
      </c>
      <c r="I1044" s="168"/>
      <c r="J1044" s="168" t="s">
        <v>900</v>
      </c>
      <c r="K1044" s="168"/>
      <c r="L1044" s="159"/>
      <c r="M1044" s="169"/>
    </row>
    <row r="1045" spans="1:13" x14ac:dyDescent="0.55000000000000004">
      <c r="A1045" s="102" t="s">
        <v>913</v>
      </c>
      <c r="B1045" s="61" t="s">
        <v>880</v>
      </c>
      <c r="C1045" s="61" t="s">
        <v>127</v>
      </c>
      <c r="D1045" s="61" t="s">
        <v>3289</v>
      </c>
      <c r="E1045" s="119">
        <v>0</v>
      </c>
      <c r="F1045" s="148" t="s">
        <v>133</v>
      </c>
      <c r="G1045" s="148">
        <v>1</v>
      </c>
      <c r="H1045" s="61" t="s">
        <v>39</v>
      </c>
      <c r="I1045" s="168"/>
      <c r="J1045" s="168" t="s">
        <v>900</v>
      </c>
      <c r="K1045" s="168"/>
      <c r="L1045" s="159"/>
      <c r="M1045" s="169"/>
    </row>
    <row r="1046" spans="1:13" x14ac:dyDescent="0.55000000000000004">
      <c r="A1046" s="102" t="s">
        <v>913</v>
      </c>
      <c r="B1046" s="61" t="s">
        <v>881</v>
      </c>
      <c r="C1046" s="61" t="s">
        <v>127</v>
      </c>
      <c r="D1046" s="61" t="s">
        <v>3289</v>
      </c>
      <c r="E1046" s="119">
        <v>0</v>
      </c>
      <c r="F1046" s="148" t="s">
        <v>133</v>
      </c>
      <c r="G1046" s="148">
        <v>1</v>
      </c>
      <c r="H1046" s="61" t="s">
        <v>39</v>
      </c>
      <c r="I1046" s="168"/>
      <c r="J1046" s="168" t="s">
        <v>900</v>
      </c>
      <c r="K1046" s="168"/>
      <c r="L1046" s="159"/>
      <c r="M1046" s="169"/>
    </row>
    <row r="1047" spans="1:13" x14ac:dyDescent="0.55000000000000004">
      <c r="A1047" s="102" t="s">
        <v>913</v>
      </c>
      <c r="B1047" s="61" t="s">
        <v>882</v>
      </c>
      <c r="C1047" s="61" t="s">
        <v>127</v>
      </c>
      <c r="D1047" s="61" t="s">
        <v>3289</v>
      </c>
      <c r="E1047" s="119">
        <v>0.47</v>
      </c>
      <c r="F1047" s="148" t="s">
        <v>133</v>
      </c>
      <c r="G1047" s="148">
        <v>1</v>
      </c>
      <c r="H1047" s="61" t="s">
        <v>39</v>
      </c>
      <c r="I1047" s="168"/>
      <c r="J1047" s="168" t="s">
        <v>900</v>
      </c>
      <c r="K1047" s="168"/>
      <c r="L1047" s="159"/>
      <c r="M1047" s="169"/>
    </row>
    <row r="1048" spans="1:13" x14ac:dyDescent="0.55000000000000004">
      <c r="A1048" s="102" t="s">
        <v>913</v>
      </c>
      <c r="B1048" s="61" t="s">
        <v>883</v>
      </c>
      <c r="C1048" s="61" t="s">
        <v>127</v>
      </c>
      <c r="D1048" s="61" t="s">
        <v>3289</v>
      </c>
      <c r="E1048" s="119">
        <v>0.25</v>
      </c>
      <c r="F1048" s="148" t="s">
        <v>133</v>
      </c>
      <c r="G1048" s="148">
        <v>1</v>
      </c>
      <c r="H1048" s="61" t="s">
        <v>39</v>
      </c>
      <c r="I1048" s="168"/>
      <c r="J1048" s="168" t="s">
        <v>900</v>
      </c>
      <c r="K1048" s="168"/>
      <c r="L1048" s="159"/>
      <c r="M1048" s="169"/>
    </row>
    <row r="1049" spans="1:13" x14ac:dyDescent="0.55000000000000004">
      <c r="A1049" s="102" t="s">
        <v>913</v>
      </c>
      <c r="B1049" s="61" t="s">
        <v>884</v>
      </c>
      <c r="C1049" s="61" t="s">
        <v>127</v>
      </c>
      <c r="D1049" s="61" t="s">
        <v>2994</v>
      </c>
      <c r="E1049" s="119">
        <v>1.38</v>
      </c>
      <c r="F1049" s="148" t="s">
        <v>130</v>
      </c>
      <c r="G1049" s="148">
        <v>1</v>
      </c>
      <c r="H1049" s="61" t="s">
        <v>39</v>
      </c>
      <c r="I1049" s="168"/>
      <c r="J1049" s="168" t="s">
        <v>900</v>
      </c>
      <c r="K1049" s="168"/>
      <c r="L1049" s="159"/>
      <c r="M1049" s="169"/>
    </row>
    <row r="1050" spans="1:13" x14ac:dyDescent="0.55000000000000004">
      <c r="A1050" s="102" t="s">
        <v>913</v>
      </c>
      <c r="B1050" s="61" t="s">
        <v>885</v>
      </c>
      <c r="C1050" s="61" t="s">
        <v>127</v>
      </c>
      <c r="D1050" s="61" t="s">
        <v>2994</v>
      </c>
      <c r="E1050" s="119">
        <v>10.51</v>
      </c>
      <c r="F1050" s="148" t="s">
        <v>130</v>
      </c>
      <c r="G1050" s="148">
        <v>1</v>
      </c>
      <c r="H1050" s="61" t="s">
        <v>39</v>
      </c>
      <c r="I1050" s="168"/>
      <c r="J1050" s="168" t="s">
        <v>900</v>
      </c>
      <c r="K1050" s="168"/>
      <c r="L1050" s="159"/>
      <c r="M1050" s="169"/>
    </row>
    <row r="1051" spans="1:13" x14ac:dyDescent="0.55000000000000004">
      <c r="A1051" s="102" t="s">
        <v>913</v>
      </c>
      <c r="B1051" s="61" t="s">
        <v>901</v>
      </c>
      <c r="C1051" s="61" t="s">
        <v>127</v>
      </c>
      <c r="D1051" s="61" t="s">
        <v>3289</v>
      </c>
      <c r="E1051" s="119">
        <v>27.2</v>
      </c>
      <c r="F1051" s="148" t="s">
        <v>133</v>
      </c>
      <c r="G1051" s="148">
        <v>1</v>
      </c>
      <c r="H1051" s="61" t="s">
        <v>39</v>
      </c>
      <c r="I1051" s="168"/>
      <c r="J1051" s="168" t="s">
        <v>900</v>
      </c>
      <c r="K1051" s="168"/>
      <c r="L1051" s="159"/>
      <c r="M1051" s="169"/>
    </row>
    <row r="1052" spans="1:13" x14ac:dyDescent="0.55000000000000004">
      <c r="A1052" s="102" t="s">
        <v>913</v>
      </c>
      <c r="B1052" s="61" t="s">
        <v>886</v>
      </c>
      <c r="C1052" s="61" t="s">
        <v>887</v>
      </c>
      <c r="D1052" s="61" t="s">
        <v>3288</v>
      </c>
      <c r="E1052" s="119">
        <v>0.36</v>
      </c>
      <c r="F1052" s="148" t="s">
        <v>135</v>
      </c>
      <c r="G1052" s="148">
        <v>1</v>
      </c>
      <c r="H1052" s="61" t="s">
        <v>39</v>
      </c>
      <c r="I1052" s="168"/>
      <c r="J1052" s="168" t="s">
        <v>900</v>
      </c>
      <c r="K1052" s="168"/>
      <c r="L1052" s="159"/>
      <c r="M1052" s="169"/>
    </row>
    <row r="1053" spans="1:13" x14ac:dyDescent="0.55000000000000004">
      <c r="A1053" s="102" t="s">
        <v>913</v>
      </c>
      <c r="B1053" s="61" t="s">
        <v>888</v>
      </c>
      <c r="C1053" s="61" t="s">
        <v>125</v>
      </c>
      <c r="D1053" s="61" t="s">
        <v>3288</v>
      </c>
      <c r="E1053" s="119">
        <v>0.04</v>
      </c>
      <c r="F1053" s="148" t="s">
        <v>135</v>
      </c>
      <c r="G1053" s="148">
        <v>1</v>
      </c>
      <c r="H1053" s="61" t="s">
        <v>39</v>
      </c>
      <c r="I1053" s="168"/>
      <c r="J1053" s="168" t="s">
        <v>900</v>
      </c>
      <c r="K1053" s="168"/>
      <c r="L1053" s="159"/>
      <c r="M1053" s="169"/>
    </row>
    <row r="1054" spans="1:13" x14ac:dyDescent="0.55000000000000004">
      <c r="A1054" s="102" t="s">
        <v>913</v>
      </c>
      <c r="B1054" s="61" t="s">
        <v>889</v>
      </c>
      <c r="C1054" s="61" t="s">
        <v>125</v>
      </c>
      <c r="D1054" s="61" t="s">
        <v>3288</v>
      </c>
      <c r="E1054" s="119">
        <v>0.57999999999999996</v>
      </c>
      <c r="F1054" s="148" t="s">
        <v>135</v>
      </c>
      <c r="G1054" s="148">
        <v>1</v>
      </c>
      <c r="H1054" s="61" t="s">
        <v>39</v>
      </c>
      <c r="I1054" s="168"/>
      <c r="J1054" s="168" t="s">
        <v>900</v>
      </c>
      <c r="K1054" s="168"/>
      <c r="L1054" s="159"/>
      <c r="M1054" s="169"/>
    </row>
    <row r="1055" spans="1:13" x14ac:dyDescent="0.55000000000000004">
      <c r="A1055" s="102" t="s">
        <v>913</v>
      </c>
      <c r="B1055" s="61" t="s">
        <v>890</v>
      </c>
      <c r="C1055" s="61" t="s">
        <v>125</v>
      </c>
      <c r="D1055" s="61" t="s">
        <v>3288</v>
      </c>
      <c r="E1055" s="119">
        <v>0.02</v>
      </c>
      <c r="F1055" s="148" t="s">
        <v>135</v>
      </c>
      <c r="G1055" s="148">
        <v>1</v>
      </c>
      <c r="H1055" s="61" t="s">
        <v>39</v>
      </c>
      <c r="I1055" s="168"/>
      <c r="J1055" s="168" t="s">
        <v>900</v>
      </c>
      <c r="K1055" s="168"/>
      <c r="L1055" s="159"/>
      <c r="M1055" s="169"/>
    </row>
    <row r="1056" spans="1:13" x14ac:dyDescent="0.55000000000000004">
      <c r="A1056" s="102" t="s">
        <v>913</v>
      </c>
      <c r="B1056" s="61" t="s">
        <v>160</v>
      </c>
      <c r="C1056" s="61" t="s">
        <v>497</v>
      </c>
      <c r="D1056" s="61" t="s">
        <v>3288</v>
      </c>
      <c r="E1056" s="119">
        <v>0</v>
      </c>
      <c r="F1056" s="148" t="s">
        <v>122</v>
      </c>
      <c r="G1056" s="148">
        <v>1</v>
      </c>
      <c r="H1056" s="61" t="s">
        <v>39</v>
      </c>
      <c r="I1056" s="168"/>
      <c r="J1056" s="168" t="s">
        <v>900</v>
      </c>
      <c r="K1056" s="168"/>
      <c r="L1056" s="159"/>
      <c r="M1056" s="169"/>
    </row>
    <row r="1057" spans="1:13" x14ac:dyDescent="0.55000000000000004">
      <c r="A1057" s="102" t="s">
        <v>913</v>
      </c>
      <c r="B1057" s="61" t="s">
        <v>891</v>
      </c>
      <c r="C1057" s="61" t="s">
        <v>124</v>
      </c>
      <c r="D1057" s="61" t="s">
        <v>3288</v>
      </c>
      <c r="E1057" s="119">
        <v>5.07</v>
      </c>
      <c r="F1057" s="148" t="s">
        <v>892</v>
      </c>
      <c r="G1057" s="148">
        <v>1</v>
      </c>
      <c r="H1057" s="61" t="s">
        <v>39</v>
      </c>
      <c r="I1057" s="168"/>
      <c r="J1057" s="168" t="s">
        <v>900</v>
      </c>
      <c r="K1057" s="168"/>
      <c r="L1057" s="159"/>
      <c r="M1057" s="169"/>
    </row>
    <row r="1058" spans="1:13" x14ac:dyDescent="0.55000000000000004">
      <c r="A1058" s="102" t="s">
        <v>911</v>
      </c>
      <c r="B1058" s="61" t="s">
        <v>912</v>
      </c>
      <c r="C1058" s="61" t="s">
        <v>121</v>
      </c>
      <c r="D1058" s="61" t="s">
        <v>3288</v>
      </c>
      <c r="E1058" s="119">
        <v>1</v>
      </c>
      <c r="F1058" s="148" t="s">
        <v>135</v>
      </c>
      <c r="G1058" s="148">
        <v>1</v>
      </c>
      <c r="H1058" s="61" t="s">
        <v>39</v>
      </c>
      <c r="I1058" s="61"/>
      <c r="J1058" s="168" t="s">
        <v>896</v>
      </c>
      <c r="K1058" s="61"/>
      <c r="L1058" s="159"/>
      <c r="M1058" s="169"/>
    </row>
    <row r="1059" spans="1:13" x14ac:dyDescent="0.55000000000000004">
      <c r="A1059" s="102" t="s">
        <v>911</v>
      </c>
      <c r="B1059" s="61" t="s">
        <v>880</v>
      </c>
      <c r="C1059" s="61" t="s">
        <v>127</v>
      </c>
      <c r="D1059" s="61" t="s">
        <v>3289</v>
      </c>
      <c r="E1059" s="119">
        <v>6.25</v>
      </c>
      <c r="F1059" s="148" t="s">
        <v>133</v>
      </c>
      <c r="G1059" s="148">
        <v>1</v>
      </c>
      <c r="H1059" s="61" t="s">
        <v>39</v>
      </c>
      <c r="I1059" s="61"/>
      <c r="J1059" s="168" t="s">
        <v>896</v>
      </c>
      <c r="K1059" s="61"/>
      <c r="L1059" s="159"/>
      <c r="M1059" s="169"/>
    </row>
    <row r="1060" spans="1:13" x14ac:dyDescent="0.55000000000000004">
      <c r="A1060" s="102" t="s">
        <v>911</v>
      </c>
      <c r="B1060" s="61" t="s">
        <v>881</v>
      </c>
      <c r="C1060" s="61" t="s">
        <v>127</v>
      </c>
      <c r="D1060" s="61" t="s">
        <v>3289</v>
      </c>
      <c r="E1060" s="119">
        <v>2.31</v>
      </c>
      <c r="F1060" s="148" t="s">
        <v>133</v>
      </c>
      <c r="G1060" s="148">
        <v>1</v>
      </c>
      <c r="H1060" s="61" t="s">
        <v>39</v>
      </c>
      <c r="I1060" s="61"/>
      <c r="J1060" s="168" t="s">
        <v>896</v>
      </c>
      <c r="K1060" s="61"/>
      <c r="L1060" s="159"/>
      <c r="M1060" s="169"/>
    </row>
    <row r="1061" spans="1:13" x14ac:dyDescent="0.55000000000000004">
      <c r="A1061" s="102" t="s">
        <v>911</v>
      </c>
      <c r="B1061" s="61" t="s">
        <v>882</v>
      </c>
      <c r="C1061" s="61" t="s">
        <v>127</v>
      </c>
      <c r="D1061" s="61" t="s">
        <v>3289</v>
      </c>
      <c r="E1061" s="119">
        <v>0.47</v>
      </c>
      <c r="F1061" s="148" t="s">
        <v>133</v>
      </c>
      <c r="G1061" s="148">
        <v>1</v>
      </c>
      <c r="H1061" s="61" t="s">
        <v>39</v>
      </c>
      <c r="I1061" s="61"/>
      <c r="J1061" s="168" t="s">
        <v>896</v>
      </c>
      <c r="K1061" s="61"/>
      <c r="L1061" s="159"/>
      <c r="M1061" s="169"/>
    </row>
    <row r="1062" spans="1:13" x14ac:dyDescent="0.55000000000000004">
      <c r="A1062" s="102" t="s">
        <v>911</v>
      </c>
      <c r="B1062" s="61" t="s">
        <v>883</v>
      </c>
      <c r="C1062" s="61" t="s">
        <v>127</v>
      </c>
      <c r="D1062" s="61" t="s">
        <v>3289</v>
      </c>
      <c r="E1062" s="119">
        <v>0.25</v>
      </c>
      <c r="F1062" s="148" t="s">
        <v>133</v>
      </c>
      <c r="G1062" s="148">
        <v>1</v>
      </c>
      <c r="H1062" s="61" t="s">
        <v>39</v>
      </c>
      <c r="I1062" s="61"/>
      <c r="J1062" s="168" t="s">
        <v>896</v>
      </c>
      <c r="K1062" s="61"/>
      <c r="L1062" s="159"/>
      <c r="M1062" s="169"/>
    </row>
    <row r="1063" spans="1:13" x14ac:dyDescent="0.55000000000000004">
      <c r="A1063" s="102" t="s">
        <v>911</v>
      </c>
      <c r="B1063" s="61" t="s">
        <v>884</v>
      </c>
      <c r="C1063" s="61" t="s">
        <v>127</v>
      </c>
      <c r="D1063" s="61" t="s">
        <v>2994</v>
      </c>
      <c r="E1063" s="119">
        <v>1.38</v>
      </c>
      <c r="F1063" s="148" t="s">
        <v>130</v>
      </c>
      <c r="G1063" s="148">
        <v>1</v>
      </c>
      <c r="H1063" s="61" t="s">
        <v>39</v>
      </c>
      <c r="I1063" s="61"/>
      <c r="J1063" s="168" t="s">
        <v>896</v>
      </c>
      <c r="K1063" s="61"/>
      <c r="L1063" s="159"/>
      <c r="M1063" s="169"/>
    </row>
    <row r="1064" spans="1:13" x14ac:dyDescent="0.55000000000000004">
      <c r="A1064" s="102" t="s">
        <v>911</v>
      </c>
      <c r="B1064" s="61" t="s">
        <v>885</v>
      </c>
      <c r="C1064" s="61" t="s">
        <v>127</v>
      </c>
      <c r="D1064" s="61" t="s">
        <v>2994</v>
      </c>
      <c r="E1064" s="119">
        <v>10.51</v>
      </c>
      <c r="F1064" s="148" t="s">
        <v>130</v>
      </c>
      <c r="G1064" s="148">
        <v>1</v>
      </c>
      <c r="H1064" s="61" t="s">
        <v>39</v>
      </c>
      <c r="I1064" s="61"/>
      <c r="J1064" s="168" t="s">
        <v>896</v>
      </c>
      <c r="K1064" s="61"/>
      <c r="L1064" s="159"/>
      <c r="M1064" s="169"/>
    </row>
    <row r="1065" spans="1:13" x14ac:dyDescent="0.55000000000000004">
      <c r="A1065" s="102" t="s">
        <v>911</v>
      </c>
      <c r="B1065" s="61" t="s">
        <v>886</v>
      </c>
      <c r="C1065" s="61" t="s">
        <v>887</v>
      </c>
      <c r="D1065" s="61" t="s">
        <v>3288</v>
      </c>
      <c r="E1065" s="119">
        <v>0.36</v>
      </c>
      <c r="F1065" s="148" t="s">
        <v>135</v>
      </c>
      <c r="G1065" s="148">
        <v>1</v>
      </c>
      <c r="H1065" s="61" t="s">
        <v>39</v>
      </c>
      <c r="I1065" s="61"/>
      <c r="J1065" s="168" t="s">
        <v>896</v>
      </c>
      <c r="K1065" s="61"/>
      <c r="L1065" s="159"/>
      <c r="M1065" s="169"/>
    </row>
    <row r="1066" spans="1:13" x14ac:dyDescent="0.55000000000000004">
      <c r="A1066" s="102" t="s">
        <v>911</v>
      </c>
      <c r="B1066" s="61" t="s">
        <v>888</v>
      </c>
      <c r="C1066" s="61" t="s">
        <v>125</v>
      </c>
      <c r="D1066" s="61" t="s">
        <v>3288</v>
      </c>
      <c r="E1066" s="119">
        <v>0.03</v>
      </c>
      <c r="F1066" s="148" t="s">
        <v>135</v>
      </c>
      <c r="G1066" s="148">
        <v>1</v>
      </c>
      <c r="H1066" s="61" t="s">
        <v>39</v>
      </c>
      <c r="I1066" s="61"/>
      <c r="J1066" s="168" t="s">
        <v>896</v>
      </c>
      <c r="K1066" s="61"/>
      <c r="L1066" s="159"/>
      <c r="M1066" s="169"/>
    </row>
    <row r="1067" spans="1:13" x14ac:dyDescent="0.55000000000000004">
      <c r="A1067" s="102" t="s">
        <v>911</v>
      </c>
      <c r="B1067" s="61" t="s">
        <v>897</v>
      </c>
      <c r="C1067" s="61" t="s">
        <v>125</v>
      </c>
      <c r="D1067" s="61" t="s">
        <v>3288</v>
      </c>
      <c r="E1067" s="119">
        <v>0.03</v>
      </c>
      <c r="F1067" s="148" t="s">
        <v>135</v>
      </c>
      <c r="G1067" s="148">
        <v>1</v>
      </c>
      <c r="H1067" s="61" t="s">
        <v>39</v>
      </c>
      <c r="I1067" s="61"/>
      <c r="J1067" s="168" t="s">
        <v>896</v>
      </c>
      <c r="K1067" s="61"/>
      <c r="L1067" s="159"/>
      <c r="M1067" s="169"/>
    </row>
    <row r="1068" spans="1:13" x14ac:dyDescent="0.55000000000000004">
      <c r="A1068" s="102" t="s">
        <v>911</v>
      </c>
      <c r="B1068" s="61" t="s">
        <v>889</v>
      </c>
      <c r="C1068" s="61" t="s">
        <v>125</v>
      </c>
      <c r="D1068" s="61" t="s">
        <v>3288</v>
      </c>
      <c r="E1068" s="119">
        <v>0.57999999999999996</v>
      </c>
      <c r="F1068" s="148" t="s">
        <v>135</v>
      </c>
      <c r="G1068" s="148">
        <v>1</v>
      </c>
      <c r="H1068" s="61" t="s">
        <v>39</v>
      </c>
      <c r="I1068" s="61"/>
      <c r="J1068" s="168" t="s">
        <v>896</v>
      </c>
      <c r="K1068" s="61"/>
      <c r="L1068" s="159"/>
      <c r="M1068" s="169"/>
    </row>
    <row r="1069" spans="1:13" x14ac:dyDescent="0.55000000000000004">
      <c r="A1069" s="102" t="s">
        <v>911</v>
      </c>
      <c r="B1069" s="61" t="s">
        <v>890</v>
      </c>
      <c r="C1069" s="61" t="s">
        <v>125</v>
      </c>
      <c r="D1069" s="61" t="s">
        <v>3288</v>
      </c>
      <c r="E1069" s="119">
        <v>0.02</v>
      </c>
      <c r="F1069" s="148" t="s">
        <v>135</v>
      </c>
      <c r="G1069" s="148">
        <v>1</v>
      </c>
      <c r="H1069" s="61" t="s">
        <v>39</v>
      </c>
      <c r="I1069" s="61"/>
      <c r="J1069" s="168" t="s">
        <v>896</v>
      </c>
      <c r="K1069" s="61"/>
      <c r="L1069" s="159"/>
      <c r="M1069" s="169"/>
    </row>
    <row r="1070" spans="1:13" x14ac:dyDescent="0.55000000000000004">
      <c r="A1070" s="102" t="s">
        <v>911</v>
      </c>
      <c r="B1070" s="61" t="s">
        <v>160</v>
      </c>
      <c r="C1070" s="61" t="s">
        <v>497</v>
      </c>
      <c r="D1070" s="61" t="s">
        <v>3288</v>
      </c>
      <c r="E1070" s="119">
        <v>16.600000000000001</v>
      </c>
      <c r="F1070" s="148" t="s">
        <v>122</v>
      </c>
      <c r="G1070" s="148">
        <v>1</v>
      </c>
      <c r="H1070" s="61" t="s">
        <v>39</v>
      </c>
      <c r="I1070" s="61"/>
      <c r="J1070" s="168" t="s">
        <v>896</v>
      </c>
      <c r="K1070" s="61"/>
      <c r="L1070" s="159"/>
      <c r="M1070" s="169"/>
    </row>
    <row r="1071" spans="1:13" x14ac:dyDescent="0.55000000000000004">
      <c r="A1071" s="102" t="s">
        <v>911</v>
      </c>
      <c r="B1071" s="61" t="s">
        <v>891</v>
      </c>
      <c r="C1071" s="61" t="s">
        <v>124</v>
      </c>
      <c r="D1071" s="61" t="s">
        <v>3288</v>
      </c>
      <c r="E1071" s="119">
        <v>1.4</v>
      </c>
      <c r="F1071" s="148" t="s">
        <v>892</v>
      </c>
      <c r="G1071" s="148">
        <v>1</v>
      </c>
      <c r="H1071" s="61" t="s">
        <v>39</v>
      </c>
      <c r="I1071" s="61"/>
      <c r="J1071" s="168" t="s">
        <v>896</v>
      </c>
      <c r="K1071" s="61"/>
      <c r="L1071" s="159"/>
      <c r="M1071" s="169"/>
    </row>
    <row r="1072" spans="1:13" x14ac:dyDescent="0.55000000000000004">
      <c r="A1072" s="102" t="s">
        <v>908</v>
      </c>
      <c r="B1072" s="61" t="s">
        <v>909</v>
      </c>
      <c r="C1072" s="61" t="s">
        <v>121</v>
      </c>
      <c r="D1072" s="61" t="s">
        <v>3288</v>
      </c>
      <c r="E1072" s="119">
        <v>1</v>
      </c>
      <c r="F1072" s="148" t="s">
        <v>135</v>
      </c>
      <c r="G1072" s="148">
        <v>1</v>
      </c>
      <c r="H1072" s="61" t="s">
        <v>39</v>
      </c>
      <c r="I1072" s="61"/>
      <c r="J1072" s="168" t="s">
        <v>910</v>
      </c>
      <c r="K1072" s="61"/>
      <c r="L1072" s="159"/>
      <c r="M1072" s="169"/>
    </row>
    <row r="1073" spans="1:13" x14ac:dyDescent="0.55000000000000004">
      <c r="A1073" s="102" t="s">
        <v>908</v>
      </c>
      <c r="B1073" s="61" t="s">
        <v>880</v>
      </c>
      <c r="C1073" s="61" t="s">
        <v>127</v>
      </c>
      <c r="D1073" s="61" t="s">
        <v>3289</v>
      </c>
      <c r="E1073" s="119">
        <v>6.25</v>
      </c>
      <c r="F1073" s="148" t="s">
        <v>133</v>
      </c>
      <c r="G1073" s="148">
        <v>1</v>
      </c>
      <c r="H1073" s="61" t="s">
        <v>39</v>
      </c>
      <c r="I1073" s="61"/>
      <c r="J1073" s="168" t="s">
        <v>910</v>
      </c>
      <c r="K1073" s="61"/>
      <c r="L1073" s="159"/>
      <c r="M1073" s="169"/>
    </row>
    <row r="1074" spans="1:13" x14ac:dyDescent="0.55000000000000004">
      <c r="A1074" s="102" t="s">
        <v>908</v>
      </c>
      <c r="B1074" s="61" t="s">
        <v>881</v>
      </c>
      <c r="C1074" s="61" t="s">
        <v>127</v>
      </c>
      <c r="D1074" s="61" t="s">
        <v>3289</v>
      </c>
      <c r="E1074" s="119">
        <v>2.31</v>
      </c>
      <c r="F1074" s="148" t="s">
        <v>133</v>
      </c>
      <c r="G1074" s="148">
        <v>1</v>
      </c>
      <c r="H1074" s="61" t="s">
        <v>39</v>
      </c>
      <c r="I1074" s="61"/>
      <c r="J1074" s="168" t="s">
        <v>910</v>
      </c>
      <c r="K1074" s="61"/>
      <c r="L1074" s="159"/>
      <c r="M1074" s="169"/>
    </row>
    <row r="1075" spans="1:13" x14ac:dyDescent="0.55000000000000004">
      <c r="A1075" s="102" t="s">
        <v>908</v>
      </c>
      <c r="B1075" s="61" t="s">
        <v>882</v>
      </c>
      <c r="C1075" s="61" t="s">
        <v>127</v>
      </c>
      <c r="D1075" s="61" t="s">
        <v>3289</v>
      </c>
      <c r="E1075" s="119">
        <v>0.47</v>
      </c>
      <c r="F1075" s="148" t="s">
        <v>133</v>
      </c>
      <c r="G1075" s="148">
        <v>1</v>
      </c>
      <c r="H1075" s="61" t="s">
        <v>39</v>
      </c>
      <c r="I1075" s="61"/>
      <c r="J1075" s="168" t="s">
        <v>910</v>
      </c>
      <c r="K1075" s="61"/>
      <c r="L1075" s="159"/>
      <c r="M1075" s="169"/>
    </row>
    <row r="1076" spans="1:13" x14ac:dyDescent="0.55000000000000004">
      <c r="A1076" s="102" t="s">
        <v>908</v>
      </c>
      <c r="B1076" s="61" t="s">
        <v>883</v>
      </c>
      <c r="C1076" s="61" t="s">
        <v>127</v>
      </c>
      <c r="D1076" s="61" t="s">
        <v>3289</v>
      </c>
      <c r="E1076" s="119">
        <v>0.25</v>
      </c>
      <c r="F1076" s="148" t="s">
        <v>133</v>
      </c>
      <c r="G1076" s="148">
        <v>1</v>
      </c>
      <c r="H1076" s="61" t="s">
        <v>39</v>
      </c>
      <c r="I1076" s="61"/>
      <c r="J1076" s="168" t="s">
        <v>910</v>
      </c>
      <c r="K1076" s="61"/>
      <c r="L1076" s="159"/>
      <c r="M1076" s="169"/>
    </row>
    <row r="1077" spans="1:13" x14ac:dyDescent="0.55000000000000004">
      <c r="A1077" s="102" t="s">
        <v>908</v>
      </c>
      <c r="B1077" s="61" t="s">
        <v>884</v>
      </c>
      <c r="C1077" s="61" t="s">
        <v>127</v>
      </c>
      <c r="D1077" s="61" t="s">
        <v>2994</v>
      </c>
      <c r="E1077" s="119">
        <v>1.38</v>
      </c>
      <c r="F1077" s="148" t="s">
        <v>130</v>
      </c>
      <c r="G1077" s="148">
        <v>1</v>
      </c>
      <c r="H1077" s="61" t="s">
        <v>39</v>
      </c>
      <c r="I1077" s="61"/>
      <c r="J1077" s="168" t="s">
        <v>910</v>
      </c>
      <c r="K1077" s="61"/>
      <c r="L1077" s="159"/>
      <c r="M1077" s="169"/>
    </row>
    <row r="1078" spans="1:13" x14ac:dyDescent="0.55000000000000004">
      <c r="A1078" s="102" t="s">
        <v>908</v>
      </c>
      <c r="B1078" s="61" t="s">
        <v>885</v>
      </c>
      <c r="C1078" s="61" t="s">
        <v>127</v>
      </c>
      <c r="D1078" s="61" t="s">
        <v>2994</v>
      </c>
      <c r="E1078" s="119">
        <v>10.51</v>
      </c>
      <c r="F1078" s="148" t="s">
        <v>130</v>
      </c>
      <c r="G1078" s="148">
        <v>1</v>
      </c>
      <c r="H1078" s="61" t="s">
        <v>39</v>
      </c>
      <c r="I1078" s="61"/>
      <c r="J1078" s="168" t="s">
        <v>910</v>
      </c>
      <c r="K1078" s="61"/>
      <c r="L1078" s="159"/>
      <c r="M1078" s="169"/>
    </row>
    <row r="1079" spans="1:13" x14ac:dyDescent="0.55000000000000004">
      <c r="A1079" s="102" t="s">
        <v>908</v>
      </c>
      <c r="B1079" s="61" t="s">
        <v>886</v>
      </c>
      <c r="C1079" s="61" t="s">
        <v>887</v>
      </c>
      <c r="D1079" s="61" t="s">
        <v>3288</v>
      </c>
      <c r="E1079" s="119">
        <v>0.36</v>
      </c>
      <c r="F1079" s="148" t="s">
        <v>135</v>
      </c>
      <c r="G1079" s="148">
        <v>1</v>
      </c>
      <c r="H1079" s="61" t="s">
        <v>39</v>
      </c>
      <c r="I1079" s="61"/>
      <c r="J1079" s="168" t="s">
        <v>910</v>
      </c>
      <c r="K1079" s="61"/>
      <c r="L1079" s="159"/>
      <c r="M1079" s="169"/>
    </row>
    <row r="1080" spans="1:13" x14ac:dyDescent="0.55000000000000004">
      <c r="A1080" s="102" t="s">
        <v>908</v>
      </c>
      <c r="B1080" s="61" t="s">
        <v>888</v>
      </c>
      <c r="C1080" s="61" t="s">
        <v>125</v>
      </c>
      <c r="D1080" s="61" t="s">
        <v>3288</v>
      </c>
      <c r="E1080" s="119">
        <v>0.04</v>
      </c>
      <c r="F1080" s="148" t="s">
        <v>135</v>
      </c>
      <c r="G1080" s="148">
        <v>1</v>
      </c>
      <c r="H1080" s="61" t="s">
        <v>39</v>
      </c>
      <c r="I1080" s="61"/>
      <c r="J1080" s="168" t="s">
        <v>910</v>
      </c>
      <c r="K1080" s="61"/>
      <c r="L1080" s="159"/>
      <c r="M1080" s="169"/>
    </row>
    <row r="1081" spans="1:13" x14ac:dyDescent="0.55000000000000004">
      <c r="A1081" s="102" t="s">
        <v>908</v>
      </c>
      <c r="B1081" s="61" t="s">
        <v>889</v>
      </c>
      <c r="C1081" s="61" t="s">
        <v>125</v>
      </c>
      <c r="D1081" s="61" t="s">
        <v>3288</v>
      </c>
      <c r="E1081" s="119">
        <v>0.57999999999999996</v>
      </c>
      <c r="F1081" s="148" t="s">
        <v>135</v>
      </c>
      <c r="G1081" s="148">
        <v>1</v>
      </c>
      <c r="H1081" s="61" t="s">
        <v>39</v>
      </c>
      <c r="I1081" s="61"/>
      <c r="J1081" s="168" t="s">
        <v>910</v>
      </c>
      <c r="K1081" s="61"/>
      <c r="L1081" s="159"/>
      <c r="M1081" s="169"/>
    </row>
    <row r="1082" spans="1:13" x14ac:dyDescent="0.55000000000000004">
      <c r="A1082" s="102" t="s">
        <v>908</v>
      </c>
      <c r="B1082" s="61" t="s">
        <v>890</v>
      </c>
      <c r="C1082" s="61" t="s">
        <v>125</v>
      </c>
      <c r="D1082" s="61" t="s">
        <v>3288</v>
      </c>
      <c r="E1082" s="119">
        <v>0.02</v>
      </c>
      <c r="F1082" s="148" t="s">
        <v>135</v>
      </c>
      <c r="G1082" s="148">
        <v>1</v>
      </c>
      <c r="H1082" s="61" t="s">
        <v>39</v>
      </c>
      <c r="I1082" s="61"/>
      <c r="J1082" s="168" t="s">
        <v>910</v>
      </c>
      <c r="K1082" s="61"/>
      <c r="L1082" s="159"/>
      <c r="M1082" s="169"/>
    </row>
    <row r="1083" spans="1:13" x14ac:dyDescent="0.55000000000000004">
      <c r="A1083" s="102" t="s">
        <v>908</v>
      </c>
      <c r="B1083" s="61" t="s">
        <v>160</v>
      </c>
      <c r="C1083" s="61" t="s">
        <v>497</v>
      </c>
      <c r="D1083" s="61" t="s">
        <v>3288</v>
      </c>
      <c r="E1083" s="119">
        <v>16.600000000000001</v>
      </c>
      <c r="F1083" s="148" t="s">
        <v>122</v>
      </c>
      <c r="G1083" s="148">
        <v>1</v>
      </c>
      <c r="H1083" s="61" t="s">
        <v>39</v>
      </c>
      <c r="I1083" s="61"/>
      <c r="J1083" s="168" t="s">
        <v>910</v>
      </c>
      <c r="K1083" s="61"/>
      <c r="L1083" s="159"/>
      <c r="M1083" s="169"/>
    </row>
    <row r="1084" spans="1:13" x14ac:dyDescent="0.55000000000000004">
      <c r="A1084" s="102" t="s">
        <v>908</v>
      </c>
      <c r="B1084" s="61" t="s">
        <v>891</v>
      </c>
      <c r="C1084" s="122" t="s">
        <v>124</v>
      </c>
      <c r="D1084" s="61" t="s">
        <v>3288</v>
      </c>
      <c r="E1084" s="119">
        <v>1.4</v>
      </c>
      <c r="F1084" s="148" t="s">
        <v>892</v>
      </c>
      <c r="G1084" s="148">
        <v>1</v>
      </c>
      <c r="H1084" s="61" t="s">
        <v>39</v>
      </c>
      <c r="I1084" s="61"/>
      <c r="J1084" s="168" t="s">
        <v>910</v>
      </c>
      <c r="K1084" s="61"/>
      <c r="L1084" s="164"/>
      <c r="M1084" s="169"/>
    </row>
    <row r="1085" spans="1:13" x14ac:dyDescent="0.55000000000000004">
      <c r="A1085" s="102" t="s">
        <v>906</v>
      </c>
      <c r="B1085" s="61" t="s">
        <v>907</v>
      </c>
      <c r="C1085" s="61" t="s">
        <v>121</v>
      </c>
      <c r="D1085" s="61" t="s">
        <v>3288</v>
      </c>
      <c r="E1085" s="119">
        <v>1</v>
      </c>
      <c r="F1085" s="148" t="s">
        <v>135</v>
      </c>
      <c r="G1085" s="148">
        <v>1</v>
      </c>
      <c r="H1085" s="61" t="s">
        <v>39</v>
      </c>
      <c r="I1085" s="61"/>
      <c r="J1085" s="168" t="s">
        <v>879</v>
      </c>
      <c r="K1085" s="61"/>
      <c r="L1085" s="159"/>
      <c r="M1085" s="169"/>
    </row>
    <row r="1086" spans="1:13" x14ac:dyDescent="0.55000000000000004">
      <c r="A1086" s="102" t="s">
        <v>906</v>
      </c>
      <c r="B1086" s="61" t="s">
        <v>880</v>
      </c>
      <c r="C1086" s="61" t="s">
        <v>127</v>
      </c>
      <c r="D1086" s="61" t="s">
        <v>3289</v>
      </c>
      <c r="E1086" s="119">
        <v>8.1</v>
      </c>
      <c r="F1086" s="148" t="s">
        <v>133</v>
      </c>
      <c r="G1086" s="148">
        <v>1</v>
      </c>
      <c r="H1086" s="61" t="s">
        <v>39</v>
      </c>
      <c r="I1086" s="61"/>
      <c r="J1086" s="168" t="s">
        <v>879</v>
      </c>
      <c r="K1086" s="61"/>
      <c r="L1086" s="159"/>
      <c r="M1086" s="169"/>
    </row>
    <row r="1087" spans="1:13" x14ac:dyDescent="0.55000000000000004">
      <c r="A1087" s="102" t="s">
        <v>906</v>
      </c>
      <c r="B1087" s="61" t="s">
        <v>881</v>
      </c>
      <c r="C1087" s="61" t="s">
        <v>127</v>
      </c>
      <c r="D1087" s="61" t="s">
        <v>3289</v>
      </c>
      <c r="E1087" s="119">
        <v>0</v>
      </c>
      <c r="F1087" s="148" t="s">
        <v>133</v>
      </c>
      <c r="G1087" s="148">
        <v>1</v>
      </c>
      <c r="H1087" s="61" t="s">
        <v>39</v>
      </c>
      <c r="I1087" s="61"/>
      <c r="J1087" s="168" t="s">
        <v>879</v>
      </c>
      <c r="K1087" s="61"/>
      <c r="L1087" s="159"/>
      <c r="M1087" s="169"/>
    </row>
    <row r="1088" spans="1:13" x14ac:dyDescent="0.55000000000000004">
      <c r="A1088" s="102" t="s">
        <v>906</v>
      </c>
      <c r="B1088" s="61" t="s">
        <v>882</v>
      </c>
      <c r="C1088" s="61" t="s">
        <v>127</v>
      </c>
      <c r="D1088" s="61" t="s">
        <v>3289</v>
      </c>
      <c r="E1088" s="119">
        <v>0.47</v>
      </c>
      <c r="F1088" s="148" t="s">
        <v>133</v>
      </c>
      <c r="G1088" s="148">
        <v>1</v>
      </c>
      <c r="H1088" s="61" t="s">
        <v>39</v>
      </c>
      <c r="I1088" s="61"/>
      <c r="J1088" s="168" t="s">
        <v>879</v>
      </c>
      <c r="K1088" s="61"/>
      <c r="L1088" s="159"/>
      <c r="M1088" s="169"/>
    </row>
    <row r="1089" spans="1:13" x14ac:dyDescent="0.55000000000000004">
      <c r="A1089" s="102" t="s">
        <v>906</v>
      </c>
      <c r="B1089" s="61" t="s">
        <v>883</v>
      </c>
      <c r="C1089" s="61" t="s">
        <v>127</v>
      </c>
      <c r="D1089" s="61" t="s">
        <v>3289</v>
      </c>
      <c r="E1089" s="119">
        <v>0.25</v>
      </c>
      <c r="F1089" s="148" t="s">
        <v>133</v>
      </c>
      <c r="G1089" s="148">
        <v>1</v>
      </c>
      <c r="H1089" s="61" t="s">
        <v>39</v>
      </c>
      <c r="I1089" s="61"/>
      <c r="J1089" s="168" t="s">
        <v>879</v>
      </c>
      <c r="K1089" s="61"/>
      <c r="L1089" s="159"/>
      <c r="M1089" s="169"/>
    </row>
    <row r="1090" spans="1:13" x14ac:dyDescent="0.55000000000000004">
      <c r="A1090" s="102" t="s">
        <v>906</v>
      </c>
      <c r="B1090" s="61" t="s">
        <v>884</v>
      </c>
      <c r="C1090" s="61" t="s">
        <v>127</v>
      </c>
      <c r="D1090" s="61" t="s">
        <v>2994</v>
      </c>
      <c r="E1090" s="119">
        <v>2.69</v>
      </c>
      <c r="F1090" s="148" t="s">
        <v>130</v>
      </c>
      <c r="G1090" s="148">
        <v>1</v>
      </c>
      <c r="H1090" s="61" t="s">
        <v>39</v>
      </c>
      <c r="I1090" s="61"/>
      <c r="J1090" s="168" t="s">
        <v>879</v>
      </c>
      <c r="K1090" s="61"/>
      <c r="L1090" s="159"/>
      <c r="M1090" s="169"/>
    </row>
    <row r="1091" spans="1:13" x14ac:dyDescent="0.55000000000000004">
      <c r="A1091" s="102" t="s">
        <v>906</v>
      </c>
      <c r="B1091" s="61" t="s">
        <v>885</v>
      </c>
      <c r="C1091" s="61" t="s">
        <v>127</v>
      </c>
      <c r="D1091" s="61" t="s">
        <v>2994</v>
      </c>
      <c r="E1091" s="119">
        <v>10.78</v>
      </c>
      <c r="F1091" s="148" t="s">
        <v>130</v>
      </c>
      <c r="G1091" s="148">
        <v>1</v>
      </c>
      <c r="H1091" s="61" t="s">
        <v>39</v>
      </c>
      <c r="I1091" s="61"/>
      <c r="J1091" s="168" t="s">
        <v>879</v>
      </c>
      <c r="K1091" s="61"/>
      <c r="L1091" s="159"/>
      <c r="M1091" s="169"/>
    </row>
    <row r="1092" spans="1:13" x14ac:dyDescent="0.55000000000000004">
      <c r="A1092" s="102" t="s">
        <v>906</v>
      </c>
      <c r="B1092" s="61" t="s">
        <v>886</v>
      </c>
      <c r="C1092" s="61" t="s">
        <v>887</v>
      </c>
      <c r="D1092" s="61" t="s">
        <v>3288</v>
      </c>
      <c r="E1092" s="119">
        <v>0</v>
      </c>
      <c r="F1092" s="148" t="s">
        <v>135</v>
      </c>
      <c r="G1092" s="148">
        <v>1</v>
      </c>
      <c r="H1092" s="61" t="s">
        <v>39</v>
      </c>
      <c r="I1092" s="61"/>
      <c r="J1092" s="168" t="s">
        <v>879</v>
      </c>
      <c r="K1092" s="61"/>
      <c r="L1092" s="165"/>
      <c r="M1092" s="169"/>
    </row>
    <row r="1093" spans="1:13" x14ac:dyDescent="0.55000000000000004">
      <c r="A1093" s="102" t="s">
        <v>906</v>
      </c>
      <c r="B1093" s="61" t="s">
        <v>888</v>
      </c>
      <c r="C1093" s="61" t="s">
        <v>125</v>
      </c>
      <c r="D1093" s="61" t="s">
        <v>3288</v>
      </c>
      <c r="E1093" s="119">
        <v>0.06</v>
      </c>
      <c r="F1093" s="148" t="s">
        <v>135</v>
      </c>
      <c r="G1093" s="148">
        <v>1</v>
      </c>
      <c r="H1093" s="61" t="s">
        <v>39</v>
      </c>
      <c r="I1093" s="61"/>
      <c r="J1093" s="168" t="s">
        <v>879</v>
      </c>
      <c r="K1093" s="61"/>
      <c r="L1093" s="159"/>
      <c r="M1093" s="169"/>
    </row>
    <row r="1094" spans="1:13" x14ac:dyDescent="0.55000000000000004">
      <c r="A1094" s="102" t="s">
        <v>906</v>
      </c>
      <c r="B1094" s="61" t="s">
        <v>889</v>
      </c>
      <c r="C1094" s="61" t="s">
        <v>125</v>
      </c>
      <c r="D1094" s="61" t="s">
        <v>3288</v>
      </c>
      <c r="E1094" s="119">
        <v>0.89</v>
      </c>
      <c r="F1094" s="148" t="s">
        <v>135</v>
      </c>
      <c r="G1094" s="148">
        <v>1</v>
      </c>
      <c r="H1094" s="61" t="s">
        <v>39</v>
      </c>
      <c r="I1094" s="61"/>
      <c r="J1094" s="168" t="s">
        <v>879</v>
      </c>
      <c r="K1094" s="61"/>
      <c r="L1094" s="159"/>
      <c r="M1094" s="169"/>
    </row>
    <row r="1095" spans="1:13" x14ac:dyDescent="0.55000000000000004">
      <c r="A1095" s="102" t="s">
        <v>906</v>
      </c>
      <c r="B1095" s="61" t="s">
        <v>890</v>
      </c>
      <c r="C1095" s="61" t="s">
        <v>125</v>
      </c>
      <c r="D1095" s="61" t="s">
        <v>3288</v>
      </c>
      <c r="E1095" s="119">
        <v>0.05</v>
      </c>
      <c r="F1095" s="148" t="s">
        <v>135</v>
      </c>
      <c r="G1095" s="148">
        <v>1</v>
      </c>
      <c r="H1095" s="61" t="s">
        <v>39</v>
      </c>
      <c r="I1095" s="61"/>
      <c r="J1095" s="168" t="s">
        <v>879</v>
      </c>
      <c r="K1095" s="61"/>
      <c r="L1095" s="159"/>
      <c r="M1095" s="169"/>
    </row>
    <row r="1096" spans="1:13" x14ac:dyDescent="0.55000000000000004">
      <c r="A1096" s="102" t="s">
        <v>906</v>
      </c>
      <c r="B1096" s="61" t="s">
        <v>160</v>
      </c>
      <c r="C1096" s="61" t="s">
        <v>497</v>
      </c>
      <c r="D1096" s="61" t="s">
        <v>3288</v>
      </c>
      <c r="E1096" s="119">
        <v>15.8</v>
      </c>
      <c r="F1096" s="148" t="s">
        <v>122</v>
      </c>
      <c r="G1096" s="148">
        <v>1</v>
      </c>
      <c r="H1096" s="61" t="s">
        <v>39</v>
      </c>
      <c r="I1096" s="168"/>
      <c r="J1096" s="168" t="s">
        <v>879</v>
      </c>
      <c r="K1096" s="168"/>
      <c r="L1096" s="159"/>
      <c r="M1096" s="169"/>
    </row>
    <row r="1097" spans="1:13" x14ac:dyDescent="0.55000000000000004">
      <c r="A1097" s="102" t="s">
        <v>906</v>
      </c>
      <c r="B1097" s="61" t="s">
        <v>891</v>
      </c>
      <c r="C1097" s="61" t="s">
        <v>124</v>
      </c>
      <c r="D1097" s="61" t="s">
        <v>3288</v>
      </c>
      <c r="E1097" s="119">
        <v>1.23</v>
      </c>
      <c r="F1097" s="148" t="s">
        <v>892</v>
      </c>
      <c r="G1097" s="148">
        <v>1</v>
      </c>
      <c r="H1097" s="61" t="s">
        <v>39</v>
      </c>
      <c r="I1097" s="61"/>
      <c r="J1097" s="168" t="s">
        <v>879</v>
      </c>
      <c r="K1097" s="61"/>
      <c r="L1097" s="159"/>
      <c r="M1097" s="169"/>
    </row>
    <row r="1098" spans="1:13" x14ac:dyDescent="0.55000000000000004">
      <c r="A1098" s="103" t="s">
        <v>902</v>
      </c>
      <c r="B1098" s="61" t="s">
        <v>903</v>
      </c>
      <c r="C1098" s="61" t="s">
        <v>121</v>
      </c>
      <c r="D1098" s="61" t="s">
        <v>3288</v>
      </c>
      <c r="E1098" s="119">
        <v>1</v>
      </c>
      <c r="F1098" s="148" t="s">
        <v>135</v>
      </c>
      <c r="G1098" s="148">
        <v>1</v>
      </c>
      <c r="H1098" s="61" t="s">
        <v>39</v>
      </c>
      <c r="I1098" s="61"/>
      <c r="J1098" s="168" t="s">
        <v>904</v>
      </c>
      <c r="K1098" s="61"/>
      <c r="L1098" s="159"/>
      <c r="M1098" s="169"/>
    </row>
    <row r="1099" spans="1:13" x14ac:dyDescent="0.55000000000000004">
      <c r="A1099" s="103" t="s">
        <v>902</v>
      </c>
      <c r="B1099" s="61" t="s">
        <v>880</v>
      </c>
      <c r="C1099" s="61" t="s">
        <v>127</v>
      </c>
      <c r="D1099" s="61" t="s">
        <v>3289</v>
      </c>
      <c r="E1099" s="119">
        <v>0</v>
      </c>
      <c r="F1099" s="148" t="s">
        <v>133</v>
      </c>
      <c r="G1099" s="148">
        <v>1</v>
      </c>
      <c r="H1099" s="61" t="s">
        <v>39</v>
      </c>
      <c r="I1099" s="61"/>
      <c r="J1099" s="168" t="s">
        <v>904</v>
      </c>
      <c r="K1099" s="61"/>
      <c r="L1099" s="159"/>
      <c r="M1099" s="169"/>
    </row>
    <row r="1100" spans="1:13" x14ac:dyDescent="0.55000000000000004">
      <c r="A1100" s="103" t="s">
        <v>902</v>
      </c>
      <c r="B1100" s="61" t="s">
        <v>881</v>
      </c>
      <c r="C1100" s="61" t="s">
        <v>127</v>
      </c>
      <c r="D1100" s="61" t="s">
        <v>3289</v>
      </c>
      <c r="E1100" s="119">
        <v>0</v>
      </c>
      <c r="F1100" s="148" t="s">
        <v>133</v>
      </c>
      <c r="G1100" s="148">
        <v>1</v>
      </c>
      <c r="H1100" s="61" t="s">
        <v>39</v>
      </c>
      <c r="I1100" s="61"/>
      <c r="J1100" s="168" t="s">
        <v>904</v>
      </c>
      <c r="K1100" s="61"/>
      <c r="L1100" s="159"/>
      <c r="M1100" s="169"/>
    </row>
    <row r="1101" spans="1:13" x14ac:dyDescent="0.55000000000000004">
      <c r="A1101" s="103" t="s">
        <v>902</v>
      </c>
      <c r="B1101" s="61" t="s">
        <v>882</v>
      </c>
      <c r="C1101" s="61" t="s">
        <v>127</v>
      </c>
      <c r="D1101" s="61" t="s">
        <v>3289</v>
      </c>
      <c r="E1101" s="119">
        <v>0.47</v>
      </c>
      <c r="F1101" s="148" t="s">
        <v>133</v>
      </c>
      <c r="G1101" s="148">
        <v>1</v>
      </c>
      <c r="H1101" s="61" t="s">
        <v>39</v>
      </c>
      <c r="I1101" s="61"/>
      <c r="J1101" s="168" t="s">
        <v>904</v>
      </c>
      <c r="K1101" s="61"/>
      <c r="L1101" s="159"/>
      <c r="M1101" s="169"/>
    </row>
    <row r="1102" spans="1:13" x14ac:dyDescent="0.55000000000000004">
      <c r="A1102" s="103" t="s">
        <v>902</v>
      </c>
      <c r="B1102" s="61" t="s">
        <v>883</v>
      </c>
      <c r="C1102" s="61" t="s">
        <v>127</v>
      </c>
      <c r="D1102" s="61" t="s">
        <v>3289</v>
      </c>
      <c r="E1102" s="119">
        <v>0.25</v>
      </c>
      <c r="F1102" s="148" t="s">
        <v>133</v>
      </c>
      <c r="G1102" s="148">
        <v>1</v>
      </c>
      <c r="H1102" s="61" t="s">
        <v>39</v>
      </c>
      <c r="I1102" s="61"/>
      <c r="J1102" s="168" t="s">
        <v>904</v>
      </c>
      <c r="K1102" s="61"/>
      <c r="L1102" s="159"/>
      <c r="M1102" s="169"/>
    </row>
    <row r="1103" spans="1:13" x14ac:dyDescent="0.55000000000000004">
      <c r="A1103" s="103" t="s">
        <v>902</v>
      </c>
      <c r="B1103" s="61" t="s">
        <v>884</v>
      </c>
      <c r="C1103" s="61" t="s">
        <v>127</v>
      </c>
      <c r="D1103" s="61" t="s">
        <v>2994</v>
      </c>
      <c r="E1103" s="119">
        <v>2.69</v>
      </c>
      <c r="F1103" s="148" t="s">
        <v>130</v>
      </c>
      <c r="G1103" s="148">
        <v>1</v>
      </c>
      <c r="H1103" s="61" t="s">
        <v>39</v>
      </c>
      <c r="I1103" s="61"/>
      <c r="J1103" s="168" t="s">
        <v>904</v>
      </c>
      <c r="K1103" s="61"/>
      <c r="L1103" s="159"/>
      <c r="M1103" s="169"/>
    </row>
    <row r="1104" spans="1:13" x14ac:dyDescent="0.55000000000000004">
      <c r="A1104" s="103" t="s">
        <v>902</v>
      </c>
      <c r="B1104" s="61" t="s">
        <v>885</v>
      </c>
      <c r="C1104" s="61" t="s">
        <v>127</v>
      </c>
      <c r="D1104" s="61" t="s">
        <v>2994</v>
      </c>
      <c r="E1104" s="119">
        <v>10.78</v>
      </c>
      <c r="F1104" s="148" t="s">
        <v>130</v>
      </c>
      <c r="G1104" s="148">
        <v>1</v>
      </c>
      <c r="H1104" s="61" t="s">
        <v>39</v>
      </c>
      <c r="I1104" s="61"/>
      <c r="J1104" s="168" t="s">
        <v>904</v>
      </c>
      <c r="K1104" s="61"/>
      <c r="L1104" s="159"/>
      <c r="M1104" s="169"/>
    </row>
    <row r="1105" spans="1:13" x14ac:dyDescent="0.55000000000000004">
      <c r="A1105" s="103" t="s">
        <v>902</v>
      </c>
      <c r="B1105" s="61" t="s">
        <v>905</v>
      </c>
      <c r="C1105" s="61" t="s">
        <v>127</v>
      </c>
      <c r="D1105" s="61" t="s">
        <v>2994</v>
      </c>
      <c r="E1105" s="119">
        <v>327</v>
      </c>
      <c r="F1105" s="148" t="s">
        <v>167</v>
      </c>
      <c r="G1105" s="148">
        <v>1</v>
      </c>
      <c r="H1105" s="61" t="s">
        <v>39</v>
      </c>
      <c r="I1105" s="61"/>
      <c r="J1105" s="168" t="s">
        <v>904</v>
      </c>
      <c r="K1105" s="61"/>
      <c r="L1105" s="159"/>
      <c r="M1105" s="169"/>
    </row>
    <row r="1106" spans="1:13" x14ac:dyDescent="0.55000000000000004">
      <c r="A1106" s="103" t="s">
        <v>902</v>
      </c>
      <c r="B1106" s="61" t="s">
        <v>886</v>
      </c>
      <c r="C1106" s="61" t="s">
        <v>887</v>
      </c>
      <c r="D1106" s="61" t="s">
        <v>3288</v>
      </c>
      <c r="E1106" s="119">
        <v>0</v>
      </c>
      <c r="F1106" s="148" t="s">
        <v>135</v>
      </c>
      <c r="G1106" s="148">
        <v>1</v>
      </c>
      <c r="H1106" s="61" t="s">
        <v>39</v>
      </c>
      <c r="I1106" s="61"/>
      <c r="J1106" s="168" t="s">
        <v>904</v>
      </c>
      <c r="K1106" s="61"/>
      <c r="L1106" s="159"/>
      <c r="M1106" s="169"/>
    </row>
    <row r="1107" spans="1:13" x14ac:dyDescent="0.55000000000000004">
      <c r="A1107" s="103" t="s">
        <v>902</v>
      </c>
      <c r="B1107" s="61" t="s">
        <v>888</v>
      </c>
      <c r="C1107" s="61" t="s">
        <v>125</v>
      </c>
      <c r="D1107" s="61" t="s">
        <v>3288</v>
      </c>
      <c r="E1107" s="119">
        <v>0.06</v>
      </c>
      <c r="F1107" s="148" t="s">
        <v>135</v>
      </c>
      <c r="G1107" s="148">
        <v>1</v>
      </c>
      <c r="H1107" s="61" t="s">
        <v>39</v>
      </c>
      <c r="I1107" s="61"/>
      <c r="J1107" s="168" t="s">
        <v>904</v>
      </c>
      <c r="K1107" s="61"/>
      <c r="L1107" s="159"/>
      <c r="M1107" s="169"/>
    </row>
    <row r="1108" spans="1:13" x14ac:dyDescent="0.55000000000000004">
      <c r="A1108" s="103" t="s">
        <v>902</v>
      </c>
      <c r="B1108" s="61" t="s">
        <v>889</v>
      </c>
      <c r="C1108" s="61" t="s">
        <v>125</v>
      </c>
      <c r="D1108" s="61" t="s">
        <v>3288</v>
      </c>
      <c r="E1108" s="119">
        <v>0.89</v>
      </c>
      <c r="F1108" s="148" t="s">
        <v>135</v>
      </c>
      <c r="G1108" s="148">
        <v>1</v>
      </c>
      <c r="H1108" s="61" t="s">
        <v>39</v>
      </c>
      <c r="I1108" s="61"/>
      <c r="J1108" s="168" t="s">
        <v>904</v>
      </c>
      <c r="K1108" s="61"/>
      <c r="L1108" s="159"/>
      <c r="M1108" s="169"/>
    </row>
    <row r="1109" spans="1:13" x14ac:dyDescent="0.55000000000000004">
      <c r="A1109" s="103" t="s">
        <v>902</v>
      </c>
      <c r="B1109" s="61" t="s">
        <v>890</v>
      </c>
      <c r="C1109" s="61" t="s">
        <v>125</v>
      </c>
      <c r="D1109" s="61" t="s">
        <v>3288</v>
      </c>
      <c r="E1109" s="119">
        <v>0.05</v>
      </c>
      <c r="F1109" s="148" t="s">
        <v>135</v>
      </c>
      <c r="G1109" s="148">
        <v>1</v>
      </c>
      <c r="H1109" s="61" t="s">
        <v>39</v>
      </c>
      <c r="I1109" s="61"/>
      <c r="J1109" s="168" t="s">
        <v>904</v>
      </c>
      <c r="K1109" s="61"/>
      <c r="L1109" s="159"/>
      <c r="M1109" s="169"/>
    </row>
    <row r="1110" spans="1:13" x14ac:dyDescent="0.55000000000000004">
      <c r="A1110" s="103" t="s">
        <v>902</v>
      </c>
      <c r="B1110" s="61" t="s">
        <v>160</v>
      </c>
      <c r="C1110" s="61" t="s">
        <v>497</v>
      </c>
      <c r="D1110" s="61" t="s">
        <v>3288</v>
      </c>
      <c r="E1110" s="119">
        <v>0</v>
      </c>
      <c r="F1110" s="148" t="s">
        <v>122</v>
      </c>
      <c r="G1110" s="148">
        <v>1</v>
      </c>
      <c r="H1110" s="61" t="s">
        <v>39</v>
      </c>
      <c r="I1110" s="61"/>
      <c r="J1110" s="168" t="s">
        <v>904</v>
      </c>
      <c r="K1110" s="61"/>
      <c r="L1110" s="159"/>
      <c r="M1110" s="169"/>
    </row>
    <row r="1111" spans="1:13" x14ac:dyDescent="0.55000000000000004">
      <c r="A1111" s="103" t="s">
        <v>902</v>
      </c>
      <c r="B1111" s="61" t="s">
        <v>891</v>
      </c>
      <c r="C1111" s="61" t="s">
        <v>124</v>
      </c>
      <c r="D1111" s="61" t="s">
        <v>3288</v>
      </c>
      <c r="E1111" s="119">
        <v>1.23</v>
      </c>
      <c r="F1111" s="148" t="s">
        <v>122</v>
      </c>
      <c r="G1111" s="148">
        <v>1</v>
      </c>
      <c r="H1111" s="61" t="s">
        <v>39</v>
      </c>
      <c r="I1111" s="61"/>
      <c r="J1111" s="168" t="s">
        <v>904</v>
      </c>
      <c r="K1111" s="61"/>
      <c r="L1111" s="159"/>
      <c r="M1111" s="169"/>
    </row>
    <row r="1112" spans="1:13" x14ac:dyDescent="0.55000000000000004">
      <c r="A1112" s="103" t="s">
        <v>898</v>
      </c>
      <c r="B1112" s="61" t="s">
        <v>899</v>
      </c>
      <c r="C1112" s="61" t="s">
        <v>121</v>
      </c>
      <c r="D1112" s="61" t="s">
        <v>3288</v>
      </c>
      <c r="E1112" s="119">
        <v>1</v>
      </c>
      <c r="F1112" s="148" t="s">
        <v>135</v>
      </c>
      <c r="G1112" s="148">
        <v>1</v>
      </c>
      <c r="H1112" s="61" t="s">
        <v>39</v>
      </c>
      <c r="I1112" s="61"/>
      <c r="J1112" s="168" t="s">
        <v>900</v>
      </c>
      <c r="K1112" s="61"/>
      <c r="L1112" s="159"/>
      <c r="M1112" s="169"/>
    </row>
    <row r="1113" spans="1:13" x14ac:dyDescent="0.55000000000000004">
      <c r="A1113" s="103" t="s">
        <v>898</v>
      </c>
      <c r="B1113" s="61" t="s">
        <v>880</v>
      </c>
      <c r="C1113" s="61" t="s">
        <v>127</v>
      </c>
      <c r="D1113" s="61" t="s">
        <v>3289</v>
      </c>
      <c r="E1113" s="119">
        <v>0</v>
      </c>
      <c r="F1113" s="148" t="s">
        <v>133</v>
      </c>
      <c r="G1113" s="148">
        <v>1</v>
      </c>
      <c r="H1113" s="61" t="s">
        <v>39</v>
      </c>
      <c r="I1113" s="61"/>
      <c r="J1113" s="168" t="s">
        <v>900</v>
      </c>
      <c r="K1113" s="61"/>
      <c r="L1113" s="159"/>
      <c r="M1113" s="169"/>
    </row>
    <row r="1114" spans="1:13" x14ac:dyDescent="0.55000000000000004">
      <c r="A1114" s="103" t="s">
        <v>898</v>
      </c>
      <c r="B1114" s="61" t="s">
        <v>881</v>
      </c>
      <c r="C1114" s="61" t="s">
        <v>127</v>
      </c>
      <c r="D1114" s="61" t="s">
        <v>3289</v>
      </c>
      <c r="E1114" s="119">
        <v>0</v>
      </c>
      <c r="F1114" s="148" t="s">
        <v>133</v>
      </c>
      <c r="G1114" s="148">
        <v>1</v>
      </c>
      <c r="H1114" s="61" t="s">
        <v>39</v>
      </c>
      <c r="I1114" s="61"/>
      <c r="J1114" s="168" t="s">
        <v>900</v>
      </c>
      <c r="K1114" s="61"/>
      <c r="L1114" s="159"/>
      <c r="M1114" s="169"/>
    </row>
    <row r="1115" spans="1:13" x14ac:dyDescent="0.55000000000000004">
      <c r="A1115" s="103" t="s">
        <v>898</v>
      </c>
      <c r="B1115" s="61" t="s">
        <v>882</v>
      </c>
      <c r="C1115" s="61" t="s">
        <v>127</v>
      </c>
      <c r="D1115" s="61" t="s">
        <v>3289</v>
      </c>
      <c r="E1115" s="119">
        <v>0.47</v>
      </c>
      <c r="F1115" s="148" t="s">
        <v>133</v>
      </c>
      <c r="G1115" s="148">
        <v>1</v>
      </c>
      <c r="H1115" s="61" t="s">
        <v>39</v>
      </c>
      <c r="I1115" s="61"/>
      <c r="J1115" s="168" t="s">
        <v>900</v>
      </c>
      <c r="K1115" s="61"/>
      <c r="L1115" s="159"/>
      <c r="M1115" s="169"/>
    </row>
    <row r="1116" spans="1:13" x14ac:dyDescent="0.55000000000000004">
      <c r="A1116" s="103" t="s">
        <v>898</v>
      </c>
      <c r="B1116" s="61" t="s">
        <v>883</v>
      </c>
      <c r="C1116" s="61" t="s">
        <v>127</v>
      </c>
      <c r="D1116" s="61" t="s">
        <v>3289</v>
      </c>
      <c r="E1116" s="119">
        <v>0.25</v>
      </c>
      <c r="F1116" s="148" t="s">
        <v>133</v>
      </c>
      <c r="G1116" s="148">
        <v>1</v>
      </c>
      <c r="H1116" s="61" t="s">
        <v>39</v>
      </c>
      <c r="I1116" s="61"/>
      <c r="J1116" s="168" t="s">
        <v>900</v>
      </c>
      <c r="K1116" s="61"/>
      <c r="L1116" s="159"/>
      <c r="M1116" s="169"/>
    </row>
    <row r="1117" spans="1:13" x14ac:dyDescent="0.55000000000000004">
      <c r="A1117" s="103" t="s">
        <v>898</v>
      </c>
      <c r="B1117" s="61" t="s">
        <v>884</v>
      </c>
      <c r="C1117" s="61" t="s">
        <v>127</v>
      </c>
      <c r="D1117" s="61" t="s">
        <v>2994</v>
      </c>
      <c r="E1117" s="119">
        <v>2.69</v>
      </c>
      <c r="F1117" s="148" t="s">
        <v>130</v>
      </c>
      <c r="G1117" s="148">
        <v>1</v>
      </c>
      <c r="H1117" s="61" t="s">
        <v>39</v>
      </c>
      <c r="I1117" s="61"/>
      <c r="J1117" s="168" t="s">
        <v>900</v>
      </c>
      <c r="K1117" s="61"/>
      <c r="L1117" s="159"/>
      <c r="M1117" s="169"/>
    </row>
    <row r="1118" spans="1:13" x14ac:dyDescent="0.55000000000000004">
      <c r="A1118" s="103" t="s">
        <v>898</v>
      </c>
      <c r="B1118" s="61" t="s">
        <v>885</v>
      </c>
      <c r="C1118" s="61" t="s">
        <v>127</v>
      </c>
      <c r="D1118" s="61" t="s">
        <v>2994</v>
      </c>
      <c r="E1118" s="119">
        <v>10.78</v>
      </c>
      <c r="F1118" s="148" t="s">
        <v>130</v>
      </c>
      <c r="G1118" s="148">
        <v>1</v>
      </c>
      <c r="H1118" s="61" t="s">
        <v>39</v>
      </c>
      <c r="I1118" s="61"/>
      <c r="J1118" s="168" t="s">
        <v>900</v>
      </c>
      <c r="K1118" s="61"/>
      <c r="L1118" s="159"/>
      <c r="M1118" s="169"/>
    </row>
    <row r="1119" spans="1:13" x14ac:dyDescent="0.55000000000000004">
      <c r="A1119" s="103" t="s">
        <v>898</v>
      </c>
      <c r="B1119" s="61" t="s">
        <v>901</v>
      </c>
      <c r="C1119" s="61" t="s">
        <v>127</v>
      </c>
      <c r="D1119" s="61" t="s">
        <v>3289</v>
      </c>
      <c r="E1119" s="119">
        <v>23.8</v>
      </c>
      <c r="F1119" s="148" t="s">
        <v>133</v>
      </c>
      <c r="G1119" s="148">
        <v>1</v>
      </c>
      <c r="H1119" s="61" t="s">
        <v>39</v>
      </c>
      <c r="I1119" s="61"/>
      <c r="J1119" s="168" t="s">
        <v>900</v>
      </c>
      <c r="K1119" s="61"/>
      <c r="L1119" s="159"/>
      <c r="M1119" s="169"/>
    </row>
    <row r="1120" spans="1:13" x14ac:dyDescent="0.55000000000000004">
      <c r="A1120" s="103" t="s">
        <v>898</v>
      </c>
      <c r="B1120" s="61" t="s">
        <v>886</v>
      </c>
      <c r="C1120" s="61" t="s">
        <v>887</v>
      </c>
      <c r="D1120" s="61" t="s">
        <v>3288</v>
      </c>
      <c r="E1120" s="119">
        <v>0</v>
      </c>
      <c r="F1120" s="148" t="s">
        <v>135</v>
      </c>
      <c r="G1120" s="148">
        <v>1</v>
      </c>
      <c r="H1120" s="61" t="s">
        <v>39</v>
      </c>
      <c r="I1120" s="61"/>
      <c r="J1120" s="168" t="s">
        <v>900</v>
      </c>
      <c r="K1120" s="61"/>
      <c r="L1120" s="159"/>
      <c r="M1120" s="169"/>
    </row>
    <row r="1121" spans="1:13" x14ac:dyDescent="0.55000000000000004">
      <c r="A1121" s="103" t="s">
        <v>898</v>
      </c>
      <c r="B1121" s="61" t="s">
        <v>888</v>
      </c>
      <c r="C1121" s="61" t="s">
        <v>125</v>
      </c>
      <c r="D1121" s="61" t="s">
        <v>3288</v>
      </c>
      <c r="E1121" s="119">
        <v>0.06</v>
      </c>
      <c r="F1121" s="148" t="s">
        <v>135</v>
      </c>
      <c r="G1121" s="148">
        <v>1</v>
      </c>
      <c r="H1121" s="61" t="s">
        <v>39</v>
      </c>
      <c r="I1121" s="61"/>
      <c r="J1121" s="168" t="s">
        <v>900</v>
      </c>
      <c r="K1121" s="61"/>
      <c r="L1121" s="159"/>
      <c r="M1121" s="169"/>
    </row>
    <row r="1122" spans="1:13" x14ac:dyDescent="0.55000000000000004">
      <c r="A1122" s="103" t="s">
        <v>898</v>
      </c>
      <c r="B1122" s="61" t="s">
        <v>889</v>
      </c>
      <c r="C1122" s="61" t="s">
        <v>125</v>
      </c>
      <c r="D1122" s="61" t="s">
        <v>3288</v>
      </c>
      <c r="E1122" s="119">
        <v>0.89</v>
      </c>
      <c r="F1122" s="148" t="s">
        <v>135</v>
      </c>
      <c r="G1122" s="148">
        <v>1</v>
      </c>
      <c r="H1122" s="61" t="s">
        <v>39</v>
      </c>
      <c r="I1122" s="61"/>
      <c r="J1122" s="168" t="s">
        <v>900</v>
      </c>
      <c r="K1122" s="61"/>
      <c r="L1122" s="159"/>
      <c r="M1122" s="169"/>
    </row>
    <row r="1123" spans="1:13" x14ac:dyDescent="0.55000000000000004">
      <c r="A1123" s="103" t="s">
        <v>898</v>
      </c>
      <c r="B1123" s="61" t="s">
        <v>890</v>
      </c>
      <c r="C1123" s="61" t="s">
        <v>125</v>
      </c>
      <c r="D1123" s="61" t="s">
        <v>3288</v>
      </c>
      <c r="E1123" s="119">
        <v>0.05</v>
      </c>
      <c r="F1123" s="148" t="s">
        <v>135</v>
      </c>
      <c r="G1123" s="148">
        <v>1</v>
      </c>
      <c r="H1123" s="61" t="s">
        <v>39</v>
      </c>
      <c r="I1123" s="61"/>
      <c r="J1123" s="168" t="s">
        <v>900</v>
      </c>
      <c r="K1123" s="61"/>
      <c r="L1123" s="159"/>
      <c r="M1123" s="169"/>
    </row>
    <row r="1124" spans="1:13" x14ac:dyDescent="0.55000000000000004">
      <c r="A1124" s="103" t="s">
        <v>898</v>
      </c>
      <c r="B1124" s="61" t="s">
        <v>160</v>
      </c>
      <c r="C1124" s="61" t="s">
        <v>497</v>
      </c>
      <c r="D1124" s="61" t="s">
        <v>3288</v>
      </c>
      <c r="E1124" s="119">
        <v>0</v>
      </c>
      <c r="F1124" s="148" t="s">
        <v>122</v>
      </c>
      <c r="G1124" s="148">
        <v>1</v>
      </c>
      <c r="H1124" s="61" t="s">
        <v>39</v>
      </c>
      <c r="I1124" s="61"/>
      <c r="J1124" s="168" t="s">
        <v>900</v>
      </c>
      <c r="K1124" s="61"/>
      <c r="L1124" s="159"/>
      <c r="M1124" s="169"/>
    </row>
    <row r="1125" spans="1:13" x14ac:dyDescent="0.55000000000000004">
      <c r="A1125" s="103" t="s">
        <v>898</v>
      </c>
      <c r="B1125" s="61" t="s">
        <v>891</v>
      </c>
      <c r="C1125" s="61" t="s">
        <v>124</v>
      </c>
      <c r="D1125" s="61" t="s">
        <v>3288</v>
      </c>
      <c r="E1125" s="119">
        <v>4.43</v>
      </c>
      <c r="F1125" s="148" t="s">
        <v>892</v>
      </c>
      <c r="G1125" s="148">
        <v>1</v>
      </c>
      <c r="H1125" s="61" t="s">
        <v>39</v>
      </c>
      <c r="I1125" s="61"/>
      <c r="J1125" s="168" t="s">
        <v>900</v>
      </c>
      <c r="K1125" s="61"/>
      <c r="L1125" s="159"/>
      <c r="M1125" s="169"/>
    </row>
    <row r="1126" spans="1:13" x14ac:dyDescent="0.55000000000000004">
      <c r="A1126" s="102" t="s">
        <v>894</v>
      </c>
      <c r="B1126" s="61" t="s">
        <v>895</v>
      </c>
      <c r="C1126" s="61" t="s">
        <v>121</v>
      </c>
      <c r="D1126" s="61" t="s">
        <v>3288</v>
      </c>
      <c r="E1126" s="119">
        <v>1</v>
      </c>
      <c r="F1126" s="148" t="s">
        <v>135</v>
      </c>
      <c r="G1126" s="148">
        <v>1</v>
      </c>
      <c r="H1126" s="61" t="s">
        <v>39</v>
      </c>
      <c r="I1126" s="61"/>
      <c r="J1126" s="168" t="s">
        <v>896</v>
      </c>
      <c r="K1126" s="61"/>
      <c r="L1126" s="159"/>
      <c r="M1126" s="169"/>
    </row>
    <row r="1127" spans="1:13" x14ac:dyDescent="0.55000000000000004">
      <c r="A1127" s="102" t="s">
        <v>894</v>
      </c>
      <c r="B1127" s="61" t="s">
        <v>880</v>
      </c>
      <c r="C1127" s="61" t="s">
        <v>127</v>
      </c>
      <c r="D1127" s="61" t="s">
        <v>3289</v>
      </c>
      <c r="E1127" s="119">
        <v>8.1</v>
      </c>
      <c r="F1127" s="148" t="s">
        <v>133</v>
      </c>
      <c r="G1127" s="148">
        <v>1</v>
      </c>
      <c r="H1127" s="61" t="s">
        <v>39</v>
      </c>
      <c r="I1127" s="61"/>
      <c r="J1127" s="168" t="s">
        <v>896</v>
      </c>
      <c r="K1127" s="61"/>
      <c r="L1127" s="159"/>
      <c r="M1127" s="169"/>
    </row>
    <row r="1128" spans="1:13" x14ac:dyDescent="0.55000000000000004">
      <c r="A1128" s="102" t="s">
        <v>894</v>
      </c>
      <c r="B1128" s="61" t="s">
        <v>881</v>
      </c>
      <c r="C1128" s="61" t="s">
        <v>127</v>
      </c>
      <c r="D1128" s="61" t="s">
        <v>3289</v>
      </c>
      <c r="E1128" s="119">
        <v>0</v>
      </c>
      <c r="F1128" s="148" t="s">
        <v>133</v>
      </c>
      <c r="G1128" s="148">
        <v>1</v>
      </c>
      <c r="H1128" s="61" t="s">
        <v>39</v>
      </c>
      <c r="I1128" s="61"/>
      <c r="J1128" s="168" t="s">
        <v>896</v>
      </c>
      <c r="K1128" s="61"/>
      <c r="L1128" s="159"/>
      <c r="M1128" s="169"/>
    </row>
    <row r="1129" spans="1:13" x14ac:dyDescent="0.55000000000000004">
      <c r="A1129" s="102" t="s">
        <v>894</v>
      </c>
      <c r="B1129" s="61" t="s">
        <v>882</v>
      </c>
      <c r="C1129" s="61" t="s">
        <v>127</v>
      </c>
      <c r="D1129" s="61" t="s">
        <v>3289</v>
      </c>
      <c r="E1129" s="119">
        <v>0.47</v>
      </c>
      <c r="F1129" s="148" t="s">
        <v>133</v>
      </c>
      <c r="G1129" s="148">
        <v>1</v>
      </c>
      <c r="H1129" s="61" t="s">
        <v>39</v>
      </c>
      <c r="I1129" s="61"/>
      <c r="J1129" s="168" t="s">
        <v>896</v>
      </c>
      <c r="K1129" s="61"/>
      <c r="L1129" s="159"/>
      <c r="M1129" s="169"/>
    </row>
    <row r="1130" spans="1:13" x14ac:dyDescent="0.55000000000000004">
      <c r="A1130" s="102" t="s">
        <v>894</v>
      </c>
      <c r="B1130" s="61" t="s">
        <v>883</v>
      </c>
      <c r="C1130" s="61" t="s">
        <v>127</v>
      </c>
      <c r="D1130" s="61" t="s">
        <v>3289</v>
      </c>
      <c r="E1130" s="119">
        <v>0.25</v>
      </c>
      <c r="F1130" s="148" t="s">
        <v>133</v>
      </c>
      <c r="G1130" s="148">
        <v>1</v>
      </c>
      <c r="H1130" s="61" t="s">
        <v>39</v>
      </c>
      <c r="I1130" s="61"/>
      <c r="J1130" s="168" t="s">
        <v>896</v>
      </c>
      <c r="K1130" s="61"/>
      <c r="L1130" s="159"/>
      <c r="M1130" s="169"/>
    </row>
    <row r="1131" spans="1:13" x14ac:dyDescent="0.55000000000000004">
      <c r="A1131" s="102" t="s">
        <v>894</v>
      </c>
      <c r="B1131" s="61" t="s">
        <v>884</v>
      </c>
      <c r="C1131" s="61" t="s">
        <v>127</v>
      </c>
      <c r="D1131" s="61" t="s">
        <v>2994</v>
      </c>
      <c r="E1131" s="119">
        <v>2.69</v>
      </c>
      <c r="F1131" s="148" t="s">
        <v>130</v>
      </c>
      <c r="G1131" s="148">
        <v>1</v>
      </c>
      <c r="H1131" s="61" t="s">
        <v>39</v>
      </c>
      <c r="I1131" s="61"/>
      <c r="J1131" s="168" t="s">
        <v>896</v>
      </c>
      <c r="K1131" s="61"/>
      <c r="L1131" s="159"/>
      <c r="M1131" s="169"/>
    </row>
    <row r="1132" spans="1:13" x14ac:dyDescent="0.55000000000000004">
      <c r="A1132" s="102" t="s">
        <v>894</v>
      </c>
      <c r="B1132" s="61" t="s">
        <v>885</v>
      </c>
      <c r="C1132" s="61" t="s">
        <v>127</v>
      </c>
      <c r="D1132" s="61" t="s">
        <v>2994</v>
      </c>
      <c r="E1132" s="119">
        <v>10.78</v>
      </c>
      <c r="F1132" s="148" t="s">
        <v>130</v>
      </c>
      <c r="G1132" s="148">
        <v>1</v>
      </c>
      <c r="H1132" s="61" t="s">
        <v>39</v>
      </c>
      <c r="I1132" s="61"/>
      <c r="J1132" s="168" t="s">
        <v>896</v>
      </c>
      <c r="K1132" s="61"/>
      <c r="L1132" s="159"/>
      <c r="M1132" s="169"/>
    </row>
    <row r="1133" spans="1:13" x14ac:dyDescent="0.55000000000000004">
      <c r="A1133" s="102" t="s">
        <v>894</v>
      </c>
      <c r="B1133" s="61" t="s">
        <v>886</v>
      </c>
      <c r="C1133" s="61" t="s">
        <v>887</v>
      </c>
      <c r="D1133" s="61" t="s">
        <v>3288</v>
      </c>
      <c r="E1133" s="119">
        <v>0</v>
      </c>
      <c r="F1133" s="148" t="s">
        <v>135</v>
      </c>
      <c r="G1133" s="148">
        <v>1</v>
      </c>
      <c r="H1133" s="61" t="s">
        <v>39</v>
      </c>
      <c r="I1133" s="61"/>
      <c r="J1133" s="168" t="s">
        <v>896</v>
      </c>
      <c r="K1133" s="61"/>
      <c r="L1133" s="159"/>
      <c r="M1133" s="169"/>
    </row>
    <row r="1134" spans="1:13" x14ac:dyDescent="0.55000000000000004">
      <c r="A1134" s="102" t="s">
        <v>894</v>
      </c>
      <c r="B1134" s="61" t="s">
        <v>888</v>
      </c>
      <c r="C1134" s="61" t="s">
        <v>125</v>
      </c>
      <c r="D1134" s="61" t="s">
        <v>3288</v>
      </c>
      <c r="E1134" s="119">
        <v>0.04</v>
      </c>
      <c r="F1134" s="148" t="s">
        <v>135</v>
      </c>
      <c r="G1134" s="148">
        <v>1</v>
      </c>
      <c r="H1134" s="61" t="s">
        <v>39</v>
      </c>
      <c r="I1134" s="61"/>
      <c r="J1134" s="168" t="s">
        <v>896</v>
      </c>
      <c r="K1134" s="61"/>
      <c r="L1134" s="159"/>
      <c r="M1134" s="169"/>
    </row>
    <row r="1135" spans="1:13" x14ac:dyDescent="0.55000000000000004">
      <c r="A1135" s="102" t="s">
        <v>894</v>
      </c>
      <c r="B1135" s="61" t="s">
        <v>897</v>
      </c>
      <c r="C1135" s="61" t="s">
        <v>125</v>
      </c>
      <c r="D1135" s="61" t="s">
        <v>3288</v>
      </c>
      <c r="E1135" s="119">
        <v>0.02</v>
      </c>
      <c r="F1135" s="148" t="s">
        <v>135</v>
      </c>
      <c r="G1135" s="148">
        <v>1</v>
      </c>
      <c r="H1135" s="61" t="s">
        <v>39</v>
      </c>
      <c r="I1135" s="61"/>
      <c r="J1135" s="168" t="s">
        <v>896</v>
      </c>
      <c r="K1135" s="61"/>
      <c r="L1135" s="159"/>
      <c r="M1135" s="169"/>
    </row>
    <row r="1136" spans="1:13" x14ac:dyDescent="0.55000000000000004">
      <c r="A1136" s="102" t="s">
        <v>894</v>
      </c>
      <c r="B1136" s="61" t="s">
        <v>889</v>
      </c>
      <c r="C1136" s="61" t="s">
        <v>125</v>
      </c>
      <c r="D1136" s="61" t="s">
        <v>3288</v>
      </c>
      <c r="E1136" s="119">
        <v>0.89</v>
      </c>
      <c r="F1136" s="148" t="s">
        <v>135</v>
      </c>
      <c r="G1136" s="148">
        <v>1</v>
      </c>
      <c r="H1136" s="61" t="s">
        <v>39</v>
      </c>
      <c r="I1136" s="61"/>
      <c r="J1136" s="168" t="s">
        <v>896</v>
      </c>
      <c r="K1136" s="61"/>
      <c r="L1136" s="159"/>
      <c r="M1136" s="169"/>
    </row>
    <row r="1137" spans="1:13" x14ac:dyDescent="0.55000000000000004">
      <c r="A1137" s="102" t="s">
        <v>894</v>
      </c>
      <c r="B1137" s="61" t="s">
        <v>890</v>
      </c>
      <c r="C1137" s="61" t="s">
        <v>125</v>
      </c>
      <c r="D1137" s="61" t="s">
        <v>3288</v>
      </c>
      <c r="E1137" s="119">
        <v>0.05</v>
      </c>
      <c r="F1137" s="148" t="s">
        <v>135</v>
      </c>
      <c r="G1137" s="148">
        <v>1</v>
      </c>
      <c r="H1137" s="61" t="s">
        <v>39</v>
      </c>
      <c r="I1137" s="61"/>
      <c r="J1137" s="168" t="s">
        <v>896</v>
      </c>
      <c r="K1137" s="61"/>
      <c r="L1137" s="159"/>
      <c r="M1137" s="169"/>
    </row>
    <row r="1138" spans="1:13" x14ac:dyDescent="0.55000000000000004">
      <c r="A1138" s="102" t="s">
        <v>894</v>
      </c>
      <c r="B1138" s="61" t="s">
        <v>160</v>
      </c>
      <c r="C1138" s="61" t="s">
        <v>497</v>
      </c>
      <c r="D1138" s="61" t="s">
        <v>3288</v>
      </c>
      <c r="E1138" s="119">
        <v>15.8</v>
      </c>
      <c r="F1138" s="148" t="s">
        <v>122</v>
      </c>
      <c r="G1138" s="148">
        <v>1</v>
      </c>
      <c r="H1138" s="61" t="s">
        <v>39</v>
      </c>
      <c r="I1138" s="61"/>
      <c r="J1138" s="168" t="s">
        <v>896</v>
      </c>
      <c r="K1138" s="61"/>
      <c r="L1138" s="159"/>
      <c r="M1138" s="169"/>
    </row>
    <row r="1139" spans="1:13" x14ac:dyDescent="0.55000000000000004">
      <c r="A1139" s="102" t="s">
        <v>894</v>
      </c>
      <c r="B1139" s="61" t="s">
        <v>891</v>
      </c>
      <c r="C1139" s="61" t="s">
        <v>124</v>
      </c>
      <c r="D1139" s="61" t="s">
        <v>3288</v>
      </c>
      <c r="E1139" s="119">
        <v>1.23</v>
      </c>
      <c r="F1139" s="148" t="s">
        <v>892</v>
      </c>
      <c r="G1139" s="148">
        <v>1</v>
      </c>
      <c r="H1139" s="61" t="s">
        <v>39</v>
      </c>
      <c r="I1139" s="61"/>
      <c r="J1139" s="168" t="s">
        <v>896</v>
      </c>
      <c r="K1139" s="61"/>
      <c r="L1139" s="159"/>
      <c r="M1139" s="169"/>
    </row>
    <row r="1140" spans="1:13" x14ac:dyDescent="0.55000000000000004">
      <c r="A1140" s="102" t="s">
        <v>877</v>
      </c>
      <c r="B1140" s="61" t="s">
        <v>878</v>
      </c>
      <c r="C1140" s="168" t="s">
        <v>121</v>
      </c>
      <c r="D1140" s="61" t="s">
        <v>3288</v>
      </c>
      <c r="E1140" s="119">
        <v>1</v>
      </c>
      <c r="F1140" s="148" t="s">
        <v>135</v>
      </c>
      <c r="G1140" s="148">
        <v>1</v>
      </c>
      <c r="H1140" s="61" t="s">
        <v>39</v>
      </c>
      <c r="I1140" s="61"/>
      <c r="J1140" s="168" t="s">
        <v>879</v>
      </c>
      <c r="K1140" s="61"/>
      <c r="L1140" s="159"/>
      <c r="M1140" s="169"/>
    </row>
    <row r="1141" spans="1:13" x14ac:dyDescent="0.55000000000000004">
      <c r="A1141" s="102" t="s">
        <v>877</v>
      </c>
      <c r="B1141" s="61" t="s">
        <v>880</v>
      </c>
      <c r="C1141" s="61" t="s">
        <v>127</v>
      </c>
      <c r="D1141" s="61" t="s">
        <v>3289</v>
      </c>
      <c r="E1141" s="119">
        <v>6.69</v>
      </c>
      <c r="F1141" s="148" t="s">
        <v>133</v>
      </c>
      <c r="G1141" s="148">
        <v>1</v>
      </c>
      <c r="H1141" s="61" t="s">
        <v>39</v>
      </c>
      <c r="I1141" s="61"/>
      <c r="J1141" s="168" t="s">
        <v>879</v>
      </c>
      <c r="K1141" s="61"/>
      <c r="L1141" s="159"/>
      <c r="M1141" s="169"/>
    </row>
    <row r="1142" spans="1:13" x14ac:dyDescent="0.55000000000000004">
      <c r="A1142" s="102" t="s">
        <v>877</v>
      </c>
      <c r="B1142" s="61" t="s">
        <v>881</v>
      </c>
      <c r="C1142" s="61" t="s">
        <v>127</v>
      </c>
      <c r="D1142" s="61" t="s">
        <v>3289</v>
      </c>
      <c r="E1142" s="119">
        <v>0</v>
      </c>
      <c r="F1142" s="148" t="s">
        <v>133</v>
      </c>
      <c r="G1142" s="148">
        <v>1</v>
      </c>
      <c r="H1142" s="61" t="s">
        <v>39</v>
      </c>
      <c r="I1142" s="61"/>
      <c r="J1142" s="168" t="s">
        <v>879</v>
      </c>
      <c r="K1142" s="61"/>
      <c r="L1142" s="159"/>
      <c r="M1142" s="169"/>
    </row>
    <row r="1143" spans="1:13" x14ac:dyDescent="0.55000000000000004">
      <c r="A1143" s="102" t="s">
        <v>877</v>
      </c>
      <c r="B1143" s="61" t="s">
        <v>882</v>
      </c>
      <c r="C1143" s="61" t="s">
        <v>127</v>
      </c>
      <c r="D1143" s="61" t="s">
        <v>3289</v>
      </c>
      <c r="E1143" s="119">
        <v>0.47</v>
      </c>
      <c r="F1143" s="148" t="s">
        <v>133</v>
      </c>
      <c r="G1143" s="148">
        <v>1</v>
      </c>
      <c r="H1143" s="61" t="s">
        <v>39</v>
      </c>
      <c r="I1143" s="61"/>
      <c r="J1143" s="168" t="s">
        <v>879</v>
      </c>
      <c r="K1143" s="61"/>
      <c r="L1143" s="159"/>
      <c r="M1143" s="169"/>
    </row>
    <row r="1144" spans="1:13" x14ac:dyDescent="0.55000000000000004">
      <c r="A1144" s="102" t="s">
        <v>877</v>
      </c>
      <c r="B1144" s="61" t="s">
        <v>883</v>
      </c>
      <c r="C1144" s="61" t="s">
        <v>127</v>
      </c>
      <c r="D1144" s="61" t="s">
        <v>3289</v>
      </c>
      <c r="E1144" s="119">
        <v>0.25</v>
      </c>
      <c r="F1144" s="148" t="s">
        <v>133</v>
      </c>
      <c r="G1144" s="148">
        <v>1</v>
      </c>
      <c r="H1144" s="61" t="s">
        <v>39</v>
      </c>
      <c r="I1144" s="61"/>
      <c r="J1144" s="168" t="s">
        <v>879</v>
      </c>
      <c r="K1144" s="61"/>
      <c r="L1144" s="159"/>
      <c r="M1144" s="169"/>
    </row>
    <row r="1145" spans="1:13" x14ac:dyDescent="0.55000000000000004">
      <c r="A1145" s="102" t="s">
        <v>877</v>
      </c>
      <c r="B1145" s="61" t="s">
        <v>884</v>
      </c>
      <c r="C1145" s="61" t="s">
        <v>127</v>
      </c>
      <c r="D1145" s="61" t="s">
        <v>2994</v>
      </c>
      <c r="E1145" s="119">
        <v>2.2599999999999998</v>
      </c>
      <c r="F1145" s="148" t="s">
        <v>130</v>
      </c>
      <c r="G1145" s="148">
        <v>1</v>
      </c>
      <c r="H1145" s="61" t="s">
        <v>39</v>
      </c>
      <c r="I1145" s="61"/>
      <c r="J1145" s="168" t="s">
        <v>879</v>
      </c>
      <c r="K1145" s="61"/>
      <c r="L1145" s="159"/>
      <c r="M1145" s="169"/>
    </row>
    <row r="1146" spans="1:13" x14ac:dyDescent="0.55000000000000004">
      <c r="A1146" s="102" t="s">
        <v>877</v>
      </c>
      <c r="B1146" s="61" t="s">
        <v>885</v>
      </c>
      <c r="C1146" s="61" t="s">
        <v>127</v>
      </c>
      <c r="D1146" s="61" t="s">
        <v>2994</v>
      </c>
      <c r="E1146" s="119">
        <v>10.69</v>
      </c>
      <c r="F1146" s="148" t="s">
        <v>130</v>
      </c>
      <c r="G1146" s="148">
        <v>1</v>
      </c>
      <c r="H1146" s="61" t="s">
        <v>39</v>
      </c>
      <c r="I1146" s="61"/>
      <c r="J1146" s="168" t="s">
        <v>879</v>
      </c>
      <c r="K1146" s="61"/>
      <c r="L1146" s="159"/>
      <c r="M1146" s="169"/>
    </row>
    <row r="1147" spans="1:13" x14ac:dyDescent="0.55000000000000004">
      <c r="A1147" s="102" t="s">
        <v>877</v>
      </c>
      <c r="B1147" s="61" t="s">
        <v>886</v>
      </c>
      <c r="C1147" s="61" t="s">
        <v>887</v>
      </c>
      <c r="D1147" s="61" t="s">
        <v>3288</v>
      </c>
      <c r="E1147" s="119">
        <v>0</v>
      </c>
      <c r="F1147" s="148" t="s">
        <v>135</v>
      </c>
      <c r="G1147" s="148">
        <v>1</v>
      </c>
      <c r="H1147" s="61" t="s">
        <v>39</v>
      </c>
      <c r="I1147" s="61"/>
      <c r="J1147" s="168" t="s">
        <v>879</v>
      </c>
      <c r="K1147" s="61"/>
      <c r="L1147" s="159"/>
      <c r="M1147" s="169"/>
    </row>
    <row r="1148" spans="1:13" x14ac:dyDescent="0.55000000000000004">
      <c r="A1148" s="102" t="s">
        <v>877</v>
      </c>
      <c r="B1148" s="61" t="s">
        <v>888</v>
      </c>
      <c r="C1148" s="61" t="s">
        <v>125</v>
      </c>
      <c r="D1148" s="61" t="s">
        <v>3288</v>
      </c>
      <c r="E1148" s="119">
        <v>0.05</v>
      </c>
      <c r="F1148" s="148" t="s">
        <v>135</v>
      </c>
      <c r="G1148" s="148">
        <v>1</v>
      </c>
      <c r="H1148" s="61" t="s">
        <v>39</v>
      </c>
      <c r="I1148" s="61"/>
      <c r="J1148" s="168" t="s">
        <v>879</v>
      </c>
      <c r="K1148" s="61"/>
      <c r="L1148" s="159"/>
      <c r="M1148" s="169"/>
    </row>
    <row r="1149" spans="1:13" x14ac:dyDescent="0.55000000000000004">
      <c r="A1149" s="102" t="s">
        <v>877</v>
      </c>
      <c r="B1149" s="61" t="s">
        <v>889</v>
      </c>
      <c r="C1149" s="61" t="s">
        <v>125</v>
      </c>
      <c r="D1149" s="61" t="s">
        <v>3288</v>
      </c>
      <c r="E1149" s="119">
        <v>0.9</v>
      </c>
      <c r="F1149" s="148" t="s">
        <v>135</v>
      </c>
      <c r="G1149" s="148">
        <v>1</v>
      </c>
      <c r="H1149" s="61" t="s">
        <v>39</v>
      </c>
      <c r="I1149" s="61"/>
      <c r="J1149" s="168" t="s">
        <v>879</v>
      </c>
      <c r="K1149" s="61"/>
      <c r="L1149" s="159"/>
      <c r="M1149" s="169"/>
    </row>
    <row r="1150" spans="1:13" x14ac:dyDescent="0.55000000000000004">
      <c r="A1150" s="102" t="s">
        <v>877</v>
      </c>
      <c r="B1150" s="61" t="s">
        <v>890</v>
      </c>
      <c r="C1150" s="61" t="s">
        <v>125</v>
      </c>
      <c r="D1150" s="61" t="s">
        <v>3288</v>
      </c>
      <c r="E1150" s="119">
        <v>0.05</v>
      </c>
      <c r="F1150" s="148" t="s">
        <v>135</v>
      </c>
      <c r="G1150" s="148">
        <v>1</v>
      </c>
      <c r="H1150" s="61" t="s">
        <v>39</v>
      </c>
      <c r="I1150" s="61"/>
      <c r="J1150" s="168" t="s">
        <v>879</v>
      </c>
      <c r="K1150" s="61"/>
      <c r="L1150" s="159"/>
      <c r="M1150" s="169"/>
    </row>
    <row r="1151" spans="1:13" x14ac:dyDescent="0.55000000000000004">
      <c r="A1151" s="102" t="s">
        <v>877</v>
      </c>
      <c r="B1151" s="61" t="s">
        <v>160</v>
      </c>
      <c r="C1151" s="61" t="s">
        <v>497</v>
      </c>
      <c r="D1151" s="61" t="s">
        <v>3288</v>
      </c>
      <c r="E1151" s="119">
        <v>13.2</v>
      </c>
      <c r="F1151" s="148" t="s">
        <v>122</v>
      </c>
      <c r="G1151" s="148">
        <v>1</v>
      </c>
      <c r="H1151" s="61" t="s">
        <v>39</v>
      </c>
      <c r="I1151" s="61"/>
      <c r="J1151" s="168" t="s">
        <v>879</v>
      </c>
      <c r="K1151" s="61"/>
      <c r="L1151" s="159"/>
      <c r="M1151" s="169"/>
    </row>
    <row r="1152" spans="1:13" x14ac:dyDescent="0.55000000000000004">
      <c r="A1152" s="102" t="s">
        <v>877</v>
      </c>
      <c r="B1152" s="61" t="s">
        <v>891</v>
      </c>
      <c r="C1152" s="61" t="s">
        <v>124</v>
      </c>
      <c r="D1152" s="61" t="s">
        <v>3288</v>
      </c>
      <c r="E1152" s="119">
        <v>1.0900000000000001</v>
      </c>
      <c r="F1152" s="148" t="s">
        <v>892</v>
      </c>
      <c r="G1152" s="148">
        <v>1</v>
      </c>
      <c r="H1152" s="61" t="s">
        <v>893</v>
      </c>
      <c r="I1152" s="61"/>
      <c r="J1152" s="168" t="s">
        <v>879</v>
      </c>
      <c r="K1152" s="61"/>
      <c r="L1152" s="159"/>
      <c r="M1152" s="169"/>
    </row>
    <row r="1153" spans="1:13" x14ac:dyDescent="0.55000000000000004">
      <c r="A1153" s="65" t="s">
        <v>874</v>
      </c>
      <c r="B1153" s="168" t="s">
        <v>339</v>
      </c>
      <c r="C1153" s="168" t="s">
        <v>121</v>
      </c>
      <c r="D1153" s="168" t="s">
        <v>3288</v>
      </c>
      <c r="E1153" s="116">
        <v>1</v>
      </c>
      <c r="F1153" s="149" t="s">
        <v>768</v>
      </c>
      <c r="G1153" s="149">
        <v>1</v>
      </c>
      <c r="H1153" s="168" t="s">
        <v>39</v>
      </c>
      <c r="I1153" s="168" t="s">
        <v>535</v>
      </c>
      <c r="J1153" s="168" t="s">
        <v>875</v>
      </c>
      <c r="K1153" s="168">
        <v>67</v>
      </c>
      <c r="L1153" s="160">
        <v>7206</v>
      </c>
      <c r="M1153" s="169"/>
    </row>
    <row r="1154" spans="1:13" x14ac:dyDescent="0.55000000000000004">
      <c r="A1154" s="65" t="s">
        <v>874</v>
      </c>
      <c r="B1154" s="168" t="s">
        <v>735</v>
      </c>
      <c r="C1154" s="168" t="s">
        <v>163</v>
      </c>
      <c r="D1154" s="168" t="s">
        <v>3288</v>
      </c>
      <c r="E1154" s="116">
        <v>7.9399999999999998E-2</v>
      </c>
      <c r="F1154" s="149" t="s">
        <v>768</v>
      </c>
      <c r="G1154" s="149" t="s">
        <v>768</v>
      </c>
      <c r="H1154" s="168" t="s">
        <v>39</v>
      </c>
      <c r="I1154" s="168" t="s">
        <v>703</v>
      </c>
      <c r="J1154" s="168" t="s">
        <v>875</v>
      </c>
      <c r="K1154" s="168" t="s">
        <v>535</v>
      </c>
      <c r="L1154" s="160"/>
      <c r="M1154" s="169"/>
    </row>
    <row r="1155" spans="1:13" x14ac:dyDescent="0.55000000000000004">
      <c r="A1155" s="65" t="s">
        <v>874</v>
      </c>
      <c r="B1155" s="168" t="s">
        <v>796</v>
      </c>
      <c r="C1155" s="168" t="s">
        <v>156</v>
      </c>
      <c r="D1155" s="168" t="s">
        <v>2994</v>
      </c>
      <c r="E1155" s="116">
        <v>0.70899999999999996</v>
      </c>
      <c r="F1155" s="149" t="s">
        <v>765</v>
      </c>
      <c r="G1155" s="149" t="s">
        <v>768</v>
      </c>
      <c r="H1155" s="168" t="s">
        <v>39</v>
      </c>
      <c r="I1155" s="168" t="s">
        <v>703</v>
      </c>
      <c r="J1155" s="168" t="s">
        <v>875</v>
      </c>
      <c r="K1155" s="168" t="s">
        <v>535</v>
      </c>
      <c r="L1155" s="160"/>
      <c r="M1155" s="169"/>
    </row>
    <row r="1156" spans="1:13" x14ac:dyDescent="0.55000000000000004">
      <c r="A1156" s="65" t="s">
        <v>874</v>
      </c>
      <c r="B1156" s="168" t="s">
        <v>847</v>
      </c>
      <c r="C1156" s="168" t="s">
        <v>127</v>
      </c>
      <c r="D1156" s="168" t="s">
        <v>2994</v>
      </c>
      <c r="E1156" s="116">
        <v>0.23</v>
      </c>
      <c r="F1156" s="149" t="s">
        <v>765</v>
      </c>
      <c r="G1156" s="149" t="s">
        <v>768</v>
      </c>
      <c r="H1156" s="168" t="s">
        <v>39</v>
      </c>
      <c r="I1156" s="168" t="s">
        <v>705</v>
      </c>
      <c r="J1156" s="168" t="s">
        <v>875</v>
      </c>
      <c r="K1156" s="168">
        <v>68</v>
      </c>
      <c r="L1156" s="160"/>
      <c r="M1156" s="169"/>
    </row>
    <row r="1157" spans="1:13" x14ac:dyDescent="0.55000000000000004">
      <c r="A1157" s="65" t="s">
        <v>874</v>
      </c>
      <c r="B1157" s="168" t="s">
        <v>287</v>
      </c>
      <c r="C1157" s="168" t="s">
        <v>125</v>
      </c>
      <c r="D1157" s="168" t="s">
        <v>3288</v>
      </c>
      <c r="E1157" s="116">
        <v>0.88400000000000001</v>
      </c>
      <c r="F1157" s="149" t="s">
        <v>768</v>
      </c>
      <c r="G1157" s="149" t="s">
        <v>768</v>
      </c>
      <c r="H1157" s="168" t="s">
        <v>39</v>
      </c>
      <c r="I1157" s="168" t="s">
        <v>535</v>
      </c>
      <c r="J1157" s="168" t="s">
        <v>875</v>
      </c>
      <c r="K1157" s="168" t="s">
        <v>535</v>
      </c>
      <c r="L1157" s="160"/>
      <c r="M1157" s="169"/>
    </row>
    <row r="1158" spans="1:13" x14ac:dyDescent="0.55000000000000004">
      <c r="A1158" s="65" t="s">
        <v>874</v>
      </c>
      <c r="B1158" s="168" t="s">
        <v>153</v>
      </c>
      <c r="C1158" s="168" t="s">
        <v>127</v>
      </c>
      <c r="D1158" s="168" t="s">
        <v>2994</v>
      </c>
      <c r="E1158" s="116">
        <v>9.7199999999999995E-2</v>
      </c>
      <c r="F1158" s="149" t="s">
        <v>765</v>
      </c>
      <c r="G1158" s="149" t="s">
        <v>768</v>
      </c>
      <c r="H1158" s="168" t="s">
        <v>39</v>
      </c>
      <c r="I1158" s="168" t="s">
        <v>717</v>
      </c>
      <c r="J1158" s="168" t="s">
        <v>875</v>
      </c>
      <c r="K1158" s="168">
        <v>70</v>
      </c>
      <c r="L1158" s="160"/>
      <c r="M1158" s="169"/>
    </row>
    <row r="1159" spans="1:13" x14ac:dyDescent="0.55000000000000004">
      <c r="A1159" s="65" t="s">
        <v>874</v>
      </c>
      <c r="B1159" s="168" t="s">
        <v>847</v>
      </c>
      <c r="C1159" s="168" t="s">
        <v>127</v>
      </c>
      <c r="D1159" s="168" t="s">
        <v>2994</v>
      </c>
      <c r="E1159" s="116">
        <v>8.2000000000000003E-2</v>
      </c>
      <c r="F1159" s="149" t="s">
        <v>765</v>
      </c>
      <c r="G1159" s="149" t="s">
        <v>768</v>
      </c>
      <c r="H1159" s="168" t="s">
        <v>39</v>
      </c>
      <c r="I1159" s="168" t="s">
        <v>535</v>
      </c>
      <c r="J1159" s="168" t="s">
        <v>875</v>
      </c>
      <c r="K1159" s="168" t="s">
        <v>535</v>
      </c>
      <c r="L1159" s="160"/>
      <c r="M1159" s="169"/>
    </row>
    <row r="1160" spans="1:13" x14ac:dyDescent="0.55000000000000004">
      <c r="A1160" s="65" t="s">
        <v>874</v>
      </c>
      <c r="B1160" s="168" t="s">
        <v>341</v>
      </c>
      <c r="C1160" s="168" t="s">
        <v>125</v>
      </c>
      <c r="D1160" s="168" t="s">
        <v>3288</v>
      </c>
      <c r="E1160" s="116">
        <v>0.17</v>
      </c>
      <c r="F1160" s="149" t="s">
        <v>768</v>
      </c>
      <c r="G1160" s="149" t="s">
        <v>768</v>
      </c>
      <c r="H1160" s="168" t="s">
        <v>39</v>
      </c>
      <c r="I1160" s="168" t="s">
        <v>535</v>
      </c>
      <c r="J1160" s="168" t="s">
        <v>875</v>
      </c>
      <c r="K1160" s="168" t="s">
        <v>535</v>
      </c>
      <c r="L1160" s="160"/>
      <c r="M1160" s="169"/>
    </row>
    <row r="1161" spans="1:13" x14ac:dyDescent="0.55000000000000004">
      <c r="A1161" s="65" t="s">
        <v>874</v>
      </c>
      <c r="B1161" s="168" t="s">
        <v>213</v>
      </c>
      <c r="C1161" s="168" t="s">
        <v>125</v>
      </c>
      <c r="D1161" s="168" t="s">
        <v>3288</v>
      </c>
      <c r="E1161" s="116">
        <v>70.3</v>
      </c>
      <c r="F1161" s="149" t="s">
        <v>763</v>
      </c>
      <c r="G1161" s="149" t="s">
        <v>768</v>
      </c>
      <c r="H1161" s="168" t="s">
        <v>39</v>
      </c>
      <c r="I1161" s="168" t="s">
        <v>719</v>
      </c>
      <c r="J1161" s="168" t="s">
        <v>875</v>
      </c>
      <c r="K1161" s="168">
        <v>67</v>
      </c>
      <c r="L1161" s="160"/>
      <c r="M1161" s="169"/>
    </row>
    <row r="1162" spans="1:13" x14ac:dyDescent="0.55000000000000004">
      <c r="A1162" s="65" t="s">
        <v>874</v>
      </c>
      <c r="B1162" s="168" t="s">
        <v>323</v>
      </c>
      <c r="C1162" s="168" t="s">
        <v>125</v>
      </c>
      <c r="D1162" s="168" t="s">
        <v>3288</v>
      </c>
      <c r="E1162" s="116">
        <v>1.6199999999999999E-2</v>
      </c>
      <c r="F1162" s="149" t="s">
        <v>768</v>
      </c>
      <c r="G1162" s="149" t="s">
        <v>768</v>
      </c>
      <c r="H1162" s="168" t="s">
        <v>39</v>
      </c>
      <c r="I1162" s="168" t="s">
        <v>535</v>
      </c>
      <c r="J1162" s="168" t="s">
        <v>875</v>
      </c>
      <c r="K1162" s="168">
        <v>67</v>
      </c>
      <c r="L1162" s="160"/>
      <c r="M1162" s="169"/>
    </row>
    <row r="1163" spans="1:13" x14ac:dyDescent="0.55000000000000004">
      <c r="A1163" s="65" t="s">
        <v>874</v>
      </c>
      <c r="B1163" s="168" t="s">
        <v>170</v>
      </c>
      <c r="C1163" s="168" t="s">
        <v>125</v>
      </c>
      <c r="D1163" s="168" t="s">
        <v>3288</v>
      </c>
      <c r="E1163" s="116">
        <v>2.41E-2</v>
      </c>
      <c r="F1163" s="149" t="s">
        <v>768</v>
      </c>
      <c r="G1163" s="149" t="s">
        <v>768</v>
      </c>
      <c r="H1163" s="168" t="s">
        <v>39</v>
      </c>
      <c r="I1163" s="168" t="s">
        <v>703</v>
      </c>
      <c r="J1163" s="168" t="s">
        <v>875</v>
      </c>
      <c r="K1163" s="168" t="s">
        <v>535</v>
      </c>
      <c r="L1163" s="160"/>
      <c r="M1163" s="169"/>
    </row>
    <row r="1164" spans="1:13" x14ac:dyDescent="0.55000000000000004">
      <c r="A1164" s="65" t="s">
        <v>874</v>
      </c>
      <c r="B1164" s="168" t="s">
        <v>876</v>
      </c>
      <c r="C1164" s="168" t="s">
        <v>125</v>
      </c>
      <c r="D1164" s="168" t="s">
        <v>3288</v>
      </c>
      <c r="E1164" s="116">
        <v>8.94E-3</v>
      </c>
      <c r="F1164" s="149" t="s">
        <v>768</v>
      </c>
      <c r="G1164" s="149" t="s">
        <v>768</v>
      </c>
      <c r="H1164" s="168" t="s">
        <v>39</v>
      </c>
      <c r="I1164" s="168" t="s">
        <v>703</v>
      </c>
      <c r="J1164" s="168" t="s">
        <v>875</v>
      </c>
      <c r="K1164" s="168" t="s">
        <v>535</v>
      </c>
      <c r="L1164" s="160"/>
      <c r="M1164" s="169"/>
    </row>
    <row r="1165" spans="1:13" x14ac:dyDescent="0.55000000000000004">
      <c r="A1165" s="65" t="s">
        <v>874</v>
      </c>
      <c r="B1165" s="168" t="s">
        <v>160</v>
      </c>
      <c r="C1165" s="168" t="s">
        <v>124</v>
      </c>
      <c r="D1165" s="168" t="s">
        <v>3288</v>
      </c>
      <c r="E1165" s="116">
        <v>8.0400000000000003E-3</v>
      </c>
      <c r="F1165" s="149" t="s">
        <v>768</v>
      </c>
      <c r="G1165" s="149" t="s">
        <v>768</v>
      </c>
      <c r="H1165" s="168" t="s">
        <v>39</v>
      </c>
      <c r="I1165" s="168" t="s">
        <v>705</v>
      </c>
      <c r="J1165" s="168" t="s">
        <v>875</v>
      </c>
      <c r="K1165" s="168">
        <v>68</v>
      </c>
      <c r="L1165" s="160"/>
      <c r="M1165" s="169"/>
    </row>
    <row r="1166" spans="1:13" x14ac:dyDescent="0.55000000000000004">
      <c r="A1166" s="65" t="s">
        <v>872</v>
      </c>
      <c r="B1166" s="168" t="s">
        <v>287</v>
      </c>
      <c r="C1166" s="168" t="s">
        <v>121</v>
      </c>
      <c r="D1166" s="168" t="s">
        <v>3288</v>
      </c>
      <c r="E1166" s="116">
        <v>1</v>
      </c>
      <c r="F1166" s="149" t="s">
        <v>768</v>
      </c>
      <c r="G1166" s="149">
        <v>1</v>
      </c>
      <c r="H1166" s="168" t="s">
        <v>39</v>
      </c>
      <c r="I1166" s="168" t="s">
        <v>707</v>
      </c>
      <c r="J1166" s="168" t="s">
        <v>873</v>
      </c>
      <c r="K1166" s="168" t="s">
        <v>535</v>
      </c>
      <c r="L1166" s="160">
        <v>7201</v>
      </c>
      <c r="M1166" s="169"/>
    </row>
    <row r="1167" spans="1:13" x14ac:dyDescent="0.55000000000000004">
      <c r="A1167" s="65" t="s">
        <v>872</v>
      </c>
      <c r="B1167" s="168" t="s">
        <v>735</v>
      </c>
      <c r="C1167" s="168" t="s">
        <v>163</v>
      </c>
      <c r="D1167" s="168" t="s">
        <v>3288</v>
      </c>
      <c r="E1167" s="116">
        <v>0.22</v>
      </c>
      <c r="F1167" s="149" t="s">
        <v>768</v>
      </c>
      <c r="G1167" s="149" t="s">
        <v>768</v>
      </c>
      <c r="H1167" s="168" t="s">
        <v>39</v>
      </c>
      <c r="I1167" s="168" t="s">
        <v>708</v>
      </c>
      <c r="J1167" s="168" t="s">
        <v>873</v>
      </c>
      <c r="K1167" s="168">
        <v>69</v>
      </c>
      <c r="L1167" s="160"/>
      <c r="M1167" s="169"/>
    </row>
    <row r="1168" spans="1:13" x14ac:dyDescent="0.55000000000000004">
      <c r="A1168" s="65" t="s">
        <v>872</v>
      </c>
      <c r="B1168" s="168" t="s">
        <v>289</v>
      </c>
      <c r="C1168" s="168" t="s">
        <v>156</v>
      </c>
      <c r="D1168" s="168" t="s">
        <v>2994</v>
      </c>
      <c r="E1168" s="116">
        <v>5.14</v>
      </c>
      <c r="F1168" s="149" t="s">
        <v>765</v>
      </c>
      <c r="G1168" s="149" t="s">
        <v>768</v>
      </c>
      <c r="H1168" s="168" t="s">
        <v>39</v>
      </c>
      <c r="I1168" s="168" t="s">
        <v>692</v>
      </c>
      <c r="J1168" s="168" t="s">
        <v>873</v>
      </c>
      <c r="K1168" s="168">
        <v>67</v>
      </c>
      <c r="L1168" s="160"/>
      <c r="M1168" s="169"/>
    </row>
    <row r="1169" spans="1:13" x14ac:dyDescent="0.55000000000000004">
      <c r="A1169" s="65" t="s">
        <v>872</v>
      </c>
      <c r="B1169" s="168" t="s">
        <v>262</v>
      </c>
      <c r="C1169" s="168" t="s">
        <v>127</v>
      </c>
      <c r="D1169" s="168" t="s">
        <v>2994</v>
      </c>
      <c r="E1169" s="116">
        <v>7.54</v>
      </c>
      <c r="F1169" s="149" t="s">
        <v>765</v>
      </c>
      <c r="G1169" s="149" t="s">
        <v>768</v>
      </c>
      <c r="H1169" s="168" t="s">
        <v>39</v>
      </c>
      <c r="I1169" s="168" t="s">
        <v>710</v>
      </c>
      <c r="J1169" s="168" t="s">
        <v>873</v>
      </c>
      <c r="K1169" s="168" t="s">
        <v>535</v>
      </c>
      <c r="L1169" s="160"/>
      <c r="M1169" s="169"/>
    </row>
    <row r="1170" spans="1:13" x14ac:dyDescent="0.55000000000000004">
      <c r="A1170" s="65" t="s">
        <v>872</v>
      </c>
      <c r="B1170" s="168" t="s">
        <v>289</v>
      </c>
      <c r="C1170" s="168" t="s">
        <v>156</v>
      </c>
      <c r="D1170" s="168" t="s">
        <v>2994</v>
      </c>
      <c r="E1170" s="116">
        <v>1.41</v>
      </c>
      <c r="F1170" s="149" t="s">
        <v>765</v>
      </c>
      <c r="G1170" s="149" t="s">
        <v>768</v>
      </c>
      <c r="H1170" s="168" t="s">
        <v>39</v>
      </c>
      <c r="I1170" s="168" t="s">
        <v>707</v>
      </c>
      <c r="J1170" s="168" t="s">
        <v>873</v>
      </c>
      <c r="K1170" s="168" t="s">
        <v>535</v>
      </c>
      <c r="L1170" s="160"/>
      <c r="M1170" s="169"/>
    </row>
    <row r="1171" spans="1:13" x14ac:dyDescent="0.55000000000000004">
      <c r="A1171" s="65" t="s">
        <v>872</v>
      </c>
      <c r="B1171" s="168" t="s">
        <v>847</v>
      </c>
      <c r="C1171" s="168" t="s">
        <v>127</v>
      </c>
      <c r="D1171" s="168" t="s">
        <v>2994</v>
      </c>
      <c r="E1171" s="116">
        <v>0.23</v>
      </c>
      <c r="F1171" s="149" t="s">
        <v>765</v>
      </c>
      <c r="G1171" s="149" t="s">
        <v>768</v>
      </c>
      <c r="H1171" s="168" t="s">
        <v>39</v>
      </c>
      <c r="I1171" s="168" t="s">
        <v>692</v>
      </c>
      <c r="J1171" s="168" t="s">
        <v>873</v>
      </c>
      <c r="K1171" s="168">
        <v>67</v>
      </c>
      <c r="L1171" s="160"/>
      <c r="M1171" s="169"/>
    </row>
    <row r="1172" spans="1:13" x14ac:dyDescent="0.55000000000000004">
      <c r="A1172" s="65" t="s">
        <v>872</v>
      </c>
      <c r="B1172" s="168" t="s">
        <v>153</v>
      </c>
      <c r="C1172" s="168" t="s">
        <v>127</v>
      </c>
      <c r="D1172" s="168" t="s">
        <v>2994</v>
      </c>
      <c r="E1172" s="116">
        <v>0.27</v>
      </c>
      <c r="F1172" s="149" t="s">
        <v>765</v>
      </c>
      <c r="G1172" s="149" t="s">
        <v>768</v>
      </c>
      <c r="H1172" s="168" t="s">
        <v>39</v>
      </c>
      <c r="I1172" s="168" t="s">
        <v>712</v>
      </c>
      <c r="J1172" s="168" t="s">
        <v>873</v>
      </c>
      <c r="K1172" s="168" t="s">
        <v>535</v>
      </c>
      <c r="L1172" s="160"/>
      <c r="M1172" s="169"/>
    </row>
    <row r="1173" spans="1:13" x14ac:dyDescent="0.55000000000000004">
      <c r="A1173" s="65" t="s">
        <v>872</v>
      </c>
      <c r="B1173" s="168" t="s">
        <v>171</v>
      </c>
      <c r="C1173" s="168" t="s">
        <v>127</v>
      </c>
      <c r="D1173" s="168" t="s">
        <v>2994</v>
      </c>
      <c r="E1173" s="116">
        <v>0.16</v>
      </c>
      <c r="F1173" s="149" t="s">
        <v>765</v>
      </c>
      <c r="G1173" s="149" t="s">
        <v>768</v>
      </c>
      <c r="H1173" s="168" t="s">
        <v>39</v>
      </c>
      <c r="I1173" s="168" t="s">
        <v>707</v>
      </c>
      <c r="J1173" s="168" t="s">
        <v>873</v>
      </c>
      <c r="K1173" s="168" t="s">
        <v>535</v>
      </c>
      <c r="L1173" s="160"/>
      <c r="M1173" s="169"/>
    </row>
    <row r="1174" spans="1:13" x14ac:dyDescent="0.55000000000000004">
      <c r="A1174" s="65" t="s">
        <v>872</v>
      </c>
      <c r="B1174" s="168" t="s">
        <v>298</v>
      </c>
      <c r="C1174" s="168" t="s">
        <v>156</v>
      </c>
      <c r="D1174" s="168" t="s">
        <v>2994</v>
      </c>
      <c r="E1174" s="116">
        <v>0.27</v>
      </c>
      <c r="F1174" s="149" t="s">
        <v>765</v>
      </c>
      <c r="G1174" s="149" t="s">
        <v>768</v>
      </c>
      <c r="H1174" s="168" t="s">
        <v>39</v>
      </c>
      <c r="I1174" s="168" t="s">
        <v>535</v>
      </c>
      <c r="J1174" s="168" t="s">
        <v>873</v>
      </c>
      <c r="K1174" s="168" t="s">
        <v>535</v>
      </c>
      <c r="L1174" s="160"/>
      <c r="M1174" s="169"/>
    </row>
    <row r="1175" spans="1:13" x14ac:dyDescent="0.55000000000000004">
      <c r="A1175" s="65" t="s">
        <v>872</v>
      </c>
      <c r="B1175" s="168" t="s">
        <v>213</v>
      </c>
      <c r="C1175" s="168" t="s">
        <v>125</v>
      </c>
      <c r="D1175" s="168" t="s">
        <v>3288</v>
      </c>
      <c r="E1175" s="116">
        <v>52.6</v>
      </c>
      <c r="F1175" s="149" t="s">
        <v>763</v>
      </c>
      <c r="G1175" s="149" t="s">
        <v>768</v>
      </c>
      <c r="H1175" s="168" t="s">
        <v>39</v>
      </c>
      <c r="I1175" s="168" t="s">
        <v>535</v>
      </c>
      <c r="J1175" s="168" t="s">
        <v>873</v>
      </c>
      <c r="K1175" s="168">
        <v>67</v>
      </c>
      <c r="L1175" s="160"/>
      <c r="M1175" s="169"/>
    </row>
    <row r="1176" spans="1:13" x14ac:dyDescent="0.55000000000000004">
      <c r="A1176" s="65" t="s">
        <v>872</v>
      </c>
      <c r="B1176" s="168" t="s">
        <v>691</v>
      </c>
      <c r="C1176" s="168" t="s">
        <v>127</v>
      </c>
      <c r="D1176" s="168" t="s">
        <v>2994</v>
      </c>
      <c r="E1176" s="116">
        <v>0.03</v>
      </c>
      <c r="F1176" s="149" t="s">
        <v>765</v>
      </c>
      <c r="G1176" s="149" t="s">
        <v>768</v>
      </c>
      <c r="H1176" s="168" t="s">
        <v>39</v>
      </c>
      <c r="I1176" s="168" t="s">
        <v>535</v>
      </c>
      <c r="J1176" s="168" t="s">
        <v>873</v>
      </c>
      <c r="K1176" s="168">
        <v>67</v>
      </c>
      <c r="L1176" s="160"/>
      <c r="M1176" s="169"/>
    </row>
    <row r="1177" spans="1:13" x14ac:dyDescent="0.55000000000000004">
      <c r="A1177" s="65" t="s">
        <v>872</v>
      </c>
      <c r="B1177" s="168" t="s">
        <v>290</v>
      </c>
      <c r="C1177" s="168" t="s">
        <v>125</v>
      </c>
      <c r="D1177" s="168" t="s">
        <v>3288</v>
      </c>
      <c r="E1177" s="116">
        <v>0.6</v>
      </c>
      <c r="F1177" s="149" t="s">
        <v>768</v>
      </c>
      <c r="G1177" s="149" t="s">
        <v>768</v>
      </c>
      <c r="H1177" s="168" t="s">
        <v>39</v>
      </c>
      <c r="I1177" s="168" t="s">
        <v>703</v>
      </c>
      <c r="J1177" s="168" t="s">
        <v>873</v>
      </c>
      <c r="K1177" s="168" t="s">
        <v>535</v>
      </c>
      <c r="L1177" s="160"/>
      <c r="M1177" s="169"/>
    </row>
    <row r="1178" spans="1:13" x14ac:dyDescent="0.55000000000000004">
      <c r="A1178" s="65" t="s">
        <v>872</v>
      </c>
      <c r="B1178" s="168" t="s">
        <v>323</v>
      </c>
      <c r="C1178" s="168" t="s">
        <v>125</v>
      </c>
      <c r="D1178" s="168" t="s">
        <v>3288</v>
      </c>
      <c r="E1178" s="116">
        <v>0.75</v>
      </c>
      <c r="F1178" s="149" t="s">
        <v>768</v>
      </c>
      <c r="G1178" s="149" t="s">
        <v>768</v>
      </c>
      <c r="H1178" s="168" t="s">
        <v>39</v>
      </c>
      <c r="I1178" s="168" t="s">
        <v>703</v>
      </c>
      <c r="J1178" s="168" t="s">
        <v>873</v>
      </c>
      <c r="K1178" s="168" t="s">
        <v>535</v>
      </c>
      <c r="L1178" s="160"/>
      <c r="M1178" s="169"/>
    </row>
    <row r="1179" spans="1:13" x14ac:dyDescent="0.55000000000000004">
      <c r="A1179" s="65" t="s">
        <v>872</v>
      </c>
      <c r="B1179" s="168" t="s">
        <v>316</v>
      </c>
      <c r="C1179" s="168" t="s">
        <v>132</v>
      </c>
      <c r="D1179" s="168" t="s">
        <v>3288</v>
      </c>
      <c r="E1179" s="116">
        <v>0.04</v>
      </c>
      <c r="F1179" s="149" t="s">
        <v>768</v>
      </c>
      <c r="G1179" s="149" t="s">
        <v>768</v>
      </c>
      <c r="H1179" s="168" t="s">
        <v>39</v>
      </c>
      <c r="I1179" s="168" t="s">
        <v>705</v>
      </c>
      <c r="J1179" s="168" t="s">
        <v>873</v>
      </c>
      <c r="K1179" s="168">
        <v>68</v>
      </c>
      <c r="L1179" s="160"/>
      <c r="M1179" s="169"/>
    </row>
    <row r="1180" spans="1:13" x14ac:dyDescent="0.55000000000000004">
      <c r="A1180" s="65" t="s">
        <v>872</v>
      </c>
      <c r="B1180" s="168" t="s">
        <v>293</v>
      </c>
      <c r="C1180" s="168" t="s">
        <v>348</v>
      </c>
      <c r="D1180" s="168" t="s">
        <v>3288</v>
      </c>
      <c r="E1180" s="116">
        <v>0.32</v>
      </c>
      <c r="F1180" s="149" t="s">
        <v>768</v>
      </c>
      <c r="G1180" s="149" t="s">
        <v>768</v>
      </c>
      <c r="H1180" s="168" t="s">
        <v>39</v>
      </c>
      <c r="I1180" s="168" t="s">
        <v>535</v>
      </c>
      <c r="J1180" s="168" t="s">
        <v>873</v>
      </c>
      <c r="K1180" s="168" t="s">
        <v>535</v>
      </c>
      <c r="L1180" s="160"/>
      <c r="M1180" s="169"/>
    </row>
    <row r="1181" spans="1:13" x14ac:dyDescent="0.55000000000000004">
      <c r="A1181" s="65" t="s">
        <v>872</v>
      </c>
      <c r="B1181" s="168" t="s">
        <v>160</v>
      </c>
      <c r="C1181" s="168" t="s">
        <v>124</v>
      </c>
      <c r="D1181" s="168" t="s">
        <v>3288</v>
      </c>
      <c r="E1181" s="116">
        <v>0.54</v>
      </c>
      <c r="F1181" s="149" t="s">
        <v>768</v>
      </c>
      <c r="G1181" s="149" t="s">
        <v>768</v>
      </c>
      <c r="H1181" s="168" t="s">
        <v>39</v>
      </c>
      <c r="I1181" s="168" t="s">
        <v>535</v>
      </c>
      <c r="J1181" s="168" t="s">
        <v>873</v>
      </c>
      <c r="K1181" s="168">
        <v>67</v>
      </c>
      <c r="L1181" s="160"/>
      <c r="M1181" s="169"/>
    </row>
    <row r="1182" spans="1:13" x14ac:dyDescent="0.55000000000000004">
      <c r="A1182" s="97" t="s">
        <v>870</v>
      </c>
      <c r="B1182" s="168" t="s">
        <v>781</v>
      </c>
      <c r="C1182" s="168" t="s">
        <v>121</v>
      </c>
      <c r="D1182" s="168" t="s">
        <v>3288</v>
      </c>
      <c r="E1182" s="116">
        <v>1</v>
      </c>
      <c r="F1182" s="149" t="s">
        <v>135</v>
      </c>
      <c r="G1182" s="149">
        <v>1</v>
      </c>
      <c r="H1182" s="168" t="s">
        <v>39</v>
      </c>
      <c r="I1182" s="168" t="s">
        <v>697</v>
      </c>
      <c r="J1182" s="168" t="s">
        <v>871</v>
      </c>
      <c r="K1182" s="168" t="s">
        <v>535</v>
      </c>
      <c r="L1182" s="160">
        <v>7601</v>
      </c>
      <c r="M1182" s="169"/>
    </row>
    <row r="1183" spans="1:13" x14ac:dyDescent="0.55000000000000004">
      <c r="A1183" s="97" t="s">
        <v>870</v>
      </c>
      <c r="B1183" s="168" t="s">
        <v>757</v>
      </c>
      <c r="C1183" s="168" t="s">
        <v>125</v>
      </c>
      <c r="D1183" s="168" t="s">
        <v>3288</v>
      </c>
      <c r="E1183" s="116">
        <v>667</v>
      </c>
      <c r="F1183" s="149" t="s">
        <v>122</v>
      </c>
      <c r="G1183" s="149" t="s">
        <v>135</v>
      </c>
      <c r="H1183" s="168" t="s">
        <v>39</v>
      </c>
      <c r="I1183" s="168" t="s">
        <v>535</v>
      </c>
      <c r="J1183" s="168" t="s">
        <v>871</v>
      </c>
      <c r="K1183" s="168" t="s">
        <v>535</v>
      </c>
      <c r="L1183" s="160"/>
      <c r="M1183" s="169"/>
    </row>
    <row r="1184" spans="1:13" x14ac:dyDescent="0.55000000000000004">
      <c r="A1184" s="97" t="s">
        <v>870</v>
      </c>
      <c r="B1184" s="168" t="s">
        <v>829</v>
      </c>
      <c r="C1184" s="168" t="s">
        <v>125</v>
      </c>
      <c r="D1184" s="168" t="s">
        <v>3288</v>
      </c>
      <c r="E1184" s="116">
        <v>127</v>
      </c>
      <c r="F1184" s="149" t="s">
        <v>122</v>
      </c>
      <c r="G1184" s="149" t="s">
        <v>135</v>
      </c>
      <c r="H1184" s="168" t="s">
        <v>39</v>
      </c>
      <c r="I1184" s="168" t="s">
        <v>701</v>
      </c>
      <c r="J1184" s="168" t="s">
        <v>871</v>
      </c>
      <c r="K1184" s="168">
        <v>67</v>
      </c>
      <c r="L1184" s="160"/>
      <c r="M1184" s="169"/>
    </row>
    <row r="1185" spans="1:13" x14ac:dyDescent="0.55000000000000004">
      <c r="A1185" s="97" t="s">
        <v>870</v>
      </c>
      <c r="B1185" s="168" t="s">
        <v>830</v>
      </c>
      <c r="C1185" s="168" t="s">
        <v>125</v>
      </c>
      <c r="D1185" s="168" t="s">
        <v>3288</v>
      </c>
      <c r="E1185" s="116">
        <v>202</v>
      </c>
      <c r="F1185" s="149" t="s">
        <v>122</v>
      </c>
      <c r="G1185" s="149" t="s">
        <v>135</v>
      </c>
      <c r="H1185" s="168" t="s">
        <v>39</v>
      </c>
      <c r="I1185" s="168" t="s">
        <v>702</v>
      </c>
      <c r="J1185" s="168" t="s">
        <v>871</v>
      </c>
      <c r="K1185" s="168">
        <v>67</v>
      </c>
      <c r="L1185" s="160"/>
      <c r="M1185" s="169"/>
    </row>
    <row r="1186" spans="1:13" x14ac:dyDescent="0.55000000000000004">
      <c r="A1186" s="97" t="s">
        <v>870</v>
      </c>
      <c r="B1186" s="168" t="s">
        <v>785</v>
      </c>
      <c r="C1186" s="168" t="s">
        <v>125</v>
      </c>
      <c r="D1186" s="168" t="s">
        <v>3288</v>
      </c>
      <c r="E1186" s="116">
        <v>20</v>
      </c>
      <c r="F1186" s="149" t="s">
        <v>122</v>
      </c>
      <c r="G1186" s="149" t="s">
        <v>135</v>
      </c>
      <c r="H1186" s="168" t="s">
        <v>39</v>
      </c>
      <c r="I1186" s="168" t="s">
        <v>703</v>
      </c>
      <c r="J1186" s="168" t="s">
        <v>871</v>
      </c>
      <c r="K1186" s="168" t="s">
        <v>535</v>
      </c>
      <c r="L1186" s="160"/>
      <c r="M1186" s="169"/>
    </row>
    <row r="1187" spans="1:13" x14ac:dyDescent="0.55000000000000004">
      <c r="A1187" s="97" t="s">
        <v>870</v>
      </c>
      <c r="B1187" s="168" t="s">
        <v>153</v>
      </c>
      <c r="C1187" s="168" t="s">
        <v>127</v>
      </c>
      <c r="D1187" s="168" t="s">
        <v>2994</v>
      </c>
      <c r="E1187" s="116">
        <v>0.24099999999999999</v>
      </c>
      <c r="F1187" s="149" t="s">
        <v>138</v>
      </c>
      <c r="G1187" s="149" t="s">
        <v>135</v>
      </c>
      <c r="H1187" s="168" t="s">
        <v>39</v>
      </c>
      <c r="I1187" s="168" t="s">
        <v>703</v>
      </c>
      <c r="J1187" s="168" t="s">
        <v>871</v>
      </c>
      <c r="K1187" s="168" t="s">
        <v>535</v>
      </c>
      <c r="L1187" s="160"/>
      <c r="M1187" s="169"/>
    </row>
    <row r="1188" spans="1:13" x14ac:dyDescent="0.55000000000000004">
      <c r="A1188" s="97" t="s">
        <v>870</v>
      </c>
      <c r="B1188" s="168" t="s">
        <v>171</v>
      </c>
      <c r="C1188" s="168" t="s">
        <v>127</v>
      </c>
      <c r="D1188" s="168" t="s">
        <v>2994</v>
      </c>
      <c r="E1188" s="116">
        <v>2.63</v>
      </c>
      <c r="F1188" s="149" t="s">
        <v>138</v>
      </c>
      <c r="G1188" s="149" t="s">
        <v>135</v>
      </c>
      <c r="H1188" s="168" t="s">
        <v>39</v>
      </c>
      <c r="I1188" s="168" t="s">
        <v>705</v>
      </c>
      <c r="J1188" s="168" t="s">
        <v>871</v>
      </c>
      <c r="K1188" s="168">
        <v>68</v>
      </c>
      <c r="L1188" s="160"/>
      <c r="M1188" s="169"/>
    </row>
    <row r="1189" spans="1:13" x14ac:dyDescent="0.55000000000000004">
      <c r="A1189" s="97" t="s">
        <v>870</v>
      </c>
      <c r="B1189" s="168" t="s">
        <v>160</v>
      </c>
      <c r="C1189" s="168" t="s">
        <v>124</v>
      </c>
      <c r="D1189" s="168" t="s">
        <v>3288</v>
      </c>
      <c r="E1189" s="116">
        <v>0.14799999999999999</v>
      </c>
      <c r="F1189" s="149" t="s">
        <v>135</v>
      </c>
      <c r="G1189" s="149" t="s">
        <v>135</v>
      </c>
      <c r="H1189" s="168" t="s">
        <v>39</v>
      </c>
      <c r="I1189" s="168" t="s">
        <v>692</v>
      </c>
      <c r="J1189" s="168" t="s">
        <v>871</v>
      </c>
      <c r="K1189" s="168">
        <v>67</v>
      </c>
      <c r="L1189" s="160"/>
      <c r="M1189" s="169"/>
    </row>
    <row r="1190" spans="1:13" x14ac:dyDescent="0.55000000000000004">
      <c r="A1190" s="65" t="s">
        <v>868</v>
      </c>
      <c r="B1190" s="168" t="s">
        <v>153</v>
      </c>
      <c r="C1190" s="168" t="s">
        <v>121</v>
      </c>
      <c r="D1190" s="168" t="s">
        <v>2994</v>
      </c>
      <c r="E1190" s="116">
        <v>3.15E-2</v>
      </c>
      <c r="F1190" s="149" t="s">
        <v>765</v>
      </c>
      <c r="G1190" s="149">
        <v>1</v>
      </c>
      <c r="H1190" s="168" t="s">
        <v>39</v>
      </c>
      <c r="I1190" s="168" t="s">
        <v>659</v>
      </c>
      <c r="J1190" s="168" t="s">
        <v>869</v>
      </c>
      <c r="K1190" s="168">
        <v>66</v>
      </c>
      <c r="L1190" s="160" t="s">
        <v>851</v>
      </c>
      <c r="M1190" s="169"/>
    </row>
    <row r="1191" spans="1:13" x14ac:dyDescent="0.55000000000000004">
      <c r="A1191" s="65" t="s">
        <v>868</v>
      </c>
      <c r="B1191" s="168" t="s">
        <v>289</v>
      </c>
      <c r="C1191" s="168" t="s">
        <v>156</v>
      </c>
      <c r="D1191" s="168" t="s">
        <v>2994</v>
      </c>
      <c r="E1191" s="116">
        <v>5.3100000000000001E-2</v>
      </c>
      <c r="F1191" s="149" t="s">
        <v>765</v>
      </c>
      <c r="G1191" s="149" t="s">
        <v>765</v>
      </c>
      <c r="H1191" s="168" t="s">
        <v>39</v>
      </c>
      <c r="I1191" s="168" t="s">
        <v>689</v>
      </c>
      <c r="J1191" s="168" t="s">
        <v>869</v>
      </c>
      <c r="K1191" s="168">
        <v>66</v>
      </c>
      <c r="L1191" s="160"/>
      <c r="M1191" s="169"/>
    </row>
    <row r="1192" spans="1:13" x14ac:dyDescent="0.55000000000000004">
      <c r="A1192" s="65" t="s">
        <v>868</v>
      </c>
      <c r="B1192" s="168" t="s">
        <v>796</v>
      </c>
      <c r="C1192" s="168" t="s">
        <v>156</v>
      </c>
      <c r="D1192" s="168" t="s">
        <v>2994</v>
      </c>
      <c r="E1192" s="116">
        <v>1.3899999999999999E-2</v>
      </c>
      <c r="F1192" s="149" t="s">
        <v>765</v>
      </c>
      <c r="G1192" s="149" t="s">
        <v>765</v>
      </c>
      <c r="H1192" s="168" t="s">
        <v>39</v>
      </c>
      <c r="I1192" s="168" t="s">
        <v>690</v>
      </c>
      <c r="J1192" s="168" t="s">
        <v>869</v>
      </c>
      <c r="K1192" s="168" t="s">
        <v>535</v>
      </c>
      <c r="L1192" s="160"/>
      <c r="M1192" s="169"/>
    </row>
    <row r="1193" spans="1:13" x14ac:dyDescent="0.55000000000000004">
      <c r="A1193" s="65" t="s">
        <v>868</v>
      </c>
      <c r="B1193" s="168" t="s">
        <v>298</v>
      </c>
      <c r="C1193" s="168" t="s">
        <v>156</v>
      </c>
      <c r="D1193" s="168" t="s">
        <v>2994</v>
      </c>
      <c r="E1193" s="116">
        <v>6.4400000000000004E-3</v>
      </c>
      <c r="F1193" s="149" t="s">
        <v>765</v>
      </c>
      <c r="G1193" s="149" t="s">
        <v>765</v>
      </c>
      <c r="H1193" s="168" t="s">
        <v>39</v>
      </c>
      <c r="I1193" s="168" t="s">
        <v>692</v>
      </c>
      <c r="J1193" s="168" t="s">
        <v>869</v>
      </c>
      <c r="K1193" s="168">
        <v>67</v>
      </c>
      <c r="L1193" s="160"/>
      <c r="M1193" s="169"/>
    </row>
    <row r="1194" spans="1:13" x14ac:dyDescent="0.55000000000000004">
      <c r="A1194" s="65" t="s">
        <v>868</v>
      </c>
      <c r="B1194" s="168" t="s">
        <v>171</v>
      </c>
      <c r="C1194" s="168" t="s">
        <v>127</v>
      </c>
      <c r="D1194" s="168" t="s">
        <v>2994</v>
      </c>
      <c r="E1194" s="116">
        <v>1.35E-2</v>
      </c>
      <c r="F1194" s="149" t="s">
        <v>765</v>
      </c>
      <c r="G1194" s="149" t="s">
        <v>765</v>
      </c>
      <c r="H1194" s="168" t="s">
        <v>39</v>
      </c>
      <c r="I1194" s="168" t="s">
        <v>693</v>
      </c>
      <c r="J1194" s="168" t="s">
        <v>869</v>
      </c>
      <c r="K1194" s="168" t="s">
        <v>535</v>
      </c>
      <c r="L1194" s="160"/>
      <c r="M1194" s="169"/>
    </row>
    <row r="1195" spans="1:13" x14ac:dyDescent="0.55000000000000004">
      <c r="A1195" s="65" t="s">
        <v>868</v>
      </c>
      <c r="B1195" s="168" t="s">
        <v>160</v>
      </c>
      <c r="C1195" s="168" t="s">
        <v>124</v>
      </c>
      <c r="D1195" s="168" t="s">
        <v>3288</v>
      </c>
      <c r="E1195" s="116">
        <v>1.6799999999999999E-2</v>
      </c>
      <c r="F1195" s="149" t="s">
        <v>768</v>
      </c>
      <c r="G1195" s="149" t="s">
        <v>765</v>
      </c>
      <c r="H1195" s="168" t="s">
        <v>39</v>
      </c>
      <c r="I1195" s="168" t="s">
        <v>696</v>
      </c>
      <c r="J1195" s="168" t="s">
        <v>869</v>
      </c>
      <c r="K1195" s="168" t="s">
        <v>535</v>
      </c>
      <c r="L1195" s="160"/>
      <c r="M1195" s="169"/>
    </row>
    <row r="1196" spans="1:13" x14ac:dyDescent="0.55000000000000004">
      <c r="A1196" s="65" t="s">
        <v>866</v>
      </c>
      <c r="B1196" s="168" t="s">
        <v>153</v>
      </c>
      <c r="C1196" s="168" t="s">
        <v>121</v>
      </c>
      <c r="D1196" s="168" t="s">
        <v>2994</v>
      </c>
      <c r="E1196" s="116">
        <v>3.1399999999999997E-2</v>
      </c>
      <c r="F1196" s="149" t="s">
        <v>765</v>
      </c>
      <c r="G1196" s="149">
        <v>1</v>
      </c>
      <c r="H1196" s="168" t="s">
        <v>39</v>
      </c>
      <c r="I1196" s="168" t="s">
        <v>685</v>
      </c>
      <c r="J1196" s="168" t="s">
        <v>867</v>
      </c>
      <c r="K1196" s="168">
        <v>66</v>
      </c>
      <c r="L1196" s="160" t="s">
        <v>851</v>
      </c>
      <c r="M1196" s="169"/>
    </row>
    <row r="1197" spans="1:13" x14ac:dyDescent="0.55000000000000004">
      <c r="A1197" s="65" t="s">
        <v>866</v>
      </c>
      <c r="B1197" s="168" t="s">
        <v>289</v>
      </c>
      <c r="C1197" s="168" t="s">
        <v>156</v>
      </c>
      <c r="D1197" s="168" t="s">
        <v>2994</v>
      </c>
      <c r="E1197" s="116">
        <v>5.2499999999999998E-2</v>
      </c>
      <c r="F1197" s="149" t="s">
        <v>765</v>
      </c>
      <c r="G1197" s="149" t="s">
        <v>765</v>
      </c>
      <c r="H1197" s="168" t="s">
        <v>39</v>
      </c>
      <c r="I1197" s="168" t="s">
        <v>535</v>
      </c>
      <c r="J1197" s="168" t="s">
        <v>867</v>
      </c>
      <c r="K1197" s="168" t="s">
        <v>535</v>
      </c>
      <c r="L1197" s="160"/>
      <c r="M1197" s="169"/>
    </row>
    <row r="1198" spans="1:13" x14ac:dyDescent="0.55000000000000004">
      <c r="A1198" s="65" t="s">
        <v>866</v>
      </c>
      <c r="B1198" s="168" t="s">
        <v>796</v>
      </c>
      <c r="C1198" s="168" t="s">
        <v>156</v>
      </c>
      <c r="D1198" s="168" t="s">
        <v>2994</v>
      </c>
      <c r="E1198" s="116">
        <v>1.1299999999999999E-2</v>
      </c>
      <c r="F1198" s="149" t="s">
        <v>765</v>
      </c>
      <c r="G1198" s="149" t="s">
        <v>765</v>
      </c>
      <c r="H1198" s="168" t="s">
        <v>39</v>
      </c>
      <c r="I1198" s="168" t="s">
        <v>659</v>
      </c>
      <c r="J1198" s="168" t="s">
        <v>867</v>
      </c>
      <c r="K1198" s="168" t="s">
        <v>535</v>
      </c>
      <c r="L1198" s="160"/>
      <c r="M1198" s="169"/>
    </row>
    <row r="1199" spans="1:13" x14ac:dyDescent="0.55000000000000004">
      <c r="A1199" s="65" t="s">
        <v>866</v>
      </c>
      <c r="B1199" s="168" t="s">
        <v>298</v>
      </c>
      <c r="C1199" s="168" t="s">
        <v>156</v>
      </c>
      <c r="D1199" s="168" t="s">
        <v>2994</v>
      </c>
      <c r="E1199" s="116">
        <v>7.6600000000000001E-3</v>
      </c>
      <c r="F1199" s="149" t="s">
        <v>765</v>
      </c>
      <c r="G1199" s="149" t="s">
        <v>765</v>
      </c>
      <c r="H1199" s="168" t="s">
        <v>39</v>
      </c>
      <c r="I1199" s="168" t="s">
        <v>659</v>
      </c>
      <c r="J1199" s="168" t="s">
        <v>867</v>
      </c>
      <c r="K1199" s="168" t="s">
        <v>535</v>
      </c>
      <c r="L1199" s="160"/>
      <c r="M1199" s="169"/>
    </row>
    <row r="1200" spans="1:13" x14ac:dyDescent="0.55000000000000004">
      <c r="A1200" s="65" t="s">
        <v>866</v>
      </c>
      <c r="B1200" s="168" t="s">
        <v>171</v>
      </c>
      <c r="C1200" s="168" t="s">
        <v>127</v>
      </c>
      <c r="D1200" s="168" t="s">
        <v>2994</v>
      </c>
      <c r="E1200" s="116">
        <v>1.0999999999999999E-2</v>
      </c>
      <c r="F1200" s="149" t="s">
        <v>765</v>
      </c>
      <c r="G1200" s="149" t="s">
        <v>765</v>
      </c>
      <c r="H1200" s="168" t="s">
        <v>39</v>
      </c>
      <c r="I1200" s="168" t="s">
        <v>659</v>
      </c>
      <c r="J1200" s="168" t="s">
        <v>867</v>
      </c>
      <c r="K1200" s="168" t="s">
        <v>535</v>
      </c>
      <c r="L1200" s="160"/>
      <c r="M1200" s="169"/>
    </row>
    <row r="1201" spans="1:13" x14ac:dyDescent="0.55000000000000004">
      <c r="A1201" s="65" t="s">
        <v>866</v>
      </c>
      <c r="B1201" s="168" t="s">
        <v>160</v>
      </c>
      <c r="C1201" s="168" t="s">
        <v>124</v>
      </c>
      <c r="D1201" s="168" t="s">
        <v>3288</v>
      </c>
      <c r="E1201" s="116">
        <v>1.5599999999999999E-2</v>
      </c>
      <c r="F1201" s="149" t="s">
        <v>768</v>
      </c>
      <c r="G1201" s="149" t="s">
        <v>765</v>
      </c>
      <c r="H1201" s="168" t="s">
        <v>39</v>
      </c>
      <c r="I1201" s="168" t="s">
        <v>659</v>
      </c>
      <c r="J1201" s="168" t="s">
        <v>867</v>
      </c>
      <c r="K1201" s="168">
        <v>66</v>
      </c>
      <c r="L1201" s="160"/>
      <c r="M1201" s="169"/>
    </row>
    <row r="1202" spans="1:13" x14ac:dyDescent="0.55000000000000004">
      <c r="A1202" s="54" t="s">
        <v>864</v>
      </c>
      <c r="B1202" s="168" t="s">
        <v>236</v>
      </c>
      <c r="C1202" s="168" t="s">
        <v>121</v>
      </c>
      <c r="D1202" s="168" t="s">
        <v>3288</v>
      </c>
      <c r="E1202" s="116">
        <v>1</v>
      </c>
      <c r="F1202" s="149" t="s">
        <v>135</v>
      </c>
      <c r="G1202" s="149">
        <v>1</v>
      </c>
      <c r="H1202" s="168" t="s">
        <v>39</v>
      </c>
      <c r="I1202" s="168" t="s">
        <v>678</v>
      </c>
      <c r="J1202" s="168" t="s">
        <v>865</v>
      </c>
      <c r="K1202" s="168" t="s">
        <v>535</v>
      </c>
      <c r="L1202" s="160">
        <v>2523</v>
      </c>
      <c r="M1202" s="169"/>
    </row>
    <row r="1203" spans="1:13" x14ac:dyDescent="0.55000000000000004">
      <c r="A1203" s="54" t="s">
        <v>864</v>
      </c>
      <c r="B1203" s="168" t="s">
        <v>134</v>
      </c>
      <c r="C1203" s="168" t="s">
        <v>125</v>
      </c>
      <c r="D1203" s="168" t="s">
        <v>3288</v>
      </c>
      <c r="E1203" s="116">
        <v>0.46700000000000003</v>
      </c>
      <c r="F1203" s="149" t="s">
        <v>135</v>
      </c>
      <c r="G1203" s="149" t="s">
        <v>135</v>
      </c>
      <c r="H1203" s="168" t="s">
        <v>39</v>
      </c>
      <c r="I1203" s="168" t="s">
        <v>679</v>
      </c>
      <c r="J1203" s="168" t="s">
        <v>865</v>
      </c>
      <c r="K1203" s="168" t="s">
        <v>535</v>
      </c>
      <c r="L1203" s="160"/>
      <c r="M1203" s="169"/>
    </row>
    <row r="1204" spans="1:13" x14ac:dyDescent="0.55000000000000004">
      <c r="A1204" s="54" t="s">
        <v>864</v>
      </c>
      <c r="B1204" s="168" t="s">
        <v>805</v>
      </c>
      <c r="C1204" s="168" t="s">
        <v>125</v>
      </c>
      <c r="D1204" s="168" t="s">
        <v>3288</v>
      </c>
      <c r="E1204" s="116">
        <v>0.36799999999999999</v>
      </c>
      <c r="F1204" s="149" t="s">
        <v>135</v>
      </c>
      <c r="G1204" s="149" t="s">
        <v>135</v>
      </c>
      <c r="H1204" s="168" t="s">
        <v>39</v>
      </c>
      <c r="I1204" s="168" t="s">
        <v>680</v>
      </c>
      <c r="J1204" s="168" t="s">
        <v>865</v>
      </c>
      <c r="K1204" s="168" t="s">
        <v>535</v>
      </c>
      <c r="L1204" s="160"/>
      <c r="M1204" s="169"/>
    </row>
    <row r="1205" spans="1:13" x14ac:dyDescent="0.55000000000000004">
      <c r="A1205" s="54" t="s">
        <v>864</v>
      </c>
      <c r="B1205" s="168" t="s">
        <v>859</v>
      </c>
      <c r="C1205" s="168" t="s">
        <v>125</v>
      </c>
      <c r="D1205" s="168" t="s">
        <v>3288</v>
      </c>
      <c r="E1205" s="116">
        <v>4.1700000000000001E-2</v>
      </c>
      <c r="F1205" s="149" t="s">
        <v>135</v>
      </c>
      <c r="G1205" s="149" t="s">
        <v>135</v>
      </c>
      <c r="H1205" s="168" t="s">
        <v>39</v>
      </c>
      <c r="I1205" s="168" t="s">
        <v>682</v>
      </c>
      <c r="J1205" s="168" t="s">
        <v>865</v>
      </c>
      <c r="K1205" s="168">
        <v>66</v>
      </c>
      <c r="L1205" s="160"/>
      <c r="M1205" s="169"/>
    </row>
    <row r="1206" spans="1:13" x14ac:dyDescent="0.55000000000000004">
      <c r="A1206" s="54" t="s">
        <v>864</v>
      </c>
      <c r="B1206" s="168" t="s">
        <v>131</v>
      </c>
      <c r="C1206" s="168" t="s">
        <v>132</v>
      </c>
      <c r="D1206" s="168" t="s">
        <v>3288</v>
      </c>
      <c r="E1206" s="116">
        <v>0.123</v>
      </c>
      <c r="F1206" s="149" t="s">
        <v>135</v>
      </c>
      <c r="G1206" s="149" t="s">
        <v>135</v>
      </c>
      <c r="H1206" s="168" t="s">
        <v>39</v>
      </c>
      <c r="I1206" s="168" t="s">
        <v>683</v>
      </c>
      <c r="J1206" s="168" t="s">
        <v>865</v>
      </c>
      <c r="K1206" s="168">
        <v>66</v>
      </c>
      <c r="L1206" s="160"/>
      <c r="M1206" s="169"/>
    </row>
    <row r="1207" spans="1:13" x14ac:dyDescent="0.55000000000000004">
      <c r="A1207" s="54" t="s">
        <v>864</v>
      </c>
      <c r="B1207" s="168" t="s">
        <v>153</v>
      </c>
      <c r="C1207" s="168" t="s">
        <v>127</v>
      </c>
      <c r="D1207" s="168" t="s">
        <v>2994</v>
      </c>
      <c r="E1207" s="116">
        <v>0.3</v>
      </c>
      <c r="F1207" s="149" t="s">
        <v>138</v>
      </c>
      <c r="G1207" s="149" t="s">
        <v>135</v>
      </c>
      <c r="H1207" s="168" t="s">
        <v>39</v>
      </c>
      <c r="I1207" s="168" t="s">
        <v>684</v>
      </c>
      <c r="J1207" s="168" t="s">
        <v>865</v>
      </c>
      <c r="K1207" s="168">
        <v>66</v>
      </c>
      <c r="L1207" s="160"/>
      <c r="M1207" s="169"/>
    </row>
    <row r="1208" spans="1:13" x14ac:dyDescent="0.55000000000000004">
      <c r="A1208" s="54" t="s">
        <v>862</v>
      </c>
      <c r="B1208" s="168" t="s">
        <v>236</v>
      </c>
      <c r="C1208" s="168" t="s">
        <v>121</v>
      </c>
      <c r="D1208" s="168" t="s">
        <v>3288</v>
      </c>
      <c r="E1208" s="116">
        <v>1</v>
      </c>
      <c r="F1208" s="149" t="s">
        <v>135</v>
      </c>
      <c r="G1208" s="149">
        <v>1</v>
      </c>
      <c r="H1208" s="168" t="s">
        <v>39</v>
      </c>
      <c r="I1208" s="168" t="s">
        <v>659</v>
      </c>
      <c r="J1208" s="168" t="s">
        <v>863</v>
      </c>
      <c r="K1208" s="168" t="s">
        <v>535</v>
      </c>
      <c r="L1208" s="160">
        <v>2523</v>
      </c>
      <c r="M1208" s="169"/>
    </row>
    <row r="1209" spans="1:13" x14ac:dyDescent="0.55000000000000004">
      <c r="A1209" s="54" t="s">
        <v>862</v>
      </c>
      <c r="B1209" s="168" t="s">
        <v>134</v>
      </c>
      <c r="C1209" s="168" t="s">
        <v>125</v>
      </c>
      <c r="D1209" s="168" t="s">
        <v>3288</v>
      </c>
      <c r="E1209" s="116">
        <v>0.312</v>
      </c>
      <c r="F1209" s="149" t="s">
        <v>135</v>
      </c>
      <c r="G1209" s="149" t="s">
        <v>135</v>
      </c>
      <c r="H1209" s="168" t="s">
        <v>39</v>
      </c>
      <c r="I1209" s="168" t="s">
        <v>659</v>
      </c>
      <c r="J1209" s="168" t="s">
        <v>863</v>
      </c>
      <c r="K1209" s="168" t="s">
        <v>535</v>
      </c>
      <c r="L1209" s="160"/>
      <c r="M1209" s="169"/>
    </row>
    <row r="1210" spans="1:13" x14ac:dyDescent="0.55000000000000004">
      <c r="A1210" s="54" t="s">
        <v>862</v>
      </c>
      <c r="B1210" s="168" t="s">
        <v>805</v>
      </c>
      <c r="C1210" s="168" t="s">
        <v>125</v>
      </c>
      <c r="D1210" s="168" t="s">
        <v>3288</v>
      </c>
      <c r="E1210" s="116">
        <v>0.60399999999999998</v>
      </c>
      <c r="F1210" s="149" t="s">
        <v>135</v>
      </c>
      <c r="G1210" s="149" t="s">
        <v>135</v>
      </c>
      <c r="H1210" s="168" t="s">
        <v>39</v>
      </c>
      <c r="I1210" s="168" t="s">
        <v>659</v>
      </c>
      <c r="J1210" s="168" t="s">
        <v>863</v>
      </c>
      <c r="K1210" s="168">
        <v>64</v>
      </c>
      <c r="L1210" s="160"/>
      <c r="M1210" s="169"/>
    </row>
    <row r="1211" spans="1:13" x14ac:dyDescent="0.55000000000000004">
      <c r="A1211" s="54" t="s">
        <v>862</v>
      </c>
      <c r="B1211" s="168" t="s">
        <v>859</v>
      </c>
      <c r="C1211" s="168" t="s">
        <v>125</v>
      </c>
      <c r="D1211" s="168" t="s">
        <v>3288</v>
      </c>
      <c r="E1211" s="116">
        <v>2.1000000000000001E-2</v>
      </c>
      <c r="F1211" s="149" t="s">
        <v>135</v>
      </c>
      <c r="G1211" s="149" t="s">
        <v>135</v>
      </c>
      <c r="H1211" s="168" t="s">
        <v>39</v>
      </c>
      <c r="I1211" s="168" t="s">
        <v>676</v>
      </c>
      <c r="J1211" s="168" t="s">
        <v>863</v>
      </c>
      <c r="K1211" s="168">
        <v>64</v>
      </c>
      <c r="L1211" s="160"/>
      <c r="M1211" s="169"/>
    </row>
    <row r="1212" spans="1:13" x14ac:dyDescent="0.55000000000000004">
      <c r="A1212" s="54" t="s">
        <v>862</v>
      </c>
      <c r="B1212" s="168" t="s">
        <v>131</v>
      </c>
      <c r="C1212" s="168" t="s">
        <v>132</v>
      </c>
      <c r="D1212" s="168" t="s">
        <v>3288</v>
      </c>
      <c r="E1212" s="116">
        <v>6.3E-2</v>
      </c>
      <c r="F1212" s="149" t="s">
        <v>135</v>
      </c>
      <c r="G1212" s="149" t="s">
        <v>135</v>
      </c>
      <c r="H1212" s="168" t="s">
        <v>39</v>
      </c>
      <c r="I1212" s="168" t="s">
        <v>677</v>
      </c>
      <c r="J1212" s="168" t="s">
        <v>863</v>
      </c>
      <c r="K1212" s="168" t="s">
        <v>535</v>
      </c>
      <c r="L1212" s="160"/>
      <c r="M1212" s="169"/>
    </row>
    <row r="1213" spans="1:13" x14ac:dyDescent="0.55000000000000004">
      <c r="A1213" s="54" t="s">
        <v>862</v>
      </c>
      <c r="B1213" s="168" t="s">
        <v>153</v>
      </c>
      <c r="C1213" s="168" t="s">
        <v>127</v>
      </c>
      <c r="D1213" s="168" t="s">
        <v>2994</v>
      </c>
      <c r="E1213" s="116">
        <v>0.27500000000000002</v>
      </c>
      <c r="F1213" s="149" t="s">
        <v>138</v>
      </c>
      <c r="G1213" s="149" t="s">
        <v>135</v>
      </c>
      <c r="H1213" s="168" t="s">
        <v>39</v>
      </c>
      <c r="I1213" s="168" t="s">
        <v>535</v>
      </c>
      <c r="J1213" s="168" t="s">
        <v>863</v>
      </c>
      <c r="K1213" s="168" t="s">
        <v>535</v>
      </c>
      <c r="L1213" s="160"/>
      <c r="M1213" s="169"/>
    </row>
    <row r="1214" spans="1:13" x14ac:dyDescent="0.55000000000000004">
      <c r="A1214" s="54" t="s">
        <v>860</v>
      </c>
      <c r="B1214" s="168" t="s">
        <v>236</v>
      </c>
      <c r="C1214" s="168" t="s">
        <v>121</v>
      </c>
      <c r="D1214" s="168" t="s">
        <v>3288</v>
      </c>
      <c r="E1214" s="116">
        <v>1</v>
      </c>
      <c r="F1214" s="149" t="s">
        <v>135</v>
      </c>
      <c r="G1214" s="149">
        <v>1</v>
      </c>
      <c r="H1214" s="168" t="s">
        <v>39</v>
      </c>
      <c r="I1214" s="168" t="s">
        <v>670</v>
      </c>
      <c r="J1214" s="168" t="s">
        <v>861</v>
      </c>
      <c r="K1214" s="168" t="s">
        <v>535</v>
      </c>
      <c r="L1214" s="160">
        <v>2523</v>
      </c>
      <c r="M1214" s="169"/>
    </row>
    <row r="1215" spans="1:13" x14ac:dyDescent="0.55000000000000004">
      <c r="A1215" s="54" t="s">
        <v>860</v>
      </c>
      <c r="B1215" s="168" t="s">
        <v>134</v>
      </c>
      <c r="C1215" s="168" t="s">
        <v>125</v>
      </c>
      <c r="D1215" s="168" t="s">
        <v>3288</v>
      </c>
      <c r="E1215" s="116">
        <v>0.312</v>
      </c>
      <c r="F1215" s="149" t="s">
        <v>135</v>
      </c>
      <c r="G1215" s="149" t="s">
        <v>135</v>
      </c>
      <c r="H1215" s="168" t="s">
        <v>39</v>
      </c>
      <c r="I1215" s="168" t="s">
        <v>671</v>
      </c>
      <c r="J1215" s="168" t="s">
        <v>861</v>
      </c>
      <c r="K1215" s="168">
        <v>64</v>
      </c>
      <c r="L1215" s="160"/>
      <c r="M1215" s="169"/>
    </row>
    <row r="1216" spans="1:13" x14ac:dyDescent="0.55000000000000004">
      <c r="A1216" s="54" t="s">
        <v>860</v>
      </c>
      <c r="B1216" s="168" t="s">
        <v>805</v>
      </c>
      <c r="C1216" s="168" t="s">
        <v>125</v>
      </c>
      <c r="D1216" s="168" t="s">
        <v>3288</v>
      </c>
      <c r="E1216" s="116">
        <v>0.60399999999999998</v>
      </c>
      <c r="F1216" s="149" t="s">
        <v>135</v>
      </c>
      <c r="G1216" s="149" t="s">
        <v>135</v>
      </c>
      <c r="H1216" s="168" t="s">
        <v>39</v>
      </c>
      <c r="I1216" s="168" t="s">
        <v>673</v>
      </c>
      <c r="J1216" s="168" t="s">
        <v>861</v>
      </c>
      <c r="K1216" s="168">
        <v>64</v>
      </c>
      <c r="L1216" s="160"/>
      <c r="M1216" s="169"/>
    </row>
    <row r="1217" spans="1:13" x14ac:dyDescent="0.55000000000000004">
      <c r="A1217" s="54" t="s">
        <v>860</v>
      </c>
      <c r="B1217" s="168" t="s">
        <v>859</v>
      </c>
      <c r="C1217" s="168" t="s">
        <v>125</v>
      </c>
      <c r="D1217" s="168" t="s">
        <v>3288</v>
      </c>
      <c r="E1217" s="116">
        <v>2.1000000000000001E-2</v>
      </c>
      <c r="F1217" s="149" t="s">
        <v>135</v>
      </c>
      <c r="G1217" s="149" t="s">
        <v>135</v>
      </c>
      <c r="H1217" s="168" t="s">
        <v>39</v>
      </c>
      <c r="I1217" s="168" t="s">
        <v>674</v>
      </c>
      <c r="J1217" s="168" t="s">
        <v>861</v>
      </c>
      <c r="K1217" s="168" t="s">
        <v>535</v>
      </c>
      <c r="L1217" s="160"/>
      <c r="M1217" s="169"/>
    </row>
    <row r="1218" spans="1:13" x14ac:dyDescent="0.55000000000000004">
      <c r="A1218" s="54" t="s">
        <v>860</v>
      </c>
      <c r="B1218" s="168" t="s">
        <v>131</v>
      </c>
      <c r="C1218" s="168" t="s">
        <v>132</v>
      </c>
      <c r="D1218" s="168" t="s">
        <v>3288</v>
      </c>
      <c r="E1218" s="116">
        <v>6.3E-2</v>
      </c>
      <c r="F1218" s="149" t="s">
        <v>135</v>
      </c>
      <c r="G1218" s="149" t="s">
        <v>135</v>
      </c>
      <c r="H1218" s="168" t="s">
        <v>39</v>
      </c>
      <c r="I1218" s="168" t="s">
        <v>535</v>
      </c>
      <c r="J1218" s="168" t="s">
        <v>861</v>
      </c>
      <c r="K1218" s="168" t="s">
        <v>535</v>
      </c>
      <c r="L1218" s="160"/>
      <c r="M1218" s="169"/>
    </row>
    <row r="1219" spans="1:13" x14ac:dyDescent="0.55000000000000004">
      <c r="A1219" s="54" t="s">
        <v>860</v>
      </c>
      <c r="B1219" s="168" t="s">
        <v>153</v>
      </c>
      <c r="C1219" s="168" t="s">
        <v>127</v>
      </c>
      <c r="D1219" s="168" t="s">
        <v>2994</v>
      </c>
      <c r="E1219" s="116">
        <v>0.187</v>
      </c>
      <c r="F1219" s="149" t="s">
        <v>138</v>
      </c>
      <c r="G1219" s="149" t="s">
        <v>135</v>
      </c>
      <c r="H1219" s="168" t="s">
        <v>39</v>
      </c>
      <c r="I1219" s="168" t="s">
        <v>659</v>
      </c>
      <c r="J1219" s="168" t="s">
        <v>861</v>
      </c>
      <c r="K1219" s="168" t="s">
        <v>535</v>
      </c>
      <c r="L1219" s="160"/>
      <c r="M1219" s="169"/>
    </row>
    <row r="1220" spans="1:13" x14ac:dyDescent="0.55000000000000004">
      <c r="A1220" s="54" t="s">
        <v>857</v>
      </c>
      <c r="B1220" s="168" t="s">
        <v>236</v>
      </c>
      <c r="C1220" s="168" t="s">
        <v>121</v>
      </c>
      <c r="D1220" s="168" t="s">
        <v>3288</v>
      </c>
      <c r="E1220" s="116">
        <v>1</v>
      </c>
      <c r="F1220" s="149" t="s">
        <v>135</v>
      </c>
      <c r="G1220" s="149">
        <v>1</v>
      </c>
      <c r="H1220" s="168" t="s">
        <v>39</v>
      </c>
      <c r="I1220" s="168" t="s">
        <v>659</v>
      </c>
      <c r="J1220" s="168" t="s">
        <v>858</v>
      </c>
      <c r="K1220" s="168" t="s">
        <v>535</v>
      </c>
      <c r="L1220" s="160">
        <v>2523</v>
      </c>
      <c r="M1220" s="169"/>
    </row>
    <row r="1221" spans="1:13" x14ac:dyDescent="0.55000000000000004">
      <c r="A1221" s="54" t="s">
        <v>857</v>
      </c>
      <c r="B1221" s="168" t="s">
        <v>134</v>
      </c>
      <c r="C1221" s="168" t="s">
        <v>125</v>
      </c>
      <c r="D1221" s="168" t="s">
        <v>3288</v>
      </c>
      <c r="E1221" s="116">
        <v>0.312</v>
      </c>
      <c r="F1221" s="149" t="s">
        <v>135</v>
      </c>
      <c r="G1221" s="149" t="s">
        <v>135</v>
      </c>
      <c r="H1221" s="168" t="s">
        <v>39</v>
      </c>
      <c r="I1221" s="168" t="s">
        <v>659</v>
      </c>
      <c r="J1221" s="168" t="s">
        <v>858</v>
      </c>
      <c r="K1221" s="168">
        <v>58</v>
      </c>
      <c r="L1221" s="160"/>
      <c r="M1221" s="169"/>
    </row>
    <row r="1222" spans="1:13" x14ac:dyDescent="0.55000000000000004">
      <c r="A1222" s="54" t="s">
        <v>857</v>
      </c>
      <c r="B1222" s="168" t="s">
        <v>805</v>
      </c>
      <c r="C1222" s="168" t="s">
        <v>125</v>
      </c>
      <c r="D1222" s="168" t="s">
        <v>3288</v>
      </c>
      <c r="E1222" s="116">
        <v>0.60399999999999998</v>
      </c>
      <c r="F1222" s="149" t="s">
        <v>135</v>
      </c>
      <c r="G1222" s="149" t="s">
        <v>135</v>
      </c>
      <c r="H1222" s="168" t="s">
        <v>39</v>
      </c>
      <c r="I1222" s="168" t="s">
        <v>667</v>
      </c>
      <c r="J1222" s="168" t="s">
        <v>858</v>
      </c>
      <c r="K1222" s="168">
        <v>58</v>
      </c>
      <c r="L1222" s="160"/>
      <c r="M1222" s="169"/>
    </row>
    <row r="1223" spans="1:13" x14ac:dyDescent="0.55000000000000004">
      <c r="A1223" s="54" t="s">
        <v>857</v>
      </c>
      <c r="B1223" s="168" t="s">
        <v>859</v>
      </c>
      <c r="C1223" s="168" t="s">
        <v>125</v>
      </c>
      <c r="D1223" s="168" t="s">
        <v>3288</v>
      </c>
      <c r="E1223" s="116">
        <v>2.1000000000000001E-2</v>
      </c>
      <c r="F1223" s="149" t="s">
        <v>135</v>
      </c>
      <c r="G1223" s="149" t="s">
        <v>135</v>
      </c>
      <c r="H1223" s="168" t="s">
        <v>39</v>
      </c>
      <c r="I1223" s="168" t="s">
        <v>535</v>
      </c>
      <c r="J1223" s="168" t="s">
        <v>858</v>
      </c>
      <c r="K1223" s="168" t="s">
        <v>535</v>
      </c>
      <c r="L1223" s="160"/>
      <c r="M1223" s="169"/>
    </row>
    <row r="1224" spans="1:13" x14ac:dyDescent="0.55000000000000004">
      <c r="A1224" s="54" t="s">
        <v>857</v>
      </c>
      <c r="B1224" s="168" t="s">
        <v>131</v>
      </c>
      <c r="C1224" s="168" t="s">
        <v>132</v>
      </c>
      <c r="D1224" s="168" t="s">
        <v>3288</v>
      </c>
      <c r="E1224" s="116">
        <v>6.3E-2</v>
      </c>
      <c r="F1224" s="149" t="s">
        <v>135</v>
      </c>
      <c r="G1224" s="149" t="s">
        <v>135</v>
      </c>
      <c r="H1224" s="168" t="s">
        <v>39</v>
      </c>
      <c r="I1224" s="168" t="s">
        <v>668</v>
      </c>
      <c r="J1224" s="168" t="s">
        <v>858</v>
      </c>
      <c r="K1224" s="168" t="s">
        <v>535</v>
      </c>
      <c r="L1224" s="160"/>
      <c r="M1224" s="169"/>
    </row>
    <row r="1225" spans="1:13" x14ac:dyDescent="0.55000000000000004">
      <c r="A1225" s="54" t="s">
        <v>857</v>
      </c>
      <c r="B1225" s="168" t="s">
        <v>153</v>
      </c>
      <c r="C1225" s="168" t="s">
        <v>127</v>
      </c>
      <c r="D1225" s="168" t="s">
        <v>2994</v>
      </c>
      <c r="E1225" s="116">
        <v>0.20899999999999999</v>
      </c>
      <c r="F1225" s="149" t="s">
        <v>138</v>
      </c>
      <c r="G1225" s="149" t="s">
        <v>135</v>
      </c>
      <c r="H1225" s="168" t="s">
        <v>39</v>
      </c>
      <c r="I1225" s="168" t="s">
        <v>669</v>
      </c>
      <c r="J1225" s="168" t="s">
        <v>858</v>
      </c>
      <c r="K1225" s="168" t="s">
        <v>535</v>
      </c>
      <c r="L1225" s="160"/>
      <c r="M1225" s="169"/>
    </row>
    <row r="1226" spans="1:13" x14ac:dyDescent="0.55000000000000004">
      <c r="A1226" s="65" t="s">
        <v>855</v>
      </c>
      <c r="B1226" s="168" t="s">
        <v>153</v>
      </c>
      <c r="C1226" s="168" t="s">
        <v>121</v>
      </c>
      <c r="D1226" s="168" t="s">
        <v>2994</v>
      </c>
      <c r="E1226" s="116">
        <v>3.15E-2</v>
      </c>
      <c r="F1226" s="149" t="s">
        <v>765</v>
      </c>
      <c r="G1226" s="149">
        <v>1</v>
      </c>
      <c r="H1226" s="168" t="s">
        <v>39</v>
      </c>
      <c r="I1226" s="168" t="s">
        <v>535</v>
      </c>
      <c r="J1226" s="168" t="s">
        <v>856</v>
      </c>
      <c r="K1226" s="168" t="s">
        <v>535</v>
      </c>
      <c r="L1226" s="160" t="s">
        <v>851</v>
      </c>
      <c r="M1226" s="169"/>
    </row>
    <row r="1227" spans="1:13" x14ac:dyDescent="0.55000000000000004">
      <c r="A1227" s="65" t="s">
        <v>855</v>
      </c>
      <c r="B1227" s="168" t="s">
        <v>847</v>
      </c>
      <c r="C1227" s="168" t="s">
        <v>127</v>
      </c>
      <c r="D1227" s="168" t="s">
        <v>2994</v>
      </c>
      <c r="E1227" s="116">
        <v>2.3E-2</v>
      </c>
      <c r="F1227" s="149" t="s">
        <v>765</v>
      </c>
      <c r="G1227" s="149" t="s">
        <v>765</v>
      </c>
      <c r="H1227" s="168" t="s">
        <v>39</v>
      </c>
      <c r="I1227" s="168" t="s">
        <v>659</v>
      </c>
      <c r="J1227" s="168" t="s">
        <v>856</v>
      </c>
      <c r="K1227" s="168">
        <v>58</v>
      </c>
      <c r="L1227" s="160"/>
      <c r="M1227" s="169"/>
    </row>
    <row r="1228" spans="1:13" x14ac:dyDescent="0.55000000000000004">
      <c r="A1228" s="65" t="s">
        <v>855</v>
      </c>
      <c r="B1228" s="168" t="s">
        <v>796</v>
      </c>
      <c r="C1228" s="168" t="s">
        <v>156</v>
      </c>
      <c r="D1228" s="168" t="s">
        <v>2994</v>
      </c>
      <c r="E1228" s="116">
        <v>7.8899999999999998E-2</v>
      </c>
      <c r="F1228" s="149" t="s">
        <v>765</v>
      </c>
      <c r="G1228" s="149" t="s">
        <v>765</v>
      </c>
      <c r="H1228" s="168" t="s">
        <v>39</v>
      </c>
      <c r="I1228" s="168" t="s">
        <v>659</v>
      </c>
      <c r="J1228" s="168" t="s">
        <v>856</v>
      </c>
      <c r="K1228" s="168">
        <v>58</v>
      </c>
      <c r="L1228" s="160"/>
      <c r="M1228" s="169"/>
    </row>
    <row r="1229" spans="1:13" x14ac:dyDescent="0.55000000000000004">
      <c r="A1229" s="65" t="s">
        <v>855</v>
      </c>
      <c r="B1229" s="168" t="s">
        <v>160</v>
      </c>
      <c r="C1229" s="168" t="s">
        <v>124</v>
      </c>
      <c r="D1229" s="168" t="s">
        <v>3288</v>
      </c>
      <c r="E1229" s="116">
        <v>1.5100000000000001E-2</v>
      </c>
      <c r="F1229" s="149" t="s">
        <v>768</v>
      </c>
      <c r="G1229" s="149" t="s">
        <v>765</v>
      </c>
      <c r="H1229" s="168" t="s">
        <v>39</v>
      </c>
      <c r="I1229" s="168" t="s">
        <v>659</v>
      </c>
      <c r="J1229" s="168" t="s">
        <v>856</v>
      </c>
      <c r="K1229" s="168">
        <v>58</v>
      </c>
      <c r="L1229" s="160"/>
      <c r="M1229" s="169"/>
    </row>
    <row r="1230" spans="1:13" x14ac:dyDescent="0.55000000000000004">
      <c r="A1230" s="65" t="s">
        <v>853</v>
      </c>
      <c r="B1230" s="168" t="s">
        <v>153</v>
      </c>
      <c r="C1230" s="168" t="s">
        <v>121</v>
      </c>
      <c r="D1230" s="168" t="s">
        <v>2994</v>
      </c>
      <c r="E1230" s="116">
        <v>3.15E-2</v>
      </c>
      <c r="F1230" s="149" t="s">
        <v>765</v>
      </c>
      <c r="G1230" s="149">
        <v>1</v>
      </c>
      <c r="H1230" s="168" t="s">
        <v>39</v>
      </c>
      <c r="I1230" s="168" t="s">
        <v>659</v>
      </c>
      <c r="J1230" s="168" t="s">
        <v>854</v>
      </c>
      <c r="K1230" s="168" t="s">
        <v>535</v>
      </c>
      <c r="L1230" s="160" t="s">
        <v>851</v>
      </c>
      <c r="M1230" s="169"/>
    </row>
    <row r="1231" spans="1:13" x14ac:dyDescent="0.55000000000000004">
      <c r="A1231" s="65" t="s">
        <v>853</v>
      </c>
      <c r="B1231" s="168" t="s">
        <v>847</v>
      </c>
      <c r="C1231" s="168" t="s">
        <v>127</v>
      </c>
      <c r="D1231" s="168" t="s">
        <v>2994</v>
      </c>
      <c r="E1231" s="116">
        <v>2.3E-2</v>
      </c>
      <c r="F1231" s="149" t="s">
        <v>765</v>
      </c>
      <c r="G1231" s="149" t="s">
        <v>765</v>
      </c>
      <c r="H1231" s="168" t="s">
        <v>39</v>
      </c>
      <c r="I1231" s="168" t="s">
        <v>662</v>
      </c>
      <c r="J1231" s="168" t="s">
        <v>854</v>
      </c>
      <c r="K1231" s="168">
        <v>62</v>
      </c>
      <c r="L1231" s="160"/>
      <c r="M1231" s="169"/>
    </row>
    <row r="1232" spans="1:13" x14ac:dyDescent="0.55000000000000004">
      <c r="A1232" s="65" t="s">
        <v>853</v>
      </c>
      <c r="B1232" s="168" t="s">
        <v>289</v>
      </c>
      <c r="C1232" s="168" t="s">
        <v>156</v>
      </c>
      <c r="D1232" s="168" t="s">
        <v>2994</v>
      </c>
      <c r="E1232" s="116">
        <v>7.6899999999999996E-2</v>
      </c>
      <c r="F1232" s="149" t="s">
        <v>765</v>
      </c>
      <c r="G1232" s="149" t="s">
        <v>765</v>
      </c>
      <c r="H1232" s="168" t="s">
        <v>39</v>
      </c>
      <c r="I1232" s="168" t="s">
        <v>659</v>
      </c>
      <c r="J1232" s="168" t="s">
        <v>854</v>
      </c>
      <c r="K1232" s="168" t="s">
        <v>535</v>
      </c>
      <c r="L1232" s="160"/>
      <c r="M1232" s="169"/>
    </row>
    <row r="1233" spans="1:13" x14ac:dyDescent="0.55000000000000004">
      <c r="A1233" s="65" t="s">
        <v>853</v>
      </c>
      <c r="B1233" s="168" t="s">
        <v>160</v>
      </c>
      <c r="C1233" s="168" t="s">
        <v>124</v>
      </c>
      <c r="D1233" s="168" t="s">
        <v>3288</v>
      </c>
      <c r="E1233" s="116">
        <v>1.9E-2</v>
      </c>
      <c r="F1233" s="149" t="s">
        <v>768</v>
      </c>
      <c r="G1233" s="149" t="s">
        <v>765</v>
      </c>
      <c r="H1233" s="168" t="s">
        <v>39</v>
      </c>
      <c r="I1233" s="168" t="s">
        <v>664</v>
      </c>
      <c r="J1233" s="168" t="s">
        <v>854</v>
      </c>
      <c r="K1233" s="168" t="s">
        <v>535</v>
      </c>
      <c r="L1233" s="160"/>
      <c r="M1233" s="169"/>
    </row>
    <row r="1234" spans="1:13" x14ac:dyDescent="0.55000000000000004">
      <c r="A1234" s="65" t="s">
        <v>850</v>
      </c>
      <c r="B1234" s="168" t="s">
        <v>153</v>
      </c>
      <c r="C1234" s="168" t="s">
        <v>121</v>
      </c>
      <c r="D1234" s="168" t="s">
        <v>2994</v>
      </c>
      <c r="E1234" s="116">
        <v>3.1300000000000001E-2</v>
      </c>
      <c r="F1234" s="149" t="s">
        <v>765</v>
      </c>
      <c r="G1234" s="149">
        <v>1</v>
      </c>
      <c r="H1234" s="168" t="s">
        <v>39</v>
      </c>
      <c r="I1234" s="168" t="s">
        <v>535</v>
      </c>
      <c r="J1234" s="168" t="s">
        <v>852</v>
      </c>
      <c r="K1234" s="168" t="s">
        <v>535</v>
      </c>
      <c r="L1234" s="160" t="s">
        <v>851</v>
      </c>
      <c r="M1234" s="169"/>
    </row>
    <row r="1235" spans="1:13" x14ac:dyDescent="0.55000000000000004">
      <c r="A1235" s="65" t="s">
        <v>850</v>
      </c>
      <c r="B1235" s="168" t="s">
        <v>847</v>
      </c>
      <c r="C1235" s="168" t="s">
        <v>127</v>
      </c>
      <c r="D1235" s="168" t="s">
        <v>2994</v>
      </c>
      <c r="E1235" s="116">
        <v>0.17499999999999999</v>
      </c>
      <c r="F1235" s="149" t="s">
        <v>765</v>
      </c>
      <c r="G1235" s="149" t="s">
        <v>765</v>
      </c>
      <c r="H1235" s="168" t="s">
        <v>39</v>
      </c>
      <c r="I1235" s="168" t="s">
        <v>659</v>
      </c>
      <c r="J1235" s="168" t="s">
        <v>852</v>
      </c>
      <c r="K1235" s="168">
        <v>58</v>
      </c>
      <c r="L1235" s="160"/>
      <c r="M1235" s="169"/>
    </row>
    <row r="1236" spans="1:13" x14ac:dyDescent="0.55000000000000004">
      <c r="A1236" s="65" t="s">
        <v>850</v>
      </c>
      <c r="B1236" s="168" t="s">
        <v>171</v>
      </c>
      <c r="C1236" s="168" t="s">
        <v>127</v>
      </c>
      <c r="D1236" s="168" t="s">
        <v>2994</v>
      </c>
      <c r="E1236" s="116">
        <v>8.1299999999999997E-2</v>
      </c>
      <c r="F1236" s="149" t="s">
        <v>765</v>
      </c>
      <c r="G1236" s="149" t="s">
        <v>765</v>
      </c>
      <c r="H1236" s="168" t="s">
        <v>39</v>
      </c>
      <c r="I1236" s="168" t="s">
        <v>659</v>
      </c>
      <c r="J1236" s="168" t="s">
        <v>852</v>
      </c>
      <c r="K1236" s="168" t="s">
        <v>535</v>
      </c>
      <c r="L1236" s="160"/>
      <c r="M1236" s="169"/>
    </row>
    <row r="1237" spans="1:13" x14ac:dyDescent="0.55000000000000004">
      <c r="A1237" s="65" t="s">
        <v>850</v>
      </c>
      <c r="B1237" s="168" t="s">
        <v>796</v>
      </c>
      <c r="C1237" s="168" t="s">
        <v>156</v>
      </c>
      <c r="D1237" s="168" t="s">
        <v>2994</v>
      </c>
      <c r="E1237" s="116">
        <v>8.5000000000000006E-2</v>
      </c>
      <c r="F1237" s="149" t="s">
        <v>765</v>
      </c>
      <c r="G1237" s="149" t="s">
        <v>765</v>
      </c>
      <c r="H1237" s="168" t="s">
        <v>39</v>
      </c>
      <c r="I1237" s="168" t="s">
        <v>660</v>
      </c>
      <c r="J1237" s="168" t="s">
        <v>852</v>
      </c>
      <c r="K1237" s="168" t="s">
        <v>535</v>
      </c>
      <c r="L1237" s="160"/>
      <c r="M1237" s="169"/>
    </row>
    <row r="1238" spans="1:13" x14ac:dyDescent="0.55000000000000004">
      <c r="A1238" s="65" t="s">
        <v>850</v>
      </c>
      <c r="B1238" s="168" t="s">
        <v>289</v>
      </c>
      <c r="C1238" s="168" t="s">
        <v>156</v>
      </c>
      <c r="D1238" s="168" t="s">
        <v>2994</v>
      </c>
      <c r="E1238" s="116">
        <v>4.6199999999999998E-2</v>
      </c>
      <c r="F1238" s="149" t="s">
        <v>765</v>
      </c>
      <c r="G1238" s="149" t="s">
        <v>765</v>
      </c>
      <c r="H1238" s="168" t="s">
        <v>39</v>
      </c>
      <c r="I1238" s="168" t="s">
        <v>535</v>
      </c>
      <c r="J1238" s="168" t="s">
        <v>852</v>
      </c>
      <c r="K1238" s="168" t="s">
        <v>535</v>
      </c>
      <c r="L1238" s="160"/>
      <c r="M1238" s="169"/>
    </row>
    <row r="1239" spans="1:13" x14ac:dyDescent="0.55000000000000004">
      <c r="A1239" s="65" t="s">
        <v>850</v>
      </c>
      <c r="B1239" s="168" t="s">
        <v>298</v>
      </c>
      <c r="C1239" s="168" t="s">
        <v>156</v>
      </c>
      <c r="D1239" s="168" t="s">
        <v>2994</v>
      </c>
      <c r="E1239" s="116">
        <v>2.5000000000000001E-2</v>
      </c>
      <c r="F1239" s="149" t="s">
        <v>765</v>
      </c>
      <c r="G1239" s="149" t="s">
        <v>765</v>
      </c>
      <c r="H1239" s="168" t="s">
        <v>39</v>
      </c>
      <c r="I1239" s="168" t="s">
        <v>659</v>
      </c>
      <c r="J1239" s="168" t="s">
        <v>852</v>
      </c>
      <c r="K1239" s="168">
        <v>58</v>
      </c>
      <c r="L1239" s="160"/>
      <c r="M1239" s="169"/>
    </row>
    <row r="1240" spans="1:13" x14ac:dyDescent="0.55000000000000004">
      <c r="A1240" s="65" t="s">
        <v>850</v>
      </c>
      <c r="B1240" s="168" t="s">
        <v>160</v>
      </c>
      <c r="C1240" s="168" t="s">
        <v>124</v>
      </c>
      <c r="D1240" s="168" t="s">
        <v>3288</v>
      </c>
      <c r="E1240" s="116">
        <v>3.3399999999999999E-2</v>
      </c>
      <c r="F1240" s="149" t="s">
        <v>768</v>
      </c>
      <c r="G1240" s="149" t="s">
        <v>765</v>
      </c>
      <c r="H1240" s="168" t="s">
        <v>39</v>
      </c>
      <c r="I1240" s="168" t="s">
        <v>659</v>
      </c>
      <c r="J1240" s="168" t="s">
        <v>852</v>
      </c>
      <c r="K1240" s="168" t="s">
        <v>535</v>
      </c>
      <c r="L1240" s="160"/>
      <c r="M1240" s="169"/>
    </row>
    <row r="1241" spans="1:13" x14ac:dyDescent="0.55000000000000004">
      <c r="A1241" s="65" t="s">
        <v>848</v>
      </c>
      <c r="B1241" s="168" t="s">
        <v>293</v>
      </c>
      <c r="C1241" s="168" t="s">
        <v>121</v>
      </c>
      <c r="D1241" s="168" t="s">
        <v>3288</v>
      </c>
      <c r="E1241" s="116">
        <v>1</v>
      </c>
      <c r="F1241" s="149" t="s">
        <v>768</v>
      </c>
      <c r="G1241" s="149">
        <v>1</v>
      </c>
      <c r="H1241" s="168" t="s">
        <v>39</v>
      </c>
      <c r="I1241" s="168" t="s">
        <v>644</v>
      </c>
      <c r="J1241" s="168" t="s">
        <v>849</v>
      </c>
      <c r="K1241" s="168">
        <v>58</v>
      </c>
      <c r="L1241" s="160">
        <v>2704</v>
      </c>
      <c r="M1241" s="169"/>
    </row>
    <row r="1242" spans="1:13" x14ac:dyDescent="0.55000000000000004">
      <c r="A1242" s="65" t="s">
        <v>848</v>
      </c>
      <c r="B1242" s="168" t="s">
        <v>298</v>
      </c>
      <c r="C1242" s="168" t="s">
        <v>156</v>
      </c>
      <c r="D1242" s="168" t="s">
        <v>2994</v>
      </c>
      <c r="E1242" s="116">
        <v>7.23</v>
      </c>
      <c r="F1242" s="149" t="s">
        <v>765</v>
      </c>
      <c r="G1242" s="149" t="s">
        <v>768</v>
      </c>
      <c r="H1242" s="168" t="s">
        <v>39</v>
      </c>
      <c r="I1242" s="168" t="s">
        <v>645</v>
      </c>
      <c r="J1242" s="168" t="s">
        <v>849</v>
      </c>
      <c r="K1242" s="168" t="s">
        <v>535</v>
      </c>
      <c r="L1242" s="160"/>
      <c r="M1242" s="169"/>
    </row>
    <row r="1243" spans="1:13" x14ac:dyDescent="0.55000000000000004">
      <c r="A1243" s="65" t="s">
        <v>848</v>
      </c>
      <c r="B1243" s="168" t="s">
        <v>845</v>
      </c>
      <c r="C1243" s="168" t="s">
        <v>156</v>
      </c>
      <c r="D1243" s="168" t="s">
        <v>3288</v>
      </c>
      <c r="E1243" s="116">
        <v>35.9</v>
      </c>
      <c r="F1243" s="149" t="s">
        <v>763</v>
      </c>
      <c r="G1243" s="149" t="s">
        <v>768</v>
      </c>
      <c r="H1243" s="168" t="s">
        <v>39</v>
      </c>
      <c r="I1243" s="168" t="s">
        <v>646</v>
      </c>
      <c r="J1243" s="168" t="s">
        <v>849</v>
      </c>
      <c r="K1243" s="168" t="s">
        <v>535</v>
      </c>
      <c r="L1243" s="160"/>
      <c r="M1243" s="169"/>
    </row>
    <row r="1244" spans="1:13" x14ac:dyDescent="0.55000000000000004">
      <c r="A1244" s="65" t="s">
        <v>848</v>
      </c>
      <c r="B1244" s="168" t="s">
        <v>846</v>
      </c>
      <c r="C1244" s="168" t="s">
        <v>156</v>
      </c>
      <c r="D1244" s="168" t="s">
        <v>3288</v>
      </c>
      <c r="E1244" s="116">
        <v>11.8</v>
      </c>
      <c r="F1244" s="149" t="s">
        <v>763</v>
      </c>
      <c r="G1244" s="149" t="s">
        <v>768</v>
      </c>
      <c r="H1244" s="168" t="s">
        <v>39</v>
      </c>
      <c r="I1244" s="168" t="s">
        <v>535</v>
      </c>
      <c r="J1244" s="168" t="s">
        <v>849</v>
      </c>
      <c r="K1244" s="168" t="s">
        <v>535</v>
      </c>
      <c r="L1244" s="160"/>
      <c r="M1244" s="169"/>
    </row>
    <row r="1245" spans="1:13" x14ac:dyDescent="0.55000000000000004">
      <c r="A1245" s="65" t="s">
        <v>848</v>
      </c>
      <c r="B1245" s="168" t="s">
        <v>847</v>
      </c>
      <c r="C1245" s="168" t="s">
        <v>127</v>
      </c>
      <c r="D1245" s="168" t="s">
        <v>2994</v>
      </c>
      <c r="E1245" s="116">
        <v>1.5</v>
      </c>
      <c r="F1245" s="149" t="s">
        <v>765</v>
      </c>
      <c r="G1245" s="149" t="s">
        <v>768</v>
      </c>
      <c r="H1245" s="168" t="s">
        <v>39</v>
      </c>
      <c r="I1245" s="168" t="s">
        <v>647</v>
      </c>
      <c r="J1245" s="168" t="s">
        <v>849</v>
      </c>
      <c r="K1245" s="168">
        <v>58</v>
      </c>
      <c r="L1245" s="160"/>
      <c r="M1245" s="169"/>
    </row>
    <row r="1246" spans="1:13" x14ac:dyDescent="0.55000000000000004">
      <c r="A1246" s="65" t="s">
        <v>848</v>
      </c>
      <c r="B1246" s="168" t="s">
        <v>262</v>
      </c>
      <c r="C1246" s="168" t="s">
        <v>127</v>
      </c>
      <c r="D1246" s="168" t="s">
        <v>2994</v>
      </c>
      <c r="E1246" s="116">
        <v>36.700000000000003</v>
      </c>
      <c r="F1246" s="149" t="s">
        <v>765</v>
      </c>
      <c r="G1246" s="149" t="s">
        <v>768</v>
      </c>
      <c r="H1246" s="168" t="s">
        <v>39</v>
      </c>
      <c r="I1246" s="168" t="s">
        <v>652</v>
      </c>
      <c r="J1246" s="168" t="s">
        <v>849</v>
      </c>
      <c r="K1246" s="168">
        <v>58</v>
      </c>
      <c r="L1246" s="160"/>
      <c r="M1246" s="169"/>
    </row>
    <row r="1247" spans="1:13" x14ac:dyDescent="0.55000000000000004">
      <c r="A1247" s="65" t="s">
        <v>848</v>
      </c>
      <c r="B1247" s="168" t="s">
        <v>298</v>
      </c>
      <c r="C1247" s="168" t="s">
        <v>156</v>
      </c>
      <c r="D1247" s="168" t="s">
        <v>2994</v>
      </c>
      <c r="E1247" s="116">
        <v>2.68</v>
      </c>
      <c r="F1247" s="149" t="s">
        <v>765</v>
      </c>
      <c r="G1247" s="149" t="s">
        <v>768</v>
      </c>
      <c r="H1247" s="168" t="s">
        <v>39</v>
      </c>
      <c r="I1247" s="168" t="s">
        <v>653</v>
      </c>
      <c r="J1247" s="168" t="s">
        <v>849</v>
      </c>
      <c r="K1247" s="168">
        <v>58</v>
      </c>
      <c r="L1247" s="160"/>
      <c r="M1247" s="169"/>
    </row>
    <row r="1248" spans="1:13" x14ac:dyDescent="0.55000000000000004">
      <c r="A1248" s="65" t="s">
        <v>848</v>
      </c>
      <c r="B1248" s="168" t="s">
        <v>289</v>
      </c>
      <c r="C1248" s="168" t="s">
        <v>156</v>
      </c>
      <c r="D1248" s="168" t="s">
        <v>2994</v>
      </c>
      <c r="E1248" s="116">
        <v>0.81799999999999995</v>
      </c>
      <c r="F1248" s="149" t="s">
        <v>765</v>
      </c>
      <c r="G1248" s="149" t="s">
        <v>768</v>
      </c>
      <c r="H1248" s="168" t="s">
        <v>39</v>
      </c>
      <c r="I1248" s="168" t="s">
        <v>654</v>
      </c>
      <c r="J1248" s="168" t="s">
        <v>849</v>
      </c>
      <c r="K1248" s="168" t="s">
        <v>535</v>
      </c>
      <c r="L1248" s="160"/>
      <c r="M1248" s="169"/>
    </row>
    <row r="1249" spans="1:13" x14ac:dyDescent="0.55000000000000004">
      <c r="A1249" s="65" t="s">
        <v>848</v>
      </c>
      <c r="B1249" s="168" t="s">
        <v>153</v>
      </c>
      <c r="C1249" s="168" t="s">
        <v>127</v>
      </c>
      <c r="D1249" s="168" t="s">
        <v>2994</v>
      </c>
      <c r="E1249" s="116">
        <v>0.13600000000000001</v>
      </c>
      <c r="F1249" s="149" t="s">
        <v>765</v>
      </c>
      <c r="G1249" s="149" t="s">
        <v>768</v>
      </c>
      <c r="H1249" s="168" t="s">
        <v>39</v>
      </c>
      <c r="I1249" s="168" t="s">
        <v>655</v>
      </c>
      <c r="J1249" s="168" t="s">
        <v>849</v>
      </c>
      <c r="K1249" s="168">
        <v>58</v>
      </c>
      <c r="L1249" s="160"/>
      <c r="M1249" s="169"/>
    </row>
    <row r="1250" spans="1:13" x14ac:dyDescent="0.55000000000000004">
      <c r="A1250" s="65" t="s">
        <v>848</v>
      </c>
      <c r="B1250" s="168" t="s">
        <v>847</v>
      </c>
      <c r="C1250" s="168" t="s">
        <v>127</v>
      </c>
      <c r="D1250" s="168" t="s">
        <v>2994</v>
      </c>
      <c r="E1250" s="116">
        <v>0.43</v>
      </c>
      <c r="F1250" s="149" t="s">
        <v>765</v>
      </c>
      <c r="G1250" s="149" t="s">
        <v>768</v>
      </c>
      <c r="H1250" s="168" t="s">
        <v>39</v>
      </c>
      <c r="I1250" s="168" t="s">
        <v>656</v>
      </c>
      <c r="J1250" s="168" t="s">
        <v>849</v>
      </c>
      <c r="K1250" s="168">
        <v>58</v>
      </c>
      <c r="L1250" s="160"/>
      <c r="M1250" s="169"/>
    </row>
    <row r="1251" spans="1:13" x14ac:dyDescent="0.55000000000000004">
      <c r="A1251" s="65" t="s">
        <v>848</v>
      </c>
      <c r="B1251" s="168" t="s">
        <v>160</v>
      </c>
      <c r="C1251" s="168" t="s">
        <v>124</v>
      </c>
      <c r="D1251" s="168" t="s">
        <v>3288</v>
      </c>
      <c r="E1251" s="116">
        <v>0.77500000000000002</v>
      </c>
      <c r="F1251" s="149" t="s">
        <v>768</v>
      </c>
      <c r="G1251" s="149" t="s">
        <v>768</v>
      </c>
      <c r="H1251" s="168" t="s">
        <v>39</v>
      </c>
      <c r="I1251" s="168" t="s">
        <v>657</v>
      </c>
      <c r="J1251" s="168" t="s">
        <v>849</v>
      </c>
      <c r="K1251" s="168">
        <v>58</v>
      </c>
      <c r="L1251" s="160"/>
      <c r="M1251" s="169"/>
    </row>
    <row r="1252" spans="1:13" x14ac:dyDescent="0.55000000000000004">
      <c r="A1252" s="65" t="s">
        <v>843</v>
      </c>
      <c r="B1252" s="168" t="s">
        <v>293</v>
      </c>
      <c r="C1252" s="168" t="s">
        <v>121</v>
      </c>
      <c r="D1252" s="168" t="s">
        <v>3288</v>
      </c>
      <c r="E1252" s="116">
        <v>1</v>
      </c>
      <c r="F1252" s="149" t="s">
        <v>768</v>
      </c>
      <c r="G1252" s="149">
        <v>1</v>
      </c>
      <c r="H1252" s="168" t="s">
        <v>39</v>
      </c>
      <c r="I1252" s="168" t="s">
        <v>535</v>
      </c>
      <c r="J1252" s="168" t="s">
        <v>844</v>
      </c>
      <c r="K1252" s="168">
        <v>49</v>
      </c>
      <c r="L1252" s="160">
        <v>2704</v>
      </c>
      <c r="M1252" s="169"/>
    </row>
    <row r="1253" spans="1:13" x14ac:dyDescent="0.55000000000000004">
      <c r="A1253" s="65" t="s">
        <v>843</v>
      </c>
      <c r="B1253" s="168" t="s">
        <v>298</v>
      </c>
      <c r="C1253" s="168" t="s">
        <v>156</v>
      </c>
      <c r="D1253" s="168" t="s">
        <v>2994</v>
      </c>
      <c r="E1253" s="116">
        <v>7.23</v>
      </c>
      <c r="F1253" s="149" t="s">
        <v>765</v>
      </c>
      <c r="G1253" s="149" t="s">
        <v>768</v>
      </c>
      <c r="H1253" s="168" t="s">
        <v>39</v>
      </c>
      <c r="I1253" s="168" t="s">
        <v>540</v>
      </c>
      <c r="J1253" s="168" t="s">
        <v>844</v>
      </c>
      <c r="K1253" s="168">
        <v>48</v>
      </c>
      <c r="L1253" s="160"/>
      <c r="M1253" s="169"/>
    </row>
    <row r="1254" spans="1:13" x14ac:dyDescent="0.55000000000000004">
      <c r="A1254" s="65" t="s">
        <v>843</v>
      </c>
      <c r="B1254" s="168" t="s">
        <v>845</v>
      </c>
      <c r="C1254" s="168" t="s">
        <v>156</v>
      </c>
      <c r="D1254" s="168" t="s">
        <v>3288</v>
      </c>
      <c r="E1254" s="116">
        <v>35.9</v>
      </c>
      <c r="F1254" s="149" t="s">
        <v>763</v>
      </c>
      <c r="G1254" s="149" t="s">
        <v>768</v>
      </c>
      <c r="H1254" s="168" t="s">
        <v>39</v>
      </c>
      <c r="I1254" s="168" t="s">
        <v>594</v>
      </c>
      <c r="J1254" s="168" t="s">
        <v>844</v>
      </c>
      <c r="K1254" s="168" t="s">
        <v>535</v>
      </c>
      <c r="L1254" s="160"/>
      <c r="M1254" s="169"/>
    </row>
    <row r="1255" spans="1:13" x14ac:dyDescent="0.55000000000000004">
      <c r="A1255" s="65" t="s">
        <v>843</v>
      </c>
      <c r="B1255" s="168" t="s">
        <v>846</v>
      </c>
      <c r="C1255" s="168" t="s">
        <v>156</v>
      </c>
      <c r="D1255" s="168" t="s">
        <v>3288</v>
      </c>
      <c r="E1255" s="116">
        <v>11.8</v>
      </c>
      <c r="F1255" s="149" t="s">
        <v>763</v>
      </c>
      <c r="G1255" s="149" t="s">
        <v>768</v>
      </c>
      <c r="H1255" s="168" t="s">
        <v>39</v>
      </c>
      <c r="I1255" s="168" t="s">
        <v>535</v>
      </c>
      <c r="J1255" s="168" t="s">
        <v>844</v>
      </c>
      <c r="K1255" s="168">
        <v>49</v>
      </c>
      <c r="L1255" s="160"/>
      <c r="M1255" s="169"/>
    </row>
    <row r="1256" spans="1:13" x14ac:dyDescent="0.55000000000000004">
      <c r="A1256" s="65" t="s">
        <v>843</v>
      </c>
      <c r="B1256" s="168" t="s">
        <v>847</v>
      </c>
      <c r="C1256" s="168" t="s">
        <v>127</v>
      </c>
      <c r="D1256" s="168" t="s">
        <v>2994</v>
      </c>
      <c r="E1256" s="116">
        <v>1.5</v>
      </c>
      <c r="F1256" s="149" t="s">
        <v>765</v>
      </c>
      <c r="G1256" s="149" t="s">
        <v>768</v>
      </c>
      <c r="H1256" s="168" t="s">
        <v>39</v>
      </c>
      <c r="I1256" s="168" t="s">
        <v>638</v>
      </c>
      <c r="J1256" s="168" t="s">
        <v>844</v>
      </c>
      <c r="K1256" s="168">
        <v>49</v>
      </c>
      <c r="L1256" s="160"/>
      <c r="M1256" s="169"/>
    </row>
    <row r="1257" spans="1:13" x14ac:dyDescent="0.55000000000000004">
      <c r="A1257" s="65" t="s">
        <v>843</v>
      </c>
      <c r="B1257" s="168" t="s">
        <v>262</v>
      </c>
      <c r="C1257" s="168" t="s">
        <v>127</v>
      </c>
      <c r="D1257" s="168" t="s">
        <v>2994</v>
      </c>
      <c r="E1257" s="116">
        <v>36.700000000000003</v>
      </c>
      <c r="F1257" s="149" t="s">
        <v>765</v>
      </c>
      <c r="G1257" s="149" t="s">
        <v>768</v>
      </c>
      <c r="H1257" s="168" t="s">
        <v>39</v>
      </c>
      <c r="I1257" s="168" t="s">
        <v>535</v>
      </c>
      <c r="J1257" s="168" t="s">
        <v>844</v>
      </c>
      <c r="K1257" s="168">
        <v>49</v>
      </c>
      <c r="L1257" s="160"/>
      <c r="M1257" s="169"/>
    </row>
    <row r="1258" spans="1:13" x14ac:dyDescent="0.55000000000000004">
      <c r="A1258" s="65" t="s">
        <v>843</v>
      </c>
      <c r="B1258" s="168" t="s">
        <v>298</v>
      </c>
      <c r="C1258" s="168" t="s">
        <v>156</v>
      </c>
      <c r="D1258" s="168" t="s">
        <v>2994</v>
      </c>
      <c r="E1258" s="116">
        <v>2.68</v>
      </c>
      <c r="F1258" s="149" t="s">
        <v>765</v>
      </c>
      <c r="G1258" s="149" t="s">
        <v>768</v>
      </c>
      <c r="H1258" s="168" t="s">
        <v>39</v>
      </c>
      <c r="I1258" s="168" t="s">
        <v>535</v>
      </c>
      <c r="J1258" s="168" t="s">
        <v>844</v>
      </c>
      <c r="K1258" s="168">
        <v>49</v>
      </c>
      <c r="L1258" s="160"/>
      <c r="M1258" s="169"/>
    </row>
    <row r="1259" spans="1:13" x14ac:dyDescent="0.55000000000000004">
      <c r="A1259" s="65" t="s">
        <v>843</v>
      </c>
      <c r="B1259" s="168" t="s">
        <v>171</v>
      </c>
      <c r="C1259" s="168" t="s">
        <v>127</v>
      </c>
      <c r="D1259" s="168" t="s">
        <v>2994</v>
      </c>
      <c r="E1259" s="116">
        <v>0.81799999999999995</v>
      </c>
      <c r="F1259" s="149" t="s">
        <v>765</v>
      </c>
      <c r="G1259" s="149" t="s">
        <v>768</v>
      </c>
      <c r="H1259" s="168" t="s">
        <v>39</v>
      </c>
      <c r="I1259" s="168" t="s">
        <v>535</v>
      </c>
      <c r="J1259" s="168" t="s">
        <v>844</v>
      </c>
      <c r="K1259" s="168" t="s">
        <v>535</v>
      </c>
      <c r="L1259" s="160"/>
      <c r="M1259" s="169"/>
    </row>
    <row r="1260" spans="1:13" x14ac:dyDescent="0.55000000000000004">
      <c r="A1260" s="65" t="s">
        <v>843</v>
      </c>
      <c r="B1260" s="168" t="s">
        <v>153</v>
      </c>
      <c r="C1260" s="168" t="s">
        <v>127</v>
      </c>
      <c r="D1260" s="168" t="s">
        <v>2994</v>
      </c>
      <c r="E1260" s="116">
        <v>0.13600000000000001</v>
      </c>
      <c r="F1260" s="149" t="s">
        <v>765</v>
      </c>
      <c r="G1260" s="149" t="s">
        <v>768</v>
      </c>
      <c r="H1260" s="168" t="s">
        <v>39</v>
      </c>
      <c r="I1260" s="168" t="s">
        <v>640</v>
      </c>
      <c r="J1260" s="168" t="s">
        <v>844</v>
      </c>
      <c r="K1260" s="168">
        <v>58</v>
      </c>
      <c r="L1260" s="160"/>
      <c r="M1260" s="169"/>
    </row>
    <row r="1261" spans="1:13" x14ac:dyDescent="0.55000000000000004">
      <c r="A1261" s="65" t="s">
        <v>843</v>
      </c>
      <c r="B1261" s="168" t="s">
        <v>847</v>
      </c>
      <c r="C1261" s="168" t="s">
        <v>127</v>
      </c>
      <c r="D1261" s="168" t="s">
        <v>2994</v>
      </c>
      <c r="E1261" s="116">
        <v>0.43</v>
      </c>
      <c r="F1261" s="149" t="s">
        <v>765</v>
      </c>
      <c r="G1261" s="149" t="s">
        <v>768</v>
      </c>
      <c r="H1261" s="168" t="s">
        <v>39</v>
      </c>
      <c r="I1261" s="168" t="s">
        <v>641</v>
      </c>
      <c r="J1261" s="168" t="s">
        <v>844</v>
      </c>
      <c r="K1261" s="168" t="s">
        <v>535</v>
      </c>
      <c r="L1261" s="160"/>
      <c r="M1261" s="169"/>
    </row>
    <row r="1262" spans="1:13" x14ac:dyDescent="0.55000000000000004">
      <c r="A1262" s="65" t="s">
        <v>843</v>
      </c>
      <c r="B1262" s="168" t="s">
        <v>160</v>
      </c>
      <c r="C1262" s="168" t="s">
        <v>124</v>
      </c>
      <c r="D1262" s="168" t="s">
        <v>3288</v>
      </c>
      <c r="E1262" s="116">
        <v>0.63200000000000001</v>
      </c>
      <c r="F1262" s="149" t="s">
        <v>768</v>
      </c>
      <c r="G1262" s="149" t="s">
        <v>768</v>
      </c>
      <c r="H1262" s="168" t="s">
        <v>39</v>
      </c>
      <c r="I1262" s="168" t="s">
        <v>643</v>
      </c>
      <c r="J1262" s="168" t="s">
        <v>844</v>
      </c>
      <c r="K1262" s="168" t="s">
        <v>535</v>
      </c>
      <c r="L1262" s="160"/>
      <c r="M1262" s="169"/>
    </row>
    <row r="1263" spans="1:13" x14ac:dyDescent="0.55000000000000004">
      <c r="A1263" s="65" t="s">
        <v>840</v>
      </c>
      <c r="B1263" s="168" t="s">
        <v>339</v>
      </c>
      <c r="C1263" s="168" t="s">
        <v>121</v>
      </c>
      <c r="D1263" s="168" t="s">
        <v>3288</v>
      </c>
      <c r="E1263" s="116">
        <v>1</v>
      </c>
      <c r="F1263" s="149" t="s">
        <v>768</v>
      </c>
      <c r="G1263" s="149">
        <v>1</v>
      </c>
      <c r="H1263" s="168" t="s">
        <v>39</v>
      </c>
      <c r="I1263" s="168" t="s">
        <v>535</v>
      </c>
      <c r="J1263" s="168" t="s">
        <v>841</v>
      </c>
      <c r="K1263" s="168">
        <v>49</v>
      </c>
      <c r="L1263" s="160">
        <v>7206</v>
      </c>
      <c r="M1263" s="169"/>
    </row>
    <row r="1264" spans="1:13" x14ac:dyDescent="0.55000000000000004">
      <c r="A1264" s="65" t="s">
        <v>840</v>
      </c>
      <c r="B1264" s="168" t="s">
        <v>735</v>
      </c>
      <c r="C1264" s="168" t="s">
        <v>163</v>
      </c>
      <c r="D1264" s="168" t="s">
        <v>3288</v>
      </c>
      <c r="E1264" s="116">
        <v>9.9900000000000003E-2</v>
      </c>
      <c r="F1264" s="149" t="s">
        <v>768</v>
      </c>
      <c r="G1264" s="149" t="s">
        <v>768</v>
      </c>
      <c r="H1264" s="168" t="s">
        <v>39</v>
      </c>
      <c r="I1264" s="168" t="s">
        <v>540</v>
      </c>
      <c r="J1264" s="168" t="s">
        <v>841</v>
      </c>
      <c r="K1264" s="168">
        <v>48</v>
      </c>
      <c r="L1264" s="160"/>
      <c r="M1264" s="169"/>
    </row>
    <row r="1265" spans="1:13" x14ac:dyDescent="0.55000000000000004">
      <c r="A1265" s="65" t="s">
        <v>840</v>
      </c>
      <c r="B1265" s="168" t="s">
        <v>767</v>
      </c>
      <c r="C1265" s="168" t="s">
        <v>125</v>
      </c>
      <c r="D1265" s="168" t="s">
        <v>3288</v>
      </c>
      <c r="E1265" s="116">
        <v>1.06</v>
      </c>
      <c r="F1265" s="149" t="s">
        <v>768</v>
      </c>
      <c r="G1265" s="149" t="s">
        <v>768</v>
      </c>
      <c r="H1265" s="168" t="s">
        <v>39</v>
      </c>
      <c r="I1265" s="168" t="s">
        <v>594</v>
      </c>
      <c r="J1265" s="168" t="s">
        <v>841</v>
      </c>
      <c r="K1265" s="168" t="s">
        <v>535</v>
      </c>
      <c r="L1265" s="160"/>
      <c r="M1265" s="169"/>
    </row>
    <row r="1266" spans="1:13" x14ac:dyDescent="0.55000000000000004">
      <c r="A1266" s="65" t="s">
        <v>840</v>
      </c>
      <c r="B1266" s="168" t="s">
        <v>262</v>
      </c>
      <c r="C1266" s="168" t="s">
        <v>127</v>
      </c>
      <c r="D1266" s="168" t="s">
        <v>2994</v>
      </c>
      <c r="E1266" s="116">
        <v>0.78400000000000003</v>
      </c>
      <c r="F1266" s="149" t="s">
        <v>765</v>
      </c>
      <c r="G1266" s="149" t="s">
        <v>768</v>
      </c>
      <c r="H1266" s="168" t="s">
        <v>39</v>
      </c>
      <c r="I1266" s="168" t="s">
        <v>535</v>
      </c>
      <c r="J1266" s="168" t="s">
        <v>841</v>
      </c>
      <c r="K1266" s="168">
        <v>49</v>
      </c>
      <c r="L1266" s="160"/>
      <c r="M1266" s="169"/>
    </row>
    <row r="1267" spans="1:13" x14ac:dyDescent="0.55000000000000004">
      <c r="A1267" s="65" t="s">
        <v>840</v>
      </c>
      <c r="B1267" s="168" t="s">
        <v>171</v>
      </c>
      <c r="C1267" s="168" t="s">
        <v>127</v>
      </c>
      <c r="D1267" s="168" t="s">
        <v>2994</v>
      </c>
      <c r="E1267" s="116">
        <v>0.46500000000000002</v>
      </c>
      <c r="F1267" s="149" t="s">
        <v>765</v>
      </c>
      <c r="G1267" s="149" t="s">
        <v>768</v>
      </c>
      <c r="H1267" s="168" t="s">
        <v>39</v>
      </c>
      <c r="I1267" s="168" t="s">
        <v>535</v>
      </c>
      <c r="J1267" s="168" t="s">
        <v>841</v>
      </c>
      <c r="K1267" s="168">
        <v>49</v>
      </c>
      <c r="L1267" s="160"/>
      <c r="M1267" s="169"/>
    </row>
    <row r="1268" spans="1:13" x14ac:dyDescent="0.55000000000000004">
      <c r="A1268" s="65" t="s">
        <v>840</v>
      </c>
      <c r="B1268" s="168" t="s">
        <v>213</v>
      </c>
      <c r="C1268" s="168" t="s">
        <v>125</v>
      </c>
      <c r="D1268" s="168" t="s">
        <v>3288</v>
      </c>
      <c r="E1268" s="116">
        <v>59.7</v>
      </c>
      <c r="F1268" s="149" t="s">
        <v>763</v>
      </c>
      <c r="G1268" s="149" t="s">
        <v>768</v>
      </c>
      <c r="H1268" s="168" t="s">
        <v>39</v>
      </c>
      <c r="I1268" s="168" t="s">
        <v>535</v>
      </c>
      <c r="J1268" s="168" t="s">
        <v>841</v>
      </c>
      <c r="K1268" s="168">
        <v>49</v>
      </c>
      <c r="L1268" s="160"/>
      <c r="M1268" s="169"/>
    </row>
    <row r="1269" spans="1:13" x14ac:dyDescent="0.55000000000000004">
      <c r="A1269" s="65" t="s">
        <v>840</v>
      </c>
      <c r="B1269" s="168" t="s">
        <v>316</v>
      </c>
      <c r="C1269" s="168" t="s">
        <v>132</v>
      </c>
      <c r="D1269" s="168" t="s">
        <v>3288</v>
      </c>
      <c r="E1269" s="116">
        <v>4.8999999999999998E-3</v>
      </c>
      <c r="F1269" s="149" t="s">
        <v>768</v>
      </c>
      <c r="G1269" s="149" t="s">
        <v>768</v>
      </c>
      <c r="H1269" s="168" t="s">
        <v>39</v>
      </c>
      <c r="I1269" s="168" t="s">
        <v>535</v>
      </c>
      <c r="J1269" s="168" t="s">
        <v>841</v>
      </c>
      <c r="K1269" s="168">
        <v>49</v>
      </c>
      <c r="L1269" s="160"/>
      <c r="M1269" s="169"/>
    </row>
    <row r="1270" spans="1:13" x14ac:dyDescent="0.55000000000000004">
      <c r="A1270" s="65" t="s">
        <v>840</v>
      </c>
      <c r="B1270" s="168" t="s">
        <v>153</v>
      </c>
      <c r="C1270" s="168" t="s">
        <v>127</v>
      </c>
      <c r="D1270" s="168" t="s">
        <v>2994</v>
      </c>
      <c r="E1270" s="116">
        <v>1.8</v>
      </c>
      <c r="F1270" s="149" t="s">
        <v>765</v>
      </c>
      <c r="G1270" s="149" t="s">
        <v>768</v>
      </c>
      <c r="H1270" s="168" t="s">
        <v>39</v>
      </c>
      <c r="I1270" s="168" t="s">
        <v>636</v>
      </c>
      <c r="J1270" s="168" t="s">
        <v>841</v>
      </c>
      <c r="K1270" s="168">
        <v>49</v>
      </c>
      <c r="L1270" s="160"/>
      <c r="M1270" s="169"/>
    </row>
    <row r="1271" spans="1:13" x14ac:dyDescent="0.55000000000000004">
      <c r="A1271" s="65" t="s">
        <v>840</v>
      </c>
      <c r="B1271" s="168" t="s">
        <v>131</v>
      </c>
      <c r="C1271" s="168" t="s">
        <v>125</v>
      </c>
      <c r="D1271" s="168" t="s">
        <v>3288</v>
      </c>
      <c r="E1271" s="116">
        <v>2.9399999999999999E-3</v>
      </c>
      <c r="F1271" s="149" t="s">
        <v>768</v>
      </c>
      <c r="G1271" s="149" t="s">
        <v>768</v>
      </c>
      <c r="H1271" s="168" t="s">
        <v>39</v>
      </c>
      <c r="I1271" s="168" t="s">
        <v>535</v>
      </c>
      <c r="J1271" s="168" t="s">
        <v>841</v>
      </c>
      <c r="K1271" s="168">
        <v>49</v>
      </c>
      <c r="L1271" s="160"/>
      <c r="M1271" s="169"/>
    </row>
    <row r="1272" spans="1:13" x14ac:dyDescent="0.55000000000000004">
      <c r="A1272" s="65" t="s">
        <v>840</v>
      </c>
      <c r="B1272" s="168" t="s">
        <v>160</v>
      </c>
      <c r="C1272" s="168" t="s">
        <v>124</v>
      </c>
      <c r="D1272" s="168" t="s">
        <v>3288</v>
      </c>
      <c r="E1272" s="116">
        <v>0.10100000000000001</v>
      </c>
      <c r="F1272" s="149" t="s">
        <v>768</v>
      </c>
      <c r="G1272" s="149" t="s">
        <v>768</v>
      </c>
      <c r="H1272" s="168" t="s">
        <v>39</v>
      </c>
      <c r="I1272" s="168" t="s">
        <v>535</v>
      </c>
      <c r="J1272" s="168" t="s">
        <v>841</v>
      </c>
      <c r="K1272" s="168">
        <v>49</v>
      </c>
      <c r="L1272" s="160"/>
      <c r="M1272" s="169"/>
    </row>
    <row r="1273" spans="1:13" x14ac:dyDescent="0.55000000000000004">
      <c r="A1273" s="65" t="s">
        <v>836</v>
      </c>
      <c r="B1273" s="168" t="s">
        <v>339</v>
      </c>
      <c r="C1273" s="168" t="s">
        <v>121</v>
      </c>
      <c r="D1273" s="168" t="s">
        <v>3288</v>
      </c>
      <c r="E1273" s="116">
        <v>1</v>
      </c>
      <c r="F1273" s="149" t="s">
        <v>768</v>
      </c>
      <c r="G1273" s="149">
        <v>1</v>
      </c>
      <c r="H1273" s="168" t="s">
        <v>39</v>
      </c>
      <c r="I1273" s="168" t="s">
        <v>535</v>
      </c>
      <c r="J1273" s="168" t="s">
        <v>837</v>
      </c>
      <c r="K1273" s="168">
        <v>49</v>
      </c>
      <c r="L1273" s="160">
        <v>7207</v>
      </c>
      <c r="M1273" s="169"/>
    </row>
    <row r="1274" spans="1:13" x14ac:dyDescent="0.55000000000000004">
      <c r="A1274" s="65" t="s">
        <v>836</v>
      </c>
      <c r="B1274" s="168" t="s">
        <v>735</v>
      </c>
      <c r="C1274" s="168" t="s">
        <v>163</v>
      </c>
      <c r="D1274" s="168" t="s">
        <v>3288</v>
      </c>
      <c r="E1274" s="116">
        <v>0.21</v>
      </c>
      <c r="F1274" s="149" t="s">
        <v>768</v>
      </c>
      <c r="G1274" s="149" t="s">
        <v>768</v>
      </c>
      <c r="H1274" s="168" t="s">
        <v>39</v>
      </c>
      <c r="I1274" s="168" t="s">
        <v>540</v>
      </c>
      <c r="J1274" s="168" t="s">
        <v>837</v>
      </c>
      <c r="K1274" s="168">
        <v>48</v>
      </c>
      <c r="L1274" s="160"/>
      <c r="M1274" s="169"/>
    </row>
    <row r="1275" spans="1:13" x14ac:dyDescent="0.55000000000000004">
      <c r="A1275" s="65" t="s">
        <v>836</v>
      </c>
      <c r="B1275" s="168" t="s">
        <v>315</v>
      </c>
      <c r="C1275" s="168" t="s">
        <v>125</v>
      </c>
      <c r="D1275" s="168" t="s">
        <v>3288</v>
      </c>
      <c r="E1275" s="116">
        <v>0.98</v>
      </c>
      <c r="F1275" s="149" t="s">
        <v>768</v>
      </c>
      <c r="G1275" s="149" t="s">
        <v>768</v>
      </c>
      <c r="H1275" s="168" t="s">
        <v>39</v>
      </c>
      <c r="I1275" s="168" t="s">
        <v>535</v>
      </c>
      <c r="J1275" s="168" t="s">
        <v>837</v>
      </c>
      <c r="K1275" s="168">
        <v>57</v>
      </c>
      <c r="L1275" s="160"/>
      <c r="M1275" s="169"/>
    </row>
    <row r="1276" spans="1:13" x14ac:dyDescent="0.55000000000000004">
      <c r="A1276" s="65" t="s">
        <v>836</v>
      </c>
      <c r="B1276" s="168" t="s">
        <v>341</v>
      </c>
      <c r="C1276" s="168" t="s">
        <v>125</v>
      </c>
      <c r="D1276" s="168" t="s">
        <v>3288</v>
      </c>
      <c r="E1276" s="116">
        <v>0.12</v>
      </c>
      <c r="F1276" s="149" t="s">
        <v>768</v>
      </c>
      <c r="G1276" s="149" t="s">
        <v>768</v>
      </c>
      <c r="H1276" s="168" t="s">
        <v>39</v>
      </c>
      <c r="I1276" s="168" t="s">
        <v>535</v>
      </c>
      <c r="J1276" s="168" t="s">
        <v>837</v>
      </c>
      <c r="K1276" s="168">
        <v>57</v>
      </c>
      <c r="L1276" s="160"/>
      <c r="M1276" s="169"/>
    </row>
    <row r="1277" spans="1:13" x14ac:dyDescent="0.55000000000000004">
      <c r="A1277" s="65" t="s">
        <v>836</v>
      </c>
      <c r="B1277" s="168" t="s">
        <v>213</v>
      </c>
      <c r="C1277" s="168" t="s">
        <v>125</v>
      </c>
      <c r="D1277" s="168" t="s">
        <v>3288</v>
      </c>
      <c r="E1277" s="116">
        <v>6.6400000000000001E-3</v>
      </c>
      <c r="F1277" s="149" t="s">
        <v>763</v>
      </c>
      <c r="G1277" s="149" t="s">
        <v>768</v>
      </c>
      <c r="H1277" s="168" t="s">
        <v>39</v>
      </c>
      <c r="I1277" s="168" t="s">
        <v>628</v>
      </c>
      <c r="J1277" s="168" t="s">
        <v>837</v>
      </c>
      <c r="K1277" s="168">
        <v>57</v>
      </c>
      <c r="L1277" s="160"/>
      <c r="M1277" s="169"/>
    </row>
    <row r="1278" spans="1:13" x14ac:dyDescent="0.55000000000000004">
      <c r="A1278" s="65" t="s">
        <v>836</v>
      </c>
      <c r="B1278" s="168" t="s">
        <v>171</v>
      </c>
      <c r="C1278" s="168" t="s">
        <v>127</v>
      </c>
      <c r="D1278" s="168" t="s">
        <v>2994</v>
      </c>
      <c r="E1278" s="116">
        <v>0.77500000000000002</v>
      </c>
      <c r="F1278" s="149" t="s">
        <v>765</v>
      </c>
      <c r="G1278" s="149" t="s">
        <v>768</v>
      </c>
      <c r="H1278" s="168" t="s">
        <v>39</v>
      </c>
      <c r="I1278" s="168" t="s">
        <v>535</v>
      </c>
      <c r="J1278" s="168" t="s">
        <v>837</v>
      </c>
      <c r="K1278" s="168">
        <v>57</v>
      </c>
      <c r="L1278" s="160"/>
      <c r="M1278" s="169"/>
    </row>
    <row r="1279" spans="1:13" x14ac:dyDescent="0.55000000000000004">
      <c r="A1279" s="65" t="s">
        <v>836</v>
      </c>
      <c r="B1279" s="168" t="s">
        <v>262</v>
      </c>
      <c r="C1279" s="168" t="s">
        <v>127</v>
      </c>
      <c r="D1279" s="168" t="s">
        <v>2994</v>
      </c>
      <c r="E1279" s="116">
        <v>0.75800000000000001</v>
      </c>
      <c r="F1279" s="149" t="s">
        <v>765</v>
      </c>
      <c r="G1279" s="149" t="s">
        <v>768</v>
      </c>
      <c r="H1279" s="168" t="s">
        <v>39</v>
      </c>
      <c r="I1279" s="168" t="s">
        <v>535</v>
      </c>
      <c r="J1279" s="168" t="s">
        <v>837</v>
      </c>
      <c r="K1279" s="168">
        <v>57</v>
      </c>
      <c r="L1279" s="160"/>
      <c r="M1279" s="169"/>
    </row>
    <row r="1280" spans="1:13" x14ac:dyDescent="0.55000000000000004">
      <c r="A1280" s="65" t="s">
        <v>836</v>
      </c>
      <c r="B1280" s="168" t="s">
        <v>153</v>
      </c>
      <c r="C1280" s="168" t="s">
        <v>127</v>
      </c>
      <c r="D1280" s="168" t="s">
        <v>2994</v>
      </c>
      <c r="E1280" s="116">
        <v>2.0699999999999998</v>
      </c>
      <c r="F1280" s="149" t="s">
        <v>765</v>
      </c>
      <c r="G1280" s="149" t="s">
        <v>768</v>
      </c>
      <c r="H1280" s="168" t="s">
        <v>39</v>
      </c>
      <c r="I1280" s="168" t="s">
        <v>535</v>
      </c>
      <c r="J1280" s="168" t="s">
        <v>837</v>
      </c>
      <c r="K1280" s="168">
        <v>57</v>
      </c>
      <c r="L1280" s="160"/>
      <c r="M1280" s="169"/>
    </row>
    <row r="1281" spans="1:13" x14ac:dyDescent="0.55000000000000004">
      <c r="A1281" s="65" t="s">
        <v>836</v>
      </c>
      <c r="B1281" s="168" t="s">
        <v>838</v>
      </c>
      <c r="C1281" s="168" t="s">
        <v>125</v>
      </c>
      <c r="D1281" s="168" t="s">
        <v>3288</v>
      </c>
      <c r="E1281" s="116">
        <v>0.19</v>
      </c>
      <c r="F1281" s="149" t="s">
        <v>768</v>
      </c>
      <c r="G1281" s="149" t="s">
        <v>768</v>
      </c>
      <c r="H1281" s="168" t="s">
        <v>39</v>
      </c>
      <c r="I1281" s="168" t="s">
        <v>535</v>
      </c>
      <c r="J1281" s="168" t="s">
        <v>837</v>
      </c>
      <c r="K1281" s="168">
        <v>49</v>
      </c>
      <c r="L1281" s="160"/>
      <c r="M1281" s="169"/>
    </row>
    <row r="1282" spans="1:13" x14ac:dyDescent="0.55000000000000004">
      <c r="A1282" s="65" t="s">
        <v>836</v>
      </c>
      <c r="B1282" s="168" t="s">
        <v>131</v>
      </c>
      <c r="C1282" s="168" t="s">
        <v>125</v>
      </c>
      <c r="D1282" s="168" t="s">
        <v>3288</v>
      </c>
      <c r="E1282" s="116">
        <v>7.1499999999999994E-2</v>
      </c>
      <c r="F1282" s="149" t="s">
        <v>768</v>
      </c>
      <c r="G1282" s="149" t="s">
        <v>768</v>
      </c>
      <c r="H1282" s="168" t="s">
        <v>39</v>
      </c>
      <c r="I1282" s="168" t="s">
        <v>535</v>
      </c>
      <c r="J1282" s="168" t="s">
        <v>837</v>
      </c>
      <c r="K1282" s="168">
        <v>49</v>
      </c>
      <c r="L1282" s="160"/>
      <c r="M1282" s="169"/>
    </row>
    <row r="1283" spans="1:13" x14ac:dyDescent="0.55000000000000004">
      <c r="A1283" s="65" t="s">
        <v>836</v>
      </c>
      <c r="B1283" s="168" t="s">
        <v>839</v>
      </c>
      <c r="C1283" s="168" t="s">
        <v>125</v>
      </c>
      <c r="D1283" s="168" t="s">
        <v>3288</v>
      </c>
      <c r="E1283" s="116">
        <v>2.5499999999999998E-2</v>
      </c>
      <c r="F1283" s="149" t="s">
        <v>768</v>
      </c>
      <c r="G1283" s="149" t="s">
        <v>768</v>
      </c>
      <c r="H1283" s="168" t="s">
        <v>39</v>
      </c>
      <c r="I1283" s="168" t="s">
        <v>630</v>
      </c>
      <c r="J1283" s="168" t="s">
        <v>837</v>
      </c>
      <c r="K1283" s="168">
        <v>49</v>
      </c>
      <c r="L1283" s="160"/>
      <c r="M1283" s="169"/>
    </row>
    <row r="1284" spans="1:13" x14ac:dyDescent="0.55000000000000004">
      <c r="A1284" s="65" t="s">
        <v>836</v>
      </c>
      <c r="B1284" s="168" t="s">
        <v>154</v>
      </c>
      <c r="C1284" s="168" t="s">
        <v>132</v>
      </c>
      <c r="D1284" s="168" t="s">
        <v>3288</v>
      </c>
      <c r="E1284" s="116">
        <v>0.193</v>
      </c>
      <c r="F1284" s="149" t="s">
        <v>763</v>
      </c>
      <c r="G1284" s="149" t="s">
        <v>768</v>
      </c>
      <c r="H1284" s="168" t="s">
        <v>39</v>
      </c>
      <c r="I1284" s="168" t="s">
        <v>535</v>
      </c>
      <c r="J1284" s="168" t="s">
        <v>837</v>
      </c>
      <c r="K1284" s="168">
        <v>49</v>
      </c>
      <c r="L1284" s="160"/>
      <c r="M1284" s="169"/>
    </row>
    <row r="1285" spans="1:13" x14ac:dyDescent="0.55000000000000004">
      <c r="A1285" s="65" t="s">
        <v>836</v>
      </c>
      <c r="B1285" s="168" t="s">
        <v>160</v>
      </c>
      <c r="C1285" s="168" t="s">
        <v>124</v>
      </c>
      <c r="D1285" s="168" t="s">
        <v>3288</v>
      </c>
      <c r="E1285" s="116">
        <v>0.12</v>
      </c>
      <c r="F1285" s="149" t="s">
        <v>768</v>
      </c>
      <c r="G1285" s="149" t="s">
        <v>768</v>
      </c>
      <c r="H1285" s="168" t="s">
        <v>39</v>
      </c>
      <c r="I1285" s="168" t="s">
        <v>633</v>
      </c>
      <c r="J1285" s="168" t="s">
        <v>837</v>
      </c>
      <c r="K1285" s="168">
        <v>49</v>
      </c>
      <c r="L1285" s="160"/>
      <c r="M1285" s="169"/>
    </row>
    <row r="1286" spans="1:13" x14ac:dyDescent="0.55000000000000004">
      <c r="A1286" s="65" t="s">
        <v>834</v>
      </c>
      <c r="B1286" s="168" t="s">
        <v>805</v>
      </c>
      <c r="C1286" s="168" t="s">
        <v>121</v>
      </c>
      <c r="D1286" s="168" t="s">
        <v>3288</v>
      </c>
      <c r="E1286" s="116">
        <v>1</v>
      </c>
      <c r="F1286" s="149" t="s">
        <v>135</v>
      </c>
      <c r="G1286" s="149">
        <v>1</v>
      </c>
      <c r="H1286" s="168" t="s">
        <v>39</v>
      </c>
      <c r="I1286" s="168" t="s">
        <v>535</v>
      </c>
      <c r="J1286" s="168" t="s">
        <v>835</v>
      </c>
      <c r="K1286" s="168">
        <v>49</v>
      </c>
      <c r="L1286" s="160">
        <v>2619</v>
      </c>
      <c r="M1286" s="169"/>
    </row>
    <row r="1287" spans="1:13" x14ac:dyDescent="0.55000000000000004">
      <c r="A1287" s="65" t="s">
        <v>834</v>
      </c>
      <c r="B1287" s="168" t="s">
        <v>826</v>
      </c>
      <c r="C1287" s="168" t="s">
        <v>127</v>
      </c>
      <c r="D1287" s="168" t="s">
        <v>2994</v>
      </c>
      <c r="E1287" s="116">
        <v>0.41399999999999998</v>
      </c>
      <c r="F1287" s="149" t="s">
        <v>138</v>
      </c>
      <c r="G1287" s="149" t="s">
        <v>135</v>
      </c>
      <c r="H1287" s="168" t="s">
        <v>39</v>
      </c>
      <c r="I1287" s="168" t="s">
        <v>535</v>
      </c>
      <c r="J1287" s="168" t="s">
        <v>835</v>
      </c>
      <c r="K1287" s="168" t="s">
        <v>535</v>
      </c>
      <c r="L1287" s="160"/>
      <c r="M1287" s="169"/>
    </row>
    <row r="1288" spans="1:13" x14ac:dyDescent="0.55000000000000004">
      <c r="A1288" s="65" t="s">
        <v>834</v>
      </c>
      <c r="B1288" s="168" t="s">
        <v>807</v>
      </c>
      <c r="C1288" s="168" t="s">
        <v>163</v>
      </c>
      <c r="D1288" s="168" t="s">
        <v>3288</v>
      </c>
      <c r="E1288" s="116">
        <v>1.2</v>
      </c>
      <c r="F1288" s="149" t="s">
        <v>135</v>
      </c>
      <c r="G1288" s="149" t="s">
        <v>135</v>
      </c>
      <c r="H1288" s="168" t="s">
        <v>39</v>
      </c>
      <c r="I1288" s="168" t="s">
        <v>535</v>
      </c>
      <c r="J1288" s="168" t="s">
        <v>835</v>
      </c>
      <c r="K1288" s="168">
        <v>49</v>
      </c>
      <c r="L1288" s="160"/>
      <c r="M1288" s="169"/>
    </row>
    <row r="1289" spans="1:13" x14ac:dyDescent="0.55000000000000004">
      <c r="A1289" s="97" t="s">
        <v>832</v>
      </c>
      <c r="B1289" s="168" t="s">
        <v>760</v>
      </c>
      <c r="C1289" s="168" t="s">
        <v>121</v>
      </c>
      <c r="D1289" s="168" t="s">
        <v>3288</v>
      </c>
      <c r="E1289" s="116">
        <v>1</v>
      </c>
      <c r="F1289" s="149" t="s">
        <v>135</v>
      </c>
      <c r="G1289" s="149">
        <v>1</v>
      </c>
      <c r="H1289" s="168" t="s">
        <v>39</v>
      </c>
      <c r="I1289" s="168" t="s">
        <v>535</v>
      </c>
      <c r="J1289" s="168" t="s">
        <v>833</v>
      </c>
      <c r="K1289" s="168">
        <v>49</v>
      </c>
      <c r="L1289" s="160">
        <v>8545</v>
      </c>
      <c r="M1289" s="169"/>
    </row>
    <row r="1290" spans="1:13" x14ac:dyDescent="0.55000000000000004">
      <c r="A1290" s="97" t="s">
        <v>832</v>
      </c>
      <c r="B1290" s="168" t="s">
        <v>788</v>
      </c>
      <c r="C1290" s="168" t="s">
        <v>125</v>
      </c>
      <c r="D1290" s="168" t="s">
        <v>3288</v>
      </c>
      <c r="E1290" s="116">
        <v>696</v>
      </c>
      <c r="F1290" s="149" t="s">
        <v>122</v>
      </c>
      <c r="G1290" s="149" t="s">
        <v>135</v>
      </c>
      <c r="H1290" s="168" t="s">
        <v>39</v>
      </c>
      <c r="I1290" s="168" t="s">
        <v>535</v>
      </c>
      <c r="J1290" s="168" t="s">
        <v>833</v>
      </c>
      <c r="K1290" s="168">
        <v>56</v>
      </c>
      <c r="L1290" s="160"/>
      <c r="M1290" s="169"/>
    </row>
    <row r="1291" spans="1:13" x14ac:dyDescent="0.55000000000000004">
      <c r="A1291" s="97" t="s">
        <v>832</v>
      </c>
      <c r="B1291" s="168" t="s">
        <v>789</v>
      </c>
      <c r="C1291" s="168" t="s">
        <v>156</v>
      </c>
      <c r="D1291" s="168" t="s">
        <v>3288</v>
      </c>
      <c r="E1291" s="116">
        <v>194</v>
      </c>
      <c r="F1291" s="149" t="s">
        <v>122</v>
      </c>
      <c r="G1291" s="149" t="s">
        <v>135</v>
      </c>
      <c r="H1291" s="168" t="s">
        <v>39</v>
      </c>
      <c r="I1291" s="168" t="s">
        <v>535</v>
      </c>
      <c r="J1291" s="168" t="s">
        <v>833</v>
      </c>
      <c r="K1291" s="168">
        <v>56</v>
      </c>
      <c r="L1291" s="160"/>
      <c r="M1291" s="169"/>
    </row>
    <row r="1292" spans="1:13" x14ac:dyDescent="0.55000000000000004">
      <c r="A1292" s="97" t="s">
        <v>832</v>
      </c>
      <c r="B1292" s="168" t="s">
        <v>790</v>
      </c>
      <c r="C1292" s="168" t="s">
        <v>125</v>
      </c>
      <c r="D1292" s="168" t="s">
        <v>3288</v>
      </c>
      <c r="E1292" s="116">
        <v>147</v>
      </c>
      <c r="F1292" s="149" t="s">
        <v>122</v>
      </c>
      <c r="G1292" s="149" t="s">
        <v>135</v>
      </c>
      <c r="H1292" s="168" t="s">
        <v>39</v>
      </c>
      <c r="I1292" s="168" t="s">
        <v>624</v>
      </c>
      <c r="J1292" s="168" t="s">
        <v>833</v>
      </c>
      <c r="K1292" s="168">
        <v>49</v>
      </c>
      <c r="L1292" s="160"/>
      <c r="M1292" s="169"/>
    </row>
    <row r="1293" spans="1:13" x14ac:dyDescent="0.55000000000000004">
      <c r="A1293" s="97" t="s">
        <v>832</v>
      </c>
      <c r="B1293" s="168" t="s">
        <v>153</v>
      </c>
      <c r="C1293" s="168" t="s">
        <v>127</v>
      </c>
      <c r="D1293" s="168" t="s">
        <v>2994</v>
      </c>
      <c r="E1293" s="116">
        <v>0.497</v>
      </c>
      <c r="F1293" s="149" t="s">
        <v>138</v>
      </c>
      <c r="G1293" s="149" t="s">
        <v>135</v>
      </c>
      <c r="H1293" s="168" t="s">
        <v>39</v>
      </c>
      <c r="I1293" s="168" t="s">
        <v>535</v>
      </c>
      <c r="J1293" s="168" t="s">
        <v>833</v>
      </c>
      <c r="K1293" s="168">
        <v>49</v>
      </c>
      <c r="L1293" s="160"/>
      <c r="M1293" s="169"/>
    </row>
    <row r="1294" spans="1:13" x14ac:dyDescent="0.55000000000000004">
      <c r="A1294" s="97" t="s">
        <v>832</v>
      </c>
      <c r="B1294" s="168" t="s">
        <v>826</v>
      </c>
      <c r="C1294" s="168" t="s">
        <v>127</v>
      </c>
      <c r="D1294" s="168" t="s">
        <v>2994</v>
      </c>
      <c r="E1294" s="116">
        <v>3.67</v>
      </c>
      <c r="F1294" s="149" t="s">
        <v>138</v>
      </c>
      <c r="G1294" s="149" t="s">
        <v>135</v>
      </c>
      <c r="H1294" s="168" t="s">
        <v>39</v>
      </c>
      <c r="I1294" s="168" t="s">
        <v>535</v>
      </c>
      <c r="J1294" s="168" t="s">
        <v>833</v>
      </c>
      <c r="K1294" s="168">
        <v>49</v>
      </c>
      <c r="L1294" s="160"/>
      <c r="M1294" s="169"/>
    </row>
    <row r="1295" spans="1:13" x14ac:dyDescent="0.55000000000000004">
      <c r="A1295" s="97" t="s">
        <v>832</v>
      </c>
      <c r="B1295" s="168" t="s">
        <v>160</v>
      </c>
      <c r="C1295" s="168" t="s">
        <v>124</v>
      </c>
      <c r="D1295" s="168" t="s">
        <v>3288</v>
      </c>
      <c r="E1295" s="116">
        <v>0.28599999999999998</v>
      </c>
      <c r="F1295" s="149" t="s">
        <v>135</v>
      </c>
      <c r="G1295" s="149" t="s">
        <v>135</v>
      </c>
      <c r="H1295" s="168" t="s">
        <v>39</v>
      </c>
      <c r="I1295" s="168" t="s">
        <v>535</v>
      </c>
      <c r="J1295" s="168" t="s">
        <v>833</v>
      </c>
      <c r="K1295" s="168">
        <v>49</v>
      </c>
      <c r="L1295" s="160"/>
      <c r="M1295" s="169"/>
    </row>
    <row r="1296" spans="1:13" x14ac:dyDescent="0.55000000000000004">
      <c r="A1296" s="97" t="s">
        <v>827</v>
      </c>
      <c r="B1296" s="168" t="s">
        <v>781</v>
      </c>
      <c r="C1296" s="168" t="s">
        <v>121</v>
      </c>
      <c r="D1296" s="168" t="s">
        <v>3288</v>
      </c>
      <c r="E1296" s="116">
        <v>1</v>
      </c>
      <c r="F1296" s="149" t="s">
        <v>135</v>
      </c>
      <c r="G1296" s="149">
        <v>1</v>
      </c>
      <c r="H1296" s="168" t="s">
        <v>39</v>
      </c>
      <c r="I1296" s="168" t="s">
        <v>535</v>
      </c>
      <c r="J1296" s="168" t="s">
        <v>828</v>
      </c>
      <c r="K1296" s="168" t="s">
        <v>535</v>
      </c>
      <c r="L1296" s="160">
        <v>7601</v>
      </c>
      <c r="M1296" s="169"/>
    </row>
    <row r="1297" spans="1:13" x14ac:dyDescent="0.55000000000000004">
      <c r="A1297" s="97" t="s">
        <v>827</v>
      </c>
      <c r="B1297" s="168" t="s">
        <v>757</v>
      </c>
      <c r="C1297" s="168" t="s">
        <v>125</v>
      </c>
      <c r="D1297" s="168" t="s">
        <v>3288</v>
      </c>
      <c r="E1297" s="116">
        <v>667</v>
      </c>
      <c r="F1297" s="149" t="s">
        <v>122</v>
      </c>
      <c r="G1297" s="149" t="s">
        <v>135</v>
      </c>
      <c r="H1297" s="168" t="s">
        <v>39</v>
      </c>
      <c r="I1297" s="168" t="s">
        <v>535</v>
      </c>
      <c r="J1297" s="168" t="s">
        <v>828</v>
      </c>
      <c r="K1297" s="168">
        <v>55</v>
      </c>
      <c r="L1297" s="160"/>
      <c r="M1297" s="169"/>
    </row>
    <row r="1298" spans="1:13" x14ac:dyDescent="0.55000000000000004">
      <c r="A1298" s="97" t="s">
        <v>827</v>
      </c>
      <c r="B1298" s="168" t="s">
        <v>829</v>
      </c>
      <c r="C1298" s="168" t="s">
        <v>125</v>
      </c>
      <c r="D1298" s="168" t="s">
        <v>3288</v>
      </c>
      <c r="E1298" s="116">
        <v>127</v>
      </c>
      <c r="F1298" s="149" t="s">
        <v>122</v>
      </c>
      <c r="G1298" s="149" t="s">
        <v>135</v>
      </c>
      <c r="H1298" s="168" t="s">
        <v>39</v>
      </c>
      <c r="I1298" s="168" t="s">
        <v>535</v>
      </c>
      <c r="J1298" s="168" t="s">
        <v>828</v>
      </c>
      <c r="K1298" s="168">
        <v>55</v>
      </c>
      <c r="L1298" s="160"/>
      <c r="M1298" s="169"/>
    </row>
    <row r="1299" spans="1:13" x14ac:dyDescent="0.55000000000000004">
      <c r="A1299" s="97" t="s">
        <v>827</v>
      </c>
      <c r="B1299" s="168" t="s">
        <v>830</v>
      </c>
      <c r="C1299" s="168" t="s">
        <v>125</v>
      </c>
      <c r="D1299" s="168" t="s">
        <v>3288</v>
      </c>
      <c r="E1299" s="116">
        <v>202</v>
      </c>
      <c r="F1299" s="149" t="s">
        <v>122</v>
      </c>
      <c r="G1299" s="149" t="s">
        <v>135</v>
      </c>
      <c r="H1299" s="168" t="s">
        <v>39</v>
      </c>
      <c r="I1299" s="168" t="s">
        <v>535</v>
      </c>
      <c r="J1299" s="168" t="s">
        <v>828</v>
      </c>
      <c r="K1299" s="168">
        <v>55</v>
      </c>
      <c r="L1299" s="160"/>
      <c r="M1299" s="169"/>
    </row>
    <row r="1300" spans="1:13" x14ac:dyDescent="0.55000000000000004">
      <c r="A1300" s="97" t="s">
        <v>827</v>
      </c>
      <c r="B1300" s="168" t="s">
        <v>785</v>
      </c>
      <c r="C1300" s="168" t="s">
        <v>125</v>
      </c>
      <c r="D1300" s="168" t="s">
        <v>3288</v>
      </c>
      <c r="E1300" s="116">
        <v>20</v>
      </c>
      <c r="F1300" s="149" t="s">
        <v>122</v>
      </c>
      <c r="G1300" s="149" t="s">
        <v>135</v>
      </c>
      <c r="H1300" s="168" t="s">
        <v>39</v>
      </c>
      <c r="I1300" s="168" t="s">
        <v>622</v>
      </c>
      <c r="J1300" s="168" t="s">
        <v>828</v>
      </c>
      <c r="K1300" s="168">
        <v>55</v>
      </c>
      <c r="L1300" s="160"/>
      <c r="M1300" s="169"/>
    </row>
    <row r="1301" spans="1:13" x14ac:dyDescent="0.55000000000000004">
      <c r="A1301" s="97" t="s">
        <v>827</v>
      </c>
      <c r="B1301" s="168" t="s">
        <v>153</v>
      </c>
      <c r="C1301" s="168" t="s">
        <v>127</v>
      </c>
      <c r="D1301" s="168" t="s">
        <v>2994</v>
      </c>
      <c r="E1301" s="116">
        <v>0.24099999999999999</v>
      </c>
      <c r="F1301" s="149" t="s">
        <v>138</v>
      </c>
      <c r="G1301" s="149" t="s">
        <v>135</v>
      </c>
      <c r="H1301" s="168" t="s">
        <v>39</v>
      </c>
      <c r="I1301" s="168" t="s">
        <v>540</v>
      </c>
      <c r="J1301" s="168" t="s">
        <v>828</v>
      </c>
      <c r="K1301" s="168">
        <v>48</v>
      </c>
      <c r="L1301" s="160"/>
      <c r="M1301" s="169"/>
    </row>
    <row r="1302" spans="1:13" x14ac:dyDescent="0.55000000000000004">
      <c r="A1302" s="97" t="s">
        <v>827</v>
      </c>
      <c r="B1302" s="168" t="s">
        <v>826</v>
      </c>
      <c r="C1302" s="168" t="s">
        <v>127</v>
      </c>
      <c r="D1302" s="168" t="s">
        <v>2994</v>
      </c>
      <c r="E1302" s="116">
        <v>2.63</v>
      </c>
      <c r="F1302" s="149" t="s">
        <v>138</v>
      </c>
      <c r="G1302" s="149" t="s">
        <v>135</v>
      </c>
      <c r="H1302" s="168" t="s">
        <v>39</v>
      </c>
      <c r="I1302" s="168" t="s">
        <v>536</v>
      </c>
      <c r="J1302" s="168" t="s">
        <v>828</v>
      </c>
      <c r="K1302" s="168" t="s">
        <v>535</v>
      </c>
      <c r="L1302" s="160"/>
      <c r="M1302" s="169"/>
    </row>
    <row r="1303" spans="1:13" x14ac:dyDescent="0.55000000000000004">
      <c r="A1303" s="97" t="s">
        <v>824</v>
      </c>
      <c r="B1303" s="168" t="s">
        <v>781</v>
      </c>
      <c r="C1303" s="168" t="s">
        <v>121</v>
      </c>
      <c r="D1303" s="168" t="s">
        <v>3288</v>
      </c>
      <c r="E1303" s="116">
        <v>1</v>
      </c>
      <c r="F1303" s="149" t="s">
        <v>135</v>
      </c>
      <c r="G1303" s="149">
        <v>1</v>
      </c>
      <c r="H1303" s="168" t="s">
        <v>39</v>
      </c>
      <c r="I1303" s="168" t="s">
        <v>535</v>
      </c>
      <c r="J1303" s="168" t="s">
        <v>825</v>
      </c>
      <c r="K1303" s="168">
        <v>48</v>
      </c>
      <c r="L1303" s="160">
        <v>7601</v>
      </c>
      <c r="M1303" s="169"/>
    </row>
    <row r="1304" spans="1:13" x14ac:dyDescent="0.55000000000000004">
      <c r="A1304" s="97" t="s">
        <v>824</v>
      </c>
      <c r="B1304" s="168" t="s">
        <v>783</v>
      </c>
      <c r="C1304" s="168" t="s">
        <v>125</v>
      </c>
      <c r="D1304" s="168" t="s">
        <v>3288</v>
      </c>
      <c r="E1304" s="116">
        <v>600</v>
      </c>
      <c r="F1304" s="149" t="s">
        <v>122</v>
      </c>
      <c r="G1304" s="149" t="s">
        <v>135</v>
      </c>
      <c r="H1304" s="168" t="s">
        <v>39</v>
      </c>
      <c r="I1304" s="168" t="s">
        <v>613</v>
      </c>
      <c r="J1304" s="168" t="s">
        <v>825</v>
      </c>
      <c r="K1304" s="168">
        <v>48</v>
      </c>
      <c r="L1304" s="160"/>
      <c r="M1304" s="169"/>
    </row>
    <row r="1305" spans="1:13" x14ac:dyDescent="0.55000000000000004">
      <c r="A1305" s="97" t="s">
        <v>824</v>
      </c>
      <c r="B1305" s="168" t="s">
        <v>784</v>
      </c>
      <c r="C1305" s="168" t="s">
        <v>125</v>
      </c>
      <c r="D1305" s="168" t="s">
        <v>3288</v>
      </c>
      <c r="E1305" s="116">
        <v>150</v>
      </c>
      <c r="F1305" s="149" t="s">
        <v>122</v>
      </c>
      <c r="G1305" s="149" t="s">
        <v>135</v>
      </c>
      <c r="H1305" s="168" t="s">
        <v>39</v>
      </c>
      <c r="I1305" s="168" t="s">
        <v>616</v>
      </c>
      <c r="J1305" s="168" t="s">
        <v>825</v>
      </c>
      <c r="K1305" s="168">
        <v>48</v>
      </c>
      <c r="L1305" s="160"/>
      <c r="M1305" s="169"/>
    </row>
    <row r="1306" spans="1:13" x14ac:dyDescent="0.55000000000000004">
      <c r="A1306" s="97" t="s">
        <v>824</v>
      </c>
      <c r="B1306" s="168" t="s">
        <v>270</v>
      </c>
      <c r="C1306" s="168" t="s">
        <v>125</v>
      </c>
      <c r="D1306" s="168" t="s">
        <v>3288</v>
      </c>
      <c r="E1306" s="116">
        <v>250</v>
      </c>
      <c r="F1306" s="149" t="s">
        <v>122</v>
      </c>
      <c r="G1306" s="149" t="s">
        <v>135</v>
      </c>
      <c r="H1306" s="168" t="s">
        <v>39</v>
      </c>
      <c r="I1306" s="168" t="s">
        <v>535</v>
      </c>
      <c r="J1306" s="168" t="s">
        <v>825</v>
      </c>
      <c r="K1306" s="168">
        <v>49</v>
      </c>
      <c r="L1306" s="160"/>
      <c r="M1306" s="169"/>
    </row>
    <row r="1307" spans="1:13" x14ac:dyDescent="0.55000000000000004">
      <c r="A1307" s="97" t="s">
        <v>824</v>
      </c>
      <c r="B1307" s="168" t="s">
        <v>785</v>
      </c>
      <c r="C1307" s="168" t="s">
        <v>125</v>
      </c>
      <c r="D1307" s="168" t="s">
        <v>3288</v>
      </c>
      <c r="E1307" s="116">
        <v>12.5</v>
      </c>
      <c r="F1307" s="149" t="s">
        <v>122</v>
      </c>
      <c r="G1307" s="149" t="s">
        <v>135</v>
      </c>
      <c r="H1307" s="168" t="s">
        <v>39</v>
      </c>
      <c r="I1307" s="168" t="s">
        <v>617</v>
      </c>
      <c r="J1307" s="168" t="s">
        <v>825</v>
      </c>
      <c r="K1307" s="168">
        <v>48</v>
      </c>
      <c r="L1307" s="160"/>
      <c r="M1307" s="169"/>
    </row>
    <row r="1308" spans="1:13" x14ac:dyDescent="0.55000000000000004">
      <c r="A1308" s="97" t="s">
        <v>824</v>
      </c>
      <c r="B1308" s="168" t="s">
        <v>153</v>
      </c>
      <c r="C1308" s="168" t="s">
        <v>127</v>
      </c>
      <c r="D1308" s="168" t="s">
        <v>2994</v>
      </c>
      <c r="E1308" s="116">
        <v>0.57599999999999996</v>
      </c>
      <c r="F1308" s="149" t="s">
        <v>138</v>
      </c>
      <c r="G1308" s="149" t="s">
        <v>135</v>
      </c>
      <c r="H1308" s="168" t="s">
        <v>39</v>
      </c>
      <c r="I1308" s="168" t="s">
        <v>618</v>
      </c>
      <c r="J1308" s="168" t="s">
        <v>825</v>
      </c>
      <c r="K1308" s="168">
        <v>54</v>
      </c>
      <c r="L1308" s="160"/>
      <c r="M1308" s="169"/>
    </row>
    <row r="1309" spans="1:13" x14ac:dyDescent="0.55000000000000004">
      <c r="A1309" s="97" t="s">
        <v>824</v>
      </c>
      <c r="B1309" s="168" t="s">
        <v>826</v>
      </c>
      <c r="C1309" s="168" t="s">
        <v>127</v>
      </c>
      <c r="D1309" s="168" t="s">
        <v>2994</v>
      </c>
      <c r="E1309" s="116">
        <v>6.33</v>
      </c>
      <c r="F1309" s="149" t="s">
        <v>138</v>
      </c>
      <c r="G1309" s="149" t="s">
        <v>135</v>
      </c>
      <c r="H1309" s="168" t="s">
        <v>39</v>
      </c>
      <c r="I1309" s="168" t="s">
        <v>619</v>
      </c>
      <c r="J1309" s="168" t="s">
        <v>825</v>
      </c>
      <c r="K1309" s="168">
        <v>48</v>
      </c>
      <c r="L1309" s="160"/>
      <c r="M1309" s="169"/>
    </row>
    <row r="1310" spans="1:13" x14ac:dyDescent="0.55000000000000004">
      <c r="A1310" s="97" t="s">
        <v>824</v>
      </c>
      <c r="B1310" s="168" t="s">
        <v>160</v>
      </c>
      <c r="C1310" s="168" t="s">
        <v>124</v>
      </c>
      <c r="D1310" s="168" t="s">
        <v>3288</v>
      </c>
      <c r="E1310" s="116">
        <v>2.9499999999999998E-2</v>
      </c>
      <c r="F1310" s="149" t="s">
        <v>135</v>
      </c>
      <c r="G1310" s="149" t="s">
        <v>135</v>
      </c>
      <c r="H1310" s="168" t="s">
        <v>39</v>
      </c>
      <c r="I1310" s="168" t="s">
        <v>535</v>
      </c>
      <c r="J1310" s="168" t="s">
        <v>825</v>
      </c>
      <c r="K1310" s="168">
        <v>55</v>
      </c>
      <c r="L1310" s="160"/>
      <c r="M1310" s="169"/>
    </row>
    <row r="1311" spans="1:13" x14ac:dyDescent="0.55000000000000004">
      <c r="A1311" s="97" t="s">
        <v>821</v>
      </c>
      <c r="B1311" s="168" t="s">
        <v>757</v>
      </c>
      <c r="C1311" s="168" t="s">
        <v>121</v>
      </c>
      <c r="D1311" s="168" t="s">
        <v>3288</v>
      </c>
      <c r="E1311" s="116">
        <v>1</v>
      </c>
      <c r="F1311" s="149" t="s">
        <v>135</v>
      </c>
      <c r="G1311" s="149">
        <v>1</v>
      </c>
      <c r="H1311" s="168" t="s">
        <v>39</v>
      </c>
      <c r="I1311" s="168" t="s">
        <v>536</v>
      </c>
      <c r="J1311" s="168" t="s">
        <v>822</v>
      </c>
      <c r="K1311" s="168">
        <v>48</v>
      </c>
      <c r="L1311" s="160">
        <v>7601</v>
      </c>
      <c r="M1311" s="169"/>
    </row>
    <row r="1312" spans="1:13" x14ac:dyDescent="0.55000000000000004">
      <c r="A1312" s="97" t="s">
        <v>821</v>
      </c>
      <c r="B1312" s="168" t="s">
        <v>759</v>
      </c>
      <c r="C1312" s="168" t="s">
        <v>125</v>
      </c>
      <c r="D1312" s="168" t="s">
        <v>3288</v>
      </c>
      <c r="E1312" s="116">
        <v>16.5</v>
      </c>
      <c r="F1312" s="149" t="s">
        <v>122</v>
      </c>
      <c r="G1312" s="149" t="s">
        <v>135</v>
      </c>
      <c r="H1312" s="168" t="s">
        <v>39</v>
      </c>
      <c r="I1312" s="168" t="s">
        <v>535</v>
      </c>
      <c r="J1312" s="168" t="s">
        <v>822</v>
      </c>
      <c r="K1312" s="168">
        <v>48</v>
      </c>
      <c r="L1312" s="160"/>
      <c r="M1312" s="169"/>
    </row>
    <row r="1313" spans="1:13" x14ac:dyDescent="0.55000000000000004">
      <c r="A1313" s="97" t="s">
        <v>821</v>
      </c>
      <c r="B1313" s="168" t="s">
        <v>261</v>
      </c>
      <c r="C1313" s="168" t="s">
        <v>125</v>
      </c>
      <c r="D1313" s="168" t="s">
        <v>3288</v>
      </c>
      <c r="E1313" s="116">
        <v>1.93</v>
      </c>
      <c r="F1313" s="149" t="s">
        <v>135</v>
      </c>
      <c r="G1313" s="149" t="s">
        <v>135</v>
      </c>
      <c r="H1313" s="168" t="s">
        <v>39</v>
      </c>
      <c r="I1313" s="168" t="s">
        <v>607</v>
      </c>
      <c r="J1313" s="168" t="s">
        <v>822</v>
      </c>
      <c r="K1313" s="168" t="s">
        <v>535</v>
      </c>
      <c r="L1313" s="160"/>
      <c r="M1313" s="169"/>
    </row>
    <row r="1314" spans="1:13" x14ac:dyDescent="0.55000000000000004">
      <c r="A1314" s="97" t="s">
        <v>821</v>
      </c>
      <c r="B1314" s="168" t="s">
        <v>760</v>
      </c>
      <c r="C1314" s="168" t="s">
        <v>207</v>
      </c>
      <c r="D1314" s="168" t="s">
        <v>3288</v>
      </c>
      <c r="E1314" s="116">
        <v>0.43</v>
      </c>
      <c r="F1314" s="149" t="s">
        <v>135</v>
      </c>
      <c r="G1314" s="149" t="s">
        <v>135</v>
      </c>
      <c r="H1314" s="168" t="s">
        <v>39</v>
      </c>
      <c r="I1314" s="168" t="s">
        <v>608</v>
      </c>
      <c r="J1314" s="168" t="s">
        <v>822</v>
      </c>
      <c r="K1314" s="168" t="s">
        <v>535</v>
      </c>
      <c r="L1314" s="160"/>
      <c r="M1314" s="169"/>
    </row>
    <row r="1315" spans="1:13" x14ac:dyDescent="0.55000000000000004">
      <c r="A1315" s="97" t="s">
        <v>821</v>
      </c>
      <c r="B1315" s="168" t="s">
        <v>153</v>
      </c>
      <c r="C1315" s="168" t="s">
        <v>127</v>
      </c>
      <c r="D1315" s="168" t="s">
        <v>2994</v>
      </c>
      <c r="E1315" s="116">
        <v>54.8</v>
      </c>
      <c r="F1315" s="149" t="s">
        <v>138</v>
      </c>
      <c r="G1315" s="149" t="s">
        <v>135</v>
      </c>
      <c r="H1315" s="168" t="s">
        <v>39</v>
      </c>
      <c r="I1315" s="168" t="s">
        <v>612</v>
      </c>
      <c r="J1315" s="168" t="s">
        <v>822</v>
      </c>
      <c r="K1315" s="168">
        <v>48</v>
      </c>
      <c r="L1315" s="160"/>
      <c r="M1315" s="169"/>
    </row>
    <row r="1316" spans="1:13" x14ac:dyDescent="0.55000000000000004">
      <c r="A1316" s="97" t="s">
        <v>821</v>
      </c>
      <c r="B1316" s="168" t="s">
        <v>160</v>
      </c>
      <c r="C1316" s="168" t="s">
        <v>124</v>
      </c>
      <c r="D1316" s="168" t="s">
        <v>3288</v>
      </c>
      <c r="E1316" s="116">
        <v>1.58</v>
      </c>
      <c r="F1316" s="149" t="s">
        <v>135</v>
      </c>
      <c r="G1316" s="149" t="s">
        <v>135</v>
      </c>
      <c r="H1316" s="168" t="s">
        <v>39</v>
      </c>
      <c r="I1316" s="168" t="s">
        <v>540</v>
      </c>
      <c r="J1316" s="168" t="s">
        <v>822</v>
      </c>
      <c r="K1316" s="168">
        <v>48</v>
      </c>
      <c r="L1316" s="160"/>
      <c r="M1316" s="169"/>
    </row>
    <row r="1317" spans="1:13" x14ac:dyDescent="0.55000000000000004">
      <c r="A1317" s="97" t="s">
        <v>821</v>
      </c>
      <c r="B1317" s="168" t="s">
        <v>761</v>
      </c>
      <c r="C1317" s="168" t="s">
        <v>124</v>
      </c>
      <c r="D1317" s="169" t="s">
        <v>3288</v>
      </c>
      <c r="E1317" s="116">
        <v>5.5099999999999995E-4</v>
      </c>
      <c r="F1317" s="149" t="s">
        <v>3287</v>
      </c>
      <c r="G1317" s="149" t="s">
        <v>135</v>
      </c>
      <c r="H1317" s="168" t="s">
        <v>39</v>
      </c>
      <c r="I1317" s="168" t="s">
        <v>536</v>
      </c>
      <c r="J1317" s="168" t="s">
        <v>822</v>
      </c>
      <c r="K1317" s="168">
        <v>48</v>
      </c>
      <c r="L1317" s="160"/>
      <c r="M1317" s="169"/>
    </row>
    <row r="1318" spans="1:13" x14ac:dyDescent="0.55000000000000004">
      <c r="A1318" s="65" t="s">
        <v>819</v>
      </c>
      <c r="B1318" s="168" t="s">
        <v>315</v>
      </c>
      <c r="C1318" s="168" t="s">
        <v>121</v>
      </c>
      <c r="D1318" s="168" t="s">
        <v>3288</v>
      </c>
      <c r="E1318" s="116">
        <v>1</v>
      </c>
      <c r="F1318" s="149" t="s">
        <v>768</v>
      </c>
      <c r="G1318" s="149">
        <v>1</v>
      </c>
      <c r="H1318" s="168" t="s">
        <v>39</v>
      </c>
      <c r="I1318" s="168" t="s">
        <v>535</v>
      </c>
      <c r="J1318" s="168" t="s">
        <v>820</v>
      </c>
      <c r="K1318" s="168">
        <v>48</v>
      </c>
      <c r="L1318" s="160">
        <v>7203</v>
      </c>
      <c r="M1318" s="169"/>
    </row>
    <row r="1319" spans="1:13" x14ac:dyDescent="0.55000000000000004">
      <c r="A1319" s="65" t="s">
        <v>819</v>
      </c>
      <c r="B1319" s="168" t="s">
        <v>323</v>
      </c>
      <c r="C1319" s="168" t="s">
        <v>125</v>
      </c>
      <c r="D1319" s="168" t="s">
        <v>3288</v>
      </c>
      <c r="E1319" s="116">
        <v>1.43</v>
      </c>
      <c r="F1319" s="149" t="s">
        <v>768</v>
      </c>
      <c r="G1319" s="149" t="s">
        <v>768</v>
      </c>
      <c r="H1319" s="168" t="s">
        <v>39</v>
      </c>
      <c r="I1319" s="168" t="s">
        <v>535</v>
      </c>
      <c r="J1319" s="168" t="s">
        <v>820</v>
      </c>
      <c r="K1319" s="168" t="s">
        <v>535</v>
      </c>
      <c r="L1319" s="160"/>
      <c r="M1319" s="169"/>
    </row>
    <row r="1320" spans="1:13" x14ac:dyDescent="0.55000000000000004">
      <c r="A1320" s="65" t="s">
        <v>819</v>
      </c>
      <c r="B1320" s="168" t="s">
        <v>334</v>
      </c>
      <c r="C1320" s="168" t="s">
        <v>348</v>
      </c>
      <c r="D1320" s="168" t="s">
        <v>3288</v>
      </c>
      <c r="E1320" s="116">
        <v>44.2</v>
      </c>
      <c r="F1320" s="149" t="s">
        <v>763</v>
      </c>
      <c r="G1320" s="149" t="s">
        <v>768</v>
      </c>
      <c r="H1320" s="168" t="s">
        <v>39</v>
      </c>
      <c r="I1320" s="168" t="s">
        <v>604</v>
      </c>
      <c r="J1320" s="168" t="s">
        <v>820</v>
      </c>
      <c r="K1320" s="168">
        <v>48</v>
      </c>
      <c r="L1320" s="160"/>
      <c r="M1320" s="169"/>
    </row>
    <row r="1321" spans="1:13" x14ac:dyDescent="0.55000000000000004">
      <c r="A1321" s="65" t="s">
        <v>817</v>
      </c>
      <c r="B1321" s="168" t="s">
        <v>805</v>
      </c>
      <c r="C1321" s="168" t="s">
        <v>121</v>
      </c>
      <c r="D1321" s="168" t="s">
        <v>3288</v>
      </c>
      <c r="E1321" s="116">
        <v>1</v>
      </c>
      <c r="F1321" s="149" t="s">
        <v>135</v>
      </c>
      <c r="G1321" s="149">
        <v>1</v>
      </c>
      <c r="H1321" s="168" t="s">
        <v>39</v>
      </c>
      <c r="I1321" s="168" t="s">
        <v>601</v>
      </c>
      <c r="J1321" s="168" t="s">
        <v>818</v>
      </c>
      <c r="K1321" s="168">
        <v>48</v>
      </c>
      <c r="L1321" s="160">
        <v>2619</v>
      </c>
      <c r="M1321" s="169"/>
    </row>
    <row r="1322" spans="1:13" x14ac:dyDescent="0.55000000000000004">
      <c r="A1322" s="65" t="s">
        <v>817</v>
      </c>
      <c r="B1322" s="168" t="s">
        <v>807</v>
      </c>
      <c r="C1322" s="168" t="s">
        <v>163</v>
      </c>
      <c r="D1322" s="168" t="s">
        <v>3288</v>
      </c>
      <c r="E1322" s="116">
        <v>1.2</v>
      </c>
      <c r="F1322" s="149" t="s">
        <v>135</v>
      </c>
      <c r="G1322" s="149" t="s">
        <v>135</v>
      </c>
      <c r="H1322" s="168" t="s">
        <v>39</v>
      </c>
      <c r="I1322" s="168" t="s">
        <v>536</v>
      </c>
      <c r="J1322" s="168" t="s">
        <v>818</v>
      </c>
      <c r="K1322" s="168">
        <v>48</v>
      </c>
      <c r="L1322" s="160"/>
      <c r="M1322" s="169"/>
    </row>
    <row r="1323" spans="1:13" x14ac:dyDescent="0.55000000000000004">
      <c r="A1323" s="65" t="s">
        <v>817</v>
      </c>
      <c r="B1323" s="168" t="s">
        <v>153</v>
      </c>
      <c r="C1323" s="168" t="s">
        <v>127</v>
      </c>
      <c r="D1323" s="168" t="s">
        <v>2994</v>
      </c>
      <c r="E1323" s="116">
        <v>0.104</v>
      </c>
      <c r="F1323" s="149" t="s">
        <v>138</v>
      </c>
      <c r="G1323" s="149" t="s">
        <v>135</v>
      </c>
      <c r="H1323" s="168" t="s">
        <v>39</v>
      </c>
      <c r="I1323" s="168" t="s">
        <v>535</v>
      </c>
      <c r="J1323" s="168" t="s">
        <v>818</v>
      </c>
      <c r="K1323" s="168">
        <v>48</v>
      </c>
      <c r="L1323" s="160"/>
      <c r="M1323" s="169"/>
    </row>
    <row r="1324" spans="1:13" x14ac:dyDescent="0.55000000000000004">
      <c r="A1324" s="54" t="s">
        <v>815</v>
      </c>
      <c r="B1324" s="168" t="s">
        <v>236</v>
      </c>
      <c r="C1324" s="168" t="s">
        <v>121</v>
      </c>
      <c r="D1324" s="168" t="s">
        <v>3288</v>
      </c>
      <c r="E1324" s="116">
        <v>1</v>
      </c>
      <c r="F1324" s="149" t="s">
        <v>135</v>
      </c>
      <c r="G1324" s="149">
        <v>1</v>
      </c>
      <c r="H1324" s="168" t="s">
        <v>39</v>
      </c>
      <c r="I1324" s="168" t="s">
        <v>535</v>
      </c>
      <c r="J1324" s="168" t="s">
        <v>816</v>
      </c>
      <c r="K1324" s="168">
        <v>49</v>
      </c>
      <c r="L1324" s="160">
        <v>2523</v>
      </c>
      <c r="M1324" s="169"/>
    </row>
    <row r="1325" spans="1:13" x14ac:dyDescent="0.55000000000000004">
      <c r="A1325" s="54" t="s">
        <v>815</v>
      </c>
      <c r="B1325" s="168" t="s">
        <v>153</v>
      </c>
      <c r="C1325" s="168" t="s">
        <v>127</v>
      </c>
      <c r="D1325" s="168" t="s">
        <v>2994</v>
      </c>
      <c r="E1325" s="116">
        <v>-1.7999999999999999E-2</v>
      </c>
      <c r="F1325" s="149" t="s">
        <v>138</v>
      </c>
      <c r="G1325" s="149" t="s">
        <v>135</v>
      </c>
      <c r="H1325" s="168" t="s">
        <v>39</v>
      </c>
      <c r="I1325" s="168" t="s">
        <v>540</v>
      </c>
      <c r="J1325" s="168" t="s">
        <v>816</v>
      </c>
      <c r="K1325" s="168">
        <v>48</v>
      </c>
      <c r="L1325" s="160"/>
      <c r="M1325" s="169"/>
    </row>
    <row r="1326" spans="1:13" x14ac:dyDescent="0.55000000000000004">
      <c r="A1326" s="54" t="s">
        <v>815</v>
      </c>
      <c r="B1326" s="168" t="s">
        <v>236</v>
      </c>
      <c r="C1326" s="168" t="s">
        <v>125</v>
      </c>
      <c r="D1326" s="168" t="s">
        <v>3288</v>
      </c>
      <c r="E1326" s="116">
        <v>1</v>
      </c>
      <c r="F1326" s="149" t="s">
        <v>135</v>
      </c>
      <c r="G1326" s="149" t="s">
        <v>135</v>
      </c>
      <c r="H1326" s="168" t="s">
        <v>39</v>
      </c>
      <c r="I1326" s="168" t="s">
        <v>535</v>
      </c>
      <c r="J1326" s="168" t="s">
        <v>816</v>
      </c>
      <c r="K1326" s="168" t="s">
        <v>535</v>
      </c>
      <c r="L1326" s="160"/>
      <c r="M1326" s="169"/>
    </row>
    <row r="1327" spans="1:13" x14ac:dyDescent="0.55000000000000004">
      <c r="A1327" s="65" t="s">
        <v>812</v>
      </c>
      <c r="B1327" s="168" t="s">
        <v>287</v>
      </c>
      <c r="C1327" s="168" t="s">
        <v>121</v>
      </c>
      <c r="D1327" s="168" t="s">
        <v>3288</v>
      </c>
      <c r="E1327" s="116">
        <v>1</v>
      </c>
      <c r="F1327" s="149" t="s">
        <v>768</v>
      </c>
      <c r="G1327" s="149">
        <v>1</v>
      </c>
      <c r="H1327" s="168" t="s">
        <v>39</v>
      </c>
      <c r="I1327" s="168" t="s">
        <v>535</v>
      </c>
      <c r="J1327" s="168" t="s">
        <v>813</v>
      </c>
      <c r="K1327" s="168">
        <v>50</v>
      </c>
      <c r="L1327" s="160">
        <v>7201</v>
      </c>
      <c r="M1327" s="169"/>
    </row>
    <row r="1328" spans="1:13" x14ac:dyDescent="0.55000000000000004">
      <c r="A1328" s="65" t="s">
        <v>812</v>
      </c>
      <c r="B1328" s="168" t="s">
        <v>735</v>
      </c>
      <c r="C1328" s="168" t="s">
        <v>163</v>
      </c>
      <c r="D1328" s="168" t="s">
        <v>3288</v>
      </c>
      <c r="E1328" s="116">
        <v>0.26</v>
      </c>
      <c r="F1328" s="149" t="s">
        <v>768</v>
      </c>
      <c r="G1328" s="149" t="s">
        <v>768</v>
      </c>
      <c r="H1328" s="168" t="s">
        <v>39</v>
      </c>
      <c r="I1328" s="168" t="s">
        <v>594</v>
      </c>
      <c r="J1328" s="168" t="s">
        <v>813</v>
      </c>
      <c r="K1328" s="168"/>
      <c r="L1328" s="160"/>
      <c r="M1328" s="169"/>
    </row>
    <row r="1329" spans="1:13" x14ac:dyDescent="0.55000000000000004">
      <c r="A1329" s="65" t="s">
        <v>812</v>
      </c>
      <c r="B1329" s="168" t="s">
        <v>772</v>
      </c>
      <c r="C1329" s="168" t="s">
        <v>156</v>
      </c>
      <c r="D1329" s="168" t="s">
        <v>3288</v>
      </c>
      <c r="E1329" s="116">
        <v>1.1299999999999999</v>
      </c>
      <c r="F1329" s="149" t="s">
        <v>768</v>
      </c>
      <c r="G1329" s="149" t="s">
        <v>768</v>
      </c>
      <c r="H1329" s="168" t="s">
        <v>39</v>
      </c>
      <c r="I1329" s="168" t="s">
        <v>543</v>
      </c>
      <c r="J1329" s="168" t="s">
        <v>813</v>
      </c>
      <c r="K1329" s="168">
        <v>48</v>
      </c>
      <c r="L1329" s="160"/>
      <c r="M1329" s="169"/>
    </row>
    <row r="1330" spans="1:13" x14ac:dyDescent="0.55000000000000004">
      <c r="A1330" s="65" t="s">
        <v>812</v>
      </c>
      <c r="B1330" s="168" t="s">
        <v>316</v>
      </c>
      <c r="C1330" s="168" t="s">
        <v>132</v>
      </c>
      <c r="D1330" s="168" t="s">
        <v>3288</v>
      </c>
      <c r="E1330" s="116">
        <v>1.61</v>
      </c>
      <c r="F1330" s="149" t="s">
        <v>768</v>
      </c>
      <c r="G1330" s="149" t="s">
        <v>768</v>
      </c>
      <c r="H1330" s="168" t="s">
        <v>39</v>
      </c>
      <c r="I1330" s="168" t="s">
        <v>549</v>
      </c>
      <c r="J1330" s="168" t="s">
        <v>813</v>
      </c>
      <c r="K1330" s="168">
        <v>49</v>
      </c>
      <c r="L1330" s="160"/>
      <c r="M1330" s="169"/>
    </row>
    <row r="1331" spans="1:13" x14ac:dyDescent="0.55000000000000004">
      <c r="A1331" s="65" t="s">
        <v>812</v>
      </c>
      <c r="B1331" s="168" t="s">
        <v>262</v>
      </c>
      <c r="C1331" s="168" t="s">
        <v>127</v>
      </c>
      <c r="D1331" s="168" t="s">
        <v>2994</v>
      </c>
      <c r="E1331" s="116">
        <v>14.7</v>
      </c>
      <c r="F1331" s="149" t="s">
        <v>765</v>
      </c>
      <c r="G1331" s="149" t="s">
        <v>768</v>
      </c>
      <c r="H1331" s="168" t="s">
        <v>39</v>
      </c>
      <c r="I1331" s="168" t="s">
        <v>536</v>
      </c>
      <c r="J1331" s="168" t="s">
        <v>813</v>
      </c>
      <c r="K1331" s="168">
        <v>48</v>
      </c>
      <c r="L1331" s="160"/>
      <c r="M1331" s="169"/>
    </row>
    <row r="1332" spans="1:13" x14ac:dyDescent="0.55000000000000004">
      <c r="A1332" s="65" t="s">
        <v>812</v>
      </c>
      <c r="B1332" s="168" t="s">
        <v>213</v>
      </c>
      <c r="C1332" s="168" t="s">
        <v>125</v>
      </c>
      <c r="D1332" s="168" t="s">
        <v>3288</v>
      </c>
      <c r="E1332" s="116">
        <v>1070</v>
      </c>
      <c r="F1332" s="149" t="s">
        <v>763</v>
      </c>
      <c r="G1332" s="149" t="s">
        <v>768</v>
      </c>
      <c r="H1332" s="168" t="s">
        <v>39</v>
      </c>
      <c r="I1332" s="168" t="s">
        <v>552</v>
      </c>
      <c r="J1332" s="168" t="s">
        <v>813</v>
      </c>
      <c r="K1332" s="168">
        <v>50</v>
      </c>
      <c r="L1332" s="160"/>
      <c r="M1332" s="169"/>
    </row>
    <row r="1333" spans="1:13" x14ac:dyDescent="0.55000000000000004">
      <c r="A1333" s="65" t="s">
        <v>812</v>
      </c>
      <c r="B1333" s="168" t="s">
        <v>153</v>
      </c>
      <c r="C1333" s="168" t="s">
        <v>127</v>
      </c>
      <c r="D1333" s="168" t="s">
        <v>2994</v>
      </c>
      <c r="E1333" s="116">
        <v>1.25</v>
      </c>
      <c r="F1333" s="149" t="s">
        <v>765</v>
      </c>
      <c r="G1333" s="149" t="s">
        <v>768</v>
      </c>
      <c r="H1333" s="168" t="s">
        <v>39</v>
      </c>
      <c r="I1333" s="168" t="s">
        <v>600</v>
      </c>
      <c r="J1333" s="168" t="s">
        <v>813</v>
      </c>
      <c r="K1333" s="168" t="s">
        <v>535</v>
      </c>
      <c r="L1333" s="160"/>
      <c r="M1333" s="169"/>
    </row>
    <row r="1334" spans="1:13" x14ac:dyDescent="0.55000000000000004">
      <c r="A1334" s="65" t="s">
        <v>812</v>
      </c>
      <c r="B1334" s="168" t="s">
        <v>160</v>
      </c>
      <c r="C1334" s="168" t="s">
        <v>124</v>
      </c>
      <c r="D1334" s="168" t="s">
        <v>3288</v>
      </c>
      <c r="E1334" s="116">
        <v>0.125</v>
      </c>
      <c r="F1334" s="149" t="s">
        <v>768</v>
      </c>
      <c r="G1334" s="149" t="s">
        <v>768</v>
      </c>
      <c r="H1334" s="168" t="s">
        <v>39</v>
      </c>
      <c r="I1334" s="168" t="s">
        <v>535</v>
      </c>
      <c r="J1334" s="168" t="s">
        <v>813</v>
      </c>
      <c r="K1334" s="168">
        <v>50</v>
      </c>
      <c r="L1334" s="160"/>
      <c r="M1334" s="169"/>
    </row>
    <row r="1335" spans="1:13" x14ac:dyDescent="0.55000000000000004">
      <c r="A1335" s="65" t="s">
        <v>810</v>
      </c>
      <c r="B1335" s="168" t="s">
        <v>805</v>
      </c>
      <c r="C1335" s="168" t="s">
        <v>121</v>
      </c>
      <c r="D1335" s="168" t="s">
        <v>3288</v>
      </c>
      <c r="E1335" s="116">
        <v>1</v>
      </c>
      <c r="F1335" s="149" t="s">
        <v>135</v>
      </c>
      <c r="G1335" s="149">
        <v>1</v>
      </c>
      <c r="H1335" s="168" t="s">
        <v>39</v>
      </c>
      <c r="I1335" s="168" t="s">
        <v>535</v>
      </c>
      <c r="J1335" s="168" t="s">
        <v>811</v>
      </c>
      <c r="K1335" s="168">
        <v>53</v>
      </c>
      <c r="L1335" s="160">
        <v>2619</v>
      </c>
      <c r="M1335" s="169"/>
    </row>
    <row r="1336" spans="1:13" x14ac:dyDescent="0.55000000000000004">
      <c r="A1336" s="65" t="s">
        <v>810</v>
      </c>
      <c r="B1336" s="168" t="s">
        <v>334</v>
      </c>
      <c r="C1336" s="168" t="s">
        <v>348</v>
      </c>
      <c r="D1336" s="168" t="s">
        <v>2994</v>
      </c>
      <c r="E1336" s="116">
        <v>0.41399999999999998</v>
      </c>
      <c r="F1336" s="149" t="s">
        <v>138</v>
      </c>
      <c r="G1336" s="149" t="s">
        <v>135</v>
      </c>
      <c r="H1336" s="168" t="s">
        <v>39</v>
      </c>
      <c r="I1336" s="168" t="s">
        <v>540</v>
      </c>
      <c r="J1336" s="168" t="s">
        <v>811</v>
      </c>
      <c r="K1336" s="168">
        <v>48</v>
      </c>
      <c r="L1336" s="160"/>
      <c r="M1336" s="169"/>
    </row>
    <row r="1337" spans="1:13" x14ac:dyDescent="0.55000000000000004">
      <c r="A1337" s="65" t="s">
        <v>810</v>
      </c>
      <c r="B1337" s="168" t="s">
        <v>807</v>
      </c>
      <c r="C1337" s="168" t="s">
        <v>163</v>
      </c>
      <c r="D1337" s="168" t="s">
        <v>3288</v>
      </c>
      <c r="E1337" s="116">
        <v>1.2</v>
      </c>
      <c r="F1337" s="149" t="s">
        <v>135</v>
      </c>
      <c r="G1337" s="149" t="s">
        <v>135</v>
      </c>
      <c r="H1337" s="168" t="s">
        <v>39</v>
      </c>
      <c r="I1337" s="168" t="s">
        <v>593</v>
      </c>
      <c r="J1337" s="168" t="s">
        <v>811</v>
      </c>
      <c r="K1337" s="168">
        <v>48</v>
      </c>
      <c r="L1337" s="160"/>
      <c r="M1337" s="169"/>
    </row>
    <row r="1338" spans="1:13" x14ac:dyDescent="0.55000000000000004">
      <c r="A1338" s="97" t="s">
        <v>808</v>
      </c>
      <c r="B1338" s="168" t="s">
        <v>757</v>
      </c>
      <c r="C1338" s="168" t="s">
        <v>121</v>
      </c>
      <c r="D1338" s="168" t="s">
        <v>3288</v>
      </c>
      <c r="E1338" s="116">
        <v>1</v>
      </c>
      <c r="F1338" s="149" t="s">
        <v>135</v>
      </c>
      <c r="G1338" s="149">
        <v>1</v>
      </c>
      <c r="H1338" s="168" t="s">
        <v>39</v>
      </c>
      <c r="I1338" s="168" t="s">
        <v>588</v>
      </c>
      <c r="J1338" s="168" t="s">
        <v>809</v>
      </c>
      <c r="K1338" s="168">
        <v>53</v>
      </c>
      <c r="L1338" s="160">
        <v>7601</v>
      </c>
      <c r="M1338" s="169"/>
    </row>
    <row r="1339" spans="1:13" x14ac:dyDescent="0.55000000000000004">
      <c r="A1339" s="97" t="s">
        <v>808</v>
      </c>
      <c r="B1339" s="168" t="s">
        <v>759</v>
      </c>
      <c r="C1339" s="168" t="s">
        <v>125</v>
      </c>
      <c r="D1339" s="168" t="s">
        <v>3288</v>
      </c>
      <c r="E1339" s="116">
        <v>16.5</v>
      </c>
      <c r="F1339" s="149" t="s">
        <v>122</v>
      </c>
      <c r="G1339" s="149" t="s">
        <v>135</v>
      </c>
      <c r="H1339" s="168" t="s">
        <v>39</v>
      </c>
      <c r="I1339" s="168" t="s">
        <v>535</v>
      </c>
      <c r="J1339" s="168" t="s">
        <v>809</v>
      </c>
      <c r="K1339" s="168">
        <v>53</v>
      </c>
      <c r="L1339" s="160"/>
      <c r="M1339" s="169"/>
    </row>
    <row r="1340" spans="1:13" x14ac:dyDescent="0.55000000000000004">
      <c r="A1340" s="97" t="s">
        <v>808</v>
      </c>
      <c r="B1340" s="168" t="s">
        <v>261</v>
      </c>
      <c r="C1340" s="168" t="s">
        <v>125</v>
      </c>
      <c r="D1340" s="168" t="s">
        <v>3288</v>
      </c>
      <c r="E1340" s="116">
        <v>1.93</v>
      </c>
      <c r="F1340" s="149" t="s">
        <v>135</v>
      </c>
      <c r="G1340" s="149" t="s">
        <v>135</v>
      </c>
      <c r="H1340" s="168" t="s">
        <v>39</v>
      </c>
      <c r="I1340" s="168" t="s">
        <v>535</v>
      </c>
      <c r="J1340" s="168" t="s">
        <v>809</v>
      </c>
      <c r="K1340" s="168">
        <v>53</v>
      </c>
      <c r="L1340" s="160"/>
      <c r="M1340" s="169"/>
    </row>
    <row r="1341" spans="1:13" x14ac:dyDescent="0.55000000000000004">
      <c r="A1341" s="97" t="s">
        <v>808</v>
      </c>
      <c r="B1341" s="168" t="s">
        <v>153</v>
      </c>
      <c r="C1341" s="168" t="s">
        <v>127</v>
      </c>
      <c r="D1341" s="168" t="s">
        <v>2994</v>
      </c>
      <c r="E1341" s="116">
        <v>65.599999999999994</v>
      </c>
      <c r="F1341" s="149" t="s">
        <v>138</v>
      </c>
      <c r="G1341" s="149" t="s">
        <v>135</v>
      </c>
      <c r="H1341" s="168" t="s">
        <v>39</v>
      </c>
      <c r="I1341" s="168" t="s">
        <v>535</v>
      </c>
      <c r="J1341" s="168" t="s">
        <v>809</v>
      </c>
      <c r="K1341" s="168">
        <v>53</v>
      </c>
      <c r="L1341" s="160"/>
      <c r="M1341" s="169"/>
    </row>
    <row r="1342" spans="1:13" x14ac:dyDescent="0.55000000000000004">
      <c r="A1342" s="65" t="s">
        <v>804</v>
      </c>
      <c r="B1342" s="168" t="s">
        <v>805</v>
      </c>
      <c r="C1342" s="168" t="s">
        <v>121</v>
      </c>
      <c r="D1342" s="168" t="s">
        <v>3288</v>
      </c>
      <c r="E1342" s="116">
        <v>1</v>
      </c>
      <c r="F1342" s="149" t="s">
        <v>135</v>
      </c>
      <c r="G1342" s="149">
        <v>1</v>
      </c>
      <c r="H1342" s="168" t="s">
        <v>39</v>
      </c>
      <c r="I1342" s="168" t="s">
        <v>587</v>
      </c>
      <c r="J1342" s="168" t="s">
        <v>806</v>
      </c>
      <c r="K1342" s="168">
        <v>53</v>
      </c>
      <c r="L1342" s="160">
        <v>2619</v>
      </c>
      <c r="M1342" s="169"/>
    </row>
    <row r="1343" spans="1:13" x14ac:dyDescent="0.55000000000000004">
      <c r="A1343" s="65" t="s">
        <v>804</v>
      </c>
      <c r="B1343" s="168" t="s">
        <v>171</v>
      </c>
      <c r="C1343" s="168" t="s">
        <v>127</v>
      </c>
      <c r="D1343" s="168" t="s">
        <v>2994</v>
      </c>
      <c r="E1343" s="116">
        <v>0.41399999999999998</v>
      </c>
      <c r="F1343" s="149" t="s">
        <v>138</v>
      </c>
      <c r="G1343" s="149" t="s">
        <v>135</v>
      </c>
      <c r="H1343" s="168" t="s">
        <v>39</v>
      </c>
      <c r="I1343" s="168" t="s">
        <v>535</v>
      </c>
      <c r="J1343" s="168" t="s">
        <v>806</v>
      </c>
      <c r="K1343" s="168" t="s">
        <v>535</v>
      </c>
      <c r="L1343" s="160"/>
      <c r="M1343" s="169"/>
    </row>
    <row r="1344" spans="1:13" x14ac:dyDescent="0.55000000000000004">
      <c r="A1344" s="65" t="s">
        <v>804</v>
      </c>
      <c r="B1344" s="168" t="s">
        <v>807</v>
      </c>
      <c r="C1344" s="168" t="s">
        <v>163</v>
      </c>
      <c r="D1344" s="168" t="s">
        <v>3288</v>
      </c>
      <c r="E1344" s="116">
        <v>1.2</v>
      </c>
      <c r="F1344" s="149" t="s">
        <v>135</v>
      </c>
      <c r="G1344" s="149" t="s">
        <v>135</v>
      </c>
      <c r="H1344" s="168" t="s">
        <v>39</v>
      </c>
      <c r="I1344" s="168" t="s">
        <v>535</v>
      </c>
      <c r="J1344" s="168" t="s">
        <v>806</v>
      </c>
      <c r="K1344" s="168">
        <v>48</v>
      </c>
      <c r="L1344" s="160"/>
      <c r="M1344" s="169"/>
    </row>
    <row r="1345" spans="1:13" x14ac:dyDescent="0.55000000000000004">
      <c r="A1345" s="65" t="s">
        <v>804</v>
      </c>
      <c r="B1345" s="168" t="s">
        <v>160</v>
      </c>
      <c r="C1345" s="168" t="s">
        <v>124</v>
      </c>
      <c r="D1345" s="168" t="s">
        <v>3288</v>
      </c>
      <c r="E1345" s="116">
        <v>2.35E-2</v>
      </c>
      <c r="F1345" s="149" t="s">
        <v>135</v>
      </c>
      <c r="G1345" s="149" t="s">
        <v>135</v>
      </c>
      <c r="H1345" s="168" t="s">
        <v>39</v>
      </c>
      <c r="I1345" s="168" t="s">
        <v>535</v>
      </c>
      <c r="J1345" s="168" t="s">
        <v>806</v>
      </c>
      <c r="K1345" s="168">
        <v>53</v>
      </c>
      <c r="L1345" s="160"/>
      <c r="M1345" s="169"/>
    </row>
    <row r="1346" spans="1:13" x14ac:dyDescent="0.55000000000000004">
      <c r="A1346" s="65" t="s">
        <v>802</v>
      </c>
      <c r="B1346" s="168" t="s">
        <v>798</v>
      </c>
      <c r="C1346" s="168" t="s">
        <v>121</v>
      </c>
      <c r="D1346" s="168" t="s">
        <v>3288</v>
      </c>
      <c r="E1346" s="116">
        <v>1</v>
      </c>
      <c r="F1346" s="149" t="s">
        <v>768</v>
      </c>
      <c r="G1346" s="149">
        <v>1</v>
      </c>
      <c r="H1346" s="168" t="s">
        <v>39</v>
      </c>
      <c r="I1346" s="168" t="s">
        <v>535</v>
      </c>
      <c r="J1346" s="168" t="s">
        <v>803</v>
      </c>
      <c r="K1346" s="168" t="s">
        <v>535</v>
      </c>
      <c r="L1346" s="160">
        <v>7208</v>
      </c>
      <c r="M1346" s="169"/>
    </row>
    <row r="1347" spans="1:13" x14ac:dyDescent="0.55000000000000004">
      <c r="A1347" s="65" t="s">
        <v>802</v>
      </c>
      <c r="B1347" s="168" t="s">
        <v>171</v>
      </c>
      <c r="C1347" s="168" t="s">
        <v>127</v>
      </c>
      <c r="D1347" s="168" t="s">
        <v>2994</v>
      </c>
      <c r="E1347" s="116">
        <v>1.1399999999999999</v>
      </c>
      <c r="F1347" s="149" t="s">
        <v>765</v>
      </c>
      <c r="G1347" s="149" t="s">
        <v>768</v>
      </c>
      <c r="H1347" s="168" t="s">
        <v>39</v>
      </c>
      <c r="I1347" s="168" t="s">
        <v>535</v>
      </c>
      <c r="J1347" s="168" t="s">
        <v>803</v>
      </c>
      <c r="K1347" s="168" t="s">
        <v>535</v>
      </c>
      <c r="L1347" s="160"/>
      <c r="M1347" s="169"/>
    </row>
    <row r="1348" spans="1:13" x14ac:dyDescent="0.55000000000000004">
      <c r="A1348" s="65" t="s">
        <v>802</v>
      </c>
      <c r="B1348" s="168" t="s">
        <v>298</v>
      </c>
      <c r="C1348" s="168" t="s">
        <v>156</v>
      </c>
      <c r="D1348" s="168" t="s">
        <v>2994</v>
      </c>
      <c r="E1348" s="116">
        <v>0.88</v>
      </c>
      <c r="F1348" s="149" t="s">
        <v>765</v>
      </c>
      <c r="G1348" s="149" t="s">
        <v>768</v>
      </c>
      <c r="H1348" s="168" t="s">
        <v>39</v>
      </c>
      <c r="I1348" s="168" t="s">
        <v>535</v>
      </c>
      <c r="J1348" s="168" t="s">
        <v>803</v>
      </c>
      <c r="K1348" s="168" t="s">
        <v>535</v>
      </c>
      <c r="L1348" s="160"/>
      <c r="M1348" s="169"/>
    </row>
    <row r="1349" spans="1:13" x14ac:dyDescent="0.55000000000000004">
      <c r="A1349" s="65" t="s">
        <v>802</v>
      </c>
      <c r="B1349" s="168" t="s">
        <v>153</v>
      </c>
      <c r="C1349" s="168" t="s">
        <v>127</v>
      </c>
      <c r="D1349" s="168" t="s">
        <v>2994</v>
      </c>
      <c r="E1349" s="116">
        <v>0.56299999999999994</v>
      </c>
      <c r="F1349" s="149" t="s">
        <v>765</v>
      </c>
      <c r="G1349" s="149" t="s">
        <v>768</v>
      </c>
      <c r="H1349" s="168" t="s">
        <v>39</v>
      </c>
      <c r="I1349" s="168" t="s">
        <v>536</v>
      </c>
      <c r="J1349" s="168" t="s">
        <v>803</v>
      </c>
      <c r="K1349" s="168">
        <v>48</v>
      </c>
      <c r="L1349" s="160"/>
      <c r="M1349" s="169"/>
    </row>
    <row r="1350" spans="1:13" x14ac:dyDescent="0.55000000000000004">
      <c r="A1350" s="65" t="s">
        <v>802</v>
      </c>
      <c r="B1350" s="168" t="s">
        <v>160</v>
      </c>
      <c r="C1350" s="168" t="s">
        <v>124</v>
      </c>
      <c r="D1350" s="168" t="s">
        <v>3288</v>
      </c>
      <c r="E1350" s="116">
        <v>0.10199999999999999</v>
      </c>
      <c r="F1350" s="149" t="s">
        <v>768</v>
      </c>
      <c r="G1350" s="149" t="s">
        <v>768</v>
      </c>
      <c r="H1350" s="168" t="s">
        <v>39</v>
      </c>
      <c r="I1350" s="168" t="s">
        <v>535</v>
      </c>
      <c r="J1350" s="168" t="s">
        <v>803</v>
      </c>
      <c r="K1350" s="168">
        <v>53</v>
      </c>
      <c r="L1350" s="160"/>
      <c r="M1350" s="169"/>
    </row>
    <row r="1351" spans="1:13" x14ac:dyDescent="0.55000000000000004">
      <c r="A1351" s="65" t="s">
        <v>800</v>
      </c>
      <c r="B1351" s="168" t="s">
        <v>798</v>
      </c>
      <c r="C1351" s="168" t="s">
        <v>121</v>
      </c>
      <c r="D1351" s="168" t="s">
        <v>3288</v>
      </c>
      <c r="E1351" s="116">
        <v>1</v>
      </c>
      <c r="F1351" s="149" t="s">
        <v>768</v>
      </c>
      <c r="G1351" s="149">
        <v>1</v>
      </c>
      <c r="H1351" s="168" t="s">
        <v>39</v>
      </c>
      <c r="I1351" s="168" t="s">
        <v>579</v>
      </c>
      <c r="J1351" s="168" t="s">
        <v>801</v>
      </c>
      <c r="K1351" s="168">
        <v>52</v>
      </c>
      <c r="L1351" s="160">
        <v>7208</v>
      </c>
      <c r="M1351" s="169"/>
    </row>
    <row r="1352" spans="1:13" x14ac:dyDescent="0.55000000000000004">
      <c r="A1352" s="65" t="s">
        <v>800</v>
      </c>
      <c r="B1352" s="168" t="s">
        <v>171</v>
      </c>
      <c r="C1352" s="168" t="s">
        <v>127</v>
      </c>
      <c r="D1352" s="168" t="s">
        <v>2994</v>
      </c>
      <c r="E1352" s="116">
        <v>1.52</v>
      </c>
      <c r="F1352" s="149" t="s">
        <v>765</v>
      </c>
      <c r="G1352" s="149" t="s">
        <v>768</v>
      </c>
      <c r="H1352" s="168" t="s">
        <v>39</v>
      </c>
      <c r="I1352" s="168" t="s">
        <v>571</v>
      </c>
      <c r="J1352" s="168" t="s">
        <v>801</v>
      </c>
      <c r="K1352" s="168"/>
      <c r="L1352" s="160"/>
      <c r="M1352" s="169"/>
    </row>
    <row r="1353" spans="1:13" x14ac:dyDescent="0.55000000000000004">
      <c r="A1353" s="65" t="s">
        <v>800</v>
      </c>
      <c r="B1353" s="168" t="s">
        <v>298</v>
      </c>
      <c r="C1353" s="168" t="s">
        <v>156</v>
      </c>
      <c r="D1353" s="168" t="s">
        <v>2994</v>
      </c>
      <c r="E1353" s="116">
        <v>0.498</v>
      </c>
      <c r="F1353" s="149" t="s">
        <v>765</v>
      </c>
      <c r="G1353" s="149" t="s">
        <v>768</v>
      </c>
      <c r="H1353" s="168" t="s">
        <v>39</v>
      </c>
      <c r="I1353" s="168" t="s">
        <v>540</v>
      </c>
      <c r="J1353" s="168" t="s">
        <v>801</v>
      </c>
      <c r="K1353" s="168">
        <v>48</v>
      </c>
      <c r="L1353" s="160"/>
      <c r="M1353" s="169"/>
    </row>
    <row r="1354" spans="1:13" x14ac:dyDescent="0.55000000000000004">
      <c r="A1354" s="65" t="s">
        <v>800</v>
      </c>
      <c r="B1354" s="168" t="s">
        <v>153</v>
      </c>
      <c r="C1354" s="168" t="s">
        <v>127</v>
      </c>
      <c r="D1354" s="168" t="s">
        <v>2994</v>
      </c>
      <c r="E1354" s="116">
        <v>0.56299999999999994</v>
      </c>
      <c r="F1354" s="149" t="s">
        <v>765</v>
      </c>
      <c r="G1354" s="149" t="s">
        <v>768</v>
      </c>
      <c r="H1354" s="168" t="s">
        <v>39</v>
      </c>
      <c r="I1354" s="168" t="s">
        <v>535</v>
      </c>
      <c r="J1354" s="168" t="s">
        <v>801</v>
      </c>
      <c r="K1354" s="168" t="s">
        <v>535</v>
      </c>
      <c r="L1354" s="160"/>
      <c r="M1354" s="169"/>
    </row>
    <row r="1355" spans="1:13" x14ac:dyDescent="0.55000000000000004">
      <c r="A1355" s="65" t="s">
        <v>800</v>
      </c>
      <c r="B1355" s="168" t="s">
        <v>160</v>
      </c>
      <c r="C1355" s="168" t="s">
        <v>124</v>
      </c>
      <c r="D1355" s="168" t="s">
        <v>3288</v>
      </c>
      <c r="E1355" s="116">
        <v>0.10199999999999999</v>
      </c>
      <c r="F1355" s="149" t="s">
        <v>768</v>
      </c>
      <c r="G1355" s="149" t="s">
        <v>768</v>
      </c>
      <c r="H1355" s="168" t="s">
        <v>39</v>
      </c>
      <c r="I1355" s="168" t="s">
        <v>584</v>
      </c>
      <c r="J1355" s="168" t="s">
        <v>801</v>
      </c>
      <c r="K1355" s="168">
        <v>50</v>
      </c>
      <c r="L1355" s="160"/>
      <c r="M1355" s="169"/>
    </row>
    <row r="1356" spans="1:13" x14ac:dyDescent="0.55000000000000004">
      <c r="A1356" s="65" t="s">
        <v>797</v>
      </c>
      <c r="B1356" s="168" t="s">
        <v>798</v>
      </c>
      <c r="C1356" s="168" t="s">
        <v>121</v>
      </c>
      <c r="D1356" s="168" t="s">
        <v>3288</v>
      </c>
      <c r="E1356" s="116">
        <v>1</v>
      </c>
      <c r="F1356" s="149" t="s">
        <v>768</v>
      </c>
      <c r="G1356" s="149">
        <v>1</v>
      </c>
      <c r="H1356" s="168" t="s">
        <v>39</v>
      </c>
      <c r="I1356" s="168" t="s">
        <v>571</v>
      </c>
      <c r="J1356" s="168" t="s">
        <v>799</v>
      </c>
      <c r="K1356" s="168"/>
      <c r="L1356" s="160">
        <v>7208</v>
      </c>
      <c r="M1356" s="169"/>
    </row>
    <row r="1357" spans="1:13" x14ac:dyDescent="0.55000000000000004">
      <c r="A1357" s="65" t="s">
        <v>797</v>
      </c>
      <c r="B1357" s="168" t="s">
        <v>171</v>
      </c>
      <c r="C1357" s="168" t="s">
        <v>127</v>
      </c>
      <c r="D1357" s="168" t="s">
        <v>2994</v>
      </c>
      <c r="E1357" s="116">
        <v>2.0099999999999998</v>
      </c>
      <c r="F1357" s="149" t="s">
        <v>765</v>
      </c>
      <c r="G1357" s="149" t="s">
        <v>768</v>
      </c>
      <c r="H1357" s="168" t="s">
        <v>39</v>
      </c>
      <c r="I1357" s="168" t="s">
        <v>571</v>
      </c>
      <c r="J1357" s="168" t="s">
        <v>799</v>
      </c>
      <c r="K1357" s="168"/>
      <c r="L1357" s="160"/>
      <c r="M1357" s="169"/>
    </row>
    <row r="1358" spans="1:13" x14ac:dyDescent="0.55000000000000004">
      <c r="A1358" s="65" t="s">
        <v>797</v>
      </c>
      <c r="B1358" s="168" t="s">
        <v>153</v>
      </c>
      <c r="C1358" s="168" t="s">
        <v>127</v>
      </c>
      <c r="D1358" s="168" t="s">
        <v>2994</v>
      </c>
      <c r="E1358" s="116">
        <v>0.56299999999999994</v>
      </c>
      <c r="F1358" s="149" t="s">
        <v>765</v>
      </c>
      <c r="G1358" s="149" t="s">
        <v>768</v>
      </c>
      <c r="H1358" s="168" t="s">
        <v>39</v>
      </c>
      <c r="I1358" s="168" t="s">
        <v>540</v>
      </c>
      <c r="J1358" s="168" t="s">
        <v>799</v>
      </c>
      <c r="K1358" s="168">
        <v>48</v>
      </c>
      <c r="L1358" s="160"/>
      <c r="M1358" s="169"/>
    </row>
    <row r="1359" spans="1:13" x14ac:dyDescent="0.55000000000000004">
      <c r="A1359" s="65" t="s">
        <v>797</v>
      </c>
      <c r="B1359" s="168" t="s">
        <v>160</v>
      </c>
      <c r="C1359" s="168" t="s">
        <v>124</v>
      </c>
      <c r="D1359" s="168" t="s">
        <v>3288</v>
      </c>
      <c r="E1359" s="116">
        <v>0.114</v>
      </c>
      <c r="F1359" s="149" t="s">
        <v>768</v>
      </c>
      <c r="G1359" s="149" t="s">
        <v>768</v>
      </c>
      <c r="H1359" s="168" t="s">
        <v>39</v>
      </c>
      <c r="I1359" s="168" t="s">
        <v>578</v>
      </c>
      <c r="J1359" s="168" t="s">
        <v>799</v>
      </c>
      <c r="K1359" s="168"/>
      <c r="L1359" s="160"/>
      <c r="M1359" s="169"/>
    </row>
    <row r="1360" spans="1:13" x14ac:dyDescent="0.55000000000000004">
      <c r="A1360" s="65" t="s">
        <v>794</v>
      </c>
      <c r="B1360" s="168" t="s">
        <v>323</v>
      </c>
      <c r="C1360" s="168" t="s">
        <v>121</v>
      </c>
      <c r="D1360" s="168" t="s">
        <v>3288</v>
      </c>
      <c r="E1360" s="116">
        <v>1</v>
      </c>
      <c r="F1360" s="149" t="s">
        <v>768</v>
      </c>
      <c r="G1360" s="149">
        <v>1</v>
      </c>
      <c r="H1360" s="168" t="s">
        <v>39</v>
      </c>
      <c r="I1360" s="168" t="s">
        <v>570</v>
      </c>
      <c r="J1360" s="168" t="s">
        <v>795</v>
      </c>
      <c r="K1360" s="168"/>
      <c r="L1360" s="160">
        <v>2601</v>
      </c>
      <c r="M1360" s="169"/>
    </row>
    <row r="1361" spans="1:13" x14ac:dyDescent="0.55000000000000004">
      <c r="A1361" s="65" t="s">
        <v>794</v>
      </c>
      <c r="B1361" s="168" t="s">
        <v>316</v>
      </c>
      <c r="C1361" s="168" t="s">
        <v>132</v>
      </c>
      <c r="D1361" s="168" t="s">
        <v>3288</v>
      </c>
      <c r="E1361" s="116">
        <v>1.08</v>
      </c>
      <c r="F1361" s="149" t="s">
        <v>768</v>
      </c>
      <c r="G1361" s="149" t="s">
        <v>768</v>
      </c>
      <c r="H1361" s="168" t="s">
        <v>39</v>
      </c>
      <c r="I1361" s="168" t="s">
        <v>571</v>
      </c>
      <c r="J1361" s="168" t="s">
        <v>795</v>
      </c>
      <c r="K1361" s="168"/>
      <c r="L1361" s="160"/>
      <c r="M1361" s="169"/>
    </row>
    <row r="1362" spans="1:13" x14ac:dyDescent="0.55000000000000004">
      <c r="A1362" s="65" t="s">
        <v>794</v>
      </c>
      <c r="B1362" s="168" t="s">
        <v>293</v>
      </c>
      <c r="C1362" s="168" t="s">
        <v>348</v>
      </c>
      <c r="D1362" s="168" t="s">
        <v>3288</v>
      </c>
      <c r="E1362" s="116">
        <v>8.3899999999999999E-3</v>
      </c>
      <c r="F1362" s="149" t="s">
        <v>768</v>
      </c>
      <c r="G1362" s="149" t="s">
        <v>768</v>
      </c>
      <c r="H1362" s="168" t="s">
        <v>39</v>
      </c>
      <c r="I1362" s="168" t="s">
        <v>571</v>
      </c>
      <c r="J1362" s="168" t="s">
        <v>795</v>
      </c>
      <c r="K1362" s="168"/>
      <c r="L1362" s="160"/>
      <c r="M1362" s="169"/>
    </row>
    <row r="1363" spans="1:13" x14ac:dyDescent="0.55000000000000004">
      <c r="A1363" s="65" t="s">
        <v>794</v>
      </c>
      <c r="B1363" s="168" t="s">
        <v>796</v>
      </c>
      <c r="C1363" s="168" t="s">
        <v>156</v>
      </c>
      <c r="D1363" s="168" t="s">
        <v>2994</v>
      </c>
      <c r="E1363" s="116">
        <v>0.23100000000000001</v>
      </c>
      <c r="F1363" s="149" t="s">
        <v>765</v>
      </c>
      <c r="G1363" s="149" t="s">
        <v>768</v>
      </c>
      <c r="H1363" s="168" t="s">
        <v>39</v>
      </c>
      <c r="I1363" s="168" t="s">
        <v>571</v>
      </c>
      <c r="J1363" s="168" t="s">
        <v>795</v>
      </c>
      <c r="K1363" s="168"/>
      <c r="L1363" s="160"/>
      <c r="M1363" s="169"/>
    </row>
    <row r="1364" spans="1:13" x14ac:dyDescent="0.55000000000000004">
      <c r="A1364" s="65" t="s">
        <v>794</v>
      </c>
      <c r="B1364" s="168" t="s">
        <v>171</v>
      </c>
      <c r="C1364" s="168" t="s">
        <v>127</v>
      </c>
      <c r="D1364" s="168" t="s">
        <v>2994</v>
      </c>
      <c r="E1364" s="116">
        <v>8.3899999999999999E-3</v>
      </c>
      <c r="F1364" s="149" t="s">
        <v>765</v>
      </c>
      <c r="G1364" s="149" t="s">
        <v>768</v>
      </c>
      <c r="H1364" s="168" t="s">
        <v>39</v>
      </c>
      <c r="I1364" s="168" t="s">
        <v>571</v>
      </c>
      <c r="J1364" s="168" t="s">
        <v>795</v>
      </c>
      <c r="K1364" s="168"/>
      <c r="L1364" s="160"/>
      <c r="M1364" s="169"/>
    </row>
    <row r="1365" spans="1:13" x14ac:dyDescent="0.55000000000000004">
      <c r="A1365" s="65" t="s">
        <v>794</v>
      </c>
      <c r="B1365" s="168" t="s">
        <v>153</v>
      </c>
      <c r="C1365" s="168" t="s">
        <v>127</v>
      </c>
      <c r="D1365" s="168" t="s">
        <v>2994</v>
      </c>
      <c r="E1365" s="116">
        <v>7.6499999999999999E-2</v>
      </c>
      <c r="F1365" s="149" t="s">
        <v>765</v>
      </c>
      <c r="G1365" s="149" t="s">
        <v>768</v>
      </c>
      <c r="H1365" s="168" t="s">
        <v>39</v>
      </c>
      <c r="I1365" s="168" t="s">
        <v>540</v>
      </c>
      <c r="J1365" s="168" t="s">
        <v>795</v>
      </c>
      <c r="K1365" s="168">
        <v>48</v>
      </c>
      <c r="L1365" s="160"/>
      <c r="M1365" s="169"/>
    </row>
    <row r="1366" spans="1:13" x14ac:dyDescent="0.55000000000000004">
      <c r="A1366" s="65" t="s">
        <v>794</v>
      </c>
      <c r="B1366" s="168" t="s">
        <v>793</v>
      </c>
      <c r="C1366" s="168" t="s">
        <v>125</v>
      </c>
      <c r="D1366" s="168" t="s">
        <v>3288</v>
      </c>
      <c r="E1366" s="116">
        <v>2.3099999999999999E-2</v>
      </c>
      <c r="F1366" s="149" t="s">
        <v>763</v>
      </c>
      <c r="G1366" s="149" t="s">
        <v>768</v>
      </c>
      <c r="H1366" s="168" t="s">
        <v>39</v>
      </c>
      <c r="I1366" s="168" t="s">
        <v>574</v>
      </c>
      <c r="J1366" s="168" t="s">
        <v>795</v>
      </c>
      <c r="K1366" s="168"/>
      <c r="L1366" s="160"/>
      <c r="M1366" s="169"/>
    </row>
    <row r="1367" spans="1:13" x14ac:dyDescent="0.55000000000000004">
      <c r="A1367" s="65" t="s">
        <v>794</v>
      </c>
      <c r="B1367" s="168" t="s">
        <v>131</v>
      </c>
      <c r="C1367" s="168" t="s">
        <v>125</v>
      </c>
      <c r="D1367" s="168" t="s">
        <v>3288</v>
      </c>
      <c r="E1367" s="116">
        <v>1.47E-2</v>
      </c>
      <c r="F1367" s="149" t="s">
        <v>763</v>
      </c>
      <c r="G1367" s="149" t="s">
        <v>768</v>
      </c>
      <c r="H1367" s="168" t="s">
        <v>39</v>
      </c>
      <c r="I1367" s="168" t="s">
        <v>571</v>
      </c>
      <c r="J1367" s="168" t="s">
        <v>795</v>
      </c>
      <c r="K1367" s="168"/>
      <c r="L1367" s="160"/>
      <c r="M1367" s="169"/>
    </row>
    <row r="1368" spans="1:13" x14ac:dyDescent="0.55000000000000004">
      <c r="A1368" s="65" t="s">
        <v>794</v>
      </c>
      <c r="B1368" s="168" t="s">
        <v>160</v>
      </c>
      <c r="C1368" s="168" t="s">
        <v>124</v>
      </c>
      <c r="D1368" s="168" t="s">
        <v>3288</v>
      </c>
      <c r="E1368" s="116">
        <v>6.6199999999999995E-2</v>
      </c>
      <c r="F1368" s="149" t="s">
        <v>768</v>
      </c>
      <c r="G1368" s="149" t="s">
        <v>768</v>
      </c>
      <c r="H1368" s="168" t="s">
        <v>39</v>
      </c>
      <c r="I1368" s="168" t="s">
        <v>571</v>
      </c>
      <c r="J1368" s="168" t="s">
        <v>795</v>
      </c>
      <c r="K1368" s="168"/>
      <c r="L1368" s="160"/>
      <c r="M1368" s="169"/>
    </row>
    <row r="1369" spans="1:13" x14ac:dyDescent="0.55000000000000004">
      <c r="A1369" s="65" t="s">
        <v>791</v>
      </c>
      <c r="B1369" s="168" t="s">
        <v>323</v>
      </c>
      <c r="C1369" s="168" t="s">
        <v>121</v>
      </c>
      <c r="D1369" s="168" t="s">
        <v>3288</v>
      </c>
      <c r="E1369" s="116">
        <v>1</v>
      </c>
      <c r="F1369" s="149" t="s">
        <v>768</v>
      </c>
      <c r="G1369" s="149">
        <v>1</v>
      </c>
      <c r="H1369" s="168" t="s">
        <v>39</v>
      </c>
      <c r="I1369" s="168" t="s">
        <v>540</v>
      </c>
      <c r="J1369" s="168" t="s">
        <v>792</v>
      </c>
      <c r="K1369" s="168">
        <v>48</v>
      </c>
      <c r="L1369" s="160">
        <v>2601</v>
      </c>
      <c r="M1369" s="169"/>
    </row>
    <row r="1370" spans="1:13" x14ac:dyDescent="0.55000000000000004">
      <c r="A1370" s="65" t="s">
        <v>791</v>
      </c>
      <c r="B1370" s="168" t="s">
        <v>316</v>
      </c>
      <c r="C1370" s="168" t="s">
        <v>132</v>
      </c>
      <c r="D1370" s="168" t="s">
        <v>3288</v>
      </c>
      <c r="E1370" s="116">
        <v>1.08</v>
      </c>
      <c r="F1370" s="149" t="s">
        <v>768</v>
      </c>
      <c r="G1370" s="149" t="s">
        <v>768</v>
      </c>
      <c r="H1370" s="168" t="s">
        <v>39</v>
      </c>
      <c r="I1370" s="168" t="s">
        <v>535</v>
      </c>
      <c r="J1370" s="168" t="s">
        <v>792</v>
      </c>
      <c r="K1370" s="168">
        <v>50</v>
      </c>
      <c r="L1370" s="160"/>
      <c r="M1370" s="169"/>
    </row>
    <row r="1371" spans="1:13" x14ac:dyDescent="0.55000000000000004">
      <c r="A1371" s="65" t="s">
        <v>791</v>
      </c>
      <c r="B1371" s="168" t="s">
        <v>262</v>
      </c>
      <c r="C1371" s="168" t="s">
        <v>127</v>
      </c>
      <c r="D1371" s="168" t="s">
        <v>3288</v>
      </c>
      <c r="E1371" s="116">
        <v>8.3899999999999999E-3</v>
      </c>
      <c r="F1371" s="149" t="s">
        <v>768</v>
      </c>
      <c r="G1371" s="149" t="s">
        <v>768</v>
      </c>
      <c r="H1371" s="168" t="s">
        <v>39</v>
      </c>
      <c r="I1371" s="168" t="s">
        <v>535</v>
      </c>
      <c r="J1371" s="168" t="s">
        <v>792</v>
      </c>
      <c r="K1371" s="168">
        <v>50</v>
      </c>
      <c r="L1371" s="160"/>
      <c r="M1371" s="169"/>
    </row>
    <row r="1372" spans="1:13" x14ac:dyDescent="0.55000000000000004">
      <c r="A1372" s="65" t="s">
        <v>791</v>
      </c>
      <c r="B1372" s="168" t="s">
        <v>171</v>
      </c>
      <c r="C1372" s="168" t="s">
        <v>127</v>
      </c>
      <c r="D1372" s="168" t="s">
        <v>2994</v>
      </c>
      <c r="E1372" s="116">
        <v>0.23899999999999999</v>
      </c>
      <c r="F1372" s="149" t="s">
        <v>765</v>
      </c>
      <c r="G1372" s="149" t="s">
        <v>768</v>
      </c>
      <c r="H1372" s="168" t="s">
        <v>39</v>
      </c>
      <c r="I1372" s="168" t="s">
        <v>535</v>
      </c>
      <c r="J1372" s="168" t="s">
        <v>792</v>
      </c>
      <c r="K1372" s="168">
        <v>50</v>
      </c>
      <c r="L1372" s="160"/>
      <c r="M1372" s="169"/>
    </row>
    <row r="1373" spans="1:13" x14ac:dyDescent="0.55000000000000004">
      <c r="A1373" s="65" t="s">
        <v>791</v>
      </c>
      <c r="B1373" s="168" t="s">
        <v>153</v>
      </c>
      <c r="C1373" s="168" t="s">
        <v>127</v>
      </c>
      <c r="D1373" s="168" t="s">
        <v>2994</v>
      </c>
      <c r="E1373" s="116">
        <v>7.6499999999999999E-2</v>
      </c>
      <c r="F1373" s="149" t="s">
        <v>765</v>
      </c>
      <c r="G1373" s="149" t="s">
        <v>768</v>
      </c>
      <c r="H1373" s="168" t="s">
        <v>39</v>
      </c>
      <c r="I1373" s="168" t="s">
        <v>536</v>
      </c>
      <c r="J1373" s="168" t="s">
        <v>792</v>
      </c>
      <c r="K1373" s="168" t="s">
        <v>535</v>
      </c>
      <c r="L1373" s="160"/>
      <c r="M1373" s="169"/>
    </row>
    <row r="1374" spans="1:13" x14ac:dyDescent="0.55000000000000004">
      <c r="A1374" s="65" t="s">
        <v>791</v>
      </c>
      <c r="B1374" s="168" t="s">
        <v>793</v>
      </c>
      <c r="C1374" s="168" t="s">
        <v>125</v>
      </c>
      <c r="D1374" s="168" t="s">
        <v>3288</v>
      </c>
      <c r="E1374" s="116">
        <v>2.3099999999999999E-2</v>
      </c>
      <c r="F1374" s="149" t="s">
        <v>763</v>
      </c>
      <c r="G1374" s="149" t="s">
        <v>768</v>
      </c>
      <c r="H1374" s="168" t="s">
        <v>39</v>
      </c>
      <c r="I1374" s="168" t="s">
        <v>535</v>
      </c>
      <c r="J1374" s="168" t="s">
        <v>792</v>
      </c>
      <c r="K1374" s="168">
        <v>50</v>
      </c>
      <c r="L1374" s="160"/>
      <c r="M1374" s="169"/>
    </row>
    <row r="1375" spans="1:13" x14ac:dyDescent="0.55000000000000004">
      <c r="A1375" s="65" t="s">
        <v>791</v>
      </c>
      <c r="B1375" s="168" t="s">
        <v>131</v>
      </c>
      <c r="C1375" s="168" t="s">
        <v>125</v>
      </c>
      <c r="D1375" s="168" t="s">
        <v>3288</v>
      </c>
      <c r="E1375" s="116">
        <v>1.47E-2</v>
      </c>
      <c r="F1375" s="149" t="s">
        <v>763</v>
      </c>
      <c r="G1375" s="149" t="s">
        <v>768</v>
      </c>
      <c r="H1375" s="168" t="s">
        <v>39</v>
      </c>
      <c r="I1375" s="168" t="s">
        <v>535</v>
      </c>
      <c r="J1375" s="168" t="s">
        <v>792</v>
      </c>
      <c r="K1375" s="168" t="s">
        <v>535</v>
      </c>
      <c r="L1375" s="160"/>
      <c r="M1375" s="169"/>
    </row>
    <row r="1376" spans="1:13" x14ac:dyDescent="0.55000000000000004">
      <c r="A1376" s="65" t="s">
        <v>791</v>
      </c>
      <c r="B1376" s="168" t="s">
        <v>160</v>
      </c>
      <c r="C1376" s="168" t="s">
        <v>124</v>
      </c>
      <c r="D1376" s="168" t="s">
        <v>3288</v>
      </c>
      <c r="E1376" s="116">
        <v>4.8099999999999997E-2</v>
      </c>
      <c r="F1376" s="149" t="s">
        <v>768</v>
      </c>
      <c r="G1376" s="149" t="s">
        <v>768</v>
      </c>
      <c r="H1376" s="168" t="s">
        <v>39</v>
      </c>
      <c r="I1376" s="168" t="s">
        <v>540</v>
      </c>
      <c r="J1376" s="168" t="s">
        <v>792</v>
      </c>
      <c r="K1376" s="168">
        <v>48</v>
      </c>
      <c r="L1376" s="160"/>
      <c r="M1376" s="169"/>
    </row>
    <row r="1377" spans="1:13" x14ac:dyDescent="0.55000000000000004">
      <c r="A1377" s="97" t="s">
        <v>786</v>
      </c>
      <c r="B1377" s="168" t="s">
        <v>760</v>
      </c>
      <c r="C1377" s="168" t="s">
        <v>121</v>
      </c>
      <c r="D1377" s="168" t="s">
        <v>3288</v>
      </c>
      <c r="E1377" s="116">
        <v>1</v>
      </c>
      <c r="F1377" s="149" t="s">
        <v>135</v>
      </c>
      <c r="G1377" s="149">
        <v>1</v>
      </c>
      <c r="H1377" s="168" t="s">
        <v>39</v>
      </c>
      <c r="I1377" s="168" t="s">
        <v>535</v>
      </c>
      <c r="J1377" s="168" t="s">
        <v>787</v>
      </c>
      <c r="K1377" s="168">
        <v>51</v>
      </c>
      <c r="L1377" s="160">
        <v>8545</v>
      </c>
      <c r="M1377" s="169"/>
    </row>
    <row r="1378" spans="1:13" x14ac:dyDescent="0.55000000000000004">
      <c r="A1378" s="97" t="s">
        <v>786</v>
      </c>
      <c r="B1378" s="168" t="s">
        <v>788</v>
      </c>
      <c r="C1378" s="168" t="s">
        <v>125</v>
      </c>
      <c r="D1378" s="168" t="s">
        <v>3288</v>
      </c>
      <c r="E1378" s="116">
        <v>696</v>
      </c>
      <c r="F1378" s="149" t="s">
        <v>122</v>
      </c>
      <c r="G1378" s="149" t="s">
        <v>135</v>
      </c>
      <c r="H1378" s="168" t="s">
        <v>39</v>
      </c>
      <c r="I1378" s="168" t="s">
        <v>542</v>
      </c>
      <c r="J1378" s="168" t="s">
        <v>787</v>
      </c>
      <c r="K1378" s="168">
        <v>49</v>
      </c>
      <c r="L1378" s="160"/>
      <c r="M1378" s="169"/>
    </row>
    <row r="1379" spans="1:13" x14ac:dyDescent="0.55000000000000004">
      <c r="A1379" s="97" t="s">
        <v>786</v>
      </c>
      <c r="B1379" s="168" t="s">
        <v>789</v>
      </c>
      <c r="C1379" s="168" t="s">
        <v>156</v>
      </c>
      <c r="D1379" s="168" t="s">
        <v>3288</v>
      </c>
      <c r="E1379" s="116">
        <v>194</v>
      </c>
      <c r="F1379" s="149" t="s">
        <v>122</v>
      </c>
      <c r="G1379" s="149" t="s">
        <v>135</v>
      </c>
      <c r="H1379" s="168" t="s">
        <v>39</v>
      </c>
      <c r="I1379" s="168" t="s">
        <v>543</v>
      </c>
      <c r="J1379" s="168" t="s">
        <v>787</v>
      </c>
      <c r="K1379" s="168">
        <v>48</v>
      </c>
      <c r="L1379" s="160"/>
      <c r="M1379" s="169"/>
    </row>
    <row r="1380" spans="1:13" x14ac:dyDescent="0.55000000000000004">
      <c r="A1380" s="97" t="s">
        <v>786</v>
      </c>
      <c r="B1380" s="168" t="s">
        <v>790</v>
      </c>
      <c r="C1380" s="168" t="s">
        <v>125</v>
      </c>
      <c r="D1380" s="168" t="s">
        <v>3288</v>
      </c>
      <c r="E1380" s="116">
        <v>147</v>
      </c>
      <c r="F1380" s="149" t="s">
        <v>122</v>
      </c>
      <c r="G1380" s="149" t="s">
        <v>135</v>
      </c>
      <c r="H1380" s="168" t="s">
        <v>39</v>
      </c>
      <c r="I1380" s="168" t="s">
        <v>562</v>
      </c>
      <c r="J1380" s="168" t="s">
        <v>787</v>
      </c>
      <c r="K1380" s="168">
        <v>48</v>
      </c>
      <c r="L1380" s="160"/>
      <c r="M1380" s="169"/>
    </row>
    <row r="1381" spans="1:13" x14ac:dyDescent="0.55000000000000004">
      <c r="A1381" s="97" t="s">
        <v>786</v>
      </c>
      <c r="B1381" s="168" t="s">
        <v>153</v>
      </c>
      <c r="C1381" s="168" t="s">
        <v>127</v>
      </c>
      <c r="D1381" s="168" t="s">
        <v>2994</v>
      </c>
      <c r="E1381" s="116">
        <v>0.497</v>
      </c>
      <c r="F1381" s="149" t="s">
        <v>138</v>
      </c>
      <c r="G1381" s="149" t="s">
        <v>135</v>
      </c>
      <c r="H1381" s="168" t="s">
        <v>39</v>
      </c>
      <c r="I1381" s="168" t="s">
        <v>535</v>
      </c>
      <c r="J1381" s="168" t="s">
        <v>787</v>
      </c>
      <c r="K1381" s="168" t="s">
        <v>535</v>
      </c>
      <c r="L1381" s="160"/>
      <c r="M1381" s="169"/>
    </row>
    <row r="1382" spans="1:13" x14ac:dyDescent="0.55000000000000004">
      <c r="A1382" s="97" t="s">
        <v>786</v>
      </c>
      <c r="B1382" s="168" t="s">
        <v>171</v>
      </c>
      <c r="C1382" s="168" t="s">
        <v>127</v>
      </c>
      <c r="D1382" s="168" t="s">
        <v>2994</v>
      </c>
      <c r="E1382" s="116">
        <v>3.67</v>
      </c>
      <c r="F1382" s="149" t="s">
        <v>138</v>
      </c>
      <c r="G1382" s="149" t="s">
        <v>135</v>
      </c>
      <c r="H1382" s="168" t="s">
        <v>39</v>
      </c>
      <c r="I1382" s="168" t="s">
        <v>543</v>
      </c>
      <c r="J1382" s="168" t="s">
        <v>787</v>
      </c>
      <c r="K1382" s="168">
        <v>48</v>
      </c>
      <c r="L1382" s="160"/>
      <c r="M1382" s="169"/>
    </row>
    <row r="1383" spans="1:13" x14ac:dyDescent="0.55000000000000004">
      <c r="A1383" s="97" t="s">
        <v>786</v>
      </c>
      <c r="B1383" s="168" t="s">
        <v>160</v>
      </c>
      <c r="C1383" s="168" t="s">
        <v>124</v>
      </c>
      <c r="D1383" s="168" t="s">
        <v>3288</v>
      </c>
      <c r="E1383" s="116">
        <v>0.495</v>
      </c>
      <c r="F1383" s="149" t="s">
        <v>135</v>
      </c>
      <c r="G1383" s="149" t="s">
        <v>135</v>
      </c>
      <c r="H1383" s="168" t="s">
        <v>39</v>
      </c>
      <c r="I1383" s="168" t="s">
        <v>543</v>
      </c>
      <c r="J1383" s="168" t="s">
        <v>787</v>
      </c>
      <c r="K1383" s="168">
        <v>48</v>
      </c>
      <c r="L1383" s="160"/>
      <c r="M1383" s="169"/>
    </row>
    <row r="1384" spans="1:13" x14ac:dyDescent="0.55000000000000004">
      <c r="A1384" s="97" t="s">
        <v>780</v>
      </c>
      <c r="B1384" s="168" t="s">
        <v>781</v>
      </c>
      <c r="C1384" s="168" t="s">
        <v>121</v>
      </c>
      <c r="D1384" s="168" t="s">
        <v>3288</v>
      </c>
      <c r="E1384" s="116">
        <v>1</v>
      </c>
      <c r="F1384" s="149" t="s">
        <v>135</v>
      </c>
      <c r="G1384" s="149">
        <v>1</v>
      </c>
      <c r="H1384" s="168" t="s">
        <v>39</v>
      </c>
      <c r="I1384" s="168" t="s">
        <v>543</v>
      </c>
      <c r="J1384" s="168" t="s">
        <v>782</v>
      </c>
      <c r="K1384" s="168">
        <v>48</v>
      </c>
      <c r="L1384" s="160">
        <v>7601</v>
      </c>
      <c r="M1384" s="169"/>
    </row>
    <row r="1385" spans="1:13" x14ac:dyDescent="0.55000000000000004">
      <c r="A1385" s="97" t="s">
        <v>780</v>
      </c>
      <c r="B1385" s="168" t="s">
        <v>783</v>
      </c>
      <c r="C1385" s="168" t="s">
        <v>125</v>
      </c>
      <c r="D1385" s="168" t="s">
        <v>3288</v>
      </c>
      <c r="E1385" s="116">
        <v>600</v>
      </c>
      <c r="F1385" s="149" t="s">
        <v>122</v>
      </c>
      <c r="G1385" s="149" t="s">
        <v>135</v>
      </c>
      <c r="H1385" s="168" t="s">
        <v>39</v>
      </c>
      <c r="I1385" s="168" t="s">
        <v>543</v>
      </c>
      <c r="J1385" s="168" t="s">
        <v>782</v>
      </c>
      <c r="K1385" s="168">
        <v>48</v>
      </c>
      <c r="L1385" s="160"/>
      <c r="M1385" s="169"/>
    </row>
    <row r="1386" spans="1:13" x14ac:dyDescent="0.55000000000000004">
      <c r="A1386" s="97" t="s">
        <v>780</v>
      </c>
      <c r="B1386" s="168" t="s">
        <v>784</v>
      </c>
      <c r="C1386" s="168" t="s">
        <v>125</v>
      </c>
      <c r="D1386" s="168" t="s">
        <v>3288</v>
      </c>
      <c r="E1386" s="116">
        <v>150</v>
      </c>
      <c r="F1386" s="149" t="s">
        <v>122</v>
      </c>
      <c r="G1386" s="149" t="s">
        <v>135</v>
      </c>
      <c r="H1386" s="168" t="s">
        <v>39</v>
      </c>
      <c r="I1386" s="168" t="s">
        <v>540</v>
      </c>
      <c r="J1386" s="168" t="s">
        <v>782</v>
      </c>
      <c r="K1386" s="168">
        <v>48</v>
      </c>
      <c r="L1386" s="160"/>
      <c r="M1386" s="169"/>
    </row>
    <row r="1387" spans="1:13" x14ac:dyDescent="0.55000000000000004">
      <c r="A1387" s="97" t="s">
        <v>780</v>
      </c>
      <c r="B1387" s="168" t="s">
        <v>270</v>
      </c>
      <c r="C1387" s="168" t="s">
        <v>125</v>
      </c>
      <c r="D1387" s="168" t="s">
        <v>3288</v>
      </c>
      <c r="E1387" s="116">
        <v>250</v>
      </c>
      <c r="F1387" s="149" t="s">
        <v>122</v>
      </c>
      <c r="G1387" s="149" t="s">
        <v>135</v>
      </c>
      <c r="H1387" s="168" t="s">
        <v>39</v>
      </c>
      <c r="I1387" s="168" t="s">
        <v>535</v>
      </c>
      <c r="J1387" s="168" t="s">
        <v>782</v>
      </c>
      <c r="K1387" s="168" t="s">
        <v>535</v>
      </c>
      <c r="L1387" s="160"/>
      <c r="M1387" s="169"/>
    </row>
    <row r="1388" spans="1:13" x14ac:dyDescent="0.55000000000000004">
      <c r="A1388" s="97" t="s">
        <v>780</v>
      </c>
      <c r="B1388" s="168" t="s">
        <v>785</v>
      </c>
      <c r="C1388" s="168" t="s">
        <v>125</v>
      </c>
      <c r="D1388" s="168" t="s">
        <v>3288</v>
      </c>
      <c r="E1388" s="116">
        <v>12.5</v>
      </c>
      <c r="F1388" s="149" t="s">
        <v>122</v>
      </c>
      <c r="G1388" s="149" t="s">
        <v>135</v>
      </c>
      <c r="H1388" s="168" t="s">
        <v>39</v>
      </c>
      <c r="I1388" s="168" t="s">
        <v>543</v>
      </c>
      <c r="J1388" s="168" t="s">
        <v>782</v>
      </c>
      <c r="K1388" s="168">
        <v>48</v>
      </c>
      <c r="L1388" s="160"/>
      <c r="M1388" s="169"/>
    </row>
    <row r="1389" spans="1:13" x14ac:dyDescent="0.55000000000000004">
      <c r="A1389" s="97" t="s">
        <v>780</v>
      </c>
      <c r="B1389" s="168" t="s">
        <v>153</v>
      </c>
      <c r="C1389" s="168" t="s">
        <v>127</v>
      </c>
      <c r="D1389" s="168" t="s">
        <v>2994</v>
      </c>
      <c r="E1389" s="116">
        <v>0.57599999999999996</v>
      </c>
      <c r="F1389" s="149" t="s">
        <v>138</v>
      </c>
      <c r="G1389" s="149" t="s">
        <v>135</v>
      </c>
      <c r="H1389" s="168" t="s">
        <v>39</v>
      </c>
      <c r="I1389" s="168" t="s">
        <v>535</v>
      </c>
      <c r="J1389" s="168" t="s">
        <v>782</v>
      </c>
      <c r="K1389" s="168">
        <v>48</v>
      </c>
      <c r="L1389" s="160"/>
      <c r="M1389" s="169"/>
    </row>
    <row r="1390" spans="1:13" x14ac:dyDescent="0.55000000000000004">
      <c r="A1390" s="97" t="s">
        <v>780</v>
      </c>
      <c r="B1390" s="168" t="s">
        <v>171</v>
      </c>
      <c r="C1390" s="168" t="s">
        <v>127</v>
      </c>
      <c r="D1390" s="168" t="s">
        <v>2994</v>
      </c>
      <c r="E1390" s="116">
        <v>6.33</v>
      </c>
      <c r="F1390" s="149" t="s">
        <v>138</v>
      </c>
      <c r="G1390" s="149" t="s">
        <v>135</v>
      </c>
      <c r="H1390" s="168" t="s">
        <v>39</v>
      </c>
      <c r="I1390" s="168" t="s">
        <v>535</v>
      </c>
      <c r="J1390" s="168" t="s">
        <v>782</v>
      </c>
      <c r="K1390" s="168">
        <v>49</v>
      </c>
      <c r="L1390" s="160"/>
      <c r="M1390" s="169"/>
    </row>
    <row r="1391" spans="1:13" x14ac:dyDescent="0.55000000000000004">
      <c r="A1391" s="97" t="s">
        <v>780</v>
      </c>
      <c r="B1391" s="168" t="s">
        <v>160</v>
      </c>
      <c r="C1391" s="168" t="s">
        <v>124</v>
      </c>
      <c r="D1391" s="168" t="s">
        <v>3288</v>
      </c>
      <c r="E1391" s="116">
        <v>0.36499999999999999</v>
      </c>
      <c r="F1391" s="149" t="s">
        <v>135</v>
      </c>
      <c r="G1391" s="149" t="s">
        <v>135</v>
      </c>
      <c r="H1391" s="168" t="s">
        <v>39</v>
      </c>
      <c r="I1391" s="168" t="s">
        <v>536</v>
      </c>
      <c r="J1391" s="168" t="s">
        <v>782</v>
      </c>
      <c r="K1391" s="168">
        <v>48</v>
      </c>
      <c r="L1391" s="160"/>
      <c r="M1391" s="169"/>
    </row>
    <row r="1392" spans="1:13" x14ac:dyDescent="0.55000000000000004">
      <c r="A1392" s="65" t="s">
        <v>778</v>
      </c>
      <c r="B1392" s="168" t="s">
        <v>290</v>
      </c>
      <c r="C1392" s="168" t="s">
        <v>121</v>
      </c>
      <c r="D1392" s="168" t="s">
        <v>3288</v>
      </c>
      <c r="E1392" s="116">
        <v>1</v>
      </c>
      <c r="F1392" s="149" t="s">
        <v>768</v>
      </c>
      <c r="G1392" s="149">
        <v>1</v>
      </c>
      <c r="H1392" s="168" t="s">
        <v>39</v>
      </c>
      <c r="I1392" s="168" t="s">
        <v>542</v>
      </c>
      <c r="J1392" s="168" t="s">
        <v>779</v>
      </c>
      <c r="K1392" s="168">
        <v>49</v>
      </c>
      <c r="L1392" s="160">
        <v>2601</v>
      </c>
      <c r="M1392" s="169"/>
    </row>
    <row r="1393" spans="1:13" x14ac:dyDescent="0.55000000000000004">
      <c r="A1393" s="65" t="s">
        <v>778</v>
      </c>
      <c r="B1393" s="168" t="s">
        <v>316</v>
      </c>
      <c r="C1393" s="168" t="s">
        <v>132</v>
      </c>
      <c r="D1393" s="168" t="s">
        <v>3288</v>
      </c>
      <c r="E1393" s="116">
        <v>0.8</v>
      </c>
      <c r="F1393" s="149" t="s">
        <v>768</v>
      </c>
      <c r="G1393" s="149" t="s">
        <v>768</v>
      </c>
      <c r="H1393" s="168" t="s">
        <v>39</v>
      </c>
      <c r="I1393" s="168" t="s">
        <v>535</v>
      </c>
      <c r="J1393" s="168" t="s">
        <v>779</v>
      </c>
      <c r="K1393" s="168">
        <v>50</v>
      </c>
      <c r="L1393" s="160"/>
      <c r="M1393" s="169"/>
    </row>
    <row r="1394" spans="1:13" x14ac:dyDescent="0.55000000000000004">
      <c r="A1394" s="65" t="s">
        <v>778</v>
      </c>
      <c r="B1394" s="168" t="s">
        <v>131</v>
      </c>
      <c r="C1394" s="168" t="s">
        <v>125</v>
      </c>
      <c r="D1394" s="168" t="s">
        <v>3288</v>
      </c>
      <c r="E1394" s="116">
        <v>0.18</v>
      </c>
      <c r="F1394" s="149" t="s">
        <v>768</v>
      </c>
      <c r="G1394" s="149" t="s">
        <v>768</v>
      </c>
      <c r="H1394" s="168" t="s">
        <v>39</v>
      </c>
      <c r="I1394" s="168" t="s">
        <v>535</v>
      </c>
      <c r="J1394" s="168" t="s">
        <v>779</v>
      </c>
      <c r="K1394" s="168">
        <v>50</v>
      </c>
      <c r="L1394" s="160"/>
      <c r="M1394" s="169"/>
    </row>
    <row r="1395" spans="1:13" x14ac:dyDescent="0.55000000000000004">
      <c r="A1395" s="65" t="s">
        <v>778</v>
      </c>
      <c r="B1395" s="168" t="s">
        <v>293</v>
      </c>
      <c r="C1395" s="168" t="s">
        <v>348</v>
      </c>
      <c r="D1395" s="168" t="s">
        <v>3288</v>
      </c>
      <c r="E1395" s="116">
        <v>0.04</v>
      </c>
      <c r="F1395" s="149" t="s">
        <v>768</v>
      </c>
      <c r="G1395" s="149" t="s">
        <v>768</v>
      </c>
      <c r="H1395" s="168" t="s">
        <v>39</v>
      </c>
      <c r="I1395" s="168" t="s">
        <v>554</v>
      </c>
      <c r="J1395" s="168" t="s">
        <v>779</v>
      </c>
      <c r="K1395" s="168"/>
      <c r="L1395" s="160"/>
      <c r="M1395" s="169"/>
    </row>
    <row r="1396" spans="1:13" x14ac:dyDescent="0.55000000000000004">
      <c r="A1396" s="65" t="s">
        <v>778</v>
      </c>
      <c r="B1396" s="168" t="s">
        <v>153</v>
      </c>
      <c r="C1396" s="168" t="s">
        <v>127</v>
      </c>
      <c r="D1396" s="168" t="s">
        <v>2994</v>
      </c>
      <c r="E1396" s="116">
        <v>0.124</v>
      </c>
      <c r="F1396" s="149" t="s">
        <v>765</v>
      </c>
      <c r="G1396" s="149" t="s">
        <v>768</v>
      </c>
      <c r="H1396" s="168" t="s">
        <v>39</v>
      </c>
      <c r="I1396" s="168" t="s">
        <v>535</v>
      </c>
      <c r="J1396" s="168" t="s">
        <v>779</v>
      </c>
      <c r="K1396" s="168">
        <v>50</v>
      </c>
      <c r="L1396" s="160"/>
      <c r="M1396" s="169"/>
    </row>
    <row r="1397" spans="1:13" x14ac:dyDescent="0.55000000000000004">
      <c r="A1397" s="65" t="s">
        <v>778</v>
      </c>
      <c r="B1397" s="168" t="s">
        <v>171</v>
      </c>
      <c r="C1397" s="168" t="s">
        <v>127</v>
      </c>
      <c r="D1397" s="168" t="s">
        <v>2994</v>
      </c>
      <c r="E1397" s="116">
        <v>0.04</v>
      </c>
      <c r="F1397" s="149" t="s">
        <v>765</v>
      </c>
      <c r="G1397" s="149" t="s">
        <v>768</v>
      </c>
      <c r="H1397" s="168" t="s">
        <v>39</v>
      </c>
      <c r="I1397" s="168" t="s">
        <v>543</v>
      </c>
      <c r="J1397" s="168" t="s">
        <v>779</v>
      </c>
      <c r="K1397" s="168">
        <v>48</v>
      </c>
      <c r="L1397" s="160"/>
      <c r="M1397" s="169"/>
    </row>
    <row r="1398" spans="1:13" x14ac:dyDescent="0.55000000000000004">
      <c r="A1398" s="65" t="s">
        <v>778</v>
      </c>
      <c r="B1398" s="168" t="s">
        <v>160</v>
      </c>
      <c r="C1398" s="168" t="s">
        <v>124</v>
      </c>
      <c r="D1398" s="168" t="s">
        <v>3288</v>
      </c>
      <c r="E1398" s="116">
        <v>7.0000000000000007E-2</v>
      </c>
      <c r="F1398" s="149" t="s">
        <v>768</v>
      </c>
      <c r="G1398" s="149" t="s">
        <v>768</v>
      </c>
      <c r="H1398" s="168" t="s">
        <v>39</v>
      </c>
      <c r="I1398" s="168" t="s">
        <v>543</v>
      </c>
      <c r="J1398" s="168" t="s">
        <v>779</v>
      </c>
      <c r="K1398" s="168">
        <v>48</v>
      </c>
      <c r="L1398" s="160"/>
      <c r="M1398" s="169"/>
    </row>
    <row r="1399" spans="1:13" x14ac:dyDescent="0.55000000000000004">
      <c r="A1399" s="65" t="s">
        <v>775</v>
      </c>
      <c r="B1399" s="168" t="s">
        <v>287</v>
      </c>
      <c r="C1399" s="168" t="s">
        <v>121</v>
      </c>
      <c r="D1399" s="168" t="s">
        <v>3288</v>
      </c>
      <c r="E1399" s="116">
        <v>1</v>
      </c>
      <c r="F1399" s="149" t="s">
        <v>768</v>
      </c>
      <c r="G1399" s="149">
        <v>1</v>
      </c>
      <c r="H1399" s="168" t="s">
        <v>39</v>
      </c>
      <c r="I1399" s="168" t="s">
        <v>536</v>
      </c>
      <c r="J1399" s="168" t="s">
        <v>776</v>
      </c>
      <c r="K1399" s="168">
        <v>48</v>
      </c>
      <c r="L1399" s="160">
        <v>7201</v>
      </c>
      <c r="M1399" s="169"/>
    </row>
    <row r="1400" spans="1:13" x14ac:dyDescent="0.55000000000000004">
      <c r="A1400" s="65" t="s">
        <v>775</v>
      </c>
      <c r="B1400" s="168" t="s">
        <v>735</v>
      </c>
      <c r="C1400" s="168" t="s">
        <v>163</v>
      </c>
      <c r="D1400" s="168" t="s">
        <v>3288</v>
      </c>
      <c r="E1400" s="116">
        <v>0.26</v>
      </c>
      <c r="F1400" s="149" t="s">
        <v>768</v>
      </c>
      <c r="G1400" s="149" t="s">
        <v>768</v>
      </c>
      <c r="H1400" s="168" t="s">
        <v>39</v>
      </c>
      <c r="I1400" s="168" t="s">
        <v>552</v>
      </c>
      <c r="J1400" s="168" t="s">
        <v>776</v>
      </c>
      <c r="K1400" s="168">
        <v>50</v>
      </c>
      <c r="L1400" s="160"/>
      <c r="M1400" s="169"/>
    </row>
    <row r="1401" spans="1:13" x14ac:dyDescent="0.55000000000000004">
      <c r="A1401" s="65" t="s">
        <v>775</v>
      </c>
      <c r="B1401" s="168" t="s">
        <v>777</v>
      </c>
      <c r="C1401" s="168" t="s">
        <v>156</v>
      </c>
      <c r="D1401" s="168" t="s">
        <v>2994</v>
      </c>
      <c r="E1401" s="116">
        <v>0.7</v>
      </c>
      <c r="F1401" s="149" t="s">
        <v>765</v>
      </c>
      <c r="G1401" s="149" t="s">
        <v>768</v>
      </c>
      <c r="H1401" s="168" t="s">
        <v>39</v>
      </c>
      <c r="I1401" s="168" t="s">
        <v>553</v>
      </c>
      <c r="J1401" s="168" t="s">
        <v>776</v>
      </c>
      <c r="K1401" s="168">
        <v>48</v>
      </c>
      <c r="L1401" s="160"/>
      <c r="M1401" s="169"/>
    </row>
    <row r="1402" spans="1:13" x14ac:dyDescent="0.55000000000000004">
      <c r="A1402" s="65" t="s">
        <v>775</v>
      </c>
      <c r="B1402" s="168" t="s">
        <v>772</v>
      </c>
      <c r="C1402" s="168" t="s">
        <v>156</v>
      </c>
      <c r="D1402" s="168" t="s">
        <v>3288</v>
      </c>
      <c r="E1402" s="116">
        <v>0.78600000000000003</v>
      </c>
      <c r="F1402" s="149" t="s">
        <v>768</v>
      </c>
      <c r="G1402" s="149" t="s">
        <v>768</v>
      </c>
      <c r="H1402" s="168" t="s">
        <v>39</v>
      </c>
      <c r="I1402" s="168" t="s">
        <v>535</v>
      </c>
      <c r="J1402" s="168" t="s">
        <v>776</v>
      </c>
      <c r="K1402" s="168">
        <v>50</v>
      </c>
      <c r="L1402" s="160"/>
      <c r="M1402" s="169"/>
    </row>
    <row r="1403" spans="1:13" x14ac:dyDescent="0.55000000000000004">
      <c r="A1403" s="65" t="s">
        <v>775</v>
      </c>
      <c r="B1403" s="168" t="s">
        <v>262</v>
      </c>
      <c r="C1403" s="168" t="s">
        <v>127</v>
      </c>
      <c r="D1403" s="168" t="s">
        <v>2994</v>
      </c>
      <c r="E1403" s="116">
        <v>5.15</v>
      </c>
      <c r="F1403" s="149" t="s">
        <v>765</v>
      </c>
      <c r="G1403" s="149" t="s">
        <v>768</v>
      </c>
      <c r="H1403" s="168" t="s">
        <v>39</v>
      </c>
      <c r="I1403" s="168" t="s">
        <v>542</v>
      </c>
      <c r="J1403" s="168" t="s">
        <v>776</v>
      </c>
      <c r="K1403" s="168">
        <v>49</v>
      </c>
      <c r="L1403" s="160"/>
      <c r="M1403" s="169"/>
    </row>
    <row r="1404" spans="1:13" x14ac:dyDescent="0.55000000000000004">
      <c r="A1404" s="65" t="s">
        <v>775</v>
      </c>
      <c r="B1404" s="168" t="s">
        <v>153</v>
      </c>
      <c r="C1404" s="168" t="s">
        <v>127</v>
      </c>
      <c r="D1404" s="168" t="s">
        <v>2994</v>
      </c>
      <c r="E1404" s="116">
        <v>0.30099999999999999</v>
      </c>
      <c r="F1404" s="149" t="s">
        <v>765</v>
      </c>
      <c r="G1404" s="149" t="s">
        <v>768</v>
      </c>
      <c r="H1404" s="168" t="s">
        <v>39</v>
      </c>
      <c r="I1404" s="168" t="s">
        <v>540</v>
      </c>
      <c r="J1404" s="168" t="s">
        <v>776</v>
      </c>
      <c r="K1404" s="168">
        <v>48</v>
      </c>
      <c r="L1404" s="160"/>
      <c r="M1404" s="169"/>
    </row>
    <row r="1405" spans="1:13" x14ac:dyDescent="0.55000000000000004">
      <c r="A1405" s="65" t="s">
        <v>775</v>
      </c>
      <c r="B1405" s="168" t="s">
        <v>213</v>
      </c>
      <c r="C1405" s="168" t="s">
        <v>125</v>
      </c>
      <c r="D1405" s="168" t="s">
        <v>3288</v>
      </c>
      <c r="E1405" s="116">
        <v>266</v>
      </c>
      <c r="F1405" s="149" t="s">
        <v>763</v>
      </c>
      <c r="G1405" s="149" t="s">
        <v>768</v>
      </c>
      <c r="H1405" s="168" t="s">
        <v>39</v>
      </c>
      <c r="I1405" s="168" t="s">
        <v>535</v>
      </c>
      <c r="J1405" s="168" t="s">
        <v>776</v>
      </c>
      <c r="K1405" s="168" t="s">
        <v>535</v>
      </c>
      <c r="L1405" s="160"/>
      <c r="M1405" s="169"/>
    </row>
    <row r="1406" spans="1:13" x14ac:dyDescent="0.55000000000000004">
      <c r="A1406" s="65" t="s">
        <v>775</v>
      </c>
      <c r="B1406" s="168" t="s">
        <v>290</v>
      </c>
      <c r="C1406" s="168" t="s">
        <v>125</v>
      </c>
      <c r="D1406" s="168" t="s">
        <v>3288</v>
      </c>
      <c r="E1406" s="116">
        <v>0.79200000000000004</v>
      </c>
      <c r="F1406" s="149" t="s">
        <v>768</v>
      </c>
      <c r="G1406" s="149" t="s">
        <v>768</v>
      </c>
      <c r="H1406" s="168" t="s">
        <v>39</v>
      </c>
      <c r="I1406" s="168" t="s">
        <v>543</v>
      </c>
      <c r="J1406" s="168" t="s">
        <v>776</v>
      </c>
      <c r="K1406" s="168">
        <v>48</v>
      </c>
      <c r="L1406" s="160"/>
      <c r="M1406" s="169"/>
    </row>
    <row r="1407" spans="1:13" x14ac:dyDescent="0.55000000000000004">
      <c r="A1407" s="65" t="s">
        <v>775</v>
      </c>
      <c r="B1407" s="168" t="s">
        <v>323</v>
      </c>
      <c r="C1407" s="168" t="s">
        <v>125</v>
      </c>
      <c r="D1407" s="168" t="s">
        <v>3288</v>
      </c>
      <c r="E1407" s="116">
        <v>0.79200000000000004</v>
      </c>
      <c r="F1407" s="149" t="s">
        <v>768</v>
      </c>
      <c r="G1407" s="149" t="s">
        <v>768</v>
      </c>
      <c r="H1407" s="168" t="s">
        <v>39</v>
      </c>
      <c r="I1407" s="168" t="s">
        <v>535</v>
      </c>
      <c r="J1407" s="168" t="s">
        <v>776</v>
      </c>
      <c r="K1407" s="168">
        <v>50</v>
      </c>
      <c r="L1407" s="160"/>
      <c r="M1407" s="169"/>
    </row>
    <row r="1408" spans="1:13" x14ac:dyDescent="0.55000000000000004">
      <c r="A1408" s="65" t="s">
        <v>775</v>
      </c>
      <c r="B1408" s="168" t="s">
        <v>298</v>
      </c>
      <c r="C1408" s="168" t="s">
        <v>156</v>
      </c>
      <c r="D1408" s="168" t="s">
        <v>2994</v>
      </c>
      <c r="E1408" s="116">
        <v>0.28999999999999998</v>
      </c>
      <c r="F1408" s="149" t="s">
        <v>765</v>
      </c>
      <c r="G1408" s="149" t="s">
        <v>768</v>
      </c>
      <c r="H1408" s="168" t="s">
        <v>39</v>
      </c>
      <c r="I1408" s="168" t="s">
        <v>535</v>
      </c>
      <c r="J1408" s="168" t="s">
        <v>776</v>
      </c>
      <c r="K1408" s="168">
        <v>50</v>
      </c>
      <c r="L1408" s="160"/>
      <c r="M1408" s="169"/>
    </row>
    <row r="1409" spans="1:13" x14ac:dyDescent="0.55000000000000004">
      <c r="A1409" s="65" t="s">
        <v>775</v>
      </c>
      <c r="B1409" s="168" t="s">
        <v>293</v>
      </c>
      <c r="C1409" s="168" t="s">
        <v>348</v>
      </c>
      <c r="D1409" s="168" t="s">
        <v>3288</v>
      </c>
      <c r="E1409" s="116">
        <v>0.187</v>
      </c>
      <c r="F1409" s="149" t="s">
        <v>768</v>
      </c>
      <c r="G1409" s="149" t="s">
        <v>768</v>
      </c>
      <c r="H1409" s="168" t="s">
        <v>39</v>
      </c>
      <c r="I1409" s="168" t="s">
        <v>535</v>
      </c>
      <c r="J1409" s="168" t="s">
        <v>776</v>
      </c>
      <c r="K1409" s="168">
        <v>50</v>
      </c>
      <c r="L1409" s="160"/>
      <c r="M1409" s="169"/>
    </row>
    <row r="1410" spans="1:13" x14ac:dyDescent="0.55000000000000004">
      <c r="A1410" s="65" t="s">
        <v>775</v>
      </c>
      <c r="B1410" s="168" t="s">
        <v>160</v>
      </c>
      <c r="C1410" s="168" t="s">
        <v>124</v>
      </c>
      <c r="D1410" s="168" t="s">
        <v>3288</v>
      </c>
      <c r="E1410" s="116">
        <v>4.8899999999999999E-2</v>
      </c>
      <c r="F1410" s="149" t="s">
        <v>768</v>
      </c>
      <c r="G1410" s="149" t="s">
        <v>768</v>
      </c>
      <c r="H1410" s="168" t="s">
        <v>39</v>
      </c>
      <c r="I1410" s="168" t="s">
        <v>542</v>
      </c>
      <c r="J1410" s="168" t="s">
        <v>776</v>
      </c>
      <c r="K1410" s="168">
        <v>49</v>
      </c>
      <c r="L1410" s="160"/>
      <c r="M1410" s="169"/>
    </row>
    <row r="1411" spans="1:13" x14ac:dyDescent="0.55000000000000004">
      <c r="A1411" s="65" t="s">
        <v>773</v>
      </c>
      <c r="B1411" s="168" t="s">
        <v>339</v>
      </c>
      <c r="C1411" s="168" t="s">
        <v>121</v>
      </c>
      <c r="D1411" s="168" t="s">
        <v>3288</v>
      </c>
      <c r="E1411" s="116">
        <v>1</v>
      </c>
      <c r="F1411" s="149" t="s">
        <v>768</v>
      </c>
      <c r="G1411" s="149">
        <v>1</v>
      </c>
      <c r="H1411" s="168" t="s">
        <v>39</v>
      </c>
      <c r="I1411" s="168" t="s">
        <v>548</v>
      </c>
      <c r="J1411" s="168" t="s">
        <v>774</v>
      </c>
      <c r="K1411" s="168" t="s">
        <v>535</v>
      </c>
      <c r="L1411" s="160">
        <v>7206</v>
      </c>
      <c r="M1411" s="169"/>
    </row>
    <row r="1412" spans="1:13" x14ac:dyDescent="0.55000000000000004">
      <c r="A1412" s="65" t="s">
        <v>773</v>
      </c>
      <c r="B1412" s="168" t="s">
        <v>735</v>
      </c>
      <c r="C1412" s="168" t="s">
        <v>163</v>
      </c>
      <c r="D1412" s="168" t="s">
        <v>3288</v>
      </c>
      <c r="E1412" s="116">
        <v>5.2900000000000003E-2</v>
      </c>
      <c r="F1412" s="149" t="s">
        <v>768</v>
      </c>
      <c r="G1412" s="149" t="s">
        <v>768</v>
      </c>
      <c r="H1412" s="168" t="s">
        <v>39</v>
      </c>
      <c r="I1412" s="168" t="s">
        <v>535</v>
      </c>
      <c r="J1412" s="168" t="s">
        <v>774</v>
      </c>
      <c r="K1412" s="168">
        <v>50</v>
      </c>
      <c r="L1412" s="160"/>
      <c r="M1412" s="169"/>
    </row>
    <row r="1413" spans="1:13" x14ac:dyDescent="0.55000000000000004">
      <c r="A1413" s="65" t="s">
        <v>773</v>
      </c>
      <c r="B1413" s="168" t="s">
        <v>213</v>
      </c>
      <c r="C1413" s="168" t="s">
        <v>125</v>
      </c>
      <c r="D1413" s="168" t="s">
        <v>3288</v>
      </c>
      <c r="E1413" s="116">
        <v>399</v>
      </c>
      <c r="F1413" s="149" t="s">
        <v>763</v>
      </c>
      <c r="G1413" s="149" t="s">
        <v>768</v>
      </c>
      <c r="H1413" s="168" t="s">
        <v>39</v>
      </c>
      <c r="I1413" s="168" t="s">
        <v>535</v>
      </c>
      <c r="J1413" s="168" t="s">
        <v>774</v>
      </c>
      <c r="K1413" s="168">
        <v>48</v>
      </c>
      <c r="L1413" s="160"/>
      <c r="M1413" s="169"/>
    </row>
    <row r="1414" spans="1:13" x14ac:dyDescent="0.55000000000000004">
      <c r="A1414" s="65" t="s">
        <v>773</v>
      </c>
      <c r="B1414" s="168" t="s">
        <v>316</v>
      </c>
      <c r="C1414" s="168" t="s">
        <v>132</v>
      </c>
      <c r="D1414" s="168" t="s">
        <v>3288</v>
      </c>
      <c r="E1414" s="116">
        <v>1.48</v>
      </c>
      <c r="F1414" s="149" t="s">
        <v>768</v>
      </c>
      <c r="G1414" s="149" t="s">
        <v>768</v>
      </c>
      <c r="H1414" s="168" t="s">
        <v>39</v>
      </c>
      <c r="I1414" s="168" t="s">
        <v>543</v>
      </c>
      <c r="J1414" s="168" t="s">
        <v>774</v>
      </c>
      <c r="K1414" s="168">
        <v>48</v>
      </c>
      <c r="L1414" s="160"/>
      <c r="M1414" s="169"/>
    </row>
    <row r="1415" spans="1:13" x14ac:dyDescent="0.55000000000000004">
      <c r="A1415" s="65" t="s">
        <v>773</v>
      </c>
      <c r="B1415" s="168" t="s">
        <v>153</v>
      </c>
      <c r="C1415" s="168" t="s">
        <v>127</v>
      </c>
      <c r="D1415" s="168" t="s">
        <v>2994</v>
      </c>
      <c r="E1415" s="116">
        <v>14.2</v>
      </c>
      <c r="F1415" s="149" t="s">
        <v>765</v>
      </c>
      <c r="G1415" s="149" t="s">
        <v>768</v>
      </c>
      <c r="H1415" s="168" t="s">
        <v>39</v>
      </c>
      <c r="I1415" s="168" t="s">
        <v>549</v>
      </c>
      <c r="J1415" s="168" t="s">
        <v>774</v>
      </c>
      <c r="K1415" s="168">
        <v>49</v>
      </c>
      <c r="L1415" s="160"/>
      <c r="M1415" s="169"/>
    </row>
    <row r="1416" spans="1:13" x14ac:dyDescent="0.55000000000000004">
      <c r="A1416" s="65" t="s">
        <v>770</v>
      </c>
      <c r="B1416" s="168" t="s">
        <v>315</v>
      </c>
      <c r="C1416" s="168" t="s">
        <v>121</v>
      </c>
      <c r="D1416" s="168" t="s">
        <v>3288</v>
      </c>
      <c r="E1416" s="116">
        <v>1</v>
      </c>
      <c r="F1416" s="149" t="s">
        <v>768</v>
      </c>
      <c r="G1416" s="149">
        <v>1</v>
      </c>
      <c r="H1416" s="168" t="s">
        <v>39</v>
      </c>
      <c r="I1416" s="168" t="s">
        <v>536</v>
      </c>
      <c r="J1416" s="168" t="s">
        <v>771</v>
      </c>
      <c r="K1416" s="168">
        <v>48</v>
      </c>
      <c r="L1416" s="160">
        <v>7203</v>
      </c>
      <c r="M1416" s="169"/>
    </row>
    <row r="1417" spans="1:13" x14ac:dyDescent="0.55000000000000004">
      <c r="A1417" s="65" t="s">
        <v>770</v>
      </c>
      <c r="B1417" s="168" t="s">
        <v>772</v>
      </c>
      <c r="C1417" s="168" t="s">
        <v>156</v>
      </c>
      <c r="D1417" s="168" t="s">
        <v>3288</v>
      </c>
      <c r="E1417" s="116">
        <v>0.39600000000000002</v>
      </c>
      <c r="F1417" s="149" t="s">
        <v>768</v>
      </c>
      <c r="G1417" s="149" t="s">
        <v>768</v>
      </c>
      <c r="H1417" s="168" t="s">
        <v>39</v>
      </c>
      <c r="I1417" s="168" t="s">
        <v>546</v>
      </c>
      <c r="J1417" s="168" t="s">
        <v>771</v>
      </c>
      <c r="K1417" s="168">
        <v>49</v>
      </c>
      <c r="L1417" s="160"/>
      <c r="M1417" s="169"/>
    </row>
    <row r="1418" spans="1:13" x14ac:dyDescent="0.55000000000000004">
      <c r="A1418" s="65" t="s">
        <v>770</v>
      </c>
      <c r="B1418" s="168" t="s">
        <v>323</v>
      </c>
      <c r="C1418" s="168" t="s">
        <v>125</v>
      </c>
      <c r="D1418" s="168" t="s">
        <v>3288</v>
      </c>
      <c r="E1418" s="116">
        <v>1.33</v>
      </c>
      <c r="F1418" s="149" t="s">
        <v>768</v>
      </c>
      <c r="G1418" s="149" t="s">
        <v>768</v>
      </c>
      <c r="H1418" s="168" t="s">
        <v>39</v>
      </c>
      <c r="I1418" s="168" t="s">
        <v>547</v>
      </c>
      <c r="J1418" s="168" t="s">
        <v>771</v>
      </c>
      <c r="K1418" s="168"/>
      <c r="L1418" s="160"/>
      <c r="M1418" s="169"/>
    </row>
    <row r="1419" spans="1:13" x14ac:dyDescent="0.55000000000000004">
      <c r="A1419" s="65" t="s">
        <v>770</v>
      </c>
      <c r="B1419" s="168" t="s">
        <v>171</v>
      </c>
      <c r="C1419" s="168" t="s">
        <v>127</v>
      </c>
      <c r="D1419" s="168" t="s">
        <v>2994</v>
      </c>
      <c r="E1419" s="116">
        <v>7.95</v>
      </c>
      <c r="F1419" s="149" t="s">
        <v>765</v>
      </c>
      <c r="G1419" s="149" t="s">
        <v>768</v>
      </c>
      <c r="H1419" s="168" t="s">
        <v>39</v>
      </c>
      <c r="I1419" s="168" t="s">
        <v>542</v>
      </c>
      <c r="J1419" s="168" t="s">
        <v>771</v>
      </c>
      <c r="K1419" s="168">
        <v>49</v>
      </c>
      <c r="L1419" s="160"/>
      <c r="M1419" s="169"/>
    </row>
    <row r="1420" spans="1:13" x14ac:dyDescent="0.55000000000000004">
      <c r="A1420" s="65" t="s">
        <v>770</v>
      </c>
      <c r="B1420" s="168" t="s">
        <v>213</v>
      </c>
      <c r="C1420" s="168" t="s">
        <v>125</v>
      </c>
      <c r="D1420" s="168" t="s">
        <v>3288</v>
      </c>
      <c r="E1420" s="116">
        <v>212</v>
      </c>
      <c r="F1420" s="149" t="s">
        <v>763</v>
      </c>
      <c r="G1420" s="149" t="s">
        <v>768</v>
      </c>
      <c r="H1420" s="168" t="s">
        <v>39</v>
      </c>
      <c r="I1420" s="168" t="s">
        <v>535</v>
      </c>
      <c r="J1420" s="168" t="s">
        <v>771</v>
      </c>
      <c r="K1420" s="168" t="s">
        <v>535</v>
      </c>
      <c r="L1420" s="160"/>
      <c r="M1420" s="169"/>
    </row>
    <row r="1421" spans="1:13" x14ac:dyDescent="0.55000000000000004">
      <c r="A1421" s="65" t="s">
        <v>770</v>
      </c>
      <c r="B1421" s="168" t="s">
        <v>153</v>
      </c>
      <c r="C1421" s="168" t="s">
        <v>127</v>
      </c>
      <c r="D1421" s="168" t="s">
        <v>2994</v>
      </c>
      <c r="E1421" s="116">
        <v>0.63200000000000001</v>
      </c>
      <c r="F1421" s="149" t="s">
        <v>765</v>
      </c>
      <c r="G1421" s="149" t="s">
        <v>768</v>
      </c>
      <c r="H1421" s="168" t="s">
        <v>39</v>
      </c>
      <c r="I1421" s="168" t="s">
        <v>543</v>
      </c>
      <c r="J1421" s="168" t="s">
        <v>771</v>
      </c>
      <c r="K1421" s="168">
        <v>48</v>
      </c>
      <c r="L1421" s="160"/>
      <c r="M1421" s="169"/>
    </row>
    <row r="1422" spans="1:13" x14ac:dyDescent="0.55000000000000004">
      <c r="A1422" s="65" t="s">
        <v>770</v>
      </c>
      <c r="B1422" s="168" t="s">
        <v>160</v>
      </c>
      <c r="C1422" s="168" t="s">
        <v>124</v>
      </c>
      <c r="D1422" s="168" t="s">
        <v>3288</v>
      </c>
      <c r="E1422" s="116">
        <v>2.7799999999999998E-2</v>
      </c>
      <c r="F1422" s="149" t="s">
        <v>768</v>
      </c>
      <c r="G1422" s="149" t="s">
        <v>768</v>
      </c>
      <c r="H1422" s="168" t="s">
        <v>39</v>
      </c>
      <c r="I1422" s="168" t="s">
        <v>540</v>
      </c>
      <c r="J1422" s="168" t="s">
        <v>771</v>
      </c>
      <c r="K1422" s="168">
        <v>48</v>
      </c>
      <c r="L1422" s="160"/>
      <c r="M1422" s="169"/>
    </row>
    <row r="1423" spans="1:13" x14ac:dyDescent="0.55000000000000004">
      <c r="A1423" s="65" t="s">
        <v>766</v>
      </c>
      <c r="B1423" s="168" t="s">
        <v>767</v>
      </c>
      <c r="C1423" s="168" t="s">
        <v>121</v>
      </c>
      <c r="D1423" s="168" t="s">
        <v>3288</v>
      </c>
      <c r="E1423" s="116">
        <v>1</v>
      </c>
      <c r="F1423" s="149" t="s">
        <v>768</v>
      </c>
      <c r="G1423" s="149">
        <v>1</v>
      </c>
      <c r="H1423" s="168" t="s">
        <v>39</v>
      </c>
      <c r="I1423" s="168" t="s">
        <v>541</v>
      </c>
      <c r="J1423" s="168" t="s">
        <v>769</v>
      </c>
      <c r="K1423" s="168"/>
      <c r="L1423" s="160">
        <v>7208</v>
      </c>
      <c r="M1423" s="169"/>
    </row>
    <row r="1424" spans="1:13" x14ac:dyDescent="0.55000000000000004">
      <c r="A1424" s="65" t="s">
        <v>766</v>
      </c>
      <c r="B1424" s="168" t="s">
        <v>735</v>
      </c>
      <c r="C1424" s="168" t="s">
        <v>163</v>
      </c>
      <c r="D1424" s="168" t="s">
        <v>3288</v>
      </c>
      <c r="E1424" s="116">
        <v>0.05</v>
      </c>
      <c r="F1424" s="149" t="s">
        <v>768</v>
      </c>
      <c r="G1424" s="149" t="s">
        <v>768</v>
      </c>
      <c r="H1424" s="168" t="s">
        <v>39</v>
      </c>
      <c r="I1424" s="168" t="s">
        <v>539</v>
      </c>
      <c r="J1424" s="168" t="s">
        <v>769</v>
      </c>
      <c r="K1424" s="168">
        <v>50</v>
      </c>
      <c r="L1424" s="160"/>
      <c r="M1424" s="169"/>
    </row>
    <row r="1425" spans="1:13" x14ac:dyDescent="0.55000000000000004">
      <c r="A1425" s="65" t="s">
        <v>766</v>
      </c>
      <c r="B1425" s="168" t="s">
        <v>213</v>
      </c>
      <c r="C1425" s="168" t="s">
        <v>125</v>
      </c>
      <c r="D1425" s="168" t="s">
        <v>3288</v>
      </c>
      <c r="E1425" s="116">
        <v>390</v>
      </c>
      <c r="F1425" s="149" t="s">
        <v>763</v>
      </c>
      <c r="G1425" s="149" t="s">
        <v>768</v>
      </c>
      <c r="H1425" s="168" t="s">
        <v>39</v>
      </c>
      <c r="I1425" s="168" t="s">
        <v>542</v>
      </c>
      <c r="J1425" s="168" t="s">
        <v>769</v>
      </c>
      <c r="K1425" s="168">
        <v>49</v>
      </c>
      <c r="L1425" s="160"/>
      <c r="M1425" s="169"/>
    </row>
    <row r="1426" spans="1:13" x14ac:dyDescent="0.55000000000000004">
      <c r="A1426" s="65" t="s">
        <v>766</v>
      </c>
      <c r="B1426" s="168" t="s">
        <v>316</v>
      </c>
      <c r="C1426" s="168" t="s">
        <v>132</v>
      </c>
      <c r="D1426" s="168" t="s">
        <v>3288</v>
      </c>
      <c r="E1426" s="116">
        <v>1.46</v>
      </c>
      <c r="F1426" s="149" t="s">
        <v>768</v>
      </c>
      <c r="G1426" s="149" t="s">
        <v>768</v>
      </c>
      <c r="H1426" s="168" t="s">
        <v>39</v>
      </c>
      <c r="I1426" s="168" t="s">
        <v>543</v>
      </c>
      <c r="J1426" s="168" t="s">
        <v>769</v>
      </c>
      <c r="K1426" s="168">
        <v>48</v>
      </c>
      <c r="L1426" s="160"/>
      <c r="M1426" s="169"/>
    </row>
    <row r="1427" spans="1:13" x14ac:dyDescent="0.55000000000000004">
      <c r="A1427" s="65" t="s">
        <v>766</v>
      </c>
      <c r="B1427" s="168" t="s">
        <v>153</v>
      </c>
      <c r="C1427" s="168" t="s">
        <v>127</v>
      </c>
      <c r="D1427" s="168" t="s">
        <v>2994</v>
      </c>
      <c r="E1427" s="116">
        <v>9.61</v>
      </c>
      <c r="F1427" s="149" t="s">
        <v>765</v>
      </c>
      <c r="G1427" s="149" t="s">
        <v>768</v>
      </c>
      <c r="H1427" s="168" t="s">
        <v>39</v>
      </c>
      <c r="I1427" s="168" t="s">
        <v>543</v>
      </c>
      <c r="J1427" s="168" t="s">
        <v>769</v>
      </c>
      <c r="K1427" s="168">
        <v>48</v>
      </c>
      <c r="L1427" s="160"/>
      <c r="M1427" s="169"/>
    </row>
    <row r="1428" spans="1:13" x14ac:dyDescent="0.55000000000000004">
      <c r="A1428" s="65" t="s">
        <v>766</v>
      </c>
      <c r="B1428" s="168" t="s">
        <v>131</v>
      </c>
      <c r="C1428" s="168" t="s">
        <v>125</v>
      </c>
      <c r="D1428" s="168" t="s">
        <v>3288</v>
      </c>
      <c r="E1428" s="116">
        <v>2.76E-2</v>
      </c>
      <c r="F1428" s="149" t="s">
        <v>768</v>
      </c>
      <c r="G1428" s="149" t="s">
        <v>768</v>
      </c>
      <c r="H1428" s="168" t="s">
        <v>39</v>
      </c>
      <c r="I1428" s="168" t="s">
        <v>540</v>
      </c>
      <c r="J1428" s="168" t="s">
        <v>769</v>
      </c>
      <c r="K1428" s="168">
        <v>48</v>
      </c>
      <c r="L1428" s="160"/>
      <c r="M1428" s="169"/>
    </row>
    <row r="1429" spans="1:13" x14ac:dyDescent="0.55000000000000004">
      <c r="A1429" s="65" t="s">
        <v>766</v>
      </c>
      <c r="B1429" s="168" t="s">
        <v>160</v>
      </c>
      <c r="C1429" s="168" t="s">
        <v>124</v>
      </c>
      <c r="D1429" s="168" t="s">
        <v>3288</v>
      </c>
      <c r="E1429" s="116">
        <v>1.2200000000000001E-2</v>
      </c>
      <c r="F1429" s="149" t="s">
        <v>768</v>
      </c>
      <c r="G1429" s="149" t="s">
        <v>768</v>
      </c>
      <c r="H1429" s="168" t="s">
        <v>39</v>
      </c>
      <c r="I1429" s="168" t="s">
        <v>535</v>
      </c>
      <c r="J1429" s="168" t="s">
        <v>769</v>
      </c>
      <c r="K1429" s="168" t="s">
        <v>535</v>
      </c>
      <c r="L1429" s="160"/>
      <c r="M1429" s="169"/>
    </row>
    <row r="1430" spans="1:13" x14ac:dyDescent="0.55000000000000004">
      <c r="A1430" s="65" t="s">
        <v>762</v>
      </c>
      <c r="B1430" s="168" t="s">
        <v>334</v>
      </c>
      <c r="C1430" s="168" t="s">
        <v>121</v>
      </c>
      <c r="D1430" s="168" t="s">
        <v>3288</v>
      </c>
      <c r="E1430" s="116">
        <v>1</v>
      </c>
      <c r="F1430" s="149" t="s">
        <v>763</v>
      </c>
      <c r="G1430" s="149">
        <v>1</v>
      </c>
      <c r="H1430" s="168" t="s">
        <v>39</v>
      </c>
      <c r="I1430" s="168" t="s">
        <v>535</v>
      </c>
      <c r="J1430" s="168" t="s">
        <v>764</v>
      </c>
      <c r="K1430" s="168" t="s">
        <v>535</v>
      </c>
      <c r="L1430" s="160">
        <v>2804</v>
      </c>
      <c r="M1430" s="169"/>
    </row>
    <row r="1431" spans="1:13" x14ac:dyDescent="0.55000000000000004">
      <c r="A1431" s="65" t="s">
        <v>762</v>
      </c>
      <c r="B1431" s="168" t="s">
        <v>213</v>
      </c>
      <c r="C1431" s="168" t="s">
        <v>125</v>
      </c>
      <c r="D1431" s="168" t="s">
        <v>3288</v>
      </c>
      <c r="E1431" s="116">
        <v>7.91</v>
      </c>
      <c r="F1431" s="149" t="s">
        <v>763</v>
      </c>
      <c r="G1431" s="149" t="s">
        <v>763</v>
      </c>
      <c r="H1431" s="168" t="s">
        <v>39</v>
      </c>
      <c r="I1431" s="168" t="s">
        <v>536</v>
      </c>
      <c r="J1431" s="168" t="s">
        <v>764</v>
      </c>
      <c r="K1431" s="168">
        <v>48</v>
      </c>
      <c r="L1431" s="160"/>
      <c r="M1431" s="169"/>
    </row>
    <row r="1432" spans="1:13" x14ac:dyDescent="0.55000000000000004">
      <c r="A1432" s="65" t="s">
        <v>762</v>
      </c>
      <c r="B1432" s="168" t="s">
        <v>153</v>
      </c>
      <c r="C1432" s="168" t="s">
        <v>127</v>
      </c>
      <c r="D1432" s="168" t="s">
        <v>2994</v>
      </c>
      <c r="E1432" s="116">
        <v>0.24399999999999999</v>
      </c>
      <c r="F1432" s="149" t="s">
        <v>765</v>
      </c>
      <c r="G1432" s="149" t="s">
        <v>763</v>
      </c>
      <c r="H1432" s="168" t="s">
        <v>39</v>
      </c>
      <c r="I1432" s="168" t="s">
        <v>535</v>
      </c>
      <c r="J1432" s="168" t="s">
        <v>764</v>
      </c>
      <c r="K1432" s="168">
        <v>49</v>
      </c>
      <c r="L1432" s="160"/>
      <c r="M1432" s="169"/>
    </row>
    <row r="1433" spans="1:13" x14ac:dyDescent="0.55000000000000004">
      <c r="A1433" s="97" t="s">
        <v>756</v>
      </c>
      <c r="B1433" s="168" t="s">
        <v>757</v>
      </c>
      <c r="C1433" s="168" t="s">
        <v>121</v>
      </c>
      <c r="D1433" s="168" t="s">
        <v>3288</v>
      </c>
      <c r="E1433" s="116">
        <v>1</v>
      </c>
      <c r="F1433" s="149" t="s">
        <v>135</v>
      </c>
      <c r="G1433" s="149">
        <v>1</v>
      </c>
      <c r="H1433" s="168" t="s">
        <v>39</v>
      </c>
      <c r="I1433" s="168" t="s">
        <v>535</v>
      </c>
      <c r="J1433" s="168" t="s">
        <v>758</v>
      </c>
      <c r="K1433" s="168"/>
      <c r="L1433" s="160">
        <v>7601</v>
      </c>
      <c r="M1433" s="169"/>
    </row>
    <row r="1434" spans="1:13" x14ac:dyDescent="0.55000000000000004">
      <c r="A1434" s="97" t="s">
        <v>756</v>
      </c>
      <c r="B1434" s="168" t="s">
        <v>759</v>
      </c>
      <c r="C1434" s="168" t="s">
        <v>125</v>
      </c>
      <c r="D1434" s="168" t="s">
        <v>3288</v>
      </c>
      <c r="E1434" s="116">
        <v>16.5</v>
      </c>
      <c r="F1434" s="149" t="s">
        <v>122</v>
      </c>
      <c r="G1434" s="149" t="s">
        <v>135</v>
      </c>
      <c r="H1434" s="168" t="s">
        <v>39</v>
      </c>
      <c r="I1434" s="168" t="s">
        <v>536</v>
      </c>
      <c r="J1434" s="168" t="s">
        <v>758</v>
      </c>
      <c r="K1434" s="168">
        <v>48</v>
      </c>
      <c r="L1434" s="160"/>
      <c r="M1434" s="169"/>
    </row>
    <row r="1435" spans="1:13" x14ac:dyDescent="0.55000000000000004">
      <c r="A1435" s="97" t="s">
        <v>756</v>
      </c>
      <c r="B1435" s="168" t="s">
        <v>261</v>
      </c>
      <c r="C1435" s="168" t="s">
        <v>125</v>
      </c>
      <c r="D1435" s="168" t="s">
        <v>3288</v>
      </c>
      <c r="E1435" s="116">
        <v>1.93</v>
      </c>
      <c r="F1435" s="149" t="s">
        <v>135</v>
      </c>
      <c r="G1435" s="149" t="s">
        <v>135</v>
      </c>
      <c r="H1435" s="168" t="s">
        <v>39</v>
      </c>
      <c r="I1435" s="168" t="s">
        <v>536</v>
      </c>
      <c r="J1435" s="168" t="s">
        <v>758</v>
      </c>
      <c r="K1435" s="168">
        <v>48</v>
      </c>
      <c r="L1435" s="160"/>
      <c r="M1435" s="169"/>
    </row>
    <row r="1436" spans="1:13" x14ac:dyDescent="0.55000000000000004">
      <c r="A1436" s="97" t="s">
        <v>756</v>
      </c>
      <c r="B1436" s="168" t="s">
        <v>760</v>
      </c>
      <c r="C1436" s="168" t="s">
        <v>207</v>
      </c>
      <c r="D1436" s="168" t="s">
        <v>3288</v>
      </c>
      <c r="E1436" s="116">
        <v>0.43</v>
      </c>
      <c r="F1436" s="149" t="s">
        <v>135</v>
      </c>
      <c r="G1436" s="149" t="s">
        <v>135</v>
      </c>
      <c r="H1436" s="168" t="s">
        <v>39</v>
      </c>
      <c r="I1436" s="168" t="s">
        <v>537</v>
      </c>
      <c r="J1436" s="168" t="s">
        <v>758</v>
      </c>
      <c r="K1436" s="168">
        <v>49</v>
      </c>
      <c r="L1436" s="160"/>
      <c r="M1436" s="169"/>
    </row>
    <row r="1437" spans="1:13" x14ac:dyDescent="0.55000000000000004">
      <c r="A1437" s="97" t="s">
        <v>756</v>
      </c>
      <c r="B1437" s="168" t="s">
        <v>153</v>
      </c>
      <c r="C1437" s="168" t="s">
        <v>127</v>
      </c>
      <c r="D1437" s="168" t="s">
        <v>2994</v>
      </c>
      <c r="E1437" s="116">
        <v>44.4</v>
      </c>
      <c r="F1437" s="149" t="s">
        <v>138</v>
      </c>
      <c r="G1437" s="149" t="s">
        <v>135</v>
      </c>
      <c r="H1437" s="168" t="s">
        <v>39</v>
      </c>
      <c r="I1437" s="168" t="s">
        <v>538</v>
      </c>
      <c r="J1437" s="168" t="s">
        <v>758</v>
      </c>
      <c r="K1437" s="168">
        <v>49</v>
      </c>
      <c r="L1437" s="160"/>
      <c r="M1437" s="169"/>
    </row>
    <row r="1438" spans="1:13" x14ac:dyDescent="0.55000000000000004">
      <c r="A1438" s="97" t="s">
        <v>756</v>
      </c>
      <c r="B1438" s="168" t="s">
        <v>160</v>
      </c>
      <c r="C1438" s="168" t="s">
        <v>124</v>
      </c>
      <c r="D1438" s="168" t="s">
        <v>3288</v>
      </c>
      <c r="E1438" s="116">
        <v>1.58</v>
      </c>
      <c r="F1438" s="149" t="s">
        <v>135</v>
      </c>
      <c r="G1438" s="149" t="s">
        <v>135</v>
      </c>
      <c r="H1438" s="168" t="s">
        <v>39</v>
      </c>
      <c r="I1438" s="168" t="s">
        <v>539</v>
      </c>
      <c r="J1438" s="168" t="s">
        <v>758</v>
      </c>
      <c r="K1438" s="168">
        <v>50</v>
      </c>
      <c r="L1438" s="160"/>
      <c r="M1438" s="169"/>
    </row>
    <row r="1439" spans="1:13" x14ac:dyDescent="0.55000000000000004">
      <c r="A1439" s="97" t="s">
        <v>756</v>
      </c>
      <c r="B1439" s="168" t="s">
        <v>761</v>
      </c>
      <c r="C1439" s="168" t="s">
        <v>124</v>
      </c>
      <c r="D1439" s="169" t="s">
        <v>3288</v>
      </c>
      <c r="E1439" s="116">
        <v>1.3799999999999999E-4</v>
      </c>
      <c r="F1439" s="149" t="s">
        <v>3287</v>
      </c>
      <c r="G1439" s="149" t="s">
        <v>135</v>
      </c>
      <c r="H1439" s="168" t="s">
        <v>39</v>
      </c>
      <c r="I1439" s="168" t="s">
        <v>540</v>
      </c>
      <c r="J1439" s="168" t="s">
        <v>758</v>
      </c>
      <c r="K1439" s="168">
        <v>48</v>
      </c>
      <c r="L1439" s="160"/>
      <c r="M1439" s="169"/>
    </row>
    <row r="1440" spans="1:13" x14ac:dyDescent="0.55000000000000004">
      <c r="A1440" s="93" t="s">
        <v>754</v>
      </c>
      <c r="B1440" s="168" t="s">
        <v>268</v>
      </c>
      <c r="C1440" s="168" t="s">
        <v>121</v>
      </c>
      <c r="D1440" s="168" t="s">
        <v>3288</v>
      </c>
      <c r="E1440" s="116">
        <v>1</v>
      </c>
      <c r="F1440" s="149" t="s">
        <v>135</v>
      </c>
      <c r="G1440" s="149">
        <v>1</v>
      </c>
      <c r="H1440" s="168" t="s">
        <v>39</v>
      </c>
      <c r="I1440" s="168"/>
      <c r="J1440" s="168" t="s">
        <v>754</v>
      </c>
      <c r="K1440" s="168"/>
      <c r="L1440" s="160">
        <v>7601</v>
      </c>
      <c r="M1440" s="169"/>
    </row>
    <row r="1441" spans="1:13" x14ac:dyDescent="0.55000000000000004">
      <c r="A1441" s="93" t="s">
        <v>754</v>
      </c>
      <c r="B1441" s="61" t="s">
        <v>261</v>
      </c>
      <c r="C1441" s="168" t="s">
        <v>125</v>
      </c>
      <c r="D1441" s="168" t="s">
        <v>3288</v>
      </c>
      <c r="E1441" s="116">
        <v>1.9350000000000001</v>
      </c>
      <c r="F1441" s="149" t="s">
        <v>122</v>
      </c>
      <c r="G1441" s="149" t="s">
        <v>135</v>
      </c>
      <c r="H1441" s="168" t="s">
        <v>39</v>
      </c>
      <c r="I1441" s="61"/>
      <c r="J1441" s="168" t="s">
        <v>754</v>
      </c>
      <c r="K1441" s="168">
        <v>25</v>
      </c>
      <c r="L1441" s="160"/>
      <c r="M1441" s="169"/>
    </row>
    <row r="1442" spans="1:13" x14ac:dyDescent="0.55000000000000004">
      <c r="A1442" s="93" t="s">
        <v>754</v>
      </c>
      <c r="B1442" s="168" t="s">
        <v>153</v>
      </c>
      <c r="C1442" s="168" t="s">
        <v>127</v>
      </c>
      <c r="D1442" s="168" t="s">
        <v>2994</v>
      </c>
      <c r="E1442" s="116">
        <v>55.98</v>
      </c>
      <c r="F1442" s="149" t="s">
        <v>138</v>
      </c>
      <c r="G1442" s="149" t="s">
        <v>135</v>
      </c>
      <c r="H1442" s="123" t="s">
        <v>749</v>
      </c>
      <c r="I1442" s="61"/>
      <c r="J1442" s="168" t="s">
        <v>754</v>
      </c>
      <c r="K1442" s="61"/>
      <c r="L1442" s="160"/>
      <c r="M1442" s="169"/>
    </row>
    <row r="1443" spans="1:13" x14ac:dyDescent="0.55000000000000004">
      <c r="A1443" s="93" t="s">
        <v>754</v>
      </c>
      <c r="B1443" s="168" t="s">
        <v>752</v>
      </c>
      <c r="C1443" s="168" t="s">
        <v>124</v>
      </c>
      <c r="D1443" s="168" t="s">
        <v>3288</v>
      </c>
      <c r="E1443" s="116">
        <v>0.38</v>
      </c>
      <c r="F1443" s="149" t="s">
        <v>3286</v>
      </c>
      <c r="G1443" s="149" t="s">
        <v>135</v>
      </c>
      <c r="H1443" s="168" t="s">
        <v>39</v>
      </c>
      <c r="I1443" s="61"/>
      <c r="J1443" s="168" t="s">
        <v>754</v>
      </c>
      <c r="K1443" s="61"/>
      <c r="L1443" s="160"/>
      <c r="M1443" s="169"/>
    </row>
    <row r="1444" spans="1:13" x14ac:dyDescent="0.55000000000000004">
      <c r="A1444" s="93" t="s">
        <v>754</v>
      </c>
      <c r="B1444" s="168" t="s">
        <v>160</v>
      </c>
      <c r="C1444" s="168" t="s">
        <v>560</v>
      </c>
      <c r="D1444" s="168" t="s">
        <v>3288</v>
      </c>
      <c r="E1444" s="116">
        <v>0.16</v>
      </c>
      <c r="F1444" s="149" t="s">
        <v>135</v>
      </c>
      <c r="G1444" s="149" t="s">
        <v>135</v>
      </c>
      <c r="H1444" s="168" t="s">
        <v>39</v>
      </c>
      <c r="I1444" s="61"/>
      <c r="J1444" s="168" t="s">
        <v>754</v>
      </c>
      <c r="K1444" s="61"/>
      <c r="L1444" s="160"/>
      <c r="M1444" s="169"/>
    </row>
    <row r="1445" spans="1:13" x14ac:dyDescent="0.55000000000000004">
      <c r="A1445" s="93" t="s">
        <v>754</v>
      </c>
      <c r="B1445" s="168" t="s">
        <v>160</v>
      </c>
      <c r="C1445" s="168" t="s">
        <v>560</v>
      </c>
      <c r="D1445" s="168" t="s">
        <v>3288</v>
      </c>
      <c r="E1445" s="116">
        <v>0.2</v>
      </c>
      <c r="F1445" s="149" t="s">
        <v>135</v>
      </c>
      <c r="G1445" s="149" t="s">
        <v>135</v>
      </c>
      <c r="H1445" s="168" t="s">
        <v>39</v>
      </c>
      <c r="I1445" s="168" t="s">
        <v>753</v>
      </c>
      <c r="J1445" s="168" t="s">
        <v>754</v>
      </c>
      <c r="K1445" s="61"/>
      <c r="L1445" s="160"/>
      <c r="M1445" s="169"/>
    </row>
    <row r="1446" spans="1:13" x14ac:dyDescent="0.55000000000000004">
      <c r="A1446" s="93" t="s">
        <v>754</v>
      </c>
      <c r="B1446" s="168" t="s">
        <v>160</v>
      </c>
      <c r="C1446" s="168" t="s">
        <v>560</v>
      </c>
      <c r="D1446" s="168" t="s">
        <v>3288</v>
      </c>
      <c r="E1446" s="116">
        <v>0.43</v>
      </c>
      <c r="F1446" s="149" t="s">
        <v>135</v>
      </c>
      <c r="G1446" s="149" t="s">
        <v>135</v>
      </c>
      <c r="H1446" s="168" t="s">
        <v>39</v>
      </c>
      <c r="I1446" s="168" t="s">
        <v>755</v>
      </c>
      <c r="J1446" s="168" t="s">
        <v>754</v>
      </c>
      <c r="K1446" s="61"/>
      <c r="L1446" s="160"/>
      <c r="M1446" s="169"/>
    </row>
    <row r="1447" spans="1:13" x14ac:dyDescent="0.55000000000000004">
      <c r="A1447" s="93" t="s">
        <v>750</v>
      </c>
      <c r="B1447" s="168" t="s">
        <v>268</v>
      </c>
      <c r="C1447" s="168" t="s">
        <v>121</v>
      </c>
      <c r="D1447" s="168" t="s">
        <v>3288</v>
      </c>
      <c r="E1447" s="116">
        <v>1</v>
      </c>
      <c r="F1447" s="149" t="s">
        <v>135</v>
      </c>
      <c r="G1447" s="149">
        <v>1</v>
      </c>
      <c r="H1447" s="168" t="s">
        <v>39</v>
      </c>
      <c r="I1447" s="68"/>
      <c r="J1447" s="168" t="s">
        <v>751</v>
      </c>
      <c r="K1447" s="68"/>
      <c r="L1447" s="160">
        <v>7601</v>
      </c>
      <c r="M1447" s="169"/>
    </row>
    <row r="1448" spans="1:13" x14ac:dyDescent="0.55000000000000004">
      <c r="A1448" s="93" t="s">
        <v>750</v>
      </c>
      <c r="B1448" s="61" t="s">
        <v>261</v>
      </c>
      <c r="C1448" s="168" t="s">
        <v>125</v>
      </c>
      <c r="D1448" s="168" t="s">
        <v>3288</v>
      </c>
      <c r="E1448" s="116">
        <v>1.9350000000000001</v>
      </c>
      <c r="F1448" s="149" t="s">
        <v>122</v>
      </c>
      <c r="G1448" s="149" t="s">
        <v>135</v>
      </c>
      <c r="H1448" s="168" t="s">
        <v>39</v>
      </c>
      <c r="I1448" s="68"/>
      <c r="J1448" s="168" t="s">
        <v>751</v>
      </c>
      <c r="K1448" s="168">
        <v>25</v>
      </c>
      <c r="L1448" s="160"/>
      <c r="M1448" s="169"/>
    </row>
    <row r="1449" spans="1:13" x14ac:dyDescent="0.55000000000000004">
      <c r="A1449" s="93" t="s">
        <v>750</v>
      </c>
      <c r="B1449" s="168" t="s">
        <v>153</v>
      </c>
      <c r="C1449" s="168" t="s">
        <v>127</v>
      </c>
      <c r="D1449" s="168" t="s">
        <v>2994</v>
      </c>
      <c r="E1449" s="116">
        <v>55.26</v>
      </c>
      <c r="F1449" s="149" t="s">
        <v>138</v>
      </c>
      <c r="G1449" s="149" t="s">
        <v>135</v>
      </c>
      <c r="H1449" s="123" t="s">
        <v>749</v>
      </c>
      <c r="I1449" s="68"/>
      <c r="J1449" s="168" t="s">
        <v>751</v>
      </c>
      <c r="K1449" s="68"/>
      <c r="L1449" s="160"/>
      <c r="M1449" s="169"/>
    </row>
    <row r="1450" spans="1:13" x14ac:dyDescent="0.55000000000000004">
      <c r="A1450" s="93" t="s">
        <v>750</v>
      </c>
      <c r="B1450" s="168" t="s">
        <v>752</v>
      </c>
      <c r="C1450" s="168" t="s">
        <v>124</v>
      </c>
      <c r="D1450" s="168" t="s">
        <v>3288</v>
      </c>
      <c r="E1450" s="116">
        <v>0.38</v>
      </c>
      <c r="F1450" s="149" t="s">
        <v>3286</v>
      </c>
      <c r="G1450" s="149" t="s">
        <v>135</v>
      </c>
      <c r="H1450" s="168" t="s">
        <v>39</v>
      </c>
      <c r="I1450" s="68"/>
      <c r="J1450" s="168" t="s">
        <v>751</v>
      </c>
      <c r="K1450" s="68"/>
      <c r="L1450" s="160"/>
      <c r="M1450" s="169"/>
    </row>
    <row r="1451" spans="1:13" x14ac:dyDescent="0.55000000000000004">
      <c r="A1451" s="93" t="s">
        <v>750</v>
      </c>
      <c r="B1451" s="68" t="s">
        <v>160</v>
      </c>
      <c r="C1451" s="168" t="s">
        <v>560</v>
      </c>
      <c r="D1451" s="168" t="s">
        <v>3288</v>
      </c>
      <c r="E1451" s="116">
        <v>1.55</v>
      </c>
      <c r="F1451" s="149" t="s">
        <v>135</v>
      </c>
      <c r="G1451" s="149" t="s">
        <v>135</v>
      </c>
      <c r="H1451" s="168" t="s">
        <v>39</v>
      </c>
      <c r="I1451" s="68"/>
      <c r="J1451" s="168" t="s">
        <v>751</v>
      </c>
      <c r="K1451" s="68"/>
      <c r="L1451" s="160"/>
      <c r="M1451" s="169"/>
    </row>
    <row r="1452" spans="1:13" x14ac:dyDescent="0.55000000000000004">
      <c r="A1452" s="93" t="s">
        <v>750</v>
      </c>
      <c r="B1452" s="68" t="s">
        <v>160</v>
      </c>
      <c r="C1452" s="168" t="s">
        <v>753</v>
      </c>
      <c r="D1452" s="168" t="s">
        <v>3288</v>
      </c>
      <c r="E1452" s="116">
        <v>0.2</v>
      </c>
      <c r="F1452" s="149" t="s">
        <v>135</v>
      </c>
      <c r="G1452" s="149" t="s">
        <v>135</v>
      </c>
      <c r="H1452" s="168" t="s">
        <v>39</v>
      </c>
      <c r="I1452" s="68"/>
      <c r="J1452" s="168" t="s">
        <v>751</v>
      </c>
      <c r="K1452" s="68"/>
      <c r="L1452" s="160"/>
      <c r="M1452" s="169"/>
    </row>
    <row r="1453" spans="1:13" x14ac:dyDescent="0.55000000000000004">
      <c r="A1453" s="93" t="s">
        <v>748</v>
      </c>
      <c r="B1453" s="168" t="s">
        <v>268</v>
      </c>
      <c r="C1453" s="168" t="s">
        <v>121</v>
      </c>
      <c r="D1453" s="168" t="s">
        <v>3288</v>
      </c>
      <c r="E1453" s="116">
        <v>1</v>
      </c>
      <c r="F1453" s="149" t="s">
        <v>135</v>
      </c>
      <c r="G1453" s="149">
        <v>1</v>
      </c>
      <c r="H1453" s="168" t="s">
        <v>39</v>
      </c>
      <c r="I1453" s="68"/>
      <c r="J1453" s="168" t="s">
        <v>748</v>
      </c>
      <c r="K1453" s="68"/>
      <c r="L1453" s="160">
        <v>7601</v>
      </c>
      <c r="M1453" s="169"/>
    </row>
    <row r="1454" spans="1:13" x14ac:dyDescent="0.55000000000000004">
      <c r="A1454" s="93" t="s">
        <v>748</v>
      </c>
      <c r="B1454" s="61" t="s">
        <v>261</v>
      </c>
      <c r="C1454" s="168" t="s">
        <v>125</v>
      </c>
      <c r="D1454" s="168" t="s">
        <v>3288</v>
      </c>
      <c r="E1454" s="116">
        <v>1.9350000000000001</v>
      </c>
      <c r="F1454" s="149" t="s">
        <v>122</v>
      </c>
      <c r="G1454" s="149" t="s">
        <v>135</v>
      </c>
      <c r="H1454" s="168" t="s">
        <v>39</v>
      </c>
      <c r="I1454" s="68"/>
      <c r="J1454" s="168" t="s">
        <v>748</v>
      </c>
      <c r="K1454" s="168">
        <v>25</v>
      </c>
      <c r="L1454" s="160"/>
      <c r="M1454" s="169"/>
    </row>
    <row r="1455" spans="1:13" x14ac:dyDescent="0.55000000000000004">
      <c r="A1455" s="93" t="s">
        <v>748</v>
      </c>
      <c r="B1455" s="168" t="s">
        <v>153</v>
      </c>
      <c r="C1455" s="168" t="s">
        <v>127</v>
      </c>
      <c r="D1455" s="168" t="s">
        <v>2994</v>
      </c>
      <c r="E1455" s="116">
        <v>55.26</v>
      </c>
      <c r="F1455" s="149" t="s">
        <v>138</v>
      </c>
      <c r="G1455" s="149" t="s">
        <v>135</v>
      </c>
      <c r="H1455" s="123" t="s">
        <v>749</v>
      </c>
      <c r="I1455" s="168" t="s">
        <v>823</v>
      </c>
      <c r="J1455" s="168" t="s">
        <v>748</v>
      </c>
      <c r="K1455" s="68"/>
      <c r="L1455" s="160"/>
      <c r="M1455" s="169"/>
    </row>
    <row r="1456" spans="1:13" x14ac:dyDescent="0.55000000000000004">
      <c r="A1456" s="93" t="s">
        <v>748</v>
      </c>
      <c r="B1456" s="168" t="s">
        <v>160</v>
      </c>
      <c r="C1456" s="168" t="s">
        <v>753</v>
      </c>
      <c r="D1456" s="168" t="s">
        <v>3288</v>
      </c>
      <c r="E1456" s="116">
        <v>0.1</v>
      </c>
      <c r="F1456" s="149" t="s">
        <v>3286</v>
      </c>
      <c r="G1456" s="149" t="s">
        <v>135</v>
      </c>
      <c r="H1456" s="168" t="s">
        <v>39</v>
      </c>
      <c r="I1456" s="68"/>
      <c r="J1456" s="168" t="s">
        <v>748</v>
      </c>
      <c r="K1456" s="68"/>
      <c r="L1456" s="160"/>
      <c r="M1456" s="169"/>
    </row>
    <row r="1457" spans="1:13" x14ac:dyDescent="0.55000000000000004">
      <c r="A1457" s="54" t="s">
        <v>746</v>
      </c>
      <c r="B1457" s="168" t="s">
        <v>236</v>
      </c>
      <c r="C1457" s="168" t="s">
        <v>121</v>
      </c>
      <c r="D1457" s="168" t="s">
        <v>3288</v>
      </c>
      <c r="E1457" s="116">
        <v>1</v>
      </c>
      <c r="F1457" s="149" t="s">
        <v>135</v>
      </c>
      <c r="G1457" s="149">
        <v>1</v>
      </c>
      <c r="H1457" s="168" t="s">
        <v>39</v>
      </c>
      <c r="I1457" s="68"/>
      <c r="J1457" s="168" t="s">
        <v>747</v>
      </c>
      <c r="K1457" s="68"/>
      <c r="L1457" s="160">
        <v>2523</v>
      </c>
      <c r="M1457" s="169"/>
    </row>
    <row r="1458" spans="1:13" x14ac:dyDescent="0.55000000000000004">
      <c r="A1458" s="54" t="s">
        <v>746</v>
      </c>
      <c r="B1458" s="168" t="s">
        <v>230</v>
      </c>
      <c r="C1458" s="168" t="s">
        <v>127</v>
      </c>
      <c r="D1458" s="168" t="s">
        <v>2994</v>
      </c>
      <c r="E1458" s="116">
        <v>0.06</v>
      </c>
      <c r="F1458" s="149" t="s">
        <v>138</v>
      </c>
      <c r="G1458" s="149" t="s">
        <v>135</v>
      </c>
      <c r="H1458" s="168" t="s">
        <v>39</v>
      </c>
      <c r="I1458" s="68"/>
      <c r="J1458" s="168" t="s">
        <v>747</v>
      </c>
      <c r="K1458" s="68"/>
      <c r="L1458" s="160"/>
      <c r="M1458" s="169"/>
    </row>
    <row r="1459" spans="1:13" x14ac:dyDescent="0.55000000000000004">
      <c r="A1459" s="54" t="s">
        <v>746</v>
      </c>
      <c r="B1459" s="168" t="s">
        <v>262</v>
      </c>
      <c r="C1459" s="168" t="s">
        <v>127</v>
      </c>
      <c r="D1459" s="168" t="s">
        <v>2994</v>
      </c>
      <c r="E1459" s="116">
        <v>0.74</v>
      </c>
      <c r="F1459" s="149" t="s">
        <v>138</v>
      </c>
      <c r="G1459" s="149" t="s">
        <v>135</v>
      </c>
      <c r="H1459" s="168" t="s">
        <v>39</v>
      </c>
      <c r="I1459" s="68"/>
      <c r="J1459" s="168" t="s">
        <v>747</v>
      </c>
      <c r="K1459" s="68"/>
      <c r="L1459" s="160"/>
      <c r="M1459" s="169"/>
    </row>
    <row r="1460" spans="1:13" x14ac:dyDescent="0.55000000000000004">
      <c r="A1460" s="54" t="s">
        <v>746</v>
      </c>
      <c r="B1460" s="168" t="s">
        <v>153</v>
      </c>
      <c r="C1460" s="168" t="s">
        <v>127</v>
      </c>
      <c r="D1460" s="168" t="s">
        <v>2994</v>
      </c>
      <c r="E1460" s="116">
        <v>0.11</v>
      </c>
      <c r="F1460" s="149" t="s">
        <v>138</v>
      </c>
      <c r="G1460" s="149" t="s">
        <v>135</v>
      </c>
      <c r="H1460" s="168" t="s">
        <v>39</v>
      </c>
      <c r="I1460" s="68"/>
      <c r="J1460" s="168" t="s">
        <v>747</v>
      </c>
      <c r="K1460" s="68"/>
      <c r="L1460" s="160"/>
      <c r="M1460" s="169"/>
    </row>
    <row r="1461" spans="1:13" x14ac:dyDescent="0.55000000000000004">
      <c r="A1461" s="54" t="s">
        <v>746</v>
      </c>
      <c r="B1461" s="168" t="s">
        <v>445</v>
      </c>
      <c r="C1461" s="168" t="s">
        <v>127</v>
      </c>
      <c r="D1461" s="168" t="s">
        <v>2994</v>
      </c>
      <c r="E1461" s="116">
        <v>0.19</v>
      </c>
      <c r="F1461" s="149" t="s">
        <v>138</v>
      </c>
      <c r="G1461" s="149" t="s">
        <v>135</v>
      </c>
      <c r="H1461" s="168" t="s">
        <v>39</v>
      </c>
      <c r="I1461" s="68"/>
      <c r="J1461" s="168" t="s">
        <v>747</v>
      </c>
      <c r="K1461" s="68"/>
      <c r="L1461" s="160"/>
      <c r="M1461" s="169"/>
    </row>
    <row r="1462" spans="1:13" x14ac:dyDescent="0.55000000000000004">
      <c r="A1462" s="54" t="s">
        <v>746</v>
      </c>
      <c r="B1462" s="168" t="s">
        <v>171</v>
      </c>
      <c r="C1462" s="168" t="s">
        <v>127</v>
      </c>
      <c r="D1462" s="168" t="s">
        <v>2994</v>
      </c>
      <c r="E1462" s="116">
        <v>0.09</v>
      </c>
      <c r="F1462" s="149" t="s">
        <v>138</v>
      </c>
      <c r="G1462" s="149" t="s">
        <v>135</v>
      </c>
      <c r="H1462" s="168" t="s">
        <v>39</v>
      </c>
      <c r="I1462" s="68"/>
      <c r="J1462" s="168" t="s">
        <v>747</v>
      </c>
      <c r="K1462" s="68"/>
      <c r="L1462" s="160"/>
      <c r="M1462" s="169"/>
    </row>
    <row r="1463" spans="1:13" x14ac:dyDescent="0.55000000000000004">
      <c r="A1463" s="54" t="s">
        <v>746</v>
      </c>
      <c r="B1463" s="168" t="s">
        <v>160</v>
      </c>
      <c r="C1463" s="168" t="s">
        <v>247</v>
      </c>
      <c r="D1463" s="168" t="s">
        <v>3288</v>
      </c>
      <c r="E1463" s="116">
        <v>91.579101204260311</v>
      </c>
      <c r="F1463" s="149" t="s">
        <v>122</v>
      </c>
      <c r="G1463" s="149" t="s">
        <v>135</v>
      </c>
      <c r="H1463" s="168" t="s">
        <v>39</v>
      </c>
      <c r="I1463" s="68"/>
      <c r="J1463" s="168" t="s">
        <v>747</v>
      </c>
      <c r="K1463" s="68"/>
      <c r="L1463" s="160"/>
      <c r="M1463" s="169"/>
    </row>
    <row r="1464" spans="1:13" x14ac:dyDescent="0.55000000000000004">
      <c r="A1464" s="54" t="s">
        <v>745</v>
      </c>
      <c r="B1464" s="168" t="s">
        <v>688</v>
      </c>
      <c r="C1464" s="168" t="s">
        <v>121</v>
      </c>
      <c r="D1464" s="168" t="s">
        <v>3288</v>
      </c>
      <c r="E1464" s="116">
        <v>1</v>
      </c>
      <c r="F1464" s="149" t="s">
        <v>135</v>
      </c>
      <c r="G1464" s="149">
        <v>1</v>
      </c>
      <c r="H1464" s="168" t="s">
        <v>39</v>
      </c>
      <c r="I1464" s="68"/>
      <c r="J1464" s="168" t="s">
        <v>745</v>
      </c>
      <c r="K1464" s="68"/>
      <c r="L1464" s="160">
        <v>7003</v>
      </c>
      <c r="M1464" s="169"/>
    </row>
    <row r="1465" spans="1:13" x14ac:dyDescent="0.55000000000000004">
      <c r="A1465" s="54" t="s">
        <v>745</v>
      </c>
      <c r="B1465" s="168" t="s">
        <v>153</v>
      </c>
      <c r="C1465" s="168" t="s">
        <v>127</v>
      </c>
      <c r="D1465" s="168" t="s">
        <v>2994</v>
      </c>
      <c r="E1465" s="116">
        <v>3.3</v>
      </c>
      <c r="F1465" s="149" t="s">
        <v>138</v>
      </c>
      <c r="G1465" s="149" t="s">
        <v>135</v>
      </c>
      <c r="H1465" s="168" t="s">
        <v>39</v>
      </c>
      <c r="I1465" s="68"/>
      <c r="J1465" s="168" t="s">
        <v>745</v>
      </c>
      <c r="K1465" s="68"/>
      <c r="L1465" s="160"/>
      <c r="M1465" s="169"/>
    </row>
    <row r="1466" spans="1:13" x14ac:dyDescent="0.55000000000000004">
      <c r="A1466" s="54" t="s">
        <v>745</v>
      </c>
      <c r="B1466" s="168" t="s">
        <v>691</v>
      </c>
      <c r="C1466" s="168" t="s">
        <v>127</v>
      </c>
      <c r="D1466" s="168" t="s">
        <v>2994</v>
      </c>
      <c r="E1466" s="116">
        <v>7.5</v>
      </c>
      <c r="F1466" s="149" t="s">
        <v>138</v>
      </c>
      <c r="G1466" s="149" t="s">
        <v>135</v>
      </c>
      <c r="H1466" s="168" t="s">
        <v>39</v>
      </c>
      <c r="I1466" s="68"/>
      <c r="J1466" s="168" t="s">
        <v>745</v>
      </c>
      <c r="K1466" s="68"/>
      <c r="L1466" s="160"/>
      <c r="M1466" s="169"/>
    </row>
    <row r="1467" spans="1:13" x14ac:dyDescent="0.55000000000000004">
      <c r="A1467" s="54" t="s">
        <v>745</v>
      </c>
      <c r="B1467" s="168" t="s">
        <v>160</v>
      </c>
      <c r="C1467" s="168" t="s">
        <v>247</v>
      </c>
      <c r="D1467" s="168" t="s">
        <v>3288</v>
      </c>
      <c r="E1467" s="116">
        <v>553.26038186372705</v>
      </c>
      <c r="F1467" s="149" t="s">
        <v>122</v>
      </c>
      <c r="G1467" s="149" t="s">
        <v>135</v>
      </c>
      <c r="H1467" s="168" t="s">
        <v>39</v>
      </c>
      <c r="I1467" s="68"/>
      <c r="J1467" s="168" t="s">
        <v>745</v>
      </c>
      <c r="K1467" s="68"/>
      <c r="L1467" s="160"/>
      <c r="M1467" s="169"/>
    </row>
    <row r="1468" spans="1:13" x14ac:dyDescent="0.55000000000000004">
      <c r="A1468" s="93" t="s">
        <v>744</v>
      </c>
      <c r="B1468" s="168" t="s">
        <v>261</v>
      </c>
      <c r="C1468" s="168" t="s">
        <v>121</v>
      </c>
      <c r="D1468" s="168" t="s">
        <v>3288</v>
      </c>
      <c r="E1468" s="116">
        <v>1</v>
      </c>
      <c r="F1468" s="149" t="s">
        <v>135</v>
      </c>
      <c r="G1468" s="149">
        <v>1</v>
      </c>
      <c r="H1468" s="168" t="s">
        <v>39</v>
      </c>
      <c r="I1468" s="68"/>
      <c r="J1468" s="168" t="s">
        <v>744</v>
      </c>
      <c r="K1468" s="68"/>
      <c r="L1468" s="160">
        <v>281820</v>
      </c>
      <c r="M1468" s="169"/>
    </row>
    <row r="1469" spans="1:13" x14ac:dyDescent="0.55000000000000004">
      <c r="A1469" s="93" t="s">
        <v>744</v>
      </c>
      <c r="B1469" s="168" t="s">
        <v>262</v>
      </c>
      <c r="C1469" s="168" t="s">
        <v>127</v>
      </c>
      <c r="D1469" s="168" t="s">
        <v>2994</v>
      </c>
      <c r="E1469" s="116">
        <v>8.4700000000000006</v>
      </c>
      <c r="F1469" s="149" t="s">
        <v>138</v>
      </c>
      <c r="G1469" s="149" t="s">
        <v>135</v>
      </c>
      <c r="H1469" s="168" t="s">
        <v>39</v>
      </c>
      <c r="I1469" s="68"/>
      <c r="J1469" s="168" t="s">
        <v>744</v>
      </c>
      <c r="K1469" s="68"/>
      <c r="L1469" s="160"/>
      <c r="M1469" s="169"/>
    </row>
    <row r="1470" spans="1:13" x14ac:dyDescent="0.55000000000000004">
      <c r="A1470" s="93" t="s">
        <v>744</v>
      </c>
      <c r="B1470" s="168" t="s">
        <v>153</v>
      </c>
      <c r="C1470" s="168" t="s">
        <v>127</v>
      </c>
      <c r="D1470" s="168" t="s">
        <v>2994</v>
      </c>
      <c r="E1470" s="116">
        <v>1.07</v>
      </c>
      <c r="F1470" s="149" t="s">
        <v>138</v>
      </c>
      <c r="G1470" s="149" t="s">
        <v>135</v>
      </c>
      <c r="H1470" s="168" t="s">
        <v>39</v>
      </c>
      <c r="I1470" s="68"/>
      <c r="J1470" s="168" t="s">
        <v>744</v>
      </c>
      <c r="K1470" s="68"/>
      <c r="L1470" s="160"/>
      <c r="M1470" s="169"/>
    </row>
    <row r="1471" spans="1:13" x14ac:dyDescent="0.55000000000000004">
      <c r="A1471" s="93" t="s">
        <v>744</v>
      </c>
      <c r="B1471" s="168" t="s">
        <v>445</v>
      </c>
      <c r="C1471" s="168" t="s">
        <v>127</v>
      </c>
      <c r="D1471" s="168" t="s">
        <v>2994</v>
      </c>
      <c r="E1471" s="116">
        <v>1.1299999999999999</v>
      </c>
      <c r="F1471" s="149" t="s">
        <v>138</v>
      </c>
      <c r="G1471" s="149" t="s">
        <v>135</v>
      </c>
      <c r="H1471" s="168" t="s">
        <v>39</v>
      </c>
      <c r="I1471" s="68"/>
      <c r="J1471" s="168" t="s">
        <v>744</v>
      </c>
      <c r="K1471" s="68"/>
      <c r="L1471" s="160"/>
      <c r="M1471" s="169"/>
    </row>
    <row r="1472" spans="1:13" x14ac:dyDescent="0.55000000000000004">
      <c r="A1472" s="93" t="s">
        <v>744</v>
      </c>
      <c r="B1472" s="168" t="s">
        <v>171</v>
      </c>
      <c r="C1472" s="168" t="s">
        <v>127</v>
      </c>
      <c r="D1472" s="168" t="s">
        <v>2994</v>
      </c>
      <c r="E1472" s="116">
        <v>4.03</v>
      </c>
      <c r="F1472" s="149" t="s">
        <v>138</v>
      </c>
      <c r="G1472" s="149" t="s">
        <v>135</v>
      </c>
      <c r="H1472" s="168" t="s">
        <v>39</v>
      </c>
      <c r="I1472" s="68"/>
      <c r="J1472" s="168" t="s">
        <v>744</v>
      </c>
      <c r="K1472" s="68"/>
      <c r="L1472" s="160"/>
      <c r="M1472" s="169"/>
    </row>
    <row r="1473" spans="1:13" x14ac:dyDescent="0.55000000000000004">
      <c r="A1473" s="93" t="s">
        <v>744</v>
      </c>
      <c r="B1473" s="168" t="s">
        <v>160</v>
      </c>
      <c r="C1473" s="168" t="s">
        <v>247</v>
      </c>
      <c r="D1473" s="168" t="s">
        <v>3288</v>
      </c>
      <c r="E1473" s="116">
        <v>1126.3257896425721</v>
      </c>
      <c r="F1473" s="149" t="s">
        <v>122</v>
      </c>
      <c r="G1473" s="149" t="s">
        <v>135</v>
      </c>
      <c r="H1473" s="168" t="s">
        <v>39</v>
      </c>
      <c r="I1473" s="68"/>
      <c r="J1473" s="168" t="s">
        <v>744</v>
      </c>
      <c r="K1473" s="68"/>
      <c r="L1473" s="160"/>
      <c r="M1473" s="169"/>
    </row>
    <row r="1474" spans="1:13" x14ac:dyDescent="0.55000000000000004">
      <c r="A1474" s="54" t="s">
        <v>743</v>
      </c>
      <c r="B1474" s="168" t="s">
        <v>236</v>
      </c>
      <c r="C1474" s="168" t="s">
        <v>121</v>
      </c>
      <c r="D1474" s="168" t="s">
        <v>3288</v>
      </c>
      <c r="E1474" s="116">
        <v>1</v>
      </c>
      <c r="F1474" s="149" t="s">
        <v>135</v>
      </c>
      <c r="G1474" s="149">
        <v>1</v>
      </c>
      <c r="H1474" s="168" t="s">
        <v>39</v>
      </c>
      <c r="I1474" s="68"/>
      <c r="J1474" s="168" t="s">
        <v>743</v>
      </c>
      <c r="K1474" s="68"/>
      <c r="L1474" s="160">
        <v>2523</v>
      </c>
      <c r="M1474" s="169"/>
    </row>
    <row r="1475" spans="1:13" x14ac:dyDescent="0.55000000000000004">
      <c r="A1475" s="54" t="s">
        <v>743</v>
      </c>
      <c r="B1475" s="168" t="s">
        <v>230</v>
      </c>
      <c r="C1475" s="168" t="s">
        <v>127</v>
      </c>
      <c r="D1475" s="168" t="s">
        <v>2994</v>
      </c>
      <c r="E1475" s="116">
        <v>0.2</v>
      </c>
      <c r="F1475" s="149" t="s">
        <v>138</v>
      </c>
      <c r="G1475" s="149" t="s">
        <v>135</v>
      </c>
      <c r="H1475" s="168" t="s">
        <v>39</v>
      </c>
      <c r="I1475" s="68"/>
      <c r="J1475" s="168" t="s">
        <v>743</v>
      </c>
      <c r="K1475" s="68"/>
      <c r="L1475" s="160"/>
      <c r="M1475" s="169"/>
    </row>
    <row r="1476" spans="1:13" x14ac:dyDescent="0.55000000000000004">
      <c r="A1476" s="54" t="s">
        <v>743</v>
      </c>
      <c r="B1476" s="168" t="s">
        <v>262</v>
      </c>
      <c r="C1476" s="168" t="s">
        <v>127</v>
      </c>
      <c r="D1476" s="168" t="s">
        <v>2994</v>
      </c>
      <c r="E1476" s="116">
        <v>2.4</v>
      </c>
      <c r="F1476" s="149" t="s">
        <v>138</v>
      </c>
      <c r="G1476" s="149" t="s">
        <v>135</v>
      </c>
      <c r="H1476" s="168" t="s">
        <v>39</v>
      </c>
      <c r="I1476" s="68"/>
      <c r="J1476" s="168" t="s">
        <v>743</v>
      </c>
      <c r="K1476" s="68"/>
      <c r="L1476" s="160"/>
      <c r="M1476" s="169"/>
    </row>
    <row r="1477" spans="1:13" x14ac:dyDescent="0.55000000000000004">
      <c r="A1477" s="54" t="s">
        <v>743</v>
      </c>
      <c r="B1477" s="168" t="s">
        <v>153</v>
      </c>
      <c r="C1477" s="168" t="s">
        <v>127</v>
      </c>
      <c r="D1477" s="168" t="s">
        <v>2994</v>
      </c>
      <c r="E1477" s="116">
        <v>0.43</v>
      </c>
      <c r="F1477" s="149" t="s">
        <v>138</v>
      </c>
      <c r="G1477" s="149" t="s">
        <v>135</v>
      </c>
      <c r="H1477" s="168" t="s">
        <v>39</v>
      </c>
      <c r="I1477" s="68"/>
      <c r="J1477" s="168" t="s">
        <v>743</v>
      </c>
      <c r="K1477" s="68"/>
      <c r="L1477" s="160"/>
      <c r="M1477" s="169"/>
    </row>
    <row r="1478" spans="1:13" x14ac:dyDescent="0.55000000000000004">
      <c r="A1478" s="54" t="s">
        <v>743</v>
      </c>
      <c r="B1478" s="168" t="s">
        <v>445</v>
      </c>
      <c r="C1478" s="168" t="s">
        <v>127</v>
      </c>
      <c r="D1478" s="168" t="s">
        <v>2994</v>
      </c>
      <c r="E1478" s="116">
        <v>0.6</v>
      </c>
      <c r="F1478" s="149" t="s">
        <v>138</v>
      </c>
      <c r="G1478" s="149" t="s">
        <v>135</v>
      </c>
      <c r="H1478" s="168" t="s">
        <v>39</v>
      </c>
      <c r="I1478" s="68"/>
      <c r="J1478" s="168" t="s">
        <v>743</v>
      </c>
      <c r="K1478" s="68"/>
      <c r="L1478" s="160"/>
      <c r="M1478" s="169"/>
    </row>
    <row r="1479" spans="1:13" x14ac:dyDescent="0.55000000000000004">
      <c r="A1479" s="54" t="s">
        <v>743</v>
      </c>
      <c r="B1479" s="168" t="s">
        <v>171</v>
      </c>
      <c r="C1479" s="168" t="s">
        <v>127</v>
      </c>
      <c r="D1479" s="168" t="s">
        <v>2994</v>
      </c>
      <c r="E1479" s="116">
        <v>0.31</v>
      </c>
      <c r="F1479" s="149" t="s">
        <v>138</v>
      </c>
      <c r="G1479" s="149" t="s">
        <v>135</v>
      </c>
      <c r="H1479" s="168" t="s">
        <v>39</v>
      </c>
      <c r="I1479" s="68"/>
      <c r="J1479" s="168" t="s">
        <v>743</v>
      </c>
      <c r="K1479" s="68"/>
      <c r="L1479" s="160"/>
      <c r="M1479" s="169"/>
    </row>
    <row r="1480" spans="1:13" x14ac:dyDescent="0.55000000000000004">
      <c r="A1480" s="54" t="s">
        <v>743</v>
      </c>
      <c r="B1480" s="168" t="s">
        <v>160</v>
      </c>
      <c r="C1480" s="168" t="s">
        <v>247</v>
      </c>
      <c r="D1480" s="168" t="s">
        <v>3288</v>
      </c>
      <c r="E1480" s="116">
        <v>296.85377063590079</v>
      </c>
      <c r="F1480" s="149" t="s">
        <v>122</v>
      </c>
      <c r="G1480" s="149" t="s">
        <v>135</v>
      </c>
      <c r="H1480" s="168" t="s">
        <v>39</v>
      </c>
      <c r="I1480" s="68"/>
      <c r="J1480" s="168" t="s">
        <v>743</v>
      </c>
      <c r="K1480" s="68"/>
      <c r="L1480" s="160"/>
      <c r="M1480" s="169"/>
    </row>
    <row r="1481" spans="1:13" x14ac:dyDescent="0.55000000000000004">
      <c r="A1481" s="94" t="s">
        <v>742</v>
      </c>
      <c r="B1481" s="168" t="s">
        <v>598</v>
      </c>
      <c r="C1481" s="168" t="s">
        <v>121</v>
      </c>
      <c r="D1481" s="168" t="s">
        <v>3288</v>
      </c>
      <c r="E1481" s="116">
        <v>1</v>
      </c>
      <c r="F1481" s="149" t="s">
        <v>135</v>
      </c>
      <c r="G1481" s="149">
        <v>1</v>
      </c>
      <c r="H1481" s="168" t="s">
        <v>39</v>
      </c>
      <c r="I1481" s="68"/>
      <c r="J1481" s="168" t="s">
        <v>742</v>
      </c>
      <c r="K1481" s="68"/>
      <c r="L1481" s="160" t="s">
        <v>599</v>
      </c>
      <c r="M1481" s="169"/>
    </row>
    <row r="1482" spans="1:13" x14ac:dyDescent="0.55000000000000004">
      <c r="A1482" s="94" t="s">
        <v>742</v>
      </c>
      <c r="B1482" s="168" t="s">
        <v>230</v>
      </c>
      <c r="C1482" s="168" t="s">
        <v>127</v>
      </c>
      <c r="D1482" s="168" t="s">
        <v>2994</v>
      </c>
      <c r="E1482" s="116">
        <v>1.6</v>
      </c>
      <c r="F1482" s="149" t="s">
        <v>138</v>
      </c>
      <c r="G1482" s="149" t="s">
        <v>135</v>
      </c>
      <c r="H1482" s="168" t="s">
        <v>39</v>
      </c>
      <c r="I1482" s="68"/>
      <c r="J1482" s="168" t="s">
        <v>742</v>
      </c>
      <c r="K1482" s="68"/>
      <c r="L1482" s="160"/>
      <c r="M1482" s="169"/>
    </row>
    <row r="1483" spans="1:13" x14ac:dyDescent="0.55000000000000004">
      <c r="A1483" s="94" t="s">
        <v>742</v>
      </c>
      <c r="B1483" s="168" t="s">
        <v>3383</v>
      </c>
      <c r="C1483" s="168" t="s">
        <v>127</v>
      </c>
      <c r="D1483" s="168" t="s">
        <v>2994</v>
      </c>
      <c r="E1483" s="116">
        <v>1.9</v>
      </c>
      <c r="F1483" s="149" t="s">
        <v>138</v>
      </c>
      <c r="G1483" s="149" t="s">
        <v>135</v>
      </c>
      <c r="H1483" s="168" t="s">
        <v>39</v>
      </c>
      <c r="I1483" s="68"/>
      <c r="J1483" s="168" t="s">
        <v>742</v>
      </c>
      <c r="K1483" s="68"/>
      <c r="L1483" s="160"/>
      <c r="M1483" s="169"/>
    </row>
    <row r="1484" spans="1:13" x14ac:dyDescent="0.55000000000000004">
      <c r="A1484" s="94" t="s">
        <v>742</v>
      </c>
      <c r="B1484" s="168" t="s">
        <v>188</v>
      </c>
      <c r="C1484" s="168" t="s">
        <v>127</v>
      </c>
      <c r="D1484" s="168" t="s">
        <v>2994</v>
      </c>
      <c r="E1484" s="116">
        <v>45.5</v>
      </c>
      <c r="F1484" s="149" t="s">
        <v>138</v>
      </c>
      <c r="G1484" s="149" t="s">
        <v>135</v>
      </c>
      <c r="H1484" s="168" t="s">
        <v>39</v>
      </c>
      <c r="I1484" s="68"/>
      <c r="J1484" s="168" t="s">
        <v>742</v>
      </c>
      <c r="K1484" s="68"/>
      <c r="L1484" s="160"/>
      <c r="M1484" s="169"/>
    </row>
    <row r="1485" spans="1:13" x14ac:dyDescent="0.55000000000000004">
      <c r="A1485" s="94" t="s">
        <v>742</v>
      </c>
      <c r="B1485" s="168" t="s">
        <v>230</v>
      </c>
      <c r="C1485" s="168" t="s">
        <v>231</v>
      </c>
      <c r="D1485" s="168" t="s">
        <v>2994</v>
      </c>
      <c r="E1485" s="116">
        <v>45.9</v>
      </c>
      <c r="F1485" s="149" t="s">
        <v>138</v>
      </c>
      <c r="G1485" s="149" t="s">
        <v>135</v>
      </c>
      <c r="H1485" s="168" t="s">
        <v>39</v>
      </c>
      <c r="I1485" s="68"/>
      <c r="J1485" s="168" t="s">
        <v>742</v>
      </c>
      <c r="K1485" s="68"/>
      <c r="L1485" s="160"/>
      <c r="M1485" s="169"/>
    </row>
    <row r="1486" spans="1:13" x14ac:dyDescent="0.55000000000000004">
      <c r="A1486" s="94" t="s">
        <v>742</v>
      </c>
      <c r="B1486" s="168" t="s">
        <v>160</v>
      </c>
      <c r="C1486" s="168" t="s">
        <v>247</v>
      </c>
      <c r="D1486" s="168" t="s">
        <v>3288</v>
      </c>
      <c r="E1486" s="116">
        <v>22.256825421375218</v>
      </c>
      <c r="F1486" s="149" t="s">
        <v>122</v>
      </c>
      <c r="G1486" s="149" t="s">
        <v>135</v>
      </c>
      <c r="H1486" s="168" t="s">
        <v>39</v>
      </c>
      <c r="I1486" s="68"/>
      <c r="J1486" s="168" t="s">
        <v>742</v>
      </c>
      <c r="K1486" s="68"/>
      <c r="L1486" s="160"/>
      <c r="M1486" s="169"/>
    </row>
    <row r="1487" spans="1:13" x14ac:dyDescent="0.55000000000000004">
      <c r="A1487" s="94" t="s">
        <v>741</v>
      </c>
      <c r="B1487" s="168" t="s">
        <v>469</v>
      </c>
      <c r="C1487" s="168" t="s">
        <v>121</v>
      </c>
      <c r="D1487" s="168" t="s">
        <v>3288</v>
      </c>
      <c r="E1487" s="116">
        <v>1</v>
      </c>
      <c r="F1487" s="149" t="s">
        <v>135</v>
      </c>
      <c r="G1487" s="149">
        <v>1</v>
      </c>
      <c r="H1487" s="168" t="s">
        <v>39</v>
      </c>
      <c r="I1487" s="68"/>
      <c r="J1487" s="168" t="s">
        <v>741</v>
      </c>
      <c r="K1487" s="68"/>
      <c r="L1487" s="160">
        <v>290513</v>
      </c>
      <c r="M1487" s="169"/>
    </row>
    <row r="1488" spans="1:13" x14ac:dyDescent="0.55000000000000004">
      <c r="A1488" s="94" t="s">
        <v>741</v>
      </c>
      <c r="B1488" s="168" t="s">
        <v>230</v>
      </c>
      <c r="C1488" s="168" t="s">
        <v>127</v>
      </c>
      <c r="D1488" s="168" t="s">
        <v>2994</v>
      </c>
      <c r="E1488" s="116">
        <v>28</v>
      </c>
      <c r="F1488" s="149" t="s">
        <v>138</v>
      </c>
      <c r="G1488" s="149" t="s">
        <v>135</v>
      </c>
      <c r="H1488" s="168" t="s">
        <v>39</v>
      </c>
      <c r="I1488" s="68"/>
      <c r="J1488" s="168" t="s">
        <v>741</v>
      </c>
      <c r="K1488" s="68"/>
      <c r="L1488" s="160"/>
      <c r="M1488" s="169"/>
    </row>
    <row r="1489" spans="1:13" x14ac:dyDescent="0.55000000000000004">
      <c r="A1489" s="94" t="s">
        <v>741</v>
      </c>
      <c r="B1489" s="168" t="s">
        <v>3383</v>
      </c>
      <c r="C1489" s="168" t="s">
        <v>127</v>
      </c>
      <c r="D1489" s="168" t="s">
        <v>2994</v>
      </c>
      <c r="E1489" s="116">
        <v>5</v>
      </c>
      <c r="F1489" s="149" t="s">
        <v>138</v>
      </c>
      <c r="G1489" s="149" t="s">
        <v>135</v>
      </c>
      <c r="H1489" s="168" t="s">
        <v>39</v>
      </c>
      <c r="I1489" s="68"/>
      <c r="J1489" s="168" t="s">
        <v>741</v>
      </c>
      <c r="K1489" s="68"/>
      <c r="L1489" s="160"/>
      <c r="M1489" s="169"/>
    </row>
    <row r="1490" spans="1:13" x14ac:dyDescent="0.55000000000000004">
      <c r="A1490" s="94" t="s">
        <v>741</v>
      </c>
      <c r="B1490" s="168" t="s">
        <v>230</v>
      </c>
      <c r="C1490" s="168" t="s">
        <v>231</v>
      </c>
      <c r="D1490" s="168" t="s">
        <v>2994</v>
      </c>
      <c r="E1490" s="116">
        <v>28.4</v>
      </c>
      <c r="F1490" s="149" t="s">
        <v>138</v>
      </c>
      <c r="G1490" s="149" t="s">
        <v>135</v>
      </c>
      <c r="H1490" s="168" t="s">
        <v>39</v>
      </c>
      <c r="I1490" s="68"/>
      <c r="J1490" s="168" t="s">
        <v>741</v>
      </c>
      <c r="K1490" s="68"/>
      <c r="L1490" s="160"/>
      <c r="M1490" s="169"/>
    </row>
    <row r="1491" spans="1:13" x14ac:dyDescent="0.55000000000000004">
      <c r="A1491" s="94" t="s">
        <v>741</v>
      </c>
      <c r="B1491" s="168" t="s">
        <v>160</v>
      </c>
      <c r="C1491" s="168" t="s">
        <v>247</v>
      </c>
      <c r="D1491" s="168" t="s">
        <v>3288</v>
      </c>
      <c r="E1491" s="116">
        <v>389.49444487406629</v>
      </c>
      <c r="F1491" s="149" t="s">
        <v>122</v>
      </c>
      <c r="G1491" s="149" t="s">
        <v>135</v>
      </c>
      <c r="H1491" s="168" t="s">
        <v>39</v>
      </c>
      <c r="I1491" s="68"/>
      <c r="J1491" s="168" t="s">
        <v>741</v>
      </c>
      <c r="K1491" s="68"/>
      <c r="L1491" s="160"/>
      <c r="M1491" s="169"/>
    </row>
    <row r="1492" spans="1:13" x14ac:dyDescent="0.55000000000000004">
      <c r="A1492" s="94" t="s">
        <v>740</v>
      </c>
      <c r="B1492" s="168" t="s">
        <v>615</v>
      </c>
      <c r="C1492" s="168" t="s">
        <v>121</v>
      </c>
      <c r="D1492" s="168" t="s">
        <v>3288</v>
      </c>
      <c r="E1492" s="116">
        <v>1</v>
      </c>
      <c r="F1492" s="149" t="s">
        <v>135</v>
      </c>
      <c r="G1492" s="149">
        <v>1</v>
      </c>
      <c r="H1492" s="168" t="s">
        <v>39</v>
      </c>
      <c r="I1492" s="68"/>
      <c r="J1492" s="168" t="s">
        <v>740</v>
      </c>
      <c r="K1492" s="68"/>
      <c r="L1492" s="160">
        <v>281410</v>
      </c>
      <c r="M1492" s="169"/>
    </row>
    <row r="1493" spans="1:13" x14ac:dyDescent="0.55000000000000004">
      <c r="A1493" s="94" t="s">
        <v>740</v>
      </c>
      <c r="B1493" s="168" t="s">
        <v>230</v>
      </c>
      <c r="C1493" s="168" t="s">
        <v>127</v>
      </c>
      <c r="D1493" s="168" t="s">
        <v>2994</v>
      </c>
      <c r="E1493" s="116">
        <v>26.3</v>
      </c>
      <c r="F1493" s="149" t="s">
        <v>138</v>
      </c>
      <c r="G1493" s="149" t="s">
        <v>135</v>
      </c>
      <c r="H1493" s="168" t="s">
        <v>39</v>
      </c>
      <c r="I1493" s="68"/>
      <c r="J1493" s="168" t="s">
        <v>740</v>
      </c>
      <c r="K1493" s="68"/>
      <c r="L1493" s="160"/>
      <c r="M1493" s="169"/>
    </row>
    <row r="1494" spans="1:13" x14ac:dyDescent="0.55000000000000004">
      <c r="A1494" s="94" t="s">
        <v>740</v>
      </c>
      <c r="B1494" s="168" t="s">
        <v>153</v>
      </c>
      <c r="C1494" s="168" t="s">
        <v>127</v>
      </c>
      <c r="D1494" s="168" t="s">
        <v>2994</v>
      </c>
      <c r="E1494" s="116">
        <v>5</v>
      </c>
      <c r="F1494" s="149" t="s">
        <v>138</v>
      </c>
      <c r="G1494" s="149" t="s">
        <v>135</v>
      </c>
      <c r="H1494" s="168" t="s">
        <v>39</v>
      </c>
      <c r="I1494" s="68"/>
      <c r="J1494" s="168" t="s">
        <v>740</v>
      </c>
      <c r="K1494" s="68"/>
      <c r="L1494" s="160"/>
      <c r="M1494" s="169"/>
    </row>
    <row r="1495" spans="1:13" x14ac:dyDescent="0.55000000000000004">
      <c r="A1495" s="94" t="s">
        <v>740</v>
      </c>
      <c r="B1495" s="168" t="s">
        <v>230</v>
      </c>
      <c r="C1495" s="168" t="s">
        <v>231</v>
      </c>
      <c r="D1495" s="168" t="s">
        <v>2994</v>
      </c>
      <c r="E1495" s="116">
        <v>27</v>
      </c>
      <c r="F1495" s="149" t="s">
        <v>138</v>
      </c>
      <c r="G1495" s="149" t="s">
        <v>135</v>
      </c>
      <c r="H1495" s="168" t="s">
        <v>39</v>
      </c>
      <c r="I1495" s="68"/>
      <c r="J1495" s="168" t="s">
        <v>740</v>
      </c>
      <c r="K1495" s="68"/>
      <c r="L1495" s="160"/>
      <c r="M1495" s="169"/>
    </row>
    <row r="1496" spans="1:13" x14ac:dyDescent="0.55000000000000004">
      <c r="A1496" s="94" t="s">
        <v>740</v>
      </c>
      <c r="B1496" s="168" t="s">
        <v>160</v>
      </c>
      <c r="C1496" s="168" t="s">
        <v>247</v>
      </c>
      <c r="D1496" s="168" t="s">
        <v>3288</v>
      </c>
      <c r="E1496" s="116">
        <v>365.84656786385511</v>
      </c>
      <c r="F1496" s="149" t="s">
        <v>122</v>
      </c>
      <c r="G1496" s="149" t="s">
        <v>135</v>
      </c>
      <c r="H1496" s="168" t="s">
        <v>39</v>
      </c>
      <c r="I1496" s="68"/>
      <c r="J1496" s="168" t="s">
        <v>740</v>
      </c>
      <c r="K1496" s="68"/>
      <c r="L1496" s="160"/>
      <c r="M1496" s="169"/>
    </row>
    <row r="1497" spans="1:13" x14ac:dyDescent="0.55000000000000004">
      <c r="A1497" s="60" t="s">
        <v>738</v>
      </c>
      <c r="B1497" s="168" t="s">
        <v>140</v>
      </c>
      <c r="C1497" s="168" t="s">
        <v>121</v>
      </c>
      <c r="D1497" s="168" t="s">
        <v>3288</v>
      </c>
      <c r="E1497" s="116">
        <v>1</v>
      </c>
      <c r="F1497" s="149" t="s">
        <v>135</v>
      </c>
      <c r="G1497" s="149">
        <v>1</v>
      </c>
      <c r="H1497" s="168" t="s">
        <v>39</v>
      </c>
      <c r="I1497" s="68"/>
      <c r="J1497" s="168" t="s">
        <v>739</v>
      </c>
      <c r="K1497" s="68"/>
      <c r="L1497" s="160">
        <v>7206</v>
      </c>
      <c r="M1497" s="169"/>
    </row>
    <row r="1498" spans="1:13" x14ac:dyDescent="0.55000000000000004">
      <c r="A1498" s="60" t="s">
        <v>738</v>
      </c>
      <c r="B1498" s="168" t="s">
        <v>3384</v>
      </c>
      <c r="C1498" s="168" t="s">
        <v>127</v>
      </c>
      <c r="D1498" s="168" t="s">
        <v>2994</v>
      </c>
      <c r="E1498" s="116">
        <v>3.06</v>
      </c>
      <c r="F1498" s="149" t="s">
        <v>138</v>
      </c>
      <c r="G1498" s="149" t="s">
        <v>135</v>
      </c>
      <c r="H1498" s="168" t="s">
        <v>39</v>
      </c>
      <c r="I1498" s="68"/>
      <c r="J1498" s="168" t="s">
        <v>739</v>
      </c>
      <c r="K1498" s="68"/>
      <c r="L1498" s="160"/>
      <c r="M1498" s="169"/>
    </row>
    <row r="1499" spans="1:13" x14ac:dyDescent="0.55000000000000004">
      <c r="A1499" s="60" t="s">
        <v>738</v>
      </c>
      <c r="B1499" s="168" t="s">
        <v>3385</v>
      </c>
      <c r="C1499" s="168" t="s">
        <v>127</v>
      </c>
      <c r="D1499" s="168" t="s">
        <v>2994</v>
      </c>
      <c r="E1499" s="116">
        <v>13.3</v>
      </c>
      <c r="F1499" s="149" t="s">
        <v>138</v>
      </c>
      <c r="G1499" s="149" t="s">
        <v>135</v>
      </c>
      <c r="H1499" s="168" t="s">
        <v>39</v>
      </c>
      <c r="I1499" s="68"/>
      <c r="J1499" s="168" t="s">
        <v>739</v>
      </c>
      <c r="K1499" s="68"/>
      <c r="L1499" s="160"/>
      <c r="M1499" s="169"/>
    </row>
    <row r="1500" spans="1:13" x14ac:dyDescent="0.55000000000000004">
      <c r="A1500" s="60" t="s">
        <v>738</v>
      </c>
      <c r="B1500" s="168" t="s">
        <v>298</v>
      </c>
      <c r="C1500" s="168" t="s">
        <v>127</v>
      </c>
      <c r="D1500" s="168" t="s">
        <v>2994</v>
      </c>
      <c r="E1500" s="116">
        <v>0.89</v>
      </c>
      <c r="F1500" s="149" t="s">
        <v>138</v>
      </c>
      <c r="G1500" s="149" t="s">
        <v>135</v>
      </c>
      <c r="H1500" s="168" t="s">
        <v>39</v>
      </c>
      <c r="I1500" s="68"/>
      <c r="J1500" s="168" t="s">
        <v>739</v>
      </c>
      <c r="K1500" s="68"/>
      <c r="L1500" s="160"/>
      <c r="M1500" s="169"/>
    </row>
    <row r="1501" spans="1:13" x14ac:dyDescent="0.55000000000000004">
      <c r="A1501" s="60" t="s">
        <v>738</v>
      </c>
      <c r="B1501" s="168" t="s">
        <v>3383</v>
      </c>
      <c r="C1501" s="168" t="s">
        <v>127</v>
      </c>
      <c r="D1501" s="168" t="s">
        <v>2994</v>
      </c>
      <c r="E1501" s="116">
        <v>0.6</v>
      </c>
      <c r="F1501" s="149" t="s">
        <v>138</v>
      </c>
      <c r="G1501" s="149" t="s">
        <v>135</v>
      </c>
      <c r="H1501" s="168" t="s">
        <v>39</v>
      </c>
      <c r="I1501" s="68"/>
      <c r="J1501" s="168" t="s">
        <v>739</v>
      </c>
      <c r="K1501" s="68"/>
      <c r="L1501" s="160"/>
      <c r="M1501" s="169"/>
    </row>
    <row r="1502" spans="1:13" x14ac:dyDescent="0.55000000000000004">
      <c r="A1502" s="60" t="s">
        <v>738</v>
      </c>
      <c r="B1502" s="168" t="s">
        <v>171</v>
      </c>
      <c r="C1502" s="168" t="s">
        <v>127</v>
      </c>
      <c r="D1502" s="168" t="s">
        <v>2994</v>
      </c>
      <c r="E1502" s="116">
        <v>0.69</v>
      </c>
      <c r="F1502" s="149" t="s">
        <v>138</v>
      </c>
      <c r="G1502" s="149" t="s">
        <v>135</v>
      </c>
      <c r="H1502" s="168" t="s">
        <v>39</v>
      </c>
      <c r="I1502" s="68"/>
      <c r="J1502" s="168" t="s">
        <v>739</v>
      </c>
      <c r="K1502" s="68"/>
      <c r="L1502" s="160"/>
      <c r="M1502" s="169"/>
    </row>
    <row r="1503" spans="1:13" x14ac:dyDescent="0.55000000000000004">
      <c r="A1503" s="60" t="s">
        <v>738</v>
      </c>
      <c r="B1503" s="168" t="s">
        <v>188</v>
      </c>
      <c r="C1503" s="168" t="s">
        <v>127</v>
      </c>
      <c r="D1503" s="168" t="s">
        <v>2994</v>
      </c>
      <c r="E1503" s="116">
        <v>0.17</v>
      </c>
      <c r="F1503" s="149" t="s">
        <v>138</v>
      </c>
      <c r="G1503" s="149" t="s">
        <v>135</v>
      </c>
      <c r="H1503" s="168" t="s">
        <v>39</v>
      </c>
      <c r="I1503" s="68"/>
      <c r="J1503" s="168" t="s">
        <v>739</v>
      </c>
      <c r="K1503" s="68"/>
      <c r="L1503" s="160"/>
      <c r="M1503" s="169"/>
    </row>
    <row r="1504" spans="1:13" x14ac:dyDescent="0.55000000000000004">
      <c r="A1504" s="60" t="s">
        <v>738</v>
      </c>
      <c r="B1504" s="168" t="s">
        <v>160</v>
      </c>
      <c r="C1504" s="168" t="s">
        <v>247</v>
      </c>
      <c r="D1504" s="168" t="s">
        <v>3288</v>
      </c>
      <c r="E1504" s="116">
        <v>1472.842736869093</v>
      </c>
      <c r="F1504" s="149" t="s">
        <v>122</v>
      </c>
      <c r="G1504" s="149" t="s">
        <v>135</v>
      </c>
      <c r="H1504" s="168" t="s">
        <v>39</v>
      </c>
      <c r="I1504" s="68"/>
      <c r="J1504" s="168" t="s">
        <v>739</v>
      </c>
      <c r="K1504" s="68"/>
      <c r="L1504" s="160"/>
      <c r="M1504" s="169"/>
    </row>
    <row r="1505" spans="1:13" x14ac:dyDescent="0.55000000000000004">
      <c r="A1505" s="60" t="s">
        <v>736</v>
      </c>
      <c r="B1505" s="168" t="s">
        <v>140</v>
      </c>
      <c r="C1505" s="168" t="s">
        <v>121</v>
      </c>
      <c r="D1505" s="168" t="s">
        <v>3288</v>
      </c>
      <c r="E1505" s="116">
        <v>1</v>
      </c>
      <c r="F1505" s="149" t="s">
        <v>135</v>
      </c>
      <c r="G1505" s="149">
        <v>1</v>
      </c>
      <c r="H1505" s="168" t="s">
        <v>39</v>
      </c>
      <c r="I1505" s="68"/>
      <c r="J1505" s="168" t="s">
        <v>737</v>
      </c>
      <c r="K1505" s="68"/>
      <c r="L1505" s="160">
        <v>7206</v>
      </c>
      <c r="M1505" s="169"/>
    </row>
    <row r="1506" spans="1:13" x14ac:dyDescent="0.55000000000000004">
      <c r="A1506" s="60" t="s">
        <v>736</v>
      </c>
      <c r="B1506" s="168" t="s">
        <v>3384</v>
      </c>
      <c r="C1506" s="168" t="s">
        <v>127</v>
      </c>
      <c r="D1506" s="168" t="s">
        <v>2994</v>
      </c>
      <c r="E1506" s="116">
        <v>3.06</v>
      </c>
      <c r="F1506" s="149" t="s">
        <v>138</v>
      </c>
      <c r="G1506" s="149" t="s">
        <v>135</v>
      </c>
      <c r="H1506" s="168" t="s">
        <v>39</v>
      </c>
      <c r="I1506" s="68"/>
      <c r="J1506" s="168" t="s">
        <v>737</v>
      </c>
      <c r="K1506" s="68"/>
      <c r="L1506" s="160"/>
      <c r="M1506" s="169"/>
    </row>
    <row r="1507" spans="1:13" x14ac:dyDescent="0.55000000000000004">
      <c r="A1507" s="60" t="s">
        <v>736</v>
      </c>
      <c r="B1507" s="168" t="s">
        <v>3385</v>
      </c>
      <c r="C1507" s="168" t="s">
        <v>127</v>
      </c>
      <c r="D1507" s="168" t="s">
        <v>2994</v>
      </c>
      <c r="E1507" s="116">
        <v>13.3</v>
      </c>
      <c r="F1507" s="149" t="s">
        <v>138</v>
      </c>
      <c r="G1507" s="149" t="s">
        <v>135</v>
      </c>
      <c r="H1507" s="168" t="s">
        <v>39</v>
      </c>
      <c r="I1507" s="68"/>
      <c r="J1507" s="168" t="s">
        <v>737</v>
      </c>
      <c r="K1507" s="68"/>
      <c r="L1507" s="160"/>
      <c r="M1507" s="169"/>
    </row>
    <row r="1508" spans="1:13" x14ac:dyDescent="0.55000000000000004">
      <c r="A1508" s="60" t="s">
        <v>736</v>
      </c>
      <c r="B1508" s="168" t="s">
        <v>298</v>
      </c>
      <c r="C1508" s="168" t="s">
        <v>127</v>
      </c>
      <c r="D1508" s="168" t="s">
        <v>2994</v>
      </c>
      <c r="E1508" s="116">
        <v>0.89</v>
      </c>
      <c r="F1508" s="149" t="s">
        <v>138</v>
      </c>
      <c r="G1508" s="149" t="s">
        <v>135</v>
      </c>
      <c r="H1508" s="168" t="s">
        <v>39</v>
      </c>
      <c r="I1508" s="68"/>
      <c r="J1508" s="168" t="s">
        <v>737</v>
      </c>
      <c r="K1508" s="68"/>
      <c r="L1508" s="160"/>
      <c r="M1508" s="169"/>
    </row>
    <row r="1509" spans="1:13" x14ac:dyDescent="0.55000000000000004">
      <c r="A1509" s="60" t="s">
        <v>736</v>
      </c>
      <c r="B1509" s="168" t="s">
        <v>3383</v>
      </c>
      <c r="C1509" s="168" t="s">
        <v>127</v>
      </c>
      <c r="D1509" s="168" t="s">
        <v>2994</v>
      </c>
      <c r="E1509" s="116">
        <v>0.94</v>
      </c>
      <c r="F1509" s="149" t="s">
        <v>138</v>
      </c>
      <c r="G1509" s="149" t="s">
        <v>135</v>
      </c>
      <c r="H1509" s="168" t="s">
        <v>39</v>
      </c>
      <c r="I1509" s="68"/>
      <c r="J1509" s="168" t="s">
        <v>737</v>
      </c>
      <c r="K1509" s="68"/>
      <c r="L1509" s="160"/>
      <c r="M1509" s="169"/>
    </row>
    <row r="1510" spans="1:13" x14ac:dyDescent="0.55000000000000004">
      <c r="A1510" s="60" t="s">
        <v>736</v>
      </c>
      <c r="B1510" s="168" t="s">
        <v>171</v>
      </c>
      <c r="C1510" s="168" t="s">
        <v>127</v>
      </c>
      <c r="D1510" s="168" t="s">
        <v>2994</v>
      </c>
      <c r="E1510" s="116">
        <v>0.69</v>
      </c>
      <c r="F1510" s="149" t="s">
        <v>138</v>
      </c>
      <c r="G1510" s="149" t="s">
        <v>135</v>
      </c>
      <c r="H1510" s="168" t="s">
        <v>39</v>
      </c>
      <c r="I1510" s="68"/>
      <c r="J1510" s="168" t="s">
        <v>737</v>
      </c>
      <c r="K1510" s="68"/>
      <c r="L1510" s="160"/>
      <c r="M1510" s="169"/>
    </row>
    <row r="1511" spans="1:13" x14ac:dyDescent="0.55000000000000004">
      <c r="A1511" s="60" t="s">
        <v>736</v>
      </c>
      <c r="B1511" s="168" t="s">
        <v>188</v>
      </c>
      <c r="C1511" s="168" t="s">
        <v>127</v>
      </c>
      <c r="D1511" s="168" t="s">
        <v>2994</v>
      </c>
      <c r="E1511" s="116">
        <v>0.17</v>
      </c>
      <c r="F1511" s="149" t="s">
        <v>138</v>
      </c>
      <c r="G1511" s="149" t="s">
        <v>135</v>
      </c>
      <c r="H1511" s="168" t="s">
        <v>39</v>
      </c>
      <c r="I1511" s="68"/>
      <c r="J1511" s="168" t="s">
        <v>737</v>
      </c>
      <c r="K1511" s="68"/>
      <c r="L1511" s="160"/>
      <c r="M1511" s="169"/>
    </row>
    <row r="1512" spans="1:13" x14ac:dyDescent="0.55000000000000004">
      <c r="A1512" s="60" t="s">
        <v>736</v>
      </c>
      <c r="B1512" s="168" t="s">
        <v>188</v>
      </c>
      <c r="C1512" s="168" t="s">
        <v>156</v>
      </c>
      <c r="D1512" s="168" t="s">
        <v>2994</v>
      </c>
      <c r="E1512" s="116">
        <v>3.1</v>
      </c>
      <c r="F1512" s="149" t="s">
        <v>138</v>
      </c>
      <c r="G1512" s="149" t="s">
        <v>135</v>
      </c>
      <c r="H1512" s="168" t="s">
        <v>39</v>
      </c>
      <c r="I1512" s="68"/>
      <c r="J1512" s="168" t="s">
        <v>737</v>
      </c>
      <c r="K1512" s="68"/>
      <c r="L1512" s="160"/>
      <c r="M1512" s="169"/>
    </row>
    <row r="1513" spans="1:13" x14ac:dyDescent="0.55000000000000004">
      <c r="A1513" s="60" t="s">
        <v>736</v>
      </c>
      <c r="B1513" s="168" t="s">
        <v>160</v>
      </c>
      <c r="C1513" s="168" t="s">
        <v>247</v>
      </c>
      <c r="D1513" s="168" t="s">
        <v>3288</v>
      </c>
      <c r="E1513" s="116">
        <v>1472.842736869093</v>
      </c>
      <c r="F1513" s="149" t="s">
        <v>122</v>
      </c>
      <c r="G1513" s="149" t="s">
        <v>135</v>
      </c>
      <c r="H1513" s="168" t="s">
        <v>39</v>
      </c>
      <c r="I1513" s="68"/>
      <c r="J1513" s="168" t="s">
        <v>737</v>
      </c>
      <c r="K1513" s="68"/>
      <c r="L1513" s="160"/>
      <c r="M1513" s="169"/>
    </row>
    <row r="1514" spans="1:13" x14ac:dyDescent="0.55000000000000004">
      <c r="A1514" s="60" t="s">
        <v>736</v>
      </c>
      <c r="B1514" s="168" t="s">
        <v>160</v>
      </c>
      <c r="C1514" s="168" t="s">
        <v>156</v>
      </c>
      <c r="D1514" s="168" t="s">
        <v>3288</v>
      </c>
      <c r="E1514" s="116">
        <v>1146.848729</v>
      </c>
      <c r="F1514" s="149" t="s">
        <v>122</v>
      </c>
      <c r="G1514" s="149" t="s">
        <v>135</v>
      </c>
      <c r="H1514" s="168" t="s">
        <v>39</v>
      </c>
      <c r="I1514" s="68"/>
      <c r="J1514" s="168" t="s">
        <v>737</v>
      </c>
      <c r="K1514" s="68"/>
      <c r="L1514" s="160"/>
      <c r="M1514" s="169"/>
    </row>
    <row r="1515" spans="1:13" x14ac:dyDescent="0.55000000000000004">
      <c r="A1515" s="54" t="s">
        <v>734</v>
      </c>
      <c r="B1515" s="168" t="s">
        <v>236</v>
      </c>
      <c r="C1515" s="168" t="s">
        <v>121</v>
      </c>
      <c r="D1515" s="168" t="s">
        <v>3288</v>
      </c>
      <c r="E1515" s="116">
        <v>1</v>
      </c>
      <c r="F1515" s="149" t="s">
        <v>135</v>
      </c>
      <c r="G1515" s="149">
        <v>1</v>
      </c>
      <c r="H1515" s="168" t="s">
        <v>39</v>
      </c>
      <c r="I1515" s="68"/>
      <c r="J1515" s="168" t="s">
        <v>734</v>
      </c>
      <c r="K1515" s="68"/>
      <c r="L1515" s="160">
        <v>2523</v>
      </c>
      <c r="M1515" s="169"/>
    </row>
    <row r="1516" spans="1:13" x14ac:dyDescent="0.55000000000000004">
      <c r="A1516" s="54" t="s">
        <v>734</v>
      </c>
      <c r="B1516" s="168" t="s">
        <v>134</v>
      </c>
      <c r="C1516" s="168" t="s">
        <v>125</v>
      </c>
      <c r="D1516" s="168" t="s">
        <v>3288</v>
      </c>
      <c r="E1516" s="116">
        <v>0.7</v>
      </c>
      <c r="F1516" s="149" t="s">
        <v>135</v>
      </c>
      <c r="G1516" s="149">
        <v>1</v>
      </c>
      <c r="H1516" s="168" t="s">
        <v>39</v>
      </c>
      <c r="I1516" s="68"/>
      <c r="J1516" s="168" t="s">
        <v>734</v>
      </c>
      <c r="K1516" s="68"/>
      <c r="L1516" s="160"/>
      <c r="M1516" s="169"/>
    </row>
    <row r="1517" spans="1:13" x14ac:dyDescent="0.55000000000000004">
      <c r="A1517" s="54" t="s">
        <v>734</v>
      </c>
      <c r="B1517" s="168" t="s">
        <v>735</v>
      </c>
      <c r="C1517" s="168" t="s">
        <v>125</v>
      </c>
      <c r="D1517" s="168" t="s">
        <v>3288</v>
      </c>
      <c r="E1517" s="116">
        <v>0.3</v>
      </c>
      <c r="F1517" s="149" t="s">
        <v>135</v>
      </c>
      <c r="G1517" s="149">
        <v>1</v>
      </c>
      <c r="H1517" s="168" t="s">
        <v>39</v>
      </c>
      <c r="I1517" s="68"/>
      <c r="J1517" s="168" t="s">
        <v>734</v>
      </c>
      <c r="K1517" s="68"/>
      <c r="L1517" s="160"/>
      <c r="M1517" s="169"/>
    </row>
    <row r="1518" spans="1:13" x14ac:dyDescent="0.55000000000000004">
      <c r="A1518" s="93" t="s">
        <v>733</v>
      </c>
      <c r="B1518" s="168" t="s">
        <v>268</v>
      </c>
      <c r="C1518" s="168" t="s">
        <v>121</v>
      </c>
      <c r="D1518" s="168" t="s">
        <v>3288</v>
      </c>
      <c r="E1518" s="116">
        <v>1</v>
      </c>
      <c r="F1518" s="149" t="s">
        <v>135</v>
      </c>
      <c r="G1518" s="149">
        <v>1</v>
      </c>
      <c r="H1518" s="168" t="s">
        <v>39</v>
      </c>
      <c r="I1518" s="68"/>
      <c r="J1518" s="168" t="s">
        <v>733</v>
      </c>
      <c r="K1518" s="68"/>
      <c r="L1518" s="160">
        <v>7601</v>
      </c>
      <c r="M1518" s="169"/>
    </row>
    <row r="1519" spans="1:13" x14ac:dyDescent="0.55000000000000004">
      <c r="A1519" s="93" t="s">
        <v>733</v>
      </c>
      <c r="B1519" s="168" t="s">
        <v>261</v>
      </c>
      <c r="C1519" s="168" t="s">
        <v>125</v>
      </c>
      <c r="D1519" s="168" t="s">
        <v>3288</v>
      </c>
      <c r="E1519" s="116">
        <v>1.9</v>
      </c>
      <c r="F1519" s="149" t="s">
        <v>135</v>
      </c>
      <c r="G1519" s="149" t="s">
        <v>135</v>
      </c>
      <c r="H1519" s="168" t="s">
        <v>39</v>
      </c>
      <c r="I1519" s="68"/>
      <c r="J1519" s="168" t="s">
        <v>733</v>
      </c>
      <c r="K1519" s="68"/>
      <c r="L1519" s="160"/>
      <c r="M1519" s="169"/>
    </row>
    <row r="1520" spans="1:13" x14ac:dyDescent="0.55000000000000004">
      <c r="A1520" s="93" t="s">
        <v>733</v>
      </c>
      <c r="B1520" s="168" t="s">
        <v>153</v>
      </c>
      <c r="C1520" s="168" t="s">
        <v>127</v>
      </c>
      <c r="D1520" s="168" t="s">
        <v>2994</v>
      </c>
      <c r="E1520" s="116">
        <v>34.08</v>
      </c>
      <c r="F1520" s="149" t="s">
        <v>138</v>
      </c>
      <c r="G1520" s="149" t="s">
        <v>135</v>
      </c>
      <c r="H1520" s="168" t="s">
        <v>39</v>
      </c>
      <c r="I1520" s="68"/>
      <c r="J1520" s="168" t="s">
        <v>733</v>
      </c>
      <c r="K1520" s="68"/>
      <c r="L1520" s="160"/>
      <c r="M1520" s="169"/>
    </row>
    <row r="1521" spans="1:13" x14ac:dyDescent="0.55000000000000004">
      <c r="A1521" s="93" t="s">
        <v>733</v>
      </c>
      <c r="B1521" s="168" t="s">
        <v>171</v>
      </c>
      <c r="C1521" s="168" t="s">
        <v>127</v>
      </c>
      <c r="D1521" s="168" t="s">
        <v>2994</v>
      </c>
      <c r="E1521" s="116">
        <v>1.96</v>
      </c>
      <c r="F1521" s="149" t="s">
        <v>138</v>
      </c>
      <c r="G1521" s="149" t="s">
        <v>135</v>
      </c>
      <c r="H1521" s="168" t="s">
        <v>39</v>
      </c>
      <c r="I1521" s="68"/>
      <c r="J1521" s="168" t="s">
        <v>733</v>
      </c>
      <c r="K1521" s="68"/>
      <c r="L1521" s="160"/>
      <c r="M1521" s="169"/>
    </row>
    <row r="1522" spans="1:13" x14ac:dyDescent="0.55000000000000004">
      <c r="A1522" s="93" t="s">
        <v>733</v>
      </c>
      <c r="B1522" s="168" t="s">
        <v>160</v>
      </c>
      <c r="C1522" s="168" t="s">
        <v>247</v>
      </c>
      <c r="D1522" s="168" t="s">
        <v>3288</v>
      </c>
      <c r="E1522" s="116">
        <v>109.8984409614804</v>
      </c>
      <c r="F1522" s="149" t="s">
        <v>122</v>
      </c>
      <c r="G1522" s="149" t="s">
        <v>135</v>
      </c>
      <c r="H1522" s="168" t="s">
        <v>39</v>
      </c>
      <c r="I1522" s="68"/>
      <c r="J1522" s="168" t="s">
        <v>733</v>
      </c>
      <c r="K1522" s="68"/>
      <c r="L1522" s="160"/>
      <c r="M1522" s="169"/>
    </row>
    <row r="1523" spans="1:13" x14ac:dyDescent="0.55000000000000004">
      <c r="A1523" s="54" t="s">
        <v>731</v>
      </c>
      <c r="B1523" s="168" t="s">
        <v>732</v>
      </c>
      <c r="C1523" s="168" t="s">
        <v>121</v>
      </c>
      <c r="D1523" s="168" t="s">
        <v>3288</v>
      </c>
      <c r="E1523" s="116">
        <v>1</v>
      </c>
      <c r="F1523" s="149" t="s">
        <v>135</v>
      </c>
      <c r="G1523" s="149">
        <v>1</v>
      </c>
      <c r="H1523" s="168" t="s">
        <v>39</v>
      </c>
      <c r="I1523" s="68"/>
      <c r="J1523" s="168" t="s">
        <v>731</v>
      </c>
      <c r="K1523" s="68"/>
      <c r="L1523" s="160">
        <v>6901</v>
      </c>
      <c r="M1523" s="169"/>
    </row>
    <row r="1524" spans="1:13" x14ac:dyDescent="0.55000000000000004">
      <c r="A1524" s="54" t="s">
        <v>731</v>
      </c>
      <c r="B1524" s="168" t="s">
        <v>153</v>
      </c>
      <c r="C1524" s="168" t="s">
        <v>127</v>
      </c>
      <c r="D1524" s="168" t="s">
        <v>2994</v>
      </c>
      <c r="E1524" s="116">
        <v>0.32</v>
      </c>
      <c r="F1524" s="149" t="s">
        <v>138</v>
      </c>
      <c r="G1524" s="149" t="s">
        <v>135</v>
      </c>
      <c r="H1524" s="168" t="s">
        <v>39</v>
      </c>
      <c r="I1524" s="68"/>
      <c r="J1524" s="168" t="s">
        <v>731</v>
      </c>
      <c r="K1524" s="68"/>
      <c r="L1524" s="160"/>
      <c r="M1524" s="169"/>
    </row>
    <row r="1525" spans="1:13" x14ac:dyDescent="0.55000000000000004">
      <c r="A1525" s="54" t="s">
        <v>731</v>
      </c>
      <c r="B1525" s="168" t="s">
        <v>171</v>
      </c>
      <c r="C1525" s="168" t="s">
        <v>127</v>
      </c>
      <c r="D1525" s="168" t="s">
        <v>2994</v>
      </c>
      <c r="E1525" s="116">
        <v>2.2999999999999998</v>
      </c>
      <c r="F1525" s="149" t="s">
        <v>138</v>
      </c>
      <c r="G1525" s="149" t="s">
        <v>135</v>
      </c>
      <c r="H1525" s="168" t="s">
        <v>39</v>
      </c>
      <c r="I1525" s="68"/>
      <c r="J1525" s="168" t="s">
        <v>731</v>
      </c>
      <c r="K1525" s="68"/>
      <c r="L1525" s="160"/>
      <c r="M1525" s="169"/>
    </row>
    <row r="1526" spans="1:13" x14ac:dyDescent="0.55000000000000004">
      <c r="A1526" s="54" t="s">
        <v>731</v>
      </c>
      <c r="B1526" s="168" t="s">
        <v>160</v>
      </c>
      <c r="C1526" s="168" t="s">
        <v>247</v>
      </c>
      <c r="D1526" s="168" t="s">
        <v>3288</v>
      </c>
      <c r="E1526" s="116">
        <v>128.96245623030859</v>
      </c>
      <c r="F1526" s="149" t="s">
        <v>122</v>
      </c>
      <c r="G1526" s="149" t="s">
        <v>135</v>
      </c>
      <c r="H1526" s="168" t="s">
        <v>39</v>
      </c>
      <c r="I1526" s="68"/>
      <c r="J1526" s="168" t="s">
        <v>731</v>
      </c>
      <c r="K1526" s="68"/>
      <c r="L1526" s="160"/>
      <c r="M1526" s="169"/>
    </row>
    <row r="1527" spans="1:13" x14ac:dyDescent="0.55000000000000004">
      <c r="A1527" s="94" t="s">
        <v>730</v>
      </c>
      <c r="B1527" s="168" t="s">
        <v>469</v>
      </c>
      <c r="C1527" s="168" t="s">
        <v>121</v>
      </c>
      <c r="D1527" s="168" t="s">
        <v>3288</v>
      </c>
      <c r="E1527" s="116">
        <v>1</v>
      </c>
      <c r="F1527" s="149" t="s">
        <v>135</v>
      </c>
      <c r="G1527" s="149">
        <v>1</v>
      </c>
      <c r="H1527" s="168" t="s">
        <v>39</v>
      </c>
      <c r="I1527" s="68"/>
      <c r="J1527" s="168" t="s">
        <v>730</v>
      </c>
      <c r="K1527" s="68"/>
      <c r="L1527" s="160">
        <v>290513</v>
      </c>
      <c r="M1527" s="169"/>
    </row>
    <row r="1528" spans="1:13" x14ac:dyDescent="0.55000000000000004">
      <c r="A1528" s="94" t="s">
        <v>730</v>
      </c>
      <c r="B1528" s="168" t="s">
        <v>262</v>
      </c>
      <c r="C1528" s="168" t="s">
        <v>127</v>
      </c>
      <c r="D1528" s="168" t="s">
        <v>2994</v>
      </c>
      <c r="E1528" s="116">
        <v>26.9</v>
      </c>
      <c r="F1528" s="149" t="s">
        <v>138</v>
      </c>
      <c r="G1528" s="149" t="s">
        <v>135</v>
      </c>
      <c r="H1528" s="168" t="s">
        <v>39</v>
      </c>
      <c r="I1528" s="68"/>
      <c r="J1528" s="168" t="s">
        <v>730</v>
      </c>
      <c r="K1528" s="68"/>
      <c r="L1528" s="160"/>
      <c r="M1528" s="169"/>
    </row>
    <row r="1529" spans="1:13" x14ac:dyDescent="0.55000000000000004">
      <c r="A1529" s="94" t="s">
        <v>730</v>
      </c>
      <c r="B1529" s="168" t="s">
        <v>3383</v>
      </c>
      <c r="C1529" s="168" t="s">
        <v>127</v>
      </c>
      <c r="D1529" s="168" t="s">
        <v>2994</v>
      </c>
      <c r="E1529" s="116">
        <v>3.7</v>
      </c>
      <c r="F1529" s="149" t="s">
        <v>138</v>
      </c>
      <c r="G1529" s="149" t="s">
        <v>135</v>
      </c>
      <c r="H1529" s="168" t="s">
        <v>39</v>
      </c>
      <c r="I1529" s="68"/>
      <c r="J1529" s="168" t="s">
        <v>730</v>
      </c>
      <c r="K1529" s="68"/>
      <c r="L1529" s="160"/>
      <c r="M1529" s="169"/>
    </row>
    <row r="1530" spans="1:13" x14ac:dyDescent="0.55000000000000004">
      <c r="A1530" s="94" t="s">
        <v>730</v>
      </c>
      <c r="B1530" s="168" t="s">
        <v>262</v>
      </c>
      <c r="C1530" s="168" t="s">
        <v>231</v>
      </c>
      <c r="D1530" s="168" t="s">
        <v>2994</v>
      </c>
      <c r="E1530" s="116">
        <v>19.5</v>
      </c>
      <c r="F1530" s="149" t="s">
        <v>138</v>
      </c>
      <c r="G1530" s="149" t="s">
        <v>135</v>
      </c>
      <c r="H1530" s="168" t="s">
        <v>39</v>
      </c>
      <c r="I1530" s="68"/>
      <c r="J1530" s="168" t="s">
        <v>730</v>
      </c>
      <c r="K1530" s="68"/>
      <c r="L1530" s="160"/>
      <c r="M1530" s="169"/>
    </row>
    <row r="1531" spans="1:13" x14ac:dyDescent="0.55000000000000004">
      <c r="A1531" s="94" t="s">
        <v>730</v>
      </c>
      <c r="B1531" s="168" t="s">
        <v>188</v>
      </c>
      <c r="C1531" s="168" t="s">
        <v>156</v>
      </c>
      <c r="D1531" s="168" t="s">
        <v>2994</v>
      </c>
      <c r="E1531" s="116">
        <v>5.5</v>
      </c>
      <c r="F1531" s="149" t="s">
        <v>138</v>
      </c>
      <c r="G1531" s="149" t="s">
        <v>135</v>
      </c>
      <c r="H1531" s="168" t="s">
        <v>39</v>
      </c>
      <c r="I1531" s="68"/>
      <c r="J1531" s="168" t="s">
        <v>730</v>
      </c>
      <c r="K1531" s="68"/>
      <c r="L1531" s="160"/>
      <c r="M1531" s="169"/>
    </row>
    <row r="1532" spans="1:13" x14ac:dyDescent="0.55000000000000004">
      <c r="A1532" s="94" t="s">
        <v>730</v>
      </c>
      <c r="B1532" s="168" t="s">
        <v>160</v>
      </c>
      <c r="C1532" s="168" t="s">
        <v>247</v>
      </c>
      <c r="D1532" s="168" t="s">
        <v>3288</v>
      </c>
      <c r="E1532" s="116">
        <v>2582.8226978228472</v>
      </c>
      <c r="F1532" s="149" t="s">
        <v>122</v>
      </c>
      <c r="G1532" s="149" t="s">
        <v>135</v>
      </c>
      <c r="H1532" s="168" t="s">
        <v>39</v>
      </c>
      <c r="I1532" s="68"/>
      <c r="J1532" s="168" t="s">
        <v>730</v>
      </c>
      <c r="K1532" s="68"/>
      <c r="L1532" s="160"/>
      <c r="M1532" s="169"/>
    </row>
    <row r="1533" spans="1:13" x14ac:dyDescent="0.55000000000000004">
      <c r="A1533" s="94" t="s">
        <v>729</v>
      </c>
      <c r="B1533" s="168" t="s">
        <v>615</v>
      </c>
      <c r="C1533" s="168" t="s">
        <v>121</v>
      </c>
      <c r="D1533" s="168" t="s">
        <v>3288</v>
      </c>
      <c r="E1533" s="116">
        <v>1</v>
      </c>
      <c r="F1533" s="149" t="s">
        <v>135</v>
      </c>
      <c r="G1533" s="149">
        <v>1</v>
      </c>
      <c r="H1533" s="168" t="s">
        <v>39</v>
      </c>
      <c r="I1533" s="168"/>
      <c r="J1533" s="168" t="s">
        <v>729</v>
      </c>
      <c r="K1533" s="168"/>
      <c r="L1533" s="160">
        <v>281410</v>
      </c>
      <c r="M1533" s="169"/>
    </row>
    <row r="1534" spans="1:13" x14ac:dyDescent="0.55000000000000004">
      <c r="A1534" s="94" t="s">
        <v>729</v>
      </c>
      <c r="B1534" s="168" t="s">
        <v>262</v>
      </c>
      <c r="C1534" s="168" t="s">
        <v>127</v>
      </c>
      <c r="D1534" s="168" t="s">
        <v>2994</v>
      </c>
      <c r="E1534" s="116">
        <v>23.6</v>
      </c>
      <c r="F1534" s="149" t="s">
        <v>138</v>
      </c>
      <c r="G1534" s="149" t="s">
        <v>135</v>
      </c>
      <c r="H1534" s="168" t="s">
        <v>39</v>
      </c>
      <c r="I1534" s="168"/>
      <c r="J1534" s="168" t="s">
        <v>729</v>
      </c>
      <c r="K1534" s="168"/>
      <c r="L1534" s="160"/>
      <c r="M1534" s="169"/>
    </row>
    <row r="1535" spans="1:13" x14ac:dyDescent="0.55000000000000004">
      <c r="A1535" s="94" t="s">
        <v>729</v>
      </c>
      <c r="B1535" s="168" t="s">
        <v>153</v>
      </c>
      <c r="C1535" s="168" t="s">
        <v>127</v>
      </c>
      <c r="D1535" s="168" t="s">
        <v>2994</v>
      </c>
      <c r="E1535" s="116">
        <v>3.7</v>
      </c>
      <c r="F1535" s="149" t="s">
        <v>138</v>
      </c>
      <c r="G1535" s="149" t="s">
        <v>135</v>
      </c>
      <c r="H1535" s="168" t="s">
        <v>39</v>
      </c>
      <c r="I1535" s="168"/>
      <c r="J1535" s="168" t="s">
        <v>729</v>
      </c>
      <c r="K1535" s="168"/>
      <c r="L1535" s="160"/>
      <c r="M1535" s="169"/>
    </row>
    <row r="1536" spans="1:13" x14ac:dyDescent="0.55000000000000004">
      <c r="A1536" s="94" t="s">
        <v>729</v>
      </c>
      <c r="B1536" s="168" t="s">
        <v>262</v>
      </c>
      <c r="C1536" s="168" t="s">
        <v>231</v>
      </c>
      <c r="D1536" s="168" t="s">
        <v>2994</v>
      </c>
      <c r="E1536" s="116">
        <v>19.5</v>
      </c>
      <c r="F1536" s="149" t="s">
        <v>138</v>
      </c>
      <c r="G1536" s="149" t="s">
        <v>135</v>
      </c>
      <c r="H1536" s="168" t="s">
        <v>39</v>
      </c>
      <c r="I1536" s="68"/>
      <c r="J1536" s="168" t="s">
        <v>729</v>
      </c>
      <c r="K1536" s="68"/>
      <c r="L1536" s="160"/>
      <c r="M1536" s="169"/>
    </row>
    <row r="1537" spans="1:13" x14ac:dyDescent="0.55000000000000004">
      <c r="A1537" s="94" t="s">
        <v>729</v>
      </c>
      <c r="B1537" s="168" t="s">
        <v>188</v>
      </c>
      <c r="C1537" s="168" t="s">
        <v>156</v>
      </c>
      <c r="D1537" s="168" t="s">
        <v>2994</v>
      </c>
      <c r="E1537" s="116">
        <v>1.5</v>
      </c>
      <c r="F1537" s="149" t="s">
        <v>138</v>
      </c>
      <c r="G1537" s="149" t="s">
        <v>135</v>
      </c>
      <c r="H1537" s="168" t="s">
        <v>39</v>
      </c>
      <c r="I1537" s="68"/>
      <c r="J1537" s="168" t="s">
        <v>729</v>
      </c>
      <c r="K1537" s="68"/>
      <c r="L1537" s="160"/>
      <c r="M1537" s="169"/>
    </row>
    <row r="1538" spans="1:13" x14ac:dyDescent="0.55000000000000004">
      <c r="A1538" s="94" t="s">
        <v>729</v>
      </c>
      <c r="B1538" s="168" t="s">
        <v>160</v>
      </c>
      <c r="C1538" s="168" t="s">
        <v>247</v>
      </c>
      <c r="D1538" s="168" t="s">
        <v>3288</v>
      </c>
      <c r="E1538" s="116">
        <v>2265.9708426995985</v>
      </c>
      <c r="F1538" s="149" t="s">
        <v>122</v>
      </c>
      <c r="G1538" s="149" t="s">
        <v>135</v>
      </c>
      <c r="H1538" s="168" t="s">
        <v>39</v>
      </c>
      <c r="I1538" s="68"/>
      <c r="J1538" s="168" t="s">
        <v>729</v>
      </c>
      <c r="K1538" s="68"/>
      <c r="L1538" s="160"/>
      <c r="M1538" s="169"/>
    </row>
    <row r="1539" spans="1:13" x14ac:dyDescent="0.55000000000000004">
      <c r="A1539" s="94" t="s">
        <v>728</v>
      </c>
      <c r="B1539" s="168" t="s">
        <v>469</v>
      </c>
      <c r="C1539" s="168" t="s">
        <v>121</v>
      </c>
      <c r="D1539" s="168" t="s">
        <v>3288</v>
      </c>
      <c r="E1539" s="116">
        <v>1</v>
      </c>
      <c r="F1539" s="149" t="s">
        <v>135</v>
      </c>
      <c r="G1539" s="149">
        <v>1</v>
      </c>
      <c r="H1539" s="168" t="s">
        <v>39</v>
      </c>
      <c r="I1539" s="168"/>
      <c r="J1539" s="168" t="s">
        <v>728</v>
      </c>
      <c r="K1539" s="168"/>
      <c r="L1539" s="160">
        <v>290513</v>
      </c>
      <c r="M1539" s="169"/>
    </row>
    <row r="1540" spans="1:13" x14ac:dyDescent="0.55000000000000004">
      <c r="A1540" s="94" t="s">
        <v>728</v>
      </c>
      <c r="B1540" s="168" t="s">
        <v>298</v>
      </c>
      <c r="C1540" s="168" t="s">
        <v>127</v>
      </c>
      <c r="D1540" s="168" t="s">
        <v>2994</v>
      </c>
      <c r="E1540" s="116">
        <v>26.9</v>
      </c>
      <c r="F1540" s="149" t="s">
        <v>138</v>
      </c>
      <c r="G1540" s="149" t="s">
        <v>135</v>
      </c>
      <c r="H1540" s="168" t="s">
        <v>39</v>
      </c>
      <c r="I1540" s="168"/>
      <c r="J1540" s="168" t="s">
        <v>728</v>
      </c>
      <c r="K1540" s="168"/>
      <c r="L1540" s="160"/>
      <c r="M1540" s="169"/>
    </row>
    <row r="1541" spans="1:13" x14ac:dyDescent="0.55000000000000004">
      <c r="A1541" s="94" t="s">
        <v>728</v>
      </c>
      <c r="B1541" s="168" t="s">
        <v>3383</v>
      </c>
      <c r="C1541" s="168" t="s">
        <v>127</v>
      </c>
      <c r="D1541" s="168" t="s">
        <v>2994</v>
      </c>
      <c r="E1541" s="116">
        <v>3.7</v>
      </c>
      <c r="F1541" s="149" t="s">
        <v>138</v>
      </c>
      <c r="G1541" s="149" t="s">
        <v>135</v>
      </c>
      <c r="H1541" s="168" t="s">
        <v>39</v>
      </c>
      <c r="I1541" s="168"/>
      <c r="J1541" s="168" t="s">
        <v>728</v>
      </c>
      <c r="K1541" s="168"/>
      <c r="L1541" s="160"/>
      <c r="M1541" s="169"/>
    </row>
    <row r="1542" spans="1:13" x14ac:dyDescent="0.55000000000000004">
      <c r="A1542" s="94" t="s">
        <v>728</v>
      </c>
      <c r="B1542" s="168" t="s">
        <v>171</v>
      </c>
      <c r="C1542" s="168" t="s">
        <v>231</v>
      </c>
      <c r="D1542" s="168" t="s">
        <v>2994</v>
      </c>
      <c r="E1542" s="116">
        <v>21.9</v>
      </c>
      <c r="F1542" s="149" t="s">
        <v>138</v>
      </c>
      <c r="G1542" s="149" t="s">
        <v>135</v>
      </c>
      <c r="H1542" s="168" t="s">
        <v>39</v>
      </c>
      <c r="I1542" s="168"/>
      <c r="J1542" s="168" t="s">
        <v>728</v>
      </c>
      <c r="K1542" s="168"/>
      <c r="L1542" s="160"/>
      <c r="M1542" s="169"/>
    </row>
    <row r="1543" spans="1:13" x14ac:dyDescent="0.55000000000000004">
      <c r="A1543" s="94" t="s">
        <v>728</v>
      </c>
      <c r="B1543" s="168" t="s">
        <v>188</v>
      </c>
      <c r="C1543" s="168" t="s">
        <v>156</v>
      </c>
      <c r="D1543" s="168" t="s">
        <v>2994</v>
      </c>
      <c r="E1543" s="116">
        <v>5.5</v>
      </c>
      <c r="F1543" s="149" t="s">
        <v>138</v>
      </c>
      <c r="G1543" s="149" t="s">
        <v>135</v>
      </c>
      <c r="H1543" s="168" t="s">
        <v>39</v>
      </c>
      <c r="I1543" s="168"/>
      <c r="J1543" s="168" t="s">
        <v>728</v>
      </c>
      <c r="K1543" s="168"/>
      <c r="L1543" s="160"/>
      <c r="M1543" s="169"/>
    </row>
    <row r="1544" spans="1:13" x14ac:dyDescent="0.55000000000000004">
      <c r="A1544" s="94" t="s">
        <v>728</v>
      </c>
      <c r="B1544" s="168" t="s">
        <v>160</v>
      </c>
      <c r="C1544" s="168" t="s">
        <v>247</v>
      </c>
      <c r="D1544" s="168" t="s">
        <v>3288</v>
      </c>
      <c r="E1544" s="116">
        <v>1194.3599999999999</v>
      </c>
      <c r="F1544" s="149" t="s">
        <v>122</v>
      </c>
      <c r="G1544" s="149" t="s">
        <v>135</v>
      </c>
      <c r="H1544" s="168" t="s">
        <v>39</v>
      </c>
      <c r="I1544" s="168"/>
      <c r="J1544" s="168" t="s">
        <v>728</v>
      </c>
      <c r="K1544" s="168"/>
      <c r="L1544" s="160"/>
      <c r="M1544" s="169"/>
    </row>
    <row r="1545" spans="1:13" x14ac:dyDescent="0.55000000000000004">
      <c r="A1545" s="93" t="s">
        <v>725</v>
      </c>
      <c r="B1545" s="168" t="s">
        <v>726</v>
      </c>
      <c r="C1545" s="168" t="s">
        <v>121</v>
      </c>
      <c r="D1545" s="168" t="s">
        <v>3288</v>
      </c>
      <c r="E1545" s="116">
        <v>1</v>
      </c>
      <c r="F1545" s="149" t="s">
        <v>135</v>
      </c>
      <c r="G1545" s="149">
        <v>1</v>
      </c>
      <c r="H1545" s="168" t="s">
        <v>39</v>
      </c>
      <c r="I1545" s="168"/>
      <c r="J1545" s="168" t="s">
        <v>727</v>
      </c>
      <c r="K1545" s="168"/>
      <c r="L1545" s="160">
        <v>7402</v>
      </c>
      <c r="M1545" s="169"/>
    </row>
    <row r="1546" spans="1:13" x14ac:dyDescent="0.55000000000000004">
      <c r="A1546" s="93" t="s">
        <v>725</v>
      </c>
      <c r="B1546" s="168" t="s">
        <v>262</v>
      </c>
      <c r="C1546" s="168" t="s">
        <v>127</v>
      </c>
      <c r="D1546" s="168" t="s">
        <v>2994</v>
      </c>
      <c r="E1546" s="116">
        <v>0.26</v>
      </c>
      <c r="F1546" s="149" t="s">
        <v>138</v>
      </c>
      <c r="G1546" s="149" t="s">
        <v>135</v>
      </c>
      <c r="H1546" s="168" t="s">
        <v>39</v>
      </c>
      <c r="I1546" s="168"/>
      <c r="J1546" s="168" t="s">
        <v>727</v>
      </c>
      <c r="K1546" s="168"/>
      <c r="L1546" s="160"/>
      <c r="M1546" s="169"/>
    </row>
    <row r="1547" spans="1:13" x14ac:dyDescent="0.55000000000000004">
      <c r="A1547" s="93" t="s">
        <v>725</v>
      </c>
      <c r="B1547" s="168" t="s">
        <v>153</v>
      </c>
      <c r="C1547" s="168" t="s">
        <v>127</v>
      </c>
      <c r="D1547" s="168" t="s">
        <v>2994</v>
      </c>
      <c r="E1547" s="116">
        <v>11.01</v>
      </c>
      <c r="F1547" s="149" t="s">
        <v>138</v>
      </c>
      <c r="G1547" s="149" t="s">
        <v>135</v>
      </c>
      <c r="H1547" s="168" t="s">
        <v>39</v>
      </c>
      <c r="I1547" s="168"/>
      <c r="J1547" s="168" t="s">
        <v>727</v>
      </c>
      <c r="K1547" s="168"/>
      <c r="L1547" s="160"/>
      <c r="M1547" s="169"/>
    </row>
    <row r="1548" spans="1:13" x14ac:dyDescent="0.55000000000000004">
      <c r="A1548" s="93" t="s">
        <v>725</v>
      </c>
      <c r="B1548" s="168" t="s">
        <v>445</v>
      </c>
      <c r="C1548" s="168" t="s">
        <v>127</v>
      </c>
      <c r="D1548" s="168" t="s">
        <v>2994</v>
      </c>
      <c r="E1548" s="116">
        <v>0.45</v>
      </c>
      <c r="F1548" s="149" t="s">
        <v>138</v>
      </c>
      <c r="G1548" s="149" t="s">
        <v>135</v>
      </c>
      <c r="H1548" s="168" t="s">
        <v>39</v>
      </c>
      <c r="I1548" s="168"/>
      <c r="J1548" s="168" t="s">
        <v>727</v>
      </c>
      <c r="K1548" s="168"/>
      <c r="L1548" s="160"/>
      <c r="M1548" s="169"/>
    </row>
    <row r="1549" spans="1:13" x14ac:dyDescent="0.55000000000000004">
      <c r="A1549" s="93" t="s">
        <v>725</v>
      </c>
      <c r="B1549" s="168" t="s">
        <v>3383</v>
      </c>
      <c r="C1549" s="168" t="s">
        <v>127</v>
      </c>
      <c r="D1549" s="168" t="s">
        <v>2994</v>
      </c>
      <c r="E1549" s="116">
        <v>11.26</v>
      </c>
      <c r="F1549" s="149" t="s">
        <v>138</v>
      </c>
      <c r="G1549" s="149" t="s">
        <v>135</v>
      </c>
      <c r="H1549" s="168" t="s">
        <v>39</v>
      </c>
      <c r="I1549" s="168"/>
      <c r="J1549" s="168" t="s">
        <v>727</v>
      </c>
      <c r="K1549" s="168"/>
      <c r="L1549" s="160"/>
      <c r="M1549" s="169"/>
    </row>
    <row r="1550" spans="1:13" x14ac:dyDescent="0.55000000000000004">
      <c r="A1550" s="93" t="s">
        <v>725</v>
      </c>
      <c r="B1550" s="168" t="s">
        <v>171</v>
      </c>
      <c r="C1550" s="168" t="s">
        <v>127</v>
      </c>
      <c r="D1550" s="168" t="s">
        <v>2994</v>
      </c>
      <c r="E1550" s="116">
        <v>3.33</v>
      </c>
      <c r="F1550" s="149" t="s">
        <v>138</v>
      </c>
      <c r="G1550" s="149" t="s">
        <v>135</v>
      </c>
      <c r="H1550" s="168" t="s">
        <v>39</v>
      </c>
      <c r="I1550" s="168"/>
      <c r="J1550" s="168" t="s">
        <v>727</v>
      </c>
      <c r="K1550" s="168"/>
      <c r="L1550" s="160"/>
      <c r="M1550" s="169"/>
    </row>
    <row r="1551" spans="1:13" x14ac:dyDescent="0.55000000000000004">
      <c r="A1551" s="94" t="s">
        <v>724</v>
      </c>
      <c r="B1551" s="168" t="s">
        <v>632</v>
      </c>
      <c r="C1551" s="168" t="s">
        <v>121</v>
      </c>
      <c r="D1551" s="168" t="s">
        <v>3288</v>
      </c>
      <c r="E1551" s="116">
        <v>1</v>
      </c>
      <c r="F1551" s="149" t="s">
        <v>135</v>
      </c>
      <c r="G1551" s="149">
        <v>1</v>
      </c>
      <c r="H1551" s="168" t="s">
        <v>39</v>
      </c>
      <c r="I1551" s="168"/>
      <c r="J1551" s="168" t="s">
        <v>724</v>
      </c>
      <c r="K1551" s="168"/>
      <c r="L1551" s="160">
        <v>28011</v>
      </c>
      <c r="M1551" s="169"/>
    </row>
    <row r="1552" spans="1:13" x14ac:dyDescent="0.55000000000000004">
      <c r="A1552" s="94" t="s">
        <v>724</v>
      </c>
      <c r="B1552" s="168" t="s">
        <v>153</v>
      </c>
      <c r="C1552" s="168" t="s">
        <v>127</v>
      </c>
      <c r="D1552" s="168" t="s">
        <v>2994</v>
      </c>
      <c r="E1552" s="116">
        <v>10.26</v>
      </c>
      <c r="F1552" s="149" t="s">
        <v>138</v>
      </c>
      <c r="G1552" s="149" t="s">
        <v>135</v>
      </c>
      <c r="H1552" s="168" t="s">
        <v>39</v>
      </c>
      <c r="I1552" s="168"/>
      <c r="J1552" s="168" t="s">
        <v>724</v>
      </c>
      <c r="K1552" s="168"/>
      <c r="L1552" s="160"/>
      <c r="M1552" s="169"/>
    </row>
    <row r="1553" spans="1:13" x14ac:dyDescent="0.55000000000000004">
      <c r="A1553" s="94" t="s">
        <v>724</v>
      </c>
      <c r="B1553" s="168" t="s">
        <v>3383</v>
      </c>
      <c r="C1553" s="168" t="s">
        <v>127</v>
      </c>
      <c r="D1553" s="168" t="s">
        <v>2994</v>
      </c>
      <c r="E1553" s="116">
        <v>0.93</v>
      </c>
      <c r="F1553" s="149" t="s">
        <v>138</v>
      </c>
      <c r="G1553" s="149" t="s">
        <v>135</v>
      </c>
      <c r="H1553" s="168" t="s">
        <v>39</v>
      </c>
      <c r="I1553" s="168"/>
      <c r="J1553" s="168" t="s">
        <v>724</v>
      </c>
      <c r="K1553" s="168"/>
      <c r="L1553" s="160"/>
      <c r="M1553" s="169"/>
    </row>
    <row r="1554" spans="1:13" x14ac:dyDescent="0.55000000000000004">
      <c r="A1554" s="94" t="s">
        <v>724</v>
      </c>
      <c r="B1554" s="168" t="s">
        <v>188</v>
      </c>
      <c r="C1554" s="168" t="s">
        <v>127</v>
      </c>
      <c r="D1554" s="168" t="s">
        <v>2994</v>
      </c>
      <c r="E1554" s="116">
        <v>1.44</v>
      </c>
      <c r="F1554" s="149" t="s">
        <v>138</v>
      </c>
      <c r="G1554" s="149" t="s">
        <v>135</v>
      </c>
      <c r="H1554" s="168" t="s">
        <v>39</v>
      </c>
      <c r="I1554" s="168"/>
      <c r="J1554" s="168" t="s">
        <v>724</v>
      </c>
      <c r="K1554" s="168"/>
      <c r="L1554" s="160"/>
      <c r="M1554" s="169"/>
    </row>
    <row r="1555" spans="1:13" x14ac:dyDescent="0.55000000000000004">
      <c r="A1555" s="60" t="s">
        <v>722</v>
      </c>
      <c r="B1555" s="168" t="s">
        <v>140</v>
      </c>
      <c r="C1555" s="168" t="s">
        <v>121</v>
      </c>
      <c r="D1555" s="168" t="s">
        <v>3288</v>
      </c>
      <c r="E1555" s="116">
        <v>1</v>
      </c>
      <c r="F1555" s="149" t="s">
        <v>135</v>
      </c>
      <c r="G1555" s="149">
        <v>1</v>
      </c>
      <c r="H1555" s="168" t="s">
        <v>39</v>
      </c>
      <c r="I1555" s="168"/>
      <c r="J1555" s="168" t="s">
        <v>723</v>
      </c>
      <c r="K1555" s="168"/>
      <c r="L1555" s="160">
        <v>7203</v>
      </c>
      <c r="M1555" s="169"/>
    </row>
    <row r="1556" spans="1:13" x14ac:dyDescent="0.55000000000000004">
      <c r="A1556" s="60" t="s">
        <v>722</v>
      </c>
      <c r="B1556" s="168" t="s">
        <v>153</v>
      </c>
      <c r="C1556" s="168" t="s">
        <v>127</v>
      </c>
      <c r="D1556" s="168" t="s">
        <v>2994</v>
      </c>
      <c r="E1556" s="116">
        <v>1.21</v>
      </c>
      <c r="F1556" s="149" t="s">
        <v>138</v>
      </c>
      <c r="G1556" s="149" t="s">
        <v>135</v>
      </c>
      <c r="H1556" s="168" t="s">
        <v>39</v>
      </c>
      <c r="I1556" s="168"/>
      <c r="J1556" s="168" t="s">
        <v>723</v>
      </c>
      <c r="K1556" s="168"/>
      <c r="L1556" s="160"/>
      <c r="M1556" s="169"/>
    </row>
    <row r="1557" spans="1:13" x14ac:dyDescent="0.55000000000000004">
      <c r="A1557" s="60" t="s">
        <v>722</v>
      </c>
      <c r="B1557" s="168" t="s">
        <v>171</v>
      </c>
      <c r="C1557" s="168" t="s">
        <v>127</v>
      </c>
      <c r="D1557" s="168" t="s">
        <v>2994</v>
      </c>
      <c r="E1557" s="116">
        <v>21.19</v>
      </c>
      <c r="F1557" s="149" t="s">
        <v>138</v>
      </c>
      <c r="G1557" s="149" t="s">
        <v>135</v>
      </c>
      <c r="H1557" s="168" t="s">
        <v>39</v>
      </c>
      <c r="I1557" s="168"/>
      <c r="J1557" s="168" t="s">
        <v>723</v>
      </c>
      <c r="K1557" s="168"/>
      <c r="L1557" s="160"/>
      <c r="M1557" s="169"/>
    </row>
    <row r="1558" spans="1:13" x14ac:dyDescent="0.55000000000000004">
      <c r="A1558" s="60" t="s">
        <v>722</v>
      </c>
      <c r="B1558" s="168" t="s">
        <v>188</v>
      </c>
      <c r="C1558" s="168" t="s">
        <v>156</v>
      </c>
      <c r="D1558" s="168" t="s">
        <v>2994</v>
      </c>
      <c r="E1558" s="116">
        <v>0.2</v>
      </c>
      <c r="F1558" s="149" t="s">
        <v>138</v>
      </c>
      <c r="G1558" s="149" t="s">
        <v>135</v>
      </c>
      <c r="H1558" s="168" t="s">
        <v>39</v>
      </c>
      <c r="I1558" s="168"/>
      <c r="J1558" s="168" t="s">
        <v>723</v>
      </c>
      <c r="K1558" s="168"/>
      <c r="L1558" s="160"/>
      <c r="M1558" s="169"/>
    </row>
    <row r="1559" spans="1:13" x14ac:dyDescent="0.55000000000000004">
      <c r="A1559" s="60" t="s">
        <v>722</v>
      </c>
      <c r="B1559" s="168" t="s">
        <v>160</v>
      </c>
      <c r="C1559" s="168" t="s">
        <v>247</v>
      </c>
      <c r="D1559" s="168" t="s">
        <v>3288</v>
      </c>
      <c r="E1559" s="116">
        <v>1188.1367163131481</v>
      </c>
      <c r="F1559" s="149" t="s">
        <v>122</v>
      </c>
      <c r="G1559" s="149" t="s">
        <v>135</v>
      </c>
      <c r="H1559" s="168" t="s">
        <v>39</v>
      </c>
      <c r="I1559" s="168"/>
      <c r="J1559" s="168" t="s">
        <v>723</v>
      </c>
      <c r="K1559" s="168"/>
      <c r="L1559" s="160"/>
      <c r="M1559" s="169"/>
    </row>
    <row r="1560" spans="1:13" x14ac:dyDescent="0.55000000000000004">
      <c r="A1560" s="60" t="s">
        <v>720</v>
      </c>
      <c r="B1560" s="168" t="s">
        <v>140</v>
      </c>
      <c r="C1560" s="168" t="s">
        <v>121</v>
      </c>
      <c r="D1560" s="168" t="s">
        <v>3288</v>
      </c>
      <c r="E1560" s="116">
        <v>1</v>
      </c>
      <c r="F1560" s="149" t="s">
        <v>135</v>
      </c>
      <c r="G1560" s="149">
        <v>1</v>
      </c>
      <c r="H1560" s="168" t="s">
        <v>39</v>
      </c>
      <c r="I1560" s="168"/>
      <c r="J1560" s="168" t="s">
        <v>721</v>
      </c>
      <c r="K1560" s="168"/>
      <c r="L1560" s="160">
        <v>7203</v>
      </c>
      <c r="M1560" s="169"/>
    </row>
    <row r="1561" spans="1:13" x14ac:dyDescent="0.55000000000000004">
      <c r="A1561" s="60" t="s">
        <v>720</v>
      </c>
      <c r="B1561" s="168" t="s">
        <v>153</v>
      </c>
      <c r="C1561" s="168" t="s">
        <v>127</v>
      </c>
      <c r="D1561" s="168" t="s">
        <v>2994</v>
      </c>
      <c r="E1561" s="116">
        <v>1</v>
      </c>
      <c r="F1561" s="149" t="s">
        <v>138</v>
      </c>
      <c r="G1561" s="149" t="s">
        <v>135</v>
      </c>
      <c r="H1561" s="168" t="s">
        <v>39</v>
      </c>
      <c r="I1561" s="168"/>
      <c r="J1561" s="168" t="s">
        <v>721</v>
      </c>
      <c r="K1561" s="168"/>
      <c r="L1561" s="160"/>
      <c r="M1561" s="169"/>
    </row>
    <row r="1562" spans="1:13" x14ac:dyDescent="0.55000000000000004">
      <c r="A1562" s="60" t="s">
        <v>720</v>
      </c>
      <c r="B1562" s="168" t="s">
        <v>3383</v>
      </c>
      <c r="C1562" s="168" t="s">
        <v>127</v>
      </c>
      <c r="D1562" s="168" t="s">
        <v>2994</v>
      </c>
      <c r="E1562" s="116">
        <v>0.35</v>
      </c>
      <c r="F1562" s="149" t="s">
        <v>138</v>
      </c>
      <c r="G1562" s="149" t="s">
        <v>135</v>
      </c>
      <c r="H1562" s="168" t="s">
        <v>39</v>
      </c>
      <c r="I1562" s="168"/>
      <c r="J1562" s="168" t="s">
        <v>721</v>
      </c>
      <c r="K1562" s="168"/>
      <c r="L1562" s="160"/>
      <c r="M1562" s="169"/>
    </row>
    <row r="1563" spans="1:13" x14ac:dyDescent="0.55000000000000004">
      <c r="A1563" s="60" t="s">
        <v>720</v>
      </c>
      <c r="B1563" s="168" t="s">
        <v>171</v>
      </c>
      <c r="C1563" s="168" t="s">
        <v>127</v>
      </c>
      <c r="D1563" s="168" t="s">
        <v>2994</v>
      </c>
      <c r="E1563" s="116">
        <v>17.5</v>
      </c>
      <c r="F1563" s="149" t="s">
        <v>138</v>
      </c>
      <c r="G1563" s="149" t="s">
        <v>135</v>
      </c>
      <c r="H1563" s="168" t="s">
        <v>39</v>
      </c>
      <c r="I1563" s="168"/>
      <c r="J1563" s="168" t="s">
        <v>721</v>
      </c>
      <c r="K1563" s="168"/>
      <c r="L1563" s="160"/>
      <c r="M1563" s="169"/>
    </row>
    <row r="1564" spans="1:13" x14ac:dyDescent="0.55000000000000004">
      <c r="A1564" s="60" t="s">
        <v>720</v>
      </c>
      <c r="B1564" s="168" t="s">
        <v>188</v>
      </c>
      <c r="C1564" s="168" t="s">
        <v>156</v>
      </c>
      <c r="D1564" s="168" t="s">
        <v>2994</v>
      </c>
      <c r="E1564" s="116">
        <v>0.2</v>
      </c>
      <c r="F1564" s="149" t="s">
        <v>138</v>
      </c>
      <c r="G1564" s="149" t="s">
        <v>135</v>
      </c>
      <c r="H1564" s="168" t="s">
        <v>39</v>
      </c>
      <c r="I1564" s="168"/>
      <c r="J1564" s="168" t="s">
        <v>721</v>
      </c>
      <c r="K1564" s="168"/>
      <c r="L1564" s="160"/>
      <c r="M1564" s="169"/>
    </row>
    <row r="1565" spans="1:13" x14ac:dyDescent="0.55000000000000004">
      <c r="A1565" s="60" t="s">
        <v>720</v>
      </c>
      <c r="B1565" s="168" t="s">
        <v>160</v>
      </c>
      <c r="C1565" s="168" t="s">
        <v>247</v>
      </c>
      <c r="D1565" s="168" t="s">
        <v>3288</v>
      </c>
      <c r="E1565" s="116">
        <v>981.23608001321782</v>
      </c>
      <c r="F1565" s="149" t="s">
        <v>122</v>
      </c>
      <c r="G1565" s="149" t="s">
        <v>135</v>
      </c>
      <c r="H1565" s="168" t="s">
        <v>39</v>
      </c>
      <c r="I1565" s="168"/>
      <c r="J1565" s="168" t="s">
        <v>721</v>
      </c>
      <c r="K1565" s="168"/>
      <c r="L1565" s="160"/>
      <c r="M1565" s="169"/>
    </row>
    <row r="1566" spans="1:13" x14ac:dyDescent="0.55000000000000004">
      <c r="A1566" s="60" t="s">
        <v>720</v>
      </c>
      <c r="B1566" s="168" t="s">
        <v>160</v>
      </c>
      <c r="C1566" s="168" t="s">
        <v>156</v>
      </c>
      <c r="D1566" s="168" t="s">
        <v>3288</v>
      </c>
      <c r="E1566" s="116">
        <v>782.45474999999999</v>
      </c>
      <c r="F1566" s="149" t="s">
        <v>122</v>
      </c>
      <c r="G1566" s="149" t="s">
        <v>135</v>
      </c>
      <c r="H1566" s="168" t="s">
        <v>39</v>
      </c>
      <c r="I1566" s="168"/>
      <c r="J1566" s="168" t="s">
        <v>721</v>
      </c>
      <c r="K1566" s="168"/>
      <c r="L1566" s="160"/>
      <c r="M1566" s="169"/>
    </row>
    <row r="1567" spans="1:13" x14ac:dyDescent="0.55000000000000004">
      <c r="A1567" s="54" t="s">
        <v>718</v>
      </c>
      <c r="B1567" s="168" t="s">
        <v>134</v>
      </c>
      <c r="C1567" s="168" t="s">
        <v>121</v>
      </c>
      <c r="D1567" s="168" t="s">
        <v>3288</v>
      </c>
      <c r="E1567" s="116">
        <v>1</v>
      </c>
      <c r="F1567" s="149" t="s">
        <v>135</v>
      </c>
      <c r="G1567" s="149">
        <v>1</v>
      </c>
      <c r="H1567" s="168" t="s">
        <v>39</v>
      </c>
      <c r="I1567" s="168"/>
      <c r="J1567" s="168" t="s">
        <v>718</v>
      </c>
      <c r="K1567" s="168"/>
      <c r="L1567" s="160">
        <v>2523</v>
      </c>
      <c r="M1567" s="169"/>
    </row>
    <row r="1568" spans="1:13" x14ac:dyDescent="0.55000000000000004">
      <c r="A1568" s="54" t="s">
        <v>718</v>
      </c>
      <c r="B1568" s="168" t="s">
        <v>230</v>
      </c>
      <c r="C1568" s="168" t="s">
        <v>127</v>
      </c>
      <c r="D1568" s="168" t="s">
        <v>2994</v>
      </c>
      <c r="E1568" s="116">
        <v>0.22</v>
      </c>
      <c r="F1568" s="149" t="s">
        <v>138</v>
      </c>
      <c r="G1568" s="149" t="s">
        <v>135</v>
      </c>
      <c r="H1568" s="168" t="s">
        <v>39</v>
      </c>
      <c r="I1568" s="168"/>
      <c r="J1568" s="168" t="s">
        <v>718</v>
      </c>
      <c r="K1568" s="168"/>
      <c r="L1568" s="160"/>
      <c r="M1568" s="169"/>
    </row>
    <row r="1569" spans="1:13" x14ac:dyDescent="0.55000000000000004">
      <c r="A1569" s="54" t="s">
        <v>718</v>
      </c>
      <c r="B1569" s="168" t="s">
        <v>262</v>
      </c>
      <c r="C1569" s="168" t="s">
        <v>127</v>
      </c>
      <c r="D1569" s="168" t="s">
        <v>2994</v>
      </c>
      <c r="E1569" s="116">
        <v>2.67</v>
      </c>
      <c r="F1569" s="149" t="s">
        <v>138</v>
      </c>
      <c r="G1569" s="149" t="s">
        <v>135</v>
      </c>
      <c r="H1569" s="168" t="s">
        <v>39</v>
      </c>
      <c r="I1569" s="168"/>
      <c r="J1569" s="168" t="s">
        <v>718</v>
      </c>
      <c r="K1569" s="168"/>
      <c r="L1569" s="160"/>
      <c r="M1569" s="169"/>
    </row>
    <row r="1570" spans="1:13" x14ac:dyDescent="0.55000000000000004">
      <c r="A1570" s="54" t="s">
        <v>718</v>
      </c>
      <c r="B1570" s="168" t="s">
        <v>153</v>
      </c>
      <c r="C1570" s="168" t="s">
        <v>127</v>
      </c>
      <c r="D1570" s="168" t="s">
        <v>2994</v>
      </c>
      <c r="E1570" s="116">
        <v>0.41</v>
      </c>
      <c r="F1570" s="149" t="s">
        <v>138</v>
      </c>
      <c r="G1570" s="149" t="s">
        <v>135</v>
      </c>
      <c r="H1570" s="168" t="s">
        <v>39</v>
      </c>
      <c r="I1570" s="168"/>
      <c r="J1570" s="168" t="s">
        <v>718</v>
      </c>
      <c r="K1570" s="168"/>
      <c r="L1570" s="160"/>
      <c r="M1570" s="169"/>
    </row>
    <row r="1571" spans="1:13" x14ac:dyDescent="0.55000000000000004">
      <c r="A1571" s="54" t="s">
        <v>718</v>
      </c>
      <c r="B1571" s="168" t="s">
        <v>445</v>
      </c>
      <c r="C1571" s="168" t="s">
        <v>127</v>
      </c>
      <c r="D1571" s="168" t="s">
        <v>2994</v>
      </c>
      <c r="E1571" s="116">
        <v>0.67</v>
      </c>
      <c r="F1571" s="149" t="s">
        <v>138</v>
      </c>
      <c r="G1571" s="149" t="s">
        <v>135</v>
      </c>
      <c r="H1571" s="168" t="s">
        <v>39</v>
      </c>
      <c r="I1571" s="168"/>
      <c r="J1571" s="168" t="s">
        <v>718</v>
      </c>
      <c r="K1571" s="168"/>
      <c r="L1571" s="160"/>
      <c r="M1571" s="169"/>
    </row>
    <row r="1572" spans="1:13" x14ac:dyDescent="0.55000000000000004">
      <c r="A1572" s="54" t="s">
        <v>718</v>
      </c>
      <c r="B1572" s="168" t="s">
        <v>171</v>
      </c>
      <c r="C1572" s="168" t="s">
        <v>127</v>
      </c>
      <c r="D1572" s="168" t="s">
        <v>2994</v>
      </c>
      <c r="E1572" s="116">
        <v>0.34</v>
      </c>
      <c r="F1572" s="149" t="s">
        <v>138</v>
      </c>
      <c r="G1572" s="149" t="s">
        <v>135</v>
      </c>
      <c r="H1572" s="168" t="s">
        <v>39</v>
      </c>
      <c r="I1572" s="168"/>
      <c r="J1572" s="168" t="s">
        <v>718</v>
      </c>
      <c r="K1572" s="168"/>
      <c r="L1572" s="160"/>
      <c r="M1572" s="169"/>
    </row>
    <row r="1573" spans="1:13" x14ac:dyDescent="0.55000000000000004">
      <c r="A1573" s="54" t="s">
        <v>718</v>
      </c>
      <c r="B1573" s="168" t="s">
        <v>160</v>
      </c>
      <c r="C1573" s="168" t="s">
        <v>247</v>
      </c>
      <c r="D1573" s="168" t="s">
        <v>3288</v>
      </c>
      <c r="E1573" s="116">
        <v>330.13441611600541</v>
      </c>
      <c r="F1573" s="149" t="s">
        <v>122</v>
      </c>
      <c r="G1573" s="149" t="s">
        <v>135</v>
      </c>
      <c r="H1573" s="168" t="s">
        <v>39</v>
      </c>
      <c r="I1573" s="168"/>
      <c r="J1573" s="168" t="s">
        <v>718</v>
      </c>
      <c r="K1573" s="168"/>
      <c r="L1573" s="160"/>
      <c r="M1573" s="169"/>
    </row>
    <row r="1574" spans="1:13" x14ac:dyDescent="0.55000000000000004">
      <c r="A1574" s="54" t="s">
        <v>718</v>
      </c>
      <c r="B1574" s="168" t="s">
        <v>160</v>
      </c>
      <c r="C1574" s="168" t="s">
        <v>560</v>
      </c>
      <c r="D1574" s="168" t="s">
        <v>3288</v>
      </c>
      <c r="E1574" s="116">
        <v>505.2</v>
      </c>
      <c r="F1574" s="149" t="s">
        <v>122</v>
      </c>
      <c r="G1574" s="149" t="s">
        <v>135</v>
      </c>
      <c r="H1574" s="168" t="s">
        <v>39</v>
      </c>
      <c r="I1574" s="168"/>
      <c r="J1574" s="168" t="s">
        <v>718</v>
      </c>
      <c r="K1574" s="168"/>
      <c r="L1574" s="160"/>
      <c r="M1574" s="169"/>
    </row>
    <row r="1575" spans="1:13" x14ac:dyDescent="0.55000000000000004">
      <c r="A1575" s="62" t="s">
        <v>715</v>
      </c>
      <c r="B1575" s="168" t="s">
        <v>134</v>
      </c>
      <c r="C1575" s="168" t="s">
        <v>121</v>
      </c>
      <c r="D1575" s="168" t="s">
        <v>3288</v>
      </c>
      <c r="E1575" s="116">
        <v>1</v>
      </c>
      <c r="F1575" s="149" t="s">
        <v>135</v>
      </c>
      <c r="G1575" s="149">
        <v>1</v>
      </c>
      <c r="H1575" s="168" t="s">
        <v>39</v>
      </c>
      <c r="I1575" s="168"/>
      <c r="J1575" s="168" t="s">
        <v>716</v>
      </c>
      <c r="K1575" s="168"/>
      <c r="L1575" s="160">
        <v>2523</v>
      </c>
      <c r="M1575" s="169"/>
    </row>
    <row r="1576" spans="1:13" x14ac:dyDescent="0.55000000000000004">
      <c r="A1576" s="62" t="s">
        <v>715</v>
      </c>
      <c r="B1576" s="168" t="s">
        <v>230</v>
      </c>
      <c r="C1576" s="168" t="s">
        <v>127</v>
      </c>
      <c r="D1576" s="168" t="s">
        <v>2994</v>
      </c>
      <c r="E1576" s="116">
        <v>0.22</v>
      </c>
      <c r="F1576" s="149" t="s">
        <v>138</v>
      </c>
      <c r="G1576" s="149" t="s">
        <v>135</v>
      </c>
      <c r="H1576" s="168" t="s">
        <v>39</v>
      </c>
      <c r="I1576" s="168"/>
      <c r="J1576" s="168" t="s">
        <v>716</v>
      </c>
      <c r="K1576" s="168"/>
      <c r="L1576" s="160"/>
      <c r="M1576" s="169"/>
    </row>
    <row r="1577" spans="1:13" x14ac:dyDescent="0.55000000000000004">
      <c r="A1577" s="62" t="s">
        <v>715</v>
      </c>
      <c r="B1577" s="168" t="s">
        <v>262</v>
      </c>
      <c r="C1577" s="168" t="s">
        <v>127</v>
      </c>
      <c r="D1577" s="168" t="s">
        <v>2994</v>
      </c>
      <c r="E1577" s="116">
        <v>2.67</v>
      </c>
      <c r="F1577" s="149" t="s">
        <v>138</v>
      </c>
      <c r="G1577" s="149" t="s">
        <v>135</v>
      </c>
      <c r="H1577" s="168" t="s">
        <v>39</v>
      </c>
      <c r="I1577" s="168"/>
      <c r="J1577" s="168" t="s">
        <v>716</v>
      </c>
      <c r="K1577" s="168"/>
      <c r="L1577" s="160"/>
      <c r="M1577" s="169"/>
    </row>
    <row r="1578" spans="1:13" x14ac:dyDescent="0.55000000000000004">
      <c r="A1578" s="62" t="s">
        <v>715</v>
      </c>
      <c r="B1578" s="168" t="s">
        <v>153</v>
      </c>
      <c r="C1578" s="168" t="s">
        <v>127</v>
      </c>
      <c r="D1578" s="168" t="s">
        <v>2994</v>
      </c>
      <c r="E1578" s="116">
        <v>0.41</v>
      </c>
      <c r="F1578" s="149" t="s">
        <v>138</v>
      </c>
      <c r="G1578" s="149" t="s">
        <v>135</v>
      </c>
      <c r="H1578" s="168" t="s">
        <v>39</v>
      </c>
      <c r="I1578" s="168"/>
      <c r="J1578" s="168" t="s">
        <v>716</v>
      </c>
      <c r="K1578" s="168"/>
      <c r="L1578" s="160"/>
      <c r="M1578" s="169"/>
    </row>
    <row r="1579" spans="1:13" x14ac:dyDescent="0.55000000000000004">
      <c r="A1579" s="62" t="s">
        <v>715</v>
      </c>
      <c r="B1579" s="168" t="s">
        <v>445</v>
      </c>
      <c r="C1579" s="168" t="s">
        <v>127</v>
      </c>
      <c r="D1579" s="168" t="s">
        <v>2994</v>
      </c>
      <c r="E1579" s="116">
        <v>0.67</v>
      </c>
      <c r="F1579" s="149" t="s">
        <v>138</v>
      </c>
      <c r="G1579" s="149" t="s">
        <v>135</v>
      </c>
      <c r="H1579" s="168" t="s">
        <v>39</v>
      </c>
      <c r="I1579" s="168"/>
      <c r="J1579" s="168" t="s">
        <v>716</v>
      </c>
      <c r="K1579" s="168"/>
      <c r="L1579" s="160"/>
      <c r="M1579" s="169"/>
    </row>
    <row r="1580" spans="1:13" x14ac:dyDescent="0.55000000000000004">
      <c r="A1580" s="62" t="s">
        <v>715</v>
      </c>
      <c r="B1580" s="168" t="s">
        <v>3383</v>
      </c>
      <c r="C1580" s="168" t="s">
        <v>127</v>
      </c>
      <c r="D1580" s="168" t="s">
        <v>2994</v>
      </c>
      <c r="E1580" s="116">
        <v>0.51</v>
      </c>
      <c r="F1580" s="149" t="s">
        <v>138</v>
      </c>
      <c r="G1580" s="149" t="s">
        <v>135</v>
      </c>
      <c r="H1580" s="168" t="s">
        <v>39</v>
      </c>
      <c r="I1580" s="168"/>
      <c r="J1580" s="168" t="s">
        <v>716</v>
      </c>
      <c r="K1580" s="168"/>
      <c r="L1580" s="160"/>
      <c r="M1580" s="169"/>
    </row>
    <row r="1581" spans="1:13" x14ac:dyDescent="0.55000000000000004">
      <c r="A1581" s="62" t="s">
        <v>715</v>
      </c>
      <c r="B1581" s="168" t="s">
        <v>171</v>
      </c>
      <c r="C1581" s="168" t="s">
        <v>127</v>
      </c>
      <c r="D1581" s="168" t="s">
        <v>2994</v>
      </c>
      <c r="E1581" s="116">
        <v>0.34</v>
      </c>
      <c r="F1581" s="149" t="s">
        <v>138</v>
      </c>
      <c r="G1581" s="149" t="s">
        <v>135</v>
      </c>
      <c r="H1581" s="168" t="s">
        <v>39</v>
      </c>
      <c r="I1581" s="168"/>
      <c r="J1581" s="168" t="s">
        <v>716</v>
      </c>
      <c r="K1581" s="168"/>
      <c r="L1581" s="160"/>
      <c r="M1581" s="169"/>
    </row>
    <row r="1582" spans="1:13" x14ac:dyDescent="0.55000000000000004">
      <c r="A1582" s="62" t="s">
        <v>715</v>
      </c>
      <c r="B1582" s="168" t="s">
        <v>188</v>
      </c>
      <c r="C1582" s="168" t="s">
        <v>127</v>
      </c>
      <c r="D1582" s="168" t="s">
        <v>2994</v>
      </c>
      <c r="E1582" s="116">
        <v>2.66</v>
      </c>
      <c r="F1582" s="149" t="s">
        <v>138</v>
      </c>
      <c r="G1582" s="149" t="s">
        <v>135</v>
      </c>
      <c r="H1582" s="168" t="s">
        <v>39</v>
      </c>
      <c r="I1582" s="168"/>
      <c r="J1582" s="168" t="s">
        <v>716</v>
      </c>
      <c r="K1582" s="168"/>
      <c r="L1582" s="160"/>
      <c r="M1582" s="169"/>
    </row>
    <row r="1583" spans="1:13" x14ac:dyDescent="0.55000000000000004">
      <c r="A1583" s="62" t="s">
        <v>715</v>
      </c>
      <c r="B1583" s="168" t="s">
        <v>160</v>
      </c>
      <c r="C1583" s="168" t="s">
        <v>247</v>
      </c>
      <c r="D1583" s="168" t="s">
        <v>3288</v>
      </c>
      <c r="E1583" s="116">
        <v>330.13441611600541</v>
      </c>
      <c r="F1583" s="149" t="s">
        <v>122</v>
      </c>
      <c r="G1583" s="149" t="s">
        <v>135</v>
      </c>
      <c r="H1583" s="168" t="s">
        <v>39</v>
      </c>
      <c r="I1583" s="168"/>
      <c r="J1583" s="168" t="s">
        <v>716</v>
      </c>
      <c r="K1583" s="168"/>
      <c r="L1583" s="160"/>
      <c r="M1583" s="169"/>
    </row>
    <row r="1584" spans="1:13" x14ac:dyDescent="0.55000000000000004">
      <c r="A1584" s="62" t="s">
        <v>715</v>
      </c>
      <c r="B1584" s="168" t="s">
        <v>160</v>
      </c>
      <c r="C1584" s="168" t="s">
        <v>560</v>
      </c>
      <c r="D1584" s="168" t="s">
        <v>3288</v>
      </c>
      <c r="E1584" s="116">
        <v>505.2</v>
      </c>
      <c r="F1584" s="149" t="s">
        <v>122</v>
      </c>
      <c r="G1584" s="149" t="s">
        <v>135</v>
      </c>
      <c r="H1584" s="168" t="s">
        <v>39</v>
      </c>
      <c r="I1584" s="168"/>
      <c r="J1584" s="168" t="s">
        <v>716</v>
      </c>
      <c r="K1584" s="168"/>
      <c r="L1584" s="160"/>
      <c r="M1584" s="169"/>
    </row>
    <row r="1585" spans="1:13" x14ac:dyDescent="0.55000000000000004">
      <c r="A1585" s="62" t="s">
        <v>715</v>
      </c>
      <c r="B1585" s="168" t="s">
        <v>160</v>
      </c>
      <c r="C1585" s="168" t="s">
        <v>156</v>
      </c>
      <c r="D1585" s="168" t="s">
        <v>3288</v>
      </c>
      <c r="E1585" s="116">
        <v>835.12580000000003</v>
      </c>
      <c r="F1585" s="149" t="s">
        <v>122</v>
      </c>
      <c r="G1585" s="149" t="s">
        <v>135</v>
      </c>
      <c r="H1585" s="168" t="s">
        <v>39</v>
      </c>
      <c r="I1585" s="168"/>
      <c r="J1585" s="168" t="s">
        <v>716</v>
      </c>
      <c r="K1585" s="168"/>
      <c r="L1585" s="160"/>
      <c r="M1585" s="169"/>
    </row>
    <row r="1586" spans="1:13" x14ac:dyDescent="0.55000000000000004">
      <c r="A1586" s="62" t="s">
        <v>713</v>
      </c>
      <c r="B1586" s="168" t="s">
        <v>134</v>
      </c>
      <c r="C1586" s="168" t="s">
        <v>121</v>
      </c>
      <c r="D1586" s="168" t="s">
        <v>3288</v>
      </c>
      <c r="E1586" s="116">
        <v>1</v>
      </c>
      <c r="F1586" s="149" t="s">
        <v>135</v>
      </c>
      <c r="G1586" s="149">
        <v>1</v>
      </c>
      <c r="H1586" s="168" t="s">
        <v>39</v>
      </c>
      <c r="I1586" s="168"/>
      <c r="J1586" s="168" t="s">
        <v>714</v>
      </c>
      <c r="K1586" s="168"/>
      <c r="L1586" s="160">
        <v>2523</v>
      </c>
      <c r="M1586" s="169"/>
    </row>
    <row r="1587" spans="1:13" x14ac:dyDescent="0.55000000000000004">
      <c r="A1587" s="62" t="s">
        <v>713</v>
      </c>
      <c r="B1587" s="168" t="s">
        <v>230</v>
      </c>
      <c r="C1587" s="168" t="s">
        <v>127</v>
      </c>
      <c r="D1587" s="168" t="s">
        <v>2994</v>
      </c>
      <c r="E1587" s="116">
        <v>0.22</v>
      </c>
      <c r="F1587" s="149" t="s">
        <v>138</v>
      </c>
      <c r="G1587" s="149" t="s">
        <v>135</v>
      </c>
      <c r="H1587" s="168" t="s">
        <v>39</v>
      </c>
      <c r="I1587" s="168"/>
      <c r="J1587" s="168" t="s">
        <v>714</v>
      </c>
      <c r="K1587" s="168"/>
      <c r="L1587" s="160"/>
      <c r="M1587" s="169"/>
    </row>
    <row r="1588" spans="1:13" x14ac:dyDescent="0.55000000000000004">
      <c r="A1588" s="62" t="s">
        <v>713</v>
      </c>
      <c r="B1588" s="168" t="s">
        <v>262</v>
      </c>
      <c r="C1588" s="168" t="s">
        <v>127</v>
      </c>
      <c r="D1588" s="168" t="s">
        <v>2994</v>
      </c>
      <c r="E1588" s="116">
        <v>2.67</v>
      </c>
      <c r="F1588" s="149" t="s">
        <v>138</v>
      </c>
      <c r="G1588" s="149" t="s">
        <v>135</v>
      </c>
      <c r="H1588" s="168" t="s">
        <v>39</v>
      </c>
      <c r="I1588" s="168"/>
      <c r="J1588" s="168" t="s">
        <v>714</v>
      </c>
      <c r="K1588" s="168"/>
      <c r="L1588" s="160"/>
      <c r="M1588" s="169"/>
    </row>
    <row r="1589" spans="1:13" x14ac:dyDescent="0.55000000000000004">
      <c r="A1589" s="62" t="s">
        <v>713</v>
      </c>
      <c r="B1589" s="168" t="s">
        <v>153</v>
      </c>
      <c r="C1589" s="168" t="s">
        <v>127</v>
      </c>
      <c r="D1589" s="168" t="s">
        <v>2994</v>
      </c>
      <c r="E1589" s="116">
        <v>0.82</v>
      </c>
      <c r="F1589" s="149" t="s">
        <v>138</v>
      </c>
      <c r="G1589" s="149" t="s">
        <v>135</v>
      </c>
      <c r="H1589" s="168" t="s">
        <v>39</v>
      </c>
      <c r="I1589" s="168"/>
      <c r="J1589" s="168" t="s">
        <v>714</v>
      </c>
      <c r="K1589" s="168"/>
      <c r="L1589" s="160"/>
      <c r="M1589" s="169"/>
    </row>
    <row r="1590" spans="1:13" x14ac:dyDescent="0.55000000000000004">
      <c r="A1590" s="62" t="s">
        <v>713</v>
      </c>
      <c r="B1590" s="168" t="s">
        <v>445</v>
      </c>
      <c r="C1590" s="168" t="s">
        <v>127</v>
      </c>
      <c r="D1590" s="168" t="s">
        <v>2994</v>
      </c>
      <c r="E1590" s="116">
        <v>0.67</v>
      </c>
      <c r="F1590" s="149" t="s">
        <v>138</v>
      </c>
      <c r="G1590" s="149" t="s">
        <v>135</v>
      </c>
      <c r="H1590" s="168" t="s">
        <v>39</v>
      </c>
      <c r="I1590" s="168"/>
      <c r="J1590" s="168" t="s">
        <v>714</v>
      </c>
      <c r="K1590" s="168"/>
      <c r="L1590" s="160"/>
      <c r="M1590" s="169"/>
    </row>
    <row r="1591" spans="1:13" x14ac:dyDescent="0.55000000000000004">
      <c r="A1591" s="62" t="s">
        <v>713</v>
      </c>
      <c r="B1591" s="168" t="s">
        <v>171</v>
      </c>
      <c r="C1591" s="168" t="s">
        <v>127</v>
      </c>
      <c r="D1591" s="168" t="s">
        <v>2994</v>
      </c>
      <c r="E1591" s="116">
        <v>0.34</v>
      </c>
      <c r="F1591" s="149" t="s">
        <v>138</v>
      </c>
      <c r="G1591" s="149" t="s">
        <v>135</v>
      </c>
      <c r="H1591" s="168" t="s">
        <v>39</v>
      </c>
      <c r="I1591" s="168"/>
      <c r="J1591" s="168" t="s">
        <v>714</v>
      </c>
      <c r="K1591" s="168"/>
      <c r="L1591" s="160"/>
      <c r="M1591" s="169"/>
    </row>
    <row r="1592" spans="1:13" x14ac:dyDescent="0.55000000000000004">
      <c r="A1592" s="62" t="s">
        <v>713</v>
      </c>
      <c r="B1592" s="168" t="s">
        <v>160</v>
      </c>
      <c r="C1592" s="168" t="s">
        <v>247</v>
      </c>
      <c r="D1592" s="168" t="s">
        <v>3288</v>
      </c>
      <c r="E1592" s="116">
        <v>330.13441611600541</v>
      </c>
      <c r="F1592" s="149" t="s">
        <v>122</v>
      </c>
      <c r="G1592" s="149" t="s">
        <v>135</v>
      </c>
      <c r="H1592" s="168" t="s">
        <v>39</v>
      </c>
      <c r="I1592" s="168"/>
      <c r="J1592" s="168" t="s">
        <v>714</v>
      </c>
      <c r="K1592" s="168"/>
      <c r="L1592" s="160"/>
      <c r="M1592" s="169"/>
    </row>
    <row r="1593" spans="1:13" x14ac:dyDescent="0.55000000000000004">
      <c r="A1593" s="62" t="s">
        <v>713</v>
      </c>
      <c r="B1593" s="168" t="s">
        <v>160</v>
      </c>
      <c r="C1593" s="168" t="s">
        <v>560</v>
      </c>
      <c r="D1593" s="168" t="s">
        <v>3288</v>
      </c>
      <c r="E1593" s="116">
        <v>505.2</v>
      </c>
      <c r="F1593" s="149" t="s">
        <v>122</v>
      </c>
      <c r="G1593" s="149" t="s">
        <v>135</v>
      </c>
      <c r="H1593" s="168" t="s">
        <v>39</v>
      </c>
      <c r="I1593" s="168"/>
      <c r="J1593" s="168" t="s">
        <v>714</v>
      </c>
      <c r="K1593" s="168"/>
      <c r="L1593" s="160"/>
      <c r="M1593" s="169"/>
    </row>
    <row r="1594" spans="1:13" x14ac:dyDescent="0.55000000000000004">
      <c r="A1594" s="62" t="s">
        <v>713</v>
      </c>
      <c r="B1594" s="168" t="s">
        <v>160</v>
      </c>
      <c r="C1594" s="168" t="s">
        <v>156</v>
      </c>
      <c r="D1594" s="168" t="s">
        <v>3288</v>
      </c>
      <c r="E1594" s="116">
        <v>835.12580000000003</v>
      </c>
      <c r="F1594" s="149" t="s">
        <v>122</v>
      </c>
      <c r="G1594" s="149" t="s">
        <v>135</v>
      </c>
      <c r="H1594" s="168" t="s">
        <v>39</v>
      </c>
      <c r="I1594" s="168"/>
      <c r="J1594" s="168" t="s">
        <v>714</v>
      </c>
      <c r="K1594" s="168"/>
      <c r="L1594" s="160"/>
      <c r="M1594" s="169"/>
    </row>
    <row r="1595" spans="1:13" x14ac:dyDescent="0.55000000000000004">
      <c r="A1595" s="94" t="s">
        <v>711</v>
      </c>
      <c r="B1595" s="168" t="s">
        <v>469</v>
      </c>
      <c r="C1595" s="168" t="s">
        <v>121</v>
      </c>
      <c r="D1595" s="168" t="s">
        <v>3288</v>
      </c>
      <c r="E1595" s="116">
        <v>1</v>
      </c>
      <c r="F1595" s="149" t="s">
        <v>135</v>
      </c>
      <c r="G1595" s="149">
        <v>1</v>
      </c>
      <c r="H1595" s="168" t="s">
        <v>39</v>
      </c>
      <c r="I1595" s="168"/>
      <c r="J1595" s="168" t="s">
        <v>711</v>
      </c>
      <c r="K1595" s="168"/>
      <c r="L1595" s="160">
        <v>290513</v>
      </c>
      <c r="M1595" s="169"/>
    </row>
    <row r="1596" spans="1:13" x14ac:dyDescent="0.55000000000000004">
      <c r="A1596" s="94" t="s">
        <v>711</v>
      </c>
      <c r="B1596" s="168" t="s">
        <v>334</v>
      </c>
      <c r="C1596" s="168" t="s">
        <v>127</v>
      </c>
      <c r="D1596" s="168" t="s">
        <v>2994</v>
      </c>
      <c r="E1596" s="116">
        <v>22.5</v>
      </c>
      <c r="F1596" s="149" t="s">
        <v>138</v>
      </c>
      <c r="G1596" s="149" t="s">
        <v>135</v>
      </c>
      <c r="H1596" s="168" t="s">
        <v>39</v>
      </c>
      <c r="I1596" s="168"/>
      <c r="J1596" s="168" t="s">
        <v>711</v>
      </c>
      <c r="K1596" s="168"/>
      <c r="L1596" s="160"/>
      <c r="M1596" s="169"/>
    </row>
    <row r="1597" spans="1:13" x14ac:dyDescent="0.55000000000000004">
      <c r="A1597" s="94" t="s">
        <v>711</v>
      </c>
      <c r="B1597" s="168" t="s">
        <v>3383</v>
      </c>
      <c r="C1597" s="168" t="s">
        <v>127</v>
      </c>
      <c r="D1597" s="168" t="s">
        <v>2994</v>
      </c>
      <c r="E1597" s="116">
        <v>1.4</v>
      </c>
      <c r="F1597" s="149" t="s">
        <v>138</v>
      </c>
      <c r="G1597" s="149" t="s">
        <v>135</v>
      </c>
      <c r="H1597" s="168" t="s">
        <v>39</v>
      </c>
      <c r="I1597" s="168"/>
      <c r="J1597" s="168" t="s">
        <v>711</v>
      </c>
      <c r="K1597" s="168"/>
      <c r="L1597" s="160"/>
      <c r="M1597" s="169"/>
    </row>
    <row r="1598" spans="1:13" x14ac:dyDescent="0.55000000000000004">
      <c r="A1598" s="94" t="s">
        <v>709</v>
      </c>
      <c r="B1598" s="168" t="s">
        <v>615</v>
      </c>
      <c r="C1598" s="168" t="s">
        <v>121</v>
      </c>
      <c r="D1598" s="168" t="s">
        <v>3288</v>
      </c>
      <c r="E1598" s="116">
        <v>1</v>
      </c>
      <c r="F1598" s="149" t="s">
        <v>135</v>
      </c>
      <c r="G1598" s="149">
        <v>1</v>
      </c>
      <c r="H1598" s="168" t="s">
        <v>39</v>
      </c>
      <c r="I1598" s="168"/>
      <c r="J1598" s="168" t="s">
        <v>709</v>
      </c>
      <c r="K1598" s="168"/>
      <c r="L1598" s="160">
        <v>281410</v>
      </c>
      <c r="M1598" s="169"/>
    </row>
    <row r="1599" spans="1:13" x14ac:dyDescent="0.55000000000000004">
      <c r="A1599" s="94" t="s">
        <v>709</v>
      </c>
      <c r="B1599" s="168" t="s">
        <v>334</v>
      </c>
      <c r="C1599" s="168" t="s">
        <v>127</v>
      </c>
      <c r="D1599" s="168" t="s">
        <v>2994</v>
      </c>
      <c r="E1599" s="116">
        <v>36</v>
      </c>
      <c r="F1599" s="149" t="s">
        <v>138</v>
      </c>
      <c r="G1599" s="149" t="s">
        <v>135</v>
      </c>
      <c r="H1599" s="168" t="s">
        <v>39</v>
      </c>
      <c r="I1599" s="168"/>
      <c r="J1599" s="168" t="s">
        <v>709</v>
      </c>
      <c r="K1599" s="168"/>
      <c r="L1599" s="160"/>
      <c r="M1599" s="169"/>
    </row>
    <row r="1600" spans="1:13" x14ac:dyDescent="0.55000000000000004">
      <c r="A1600" s="94" t="s">
        <v>709</v>
      </c>
      <c r="B1600" s="168" t="s">
        <v>3383</v>
      </c>
      <c r="C1600" s="168" t="s">
        <v>127</v>
      </c>
      <c r="D1600" s="168" t="s">
        <v>2994</v>
      </c>
      <c r="E1600" s="116">
        <v>5.74</v>
      </c>
      <c r="F1600" s="149" t="s">
        <v>138</v>
      </c>
      <c r="G1600" s="149" t="s">
        <v>135</v>
      </c>
      <c r="H1600" s="168" t="s">
        <v>39</v>
      </c>
      <c r="I1600" s="168"/>
      <c r="J1600" s="168" t="s">
        <v>709</v>
      </c>
      <c r="K1600" s="168"/>
      <c r="L1600" s="160"/>
      <c r="M1600" s="169"/>
    </row>
    <row r="1601" spans="1:13" x14ac:dyDescent="0.55000000000000004">
      <c r="A1601" s="94" t="s">
        <v>704</v>
      </c>
      <c r="B1601" s="168" t="s">
        <v>598</v>
      </c>
      <c r="C1601" s="168" t="s">
        <v>121</v>
      </c>
      <c r="D1601" s="168" t="s">
        <v>3288</v>
      </c>
      <c r="E1601" s="116">
        <v>1</v>
      </c>
      <c r="F1601" s="149" t="s">
        <v>135</v>
      </c>
      <c r="G1601" s="149">
        <v>1</v>
      </c>
      <c r="H1601" s="168" t="s">
        <v>39</v>
      </c>
      <c r="I1601" s="168"/>
      <c r="J1601" s="168" t="s">
        <v>704</v>
      </c>
      <c r="K1601" s="168"/>
      <c r="L1601" s="160" t="s">
        <v>599</v>
      </c>
      <c r="M1601" s="169"/>
    </row>
    <row r="1602" spans="1:13" x14ac:dyDescent="0.55000000000000004">
      <c r="A1602" s="94" t="s">
        <v>704</v>
      </c>
      <c r="B1602" s="168" t="s">
        <v>706</v>
      </c>
      <c r="C1602" s="168" t="s">
        <v>127</v>
      </c>
      <c r="D1602" s="168" t="s">
        <v>2994</v>
      </c>
      <c r="E1602" s="116">
        <v>17.100000000000001</v>
      </c>
      <c r="F1602" s="149" t="s">
        <v>138</v>
      </c>
      <c r="G1602" s="149" t="s">
        <v>135</v>
      </c>
      <c r="H1602" s="168" t="s">
        <v>39</v>
      </c>
      <c r="I1602" s="168"/>
      <c r="J1602" s="168" t="s">
        <v>704</v>
      </c>
      <c r="K1602" s="168"/>
      <c r="L1602" s="160"/>
      <c r="M1602" s="169"/>
    </row>
    <row r="1603" spans="1:13" x14ac:dyDescent="0.55000000000000004">
      <c r="A1603" s="94" t="s">
        <v>704</v>
      </c>
      <c r="B1603" s="168" t="s">
        <v>3383</v>
      </c>
      <c r="C1603" s="168" t="s">
        <v>127</v>
      </c>
      <c r="D1603" s="168" t="s">
        <v>2994</v>
      </c>
      <c r="E1603" s="116">
        <v>0.8</v>
      </c>
      <c r="F1603" s="149" t="s">
        <v>138</v>
      </c>
      <c r="G1603" s="149" t="s">
        <v>135</v>
      </c>
      <c r="H1603" s="168" t="s">
        <v>39</v>
      </c>
      <c r="I1603" s="168"/>
      <c r="J1603" s="168" t="s">
        <v>704</v>
      </c>
      <c r="K1603" s="168"/>
      <c r="L1603" s="160"/>
      <c r="M1603" s="169"/>
    </row>
    <row r="1604" spans="1:13" x14ac:dyDescent="0.55000000000000004">
      <c r="A1604" s="94" t="s">
        <v>704</v>
      </c>
      <c r="B1604" s="168" t="s">
        <v>706</v>
      </c>
      <c r="C1604" s="168" t="s">
        <v>231</v>
      </c>
      <c r="D1604" s="168" t="s">
        <v>2994</v>
      </c>
      <c r="E1604" s="116">
        <v>56.7</v>
      </c>
      <c r="F1604" s="149" t="s">
        <v>138</v>
      </c>
      <c r="G1604" s="149" t="s">
        <v>135</v>
      </c>
      <c r="H1604" s="168" t="s">
        <v>39</v>
      </c>
      <c r="I1604" s="168"/>
      <c r="J1604" s="168" t="s">
        <v>704</v>
      </c>
      <c r="K1604" s="168"/>
      <c r="L1604" s="160"/>
      <c r="M1604" s="169"/>
    </row>
    <row r="1605" spans="1:13" x14ac:dyDescent="0.55000000000000004">
      <c r="A1605" s="94" t="s">
        <v>704</v>
      </c>
      <c r="B1605" s="168" t="s">
        <v>188</v>
      </c>
      <c r="C1605" s="168" t="s">
        <v>156</v>
      </c>
      <c r="D1605" s="168" t="s">
        <v>2994</v>
      </c>
      <c r="E1605" s="116">
        <v>0.1</v>
      </c>
      <c r="F1605" s="149" t="s">
        <v>138</v>
      </c>
      <c r="G1605" s="149" t="s">
        <v>135</v>
      </c>
      <c r="H1605" s="168" t="s">
        <v>39</v>
      </c>
      <c r="I1605" s="168"/>
      <c r="J1605" s="168" t="s">
        <v>704</v>
      </c>
      <c r="K1605" s="168"/>
      <c r="L1605" s="160"/>
      <c r="M1605" s="169"/>
    </row>
    <row r="1606" spans="1:13" x14ac:dyDescent="0.55000000000000004">
      <c r="A1606" s="94" t="s">
        <v>704</v>
      </c>
      <c r="B1606" s="168" t="s">
        <v>160</v>
      </c>
      <c r="C1606" s="168" t="s">
        <v>247</v>
      </c>
      <c r="D1606" s="168" t="s">
        <v>3288</v>
      </c>
      <c r="E1606" s="116">
        <v>990.52479915971173</v>
      </c>
      <c r="F1606" s="149" t="s">
        <v>122</v>
      </c>
      <c r="G1606" s="149" t="s">
        <v>135</v>
      </c>
      <c r="H1606" s="168" t="s">
        <v>39</v>
      </c>
      <c r="I1606" s="168"/>
      <c r="J1606" s="168" t="s">
        <v>704</v>
      </c>
      <c r="K1606" s="168"/>
      <c r="L1606" s="160"/>
      <c r="M1606" s="169"/>
    </row>
    <row r="1607" spans="1:13" x14ac:dyDescent="0.55000000000000004">
      <c r="A1607" s="65" t="s">
        <v>694</v>
      </c>
      <c r="B1607" s="168" t="s">
        <v>695</v>
      </c>
      <c r="C1607" s="168" t="s">
        <v>121</v>
      </c>
      <c r="D1607" s="168" t="s">
        <v>3288</v>
      </c>
      <c r="E1607" s="116">
        <v>1</v>
      </c>
      <c r="F1607" s="149" t="s">
        <v>135</v>
      </c>
      <c r="G1607" s="149">
        <v>1</v>
      </c>
      <c r="H1607" s="168" t="s">
        <v>39</v>
      </c>
      <c r="I1607" s="168"/>
      <c r="J1607" s="168" t="s">
        <v>694</v>
      </c>
      <c r="K1607" s="168"/>
      <c r="L1607" s="160">
        <v>7202</v>
      </c>
      <c r="M1607" s="169"/>
    </row>
    <row r="1608" spans="1:13" x14ac:dyDescent="0.55000000000000004">
      <c r="A1608" s="65" t="s">
        <v>694</v>
      </c>
      <c r="B1608" s="168" t="s">
        <v>354</v>
      </c>
      <c r="C1608" s="168" t="s">
        <v>125</v>
      </c>
      <c r="D1608" s="168" t="s">
        <v>3288</v>
      </c>
      <c r="E1608" s="116">
        <v>0.3</v>
      </c>
      <c r="F1608" s="149" t="s">
        <v>135</v>
      </c>
      <c r="G1608" s="149" t="s">
        <v>135</v>
      </c>
      <c r="H1608" s="168" t="s">
        <v>39</v>
      </c>
      <c r="I1608" s="168"/>
      <c r="J1608" s="168" t="s">
        <v>694</v>
      </c>
      <c r="K1608" s="168"/>
      <c r="L1608" s="160"/>
      <c r="M1608" s="169"/>
    </row>
    <row r="1609" spans="1:13" x14ac:dyDescent="0.55000000000000004">
      <c r="A1609" s="65" t="s">
        <v>694</v>
      </c>
      <c r="B1609" s="168" t="s">
        <v>698</v>
      </c>
      <c r="C1609" s="168" t="s">
        <v>125</v>
      </c>
      <c r="D1609" s="168" t="s">
        <v>3288</v>
      </c>
      <c r="E1609" s="116">
        <v>0.22</v>
      </c>
      <c r="F1609" s="149" t="s">
        <v>135</v>
      </c>
      <c r="G1609" s="149" t="s">
        <v>135</v>
      </c>
      <c r="H1609" s="168" t="s">
        <v>39</v>
      </c>
      <c r="I1609" s="168"/>
      <c r="J1609" s="168" t="s">
        <v>694</v>
      </c>
      <c r="K1609" s="168"/>
      <c r="L1609" s="160"/>
      <c r="M1609" s="169"/>
    </row>
    <row r="1610" spans="1:13" x14ac:dyDescent="0.55000000000000004">
      <c r="A1610" s="65" t="s">
        <v>694</v>
      </c>
      <c r="B1610" s="168" t="s">
        <v>699</v>
      </c>
      <c r="C1610" s="168" t="s">
        <v>125</v>
      </c>
      <c r="D1610" s="168" t="s">
        <v>3288</v>
      </c>
      <c r="E1610" s="116">
        <v>0.32</v>
      </c>
      <c r="F1610" s="149" t="s">
        <v>135</v>
      </c>
      <c r="G1610" s="149" t="s">
        <v>135</v>
      </c>
      <c r="H1610" s="168" t="s">
        <v>39</v>
      </c>
      <c r="I1610" s="168"/>
      <c r="J1610" s="168" t="s">
        <v>694</v>
      </c>
      <c r="K1610" s="168"/>
      <c r="L1610" s="160"/>
      <c r="M1610" s="169"/>
    </row>
    <row r="1611" spans="1:13" x14ac:dyDescent="0.55000000000000004">
      <c r="A1611" s="65" t="s">
        <v>694</v>
      </c>
      <c r="B1611" s="168" t="s">
        <v>700</v>
      </c>
      <c r="C1611" s="168" t="s">
        <v>125</v>
      </c>
      <c r="D1611" s="168" t="s">
        <v>3288</v>
      </c>
      <c r="E1611" s="116">
        <v>0.16</v>
      </c>
      <c r="F1611" s="149" t="s">
        <v>135</v>
      </c>
      <c r="G1611" s="149" t="s">
        <v>135</v>
      </c>
      <c r="H1611" s="168" t="s">
        <v>39</v>
      </c>
      <c r="I1611" s="168"/>
      <c r="J1611" s="168" t="s">
        <v>694</v>
      </c>
      <c r="K1611" s="168"/>
      <c r="L1611" s="160"/>
      <c r="M1611" s="169"/>
    </row>
    <row r="1612" spans="1:13" x14ac:dyDescent="0.55000000000000004">
      <c r="A1612" s="65" t="s">
        <v>694</v>
      </c>
      <c r="B1612" s="168" t="s">
        <v>293</v>
      </c>
      <c r="C1612" s="168" t="s">
        <v>127</v>
      </c>
      <c r="D1612" s="168" t="s">
        <v>2994</v>
      </c>
      <c r="E1612" s="116">
        <v>16.989999999999998</v>
      </c>
      <c r="F1612" s="149" t="s">
        <v>138</v>
      </c>
      <c r="G1612" s="149" t="s">
        <v>135</v>
      </c>
      <c r="H1612" s="168" t="s">
        <v>39</v>
      </c>
      <c r="I1612" s="168"/>
      <c r="J1612" s="168" t="s">
        <v>694</v>
      </c>
      <c r="K1612" s="168"/>
      <c r="L1612" s="160"/>
      <c r="M1612" s="169"/>
    </row>
    <row r="1613" spans="1:13" x14ac:dyDescent="0.55000000000000004">
      <c r="A1613" s="65" t="s">
        <v>694</v>
      </c>
      <c r="B1613" s="168" t="s">
        <v>153</v>
      </c>
      <c r="C1613" s="168" t="s">
        <v>127</v>
      </c>
      <c r="D1613" s="168" t="s">
        <v>2994</v>
      </c>
      <c r="E1613" s="116">
        <v>15.59</v>
      </c>
      <c r="F1613" s="149" t="s">
        <v>138</v>
      </c>
      <c r="G1613" s="149" t="s">
        <v>135</v>
      </c>
      <c r="H1613" s="168" t="s">
        <v>39</v>
      </c>
      <c r="I1613" s="168"/>
      <c r="J1613" s="168" t="s">
        <v>694</v>
      </c>
      <c r="K1613" s="168"/>
      <c r="L1613" s="160"/>
      <c r="M1613" s="169"/>
    </row>
    <row r="1614" spans="1:13" x14ac:dyDescent="0.55000000000000004">
      <c r="A1614" s="65" t="s">
        <v>694</v>
      </c>
      <c r="B1614" s="168" t="s">
        <v>160</v>
      </c>
      <c r="C1614" s="168" t="s">
        <v>247</v>
      </c>
      <c r="D1614" s="168" t="s">
        <v>3288</v>
      </c>
      <c r="E1614" s="116">
        <v>1781.5714</v>
      </c>
      <c r="F1614" s="149" t="s">
        <v>122</v>
      </c>
      <c r="G1614" s="149" t="s">
        <v>135</v>
      </c>
      <c r="H1614" s="168" t="s">
        <v>39</v>
      </c>
      <c r="I1614" s="168"/>
      <c r="J1614" s="168" t="s">
        <v>694</v>
      </c>
      <c r="K1614" s="168"/>
      <c r="L1614" s="160"/>
      <c r="M1614" s="169"/>
    </row>
    <row r="1615" spans="1:13" x14ac:dyDescent="0.55000000000000004">
      <c r="A1615" s="54" t="s">
        <v>687</v>
      </c>
      <c r="B1615" s="168" t="s">
        <v>688</v>
      </c>
      <c r="C1615" s="168" t="s">
        <v>121</v>
      </c>
      <c r="D1615" s="168" t="s">
        <v>3288</v>
      </c>
      <c r="E1615" s="116">
        <v>1</v>
      </c>
      <c r="F1615" s="149" t="s">
        <v>135</v>
      </c>
      <c r="G1615" s="149">
        <v>1</v>
      </c>
      <c r="H1615" s="168" t="s">
        <v>39</v>
      </c>
      <c r="I1615" s="168"/>
      <c r="J1615" s="168" t="s">
        <v>687</v>
      </c>
      <c r="K1615" s="168"/>
      <c r="L1615" s="160">
        <v>7003</v>
      </c>
      <c r="M1615" s="169"/>
    </row>
    <row r="1616" spans="1:13" x14ac:dyDescent="0.55000000000000004">
      <c r="A1616" s="54" t="s">
        <v>687</v>
      </c>
      <c r="B1616" s="168" t="s">
        <v>153</v>
      </c>
      <c r="C1616" s="168" t="s">
        <v>127</v>
      </c>
      <c r="D1616" s="168" t="s">
        <v>2994</v>
      </c>
      <c r="E1616" s="116">
        <v>0.8</v>
      </c>
      <c r="F1616" s="149" t="s">
        <v>138</v>
      </c>
      <c r="G1616" s="149" t="s">
        <v>135</v>
      </c>
      <c r="H1616" s="168" t="s">
        <v>39</v>
      </c>
      <c r="I1616" s="168"/>
      <c r="J1616" s="168" t="s">
        <v>687</v>
      </c>
      <c r="K1616" s="168"/>
      <c r="L1616" s="160"/>
      <c r="M1616" s="169"/>
    </row>
    <row r="1617" spans="1:13" x14ac:dyDescent="0.55000000000000004">
      <c r="A1617" s="54" t="s">
        <v>687</v>
      </c>
      <c r="B1617" s="168" t="s">
        <v>171</v>
      </c>
      <c r="C1617" s="168" t="s">
        <v>127</v>
      </c>
      <c r="D1617" s="168" t="s">
        <v>2994</v>
      </c>
      <c r="E1617" s="116">
        <v>4.29</v>
      </c>
      <c r="F1617" s="149" t="s">
        <v>138</v>
      </c>
      <c r="G1617" s="149" t="s">
        <v>135</v>
      </c>
      <c r="H1617" s="168" t="s">
        <v>39</v>
      </c>
      <c r="I1617" s="168"/>
      <c r="J1617" s="168" t="s">
        <v>687</v>
      </c>
      <c r="K1617" s="168"/>
      <c r="L1617" s="160"/>
      <c r="M1617" s="169"/>
    </row>
    <row r="1618" spans="1:13" x14ac:dyDescent="0.55000000000000004">
      <c r="A1618" s="54" t="s">
        <v>687</v>
      </c>
      <c r="B1618" s="168" t="s">
        <v>691</v>
      </c>
      <c r="C1618" s="168" t="s">
        <v>127</v>
      </c>
      <c r="D1618" s="168" t="s">
        <v>2994</v>
      </c>
      <c r="E1618" s="116">
        <v>10.119999999999999</v>
      </c>
      <c r="F1618" s="149" t="s">
        <v>138</v>
      </c>
      <c r="G1618" s="149" t="s">
        <v>135</v>
      </c>
      <c r="H1618" s="168" t="s">
        <v>39</v>
      </c>
      <c r="I1618" s="168"/>
      <c r="J1618" s="168" t="s">
        <v>687</v>
      </c>
      <c r="K1618" s="168"/>
      <c r="L1618" s="160"/>
      <c r="M1618" s="169"/>
    </row>
    <row r="1619" spans="1:13" x14ac:dyDescent="0.55000000000000004">
      <c r="A1619" s="54" t="s">
        <v>687</v>
      </c>
      <c r="B1619" s="168" t="s">
        <v>160</v>
      </c>
      <c r="C1619" s="168" t="s">
        <v>247</v>
      </c>
      <c r="D1619" s="168" t="s">
        <v>3288</v>
      </c>
      <c r="E1619" s="116">
        <v>987.07569144755303</v>
      </c>
      <c r="F1619" s="149" t="s">
        <v>122</v>
      </c>
      <c r="G1619" s="149" t="s">
        <v>135</v>
      </c>
      <c r="H1619" s="168" t="s">
        <v>39</v>
      </c>
      <c r="I1619" s="168"/>
      <c r="J1619" s="168" t="s">
        <v>687</v>
      </c>
      <c r="K1619" s="168"/>
      <c r="L1619" s="160"/>
      <c r="M1619" s="169"/>
    </row>
    <row r="1620" spans="1:13" x14ac:dyDescent="0.55000000000000004">
      <c r="A1620" s="94" t="s">
        <v>686</v>
      </c>
      <c r="B1620" s="168" t="s">
        <v>598</v>
      </c>
      <c r="C1620" s="168" t="s">
        <v>121</v>
      </c>
      <c r="D1620" s="168" t="s">
        <v>3288</v>
      </c>
      <c r="E1620" s="116">
        <v>1</v>
      </c>
      <c r="F1620" s="149" t="s">
        <v>135</v>
      </c>
      <c r="G1620" s="149">
        <v>1</v>
      </c>
      <c r="H1620" s="168" t="s">
        <v>39</v>
      </c>
      <c r="I1620" s="168"/>
      <c r="J1620" s="168" t="s">
        <v>686</v>
      </c>
      <c r="K1620" s="168"/>
      <c r="L1620" s="160" t="s">
        <v>599</v>
      </c>
      <c r="M1620" s="169"/>
    </row>
    <row r="1621" spans="1:13" x14ac:dyDescent="0.55000000000000004">
      <c r="A1621" s="94" t="s">
        <v>686</v>
      </c>
      <c r="B1621" s="168" t="s">
        <v>575</v>
      </c>
      <c r="C1621" s="168" t="s">
        <v>127</v>
      </c>
      <c r="D1621" s="168" t="s">
        <v>2994</v>
      </c>
      <c r="E1621" s="116">
        <v>17.8</v>
      </c>
      <c r="F1621" s="149" t="s">
        <v>138</v>
      </c>
      <c r="G1621" s="149" t="s">
        <v>135</v>
      </c>
      <c r="H1621" s="168" t="s">
        <v>39</v>
      </c>
      <c r="I1621" s="168"/>
      <c r="J1621" s="168" t="s">
        <v>686</v>
      </c>
      <c r="K1621" s="168"/>
      <c r="L1621" s="160"/>
      <c r="M1621" s="169"/>
    </row>
    <row r="1622" spans="1:13" x14ac:dyDescent="0.55000000000000004">
      <c r="A1622" s="94" t="s">
        <v>686</v>
      </c>
      <c r="B1622" s="168" t="s">
        <v>3383</v>
      </c>
      <c r="C1622" s="168" t="s">
        <v>127</v>
      </c>
      <c r="D1622" s="168" t="s">
        <v>2994</v>
      </c>
      <c r="E1622" s="116">
        <v>0.3</v>
      </c>
      <c r="F1622" s="149" t="s">
        <v>138</v>
      </c>
      <c r="G1622" s="149" t="s">
        <v>135</v>
      </c>
      <c r="H1622" s="168" t="s">
        <v>39</v>
      </c>
      <c r="I1622" s="168"/>
      <c r="J1622" s="168" t="s">
        <v>686</v>
      </c>
      <c r="K1622" s="168"/>
      <c r="L1622" s="160"/>
      <c r="M1622" s="169"/>
    </row>
    <row r="1623" spans="1:13" x14ac:dyDescent="0.55000000000000004">
      <c r="A1623" s="94" t="s">
        <v>686</v>
      </c>
      <c r="B1623" s="168" t="s">
        <v>575</v>
      </c>
      <c r="C1623" s="168" t="s">
        <v>231</v>
      </c>
      <c r="D1623" s="168" t="s">
        <v>2994</v>
      </c>
      <c r="E1623" s="116">
        <v>89.9</v>
      </c>
      <c r="F1623" s="149" t="s">
        <v>138</v>
      </c>
      <c r="G1623" s="149" t="s">
        <v>135</v>
      </c>
      <c r="H1623" s="168" t="s">
        <v>39</v>
      </c>
      <c r="I1623" s="168"/>
      <c r="J1623" s="168" t="s">
        <v>686</v>
      </c>
      <c r="K1623" s="168"/>
      <c r="L1623" s="160"/>
      <c r="M1623" s="169"/>
    </row>
    <row r="1624" spans="1:13" x14ac:dyDescent="0.55000000000000004">
      <c r="A1624" s="94" t="s">
        <v>686</v>
      </c>
      <c r="B1624" s="168" t="s">
        <v>188</v>
      </c>
      <c r="C1624" s="168" t="s">
        <v>156</v>
      </c>
      <c r="D1624" s="168" t="s">
        <v>2994</v>
      </c>
      <c r="E1624" s="116">
        <v>2.1</v>
      </c>
      <c r="F1624" s="149" t="s">
        <v>138</v>
      </c>
      <c r="G1624" s="149" t="s">
        <v>135</v>
      </c>
      <c r="H1624" s="168" t="s">
        <v>39</v>
      </c>
      <c r="I1624" s="168"/>
      <c r="J1624" s="168" t="s">
        <v>686</v>
      </c>
      <c r="K1624" s="168"/>
      <c r="L1624" s="160"/>
      <c r="M1624" s="169"/>
    </row>
    <row r="1625" spans="1:13" x14ac:dyDescent="0.55000000000000004">
      <c r="A1625" s="94" t="s">
        <v>686</v>
      </c>
      <c r="B1625" s="168" t="s">
        <v>160</v>
      </c>
      <c r="C1625" s="168" t="s">
        <v>247</v>
      </c>
      <c r="D1625" s="168" t="s">
        <v>3288</v>
      </c>
      <c r="E1625" s="116">
        <v>1318.98</v>
      </c>
      <c r="F1625" s="149" t="s">
        <v>122</v>
      </c>
      <c r="G1625" s="149" t="s">
        <v>135</v>
      </c>
      <c r="H1625" s="168" t="s">
        <v>39</v>
      </c>
      <c r="I1625" s="168"/>
      <c r="J1625" s="168" t="s">
        <v>686</v>
      </c>
      <c r="K1625" s="168"/>
      <c r="L1625" s="160"/>
      <c r="M1625" s="169"/>
    </row>
    <row r="1626" spans="1:13" x14ac:dyDescent="0.55000000000000004">
      <c r="A1626" s="93" t="s">
        <v>681</v>
      </c>
      <c r="B1626" s="168" t="s">
        <v>268</v>
      </c>
      <c r="C1626" s="168" t="s">
        <v>121</v>
      </c>
      <c r="D1626" s="168" t="s">
        <v>3288</v>
      </c>
      <c r="E1626" s="116">
        <v>1</v>
      </c>
      <c r="F1626" s="149" t="s">
        <v>135</v>
      </c>
      <c r="G1626" s="149">
        <v>1</v>
      </c>
      <c r="H1626" s="168" t="s">
        <v>39</v>
      </c>
      <c r="I1626" s="168"/>
      <c r="J1626" s="168" t="s">
        <v>681</v>
      </c>
      <c r="K1626" s="168"/>
      <c r="L1626" s="160">
        <v>7601</v>
      </c>
      <c r="M1626" s="169"/>
    </row>
    <row r="1627" spans="1:13" x14ac:dyDescent="0.55000000000000004">
      <c r="A1627" s="93" t="s">
        <v>681</v>
      </c>
      <c r="B1627" s="168" t="s">
        <v>261</v>
      </c>
      <c r="C1627" s="168" t="s">
        <v>125</v>
      </c>
      <c r="D1627" s="168" t="s">
        <v>3288</v>
      </c>
      <c r="E1627" s="116">
        <v>1.9</v>
      </c>
      <c r="F1627" s="149" t="s">
        <v>135</v>
      </c>
      <c r="G1627" s="149" t="s">
        <v>135</v>
      </c>
      <c r="H1627" s="168" t="s">
        <v>39</v>
      </c>
      <c r="I1627" s="168"/>
      <c r="J1627" s="168" t="s">
        <v>681</v>
      </c>
      <c r="K1627" s="168"/>
      <c r="L1627" s="160"/>
      <c r="M1627" s="169"/>
    </row>
    <row r="1628" spans="1:13" x14ac:dyDescent="0.55000000000000004">
      <c r="A1628" s="93" t="s">
        <v>681</v>
      </c>
      <c r="B1628" s="168" t="s">
        <v>153</v>
      </c>
      <c r="C1628" s="168" t="s">
        <v>127</v>
      </c>
      <c r="D1628" s="168" t="s">
        <v>2994</v>
      </c>
      <c r="E1628" s="116">
        <v>48.68</v>
      </c>
      <c r="F1628" s="149" t="s">
        <v>138</v>
      </c>
      <c r="G1628" s="149" t="s">
        <v>135</v>
      </c>
      <c r="H1628" s="168" t="s">
        <v>39</v>
      </c>
      <c r="I1628" s="168"/>
      <c r="J1628" s="168" t="s">
        <v>681</v>
      </c>
      <c r="K1628" s="168"/>
      <c r="L1628" s="160"/>
      <c r="M1628" s="169"/>
    </row>
    <row r="1629" spans="1:13" x14ac:dyDescent="0.55000000000000004">
      <c r="A1629" s="93" t="s">
        <v>681</v>
      </c>
      <c r="B1629" s="168" t="s">
        <v>171</v>
      </c>
      <c r="C1629" s="168" t="s">
        <v>127</v>
      </c>
      <c r="D1629" s="168" t="s">
        <v>2994</v>
      </c>
      <c r="E1629" s="116">
        <v>2.8</v>
      </c>
      <c r="F1629" s="149" t="s">
        <v>138</v>
      </c>
      <c r="G1629" s="149" t="s">
        <v>135</v>
      </c>
      <c r="H1629" s="168" t="s">
        <v>39</v>
      </c>
      <c r="I1629" s="168"/>
      <c r="J1629" s="168" t="s">
        <v>681</v>
      </c>
      <c r="K1629" s="168"/>
      <c r="L1629" s="160"/>
      <c r="M1629" s="169"/>
    </row>
    <row r="1630" spans="1:13" x14ac:dyDescent="0.55000000000000004">
      <c r="A1630" s="93" t="s">
        <v>681</v>
      </c>
      <c r="B1630" s="168" t="s">
        <v>160</v>
      </c>
      <c r="C1630" s="168" t="s">
        <v>247</v>
      </c>
      <c r="D1630" s="168" t="s">
        <v>3288</v>
      </c>
      <c r="E1630" s="116">
        <v>156.99777280211481</v>
      </c>
      <c r="F1630" s="149" t="s">
        <v>122</v>
      </c>
      <c r="G1630" s="149" t="s">
        <v>135</v>
      </c>
      <c r="H1630" s="168" t="s">
        <v>39</v>
      </c>
      <c r="I1630" s="168"/>
      <c r="J1630" s="168" t="s">
        <v>681</v>
      </c>
      <c r="K1630" s="168"/>
      <c r="L1630" s="160"/>
      <c r="M1630" s="169"/>
    </row>
    <row r="1631" spans="1:13" x14ac:dyDescent="0.55000000000000004">
      <c r="A1631" s="65" t="s">
        <v>675</v>
      </c>
      <c r="B1631" s="168" t="s">
        <v>140</v>
      </c>
      <c r="C1631" s="168" t="s">
        <v>121</v>
      </c>
      <c r="D1631" s="168" t="s">
        <v>3288</v>
      </c>
      <c r="E1631" s="116">
        <v>1</v>
      </c>
      <c r="F1631" s="149" t="s">
        <v>135</v>
      </c>
      <c r="G1631" s="149">
        <v>1</v>
      </c>
      <c r="H1631" s="168" t="s">
        <v>39</v>
      </c>
      <c r="I1631" s="168"/>
      <c r="J1631" s="168" t="s">
        <v>675</v>
      </c>
      <c r="K1631" s="168"/>
      <c r="L1631" s="160">
        <v>7203</v>
      </c>
      <c r="M1631" s="169"/>
    </row>
    <row r="1632" spans="1:13" x14ac:dyDescent="0.55000000000000004">
      <c r="A1632" s="65" t="s">
        <v>675</v>
      </c>
      <c r="B1632" s="168" t="s">
        <v>153</v>
      </c>
      <c r="C1632" s="168" t="s">
        <v>127</v>
      </c>
      <c r="D1632" s="168" t="s">
        <v>2994</v>
      </c>
      <c r="E1632" s="116">
        <v>1.8</v>
      </c>
      <c r="F1632" s="149" t="s">
        <v>138</v>
      </c>
      <c r="G1632" s="149" t="s">
        <v>135</v>
      </c>
      <c r="H1632" s="168" t="s">
        <v>39</v>
      </c>
      <c r="I1632" s="168"/>
      <c r="J1632" s="168" t="s">
        <v>675</v>
      </c>
      <c r="K1632" s="168"/>
      <c r="L1632" s="160"/>
      <c r="M1632" s="169"/>
    </row>
    <row r="1633" spans="1:13" x14ac:dyDescent="0.55000000000000004">
      <c r="A1633" s="65" t="s">
        <v>675</v>
      </c>
      <c r="B1633" s="168" t="s">
        <v>334</v>
      </c>
      <c r="C1633" s="168" t="s">
        <v>127</v>
      </c>
      <c r="D1633" s="168" t="s">
        <v>2994</v>
      </c>
      <c r="E1633" s="116">
        <v>6.12</v>
      </c>
      <c r="F1633" s="149" t="s">
        <v>138</v>
      </c>
      <c r="G1633" s="149" t="s">
        <v>135</v>
      </c>
      <c r="H1633" s="168" t="s">
        <v>39</v>
      </c>
      <c r="I1633" s="168"/>
      <c r="J1633" s="168" t="s">
        <v>675</v>
      </c>
      <c r="K1633" s="168"/>
      <c r="L1633" s="160"/>
      <c r="M1633" s="169"/>
    </row>
    <row r="1634" spans="1:13" x14ac:dyDescent="0.55000000000000004">
      <c r="A1634" s="65" t="s">
        <v>675</v>
      </c>
      <c r="B1634" s="168" t="s">
        <v>3383</v>
      </c>
      <c r="C1634" s="168" t="s">
        <v>127</v>
      </c>
      <c r="D1634" s="168" t="s">
        <v>2994</v>
      </c>
      <c r="E1634" s="116">
        <v>1.28</v>
      </c>
      <c r="F1634" s="149" t="s">
        <v>138</v>
      </c>
      <c r="G1634" s="149" t="s">
        <v>135</v>
      </c>
      <c r="H1634" s="168" t="s">
        <v>39</v>
      </c>
      <c r="I1634" s="168"/>
      <c r="J1634" s="168" t="s">
        <v>675</v>
      </c>
      <c r="K1634" s="168"/>
      <c r="L1634" s="160"/>
      <c r="M1634" s="169"/>
    </row>
    <row r="1635" spans="1:13" x14ac:dyDescent="0.55000000000000004">
      <c r="A1635" s="65" t="s">
        <v>675</v>
      </c>
      <c r="B1635" s="168" t="s">
        <v>171</v>
      </c>
      <c r="C1635" s="168" t="s">
        <v>127</v>
      </c>
      <c r="D1635" s="168" t="s">
        <v>2994</v>
      </c>
      <c r="E1635" s="116">
        <v>2.2000000000000002</v>
      </c>
      <c r="F1635" s="149" t="s">
        <v>138</v>
      </c>
      <c r="G1635" s="149" t="s">
        <v>135</v>
      </c>
      <c r="H1635" s="168" t="s">
        <v>39</v>
      </c>
      <c r="I1635" s="168"/>
      <c r="J1635" s="168" t="s">
        <v>675</v>
      </c>
      <c r="K1635" s="168"/>
      <c r="L1635" s="160"/>
      <c r="M1635" s="169"/>
    </row>
    <row r="1636" spans="1:13" x14ac:dyDescent="0.55000000000000004">
      <c r="A1636" s="65" t="s">
        <v>675</v>
      </c>
      <c r="B1636" s="168" t="s">
        <v>188</v>
      </c>
      <c r="C1636" s="168" t="s">
        <v>156</v>
      </c>
      <c r="D1636" s="168" t="s">
        <v>2994</v>
      </c>
      <c r="E1636" s="116">
        <v>0.2</v>
      </c>
      <c r="F1636" s="149" t="s">
        <v>138</v>
      </c>
      <c r="G1636" s="149" t="s">
        <v>135</v>
      </c>
      <c r="H1636" s="168" t="s">
        <v>39</v>
      </c>
      <c r="I1636" s="168"/>
      <c r="J1636" s="168" t="s">
        <v>675</v>
      </c>
      <c r="K1636" s="168"/>
      <c r="L1636" s="160"/>
      <c r="M1636" s="169"/>
    </row>
    <row r="1637" spans="1:13" x14ac:dyDescent="0.55000000000000004">
      <c r="A1637" s="65" t="s">
        <v>675</v>
      </c>
      <c r="B1637" s="168" t="s">
        <v>160</v>
      </c>
      <c r="C1637" s="168" t="s">
        <v>247</v>
      </c>
      <c r="D1637" s="168" t="s">
        <v>3288</v>
      </c>
      <c r="E1637" s="116">
        <v>123.35539291594741</v>
      </c>
      <c r="F1637" s="149" t="s">
        <v>122</v>
      </c>
      <c r="G1637" s="149" t="s">
        <v>135</v>
      </c>
      <c r="H1637" s="168" t="s">
        <v>39</v>
      </c>
      <c r="I1637" s="168"/>
      <c r="J1637" s="168" t="s">
        <v>675</v>
      </c>
      <c r="K1637" s="168"/>
      <c r="L1637" s="160"/>
      <c r="M1637" s="169"/>
    </row>
    <row r="1638" spans="1:13" x14ac:dyDescent="0.55000000000000004">
      <c r="A1638" s="65" t="s">
        <v>672</v>
      </c>
      <c r="B1638" s="168" t="s">
        <v>140</v>
      </c>
      <c r="C1638" s="168" t="s">
        <v>121</v>
      </c>
      <c r="D1638" s="168" t="s">
        <v>3288</v>
      </c>
      <c r="E1638" s="116">
        <v>1</v>
      </c>
      <c r="F1638" s="149" t="s">
        <v>135</v>
      </c>
      <c r="G1638" s="149">
        <v>1</v>
      </c>
      <c r="H1638" s="168" t="s">
        <v>39</v>
      </c>
      <c r="I1638" s="168"/>
      <c r="J1638" s="168" t="s">
        <v>672</v>
      </c>
      <c r="K1638" s="168"/>
      <c r="L1638" s="160">
        <v>7206</v>
      </c>
      <c r="M1638" s="169"/>
    </row>
    <row r="1639" spans="1:13" x14ac:dyDescent="0.55000000000000004">
      <c r="A1639" s="65" t="s">
        <v>672</v>
      </c>
      <c r="B1639" s="168" t="s">
        <v>262</v>
      </c>
      <c r="C1639" s="168" t="s">
        <v>127</v>
      </c>
      <c r="D1639" s="168" t="s">
        <v>2994</v>
      </c>
      <c r="E1639" s="116">
        <v>13.08</v>
      </c>
      <c r="F1639" s="149" t="s">
        <v>138</v>
      </c>
      <c r="G1639" s="149" t="s">
        <v>135</v>
      </c>
      <c r="H1639" s="168" t="s">
        <v>39</v>
      </c>
      <c r="I1639" s="168"/>
      <c r="J1639" s="168" t="s">
        <v>672</v>
      </c>
      <c r="K1639" s="168"/>
      <c r="L1639" s="160"/>
      <c r="M1639" s="169"/>
    </row>
    <row r="1640" spans="1:13" x14ac:dyDescent="0.55000000000000004">
      <c r="A1640" s="65" t="s">
        <v>672</v>
      </c>
      <c r="B1640" s="168" t="s">
        <v>298</v>
      </c>
      <c r="C1640" s="168" t="s">
        <v>127</v>
      </c>
      <c r="D1640" s="168" t="s">
        <v>2994</v>
      </c>
      <c r="E1640" s="116">
        <v>0.79</v>
      </c>
      <c r="F1640" s="149" t="s">
        <v>138</v>
      </c>
      <c r="G1640" s="149" t="s">
        <v>135</v>
      </c>
      <c r="H1640" s="168" t="s">
        <v>39</v>
      </c>
      <c r="I1640" s="168"/>
      <c r="J1640" s="168" t="s">
        <v>672</v>
      </c>
      <c r="K1640" s="168"/>
      <c r="L1640" s="160"/>
      <c r="M1640" s="169"/>
    </row>
    <row r="1641" spans="1:13" x14ac:dyDescent="0.55000000000000004">
      <c r="A1641" s="65" t="s">
        <v>672</v>
      </c>
      <c r="B1641" s="168" t="s">
        <v>3383</v>
      </c>
      <c r="C1641" s="168" t="s">
        <v>127</v>
      </c>
      <c r="D1641" s="168" t="s">
        <v>2994</v>
      </c>
      <c r="E1641" s="116">
        <v>0.6</v>
      </c>
      <c r="F1641" s="149" t="s">
        <v>138</v>
      </c>
      <c r="G1641" s="149" t="s">
        <v>135</v>
      </c>
      <c r="H1641" s="168" t="s">
        <v>39</v>
      </c>
      <c r="I1641" s="168"/>
      <c r="J1641" s="168" t="s">
        <v>672</v>
      </c>
      <c r="K1641" s="168"/>
      <c r="L1641" s="160"/>
      <c r="M1641" s="169"/>
    </row>
    <row r="1642" spans="1:13" x14ac:dyDescent="0.55000000000000004">
      <c r="A1642" s="65" t="s">
        <v>672</v>
      </c>
      <c r="B1642" s="168" t="s">
        <v>171</v>
      </c>
      <c r="C1642" s="168" t="s">
        <v>127</v>
      </c>
      <c r="D1642" s="168" t="s">
        <v>2994</v>
      </c>
      <c r="E1642" s="116">
        <v>0.63</v>
      </c>
      <c r="F1642" s="149" t="s">
        <v>138</v>
      </c>
      <c r="G1642" s="149" t="s">
        <v>135</v>
      </c>
      <c r="H1642" s="168" t="s">
        <v>39</v>
      </c>
      <c r="I1642" s="168"/>
      <c r="J1642" s="168" t="s">
        <v>672</v>
      </c>
      <c r="K1642" s="168"/>
      <c r="L1642" s="160"/>
      <c r="M1642" s="169"/>
    </row>
    <row r="1643" spans="1:13" x14ac:dyDescent="0.55000000000000004">
      <c r="A1643" s="65" t="s">
        <v>672</v>
      </c>
      <c r="B1643" s="168" t="s">
        <v>188</v>
      </c>
      <c r="C1643" s="168" t="s">
        <v>127</v>
      </c>
      <c r="D1643" s="168" t="s">
        <v>2994</v>
      </c>
      <c r="E1643" s="116">
        <v>0.17</v>
      </c>
      <c r="F1643" s="149" t="s">
        <v>138</v>
      </c>
      <c r="G1643" s="149" t="s">
        <v>135</v>
      </c>
      <c r="H1643" s="168" t="s">
        <v>39</v>
      </c>
      <c r="I1643" s="168"/>
      <c r="J1643" s="168" t="s">
        <v>672</v>
      </c>
      <c r="K1643" s="168"/>
      <c r="L1643" s="160"/>
      <c r="M1643" s="169"/>
    </row>
    <row r="1644" spans="1:13" x14ac:dyDescent="0.55000000000000004">
      <c r="A1644" s="65" t="s">
        <v>672</v>
      </c>
      <c r="B1644" s="168" t="s">
        <v>308</v>
      </c>
      <c r="C1644" s="168" t="s">
        <v>156</v>
      </c>
      <c r="D1644" s="168" t="s">
        <v>2994</v>
      </c>
      <c r="E1644" s="116">
        <v>0.7</v>
      </c>
      <c r="F1644" s="149" t="s">
        <v>138</v>
      </c>
      <c r="G1644" s="149" t="s">
        <v>135</v>
      </c>
      <c r="H1644" s="168" t="s">
        <v>39</v>
      </c>
      <c r="I1644" s="168"/>
      <c r="J1644" s="168" t="s">
        <v>672</v>
      </c>
      <c r="K1644" s="168"/>
      <c r="L1644" s="160"/>
      <c r="M1644" s="169"/>
    </row>
    <row r="1645" spans="1:13" x14ac:dyDescent="0.55000000000000004">
      <c r="A1645" s="65" t="s">
        <v>672</v>
      </c>
      <c r="B1645" s="168" t="s">
        <v>160</v>
      </c>
      <c r="C1645" s="168" t="s">
        <v>247</v>
      </c>
      <c r="D1645" s="168" t="s">
        <v>3288</v>
      </c>
      <c r="E1645" s="116">
        <v>1326.286033732626</v>
      </c>
      <c r="F1645" s="149" t="s">
        <v>122</v>
      </c>
      <c r="G1645" s="149" t="s">
        <v>135</v>
      </c>
      <c r="H1645" s="168" t="s">
        <v>39</v>
      </c>
      <c r="I1645" s="168"/>
      <c r="J1645" s="168" t="s">
        <v>672</v>
      </c>
      <c r="K1645" s="168"/>
      <c r="L1645" s="160"/>
      <c r="M1645" s="169"/>
    </row>
    <row r="1646" spans="1:13" x14ac:dyDescent="0.55000000000000004">
      <c r="A1646" s="65" t="s">
        <v>666</v>
      </c>
      <c r="B1646" s="168" t="s">
        <v>140</v>
      </c>
      <c r="C1646" s="168" t="s">
        <v>121</v>
      </c>
      <c r="D1646" s="168" t="s">
        <v>3288</v>
      </c>
      <c r="E1646" s="116">
        <v>1</v>
      </c>
      <c r="F1646" s="149" t="s">
        <v>135</v>
      </c>
      <c r="G1646" s="149">
        <v>1</v>
      </c>
      <c r="H1646" s="168" t="s">
        <v>39</v>
      </c>
      <c r="I1646" s="168"/>
      <c r="J1646" s="168" t="s">
        <v>666</v>
      </c>
      <c r="K1646" s="168"/>
      <c r="L1646" s="160">
        <v>7206</v>
      </c>
      <c r="M1646" s="169"/>
    </row>
    <row r="1647" spans="1:13" x14ac:dyDescent="0.55000000000000004">
      <c r="A1647" s="65" t="s">
        <v>666</v>
      </c>
      <c r="B1647" s="168" t="s">
        <v>262</v>
      </c>
      <c r="C1647" s="168" t="s">
        <v>127</v>
      </c>
      <c r="D1647" s="168" t="s">
        <v>2994</v>
      </c>
      <c r="E1647" s="116">
        <v>13.08</v>
      </c>
      <c r="F1647" s="149" t="s">
        <v>138</v>
      </c>
      <c r="G1647" s="149" t="s">
        <v>135</v>
      </c>
      <c r="H1647" s="168" t="s">
        <v>39</v>
      </c>
      <c r="I1647" s="168"/>
      <c r="J1647" s="168" t="s">
        <v>666</v>
      </c>
      <c r="K1647" s="168"/>
      <c r="L1647" s="160"/>
      <c r="M1647" s="169"/>
    </row>
    <row r="1648" spans="1:13" x14ac:dyDescent="0.55000000000000004">
      <c r="A1648" s="65" t="s">
        <v>666</v>
      </c>
      <c r="B1648" s="168" t="s">
        <v>298</v>
      </c>
      <c r="C1648" s="168" t="s">
        <v>127</v>
      </c>
      <c r="D1648" s="168" t="s">
        <v>2994</v>
      </c>
      <c r="E1648" s="116">
        <v>0.79</v>
      </c>
      <c r="F1648" s="149" t="s">
        <v>138</v>
      </c>
      <c r="G1648" s="149" t="s">
        <v>135</v>
      </c>
      <c r="H1648" s="168" t="s">
        <v>39</v>
      </c>
      <c r="I1648" s="168"/>
      <c r="J1648" s="168" t="s">
        <v>666</v>
      </c>
      <c r="K1648" s="168"/>
      <c r="L1648" s="160"/>
      <c r="M1648" s="169"/>
    </row>
    <row r="1649" spans="1:13" x14ac:dyDescent="0.55000000000000004">
      <c r="A1649" s="65" t="s">
        <v>666</v>
      </c>
      <c r="B1649" s="168" t="s">
        <v>3383</v>
      </c>
      <c r="C1649" s="168" t="s">
        <v>127</v>
      </c>
      <c r="D1649" s="168" t="s">
        <v>2994</v>
      </c>
      <c r="E1649" s="116">
        <v>0.96</v>
      </c>
      <c r="F1649" s="149" t="s">
        <v>138</v>
      </c>
      <c r="G1649" s="149" t="s">
        <v>135</v>
      </c>
      <c r="H1649" s="168" t="s">
        <v>39</v>
      </c>
      <c r="I1649" s="168"/>
      <c r="J1649" s="168" t="s">
        <v>666</v>
      </c>
      <c r="K1649" s="168"/>
      <c r="L1649" s="160"/>
      <c r="M1649" s="169"/>
    </row>
    <row r="1650" spans="1:13" x14ac:dyDescent="0.55000000000000004">
      <c r="A1650" s="65" t="s">
        <v>666</v>
      </c>
      <c r="B1650" s="168" t="s">
        <v>171</v>
      </c>
      <c r="C1650" s="168" t="s">
        <v>127</v>
      </c>
      <c r="D1650" s="168" t="s">
        <v>2994</v>
      </c>
      <c r="E1650" s="116">
        <v>0.63</v>
      </c>
      <c r="F1650" s="149" t="s">
        <v>138</v>
      </c>
      <c r="G1650" s="149" t="s">
        <v>135</v>
      </c>
      <c r="H1650" s="168" t="s">
        <v>39</v>
      </c>
      <c r="I1650" s="168"/>
      <c r="J1650" s="168" t="s">
        <v>666</v>
      </c>
      <c r="K1650" s="168"/>
      <c r="L1650" s="160"/>
      <c r="M1650" s="169"/>
    </row>
    <row r="1651" spans="1:13" x14ac:dyDescent="0.55000000000000004">
      <c r="A1651" s="65" t="s">
        <v>666</v>
      </c>
      <c r="B1651" s="168" t="s">
        <v>188</v>
      </c>
      <c r="C1651" s="168" t="s">
        <v>127</v>
      </c>
      <c r="D1651" s="168" t="s">
        <v>2994</v>
      </c>
      <c r="E1651" s="116">
        <v>0.17</v>
      </c>
      <c r="F1651" s="149" t="s">
        <v>138</v>
      </c>
      <c r="G1651" s="149" t="s">
        <v>135</v>
      </c>
      <c r="H1651" s="168" t="s">
        <v>39</v>
      </c>
      <c r="I1651" s="168"/>
      <c r="J1651" s="168" t="s">
        <v>666</v>
      </c>
      <c r="K1651" s="168"/>
      <c r="L1651" s="160"/>
      <c r="M1651" s="169"/>
    </row>
    <row r="1652" spans="1:13" x14ac:dyDescent="0.55000000000000004">
      <c r="A1652" s="65" t="s">
        <v>666</v>
      </c>
      <c r="B1652" s="168" t="s">
        <v>308</v>
      </c>
      <c r="C1652" s="168" t="s">
        <v>156</v>
      </c>
      <c r="D1652" s="168" t="s">
        <v>2994</v>
      </c>
      <c r="E1652" s="116">
        <v>0.7</v>
      </c>
      <c r="F1652" s="149" t="s">
        <v>138</v>
      </c>
      <c r="G1652" s="149" t="s">
        <v>135</v>
      </c>
      <c r="H1652" s="168" t="s">
        <v>39</v>
      </c>
      <c r="I1652" s="168"/>
      <c r="J1652" s="168" t="s">
        <v>666</v>
      </c>
      <c r="K1652" s="168"/>
      <c r="L1652" s="160"/>
      <c r="M1652" s="169"/>
    </row>
    <row r="1653" spans="1:13" x14ac:dyDescent="0.55000000000000004">
      <c r="A1653" s="65" t="s">
        <v>666</v>
      </c>
      <c r="B1653" s="168" t="s">
        <v>160</v>
      </c>
      <c r="C1653" s="168" t="s">
        <v>247</v>
      </c>
      <c r="D1653" s="168" t="s">
        <v>3288</v>
      </c>
      <c r="E1653" s="116">
        <v>1326.286033732626</v>
      </c>
      <c r="F1653" s="149" t="s">
        <v>122</v>
      </c>
      <c r="G1653" s="149" t="s">
        <v>135</v>
      </c>
      <c r="H1653" s="168" t="s">
        <v>39</v>
      </c>
      <c r="I1653" s="168"/>
      <c r="J1653" s="168" t="s">
        <v>666</v>
      </c>
      <c r="K1653" s="168"/>
      <c r="L1653" s="160"/>
      <c r="M1653" s="169"/>
    </row>
    <row r="1654" spans="1:13" x14ac:dyDescent="0.55000000000000004">
      <c r="A1654" s="65" t="s">
        <v>666</v>
      </c>
      <c r="B1654" s="168" t="s">
        <v>160</v>
      </c>
      <c r="C1654" s="168" t="s">
        <v>156</v>
      </c>
      <c r="D1654" s="168" t="s">
        <v>3288</v>
      </c>
      <c r="E1654" s="116">
        <v>1012.011688271822</v>
      </c>
      <c r="F1654" s="149" t="s">
        <v>122</v>
      </c>
      <c r="G1654" s="149" t="s">
        <v>135</v>
      </c>
      <c r="H1654" s="168" t="s">
        <v>39</v>
      </c>
      <c r="I1654" s="168"/>
      <c r="J1654" s="168" t="s">
        <v>666</v>
      </c>
      <c r="K1654" s="168"/>
      <c r="L1654" s="160"/>
      <c r="M1654" s="169"/>
    </row>
    <row r="1655" spans="1:13" x14ac:dyDescent="0.55000000000000004">
      <c r="A1655" s="93" t="s">
        <v>665</v>
      </c>
      <c r="B1655" s="168" t="s">
        <v>268</v>
      </c>
      <c r="C1655" s="168" t="s">
        <v>121</v>
      </c>
      <c r="D1655" s="168" t="s">
        <v>3288</v>
      </c>
      <c r="E1655" s="116">
        <v>1</v>
      </c>
      <c r="F1655" s="149" t="s">
        <v>135</v>
      </c>
      <c r="G1655" s="149">
        <v>1</v>
      </c>
      <c r="H1655" s="168" t="s">
        <v>39</v>
      </c>
      <c r="I1655" s="168"/>
      <c r="J1655" s="168" t="s">
        <v>665</v>
      </c>
      <c r="K1655" s="168"/>
      <c r="L1655" s="160">
        <v>7601</v>
      </c>
      <c r="M1655" s="169"/>
    </row>
    <row r="1656" spans="1:13" x14ac:dyDescent="0.55000000000000004">
      <c r="A1656" s="93" t="s">
        <v>665</v>
      </c>
      <c r="B1656" s="168" t="s">
        <v>261</v>
      </c>
      <c r="C1656" s="168" t="s">
        <v>125</v>
      </c>
      <c r="D1656" s="168" t="s">
        <v>3288</v>
      </c>
      <c r="E1656" s="116">
        <v>1.9</v>
      </c>
      <c r="F1656" s="149" t="s">
        <v>135</v>
      </c>
      <c r="G1656" s="149" t="s">
        <v>135</v>
      </c>
      <c r="H1656" s="168" t="s">
        <v>39</v>
      </c>
      <c r="I1656" s="168"/>
      <c r="J1656" s="168" t="s">
        <v>665</v>
      </c>
      <c r="K1656" s="168"/>
      <c r="L1656" s="160"/>
      <c r="M1656" s="169"/>
    </row>
    <row r="1657" spans="1:13" x14ac:dyDescent="0.55000000000000004">
      <c r="A1657" s="93" t="s">
        <v>665</v>
      </c>
      <c r="B1657" s="168" t="s">
        <v>153</v>
      </c>
      <c r="C1657" s="168" t="s">
        <v>127</v>
      </c>
      <c r="D1657" s="168" t="s">
        <v>2994</v>
      </c>
      <c r="E1657" s="116">
        <v>38.28</v>
      </c>
      <c r="F1657" s="149" t="s">
        <v>138</v>
      </c>
      <c r="G1657" s="149" t="s">
        <v>135</v>
      </c>
      <c r="H1657" s="168" t="s">
        <v>39</v>
      </c>
      <c r="I1657" s="168"/>
      <c r="J1657" s="168" t="s">
        <v>665</v>
      </c>
      <c r="K1657" s="168"/>
      <c r="L1657" s="160"/>
      <c r="M1657" s="169"/>
    </row>
    <row r="1658" spans="1:13" x14ac:dyDescent="0.55000000000000004">
      <c r="A1658" s="93" t="s">
        <v>665</v>
      </c>
      <c r="B1658" s="168" t="s">
        <v>171</v>
      </c>
      <c r="C1658" s="168" t="s">
        <v>127</v>
      </c>
      <c r="D1658" s="168" t="s">
        <v>2994</v>
      </c>
      <c r="E1658" s="116">
        <v>2.2000000000000002</v>
      </c>
      <c r="F1658" s="149" t="s">
        <v>138</v>
      </c>
      <c r="G1658" s="149" t="s">
        <v>135</v>
      </c>
      <c r="H1658" s="168" t="s">
        <v>39</v>
      </c>
      <c r="I1658" s="168"/>
      <c r="J1658" s="168" t="s">
        <v>665</v>
      </c>
      <c r="K1658" s="168"/>
      <c r="L1658" s="160"/>
      <c r="M1658" s="169"/>
    </row>
    <row r="1659" spans="1:13" x14ac:dyDescent="0.55000000000000004">
      <c r="A1659" s="93" t="s">
        <v>665</v>
      </c>
      <c r="B1659" s="168" t="s">
        <v>160</v>
      </c>
      <c r="C1659" s="168" t="s">
        <v>247</v>
      </c>
      <c r="D1659" s="168" t="s">
        <v>3288</v>
      </c>
      <c r="E1659" s="116">
        <v>123.35539291594741</v>
      </c>
      <c r="F1659" s="149" t="s">
        <v>122</v>
      </c>
      <c r="G1659" s="149" t="s">
        <v>135</v>
      </c>
      <c r="H1659" s="168" t="s">
        <v>39</v>
      </c>
      <c r="I1659" s="168"/>
      <c r="J1659" s="168" t="s">
        <v>665</v>
      </c>
      <c r="K1659" s="168"/>
      <c r="L1659" s="160"/>
      <c r="M1659" s="169"/>
    </row>
    <row r="1660" spans="1:13" x14ac:dyDescent="0.55000000000000004">
      <c r="A1660" s="93" t="s">
        <v>663</v>
      </c>
      <c r="B1660" s="168" t="s">
        <v>268</v>
      </c>
      <c r="C1660" s="168" t="s">
        <v>121</v>
      </c>
      <c r="D1660" s="168" t="s">
        <v>3288</v>
      </c>
      <c r="E1660" s="116">
        <v>1</v>
      </c>
      <c r="F1660" s="149" t="s">
        <v>135</v>
      </c>
      <c r="G1660" s="149">
        <v>1</v>
      </c>
      <c r="H1660" s="168" t="s">
        <v>39</v>
      </c>
      <c r="I1660" s="168"/>
      <c r="J1660" s="168" t="s">
        <v>663</v>
      </c>
      <c r="K1660" s="168"/>
      <c r="L1660" s="160">
        <v>7601</v>
      </c>
      <c r="M1660" s="169"/>
    </row>
    <row r="1661" spans="1:13" x14ac:dyDescent="0.55000000000000004">
      <c r="A1661" s="93" t="s">
        <v>663</v>
      </c>
      <c r="B1661" s="168" t="s">
        <v>153</v>
      </c>
      <c r="C1661" s="168" t="s">
        <v>127</v>
      </c>
      <c r="D1661" s="168" t="s">
        <v>2994</v>
      </c>
      <c r="E1661" s="116">
        <v>50.39</v>
      </c>
      <c r="F1661" s="149" t="s">
        <v>138</v>
      </c>
      <c r="G1661" s="149" t="s">
        <v>135</v>
      </c>
      <c r="H1661" s="168" t="s">
        <v>39</v>
      </c>
      <c r="I1661" s="168"/>
      <c r="J1661" s="168" t="s">
        <v>663</v>
      </c>
      <c r="K1661" s="168"/>
      <c r="L1661" s="160"/>
      <c r="M1661" s="169"/>
    </row>
    <row r="1662" spans="1:13" x14ac:dyDescent="0.55000000000000004">
      <c r="A1662" s="95" t="s">
        <v>661</v>
      </c>
      <c r="B1662" s="168" t="s">
        <v>216</v>
      </c>
      <c r="C1662" s="168" t="s">
        <v>121</v>
      </c>
      <c r="D1662" s="168" t="s">
        <v>3288</v>
      </c>
      <c r="E1662" s="116">
        <v>1</v>
      </c>
      <c r="F1662" s="149" t="s">
        <v>135</v>
      </c>
      <c r="G1662" s="149">
        <v>1</v>
      </c>
      <c r="H1662" s="168" t="s">
        <v>39</v>
      </c>
      <c r="I1662" s="168"/>
      <c r="J1662" s="168" t="s">
        <v>661</v>
      </c>
      <c r="K1662" s="168"/>
      <c r="L1662" s="160">
        <v>4703</v>
      </c>
      <c r="M1662" s="169"/>
    </row>
    <row r="1663" spans="1:13" x14ac:dyDescent="0.55000000000000004">
      <c r="A1663" s="95" t="s">
        <v>661</v>
      </c>
      <c r="B1663" s="168" t="s">
        <v>230</v>
      </c>
      <c r="C1663" s="168" t="s">
        <v>231</v>
      </c>
      <c r="D1663" s="168" t="s">
        <v>3288</v>
      </c>
      <c r="E1663" s="116">
        <v>2.2000000000000002</v>
      </c>
      <c r="F1663" s="149" t="s">
        <v>135</v>
      </c>
      <c r="G1663" s="149" t="s">
        <v>135</v>
      </c>
      <c r="H1663" s="168" t="s">
        <v>39</v>
      </c>
      <c r="I1663" s="168"/>
      <c r="J1663" s="168" t="s">
        <v>661</v>
      </c>
      <c r="K1663" s="168"/>
      <c r="L1663" s="160"/>
      <c r="M1663" s="169"/>
    </row>
    <row r="1664" spans="1:13" x14ac:dyDescent="0.55000000000000004">
      <c r="A1664" s="95" t="s">
        <v>661</v>
      </c>
      <c r="B1664" s="168" t="s">
        <v>3383</v>
      </c>
      <c r="C1664" s="168" t="s">
        <v>127</v>
      </c>
      <c r="D1664" s="168" t="s">
        <v>2994</v>
      </c>
      <c r="E1664" s="116">
        <v>2.52</v>
      </c>
      <c r="F1664" s="149" t="s">
        <v>138</v>
      </c>
      <c r="G1664" s="149" t="s">
        <v>135</v>
      </c>
      <c r="H1664" s="168" t="s">
        <v>39</v>
      </c>
      <c r="I1664" s="168"/>
      <c r="J1664" s="168" t="s">
        <v>661</v>
      </c>
      <c r="K1664" s="168"/>
      <c r="L1664" s="160"/>
      <c r="M1664" s="169"/>
    </row>
    <row r="1665" spans="1:13" x14ac:dyDescent="0.55000000000000004">
      <c r="A1665" s="95" t="s">
        <v>661</v>
      </c>
      <c r="B1665" s="168" t="s">
        <v>208</v>
      </c>
      <c r="C1665" s="168" t="s">
        <v>127</v>
      </c>
      <c r="D1665" s="168" t="s">
        <v>2994</v>
      </c>
      <c r="E1665" s="116">
        <v>11</v>
      </c>
      <c r="F1665" s="149" t="s">
        <v>138</v>
      </c>
      <c r="G1665" s="149" t="s">
        <v>135</v>
      </c>
      <c r="H1665" s="168" t="s">
        <v>39</v>
      </c>
      <c r="I1665" s="168"/>
      <c r="J1665" s="168" t="s">
        <v>661</v>
      </c>
      <c r="K1665" s="168"/>
      <c r="L1665" s="160"/>
      <c r="M1665" s="169"/>
    </row>
    <row r="1666" spans="1:13" x14ac:dyDescent="0.55000000000000004">
      <c r="A1666" s="95" t="s">
        <v>661</v>
      </c>
      <c r="B1666" s="168" t="s">
        <v>188</v>
      </c>
      <c r="C1666" s="168" t="s">
        <v>127</v>
      </c>
      <c r="D1666" s="168" t="s">
        <v>2994</v>
      </c>
      <c r="E1666" s="116">
        <v>11.2</v>
      </c>
      <c r="F1666" s="149" t="s">
        <v>138</v>
      </c>
      <c r="G1666" s="149" t="s">
        <v>135</v>
      </c>
      <c r="H1666" s="168" t="s">
        <v>39</v>
      </c>
      <c r="I1666" s="168"/>
      <c r="J1666" s="168" t="s">
        <v>661</v>
      </c>
      <c r="K1666" s="168"/>
      <c r="L1666" s="160"/>
      <c r="M1666" s="169"/>
    </row>
    <row r="1667" spans="1:13" x14ac:dyDescent="0.55000000000000004">
      <c r="A1667" s="95" t="s">
        <v>661</v>
      </c>
      <c r="B1667" s="168" t="s">
        <v>3418</v>
      </c>
      <c r="C1667" s="168" t="s">
        <v>156</v>
      </c>
      <c r="D1667" s="168" t="s">
        <v>3288</v>
      </c>
      <c r="E1667" s="116">
        <v>22.2</v>
      </c>
      <c r="F1667" s="149" t="s">
        <v>135</v>
      </c>
      <c r="G1667" s="149" t="s">
        <v>135</v>
      </c>
      <c r="H1667" s="168" t="s">
        <v>39</v>
      </c>
      <c r="I1667" s="168"/>
      <c r="J1667" s="168" t="s">
        <v>661</v>
      </c>
      <c r="K1667" s="168"/>
      <c r="L1667" s="160"/>
      <c r="M1667" s="169"/>
    </row>
    <row r="1668" spans="1:13" x14ac:dyDescent="0.55000000000000004">
      <c r="A1668" s="95" t="s">
        <v>658</v>
      </c>
      <c r="B1668" s="168" t="s">
        <v>216</v>
      </c>
      <c r="C1668" s="168" t="s">
        <v>121</v>
      </c>
      <c r="D1668" s="168" t="s">
        <v>3288</v>
      </c>
      <c r="E1668" s="116">
        <v>1</v>
      </c>
      <c r="F1668" s="149" t="s">
        <v>135</v>
      </c>
      <c r="G1668" s="149">
        <v>1</v>
      </c>
      <c r="H1668" s="168" t="s">
        <v>39</v>
      </c>
      <c r="I1668" s="168"/>
      <c r="J1668" s="168" t="s">
        <v>658</v>
      </c>
      <c r="K1668" s="168"/>
      <c r="L1668" s="160">
        <v>4703</v>
      </c>
      <c r="M1668" s="169"/>
    </row>
    <row r="1669" spans="1:13" x14ac:dyDescent="0.55000000000000004">
      <c r="A1669" s="95" t="s">
        <v>658</v>
      </c>
      <c r="B1669" s="168" t="s">
        <v>3383</v>
      </c>
      <c r="C1669" s="168" t="s">
        <v>127</v>
      </c>
      <c r="D1669" s="168" t="s">
        <v>2994</v>
      </c>
      <c r="E1669" s="116">
        <v>2.52</v>
      </c>
      <c r="F1669" s="149" t="s">
        <v>138</v>
      </c>
      <c r="G1669" s="149" t="s">
        <v>135</v>
      </c>
      <c r="H1669" s="168" t="s">
        <v>39</v>
      </c>
      <c r="I1669" s="168"/>
      <c r="J1669" s="168" t="s">
        <v>658</v>
      </c>
      <c r="K1669" s="168"/>
      <c r="L1669" s="160"/>
      <c r="M1669" s="169"/>
    </row>
    <row r="1670" spans="1:13" x14ac:dyDescent="0.55000000000000004">
      <c r="A1670" s="95" t="s">
        <v>658</v>
      </c>
      <c r="B1670" s="168" t="s">
        <v>208</v>
      </c>
      <c r="C1670" s="168" t="s">
        <v>127</v>
      </c>
      <c r="D1670" s="168" t="s">
        <v>2994</v>
      </c>
      <c r="E1670" s="116">
        <v>11</v>
      </c>
      <c r="F1670" s="149" t="s">
        <v>138</v>
      </c>
      <c r="G1670" s="149" t="s">
        <v>135</v>
      </c>
      <c r="H1670" s="168" t="s">
        <v>39</v>
      </c>
      <c r="I1670" s="168"/>
      <c r="J1670" s="168" t="s">
        <v>658</v>
      </c>
      <c r="K1670" s="168"/>
      <c r="L1670" s="160"/>
      <c r="M1670" s="169"/>
    </row>
    <row r="1671" spans="1:13" x14ac:dyDescent="0.55000000000000004">
      <c r="A1671" s="95" t="s">
        <v>658</v>
      </c>
      <c r="B1671" s="168" t="s">
        <v>188</v>
      </c>
      <c r="C1671" s="168" t="s">
        <v>127</v>
      </c>
      <c r="D1671" s="168" t="s">
        <v>2994</v>
      </c>
      <c r="E1671" s="116">
        <v>11.2</v>
      </c>
      <c r="F1671" s="149" t="s">
        <v>138</v>
      </c>
      <c r="G1671" s="149" t="s">
        <v>135</v>
      </c>
      <c r="H1671" s="168" t="s">
        <v>39</v>
      </c>
      <c r="I1671" s="168"/>
      <c r="J1671" s="168" t="s">
        <v>658</v>
      </c>
      <c r="K1671" s="168"/>
      <c r="L1671" s="160"/>
      <c r="M1671" s="169"/>
    </row>
    <row r="1672" spans="1:13" x14ac:dyDescent="0.55000000000000004">
      <c r="A1672" s="93" t="s">
        <v>648</v>
      </c>
      <c r="B1672" s="168" t="s">
        <v>649</v>
      </c>
      <c r="C1672" s="168" t="s">
        <v>121</v>
      </c>
      <c r="D1672" s="168" t="s">
        <v>3288</v>
      </c>
      <c r="E1672" s="116">
        <v>1</v>
      </c>
      <c r="F1672" s="149" t="s">
        <v>135</v>
      </c>
      <c r="G1672" s="149">
        <v>1</v>
      </c>
      <c r="H1672" s="168" t="s">
        <v>39</v>
      </c>
      <c r="I1672" s="168"/>
      <c r="J1672" s="168" t="s">
        <v>651</v>
      </c>
      <c r="K1672" s="168"/>
      <c r="L1672" s="160" t="s">
        <v>650</v>
      </c>
      <c r="M1672" s="169"/>
    </row>
    <row r="1673" spans="1:13" x14ac:dyDescent="0.55000000000000004">
      <c r="A1673" s="93" t="s">
        <v>648</v>
      </c>
      <c r="B1673" s="168" t="s">
        <v>262</v>
      </c>
      <c r="C1673" s="168" t="s">
        <v>127</v>
      </c>
      <c r="D1673" s="168" t="s">
        <v>2994</v>
      </c>
      <c r="E1673" s="116">
        <v>92.02</v>
      </c>
      <c r="F1673" s="149" t="s">
        <v>138</v>
      </c>
      <c r="G1673" s="149" t="s">
        <v>135</v>
      </c>
      <c r="H1673" s="168" t="s">
        <v>39</v>
      </c>
      <c r="I1673" s="168"/>
      <c r="J1673" s="168" t="s">
        <v>651</v>
      </c>
      <c r="K1673" s="168"/>
      <c r="L1673" s="160"/>
      <c r="M1673" s="169"/>
    </row>
    <row r="1674" spans="1:13" x14ac:dyDescent="0.55000000000000004">
      <c r="A1674" s="93" t="s">
        <v>648</v>
      </c>
      <c r="B1674" s="168" t="s">
        <v>293</v>
      </c>
      <c r="C1674" s="168" t="s">
        <v>127</v>
      </c>
      <c r="D1674" s="168" t="s">
        <v>2994</v>
      </c>
      <c r="E1674" s="116">
        <v>36</v>
      </c>
      <c r="F1674" s="149" t="s">
        <v>138</v>
      </c>
      <c r="G1674" s="149" t="s">
        <v>135</v>
      </c>
      <c r="H1674" s="168" t="s">
        <v>39</v>
      </c>
      <c r="I1674" s="168"/>
      <c r="J1674" s="168" t="s">
        <v>651</v>
      </c>
      <c r="K1674" s="168"/>
      <c r="L1674" s="160"/>
      <c r="M1674" s="169"/>
    </row>
    <row r="1675" spans="1:13" x14ac:dyDescent="0.55000000000000004">
      <c r="A1675" s="93" t="s">
        <v>648</v>
      </c>
      <c r="B1675" s="168" t="s">
        <v>153</v>
      </c>
      <c r="C1675" s="168" t="s">
        <v>127</v>
      </c>
      <c r="D1675" s="168" t="s">
        <v>2994</v>
      </c>
      <c r="E1675" s="116">
        <v>95.76</v>
      </c>
      <c r="F1675" s="149" t="s">
        <v>138</v>
      </c>
      <c r="G1675" s="149" t="s">
        <v>135</v>
      </c>
      <c r="H1675" s="168" t="s">
        <v>39</v>
      </c>
      <c r="I1675" s="168"/>
      <c r="J1675" s="168" t="s">
        <v>651</v>
      </c>
      <c r="K1675" s="168"/>
      <c r="L1675" s="160"/>
      <c r="M1675" s="169"/>
    </row>
    <row r="1676" spans="1:13" x14ac:dyDescent="0.55000000000000004">
      <c r="A1676" s="93" t="s">
        <v>648</v>
      </c>
      <c r="B1676" s="168" t="s">
        <v>575</v>
      </c>
      <c r="C1676" s="168" t="s">
        <v>127</v>
      </c>
      <c r="D1676" s="168" t="s">
        <v>2994</v>
      </c>
      <c r="E1676" s="116">
        <v>64.61</v>
      </c>
      <c r="F1676" s="149" t="s">
        <v>138</v>
      </c>
      <c r="G1676" s="149" t="s">
        <v>135</v>
      </c>
      <c r="H1676" s="168" t="s">
        <v>39</v>
      </c>
      <c r="I1676" s="168"/>
      <c r="J1676" s="168" t="s">
        <v>651</v>
      </c>
      <c r="K1676" s="168"/>
      <c r="L1676" s="160"/>
      <c r="M1676" s="169"/>
    </row>
    <row r="1677" spans="1:13" x14ac:dyDescent="0.55000000000000004">
      <c r="A1677" s="93" t="s">
        <v>648</v>
      </c>
      <c r="B1677" s="168" t="s">
        <v>217</v>
      </c>
      <c r="C1677" s="168" t="s">
        <v>127</v>
      </c>
      <c r="D1677" s="168" t="s">
        <v>2994</v>
      </c>
      <c r="E1677" s="116">
        <v>3.3</v>
      </c>
      <c r="F1677" s="149" t="s">
        <v>138</v>
      </c>
      <c r="G1677" s="149" t="s">
        <v>135</v>
      </c>
      <c r="H1677" s="168" t="s">
        <v>39</v>
      </c>
      <c r="I1677" s="168"/>
      <c r="J1677" s="168" t="s">
        <v>651</v>
      </c>
      <c r="K1677" s="168"/>
      <c r="L1677" s="160"/>
      <c r="M1677" s="169"/>
    </row>
    <row r="1678" spans="1:13" x14ac:dyDescent="0.55000000000000004">
      <c r="A1678" s="93" t="s">
        <v>648</v>
      </c>
      <c r="B1678" s="168" t="s">
        <v>171</v>
      </c>
      <c r="C1678" s="168" t="s">
        <v>127</v>
      </c>
      <c r="D1678" s="168" t="s">
        <v>2994</v>
      </c>
      <c r="E1678" s="116">
        <v>5.92</v>
      </c>
      <c r="F1678" s="149" t="s">
        <v>138</v>
      </c>
      <c r="G1678" s="149" t="s">
        <v>135</v>
      </c>
      <c r="H1678" s="168" t="s">
        <v>39</v>
      </c>
      <c r="I1678" s="168"/>
      <c r="J1678" s="168" t="s">
        <v>651</v>
      </c>
      <c r="K1678" s="168"/>
      <c r="L1678" s="160"/>
      <c r="M1678" s="169"/>
    </row>
    <row r="1679" spans="1:13" x14ac:dyDescent="0.55000000000000004">
      <c r="A1679" s="54" t="s">
        <v>642</v>
      </c>
      <c r="B1679" s="168" t="s">
        <v>603</v>
      </c>
      <c r="C1679" s="168" t="s">
        <v>121</v>
      </c>
      <c r="D1679" s="168" t="s">
        <v>3288</v>
      </c>
      <c r="E1679" s="116">
        <v>1</v>
      </c>
      <c r="F1679" s="149" t="s">
        <v>135</v>
      </c>
      <c r="G1679" s="149">
        <v>1</v>
      </c>
      <c r="H1679" s="168" t="s">
        <v>39</v>
      </c>
      <c r="I1679" s="168"/>
      <c r="J1679" s="168" t="s">
        <v>642</v>
      </c>
      <c r="K1679" s="168"/>
      <c r="L1679" s="160">
        <v>2522</v>
      </c>
      <c r="M1679" s="169"/>
    </row>
    <row r="1680" spans="1:13" x14ac:dyDescent="0.55000000000000004">
      <c r="A1680" s="54" t="s">
        <v>642</v>
      </c>
      <c r="B1680" s="168" t="s">
        <v>230</v>
      </c>
      <c r="C1680" s="168" t="s">
        <v>127</v>
      </c>
      <c r="D1680" s="168" t="s">
        <v>2994</v>
      </c>
      <c r="E1680" s="116">
        <v>1.06</v>
      </c>
      <c r="F1680" s="149" t="s">
        <v>138</v>
      </c>
      <c r="G1680" s="149" t="s">
        <v>135</v>
      </c>
      <c r="H1680" s="168" t="s">
        <v>39</v>
      </c>
      <c r="I1680" s="168"/>
      <c r="J1680" s="168" t="s">
        <v>642</v>
      </c>
      <c r="K1680" s="168"/>
      <c r="L1680" s="160"/>
      <c r="M1680" s="169"/>
    </row>
    <row r="1681" spans="1:13" x14ac:dyDescent="0.55000000000000004">
      <c r="A1681" s="54" t="s">
        <v>642</v>
      </c>
      <c r="B1681" s="168" t="s">
        <v>262</v>
      </c>
      <c r="C1681" s="168" t="s">
        <v>127</v>
      </c>
      <c r="D1681" s="168" t="s">
        <v>2994</v>
      </c>
      <c r="E1681" s="116">
        <v>6.16</v>
      </c>
      <c r="F1681" s="149" t="s">
        <v>138</v>
      </c>
      <c r="G1681" s="149" t="s">
        <v>135</v>
      </c>
      <c r="H1681" s="168" t="s">
        <v>39</v>
      </c>
      <c r="I1681" s="168"/>
      <c r="J1681" s="168" t="s">
        <v>642</v>
      </c>
      <c r="K1681" s="168"/>
      <c r="L1681" s="160"/>
      <c r="M1681" s="169"/>
    </row>
    <row r="1682" spans="1:13" x14ac:dyDescent="0.55000000000000004">
      <c r="A1682" s="54" t="s">
        <v>642</v>
      </c>
      <c r="B1682" s="168" t="s">
        <v>153</v>
      </c>
      <c r="C1682" s="168" t="s">
        <v>127</v>
      </c>
      <c r="D1682" s="168" t="s">
        <v>2994</v>
      </c>
      <c r="E1682" s="116">
        <v>0.08</v>
      </c>
      <c r="F1682" s="149" t="s">
        <v>138</v>
      </c>
      <c r="G1682" s="149" t="s">
        <v>135</v>
      </c>
      <c r="H1682" s="168" t="s">
        <v>39</v>
      </c>
      <c r="I1682" s="168"/>
      <c r="J1682" s="168" t="s">
        <v>642</v>
      </c>
      <c r="K1682" s="168"/>
      <c r="L1682" s="160"/>
      <c r="M1682" s="169"/>
    </row>
    <row r="1683" spans="1:13" x14ac:dyDescent="0.55000000000000004">
      <c r="A1683" s="54" t="s">
        <v>642</v>
      </c>
      <c r="B1683" s="168" t="s">
        <v>445</v>
      </c>
      <c r="C1683" s="168" t="s">
        <v>127</v>
      </c>
      <c r="D1683" s="168" t="s">
        <v>2994</v>
      </c>
      <c r="E1683" s="116">
        <v>0.08</v>
      </c>
      <c r="F1683" s="149" t="s">
        <v>138</v>
      </c>
      <c r="G1683" s="149" t="s">
        <v>135</v>
      </c>
      <c r="H1683" s="168" t="s">
        <v>39</v>
      </c>
      <c r="I1683" s="168"/>
      <c r="J1683" s="168" t="s">
        <v>642</v>
      </c>
      <c r="K1683" s="168"/>
      <c r="L1683" s="160"/>
      <c r="M1683" s="169"/>
    </row>
    <row r="1684" spans="1:13" x14ac:dyDescent="0.55000000000000004">
      <c r="A1684" s="54" t="s">
        <v>642</v>
      </c>
      <c r="B1684" s="168" t="s">
        <v>171</v>
      </c>
      <c r="C1684" s="168" t="s">
        <v>127</v>
      </c>
      <c r="D1684" s="168" t="s">
        <v>2994</v>
      </c>
      <c r="E1684" s="116">
        <v>0.23</v>
      </c>
      <c r="F1684" s="149" t="s">
        <v>138</v>
      </c>
      <c r="G1684" s="149" t="s">
        <v>135</v>
      </c>
      <c r="H1684" s="168" t="s">
        <v>39</v>
      </c>
      <c r="I1684" s="168"/>
      <c r="J1684" s="168" t="s">
        <v>642</v>
      </c>
      <c r="K1684" s="168"/>
      <c r="L1684" s="160"/>
      <c r="M1684" s="169"/>
    </row>
    <row r="1685" spans="1:13" x14ac:dyDescent="0.55000000000000004">
      <c r="A1685" s="54" t="s">
        <v>642</v>
      </c>
      <c r="B1685" s="168" t="s">
        <v>160</v>
      </c>
      <c r="C1685" s="168" t="s">
        <v>247</v>
      </c>
      <c r="D1685" s="168" t="s">
        <v>3288</v>
      </c>
      <c r="E1685" s="116">
        <v>625.26512981032988</v>
      </c>
      <c r="F1685" s="149" t="s">
        <v>122</v>
      </c>
      <c r="G1685" s="149" t="s">
        <v>135</v>
      </c>
      <c r="H1685" s="168" t="s">
        <v>39</v>
      </c>
      <c r="I1685" s="168"/>
      <c r="J1685" s="168" t="s">
        <v>642</v>
      </c>
      <c r="K1685" s="168"/>
      <c r="L1685" s="160"/>
      <c r="M1685" s="169"/>
    </row>
    <row r="1686" spans="1:13" x14ac:dyDescent="0.55000000000000004">
      <c r="A1686" s="94" t="s">
        <v>639</v>
      </c>
      <c r="B1686" s="168" t="s">
        <v>469</v>
      </c>
      <c r="C1686" s="168" t="s">
        <v>121</v>
      </c>
      <c r="D1686" s="168" t="s">
        <v>3288</v>
      </c>
      <c r="E1686" s="116">
        <v>1</v>
      </c>
      <c r="F1686" s="149" t="s">
        <v>135</v>
      </c>
      <c r="G1686" s="149">
        <v>1</v>
      </c>
      <c r="H1686" s="168" t="s">
        <v>39</v>
      </c>
      <c r="I1686" s="168"/>
      <c r="J1686" s="168" t="s">
        <v>639</v>
      </c>
      <c r="K1686" s="168"/>
      <c r="L1686" s="160">
        <v>290513</v>
      </c>
      <c r="M1686" s="169"/>
    </row>
    <row r="1687" spans="1:13" x14ac:dyDescent="0.55000000000000004">
      <c r="A1687" s="94" t="s">
        <v>639</v>
      </c>
      <c r="B1687" s="168" t="s">
        <v>217</v>
      </c>
      <c r="C1687" s="168" t="s">
        <v>127</v>
      </c>
      <c r="D1687" s="168" t="s">
        <v>2994</v>
      </c>
      <c r="E1687" s="116">
        <v>14.8</v>
      </c>
      <c r="F1687" s="149" t="s">
        <v>138</v>
      </c>
      <c r="G1687" s="149" t="s">
        <v>135</v>
      </c>
      <c r="H1687" s="168" t="s">
        <v>39</v>
      </c>
      <c r="I1687" s="168"/>
      <c r="J1687" s="168" t="s">
        <v>639</v>
      </c>
      <c r="K1687" s="168"/>
      <c r="L1687" s="160"/>
      <c r="M1687" s="169"/>
    </row>
    <row r="1688" spans="1:13" x14ac:dyDescent="0.55000000000000004">
      <c r="A1688" s="94" t="s">
        <v>639</v>
      </c>
      <c r="B1688" s="168" t="s">
        <v>3383</v>
      </c>
      <c r="C1688" s="168" t="s">
        <v>127</v>
      </c>
      <c r="D1688" s="168" t="s">
        <v>2994</v>
      </c>
      <c r="E1688" s="116">
        <v>2</v>
      </c>
      <c r="F1688" s="149" t="s">
        <v>138</v>
      </c>
      <c r="G1688" s="149" t="s">
        <v>135</v>
      </c>
      <c r="H1688" s="168" t="s">
        <v>39</v>
      </c>
      <c r="I1688" s="168"/>
      <c r="J1688" s="168" t="s">
        <v>639</v>
      </c>
      <c r="K1688" s="168"/>
      <c r="L1688" s="160"/>
      <c r="M1688" s="169"/>
    </row>
    <row r="1689" spans="1:13" x14ac:dyDescent="0.55000000000000004">
      <c r="A1689" s="94" t="s">
        <v>639</v>
      </c>
      <c r="B1689" s="168" t="s">
        <v>217</v>
      </c>
      <c r="C1689" s="168" t="s">
        <v>231</v>
      </c>
      <c r="D1689" s="168" t="s">
        <v>2994</v>
      </c>
      <c r="E1689" s="116">
        <v>21</v>
      </c>
      <c r="F1689" s="149" t="s">
        <v>138</v>
      </c>
      <c r="G1689" s="149" t="s">
        <v>135</v>
      </c>
      <c r="H1689" s="168" t="s">
        <v>39</v>
      </c>
      <c r="I1689" s="168"/>
      <c r="J1689" s="168" t="s">
        <v>639</v>
      </c>
      <c r="K1689" s="168"/>
      <c r="L1689" s="160"/>
      <c r="M1689" s="169"/>
    </row>
    <row r="1690" spans="1:13" x14ac:dyDescent="0.55000000000000004">
      <c r="A1690" s="94" t="s">
        <v>639</v>
      </c>
      <c r="B1690" s="168" t="s">
        <v>188</v>
      </c>
      <c r="C1690" s="168" t="s">
        <v>156</v>
      </c>
      <c r="D1690" s="168" t="s">
        <v>2994</v>
      </c>
      <c r="E1690" s="116">
        <v>2.9</v>
      </c>
      <c r="F1690" s="149" t="s">
        <v>138</v>
      </c>
      <c r="G1690" s="149" t="s">
        <v>135</v>
      </c>
      <c r="H1690" s="168" t="s">
        <v>39</v>
      </c>
      <c r="I1690" s="168"/>
      <c r="J1690" s="168" t="s">
        <v>639</v>
      </c>
      <c r="K1690" s="168"/>
      <c r="L1690" s="160"/>
      <c r="M1690" s="169"/>
    </row>
    <row r="1691" spans="1:13" x14ac:dyDescent="0.55000000000000004">
      <c r="A1691" s="94" t="s">
        <v>639</v>
      </c>
      <c r="B1691" s="168" t="s">
        <v>160</v>
      </c>
      <c r="C1691" s="168" t="s">
        <v>247</v>
      </c>
      <c r="D1691" s="168" t="s">
        <v>3288</v>
      </c>
      <c r="E1691" s="116">
        <v>933.88000000000011</v>
      </c>
      <c r="F1691" s="149" t="s">
        <v>122</v>
      </c>
      <c r="G1691" s="149" t="s">
        <v>135</v>
      </c>
      <c r="H1691" s="168" t="s">
        <v>39</v>
      </c>
      <c r="I1691" s="168"/>
      <c r="J1691" s="168" t="s">
        <v>639</v>
      </c>
      <c r="K1691" s="168"/>
      <c r="L1691" s="160"/>
      <c r="M1691" s="169"/>
    </row>
    <row r="1692" spans="1:13" x14ac:dyDescent="0.55000000000000004">
      <c r="A1692" s="94" t="s">
        <v>637</v>
      </c>
      <c r="B1692" s="168" t="s">
        <v>598</v>
      </c>
      <c r="C1692" s="168" t="s">
        <v>121</v>
      </c>
      <c r="D1692" s="168" t="s">
        <v>3288</v>
      </c>
      <c r="E1692" s="116">
        <v>1</v>
      </c>
      <c r="F1692" s="149" t="s">
        <v>135</v>
      </c>
      <c r="G1692" s="149">
        <v>1</v>
      </c>
      <c r="H1692" s="168" t="s">
        <v>39</v>
      </c>
      <c r="I1692" s="168"/>
      <c r="J1692" s="168" t="s">
        <v>637</v>
      </c>
      <c r="K1692" s="168"/>
      <c r="L1692" s="160" t="s">
        <v>599</v>
      </c>
      <c r="M1692" s="169"/>
    </row>
    <row r="1693" spans="1:13" x14ac:dyDescent="0.55000000000000004">
      <c r="A1693" s="94" t="s">
        <v>637</v>
      </c>
      <c r="B1693" s="168" t="s">
        <v>217</v>
      </c>
      <c r="C1693" s="168" t="s">
        <v>127</v>
      </c>
      <c r="D1693" s="168" t="s">
        <v>2994</v>
      </c>
      <c r="E1693" s="116">
        <v>18.600000000000001</v>
      </c>
      <c r="F1693" s="149" t="s">
        <v>138</v>
      </c>
      <c r="G1693" s="149" t="s">
        <v>135</v>
      </c>
      <c r="H1693" s="168" t="s">
        <v>39</v>
      </c>
      <c r="I1693" s="168"/>
      <c r="J1693" s="168" t="s">
        <v>637</v>
      </c>
      <c r="K1693" s="168"/>
      <c r="L1693" s="160"/>
      <c r="M1693" s="169"/>
    </row>
    <row r="1694" spans="1:13" x14ac:dyDescent="0.55000000000000004">
      <c r="A1694" s="94" t="s">
        <v>637</v>
      </c>
      <c r="B1694" s="168" t="s">
        <v>3383</v>
      </c>
      <c r="C1694" s="168" t="s">
        <v>127</v>
      </c>
      <c r="D1694" s="168" t="s">
        <v>2994</v>
      </c>
      <c r="E1694" s="116">
        <v>0.4</v>
      </c>
      <c r="F1694" s="149" t="s">
        <v>138</v>
      </c>
      <c r="G1694" s="149" t="s">
        <v>135</v>
      </c>
      <c r="H1694" s="168" t="s">
        <v>39</v>
      </c>
      <c r="I1694" s="168"/>
      <c r="J1694" s="168" t="s">
        <v>637</v>
      </c>
      <c r="K1694" s="168"/>
      <c r="L1694" s="160"/>
      <c r="M1694" s="169"/>
    </row>
    <row r="1695" spans="1:13" x14ac:dyDescent="0.55000000000000004">
      <c r="A1695" s="94" t="s">
        <v>637</v>
      </c>
      <c r="B1695" s="168" t="s">
        <v>217</v>
      </c>
      <c r="C1695" s="168" t="s">
        <v>231</v>
      </c>
      <c r="D1695" s="168" t="s">
        <v>2994</v>
      </c>
      <c r="E1695" s="116">
        <v>79.2</v>
      </c>
      <c r="F1695" s="149" t="s">
        <v>138</v>
      </c>
      <c r="G1695" s="149" t="s">
        <v>135</v>
      </c>
      <c r="H1695" s="168" t="s">
        <v>39</v>
      </c>
      <c r="I1695" s="168"/>
      <c r="J1695" s="168" t="s">
        <v>637</v>
      </c>
      <c r="K1695" s="168"/>
      <c r="L1695" s="160"/>
      <c r="M1695" s="169"/>
    </row>
    <row r="1696" spans="1:13" x14ac:dyDescent="0.55000000000000004">
      <c r="A1696" s="94" t="s">
        <v>637</v>
      </c>
      <c r="B1696" s="168" t="s">
        <v>188</v>
      </c>
      <c r="C1696" s="168" t="s">
        <v>156</v>
      </c>
      <c r="D1696" s="168" t="s">
        <v>2994</v>
      </c>
      <c r="E1696" s="116">
        <v>1.7</v>
      </c>
      <c r="F1696" s="149" t="s">
        <v>138</v>
      </c>
      <c r="G1696" s="149" t="s">
        <v>135</v>
      </c>
      <c r="H1696" s="168" t="s">
        <v>39</v>
      </c>
      <c r="I1696" s="168"/>
      <c r="J1696" s="168" t="s">
        <v>637</v>
      </c>
      <c r="K1696" s="168"/>
      <c r="L1696" s="160"/>
      <c r="M1696" s="169"/>
    </row>
    <row r="1697" spans="1:13" x14ac:dyDescent="0.55000000000000004">
      <c r="A1697" s="94" t="s">
        <v>637</v>
      </c>
      <c r="B1697" s="168" t="s">
        <v>160</v>
      </c>
      <c r="C1697" s="168" t="s">
        <v>247</v>
      </c>
      <c r="D1697" s="168" t="s">
        <v>3288</v>
      </c>
      <c r="E1697" s="116">
        <v>1173.6600000000001</v>
      </c>
      <c r="F1697" s="149" t="s">
        <v>122</v>
      </c>
      <c r="G1697" s="149" t="s">
        <v>135</v>
      </c>
      <c r="H1697" s="168" t="s">
        <v>39</v>
      </c>
      <c r="I1697" s="168"/>
      <c r="J1697" s="168" t="s">
        <v>637</v>
      </c>
      <c r="K1697" s="168"/>
      <c r="L1697" s="160"/>
      <c r="M1697" s="169"/>
    </row>
    <row r="1698" spans="1:13" x14ac:dyDescent="0.55000000000000004">
      <c r="A1698" s="95" t="s">
        <v>635</v>
      </c>
      <c r="B1698" s="168" t="s">
        <v>229</v>
      </c>
      <c r="C1698" s="168" t="s">
        <v>121</v>
      </c>
      <c r="D1698" s="168" t="s">
        <v>3288</v>
      </c>
      <c r="E1698" s="116">
        <v>1</v>
      </c>
      <c r="F1698" s="149" t="s">
        <v>135</v>
      </c>
      <c r="G1698" s="149">
        <v>1</v>
      </c>
      <c r="H1698" s="168" t="s">
        <v>39</v>
      </c>
      <c r="I1698" s="168"/>
      <c r="J1698" s="168" t="s">
        <v>635</v>
      </c>
      <c r="K1698" s="168"/>
      <c r="L1698" s="160">
        <v>4705</v>
      </c>
      <c r="M1698" s="169"/>
    </row>
    <row r="1699" spans="1:13" x14ac:dyDescent="0.55000000000000004">
      <c r="A1699" s="95" t="s">
        <v>635</v>
      </c>
      <c r="B1699" s="168" t="s">
        <v>230</v>
      </c>
      <c r="C1699" s="168" t="s">
        <v>231</v>
      </c>
      <c r="D1699" s="168" t="s">
        <v>3288</v>
      </c>
      <c r="E1699" s="116">
        <v>1.2</v>
      </c>
      <c r="F1699" s="149" t="s">
        <v>135</v>
      </c>
      <c r="G1699" s="149" t="s">
        <v>135</v>
      </c>
      <c r="H1699" s="168" t="s">
        <v>39</v>
      </c>
      <c r="I1699" s="168"/>
      <c r="J1699" s="168" t="s">
        <v>635</v>
      </c>
      <c r="K1699" s="168"/>
      <c r="L1699" s="160"/>
      <c r="M1699" s="169"/>
    </row>
    <row r="1700" spans="1:13" x14ac:dyDescent="0.55000000000000004">
      <c r="A1700" s="95" t="s">
        <v>635</v>
      </c>
      <c r="B1700" s="168" t="s">
        <v>3383</v>
      </c>
      <c r="C1700" s="168" t="s">
        <v>127</v>
      </c>
      <c r="D1700" s="168" t="s">
        <v>2994</v>
      </c>
      <c r="E1700" s="116">
        <v>7.35</v>
      </c>
      <c r="F1700" s="149" t="s">
        <v>138</v>
      </c>
      <c r="G1700" s="149" t="s">
        <v>135</v>
      </c>
      <c r="H1700" s="168" t="s">
        <v>39</v>
      </c>
      <c r="I1700" s="168"/>
      <c r="J1700" s="168" t="s">
        <v>635</v>
      </c>
      <c r="K1700" s="168"/>
      <c r="L1700" s="160"/>
      <c r="M1700" s="169"/>
    </row>
    <row r="1701" spans="1:13" x14ac:dyDescent="0.55000000000000004">
      <c r="A1701" s="95" t="s">
        <v>635</v>
      </c>
      <c r="B1701" s="168" t="s">
        <v>188</v>
      </c>
      <c r="C1701" s="168" t="s">
        <v>127</v>
      </c>
      <c r="D1701" s="168" t="s">
        <v>2994</v>
      </c>
      <c r="E1701" s="116">
        <v>0.9</v>
      </c>
      <c r="F1701" s="149" t="s">
        <v>138</v>
      </c>
      <c r="G1701" s="149" t="s">
        <v>135</v>
      </c>
      <c r="H1701" s="168" t="s">
        <v>39</v>
      </c>
      <c r="I1701" s="168"/>
      <c r="J1701" s="168" t="s">
        <v>635</v>
      </c>
      <c r="K1701" s="168"/>
      <c r="L1701" s="160"/>
      <c r="M1701" s="169"/>
    </row>
    <row r="1702" spans="1:13" x14ac:dyDescent="0.55000000000000004">
      <c r="A1702" s="94" t="s">
        <v>634</v>
      </c>
      <c r="B1702" s="168" t="s">
        <v>632</v>
      </c>
      <c r="C1702" s="168" t="s">
        <v>121</v>
      </c>
      <c r="D1702" s="168" t="s">
        <v>3288</v>
      </c>
      <c r="E1702" s="116">
        <v>1</v>
      </c>
      <c r="F1702" s="149" t="s">
        <v>135</v>
      </c>
      <c r="G1702" s="149">
        <v>1</v>
      </c>
      <c r="H1702" s="168" t="s">
        <v>39</v>
      </c>
      <c r="I1702" s="168"/>
      <c r="J1702" s="168" t="s">
        <v>634</v>
      </c>
      <c r="K1702" s="168"/>
      <c r="L1702" s="160">
        <v>28011</v>
      </c>
      <c r="M1702" s="169"/>
    </row>
    <row r="1703" spans="1:13" x14ac:dyDescent="0.55000000000000004">
      <c r="A1703" s="94" t="s">
        <v>634</v>
      </c>
      <c r="B1703" s="168" t="s">
        <v>153</v>
      </c>
      <c r="C1703" s="168" t="s">
        <v>127</v>
      </c>
      <c r="D1703" s="168" t="s">
        <v>2994</v>
      </c>
      <c r="E1703" s="116">
        <v>1000</v>
      </c>
      <c r="F1703" s="149" t="s">
        <v>138</v>
      </c>
      <c r="G1703" s="149" t="s">
        <v>135</v>
      </c>
      <c r="H1703" s="168" t="s">
        <v>39</v>
      </c>
      <c r="I1703" s="168"/>
      <c r="J1703" s="168" t="s">
        <v>634</v>
      </c>
      <c r="K1703" s="168"/>
      <c r="L1703" s="160"/>
      <c r="M1703" s="169"/>
    </row>
    <row r="1704" spans="1:13" x14ac:dyDescent="0.55000000000000004">
      <c r="A1704" s="94" t="s">
        <v>634</v>
      </c>
      <c r="B1704" s="168" t="s">
        <v>3383</v>
      </c>
      <c r="C1704" s="168" t="s">
        <v>127</v>
      </c>
      <c r="D1704" s="168" t="s">
        <v>2994</v>
      </c>
      <c r="E1704" s="116">
        <v>0.93</v>
      </c>
      <c r="F1704" s="149" t="s">
        <v>138</v>
      </c>
      <c r="G1704" s="149" t="s">
        <v>135</v>
      </c>
      <c r="H1704" s="168" t="s">
        <v>39</v>
      </c>
      <c r="I1704" s="168"/>
      <c r="J1704" s="168" t="s">
        <v>634</v>
      </c>
      <c r="K1704" s="168"/>
      <c r="L1704" s="160"/>
      <c r="M1704" s="169"/>
    </row>
    <row r="1705" spans="1:13" x14ac:dyDescent="0.55000000000000004">
      <c r="A1705" s="94" t="s">
        <v>634</v>
      </c>
      <c r="B1705" s="168" t="s">
        <v>188</v>
      </c>
      <c r="C1705" s="168" t="s">
        <v>127</v>
      </c>
      <c r="D1705" s="168" t="s">
        <v>2994</v>
      </c>
      <c r="E1705" s="116">
        <v>1.44</v>
      </c>
      <c r="F1705" s="149" t="s">
        <v>138</v>
      </c>
      <c r="G1705" s="149" t="s">
        <v>135</v>
      </c>
      <c r="H1705" s="168" t="s">
        <v>39</v>
      </c>
      <c r="I1705" s="168"/>
      <c r="J1705" s="168" t="s">
        <v>634</v>
      </c>
      <c r="K1705" s="168"/>
      <c r="L1705" s="160"/>
      <c r="M1705" s="169"/>
    </row>
    <row r="1706" spans="1:13" x14ac:dyDescent="0.55000000000000004">
      <c r="A1706" s="94" t="s">
        <v>631</v>
      </c>
      <c r="B1706" s="168" t="s">
        <v>632</v>
      </c>
      <c r="C1706" s="168" t="s">
        <v>121</v>
      </c>
      <c r="D1706" s="168" t="s">
        <v>3288</v>
      </c>
      <c r="E1706" s="116">
        <v>1</v>
      </c>
      <c r="F1706" s="149" t="s">
        <v>135</v>
      </c>
      <c r="G1706" s="149">
        <v>1</v>
      </c>
      <c r="H1706" s="168" t="s">
        <v>39</v>
      </c>
      <c r="I1706" s="168"/>
      <c r="J1706" s="168" t="s">
        <v>631</v>
      </c>
      <c r="K1706" s="168"/>
      <c r="L1706" s="160">
        <v>28011</v>
      </c>
      <c r="M1706" s="169"/>
    </row>
    <row r="1707" spans="1:13" x14ac:dyDescent="0.55000000000000004">
      <c r="A1707" s="94" t="s">
        <v>631</v>
      </c>
      <c r="B1707" s="168" t="s">
        <v>153</v>
      </c>
      <c r="C1707" s="168" t="s">
        <v>127</v>
      </c>
      <c r="D1707" s="168" t="s">
        <v>2994</v>
      </c>
      <c r="E1707" s="116">
        <v>13.32</v>
      </c>
      <c r="F1707" s="149" t="s">
        <v>138</v>
      </c>
      <c r="G1707" s="149" t="s">
        <v>135</v>
      </c>
      <c r="H1707" s="168" t="s">
        <v>39</v>
      </c>
      <c r="I1707" s="168"/>
      <c r="J1707" s="168" t="s">
        <v>631</v>
      </c>
      <c r="K1707" s="168"/>
      <c r="L1707" s="160"/>
      <c r="M1707" s="169"/>
    </row>
    <row r="1708" spans="1:13" x14ac:dyDescent="0.55000000000000004">
      <c r="A1708" s="94" t="s">
        <v>631</v>
      </c>
      <c r="B1708" s="168" t="s">
        <v>3383</v>
      </c>
      <c r="C1708" s="168" t="s">
        <v>127</v>
      </c>
      <c r="D1708" s="168" t="s">
        <v>2994</v>
      </c>
      <c r="E1708" s="116">
        <v>0.93</v>
      </c>
      <c r="F1708" s="149" t="s">
        <v>138</v>
      </c>
      <c r="G1708" s="149" t="s">
        <v>135</v>
      </c>
      <c r="H1708" s="168" t="s">
        <v>39</v>
      </c>
      <c r="I1708" s="168"/>
      <c r="J1708" s="168" t="s">
        <v>631</v>
      </c>
      <c r="K1708" s="168"/>
      <c r="L1708" s="160"/>
      <c r="M1708" s="169"/>
    </row>
    <row r="1709" spans="1:13" x14ac:dyDescent="0.55000000000000004">
      <c r="A1709" s="94" t="s">
        <v>631</v>
      </c>
      <c r="B1709" s="168" t="s">
        <v>188</v>
      </c>
      <c r="C1709" s="168" t="s">
        <v>127</v>
      </c>
      <c r="D1709" s="168" t="s">
        <v>2994</v>
      </c>
      <c r="E1709" s="116">
        <v>1.44</v>
      </c>
      <c r="F1709" s="149" t="s">
        <v>138</v>
      </c>
      <c r="G1709" s="149" t="s">
        <v>135</v>
      </c>
      <c r="H1709" s="168" t="s">
        <v>39</v>
      </c>
      <c r="I1709" s="168"/>
      <c r="J1709" s="168" t="s">
        <v>631</v>
      </c>
      <c r="K1709" s="168"/>
      <c r="L1709" s="160"/>
      <c r="M1709" s="169"/>
    </row>
    <row r="1710" spans="1:13" x14ac:dyDescent="0.55000000000000004">
      <c r="A1710" s="94" t="s">
        <v>629</v>
      </c>
      <c r="B1710" s="168" t="s">
        <v>598</v>
      </c>
      <c r="C1710" s="168" t="s">
        <v>121</v>
      </c>
      <c r="D1710" s="168" t="s">
        <v>3288</v>
      </c>
      <c r="E1710" s="116">
        <v>1</v>
      </c>
      <c r="F1710" s="149" t="s">
        <v>135</v>
      </c>
      <c r="G1710" s="149">
        <v>1</v>
      </c>
      <c r="H1710" s="168" t="s">
        <v>39</v>
      </c>
      <c r="I1710" s="168"/>
      <c r="J1710" s="168" t="s">
        <v>629</v>
      </c>
      <c r="K1710" s="168"/>
      <c r="L1710" s="160" t="s">
        <v>599</v>
      </c>
      <c r="M1710" s="169"/>
    </row>
    <row r="1711" spans="1:13" x14ac:dyDescent="0.55000000000000004">
      <c r="A1711" s="94" t="s">
        <v>629</v>
      </c>
      <c r="B1711" s="168" t="s">
        <v>3383</v>
      </c>
      <c r="C1711" s="168" t="s">
        <v>127</v>
      </c>
      <c r="D1711" s="168" t="s">
        <v>2994</v>
      </c>
      <c r="E1711" s="116">
        <v>0.2</v>
      </c>
      <c r="F1711" s="149" t="s">
        <v>138</v>
      </c>
      <c r="G1711" s="149" t="s">
        <v>135</v>
      </c>
      <c r="H1711" s="168" t="s">
        <v>39</v>
      </c>
      <c r="I1711" s="168"/>
      <c r="J1711" s="168" t="s">
        <v>629</v>
      </c>
      <c r="K1711" s="168"/>
      <c r="L1711" s="160"/>
      <c r="M1711" s="169"/>
    </row>
    <row r="1712" spans="1:13" x14ac:dyDescent="0.55000000000000004">
      <c r="A1712" s="94" t="s">
        <v>629</v>
      </c>
      <c r="B1712" s="168" t="s">
        <v>171</v>
      </c>
      <c r="C1712" s="168" t="s">
        <v>127</v>
      </c>
      <c r="D1712" s="168" t="s">
        <v>2994</v>
      </c>
      <c r="E1712" s="116">
        <v>11.4</v>
      </c>
      <c r="F1712" s="149" t="s">
        <v>138</v>
      </c>
      <c r="G1712" s="149" t="s">
        <v>135</v>
      </c>
      <c r="H1712" s="168" t="s">
        <v>39</v>
      </c>
      <c r="I1712" s="168"/>
      <c r="J1712" s="168" t="s">
        <v>629</v>
      </c>
      <c r="K1712" s="168"/>
      <c r="L1712" s="160"/>
      <c r="M1712" s="169"/>
    </row>
    <row r="1713" spans="1:13" x14ac:dyDescent="0.55000000000000004">
      <c r="A1713" s="94" t="s">
        <v>629</v>
      </c>
      <c r="B1713" s="168" t="s">
        <v>469</v>
      </c>
      <c r="C1713" s="168" t="s">
        <v>231</v>
      </c>
      <c r="D1713" s="168" t="s">
        <v>2994</v>
      </c>
      <c r="E1713" s="116">
        <v>59.67</v>
      </c>
      <c r="F1713" s="149" t="s">
        <v>138</v>
      </c>
      <c r="G1713" s="149" t="s">
        <v>135</v>
      </c>
      <c r="H1713" s="168" t="s">
        <v>39</v>
      </c>
      <c r="I1713" s="168"/>
      <c r="J1713" s="168" t="s">
        <v>629</v>
      </c>
      <c r="K1713" s="168"/>
      <c r="L1713" s="160"/>
      <c r="M1713" s="169"/>
    </row>
    <row r="1714" spans="1:13" x14ac:dyDescent="0.55000000000000004">
      <c r="A1714" s="94" t="s">
        <v>629</v>
      </c>
      <c r="B1714" s="168" t="s">
        <v>188</v>
      </c>
      <c r="C1714" s="168" t="s">
        <v>156</v>
      </c>
      <c r="D1714" s="168" t="s">
        <v>2994</v>
      </c>
      <c r="E1714" s="116">
        <v>2.1</v>
      </c>
      <c r="F1714" s="149" t="s">
        <v>138</v>
      </c>
      <c r="G1714" s="149" t="s">
        <v>135</v>
      </c>
      <c r="H1714" s="168" t="s">
        <v>39</v>
      </c>
      <c r="I1714" s="168"/>
      <c r="J1714" s="168" t="s">
        <v>629</v>
      </c>
      <c r="K1714" s="168"/>
      <c r="L1714" s="160"/>
      <c r="M1714" s="169"/>
    </row>
    <row r="1715" spans="1:13" x14ac:dyDescent="0.55000000000000004">
      <c r="A1715" s="94" t="s">
        <v>629</v>
      </c>
      <c r="B1715" s="168" t="s">
        <v>160</v>
      </c>
      <c r="C1715" s="168" t="s">
        <v>247</v>
      </c>
      <c r="D1715" s="168" t="s">
        <v>3288</v>
      </c>
      <c r="E1715" s="116">
        <v>639.20521783718186</v>
      </c>
      <c r="F1715" s="149" t="s">
        <v>122</v>
      </c>
      <c r="G1715" s="149" t="s">
        <v>135</v>
      </c>
      <c r="H1715" s="168" t="s">
        <v>39</v>
      </c>
      <c r="I1715" s="168"/>
      <c r="J1715" s="168" t="s">
        <v>629</v>
      </c>
      <c r="K1715" s="168"/>
      <c r="L1715" s="160"/>
      <c r="M1715" s="169"/>
    </row>
    <row r="1716" spans="1:13" x14ac:dyDescent="0.55000000000000004">
      <c r="A1716" s="94" t="s">
        <v>627</v>
      </c>
      <c r="B1716" s="168" t="s">
        <v>598</v>
      </c>
      <c r="C1716" s="168" t="s">
        <v>121</v>
      </c>
      <c r="D1716" s="168" t="s">
        <v>3288</v>
      </c>
      <c r="E1716" s="116">
        <v>1</v>
      </c>
      <c r="F1716" s="149" t="s">
        <v>135</v>
      </c>
      <c r="G1716" s="149">
        <v>1</v>
      </c>
      <c r="H1716" s="168" t="s">
        <v>39</v>
      </c>
      <c r="I1716" s="168"/>
      <c r="J1716" s="168" t="s">
        <v>627</v>
      </c>
      <c r="K1716" s="168"/>
      <c r="L1716" s="160" t="s">
        <v>599</v>
      </c>
      <c r="M1716" s="169"/>
    </row>
    <row r="1717" spans="1:13" x14ac:dyDescent="0.55000000000000004">
      <c r="A1717" s="94" t="s">
        <v>627</v>
      </c>
      <c r="B1717" s="168" t="s">
        <v>3383</v>
      </c>
      <c r="C1717" s="168" t="s">
        <v>127</v>
      </c>
      <c r="D1717" s="168" t="s">
        <v>2994</v>
      </c>
      <c r="E1717" s="116">
        <v>0.3</v>
      </c>
      <c r="F1717" s="149" t="s">
        <v>138</v>
      </c>
      <c r="G1717" s="149" t="s">
        <v>135</v>
      </c>
      <c r="H1717" s="168" t="s">
        <v>39</v>
      </c>
      <c r="I1717" s="168"/>
      <c r="J1717" s="168" t="s">
        <v>627</v>
      </c>
      <c r="K1717" s="168"/>
      <c r="L1717" s="160"/>
      <c r="M1717" s="169"/>
    </row>
    <row r="1718" spans="1:13" x14ac:dyDescent="0.55000000000000004">
      <c r="A1718" s="94" t="s">
        <v>627</v>
      </c>
      <c r="B1718" s="168" t="s">
        <v>625</v>
      </c>
      <c r="C1718" s="168" t="s">
        <v>127</v>
      </c>
      <c r="D1718" s="168" t="s">
        <v>2994</v>
      </c>
      <c r="E1718" s="116">
        <v>10.9</v>
      </c>
      <c r="F1718" s="149" t="s">
        <v>138</v>
      </c>
      <c r="G1718" s="149" t="s">
        <v>135</v>
      </c>
      <c r="H1718" s="168" t="s">
        <v>39</v>
      </c>
      <c r="I1718" s="168"/>
      <c r="J1718" s="168" t="s">
        <v>627</v>
      </c>
      <c r="K1718" s="168"/>
      <c r="L1718" s="160"/>
      <c r="M1718" s="169"/>
    </row>
    <row r="1719" spans="1:13" x14ac:dyDescent="0.55000000000000004">
      <c r="A1719" s="94" t="s">
        <v>627</v>
      </c>
      <c r="B1719" s="168" t="s">
        <v>625</v>
      </c>
      <c r="C1719" s="168" t="s">
        <v>231</v>
      </c>
      <c r="D1719" s="168" t="s">
        <v>2994</v>
      </c>
      <c r="E1719" s="116">
        <v>62.9</v>
      </c>
      <c r="F1719" s="149" t="s">
        <v>138</v>
      </c>
      <c r="G1719" s="149" t="s">
        <v>135</v>
      </c>
      <c r="H1719" s="168" t="s">
        <v>39</v>
      </c>
      <c r="I1719" s="168"/>
      <c r="J1719" s="168" t="s">
        <v>627</v>
      </c>
      <c r="K1719" s="168"/>
      <c r="L1719" s="160"/>
      <c r="M1719" s="169"/>
    </row>
    <row r="1720" spans="1:13" x14ac:dyDescent="0.55000000000000004">
      <c r="A1720" s="94" t="s">
        <v>627</v>
      </c>
      <c r="B1720" s="168" t="s">
        <v>188</v>
      </c>
      <c r="C1720" s="168" t="s">
        <v>156</v>
      </c>
      <c r="D1720" s="168" t="s">
        <v>2994</v>
      </c>
      <c r="E1720" s="116">
        <v>1.2</v>
      </c>
      <c r="F1720" s="149" t="s">
        <v>138</v>
      </c>
      <c r="G1720" s="149" t="s">
        <v>135</v>
      </c>
      <c r="H1720" s="168" t="s">
        <v>39</v>
      </c>
      <c r="I1720" s="168"/>
      <c r="J1720" s="168" t="s">
        <v>627</v>
      </c>
      <c r="K1720" s="168"/>
      <c r="L1720" s="160"/>
      <c r="M1720" s="169"/>
    </row>
    <row r="1721" spans="1:13" x14ac:dyDescent="0.55000000000000004">
      <c r="A1721" s="94" t="s">
        <v>627</v>
      </c>
      <c r="B1721" s="168" t="s">
        <v>160</v>
      </c>
      <c r="C1721" s="168" t="s">
        <v>247</v>
      </c>
      <c r="D1721" s="168" t="s">
        <v>3288</v>
      </c>
      <c r="E1721" s="116">
        <v>798.97</v>
      </c>
      <c r="F1721" s="149" t="s">
        <v>122</v>
      </c>
      <c r="G1721" s="149" t="s">
        <v>135</v>
      </c>
      <c r="H1721" s="168" t="s">
        <v>39</v>
      </c>
      <c r="I1721" s="168"/>
      <c r="J1721" s="168" t="s">
        <v>627</v>
      </c>
      <c r="K1721" s="168"/>
      <c r="L1721" s="160"/>
      <c r="M1721" s="169"/>
    </row>
    <row r="1722" spans="1:13" x14ac:dyDescent="0.55000000000000004">
      <c r="A1722" s="94" t="s">
        <v>626</v>
      </c>
      <c r="B1722" s="168" t="s">
        <v>615</v>
      </c>
      <c r="C1722" s="168" t="s">
        <v>121</v>
      </c>
      <c r="D1722" s="168" t="s">
        <v>3288</v>
      </c>
      <c r="E1722" s="116">
        <v>1</v>
      </c>
      <c r="F1722" s="149" t="s">
        <v>135</v>
      </c>
      <c r="G1722" s="149">
        <v>1</v>
      </c>
      <c r="H1722" s="168" t="s">
        <v>39</v>
      </c>
      <c r="I1722" s="168"/>
      <c r="J1722" s="168" t="s">
        <v>626</v>
      </c>
      <c r="K1722" s="168"/>
      <c r="L1722" s="160">
        <v>281410</v>
      </c>
      <c r="M1722" s="169"/>
    </row>
    <row r="1723" spans="1:13" x14ac:dyDescent="0.55000000000000004">
      <c r="A1723" s="94" t="s">
        <v>626</v>
      </c>
      <c r="B1723" s="168" t="s">
        <v>153</v>
      </c>
      <c r="C1723" s="168" t="s">
        <v>127</v>
      </c>
      <c r="D1723" s="168" t="s">
        <v>2994</v>
      </c>
      <c r="E1723" s="116">
        <v>2</v>
      </c>
      <c r="F1723" s="149" t="s">
        <v>138</v>
      </c>
      <c r="G1723" s="149" t="s">
        <v>135</v>
      </c>
      <c r="H1723" s="168" t="s">
        <v>39</v>
      </c>
      <c r="I1723" s="168"/>
      <c r="J1723" s="168" t="s">
        <v>626</v>
      </c>
      <c r="K1723" s="168"/>
      <c r="L1723" s="160"/>
      <c r="M1723" s="169"/>
    </row>
    <row r="1724" spans="1:13" x14ac:dyDescent="0.55000000000000004">
      <c r="A1724" s="94" t="s">
        <v>626</v>
      </c>
      <c r="B1724" s="168" t="s">
        <v>625</v>
      </c>
      <c r="C1724" s="168" t="s">
        <v>127</v>
      </c>
      <c r="D1724" s="168" t="s">
        <v>2994</v>
      </c>
      <c r="E1724" s="116">
        <v>27.9</v>
      </c>
      <c r="F1724" s="149" t="s">
        <v>138</v>
      </c>
      <c r="G1724" s="149" t="s">
        <v>135</v>
      </c>
      <c r="H1724" s="168" t="s">
        <v>39</v>
      </c>
      <c r="I1724" s="168"/>
      <c r="J1724" s="168" t="s">
        <v>626</v>
      </c>
      <c r="K1724" s="168"/>
      <c r="L1724" s="160"/>
      <c r="M1724" s="169"/>
    </row>
    <row r="1725" spans="1:13" x14ac:dyDescent="0.55000000000000004">
      <c r="A1725" s="94" t="s">
        <v>626</v>
      </c>
      <c r="B1725" s="168" t="s">
        <v>625</v>
      </c>
      <c r="C1725" s="168" t="s">
        <v>231</v>
      </c>
      <c r="D1725" s="168" t="s">
        <v>2994</v>
      </c>
      <c r="E1725" s="116">
        <v>18.41</v>
      </c>
      <c r="F1725" s="149" t="s">
        <v>138</v>
      </c>
      <c r="G1725" s="149" t="s">
        <v>135</v>
      </c>
      <c r="H1725" s="168" t="s">
        <v>39</v>
      </c>
      <c r="I1725" s="168"/>
      <c r="J1725" s="168" t="s">
        <v>626</v>
      </c>
      <c r="K1725" s="168"/>
      <c r="L1725" s="160"/>
      <c r="M1725" s="169"/>
    </row>
    <row r="1726" spans="1:13" x14ac:dyDescent="0.55000000000000004">
      <c r="A1726" s="94" t="s">
        <v>626</v>
      </c>
      <c r="B1726" s="168" t="s">
        <v>160</v>
      </c>
      <c r="C1726" s="168" t="s">
        <v>247</v>
      </c>
      <c r="D1726" s="168" t="s">
        <v>3288</v>
      </c>
      <c r="E1726" s="116">
        <v>2045.07</v>
      </c>
      <c r="F1726" s="149" t="s">
        <v>122</v>
      </c>
      <c r="G1726" s="149" t="s">
        <v>135</v>
      </c>
      <c r="H1726" s="168" t="s">
        <v>39</v>
      </c>
      <c r="I1726" s="168"/>
      <c r="J1726" s="168" t="s">
        <v>626</v>
      </c>
      <c r="K1726" s="168"/>
      <c r="L1726" s="160"/>
      <c r="M1726" s="169"/>
    </row>
    <row r="1727" spans="1:13" x14ac:dyDescent="0.55000000000000004">
      <c r="A1727" s="94" t="s">
        <v>623</v>
      </c>
      <c r="B1727" s="168" t="s">
        <v>598</v>
      </c>
      <c r="C1727" s="168" t="s">
        <v>121</v>
      </c>
      <c r="D1727" s="168" t="s">
        <v>3288</v>
      </c>
      <c r="E1727" s="116">
        <v>1</v>
      </c>
      <c r="F1727" s="149" t="s">
        <v>135</v>
      </c>
      <c r="G1727" s="149">
        <v>1</v>
      </c>
      <c r="H1727" s="168" t="s">
        <v>39</v>
      </c>
      <c r="I1727" s="168"/>
      <c r="J1727" s="168" t="s">
        <v>623</v>
      </c>
      <c r="K1727" s="168"/>
      <c r="L1727" s="160" t="s">
        <v>599</v>
      </c>
      <c r="M1727" s="169"/>
    </row>
    <row r="1728" spans="1:13" x14ac:dyDescent="0.55000000000000004">
      <c r="A1728" s="94" t="s">
        <v>623</v>
      </c>
      <c r="B1728" s="168" t="s">
        <v>3383</v>
      </c>
      <c r="C1728" s="168" t="s">
        <v>127</v>
      </c>
      <c r="D1728" s="168" t="s">
        <v>2994</v>
      </c>
      <c r="E1728" s="116">
        <v>0.9</v>
      </c>
      <c r="F1728" s="149" t="s">
        <v>138</v>
      </c>
      <c r="G1728" s="149" t="s">
        <v>135</v>
      </c>
      <c r="H1728" s="168" t="s">
        <v>39</v>
      </c>
      <c r="I1728" s="168"/>
      <c r="J1728" s="168" t="s">
        <v>623</v>
      </c>
      <c r="K1728" s="168"/>
      <c r="L1728" s="160"/>
      <c r="M1728" s="169"/>
    </row>
    <row r="1729" spans="1:13" x14ac:dyDescent="0.55000000000000004">
      <c r="A1729" s="94" t="s">
        <v>623</v>
      </c>
      <c r="B1729" s="168" t="s">
        <v>625</v>
      </c>
      <c r="C1729" s="168" t="s">
        <v>127</v>
      </c>
      <c r="D1729" s="168" t="s">
        <v>2994</v>
      </c>
      <c r="E1729" s="116">
        <v>14.5</v>
      </c>
      <c r="F1729" s="149" t="s">
        <v>138</v>
      </c>
      <c r="G1729" s="149" t="s">
        <v>135</v>
      </c>
      <c r="H1729" s="168" t="s">
        <v>39</v>
      </c>
      <c r="I1729" s="168"/>
      <c r="J1729" s="168" t="s">
        <v>623</v>
      </c>
      <c r="K1729" s="168"/>
      <c r="L1729" s="160"/>
      <c r="M1729" s="169"/>
    </row>
    <row r="1730" spans="1:13" x14ac:dyDescent="0.55000000000000004">
      <c r="A1730" s="94" t="s">
        <v>623</v>
      </c>
      <c r="B1730" s="168" t="s">
        <v>625</v>
      </c>
      <c r="C1730" s="168" t="s">
        <v>231</v>
      </c>
      <c r="D1730" s="168" t="s">
        <v>2994</v>
      </c>
      <c r="E1730" s="116">
        <v>80.8</v>
      </c>
      <c r="F1730" s="149" t="s">
        <v>138</v>
      </c>
      <c r="G1730" s="149" t="s">
        <v>135</v>
      </c>
      <c r="H1730" s="168" t="s">
        <v>39</v>
      </c>
      <c r="I1730" s="168"/>
      <c r="J1730" s="168" t="s">
        <v>623</v>
      </c>
      <c r="K1730" s="168"/>
      <c r="L1730" s="160"/>
      <c r="M1730" s="169"/>
    </row>
    <row r="1731" spans="1:13" x14ac:dyDescent="0.55000000000000004">
      <c r="A1731" s="94" t="s">
        <v>623</v>
      </c>
      <c r="B1731" s="168" t="s">
        <v>188</v>
      </c>
      <c r="C1731" s="168" t="s">
        <v>156</v>
      </c>
      <c r="D1731" s="168" t="s">
        <v>2994</v>
      </c>
      <c r="E1731" s="116">
        <v>0.3</v>
      </c>
      <c r="F1731" s="149" t="s">
        <v>138</v>
      </c>
      <c r="G1731" s="149" t="s">
        <v>135</v>
      </c>
      <c r="H1731" s="168" t="s">
        <v>39</v>
      </c>
      <c r="I1731" s="168"/>
      <c r="J1731" s="168" t="s">
        <v>623</v>
      </c>
      <c r="K1731" s="168"/>
      <c r="L1731" s="160"/>
      <c r="M1731" s="169"/>
    </row>
    <row r="1732" spans="1:13" x14ac:dyDescent="0.55000000000000004">
      <c r="A1732" s="94" t="s">
        <v>623</v>
      </c>
      <c r="B1732" s="168" t="s">
        <v>160</v>
      </c>
      <c r="C1732" s="168" t="s">
        <v>247</v>
      </c>
      <c r="D1732" s="168" t="s">
        <v>3288</v>
      </c>
      <c r="E1732" s="116">
        <v>1062.8499999999999</v>
      </c>
      <c r="F1732" s="149" t="s">
        <v>122</v>
      </c>
      <c r="G1732" s="149" t="s">
        <v>135</v>
      </c>
      <c r="H1732" s="168" t="s">
        <v>39</v>
      </c>
      <c r="I1732" s="168"/>
      <c r="J1732" s="168" t="s">
        <v>623</v>
      </c>
      <c r="K1732" s="168"/>
      <c r="L1732" s="160"/>
      <c r="M1732" s="169"/>
    </row>
    <row r="1733" spans="1:13" x14ac:dyDescent="0.55000000000000004">
      <c r="A1733" s="94" t="s">
        <v>621</v>
      </c>
      <c r="B1733" s="168" t="s">
        <v>615</v>
      </c>
      <c r="C1733" s="168" t="s">
        <v>121</v>
      </c>
      <c r="D1733" s="168" t="s">
        <v>3288</v>
      </c>
      <c r="E1733" s="116">
        <v>1</v>
      </c>
      <c r="F1733" s="149" t="s">
        <v>135</v>
      </c>
      <c r="G1733" s="149">
        <v>1</v>
      </c>
      <c r="H1733" s="168" t="s">
        <v>39</v>
      </c>
      <c r="I1733" s="168"/>
      <c r="J1733" s="168" t="s">
        <v>621</v>
      </c>
      <c r="K1733" s="168"/>
      <c r="L1733" s="160">
        <v>281410</v>
      </c>
      <c r="M1733" s="169"/>
    </row>
    <row r="1734" spans="1:13" x14ac:dyDescent="0.55000000000000004">
      <c r="A1734" s="94" t="s">
        <v>621</v>
      </c>
      <c r="B1734" s="168" t="s">
        <v>153</v>
      </c>
      <c r="C1734" s="168" t="s">
        <v>127</v>
      </c>
      <c r="D1734" s="168" t="s">
        <v>2994</v>
      </c>
      <c r="E1734" s="116">
        <v>0.3</v>
      </c>
      <c r="F1734" s="149" t="s">
        <v>138</v>
      </c>
      <c r="G1734" s="149" t="s">
        <v>135</v>
      </c>
      <c r="H1734" s="168" t="s">
        <v>39</v>
      </c>
      <c r="I1734" s="168"/>
      <c r="J1734" s="168" t="s">
        <v>621</v>
      </c>
      <c r="K1734" s="168"/>
      <c r="L1734" s="160"/>
      <c r="M1734" s="169"/>
    </row>
    <row r="1735" spans="1:13" x14ac:dyDescent="0.55000000000000004">
      <c r="A1735" s="94" t="s">
        <v>621</v>
      </c>
      <c r="B1735" s="168" t="s">
        <v>171</v>
      </c>
      <c r="C1735" s="168" t="s">
        <v>127</v>
      </c>
      <c r="D1735" s="168" t="s">
        <v>2994</v>
      </c>
      <c r="E1735" s="116">
        <v>26.3</v>
      </c>
      <c r="F1735" s="149" t="s">
        <v>138</v>
      </c>
      <c r="G1735" s="149" t="s">
        <v>135</v>
      </c>
      <c r="H1735" s="168" t="s">
        <v>39</v>
      </c>
      <c r="I1735" s="168"/>
      <c r="J1735" s="168" t="s">
        <v>621</v>
      </c>
      <c r="K1735" s="168"/>
      <c r="L1735" s="160"/>
      <c r="M1735" s="169"/>
    </row>
    <row r="1736" spans="1:13" x14ac:dyDescent="0.55000000000000004">
      <c r="A1736" s="94" t="s">
        <v>621</v>
      </c>
      <c r="B1736" s="168" t="s">
        <v>171</v>
      </c>
      <c r="C1736" s="168" t="s">
        <v>231</v>
      </c>
      <c r="D1736" s="168" t="s">
        <v>2994</v>
      </c>
      <c r="E1736" s="116">
        <v>19.48</v>
      </c>
      <c r="F1736" s="149" t="s">
        <v>138</v>
      </c>
      <c r="G1736" s="149" t="s">
        <v>135</v>
      </c>
      <c r="H1736" s="168" t="s">
        <v>39</v>
      </c>
      <c r="I1736" s="168"/>
      <c r="J1736" s="168" t="s">
        <v>621</v>
      </c>
      <c r="K1736" s="168"/>
      <c r="L1736" s="160"/>
      <c r="M1736" s="169"/>
    </row>
    <row r="1737" spans="1:13" x14ac:dyDescent="0.55000000000000004">
      <c r="A1737" s="94" t="s">
        <v>621</v>
      </c>
      <c r="B1737" s="168" t="s">
        <v>160</v>
      </c>
      <c r="C1737" s="168" t="s">
        <v>247</v>
      </c>
      <c r="D1737" s="168" t="s">
        <v>3288</v>
      </c>
      <c r="E1737" s="116">
        <v>1474.6576516770069</v>
      </c>
      <c r="F1737" s="149" t="s">
        <v>122</v>
      </c>
      <c r="G1737" s="149" t="s">
        <v>135</v>
      </c>
      <c r="H1737" s="168" t="s">
        <v>39</v>
      </c>
      <c r="I1737" s="168"/>
      <c r="J1737" s="168" t="s">
        <v>621</v>
      </c>
      <c r="K1737" s="168"/>
      <c r="L1737" s="160"/>
      <c r="M1737" s="169"/>
    </row>
    <row r="1738" spans="1:13" x14ac:dyDescent="0.55000000000000004">
      <c r="A1738" s="94" t="s">
        <v>621</v>
      </c>
      <c r="B1738" s="168" t="s">
        <v>188</v>
      </c>
      <c r="C1738" s="168" t="s">
        <v>156</v>
      </c>
      <c r="D1738" s="168" t="s">
        <v>2994</v>
      </c>
      <c r="E1738" s="116">
        <v>9.3000000000000007</v>
      </c>
      <c r="F1738" s="149" t="s">
        <v>138</v>
      </c>
      <c r="G1738" s="149" t="s">
        <v>135</v>
      </c>
      <c r="H1738" s="168" t="s">
        <v>39</v>
      </c>
      <c r="I1738" s="168"/>
      <c r="J1738" s="168" t="s">
        <v>621</v>
      </c>
      <c r="K1738" s="168"/>
      <c r="L1738" s="160"/>
      <c r="M1738" s="169"/>
    </row>
    <row r="1739" spans="1:13" x14ac:dyDescent="0.55000000000000004">
      <c r="A1739" s="94" t="s">
        <v>621</v>
      </c>
      <c r="B1739" s="168" t="s">
        <v>160</v>
      </c>
      <c r="C1739" s="168" t="s">
        <v>156</v>
      </c>
      <c r="D1739" s="168" t="s">
        <v>3288</v>
      </c>
      <c r="E1739" s="116">
        <v>1327.89</v>
      </c>
      <c r="F1739" s="149" t="s">
        <v>122</v>
      </c>
      <c r="G1739" s="149" t="s">
        <v>135</v>
      </c>
      <c r="H1739" s="168" t="s">
        <v>39</v>
      </c>
      <c r="I1739" s="168"/>
      <c r="J1739" s="168" t="s">
        <v>621</v>
      </c>
      <c r="K1739" s="168"/>
      <c r="L1739" s="160"/>
      <c r="M1739" s="169"/>
    </row>
    <row r="1740" spans="1:13" x14ac:dyDescent="0.55000000000000004">
      <c r="A1740" s="94" t="s">
        <v>620</v>
      </c>
      <c r="B1740" s="168" t="s">
        <v>469</v>
      </c>
      <c r="C1740" s="168" t="s">
        <v>121</v>
      </c>
      <c r="D1740" s="168" t="s">
        <v>3288</v>
      </c>
      <c r="E1740" s="116">
        <v>1</v>
      </c>
      <c r="F1740" s="149" t="s">
        <v>135</v>
      </c>
      <c r="G1740" s="149">
        <v>1</v>
      </c>
      <c r="H1740" s="168" t="s">
        <v>39</v>
      </c>
      <c r="I1740" s="168"/>
      <c r="J1740" s="168" t="s">
        <v>620</v>
      </c>
      <c r="K1740" s="168"/>
      <c r="L1740" s="160">
        <v>290513</v>
      </c>
      <c r="M1740" s="169"/>
    </row>
    <row r="1741" spans="1:13" x14ac:dyDescent="0.55000000000000004">
      <c r="A1741" s="94" t="s">
        <v>620</v>
      </c>
      <c r="B1741" s="168" t="s">
        <v>3383</v>
      </c>
      <c r="C1741" s="168" t="s">
        <v>127</v>
      </c>
      <c r="D1741" s="168" t="s">
        <v>2994</v>
      </c>
      <c r="E1741" s="116">
        <v>0.3</v>
      </c>
      <c r="F1741" s="149" t="s">
        <v>138</v>
      </c>
      <c r="G1741" s="149" t="s">
        <v>135</v>
      </c>
      <c r="H1741" s="168" t="s">
        <v>39</v>
      </c>
      <c r="I1741" s="168"/>
      <c r="J1741" s="168" t="s">
        <v>620</v>
      </c>
      <c r="K1741" s="168"/>
      <c r="L1741" s="160"/>
      <c r="M1741" s="169"/>
    </row>
    <row r="1742" spans="1:13" x14ac:dyDescent="0.55000000000000004">
      <c r="A1742" s="94" t="s">
        <v>620</v>
      </c>
      <c r="B1742" s="168" t="s">
        <v>171</v>
      </c>
      <c r="C1742" s="168" t="s">
        <v>127</v>
      </c>
      <c r="D1742" s="168" t="s">
        <v>2994</v>
      </c>
      <c r="E1742" s="116">
        <v>15.7</v>
      </c>
      <c r="F1742" s="149" t="s">
        <v>138</v>
      </c>
      <c r="G1742" s="149" t="s">
        <v>135</v>
      </c>
      <c r="H1742" s="168" t="s">
        <v>39</v>
      </c>
      <c r="I1742" s="168"/>
      <c r="J1742" s="168" t="s">
        <v>620</v>
      </c>
      <c r="K1742" s="168"/>
      <c r="L1742" s="160"/>
      <c r="M1742" s="169"/>
    </row>
    <row r="1743" spans="1:13" x14ac:dyDescent="0.55000000000000004">
      <c r="A1743" s="94" t="s">
        <v>620</v>
      </c>
      <c r="B1743" s="168" t="s">
        <v>171</v>
      </c>
      <c r="C1743" s="168" t="s">
        <v>231</v>
      </c>
      <c r="D1743" s="168" t="s">
        <v>2994</v>
      </c>
      <c r="E1743" s="116">
        <v>21.9</v>
      </c>
      <c r="F1743" s="149" t="s">
        <v>138</v>
      </c>
      <c r="G1743" s="149" t="s">
        <v>135</v>
      </c>
      <c r="H1743" s="168" t="s">
        <v>39</v>
      </c>
      <c r="I1743" s="168"/>
      <c r="J1743" s="168" t="s">
        <v>620</v>
      </c>
      <c r="K1743" s="168"/>
      <c r="L1743" s="160"/>
      <c r="M1743" s="169"/>
    </row>
    <row r="1744" spans="1:13" x14ac:dyDescent="0.55000000000000004">
      <c r="A1744" s="94" t="s">
        <v>620</v>
      </c>
      <c r="B1744" s="168" t="s">
        <v>160</v>
      </c>
      <c r="C1744" s="168" t="s">
        <v>247</v>
      </c>
      <c r="D1744" s="168" t="s">
        <v>3288</v>
      </c>
      <c r="E1744" s="116">
        <v>880.30894035471533</v>
      </c>
      <c r="F1744" s="149" t="s">
        <v>122</v>
      </c>
      <c r="G1744" s="149" t="s">
        <v>135</v>
      </c>
      <c r="H1744" s="168" t="s">
        <v>39</v>
      </c>
      <c r="I1744" s="168"/>
      <c r="J1744" s="168" t="s">
        <v>620</v>
      </c>
      <c r="K1744" s="168"/>
      <c r="L1744" s="160"/>
      <c r="M1744" s="169"/>
    </row>
    <row r="1745" spans="1:13" x14ac:dyDescent="0.55000000000000004">
      <c r="A1745" s="94" t="s">
        <v>614</v>
      </c>
      <c r="B1745" s="168" t="s">
        <v>615</v>
      </c>
      <c r="C1745" s="168" t="s">
        <v>121</v>
      </c>
      <c r="D1745" s="168" t="s">
        <v>3288</v>
      </c>
      <c r="E1745" s="116">
        <v>1</v>
      </c>
      <c r="F1745" s="149" t="s">
        <v>135</v>
      </c>
      <c r="G1745" s="149">
        <v>1</v>
      </c>
      <c r="H1745" s="168" t="s">
        <v>39</v>
      </c>
      <c r="I1745" s="168"/>
      <c r="J1745" s="168" t="s">
        <v>614</v>
      </c>
      <c r="K1745" s="168"/>
      <c r="L1745" s="160">
        <v>281410</v>
      </c>
      <c r="M1745" s="169"/>
    </row>
    <row r="1746" spans="1:13" x14ac:dyDescent="0.55000000000000004">
      <c r="A1746" s="94" t="s">
        <v>614</v>
      </c>
      <c r="B1746" s="168" t="s">
        <v>153</v>
      </c>
      <c r="C1746" s="168" t="s">
        <v>127</v>
      </c>
      <c r="D1746" s="168" t="s">
        <v>2994</v>
      </c>
      <c r="E1746" s="116">
        <v>0.3</v>
      </c>
      <c r="F1746" s="149" t="s">
        <v>138</v>
      </c>
      <c r="G1746" s="149" t="s">
        <v>135</v>
      </c>
      <c r="H1746" s="168" t="s">
        <v>39</v>
      </c>
      <c r="I1746" s="168"/>
      <c r="J1746" s="168" t="s">
        <v>614</v>
      </c>
      <c r="K1746" s="168"/>
      <c r="L1746" s="160"/>
      <c r="M1746" s="169"/>
    </row>
    <row r="1747" spans="1:13" x14ac:dyDescent="0.55000000000000004">
      <c r="A1747" s="94" t="s">
        <v>614</v>
      </c>
      <c r="B1747" s="168" t="s">
        <v>171</v>
      </c>
      <c r="C1747" s="168" t="s">
        <v>127</v>
      </c>
      <c r="D1747" s="168" t="s">
        <v>2994</v>
      </c>
      <c r="E1747" s="116">
        <v>26.3</v>
      </c>
      <c r="F1747" s="149" t="s">
        <v>138</v>
      </c>
      <c r="G1747" s="149" t="s">
        <v>135</v>
      </c>
      <c r="H1747" s="168" t="s">
        <v>39</v>
      </c>
      <c r="I1747" s="168"/>
      <c r="J1747" s="168" t="s">
        <v>614</v>
      </c>
      <c r="K1747" s="168"/>
      <c r="L1747" s="160"/>
      <c r="M1747" s="169"/>
    </row>
    <row r="1748" spans="1:13" x14ac:dyDescent="0.55000000000000004">
      <c r="A1748" s="94" t="s">
        <v>614</v>
      </c>
      <c r="B1748" s="168" t="s">
        <v>171</v>
      </c>
      <c r="C1748" s="168" t="s">
        <v>231</v>
      </c>
      <c r="D1748" s="168" t="s">
        <v>2994</v>
      </c>
      <c r="E1748" s="116">
        <v>19.48</v>
      </c>
      <c r="F1748" s="149" t="s">
        <v>138</v>
      </c>
      <c r="G1748" s="149" t="s">
        <v>135</v>
      </c>
      <c r="H1748" s="168" t="s">
        <v>39</v>
      </c>
      <c r="I1748" s="168"/>
      <c r="J1748" s="168" t="s">
        <v>614</v>
      </c>
      <c r="K1748" s="168"/>
      <c r="L1748" s="160"/>
      <c r="M1748" s="169"/>
    </row>
    <row r="1749" spans="1:13" x14ac:dyDescent="0.55000000000000004">
      <c r="A1749" s="94" t="s">
        <v>614</v>
      </c>
      <c r="B1749" s="168" t="s">
        <v>160</v>
      </c>
      <c r="C1749" s="168" t="s">
        <v>247</v>
      </c>
      <c r="D1749" s="168" t="s">
        <v>3288</v>
      </c>
      <c r="E1749" s="116">
        <v>1474.6576516770074</v>
      </c>
      <c r="F1749" s="149" t="s">
        <v>122</v>
      </c>
      <c r="G1749" s="149" t="s">
        <v>135</v>
      </c>
      <c r="H1749" s="168" t="s">
        <v>39</v>
      </c>
      <c r="I1749" s="168"/>
      <c r="J1749" s="168" t="s">
        <v>614</v>
      </c>
      <c r="K1749" s="168"/>
      <c r="L1749" s="160"/>
      <c r="M1749" s="169"/>
    </row>
    <row r="1750" spans="1:13" x14ac:dyDescent="0.55000000000000004">
      <c r="A1750" s="93" t="s">
        <v>609</v>
      </c>
      <c r="B1750" s="168" t="s">
        <v>3386</v>
      </c>
      <c r="C1750" s="168" t="s">
        <v>121</v>
      </c>
      <c r="D1750" s="168" t="s">
        <v>3288</v>
      </c>
      <c r="E1750" s="116">
        <v>1</v>
      </c>
      <c r="F1750" s="149" t="s">
        <v>135</v>
      </c>
      <c r="G1750" s="149">
        <v>1</v>
      </c>
      <c r="H1750" s="168" t="s">
        <v>39</v>
      </c>
      <c r="I1750" s="168"/>
      <c r="J1750" s="168" t="s">
        <v>611</v>
      </c>
      <c r="K1750" s="168"/>
      <c r="L1750" s="160">
        <v>2615</v>
      </c>
      <c r="M1750" s="169"/>
    </row>
    <row r="1751" spans="1:13" x14ac:dyDescent="0.55000000000000004">
      <c r="A1751" s="93" t="s">
        <v>609</v>
      </c>
      <c r="B1751" s="168" t="s">
        <v>230</v>
      </c>
      <c r="C1751" s="168" t="s">
        <v>127</v>
      </c>
      <c r="D1751" s="168" t="s">
        <v>2994</v>
      </c>
      <c r="E1751" s="116">
        <v>0.16</v>
      </c>
      <c r="F1751" s="149" t="s">
        <v>138</v>
      </c>
      <c r="G1751" s="149" t="s">
        <v>135</v>
      </c>
      <c r="H1751" s="168" t="s">
        <v>39</v>
      </c>
      <c r="I1751" s="168"/>
      <c r="J1751" s="168" t="s">
        <v>611</v>
      </c>
      <c r="K1751" s="168"/>
      <c r="L1751" s="160"/>
      <c r="M1751" s="169"/>
    </row>
    <row r="1752" spans="1:13" x14ac:dyDescent="0.55000000000000004">
      <c r="A1752" s="93" t="s">
        <v>609</v>
      </c>
      <c r="B1752" s="168" t="s">
        <v>262</v>
      </c>
      <c r="C1752" s="168" t="s">
        <v>127</v>
      </c>
      <c r="D1752" s="168" t="s">
        <v>2994</v>
      </c>
      <c r="E1752" s="116">
        <v>2.14</v>
      </c>
      <c r="F1752" s="149" t="s">
        <v>138</v>
      </c>
      <c r="G1752" s="149" t="s">
        <v>135</v>
      </c>
      <c r="H1752" s="168" t="s">
        <v>39</v>
      </c>
      <c r="I1752" s="168"/>
      <c r="J1752" s="168" t="s">
        <v>611</v>
      </c>
      <c r="K1752" s="168"/>
      <c r="L1752" s="160"/>
      <c r="M1752" s="169"/>
    </row>
    <row r="1753" spans="1:13" x14ac:dyDescent="0.55000000000000004">
      <c r="A1753" s="93" t="s">
        <v>609</v>
      </c>
      <c r="B1753" s="168" t="s">
        <v>293</v>
      </c>
      <c r="C1753" s="168" t="s">
        <v>127</v>
      </c>
      <c r="D1753" s="168" t="s">
        <v>2994</v>
      </c>
      <c r="E1753" s="116">
        <v>1.02</v>
      </c>
      <c r="F1753" s="149" t="s">
        <v>138</v>
      </c>
      <c r="G1753" s="149" t="s">
        <v>135</v>
      </c>
      <c r="H1753" s="168" t="s">
        <v>39</v>
      </c>
      <c r="I1753" s="168"/>
      <c r="J1753" s="168" t="s">
        <v>611</v>
      </c>
      <c r="K1753" s="168"/>
      <c r="L1753" s="160"/>
      <c r="M1753" s="169"/>
    </row>
    <row r="1754" spans="1:13" x14ac:dyDescent="0.55000000000000004">
      <c r="A1754" s="93" t="s">
        <v>609</v>
      </c>
      <c r="B1754" s="168" t="s">
        <v>153</v>
      </c>
      <c r="C1754" s="168" t="s">
        <v>127</v>
      </c>
      <c r="D1754" s="168" t="s">
        <v>2994</v>
      </c>
      <c r="E1754" s="116">
        <v>12.4</v>
      </c>
      <c r="F1754" s="149" t="s">
        <v>138</v>
      </c>
      <c r="G1754" s="149" t="s">
        <v>135</v>
      </c>
      <c r="H1754" s="168" t="s">
        <v>39</v>
      </c>
      <c r="I1754" s="168"/>
      <c r="J1754" s="168" t="s">
        <v>611</v>
      </c>
      <c r="K1754" s="168"/>
      <c r="L1754" s="160"/>
      <c r="M1754" s="169"/>
    </row>
    <row r="1755" spans="1:13" x14ac:dyDescent="0.55000000000000004">
      <c r="A1755" s="93" t="s">
        <v>609</v>
      </c>
      <c r="B1755" s="168" t="s">
        <v>575</v>
      </c>
      <c r="C1755" s="168" t="s">
        <v>127</v>
      </c>
      <c r="D1755" s="168" t="s">
        <v>2994</v>
      </c>
      <c r="E1755" s="116">
        <v>1.55</v>
      </c>
      <c r="F1755" s="149" t="s">
        <v>138</v>
      </c>
      <c r="G1755" s="149" t="s">
        <v>135</v>
      </c>
      <c r="H1755" s="168" t="s">
        <v>39</v>
      </c>
      <c r="I1755" s="168"/>
      <c r="J1755" s="168" t="s">
        <v>611</v>
      </c>
      <c r="K1755" s="168"/>
      <c r="L1755" s="160"/>
      <c r="M1755" s="169"/>
    </row>
    <row r="1756" spans="1:13" x14ac:dyDescent="0.55000000000000004">
      <c r="A1756" s="95" t="s">
        <v>605</v>
      </c>
      <c r="B1756" s="168" t="s">
        <v>606</v>
      </c>
      <c r="C1756" s="168" t="s">
        <v>121</v>
      </c>
      <c r="D1756" s="168" t="s">
        <v>3288</v>
      </c>
      <c r="E1756" s="116">
        <v>1</v>
      </c>
      <c r="F1756" s="149" t="s">
        <v>135</v>
      </c>
      <c r="G1756" s="149">
        <v>1</v>
      </c>
      <c r="H1756" s="168" t="s">
        <v>39</v>
      </c>
      <c r="I1756" s="168"/>
      <c r="J1756" s="168" t="s">
        <v>605</v>
      </c>
      <c r="K1756" s="168"/>
      <c r="L1756" s="160">
        <v>4704</v>
      </c>
      <c r="M1756" s="169"/>
    </row>
    <row r="1757" spans="1:13" x14ac:dyDescent="0.55000000000000004">
      <c r="A1757" s="95" t="s">
        <v>605</v>
      </c>
      <c r="B1757" s="168" t="s">
        <v>393</v>
      </c>
      <c r="C1757" s="168" t="s">
        <v>125</v>
      </c>
      <c r="D1757" s="168" t="s">
        <v>3288</v>
      </c>
      <c r="E1757" s="116">
        <v>0.57999999999999996</v>
      </c>
      <c r="F1757" s="149" t="s">
        <v>135</v>
      </c>
      <c r="G1757" s="149" t="s">
        <v>135</v>
      </c>
      <c r="H1757" s="168" t="s">
        <v>39</v>
      </c>
      <c r="I1757" s="168"/>
      <c r="J1757" s="168" t="s">
        <v>605</v>
      </c>
      <c r="K1757" s="168"/>
      <c r="L1757" s="160"/>
      <c r="M1757" s="169"/>
    </row>
    <row r="1758" spans="1:13" x14ac:dyDescent="0.55000000000000004">
      <c r="A1758" s="95" t="s">
        <v>605</v>
      </c>
      <c r="B1758" s="168" t="s">
        <v>3383</v>
      </c>
      <c r="C1758" s="168" t="s">
        <v>127</v>
      </c>
      <c r="D1758" s="168" t="s">
        <v>2994</v>
      </c>
      <c r="E1758" s="116">
        <v>2.48</v>
      </c>
      <c r="F1758" s="149" t="s">
        <v>138</v>
      </c>
      <c r="G1758" s="149" t="s">
        <v>135</v>
      </c>
      <c r="H1758" s="168" t="s">
        <v>39</v>
      </c>
      <c r="I1758" s="168"/>
      <c r="J1758" s="168" t="s">
        <v>605</v>
      </c>
      <c r="K1758" s="168"/>
      <c r="L1758" s="160"/>
      <c r="M1758" s="169"/>
    </row>
    <row r="1759" spans="1:13" x14ac:dyDescent="0.55000000000000004">
      <c r="A1759" s="95" t="s">
        <v>605</v>
      </c>
      <c r="B1759" s="168" t="s">
        <v>188</v>
      </c>
      <c r="C1759" s="168" t="s">
        <v>127</v>
      </c>
      <c r="D1759" s="168" t="s">
        <v>2994</v>
      </c>
      <c r="E1759" s="116">
        <v>4.13</v>
      </c>
      <c r="F1759" s="149" t="s">
        <v>138</v>
      </c>
      <c r="G1759" s="149" t="s">
        <v>135</v>
      </c>
      <c r="H1759" s="168" t="s">
        <v>39</v>
      </c>
      <c r="I1759" s="168"/>
      <c r="J1759" s="168" t="s">
        <v>605</v>
      </c>
      <c r="K1759" s="168"/>
      <c r="L1759" s="160"/>
      <c r="M1759" s="169"/>
    </row>
    <row r="1760" spans="1:13" x14ac:dyDescent="0.55000000000000004">
      <c r="A1760" s="54" t="s">
        <v>602</v>
      </c>
      <c r="B1760" s="168" t="s">
        <v>603</v>
      </c>
      <c r="C1760" s="168" t="s">
        <v>121</v>
      </c>
      <c r="D1760" s="168" t="s">
        <v>3288</v>
      </c>
      <c r="E1760" s="116">
        <v>1</v>
      </c>
      <c r="F1760" s="149" t="s">
        <v>135</v>
      </c>
      <c r="G1760" s="149">
        <v>1</v>
      </c>
      <c r="H1760" s="168" t="s">
        <v>39</v>
      </c>
      <c r="I1760" s="168"/>
      <c r="J1760" s="168" t="s">
        <v>602</v>
      </c>
      <c r="K1760" s="168"/>
      <c r="L1760" s="160">
        <v>2522</v>
      </c>
      <c r="M1760" s="169"/>
    </row>
    <row r="1761" spans="1:13" x14ac:dyDescent="0.55000000000000004">
      <c r="A1761" s="54" t="s">
        <v>602</v>
      </c>
      <c r="B1761" s="168" t="s">
        <v>230</v>
      </c>
      <c r="C1761" s="168" t="s">
        <v>127</v>
      </c>
      <c r="D1761" s="168" t="s">
        <v>2994</v>
      </c>
      <c r="E1761" s="116">
        <v>0.22</v>
      </c>
      <c r="F1761" s="149" t="s">
        <v>138</v>
      </c>
      <c r="G1761" s="149" t="s">
        <v>135</v>
      </c>
      <c r="H1761" s="168" t="s">
        <v>39</v>
      </c>
      <c r="I1761" s="168"/>
      <c r="J1761" s="168" t="s">
        <v>602</v>
      </c>
      <c r="K1761" s="168"/>
      <c r="L1761" s="160"/>
      <c r="M1761" s="169"/>
    </row>
    <row r="1762" spans="1:13" x14ac:dyDescent="0.55000000000000004">
      <c r="A1762" s="54" t="s">
        <v>602</v>
      </c>
      <c r="B1762" s="168" t="s">
        <v>262</v>
      </c>
      <c r="C1762" s="168" t="s">
        <v>127</v>
      </c>
      <c r="D1762" s="168" t="s">
        <v>2994</v>
      </c>
      <c r="E1762" s="116">
        <v>0.74</v>
      </c>
      <c r="F1762" s="149" t="s">
        <v>138</v>
      </c>
      <c r="G1762" s="149" t="s">
        <v>135</v>
      </c>
      <c r="H1762" s="168" t="s">
        <v>39</v>
      </c>
      <c r="I1762" s="168"/>
      <c r="J1762" s="168" t="s">
        <v>602</v>
      </c>
      <c r="K1762" s="168"/>
      <c r="L1762" s="160"/>
      <c r="M1762" s="169"/>
    </row>
    <row r="1763" spans="1:13" x14ac:dyDescent="0.55000000000000004">
      <c r="A1763" s="54" t="s">
        <v>602</v>
      </c>
      <c r="B1763" s="168" t="s">
        <v>153</v>
      </c>
      <c r="C1763" s="168" t="s">
        <v>127</v>
      </c>
      <c r="D1763" s="168" t="s">
        <v>2994</v>
      </c>
      <c r="E1763" s="116">
        <v>0.08</v>
      </c>
      <c r="F1763" s="149" t="s">
        <v>138</v>
      </c>
      <c r="G1763" s="149" t="s">
        <v>135</v>
      </c>
      <c r="H1763" s="168" t="s">
        <v>39</v>
      </c>
      <c r="I1763" s="168"/>
      <c r="J1763" s="168" t="s">
        <v>602</v>
      </c>
      <c r="K1763" s="168"/>
      <c r="L1763" s="160"/>
      <c r="M1763" s="169"/>
    </row>
    <row r="1764" spans="1:13" x14ac:dyDescent="0.55000000000000004">
      <c r="A1764" s="54" t="s">
        <v>602</v>
      </c>
      <c r="B1764" s="168" t="s">
        <v>445</v>
      </c>
      <c r="C1764" s="168" t="s">
        <v>127</v>
      </c>
      <c r="D1764" s="168" t="s">
        <v>2994</v>
      </c>
      <c r="E1764" s="116">
        <v>0.37</v>
      </c>
      <c r="F1764" s="149" t="s">
        <v>138</v>
      </c>
      <c r="G1764" s="149" t="s">
        <v>135</v>
      </c>
      <c r="H1764" s="168" t="s">
        <v>39</v>
      </c>
      <c r="I1764" s="168"/>
      <c r="J1764" s="168" t="s">
        <v>602</v>
      </c>
      <c r="K1764" s="168"/>
      <c r="L1764" s="160"/>
      <c r="M1764" s="169"/>
    </row>
    <row r="1765" spans="1:13" x14ac:dyDescent="0.55000000000000004">
      <c r="A1765" s="54" t="s">
        <v>602</v>
      </c>
      <c r="B1765" s="168" t="s">
        <v>171</v>
      </c>
      <c r="C1765" s="168" t="s">
        <v>127</v>
      </c>
      <c r="D1765" s="168" t="s">
        <v>2994</v>
      </c>
      <c r="E1765" s="116">
        <v>2.37</v>
      </c>
      <c r="F1765" s="149" t="s">
        <v>138</v>
      </c>
      <c r="G1765" s="149" t="s">
        <v>135</v>
      </c>
      <c r="H1765" s="168" t="s">
        <v>39</v>
      </c>
      <c r="I1765" s="168"/>
      <c r="J1765" s="168" t="s">
        <v>602</v>
      </c>
      <c r="K1765" s="168"/>
      <c r="L1765" s="160"/>
      <c r="M1765" s="169"/>
    </row>
    <row r="1766" spans="1:13" x14ac:dyDescent="0.55000000000000004">
      <c r="A1766" s="54" t="s">
        <v>602</v>
      </c>
      <c r="B1766" s="168" t="s">
        <v>160</v>
      </c>
      <c r="C1766" s="168" t="s">
        <v>247</v>
      </c>
      <c r="D1766" s="168" t="s">
        <v>3288</v>
      </c>
      <c r="E1766" s="116">
        <v>235.5214448238745</v>
      </c>
      <c r="F1766" s="149" t="s">
        <v>122</v>
      </c>
      <c r="G1766" s="149" t="s">
        <v>135</v>
      </c>
      <c r="H1766" s="168" t="s">
        <v>39</v>
      </c>
      <c r="I1766" s="168"/>
      <c r="J1766" s="168" t="s">
        <v>602</v>
      </c>
      <c r="K1766" s="168"/>
      <c r="L1766" s="160"/>
      <c r="M1766" s="169"/>
    </row>
    <row r="1767" spans="1:13" x14ac:dyDescent="0.55000000000000004">
      <c r="A1767" s="94" t="s">
        <v>597</v>
      </c>
      <c r="B1767" s="168" t="s">
        <v>598</v>
      </c>
      <c r="C1767" s="168" t="s">
        <v>121</v>
      </c>
      <c r="D1767" s="168" t="s">
        <v>3288</v>
      </c>
      <c r="E1767" s="116">
        <v>1</v>
      </c>
      <c r="F1767" s="149" t="s">
        <v>135</v>
      </c>
      <c r="G1767" s="149">
        <v>1</v>
      </c>
      <c r="H1767" s="168" t="s">
        <v>39</v>
      </c>
      <c r="I1767" s="168"/>
      <c r="J1767" s="168" t="s">
        <v>597</v>
      </c>
      <c r="K1767" s="168"/>
      <c r="L1767" s="160" t="s">
        <v>599</v>
      </c>
      <c r="M1767" s="169"/>
    </row>
    <row r="1768" spans="1:13" x14ac:dyDescent="0.55000000000000004">
      <c r="A1768" s="94" t="s">
        <v>597</v>
      </c>
      <c r="B1768" s="168" t="s">
        <v>217</v>
      </c>
      <c r="C1768" s="168" t="s">
        <v>127</v>
      </c>
      <c r="D1768" s="168" t="s">
        <v>2994</v>
      </c>
      <c r="E1768" s="116">
        <v>10.7</v>
      </c>
      <c r="F1768" s="149" t="s">
        <v>138</v>
      </c>
      <c r="G1768" s="149" t="s">
        <v>135</v>
      </c>
      <c r="H1768" s="168" t="s">
        <v>39</v>
      </c>
      <c r="I1768" s="168"/>
      <c r="J1768" s="168" t="s">
        <v>597</v>
      </c>
      <c r="K1768" s="168"/>
      <c r="L1768" s="160"/>
      <c r="M1768" s="169"/>
    </row>
    <row r="1769" spans="1:13" x14ac:dyDescent="0.55000000000000004">
      <c r="A1769" s="94" t="s">
        <v>597</v>
      </c>
      <c r="B1769" s="168" t="s">
        <v>3383</v>
      </c>
      <c r="C1769" s="168" t="s">
        <v>127</v>
      </c>
      <c r="D1769" s="168" t="s">
        <v>2994</v>
      </c>
      <c r="E1769" s="116">
        <v>0.1</v>
      </c>
      <c r="F1769" s="149" t="s">
        <v>138</v>
      </c>
      <c r="G1769" s="149" t="s">
        <v>135</v>
      </c>
      <c r="H1769" s="168" t="s">
        <v>39</v>
      </c>
      <c r="I1769" s="168"/>
      <c r="J1769" s="168" t="s">
        <v>597</v>
      </c>
      <c r="K1769" s="168"/>
      <c r="L1769" s="160"/>
      <c r="M1769" s="169"/>
    </row>
    <row r="1770" spans="1:13" x14ac:dyDescent="0.55000000000000004">
      <c r="A1770" s="94" t="s">
        <v>597</v>
      </c>
      <c r="B1770" s="168" t="s">
        <v>188</v>
      </c>
      <c r="C1770" s="168" t="s">
        <v>127</v>
      </c>
      <c r="D1770" s="168" t="s">
        <v>2994</v>
      </c>
      <c r="E1770" s="116">
        <v>2.7</v>
      </c>
      <c r="F1770" s="149" t="s">
        <v>138</v>
      </c>
      <c r="G1770" s="149" t="s">
        <v>135</v>
      </c>
      <c r="H1770" s="168" t="s">
        <v>39</v>
      </c>
      <c r="I1770" s="168"/>
      <c r="J1770" s="168" t="s">
        <v>597</v>
      </c>
      <c r="K1770" s="168"/>
      <c r="L1770" s="160"/>
      <c r="M1770" s="169"/>
    </row>
    <row r="1771" spans="1:13" x14ac:dyDescent="0.55000000000000004">
      <c r="A1771" s="94" t="s">
        <v>597</v>
      </c>
      <c r="B1771" s="168" t="s">
        <v>217</v>
      </c>
      <c r="C1771" s="168" t="s">
        <v>231</v>
      </c>
      <c r="D1771" s="168" t="s">
        <v>2994</v>
      </c>
      <c r="E1771" s="116">
        <v>55.9</v>
      </c>
      <c r="F1771" s="149" t="s">
        <v>138</v>
      </c>
      <c r="G1771" s="149" t="s">
        <v>135</v>
      </c>
      <c r="H1771" s="168" t="s">
        <v>39</v>
      </c>
      <c r="I1771" s="168"/>
      <c r="J1771" s="168" t="s">
        <v>597</v>
      </c>
      <c r="K1771" s="168"/>
      <c r="L1771" s="160"/>
      <c r="M1771" s="169"/>
    </row>
    <row r="1772" spans="1:13" x14ac:dyDescent="0.55000000000000004">
      <c r="A1772" s="94" t="s">
        <v>597</v>
      </c>
      <c r="B1772" s="168" t="s">
        <v>188</v>
      </c>
      <c r="C1772" s="168" t="s">
        <v>156</v>
      </c>
      <c r="D1772" s="168" t="s">
        <v>2994</v>
      </c>
      <c r="E1772" s="116">
        <v>0.1</v>
      </c>
      <c r="F1772" s="149" t="s">
        <v>138</v>
      </c>
      <c r="G1772" s="149" t="s">
        <v>135</v>
      </c>
      <c r="H1772" s="168" t="s">
        <v>39</v>
      </c>
      <c r="I1772" s="168"/>
      <c r="J1772" s="168" t="s">
        <v>597</v>
      </c>
      <c r="K1772" s="168"/>
      <c r="L1772" s="160"/>
      <c r="M1772" s="169"/>
    </row>
    <row r="1773" spans="1:13" x14ac:dyDescent="0.55000000000000004">
      <c r="A1773" s="94" t="s">
        <v>597</v>
      </c>
      <c r="B1773" s="168" t="s">
        <v>160</v>
      </c>
      <c r="C1773" s="168" t="s">
        <v>247</v>
      </c>
      <c r="D1773" s="168" t="s">
        <v>3288</v>
      </c>
      <c r="E1773" s="116">
        <v>675.17</v>
      </c>
      <c r="F1773" s="149" t="s">
        <v>122</v>
      </c>
      <c r="G1773" s="149" t="s">
        <v>135</v>
      </c>
      <c r="H1773" s="168" t="s">
        <v>39</v>
      </c>
      <c r="I1773" s="168"/>
      <c r="J1773" s="168" t="s">
        <v>597</v>
      </c>
      <c r="K1773" s="168"/>
      <c r="L1773" s="160"/>
      <c r="M1773" s="169"/>
    </row>
    <row r="1774" spans="1:13" x14ac:dyDescent="0.55000000000000004">
      <c r="A1774" s="95" t="s">
        <v>595</v>
      </c>
      <c r="B1774" s="168" t="s">
        <v>596</v>
      </c>
      <c r="C1774" s="168" t="s">
        <v>121</v>
      </c>
      <c r="D1774" s="168" t="s">
        <v>3288</v>
      </c>
      <c r="E1774" s="116">
        <v>1</v>
      </c>
      <c r="F1774" s="149" t="s">
        <v>135</v>
      </c>
      <c r="G1774" s="149">
        <v>1</v>
      </c>
      <c r="H1774" s="168" t="s">
        <v>39</v>
      </c>
      <c r="I1774" s="168"/>
      <c r="J1774" s="168" t="s">
        <v>595</v>
      </c>
      <c r="K1774" s="168"/>
      <c r="L1774" s="160">
        <v>4707</v>
      </c>
      <c r="M1774" s="169"/>
    </row>
    <row r="1775" spans="1:13" x14ac:dyDescent="0.55000000000000004">
      <c r="A1775" s="95" t="s">
        <v>595</v>
      </c>
      <c r="B1775" s="168" t="s">
        <v>3383</v>
      </c>
      <c r="C1775" s="168" t="s">
        <v>127</v>
      </c>
      <c r="D1775" s="168" t="s">
        <v>2994</v>
      </c>
      <c r="E1775" s="116">
        <v>0.5</v>
      </c>
      <c r="F1775" s="149" t="s">
        <v>138</v>
      </c>
      <c r="G1775" s="149" t="s">
        <v>135</v>
      </c>
      <c r="H1775" s="168" t="s">
        <v>39</v>
      </c>
      <c r="I1775" s="168"/>
      <c r="J1775" s="168" t="s">
        <v>595</v>
      </c>
      <c r="K1775" s="168"/>
      <c r="L1775" s="160"/>
      <c r="M1775" s="169"/>
    </row>
    <row r="1776" spans="1:13" x14ac:dyDescent="0.55000000000000004">
      <c r="A1776" s="95" t="s">
        <v>595</v>
      </c>
      <c r="B1776" s="168" t="s">
        <v>188</v>
      </c>
      <c r="C1776" s="168" t="s">
        <v>127</v>
      </c>
      <c r="D1776" s="168" t="s">
        <v>2994</v>
      </c>
      <c r="E1776" s="116">
        <v>0.8</v>
      </c>
      <c r="F1776" s="149" t="s">
        <v>138</v>
      </c>
      <c r="G1776" s="149" t="s">
        <v>135</v>
      </c>
      <c r="H1776" s="168" t="s">
        <v>39</v>
      </c>
      <c r="I1776" s="168"/>
      <c r="J1776" s="168" t="s">
        <v>595</v>
      </c>
      <c r="K1776" s="168"/>
      <c r="L1776" s="160"/>
      <c r="M1776" s="169"/>
    </row>
    <row r="1777" spans="1:13" x14ac:dyDescent="0.55000000000000004">
      <c r="A1777" s="93" t="s">
        <v>591</v>
      </c>
      <c r="B1777" s="168" t="s">
        <v>592</v>
      </c>
      <c r="C1777" s="168" t="s">
        <v>121</v>
      </c>
      <c r="D1777" s="168" t="s">
        <v>3288</v>
      </c>
      <c r="E1777" s="116">
        <v>1</v>
      </c>
      <c r="F1777" s="149" t="s">
        <v>135</v>
      </c>
      <c r="G1777" s="149">
        <v>1</v>
      </c>
      <c r="H1777" s="168" t="s">
        <v>39</v>
      </c>
      <c r="I1777" s="168"/>
      <c r="J1777" s="168" t="s">
        <v>591</v>
      </c>
      <c r="K1777" s="168"/>
      <c r="L1777" s="160">
        <v>7601</v>
      </c>
      <c r="M1777" s="169"/>
    </row>
    <row r="1778" spans="1:13" x14ac:dyDescent="0.55000000000000004">
      <c r="A1778" s="93" t="s">
        <v>591</v>
      </c>
      <c r="B1778" s="168" t="s">
        <v>153</v>
      </c>
      <c r="C1778" s="168" t="s">
        <v>127</v>
      </c>
      <c r="D1778" s="168" t="s">
        <v>2994</v>
      </c>
      <c r="E1778" s="116">
        <v>0.46</v>
      </c>
      <c r="F1778" s="149" t="s">
        <v>138</v>
      </c>
      <c r="G1778" s="149" t="s">
        <v>135</v>
      </c>
      <c r="H1778" s="168" t="s">
        <v>39</v>
      </c>
      <c r="I1778" s="168"/>
      <c r="J1778" s="168" t="s">
        <v>591</v>
      </c>
      <c r="K1778" s="168"/>
      <c r="L1778" s="160"/>
      <c r="M1778" s="169"/>
    </row>
    <row r="1779" spans="1:13" x14ac:dyDescent="0.55000000000000004">
      <c r="A1779" s="93" t="s">
        <v>591</v>
      </c>
      <c r="B1779" s="168" t="s">
        <v>445</v>
      </c>
      <c r="C1779" s="168" t="s">
        <v>127</v>
      </c>
      <c r="D1779" s="168" t="s">
        <v>2994</v>
      </c>
      <c r="E1779" s="116">
        <v>0.14000000000000001</v>
      </c>
      <c r="F1779" s="149" t="s">
        <v>138</v>
      </c>
      <c r="G1779" s="149" t="s">
        <v>135</v>
      </c>
      <c r="H1779" s="168" t="s">
        <v>39</v>
      </c>
      <c r="I1779" s="168"/>
      <c r="J1779" s="168" t="s">
        <v>591</v>
      </c>
      <c r="K1779" s="168"/>
      <c r="L1779" s="160"/>
      <c r="M1779" s="169"/>
    </row>
    <row r="1780" spans="1:13" x14ac:dyDescent="0.55000000000000004">
      <c r="A1780" s="93" t="s">
        <v>591</v>
      </c>
      <c r="B1780" s="168" t="s">
        <v>171</v>
      </c>
      <c r="C1780" s="168" t="s">
        <v>127</v>
      </c>
      <c r="D1780" s="168" t="s">
        <v>2994</v>
      </c>
      <c r="E1780" s="116">
        <v>3.7</v>
      </c>
      <c r="F1780" s="149" t="s">
        <v>138</v>
      </c>
      <c r="G1780" s="149" t="s">
        <v>135</v>
      </c>
      <c r="H1780" s="168" t="s">
        <v>39</v>
      </c>
      <c r="I1780" s="168"/>
      <c r="J1780" s="168" t="s">
        <v>591</v>
      </c>
      <c r="K1780" s="168"/>
      <c r="L1780" s="160"/>
      <c r="M1780" s="169"/>
    </row>
    <row r="1781" spans="1:13" x14ac:dyDescent="0.55000000000000004">
      <c r="A1781" s="93" t="s">
        <v>591</v>
      </c>
      <c r="B1781" s="168" t="s">
        <v>160</v>
      </c>
      <c r="C1781" s="168" t="s">
        <v>247</v>
      </c>
      <c r="D1781" s="168" t="s">
        <v>3288</v>
      </c>
      <c r="E1781" s="116">
        <v>218.2534895836196</v>
      </c>
      <c r="F1781" s="149" t="s">
        <v>122</v>
      </c>
      <c r="G1781" s="149" t="s">
        <v>135</v>
      </c>
      <c r="H1781" s="168" t="s">
        <v>39</v>
      </c>
      <c r="I1781" s="168"/>
      <c r="J1781" s="168" t="s">
        <v>591</v>
      </c>
      <c r="K1781" s="168"/>
      <c r="L1781" s="160"/>
      <c r="M1781" s="169"/>
    </row>
    <row r="1782" spans="1:13" x14ac:dyDescent="0.55000000000000004">
      <c r="A1782" s="95" t="s">
        <v>589</v>
      </c>
      <c r="B1782" s="168" t="s">
        <v>590</v>
      </c>
      <c r="C1782" s="168" t="s">
        <v>121</v>
      </c>
      <c r="D1782" s="168" t="s">
        <v>3288</v>
      </c>
      <c r="E1782" s="116">
        <v>1</v>
      </c>
      <c r="F1782" s="149" t="s">
        <v>135</v>
      </c>
      <c r="G1782" s="149">
        <v>1</v>
      </c>
      <c r="H1782" s="168" t="s">
        <v>39</v>
      </c>
      <c r="I1782" s="168"/>
      <c r="J1782" s="168" t="s">
        <v>589</v>
      </c>
      <c r="K1782" s="168"/>
      <c r="L1782" s="160">
        <v>4706</v>
      </c>
      <c r="M1782" s="169"/>
    </row>
    <row r="1783" spans="1:13" x14ac:dyDescent="0.55000000000000004">
      <c r="A1783" s="95" t="s">
        <v>589</v>
      </c>
      <c r="B1783" s="168" t="s">
        <v>230</v>
      </c>
      <c r="C1783" s="168" t="s">
        <v>231</v>
      </c>
      <c r="D1783" s="168" t="s">
        <v>3288</v>
      </c>
      <c r="E1783" s="116">
        <v>1.3</v>
      </c>
      <c r="F1783" s="149" t="s">
        <v>135</v>
      </c>
      <c r="G1783" s="149" t="s">
        <v>135</v>
      </c>
      <c r="H1783" s="168" t="s">
        <v>39</v>
      </c>
      <c r="I1783" s="168"/>
      <c r="J1783" s="168" t="s">
        <v>589</v>
      </c>
      <c r="K1783" s="168"/>
      <c r="L1783" s="160"/>
      <c r="M1783" s="169"/>
    </row>
    <row r="1784" spans="1:13" x14ac:dyDescent="0.55000000000000004">
      <c r="A1784" s="95" t="s">
        <v>589</v>
      </c>
      <c r="B1784" s="168" t="s">
        <v>3383</v>
      </c>
      <c r="C1784" s="168" t="s">
        <v>127</v>
      </c>
      <c r="D1784" s="168" t="s">
        <v>2994</v>
      </c>
      <c r="E1784" s="116">
        <v>1.56</v>
      </c>
      <c r="F1784" s="149" t="s">
        <v>138</v>
      </c>
      <c r="G1784" s="149" t="s">
        <v>135</v>
      </c>
      <c r="H1784" s="168" t="s">
        <v>39</v>
      </c>
      <c r="I1784" s="168"/>
      <c r="J1784" s="168" t="s">
        <v>589</v>
      </c>
      <c r="K1784" s="168"/>
      <c r="L1784" s="160"/>
      <c r="M1784" s="169"/>
    </row>
    <row r="1785" spans="1:13" x14ac:dyDescent="0.55000000000000004">
      <c r="A1785" s="95" t="s">
        <v>589</v>
      </c>
      <c r="B1785" s="168" t="s">
        <v>188</v>
      </c>
      <c r="C1785" s="168" t="s">
        <v>127</v>
      </c>
      <c r="D1785" s="168" t="s">
        <v>2994</v>
      </c>
      <c r="E1785" s="116">
        <v>2.2999999999999998</v>
      </c>
      <c r="F1785" s="149" t="s">
        <v>138</v>
      </c>
      <c r="G1785" s="149" t="s">
        <v>135</v>
      </c>
      <c r="H1785" s="168" t="s">
        <v>39</v>
      </c>
      <c r="I1785" s="168"/>
      <c r="J1785" s="168" t="s">
        <v>589</v>
      </c>
      <c r="K1785" s="168"/>
      <c r="L1785" s="160"/>
      <c r="M1785" s="169"/>
    </row>
    <row r="1786" spans="1:13" x14ac:dyDescent="0.55000000000000004">
      <c r="A1786" s="60" t="s">
        <v>585</v>
      </c>
      <c r="B1786" s="168" t="s">
        <v>140</v>
      </c>
      <c r="C1786" s="168" t="s">
        <v>121</v>
      </c>
      <c r="D1786" s="168" t="s">
        <v>3288</v>
      </c>
      <c r="E1786" s="116">
        <v>1</v>
      </c>
      <c r="F1786" s="149" t="s">
        <v>135</v>
      </c>
      <c r="G1786" s="149">
        <v>1</v>
      </c>
      <c r="H1786" s="168" t="s">
        <v>39</v>
      </c>
      <c r="I1786" s="168"/>
      <c r="J1786" s="168" t="s">
        <v>586</v>
      </c>
      <c r="K1786" s="168"/>
      <c r="L1786" s="160">
        <v>7206</v>
      </c>
      <c r="M1786" s="169"/>
    </row>
    <row r="1787" spans="1:13" x14ac:dyDescent="0.55000000000000004">
      <c r="A1787" s="60" t="s">
        <v>585</v>
      </c>
      <c r="B1787" s="168" t="s">
        <v>262</v>
      </c>
      <c r="C1787" s="168" t="s">
        <v>127</v>
      </c>
      <c r="D1787" s="168" t="s">
        <v>2994</v>
      </c>
      <c r="E1787" s="116">
        <v>15.9</v>
      </c>
      <c r="F1787" s="149" t="s">
        <v>138</v>
      </c>
      <c r="G1787" s="149" t="s">
        <v>135</v>
      </c>
      <c r="H1787" s="168" t="s">
        <v>39</v>
      </c>
      <c r="I1787" s="168"/>
      <c r="J1787" s="168" t="s">
        <v>586</v>
      </c>
      <c r="K1787" s="168"/>
      <c r="L1787" s="160"/>
      <c r="M1787" s="169"/>
    </row>
    <row r="1788" spans="1:13" x14ac:dyDescent="0.55000000000000004">
      <c r="A1788" s="60" t="s">
        <v>585</v>
      </c>
      <c r="B1788" s="168" t="s">
        <v>298</v>
      </c>
      <c r="C1788" s="168" t="s">
        <v>127</v>
      </c>
      <c r="D1788" s="168" t="s">
        <v>2994</v>
      </c>
      <c r="E1788" s="116">
        <v>0.4</v>
      </c>
      <c r="F1788" s="149" t="s">
        <v>138</v>
      </c>
      <c r="G1788" s="149" t="s">
        <v>135</v>
      </c>
      <c r="H1788" s="168" t="s">
        <v>39</v>
      </c>
      <c r="I1788" s="168"/>
      <c r="J1788" s="168" t="s">
        <v>586</v>
      </c>
      <c r="K1788" s="168"/>
      <c r="L1788" s="160"/>
      <c r="M1788" s="169"/>
    </row>
    <row r="1789" spans="1:13" x14ac:dyDescent="0.55000000000000004">
      <c r="A1789" s="60" t="s">
        <v>585</v>
      </c>
      <c r="B1789" s="168" t="s">
        <v>153</v>
      </c>
      <c r="C1789" s="168" t="s">
        <v>127</v>
      </c>
      <c r="D1789" s="168" t="s">
        <v>2994</v>
      </c>
      <c r="E1789" s="116">
        <v>0.43</v>
      </c>
      <c r="F1789" s="149" t="s">
        <v>138</v>
      </c>
      <c r="G1789" s="149" t="s">
        <v>135</v>
      </c>
      <c r="H1789" s="168" t="s">
        <v>39</v>
      </c>
      <c r="I1789" s="168"/>
      <c r="J1789" s="168" t="s">
        <v>586</v>
      </c>
      <c r="K1789" s="168"/>
      <c r="L1789" s="160"/>
      <c r="M1789" s="169"/>
    </row>
    <row r="1790" spans="1:13" x14ac:dyDescent="0.55000000000000004">
      <c r="A1790" s="60" t="s">
        <v>585</v>
      </c>
      <c r="B1790" s="168" t="s">
        <v>171</v>
      </c>
      <c r="C1790" s="168" t="s">
        <v>127</v>
      </c>
      <c r="D1790" s="168" t="s">
        <v>2994</v>
      </c>
      <c r="E1790" s="116">
        <v>0.39</v>
      </c>
      <c r="F1790" s="149" t="s">
        <v>138</v>
      </c>
      <c r="G1790" s="149" t="s">
        <v>135</v>
      </c>
      <c r="H1790" s="168" t="s">
        <v>39</v>
      </c>
      <c r="I1790" s="168"/>
      <c r="J1790" s="168" t="s">
        <v>586</v>
      </c>
      <c r="K1790" s="168"/>
      <c r="L1790" s="160"/>
      <c r="M1790" s="169"/>
    </row>
    <row r="1791" spans="1:13" x14ac:dyDescent="0.55000000000000004">
      <c r="A1791" s="60" t="s">
        <v>585</v>
      </c>
      <c r="B1791" s="168" t="s">
        <v>213</v>
      </c>
      <c r="C1791" s="168" t="s">
        <v>127</v>
      </c>
      <c r="D1791" s="168" t="s">
        <v>2994</v>
      </c>
      <c r="E1791" s="116">
        <v>1.2</v>
      </c>
      <c r="F1791" s="149" t="s">
        <v>138</v>
      </c>
      <c r="G1791" s="149" t="s">
        <v>135</v>
      </c>
      <c r="H1791" s="168" t="s">
        <v>39</v>
      </c>
      <c r="I1791" s="168"/>
      <c r="J1791" s="168" t="s">
        <v>586</v>
      </c>
      <c r="K1791" s="168"/>
      <c r="L1791" s="160"/>
      <c r="M1791" s="169"/>
    </row>
    <row r="1792" spans="1:13" x14ac:dyDescent="0.55000000000000004">
      <c r="A1792" s="60" t="s">
        <v>585</v>
      </c>
      <c r="B1792" s="168" t="s">
        <v>188</v>
      </c>
      <c r="C1792" s="168" t="s">
        <v>127</v>
      </c>
      <c r="D1792" s="168" t="s">
        <v>2994</v>
      </c>
      <c r="E1792" s="116">
        <v>0.08</v>
      </c>
      <c r="F1792" s="149" t="s">
        <v>138</v>
      </c>
      <c r="G1792" s="149" t="s">
        <v>135</v>
      </c>
      <c r="H1792" s="168" t="s">
        <v>39</v>
      </c>
      <c r="I1792" s="168"/>
      <c r="J1792" s="168" t="s">
        <v>586</v>
      </c>
      <c r="K1792" s="168"/>
      <c r="L1792" s="160"/>
      <c r="M1792" s="169"/>
    </row>
    <row r="1793" spans="1:13" x14ac:dyDescent="0.55000000000000004">
      <c r="A1793" s="60" t="s">
        <v>585</v>
      </c>
      <c r="B1793" s="168" t="s">
        <v>308</v>
      </c>
      <c r="C1793" s="168" t="s">
        <v>156</v>
      </c>
      <c r="D1793" s="168" t="s">
        <v>2994</v>
      </c>
      <c r="E1793" s="116">
        <v>0.4</v>
      </c>
      <c r="F1793" s="149" t="s">
        <v>138</v>
      </c>
      <c r="G1793" s="149" t="s">
        <v>135</v>
      </c>
      <c r="H1793" s="168" t="s">
        <v>39</v>
      </c>
      <c r="I1793" s="168"/>
      <c r="J1793" s="168" t="s">
        <v>586</v>
      </c>
      <c r="K1793" s="168"/>
      <c r="L1793" s="160"/>
      <c r="M1793" s="169"/>
    </row>
    <row r="1794" spans="1:13" x14ac:dyDescent="0.55000000000000004">
      <c r="A1794" s="60" t="s">
        <v>585</v>
      </c>
      <c r="B1794" s="168" t="s">
        <v>160</v>
      </c>
      <c r="C1794" s="168" t="s">
        <v>247</v>
      </c>
      <c r="D1794" s="168" t="s">
        <v>3288</v>
      </c>
      <c r="E1794" s="116">
        <v>1566.2773943380259</v>
      </c>
      <c r="F1794" s="149" t="s">
        <v>122</v>
      </c>
      <c r="G1794" s="149" t="s">
        <v>135</v>
      </c>
      <c r="H1794" s="168" t="s">
        <v>39</v>
      </c>
      <c r="I1794" s="168"/>
      <c r="J1794" s="168" t="s">
        <v>586</v>
      </c>
      <c r="K1794" s="168"/>
      <c r="L1794" s="160"/>
      <c r="M1794" s="169"/>
    </row>
    <row r="1795" spans="1:13" x14ac:dyDescent="0.55000000000000004">
      <c r="A1795" s="60" t="s">
        <v>581</v>
      </c>
      <c r="B1795" s="168" t="s">
        <v>582</v>
      </c>
      <c r="C1795" s="168" t="s">
        <v>121</v>
      </c>
      <c r="D1795" s="168" t="s">
        <v>3288</v>
      </c>
      <c r="E1795" s="116">
        <v>1</v>
      </c>
      <c r="F1795" s="149" t="s">
        <v>135</v>
      </c>
      <c r="G1795" s="149">
        <v>1</v>
      </c>
      <c r="H1795" s="168" t="s">
        <v>39</v>
      </c>
      <c r="I1795" s="168"/>
      <c r="J1795" s="168" t="s">
        <v>583</v>
      </c>
      <c r="K1795" s="168"/>
      <c r="L1795" s="160">
        <v>7204</v>
      </c>
      <c r="M1795" s="169"/>
    </row>
    <row r="1796" spans="1:13" x14ac:dyDescent="0.55000000000000004">
      <c r="A1796" s="60" t="s">
        <v>581</v>
      </c>
      <c r="B1796" s="168" t="s">
        <v>153</v>
      </c>
      <c r="C1796" s="168" t="s">
        <v>127</v>
      </c>
      <c r="D1796" s="168" t="s">
        <v>2994</v>
      </c>
      <c r="E1796" s="116">
        <v>2.8</v>
      </c>
      <c r="F1796" s="149" t="s">
        <v>138</v>
      </c>
      <c r="G1796" s="149" t="s">
        <v>135</v>
      </c>
      <c r="H1796" s="168" t="s">
        <v>39</v>
      </c>
      <c r="I1796" s="168"/>
      <c r="J1796" s="168" t="s">
        <v>583</v>
      </c>
      <c r="K1796" s="168"/>
      <c r="L1796" s="160"/>
      <c r="M1796" s="169"/>
    </row>
    <row r="1797" spans="1:13" x14ac:dyDescent="0.55000000000000004">
      <c r="A1797" s="60" t="s">
        <v>581</v>
      </c>
      <c r="B1797" s="168" t="s">
        <v>171</v>
      </c>
      <c r="C1797" s="168" t="s">
        <v>127</v>
      </c>
      <c r="D1797" s="168" t="s">
        <v>2994</v>
      </c>
      <c r="E1797" s="116">
        <v>3.43</v>
      </c>
      <c r="F1797" s="149" t="s">
        <v>138</v>
      </c>
      <c r="G1797" s="149" t="s">
        <v>135</v>
      </c>
      <c r="H1797" s="168" t="s">
        <v>39</v>
      </c>
      <c r="I1797" s="168"/>
      <c r="J1797" s="168" t="s">
        <v>583</v>
      </c>
      <c r="K1797" s="168"/>
      <c r="L1797" s="160"/>
      <c r="M1797" s="169"/>
    </row>
    <row r="1798" spans="1:13" x14ac:dyDescent="0.55000000000000004">
      <c r="A1798" s="60" t="s">
        <v>581</v>
      </c>
      <c r="B1798" s="168" t="s">
        <v>213</v>
      </c>
      <c r="C1798" s="168" t="s">
        <v>127</v>
      </c>
      <c r="D1798" s="168" t="s">
        <v>2994</v>
      </c>
      <c r="E1798" s="116">
        <v>0.47</v>
      </c>
      <c r="F1798" s="149" t="s">
        <v>138</v>
      </c>
      <c r="G1798" s="149" t="s">
        <v>135</v>
      </c>
      <c r="H1798" s="168" t="s">
        <v>39</v>
      </c>
      <c r="I1798" s="168"/>
      <c r="J1798" s="168" t="s">
        <v>583</v>
      </c>
      <c r="K1798" s="168"/>
      <c r="L1798" s="160"/>
      <c r="M1798" s="169"/>
    </row>
    <row r="1799" spans="1:13" x14ac:dyDescent="0.55000000000000004">
      <c r="A1799" s="95" t="s">
        <v>576</v>
      </c>
      <c r="B1799" s="168" t="s">
        <v>577</v>
      </c>
      <c r="C1799" s="168" t="s">
        <v>121</v>
      </c>
      <c r="D1799" s="168" t="s">
        <v>3288</v>
      </c>
      <c r="E1799" s="116">
        <v>1</v>
      </c>
      <c r="F1799" s="149" t="s">
        <v>135</v>
      </c>
      <c r="G1799" s="149">
        <v>1</v>
      </c>
      <c r="H1799" s="168" t="s">
        <v>39</v>
      </c>
      <c r="I1799" s="168"/>
      <c r="J1799" s="168" t="s">
        <v>576</v>
      </c>
      <c r="K1799" s="168"/>
      <c r="L1799" s="160">
        <v>4702</v>
      </c>
      <c r="M1799" s="169"/>
    </row>
    <row r="1800" spans="1:13" x14ac:dyDescent="0.55000000000000004">
      <c r="A1800" s="95" t="s">
        <v>576</v>
      </c>
      <c r="B1800" s="168" t="s">
        <v>230</v>
      </c>
      <c r="C1800" s="168" t="s">
        <v>231</v>
      </c>
      <c r="D1800" s="168" t="s">
        <v>3288</v>
      </c>
      <c r="E1800" s="116">
        <v>2</v>
      </c>
      <c r="F1800" s="149" t="s">
        <v>135</v>
      </c>
      <c r="G1800" s="149" t="s">
        <v>135</v>
      </c>
      <c r="H1800" s="168" t="s">
        <v>39</v>
      </c>
      <c r="I1800" s="168"/>
      <c r="J1800" s="168" t="s">
        <v>576</v>
      </c>
      <c r="K1800" s="168"/>
      <c r="L1800" s="160"/>
      <c r="M1800" s="169"/>
    </row>
    <row r="1801" spans="1:13" x14ac:dyDescent="0.55000000000000004">
      <c r="A1801" s="95" t="s">
        <v>576</v>
      </c>
      <c r="B1801" s="168" t="s">
        <v>3383</v>
      </c>
      <c r="C1801" s="168" t="s">
        <v>127</v>
      </c>
      <c r="D1801" s="168" t="s">
        <v>2994</v>
      </c>
      <c r="E1801" s="116">
        <v>3.17</v>
      </c>
      <c r="F1801" s="149" t="s">
        <v>138</v>
      </c>
      <c r="G1801" s="149" t="s">
        <v>135</v>
      </c>
      <c r="H1801" s="168" t="s">
        <v>39</v>
      </c>
      <c r="I1801" s="168"/>
      <c r="J1801" s="168" t="s">
        <v>576</v>
      </c>
      <c r="K1801" s="168"/>
      <c r="L1801" s="160"/>
      <c r="M1801" s="169"/>
    </row>
    <row r="1802" spans="1:13" x14ac:dyDescent="0.55000000000000004">
      <c r="A1802" s="95" t="s">
        <v>576</v>
      </c>
      <c r="B1802" s="168" t="s">
        <v>208</v>
      </c>
      <c r="C1802" s="168" t="s">
        <v>127</v>
      </c>
      <c r="D1802" s="168" t="s">
        <v>2994</v>
      </c>
      <c r="E1802" s="116">
        <v>7.14</v>
      </c>
      <c r="F1802" s="149" t="s">
        <v>138</v>
      </c>
      <c r="G1802" s="149" t="s">
        <v>135</v>
      </c>
      <c r="H1802" s="168" t="s">
        <v>39</v>
      </c>
      <c r="I1802" s="168"/>
      <c r="J1802" s="168" t="s">
        <v>576</v>
      </c>
      <c r="K1802" s="168"/>
      <c r="L1802" s="160"/>
      <c r="M1802" s="169"/>
    </row>
    <row r="1803" spans="1:13" x14ac:dyDescent="0.55000000000000004">
      <c r="A1803" s="95" t="s">
        <v>576</v>
      </c>
      <c r="B1803" s="168" t="s">
        <v>188</v>
      </c>
      <c r="C1803" s="168" t="s">
        <v>127</v>
      </c>
      <c r="D1803" s="168" t="s">
        <v>2994</v>
      </c>
      <c r="E1803" s="116">
        <v>6.51</v>
      </c>
      <c r="F1803" s="149" t="s">
        <v>138</v>
      </c>
      <c r="G1803" s="149" t="s">
        <v>135</v>
      </c>
      <c r="H1803" s="168" t="s">
        <v>39</v>
      </c>
      <c r="I1803" s="168"/>
      <c r="J1803" s="168" t="s">
        <v>576</v>
      </c>
      <c r="K1803" s="168"/>
      <c r="L1803" s="160"/>
      <c r="M1803" s="169"/>
    </row>
    <row r="1804" spans="1:13" x14ac:dyDescent="0.55000000000000004">
      <c r="A1804" s="95" t="s">
        <v>576</v>
      </c>
      <c r="B1804" s="168" t="s">
        <v>3418</v>
      </c>
      <c r="C1804" s="168" t="s">
        <v>156</v>
      </c>
      <c r="D1804" s="168" t="s">
        <v>3288</v>
      </c>
      <c r="E1804" s="116">
        <v>12.3</v>
      </c>
      <c r="F1804" s="149" t="s">
        <v>135</v>
      </c>
      <c r="G1804" s="149" t="s">
        <v>135</v>
      </c>
      <c r="H1804" s="168" t="s">
        <v>39</v>
      </c>
      <c r="I1804" s="168"/>
      <c r="J1804" s="168" t="s">
        <v>576</v>
      </c>
      <c r="K1804" s="168"/>
      <c r="L1804" s="160"/>
      <c r="M1804" s="169"/>
    </row>
    <row r="1805" spans="1:13" x14ac:dyDescent="0.55000000000000004">
      <c r="A1805" s="93" t="s">
        <v>572</v>
      </c>
      <c r="B1805" s="168" t="s">
        <v>573</v>
      </c>
      <c r="C1805" s="168" t="s">
        <v>121</v>
      </c>
      <c r="D1805" s="168" t="s">
        <v>3288</v>
      </c>
      <c r="E1805" s="116">
        <v>1</v>
      </c>
      <c r="F1805" s="149" t="s">
        <v>135</v>
      </c>
      <c r="G1805" s="149">
        <v>1</v>
      </c>
      <c r="H1805" s="168" t="s">
        <v>39</v>
      </c>
      <c r="I1805" s="168"/>
      <c r="J1805" s="168" t="s">
        <v>558</v>
      </c>
      <c r="K1805" s="168"/>
      <c r="L1805" s="160" t="s">
        <v>557</v>
      </c>
      <c r="M1805" s="169"/>
    </row>
    <row r="1806" spans="1:13" x14ac:dyDescent="0.55000000000000004">
      <c r="A1806" s="93" t="s">
        <v>572</v>
      </c>
      <c r="B1806" s="168" t="s">
        <v>262</v>
      </c>
      <c r="C1806" s="168" t="s">
        <v>127</v>
      </c>
      <c r="D1806" s="168" t="s">
        <v>2994</v>
      </c>
      <c r="E1806" s="116">
        <v>0.18</v>
      </c>
      <c r="F1806" s="149" t="s">
        <v>138</v>
      </c>
      <c r="G1806" s="149" t="s">
        <v>135</v>
      </c>
      <c r="H1806" s="168" t="s">
        <v>39</v>
      </c>
      <c r="I1806" s="168"/>
      <c r="J1806" s="168" t="s">
        <v>558</v>
      </c>
      <c r="K1806" s="168"/>
      <c r="L1806" s="160"/>
      <c r="M1806" s="169"/>
    </row>
    <row r="1807" spans="1:13" x14ac:dyDescent="0.55000000000000004">
      <c r="A1807" s="93" t="s">
        <v>572</v>
      </c>
      <c r="B1807" s="168" t="s">
        <v>153</v>
      </c>
      <c r="C1807" s="168" t="s">
        <v>127</v>
      </c>
      <c r="D1807" s="168" t="s">
        <v>2994</v>
      </c>
      <c r="E1807" s="116">
        <v>7.83</v>
      </c>
      <c r="F1807" s="149" t="s">
        <v>138</v>
      </c>
      <c r="G1807" s="149" t="s">
        <v>135</v>
      </c>
      <c r="H1807" s="168" t="s">
        <v>39</v>
      </c>
      <c r="I1807" s="168"/>
      <c r="J1807" s="168" t="s">
        <v>558</v>
      </c>
      <c r="K1807" s="168"/>
      <c r="L1807" s="160"/>
      <c r="M1807" s="169"/>
    </row>
    <row r="1808" spans="1:13" x14ac:dyDescent="0.55000000000000004">
      <c r="A1808" s="93" t="s">
        <v>572</v>
      </c>
      <c r="B1808" s="168" t="s">
        <v>575</v>
      </c>
      <c r="C1808" s="168" t="s">
        <v>127</v>
      </c>
      <c r="D1808" s="168" t="s">
        <v>2994</v>
      </c>
      <c r="E1808" s="116">
        <v>0.9</v>
      </c>
      <c r="F1808" s="149" t="s">
        <v>138</v>
      </c>
      <c r="G1808" s="149" t="s">
        <v>135</v>
      </c>
      <c r="H1808" s="168" t="s">
        <v>39</v>
      </c>
      <c r="I1808" s="168"/>
      <c r="J1808" s="168" t="s">
        <v>558</v>
      </c>
      <c r="K1808" s="168"/>
      <c r="L1808" s="160"/>
      <c r="M1808" s="169"/>
    </row>
    <row r="1809" spans="1:13" x14ac:dyDescent="0.55000000000000004">
      <c r="A1809" s="93" t="s">
        <v>572</v>
      </c>
      <c r="B1809" s="168" t="s">
        <v>445</v>
      </c>
      <c r="C1809" s="168" t="s">
        <v>127</v>
      </c>
      <c r="D1809" s="168" t="s">
        <v>2994</v>
      </c>
      <c r="E1809" s="116">
        <v>0.32</v>
      </c>
      <c r="F1809" s="149" t="s">
        <v>138</v>
      </c>
      <c r="G1809" s="149" t="s">
        <v>135</v>
      </c>
      <c r="H1809" s="168" t="s">
        <v>39</v>
      </c>
      <c r="I1809" s="168"/>
      <c r="J1809" s="168" t="s">
        <v>558</v>
      </c>
      <c r="K1809" s="168"/>
      <c r="L1809" s="160"/>
      <c r="M1809" s="169"/>
    </row>
    <row r="1810" spans="1:13" x14ac:dyDescent="0.55000000000000004">
      <c r="A1810" s="93" t="s">
        <v>572</v>
      </c>
      <c r="B1810" s="168" t="s">
        <v>3383</v>
      </c>
      <c r="C1810" s="168" t="s">
        <v>127</v>
      </c>
      <c r="D1810" s="168" t="s">
        <v>2994</v>
      </c>
      <c r="E1810" s="116">
        <v>8</v>
      </c>
      <c r="F1810" s="149" t="s">
        <v>138</v>
      </c>
      <c r="G1810" s="149" t="s">
        <v>135</v>
      </c>
      <c r="H1810" s="168" t="s">
        <v>39</v>
      </c>
      <c r="I1810" s="168"/>
      <c r="J1810" s="168" t="s">
        <v>558</v>
      </c>
      <c r="K1810" s="168"/>
      <c r="L1810" s="160"/>
      <c r="M1810" s="169"/>
    </row>
    <row r="1811" spans="1:13" x14ac:dyDescent="0.55000000000000004">
      <c r="A1811" s="93" t="s">
        <v>572</v>
      </c>
      <c r="B1811" s="168" t="s">
        <v>171</v>
      </c>
      <c r="C1811" s="168" t="s">
        <v>127</v>
      </c>
      <c r="D1811" s="168" t="s">
        <v>2994</v>
      </c>
      <c r="E1811" s="116">
        <v>2.37</v>
      </c>
      <c r="F1811" s="149" t="s">
        <v>138</v>
      </c>
      <c r="G1811" s="149" t="s">
        <v>135</v>
      </c>
      <c r="H1811" s="168" t="s">
        <v>39</v>
      </c>
      <c r="I1811" s="168"/>
      <c r="J1811" s="168" t="s">
        <v>558</v>
      </c>
      <c r="K1811" s="168"/>
      <c r="L1811" s="160"/>
      <c r="M1811" s="169"/>
    </row>
    <row r="1812" spans="1:13" x14ac:dyDescent="0.55000000000000004">
      <c r="A1812" s="60" t="s">
        <v>566</v>
      </c>
      <c r="B1812" s="168" t="s">
        <v>140</v>
      </c>
      <c r="C1812" s="168" t="s">
        <v>121</v>
      </c>
      <c r="D1812" s="168" t="s">
        <v>3288</v>
      </c>
      <c r="E1812" s="116">
        <v>1</v>
      </c>
      <c r="F1812" s="149" t="s">
        <v>135</v>
      </c>
      <c r="G1812" s="149">
        <v>1</v>
      </c>
      <c r="H1812" s="168" t="s">
        <v>39</v>
      </c>
      <c r="I1812" s="168"/>
      <c r="J1812" s="168" t="s">
        <v>567</v>
      </c>
      <c r="K1812" s="168"/>
      <c r="L1812" s="160">
        <v>7206</v>
      </c>
      <c r="M1812" s="169"/>
    </row>
    <row r="1813" spans="1:13" x14ac:dyDescent="0.55000000000000004">
      <c r="A1813" s="60" t="s">
        <v>566</v>
      </c>
      <c r="B1813" s="168" t="s">
        <v>3384</v>
      </c>
      <c r="C1813" s="168" t="s">
        <v>127</v>
      </c>
      <c r="D1813" s="168" t="s">
        <v>2994</v>
      </c>
      <c r="E1813" s="116">
        <v>3.0555555555555558</v>
      </c>
      <c r="F1813" s="149" t="s">
        <v>138</v>
      </c>
      <c r="G1813" s="149" t="s">
        <v>135</v>
      </c>
      <c r="H1813" s="168" t="s">
        <v>39</v>
      </c>
      <c r="I1813" s="168"/>
      <c r="J1813" s="168" t="s">
        <v>567</v>
      </c>
      <c r="K1813" s="168"/>
      <c r="L1813" s="160"/>
      <c r="M1813" s="169"/>
    </row>
    <row r="1814" spans="1:13" x14ac:dyDescent="0.55000000000000004">
      <c r="A1814" s="60" t="s">
        <v>566</v>
      </c>
      <c r="B1814" s="168" t="s">
        <v>3385</v>
      </c>
      <c r="C1814" s="168" t="s">
        <v>127</v>
      </c>
      <c r="D1814" s="168" t="s">
        <v>2994</v>
      </c>
      <c r="E1814" s="116">
        <v>10.906000000000001</v>
      </c>
      <c r="F1814" s="149" t="s">
        <v>138</v>
      </c>
      <c r="G1814" s="149" t="s">
        <v>135</v>
      </c>
      <c r="H1814" s="168" t="s">
        <v>39</v>
      </c>
      <c r="I1814" s="168"/>
      <c r="J1814" s="168" t="s">
        <v>567</v>
      </c>
      <c r="K1814" s="168"/>
      <c r="L1814" s="160"/>
      <c r="M1814" s="169"/>
    </row>
    <row r="1815" spans="1:13" x14ac:dyDescent="0.55000000000000004">
      <c r="A1815" s="60" t="s">
        <v>566</v>
      </c>
      <c r="B1815" s="168" t="s">
        <v>298</v>
      </c>
      <c r="C1815" s="168" t="s">
        <v>127</v>
      </c>
      <c r="D1815" s="168" t="s">
        <v>2994</v>
      </c>
      <c r="E1815" s="116">
        <v>0.89</v>
      </c>
      <c r="F1815" s="149" t="s">
        <v>138</v>
      </c>
      <c r="G1815" s="149" t="s">
        <v>135</v>
      </c>
      <c r="H1815" s="168" t="s">
        <v>39</v>
      </c>
      <c r="I1815" s="168"/>
      <c r="J1815" s="168" t="s">
        <v>567</v>
      </c>
      <c r="K1815" s="168"/>
      <c r="L1815" s="160"/>
      <c r="M1815" s="169"/>
    </row>
    <row r="1816" spans="1:13" x14ac:dyDescent="0.55000000000000004">
      <c r="A1816" s="60" t="s">
        <v>566</v>
      </c>
      <c r="B1816" s="168" t="s">
        <v>3383</v>
      </c>
      <c r="C1816" s="168" t="s">
        <v>127</v>
      </c>
      <c r="D1816" s="168" t="s">
        <v>2994</v>
      </c>
      <c r="E1816" s="116">
        <v>0.48511087324643198</v>
      </c>
      <c r="F1816" s="149" t="s">
        <v>138</v>
      </c>
      <c r="G1816" s="149" t="s">
        <v>135</v>
      </c>
      <c r="H1816" s="168" t="s">
        <v>39</v>
      </c>
      <c r="I1816" s="168"/>
      <c r="J1816" s="168" t="s">
        <v>567</v>
      </c>
      <c r="K1816" s="168"/>
      <c r="L1816" s="160"/>
      <c r="M1816" s="169"/>
    </row>
    <row r="1817" spans="1:13" x14ac:dyDescent="0.55000000000000004">
      <c r="A1817" s="60" t="s">
        <v>566</v>
      </c>
      <c r="B1817" s="168" t="s">
        <v>171</v>
      </c>
      <c r="C1817" s="168" t="s">
        <v>127</v>
      </c>
      <c r="D1817" s="168" t="s">
        <v>2994</v>
      </c>
      <c r="E1817" s="116">
        <v>1.75</v>
      </c>
      <c r="F1817" s="149" t="s">
        <v>138</v>
      </c>
      <c r="G1817" s="149" t="s">
        <v>135</v>
      </c>
      <c r="H1817" s="168" t="s">
        <v>39</v>
      </c>
      <c r="I1817" s="168"/>
      <c r="J1817" s="168" t="s">
        <v>567</v>
      </c>
      <c r="K1817" s="168"/>
      <c r="L1817" s="160"/>
      <c r="M1817" s="169"/>
    </row>
    <row r="1818" spans="1:13" x14ac:dyDescent="0.55000000000000004">
      <c r="A1818" s="60" t="s">
        <v>566</v>
      </c>
      <c r="B1818" s="168" t="s">
        <v>188</v>
      </c>
      <c r="C1818" s="168" t="s">
        <v>127</v>
      </c>
      <c r="D1818" s="168" t="s">
        <v>2994</v>
      </c>
      <c r="E1818" s="116">
        <v>0.16</v>
      </c>
      <c r="F1818" s="149" t="s">
        <v>138</v>
      </c>
      <c r="G1818" s="149" t="s">
        <v>135</v>
      </c>
      <c r="H1818" s="168" t="s">
        <v>39</v>
      </c>
      <c r="I1818" s="168"/>
      <c r="J1818" s="168" t="s">
        <v>567</v>
      </c>
      <c r="K1818" s="168"/>
      <c r="L1818" s="160"/>
      <c r="M1818" s="169"/>
    </row>
    <row r="1819" spans="1:13" x14ac:dyDescent="0.55000000000000004">
      <c r="A1819" s="60" t="s">
        <v>566</v>
      </c>
      <c r="B1819" s="168" t="s">
        <v>160</v>
      </c>
      <c r="C1819" s="168" t="s">
        <v>247</v>
      </c>
      <c r="D1819" s="168" t="s">
        <v>3288</v>
      </c>
      <c r="E1819" s="116">
        <v>1281.242768001322</v>
      </c>
      <c r="F1819" s="149" t="s">
        <v>122</v>
      </c>
      <c r="G1819" s="149" t="s">
        <v>135</v>
      </c>
      <c r="H1819" s="168" t="s">
        <v>39</v>
      </c>
      <c r="I1819" s="168"/>
      <c r="J1819" s="168" t="s">
        <v>567</v>
      </c>
      <c r="K1819" s="168"/>
      <c r="L1819" s="160"/>
      <c r="M1819" s="169"/>
    </row>
    <row r="1820" spans="1:13" x14ac:dyDescent="0.55000000000000004">
      <c r="A1820" s="60" t="s">
        <v>566</v>
      </c>
      <c r="B1820" s="168" t="s">
        <v>160</v>
      </c>
      <c r="C1820" s="168" t="s">
        <v>156</v>
      </c>
      <c r="D1820" s="168" t="s">
        <v>3288</v>
      </c>
      <c r="E1820" s="116">
        <v>986.41909235119999</v>
      </c>
      <c r="F1820" s="149" t="s">
        <v>122</v>
      </c>
      <c r="G1820" s="149" t="s">
        <v>135</v>
      </c>
      <c r="H1820" s="168" t="s">
        <v>39</v>
      </c>
      <c r="I1820" s="168"/>
      <c r="J1820" s="168" t="s">
        <v>567</v>
      </c>
      <c r="K1820" s="168"/>
      <c r="L1820" s="160"/>
      <c r="M1820" s="169"/>
    </row>
    <row r="1821" spans="1:13" x14ac:dyDescent="0.55000000000000004">
      <c r="A1821" s="65" t="s">
        <v>565</v>
      </c>
      <c r="B1821" s="168" t="s">
        <v>140</v>
      </c>
      <c r="C1821" s="168" t="s">
        <v>121</v>
      </c>
      <c r="D1821" s="168" t="s">
        <v>3288</v>
      </c>
      <c r="E1821" s="116">
        <v>1</v>
      </c>
      <c r="F1821" s="149" t="s">
        <v>135</v>
      </c>
      <c r="G1821" s="149">
        <v>1</v>
      </c>
      <c r="H1821" s="168" t="s">
        <v>39</v>
      </c>
      <c r="I1821" s="168"/>
      <c r="J1821" s="168" t="s">
        <v>565</v>
      </c>
      <c r="K1821" s="168"/>
      <c r="L1821" s="160">
        <v>7206</v>
      </c>
      <c r="M1821" s="169"/>
    </row>
    <row r="1822" spans="1:13" x14ac:dyDescent="0.55000000000000004">
      <c r="A1822" s="65" t="s">
        <v>565</v>
      </c>
      <c r="B1822" s="168" t="s">
        <v>153</v>
      </c>
      <c r="C1822" s="168" t="s">
        <v>127</v>
      </c>
      <c r="D1822" s="168" t="s">
        <v>2994</v>
      </c>
      <c r="E1822" s="116">
        <v>14.5</v>
      </c>
      <c r="F1822" s="149" t="s">
        <v>138</v>
      </c>
      <c r="G1822" s="149" t="s">
        <v>135</v>
      </c>
      <c r="H1822" s="168" t="s">
        <v>39</v>
      </c>
      <c r="I1822" s="168"/>
      <c r="J1822" s="168" t="s">
        <v>565</v>
      </c>
      <c r="K1822" s="168"/>
      <c r="L1822" s="160"/>
      <c r="M1822" s="169"/>
    </row>
    <row r="1823" spans="1:13" x14ac:dyDescent="0.55000000000000004">
      <c r="A1823" s="65" t="s">
        <v>565</v>
      </c>
      <c r="B1823" s="168" t="s">
        <v>171</v>
      </c>
      <c r="C1823" s="168" t="s">
        <v>127</v>
      </c>
      <c r="D1823" s="168" t="s">
        <v>2994</v>
      </c>
      <c r="E1823" s="116">
        <v>1.24</v>
      </c>
      <c r="F1823" s="149" t="s">
        <v>138</v>
      </c>
      <c r="G1823" s="149" t="s">
        <v>135</v>
      </c>
      <c r="H1823" s="168" t="s">
        <v>39</v>
      </c>
      <c r="I1823" s="168"/>
      <c r="J1823" s="168" t="s">
        <v>565</v>
      </c>
      <c r="K1823" s="168"/>
      <c r="L1823" s="160"/>
      <c r="M1823" s="169"/>
    </row>
    <row r="1824" spans="1:13" x14ac:dyDescent="0.55000000000000004">
      <c r="A1824" s="65" t="s">
        <v>565</v>
      </c>
      <c r="B1824" s="168" t="s">
        <v>160</v>
      </c>
      <c r="C1824" s="168" t="s">
        <v>247</v>
      </c>
      <c r="D1824" s="168" t="s">
        <v>3288</v>
      </c>
      <c r="E1824" s="116">
        <v>69.527585098079427</v>
      </c>
      <c r="F1824" s="149" t="s">
        <v>122</v>
      </c>
      <c r="G1824" s="149" t="s">
        <v>135</v>
      </c>
      <c r="H1824" s="168" t="s">
        <v>39</v>
      </c>
      <c r="I1824" s="168"/>
      <c r="J1824" s="168" t="s">
        <v>565</v>
      </c>
      <c r="K1824" s="168"/>
      <c r="L1824" s="160"/>
      <c r="M1824" s="169"/>
    </row>
    <row r="1825" spans="1:13" x14ac:dyDescent="0.55000000000000004">
      <c r="A1825" s="65" t="s">
        <v>563</v>
      </c>
      <c r="B1825" s="168" t="s">
        <v>140</v>
      </c>
      <c r="C1825" s="168" t="s">
        <v>121</v>
      </c>
      <c r="D1825" s="168" t="s">
        <v>3288</v>
      </c>
      <c r="E1825" s="116">
        <v>1</v>
      </c>
      <c r="F1825" s="149" t="s">
        <v>135</v>
      </c>
      <c r="G1825" s="149">
        <v>1</v>
      </c>
      <c r="H1825" s="168" t="s">
        <v>39</v>
      </c>
      <c r="I1825" s="168"/>
      <c r="J1825" s="168" t="s">
        <v>563</v>
      </c>
      <c r="K1825" s="168"/>
      <c r="L1825" s="160">
        <v>7206</v>
      </c>
      <c r="M1825" s="169"/>
    </row>
    <row r="1826" spans="1:13" x14ac:dyDescent="0.55000000000000004">
      <c r="A1826" s="65" t="s">
        <v>563</v>
      </c>
      <c r="B1826" s="168" t="s">
        <v>153</v>
      </c>
      <c r="C1826" s="168" t="s">
        <v>127</v>
      </c>
      <c r="D1826" s="168" t="s">
        <v>2994</v>
      </c>
      <c r="E1826" s="116">
        <v>1</v>
      </c>
      <c r="F1826" s="149" t="s">
        <v>138</v>
      </c>
      <c r="G1826" s="149" t="s">
        <v>135</v>
      </c>
      <c r="H1826" s="168" t="s">
        <v>39</v>
      </c>
      <c r="I1826" s="168"/>
      <c r="J1826" s="168" t="s">
        <v>563</v>
      </c>
      <c r="K1826" s="168"/>
      <c r="L1826" s="160"/>
      <c r="M1826" s="169"/>
    </row>
    <row r="1827" spans="1:13" x14ac:dyDescent="0.55000000000000004">
      <c r="A1827" s="65" t="s">
        <v>563</v>
      </c>
      <c r="B1827" s="168" t="s">
        <v>3383</v>
      </c>
      <c r="C1827" s="168" t="s">
        <v>127</v>
      </c>
      <c r="D1827" s="168" t="s">
        <v>2994</v>
      </c>
      <c r="E1827" s="116">
        <v>0.67</v>
      </c>
      <c r="F1827" s="149" t="s">
        <v>138</v>
      </c>
      <c r="G1827" s="149" t="s">
        <v>135</v>
      </c>
      <c r="H1827" s="168" t="s">
        <v>39</v>
      </c>
      <c r="I1827" s="168"/>
      <c r="J1827" s="168" t="s">
        <v>563</v>
      </c>
      <c r="K1827" s="168"/>
      <c r="L1827" s="160"/>
      <c r="M1827" s="169"/>
    </row>
    <row r="1828" spans="1:13" x14ac:dyDescent="0.55000000000000004">
      <c r="A1828" s="65" t="s">
        <v>563</v>
      </c>
      <c r="B1828" s="168" t="s">
        <v>171</v>
      </c>
      <c r="C1828" s="168" t="s">
        <v>127</v>
      </c>
      <c r="D1828" s="168" t="s">
        <v>2994</v>
      </c>
      <c r="E1828" s="116">
        <v>17.5</v>
      </c>
      <c r="F1828" s="149" t="s">
        <v>138</v>
      </c>
      <c r="G1828" s="149" t="s">
        <v>135</v>
      </c>
      <c r="H1828" s="168" t="s">
        <v>39</v>
      </c>
      <c r="I1828" s="168"/>
      <c r="J1828" s="168" t="s">
        <v>563</v>
      </c>
      <c r="K1828" s="168"/>
      <c r="L1828" s="160"/>
      <c r="M1828" s="169"/>
    </row>
    <row r="1829" spans="1:13" x14ac:dyDescent="0.55000000000000004">
      <c r="A1829" s="65" t="s">
        <v>563</v>
      </c>
      <c r="B1829" s="168" t="s">
        <v>160</v>
      </c>
      <c r="C1829" s="168" t="s">
        <v>247</v>
      </c>
      <c r="D1829" s="168" t="s">
        <v>3288</v>
      </c>
      <c r="E1829" s="116">
        <v>981.23608001321782</v>
      </c>
      <c r="F1829" s="149" t="s">
        <v>122</v>
      </c>
      <c r="G1829" s="149" t="s">
        <v>135</v>
      </c>
      <c r="H1829" s="168" t="s">
        <v>39</v>
      </c>
      <c r="I1829" s="168"/>
      <c r="J1829" s="168" t="s">
        <v>563</v>
      </c>
      <c r="K1829" s="168"/>
      <c r="L1829" s="160"/>
      <c r="M1829" s="169"/>
    </row>
    <row r="1830" spans="1:13" x14ac:dyDescent="0.55000000000000004">
      <c r="A1830" s="65" t="s">
        <v>563</v>
      </c>
      <c r="B1830" s="168" t="s">
        <v>160</v>
      </c>
      <c r="C1830" s="168" t="s">
        <v>156</v>
      </c>
      <c r="D1830" s="168" t="s">
        <v>3288</v>
      </c>
      <c r="E1830" s="116">
        <v>856.08600000000001</v>
      </c>
      <c r="F1830" s="149" t="s">
        <v>122</v>
      </c>
      <c r="G1830" s="149" t="s">
        <v>135</v>
      </c>
      <c r="H1830" s="168" t="s">
        <v>39</v>
      </c>
      <c r="I1830" s="168"/>
      <c r="J1830" s="168" t="s">
        <v>563</v>
      </c>
      <c r="K1830" s="168"/>
      <c r="L1830" s="160"/>
      <c r="M1830" s="169"/>
    </row>
    <row r="1831" spans="1:13" x14ac:dyDescent="0.55000000000000004">
      <c r="A1831" s="65" t="s">
        <v>561</v>
      </c>
      <c r="B1831" s="168" t="s">
        <v>140</v>
      </c>
      <c r="C1831" s="168" t="s">
        <v>121</v>
      </c>
      <c r="D1831" s="168" t="s">
        <v>3288</v>
      </c>
      <c r="E1831" s="116">
        <v>1</v>
      </c>
      <c r="F1831" s="149" t="s">
        <v>135</v>
      </c>
      <c r="G1831" s="149">
        <v>1</v>
      </c>
      <c r="H1831" s="168" t="s">
        <v>39</v>
      </c>
      <c r="I1831" s="168"/>
      <c r="J1831" s="168" t="s">
        <v>561</v>
      </c>
      <c r="K1831" s="168"/>
      <c r="L1831" s="160">
        <v>7206</v>
      </c>
      <c r="M1831" s="169"/>
    </row>
    <row r="1832" spans="1:13" x14ac:dyDescent="0.55000000000000004">
      <c r="A1832" s="65" t="s">
        <v>561</v>
      </c>
      <c r="B1832" s="168" t="s">
        <v>262</v>
      </c>
      <c r="C1832" s="168" t="s">
        <v>127</v>
      </c>
      <c r="D1832" s="168" t="s">
        <v>2994</v>
      </c>
      <c r="E1832" s="116">
        <v>0.9</v>
      </c>
      <c r="F1832" s="149" t="s">
        <v>138</v>
      </c>
      <c r="G1832" s="149" t="s">
        <v>135</v>
      </c>
      <c r="H1832" s="168" t="s">
        <v>39</v>
      </c>
      <c r="I1832" s="168"/>
      <c r="J1832" s="168" t="s">
        <v>561</v>
      </c>
      <c r="K1832" s="168"/>
      <c r="L1832" s="160"/>
      <c r="M1832" s="169"/>
    </row>
    <row r="1833" spans="1:13" x14ac:dyDescent="0.55000000000000004">
      <c r="A1833" s="65" t="s">
        <v>561</v>
      </c>
      <c r="B1833" s="168" t="s">
        <v>153</v>
      </c>
      <c r="C1833" s="168" t="s">
        <v>127</v>
      </c>
      <c r="D1833" s="168" t="s">
        <v>2994</v>
      </c>
      <c r="E1833" s="116">
        <v>12.56</v>
      </c>
      <c r="F1833" s="149" t="s">
        <v>138</v>
      </c>
      <c r="G1833" s="149" t="s">
        <v>135</v>
      </c>
      <c r="H1833" s="168" t="s">
        <v>39</v>
      </c>
      <c r="I1833" s="168"/>
      <c r="J1833" s="168" t="s">
        <v>561</v>
      </c>
      <c r="K1833" s="168"/>
      <c r="L1833" s="160"/>
      <c r="M1833" s="169"/>
    </row>
    <row r="1834" spans="1:13" x14ac:dyDescent="0.55000000000000004">
      <c r="A1834" s="65" t="s">
        <v>561</v>
      </c>
      <c r="B1834" s="168" t="s">
        <v>171</v>
      </c>
      <c r="C1834" s="168" t="s">
        <v>127</v>
      </c>
      <c r="D1834" s="168" t="s">
        <v>2994</v>
      </c>
      <c r="E1834" s="116">
        <v>2.17</v>
      </c>
      <c r="F1834" s="149" t="s">
        <v>138</v>
      </c>
      <c r="G1834" s="149" t="s">
        <v>135</v>
      </c>
      <c r="H1834" s="168" t="s">
        <v>39</v>
      </c>
      <c r="I1834" s="168"/>
      <c r="J1834" s="168" t="s">
        <v>561</v>
      </c>
      <c r="K1834" s="168"/>
      <c r="L1834" s="160"/>
      <c r="M1834" s="169"/>
    </row>
    <row r="1835" spans="1:13" x14ac:dyDescent="0.55000000000000004">
      <c r="A1835" s="65" t="s">
        <v>561</v>
      </c>
      <c r="B1835" s="168" t="s">
        <v>160</v>
      </c>
      <c r="C1835" s="168" t="s">
        <v>247</v>
      </c>
      <c r="D1835" s="168" t="s">
        <v>3288</v>
      </c>
      <c r="E1835" s="116">
        <v>208.08741622797959</v>
      </c>
      <c r="F1835" s="149" t="s">
        <v>122</v>
      </c>
      <c r="G1835" s="149" t="s">
        <v>135</v>
      </c>
      <c r="H1835" s="168" t="s">
        <v>39</v>
      </c>
      <c r="I1835" s="168"/>
      <c r="J1835" s="168" t="s">
        <v>561</v>
      </c>
      <c r="K1835" s="168"/>
      <c r="L1835" s="160"/>
      <c r="M1835" s="169"/>
    </row>
    <row r="1836" spans="1:13" x14ac:dyDescent="0.55000000000000004">
      <c r="A1836" s="54" t="s">
        <v>559</v>
      </c>
      <c r="B1836" s="168" t="s">
        <v>134</v>
      </c>
      <c r="C1836" s="168" t="s">
        <v>121</v>
      </c>
      <c r="D1836" s="168" t="s">
        <v>3288</v>
      </c>
      <c r="E1836" s="116">
        <v>1</v>
      </c>
      <c r="F1836" s="149" t="s">
        <v>135</v>
      </c>
      <c r="G1836" s="149">
        <v>1</v>
      </c>
      <c r="H1836" s="168" t="s">
        <v>39</v>
      </c>
      <c r="I1836" s="168"/>
      <c r="J1836" s="168" t="s">
        <v>559</v>
      </c>
      <c r="K1836" s="168"/>
      <c r="L1836" s="160">
        <v>2523</v>
      </c>
      <c r="M1836" s="169"/>
    </row>
    <row r="1837" spans="1:13" x14ac:dyDescent="0.55000000000000004">
      <c r="A1837" s="54" t="s">
        <v>559</v>
      </c>
      <c r="B1837" s="168" t="s">
        <v>230</v>
      </c>
      <c r="C1837" s="168" t="s">
        <v>127</v>
      </c>
      <c r="D1837" s="168" t="s">
        <v>2994</v>
      </c>
      <c r="E1837" s="116">
        <v>0.35</v>
      </c>
      <c r="F1837" s="149" t="s">
        <v>138</v>
      </c>
      <c r="G1837" s="149" t="s">
        <v>135</v>
      </c>
      <c r="H1837" s="168" t="s">
        <v>39</v>
      </c>
      <c r="I1837" s="168"/>
      <c r="J1837" s="168" t="s">
        <v>559</v>
      </c>
      <c r="K1837" s="168"/>
      <c r="L1837" s="160"/>
      <c r="M1837" s="169"/>
    </row>
    <row r="1838" spans="1:13" x14ac:dyDescent="0.55000000000000004">
      <c r="A1838" s="54" t="s">
        <v>559</v>
      </c>
      <c r="B1838" s="168" t="s">
        <v>262</v>
      </c>
      <c r="C1838" s="168" t="s">
        <v>127</v>
      </c>
      <c r="D1838" s="168" t="s">
        <v>2994</v>
      </c>
      <c r="E1838" s="116">
        <v>4.16</v>
      </c>
      <c r="F1838" s="149" t="s">
        <v>138</v>
      </c>
      <c r="G1838" s="149" t="s">
        <v>135</v>
      </c>
      <c r="H1838" s="168" t="s">
        <v>39</v>
      </c>
      <c r="I1838" s="168"/>
      <c r="J1838" s="168" t="s">
        <v>559</v>
      </c>
      <c r="K1838" s="168"/>
      <c r="L1838" s="160"/>
      <c r="M1838" s="169"/>
    </row>
    <row r="1839" spans="1:13" x14ac:dyDescent="0.55000000000000004">
      <c r="A1839" s="54" t="s">
        <v>559</v>
      </c>
      <c r="B1839" s="168" t="s">
        <v>153</v>
      </c>
      <c r="C1839" s="168" t="s">
        <v>127</v>
      </c>
      <c r="D1839" s="168" t="s">
        <v>2994</v>
      </c>
      <c r="E1839" s="116">
        <v>0.41</v>
      </c>
      <c r="F1839" s="149" t="s">
        <v>138</v>
      </c>
      <c r="G1839" s="149" t="s">
        <v>135</v>
      </c>
      <c r="H1839" s="168" t="s">
        <v>39</v>
      </c>
      <c r="I1839" s="168"/>
      <c r="J1839" s="168" t="s">
        <v>559</v>
      </c>
      <c r="K1839" s="168"/>
      <c r="L1839" s="160"/>
      <c r="M1839" s="169"/>
    </row>
    <row r="1840" spans="1:13" x14ac:dyDescent="0.55000000000000004">
      <c r="A1840" s="54" t="s">
        <v>559</v>
      </c>
      <c r="B1840" s="168" t="s">
        <v>445</v>
      </c>
      <c r="C1840" s="168" t="s">
        <v>127</v>
      </c>
      <c r="D1840" s="168" t="s">
        <v>2994</v>
      </c>
      <c r="E1840" s="116">
        <v>1.04</v>
      </c>
      <c r="F1840" s="149" t="s">
        <v>138</v>
      </c>
      <c r="G1840" s="149" t="s">
        <v>135</v>
      </c>
      <c r="H1840" s="168" t="s">
        <v>39</v>
      </c>
      <c r="I1840" s="168"/>
      <c r="J1840" s="168" t="s">
        <v>559</v>
      </c>
      <c r="K1840" s="168"/>
      <c r="L1840" s="160"/>
      <c r="M1840" s="169"/>
    </row>
    <row r="1841" spans="1:13" x14ac:dyDescent="0.55000000000000004">
      <c r="A1841" s="54" t="s">
        <v>559</v>
      </c>
      <c r="B1841" s="168" t="s">
        <v>171</v>
      </c>
      <c r="C1841" s="168" t="s">
        <v>127</v>
      </c>
      <c r="D1841" s="168" t="s">
        <v>2994</v>
      </c>
      <c r="E1841" s="116">
        <v>0.52</v>
      </c>
      <c r="F1841" s="149" t="s">
        <v>138</v>
      </c>
      <c r="G1841" s="149" t="s">
        <v>135</v>
      </c>
      <c r="H1841" s="168" t="s">
        <v>39</v>
      </c>
      <c r="I1841" s="168"/>
      <c r="J1841" s="168" t="s">
        <v>559</v>
      </c>
      <c r="K1841" s="168"/>
      <c r="L1841" s="160"/>
      <c r="M1841" s="169"/>
    </row>
    <row r="1842" spans="1:13" x14ac:dyDescent="0.55000000000000004">
      <c r="A1842" s="54" t="s">
        <v>559</v>
      </c>
      <c r="B1842" s="168" t="s">
        <v>160</v>
      </c>
      <c r="C1842" s="168" t="s">
        <v>247</v>
      </c>
      <c r="D1842" s="168" t="s">
        <v>3288</v>
      </c>
      <c r="E1842" s="116">
        <v>513.62101318070006</v>
      </c>
      <c r="F1842" s="149" t="s">
        <v>122</v>
      </c>
      <c r="G1842" s="149" t="s">
        <v>135</v>
      </c>
      <c r="H1842" s="168" t="s">
        <v>39</v>
      </c>
      <c r="I1842" s="168"/>
      <c r="J1842" s="168" t="s">
        <v>559</v>
      </c>
      <c r="K1842" s="168"/>
      <c r="L1842" s="160"/>
      <c r="M1842" s="169"/>
    </row>
    <row r="1843" spans="1:13" x14ac:dyDescent="0.55000000000000004">
      <c r="A1843" s="54" t="s">
        <v>559</v>
      </c>
      <c r="B1843" s="168" t="s">
        <v>160</v>
      </c>
      <c r="C1843" s="168" t="s">
        <v>560</v>
      </c>
      <c r="D1843" s="168" t="s">
        <v>3288</v>
      </c>
      <c r="E1843" s="116">
        <v>505.2</v>
      </c>
      <c r="F1843" s="149" t="s">
        <v>122</v>
      </c>
      <c r="G1843" s="149" t="s">
        <v>135</v>
      </c>
      <c r="H1843" s="168" t="s">
        <v>39</v>
      </c>
      <c r="I1843" s="168"/>
      <c r="J1843" s="168" t="s">
        <v>559</v>
      </c>
      <c r="K1843" s="168"/>
      <c r="L1843" s="160"/>
      <c r="M1843" s="169"/>
    </row>
    <row r="1844" spans="1:13" x14ac:dyDescent="0.55000000000000004">
      <c r="A1844" s="93" t="s">
        <v>555</v>
      </c>
      <c r="B1844" s="168" t="s">
        <v>556</v>
      </c>
      <c r="C1844" s="168" t="s">
        <v>121</v>
      </c>
      <c r="D1844" s="168" t="s">
        <v>3288</v>
      </c>
      <c r="E1844" s="116">
        <v>1</v>
      </c>
      <c r="F1844" s="149" t="s">
        <v>135</v>
      </c>
      <c r="G1844" s="149">
        <v>1</v>
      </c>
      <c r="H1844" s="168" t="s">
        <v>39</v>
      </c>
      <c r="I1844" s="168"/>
      <c r="J1844" s="168" t="s">
        <v>558</v>
      </c>
      <c r="K1844" s="168"/>
      <c r="L1844" s="160" t="s">
        <v>557</v>
      </c>
      <c r="M1844" s="169"/>
    </row>
    <row r="1845" spans="1:13" x14ac:dyDescent="0.55000000000000004">
      <c r="A1845" s="93" t="s">
        <v>555</v>
      </c>
      <c r="B1845" s="168" t="s">
        <v>188</v>
      </c>
      <c r="C1845" s="168" t="s">
        <v>127</v>
      </c>
      <c r="D1845" s="168" t="s">
        <v>2994</v>
      </c>
      <c r="E1845" s="116">
        <v>4.7300000000000004</v>
      </c>
      <c r="F1845" s="149" t="s">
        <v>138</v>
      </c>
      <c r="G1845" s="149" t="s">
        <v>135</v>
      </c>
      <c r="H1845" s="168" t="s">
        <v>39</v>
      </c>
      <c r="I1845" s="168"/>
      <c r="J1845" s="168" t="s">
        <v>558</v>
      </c>
      <c r="K1845" s="168"/>
      <c r="L1845" s="160"/>
      <c r="M1845" s="169"/>
    </row>
    <row r="1846" spans="1:13" x14ac:dyDescent="0.55000000000000004">
      <c r="A1846" s="93" t="s">
        <v>555</v>
      </c>
      <c r="B1846" s="168" t="s">
        <v>153</v>
      </c>
      <c r="C1846" s="168" t="s">
        <v>127</v>
      </c>
      <c r="D1846" s="168" t="s">
        <v>2994</v>
      </c>
      <c r="E1846" s="116">
        <v>15.55</v>
      </c>
      <c r="F1846" s="149" t="s">
        <v>138</v>
      </c>
      <c r="G1846" s="149" t="s">
        <v>135</v>
      </c>
      <c r="H1846" s="168" t="s">
        <v>39</v>
      </c>
      <c r="I1846" s="168"/>
      <c r="J1846" s="168" t="s">
        <v>558</v>
      </c>
      <c r="K1846" s="168"/>
      <c r="L1846" s="160"/>
      <c r="M1846" s="169"/>
    </row>
    <row r="1847" spans="1:13" x14ac:dyDescent="0.55000000000000004">
      <c r="A1847" s="106" t="s">
        <v>550</v>
      </c>
      <c r="B1847" s="61" t="s">
        <v>551</v>
      </c>
      <c r="C1847" s="61" t="s">
        <v>121</v>
      </c>
      <c r="D1847" s="61" t="s">
        <v>3288</v>
      </c>
      <c r="E1847" s="119">
        <v>1</v>
      </c>
      <c r="F1847" s="148" t="s">
        <v>133</v>
      </c>
      <c r="G1847" s="148">
        <v>1</v>
      </c>
      <c r="H1847" s="61" t="s">
        <v>39</v>
      </c>
      <c r="I1847" s="168"/>
      <c r="J1847" s="86" t="s">
        <v>501</v>
      </c>
      <c r="K1847" s="61" t="s">
        <v>1193</v>
      </c>
      <c r="L1847" s="159">
        <v>4412</v>
      </c>
      <c r="M1847" s="169"/>
    </row>
    <row r="1848" spans="1:13" x14ac:dyDescent="0.55000000000000004">
      <c r="A1848" s="106" t="s">
        <v>550</v>
      </c>
      <c r="B1848" s="61" t="s">
        <v>502</v>
      </c>
      <c r="C1848" s="61" t="s">
        <v>156</v>
      </c>
      <c r="D1848" s="61" t="s">
        <v>3288</v>
      </c>
      <c r="E1848" s="119">
        <v>0.58799999999999997</v>
      </c>
      <c r="F1848" s="148" t="s">
        <v>133</v>
      </c>
      <c r="G1848" s="148">
        <v>1</v>
      </c>
      <c r="H1848" s="61" t="s">
        <v>39</v>
      </c>
      <c r="I1848" s="168"/>
      <c r="J1848" s="86" t="s">
        <v>501</v>
      </c>
      <c r="K1848" s="61" t="s">
        <v>1193</v>
      </c>
      <c r="L1848" s="159"/>
      <c r="M1848" s="169"/>
    </row>
    <row r="1849" spans="1:13" x14ac:dyDescent="0.55000000000000004">
      <c r="A1849" s="106" t="s">
        <v>550</v>
      </c>
      <c r="B1849" s="61" t="s">
        <v>503</v>
      </c>
      <c r="C1849" s="61" t="s">
        <v>125</v>
      </c>
      <c r="D1849" s="61" t="s">
        <v>3288</v>
      </c>
      <c r="E1849" s="119">
        <v>0.63300000000000001</v>
      </c>
      <c r="F1849" s="148" t="s">
        <v>133</v>
      </c>
      <c r="G1849" s="148">
        <v>1</v>
      </c>
      <c r="H1849" s="61" t="s">
        <v>39</v>
      </c>
      <c r="I1849" s="168"/>
      <c r="J1849" s="86" t="s">
        <v>501</v>
      </c>
      <c r="K1849" s="61" t="s">
        <v>1193</v>
      </c>
      <c r="L1849" s="159"/>
      <c r="M1849" s="169"/>
    </row>
    <row r="1850" spans="1:13" x14ac:dyDescent="0.55000000000000004">
      <c r="A1850" s="106" t="s">
        <v>550</v>
      </c>
      <c r="B1850" s="61" t="s">
        <v>515</v>
      </c>
      <c r="C1850" s="61" t="s">
        <v>125</v>
      </c>
      <c r="D1850" s="61" t="s">
        <v>3288</v>
      </c>
      <c r="E1850" s="119">
        <v>0</v>
      </c>
      <c r="F1850" s="148" t="s">
        <v>133</v>
      </c>
      <c r="G1850" s="148">
        <v>1</v>
      </c>
      <c r="H1850" s="61" t="s">
        <v>39</v>
      </c>
      <c r="I1850" s="168"/>
      <c r="J1850" s="86" t="s">
        <v>501</v>
      </c>
      <c r="K1850" s="61" t="s">
        <v>1193</v>
      </c>
      <c r="L1850" s="159"/>
      <c r="M1850" s="169"/>
    </row>
    <row r="1851" spans="1:13" x14ac:dyDescent="0.55000000000000004">
      <c r="A1851" s="106" t="s">
        <v>550</v>
      </c>
      <c r="B1851" s="61" t="s">
        <v>516</v>
      </c>
      <c r="C1851" s="61" t="s">
        <v>125</v>
      </c>
      <c r="D1851" s="61" t="s">
        <v>3288</v>
      </c>
      <c r="E1851" s="119">
        <v>0.95499999999999996</v>
      </c>
      <c r="F1851" s="148" t="s">
        <v>133</v>
      </c>
      <c r="G1851" s="148">
        <v>1</v>
      </c>
      <c r="H1851" s="61" t="s">
        <v>39</v>
      </c>
      <c r="I1851" s="168"/>
      <c r="J1851" s="86" t="s">
        <v>501</v>
      </c>
      <c r="K1851" s="61" t="s">
        <v>1193</v>
      </c>
      <c r="L1851" s="159"/>
      <c r="M1851" s="169"/>
    </row>
    <row r="1852" spans="1:13" x14ac:dyDescent="0.55000000000000004">
      <c r="A1852" s="106" t="s">
        <v>550</v>
      </c>
      <c r="B1852" s="61" t="s">
        <v>153</v>
      </c>
      <c r="C1852" s="61" t="s">
        <v>127</v>
      </c>
      <c r="D1852" s="61" t="s">
        <v>2994</v>
      </c>
      <c r="E1852" s="119">
        <v>101.776</v>
      </c>
      <c r="F1852" s="148" t="s">
        <v>130</v>
      </c>
      <c r="G1852" s="148">
        <v>1</v>
      </c>
      <c r="H1852" s="61" t="s">
        <v>39</v>
      </c>
      <c r="I1852" s="168"/>
      <c r="J1852" s="86" t="s">
        <v>501</v>
      </c>
      <c r="K1852" s="61" t="s">
        <v>1193</v>
      </c>
      <c r="L1852" s="159"/>
      <c r="M1852" s="169"/>
    </row>
    <row r="1853" spans="1:13" x14ac:dyDescent="0.55000000000000004">
      <c r="A1853" s="106" t="s">
        <v>550</v>
      </c>
      <c r="B1853" s="61" t="s">
        <v>171</v>
      </c>
      <c r="C1853" s="61" t="s">
        <v>127</v>
      </c>
      <c r="D1853" s="61" t="s">
        <v>2994</v>
      </c>
      <c r="E1853" s="119">
        <v>0</v>
      </c>
      <c r="F1853" s="148" t="s">
        <v>167</v>
      </c>
      <c r="G1853" s="148">
        <v>1</v>
      </c>
      <c r="H1853" s="61" t="s">
        <v>39</v>
      </c>
      <c r="I1853" s="168"/>
      <c r="J1853" s="86" t="s">
        <v>501</v>
      </c>
      <c r="K1853" s="61" t="s">
        <v>1193</v>
      </c>
      <c r="L1853" s="159"/>
      <c r="M1853" s="169"/>
    </row>
    <row r="1854" spans="1:13" x14ac:dyDescent="0.55000000000000004">
      <c r="A1854" s="106" t="s">
        <v>550</v>
      </c>
      <c r="B1854" s="61" t="s">
        <v>505</v>
      </c>
      <c r="C1854" s="61" t="s">
        <v>127</v>
      </c>
      <c r="D1854" s="61" t="s">
        <v>2994</v>
      </c>
      <c r="E1854" s="119">
        <v>1.167</v>
      </c>
      <c r="F1854" s="148" t="s">
        <v>167</v>
      </c>
      <c r="G1854" s="148">
        <v>1</v>
      </c>
      <c r="H1854" s="61" t="s">
        <v>39</v>
      </c>
      <c r="I1854" s="168"/>
      <c r="J1854" s="86" t="s">
        <v>501</v>
      </c>
      <c r="K1854" s="61" t="s">
        <v>1176</v>
      </c>
      <c r="L1854" s="159"/>
      <c r="M1854" s="169"/>
    </row>
    <row r="1855" spans="1:13" x14ac:dyDescent="0.55000000000000004">
      <c r="A1855" s="106" t="s">
        <v>550</v>
      </c>
      <c r="B1855" s="61" t="s">
        <v>504</v>
      </c>
      <c r="C1855" s="61" t="s">
        <v>127</v>
      </c>
      <c r="D1855" s="61" t="s">
        <v>2994</v>
      </c>
      <c r="E1855" s="119">
        <v>0</v>
      </c>
      <c r="F1855" s="148" t="s">
        <v>167</v>
      </c>
      <c r="G1855" s="148">
        <v>1</v>
      </c>
      <c r="H1855" s="61" t="s">
        <v>39</v>
      </c>
      <c r="I1855" s="168"/>
      <c r="J1855" s="86" t="s">
        <v>501</v>
      </c>
      <c r="K1855" s="61" t="s">
        <v>1176</v>
      </c>
      <c r="L1855" s="159"/>
      <c r="M1855" s="169"/>
    </row>
    <row r="1856" spans="1:13" x14ac:dyDescent="0.55000000000000004">
      <c r="A1856" s="106" t="s">
        <v>550</v>
      </c>
      <c r="B1856" s="61" t="s">
        <v>506</v>
      </c>
      <c r="C1856" s="61" t="s">
        <v>127</v>
      </c>
      <c r="D1856" s="61" t="s">
        <v>2994</v>
      </c>
      <c r="E1856" s="119">
        <v>0</v>
      </c>
      <c r="F1856" s="148" t="s">
        <v>167</v>
      </c>
      <c r="G1856" s="148">
        <v>1</v>
      </c>
      <c r="H1856" s="61" t="s">
        <v>39</v>
      </c>
      <c r="I1856" s="168"/>
      <c r="J1856" s="86" t="s">
        <v>501</v>
      </c>
      <c r="K1856" s="61" t="s">
        <v>1176</v>
      </c>
      <c r="L1856" s="159"/>
      <c r="M1856" s="169"/>
    </row>
    <row r="1857" spans="1:13" x14ac:dyDescent="0.55000000000000004">
      <c r="A1857" s="106" t="s">
        <v>550</v>
      </c>
      <c r="B1857" s="61" t="s">
        <v>504</v>
      </c>
      <c r="C1857" s="61" t="s">
        <v>507</v>
      </c>
      <c r="D1857" s="61" t="s">
        <v>2994</v>
      </c>
      <c r="E1857" s="119">
        <v>844.88</v>
      </c>
      <c r="F1857" s="148" t="s">
        <v>167</v>
      </c>
      <c r="G1857" s="148">
        <v>1</v>
      </c>
      <c r="H1857" s="61" t="s">
        <v>39</v>
      </c>
      <c r="I1857" s="168"/>
      <c r="J1857" s="86" t="s">
        <v>501</v>
      </c>
      <c r="K1857" s="61" t="s">
        <v>1176</v>
      </c>
      <c r="L1857" s="159"/>
      <c r="M1857" s="169"/>
    </row>
    <row r="1858" spans="1:13" x14ac:dyDescent="0.55000000000000004">
      <c r="A1858" s="106" t="s">
        <v>550</v>
      </c>
      <c r="B1858" s="61" t="s">
        <v>508</v>
      </c>
      <c r="C1858" s="61" t="s">
        <v>127</v>
      </c>
      <c r="D1858" s="61" t="s">
        <v>2994</v>
      </c>
      <c r="E1858" s="119">
        <v>86.831999999999994</v>
      </c>
      <c r="F1858" s="148" t="s">
        <v>167</v>
      </c>
      <c r="G1858" s="148">
        <v>1</v>
      </c>
      <c r="H1858" s="61" t="s">
        <v>39</v>
      </c>
      <c r="I1858" s="168"/>
      <c r="J1858" s="86" t="s">
        <v>501</v>
      </c>
      <c r="K1858" s="61" t="s">
        <v>1176</v>
      </c>
      <c r="L1858" s="159"/>
      <c r="M1858" s="169"/>
    </row>
    <row r="1859" spans="1:13" x14ac:dyDescent="0.55000000000000004">
      <c r="A1859" s="106" t="s">
        <v>550</v>
      </c>
      <c r="B1859" s="61" t="s">
        <v>510</v>
      </c>
      <c r="C1859" s="61" t="s">
        <v>125</v>
      </c>
      <c r="D1859" s="61" t="s">
        <v>3288</v>
      </c>
      <c r="E1859" s="119">
        <v>3.9830000000000001</v>
      </c>
      <c r="F1859" s="148" t="s">
        <v>122</v>
      </c>
      <c r="G1859" s="148">
        <v>1</v>
      </c>
      <c r="H1859" s="61" t="s">
        <v>39</v>
      </c>
      <c r="I1859" s="168"/>
      <c r="J1859" s="86" t="s">
        <v>501</v>
      </c>
      <c r="K1859" s="61" t="s">
        <v>1176</v>
      </c>
      <c r="L1859" s="159"/>
      <c r="M1859" s="169"/>
    </row>
    <row r="1860" spans="1:13" x14ac:dyDescent="0.55000000000000004">
      <c r="A1860" s="106" t="s">
        <v>550</v>
      </c>
      <c r="B1860" s="61" t="s">
        <v>530</v>
      </c>
      <c r="C1860" s="61" t="s">
        <v>125</v>
      </c>
      <c r="D1860" s="61" t="s">
        <v>3288</v>
      </c>
      <c r="E1860" s="119">
        <v>0.189</v>
      </c>
      <c r="F1860" s="148" t="s">
        <v>122</v>
      </c>
      <c r="G1860" s="148">
        <v>1</v>
      </c>
      <c r="H1860" s="61" t="s">
        <v>39</v>
      </c>
      <c r="I1860" s="168"/>
      <c r="J1860" s="86" t="s">
        <v>501</v>
      </c>
      <c r="K1860" s="61" t="s">
        <v>1176</v>
      </c>
      <c r="L1860" s="159"/>
      <c r="M1860" s="169"/>
    </row>
    <row r="1861" spans="1:13" x14ac:dyDescent="0.55000000000000004">
      <c r="A1861" s="106" t="s">
        <v>550</v>
      </c>
      <c r="B1861" s="61" t="s">
        <v>517</v>
      </c>
      <c r="C1861" s="61" t="s">
        <v>125</v>
      </c>
      <c r="D1861" s="61" t="s">
        <v>3288</v>
      </c>
      <c r="E1861" s="119">
        <v>3.3820000000000001</v>
      </c>
      <c r="F1861" s="148" t="s">
        <v>122</v>
      </c>
      <c r="G1861" s="148">
        <v>1</v>
      </c>
      <c r="H1861" s="61" t="s">
        <v>39</v>
      </c>
      <c r="I1861" s="168"/>
      <c r="J1861" s="86" t="s">
        <v>501</v>
      </c>
      <c r="K1861" s="61" t="s">
        <v>1176</v>
      </c>
      <c r="L1861" s="159"/>
      <c r="M1861" s="169"/>
    </row>
    <row r="1862" spans="1:13" x14ac:dyDescent="0.55000000000000004">
      <c r="A1862" s="106" t="s">
        <v>550</v>
      </c>
      <c r="B1862" s="61" t="s">
        <v>160</v>
      </c>
      <c r="C1862" s="61" t="s">
        <v>497</v>
      </c>
      <c r="D1862" s="61" t="s">
        <v>3288</v>
      </c>
      <c r="E1862" s="119">
        <v>6.285642857</v>
      </c>
      <c r="F1862" s="148" t="s">
        <v>122</v>
      </c>
      <c r="G1862" s="148">
        <v>1</v>
      </c>
      <c r="H1862" s="61" t="s">
        <v>39</v>
      </c>
      <c r="I1862" s="168"/>
      <c r="J1862" s="86" t="s">
        <v>501</v>
      </c>
      <c r="K1862" s="61" t="s">
        <v>1176</v>
      </c>
      <c r="L1862" s="159"/>
      <c r="M1862" s="169"/>
    </row>
    <row r="1863" spans="1:13" x14ac:dyDescent="0.55000000000000004">
      <c r="A1863" s="106" t="s">
        <v>550</v>
      </c>
      <c r="B1863" s="61" t="s">
        <v>160</v>
      </c>
      <c r="C1863" s="61" t="s">
        <v>512</v>
      </c>
      <c r="D1863" s="61" t="s">
        <v>3288</v>
      </c>
      <c r="E1863" s="119">
        <v>84.488</v>
      </c>
      <c r="F1863" s="148" t="s">
        <v>122</v>
      </c>
      <c r="G1863" s="148">
        <v>1</v>
      </c>
      <c r="H1863" s="61" t="s">
        <v>39</v>
      </c>
      <c r="I1863" s="168"/>
      <c r="J1863" s="86" t="s">
        <v>501</v>
      </c>
      <c r="K1863" s="61" t="s">
        <v>1176</v>
      </c>
      <c r="L1863" s="159"/>
      <c r="M1863" s="169"/>
    </row>
    <row r="1864" spans="1:13" x14ac:dyDescent="0.55000000000000004">
      <c r="A1864" s="106" t="s">
        <v>544</v>
      </c>
      <c r="B1864" s="61" t="s">
        <v>545</v>
      </c>
      <c r="C1864" s="61" t="s">
        <v>121</v>
      </c>
      <c r="D1864" s="61" t="s">
        <v>3288</v>
      </c>
      <c r="E1864" s="119">
        <v>1</v>
      </c>
      <c r="F1864" s="148" t="s">
        <v>133</v>
      </c>
      <c r="G1864" s="148">
        <v>1</v>
      </c>
      <c r="H1864" s="61" t="s">
        <v>39</v>
      </c>
      <c r="I1864" s="168" t="s">
        <v>535</v>
      </c>
      <c r="J1864" s="86" t="s">
        <v>501</v>
      </c>
      <c r="K1864" s="61" t="s">
        <v>1176</v>
      </c>
      <c r="L1864" s="159">
        <v>441192</v>
      </c>
      <c r="M1864" s="169"/>
    </row>
    <row r="1865" spans="1:13" x14ac:dyDescent="0.55000000000000004">
      <c r="A1865" s="106" t="s">
        <v>544</v>
      </c>
      <c r="B1865" s="61" t="s">
        <v>502</v>
      </c>
      <c r="C1865" s="61" t="s">
        <v>156</v>
      </c>
      <c r="D1865" s="61" t="s">
        <v>3290</v>
      </c>
      <c r="E1865" s="119">
        <v>0.19900000000000001</v>
      </c>
      <c r="F1865" s="148" t="s">
        <v>135</v>
      </c>
      <c r="G1865" s="148">
        <v>1</v>
      </c>
      <c r="H1865" s="61" t="s">
        <v>39</v>
      </c>
      <c r="I1865" s="168" t="s">
        <v>535</v>
      </c>
      <c r="J1865" s="86" t="s">
        <v>501</v>
      </c>
      <c r="K1865" s="61" t="s">
        <v>1176</v>
      </c>
      <c r="L1865" s="159"/>
      <c r="M1865" s="169"/>
    </row>
    <row r="1866" spans="1:13" x14ac:dyDescent="0.55000000000000004">
      <c r="A1866" s="106" t="s">
        <v>544</v>
      </c>
      <c r="B1866" s="61" t="s">
        <v>503</v>
      </c>
      <c r="C1866" s="61" t="s">
        <v>125</v>
      </c>
      <c r="D1866" s="61" t="s">
        <v>3290</v>
      </c>
      <c r="E1866" s="119">
        <v>0.254</v>
      </c>
      <c r="F1866" s="148" t="s">
        <v>135</v>
      </c>
      <c r="G1866" s="148">
        <v>1</v>
      </c>
      <c r="H1866" s="61" t="s">
        <v>39</v>
      </c>
      <c r="I1866" s="168" t="s">
        <v>535</v>
      </c>
      <c r="J1866" s="86" t="s">
        <v>501</v>
      </c>
      <c r="K1866" s="61" t="s">
        <v>1176</v>
      </c>
      <c r="L1866" s="159"/>
      <c r="M1866" s="169"/>
    </row>
    <row r="1867" spans="1:13" x14ac:dyDescent="0.55000000000000004">
      <c r="A1867" s="106" t="s">
        <v>544</v>
      </c>
      <c r="B1867" s="61" t="s">
        <v>502</v>
      </c>
      <c r="C1867" s="61" t="s">
        <v>125</v>
      </c>
      <c r="D1867" s="61" t="s">
        <v>3290</v>
      </c>
      <c r="E1867" s="119">
        <v>0.61399999999999999</v>
      </c>
      <c r="F1867" s="148" t="s">
        <v>135</v>
      </c>
      <c r="G1867" s="148">
        <v>1</v>
      </c>
      <c r="H1867" s="61" t="s">
        <v>39</v>
      </c>
      <c r="I1867" s="168" t="s">
        <v>535</v>
      </c>
      <c r="J1867" s="86" t="s">
        <v>501</v>
      </c>
      <c r="K1867" s="61" t="s">
        <v>1187</v>
      </c>
      <c r="L1867" s="159"/>
      <c r="M1867" s="169"/>
    </row>
    <row r="1868" spans="1:13" x14ac:dyDescent="0.55000000000000004">
      <c r="A1868" s="106" t="s">
        <v>544</v>
      </c>
      <c r="B1868" s="61" t="s">
        <v>504</v>
      </c>
      <c r="C1868" s="61" t="s">
        <v>125</v>
      </c>
      <c r="D1868" s="61" t="s">
        <v>3290</v>
      </c>
      <c r="E1868" s="119">
        <v>0</v>
      </c>
      <c r="F1868" s="148" t="s">
        <v>135</v>
      </c>
      <c r="G1868" s="148">
        <v>1</v>
      </c>
      <c r="H1868" s="61" t="s">
        <v>39</v>
      </c>
      <c r="I1868" s="168" t="s">
        <v>535</v>
      </c>
      <c r="J1868" s="86" t="s">
        <v>501</v>
      </c>
      <c r="K1868" s="61" t="s">
        <v>1187</v>
      </c>
      <c r="L1868" s="159"/>
      <c r="M1868" s="169"/>
    </row>
    <row r="1869" spans="1:13" x14ac:dyDescent="0.55000000000000004">
      <c r="A1869" s="106" t="s">
        <v>544</v>
      </c>
      <c r="B1869" s="61" t="s">
        <v>153</v>
      </c>
      <c r="C1869" s="61" t="s">
        <v>127</v>
      </c>
      <c r="D1869" s="61" t="s">
        <v>2994</v>
      </c>
      <c r="E1869" s="119">
        <v>301.06200000000001</v>
      </c>
      <c r="F1869" s="148" t="s">
        <v>130</v>
      </c>
      <c r="G1869" s="148">
        <v>1</v>
      </c>
      <c r="H1869" s="61" t="s">
        <v>39</v>
      </c>
      <c r="I1869" s="168" t="s">
        <v>535</v>
      </c>
      <c r="J1869" s="86" t="s">
        <v>501</v>
      </c>
      <c r="K1869" s="61" t="s">
        <v>1188</v>
      </c>
      <c r="L1869" s="159"/>
      <c r="M1869" s="169"/>
    </row>
    <row r="1870" spans="1:13" x14ac:dyDescent="0.55000000000000004">
      <c r="A1870" s="106" t="s">
        <v>544</v>
      </c>
      <c r="B1870" s="61" t="s">
        <v>171</v>
      </c>
      <c r="C1870" s="61" t="s">
        <v>127</v>
      </c>
      <c r="D1870" s="61" t="s">
        <v>2994</v>
      </c>
      <c r="E1870" s="119">
        <v>2.464</v>
      </c>
      <c r="F1870" s="148" t="s">
        <v>167</v>
      </c>
      <c r="G1870" s="148">
        <v>1</v>
      </c>
      <c r="H1870" s="61" t="s">
        <v>39</v>
      </c>
      <c r="I1870" s="168" t="s">
        <v>535</v>
      </c>
      <c r="J1870" s="86" t="s">
        <v>501</v>
      </c>
      <c r="K1870" s="61" t="s">
        <v>1188</v>
      </c>
      <c r="L1870" s="159"/>
      <c r="M1870" s="169"/>
    </row>
    <row r="1871" spans="1:13" x14ac:dyDescent="0.55000000000000004">
      <c r="A1871" s="106" t="s">
        <v>544</v>
      </c>
      <c r="B1871" s="61" t="s">
        <v>505</v>
      </c>
      <c r="C1871" s="61" t="s">
        <v>127</v>
      </c>
      <c r="D1871" s="61" t="s">
        <v>2994</v>
      </c>
      <c r="E1871" s="119">
        <v>34.683</v>
      </c>
      <c r="F1871" s="148" t="s">
        <v>167</v>
      </c>
      <c r="G1871" s="148">
        <v>1</v>
      </c>
      <c r="H1871" s="61" t="s">
        <v>39</v>
      </c>
      <c r="I1871" s="168" t="s">
        <v>535</v>
      </c>
      <c r="J1871" s="86" t="s">
        <v>501</v>
      </c>
      <c r="K1871" s="61" t="s">
        <v>1188</v>
      </c>
      <c r="L1871" s="159"/>
      <c r="M1871" s="169"/>
    </row>
    <row r="1872" spans="1:13" x14ac:dyDescent="0.55000000000000004">
      <c r="A1872" s="106" t="s">
        <v>544</v>
      </c>
      <c r="B1872" s="61" t="s">
        <v>504</v>
      </c>
      <c r="C1872" s="61" t="s">
        <v>127</v>
      </c>
      <c r="D1872" s="61" t="s">
        <v>2994</v>
      </c>
      <c r="E1872" s="119">
        <v>5883.4</v>
      </c>
      <c r="F1872" s="148" t="s">
        <v>167</v>
      </c>
      <c r="G1872" s="148">
        <v>1</v>
      </c>
      <c r="H1872" s="61" t="s">
        <v>39</v>
      </c>
      <c r="I1872" s="168" t="s">
        <v>535</v>
      </c>
      <c r="J1872" s="86" t="s">
        <v>501</v>
      </c>
      <c r="K1872" s="61" t="s">
        <v>1188</v>
      </c>
      <c r="L1872" s="159"/>
      <c r="M1872" s="169"/>
    </row>
    <row r="1873" spans="1:13" x14ac:dyDescent="0.55000000000000004">
      <c r="A1873" s="106" t="s">
        <v>544</v>
      </c>
      <c r="B1873" s="61" t="s">
        <v>506</v>
      </c>
      <c r="C1873" s="61" t="s">
        <v>127</v>
      </c>
      <c r="D1873" s="61" t="s">
        <v>2994</v>
      </c>
      <c r="E1873" s="119">
        <v>0</v>
      </c>
      <c r="F1873" s="148" t="s">
        <v>167</v>
      </c>
      <c r="G1873" s="148">
        <v>1</v>
      </c>
      <c r="H1873" s="61" t="s">
        <v>39</v>
      </c>
      <c r="I1873" s="168" t="s">
        <v>535</v>
      </c>
      <c r="J1873" s="86" t="s">
        <v>501</v>
      </c>
      <c r="K1873" s="61" t="s">
        <v>1188</v>
      </c>
      <c r="L1873" s="159"/>
      <c r="M1873" s="169"/>
    </row>
    <row r="1874" spans="1:13" x14ac:dyDescent="0.55000000000000004">
      <c r="A1874" s="106" t="s">
        <v>544</v>
      </c>
      <c r="B1874" s="61" t="s">
        <v>504</v>
      </c>
      <c r="C1874" s="61" t="s">
        <v>507</v>
      </c>
      <c r="D1874" s="61" t="s">
        <v>2994</v>
      </c>
      <c r="E1874" s="119">
        <v>3701</v>
      </c>
      <c r="F1874" s="148" t="s">
        <v>167</v>
      </c>
      <c r="G1874" s="148">
        <v>1</v>
      </c>
      <c r="H1874" s="61" t="s">
        <v>39</v>
      </c>
      <c r="I1874" s="168" t="s">
        <v>535</v>
      </c>
      <c r="J1874" s="86" t="s">
        <v>501</v>
      </c>
      <c r="K1874" s="61" t="s">
        <v>1188</v>
      </c>
      <c r="L1874" s="159"/>
      <c r="M1874" s="169"/>
    </row>
    <row r="1875" spans="1:13" x14ac:dyDescent="0.55000000000000004">
      <c r="A1875" s="106" t="s">
        <v>544</v>
      </c>
      <c r="B1875" s="61" t="s">
        <v>508</v>
      </c>
      <c r="C1875" s="61" t="s">
        <v>127</v>
      </c>
      <c r="D1875" s="61" t="s">
        <v>2994</v>
      </c>
      <c r="E1875" s="119">
        <v>32.4</v>
      </c>
      <c r="F1875" s="148" t="s">
        <v>167</v>
      </c>
      <c r="G1875" s="148">
        <v>1</v>
      </c>
      <c r="H1875" s="61" t="s">
        <v>39</v>
      </c>
      <c r="I1875" s="168" t="s">
        <v>535</v>
      </c>
      <c r="J1875" s="86" t="s">
        <v>501</v>
      </c>
      <c r="K1875" s="61" t="s">
        <v>1188</v>
      </c>
      <c r="L1875" s="159"/>
      <c r="M1875" s="169"/>
    </row>
    <row r="1876" spans="1:13" x14ac:dyDescent="0.55000000000000004">
      <c r="A1876" s="106" t="s">
        <v>544</v>
      </c>
      <c r="B1876" s="61" t="s">
        <v>509</v>
      </c>
      <c r="C1876" s="61" t="s">
        <v>125</v>
      </c>
      <c r="D1876" s="61" t="s">
        <v>3288</v>
      </c>
      <c r="E1876" s="119">
        <v>113.27800000000001</v>
      </c>
      <c r="F1876" s="148" t="s">
        <v>122</v>
      </c>
      <c r="G1876" s="148">
        <v>1</v>
      </c>
      <c r="H1876" s="61" t="s">
        <v>39</v>
      </c>
      <c r="I1876" s="168" t="s">
        <v>535</v>
      </c>
      <c r="J1876" s="86" t="s">
        <v>501</v>
      </c>
      <c r="K1876" s="61" t="s">
        <v>1188</v>
      </c>
      <c r="L1876" s="159"/>
      <c r="M1876" s="169"/>
    </row>
    <row r="1877" spans="1:13" x14ac:dyDescent="0.55000000000000004">
      <c r="A1877" s="106" t="s">
        <v>544</v>
      </c>
      <c r="B1877" s="61" t="s">
        <v>527</v>
      </c>
      <c r="C1877" s="61" t="s">
        <v>125</v>
      </c>
      <c r="D1877" s="61" t="s">
        <v>3288</v>
      </c>
      <c r="E1877" s="119">
        <v>0</v>
      </c>
      <c r="F1877" s="148" t="s">
        <v>122</v>
      </c>
      <c r="G1877" s="148">
        <v>1</v>
      </c>
      <c r="H1877" s="61" t="s">
        <v>39</v>
      </c>
      <c r="I1877" s="168" t="s">
        <v>535</v>
      </c>
      <c r="J1877" s="86" t="s">
        <v>501</v>
      </c>
      <c r="K1877" s="61" t="s">
        <v>1188</v>
      </c>
      <c r="L1877" s="159"/>
      <c r="M1877" s="169"/>
    </row>
    <row r="1878" spans="1:13" x14ac:dyDescent="0.55000000000000004">
      <c r="A1878" s="106" t="s">
        <v>544</v>
      </c>
      <c r="B1878" s="61" t="s">
        <v>517</v>
      </c>
      <c r="C1878" s="61" t="s">
        <v>125</v>
      </c>
      <c r="D1878" s="61" t="s">
        <v>3288</v>
      </c>
      <c r="E1878" s="119">
        <v>0</v>
      </c>
      <c r="F1878" s="148" t="s">
        <v>122</v>
      </c>
      <c r="G1878" s="148">
        <v>1</v>
      </c>
      <c r="H1878" s="61" t="s">
        <v>39</v>
      </c>
      <c r="I1878" s="168" t="s">
        <v>535</v>
      </c>
      <c r="J1878" s="86" t="s">
        <v>501</v>
      </c>
      <c r="K1878" s="61" t="s">
        <v>1188</v>
      </c>
      <c r="L1878" s="159"/>
      <c r="M1878" s="169"/>
    </row>
    <row r="1879" spans="1:13" x14ac:dyDescent="0.55000000000000004">
      <c r="A1879" s="106" t="s">
        <v>544</v>
      </c>
      <c r="B1879" s="61" t="s">
        <v>160</v>
      </c>
      <c r="C1879" s="61" t="s">
        <v>497</v>
      </c>
      <c r="D1879" s="61" t="s">
        <v>3288</v>
      </c>
      <c r="E1879" s="119">
        <v>4.9676428570000004</v>
      </c>
      <c r="F1879" s="148" t="s">
        <v>122</v>
      </c>
      <c r="G1879" s="148">
        <v>1</v>
      </c>
      <c r="H1879" s="61" t="s">
        <v>39</v>
      </c>
      <c r="I1879" s="168" t="s">
        <v>535</v>
      </c>
      <c r="J1879" s="86" t="s">
        <v>501</v>
      </c>
      <c r="K1879" s="61" t="s">
        <v>1188</v>
      </c>
      <c r="L1879" s="159"/>
      <c r="M1879" s="169"/>
    </row>
    <row r="1880" spans="1:13" x14ac:dyDescent="0.55000000000000004">
      <c r="A1880" s="106" t="s">
        <v>544</v>
      </c>
      <c r="B1880" s="61" t="s">
        <v>160</v>
      </c>
      <c r="C1880" s="61" t="s">
        <v>512</v>
      </c>
      <c r="D1880" s="61" t="s">
        <v>3288</v>
      </c>
      <c r="E1880" s="119">
        <v>958.44</v>
      </c>
      <c r="F1880" s="148" t="s">
        <v>122</v>
      </c>
      <c r="G1880" s="148">
        <v>1</v>
      </c>
      <c r="H1880" s="61" t="s">
        <v>39</v>
      </c>
      <c r="I1880" s="168" t="s">
        <v>535</v>
      </c>
      <c r="J1880" s="86" t="s">
        <v>501</v>
      </c>
      <c r="K1880" s="61" t="s">
        <v>1188</v>
      </c>
      <c r="L1880" s="159"/>
      <c r="M1880" s="169"/>
    </row>
    <row r="1881" spans="1:13" x14ac:dyDescent="0.55000000000000004">
      <c r="A1881" s="106" t="s">
        <v>533</v>
      </c>
      <c r="B1881" s="61" t="s">
        <v>534</v>
      </c>
      <c r="C1881" s="61" t="s">
        <v>121</v>
      </c>
      <c r="D1881" s="61" t="s">
        <v>3288</v>
      </c>
      <c r="E1881" s="119">
        <v>1</v>
      </c>
      <c r="F1881" s="148" t="s">
        <v>133</v>
      </c>
      <c r="G1881" s="148">
        <v>1</v>
      </c>
      <c r="H1881" s="61" t="s">
        <v>39</v>
      </c>
      <c r="I1881" s="168" t="s">
        <v>535</v>
      </c>
      <c r="J1881" s="86" t="s">
        <v>501</v>
      </c>
      <c r="K1881" s="61" t="s">
        <v>1188</v>
      </c>
      <c r="L1881" s="159">
        <v>441193</v>
      </c>
      <c r="M1881" s="169"/>
    </row>
    <row r="1882" spans="1:13" x14ac:dyDescent="0.55000000000000004">
      <c r="A1882" s="106" t="s">
        <v>533</v>
      </c>
      <c r="B1882" s="61" t="s">
        <v>502</v>
      </c>
      <c r="C1882" s="61" t="s">
        <v>156</v>
      </c>
      <c r="D1882" s="61" t="s">
        <v>3288</v>
      </c>
      <c r="E1882" s="119">
        <v>0.222</v>
      </c>
      <c r="F1882" s="148" t="s">
        <v>133</v>
      </c>
      <c r="G1882" s="148">
        <v>1</v>
      </c>
      <c r="H1882" s="61" t="s">
        <v>39</v>
      </c>
      <c r="I1882" s="168" t="s">
        <v>535</v>
      </c>
      <c r="J1882" s="86" t="s">
        <v>501</v>
      </c>
      <c r="K1882" s="61" t="s">
        <v>1188</v>
      </c>
      <c r="L1882" s="159"/>
      <c r="M1882" s="169"/>
    </row>
    <row r="1883" spans="1:13" x14ac:dyDescent="0.55000000000000004">
      <c r="A1883" s="106" t="s">
        <v>533</v>
      </c>
      <c r="B1883" s="61" t="s">
        <v>503</v>
      </c>
      <c r="C1883" s="61" t="s">
        <v>125</v>
      </c>
      <c r="D1883" s="61" t="s">
        <v>3290</v>
      </c>
      <c r="E1883" s="119">
        <v>0.41399999999999998</v>
      </c>
      <c r="F1883" s="148" t="s">
        <v>135</v>
      </c>
      <c r="G1883" s="148">
        <v>1</v>
      </c>
      <c r="H1883" s="61" t="s">
        <v>39</v>
      </c>
      <c r="I1883" s="168" t="s">
        <v>535</v>
      </c>
      <c r="J1883" s="86" t="s">
        <v>501</v>
      </c>
      <c r="K1883" s="61" t="s">
        <v>1188</v>
      </c>
      <c r="L1883" s="159"/>
      <c r="M1883" s="169"/>
    </row>
    <row r="1884" spans="1:13" x14ac:dyDescent="0.55000000000000004">
      <c r="A1884" s="106" t="s">
        <v>533</v>
      </c>
      <c r="B1884" s="61" t="s">
        <v>502</v>
      </c>
      <c r="C1884" s="61" t="s">
        <v>125</v>
      </c>
      <c r="D1884" s="61" t="s">
        <v>3290</v>
      </c>
      <c r="E1884" s="119">
        <v>0.39900000000000002</v>
      </c>
      <c r="F1884" s="148" t="s">
        <v>135</v>
      </c>
      <c r="G1884" s="148">
        <v>1</v>
      </c>
      <c r="H1884" s="61" t="s">
        <v>39</v>
      </c>
      <c r="I1884" s="168" t="s">
        <v>535</v>
      </c>
      <c r="J1884" s="86" t="s">
        <v>501</v>
      </c>
      <c r="K1884" s="61" t="s">
        <v>1187</v>
      </c>
      <c r="L1884" s="159"/>
      <c r="M1884" s="169"/>
    </row>
    <row r="1885" spans="1:13" x14ac:dyDescent="0.55000000000000004">
      <c r="A1885" s="106" t="s">
        <v>533</v>
      </c>
      <c r="B1885" s="61" t="s">
        <v>504</v>
      </c>
      <c r="C1885" s="61" t="s">
        <v>125</v>
      </c>
      <c r="D1885" s="61" t="s">
        <v>3290</v>
      </c>
      <c r="E1885" s="119">
        <v>0</v>
      </c>
      <c r="F1885" s="148" t="s">
        <v>135</v>
      </c>
      <c r="G1885" s="148">
        <v>1</v>
      </c>
      <c r="H1885" s="61" t="s">
        <v>39</v>
      </c>
      <c r="I1885" s="168" t="s">
        <v>535</v>
      </c>
      <c r="J1885" s="86" t="s">
        <v>501</v>
      </c>
      <c r="K1885" s="61" t="s">
        <v>1187</v>
      </c>
      <c r="L1885" s="159"/>
      <c r="M1885" s="169"/>
    </row>
    <row r="1886" spans="1:13" x14ac:dyDescent="0.55000000000000004">
      <c r="A1886" s="106" t="s">
        <v>533</v>
      </c>
      <c r="B1886" s="61" t="s">
        <v>153</v>
      </c>
      <c r="C1886" s="61" t="s">
        <v>127</v>
      </c>
      <c r="D1886" s="61" t="s">
        <v>2994</v>
      </c>
      <c r="E1886" s="119">
        <v>297.637</v>
      </c>
      <c r="F1886" s="148" t="s">
        <v>130</v>
      </c>
      <c r="G1886" s="148">
        <v>1</v>
      </c>
      <c r="H1886" s="61" t="s">
        <v>39</v>
      </c>
      <c r="I1886" s="168" t="s">
        <v>535</v>
      </c>
      <c r="J1886" s="86" t="s">
        <v>501</v>
      </c>
      <c r="K1886" s="61" t="s">
        <v>1193</v>
      </c>
      <c r="L1886" s="159"/>
      <c r="M1886" s="169"/>
    </row>
    <row r="1887" spans="1:13" x14ac:dyDescent="0.55000000000000004">
      <c r="A1887" s="106" t="s">
        <v>533</v>
      </c>
      <c r="B1887" s="61" t="s">
        <v>171</v>
      </c>
      <c r="C1887" s="61" t="s">
        <v>127</v>
      </c>
      <c r="D1887" s="61" t="s">
        <v>2994</v>
      </c>
      <c r="E1887" s="119">
        <v>1.9419999999999999</v>
      </c>
      <c r="F1887" s="148" t="s">
        <v>167</v>
      </c>
      <c r="G1887" s="148">
        <v>1</v>
      </c>
      <c r="H1887" s="61" t="s">
        <v>39</v>
      </c>
      <c r="I1887" s="168" t="s">
        <v>535</v>
      </c>
      <c r="J1887" s="86" t="s">
        <v>501</v>
      </c>
      <c r="K1887" s="61" t="s">
        <v>1193</v>
      </c>
      <c r="L1887" s="159"/>
      <c r="M1887" s="169"/>
    </row>
    <row r="1888" spans="1:13" x14ac:dyDescent="0.55000000000000004">
      <c r="A1888" s="106" t="s">
        <v>533</v>
      </c>
      <c r="B1888" s="61" t="s">
        <v>505</v>
      </c>
      <c r="C1888" s="61" t="s">
        <v>127</v>
      </c>
      <c r="D1888" s="61" t="s">
        <v>2994</v>
      </c>
      <c r="E1888" s="119">
        <v>70.298000000000002</v>
      </c>
      <c r="F1888" s="148" t="s">
        <v>167</v>
      </c>
      <c r="G1888" s="148">
        <v>1</v>
      </c>
      <c r="H1888" s="61" t="s">
        <v>39</v>
      </c>
      <c r="I1888" s="168" t="s">
        <v>535</v>
      </c>
      <c r="J1888" s="86" t="s">
        <v>501</v>
      </c>
      <c r="K1888" s="61" t="s">
        <v>1193</v>
      </c>
      <c r="L1888" s="159"/>
      <c r="M1888" s="169"/>
    </row>
    <row r="1889" spans="1:13" x14ac:dyDescent="0.55000000000000004">
      <c r="A1889" s="106" t="s">
        <v>533</v>
      </c>
      <c r="B1889" s="61" t="s">
        <v>504</v>
      </c>
      <c r="C1889" s="61" t="s">
        <v>127</v>
      </c>
      <c r="D1889" s="61" t="s">
        <v>2994</v>
      </c>
      <c r="E1889" s="119">
        <v>3843</v>
      </c>
      <c r="F1889" s="148" t="s">
        <v>167</v>
      </c>
      <c r="G1889" s="148">
        <v>1</v>
      </c>
      <c r="H1889" s="61" t="s">
        <v>39</v>
      </c>
      <c r="I1889" s="168" t="s">
        <v>535</v>
      </c>
      <c r="J1889" s="86" t="s">
        <v>501</v>
      </c>
      <c r="K1889" s="61" t="s">
        <v>1193</v>
      </c>
      <c r="L1889" s="159"/>
      <c r="M1889" s="169"/>
    </row>
    <row r="1890" spans="1:13" x14ac:dyDescent="0.55000000000000004">
      <c r="A1890" s="106" t="s">
        <v>533</v>
      </c>
      <c r="B1890" s="61" t="s">
        <v>506</v>
      </c>
      <c r="C1890" s="61" t="s">
        <v>127</v>
      </c>
      <c r="D1890" s="61" t="s">
        <v>2994</v>
      </c>
      <c r="E1890" s="119">
        <v>0</v>
      </c>
      <c r="F1890" s="148" t="s">
        <v>167</v>
      </c>
      <c r="G1890" s="148">
        <v>1</v>
      </c>
      <c r="H1890" s="61" t="s">
        <v>39</v>
      </c>
      <c r="I1890" s="168" t="s">
        <v>535</v>
      </c>
      <c r="J1890" s="86" t="s">
        <v>501</v>
      </c>
      <c r="K1890" s="61" t="s">
        <v>1193</v>
      </c>
      <c r="L1890" s="159"/>
      <c r="M1890" s="169"/>
    </row>
    <row r="1891" spans="1:13" x14ac:dyDescent="0.55000000000000004">
      <c r="A1891" s="106" t="s">
        <v>533</v>
      </c>
      <c r="B1891" s="61" t="s">
        <v>504</v>
      </c>
      <c r="C1891" s="61" t="s">
        <v>507</v>
      </c>
      <c r="D1891" s="61" t="s">
        <v>2994</v>
      </c>
      <c r="E1891" s="119">
        <v>3462.3</v>
      </c>
      <c r="F1891" s="148" t="s">
        <v>167</v>
      </c>
      <c r="G1891" s="148">
        <v>1</v>
      </c>
      <c r="H1891" s="61" t="s">
        <v>39</v>
      </c>
      <c r="I1891" s="168" t="s">
        <v>535</v>
      </c>
      <c r="J1891" s="86" t="s">
        <v>501</v>
      </c>
      <c r="K1891" s="61" t="s">
        <v>1193</v>
      </c>
      <c r="L1891" s="159"/>
      <c r="M1891" s="169"/>
    </row>
    <row r="1892" spans="1:13" x14ac:dyDescent="0.55000000000000004">
      <c r="A1892" s="106" t="s">
        <v>533</v>
      </c>
      <c r="B1892" s="61" t="s">
        <v>508</v>
      </c>
      <c r="C1892" s="61" t="s">
        <v>127</v>
      </c>
      <c r="D1892" s="61" t="s">
        <v>2994</v>
      </c>
      <c r="E1892" s="119">
        <v>37.968000000000004</v>
      </c>
      <c r="F1892" s="148" t="s">
        <v>167</v>
      </c>
      <c r="G1892" s="148">
        <v>1</v>
      </c>
      <c r="H1892" s="61" t="s">
        <v>39</v>
      </c>
      <c r="I1892" s="168" t="s">
        <v>535</v>
      </c>
      <c r="J1892" s="86" t="s">
        <v>501</v>
      </c>
      <c r="K1892" s="61" t="s">
        <v>1193</v>
      </c>
      <c r="L1892" s="159"/>
      <c r="M1892" s="169"/>
    </row>
    <row r="1893" spans="1:13" x14ac:dyDescent="0.55000000000000004">
      <c r="A1893" s="106" t="s">
        <v>533</v>
      </c>
      <c r="B1893" s="61" t="s">
        <v>509</v>
      </c>
      <c r="C1893" s="61" t="s">
        <v>125</v>
      </c>
      <c r="D1893" s="61" t="s">
        <v>3288</v>
      </c>
      <c r="E1893" s="119">
        <v>95.590999999999994</v>
      </c>
      <c r="F1893" s="148" t="s">
        <v>122</v>
      </c>
      <c r="G1893" s="148">
        <v>1</v>
      </c>
      <c r="H1893" s="61" t="s">
        <v>39</v>
      </c>
      <c r="I1893" s="168" t="s">
        <v>535</v>
      </c>
      <c r="J1893" s="86" t="s">
        <v>501</v>
      </c>
      <c r="K1893" s="61" t="s">
        <v>1193</v>
      </c>
      <c r="L1893" s="159"/>
      <c r="M1893" s="169"/>
    </row>
    <row r="1894" spans="1:13" x14ac:dyDescent="0.55000000000000004">
      <c r="A1894" s="106" t="s">
        <v>533</v>
      </c>
      <c r="B1894" s="61" t="s">
        <v>527</v>
      </c>
      <c r="C1894" s="61" t="s">
        <v>125</v>
      </c>
      <c r="D1894" s="61" t="s">
        <v>3288</v>
      </c>
      <c r="E1894" s="119">
        <v>0</v>
      </c>
      <c r="F1894" s="148" t="s">
        <v>122</v>
      </c>
      <c r="G1894" s="148">
        <v>1</v>
      </c>
      <c r="H1894" s="61" t="s">
        <v>39</v>
      </c>
      <c r="I1894" s="168" t="s">
        <v>535</v>
      </c>
      <c r="J1894" s="86" t="s">
        <v>501</v>
      </c>
      <c r="K1894" s="61" t="s">
        <v>1193</v>
      </c>
      <c r="L1894" s="159"/>
      <c r="M1894" s="169"/>
    </row>
    <row r="1895" spans="1:13" x14ac:dyDescent="0.55000000000000004">
      <c r="A1895" s="106" t="s">
        <v>533</v>
      </c>
      <c r="B1895" s="61" t="s">
        <v>517</v>
      </c>
      <c r="C1895" s="61" t="s">
        <v>125</v>
      </c>
      <c r="D1895" s="61" t="s">
        <v>3288</v>
      </c>
      <c r="E1895" s="119">
        <v>0</v>
      </c>
      <c r="F1895" s="148" t="s">
        <v>122</v>
      </c>
      <c r="G1895" s="148">
        <v>1</v>
      </c>
      <c r="H1895" s="61" t="s">
        <v>39</v>
      </c>
      <c r="I1895" s="168" t="s">
        <v>535</v>
      </c>
      <c r="J1895" s="86" t="s">
        <v>501</v>
      </c>
      <c r="K1895" s="61" t="s">
        <v>1193</v>
      </c>
      <c r="L1895" s="159"/>
      <c r="M1895" s="169"/>
    </row>
    <row r="1896" spans="1:13" x14ac:dyDescent="0.55000000000000004">
      <c r="A1896" s="106" t="s">
        <v>533</v>
      </c>
      <c r="B1896" s="61" t="s">
        <v>160</v>
      </c>
      <c r="C1896" s="61" t="s">
        <v>497</v>
      </c>
      <c r="D1896" s="61" t="s">
        <v>3288</v>
      </c>
      <c r="E1896" s="119">
        <v>7.8719999999999999</v>
      </c>
      <c r="F1896" s="148" t="s">
        <v>122</v>
      </c>
      <c r="G1896" s="148">
        <v>1</v>
      </c>
      <c r="H1896" s="61" t="s">
        <v>39</v>
      </c>
      <c r="I1896" s="168" t="s">
        <v>535</v>
      </c>
      <c r="J1896" s="86" t="s">
        <v>501</v>
      </c>
      <c r="K1896" s="61" t="s">
        <v>1193</v>
      </c>
      <c r="L1896" s="159"/>
      <c r="M1896" s="169"/>
    </row>
    <row r="1897" spans="1:13" x14ac:dyDescent="0.55000000000000004">
      <c r="A1897" s="106" t="s">
        <v>533</v>
      </c>
      <c r="B1897" s="61" t="s">
        <v>160</v>
      </c>
      <c r="C1897" s="61" t="s">
        <v>512</v>
      </c>
      <c r="D1897" s="61" t="s">
        <v>3288</v>
      </c>
      <c r="E1897" s="119">
        <v>730.53</v>
      </c>
      <c r="F1897" s="148" t="s">
        <v>122</v>
      </c>
      <c r="G1897" s="148">
        <v>1</v>
      </c>
      <c r="H1897" s="61" t="s">
        <v>39</v>
      </c>
      <c r="I1897" s="168" t="s">
        <v>535</v>
      </c>
      <c r="J1897" s="86" t="s">
        <v>501</v>
      </c>
      <c r="K1897" s="61" t="s">
        <v>1193</v>
      </c>
      <c r="L1897" s="159"/>
      <c r="M1897" s="169"/>
    </row>
    <row r="1898" spans="1:13" x14ac:dyDescent="0.55000000000000004">
      <c r="A1898" s="106" t="s">
        <v>531</v>
      </c>
      <c r="B1898" s="61" t="s">
        <v>532</v>
      </c>
      <c r="C1898" s="61" t="s">
        <v>121</v>
      </c>
      <c r="D1898" s="61" t="s">
        <v>3288</v>
      </c>
      <c r="E1898" s="119">
        <v>1</v>
      </c>
      <c r="F1898" s="148" t="s">
        <v>133</v>
      </c>
      <c r="G1898" s="148">
        <v>1</v>
      </c>
      <c r="H1898" s="61" t="s">
        <v>39</v>
      </c>
      <c r="I1898" s="168" t="s">
        <v>535</v>
      </c>
      <c r="J1898" s="86" t="s">
        <v>501</v>
      </c>
      <c r="K1898" s="61" t="s">
        <v>1193</v>
      </c>
      <c r="L1898" s="159">
        <v>4412</v>
      </c>
      <c r="M1898" s="169"/>
    </row>
    <row r="1899" spans="1:13" x14ac:dyDescent="0.55000000000000004">
      <c r="A1899" s="106" t="s">
        <v>531</v>
      </c>
      <c r="B1899" s="61" t="s">
        <v>502</v>
      </c>
      <c r="C1899" s="61" t="s">
        <v>156</v>
      </c>
      <c r="D1899" s="61" t="s">
        <v>3288</v>
      </c>
      <c r="E1899" s="119">
        <v>0.40300000000000002</v>
      </c>
      <c r="F1899" s="148" t="s">
        <v>133</v>
      </c>
      <c r="G1899" s="148">
        <v>1</v>
      </c>
      <c r="H1899" s="61" t="s">
        <v>39</v>
      </c>
      <c r="I1899" s="168" t="s">
        <v>535</v>
      </c>
      <c r="J1899" s="86" t="s">
        <v>501</v>
      </c>
      <c r="K1899" s="61" t="s">
        <v>1193</v>
      </c>
      <c r="L1899" s="159"/>
      <c r="M1899" s="169"/>
    </row>
    <row r="1900" spans="1:13" x14ac:dyDescent="0.55000000000000004">
      <c r="A1900" s="106" t="s">
        <v>531</v>
      </c>
      <c r="B1900" s="61" t="s">
        <v>503</v>
      </c>
      <c r="C1900" s="61" t="s">
        <v>125</v>
      </c>
      <c r="D1900" s="61" t="s">
        <v>3288</v>
      </c>
      <c r="E1900" s="119">
        <v>0.30599999999999999</v>
      </c>
      <c r="F1900" s="148" t="s">
        <v>133</v>
      </c>
      <c r="G1900" s="148">
        <v>1</v>
      </c>
      <c r="H1900" s="61" t="s">
        <v>39</v>
      </c>
      <c r="I1900" s="168" t="s">
        <v>535</v>
      </c>
      <c r="J1900" s="86" t="s">
        <v>501</v>
      </c>
      <c r="K1900" s="61" t="s">
        <v>1193</v>
      </c>
      <c r="L1900" s="159"/>
      <c r="M1900" s="169"/>
    </row>
    <row r="1901" spans="1:13" x14ac:dyDescent="0.55000000000000004">
      <c r="A1901" s="106" t="s">
        <v>531</v>
      </c>
      <c r="B1901" s="61" t="s">
        <v>515</v>
      </c>
      <c r="C1901" s="61" t="s">
        <v>125</v>
      </c>
      <c r="D1901" s="61" t="s">
        <v>3288</v>
      </c>
      <c r="E1901" s="119">
        <v>0.65900000000000003</v>
      </c>
      <c r="F1901" s="148" t="s">
        <v>133</v>
      </c>
      <c r="G1901" s="148">
        <v>1</v>
      </c>
      <c r="H1901" s="61" t="s">
        <v>39</v>
      </c>
      <c r="I1901" s="168" t="s">
        <v>535</v>
      </c>
      <c r="J1901" s="86" t="s">
        <v>501</v>
      </c>
      <c r="K1901" s="61" t="s">
        <v>1187</v>
      </c>
      <c r="L1901" s="159"/>
      <c r="M1901" s="169"/>
    </row>
    <row r="1902" spans="1:13" x14ac:dyDescent="0.55000000000000004">
      <c r="A1902" s="106" t="s">
        <v>531</v>
      </c>
      <c r="B1902" s="61" t="s">
        <v>516</v>
      </c>
      <c r="C1902" s="61" t="s">
        <v>125</v>
      </c>
      <c r="D1902" s="61" t="s">
        <v>3288</v>
      </c>
      <c r="E1902" s="119">
        <v>0.438</v>
      </c>
      <c r="F1902" s="148" t="s">
        <v>133</v>
      </c>
      <c r="G1902" s="148">
        <v>1</v>
      </c>
      <c r="H1902" s="61" t="s">
        <v>39</v>
      </c>
      <c r="I1902" s="168" t="s">
        <v>535</v>
      </c>
      <c r="J1902" s="86" t="s">
        <v>501</v>
      </c>
      <c r="K1902" s="61" t="s">
        <v>1187</v>
      </c>
      <c r="L1902" s="159"/>
      <c r="M1902" s="169"/>
    </row>
    <row r="1903" spans="1:13" x14ac:dyDescent="0.55000000000000004">
      <c r="A1903" s="106" t="s">
        <v>531</v>
      </c>
      <c r="B1903" s="61" t="s">
        <v>153</v>
      </c>
      <c r="C1903" s="61" t="s">
        <v>127</v>
      </c>
      <c r="D1903" s="61" t="s">
        <v>2994</v>
      </c>
      <c r="E1903" s="119">
        <v>88.619</v>
      </c>
      <c r="F1903" s="148" t="s">
        <v>130</v>
      </c>
      <c r="G1903" s="148">
        <v>1</v>
      </c>
      <c r="H1903" s="61" t="s">
        <v>39</v>
      </c>
      <c r="I1903" s="168" t="s">
        <v>535</v>
      </c>
      <c r="J1903" s="86" t="s">
        <v>501</v>
      </c>
      <c r="K1903" s="61" t="s">
        <v>1198</v>
      </c>
      <c r="L1903" s="159"/>
      <c r="M1903" s="169"/>
    </row>
    <row r="1904" spans="1:13" x14ac:dyDescent="0.55000000000000004">
      <c r="A1904" s="106" t="s">
        <v>531</v>
      </c>
      <c r="B1904" s="61" t="s">
        <v>171</v>
      </c>
      <c r="C1904" s="61" t="s">
        <v>127</v>
      </c>
      <c r="D1904" s="61" t="s">
        <v>2994</v>
      </c>
      <c r="E1904" s="119">
        <v>6.6630000000000003</v>
      </c>
      <c r="F1904" s="148" t="s">
        <v>167</v>
      </c>
      <c r="G1904" s="148">
        <v>1</v>
      </c>
      <c r="H1904" s="61" t="s">
        <v>39</v>
      </c>
      <c r="I1904" s="168" t="s">
        <v>535</v>
      </c>
      <c r="J1904" s="86" t="s">
        <v>501</v>
      </c>
      <c r="K1904" s="61" t="s">
        <v>1198</v>
      </c>
      <c r="L1904" s="159"/>
      <c r="M1904" s="169"/>
    </row>
    <row r="1905" spans="1:13" x14ac:dyDescent="0.55000000000000004">
      <c r="A1905" s="106" t="s">
        <v>531</v>
      </c>
      <c r="B1905" s="61" t="s">
        <v>505</v>
      </c>
      <c r="C1905" s="61" t="s">
        <v>127</v>
      </c>
      <c r="D1905" s="61" t="s">
        <v>2994</v>
      </c>
      <c r="E1905" s="119">
        <v>114.39700000000001</v>
      </c>
      <c r="F1905" s="148" t="s">
        <v>167</v>
      </c>
      <c r="G1905" s="148">
        <v>1</v>
      </c>
      <c r="H1905" s="61" t="s">
        <v>39</v>
      </c>
      <c r="I1905" s="168" t="s">
        <v>535</v>
      </c>
      <c r="J1905" s="86" t="s">
        <v>501</v>
      </c>
      <c r="K1905" s="61" t="s">
        <v>1198</v>
      </c>
      <c r="L1905" s="159"/>
      <c r="M1905" s="169"/>
    </row>
    <row r="1906" spans="1:13" x14ac:dyDescent="0.55000000000000004">
      <c r="A1906" s="106" t="s">
        <v>531</v>
      </c>
      <c r="B1906" s="61" t="s">
        <v>504</v>
      </c>
      <c r="C1906" s="61" t="s">
        <v>127</v>
      </c>
      <c r="D1906" s="61" t="s">
        <v>2994</v>
      </c>
      <c r="E1906" s="119">
        <v>19.78</v>
      </c>
      <c r="F1906" s="148" t="s">
        <v>167</v>
      </c>
      <c r="G1906" s="148">
        <v>1</v>
      </c>
      <c r="H1906" s="61" t="s">
        <v>39</v>
      </c>
      <c r="I1906" s="168" t="s">
        <v>535</v>
      </c>
      <c r="J1906" s="86" t="s">
        <v>501</v>
      </c>
      <c r="K1906" s="61" t="s">
        <v>1198</v>
      </c>
      <c r="L1906" s="159"/>
      <c r="M1906" s="169"/>
    </row>
    <row r="1907" spans="1:13" x14ac:dyDescent="0.55000000000000004">
      <c r="A1907" s="106" t="s">
        <v>531</v>
      </c>
      <c r="B1907" s="61" t="s">
        <v>506</v>
      </c>
      <c r="C1907" s="61" t="s">
        <v>127</v>
      </c>
      <c r="D1907" s="61" t="s">
        <v>2994</v>
      </c>
      <c r="E1907" s="119">
        <v>58.198</v>
      </c>
      <c r="F1907" s="148" t="s">
        <v>167</v>
      </c>
      <c r="G1907" s="148">
        <v>1</v>
      </c>
      <c r="H1907" s="61" t="s">
        <v>39</v>
      </c>
      <c r="I1907" s="168" t="s">
        <v>535</v>
      </c>
      <c r="J1907" s="86" t="s">
        <v>501</v>
      </c>
      <c r="K1907" s="61" t="s">
        <v>1198</v>
      </c>
      <c r="L1907" s="159"/>
      <c r="M1907" s="169"/>
    </row>
    <row r="1908" spans="1:13" x14ac:dyDescent="0.55000000000000004">
      <c r="A1908" s="106" t="s">
        <v>531</v>
      </c>
      <c r="B1908" s="61" t="s">
        <v>504</v>
      </c>
      <c r="C1908" s="61" t="s">
        <v>507</v>
      </c>
      <c r="D1908" s="61" t="s">
        <v>2994</v>
      </c>
      <c r="E1908" s="119">
        <v>1228.4690000000001</v>
      </c>
      <c r="F1908" s="148" t="s">
        <v>167</v>
      </c>
      <c r="G1908" s="148">
        <v>1</v>
      </c>
      <c r="H1908" s="61" t="s">
        <v>39</v>
      </c>
      <c r="I1908" s="168" t="s">
        <v>535</v>
      </c>
      <c r="J1908" s="86" t="s">
        <v>501</v>
      </c>
      <c r="K1908" s="61" t="s">
        <v>1198</v>
      </c>
      <c r="L1908" s="159"/>
      <c r="M1908" s="169"/>
    </row>
    <row r="1909" spans="1:13" x14ac:dyDescent="0.55000000000000004">
      <c r="A1909" s="106" t="s">
        <v>531</v>
      </c>
      <c r="B1909" s="61" t="s">
        <v>508</v>
      </c>
      <c r="C1909" s="61" t="s">
        <v>127</v>
      </c>
      <c r="D1909" s="61" t="s">
        <v>2994</v>
      </c>
      <c r="E1909" s="119">
        <v>53.04</v>
      </c>
      <c r="F1909" s="148" t="s">
        <v>167</v>
      </c>
      <c r="G1909" s="148">
        <v>1</v>
      </c>
      <c r="H1909" s="61" t="s">
        <v>39</v>
      </c>
      <c r="I1909" s="168" t="s">
        <v>535</v>
      </c>
      <c r="J1909" s="86" t="s">
        <v>501</v>
      </c>
      <c r="K1909" s="61" t="s">
        <v>1198</v>
      </c>
      <c r="L1909" s="159"/>
      <c r="M1909" s="169"/>
    </row>
    <row r="1910" spans="1:13" x14ac:dyDescent="0.55000000000000004">
      <c r="A1910" s="106" t="s">
        <v>531</v>
      </c>
      <c r="B1910" s="61" t="s">
        <v>510</v>
      </c>
      <c r="C1910" s="61" t="s">
        <v>125</v>
      </c>
      <c r="D1910" s="61" t="s">
        <v>3288</v>
      </c>
      <c r="E1910" s="119">
        <v>8.7219999999999995</v>
      </c>
      <c r="F1910" s="148" t="s">
        <v>122</v>
      </c>
      <c r="G1910" s="148">
        <v>1</v>
      </c>
      <c r="H1910" s="61" t="s">
        <v>39</v>
      </c>
      <c r="I1910" s="168" t="s">
        <v>535</v>
      </c>
      <c r="J1910" s="86" t="s">
        <v>501</v>
      </c>
      <c r="K1910" s="61" t="s">
        <v>1198</v>
      </c>
      <c r="L1910" s="159"/>
      <c r="M1910" s="169"/>
    </row>
    <row r="1911" spans="1:13" x14ac:dyDescent="0.55000000000000004">
      <c r="A1911" s="106" t="s">
        <v>531</v>
      </c>
      <c r="B1911" s="61" t="s">
        <v>511</v>
      </c>
      <c r="C1911" s="61" t="s">
        <v>125</v>
      </c>
      <c r="D1911" s="61" t="s">
        <v>3288</v>
      </c>
      <c r="E1911" s="119">
        <v>0.32500000000000001</v>
      </c>
      <c r="F1911" s="148" t="s">
        <v>122</v>
      </c>
      <c r="G1911" s="148">
        <v>1</v>
      </c>
      <c r="H1911" s="61" t="s">
        <v>39</v>
      </c>
      <c r="I1911" s="168" t="s">
        <v>535</v>
      </c>
      <c r="J1911" s="86" t="s">
        <v>501</v>
      </c>
      <c r="K1911" s="61" t="s">
        <v>1198</v>
      </c>
      <c r="L1911" s="159"/>
      <c r="M1911" s="169"/>
    </row>
    <row r="1912" spans="1:13" x14ac:dyDescent="0.55000000000000004">
      <c r="A1912" s="106" t="s">
        <v>531</v>
      </c>
      <c r="B1912" s="61" t="s">
        <v>517</v>
      </c>
      <c r="C1912" s="61" t="s">
        <v>125</v>
      </c>
      <c r="D1912" s="61" t="s">
        <v>3288</v>
      </c>
      <c r="E1912" s="119">
        <v>0.41499999999999998</v>
      </c>
      <c r="F1912" s="148" t="s">
        <v>122</v>
      </c>
      <c r="G1912" s="148">
        <v>1</v>
      </c>
      <c r="H1912" s="61" t="s">
        <v>39</v>
      </c>
      <c r="I1912" s="168" t="s">
        <v>535</v>
      </c>
      <c r="J1912" s="86" t="s">
        <v>501</v>
      </c>
      <c r="K1912" s="61" t="s">
        <v>1198</v>
      </c>
      <c r="L1912" s="159"/>
      <c r="M1912" s="169"/>
    </row>
    <row r="1913" spans="1:13" x14ac:dyDescent="0.55000000000000004">
      <c r="A1913" s="106" t="s">
        <v>531</v>
      </c>
      <c r="B1913" s="61" t="s">
        <v>160</v>
      </c>
      <c r="C1913" s="61" t="s">
        <v>497</v>
      </c>
      <c r="D1913" s="61" t="s">
        <v>3288</v>
      </c>
      <c r="E1913" s="119">
        <v>12.43571429</v>
      </c>
      <c r="F1913" s="148" t="s">
        <v>122</v>
      </c>
      <c r="G1913" s="148">
        <v>1</v>
      </c>
      <c r="H1913" s="61" t="s">
        <v>39</v>
      </c>
      <c r="I1913" s="168" t="s">
        <v>535</v>
      </c>
      <c r="J1913" s="86" t="s">
        <v>501</v>
      </c>
      <c r="K1913" s="61" t="s">
        <v>1198</v>
      </c>
      <c r="L1913" s="159"/>
      <c r="M1913" s="169"/>
    </row>
    <row r="1914" spans="1:13" x14ac:dyDescent="0.55000000000000004">
      <c r="A1914" s="106" t="s">
        <v>531</v>
      </c>
      <c r="B1914" s="61" t="s">
        <v>160</v>
      </c>
      <c r="C1914" s="61" t="s">
        <v>512</v>
      </c>
      <c r="D1914" s="61" t="s">
        <v>3288</v>
      </c>
      <c r="E1914" s="119">
        <v>130.6447</v>
      </c>
      <c r="F1914" s="148" t="s">
        <v>122</v>
      </c>
      <c r="G1914" s="148">
        <v>1</v>
      </c>
      <c r="H1914" s="61" t="s">
        <v>39</v>
      </c>
      <c r="I1914" s="168" t="s">
        <v>535</v>
      </c>
      <c r="J1914" s="86" t="s">
        <v>501</v>
      </c>
      <c r="K1914" s="61" t="s">
        <v>1198</v>
      </c>
      <c r="L1914" s="159"/>
      <c r="M1914" s="169"/>
    </row>
    <row r="1915" spans="1:13" x14ac:dyDescent="0.55000000000000004">
      <c r="A1915" s="106" t="s">
        <v>528</v>
      </c>
      <c r="B1915" s="61" t="s">
        <v>529</v>
      </c>
      <c r="C1915" s="61" t="s">
        <v>121</v>
      </c>
      <c r="D1915" s="61" t="s">
        <v>3288</v>
      </c>
      <c r="E1915" s="119">
        <v>1</v>
      </c>
      <c r="F1915" s="148" t="s">
        <v>133</v>
      </c>
      <c r="G1915" s="148">
        <v>1</v>
      </c>
      <c r="H1915" s="61" t="s">
        <v>39</v>
      </c>
      <c r="I1915" s="168" t="s">
        <v>535</v>
      </c>
      <c r="J1915" s="86" t="s">
        <v>501</v>
      </c>
      <c r="K1915" s="61" t="s">
        <v>1198</v>
      </c>
      <c r="L1915" s="159">
        <v>4412</v>
      </c>
      <c r="M1915" s="169"/>
    </row>
    <row r="1916" spans="1:13" x14ac:dyDescent="0.55000000000000004">
      <c r="A1916" s="106" t="s">
        <v>528</v>
      </c>
      <c r="B1916" s="61" t="s">
        <v>502</v>
      </c>
      <c r="C1916" s="61" t="s">
        <v>156</v>
      </c>
      <c r="D1916" s="61" t="s">
        <v>3288</v>
      </c>
      <c r="E1916" s="119">
        <v>1.26</v>
      </c>
      <c r="F1916" s="148" t="s">
        <v>133</v>
      </c>
      <c r="G1916" s="148">
        <v>1</v>
      </c>
      <c r="H1916" s="61" t="s">
        <v>39</v>
      </c>
      <c r="I1916" s="168" t="s">
        <v>535</v>
      </c>
      <c r="J1916" s="86" t="s">
        <v>501</v>
      </c>
      <c r="K1916" s="61" t="s">
        <v>1198</v>
      </c>
      <c r="L1916" s="159"/>
      <c r="M1916" s="169"/>
    </row>
    <row r="1917" spans="1:13" x14ac:dyDescent="0.55000000000000004">
      <c r="A1917" s="106" t="s">
        <v>528</v>
      </c>
      <c r="B1917" s="61" t="s">
        <v>503</v>
      </c>
      <c r="C1917" s="61" t="s">
        <v>125</v>
      </c>
      <c r="D1917" s="61" t="s">
        <v>3288</v>
      </c>
      <c r="E1917" s="119">
        <v>2.2679999999999998</v>
      </c>
      <c r="F1917" s="148" t="s">
        <v>133</v>
      </c>
      <c r="G1917" s="148">
        <v>1</v>
      </c>
      <c r="H1917" s="61" t="s">
        <v>39</v>
      </c>
      <c r="I1917" s="168" t="s">
        <v>535</v>
      </c>
      <c r="J1917" s="86" t="s">
        <v>501</v>
      </c>
      <c r="K1917" s="61" t="s">
        <v>1198</v>
      </c>
      <c r="L1917" s="159"/>
      <c r="M1917" s="169"/>
    </row>
    <row r="1918" spans="1:13" x14ac:dyDescent="0.55000000000000004">
      <c r="A1918" s="106" t="s">
        <v>528</v>
      </c>
      <c r="B1918" s="61" t="s">
        <v>515</v>
      </c>
      <c r="C1918" s="61" t="s">
        <v>125</v>
      </c>
      <c r="D1918" s="61" t="s">
        <v>3288</v>
      </c>
      <c r="E1918" s="119">
        <v>0</v>
      </c>
      <c r="F1918" s="148" t="s">
        <v>133</v>
      </c>
      <c r="G1918" s="148">
        <v>1</v>
      </c>
      <c r="H1918" s="61" t="s">
        <v>39</v>
      </c>
      <c r="I1918" s="168" t="s">
        <v>535</v>
      </c>
      <c r="J1918" s="86" t="s">
        <v>501</v>
      </c>
      <c r="K1918" s="61" t="s">
        <v>1187</v>
      </c>
      <c r="L1918" s="159"/>
      <c r="M1918" s="169"/>
    </row>
    <row r="1919" spans="1:13" x14ac:dyDescent="0.55000000000000004">
      <c r="A1919" s="106" t="s">
        <v>528</v>
      </c>
      <c r="B1919" s="61" t="s">
        <v>516</v>
      </c>
      <c r="C1919" s="61" t="s">
        <v>125</v>
      </c>
      <c r="D1919" s="61" t="s">
        <v>3288</v>
      </c>
      <c r="E1919" s="119">
        <v>0</v>
      </c>
      <c r="F1919" s="148" t="s">
        <v>133</v>
      </c>
      <c r="G1919" s="148">
        <v>1</v>
      </c>
      <c r="H1919" s="61" t="s">
        <v>39</v>
      </c>
      <c r="I1919" s="168" t="s">
        <v>535</v>
      </c>
      <c r="J1919" s="86" t="s">
        <v>501</v>
      </c>
      <c r="K1919" s="61" t="s">
        <v>1187</v>
      </c>
      <c r="L1919" s="159"/>
      <c r="M1919" s="169"/>
    </row>
    <row r="1920" spans="1:13" x14ac:dyDescent="0.55000000000000004">
      <c r="A1920" s="106" t="s">
        <v>528</v>
      </c>
      <c r="B1920" s="61" t="s">
        <v>153</v>
      </c>
      <c r="C1920" s="61" t="s">
        <v>127</v>
      </c>
      <c r="D1920" s="61" t="s">
        <v>2994</v>
      </c>
      <c r="E1920" s="119">
        <v>533.995</v>
      </c>
      <c r="F1920" s="148" t="s">
        <v>130</v>
      </c>
      <c r="G1920" s="148">
        <v>1</v>
      </c>
      <c r="H1920" s="61" t="s">
        <v>39</v>
      </c>
      <c r="I1920" s="168" t="s">
        <v>535</v>
      </c>
      <c r="J1920" s="86" t="s">
        <v>501</v>
      </c>
      <c r="K1920" s="61" t="s">
        <v>1207</v>
      </c>
      <c r="L1920" s="159"/>
      <c r="M1920" s="169"/>
    </row>
    <row r="1921" spans="1:13" x14ac:dyDescent="0.55000000000000004">
      <c r="A1921" s="106" t="s">
        <v>528</v>
      </c>
      <c r="B1921" s="61" t="s">
        <v>171</v>
      </c>
      <c r="C1921" s="61" t="s">
        <v>127</v>
      </c>
      <c r="D1921" s="61" t="s">
        <v>2994</v>
      </c>
      <c r="E1921" s="119">
        <v>0</v>
      </c>
      <c r="F1921" s="148" t="s">
        <v>167</v>
      </c>
      <c r="G1921" s="148">
        <v>1</v>
      </c>
      <c r="H1921" s="61" t="s">
        <v>39</v>
      </c>
      <c r="I1921" s="168" t="s">
        <v>535</v>
      </c>
      <c r="J1921" s="86" t="s">
        <v>501</v>
      </c>
      <c r="K1921" s="61" t="s">
        <v>1207</v>
      </c>
      <c r="L1921" s="159"/>
      <c r="M1921" s="169"/>
    </row>
    <row r="1922" spans="1:13" x14ac:dyDescent="0.55000000000000004">
      <c r="A1922" s="106" t="s">
        <v>528</v>
      </c>
      <c r="B1922" s="61" t="s">
        <v>505</v>
      </c>
      <c r="C1922" s="61" t="s">
        <v>127</v>
      </c>
      <c r="D1922" s="61" t="s">
        <v>2994</v>
      </c>
      <c r="E1922" s="119">
        <v>73.016999999999996</v>
      </c>
      <c r="F1922" s="148" t="s">
        <v>167</v>
      </c>
      <c r="G1922" s="148">
        <v>1</v>
      </c>
      <c r="H1922" s="61" t="s">
        <v>39</v>
      </c>
      <c r="I1922" s="168" t="s">
        <v>535</v>
      </c>
      <c r="J1922" s="86" t="s">
        <v>501</v>
      </c>
      <c r="K1922" s="61" t="s">
        <v>1207</v>
      </c>
      <c r="L1922" s="159"/>
      <c r="M1922" s="169"/>
    </row>
    <row r="1923" spans="1:13" x14ac:dyDescent="0.55000000000000004">
      <c r="A1923" s="106" t="s">
        <v>528</v>
      </c>
      <c r="B1923" s="61" t="s">
        <v>504</v>
      </c>
      <c r="C1923" s="61" t="s">
        <v>127</v>
      </c>
      <c r="D1923" s="61" t="s">
        <v>2994</v>
      </c>
      <c r="E1923" s="119">
        <v>0</v>
      </c>
      <c r="F1923" s="148" t="s">
        <v>167</v>
      </c>
      <c r="G1923" s="148">
        <v>1</v>
      </c>
      <c r="H1923" s="61" t="s">
        <v>39</v>
      </c>
      <c r="I1923" s="168" t="s">
        <v>535</v>
      </c>
      <c r="J1923" s="86" t="s">
        <v>501</v>
      </c>
      <c r="K1923" s="61" t="s">
        <v>1207</v>
      </c>
      <c r="L1923" s="159"/>
      <c r="M1923" s="169"/>
    </row>
    <row r="1924" spans="1:13" x14ac:dyDescent="0.55000000000000004">
      <c r="A1924" s="106" t="s">
        <v>528</v>
      </c>
      <c r="B1924" s="61" t="s">
        <v>506</v>
      </c>
      <c r="C1924" s="61" t="s">
        <v>127</v>
      </c>
      <c r="D1924" s="61" t="s">
        <v>2994</v>
      </c>
      <c r="E1924" s="119">
        <v>0</v>
      </c>
      <c r="F1924" s="148" t="s">
        <v>167</v>
      </c>
      <c r="G1924" s="148">
        <v>1</v>
      </c>
      <c r="H1924" s="61" t="s">
        <v>39</v>
      </c>
      <c r="I1924" s="168" t="s">
        <v>535</v>
      </c>
      <c r="J1924" s="86" t="s">
        <v>501</v>
      </c>
      <c r="K1924" s="61" t="s">
        <v>1207</v>
      </c>
      <c r="L1924" s="159"/>
      <c r="M1924" s="169"/>
    </row>
    <row r="1925" spans="1:13" x14ac:dyDescent="0.55000000000000004">
      <c r="A1925" s="106" t="s">
        <v>528</v>
      </c>
      <c r="B1925" s="61" t="s">
        <v>504</v>
      </c>
      <c r="C1925" s="61" t="s">
        <v>507</v>
      </c>
      <c r="D1925" s="61" t="s">
        <v>2994</v>
      </c>
      <c r="E1925" s="119">
        <v>11573</v>
      </c>
      <c r="F1925" s="148" t="s">
        <v>167</v>
      </c>
      <c r="G1925" s="148">
        <v>1</v>
      </c>
      <c r="H1925" s="61" t="s">
        <v>39</v>
      </c>
      <c r="I1925" s="168" t="s">
        <v>535</v>
      </c>
      <c r="J1925" s="86" t="s">
        <v>501</v>
      </c>
      <c r="K1925" s="61" t="s">
        <v>1207</v>
      </c>
      <c r="L1925" s="159"/>
      <c r="M1925" s="169"/>
    </row>
    <row r="1926" spans="1:13" x14ac:dyDescent="0.55000000000000004">
      <c r="A1926" s="106" t="s">
        <v>528</v>
      </c>
      <c r="B1926" s="61" t="s">
        <v>508</v>
      </c>
      <c r="C1926" s="61" t="s">
        <v>127</v>
      </c>
      <c r="D1926" s="61" t="s">
        <v>2994</v>
      </c>
      <c r="E1926" s="119">
        <v>4.032</v>
      </c>
      <c r="F1926" s="148" t="s">
        <v>167</v>
      </c>
      <c r="G1926" s="148">
        <v>1</v>
      </c>
      <c r="H1926" s="61" t="s">
        <v>39</v>
      </c>
      <c r="I1926" s="168" t="s">
        <v>535</v>
      </c>
      <c r="J1926" s="86" t="s">
        <v>501</v>
      </c>
      <c r="K1926" s="61" t="s">
        <v>1207</v>
      </c>
      <c r="L1926" s="159"/>
      <c r="M1926" s="169"/>
    </row>
    <row r="1927" spans="1:13" x14ac:dyDescent="0.55000000000000004">
      <c r="A1927" s="106" t="s">
        <v>528</v>
      </c>
      <c r="B1927" s="61" t="s">
        <v>509</v>
      </c>
      <c r="C1927" s="61" t="s">
        <v>125</v>
      </c>
      <c r="D1927" s="61" t="s">
        <v>3288</v>
      </c>
      <c r="E1927" s="119">
        <v>89.53</v>
      </c>
      <c r="F1927" s="148" t="s">
        <v>122</v>
      </c>
      <c r="G1927" s="148">
        <v>1</v>
      </c>
      <c r="H1927" s="61" t="s">
        <v>39</v>
      </c>
      <c r="I1927" s="168" t="s">
        <v>535</v>
      </c>
      <c r="J1927" s="86" t="s">
        <v>501</v>
      </c>
      <c r="K1927" s="61" t="s">
        <v>1207</v>
      </c>
      <c r="L1927" s="159"/>
      <c r="M1927" s="169"/>
    </row>
    <row r="1928" spans="1:13" x14ac:dyDescent="0.55000000000000004">
      <c r="A1928" s="106" t="s">
        <v>528</v>
      </c>
      <c r="B1928" s="61" t="s">
        <v>530</v>
      </c>
      <c r="C1928" s="61" t="s">
        <v>125</v>
      </c>
      <c r="D1928" s="61" t="s">
        <v>3288</v>
      </c>
      <c r="E1928" s="119">
        <v>0</v>
      </c>
      <c r="F1928" s="148" t="s">
        <v>122</v>
      </c>
      <c r="G1928" s="148">
        <v>1</v>
      </c>
      <c r="H1928" s="61" t="s">
        <v>39</v>
      </c>
      <c r="I1928" s="168" t="s">
        <v>535</v>
      </c>
      <c r="J1928" s="86" t="s">
        <v>501</v>
      </c>
      <c r="K1928" s="61" t="s">
        <v>1207</v>
      </c>
      <c r="L1928" s="159"/>
      <c r="M1928" s="169"/>
    </row>
    <row r="1929" spans="1:13" x14ac:dyDescent="0.55000000000000004">
      <c r="A1929" s="106" t="s">
        <v>528</v>
      </c>
      <c r="B1929" s="61" t="s">
        <v>517</v>
      </c>
      <c r="C1929" s="61" t="s">
        <v>125</v>
      </c>
      <c r="D1929" s="61" t="s">
        <v>3288</v>
      </c>
      <c r="E1929" s="119">
        <v>0</v>
      </c>
      <c r="F1929" s="148" t="s">
        <v>122</v>
      </c>
      <c r="G1929" s="148">
        <v>1</v>
      </c>
      <c r="H1929" s="61" t="s">
        <v>39</v>
      </c>
      <c r="I1929" s="168" t="s">
        <v>535</v>
      </c>
      <c r="J1929" s="86" t="s">
        <v>501</v>
      </c>
      <c r="K1929" s="61" t="s">
        <v>1207</v>
      </c>
      <c r="L1929" s="159"/>
      <c r="M1929" s="169"/>
    </row>
    <row r="1930" spans="1:13" x14ac:dyDescent="0.55000000000000004">
      <c r="A1930" s="106" t="s">
        <v>528</v>
      </c>
      <c r="B1930" s="61" t="s">
        <v>160</v>
      </c>
      <c r="C1930" s="61" t="s">
        <v>497</v>
      </c>
      <c r="D1930" s="61" t="s">
        <v>3288</v>
      </c>
      <c r="E1930" s="119">
        <v>5.5034999999999998</v>
      </c>
      <c r="F1930" s="148" t="s">
        <v>122</v>
      </c>
      <c r="G1930" s="148">
        <v>1</v>
      </c>
      <c r="H1930" s="61" t="s">
        <v>39</v>
      </c>
      <c r="I1930" s="168" t="s">
        <v>535</v>
      </c>
      <c r="J1930" s="86" t="s">
        <v>501</v>
      </c>
      <c r="K1930" s="61" t="s">
        <v>1207</v>
      </c>
      <c r="L1930" s="159"/>
      <c r="M1930" s="169"/>
    </row>
    <row r="1931" spans="1:13" x14ac:dyDescent="0.55000000000000004">
      <c r="A1931" s="106" t="s">
        <v>528</v>
      </c>
      <c r="B1931" s="61" t="s">
        <v>160</v>
      </c>
      <c r="C1931" s="61" t="s">
        <v>512</v>
      </c>
      <c r="D1931" s="61" t="s">
        <v>3288</v>
      </c>
      <c r="E1931" s="119">
        <v>1157.3</v>
      </c>
      <c r="F1931" s="148" t="s">
        <v>122</v>
      </c>
      <c r="G1931" s="148">
        <v>1</v>
      </c>
      <c r="H1931" s="61" t="s">
        <v>39</v>
      </c>
      <c r="I1931" s="168" t="s">
        <v>535</v>
      </c>
      <c r="J1931" s="86" t="s">
        <v>501</v>
      </c>
      <c r="K1931" s="61" t="s">
        <v>1207</v>
      </c>
      <c r="L1931" s="159"/>
      <c r="M1931" s="169"/>
    </row>
    <row r="1932" spans="1:13" x14ac:dyDescent="0.55000000000000004">
      <c r="A1932" s="106" t="s">
        <v>525</v>
      </c>
      <c r="B1932" s="61" t="s">
        <v>526</v>
      </c>
      <c r="C1932" s="61" t="s">
        <v>121</v>
      </c>
      <c r="D1932" s="61" t="s">
        <v>3288</v>
      </c>
      <c r="E1932" s="119">
        <v>1</v>
      </c>
      <c r="F1932" s="148" t="s">
        <v>133</v>
      </c>
      <c r="G1932" s="148">
        <v>1</v>
      </c>
      <c r="H1932" s="61" t="s">
        <v>39</v>
      </c>
      <c r="I1932" s="168" t="s">
        <v>535</v>
      </c>
      <c r="J1932" s="86" t="s">
        <v>501</v>
      </c>
      <c r="K1932" s="61" t="s">
        <v>1207</v>
      </c>
      <c r="L1932" s="159">
        <v>441012</v>
      </c>
      <c r="M1932" s="169"/>
    </row>
    <row r="1933" spans="1:13" x14ac:dyDescent="0.55000000000000004">
      <c r="A1933" s="106" t="s">
        <v>525</v>
      </c>
      <c r="B1933" s="61" t="s">
        <v>502</v>
      </c>
      <c r="C1933" s="61" t="s">
        <v>156</v>
      </c>
      <c r="D1933" s="61" t="s">
        <v>3290</v>
      </c>
      <c r="E1933" s="119">
        <v>0.17799999999999999</v>
      </c>
      <c r="F1933" s="148" t="s">
        <v>135</v>
      </c>
      <c r="G1933" s="148">
        <v>1</v>
      </c>
      <c r="H1933" s="61" t="s">
        <v>39</v>
      </c>
      <c r="I1933" s="168" t="s">
        <v>535</v>
      </c>
      <c r="J1933" s="86" t="s">
        <v>501</v>
      </c>
      <c r="K1933" s="61" t="s">
        <v>1207</v>
      </c>
      <c r="L1933" s="159"/>
      <c r="M1933" s="169"/>
    </row>
    <row r="1934" spans="1:13" x14ac:dyDescent="0.55000000000000004">
      <c r="A1934" s="106" t="s">
        <v>525</v>
      </c>
      <c r="B1934" s="61" t="s">
        <v>503</v>
      </c>
      <c r="C1934" s="61" t="s">
        <v>125</v>
      </c>
      <c r="D1934" s="61" t="s">
        <v>3290</v>
      </c>
      <c r="E1934" s="119">
        <v>0.70799999999999996</v>
      </c>
      <c r="F1934" s="148" t="s">
        <v>135</v>
      </c>
      <c r="G1934" s="148">
        <v>1</v>
      </c>
      <c r="H1934" s="61" t="s">
        <v>39</v>
      </c>
      <c r="I1934" s="168" t="s">
        <v>535</v>
      </c>
      <c r="J1934" s="86" t="s">
        <v>501</v>
      </c>
      <c r="K1934" s="61" t="s">
        <v>1207</v>
      </c>
      <c r="L1934" s="159"/>
      <c r="M1934" s="169"/>
    </row>
    <row r="1935" spans="1:13" x14ac:dyDescent="0.55000000000000004">
      <c r="A1935" s="106" t="s">
        <v>525</v>
      </c>
      <c r="B1935" s="61" t="s">
        <v>515</v>
      </c>
      <c r="C1935" s="61" t="s">
        <v>125</v>
      </c>
      <c r="D1935" s="61" t="s">
        <v>3290</v>
      </c>
      <c r="E1935" s="119">
        <v>0</v>
      </c>
      <c r="F1935" s="148" t="s">
        <v>135</v>
      </c>
      <c r="G1935" s="148">
        <v>1</v>
      </c>
      <c r="H1935" s="61" t="s">
        <v>39</v>
      </c>
      <c r="I1935" s="168" t="s">
        <v>535</v>
      </c>
      <c r="J1935" s="86" t="s">
        <v>501</v>
      </c>
      <c r="K1935" s="61" t="s">
        <v>1187</v>
      </c>
      <c r="L1935" s="159"/>
      <c r="M1935" s="169"/>
    </row>
    <row r="1936" spans="1:13" x14ac:dyDescent="0.55000000000000004">
      <c r="A1936" s="106" t="s">
        <v>525</v>
      </c>
      <c r="B1936" s="61" t="s">
        <v>516</v>
      </c>
      <c r="C1936" s="61" t="s">
        <v>125</v>
      </c>
      <c r="D1936" s="61" t="s">
        <v>3290</v>
      </c>
      <c r="E1936" s="119">
        <v>0</v>
      </c>
      <c r="F1936" s="148" t="s">
        <v>135</v>
      </c>
      <c r="G1936" s="148">
        <v>1</v>
      </c>
      <c r="H1936" s="61" t="s">
        <v>39</v>
      </c>
      <c r="I1936" s="168" t="s">
        <v>535</v>
      </c>
      <c r="J1936" s="86" t="s">
        <v>501</v>
      </c>
      <c r="K1936" s="61" t="s">
        <v>1187</v>
      </c>
      <c r="L1936" s="159"/>
      <c r="M1936" s="169"/>
    </row>
    <row r="1937" spans="1:13" x14ac:dyDescent="0.55000000000000004">
      <c r="A1937" s="106" t="s">
        <v>525</v>
      </c>
      <c r="B1937" s="61" t="s">
        <v>153</v>
      </c>
      <c r="C1937" s="61" t="s">
        <v>127</v>
      </c>
      <c r="D1937" s="61" t="s">
        <v>2994</v>
      </c>
      <c r="E1937" s="119">
        <v>120.923</v>
      </c>
      <c r="F1937" s="148" t="s">
        <v>130</v>
      </c>
      <c r="G1937" s="148">
        <v>1</v>
      </c>
      <c r="H1937" s="61" t="s">
        <v>39</v>
      </c>
      <c r="I1937" s="168" t="s">
        <v>535</v>
      </c>
      <c r="J1937" s="86" t="s">
        <v>501</v>
      </c>
      <c r="K1937" s="61" t="s">
        <v>1214</v>
      </c>
      <c r="L1937" s="159"/>
      <c r="M1937" s="169"/>
    </row>
    <row r="1938" spans="1:13" x14ac:dyDescent="0.55000000000000004">
      <c r="A1938" s="106" t="s">
        <v>525</v>
      </c>
      <c r="B1938" s="61" t="s">
        <v>171</v>
      </c>
      <c r="C1938" s="61" t="s">
        <v>127</v>
      </c>
      <c r="D1938" s="61" t="s">
        <v>2994</v>
      </c>
      <c r="E1938" s="119">
        <v>404.14600000000002</v>
      </c>
      <c r="F1938" s="148" t="s">
        <v>167</v>
      </c>
      <c r="G1938" s="148">
        <v>1</v>
      </c>
      <c r="H1938" s="61" t="s">
        <v>39</v>
      </c>
      <c r="I1938" s="168" t="s">
        <v>535</v>
      </c>
      <c r="J1938" s="86" t="s">
        <v>501</v>
      </c>
      <c r="K1938" s="61" t="s">
        <v>1214</v>
      </c>
      <c r="L1938" s="159"/>
      <c r="M1938" s="169"/>
    </row>
    <row r="1939" spans="1:13" x14ac:dyDescent="0.55000000000000004">
      <c r="A1939" s="106" t="s">
        <v>525</v>
      </c>
      <c r="B1939" s="61" t="s">
        <v>505</v>
      </c>
      <c r="C1939" s="61" t="s">
        <v>127</v>
      </c>
      <c r="D1939" s="61" t="s">
        <v>2994</v>
      </c>
      <c r="E1939" s="119">
        <v>5.2279999999999998</v>
      </c>
      <c r="F1939" s="148" t="s">
        <v>167</v>
      </c>
      <c r="G1939" s="148">
        <v>1</v>
      </c>
      <c r="H1939" s="61" t="s">
        <v>39</v>
      </c>
      <c r="I1939" s="168" t="s">
        <v>535</v>
      </c>
      <c r="J1939" s="86" t="s">
        <v>501</v>
      </c>
      <c r="K1939" s="61" t="s">
        <v>1214</v>
      </c>
      <c r="L1939" s="159"/>
      <c r="M1939" s="169"/>
    </row>
    <row r="1940" spans="1:13" x14ac:dyDescent="0.55000000000000004">
      <c r="A1940" s="106" t="s">
        <v>525</v>
      </c>
      <c r="B1940" s="61" t="s">
        <v>504</v>
      </c>
      <c r="C1940" s="61" t="s">
        <v>127</v>
      </c>
      <c r="D1940" s="61" t="s">
        <v>2994</v>
      </c>
      <c r="E1940" s="119">
        <v>0</v>
      </c>
      <c r="F1940" s="148" t="s">
        <v>167</v>
      </c>
      <c r="G1940" s="148">
        <v>1</v>
      </c>
      <c r="H1940" s="61" t="s">
        <v>39</v>
      </c>
      <c r="I1940" s="168" t="s">
        <v>535</v>
      </c>
      <c r="J1940" s="86" t="s">
        <v>501</v>
      </c>
      <c r="K1940" s="61" t="s">
        <v>1214</v>
      </c>
      <c r="L1940" s="159"/>
      <c r="M1940" s="169"/>
    </row>
    <row r="1941" spans="1:13" x14ac:dyDescent="0.55000000000000004">
      <c r="A1941" s="106" t="s">
        <v>525</v>
      </c>
      <c r="B1941" s="61" t="s">
        <v>506</v>
      </c>
      <c r="C1941" s="61" t="s">
        <v>127</v>
      </c>
      <c r="D1941" s="61" t="s">
        <v>2994</v>
      </c>
      <c r="E1941" s="119">
        <v>0</v>
      </c>
      <c r="F1941" s="148" t="s">
        <v>167</v>
      </c>
      <c r="G1941" s="148">
        <v>1</v>
      </c>
      <c r="H1941" s="61" t="s">
        <v>39</v>
      </c>
      <c r="I1941" s="168" t="s">
        <v>535</v>
      </c>
      <c r="J1941" s="86" t="s">
        <v>501</v>
      </c>
      <c r="K1941" s="61" t="s">
        <v>1214</v>
      </c>
      <c r="L1941" s="159"/>
      <c r="M1941" s="169"/>
    </row>
    <row r="1942" spans="1:13" x14ac:dyDescent="0.55000000000000004">
      <c r="A1942" s="106" t="s">
        <v>525</v>
      </c>
      <c r="B1942" s="61" t="s">
        <v>504</v>
      </c>
      <c r="C1942" s="61" t="s">
        <v>507</v>
      </c>
      <c r="D1942" s="61" t="s">
        <v>2994</v>
      </c>
      <c r="E1942" s="119">
        <v>1683</v>
      </c>
      <c r="F1942" s="148" t="s">
        <v>167</v>
      </c>
      <c r="G1942" s="148">
        <v>1</v>
      </c>
      <c r="H1942" s="61" t="s">
        <v>39</v>
      </c>
      <c r="I1942" s="168" t="s">
        <v>535</v>
      </c>
      <c r="J1942" s="86" t="s">
        <v>501</v>
      </c>
      <c r="K1942" s="61" t="s">
        <v>1214</v>
      </c>
      <c r="L1942" s="159"/>
      <c r="M1942" s="169"/>
    </row>
    <row r="1943" spans="1:13" x14ac:dyDescent="0.55000000000000004">
      <c r="A1943" s="106" t="s">
        <v>525</v>
      </c>
      <c r="B1943" s="61" t="s">
        <v>508</v>
      </c>
      <c r="C1943" s="61" t="s">
        <v>127</v>
      </c>
      <c r="D1943" s="61" t="s">
        <v>2994</v>
      </c>
      <c r="E1943" s="119">
        <v>28.992000000000001</v>
      </c>
      <c r="F1943" s="148" t="s">
        <v>167</v>
      </c>
      <c r="G1943" s="148">
        <v>1</v>
      </c>
      <c r="H1943" s="61" t="s">
        <v>39</v>
      </c>
      <c r="I1943" s="168" t="s">
        <v>535</v>
      </c>
      <c r="J1943" s="86" t="s">
        <v>501</v>
      </c>
      <c r="K1943" s="61" t="s">
        <v>1214</v>
      </c>
      <c r="L1943" s="159"/>
      <c r="M1943" s="169"/>
    </row>
    <row r="1944" spans="1:13" x14ac:dyDescent="0.55000000000000004">
      <c r="A1944" s="106" t="s">
        <v>525</v>
      </c>
      <c r="B1944" s="61" t="s">
        <v>510</v>
      </c>
      <c r="C1944" s="61" t="s">
        <v>125</v>
      </c>
      <c r="D1944" s="61" t="s">
        <v>3288</v>
      </c>
      <c r="E1944" s="119">
        <v>9.68</v>
      </c>
      <c r="F1944" s="148" t="s">
        <v>122</v>
      </c>
      <c r="G1944" s="148">
        <v>1</v>
      </c>
      <c r="H1944" s="61" t="s">
        <v>39</v>
      </c>
      <c r="I1944" s="168" t="s">
        <v>535</v>
      </c>
      <c r="J1944" s="86" t="s">
        <v>501</v>
      </c>
      <c r="K1944" s="61" t="s">
        <v>1214</v>
      </c>
      <c r="L1944" s="159"/>
      <c r="M1944" s="169"/>
    </row>
    <row r="1945" spans="1:13" x14ac:dyDescent="0.55000000000000004">
      <c r="A1945" s="106" t="s">
        <v>525</v>
      </c>
      <c r="B1945" s="61" t="s">
        <v>527</v>
      </c>
      <c r="C1945" s="61" t="s">
        <v>125</v>
      </c>
      <c r="D1945" s="61" t="s">
        <v>3288</v>
      </c>
      <c r="E1945" s="119">
        <v>21.14</v>
      </c>
      <c r="F1945" s="148" t="s">
        <v>122</v>
      </c>
      <c r="G1945" s="148">
        <v>1</v>
      </c>
      <c r="H1945" s="61" t="s">
        <v>39</v>
      </c>
      <c r="I1945" s="168" t="s">
        <v>535</v>
      </c>
      <c r="J1945" s="86" t="s">
        <v>501</v>
      </c>
      <c r="K1945" s="61" t="s">
        <v>1214</v>
      </c>
      <c r="L1945" s="159"/>
      <c r="M1945" s="169"/>
    </row>
    <row r="1946" spans="1:13" x14ac:dyDescent="0.55000000000000004">
      <c r="A1946" s="106" t="s">
        <v>525</v>
      </c>
      <c r="B1946" s="61" t="s">
        <v>517</v>
      </c>
      <c r="C1946" s="61" t="s">
        <v>125</v>
      </c>
      <c r="D1946" s="61" t="s">
        <v>3288</v>
      </c>
      <c r="E1946" s="119">
        <v>0</v>
      </c>
      <c r="F1946" s="148" t="s">
        <v>122</v>
      </c>
      <c r="G1946" s="148">
        <v>1</v>
      </c>
      <c r="H1946" s="61" t="s">
        <v>39</v>
      </c>
      <c r="I1946" s="168" t="s">
        <v>535</v>
      </c>
      <c r="J1946" s="86" t="s">
        <v>501</v>
      </c>
      <c r="K1946" s="61" t="s">
        <v>1214</v>
      </c>
      <c r="L1946" s="159"/>
      <c r="M1946" s="169"/>
    </row>
    <row r="1947" spans="1:13" x14ac:dyDescent="0.55000000000000004">
      <c r="A1947" s="106" t="s">
        <v>525</v>
      </c>
      <c r="B1947" s="61" t="s">
        <v>160</v>
      </c>
      <c r="C1947" s="61" t="s">
        <v>497</v>
      </c>
      <c r="D1947" s="61" t="s">
        <v>3288</v>
      </c>
      <c r="E1947" s="119">
        <v>31.311857140000001</v>
      </c>
      <c r="F1947" s="148" t="s">
        <v>122</v>
      </c>
      <c r="G1947" s="148">
        <v>1</v>
      </c>
      <c r="H1947" s="61" t="s">
        <v>39</v>
      </c>
      <c r="I1947" s="168" t="s">
        <v>535</v>
      </c>
      <c r="J1947" s="86" t="s">
        <v>501</v>
      </c>
      <c r="K1947" s="61" t="s">
        <v>1214</v>
      </c>
      <c r="L1947" s="159"/>
      <c r="M1947" s="169"/>
    </row>
    <row r="1948" spans="1:13" x14ac:dyDescent="0.55000000000000004">
      <c r="A1948" s="106" t="s">
        <v>525</v>
      </c>
      <c r="B1948" s="61" t="s">
        <v>160</v>
      </c>
      <c r="C1948" s="61" t="s">
        <v>512</v>
      </c>
      <c r="D1948" s="61" t="s">
        <v>3288</v>
      </c>
      <c r="E1948" s="119">
        <v>168.3</v>
      </c>
      <c r="F1948" s="148" t="s">
        <v>122</v>
      </c>
      <c r="G1948" s="148">
        <v>1</v>
      </c>
      <c r="H1948" s="61" t="s">
        <v>39</v>
      </c>
      <c r="I1948" s="168" t="s">
        <v>535</v>
      </c>
      <c r="J1948" s="86" t="s">
        <v>501</v>
      </c>
      <c r="K1948" s="61" t="s">
        <v>1214</v>
      </c>
      <c r="L1948" s="159"/>
      <c r="M1948" s="169"/>
    </row>
    <row r="1949" spans="1:13" x14ac:dyDescent="0.55000000000000004">
      <c r="A1949" s="106" t="s">
        <v>523</v>
      </c>
      <c r="B1949" s="61" t="s">
        <v>524</v>
      </c>
      <c r="C1949" s="61" t="s">
        <v>121</v>
      </c>
      <c r="D1949" s="61" t="s">
        <v>3288</v>
      </c>
      <c r="E1949" s="119">
        <v>1</v>
      </c>
      <c r="F1949" s="148" t="s">
        <v>133</v>
      </c>
      <c r="G1949" s="148">
        <v>1</v>
      </c>
      <c r="H1949" s="61" t="s">
        <v>39</v>
      </c>
      <c r="I1949" s="168" t="s">
        <v>535</v>
      </c>
      <c r="J1949" s="86" t="s">
        <v>501</v>
      </c>
      <c r="K1949" s="61" t="s">
        <v>1214</v>
      </c>
      <c r="L1949" s="159">
        <v>4407</v>
      </c>
      <c r="M1949" s="169"/>
    </row>
    <row r="1950" spans="1:13" x14ac:dyDescent="0.55000000000000004">
      <c r="A1950" s="106" t="s">
        <v>523</v>
      </c>
      <c r="B1950" s="61" t="s">
        <v>502</v>
      </c>
      <c r="C1950" s="61" t="s">
        <v>156</v>
      </c>
      <c r="D1950" s="61" t="s">
        <v>3288</v>
      </c>
      <c r="E1950" s="119">
        <v>1.06</v>
      </c>
      <c r="F1950" s="148" t="s">
        <v>133</v>
      </c>
      <c r="G1950" s="148">
        <v>1</v>
      </c>
      <c r="H1950" s="61" t="s">
        <v>39</v>
      </c>
      <c r="I1950" s="168" t="s">
        <v>535</v>
      </c>
      <c r="J1950" s="86" t="s">
        <v>501</v>
      </c>
      <c r="K1950" s="61" t="s">
        <v>1214</v>
      </c>
      <c r="L1950" s="159"/>
      <c r="M1950" s="169"/>
    </row>
    <row r="1951" spans="1:13" x14ac:dyDescent="0.55000000000000004">
      <c r="A1951" s="106" t="s">
        <v>523</v>
      </c>
      <c r="B1951" s="61" t="s">
        <v>503</v>
      </c>
      <c r="C1951" s="61" t="s">
        <v>125</v>
      </c>
      <c r="D1951" s="61" t="s">
        <v>3288</v>
      </c>
      <c r="E1951" s="119">
        <v>2.06</v>
      </c>
      <c r="F1951" s="148" t="s">
        <v>133</v>
      </c>
      <c r="G1951" s="148">
        <v>1</v>
      </c>
      <c r="H1951" s="61" t="s">
        <v>39</v>
      </c>
      <c r="I1951" s="168" t="s">
        <v>535</v>
      </c>
      <c r="J1951" s="86" t="s">
        <v>501</v>
      </c>
      <c r="K1951" s="61" t="s">
        <v>1214</v>
      </c>
      <c r="L1951" s="159"/>
      <c r="M1951" s="169"/>
    </row>
    <row r="1952" spans="1:13" x14ac:dyDescent="0.55000000000000004">
      <c r="A1952" s="106" t="s">
        <v>523</v>
      </c>
      <c r="B1952" s="61" t="s">
        <v>520</v>
      </c>
      <c r="C1952" s="61" t="s">
        <v>125</v>
      </c>
      <c r="D1952" s="61" t="s">
        <v>3288</v>
      </c>
      <c r="E1952" s="119">
        <v>0</v>
      </c>
      <c r="F1952" s="148" t="s">
        <v>133</v>
      </c>
      <c r="G1952" s="148">
        <v>1</v>
      </c>
      <c r="H1952" s="61" t="s">
        <v>39</v>
      </c>
      <c r="I1952" s="168" t="s">
        <v>535</v>
      </c>
      <c r="J1952" s="86" t="s">
        <v>501</v>
      </c>
      <c r="K1952" s="61" t="s">
        <v>1187</v>
      </c>
      <c r="L1952" s="159"/>
      <c r="M1952" s="169"/>
    </row>
    <row r="1953" spans="1:13" x14ac:dyDescent="0.55000000000000004">
      <c r="A1953" s="106" t="s">
        <v>523</v>
      </c>
      <c r="B1953" s="61" t="s">
        <v>153</v>
      </c>
      <c r="C1953" s="61" t="s">
        <v>127</v>
      </c>
      <c r="D1953" s="61" t="s">
        <v>2994</v>
      </c>
      <c r="E1953" s="119">
        <v>118.762</v>
      </c>
      <c r="F1953" s="148" t="s">
        <v>130</v>
      </c>
      <c r="G1953" s="148">
        <v>1</v>
      </c>
      <c r="H1953" s="61" t="s">
        <v>39</v>
      </c>
      <c r="I1953" s="168" t="s">
        <v>535</v>
      </c>
      <c r="J1953" s="86" t="s">
        <v>501</v>
      </c>
      <c r="K1953" s="61" t="s">
        <v>1187</v>
      </c>
      <c r="L1953" s="159"/>
      <c r="M1953" s="169"/>
    </row>
    <row r="1954" spans="1:13" x14ac:dyDescent="0.55000000000000004">
      <c r="A1954" s="106" t="s">
        <v>523</v>
      </c>
      <c r="B1954" s="61" t="s">
        <v>171</v>
      </c>
      <c r="C1954" s="61" t="s">
        <v>127</v>
      </c>
      <c r="D1954" s="61" t="s">
        <v>2994</v>
      </c>
      <c r="E1954" s="119">
        <v>0</v>
      </c>
      <c r="F1954" s="148" t="s">
        <v>167</v>
      </c>
      <c r="G1954" s="148">
        <v>1</v>
      </c>
      <c r="H1954" s="61" t="s">
        <v>39</v>
      </c>
      <c r="I1954" s="168" t="s">
        <v>535</v>
      </c>
      <c r="J1954" s="86" t="s">
        <v>501</v>
      </c>
      <c r="K1954" s="61" t="s">
        <v>1218</v>
      </c>
      <c r="L1954" s="159"/>
      <c r="M1954" s="169"/>
    </row>
    <row r="1955" spans="1:13" x14ac:dyDescent="0.55000000000000004">
      <c r="A1955" s="106" t="s">
        <v>523</v>
      </c>
      <c r="B1955" s="61" t="s">
        <v>505</v>
      </c>
      <c r="C1955" s="61" t="s">
        <v>127</v>
      </c>
      <c r="D1955" s="61" t="s">
        <v>2994</v>
      </c>
      <c r="E1955" s="119">
        <v>0</v>
      </c>
      <c r="F1955" s="148" t="s">
        <v>167</v>
      </c>
      <c r="G1955" s="148">
        <v>1</v>
      </c>
      <c r="H1955" s="61" t="s">
        <v>39</v>
      </c>
      <c r="I1955" s="168" t="s">
        <v>535</v>
      </c>
      <c r="J1955" s="86" t="s">
        <v>501</v>
      </c>
      <c r="K1955" s="61" t="s">
        <v>1218</v>
      </c>
      <c r="L1955" s="159"/>
      <c r="M1955" s="169"/>
    </row>
    <row r="1956" spans="1:13" x14ac:dyDescent="0.55000000000000004">
      <c r="A1956" s="106" t="s">
        <v>523</v>
      </c>
      <c r="B1956" s="61" t="s">
        <v>504</v>
      </c>
      <c r="C1956" s="61" t="s">
        <v>127</v>
      </c>
      <c r="D1956" s="61" t="s">
        <v>2994</v>
      </c>
      <c r="E1956" s="119">
        <v>0</v>
      </c>
      <c r="F1956" s="148" t="s">
        <v>167</v>
      </c>
      <c r="G1956" s="148">
        <v>1</v>
      </c>
      <c r="H1956" s="61" t="s">
        <v>39</v>
      </c>
      <c r="I1956" s="168" t="s">
        <v>535</v>
      </c>
      <c r="J1956" s="86" t="s">
        <v>501</v>
      </c>
      <c r="K1956" s="61" t="s">
        <v>1218</v>
      </c>
      <c r="L1956" s="159"/>
      <c r="M1956" s="169"/>
    </row>
    <row r="1957" spans="1:13" x14ac:dyDescent="0.55000000000000004">
      <c r="A1957" s="106" t="s">
        <v>523</v>
      </c>
      <c r="B1957" s="61" t="s">
        <v>506</v>
      </c>
      <c r="C1957" s="61" t="s">
        <v>127</v>
      </c>
      <c r="D1957" s="61" t="s">
        <v>2994</v>
      </c>
      <c r="E1957" s="119">
        <v>497.16699999999997</v>
      </c>
      <c r="F1957" s="148" t="s">
        <v>167</v>
      </c>
      <c r="G1957" s="148">
        <v>1</v>
      </c>
      <c r="H1957" s="61" t="s">
        <v>39</v>
      </c>
      <c r="I1957" s="168" t="s">
        <v>535</v>
      </c>
      <c r="J1957" s="86" t="s">
        <v>501</v>
      </c>
      <c r="K1957" s="61" t="s">
        <v>1218</v>
      </c>
      <c r="L1957" s="159"/>
      <c r="M1957" s="169"/>
    </row>
    <row r="1958" spans="1:13" x14ac:dyDescent="0.55000000000000004">
      <c r="A1958" s="106" t="s">
        <v>523</v>
      </c>
      <c r="B1958" s="61" t="s">
        <v>504</v>
      </c>
      <c r="C1958" s="61" t="s">
        <v>507</v>
      </c>
      <c r="D1958" s="61" t="s">
        <v>2994</v>
      </c>
      <c r="E1958" s="119">
        <v>1900.691</v>
      </c>
      <c r="F1958" s="148" t="s">
        <v>167</v>
      </c>
      <c r="G1958" s="148">
        <v>1</v>
      </c>
      <c r="H1958" s="61" t="s">
        <v>39</v>
      </c>
      <c r="I1958" s="168" t="s">
        <v>535</v>
      </c>
      <c r="J1958" s="86" t="s">
        <v>501</v>
      </c>
      <c r="K1958" s="61" t="s">
        <v>1218</v>
      </c>
      <c r="L1958" s="159"/>
      <c r="M1958" s="169"/>
    </row>
    <row r="1959" spans="1:13" x14ac:dyDescent="0.55000000000000004">
      <c r="A1959" s="106" t="s">
        <v>523</v>
      </c>
      <c r="B1959" s="61" t="s">
        <v>508</v>
      </c>
      <c r="C1959" s="61" t="s">
        <v>127</v>
      </c>
      <c r="D1959" s="61" t="s">
        <v>2994</v>
      </c>
      <c r="E1959" s="119">
        <v>75.408000000000001</v>
      </c>
      <c r="F1959" s="148" t="s">
        <v>167</v>
      </c>
      <c r="G1959" s="148">
        <v>1</v>
      </c>
      <c r="H1959" s="61" t="s">
        <v>39</v>
      </c>
      <c r="I1959" s="168" t="s">
        <v>535</v>
      </c>
      <c r="J1959" s="86" t="s">
        <v>501</v>
      </c>
      <c r="K1959" s="61" t="s">
        <v>1218</v>
      </c>
      <c r="L1959" s="159"/>
      <c r="M1959" s="169"/>
    </row>
    <row r="1960" spans="1:13" x14ac:dyDescent="0.55000000000000004">
      <c r="A1960" s="106" t="s">
        <v>523</v>
      </c>
      <c r="B1960" s="61" t="s">
        <v>160</v>
      </c>
      <c r="C1960" s="61" t="s">
        <v>497</v>
      </c>
      <c r="D1960" s="61" t="s">
        <v>3288</v>
      </c>
      <c r="E1960" s="119">
        <v>5.3862857139999996</v>
      </c>
      <c r="F1960" s="148" t="s">
        <v>122</v>
      </c>
      <c r="G1960" s="148">
        <v>1</v>
      </c>
      <c r="H1960" s="61" t="s">
        <v>39</v>
      </c>
      <c r="I1960" s="168" t="s">
        <v>535</v>
      </c>
      <c r="J1960" s="86" t="s">
        <v>501</v>
      </c>
      <c r="K1960" s="61" t="s">
        <v>1218</v>
      </c>
      <c r="L1960" s="159"/>
      <c r="M1960" s="169"/>
    </row>
    <row r="1961" spans="1:13" x14ac:dyDescent="0.55000000000000004">
      <c r="A1961" s="106" t="s">
        <v>523</v>
      </c>
      <c r="B1961" s="61" t="s">
        <v>160</v>
      </c>
      <c r="C1961" s="61" t="s">
        <v>512</v>
      </c>
      <c r="D1961" s="61" t="s">
        <v>3288</v>
      </c>
      <c r="E1961" s="119">
        <v>239.78579999999999</v>
      </c>
      <c r="F1961" s="148" t="s">
        <v>122</v>
      </c>
      <c r="G1961" s="148">
        <v>1</v>
      </c>
      <c r="H1961" s="61" t="s">
        <v>39</v>
      </c>
      <c r="I1961" s="168" t="s">
        <v>535</v>
      </c>
      <c r="J1961" s="86" t="s">
        <v>501</v>
      </c>
      <c r="K1961" s="61" t="s">
        <v>1218</v>
      </c>
      <c r="L1961" s="159"/>
      <c r="M1961" s="169"/>
    </row>
    <row r="1962" spans="1:13" x14ac:dyDescent="0.55000000000000004">
      <c r="A1962" s="106" t="s">
        <v>521</v>
      </c>
      <c r="B1962" s="61" t="s">
        <v>522</v>
      </c>
      <c r="C1962" s="61" t="s">
        <v>121</v>
      </c>
      <c r="D1962" s="61" t="s">
        <v>3288</v>
      </c>
      <c r="E1962" s="119">
        <v>1</v>
      </c>
      <c r="F1962" s="148" t="s">
        <v>133</v>
      </c>
      <c r="G1962" s="148">
        <v>1</v>
      </c>
      <c r="H1962" s="61" t="s">
        <v>39</v>
      </c>
      <c r="I1962" s="168" t="s">
        <v>535</v>
      </c>
      <c r="J1962" s="86" t="s">
        <v>501</v>
      </c>
      <c r="K1962" s="61" t="s">
        <v>1218</v>
      </c>
      <c r="L1962" s="159">
        <v>4407</v>
      </c>
      <c r="M1962" s="169"/>
    </row>
    <row r="1963" spans="1:13" x14ac:dyDescent="0.55000000000000004">
      <c r="A1963" s="106" t="s">
        <v>521</v>
      </c>
      <c r="B1963" s="61" t="s">
        <v>502</v>
      </c>
      <c r="C1963" s="61" t="s">
        <v>156</v>
      </c>
      <c r="D1963" s="61" t="s">
        <v>3288</v>
      </c>
      <c r="E1963" s="119">
        <v>0.82</v>
      </c>
      <c r="F1963" s="148" t="s">
        <v>133</v>
      </c>
      <c r="G1963" s="148">
        <v>1</v>
      </c>
      <c r="H1963" s="61" t="s">
        <v>39</v>
      </c>
      <c r="I1963" s="168" t="s">
        <v>535</v>
      </c>
      <c r="J1963" s="86" t="s">
        <v>501</v>
      </c>
      <c r="K1963" s="61" t="s">
        <v>1218</v>
      </c>
      <c r="L1963" s="159"/>
      <c r="M1963" s="169"/>
    </row>
    <row r="1964" spans="1:13" x14ac:dyDescent="0.55000000000000004">
      <c r="A1964" s="106" t="s">
        <v>521</v>
      </c>
      <c r="B1964" s="61" t="s">
        <v>503</v>
      </c>
      <c r="C1964" s="61" t="s">
        <v>125</v>
      </c>
      <c r="D1964" s="61" t="s">
        <v>3288</v>
      </c>
      <c r="E1964" s="119">
        <v>1.7549999999999999</v>
      </c>
      <c r="F1964" s="148" t="s">
        <v>133</v>
      </c>
      <c r="G1964" s="148">
        <v>1</v>
      </c>
      <c r="H1964" s="61" t="s">
        <v>39</v>
      </c>
      <c r="I1964" s="168" t="s">
        <v>535</v>
      </c>
      <c r="J1964" s="86" t="s">
        <v>501</v>
      </c>
      <c r="K1964" s="61" t="s">
        <v>1218</v>
      </c>
      <c r="L1964" s="159"/>
      <c r="M1964" s="169"/>
    </row>
    <row r="1965" spans="1:13" x14ac:dyDescent="0.55000000000000004">
      <c r="A1965" s="106" t="s">
        <v>521</v>
      </c>
      <c r="B1965" s="61" t="s">
        <v>520</v>
      </c>
      <c r="C1965" s="61" t="s">
        <v>125</v>
      </c>
      <c r="D1965" s="61" t="s">
        <v>3288</v>
      </c>
      <c r="E1965" s="119">
        <v>6.5000000000000002E-2</v>
      </c>
      <c r="F1965" s="148" t="s">
        <v>133</v>
      </c>
      <c r="G1965" s="148">
        <v>1</v>
      </c>
      <c r="H1965" s="61" t="s">
        <v>39</v>
      </c>
      <c r="I1965" s="168" t="s">
        <v>535</v>
      </c>
      <c r="J1965" s="86" t="s">
        <v>501</v>
      </c>
      <c r="K1965" s="61" t="s">
        <v>1218</v>
      </c>
      <c r="L1965" s="159"/>
      <c r="M1965" s="169"/>
    </row>
    <row r="1966" spans="1:13" x14ac:dyDescent="0.55000000000000004">
      <c r="A1966" s="106" t="s">
        <v>521</v>
      </c>
      <c r="B1966" s="61" t="s">
        <v>153</v>
      </c>
      <c r="C1966" s="61" t="s">
        <v>127</v>
      </c>
      <c r="D1966" s="61" t="s">
        <v>2994</v>
      </c>
      <c r="E1966" s="119">
        <v>21.77</v>
      </c>
      <c r="F1966" s="148" t="s">
        <v>130</v>
      </c>
      <c r="G1966" s="148">
        <v>1</v>
      </c>
      <c r="H1966" s="61" t="s">
        <v>39</v>
      </c>
      <c r="I1966" s="168" t="s">
        <v>535</v>
      </c>
      <c r="J1966" s="86" t="s">
        <v>501</v>
      </c>
      <c r="K1966" s="61" t="s">
        <v>1218</v>
      </c>
      <c r="L1966" s="159"/>
      <c r="M1966" s="169"/>
    </row>
    <row r="1967" spans="1:13" x14ac:dyDescent="0.55000000000000004">
      <c r="A1967" s="106" t="s">
        <v>521</v>
      </c>
      <c r="B1967" s="61" t="s">
        <v>171</v>
      </c>
      <c r="C1967" s="61" t="s">
        <v>127</v>
      </c>
      <c r="D1967" s="61" t="s">
        <v>2994</v>
      </c>
      <c r="E1967" s="119">
        <v>0</v>
      </c>
      <c r="F1967" s="148" t="s">
        <v>167</v>
      </c>
      <c r="G1967" s="148">
        <v>1</v>
      </c>
      <c r="H1967" s="61" t="s">
        <v>39</v>
      </c>
      <c r="I1967" s="168" t="s">
        <v>535</v>
      </c>
      <c r="J1967" s="86" t="s">
        <v>501</v>
      </c>
      <c r="K1967" s="61" t="s">
        <v>1218</v>
      </c>
      <c r="L1967" s="159"/>
      <c r="M1967" s="169"/>
    </row>
    <row r="1968" spans="1:13" x14ac:dyDescent="0.55000000000000004">
      <c r="A1968" s="106" t="s">
        <v>521</v>
      </c>
      <c r="B1968" s="61" t="s">
        <v>508</v>
      </c>
      <c r="C1968" s="61" t="s">
        <v>127</v>
      </c>
      <c r="D1968" s="61" t="s">
        <v>2994</v>
      </c>
      <c r="E1968" s="119">
        <v>39.456000000000003</v>
      </c>
      <c r="F1968" s="148" t="s">
        <v>167</v>
      </c>
      <c r="G1968" s="148">
        <v>1</v>
      </c>
      <c r="H1968" s="61" t="s">
        <v>39</v>
      </c>
      <c r="I1968" s="168" t="s">
        <v>535</v>
      </c>
      <c r="J1968" s="86" t="s">
        <v>501</v>
      </c>
      <c r="K1968" s="61" t="s">
        <v>1218</v>
      </c>
      <c r="L1968" s="159"/>
      <c r="M1968" s="169"/>
    </row>
    <row r="1969" spans="1:13" x14ac:dyDescent="0.55000000000000004">
      <c r="A1969" s="106" t="s">
        <v>521</v>
      </c>
      <c r="B1969" s="61" t="s">
        <v>160</v>
      </c>
      <c r="C1969" s="61" t="s">
        <v>497</v>
      </c>
      <c r="D1969" s="61" t="s">
        <v>3288</v>
      </c>
      <c r="E1969" s="119">
        <v>2.8182857139999999</v>
      </c>
      <c r="F1969" s="148" t="s">
        <v>122</v>
      </c>
      <c r="G1969" s="148">
        <v>1</v>
      </c>
      <c r="H1969" s="61" t="s">
        <v>39</v>
      </c>
      <c r="I1969" s="168" t="s">
        <v>535</v>
      </c>
      <c r="J1969" s="86" t="s">
        <v>501</v>
      </c>
      <c r="K1969" s="61" t="s">
        <v>1187</v>
      </c>
      <c r="L1969" s="159"/>
      <c r="M1969" s="169"/>
    </row>
    <row r="1970" spans="1:13" x14ac:dyDescent="0.55000000000000004">
      <c r="A1970" s="106" t="s">
        <v>521</v>
      </c>
      <c r="B1970" s="61" t="s">
        <v>160</v>
      </c>
      <c r="C1970" s="61" t="s">
        <v>512</v>
      </c>
      <c r="D1970" s="61" t="s">
        <v>3288</v>
      </c>
      <c r="E1970" s="119">
        <v>0</v>
      </c>
      <c r="F1970" s="148" t="s">
        <v>122</v>
      </c>
      <c r="G1970" s="148">
        <v>1</v>
      </c>
      <c r="H1970" s="61" t="s">
        <v>39</v>
      </c>
      <c r="I1970" s="168" t="s">
        <v>535</v>
      </c>
      <c r="J1970" s="86" t="s">
        <v>501</v>
      </c>
      <c r="K1970" s="61" t="s">
        <v>1187</v>
      </c>
      <c r="L1970" s="159"/>
      <c r="M1970" s="169"/>
    </row>
    <row r="1971" spans="1:13" x14ac:dyDescent="0.55000000000000004">
      <c r="A1971" s="106" t="s">
        <v>518</v>
      </c>
      <c r="B1971" s="61" t="s">
        <v>519</v>
      </c>
      <c r="C1971" s="61" t="s">
        <v>121</v>
      </c>
      <c r="D1971" s="61" t="s">
        <v>3288</v>
      </c>
      <c r="E1971" s="119">
        <v>1</v>
      </c>
      <c r="F1971" s="148" t="s">
        <v>133</v>
      </c>
      <c r="G1971" s="148">
        <v>1</v>
      </c>
      <c r="H1971" s="61" t="s">
        <v>39</v>
      </c>
      <c r="I1971" s="168" t="s">
        <v>535</v>
      </c>
      <c r="J1971" s="86" t="s">
        <v>501</v>
      </c>
      <c r="K1971" s="61" t="s">
        <v>1221</v>
      </c>
      <c r="L1971" s="159">
        <v>4407</v>
      </c>
      <c r="M1971" s="169"/>
    </row>
    <row r="1972" spans="1:13" x14ac:dyDescent="0.55000000000000004">
      <c r="A1972" s="106" t="s">
        <v>518</v>
      </c>
      <c r="B1972" s="61" t="s">
        <v>502</v>
      </c>
      <c r="C1972" s="61" t="s">
        <v>156</v>
      </c>
      <c r="D1972" s="61" t="s">
        <v>3288</v>
      </c>
      <c r="E1972" s="119">
        <v>1.04</v>
      </c>
      <c r="F1972" s="148" t="s">
        <v>133</v>
      </c>
      <c r="G1972" s="148">
        <v>1</v>
      </c>
      <c r="H1972" s="61" t="s">
        <v>39</v>
      </c>
      <c r="I1972" s="168" t="s">
        <v>535</v>
      </c>
      <c r="J1972" s="86" t="s">
        <v>501</v>
      </c>
      <c r="K1972" s="61" t="s">
        <v>1221</v>
      </c>
      <c r="L1972" s="159"/>
      <c r="M1972" s="169"/>
    </row>
    <row r="1973" spans="1:13" x14ac:dyDescent="0.55000000000000004">
      <c r="A1973" s="106" t="s">
        <v>518</v>
      </c>
      <c r="B1973" s="61" t="s">
        <v>503</v>
      </c>
      <c r="C1973" s="61" t="s">
        <v>125</v>
      </c>
      <c r="D1973" s="61" t="s">
        <v>3288</v>
      </c>
      <c r="E1973" s="119">
        <v>1.9910000000000001</v>
      </c>
      <c r="F1973" s="148" t="s">
        <v>133</v>
      </c>
      <c r="G1973" s="148">
        <v>1</v>
      </c>
      <c r="H1973" s="61" t="s">
        <v>39</v>
      </c>
      <c r="I1973" s="168" t="s">
        <v>535</v>
      </c>
      <c r="J1973" s="86" t="s">
        <v>501</v>
      </c>
      <c r="K1973" s="61" t="s">
        <v>1221</v>
      </c>
      <c r="L1973" s="159"/>
      <c r="M1973" s="169"/>
    </row>
    <row r="1974" spans="1:13" x14ac:dyDescent="0.55000000000000004">
      <c r="A1974" s="106" t="s">
        <v>518</v>
      </c>
      <c r="B1974" s="61" t="s">
        <v>520</v>
      </c>
      <c r="C1974" s="61" t="s">
        <v>125</v>
      </c>
      <c r="D1974" s="61" t="s">
        <v>3288</v>
      </c>
      <c r="E1974" s="119">
        <v>0.05</v>
      </c>
      <c r="F1974" s="148" t="s">
        <v>133</v>
      </c>
      <c r="G1974" s="148">
        <v>1</v>
      </c>
      <c r="H1974" s="61" t="s">
        <v>39</v>
      </c>
      <c r="I1974" s="168" t="s">
        <v>535</v>
      </c>
      <c r="J1974" s="86" t="s">
        <v>501</v>
      </c>
      <c r="K1974" s="61" t="s">
        <v>1221</v>
      </c>
      <c r="L1974" s="159"/>
      <c r="M1974" s="169"/>
    </row>
    <row r="1975" spans="1:13" x14ac:dyDescent="0.55000000000000004">
      <c r="A1975" s="106" t="s">
        <v>518</v>
      </c>
      <c r="B1975" s="61" t="s">
        <v>153</v>
      </c>
      <c r="C1975" s="61" t="s">
        <v>127</v>
      </c>
      <c r="D1975" s="61" t="s">
        <v>2994</v>
      </c>
      <c r="E1975" s="119">
        <v>43.411000000000001</v>
      </c>
      <c r="F1975" s="148" t="s">
        <v>130</v>
      </c>
      <c r="G1975" s="148">
        <v>1</v>
      </c>
      <c r="H1975" s="61" t="s">
        <v>39</v>
      </c>
      <c r="I1975" s="168" t="s">
        <v>535</v>
      </c>
      <c r="J1975" s="86" t="s">
        <v>501</v>
      </c>
      <c r="K1975" s="61" t="s">
        <v>1221</v>
      </c>
      <c r="L1975" s="159"/>
      <c r="M1975" s="169"/>
    </row>
    <row r="1976" spans="1:13" x14ac:dyDescent="0.55000000000000004">
      <c r="A1976" s="106" t="s">
        <v>518</v>
      </c>
      <c r="B1976" s="61" t="s">
        <v>171</v>
      </c>
      <c r="C1976" s="61" t="s">
        <v>127</v>
      </c>
      <c r="D1976" s="61" t="s">
        <v>2994</v>
      </c>
      <c r="E1976" s="119">
        <v>3.4000000000000002E-2</v>
      </c>
      <c r="F1976" s="148" t="s">
        <v>167</v>
      </c>
      <c r="G1976" s="148">
        <v>1</v>
      </c>
      <c r="H1976" s="61" t="s">
        <v>39</v>
      </c>
      <c r="I1976" s="168" t="s">
        <v>535</v>
      </c>
      <c r="J1976" s="86" t="s">
        <v>501</v>
      </c>
      <c r="K1976" s="61" t="s">
        <v>1221</v>
      </c>
      <c r="L1976" s="159"/>
      <c r="M1976" s="169"/>
    </row>
    <row r="1977" spans="1:13" x14ac:dyDescent="0.55000000000000004">
      <c r="A1977" s="106" t="s">
        <v>518</v>
      </c>
      <c r="B1977" s="61" t="s">
        <v>505</v>
      </c>
      <c r="C1977" s="61" t="s">
        <v>127</v>
      </c>
      <c r="D1977" s="61" t="s">
        <v>2994</v>
      </c>
      <c r="E1977" s="119">
        <v>5.3810000000000002</v>
      </c>
      <c r="F1977" s="148" t="s">
        <v>167</v>
      </c>
      <c r="G1977" s="148">
        <v>1</v>
      </c>
      <c r="H1977" s="61" t="s">
        <v>39</v>
      </c>
      <c r="I1977" s="168" t="s">
        <v>535</v>
      </c>
      <c r="J1977" s="86" t="s">
        <v>501</v>
      </c>
      <c r="K1977" s="61" t="s">
        <v>1221</v>
      </c>
      <c r="L1977" s="159"/>
      <c r="M1977" s="169"/>
    </row>
    <row r="1978" spans="1:13" x14ac:dyDescent="0.55000000000000004">
      <c r="A1978" s="106" t="s">
        <v>518</v>
      </c>
      <c r="B1978" s="61" t="s">
        <v>504</v>
      </c>
      <c r="C1978" s="61" t="s">
        <v>127</v>
      </c>
      <c r="D1978" s="61" t="s">
        <v>2994</v>
      </c>
      <c r="E1978" s="119">
        <v>161.09700000000001</v>
      </c>
      <c r="F1978" s="148" t="s">
        <v>167</v>
      </c>
      <c r="G1978" s="148">
        <v>1</v>
      </c>
      <c r="H1978" s="61" t="s">
        <v>39</v>
      </c>
      <c r="I1978" s="168" t="s">
        <v>535</v>
      </c>
      <c r="J1978" s="86" t="s">
        <v>501</v>
      </c>
      <c r="K1978" s="61" t="s">
        <v>1221</v>
      </c>
      <c r="L1978" s="159"/>
      <c r="M1978" s="169"/>
    </row>
    <row r="1979" spans="1:13" x14ac:dyDescent="0.55000000000000004">
      <c r="A1979" s="106" t="s">
        <v>518</v>
      </c>
      <c r="B1979" s="61" t="s">
        <v>506</v>
      </c>
      <c r="C1979" s="61" t="s">
        <v>127</v>
      </c>
      <c r="D1979" s="61" t="s">
        <v>2994</v>
      </c>
      <c r="E1979" s="119">
        <v>47.854999999999997</v>
      </c>
      <c r="F1979" s="148" t="s">
        <v>167</v>
      </c>
      <c r="G1979" s="148">
        <v>1</v>
      </c>
      <c r="H1979" s="61" t="s">
        <v>39</v>
      </c>
      <c r="I1979" s="168" t="s">
        <v>535</v>
      </c>
      <c r="J1979" s="86" t="s">
        <v>501</v>
      </c>
      <c r="K1979" s="61" t="s">
        <v>1221</v>
      </c>
      <c r="L1979" s="159"/>
      <c r="M1979" s="169"/>
    </row>
    <row r="1980" spans="1:13" x14ac:dyDescent="0.55000000000000004">
      <c r="A1980" s="106" t="s">
        <v>518</v>
      </c>
      <c r="B1980" s="61" t="s">
        <v>504</v>
      </c>
      <c r="C1980" s="61" t="s">
        <v>507</v>
      </c>
      <c r="D1980" s="61" t="s">
        <v>2994</v>
      </c>
      <c r="E1980" s="119">
        <v>1087.5999999999999</v>
      </c>
      <c r="F1980" s="148" t="s">
        <v>167</v>
      </c>
      <c r="G1980" s="148">
        <v>1</v>
      </c>
      <c r="H1980" s="61" t="s">
        <v>39</v>
      </c>
      <c r="I1980" s="168" t="s">
        <v>535</v>
      </c>
      <c r="J1980" s="86" t="s">
        <v>501</v>
      </c>
      <c r="K1980" s="61" t="s">
        <v>1221</v>
      </c>
      <c r="L1980" s="159"/>
      <c r="M1980" s="169"/>
    </row>
    <row r="1981" spans="1:13" x14ac:dyDescent="0.55000000000000004">
      <c r="A1981" s="106" t="s">
        <v>518</v>
      </c>
      <c r="B1981" s="61" t="s">
        <v>508</v>
      </c>
      <c r="C1981" s="61" t="s">
        <v>127</v>
      </c>
      <c r="D1981" s="61" t="s">
        <v>2994</v>
      </c>
      <c r="E1981" s="119">
        <v>62.064</v>
      </c>
      <c r="F1981" s="148" t="s">
        <v>167</v>
      </c>
      <c r="G1981" s="148">
        <v>1</v>
      </c>
      <c r="H1981" s="61" t="s">
        <v>39</v>
      </c>
      <c r="I1981" s="168" t="s">
        <v>535</v>
      </c>
      <c r="J1981" s="86" t="s">
        <v>501</v>
      </c>
      <c r="K1981" s="61" t="s">
        <v>1221</v>
      </c>
      <c r="L1981" s="159"/>
      <c r="M1981" s="169"/>
    </row>
    <row r="1982" spans="1:13" x14ac:dyDescent="0.55000000000000004">
      <c r="A1982" s="106" t="s">
        <v>518</v>
      </c>
      <c r="B1982" s="61" t="s">
        <v>160</v>
      </c>
      <c r="C1982" s="61" t="s">
        <v>497</v>
      </c>
      <c r="D1982" s="61" t="s">
        <v>3288</v>
      </c>
      <c r="E1982" s="119">
        <v>4.8199285710000002</v>
      </c>
      <c r="F1982" s="148" t="s">
        <v>122</v>
      </c>
      <c r="G1982" s="148">
        <v>1</v>
      </c>
      <c r="H1982" s="61" t="s">
        <v>39</v>
      </c>
      <c r="I1982" s="168" t="s">
        <v>535</v>
      </c>
      <c r="J1982" s="86" t="s">
        <v>501</v>
      </c>
      <c r="K1982" s="61" t="s">
        <v>1221</v>
      </c>
      <c r="L1982" s="159"/>
      <c r="M1982" s="169"/>
    </row>
    <row r="1983" spans="1:13" x14ac:dyDescent="0.55000000000000004">
      <c r="A1983" s="106" t="s">
        <v>518</v>
      </c>
      <c r="B1983" s="61" t="s">
        <v>160</v>
      </c>
      <c r="C1983" s="61" t="s">
        <v>512</v>
      </c>
      <c r="D1983" s="61" t="s">
        <v>3288</v>
      </c>
      <c r="E1983" s="119">
        <v>129.65520000000001</v>
      </c>
      <c r="F1983" s="148" t="s">
        <v>122</v>
      </c>
      <c r="G1983" s="148">
        <v>1</v>
      </c>
      <c r="H1983" s="61" t="s">
        <v>39</v>
      </c>
      <c r="I1983" s="168" t="s">
        <v>535</v>
      </c>
      <c r="J1983" s="86" t="s">
        <v>501</v>
      </c>
      <c r="K1983" s="61" t="s">
        <v>1221</v>
      </c>
      <c r="L1983" s="159"/>
      <c r="M1983" s="169"/>
    </row>
    <row r="1984" spans="1:13" x14ac:dyDescent="0.55000000000000004">
      <c r="A1984" s="106" t="s">
        <v>513</v>
      </c>
      <c r="B1984" s="61" t="s">
        <v>514</v>
      </c>
      <c r="C1984" s="61" t="s">
        <v>121</v>
      </c>
      <c r="D1984" s="61" t="s">
        <v>3288</v>
      </c>
      <c r="E1984" s="119">
        <v>1</v>
      </c>
      <c r="F1984" s="148" t="s">
        <v>133</v>
      </c>
      <c r="G1984" s="148">
        <v>1</v>
      </c>
      <c r="H1984" s="61" t="s">
        <v>39</v>
      </c>
      <c r="I1984" s="168" t="s">
        <v>535</v>
      </c>
      <c r="J1984" s="86" t="s">
        <v>501</v>
      </c>
      <c r="K1984" s="61" t="s">
        <v>1221</v>
      </c>
      <c r="L1984" s="159">
        <v>4407</v>
      </c>
      <c r="M1984" s="169"/>
    </row>
    <row r="1985" spans="1:13" x14ac:dyDescent="0.55000000000000004">
      <c r="A1985" s="106" t="s">
        <v>513</v>
      </c>
      <c r="B1985" s="61" t="s">
        <v>502</v>
      </c>
      <c r="C1985" s="61" t="s">
        <v>156</v>
      </c>
      <c r="D1985" s="61" t="s">
        <v>3288</v>
      </c>
      <c r="E1985" s="119">
        <v>0.45600000000000002</v>
      </c>
      <c r="F1985" s="148" t="s">
        <v>133</v>
      </c>
      <c r="G1985" s="148">
        <v>1</v>
      </c>
      <c r="H1985" s="61" t="s">
        <v>39</v>
      </c>
      <c r="I1985" s="168" t="s">
        <v>535</v>
      </c>
      <c r="J1985" s="86" t="s">
        <v>501</v>
      </c>
      <c r="K1985" s="61" t="s">
        <v>1221</v>
      </c>
      <c r="L1985" s="159"/>
      <c r="M1985" s="169"/>
    </row>
    <row r="1986" spans="1:13" x14ac:dyDescent="0.55000000000000004">
      <c r="A1986" s="106" t="s">
        <v>513</v>
      </c>
      <c r="B1986" s="61" t="s">
        <v>503</v>
      </c>
      <c r="C1986" s="61" t="s">
        <v>125</v>
      </c>
      <c r="D1986" s="61" t="s">
        <v>3288</v>
      </c>
      <c r="E1986" s="119">
        <v>0.52900000000000003</v>
      </c>
      <c r="F1986" s="148" t="s">
        <v>133</v>
      </c>
      <c r="G1986" s="148">
        <v>1</v>
      </c>
      <c r="H1986" s="61" t="s">
        <v>39</v>
      </c>
      <c r="I1986" s="168" t="s">
        <v>535</v>
      </c>
      <c r="J1986" s="86" t="s">
        <v>501</v>
      </c>
      <c r="K1986" s="61" t="s">
        <v>1187</v>
      </c>
      <c r="L1986" s="159"/>
      <c r="M1986" s="169"/>
    </row>
    <row r="1987" spans="1:13" x14ac:dyDescent="0.55000000000000004">
      <c r="A1987" s="106" t="s">
        <v>513</v>
      </c>
      <c r="B1987" s="61" t="s">
        <v>515</v>
      </c>
      <c r="C1987" s="61" t="s">
        <v>125</v>
      </c>
      <c r="D1987" s="61" t="s">
        <v>3288</v>
      </c>
      <c r="E1987" s="119">
        <v>0.379</v>
      </c>
      <c r="F1987" s="148" t="s">
        <v>133</v>
      </c>
      <c r="G1987" s="148">
        <v>1</v>
      </c>
      <c r="H1987" s="61" t="s">
        <v>39</v>
      </c>
      <c r="I1987" s="168" t="s">
        <v>535</v>
      </c>
      <c r="J1987" s="86" t="s">
        <v>501</v>
      </c>
      <c r="K1987" s="61" t="s">
        <v>1187</v>
      </c>
      <c r="L1987" s="159"/>
      <c r="M1987" s="169"/>
    </row>
    <row r="1988" spans="1:13" x14ac:dyDescent="0.55000000000000004">
      <c r="A1988" s="106" t="s">
        <v>513</v>
      </c>
      <c r="B1988" s="61" t="s">
        <v>516</v>
      </c>
      <c r="C1988" s="61" t="s">
        <v>125</v>
      </c>
      <c r="D1988" s="61" t="s">
        <v>3288</v>
      </c>
      <c r="E1988" s="119">
        <v>0.54900000000000004</v>
      </c>
      <c r="F1988" s="148" t="s">
        <v>133</v>
      </c>
      <c r="G1988" s="148">
        <v>1</v>
      </c>
      <c r="H1988" s="61" t="s">
        <v>39</v>
      </c>
      <c r="I1988" s="168" t="s">
        <v>535</v>
      </c>
      <c r="J1988" s="86" t="s">
        <v>501</v>
      </c>
      <c r="K1988" s="61" t="s">
        <v>1226</v>
      </c>
      <c r="L1988" s="159"/>
      <c r="M1988" s="169"/>
    </row>
    <row r="1989" spans="1:13" x14ac:dyDescent="0.55000000000000004">
      <c r="A1989" s="106" t="s">
        <v>513</v>
      </c>
      <c r="B1989" s="61" t="s">
        <v>153</v>
      </c>
      <c r="C1989" s="61" t="s">
        <v>127</v>
      </c>
      <c r="D1989" s="61" t="s">
        <v>2994</v>
      </c>
      <c r="E1989" s="119">
        <v>58.662999999999997</v>
      </c>
      <c r="F1989" s="148" t="s">
        <v>130</v>
      </c>
      <c r="G1989" s="148">
        <v>1</v>
      </c>
      <c r="H1989" s="61" t="s">
        <v>39</v>
      </c>
      <c r="I1989" s="168" t="s">
        <v>535</v>
      </c>
      <c r="J1989" s="86" t="s">
        <v>501</v>
      </c>
      <c r="K1989" s="61" t="s">
        <v>1226</v>
      </c>
      <c r="L1989" s="159"/>
      <c r="M1989" s="169"/>
    </row>
    <row r="1990" spans="1:13" x14ac:dyDescent="0.55000000000000004">
      <c r="A1990" s="106" t="s">
        <v>513</v>
      </c>
      <c r="B1990" s="61" t="s">
        <v>171</v>
      </c>
      <c r="C1990" s="61" t="s">
        <v>127</v>
      </c>
      <c r="D1990" s="61" t="s">
        <v>2994</v>
      </c>
      <c r="E1990" s="119">
        <v>6.23</v>
      </c>
      <c r="F1990" s="148" t="s">
        <v>167</v>
      </c>
      <c r="G1990" s="148">
        <v>1</v>
      </c>
      <c r="H1990" s="61" t="s">
        <v>39</v>
      </c>
      <c r="I1990" s="168" t="s">
        <v>535</v>
      </c>
      <c r="J1990" s="86" t="s">
        <v>501</v>
      </c>
      <c r="K1990" s="61" t="s">
        <v>1226</v>
      </c>
      <c r="L1990" s="159"/>
      <c r="M1990" s="169"/>
    </row>
    <row r="1991" spans="1:13" x14ac:dyDescent="0.55000000000000004">
      <c r="A1991" s="106" t="s">
        <v>513</v>
      </c>
      <c r="B1991" s="61" t="s">
        <v>505</v>
      </c>
      <c r="C1991" s="61" t="s">
        <v>127</v>
      </c>
      <c r="D1991" s="61" t="s">
        <v>2994</v>
      </c>
      <c r="E1991" s="119">
        <v>41.506</v>
      </c>
      <c r="F1991" s="148" t="s">
        <v>167</v>
      </c>
      <c r="G1991" s="148">
        <v>1</v>
      </c>
      <c r="H1991" s="61" t="s">
        <v>39</v>
      </c>
      <c r="I1991" s="168" t="s">
        <v>535</v>
      </c>
      <c r="J1991" s="86" t="s">
        <v>501</v>
      </c>
      <c r="K1991" s="61" t="s">
        <v>1226</v>
      </c>
      <c r="L1991" s="159"/>
      <c r="M1991" s="169"/>
    </row>
    <row r="1992" spans="1:13" x14ac:dyDescent="0.55000000000000004">
      <c r="A1992" s="106" t="s">
        <v>513</v>
      </c>
      <c r="B1992" s="61" t="s">
        <v>504</v>
      </c>
      <c r="C1992" s="61" t="s">
        <v>127</v>
      </c>
      <c r="D1992" s="61" t="s">
        <v>2994</v>
      </c>
      <c r="E1992" s="119">
        <v>115.961</v>
      </c>
      <c r="F1992" s="148" t="s">
        <v>167</v>
      </c>
      <c r="G1992" s="148">
        <v>1</v>
      </c>
      <c r="H1992" s="61" t="s">
        <v>39</v>
      </c>
      <c r="I1992" s="168" t="s">
        <v>535</v>
      </c>
      <c r="J1992" s="86" t="s">
        <v>501</v>
      </c>
      <c r="K1992" s="61" t="s">
        <v>1226</v>
      </c>
      <c r="L1992" s="159"/>
      <c r="M1992" s="169"/>
    </row>
    <row r="1993" spans="1:13" x14ac:dyDescent="0.55000000000000004">
      <c r="A1993" s="106" t="s">
        <v>513</v>
      </c>
      <c r="B1993" s="61" t="s">
        <v>504</v>
      </c>
      <c r="C1993" s="61" t="s">
        <v>507</v>
      </c>
      <c r="D1993" s="61" t="s">
        <v>2994</v>
      </c>
      <c r="E1993" s="119">
        <v>1186.3399999999999</v>
      </c>
      <c r="F1993" s="148" t="s">
        <v>167</v>
      </c>
      <c r="G1993" s="148">
        <v>1</v>
      </c>
      <c r="H1993" s="61" t="s">
        <v>39</v>
      </c>
      <c r="I1993" s="168" t="s">
        <v>535</v>
      </c>
      <c r="J1993" s="86" t="s">
        <v>501</v>
      </c>
      <c r="K1993" s="61" t="s">
        <v>1226</v>
      </c>
      <c r="L1993" s="159"/>
      <c r="M1993" s="169"/>
    </row>
    <row r="1994" spans="1:13" x14ac:dyDescent="0.55000000000000004">
      <c r="A1994" s="106" t="s">
        <v>513</v>
      </c>
      <c r="B1994" s="61" t="s">
        <v>508</v>
      </c>
      <c r="C1994" s="61" t="s">
        <v>127</v>
      </c>
      <c r="D1994" s="61" t="s">
        <v>2994</v>
      </c>
      <c r="E1994" s="119">
        <v>56.64</v>
      </c>
      <c r="F1994" s="148" t="s">
        <v>167</v>
      </c>
      <c r="G1994" s="148">
        <v>1</v>
      </c>
      <c r="H1994" s="61" t="s">
        <v>39</v>
      </c>
      <c r="I1994" s="168" t="s">
        <v>535</v>
      </c>
      <c r="J1994" s="86" t="s">
        <v>501</v>
      </c>
      <c r="K1994" s="61" t="s">
        <v>1226</v>
      </c>
      <c r="L1994" s="159"/>
      <c r="M1994" s="169"/>
    </row>
    <row r="1995" spans="1:13" x14ac:dyDescent="0.55000000000000004">
      <c r="A1995" s="106" t="s">
        <v>513</v>
      </c>
      <c r="B1995" s="61" t="s">
        <v>510</v>
      </c>
      <c r="C1995" s="61" t="s">
        <v>125</v>
      </c>
      <c r="D1995" s="61" t="s">
        <v>3288</v>
      </c>
      <c r="E1995" s="119">
        <v>0.21199999999999999</v>
      </c>
      <c r="F1995" s="148" t="s">
        <v>122</v>
      </c>
      <c r="G1995" s="148">
        <v>1</v>
      </c>
      <c r="H1995" s="61" t="s">
        <v>39</v>
      </c>
      <c r="I1995" s="168" t="s">
        <v>535</v>
      </c>
      <c r="J1995" s="86" t="s">
        <v>501</v>
      </c>
      <c r="K1995" s="61" t="s">
        <v>1187</v>
      </c>
      <c r="L1995" s="159"/>
      <c r="M1995" s="169"/>
    </row>
    <row r="1996" spans="1:13" x14ac:dyDescent="0.55000000000000004">
      <c r="A1996" s="106" t="s">
        <v>513</v>
      </c>
      <c r="B1996" s="61" t="s">
        <v>517</v>
      </c>
      <c r="C1996" s="61" t="s">
        <v>125</v>
      </c>
      <c r="D1996" s="61" t="s">
        <v>3288</v>
      </c>
      <c r="E1996" s="119">
        <v>0.29099999999999998</v>
      </c>
      <c r="F1996" s="148" t="s">
        <v>122</v>
      </c>
      <c r="G1996" s="148">
        <v>1</v>
      </c>
      <c r="H1996" s="61" t="s">
        <v>39</v>
      </c>
      <c r="I1996" s="168" t="s">
        <v>535</v>
      </c>
      <c r="J1996" s="86" t="s">
        <v>501</v>
      </c>
      <c r="K1996" s="61" t="s">
        <v>1187</v>
      </c>
      <c r="L1996" s="159"/>
      <c r="M1996" s="169"/>
    </row>
    <row r="1997" spans="1:13" x14ac:dyDescent="0.55000000000000004">
      <c r="A1997" s="106" t="s">
        <v>513</v>
      </c>
      <c r="B1997" s="61" t="s">
        <v>160</v>
      </c>
      <c r="C1997" s="61" t="s">
        <v>497</v>
      </c>
      <c r="D1997" s="61" t="s">
        <v>3288</v>
      </c>
      <c r="E1997" s="119">
        <v>7.4554285709999997</v>
      </c>
      <c r="F1997" s="148" t="s">
        <v>122</v>
      </c>
      <c r="G1997" s="148">
        <v>1</v>
      </c>
      <c r="H1997" s="61" t="s">
        <v>39</v>
      </c>
      <c r="I1997" s="168" t="s">
        <v>535</v>
      </c>
      <c r="J1997" s="86" t="s">
        <v>501</v>
      </c>
      <c r="K1997" s="61" t="s">
        <v>1232</v>
      </c>
      <c r="L1997" s="159"/>
      <c r="M1997" s="169"/>
    </row>
    <row r="1998" spans="1:13" x14ac:dyDescent="0.55000000000000004">
      <c r="A1998" s="106" t="s">
        <v>513</v>
      </c>
      <c r="B1998" s="61" t="s">
        <v>160</v>
      </c>
      <c r="C1998" s="61" t="s">
        <v>512</v>
      </c>
      <c r="D1998" s="61" t="s">
        <v>3288</v>
      </c>
      <c r="E1998" s="119">
        <v>130.23009999999999</v>
      </c>
      <c r="F1998" s="148" t="s">
        <v>122</v>
      </c>
      <c r="G1998" s="148">
        <v>1</v>
      </c>
      <c r="H1998" s="61" t="s">
        <v>39</v>
      </c>
      <c r="I1998" s="168" t="s">
        <v>535</v>
      </c>
      <c r="J1998" s="86" t="s">
        <v>501</v>
      </c>
      <c r="K1998" s="61" t="s">
        <v>1232</v>
      </c>
      <c r="L1998" s="159"/>
      <c r="M1998" s="169"/>
    </row>
    <row r="1999" spans="1:13" x14ac:dyDescent="0.55000000000000004">
      <c r="A1999" s="106" t="s">
        <v>499</v>
      </c>
      <c r="B1999" s="61" t="s">
        <v>500</v>
      </c>
      <c r="C1999" s="61" t="s">
        <v>121</v>
      </c>
      <c r="D1999" s="61" t="s">
        <v>3288</v>
      </c>
      <c r="E1999" s="119">
        <v>1</v>
      </c>
      <c r="F1999" s="148" t="s">
        <v>133</v>
      </c>
      <c r="G1999" s="148">
        <v>1</v>
      </c>
      <c r="H1999" s="61" t="s">
        <v>39</v>
      </c>
      <c r="I1999" s="168" t="s">
        <v>535</v>
      </c>
      <c r="J1999" s="86" t="s">
        <v>501</v>
      </c>
      <c r="K1999" s="61" t="s">
        <v>1232</v>
      </c>
      <c r="L1999" s="159">
        <v>441011</v>
      </c>
      <c r="M1999" s="169"/>
    </row>
    <row r="2000" spans="1:13" x14ac:dyDescent="0.55000000000000004">
      <c r="A2000" s="106" t="s">
        <v>499</v>
      </c>
      <c r="B2000" s="61" t="s">
        <v>502</v>
      </c>
      <c r="C2000" s="61" t="s">
        <v>156</v>
      </c>
      <c r="D2000" s="61" t="s">
        <v>3288</v>
      </c>
      <c r="E2000" s="119">
        <v>0.08</v>
      </c>
      <c r="F2000" s="148" t="s">
        <v>133</v>
      </c>
      <c r="G2000" s="148">
        <v>1</v>
      </c>
      <c r="H2000" s="61" t="s">
        <v>39</v>
      </c>
      <c r="I2000" s="168" t="s">
        <v>535</v>
      </c>
      <c r="J2000" s="86" t="s">
        <v>501</v>
      </c>
      <c r="K2000" s="61" t="s">
        <v>1232</v>
      </c>
      <c r="L2000" s="159"/>
      <c r="M2000" s="169"/>
    </row>
    <row r="2001" spans="1:13" x14ac:dyDescent="0.55000000000000004">
      <c r="A2001" s="106" t="s">
        <v>499</v>
      </c>
      <c r="B2001" s="61" t="s">
        <v>503</v>
      </c>
      <c r="C2001" s="61" t="s">
        <v>125</v>
      </c>
      <c r="D2001" s="61" t="s">
        <v>3290</v>
      </c>
      <c r="E2001" s="119">
        <v>0.23599999999999999</v>
      </c>
      <c r="F2001" s="148" t="s">
        <v>135</v>
      </c>
      <c r="G2001" s="148">
        <v>1</v>
      </c>
      <c r="H2001" s="61" t="s">
        <v>39</v>
      </c>
      <c r="I2001" s="168" t="s">
        <v>535</v>
      </c>
      <c r="J2001" s="86" t="s">
        <v>501</v>
      </c>
      <c r="K2001" s="61" t="s">
        <v>1232</v>
      </c>
      <c r="L2001" s="159"/>
      <c r="M2001" s="169"/>
    </row>
    <row r="2002" spans="1:13" x14ac:dyDescent="0.55000000000000004">
      <c r="A2002" s="106" t="s">
        <v>499</v>
      </c>
      <c r="B2002" s="61" t="s">
        <v>502</v>
      </c>
      <c r="C2002" s="61" t="s">
        <v>125</v>
      </c>
      <c r="D2002" s="61" t="s">
        <v>3290</v>
      </c>
      <c r="E2002" s="119">
        <v>0.25700000000000001</v>
      </c>
      <c r="F2002" s="148" t="s">
        <v>135</v>
      </c>
      <c r="G2002" s="148">
        <v>1</v>
      </c>
      <c r="H2002" s="61" t="s">
        <v>39</v>
      </c>
      <c r="I2002" s="168" t="s">
        <v>535</v>
      </c>
      <c r="J2002" s="86" t="s">
        <v>501</v>
      </c>
      <c r="K2002" s="61" t="s">
        <v>1232</v>
      </c>
      <c r="L2002" s="159"/>
      <c r="M2002" s="169"/>
    </row>
    <row r="2003" spans="1:13" x14ac:dyDescent="0.55000000000000004">
      <c r="A2003" s="106" t="s">
        <v>499</v>
      </c>
      <c r="B2003" s="61" t="s">
        <v>504</v>
      </c>
      <c r="C2003" s="61" t="s">
        <v>125</v>
      </c>
      <c r="D2003" s="61" t="s">
        <v>3290</v>
      </c>
      <c r="E2003" s="119">
        <v>0.126</v>
      </c>
      <c r="F2003" s="148" t="s">
        <v>135</v>
      </c>
      <c r="G2003" s="148">
        <v>1</v>
      </c>
      <c r="H2003" s="61" t="s">
        <v>39</v>
      </c>
      <c r="I2003" s="168" t="s">
        <v>535</v>
      </c>
      <c r="J2003" s="86" t="s">
        <v>501</v>
      </c>
      <c r="K2003" s="61" t="s">
        <v>1232</v>
      </c>
      <c r="L2003" s="159"/>
      <c r="M2003" s="169"/>
    </row>
    <row r="2004" spans="1:13" x14ac:dyDescent="0.55000000000000004">
      <c r="A2004" s="106" t="s">
        <v>499</v>
      </c>
      <c r="B2004" s="61" t="s">
        <v>153</v>
      </c>
      <c r="C2004" s="61" t="s">
        <v>127</v>
      </c>
      <c r="D2004" s="61" t="s">
        <v>2994</v>
      </c>
      <c r="E2004" s="119">
        <v>102.4</v>
      </c>
      <c r="F2004" s="148" t="s">
        <v>130</v>
      </c>
      <c r="G2004" s="148">
        <v>1</v>
      </c>
      <c r="H2004" s="61" t="s">
        <v>39</v>
      </c>
      <c r="I2004" s="168" t="s">
        <v>535</v>
      </c>
      <c r="J2004" s="86" t="s">
        <v>501</v>
      </c>
      <c r="K2004" s="61" t="s">
        <v>1232</v>
      </c>
      <c r="L2004" s="159"/>
      <c r="M2004" s="169"/>
    </row>
    <row r="2005" spans="1:13" x14ac:dyDescent="0.55000000000000004">
      <c r="A2005" s="106" t="s">
        <v>499</v>
      </c>
      <c r="B2005" s="61" t="s">
        <v>171</v>
      </c>
      <c r="C2005" s="61" t="s">
        <v>127</v>
      </c>
      <c r="D2005" s="61" t="s">
        <v>2994</v>
      </c>
      <c r="E2005" s="119">
        <v>69.05</v>
      </c>
      <c r="F2005" s="148" t="s">
        <v>167</v>
      </c>
      <c r="G2005" s="148">
        <v>1</v>
      </c>
      <c r="H2005" s="61" t="s">
        <v>39</v>
      </c>
      <c r="I2005" s="168" t="s">
        <v>535</v>
      </c>
      <c r="J2005" s="86" t="s">
        <v>501</v>
      </c>
      <c r="K2005" s="61" t="s">
        <v>1232</v>
      </c>
      <c r="L2005" s="159"/>
      <c r="M2005" s="169"/>
    </row>
    <row r="2006" spans="1:13" x14ac:dyDescent="0.55000000000000004">
      <c r="A2006" s="106" t="s">
        <v>499</v>
      </c>
      <c r="B2006" s="61" t="s">
        <v>505</v>
      </c>
      <c r="C2006" s="61" t="s">
        <v>127</v>
      </c>
      <c r="D2006" s="61" t="s">
        <v>2994</v>
      </c>
      <c r="E2006" s="119">
        <v>17.22</v>
      </c>
      <c r="F2006" s="148" t="s">
        <v>167</v>
      </c>
      <c r="G2006" s="148">
        <v>1</v>
      </c>
      <c r="H2006" s="61" t="s">
        <v>39</v>
      </c>
      <c r="I2006" s="168" t="s">
        <v>535</v>
      </c>
      <c r="J2006" s="86" t="s">
        <v>501</v>
      </c>
      <c r="K2006" s="61" t="s">
        <v>1232</v>
      </c>
      <c r="L2006" s="159"/>
      <c r="M2006" s="169"/>
    </row>
    <row r="2007" spans="1:13" x14ac:dyDescent="0.55000000000000004">
      <c r="A2007" s="106" t="s">
        <v>499</v>
      </c>
      <c r="B2007" s="61" t="s">
        <v>504</v>
      </c>
      <c r="C2007" s="61" t="s">
        <v>127</v>
      </c>
      <c r="D2007" s="61" t="s">
        <v>2994</v>
      </c>
      <c r="E2007" s="119">
        <v>1934.3</v>
      </c>
      <c r="F2007" s="148" t="s">
        <v>167</v>
      </c>
      <c r="G2007" s="148">
        <v>1</v>
      </c>
      <c r="H2007" s="61" t="s">
        <v>39</v>
      </c>
      <c r="I2007" s="168" t="s">
        <v>535</v>
      </c>
      <c r="J2007" s="86" t="s">
        <v>501</v>
      </c>
      <c r="K2007" s="61" t="s">
        <v>1232</v>
      </c>
      <c r="L2007" s="159"/>
      <c r="M2007" s="169"/>
    </row>
    <row r="2008" spans="1:13" x14ac:dyDescent="0.55000000000000004">
      <c r="A2008" s="106" t="s">
        <v>499</v>
      </c>
      <c r="B2008" s="61" t="s">
        <v>506</v>
      </c>
      <c r="C2008" s="61" t="s">
        <v>127</v>
      </c>
      <c r="D2008" s="61" t="s">
        <v>2994</v>
      </c>
      <c r="E2008" s="119">
        <v>0</v>
      </c>
      <c r="F2008" s="148" t="s">
        <v>167</v>
      </c>
      <c r="G2008" s="148">
        <v>1</v>
      </c>
      <c r="H2008" s="61" t="s">
        <v>39</v>
      </c>
      <c r="I2008" s="168" t="s">
        <v>535</v>
      </c>
      <c r="J2008" s="86" t="s">
        <v>501</v>
      </c>
      <c r="K2008" s="61" t="s">
        <v>1187</v>
      </c>
      <c r="L2008" s="159"/>
      <c r="M2008" s="169"/>
    </row>
    <row r="2009" spans="1:13" x14ac:dyDescent="0.55000000000000004">
      <c r="A2009" s="106" t="s">
        <v>499</v>
      </c>
      <c r="B2009" s="61" t="s">
        <v>504</v>
      </c>
      <c r="C2009" s="61" t="s">
        <v>507</v>
      </c>
      <c r="D2009" s="61" t="s">
        <v>2994</v>
      </c>
      <c r="E2009" s="119">
        <v>1279.3900000000001</v>
      </c>
      <c r="F2009" s="148" t="s">
        <v>167</v>
      </c>
      <c r="G2009" s="148">
        <v>1</v>
      </c>
      <c r="H2009" s="61" t="s">
        <v>39</v>
      </c>
      <c r="I2009" s="168" t="s">
        <v>535</v>
      </c>
      <c r="J2009" s="86" t="s">
        <v>501</v>
      </c>
      <c r="K2009" s="61" t="s">
        <v>1187</v>
      </c>
      <c r="L2009" s="159"/>
      <c r="M2009" s="169"/>
    </row>
    <row r="2010" spans="1:13" x14ac:dyDescent="0.55000000000000004">
      <c r="A2010" s="106" t="s">
        <v>499</v>
      </c>
      <c r="B2010" s="61" t="s">
        <v>508</v>
      </c>
      <c r="C2010" s="61" t="s">
        <v>127</v>
      </c>
      <c r="D2010" s="61" t="s">
        <v>2994</v>
      </c>
      <c r="E2010" s="119">
        <v>28.992000000000001</v>
      </c>
      <c r="F2010" s="148" t="s">
        <v>167</v>
      </c>
      <c r="G2010" s="148">
        <v>1</v>
      </c>
      <c r="H2010" s="61" t="s">
        <v>39</v>
      </c>
      <c r="I2010" s="168" t="s">
        <v>535</v>
      </c>
      <c r="J2010" s="86" t="s">
        <v>501</v>
      </c>
      <c r="K2010" s="61" t="s">
        <v>1235</v>
      </c>
      <c r="L2010" s="159"/>
      <c r="M2010" s="169"/>
    </row>
    <row r="2011" spans="1:13" x14ac:dyDescent="0.55000000000000004">
      <c r="A2011" s="106" t="s">
        <v>499</v>
      </c>
      <c r="B2011" s="61" t="s">
        <v>509</v>
      </c>
      <c r="C2011" s="61" t="s">
        <v>125</v>
      </c>
      <c r="D2011" s="61" t="s">
        <v>3288</v>
      </c>
      <c r="E2011" s="119">
        <v>42.847999999999999</v>
      </c>
      <c r="F2011" s="148" t="s">
        <v>122</v>
      </c>
      <c r="G2011" s="148">
        <v>1</v>
      </c>
      <c r="H2011" s="61" t="s">
        <v>39</v>
      </c>
      <c r="I2011" s="168" t="s">
        <v>535</v>
      </c>
      <c r="J2011" s="86" t="s">
        <v>501</v>
      </c>
      <c r="K2011" s="61" t="s">
        <v>1235</v>
      </c>
      <c r="L2011" s="159"/>
      <c r="M2011" s="169"/>
    </row>
    <row r="2012" spans="1:13" x14ac:dyDescent="0.55000000000000004">
      <c r="A2012" s="106" t="s">
        <v>499</v>
      </c>
      <c r="B2012" s="61" t="s">
        <v>510</v>
      </c>
      <c r="C2012" s="61" t="s">
        <v>125</v>
      </c>
      <c r="D2012" s="61" t="s">
        <v>3288</v>
      </c>
      <c r="E2012" s="119">
        <v>3.7429999999999999</v>
      </c>
      <c r="F2012" s="148" t="s">
        <v>122</v>
      </c>
      <c r="G2012" s="148">
        <v>1</v>
      </c>
      <c r="H2012" s="61" t="s">
        <v>39</v>
      </c>
      <c r="I2012" s="168" t="s">
        <v>535</v>
      </c>
      <c r="J2012" s="86" t="s">
        <v>501</v>
      </c>
      <c r="K2012" s="61" t="s">
        <v>1235</v>
      </c>
      <c r="L2012" s="159"/>
      <c r="M2012" s="169"/>
    </row>
    <row r="2013" spans="1:13" x14ac:dyDescent="0.55000000000000004">
      <c r="A2013" s="106" t="s">
        <v>499</v>
      </c>
      <c r="B2013" s="61" t="s">
        <v>511</v>
      </c>
      <c r="C2013" s="61" t="s">
        <v>125</v>
      </c>
      <c r="D2013" s="61" t="s">
        <v>3288</v>
      </c>
      <c r="E2013" s="119">
        <v>1.5189999999999999</v>
      </c>
      <c r="F2013" s="148" t="s">
        <v>122</v>
      </c>
      <c r="G2013" s="148">
        <v>1</v>
      </c>
      <c r="H2013" s="61" t="s">
        <v>39</v>
      </c>
      <c r="I2013" s="168" t="s">
        <v>535</v>
      </c>
      <c r="J2013" s="86" t="s">
        <v>501</v>
      </c>
      <c r="K2013" s="61" t="s">
        <v>1235</v>
      </c>
      <c r="L2013" s="159"/>
      <c r="M2013" s="169"/>
    </row>
    <row r="2014" spans="1:13" x14ac:dyDescent="0.55000000000000004">
      <c r="A2014" s="106" t="s">
        <v>499</v>
      </c>
      <c r="B2014" s="61" t="s">
        <v>160</v>
      </c>
      <c r="C2014" s="61" t="s">
        <v>497</v>
      </c>
      <c r="D2014" s="61" t="s">
        <v>3288</v>
      </c>
      <c r="E2014" s="119">
        <v>8.2330000000000005</v>
      </c>
      <c r="F2014" s="148" t="s">
        <v>122</v>
      </c>
      <c r="G2014" s="148">
        <v>1</v>
      </c>
      <c r="H2014" s="61" t="s">
        <v>39</v>
      </c>
      <c r="I2014" s="168" t="s">
        <v>535</v>
      </c>
      <c r="J2014" s="86" t="s">
        <v>501</v>
      </c>
      <c r="K2014" s="61" t="s">
        <v>1235</v>
      </c>
      <c r="L2014" s="159"/>
      <c r="M2014" s="169"/>
    </row>
    <row r="2015" spans="1:13" x14ac:dyDescent="0.55000000000000004">
      <c r="A2015" s="106" t="s">
        <v>499</v>
      </c>
      <c r="B2015" s="61" t="s">
        <v>160</v>
      </c>
      <c r="C2015" s="61" t="s">
        <v>512</v>
      </c>
      <c r="D2015" s="61" t="s">
        <v>3288</v>
      </c>
      <c r="E2015" s="119">
        <v>321.36900000000003</v>
      </c>
      <c r="F2015" s="148" t="s">
        <v>122</v>
      </c>
      <c r="G2015" s="148">
        <v>1</v>
      </c>
      <c r="H2015" s="61" t="s">
        <v>39</v>
      </c>
      <c r="I2015" s="168" t="s">
        <v>535</v>
      </c>
      <c r="J2015" s="86" t="s">
        <v>501</v>
      </c>
      <c r="K2015" s="61" t="s">
        <v>1235</v>
      </c>
      <c r="L2015" s="159"/>
      <c r="M2015" s="169"/>
    </row>
    <row r="2016" spans="1:13" x14ac:dyDescent="0.55000000000000004">
      <c r="A2016" s="105" t="s">
        <v>493</v>
      </c>
      <c r="B2016" s="61" t="s">
        <v>494</v>
      </c>
      <c r="C2016" s="61" t="s">
        <v>121</v>
      </c>
      <c r="D2016" s="61" t="s">
        <v>3288</v>
      </c>
      <c r="E2016" s="119">
        <v>1</v>
      </c>
      <c r="F2016" s="148" t="s">
        <v>135</v>
      </c>
      <c r="G2016" s="148">
        <v>1</v>
      </c>
      <c r="H2016" s="61" t="s">
        <v>39</v>
      </c>
      <c r="I2016" s="168" t="s">
        <v>535</v>
      </c>
      <c r="J2016" s="61" t="s">
        <v>495</v>
      </c>
      <c r="K2016" s="168" t="s">
        <v>1235</v>
      </c>
      <c r="L2016" s="159">
        <v>271114</v>
      </c>
      <c r="M2016" s="169"/>
    </row>
    <row r="2017" spans="1:13" x14ac:dyDescent="0.55000000000000004">
      <c r="A2017" s="105" t="s">
        <v>493</v>
      </c>
      <c r="B2017" s="61" t="s">
        <v>171</v>
      </c>
      <c r="C2017" s="61" t="s">
        <v>127</v>
      </c>
      <c r="D2017" s="61" t="s">
        <v>2994</v>
      </c>
      <c r="E2017" s="119">
        <v>1.826923077</v>
      </c>
      <c r="F2017" s="148" t="s">
        <v>138</v>
      </c>
      <c r="G2017" s="148">
        <v>1</v>
      </c>
      <c r="H2017" s="61" t="s">
        <v>39</v>
      </c>
      <c r="I2017" s="168" t="s">
        <v>535</v>
      </c>
      <c r="J2017" s="61" t="s">
        <v>495</v>
      </c>
      <c r="K2017" s="168" t="s">
        <v>1235</v>
      </c>
      <c r="L2017" s="159"/>
      <c r="M2017" s="169"/>
    </row>
    <row r="2018" spans="1:13" x14ac:dyDescent="0.55000000000000004">
      <c r="A2018" s="105" t="s">
        <v>493</v>
      </c>
      <c r="B2018" s="61" t="s">
        <v>153</v>
      </c>
      <c r="C2018" s="61" t="s">
        <v>127</v>
      </c>
      <c r="D2018" s="61" t="s">
        <v>2994</v>
      </c>
      <c r="E2018" s="119">
        <v>1.9</v>
      </c>
      <c r="F2018" s="148" t="s">
        <v>138</v>
      </c>
      <c r="G2018" s="148">
        <v>1</v>
      </c>
      <c r="H2018" s="61" t="s">
        <v>39</v>
      </c>
      <c r="I2018" s="168" t="s">
        <v>535</v>
      </c>
      <c r="J2018" s="61" t="s">
        <v>495</v>
      </c>
      <c r="K2018" s="168" t="s">
        <v>1235</v>
      </c>
      <c r="L2018" s="159"/>
      <c r="M2018" s="169"/>
    </row>
    <row r="2019" spans="1:13" x14ac:dyDescent="0.55000000000000004">
      <c r="A2019" s="105" t="s">
        <v>493</v>
      </c>
      <c r="B2019" s="61" t="s">
        <v>496</v>
      </c>
      <c r="C2019" s="61" t="s">
        <v>127</v>
      </c>
      <c r="D2019" s="61" t="s">
        <v>2994</v>
      </c>
      <c r="E2019" s="119">
        <v>9.75</v>
      </c>
      <c r="F2019" s="148" t="s">
        <v>138</v>
      </c>
      <c r="G2019" s="148">
        <v>1</v>
      </c>
      <c r="H2019" s="61" t="s">
        <v>39</v>
      </c>
      <c r="I2019" s="168" t="s">
        <v>535</v>
      </c>
      <c r="J2019" s="61" t="s">
        <v>495</v>
      </c>
      <c r="K2019" s="168" t="s">
        <v>1235</v>
      </c>
      <c r="L2019" s="159"/>
      <c r="M2019" s="169"/>
    </row>
    <row r="2020" spans="1:13" x14ac:dyDescent="0.55000000000000004">
      <c r="A2020" s="105" t="s">
        <v>493</v>
      </c>
      <c r="B2020" s="61" t="s">
        <v>160</v>
      </c>
      <c r="C2020" s="61" t="s">
        <v>497</v>
      </c>
      <c r="D2020" s="61" t="s">
        <v>3288</v>
      </c>
      <c r="E2020" s="119">
        <v>0.122403846</v>
      </c>
      <c r="F2020" s="148" t="s">
        <v>135</v>
      </c>
      <c r="G2020" s="148">
        <v>1</v>
      </c>
      <c r="H2020" s="61" t="s">
        <v>39</v>
      </c>
      <c r="I2020" s="168" t="s">
        <v>535</v>
      </c>
      <c r="J2020" s="61" t="s">
        <v>498</v>
      </c>
      <c r="K2020" s="168" t="s">
        <v>126</v>
      </c>
      <c r="L2020" s="159"/>
      <c r="M2020" s="169"/>
    </row>
    <row r="2021" spans="1:13" x14ac:dyDescent="0.55000000000000004">
      <c r="A2021" s="104" t="s">
        <v>491</v>
      </c>
      <c r="B2021" s="168" t="s">
        <v>134</v>
      </c>
      <c r="C2021" s="61" t="s">
        <v>121</v>
      </c>
      <c r="D2021" s="61" t="s">
        <v>3288</v>
      </c>
      <c r="E2021" s="119">
        <v>1</v>
      </c>
      <c r="F2021" s="148" t="s">
        <v>135</v>
      </c>
      <c r="G2021" s="148">
        <v>1</v>
      </c>
      <c r="H2021" s="61" t="s">
        <v>39</v>
      </c>
      <c r="I2021" s="61" t="s">
        <v>938</v>
      </c>
      <c r="J2021" s="61" t="s">
        <v>488</v>
      </c>
      <c r="K2021" s="168"/>
      <c r="L2021" s="159">
        <v>252310</v>
      </c>
      <c r="M2021" s="169"/>
    </row>
    <row r="2022" spans="1:13" x14ac:dyDescent="0.55000000000000004">
      <c r="A2022" s="104" t="s">
        <v>491</v>
      </c>
      <c r="B2022" s="61" t="s">
        <v>131</v>
      </c>
      <c r="C2022" s="61" t="s">
        <v>132</v>
      </c>
      <c r="D2022" s="61" t="s">
        <v>3288</v>
      </c>
      <c r="E2022" s="119">
        <v>1.22</v>
      </c>
      <c r="F2022" s="148" t="s">
        <v>135</v>
      </c>
      <c r="G2022" s="148">
        <v>1</v>
      </c>
      <c r="H2022" s="64" t="s">
        <v>489</v>
      </c>
      <c r="I2022" s="61"/>
      <c r="J2022" s="61" t="s">
        <v>488</v>
      </c>
      <c r="K2022" s="168"/>
      <c r="L2022" s="159"/>
      <c r="M2022" s="169"/>
    </row>
    <row r="2023" spans="1:13" x14ac:dyDescent="0.55000000000000004">
      <c r="A2023" s="104" t="s">
        <v>491</v>
      </c>
      <c r="B2023" s="61" t="s">
        <v>492</v>
      </c>
      <c r="C2023" s="61" t="s">
        <v>132</v>
      </c>
      <c r="D2023" s="61" t="s">
        <v>3288</v>
      </c>
      <c r="E2023" s="119">
        <v>0.2</v>
      </c>
      <c r="F2023" s="148" t="s">
        <v>135</v>
      </c>
      <c r="G2023" s="148">
        <v>1</v>
      </c>
      <c r="H2023" s="64" t="s">
        <v>489</v>
      </c>
      <c r="I2023" s="61"/>
      <c r="J2023" s="61" t="s">
        <v>488</v>
      </c>
      <c r="K2023" s="168"/>
      <c r="L2023" s="159"/>
      <c r="M2023" s="169"/>
    </row>
    <row r="2024" spans="1:13" x14ac:dyDescent="0.55000000000000004">
      <c r="A2024" s="104" t="s">
        <v>487</v>
      </c>
      <c r="B2024" s="168" t="s">
        <v>134</v>
      </c>
      <c r="C2024" s="61" t="s">
        <v>121</v>
      </c>
      <c r="D2024" s="61" t="s">
        <v>3288</v>
      </c>
      <c r="E2024" s="119">
        <v>1</v>
      </c>
      <c r="F2024" s="148" t="s">
        <v>135</v>
      </c>
      <c r="G2024" s="148">
        <v>1</v>
      </c>
      <c r="H2024" s="61" t="s">
        <v>39</v>
      </c>
      <c r="I2024" s="61" t="s">
        <v>938</v>
      </c>
      <c r="J2024" s="61" t="s">
        <v>488</v>
      </c>
      <c r="K2024" s="168"/>
      <c r="L2024" s="159">
        <v>252310</v>
      </c>
      <c r="M2024" s="169"/>
    </row>
    <row r="2025" spans="1:13" x14ac:dyDescent="0.55000000000000004">
      <c r="A2025" s="104" t="s">
        <v>487</v>
      </c>
      <c r="B2025" s="61" t="s">
        <v>131</v>
      </c>
      <c r="C2025" s="61" t="s">
        <v>132</v>
      </c>
      <c r="D2025" s="61" t="s">
        <v>3288</v>
      </c>
      <c r="E2025" s="119">
        <v>1.22</v>
      </c>
      <c r="F2025" s="148" t="s">
        <v>135</v>
      </c>
      <c r="G2025" s="148">
        <v>1</v>
      </c>
      <c r="H2025" s="64" t="s">
        <v>489</v>
      </c>
      <c r="I2025" s="61"/>
      <c r="J2025" s="61" t="s">
        <v>488</v>
      </c>
      <c r="K2025" s="168"/>
      <c r="L2025" s="159"/>
      <c r="M2025" s="169"/>
    </row>
    <row r="2026" spans="1:13" x14ac:dyDescent="0.55000000000000004">
      <c r="A2026" s="104" t="s">
        <v>487</v>
      </c>
      <c r="B2026" s="61" t="s">
        <v>490</v>
      </c>
      <c r="C2026" s="61" t="s">
        <v>132</v>
      </c>
      <c r="D2026" s="61" t="s">
        <v>3288</v>
      </c>
      <c r="E2026" s="119">
        <v>0.2</v>
      </c>
      <c r="F2026" s="148" t="s">
        <v>135</v>
      </c>
      <c r="G2026" s="148">
        <v>1</v>
      </c>
      <c r="H2026" s="64" t="s">
        <v>489</v>
      </c>
      <c r="I2026" s="61"/>
      <c r="J2026" s="61" t="s">
        <v>488</v>
      </c>
      <c r="K2026" s="168"/>
      <c r="L2026" s="159"/>
      <c r="M2026" s="169"/>
    </row>
    <row r="2027" spans="1:13" x14ac:dyDescent="0.55000000000000004">
      <c r="A2027" s="101" t="s">
        <v>485</v>
      </c>
      <c r="B2027" s="61" t="s">
        <v>486</v>
      </c>
      <c r="C2027" s="61" t="s">
        <v>121</v>
      </c>
      <c r="D2027" s="61" t="s">
        <v>3288</v>
      </c>
      <c r="E2027" s="119">
        <v>1</v>
      </c>
      <c r="F2027" s="148" t="s">
        <v>135</v>
      </c>
      <c r="G2027" s="151">
        <v>1</v>
      </c>
      <c r="H2027" s="68" t="s">
        <v>39</v>
      </c>
      <c r="I2027" s="168"/>
      <c r="J2027" s="74" t="str">
        <f t="shared" ref="J2027:J2056" si="1">A2027</f>
        <v>[TIMES] Aluminium Finishing Processes</v>
      </c>
      <c r="K2027" s="168"/>
      <c r="L2027" s="159"/>
      <c r="M2027" s="169"/>
    </row>
    <row r="2028" spans="1:13" x14ac:dyDescent="0.55000000000000004">
      <c r="A2028" s="101" t="s">
        <v>485</v>
      </c>
      <c r="B2028" s="168" t="s">
        <v>210</v>
      </c>
      <c r="C2028" s="61" t="s">
        <v>125</v>
      </c>
      <c r="D2028" s="61" t="s">
        <v>3288</v>
      </c>
      <c r="E2028" s="119">
        <v>1</v>
      </c>
      <c r="F2028" s="148" t="s">
        <v>135</v>
      </c>
      <c r="G2028" s="148" t="s">
        <v>135</v>
      </c>
      <c r="H2028" s="68" t="s">
        <v>39</v>
      </c>
      <c r="I2028" s="168"/>
      <c r="J2028" s="74" t="str">
        <f t="shared" si="1"/>
        <v>[TIMES] Aluminium Finishing Processes</v>
      </c>
      <c r="K2028" s="168"/>
      <c r="L2028" s="159"/>
      <c r="M2028" s="169"/>
    </row>
    <row r="2029" spans="1:13" x14ac:dyDescent="0.55000000000000004">
      <c r="A2029" s="101" t="s">
        <v>485</v>
      </c>
      <c r="B2029" s="76" t="s">
        <v>153</v>
      </c>
      <c r="C2029" s="61" t="s">
        <v>127</v>
      </c>
      <c r="D2029" s="61" t="s">
        <v>2994</v>
      </c>
      <c r="E2029" s="119">
        <v>9.11</v>
      </c>
      <c r="F2029" s="148" t="s">
        <v>138</v>
      </c>
      <c r="G2029" s="148" t="s">
        <v>135</v>
      </c>
      <c r="H2029" s="68" t="s">
        <v>39</v>
      </c>
      <c r="I2029" s="168"/>
      <c r="J2029" s="74" t="str">
        <f t="shared" si="1"/>
        <v>[TIMES] Aluminium Finishing Processes</v>
      </c>
      <c r="K2029" s="168"/>
      <c r="L2029" s="159"/>
      <c r="M2029" s="169"/>
    </row>
    <row r="2030" spans="1:13" x14ac:dyDescent="0.55000000000000004">
      <c r="A2030" s="101" t="s">
        <v>485</v>
      </c>
      <c r="B2030" s="76" t="s">
        <v>171</v>
      </c>
      <c r="C2030" s="61" t="s">
        <v>127</v>
      </c>
      <c r="D2030" s="61" t="s">
        <v>2994</v>
      </c>
      <c r="E2030" s="119">
        <v>4.0599999999999996</v>
      </c>
      <c r="F2030" s="148" t="s">
        <v>138</v>
      </c>
      <c r="G2030" s="148" t="s">
        <v>135</v>
      </c>
      <c r="H2030" s="68" t="s">
        <v>39</v>
      </c>
      <c r="I2030" s="168"/>
      <c r="J2030" s="74" t="str">
        <f t="shared" si="1"/>
        <v>[TIMES] Aluminium Finishing Processes</v>
      </c>
      <c r="K2030" s="168"/>
      <c r="L2030" s="159"/>
      <c r="M2030" s="169"/>
    </row>
    <row r="2031" spans="1:13" x14ac:dyDescent="0.55000000000000004">
      <c r="A2031" s="101" t="s">
        <v>485</v>
      </c>
      <c r="B2031" s="76" t="s">
        <v>422</v>
      </c>
      <c r="C2031" s="61" t="s">
        <v>127</v>
      </c>
      <c r="D2031" s="61" t="s">
        <v>2994</v>
      </c>
      <c r="E2031" s="119">
        <v>0.03</v>
      </c>
      <c r="F2031" s="148" t="s">
        <v>138</v>
      </c>
      <c r="G2031" s="148" t="s">
        <v>135</v>
      </c>
      <c r="H2031" s="68" t="s">
        <v>39</v>
      </c>
      <c r="I2031" s="168"/>
      <c r="J2031" s="74" t="str">
        <f t="shared" si="1"/>
        <v>[TIMES] Aluminium Finishing Processes</v>
      </c>
      <c r="K2031" s="168"/>
      <c r="L2031" s="159"/>
      <c r="M2031" s="169"/>
    </row>
    <row r="2032" spans="1:13" x14ac:dyDescent="0.55000000000000004">
      <c r="A2032" s="101" t="s">
        <v>485</v>
      </c>
      <c r="B2032" s="168" t="s">
        <v>137</v>
      </c>
      <c r="C2032" s="61" t="s">
        <v>127</v>
      </c>
      <c r="D2032" s="61" t="s">
        <v>2994</v>
      </c>
      <c r="E2032" s="119">
        <v>0.14000000000000001</v>
      </c>
      <c r="F2032" s="148" t="s">
        <v>138</v>
      </c>
      <c r="G2032" s="148" t="s">
        <v>135</v>
      </c>
      <c r="H2032" s="68" t="s">
        <v>39</v>
      </c>
      <c r="I2032" s="168"/>
      <c r="J2032" s="74" t="str">
        <f t="shared" si="1"/>
        <v>[TIMES] Aluminium Finishing Processes</v>
      </c>
      <c r="K2032" s="168"/>
      <c r="L2032" s="159"/>
      <c r="M2032" s="169"/>
    </row>
    <row r="2033" spans="1:13" x14ac:dyDescent="0.55000000000000004">
      <c r="A2033" s="101" t="s">
        <v>485</v>
      </c>
      <c r="B2033" s="168" t="s">
        <v>160</v>
      </c>
      <c r="C2033" s="168" t="s">
        <v>247</v>
      </c>
      <c r="D2033" s="168" t="s">
        <v>3288</v>
      </c>
      <c r="E2033" s="119">
        <v>0.23726900000000001</v>
      </c>
      <c r="F2033" s="151" t="s">
        <v>135</v>
      </c>
      <c r="G2033" s="148" t="s">
        <v>135</v>
      </c>
      <c r="H2033" s="68" t="s">
        <v>376</v>
      </c>
      <c r="I2033" s="168" t="s">
        <v>1251</v>
      </c>
      <c r="J2033" s="74" t="str">
        <f t="shared" si="1"/>
        <v>[TIMES] Aluminium Finishing Processes</v>
      </c>
      <c r="K2033" s="168"/>
      <c r="L2033" s="131"/>
      <c r="M2033" s="169"/>
    </row>
    <row r="2034" spans="1:13" x14ac:dyDescent="0.55000000000000004">
      <c r="A2034" s="101" t="s">
        <v>484</v>
      </c>
      <c r="B2034" s="168" t="s">
        <v>210</v>
      </c>
      <c r="C2034" s="61" t="s">
        <v>121</v>
      </c>
      <c r="D2034" s="61" t="s">
        <v>3288</v>
      </c>
      <c r="E2034" s="119">
        <v>1</v>
      </c>
      <c r="F2034" s="148" t="s">
        <v>135</v>
      </c>
      <c r="G2034" s="148">
        <v>1</v>
      </c>
      <c r="H2034" s="68" t="s">
        <v>39</v>
      </c>
      <c r="I2034" s="168"/>
      <c r="J2034" s="74" t="str">
        <f t="shared" si="1"/>
        <v>[TIMES] Aluminium Inert Anodes</v>
      </c>
      <c r="K2034" s="168"/>
      <c r="L2034" s="159"/>
      <c r="M2034" s="169"/>
    </row>
    <row r="2035" spans="1:13" x14ac:dyDescent="0.55000000000000004">
      <c r="A2035" s="101" t="s">
        <v>484</v>
      </c>
      <c r="B2035" s="61" t="s">
        <v>421</v>
      </c>
      <c r="C2035" s="61" t="s">
        <v>132</v>
      </c>
      <c r="D2035" s="61" t="s">
        <v>3288</v>
      </c>
      <c r="E2035" s="119">
        <v>1.9</v>
      </c>
      <c r="F2035" s="148" t="s">
        <v>135</v>
      </c>
      <c r="G2035" s="151" t="s">
        <v>135</v>
      </c>
      <c r="H2035" s="68" t="s">
        <v>39</v>
      </c>
      <c r="I2035" s="168"/>
      <c r="J2035" s="74" t="str">
        <f t="shared" si="1"/>
        <v>[TIMES] Aluminium Inert Anodes</v>
      </c>
      <c r="K2035" s="168"/>
      <c r="L2035" s="159"/>
      <c r="M2035" s="169"/>
    </row>
    <row r="2036" spans="1:13" x14ac:dyDescent="0.55000000000000004">
      <c r="A2036" s="101" t="s">
        <v>484</v>
      </c>
      <c r="B2036" s="61" t="s">
        <v>153</v>
      </c>
      <c r="C2036" s="61" t="s">
        <v>127</v>
      </c>
      <c r="D2036" s="61" t="s">
        <v>2994</v>
      </c>
      <c r="E2036" s="119">
        <v>44</v>
      </c>
      <c r="F2036" s="148" t="s">
        <v>138</v>
      </c>
      <c r="G2036" s="151" t="s">
        <v>135</v>
      </c>
      <c r="H2036" s="68" t="s">
        <v>39</v>
      </c>
      <c r="I2036" s="168"/>
      <c r="J2036" s="74" t="str">
        <f t="shared" si="1"/>
        <v>[TIMES] Aluminium Inert Anodes</v>
      </c>
      <c r="K2036" s="168"/>
      <c r="L2036" s="159"/>
      <c r="M2036" s="169"/>
    </row>
    <row r="2037" spans="1:13" x14ac:dyDescent="0.55000000000000004">
      <c r="A2037" s="101" t="s">
        <v>484</v>
      </c>
      <c r="B2037" s="61" t="s">
        <v>171</v>
      </c>
      <c r="C2037" s="61" t="s">
        <v>127</v>
      </c>
      <c r="D2037" s="61" t="s">
        <v>2994</v>
      </c>
      <c r="E2037" s="119">
        <v>1.5</v>
      </c>
      <c r="F2037" s="148" t="s">
        <v>138</v>
      </c>
      <c r="G2037" s="151" t="s">
        <v>135</v>
      </c>
      <c r="H2037" s="68" t="s">
        <v>39</v>
      </c>
      <c r="I2037" s="168"/>
      <c r="J2037" s="74" t="str">
        <f t="shared" si="1"/>
        <v>[TIMES] Aluminium Inert Anodes</v>
      </c>
      <c r="K2037" s="168"/>
      <c r="L2037" s="159"/>
      <c r="M2037" s="169"/>
    </row>
    <row r="2038" spans="1:13" x14ac:dyDescent="0.55000000000000004">
      <c r="A2038" s="101" t="s">
        <v>484</v>
      </c>
      <c r="B2038" s="168" t="s">
        <v>160</v>
      </c>
      <c r="C2038" s="168" t="s">
        <v>247</v>
      </c>
      <c r="D2038" s="168" t="s">
        <v>3288</v>
      </c>
      <c r="E2038" s="119">
        <v>8.4150000000000003E-2</v>
      </c>
      <c r="F2038" s="151" t="s">
        <v>135</v>
      </c>
      <c r="G2038" s="151" t="s">
        <v>135</v>
      </c>
      <c r="H2038" s="68" t="s">
        <v>376</v>
      </c>
      <c r="I2038" s="168"/>
      <c r="J2038" s="74" t="str">
        <f t="shared" si="1"/>
        <v>[TIMES] Aluminium Inert Anodes</v>
      </c>
      <c r="K2038" s="168"/>
      <c r="L2038" s="131"/>
      <c r="M2038" s="169"/>
    </row>
    <row r="2039" spans="1:13" x14ac:dyDescent="0.55000000000000004">
      <c r="A2039" s="101" t="s">
        <v>483</v>
      </c>
      <c r="B2039" s="168" t="s">
        <v>210</v>
      </c>
      <c r="C2039" s="61" t="s">
        <v>121</v>
      </c>
      <c r="D2039" s="61" t="s">
        <v>3288</v>
      </c>
      <c r="E2039" s="119">
        <v>1</v>
      </c>
      <c r="F2039" s="148" t="s">
        <v>135</v>
      </c>
      <c r="G2039" s="148">
        <v>1</v>
      </c>
      <c r="H2039" s="68" t="s">
        <v>39</v>
      </c>
      <c r="I2039" s="168"/>
      <c r="J2039" s="74" t="str">
        <f t="shared" si="1"/>
        <v>[TIMES] Aluminium Recycled Production</v>
      </c>
      <c r="K2039" s="168"/>
      <c r="L2039" s="159"/>
      <c r="M2039" s="169"/>
    </row>
    <row r="2040" spans="1:13" x14ac:dyDescent="0.55000000000000004">
      <c r="A2040" s="101" t="s">
        <v>483</v>
      </c>
      <c r="B2040" s="61" t="s">
        <v>421</v>
      </c>
      <c r="C2040" s="61" t="s">
        <v>132</v>
      </c>
      <c r="D2040" s="61" t="s">
        <v>3288</v>
      </c>
      <c r="E2040" s="119">
        <v>2</v>
      </c>
      <c r="F2040" s="148" t="s">
        <v>135</v>
      </c>
      <c r="G2040" s="151" t="s">
        <v>135</v>
      </c>
      <c r="H2040" s="68" t="s">
        <v>39</v>
      </c>
      <c r="I2040" s="168"/>
      <c r="J2040" s="74" t="str">
        <f t="shared" si="1"/>
        <v>[TIMES] Aluminium Recycled Production</v>
      </c>
      <c r="K2040" s="168"/>
      <c r="L2040" s="159"/>
      <c r="M2040" s="169"/>
    </row>
    <row r="2041" spans="1:13" x14ac:dyDescent="0.55000000000000004">
      <c r="A2041" s="101" t="s">
        <v>483</v>
      </c>
      <c r="B2041" s="168" t="s">
        <v>211</v>
      </c>
      <c r="C2041" s="61" t="s">
        <v>125</v>
      </c>
      <c r="D2041" s="61" t="s">
        <v>3288</v>
      </c>
      <c r="E2041" s="119">
        <v>1.04</v>
      </c>
      <c r="F2041" s="148" t="s">
        <v>135</v>
      </c>
      <c r="G2041" s="151" t="s">
        <v>135</v>
      </c>
      <c r="H2041" s="68" t="s">
        <v>480</v>
      </c>
      <c r="I2041" s="76" t="s">
        <v>481</v>
      </c>
      <c r="J2041" s="74" t="str">
        <f t="shared" si="1"/>
        <v>[TIMES] Aluminium Recycled Production</v>
      </c>
      <c r="K2041" s="168"/>
      <c r="L2041" s="159"/>
      <c r="M2041" s="169"/>
    </row>
    <row r="2042" spans="1:13" x14ac:dyDescent="0.55000000000000004">
      <c r="A2042" s="101" t="s">
        <v>483</v>
      </c>
      <c r="B2042" s="61" t="s">
        <v>153</v>
      </c>
      <c r="C2042" s="61" t="s">
        <v>127</v>
      </c>
      <c r="D2042" s="61" t="s">
        <v>2994</v>
      </c>
      <c r="E2042" s="119">
        <v>1.38</v>
      </c>
      <c r="F2042" s="148" t="s">
        <v>138</v>
      </c>
      <c r="G2042" s="151" t="s">
        <v>135</v>
      </c>
      <c r="H2042" s="68" t="s">
        <v>39</v>
      </c>
      <c r="I2042" s="168"/>
      <c r="J2042" s="74" t="str">
        <f t="shared" si="1"/>
        <v>[TIMES] Aluminium Recycled Production</v>
      </c>
      <c r="K2042" s="168"/>
      <c r="L2042" s="159"/>
      <c r="M2042" s="169"/>
    </row>
    <row r="2043" spans="1:13" x14ac:dyDescent="0.55000000000000004">
      <c r="A2043" s="101" t="s">
        <v>483</v>
      </c>
      <c r="B2043" s="61" t="s">
        <v>171</v>
      </c>
      <c r="C2043" s="61" t="s">
        <v>127</v>
      </c>
      <c r="D2043" s="61" t="s">
        <v>2994</v>
      </c>
      <c r="E2043" s="119">
        <v>4</v>
      </c>
      <c r="F2043" s="148" t="s">
        <v>138</v>
      </c>
      <c r="G2043" s="151" t="s">
        <v>135</v>
      </c>
      <c r="H2043" s="68" t="s">
        <v>39</v>
      </c>
      <c r="I2043" s="168"/>
      <c r="J2043" s="74" t="str">
        <f t="shared" si="1"/>
        <v>[TIMES] Aluminium Recycled Production</v>
      </c>
      <c r="K2043" s="168"/>
      <c r="L2043" s="159"/>
      <c r="M2043" s="169"/>
    </row>
    <row r="2044" spans="1:13" x14ac:dyDescent="0.55000000000000004">
      <c r="A2044" s="101" t="s">
        <v>483</v>
      </c>
      <c r="B2044" s="168" t="s">
        <v>160</v>
      </c>
      <c r="C2044" s="168" t="s">
        <v>247</v>
      </c>
      <c r="D2044" s="168" t="s">
        <v>3288</v>
      </c>
      <c r="E2044" s="119">
        <v>0.22439999999999999</v>
      </c>
      <c r="F2044" s="151" t="s">
        <v>135</v>
      </c>
      <c r="G2044" s="151" t="s">
        <v>135</v>
      </c>
      <c r="H2044" s="68" t="s">
        <v>376</v>
      </c>
      <c r="I2044" s="168"/>
      <c r="J2044" s="74" t="str">
        <f t="shared" si="1"/>
        <v>[TIMES] Aluminium Recycled Production</v>
      </c>
      <c r="K2044" s="168"/>
      <c r="L2044" s="131"/>
      <c r="M2044" s="169"/>
    </row>
    <row r="2045" spans="1:13" x14ac:dyDescent="0.55000000000000004">
      <c r="A2045" s="101" t="s">
        <v>482</v>
      </c>
      <c r="B2045" s="168" t="s">
        <v>210</v>
      </c>
      <c r="C2045" s="61" t="s">
        <v>121</v>
      </c>
      <c r="D2045" s="61" t="s">
        <v>3288</v>
      </c>
      <c r="E2045" s="119">
        <v>1</v>
      </c>
      <c r="F2045" s="148" t="s">
        <v>135</v>
      </c>
      <c r="G2045" s="148">
        <v>1</v>
      </c>
      <c r="H2045" s="68" t="s">
        <v>39</v>
      </c>
      <c r="I2045" s="168"/>
      <c r="J2045" s="74" t="str">
        <f t="shared" si="1"/>
        <v>[TIMES] Aluminium Recycled Production Enhanced Furnaces</v>
      </c>
      <c r="K2045" s="168"/>
      <c r="L2045" s="159"/>
      <c r="M2045" s="169"/>
    </row>
    <row r="2046" spans="1:13" x14ac:dyDescent="0.55000000000000004">
      <c r="A2046" s="101" t="s">
        <v>482</v>
      </c>
      <c r="B2046" s="61" t="s">
        <v>421</v>
      </c>
      <c r="C2046" s="61" t="s">
        <v>132</v>
      </c>
      <c r="D2046" s="61" t="s">
        <v>3288</v>
      </c>
      <c r="E2046" s="119">
        <v>2</v>
      </c>
      <c r="F2046" s="148" t="s">
        <v>135</v>
      </c>
      <c r="G2046" s="151" t="s">
        <v>135</v>
      </c>
      <c r="H2046" s="68" t="s">
        <v>39</v>
      </c>
      <c r="I2046" s="168"/>
      <c r="J2046" s="74" t="str">
        <f t="shared" si="1"/>
        <v>[TIMES] Aluminium Recycled Production Enhanced Furnaces</v>
      </c>
      <c r="K2046" s="168"/>
      <c r="L2046" s="159"/>
      <c r="M2046" s="169"/>
    </row>
    <row r="2047" spans="1:13" x14ac:dyDescent="0.55000000000000004">
      <c r="A2047" s="101" t="s">
        <v>482</v>
      </c>
      <c r="B2047" s="168" t="s">
        <v>211</v>
      </c>
      <c r="C2047" s="61" t="s">
        <v>125</v>
      </c>
      <c r="D2047" s="61" t="s">
        <v>3288</v>
      </c>
      <c r="E2047" s="119">
        <v>1.04</v>
      </c>
      <c r="F2047" s="148" t="s">
        <v>135</v>
      </c>
      <c r="G2047" s="151" t="s">
        <v>135</v>
      </c>
      <c r="H2047" s="68" t="s">
        <v>480</v>
      </c>
      <c r="I2047" s="76" t="s">
        <v>481</v>
      </c>
      <c r="J2047" s="74" t="str">
        <f t="shared" si="1"/>
        <v>[TIMES] Aluminium Recycled Production Enhanced Furnaces</v>
      </c>
      <c r="K2047" s="168"/>
      <c r="L2047" s="159"/>
      <c r="M2047" s="169"/>
    </row>
    <row r="2048" spans="1:13" x14ac:dyDescent="0.55000000000000004">
      <c r="A2048" s="101" t="s">
        <v>482</v>
      </c>
      <c r="B2048" s="61" t="s">
        <v>153</v>
      </c>
      <c r="C2048" s="61" t="s">
        <v>127</v>
      </c>
      <c r="D2048" s="61" t="s">
        <v>2994</v>
      </c>
      <c r="E2048" s="119">
        <v>1.38</v>
      </c>
      <c r="F2048" s="148" t="s">
        <v>138</v>
      </c>
      <c r="G2048" s="151" t="s">
        <v>135</v>
      </c>
      <c r="H2048" s="68" t="s">
        <v>39</v>
      </c>
      <c r="I2048" s="168"/>
      <c r="J2048" s="74" t="str">
        <f t="shared" si="1"/>
        <v>[TIMES] Aluminium Recycled Production Enhanced Furnaces</v>
      </c>
      <c r="K2048" s="168"/>
      <c r="L2048" s="159"/>
      <c r="M2048" s="169"/>
    </row>
    <row r="2049" spans="1:13" x14ac:dyDescent="0.55000000000000004">
      <c r="A2049" s="101" t="s">
        <v>482</v>
      </c>
      <c r="B2049" s="61" t="s">
        <v>171</v>
      </c>
      <c r="C2049" s="61" t="s">
        <v>127</v>
      </c>
      <c r="D2049" s="61" t="s">
        <v>2994</v>
      </c>
      <c r="E2049" s="119">
        <v>2</v>
      </c>
      <c r="F2049" s="148" t="s">
        <v>138</v>
      </c>
      <c r="G2049" s="151" t="s">
        <v>135</v>
      </c>
      <c r="H2049" s="68" t="s">
        <v>39</v>
      </c>
      <c r="I2049" s="168"/>
      <c r="J2049" s="74" t="str">
        <f t="shared" si="1"/>
        <v>[TIMES] Aluminium Recycled Production Enhanced Furnaces</v>
      </c>
      <c r="K2049" s="168"/>
      <c r="L2049" s="159"/>
      <c r="M2049" s="169"/>
    </row>
    <row r="2050" spans="1:13" x14ac:dyDescent="0.55000000000000004">
      <c r="A2050" s="101" t="s">
        <v>482</v>
      </c>
      <c r="B2050" s="168" t="s">
        <v>160</v>
      </c>
      <c r="C2050" s="168" t="s">
        <v>247</v>
      </c>
      <c r="D2050" s="168" t="s">
        <v>3288</v>
      </c>
      <c r="E2050" s="119">
        <v>0.11219999999999999</v>
      </c>
      <c r="F2050" s="151" t="s">
        <v>135</v>
      </c>
      <c r="G2050" s="151" t="s">
        <v>135</v>
      </c>
      <c r="H2050" s="68" t="s">
        <v>376</v>
      </c>
      <c r="I2050" s="168"/>
      <c r="J2050" s="74" t="str">
        <f t="shared" si="1"/>
        <v>[TIMES] Aluminium Recycled Production Enhanced Furnaces</v>
      </c>
      <c r="K2050" s="168"/>
      <c r="L2050" s="131"/>
      <c r="M2050" s="169"/>
    </row>
    <row r="2051" spans="1:13" x14ac:dyDescent="0.55000000000000004">
      <c r="A2051" s="101" t="s">
        <v>479</v>
      </c>
      <c r="B2051" s="168" t="s">
        <v>210</v>
      </c>
      <c r="C2051" s="61" t="s">
        <v>121</v>
      </c>
      <c r="D2051" s="61" t="s">
        <v>3288</v>
      </c>
      <c r="E2051" s="119">
        <v>1</v>
      </c>
      <c r="F2051" s="148" t="s">
        <v>135</v>
      </c>
      <c r="G2051" s="148">
        <v>1</v>
      </c>
      <c r="H2051" s="68" t="s">
        <v>39</v>
      </c>
      <c r="I2051" s="168"/>
      <c r="J2051" s="74" t="str">
        <f t="shared" si="1"/>
        <v>[TIMES] Aluminium Recycled Production Scrap Pre-heat</v>
      </c>
      <c r="K2051" s="168"/>
      <c r="L2051" s="159"/>
      <c r="M2051" s="169"/>
    </row>
    <row r="2052" spans="1:13" x14ac:dyDescent="0.55000000000000004">
      <c r="A2052" s="101" t="s">
        <v>479</v>
      </c>
      <c r="B2052" s="61" t="s">
        <v>421</v>
      </c>
      <c r="C2052" s="61" t="s">
        <v>132</v>
      </c>
      <c r="D2052" s="61" t="s">
        <v>3288</v>
      </c>
      <c r="E2052" s="119">
        <v>2</v>
      </c>
      <c r="F2052" s="148" t="s">
        <v>135</v>
      </c>
      <c r="G2052" s="151" t="s">
        <v>135</v>
      </c>
      <c r="H2052" s="68" t="s">
        <v>39</v>
      </c>
      <c r="I2052" s="168"/>
      <c r="J2052" s="74" t="str">
        <f t="shared" si="1"/>
        <v>[TIMES] Aluminium Recycled Production Scrap Pre-heat</v>
      </c>
      <c r="K2052" s="168"/>
      <c r="L2052" s="159"/>
      <c r="M2052" s="169"/>
    </row>
    <row r="2053" spans="1:13" x14ac:dyDescent="0.55000000000000004">
      <c r="A2053" s="101" t="s">
        <v>479</v>
      </c>
      <c r="B2053" s="168" t="s">
        <v>211</v>
      </c>
      <c r="C2053" s="61" t="s">
        <v>125</v>
      </c>
      <c r="D2053" s="61" t="s">
        <v>3288</v>
      </c>
      <c r="E2053" s="119">
        <v>1.04</v>
      </c>
      <c r="F2053" s="148" t="s">
        <v>135</v>
      </c>
      <c r="G2053" s="151" t="s">
        <v>135</v>
      </c>
      <c r="H2053" s="68" t="s">
        <v>480</v>
      </c>
      <c r="I2053" s="76" t="s">
        <v>481</v>
      </c>
      <c r="J2053" s="74" t="str">
        <f t="shared" si="1"/>
        <v>[TIMES] Aluminium Recycled Production Scrap Pre-heat</v>
      </c>
      <c r="K2053" s="168"/>
      <c r="L2053" s="159"/>
      <c r="M2053" s="169"/>
    </row>
    <row r="2054" spans="1:13" x14ac:dyDescent="0.55000000000000004">
      <c r="A2054" s="101" t="s">
        <v>479</v>
      </c>
      <c r="B2054" s="61" t="s">
        <v>153</v>
      </c>
      <c r="C2054" s="61" t="s">
        <v>127</v>
      </c>
      <c r="D2054" s="61" t="s">
        <v>2994</v>
      </c>
      <c r="E2054" s="119">
        <v>1.38</v>
      </c>
      <c r="F2054" s="148" t="s">
        <v>138</v>
      </c>
      <c r="G2054" s="151" t="s">
        <v>135</v>
      </c>
      <c r="H2054" s="68" t="s">
        <v>39</v>
      </c>
      <c r="I2054" s="168"/>
      <c r="J2054" s="74" t="str">
        <f t="shared" si="1"/>
        <v>[TIMES] Aluminium Recycled Production Scrap Pre-heat</v>
      </c>
      <c r="K2054" s="168"/>
      <c r="L2054" s="159"/>
      <c r="M2054" s="169"/>
    </row>
    <row r="2055" spans="1:13" x14ac:dyDescent="0.55000000000000004">
      <c r="A2055" s="101" t="s">
        <v>479</v>
      </c>
      <c r="B2055" s="61" t="s">
        <v>171</v>
      </c>
      <c r="C2055" s="61" t="s">
        <v>127</v>
      </c>
      <c r="D2055" s="61" t="s">
        <v>2994</v>
      </c>
      <c r="E2055" s="119">
        <v>3.6</v>
      </c>
      <c r="F2055" s="148" t="s">
        <v>138</v>
      </c>
      <c r="G2055" s="151" t="s">
        <v>135</v>
      </c>
      <c r="H2055" s="68" t="s">
        <v>39</v>
      </c>
      <c r="I2055" s="168"/>
      <c r="J2055" s="74" t="str">
        <f t="shared" si="1"/>
        <v>[TIMES] Aluminium Recycled Production Scrap Pre-heat</v>
      </c>
      <c r="K2055" s="168"/>
      <c r="L2055" s="159"/>
      <c r="M2055" s="169"/>
    </row>
    <row r="2056" spans="1:13" x14ac:dyDescent="0.55000000000000004">
      <c r="A2056" s="101" t="s">
        <v>479</v>
      </c>
      <c r="B2056" s="168" t="s">
        <v>160</v>
      </c>
      <c r="C2056" s="168" t="s">
        <v>247</v>
      </c>
      <c r="D2056" s="168" t="s">
        <v>3288</v>
      </c>
      <c r="E2056" s="119">
        <v>0.20196</v>
      </c>
      <c r="F2056" s="151" t="s">
        <v>135</v>
      </c>
      <c r="G2056" s="151" t="s">
        <v>135</v>
      </c>
      <c r="H2056" s="68" t="s">
        <v>376</v>
      </c>
      <c r="I2056" s="168"/>
      <c r="J2056" s="74" t="str">
        <f t="shared" si="1"/>
        <v>[TIMES] Aluminium Recycled Production Scrap Pre-heat</v>
      </c>
      <c r="K2056" s="168"/>
      <c r="L2056" s="131"/>
      <c r="M2056" s="169"/>
    </row>
    <row r="2057" spans="1:13" x14ac:dyDescent="0.55000000000000004">
      <c r="A2057" s="92" t="s">
        <v>2007</v>
      </c>
      <c r="B2057" s="168" t="s">
        <v>339</v>
      </c>
      <c r="C2057" s="68" t="s">
        <v>121</v>
      </c>
      <c r="D2057" s="68" t="s">
        <v>3288</v>
      </c>
      <c r="E2057" s="120">
        <v>1</v>
      </c>
      <c r="F2057" s="149" t="s">
        <v>135</v>
      </c>
      <c r="G2057" s="149">
        <v>1</v>
      </c>
      <c r="H2057" s="68" t="s">
        <v>39</v>
      </c>
      <c r="I2057" s="168"/>
      <c r="J2057" s="77" t="s">
        <v>478</v>
      </c>
      <c r="K2057" s="168"/>
      <c r="L2057" s="163"/>
      <c r="M2057" s="169"/>
    </row>
    <row r="2058" spans="1:13" x14ac:dyDescent="0.55000000000000004">
      <c r="A2058" s="92" t="s">
        <v>2007</v>
      </c>
      <c r="B2058" s="168" t="s">
        <v>796</v>
      </c>
      <c r="C2058" s="68" t="s">
        <v>156</v>
      </c>
      <c r="D2058" s="68" t="s">
        <v>2994</v>
      </c>
      <c r="E2058" s="120">
        <v>0.65</v>
      </c>
      <c r="F2058" s="149" t="s">
        <v>138</v>
      </c>
      <c r="G2058" s="149" t="s">
        <v>135</v>
      </c>
      <c r="H2058" s="68" t="s">
        <v>39</v>
      </c>
      <c r="I2058" s="168"/>
      <c r="J2058" s="77" t="s">
        <v>478</v>
      </c>
      <c r="K2058" s="168"/>
      <c r="L2058" s="163"/>
      <c r="M2058" s="169"/>
    </row>
    <row r="2059" spans="1:13" x14ac:dyDescent="0.55000000000000004">
      <c r="A2059" s="92" t="s">
        <v>2007</v>
      </c>
      <c r="B2059" s="168" t="s">
        <v>213</v>
      </c>
      <c r="C2059" s="68" t="s">
        <v>125</v>
      </c>
      <c r="D2059" s="68" t="s">
        <v>3288</v>
      </c>
      <c r="E2059" s="120">
        <v>0.05</v>
      </c>
      <c r="F2059" s="149" t="s">
        <v>135</v>
      </c>
      <c r="G2059" s="149" t="s">
        <v>135</v>
      </c>
      <c r="H2059" s="68" t="s">
        <v>39</v>
      </c>
      <c r="I2059" s="168"/>
      <c r="J2059" s="77" t="s">
        <v>478</v>
      </c>
      <c r="K2059" s="168"/>
      <c r="L2059" s="163"/>
      <c r="M2059" s="169"/>
    </row>
    <row r="2060" spans="1:13" x14ac:dyDescent="0.55000000000000004">
      <c r="A2060" s="92" t="s">
        <v>2007</v>
      </c>
      <c r="B2060" s="168" t="s">
        <v>287</v>
      </c>
      <c r="C2060" s="68" t="s">
        <v>207</v>
      </c>
      <c r="D2060" s="68" t="s">
        <v>3288</v>
      </c>
      <c r="E2060" s="120">
        <v>0.9</v>
      </c>
      <c r="F2060" s="149" t="s">
        <v>135</v>
      </c>
      <c r="G2060" s="149" t="s">
        <v>135</v>
      </c>
      <c r="H2060" s="68" t="s">
        <v>39</v>
      </c>
      <c r="I2060" s="168"/>
      <c r="J2060" s="77" t="s">
        <v>478</v>
      </c>
      <c r="K2060" s="168"/>
      <c r="L2060" s="163"/>
      <c r="M2060" s="169"/>
    </row>
    <row r="2061" spans="1:13" x14ac:dyDescent="0.55000000000000004">
      <c r="A2061" s="92" t="s">
        <v>2007</v>
      </c>
      <c r="B2061" s="168" t="s">
        <v>341</v>
      </c>
      <c r="C2061" s="68" t="s">
        <v>125</v>
      </c>
      <c r="D2061" s="68" t="s">
        <v>3288</v>
      </c>
      <c r="E2061" s="120">
        <v>0.18</v>
      </c>
      <c r="F2061" s="149" t="s">
        <v>135</v>
      </c>
      <c r="G2061" s="149" t="s">
        <v>135</v>
      </c>
      <c r="H2061" s="68" t="s">
        <v>39</v>
      </c>
      <c r="I2061" s="168"/>
      <c r="J2061" s="77" t="s">
        <v>478</v>
      </c>
      <c r="K2061" s="168"/>
      <c r="L2061" s="163"/>
      <c r="M2061" s="169"/>
    </row>
    <row r="2062" spans="1:13" x14ac:dyDescent="0.55000000000000004">
      <c r="A2062" s="92" t="s">
        <v>2007</v>
      </c>
      <c r="B2062" s="168" t="s">
        <v>170</v>
      </c>
      <c r="C2062" s="68" t="s">
        <v>125</v>
      </c>
      <c r="D2062" s="68" t="s">
        <v>3288</v>
      </c>
      <c r="E2062" s="120">
        <v>0.05</v>
      </c>
      <c r="F2062" s="151" t="s">
        <v>135</v>
      </c>
      <c r="G2062" s="151" t="s">
        <v>135</v>
      </c>
      <c r="H2062" s="68" t="s">
        <v>39</v>
      </c>
      <c r="I2062" s="168"/>
      <c r="J2062" s="77" t="s">
        <v>478</v>
      </c>
      <c r="K2062" s="168"/>
      <c r="L2062" s="163"/>
      <c r="M2062" s="169"/>
    </row>
    <row r="2063" spans="1:13" x14ac:dyDescent="0.55000000000000004">
      <c r="A2063" s="92" t="s">
        <v>2007</v>
      </c>
      <c r="B2063" s="168" t="s">
        <v>153</v>
      </c>
      <c r="C2063" s="68" t="s">
        <v>127</v>
      </c>
      <c r="D2063" s="68" t="s">
        <v>2994</v>
      </c>
      <c r="E2063" s="120">
        <v>0.1</v>
      </c>
      <c r="F2063" s="151" t="s">
        <v>138</v>
      </c>
      <c r="G2063" s="151" t="s">
        <v>135</v>
      </c>
      <c r="H2063" s="68" t="s">
        <v>39</v>
      </c>
      <c r="I2063" s="168"/>
      <c r="J2063" s="77" t="s">
        <v>478</v>
      </c>
      <c r="K2063" s="168"/>
      <c r="L2063" s="163"/>
      <c r="M2063" s="169"/>
    </row>
    <row r="2064" spans="1:13" x14ac:dyDescent="0.55000000000000004">
      <c r="A2064" s="92" t="s">
        <v>2006</v>
      </c>
      <c r="B2064" s="168" t="s">
        <v>339</v>
      </c>
      <c r="C2064" s="68" t="s">
        <v>121</v>
      </c>
      <c r="D2064" s="68" t="s">
        <v>3288</v>
      </c>
      <c r="E2064" s="120">
        <v>1</v>
      </c>
      <c r="F2064" s="149" t="s">
        <v>135</v>
      </c>
      <c r="G2064" s="149">
        <v>1</v>
      </c>
      <c r="H2064" s="68" t="s">
        <v>39</v>
      </c>
      <c r="I2064" s="168"/>
      <c r="J2064" s="77" t="s">
        <v>477</v>
      </c>
      <c r="K2064" s="168"/>
      <c r="L2064" s="163"/>
      <c r="M2064" s="169"/>
    </row>
    <row r="2065" spans="1:13" x14ac:dyDescent="0.55000000000000004">
      <c r="A2065" s="92" t="s">
        <v>2006</v>
      </c>
      <c r="B2065" s="168" t="s">
        <v>796</v>
      </c>
      <c r="C2065" s="68" t="s">
        <v>156</v>
      </c>
      <c r="D2065" s="68" t="s">
        <v>2994</v>
      </c>
      <c r="E2065" s="120">
        <v>0.65</v>
      </c>
      <c r="F2065" s="149" t="s">
        <v>138</v>
      </c>
      <c r="G2065" s="149" t="s">
        <v>135</v>
      </c>
      <c r="H2065" s="68" t="s">
        <v>39</v>
      </c>
      <c r="I2065" s="168"/>
      <c r="J2065" s="77" t="s">
        <v>477</v>
      </c>
      <c r="K2065" s="168"/>
      <c r="L2065" s="163"/>
      <c r="M2065" s="169"/>
    </row>
    <row r="2066" spans="1:13" x14ac:dyDescent="0.55000000000000004">
      <c r="A2066" s="92" t="s">
        <v>2006</v>
      </c>
      <c r="B2066" s="168" t="s">
        <v>213</v>
      </c>
      <c r="C2066" s="68" t="s">
        <v>125</v>
      </c>
      <c r="D2066" s="68" t="s">
        <v>3288</v>
      </c>
      <c r="E2066" s="120">
        <v>0.05</v>
      </c>
      <c r="F2066" s="149" t="s">
        <v>135</v>
      </c>
      <c r="G2066" s="149" t="s">
        <v>135</v>
      </c>
      <c r="H2066" s="68" t="s">
        <v>39</v>
      </c>
      <c r="I2066" s="168"/>
      <c r="J2066" s="77" t="s">
        <v>477</v>
      </c>
      <c r="K2066" s="168"/>
      <c r="L2066" s="163"/>
      <c r="M2066" s="169"/>
    </row>
    <row r="2067" spans="1:13" x14ac:dyDescent="0.55000000000000004">
      <c r="A2067" s="92" t="s">
        <v>2006</v>
      </c>
      <c r="B2067" s="168" t="s">
        <v>287</v>
      </c>
      <c r="C2067" s="68" t="s">
        <v>207</v>
      </c>
      <c r="D2067" s="68" t="s">
        <v>3288</v>
      </c>
      <c r="E2067" s="120">
        <v>0.495</v>
      </c>
      <c r="F2067" s="149" t="s">
        <v>135</v>
      </c>
      <c r="G2067" s="149" t="s">
        <v>135</v>
      </c>
      <c r="H2067" s="68" t="s">
        <v>39</v>
      </c>
      <c r="I2067" s="168"/>
      <c r="J2067" s="77" t="s">
        <v>477</v>
      </c>
      <c r="K2067" s="168"/>
      <c r="L2067" s="163"/>
      <c r="M2067" s="169"/>
    </row>
    <row r="2068" spans="1:13" x14ac:dyDescent="0.55000000000000004">
      <c r="A2068" s="92" t="s">
        <v>2006</v>
      </c>
      <c r="B2068" s="168" t="s">
        <v>341</v>
      </c>
      <c r="C2068" s="68" t="s">
        <v>125</v>
      </c>
      <c r="D2068" s="68" t="s">
        <v>3288</v>
      </c>
      <c r="E2068" s="120">
        <v>0.59499999999999997</v>
      </c>
      <c r="F2068" s="149" t="s">
        <v>135</v>
      </c>
      <c r="G2068" s="149" t="s">
        <v>135</v>
      </c>
      <c r="H2068" s="68" t="s">
        <v>39</v>
      </c>
      <c r="I2068" s="168"/>
      <c r="J2068" s="77" t="s">
        <v>477</v>
      </c>
      <c r="K2068" s="168"/>
      <c r="L2068" s="163"/>
      <c r="M2068" s="169"/>
    </row>
    <row r="2069" spans="1:13" x14ac:dyDescent="0.55000000000000004">
      <c r="A2069" s="92" t="s">
        <v>2006</v>
      </c>
      <c r="B2069" s="168" t="s">
        <v>170</v>
      </c>
      <c r="C2069" s="68" t="s">
        <v>125</v>
      </c>
      <c r="D2069" s="68" t="s">
        <v>3288</v>
      </c>
      <c r="E2069" s="120">
        <v>0.05</v>
      </c>
      <c r="F2069" s="149" t="s">
        <v>135</v>
      </c>
      <c r="G2069" s="149" t="s">
        <v>135</v>
      </c>
      <c r="H2069" s="68" t="s">
        <v>39</v>
      </c>
      <c r="I2069" s="168"/>
      <c r="J2069" s="77" t="s">
        <v>477</v>
      </c>
      <c r="K2069" s="168"/>
      <c r="L2069" s="163"/>
      <c r="M2069" s="169"/>
    </row>
    <row r="2070" spans="1:13" x14ac:dyDescent="0.55000000000000004">
      <c r="A2070" s="92" t="s">
        <v>2006</v>
      </c>
      <c r="B2070" s="168" t="s">
        <v>153</v>
      </c>
      <c r="C2070" s="68" t="s">
        <v>127</v>
      </c>
      <c r="D2070" s="68" t="s">
        <v>2994</v>
      </c>
      <c r="E2070" s="120">
        <v>0.1</v>
      </c>
      <c r="F2070" s="149" t="s">
        <v>138</v>
      </c>
      <c r="G2070" s="149" t="s">
        <v>135</v>
      </c>
      <c r="H2070" s="68" t="s">
        <v>39</v>
      </c>
      <c r="I2070" s="168"/>
      <c r="J2070" s="77" t="s">
        <v>477</v>
      </c>
      <c r="K2070" s="168"/>
      <c r="L2070" s="163"/>
      <c r="M2070" s="169"/>
    </row>
    <row r="2071" spans="1:13" x14ac:dyDescent="0.55000000000000004">
      <c r="A2071" s="105" t="s">
        <v>475</v>
      </c>
      <c r="B2071" s="68" t="s">
        <v>476</v>
      </c>
      <c r="C2071" s="68" t="s">
        <v>121</v>
      </c>
      <c r="D2071" s="68" t="s">
        <v>2994</v>
      </c>
      <c r="E2071" s="120">
        <v>1</v>
      </c>
      <c r="F2071" s="151" t="s">
        <v>138</v>
      </c>
      <c r="G2071" s="151">
        <v>1</v>
      </c>
      <c r="H2071" s="68" t="s">
        <v>39</v>
      </c>
      <c r="I2071" s="168"/>
      <c r="J2071" s="75" t="s">
        <v>475</v>
      </c>
      <c r="K2071" s="168"/>
      <c r="L2071" s="163"/>
      <c r="M2071" s="169"/>
    </row>
    <row r="2072" spans="1:13" x14ac:dyDescent="0.55000000000000004">
      <c r="A2072" s="105" t="s">
        <v>475</v>
      </c>
      <c r="B2072" s="68" t="s">
        <v>208</v>
      </c>
      <c r="C2072" s="61" t="s">
        <v>156</v>
      </c>
      <c r="D2072" s="68" t="s">
        <v>2994</v>
      </c>
      <c r="E2072" s="120">
        <v>0.2</v>
      </c>
      <c r="F2072" s="151" t="s">
        <v>138</v>
      </c>
      <c r="G2072" s="151" t="s">
        <v>138</v>
      </c>
      <c r="H2072" s="68" t="s">
        <v>39</v>
      </c>
      <c r="I2072" s="168"/>
      <c r="J2072" s="75" t="s">
        <v>475</v>
      </c>
      <c r="K2072" s="168"/>
      <c r="L2072" s="163"/>
      <c r="M2072" s="169"/>
    </row>
    <row r="2073" spans="1:13" x14ac:dyDescent="0.55000000000000004">
      <c r="A2073" s="105" t="s">
        <v>475</v>
      </c>
      <c r="B2073" s="68" t="s">
        <v>233</v>
      </c>
      <c r="C2073" s="68" t="s">
        <v>207</v>
      </c>
      <c r="D2073" s="68" t="s">
        <v>2994</v>
      </c>
      <c r="E2073" s="120">
        <v>1.77</v>
      </c>
      <c r="F2073" s="151" t="s">
        <v>138</v>
      </c>
      <c r="G2073" s="151" t="s">
        <v>138</v>
      </c>
      <c r="H2073" s="68" t="s">
        <v>39</v>
      </c>
      <c r="I2073" s="168"/>
      <c r="J2073" s="75" t="s">
        <v>475</v>
      </c>
      <c r="K2073" s="168"/>
      <c r="L2073" s="163"/>
      <c r="M2073" s="169"/>
    </row>
    <row r="2074" spans="1:13" x14ac:dyDescent="0.55000000000000004">
      <c r="A2074" s="105" t="s">
        <v>475</v>
      </c>
      <c r="B2074" s="168" t="s">
        <v>160</v>
      </c>
      <c r="C2074" s="68" t="s">
        <v>247</v>
      </c>
      <c r="D2074" s="68" t="s">
        <v>3288</v>
      </c>
      <c r="E2074" s="119">
        <v>1.04E-2</v>
      </c>
      <c r="F2074" s="151" t="s">
        <v>135</v>
      </c>
      <c r="G2074" s="151" t="s">
        <v>135</v>
      </c>
      <c r="H2074" s="68" t="s">
        <v>373</v>
      </c>
      <c r="I2074" s="168"/>
      <c r="J2074" s="75" t="s">
        <v>475</v>
      </c>
      <c r="K2074" s="168"/>
      <c r="L2074" s="163"/>
      <c r="M2074" s="169"/>
    </row>
    <row r="2075" spans="1:13" x14ac:dyDescent="0.55000000000000004">
      <c r="A2075" s="105" t="s">
        <v>473</v>
      </c>
      <c r="B2075" s="68" t="s">
        <v>474</v>
      </c>
      <c r="C2075" s="68" t="s">
        <v>121</v>
      </c>
      <c r="D2075" s="68" t="s">
        <v>2994</v>
      </c>
      <c r="E2075" s="120">
        <v>1</v>
      </c>
      <c r="F2075" s="151" t="s">
        <v>138</v>
      </c>
      <c r="G2075" s="151">
        <v>1</v>
      </c>
      <c r="H2075" s="68" t="s">
        <v>39</v>
      </c>
      <c r="I2075" s="168"/>
      <c r="J2075" s="75" t="s">
        <v>473</v>
      </c>
      <c r="K2075" s="168"/>
      <c r="L2075" s="163"/>
      <c r="M2075" s="169"/>
    </row>
    <row r="2076" spans="1:13" x14ac:dyDescent="0.55000000000000004">
      <c r="A2076" s="105" t="s">
        <v>473</v>
      </c>
      <c r="B2076" s="68" t="s">
        <v>208</v>
      </c>
      <c r="C2076" s="61" t="s">
        <v>156</v>
      </c>
      <c r="D2076" s="68" t="s">
        <v>2994</v>
      </c>
      <c r="E2076" s="120">
        <v>0.2</v>
      </c>
      <c r="F2076" s="151" t="s">
        <v>138</v>
      </c>
      <c r="G2076" s="151" t="s">
        <v>138</v>
      </c>
      <c r="H2076" s="68" t="s">
        <v>39</v>
      </c>
      <c r="I2076" s="168"/>
      <c r="J2076" s="75" t="s">
        <v>473</v>
      </c>
      <c r="K2076" s="168"/>
      <c r="L2076" s="163"/>
      <c r="M2076" s="169"/>
    </row>
    <row r="2077" spans="1:13" x14ac:dyDescent="0.55000000000000004">
      <c r="A2077" s="105" t="s">
        <v>473</v>
      </c>
      <c r="B2077" s="68" t="s">
        <v>233</v>
      </c>
      <c r="C2077" s="68" t="s">
        <v>207</v>
      </c>
      <c r="D2077" s="68" t="s">
        <v>2994</v>
      </c>
      <c r="E2077" s="120">
        <v>2.13</v>
      </c>
      <c r="F2077" s="151" t="s">
        <v>138</v>
      </c>
      <c r="G2077" s="151" t="s">
        <v>138</v>
      </c>
      <c r="H2077" s="68" t="s">
        <v>39</v>
      </c>
      <c r="I2077" s="168"/>
      <c r="J2077" s="75" t="s">
        <v>473</v>
      </c>
      <c r="K2077" s="168"/>
      <c r="L2077" s="163"/>
      <c r="M2077" s="169"/>
    </row>
    <row r="2078" spans="1:13" x14ac:dyDescent="0.55000000000000004">
      <c r="A2078" s="105" t="s">
        <v>473</v>
      </c>
      <c r="B2078" s="168" t="s">
        <v>160</v>
      </c>
      <c r="C2078" s="168" t="s">
        <v>247</v>
      </c>
      <c r="D2078" s="168" t="s">
        <v>3288</v>
      </c>
      <c r="E2078" s="119">
        <v>1.04E-2</v>
      </c>
      <c r="F2078" s="151" t="s">
        <v>135</v>
      </c>
      <c r="G2078" s="151" t="s">
        <v>135</v>
      </c>
      <c r="H2078" s="68" t="s">
        <v>373</v>
      </c>
      <c r="I2078" s="168"/>
      <c r="J2078" s="75" t="s">
        <v>473</v>
      </c>
      <c r="K2078" s="168"/>
      <c r="L2078" s="131"/>
      <c r="M2078" s="169"/>
    </row>
    <row r="2079" spans="1:13" x14ac:dyDescent="0.55000000000000004">
      <c r="A2079" s="105" t="s">
        <v>472</v>
      </c>
      <c r="B2079" s="68" t="s">
        <v>469</v>
      </c>
      <c r="C2079" s="68" t="s">
        <v>121</v>
      </c>
      <c r="D2079" s="68" t="s">
        <v>2994</v>
      </c>
      <c r="E2079" s="120">
        <v>1</v>
      </c>
      <c r="F2079" s="151" t="s">
        <v>138</v>
      </c>
      <c r="G2079" s="151">
        <v>1</v>
      </c>
      <c r="H2079" s="68" t="s">
        <v>39</v>
      </c>
      <c r="I2079" s="168"/>
      <c r="J2079" s="75" t="s">
        <v>468</v>
      </c>
      <c r="K2079" s="168"/>
      <c r="L2079" s="163"/>
      <c r="M2079" s="169"/>
    </row>
    <row r="2080" spans="1:13" x14ac:dyDescent="0.55000000000000004">
      <c r="A2080" s="105" t="s">
        <v>472</v>
      </c>
      <c r="B2080" s="68" t="s">
        <v>208</v>
      </c>
      <c r="C2080" s="61" t="s">
        <v>156</v>
      </c>
      <c r="D2080" s="68" t="s">
        <v>2994</v>
      </c>
      <c r="E2080" s="120">
        <v>0.2</v>
      </c>
      <c r="F2080" s="151" t="s">
        <v>138</v>
      </c>
      <c r="G2080" s="151" t="s">
        <v>138</v>
      </c>
      <c r="H2080" s="68" t="s">
        <v>39</v>
      </c>
      <c r="I2080" s="168"/>
      <c r="J2080" s="75" t="s">
        <v>468</v>
      </c>
      <c r="K2080" s="168"/>
      <c r="L2080" s="163"/>
      <c r="M2080" s="169"/>
    </row>
    <row r="2081" spans="1:13" x14ac:dyDescent="0.55000000000000004">
      <c r="A2081" s="105" t="s">
        <v>472</v>
      </c>
      <c r="B2081" s="68" t="s">
        <v>233</v>
      </c>
      <c r="C2081" s="68" t="s">
        <v>207</v>
      </c>
      <c r="D2081" s="68" t="s">
        <v>2994</v>
      </c>
      <c r="E2081" s="120">
        <v>1.79</v>
      </c>
      <c r="F2081" s="151" t="s">
        <v>138</v>
      </c>
      <c r="G2081" s="151" t="s">
        <v>138</v>
      </c>
      <c r="H2081" s="68" t="s">
        <v>39</v>
      </c>
      <c r="I2081" s="168"/>
      <c r="J2081" s="75" t="s">
        <v>468</v>
      </c>
      <c r="K2081" s="168"/>
      <c r="L2081" s="163"/>
      <c r="M2081" s="169"/>
    </row>
    <row r="2082" spans="1:13" x14ac:dyDescent="0.55000000000000004">
      <c r="A2082" s="105" t="s">
        <v>472</v>
      </c>
      <c r="B2082" s="168" t="s">
        <v>160</v>
      </c>
      <c r="C2082" s="168" t="s">
        <v>247</v>
      </c>
      <c r="D2082" s="168" t="s">
        <v>3288</v>
      </c>
      <c r="E2082" s="119">
        <v>1.04E-2</v>
      </c>
      <c r="F2082" s="151" t="s">
        <v>135</v>
      </c>
      <c r="G2082" s="151" t="s">
        <v>135</v>
      </c>
      <c r="H2082" s="68" t="s">
        <v>373</v>
      </c>
      <c r="I2082" s="168"/>
      <c r="J2082" s="75" t="s">
        <v>468</v>
      </c>
      <c r="K2082" s="168"/>
      <c r="L2082" s="131"/>
      <c r="M2082" s="169"/>
    </row>
    <row r="2083" spans="1:13" x14ac:dyDescent="0.55000000000000004">
      <c r="A2083" s="105" t="s">
        <v>470</v>
      </c>
      <c r="B2083" s="68" t="s">
        <v>471</v>
      </c>
      <c r="C2083" s="68" t="s">
        <v>121</v>
      </c>
      <c r="D2083" s="68" t="s">
        <v>2994</v>
      </c>
      <c r="E2083" s="120">
        <v>1</v>
      </c>
      <c r="F2083" s="151" t="s">
        <v>138</v>
      </c>
      <c r="G2083" s="151">
        <v>1</v>
      </c>
      <c r="H2083" s="68" t="s">
        <v>39</v>
      </c>
      <c r="I2083" s="168"/>
      <c r="J2083" s="75" t="s">
        <v>470</v>
      </c>
      <c r="K2083" s="168"/>
      <c r="L2083" s="163"/>
      <c r="M2083" s="169"/>
    </row>
    <row r="2084" spans="1:13" x14ac:dyDescent="0.55000000000000004">
      <c r="A2084" s="105" t="s">
        <v>470</v>
      </c>
      <c r="B2084" s="68" t="s">
        <v>208</v>
      </c>
      <c r="C2084" s="61" t="s">
        <v>156</v>
      </c>
      <c r="D2084" s="68" t="s">
        <v>2994</v>
      </c>
      <c r="E2084" s="120">
        <v>0.2</v>
      </c>
      <c r="F2084" s="151" t="s">
        <v>138</v>
      </c>
      <c r="G2084" s="151" t="s">
        <v>138</v>
      </c>
      <c r="H2084" s="68" t="s">
        <v>39</v>
      </c>
      <c r="I2084" s="168"/>
      <c r="J2084" s="75" t="s">
        <v>470</v>
      </c>
      <c r="K2084" s="168"/>
      <c r="L2084" s="163"/>
      <c r="M2084" s="169"/>
    </row>
    <row r="2085" spans="1:13" x14ac:dyDescent="0.55000000000000004">
      <c r="A2085" s="105" t="s">
        <v>470</v>
      </c>
      <c r="B2085" s="68" t="s">
        <v>233</v>
      </c>
      <c r="C2085" s="68" t="s">
        <v>207</v>
      </c>
      <c r="D2085" s="68" t="s">
        <v>2994</v>
      </c>
      <c r="E2085" s="120">
        <v>1.92</v>
      </c>
      <c r="F2085" s="151" t="s">
        <v>138</v>
      </c>
      <c r="G2085" s="151" t="s">
        <v>138</v>
      </c>
      <c r="H2085" s="68" t="s">
        <v>39</v>
      </c>
      <c r="I2085" s="168"/>
      <c r="J2085" s="75" t="s">
        <v>470</v>
      </c>
      <c r="K2085" s="168"/>
      <c r="L2085" s="163"/>
      <c r="M2085" s="169"/>
    </row>
    <row r="2086" spans="1:13" x14ac:dyDescent="0.55000000000000004">
      <c r="A2086" s="105" t="s">
        <v>470</v>
      </c>
      <c r="B2086" s="168" t="s">
        <v>160</v>
      </c>
      <c r="C2086" s="168" t="s">
        <v>247</v>
      </c>
      <c r="D2086" s="168" t="s">
        <v>3288</v>
      </c>
      <c r="E2086" s="119">
        <v>1.04E-2</v>
      </c>
      <c r="F2086" s="151" t="s">
        <v>135</v>
      </c>
      <c r="G2086" s="151" t="s">
        <v>135</v>
      </c>
      <c r="H2086" s="68" t="s">
        <v>373</v>
      </c>
      <c r="I2086" s="168"/>
      <c r="J2086" s="75" t="s">
        <v>470</v>
      </c>
      <c r="K2086" s="168"/>
      <c r="L2086" s="131"/>
      <c r="M2086" s="169"/>
    </row>
    <row r="2087" spans="1:13" x14ac:dyDescent="0.55000000000000004">
      <c r="A2087" s="105" t="s">
        <v>468</v>
      </c>
      <c r="B2087" s="68" t="s">
        <v>469</v>
      </c>
      <c r="C2087" s="68" t="s">
        <v>121</v>
      </c>
      <c r="D2087" s="68" t="s">
        <v>2994</v>
      </c>
      <c r="E2087" s="120">
        <v>1</v>
      </c>
      <c r="F2087" s="151" t="s">
        <v>138</v>
      </c>
      <c r="G2087" s="151">
        <v>1</v>
      </c>
      <c r="H2087" s="68" t="s">
        <v>39</v>
      </c>
      <c r="I2087" s="168"/>
      <c r="J2087" s="75" t="s">
        <v>468</v>
      </c>
      <c r="K2087" s="168"/>
      <c r="L2087" s="163"/>
      <c r="M2087" s="169"/>
    </row>
    <row r="2088" spans="1:13" x14ac:dyDescent="0.55000000000000004">
      <c r="A2088" s="105" t="s">
        <v>468</v>
      </c>
      <c r="B2088" s="68" t="s">
        <v>208</v>
      </c>
      <c r="C2088" s="61" t="s">
        <v>156</v>
      </c>
      <c r="D2088" s="68" t="s">
        <v>2994</v>
      </c>
      <c r="E2088" s="120">
        <v>0.2</v>
      </c>
      <c r="F2088" s="151" t="s">
        <v>138</v>
      </c>
      <c r="G2088" s="151" t="s">
        <v>138</v>
      </c>
      <c r="H2088" s="68" t="s">
        <v>39</v>
      </c>
      <c r="I2088" s="168"/>
      <c r="J2088" s="75" t="s">
        <v>468</v>
      </c>
      <c r="K2088" s="168"/>
      <c r="L2088" s="163"/>
      <c r="M2088" s="169"/>
    </row>
    <row r="2089" spans="1:13" x14ac:dyDescent="0.55000000000000004">
      <c r="A2089" s="105" t="s">
        <v>468</v>
      </c>
      <c r="B2089" s="68" t="s">
        <v>233</v>
      </c>
      <c r="C2089" s="68" t="s">
        <v>207</v>
      </c>
      <c r="D2089" s="68" t="s">
        <v>2994</v>
      </c>
      <c r="E2089" s="120">
        <v>1.79</v>
      </c>
      <c r="F2089" s="151" t="s">
        <v>138</v>
      </c>
      <c r="G2089" s="151" t="s">
        <v>138</v>
      </c>
      <c r="H2089" s="68" t="s">
        <v>39</v>
      </c>
      <c r="I2089" s="168"/>
      <c r="J2089" s="75" t="s">
        <v>468</v>
      </c>
      <c r="K2089" s="168"/>
      <c r="L2089" s="163"/>
      <c r="M2089" s="169"/>
    </row>
    <row r="2090" spans="1:13" x14ac:dyDescent="0.55000000000000004">
      <c r="A2090" s="105" t="s">
        <v>468</v>
      </c>
      <c r="B2090" s="168" t="s">
        <v>160</v>
      </c>
      <c r="C2090" s="168" t="s">
        <v>247</v>
      </c>
      <c r="D2090" s="168" t="s">
        <v>3288</v>
      </c>
      <c r="E2090" s="119">
        <v>1.04E-2</v>
      </c>
      <c r="F2090" s="151" t="s">
        <v>135</v>
      </c>
      <c r="G2090" s="151" t="s">
        <v>135</v>
      </c>
      <c r="H2090" s="68" t="s">
        <v>373</v>
      </c>
      <c r="I2090" s="168"/>
      <c r="J2090" s="75" t="s">
        <v>468</v>
      </c>
      <c r="K2090" s="168"/>
      <c r="L2090" s="131"/>
      <c r="M2090" s="169"/>
    </row>
    <row r="2091" spans="1:13" x14ac:dyDescent="0.55000000000000004">
      <c r="A2091" s="92" t="s">
        <v>466</v>
      </c>
      <c r="B2091" s="168" t="s">
        <v>287</v>
      </c>
      <c r="C2091" s="168" t="s">
        <v>121</v>
      </c>
      <c r="D2091" s="168" t="s">
        <v>3288</v>
      </c>
      <c r="E2091" s="116">
        <v>1</v>
      </c>
      <c r="F2091" s="149" t="s">
        <v>135</v>
      </c>
      <c r="G2091" s="149">
        <v>1</v>
      </c>
      <c r="H2091" s="68" t="s">
        <v>39</v>
      </c>
      <c r="I2091" s="168"/>
      <c r="J2091" s="77" t="s">
        <v>467</v>
      </c>
      <c r="K2091" s="168"/>
      <c r="L2091" s="131"/>
      <c r="M2091" s="169"/>
    </row>
    <row r="2092" spans="1:13" x14ac:dyDescent="0.55000000000000004">
      <c r="A2092" s="92" t="s">
        <v>466</v>
      </c>
      <c r="B2092" s="168" t="s">
        <v>288</v>
      </c>
      <c r="C2092" s="168" t="s">
        <v>156</v>
      </c>
      <c r="D2092" s="168" t="s">
        <v>3288</v>
      </c>
      <c r="E2092" s="116">
        <v>0.25</v>
      </c>
      <c r="F2092" s="149" t="s">
        <v>135</v>
      </c>
      <c r="G2092" s="149" t="s">
        <v>135</v>
      </c>
      <c r="H2092" s="68" t="s">
        <v>39</v>
      </c>
      <c r="I2092" s="168"/>
      <c r="J2092" s="77" t="s">
        <v>467</v>
      </c>
      <c r="K2092" s="168"/>
      <c r="L2092" s="131"/>
      <c r="M2092" s="169"/>
    </row>
    <row r="2093" spans="1:13" x14ac:dyDescent="0.55000000000000004">
      <c r="A2093" s="92" t="s">
        <v>466</v>
      </c>
      <c r="B2093" s="168" t="s">
        <v>289</v>
      </c>
      <c r="C2093" s="168" t="s">
        <v>156</v>
      </c>
      <c r="D2093" s="168" t="s">
        <v>2994</v>
      </c>
      <c r="E2093" s="116">
        <v>3.25</v>
      </c>
      <c r="F2093" s="149" t="s">
        <v>138</v>
      </c>
      <c r="G2093" s="149" t="s">
        <v>135</v>
      </c>
      <c r="H2093" s="68" t="s">
        <v>39</v>
      </c>
      <c r="I2093" s="168"/>
      <c r="J2093" s="77" t="s">
        <v>467</v>
      </c>
      <c r="K2093" s="168"/>
      <c r="L2093" s="131"/>
      <c r="M2093" s="169"/>
    </row>
    <row r="2094" spans="1:13" x14ac:dyDescent="0.55000000000000004">
      <c r="A2094" s="92" t="s">
        <v>466</v>
      </c>
      <c r="B2094" s="168" t="s">
        <v>323</v>
      </c>
      <c r="C2094" s="21" t="s">
        <v>125</v>
      </c>
      <c r="D2094" s="168" t="s">
        <v>3288</v>
      </c>
      <c r="E2094" s="116">
        <v>0.155</v>
      </c>
      <c r="F2094" s="149" t="s">
        <v>135</v>
      </c>
      <c r="G2094" s="149" t="s">
        <v>135</v>
      </c>
      <c r="H2094" s="68" t="s">
        <v>39</v>
      </c>
      <c r="I2094" s="168"/>
      <c r="J2094" s="77" t="s">
        <v>467</v>
      </c>
      <c r="K2094" s="168"/>
      <c r="L2094" s="131"/>
      <c r="M2094" s="169"/>
    </row>
    <row r="2095" spans="1:13" x14ac:dyDescent="0.55000000000000004">
      <c r="A2095" s="92" t="s">
        <v>466</v>
      </c>
      <c r="B2095" s="168" t="s">
        <v>290</v>
      </c>
      <c r="C2095" s="21" t="s">
        <v>125</v>
      </c>
      <c r="D2095" s="168" t="s">
        <v>3288</v>
      </c>
      <c r="E2095" s="116">
        <v>1.34</v>
      </c>
      <c r="F2095" s="149" t="s">
        <v>135</v>
      </c>
      <c r="G2095" s="149" t="s">
        <v>135</v>
      </c>
      <c r="H2095" s="68" t="s">
        <v>39</v>
      </c>
      <c r="I2095" s="168"/>
      <c r="J2095" s="77" t="s">
        <v>467</v>
      </c>
      <c r="K2095" s="168"/>
      <c r="L2095" s="131"/>
      <c r="M2095" s="169"/>
    </row>
    <row r="2096" spans="1:13" x14ac:dyDescent="0.55000000000000004">
      <c r="A2096" s="92" t="s">
        <v>466</v>
      </c>
      <c r="B2096" s="168" t="s">
        <v>213</v>
      </c>
      <c r="C2096" s="168" t="s">
        <v>125</v>
      </c>
      <c r="D2096" s="168" t="s">
        <v>3288</v>
      </c>
      <c r="E2096" s="116">
        <v>0.05</v>
      </c>
      <c r="F2096" s="149" t="s">
        <v>135</v>
      </c>
      <c r="G2096" s="149" t="s">
        <v>135</v>
      </c>
      <c r="H2096" s="68" t="s">
        <v>39</v>
      </c>
      <c r="I2096" s="168"/>
      <c r="J2096" s="77" t="s">
        <v>467</v>
      </c>
      <c r="K2096" s="168"/>
      <c r="L2096" s="131"/>
      <c r="M2096" s="169"/>
    </row>
    <row r="2097" spans="1:13" x14ac:dyDescent="0.55000000000000004">
      <c r="A2097" s="92" t="s">
        <v>466</v>
      </c>
      <c r="B2097" s="168" t="s">
        <v>230</v>
      </c>
      <c r="C2097" s="168" t="s">
        <v>127</v>
      </c>
      <c r="D2097" s="168" t="s">
        <v>2994</v>
      </c>
      <c r="E2097" s="116">
        <v>18</v>
      </c>
      <c r="F2097" s="149" t="s">
        <v>138</v>
      </c>
      <c r="G2097" s="149" t="s">
        <v>135</v>
      </c>
      <c r="H2097" s="68" t="s">
        <v>39</v>
      </c>
      <c r="I2097" s="168"/>
      <c r="J2097" s="77" t="s">
        <v>467</v>
      </c>
      <c r="K2097" s="168"/>
      <c r="L2097" s="131"/>
      <c r="M2097" s="169"/>
    </row>
    <row r="2098" spans="1:13" x14ac:dyDescent="0.55000000000000004">
      <c r="A2098" s="92" t="s">
        <v>466</v>
      </c>
      <c r="B2098" s="168" t="s">
        <v>153</v>
      </c>
      <c r="C2098" s="168" t="s">
        <v>127</v>
      </c>
      <c r="D2098" s="168" t="s">
        <v>2994</v>
      </c>
      <c r="E2098" s="116">
        <v>0.5</v>
      </c>
      <c r="F2098" s="149" t="s">
        <v>138</v>
      </c>
      <c r="G2098" s="149" t="s">
        <v>135</v>
      </c>
      <c r="H2098" s="68" t="s">
        <v>39</v>
      </c>
      <c r="I2098" s="168"/>
      <c r="J2098" s="77" t="s">
        <v>467</v>
      </c>
      <c r="K2098" s="168"/>
      <c r="L2098" s="131"/>
      <c r="M2098" s="169"/>
    </row>
    <row r="2099" spans="1:13" x14ac:dyDescent="0.55000000000000004">
      <c r="A2099" s="92" t="s">
        <v>464</v>
      </c>
      <c r="B2099" s="168" t="s">
        <v>287</v>
      </c>
      <c r="C2099" s="168" t="s">
        <v>121</v>
      </c>
      <c r="D2099" s="168" t="s">
        <v>3288</v>
      </c>
      <c r="E2099" s="116">
        <v>1</v>
      </c>
      <c r="F2099" s="149" t="s">
        <v>135</v>
      </c>
      <c r="G2099" s="149">
        <v>1</v>
      </c>
      <c r="H2099" s="68" t="s">
        <v>39</v>
      </c>
      <c r="I2099" s="168"/>
      <c r="J2099" s="77" t="s">
        <v>465</v>
      </c>
      <c r="K2099" s="168"/>
      <c r="L2099" s="131"/>
      <c r="M2099" s="169"/>
    </row>
    <row r="2100" spans="1:13" x14ac:dyDescent="0.55000000000000004">
      <c r="A2100" s="92" t="s">
        <v>464</v>
      </c>
      <c r="B2100" s="168" t="s">
        <v>288</v>
      </c>
      <c r="C2100" s="168" t="s">
        <v>156</v>
      </c>
      <c r="D2100" s="168" t="s">
        <v>3288</v>
      </c>
      <c r="E2100" s="116">
        <v>0.25</v>
      </c>
      <c r="F2100" s="149" t="s">
        <v>135</v>
      </c>
      <c r="G2100" s="149" t="s">
        <v>135</v>
      </c>
      <c r="H2100" s="68" t="s">
        <v>39</v>
      </c>
      <c r="I2100" s="168"/>
      <c r="J2100" s="77" t="s">
        <v>465</v>
      </c>
      <c r="K2100" s="168"/>
      <c r="L2100" s="131"/>
      <c r="M2100" s="169"/>
    </row>
    <row r="2101" spans="1:13" x14ac:dyDescent="0.55000000000000004">
      <c r="A2101" s="92" t="s">
        <v>464</v>
      </c>
      <c r="B2101" s="168" t="s">
        <v>289</v>
      </c>
      <c r="C2101" s="168" t="s">
        <v>156</v>
      </c>
      <c r="D2101" s="168" t="s">
        <v>2994</v>
      </c>
      <c r="E2101" s="116">
        <v>3.25</v>
      </c>
      <c r="F2101" s="149" t="s">
        <v>138</v>
      </c>
      <c r="G2101" s="149" t="s">
        <v>135</v>
      </c>
      <c r="H2101" s="68" t="s">
        <v>39</v>
      </c>
      <c r="I2101" s="168"/>
      <c r="J2101" s="77" t="s">
        <v>465</v>
      </c>
      <c r="K2101" s="168"/>
      <c r="L2101" s="131"/>
      <c r="M2101" s="169"/>
    </row>
    <row r="2102" spans="1:13" x14ac:dyDescent="0.55000000000000004">
      <c r="A2102" s="92" t="s">
        <v>464</v>
      </c>
      <c r="B2102" s="168" t="s">
        <v>323</v>
      </c>
      <c r="C2102" s="21" t="s">
        <v>125</v>
      </c>
      <c r="D2102" s="168" t="s">
        <v>3288</v>
      </c>
      <c r="E2102" s="116">
        <v>0.155</v>
      </c>
      <c r="F2102" s="149" t="s">
        <v>135</v>
      </c>
      <c r="G2102" s="149" t="s">
        <v>135</v>
      </c>
      <c r="H2102" s="68" t="s">
        <v>39</v>
      </c>
      <c r="I2102" s="168"/>
      <c r="J2102" s="77" t="s">
        <v>465</v>
      </c>
      <c r="K2102" s="168"/>
      <c r="L2102" s="131"/>
      <c r="M2102" s="169"/>
    </row>
    <row r="2103" spans="1:13" x14ac:dyDescent="0.55000000000000004">
      <c r="A2103" s="92" t="s">
        <v>464</v>
      </c>
      <c r="B2103" s="168" t="s">
        <v>290</v>
      </c>
      <c r="C2103" s="21" t="s">
        <v>125</v>
      </c>
      <c r="D2103" s="168" t="s">
        <v>3288</v>
      </c>
      <c r="E2103" s="116">
        <v>1.34</v>
      </c>
      <c r="F2103" s="149" t="s">
        <v>135</v>
      </c>
      <c r="G2103" s="149" t="s">
        <v>135</v>
      </c>
      <c r="H2103" s="68" t="s">
        <v>39</v>
      </c>
      <c r="I2103" s="168"/>
      <c r="J2103" s="77" t="s">
        <v>465</v>
      </c>
      <c r="K2103" s="168"/>
      <c r="L2103" s="131"/>
      <c r="M2103" s="169"/>
    </row>
    <row r="2104" spans="1:13" x14ac:dyDescent="0.55000000000000004">
      <c r="A2104" s="92" t="s">
        <v>464</v>
      </c>
      <c r="B2104" s="168" t="s">
        <v>213</v>
      </c>
      <c r="C2104" s="168" t="s">
        <v>125</v>
      </c>
      <c r="D2104" s="168" t="s">
        <v>3288</v>
      </c>
      <c r="E2104" s="116">
        <v>0.05</v>
      </c>
      <c r="F2104" s="149" t="s">
        <v>135</v>
      </c>
      <c r="G2104" s="149" t="s">
        <v>135</v>
      </c>
      <c r="H2104" s="68" t="s">
        <v>39</v>
      </c>
      <c r="I2104" s="168"/>
      <c r="J2104" s="77" t="s">
        <v>465</v>
      </c>
      <c r="K2104" s="168"/>
      <c r="L2104" s="131"/>
      <c r="M2104" s="169"/>
    </row>
    <row r="2105" spans="1:13" x14ac:dyDescent="0.55000000000000004">
      <c r="A2105" s="92" t="s">
        <v>464</v>
      </c>
      <c r="B2105" s="168" t="s">
        <v>293</v>
      </c>
      <c r="C2105" s="168" t="s">
        <v>127</v>
      </c>
      <c r="D2105" s="168" t="s">
        <v>2994</v>
      </c>
      <c r="E2105" s="116">
        <v>9.3000000000000007</v>
      </c>
      <c r="F2105" s="149" t="s">
        <v>138</v>
      </c>
      <c r="G2105" s="149" t="s">
        <v>135</v>
      </c>
      <c r="H2105" s="68" t="s">
        <v>39</v>
      </c>
      <c r="I2105" s="168"/>
      <c r="J2105" s="77" t="s">
        <v>465</v>
      </c>
      <c r="K2105" s="168"/>
      <c r="L2105" s="131"/>
      <c r="M2105" s="169"/>
    </row>
    <row r="2106" spans="1:13" x14ac:dyDescent="0.55000000000000004">
      <c r="A2106" s="92" t="s">
        <v>464</v>
      </c>
      <c r="B2106" s="168" t="s">
        <v>153</v>
      </c>
      <c r="C2106" s="168" t="s">
        <v>127</v>
      </c>
      <c r="D2106" s="168" t="s">
        <v>2994</v>
      </c>
      <c r="E2106" s="116">
        <v>0.5</v>
      </c>
      <c r="F2106" s="149" t="s">
        <v>138</v>
      </c>
      <c r="G2106" s="149" t="s">
        <v>135</v>
      </c>
      <c r="H2106" s="68" t="s">
        <v>39</v>
      </c>
      <c r="I2106" s="168"/>
      <c r="J2106" s="77" t="s">
        <v>465</v>
      </c>
      <c r="K2106" s="168"/>
      <c r="L2106" s="131"/>
      <c r="M2106" s="169"/>
    </row>
    <row r="2107" spans="1:13" x14ac:dyDescent="0.55000000000000004">
      <c r="A2107" s="92" t="s">
        <v>464</v>
      </c>
      <c r="B2107" s="168" t="s">
        <v>244</v>
      </c>
      <c r="C2107" s="168" t="s">
        <v>127</v>
      </c>
      <c r="D2107" s="168" t="s">
        <v>2994</v>
      </c>
      <c r="E2107" s="116">
        <v>6.2</v>
      </c>
      <c r="F2107" s="149" t="s">
        <v>138</v>
      </c>
      <c r="G2107" s="149" t="s">
        <v>135</v>
      </c>
      <c r="H2107" s="68" t="s">
        <v>39</v>
      </c>
      <c r="I2107" s="168"/>
      <c r="J2107" s="77" t="s">
        <v>465</v>
      </c>
      <c r="K2107" s="168"/>
      <c r="L2107" s="131"/>
      <c r="M2107" s="169"/>
    </row>
    <row r="2108" spans="1:13" x14ac:dyDescent="0.55000000000000004">
      <c r="A2108" s="92" t="s">
        <v>464</v>
      </c>
      <c r="B2108" s="168" t="s">
        <v>160</v>
      </c>
      <c r="C2108" s="168" t="s">
        <v>247</v>
      </c>
      <c r="D2108" s="168" t="s">
        <v>3288</v>
      </c>
      <c r="E2108" s="119">
        <v>1.6073500000000001</v>
      </c>
      <c r="F2108" s="156" t="s">
        <v>135</v>
      </c>
      <c r="G2108" s="149" t="s">
        <v>135</v>
      </c>
      <c r="H2108" s="68" t="s">
        <v>413</v>
      </c>
      <c r="I2108" s="168" t="s">
        <v>454</v>
      </c>
      <c r="J2108" s="77" t="s">
        <v>465</v>
      </c>
      <c r="K2108" s="168"/>
      <c r="L2108" s="131"/>
      <c r="M2108" s="169"/>
    </row>
    <row r="2109" spans="1:13" x14ac:dyDescent="0.55000000000000004">
      <c r="A2109" s="92" t="s">
        <v>461</v>
      </c>
      <c r="B2109" s="168" t="s">
        <v>287</v>
      </c>
      <c r="C2109" s="168" t="s">
        <v>121</v>
      </c>
      <c r="D2109" s="168" t="s">
        <v>3288</v>
      </c>
      <c r="E2109" s="116">
        <v>1</v>
      </c>
      <c r="F2109" s="149" t="s">
        <v>135</v>
      </c>
      <c r="G2109" s="149">
        <v>1</v>
      </c>
      <c r="H2109" s="68" t="s">
        <v>39</v>
      </c>
      <c r="I2109" s="168"/>
      <c r="J2109" s="77" t="s">
        <v>462</v>
      </c>
      <c r="K2109" s="168"/>
      <c r="L2109" s="131"/>
      <c r="M2109" s="169"/>
    </row>
    <row r="2110" spans="1:13" x14ac:dyDescent="0.55000000000000004">
      <c r="A2110" s="92" t="s">
        <v>461</v>
      </c>
      <c r="B2110" s="168" t="s">
        <v>288</v>
      </c>
      <c r="C2110" s="168" t="s">
        <v>156</v>
      </c>
      <c r="D2110" s="168" t="s">
        <v>3288</v>
      </c>
      <c r="E2110" s="116">
        <v>0.25</v>
      </c>
      <c r="F2110" s="149" t="s">
        <v>135</v>
      </c>
      <c r="G2110" s="149" t="s">
        <v>135</v>
      </c>
      <c r="H2110" s="68" t="s">
        <v>39</v>
      </c>
      <c r="I2110" s="168"/>
      <c r="J2110" s="77" t="s">
        <v>462</v>
      </c>
      <c r="K2110" s="168"/>
      <c r="L2110" s="131"/>
      <c r="M2110" s="169"/>
    </row>
    <row r="2111" spans="1:13" x14ac:dyDescent="0.55000000000000004">
      <c r="A2111" s="92" t="s">
        <v>461</v>
      </c>
      <c r="B2111" s="168" t="s">
        <v>463</v>
      </c>
      <c r="C2111" s="168" t="s">
        <v>156</v>
      </c>
      <c r="D2111" s="168" t="s">
        <v>2994</v>
      </c>
      <c r="E2111" s="116">
        <v>0.7</v>
      </c>
      <c r="F2111" s="149" t="s">
        <v>138</v>
      </c>
      <c r="G2111" s="149" t="s">
        <v>135</v>
      </c>
      <c r="H2111" s="68" t="s">
        <v>39</v>
      </c>
      <c r="I2111" s="168"/>
      <c r="J2111" s="77" t="s">
        <v>462</v>
      </c>
      <c r="K2111" s="168"/>
      <c r="L2111" s="131"/>
      <c r="M2111" s="169"/>
    </row>
    <row r="2112" spans="1:13" x14ac:dyDescent="0.55000000000000004">
      <c r="A2112" s="92" t="s">
        <v>461</v>
      </c>
      <c r="B2112" s="168" t="s">
        <v>323</v>
      </c>
      <c r="C2112" s="21" t="s">
        <v>125</v>
      </c>
      <c r="D2112" s="168" t="s">
        <v>3288</v>
      </c>
      <c r="E2112" s="116">
        <v>0.04</v>
      </c>
      <c r="F2112" s="149" t="s">
        <v>135</v>
      </c>
      <c r="G2112" s="149" t="s">
        <v>135</v>
      </c>
      <c r="H2112" s="68" t="s">
        <v>39</v>
      </c>
      <c r="I2112" s="168"/>
      <c r="J2112" s="77" t="s">
        <v>462</v>
      </c>
      <c r="K2112" s="168"/>
      <c r="L2112" s="131"/>
      <c r="M2112" s="169"/>
    </row>
    <row r="2113" spans="1:13" x14ac:dyDescent="0.55000000000000004">
      <c r="A2113" s="92" t="s">
        <v>461</v>
      </c>
      <c r="B2113" s="168" t="s">
        <v>290</v>
      </c>
      <c r="C2113" s="21" t="s">
        <v>125</v>
      </c>
      <c r="D2113" s="168" t="s">
        <v>3288</v>
      </c>
      <c r="E2113" s="116">
        <v>1.54</v>
      </c>
      <c r="F2113" s="149" t="s">
        <v>135</v>
      </c>
      <c r="G2113" s="149" t="s">
        <v>135</v>
      </c>
      <c r="H2113" s="68" t="s">
        <v>39</v>
      </c>
      <c r="I2113" s="168"/>
      <c r="J2113" s="77" t="s">
        <v>462</v>
      </c>
      <c r="K2113" s="168"/>
      <c r="L2113" s="131"/>
      <c r="M2113" s="169"/>
    </row>
    <row r="2114" spans="1:13" x14ac:dyDescent="0.55000000000000004">
      <c r="A2114" s="92" t="s">
        <v>461</v>
      </c>
      <c r="B2114" s="168" t="s">
        <v>213</v>
      </c>
      <c r="C2114" s="168" t="s">
        <v>125</v>
      </c>
      <c r="D2114" s="168" t="s">
        <v>3288</v>
      </c>
      <c r="E2114" s="116">
        <v>0.45</v>
      </c>
      <c r="F2114" s="149" t="s">
        <v>135</v>
      </c>
      <c r="G2114" s="149" t="s">
        <v>135</v>
      </c>
      <c r="H2114" s="68" t="s">
        <v>39</v>
      </c>
      <c r="I2114" s="168"/>
      <c r="J2114" s="77" t="s">
        <v>462</v>
      </c>
      <c r="K2114" s="168"/>
      <c r="L2114" s="131"/>
      <c r="M2114" s="169"/>
    </row>
    <row r="2115" spans="1:13" x14ac:dyDescent="0.55000000000000004">
      <c r="A2115" s="92" t="s">
        <v>461</v>
      </c>
      <c r="B2115" s="168" t="s">
        <v>293</v>
      </c>
      <c r="C2115" s="168" t="s">
        <v>127</v>
      </c>
      <c r="D2115" s="168" t="s">
        <v>2994</v>
      </c>
      <c r="E2115" s="116">
        <v>5.9160000000000004</v>
      </c>
      <c r="F2115" s="149" t="s">
        <v>138</v>
      </c>
      <c r="G2115" s="149" t="s">
        <v>135</v>
      </c>
      <c r="H2115" s="68" t="s">
        <v>39</v>
      </c>
      <c r="I2115" s="168"/>
      <c r="J2115" s="77" t="s">
        <v>462</v>
      </c>
      <c r="K2115" s="168"/>
      <c r="L2115" s="131"/>
      <c r="M2115" s="169"/>
    </row>
    <row r="2116" spans="1:13" x14ac:dyDescent="0.55000000000000004">
      <c r="A2116" s="92" t="s">
        <v>461</v>
      </c>
      <c r="B2116" s="168" t="s">
        <v>153</v>
      </c>
      <c r="C2116" s="168" t="s">
        <v>127</v>
      </c>
      <c r="D2116" s="168" t="s">
        <v>2994</v>
      </c>
      <c r="E2116" s="116">
        <v>0.17</v>
      </c>
      <c r="F2116" s="149" t="s">
        <v>138</v>
      </c>
      <c r="G2116" s="149" t="s">
        <v>135</v>
      </c>
      <c r="H2116" s="68" t="s">
        <v>39</v>
      </c>
      <c r="I2116" s="168"/>
      <c r="J2116" s="77" t="s">
        <v>462</v>
      </c>
      <c r="K2116" s="168"/>
      <c r="L2116" s="131"/>
      <c r="M2116" s="169"/>
    </row>
    <row r="2117" spans="1:13" x14ac:dyDescent="0.55000000000000004">
      <c r="A2117" s="92" t="s">
        <v>461</v>
      </c>
      <c r="B2117" s="168" t="s">
        <v>244</v>
      </c>
      <c r="C2117" s="168" t="s">
        <v>127</v>
      </c>
      <c r="D2117" s="168" t="s">
        <v>2994</v>
      </c>
      <c r="E2117" s="116">
        <v>5.22</v>
      </c>
      <c r="F2117" s="149" t="s">
        <v>138</v>
      </c>
      <c r="G2117" s="149" t="s">
        <v>135</v>
      </c>
      <c r="H2117" s="68" t="s">
        <v>39</v>
      </c>
      <c r="I2117" s="168"/>
      <c r="J2117" s="77" t="s">
        <v>462</v>
      </c>
      <c r="K2117" s="168"/>
      <c r="L2117" s="131"/>
      <c r="M2117" s="169"/>
    </row>
    <row r="2118" spans="1:13" x14ac:dyDescent="0.55000000000000004">
      <c r="A2118" s="92" t="s">
        <v>461</v>
      </c>
      <c r="B2118" s="168" t="s">
        <v>160</v>
      </c>
      <c r="C2118" s="168" t="s">
        <v>247</v>
      </c>
      <c r="D2118" s="168" t="s">
        <v>3288</v>
      </c>
      <c r="E2118" s="119">
        <v>1.1479600000000001</v>
      </c>
      <c r="F2118" s="149" t="s">
        <v>135</v>
      </c>
      <c r="G2118" s="149" t="s">
        <v>135</v>
      </c>
      <c r="H2118" s="68" t="s">
        <v>413</v>
      </c>
      <c r="I2118" s="168" t="s">
        <v>454</v>
      </c>
      <c r="J2118" s="77" t="s">
        <v>462</v>
      </c>
      <c r="K2118" s="168"/>
      <c r="L2118" s="131"/>
      <c r="M2118" s="169"/>
    </row>
    <row r="2119" spans="1:13" x14ac:dyDescent="0.55000000000000004">
      <c r="A2119" s="92" t="s">
        <v>459</v>
      </c>
      <c r="B2119" s="168" t="s">
        <v>287</v>
      </c>
      <c r="C2119" s="168" t="s">
        <v>121</v>
      </c>
      <c r="D2119" s="168" t="s">
        <v>3288</v>
      </c>
      <c r="E2119" s="116">
        <v>1</v>
      </c>
      <c r="F2119" s="149" t="s">
        <v>135</v>
      </c>
      <c r="G2119" s="149">
        <v>1</v>
      </c>
      <c r="H2119" s="68" t="s">
        <v>39</v>
      </c>
      <c r="I2119" s="168"/>
      <c r="J2119" s="77" t="s">
        <v>460</v>
      </c>
      <c r="K2119" s="168"/>
      <c r="L2119" s="131"/>
      <c r="M2119" s="169"/>
    </row>
    <row r="2120" spans="1:13" x14ac:dyDescent="0.55000000000000004">
      <c r="A2120" s="92" t="s">
        <v>459</v>
      </c>
      <c r="B2120" s="168" t="s">
        <v>288</v>
      </c>
      <c r="C2120" s="168" t="s">
        <v>156</v>
      </c>
      <c r="D2120" s="168" t="s">
        <v>3288</v>
      </c>
      <c r="E2120" s="116">
        <v>0.25</v>
      </c>
      <c r="F2120" s="149" t="s">
        <v>135</v>
      </c>
      <c r="G2120" s="149" t="s">
        <v>135</v>
      </c>
      <c r="H2120" s="68" t="s">
        <v>39</v>
      </c>
      <c r="I2120" s="168"/>
      <c r="J2120" s="77" t="s">
        <v>460</v>
      </c>
      <c r="K2120" s="168"/>
      <c r="L2120" s="131"/>
      <c r="M2120" s="169"/>
    </row>
    <row r="2121" spans="1:13" x14ac:dyDescent="0.55000000000000004">
      <c r="A2121" s="92" t="s">
        <v>459</v>
      </c>
      <c r="B2121" s="168" t="s">
        <v>289</v>
      </c>
      <c r="C2121" s="168" t="s">
        <v>156</v>
      </c>
      <c r="D2121" s="168" t="s">
        <v>2994</v>
      </c>
      <c r="E2121" s="116">
        <v>0.7</v>
      </c>
      <c r="F2121" s="149" t="s">
        <v>138</v>
      </c>
      <c r="G2121" s="149" t="s">
        <v>135</v>
      </c>
      <c r="H2121" s="68" t="s">
        <v>39</v>
      </c>
      <c r="I2121" s="168"/>
      <c r="J2121" s="77" t="s">
        <v>460</v>
      </c>
      <c r="K2121" s="168"/>
      <c r="L2121" s="131"/>
      <c r="M2121" s="169"/>
    </row>
    <row r="2122" spans="1:13" x14ac:dyDescent="0.55000000000000004">
      <c r="A2122" s="92" t="s">
        <v>459</v>
      </c>
      <c r="B2122" s="168" t="s">
        <v>323</v>
      </c>
      <c r="C2122" s="21" t="s">
        <v>125</v>
      </c>
      <c r="D2122" s="168" t="s">
        <v>3288</v>
      </c>
      <c r="E2122" s="116">
        <v>0.04</v>
      </c>
      <c r="F2122" s="149" t="s">
        <v>135</v>
      </c>
      <c r="G2122" s="149" t="s">
        <v>135</v>
      </c>
      <c r="H2122" s="68" t="s">
        <v>39</v>
      </c>
      <c r="I2122" s="168"/>
      <c r="J2122" s="77" t="s">
        <v>460</v>
      </c>
      <c r="K2122" s="168"/>
      <c r="L2122" s="131"/>
      <c r="M2122" s="169"/>
    </row>
    <row r="2123" spans="1:13" x14ac:dyDescent="0.55000000000000004">
      <c r="A2123" s="92" t="s">
        <v>459</v>
      </c>
      <c r="B2123" s="168" t="s">
        <v>290</v>
      </c>
      <c r="C2123" s="21" t="s">
        <v>125</v>
      </c>
      <c r="D2123" s="168" t="s">
        <v>3288</v>
      </c>
      <c r="E2123" s="116">
        <v>1.54</v>
      </c>
      <c r="F2123" s="149" t="s">
        <v>135</v>
      </c>
      <c r="G2123" s="149" t="s">
        <v>135</v>
      </c>
      <c r="H2123" s="68" t="s">
        <v>39</v>
      </c>
      <c r="I2123" s="168"/>
      <c r="J2123" s="77" t="s">
        <v>460</v>
      </c>
      <c r="K2123" s="168"/>
      <c r="L2123" s="131"/>
      <c r="M2123" s="169"/>
    </row>
    <row r="2124" spans="1:13" x14ac:dyDescent="0.55000000000000004">
      <c r="A2124" s="92" t="s">
        <v>459</v>
      </c>
      <c r="B2124" s="168" t="s">
        <v>213</v>
      </c>
      <c r="C2124" s="168" t="s">
        <v>125</v>
      </c>
      <c r="D2124" s="168" t="s">
        <v>3288</v>
      </c>
      <c r="E2124" s="116">
        <v>0.45</v>
      </c>
      <c r="F2124" s="149" t="s">
        <v>135</v>
      </c>
      <c r="G2124" s="149" t="s">
        <v>135</v>
      </c>
      <c r="H2124" s="68" t="s">
        <v>39</v>
      </c>
      <c r="I2124" s="168"/>
      <c r="J2124" s="77" t="s">
        <v>460</v>
      </c>
      <c r="K2124" s="168"/>
      <c r="L2124" s="131"/>
      <c r="M2124" s="169"/>
    </row>
    <row r="2125" spans="1:13" x14ac:dyDescent="0.55000000000000004">
      <c r="A2125" s="92" t="s">
        <v>459</v>
      </c>
      <c r="B2125" s="168" t="s">
        <v>293</v>
      </c>
      <c r="C2125" s="168" t="s">
        <v>127</v>
      </c>
      <c r="D2125" s="168" t="s">
        <v>2994</v>
      </c>
      <c r="E2125" s="116">
        <v>5.9160000000000004</v>
      </c>
      <c r="F2125" s="149" t="s">
        <v>138</v>
      </c>
      <c r="G2125" s="149" t="s">
        <v>135</v>
      </c>
      <c r="H2125" s="68" t="s">
        <v>39</v>
      </c>
      <c r="I2125" s="168"/>
      <c r="J2125" s="77" t="s">
        <v>460</v>
      </c>
      <c r="K2125" s="168"/>
      <c r="L2125" s="131"/>
      <c r="M2125" s="169"/>
    </row>
    <row r="2126" spans="1:13" x14ac:dyDescent="0.55000000000000004">
      <c r="A2126" s="92" t="s">
        <v>459</v>
      </c>
      <c r="B2126" s="168" t="s">
        <v>153</v>
      </c>
      <c r="C2126" s="168" t="s">
        <v>127</v>
      </c>
      <c r="D2126" s="168" t="s">
        <v>2994</v>
      </c>
      <c r="E2126" s="116">
        <v>0.27</v>
      </c>
      <c r="F2126" s="149" t="s">
        <v>138</v>
      </c>
      <c r="G2126" s="149" t="s">
        <v>135</v>
      </c>
      <c r="H2126" s="68" t="s">
        <v>39</v>
      </c>
      <c r="I2126" s="168"/>
      <c r="J2126" s="77" t="s">
        <v>460</v>
      </c>
      <c r="K2126" s="168"/>
      <c r="L2126" s="131"/>
      <c r="M2126" s="169"/>
    </row>
    <row r="2127" spans="1:13" x14ac:dyDescent="0.55000000000000004">
      <c r="A2127" s="92" t="s">
        <v>459</v>
      </c>
      <c r="B2127" s="168" t="s">
        <v>244</v>
      </c>
      <c r="C2127" s="168" t="s">
        <v>127</v>
      </c>
      <c r="D2127" s="168" t="s">
        <v>2994</v>
      </c>
      <c r="E2127" s="116">
        <v>5.22</v>
      </c>
      <c r="F2127" s="149" t="s">
        <v>138</v>
      </c>
      <c r="G2127" s="149" t="s">
        <v>135</v>
      </c>
      <c r="H2127" s="68" t="s">
        <v>39</v>
      </c>
      <c r="I2127" s="168"/>
      <c r="J2127" s="77" t="s">
        <v>460</v>
      </c>
      <c r="K2127" s="168"/>
      <c r="L2127" s="131"/>
      <c r="M2127" s="169"/>
    </row>
    <row r="2128" spans="1:13" x14ac:dyDescent="0.55000000000000004">
      <c r="A2128" s="92" t="s">
        <v>459</v>
      </c>
      <c r="B2128" s="168" t="s">
        <v>160</v>
      </c>
      <c r="C2128" s="168" t="s">
        <v>247</v>
      </c>
      <c r="D2128" s="168" t="s">
        <v>3288</v>
      </c>
      <c r="E2128" s="119">
        <f>1.14796-E2129</f>
        <v>0.1147959999999999</v>
      </c>
      <c r="F2128" s="149" t="s">
        <v>135</v>
      </c>
      <c r="G2128" s="149" t="s">
        <v>135</v>
      </c>
      <c r="H2128" s="68" t="s">
        <v>413</v>
      </c>
      <c r="I2128" s="168" t="s">
        <v>454</v>
      </c>
      <c r="J2128" s="77" t="s">
        <v>460</v>
      </c>
      <c r="K2128" s="168"/>
      <c r="L2128" s="131"/>
      <c r="M2128" s="169"/>
    </row>
    <row r="2129" spans="1:13" x14ac:dyDescent="0.55000000000000004">
      <c r="A2129" s="92" t="s">
        <v>459</v>
      </c>
      <c r="B2129" s="168" t="s">
        <v>160</v>
      </c>
      <c r="C2129" s="168" t="s">
        <v>156</v>
      </c>
      <c r="D2129" s="168" t="s">
        <v>3288</v>
      </c>
      <c r="E2129" s="119">
        <f>1.14796*0.9</f>
        <v>1.0331640000000002</v>
      </c>
      <c r="F2129" s="149" t="s">
        <v>135</v>
      </c>
      <c r="G2129" s="149" t="s">
        <v>135</v>
      </c>
      <c r="H2129" s="68" t="s">
        <v>413</v>
      </c>
      <c r="I2129" s="168" t="s">
        <v>454</v>
      </c>
      <c r="J2129" s="77" t="s">
        <v>460</v>
      </c>
      <c r="K2129" s="168"/>
      <c r="L2129" s="131"/>
      <c r="M2129" s="169"/>
    </row>
    <row r="2130" spans="1:13" x14ac:dyDescent="0.55000000000000004">
      <c r="A2130" s="92" t="s">
        <v>457</v>
      </c>
      <c r="B2130" s="168" t="s">
        <v>287</v>
      </c>
      <c r="C2130" s="168" t="s">
        <v>121</v>
      </c>
      <c r="D2130" s="168" t="s">
        <v>3288</v>
      </c>
      <c r="E2130" s="116">
        <v>1</v>
      </c>
      <c r="F2130" s="149" t="s">
        <v>135</v>
      </c>
      <c r="G2130" s="149">
        <v>1</v>
      </c>
      <c r="H2130" s="68" t="s">
        <v>39</v>
      </c>
      <c r="I2130" s="168"/>
      <c r="J2130" s="77" t="s">
        <v>458</v>
      </c>
      <c r="K2130" s="168"/>
      <c r="L2130" s="131"/>
      <c r="M2130" s="169"/>
    </row>
    <row r="2131" spans="1:13" x14ac:dyDescent="0.55000000000000004">
      <c r="A2131" s="92" t="s">
        <v>457</v>
      </c>
      <c r="B2131" s="168" t="s">
        <v>288</v>
      </c>
      <c r="C2131" s="168" t="s">
        <v>156</v>
      </c>
      <c r="D2131" s="168" t="s">
        <v>3288</v>
      </c>
      <c r="E2131" s="116">
        <v>0.25</v>
      </c>
      <c r="F2131" s="149" t="s">
        <v>135</v>
      </c>
      <c r="G2131" s="149" t="s">
        <v>135</v>
      </c>
      <c r="H2131" s="68" t="s">
        <v>39</v>
      </c>
      <c r="I2131" s="168"/>
      <c r="J2131" s="77" t="s">
        <v>458</v>
      </c>
      <c r="K2131" s="168"/>
      <c r="L2131" s="131"/>
      <c r="M2131" s="169"/>
    </row>
    <row r="2132" spans="1:13" x14ac:dyDescent="0.55000000000000004">
      <c r="A2132" s="92" t="s">
        <v>457</v>
      </c>
      <c r="B2132" s="168" t="s">
        <v>334</v>
      </c>
      <c r="C2132" s="168" t="s">
        <v>156</v>
      </c>
      <c r="D2132" s="168" t="s">
        <v>2994</v>
      </c>
      <c r="E2132" s="116">
        <v>3.0139999999999998</v>
      </c>
      <c r="F2132" s="149" t="s">
        <v>138</v>
      </c>
      <c r="G2132" s="149" t="s">
        <v>135</v>
      </c>
      <c r="H2132" s="68" t="s">
        <v>39</v>
      </c>
      <c r="I2132" s="168"/>
      <c r="J2132" s="77" t="s">
        <v>458</v>
      </c>
      <c r="K2132" s="168"/>
      <c r="L2132" s="131"/>
      <c r="M2132" s="169"/>
    </row>
    <row r="2133" spans="1:13" x14ac:dyDescent="0.55000000000000004">
      <c r="A2133" s="92" t="s">
        <v>457</v>
      </c>
      <c r="B2133" s="168" t="s">
        <v>323</v>
      </c>
      <c r="C2133" s="21" t="s">
        <v>125</v>
      </c>
      <c r="D2133" s="168" t="s">
        <v>3288</v>
      </c>
      <c r="E2133" s="116">
        <v>0.155</v>
      </c>
      <c r="F2133" s="149" t="s">
        <v>135</v>
      </c>
      <c r="G2133" s="149" t="s">
        <v>135</v>
      </c>
      <c r="H2133" s="68" t="s">
        <v>39</v>
      </c>
      <c r="I2133" s="168"/>
      <c r="J2133" s="77" t="s">
        <v>458</v>
      </c>
      <c r="K2133" s="168"/>
      <c r="L2133" s="131"/>
      <c r="M2133" s="169"/>
    </row>
    <row r="2134" spans="1:13" x14ac:dyDescent="0.55000000000000004">
      <c r="A2134" s="92" t="s">
        <v>457</v>
      </c>
      <c r="B2134" s="168" t="s">
        <v>290</v>
      </c>
      <c r="C2134" s="21" t="s">
        <v>125</v>
      </c>
      <c r="D2134" s="168" t="s">
        <v>3288</v>
      </c>
      <c r="E2134" s="116">
        <v>1.34</v>
      </c>
      <c r="F2134" s="149" t="s">
        <v>135</v>
      </c>
      <c r="G2134" s="149" t="s">
        <v>135</v>
      </c>
      <c r="H2134" s="68" t="s">
        <v>39</v>
      </c>
      <c r="I2134" s="168"/>
      <c r="J2134" s="77" t="s">
        <v>458</v>
      </c>
      <c r="K2134" s="168"/>
      <c r="L2134" s="131"/>
      <c r="M2134" s="169"/>
    </row>
    <row r="2135" spans="1:13" x14ac:dyDescent="0.55000000000000004">
      <c r="A2135" s="92" t="s">
        <v>457</v>
      </c>
      <c r="B2135" s="168" t="s">
        <v>213</v>
      </c>
      <c r="C2135" s="168" t="s">
        <v>125</v>
      </c>
      <c r="D2135" s="168" t="s">
        <v>3288</v>
      </c>
      <c r="E2135" s="116">
        <v>0.05</v>
      </c>
      <c r="F2135" s="149" t="s">
        <v>135</v>
      </c>
      <c r="G2135" s="149" t="s">
        <v>135</v>
      </c>
      <c r="H2135" s="68" t="s">
        <v>39</v>
      </c>
      <c r="I2135" s="168"/>
      <c r="J2135" s="77" t="s">
        <v>458</v>
      </c>
      <c r="K2135" s="168"/>
      <c r="L2135" s="131"/>
      <c r="M2135" s="169"/>
    </row>
    <row r="2136" spans="1:13" x14ac:dyDescent="0.55000000000000004">
      <c r="A2136" s="92" t="s">
        <v>457</v>
      </c>
      <c r="B2136" s="168" t="s">
        <v>293</v>
      </c>
      <c r="C2136" s="168" t="s">
        <v>127</v>
      </c>
      <c r="D2136" s="168" t="s">
        <v>2994</v>
      </c>
      <c r="E2136" s="116">
        <v>9.3000000000000007</v>
      </c>
      <c r="F2136" s="149" t="s">
        <v>138</v>
      </c>
      <c r="G2136" s="149" t="s">
        <v>135</v>
      </c>
      <c r="H2136" s="68" t="s">
        <v>39</v>
      </c>
      <c r="I2136" s="168"/>
      <c r="J2136" s="77" t="s">
        <v>458</v>
      </c>
      <c r="K2136" s="168"/>
      <c r="L2136" s="131"/>
      <c r="M2136" s="169"/>
    </row>
    <row r="2137" spans="1:13" x14ac:dyDescent="0.55000000000000004">
      <c r="A2137" s="92" t="s">
        <v>457</v>
      </c>
      <c r="B2137" s="168" t="s">
        <v>153</v>
      </c>
      <c r="C2137" s="168" t="s">
        <v>127</v>
      </c>
      <c r="D2137" s="168" t="s">
        <v>2994</v>
      </c>
      <c r="E2137" s="116">
        <v>1.1120000000000001</v>
      </c>
      <c r="F2137" s="149" t="s">
        <v>138</v>
      </c>
      <c r="G2137" s="149" t="s">
        <v>135</v>
      </c>
      <c r="H2137" s="68" t="s">
        <v>39</v>
      </c>
      <c r="I2137" s="168"/>
      <c r="J2137" s="77" t="s">
        <v>458</v>
      </c>
      <c r="K2137" s="168"/>
      <c r="L2137" s="131"/>
      <c r="M2137" s="169"/>
    </row>
    <row r="2138" spans="1:13" x14ac:dyDescent="0.55000000000000004">
      <c r="A2138" s="92" t="s">
        <v>457</v>
      </c>
      <c r="B2138" s="168" t="s">
        <v>244</v>
      </c>
      <c r="C2138" s="168" t="s">
        <v>127</v>
      </c>
      <c r="D2138" s="168" t="s">
        <v>2994</v>
      </c>
      <c r="E2138" s="116">
        <v>6.2</v>
      </c>
      <c r="F2138" s="149" t="s">
        <v>138</v>
      </c>
      <c r="G2138" s="149" t="s">
        <v>135</v>
      </c>
      <c r="H2138" s="68" t="s">
        <v>39</v>
      </c>
      <c r="I2138" s="168"/>
      <c r="J2138" s="77" t="s">
        <v>458</v>
      </c>
      <c r="K2138" s="168"/>
      <c r="L2138" s="131"/>
      <c r="M2138" s="169"/>
    </row>
    <row r="2139" spans="1:13" x14ac:dyDescent="0.55000000000000004">
      <c r="A2139" s="92" t="s">
        <v>457</v>
      </c>
      <c r="B2139" s="168" t="s">
        <v>160</v>
      </c>
      <c r="C2139" s="168" t="s">
        <v>247</v>
      </c>
      <c r="D2139" s="168" t="s">
        <v>3288</v>
      </c>
      <c r="E2139" s="119">
        <f>1.60735-E2140</f>
        <v>0.16073500000000007</v>
      </c>
      <c r="F2139" s="45" t="s">
        <v>135</v>
      </c>
      <c r="G2139" s="149" t="s">
        <v>135</v>
      </c>
      <c r="H2139" s="68" t="s">
        <v>39</v>
      </c>
      <c r="I2139" s="168"/>
      <c r="J2139" s="77" t="s">
        <v>458</v>
      </c>
      <c r="K2139" s="168"/>
      <c r="L2139" s="131"/>
      <c r="M2139" s="169"/>
    </row>
    <row r="2140" spans="1:13" x14ac:dyDescent="0.55000000000000004">
      <c r="A2140" s="92" t="s">
        <v>457</v>
      </c>
      <c r="B2140" s="168" t="s">
        <v>160</v>
      </c>
      <c r="C2140" s="168" t="s">
        <v>156</v>
      </c>
      <c r="D2140" s="168" t="s">
        <v>3288</v>
      </c>
      <c r="E2140" s="119">
        <f>1.60735*0.9</f>
        <v>1.446615</v>
      </c>
      <c r="F2140" s="45" t="s">
        <v>135</v>
      </c>
      <c r="G2140" s="149" t="s">
        <v>135</v>
      </c>
      <c r="H2140" s="68" t="s">
        <v>413</v>
      </c>
      <c r="I2140" s="168" t="s">
        <v>454</v>
      </c>
      <c r="J2140" s="77" t="s">
        <v>458</v>
      </c>
      <c r="K2140" s="168"/>
      <c r="L2140" s="131"/>
      <c r="M2140" s="169"/>
    </row>
    <row r="2141" spans="1:13" x14ac:dyDescent="0.55000000000000004">
      <c r="A2141" s="92" t="s">
        <v>455</v>
      </c>
      <c r="B2141" s="168" t="s">
        <v>339</v>
      </c>
      <c r="C2141" s="168" t="s">
        <v>121</v>
      </c>
      <c r="D2141" s="168" t="s">
        <v>3288</v>
      </c>
      <c r="E2141" s="116">
        <v>1</v>
      </c>
      <c r="F2141" s="149" t="s">
        <v>135</v>
      </c>
      <c r="G2141" s="149">
        <v>1</v>
      </c>
      <c r="H2141" s="68" t="s">
        <v>39</v>
      </c>
      <c r="I2141" s="168"/>
      <c r="J2141" s="77" t="s">
        <v>456</v>
      </c>
      <c r="K2141" s="168"/>
      <c r="L2141" s="131"/>
      <c r="M2141" s="169"/>
    </row>
    <row r="2142" spans="1:13" x14ac:dyDescent="0.55000000000000004">
      <c r="A2142" s="92" t="s">
        <v>455</v>
      </c>
      <c r="B2142" s="168" t="s">
        <v>341</v>
      </c>
      <c r="C2142" s="168" t="s">
        <v>125</v>
      </c>
      <c r="D2142" s="168" t="s">
        <v>3288</v>
      </c>
      <c r="E2142" s="116">
        <v>1.3</v>
      </c>
      <c r="F2142" s="149" t="s">
        <v>135</v>
      </c>
      <c r="G2142" s="149" t="s">
        <v>135</v>
      </c>
      <c r="H2142" s="68" t="s">
        <v>39</v>
      </c>
      <c r="I2142" s="168"/>
      <c r="J2142" s="77" t="s">
        <v>456</v>
      </c>
      <c r="K2142" s="168"/>
      <c r="L2142" s="131"/>
      <c r="M2142" s="169"/>
    </row>
    <row r="2143" spans="1:13" x14ac:dyDescent="0.55000000000000004">
      <c r="A2143" s="92" t="s">
        <v>455</v>
      </c>
      <c r="B2143" s="168" t="s">
        <v>153</v>
      </c>
      <c r="C2143" s="168" t="s">
        <v>127</v>
      </c>
      <c r="D2143" s="168" t="s">
        <v>2994</v>
      </c>
      <c r="E2143" s="116">
        <v>4.5999999999999996</v>
      </c>
      <c r="F2143" s="149" t="s">
        <v>138</v>
      </c>
      <c r="G2143" s="149" t="s">
        <v>135</v>
      </c>
      <c r="H2143" s="68" t="s">
        <v>39</v>
      </c>
      <c r="I2143" s="168"/>
      <c r="J2143" s="77" t="s">
        <v>456</v>
      </c>
      <c r="K2143" s="168"/>
      <c r="L2143" s="131"/>
      <c r="M2143" s="169"/>
    </row>
    <row r="2144" spans="1:13" x14ac:dyDescent="0.55000000000000004">
      <c r="A2144" s="92" t="s">
        <v>455</v>
      </c>
      <c r="B2144" s="68" t="s">
        <v>171</v>
      </c>
      <c r="C2144" s="168" t="s">
        <v>127</v>
      </c>
      <c r="D2144" s="168" t="s">
        <v>2994</v>
      </c>
      <c r="E2144" s="116">
        <v>11.4</v>
      </c>
      <c r="F2144" s="149" t="s">
        <v>138</v>
      </c>
      <c r="G2144" s="149" t="s">
        <v>135</v>
      </c>
      <c r="H2144" s="68" t="s">
        <v>39</v>
      </c>
      <c r="I2144" s="168"/>
      <c r="J2144" s="77" t="s">
        <v>456</v>
      </c>
      <c r="K2144" s="168"/>
      <c r="L2144" s="131"/>
      <c r="M2144" s="169"/>
    </row>
    <row r="2145" spans="1:13" x14ac:dyDescent="0.55000000000000004">
      <c r="A2145" s="92" t="s">
        <v>455</v>
      </c>
      <c r="B2145" s="168" t="s">
        <v>160</v>
      </c>
      <c r="C2145" s="168" t="s">
        <v>247</v>
      </c>
      <c r="D2145" s="168" t="s">
        <v>3288</v>
      </c>
      <c r="E2145" s="119">
        <v>0.63954</v>
      </c>
      <c r="F2145" s="149" t="s">
        <v>135</v>
      </c>
      <c r="G2145" s="149" t="s">
        <v>135</v>
      </c>
      <c r="H2145" s="68" t="s">
        <v>376</v>
      </c>
      <c r="I2145" s="168"/>
      <c r="J2145" s="77" t="s">
        <v>456</v>
      </c>
      <c r="K2145" s="168"/>
      <c r="L2145" s="131"/>
      <c r="M2145" s="169"/>
    </row>
    <row r="2146" spans="1:13" x14ac:dyDescent="0.55000000000000004">
      <c r="A2146" s="96" t="s">
        <v>1074</v>
      </c>
      <c r="B2146" s="168" t="s">
        <v>236</v>
      </c>
      <c r="C2146" s="168" t="s">
        <v>121</v>
      </c>
      <c r="D2146" s="168" t="s">
        <v>3288</v>
      </c>
      <c r="E2146" s="116">
        <v>1</v>
      </c>
      <c r="F2146" s="149" t="s">
        <v>135</v>
      </c>
      <c r="G2146" s="149">
        <v>1</v>
      </c>
      <c r="H2146" s="168" t="s">
        <v>39</v>
      </c>
      <c r="I2146" s="61"/>
      <c r="J2146" s="91" t="s">
        <v>1075</v>
      </c>
      <c r="K2146" s="61"/>
      <c r="L2146" s="160"/>
      <c r="M2146" s="169"/>
    </row>
    <row r="2147" spans="1:13" x14ac:dyDescent="0.55000000000000004">
      <c r="A2147" s="96" t="s">
        <v>1074</v>
      </c>
      <c r="B2147" s="168" t="s">
        <v>134</v>
      </c>
      <c r="C2147" s="168" t="s">
        <v>125</v>
      </c>
      <c r="D2147" s="168" t="s">
        <v>3288</v>
      </c>
      <c r="E2147" s="116">
        <v>0.74</v>
      </c>
      <c r="F2147" s="149" t="s">
        <v>135</v>
      </c>
      <c r="G2147" s="149" t="s">
        <v>135</v>
      </c>
      <c r="H2147" s="168" t="s">
        <v>1076</v>
      </c>
      <c r="I2147" s="61"/>
      <c r="J2147" s="91" t="s">
        <v>1075</v>
      </c>
      <c r="K2147" s="61"/>
      <c r="L2147" s="160"/>
      <c r="M2147" s="169"/>
    </row>
    <row r="2148" spans="1:13" x14ac:dyDescent="0.55000000000000004">
      <c r="A2148" s="96" t="s">
        <v>1074</v>
      </c>
      <c r="B2148" s="168" t="s">
        <v>288</v>
      </c>
      <c r="C2148" s="68" t="s">
        <v>156</v>
      </c>
      <c r="D2148" s="168" t="s">
        <v>3288</v>
      </c>
      <c r="E2148" s="116">
        <f>1-E2147</f>
        <v>0.26</v>
      </c>
      <c r="F2148" s="149" t="s">
        <v>135</v>
      </c>
      <c r="G2148" s="149" t="s">
        <v>135</v>
      </c>
      <c r="H2148" s="168"/>
      <c r="I2148" s="61"/>
      <c r="J2148" s="91" t="s">
        <v>1075</v>
      </c>
      <c r="K2148" s="61"/>
      <c r="L2148" s="160"/>
      <c r="M2148" s="169"/>
    </row>
    <row r="2149" spans="1:13" x14ac:dyDescent="0.55000000000000004">
      <c r="A2149" s="96" t="s">
        <v>1074</v>
      </c>
      <c r="B2149" s="124" t="s">
        <v>153</v>
      </c>
      <c r="C2149" s="168" t="s">
        <v>127</v>
      </c>
      <c r="D2149" s="168" t="s">
        <v>2994</v>
      </c>
      <c r="E2149" s="116">
        <v>0.61</v>
      </c>
      <c r="F2149" s="148" t="s">
        <v>138</v>
      </c>
      <c r="G2149" s="148" t="s">
        <v>135</v>
      </c>
      <c r="H2149" s="168" t="s">
        <v>1078</v>
      </c>
      <c r="I2149" s="61"/>
      <c r="J2149" s="91" t="s">
        <v>1075</v>
      </c>
      <c r="K2149" s="61"/>
      <c r="L2149" s="160"/>
      <c r="M2149" s="169"/>
    </row>
    <row r="2150" spans="1:13" x14ac:dyDescent="0.55000000000000004">
      <c r="A2150" s="96" t="s">
        <v>1074</v>
      </c>
      <c r="B2150" s="124" t="s">
        <v>422</v>
      </c>
      <c r="C2150" s="168" t="s">
        <v>127</v>
      </c>
      <c r="D2150" s="168" t="s">
        <v>2994</v>
      </c>
      <c r="E2150" s="116">
        <v>0.05</v>
      </c>
      <c r="F2150" s="148" t="s">
        <v>138</v>
      </c>
      <c r="G2150" s="148" t="s">
        <v>135</v>
      </c>
      <c r="H2150" s="168" t="s">
        <v>1078</v>
      </c>
      <c r="I2150" s="61"/>
      <c r="J2150" s="91" t="s">
        <v>1075</v>
      </c>
      <c r="K2150" s="61"/>
      <c r="L2150" s="160"/>
      <c r="M2150" s="169"/>
    </row>
    <row r="2151" spans="1:13" x14ac:dyDescent="0.55000000000000004">
      <c r="A2151" s="96" t="str">
        <f>A2150</f>
        <v>[TIMES] Cement Production</v>
      </c>
      <c r="B2151" s="168" t="s">
        <v>160</v>
      </c>
      <c r="C2151" s="168" t="s">
        <v>560</v>
      </c>
      <c r="D2151" s="168" t="s">
        <v>3288</v>
      </c>
      <c r="E2151" s="116"/>
      <c r="F2151" s="149" t="s">
        <v>122</v>
      </c>
      <c r="G2151" s="149" t="s">
        <v>135</v>
      </c>
      <c r="H2151" s="168" t="s">
        <v>39</v>
      </c>
      <c r="I2151" s="61"/>
      <c r="J2151" s="91" t="s">
        <v>1079</v>
      </c>
      <c r="K2151" s="61"/>
      <c r="L2151" s="160"/>
      <c r="M2151" s="169"/>
    </row>
    <row r="2152" spans="1:13" x14ac:dyDescent="0.55000000000000004">
      <c r="A2152" s="54" t="s">
        <v>1081</v>
      </c>
      <c r="B2152" s="168" t="s">
        <v>134</v>
      </c>
      <c r="C2152" s="168" t="s">
        <v>121</v>
      </c>
      <c r="D2152" s="168" t="s">
        <v>3288</v>
      </c>
      <c r="E2152" s="116">
        <v>1</v>
      </c>
      <c r="F2152" s="149" t="s">
        <v>135</v>
      </c>
      <c r="G2152" s="149">
        <v>1</v>
      </c>
      <c r="H2152" s="168" t="s">
        <v>39</v>
      </c>
      <c r="I2152" s="61"/>
      <c r="J2152" s="91" t="s">
        <v>1082</v>
      </c>
      <c r="K2152" s="61"/>
      <c r="L2152" s="160"/>
      <c r="M2152" s="169"/>
    </row>
    <row r="2153" spans="1:13" x14ac:dyDescent="0.55000000000000004">
      <c r="A2153" s="54" t="s">
        <v>1081</v>
      </c>
      <c r="B2153" s="124" t="s">
        <v>208</v>
      </c>
      <c r="C2153" s="168" t="s">
        <v>127</v>
      </c>
      <c r="D2153" s="168" t="s">
        <v>2994</v>
      </c>
      <c r="E2153" s="116">
        <v>3.3</v>
      </c>
      <c r="F2153" s="149" t="s">
        <v>138</v>
      </c>
      <c r="G2153" s="149" t="s">
        <v>135</v>
      </c>
      <c r="H2153" s="168" t="s">
        <v>39</v>
      </c>
      <c r="I2153" s="61"/>
      <c r="J2153" s="91" t="s">
        <v>1082</v>
      </c>
      <c r="K2153" s="61"/>
      <c r="L2153" s="160"/>
      <c r="M2153" s="169"/>
    </row>
    <row r="2154" spans="1:13" x14ac:dyDescent="0.55000000000000004">
      <c r="A2154" s="54" t="s">
        <v>1081</v>
      </c>
      <c r="B2154" s="124" t="s">
        <v>153</v>
      </c>
      <c r="C2154" s="168" t="s">
        <v>127</v>
      </c>
      <c r="D2154" s="168" t="s">
        <v>2994</v>
      </c>
      <c r="E2154" s="116">
        <v>0.06</v>
      </c>
      <c r="F2154" s="149" t="s">
        <v>138</v>
      </c>
      <c r="G2154" s="149" t="s">
        <v>135</v>
      </c>
      <c r="H2154" s="168" t="s">
        <v>39</v>
      </c>
      <c r="I2154" s="61"/>
      <c r="J2154" s="91" t="s">
        <v>1082</v>
      </c>
      <c r="K2154" s="61"/>
      <c r="L2154" s="160"/>
      <c r="M2154" s="169"/>
    </row>
    <row r="2155" spans="1:13" x14ac:dyDescent="0.55000000000000004">
      <c r="A2155" s="54" t="s">
        <v>1081</v>
      </c>
      <c r="B2155" s="168" t="s">
        <v>160</v>
      </c>
      <c r="C2155" s="168" t="s">
        <v>560</v>
      </c>
      <c r="D2155" s="168" t="s">
        <v>3288</v>
      </c>
      <c r="E2155" s="116">
        <v>510</v>
      </c>
      <c r="F2155" s="149" t="s">
        <v>122</v>
      </c>
      <c r="G2155" s="149" t="s">
        <v>135</v>
      </c>
      <c r="H2155" s="168" t="s">
        <v>39</v>
      </c>
      <c r="I2155" s="61"/>
      <c r="J2155" s="91" t="s">
        <v>1082</v>
      </c>
      <c r="K2155" s="61"/>
      <c r="L2155" s="160"/>
      <c r="M2155" s="169"/>
    </row>
    <row r="2156" spans="1:13" x14ac:dyDescent="0.55000000000000004">
      <c r="A2156" s="54" t="s">
        <v>1083</v>
      </c>
      <c r="B2156" s="168" t="s">
        <v>134</v>
      </c>
      <c r="C2156" s="168" t="s">
        <v>121</v>
      </c>
      <c r="D2156" s="168" t="s">
        <v>3288</v>
      </c>
      <c r="E2156" s="116">
        <v>1</v>
      </c>
      <c r="F2156" s="149" t="s">
        <v>135</v>
      </c>
      <c r="G2156" s="149">
        <v>1</v>
      </c>
      <c r="H2156" s="168" t="s">
        <v>39</v>
      </c>
      <c r="I2156" s="61"/>
      <c r="J2156" s="91" t="s">
        <v>1084</v>
      </c>
      <c r="K2156" s="61"/>
      <c r="L2156" s="160"/>
      <c r="M2156" s="169"/>
    </row>
    <row r="2157" spans="1:13" x14ac:dyDescent="0.55000000000000004">
      <c r="A2157" s="54" t="s">
        <v>1083</v>
      </c>
      <c r="B2157" s="124" t="s">
        <v>208</v>
      </c>
      <c r="C2157" s="168" t="s">
        <v>127</v>
      </c>
      <c r="D2157" s="168" t="s">
        <v>2994</v>
      </c>
      <c r="E2157" s="116">
        <v>5.6429999999999998</v>
      </c>
      <c r="F2157" s="149" t="s">
        <v>135</v>
      </c>
      <c r="G2157" s="149">
        <v>1</v>
      </c>
      <c r="H2157" s="168" t="s">
        <v>39</v>
      </c>
      <c r="I2157" s="61"/>
      <c r="J2157" s="91" t="s">
        <v>1084</v>
      </c>
      <c r="K2157" s="61"/>
      <c r="L2157" s="160"/>
      <c r="M2157" s="169"/>
    </row>
    <row r="2158" spans="1:13" x14ac:dyDescent="0.55000000000000004">
      <c r="A2158" s="54" t="s">
        <v>1083</v>
      </c>
      <c r="B2158" s="124" t="s">
        <v>153</v>
      </c>
      <c r="C2158" s="168" t="s">
        <v>127</v>
      </c>
      <c r="D2158" s="168" t="s">
        <v>2994</v>
      </c>
      <c r="E2158" s="116">
        <v>0.1026</v>
      </c>
      <c r="F2158" s="149" t="s">
        <v>135</v>
      </c>
      <c r="G2158" s="149">
        <v>1</v>
      </c>
      <c r="H2158" s="168" t="s">
        <v>39</v>
      </c>
      <c r="I2158" s="61"/>
      <c r="J2158" s="91" t="s">
        <v>1084</v>
      </c>
      <c r="K2158" s="61"/>
      <c r="L2158" s="160"/>
      <c r="M2158" s="169"/>
    </row>
    <row r="2159" spans="1:13" x14ac:dyDescent="0.55000000000000004">
      <c r="A2159" s="54" t="s">
        <v>1083</v>
      </c>
      <c r="B2159" s="168" t="s">
        <v>160</v>
      </c>
      <c r="C2159" s="168" t="s">
        <v>560</v>
      </c>
      <c r="D2159" s="168" t="s">
        <v>3288</v>
      </c>
      <c r="E2159" s="116">
        <v>510</v>
      </c>
      <c r="F2159" s="149" t="s">
        <v>122</v>
      </c>
      <c r="G2159" s="149" t="s">
        <v>135</v>
      </c>
      <c r="H2159" s="168" t="s">
        <v>39</v>
      </c>
      <c r="I2159" s="61"/>
      <c r="J2159" s="91" t="s">
        <v>1084</v>
      </c>
      <c r="K2159" s="61"/>
      <c r="L2159" s="160"/>
      <c r="M2159" s="169"/>
    </row>
    <row r="2160" spans="1:13" x14ac:dyDescent="0.55000000000000004">
      <c r="A2160" s="54" t="s">
        <v>1083</v>
      </c>
      <c r="B2160" s="168" t="s">
        <v>160</v>
      </c>
      <c r="C2160" s="168" t="s">
        <v>156</v>
      </c>
      <c r="D2160" s="168" t="s">
        <v>3288</v>
      </c>
      <c r="E2160" s="116">
        <v>484.5</v>
      </c>
      <c r="F2160" s="149" t="s">
        <v>122</v>
      </c>
      <c r="G2160" s="149" t="s">
        <v>135</v>
      </c>
      <c r="H2160" s="168" t="s">
        <v>39</v>
      </c>
      <c r="I2160" s="61"/>
      <c r="J2160" s="91" t="s">
        <v>1084</v>
      </c>
      <c r="K2160" s="61"/>
      <c r="L2160" s="160"/>
      <c r="M2160" s="169"/>
    </row>
    <row r="2161" spans="1:13" x14ac:dyDescent="0.55000000000000004">
      <c r="A2161" s="54" t="s">
        <v>1080</v>
      </c>
      <c r="B2161" s="168" t="s">
        <v>134</v>
      </c>
      <c r="C2161" s="168" t="s">
        <v>121</v>
      </c>
      <c r="D2161" s="168" t="s">
        <v>3288</v>
      </c>
      <c r="E2161" s="116">
        <v>1</v>
      </c>
      <c r="F2161" s="149" t="s">
        <v>135</v>
      </c>
      <c r="G2161" s="149">
        <v>1</v>
      </c>
      <c r="H2161" s="168" t="s">
        <v>39</v>
      </c>
      <c r="I2161" s="61"/>
      <c r="J2161" s="91" t="s">
        <v>1079</v>
      </c>
      <c r="K2161" s="61"/>
      <c r="L2161" s="160"/>
      <c r="M2161" s="169"/>
    </row>
    <row r="2162" spans="1:13" x14ac:dyDescent="0.55000000000000004">
      <c r="A2162" s="54" t="s">
        <v>1080</v>
      </c>
      <c r="B2162" s="124" t="s">
        <v>445</v>
      </c>
      <c r="C2162" s="168" t="s">
        <v>127</v>
      </c>
      <c r="D2162" s="168" t="s">
        <v>2994</v>
      </c>
      <c r="E2162" s="116">
        <v>6</v>
      </c>
      <c r="F2162" s="148" t="s">
        <v>138</v>
      </c>
      <c r="G2162" s="148" t="s">
        <v>135</v>
      </c>
      <c r="H2162" s="168" t="s">
        <v>39</v>
      </c>
      <c r="I2162" s="61"/>
      <c r="J2162" s="91" t="s">
        <v>1079</v>
      </c>
      <c r="K2162" s="61"/>
      <c r="L2162" s="160"/>
      <c r="M2162" s="169"/>
    </row>
    <row r="2163" spans="1:13" x14ac:dyDescent="0.55000000000000004">
      <c r="A2163" s="54" t="s">
        <v>1080</v>
      </c>
      <c r="B2163" s="124" t="s">
        <v>422</v>
      </c>
      <c r="C2163" s="168" t="s">
        <v>127</v>
      </c>
      <c r="D2163" s="168" t="s">
        <v>2994</v>
      </c>
      <c r="E2163" s="116">
        <v>0.1</v>
      </c>
      <c r="F2163" s="148" t="s">
        <v>138</v>
      </c>
      <c r="G2163" s="148" t="s">
        <v>135</v>
      </c>
      <c r="H2163" s="168" t="s">
        <v>39</v>
      </c>
      <c r="I2163" s="61"/>
      <c r="J2163" s="91" t="s">
        <v>1079</v>
      </c>
      <c r="K2163" s="61"/>
      <c r="L2163" s="160"/>
      <c r="M2163" s="169"/>
    </row>
    <row r="2164" spans="1:13" x14ac:dyDescent="0.55000000000000004">
      <c r="A2164" s="54" t="s">
        <v>1080</v>
      </c>
      <c r="B2164" s="124" t="s">
        <v>153</v>
      </c>
      <c r="C2164" s="168" t="s">
        <v>127</v>
      </c>
      <c r="D2164" s="168" t="s">
        <v>2994</v>
      </c>
      <c r="E2164" s="116">
        <v>0.28999999999999998</v>
      </c>
      <c r="F2164" s="148" t="s">
        <v>138</v>
      </c>
      <c r="G2164" s="148" t="s">
        <v>135</v>
      </c>
      <c r="H2164" s="168" t="s">
        <v>39</v>
      </c>
      <c r="I2164" s="61"/>
      <c r="J2164" s="91" t="s">
        <v>1079</v>
      </c>
      <c r="K2164" s="61"/>
      <c r="L2164" s="160"/>
      <c r="M2164" s="169"/>
    </row>
    <row r="2165" spans="1:13" x14ac:dyDescent="0.55000000000000004">
      <c r="A2165" s="54" t="s">
        <v>1080</v>
      </c>
      <c r="B2165" s="168" t="s">
        <v>160</v>
      </c>
      <c r="C2165" s="168" t="s">
        <v>560</v>
      </c>
      <c r="D2165" s="168" t="s">
        <v>3288</v>
      </c>
      <c r="E2165" s="116">
        <v>510</v>
      </c>
      <c r="F2165" s="149" t="s">
        <v>122</v>
      </c>
      <c r="G2165" s="149" t="s">
        <v>135</v>
      </c>
      <c r="H2165" s="168" t="s">
        <v>39</v>
      </c>
      <c r="I2165" s="61"/>
      <c r="J2165" s="91" t="s">
        <v>1079</v>
      </c>
      <c r="K2165" s="61"/>
      <c r="L2165" s="160"/>
      <c r="M2165" s="169"/>
    </row>
    <row r="2166" spans="1:13" x14ac:dyDescent="0.55000000000000004">
      <c r="A2166" s="92" t="s">
        <v>452</v>
      </c>
      <c r="B2166" s="168" t="s">
        <v>287</v>
      </c>
      <c r="C2166" s="168" t="s">
        <v>121</v>
      </c>
      <c r="D2166" s="168" t="s">
        <v>3288</v>
      </c>
      <c r="E2166" s="116">
        <v>1</v>
      </c>
      <c r="F2166" s="149" t="s">
        <v>135</v>
      </c>
      <c r="G2166" s="149">
        <v>1</v>
      </c>
      <c r="H2166" s="68" t="s">
        <v>39</v>
      </c>
      <c r="I2166" s="168"/>
      <c r="J2166" s="77" t="s">
        <v>453</v>
      </c>
      <c r="K2166" s="168"/>
      <c r="L2166" s="131"/>
      <c r="M2166" s="169"/>
    </row>
    <row r="2167" spans="1:13" x14ac:dyDescent="0.55000000000000004">
      <c r="A2167" s="92" t="s">
        <v>452</v>
      </c>
      <c r="B2167" s="168" t="s">
        <v>288</v>
      </c>
      <c r="C2167" s="168" t="s">
        <v>156</v>
      </c>
      <c r="D2167" s="168" t="s">
        <v>3288</v>
      </c>
      <c r="E2167" s="116">
        <v>0.35</v>
      </c>
      <c r="F2167" s="149" t="s">
        <v>135</v>
      </c>
      <c r="G2167" s="149" t="s">
        <v>135</v>
      </c>
      <c r="H2167" s="68" t="s">
        <v>39</v>
      </c>
      <c r="I2167" s="168"/>
      <c r="J2167" s="77" t="s">
        <v>453</v>
      </c>
      <c r="K2167" s="168"/>
      <c r="L2167" s="131"/>
      <c r="M2167" s="169"/>
    </row>
    <row r="2168" spans="1:13" x14ac:dyDescent="0.55000000000000004">
      <c r="A2168" s="92" t="s">
        <v>452</v>
      </c>
      <c r="B2168" s="168" t="s">
        <v>2008</v>
      </c>
      <c r="C2168" s="168" t="s">
        <v>156</v>
      </c>
      <c r="D2168" s="168" t="s">
        <v>2994</v>
      </c>
      <c r="E2168" s="116">
        <v>10.9</v>
      </c>
      <c r="F2168" s="149" t="s">
        <v>138</v>
      </c>
      <c r="G2168" s="149" t="s">
        <v>135</v>
      </c>
      <c r="H2168" s="68" t="s">
        <v>39</v>
      </c>
      <c r="I2168" s="168"/>
      <c r="J2168" s="77" t="s">
        <v>453</v>
      </c>
      <c r="K2168" s="168"/>
      <c r="L2168" s="131"/>
      <c r="M2168" s="169"/>
    </row>
    <row r="2169" spans="1:13" x14ac:dyDescent="0.55000000000000004">
      <c r="A2169" s="92" t="s">
        <v>452</v>
      </c>
      <c r="B2169" s="168" t="s">
        <v>323</v>
      </c>
      <c r="C2169" s="21" t="s">
        <v>125</v>
      </c>
      <c r="D2169" s="168" t="s">
        <v>3288</v>
      </c>
      <c r="E2169" s="116">
        <v>0.75</v>
      </c>
      <c r="F2169" s="149" t="s">
        <v>135</v>
      </c>
      <c r="G2169" s="149" t="s">
        <v>135</v>
      </c>
      <c r="H2169" s="68" t="s">
        <v>39</v>
      </c>
      <c r="I2169" s="168"/>
      <c r="J2169" s="77" t="s">
        <v>453</v>
      </c>
      <c r="K2169" s="168"/>
      <c r="L2169" s="131"/>
      <c r="M2169" s="169"/>
    </row>
    <row r="2170" spans="1:13" x14ac:dyDescent="0.55000000000000004">
      <c r="A2170" s="92" t="s">
        <v>452</v>
      </c>
      <c r="B2170" s="168" t="s">
        <v>316</v>
      </c>
      <c r="C2170" s="168" t="s">
        <v>132</v>
      </c>
      <c r="D2170" s="168" t="s">
        <v>3288</v>
      </c>
      <c r="E2170" s="116">
        <v>0.75</v>
      </c>
      <c r="F2170" s="149" t="s">
        <v>135</v>
      </c>
      <c r="G2170" s="149" t="s">
        <v>135</v>
      </c>
      <c r="H2170" s="68" t="s">
        <v>39</v>
      </c>
      <c r="I2170" s="168"/>
      <c r="J2170" s="77" t="s">
        <v>453</v>
      </c>
      <c r="K2170" s="168"/>
      <c r="L2170" s="131"/>
      <c r="M2170" s="169"/>
    </row>
    <row r="2171" spans="1:13" x14ac:dyDescent="0.55000000000000004">
      <c r="A2171" s="92" t="s">
        <v>452</v>
      </c>
      <c r="B2171" s="168" t="s">
        <v>244</v>
      </c>
      <c r="C2171" s="168" t="s">
        <v>127</v>
      </c>
      <c r="D2171" s="168" t="s">
        <v>2994</v>
      </c>
      <c r="E2171" s="116">
        <v>27</v>
      </c>
      <c r="F2171" s="149" t="s">
        <v>138</v>
      </c>
      <c r="G2171" s="149" t="s">
        <v>135</v>
      </c>
      <c r="H2171" s="68" t="s">
        <v>39</v>
      </c>
      <c r="I2171" s="168"/>
      <c r="J2171" s="77" t="s">
        <v>453</v>
      </c>
      <c r="K2171" s="168"/>
      <c r="L2171" s="131"/>
      <c r="M2171" s="169"/>
    </row>
    <row r="2172" spans="1:13" x14ac:dyDescent="0.55000000000000004">
      <c r="A2172" s="92" t="s">
        <v>452</v>
      </c>
      <c r="B2172" s="168" t="s">
        <v>293</v>
      </c>
      <c r="C2172" s="168" t="s">
        <v>127</v>
      </c>
      <c r="D2172" s="168" t="s">
        <v>2994</v>
      </c>
      <c r="E2172" s="116">
        <v>3.1</v>
      </c>
      <c r="F2172" s="149" t="s">
        <v>138</v>
      </c>
      <c r="G2172" s="149" t="s">
        <v>135</v>
      </c>
      <c r="H2172" s="68" t="s">
        <v>39</v>
      </c>
      <c r="I2172" s="168"/>
      <c r="J2172" s="77" t="s">
        <v>453</v>
      </c>
      <c r="K2172" s="168"/>
      <c r="L2172" s="131"/>
      <c r="M2172" s="169"/>
    </row>
    <row r="2173" spans="1:13" x14ac:dyDescent="0.55000000000000004">
      <c r="A2173" s="92" t="s">
        <v>452</v>
      </c>
      <c r="B2173" s="168" t="s">
        <v>153</v>
      </c>
      <c r="C2173" s="168" t="s">
        <v>127</v>
      </c>
      <c r="D2173" s="168" t="s">
        <v>2994</v>
      </c>
      <c r="E2173" s="116">
        <v>1.075</v>
      </c>
      <c r="F2173" s="149" t="s">
        <v>138</v>
      </c>
      <c r="G2173" s="149" t="s">
        <v>135</v>
      </c>
      <c r="H2173" s="68" t="s">
        <v>39</v>
      </c>
      <c r="I2173" s="168"/>
      <c r="J2173" s="77" t="s">
        <v>453</v>
      </c>
      <c r="K2173" s="168"/>
      <c r="L2173" s="131"/>
      <c r="M2173" s="169"/>
    </row>
    <row r="2174" spans="1:13" x14ac:dyDescent="0.55000000000000004">
      <c r="A2174" s="92" t="s">
        <v>452</v>
      </c>
      <c r="B2174" s="168" t="s">
        <v>213</v>
      </c>
      <c r="C2174" s="168" t="s">
        <v>125</v>
      </c>
      <c r="D2174" s="168" t="s">
        <v>3288</v>
      </c>
      <c r="E2174" s="116">
        <v>0.68899999999999995</v>
      </c>
      <c r="F2174" s="149" t="s">
        <v>135</v>
      </c>
      <c r="G2174" s="149" t="s">
        <v>135</v>
      </c>
      <c r="H2174" s="68" t="s">
        <v>39</v>
      </c>
      <c r="I2174" s="168"/>
      <c r="J2174" s="77" t="s">
        <v>453</v>
      </c>
      <c r="K2174" s="168"/>
      <c r="L2174" s="131"/>
      <c r="M2174" s="169"/>
    </row>
    <row r="2175" spans="1:13" x14ac:dyDescent="0.55000000000000004">
      <c r="A2175" s="92" t="s">
        <v>452</v>
      </c>
      <c r="B2175" s="168" t="s">
        <v>160</v>
      </c>
      <c r="C2175" s="168" t="s">
        <v>156</v>
      </c>
      <c r="D2175" s="168" t="s">
        <v>3288</v>
      </c>
      <c r="E2175" s="119">
        <f>2.97925-E2176</f>
        <v>0.29792499999999977</v>
      </c>
      <c r="F2175" s="151" t="s">
        <v>122</v>
      </c>
      <c r="G2175" s="149" t="s">
        <v>135</v>
      </c>
      <c r="H2175" s="68" t="s">
        <v>413</v>
      </c>
      <c r="I2175" s="168" t="s">
        <v>454</v>
      </c>
      <c r="J2175" s="77" t="s">
        <v>453</v>
      </c>
      <c r="K2175" s="168"/>
      <c r="L2175" s="131"/>
      <c r="M2175" s="169"/>
    </row>
    <row r="2176" spans="1:13" x14ac:dyDescent="0.55000000000000004">
      <c r="A2176" s="92" t="s">
        <v>452</v>
      </c>
      <c r="B2176" s="68" t="s">
        <v>160</v>
      </c>
      <c r="C2176" s="68" t="s">
        <v>156</v>
      </c>
      <c r="D2176" s="61" t="s">
        <v>3288</v>
      </c>
      <c r="E2176" s="119">
        <f>2.97925*0.9</f>
        <v>2.6813250000000002</v>
      </c>
      <c r="F2176" s="151" t="s">
        <v>122</v>
      </c>
      <c r="G2176" s="149" t="s">
        <v>135</v>
      </c>
      <c r="H2176" s="68" t="s">
        <v>413</v>
      </c>
      <c r="I2176" s="168" t="s">
        <v>454</v>
      </c>
      <c r="J2176" s="77" t="s">
        <v>453</v>
      </c>
      <c r="K2176" s="168"/>
      <c r="L2176" s="159"/>
      <c r="M2176" s="169"/>
    </row>
    <row r="2177" spans="1:13" x14ac:dyDescent="0.55000000000000004">
      <c r="A2177" s="92" t="s">
        <v>449</v>
      </c>
      <c r="B2177" s="168" t="s">
        <v>339</v>
      </c>
      <c r="C2177" s="168" t="s">
        <v>121</v>
      </c>
      <c r="D2177" s="168" t="s">
        <v>3288</v>
      </c>
      <c r="E2177" s="116">
        <v>1</v>
      </c>
      <c r="F2177" s="149" t="s">
        <v>135</v>
      </c>
      <c r="G2177" s="149">
        <v>1</v>
      </c>
      <c r="H2177" s="68" t="s">
        <v>39</v>
      </c>
      <c r="I2177" s="168"/>
      <c r="J2177" s="77" t="s">
        <v>450</v>
      </c>
      <c r="K2177" s="168"/>
      <c r="L2177" s="131"/>
      <c r="M2177" s="169"/>
    </row>
    <row r="2178" spans="1:13" x14ac:dyDescent="0.55000000000000004">
      <c r="A2178" s="92" t="s">
        <v>449</v>
      </c>
      <c r="B2178" s="168" t="s">
        <v>315</v>
      </c>
      <c r="C2178" s="21" t="s">
        <v>207</v>
      </c>
      <c r="D2178" s="168" t="s">
        <v>3288</v>
      </c>
      <c r="E2178" s="116">
        <v>1.05</v>
      </c>
      <c r="F2178" s="149" t="s">
        <v>135</v>
      </c>
      <c r="G2178" s="149" t="s">
        <v>135</v>
      </c>
      <c r="H2178" s="68" t="s">
        <v>39</v>
      </c>
      <c r="I2178" s="168"/>
      <c r="J2178" s="77" t="s">
        <v>450</v>
      </c>
      <c r="K2178" s="168"/>
      <c r="L2178" s="131"/>
      <c r="M2178" s="169"/>
    </row>
    <row r="2179" spans="1:13" x14ac:dyDescent="0.55000000000000004">
      <c r="A2179" s="92" t="s">
        <v>449</v>
      </c>
      <c r="B2179" s="168" t="s">
        <v>341</v>
      </c>
      <c r="C2179" s="168" t="s">
        <v>125</v>
      </c>
      <c r="D2179" s="168" t="s">
        <v>3288</v>
      </c>
      <c r="E2179" s="116">
        <v>0.03</v>
      </c>
      <c r="F2179" s="149" t="s">
        <v>135</v>
      </c>
      <c r="G2179" s="149" t="s">
        <v>135</v>
      </c>
      <c r="H2179" s="68" t="s">
        <v>39</v>
      </c>
      <c r="I2179" s="168"/>
      <c r="J2179" s="77" t="s">
        <v>450</v>
      </c>
      <c r="K2179" s="168"/>
      <c r="L2179" s="131"/>
      <c r="M2179" s="169"/>
    </row>
    <row r="2180" spans="1:13" x14ac:dyDescent="0.55000000000000004">
      <c r="A2180" s="92" t="s">
        <v>449</v>
      </c>
      <c r="B2180" s="168" t="s">
        <v>213</v>
      </c>
      <c r="C2180" s="168" t="s">
        <v>125</v>
      </c>
      <c r="D2180" s="168" t="s">
        <v>3288</v>
      </c>
      <c r="E2180" s="116">
        <v>0.5</v>
      </c>
      <c r="F2180" s="149" t="s">
        <v>135</v>
      </c>
      <c r="G2180" s="149" t="s">
        <v>135</v>
      </c>
      <c r="H2180" s="68" t="s">
        <v>39</v>
      </c>
      <c r="I2180" s="168"/>
      <c r="J2180" s="77" t="s">
        <v>450</v>
      </c>
      <c r="K2180" s="168"/>
      <c r="L2180" s="131"/>
      <c r="M2180" s="169"/>
    </row>
    <row r="2181" spans="1:13" x14ac:dyDescent="0.55000000000000004">
      <c r="A2181" s="92" t="s">
        <v>449</v>
      </c>
      <c r="B2181" s="168" t="s">
        <v>153</v>
      </c>
      <c r="C2181" s="168" t="s">
        <v>127</v>
      </c>
      <c r="D2181" s="168" t="s">
        <v>2994</v>
      </c>
      <c r="E2181" s="116">
        <v>2.25</v>
      </c>
      <c r="F2181" s="149" t="s">
        <v>138</v>
      </c>
      <c r="G2181" s="149" t="s">
        <v>135</v>
      </c>
      <c r="H2181" s="68" t="s">
        <v>39</v>
      </c>
      <c r="I2181" s="168"/>
      <c r="J2181" s="77" t="s">
        <v>450</v>
      </c>
      <c r="K2181" s="168"/>
      <c r="L2181" s="131"/>
      <c r="M2181" s="169"/>
    </row>
    <row r="2182" spans="1:13" x14ac:dyDescent="0.55000000000000004">
      <c r="A2182" s="92" t="s">
        <v>449</v>
      </c>
      <c r="B2182" s="21" t="s">
        <v>171</v>
      </c>
      <c r="C2182" s="168" t="s">
        <v>127</v>
      </c>
      <c r="D2182" s="168" t="s">
        <v>2994</v>
      </c>
      <c r="E2182" s="117">
        <v>3.03</v>
      </c>
      <c r="F2182" s="149" t="s">
        <v>138</v>
      </c>
      <c r="G2182" s="149" t="s">
        <v>135</v>
      </c>
      <c r="H2182" s="68" t="s">
        <v>39</v>
      </c>
      <c r="I2182" s="168" t="s">
        <v>451</v>
      </c>
      <c r="J2182" s="77" t="s">
        <v>450</v>
      </c>
      <c r="K2182" s="168"/>
      <c r="L2182" s="131"/>
      <c r="M2182" s="169"/>
    </row>
    <row r="2183" spans="1:13" x14ac:dyDescent="0.55000000000000004">
      <c r="A2183" s="92" t="s">
        <v>449</v>
      </c>
      <c r="B2183" s="168" t="s">
        <v>160</v>
      </c>
      <c r="C2183" s="168" t="s">
        <v>247</v>
      </c>
      <c r="D2183" s="168" t="s">
        <v>3288</v>
      </c>
      <c r="E2183" s="119">
        <v>0.169983</v>
      </c>
      <c r="F2183" s="149" t="s">
        <v>135</v>
      </c>
      <c r="G2183" s="149" t="s">
        <v>135</v>
      </c>
      <c r="H2183" s="68" t="s">
        <v>376</v>
      </c>
      <c r="I2183" s="168"/>
      <c r="J2183" s="77" t="s">
        <v>450</v>
      </c>
      <c r="K2183" s="168"/>
      <c r="L2183" s="131"/>
      <c r="M2183" s="169"/>
    </row>
    <row r="2184" spans="1:13" x14ac:dyDescent="0.55000000000000004">
      <c r="A2184" s="92" t="s">
        <v>447</v>
      </c>
      <c r="B2184" s="21" t="s">
        <v>339</v>
      </c>
      <c r="C2184" s="168" t="s">
        <v>121</v>
      </c>
      <c r="D2184" s="168" t="s">
        <v>3288</v>
      </c>
      <c r="E2184" s="116">
        <v>1</v>
      </c>
      <c r="F2184" s="149" t="s">
        <v>135</v>
      </c>
      <c r="G2184" s="149">
        <v>1</v>
      </c>
      <c r="H2184" s="68" t="s">
        <v>39</v>
      </c>
      <c r="I2184" s="168"/>
      <c r="J2184" s="77" t="s">
        <v>448</v>
      </c>
      <c r="K2184" s="168"/>
      <c r="L2184" s="131"/>
      <c r="M2184" s="169"/>
    </row>
    <row r="2185" spans="1:13" x14ac:dyDescent="0.55000000000000004">
      <c r="A2185" s="92" t="s">
        <v>447</v>
      </c>
      <c r="B2185" s="168" t="s">
        <v>341</v>
      </c>
      <c r="C2185" s="168" t="s">
        <v>125</v>
      </c>
      <c r="D2185" s="168" t="s">
        <v>3288</v>
      </c>
      <c r="E2185" s="116">
        <v>1.1000000000000001</v>
      </c>
      <c r="F2185" s="149" t="s">
        <v>135</v>
      </c>
      <c r="G2185" s="149" t="s">
        <v>135</v>
      </c>
      <c r="H2185" s="68" t="s">
        <v>39</v>
      </c>
      <c r="I2185" s="168"/>
      <c r="J2185" s="77" t="s">
        <v>448</v>
      </c>
      <c r="K2185" s="168"/>
      <c r="L2185" s="131"/>
      <c r="M2185" s="169"/>
    </row>
    <row r="2186" spans="1:13" x14ac:dyDescent="0.55000000000000004">
      <c r="A2186" s="92" t="s">
        <v>447</v>
      </c>
      <c r="B2186" s="168" t="s">
        <v>213</v>
      </c>
      <c r="C2186" s="168" t="s">
        <v>125</v>
      </c>
      <c r="D2186" s="168" t="s">
        <v>3288</v>
      </c>
      <c r="E2186" s="116">
        <v>0.05</v>
      </c>
      <c r="F2186" s="149" t="s">
        <v>135</v>
      </c>
      <c r="G2186" s="149" t="s">
        <v>135</v>
      </c>
      <c r="H2186" s="68" t="s">
        <v>39</v>
      </c>
      <c r="I2186" s="168"/>
      <c r="J2186" s="77" t="s">
        <v>448</v>
      </c>
      <c r="K2186" s="168"/>
      <c r="L2186" s="131"/>
      <c r="M2186" s="169"/>
    </row>
    <row r="2187" spans="1:13" x14ac:dyDescent="0.55000000000000004">
      <c r="A2187" s="92" t="s">
        <v>447</v>
      </c>
      <c r="B2187" s="168" t="s">
        <v>153</v>
      </c>
      <c r="C2187" s="168" t="s">
        <v>127</v>
      </c>
      <c r="D2187" s="168" t="s">
        <v>2994</v>
      </c>
      <c r="E2187" s="116">
        <v>5.5</v>
      </c>
      <c r="F2187" s="149" t="s">
        <v>138</v>
      </c>
      <c r="G2187" s="149" t="s">
        <v>135</v>
      </c>
      <c r="H2187" s="68" t="s">
        <v>39</v>
      </c>
      <c r="I2187" s="168"/>
      <c r="J2187" s="77" t="s">
        <v>448</v>
      </c>
      <c r="K2187" s="168"/>
      <c r="L2187" s="131"/>
      <c r="M2187" s="169"/>
    </row>
    <row r="2188" spans="1:13" x14ac:dyDescent="0.55000000000000004">
      <c r="A2188" s="92" t="s">
        <v>444</v>
      </c>
      <c r="B2188" s="168" t="s">
        <v>354</v>
      </c>
      <c r="C2188" s="168" t="s">
        <v>121</v>
      </c>
      <c r="D2188" s="168" t="s">
        <v>3288</v>
      </c>
      <c r="E2188" s="116">
        <v>1</v>
      </c>
      <c r="F2188" s="149" t="s">
        <v>135</v>
      </c>
      <c r="G2188" s="149">
        <v>1</v>
      </c>
      <c r="H2188" s="68" t="s">
        <v>39</v>
      </c>
      <c r="I2188" s="168"/>
      <c r="J2188" s="77" t="s">
        <v>444</v>
      </c>
      <c r="K2188" s="168"/>
      <c r="L2188" s="131"/>
      <c r="M2188" s="169"/>
    </row>
    <row r="2189" spans="1:13" x14ac:dyDescent="0.55000000000000004">
      <c r="A2189" s="92" t="s">
        <v>444</v>
      </c>
      <c r="B2189" s="168" t="s">
        <v>288</v>
      </c>
      <c r="C2189" s="168" t="s">
        <v>156</v>
      </c>
      <c r="D2189" s="168" t="s">
        <v>3288</v>
      </c>
      <c r="E2189" s="116">
        <v>1.2</v>
      </c>
      <c r="F2189" s="149" t="s">
        <v>135</v>
      </c>
      <c r="G2189" s="149" t="s">
        <v>135</v>
      </c>
      <c r="H2189" s="68" t="s">
        <v>39</v>
      </c>
      <c r="I2189" s="168"/>
      <c r="J2189" s="77" t="s">
        <v>444</v>
      </c>
      <c r="K2189" s="168"/>
      <c r="L2189" s="131"/>
      <c r="M2189" s="169"/>
    </row>
    <row r="2190" spans="1:13" x14ac:dyDescent="0.55000000000000004">
      <c r="A2190" s="92" t="s">
        <v>444</v>
      </c>
      <c r="B2190" s="168" t="s">
        <v>289</v>
      </c>
      <c r="C2190" s="168" t="s">
        <v>156</v>
      </c>
      <c r="D2190" s="168" t="s">
        <v>2994</v>
      </c>
      <c r="E2190" s="116">
        <v>8.1</v>
      </c>
      <c r="F2190" s="149" t="s">
        <v>138</v>
      </c>
      <c r="G2190" s="149" t="s">
        <v>135</v>
      </c>
      <c r="H2190" s="68" t="s">
        <v>39</v>
      </c>
      <c r="I2190" s="168"/>
      <c r="J2190" s="77" t="s">
        <v>444</v>
      </c>
      <c r="K2190" s="168"/>
      <c r="L2190" s="131"/>
      <c r="M2190" s="169"/>
    </row>
    <row r="2191" spans="1:13" x14ac:dyDescent="0.55000000000000004">
      <c r="A2191" s="92" t="s">
        <v>444</v>
      </c>
      <c r="B2191" s="168" t="s">
        <v>316</v>
      </c>
      <c r="C2191" s="168" t="s">
        <v>132</v>
      </c>
      <c r="D2191" s="168" t="s">
        <v>3288</v>
      </c>
      <c r="E2191" s="116">
        <v>2.2999999999999998</v>
      </c>
      <c r="F2191" s="149" t="s">
        <v>135</v>
      </c>
      <c r="G2191" s="149" t="s">
        <v>135</v>
      </c>
      <c r="H2191" s="68" t="s">
        <v>39</v>
      </c>
      <c r="I2191" s="168"/>
      <c r="J2191" s="77" t="s">
        <v>444</v>
      </c>
      <c r="K2191" s="168"/>
      <c r="L2191" s="131"/>
      <c r="M2191" s="169"/>
    </row>
    <row r="2192" spans="1:13" x14ac:dyDescent="0.55000000000000004">
      <c r="A2192" s="92" t="s">
        <v>444</v>
      </c>
      <c r="B2192" s="168" t="s">
        <v>445</v>
      </c>
      <c r="C2192" s="168" t="s">
        <v>127</v>
      </c>
      <c r="D2192" s="168" t="s">
        <v>2994</v>
      </c>
      <c r="E2192" s="116">
        <v>0.8</v>
      </c>
      <c r="F2192" s="149" t="s">
        <v>138</v>
      </c>
      <c r="G2192" s="149" t="s">
        <v>135</v>
      </c>
      <c r="H2192" s="68" t="s">
        <v>39</v>
      </c>
      <c r="I2192" s="168"/>
      <c r="J2192" s="77" t="s">
        <v>444</v>
      </c>
      <c r="K2192" s="168"/>
      <c r="L2192" s="131"/>
      <c r="M2192" s="169"/>
    </row>
    <row r="2193" spans="1:13" x14ac:dyDescent="0.55000000000000004">
      <c r="A2193" s="92" t="s">
        <v>444</v>
      </c>
      <c r="B2193" s="168" t="s">
        <v>293</v>
      </c>
      <c r="C2193" s="168" t="s">
        <v>127</v>
      </c>
      <c r="D2193" s="168" t="s">
        <v>2994</v>
      </c>
      <c r="E2193" s="116">
        <v>15.4</v>
      </c>
      <c r="F2193" s="149" t="s">
        <v>138</v>
      </c>
      <c r="G2193" s="149" t="s">
        <v>135</v>
      </c>
      <c r="H2193" s="68" t="s">
        <v>39</v>
      </c>
      <c r="I2193" s="168"/>
      <c r="J2193" s="77" t="s">
        <v>444</v>
      </c>
      <c r="K2193" s="168"/>
      <c r="L2193" s="131"/>
      <c r="M2193" s="169"/>
    </row>
    <row r="2194" spans="1:13" x14ac:dyDescent="0.55000000000000004">
      <c r="A2194" s="92" t="s">
        <v>444</v>
      </c>
      <c r="B2194" s="168" t="s">
        <v>289</v>
      </c>
      <c r="C2194" s="168" t="s">
        <v>127</v>
      </c>
      <c r="D2194" s="168" t="s">
        <v>2994</v>
      </c>
      <c r="E2194" s="116">
        <v>0.6</v>
      </c>
      <c r="F2194" s="149" t="s">
        <v>138</v>
      </c>
      <c r="G2194" s="149" t="s">
        <v>135</v>
      </c>
      <c r="H2194" s="68" t="s">
        <v>39</v>
      </c>
      <c r="I2194" s="168"/>
      <c r="J2194" s="77" t="s">
        <v>444</v>
      </c>
      <c r="K2194" s="168"/>
      <c r="L2194" s="131"/>
      <c r="M2194" s="169"/>
    </row>
    <row r="2195" spans="1:13" x14ac:dyDescent="0.55000000000000004">
      <c r="A2195" s="92" t="s">
        <v>444</v>
      </c>
      <c r="B2195" s="168" t="s">
        <v>153</v>
      </c>
      <c r="C2195" s="168" t="s">
        <v>127</v>
      </c>
      <c r="D2195" s="168" t="s">
        <v>2994</v>
      </c>
      <c r="E2195" s="116">
        <v>11.3</v>
      </c>
      <c r="F2195" s="149" t="s">
        <v>138</v>
      </c>
      <c r="G2195" s="149" t="s">
        <v>135</v>
      </c>
      <c r="H2195" s="68" t="s">
        <v>39</v>
      </c>
      <c r="I2195" s="168"/>
      <c r="J2195" s="77" t="s">
        <v>444</v>
      </c>
      <c r="K2195" s="168"/>
      <c r="L2195" s="131"/>
      <c r="M2195" s="169"/>
    </row>
    <row r="2196" spans="1:13" x14ac:dyDescent="0.55000000000000004">
      <c r="A2196" s="92" t="s">
        <v>444</v>
      </c>
      <c r="B2196" s="168" t="s">
        <v>137</v>
      </c>
      <c r="C2196" s="168" t="s">
        <v>127</v>
      </c>
      <c r="D2196" s="168" t="s">
        <v>2994</v>
      </c>
      <c r="E2196" s="116">
        <v>0.9</v>
      </c>
      <c r="F2196" s="149" t="s">
        <v>138</v>
      </c>
      <c r="G2196" s="149" t="s">
        <v>135</v>
      </c>
      <c r="H2196" s="68" t="s">
        <v>39</v>
      </c>
      <c r="I2196" s="168"/>
      <c r="J2196" s="77" t="s">
        <v>444</v>
      </c>
      <c r="K2196" s="168"/>
      <c r="L2196" s="131"/>
      <c r="M2196" s="169"/>
    </row>
    <row r="2197" spans="1:13" x14ac:dyDescent="0.55000000000000004">
      <c r="A2197" s="92" t="s">
        <v>444</v>
      </c>
      <c r="B2197" s="168" t="s">
        <v>160</v>
      </c>
      <c r="C2197" s="168" t="s">
        <v>247</v>
      </c>
      <c r="D2197" s="168" t="s">
        <v>3288</v>
      </c>
      <c r="E2197" s="119">
        <v>1.8812199999999999</v>
      </c>
      <c r="F2197" s="149" t="s">
        <v>135</v>
      </c>
      <c r="G2197" s="149" t="s">
        <v>135</v>
      </c>
      <c r="H2197" s="68" t="s">
        <v>376</v>
      </c>
      <c r="I2197" s="168" t="s">
        <v>446</v>
      </c>
      <c r="J2197" s="77" t="s">
        <v>444</v>
      </c>
      <c r="K2197" s="168"/>
      <c r="L2197" s="131"/>
      <c r="M2197" s="169"/>
    </row>
    <row r="2198" spans="1:13" x14ac:dyDescent="0.55000000000000004">
      <c r="A2198" s="96" t="s">
        <v>443</v>
      </c>
      <c r="B2198" s="61" t="s">
        <v>440</v>
      </c>
      <c r="C2198" s="61" t="s">
        <v>121</v>
      </c>
      <c r="D2198" s="61" t="s">
        <v>3288</v>
      </c>
      <c r="E2198" s="119">
        <v>1</v>
      </c>
      <c r="F2198" s="148" t="s">
        <v>135</v>
      </c>
      <c r="G2198" s="148" t="s">
        <v>135</v>
      </c>
      <c r="H2198" s="68" t="s">
        <v>39</v>
      </c>
      <c r="I2198" s="168"/>
      <c r="J2198" s="74" t="str">
        <f t="shared" ref="J2198:J2261" si="2">A2198</f>
        <v>[TIMES] Glass Flat Production</v>
      </c>
      <c r="K2198" s="168"/>
      <c r="L2198" s="159"/>
      <c r="M2198" s="169"/>
    </row>
    <row r="2199" spans="1:13" x14ac:dyDescent="0.55000000000000004">
      <c r="A2199" s="96" t="s">
        <v>443</v>
      </c>
      <c r="B2199" s="61" t="s">
        <v>153</v>
      </c>
      <c r="C2199" s="61" t="s">
        <v>127</v>
      </c>
      <c r="D2199" s="61" t="s">
        <v>2994</v>
      </c>
      <c r="E2199" s="119">
        <v>5</v>
      </c>
      <c r="F2199" s="148" t="s">
        <v>138</v>
      </c>
      <c r="G2199" s="148" t="s">
        <v>135</v>
      </c>
      <c r="H2199" s="68" t="s">
        <v>39</v>
      </c>
      <c r="I2199" s="168"/>
      <c r="J2199" s="74" t="str">
        <f t="shared" si="2"/>
        <v>[TIMES] Glass Flat Production</v>
      </c>
      <c r="K2199" s="168"/>
      <c r="L2199" s="159"/>
      <c r="M2199" s="169"/>
    </row>
    <row r="2200" spans="1:13" x14ac:dyDescent="0.55000000000000004">
      <c r="A2200" s="96" t="s">
        <v>443</v>
      </c>
      <c r="B2200" s="61" t="s">
        <v>171</v>
      </c>
      <c r="C2200" s="61" t="s">
        <v>127</v>
      </c>
      <c r="D2200" s="61" t="s">
        <v>2994</v>
      </c>
      <c r="E2200" s="119">
        <v>3</v>
      </c>
      <c r="F2200" s="148" t="s">
        <v>138</v>
      </c>
      <c r="G2200" s="148" t="s">
        <v>135</v>
      </c>
      <c r="H2200" s="68" t="s">
        <v>39</v>
      </c>
      <c r="I2200" s="168"/>
      <c r="J2200" s="74" t="str">
        <f t="shared" si="2"/>
        <v>[TIMES] Glass Flat Production</v>
      </c>
      <c r="K2200" s="168"/>
      <c r="L2200" s="159"/>
      <c r="M2200" s="169"/>
    </row>
    <row r="2201" spans="1:13" x14ac:dyDescent="0.55000000000000004">
      <c r="A2201" s="96" t="s">
        <v>443</v>
      </c>
      <c r="B2201" s="68" t="s">
        <v>160</v>
      </c>
      <c r="C2201" s="168" t="s">
        <v>247</v>
      </c>
      <c r="D2201" s="168" t="s">
        <v>3288</v>
      </c>
      <c r="E2201" s="119">
        <v>0.16830000000000001</v>
      </c>
      <c r="F2201" s="148" t="s">
        <v>135</v>
      </c>
      <c r="G2201" s="148" t="s">
        <v>135</v>
      </c>
      <c r="H2201" s="68" t="s">
        <v>376</v>
      </c>
      <c r="I2201" s="168"/>
      <c r="J2201" s="74" t="str">
        <f t="shared" si="2"/>
        <v>[TIMES] Glass Flat Production</v>
      </c>
      <c r="K2201" s="168"/>
      <c r="L2201" s="159"/>
      <c r="M2201" s="169"/>
    </row>
    <row r="2202" spans="1:13" x14ac:dyDescent="0.55000000000000004">
      <c r="A2202" s="96" t="s">
        <v>442</v>
      </c>
      <c r="B2202" s="61" t="s">
        <v>440</v>
      </c>
      <c r="C2202" s="61" t="s">
        <v>121</v>
      </c>
      <c r="D2202" s="61" t="s">
        <v>3288</v>
      </c>
      <c r="E2202" s="119">
        <v>1</v>
      </c>
      <c r="F2202" s="148" t="s">
        <v>135</v>
      </c>
      <c r="G2202" s="148">
        <v>1</v>
      </c>
      <c r="H2202" s="68" t="s">
        <v>39</v>
      </c>
      <c r="I2202" s="168"/>
      <c r="J2202" s="74" t="str">
        <f t="shared" si="2"/>
        <v>[TIMES] Glass Flat Production Heat Recovery / Improved Burners</v>
      </c>
      <c r="K2202" s="168"/>
      <c r="L2202" s="159"/>
      <c r="M2202" s="169"/>
    </row>
    <row r="2203" spans="1:13" x14ac:dyDescent="0.55000000000000004">
      <c r="A2203" s="96" t="s">
        <v>442</v>
      </c>
      <c r="B2203" s="61" t="s">
        <v>153</v>
      </c>
      <c r="C2203" s="61" t="s">
        <v>127</v>
      </c>
      <c r="D2203" s="61" t="s">
        <v>2994</v>
      </c>
      <c r="E2203" s="119">
        <v>4.125</v>
      </c>
      <c r="F2203" s="148" t="s">
        <v>138</v>
      </c>
      <c r="G2203" s="148" t="s">
        <v>135</v>
      </c>
      <c r="H2203" s="68" t="s">
        <v>39</v>
      </c>
      <c r="I2203" s="168"/>
      <c r="J2203" s="74" t="str">
        <f t="shared" si="2"/>
        <v>[TIMES] Glass Flat Production Heat Recovery / Improved Burners</v>
      </c>
      <c r="K2203" s="168"/>
      <c r="L2203" s="159"/>
      <c r="M2203" s="169"/>
    </row>
    <row r="2204" spans="1:13" x14ac:dyDescent="0.55000000000000004">
      <c r="A2204" s="96" t="s">
        <v>442</v>
      </c>
      <c r="B2204" s="61" t="s">
        <v>171</v>
      </c>
      <c r="C2204" s="61" t="s">
        <v>127</v>
      </c>
      <c r="D2204" s="61" t="s">
        <v>2994</v>
      </c>
      <c r="E2204" s="119">
        <v>2.25</v>
      </c>
      <c r="F2204" s="148" t="s">
        <v>138</v>
      </c>
      <c r="G2204" s="148" t="s">
        <v>135</v>
      </c>
      <c r="H2204" s="68" t="s">
        <v>39</v>
      </c>
      <c r="I2204" s="168"/>
      <c r="J2204" s="74" t="str">
        <f t="shared" si="2"/>
        <v>[TIMES] Glass Flat Production Heat Recovery / Improved Burners</v>
      </c>
      <c r="K2204" s="168"/>
      <c r="L2204" s="159"/>
      <c r="M2204" s="169"/>
    </row>
    <row r="2205" spans="1:13" x14ac:dyDescent="0.55000000000000004">
      <c r="A2205" s="96" t="s">
        <v>442</v>
      </c>
      <c r="B2205" s="68" t="s">
        <v>160</v>
      </c>
      <c r="C2205" s="168" t="s">
        <v>247</v>
      </c>
      <c r="D2205" s="168" t="s">
        <v>3288</v>
      </c>
      <c r="E2205" s="119">
        <v>0.126225</v>
      </c>
      <c r="F2205" s="148" t="s">
        <v>135</v>
      </c>
      <c r="G2205" s="148">
        <v>1</v>
      </c>
      <c r="H2205" s="68" t="s">
        <v>376</v>
      </c>
      <c r="I2205" s="168"/>
      <c r="J2205" s="74" t="str">
        <f t="shared" si="2"/>
        <v>[TIMES] Glass Flat Production Heat Recovery / Improved Burners</v>
      </c>
      <c r="K2205" s="168"/>
      <c r="L2205" s="159"/>
      <c r="M2205" s="169"/>
    </row>
    <row r="2206" spans="1:13" x14ac:dyDescent="0.55000000000000004">
      <c r="A2206" s="96" t="s">
        <v>439</v>
      </c>
      <c r="B2206" s="61" t="s">
        <v>440</v>
      </c>
      <c r="C2206" s="61" t="s">
        <v>121</v>
      </c>
      <c r="D2206" s="61" t="s">
        <v>3288</v>
      </c>
      <c r="E2206" s="119">
        <v>1</v>
      </c>
      <c r="F2206" s="148" t="s">
        <v>135</v>
      </c>
      <c r="G2206" s="148">
        <v>1</v>
      </c>
      <c r="H2206" s="68" t="s">
        <v>39</v>
      </c>
      <c r="I2206" s="168"/>
      <c r="J2206" s="74" t="str">
        <f t="shared" si="2"/>
        <v>[TIMES] Glass Flat Production Heat Recovery / Improved Burners CCS</v>
      </c>
      <c r="K2206" s="168"/>
      <c r="L2206" s="159"/>
      <c r="M2206" s="169"/>
    </row>
    <row r="2207" spans="1:13" x14ac:dyDescent="0.55000000000000004">
      <c r="A2207" s="96" t="s">
        <v>439</v>
      </c>
      <c r="B2207" s="61" t="s">
        <v>153</v>
      </c>
      <c r="C2207" s="61" t="s">
        <v>127</v>
      </c>
      <c r="D2207" s="61" t="s">
        <v>2994</v>
      </c>
      <c r="E2207" s="119">
        <v>4.53</v>
      </c>
      <c r="F2207" s="148" t="s">
        <v>138</v>
      </c>
      <c r="G2207" s="148" t="s">
        <v>135</v>
      </c>
      <c r="H2207" s="68" t="s">
        <v>39</v>
      </c>
      <c r="I2207" s="168"/>
      <c r="J2207" s="74" t="str">
        <f t="shared" si="2"/>
        <v>[TIMES] Glass Flat Production Heat Recovery / Improved Burners CCS</v>
      </c>
      <c r="K2207" s="168"/>
      <c r="L2207" s="159"/>
      <c r="M2207" s="169"/>
    </row>
    <row r="2208" spans="1:13" x14ac:dyDescent="0.55000000000000004">
      <c r="A2208" s="96" t="s">
        <v>439</v>
      </c>
      <c r="B2208" s="61" t="s">
        <v>171</v>
      </c>
      <c r="C2208" s="61" t="s">
        <v>127</v>
      </c>
      <c r="D2208" s="61" t="s">
        <v>2994</v>
      </c>
      <c r="E2208" s="119">
        <v>2.2799999999999998</v>
      </c>
      <c r="F2208" s="148" t="s">
        <v>138</v>
      </c>
      <c r="G2208" s="148" t="s">
        <v>135</v>
      </c>
      <c r="H2208" s="68" t="s">
        <v>39</v>
      </c>
      <c r="I2208" s="168"/>
      <c r="J2208" s="74" t="str">
        <f t="shared" si="2"/>
        <v>[TIMES] Glass Flat Production Heat Recovery / Improved Burners CCS</v>
      </c>
      <c r="K2208" s="168"/>
      <c r="L2208" s="159"/>
      <c r="M2208" s="169"/>
    </row>
    <row r="2209" spans="1:13" x14ac:dyDescent="0.55000000000000004">
      <c r="A2209" s="96" t="s">
        <v>439</v>
      </c>
      <c r="B2209" s="68" t="s">
        <v>160</v>
      </c>
      <c r="C2209" s="168" t="s">
        <v>247</v>
      </c>
      <c r="D2209" s="61" t="s">
        <v>3288</v>
      </c>
      <c r="E2209" s="119">
        <f>0.127908-E2210</f>
        <v>1.2790799999999991E-2</v>
      </c>
      <c r="F2209" s="148" t="s">
        <v>135</v>
      </c>
      <c r="G2209" s="148" t="s">
        <v>135</v>
      </c>
      <c r="H2209" s="68" t="s">
        <v>376</v>
      </c>
      <c r="I2209" s="168"/>
      <c r="J2209" s="74" t="str">
        <f t="shared" si="2"/>
        <v>[TIMES] Glass Flat Production Heat Recovery / Improved Burners CCS</v>
      </c>
      <c r="K2209" s="168"/>
      <c r="L2209" s="159"/>
      <c r="M2209" s="169"/>
    </row>
    <row r="2210" spans="1:13" x14ac:dyDescent="0.55000000000000004">
      <c r="A2210" s="96" t="s">
        <v>439</v>
      </c>
      <c r="B2210" s="68" t="s">
        <v>160</v>
      </c>
      <c r="C2210" s="68" t="s">
        <v>156</v>
      </c>
      <c r="D2210" s="61" t="s">
        <v>3288</v>
      </c>
      <c r="E2210" s="119">
        <f>0.127908*0.9</f>
        <v>0.1151172</v>
      </c>
      <c r="F2210" s="148" t="s">
        <v>135</v>
      </c>
      <c r="G2210" s="148" t="s">
        <v>135</v>
      </c>
      <c r="H2210" s="68" t="s">
        <v>376</v>
      </c>
      <c r="I2210" s="168" t="s">
        <v>441</v>
      </c>
      <c r="J2210" s="74" t="str">
        <f t="shared" si="2"/>
        <v>[TIMES] Glass Flat Production Heat Recovery / Improved Burners CCS</v>
      </c>
      <c r="K2210" s="168"/>
      <c r="L2210" s="159"/>
      <c r="M2210" s="169"/>
    </row>
    <row r="2211" spans="1:13" x14ac:dyDescent="0.55000000000000004">
      <c r="A2211" s="96" t="s">
        <v>438</v>
      </c>
      <c r="B2211" s="61" t="s">
        <v>429</v>
      </c>
      <c r="C2211" s="61" t="s">
        <v>121</v>
      </c>
      <c r="D2211" s="61" t="s">
        <v>3288</v>
      </c>
      <c r="E2211" s="119">
        <v>1</v>
      </c>
      <c r="F2211" s="148" t="s">
        <v>135</v>
      </c>
      <c r="G2211" s="148">
        <v>1</v>
      </c>
      <c r="H2211" s="68" t="s">
        <v>39</v>
      </c>
      <c r="I2211" s="168"/>
      <c r="J2211" s="74" t="str">
        <f t="shared" si="2"/>
        <v>[TIMES] Glass Hollow Production</v>
      </c>
      <c r="K2211" s="168"/>
      <c r="L2211" s="159"/>
      <c r="M2211" s="169"/>
    </row>
    <row r="2212" spans="1:13" x14ac:dyDescent="0.55000000000000004">
      <c r="A2212" s="96" t="s">
        <v>438</v>
      </c>
      <c r="B2212" s="61" t="s">
        <v>153</v>
      </c>
      <c r="C2212" s="61" t="s">
        <v>127</v>
      </c>
      <c r="D2212" s="61" t="s">
        <v>2994</v>
      </c>
      <c r="E2212" s="119">
        <v>0.52</v>
      </c>
      <c r="F2212" s="148" t="s">
        <v>138</v>
      </c>
      <c r="G2212" s="148" t="s">
        <v>135</v>
      </c>
      <c r="H2212" s="68" t="s">
        <v>39</v>
      </c>
      <c r="I2212" s="168"/>
      <c r="J2212" s="74" t="str">
        <f t="shared" si="2"/>
        <v>[TIMES] Glass Hollow Production</v>
      </c>
      <c r="K2212" s="168"/>
      <c r="L2212" s="159"/>
      <c r="M2212" s="169"/>
    </row>
    <row r="2213" spans="1:13" x14ac:dyDescent="0.55000000000000004">
      <c r="A2213" s="96" t="s">
        <v>438</v>
      </c>
      <c r="B2213" s="61" t="s">
        <v>171</v>
      </c>
      <c r="C2213" s="61" t="s">
        <v>127</v>
      </c>
      <c r="D2213" s="61" t="s">
        <v>2994</v>
      </c>
      <c r="E2213" s="119">
        <v>5.9</v>
      </c>
      <c r="F2213" s="148" t="s">
        <v>138</v>
      </c>
      <c r="G2213" s="148" t="s">
        <v>135</v>
      </c>
      <c r="H2213" s="68" t="s">
        <v>39</v>
      </c>
      <c r="I2213" s="168"/>
      <c r="J2213" s="74" t="str">
        <f t="shared" si="2"/>
        <v>[TIMES] Glass Hollow Production</v>
      </c>
      <c r="K2213" s="168"/>
      <c r="L2213" s="159"/>
      <c r="M2213" s="169"/>
    </row>
    <row r="2214" spans="1:13" x14ac:dyDescent="0.55000000000000004">
      <c r="A2214" s="96" t="s">
        <v>438</v>
      </c>
      <c r="B2214" s="61" t="s">
        <v>445</v>
      </c>
      <c r="C2214" s="61" t="s">
        <v>127</v>
      </c>
      <c r="D2214" s="61" t="s">
        <v>2994</v>
      </c>
      <c r="E2214" s="119">
        <v>2</v>
      </c>
      <c r="F2214" s="148" t="s">
        <v>138</v>
      </c>
      <c r="G2214" s="148" t="s">
        <v>135</v>
      </c>
      <c r="H2214" s="68" t="s">
        <v>39</v>
      </c>
      <c r="I2214" s="168"/>
      <c r="J2214" s="74" t="str">
        <f t="shared" si="2"/>
        <v>[TIMES] Glass Hollow Production</v>
      </c>
      <c r="K2214" s="168"/>
      <c r="L2214" s="159"/>
      <c r="M2214" s="169"/>
    </row>
    <row r="2215" spans="1:13" x14ac:dyDescent="0.55000000000000004">
      <c r="A2215" s="96" t="s">
        <v>438</v>
      </c>
      <c r="B2215" s="68" t="s">
        <v>160</v>
      </c>
      <c r="C2215" s="168" t="s">
        <v>247</v>
      </c>
      <c r="D2215" s="168" t="s">
        <v>3288</v>
      </c>
      <c r="E2215" s="119">
        <v>0.48579</v>
      </c>
      <c r="F2215" s="148" t="s">
        <v>135</v>
      </c>
      <c r="G2215" s="148" t="s">
        <v>135</v>
      </c>
      <c r="H2215" s="68" t="s">
        <v>376</v>
      </c>
      <c r="I2215" s="168" t="s">
        <v>434</v>
      </c>
      <c r="J2215" s="74" t="str">
        <f t="shared" si="2"/>
        <v>[TIMES] Glass Hollow Production</v>
      </c>
      <c r="K2215" s="168"/>
      <c r="L2215" s="159"/>
      <c r="M2215" s="169"/>
    </row>
    <row r="2216" spans="1:13" x14ac:dyDescent="0.55000000000000004">
      <c r="A2216" s="96" t="s">
        <v>437</v>
      </c>
      <c r="B2216" s="61" t="s">
        <v>429</v>
      </c>
      <c r="C2216" s="61" t="s">
        <v>121</v>
      </c>
      <c r="D2216" s="61" t="s">
        <v>3288</v>
      </c>
      <c r="E2216" s="119">
        <v>1</v>
      </c>
      <c r="F2216" s="148" t="s">
        <v>135</v>
      </c>
      <c r="G2216" s="148">
        <v>1</v>
      </c>
      <c r="H2216" s="68" t="s">
        <v>39</v>
      </c>
      <c r="I2216" s="168"/>
      <c r="J2216" s="74" t="str">
        <f t="shared" si="2"/>
        <v>[TIMES] Glass Hollow Production Heat Recovery / Improved Burners</v>
      </c>
      <c r="K2216" s="168"/>
      <c r="L2216" s="159"/>
      <c r="M2216" s="169"/>
    </row>
    <row r="2217" spans="1:13" x14ac:dyDescent="0.55000000000000004">
      <c r="A2217" s="96" t="s">
        <v>437</v>
      </c>
      <c r="B2217" s="61" t="s">
        <v>153</v>
      </c>
      <c r="C2217" s="61" t="s">
        <v>127</v>
      </c>
      <c r="D2217" s="61" t="s">
        <v>2994</v>
      </c>
      <c r="E2217" s="119">
        <v>4.8899999999999997</v>
      </c>
      <c r="F2217" s="148" t="s">
        <v>138</v>
      </c>
      <c r="G2217" s="148" t="s">
        <v>135</v>
      </c>
      <c r="H2217" s="68" t="s">
        <v>39</v>
      </c>
      <c r="I2217" s="168"/>
      <c r="J2217" s="74" t="str">
        <f t="shared" si="2"/>
        <v>[TIMES] Glass Hollow Production Heat Recovery / Improved Burners</v>
      </c>
      <c r="K2217" s="168"/>
      <c r="L2217" s="159"/>
      <c r="M2217" s="169"/>
    </row>
    <row r="2218" spans="1:13" x14ac:dyDescent="0.55000000000000004">
      <c r="A2218" s="96" t="s">
        <v>437</v>
      </c>
      <c r="B2218" s="61" t="s">
        <v>171</v>
      </c>
      <c r="C2218" s="61" t="s">
        <v>127</v>
      </c>
      <c r="D2218" s="61" t="s">
        <v>2994</v>
      </c>
      <c r="E2218" s="119">
        <v>3.75</v>
      </c>
      <c r="F2218" s="148" t="s">
        <v>138</v>
      </c>
      <c r="G2218" s="148" t="s">
        <v>135</v>
      </c>
      <c r="H2218" s="68" t="s">
        <v>39</v>
      </c>
      <c r="I2218" s="168"/>
      <c r="J2218" s="74" t="str">
        <f t="shared" si="2"/>
        <v>[TIMES] Glass Hollow Production Heat Recovery / Improved Burners</v>
      </c>
      <c r="K2218" s="168"/>
      <c r="L2218" s="159"/>
      <c r="M2218" s="169"/>
    </row>
    <row r="2219" spans="1:13" x14ac:dyDescent="0.55000000000000004">
      <c r="A2219" s="96" t="s">
        <v>437</v>
      </c>
      <c r="B2219" s="61" t="s">
        <v>445</v>
      </c>
      <c r="C2219" s="61" t="s">
        <v>127</v>
      </c>
      <c r="D2219" s="61" t="s">
        <v>2994</v>
      </c>
      <c r="E2219" s="119">
        <v>0.75</v>
      </c>
      <c r="F2219" s="148" t="s">
        <v>138</v>
      </c>
      <c r="G2219" s="148" t="s">
        <v>135</v>
      </c>
      <c r="H2219" s="68" t="s">
        <v>39</v>
      </c>
      <c r="I2219" s="168"/>
      <c r="J2219" s="74" t="str">
        <f t="shared" si="2"/>
        <v>[TIMES] Glass Hollow Production Heat Recovery / Improved Burners</v>
      </c>
      <c r="K2219" s="168"/>
      <c r="L2219" s="159"/>
      <c r="M2219" s="169"/>
    </row>
    <row r="2220" spans="1:13" x14ac:dyDescent="0.55000000000000004">
      <c r="A2220" s="96" t="s">
        <v>437</v>
      </c>
      <c r="B2220" s="68" t="s">
        <v>160</v>
      </c>
      <c r="C2220" s="168" t="s">
        <v>247</v>
      </c>
      <c r="D2220" s="168" t="s">
        <v>3288</v>
      </c>
      <c r="E2220" s="119">
        <v>0.26842500000000002</v>
      </c>
      <c r="F2220" s="148" t="s">
        <v>135</v>
      </c>
      <c r="G2220" s="148" t="s">
        <v>135</v>
      </c>
      <c r="H2220" s="68" t="s">
        <v>376</v>
      </c>
      <c r="I2220" s="168" t="s">
        <v>434</v>
      </c>
      <c r="J2220" s="74" t="str">
        <f t="shared" si="2"/>
        <v>[TIMES] Glass Hollow Production Heat Recovery / Improved Burners</v>
      </c>
      <c r="K2220" s="168"/>
      <c r="L2220" s="159"/>
      <c r="M2220" s="169"/>
    </row>
    <row r="2221" spans="1:13" x14ac:dyDescent="0.55000000000000004">
      <c r="A2221" s="96" t="s">
        <v>435</v>
      </c>
      <c r="B2221" s="61" t="s">
        <v>429</v>
      </c>
      <c r="C2221" s="61" t="s">
        <v>121</v>
      </c>
      <c r="D2221" s="61" t="s">
        <v>3288</v>
      </c>
      <c r="E2221" s="119">
        <v>1</v>
      </c>
      <c r="F2221" s="148" t="s">
        <v>135</v>
      </c>
      <c r="G2221" s="148">
        <v>1</v>
      </c>
      <c r="H2221" s="68" t="s">
        <v>39</v>
      </c>
      <c r="I2221" s="168"/>
      <c r="J2221" s="74" t="str">
        <f t="shared" si="2"/>
        <v>[TIMES] Glass Hollow Production Heat Recovery / Improved Burners CCS</v>
      </c>
      <c r="K2221" s="168"/>
      <c r="L2221" s="159"/>
      <c r="M2221" s="169"/>
    </row>
    <row r="2222" spans="1:13" x14ac:dyDescent="0.55000000000000004">
      <c r="A2222" s="96" t="s">
        <v>435</v>
      </c>
      <c r="B2222" s="61" t="s">
        <v>153</v>
      </c>
      <c r="C2222" s="61" t="s">
        <v>127</v>
      </c>
      <c r="D2222" s="61" t="s">
        <v>2994</v>
      </c>
      <c r="E2222" s="119">
        <v>5.367</v>
      </c>
      <c r="F2222" s="148" t="s">
        <v>138</v>
      </c>
      <c r="G2222" s="148" t="s">
        <v>135</v>
      </c>
      <c r="H2222" s="68" t="s">
        <v>39</v>
      </c>
      <c r="I2222" s="168"/>
      <c r="J2222" s="74" t="str">
        <f t="shared" si="2"/>
        <v>[TIMES] Glass Hollow Production Heat Recovery / Improved Burners CCS</v>
      </c>
      <c r="K2222" s="168"/>
      <c r="L2222" s="159"/>
      <c r="M2222" s="169"/>
    </row>
    <row r="2223" spans="1:13" x14ac:dyDescent="0.55000000000000004">
      <c r="A2223" s="96" t="s">
        <v>435</v>
      </c>
      <c r="B2223" s="61" t="s">
        <v>171</v>
      </c>
      <c r="C2223" s="61" t="s">
        <v>127</v>
      </c>
      <c r="D2223" s="61" t="s">
        <v>2994</v>
      </c>
      <c r="E2223" s="119">
        <v>3.79</v>
      </c>
      <c r="F2223" s="148" t="s">
        <v>138</v>
      </c>
      <c r="G2223" s="148" t="s">
        <v>135</v>
      </c>
      <c r="H2223" s="68" t="s">
        <v>39</v>
      </c>
      <c r="I2223" s="168"/>
      <c r="J2223" s="74" t="str">
        <f t="shared" si="2"/>
        <v>[TIMES] Glass Hollow Production Heat Recovery / Improved Burners CCS</v>
      </c>
      <c r="K2223" s="168"/>
      <c r="L2223" s="159"/>
      <c r="M2223" s="169"/>
    </row>
    <row r="2224" spans="1:13" x14ac:dyDescent="0.55000000000000004">
      <c r="A2224" s="96" t="s">
        <v>435</v>
      </c>
      <c r="B2224" s="68" t="s">
        <v>160</v>
      </c>
      <c r="C2224" s="168" t="s">
        <v>247</v>
      </c>
      <c r="D2224" s="61" t="s">
        <v>3288</v>
      </c>
      <c r="E2224" s="119">
        <f>0.270669-E2225</f>
        <v>2.7066900000000005E-2</v>
      </c>
      <c r="F2224" s="148" t="s">
        <v>135</v>
      </c>
      <c r="G2224" s="148" t="s">
        <v>135</v>
      </c>
      <c r="H2224" s="68" t="s">
        <v>376</v>
      </c>
      <c r="I2224" s="168"/>
      <c r="J2224" s="74" t="str">
        <f t="shared" si="2"/>
        <v>[TIMES] Glass Hollow Production Heat Recovery / Improved Burners CCS</v>
      </c>
      <c r="K2224" s="168"/>
      <c r="L2224" s="159"/>
      <c r="M2224" s="169"/>
    </row>
    <row r="2225" spans="1:13" x14ac:dyDescent="0.55000000000000004">
      <c r="A2225" s="96" t="s">
        <v>435</v>
      </c>
      <c r="B2225" s="68" t="s">
        <v>160</v>
      </c>
      <c r="C2225" s="68" t="s">
        <v>156</v>
      </c>
      <c r="D2225" s="61" t="s">
        <v>3288</v>
      </c>
      <c r="E2225" s="119">
        <f>0.270669*0.9</f>
        <v>0.24360209999999999</v>
      </c>
      <c r="F2225" s="148" t="s">
        <v>135</v>
      </c>
      <c r="G2225" s="148" t="s">
        <v>135</v>
      </c>
      <c r="H2225" s="68" t="s">
        <v>376</v>
      </c>
      <c r="I2225" s="168" t="s">
        <v>436</v>
      </c>
      <c r="J2225" s="74" t="str">
        <f t="shared" si="2"/>
        <v>[TIMES] Glass Hollow Production Heat Recovery / Improved Burners CCS</v>
      </c>
      <c r="K2225" s="168"/>
      <c r="L2225" s="159"/>
      <c r="M2225" s="169"/>
    </row>
    <row r="2226" spans="1:13" x14ac:dyDescent="0.55000000000000004">
      <c r="A2226" s="96" t="s">
        <v>432</v>
      </c>
      <c r="B2226" s="61" t="s">
        <v>429</v>
      </c>
      <c r="C2226" s="61" t="s">
        <v>121</v>
      </c>
      <c r="D2226" s="61" t="s">
        <v>3288</v>
      </c>
      <c r="E2226" s="119">
        <v>1</v>
      </c>
      <c r="F2226" s="148" t="s">
        <v>135</v>
      </c>
      <c r="G2226" s="148">
        <v>1</v>
      </c>
      <c r="H2226" s="68" t="s">
        <v>39</v>
      </c>
      <c r="I2226" s="168"/>
      <c r="J2226" s="74" t="str">
        <f t="shared" si="2"/>
        <v>[TIMES] Glass Hollow Recycling</v>
      </c>
      <c r="K2226" s="168"/>
      <c r="L2226" s="159"/>
      <c r="M2226" s="169"/>
    </row>
    <row r="2227" spans="1:13" x14ac:dyDescent="0.55000000000000004">
      <c r="A2227" s="96" t="s">
        <v>432</v>
      </c>
      <c r="B2227" s="61" t="s">
        <v>153</v>
      </c>
      <c r="C2227" s="61" t="s">
        <v>127</v>
      </c>
      <c r="D2227" s="61" t="s">
        <v>2994</v>
      </c>
      <c r="E2227" s="119">
        <v>0.52</v>
      </c>
      <c r="F2227" s="148" t="s">
        <v>138</v>
      </c>
      <c r="G2227" s="148" t="s">
        <v>135</v>
      </c>
      <c r="H2227" s="68" t="s">
        <v>39</v>
      </c>
      <c r="I2227" s="168"/>
      <c r="J2227" s="74" t="str">
        <f t="shared" si="2"/>
        <v>[TIMES] Glass Hollow Recycling</v>
      </c>
      <c r="K2227" s="168"/>
      <c r="L2227" s="159"/>
      <c r="M2227" s="169"/>
    </row>
    <row r="2228" spans="1:13" x14ac:dyDescent="0.55000000000000004">
      <c r="A2228" s="96" t="s">
        <v>432</v>
      </c>
      <c r="B2228" s="61" t="s">
        <v>171</v>
      </c>
      <c r="C2228" s="61" t="s">
        <v>127</v>
      </c>
      <c r="D2228" s="61" t="s">
        <v>2994</v>
      </c>
      <c r="E2228" s="119">
        <v>3.9</v>
      </c>
      <c r="F2228" s="148" t="s">
        <v>138</v>
      </c>
      <c r="G2228" s="148" t="s">
        <v>135</v>
      </c>
      <c r="H2228" s="68" t="s">
        <v>39</v>
      </c>
      <c r="I2228" s="168"/>
      <c r="J2228" s="74" t="str">
        <f t="shared" si="2"/>
        <v>[TIMES] Glass Hollow Recycling</v>
      </c>
      <c r="K2228" s="168"/>
      <c r="L2228" s="159"/>
      <c r="M2228" s="169"/>
    </row>
    <row r="2229" spans="1:13" x14ac:dyDescent="0.55000000000000004">
      <c r="A2229" s="96" t="s">
        <v>432</v>
      </c>
      <c r="B2229" s="61" t="s">
        <v>445</v>
      </c>
      <c r="C2229" s="61" t="s">
        <v>127</v>
      </c>
      <c r="D2229" s="61" t="s">
        <v>2994</v>
      </c>
      <c r="E2229" s="119">
        <v>1.5</v>
      </c>
      <c r="F2229" s="148" t="s">
        <v>138</v>
      </c>
      <c r="G2229" s="148" t="s">
        <v>135</v>
      </c>
      <c r="H2229" s="68" t="s">
        <v>39</v>
      </c>
      <c r="I2229" s="168"/>
      <c r="J2229" s="74" t="str">
        <f t="shared" si="2"/>
        <v>[TIMES] Glass Hollow Recycling</v>
      </c>
      <c r="K2229" s="168"/>
      <c r="L2229" s="159"/>
      <c r="M2229" s="169"/>
    </row>
    <row r="2230" spans="1:13" x14ac:dyDescent="0.55000000000000004">
      <c r="A2230" s="96" t="s">
        <v>432</v>
      </c>
      <c r="B2230" s="168" t="s">
        <v>131</v>
      </c>
      <c r="C2230" s="61" t="s">
        <v>132</v>
      </c>
      <c r="D2230" s="61" t="s">
        <v>3288</v>
      </c>
      <c r="E2230" s="119">
        <v>1.79</v>
      </c>
      <c r="F2230" s="148" t="s">
        <v>135</v>
      </c>
      <c r="G2230" s="148" t="s">
        <v>135</v>
      </c>
      <c r="H2230" s="68" t="s">
        <v>39</v>
      </c>
      <c r="I2230" s="168"/>
      <c r="J2230" s="74" t="str">
        <f t="shared" si="2"/>
        <v>[TIMES] Glass Hollow Recycling</v>
      </c>
      <c r="K2230" s="168"/>
      <c r="L2230" s="159"/>
      <c r="M2230" s="169"/>
    </row>
    <row r="2231" spans="1:13" x14ac:dyDescent="0.55000000000000004">
      <c r="A2231" s="96" t="s">
        <v>432</v>
      </c>
      <c r="B2231" s="61" t="s">
        <v>430</v>
      </c>
      <c r="C2231" s="61" t="s">
        <v>125</v>
      </c>
      <c r="D2231" s="61" t="s">
        <v>3288</v>
      </c>
      <c r="E2231" s="119">
        <v>1.05</v>
      </c>
      <c r="F2231" s="148" t="s">
        <v>135</v>
      </c>
      <c r="G2231" s="148" t="s">
        <v>135</v>
      </c>
      <c r="H2231" s="68" t="s">
        <v>39</v>
      </c>
      <c r="I2231" s="168"/>
      <c r="J2231" s="74" t="str">
        <f t="shared" si="2"/>
        <v>[TIMES] Glass Hollow Recycling</v>
      </c>
      <c r="K2231" s="168"/>
      <c r="L2231" s="159"/>
      <c r="M2231" s="169"/>
    </row>
    <row r="2232" spans="1:13" x14ac:dyDescent="0.55000000000000004">
      <c r="A2232" s="96" t="s">
        <v>432</v>
      </c>
      <c r="B2232" s="68" t="s">
        <v>160</v>
      </c>
      <c r="C2232" s="168" t="s">
        <v>247</v>
      </c>
      <c r="D2232" s="61" t="s">
        <v>3288</v>
      </c>
      <c r="E2232" s="119">
        <v>0.33489000000000002</v>
      </c>
      <c r="F2232" s="148" t="s">
        <v>135</v>
      </c>
      <c r="G2232" s="148" t="s">
        <v>135</v>
      </c>
      <c r="H2232" s="68" t="s">
        <v>376</v>
      </c>
      <c r="I2232" s="168" t="s">
        <v>434</v>
      </c>
      <c r="J2232" s="74" t="str">
        <f t="shared" si="2"/>
        <v>[TIMES] Glass Hollow Recycling</v>
      </c>
      <c r="K2232" s="168"/>
      <c r="L2232" s="159"/>
      <c r="M2232" s="169"/>
    </row>
    <row r="2233" spans="1:13" x14ac:dyDescent="0.55000000000000004">
      <c r="A2233" s="96" t="s">
        <v>431</v>
      </c>
      <c r="B2233" s="61" t="s">
        <v>429</v>
      </c>
      <c r="C2233" s="61" t="s">
        <v>121</v>
      </c>
      <c r="D2233" s="61" t="s">
        <v>3288</v>
      </c>
      <c r="E2233" s="119">
        <v>1</v>
      </c>
      <c r="F2233" s="148" t="s">
        <v>135</v>
      </c>
      <c r="G2233" s="148">
        <v>1</v>
      </c>
      <c r="H2233" s="68" t="s">
        <v>39</v>
      </c>
      <c r="I2233" s="168"/>
      <c r="J2233" s="74" t="str">
        <f t="shared" si="2"/>
        <v>[TIMES] Glass Hollow Recycling Improved Melting</v>
      </c>
      <c r="K2233" s="168"/>
      <c r="L2233" s="159"/>
      <c r="M2233" s="169"/>
    </row>
    <row r="2234" spans="1:13" x14ac:dyDescent="0.55000000000000004">
      <c r="A2234" s="96" t="s">
        <v>431</v>
      </c>
      <c r="B2234" s="61" t="s">
        <v>153</v>
      </c>
      <c r="C2234" s="61" t="s">
        <v>127</v>
      </c>
      <c r="D2234" s="61" t="s">
        <v>2994</v>
      </c>
      <c r="E2234" s="119">
        <f>E2251/E2256*E2239</f>
        <v>17.297871175211483</v>
      </c>
      <c r="F2234" s="148" t="s">
        <v>138</v>
      </c>
      <c r="G2234" s="148" t="s">
        <v>135</v>
      </c>
      <c r="H2234" s="68" t="s">
        <v>39</v>
      </c>
      <c r="I2234" s="168"/>
      <c r="J2234" s="74" t="str">
        <f t="shared" si="2"/>
        <v>[TIMES] Glass Hollow Recycling Improved Melting</v>
      </c>
      <c r="K2234" s="168"/>
      <c r="L2234" s="159"/>
      <c r="M2234" s="169"/>
    </row>
    <row r="2235" spans="1:13" x14ac:dyDescent="0.55000000000000004">
      <c r="A2235" s="96" t="s">
        <v>431</v>
      </c>
      <c r="B2235" s="61" t="s">
        <v>171</v>
      </c>
      <c r="C2235" s="61" t="s">
        <v>127</v>
      </c>
      <c r="D2235" s="61" t="s">
        <v>2994</v>
      </c>
      <c r="E2235" s="119">
        <f>E2252/E2257*E2240</f>
        <v>93.440000000000012</v>
      </c>
      <c r="F2235" s="148" t="s">
        <v>138</v>
      </c>
      <c r="G2235" s="148" t="s">
        <v>135</v>
      </c>
      <c r="H2235" s="68" t="s">
        <v>39</v>
      </c>
      <c r="I2235" s="168"/>
      <c r="J2235" s="74" t="str">
        <f t="shared" si="2"/>
        <v>[TIMES] Glass Hollow Recycling Improved Melting</v>
      </c>
      <c r="K2235" s="168"/>
      <c r="L2235" s="159"/>
      <c r="M2235" s="169"/>
    </row>
    <row r="2236" spans="1:13" x14ac:dyDescent="0.55000000000000004">
      <c r="A2236" s="96" t="s">
        <v>431</v>
      </c>
      <c r="B2236" s="168" t="s">
        <v>131</v>
      </c>
      <c r="C2236" s="61" t="s">
        <v>132</v>
      </c>
      <c r="D2236" s="61" t="s">
        <v>3288</v>
      </c>
      <c r="E2236" s="119">
        <v>1.786</v>
      </c>
      <c r="F2236" s="148" t="s">
        <v>135</v>
      </c>
      <c r="G2236" s="148" t="s">
        <v>135</v>
      </c>
      <c r="H2236" s="68" t="s">
        <v>39</v>
      </c>
      <c r="I2236" s="168"/>
      <c r="J2236" s="74" t="str">
        <f t="shared" si="2"/>
        <v>[TIMES] Glass Hollow Recycling Improved Melting</v>
      </c>
      <c r="K2236" s="168"/>
      <c r="L2236" s="159"/>
      <c r="M2236" s="169"/>
    </row>
    <row r="2237" spans="1:13" x14ac:dyDescent="0.55000000000000004">
      <c r="A2237" s="96" t="s">
        <v>431</v>
      </c>
      <c r="B2237" s="68" t="s">
        <v>160</v>
      </c>
      <c r="C2237" s="168" t="s">
        <v>247</v>
      </c>
      <c r="D2237" s="61" t="s">
        <v>3288</v>
      </c>
      <c r="E2237" s="119">
        <v>0.13906144100000001</v>
      </c>
      <c r="F2237" s="148" t="s">
        <v>135</v>
      </c>
      <c r="G2237" s="148" t="s">
        <v>135</v>
      </c>
      <c r="H2237" s="68" t="s">
        <v>376</v>
      </c>
      <c r="I2237" s="168"/>
      <c r="J2237" s="74" t="str">
        <f t="shared" si="2"/>
        <v>[TIMES] Glass Hollow Recycling Improved Melting</v>
      </c>
      <c r="K2237" s="168"/>
      <c r="L2237" s="159"/>
      <c r="M2237" s="169"/>
    </row>
    <row r="2238" spans="1:13" x14ac:dyDescent="0.55000000000000004">
      <c r="A2238" s="96" t="s">
        <v>428</v>
      </c>
      <c r="B2238" s="61" t="s">
        <v>429</v>
      </c>
      <c r="C2238" s="61" t="s">
        <v>121</v>
      </c>
      <c r="D2238" s="61" t="s">
        <v>3288</v>
      </c>
      <c r="E2238" s="119">
        <v>1</v>
      </c>
      <c r="F2238" s="148" t="s">
        <v>135</v>
      </c>
      <c r="G2238" s="148">
        <v>1</v>
      </c>
      <c r="H2238" s="61"/>
      <c r="I2238" s="168"/>
      <c r="J2238" s="74" t="str">
        <f t="shared" si="2"/>
        <v>[TIMES] Glass Hollow Recycling Improved Melting CCS</v>
      </c>
      <c r="K2238" s="168"/>
      <c r="L2238" s="159"/>
      <c r="M2238" s="169"/>
    </row>
    <row r="2239" spans="1:13" x14ac:dyDescent="0.55000000000000004">
      <c r="A2239" s="96" t="s">
        <v>428</v>
      </c>
      <c r="B2239" s="61" t="s">
        <v>153</v>
      </c>
      <c r="C2239" s="61" t="s">
        <v>127</v>
      </c>
      <c r="D2239" s="61" t="s">
        <v>2994</v>
      </c>
      <c r="E2239" s="119">
        <f>E2258/E2268*E2251</f>
        <v>2.0965019864356322</v>
      </c>
      <c r="F2239" s="148" t="s">
        <v>138</v>
      </c>
      <c r="G2239" s="148" t="s">
        <v>135</v>
      </c>
      <c r="H2239" s="68" t="s">
        <v>39</v>
      </c>
      <c r="I2239" s="168"/>
      <c r="J2239" s="74" t="str">
        <f t="shared" si="2"/>
        <v>[TIMES] Glass Hollow Recycling Improved Melting CCS</v>
      </c>
      <c r="K2239" s="168"/>
      <c r="L2239" s="159"/>
      <c r="M2239" s="169"/>
    </row>
    <row r="2240" spans="1:13" x14ac:dyDescent="0.55000000000000004">
      <c r="A2240" s="96" t="s">
        <v>428</v>
      </c>
      <c r="B2240" s="61" t="s">
        <v>171</v>
      </c>
      <c r="C2240" s="61" t="s">
        <v>127</v>
      </c>
      <c r="D2240" s="61" t="s">
        <v>2994</v>
      </c>
      <c r="E2240" s="119">
        <f>E2259/E2269*E2252</f>
        <v>58.400000000000006</v>
      </c>
      <c r="F2240" s="148" t="s">
        <v>138</v>
      </c>
      <c r="G2240" s="148" t="s">
        <v>135</v>
      </c>
      <c r="H2240" s="68" t="s">
        <v>39</v>
      </c>
      <c r="I2240" s="168"/>
      <c r="J2240" s="74" t="str">
        <f t="shared" si="2"/>
        <v>[TIMES] Glass Hollow Recycling Improved Melting CCS</v>
      </c>
      <c r="K2240" s="168"/>
      <c r="L2240" s="159"/>
      <c r="M2240" s="169"/>
    </row>
    <row r="2241" spans="1:13" x14ac:dyDescent="0.55000000000000004">
      <c r="A2241" s="96" t="s">
        <v>428</v>
      </c>
      <c r="B2241" s="168" t="s">
        <v>131</v>
      </c>
      <c r="C2241" s="61" t="s">
        <v>132</v>
      </c>
      <c r="D2241" s="61" t="s">
        <v>3288</v>
      </c>
      <c r="E2241" s="119">
        <v>1.786</v>
      </c>
      <c r="F2241" s="148" t="s">
        <v>135</v>
      </c>
      <c r="G2241" s="148" t="s">
        <v>135</v>
      </c>
      <c r="H2241" s="68" t="s">
        <v>39</v>
      </c>
      <c r="I2241" s="168"/>
      <c r="J2241" s="74" t="str">
        <f t="shared" si="2"/>
        <v>[TIMES] Glass Hollow Recycling Improved Melting CCS</v>
      </c>
      <c r="K2241" s="168"/>
      <c r="L2241" s="159"/>
      <c r="M2241" s="169"/>
    </row>
    <row r="2242" spans="1:13" x14ac:dyDescent="0.55000000000000004">
      <c r="A2242" s="96" t="s">
        <v>428</v>
      </c>
      <c r="B2242" s="61" t="s">
        <v>430</v>
      </c>
      <c r="C2242" s="61" t="s">
        <v>125</v>
      </c>
      <c r="D2242" s="61" t="s">
        <v>3288</v>
      </c>
      <c r="E2242" s="119">
        <v>1.2</v>
      </c>
      <c r="F2242" s="148" t="s">
        <v>135</v>
      </c>
      <c r="G2242" s="148" t="s">
        <v>135</v>
      </c>
      <c r="H2242" s="68" t="s">
        <v>39</v>
      </c>
      <c r="I2242" s="168"/>
      <c r="J2242" s="74" t="str">
        <f t="shared" si="2"/>
        <v>[TIMES] Glass Hollow Recycling Improved Melting CCS</v>
      </c>
      <c r="K2242" s="168"/>
      <c r="L2242" s="159"/>
      <c r="M2242" s="169"/>
    </row>
    <row r="2243" spans="1:13" x14ac:dyDescent="0.55000000000000004">
      <c r="A2243" s="96" t="s">
        <v>428</v>
      </c>
      <c r="B2243" s="68" t="s">
        <v>160</v>
      </c>
      <c r="C2243" s="168" t="s">
        <v>247</v>
      </c>
      <c r="D2243" s="61" t="s">
        <v>3288</v>
      </c>
      <c r="E2243" s="119">
        <f>0.38709-E2244</f>
        <v>0.26059971329999998</v>
      </c>
      <c r="F2243" s="148" t="s">
        <v>135</v>
      </c>
      <c r="G2243" s="148" t="s">
        <v>135</v>
      </c>
      <c r="H2243" s="68" t="s">
        <v>376</v>
      </c>
      <c r="I2243" s="168"/>
      <c r="J2243" s="74" t="str">
        <f t="shared" si="2"/>
        <v>[TIMES] Glass Hollow Recycling Improved Melting CCS</v>
      </c>
      <c r="K2243" s="168"/>
      <c r="L2243" s="159"/>
      <c r="M2243" s="169"/>
    </row>
    <row r="2244" spans="1:13" x14ac:dyDescent="0.55000000000000004">
      <c r="A2244" s="96" t="s">
        <v>428</v>
      </c>
      <c r="B2244" s="68" t="s">
        <v>160</v>
      </c>
      <c r="C2244" s="68" t="s">
        <v>156</v>
      </c>
      <c r="D2244" s="61" t="s">
        <v>3288</v>
      </c>
      <c r="E2244" s="119">
        <f>0.140544763*0.9</f>
        <v>0.12649028669999998</v>
      </c>
      <c r="F2244" s="148" t="s">
        <v>135</v>
      </c>
      <c r="G2244" s="148" t="s">
        <v>135</v>
      </c>
      <c r="H2244" s="68" t="s">
        <v>376</v>
      </c>
      <c r="I2244" s="168"/>
      <c r="J2244" s="74" t="str">
        <f t="shared" si="2"/>
        <v>[TIMES] Glass Hollow Recycling Improved Melting CCS</v>
      </c>
      <c r="K2244" s="168"/>
      <c r="L2244" s="159"/>
      <c r="M2244" s="169"/>
    </row>
    <row r="2245" spans="1:13" x14ac:dyDescent="0.55000000000000004">
      <c r="A2245" s="101" t="s">
        <v>427</v>
      </c>
      <c r="B2245" s="168" t="s">
        <v>210</v>
      </c>
      <c r="C2245" s="61" t="s">
        <v>121</v>
      </c>
      <c r="D2245" s="61" t="s">
        <v>3288</v>
      </c>
      <c r="E2245" s="119">
        <v>1</v>
      </c>
      <c r="F2245" s="148" t="s">
        <v>135</v>
      </c>
      <c r="G2245" s="148" t="s">
        <v>135</v>
      </c>
      <c r="H2245" s="68" t="s">
        <v>39</v>
      </c>
      <c r="I2245" s="168"/>
      <c r="J2245" s="74" t="str">
        <f t="shared" si="2"/>
        <v>[TIMES] Hall Heroult Optimal Electrolysis</v>
      </c>
      <c r="K2245" s="168"/>
      <c r="L2245" s="159"/>
      <c r="M2245" s="169"/>
    </row>
    <row r="2246" spans="1:13" x14ac:dyDescent="0.55000000000000004">
      <c r="A2246" s="101" t="s">
        <v>427</v>
      </c>
      <c r="B2246" s="61" t="s">
        <v>421</v>
      </c>
      <c r="C2246" s="61" t="s">
        <v>132</v>
      </c>
      <c r="D2246" s="61" t="s">
        <v>3288</v>
      </c>
      <c r="E2246" s="119">
        <v>1.6</v>
      </c>
      <c r="F2246" s="148" t="s">
        <v>135</v>
      </c>
      <c r="G2246" s="148" t="s">
        <v>135</v>
      </c>
      <c r="H2246" s="68" t="s">
        <v>39</v>
      </c>
      <c r="I2246" s="168"/>
      <c r="J2246" s="74" t="str">
        <f t="shared" si="2"/>
        <v>[TIMES] Hall Heroult Optimal Electrolysis</v>
      </c>
      <c r="K2246" s="168"/>
      <c r="L2246" s="159"/>
      <c r="M2246" s="169"/>
    </row>
    <row r="2247" spans="1:13" x14ac:dyDescent="0.55000000000000004">
      <c r="A2247" s="101" t="s">
        <v>427</v>
      </c>
      <c r="B2247" s="61" t="s">
        <v>153</v>
      </c>
      <c r="C2247" s="61" t="s">
        <v>127</v>
      </c>
      <c r="D2247" s="61" t="s">
        <v>2994</v>
      </c>
      <c r="E2247" s="119">
        <v>38</v>
      </c>
      <c r="F2247" s="148" t="s">
        <v>138</v>
      </c>
      <c r="G2247" s="148" t="s">
        <v>135</v>
      </c>
      <c r="H2247" s="68" t="s">
        <v>39</v>
      </c>
      <c r="I2247" s="168"/>
      <c r="J2247" s="74" t="str">
        <f t="shared" si="2"/>
        <v>[TIMES] Hall Heroult Optimal Electrolysis</v>
      </c>
      <c r="K2247" s="168"/>
      <c r="L2247" s="159"/>
      <c r="M2247" s="169"/>
    </row>
    <row r="2248" spans="1:13" x14ac:dyDescent="0.55000000000000004">
      <c r="A2248" s="101" t="s">
        <v>427</v>
      </c>
      <c r="B2248" s="61" t="s">
        <v>171</v>
      </c>
      <c r="C2248" s="61" t="s">
        <v>127</v>
      </c>
      <c r="D2248" s="61" t="s">
        <v>2994</v>
      </c>
      <c r="E2248" s="119">
        <v>1.5</v>
      </c>
      <c r="F2248" s="148" t="s">
        <v>138</v>
      </c>
      <c r="G2248" s="148" t="s">
        <v>135</v>
      </c>
      <c r="H2248" s="68" t="s">
        <v>39</v>
      </c>
      <c r="I2248" s="168"/>
      <c r="J2248" s="74" t="str">
        <f t="shared" si="2"/>
        <v>[TIMES] Hall Heroult Optimal Electrolysis</v>
      </c>
      <c r="K2248" s="168"/>
      <c r="L2248" s="159"/>
      <c r="M2248" s="169"/>
    </row>
    <row r="2249" spans="1:13" x14ac:dyDescent="0.55000000000000004">
      <c r="A2249" s="101" t="s">
        <v>427</v>
      </c>
      <c r="B2249" s="61" t="s">
        <v>422</v>
      </c>
      <c r="C2249" s="61" t="s">
        <v>127</v>
      </c>
      <c r="D2249" s="61" t="s">
        <v>2994</v>
      </c>
      <c r="E2249" s="119">
        <v>0.5</v>
      </c>
      <c r="F2249" s="148" t="s">
        <v>138</v>
      </c>
      <c r="G2249" s="148" t="s">
        <v>135</v>
      </c>
      <c r="H2249" s="68" t="s">
        <v>39</v>
      </c>
      <c r="I2249" s="168"/>
      <c r="J2249" s="74" t="str">
        <f t="shared" si="2"/>
        <v>[TIMES] Hall Heroult Optimal Electrolysis</v>
      </c>
      <c r="K2249" s="168"/>
      <c r="L2249" s="159"/>
      <c r="M2249" s="169"/>
    </row>
    <row r="2250" spans="1:13" x14ac:dyDescent="0.55000000000000004">
      <c r="A2250" s="101" t="s">
        <v>427</v>
      </c>
      <c r="B2250" s="168" t="s">
        <v>160</v>
      </c>
      <c r="C2250" s="168" t="s">
        <v>247</v>
      </c>
      <c r="D2250" s="61" t="s">
        <v>3288</v>
      </c>
      <c r="E2250" s="119">
        <v>0.1212</v>
      </c>
      <c r="F2250" s="148" t="s">
        <v>135</v>
      </c>
      <c r="G2250" s="148" t="s">
        <v>135</v>
      </c>
      <c r="H2250" s="68" t="s">
        <v>376</v>
      </c>
      <c r="I2250" s="168" t="s">
        <v>424</v>
      </c>
      <c r="J2250" s="74" t="str">
        <f t="shared" si="2"/>
        <v>[TIMES] Hall Heroult Optimal Electrolysis</v>
      </c>
      <c r="K2250" s="168"/>
      <c r="L2250" s="159"/>
      <c r="M2250" s="169"/>
    </row>
    <row r="2251" spans="1:13" x14ac:dyDescent="0.55000000000000004">
      <c r="A2251" s="101" t="s">
        <v>426</v>
      </c>
      <c r="B2251" s="168" t="s">
        <v>210</v>
      </c>
      <c r="C2251" s="61" t="s">
        <v>121</v>
      </c>
      <c r="D2251" s="61" t="s">
        <v>3288</v>
      </c>
      <c r="E2251" s="119">
        <v>1</v>
      </c>
      <c r="F2251" s="148" t="s">
        <v>135</v>
      </c>
      <c r="G2251" s="148">
        <v>1</v>
      </c>
      <c r="H2251" s="68" t="s">
        <v>39</v>
      </c>
      <c r="I2251" s="168"/>
      <c r="J2251" s="74" t="str">
        <f t="shared" si="2"/>
        <v>[TIMES] Hall Heroult Point Feeders</v>
      </c>
      <c r="K2251" s="168"/>
      <c r="L2251" s="159"/>
      <c r="M2251" s="169"/>
    </row>
    <row r="2252" spans="1:13" x14ac:dyDescent="0.55000000000000004">
      <c r="A2252" s="101" t="s">
        <v>426</v>
      </c>
      <c r="B2252" s="61" t="s">
        <v>421</v>
      </c>
      <c r="C2252" s="61" t="s">
        <v>132</v>
      </c>
      <c r="D2252" s="61" t="s">
        <v>3288</v>
      </c>
      <c r="E2252" s="119">
        <v>1.6</v>
      </c>
      <c r="F2252" s="148" t="s">
        <v>135</v>
      </c>
      <c r="G2252" s="148" t="s">
        <v>135</v>
      </c>
      <c r="H2252" s="68" t="s">
        <v>39</v>
      </c>
      <c r="I2252" s="168"/>
      <c r="J2252" s="74" t="str">
        <f t="shared" si="2"/>
        <v>[TIMES] Hall Heroult Point Feeders</v>
      </c>
      <c r="K2252" s="168"/>
      <c r="L2252" s="159"/>
      <c r="M2252" s="169"/>
    </row>
    <row r="2253" spans="1:13" x14ac:dyDescent="0.55000000000000004">
      <c r="A2253" s="101" t="s">
        <v>426</v>
      </c>
      <c r="B2253" s="61" t="s">
        <v>153</v>
      </c>
      <c r="C2253" s="61" t="s">
        <v>127</v>
      </c>
      <c r="D2253" s="61" t="s">
        <v>2994</v>
      </c>
      <c r="E2253" s="119">
        <v>35.200000000000003</v>
      </c>
      <c r="F2253" s="148" t="s">
        <v>138</v>
      </c>
      <c r="G2253" s="148" t="s">
        <v>135</v>
      </c>
      <c r="H2253" s="68" t="s">
        <v>39</v>
      </c>
      <c r="I2253" s="168"/>
      <c r="J2253" s="74" t="str">
        <f t="shared" si="2"/>
        <v>[TIMES] Hall Heroult Point Feeders</v>
      </c>
      <c r="K2253" s="168"/>
      <c r="L2253" s="159"/>
      <c r="M2253" s="169"/>
    </row>
    <row r="2254" spans="1:13" x14ac:dyDescent="0.55000000000000004">
      <c r="A2254" s="101" t="s">
        <v>426</v>
      </c>
      <c r="B2254" s="61" t="s">
        <v>171</v>
      </c>
      <c r="C2254" s="61" t="s">
        <v>127</v>
      </c>
      <c r="D2254" s="61" t="s">
        <v>2994</v>
      </c>
      <c r="E2254" s="119">
        <v>1.5</v>
      </c>
      <c r="F2254" s="148" t="s">
        <v>138</v>
      </c>
      <c r="G2254" s="148" t="s">
        <v>135</v>
      </c>
      <c r="H2254" s="68" t="s">
        <v>39</v>
      </c>
      <c r="I2254" s="168"/>
      <c r="J2254" s="74" t="str">
        <f t="shared" si="2"/>
        <v>[TIMES] Hall Heroult Point Feeders</v>
      </c>
      <c r="K2254" s="168"/>
      <c r="L2254" s="159"/>
      <c r="M2254" s="169"/>
    </row>
    <row r="2255" spans="1:13" x14ac:dyDescent="0.55000000000000004">
      <c r="A2255" s="101" t="s">
        <v>426</v>
      </c>
      <c r="B2255" s="61" t="s">
        <v>422</v>
      </c>
      <c r="C2255" s="61" t="s">
        <v>127</v>
      </c>
      <c r="D2255" s="61" t="s">
        <v>2994</v>
      </c>
      <c r="E2255" s="119">
        <v>0.5</v>
      </c>
      <c r="F2255" s="148" t="s">
        <v>138</v>
      </c>
      <c r="G2255" s="148" t="s">
        <v>135</v>
      </c>
      <c r="H2255" s="68" t="s">
        <v>39</v>
      </c>
      <c r="I2255" s="168"/>
      <c r="J2255" s="74" t="str">
        <f t="shared" si="2"/>
        <v>[TIMES] Hall Heroult Point Feeders</v>
      </c>
      <c r="K2255" s="168"/>
      <c r="L2255" s="159"/>
      <c r="M2255" s="169"/>
    </row>
    <row r="2256" spans="1:13" x14ac:dyDescent="0.55000000000000004">
      <c r="A2256" s="101" t="s">
        <v>426</v>
      </c>
      <c r="B2256" s="168" t="s">
        <v>160</v>
      </c>
      <c r="C2256" s="168" t="s">
        <v>247</v>
      </c>
      <c r="D2256" s="61" t="s">
        <v>3288</v>
      </c>
      <c r="E2256" s="119">
        <v>0.1212</v>
      </c>
      <c r="F2256" s="148" t="s">
        <v>135</v>
      </c>
      <c r="G2256" s="148" t="s">
        <v>135</v>
      </c>
      <c r="H2256" s="68" t="s">
        <v>376</v>
      </c>
      <c r="I2256" s="168" t="s">
        <v>424</v>
      </c>
      <c r="J2256" s="74" t="str">
        <f t="shared" si="2"/>
        <v>[TIMES] Hall Heroult Point Feeders</v>
      </c>
      <c r="K2256" s="168"/>
      <c r="L2256" s="159"/>
      <c r="M2256" s="169"/>
    </row>
    <row r="2257" spans="1:13" x14ac:dyDescent="0.55000000000000004">
      <c r="A2257" s="101" t="s">
        <v>425</v>
      </c>
      <c r="B2257" s="168" t="s">
        <v>210</v>
      </c>
      <c r="C2257" s="61" t="s">
        <v>121</v>
      </c>
      <c r="D2257" s="61" t="s">
        <v>3288</v>
      </c>
      <c r="E2257" s="119">
        <v>1</v>
      </c>
      <c r="F2257" s="148" t="s">
        <v>135</v>
      </c>
      <c r="G2257" s="148">
        <v>1</v>
      </c>
      <c r="H2257" s="68" t="s">
        <v>39</v>
      </c>
      <c r="I2257" s="168"/>
      <c r="J2257" s="74" t="str">
        <f t="shared" si="2"/>
        <v>[TIMES] Hall Heroult Reduced Electrolyte Temperature</v>
      </c>
      <c r="K2257" s="168"/>
      <c r="L2257" s="159"/>
      <c r="M2257" s="169"/>
    </row>
    <row r="2258" spans="1:13" x14ac:dyDescent="0.55000000000000004">
      <c r="A2258" s="101" t="s">
        <v>425</v>
      </c>
      <c r="B2258" s="61" t="s">
        <v>421</v>
      </c>
      <c r="C2258" s="61" t="s">
        <v>132</v>
      </c>
      <c r="D2258" s="61" t="s">
        <v>3288</v>
      </c>
      <c r="E2258" s="119">
        <v>2</v>
      </c>
      <c r="F2258" s="148" t="s">
        <v>135</v>
      </c>
      <c r="G2258" s="148" t="s">
        <v>135</v>
      </c>
      <c r="H2258" s="68" t="s">
        <v>39</v>
      </c>
      <c r="I2258" s="168"/>
      <c r="J2258" s="74" t="str">
        <f t="shared" si="2"/>
        <v>[TIMES] Hall Heroult Reduced Electrolyte Temperature</v>
      </c>
      <c r="K2258" s="168"/>
      <c r="L2258" s="159"/>
      <c r="M2258" s="169"/>
    </row>
    <row r="2259" spans="1:13" x14ac:dyDescent="0.55000000000000004">
      <c r="A2259" s="101" t="s">
        <v>425</v>
      </c>
      <c r="B2259" s="61" t="s">
        <v>153</v>
      </c>
      <c r="C2259" s="61" t="s">
        <v>127</v>
      </c>
      <c r="D2259" s="61" t="s">
        <v>2994</v>
      </c>
      <c r="E2259" s="119">
        <v>36.5</v>
      </c>
      <c r="F2259" s="148" t="s">
        <v>138</v>
      </c>
      <c r="G2259" s="148" t="s">
        <v>135</v>
      </c>
      <c r="H2259" s="68" t="s">
        <v>39</v>
      </c>
      <c r="I2259" s="168"/>
      <c r="J2259" s="74" t="str">
        <f t="shared" si="2"/>
        <v>[TIMES] Hall Heroult Reduced Electrolyte Temperature</v>
      </c>
      <c r="K2259" s="168"/>
      <c r="L2259" s="159"/>
      <c r="M2259" s="169"/>
    </row>
    <row r="2260" spans="1:13" x14ac:dyDescent="0.55000000000000004">
      <c r="A2260" s="101" t="s">
        <v>425</v>
      </c>
      <c r="B2260" s="61" t="s">
        <v>171</v>
      </c>
      <c r="C2260" s="61" t="s">
        <v>127</v>
      </c>
      <c r="D2260" s="61" t="s">
        <v>2994</v>
      </c>
      <c r="E2260" s="119">
        <v>1.5</v>
      </c>
      <c r="F2260" s="148" t="s">
        <v>138</v>
      </c>
      <c r="G2260" s="148" t="s">
        <v>135</v>
      </c>
      <c r="H2260" s="68" t="s">
        <v>39</v>
      </c>
      <c r="I2260" s="168"/>
      <c r="J2260" s="74" t="str">
        <f t="shared" si="2"/>
        <v>[TIMES] Hall Heroult Reduced Electrolyte Temperature</v>
      </c>
      <c r="K2260" s="168"/>
      <c r="L2260" s="159"/>
      <c r="M2260" s="169"/>
    </row>
    <row r="2261" spans="1:13" x14ac:dyDescent="0.55000000000000004">
      <c r="A2261" s="101" t="s">
        <v>425</v>
      </c>
      <c r="B2261" s="61" t="s">
        <v>422</v>
      </c>
      <c r="C2261" s="61" t="s">
        <v>127</v>
      </c>
      <c r="D2261" s="61" t="s">
        <v>2994</v>
      </c>
      <c r="E2261" s="119">
        <v>0.5</v>
      </c>
      <c r="F2261" s="148" t="s">
        <v>138</v>
      </c>
      <c r="G2261" s="148" t="s">
        <v>135</v>
      </c>
      <c r="H2261" s="68" t="s">
        <v>39</v>
      </c>
      <c r="I2261" s="168"/>
      <c r="J2261" s="74" t="str">
        <f t="shared" si="2"/>
        <v>[TIMES] Hall Heroult Reduced Electrolyte Temperature</v>
      </c>
      <c r="K2261" s="168"/>
      <c r="L2261" s="159"/>
      <c r="M2261" s="169"/>
    </row>
    <row r="2262" spans="1:13" x14ac:dyDescent="0.55000000000000004">
      <c r="A2262" s="101" t="s">
        <v>425</v>
      </c>
      <c r="B2262" s="168" t="s">
        <v>160</v>
      </c>
      <c r="C2262" s="168" t="s">
        <v>247</v>
      </c>
      <c r="D2262" s="61" t="s">
        <v>3288</v>
      </c>
      <c r="E2262" s="119">
        <v>0.1212</v>
      </c>
      <c r="F2262" s="148" t="s">
        <v>135</v>
      </c>
      <c r="G2262" s="148" t="s">
        <v>135</v>
      </c>
      <c r="H2262" s="68" t="s">
        <v>376</v>
      </c>
      <c r="I2262" s="168" t="s">
        <v>424</v>
      </c>
      <c r="J2262" s="74" t="str">
        <f t="shared" ref="J2262:J2268" si="3">A2262</f>
        <v>[TIMES] Hall Heroult Reduced Electrolyte Temperature</v>
      </c>
      <c r="K2262" s="168"/>
      <c r="L2262" s="159"/>
      <c r="M2262" s="169"/>
    </row>
    <row r="2263" spans="1:13" x14ac:dyDescent="0.55000000000000004">
      <c r="A2263" s="101" t="s">
        <v>420</v>
      </c>
      <c r="B2263" s="168" t="s">
        <v>210</v>
      </c>
      <c r="C2263" s="61" t="s">
        <v>121</v>
      </c>
      <c r="D2263" s="61" t="s">
        <v>3288</v>
      </c>
      <c r="E2263" s="119">
        <v>1</v>
      </c>
      <c r="F2263" s="148" t="s">
        <v>135</v>
      </c>
      <c r="G2263" s="148">
        <v>1</v>
      </c>
      <c r="H2263" s="68" t="s">
        <v>39</v>
      </c>
      <c r="I2263" s="168"/>
      <c r="J2263" s="74" t="str">
        <f t="shared" si="3"/>
        <v>[TIMES] Hall Heroult Regular</v>
      </c>
      <c r="K2263" s="168"/>
      <c r="L2263" s="159"/>
      <c r="M2263" s="169"/>
    </row>
    <row r="2264" spans="1:13" x14ac:dyDescent="0.55000000000000004">
      <c r="A2264" s="101" t="s">
        <v>420</v>
      </c>
      <c r="B2264" s="61" t="s">
        <v>421</v>
      </c>
      <c r="C2264" s="61" t="s">
        <v>132</v>
      </c>
      <c r="D2264" s="61" t="s">
        <v>3288</v>
      </c>
      <c r="E2264" s="119">
        <v>1.6</v>
      </c>
      <c r="F2264" s="148" t="s">
        <v>135</v>
      </c>
      <c r="G2264" s="148" t="s">
        <v>135</v>
      </c>
      <c r="H2264" s="68" t="s">
        <v>39</v>
      </c>
      <c r="I2264" s="168"/>
      <c r="J2264" s="74" t="str">
        <f t="shared" si="3"/>
        <v>[TIMES] Hall Heroult Regular</v>
      </c>
      <c r="K2264" s="168"/>
      <c r="L2264" s="159"/>
      <c r="M2264" s="169"/>
    </row>
    <row r="2265" spans="1:13" x14ac:dyDescent="0.55000000000000004">
      <c r="A2265" s="101" t="s">
        <v>420</v>
      </c>
      <c r="B2265" s="61" t="s">
        <v>153</v>
      </c>
      <c r="C2265" s="61" t="s">
        <v>127</v>
      </c>
      <c r="D2265" s="61" t="s">
        <v>2994</v>
      </c>
      <c r="E2265" s="119">
        <v>39.799999999999997</v>
      </c>
      <c r="F2265" s="148" t="s">
        <v>138</v>
      </c>
      <c r="G2265" s="148" t="s">
        <v>135</v>
      </c>
      <c r="H2265" s="68" t="s">
        <v>39</v>
      </c>
      <c r="I2265" s="168"/>
      <c r="J2265" s="74" t="str">
        <f t="shared" si="3"/>
        <v>[TIMES] Hall Heroult Regular</v>
      </c>
      <c r="K2265" s="168"/>
      <c r="L2265" s="159"/>
      <c r="M2265" s="169"/>
    </row>
    <row r="2266" spans="1:13" x14ac:dyDescent="0.55000000000000004">
      <c r="A2266" s="101" t="s">
        <v>420</v>
      </c>
      <c r="B2266" s="61" t="s">
        <v>171</v>
      </c>
      <c r="C2266" s="61" t="s">
        <v>127</v>
      </c>
      <c r="D2266" s="61" t="s">
        <v>2994</v>
      </c>
      <c r="E2266" s="119">
        <v>3.4</v>
      </c>
      <c r="F2266" s="148" t="s">
        <v>138</v>
      </c>
      <c r="G2266" s="148" t="s">
        <v>135</v>
      </c>
      <c r="H2266" s="68" t="s">
        <v>39</v>
      </c>
      <c r="I2266" s="168"/>
      <c r="J2266" s="74" t="str">
        <f t="shared" si="3"/>
        <v>[TIMES] Hall Heroult Regular</v>
      </c>
      <c r="K2266" s="168"/>
      <c r="L2266" s="159"/>
      <c r="M2266" s="169"/>
    </row>
    <row r="2267" spans="1:13" x14ac:dyDescent="0.55000000000000004">
      <c r="A2267" s="101" t="s">
        <v>420</v>
      </c>
      <c r="B2267" s="61" t="s">
        <v>422</v>
      </c>
      <c r="C2267" s="61" t="s">
        <v>127</v>
      </c>
      <c r="D2267" s="61" t="s">
        <v>2994</v>
      </c>
      <c r="E2267" s="119">
        <v>10.3</v>
      </c>
      <c r="F2267" s="148" t="s">
        <v>138</v>
      </c>
      <c r="G2267" s="148" t="s">
        <v>135</v>
      </c>
      <c r="H2267" s="68" t="s">
        <v>39</v>
      </c>
      <c r="I2267" s="168"/>
      <c r="J2267" s="74" t="str">
        <f t="shared" si="3"/>
        <v>[TIMES] Hall Heroult Regular</v>
      </c>
      <c r="K2267" s="168"/>
      <c r="L2267" s="159"/>
      <c r="M2267" s="169"/>
    </row>
    <row r="2268" spans="1:13" x14ac:dyDescent="0.55000000000000004">
      <c r="A2268" s="101" t="s">
        <v>420</v>
      </c>
      <c r="B2268" s="61" t="s">
        <v>423</v>
      </c>
      <c r="C2268" s="61" t="s">
        <v>124</v>
      </c>
      <c r="D2268" s="61" t="s">
        <v>3288</v>
      </c>
      <c r="E2268" s="119">
        <v>0.95396999999999998</v>
      </c>
      <c r="F2268" s="148" t="s">
        <v>135</v>
      </c>
      <c r="G2268" s="148" t="s">
        <v>135</v>
      </c>
      <c r="H2268" s="68" t="s">
        <v>376</v>
      </c>
      <c r="I2268" s="168" t="s">
        <v>424</v>
      </c>
      <c r="J2268" s="74" t="str">
        <f t="shared" si="3"/>
        <v>[TIMES] Hall Heroult Regular</v>
      </c>
      <c r="K2268" s="168"/>
      <c r="L2268" s="159"/>
      <c r="M2268" s="169"/>
    </row>
    <row r="2269" spans="1:13" x14ac:dyDescent="0.55000000000000004">
      <c r="A2269" s="92" t="s">
        <v>418</v>
      </c>
      <c r="B2269" s="21" t="s">
        <v>339</v>
      </c>
      <c r="C2269" s="168" t="s">
        <v>121</v>
      </c>
      <c r="D2269" s="168" t="s">
        <v>3288</v>
      </c>
      <c r="E2269" s="116">
        <v>1</v>
      </c>
      <c r="F2269" s="149" t="s">
        <v>135</v>
      </c>
      <c r="G2269" s="149">
        <v>1</v>
      </c>
      <c r="H2269" s="68" t="s">
        <v>39</v>
      </c>
      <c r="I2269" s="168"/>
      <c r="J2269" s="77" t="s">
        <v>419</v>
      </c>
      <c r="K2269" s="168"/>
      <c r="L2269" s="131"/>
      <c r="M2269" s="169"/>
    </row>
    <row r="2270" spans="1:13" x14ac:dyDescent="0.55000000000000004">
      <c r="A2270" s="92" t="s">
        <v>418</v>
      </c>
      <c r="B2270" s="168" t="s">
        <v>288</v>
      </c>
      <c r="C2270" s="168" t="s">
        <v>156</v>
      </c>
      <c r="D2270" s="168" t="s">
        <v>3288</v>
      </c>
      <c r="E2270" s="116">
        <v>0.25</v>
      </c>
      <c r="F2270" s="149" t="s">
        <v>135</v>
      </c>
      <c r="G2270" s="149" t="s">
        <v>135</v>
      </c>
      <c r="H2270" s="68" t="s">
        <v>39</v>
      </c>
      <c r="I2270" s="168"/>
      <c r="J2270" s="77" t="s">
        <v>419</v>
      </c>
      <c r="K2270" s="168"/>
      <c r="L2270" s="131"/>
      <c r="M2270" s="169"/>
    </row>
    <row r="2271" spans="1:13" x14ac:dyDescent="0.55000000000000004">
      <c r="A2271" s="92" t="s">
        <v>418</v>
      </c>
      <c r="B2271" s="168" t="s">
        <v>316</v>
      </c>
      <c r="C2271" s="168" t="s">
        <v>132</v>
      </c>
      <c r="D2271" s="168" t="s">
        <v>3288</v>
      </c>
      <c r="E2271" s="116">
        <v>1.5</v>
      </c>
      <c r="F2271" s="149" t="s">
        <v>135</v>
      </c>
      <c r="G2271" s="149" t="s">
        <v>135</v>
      </c>
      <c r="H2271" s="68" t="s">
        <v>39</v>
      </c>
      <c r="I2271" s="168"/>
      <c r="J2271" s="77" t="s">
        <v>419</v>
      </c>
      <c r="K2271" s="168"/>
      <c r="L2271" s="131"/>
      <c r="M2271" s="169"/>
    </row>
    <row r="2272" spans="1:13" x14ac:dyDescent="0.55000000000000004">
      <c r="A2272" s="92" t="s">
        <v>418</v>
      </c>
      <c r="B2272" s="168" t="s">
        <v>153</v>
      </c>
      <c r="C2272" s="168" t="s">
        <v>127</v>
      </c>
      <c r="D2272" s="168" t="s">
        <v>2994</v>
      </c>
      <c r="E2272" s="116">
        <v>0.7</v>
      </c>
      <c r="F2272" s="149" t="s">
        <v>138</v>
      </c>
      <c r="G2272" s="149" t="s">
        <v>135</v>
      </c>
      <c r="H2272" s="68" t="s">
        <v>39</v>
      </c>
      <c r="I2272" s="168"/>
      <c r="J2272" s="77" t="s">
        <v>419</v>
      </c>
      <c r="K2272" s="168"/>
      <c r="L2272" s="131"/>
      <c r="M2272" s="169"/>
    </row>
    <row r="2273" spans="1:13" x14ac:dyDescent="0.55000000000000004">
      <c r="A2273" s="92" t="s">
        <v>418</v>
      </c>
      <c r="B2273" s="168" t="s">
        <v>334</v>
      </c>
      <c r="C2273" s="168" t="s">
        <v>127</v>
      </c>
      <c r="D2273" s="168" t="s">
        <v>2994</v>
      </c>
      <c r="E2273" s="116">
        <v>17</v>
      </c>
      <c r="F2273" s="149" t="s">
        <v>138</v>
      </c>
      <c r="G2273" s="149" t="s">
        <v>135</v>
      </c>
      <c r="H2273" s="68" t="s">
        <v>39</v>
      </c>
      <c r="I2273" s="168"/>
      <c r="J2273" s="77" t="s">
        <v>419</v>
      </c>
      <c r="K2273" s="168"/>
      <c r="L2273" s="131"/>
      <c r="M2273" s="169"/>
    </row>
    <row r="2274" spans="1:13" x14ac:dyDescent="0.55000000000000004">
      <c r="A2274" s="92" t="s">
        <v>415</v>
      </c>
      <c r="B2274" s="168" t="s">
        <v>287</v>
      </c>
      <c r="C2274" s="168" t="s">
        <v>121</v>
      </c>
      <c r="D2274" s="168" t="s">
        <v>3288</v>
      </c>
      <c r="E2274" s="116">
        <v>1</v>
      </c>
      <c r="F2274" s="149" t="s">
        <v>135</v>
      </c>
      <c r="G2274" s="149">
        <v>1</v>
      </c>
      <c r="H2274" s="68" t="s">
        <v>39</v>
      </c>
      <c r="I2274" s="168"/>
      <c r="J2274" s="77" t="s">
        <v>416</v>
      </c>
      <c r="K2274" s="168"/>
      <c r="L2274" s="131"/>
      <c r="M2274" s="169"/>
    </row>
    <row r="2275" spans="1:13" x14ac:dyDescent="0.55000000000000004">
      <c r="A2275" s="92" t="s">
        <v>415</v>
      </c>
      <c r="B2275" s="168" t="s">
        <v>288</v>
      </c>
      <c r="C2275" s="168" t="s">
        <v>156</v>
      </c>
      <c r="D2275" s="168" t="s">
        <v>3288</v>
      </c>
      <c r="E2275" s="116">
        <v>0.35</v>
      </c>
      <c r="F2275" s="149" t="s">
        <v>135</v>
      </c>
      <c r="G2275" s="149" t="s">
        <v>135</v>
      </c>
      <c r="H2275" s="68" t="s">
        <v>39</v>
      </c>
      <c r="I2275" s="168"/>
      <c r="J2275" s="77" t="s">
        <v>416</v>
      </c>
      <c r="K2275" s="168"/>
      <c r="L2275" s="131"/>
      <c r="M2275" s="169"/>
    </row>
    <row r="2276" spans="1:13" x14ac:dyDescent="0.55000000000000004">
      <c r="A2276" s="92" t="s">
        <v>415</v>
      </c>
      <c r="B2276" s="168" t="s">
        <v>2008</v>
      </c>
      <c r="C2276" s="168" t="s">
        <v>156</v>
      </c>
      <c r="D2276" s="168" t="s">
        <v>2994</v>
      </c>
      <c r="E2276" s="116">
        <v>10.9</v>
      </c>
      <c r="F2276" s="149" t="s">
        <v>138</v>
      </c>
      <c r="G2276" s="149" t="s">
        <v>135</v>
      </c>
      <c r="H2276" s="68" t="s">
        <v>39</v>
      </c>
      <c r="I2276" s="168"/>
      <c r="J2276" s="77" t="s">
        <v>416</v>
      </c>
      <c r="K2276" s="168"/>
      <c r="L2276" s="131"/>
      <c r="M2276" s="169"/>
    </row>
    <row r="2277" spans="1:13" x14ac:dyDescent="0.55000000000000004">
      <c r="A2277" s="92" t="s">
        <v>415</v>
      </c>
      <c r="B2277" s="168" t="s">
        <v>323</v>
      </c>
      <c r="C2277" s="21" t="s">
        <v>125</v>
      </c>
      <c r="D2277" s="168" t="s">
        <v>3288</v>
      </c>
      <c r="E2277" s="116">
        <v>0.75</v>
      </c>
      <c r="F2277" s="149" t="s">
        <v>135</v>
      </c>
      <c r="G2277" s="149" t="s">
        <v>135</v>
      </c>
      <c r="H2277" s="68" t="s">
        <v>39</v>
      </c>
      <c r="I2277" s="168"/>
      <c r="J2277" s="77" t="s">
        <v>416</v>
      </c>
      <c r="K2277" s="168"/>
      <c r="L2277" s="131"/>
      <c r="M2277" s="169"/>
    </row>
    <row r="2278" spans="1:13" x14ac:dyDescent="0.55000000000000004">
      <c r="A2278" s="92" t="s">
        <v>415</v>
      </c>
      <c r="B2278" s="168" t="s">
        <v>316</v>
      </c>
      <c r="C2278" s="168" t="s">
        <v>132</v>
      </c>
      <c r="D2278" s="168" t="s">
        <v>3288</v>
      </c>
      <c r="E2278" s="116">
        <v>0.75</v>
      </c>
      <c r="F2278" s="149" t="s">
        <v>135</v>
      </c>
      <c r="G2278" s="149" t="s">
        <v>135</v>
      </c>
      <c r="H2278" s="68" t="s">
        <v>39</v>
      </c>
      <c r="I2278" s="168"/>
      <c r="J2278" s="77" t="s">
        <v>416</v>
      </c>
      <c r="K2278" s="168"/>
      <c r="L2278" s="131"/>
      <c r="M2278" s="169"/>
    </row>
    <row r="2279" spans="1:13" x14ac:dyDescent="0.55000000000000004">
      <c r="A2279" s="92" t="s">
        <v>415</v>
      </c>
      <c r="B2279" s="168" t="s">
        <v>244</v>
      </c>
      <c r="C2279" s="168" t="s">
        <v>127</v>
      </c>
      <c r="D2279" s="168" t="s">
        <v>2994</v>
      </c>
      <c r="E2279" s="116">
        <v>27</v>
      </c>
      <c r="F2279" s="149" t="s">
        <v>138</v>
      </c>
      <c r="G2279" s="149" t="s">
        <v>135</v>
      </c>
      <c r="H2279" s="68" t="s">
        <v>39</v>
      </c>
      <c r="I2279" s="168"/>
      <c r="J2279" s="77" t="s">
        <v>416</v>
      </c>
      <c r="K2279" s="168"/>
      <c r="L2279" s="131"/>
      <c r="M2279" s="169"/>
    </row>
    <row r="2280" spans="1:13" x14ac:dyDescent="0.55000000000000004">
      <c r="A2280" s="92" t="s">
        <v>415</v>
      </c>
      <c r="B2280" s="168" t="s">
        <v>293</v>
      </c>
      <c r="C2280" s="168" t="s">
        <v>127</v>
      </c>
      <c r="D2280" s="168" t="s">
        <v>2994</v>
      </c>
      <c r="E2280" s="116">
        <v>3.1</v>
      </c>
      <c r="F2280" s="149" t="s">
        <v>138</v>
      </c>
      <c r="G2280" s="149" t="s">
        <v>135</v>
      </c>
      <c r="H2280" s="68" t="s">
        <v>39</v>
      </c>
      <c r="I2280" s="168"/>
      <c r="J2280" s="77" t="s">
        <v>416</v>
      </c>
      <c r="K2280" s="168"/>
      <c r="L2280" s="131"/>
      <c r="M2280" s="169"/>
    </row>
    <row r="2281" spans="1:13" x14ac:dyDescent="0.55000000000000004">
      <c r="A2281" s="92" t="s">
        <v>415</v>
      </c>
      <c r="B2281" s="168" t="s">
        <v>153</v>
      </c>
      <c r="C2281" s="168" t="s">
        <v>127</v>
      </c>
      <c r="D2281" s="168" t="s">
        <v>2994</v>
      </c>
      <c r="E2281" s="116">
        <v>0.32400000000000001</v>
      </c>
      <c r="F2281" s="149" t="s">
        <v>138</v>
      </c>
      <c r="G2281" s="149" t="s">
        <v>135</v>
      </c>
      <c r="H2281" s="68" t="s">
        <v>39</v>
      </c>
      <c r="I2281" s="168"/>
      <c r="J2281" s="77" t="s">
        <v>416</v>
      </c>
      <c r="K2281" s="168"/>
      <c r="L2281" s="131"/>
      <c r="M2281" s="169"/>
    </row>
    <row r="2282" spans="1:13" x14ac:dyDescent="0.55000000000000004">
      <c r="A2282" s="92" t="s">
        <v>415</v>
      </c>
      <c r="B2282" s="168" t="s">
        <v>213</v>
      </c>
      <c r="C2282" s="168" t="s">
        <v>125</v>
      </c>
      <c r="D2282" s="168" t="s">
        <v>3288</v>
      </c>
      <c r="E2282" s="116">
        <v>0.68899999999999995</v>
      </c>
      <c r="F2282" s="149" t="s">
        <v>135</v>
      </c>
      <c r="G2282" s="149" t="s">
        <v>135</v>
      </c>
      <c r="H2282" s="68" t="s">
        <v>39</v>
      </c>
      <c r="I2282" s="168"/>
      <c r="J2282" s="77" t="s">
        <v>416</v>
      </c>
      <c r="K2282" s="168"/>
      <c r="L2282" s="131"/>
      <c r="M2282" s="169"/>
    </row>
    <row r="2283" spans="1:13" x14ac:dyDescent="0.55000000000000004">
      <c r="A2283" s="92" t="s">
        <v>415</v>
      </c>
      <c r="B2283" s="168" t="s">
        <v>160</v>
      </c>
      <c r="C2283" s="168" t="s">
        <v>247</v>
      </c>
      <c r="D2283" s="168" t="s">
        <v>3288</v>
      </c>
      <c r="E2283" s="119">
        <v>2.97925</v>
      </c>
      <c r="F2283" s="149" t="s">
        <v>135</v>
      </c>
      <c r="G2283" s="149" t="s">
        <v>135</v>
      </c>
      <c r="H2283" s="68" t="s">
        <v>413</v>
      </c>
      <c r="I2283" s="168" t="s">
        <v>417</v>
      </c>
      <c r="J2283" s="77" t="s">
        <v>416</v>
      </c>
      <c r="K2283" s="168"/>
      <c r="L2283" s="131"/>
      <c r="M2283" s="169"/>
    </row>
    <row r="2284" spans="1:13" x14ac:dyDescent="0.55000000000000004">
      <c r="A2284" s="92" t="s">
        <v>411</v>
      </c>
      <c r="B2284" s="168" t="s">
        <v>287</v>
      </c>
      <c r="C2284" s="168" t="s">
        <v>121</v>
      </c>
      <c r="D2284" s="168" t="s">
        <v>3288</v>
      </c>
      <c r="E2284" s="116">
        <v>1</v>
      </c>
      <c r="F2284" s="149" t="s">
        <v>135</v>
      </c>
      <c r="G2284" s="149">
        <v>1</v>
      </c>
      <c r="H2284" s="68" t="s">
        <v>39</v>
      </c>
      <c r="I2284" s="168"/>
      <c r="J2284" s="77" t="s">
        <v>412</v>
      </c>
      <c r="K2284" s="168"/>
      <c r="L2284" s="131"/>
      <c r="M2284" s="169"/>
    </row>
    <row r="2285" spans="1:13" x14ac:dyDescent="0.55000000000000004">
      <c r="A2285" s="92" t="s">
        <v>411</v>
      </c>
      <c r="B2285" s="168" t="s">
        <v>288</v>
      </c>
      <c r="C2285" s="168" t="s">
        <v>156</v>
      </c>
      <c r="D2285" s="168" t="s">
        <v>3288</v>
      </c>
      <c r="E2285" s="116">
        <v>0.27</v>
      </c>
      <c r="F2285" s="149" t="s">
        <v>135</v>
      </c>
      <c r="G2285" s="149" t="s">
        <v>135</v>
      </c>
      <c r="H2285" s="68" t="s">
        <v>39</v>
      </c>
      <c r="I2285" s="168"/>
      <c r="J2285" s="77" t="s">
        <v>412</v>
      </c>
      <c r="K2285" s="168"/>
      <c r="L2285" s="131"/>
      <c r="M2285" s="169"/>
    </row>
    <row r="2286" spans="1:13" x14ac:dyDescent="0.55000000000000004">
      <c r="A2286" s="92" t="s">
        <v>411</v>
      </c>
      <c r="B2286" s="168" t="s">
        <v>289</v>
      </c>
      <c r="C2286" s="168" t="s">
        <v>156</v>
      </c>
      <c r="D2286" s="168" t="s">
        <v>2994</v>
      </c>
      <c r="E2286" s="116">
        <v>4</v>
      </c>
      <c r="F2286" s="149" t="s">
        <v>138</v>
      </c>
      <c r="G2286" s="149" t="s">
        <v>135</v>
      </c>
      <c r="H2286" s="68" t="s">
        <v>39</v>
      </c>
      <c r="I2286" s="168"/>
      <c r="J2286" s="77" t="s">
        <v>412</v>
      </c>
      <c r="K2286" s="168"/>
      <c r="L2286" s="131"/>
      <c r="M2286" s="169"/>
    </row>
    <row r="2287" spans="1:13" x14ac:dyDescent="0.55000000000000004">
      <c r="A2287" s="92" t="s">
        <v>411</v>
      </c>
      <c r="B2287" s="168" t="s">
        <v>137</v>
      </c>
      <c r="C2287" s="168" t="s">
        <v>156</v>
      </c>
      <c r="D2287" s="168" t="s">
        <v>2994</v>
      </c>
      <c r="E2287" s="116">
        <v>4.3</v>
      </c>
      <c r="F2287" s="149" t="s">
        <v>138</v>
      </c>
      <c r="G2287" s="149" t="s">
        <v>135</v>
      </c>
      <c r="H2287" s="68" t="s">
        <v>39</v>
      </c>
      <c r="I2287" s="168"/>
      <c r="J2287" s="77" t="s">
        <v>412</v>
      </c>
      <c r="K2287" s="168"/>
      <c r="L2287" s="131"/>
      <c r="M2287" s="169"/>
    </row>
    <row r="2288" spans="1:13" x14ac:dyDescent="0.55000000000000004">
      <c r="A2288" s="92" t="s">
        <v>411</v>
      </c>
      <c r="B2288" s="168" t="s">
        <v>290</v>
      </c>
      <c r="C2288" s="21" t="s">
        <v>125</v>
      </c>
      <c r="D2288" s="168" t="s">
        <v>3288</v>
      </c>
      <c r="E2288" s="116">
        <v>1.5</v>
      </c>
      <c r="F2288" s="149" t="s">
        <v>135</v>
      </c>
      <c r="G2288" s="149" t="s">
        <v>135</v>
      </c>
      <c r="H2288" s="68" t="s">
        <v>39</v>
      </c>
      <c r="I2288" s="168"/>
      <c r="J2288" s="77" t="s">
        <v>412</v>
      </c>
      <c r="K2288" s="168"/>
      <c r="L2288" s="131"/>
      <c r="M2288" s="169"/>
    </row>
    <row r="2289" spans="1:13" x14ac:dyDescent="0.55000000000000004">
      <c r="A2289" s="92" t="s">
        <v>411</v>
      </c>
      <c r="B2289" s="168" t="s">
        <v>213</v>
      </c>
      <c r="C2289" s="168" t="s">
        <v>125</v>
      </c>
      <c r="D2289" s="168" t="s">
        <v>3288</v>
      </c>
      <c r="E2289" s="116">
        <v>0.73</v>
      </c>
      <c r="F2289" s="149" t="s">
        <v>135</v>
      </c>
      <c r="G2289" s="149" t="s">
        <v>135</v>
      </c>
      <c r="H2289" s="68" t="s">
        <v>39</v>
      </c>
      <c r="I2289" s="168"/>
      <c r="J2289" s="77" t="s">
        <v>412</v>
      </c>
      <c r="K2289" s="168"/>
      <c r="L2289" s="131"/>
      <c r="M2289" s="169"/>
    </row>
    <row r="2290" spans="1:13" x14ac:dyDescent="0.55000000000000004">
      <c r="A2290" s="92" t="s">
        <v>411</v>
      </c>
      <c r="B2290" s="168" t="s">
        <v>289</v>
      </c>
      <c r="C2290" s="168" t="s">
        <v>127</v>
      </c>
      <c r="D2290" s="168" t="s">
        <v>2994</v>
      </c>
      <c r="E2290" s="116">
        <v>2</v>
      </c>
      <c r="F2290" s="149" t="s">
        <v>138</v>
      </c>
      <c r="G2290" s="149" t="s">
        <v>135</v>
      </c>
      <c r="H2290" s="68" t="s">
        <v>39</v>
      </c>
      <c r="I2290" s="168"/>
      <c r="J2290" s="77" t="s">
        <v>412</v>
      </c>
      <c r="K2290" s="168"/>
      <c r="L2290" s="131"/>
      <c r="M2290" s="169"/>
    </row>
    <row r="2291" spans="1:13" x14ac:dyDescent="0.55000000000000004">
      <c r="A2291" s="92" t="s">
        <v>411</v>
      </c>
      <c r="B2291" s="168" t="s">
        <v>153</v>
      </c>
      <c r="C2291" s="168" t="s">
        <v>127</v>
      </c>
      <c r="D2291" s="168" t="s">
        <v>2994</v>
      </c>
      <c r="E2291" s="116">
        <v>1.3</v>
      </c>
      <c r="F2291" s="149" t="s">
        <v>138</v>
      </c>
      <c r="G2291" s="149" t="s">
        <v>135</v>
      </c>
      <c r="H2291" s="68" t="s">
        <v>39</v>
      </c>
      <c r="I2291" s="168"/>
      <c r="J2291" s="77" t="s">
        <v>412</v>
      </c>
      <c r="K2291" s="168"/>
      <c r="L2291" s="131"/>
      <c r="M2291" s="169"/>
    </row>
    <row r="2292" spans="1:13" x14ac:dyDescent="0.55000000000000004">
      <c r="A2292" s="92" t="s">
        <v>411</v>
      </c>
      <c r="B2292" s="168" t="s">
        <v>244</v>
      </c>
      <c r="C2292" s="168" t="s">
        <v>127</v>
      </c>
      <c r="D2292" s="168" t="s">
        <v>2994</v>
      </c>
      <c r="E2292" s="116">
        <v>20.100000000000001</v>
      </c>
      <c r="F2292" s="149" t="s">
        <v>138</v>
      </c>
      <c r="G2292" s="149" t="s">
        <v>135</v>
      </c>
      <c r="H2292" s="68" t="s">
        <v>39</v>
      </c>
      <c r="I2292" s="110"/>
      <c r="J2292" s="77" t="s">
        <v>412</v>
      </c>
      <c r="K2292" s="168"/>
      <c r="L2292" s="131"/>
      <c r="M2292" s="169"/>
    </row>
    <row r="2293" spans="1:13" x14ac:dyDescent="0.55000000000000004">
      <c r="A2293" s="92" t="s">
        <v>411</v>
      </c>
      <c r="B2293" s="168" t="s">
        <v>160</v>
      </c>
      <c r="C2293" s="168" t="s">
        <v>247</v>
      </c>
      <c r="D2293" s="168" t="s">
        <v>3288</v>
      </c>
      <c r="E2293" s="116">
        <v>2.3597999999999999</v>
      </c>
      <c r="F2293" s="149" t="s">
        <v>135</v>
      </c>
      <c r="G2293" s="149" t="s">
        <v>135</v>
      </c>
      <c r="H2293" s="68" t="s">
        <v>413</v>
      </c>
      <c r="I2293" s="168" t="s">
        <v>414</v>
      </c>
      <c r="J2293" s="77" t="s">
        <v>412</v>
      </c>
      <c r="K2293" s="168"/>
      <c r="L2293" s="131"/>
      <c r="M2293" s="169"/>
    </row>
    <row r="2294" spans="1:13" x14ac:dyDescent="0.55000000000000004">
      <c r="A2294" s="98" t="s">
        <v>410</v>
      </c>
      <c r="B2294" s="68" t="s">
        <v>216</v>
      </c>
      <c r="C2294" s="68" t="s">
        <v>121</v>
      </c>
      <c r="D2294" s="68" t="s">
        <v>3288</v>
      </c>
      <c r="E2294" s="120">
        <v>1</v>
      </c>
      <c r="F2294" s="151" t="s">
        <v>135</v>
      </c>
      <c r="G2294" s="151">
        <v>1</v>
      </c>
      <c r="H2294" s="68" t="s">
        <v>39</v>
      </c>
      <c r="I2294" s="168"/>
      <c r="J2294" s="74" t="str">
        <f t="shared" ref="J2294:J2357" si="4">A2294</f>
        <v>[TIMES] Kraft process</v>
      </c>
      <c r="K2294" s="168"/>
      <c r="L2294" s="163"/>
      <c r="M2294" s="169"/>
    </row>
    <row r="2295" spans="1:13" x14ac:dyDescent="0.55000000000000004">
      <c r="A2295" s="98" t="s">
        <v>410</v>
      </c>
      <c r="B2295" s="68" t="s">
        <v>233</v>
      </c>
      <c r="C2295" s="68" t="s">
        <v>156</v>
      </c>
      <c r="D2295" s="68" t="s">
        <v>2994</v>
      </c>
      <c r="E2295" s="120">
        <v>17.8</v>
      </c>
      <c r="F2295" s="151" t="s">
        <v>138</v>
      </c>
      <c r="G2295" s="151" t="s">
        <v>135</v>
      </c>
      <c r="H2295" s="68" t="s">
        <v>39</v>
      </c>
      <c r="I2295" s="168"/>
      <c r="J2295" s="74" t="str">
        <f t="shared" si="4"/>
        <v>[TIMES] Kraft process</v>
      </c>
      <c r="K2295" s="168"/>
      <c r="L2295" s="163"/>
      <c r="M2295" s="169"/>
    </row>
    <row r="2296" spans="1:13" x14ac:dyDescent="0.55000000000000004">
      <c r="A2296" s="98" t="s">
        <v>410</v>
      </c>
      <c r="B2296" s="68" t="s">
        <v>230</v>
      </c>
      <c r="C2296" s="68" t="s">
        <v>156</v>
      </c>
      <c r="D2296" s="68" t="s">
        <v>2994</v>
      </c>
      <c r="E2296" s="120">
        <v>4.5999999999999996</v>
      </c>
      <c r="F2296" s="151" t="s">
        <v>138</v>
      </c>
      <c r="G2296" s="151" t="s">
        <v>135</v>
      </c>
      <c r="H2296" s="68" t="s">
        <v>39</v>
      </c>
      <c r="I2296" s="168"/>
      <c r="J2296" s="74" t="str">
        <f t="shared" si="4"/>
        <v>[TIMES] Kraft process</v>
      </c>
      <c r="K2296" s="168"/>
      <c r="L2296" s="163"/>
      <c r="M2296" s="169"/>
    </row>
    <row r="2297" spans="1:13" x14ac:dyDescent="0.55000000000000004">
      <c r="A2297" s="98" t="s">
        <v>410</v>
      </c>
      <c r="B2297" s="68" t="s">
        <v>230</v>
      </c>
      <c r="C2297" s="168" t="s">
        <v>231</v>
      </c>
      <c r="D2297" s="68" t="s">
        <v>3288</v>
      </c>
      <c r="E2297" s="120">
        <v>2.2999999999999998</v>
      </c>
      <c r="F2297" s="151" t="s">
        <v>135</v>
      </c>
      <c r="G2297" s="151" t="s">
        <v>135</v>
      </c>
      <c r="H2297" s="68" t="s">
        <v>39</v>
      </c>
      <c r="I2297" s="168"/>
      <c r="J2297" s="74" t="str">
        <f t="shared" si="4"/>
        <v>[TIMES] Kraft process</v>
      </c>
      <c r="K2297" s="168"/>
      <c r="L2297" s="163"/>
      <c r="M2297" s="169"/>
    </row>
    <row r="2298" spans="1:13" x14ac:dyDescent="0.55000000000000004">
      <c r="A2298" s="98" t="s">
        <v>410</v>
      </c>
      <c r="B2298" s="68" t="s">
        <v>208</v>
      </c>
      <c r="C2298" s="68" t="s">
        <v>127</v>
      </c>
      <c r="D2298" s="68" t="s">
        <v>3288</v>
      </c>
      <c r="E2298" s="120">
        <v>8.1999999999999993</v>
      </c>
      <c r="F2298" s="151" t="s">
        <v>135</v>
      </c>
      <c r="G2298" s="151" t="s">
        <v>135</v>
      </c>
      <c r="H2298" s="68" t="s">
        <v>39</v>
      </c>
      <c r="I2298" s="168"/>
      <c r="J2298" s="74" t="str">
        <f t="shared" si="4"/>
        <v>[TIMES] Kraft process</v>
      </c>
      <c r="K2298" s="168"/>
      <c r="L2298" s="163"/>
      <c r="M2298" s="169"/>
    </row>
    <row r="2299" spans="1:13" x14ac:dyDescent="0.55000000000000004">
      <c r="A2299" s="98" t="s">
        <v>410</v>
      </c>
      <c r="B2299" s="68" t="s">
        <v>148</v>
      </c>
      <c r="C2299" s="168" t="s">
        <v>207</v>
      </c>
      <c r="D2299" s="68" t="s">
        <v>3288</v>
      </c>
      <c r="E2299" s="120">
        <v>1.6E-2</v>
      </c>
      <c r="F2299" s="151" t="s">
        <v>135</v>
      </c>
      <c r="G2299" s="151" t="s">
        <v>135</v>
      </c>
      <c r="H2299" s="68" t="s">
        <v>39</v>
      </c>
      <c r="I2299" s="168"/>
      <c r="J2299" s="74" t="str">
        <f t="shared" si="4"/>
        <v>[TIMES] Kraft process</v>
      </c>
      <c r="K2299" s="168"/>
      <c r="L2299" s="163"/>
      <c r="M2299" s="169"/>
    </row>
    <row r="2300" spans="1:13" x14ac:dyDescent="0.55000000000000004">
      <c r="A2300" s="98" t="s">
        <v>410</v>
      </c>
      <c r="B2300" s="68" t="s">
        <v>213</v>
      </c>
      <c r="C2300" s="168" t="s">
        <v>125</v>
      </c>
      <c r="D2300" s="68" t="s">
        <v>3288</v>
      </c>
      <c r="E2300" s="120">
        <v>0.02</v>
      </c>
      <c r="F2300" s="151" t="s">
        <v>135</v>
      </c>
      <c r="G2300" s="151" t="s">
        <v>135</v>
      </c>
      <c r="H2300" s="68" t="s">
        <v>39</v>
      </c>
      <c r="I2300" s="168"/>
      <c r="J2300" s="74" t="str">
        <f t="shared" si="4"/>
        <v>[TIMES] Kraft process</v>
      </c>
      <c r="K2300" s="168"/>
      <c r="L2300" s="163"/>
      <c r="M2300" s="169"/>
    </row>
    <row r="2301" spans="1:13" x14ac:dyDescent="0.55000000000000004">
      <c r="A2301" s="98" t="s">
        <v>410</v>
      </c>
      <c r="B2301" s="68" t="s">
        <v>153</v>
      </c>
      <c r="C2301" s="68" t="s">
        <v>127</v>
      </c>
      <c r="D2301" s="68" t="s">
        <v>2994</v>
      </c>
      <c r="E2301" s="120">
        <v>2.5</v>
      </c>
      <c r="F2301" s="151" t="s">
        <v>138</v>
      </c>
      <c r="G2301" s="151" t="s">
        <v>135</v>
      </c>
      <c r="H2301" s="68" t="s">
        <v>39</v>
      </c>
      <c r="I2301" s="168"/>
      <c r="J2301" s="74" t="str">
        <f t="shared" si="4"/>
        <v>[TIMES] Kraft process</v>
      </c>
      <c r="K2301" s="168"/>
      <c r="L2301" s="163"/>
      <c r="M2301" s="169"/>
    </row>
    <row r="2302" spans="1:13" x14ac:dyDescent="0.55000000000000004">
      <c r="A2302" s="98" t="s">
        <v>410</v>
      </c>
      <c r="B2302" s="68" t="s">
        <v>160</v>
      </c>
      <c r="C2302" s="168" t="s">
        <v>247</v>
      </c>
      <c r="D2302" s="68" t="s">
        <v>3288</v>
      </c>
      <c r="E2302" s="119">
        <v>0.4264</v>
      </c>
      <c r="F2302" s="151" t="s">
        <v>138</v>
      </c>
      <c r="G2302" s="151" t="s">
        <v>135</v>
      </c>
      <c r="H2302" s="68" t="s">
        <v>373</v>
      </c>
      <c r="I2302" s="168"/>
      <c r="J2302" s="74" t="str">
        <f t="shared" si="4"/>
        <v>[TIMES] Kraft process</v>
      </c>
      <c r="K2302" s="168"/>
      <c r="L2302" s="163"/>
      <c r="M2302" s="169"/>
    </row>
    <row r="2303" spans="1:13" x14ac:dyDescent="0.55000000000000004">
      <c r="A2303" s="98" t="s">
        <v>409</v>
      </c>
      <c r="B2303" s="68" t="s">
        <v>229</v>
      </c>
      <c r="C2303" s="68" t="s">
        <v>121</v>
      </c>
      <c r="D2303" s="68" t="s">
        <v>3288</v>
      </c>
      <c r="E2303" s="120">
        <v>1</v>
      </c>
      <c r="F2303" s="151" t="s">
        <v>135</v>
      </c>
      <c r="G2303" s="151">
        <v>1</v>
      </c>
      <c r="H2303" s="68" t="s">
        <v>39</v>
      </c>
      <c r="I2303" s="168"/>
      <c r="J2303" s="74" t="str">
        <f t="shared" si="4"/>
        <v>[TIMES] Mechanical pulping</v>
      </c>
      <c r="K2303" s="168"/>
      <c r="L2303" s="163"/>
      <c r="M2303" s="169"/>
    </row>
    <row r="2304" spans="1:13" x14ac:dyDescent="0.55000000000000004">
      <c r="A2304" s="98" t="s">
        <v>409</v>
      </c>
      <c r="B2304" s="21" t="s">
        <v>208</v>
      </c>
      <c r="C2304" s="68" t="s">
        <v>156</v>
      </c>
      <c r="D2304" s="68" t="s">
        <v>2994</v>
      </c>
      <c r="E2304" s="120">
        <v>2.5299999999999998</v>
      </c>
      <c r="F2304" s="151" t="s">
        <v>138</v>
      </c>
      <c r="G2304" s="151" t="s">
        <v>135</v>
      </c>
      <c r="H2304" s="68" t="s">
        <v>39</v>
      </c>
      <c r="I2304" s="168"/>
      <c r="J2304" s="74" t="str">
        <f t="shared" si="4"/>
        <v>[TIMES] Mechanical pulping</v>
      </c>
      <c r="K2304" s="168"/>
      <c r="L2304" s="163"/>
      <c r="M2304" s="169"/>
    </row>
    <row r="2305" spans="1:13" x14ac:dyDescent="0.55000000000000004">
      <c r="A2305" s="98" t="s">
        <v>409</v>
      </c>
      <c r="B2305" s="68" t="s">
        <v>230</v>
      </c>
      <c r="C2305" s="168" t="s">
        <v>231</v>
      </c>
      <c r="D2305" s="68" t="s">
        <v>3288</v>
      </c>
      <c r="E2305" s="120">
        <v>1.1000000000000001</v>
      </c>
      <c r="F2305" s="151" t="s">
        <v>135</v>
      </c>
      <c r="G2305" s="151" t="s">
        <v>135</v>
      </c>
      <c r="H2305" s="68" t="s">
        <v>39</v>
      </c>
      <c r="I2305" s="168"/>
      <c r="J2305" s="74" t="str">
        <f t="shared" si="4"/>
        <v>[TIMES] Mechanical pulping</v>
      </c>
      <c r="K2305" s="168"/>
      <c r="L2305" s="163"/>
      <c r="M2305" s="169"/>
    </row>
    <row r="2306" spans="1:13" x14ac:dyDescent="0.55000000000000004">
      <c r="A2306" s="98" t="s">
        <v>409</v>
      </c>
      <c r="B2306" s="68" t="s">
        <v>153</v>
      </c>
      <c r="C2306" s="68" t="s">
        <v>127</v>
      </c>
      <c r="D2306" s="68" t="s">
        <v>2994</v>
      </c>
      <c r="E2306" s="120">
        <v>7.93</v>
      </c>
      <c r="F2306" s="151" t="s">
        <v>138</v>
      </c>
      <c r="G2306" s="151" t="s">
        <v>135</v>
      </c>
      <c r="H2306" s="68" t="s">
        <v>39</v>
      </c>
      <c r="I2306" s="168"/>
      <c r="J2306" s="74" t="str">
        <f t="shared" si="4"/>
        <v>[TIMES] Mechanical pulping</v>
      </c>
      <c r="K2306" s="168"/>
      <c r="L2306" s="163"/>
      <c r="M2306" s="169"/>
    </row>
    <row r="2307" spans="1:13" x14ac:dyDescent="0.55000000000000004">
      <c r="A2307" s="98" t="s">
        <v>409</v>
      </c>
      <c r="B2307" s="68" t="s">
        <v>171</v>
      </c>
      <c r="C2307" s="68" t="s">
        <v>127</v>
      </c>
      <c r="D2307" s="68" t="s">
        <v>2994</v>
      </c>
      <c r="E2307" s="120">
        <v>10.8</v>
      </c>
      <c r="F2307" s="151" t="s">
        <v>138</v>
      </c>
      <c r="G2307" s="151" t="s">
        <v>135</v>
      </c>
      <c r="H2307" s="68" t="s">
        <v>39</v>
      </c>
      <c r="I2307" s="168"/>
      <c r="J2307" s="74" t="str">
        <f t="shared" si="4"/>
        <v>[TIMES] Mechanical pulping</v>
      </c>
      <c r="K2307" s="168"/>
      <c r="L2307" s="163"/>
      <c r="M2307" s="169"/>
    </row>
    <row r="2308" spans="1:13" x14ac:dyDescent="0.55000000000000004">
      <c r="A2308" s="98" t="s">
        <v>409</v>
      </c>
      <c r="B2308" s="68" t="s">
        <v>160</v>
      </c>
      <c r="C2308" s="168" t="s">
        <v>247</v>
      </c>
      <c r="D2308" s="68" t="s">
        <v>3288</v>
      </c>
      <c r="E2308" s="119">
        <v>0.60587999999999997</v>
      </c>
      <c r="F2308" s="151" t="s">
        <v>135</v>
      </c>
      <c r="G2308" s="151" t="s">
        <v>135</v>
      </c>
      <c r="H2308" s="68" t="s">
        <v>376</v>
      </c>
      <c r="I2308" s="168"/>
      <c r="J2308" s="74" t="str">
        <f t="shared" si="4"/>
        <v>[TIMES] Mechanical pulping</v>
      </c>
      <c r="K2308" s="168"/>
      <c r="L2308" s="163"/>
      <c r="M2308" s="169"/>
    </row>
    <row r="2309" spans="1:13" x14ac:dyDescent="0.55000000000000004">
      <c r="A2309" s="98" t="s">
        <v>407</v>
      </c>
      <c r="B2309" s="68" t="s">
        <v>229</v>
      </c>
      <c r="C2309" s="68" t="s">
        <v>121</v>
      </c>
      <c r="D2309" s="68" t="s">
        <v>3288</v>
      </c>
      <c r="E2309" s="120">
        <v>1</v>
      </c>
      <c r="F2309" s="151" t="s">
        <v>135</v>
      </c>
      <c r="G2309" s="151">
        <v>1</v>
      </c>
      <c r="H2309" s="68" t="s">
        <v>39</v>
      </c>
      <c r="I2309" s="168"/>
      <c r="J2309" s="74" t="str">
        <f t="shared" si="4"/>
        <v>[TIMES] Mechanical pulping, airless drying</v>
      </c>
      <c r="K2309" s="168"/>
      <c r="L2309" s="163"/>
      <c r="M2309" s="169"/>
    </row>
    <row r="2310" spans="1:13" x14ac:dyDescent="0.55000000000000004">
      <c r="A2310" s="98" t="s">
        <v>407</v>
      </c>
      <c r="B2310" s="21" t="s">
        <v>208</v>
      </c>
      <c r="C2310" s="68" t="s">
        <v>156</v>
      </c>
      <c r="D2310" s="68" t="s">
        <v>2994</v>
      </c>
      <c r="E2310" s="120">
        <v>1.7709999999999999</v>
      </c>
      <c r="F2310" s="151" t="s">
        <v>138</v>
      </c>
      <c r="G2310" s="151" t="s">
        <v>135</v>
      </c>
      <c r="H2310" s="68" t="s">
        <v>39</v>
      </c>
      <c r="I2310" s="168"/>
      <c r="J2310" s="74" t="str">
        <f t="shared" si="4"/>
        <v>[TIMES] Mechanical pulping, airless drying</v>
      </c>
      <c r="K2310" s="168"/>
      <c r="L2310" s="163"/>
      <c r="M2310" s="169"/>
    </row>
    <row r="2311" spans="1:13" x14ac:dyDescent="0.55000000000000004">
      <c r="A2311" s="98" t="s">
        <v>407</v>
      </c>
      <c r="B2311" s="68" t="s">
        <v>230</v>
      </c>
      <c r="C2311" s="168" t="s">
        <v>231</v>
      </c>
      <c r="D2311" s="68" t="s">
        <v>3288</v>
      </c>
      <c r="E2311" s="120">
        <v>1.1000000000000001</v>
      </c>
      <c r="F2311" s="151" t="s">
        <v>135</v>
      </c>
      <c r="G2311" s="151" t="s">
        <v>135</v>
      </c>
      <c r="H2311" s="68" t="s">
        <v>39</v>
      </c>
      <c r="I2311" s="168"/>
      <c r="J2311" s="74" t="str">
        <f t="shared" si="4"/>
        <v>[TIMES] Mechanical pulping, airless drying</v>
      </c>
      <c r="K2311" s="168"/>
      <c r="L2311" s="163"/>
      <c r="M2311" s="169"/>
    </row>
    <row r="2312" spans="1:13" x14ac:dyDescent="0.55000000000000004">
      <c r="A2312" s="98" t="s">
        <v>407</v>
      </c>
      <c r="B2312" s="68" t="s">
        <v>153</v>
      </c>
      <c r="C2312" s="68" t="s">
        <v>127</v>
      </c>
      <c r="D2312" s="68" t="s">
        <v>2994</v>
      </c>
      <c r="E2312" s="120">
        <v>14.84</v>
      </c>
      <c r="F2312" s="151" t="s">
        <v>138</v>
      </c>
      <c r="G2312" s="151" t="s">
        <v>135</v>
      </c>
      <c r="H2312" s="68" t="s">
        <v>39</v>
      </c>
      <c r="I2312" s="168"/>
      <c r="J2312" s="74" t="str">
        <f t="shared" si="4"/>
        <v>[TIMES] Mechanical pulping, airless drying</v>
      </c>
      <c r="K2312" s="168"/>
      <c r="L2312" s="163"/>
      <c r="M2312" s="169"/>
    </row>
    <row r="2313" spans="1:13" x14ac:dyDescent="0.55000000000000004">
      <c r="A2313" s="98" t="s">
        <v>407</v>
      </c>
      <c r="B2313" s="68" t="s">
        <v>171</v>
      </c>
      <c r="C2313" s="68" t="s">
        <v>127</v>
      </c>
      <c r="D2313" s="68" t="s">
        <v>2994</v>
      </c>
      <c r="E2313" s="120">
        <v>7.56</v>
      </c>
      <c r="F2313" s="151" t="s">
        <v>138</v>
      </c>
      <c r="G2313" s="151" t="s">
        <v>135</v>
      </c>
      <c r="H2313" s="68" t="s">
        <v>39</v>
      </c>
      <c r="I2313" s="168"/>
      <c r="J2313" s="74" t="str">
        <f t="shared" si="4"/>
        <v>[TIMES] Mechanical pulping, airless drying</v>
      </c>
      <c r="K2313" s="168"/>
      <c r="L2313" s="163"/>
      <c r="M2313" s="169"/>
    </row>
    <row r="2314" spans="1:13" x14ac:dyDescent="0.55000000000000004">
      <c r="A2314" s="98" t="s">
        <v>407</v>
      </c>
      <c r="B2314" s="68" t="s">
        <v>160</v>
      </c>
      <c r="C2314" s="168" t="s">
        <v>247</v>
      </c>
      <c r="D2314" s="68" t="s">
        <v>3288</v>
      </c>
      <c r="E2314" s="119">
        <v>0.42411599999999999</v>
      </c>
      <c r="F2314" s="151" t="s">
        <v>135</v>
      </c>
      <c r="G2314" s="151" t="s">
        <v>135</v>
      </c>
      <c r="H2314" s="68" t="s">
        <v>408</v>
      </c>
      <c r="I2314" s="168"/>
      <c r="J2314" s="74" t="str">
        <f t="shared" si="4"/>
        <v>[TIMES] Mechanical pulping, airless drying</v>
      </c>
      <c r="K2314" s="168"/>
      <c r="L2314" s="163"/>
      <c r="M2314" s="169"/>
    </row>
    <row r="2315" spans="1:13" x14ac:dyDescent="0.55000000000000004">
      <c r="A2315" s="99" t="s">
        <v>406</v>
      </c>
      <c r="B2315" s="68" t="s">
        <v>229</v>
      </c>
      <c r="C2315" s="68" t="s">
        <v>121</v>
      </c>
      <c r="D2315" s="68" t="s">
        <v>3288</v>
      </c>
      <c r="E2315" s="120">
        <v>1</v>
      </c>
      <c r="F2315" s="151" t="s">
        <v>135</v>
      </c>
      <c r="G2315" s="151">
        <v>1</v>
      </c>
      <c r="H2315" s="68" t="s">
        <v>39</v>
      </c>
      <c r="I2315" s="168"/>
      <c r="J2315" s="74" t="str">
        <f t="shared" si="4"/>
        <v>[TIMES] Mechanical pulping, airless drying w/ CO2 capture</v>
      </c>
      <c r="K2315" s="168"/>
      <c r="L2315" s="163"/>
      <c r="M2315" s="169"/>
    </row>
    <row r="2316" spans="1:13" x14ac:dyDescent="0.55000000000000004">
      <c r="A2316" s="99" t="s">
        <v>406</v>
      </c>
      <c r="B2316" s="21" t="s">
        <v>208</v>
      </c>
      <c r="C2316" s="68" t="s">
        <v>156</v>
      </c>
      <c r="D2316" s="68" t="s">
        <v>2994</v>
      </c>
      <c r="E2316" s="120">
        <v>1.7709999999999999</v>
      </c>
      <c r="F2316" s="151" t="s">
        <v>138</v>
      </c>
      <c r="G2316" s="151" t="s">
        <v>135</v>
      </c>
      <c r="H2316" s="68" t="s">
        <v>39</v>
      </c>
      <c r="I2316" s="168"/>
      <c r="J2316" s="74" t="str">
        <f t="shared" si="4"/>
        <v>[TIMES] Mechanical pulping, airless drying w/ CO2 capture</v>
      </c>
      <c r="K2316" s="168"/>
      <c r="L2316" s="163"/>
      <c r="M2316" s="169"/>
    </row>
    <row r="2317" spans="1:13" x14ac:dyDescent="0.55000000000000004">
      <c r="A2317" s="99" t="s">
        <v>406</v>
      </c>
      <c r="B2317" s="68" t="s">
        <v>230</v>
      </c>
      <c r="C2317" s="168" t="s">
        <v>231</v>
      </c>
      <c r="D2317" s="68" t="s">
        <v>3288</v>
      </c>
      <c r="E2317" s="120">
        <v>1.1000000000000001</v>
      </c>
      <c r="F2317" s="151" t="s">
        <v>135</v>
      </c>
      <c r="G2317" s="151" t="s">
        <v>135</v>
      </c>
      <c r="H2317" s="68" t="s">
        <v>39</v>
      </c>
      <c r="I2317" s="168"/>
      <c r="J2317" s="74" t="str">
        <f t="shared" si="4"/>
        <v>[TIMES] Mechanical pulping, airless drying w/ CO2 capture</v>
      </c>
      <c r="K2317" s="168"/>
      <c r="L2317" s="163"/>
      <c r="M2317" s="169"/>
    </row>
    <row r="2318" spans="1:13" x14ac:dyDescent="0.55000000000000004">
      <c r="A2318" s="99" t="s">
        <v>406</v>
      </c>
      <c r="B2318" s="68" t="s">
        <v>153</v>
      </c>
      <c r="C2318" s="68" t="s">
        <v>127</v>
      </c>
      <c r="D2318" s="68" t="s">
        <v>2994</v>
      </c>
      <c r="E2318" s="120">
        <v>16.29</v>
      </c>
      <c r="F2318" s="151" t="s">
        <v>138</v>
      </c>
      <c r="G2318" s="151" t="s">
        <v>135</v>
      </c>
      <c r="H2318" s="68" t="s">
        <v>39</v>
      </c>
      <c r="I2318" s="168"/>
      <c r="J2318" s="74" t="str">
        <f t="shared" si="4"/>
        <v>[TIMES] Mechanical pulping, airless drying w/ CO2 capture</v>
      </c>
      <c r="K2318" s="168"/>
      <c r="L2318" s="163"/>
      <c r="M2318" s="169"/>
    </row>
    <row r="2319" spans="1:13" x14ac:dyDescent="0.55000000000000004">
      <c r="A2319" s="99" t="s">
        <v>406</v>
      </c>
      <c r="B2319" s="68" t="s">
        <v>171</v>
      </c>
      <c r="C2319" s="68" t="s">
        <v>127</v>
      </c>
      <c r="D2319" s="68" t="s">
        <v>2994</v>
      </c>
      <c r="E2319" s="120">
        <v>7.65</v>
      </c>
      <c r="F2319" s="151" t="s">
        <v>138</v>
      </c>
      <c r="G2319" s="151" t="s">
        <v>135</v>
      </c>
      <c r="H2319" s="68" t="s">
        <v>39</v>
      </c>
      <c r="I2319" s="168"/>
      <c r="J2319" s="74" t="str">
        <f t="shared" si="4"/>
        <v>[TIMES] Mechanical pulping, airless drying w/ CO2 capture</v>
      </c>
      <c r="K2319" s="168"/>
      <c r="L2319" s="163"/>
      <c r="M2319" s="169"/>
    </row>
    <row r="2320" spans="1:13" x14ac:dyDescent="0.55000000000000004">
      <c r="A2320" s="99" t="s">
        <v>406</v>
      </c>
      <c r="B2320" s="68" t="s">
        <v>160</v>
      </c>
      <c r="C2320" s="168" t="s">
        <v>247</v>
      </c>
      <c r="D2320" s="68" t="s">
        <v>3288</v>
      </c>
      <c r="E2320" s="119">
        <f>0.429165-E2321</f>
        <v>4.2916499999999969E-2</v>
      </c>
      <c r="F2320" s="151" t="s">
        <v>135</v>
      </c>
      <c r="G2320" s="151" t="s">
        <v>135</v>
      </c>
      <c r="H2320" s="68" t="s">
        <v>376</v>
      </c>
      <c r="I2320" s="168"/>
      <c r="J2320" s="74" t="str">
        <f t="shared" si="4"/>
        <v>[TIMES] Mechanical pulping, airless drying w/ CO2 capture</v>
      </c>
      <c r="K2320" s="168"/>
      <c r="L2320" s="163"/>
      <c r="M2320" s="169"/>
    </row>
    <row r="2321" spans="1:13" x14ac:dyDescent="0.55000000000000004">
      <c r="A2321" s="99" t="s">
        <v>406</v>
      </c>
      <c r="B2321" s="68" t="s">
        <v>160</v>
      </c>
      <c r="C2321" s="68" t="s">
        <v>156</v>
      </c>
      <c r="D2321" s="68" t="s">
        <v>3288</v>
      </c>
      <c r="E2321" s="119">
        <f>0.429165*0.9</f>
        <v>0.38624850000000005</v>
      </c>
      <c r="F2321" s="151" t="s">
        <v>135</v>
      </c>
      <c r="G2321" s="151" t="s">
        <v>135</v>
      </c>
      <c r="H2321" s="68" t="s">
        <v>376</v>
      </c>
      <c r="I2321" s="168"/>
      <c r="J2321" s="74" t="str">
        <f t="shared" si="4"/>
        <v>[TIMES] Mechanical pulping, airless drying w/ CO2 capture</v>
      </c>
      <c r="K2321" s="168"/>
      <c r="L2321" s="163"/>
      <c r="M2321" s="169"/>
    </row>
    <row r="2322" spans="1:13" x14ac:dyDescent="0.55000000000000004">
      <c r="A2322" s="98" t="s">
        <v>405</v>
      </c>
      <c r="B2322" s="68" t="s">
        <v>402</v>
      </c>
      <c r="C2322" s="68" t="s">
        <v>121</v>
      </c>
      <c r="D2322" s="68" t="s">
        <v>3288</v>
      </c>
      <c r="E2322" s="120">
        <v>1</v>
      </c>
      <c r="F2322" s="151" t="s">
        <v>135</v>
      </c>
      <c r="G2322" s="151">
        <v>1</v>
      </c>
      <c r="H2322" s="68" t="s">
        <v>39</v>
      </c>
      <c r="I2322" s="168"/>
      <c r="J2322" s="74" t="str">
        <f t="shared" si="4"/>
        <v>[TIMES] Paper mill, high quality</v>
      </c>
      <c r="K2322" s="168"/>
      <c r="L2322" s="163"/>
      <c r="M2322" s="169"/>
    </row>
    <row r="2323" spans="1:13" x14ac:dyDescent="0.55000000000000004">
      <c r="A2323" s="98" t="s">
        <v>405</v>
      </c>
      <c r="B2323" s="68" t="s">
        <v>393</v>
      </c>
      <c r="C2323" s="168" t="s">
        <v>207</v>
      </c>
      <c r="D2323" s="68" t="s">
        <v>3288</v>
      </c>
      <c r="E2323" s="120">
        <v>1</v>
      </c>
      <c r="F2323" s="151" t="s">
        <v>135</v>
      </c>
      <c r="G2323" s="151" t="s">
        <v>135</v>
      </c>
      <c r="H2323" s="68" t="s">
        <v>39</v>
      </c>
      <c r="I2323" s="168"/>
      <c r="J2323" s="74" t="str">
        <f t="shared" si="4"/>
        <v>[TIMES] Paper mill, high quality</v>
      </c>
      <c r="K2323" s="168"/>
      <c r="L2323" s="163"/>
      <c r="M2323" s="169"/>
    </row>
    <row r="2324" spans="1:13" x14ac:dyDescent="0.55000000000000004">
      <c r="A2324" s="98" t="s">
        <v>405</v>
      </c>
      <c r="B2324" s="68" t="s">
        <v>153</v>
      </c>
      <c r="C2324" s="68" t="s">
        <v>127</v>
      </c>
      <c r="D2324" s="68" t="s">
        <v>2994</v>
      </c>
      <c r="E2324" s="120">
        <v>2.5</v>
      </c>
      <c r="F2324" s="151" t="s">
        <v>138</v>
      </c>
      <c r="G2324" s="151" t="s">
        <v>135</v>
      </c>
      <c r="H2324" s="68" t="s">
        <v>39</v>
      </c>
      <c r="I2324" s="168"/>
      <c r="J2324" s="74" t="str">
        <f t="shared" si="4"/>
        <v>[TIMES] Paper mill, high quality</v>
      </c>
      <c r="K2324" s="168"/>
      <c r="L2324" s="163"/>
      <c r="M2324" s="169"/>
    </row>
    <row r="2325" spans="1:13" x14ac:dyDescent="0.55000000000000004">
      <c r="A2325" s="98" t="s">
        <v>405</v>
      </c>
      <c r="B2325" s="68" t="s">
        <v>208</v>
      </c>
      <c r="C2325" s="68" t="s">
        <v>127</v>
      </c>
      <c r="D2325" s="68" t="s">
        <v>2994</v>
      </c>
      <c r="E2325" s="120">
        <v>8.5</v>
      </c>
      <c r="F2325" s="151" t="s">
        <v>138</v>
      </c>
      <c r="G2325" s="151" t="s">
        <v>135</v>
      </c>
      <c r="H2325" s="68" t="s">
        <v>39</v>
      </c>
      <c r="I2325" s="168"/>
      <c r="J2325" s="74" t="str">
        <f t="shared" si="4"/>
        <v>[TIMES] Paper mill, high quality</v>
      </c>
      <c r="K2325" s="168"/>
      <c r="L2325" s="163"/>
      <c r="M2325" s="169"/>
    </row>
    <row r="2326" spans="1:13" x14ac:dyDescent="0.55000000000000004">
      <c r="A2326" s="98" t="s">
        <v>405</v>
      </c>
      <c r="B2326" s="68" t="s">
        <v>160</v>
      </c>
      <c r="C2326" s="168" t="s">
        <v>247</v>
      </c>
      <c r="D2326" s="68" t="s">
        <v>3288</v>
      </c>
      <c r="E2326" s="119">
        <v>0.442</v>
      </c>
      <c r="F2326" s="151" t="s">
        <v>135</v>
      </c>
      <c r="G2326" s="151" t="s">
        <v>135</v>
      </c>
      <c r="H2326" s="68" t="s">
        <v>373</v>
      </c>
      <c r="I2326" s="168"/>
      <c r="J2326" s="74" t="str">
        <f t="shared" si="4"/>
        <v>[TIMES] Paper mill, high quality</v>
      </c>
      <c r="K2326" s="168"/>
      <c r="L2326" s="163"/>
      <c r="M2326" s="169"/>
    </row>
    <row r="2327" spans="1:13" x14ac:dyDescent="0.55000000000000004">
      <c r="A2327" s="98" t="s">
        <v>404</v>
      </c>
      <c r="B2327" s="68" t="s">
        <v>402</v>
      </c>
      <c r="C2327" s="68" t="s">
        <v>121</v>
      </c>
      <c r="D2327" s="68" t="s">
        <v>3288</v>
      </c>
      <c r="E2327" s="120">
        <v>1</v>
      </c>
      <c r="F2327" s="151" t="s">
        <v>135</v>
      </c>
      <c r="G2327" s="151">
        <v>1</v>
      </c>
      <c r="H2327" s="68" t="s">
        <v>39</v>
      </c>
      <c r="I2327" s="168"/>
      <c r="J2327" s="74" t="str">
        <f t="shared" si="4"/>
        <v>[TIMES] Paper mill, high quality + advanced drives</v>
      </c>
      <c r="K2327" s="168"/>
      <c r="L2327" s="163"/>
      <c r="M2327" s="169"/>
    </row>
    <row r="2328" spans="1:13" x14ac:dyDescent="0.55000000000000004">
      <c r="A2328" s="98" t="s">
        <v>404</v>
      </c>
      <c r="B2328" s="68" t="s">
        <v>393</v>
      </c>
      <c r="C2328" s="68" t="s">
        <v>207</v>
      </c>
      <c r="D2328" s="68" t="s">
        <v>3288</v>
      </c>
      <c r="E2328" s="120">
        <v>1</v>
      </c>
      <c r="F2328" s="151" t="s">
        <v>135</v>
      </c>
      <c r="G2328" s="151" t="s">
        <v>135</v>
      </c>
      <c r="H2328" s="68" t="s">
        <v>39</v>
      </c>
      <c r="I2328" s="168"/>
      <c r="J2328" s="74" t="str">
        <f t="shared" si="4"/>
        <v>[TIMES] Paper mill, high quality + advanced drives</v>
      </c>
      <c r="K2328" s="168"/>
      <c r="L2328" s="163"/>
      <c r="M2328" s="169"/>
    </row>
    <row r="2329" spans="1:13" x14ac:dyDescent="0.55000000000000004">
      <c r="A2329" s="98" t="s">
        <v>404</v>
      </c>
      <c r="B2329" s="168" t="s">
        <v>171</v>
      </c>
      <c r="C2329" s="68" t="s">
        <v>127</v>
      </c>
      <c r="D2329" s="68" t="s">
        <v>2994</v>
      </c>
      <c r="E2329" s="120">
        <v>1</v>
      </c>
      <c r="F2329" s="151" t="s">
        <v>138</v>
      </c>
      <c r="G2329" s="151" t="s">
        <v>135</v>
      </c>
      <c r="H2329" s="68" t="s">
        <v>39</v>
      </c>
      <c r="I2329" s="168"/>
      <c r="J2329" s="74" t="str">
        <f t="shared" si="4"/>
        <v>[TIMES] Paper mill, high quality + advanced drives</v>
      </c>
      <c r="K2329" s="168"/>
      <c r="L2329" s="163"/>
      <c r="M2329" s="169"/>
    </row>
    <row r="2330" spans="1:13" x14ac:dyDescent="0.55000000000000004">
      <c r="A2330" s="98" t="s">
        <v>404</v>
      </c>
      <c r="B2330" s="168" t="s">
        <v>153</v>
      </c>
      <c r="C2330" s="68" t="s">
        <v>127</v>
      </c>
      <c r="D2330" s="68" t="s">
        <v>2994</v>
      </c>
      <c r="E2330" s="120">
        <v>3.6</v>
      </c>
      <c r="F2330" s="151" t="s">
        <v>138</v>
      </c>
      <c r="G2330" s="151" t="s">
        <v>135</v>
      </c>
      <c r="H2330" s="68" t="s">
        <v>39</v>
      </c>
      <c r="I2330" s="168"/>
      <c r="J2330" s="74" t="str">
        <f t="shared" si="4"/>
        <v>[TIMES] Paper mill, high quality + advanced drives</v>
      </c>
      <c r="K2330" s="168"/>
      <c r="L2330" s="163"/>
      <c r="M2330" s="169"/>
    </row>
    <row r="2331" spans="1:13" x14ac:dyDescent="0.55000000000000004">
      <c r="A2331" s="98" t="s">
        <v>404</v>
      </c>
      <c r="B2331" s="68" t="s">
        <v>208</v>
      </c>
      <c r="C2331" s="68" t="s">
        <v>127</v>
      </c>
      <c r="D2331" s="68" t="s">
        <v>2994</v>
      </c>
      <c r="E2331" s="120">
        <v>5.8</v>
      </c>
      <c r="F2331" s="151" t="s">
        <v>138</v>
      </c>
      <c r="G2331" s="151" t="s">
        <v>135</v>
      </c>
      <c r="H2331" s="68" t="s">
        <v>39</v>
      </c>
      <c r="I2331" s="168"/>
      <c r="J2331" s="74" t="str">
        <f t="shared" si="4"/>
        <v>[TIMES] Paper mill, high quality + advanced drives</v>
      </c>
      <c r="K2331" s="168"/>
      <c r="L2331" s="163"/>
      <c r="M2331" s="169"/>
    </row>
    <row r="2332" spans="1:13" x14ac:dyDescent="0.55000000000000004">
      <c r="A2332" s="98" t="s">
        <v>404</v>
      </c>
      <c r="B2332" s="68" t="s">
        <v>160</v>
      </c>
      <c r="C2332" s="168" t="s">
        <v>247</v>
      </c>
      <c r="D2332" s="68" t="s">
        <v>3288</v>
      </c>
      <c r="E2332" s="119">
        <v>0.35770000000000002</v>
      </c>
      <c r="F2332" s="151" t="s">
        <v>135</v>
      </c>
      <c r="G2332" s="151" t="s">
        <v>135</v>
      </c>
      <c r="H2332" s="68" t="s">
        <v>376</v>
      </c>
      <c r="I2332" s="168" t="s">
        <v>388</v>
      </c>
      <c r="J2332" s="74" t="str">
        <f t="shared" si="4"/>
        <v>[TIMES] Paper mill, high quality + advanced drives</v>
      </c>
      <c r="K2332" s="168"/>
      <c r="L2332" s="163"/>
      <c r="M2332" s="169"/>
    </row>
    <row r="2333" spans="1:13" x14ac:dyDescent="0.55000000000000004">
      <c r="A2333" s="99" t="s">
        <v>401</v>
      </c>
      <c r="B2333" s="68" t="s">
        <v>402</v>
      </c>
      <c r="C2333" s="68" t="s">
        <v>121</v>
      </c>
      <c r="D2333" s="68" t="s">
        <v>3288</v>
      </c>
      <c r="E2333" s="120">
        <v>1</v>
      </c>
      <c r="F2333" s="151" t="s">
        <v>135</v>
      </c>
      <c r="G2333" s="151">
        <v>1</v>
      </c>
      <c r="H2333" s="68" t="s">
        <v>39</v>
      </c>
      <c r="I2333" s="168"/>
      <c r="J2333" s="74" t="str">
        <f t="shared" si="4"/>
        <v>[TIMES] Paper mill, high quality + advanced drives w/ CO2 capture</v>
      </c>
      <c r="K2333" s="168"/>
      <c r="L2333" s="163"/>
      <c r="M2333" s="169"/>
    </row>
    <row r="2334" spans="1:13" x14ac:dyDescent="0.55000000000000004">
      <c r="A2334" s="98" t="s">
        <v>401</v>
      </c>
      <c r="B2334" s="68" t="s">
        <v>393</v>
      </c>
      <c r="C2334" s="68" t="s">
        <v>207</v>
      </c>
      <c r="D2334" s="68" t="s">
        <v>3288</v>
      </c>
      <c r="E2334" s="120">
        <v>1</v>
      </c>
      <c r="F2334" s="151" t="s">
        <v>135</v>
      </c>
      <c r="G2334" s="151" t="s">
        <v>135</v>
      </c>
      <c r="H2334" s="68" t="s">
        <v>39</v>
      </c>
      <c r="I2334" s="168"/>
      <c r="J2334" s="74" t="str">
        <f t="shared" si="4"/>
        <v>[TIMES] Paper mill, high quality + advanced drives w/ CO2 capture</v>
      </c>
      <c r="K2334" s="168"/>
      <c r="L2334" s="163"/>
      <c r="M2334" s="169"/>
    </row>
    <row r="2335" spans="1:13" x14ac:dyDescent="0.55000000000000004">
      <c r="A2335" s="98" t="s">
        <v>401</v>
      </c>
      <c r="B2335" s="168" t="s">
        <v>171</v>
      </c>
      <c r="C2335" s="68" t="s">
        <v>127</v>
      </c>
      <c r="D2335" s="68" t="s">
        <v>2994</v>
      </c>
      <c r="E2335" s="120">
        <f>E2342</f>
        <v>0.19</v>
      </c>
      <c r="F2335" s="151" t="s">
        <v>138</v>
      </c>
      <c r="G2335" s="151" t="s">
        <v>135</v>
      </c>
      <c r="H2335" s="68" t="s">
        <v>39</v>
      </c>
      <c r="I2335" s="168"/>
      <c r="J2335" s="74" t="str">
        <f t="shared" si="4"/>
        <v>[TIMES] Paper mill, high quality + advanced drives w/ CO2 capture</v>
      </c>
      <c r="K2335" s="168"/>
      <c r="L2335" s="163"/>
      <c r="M2335" s="169"/>
    </row>
    <row r="2336" spans="1:13" x14ac:dyDescent="0.55000000000000004">
      <c r="A2336" s="98" t="s">
        <v>401</v>
      </c>
      <c r="B2336" s="168" t="s">
        <v>153</v>
      </c>
      <c r="C2336" s="68" t="s">
        <v>127</v>
      </c>
      <c r="D2336" s="68" t="s">
        <v>2994</v>
      </c>
      <c r="E2336" s="120">
        <f>E2343*1.065</f>
        <v>3.1949999999999999E-2</v>
      </c>
      <c r="F2336" s="151" t="s">
        <v>138</v>
      </c>
      <c r="G2336" s="151" t="s">
        <v>135</v>
      </c>
      <c r="H2336" s="68" t="s">
        <v>39</v>
      </c>
      <c r="I2336" s="168"/>
      <c r="J2336" s="74" t="str">
        <f t="shared" si="4"/>
        <v>[TIMES] Paper mill, high quality + advanced drives w/ CO2 capture</v>
      </c>
      <c r="K2336" s="168"/>
      <c r="L2336" s="163"/>
      <c r="M2336" s="169"/>
    </row>
    <row r="2337" spans="1:13" x14ac:dyDescent="0.55000000000000004">
      <c r="A2337" s="98" t="s">
        <v>401</v>
      </c>
      <c r="B2337" s="68" t="s">
        <v>208</v>
      </c>
      <c r="C2337" s="68" t="s">
        <v>127</v>
      </c>
      <c r="D2337" s="68" t="s">
        <v>2994</v>
      </c>
      <c r="E2337" s="120">
        <f>E2344</f>
        <v>7.0000000000000007E-2</v>
      </c>
      <c r="F2337" s="151" t="s">
        <v>138</v>
      </c>
      <c r="G2337" s="151" t="s">
        <v>135</v>
      </c>
      <c r="H2337" s="68" t="s">
        <v>39</v>
      </c>
      <c r="I2337" s="168"/>
      <c r="J2337" s="74" t="str">
        <f t="shared" si="4"/>
        <v>[TIMES] Paper mill, high quality + advanced drives w/ CO2 capture</v>
      </c>
      <c r="K2337" s="168"/>
      <c r="L2337" s="163"/>
      <c r="M2337" s="169"/>
    </row>
    <row r="2338" spans="1:13" x14ac:dyDescent="0.55000000000000004">
      <c r="A2338" s="98" t="s">
        <v>401</v>
      </c>
      <c r="B2338" s="68" t="s">
        <v>160</v>
      </c>
      <c r="C2338" s="168" t="s">
        <v>247</v>
      </c>
      <c r="D2338" s="68" t="s">
        <v>3288</v>
      </c>
      <c r="E2338" s="120">
        <f>0.3577-E2339</f>
        <v>3.5769999999999968E-2</v>
      </c>
      <c r="F2338" s="151" t="s">
        <v>135</v>
      </c>
      <c r="G2338" s="151" t="s">
        <v>135</v>
      </c>
      <c r="H2338" s="68" t="s">
        <v>376</v>
      </c>
      <c r="I2338" s="168" t="s">
        <v>388</v>
      </c>
      <c r="J2338" s="74" t="str">
        <f t="shared" si="4"/>
        <v>[TIMES] Paper mill, high quality + advanced drives w/ CO2 capture</v>
      </c>
      <c r="K2338" s="168"/>
      <c r="L2338" s="163"/>
      <c r="M2338" s="169"/>
    </row>
    <row r="2339" spans="1:13" x14ac:dyDescent="0.55000000000000004">
      <c r="A2339" s="98" t="s">
        <v>401</v>
      </c>
      <c r="B2339" s="68" t="s">
        <v>160</v>
      </c>
      <c r="C2339" s="68" t="s">
        <v>156</v>
      </c>
      <c r="D2339" s="68" t="s">
        <v>3288</v>
      </c>
      <c r="E2339" s="119">
        <f>0.3577*0.9</f>
        <v>0.32193000000000005</v>
      </c>
      <c r="F2339" s="151" t="s">
        <v>135</v>
      </c>
      <c r="G2339" s="151" t="s">
        <v>135</v>
      </c>
      <c r="H2339" s="68" t="s">
        <v>376</v>
      </c>
      <c r="I2339" s="168" t="s">
        <v>403</v>
      </c>
      <c r="J2339" s="74" t="str">
        <f t="shared" si="4"/>
        <v>[TIMES] Paper mill, high quality + advanced drives w/ CO2 capture</v>
      </c>
      <c r="K2339" s="168"/>
      <c r="L2339" s="163"/>
      <c r="M2339" s="169"/>
    </row>
    <row r="2340" spans="1:13" x14ac:dyDescent="0.55000000000000004">
      <c r="A2340" s="98" t="s">
        <v>399</v>
      </c>
      <c r="B2340" s="68" t="s">
        <v>392</v>
      </c>
      <c r="C2340" s="68" t="s">
        <v>121</v>
      </c>
      <c r="D2340" s="68" t="s">
        <v>3288</v>
      </c>
      <c r="E2340" s="120">
        <v>1</v>
      </c>
      <c r="F2340" s="151" t="s">
        <v>135</v>
      </c>
      <c r="G2340" s="151">
        <v>1</v>
      </c>
      <c r="H2340" s="68" t="s">
        <v>39</v>
      </c>
      <c r="I2340" s="168"/>
      <c r="J2340" s="74" t="str">
        <f t="shared" si="4"/>
        <v>[TIMES] Paper mill, low quality</v>
      </c>
      <c r="K2340" s="168"/>
      <c r="L2340" s="163"/>
      <c r="M2340" s="169"/>
    </row>
    <row r="2341" spans="1:13" x14ac:dyDescent="0.55000000000000004">
      <c r="A2341" s="98" t="s">
        <v>399</v>
      </c>
      <c r="B2341" s="68" t="s">
        <v>393</v>
      </c>
      <c r="C2341" s="68" t="s">
        <v>207</v>
      </c>
      <c r="D2341" s="68" t="s">
        <v>3288</v>
      </c>
      <c r="E2341" s="120">
        <v>0.67</v>
      </c>
      <c r="F2341" s="151" t="s">
        <v>135</v>
      </c>
      <c r="G2341" s="151" t="s">
        <v>135</v>
      </c>
      <c r="H2341" s="68" t="s">
        <v>39</v>
      </c>
      <c r="I2341" s="168"/>
      <c r="J2341" s="74" t="str">
        <f t="shared" si="4"/>
        <v>[TIMES] Paper mill, low quality</v>
      </c>
      <c r="K2341" s="168"/>
      <c r="L2341" s="163"/>
      <c r="M2341" s="169"/>
    </row>
    <row r="2342" spans="1:13" x14ac:dyDescent="0.55000000000000004">
      <c r="A2342" s="98" t="s">
        <v>399</v>
      </c>
      <c r="B2342" s="68" t="s">
        <v>394</v>
      </c>
      <c r="C2342" s="168" t="s">
        <v>132</v>
      </c>
      <c r="D2342" s="68" t="s">
        <v>3288</v>
      </c>
      <c r="E2342" s="120">
        <v>0.19</v>
      </c>
      <c r="F2342" s="151" t="s">
        <v>135</v>
      </c>
      <c r="G2342" s="151" t="s">
        <v>135</v>
      </c>
      <c r="H2342" s="68" t="s">
        <v>39</v>
      </c>
      <c r="I2342" s="168"/>
      <c r="J2342" s="74" t="str">
        <f t="shared" si="4"/>
        <v>[TIMES] Paper mill, low quality</v>
      </c>
      <c r="K2342" s="168"/>
      <c r="L2342" s="163"/>
      <c r="M2342" s="169"/>
    </row>
    <row r="2343" spans="1:13" x14ac:dyDescent="0.55000000000000004">
      <c r="A2343" s="98" t="s">
        <v>399</v>
      </c>
      <c r="B2343" s="68" t="s">
        <v>395</v>
      </c>
      <c r="C2343" s="168" t="s">
        <v>132</v>
      </c>
      <c r="D2343" s="68" t="s">
        <v>3288</v>
      </c>
      <c r="E2343" s="120">
        <v>0.03</v>
      </c>
      <c r="F2343" s="151" t="s">
        <v>135</v>
      </c>
      <c r="G2343" s="151" t="s">
        <v>135</v>
      </c>
      <c r="H2343" s="68" t="s">
        <v>39</v>
      </c>
      <c r="I2343" s="168"/>
      <c r="J2343" s="74" t="str">
        <f t="shared" si="4"/>
        <v>[TIMES] Paper mill, low quality</v>
      </c>
      <c r="K2343" s="168"/>
      <c r="L2343" s="163"/>
      <c r="M2343" s="169"/>
    </row>
    <row r="2344" spans="1:13" x14ac:dyDescent="0.55000000000000004">
      <c r="A2344" s="98" t="s">
        <v>399</v>
      </c>
      <c r="B2344" s="68" t="s">
        <v>206</v>
      </c>
      <c r="C2344" s="168" t="s">
        <v>207</v>
      </c>
      <c r="D2344" s="68" t="s">
        <v>3288</v>
      </c>
      <c r="E2344" s="120">
        <v>7.0000000000000007E-2</v>
      </c>
      <c r="F2344" s="151" t="s">
        <v>135</v>
      </c>
      <c r="G2344" s="151" t="s">
        <v>135</v>
      </c>
      <c r="H2344" s="68" t="s">
        <v>39</v>
      </c>
      <c r="I2344" s="168"/>
      <c r="J2344" s="74" t="str">
        <f t="shared" si="4"/>
        <v>[TIMES] Paper mill, low quality</v>
      </c>
      <c r="K2344" s="168"/>
      <c r="L2344" s="163"/>
      <c r="M2344" s="169"/>
    </row>
    <row r="2345" spans="1:13" x14ac:dyDescent="0.55000000000000004">
      <c r="A2345" s="98" t="s">
        <v>399</v>
      </c>
      <c r="B2345" s="68" t="s">
        <v>171</v>
      </c>
      <c r="C2345" s="68" t="s">
        <v>127</v>
      </c>
      <c r="D2345" s="68" t="s">
        <v>2994</v>
      </c>
      <c r="E2345" s="120">
        <v>7.0000000000000007E-2</v>
      </c>
      <c r="F2345" s="151" t="s">
        <v>138</v>
      </c>
      <c r="G2345" s="151" t="s">
        <v>135</v>
      </c>
      <c r="H2345" s="68" t="s">
        <v>39</v>
      </c>
      <c r="I2345" s="168"/>
      <c r="J2345" s="74" t="str">
        <f t="shared" si="4"/>
        <v>[TIMES] Paper mill, low quality</v>
      </c>
      <c r="K2345" s="168"/>
      <c r="L2345" s="163"/>
      <c r="M2345" s="169"/>
    </row>
    <row r="2346" spans="1:13" x14ac:dyDescent="0.55000000000000004">
      <c r="A2346" s="98" t="s">
        <v>399</v>
      </c>
      <c r="B2346" s="68" t="s">
        <v>153</v>
      </c>
      <c r="C2346" s="68" t="s">
        <v>127</v>
      </c>
      <c r="D2346" s="68" t="s">
        <v>2994</v>
      </c>
      <c r="E2346" s="120">
        <v>2.2400000000000002</v>
      </c>
      <c r="F2346" s="151" t="s">
        <v>138</v>
      </c>
      <c r="G2346" s="151" t="s">
        <v>135</v>
      </c>
      <c r="H2346" s="68" t="s">
        <v>39</v>
      </c>
      <c r="I2346" s="168" t="s">
        <v>400</v>
      </c>
      <c r="J2346" s="74" t="str">
        <f t="shared" si="4"/>
        <v>[TIMES] Paper mill, low quality</v>
      </c>
      <c r="K2346" s="168"/>
      <c r="L2346" s="163"/>
      <c r="M2346" s="169"/>
    </row>
    <row r="2347" spans="1:13" x14ac:dyDescent="0.55000000000000004">
      <c r="A2347" s="98" t="s">
        <v>399</v>
      </c>
      <c r="B2347" s="68" t="s">
        <v>208</v>
      </c>
      <c r="C2347" s="68" t="s">
        <v>127</v>
      </c>
      <c r="D2347" s="68" t="s">
        <v>2994</v>
      </c>
      <c r="E2347" s="120">
        <v>7.4</v>
      </c>
      <c r="F2347" s="151" t="s">
        <v>138</v>
      </c>
      <c r="G2347" s="151" t="s">
        <v>135</v>
      </c>
      <c r="H2347" s="68" t="s">
        <v>39</v>
      </c>
      <c r="I2347" s="168"/>
      <c r="J2347" s="74" t="str">
        <f t="shared" si="4"/>
        <v>[TIMES] Paper mill, low quality</v>
      </c>
      <c r="K2347" s="168"/>
      <c r="L2347" s="163"/>
      <c r="M2347" s="169"/>
    </row>
    <row r="2348" spans="1:13" x14ac:dyDescent="0.55000000000000004">
      <c r="A2348" s="98" t="s">
        <v>399</v>
      </c>
      <c r="B2348" s="68" t="s">
        <v>160</v>
      </c>
      <c r="C2348" s="168" t="s">
        <v>247</v>
      </c>
      <c r="D2348" s="68" t="s">
        <v>3288</v>
      </c>
      <c r="E2348" s="119">
        <v>0.38872699999999999</v>
      </c>
      <c r="F2348" s="151" t="s">
        <v>135</v>
      </c>
      <c r="G2348" s="151" t="s">
        <v>135</v>
      </c>
      <c r="H2348" s="68" t="s">
        <v>376</v>
      </c>
      <c r="I2348" s="168" t="s">
        <v>388</v>
      </c>
      <c r="J2348" s="74" t="str">
        <f t="shared" si="4"/>
        <v>[TIMES] Paper mill, low quality</v>
      </c>
      <c r="K2348" s="168"/>
      <c r="L2348" s="163"/>
      <c r="M2348" s="169"/>
    </row>
    <row r="2349" spans="1:13" x14ac:dyDescent="0.55000000000000004">
      <c r="A2349" s="100" t="s">
        <v>398</v>
      </c>
      <c r="B2349" s="68" t="s">
        <v>392</v>
      </c>
      <c r="C2349" s="21" t="s">
        <v>121</v>
      </c>
      <c r="D2349" s="21" t="s">
        <v>3288</v>
      </c>
      <c r="E2349" s="117">
        <v>1</v>
      </c>
      <c r="F2349" s="151" t="s">
        <v>135</v>
      </c>
      <c r="G2349" s="151">
        <v>1</v>
      </c>
      <c r="H2349" s="68" t="s">
        <v>39</v>
      </c>
      <c r="I2349" s="168"/>
      <c r="J2349" s="74" t="str">
        <f t="shared" si="4"/>
        <v>[TIMES] Paper mill, low quality + advanced drives</v>
      </c>
      <c r="K2349" s="168"/>
      <c r="L2349" s="166"/>
      <c r="M2349" s="169"/>
    </row>
    <row r="2350" spans="1:13" x14ac:dyDescent="0.55000000000000004">
      <c r="A2350" s="100" t="s">
        <v>398</v>
      </c>
      <c r="B2350" s="21" t="s">
        <v>393</v>
      </c>
      <c r="C2350" s="21" t="s">
        <v>207</v>
      </c>
      <c r="D2350" s="21" t="s">
        <v>3288</v>
      </c>
      <c r="E2350" s="117">
        <v>0.68</v>
      </c>
      <c r="F2350" s="151" t="s">
        <v>135</v>
      </c>
      <c r="G2350" s="151" t="s">
        <v>135</v>
      </c>
      <c r="H2350" s="68" t="s">
        <v>39</v>
      </c>
      <c r="I2350" s="168"/>
      <c r="J2350" s="74" t="str">
        <f t="shared" si="4"/>
        <v>[TIMES] Paper mill, low quality + advanced drives</v>
      </c>
      <c r="K2350" s="168"/>
      <c r="L2350" s="166"/>
      <c r="M2350" s="169"/>
    </row>
    <row r="2351" spans="1:13" x14ac:dyDescent="0.55000000000000004">
      <c r="A2351" s="100" t="s">
        <v>398</v>
      </c>
      <c r="B2351" s="21" t="s">
        <v>394</v>
      </c>
      <c r="C2351" s="21" t="s">
        <v>132</v>
      </c>
      <c r="D2351" s="21" t="s">
        <v>3288</v>
      </c>
      <c r="E2351" s="117">
        <v>0.22</v>
      </c>
      <c r="F2351" s="151" t="s">
        <v>135</v>
      </c>
      <c r="G2351" s="151" t="s">
        <v>135</v>
      </c>
      <c r="H2351" s="68" t="s">
        <v>39</v>
      </c>
      <c r="I2351" s="168"/>
      <c r="J2351" s="74" t="str">
        <f t="shared" si="4"/>
        <v>[TIMES] Paper mill, low quality + advanced drives</v>
      </c>
      <c r="K2351" s="168"/>
      <c r="L2351" s="166"/>
      <c r="M2351" s="169"/>
    </row>
    <row r="2352" spans="1:13" x14ac:dyDescent="0.55000000000000004">
      <c r="A2352" s="100" t="s">
        <v>398</v>
      </c>
      <c r="B2352" s="21" t="s">
        <v>395</v>
      </c>
      <c r="C2352" s="21" t="s">
        <v>125</v>
      </c>
      <c r="D2352" s="21" t="s">
        <v>3288</v>
      </c>
      <c r="E2352" s="117">
        <v>0.05</v>
      </c>
      <c r="F2352" s="151" t="s">
        <v>135</v>
      </c>
      <c r="G2352" s="151" t="s">
        <v>135</v>
      </c>
      <c r="H2352" s="68" t="s">
        <v>39</v>
      </c>
      <c r="I2352" s="168"/>
      <c r="J2352" s="74" t="str">
        <f t="shared" si="4"/>
        <v>[TIMES] Paper mill, low quality + advanced drives</v>
      </c>
      <c r="K2352" s="168"/>
      <c r="L2352" s="166"/>
      <c r="M2352" s="169"/>
    </row>
    <row r="2353" spans="1:13" x14ac:dyDescent="0.55000000000000004">
      <c r="A2353" s="100" t="s">
        <v>398</v>
      </c>
      <c r="B2353" s="21" t="s">
        <v>206</v>
      </c>
      <c r="C2353" s="21" t="s">
        <v>207</v>
      </c>
      <c r="D2353" s="21" t="s">
        <v>3288</v>
      </c>
      <c r="E2353" s="117">
        <v>0.09</v>
      </c>
      <c r="F2353" s="151" t="s">
        <v>135</v>
      </c>
      <c r="G2353" s="151" t="s">
        <v>135</v>
      </c>
      <c r="H2353" s="68" t="s">
        <v>39</v>
      </c>
      <c r="I2353" s="168"/>
      <c r="J2353" s="74" t="str">
        <f t="shared" si="4"/>
        <v>[TIMES] Paper mill, low quality + advanced drives</v>
      </c>
      <c r="K2353" s="168"/>
      <c r="L2353" s="166"/>
      <c r="M2353" s="169"/>
    </row>
    <row r="2354" spans="1:13" x14ac:dyDescent="0.55000000000000004">
      <c r="A2354" s="100" t="s">
        <v>398</v>
      </c>
      <c r="B2354" s="21" t="s">
        <v>171</v>
      </c>
      <c r="C2354" s="21" t="s">
        <v>127</v>
      </c>
      <c r="D2354" s="21" t="s">
        <v>2994</v>
      </c>
      <c r="E2354" s="117">
        <v>3.5</v>
      </c>
      <c r="F2354" s="151" t="s">
        <v>138</v>
      </c>
      <c r="G2354" s="151" t="s">
        <v>135</v>
      </c>
      <c r="H2354" s="68" t="s">
        <v>39</v>
      </c>
      <c r="I2354" s="168"/>
      <c r="J2354" s="74" t="str">
        <f t="shared" si="4"/>
        <v>[TIMES] Paper mill, low quality + advanced drives</v>
      </c>
      <c r="K2354" s="168"/>
      <c r="L2354" s="166"/>
      <c r="M2354" s="169"/>
    </row>
    <row r="2355" spans="1:13" x14ac:dyDescent="0.55000000000000004">
      <c r="A2355" s="100" t="s">
        <v>398</v>
      </c>
      <c r="B2355" s="21" t="s">
        <v>153</v>
      </c>
      <c r="C2355" s="21" t="s">
        <v>127</v>
      </c>
      <c r="D2355" s="21" t="s">
        <v>2994</v>
      </c>
      <c r="E2355" s="117">
        <v>6.74</v>
      </c>
      <c r="F2355" s="151" t="s">
        <v>138</v>
      </c>
      <c r="G2355" s="151" t="s">
        <v>135</v>
      </c>
      <c r="H2355" s="68" t="s">
        <v>39</v>
      </c>
      <c r="I2355" s="168"/>
      <c r="J2355" s="74" t="str">
        <f t="shared" si="4"/>
        <v>[TIMES] Paper mill, low quality + advanced drives</v>
      </c>
      <c r="K2355" s="168"/>
      <c r="L2355" s="166"/>
      <c r="M2355" s="169"/>
    </row>
    <row r="2356" spans="1:13" x14ac:dyDescent="0.55000000000000004">
      <c r="A2356" s="100" t="s">
        <v>398</v>
      </c>
      <c r="B2356" s="21" t="s">
        <v>208</v>
      </c>
      <c r="C2356" s="21" t="s">
        <v>127</v>
      </c>
      <c r="D2356" s="21" t="s">
        <v>2994</v>
      </c>
      <c r="E2356" s="117">
        <v>8</v>
      </c>
      <c r="F2356" s="151" t="s">
        <v>138</v>
      </c>
      <c r="G2356" s="151" t="s">
        <v>135</v>
      </c>
      <c r="H2356" s="68" t="s">
        <v>39</v>
      </c>
      <c r="I2356" s="168"/>
      <c r="J2356" s="74" t="str">
        <f t="shared" si="4"/>
        <v>[TIMES] Paper mill, low quality + advanced drives</v>
      </c>
      <c r="K2356" s="168"/>
      <c r="L2356" s="166"/>
      <c r="M2356" s="169"/>
    </row>
    <row r="2357" spans="1:13" x14ac:dyDescent="0.55000000000000004">
      <c r="A2357" s="100" t="s">
        <v>398</v>
      </c>
      <c r="B2357" s="68" t="s">
        <v>160</v>
      </c>
      <c r="C2357" s="168" t="s">
        <v>247</v>
      </c>
      <c r="D2357" s="68" t="s">
        <v>3288</v>
      </c>
      <c r="E2357" s="119">
        <v>0.61234999999999995</v>
      </c>
      <c r="F2357" s="151" t="s">
        <v>135</v>
      </c>
      <c r="G2357" s="151" t="s">
        <v>135</v>
      </c>
      <c r="H2357" s="68" t="s">
        <v>376</v>
      </c>
      <c r="I2357" s="168" t="s">
        <v>388</v>
      </c>
      <c r="J2357" s="74" t="str">
        <f t="shared" si="4"/>
        <v>[TIMES] Paper mill, low quality + advanced drives</v>
      </c>
      <c r="K2357" s="168"/>
      <c r="L2357" s="163"/>
      <c r="M2357" s="169"/>
    </row>
    <row r="2358" spans="1:13" x14ac:dyDescent="0.55000000000000004">
      <c r="A2358" s="100" t="s">
        <v>391</v>
      </c>
      <c r="B2358" s="68" t="s">
        <v>392</v>
      </c>
      <c r="C2358" s="21" t="s">
        <v>121</v>
      </c>
      <c r="D2358" s="21" t="s">
        <v>3288</v>
      </c>
      <c r="E2358" s="117">
        <v>1</v>
      </c>
      <c r="F2358" s="151" t="s">
        <v>135</v>
      </c>
      <c r="G2358" s="151">
        <v>1</v>
      </c>
      <c r="H2358" s="168" t="s">
        <v>39</v>
      </c>
      <c r="I2358" s="168"/>
      <c r="J2358" s="74" t="str">
        <f t="shared" ref="J2358:J2367" si="5">A2358</f>
        <v>[TIMES] Paper mill, low quality + advanced drives w/ CO2 capture</v>
      </c>
      <c r="K2358" s="168"/>
      <c r="L2358" s="166"/>
      <c r="M2358" s="169"/>
    </row>
    <row r="2359" spans="1:13" x14ac:dyDescent="0.55000000000000004">
      <c r="A2359" s="100" t="s">
        <v>391</v>
      </c>
      <c r="B2359" s="21" t="s">
        <v>393</v>
      </c>
      <c r="C2359" s="21" t="s">
        <v>207</v>
      </c>
      <c r="D2359" s="21" t="s">
        <v>3288</v>
      </c>
      <c r="E2359" s="117">
        <v>0.68</v>
      </c>
      <c r="F2359" s="151" t="s">
        <v>135</v>
      </c>
      <c r="G2359" s="151" t="s">
        <v>135</v>
      </c>
      <c r="H2359" s="168" t="s">
        <v>39</v>
      </c>
      <c r="I2359" s="168"/>
      <c r="J2359" s="74" t="str">
        <f t="shared" si="5"/>
        <v>[TIMES] Paper mill, low quality + advanced drives w/ CO2 capture</v>
      </c>
      <c r="K2359" s="168"/>
      <c r="L2359" s="166"/>
      <c r="M2359" s="169"/>
    </row>
    <row r="2360" spans="1:13" x14ac:dyDescent="0.55000000000000004">
      <c r="A2360" s="100" t="s">
        <v>391</v>
      </c>
      <c r="B2360" s="21" t="s">
        <v>394</v>
      </c>
      <c r="C2360" s="21" t="s">
        <v>132</v>
      </c>
      <c r="D2360" s="21" t="s">
        <v>3288</v>
      </c>
      <c r="E2360" s="117">
        <v>0.22</v>
      </c>
      <c r="F2360" s="151" t="s">
        <v>135</v>
      </c>
      <c r="G2360" s="151" t="s">
        <v>135</v>
      </c>
      <c r="H2360" s="168" t="s">
        <v>39</v>
      </c>
      <c r="I2360" s="168"/>
      <c r="J2360" s="74" t="str">
        <f t="shared" si="5"/>
        <v>[TIMES] Paper mill, low quality + advanced drives w/ CO2 capture</v>
      </c>
      <c r="K2360" s="168"/>
      <c r="L2360" s="166"/>
      <c r="M2360" s="169"/>
    </row>
    <row r="2361" spans="1:13" x14ac:dyDescent="0.55000000000000004">
      <c r="A2361" s="100" t="s">
        <v>391</v>
      </c>
      <c r="B2361" s="21" t="s">
        <v>395</v>
      </c>
      <c r="C2361" s="21" t="s">
        <v>125</v>
      </c>
      <c r="D2361" s="21" t="s">
        <v>3288</v>
      </c>
      <c r="E2361" s="117">
        <v>0.05</v>
      </c>
      <c r="F2361" s="151" t="s">
        <v>135</v>
      </c>
      <c r="G2361" s="151" t="s">
        <v>135</v>
      </c>
      <c r="H2361" s="168" t="s">
        <v>39</v>
      </c>
      <c r="I2361" s="168"/>
      <c r="J2361" s="74" t="str">
        <f t="shared" si="5"/>
        <v>[TIMES] Paper mill, low quality + advanced drives w/ CO2 capture</v>
      </c>
      <c r="K2361" s="168"/>
      <c r="L2361" s="166"/>
      <c r="M2361" s="169"/>
    </row>
    <row r="2362" spans="1:13" x14ac:dyDescent="0.55000000000000004">
      <c r="A2362" s="100" t="s">
        <v>391</v>
      </c>
      <c r="B2362" s="21" t="s">
        <v>206</v>
      </c>
      <c r="C2362" s="21" t="s">
        <v>207</v>
      </c>
      <c r="D2362" s="21" t="s">
        <v>3288</v>
      </c>
      <c r="E2362" s="117">
        <v>0.09</v>
      </c>
      <c r="F2362" s="151" t="s">
        <v>135</v>
      </c>
      <c r="G2362" s="151" t="s">
        <v>135</v>
      </c>
      <c r="H2362" s="168" t="s">
        <v>39</v>
      </c>
      <c r="I2362" s="168"/>
      <c r="J2362" s="74" t="str">
        <f t="shared" si="5"/>
        <v>[TIMES] Paper mill, low quality + advanced drives w/ CO2 capture</v>
      </c>
      <c r="K2362" s="168"/>
      <c r="L2362" s="166"/>
      <c r="M2362" s="169"/>
    </row>
    <row r="2363" spans="1:13" x14ac:dyDescent="0.55000000000000004">
      <c r="A2363" s="100" t="s">
        <v>391</v>
      </c>
      <c r="B2363" s="21" t="s">
        <v>171</v>
      </c>
      <c r="C2363" s="21" t="s">
        <v>127</v>
      </c>
      <c r="D2363" s="21" t="s">
        <v>2994</v>
      </c>
      <c r="E2363" s="117">
        <v>3.54</v>
      </c>
      <c r="F2363" s="151" t="s">
        <v>138</v>
      </c>
      <c r="G2363" s="151" t="s">
        <v>135</v>
      </c>
      <c r="H2363" s="168" t="s">
        <v>39</v>
      </c>
      <c r="I2363" s="168"/>
      <c r="J2363" s="74" t="str">
        <f t="shared" si="5"/>
        <v>[TIMES] Paper mill, low quality + advanced drives w/ CO2 capture</v>
      </c>
      <c r="K2363" s="168"/>
      <c r="L2363" s="166"/>
      <c r="M2363" s="169"/>
    </row>
    <row r="2364" spans="1:13" x14ac:dyDescent="0.55000000000000004">
      <c r="A2364" s="100" t="s">
        <v>391</v>
      </c>
      <c r="B2364" s="21" t="s">
        <v>153</v>
      </c>
      <c r="C2364" s="21" t="s">
        <v>127</v>
      </c>
      <c r="D2364" s="21" t="s">
        <v>2994</v>
      </c>
      <c r="E2364" s="117">
        <v>7.4</v>
      </c>
      <c r="F2364" s="151" t="s">
        <v>138</v>
      </c>
      <c r="G2364" s="151" t="s">
        <v>135</v>
      </c>
      <c r="H2364" s="168" t="s">
        <v>39</v>
      </c>
      <c r="I2364" s="168"/>
      <c r="J2364" s="74" t="str">
        <f t="shared" si="5"/>
        <v>[TIMES] Paper mill, low quality + advanced drives w/ CO2 capture</v>
      </c>
      <c r="K2364" s="168"/>
      <c r="L2364" s="166"/>
      <c r="M2364" s="169"/>
    </row>
    <row r="2365" spans="1:13" x14ac:dyDescent="0.55000000000000004">
      <c r="A2365" s="100" t="s">
        <v>391</v>
      </c>
      <c r="B2365" s="21" t="s">
        <v>208</v>
      </c>
      <c r="C2365" s="21" t="s">
        <v>127</v>
      </c>
      <c r="D2365" s="21" t="s">
        <v>2994</v>
      </c>
      <c r="E2365" s="117">
        <v>8</v>
      </c>
      <c r="F2365" s="151" t="s">
        <v>138</v>
      </c>
      <c r="G2365" s="151" t="s">
        <v>135</v>
      </c>
      <c r="H2365" s="168" t="s">
        <v>39</v>
      </c>
      <c r="I2365" s="168"/>
      <c r="J2365" s="74" t="str">
        <f t="shared" si="5"/>
        <v>[TIMES] Paper mill, low quality + advanced drives w/ CO2 capture</v>
      </c>
      <c r="K2365" s="168"/>
      <c r="L2365" s="166"/>
      <c r="M2365" s="169"/>
    </row>
    <row r="2366" spans="1:13" x14ac:dyDescent="0.55000000000000004">
      <c r="A2366" s="100" t="s">
        <v>391</v>
      </c>
      <c r="B2366" s="68" t="s">
        <v>160</v>
      </c>
      <c r="C2366" s="168" t="s">
        <v>247</v>
      </c>
      <c r="D2366" s="68" t="s">
        <v>3288</v>
      </c>
      <c r="E2366" s="120">
        <f>0.614594-E2367</f>
        <v>6.1459399999999942E-2</v>
      </c>
      <c r="F2366" s="151" t="s">
        <v>135</v>
      </c>
      <c r="G2366" s="151" t="s">
        <v>135</v>
      </c>
      <c r="H2366" s="68" t="s">
        <v>376</v>
      </c>
      <c r="I2366" s="168" t="s">
        <v>396</v>
      </c>
      <c r="J2366" s="74" t="str">
        <f t="shared" si="5"/>
        <v>[TIMES] Paper mill, low quality + advanced drives w/ CO2 capture</v>
      </c>
      <c r="K2366" s="168"/>
      <c r="L2366" s="163"/>
      <c r="M2366" s="169"/>
    </row>
    <row r="2367" spans="1:13" x14ac:dyDescent="0.55000000000000004">
      <c r="A2367" s="100" t="s">
        <v>391</v>
      </c>
      <c r="B2367" s="68" t="s">
        <v>160</v>
      </c>
      <c r="C2367" s="68" t="s">
        <v>156</v>
      </c>
      <c r="D2367" s="68" t="s">
        <v>3288</v>
      </c>
      <c r="E2367" s="119">
        <f>0.614594*0.9</f>
        <v>0.55313460000000003</v>
      </c>
      <c r="F2367" s="151" t="s">
        <v>135</v>
      </c>
      <c r="G2367" s="151" t="s">
        <v>135</v>
      </c>
      <c r="H2367" s="68" t="s">
        <v>376</v>
      </c>
      <c r="I2367" s="168" t="s">
        <v>397</v>
      </c>
      <c r="J2367" s="74" t="str">
        <f t="shared" si="5"/>
        <v>[TIMES] Paper mill, low quality + advanced drives w/ CO2 capture</v>
      </c>
      <c r="K2367" s="168"/>
      <c r="L2367" s="163"/>
      <c r="M2367" s="169"/>
    </row>
    <row r="2368" spans="1:13" x14ac:dyDescent="0.55000000000000004">
      <c r="A2368" s="92" t="s">
        <v>389</v>
      </c>
      <c r="B2368" s="168" t="s">
        <v>323</v>
      </c>
      <c r="C2368" s="168" t="s">
        <v>121</v>
      </c>
      <c r="D2368" s="168" t="s">
        <v>3288</v>
      </c>
      <c r="E2368" s="116">
        <v>1</v>
      </c>
      <c r="F2368" s="149" t="s">
        <v>135</v>
      </c>
      <c r="G2368" s="149">
        <v>1</v>
      </c>
      <c r="H2368" s="168" t="s">
        <v>39</v>
      </c>
      <c r="I2368" s="168"/>
      <c r="J2368" s="77" t="s">
        <v>390</v>
      </c>
      <c r="K2368" s="168"/>
      <c r="L2368" s="131"/>
      <c r="M2368" s="169"/>
    </row>
    <row r="2369" spans="1:13" x14ac:dyDescent="0.55000000000000004">
      <c r="A2369" s="92" t="s">
        <v>389</v>
      </c>
      <c r="B2369" s="168" t="s">
        <v>153</v>
      </c>
      <c r="C2369" s="168" t="s">
        <v>127</v>
      </c>
      <c r="D2369" s="168" t="s">
        <v>2994</v>
      </c>
      <c r="E2369" s="116">
        <v>1.1399999999999999</v>
      </c>
      <c r="F2369" s="149" t="s">
        <v>138</v>
      </c>
      <c r="G2369" s="149" t="s">
        <v>135</v>
      </c>
      <c r="H2369" s="168" t="s">
        <v>39</v>
      </c>
      <c r="I2369" s="168"/>
      <c r="J2369" s="77" t="s">
        <v>390</v>
      </c>
      <c r="K2369" s="168"/>
      <c r="L2369" s="131"/>
      <c r="M2369" s="169"/>
    </row>
    <row r="2370" spans="1:13" x14ac:dyDescent="0.55000000000000004">
      <c r="A2370" s="92" t="s">
        <v>389</v>
      </c>
      <c r="B2370" s="168" t="s">
        <v>293</v>
      </c>
      <c r="C2370" s="168" t="s">
        <v>127</v>
      </c>
      <c r="D2370" s="168" t="s">
        <v>2994</v>
      </c>
      <c r="E2370" s="116">
        <v>1.01</v>
      </c>
      <c r="F2370" s="149" t="s">
        <v>138</v>
      </c>
      <c r="G2370" s="149" t="s">
        <v>135</v>
      </c>
      <c r="H2370" s="168" t="s">
        <v>39</v>
      </c>
      <c r="I2370" s="168"/>
      <c r="J2370" s="77" t="s">
        <v>390</v>
      </c>
      <c r="K2370" s="168"/>
      <c r="L2370" s="131"/>
      <c r="M2370" s="169"/>
    </row>
    <row r="2371" spans="1:13" x14ac:dyDescent="0.55000000000000004">
      <c r="A2371" s="92" t="s">
        <v>389</v>
      </c>
      <c r="B2371" s="168" t="s">
        <v>316</v>
      </c>
      <c r="C2371" s="168" t="s">
        <v>132</v>
      </c>
      <c r="D2371" s="168" t="s">
        <v>3288</v>
      </c>
      <c r="E2371" s="116">
        <v>1</v>
      </c>
      <c r="F2371" s="149" t="s">
        <v>135</v>
      </c>
      <c r="G2371" s="149" t="s">
        <v>135</v>
      </c>
      <c r="H2371" s="168" t="s">
        <v>39</v>
      </c>
      <c r="I2371" s="168"/>
      <c r="J2371" s="77" t="s">
        <v>390</v>
      </c>
      <c r="K2371" s="168"/>
      <c r="L2371" s="131"/>
      <c r="M2371" s="169"/>
    </row>
    <row r="2372" spans="1:13" x14ac:dyDescent="0.55000000000000004">
      <c r="A2372" s="92" t="s">
        <v>389</v>
      </c>
      <c r="B2372" s="168" t="s">
        <v>160</v>
      </c>
      <c r="C2372" s="168" t="s">
        <v>247</v>
      </c>
      <c r="D2372" s="168" t="s">
        <v>3288</v>
      </c>
      <c r="E2372" s="119">
        <v>0.108575</v>
      </c>
      <c r="F2372" s="156" t="s">
        <v>135</v>
      </c>
      <c r="G2372" s="152" t="s">
        <v>135</v>
      </c>
      <c r="H2372" s="168" t="s">
        <v>376</v>
      </c>
      <c r="I2372" s="168"/>
      <c r="J2372" s="77" t="s">
        <v>390</v>
      </c>
      <c r="K2372" s="168"/>
      <c r="L2372" s="131"/>
      <c r="M2372" s="169"/>
    </row>
    <row r="2373" spans="1:13" x14ac:dyDescent="0.55000000000000004">
      <c r="A2373" s="96" t="s">
        <v>2005</v>
      </c>
      <c r="B2373" s="61" t="s">
        <v>170</v>
      </c>
      <c r="C2373" s="61" t="s">
        <v>121</v>
      </c>
      <c r="D2373" s="61" t="s">
        <v>3288</v>
      </c>
      <c r="E2373" s="119">
        <v>1</v>
      </c>
      <c r="F2373" s="148" t="s">
        <v>135</v>
      </c>
      <c r="G2373" s="148">
        <v>1</v>
      </c>
      <c r="H2373" s="168" t="s">
        <v>39</v>
      </c>
      <c r="I2373" s="168"/>
      <c r="J2373" s="74" t="str">
        <f t="shared" ref="J2373:J2383" si="6">A2373</f>
        <v>[TIMES] Quicklime Production</v>
      </c>
      <c r="K2373" s="168"/>
      <c r="L2373" s="159"/>
      <c r="M2373" s="169"/>
    </row>
    <row r="2374" spans="1:13" x14ac:dyDescent="0.55000000000000004">
      <c r="A2374" s="96" t="s">
        <v>2005</v>
      </c>
      <c r="B2374" s="168" t="s">
        <v>131</v>
      </c>
      <c r="C2374" s="61" t="s">
        <v>132</v>
      </c>
      <c r="D2374" s="61" t="s">
        <v>3288</v>
      </c>
      <c r="E2374" s="119">
        <v>1.786</v>
      </c>
      <c r="F2374" s="148" t="s">
        <v>135</v>
      </c>
      <c r="G2374" s="148" t="s">
        <v>135</v>
      </c>
      <c r="H2374" s="168" t="s">
        <v>39</v>
      </c>
      <c r="I2374" s="168"/>
      <c r="J2374" s="74" t="str">
        <f t="shared" si="6"/>
        <v>[TIMES] Quicklime Production</v>
      </c>
      <c r="K2374" s="168"/>
      <c r="L2374" s="159"/>
      <c r="M2374" s="169"/>
    </row>
    <row r="2375" spans="1:13" x14ac:dyDescent="0.55000000000000004">
      <c r="A2375" s="96" t="s">
        <v>2005</v>
      </c>
      <c r="B2375" s="61" t="s">
        <v>153</v>
      </c>
      <c r="C2375" s="61" t="s">
        <v>127</v>
      </c>
      <c r="D2375" s="61" t="s">
        <v>2994</v>
      </c>
      <c r="E2375" s="119">
        <f>60*0.0036</f>
        <v>0.216</v>
      </c>
      <c r="F2375" s="148" t="s">
        <v>138</v>
      </c>
      <c r="G2375" s="148" t="s">
        <v>135</v>
      </c>
      <c r="H2375" s="168" t="s">
        <v>39</v>
      </c>
      <c r="I2375" s="168"/>
      <c r="J2375" s="74" t="str">
        <f t="shared" si="6"/>
        <v>[TIMES] Quicklime Production</v>
      </c>
      <c r="K2375" s="168"/>
      <c r="L2375" s="159"/>
      <c r="M2375" s="169"/>
    </row>
    <row r="2376" spans="1:13" x14ac:dyDescent="0.55000000000000004">
      <c r="A2376" s="96" t="s">
        <v>2005</v>
      </c>
      <c r="B2376" s="61" t="s">
        <v>208</v>
      </c>
      <c r="C2376" s="61" t="s">
        <v>127</v>
      </c>
      <c r="D2376" s="61" t="s">
        <v>2994</v>
      </c>
      <c r="E2376" s="119">
        <v>3.03</v>
      </c>
      <c r="F2376" s="148" t="s">
        <v>138</v>
      </c>
      <c r="G2376" s="148" t="s">
        <v>135</v>
      </c>
      <c r="H2376" s="168" t="s">
        <v>39</v>
      </c>
      <c r="I2376" s="168"/>
      <c r="J2376" s="74" t="str">
        <f t="shared" si="6"/>
        <v>[TIMES] Quicklime Production</v>
      </c>
      <c r="K2376" s="168"/>
      <c r="L2376" s="159"/>
      <c r="M2376" s="169"/>
    </row>
    <row r="2377" spans="1:13" x14ac:dyDescent="0.55000000000000004">
      <c r="A2377" s="96" t="s">
        <v>2005</v>
      </c>
      <c r="B2377" s="68" t="s">
        <v>160</v>
      </c>
      <c r="C2377" s="168" t="s">
        <v>247</v>
      </c>
      <c r="D2377" s="68" t="s">
        <v>3288</v>
      </c>
      <c r="E2377" s="119">
        <v>0.15756000000000001</v>
      </c>
      <c r="F2377" s="151" t="s">
        <v>135</v>
      </c>
      <c r="G2377" s="151" t="s">
        <v>135</v>
      </c>
      <c r="H2377" s="68" t="s">
        <v>373</v>
      </c>
      <c r="I2377" s="168"/>
      <c r="J2377" s="74" t="str">
        <f t="shared" si="6"/>
        <v>[TIMES] Quicklime Production</v>
      </c>
      <c r="K2377" s="168"/>
      <c r="L2377" s="163"/>
      <c r="M2377" s="169"/>
    </row>
    <row r="2378" spans="1:13" x14ac:dyDescent="0.55000000000000004">
      <c r="A2378" s="98" t="s">
        <v>387</v>
      </c>
      <c r="B2378" s="68" t="s">
        <v>205</v>
      </c>
      <c r="C2378" s="68" t="s">
        <v>121</v>
      </c>
      <c r="D2378" s="68" t="s">
        <v>3288</v>
      </c>
      <c r="E2378" s="120">
        <v>1</v>
      </c>
      <c r="F2378" s="151" t="s">
        <v>135</v>
      </c>
      <c r="G2378" s="151">
        <v>1</v>
      </c>
      <c r="H2378" s="168" t="s">
        <v>39</v>
      </c>
      <c r="I2378" s="168"/>
      <c r="J2378" s="74" t="str">
        <f t="shared" si="6"/>
        <v>[TIMES] Recycled fiber pulping</v>
      </c>
      <c r="K2378" s="168"/>
      <c r="L2378" s="163"/>
      <c r="M2378" s="169"/>
    </row>
    <row r="2379" spans="1:13" x14ac:dyDescent="0.55000000000000004">
      <c r="A2379" s="98" t="s">
        <v>387</v>
      </c>
      <c r="B2379" s="21" t="s">
        <v>206</v>
      </c>
      <c r="C2379" s="68" t="s">
        <v>207</v>
      </c>
      <c r="D2379" s="68" t="s">
        <v>3288</v>
      </c>
      <c r="E2379" s="120">
        <v>1.1499999999999999</v>
      </c>
      <c r="F2379" s="151" t="s">
        <v>135</v>
      </c>
      <c r="G2379" s="151" t="s">
        <v>135</v>
      </c>
      <c r="H2379" s="168" t="s">
        <v>39</v>
      </c>
      <c r="I2379" s="168"/>
      <c r="J2379" s="74" t="str">
        <f t="shared" si="6"/>
        <v>[TIMES] Recycled fiber pulping</v>
      </c>
      <c r="K2379" s="168"/>
      <c r="L2379" s="163"/>
      <c r="M2379" s="169"/>
    </row>
    <row r="2380" spans="1:13" x14ac:dyDescent="0.55000000000000004">
      <c r="A2380" s="98" t="s">
        <v>387</v>
      </c>
      <c r="B2380" s="68" t="s">
        <v>153</v>
      </c>
      <c r="C2380" s="68" t="s">
        <v>127</v>
      </c>
      <c r="D2380" s="68" t="s">
        <v>2994</v>
      </c>
      <c r="E2380" s="120">
        <v>2</v>
      </c>
      <c r="F2380" s="151" t="s">
        <v>138</v>
      </c>
      <c r="G2380" s="151" t="s">
        <v>135</v>
      </c>
      <c r="H2380" s="168" t="s">
        <v>39</v>
      </c>
      <c r="I2380" s="168"/>
      <c r="J2380" s="74" t="str">
        <f t="shared" si="6"/>
        <v>[TIMES] Recycled fiber pulping</v>
      </c>
      <c r="K2380" s="168"/>
      <c r="L2380" s="163"/>
      <c r="M2380" s="169"/>
    </row>
    <row r="2381" spans="1:13" x14ac:dyDescent="0.55000000000000004">
      <c r="A2381" s="98" t="s">
        <v>387</v>
      </c>
      <c r="B2381" s="68" t="s">
        <v>171</v>
      </c>
      <c r="C2381" s="68" t="s">
        <v>127</v>
      </c>
      <c r="D2381" s="68" t="s">
        <v>2994</v>
      </c>
      <c r="E2381" s="120">
        <v>1</v>
      </c>
      <c r="F2381" s="151" t="s">
        <v>138</v>
      </c>
      <c r="G2381" s="151" t="s">
        <v>135</v>
      </c>
      <c r="H2381" s="168" t="s">
        <v>39</v>
      </c>
      <c r="I2381" s="168"/>
      <c r="J2381" s="74" t="str">
        <f t="shared" si="6"/>
        <v>[TIMES] Recycled fiber pulping</v>
      </c>
      <c r="K2381" s="168"/>
      <c r="L2381" s="163"/>
      <c r="M2381" s="169"/>
    </row>
    <row r="2382" spans="1:13" x14ac:dyDescent="0.55000000000000004">
      <c r="A2382" s="98" t="s">
        <v>387</v>
      </c>
      <c r="B2382" s="21" t="s">
        <v>208</v>
      </c>
      <c r="C2382" s="68" t="s">
        <v>127</v>
      </c>
      <c r="D2382" s="68" t="s">
        <v>2994</v>
      </c>
      <c r="E2382" s="120">
        <v>1.1000000000000001</v>
      </c>
      <c r="F2382" s="151" t="s">
        <v>138</v>
      </c>
      <c r="G2382" s="151" t="s">
        <v>135</v>
      </c>
      <c r="H2382" s="168" t="s">
        <v>39</v>
      </c>
      <c r="I2382" s="168"/>
      <c r="J2382" s="74" t="str">
        <f t="shared" si="6"/>
        <v>[TIMES] Recycled fiber pulping</v>
      </c>
      <c r="K2382" s="168"/>
      <c r="L2382" s="163"/>
      <c r="M2382" s="169"/>
    </row>
    <row r="2383" spans="1:13" x14ac:dyDescent="0.55000000000000004">
      <c r="A2383" s="98" t="s">
        <v>387</v>
      </c>
      <c r="B2383" s="68" t="s">
        <v>160</v>
      </c>
      <c r="C2383" s="168" t="s">
        <v>247</v>
      </c>
      <c r="D2383" s="68" t="s">
        <v>3288</v>
      </c>
      <c r="E2383" s="119">
        <v>0.1133</v>
      </c>
      <c r="F2383" s="151" t="s">
        <v>135</v>
      </c>
      <c r="G2383" s="151" t="s">
        <v>135</v>
      </c>
      <c r="H2383" s="68" t="s">
        <v>376</v>
      </c>
      <c r="I2383" s="168" t="s">
        <v>388</v>
      </c>
      <c r="J2383" s="74" t="str">
        <f t="shared" si="6"/>
        <v>[TIMES] Recycled fiber pulping</v>
      </c>
      <c r="K2383" s="168"/>
      <c r="L2383" s="163"/>
      <c r="M2383" s="169"/>
    </row>
    <row r="2384" spans="1:13" x14ac:dyDescent="0.55000000000000004">
      <c r="A2384" s="92" t="s">
        <v>383</v>
      </c>
      <c r="B2384" s="168" t="s">
        <v>290</v>
      </c>
      <c r="C2384" s="168" t="s">
        <v>121</v>
      </c>
      <c r="D2384" s="168" t="s">
        <v>3288</v>
      </c>
      <c r="E2384" s="116">
        <v>1</v>
      </c>
      <c r="F2384" s="149" t="s">
        <v>135</v>
      </c>
      <c r="G2384" s="149">
        <v>1</v>
      </c>
      <c r="H2384" s="168" t="s">
        <v>39</v>
      </c>
      <c r="I2384" s="168"/>
      <c r="J2384" s="77" t="s">
        <v>384</v>
      </c>
      <c r="K2384" s="168"/>
      <c r="L2384" s="131"/>
      <c r="M2384" s="169"/>
    </row>
    <row r="2385" spans="1:13" x14ac:dyDescent="0.55000000000000004">
      <c r="A2385" s="92" t="s">
        <v>383</v>
      </c>
      <c r="B2385" s="168" t="s">
        <v>316</v>
      </c>
      <c r="C2385" s="168" t="s">
        <v>132</v>
      </c>
      <c r="D2385" s="168" t="s">
        <v>3288</v>
      </c>
      <c r="E2385" s="116">
        <v>1</v>
      </c>
      <c r="F2385" s="149" t="s">
        <v>135</v>
      </c>
      <c r="G2385" s="149" t="s">
        <v>135</v>
      </c>
      <c r="H2385" s="168" t="s">
        <v>39</v>
      </c>
      <c r="I2385" s="168"/>
      <c r="J2385" s="77" t="s">
        <v>384</v>
      </c>
      <c r="K2385" s="168"/>
      <c r="L2385" s="131"/>
      <c r="M2385" s="169"/>
    </row>
    <row r="2386" spans="1:13" x14ac:dyDescent="0.55000000000000004">
      <c r="A2386" s="92" t="s">
        <v>383</v>
      </c>
      <c r="B2386" s="168" t="s">
        <v>153</v>
      </c>
      <c r="C2386" s="168" t="s">
        <v>127</v>
      </c>
      <c r="D2386" s="168" t="s">
        <v>2994</v>
      </c>
      <c r="E2386" s="116">
        <v>0.1</v>
      </c>
      <c r="F2386" s="149" t="s">
        <v>138</v>
      </c>
      <c r="G2386" s="149" t="s">
        <v>135</v>
      </c>
      <c r="H2386" s="168" t="s">
        <v>39</v>
      </c>
      <c r="I2386" s="168"/>
      <c r="J2386" s="77" t="s">
        <v>384</v>
      </c>
      <c r="K2386" s="168"/>
      <c r="L2386" s="131"/>
      <c r="M2386" s="169"/>
    </row>
    <row r="2387" spans="1:13" x14ac:dyDescent="0.55000000000000004">
      <c r="A2387" s="92" t="s">
        <v>383</v>
      </c>
      <c r="B2387" s="168" t="s">
        <v>293</v>
      </c>
      <c r="C2387" s="168" t="s">
        <v>127</v>
      </c>
      <c r="D2387" s="168" t="s">
        <v>2994</v>
      </c>
      <c r="E2387" s="116">
        <v>1.1599999999999999</v>
      </c>
      <c r="F2387" s="149" t="s">
        <v>138</v>
      </c>
      <c r="G2387" s="149" t="s">
        <v>135</v>
      </c>
      <c r="H2387" s="168" t="s">
        <v>39</v>
      </c>
      <c r="I2387" s="168"/>
      <c r="J2387" s="77" t="s">
        <v>384</v>
      </c>
      <c r="K2387" s="168"/>
      <c r="L2387" s="131"/>
      <c r="M2387" s="169"/>
    </row>
    <row r="2388" spans="1:13" x14ac:dyDescent="0.55000000000000004">
      <c r="A2388" s="92" t="s">
        <v>383</v>
      </c>
      <c r="B2388" s="21" t="s">
        <v>171</v>
      </c>
      <c r="C2388" s="168" t="s">
        <v>127</v>
      </c>
      <c r="D2388" s="168" t="s">
        <v>2994</v>
      </c>
      <c r="E2388" s="117">
        <v>0.5</v>
      </c>
      <c r="F2388" s="149" t="s">
        <v>138</v>
      </c>
      <c r="G2388" s="149" t="s">
        <v>135</v>
      </c>
      <c r="H2388" s="168" t="s">
        <v>39</v>
      </c>
      <c r="I2388" s="168" t="s">
        <v>385</v>
      </c>
      <c r="J2388" s="77" t="s">
        <v>384</v>
      </c>
      <c r="K2388" s="168"/>
      <c r="L2388" s="131"/>
      <c r="M2388" s="169"/>
    </row>
    <row r="2389" spans="1:13" x14ac:dyDescent="0.55000000000000004">
      <c r="A2389" s="92" t="s">
        <v>383</v>
      </c>
      <c r="B2389" s="168" t="s">
        <v>160</v>
      </c>
      <c r="C2389" s="168" t="s">
        <v>247</v>
      </c>
      <c r="D2389" s="168" t="s">
        <v>3288</v>
      </c>
      <c r="E2389" s="117">
        <v>0.15275</v>
      </c>
      <c r="F2389" s="149" t="s">
        <v>135</v>
      </c>
      <c r="G2389" s="149" t="s">
        <v>135</v>
      </c>
      <c r="H2389" s="168" t="s">
        <v>376</v>
      </c>
      <c r="I2389" s="168" t="s">
        <v>386</v>
      </c>
      <c r="J2389" s="77" t="s">
        <v>384</v>
      </c>
      <c r="K2389" s="168"/>
      <c r="L2389" s="131"/>
      <c r="M2389" s="169"/>
    </row>
    <row r="2390" spans="1:13" x14ac:dyDescent="0.55000000000000004">
      <c r="A2390" s="92" t="s">
        <v>381</v>
      </c>
      <c r="B2390" s="168" t="s">
        <v>290</v>
      </c>
      <c r="C2390" s="168" t="s">
        <v>121</v>
      </c>
      <c r="D2390" s="168" t="s">
        <v>3288</v>
      </c>
      <c r="E2390" s="116">
        <v>1</v>
      </c>
      <c r="F2390" s="149" t="s">
        <v>135</v>
      </c>
      <c r="G2390" s="149">
        <v>1</v>
      </c>
      <c r="H2390" s="168" t="s">
        <v>39</v>
      </c>
      <c r="I2390" s="168"/>
      <c r="J2390" s="77" t="s">
        <v>382</v>
      </c>
      <c r="K2390" s="168"/>
      <c r="L2390" s="131"/>
      <c r="M2390" s="169"/>
    </row>
    <row r="2391" spans="1:13" x14ac:dyDescent="0.55000000000000004">
      <c r="A2391" s="92" t="s">
        <v>381</v>
      </c>
      <c r="B2391" s="168" t="s">
        <v>316</v>
      </c>
      <c r="C2391" s="168" t="s">
        <v>132</v>
      </c>
      <c r="D2391" s="168" t="s">
        <v>3288</v>
      </c>
      <c r="E2391" s="116">
        <v>1</v>
      </c>
      <c r="F2391" s="149" t="s">
        <v>135</v>
      </c>
      <c r="G2391" s="149" t="s">
        <v>135</v>
      </c>
      <c r="H2391" s="168" t="s">
        <v>39</v>
      </c>
      <c r="I2391" s="168"/>
      <c r="J2391" s="77" t="s">
        <v>382</v>
      </c>
      <c r="K2391" s="168"/>
      <c r="L2391" s="131"/>
      <c r="M2391" s="169"/>
    </row>
    <row r="2392" spans="1:13" x14ac:dyDescent="0.55000000000000004">
      <c r="A2392" s="92" t="s">
        <v>381</v>
      </c>
      <c r="B2392" s="168" t="s">
        <v>153</v>
      </c>
      <c r="C2392" s="168" t="s">
        <v>127</v>
      </c>
      <c r="D2392" s="168" t="s">
        <v>2994</v>
      </c>
      <c r="E2392" s="116">
        <v>0.1</v>
      </c>
      <c r="F2392" s="149" t="s">
        <v>138</v>
      </c>
      <c r="G2392" s="149" t="s">
        <v>135</v>
      </c>
      <c r="H2392" s="168" t="s">
        <v>39</v>
      </c>
      <c r="I2392" s="168"/>
      <c r="J2392" s="77" t="s">
        <v>382</v>
      </c>
      <c r="K2392" s="168"/>
      <c r="L2392" s="131"/>
      <c r="M2392" s="169"/>
    </row>
    <row r="2393" spans="1:13" x14ac:dyDescent="0.55000000000000004">
      <c r="A2393" s="92" t="s">
        <v>381</v>
      </c>
      <c r="B2393" s="168" t="s">
        <v>230</v>
      </c>
      <c r="C2393" s="168" t="s">
        <v>127</v>
      </c>
      <c r="D2393" s="168" t="s">
        <v>2994</v>
      </c>
      <c r="E2393" s="116">
        <v>1.86</v>
      </c>
      <c r="F2393" s="149" t="s">
        <v>138</v>
      </c>
      <c r="G2393" s="149" t="s">
        <v>135</v>
      </c>
      <c r="H2393" s="168" t="s">
        <v>39</v>
      </c>
      <c r="I2393" s="168"/>
      <c r="J2393" s="77" t="s">
        <v>382</v>
      </c>
      <c r="K2393" s="168"/>
      <c r="L2393" s="131"/>
      <c r="M2393" s="169"/>
    </row>
    <row r="2394" spans="1:13" x14ac:dyDescent="0.55000000000000004">
      <c r="A2394" s="92" t="s">
        <v>378</v>
      </c>
      <c r="B2394" s="168" t="s">
        <v>315</v>
      </c>
      <c r="C2394" s="168" t="s">
        <v>121</v>
      </c>
      <c r="D2394" s="168" t="s">
        <v>3288</v>
      </c>
      <c r="E2394" s="117">
        <v>1</v>
      </c>
      <c r="F2394" s="149" t="s">
        <v>135</v>
      </c>
      <c r="G2394" s="149">
        <v>1</v>
      </c>
      <c r="H2394" s="168" t="s">
        <v>39</v>
      </c>
      <c r="I2394" s="168"/>
      <c r="J2394" s="77" t="s">
        <v>379</v>
      </c>
      <c r="K2394" s="168"/>
      <c r="L2394" s="131"/>
      <c r="M2394" s="169"/>
    </row>
    <row r="2395" spans="1:13" x14ac:dyDescent="0.55000000000000004">
      <c r="A2395" s="92" t="s">
        <v>378</v>
      </c>
      <c r="B2395" s="168" t="s">
        <v>323</v>
      </c>
      <c r="C2395" s="21" t="s">
        <v>125</v>
      </c>
      <c r="D2395" s="168" t="s">
        <v>3288</v>
      </c>
      <c r="E2395" s="117">
        <v>1.5</v>
      </c>
      <c r="F2395" s="149" t="s">
        <v>135</v>
      </c>
      <c r="G2395" s="149" t="s">
        <v>135</v>
      </c>
      <c r="H2395" s="168" t="s">
        <v>39</v>
      </c>
      <c r="I2395" s="168"/>
      <c r="J2395" s="77" t="s">
        <v>379</v>
      </c>
      <c r="K2395" s="168"/>
      <c r="L2395" s="131"/>
      <c r="M2395" s="169"/>
    </row>
    <row r="2396" spans="1:13" x14ac:dyDescent="0.55000000000000004">
      <c r="A2396" s="92" t="s">
        <v>378</v>
      </c>
      <c r="B2396" s="168" t="s">
        <v>153</v>
      </c>
      <c r="C2396" s="168" t="s">
        <v>127</v>
      </c>
      <c r="D2396" s="168" t="s">
        <v>2994</v>
      </c>
      <c r="E2396" s="117">
        <v>0.7</v>
      </c>
      <c r="F2396" s="149" t="s">
        <v>138</v>
      </c>
      <c r="G2396" s="149" t="s">
        <v>135</v>
      </c>
      <c r="H2396" s="168" t="s">
        <v>39</v>
      </c>
      <c r="I2396" s="168"/>
      <c r="J2396" s="77" t="s">
        <v>379</v>
      </c>
      <c r="K2396" s="168"/>
      <c r="L2396" s="131"/>
      <c r="M2396" s="169"/>
    </row>
    <row r="2397" spans="1:13" x14ac:dyDescent="0.55000000000000004">
      <c r="A2397" s="92" t="s">
        <v>378</v>
      </c>
      <c r="B2397" s="21" t="s">
        <v>171</v>
      </c>
      <c r="C2397" s="168" t="s">
        <v>127</v>
      </c>
      <c r="D2397" s="168" t="s">
        <v>2994</v>
      </c>
      <c r="E2397" s="117">
        <v>11</v>
      </c>
      <c r="F2397" s="149" t="s">
        <v>138</v>
      </c>
      <c r="G2397" s="149" t="s">
        <v>135</v>
      </c>
      <c r="H2397" s="168" t="s">
        <v>39</v>
      </c>
      <c r="I2397" s="168" t="s">
        <v>380</v>
      </c>
      <c r="J2397" s="77" t="s">
        <v>379</v>
      </c>
      <c r="K2397" s="168"/>
      <c r="L2397" s="131"/>
      <c r="M2397" s="169"/>
    </row>
    <row r="2398" spans="1:13" x14ac:dyDescent="0.55000000000000004">
      <c r="A2398" s="92" t="s">
        <v>378</v>
      </c>
      <c r="B2398" s="168" t="s">
        <v>160</v>
      </c>
      <c r="C2398" s="168" t="s">
        <v>247</v>
      </c>
      <c r="D2398" s="168" t="s">
        <v>3288</v>
      </c>
      <c r="E2398" s="116">
        <f>0.6171</f>
        <v>0.61709999999999998</v>
      </c>
      <c r="F2398" s="149" t="s">
        <v>135</v>
      </c>
      <c r="G2398" s="149" t="s">
        <v>135</v>
      </c>
      <c r="H2398" s="68" t="s">
        <v>376</v>
      </c>
      <c r="I2398" s="168"/>
      <c r="J2398" s="77" t="s">
        <v>379</v>
      </c>
      <c r="K2398" s="168"/>
      <c r="L2398" s="131"/>
      <c r="M2398" s="169"/>
    </row>
    <row r="2399" spans="1:13" x14ac:dyDescent="0.55000000000000004">
      <c r="A2399" s="92" t="s">
        <v>374</v>
      </c>
      <c r="B2399" s="168" t="s">
        <v>315</v>
      </c>
      <c r="C2399" s="168" t="s">
        <v>121</v>
      </c>
      <c r="D2399" s="168" t="s">
        <v>3288</v>
      </c>
      <c r="E2399" s="117">
        <v>1</v>
      </c>
      <c r="F2399" s="149" t="s">
        <v>135</v>
      </c>
      <c r="G2399" s="149">
        <v>1</v>
      </c>
      <c r="H2399" s="168" t="s">
        <v>39</v>
      </c>
      <c r="I2399" s="168"/>
      <c r="J2399" s="77" t="s">
        <v>375</v>
      </c>
      <c r="K2399" s="168"/>
      <c r="L2399" s="131"/>
      <c r="M2399" s="169"/>
    </row>
    <row r="2400" spans="1:13" x14ac:dyDescent="0.55000000000000004">
      <c r="A2400" s="92" t="s">
        <v>374</v>
      </c>
      <c r="B2400" s="168" t="s">
        <v>323</v>
      </c>
      <c r="C2400" s="21" t="s">
        <v>125</v>
      </c>
      <c r="D2400" s="168" t="s">
        <v>3288</v>
      </c>
      <c r="E2400" s="117">
        <v>1.5</v>
      </c>
      <c r="F2400" s="149" t="s">
        <v>135</v>
      </c>
      <c r="G2400" s="149" t="s">
        <v>135</v>
      </c>
      <c r="H2400" s="168" t="s">
        <v>39</v>
      </c>
      <c r="I2400" s="168"/>
      <c r="J2400" s="77" t="s">
        <v>375</v>
      </c>
      <c r="K2400" s="168"/>
      <c r="L2400" s="131"/>
      <c r="M2400" s="169"/>
    </row>
    <row r="2401" spans="1:13" x14ac:dyDescent="0.55000000000000004">
      <c r="A2401" s="92" t="s">
        <v>374</v>
      </c>
      <c r="B2401" s="168" t="s">
        <v>153</v>
      </c>
      <c r="C2401" s="168" t="s">
        <v>127</v>
      </c>
      <c r="D2401" s="168" t="s">
        <v>2994</v>
      </c>
      <c r="E2401" s="117">
        <v>0.75</v>
      </c>
      <c r="F2401" s="149" t="s">
        <v>135</v>
      </c>
      <c r="G2401" s="149" t="s">
        <v>135</v>
      </c>
      <c r="H2401" s="168" t="s">
        <v>39</v>
      </c>
      <c r="I2401" s="168"/>
      <c r="J2401" s="77" t="s">
        <v>375</v>
      </c>
      <c r="K2401" s="168"/>
      <c r="L2401" s="131"/>
      <c r="M2401" s="169"/>
    </row>
    <row r="2402" spans="1:13" x14ac:dyDescent="0.55000000000000004">
      <c r="A2402" s="92" t="s">
        <v>374</v>
      </c>
      <c r="B2402" s="21" t="s">
        <v>171</v>
      </c>
      <c r="C2402" s="168" t="s">
        <v>127</v>
      </c>
      <c r="D2402" s="168" t="s">
        <v>2994</v>
      </c>
      <c r="E2402" s="117">
        <v>11</v>
      </c>
      <c r="F2402" s="149" t="s">
        <v>138</v>
      </c>
      <c r="G2402" s="149" t="s">
        <v>135</v>
      </c>
      <c r="H2402" s="168" t="s">
        <v>39</v>
      </c>
      <c r="I2402" s="168"/>
      <c r="J2402" s="77" t="s">
        <v>375</v>
      </c>
      <c r="K2402" s="168"/>
      <c r="L2402" s="131"/>
      <c r="M2402" s="169"/>
    </row>
    <row r="2403" spans="1:13" x14ac:dyDescent="0.55000000000000004">
      <c r="A2403" s="92" t="s">
        <v>374</v>
      </c>
      <c r="B2403" s="168" t="s">
        <v>160</v>
      </c>
      <c r="C2403" s="168" t="s">
        <v>247</v>
      </c>
      <c r="D2403" s="168" t="s">
        <v>3288</v>
      </c>
      <c r="E2403" s="117">
        <f>0.6171-E2404</f>
        <v>6.1709999999999932E-2</v>
      </c>
      <c r="F2403" s="149" t="s">
        <v>135</v>
      </c>
      <c r="G2403" s="149" t="s">
        <v>135</v>
      </c>
      <c r="H2403" s="68" t="s">
        <v>376</v>
      </c>
      <c r="I2403" s="168"/>
      <c r="J2403" s="77" t="s">
        <v>375</v>
      </c>
      <c r="K2403" s="168"/>
      <c r="L2403" s="131"/>
      <c r="M2403" s="169"/>
    </row>
    <row r="2404" spans="1:13" x14ac:dyDescent="0.55000000000000004">
      <c r="A2404" s="92" t="s">
        <v>374</v>
      </c>
      <c r="B2404" s="168" t="s">
        <v>160</v>
      </c>
      <c r="C2404" s="168" t="s">
        <v>156</v>
      </c>
      <c r="D2404" s="168" t="s">
        <v>3288</v>
      </c>
      <c r="E2404" s="117">
        <f>0.6171*0.9</f>
        <v>0.55539000000000005</v>
      </c>
      <c r="F2404" s="45" t="s">
        <v>135</v>
      </c>
      <c r="G2404" s="149" t="s">
        <v>135</v>
      </c>
      <c r="H2404" s="68" t="s">
        <v>376</v>
      </c>
      <c r="I2404" s="168" t="s">
        <v>377</v>
      </c>
      <c r="J2404" s="77" t="s">
        <v>375</v>
      </c>
      <c r="K2404" s="168"/>
      <c r="L2404" s="131"/>
      <c r="M2404" s="169"/>
    </row>
    <row r="2405" spans="1:13" x14ac:dyDescent="0.55000000000000004">
      <c r="A2405" s="65" t="s">
        <v>370</v>
      </c>
      <c r="B2405" s="168" t="s">
        <v>371</v>
      </c>
      <c r="C2405" s="168" t="s">
        <v>121</v>
      </c>
      <c r="D2405" s="168" t="s">
        <v>3288</v>
      </c>
      <c r="E2405" s="116">
        <v>1</v>
      </c>
      <c r="F2405" s="149" t="s">
        <v>135</v>
      </c>
      <c r="G2405" s="149">
        <v>1</v>
      </c>
      <c r="H2405" s="168" t="s">
        <v>39</v>
      </c>
      <c r="I2405" s="168"/>
      <c r="J2405" s="77" t="s">
        <v>370</v>
      </c>
      <c r="K2405" s="168"/>
      <c r="L2405" s="131"/>
      <c r="M2405" s="169"/>
    </row>
    <row r="2406" spans="1:13" x14ac:dyDescent="0.55000000000000004">
      <c r="A2406" s="65" t="s">
        <v>370</v>
      </c>
      <c r="B2406" s="168" t="s">
        <v>140</v>
      </c>
      <c r="C2406" s="168" t="s">
        <v>207</v>
      </c>
      <c r="D2406" s="168" t="s">
        <v>3288</v>
      </c>
      <c r="E2406" s="116">
        <v>1</v>
      </c>
      <c r="F2406" s="149" t="s">
        <v>135</v>
      </c>
      <c r="G2406" s="149" t="s">
        <v>135</v>
      </c>
      <c r="H2406" s="168" t="s">
        <v>39</v>
      </c>
      <c r="I2406" s="168"/>
      <c r="J2406" s="77" t="s">
        <v>370</v>
      </c>
      <c r="K2406" s="168"/>
      <c r="L2406" s="131"/>
      <c r="M2406" s="169"/>
    </row>
    <row r="2407" spans="1:13" x14ac:dyDescent="0.55000000000000004">
      <c r="A2407" s="65" t="s">
        <v>370</v>
      </c>
      <c r="B2407" s="168" t="s">
        <v>208</v>
      </c>
      <c r="C2407" s="168" t="s">
        <v>127</v>
      </c>
      <c r="D2407" s="168" t="s">
        <v>2994</v>
      </c>
      <c r="E2407" s="117">
        <v>1.7</v>
      </c>
      <c r="F2407" s="149" t="s">
        <v>138</v>
      </c>
      <c r="G2407" s="149" t="s">
        <v>135</v>
      </c>
      <c r="H2407" s="168" t="s">
        <v>39</v>
      </c>
      <c r="I2407" s="168" t="s">
        <v>372</v>
      </c>
      <c r="J2407" s="77" t="s">
        <v>370</v>
      </c>
      <c r="K2407" s="168"/>
      <c r="L2407" s="131"/>
      <c r="M2407" s="169"/>
    </row>
    <row r="2408" spans="1:13" x14ac:dyDescent="0.55000000000000004">
      <c r="A2408" s="65" t="s">
        <v>370</v>
      </c>
      <c r="B2408" s="168" t="s">
        <v>160</v>
      </c>
      <c r="C2408" s="168" t="s">
        <v>247</v>
      </c>
      <c r="D2408" s="168" t="s">
        <v>3288</v>
      </c>
      <c r="E2408" s="117">
        <v>8.8400000000000006E-2</v>
      </c>
      <c r="F2408" s="149" t="s">
        <v>135</v>
      </c>
      <c r="G2408" s="149" t="s">
        <v>135</v>
      </c>
      <c r="H2408" s="125" t="s">
        <v>373</v>
      </c>
      <c r="I2408" s="168"/>
      <c r="J2408" s="77" t="s">
        <v>370</v>
      </c>
      <c r="K2408" s="168"/>
      <c r="L2408" s="131"/>
      <c r="M2408" s="169"/>
    </row>
    <row r="2409" spans="1:13" x14ac:dyDescent="0.55000000000000004">
      <c r="A2409" s="108" t="s">
        <v>269</v>
      </c>
      <c r="B2409" s="68" t="s">
        <v>270</v>
      </c>
      <c r="C2409" s="68" t="s">
        <v>121</v>
      </c>
      <c r="D2409" s="68" t="s">
        <v>3288</v>
      </c>
      <c r="E2409" s="120">
        <v>1</v>
      </c>
      <c r="F2409" s="151" t="s">
        <v>135</v>
      </c>
      <c r="G2409" s="151">
        <v>1</v>
      </c>
      <c r="H2409" s="68"/>
      <c r="I2409" s="168"/>
      <c r="J2409" s="74" t="str">
        <f t="shared" ref="J2409:J2472" si="7">A2409</f>
        <v>[TIMES_SE] Aluminium casting</v>
      </c>
      <c r="K2409" s="168"/>
      <c r="L2409" s="163"/>
      <c r="M2409" s="169"/>
    </row>
    <row r="2410" spans="1:13" x14ac:dyDescent="0.55000000000000004">
      <c r="A2410" s="108" t="s">
        <v>269</v>
      </c>
      <c r="B2410" s="68" t="s">
        <v>260</v>
      </c>
      <c r="C2410" s="168" t="s">
        <v>125</v>
      </c>
      <c r="D2410" s="68" t="s">
        <v>3288</v>
      </c>
      <c r="E2410" s="120">
        <f>1/0.98</f>
        <v>1.0204081632653061</v>
      </c>
      <c r="F2410" s="151" t="s">
        <v>135</v>
      </c>
      <c r="G2410" s="151" t="s">
        <v>135</v>
      </c>
      <c r="H2410" s="68" t="s">
        <v>39</v>
      </c>
      <c r="I2410" s="168" t="s">
        <v>271</v>
      </c>
      <c r="J2410" s="74" t="str">
        <f t="shared" si="7"/>
        <v>[TIMES_SE] Aluminium casting</v>
      </c>
      <c r="K2410" s="168"/>
      <c r="L2410" s="163"/>
      <c r="M2410" s="169"/>
    </row>
    <row r="2411" spans="1:13" x14ac:dyDescent="0.55000000000000004">
      <c r="A2411" s="108" t="s">
        <v>269</v>
      </c>
      <c r="B2411" s="68" t="s">
        <v>171</v>
      </c>
      <c r="C2411" s="68" t="s">
        <v>127</v>
      </c>
      <c r="D2411" s="68" t="s">
        <v>2994</v>
      </c>
      <c r="E2411" s="120">
        <v>0.27</v>
      </c>
      <c r="F2411" s="151" t="s">
        <v>138</v>
      </c>
      <c r="G2411" s="151" t="s">
        <v>135</v>
      </c>
      <c r="H2411" s="68" t="s">
        <v>39</v>
      </c>
      <c r="I2411" s="168" t="s">
        <v>212</v>
      </c>
      <c r="J2411" s="74" t="str">
        <f t="shared" si="7"/>
        <v>[TIMES_SE] Aluminium casting</v>
      </c>
      <c r="K2411" s="168"/>
      <c r="L2411" s="163"/>
      <c r="M2411" s="169"/>
    </row>
    <row r="2412" spans="1:13" x14ac:dyDescent="0.55000000000000004">
      <c r="A2412" s="108" t="s">
        <v>269</v>
      </c>
      <c r="B2412" s="68" t="s">
        <v>153</v>
      </c>
      <c r="C2412" s="68" t="s">
        <v>127</v>
      </c>
      <c r="D2412" s="68" t="s">
        <v>2994</v>
      </c>
      <c r="E2412" s="120">
        <v>0.44</v>
      </c>
      <c r="F2412" s="151" t="s">
        <v>138</v>
      </c>
      <c r="G2412" s="151" t="s">
        <v>135</v>
      </c>
      <c r="H2412" s="68" t="s">
        <v>39</v>
      </c>
      <c r="I2412" s="168"/>
      <c r="J2412" s="74" t="str">
        <f t="shared" si="7"/>
        <v>[TIMES_SE] Aluminium casting</v>
      </c>
      <c r="K2412" s="168"/>
      <c r="L2412" s="163"/>
      <c r="M2412" s="169"/>
    </row>
    <row r="2413" spans="1:13" x14ac:dyDescent="0.55000000000000004">
      <c r="A2413" s="108" t="s">
        <v>269</v>
      </c>
      <c r="B2413" s="68" t="s">
        <v>160</v>
      </c>
      <c r="C2413" s="168" t="s">
        <v>247</v>
      </c>
      <c r="D2413" s="68" t="s">
        <v>3288</v>
      </c>
      <c r="E2413" s="119">
        <v>1.5147000000000002E-2</v>
      </c>
      <c r="F2413" s="151" t="s">
        <v>135</v>
      </c>
      <c r="G2413" s="151" t="s">
        <v>135</v>
      </c>
      <c r="H2413" s="68" t="s">
        <v>376</v>
      </c>
      <c r="I2413" s="168" t="s">
        <v>2013</v>
      </c>
      <c r="J2413" s="74" t="str">
        <f t="shared" si="7"/>
        <v>[TIMES_SE] Aluminium casting</v>
      </c>
      <c r="K2413" s="168"/>
      <c r="L2413" s="163"/>
      <c r="M2413" s="169"/>
    </row>
    <row r="2414" spans="1:13" x14ac:dyDescent="0.55000000000000004">
      <c r="A2414" s="108" t="s">
        <v>264</v>
      </c>
      <c r="B2414" s="68" t="s">
        <v>260</v>
      </c>
      <c r="C2414" s="68" t="s">
        <v>121</v>
      </c>
      <c r="D2414" s="68" t="s">
        <v>3288</v>
      </c>
      <c r="E2414" s="120">
        <v>1</v>
      </c>
      <c r="F2414" s="151" t="s">
        <v>135</v>
      </c>
      <c r="G2414" s="151">
        <v>1</v>
      </c>
      <c r="H2414" s="68"/>
      <c r="I2414" s="168"/>
      <c r="J2414" s="74" t="str">
        <f t="shared" si="7"/>
        <v>[TIMES_SE] Aluminium electrolysis</v>
      </c>
      <c r="K2414" s="168"/>
      <c r="L2414" s="163"/>
      <c r="M2414" s="169"/>
    </row>
    <row r="2415" spans="1:13" x14ac:dyDescent="0.55000000000000004">
      <c r="A2415" s="108" t="s">
        <v>264</v>
      </c>
      <c r="B2415" s="68" t="s">
        <v>261</v>
      </c>
      <c r="C2415" s="168" t="s">
        <v>125</v>
      </c>
      <c r="D2415" s="68" t="s">
        <v>3288</v>
      </c>
      <c r="E2415" s="120">
        <f>1/0.52</f>
        <v>1.9230769230769229</v>
      </c>
      <c r="F2415" s="151" t="s">
        <v>135</v>
      </c>
      <c r="G2415" s="151" t="s">
        <v>135</v>
      </c>
      <c r="H2415" s="68" t="s">
        <v>39</v>
      </c>
      <c r="I2415" s="168" t="s">
        <v>1242</v>
      </c>
      <c r="J2415" s="74" t="str">
        <f t="shared" si="7"/>
        <v>[TIMES_SE] Aluminium electrolysis</v>
      </c>
      <c r="K2415" s="168"/>
      <c r="L2415" s="163"/>
      <c r="M2415" s="169"/>
    </row>
    <row r="2416" spans="1:13" x14ac:dyDescent="0.55000000000000004">
      <c r="A2416" s="108" t="s">
        <v>264</v>
      </c>
      <c r="B2416" s="68" t="s">
        <v>262</v>
      </c>
      <c r="C2416" s="68" t="s">
        <v>127</v>
      </c>
      <c r="D2416" s="68" t="s">
        <v>2994</v>
      </c>
      <c r="E2416" s="120">
        <v>10.4</v>
      </c>
      <c r="F2416" s="151" t="s">
        <v>138</v>
      </c>
      <c r="G2416" s="151" t="s">
        <v>135</v>
      </c>
      <c r="H2416" s="68" t="s">
        <v>39</v>
      </c>
      <c r="I2416" s="168"/>
      <c r="J2416" s="74" t="str">
        <f t="shared" si="7"/>
        <v>[TIMES_SE] Aluminium electrolysis</v>
      </c>
      <c r="K2416" s="168"/>
      <c r="L2416" s="163"/>
      <c r="M2416" s="169"/>
    </row>
    <row r="2417" spans="1:13" x14ac:dyDescent="0.55000000000000004">
      <c r="A2417" s="108" t="s">
        <v>264</v>
      </c>
      <c r="B2417" s="68" t="s">
        <v>153</v>
      </c>
      <c r="C2417" s="68" t="s">
        <v>127</v>
      </c>
      <c r="D2417" s="68" t="s">
        <v>2994</v>
      </c>
      <c r="E2417" s="120">
        <v>49</v>
      </c>
      <c r="F2417" s="151" t="s">
        <v>138</v>
      </c>
      <c r="G2417" s="151" t="s">
        <v>135</v>
      </c>
      <c r="H2417" s="68" t="s">
        <v>39</v>
      </c>
      <c r="I2417" s="168"/>
      <c r="J2417" s="74" t="str">
        <f t="shared" si="7"/>
        <v>[TIMES_SE] Aluminium electrolysis</v>
      </c>
      <c r="K2417" s="168"/>
      <c r="L2417" s="163"/>
      <c r="M2417" s="169"/>
    </row>
    <row r="2418" spans="1:13" x14ac:dyDescent="0.55000000000000004">
      <c r="A2418" s="108" t="s">
        <v>264</v>
      </c>
      <c r="B2418" s="168" t="s">
        <v>160</v>
      </c>
      <c r="C2418" s="168" t="s">
        <v>247</v>
      </c>
      <c r="D2418" s="168" t="s">
        <v>3288</v>
      </c>
      <c r="E2418" s="119">
        <v>1.0192000000000001</v>
      </c>
      <c r="F2418" s="149" t="s">
        <v>135</v>
      </c>
      <c r="G2418" s="149" t="s">
        <v>135</v>
      </c>
      <c r="H2418" s="68" t="s">
        <v>413</v>
      </c>
      <c r="I2418" s="168" t="s">
        <v>2046</v>
      </c>
      <c r="J2418" s="74" t="str">
        <f t="shared" si="7"/>
        <v>[TIMES_SE] Aluminium electrolysis</v>
      </c>
      <c r="K2418" s="168"/>
      <c r="L2418" s="160"/>
      <c r="M2418" s="169"/>
    </row>
    <row r="2419" spans="1:13" x14ac:dyDescent="0.55000000000000004">
      <c r="A2419" s="108" t="s">
        <v>263</v>
      </c>
      <c r="B2419" s="68" t="s">
        <v>260</v>
      </c>
      <c r="C2419" s="68" t="s">
        <v>121</v>
      </c>
      <c r="D2419" s="68" t="s">
        <v>3288</v>
      </c>
      <c r="E2419" s="120">
        <v>1</v>
      </c>
      <c r="F2419" s="151" t="s">
        <v>135</v>
      </c>
      <c r="G2419" s="151">
        <v>1</v>
      </c>
      <c r="H2419" s="68"/>
      <c r="I2419" s="168"/>
      <c r="J2419" s="74" t="str">
        <f t="shared" si="7"/>
        <v>[TIMES_SE] Aluminium electrolysis inert</v>
      </c>
      <c r="K2419" s="168"/>
      <c r="L2419" s="163"/>
      <c r="M2419" s="169"/>
    </row>
    <row r="2420" spans="1:13" x14ac:dyDescent="0.55000000000000004">
      <c r="A2420" s="108" t="s">
        <v>263</v>
      </c>
      <c r="B2420" s="68" t="s">
        <v>261</v>
      </c>
      <c r="C2420" s="168" t="s">
        <v>125</v>
      </c>
      <c r="D2420" s="68" t="s">
        <v>3288</v>
      </c>
      <c r="E2420" s="120">
        <f>1/0.52</f>
        <v>1.9230769230769229</v>
      </c>
      <c r="F2420" s="151" t="s">
        <v>135</v>
      </c>
      <c r="G2420" s="151" t="s">
        <v>135</v>
      </c>
      <c r="H2420" s="68" t="s">
        <v>39</v>
      </c>
      <c r="I2420" s="168"/>
      <c r="J2420" s="74" t="str">
        <f t="shared" si="7"/>
        <v>[TIMES_SE] Aluminium electrolysis inert</v>
      </c>
      <c r="K2420" s="168"/>
      <c r="L2420" s="163"/>
      <c r="M2420" s="169"/>
    </row>
    <row r="2421" spans="1:13" x14ac:dyDescent="0.55000000000000004">
      <c r="A2421" s="108" t="s">
        <v>263</v>
      </c>
      <c r="B2421" s="68" t="s">
        <v>153</v>
      </c>
      <c r="C2421" s="68" t="s">
        <v>127</v>
      </c>
      <c r="D2421" s="68" t="s">
        <v>2994</v>
      </c>
      <c r="E2421" s="120">
        <v>44.52</v>
      </c>
      <c r="F2421" s="151" t="s">
        <v>138</v>
      </c>
      <c r="G2421" s="151" t="s">
        <v>135</v>
      </c>
      <c r="H2421" s="68" t="s">
        <v>39</v>
      </c>
      <c r="I2421" s="168"/>
      <c r="J2421" s="74" t="str">
        <f t="shared" si="7"/>
        <v>[TIMES_SE] Aluminium electrolysis inert</v>
      </c>
      <c r="K2421" s="168"/>
      <c r="L2421" s="163"/>
      <c r="M2421" s="169"/>
    </row>
    <row r="2422" spans="1:13" x14ac:dyDescent="0.55000000000000004">
      <c r="A2422" s="108" t="s">
        <v>263</v>
      </c>
      <c r="B2422" s="68" t="s">
        <v>160</v>
      </c>
      <c r="C2422" s="168" t="s">
        <v>247</v>
      </c>
      <c r="D2422" s="68" t="s">
        <v>3288</v>
      </c>
      <c r="E2422" s="119">
        <v>0</v>
      </c>
      <c r="F2422" s="151" t="s">
        <v>135</v>
      </c>
      <c r="G2422" s="151" t="s">
        <v>135</v>
      </c>
      <c r="H2422" s="68" t="s">
        <v>39</v>
      </c>
      <c r="I2422" s="168"/>
      <c r="J2422" s="74" t="str">
        <f t="shared" si="7"/>
        <v>[TIMES_SE] Aluminium electrolysis inert</v>
      </c>
      <c r="K2422" s="168"/>
      <c r="L2422" s="163"/>
      <c r="M2422" s="169"/>
    </row>
    <row r="2423" spans="1:13" x14ac:dyDescent="0.55000000000000004">
      <c r="A2423" s="108" t="s">
        <v>259</v>
      </c>
      <c r="B2423" s="68" t="s">
        <v>260</v>
      </c>
      <c r="C2423" s="68" t="s">
        <v>121</v>
      </c>
      <c r="D2423" s="68" t="s">
        <v>3288</v>
      </c>
      <c r="E2423" s="120">
        <v>1</v>
      </c>
      <c r="F2423" s="151" t="s">
        <v>135</v>
      </c>
      <c r="G2423" s="151">
        <v>1</v>
      </c>
      <c r="H2423" s="68"/>
      <c r="I2423" s="168"/>
      <c r="J2423" s="74" t="str">
        <f t="shared" si="7"/>
        <v>[TIMES_SE] Aluminium electrolysis w. CCS (PCC MEA)</v>
      </c>
      <c r="K2423" s="168"/>
      <c r="L2423" s="163"/>
      <c r="M2423" s="169"/>
    </row>
    <row r="2424" spans="1:13" x14ac:dyDescent="0.55000000000000004">
      <c r="A2424" s="108" t="s">
        <v>259</v>
      </c>
      <c r="B2424" s="68" t="s">
        <v>261</v>
      </c>
      <c r="C2424" s="168" t="s">
        <v>125</v>
      </c>
      <c r="D2424" s="68" t="s">
        <v>3288</v>
      </c>
      <c r="E2424" s="120">
        <f>1/0.52</f>
        <v>1.9230769230769229</v>
      </c>
      <c r="F2424" s="151" t="s">
        <v>135</v>
      </c>
      <c r="G2424" s="151" t="s">
        <v>135</v>
      </c>
      <c r="H2424" s="68" t="s">
        <v>39</v>
      </c>
      <c r="I2424" s="168"/>
      <c r="J2424" s="74" t="str">
        <f t="shared" si="7"/>
        <v>[TIMES_SE] Aluminium electrolysis w. CCS (PCC MEA)</v>
      </c>
      <c r="K2424" s="168"/>
      <c r="L2424" s="163"/>
      <c r="M2424" s="169"/>
    </row>
    <row r="2425" spans="1:13" x14ac:dyDescent="0.55000000000000004">
      <c r="A2425" s="108" t="s">
        <v>259</v>
      </c>
      <c r="B2425" s="68" t="s">
        <v>262</v>
      </c>
      <c r="C2425" s="68" t="s">
        <v>127</v>
      </c>
      <c r="D2425" s="68" t="s">
        <v>3288</v>
      </c>
      <c r="E2425" s="120">
        <v>10.4</v>
      </c>
      <c r="F2425" s="151" t="s">
        <v>138</v>
      </c>
      <c r="G2425" s="151" t="s">
        <v>135</v>
      </c>
      <c r="H2425" s="68" t="s">
        <v>39</v>
      </c>
      <c r="I2425" s="168"/>
      <c r="J2425" s="74" t="str">
        <f t="shared" si="7"/>
        <v>[TIMES_SE] Aluminium electrolysis w. CCS (PCC MEA)</v>
      </c>
      <c r="K2425" s="168"/>
      <c r="L2425" s="163"/>
      <c r="M2425" s="169"/>
    </row>
    <row r="2426" spans="1:13" x14ac:dyDescent="0.55000000000000004">
      <c r="A2426" s="108" t="s">
        <v>259</v>
      </c>
      <c r="B2426" s="68" t="s">
        <v>153</v>
      </c>
      <c r="C2426" s="68" t="s">
        <v>127</v>
      </c>
      <c r="D2426" s="68" t="s">
        <v>2994</v>
      </c>
      <c r="E2426" s="120">
        <v>49.47</v>
      </c>
      <c r="F2426" s="151" t="s">
        <v>138</v>
      </c>
      <c r="G2426" s="151" t="s">
        <v>135</v>
      </c>
      <c r="H2426" s="68" t="s">
        <v>39</v>
      </c>
      <c r="I2426" s="168"/>
      <c r="J2426" s="74" t="str">
        <f t="shared" si="7"/>
        <v>[TIMES_SE] Aluminium electrolysis w. CCS (PCC MEA)</v>
      </c>
      <c r="K2426" s="168"/>
      <c r="L2426" s="163"/>
      <c r="M2426" s="169"/>
    </row>
    <row r="2427" spans="1:13" x14ac:dyDescent="0.55000000000000004">
      <c r="A2427" s="108" t="s">
        <v>259</v>
      </c>
      <c r="B2427" s="21" t="s">
        <v>137</v>
      </c>
      <c r="C2427" s="68" t="s">
        <v>127</v>
      </c>
      <c r="D2427" s="68" t="s">
        <v>2994</v>
      </c>
      <c r="E2427" s="120">
        <v>4.79</v>
      </c>
      <c r="F2427" s="151" t="s">
        <v>138</v>
      </c>
      <c r="G2427" s="151" t="s">
        <v>135</v>
      </c>
      <c r="H2427" s="68" t="s">
        <v>39</v>
      </c>
      <c r="I2427" s="168"/>
      <c r="J2427" s="74" t="str">
        <f t="shared" si="7"/>
        <v>[TIMES_SE] Aluminium electrolysis w. CCS (PCC MEA)</v>
      </c>
      <c r="K2427" s="168"/>
      <c r="L2427" s="163"/>
      <c r="M2427" s="169"/>
    </row>
    <row r="2428" spans="1:13" x14ac:dyDescent="0.55000000000000004">
      <c r="A2428" s="108" t="s">
        <v>259</v>
      </c>
      <c r="B2428" s="168" t="s">
        <v>160</v>
      </c>
      <c r="C2428" s="168" t="s">
        <v>247</v>
      </c>
      <c r="D2428" s="168" t="s">
        <v>3288</v>
      </c>
      <c r="E2428" s="119">
        <f>1.0192*0.1</f>
        <v>0.10192000000000001</v>
      </c>
      <c r="F2428" s="151" t="s">
        <v>135</v>
      </c>
      <c r="G2428" s="149" t="s">
        <v>135</v>
      </c>
      <c r="H2428" s="68" t="s">
        <v>413</v>
      </c>
      <c r="I2428" s="168" t="s">
        <v>2044</v>
      </c>
      <c r="J2428" s="74" t="str">
        <f t="shared" si="7"/>
        <v>[TIMES_SE] Aluminium electrolysis w. CCS (PCC MEA)</v>
      </c>
      <c r="K2428" s="168"/>
      <c r="L2428" s="160"/>
      <c r="M2428" s="169"/>
    </row>
    <row r="2429" spans="1:13" x14ac:dyDescent="0.55000000000000004">
      <c r="A2429" s="108" t="s">
        <v>259</v>
      </c>
      <c r="B2429" s="168" t="s">
        <v>160</v>
      </c>
      <c r="C2429" s="168" t="s">
        <v>247</v>
      </c>
      <c r="D2429" s="168" t="s">
        <v>3288</v>
      </c>
      <c r="E2429" s="119">
        <f>0.24908*0.1</f>
        <v>2.4908E-2</v>
      </c>
      <c r="F2429" s="151" t="s">
        <v>135</v>
      </c>
      <c r="G2429" s="149" t="s">
        <v>135</v>
      </c>
      <c r="H2429" s="68" t="s">
        <v>373</v>
      </c>
      <c r="I2429" s="168" t="s">
        <v>2045</v>
      </c>
      <c r="J2429" s="74" t="str">
        <f t="shared" si="7"/>
        <v>[TIMES_SE] Aluminium electrolysis w. CCS (PCC MEA)</v>
      </c>
      <c r="K2429" s="168"/>
      <c r="L2429" s="160"/>
      <c r="M2429" s="169"/>
    </row>
    <row r="2430" spans="1:13" x14ac:dyDescent="0.55000000000000004">
      <c r="A2430" s="108" t="s">
        <v>259</v>
      </c>
      <c r="B2430" s="168" t="s">
        <v>160</v>
      </c>
      <c r="C2430" s="168" t="s">
        <v>156</v>
      </c>
      <c r="D2430" s="168" t="s">
        <v>3288</v>
      </c>
      <c r="E2430" s="119">
        <f>1.0192*0.9</f>
        <v>0.9172800000000001</v>
      </c>
      <c r="F2430" s="151" t="s">
        <v>135</v>
      </c>
      <c r="G2430" s="149" t="s">
        <v>135</v>
      </c>
      <c r="H2430" s="68" t="s">
        <v>413</v>
      </c>
      <c r="I2430" s="168" t="s">
        <v>2044</v>
      </c>
      <c r="J2430" s="74" t="str">
        <f t="shared" si="7"/>
        <v>[TIMES_SE] Aluminium electrolysis w. CCS (PCC MEA)</v>
      </c>
      <c r="K2430" s="168"/>
      <c r="L2430" s="160"/>
      <c r="M2430" s="169"/>
    </row>
    <row r="2431" spans="1:13" x14ac:dyDescent="0.55000000000000004">
      <c r="A2431" s="108" t="s">
        <v>259</v>
      </c>
      <c r="B2431" s="168" t="s">
        <v>160</v>
      </c>
      <c r="C2431" s="168" t="s">
        <v>156</v>
      </c>
      <c r="D2431" s="168" t="s">
        <v>3288</v>
      </c>
      <c r="E2431" s="119">
        <f>0.24908*0.9</f>
        <v>0.22417200000000001</v>
      </c>
      <c r="F2431" s="151" t="s">
        <v>135</v>
      </c>
      <c r="G2431" s="149" t="s">
        <v>135</v>
      </c>
      <c r="H2431" s="68" t="s">
        <v>373</v>
      </c>
      <c r="I2431" s="168" t="s">
        <v>2045</v>
      </c>
      <c r="J2431" s="74" t="str">
        <f t="shared" si="7"/>
        <v>[TIMES_SE] Aluminium electrolysis w. CCS (PCC MEA)</v>
      </c>
      <c r="K2431" s="168"/>
      <c r="L2431" s="160"/>
      <c r="M2431" s="169"/>
    </row>
    <row r="2432" spans="1:13" x14ac:dyDescent="0.55000000000000004">
      <c r="A2432" s="108" t="s">
        <v>283</v>
      </c>
      <c r="B2432" s="68" t="s">
        <v>281</v>
      </c>
      <c r="C2432" s="68" t="s">
        <v>121</v>
      </c>
      <c r="D2432" s="68" t="s">
        <v>3288</v>
      </c>
      <c r="E2432" s="120">
        <v>1</v>
      </c>
      <c r="F2432" s="151" t="s">
        <v>135</v>
      </c>
      <c r="G2432" s="151">
        <v>1</v>
      </c>
      <c r="H2432" s="68"/>
      <c r="I2432" s="168"/>
      <c r="J2432" s="74" t="str">
        <f t="shared" si="7"/>
        <v>[TIMES_SE] Aluminium finishing, cast, electricity</v>
      </c>
      <c r="K2432" s="168"/>
      <c r="L2432" s="163"/>
      <c r="M2432" s="169"/>
    </row>
    <row r="2433" spans="1:13" x14ac:dyDescent="0.55000000000000004">
      <c r="A2433" s="108" t="s">
        <v>283</v>
      </c>
      <c r="B2433" s="68" t="s">
        <v>270</v>
      </c>
      <c r="C2433" s="168" t="s">
        <v>125</v>
      </c>
      <c r="D2433" s="68" t="s">
        <v>3288</v>
      </c>
      <c r="E2433" s="120">
        <f>1/0.6</f>
        <v>1.6666666666666667</v>
      </c>
      <c r="F2433" s="151" t="s">
        <v>135</v>
      </c>
      <c r="G2433" s="151" t="s">
        <v>135</v>
      </c>
      <c r="H2433" s="68" t="s">
        <v>39</v>
      </c>
      <c r="I2433" s="168" t="s">
        <v>282</v>
      </c>
      <c r="J2433" s="74" t="str">
        <f t="shared" si="7"/>
        <v>[TIMES_SE] Aluminium finishing, cast, electricity</v>
      </c>
      <c r="K2433" s="168"/>
      <c r="L2433" s="163"/>
      <c r="M2433" s="169"/>
    </row>
    <row r="2434" spans="1:13" x14ac:dyDescent="0.55000000000000004">
      <c r="A2434" s="108" t="s">
        <v>283</v>
      </c>
      <c r="B2434" s="68" t="s">
        <v>153</v>
      </c>
      <c r="C2434" s="68" t="s">
        <v>127</v>
      </c>
      <c r="D2434" s="68" t="s">
        <v>2994</v>
      </c>
      <c r="E2434" s="120">
        <v>19.82</v>
      </c>
      <c r="F2434" s="151" t="s">
        <v>138</v>
      </c>
      <c r="G2434" s="151" t="s">
        <v>135</v>
      </c>
      <c r="H2434" s="68" t="s">
        <v>39</v>
      </c>
      <c r="I2434" s="168"/>
      <c r="J2434" s="74" t="str">
        <f t="shared" si="7"/>
        <v>[TIMES_SE] Aluminium finishing, cast, electricity</v>
      </c>
      <c r="K2434" s="168"/>
      <c r="L2434" s="163"/>
      <c r="M2434" s="169"/>
    </row>
    <row r="2435" spans="1:13" x14ac:dyDescent="0.55000000000000004">
      <c r="A2435" s="108" t="s">
        <v>283</v>
      </c>
      <c r="B2435" s="68" t="s">
        <v>160</v>
      </c>
      <c r="C2435" s="168" t="s">
        <v>247</v>
      </c>
      <c r="D2435" s="68" t="s">
        <v>3288</v>
      </c>
      <c r="E2435" s="119">
        <v>0</v>
      </c>
      <c r="F2435" s="151" t="s">
        <v>135</v>
      </c>
      <c r="G2435" s="151" t="s">
        <v>135</v>
      </c>
      <c r="H2435" s="68" t="s">
        <v>39</v>
      </c>
      <c r="I2435" s="168"/>
      <c r="J2435" s="74" t="str">
        <f t="shared" si="7"/>
        <v>[TIMES_SE] Aluminium finishing, cast, electricity</v>
      </c>
      <c r="K2435" s="168"/>
      <c r="L2435" s="163"/>
      <c r="M2435" s="169"/>
    </row>
    <row r="2436" spans="1:13" x14ac:dyDescent="0.55000000000000004">
      <c r="A2436" s="108" t="s">
        <v>280</v>
      </c>
      <c r="B2436" s="68" t="s">
        <v>281</v>
      </c>
      <c r="C2436" s="68" t="s">
        <v>121</v>
      </c>
      <c r="D2436" s="68" t="s">
        <v>3288</v>
      </c>
      <c r="E2436" s="120">
        <v>1</v>
      </c>
      <c r="F2436" s="151" t="s">
        <v>135</v>
      </c>
      <c r="G2436" s="151">
        <v>1</v>
      </c>
      <c r="H2436" s="68"/>
      <c r="I2436" s="168"/>
      <c r="J2436" s="74" t="str">
        <f t="shared" si="7"/>
        <v>[TIMES_SE] Aluminium finishing, cast, fuel</v>
      </c>
      <c r="K2436" s="168"/>
      <c r="L2436" s="163"/>
      <c r="M2436" s="169"/>
    </row>
    <row r="2437" spans="1:13" x14ac:dyDescent="0.55000000000000004">
      <c r="A2437" s="108" t="s">
        <v>280</v>
      </c>
      <c r="B2437" s="68" t="s">
        <v>270</v>
      </c>
      <c r="C2437" s="168" t="s">
        <v>125</v>
      </c>
      <c r="D2437" s="68" t="s">
        <v>3288</v>
      </c>
      <c r="E2437" s="120">
        <f>1/0.6</f>
        <v>1.6666666666666667</v>
      </c>
      <c r="F2437" s="151" t="s">
        <v>135</v>
      </c>
      <c r="G2437" s="151" t="s">
        <v>135</v>
      </c>
      <c r="H2437" s="68" t="s">
        <v>39</v>
      </c>
      <c r="I2437" s="168" t="s">
        <v>282</v>
      </c>
      <c r="J2437" s="74" t="str">
        <f t="shared" si="7"/>
        <v>[TIMES_SE] Aluminium finishing, cast, fuel</v>
      </c>
      <c r="K2437" s="168"/>
      <c r="L2437" s="163"/>
      <c r="M2437" s="169"/>
    </row>
    <row r="2438" spans="1:13" x14ac:dyDescent="0.55000000000000004">
      <c r="A2438" s="108" t="s">
        <v>280</v>
      </c>
      <c r="B2438" s="68" t="s">
        <v>171</v>
      </c>
      <c r="C2438" s="68" t="s">
        <v>127</v>
      </c>
      <c r="D2438" s="68" t="s">
        <v>2994</v>
      </c>
      <c r="E2438" s="120">
        <v>4.68</v>
      </c>
      <c r="F2438" s="151" t="s">
        <v>138</v>
      </c>
      <c r="G2438" s="151" t="s">
        <v>135</v>
      </c>
      <c r="H2438" s="68" t="s">
        <v>39</v>
      </c>
      <c r="I2438" s="168" t="s">
        <v>212</v>
      </c>
      <c r="J2438" s="74" t="str">
        <f t="shared" si="7"/>
        <v>[TIMES_SE] Aluminium finishing, cast, fuel</v>
      </c>
      <c r="K2438" s="168"/>
      <c r="L2438" s="163"/>
      <c r="M2438" s="169"/>
    </row>
    <row r="2439" spans="1:13" x14ac:dyDescent="0.55000000000000004">
      <c r="A2439" s="108" t="s">
        <v>280</v>
      </c>
      <c r="B2439" s="68" t="s">
        <v>153</v>
      </c>
      <c r="C2439" s="68" t="s">
        <v>127</v>
      </c>
      <c r="D2439" s="68" t="s">
        <v>2994</v>
      </c>
      <c r="E2439" s="120">
        <v>15.84</v>
      </c>
      <c r="F2439" s="151" t="s">
        <v>138</v>
      </c>
      <c r="G2439" s="151" t="s">
        <v>135</v>
      </c>
      <c r="H2439" s="68" t="s">
        <v>39</v>
      </c>
      <c r="I2439" s="168"/>
      <c r="J2439" s="74" t="str">
        <f t="shared" si="7"/>
        <v>[TIMES_SE] Aluminium finishing, cast, fuel</v>
      </c>
      <c r="K2439" s="168"/>
      <c r="L2439" s="163"/>
      <c r="M2439" s="169"/>
    </row>
    <row r="2440" spans="1:13" x14ac:dyDescent="0.55000000000000004">
      <c r="A2440" s="108" t="s">
        <v>275</v>
      </c>
      <c r="B2440" s="68" t="s">
        <v>273</v>
      </c>
      <c r="C2440" s="68" t="s">
        <v>121</v>
      </c>
      <c r="D2440" s="68" t="s">
        <v>3288</v>
      </c>
      <c r="E2440" s="120">
        <v>1</v>
      </c>
      <c r="F2440" s="151" t="s">
        <v>135</v>
      </c>
      <c r="G2440" s="151">
        <v>1</v>
      </c>
      <c r="H2440" s="68"/>
      <c r="I2440" s="168"/>
      <c r="J2440" s="74" t="str">
        <f t="shared" si="7"/>
        <v>[TIMES_SE] Aluminium finishing, long, electricity</v>
      </c>
      <c r="K2440" s="168"/>
      <c r="L2440" s="163"/>
      <c r="M2440" s="169"/>
    </row>
    <row r="2441" spans="1:13" x14ac:dyDescent="0.55000000000000004">
      <c r="A2441" s="108" t="s">
        <v>275</v>
      </c>
      <c r="B2441" s="68" t="s">
        <v>270</v>
      </c>
      <c r="C2441" s="168" t="s">
        <v>125</v>
      </c>
      <c r="D2441" s="68" t="s">
        <v>3288</v>
      </c>
      <c r="E2441" s="120">
        <f>1/0.83</f>
        <v>1.2048192771084338</v>
      </c>
      <c r="F2441" s="151" t="s">
        <v>135</v>
      </c>
      <c r="G2441" s="151" t="s">
        <v>135</v>
      </c>
      <c r="H2441" s="68" t="s">
        <v>39</v>
      </c>
      <c r="I2441" s="168" t="s">
        <v>274</v>
      </c>
      <c r="J2441" s="74" t="str">
        <f t="shared" si="7"/>
        <v>[TIMES_SE] Aluminium finishing, long, electricity</v>
      </c>
      <c r="K2441" s="168"/>
      <c r="L2441" s="163"/>
      <c r="M2441" s="169"/>
    </row>
    <row r="2442" spans="1:13" x14ac:dyDescent="0.55000000000000004">
      <c r="A2442" s="108" t="s">
        <v>275</v>
      </c>
      <c r="B2442" s="68" t="s">
        <v>153</v>
      </c>
      <c r="C2442" s="68" t="s">
        <v>127</v>
      </c>
      <c r="D2442" s="68" t="s">
        <v>2994</v>
      </c>
      <c r="E2442" s="120">
        <v>2.39</v>
      </c>
      <c r="F2442" s="151" t="s">
        <v>138</v>
      </c>
      <c r="G2442" s="151" t="s">
        <v>135</v>
      </c>
      <c r="H2442" s="68" t="s">
        <v>39</v>
      </c>
      <c r="I2442" s="168"/>
      <c r="J2442" s="74" t="str">
        <f t="shared" si="7"/>
        <v>[TIMES_SE] Aluminium finishing, long, electricity</v>
      </c>
      <c r="K2442" s="168"/>
      <c r="L2442" s="163"/>
      <c r="M2442" s="169"/>
    </row>
    <row r="2443" spans="1:13" x14ac:dyDescent="0.55000000000000004">
      <c r="A2443" s="108" t="s">
        <v>275</v>
      </c>
      <c r="B2443" s="68" t="s">
        <v>160</v>
      </c>
      <c r="C2443" s="168" t="s">
        <v>247</v>
      </c>
      <c r="D2443" s="68" t="s">
        <v>3288</v>
      </c>
      <c r="E2443" s="119">
        <v>0</v>
      </c>
      <c r="F2443" s="151" t="s">
        <v>135</v>
      </c>
      <c r="G2443" s="151" t="s">
        <v>135</v>
      </c>
      <c r="H2443" s="68" t="s">
        <v>39</v>
      </c>
      <c r="I2443" s="168"/>
      <c r="J2443" s="74" t="str">
        <f t="shared" si="7"/>
        <v>[TIMES_SE] Aluminium finishing, long, electricity</v>
      </c>
      <c r="K2443" s="168"/>
      <c r="L2443" s="163"/>
      <c r="M2443" s="169"/>
    </row>
    <row r="2444" spans="1:13" x14ac:dyDescent="0.55000000000000004">
      <c r="A2444" s="108" t="s">
        <v>272</v>
      </c>
      <c r="B2444" s="68" t="s">
        <v>273</v>
      </c>
      <c r="C2444" s="68" t="s">
        <v>121</v>
      </c>
      <c r="D2444" s="68" t="s">
        <v>3288</v>
      </c>
      <c r="E2444" s="120">
        <v>1</v>
      </c>
      <c r="F2444" s="151" t="s">
        <v>135</v>
      </c>
      <c r="G2444" s="151">
        <v>1</v>
      </c>
      <c r="H2444" s="68"/>
      <c r="I2444" s="168"/>
      <c r="J2444" s="74" t="str">
        <f t="shared" si="7"/>
        <v>[TIMES_SE] Aluminium finishing, long, fuel</v>
      </c>
      <c r="K2444" s="168"/>
      <c r="L2444" s="163"/>
      <c r="M2444" s="169"/>
    </row>
    <row r="2445" spans="1:13" x14ac:dyDescent="0.55000000000000004">
      <c r="A2445" s="108" t="s">
        <v>272</v>
      </c>
      <c r="B2445" s="68" t="s">
        <v>270</v>
      </c>
      <c r="C2445" s="168" t="s">
        <v>125</v>
      </c>
      <c r="D2445" s="68" t="s">
        <v>3288</v>
      </c>
      <c r="E2445" s="120">
        <f>1/0.83</f>
        <v>1.2048192771084338</v>
      </c>
      <c r="F2445" s="151" t="s">
        <v>135</v>
      </c>
      <c r="G2445" s="151" t="s">
        <v>135</v>
      </c>
      <c r="H2445" s="68" t="s">
        <v>39</v>
      </c>
      <c r="I2445" s="168" t="s">
        <v>274</v>
      </c>
      <c r="J2445" s="74" t="str">
        <f t="shared" si="7"/>
        <v>[TIMES_SE] Aluminium finishing, long, fuel</v>
      </c>
      <c r="K2445" s="168"/>
      <c r="L2445" s="163"/>
      <c r="M2445" s="169"/>
    </row>
    <row r="2446" spans="1:13" x14ac:dyDescent="0.55000000000000004">
      <c r="A2446" s="108" t="s">
        <v>272</v>
      </c>
      <c r="B2446" s="68" t="s">
        <v>171</v>
      </c>
      <c r="C2446" s="68" t="s">
        <v>127</v>
      </c>
      <c r="D2446" s="68" t="s">
        <v>2994</v>
      </c>
      <c r="E2446" s="120">
        <v>1.08</v>
      </c>
      <c r="F2446" s="151" t="s">
        <v>138</v>
      </c>
      <c r="G2446" s="151" t="s">
        <v>135</v>
      </c>
      <c r="H2446" s="68" t="s">
        <v>39</v>
      </c>
      <c r="I2446" s="168" t="s">
        <v>212</v>
      </c>
      <c r="J2446" s="74" t="str">
        <f t="shared" si="7"/>
        <v>[TIMES_SE] Aluminium finishing, long, fuel</v>
      </c>
      <c r="K2446" s="168"/>
      <c r="L2446" s="163"/>
      <c r="M2446" s="169"/>
    </row>
    <row r="2447" spans="1:13" x14ac:dyDescent="0.55000000000000004">
      <c r="A2447" s="108" t="s">
        <v>272</v>
      </c>
      <c r="B2447" s="68" t="s">
        <v>153</v>
      </c>
      <c r="C2447" s="68" t="s">
        <v>127</v>
      </c>
      <c r="D2447" s="68" t="s">
        <v>2994</v>
      </c>
      <c r="E2447" s="120">
        <v>2.2999999999999998</v>
      </c>
      <c r="F2447" s="151" t="s">
        <v>138</v>
      </c>
      <c r="G2447" s="151" t="s">
        <v>135</v>
      </c>
      <c r="H2447" s="68" t="s">
        <v>39</v>
      </c>
      <c r="I2447" s="168"/>
      <c r="J2447" s="74" t="str">
        <f t="shared" si="7"/>
        <v>[TIMES_SE] Aluminium finishing, long, fuel</v>
      </c>
      <c r="K2447" s="168"/>
      <c r="L2447" s="163"/>
      <c r="M2447" s="169"/>
    </row>
    <row r="2448" spans="1:13" x14ac:dyDescent="0.55000000000000004">
      <c r="A2448" s="108" t="s">
        <v>272</v>
      </c>
      <c r="B2448" s="68" t="s">
        <v>160</v>
      </c>
      <c r="C2448" s="168" t="s">
        <v>247</v>
      </c>
      <c r="D2448" s="68" t="s">
        <v>3288</v>
      </c>
      <c r="E2448" s="119">
        <v>6.058800000000001E-2</v>
      </c>
      <c r="F2448" s="151" t="s">
        <v>135</v>
      </c>
      <c r="G2448" s="151" t="s">
        <v>135</v>
      </c>
      <c r="H2448" s="68" t="s">
        <v>376</v>
      </c>
      <c r="I2448" s="168" t="s">
        <v>2013</v>
      </c>
      <c r="J2448" s="74" t="str">
        <f t="shared" si="7"/>
        <v>[TIMES_SE] Aluminium finishing, long, fuel</v>
      </c>
      <c r="K2448" s="168"/>
      <c r="L2448" s="163"/>
      <c r="M2448" s="169"/>
    </row>
    <row r="2449" spans="1:13" x14ac:dyDescent="0.55000000000000004">
      <c r="A2449" s="108" t="s">
        <v>279</v>
      </c>
      <c r="B2449" s="68" t="s">
        <v>277</v>
      </c>
      <c r="C2449" s="68" t="s">
        <v>121</v>
      </c>
      <c r="D2449" s="68" t="s">
        <v>3288</v>
      </c>
      <c r="E2449" s="120">
        <v>1</v>
      </c>
      <c r="F2449" s="151" t="s">
        <v>135</v>
      </c>
      <c r="G2449" s="151">
        <v>1</v>
      </c>
      <c r="H2449" s="68"/>
      <c r="I2449" s="168"/>
      <c r="J2449" s="74" t="str">
        <f t="shared" si="7"/>
        <v>[TIMES_SE] Aluminium finishing, sheet, electricity</v>
      </c>
      <c r="K2449" s="168"/>
      <c r="L2449" s="163"/>
      <c r="M2449" s="169"/>
    </row>
    <row r="2450" spans="1:13" x14ac:dyDescent="0.55000000000000004">
      <c r="A2450" s="108" t="s">
        <v>279</v>
      </c>
      <c r="B2450" s="68" t="s">
        <v>270</v>
      </c>
      <c r="C2450" s="168" t="s">
        <v>125</v>
      </c>
      <c r="D2450" s="68" t="s">
        <v>3288</v>
      </c>
      <c r="E2450" s="120">
        <f>1/0.52</f>
        <v>1.9230769230769229</v>
      </c>
      <c r="F2450" s="151" t="s">
        <v>135</v>
      </c>
      <c r="G2450" s="151" t="s">
        <v>135</v>
      </c>
      <c r="H2450" s="68" t="s">
        <v>39</v>
      </c>
      <c r="I2450" s="168" t="s">
        <v>278</v>
      </c>
      <c r="J2450" s="74" t="str">
        <f t="shared" si="7"/>
        <v>[TIMES_SE] Aluminium finishing, sheet, electricity</v>
      </c>
      <c r="K2450" s="168"/>
      <c r="L2450" s="163"/>
      <c r="M2450" s="169"/>
    </row>
    <row r="2451" spans="1:13" x14ac:dyDescent="0.55000000000000004">
      <c r="A2451" s="108" t="s">
        <v>279</v>
      </c>
      <c r="B2451" s="68" t="s">
        <v>153</v>
      </c>
      <c r="C2451" s="68" t="s">
        <v>127</v>
      </c>
      <c r="D2451" s="68" t="s">
        <v>2994</v>
      </c>
      <c r="E2451" s="120">
        <v>3.51</v>
      </c>
      <c r="F2451" s="151" t="s">
        <v>138</v>
      </c>
      <c r="G2451" s="151" t="s">
        <v>135</v>
      </c>
      <c r="H2451" s="68" t="s">
        <v>39</v>
      </c>
      <c r="I2451" s="168"/>
      <c r="J2451" s="74" t="str">
        <f t="shared" si="7"/>
        <v>[TIMES_SE] Aluminium finishing, sheet, electricity</v>
      </c>
      <c r="K2451" s="168"/>
      <c r="L2451" s="163"/>
      <c r="M2451" s="169"/>
    </row>
    <row r="2452" spans="1:13" x14ac:dyDescent="0.55000000000000004">
      <c r="A2452" s="108" t="s">
        <v>279</v>
      </c>
      <c r="B2452" s="68" t="s">
        <v>160</v>
      </c>
      <c r="C2452" s="168" t="s">
        <v>247</v>
      </c>
      <c r="D2452" s="68" t="s">
        <v>3288</v>
      </c>
      <c r="E2452" s="119">
        <v>0</v>
      </c>
      <c r="F2452" s="151" t="s">
        <v>135</v>
      </c>
      <c r="G2452" s="151" t="s">
        <v>135</v>
      </c>
      <c r="H2452" s="68" t="s">
        <v>39</v>
      </c>
      <c r="I2452" s="168"/>
      <c r="J2452" s="74" t="str">
        <f t="shared" si="7"/>
        <v>[TIMES_SE] Aluminium finishing, sheet, electricity</v>
      </c>
      <c r="K2452" s="168"/>
      <c r="L2452" s="163"/>
      <c r="M2452" s="169"/>
    </row>
    <row r="2453" spans="1:13" x14ac:dyDescent="0.55000000000000004">
      <c r="A2453" s="108" t="s">
        <v>276</v>
      </c>
      <c r="B2453" s="68" t="s">
        <v>277</v>
      </c>
      <c r="C2453" s="68" t="s">
        <v>121</v>
      </c>
      <c r="D2453" s="68" t="s">
        <v>3288</v>
      </c>
      <c r="E2453" s="120">
        <v>1</v>
      </c>
      <c r="F2453" s="151" t="s">
        <v>135</v>
      </c>
      <c r="G2453" s="151">
        <v>1</v>
      </c>
      <c r="H2453" s="68"/>
      <c r="I2453" s="168"/>
      <c r="J2453" s="74" t="str">
        <f t="shared" si="7"/>
        <v>[TIMES_SE] Aluminium finishing, sheet, fuel</v>
      </c>
      <c r="K2453" s="168"/>
      <c r="L2453" s="163"/>
      <c r="M2453" s="169"/>
    </row>
    <row r="2454" spans="1:13" x14ac:dyDescent="0.55000000000000004">
      <c r="A2454" s="108" t="s">
        <v>276</v>
      </c>
      <c r="B2454" s="68" t="s">
        <v>270</v>
      </c>
      <c r="C2454" s="168" t="s">
        <v>125</v>
      </c>
      <c r="D2454" s="68" t="s">
        <v>3288</v>
      </c>
      <c r="E2454" s="120">
        <f>1/0.52</f>
        <v>1.9230769230769229</v>
      </c>
      <c r="F2454" s="151" t="s">
        <v>135</v>
      </c>
      <c r="G2454" s="151" t="s">
        <v>135</v>
      </c>
      <c r="H2454" s="68" t="s">
        <v>39</v>
      </c>
      <c r="I2454" s="168" t="s">
        <v>278</v>
      </c>
      <c r="J2454" s="74" t="str">
        <f t="shared" si="7"/>
        <v>[TIMES_SE] Aluminium finishing, sheet, fuel</v>
      </c>
      <c r="K2454" s="168"/>
      <c r="L2454" s="163"/>
      <c r="M2454" s="169"/>
    </row>
    <row r="2455" spans="1:13" x14ac:dyDescent="0.55000000000000004">
      <c r="A2455" s="108" t="s">
        <v>276</v>
      </c>
      <c r="B2455" s="68" t="s">
        <v>171</v>
      </c>
      <c r="C2455" s="68" t="s">
        <v>127</v>
      </c>
      <c r="D2455" s="68" t="s">
        <v>2994</v>
      </c>
      <c r="E2455" s="120">
        <v>1.46</v>
      </c>
      <c r="F2455" s="151" t="s">
        <v>138</v>
      </c>
      <c r="G2455" s="151" t="s">
        <v>135</v>
      </c>
      <c r="H2455" s="68" t="s">
        <v>39</v>
      </c>
      <c r="I2455" s="168" t="s">
        <v>212</v>
      </c>
      <c r="J2455" s="74" t="str">
        <f t="shared" si="7"/>
        <v>[TIMES_SE] Aluminium finishing, sheet, fuel</v>
      </c>
      <c r="K2455" s="168"/>
      <c r="L2455" s="163"/>
      <c r="M2455" s="169"/>
    </row>
    <row r="2456" spans="1:13" x14ac:dyDescent="0.55000000000000004">
      <c r="A2456" s="108" t="s">
        <v>276</v>
      </c>
      <c r="B2456" s="68" t="s">
        <v>153</v>
      </c>
      <c r="C2456" s="68" t="s">
        <v>127</v>
      </c>
      <c r="D2456" s="68" t="s">
        <v>2994</v>
      </c>
      <c r="E2456" s="120">
        <v>2.27</v>
      </c>
      <c r="F2456" s="151" t="s">
        <v>138</v>
      </c>
      <c r="G2456" s="151" t="s">
        <v>135</v>
      </c>
      <c r="H2456" s="68" t="s">
        <v>39</v>
      </c>
      <c r="I2456" s="168"/>
      <c r="J2456" s="74" t="str">
        <f t="shared" si="7"/>
        <v>[TIMES_SE] Aluminium finishing, sheet, fuel</v>
      </c>
      <c r="K2456" s="168"/>
      <c r="L2456" s="163"/>
      <c r="M2456" s="169"/>
    </row>
    <row r="2457" spans="1:13" x14ac:dyDescent="0.55000000000000004">
      <c r="A2457" s="108" t="s">
        <v>276</v>
      </c>
      <c r="B2457" s="68" t="s">
        <v>160</v>
      </c>
      <c r="C2457" s="168" t="s">
        <v>247</v>
      </c>
      <c r="D2457" s="68" t="s">
        <v>3288</v>
      </c>
      <c r="E2457" s="119">
        <v>8.1906000000000007E-2</v>
      </c>
      <c r="F2457" s="151" t="s">
        <v>135</v>
      </c>
      <c r="G2457" s="151" t="s">
        <v>135</v>
      </c>
      <c r="H2457" s="68" t="s">
        <v>376</v>
      </c>
      <c r="I2457" s="168" t="s">
        <v>2013</v>
      </c>
      <c r="J2457" s="74" t="str">
        <f t="shared" si="7"/>
        <v>[TIMES_SE] Aluminium finishing, sheet, fuel</v>
      </c>
      <c r="K2457" s="168"/>
      <c r="L2457" s="163"/>
      <c r="M2457" s="169"/>
    </row>
    <row r="2458" spans="1:13" x14ac:dyDescent="0.55000000000000004">
      <c r="A2458" s="108" t="s">
        <v>276</v>
      </c>
      <c r="B2458" s="68" t="s">
        <v>160</v>
      </c>
      <c r="C2458" s="168" t="s">
        <v>247</v>
      </c>
      <c r="D2458" s="68" t="s">
        <v>3288</v>
      </c>
      <c r="E2458" s="119">
        <v>0.262548</v>
      </c>
      <c r="F2458" s="151" t="s">
        <v>135</v>
      </c>
      <c r="G2458" s="151" t="s">
        <v>135</v>
      </c>
      <c r="H2458" s="68" t="s">
        <v>376</v>
      </c>
      <c r="I2458" s="168" t="s">
        <v>2013</v>
      </c>
      <c r="J2458" s="74" t="str">
        <f t="shared" si="7"/>
        <v>[TIMES_SE] Aluminium finishing, sheet, fuel</v>
      </c>
      <c r="K2458" s="168"/>
      <c r="L2458" s="163"/>
      <c r="M2458" s="169"/>
    </row>
    <row r="2459" spans="1:13" x14ac:dyDescent="0.55000000000000004">
      <c r="A2459" s="108" t="s">
        <v>267</v>
      </c>
      <c r="B2459" s="68" t="s">
        <v>268</v>
      </c>
      <c r="C2459" s="68" t="s">
        <v>121</v>
      </c>
      <c r="D2459" s="68" t="s">
        <v>3288</v>
      </c>
      <c r="E2459" s="120">
        <v>1</v>
      </c>
      <c r="F2459" s="151" t="s">
        <v>135</v>
      </c>
      <c r="G2459" s="151">
        <v>1</v>
      </c>
      <c r="H2459" s="68"/>
      <c r="I2459" s="168"/>
      <c r="J2459" s="74" t="str">
        <f t="shared" si="7"/>
        <v>[TIMES_SE] Aluminium remelting, electricity</v>
      </c>
      <c r="K2459" s="168"/>
      <c r="L2459" s="163"/>
      <c r="M2459" s="169"/>
    </row>
    <row r="2460" spans="1:13" x14ac:dyDescent="0.55000000000000004">
      <c r="A2460" s="108" t="s">
        <v>267</v>
      </c>
      <c r="B2460" s="68" t="s">
        <v>211</v>
      </c>
      <c r="C2460" s="168" t="s">
        <v>125</v>
      </c>
      <c r="D2460" s="68" t="s">
        <v>3288</v>
      </c>
      <c r="E2460" s="120">
        <f>(1/0.969)*0.78</f>
        <v>0.80495356037151711</v>
      </c>
      <c r="F2460" s="151" t="s">
        <v>135</v>
      </c>
      <c r="G2460" s="151" t="s">
        <v>135</v>
      </c>
      <c r="H2460" s="68" t="s">
        <v>39</v>
      </c>
      <c r="I2460" s="168" t="s">
        <v>266</v>
      </c>
      <c r="J2460" s="74" t="str">
        <f t="shared" si="7"/>
        <v>[TIMES_SE] Aluminium remelting, electricity</v>
      </c>
      <c r="K2460" s="168"/>
      <c r="L2460" s="163"/>
      <c r="M2460" s="169"/>
    </row>
    <row r="2461" spans="1:13" x14ac:dyDescent="0.55000000000000004">
      <c r="A2461" s="108" t="s">
        <v>267</v>
      </c>
      <c r="B2461" s="68" t="s">
        <v>210</v>
      </c>
      <c r="C2461" s="168" t="s">
        <v>125</v>
      </c>
      <c r="D2461" s="68" t="s">
        <v>3288</v>
      </c>
      <c r="E2461" s="120">
        <f>(1/0.969)*0.22</f>
        <v>0.22703818369453047</v>
      </c>
      <c r="F2461" s="151" t="s">
        <v>135</v>
      </c>
      <c r="G2461" s="151" t="s">
        <v>135</v>
      </c>
      <c r="H2461" s="68" t="s">
        <v>39</v>
      </c>
      <c r="I2461" s="168" t="s">
        <v>266</v>
      </c>
      <c r="J2461" s="74" t="str">
        <f t="shared" si="7"/>
        <v>[TIMES_SE] Aluminium remelting, electricity</v>
      </c>
      <c r="K2461" s="168"/>
      <c r="L2461" s="163"/>
      <c r="M2461" s="169"/>
    </row>
    <row r="2462" spans="1:13" x14ac:dyDescent="0.55000000000000004">
      <c r="A2462" s="108" t="s">
        <v>267</v>
      </c>
      <c r="B2462" s="68" t="s">
        <v>153</v>
      </c>
      <c r="C2462" s="68" t="s">
        <v>127</v>
      </c>
      <c r="D2462" s="68" t="s">
        <v>2994</v>
      </c>
      <c r="E2462" s="120">
        <v>3.17</v>
      </c>
      <c r="F2462" s="151" t="s">
        <v>138</v>
      </c>
      <c r="G2462" s="151" t="s">
        <v>135</v>
      </c>
      <c r="H2462" s="68" t="s">
        <v>39</v>
      </c>
      <c r="I2462" s="168"/>
      <c r="J2462" s="74" t="str">
        <f t="shared" si="7"/>
        <v>[TIMES_SE] Aluminium remelting, electricity</v>
      </c>
      <c r="K2462" s="168"/>
      <c r="L2462" s="163"/>
      <c r="M2462" s="169"/>
    </row>
    <row r="2463" spans="1:13" x14ac:dyDescent="0.55000000000000004">
      <c r="A2463" s="108" t="s">
        <v>267</v>
      </c>
      <c r="B2463" s="68" t="s">
        <v>160</v>
      </c>
      <c r="C2463" s="168" t="s">
        <v>247</v>
      </c>
      <c r="D2463" s="68" t="s">
        <v>3288</v>
      </c>
      <c r="E2463" s="119">
        <v>0</v>
      </c>
      <c r="F2463" s="151" t="s">
        <v>135</v>
      </c>
      <c r="G2463" s="151" t="s">
        <v>135</v>
      </c>
      <c r="H2463" s="68" t="s">
        <v>39</v>
      </c>
      <c r="I2463" s="168"/>
      <c r="J2463" s="74" t="str">
        <f t="shared" si="7"/>
        <v>[TIMES_SE] Aluminium remelting, electricity</v>
      </c>
      <c r="K2463" s="168"/>
      <c r="L2463" s="163"/>
      <c r="M2463" s="169"/>
    </row>
    <row r="2464" spans="1:13" x14ac:dyDescent="0.55000000000000004">
      <c r="A2464" s="108" t="s">
        <v>265</v>
      </c>
      <c r="B2464" s="68" t="s">
        <v>260</v>
      </c>
      <c r="C2464" s="68" t="s">
        <v>121</v>
      </c>
      <c r="D2464" s="68" t="s">
        <v>3288</v>
      </c>
      <c r="E2464" s="120">
        <v>1</v>
      </c>
      <c r="F2464" s="151" t="s">
        <v>135</v>
      </c>
      <c r="G2464" s="151">
        <v>1</v>
      </c>
      <c r="H2464" s="68"/>
      <c r="I2464" s="168"/>
      <c r="J2464" s="74" t="str">
        <f t="shared" si="7"/>
        <v>[TIMES_SE] Aluminium remelting, fuel</v>
      </c>
      <c r="K2464" s="168"/>
      <c r="L2464" s="163"/>
      <c r="M2464" s="169"/>
    </row>
    <row r="2465" spans="1:13" x14ac:dyDescent="0.55000000000000004">
      <c r="A2465" s="108" t="s">
        <v>265</v>
      </c>
      <c r="B2465" s="68" t="s">
        <v>211</v>
      </c>
      <c r="C2465" s="168" t="s">
        <v>125</v>
      </c>
      <c r="D2465" s="68" t="s">
        <v>3288</v>
      </c>
      <c r="E2465" s="120">
        <f>(1/0.969)*0.78</f>
        <v>0.80495356037151711</v>
      </c>
      <c r="F2465" s="151" t="s">
        <v>135</v>
      </c>
      <c r="G2465" s="151" t="s">
        <v>135</v>
      </c>
      <c r="H2465" s="68" t="s">
        <v>39</v>
      </c>
      <c r="I2465" s="168" t="s">
        <v>266</v>
      </c>
      <c r="J2465" s="74" t="str">
        <f t="shared" si="7"/>
        <v>[TIMES_SE] Aluminium remelting, fuel</v>
      </c>
      <c r="K2465" s="168"/>
      <c r="L2465" s="163"/>
      <c r="M2465" s="169"/>
    </row>
    <row r="2466" spans="1:13" x14ac:dyDescent="0.55000000000000004">
      <c r="A2466" s="108" t="s">
        <v>265</v>
      </c>
      <c r="B2466" s="68" t="s">
        <v>210</v>
      </c>
      <c r="C2466" s="168" t="s">
        <v>125</v>
      </c>
      <c r="D2466" s="68" t="s">
        <v>3288</v>
      </c>
      <c r="E2466" s="120">
        <f>(1/0.969)*0.22</f>
        <v>0.22703818369453047</v>
      </c>
      <c r="F2466" s="151" t="s">
        <v>135</v>
      </c>
      <c r="G2466" s="151" t="s">
        <v>135</v>
      </c>
      <c r="H2466" s="68" t="s">
        <v>39</v>
      </c>
      <c r="I2466" s="168" t="s">
        <v>266</v>
      </c>
      <c r="J2466" s="74" t="str">
        <f t="shared" si="7"/>
        <v>[TIMES_SE] Aluminium remelting, fuel</v>
      </c>
      <c r="K2466" s="168"/>
      <c r="L2466" s="163"/>
      <c r="M2466" s="169"/>
    </row>
    <row r="2467" spans="1:13" x14ac:dyDescent="0.55000000000000004">
      <c r="A2467" s="108" t="s">
        <v>265</v>
      </c>
      <c r="B2467" s="68" t="s">
        <v>171</v>
      </c>
      <c r="C2467" s="68" t="s">
        <v>127</v>
      </c>
      <c r="D2467" s="68" t="s">
        <v>2994</v>
      </c>
      <c r="E2467" s="120">
        <v>3.64</v>
      </c>
      <c r="F2467" s="151" t="s">
        <v>138</v>
      </c>
      <c r="G2467" s="151" t="s">
        <v>135</v>
      </c>
      <c r="H2467" s="68" t="s">
        <v>39</v>
      </c>
      <c r="I2467" s="168" t="s">
        <v>212</v>
      </c>
      <c r="J2467" s="74" t="str">
        <f t="shared" si="7"/>
        <v>[TIMES_SE] Aluminium remelting, fuel</v>
      </c>
      <c r="K2467" s="168"/>
      <c r="L2467" s="163"/>
      <c r="M2467" s="169"/>
    </row>
    <row r="2468" spans="1:13" x14ac:dyDescent="0.55000000000000004">
      <c r="A2468" s="108" t="s">
        <v>265</v>
      </c>
      <c r="B2468" s="68" t="s">
        <v>153</v>
      </c>
      <c r="C2468" s="68" t="s">
        <v>127</v>
      </c>
      <c r="D2468" s="68" t="s">
        <v>2994</v>
      </c>
      <c r="E2468" s="120">
        <v>0.08</v>
      </c>
      <c r="F2468" s="151" t="s">
        <v>138</v>
      </c>
      <c r="G2468" s="151" t="s">
        <v>135</v>
      </c>
      <c r="H2468" s="68" t="s">
        <v>39</v>
      </c>
      <c r="I2468" s="168"/>
      <c r="J2468" s="74" t="str">
        <f t="shared" si="7"/>
        <v>[TIMES_SE] Aluminium remelting, fuel</v>
      </c>
      <c r="K2468" s="168"/>
      <c r="L2468" s="163"/>
      <c r="M2468" s="169"/>
    </row>
    <row r="2469" spans="1:13" x14ac:dyDescent="0.55000000000000004">
      <c r="A2469" s="108" t="s">
        <v>265</v>
      </c>
      <c r="B2469" s="68" t="s">
        <v>160</v>
      </c>
      <c r="C2469" s="168" t="s">
        <v>247</v>
      </c>
      <c r="D2469" s="68" t="s">
        <v>3288</v>
      </c>
      <c r="E2469" s="119">
        <v>0.204204</v>
      </c>
      <c r="F2469" s="151" t="s">
        <v>135</v>
      </c>
      <c r="G2469" s="151" t="s">
        <v>135</v>
      </c>
      <c r="H2469" s="68" t="s">
        <v>376</v>
      </c>
      <c r="I2469" s="168" t="s">
        <v>2013</v>
      </c>
      <c r="J2469" s="74" t="str">
        <f t="shared" si="7"/>
        <v>[TIMES_SE] Aluminium remelting, fuel</v>
      </c>
      <c r="K2469" s="168"/>
      <c r="L2469" s="163"/>
      <c r="M2469" s="169"/>
    </row>
    <row r="2470" spans="1:13" x14ac:dyDescent="0.55000000000000004">
      <c r="A2470" s="111" t="s">
        <v>338</v>
      </c>
      <c r="B2470" s="168" t="s">
        <v>339</v>
      </c>
      <c r="C2470" s="168" t="s">
        <v>121</v>
      </c>
      <c r="D2470" s="168" t="s">
        <v>3288</v>
      </c>
      <c r="E2470" s="116">
        <v>1</v>
      </c>
      <c r="F2470" s="149" t="s">
        <v>135</v>
      </c>
      <c r="G2470" s="149">
        <v>1</v>
      </c>
      <c r="H2470" s="68" t="s">
        <v>39</v>
      </c>
      <c r="I2470" s="168"/>
      <c r="J2470" s="77" t="str">
        <f t="shared" si="7"/>
        <v>[TIMES_SE] Basic Oxygen Furnace</v>
      </c>
      <c r="K2470" s="168"/>
      <c r="L2470" s="131"/>
      <c r="M2470" s="169"/>
    </row>
    <row r="2471" spans="1:13" x14ac:dyDescent="0.55000000000000004">
      <c r="A2471" s="111" t="s">
        <v>338</v>
      </c>
      <c r="B2471" s="168" t="s">
        <v>287</v>
      </c>
      <c r="C2471" s="21" t="s">
        <v>125</v>
      </c>
      <c r="D2471" s="168" t="s">
        <v>3288</v>
      </c>
      <c r="E2471" s="116">
        <f>(1/0.917)*(1-0.167)</f>
        <v>0.90839694656488545</v>
      </c>
      <c r="F2471" s="149" t="s">
        <v>135</v>
      </c>
      <c r="G2471" s="149" t="s">
        <v>135</v>
      </c>
      <c r="H2471" s="68" t="s">
        <v>39</v>
      </c>
      <c r="I2471" s="168" t="s">
        <v>340</v>
      </c>
      <c r="J2471" s="77" t="str">
        <f t="shared" si="7"/>
        <v>[TIMES_SE] Basic Oxygen Furnace</v>
      </c>
      <c r="K2471" s="168"/>
      <c r="L2471" s="131"/>
      <c r="M2471" s="169"/>
    </row>
    <row r="2472" spans="1:13" x14ac:dyDescent="0.55000000000000004">
      <c r="A2472" s="111" t="s">
        <v>338</v>
      </c>
      <c r="B2472" s="168" t="s">
        <v>341</v>
      </c>
      <c r="C2472" s="21" t="s">
        <v>125</v>
      </c>
      <c r="D2472" s="168" t="s">
        <v>3288</v>
      </c>
      <c r="E2472" s="116">
        <f>(1/0.917)*(0.167)</f>
        <v>0.1821155943293348</v>
      </c>
      <c r="F2472" s="149" t="s">
        <v>135</v>
      </c>
      <c r="G2472" s="149" t="s">
        <v>135</v>
      </c>
      <c r="H2472" s="68" t="s">
        <v>39</v>
      </c>
      <c r="I2472" s="168" t="s">
        <v>342</v>
      </c>
      <c r="J2472" s="77" t="str">
        <f t="shared" si="7"/>
        <v>[TIMES_SE] Basic Oxygen Furnace</v>
      </c>
      <c r="K2472" s="168"/>
      <c r="L2472" s="131"/>
      <c r="M2472" s="169"/>
    </row>
    <row r="2473" spans="1:13" x14ac:dyDescent="0.55000000000000004">
      <c r="A2473" s="111" t="s">
        <v>338</v>
      </c>
      <c r="B2473" s="168" t="s">
        <v>298</v>
      </c>
      <c r="C2473" s="168" t="s">
        <v>127</v>
      </c>
      <c r="D2473" s="168" t="s">
        <v>2994</v>
      </c>
      <c r="E2473" s="116">
        <v>1.4999999999999999E-2</v>
      </c>
      <c r="F2473" s="149" t="s">
        <v>138</v>
      </c>
      <c r="G2473" s="149" t="s">
        <v>135</v>
      </c>
      <c r="H2473" s="68" t="s">
        <v>39</v>
      </c>
      <c r="I2473" s="168" t="s">
        <v>343</v>
      </c>
      <c r="J2473" s="77" t="str">
        <f t="shared" ref="J2473:J2536" si="8">A2473</f>
        <v>[TIMES_SE] Basic Oxygen Furnace</v>
      </c>
      <c r="K2473" s="168"/>
      <c r="L2473" s="131"/>
      <c r="M2473" s="169"/>
    </row>
    <row r="2474" spans="1:13" x14ac:dyDescent="0.55000000000000004">
      <c r="A2474" s="111" t="s">
        <v>338</v>
      </c>
      <c r="B2474" s="168" t="s">
        <v>213</v>
      </c>
      <c r="C2474" s="168" t="s">
        <v>125</v>
      </c>
      <c r="D2474" s="168" t="s">
        <v>3289</v>
      </c>
      <c r="E2474" s="116">
        <v>54</v>
      </c>
      <c r="F2474" s="149" t="s">
        <v>133</v>
      </c>
      <c r="G2474" s="149" t="s">
        <v>135</v>
      </c>
      <c r="H2474" s="68" t="s">
        <v>39</v>
      </c>
      <c r="I2474" s="168"/>
      <c r="J2474" s="77" t="str">
        <f t="shared" si="8"/>
        <v>[TIMES_SE] Basic Oxygen Furnace</v>
      </c>
      <c r="K2474" s="168"/>
      <c r="L2474" s="131"/>
      <c r="M2474" s="169"/>
    </row>
    <row r="2475" spans="1:13" x14ac:dyDescent="0.55000000000000004">
      <c r="A2475" s="111" t="s">
        <v>338</v>
      </c>
      <c r="B2475" s="168" t="s">
        <v>131</v>
      </c>
      <c r="C2475" s="168" t="s">
        <v>125</v>
      </c>
      <c r="D2475" s="168" t="s">
        <v>3288</v>
      </c>
      <c r="E2475" s="116">
        <v>6.5000000000000002E-2</v>
      </c>
      <c r="F2475" s="149" t="s">
        <v>135</v>
      </c>
      <c r="G2475" s="149" t="s">
        <v>135</v>
      </c>
      <c r="H2475" s="68" t="s">
        <v>39</v>
      </c>
      <c r="I2475" s="168"/>
      <c r="J2475" s="77" t="str">
        <f t="shared" si="8"/>
        <v>[TIMES_SE] Basic Oxygen Furnace</v>
      </c>
      <c r="K2475" s="168"/>
      <c r="L2475" s="131"/>
      <c r="M2475" s="169"/>
    </row>
    <row r="2476" spans="1:13" x14ac:dyDescent="0.55000000000000004">
      <c r="A2476" s="111" t="s">
        <v>338</v>
      </c>
      <c r="B2476" s="168" t="s">
        <v>170</v>
      </c>
      <c r="C2476" s="168" t="s">
        <v>125</v>
      </c>
      <c r="D2476" s="168" t="s">
        <v>3288</v>
      </c>
      <c r="E2476" s="116">
        <v>1.6E-2</v>
      </c>
      <c r="F2476" s="149" t="s">
        <v>135</v>
      </c>
      <c r="G2476" s="149" t="s">
        <v>135</v>
      </c>
      <c r="H2476" s="68" t="s">
        <v>39</v>
      </c>
      <c r="I2476" s="168"/>
      <c r="J2476" s="77" t="str">
        <f t="shared" si="8"/>
        <v>[TIMES_SE] Basic Oxygen Furnace</v>
      </c>
      <c r="K2476" s="168"/>
      <c r="L2476" s="131"/>
      <c r="M2476" s="169"/>
    </row>
    <row r="2477" spans="1:13" x14ac:dyDescent="0.55000000000000004">
      <c r="A2477" s="111" t="s">
        <v>338</v>
      </c>
      <c r="B2477" s="168" t="s">
        <v>153</v>
      </c>
      <c r="C2477" s="168" t="s">
        <v>127</v>
      </c>
      <c r="D2477" s="168" t="s">
        <v>2994</v>
      </c>
      <c r="E2477" s="116">
        <v>0.16200000000000001</v>
      </c>
      <c r="F2477" s="149" t="s">
        <v>138</v>
      </c>
      <c r="G2477" s="149" t="s">
        <v>135</v>
      </c>
      <c r="H2477" s="68" t="s">
        <v>39</v>
      </c>
      <c r="I2477" s="168"/>
      <c r="J2477" s="77" t="str">
        <f t="shared" si="8"/>
        <v>[TIMES_SE] Basic Oxygen Furnace</v>
      </c>
      <c r="K2477" s="168"/>
      <c r="L2477" s="131"/>
      <c r="M2477" s="169"/>
    </row>
    <row r="2478" spans="1:13" x14ac:dyDescent="0.55000000000000004">
      <c r="A2478" s="111" t="s">
        <v>338</v>
      </c>
      <c r="B2478" s="168" t="s">
        <v>160</v>
      </c>
      <c r="C2478" s="168" t="s">
        <v>247</v>
      </c>
      <c r="D2478" s="168" t="s">
        <v>3288</v>
      </c>
      <c r="E2478" s="116">
        <v>1.0394999999999998E-3</v>
      </c>
      <c r="F2478" s="149" t="s">
        <v>135</v>
      </c>
      <c r="G2478" s="149" t="s">
        <v>135</v>
      </c>
      <c r="H2478" s="168" t="s">
        <v>376</v>
      </c>
      <c r="I2478" s="168"/>
      <c r="J2478" s="77" t="str">
        <f t="shared" si="8"/>
        <v>[TIMES_SE] Basic Oxygen Furnace</v>
      </c>
      <c r="K2478" s="168"/>
      <c r="L2478" s="131"/>
      <c r="M2478" s="169"/>
    </row>
    <row r="2479" spans="1:13" x14ac:dyDescent="0.55000000000000004">
      <c r="A2479" s="92" t="s">
        <v>2082</v>
      </c>
      <c r="B2479" s="168" t="s">
        <v>287</v>
      </c>
      <c r="C2479" s="168" t="s">
        <v>121</v>
      </c>
      <c r="D2479" s="168" t="s">
        <v>3288</v>
      </c>
      <c r="E2479" s="116">
        <v>1</v>
      </c>
      <c r="F2479" s="149" t="s">
        <v>135</v>
      </c>
      <c r="G2479" s="149">
        <v>1</v>
      </c>
      <c r="H2479" s="68" t="s">
        <v>39</v>
      </c>
      <c r="I2479" s="168"/>
      <c r="J2479" s="77" t="str">
        <f t="shared" si="8"/>
        <v>[TIMES_SE] Blast furnace</v>
      </c>
      <c r="K2479" s="168"/>
      <c r="L2479" s="131"/>
      <c r="M2479" s="169"/>
    </row>
    <row r="2480" spans="1:13" x14ac:dyDescent="0.55000000000000004">
      <c r="A2480" s="92" t="s">
        <v>2082</v>
      </c>
      <c r="B2480" s="21" t="s">
        <v>288</v>
      </c>
      <c r="C2480" s="168" t="s">
        <v>156</v>
      </c>
      <c r="D2480" s="168" t="s">
        <v>3288</v>
      </c>
      <c r="E2480" s="116">
        <v>0.28000000000000003</v>
      </c>
      <c r="F2480" s="149" t="s">
        <v>135</v>
      </c>
      <c r="G2480" s="149" t="s">
        <v>135</v>
      </c>
      <c r="H2480" s="68" t="s">
        <v>39</v>
      </c>
      <c r="I2480" s="168"/>
      <c r="J2480" s="77" t="str">
        <f t="shared" si="8"/>
        <v>[TIMES_SE] Blast furnace</v>
      </c>
      <c r="K2480" s="168"/>
      <c r="L2480" s="131"/>
      <c r="M2480" s="169"/>
    </row>
    <row r="2481" spans="1:13" x14ac:dyDescent="0.55000000000000004">
      <c r="A2481" s="92" t="s">
        <v>2082</v>
      </c>
      <c r="B2481" s="21" t="s">
        <v>289</v>
      </c>
      <c r="C2481" s="168" t="s">
        <v>156</v>
      </c>
      <c r="D2481" s="168" t="s">
        <v>2994</v>
      </c>
      <c r="E2481" s="116">
        <f>4.29+0.59</f>
        <v>4.88</v>
      </c>
      <c r="F2481" s="149" t="s">
        <v>138</v>
      </c>
      <c r="G2481" s="149" t="s">
        <v>135</v>
      </c>
      <c r="H2481" s="68" t="s">
        <v>39</v>
      </c>
      <c r="I2481" s="168"/>
      <c r="J2481" s="77" t="str">
        <f t="shared" si="8"/>
        <v>[TIMES_SE] Blast furnace</v>
      </c>
      <c r="K2481" s="168"/>
      <c r="L2481" s="131"/>
      <c r="M2481" s="169"/>
    </row>
    <row r="2482" spans="1:13" x14ac:dyDescent="0.55000000000000004">
      <c r="A2482" s="92" t="s">
        <v>2082</v>
      </c>
      <c r="B2482" s="168" t="s">
        <v>290</v>
      </c>
      <c r="C2482" s="21" t="s">
        <v>125</v>
      </c>
      <c r="D2482" s="168" t="s">
        <v>3288</v>
      </c>
      <c r="E2482" s="116">
        <f>1/0.6</f>
        <v>1.6666666666666667</v>
      </c>
      <c r="F2482" s="149" t="s">
        <v>135</v>
      </c>
      <c r="G2482" s="149" t="s">
        <v>135</v>
      </c>
      <c r="H2482" s="68" t="s">
        <v>291</v>
      </c>
      <c r="I2482" s="168" t="s">
        <v>292</v>
      </c>
      <c r="J2482" s="77" t="str">
        <f t="shared" si="8"/>
        <v>[TIMES_SE] Blast furnace</v>
      </c>
      <c r="K2482" s="168"/>
      <c r="L2482" s="131"/>
      <c r="M2482" s="169"/>
    </row>
    <row r="2483" spans="1:13" x14ac:dyDescent="0.55000000000000004">
      <c r="A2483" s="92" t="s">
        <v>2082</v>
      </c>
      <c r="B2483" s="168" t="s">
        <v>293</v>
      </c>
      <c r="C2483" s="168" t="s">
        <v>294</v>
      </c>
      <c r="D2483" s="168" t="s">
        <v>2994</v>
      </c>
      <c r="E2483" s="116">
        <v>13.7</v>
      </c>
      <c r="F2483" s="149" t="s">
        <v>138</v>
      </c>
      <c r="G2483" s="149" t="s">
        <v>135</v>
      </c>
      <c r="H2483" s="68" t="s">
        <v>291</v>
      </c>
      <c r="I2483" s="168" t="s">
        <v>295</v>
      </c>
      <c r="J2483" s="77" t="str">
        <f t="shared" si="8"/>
        <v>[TIMES_SE] Blast furnace</v>
      </c>
      <c r="K2483" s="168"/>
      <c r="L2483" s="131"/>
      <c r="M2483" s="169"/>
    </row>
    <row r="2484" spans="1:13" x14ac:dyDescent="0.55000000000000004">
      <c r="A2484" s="92" t="s">
        <v>2082</v>
      </c>
      <c r="B2484" s="168" t="s">
        <v>262</v>
      </c>
      <c r="C2484" s="168" t="s">
        <v>294</v>
      </c>
      <c r="D2484" s="168" t="s">
        <v>2994</v>
      </c>
      <c r="E2484" s="116">
        <v>0</v>
      </c>
      <c r="F2484" s="149" t="s">
        <v>138</v>
      </c>
      <c r="G2484" s="149" t="s">
        <v>135</v>
      </c>
      <c r="H2484" s="68" t="s">
        <v>296</v>
      </c>
      <c r="I2484" s="168" t="s">
        <v>295</v>
      </c>
      <c r="J2484" s="77" t="str">
        <f t="shared" si="8"/>
        <v>[TIMES_SE] Blast furnace</v>
      </c>
      <c r="K2484" s="168"/>
      <c r="L2484" s="131"/>
      <c r="M2484" s="169"/>
    </row>
    <row r="2485" spans="1:13" x14ac:dyDescent="0.55000000000000004">
      <c r="A2485" s="92" t="s">
        <v>2082</v>
      </c>
      <c r="B2485" s="168" t="s">
        <v>297</v>
      </c>
      <c r="C2485" s="168" t="s">
        <v>294</v>
      </c>
      <c r="D2485" s="168" t="s">
        <v>2994</v>
      </c>
      <c r="E2485" s="116">
        <v>0</v>
      </c>
      <c r="F2485" s="149" t="s">
        <v>138</v>
      </c>
      <c r="G2485" s="149" t="s">
        <v>135</v>
      </c>
      <c r="H2485" s="68" t="s">
        <v>296</v>
      </c>
      <c r="I2485" s="168" t="s">
        <v>295</v>
      </c>
      <c r="J2485" s="77" t="str">
        <f t="shared" si="8"/>
        <v>[TIMES_SE] Blast furnace</v>
      </c>
      <c r="K2485" s="168"/>
      <c r="L2485" s="131"/>
      <c r="M2485" s="169"/>
    </row>
    <row r="2486" spans="1:13" x14ac:dyDescent="0.55000000000000004">
      <c r="A2486" s="92" t="s">
        <v>2082</v>
      </c>
      <c r="B2486" s="168" t="s">
        <v>213</v>
      </c>
      <c r="C2486" s="168" t="s">
        <v>125</v>
      </c>
      <c r="D2486" s="168" t="s">
        <v>3289</v>
      </c>
      <c r="E2486" s="116">
        <v>48</v>
      </c>
      <c r="F2486" s="149" t="s">
        <v>133</v>
      </c>
      <c r="G2486" s="149" t="s">
        <v>135</v>
      </c>
      <c r="H2486" s="68" t="s">
        <v>39</v>
      </c>
      <c r="I2486" s="168"/>
      <c r="J2486" s="77" t="str">
        <f t="shared" si="8"/>
        <v>[TIMES_SE] Blast furnace</v>
      </c>
      <c r="K2486" s="168"/>
      <c r="L2486" s="131"/>
      <c r="M2486" s="169"/>
    </row>
    <row r="2487" spans="1:13" x14ac:dyDescent="0.55000000000000004">
      <c r="A2487" s="92" t="s">
        <v>2082</v>
      </c>
      <c r="B2487" s="168" t="s">
        <v>131</v>
      </c>
      <c r="C2487" s="168" t="s">
        <v>125</v>
      </c>
      <c r="D2487" s="168" t="s">
        <v>3288</v>
      </c>
      <c r="E2487" s="116">
        <v>1.2999999999999999E-2</v>
      </c>
      <c r="F2487" s="149" t="s">
        <v>135</v>
      </c>
      <c r="G2487" s="149" t="s">
        <v>135</v>
      </c>
      <c r="H2487" s="68" t="s">
        <v>39</v>
      </c>
      <c r="I2487" s="168"/>
      <c r="J2487" s="77" t="str">
        <f t="shared" si="8"/>
        <v>[TIMES_SE] Blast furnace</v>
      </c>
      <c r="K2487" s="168"/>
      <c r="L2487" s="131"/>
      <c r="M2487" s="169"/>
    </row>
    <row r="2488" spans="1:13" x14ac:dyDescent="0.55000000000000004">
      <c r="A2488" s="92" t="s">
        <v>2082</v>
      </c>
      <c r="B2488" s="168" t="s">
        <v>298</v>
      </c>
      <c r="C2488" s="168" t="s">
        <v>127</v>
      </c>
      <c r="D2488" s="168" t="s">
        <v>2994</v>
      </c>
      <c r="E2488" s="116">
        <v>1.64</v>
      </c>
      <c r="F2488" s="149" t="s">
        <v>138</v>
      </c>
      <c r="G2488" s="149" t="s">
        <v>135</v>
      </c>
      <c r="H2488" s="68" t="s">
        <v>39</v>
      </c>
      <c r="I2488" s="168" t="s">
        <v>299</v>
      </c>
      <c r="J2488" s="77" t="str">
        <f t="shared" si="8"/>
        <v>[TIMES_SE] Blast furnace</v>
      </c>
      <c r="K2488" s="168"/>
      <c r="L2488" s="131"/>
      <c r="M2488" s="169"/>
    </row>
    <row r="2489" spans="1:13" x14ac:dyDescent="0.55000000000000004">
      <c r="A2489" s="92" t="s">
        <v>2082</v>
      </c>
      <c r="B2489" s="168" t="s">
        <v>153</v>
      </c>
      <c r="C2489" s="168" t="s">
        <v>127</v>
      </c>
      <c r="D2489" s="168" t="s">
        <v>2994</v>
      </c>
      <c r="E2489" s="116">
        <v>0.37</v>
      </c>
      <c r="F2489" s="149" t="s">
        <v>138</v>
      </c>
      <c r="G2489" s="149" t="s">
        <v>135</v>
      </c>
      <c r="H2489" s="68" t="s">
        <v>39</v>
      </c>
      <c r="I2489" s="168"/>
      <c r="J2489" s="77" t="str">
        <f t="shared" si="8"/>
        <v>[TIMES_SE] Blast furnace</v>
      </c>
      <c r="K2489" s="168"/>
      <c r="L2489" s="131"/>
      <c r="M2489" s="169"/>
    </row>
    <row r="2490" spans="1:13" x14ac:dyDescent="0.55000000000000004">
      <c r="A2490" s="92" t="s">
        <v>2082</v>
      </c>
      <c r="B2490" s="168" t="s">
        <v>160</v>
      </c>
      <c r="C2490" s="168" t="s">
        <v>247</v>
      </c>
      <c r="D2490" s="168" t="s">
        <v>3288</v>
      </c>
      <c r="E2490" s="116">
        <v>1.47275</v>
      </c>
      <c r="F2490" s="149">
        <v>1</v>
      </c>
      <c r="G2490" s="149" t="s">
        <v>135</v>
      </c>
      <c r="H2490" s="168" t="s">
        <v>376</v>
      </c>
      <c r="I2490" s="168" t="s">
        <v>2048</v>
      </c>
      <c r="J2490" s="77" t="str">
        <f t="shared" si="8"/>
        <v>[TIMES_SE] Blast furnace</v>
      </c>
      <c r="K2490" s="168"/>
      <c r="L2490" s="131"/>
      <c r="M2490" s="169"/>
    </row>
    <row r="2491" spans="1:13" x14ac:dyDescent="0.55000000000000004">
      <c r="A2491" s="92" t="s">
        <v>2082</v>
      </c>
      <c r="B2491" s="168" t="s">
        <v>160</v>
      </c>
      <c r="C2491" s="168" t="s">
        <v>247</v>
      </c>
      <c r="D2491" s="168" t="s">
        <v>3288</v>
      </c>
      <c r="E2491" s="116">
        <v>0.11365199999999999</v>
      </c>
      <c r="F2491" s="149">
        <v>1</v>
      </c>
      <c r="G2491" s="149" t="s">
        <v>135</v>
      </c>
      <c r="H2491" s="168" t="s">
        <v>376</v>
      </c>
      <c r="I2491" s="168" t="s">
        <v>2047</v>
      </c>
      <c r="J2491" s="77" t="str">
        <f t="shared" si="8"/>
        <v>[TIMES_SE] Blast furnace</v>
      </c>
      <c r="K2491" s="168"/>
      <c r="L2491" s="131"/>
      <c r="M2491" s="169"/>
    </row>
    <row r="2492" spans="1:13" x14ac:dyDescent="0.55000000000000004">
      <c r="A2492" s="92" t="s">
        <v>300</v>
      </c>
      <c r="B2492" s="168" t="s">
        <v>287</v>
      </c>
      <c r="C2492" s="168" t="s">
        <v>121</v>
      </c>
      <c r="D2492" s="168" t="s">
        <v>3288</v>
      </c>
      <c r="E2492" s="116">
        <v>1</v>
      </c>
      <c r="F2492" s="149" t="s">
        <v>135</v>
      </c>
      <c r="G2492" s="149">
        <v>1</v>
      </c>
      <c r="H2492" s="68"/>
      <c r="I2492" s="168"/>
      <c r="J2492" s="77" t="str">
        <f t="shared" si="8"/>
        <v>[TIMES_SE] Blast furnace, w. CCS (PCC MEA)</v>
      </c>
      <c r="K2492" s="168"/>
      <c r="L2492" s="131"/>
      <c r="M2492" s="169"/>
    </row>
    <row r="2493" spans="1:13" x14ac:dyDescent="0.55000000000000004">
      <c r="A2493" s="92" t="s">
        <v>300</v>
      </c>
      <c r="B2493" s="21" t="s">
        <v>288</v>
      </c>
      <c r="C2493" s="168" t="s">
        <v>156</v>
      </c>
      <c r="D2493" s="168" t="s">
        <v>3288</v>
      </c>
      <c r="E2493" s="116">
        <v>0.28000000000000003</v>
      </c>
      <c r="F2493" s="149" t="s">
        <v>135</v>
      </c>
      <c r="G2493" s="149" t="s">
        <v>135</v>
      </c>
      <c r="H2493" s="68" t="s">
        <v>39</v>
      </c>
      <c r="I2493" s="168"/>
      <c r="J2493" s="77" t="str">
        <f t="shared" si="8"/>
        <v>[TIMES_SE] Blast furnace, w. CCS (PCC MEA)</v>
      </c>
      <c r="K2493" s="168"/>
      <c r="L2493" s="131"/>
      <c r="M2493" s="169"/>
    </row>
    <row r="2494" spans="1:13" x14ac:dyDescent="0.55000000000000004">
      <c r="A2494" s="92" t="s">
        <v>300</v>
      </c>
      <c r="B2494" s="21" t="s">
        <v>289</v>
      </c>
      <c r="C2494" s="168" t="s">
        <v>156</v>
      </c>
      <c r="D2494" s="168" t="s">
        <v>2994</v>
      </c>
      <c r="E2494" s="116">
        <f>4.29+0.59</f>
        <v>4.88</v>
      </c>
      <c r="F2494" s="149" t="s">
        <v>138</v>
      </c>
      <c r="G2494" s="149" t="s">
        <v>135</v>
      </c>
      <c r="H2494" s="68" t="s">
        <v>39</v>
      </c>
      <c r="I2494" s="168"/>
      <c r="J2494" s="77" t="str">
        <f t="shared" si="8"/>
        <v>[TIMES_SE] Blast furnace, w. CCS (PCC MEA)</v>
      </c>
      <c r="K2494" s="168"/>
      <c r="L2494" s="131"/>
      <c r="M2494" s="169"/>
    </row>
    <row r="2495" spans="1:13" x14ac:dyDescent="0.55000000000000004">
      <c r="A2495" s="92" t="s">
        <v>300</v>
      </c>
      <c r="B2495" s="168" t="s">
        <v>290</v>
      </c>
      <c r="C2495" s="21" t="s">
        <v>125</v>
      </c>
      <c r="D2495" s="168" t="s">
        <v>3288</v>
      </c>
      <c r="E2495" s="116">
        <f>1/0.6</f>
        <v>1.6666666666666667</v>
      </c>
      <c r="F2495" s="149" t="s">
        <v>135</v>
      </c>
      <c r="G2495" s="149" t="s">
        <v>135</v>
      </c>
      <c r="H2495" s="68" t="s">
        <v>39</v>
      </c>
      <c r="I2495" s="168" t="s">
        <v>292</v>
      </c>
      <c r="J2495" s="77" t="str">
        <f t="shared" si="8"/>
        <v>[TIMES_SE] Blast furnace, w. CCS (PCC MEA)</v>
      </c>
      <c r="K2495" s="168"/>
      <c r="L2495" s="131"/>
      <c r="M2495" s="169"/>
    </row>
    <row r="2496" spans="1:13" x14ac:dyDescent="0.55000000000000004">
      <c r="A2496" s="92" t="s">
        <v>300</v>
      </c>
      <c r="B2496" s="168" t="s">
        <v>293</v>
      </c>
      <c r="C2496" s="168" t="s">
        <v>294</v>
      </c>
      <c r="D2496" s="168" t="s">
        <v>2994</v>
      </c>
      <c r="E2496" s="116">
        <v>13.7</v>
      </c>
      <c r="F2496" s="149" t="s">
        <v>138</v>
      </c>
      <c r="G2496" s="149" t="s">
        <v>135</v>
      </c>
      <c r="H2496" s="68" t="s">
        <v>301</v>
      </c>
      <c r="I2496" s="168" t="s">
        <v>295</v>
      </c>
      <c r="J2496" s="77" t="str">
        <f t="shared" si="8"/>
        <v>[TIMES_SE] Blast furnace, w. CCS (PCC MEA)</v>
      </c>
      <c r="K2496" s="168"/>
      <c r="L2496" s="131"/>
      <c r="M2496" s="169"/>
    </row>
    <row r="2497" spans="1:13" x14ac:dyDescent="0.55000000000000004">
      <c r="A2497" s="92" t="s">
        <v>300</v>
      </c>
      <c r="B2497" s="168" t="s">
        <v>262</v>
      </c>
      <c r="C2497" s="168" t="s">
        <v>294</v>
      </c>
      <c r="D2497" s="168" t="s">
        <v>2994</v>
      </c>
      <c r="E2497" s="116">
        <v>0</v>
      </c>
      <c r="F2497" s="149" t="s">
        <v>138</v>
      </c>
      <c r="G2497" s="149" t="s">
        <v>135</v>
      </c>
      <c r="H2497" s="68" t="s">
        <v>296</v>
      </c>
      <c r="I2497" s="168" t="s">
        <v>295</v>
      </c>
      <c r="J2497" s="77" t="str">
        <f t="shared" si="8"/>
        <v>[TIMES_SE] Blast furnace, w. CCS (PCC MEA)</v>
      </c>
      <c r="K2497" s="168"/>
      <c r="L2497" s="131"/>
      <c r="M2497" s="169"/>
    </row>
    <row r="2498" spans="1:13" x14ac:dyDescent="0.55000000000000004">
      <c r="A2498" s="92" t="s">
        <v>300</v>
      </c>
      <c r="B2498" s="168" t="s">
        <v>297</v>
      </c>
      <c r="C2498" s="168" t="s">
        <v>294</v>
      </c>
      <c r="D2498" s="168" t="s">
        <v>2994</v>
      </c>
      <c r="E2498" s="116">
        <v>0</v>
      </c>
      <c r="F2498" s="149" t="s">
        <v>138</v>
      </c>
      <c r="G2498" s="149" t="s">
        <v>135</v>
      </c>
      <c r="H2498" s="68" t="s">
        <v>296</v>
      </c>
      <c r="I2498" s="168" t="s">
        <v>295</v>
      </c>
      <c r="J2498" s="77" t="str">
        <f t="shared" si="8"/>
        <v>[TIMES_SE] Blast furnace, w. CCS (PCC MEA)</v>
      </c>
      <c r="K2498" s="168"/>
      <c r="L2498" s="131"/>
      <c r="M2498" s="169"/>
    </row>
    <row r="2499" spans="1:13" x14ac:dyDescent="0.55000000000000004">
      <c r="A2499" s="92" t="s">
        <v>300</v>
      </c>
      <c r="B2499" s="168" t="s">
        <v>213</v>
      </c>
      <c r="C2499" s="168" t="s">
        <v>125</v>
      </c>
      <c r="D2499" s="168" t="s">
        <v>3289</v>
      </c>
      <c r="E2499" s="116">
        <v>48</v>
      </c>
      <c r="F2499" s="149" t="s">
        <v>133</v>
      </c>
      <c r="G2499" s="149" t="s">
        <v>135</v>
      </c>
      <c r="H2499" s="68" t="s">
        <v>39</v>
      </c>
      <c r="I2499" s="168"/>
      <c r="J2499" s="77" t="str">
        <f t="shared" si="8"/>
        <v>[TIMES_SE] Blast furnace, w. CCS (PCC MEA)</v>
      </c>
      <c r="K2499" s="168"/>
      <c r="L2499" s="131"/>
      <c r="M2499" s="169"/>
    </row>
    <row r="2500" spans="1:13" x14ac:dyDescent="0.55000000000000004">
      <c r="A2500" s="92" t="s">
        <v>300</v>
      </c>
      <c r="B2500" s="168" t="s">
        <v>131</v>
      </c>
      <c r="C2500" s="168" t="s">
        <v>125</v>
      </c>
      <c r="D2500" s="168" t="s">
        <v>3288</v>
      </c>
      <c r="E2500" s="116">
        <v>1.2999999999999999E-2</v>
      </c>
      <c r="F2500" s="149" t="s">
        <v>135</v>
      </c>
      <c r="G2500" s="149" t="s">
        <v>135</v>
      </c>
      <c r="H2500" s="68" t="s">
        <v>39</v>
      </c>
      <c r="I2500" s="168"/>
      <c r="J2500" s="77" t="str">
        <f t="shared" si="8"/>
        <v>[TIMES_SE] Blast furnace, w. CCS (PCC MEA)</v>
      </c>
      <c r="K2500" s="168"/>
      <c r="L2500" s="131"/>
      <c r="M2500" s="169"/>
    </row>
    <row r="2501" spans="1:13" x14ac:dyDescent="0.55000000000000004">
      <c r="A2501" s="92" t="s">
        <v>300</v>
      </c>
      <c r="B2501" s="168" t="s">
        <v>298</v>
      </c>
      <c r="C2501" s="168" t="s">
        <v>127</v>
      </c>
      <c r="D2501" s="168" t="s">
        <v>2994</v>
      </c>
      <c r="E2501" s="116">
        <v>1.64</v>
      </c>
      <c r="F2501" s="149" t="s">
        <v>138</v>
      </c>
      <c r="G2501" s="149" t="s">
        <v>135</v>
      </c>
      <c r="H2501" s="68" t="s">
        <v>39</v>
      </c>
      <c r="I2501" s="168" t="s">
        <v>299</v>
      </c>
      <c r="J2501" s="77" t="str">
        <f t="shared" si="8"/>
        <v>[TIMES_SE] Blast furnace, w. CCS (PCC MEA)</v>
      </c>
      <c r="K2501" s="168"/>
      <c r="L2501" s="131"/>
      <c r="M2501" s="169"/>
    </row>
    <row r="2502" spans="1:13" x14ac:dyDescent="0.55000000000000004">
      <c r="A2502" s="92" t="s">
        <v>300</v>
      </c>
      <c r="B2502" s="168" t="s">
        <v>188</v>
      </c>
      <c r="C2502" s="168" t="s">
        <v>127</v>
      </c>
      <c r="D2502" s="168" t="s">
        <v>2994</v>
      </c>
      <c r="E2502" s="116">
        <v>1.3759999999999999</v>
      </c>
      <c r="F2502" s="149" t="s">
        <v>138</v>
      </c>
      <c r="G2502" s="149" t="s">
        <v>135</v>
      </c>
      <c r="H2502" s="68" t="s">
        <v>39</v>
      </c>
      <c r="I2502" s="168"/>
      <c r="J2502" s="77" t="str">
        <f t="shared" si="8"/>
        <v>[TIMES_SE] Blast furnace, w. CCS (PCC MEA)</v>
      </c>
      <c r="K2502" s="168"/>
      <c r="L2502" s="131"/>
      <c r="M2502" s="169"/>
    </row>
    <row r="2503" spans="1:13" x14ac:dyDescent="0.55000000000000004">
      <c r="A2503" s="92" t="s">
        <v>300</v>
      </c>
      <c r="B2503" s="168" t="s">
        <v>153</v>
      </c>
      <c r="C2503" s="168" t="s">
        <v>127</v>
      </c>
      <c r="D2503" s="168" t="s">
        <v>2994</v>
      </c>
      <c r="E2503" s="116">
        <v>0.56999999999999995</v>
      </c>
      <c r="F2503" s="149" t="s">
        <v>138</v>
      </c>
      <c r="G2503" s="149" t="s">
        <v>135</v>
      </c>
      <c r="H2503" s="68" t="s">
        <v>39</v>
      </c>
      <c r="I2503" s="168"/>
      <c r="J2503" s="77" t="str">
        <f t="shared" si="8"/>
        <v>[TIMES_SE] Blast furnace, w. CCS (PCC MEA)</v>
      </c>
      <c r="K2503" s="168"/>
      <c r="L2503" s="131"/>
      <c r="M2503" s="169"/>
    </row>
    <row r="2504" spans="1:13" x14ac:dyDescent="0.55000000000000004">
      <c r="A2504" s="92" t="s">
        <v>300</v>
      </c>
      <c r="B2504" s="168" t="s">
        <v>160</v>
      </c>
      <c r="C2504" s="168" t="s">
        <v>247</v>
      </c>
      <c r="D2504" s="168" t="s">
        <v>3288</v>
      </c>
      <c r="E2504" s="119">
        <f>1.47275*0.1</f>
        <v>0.14727500000000002</v>
      </c>
      <c r="F2504" s="151" t="s">
        <v>135</v>
      </c>
      <c r="G2504" s="149" t="s">
        <v>135</v>
      </c>
      <c r="H2504" s="68" t="s">
        <v>376</v>
      </c>
      <c r="I2504" s="168" t="s">
        <v>2049</v>
      </c>
      <c r="J2504" s="74" t="str">
        <f t="shared" si="8"/>
        <v>[TIMES_SE] Blast furnace, w. CCS (PCC MEA)</v>
      </c>
      <c r="K2504" s="168"/>
      <c r="L2504" s="160"/>
      <c r="M2504" s="169"/>
    </row>
    <row r="2505" spans="1:13" x14ac:dyDescent="0.55000000000000004">
      <c r="A2505" s="92" t="s">
        <v>300</v>
      </c>
      <c r="B2505" s="168" t="s">
        <v>160</v>
      </c>
      <c r="C2505" s="168" t="s">
        <v>247</v>
      </c>
      <c r="D2505" s="168" t="s">
        <v>3288</v>
      </c>
      <c r="E2505" s="119">
        <f>0.113652*0.1</f>
        <v>1.1365200000000001E-2</v>
      </c>
      <c r="F2505" s="151" t="s">
        <v>135</v>
      </c>
      <c r="G2505" s="149" t="s">
        <v>135</v>
      </c>
      <c r="H2505" s="68" t="s">
        <v>376</v>
      </c>
      <c r="I2505" s="168" t="s">
        <v>2050</v>
      </c>
      <c r="J2505" s="74" t="str">
        <f t="shared" si="8"/>
        <v>[TIMES_SE] Blast furnace, w. CCS (PCC MEA)</v>
      </c>
      <c r="K2505" s="168"/>
      <c r="L2505" s="160"/>
      <c r="M2505" s="169"/>
    </row>
    <row r="2506" spans="1:13" x14ac:dyDescent="0.55000000000000004">
      <c r="A2506" s="92" t="s">
        <v>300</v>
      </c>
      <c r="B2506" s="168" t="s">
        <v>160</v>
      </c>
      <c r="C2506" s="168" t="s">
        <v>247</v>
      </c>
      <c r="D2506" s="168" t="s">
        <v>3288</v>
      </c>
      <c r="E2506" s="119">
        <f>0.071552*0.1</f>
        <v>7.1552000000000004E-3</v>
      </c>
      <c r="F2506" s="151" t="s">
        <v>135</v>
      </c>
      <c r="G2506" s="149" t="s">
        <v>135</v>
      </c>
      <c r="H2506" s="68" t="s">
        <v>373</v>
      </c>
      <c r="I2506" s="168" t="s">
        <v>2051</v>
      </c>
      <c r="J2506" s="74" t="str">
        <f t="shared" si="8"/>
        <v>[TIMES_SE] Blast furnace, w. CCS (PCC MEA)</v>
      </c>
      <c r="K2506" s="168"/>
      <c r="L2506" s="160"/>
      <c r="M2506" s="169"/>
    </row>
    <row r="2507" spans="1:13" x14ac:dyDescent="0.55000000000000004">
      <c r="A2507" s="92" t="s">
        <v>300</v>
      </c>
      <c r="B2507" s="168" t="s">
        <v>160</v>
      </c>
      <c r="C2507" s="168" t="s">
        <v>156</v>
      </c>
      <c r="D2507" s="168" t="s">
        <v>3288</v>
      </c>
      <c r="E2507" s="119">
        <f>1.47275*0.9</f>
        <v>1.325475</v>
      </c>
      <c r="F2507" s="151" t="s">
        <v>135</v>
      </c>
      <c r="G2507" s="149" t="s">
        <v>135</v>
      </c>
      <c r="H2507" s="68" t="s">
        <v>376</v>
      </c>
      <c r="I2507" s="168" t="s">
        <v>2049</v>
      </c>
      <c r="J2507" s="74" t="str">
        <f t="shared" si="8"/>
        <v>[TIMES_SE] Blast furnace, w. CCS (PCC MEA)</v>
      </c>
      <c r="K2507" s="168"/>
      <c r="L2507" s="160"/>
      <c r="M2507" s="169"/>
    </row>
    <row r="2508" spans="1:13" x14ac:dyDescent="0.55000000000000004">
      <c r="A2508" s="92" t="s">
        <v>300</v>
      </c>
      <c r="B2508" s="168" t="s">
        <v>160</v>
      </c>
      <c r="C2508" s="168" t="s">
        <v>156</v>
      </c>
      <c r="D2508" s="168" t="s">
        <v>3288</v>
      </c>
      <c r="E2508" s="119">
        <f>0.113652*0.9</f>
        <v>0.10228680000000001</v>
      </c>
      <c r="F2508" s="151" t="s">
        <v>135</v>
      </c>
      <c r="G2508" s="149" t="s">
        <v>135</v>
      </c>
      <c r="H2508" s="68" t="s">
        <v>376</v>
      </c>
      <c r="I2508" s="168" t="s">
        <v>2050</v>
      </c>
      <c r="J2508" s="74" t="str">
        <f t="shared" si="8"/>
        <v>[TIMES_SE] Blast furnace, w. CCS (PCC MEA)</v>
      </c>
      <c r="K2508" s="168"/>
      <c r="L2508" s="160"/>
      <c r="M2508" s="169"/>
    </row>
    <row r="2509" spans="1:13" x14ac:dyDescent="0.55000000000000004">
      <c r="A2509" s="92" t="s">
        <v>300</v>
      </c>
      <c r="B2509" s="168" t="s">
        <v>160</v>
      </c>
      <c r="C2509" s="168" t="s">
        <v>156</v>
      </c>
      <c r="D2509" s="168" t="s">
        <v>3288</v>
      </c>
      <c r="E2509" s="119">
        <f>0.071552*0.9</f>
        <v>6.4396800000000004E-2</v>
      </c>
      <c r="F2509" s="151" t="s">
        <v>135</v>
      </c>
      <c r="G2509" s="149" t="s">
        <v>135</v>
      </c>
      <c r="H2509" s="68" t="s">
        <v>373</v>
      </c>
      <c r="I2509" s="168" t="s">
        <v>2051</v>
      </c>
      <c r="J2509" s="74" t="str">
        <f t="shared" si="8"/>
        <v>[TIMES_SE] Blast furnace, w. CCS (PCC MEA)</v>
      </c>
      <c r="K2509" s="168"/>
      <c r="L2509" s="160"/>
      <c r="M2509" s="169"/>
    </row>
    <row r="2510" spans="1:13" x14ac:dyDescent="0.55000000000000004">
      <c r="A2510" s="92" t="s">
        <v>302</v>
      </c>
      <c r="B2510" s="168" t="s">
        <v>287</v>
      </c>
      <c r="C2510" s="168" t="s">
        <v>121</v>
      </c>
      <c r="D2510" s="168" t="s">
        <v>3288</v>
      </c>
      <c r="E2510" s="116">
        <v>1</v>
      </c>
      <c r="F2510" s="149" t="s">
        <v>135</v>
      </c>
      <c r="G2510" s="149">
        <v>1</v>
      </c>
      <c r="H2510" s="68"/>
      <c r="I2510" s="168"/>
      <c r="J2510" s="77" t="str">
        <f t="shared" si="8"/>
        <v>[TIMES_SE] Blast furnace, w. CCS (PCC VPSA)</v>
      </c>
      <c r="K2510" s="168"/>
      <c r="L2510" s="131"/>
      <c r="M2510" s="169"/>
    </row>
    <row r="2511" spans="1:13" x14ac:dyDescent="0.55000000000000004">
      <c r="A2511" s="92" t="s">
        <v>302</v>
      </c>
      <c r="B2511" s="21" t="s">
        <v>288</v>
      </c>
      <c r="C2511" s="168" t="s">
        <v>156</v>
      </c>
      <c r="D2511" s="168" t="s">
        <v>3288</v>
      </c>
      <c r="E2511" s="116">
        <v>0.28000000000000003</v>
      </c>
      <c r="F2511" s="149" t="s">
        <v>135</v>
      </c>
      <c r="G2511" s="149" t="s">
        <v>135</v>
      </c>
      <c r="H2511" s="68" t="s">
        <v>39</v>
      </c>
      <c r="I2511" s="168"/>
      <c r="J2511" s="77" t="str">
        <f t="shared" si="8"/>
        <v>[TIMES_SE] Blast furnace, w. CCS (PCC VPSA)</v>
      </c>
      <c r="K2511" s="168"/>
      <c r="L2511" s="131"/>
      <c r="M2511" s="169"/>
    </row>
    <row r="2512" spans="1:13" x14ac:dyDescent="0.55000000000000004">
      <c r="A2512" s="92" t="s">
        <v>302</v>
      </c>
      <c r="B2512" s="21" t="s">
        <v>289</v>
      </c>
      <c r="C2512" s="168" t="s">
        <v>156</v>
      </c>
      <c r="D2512" s="168" t="s">
        <v>2994</v>
      </c>
      <c r="E2512" s="116">
        <f>4.29+0.59</f>
        <v>4.88</v>
      </c>
      <c r="F2512" s="149" t="s">
        <v>138</v>
      </c>
      <c r="G2512" s="149" t="s">
        <v>135</v>
      </c>
      <c r="H2512" s="68" t="s">
        <v>39</v>
      </c>
      <c r="I2512" s="168"/>
      <c r="J2512" s="77" t="str">
        <f t="shared" si="8"/>
        <v>[TIMES_SE] Blast furnace, w. CCS (PCC VPSA)</v>
      </c>
      <c r="K2512" s="168"/>
      <c r="L2512" s="131"/>
      <c r="M2512" s="169"/>
    </row>
    <row r="2513" spans="1:13" x14ac:dyDescent="0.55000000000000004">
      <c r="A2513" s="92" t="s">
        <v>302</v>
      </c>
      <c r="B2513" s="168" t="s">
        <v>290</v>
      </c>
      <c r="C2513" s="21" t="s">
        <v>125</v>
      </c>
      <c r="D2513" s="168" t="s">
        <v>3288</v>
      </c>
      <c r="E2513" s="116">
        <f>1/0.6</f>
        <v>1.6666666666666667</v>
      </c>
      <c r="F2513" s="149" t="s">
        <v>135</v>
      </c>
      <c r="G2513" s="149" t="s">
        <v>135</v>
      </c>
      <c r="H2513" s="68" t="s">
        <v>39</v>
      </c>
      <c r="I2513" s="168" t="s">
        <v>292</v>
      </c>
      <c r="J2513" s="77" t="str">
        <f t="shared" si="8"/>
        <v>[TIMES_SE] Blast furnace, w. CCS (PCC VPSA)</v>
      </c>
      <c r="K2513" s="168"/>
      <c r="L2513" s="131"/>
      <c r="M2513" s="169"/>
    </row>
    <row r="2514" spans="1:13" x14ac:dyDescent="0.55000000000000004">
      <c r="A2514" s="92" t="s">
        <v>302</v>
      </c>
      <c r="B2514" s="168" t="s">
        <v>293</v>
      </c>
      <c r="C2514" s="168" t="s">
        <v>294</v>
      </c>
      <c r="D2514" s="168" t="s">
        <v>2994</v>
      </c>
      <c r="E2514" s="116">
        <v>13.7</v>
      </c>
      <c r="F2514" s="149" t="s">
        <v>138</v>
      </c>
      <c r="G2514" s="149" t="s">
        <v>135</v>
      </c>
      <c r="H2514" s="68" t="s">
        <v>301</v>
      </c>
      <c r="I2514" s="168" t="s">
        <v>295</v>
      </c>
      <c r="J2514" s="77" t="str">
        <f t="shared" si="8"/>
        <v>[TIMES_SE] Blast furnace, w. CCS (PCC VPSA)</v>
      </c>
      <c r="K2514" s="168"/>
      <c r="L2514" s="131"/>
      <c r="M2514" s="169"/>
    </row>
    <row r="2515" spans="1:13" x14ac:dyDescent="0.55000000000000004">
      <c r="A2515" s="92" t="s">
        <v>302</v>
      </c>
      <c r="B2515" s="168" t="s">
        <v>262</v>
      </c>
      <c r="C2515" s="168" t="s">
        <v>294</v>
      </c>
      <c r="D2515" s="168" t="s">
        <v>2994</v>
      </c>
      <c r="E2515" s="116">
        <v>0</v>
      </c>
      <c r="F2515" s="149" t="s">
        <v>138</v>
      </c>
      <c r="G2515" s="149" t="s">
        <v>135</v>
      </c>
      <c r="H2515" s="68" t="s">
        <v>296</v>
      </c>
      <c r="I2515" s="168" t="s">
        <v>295</v>
      </c>
      <c r="J2515" s="77" t="str">
        <f t="shared" si="8"/>
        <v>[TIMES_SE] Blast furnace, w. CCS (PCC VPSA)</v>
      </c>
      <c r="K2515" s="168"/>
      <c r="L2515" s="131"/>
      <c r="M2515" s="169"/>
    </row>
    <row r="2516" spans="1:13" x14ac:dyDescent="0.55000000000000004">
      <c r="A2516" s="92" t="s">
        <v>302</v>
      </c>
      <c r="B2516" s="168" t="s">
        <v>297</v>
      </c>
      <c r="C2516" s="168" t="s">
        <v>294</v>
      </c>
      <c r="D2516" s="168" t="s">
        <v>2994</v>
      </c>
      <c r="E2516" s="116">
        <v>0</v>
      </c>
      <c r="F2516" s="149" t="s">
        <v>138</v>
      </c>
      <c r="G2516" s="149" t="s">
        <v>135</v>
      </c>
      <c r="H2516" s="68" t="s">
        <v>296</v>
      </c>
      <c r="I2516" s="168" t="s">
        <v>295</v>
      </c>
      <c r="J2516" s="77" t="str">
        <f t="shared" si="8"/>
        <v>[TIMES_SE] Blast furnace, w. CCS (PCC VPSA)</v>
      </c>
      <c r="K2516" s="168"/>
      <c r="L2516" s="131"/>
      <c r="M2516" s="169"/>
    </row>
    <row r="2517" spans="1:13" x14ac:dyDescent="0.55000000000000004">
      <c r="A2517" s="92" t="s">
        <v>302</v>
      </c>
      <c r="B2517" s="168" t="s">
        <v>213</v>
      </c>
      <c r="C2517" s="168" t="s">
        <v>125</v>
      </c>
      <c r="D2517" s="168" t="s">
        <v>3289</v>
      </c>
      <c r="E2517" s="116">
        <v>48</v>
      </c>
      <c r="F2517" s="149" t="s">
        <v>133</v>
      </c>
      <c r="G2517" s="149" t="s">
        <v>135</v>
      </c>
      <c r="H2517" s="68" t="s">
        <v>39</v>
      </c>
      <c r="I2517" s="168"/>
      <c r="J2517" s="77" t="str">
        <f t="shared" si="8"/>
        <v>[TIMES_SE] Blast furnace, w. CCS (PCC VPSA)</v>
      </c>
      <c r="K2517" s="168"/>
      <c r="L2517" s="131"/>
      <c r="M2517" s="169"/>
    </row>
    <row r="2518" spans="1:13" x14ac:dyDescent="0.55000000000000004">
      <c r="A2518" s="92" t="s">
        <v>302</v>
      </c>
      <c r="B2518" s="168" t="s">
        <v>131</v>
      </c>
      <c r="C2518" s="168" t="s">
        <v>125</v>
      </c>
      <c r="D2518" s="168" t="s">
        <v>3288</v>
      </c>
      <c r="E2518" s="116">
        <v>1.2999999999999999E-2</v>
      </c>
      <c r="F2518" s="149" t="s">
        <v>135</v>
      </c>
      <c r="G2518" s="149" t="s">
        <v>135</v>
      </c>
      <c r="H2518" s="68" t="s">
        <v>39</v>
      </c>
      <c r="I2518" s="168"/>
      <c r="J2518" s="77" t="str">
        <f t="shared" si="8"/>
        <v>[TIMES_SE] Blast furnace, w. CCS (PCC VPSA)</v>
      </c>
      <c r="K2518" s="168"/>
      <c r="L2518" s="131"/>
      <c r="M2518" s="169"/>
    </row>
    <row r="2519" spans="1:13" x14ac:dyDescent="0.55000000000000004">
      <c r="A2519" s="92" t="s">
        <v>302</v>
      </c>
      <c r="B2519" s="168" t="s">
        <v>298</v>
      </c>
      <c r="C2519" s="168" t="s">
        <v>127</v>
      </c>
      <c r="D2519" s="168" t="s">
        <v>2994</v>
      </c>
      <c r="E2519" s="116">
        <v>1.64</v>
      </c>
      <c r="F2519" s="149" t="s">
        <v>138</v>
      </c>
      <c r="G2519" s="149" t="s">
        <v>135</v>
      </c>
      <c r="H2519" s="68" t="s">
        <v>39</v>
      </c>
      <c r="I2519" s="168" t="s">
        <v>299</v>
      </c>
      <c r="J2519" s="77" t="str">
        <f t="shared" si="8"/>
        <v>[TIMES_SE] Blast furnace, w. CCS (PCC VPSA)</v>
      </c>
      <c r="K2519" s="168"/>
      <c r="L2519" s="131"/>
      <c r="M2519" s="169"/>
    </row>
    <row r="2520" spans="1:13" x14ac:dyDescent="0.55000000000000004">
      <c r="A2520" s="92" t="s">
        <v>302</v>
      </c>
      <c r="B2520" s="168" t="s">
        <v>153</v>
      </c>
      <c r="C2520" s="168" t="s">
        <v>127</v>
      </c>
      <c r="D2520" s="168" t="s">
        <v>2994</v>
      </c>
      <c r="E2520" s="116">
        <v>0.79200000000000004</v>
      </c>
      <c r="F2520" s="149" t="s">
        <v>138</v>
      </c>
      <c r="G2520" s="149" t="s">
        <v>135</v>
      </c>
      <c r="H2520" s="68" t="s">
        <v>39</v>
      </c>
      <c r="I2520" s="168"/>
      <c r="J2520" s="77" t="str">
        <f t="shared" si="8"/>
        <v>[TIMES_SE] Blast furnace, w. CCS (PCC VPSA)</v>
      </c>
      <c r="K2520" s="168"/>
      <c r="L2520" s="131"/>
      <c r="M2520" s="169"/>
    </row>
    <row r="2521" spans="1:13" x14ac:dyDescent="0.55000000000000004">
      <c r="A2521" s="92" t="s">
        <v>302</v>
      </c>
      <c r="B2521" s="168" t="s">
        <v>160</v>
      </c>
      <c r="C2521" s="168" t="s">
        <v>247</v>
      </c>
      <c r="D2521" s="168" t="s">
        <v>3288</v>
      </c>
      <c r="E2521" s="119">
        <f>1.47275*(1-0.9)</f>
        <v>0.14727499999999996</v>
      </c>
      <c r="F2521" s="151" t="s">
        <v>135</v>
      </c>
      <c r="G2521" s="149" t="s">
        <v>135</v>
      </c>
      <c r="H2521" s="68" t="s">
        <v>376</v>
      </c>
      <c r="I2521" s="168" t="s">
        <v>2049</v>
      </c>
      <c r="J2521" s="74" t="str">
        <f t="shared" si="8"/>
        <v>[TIMES_SE] Blast furnace, w. CCS (PCC VPSA)</v>
      </c>
      <c r="K2521" s="168"/>
      <c r="L2521" s="160"/>
      <c r="M2521" s="169"/>
    </row>
    <row r="2522" spans="1:13" x14ac:dyDescent="0.55000000000000004">
      <c r="A2522" s="92" t="s">
        <v>302</v>
      </c>
      <c r="B2522" s="168" t="s">
        <v>160</v>
      </c>
      <c r="C2522" s="168" t="s">
        <v>247</v>
      </c>
      <c r="D2522" s="168" t="s">
        <v>3288</v>
      </c>
      <c r="E2522" s="119">
        <f>0.113652*(1-0.9)</f>
        <v>1.1365199999999997E-2</v>
      </c>
      <c r="F2522" s="151" t="s">
        <v>135</v>
      </c>
      <c r="G2522" s="149" t="s">
        <v>135</v>
      </c>
      <c r="H2522" s="68" t="s">
        <v>376</v>
      </c>
      <c r="I2522" s="168" t="s">
        <v>2050</v>
      </c>
      <c r="J2522" s="74" t="str">
        <f t="shared" si="8"/>
        <v>[TIMES_SE] Blast furnace, w. CCS (PCC VPSA)</v>
      </c>
      <c r="K2522" s="168"/>
      <c r="L2522" s="160"/>
      <c r="M2522" s="169"/>
    </row>
    <row r="2523" spans="1:13" x14ac:dyDescent="0.55000000000000004">
      <c r="A2523" s="92" t="s">
        <v>302</v>
      </c>
      <c r="B2523" s="168" t="s">
        <v>160</v>
      </c>
      <c r="C2523" s="168" t="s">
        <v>156</v>
      </c>
      <c r="D2523" s="168" t="s">
        <v>3288</v>
      </c>
      <c r="E2523" s="119">
        <f>1.47275*0.9</f>
        <v>1.325475</v>
      </c>
      <c r="F2523" s="151" t="s">
        <v>135</v>
      </c>
      <c r="G2523" s="149" t="s">
        <v>135</v>
      </c>
      <c r="H2523" s="68" t="s">
        <v>376</v>
      </c>
      <c r="I2523" s="168" t="s">
        <v>2049</v>
      </c>
      <c r="J2523" s="74" t="str">
        <f t="shared" si="8"/>
        <v>[TIMES_SE] Blast furnace, w. CCS (PCC VPSA)</v>
      </c>
      <c r="K2523" s="168"/>
      <c r="L2523" s="160"/>
      <c r="M2523" s="169"/>
    </row>
    <row r="2524" spans="1:13" x14ac:dyDescent="0.55000000000000004">
      <c r="A2524" s="92" t="s">
        <v>302</v>
      </c>
      <c r="B2524" s="168" t="s">
        <v>160</v>
      </c>
      <c r="C2524" s="168" t="s">
        <v>156</v>
      </c>
      <c r="D2524" s="168" t="s">
        <v>3288</v>
      </c>
      <c r="E2524" s="119">
        <f>0.113652*0.9</f>
        <v>0.10228680000000001</v>
      </c>
      <c r="F2524" s="151" t="s">
        <v>135</v>
      </c>
      <c r="G2524" s="149" t="s">
        <v>135</v>
      </c>
      <c r="H2524" s="68" t="s">
        <v>376</v>
      </c>
      <c r="I2524" s="168" t="s">
        <v>2050</v>
      </c>
      <c r="J2524" s="74" t="str">
        <f t="shared" si="8"/>
        <v>[TIMES_SE] Blast furnace, w. CCS (PCC VPSA)</v>
      </c>
      <c r="K2524" s="168"/>
      <c r="L2524" s="160"/>
      <c r="M2524" s="169"/>
    </row>
    <row r="2525" spans="1:13" x14ac:dyDescent="0.55000000000000004">
      <c r="A2525" s="107" t="s">
        <v>258</v>
      </c>
      <c r="B2525" s="68" t="s">
        <v>134</v>
      </c>
      <c r="C2525" s="68" t="s">
        <v>121</v>
      </c>
      <c r="D2525" s="68" t="s">
        <v>3288</v>
      </c>
      <c r="E2525" s="120">
        <v>1</v>
      </c>
      <c r="F2525" s="151" t="s">
        <v>135</v>
      </c>
      <c r="G2525" s="151">
        <v>1</v>
      </c>
      <c r="H2525" s="68"/>
      <c r="I2525" s="168"/>
      <c r="J2525" s="74" t="str">
        <f t="shared" si="8"/>
        <v>[TIMES_SE] Cement clinker kiln</v>
      </c>
      <c r="K2525" s="168"/>
      <c r="L2525" s="160" t="s">
        <v>241</v>
      </c>
      <c r="M2525" s="169"/>
    </row>
    <row r="2526" spans="1:13" x14ac:dyDescent="0.55000000000000004">
      <c r="A2526" s="107" t="s">
        <v>258</v>
      </c>
      <c r="B2526" s="68" t="s">
        <v>131</v>
      </c>
      <c r="C2526" s="168" t="s">
        <v>207</v>
      </c>
      <c r="D2526" s="68" t="s">
        <v>3288</v>
      </c>
      <c r="E2526" s="120">
        <f>AVERAGE(0.8,1.6)</f>
        <v>1.2000000000000002</v>
      </c>
      <c r="F2526" s="151" t="s">
        <v>135</v>
      </c>
      <c r="G2526" s="151" t="s">
        <v>135</v>
      </c>
      <c r="H2526" s="68" t="s">
        <v>242</v>
      </c>
      <c r="I2526" s="168" t="s">
        <v>1244</v>
      </c>
      <c r="J2526" s="74" t="str">
        <f t="shared" si="8"/>
        <v>[TIMES_SE] Cement clinker kiln</v>
      </c>
      <c r="K2526" s="168"/>
      <c r="L2526" s="163"/>
      <c r="M2526" s="169"/>
    </row>
    <row r="2527" spans="1:13" x14ac:dyDescent="0.55000000000000004">
      <c r="A2527" s="107" t="s">
        <v>258</v>
      </c>
      <c r="B2527" s="68" t="s">
        <v>238</v>
      </c>
      <c r="C2527" s="168" t="s">
        <v>207</v>
      </c>
      <c r="D2527" s="68" t="s">
        <v>3288</v>
      </c>
      <c r="E2527" s="120">
        <f>1.6-E2526</f>
        <v>0.39999999999999991</v>
      </c>
      <c r="F2527" s="151" t="s">
        <v>135</v>
      </c>
      <c r="G2527" s="151" t="s">
        <v>135</v>
      </c>
      <c r="H2527" s="68" t="s">
        <v>243</v>
      </c>
      <c r="I2527" s="168" t="s">
        <v>535</v>
      </c>
      <c r="J2527" s="74" t="str">
        <f t="shared" si="8"/>
        <v>[TIMES_SE] Cement clinker kiln</v>
      </c>
      <c r="K2527" s="168"/>
      <c r="L2527" s="163"/>
      <c r="M2527" s="169"/>
    </row>
    <row r="2528" spans="1:13" x14ac:dyDescent="0.55000000000000004">
      <c r="A2528" s="107" t="s">
        <v>258</v>
      </c>
      <c r="B2528" s="68" t="s">
        <v>244</v>
      </c>
      <c r="C2528" s="68" t="s">
        <v>127</v>
      </c>
      <c r="D2528" s="68" t="s">
        <v>2994</v>
      </c>
      <c r="E2528" s="120">
        <f>3.28*0.65</f>
        <v>2.1320000000000001</v>
      </c>
      <c r="F2528" s="151" t="s">
        <v>138</v>
      </c>
      <c r="G2528" s="151" t="s">
        <v>135</v>
      </c>
      <c r="H2528" s="68" t="s">
        <v>250</v>
      </c>
      <c r="I2528" s="168" t="s">
        <v>1245</v>
      </c>
      <c r="J2528" s="74" t="str">
        <f t="shared" si="8"/>
        <v>[TIMES_SE] Cement clinker kiln</v>
      </c>
      <c r="K2528" s="168"/>
      <c r="L2528" s="163"/>
      <c r="M2528" s="169"/>
    </row>
    <row r="2529" spans="1:13" x14ac:dyDescent="0.55000000000000004">
      <c r="A2529" s="107" t="s">
        <v>258</v>
      </c>
      <c r="B2529" s="68" t="s">
        <v>137</v>
      </c>
      <c r="C2529" s="68" t="s">
        <v>127</v>
      </c>
      <c r="D2529" s="68" t="s">
        <v>2994</v>
      </c>
      <c r="E2529" s="120">
        <f>3.28-E2528</f>
        <v>1.1479999999999997</v>
      </c>
      <c r="F2529" s="151" t="s">
        <v>138</v>
      </c>
      <c r="G2529" s="151" t="s">
        <v>135</v>
      </c>
      <c r="H2529" s="68" t="s">
        <v>246</v>
      </c>
      <c r="I2529" s="168" t="s">
        <v>1246</v>
      </c>
      <c r="J2529" s="74" t="str">
        <f t="shared" si="8"/>
        <v>[TIMES_SE] Cement clinker kiln</v>
      </c>
      <c r="K2529" s="168"/>
      <c r="L2529" s="163"/>
      <c r="M2529" s="169"/>
    </row>
    <row r="2530" spans="1:13" x14ac:dyDescent="0.55000000000000004">
      <c r="A2530" s="107" t="s">
        <v>258</v>
      </c>
      <c r="B2530" s="68" t="s">
        <v>153</v>
      </c>
      <c r="C2530" s="68" t="s">
        <v>127</v>
      </c>
      <c r="D2530" s="68" t="s">
        <v>2994</v>
      </c>
      <c r="E2530" s="120">
        <v>0.23</v>
      </c>
      <c r="F2530" s="151" t="s">
        <v>138</v>
      </c>
      <c r="G2530" s="151" t="s">
        <v>135</v>
      </c>
      <c r="H2530" s="68" t="s">
        <v>39</v>
      </c>
      <c r="I2530" s="168"/>
      <c r="J2530" s="74" t="str">
        <f t="shared" si="8"/>
        <v>[TIMES_SE] Cement clinker kiln</v>
      </c>
      <c r="K2530" s="168"/>
      <c r="L2530" s="163"/>
      <c r="M2530" s="169"/>
    </row>
    <row r="2531" spans="1:13" x14ac:dyDescent="0.55000000000000004">
      <c r="A2531" s="107" t="s">
        <v>258</v>
      </c>
      <c r="B2531" s="68" t="s">
        <v>160</v>
      </c>
      <c r="C2531" s="168" t="s">
        <v>247</v>
      </c>
      <c r="D2531" s="68" t="s">
        <v>3288</v>
      </c>
      <c r="E2531" s="119">
        <v>0.20893600000000001</v>
      </c>
      <c r="F2531" s="151" t="s">
        <v>135</v>
      </c>
      <c r="G2531" s="151" t="s">
        <v>135</v>
      </c>
      <c r="H2531" s="68" t="s">
        <v>413</v>
      </c>
      <c r="I2531" s="168" t="s">
        <v>2043</v>
      </c>
      <c r="J2531" s="74" t="str">
        <f t="shared" si="8"/>
        <v>[TIMES_SE] Cement clinker kiln</v>
      </c>
      <c r="K2531" s="168"/>
      <c r="L2531" s="163"/>
      <c r="M2531" s="169"/>
    </row>
    <row r="2532" spans="1:13" x14ac:dyDescent="0.55000000000000004">
      <c r="A2532" s="107" t="s">
        <v>258</v>
      </c>
      <c r="B2532" s="68" t="s">
        <v>160</v>
      </c>
      <c r="C2532" s="168" t="s">
        <v>247</v>
      </c>
      <c r="D2532" s="68" t="s">
        <v>3288</v>
      </c>
      <c r="E2532" s="119">
        <v>5.9695999999999985E-2</v>
      </c>
      <c r="F2532" s="151" t="s">
        <v>135</v>
      </c>
      <c r="G2532" s="151" t="s">
        <v>135</v>
      </c>
      <c r="H2532" s="68" t="s">
        <v>373</v>
      </c>
      <c r="I2532" s="168" t="s">
        <v>2012</v>
      </c>
      <c r="J2532" s="74" t="str">
        <f t="shared" si="8"/>
        <v>[TIMES_SE] Cement clinker kiln</v>
      </c>
      <c r="K2532" s="168"/>
      <c r="L2532" s="163"/>
      <c r="M2532" s="169"/>
    </row>
    <row r="2533" spans="1:13" x14ac:dyDescent="0.55000000000000004">
      <c r="A2533" s="107" t="s">
        <v>257</v>
      </c>
      <c r="B2533" s="68" t="s">
        <v>134</v>
      </c>
      <c r="C2533" s="68" t="s">
        <v>121</v>
      </c>
      <c r="D2533" s="68" t="s">
        <v>3288</v>
      </c>
      <c r="E2533" s="120">
        <v>1</v>
      </c>
      <c r="F2533" s="151" t="s">
        <v>135</v>
      </c>
      <c r="G2533" s="151">
        <v>1</v>
      </c>
      <c r="H2533" s="68"/>
      <c r="I2533" s="168"/>
      <c r="J2533" s="74" t="str">
        <f t="shared" si="8"/>
        <v>[TIMES_SE] Cement clinker kiln plasma</v>
      </c>
      <c r="K2533" s="168"/>
      <c r="L2533" s="160" t="s">
        <v>241</v>
      </c>
      <c r="M2533" s="169"/>
    </row>
    <row r="2534" spans="1:13" x14ac:dyDescent="0.55000000000000004">
      <c r="A2534" s="107" t="s">
        <v>257</v>
      </c>
      <c r="B2534" s="68" t="s">
        <v>131</v>
      </c>
      <c r="C2534" s="168" t="s">
        <v>207</v>
      </c>
      <c r="D2534" s="68" t="s">
        <v>3288</v>
      </c>
      <c r="E2534" s="120">
        <f>AVERAGE(0.8,1.6)</f>
        <v>1.2000000000000002</v>
      </c>
      <c r="F2534" s="151" t="s">
        <v>135</v>
      </c>
      <c r="G2534" s="151" t="s">
        <v>135</v>
      </c>
      <c r="H2534" s="68" t="s">
        <v>242</v>
      </c>
      <c r="I2534" s="168" t="s">
        <v>1244</v>
      </c>
      <c r="J2534" s="74" t="str">
        <f t="shared" si="8"/>
        <v>[TIMES_SE] Cement clinker kiln plasma</v>
      </c>
      <c r="K2534" s="168"/>
      <c r="L2534" s="163"/>
      <c r="M2534" s="169"/>
    </row>
    <row r="2535" spans="1:13" x14ac:dyDescent="0.55000000000000004">
      <c r="A2535" s="107" t="s">
        <v>257</v>
      </c>
      <c r="B2535" s="68" t="s">
        <v>238</v>
      </c>
      <c r="C2535" s="168" t="s">
        <v>207</v>
      </c>
      <c r="D2535" s="68" t="s">
        <v>3288</v>
      </c>
      <c r="E2535" s="120">
        <f>1.6-E2534</f>
        <v>0.39999999999999991</v>
      </c>
      <c r="F2535" s="151" t="s">
        <v>135</v>
      </c>
      <c r="G2535" s="151" t="s">
        <v>135</v>
      </c>
      <c r="H2535" s="68" t="s">
        <v>243</v>
      </c>
      <c r="I2535" s="168"/>
      <c r="J2535" s="74" t="str">
        <f t="shared" si="8"/>
        <v>[TIMES_SE] Cement clinker kiln plasma</v>
      </c>
      <c r="K2535" s="168"/>
      <c r="L2535" s="163"/>
      <c r="M2535" s="169"/>
    </row>
    <row r="2536" spans="1:13" x14ac:dyDescent="0.55000000000000004">
      <c r="A2536" s="107" t="s">
        <v>257</v>
      </c>
      <c r="B2536" s="68" t="s">
        <v>153</v>
      </c>
      <c r="C2536" s="68" t="s">
        <v>127</v>
      </c>
      <c r="D2536" s="68" t="s">
        <v>2994</v>
      </c>
      <c r="E2536" s="120">
        <v>4.8959999999999999</v>
      </c>
      <c r="F2536" s="151" t="s">
        <v>138</v>
      </c>
      <c r="G2536" s="151" t="s">
        <v>135</v>
      </c>
      <c r="H2536" s="68" t="s">
        <v>39</v>
      </c>
      <c r="I2536" s="168"/>
      <c r="J2536" s="74" t="str">
        <f t="shared" si="8"/>
        <v>[TIMES_SE] Cement clinker kiln plasma</v>
      </c>
      <c r="K2536" s="168"/>
      <c r="L2536" s="163"/>
      <c r="M2536" s="169"/>
    </row>
    <row r="2537" spans="1:13" x14ac:dyDescent="0.55000000000000004">
      <c r="A2537" s="107" t="s">
        <v>257</v>
      </c>
      <c r="B2537" s="68" t="s">
        <v>160</v>
      </c>
      <c r="C2537" s="168" t="s">
        <v>247</v>
      </c>
      <c r="D2537" s="68" t="s">
        <v>3288</v>
      </c>
      <c r="E2537" s="119">
        <v>0</v>
      </c>
      <c r="F2537" s="151" t="s">
        <v>135</v>
      </c>
      <c r="G2537" s="151" t="s">
        <v>135</v>
      </c>
      <c r="H2537" s="68" t="s">
        <v>39</v>
      </c>
      <c r="I2537" s="168"/>
      <c r="J2537" s="74" t="str">
        <f t="shared" ref="J2537:J2600" si="9">A2537</f>
        <v>[TIMES_SE] Cement clinker kiln plasma</v>
      </c>
      <c r="K2537" s="168"/>
      <c r="L2537" s="163"/>
      <c r="M2537" s="169"/>
    </row>
    <row r="2538" spans="1:13" x14ac:dyDescent="0.55000000000000004">
      <c r="A2538" s="107" t="s">
        <v>256</v>
      </c>
      <c r="B2538" s="68" t="s">
        <v>134</v>
      </c>
      <c r="C2538" s="68" t="s">
        <v>121</v>
      </c>
      <c r="D2538" s="68" t="s">
        <v>3288</v>
      </c>
      <c r="E2538" s="120">
        <v>1</v>
      </c>
      <c r="F2538" s="151" t="s">
        <v>135</v>
      </c>
      <c r="G2538" s="151">
        <v>1</v>
      </c>
      <c r="H2538" s="68" t="s">
        <v>39</v>
      </c>
      <c r="I2538" s="168"/>
      <c r="J2538" s="74" t="str">
        <f t="shared" si="9"/>
        <v>[TIMES_SE] Cement clinker kiln, chilled NH3 CCS</v>
      </c>
      <c r="K2538" s="168"/>
      <c r="L2538" s="160" t="s">
        <v>241</v>
      </c>
      <c r="M2538" s="169"/>
    </row>
    <row r="2539" spans="1:13" x14ac:dyDescent="0.55000000000000004">
      <c r="A2539" s="107" t="s">
        <v>256</v>
      </c>
      <c r="B2539" s="68" t="s">
        <v>131</v>
      </c>
      <c r="C2539" s="168" t="s">
        <v>207</v>
      </c>
      <c r="D2539" s="68" t="s">
        <v>3288</v>
      </c>
      <c r="E2539" s="120">
        <f>AVERAGE(0.8,1.6)</f>
        <v>1.2000000000000002</v>
      </c>
      <c r="F2539" s="151" t="s">
        <v>135</v>
      </c>
      <c r="G2539" s="151">
        <v>1</v>
      </c>
      <c r="H2539" s="68" t="s">
        <v>242</v>
      </c>
      <c r="I2539" s="168" t="s">
        <v>1244</v>
      </c>
      <c r="J2539" s="74" t="str">
        <f t="shared" si="9"/>
        <v>[TIMES_SE] Cement clinker kiln, chilled NH3 CCS</v>
      </c>
      <c r="K2539" s="168"/>
      <c r="L2539" s="163"/>
      <c r="M2539" s="169"/>
    </row>
    <row r="2540" spans="1:13" x14ac:dyDescent="0.55000000000000004">
      <c r="A2540" s="107" t="s">
        <v>256</v>
      </c>
      <c r="B2540" s="68" t="s">
        <v>238</v>
      </c>
      <c r="C2540" s="168" t="s">
        <v>207</v>
      </c>
      <c r="D2540" s="68" t="s">
        <v>3288</v>
      </c>
      <c r="E2540" s="120">
        <f>1.6-E2539</f>
        <v>0.39999999999999991</v>
      </c>
      <c r="F2540" s="151" t="s">
        <v>135</v>
      </c>
      <c r="G2540" s="151">
        <v>1</v>
      </c>
      <c r="H2540" s="68" t="s">
        <v>243</v>
      </c>
      <c r="I2540" s="168" t="s">
        <v>535</v>
      </c>
      <c r="J2540" s="74" t="str">
        <f t="shared" si="9"/>
        <v>[TIMES_SE] Cement clinker kiln, chilled NH3 CCS</v>
      </c>
      <c r="K2540" s="168"/>
      <c r="L2540" s="163"/>
      <c r="M2540" s="169"/>
    </row>
    <row r="2541" spans="1:13" x14ac:dyDescent="0.55000000000000004">
      <c r="A2541" s="107" t="s">
        <v>256</v>
      </c>
      <c r="B2541" s="68" t="s">
        <v>244</v>
      </c>
      <c r="C2541" s="68" t="s">
        <v>127</v>
      </c>
      <c r="D2541" s="68" t="s">
        <v>2994</v>
      </c>
      <c r="E2541" s="120">
        <f>3.28*0.65</f>
        <v>2.1320000000000001</v>
      </c>
      <c r="F2541" s="151" t="s">
        <v>138</v>
      </c>
      <c r="G2541" s="151">
        <v>1</v>
      </c>
      <c r="H2541" s="68" t="s">
        <v>250</v>
      </c>
      <c r="I2541" s="168" t="s">
        <v>1245</v>
      </c>
      <c r="J2541" s="74" t="str">
        <f t="shared" si="9"/>
        <v>[TIMES_SE] Cement clinker kiln, chilled NH3 CCS</v>
      </c>
      <c r="K2541" s="168"/>
      <c r="L2541" s="163"/>
      <c r="M2541" s="169"/>
    </row>
    <row r="2542" spans="1:13" x14ac:dyDescent="0.55000000000000004">
      <c r="A2542" s="107" t="s">
        <v>256</v>
      </c>
      <c r="B2542" s="68" t="s">
        <v>137</v>
      </c>
      <c r="C2542" s="68" t="s">
        <v>127</v>
      </c>
      <c r="D2542" s="68" t="s">
        <v>2994</v>
      </c>
      <c r="E2542" s="120">
        <f>3.28-E2541</f>
        <v>1.1479999999999997</v>
      </c>
      <c r="F2542" s="151" t="s">
        <v>138</v>
      </c>
      <c r="G2542" s="151">
        <v>1</v>
      </c>
      <c r="H2542" s="68" t="s">
        <v>246</v>
      </c>
      <c r="I2542" s="168" t="s">
        <v>1246</v>
      </c>
      <c r="J2542" s="74" t="str">
        <f t="shared" si="9"/>
        <v>[TIMES_SE] Cement clinker kiln, chilled NH3 CCS</v>
      </c>
      <c r="K2542" s="168"/>
      <c r="L2542" s="163"/>
      <c r="M2542" s="169"/>
    </row>
    <row r="2543" spans="1:13" x14ac:dyDescent="0.55000000000000004">
      <c r="A2543" s="107" t="s">
        <v>256</v>
      </c>
      <c r="B2543" s="68" t="s">
        <v>188</v>
      </c>
      <c r="C2543" s="68" t="s">
        <v>127</v>
      </c>
      <c r="D2543" s="68" t="s">
        <v>2994</v>
      </c>
      <c r="E2543" s="120">
        <v>1.61</v>
      </c>
      <c r="F2543" s="151" t="s">
        <v>138</v>
      </c>
      <c r="G2543" s="151">
        <v>1</v>
      </c>
      <c r="H2543" s="68" t="s">
        <v>39</v>
      </c>
      <c r="I2543" s="168" t="s">
        <v>535</v>
      </c>
      <c r="J2543" s="74" t="str">
        <f t="shared" si="9"/>
        <v>[TIMES_SE] Cement clinker kiln, chilled NH3 CCS</v>
      </c>
      <c r="K2543" s="168"/>
      <c r="L2543" s="163"/>
      <c r="M2543" s="169"/>
    </row>
    <row r="2544" spans="1:13" x14ac:dyDescent="0.55000000000000004">
      <c r="A2544" s="107" t="s">
        <v>256</v>
      </c>
      <c r="B2544" s="68" t="s">
        <v>153</v>
      </c>
      <c r="C2544" s="68" t="s">
        <v>127</v>
      </c>
      <c r="D2544" s="68" t="s">
        <v>2994</v>
      </c>
      <c r="E2544" s="120">
        <v>0.47</v>
      </c>
      <c r="F2544" s="151" t="s">
        <v>138</v>
      </c>
      <c r="G2544" s="151">
        <v>1</v>
      </c>
      <c r="H2544" s="68" t="s">
        <v>39</v>
      </c>
      <c r="I2544" s="168" t="s">
        <v>535</v>
      </c>
      <c r="J2544" s="74" t="str">
        <f t="shared" si="9"/>
        <v>[TIMES_SE] Cement clinker kiln, chilled NH3 CCS</v>
      </c>
      <c r="K2544" s="168"/>
      <c r="L2544" s="163"/>
      <c r="M2544" s="169"/>
    </row>
    <row r="2545" spans="1:13" x14ac:dyDescent="0.55000000000000004">
      <c r="A2545" s="107" t="s">
        <v>256</v>
      </c>
      <c r="B2545" s="168" t="s">
        <v>160</v>
      </c>
      <c r="C2545" s="168" t="s">
        <v>247</v>
      </c>
      <c r="D2545" s="168" t="s">
        <v>3288</v>
      </c>
      <c r="E2545" s="116">
        <f>E2546*0.1/0.9</f>
        <v>84.666666666666671</v>
      </c>
      <c r="F2545" s="149" t="s">
        <v>122</v>
      </c>
      <c r="G2545" s="149" t="s">
        <v>135</v>
      </c>
      <c r="H2545" s="168" t="s">
        <v>39</v>
      </c>
      <c r="I2545" s="168" t="s">
        <v>1247</v>
      </c>
      <c r="J2545" s="74" t="str">
        <f t="shared" si="9"/>
        <v>[TIMES_SE] Cement clinker kiln, chilled NH3 CCS</v>
      </c>
      <c r="K2545" s="168"/>
      <c r="L2545" s="160"/>
      <c r="M2545" s="169"/>
    </row>
    <row r="2546" spans="1:13" x14ac:dyDescent="0.55000000000000004">
      <c r="A2546" s="107" t="s">
        <v>256</v>
      </c>
      <c r="B2546" s="168" t="s">
        <v>160</v>
      </c>
      <c r="C2546" s="168" t="s">
        <v>156</v>
      </c>
      <c r="D2546" s="168" t="s">
        <v>3288</v>
      </c>
      <c r="E2546" s="116">
        <v>762</v>
      </c>
      <c r="F2546" s="149" t="s">
        <v>122</v>
      </c>
      <c r="G2546" s="149" t="s">
        <v>135</v>
      </c>
      <c r="H2546" s="168" t="s">
        <v>39</v>
      </c>
      <c r="I2546" s="168" t="s">
        <v>1248</v>
      </c>
      <c r="J2546" s="74" t="str">
        <f t="shared" si="9"/>
        <v>[TIMES_SE] Cement clinker kiln, chilled NH3 CCS</v>
      </c>
      <c r="K2546" s="168"/>
      <c r="L2546" s="160"/>
      <c r="M2546" s="169"/>
    </row>
    <row r="2547" spans="1:13" x14ac:dyDescent="0.55000000000000004">
      <c r="A2547" s="107" t="s">
        <v>256</v>
      </c>
      <c r="B2547" s="168" t="s">
        <v>160</v>
      </c>
      <c r="C2547" s="168" t="s">
        <v>247</v>
      </c>
      <c r="D2547" s="168" t="s">
        <v>3288</v>
      </c>
      <c r="E2547" s="119">
        <f>0.208936*(1-0.9)</f>
        <v>2.0893599999999995E-2</v>
      </c>
      <c r="F2547" s="151" t="s">
        <v>135</v>
      </c>
      <c r="G2547" s="149" t="s">
        <v>135</v>
      </c>
      <c r="H2547" s="68" t="s">
        <v>413</v>
      </c>
      <c r="I2547" s="168" t="s">
        <v>2038</v>
      </c>
      <c r="J2547" s="74" t="str">
        <f t="shared" si="9"/>
        <v>[TIMES_SE] Cement clinker kiln, chilled NH3 CCS</v>
      </c>
      <c r="K2547" s="168"/>
      <c r="L2547" s="160"/>
      <c r="M2547" s="169"/>
    </row>
    <row r="2548" spans="1:13" x14ac:dyDescent="0.55000000000000004">
      <c r="A2548" s="107" t="s">
        <v>256</v>
      </c>
      <c r="B2548" s="168" t="s">
        <v>160</v>
      </c>
      <c r="C2548" s="168" t="s">
        <v>247</v>
      </c>
      <c r="D2548" s="168" t="s">
        <v>3288</v>
      </c>
      <c r="E2548" s="119">
        <f>0.143416*(1-0.9)</f>
        <v>1.4341599999999996E-2</v>
      </c>
      <c r="F2548" s="151" t="s">
        <v>135</v>
      </c>
      <c r="G2548" s="149" t="s">
        <v>135</v>
      </c>
      <c r="H2548" s="68" t="s">
        <v>373</v>
      </c>
      <c r="I2548" s="168" t="s">
        <v>2042</v>
      </c>
      <c r="J2548" s="74" t="str">
        <f t="shared" si="9"/>
        <v>[TIMES_SE] Cement clinker kiln, chilled NH3 CCS</v>
      </c>
      <c r="K2548" s="168"/>
      <c r="L2548" s="160"/>
      <c r="M2548" s="169"/>
    </row>
    <row r="2549" spans="1:13" x14ac:dyDescent="0.55000000000000004">
      <c r="A2549" s="107" t="s">
        <v>256</v>
      </c>
      <c r="B2549" s="168" t="s">
        <v>160</v>
      </c>
      <c r="C2549" s="168" t="s">
        <v>156</v>
      </c>
      <c r="D2549" s="168" t="s">
        <v>3288</v>
      </c>
      <c r="E2549" s="119">
        <f>0.208936*0.9</f>
        <v>0.18804240000000003</v>
      </c>
      <c r="F2549" s="151" t="s">
        <v>135</v>
      </c>
      <c r="G2549" s="149" t="s">
        <v>135</v>
      </c>
      <c r="H2549" s="68" t="s">
        <v>413</v>
      </c>
      <c r="I2549" s="168" t="s">
        <v>2038</v>
      </c>
      <c r="J2549" s="74" t="str">
        <f t="shared" si="9"/>
        <v>[TIMES_SE] Cement clinker kiln, chilled NH3 CCS</v>
      </c>
      <c r="K2549" s="168"/>
      <c r="L2549" s="160"/>
      <c r="M2549" s="169"/>
    </row>
    <row r="2550" spans="1:13" x14ac:dyDescent="0.55000000000000004">
      <c r="A2550" s="107" t="s">
        <v>256</v>
      </c>
      <c r="B2550" s="168" t="s">
        <v>160</v>
      </c>
      <c r="C2550" s="168" t="s">
        <v>156</v>
      </c>
      <c r="D2550" s="168" t="s">
        <v>3288</v>
      </c>
      <c r="E2550" s="119">
        <f>0.143416*0.9</f>
        <v>0.12907440000000001</v>
      </c>
      <c r="F2550" s="151" t="s">
        <v>135</v>
      </c>
      <c r="G2550" s="149" t="s">
        <v>135</v>
      </c>
      <c r="H2550" s="68" t="s">
        <v>373</v>
      </c>
      <c r="I2550" s="168" t="s">
        <v>2042</v>
      </c>
      <c r="J2550" s="74" t="str">
        <f t="shared" si="9"/>
        <v>[TIMES_SE] Cement clinker kiln, chilled NH3 CCS</v>
      </c>
      <c r="K2550" s="168"/>
      <c r="L2550" s="160"/>
      <c r="M2550" s="169"/>
    </row>
    <row r="2551" spans="1:13" x14ac:dyDescent="0.55000000000000004">
      <c r="A2551" s="107" t="s">
        <v>254</v>
      </c>
      <c r="B2551" s="68" t="s">
        <v>134</v>
      </c>
      <c r="C2551" s="68" t="s">
        <v>121</v>
      </c>
      <c r="D2551" s="68" t="s">
        <v>3288</v>
      </c>
      <c r="E2551" s="120">
        <v>1</v>
      </c>
      <c r="F2551" s="151" t="s">
        <v>135</v>
      </c>
      <c r="G2551" s="151">
        <v>1</v>
      </c>
      <c r="H2551" s="68"/>
      <c r="I2551" s="168"/>
      <c r="J2551" s="74" t="str">
        <f t="shared" si="9"/>
        <v>[TIMES_SE] Cement clinker kiln, integrated Ca. loop CCS</v>
      </c>
      <c r="K2551" s="168"/>
      <c r="L2551" s="160" t="s">
        <v>241</v>
      </c>
      <c r="M2551" s="169"/>
    </row>
    <row r="2552" spans="1:13" x14ac:dyDescent="0.55000000000000004">
      <c r="A2552" s="107" t="s">
        <v>254</v>
      </c>
      <c r="B2552" s="68" t="s">
        <v>131</v>
      </c>
      <c r="C2552" s="168" t="s">
        <v>207</v>
      </c>
      <c r="D2552" s="68" t="s">
        <v>3288</v>
      </c>
      <c r="E2552" s="120">
        <f>AVERAGE(0.8,1.6)</f>
        <v>1.2000000000000002</v>
      </c>
      <c r="F2552" s="151" t="s">
        <v>135</v>
      </c>
      <c r="G2552" s="151" t="s">
        <v>135</v>
      </c>
      <c r="H2552" s="68" t="s">
        <v>242</v>
      </c>
      <c r="I2552" s="168" t="s">
        <v>1244</v>
      </c>
      <c r="J2552" s="74" t="str">
        <f t="shared" si="9"/>
        <v>[TIMES_SE] Cement clinker kiln, integrated Ca. loop CCS</v>
      </c>
      <c r="K2552" s="168"/>
      <c r="L2552" s="163"/>
      <c r="M2552" s="169"/>
    </row>
    <row r="2553" spans="1:13" x14ac:dyDescent="0.55000000000000004">
      <c r="A2553" s="107" t="s">
        <v>254</v>
      </c>
      <c r="B2553" s="68" t="s">
        <v>238</v>
      </c>
      <c r="C2553" s="168" t="s">
        <v>207</v>
      </c>
      <c r="D2553" s="68" t="s">
        <v>3288</v>
      </c>
      <c r="E2553" s="120">
        <f>1.6-E2552</f>
        <v>0.39999999999999991</v>
      </c>
      <c r="F2553" s="151" t="s">
        <v>135</v>
      </c>
      <c r="G2553" s="151" t="s">
        <v>135</v>
      </c>
      <c r="H2553" s="68" t="s">
        <v>243</v>
      </c>
      <c r="I2553" s="168" t="s">
        <v>535</v>
      </c>
      <c r="J2553" s="74" t="str">
        <f t="shared" si="9"/>
        <v>[TIMES_SE] Cement clinker kiln, integrated Ca. loop CCS</v>
      </c>
      <c r="K2553" s="168"/>
      <c r="L2553" s="163"/>
      <c r="M2553" s="169"/>
    </row>
    <row r="2554" spans="1:13" x14ac:dyDescent="0.55000000000000004">
      <c r="A2554" s="107" t="s">
        <v>254</v>
      </c>
      <c r="B2554" s="68" t="s">
        <v>244</v>
      </c>
      <c r="C2554" s="68" t="s">
        <v>127</v>
      </c>
      <c r="D2554" s="68" t="s">
        <v>2994</v>
      </c>
      <c r="E2554" s="120">
        <f>5.44*0.65</f>
        <v>3.5360000000000005</v>
      </c>
      <c r="F2554" s="151" t="s">
        <v>138</v>
      </c>
      <c r="G2554" s="151" t="s">
        <v>135</v>
      </c>
      <c r="H2554" s="68" t="s">
        <v>255</v>
      </c>
      <c r="I2554" s="168" t="s">
        <v>1245</v>
      </c>
      <c r="J2554" s="74" t="str">
        <f t="shared" si="9"/>
        <v>[TIMES_SE] Cement clinker kiln, integrated Ca. loop CCS</v>
      </c>
      <c r="K2554" s="168"/>
      <c r="L2554" s="163"/>
      <c r="M2554" s="169"/>
    </row>
    <row r="2555" spans="1:13" x14ac:dyDescent="0.55000000000000004">
      <c r="A2555" s="107" t="s">
        <v>254</v>
      </c>
      <c r="B2555" s="68" t="s">
        <v>137</v>
      </c>
      <c r="C2555" s="68" t="s">
        <v>127</v>
      </c>
      <c r="D2555" s="68" t="s">
        <v>2994</v>
      </c>
      <c r="E2555" s="120">
        <f>5.44-E2554</f>
        <v>1.9039999999999999</v>
      </c>
      <c r="F2555" s="151" t="s">
        <v>138</v>
      </c>
      <c r="G2555" s="151" t="s">
        <v>135</v>
      </c>
      <c r="H2555" s="68" t="s">
        <v>246</v>
      </c>
      <c r="I2555" s="168" t="s">
        <v>1246</v>
      </c>
      <c r="J2555" s="74" t="str">
        <f t="shared" si="9"/>
        <v>[TIMES_SE] Cement clinker kiln, integrated Ca. loop CCS</v>
      </c>
      <c r="K2555" s="168"/>
      <c r="L2555" s="163"/>
      <c r="M2555" s="169"/>
    </row>
    <row r="2556" spans="1:13" x14ac:dyDescent="0.55000000000000004">
      <c r="A2556" s="107" t="s">
        <v>254</v>
      </c>
      <c r="B2556" s="68" t="s">
        <v>153</v>
      </c>
      <c r="C2556" s="68" t="s">
        <v>127</v>
      </c>
      <c r="D2556" s="68" t="s">
        <v>2994</v>
      </c>
      <c r="E2556" s="120">
        <v>1.3</v>
      </c>
      <c r="F2556" s="151" t="s">
        <v>138</v>
      </c>
      <c r="G2556" s="151" t="s">
        <v>135</v>
      </c>
      <c r="H2556" s="68" t="s">
        <v>39</v>
      </c>
      <c r="I2556" s="168"/>
      <c r="J2556" s="74" t="str">
        <f t="shared" si="9"/>
        <v>[TIMES_SE] Cement clinker kiln, integrated Ca. loop CCS</v>
      </c>
      <c r="K2556" s="168"/>
      <c r="L2556" s="163"/>
      <c r="M2556" s="169"/>
    </row>
    <row r="2557" spans="1:13" x14ac:dyDescent="0.55000000000000004">
      <c r="A2557" s="107" t="s">
        <v>254</v>
      </c>
      <c r="B2557" s="68" t="s">
        <v>153</v>
      </c>
      <c r="C2557" s="168" t="s">
        <v>156</v>
      </c>
      <c r="D2557" s="68" t="s">
        <v>2994</v>
      </c>
      <c r="E2557" s="120">
        <v>0.67400000000000004</v>
      </c>
      <c r="F2557" s="151" t="s">
        <v>138</v>
      </c>
      <c r="G2557" s="151" t="s">
        <v>135</v>
      </c>
      <c r="H2557" s="68" t="s">
        <v>39</v>
      </c>
      <c r="I2557" s="168"/>
      <c r="J2557" s="74" t="str">
        <f t="shared" si="9"/>
        <v>[TIMES_SE] Cement clinker kiln, integrated Ca. loop CCS</v>
      </c>
      <c r="K2557" s="168"/>
      <c r="L2557" s="163"/>
      <c r="M2557" s="169"/>
    </row>
    <row r="2558" spans="1:13" x14ac:dyDescent="0.55000000000000004">
      <c r="A2558" s="107" t="s">
        <v>254</v>
      </c>
      <c r="B2558" s="168" t="s">
        <v>160</v>
      </c>
      <c r="C2558" s="168" t="s">
        <v>247</v>
      </c>
      <c r="D2558" s="168" t="s">
        <v>3288</v>
      </c>
      <c r="E2558" s="119">
        <f>0.346528*(1-0.943)</f>
        <v>1.9752096000000018E-2</v>
      </c>
      <c r="F2558" s="151" t="s">
        <v>135</v>
      </c>
      <c r="G2558" s="149" t="s">
        <v>135</v>
      </c>
      <c r="H2558" s="68" t="s">
        <v>413</v>
      </c>
      <c r="I2558" s="168" t="s">
        <v>2040</v>
      </c>
      <c r="J2558" s="74" t="str">
        <f t="shared" si="9"/>
        <v>[TIMES_SE] Cement clinker kiln, integrated Ca. loop CCS</v>
      </c>
      <c r="K2558" s="168"/>
      <c r="L2558" s="160"/>
      <c r="M2558" s="169"/>
    </row>
    <row r="2559" spans="1:13" x14ac:dyDescent="0.55000000000000004">
      <c r="A2559" s="107" t="s">
        <v>254</v>
      </c>
      <c r="B2559" s="168" t="s">
        <v>160</v>
      </c>
      <c r="C2559" s="168" t="s">
        <v>247</v>
      </c>
      <c r="D2559" s="168" t="s">
        <v>3288</v>
      </c>
      <c r="E2559" s="119">
        <f>0.099008*(1-0.943)</f>
        <v>5.643456000000005E-3</v>
      </c>
      <c r="F2559" s="151" t="s">
        <v>135</v>
      </c>
      <c r="G2559" s="149" t="s">
        <v>135</v>
      </c>
      <c r="H2559" s="68" t="s">
        <v>373</v>
      </c>
      <c r="I2559" s="168" t="s">
        <v>2041</v>
      </c>
      <c r="J2559" s="74" t="str">
        <f t="shared" si="9"/>
        <v>[TIMES_SE] Cement clinker kiln, integrated Ca. loop CCS</v>
      </c>
      <c r="K2559" s="168"/>
      <c r="L2559" s="160"/>
      <c r="M2559" s="169"/>
    </row>
    <row r="2560" spans="1:13" x14ac:dyDescent="0.55000000000000004">
      <c r="A2560" s="107" t="s">
        <v>254</v>
      </c>
      <c r="B2560" s="168" t="s">
        <v>160</v>
      </c>
      <c r="C2560" s="168" t="s">
        <v>156</v>
      </c>
      <c r="D2560" s="168" t="s">
        <v>3288</v>
      </c>
      <c r="E2560" s="119">
        <f>0.346528*0.943</f>
        <v>0.32677590400000001</v>
      </c>
      <c r="F2560" s="151" t="s">
        <v>135</v>
      </c>
      <c r="G2560" s="149" t="s">
        <v>135</v>
      </c>
      <c r="H2560" s="68" t="s">
        <v>413</v>
      </c>
      <c r="I2560" s="168" t="s">
        <v>2040</v>
      </c>
      <c r="J2560" s="74" t="str">
        <f t="shared" si="9"/>
        <v>[TIMES_SE] Cement clinker kiln, integrated Ca. loop CCS</v>
      </c>
      <c r="K2560" s="168"/>
      <c r="L2560" s="160"/>
      <c r="M2560" s="169"/>
    </row>
    <row r="2561" spans="1:13" x14ac:dyDescent="0.55000000000000004">
      <c r="A2561" s="107" t="s">
        <v>254</v>
      </c>
      <c r="B2561" s="168" t="s">
        <v>160</v>
      </c>
      <c r="C2561" s="168" t="s">
        <v>156</v>
      </c>
      <c r="D2561" s="168" t="s">
        <v>3288</v>
      </c>
      <c r="E2561" s="119">
        <f>0.099008*0.943</f>
        <v>9.3364543999999994E-2</v>
      </c>
      <c r="F2561" s="151" t="s">
        <v>135</v>
      </c>
      <c r="G2561" s="149" t="s">
        <v>135</v>
      </c>
      <c r="H2561" s="68" t="s">
        <v>373</v>
      </c>
      <c r="I2561" s="168" t="s">
        <v>2041</v>
      </c>
      <c r="J2561" s="74" t="str">
        <f t="shared" si="9"/>
        <v>[TIMES_SE] Cement clinker kiln, integrated Ca. loop CCS</v>
      </c>
      <c r="K2561" s="168"/>
      <c r="L2561" s="160"/>
      <c r="M2561" s="169"/>
    </row>
    <row r="2562" spans="1:13" x14ac:dyDescent="0.55000000000000004">
      <c r="A2562" s="107" t="s">
        <v>253</v>
      </c>
      <c r="B2562" s="68" t="s">
        <v>134</v>
      </c>
      <c r="C2562" s="68" t="s">
        <v>121</v>
      </c>
      <c r="D2562" s="68" t="s">
        <v>3288</v>
      </c>
      <c r="E2562" s="120">
        <v>1</v>
      </c>
      <c r="F2562" s="151" t="s">
        <v>135</v>
      </c>
      <c r="G2562" s="151">
        <v>1</v>
      </c>
      <c r="H2562" s="68"/>
      <c r="I2562" s="168"/>
      <c r="J2562" s="74" t="str">
        <f t="shared" si="9"/>
        <v>[TIMES_SE] Cement clinker kiln, membrane CCS</v>
      </c>
      <c r="K2562" s="168"/>
      <c r="L2562" s="160" t="s">
        <v>241</v>
      </c>
      <c r="M2562" s="169"/>
    </row>
    <row r="2563" spans="1:13" x14ac:dyDescent="0.55000000000000004">
      <c r="A2563" s="107" t="s">
        <v>253</v>
      </c>
      <c r="B2563" s="68" t="s">
        <v>131</v>
      </c>
      <c r="C2563" s="168" t="s">
        <v>207</v>
      </c>
      <c r="D2563" s="68" t="s">
        <v>3288</v>
      </c>
      <c r="E2563" s="120">
        <f>AVERAGE(0.8,1.6)</f>
        <v>1.2000000000000002</v>
      </c>
      <c r="F2563" s="151" t="s">
        <v>135</v>
      </c>
      <c r="G2563" s="151" t="s">
        <v>135</v>
      </c>
      <c r="H2563" s="68" t="s">
        <v>242</v>
      </c>
      <c r="I2563" s="168" t="s">
        <v>1244</v>
      </c>
      <c r="J2563" s="74" t="str">
        <f t="shared" si="9"/>
        <v>[TIMES_SE] Cement clinker kiln, membrane CCS</v>
      </c>
      <c r="K2563" s="168"/>
      <c r="L2563" s="163"/>
      <c r="M2563" s="169"/>
    </row>
    <row r="2564" spans="1:13" x14ac:dyDescent="0.55000000000000004">
      <c r="A2564" s="107" t="s">
        <v>253</v>
      </c>
      <c r="B2564" s="68" t="s">
        <v>238</v>
      </c>
      <c r="C2564" s="168" t="s">
        <v>207</v>
      </c>
      <c r="D2564" s="68" t="s">
        <v>3288</v>
      </c>
      <c r="E2564" s="120">
        <f>1.6-E2563</f>
        <v>0.39999999999999991</v>
      </c>
      <c r="F2564" s="151" t="s">
        <v>135</v>
      </c>
      <c r="G2564" s="151" t="s">
        <v>135</v>
      </c>
      <c r="H2564" s="68" t="s">
        <v>243</v>
      </c>
      <c r="I2564" s="168" t="s">
        <v>535</v>
      </c>
      <c r="J2564" s="74" t="str">
        <f t="shared" si="9"/>
        <v>[TIMES_SE] Cement clinker kiln, membrane CCS</v>
      </c>
      <c r="K2564" s="168"/>
      <c r="L2564" s="163"/>
      <c r="M2564" s="169"/>
    </row>
    <row r="2565" spans="1:13" x14ac:dyDescent="0.55000000000000004">
      <c r="A2565" s="107" t="s">
        <v>253</v>
      </c>
      <c r="B2565" s="68" t="s">
        <v>244</v>
      </c>
      <c r="C2565" s="68" t="s">
        <v>127</v>
      </c>
      <c r="D2565" s="68" t="s">
        <v>2994</v>
      </c>
      <c r="E2565" s="120">
        <f>3.28*0.65</f>
        <v>2.1320000000000001</v>
      </c>
      <c r="F2565" s="151" t="s">
        <v>138</v>
      </c>
      <c r="G2565" s="151" t="s">
        <v>135</v>
      </c>
      <c r="H2565" s="68" t="s">
        <v>250</v>
      </c>
      <c r="I2565" s="168" t="s">
        <v>1245</v>
      </c>
      <c r="J2565" s="74" t="str">
        <f t="shared" si="9"/>
        <v>[TIMES_SE] Cement clinker kiln, membrane CCS</v>
      </c>
      <c r="K2565" s="168"/>
      <c r="L2565" s="163"/>
      <c r="M2565" s="169"/>
    </row>
    <row r="2566" spans="1:13" x14ac:dyDescent="0.55000000000000004">
      <c r="A2566" s="107" t="s">
        <v>253</v>
      </c>
      <c r="B2566" s="68" t="s">
        <v>137</v>
      </c>
      <c r="C2566" s="68" t="s">
        <v>127</v>
      </c>
      <c r="D2566" s="68" t="s">
        <v>2994</v>
      </c>
      <c r="E2566" s="120">
        <f>3.28-E2565</f>
        <v>1.1479999999999997</v>
      </c>
      <c r="F2566" s="151" t="s">
        <v>138</v>
      </c>
      <c r="G2566" s="151" t="s">
        <v>135</v>
      </c>
      <c r="H2566" s="68" t="s">
        <v>246</v>
      </c>
      <c r="I2566" s="168" t="s">
        <v>1246</v>
      </c>
      <c r="J2566" s="74" t="str">
        <f t="shared" si="9"/>
        <v>[TIMES_SE] Cement clinker kiln, membrane CCS</v>
      </c>
      <c r="K2566" s="168"/>
      <c r="L2566" s="163"/>
      <c r="M2566" s="169"/>
    </row>
    <row r="2567" spans="1:13" x14ac:dyDescent="0.55000000000000004">
      <c r="A2567" s="107" t="s">
        <v>253</v>
      </c>
      <c r="B2567" s="68" t="s">
        <v>153</v>
      </c>
      <c r="C2567" s="68" t="s">
        <v>127</v>
      </c>
      <c r="D2567" s="68" t="s">
        <v>2994</v>
      </c>
      <c r="E2567" s="120">
        <v>1.33</v>
      </c>
      <c r="F2567" s="151" t="s">
        <v>138</v>
      </c>
      <c r="G2567" s="151" t="s">
        <v>135</v>
      </c>
      <c r="H2567" s="68" t="s">
        <v>39</v>
      </c>
      <c r="I2567" s="168"/>
      <c r="J2567" s="74" t="str">
        <f t="shared" si="9"/>
        <v>[TIMES_SE] Cement clinker kiln, membrane CCS</v>
      </c>
      <c r="K2567" s="168"/>
      <c r="L2567" s="163"/>
      <c r="M2567" s="169"/>
    </row>
    <row r="2568" spans="1:13" x14ac:dyDescent="0.55000000000000004">
      <c r="A2568" s="107" t="s">
        <v>253</v>
      </c>
      <c r="B2568" s="168" t="s">
        <v>160</v>
      </c>
      <c r="C2568" s="168" t="s">
        <v>247</v>
      </c>
      <c r="D2568" s="168" t="s">
        <v>3288</v>
      </c>
      <c r="E2568" s="119">
        <f>0.208936*0.1</f>
        <v>2.0893600000000002E-2</v>
      </c>
      <c r="F2568" s="151" t="s">
        <v>135</v>
      </c>
      <c r="G2568" s="149" t="s">
        <v>135</v>
      </c>
      <c r="H2568" s="68" t="s">
        <v>413</v>
      </c>
      <c r="I2568" s="168" t="s">
        <v>2038</v>
      </c>
      <c r="J2568" s="74" t="str">
        <f t="shared" si="9"/>
        <v>[TIMES_SE] Cement clinker kiln, membrane CCS</v>
      </c>
      <c r="K2568" s="168"/>
      <c r="L2568" s="160"/>
      <c r="M2568" s="169"/>
    </row>
    <row r="2569" spans="1:13" x14ac:dyDescent="0.55000000000000004">
      <c r="A2569" s="107" t="s">
        <v>253</v>
      </c>
      <c r="B2569" s="168" t="s">
        <v>160</v>
      </c>
      <c r="C2569" s="168" t="s">
        <v>247</v>
      </c>
      <c r="D2569" s="168" t="s">
        <v>3288</v>
      </c>
      <c r="E2569" s="119">
        <f>0.059696*0.1</f>
        <v>5.9696000000000003E-3</v>
      </c>
      <c r="F2569" s="151" t="s">
        <v>135</v>
      </c>
      <c r="G2569" s="149" t="s">
        <v>135</v>
      </c>
      <c r="H2569" s="68" t="s">
        <v>373</v>
      </c>
      <c r="I2569" s="168" t="s">
        <v>2039</v>
      </c>
      <c r="J2569" s="74" t="str">
        <f t="shared" si="9"/>
        <v>[TIMES_SE] Cement clinker kiln, membrane CCS</v>
      </c>
      <c r="K2569" s="168"/>
      <c r="L2569" s="160"/>
      <c r="M2569" s="169"/>
    </row>
    <row r="2570" spans="1:13" x14ac:dyDescent="0.55000000000000004">
      <c r="A2570" s="107" t="s">
        <v>253</v>
      </c>
      <c r="B2570" s="168" t="s">
        <v>160</v>
      </c>
      <c r="C2570" s="168" t="s">
        <v>156</v>
      </c>
      <c r="D2570" s="168" t="s">
        <v>3288</v>
      </c>
      <c r="E2570" s="119">
        <f>0.208936*0.9</f>
        <v>0.18804240000000003</v>
      </c>
      <c r="F2570" s="151" t="s">
        <v>135</v>
      </c>
      <c r="G2570" s="149" t="s">
        <v>135</v>
      </c>
      <c r="H2570" s="68" t="s">
        <v>413</v>
      </c>
      <c r="I2570" s="168" t="s">
        <v>2038</v>
      </c>
      <c r="J2570" s="74" t="str">
        <f t="shared" si="9"/>
        <v>[TIMES_SE] Cement clinker kiln, membrane CCS</v>
      </c>
      <c r="K2570" s="168"/>
      <c r="L2570" s="160"/>
      <c r="M2570" s="169"/>
    </row>
    <row r="2571" spans="1:13" x14ac:dyDescent="0.55000000000000004">
      <c r="A2571" s="107" t="s">
        <v>253</v>
      </c>
      <c r="B2571" s="168" t="s">
        <v>160</v>
      </c>
      <c r="C2571" s="168" t="s">
        <v>156</v>
      </c>
      <c r="D2571" s="168" t="s">
        <v>3288</v>
      </c>
      <c r="E2571" s="119">
        <f>0.059696*0.9</f>
        <v>5.3726400000000001E-2</v>
      </c>
      <c r="F2571" s="151" t="s">
        <v>135</v>
      </c>
      <c r="G2571" s="149" t="s">
        <v>135</v>
      </c>
      <c r="H2571" s="68" t="s">
        <v>373</v>
      </c>
      <c r="I2571" s="168" t="s">
        <v>2039</v>
      </c>
      <c r="J2571" s="74" t="str">
        <f t="shared" si="9"/>
        <v>[TIMES_SE] Cement clinker kiln, membrane CCS</v>
      </c>
      <c r="K2571" s="168"/>
      <c r="L2571" s="160"/>
      <c r="M2571" s="169"/>
    </row>
    <row r="2572" spans="1:13" x14ac:dyDescent="0.55000000000000004">
      <c r="A2572" s="107" t="s">
        <v>251</v>
      </c>
      <c r="B2572" s="68" t="s">
        <v>134</v>
      </c>
      <c r="C2572" s="68" t="s">
        <v>121</v>
      </c>
      <c r="D2572" s="68" t="s">
        <v>3288</v>
      </c>
      <c r="E2572" s="120">
        <v>1</v>
      </c>
      <c r="F2572" s="151" t="s">
        <v>135</v>
      </c>
      <c r="G2572" s="151">
        <v>1</v>
      </c>
      <c r="H2572" s="68"/>
      <c r="I2572" s="168"/>
      <c r="J2572" s="74" t="str">
        <f t="shared" si="9"/>
        <v>[TIMES_SE] Cement clinker kiln, oxyfuel CCS</v>
      </c>
      <c r="K2572" s="168"/>
      <c r="L2572" s="160" t="s">
        <v>241</v>
      </c>
      <c r="M2572" s="169"/>
    </row>
    <row r="2573" spans="1:13" x14ac:dyDescent="0.55000000000000004">
      <c r="A2573" s="107" t="s">
        <v>251</v>
      </c>
      <c r="B2573" s="68" t="s">
        <v>131</v>
      </c>
      <c r="C2573" s="168" t="s">
        <v>207</v>
      </c>
      <c r="D2573" s="68" t="s">
        <v>3288</v>
      </c>
      <c r="E2573" s="120">
        <f>AVERAGE(0.8,1.6)</f>
        <v>1.2000000000000002</v>
      </c>
      <c r="F2573" s="151" t="s">
        <v>135</v>
      </c>
      <c r="G2573" s="151" t="s">
        <v>135</v>
      </c>
      <c r="H2573" s="68" t="s">
        <v>242</v>
      </c>
      <c r="I2573" s="168" t="s">
        <v>1244</v>
      </c>
      <c r="J2573" s="74" t="str">
        <f t="shared" si="9"/>
        <v>[TIMES_SE] Cement clinker kiln, oxyfuel CCS</v>
      </c>
      <c r="K2573" s="168"/>
      <c r="L2573" s="163"/>
      <c r="M2573" s="169"/>
    </row>
    <row r="2574" spans="1:13" x14ac:dyDescent="0.55000000000000004">
      <c r="A2574" s="107" t="s">
        <v>251</v>
      </c>
      <c r="B2574" s="68" t="s">
        <v>238</v>
      </c>
      <c r="C2574" s="168" t="s">
        <v>207</v>
      </c>
      <c r="D2574" s="68" t="s">
        <v>3288</v>
      </c>
      <c r="E2574" s="120">
        <f>1.6-E2573</f>
        <v>0.39999999999999991</v>
      </c>
      <c r="F2574" s="151" t="s">
        <v>135</v>
      </c>
      <c r="G2574" s="151" t="s">
        <v>135</v>
      </c>
      <c r="H2574" s="68" t="s">
        <v>243</v>
      </c>
      <c r="I2574" s="168" t="s">
        <v>535</v>
      </c>
      <c r="J2574" s="74" t="str">
        <f t="shared" si="9"/>
        <v>[TIMES_SE] Cement clinker kiln, oxyfuel CCS</v>
      </c>
      <c r="K2574" s="168"/>
      <c r="L2574" s="163"/>
      <c r="M2574" s="169"/>
    </row>
    <row r="2575" spans="1:13" x14ac:dyDescent="0.55000000000000004">
      <c r="A2575" s="107" t="s">
        <v>251</v>
      </c>
      <c r="B2575" s="68" t="s">
        <v>244</v>
      </c>
      <c r="C2575" s="68" t="s">
        <v>127</v>
      </c>
      <c r="D2575" s="68" t="s">
        <v>2994</v>
      </c>
      <c r="E2575" s="120">
        <f>3.14*0.65</f>
        <v>2.0410000000000004</v>
      </c>
      <c r="F2575" s="151" t="s">
        <v>138</v>
      </c>
      <c r="G2575" s="151" t="s">
        <v>135</v>
      </c>
      <c r="H2575" s="68" t="s">
        <v>252</v>
      </c>
      <c r="I2575" s="168" t="s">
        <v>1245</v>
      </c>
      <c r="J2575" s="74" t="str">
        <f t="shared" si="9"/>
        <v>[TIMES_SE] Cement clinker kiln, oxyfuel CCS</v>
      </c>
      <c r="K2575" s="168"/>
      <c r="L2575" s="163"/>
      <c r="M2575" s="169"/>
    </row>
    <row r="2576" spans="1:13" x14ac:dyDescent="0.55000000000000004">
      <c r="A2576" s="107" t="s">
        <v>251</v>
      </c>
      <c r="B2576" s="68" t="s">
        <v>137</v>
      </c>
      <c r="C2576" s="68" t="s">
        <v>127</v>
      </c>
      <c r="D2576" s="68" t="s">
        <v>2994</v>
      </c>
      <c r="E2576" s="120">
        <f>3.14-E2575</f>
        <v>1.0989999999999998</v>
      </c>
      <c r="F2576" s="151" t="s">
        <v>138</v>
      </c>
      <c r="G2576" s="151" t="s">
        <v>135</v>
      </c>
      <c r="H2576" s="68" t="s">
        <v>246</v>
      </c>
      <c r="I2576" s="168" t="s">
        <v>1246</v>
      </c>
      <c r="J2576" s="74" t="str">
        <f t="shared" si="9"/>
        <v>[TIMES_SE] Cement clinker kiln, oxyfuel CCS</v>
      </c>
      <c r="K2576" s="168"/>
      <c r="L2576" s="163"/>
      <c r="M2576" s="169"/>
    </row>
    <row r="2577" spans="1:13" x14ac:dyDescent="0.55000000000000004">
      <c r="A2577" s="107" t="s">
        <v>251</v>
      </c>
      <c r="B2577" s="68" t="s">
        <v>153</v>
      </c>
      <c r="C2577" s="68" t="s">
        <v>127</v>
      </c>
      <c r="D2577" s="68" t="s">
        <v>2994</v>
      </c>
      <c r="E2577" s="120">
        <v>0.82</v>
      </c>
      <c r="F2577" s="151" t="s">
        <v>138</v>
      </c>
      <c r="G2577" s="151" t="s">
        <v>135</v>
      </c>
      <c r="H2577" s="68" t="s">
        <v>39</v>
      </c>
      <c r="I2577" s="168"/>
      <c r="J2577" s="74" t="str">
        <f t="shared" si="9"/>
        <v>[TIMES_SE] Cement clinker kiln, oxyfuel CCS</v>
      </c>
      <c r="K2577" s="168"/>
      <c r="L2577" s="163"/>
      <c r="M2577" s="169"/>
    </row>
    <row r="2578" spans="1:13" x14ac:dyDescent="0.55000000000000004">
      <c r="A2578" s="107" t="s">
        <v>251</v>
      </c>
      <c r="B2578" s="68" t="s">
        <v>153</v>
      </c>
      <c r="C2578" s="168" t="s">
        <v>156</v>
      </c>
      <c r="D2578" s="68" t="s">
        <v>2994</v>
      </c>
      <c r="E2578" s="120">
        <v>8.4000000000000005E-2</v>
      </c>
      <c r="F2578" s="151" t="s">
        <v>138</v>
      </c>
      <c r="G2578" s="151" t="s">
        <v>135</v>
      </c>
      <c r="H2578" s="68" t="s">
        <v>39</v>
      </c>
      <c r="I2578" s="168"/>
      <c r="J2578" s="74" t="str">
        <f t="shared" si="9"/>
        <v>[TIMES_SE] Cement clinker kiln, oxyfuel CCS</v>
      </c>
      <c r="K2578" s="168"/>
      <c r="L2578" s="163"/>
      <c r="M2578" s="169"/>
    </row>
    <row r="2579" spans="1:13" x14ac:dyDescent="0.55000000000000004">
      <c r="A2579" s="107" t="s">
        <v>251</v>
      </c>
      <c r="B2579" s="168" t="s">
        <v>160</v>
      </c>
      <c r="C2579" s="168" t="s">
        <v>247</v>
      </c>
      <c r="D2579" s="168" t="s">
        <v>3288</v>
      </c>
      <c r="E2579" s="119">
        <f>0.200018*0.1</f>
        <v>2.00018E-2</v>
      </c>
      <c r="F2579" s="151" t="s">
        <v>135</v>
      </c>
      <c r="G2579" s="149" t="s">
        <v>135</v>
      </c>
      <c r="H2579" s="68" t="s">
        <v>413</v>
      </c>
      <c r="I2579" s="168" t="s">
        <v>2036</v>
      </c>
      <c r="J2579" s="74" t="str">
        <f t="shared" si="9"/>
        <v>[TIMES_SE] Cement clinker kiln, oxyfuel CCS</v>
      </c>
      <c r="K2579" s="168"/>
      <c r="L2579" s="160"/>
      <c r="M2579" s="169"/>
    </row>
    <row r="2580" spans="1:13" x14ac:dyDescent="0.55000000000000004">
      <c r="A2580" s="107" t="s">
        <v>251</v>
      </c>
      <c r="B2580" s="168" t="s">
        <v>160</v>
      </c>
      <c r="C2580" s="168" t="s">
        <v>247</v>
      </c>
      <c r="D2580" s="168" t="s">
        <v>3288</v>
      </c>
      <c r="E2580" s="119">
        <f>0.057148*0.1</f>
        <v>5.7147999999999999E-3</v>
      </c>
      <c r="F2580" s="151" t="s">
        <v>135</v>
      </c>
      <c r="G2580" s="149" t="s">
        <v>135</v>
      </c>
      <c r="H2580" s="68" t="s">
        <v>373</v>
      </c>
      <c r="I2580" s="168" t="s">
        <v>2037</v>
      </c>
      <c r="J2580" s="74" t="str">
        <f t="shared" si="9"/>
        <v>[TIMES_SE] Cement clinker kiln, oxyfuel CCS</v>
      </c>
      <c r="K2580" s="168"/>
      <c r="L2580" s="160"/>
      <c r="M2580" s="169"/>
    </row>
    <row r="2581" spans="1:13" x14ac:dyDescent="0.55000000000000004">
      <c r="A2581" s="107" t="s">
        <v>251</v>
      </c>
      <c r="B2581" s="168" t="s">
        <v>160</v>
      </c>
      <c r="C2581" s="168" t="s">
        <v>156</v>
      </c>
      <c r="D2581" s="168" t="s">
        <v>3288</v>
      </c>
      <c r="E2581" s="119">
        <f>0.200018*0.9</f>
        <v>0.18001620000000002</v>
      </c>
      <c r="F2581" s="151" t="s">
        <v>135</v>
      </c>
      <c r="G2581" s="149" t="s">
        <v>135</v>
      </c>
      <c r="H2581" s="68" t="s">
        <v>413</v>
      </c>
      <c r="I2581" s="168" t="s">
        <v>2036</v>
      </c>
      <c r="J2581" s="74" t="str">
        <f t="shared" si="9"/>
        <v>[TIMES_SE] Cement clinker kiln, oxyfuel CCS</v>
      </c>
      <c r="K2581" s="168"/>
      <c r="L2581" s="160"/>
      <c r="M2581" s="169"/>
    </row>
    <row r="2582" spans="1:13" x14ac:dyDescent="0.55000000000000004">
      <c r="A2582" s="107" t="s">
        <v>251</v>
      </c>
      <c r="B2582" s="168" t="s">
        <v>160</v>
      </c>
      <c r="C2582" s="168" t="s">
        <v>156</v>
      </c>
      <c r="D2582" s="168" t="s">
        <v>3288</v>
      </c>
      <c r="E2582" s="119">
        <f>0.057148*0.9</f>
        <v>5.1433199999999998E-2</v>
      </c>
      <c r="F2582" s="151" t="s">
        <v>135</v>
      </c>
      <c r="G2582" s="149" t="s">
        <v>135</v>
      </c>
      <c r="H2582" s="68" t="s">
        <v>373</v>
      </c>
      <c r="I2582" s="168" t="s">
        <v>2037</v>
      </c>
      <c r="J2582" s="74" t="str">
        <f t="shared" si="9"/>
        <v>[TIMES_SE] Cement clinker kiln, oxyfuel CCS</v>
      </c>
      <c r="K2582" s="168"/>
      <c r="L2582" s="160"/>
      <c r="M2582" s="169"/>
    </row>
    <row r="2583" spans="1:13" x14ac:dyDescent="0.55000000000000004">
      <c r="A2583" s="107" t="s">
        <v>249</v>
      </c>
      <c r="B2583" s="68" t="s">
        <v>134</v>
      </c>
      <c r="C2583" s="68" t="s">
        <v>121</v>
      </c>
      <c r="D2583" s="68" t="s">
        <v>3288</v>
      </c>
      <c r="E2583" s="120">
        <v>1</v>
      </c>
      <c r="F2583" s="151" t="s">
        <v>135</v>
      </c>
      <c r="G2583" s="151">
        <v>1</v>
      </c>
      <c r="H2583" s="68"/>
      <c r="I2583" s="168"/>
      <c r="J2583" s="74" t="str">
        <f t="shared" si="9"/>
        <v>[TIMES_SE] Cement clinker kiln, PCC CCS</v>
      </c>
      <c r="K2583" s="168"/>
      <c r="L2583" s="160" t="s">
        <v>241</v>
      </c>
      <c r="M2583" s="169"/>
    </row>
    <row r="2584" spans="1:13" x14ac:dyDescent="0.55000000000000004">
      <c r="A2584" s="107" t="s">
        <v>249</v>
      </c>
      <c r="B2584" s="68" t="s">
        <v>131</v>
      </c>
      <c r="C2584" s="168" t="s">
        <v>207</v>
      </c>
      <c r="D2584" s="68" t="s">
        <v>3288</v>
      </c>
      <c r="E2584" s="120">
        <f>AVERAGE(0.8,1.6)</f>
        <v>1.2000000000000002</v>
      </c>
      <c r="F2584" s="151" t="s">
        <v>135</v>
      </c>
      <c r="G2584" s="151" t="s">
        <v>135</v>
      </c>
      <c r="H2584" s="68" t="s">
        <v>242</v>
      </c>
      <c r="I2584" s="168" t="s">
        <v>1244</v>
      </c>
      <c r="J2584" s="74" t="str">
        <f t="shared" si="9"/>
        <v>[TIMES_SE] Cement clinker kiln, PCC CCS</v>
      </c>
      <c r="K2584" s="168"/>
      <c r="L2584" s="163"/>
      <c r="M2584" s="169"/>
    </row>
    <row r="2585" spans="1:13" x14ac:dyDescent="0.55000000000000004">
      <c r="A2585" s="107" t="s">
        <v>249</v>
      </c>
      <c r="B2585" s="68" t="s">
        <v>238</v>
      </c>
      <c r="C2585" s="168" t="s">
        <v>207</v>
      </c>
      <c r="D2585" s="68" t="s">
        <v>3288</v>
      </c>
      <c r="E2585" s="120">
        <f>1.6-E2584</f>
        <v>0.39999999999999991</v>
      </c>
      <c r="F2585" s="151" t="s">
        <v>135</v>
      </c>
      <c r="G2585" s="151" t="s">
        <v>135</v>
      </c>
      <c r="H2585" s="68" t="s">
        <v>243</v>
      </c>
      <c r="I2585" s="168" t="s">
        <v>535</v>
      </c>
      <c r="J2585" s="74" t="str">
        <f t="shared" si="9"/>
        <v>[TIMES_SE] Cement clinker kiln, PCC CCS</v>
      </c>
      <c r="K2585" s="168"/>
      <c r="L2585" s="163"/>
      <c r="M2585" s="169"/>
    </row>
    <row r="2586" spans="1:13" x14ac:dyDescent="0.55000000000000004">
      <c r="A2586" s="107" t="s">
        <v>249</v>
      </c>
      <c r="B2586" s="68" t="s">
        <v>244</v>
      </c>
      <c r="C2586" s="68" t="s">
        <v>127</v>
      </c>
      <c r="D2586" s="68" t="s">
        <v>2994</v>
      </c>
      <c r="E2586" s="120">
        <f>3.28*0.65</f>
        <v>2.1320000000000001</v>
      </c>
      <c r="F2586" s="151" t="s">
        <v>138</v>
      </c>
      <c r="G2586" s="151" t="s">
        <v>135</v>
      </c>
      <c r="H2586" s="68" t="s">
        <v>250</v>
      </c>
      <c r="I2586" s="168" t="s">
        <v>1245</v>
      </c>
      <c r="J2586" s="74" t="str">
        <f t="shared" si="9"/>
        <v>[TIMES_SE] Cement clinker kiln, PCC CCS</v>
      </c>
      <c r="K2586" s="168"/>
      <c r="L2586" s="163"/>
      <c r="M2586" s="169"/>
    </row>
    <row r="2587" spans="1:13" x14ac:dyDescent="0.55000000000000004">
      <c r="A2587" s="107" t="s">
        <v>249</v>
      </c>
      <c r="B2587" s="68" t="s">
        <v>137</v>
      </c>
      <c r="C2587" s="68" t="s">
        <v>127</v>
      </c>
      <c r="D2587" s="68" t="s">
        <v>2994</v>
      </c>
      <c r="E2587" s="120">
        <f>3.28-E2586</f>
        <v>1.1479999999999997</v>
      </c>
      <c r="F2587" s="151" t="s">
        <v>138</v>
      </c>
      <c r="G2587" s="151" t="s">
        <v>135</v>
      </c>
      <c r="H2587" s="68" t="s">
        <v>246</v>
      </c>
      <c r="I2587" s="168" t="s">
        <v>1246</v>
      </c>
      <c r="J2587" s="74" t="str">
        <f t="shared" si="9"/>
        <v>[TIMES_SE] Cement clinker kiln, PCC CCS</v>
      </c>
      <c r="K2587" s="168"/>
      <c r="L2587" s="163"/>
      <c r="M2587" s="169"/>
    </row>
    <row r="2588" spans="1:13" x14ac:dyDescent="0.55000000000000004">
      <c r="A2588" s="107" t="s">
        <v>249</v>
      </c>
      <c r="B2588" s="68" t="s">
        <v>188</v>
      </c>
      <c r="C2588" s="68" t="s">
        <v>127</v>
      </c>
      <c r="D2588" s="68" t="s">
        <v>2994</v>
      </c>
      <c r="E2588" s="120">
        <v>2.77</v>
      </c>
      <c r="F2588" s="151" t="s">
        <v>138</v>
      </c>
      <c r="G2588" s="151" t="s">
        <v>135</v>
      </c>
      <c r="H2588" s="68" t="s">
        <v>39</v>
      </c>
      <c r="I2588" s="168"/>
      <c r="J2588" s="74" t="str">
        <f t="shared" si="9"/>
        <v>[TIMES_SE] Cement clinker kiln, PCC CCS</v>
      </c>
      <c r="K2588" s="168"/>
      <c r="L2588" s="163"/>
      <c r="M2588" s="169"/>
    </row>
    <row r="2589" spans="1:13" x14ac:dyDescent="0.55000000000000004">
      <c r="A2589" s="107" t="s">
        <v>249</v>
      </c>
      <c r="B2589" s="68" t="s">
        <v>153</v>
      </c>
      <c r="C2589" s="68" t="s">
        <v>127</v>
      </c>
      <c r="D2589" s="68" t="s">
        <v>2994</v>
      </c>
      <c r="E2589" s="120">
        <v>0.65</v>
      </c>
      <c r="F2589" s="151" t="s">
        <v>138</v>
      </c>
      <c r="G2589" s="151" t="s">
        <v>135</v>
      </c>
      <c r="H2589" s="68" t="s">
        <v>39</v>
      </c>
      <c r="I2589" s="168"/>
      <c r="J2589" s="74" t="str">
        <f t="shared" si="9"/>
        <v>[TIMES_SE] Cement clinker kiln, PCC CCS</v>
      </c>
      <c r="K2589" s="168"/>
      <c r="L2589" s="163"/>
      <c r="M2589" s="169"/>
    </row>
    <row r="2590" spans="1:13" x14ac:dyDescent="0.55000000000000004">
      <c r="A2590" s="107" t="s">
        <v>249</v>
      </c>
      <c r="B2590" s="168" t="s">
        <v>160</v>
      </c>
      <c r="C2590" s="168" t="s">
        <v>247</v>
      </c>
      <c r="D2590" s="168" t="s">
        <v>3288</v>
      </c>
      <c r="E2590" s="119">
        <f>0.203736*0.1</f>
        <v>2.0373600000000002E-2</v>
      </c>
      <c r="F2590" s="149" t="s">
        <v>135</v>
      </c>
      <c r="G2590" s="149" t="s">
        <v>135</v>
      </c>
      <c r="H2590" s="68" t="s">
        <v>413</v>
      </c>
      <c r="I2590" s="168" t="s">
        <v>2034</v>
      </c>
      <c r="J2590" s="74" t="str">
        <f t="shared" si="9"/>
        <v>[TIMES_SE] Cement clinker kiln, PCC CCS</v>
      </c>
      <c r="K2590" s="168"/>
      <c r="L2590" s="160"/>
      <c r="M2590" s="169"/>
    </row>
    <row r="2591" spans="1:13" x14ac:dyDescent="0.55000000000000004">
      <c r="A2591" s="107" t="s">
        <v>249</v>
      </c>
      <c r="B2591" s="168" t="s">
        <v>160</v>
      </c>
      <c r="C2591" s="168" t="s">
        <v>247</v>
      </c>
      <c r="D2591" s="168" t="s">
        <v>3288</v>
      </c>
      <c r="E2591" s="119">
        <f>0.208936*0.1</f>
        <v>2.0893600000000002E-2</v>
      </c>
      <c r="F2591" s="149" t="s">
        <v>135</v>
      </c>
      <c r="G2591" s="149" t="s">
        <v>135</v>
      </c>
      <c r="H2591" s="68" t="s">
        <v>373</v>
      </c>
      <c r="I2591" s="168" t="s">
        <v>2035</v>
      </c>
      <c r="J2591" s="74" t="str">
        <f t="shared" si="9"/>
        <v>[TIMES_SE] Cement clinker kiln, PCC CCS</v>
      </c>
      <c r="K2591" s="168"/>
      <c r="L2591" s="160"/>
      <c r="M2591" s="169"/>
    </row>
    <row r="2592" spans="1:13" x14ac:dyDescent="0.55000000000000004">
      <c r="A2592" s="107" t="s">
        <v>249</v>
      </c>
      <c r="B2592" s="168" t="s">
        <v>160</v>
      </c>
      <c r="C2592" s="168" t="s">
        <v>156</v>
      </c>
      <c r="D2592" s="168" t="s">
        <v>3288</v>
      </c>
      <c r="E2592" s="119">
        <f>0.203736*0.9</f>
        <v>0.18336240000000001</v>
      </c>
      <c r="F2592" s="149" t="s">
        <v>135</v>
      </c>
      <c r="G2592" s="149" t="s">
        <v>135</v>
      </c>
      <c r="H2592" s="68" t="s">
        <v>413</v>
      </c>
      <c r="I2592" s="168" t="s">
        <v>2034</v>
      </c>
      <c r="J2592" s="74" t="str">
        <f t="shared" si="9"/>
        <v>[TIMES_SE] Cement clinker kiln, PCC CCS</v>
      </c>
      <c r="K2592" s="168"/>
      <c r="L2592" s="160"/>
      <c r="M2592" s="169"/>
    </row>
    <row r="2593" spans="1:13" x14ac:dyDescent="0.55000000000000004">
      <c r="A2593" s="107" t="s">
        <v>249</v>
      </c>
      <c r="B2593" s="168" t="s">
        <v>160</v>
      </c>
      <c r="C2593" s="168" t="s">
        <v>156</v>
      </c>
      <c r="D2593" s="168" t="s">
        <v>3288</v>
      </c>
      <c r="E2593" s="119">
        <f>0.208936*0.9</f>
        <v>0.18804240000000003</v>
      </c>
      <c r="F2593" s="149" t="s">
        <v>135</v>
      </c>
      <c r="G2593" s="149" t="s">
        <v>135</v>
      </c>
      <c r="H2593" s="68" t="s">
        <v>373</v>
      </c>
      <c r="I2593" s="168" t="s">
        <v>2035</v>
      </c>
      <c r="J2593" s="74" t="str">
        <f t="shared" si="9"/>
        <v>[TIMES_SE] Cement clinker kiln, PCC CCS</v>
      </c>
      <c r="K2593" s="168"/>
      <c r="L2593" s="160"/>
      <c r="M2593" s="169"/>
    </row>
    <row r="2594" spans="1:13" x14ac:dyDescent="0.55000000000000004">
      <c r="A2594" s="107" t="s">
        <v>248</v>
      </c>
      <c r="B2594" s="68" t="s">
        <v>134</v>
      </c>
      <c r="C2594" s="68" t="s">
        <v>121</v>
      </c>
      <c r="D2594" s="68" t="s">
        <v>3288</v>
      </c>
      <c r="E2594" s="120">
        <v>1</v>
      </c>
      <c r="F2594" s="151" t="s">
        <v>135</v>
      </c>
      <c r="G2594" s="151">
        <v>1</v>
      </c>
      <c r="H2594" s="68"/>
      <c r="I2594" s="168"/>
      <c r="J2594" s="74" t="str">
        <f t="shared" si="9"/>
        <v>[TIMES_SE] Cement clinker kiln, plasma CCS</v>
      </c>
      <c r="K2594" s="168"/>
      <c r="L2594" s="160" t="s">
        <v>241</v>
      </c>
      <c r="M2594" s="169"/>
    </row>
    <row r="2595" spans="1:13" x14ac:dyDescent="0.55000000000000004">
      <c r="A2595" s="107" t="s">
        <v>248</v>
      </c>
      <c r="B2595" s="68" t="s">
        <v>131</v>
      </c>
      <c r="C2595" s="168" t="s">
        <v>207</v>
      </c>
      <c r="D2595" s="68" t="s">
        <v>3288</v>
      </c>
      <c r="E2595" s="120">
        <f>AVERAGE(0.8,1.6)</f>
        <v>1.2000000000000002</v>
      </c>
      <c r="F2595" s="151" t="s">
        <v>135</v>
      </c>
      <c r="G2595" s="151" t="s">
        <v>135</v>
      </c>
      <c r="H2595" s="68" t="s">
        <v>242</v>
      </c>
      <c r="I2595" s="168" t="s">
        <v>1244</v>
      </c>
      <c r="J2595" s="74" t="str">
        <f t="shared" si="9"/>
        <v>[TIMES_SE] Cement clinker kiln, plasma CCS</v>
      </c>
      <c r="K2595" s="168"/>
      <c r="L2595" s="163"/>
      <c r="M2595" s="169"/>
    </row>
    <row r="2596" spans="1:13" x14ac:dyDescent="0.55000000000000004">
      <c r="A2596" s="107" t="s">
        <v>248</v>
      </c>
      <c r="B2596" s="68" t="s">
        <v>238</v>
      </c>
      <c r="C2596" s="168" t="s">
        <v>207</v>
      </c>
      <c r="D2596" s="68" t="s">
        <v>3288</v>
      </c>
      <c r="E2596" s="120">
        <f>1.6-E2595</f>
        <v>0.39999999999999991</v>
      </c>
      <c r="F2596" s="151" t="s">
        <v>135</v>
      </c>
      <c r="G2596" s="151" t="s">
        <v>135</v>
      </c>
      <c r="H2596" s="68" t="s">
        <v>243</v>
      </c>
      <c r="I2596" s="168"/>
      <c r="J2596" s="74" t="str">
        <f t="shared" si="9"/>
        <v>[TIMES_SE] Cement clinker kiln, plasma CCS</v>
      </c>
      <c r="K2596" s="168"/>
      <c r="L2596" s="163"/>
      <c r="M2596" s="169"/>
    </row>
    <row r="2597" spans="1:13" x14ac:dyDescent="0.55000000000000004">
      <c r="A2597" s="107" t="s">
        <v>248</v>
      </c>
      <c r="B2597" s="68" t="s">
        <v>153</v>
      </c>
      <c r="C2597" s="68" t="s">
        <v>127</v>
      </c>
      <c r="D2597" s="68" t="s">
        <v>2994</v>
      </c>
      <c r="E2597" s="120">
        <v>5.13</v>
      </c>
      <c r="F2597" s="151" t="s">
        <v>138</v>
      </c>
      <c r="G2597" s="151" t="s">
        <v>135</v>
      </c>
      <c r="H2597" s="68" t="s">
        <v>39</v>
      </c>
      <c r="I2597" s="168"/>
      <c r="J2597" s="74" t="str">
        <f t="shared" si="9"/>
        <v>[TIMES_SE] Cement clinker kiln, plasma CCS</v>
      </c>
      <c r="K2597" s="168"/>
      <c r="L2597" s="163"/>
      <c r="M2597" s="169"/>
    </row>
    <row r="2598" spans="1:13" x14ac:dyDescent="0.55000000000000004">
      <c r="A2598" s="107" t="s">
        <v>248</v>
      </c>
      <c r="B2598" s="68" t="s">
        <v>160</v>
      </c>
      <c r="C2598" s="168" t="s">
        <v>247</v>
      </c>
      <c r="D2598" s="68" t="s">
        <v>3288</v>
      </c>
      <c r="E2598" s="119">
        <v>0</v>
      </c>
      <c r="F2598" s="151" t="s">
        <v>135</v>
      </c>
      <c r="G2598" s="151" t="s">
        <v>135</v>
      </c>
      <c r="H2598" s="68" t="s">
        <v>39</v>
      </c>
      <c r="I2598" s="168"/>
      <c r="J2598" s="74" t="str">
        <f t="shared" si="9"/>
        <v>[TIMES_SE] Cement clinker kiln, plasma CCS</v>
      </c>
      <c r="K2598" s="168"/>
      <c r="L2598" s="163"/>
      <c r="M2598" s="169"/>
    </row>
    <row r="2599" spans="1:13" x14ac:dyDescent="0.55000000000000004">
      <c r="A2599" s="107" t="s">
        <v>248</v>
      </c>
      <c r="B2599" s="168" t="s">
        <v>160</v>
      </c>
      <c r="C2599" s="168" t="s">
        <v>156</v>
      </c>
      <c r="D2599" s="168" t="s">
        <v>3288</v>
      </c>
      <c r="E2599" s="119"/>
      <c r="F2599" s="151" t="s">
        <v>135</v>
      </c>
      <c r="G2599" s="149" t="s">
        <v>135</v>
      </c>
      <c r="H2599" s="168" t="s">
        <v>39</v>
      </c>
      <c r="I2599" s="168" t="s">
        <v>2033</v>
      </c>
      <c r="J2599" s="74" t="str">
        <f t="shared" si="9"/>
        <v>[TIMES_SE] Cement clinker kiln, plasma CCS</v>
      </c>
      <c r="K2599" s="168"/>
      <c r="L2599" s="160"/>
      <c r="M2599" s="169"/>
    </row>
    <row r="2600" spans="1:13" x14ac:dyDescent="0.55000000000000004">
      <c r="A2600" s="107" t="s">
        <v>240</v>
      </c>
      <c r="B2600" s="68" t="s">
        <v>134</v>
      </c>
      <c r="C2600" s="68" t="s">
        <v>121</v>
      </c>
      <c r="D2600" s="68" t="s">
        <v>3288</v>
      </c>
      <c r="E2600" s="120">
        <v>1</v>
      </c>
      <c r="F2600" s="151" t="s">
        <v>135</v>
      </c>
      <c r="G2600" s="151">
        <v>1</v>
      </c>
      <c r="H2600" s="68"/>
      <c r="I2600" s="168"/>
      <c r="J2600" s="74" t="str">
        <f t="shared" si="9"/>
        <v>[TIMES_SE] Cement clinker kiln, tail end Ca loop CCS</v>
      </c>
      <c r="K2600" s="168"/>
      <c r="L2600" s="160" t="s">
        <v>241</v>
      </c>
      <c r="M2600" s="169"/>
    </row>
    <row r="2601" spans="1:13" x14ac:dyDescent="0.55000000000000004">
      <c r="A2601" s="107" t="s">
        <v>240</v>
      </c>
      <c r="B2601" s="68" t="s">
        <v>131</v>
      </c>
      <c r="C2601" s="168" t="s">
        <v>207</v>
      </c>
      <c r="D2601" s="68" t="s">
        <v>3288</v>
      </c>
      <c r="E2601" s="120">
        <f>AVERAGE(0.8,1.6)</f>
        <v>1.2000000000000002</v>
      </c>
      <c r="F2601" s="151" t="s">
        <v>135</v>
      </c>
      <c r="G2601" s="151" t="s">
        <v>135</v>
      </c>
      <c r="H2601" s="68" t="s">
        <v>242</v>
      </c>
      <c r="I2601" s="168" t="s">
        <v>1244</v>
      </c>
      <c r="J2601" s="74" t="str">
        <f t="shared" ref="J2601:J2664" si="10">A2601</f>
        <v>[TIMES_SE] Cement clinker kiln, tail end Ca loop CCS</v>
      </c>
      <c r="K2601" s="168"/>
      <c r="L2601" s="163"/>
      <c r="M2601" s="169"/>
    </row>
    <row r="2602" spans="1:13" x14ac:dyDescent="0.55000000000000004">
      <c r="A2602" s="107" t="s">
        <v>240</v>
      </c>
      <c r="B2602" s="68" t="s">
        <v>238</v>
      </c>
      <c r="C2602" s="168" t="s">
        <v>207</v>
      </c>
      <c r="D2602" s="68" t="s">
        <v>3288</v>
      </c>
      <c r="E2602" s="120">
        <f>1.6-E2601</f>
        <v>0.39999999999999991</v>
      </c>
      <c r="F2602" s="151" t="s">
        <v>135</v>
      </c>
      <c r="G2602" s="151" t="s">
        <v>135</v>
      </c>
      <c r="H2602" s="68" t="s">
        <v>243</v>
      </c>
      <c r="I2602" s="168" t="s">
        <v>535</v>
      </c>
      <c r="J2602" s="74" t="str">
        <f t="shared" si="10"/>
        <v>[TIMES_SE] Cement clinker kiln, tail end Ca loop CCS</v>
      </c>
      <c r="K2602" s="168"/>
      <c r="L2602" s="163"/>
      <c r="M2602" s="169"/>
    </row>
    <row r="2603" spans="1:13" x14ac:dyDescent="0.55000000000000004">
      <c r="A2603" s="107" t="s">
        <v>240</v>
      </c>
      <c r="B2603" s="68" t="s">
        <v>244</v>
      </c>
      <c r="C2603" s="68" t="s">
        <v>127</v>
      </c>
      <c r="D2603" s="68" t="s">
        <v>2994</v>
      </c>
      <c r="E2603" s="120">
        <f>7.1*0.65</f>
        <v>4.6150000000000002</v>
      </c>
      <c r="F2603" s="151" t="s">
        <v>138</v>
      </c>
      <c r="G2603" s="151" t="s">
        <v>135</v>
      </c>
      <c r="H2603" s="68" t="s">
        <v>245</v>
      </c>
      <c r="I2603" s="168" t="s">
        <v>1245</v>
      </c>
      <c r="J2603" s="74" t="str">
        <f t="shared" si="10"/>
        <v>[TIMES_SE] Cement clinker kiln, tail end Ca loop CCS</v>
      </c>
      <c r="K2603" s="168"/>
      <c r="L2603" s="163"/>
      <c r="M2603" s="169"/>
    </row>
    <row r="2604" spans="1:13" x14ac:dyDescent="0.55000000000000004">
      <c r="A2604" s="107" t="s">
        <v>240</v>
      </c>
      <c r="B2604" s="68" t="s">
        <v>137</v>
      </c>
      <c r="C2604" s="68" t="s">
        <v>127</v>
      </c>
      <c r="D2604" s="68" t="s">
        <v>2994</v>
      </c>
      <c r="E2604" s="120">
        <f>7.1-E2603</f>
        <v>2.4849999999999994</v>
      </c>
      <c r="F2604" s="151" t="s">
        <v>138</v>
      </c>
      <c r="G2604" s="151" t="s">
        <v>135</v>
      </c>
      <c r="H2604" s="68" t="s">
        <v>246</v>
      </c>
      <c r="I2604" s="168" t="s">
        <v>1246</v>
      </c>
      <c r="J2604" s="74" t="str">
        <f t="shared" si="10"/>
        <v>[TIMES_SE] Cement clinker kiln, tail end Ca loop CCS</v>
      </c>
      <c r="K2604" s="168"/>
      <c r="L2604" s="163"/>
      <c r="M2604" s="169"/>
    </row>
    <row r="2605" spans="1:13" x14ac:dyDescent="0.55000000000000004">
      <c r="A2605" s="107" t="s">
        <v>240</v>
      </c>
      <c r="B2605" s="68" t="s">
        <v>153</v>
      </c>
      <c r="C2605" s="68" t="s">
        <v>127</v>
      </c>
      <c r="D2605" s="68" t="s">
        <v>2994</v>
      </c>
      <c r="E2605" s="120">
        <v>1.24</v>
      </c>
      <c r="F2605" s="151" t="s">
        <v>138</v>
      </c>
      <c r="G2605" s="151" t="s">
        <v>135</v>
      </c>
      <c r="H2605" s="68" t="s">
        <v>39</v>
      </c>
      <c r="I2605" s="168"/>
      <c r="J2605" s="74" t="str">
        <f t="shared" si="10"/>
        <v>[TIMES_SE] Cement clinker kiln, tail end Ca loop CCS</v>
      </c>
      <c r="K2605" s="168"/>
      <c r="L2605" s="163"/>
      <c r="M2605" s="169"/>
    </row>
    <row r="2606" spans="1:13" x14ac:dyDescent="0.55000000000000004">
      <c r="A2606" s="107" t="s">
        <v>240</v>
      </c>
      <c r="B2606" s="68" t="s">
        <v>153</v>
      </c>
      <c r="C2606" s="168" t="s">
        <v>156</v>
      </c>
      <c r="D2606" s="68" t="s">
        <v>2994</v>
      </c>
      <c r="E2606" s="120">
        <v>1.2709999999999999</v>
      </c>
      <c r="F2606" s="151" t="s">
        <v>138</v>
      </c>
      <c r="G2606" s="151" t="s">
        <v>135</v>
      </c>
      <c r="H2606" s="68" t="s">
        <v>39</v>
      </c>
      <c r="I2606" s="168"/>
      <c r="J2606" s="74" t="str">
        <f t="shared" si="10"/>
        <v>[TIMES_SE] Cement clinker kiln, tail end Ca loop CCS</v>
      </c>
      <c r="K2606" s="168"/>
      <c r="L2606" s="163"/>
      <c r="M2606" s="169"/>
    </row>
    <row r="2607" spans="1:13" x14ac:dyDescent="0.55000000000000004">
      <c r="A2607" s="107" t="s">
        <v>240</v>
      </c>
      <c r="B2607" s="168" t="s">
        <v>160</v>
      </c>
      <c r="C2607" s="168" t="s">
        <v>247</v>
      </c>
      <c r="D2607" s="168" t="s">
        <v>3288</v>
      </c>
      <c r="E2607" s="119">
        <f>0.45227*(1-0.936)</f>
        <v>2.8945279999999976E-2</v>
      </c>
      <c r="F2607" s="149" t="s">
        <v>135</v>
      </c>
      <c r="G2607" s="149" t="s">
        <v>135</v>
      </c>
      <c r="H2607" s="68" t="s">
        <v>413</v>
      </c>
      <c r="I2607" s="168" t="s">
        <v>2031</v>
      </c>
      <c r="J2607" s="74" t="str">
        <f t="shared" si="10"/>
        <v>[TIMES_SE] Cement clinker kiln, tail end Ca loop CCS</v>
      </c>
      <c r="K2607" s="168"/>
      <c r="L2607" s="160"/>
      <c r="M2607" s="169"/>
    </row>
    <row r="2608" spans="1:13" x14ac:dyDescent="0.55000000000000004">
      <c r="A2608" s="107" t="s">
        <v>240</v>
      </c>
      <c r="B2608" s="168" t="s">
        <v>160</v>
      </c>
      <c r="C2608" s="168" t="s">
        <v>247</v>
      </c>
      <c r="D2608" s="168" t="s">
        <v>3288</v>
      </c>
      <c r="E2608" s="119">
        <f>0.12922*(1-0.936)</f>
        <v>8.2700799999999939E-3</v>
      </c>
      <c r="F2608" s="149" t="s">
        <v>135</v>
      </c>
      <c r="G2608" s="149" t="s">
        <v>135</v>
      </c>
      <c r="H2608" s="68" t="s">
        <v>373</v>
      </c>
      <c r="I2608" s="168" t="s">
        <v>2032</v>
      </c>
      <c r="J2608" s="74" t="str">
        <f t="shared" si="10"/>
        <v>[TIMES_SE] Cement clinker kiln, tail end Ca loop CCS</v>
      </c>
      <c r="K2608" s="168"/>
      <c r="L2608" s="160"/>
      <c r="M2608" s="169"/>
    </row>
    <row r="2609" spans="1:13" x14ac:dyDescent="0.55000000000000004">
      <c r="A2609" s="107" t="s">
        <v>240</v>
      </c>
      <c r="B2609" s="168" t="s">
        <v>160</v>
      </c>
      <c r="C2609" s="168" t="s">
        <v>156</v>
      </c>
      <c r="D2609" s="168" t="s">
        <v>3288</v>
      </c>
      <c r="E2609" s="119">
        <f>0.45227*0.936</f>
        <v>0.42332472000000004</v>
      </c>
      <c r="F2609" s="149" t="s">
        <v>135</v>
      </c>
      <c r="G2609" s="149" t="s">
        <v>135</v>
      </c>
      <c r="H2609" s="68" t="s">
        <v>413</v>
      </c>
      <c r="I2609" s="168" t="s">
        <v>2031</v>
      </c>
      <c r="J2609" s="74" t="str">
        <f t="shared" si="10"/>
        <v>[TIMES_SE] Cement clinker kiln, tail end Ca loop CCS</v>
      </c>
      <c r="K2609" s="168"/>
      <c r="L2609" s="160"/>
      <c r="M2609" s="169"/>
    </row>
    <row r="2610" spans="1:13" x14ac:dyDescent="0.55000000000000004">
      <c r="A2610" s="107" t="s">
        <v>240</v>
      </c>
      <c r="B2610" s="168" t="s">
        <v>160</v>
      </c>
      <c r="C2610" s="168" t="s">
        <v>156</v>
      </c>
      <c r="D2610" s="168" t="s">
        <v>3288</v>
      </c>
      <c r="E2610" s="119">
        <f>0.12922*0.936</f>
        <v>0.12094992</v>
      </c>
      <c r="F2610" s="149" t="s">
        <v>135</v>
      </c>
      <c r="G2610" s="149" t="s">
        <v>135</v>
      </c>
      <c r="H2610" s="68" t="s">
        <v>373</v>
      </c>
      <c r="I2610" s="168" t="s">
        <v>2032</v>
      </c>
      <c r="J2610" s="74" t="str">
        <f t="shared" si="10"/>
        <v>[TIMES_SE] Cement clinker kiln, tail end Ca loop CCS</v>
      </c>
      <c r="K2610" s="168"/>
      <c r="L2610" s="160"/>
      <c r="M2610" s="169"/>
    </row>
    <row r="2611" spans="1:13" x14ac:dyDescent="0.55000000000000004">
      <c r="A2611" s="107" t="s">
        <v>235</v>
      </c>
      <c r="B2611" s="68" t="s">
        <v>236</v>
      </c>
      <c r="C2611" s="68" t="s">
        <v>121</v>
      </c>
      <c r="D2611" s="68" t="s">
        <v>3288</v>
      </c>
      <c r="E2611" s="120">
        <v>1</v>
      </c>
      <c r="F2611" s="151" t="s">
        <v>135</v>
      </c>
      <c r="G2611" s="151">
        <v>1</v>
      </c>
      <c r="H2611" s="68"/>
      <c r="I2611" s="168"/>
      <c r="J2611" s="74" t="str">
        <f t="shared" si="10"/>
        <v>[TIMES_SE] Cement grinder</v>
      </c>
      <c r="K2611" s="168"/>
      <c r="L2611" s="163"/>
      <c r="M2611" s="169"/>
    </row>
    <row r="2612" spans="1:13" x14ac:dyDescent="0.55000000000000004">
      <c r="A2612" s="107" t="s">
        <v>235</v>
      </c>
      <c r="B2612" s="68" t="s">
        <v>134</v>
      </c>
      <c r="C2612" s="168" t="s">
        <v>207</v>
      </c>
      <c r="D2612" s="68" t="s">
        <v>3288</v>
      </c>
      <c r="E2612" s="120">
        <v>0.84</v>
      </c>
      <c r="F2612" s="151" t="s">
        <v>135</v>
      </c>
      <c r="G2612" s="151" t="s">
        <v>135</v>
      </c>
      <c r="H2612" s="68" t="s">
        <v>237</v>
      </c>
      <c r="I2612" s="168"/>
      <c r="J2612" s="74" t="str">
        <f t="shared" si="10"/>
        <v>[TIMES_SE] Cement grinder</v>
      </c>
      <c r="K2612" s="168"/>
      <c r="L2612" s="163"/>
      <c r="M2612" s="169"/>
    </row>
    <row r="2613" spans="1:13" x14ac:dyDescent="0.55000000000000004">
      <c r="A2613" s="107" t="s">
        <v>235</v>
      </c>
      <c r="B2613" s="68" t="s">
        <v>238</v>
      </c>
      <c r="C2613" s="168" t="s">
        <v>207</v>
      </c>
      <c r="D2613" s="68" t="s">
        <v>3288</v>
      </c>
      <c r="E2613" s="120">
        <f>1-E2612</f>
        <v>0.16000000000000003</v>
      </c>
      <c r="F2613" s="151" t="s">
        <v>135</v>
      </c>
      <c r="G2613" s="151" t="s">
        <v>135</v>
      </c>
      <c r="H2613" s="68" t="s">
        <v>239</v>
      </c>
      <c r="I2613" s="168"/>
      <c r="J2613" s="74" t="str">
        <f t="shared" si="10"/>
        <v>[TIMES_SE] Cement grinder</v>
      </c>
      <c r="K2613" s="168"/>
      <c r="L2613" s="163"/>
      <c r="M2613" s="169"/>
    </row>
    <row r="2614" spans="1:13" x14ac:dyDescent="0.55000000000000004">
      <c r="A2614" s="107" t="s">
        <v>235</v>
      </c>
      <c r="B2614" s="68" t="s">
        <v>153</v>
      </c>
      <c r="C2614" s="68" t="s">
        <v>127</v>
      </c>
      <c r="D2614" s="68" t="s">
        <v>2994</v>
      </c>
      <c r="E2614" s="120">
        <v>0.17</v>
      </c>
      <c r="F2614" s="151" t="s">
        <v>138</v>
      </c>
      <c r="G2614" s="151" t="s">
        <v>135</v>
      </c>
      <c r="H2614" s="68" t="s">
        <v>39</v>
      </c>
      <c r="I2614" s="168"/>
      <c r="J2614" s="74" t="str">
        <f t="shared" si="10"/>
        <v>[TIMES_SE] Cement grinder</v>
      </c>
      <c r="K2614" s="168"/>
      <c r="L2614" s="163"/>
      <c r="M2614" s="169"/>
    </row>
    <row r="2615" spans="1:13" x14ac:dyDescent="0.55000000000000004">
      <c r="A2615" s="107" t="s">
        <v>235</v>
      </c>
      <c r="B2615" s="68" t="s">
        <v>160</v>
      </c>
      <c r="C2615" s="168" t="s">
        <v>247</v>
      </c>
      <c r="D2615" s="68" t="s">
        <v>3288</v>
      </c>
      <c r="E2615" s="119">
        <v>0</v>
      </c>
      <c r="F2615" s="151" t="s">
        <v>135</v>
      </c>
      <c r="G2615" s="151" t="s">
        <v>135</v>
      </c>
      <c r="H2615" s="68" t="s">
        <v>39</v>
      </c>
      <c r="I2615" s="168"/>
      <c r="J2615" s="74" t="str">
        <f t="shared" si="10"/>
        <v>[TIMES_SE] Cement grinder</v>
      </c>
      <c r="K2615" s="168"/>
      <c r="L2615" s="163"/>
      <c r="M2615" s="169"/>
    </row>
    <row r="2616" spans="1:13" x14ac:dyDescent="0.55000000000000004">
      <c r="A2616" s="111" t="s">
        <v>361</v>
      </c>
      <c r="B2616" s="168" t="s">
        <v>362</v>
      </c>
      <c r="C2616" s="168" t="s">
        <v>121</v>
      </c>
      <c r="D2616" s="168" t="s">
        <v>3288</v>
      </c>
      <c r="E2616" s="116">
        <v>1</v>
      </c>
      <c r="F2616" s="149" t="s">
        <v>135</v>
      </c>
      <c r="G2616" s="149">
        <v>1</v>
      </c>
      <c r="H2616" s="68"/>
      <c r="I2616" s="168"/>
      <c r="J2616" s="77" t="str">
        <f t="shared" si="10"/>
        <v>[TIMES_SE] Continuos casting</v>
      </c>
      <c r="K2616" s="168"/>
      <c r="L2616" s="131"/>
      <c r="M2616" s="169"/>
    </row>
    <row r="2617" spans="1:13" x14ac:dyDescent="0.55000000000000004">
      <c r="A2617" s="111" t="s">
        <v>361</v>
      </c>
      <c r="B2617" s="168" t="s">
        <v>339</v>
      </c>
      <c r="C2617" s="21" t="s">
        <v>125</v>
      </c>
      <c r="D2617" s="168" t="s">
        <v>3288</v>
      </c>
      <c r="E2617" s="116">
        <f>1/0.965</f>
        <v>1.0362694300518136</v>
      </c>
      <c r="F2617" s="149" t="s">
        <v>135</v>
      </c>
      <c r="G2617" s="149" t="s">
        <v>135</v>
      </c>
      <c r="H2617" s="68" t="s">
        <v>39</v>
      </c>
      <c r="I2617" s="168" t="s">
        <v>363</v>
      </c>
      <c r="J2617" s="77" t="str">
        <f t="shared" si="10"/>
        <v>[TIMES_SE] Continuos casting</v>
      </c>
      <c r="K2617" s="168"/>
      <c r="L2617" s="131"/>
      <c r="M2617" s="169"/>
    </row>
    <row r="2618" spans="1:13" x14ac:dyDescent="0.55000000000000004">
      <c r="A2618" s="111" t="s">
        <v>361</v>
      </c>
      <c r="B2618" s="168" t="s">
        <v>171</v>
      </c>
      <c r="C2618" s="168" t="s">
        <v>127</v>
      </c>
      <c r="D2618" s="168" t="s">
        <v>2994</v>
      </c>
      <c r="E2618" s="116">
        <v>0.01</v>
      </c>
      <c r="F2618" s="149" t="s">
        <v>138</v>
      </c>
      <c r="G2618" s="149" t="s">
        <v>135</v>
      </c>
      <c r="H2618" s="68" t="s">
        <v>39</v>
      </c>
      <c r="I2618" s="168" t="s">
        <v>364</v>
      </c>
      <c r="J2618" s="77" t="str">
        <f t="shared" si="10"/>
        <v>[TIMES_SE] Continuos casting</v>
      </c>
      <c r="K2618" s="168"/>
      <c r="L2618" s="131"/>
      <c r="M2618" s="169"/>
    </row>
    <row r="2619" spans="1:13" x14ac:dyDescent="0.55000000000000004">
      <c r="A2619" s="111" t="s">
        <v>361</v>
      </c>
      <c r="B2619" s="168" t="s">
        <v>153</v>
      </c>
      <c r="C2619" s="168" t="s">
        <v>127</v>
      </c>
      <c r="D2619" s="168" t="s">
        <v>2994</v>
      </c>
      <c r="E2619" s="116">
        <v>3.6999999999999998E-2</v>
      </c>
      <c r="F2619" s="149" t="s">
        <v>138</v>
      </c>
      <c r="G2619" s="149" t="s">
        <v>135</v>
      </c>
      <c r="H2619" s="68" t="s">
        <v>39</v>
      </c>
      <c r="I2619" s="168"/>
      <c r="J2619" s="77" t="str">
        <f t="shared" si="10"/>
        <v>[TIMES_SE] Continuos casting</v>
      </c>
      <c r="K2619" s="168"/>
      <c r="L2619" s="131"/>
      <c r="M2619" s="169"/>
    </row>
    <row r="2620" spans="1:13" x14ac:dyDescent="0.55000000000000004">
      <c r="A2620" s="111" t="s">
        <v>361</v>
      </c>
      <c r="B2620" s="168" t="s">
        <v>213</v>
      </c>
      <c r="C2620" s="168" t="s">
        <v>125</v>
      </c>
      <c r="D2620" s="168" t="s">
        <v>3289</v>
      </c>
      <c r="E2620" s="116">
        <v>2.1</v>
      </c>
      <c r="F2620" s="149" t="s">
        <v>133</v>
      </c>
      <c r="G2620" s="149" t="s">
        <v>135</v>
      </c>
      <c r="H2620" s="68" t="s">
        <v>39</v>
      </c>
      <c r="I2620" s="168"/>
      <c r="J2620" s="77" t="str">
        <f t="shared" si="10"/>
        <v>[TIMES_SE] Continuos casting</v>
      </c>
      <c r="K2620" s="168"/>
      <c r="L2620" s="131"/>
      <c r="M2620" s="169"/>
    </row>
    <row r="2621" spans="1:13" x14ac:dyDescent="0.55000000000000004">
      <c r="A2621" s="111" t="s">
        <v>361</v>
      </c>
      <c r="B2621" s="168" t="s">
        <v>160</v>
      </c>
      <c r="C2621" s="168" t="s">
        <v>247</v>
      </c>
      <c r="D2621" s="168" t="s">
        <v>3288</v>
      </c>
      <c r="E2621" s="116">
        <v>5.6100000000000008E-4</v>
      </c>
      <c r="F2621" s="149" t="s">
        <v>135</v>
      </c>
      <c r="G2621" s="149" t="s">
        <v>135</v>
      </c>
      <c r="H2621" s="168" t="s">
        <v>376</v>
      </c>
      <c r="I2621" s="168"/>
      <c r="J2621" s="77" t="str">
        <f t="shared" si="10"/>
        <v>[TIMES_SE] Continuos casting</v>
      </c>
      <c r="K2621" s="168"/>
      <c r="L2621" s="131"/>
      <c r="M2621" s="169"/>
    </row>
    <row r="2622" spans="1:13" x14ac:dyDescent="0.55000000000000004">
      <c r="A2622" s="92" t="s">
        <v>330</v>
      </c>
      <c r="B2622" s="168" t="s">
        <v>323</v>
      </c>
      <c r="C2622" s="21" t="s">
        <v>125</v>
      </c>
      <c r="D2622" s="168" t="s">
        <v>3288</v>
      </c>
      <c r="E2622" s="117">
        <f>1/0.753</f>
        <v>1.3280212483399734</v>
      </c>
      <c r="F2622" s="149" t="s">
        <v>135</v>
      </c>
      <c r="G2622" s="149" t="s">
        <v>135</v>
      </c>
      <c r="H2622" s="168" t="s">
        <v>39</v>
      </c>
      <c r="I2622" s="168" t="s">
        <v>327</v>
      </c>
      <c r="J2622" s="77" t="str">
        <f t="shared" si="10"/>
        <v>[TIMES_SE] Direct Reduced Iron shaft kiln, syngas</v>
      </c>
      <c r="K2622" s="168"/>
      <c r="L2622" s="131"/>
      <c r="M2622" s="169"/>
    </row>
    <row r="2623" spans="1:13" x14ac:dyDescent="0.55000000000000004">
      <c r="A2623" s="92" t="s">
        <v>330</v>
      </c>
      <c r="B2623" s="168" t="s">
        <v>153</v>
      </c>
      <c r="C2623" s="168" t="s">
        <v>127</v>
      </c>
      <c r="D2623" s="168" t="s">
        <v>2994</v>
      </c>
      <c r="E2623" s="117">
        <v>0.28799999999999998</v>
      </c>
      <c r="F2623" s="149" t="s">
        <v>138</v>
      </c>
      <c r="G2623" s="149" t="s">
        <v>135</v>
      </c>
      <c r="H2623" s="168" t="s">
        <v>39</v>
      </c>
      <c r="I2623" s="168"/>
      <c r="J2623" s="77" t="str">
        <f t="shared" si="10"/>
        <v>[TIMES_SE] Direct Reduced Iron shaft kiln, syngas</v>
      </c>
      <c r="K2623" s="168"/>
      <c r="L2623" s="131"/>
      <c r="M2623" s="169"/>
    </row>
    <row r="2624" spans="1:13" x14ac:dyDescent="0.55000000000000004">
      <c r="A2624" s="92" t="s">
        <v>330</v>
      </c>
      <c r="B2624" s="21" t="s">
        <v>331</v>
      </c>
      <c r="C2624" s="168" t="s">
        <v>294</v>
      </c>
      <c r="D2624" s="168" t="s">
        <v>2994</v>
      </c>
      <c r="E2624" s="117">
        <v>6.58</v>
      </c>
      <c r="F2624" s="149" t="s">
        <v>138</v>
      </c>
      <c r="G2624" s="149" t="s">
        <v>135</v>
      </c>
      <c r="H2624" s="168" t="s">
        <v>39</v>
      </c>
      <c r="I2624" s="168"/>
      <c r="J2624" s="77" t="str">
        <f t="shared" si="10"/>
        <v>[TIMES_SE] Direct Reduced Iron shaft kiln, syngas</v>
      </c>
      <c r="K2624" s="168"/>
      <c r="L2624" s="131"/>
      <c r="M2624" s="169"/>
    </row>
    <row r="2625" spans="1:13" x14ac:dyDescent="0.55000000000000004">
      <c r="A2625" s="92" t="s">
        <v>330</v>
      </c>
      <c r="B2625" s="21" t="s">
        <v>331</v>
      </c>
      <c r="C2625" s="168" t="s">
        <v>127</v>
      </c>
      <c r="D2625" s="168" t="s">
        <v>2994</v>
      </c>
      <c r="E2625" s="117">
        <v>2.82</v>
      </c>
      <c r="F2625" s="149" t="s">
        <v>138</v>
      </c>
      <c r="G2625" s="149" t="s">
        <v>135</v>
      </c>
      <c r="H2625" s="168" t="s">
        <v>39</v>
      </c>
      <c r="I2625" s="168"/>
      <c r="J2625" s="77" t="str">
        <f t="shared" si="10"/>
        <v>[TIMES_SE] Direct Reduced Iron shaft kiln, syngas</v>
      </c>
      <c r="K2625" s="168"/>
      <c r="L2625" s="131"/>
      <c r="M2625" s="169"/>
    </row>
    <row r="2626" spans="1:13" x14ac:dyDescent="0.55000000000000004">
      <c r="A2626" s="92" t="s">
        <v>330</v>
      </c>
      <c r="B2626" s="168" t="s">
        <v>160</v>
      </c>
      <c r="C2626" s="168" t="s">
        <v>247</v>
      </c>
      <c r="D2626" s="168" t="s">
        <v>3288</v>
      </c>
      <c r="E2626" s="119">
        <v>0</v>
      </c>
      <c r="F2626" s="149" t="s">
        <v>135</v>
      </c>
      <c r="G2626" s="149" t="s">
        <v>135</v>
      </c>
      <c r="H2626" s="126" t="s">
        <v>39</v>
      </c>
      <c r="I2626" s="168" t="s">
        <v>2069</v>
      </c>
      <c r="J2626" s="77" t="str">
        <f t="shared" si="10"/>
        <v>[TIMES_SE] Direct Reduced Iron shaft kiln, syngas</v>
      </c>
      <c r="K2626" s="168"/>
      <c r="L2626" s="131"/>
      <c r="M2626" s="169"/>
    </row>
    <row r="2627" spans="1:13" x14ac:dyDescent="0.55000000000000004">
      <c r="A2627" s="92" t="s">
        <v>319</v>
      </c>
      <c r="B2627" s="168" t="s">
        <v>315</v>
      </c>
      <c r="C2627" s="168" t="s">
        <v>121</v>
      </c>
      <c r="D2627" s="168" t="s">
        <v>3288</v>
      </c>
      <c r="E2627" s="117">
        <v>1</v>
      </c>
      <c r="F2627" s="149" t="s">
        <v>135</v>
      </c>
      <c r="G2627" s="149">
        <v>1</v>
      </c>
      <c r="H2627" s="168"/>
      <c r="I2627" s="168"/>
      <c r="J2627" s="77" t="str">
        <f t="shared" si="10"/>
        <v>[TIMES_SE] Direct Reduced Iron, Rotating Hearth</v>
      </c>
      <c r="K2627" s="168"/>
      <c r="L2627" s="131"/>
      <c r="M2627" s="169"/>
    </row>
    <row r="2628" spans="1:13" x14ac:dyDescent="0.55000000000000004">
      <c r="A2628" s="92" t="s">
        <v>319</v>
      </c>
      <c r="B2628" s="168" t="s">
        <v>316</v>
      </c>
      <c r="C2628" s="21" t="s">
        <v>125</v>
      </c>
      <c r="D2628" s="168" t="s">
        <v>3288</v>
      </c>
      <c r="E2628" s="117">
        <f>1/0.7</f>
        <v>1.4285714285714286</v>
      </c>
      <c r="F2628" s="149" t="s">
        <v>135</v>
      </c>
      <c r="G2628" s="149" t="s">
        <v>135</v>
      </c>
      <c r="H2628" s="168" t="s">
        <v>39</v>
      </c>
      <c r="I2628" s="168" t="s">
        <v>320</v>
      </c>
      <c r="J2628" s="77" t="str">
        <f t="shared" si="10"/>
        <v>[TIMES_SE] Direct Reduced Iron, Rotating Hearth</v>
      </c>
      <c r="K2628" s="168"/>
      <c r="L2628" s="131"/>
      <c r="M2628" s="169"/>
    </row>
    <row r="2629" spans="1:13" x14ac:dyDescent="0.55000000000000004">
      <c r="A2629" s="92" t="s">
        <v>319</v>
      </c>
      <c r="B2629" s="168" t="s">
        <v>153</v>
      </c>
      <c r="C2629" s="168" t="s">
        <v>127</v>
      </c>
      <c r="D2629" s="168" t="s">
        <v>2994</v>
      </c>
      <c r="E2629" s="117">
        <v>0.31</v>
      </c>
      <c r="F2629" s="149" t="s">
        <v>138</v>
      </c>
      <c r="G2629" s="149" t="s">
        <v>135</v>
      </c>
      <c r="H2629" s="168" t="s">
        <v>39</v>
      </c>
      <c r="I2629" s="168"/>
      <c r="J2629" s="77" t="str">
        <f t="shared" si="10"/>
        <v>[TIMES_SE] Direct Reduced Iron, Rotating Hearth</v>
      </c>
      <c r="K2629" s="168"/>
      <c r="L2629" s="131"/>
      <c r="M2629" s="169"/>
    </row>
    <row r="2630" spans="1:13" x14ac:dyDescent="0.55000000000000004">
      <c r="A2630" s="92" t="s">
        <v>319</v>
      </c>
      <c r="B2630" s="21" t="s">
        <v>171</v>
      </c>
      <c r="C2630" s="168" t="s">
        <v>127</v>
      </c>
      <c r="D2630" s="168" t="s">
        <v>2994</v>
      </c>
      <c r="E2630" s="117">
        <v>4.1500000000000004</v>
      </c>
      <c r="F2630" s="149" t="s">
        <v>138</v>
      </c>
      <c r="G2630" s="149" t="s">
        <v>135</v>
      </c>
      <c r="H2630" s="168" t="s">
        <v>39</v>
      </c>
      <c r="I2630" s="168"/>
      <c r="J2630" s="77" t="str">
        <f t="shared" si="10"/>
        <v>[TIMES_SE] Direct Reduced Iron, Rotating Hearth</v>
      </c>
      <c r="K2630" s="168"/>
      <c r="L2630" s="131"/>
      <c r="M2630" s="169"/>
    </row>
    <row r="2631" spans="1:13" x14ac:dyDescent="0.55000000000000004">
      <c r="A2631" s="92" t="s">
        <v>319</v>
      </c>
      <c r="B2631" s="168" t="s">
        <v>262</v>
      </c>
      <c r="C2631" s="168" t="s">
        <v>294</v>
      </c>
      <c r="D2631" s="168" t="s">
        <v>2994</v>
      </c>
      <c r="E2631" s="116">
        <v>10.220000000000001</v>
      </c>
      <c r="F2631" s="149" t="s">
        <v>138</v>
      </c>
      <c r="G2631" s="149" t="s">
        <v>135</v>
      </c>
      <c r="H2631" s="68" t="s">
        <v>321</v>
      </c>
      <c r="I2631" s="168" t="s">
        <v>310</v>
      </c>
      <c r="J2631" s="77" t="str">
        <f t="shared" si="10"/>
        <v>[TIMES_SE] Direct Reduced Iron, Rotating Hearth</v>
      </c>
      <c r="K2631" s="168"/>
      <c r="L2631" s="131"/>
      <c r="M2631" s="169"/>
    </row>
    <row r="2632" spans="1:13" x14ac:dyDescent="0.55000000000000004">
      <c r="A2632" s="92" t="s">
        <v>319</v>
      </c>
      <c r="B2632" s="168" t="s">
        <v>297</v>
      </c>
      <c r="C2632" s="168" t="s">
        <v>294</v>
      </c>
      <c r="D2632" s="168" t="s">
        <v>2994</v>
      </c>
      <c r="E2632" s="116">
        <v>0</v>
      </c>
      <c r="F2632" s="149" t="s">
        <v>138</v>
      </c>
      <c r="G2632" s="149" t="s">
        <v>135</v>
      </c>
      <c r="H2632" s="68" t="s">
        <v>321</v>
      </c>
      <c r="I2632" s="168" t="s">
        <v>310</v>
      </c>
      <c r="J2632" s="77" t="str">
        <f t="shared" si="10"/>
        <v>[TIMES_SE] Direct Reduced Iron, Rotating Hearth</v>
      </c>
      <c r="K2632" s="168"/>
      <c r="L2632" s="131"/>
      <c r="M2632" s="169"/>
    </row>
    <row r="2633" spans="1:13" x14ac:dyDescent="0.55000000000000004">
      <c r="A2633" s="92" t="s">
        <v>319</v>
      </c>
      <c r="B2633" s="168" t="s">
        <v>131</v>
      </c>
      <c r="C2633" s="168" t="s">
        <v>125</v>
      </c>
      <c r="D2633" s="168" t="s">
        <v>3288</v>
      </c>
      <c r="E2633" s="116">
        <v>6.3500000000000001E-2</v>
      </c>
      <c r="F2633" s="149" t="s">
        <v>135</v>
      </c>
      <c r="G2633" s="149" t="s">
        <v>135</v>
      </c>
      <c r="H2633" s="68" t="s">
        <v>39</v>
      </c>
      <c r="I2633" s="168"/>
      <c r="J2633" s="77" t="str">
        <f t="shared" si="10"/>
        <v>[TIMES_SE] Direct Reduced Iron, Rotating Hearth</v>
      </c>
      <c r="K2633" s="168"/>
      <c r="L2633" s="131"/>
      <c r="M2633" s="169"/>
    </row>
    <row r="2634" spans="1:13" x14ac:dyDescent="0.55000000000000004">
      <c r="A2634" s="92" t="s">
        <v>319</v>
      </c>
      <c r="B2634" s="168" t="s">
        <v>160</v>
      </c>
      <c r="C2634" s="168" t="s">
        <v>247</v>
      </c>
      <c r="D2634" s="168" t="s">
        <v>3288</v>
      </c>
      <c r="E2634" s="119">
        <v>0.23281500000000002</v>
      </c>
      <c r="F2634" s="149" t="s">
        <v>135</v>
      </c>
      <c r="G2634" s="149" t="s">
        <v>135</v>
      </c>
      <c r="H2634" s="68" t="s">
        <v>376</v>
      </c>
      <c r="I2634" s="168" t="s">
        <v>2062</v>
      </c>
      <c r="J2634" s="77" t="str">
        <f t="shared" si="10"/>
        <v>[TIMES_SE] Direct Reduced Iron, Rotating Hearth</v>
      </c>
      <c r="K2634" s="168"/>
      <c r="L2634" s="131"/>
      <c r="M2634" s="169"/>
    </row>
    <row r="2635" spans="1:13" x14ac:dyDescent="0.55000000000000004">
      <c r="A2635" s="92" t="s">
        <v>319</v>
      </c>
      <c r="B2635" s="168" t="s">
        <v>160</v>
      </c>
      <c r="C2635" s="168" t="s">
        <v>247</v>
      </c>
      <c r="D2635" s="168" t="s">
        <v>3288</v>
      </c>
      <c r="E2635" s="119">
        <v>1.00156</v>
      </c>
      <c r="F2635" s="149" t="s">
        <v>135</v>
      </c>
      <c r="G2635" s="149" t="s">
        <v>135</v>
      </c>
      <c r="H2635" s="68" t="s">
        <v>413</v>
      </c>
      <c r="I2635" s="168" t="s">
        <v>2063</v>
      </c>
      <c r="J2635" s="77" t="str">
        <f t="shared" si="10"/>
        <v>[TIMES_SE] Direct Reduced Iron, Rotating Hearth</v>
      </c>
      <c r="K2635" s="168"/>
      <c r="L2635" s="131"/>
      <c r="M2635" s="169"/>
    </row>
    <row r="2636" spans="1:13" x14ac:dyDescent="0.55000000000000004">
      <c r="A2636" s="92" t="s">
        <v>314</v>
      </c>
      <c r="B2636" s="168" t="s">
        <v>315</v>
      </c>
      <c r="C2636" s="168" t="s">
        <v>121</v>
      </c>
      <c r="D2636" s="168" t="s">
        <v>3288</v>
      </c>
      <c r="E2636" s="117">
        <v>1</v>
      </c>
      <c r="F2636" s="149" t="s">
        <v>135</v>
      </c>
      <c r="G2636" s="149">
        <v>1</v>
      </c>
      <c r="H2636" s="168"/>
      <c r="I2636" s="168"/>
      <c r="J2636" s="77" t="str">
        <f t="shared" si="10"/>
        <v>[TIMES_SE] Direct Reduced Iron, Rotating Kiln</v>
      </c>
      <c r="K2636" s="168"/>
      <c r="L2636" s="131"/>
      <c r="M2636" s="169"/>
    </row>
    <row r="2637" spans="1:13" x14ac:dyDescent="0.55000000000000004">
      <c r="A2637" s="92" t="s">
        <v>314</v>
      </c>
      <c r="B2637" s="168" t="s">
        <v>316</v>
      </c>
      <c r="C2637" s="21" t="s">
        <v>125</v>
      </c>
      <c r="D2637" s="168" t="s">
        <v>3288</v>
      </c>
      <c r="E2637" s="117">
        <f>1/0.68</f>
        <v>1.4705882352941175</v>
      </c>
      <c r="F2637" s="149" t="s">
        <v>135</v>
      </c>
      <c r="G2637" s="149" t="s">
        <v>135</v>
      </c>
      <c r="H2637" s="168" t="s">
        <v>39</v>
      </c>
      <c r="I2637" s="168" t="s">
        <v>317</v>
      </c>
      <c r="J2637" s="77" t="str">
        <f t="shared" si="10"/>
        <v>[TIMES_SE] Direct Reduced Iron, Rotating Kiln</v>
      </c>
      <c r="K2637" s="168"/>
      <c r="L2637" s="131"/>
      <c r="M2637" s="169"/>
    </row>
    <row r="2638" spans="1:13" x14ac:dyDescent="0.55000000000000004">
      <c r="A2638" s="92" t="s">
        <v>314</v>
      </c>
      <c r="B2638" s="168" t="s">
        <v>153</v>
      </c>
      <c r="C2638" s="168" t="s">
        <v>127</v>
      </c>
      <c r="D2638" s="168" t="s">
        <v>2994</v>
      </c>
      <c r="E2638" s="117">
        <v>0.25</v>
      </c>
      <c r="F2638" s="149" t="s">
        <v>138</v>
      </c>
      <c r="G2638" s="149" t="s">
        <v>135</v>
      </c>
      <c r="H2638" s="168" t="s">
        <v>39</v>
      </c>
      <c r="I2638" s="168"/>
      <c r="J2638" s="77" t="str">
        <f t="shared" si="10"/>
        <v>[TIMES_SE] Direct Reduced Iron, Rotating Kiln</v>
      </c>
      <c r="K2638" s="168"/>
      <c r="L2638" s="131"/>
      <c r="M2638" s="169"/>
    </row>
    <row r="2639" spans="1:13" x14ac:dyDescent="0.55000000000000004">
      <c r="A2639" s="92" t="s">
        <v>314</v>
      </c>
      <c r="B2639" s="168" t="s">
        <v>262</v>
      </c>
      <c r="C2639" s="168" t="s">
        <v>294</v>
      </c>
      <c r="D2639" s="168" t="s">
        <v>2994</v>
      </c>
      <c r="E2639" s="116">
        <v>22.5</v>
      </c>
      <c r="F2639" s="149" t="s">
        <v>138</v>
      </c>
      <c r="G2639" s="149" t="s">
        <v>135</v>
      </c>
      <c r="H2639" s="68" t="s">
        <v>318</v>
      </c>
      <c r="I2639" s="168" t="s">
        <v>310</v>
      </c>
      <c r="J2639" s="77" t="str">
        <f t="shared" si="10"/>
        <v>[TIMES_SE] Direct Reduced Iron, Rotating Kiln</v>
      </c>
      <c r="K2639" s="168"/>
      <c r="L2639" s="131"/>
      <c r="M2639" s="169"/>
    </row>
    <row r="2640" spans="1:13" x14ac:dyDescent="0.55000000000000004">
      <c r="A2640" s="92" t="s">
        <v>314</v>
      </c>
      <c r="B2640" s="168" t="s">
        <v>297</v>
      </c>
      <c r="C2640" s="168" t="s">
        <v>294</v>
      </c>
      <c r="D2640" s="168" t="s">
        <v>2994</v>
      </c>
      <c r="E2640" s="116">
        <v>0</v>
      </c>
      <c r="F2640" s="149" t="s">
        <v>138</v>
      </c>
      <c r="G2640" s="149" t="s">
        <v>135</v>
      </c>
      <c r="H2640" s="68" t="s">
        <v>318</v>
      </c>
      <c r="I2640" s="168" t="s">
        <v>310</v>
      </c>
      <c r="J2640" s="77" t="str">
        <f t="shared" si="10"/>
        <v>[TIMES_SE] Direct Reduced Iron, Rotating Kiln</v>
      </c>
      <c r="K2640" s="168"/>
      <c r="L2640" s="131"/>
      <c r="M2640" s="169"/>
    </row>
    <row r="2641" spans="1:13" x14ac:dyDescent="0.55000000000000004">
      <c r="A2641" s="92" t="s">
        <v>314</v>
      </c>
      <c r="B2641" s="168" t="s">
        <v>131</v>
      </c>
      <c r="C2641" s="168" t="s">
        <v>125</v>
      </c>
      <c r="D2641" s="168" t="s">
        <v>3288</v>
      </c>
      <c r="E2641" s="116">
        <v>2.5000000000000001E-2</v>
      </c>
      <c r="F2641" s="149" t="s">
        <v>135</v>
      </c>
      <c r="G2641" s="149" t="s">
        <v>135</v>
      </c>
      <c r="H2641" s="68" t="s">
        <v>39</v>
      </c>
      <c r="I2641" s="168"/>
      <c r="J2641" s="77" t="str">
        <f t="shared" si="10"/>
        <v>[TIMES_SE] Direct Reduced Iron, Rotating Kiln</v>
      </c>
      <c r="K2641" s="168"/>
      <c r="L2641" s="131"/>
      <c r="M2641" s="169"/>
    </row>
    <row r="2642" spans="1:13" x14ac:dyDescent="0.55000000000000004">
      <c r="A2642" s="92" t="s">
        <v>314</v>
      </c>
      <c r="B2642" s="168" t="s">
        <v>160</v>
      </c>
      <c r="C2642" s="168" t="s">
        <v>247</v>
      </c>
      <c r="D2642" s="168" t="s">
        <v>3288</v>
      </c>
      <c r="E2642" s="119">
        <v>2.2050000000000001</v>
      </c>
      <c r="F2642" s="149" t="s">
        <v>135</v>
      </c>
      <c r="G2642" s="149" t="s">
        <v>135</v>
      </c>
      <c r="H2642" s="68" t="s">
        <v>413</v>
      </c>
      <c r="I2642" s="168" t="s">
        <v>2061</v>
      </c>
      <c r="J2642" s="77" t="str">
        <f t="shared" si="10"/>
        <v>[TIMES_SE] Direct Reduced Iron, Rotating Kiln</v>
      </c>
      <c r="K2642" s="168"/>
      <c r="L2642" s="131"/>
      <c r="M2642" s="169"/>
    </row>
    <row r="2643" spans="1:13" x14ac:dyDescent="0.55000000000000004">
      <c r="A2643" s="92" t="s">
        <v>335</v>
      </c>
      <c r="B2643" s="168" t="s">
        <v>315</v>
      </c>
      <c r="C2643" s="168" t="s">
        <v>121</v>
      </c>
      <c r="D2643" s="168" t="s">
        <v>3288</v>
      </c>
      <c r="E2643" s="117">
        <v>1</v>
      </c>
      <c r="F2643" s="149" t="s">
        <v>135</v>
      </c>
      <c r="G2643" s="149">
        <v>1</v>
      </c>
      <c r="H2643" s="168" t="s">
        <v>39</v>
      </c>
      <c r="I2643" s="168"/>
      <c r="J2643" s="77" t="str">
        <f t="shared" si="10"/>
        <v>[TIMES_SE] Direct Reduced Iron, shaft kiln, hydrogen, electric heating</v>
      </c>
      <c r="K2643" s="168"/>
      <c r="L2643" s="131"/>
      <c r="M2643" s="169"/>
    </row>
    <row r="2644" spans="1:13" x14ac:dyDescent="0.55000000000000004">
      <c r="A2644" s="92" t="s">
        <v>335</v>
      </c>
      <c r="B2644" s="168" t="s">
        <v>323</v>
      </c>
      <c r="C2644" s="21" t="s">
        <v>125</v>
      </c>
      <c r="D2644" s="168" t="s">
        <v>3288</v>
      </c>
      <c r="E2644" s="117">
        <f>1/0.753</f>
        <v>1.3280212483399734</v>
      </c>
      <c r="F2644" s="149" t="s">
        <v>135</v>
      </c>
      <c r="G2644" s="149" t="s">
        <v>135</v>
      </c>
      <c r="H2644" s="168" t="s">
        <v>39</v>
      </c>
      <c r="I2644" s="168" t="s">
        <v>327</v>
      </c>
      <c r="J2644" s="77" t="str">
        <f t="shared" si="10"/>
        <v>[TIMES_SE] Direct Reduced Iron, shaft kiln, hydrogen, electric heating</v>
      </c>
      <c r="K2644" s="168"/>
      <c r="L2644" s="131"/>
      <c r="M2644" s="169"/>
    </row>
    <row r="2645" spans="1:13" x14ac:dyDescent="0.55000000000000004">
      <c r="A2645" s="92" t="s">
        <v>335</v>
      </c>
      <c r="B2645" s="168" t="s">
        <v>153</v>
      </c>
      <c r="C2645" s="168" t="s">
        <v>127</v>
      </c>
      <c r="D2645" s="168" t="s">
        <v>2994</v>
      </c>
      <c r="E2645" s="117">
        <v>1.6579999999999999</v>
      </c>
      <c r="F2645" s="149" t="s">
        <v>138</v>
      </c>
      <c r="G2645" s="149" t="s">
        <v>135</v>
      </c>
      <c r="H2645" s="168" t="s">
        <v>39</v>
      </c>
      <c r="I2645" s="168"/>
      <c r="J2645" s="77" t="str">
        <f t="shared" si="10"/>
        <v>[TIMES_SE] Direct Reduced Iron, shaft kiln, hydrogen, electric heating</v>
      </c>
      <c r="K2645" s="168"/>
      <c r="L2645" s="131"/>
      <c r="M2645" s="169"/>
    </row>
    <row r="2646" spans="1:13" x14ac:dyDescent="0.55000000000000004">
      <c r="A2646" s="92" t="s">
        <v>335</v>
      </c>
      <c r="B2646" s="21" t="s">
        <v>334</v>
      </c>
      <c r="C2646" s="168" t="s">
        <v>294</v>
      </c>
      <c r="D2646" s="168" t="s">
        <v>2994</v>
      </c>
      <c r="E2646" s="117">
        <v>6.42</v>
      </c>
      <c r="F2646" s="149" t="s">
        <v>138</v>
      </c>
      <c r="G2646" s="149" t="s">
        <v>135</v>
      </c>
      <c r="H2646" s="168" t="s">
        <v>39</v>
      </c>
      <c r="I2646" s="168"/>
      <c r="J2646" s="77" t="str">
        <f t="shared" si="10"/>
        <v>[TIMES_SE] Direct Reduced Iron, shaft kiln, hydrogen, electric heating</v>
      </c>
      <c r="K2646" s="168"/>
      <c r="L2646" s="131"/>
      <c r="M2646" s="169"/>
    </row>
    <row r="2647" spans="1:13" x14ac:dyDescent="0.55000000000000004">
      <c r="A2647" s="92" t="s">
        <v>335</v>
      </c>
      <c r="B2647" s="168" t="s">
        <v>160</v>
      </c>
      <c r="C2647" s="168" t="s">
        <v>247</v>
      </c>
      <c r="D2647" s="168" t="s">
        <v>3288</v>
      </c>
      <c r="E2647" s="119">
        <v>0</v>
      </c>
      <c r="F2647" s="149" t="s">
        <v>135</v>
      </c>
      <c r="G2647" s="149" t="s">
        <v>135</v>
      </c>
      <c r="H2647" s="126" t="s">
        <v>39</v>
      </c>
      <c r="I2647" s="168"/>
      <c r="J2647" s="77" t="str">
        <f t="shared" si="10"/>
        <v>[TIMES_SE] Direct Reduced Iron, shaft kiln, hydrogen, electric heating</v>
      </c>
      <c r="K2647" s="168"/>
      <c r="L2647" s="131"/>
      <c r="M2647" s="169"/>
    </row>
    <row r="2648" spans="1:13" x14ac:dyDescent="0.55000000000000004">
      <c r="A2648" s="92" t="s">
        <v>333</v>
      </c>
      <c r="B2648" s="168" t="s">
        <v>315</v>
      </c>
      <c r="C2648" s="168" t="s">
        <v>121</v>
      </c>
      <c r="D2648" s="168" t="s">
        <v>3288</v>
      </c>
      <c r="E2648" s="117">
        <v>1</v>
      </c>
      <c r="F2648" s="149" t="s">
        <v>135</v>
      </c>
      <c r="G2648" s="149">
        <v>1</v>
      </c>
      <c r="H2648" s="168"/>
      <c r="I2648" s="168"/>
      <c r="J2648" s="77" t="str">
        <f t="shared" si="10"/>
        <v>[TIMES_SE] Direct Reduced Iron, shaft kiln, hydrogen, fuel heating</v>
      </c>
      <c r="K2648" s="168"/>
      <c r="L2648" s="131"/>
      <c r="M2648" s="169"/>
    </row>
    <row r="2649" spans="1:13" x14ac:dyDescent="0.55000000000000004">
      <c r="A2649" s="92" t="s">
        <v>333</v>
      </c>
      <c r="B2649" s="168" t="s">
        <v>323</v>
      </c>
      <c r="C2649" s="21" t="s">
        <v>125</v>
      </c>
      <c r="D2649" s="168" t="s">
        <v>3288</v>
      </c>
      <c r="E2649" s="117">
        <f>1/0.753</f>
        <v>1.3280212483399734</v>
      </c>
      <c r="F2649" s="149" t="s">
        <v>135</v>
      </c>
      <c r="G2649" s="149" t="s">
        <v>135</v>
      </c>
      <c r="H2649" s="168" t="s">
        <v>39</v>
      </c>
      <c r="I2649" s="168" t="s">
        <v>327</v>
      </c>
      <c r="J2649" s="77" t="str">
        <f t="shared" si="10"/>
        <v>[TIMES_SE] Direct Reduced Iron, shaft kiln, hydrogen, fuel heating</v>
      </c>
      <c r="K2649" s="168"/>
      <c r="L2649" s="131"/>
      <c r="M2649" s="169"/>
    </row>
    <row r="2650" spans="1:13" x14ac:dyDescent="0.55000000000000004">
      <c r="A2650" s="92" t="s">
        <v>333</v>
      </c>
      <c r="B2650" s="168" t="s">
        <v>153</v>
      </c>
      <c r="C2650" s="168" t="s">
        <v>127</v>
      </c>
      <c r="D2650" s="168" t="s">
        <v>2994</v>
      </c>
      <c r="E2650" s="117">
        <v>0.28799999999999998</v>
      </c>
      <c r="F2650" s="149" t="s">
        <v>138</v>
      </c>
      <c r="G2650" s="149" t="s">
        <v>135</v>
      </c>
      <c r="H2650" s="168" t="s">
        <v>39</v>
      </c>
      <c r="I2650" s="168"/>
      <c r="J2650" s="77" t="str">
        <f t="shared" si="10"/>
        <v>[TIMES_SE] Direct Reduced Iron, shaft kiln, hydrogen, fuel heating</v>
      </c>
      <c r="K2650" s="168"/>
      <c r="L2650" s="131"/>
      <c r="M2650" s="169"/>
    </row>
    <row r="2651" spans="1:13" x14ac:dyDescent="0.55000000000000004">
      <c r="A2651" s="92" t="s">
        <v>333</v>
      </c>
      <c r="B2651" s="21" t="s">
        <v>334</v>
      </c>
      <c r="C2651" s="168" t="s">
        <v>294</v>
      </c>
      <c r="D2651" s="168" t="s">
        <v>2994</v>
      </c>
      <c r="E2651" s="117">
        <v>6.42</v>
      </c>
      <c r="F2651" s="149" t="s">
        <v>138</v>
      </c>
      <c r="G2651" s="149" t="s">
        <v>135</v>
      </c>
      <c r="H2651" s="168" t="s">
        <v>39</v>
      </c>
      <c r="I2651" s="168"/>
      <c r="J2651" s="77" t="str">
        <f t="shared" si="10"/>
        <v>[TIMES_SE] Direct Reduced Iron, shaft kiln, hydrogen, fuel heating</v>
      </c>
      <c r="K2651" s="168"/>
      <c r="L2651" s="131"/>
      <c r="M2651" s="169"/>
    </row>
    <row r="2652" spans="1:13" x14ac:dyDescent="0.55000000000000004">
      <c r="A2652" s="92" t="s">
        <v>333</v>
      </c>
      <c r="B2652" s="21" t="s">
        <v>334</v>
      </c>
      <c r="C2652" s="168" t="s">
        <v>127</v>
      </c>
      <c r="D2652" s="168" t="s">
        <v>2994</v>
      </c>
      <c r="E2652" s="117">
        <v>1.61</v>
      </c>
      <c r="F2652" s="149" t="s">
        <v>138</v>
      </c>
      <c r="G2652" s="149" t="s">
        <v>135</v>
      </c>
      <c r="H2652" s="168" t="s">
        <v>39</v>
      </c>
      <c r="I2652" s="168"/>
      <c r="J2652" s="77" t="str">
        <f t="shared" si="10"/>
        <v>[TIMES_SE] Direct Reduced Iron, shaft kiln, hydrogen, fuel heating</v>
      </c>
      <c r="K2652" s="168"/>
      <c r="L2652" s="131"/>
      <c r="M2652" s="169"/>
    </row>
    <row r="2653" spans="1:13" x14ac:dyDescent="0.55000000000000004">
      <c r="A2653" s="92" t="s">
        <v>333</v>
      </c>
      <c r="B2653" s="168" t="s">
        <v>160</v>
      </c>
      <c r="C2653" s="168" t="s">
        <v>247</v>
      </c>
      <c r="D2653" s="168" t="s">
        <v>3288</v>
      </c>
      <c r="E2653" s="119">
        <v>0</v>
      </c>
      <c r="F2653" s="149" t="s">
        <v>135</v>
      </c>
      <c r="G2653" s="149" t="s">
        <v>135</v>
      </c>
      <c r="H2653" s="126" t="s">
        <v>39</v>
      </c>
      <c r="I2653" s="168"/>
      <c r="J2653" s="77" t="str">
        <f t="shared" si="10"/>
        <v>[TIMES_SE] Direct Reduced Iron, shaft kiln, hydrogen, fuel heating</v>
      </c>
      <c r="K2653" s="168"/>
      <c r="L2653" s="131"/>
      <c r="M2653" s="169"/>
    </row>
    <row r="2654" spans="1:13" x14ac:dyDescent="0.55000000000000004">
      <c r="A2654" s="92" t="s">
        <v>326</v>
      </c>
      <c r="B2654" s="168" t="s">
        <v>315</v>
      </c>
      <c r="C2654" s="168" t="s">
        <v>121</v>
      </c>
      <c r="D2654" s="168" t="s">
        <v>3288</v>
      </c>
      <c r="E2654" s="117">
        <v>1</v>
      </c>
      <c r="F2654" s="149" t="s">
        <v>135</v>
      </c>
      <c r="G2654" s="149">
        <v>1</v>
      </c>
      <c r="H2654" s="168"/>
      <c r="I2654" s="168"/>
      <c r="J2654" s="77" t="str">
        <f t="shared" si="10"/>
        <v>[TIMES_SE] Direct Reduced Iron, shaft kiln, natural gas</v>
      </c>
      <c r="K2654" s="168"/>
      <c r="L2654" s="131"/>
      <c r="M2654" s="169"/>
    </row>
    <row r="2655" spans="1:13" x14ac:dyDescent="0.55000000000000004">
      <c r="A2655" s="92" t="s">
        <v>326</v>
      </c>
      <c r="B2655" s="168" t="s">
        <v>323</v>
      </c>
      <c r="C2655" s="21" t="s">
        <v>125</v>
      </c>
      <c r="D2655" s="168" t="s">
        <v>3288</v>
      </c>
      <c r="E2655" s="117">
        <f>1/0.753</f>
        <v>1.3280212483399734</v>
      </c>
      <c r="F2655" s="149" t="s">
        <v>135</v>
      </c>
      <c r="G2655" s="149" t="s">
        <v>135</v>
      </c>
      <c r="H2655" s="168" t="s">
        <v>39</v>
      </c>
      <c r="I2655" s="168" t="s">
        <v>327</v>
      </c>
      <c r="J2655" s="77" t="str">
        <f t="shared" si="10"/>
        <v>[TIMES_SE] Direct Reduced Iron, shaft kiln, natural gas</v>
      </c>
      <c r="K2655" s="168"/>
      <c r="L2655" s="131"/>
      <c r="M2655" s="169"/>
    </row>
    <row r="2656" spans="1:13" x14ac:dyDescent="0.55000000000000004">
      <c r="A2656" s="92" t="s">
        <v>326</v>
      </c>
      <c r="B2656" s="168" t="s">
        <v>153</v>
      </c>
      <c r="C2656" s="168" t="s">
        <v>127</v>
      </c>
      <c r="D2656" s="168" t="s">
        <v>2994</v>
      </c>
      <c r="E2656" s="117">
        <v>0.25</v>
      </c>
      <c r="F2656" s="149" t="s">
        <v>138</v>
      </c>
      <c r="G2656" s="149" t="s">
        <v>135</v>
      </c>
      <c r="H2656" s="168" t="s">
        <v>39</v>
      </c>
      <c r="I2656" s="168"/>
      <c r="J2656" s="77" t="str">
        <f t="shared" si="10"/>
        <v>[TIMES_SE] Direct Reduced Iron, shaft kiln, natural gas</v>
      </c>
      <c r="K2656" s="168"/>
      <c r="L2656" s="131"/>
      <c r="M2656" s="169"/>
    </row>
    <row r="2657" spans="1:13" x14ac:dyDescent="0.55000000000000004">
      <c r="A2657" s="92" t="s">
        <v>326</v>
      </c>
      <c r="B2657" s="21" t="s">
        <v>171</v>
      </c>
      <c r="C2657" s="168" t="s">
        <v>294</v>
      </c>
      <c r="D2657" s="168" t="s">
        <v>2994</v>
      </c>
      <c r="E2657" s="117">
        <f>6.72</f>
        <v>6.72</v>
      </c>
      <c r="F2657" s="149" t="s">
        <v>138</v>
      </c>
      <c r="G2657" s="149" t="s">
        <v>135</v>
      </c>
      <c r="H2657" s="168" t="s">
        <v>39</v>
      </c>
      <c r="I2657" s="168"/>
      <c r="J2657" s="77" t="str">
        <f t="shared" si="10"/>
        <v>[TIMES_SE] Direct Reduced Iron, shaft kiln, natural gas</v>
      </c>
      <c r="K2657" s="168"/>
      <c r="L2657" s="131"/>
      <c r="M2657" s="169"/>
    </row>
    <row r="2658" spans="1:13" x14ac:dyDescent="0.55000000000000004">
      <c r="A2658" s="92" t="s">
        <v>326</v>
      </c>
      <c r="B2658" s="21" t="s">
        <v>171</v>
      </c>
      <c r="C2658" s="168" t="s">
        <v>127</v>
      </c>
      <c r="D2658" s="168" t="s">
        <v>2994</v>
      </c>
      <c r="E2658" s="117">
        <f>2.88</f>
        <v>2.88</v>
      </c>
      <c r="F2658" s="149" t="s">
        <v>138</v>
      </c>
      <c r="G2658" s="149" t="s">
        <v>135</v>
      </c>
      <c r="H2658" s="168" t="s">
        <v>39</v>
      </c>
      <c r="I2658" s="168"/>
      <c r="J2658" s="77" t="str">
        <f t="shared" si="10"/>
        <v>[TIMES_SE] Direct Reduced Iron, shaft kiln, natural gas</v>
      </c>
      <c r="K2658" s="168"/>
      <c r="L2658" s="131"/>
      <c r="M2658" s="169"/>
    </row>
    <row r="2659" spans="1:13" x14ac:dyDescent="0.55000000000000004">
      <c r="A2659" s="92" t="s">
        <v>326</v>
      </c>
      <c r="B2659" s="168" t="s">
        <v>160</v>
      </c>
      <c r="C2659" s="168" t="s">
        <v>247</v>
      </c>
      <c r="D2659" s="168" t="s">
        <v>3288</v>
      </c>
      <c r="E2659" s="119">
        <v>0.37699199999999999</v>
      </c>
      <c r="F2659" s="149" t="s">
        <v>135</v>
      </c>
      <c r="G2659" s="149" t="s">
        <v>135</v>
      </c>
      <c r="H2659" s="68" t="s">
        <v>376</v>
      </c>
      <c r="I2659" s="168" t="s">
        <v>2066</v>
      </c>
      <c r="J2659" s="77" t="str">
        <f t="shared" si="10"/>
        <v>[TIMES_SE] Direct Reduced Iron, shaft kiln, natural gas</v>
      </c>
      <c r="K2659" s="168"/>
      <c r="L2659" s="131"/>
      <c r="M2659" s="169"/>
    </row>
    <row r="2660" spans="1:13" x14ac:dyDescent="0.55000000000000004">
      <c r="A2660" s="92" t="s">
        <v>326</v>
      </c>
      <c r="B2660" s="168" t="s">
        <v>160</v>
      </c>
      <c r="C2660" s="168" t="s">
        <v>247</v>
      </c>
      <c r="D2660" s="168" t="s">
        <v>3288</v>
      </c>
      <c r="E2660" s="119">
        <v>0.16156800000000002</v>
      </c>
      <c r="F2660" s="149" t="s">
        <v>135</v>
      </c>
      <c r="G2660" s="149" t="s">
        <v>135</v>
      </c>
      <c r="H2660" s="68" t="s">
        <v>376</v>
      </c>
      <c r="I2660" s="168" t="s">
        <v>2065</v>
      </c>
      <c r="J2660" s="77" t="str">
        <f t="shared" si="10"/>
        <v>[TIMES_SE] Direct Reduced Iron, shaft kiln, natural gas</v>
      </c>
      <c r="K2660" s="168"/>
      <c r="L2660" s="131"/>
      <c r="M2660" s="169"/>
    </row>
    <row r="2661" spans="1:13" x14ac:dyDescent="0.55000000000000004">
      <c r="A2661" s="92" t="s">
        <v>328</v>
      </c>
      <c r="B2661" s="168" t="s">
        <v>315</v>
      </c>
      <c r="C2661" s="168" t="s">
        <v>121</v>
      </c>
      <c r="D2661" s="168" t="s">
        <v>3288</v>
      </c>
      <c r="E2661" s="117">
        <v>1</v>
      </c>
      <c r="F2661" s="149" t="s">
        <v>135</v>
      </c>
      <c r="G2661" s="149">
        <v>1</v>
      </c>
      <c r="H2661" s="168"/>
      <c r="I2661" s="168"/>
      <c r="J2661" s="77" t="str">
        <f t="shared" si="10"/>
        <v>[TIMES_SE] Direct Reduced Iron, shaft kiln, natural gas w. CCS</v>
      </c>
      <c r="K2661" s="168"/>
      <c r="L2661" s="131"/>
      <c r="M2661" s="169"/>
    </row>
    <row r="2662" spans="1:13" x14ac:dyDescent="0.55000000000000004">
      <c r="A2662" s="92" t="s">
        <v>328</v>
      </c>
      <c r="B2662" s="168" t="s">
        <v>323</v>
      </c>
      <c r="C2662" s="21" t="s">
        <v>125</v>
      </c>
      <c r="D2662" s="168" t="s">
        <v>3288</v>
      </c>
      <c r="E2662" s="117">
        <f>1/0.753</f>
        <v>1.3280212483399734</v>
      </c>
      <c r="F2662" s="149" t="s">
        <v>135</v>
      </c>
      <c r="G2662" s="149" t="s">
        <v>135</v>
      </c>
      <c r="H2662" s="168" t="s">
        <v>39</v>
      </c>
      <c r="I2662" s="168" t="s">
        <v>327</v>
      </c>
      <c r="J2662" s="77" t="str">
        <f t="shared" si="10"/>
        <v>[TIMES_SE] Direct Reduced Iron, shaft kiln, natural gas w. CCS</v>
      </c>
      <c r="K2662" s="168"/>
      <c r="L2662" s="131"/>
      <c r="M2662" s="169"/>
    </row>
    <row r="2663" spans="1:13" x14ac:dyDescent="0.55000000000000004">
      <c r="A2663" s="92" t="s">
        <v>328</v>
      </c>
      <c r="B2663" s="168" t="s">
        <v>153</v>
      </c>
      <c r="C2663" s="168" t="s">
        <v>127</v>
      </c>
      <c r="D2663" s="168" t="s">
        <v>2994</v>
      </c>
      <c r="E2663" s="117">
        <v>0.39</v>
      </c>
      <c r="F2663" s="149" t="s">
        <v>138</v>
      </c>
      <c r="G2663" s="149" t="s">
        <v>135</v>
      </c>
      <c r="H2663" s="168" t="s">
        <v>39</v>
      </c>
      <c r="I2663" s="168"/>
      <c r="J2663" s="77" t="str">
        <f t="shared" si="10"/>
        <v>[TIMES_SE] Direct Reduced Iron, shaft kiln, natural gas w. CCS</v>
      </c>
      <c r="K2663" s="168"/>
      <c r="L2663" s="131"/>
      <c r="M2663" s="169"/>
    </row>
    <row r="2664" spans="1:13" x14ac:dyDescent="0.55000000000000004">
      <c r="A2664" s="92" t="s">
        <v>328</v>
      </c>
      <c r="B2664" s="21" t="s">
        <v>171</v>
      </c>
      <c r="C2664" s="168" t="s">
        <v>294</v>
      </c>
      <c r="D2664" s="168" t="s">
        <v>2994</v>
      </c>
      <c r="E2664" s="117">
        <f>6.72</f>
        <v>6.72</v>
      </c>
      <c r="F2664" s="149" t="s">
        <v>138</v>
      </c>
      <c r="G2664" s="149" t="s">
        <v>135</v>
      </c>
      <c r="H2664" s="168" t="s">
        <v>39</v>
      </c>
      <c r="I2664" s="168"/>
      <c r="J2664" s="77" t="str">
        <f t="shared" si="10"/>
        <v>[TIMES_SE] Direct Reduced Iron, shaft kiln, natural gas w. CCS</v>
      </c>
      <c r="K2664" s="168"/>
      <c r="L2664" s="131"/>
      <c r="M2664" s="169"/>
    </row>
    <row r="2665" spans="1:13" x14ac:dyDescent="0.55000000000000004">
      <c r="A2665" s="92" t="s">
        <v>328</v>
      </c>
      <c r="B2665" s="21" t="s">
        <v>171</v>
      </c>
      <c r="C2665" s="168" t="s">
        <v>127</v>
      </c>
      <c r="D2665" s="168" t="s">
        <v>2994</v>
      </c>
      <c r="E2665" s="117">
        <f>2.88</f>
        <v>2.88</v>
      </c>
      <c r="F2665" s="149" t="s">
        <v>138</v>
      </c>
      <c r="G2665" s="149" t="s">
        <v>135</v>
      </c>
      <c r="H2665" s="168" t="s">
        <v>39</v>
      </c>
      <c r="I2665" s="168"/>
      <c r="J2665" s="77" t="str">
        <f t="shared" ref="J2665:J2728" si="11">A2665</f>
        <v>[TIMES_SE] Direct Reduced Iron, shaft kiln, natural gas w. CCS</v>
      </c>
      <c r="K2665" s="168"/>
      <c r="L2665" s="131"/>
      <c r="M2665" s="169"/>
    </row>
    <row r="2666" spans="1:13" x14ac:dyDescent="0.55000000000000004">
      <c r="A2666" s="92" t="s">
        <v>328</v>
      </c>
      <c r="B2666" s="168" t="s">
        <v>160</v>
      </c>
      <c r="C2666" s="168" t="s">
        <v>247</v>
      </c>
      <c r="D2666" s="168" t="s">
        <v>3288</v>
      </c>
      <c r="E2666" s="119">
        <f>0.376992*(1-0.95)</f>
        <v>1.8849600000000015E-2</v>
      </c>
      <c r="F2666" s="149" t="s">
        <v>135</v>
      </c>
      <c r="G2666" s="149" t="s">
        <v>135</v>
      </c>
      <c r="H2666" s="68" t="s">
        <v>376</v>
      </c>
      <c r="I2666" s="168" t="s">
        <v>2067</v>
      </c>
      <c r="J2666" s="77" t="str">
        <f t="shared" si="11"/>
        <v>[TIMES_SE] Direct Reduced Iron, shaft kiln, natural gas w. CCS</v>
      </c>
      <c r="K2666" s="168"/>
      <c r="L2666" s="131"/>
      <c r="M2666" s="169"/>
    </row>
    <row r="2667" spans="1:13" x14ac:dyDescent="0.55000000000000004">
      <c r="A2667" s="92" t="s">
        <v>328</v>
      </c>
      <c r="B2667" s="168" t="s">
        <v>160</v>
      </c>
      <c r="C2667" s="168" t="s">
        <v>247</v>
      </c>
      <c r="D2667" s="168" t="s">
        <v>3288</v>
      </c>
      <c r="E2667" s="119">
        <f>0.161568*(1-0.95)</f>
        <v>8.0784000000000064E-3</v>
      </c>
      <c r="F2667" s="149" t="s">
        <v>135</v>
      </c>
      <c r="G2667" s="149" t="s">
        <v>135</v>
      </c>
      <c r="H2667" s="68" t="s">
        <v>376</v>
      </c>
      <c r="I2667" s="168" t="s">
        <v>2068</v>
      </c>
      <c r="J2667" s="77" t="str">
        <f t="shared" si="11"/>
        <v>[TIMES_SE] Direct Reduced Iron, shaft kiln, natural gas w. CCS</v>
      </c>
      <c r="K2667" s="168"/>
      <c r="L2667" s="131"/>
      <c r="M2667" s="169"/>
    </row>
    <row r="2668" spans="1:13" x14ac:dyDescent="0.55000000000000004">
      <c r="A2668" s="92" t="s">
        <v>328</v>
      </c>
      <c r="B2668" s="168" t="s">
        <v>160</v>
      </c>
      <c r="C2668" s="168" t="s">
        <v>156</v>
      </c>
      <c r="D2668" s="168" t="s">
        <v>3288</v>
      </c>
      <c r="E2668" s="119">
        <f>0.376992*(0.95)</f>
        <v>0.35814239999999997</v>
      </c>
      <c r="F2668" s="149" t="s">
        <v>135</v>
      </c>
      <c r="G2668" s="149" t="s">
        <v>135</v>
      </c>
      <c r="H2668" s="68" t="s">
        <v>376</v>
      </c>
      <c r="I2668" s="168" t="s">
        <v>2067</v>
      </c>
      <c r="J2668" s="77" t="str">
        <f t="shared" si="11"/>
        <v>[TIMES_SE] Direct Reduced Iron, shaft kiln, natural gas w. CCS</v>
      </c>
      <c r="K2668" s="168"/>
      <c r="L2668" s="160"/>
      <c r="M2668" s="169"/>
    </row>
    <row r="2669" spans="1:13" x14ac:dyDescent="0.55000000000000004">
      <c r="A2669" s="92" t="s">
        <v>328</v>
      </c>
      <c r="B2669" s="168" t="s">
        <v>160</v>
      </c>
      <c r="C2669" s="168" t="s">
        <v>156</v>
      </c>
      <c r="D2669" s="168" t="s">
        <v>3288</v>
      </c>
      <c r="E2669" s="119">
        <f>0.161568*(0.95)</f>
        <v>0.15348959999999998</v>
      </c>
      <c r="F2669" s="149" t="s">
        <v>135</v>
      </c>
      <c r="G2669" s="149" t="s">
        <v>135</v>
      </c>
      <c r="H2669" s="68" t="s">
        <v>376</v>
      </c>
      <c r="I2669" s="168" t="s">
        <v>2068</v>
      </c>
      <c r="J2669" s="77" t="str">
        <f t="shared" si="11"/>
        <v>[TIMES_SE] Direct Reduced Iron, shaft kiln, natural gas w. CCS</v>
      </c>
      <c r="K2669" s="168"/>
      <c r="L2669" s="160"/>
      <c r="M2669" s="169"/>
    </row>
    <row r="2670" spans="1:13" x14ac:dyDescent="0.55000000000000004">
      <c r="A2670" s="92" t="s">
        <v>329</v>
      </c>
      <c r="B2670" s="168" t="s">
        <v>315</v>
      </c>
      <c r="C2670" s="168" t="s">
        <v>121</v>
      </c>
      <c r="D2670" s="168" t="s">
        <v>3288</v>
      </c>
      <c r="E2670" s="117">
        <v>1</v>
      </c>
      <c r="F2670" s="149" t="s">
        <v>135</v>
      </c>
      <c r="G2670" s="149">
        <v>1</v>
      </c>
      <c r="H2670" s="168"/>
      <c r="I2670" s="168"/>
      <c r="J2670" s="77" t="str">
        <f t="shared" si="11"/>
        <v>[TIMES_SE] Direct Reduced Iron, shaft kiln, syngas</v>
      </c>
      <c r="K2670" s="168"/>
      <c r="L2670" s="131"/>
      <c r="M2670" s="169"/>
    </row>
    <row r="2671" spans="1:13" x14ac:dyDescent="0.55000000000000004">
      <c r="A2671" s="92" t="s">
        <v>332</v>
      </c>
      <c r="B2671" s="168" t="s">
        <v>315</v>
      </c>
      <c r="C2671" s="168" t="s">
        <v>121</v>
      </c>
      <c r="D2671" s="168" t="s">
        <v>3288</v>
      </c>
      <c r="E2671" s="117">
        <v>1</v>
      </c>
      <c r="F2671" s="149" t="s">
        <v>135</v>
      </c>
      <c r="G2671" s="149">
        <v>1</v>
      </c>
      <c r="H2671" s="168"/>
      <c r="I2671" s="168"/>
      <c r="J2671" s="77" t="str">
        <f t="shared" si="11"/>
        <v>[TIMES_SE] Direct Reduced Iron, shaft kiln, syngas w. CCS</v>
      </c>
      <c r="K2671" s="168"/>
      <c r="L2671" s="131"/>
      <c r="M2671" s="169"/>
    </row>
    <row r="2672" spans="1:13" x14ac:dyDescent="0.55000000000000004">
      <c r="A2672" s="92" t="s">
        <v>332</v>
      </c>
      <c r="B2672" s="168" t="s">
        <v>323</v>
      </c>
      <c r="C2672" s="21" t="s">
        <v>125</v>
      </c>
      <c r="D2672" s="168" t="s">
        <v>3288</v>
      </c>
      <c r="E2672" s="117">
        <f>1/0.753</f>
        <v>1.3280212483399734</v>
      </c>
      <c r="F2672" s="149" t="s">
        <v>135</v>
      </c>
      <c r="G2672" s="149" t="s">
        <v>135</v>
      </c>
      <c r="H2672" s="168" t="s">
        <v>39</v>
      </c>
      <c r="I2672" s="168" t="s">
        <v>327</v>
      </c>
      <c r="J2672" s="77" t="str">
        <f t="shared" si="11"/>
        <v>[TIMES_SE] Direct Reduced Iron, shaft kiln, syngas w. CCS</v>
      </c>
      <c r="K2672" s="168"/>
      <c r="L2672" s="131"/>
      <c r="M2672" s="169"/>
    </row>
    <row r="2673" spans="1:13" x14ac:dyDescent="0.55000000000000004">
      <c r="A2673" s="92" t="s">
        <v>332</v>
      </c>
      <c r="B2673" s="168" t="s">
        <v>153</v>
      </c>
      <c r="C2673" s="168" t="s">
        <v>127</v>
      </c>
      <c r="D2673" s="168" t="s">
        <v>2994</v>
      </c>
      <c r="E2673" s="117">
        <v>0.42</v>
      </c>
      <c r="F2673" s="149" t="s">
        <v>138</v>
      </c>
      <c r="G2673" s="149" t="s">
        <v>135</v>
      </c>
      <c r="H2673" s="168" t="s">
        <v>39</v>
      </c>
      <c r="I2673" s="168"/>
      <c r="J2673" s="77" t="str">
        <f t="shared" si="11"/>
        <v>[TIMES_SE] Direct Reduced Iron, shaft kiln, syngas w. CCS</v>
      </c>
      <c r="K2673" s="168"/>
      <c r="L2673" s="131"/>
      <c r="M2673" s="169"/>
    </row>
    <row r="2674" spans="1:13" x14ac:dyDescent="0.55000000000000004">
      <c r="A2674" s="92" t="s">
        <v>332</v>
      </c>
      <c r="B2674" s="21" t="s">
        <v>331</v>
      </c>
      <c r="C2674" s="168" t="s">
        <v>294</v>
      </c>
      <c r="D2674" s="168" t="s">
        <v>2994</v>
      </c>
      <c r="E2674" s="117">
        <v>6.58</v>
      </c>
      <c r="F2674" s="149" t="s">
        <v>138</v>
      </c>
      <c r="G2674" s="149" t="s">
        <v>135</v>
      </c>
      <c r="H2674" s="168" t="s">
        <v>39</v>
      </c>
      <c r="I2674" s="168"/>
      <c r="J2674" s="77" t="str">
        <f t="shared" si="11"/>
        <v>[TIMES_SE] Direct Reduced Iron, shaft kiln, syngas w. CCS</v>
      </c>
      <c r="K2674" s="168"/>
      <c r="L2674" s="131"/>
      <c r="M2674" s="169"/>
    </row>
    <row r="2675" spans="1:13" x14ac:dyDescent="0.55000000000000004">
      <c r="A2675" s="92" t="s">
        <v>332</v>
      </c>
      <c r="B2675" s="21" t="s">
        <v>331</v>
      </c>
      <c r="C2675" s="168" t="s">
        <v>127</v>
      </c>
      <c r="D2675" s="168" t="s">
        <v>2994</v>
      </c>
      <c r="E2675" s="117">
        <v>2.82</v>
      </c>
      <c r="F2675" s="149" t="s">
        <v>138</v>
      </c>
      <c r="G2675" s="149" t="s">
        <v>135</v>
      </c>
      <c r="H2675" s="168" t="s">
        <v>39</v>
      </c>
      <c r="I2675" s="168"/>
      <c r="J2675" s="77" t="str">
        <f t="shared" si="11"/>
        <v>[TIMES_SE] Direct Reduced Iron, shaft kiln, syngas w. CCS</v>
      </c>
      <c r="K2675" s="168"/>
      <c r="L2675" s="131"/>
      <c r="M2675" s="169"/>
    </row>
    <row r="2676" spans="1:13" x14ac:dyDescent="0.55000000000000004">
      <c r="A2676" s="92" t="s">
        <v>332</v>
      </c>
      <c r="B2676" s="168" t="s">
        <v>160</v>
      </c>
      <c r="C2676" s="168" t="s">
        <v>247</v>
      </c>
      <c r="D2676" s="168" t="s">
        <v>3288</v>
      </c>
      <c r="E2676" s="119">
        <f>-0.64*(1-0.95)*0</f>
        <v>0</v>
      </c>
      <c r="F2676" s="149" t="s">
        <v>135</v>
      </c>
      <c r="G2676" s="149" t="s">
        <v>135</v>
      </c>
      <c r="H2676" s="126" t="s">
        <v>39</v>
      </c>
      <c r="I2676" s="168" t="s">
        <v>2070</v>
      </c>
      <c r="J2676" s="77" t="str">
        <f t="shared" si="11"/>
        <v>[TIMES_SE] Direct Reduced Iron, shaft kiln, syngas w. CCS</v>
      </c>
      <c r="K2676" s="168"/>
      <c r="L2676" s="131"/>
      <c r="M2676" s="169"/>
    </row>
    <row r="2677" spans="1:13" x14ac:dyDescent="0.55000000000000004">
      <c r="A2677" s="92" t="s">
        <v>332</v>
      </c>
      <c r="B2677" s="168" t="s">
        <v>160</v>
      </c>
      <c r="C2677" s="168" t="s">
        <v>156</v>
      </c>
      <c r="D2677" s="168" t="s">
        <v>3288</v>
      </c>
      <c r="E2677" s="119">
        <f>-0.64*0.95</f>
        <v>-0.60799999999999998</v>
      </c>
      <c r="F2677" s="149" t="s">
        <v>135</v>
      </c>
      <c r="G2677" s="149" t="s">
        <v>135</v>
      </c>
      <c r="H2677" s="126" t="s">
        <v>39</v>
      </c>
      <c r="I2677" s="168" t="s">
        <v>2070</v>
      </c>
      <c r="J2677" s="77" t="str">
        <f t="shared" si="11"/>
        <v>[TIMES_SE] Direct Reduced Iron, shaft kiln, syngas w. CCS</v>
      </c>
      <c r="K2677" s="168"/>
      <c r="L2677" s="160"/>
      <c r="M2677" s="169"/>
    </row>
    <row r="2678" spans="1:13" x14ac:dyDescent="0.55000000000000004">
      <c r="A2678" s="92" t="s">
        <v>322</v>
      </c>
      <c r="B2678" s="168" t="s">
        <v>315</v>
      </c>
      <c r="C2678" s="168" t="s">
        <v>121</v>
      </c>
      <c r="D2678" s="168" t="s">
        <v>3288</v>
      </c>
      <c r="E2678" s="117">
        <v>1</v>
      </c>
      <c r="F2678" s="149" t="s">
        <v>135</v>
      </c>
      <c r="G2678" s="149">
        <v>1</v>
      </c>
      <c r="H2678" s="168"/>
      <c r="I2678" s="168"/>
      <c r="J2678" s="77" t="str">
        <f t="shared" si="11"/>
        <v>[TIMES_SE] Direct Reduced Iron, tunnel kiln</v>
      </c>
      <c r="K2678" s="168"/>
      <c r="L2678" s="131"/>
      <c r="M2678" s="169"/>
    </row>
    <row r="2679" spans="1:13" x14ac:dyDescent="0.55000000000000004">
      <c r="A2679" s="92" t="s">
        <v>322</v>
      </c>
      <c r="B2679" s="168" t="s">
        <v>323</v>
      </c>
      <c r="C2679" s="21" t="s">
        <v>125</v>
      </c>
      <c r="D2679" s="168" t="s">
        <v>3288</v>
      </c>
      <c r="E2679" s="117">
        <f>1/0.7</f>
        <v>1.4285714285714286</v>
      </c>
      <c r="F2679" s="149" t="s">
        <v>135</v>
      </c>
      <c r="G2679" s="149" t="s">
        <v>135</v>
      </c>
      <c r="H2679" s="168" t="s">
        <v>39</v>
      </c>
      <c r="I2679" s="168" t="s">
        <v>324</v>
      </c>
      <c r="J2679" s="77" t="str">
        <f t="shared" si="11"/>
        <v>[TIMES_SE] Direct Reduced Iron, tunnel kiln</v>
      </c>
      <c r="K2679" s="168"/>
      <c r="L2679" s="131"/>
      <c r="M2679" s="169"/>
    </row>
    <row r="2680" spans="1:13" x14ac:dyDescent="0.55000000000000004">
      <c r="A2680" s="92" t="s">
        <v>322</v>
      </c>
      <c r="B2680" s="168" t="s">
        <v>153</v>
      </c>
      <c r="C2680" s="168" t="s">
        <v>127</v>
      </c>
      <c r="D2680" s="168" t="s">
        <v>2994</v>
      </c>
      <c r="E2680" s="117">
        <v>0.31</v>
      </c>
      <c r="F2680" s="149" t="s">
        <v>138</v>
      </c>
      <c r="G2680" s="149" t="s">
        <v>135</v>
      </c>
      <c r="H2680" s="168" t="s">
        <v>39</v>
      </c>
      <c r="I2680" s="168"/>
      <c r="J2680" s="77" t="str">
        <f t="shared" si="11"/>
        <v>[TIMES_SE] Direct Reduced Iron, tunnel kiln</v>
      </c>
      <c r="K2680" s="168"/>
      <c r="L2680" s="131"/>
      <c r="M2680" s="169"/>
    </row>
    <row r="2681" spans="1:13" x14ac:dyDescent="0.55000000000000004">
      <c r="A2681" s="92" t="s">
        <v>322</v>
      </c>
      <c r="B2681" s="21" t="s">
        <v>171</v>
      </c>
      <c r="C2681" s="168" t="s">
        <v>127</v>
      </c>
      <c r="D2681" s="168" t="s">
        <v>2994</v>
      </c>
      <c r="E2681" s="117">
        <v>4.1500000000000004</v>
      </c>
      <c r="F2681" s="149" t="s">
        <v>138</v>
      </c>
      <c r="G2681" s="149" t="s">
        <v>135</v>
      </c>
      <c r="H2681" s="168" t="s">
        <v>39</v>
      </c>
      <c r="I2681" s="168"/>
      <c r="J2681" s="77" t="str">
        <f t="shared" si="11"/>
        <v>[TIMES_SE] Direct Reduced Iron, tunnel kiln</v>
      </c>
      <c r="K2681" s="168"/>
      <c r="L2681" s="131"/>
      <c r="M2681" s="169"/>
    </row>
    <row r="2682" spans="1:13" x14ac:dyDescent="0.55000000000000004">
      <c r="A2682" s="92" t="s">
        <v>322</v>
      </c>
      <c r="B2682" s="168" t="s">
        <v>293</v>
      </c>
      <c r="C2682" s="168" t="s">
        <v>294</v>
      </c>
      <c r="D2682" s="168" t="s">
        <v>2994</v>
      </c>
      <c r="E2682" s="116">
        <v>10.220000000000001</v>
      </c>
      <c r="F2682" s="149" t="s">
        <v>138</v>
      </c>
      <c r="G2682" s="149" t="s">
        <v>135</v>
      </c>
      <c r="H2682" s="68" t="s">
        <v>321</v>
      </c>
      <c r="I2682" s="168" t="s">
        <v>325</v>
      </c>
      <c r="J2682" s="77" t="str">
        <f t="shared" si="11"/>
        <v>[TIMES_SE] Direct Reduced Iron, tunnel kiln</v>
      </c>
      <c r="K2682" s="168"/>
      <c r="L2682" s="131"/>
      <c r="M2682" s="169"/>
    </row>
    <row r="2683" spans="1:13" x14ac:dyDescent="0.55000000000000004">
      <c r="A2683" s="92" t="s">
        <v>322</v>
      </c>
      <c r="B2683" s="168" t="s">
        <v>297</v>
      </c>
      <c r="C2683" s="168" t="s">
        <v>294</v>
      </c>
      <c r="D2683" s="168" t="s">
        <v>2994</v>
      </c>
      <c r="E2683" s="116">
        <v>0</v>
      </c>
      <c r="F2683" s="149" t="s">
        <v>138</v>
      </c>
      <c r="G2683" s="149" t="s">
        <v>135</v>
      </c>
      <c r="H2683" s="68" t="s">
        <v>321</v>
      </c>
      <c r="I2683" s="168" t="s">
        <v>325</v>
      </c>
      <c r="J2683" s="77" t="str">
        <f t="shared" si="11"/>
        <v>[TIMES_SE] Direct Reduced Iron, tunnel kiln</v>
      </c>
      <c r="K2683" s="168"/>
      <c r="L2683" s="131"/>
      <c r="M2683" s="169"/>
    </row>
    <row r="2684" spans="1:13" x14ac:dyDescent="0.55000000000000004">
      <c r="A2684" s="92" t="s">
        <v>322</v>
      </c>
      <c r="B2684" s="168" t="s">
        <v>131</v>
      </c>
      <c r="C2684" s="168" t="s">
        <v>125</v>
      </c>
      <c r="D2684" s="168" t="s">
        <v>3288</v>
      </c>
      <c r="E2684" s="116">
        <v>6.3500000000000001E-2</v>
      </c>
      <c r="F2684" s="149" t="s">
        <v>135</v>
      </c>
      <c r="G2684" s="149" t="s">
        <v>135</v>
      </c>
      <c r="H2684" s="68" t="s">
        <v>39</v>
      </c>
      <c r="I2684" s="168"/>
      <c r="J2684" s="77" t="str">
        <f t="shared" si="11"/>
        <v>[TIMES_SE] Direct Reduced Iron, tunnel kiln</v>
      </c>
      <c r="K2684" s="168"/>
      <c r="L2684" s="131"/>
      <c r="M2684" s="169"/>
    </row>
    <row r="2685" spans="1:13" x14ac:dyDescent="0.55000000000000004">
      <c r="A2685" s="92" t="s">
        <v>322</v>
      </c>
      <c r="B2685" s="168" t="s">
        <v>160</v>
      </c>
      <c r="C2685" s="168" t="s">
        <v>247</v>
      </c>
      <c r="D2685" s="168" t="s">
        <v>3288</v>
      </c>
      <c r="E2685" s="119">
        <v>0.23281500000000002</v>
      </c>
      <c r="F2685" s="149" t="s">
        <v>135</v>
      </c>
      <c r="G2685" s="149" t="s">
        <v>135</v>
      </c>
      <c r="H2685" s="68" t="s">
        <v>376</v>
      </c>
      <c r="I2685" s="168" t="s">
        <v>2062</v>
      </c>
      <c r="J2685" s="77" t="str">
        <f t="shared" si="11"/>
        <v>[TIMES_SE] Direct Reduced Iron, tunnel kiln</v>
      </c>
      <c r="K2685" s="168"/>
      <c r="L2685" s="131"/>
      <c r="M2685" s="169"/>
    </row>
    <row r="2686" spans="1:13" x14ac:dyDescent="0.55000000000000004">
      <c r="A2686" s="92" t="s">
        <v>322</v>
      </c>
      <c r="B2686" s="168" t="s">
        <v>160</v>
      </c>
      <c r="C2686" s="168" t="s">
        <v>247</v>
      </c>
      <c r="D2686" s="168" t="s">
        <v>3288</v>
      </c>
      <c r="E2686" s="119">
        <v>1.0986500000000001</v>
      </c>
      <c r="F2686" s="149" t="s">
        <v>135</v>
      </c>
      <c r="G2686" s="149" t="s">
        <v>135</v>
      </c>
      <c r="H2686" s="68" t="s">
        <v>376</v>
      </c>
      <c r="I2686" s="168" t="s">
        <v>2064</v>
      </c>
      <c r="J2686" s="77" t="str">
        <f t="shared" si="11"/>
        <v>[TIMES_SE] Direct Reduced Iron, tunnel kiln</v>
      </c>
      <c r="K2686" s="168"/>
      <c r="L2686" s="131"/>
      <c r="M2686" s="169"/>
    </row>
    <row r="2687" spans="1:13" x14ac:dyDescent="0.55000000000000004">
      <c r="A2687" s="111" t="s">
        <v>344</v>
      </c>
      <c r="B2687" s="168" t="s">
        <v>339</v>
      </c>
      <c r="C2687" s="168" t="s">
        <v>121</v>
      </c>
      <c r="D2687" s="168" t="s">
        <v>3288</v>
      </c>
      <c r="E2687" s="116">
        <v>1</v>
      </c>
      <c r="F2687" s="149" t="s">
        <v>135</v>
      </c>
      <c r="G2687" s="149">
        <v>1</v>
      </c>
      <c r="H2687" s="68"/>
      <c r="I2687" s="168"/>
      <c r="J2687" s="77" t="str">
        <f t="shared" si="11"/>
        <v>[TIMES_SE] Electric Arc Furnace</v>
      </c>
      <c r="K2687" s="168"/>
      <c r="L2687" s="131"/>
      <c r="M2687" s="169"/>
    </row>
    <row r="2688" spans="1:13" x14ac:dyDescent="0.55000000000000004">
      <c r="A2688" s="111" t="s">
        <v>344</v>
      </c>
      <c r="B2688" s="168" t="s">
        <v>341</v>
      </c>
      <c r="C2688" s="21" t="s">
        <v>125</v>
      </c>
      <c r="D2688" s="168" t="s">
        <v>3288</v>
      </c>
      <c r="E2688" s="116">
        <f>(1/0.917)</f>
        <v>1.0905125408942202</v>
      </c>
      <c r="F2688" s="149" t="s">
        <v>135</v>
      </c>
      <c r="G2688" s="149" t="s">
        <v>135</v>
      </c>
      <c r="H2688" s="68" t="s">
        <v>39</v>
      </c>
      <c r="I2688" s="168" t="s">
        <v>345</v>
      </c>
      <c r="J2688" s="77" t="str">
        <f t="shared" si="11"/>
        <v>[TIMES_SE] Electric Arc Furnace</v>
      </c>
      <c r="K2688" s="168"/>
      <c r="L2688" s="131"/>
      <c r="M2688" s="169"/>
    </row>
    <row r="2689" spans="1:13" x14ac:dyDescent="0.55000000000000004">
      <c r="A2689" s="111" t="s">
        <v>344</v>
      </c>
      <c r="B2689" s="168" t="s">
        <v>153</v>
      </c>
      <c r="C2689" s="168" t="s">
        <v>127</v>
      </c>
      <c r="D2689" s="168" t="s">
        <v>2994</v>
      </c>
      <c r="E2689" s="116">
        <v>2.1309999999999998</v>
      </c>
      <c r="F2689" s="149" t="s">
        <v>138</v>
      </c>
      <c r="G2689" s="149" t="s">
        <v>135</v>
      </c>
      <c r="H2689" s="68" t="s">
        <v>39</v>
      </c>
      <c r="I2689" s="168" t="s">
        <v>346</v>
      </c>
      <c r="J2689" s="77" t="str">
        <f t="shared" si="11"/>
        <v>[TIMES_SE] Electric Arc Furnace</v>
      </c>
      <c r="K2689" s="168"/>
      <c r="L2689" s="131"/>
      <c r="M2689" s="169"/>
    </row>
    <row r="2690" spans="1:13" x14ac:dyDescent="0.55000000000000004">
      <c r="A2690" s="111" t="s">
        <v>344</v>
      </c>
      <c r="B2690" s="168" t="s">
        <v>171</v>
      </c>
      <c r="C2690" s="168" t="s">
        <v>127</v>
      </c>
      <c r="D2690" s="168" t="s">
        <v>2994</v>
      </c>
      <c r="E2690" s="116">
        <v>0.11</v>
      </c>
      <c r="F2690" s="149" t="s">
        <v>138</v>
      </c>
      <c r="G2690" s="149" t="s">
        <v>135</v>
      </c>
      <c r="H2690" s="68" t="s">
        <v>39</v>
      </c>
      <c r="I2690" s="168" t="s">
        <v>347</v>
      </c>
      <c r="J2690" s="77" t="str">
        <f t="shared" si="11"/>
        <v>[TIMES_SE] Electric Arc Furnace</v>
      </c>
      <c r="K2690" s="168"/>
      <c r="L2690" s="131"/>
      <c r="M2690" s="169"/>
    </row>
    <row r="2691" spans="1:13" x14ac:dyDescent="0.55000000000000004">
      <c r="A2691" s="111" t="s">
        <v>344</v>
      </c>
      <c r="B2691" s="168" t="s">
        <v>262</v>
      </c>
      <c r="C2691" s="168" t="s">
        <v>127</v>
      </c>
      <c r="D2691" s="168" t="s">
        <v>2994</v>
      </c>
      <c r="E2691" s="116">
        <v>0.03</v>
      </c>
      <c r="F2691" s="149" t="s">
        <v>138</v>
      </c>
      <c r="G2691" s="149" t="s">
        <v>135</v>
      </c>
      <c r="H2691" s="68" t="s">
        <v>39</v>
      </c>
      <c r="I2691" s="168"/>
      <c r="J2691" s="77" t="str">
        <f t="shared" si="11"/>
        <v>[TIMES_SE] Electric Arc Furnace</v>
      </c>
      <c r="K2691" s="168"/>
      <c r="L2691" s="131"/>
      <c r="M2691" s="169"/>
    </row>
    <row r="2692" spans="1:13" x14ac:dyDescent="0.55000000000000004">
      <c r="A2692" s="111" t="s">
        <v>344</v>
      </c>
      <c r="B2692" s="168" t="s">
        <v>262</v>
      </c>
      <c r="C2692" s="168" t="s">
        <v>348</v>
      </c>
      <c r="D2692" s="168" t="s">
        <v>2994</v>
      </c>
      <c r="E2692" s="116">
        <v>0.13500000000000001</v>
      </c>
      <c r="F2692" s="149" t="s">
        <v>138</v>
      </c>
      <c r="G2692" s="149" t="s">
        <v>135</v>
      </c>
      <c r="H2692" s="68" t="s">
        <v>39</v>
      </c>
      <c r="I2692" s="168" t="s">
        <v>349</v>
      </c>
      <c r="J2692" s="77" t="str">
        <f t="shared" si="11"/>
        <v>[TIMES_SE] Electric Arc Furnace</v>
      </c>
      <c r="K2692" s="168"/>
      <c r="L2692" s="131"/>
      <c r="M2692" s="169"/>
    </row>
    <row r="2693" spans="1:13" x14ac:dyDescent="0.55000000000000004">
      <c r="A2693" s="111" t="s">
        <v>344</v>
      </c>
      <c r="B2693" s="168" t="s">
        <v>213</v>
      </c>
      <c r="C2693" s="168" t="s">
        <v>125</v>
      </c>
      <c r="D2693" s="168" t="s">
        <v>3289</v>
      </c>
      <c r="E2693" s="116">
        <v>11.16</v>
      </c>
      <c r="F2693" s="149" t="s">
        <v>133</v>
      </c>
      <c r="G2693" s="149" t="s">
        <v>135</v>
      </c>
      <c r="H2693" s="68" t="s">
        <v>39</v>
      </c>
      <c r="I2693" s="168" t="s">
        <v>350</v>
      </c>
      <c r="J2693" s="77" t="str">
        <f t="shared" si="11"/>
        <v>[TIMES_SE] Electric Arc Furnace</v>
      </c>
      <c r="K2693" s="168"/>
      <c r="L2693" s="131"/>
      <c r="M2693" s="169"/>
    </row>
    <row r="2694" spans="1:13" x14ac:dyDescent="0.55000000000000004">
      <c r="A2694" s="111" t="s">
        <v>344</v>
      </c>
      <c r="B2694" s="168" t="s">
        <v>131</v>
      </c>
      <c r="C2694" s="168" t="s">
        <v>125</v>
      </c>
      <c r="D2694" s="168" t="s">
        <v>3288</v>
      </c>
      <c r="E2694" s="116">
        <v>1.2999999999999999E-2</v>
      </c>
      <c r="F2694" s="149" t="s">
        <v>135</v>
      </c>
      <c r="G2694" s="149" t="s">
        <v>135</v>
      </c>
      <c r="H2694" s="68" t="s">
        <v>39</v>
      </c>
      <c r="I2694" s="168"/>
      <c r="J2694" s="77" t="str">
        <f t="shared" si="11"/>
        <v>[TIMES_SE] Electric Arc Furnace</v>
      </c>
      <c r="K2694" s="168"/>
      <c r="L2694" s="131"/>
      <c r="M2694" s="169"/>
    </row>
    <row r="2695" spans="1:13" x14ac:dyDescent="0.55000000000000004">
      <c r="A2695" s="111" t="s">
        <v>344</v>
      </c>
      <c r="B2695" s="168" t="s">
        <v>170</v>
      </c>
      <c r="C2695" s="168" t="s">
        <v>125</v>
      </c>
      <c r="D2695" s="168" t="s">
        <v>3288</v>
      </c>
      <c r="E2695" s="116">
        <v>5.0000000000000001E-3</v>
      </c>
      <c r="F2695" s="149" t="s">
        <v>135</v>
      </c>
      <c r="G2695" s="149" t="s">
        <v>135</v>
      </c>
      <c r="H2695" s="68" t="s">
        <v>39</v>
      </c>
      <c r="I2695" s="168"/>
      <c r="J2695" s="77" t="str">
        <f t="shared" si="11"/>
        <v>[TIMES_SE] Electric Arc Furnace</v>
      </c>
      <c r="K2695" s="168"/>
      <c r="L2695" s="131"/>
      <c r="M2695" s="169"/>
    </row>
    <row r="2696" spans="1:13" x14ac:dyDescent="0.55000000000000004">
      <c r="A2696" s="111" t="s">
        <v>344</v>
      </c>
      <c r="B2696" s="168" t="s">
        <v>160</v>
      </c>
      <c r="C2696" s="168" t="s">
        <v>247</v>
      </c>
      <c r="D2696" s="168" t="s">
        <v>3288</v>
      </c>
      <c r="E2696" s="116">
        <v>6.1710000000000003E-3</v>
      </c>
      <c r="F2696" s="149" t="s">
        <v>135</v>
      </c>
      <c r="G2696" s="149" t="s">
        <v>135</v>
      </c>
      <c r="H2696" s="168" t="s">
        <v>376</v>
      </c>
      <c r="I2696" s="168" t="s">
        <v>2013</v>
      </c>
      <c r="J2696" s="77" t="str">
        <f t="shared" si="11"/>
        <v>[TIMES_SE] Electric Arc Furnace</v>
      </c>
      <c r="K2696" s="168"/>
      <c r="L2696" s="131"/>
      <c r="M2696" s="169"/>
    </row>
    <row r="2697" spans="1:13" x14ac:dyDescent="0.55000000000000004">
      <c r="A2697" s="111" t="s">
        <v>344</v>
      </c>
      <c r="B2697" s="168" t="s">
        <v>160</v>
      </c>
      <c r="C2697" s="168" t="s">
        <v>247</v>
      </c>
      <c r="D2697" s="168" t="s">
        <v>3288</v>
      </c>
      <c r="E2697" s="116">
        <f>0.00294+0.01323</f>
        <v>1.617E-2</v>
      </c>
      <c r="F2697" s="149" t="s">
        <v>135</v>
      </c>
      <c r="G2697" s="149" t="s">
        <v>135</v>
      </c>
      <c r="H2697" s="168" t="s">
        <v>413</v>
      </c>
      <c r="I2697" s="168" t="s">
        <v>2071</v>
      </c>
      <c r="J2697" s="77" t="str">
        <f t="shared" si="11"/>
        <v>[TIMES_SE] Electric Arc Furnace</v>
      </c>
      <c r="K2697" s="168"/>
      <c r="L2697" s="131"/>
      <c r="M2697" s="169"/>
    </row>
    <row r="2698" spans="1:13" x14ac:dyDescent="0.55000000000000004">
      <c r="A2698" s="111" t="s">
        <v>351</v>
      </c>
      <c r="B2698" s="168" t="s">
        <v>352</v>
      </c>
      <c r="C2698" s="168" t="s">
        <v>121</v>
      </c>
      <c r="D2698" s="168" t="s">
        <v>3288</v>
      </c>
      <c r="E2698" s="116">
        <v>1</v>
      </c>
      <c r="F2698" s="149" t="s">
        <v>135</v>
      </c>
      <c r="G2698" s="149">
        <v>1</v>
      </c>
      <c r="H2698" s="68"/>
      <c r="I2698" s="168"/>
      <c r="J2698" s="77" t="str">
        <f t="shared" si="11"/>
        <v>[TIMES_SE] Electric Arc Furnace, stainless steel</v>
      </c>
      <c r="K2698" s="168"/>
      <c r="L2698" s="131"/>
      <c r="M2698" s="169"/>
    </row>
    <row r="2699" spans="1:13" x14ac:dyDescent="0.55000000000000004">
      <c r="A2699" s="111" t="s">
        <v>351</v>
      </c>
      <c r="B2699" s="168" t="s">
        <v>341</v>
      </c>
      <c r="C2699" s="21" t="s">
        <v>125</v>
      </c>
      <c r="D2699" s="168" t="s">
        <v>3288</v>
      </c>
      <c r="E2699" s="116">
        <f>(1/0.9)*(1-0.203)</f>
        <v>0.88555555555555554</v>
      </c>
      <c r="F2699" s="149" t="s">
        <v>135</v>
      </c>
      <c r="G2699" s="149" t="s">
        <v>135</v>
      </c>
      <c r="H2699" s="68" t="s">
        <v>39</v>
      </c>
      <c r="I2699" s="168" t="s">
        <v>353</v>
      </c>
      <c r="J2699" s="77" t="str">
        <f t="shared" si="11"/>
        <v>[TIMES_SE] Electric Arc Furnace, stainless steel</v>
      </c>
      <c r="K2699" s="168"/>
      <c r="L2699" s="131"/>
      <c r="M2699" s="169"/>
    </row>
    <row r="2700" spans="1:13" x14ac:dyDescent="0.55000000000000004">
      <c r="A2700" s="111" t="s">
        <v>351</v>
      </c>
      <c r="B2700" s="168" t="s">
        <v>354</v>
      </c>
      <c r="C2700" s="21" t="s">
        <v>125</v>
      </c>
      <c r="D2700" s="168" t="s">
        <v>3288</v>
      </c>
      <c r="E2700" s="116">
        <f>(1/0.9)*0.203</f>
        <v>0.22555555555555559</v>
      </c>
      <c r="F2700" s="149" t="s">
        <v>135</v>
      </c>
      <c r="G2700" s="149" t="s">
        <v>135</v>
      </c>
      <c r="H2700" s="68" t="s">
        <v>39</v>
      </c>
      <c r="I2700" s="168" t="s">
        <v>355</v>
      </c>
      <c r="J2700" s="77" t="str">
        <f t="shared" si="11"/>
        <v>[TIMES_SE] Electric Arc Furnace, stainless steel</v>
      </c>
      <c r="K2700" s="168"/>
      <c r="L2700" s="131"/>
      <c r="M2700" s="169"/>
    </row>
    <row r="2701" spans="1:13" x14ac:dyDescent="0.55000000000000004">
      <c r="A2701" s="111" t="s">
        <v>351</v>
      </c>
      <c r="B2701" s="168" t="s">
        <v>153</v>
      </c>
      <c r="C2701" s="168" t="s">
        <v>127</v>
      </c>
      <c r="D2701" s="168" t="s">
        <v>2994</v>
      </c>
      <c r="E2701" s="116">
        <v>2.1309999999999998</v>
      </c>
      <c r="F2701" s="149" t="s">
        <v>138</v>
      </c>
      <c r="G2701" s="149" t="s">
        <v>135</v>
      </c>
      <c r="H2701" s="68" t="s">
        <v>39</v>
      </c>
      <c r="I2701" s="168" t="s">
        <v>346</v>
      </c>
      <c r="J2701" s="77" t="str">
        <f t="shared" si="11"/>
        <v>[TIMES_SE] Electric Arc Furnace, stainless steel</v>
      </c>
      <c r="K2701" s="168"/>
      <c r="L2701" s="131"/>
      <c r="M2701" s="169"/>
    </row>
    <row r="2702" spans="1:13" x14ac:dyDescent="0.55000000000000004">
      <c r="A2702" s="111" t="s">
        <v>351</v>
      </c>
      <c r="B2702" s="168" t="s">
        <v>171</v>
      </c>
      <c r="C2702" s="168" t="s">
        <v>127</v>
      </c>
      <c r="D2702" s="168" t="s">
        <v>2994</v>
      </c>
      <c r="E2702" s="116">
        <v>0.11</v>
      </c>
      <c r="F2702" s="149" t="s">
        <v>138</v>
      </c>
      <c r="G2702" s="149" t="s">
        <v>135</v>
      </c>
      <c r="H2702" s="68" t="s">
        <v>39</v>
      </c>
      <c r="I2702" s="168" t="s">
        <v>347</v>
      </c>
      <c r="J2702" s="77" t="str">
        <f t="shared" si="11"/>
        <v>[TIMES_SE] Electric Arc Furnace, stainless steel</v>
      </c>
      <c r="K2702" s="168"/>
      <c r="L2702" s="131"/>
      <c r="M2702" s="169"/>
    </row>
    <row r="2703" spans="1:13" x14ac:dyDescent="0.55000000000000004">
      <c r="A2703" s="111" t="s">
        <v>351</v>
      </c>
      <c r="B2703" s="168" t="s">
        <v>262</v>
      </c>
      <c r="C2703" s="168" t="s">
        <v>127</v>
      </c>
      <c r="D2703" s="168" t="s">
        <v>2994</v>
      </c>
      <c r="E2703" s="116">
        <v>0.03</v>
      </c>
      <c r="F2703" s="149" t="s">
        <v>138</v>
      </c>
      <c r="G2703" s="149" t="s">
        <v>135</v>
      </c>
      <c r="H2703" s="68" t="s">
        <v>39</v>
      </c>
      <c r="I2703" s="168"/>
      <c r="J2703" s="77" t="str">
        <f t="shared" si="11"/>
        <v>[TIMES_SE] Electric Arc Furnace, stainless steel</v>
      </c>
      <c r="K2703" s="168"/>
      <c r="L2703" s="131"/>
      <c r="M2703" s="169"/>
    </row>
    <row r="2704" spans="1:13" x14ac:dyDescent="0.55000000000000004">
      <c r="A2704" s="111" t="s">
        <v>351</v>
      </c>
      <c r="B2704" s="168" t="s">
        <v>262</v>
      </c>
      <c r="C2704" s="168" t="s">
        <v>348</v>
      </c>
      <c r="D2704" s="168" t="s">
        <v>2994</v>
      </c>
      <c r="E2704" s="116">
        <v>0.13500000000000001</v>
      </c>
      <c r="F2704" s="149" t="s">
        <v>138</v>
      </c>
      <c r="G2704" s="149" t="s">
        <v>135</v>
      </c>
      <c r="H2704" s="68" t="s">
        <v>39</v>
      </c>
      <c r="I2704" s="168" t="s">
        <v>349</v>
      </c>
      <c r="J2704" s="77" t="str">
        <f t="shared" si="11"/>
        <v>[TIMES_SE] Electric Arc Furnace, stainless steel</v>
      </c>
      <c r="K2704" s="168"/>
      <c r="L2704" s="131"/>
      <c r="M2704" s="169"/>
    </row>
    <row r="2705" spans="1:13" x14ac:dyDescent="0.55000000000000004">
      <c r="A2705" s="111" t="s">
        <v>351</v>
      </c>
      <c r="B2705" s="168" t="s">
        <v>213</v>
      </c>
      <c r="C2705" s="168" t="s">
        <v>125</v>
      </c>
      <c r="D2705" s="168" t="s">
        <v>3289</v>
      </c>
      <c r="E2705" s="116">
        <v>11.16</v>
      </c>
      <c r="F2705" s="149" t="s">
        <v>133</v>
      </c>
      <c r="G2705" s="149" t="s">
        <v>135</v>
      </c>
      <c r="H2705" s="68" t="s">
        <v>39</v>
      </c>
      <c r="I2705" s="168" t="s">
        <v>350</v>
      </c>
      <c r="J2705" s="77" t="str">
        <f t="shared" si="11"/>
        <v>[TIMES_SE] Electric Arc Furnace, stainless steel</v>
      </c>
      <c r="K2705" s="168"/>
      <c r="L2705" s="131"/>
      <c r="M2705" s="169"/>
    </row>
    <row r="2706" spans="1:13" x14ac:dyDescent="0.55000000000000004">
      <c r="A2706" s="111" t="s">
        <v>351</v>
      </c>
      <c r="B2706" s="168" t="s">
        <v>131</v>
      </c>
      <c r="C2706" s="168" t="s">
        <v>125</v>
      </c>
      <c r="D2706" s="168" t="s">
        <v>3288</v>
      </c>
      <c r="E2706" s="116">
        <v>1.2999999999999999E-2</v>
      </c>
      <c r="F2706" s="149" t="s">
        <v>135</v>
      </c>
      <c r="G2706" s="149" t="s">
        <v>135</v>
      </c>
      <c r="H2706" s="68" t="s">
        <v>39</v>
      </c>
      <c r="I2706" s="168"/>
      <c r="J2706" s="77" t="str">
        <f t="shared" si="11"/>
        <v>[TIMES_SE] Electric Arc Furnace, stainless steel</v>
      </c>
      <c r="K2706" s="168"/>
      <c r="L2706" s="131"/>
      <c r="M2706" s="169"/>
    </row>
    <row r="2707" spans="1:13" x14ac:dyDescent="0.55000000000000004">
      <c r="A2707" s="111" t="s">
        <v>351</v>
      </c>
      <c r="B2707" s="168" t="s">
        <v>170</v>
      </c>
      <c r="C2707" s="168" t="s">
        <v>125</v>
      </c>
      <c r="D2707" s="168" t="s">
        <v>3288</v>
      </c>
      <c r="E2707" s="116">
        <v>5.0000000000000001E-3</v>
      </c>
      <c r="F2707" s="149" t="s">
        <v>135</v>
      </c>
      <c r="G2707" s="149" t="s">
        <v>135</v>
      </c>
      <c r="H2707" s="68" t="s">
        <v>39</v>
      </c>
      <c r="I2707" s="168"/>
      <c r="J2707" s="77" t="str">
        <f t="shared" si="11"/>
        <v>[TIMES_SE] Electric Arc Furnace, stainless steel</v>
      </c>
      <c r="K2707" s="168"/>
      <c r="L2707" s="131"/>
      <c r="M2707" s="169"/>
    </row>
    <row r="2708" spans="1:13" x14ac:dyDescent="0.55000000000000004">
      <c r="A2708" s="111" t="s">
        <v>351</v>
      </c>
      <c r="B2708" s="168" t="s">
        <v>160</v>
      </c>
      <c r="C2708" s="168" t="s">
        <v>247</v>
      </c>
      <c r="D2708" s="168" t="s">
        <v>3288</v>
      </c>
      <c r="E2708" s="116">
        <v>6.1710000000000003E-3</v>
      </c>
      <c r="F2708" s="149" t="s">
        <v>135</v>
      </c>
      <c r="G2708" s="149" t="s">
        <v>135</v>
      </c>
      <c r="H2708" s="168" t="s">
        <v>376</v>
      </c>
      <c r="I2708" s="168" t="s">
        <v>2013</v>
      </c>
      <c r="J2708" s="77" t="str">
        <f t="shared" si="11"/>
        <v>[TIMES_SE] Electric Arc Furnace, stainless steel</v>
      </c>
      <c r="K2708" s="168"/>
      <c r="L2708" s="131"/>
      <c r="M2708" s="169"/>
    </row>
    <row r="2709" spans="1:13" x14ac:dyDescent="0.55000000000000004">
      <c r="A2709" s="111" t="s">
        <v>351</v>
      </c>
      <c r="B2709" s="168" t="s">
        <v>160</v>
      </c>
      <c r="C2709" s="168" t="s">
        <v>247</v>
      </c>
      <c r="D2709" s="168" t="s">
        <v>3288</v>
      </c>
      <c r="E2709" s="116">
        <f>0.00294+0.01323</f>
        <v>1.617E-2</v>
      </c>
      <c r="F2709" s="149" t="s">
        <v>135</v>
      </c>
      <c r="G2709" s="149" t="s">
        <v>135</v>
      </c>
      <c r="H2709" s="168" t="s">
        <v>413</v>
      </c>
      <c r="I2709" s="168" t="s">
        <v>2071</v>
      </c>
      <c r="J2709" s="77" t="str">
        <f t="shared" si="11"/>
        <v>[TIMES_SE] Electric Arc Furnace, stainless steel</v>
      </c>
      <c r="K2709" s="168"/>
      <c r="L2709" s="131"/>
      <c r="M2709" s="169"/>
    </row>
    <row r="2710" spans="1:13" x14ac:dyDescent="0.55000000000000004">
      <c r="A2710" s="111" t="s">
        <v>336</v>
      </c>
      <c r="B2710" s="168" t="s">
        <v>315</v>
      </c>
      <c r="C2710" s="168" t="s">
        <v>121</v>
      </c>
      <c r="D2710" s="168" t="s">
        <v>3288</v>
      </c>
      <c r="E2710" s="117">
        <v>1</v>
      </c>
      <c r="F2710" s="149" t="s">
        <v>135</v>
      </c>
      <c r="G2710" s="149">
        <v>1</v>
      </c>
      <c r="H2710" s="168" t="s">
        <v>39</v>
      </c>
      <c r="I2710" s="168"/>
      <c r="J2710" s="77" t="str">
        <f t="shared" si="11"/>
        <v>[TIMES_SE] Electrowinning</v>
      </c>
      <c r="K2710" s="168"/>
      <c r="L2710" s="131"/>
      <c r="M2710" s="169"/>
    </row>
    <row r="2711" spans="1:13" x14ac:dyDescent="0.55000000000000004">
      <c r="A2711" s="111" t="s">
        <v>336</v>
      </c>
      <c r="B2711" s="168" t="s">
        <v>316</v>
      </c>
      <c r="C2711" s="21" t="s">
        <v>125</v>
      </c>
      <c r="D2711" s="168" t="s">
        <v>3288</v>
      </c>
      <c r="E2711" s="117">
        <f>1/0.72</f>
        <v>1.3888888888888888</v>
      </c>
      <c r="F2711" s="149" t="s">
        <v>135</v>
      </c>
      <c r="G2711" s="149" t="s">
        <v>135</v>
      </c>
      <c r="H2711" s="168" t="s">
        <v>39</v>
      </c>
      <c r="I2711" s="168" t="s">
        <v>337</v>
      </c>
      <c r="J2711" s="77" t="str">
        <f t="shared" si="11"/>
        <v>[TIMES_SE] Electrowinning</v>
      </c>
      <c r="K2711" s="168"/>
      <c r="L2711" s="131"/>
      <c r="M2711" s="169"/>
    </row>
    <row r="2712" spans="1:13" x14ac:dyDescent="0.55000000000000004">
      <c r="A2712" s="111" t="s">
        <v>336</v>
      </c>
      <c r="B2712" s="168" t="s">
        <v>153</v>
      </c>
      <c r="C2712" s="168" t="s">
        <v>127</v>
      </c>
      <c r="D2712" s="168" t="s">
        <v>2994</v>
      </c>
      <c r="E2712" s="117">
        <v>7.24</v>
      </c>
      <c r="F2712" s="149" t="s">
        <v>138</v>
      </c>
      <c r="G2712" s="149" t="s">
        <v>135</v>
      </c>
      <c r="H2712" s="168" t="s">
        <v>39</v>
      </c>
      <c r="I2712" s="168"/>
      <c r="J2712" s="77" t="str">
        <f t="shared" si="11"/>
        <v>[TIMES_SE] Electrowinning</v>
      </c>
      <c r="K2712" s="168"/>
      <c r="L2712" s="131"/>
      <c r="M2712" s="169"/>
    </row>
    <row r="2713" spans="1:13" x14ac:dyDescent="0.55000000000000004">
      <c r="A2713" s="111" t="s">
        <v>336</v>
      </c>
      <c r="B2713" s="168" t="s">
        <v>160</v>
      </c>
      <c r="C2713" s="168" t="s">
        <v>247</v>
      </c>
      <c r="D2713" s="168" t="s">
        <v>3288</v>
      </c>
      <c r="E2713" s="119">
        <v>0</v>
      </c>
      <c r="F2713" s="149" t="s">
        <v>135</v>
      </c>
      <c r="G2713" s="149" t="s">
        <v>135</v>
      </c>
      <c r="H2713" s="126" t="s">
        <v>39</v>
      </c>
      <c r="I2713" s="168"/>
      <c r="J2713" s="77" t="str">
        <f t="shared" si="11"/>
        <v>[TIMES_SE] Electrowinning</v>
      </c>
      <c r="K2713" s="168"/>
      <c r="L2713" s="131"/>
      <c r="M2713" s="169"/>
    </row>
    <row r="2714" spans="1:13" x14ac:dyDescent="0.55000000000000004">
      <c r="A2714" s="111" t="s">
        <v>2083</v>
      </c>
      <c r="B2714" s="168" t="s">
        <v>354</v>
      </c>
      <c r="C2714" s="168" t="s">
        <v>121</v>
      </c>
      <c r="D2714" s="168" t="s">
        <v>3288</v>
      </c>
      <c r="E2714" s="116">
        <v>1</v>
      </c>
      <c r="F2714" s="149" t="s">
        <v>135</v>
      </c>
      <c r="G2714" s="149">
        <v>1</v>
      </c>
      <c r="H2714" s="68" t="s">
        <v>39</v>
      </c>
      <c r="I2714" s="168"/>
      <c r="J2714" s="77" t="str">
        <f t="shared" si="11"/>
        <v>[TIMES_SE] Ferrochrome arc furnace</v>
      </c>
      <c r="K2714" s="168"/>
      <c r="L2714" s="131"/>
      <c r="M2714" s="169"/>
    </row>
    <row r="2715" spans="1:13" x14ac:dyDescent="0.55000000000000004">
      <c r="A2715" s="111" t="s">
        <v>2083</v>
      </c>
      <c r="B2715" s="168" t="s">
        <v>357</v>
      </c>
      <c r="C2715" s="21" t="s">
        <v>125</v>
      </c>
      <c r="D2715" s="168" t="s">
        <v>3288</v>
      </c>
      <c r="E2715" s="116">
        <f>1/0.435</f>
        <v>2.2988505747126435</v>
      </c>
      <c r="F2715" s="149" t="s">
        <v>135</v>
      </c>
      <c r="G2715" s="149" t="s">
        <v>135</v>
      </c>
      <c r="H2715" s="68" t="s">
        <v>39</v>
      </c>
      <c r="I2715" s="168" t="s">
        <v>358</v>
      </c>
      <c r="J2715" s="77" t="str">
        <f t="shared" si="11"/>
        <v>[TIMES_SE] Ferrochrome arc furnace</v>
      </c>
      <c r="K2715" s="168"/>
      <c r="L2715" s="131"/>
      <c r="M2715" s="169"/>
    </row>
    <row r="2716" spans="1:13" x14ac:dyDescent="0.55000000000000004">
      <c r="A2716" s="111" t="s">
        <v>2083</v>
      </c>
      <c r="B2716" s="168" t="s">
        <v>293</v>
      </c>
      <c r="C2716" s="168" t="s">
        <v>294</v>
      </c>
      <c r="D2716" s="168" t="s">
        <v>2994</v>
      </c>
      <c r="E2716" s="116">
        <v>18.8</v>
      </c>
      <c r="F2716" s="149" t="s">
        <v>138</v>
      </c>
      <c r="G2716" s="149" t="s">
        <v>135</v>
      </c>
      <c r="H2716" s="68" t="s">
        <v>359</v>
      </c>
      <c r="I2716" s="168" t="s">
        <v>360</v>
      </c>
      <c r="J2716" s="77" t="str">
        <f t="shared" si="11"/>
        <v>[TIMES_SE] Ferrochrome arc furnace</v>
      </c>
      <c r="K2716" s="168"/>
      <c r="L2716" s="131"/>
      <c r="M2716" s="169"/>
    </row>
    <row r="2717" spans="1:13" x14ac:dyDescent="0.55000000000000004">
      <c r="A2717" s="111" t="s">
        <v>2083</v>
      </c>
      <c r="B2717" s="168" t="s">
        <v>297</v>
      </c>
      <c r="C2717" s="168" t="s">
        <v>294</v>
      </c>
      <c r="D2717" s="168" t="s">
        <v>2994</v>
      </c>
      <c r="E2717" s="116">
        <v>0</v>
      </c>
      <c r="F2717" s="149" t="s">
        <v>138</v>
      </c>
      <c r="G2717" s="149" t="s">
        <v>135</v>
      </c>
      <c r="H2717" s="68" t="s">
        <v>359</v>
      </c>
      <c r="I2717" s="168" t="s">
        <v>360</v>
      </c>
      <c r="J2717" s="77" t="str">
        <f t="shared" si="11"/>
        <v>[TIMES_SE] Ferrochrome arc furnace</v>
      </c>
      <c r="K2717" s="168"/>
      <c r="L2717" s="131"/>
      <c r="M2717" s="169"/>
    </row>
    <row r="2718" spans="1:13" x14ac:dyDescent="0.55000000000000004">
      <c r="A2718" s="111" t="s">
        <v>2083</v>
      </c>
      <c r="B2718" s="168" t="s">
        <v>153</v>
      </c>
      <c r="C2718" s="168" t="s">
        <v>127</v>
      </c>
      <c r="D2718" s="168" t="s">
        <v>2994</v>
      </c>
      <c r="E2718" s="116">
        <v>14.4</v>
      </c>
      <c r="F2718" s="149" t="s">
        <v>138</v>
      </c>
      <c r="G2718" s="149" t="s">
        <v>135</v>
      </c>
      <c r="H2718" s="68" t="s">
        <v>39</v>
      </c>
      <c r="I2718" s="168" t="s">
        <v>346</v>
      </c>
      <c r="J2718" s="77" t="str">
        <f t="shared" si="11"/>
        <v>[TIMES_SE] Ferrochrome arc furnace</v>
      </c>
      <c r="K2718" s="168"/>
      <c r="L2718" s="131"/>
      <c r="M2718" s="169"/>
    </row>
    <row r="2719" spans="1:13" x14ac:dyDescent="0.55000000000000004">
      <c r="A2719" s="111" t="s">
        <v>2083</v>
      </c>
      <c r="B2719" s="168" t="s">
        <v>262</v>
      </c>
      <c r="C2719" s="168" t="s">
        <v>348</v>
      </c>
      <c r="D2719" s="168" t="s">
        <v>2994</v>
      </c>
      <c r="E2719" s="116">
        <v>0.8</v>
      </c>
      <c r="F2719" s="149" t="s">
        <v>138</v>
      </c>
      <c r="G2719" s="149" t="s">
        <v>135</v>
      </c>
      <c r="H2719" s="68" t="s">
        <v>39</v>
      </c>
      <c r="I2719" s="168" t="s">
        <v>349</v>
      </c>
      <c r="J2719" s="77" t="str">
        <f t="shared" si="11"/>
        <v>[TIMES_SE] Ferrochrome arc furnace</v>
      </c>
      <c r="K2719" s="168"/>
      <c r="L2719" s="131"/>
      <c r="M2719" s="169"/>
    </row>
    <row r="2720" spans="1:13" x14ac:dyDescent="0.55000000000000004">
      <c r="A2720" s="111" t="s">
        <v>2083</v>
      </c>
      <c r="B2720" s="168" t="s">
        <v>160</v>
      </c>
      <c r="C2720" s="168" t="s">
        <v>247</v>
      </c>
      <c r="D2720" s="168" t="s">
        <v>3288</v>
      </c>
      <c r="E2720" s="116">
        <v>2.0209999999999999</v>
      </c>
      <c r="F2720" s="149" t="s">
        <v>135</v>
      </c>
      <c r="G2720" s="149" t="s">
        <v>135</v>
      </c>
      <c r="H2720" s="168" t="s">
        <v>376</v>
      </c>
      <c r="I2720" s="168" t="s">
        <v>2073</v>
      </c>
      <c r="J2720" s="77" t="str">
        <f t="shared" si="11"/>
        <v>[TIMES_SE] Ferrochrome arc furnace</v>
      </c>
      <c r="K2720" s="168"/>
      <c r="L2720" s="131"/>
      <c r="M2720" s="169"/>
    </row>
    <row r="2721" spans="1:13" x14ac:dyDescent="0.55000000000000004">
      <c r="A2721" s="111" t="s">
        <v>2083</v>
      </c>
      <c r="B2721" s="168" t="s">
        <v>160</v>
      </c>
      <c r="C2721" s="168" t="s">
        <v>247</v>
      </c>
      <c r="D2721" s="168" t="s">
        <v>3288</v>
      </c>
      <c r="E2721" s="116">
        <v>7.8400000000000011E-2</v>
      </c>
      <c r="F2721" s="149" t="s">
        <v>135</v>
      </c>
      <c r="G2721" s="149" t="s">
        <v>135</v>
      </c>
      <c r="H2721" s="168" t="s">
        <v>413</v>
      </c>
      <c r="I2721" s="168" t="s">
        <v>2072</v>
      </c>
      <c r="J2721" s="77" t="str">
        <f t="shared" si="11"/>
        <v>[TIMES_SE] Ferrochrome arc furnace</v>
      </c>
      <c r="K2721" s="168"/>
      <c r="L2721" s="131"/>
      <c r="M2721" s="169"/>
    </row>
    <row r="2722" spans="1:13" x14ac:dyDescent="0.55000000000000004">
      <c r="A2722" s="98" t="s">
        <v>232</v>
      </c>
      <c r="B2722" s="68" t="s">
        <v>216</v>
      </c>
      <c r="C2722" s="68" t="s">
        <v>121</v>
      </c>
      <c r="D2722" s="68" t="s">
        <v>3288</v>
      </c>
      <c r="E2722" s="120">
        <v>1</v>
      </c>
      <c r="F2722" s="151" t="s">
        <v>135</v>
      </c>
      <c r="G2722" s="151">
        <v>1</v>
      </c>
      <c r="H2722" s="68"/>
      <c r="I2722" s="168"/>
      <c r="J2722" s="74" t="str">
        <f t="shared" si="11"/>
        <v>[TIMES_SE] Kraft process</v>
      </c>
      <c r="K2722" s="168"/>
      <c r="L2722" s="163"/>
      <c r="M2722" s="169"/>
    </row>
    <row r="2723" spans="1:13" x14ac:dyDescent="0.55000000000000004">
      <c r="A2723" s="98" t="s">
        <v>232</v>
      </c>
      <c r="B2723" s="68" t="s">
        <v>233</v>
      </c>
      <c r="C2723" s="68" t="s">
        <v>156</v>
      </c>
      <c r="D2723" s="68" t="s">
        <v>2994</v>
      </c>
      <c r="E2723" s="120">
        <v>17.8</v>
      </c>
      <c r="F2723" s="151" t="s">
        <v>138</v>
      </c>
      <c r="G2723" s="151" t="s">
        <v>135</v>
      </c>
      <c r="H2723" s="68" t="s">
        <v>39</v>
      </c>
      <c r="I2723" s="168"/>
      <c r="J2723" s="74" t="str">
        <f t="shared" si="11"/>
        <v>[TIMES_SE] Kraft process</v>
      </c>
      <c r="K2723" s="168"/>
      <c r="L2723" s="163"/>
      <c r="M2723" s="169"/>
    </row>
    <row r="2724" spans="1:13" x14ac:dyDescent="0.55000000000000004">
      <c r="A2724" s="98" t="s">
        <v>232</v>
      </c>
      <c r="B2724" s="68" t="s">
        <v>234</v>
      </c>
      <c r="C2724" s="68" t="s">
        <v>156</v>
      </c>
      <c r="D2724" s="68" t="s">
        <v>2994</v>
      </c>
      <c r="E2724" s="120">
        <v>1.5</v>
      </c>
      <c r="F2724" s="151" t="s">
        <v>138</v>
      </c>
      <c r="G2724" s="151" t="s">
        <v>135</v>
      </c>
      <c r="H2724" s="68" t="s">
        <v>39</v>
      </c>
      <c r="I2724" s="168"/>
      <c r="J2724" s="74" t="str">
        <f t="shared" si="11"/>
        <v>[TIMES_SE] Kraft process</v>
      </c>
      <c r="K2724" s="168"/>
      <c r="L2724" s="163"/>
      <c r="M2724" s="169"/>
    </row>
    <row r="2725" spans="1:13" x14ac:dyDescent="0.55000000000000004">
      <c r="A2725" s="98" t="s">
        <v>232</v>
      </c>
      <c r="B2725" s="68" t="s">
        <v>230</v>
      </c>
      <c r="C2725" s="168" t="s">
        <v>231</v>
      </c>
      <c r="D2725" s="68" t="s">
        <v>3288</v>
      </c>
      <c r="E2725" s="120">
        <f>1/0.52</f>
        <v>1.9230769230769229</v>
      </c>
      <c r="F2725" s="151" t="s">
        <v>135</v>
      </c>
      <c r="G2725" s="151" t="s">
        <v>135</v>
      </c>
      <c r="H2725" s="68" t="s">
        <v>39</v>
      </c>
      <c r="I2725" s="168"/>
      <c r="J2725" s="74" t="str">
        <f t="shared" si="11"/>
        <v>[TIMES_SE] Kraft process</v>
      </c>
      <c r="K2725" s="168"/>
      <c r="L2725" s="163"/>
      <c r="M2725" s="169"/>
    </row>
    <row r="2726" spans="1:13" x14ac:dyDescent="0.55000000000000004">
      <c r="A2726" s="98" t="s">
        <v>232</v>
      </c>
      <c r="B2726" s="68" t="s">
        <v>170</v>
      </c>
      <c r="C2726" s="168" t="s">
        <v>207</v>
      </c>
      <c r="D2726" s="68" t="s">
        <v>3288</v>
      </c>
      <c r="E2726" s="120">
        <v>0.28399999999999997</v>
      </c>
      <c r="F2726" s="151" t="s">
        <v>135</v>
      </c>
      <c r="G2726" s="151" t="s">
        <v>135</v>
      </c>
      <c r="H2726" s="68" t="s">
        <v>39</v>
      </c>
      <c r="I2726" s="168"/>
      <c r="J2726" s="74" t="str">
        <f t="shared" si="11"/>
        <v>[TIMES_SE] Kraft process</v>
      </c>
      <c r="K2726" s="168"/>
      <c r="L2726" s="163"/>
      <c r="M2726" s="169"/>
    </row>
    <row r="2727" spans="1:13" x14ac:dyDescent="0.55000000000000004">
      <c r="A2727" s="98" t="s">
        <v>232</v>
      </c>
      <c r="B2727" s="68" t="s">
        <v>208</v>
      </c>
      <c r="C2727" s="68" t="s">
        <v>127</v>
      </c>
      <c r="D2727" s="68" t="s">
        <v>2994</v>
      </c>
      <c r="E2727" s="120">
        <v>6.8</v>
      </c>
      <c r="F2727" s="151" t="s">
        <v>138</v>
      </c>
      <c r="G2727" s="151" t="s">
        <v>135</v>
      </c>
      <c r="H2727" s="68" t="s">
        <v>39</v>
      </c>
      <c r="I2727" s="168"/>
      <c r="J2727" s="74" t="str">
        <f t="shared" si="11"/>
        <v>[TIMES_SE] Kraft process</v>
      </c>
      <c r="K2727" s="168"/>
      <c r="L2727" s="163"/>
      <c r="M2727" s="169"/>
    </row>
    <row r="2728" spans="1:13" x14ac:dyDescent="0.55000000000000004">
      <c r="A2728" s="98" t="s">
        <v>232</v>
      </c>
      <c r="B2728" s="68" t="s">
        <v>153</v>
      </c>
      <c r="C2728" s="68" t="s">
        <v>127</v>
      </c>
      <c r="D2728" s="68" t="s">
        <v>2994</v>
      </c>
      <c r="E2728" s="120">
        <v>1.7</v>
      </c>
      <c r="F2728" s="151" t="s">
        <v>138</v>
      </c>
      <c r="G2728" s="151" t="s">
        <v>135</v>
      </c>
      <c r="H2728" s="68" t="s">
        <v>39</v>
      </c>
      <c r="I2728" s="168"/>
      <c r="J2728" s="74" t="str">
        <f t="shared" si="11"/>
        <v>[TIMES_SE] Kraft process</v>
      </c>
      <c r="K2728" s="168"/>
      <c r="L2728" s="163"/>
      <c r="M2728" s="169"/>
    </row>
    <row r="2729" spans="1:13" x14ac:dyDescent="0.55000000000000004">
      <c r="A2729" s="98" t="s">
        <v>232</v>
      </c>
      <c r="B2729" s="68" t="s">
        <v>160</v>
      </c>
      <c r="C2729" s="168" t="s">
        <v>247</v>
      </c>
      <c r="D2729" s="68" t="s">
        <v>3288</v>
      </c>
      <c r="E2729" s="119">
        <v>0.35359999999999997</v>
      </c>
      <c r="F2729" s="151" t="s">
        <v>135</v>
      </c>
      <c r="G2729" s="151" t="s">
        <v>135</v>
      </c>
      <c r="H2729" s="68" t="s">
        <v>373</v>
      </c>
      <c r="I2729" s="168" t="s">
        <v>2012</v>
      </c>
      <c r="J2729" s="74" t="str">
        <f t="shared" ref="J2729:J2792" si="12">A2729</f>
        <v>[TIMES_SE] Kraft process</v>
      </c>
      <c r="K2729" s="168"/>
      <c r="L2729" s="163"/>
      <c r="M2729" s="169"/>
    </row>
    <row r="2730" spans="1:13" x14ac:dyDescent="0.55000000000000004">
      <c r="A2730" s="98" t="s">
        <v>228</v>
      </c>
      <c r="B2730" s="68" t="s">
        <v>229</v>
      </c>
      <c r="C2730" s="68" t="s">
        <v>121</v>
      </c>
      <c r="D2730" s="68" t="s">
        <v>3288</v>
      </c>
      <c r="E2730" s="120">
        <v>1</v>
      </c>
      <c r="F2730" s="151" t="s">
        <v>135</v>
      </c>
      <c r="G2730" s="151">
        <v>1</v>
      </c>
      <c r="H2730" s="68"/>
      <c r="I2730" s="168"/>
      <c r="J2730" s="74" t="str">
        <f t="shared" si="12"/>
        <v>[TIMES_SE] Mechanical pulping</v>
      </c>
      <c r="K2730" s="168"/>
      <c r="L2730" s="163"/>
      <c r="M2730" s="169"/>
    </row>
    <row r="2731" spans="1:13" x14ac:dyDescent="0.55000000000000004">
      <c r="A2731" s="98" t="s">
        <v>228</v>
      </c>
      <c r="B2731" s="21" t="s">
        <v>208</v>
      </c>
      <c r="C2731" s="68" t="s">
        <v>156</v>
      </c>
      <c r="D2731" s="68" t="s">
        <v>2994</v>
      </c>
      <c r="E2731" s="120">
        <v>2.7</v>
      </c>
      <c r="F2731" s="151" t="s">
        <v>138</v>
      </c>
      <c r="G2731" s="151" t="s">
        <v>135</v>
      </c>
      <c r="H2731" s="68" t="s">
        <v>39</v>
      </c>
      <c r="I2731" s="168"/>
      <c r="J2731" s="74" t="str">
        <f t="shared" si="12"/>
        <v>[TIMES_SE] Mechanical pulping</v>
      </c>
      <c r="K2731" s="168"/>
      <c r="L2731" s="163"/>
      <c r="M2731" s="169"/>
    </row>
    <row r="2732" spans="1:13" x14ac:dyDescent="0.55000000000000004">
      <c r="A2732" s="98" t="s">
        <v>228</v>
      </c>
      <c r="B2732" s="68" t="s">
        <v>230</v>
      </c>
      <c r="C2732" s="168" t="s">
        <v>231</v>
      </c>
      <c r="D2732" s="68" t="s">
        <v>3288</v>
      </c>
      <c r="E2732" s="120">
        <f>1/0.94</f>
        <v>1.0638297872340425</v>
      </c>
      <c r="F2732" s="151" t="s">
        <v>135</v>
      </c>
      <c r="G2732" s="151" t="s">
        <v>135</v>
      </c>
      <c r="H2732" s="68" t="s">
        <v>39</v>
      </c>
      <c r="I2732" s="168"/>
      <c r="J2732" s="74" t="str">
        <f t="shared" si="12"/>
        <v>[TIMES_SE] Mechanical pulping</v>
      </c>
      <c r="K2732" s="168"/>
      <c r="L2732" s="163"/>
      <c r="M2732" s="169"/>
    </row>
    <row r="2733" spans="1:13" x14ac:dyDescent="0.55000000000000004">
      <c r="A2733" s="98" t="s">
        <v>228</v>
      </c>
      <c r="B2733" s="68" t="s">
        <v>153</v>
      </c>
      <c r="C2733" s="68" t="s">
        <v>127</v>
      </c>
      <c r="D2733" s="68" t="s">
        <v>2994</v>
      </c>
      <c r="E2733" s="120">
        <v>8.5</v>
      </c>
      <c r="F2733" s="151" t="s">
        <v>138</v>
      </c>
      <c r="G2733" s="151" t="s">
        <v>135</v>
      </c>
      <c r="H2733" s="68" t="s">
        <v>39</v>
      </c>
      <c r="I2733" s="168"/>
      <c r="J2733" s="74" t="str">
        <f t="shared" si="12"/>
        <v>[TIMES_SE] Mechanical pulping</v>
      </c>
      <c r="K2733" s="168"/>
      <c r="L2733" s="163"/>
      <c r="M2733" s="169"/>
    </row>
    <row r="2734" spans="1:13" x14ac:dyDescent="0.55000000000000004">
      <c r="A2734" s="98" t="s">
        <v>228</v>
      </c>
      <c r="B2734" s="68" t="s">
        <v>160</v>
      </c>
      <c r="C2734" s="168" t="s">
        <v>247</v>
      </c>
      <c r="D2734" s="68" t="s">
        <v>3288</v>
      </c>
      <c r="E2734" s="119">
        <v>0</v>
      </c>
      <c r="F2734" s="151" t="s">
        <v>135</v>
      </c>
      <c r="G2734" s="151" t="s">
        <v>135</v>
      </c>
      <c r="H2734" s="68" t="s">
        <v>39</v>
      </c>
      <c r="I2734" s="168"/>
      <c r="J2734" s="74" t="str">
        <f t="shared" si="12"/>
        <v>[TIMES_SE] Mechanical pulping</v>
      </c>
      <c r="K2734" s="168"/>
      <c r="L2734" s="163"/>
      <c r="M2734" s="169"/>
    </row>
    <row r="2735" spans="1:13" x14ac:dyDescent="0.55000000000000004">
      <c r="A2735" s="94" t="s">
        <v>284</v>
      </c>
      <c r="B2735" s="68" t="s">
        <v>213</v>
      </c>
      <c r="C2735" s="68" t="s">
        <v>121</v>
      </c>
      <c r="D2735" s="68" t="s">
        <v>3289</v>
      </c>
      <c r="E2735" s="120">
        <v>1</v>
      </c>
      <c r="F2735" s="151" t="s">
        <v>133</v>
      </c>
      <c r="G2735" s="151">
        <v>1</v>
      </c>
      <c r="H2735" s="68" t="s">
        <v>39</v>
      </c>
      <c r="I2735" s="168" t="s">
        <v>285</v>
      </c>
      <c r="J2735" s="74" t="str">
        <f t="shared" si="12"/>
        <v>[TIMES_SE] oxygen supply</v>
      </c>
      <c r="K2735" s="168"/>
      <c r="L2735" s="163"/>
      <c r="M2735" s="169"/>
    </row>
    <row r="2736" spans="1:13" x14ac:dyDescent="0.55000000000000004">
      <c r="A2736" s="94" t="s">
        <v>284</v>
      </c>
      <c r="B2736" s="68" t="s">
        <v>153</v>
      </c>
      <c r="C2736" s="68" t="s">
        <v>127</v>
      </c>
      <c r="D2736" s="68" t="s">
        <v>2994</v>
      </c>
      <c r="E2736" s="120">
        <v>2E-3</v>
      </c>
      <c r="F2736" s="151" t="s">
        <v>138</v>
      </c>
      <c r="G2736" s="151">
        <v>1</v>
      </c>
      <c r="H2736" s="68" t="s">
        <v>39</v>
      </c>
      <c r="I2736" s="168"/>
      <c r="J2736" s="74" t="str">
        <f t="shared" si="12"/>
        <v>[TIMES_SE] oxygen supply</v>
      </c>
      <c r="K2736" s="168"/>
      <c r="L2736" s="163"/>
      <c r="M2736" s="169"/>
    </row>
    <row r="2737" spans="1:13" x14ac:dyDescent="0.55000000000000004">
      <c r="A2737" s="94" t="s">
        <v>284</v>
      </c>
      <c r="B2737" s="68" t="s">
        <v>160</v>
      </c>
      <c r="C2737" s="168" t="s">
        <v>247</v>
      </c>
      <c r="D2737" s="68" t="s">
        <v>3288</v>
      </c>
      <c r="E2737" s="119">
        <v>0</v>
      </c>
      <c r="F2737" s="151" t="s">
        <v>135</v>
      </c>
      <c r="G2737" s="151" t="s">
        <v>135</v>
      </c>
      <c r="H2737" s="68" t="s">
        <v>39</v>
      </c>
      <c r="I2737" s="168"/>
      <c r="J2737" s="74" t="str">
        <f t="shared" si="12"/>
        <v>[TIMES_SE] oxygen supply</v>
      </c>
      <c r="K2737" s="168"/>
      <c r="L2737" s="163"/>
      <c r="M2737" s="169"/>
    </row>
    <row r="2738" spans="1:13" x14ac:dyDescent="0.55000000000000004">
      <c r="A2738" s="98" t="s">
        <v>227</v>
      </c>
      <c r="B2738" s="68" t="s">
        <v>215</v>
      </c>
      <c r="C2738" s="68" t="s">
        <v>121</v>
      </c>
      <c r="D2738" s="68" t="s">
        <v>3288</v>
      </c>
      <c r="E2738" s="120">
        <v>1</v>
      </c>
      <c r="F2738" s="151" t="s">
        <v>135</v>
      </c>
      <c r="G2738" s="151">
        <v>1</v>
      </c>
      <c r="H2738" s="68"/>
      <c r="I2738" s="168"/>
      <c r="J2738" s="74" t="str">
        <f t="shared" si="12"/>
        <v>[TIMES_SE] Paper mill, graphical - air impingement</v>
      </c>
      <c r="K2738" s="168"/>
      <c r="L2738" s="163"/>
      <c r="M2738" s="169"/>
    </row>
    <row r="2739" spans="1:13" x14ac:dyDescent="0.55000000000000004">
      <c r="A2739" s="98" t="s">
        <v>227</v>
      </c>
      <c r="B2739" s="68" t="s">
        <v>216</v>
      </c>
      <c r="C2739" s="168" t="s">
        <v>207</v>
      </c>
      <c r="D2739" s="68" t="s">
        <v>3288</v>
      </c>
      <c r="E2739" s="120">
        <v>0.7</v>
      </c>
      <c r="F2739" s="151" t="s">
        <v>135</v>
      </c>
      <c r="G2739" s="151" t="s">
        <v>135</v>
      </c>
      <c r="H2739" s="68" t="s">
        <v>39</v>
      </c>
      <c r="I2739" s="168"/>
      <c r="J2739" s="74" t="str">
        <f t="shared" si="12"/>
        <v>[TIMES_SE] Paper mill, graphical - air impingement</v>
      </c>
      <c r="K2739" s="168"/>
      <c r="L2739" s="163"/>
      <c r="M2739" s="169"/>
    </row>
    <row r="2740" spans="1:13" x14ac:dyDescent="0.55000000000000004">
      <c r="A2740" s="98" t="s">
        <v>227</v>
      </c>
      <c r="B2740" s="68" t="s">
        <v>222</v>
      </c>
      <c r="C2740" s="168" t="s">
        <v>207</v>
      </c>
      <c r="D2740" s="68" t="s">
        <v>3288</v>
      </c>
      <c r="E2740" s="120">
        <v>0.3</v>
      </c>
      <c r="F2740" s="151" t="s">
        <v>135</v>
      </c>
      <c r="G2740" s="151" t="s">
        <v>135</v>
      </c>
      <c r="H2740" s="68" t="s">
        <v>39</v>
      </c>
      <c r="I2740" s="168"/>
      <c r="J2740" s="74" t="str">
        <f t="shared" si="12"/>
        <v>[TIMES_SE] Paper mill, graphical - air impingement</v>
      </c>
      <c r="K2740" s="168"/>
      <c r="L2740" s="163"/>
      <c r="M2740" s="169"/>
    </row>
    <row r="2741" spans="1:13" x14ac:dyDescent="0.55000000000000004">
      <c r="A2741" s="98" t="s">
        <v>227</v>
      </c>
      <c r="B2741" s="68" t="s">
        <v>171</v>
      </c>
      <c r="C2741" s="68" t="s">
        <v>127</v>
      </c>
      <c r="D2741" s="68" t="s">
        <v>2994</v>
      </c>
      <c r="E2741" s="120">
        <v>1.994</v>
      </c>
      <c r="F2741" s="151" t="s">
        <v>138</v>
      </c>
      <c r="G2741" s="151" t="s">
        <v>135</v>
      </c>
      <c r="H2741" s="68" t="s">
        <v>2029</v>
      </c>
      <c r="I2741" s="168" t="s">
        <v>2028</v>
      </c>
      <c r="J2741" s="74" t="str">
        <f t="shared" si="12"/>
        <v>[TIMES_SE] Paper mill, graphical - air impingement</v>
      </c>
      <c r="K2741" s="168"/>
      <c r="L2741" s="163"/>
      <c r="M2741" s="169"/>
    </row>
    <row r="2742" spans="1:13" x14ac:dyDescent="0.55000000000000004">
      <c r="A2742" s="98" t="s">
        <v>227</v>
      </c>
      <c r="B2742" s="68" t="s">
        <v>153</v>
      </c>
      <c r="C2742" s="68" t="s">
        <v>127</v>
      </c>
      <c r="D2742" s="68" t="s">
        <v>2994</v>
      </c>
      <c r="E2742" s="120">
        <v>2.27</v>
      </c>
      <c r="F2742" s="151" t="s">
        <v>138</v>
      </c>
      <c r="G2742" s="151" t="s">
        <v>135</v>
      </c>
      <c r="H2742" s="68" t="s">
        <v>2030</v>
      </c>
      <c r="I2742" s="168" t="s">
        <v>2028</v>
      </c>
      <c r="J2742" s="74" t="str">
        <f t="shared" si="12"/>
        <v>[TIMES_SE] Paper mill, graphical - air impingement</v>
      </c>
      <c r="K2742" s="168"/>
      <c r="L2742" s="163"/>
      <c r="M2742" s="169"/>
    </row>
    <row r="2743" spans="1:13" x14ac:dyDescent="0.55000000000000004">
      <c r="A2743" s="98" t="s">
        <v>227</v>
      </c>
      <c r="B2743" s="68" t="s">
        <v>208</v>
      </c>
      <c r="C2743" s="68" t="s">
        <v>127</v>
      </c>
      <c r="D2743" s="68" t="s">
        <v>2994</v>
      </c>
      <c r="E2743" s="120">
        <v>2.95</v>
      </c>
      <c r="F2743" s="151" t="s">
        <v>138</v>
      </c>
      <c r="G2743" s="151" t="s">
        <v>135</v>
      </c>
      <c r="H2743" s="68" t="s">
        <v>39</v>
      </c>
      <c r="I2743" s="168"/>
      <c r="J2743" s="74" t="str">
        <f t="shared" si="12"/>
        <v>[TIMES_SE] Paper mill, graphical - air impingement</v>
      </c>
      <c r="K2743" s="168"/>
      <c r="L2743" s="163"/>
      <c r="M2743" s="169"/>
    </row>
    <row r="2744" spans="1:13" x14ac:dyDescent="0.55000000000000004">
      <c r="A2744" s="98" t="s">
        <v>227</v>
      </c>
      <c r="B2744" s="68" t="s">
        <v>1183</v>
      </c>
      <c r="C2744" s="61" t="s">
        <v>156</v>
      </c>
      <c r="D2744" s="68" t="s">
        <v>2994</v>
      </c>
      <c r="E2744" s="120">
        <v>1.78</v>
      </c>
      <c r="F2744" s="151" t="s">
        <v>138</v>
      </c>
      <c r="G2744" s="151" t="s">
        <v>135</v>
      </c>
      <c r="H2744" s="68" t="s">
        <v>39</v>
      </c>
      <c r="I2744" s="168"/>
      <c r="J2744" s="74" t="str">
        <f t="shared" si="12"/>
        <v>[TIMES_SE] Paper mill, graphical - air impingement</v>
      </c>
      <c r="K2744" s="168"/>
      <c r="L2744" s="163"/>
      <c r="M2744" s="169"/>
    </row>
    <row r="2745" spans="1:13" x14ac:dyDescent="0.55000000000000004">
      <c r="A2745" s="98" t="s">
        <v>227</v>
      </c>
      <c r="B2745" s="68" t="s">
        <v>160</v>
      </c>
      <c r="C2745" s="168" t="s">
        <v>247</v>
      </c>
      <c r="D2745" s="68" t="s">
        <v>3288</v>
      </c>
      <c r="E2745" s="119">
        <v>0.1118634</v>
      </c>
      <c r="F2745" s="151" t="s">
        <v>135</v>
      </c>
      <c r="G2745" s="151" t="s">
        <v>135</v>
      </c>
      <c r="H2745" s="68" t="s">
        <v>376</v>
      </c>
      <c r="I2745" s="168" t="s">
        <v>2013</v>
      </c>
      <c r="J2745" s="74" t="str">
        <f t="shared" si="12"/>
        <v>[TIMES_SE] Paper mill, graphical - air impingement</v>
      </c>
      <c r="K2745" s="168"/>
      <c r="L2745" s="163"/>
      <c r="M2745" s="169"/>
    </row>
    <row r="2746" spans="1:13" x14ac:dyDescent="0.55000000000000004">
      <c r="A2746" s="98" t="s">
        <v>227</v>
      </c>
      <c r="B2746" s="68" t="s">
        <v>160</v>
      </c>
      <c r="C2746" s="168" t="s">
        <v>247</v>
      </c>
      <c r="D2746" s="68" t="s">
        <v>3288</v>
      </c>
      <c r="E2746" s="119">
        <v>0.15340000000000001</v>
      </c>
      <c r="F2746" s="151" t="s">
        <v>135</v>
      </c>
      <c r="G2746" s="151" t="s">
        <v>135</v>
      </c>
      <c r="H2746" s="68" t="s">
        <v>373</v>
      </c>
      <c r="I2746" s="168" t="s">
        <v>2012</v>
      </c>
      <c r="J2746" s="74" t="str">
        <f t="shared" si="12"/>
        <v>[TIMES_SE] Paper mill, graphical - air impingement</v>
      </c>
      <c r="K2746" s="168"/>
      <c r="L2746" s="163"/>
      <c r="M2746" s="169"/>
    </row>
    <row r="2747" spans="1:13" x14ac:dyDescent="0.55000000000000004">
      <c r="A2747" s="98" t="s">
        <v>226</v>
      </c>
      <c r="B2747" s="68" t="s">
        <v>215</v>
      </c>
      <c r="C2747" s="68" t="s">
        <v>121</v>
      </c>
      <c r="D2747" s="68" t="s">
        <v>3288</v>
      </c>
      <c r="E2747" s="120">
        <v>1</v>
      </c>
      <c r="F2747" s="151" t="s">
        <v>135</v>
      </c>
      <c r="G2747" s="151">
        <v>1</v>
      </c>
      <c r="H2747" s="68"/>
      <c r="I2747" s="168"/>
      <c r="J2747" s="74" t="str">
        <f t="shared" si="12"/>
        <v>[TIMES_SE] Paper mill, graphical - airless</v>
      </c>
      <c r="K2747" s="168"/>
      <c r="L2747" s="163"/>
      <c r="M2747" s="169"/>
    </row>
    <row r="2748" spans="1:13" x14ac:dyDescent="0.55000000000000004">
      <c r="A2748" s="98" t="s">
        <v>226</v>
      </c>
      <c r="B2748" s="68" t="s">
        <v>216</v>
      </c>
      <c r="C2748" s="168" t="s">
        <v>207</v>
      </c>
      <c r="D2748" s="68" t="s">
        <v>3288</v>
      </c>
      <c r="E2748" s="120">
        <v>0.7</v>
      </c>
      <c r="F2748" s="151" t="s">
        <v>135</v>
      </c>
      <c r="G2748" s="151" t="s">
        <v>135</v>
      </c>
      <c r="H2748" s="68" t="s">
        <v>39</v>
      </c>
      <c r="I2748" s="168"/>
      <c r="J2748" s="74" t="str">
        <f t="shared" si="12"/>
        <v>[TIMES_SE] Paper mill, graphical - airless</v>
      </c>
      <c r="K2748" s="168"/>
      <c r="L2748" s="163"/>
      <c r="M2748" s="169"/>
    </row>
    <row r="2749" spans="1:13" x14ac:dyDescent="0.55000000000000004">
      <c r="A2749" s="98" t="s">
        <v>226</v>
      </c>
      <c r="B2749" s="68" t="s">
        <v>222</v>
      </c>
      <c r="C2749" s="168" t="s">
        <v>207</v>
      </c>
      <c r="D2749" s="68" t="s">
        <v>3288</v>
      </c>
      <c r="E2749" s="120">
        <v>0.3</v>
      </c>
      <c r="F2749" s="151" t="s">
        <v>135</v>
      </c>
      <c r="G2749" s="151" t="s">
        <v>135</v>
      </c>
      <c r="H2749" s="68" t="s">
        <v>39</v>
      </c>
      <c r="I2749" s="168"/>
      <c r="J2749" s="74" t="str">
        <f t="shared" si="12"/>
        <v>[TIMES_SE] Paper mill, graphical - airless</v>
      </c>
      <c r="K2749" s="168"/>
      <c r="L2749" s="163"/>
      <c r="M2749" s="169"/>
    </row>
    <row r="2750" spans="1:13" x14ac:dyDescent="0.55000000000000004">
      <c r="A2750" s="98" t="s">
        <v>226</v>
      </c>
      <c r="B2750" s="68" t="s">
        <v>171</v>
      </c>
      <c r="C2750" s="68" t="s">
        <v>127</v>
      </c>
      <c r="D2750" s="68" t="s">
        <v>2994</v>
      </c>
      <c r="E2750" s="120">
        <v>0.23</v>
      </c>
      <c r="F2750" s="151" t="s">
        <v>138</v>
      </c>
      <c r="G2750" s="151" t="s">
        <v>135</v>
      </c>
      <c r="H2750" s="68" t="s">
        <v>2020</v>
      </c>
      <c r="I2750" s="168" t="s">
        <v>2026</v>
      </c>
      <c r="J2750" s="74" t="str">
        <f t="shared" si="12"/>
        <v>[TIMES_SE] Paper mill, graphical - airless</v>
      </c>
      <c r="K2750" s="168"/>
      <c r="L2750" s="163"/>
      <c r="M2750" s="169"/>
    </row>
    <row r="2751" spans="1:13" x14ac:dyDescent="0.55000000000000004">
      <c r="A2751" s="98" t="s">
        <v>226</v>
      </c>
      <c r="B2751" s="68" t="s">
        <v>153</v>
      </c>
      <c r="C2751" s="68" t="s">
        <v>127</v>
      </c>
      <c r="D2751" s="68" t="s">
        <v>2994</v>
      </c>
      <c r="E2751" s="120">
        <v>2.59</v>
      </c>
      <c r="F2751" s="151" t="s">
        <v>138</v>
      </c>
      <c r="G2751" s="151" t="s">
        <v>135</v>
      </c>
      <c r="H2751" s="68" t="s">
        <v>2027</v>
      </c>
      <c r="I2751" s="168" t="s">
        <v>2026</v>
      </c>
      <c r="J2751" s="74" t="str">
        <f t="shared" si="12"/>
        <v>[TIMES_SE] Paper mill, graphical - airless</v>
      </c>
      <c r="K2751" s="168"/>
      <c r="L2751" s="163"/>
      <c r="M2751" s="169"/>
    </row>
    <row r="2752" spans="1:13" x14ac:dyDescent="0.55000000000000004">
      <c r="A2752" s="98" t="s">
        <v>226</v>
      </c>
      <c r="B2752" s="68" t="s">
        <v>208</v>
      </c>
      <c r="C2752" s="68" t="s">
        <v>127</v>
      </c>
      <c r="D2752" s="68" t="s">
        <v>2994</v>
      </c>
      <c r="E2752" s="120">
        <v>0.96</v>
      </c>
      <c r="F2752" s="151" t="s">
        <v>138</v>
      </c>
      <c r="G2752" s="151" t="s">
        <v>135</v>
      </c>
      <c r="H2752" s="68" t="s">
        <v>39</v>
      </c>
      <c r="I2752" s="168"/>
      <c r="J2752" s="74" t="str">
        <f t="shared" si="12"/>
        <v>[TIMES_SE] Paper mill, graphical - airless</v>
      </c>
      <c r="K2752" s="168"/>
      <c r="L2752" s="163"/>
      <c r="M2752" s="169"/>
    </row>
    <row r="2753" spans="1:13" x14ac:dyDescent="0.55000000000000004">
      <c r="A2753" s="98" t="s">
        <v>226</v>
      </c>
      <c r="B2753" s="68" t="s">
        <v>1183</v>
      </c>
      <c r="C2753" s="61" t="s">
        <v>156</v>
      </c>
      <c r="D2753" s="68" t="s">
        <v>2994</v>
      </c>
      <c r="E2753" s="120">
        <v>0</v>
      </c>
      <c r="F2753" s="151" t="s">
        <v>138</v>
      </c>
      <c r="G2753" s="151" t="s">
        <v>135</v>
      </c>
      <c r="H2753" s="68" t="s">
        <v>39</v>
      </c>
      <c r="I2753" s="168"/>
      <c r="J2753" s="74" t="str">
        <f t="shared" si="12"/>
        <v>[TIMES_SE] Paper mill, graphical - airless</v>
      </c>
      <c r="K2753" s="168"/>
      <c r="L2753" s="163"/>
      <c r="M2753" s="169"/>
    </row>
    <row r="2754" spans="1:13" x14ac:dyDescent="0.55000000000000004">
      <c r="A2754" s="98" t="s">
        <v>226</v>
      </c>
      <c r="B2754" s="68" t="s">
        <v>160</v>
      </c>
      <c r="C2754" s="168" t="s">
        <v>247</v>
      </c>
      <c r="D2754" s="68" t="s">
        <v>3288</v>
      </c>
      <c r="E2754" s="119">
        <v>1.2903000000000001E-2</v>
      </c>
      <c r="F2754" s="151" t="s">
        <v>135</v>
      </c>
      <c r="G2754" s="151" t="s">
        <v>135</v>
      </c>
      <c r="H2754" s="127" t="s">
        <v>376</v>
      </c>
      <c r="I2754" s="168" t="s">
        <v>2013</v>
      </c>
      <c r="J2754" s="74" t="str">
        <f t="shared" si="12"/>
        <v>[TIMES_SE] Paper mill, graphical - airless</v>
      </c>
      <c r="K2754" s="168"/>
      <c r="L2754" s="163"/>
      <c r="M2754" s="169"/>
    </row>
    <row r="2755" spans="1:13" x14ac:dyDescent="0.55000000000000004">
      <c r="A2755" s="98" t="s">
        <v>226</v>
      </c>
      <c r="B2755" s="68" t="s">
        <v>160</v>
      </c>
      <c r="C2755" s="168" t="s">
        <v>247</v>
      </c>
      <c r="D2755" s="68" t="s">
        <v>3288</v>
      </c>
      <c r="E2755" s="119">
        <v>4.9919999999999999E-2</v>
      </c>
      <c r="F2755" s="151" t="s">
        <v>135</v>
      </c>
      <c r="G2755" s="151" t="s">
        <v>135</v>
      </c>
      <c r="H2755" s="127" t="s">
        <v>373</v>
      </c>
      <c r="I2755" s="168" t="s">
        <v>2012</v>
      </c>
      <c r="J2755" s="74" t="str">
        <f t="shared" si="12"/>
        <v>[TIMES_SE] Paper mill, graphical - airless</v>
      </c>
      <c r="K2755" s="168"/>
      <c r="L2755" s="163"/>
      <c r="M2755" s="169"/>
    </row>
    <row r="2756" spans="1:13" x14ac:dyDescent="0.55000000000000004">
      <c r="A2756" s="98" t="s">
        <v>225</v>
      </c>
      <c r="B2756" s="68" t="s">
        <v>215</v>
      </c>
      <c r="C2756" s="68" t="s">
        <v>121</v>
      </c>
      <c r="D2756" s="68" t="s">
        <v>3288</v>
      </c>
      <c r="E2756" s="120">
        <v>1</v>
      </c>
      <c r="F2756" s="151" t="s">
        <v>135</v>
      </c>
      <c r="G2756" s="151">
        <v>1</v>
      </c>
      <c r="H2756" s="68"/>
      <c r="I2756" s="168"/>
      <c r="J2756" s="74" t="str">
        <f t="shared" si="12"/>
        <v>[TIMES_SE] Paper mill, graphical - condebelt</v>
      </c>
      <c r="K2756" s="168"/>
      <c r="L2756" s="163"/>
      <c r="M2756" s="169"/>
    </row>
    <row r="2757" spans="1:13" x14ac:dyDescent="0.55000000000000004">
      <c r="A2757" s="98" t="s">
        <v>225</v>
      </c>
      <c r="B2757" s="68" t="s">
        <v>216</v>
      </c>
      <c r="C2757" s="168" t="s">
        <v>207</v>
      </c>
      <c r="D2757" s="68" t="s">
        <v>3288</v>
      </c>
      <c r="E2757" s="120">
        <v>0.7</v>
      </c>
      <c r="F2757" s="151" t="s">
        <v>135</v>
      </c>
      <c r="G2757" s="151" t="s">
        <v>135</v>
      </c>
      <c r="H2757" s="68" t="s">
        <v>39</v>
      </c>
      <c r="I2757" s="168"/>
      <c r="J2757" s="74" t="str">
        <f t="shared" si="12"/>
        <v>[TIMES_SE] Paper mill, graphical - condebelt</v>
      </c>
      <c r="K2757" s="168"/>
      <c r="L2757" s="163"/>
      <c r="M2757" s="169"/>
    </row>
    <row r="2758" spans="1:13" x14ac:dyDescent="0.55000000000000004">
      <c r="A2758" s="98" t="s">
        <v>225</v>
      </c>
      <c r="B2758" s="68" t="s">
        <v>222</v>
      </c>
      <c r="C2758" s="168" t="s">
        <v>207</v>
      </c>
      <c r="D2758" s="68" t="s">
        <v>3288</v>
      </c>
      <c r="E2758" s="120">
        <v>0.3</v>
      </c>
      <c r="F2758" s="151" t="s">
        <v>135</v>
      </c>
      <c r="G2758" s="151" t="s">
        <v>135</v>
      </c>
      <c r="H2758" s="68" t="s">
        <v>39</v>
      </c>
      <c r="I2758" s="168"/>
      <c r="J2758" s="74" t="str">
        <f t="shared" si="12"/>
        <v>[TIMES_SE] Paper mill, graphical - condebelt</v>
      </c>
      <c r="K2758" s="168"/>
      <c r="L2758" s="163"/>
      <c r="M2758" s="169"/>
    </row>
    <row r="2759" spans="1:13" x14ac:dyDescent="0.55000000000000004">
      <c r="A2759" s="98" t="s">
        <v>225</v>
      </c>
      <c r="B2759" s="68" t="s">
        <v>171</v>
      </c>
      <c r="C2759" s="68" t="s">
        <v>127</v>
      </c>
      <c r="D2759" s="68" t="s">
        <v>2994</v>
      </c>
      <c r="E2759" s="120">
        <v>0.23</v>
      </c>
      <c r="F2759" s="151" t="s">
        <v>138</v>
      </c>
      <c r="G2759" s="151" t="s">
        <v>135</v>
      </c>
      <c r="H2759" s="68" t="s">
        <v>2020</v>
      </c>
      <c r="I2759" s="168" t="s">
        <v>2024</v>
      </c>
      <c r="J2759" s="74" t="str">
        <f t="shared" si="12"/>
        <v>[TIMES_SE] Paper mill, graphical - condebelt</v>
      </c>
      <c r="K2759" s="168"/>
      <c r="L2759" s="163"/>
      <c r="M2759" s="169"/>
    </row>
    <row r="2760" spans="1:13" x14ac:dyDescent="0.55000000000000004">
      <c r="A2760" s="98" t="s">
        <v>225</v>
      </c>
      <c r="B2760" s="68" t="s">
        <v>153</v>
      </c>
      <c r="C2760" s="68" t="s">
        <v>127</v>
      </c>
      <c r="D2760" s="68" t="s">
        <v>2994</v>
      </c>
      <c r="E2760" s="120">
        <v>2.16</v>
      </c>
      <c r="F2760" s="151" t="s">
        <v>138</v>
      </c>
      <c r="G2760" s="151" t="s">
        <v>135</v>
      </c>
      <c r="H2760" s="68" t="s">
        <v>2025</v>
      </c>
      <c r="I2760" s="168" t="s">
        <v>2024</v>
      </c>
      <c r="J2760" s="74" t="str">
        <f t="shared" si="12"/>
        <v>[TIMES_SE] Paper mill, graphical - condebelt</v>
      </c>
      <c r="K2760" s="168"/>
      <c r="L2760" s="163"/>
      <c r="M2760" s="169"/>
    </row>
    <row r="2761" spans="1:13" x14ac:dyDescent="0.55000000000000004">
      <c r="A2761" s="98" t="s">
        <v>225</v>
      </c>
      <c r="B2761" s="68" t="s">
        <v>208</v>
      </c>
      <c r="C2761" s="68" t="s">
        <v>127</v>
      </c>
      <c r="D2761" s="68" t="s">
        <v>2994</v>
      </c>
      <c r="E2761" s="120">
        <v>4.08</v>
      </c>
      <c r="F2761" s="151" t="s">
        <v>138</v>
      </c>
      <c r="G2761" s="151" t="s">
        <v>135</v>
      </c>
      <c r="H2761" s="68" t="s">
        <v>39</v>
      </c>
      <c r="I2761" s="168"/>
      <c r="J2761" s="74" t="str">
        <f t="shared" si="12"/>
        <v>[TIMES_SE] Paper mill, graphical - condebelt</v>
      </c>
      <c r="K2761" s="168"/>
      <c r="L2761" s="163"/>
      <c r="M2761" s="169"/>
    </row>
    <row r="2762" spans="1:13" x14ac:dyDescent="0.55000000000000004">
      <c r="A2762" s="98" t="s">
        <v>225</v>
      </c>
      <c r="B2762" s="68" t="s">
        <v>1183</v>
      </c>
      <c r="C2762" s="61" t="s">
        <v>156</v>
      </c>
      <c r="D2762" s="68" t="s">
        <v>2994</v>
      </c>
      <c r="E2762" s="120">
        <v>2.31</v>
      </c>
      <c r="F2762" s="151" t="s">
        <v>138</v>
      </c>
      <c r="G2762" s="151" t="s">
        <v>135</v>
      </c>
      <c r="H2762" s="68" t="s">
        <v>39</v>
      </c>
      <c r="I2762" s="168"/>
      <c r="J2762" s="74" t="str">
        <f t="shared" si="12"/>
        <v>[TIMES_SE] Paper mill, graphical - condebelt</v>
      </c>
      <c r="K2762" s="168"/>
      <c r="L2762" s="163"/>
      <c r="M2762" s="169"/>
    </row>
    <row r="2763" spans="1:13" x14ac:dyDescent="0.55000000000000004">
      <c r="A2763" s="98" t="s">
        <v>225</v>
      </c>
      <c r="B2763" s="68" t="s">
        <v>160</v>
      </c>
      <c r="C2763" s="168" t="s">
        <v>247</v>
      </c>
      <c r="D2763" s="68" t="s">
        <v>3288</v>
      </c>
      <c r="E2763" s="119">
        <v>1.2903000000000001E-2</v>
      </c>
      <c r="F2763" s="151" t="s">
        <v>135</v>
      </c>
      <c r="G2763" s="151" t="s">
        <v>135</v>
      </c>
      <c r="H2763" s="127" t="s">
        <v>376</v>
      </c>
      <c r="I2763" s="168" t="s">
        <v>2013</v>
      </c>
      <c r="J2763" s="74" t="str">
        <f t="shared" si="12"/>
        <v>[TIMES_SE] Paper mill, graphical - condebelt</v>
      </c>
      <c r="K2763" s="168"/>
      <c r="L2763" s="163"/>
      <c r="M2763" s="169"/>
    </row>
    <row r="2764" spans="1:13" x14ac:dyDescent="0.55000000000000004">
      <c r="A2764" s="98" t="s">
        <v>225</v>
      </c>
      <c r="B2764" s="68" t="s">
        <v>160</v>
      </c>
      <c r="C2764" s="168" t="s">
        <v>247</v>
      </c>
      <c r="D2764" s="68" t="s">
        <v>3288</v>
      </c>
      <c r="E2764" s="119">
        <v>0.21215999999999999</v>
      </c>
      <c r="F2764" s="151" t="s">
        <v>135</v>
      </c>
      <c r="G2764" s="151" t="s">
        <v>135</v>
      </c>
      <c r="H2764" s="127" t="s">
        <v>373</v>
      </c>
      <c r="I2764" s="168" t="s">
        <v>2012</v>
      </c>
      <c r="J2764" s="74" t="str">
        <f t="shared" si="12"/>
        <v>[TIMES_SE] Paper mill, graphical - condebelt</v>
      </c>
      <c r="K2764" s="168"/>
      <c r="L2764" s="163"/>
      <c r="M2764" s="169"/>
    </row>
    <row r="2765" spans="1:13" x14ac:dyDescent="0.55000000000000004">
      <c r="A2765" s="98" t="s">
        <v>224</v>
      </c>
      <c r="B2765" s="68" t="s">
        <v>215</v>
      </c>
      <c r="C2765" s="68" t="s">
        <v>121</v>
      </c>
      <c r="D2765" s="68" t="s">
        <v>3288</v>
      </c>
      <c r="E2765" s="120">
        <v>1</v>
      </c>
      <c r="F2765" s="151" t="s">
        <v>135</v>
      </c>
      <c r="G2765" s="151">
        <v>1</v>
      </c>
      <c r="H2765" s="68"/>
      <c r="I2765" s="168"/>
      <c r="J2765" s="74" t="str">
        <f t="shared" si="12"/>
        <v>[TIMES_SE] Paper mill, graphical - conventional</v>
      </c>
      <c r="K2765" s="168"/>
      <c r="L2765" s="163"/>
      <c r="M2765" s="169"/>
    </row>
    <row r="2766" spans="1:13" x14ac:dyDescent="0.55000000000000004">
      <c r="A2766" s="98" t="s">
        <v>224</v>
      </c>
      <c r="B2766" s="68" t="s">
        <v>216</v>
      </c>
      <c r="C2766" s="168" t="s">
        <v>207</v>
      </c>
      <c r="D2766" s="68" t="s">
        <v>3288</v>
      </c>
      <c r="E2766" s="120">
        <v>0.7</v>
      </c>
      <c r="F2766" s="151" t="s">
        <v>135</v>
      </c>
      <c r="G2766" s="151" t="s">
        <v>135</v>
      </c>
      <c r="H2766" s="68" t="s">
        <v>39</v>
      </c>
      <c r="I2766" s="168"/>
      <c r="J2766" s="74" t="str">
        <f t="shared" si="12"/>
        <v>[TIMES_SE] Paper mill, graphical - conventional</v>
      </c>
      <c r="K2766" s="168"/>
      <c r="L2766" s="163"/>
      <c r="M2766" s="169"/>
    </row>
    <row r="2767" spans="1:13" x14ac:dyDescent="0.55000000000000004">
      <c r="A2767" s="98" t="s">
        <v>224</v>
      </c>
      <c r="B2767" s="68" t="s">
        <v>222</v>
      </c>
      <c r="C2767" s="168" t="s">
        <v>207</v>
      </c>
      <c r="D2767" s="68" t="s">
        <v>3288</v>
      </c>
      <c r="E2767" s="120">
        <v>0.3</v>
      </c>
      <c r="F2767" s="151" t="s">
        <v>135</v>
      </c>
      <c r="G2767" s="151" t="s">
        <v>135</v>
      </c>
      <c r="H2767" s="68" t="s">
        <v>39</v>
      </c>
      <c r="I2767" s="168"/>
      <c r="J2767" s="74" t="str">
        <f t="shared" si="12"/>
        <v>[TIMES_SE] Paper mill, graphical - conventional</v>
      </c>
      <c r="K2767" s="168"/>
      <c r="L2767" s="163"/>
      <c r="M2767" s="169"/>
    </row>
    <row r="2768" spans="1:13" x14ac:dyDescent="0.55000000000000004">
      <c r="A2768" s="98" t="s">
        <v>224</v>
      </c>
      <c r="B2768" s="68" t="s">
        <v>171</v>
      </c>
      <c r="C2768" s="68" t="s">
        <v>127</v>
      </c>
      <c r="D2768" s="68" t="s">
        <v>2994</v>
      </c>
      <c r="E2768" s="120">
        <v>0.23</v>
      </c>
      <c r="F2768" s="151" t="s">
        <v>138</v>
      </c>
      <c r="G2768" s="151" t="s">
        <v>135</v>
      </c>
      <c r="H2768" s="68" t="s">
        <v>2020</v>
      </c>
      <c r="I2768" s="168" t="s">
        <v>2024</v>
      </c>
      <c r="J2768" s="74" t="str">
        <f t="shared" si="12"/>
        <v>[TIMES_SE] Paper mill, graphical - conventional</v>
      </c>
      <c r="K2768" s="168"/>
      <c r="L2768" s="163"/>
      <c r="M2768" s="169"/>
    </row>
    <row r="2769" spans="1:13" x14ac:dyDescent="0.55000000000000004">
      <c r="A2769" s="98" t="s">
        <v>224</v>
      </c>
      <c r="B2769" s="68" t="s">
        <v>153</v>
      </c>
      <c r="C2769" s="68" t="s">
        <v>127</v>
      </c>
      <c r="D2769" s="68" t="s">
        <v>2994</v>
      </c>
      <c r="E2769" s="120">
        <v>2.16</v>
      </c>
      <c r="F2769" s="151" t="s">
        <v>138</v>
      </c>
      <c r="G2769" s="151" t="s">
        <v>135</v>
      </c>
      <c r="H2769" s="68" t="s">
        <v>2025</v>
      </c>
      <c r="I2769" s="168" t="s">
        <v>2024</v>
      </c>
      <c r="J2769" s="74" t="str">
        <f t="shared" si="12"/>
        <v>[TIMES_SE] Paper mill, graphical - conventional</v>
      </c>
      <c r="K2769" s="168"/>
      <c r="L2769" s="163"/>
      <c r="M2769" s="169"/>
    </row>
    <row r="2770" spans="1:13" x14ac:dyDescent="0.55000000000000004">
      <c r="A2770" s="98" t="s">
        <v>224</v>
      </c>
      <c r="B2770" s="68" t="s">
        <v>208</v>
      </c>
      <c r="C2770" s="68" t="s">
        <v>127</v>
      </c>
      <c r="D2770" s="68" t="s">
        <v>2994</v>
      </c>
      <c r="E2770" s="120">
        <v>4.8</v>
      </c>
      <c r="F2770" s="151" t="s">
        <v>138</v>
      </c>
      <c r="G2770" s="151" t="s">
        <v>135</v>
      </c>
      <c r="H2770" s="68" t="s">
        <v>39</v>
      </c>
      <c r="I2770" s="168"/>
      <c r="J2770" s="74" t="str">
        <f t="shared" si="12"/>
        <v>[TIMES_SE] Paper mill, graphical - conventional</v>
      </c>
      <c r="K2770" s="168"/>
      <c r="L2770" s="163"/>
      <c r="M2770" s="169"/>
    </row>
    <row r="2771" spans="1:13" x14ac:dyDescent="0.55000000000000004">
      <c r="A2771" s="98" t="s">
        <v>224</v>
      </c>
      <c r="B2771" s="68" t="s">
        <v>1183</v>
      </c>
      <c r="C2771" s="61" t="s">
        <v>156</v>
      </c>
      <c r="D2771" s="68" t="s">
        <v>2994</v>
      </c>
      <c r="E2771" s="120">
        <v>1.78</v>
      </c>
      <c r="F2771" s="151" t="s">
        <v>138</v>
      </c>
      <c r="G2771" s="151" t="s">
        <v>135</v>
      </c>
      <c r="H2771" s="68" t="s">
        <v>39</v>
      </c>
      <c r="I2771" s="168"/>
      <c r="J2771" s="74" t="str">
        <f t="shared" si="12"/>
        <v>[TIMES_SE] Paper mill, graphical - conventional</v>
      </c>
      <c r="K2771" s="168"/>
      <c r="L2771" s="163"/>
      <c r="M2771" s="169"/>
    </row>
    <row r="2772" spans="1:13" x14ac:dyDescent="0.55000000000000004">
      <c r="A2772" s="98" t="s">
        <v>224</v>
      </c>
      <c r="B2772" s="68" t="s">
        <v>160</v>
      </c>
      <c r="C2772" s="168" t="s">
        <v>247</v>
      </c>
      <c r="D2772" s="68" t="s">
        <v>3288</v>
      </c>
      <c r="E2772" s="119">
        <v>1.2903000000000001E-2</v>
      </c>
      <c r="F2772" s="151" t="s">
        <v>135</v>
      </c>
      <c r="G2772" s="151" t="s">
        <v>135</v>
      </c>
      <c r="H2772" s="127" t="s">
        <v>376</v>
      </c>
      <c r="I2772" s="168" t="s">
        <v>2013</v>
      </c>
      <c r="J2772" s="74" t="str">
        <f t="shared" si="12"/>
        <v>[TIMES_SE] Paper mill, graphical - conventional</v>
      </c>
      <c r="K2772" s="168"/>
      <c r="L2772" s="163"/>
      <c r="M2772" s="169"/>
    </row>
    <row r="2773" spans="1:13" x14ac:dyDescent="0.55000000000000004">
      <c r="A2773" s="98" t="s">
        <v>224</v>
      </c>
      <c r="B2773" s="68" t="s">
        <v>160</v>
      </c>
      <c r="C2773" s="168" t="s">
        <v>247</v>
      </c>
      <c r="D2773" s="68" t="s">
        <v>3288</v>
      </c>
      <c r="E2773" s="119">
        <v>0.24959999999999999</v>
      </c>
      <c r="F2773" s="151" t="s">
        <v>135</v>
      </c>
      <c r="G2773" s="151" t="s">
        <v>135</v>
      </c>
      <c r="H2773" s="127" t="s">
        <v>373</v>
      </c>
      <c r="I2773" s="168" t="s">
        <v>2012</v>
      </c>
      <c r="J2773" s="74" t="str">
        <f t="shared" si="12"/>
        <v>[TIMES_SE] Paper mill, graphical - conventional</v>
      </c>
      <c r="K2773" s="168"/>
      <c r="L2773" s="163"/>
      <c r="M2773" s="169"/>
    </row>
    <row r="2774" spans="1:13" x14ac:dyDescent="0.55000000000000004">
      <c r="A2774" s="98" t="s">
        <v>223</v>
      </c>
      <c r="B2774" s="68" t="s">
        <v>215</v>
      </c>
      <c r="C2774" s="68" t="s">
        <v>121</v>
      </c>
      <c r="D2774" s="68" t="s">
        <v>3288</v>
      </c>
      <c r="E2774" s="120">
        <v>1</v>
      </c>
      <c r="F2774" s="151" t="s">
        <v>135</v>
      </c>
      <c r="G2774" s="151">
        <v>1</v>
      </c>
      <c r="H2774" s="68"/>
      <c r="I2774" s="168"/>
      <c r="J2774" s="74" t="str">
        <f t="shared" si="12"/>
        <v>[TIMES_SE] Paper mill, graphical - impulse</v>
      </c>
      <c r="K2774" s="168"/>
      <c r="L2774" s="163"/>
      <c r="M2774" s="169"/>
    </row>
    <row r="2775" spans="1:13" x14ac:dyDescent="0.55000000000000004">
      <c r="A2775" s="98" t="s">
        <v>223</v>
      </c>
      <c r="B2775" s="68" t="s">
        <v>216</v>
      </c>
      <c r="C2775" s="168" t="s">
        <v>207</v>
      </c>
      <c r="D2775" s="68" t="s">
        <v>3288</v>
      </c>
      <c r="E2775" s="120">
        <v>0.7</v>
      </c>
      <c r="F2775" s="151" t="s">
        <v>135</v>
      </c>
      <c r="G2775" s="151" t="s">
        <v>135</v>
      </c>
      <c r="H2775" s="68" t="s">
        <v>39</v>
      </c>
      <c r="I2775" s="168"/>
      <c r="J2775" s="74" t="str">
        <f t="shared" si="12"/>
        <v>[TIMES_SE] Paper mill, graphical - impulse</v>
      </c>
      <c r="K2775" s="168"/>
      <c r="L2775" s="163"/>
      <c r="M2775" s="169"/>
    </row>
    <row r="2776" spans="1:13" x14ac:dyDescent="0.55000000000000004">
      <c r="A2776" s="98" t="s">
        <v>223</v>
      </c>
      <c r="B2776" s="68" t="s">
        <v>222</v>
      </c>
      <c r="C2776" s="168" t="s">
        <v>207</v>
      </c>
      <c r="D2776" s="68" t="s">
        <v>3288</v>
      </c>
      <c r="E2776" s="120">
        <v>0.3</v>
      </c>
      <c r="F2776" s="151" t="s">
        <v>135</v>
      </c>
      <c r="G2776" s="151" t="s">
        <v>135</v>
      </c>
      <c r="H2776" s="68" t="s">
        <v>39</v>
      </c>
      <c r="I2776" s="168"/>
      <c r="J2776" s="74" t="str">
        <f t="shared" si="12"/>
        <v>[TIMES_SE] Paper mill, graphical - impulse</v>
      </c>
      <c r="K2776" s="168"/>
      <c r="L2776" s="163"/>
      <c r="M2776" s="169"/>
    </row>
    <row r="2777" spans="1:13" x14ac:dyDescent="0.55000000000000004">
      <c r="A2777" s="98" t="s">
        <v>223</v>
      </c>
      <c r="B2777" s="68" t="s">
        <v>171</v>
      </c>
      <c r="C2777" s="68" t="s">
        <v>127</v>
      </c>
      <c r="D2777" s="68" t="s">
        <v>2994</v>
      </c>
      <c r="E2777" s="120">
        <v>0.23</v>
      </c>
      <c r="F2777" s="151" t="s">
        <v>138</v>
      </c>
      <c r="G2777" s="151" t="s">
        <v>135</v>
      </c>
      <c r="H2777" s="68" t="s">
        <v>2020</v>
      </c>
      <c r="I2777" s="168" t="s">
        <v>2022</v>
      </c>
      <c r="J2777" s="74" t="str">
        <f t="shared" si="12"/>
        <v>[TIMES_SE] Paper mill, graphical - impulse</v>
      </c>
      <c r="K2777" s="168"/>
      <c r="L2777" s="163"/>
      <c r="M2777" s="169"/>
    </row>
    <row r="2778" spans="1:13" x14ac:dyDescent="0.55000000000000004">
      <c r="A2778" s="98" t="s">
        <v>223</v>
      </c>
      <c r="B2778" s="68" t="s">
        <v>153</v>
      </c>
      <c r="C2778" s="68" t="s">
        <v>127</v>
      </c>
      <c r="D2778" s="68" t="s">
        <v>2994</v>
      </c>
      <c r="E2778" s="120">
        <v>2.38</v>
      </c>
      <c r="F2778" s="151" t="s">
        <v>138</v>
      </c>
      <c r="G2778" s="151" t="s">
        <v>135</v>
      </c>
      <c r="H2778" s="68" t="s">
        <v>2023</v>
      </c>
      <c r="I2778" s="168" t="s">
        <v>2022</v>
      </c>
      <c r="J2778" s="74" t="str">
        <f t="shared" si="12"/>
        <v>[TIMES_SE] Paper mill, graphical - impulse</v>
      </c>
      <c r="K2778" s="168"/>
      <c r="L2778" s="163"/>
      <c r="M2778" s="169"/>
    </row>
    <row r="2779" spans="1:13" x14ac:dyDescent="0.55000000000000004">
      <c r="A2779" s="98" t="s">
        <v>223</v>
      </c>
      <c r="B2779" s="68" t="s">
        <v>208</v>
      </c>
      <c r="C2779" s="68" t="s">
        <v>127</v>
      </c>
      <c r="D2779" s="68" t="s">
        <v>2994</v>
      </c>
      <c r="E2779" s="120">
        <v>1.68</v>
      </c>
      <c r="F2779" s="151" t="s">
        <v>138</v>
      </c>
      <c r="G2779" s="151" t="s">
        <v>135</v>
      </c>
      <c r="H2779" s="68" t="s">
        <v>39</v>
      </c>
      <c r="I2779" s="168"/>
      <c r="J2779" s="74" t="str">
        <f t="shared" si="12"/>
        <v>[TIMES_SE] Paper mill, graphical - impulse</v>
      </c>
      <c r="K2779" s="168"/>
      <c r="L2779" s="163"/>
      <c r="M2779" s="169"/>
    </row>
    <row r="2780" spans="1:13" x14ac:dyDescent="0.55000000000000004">
      <c r="A2780" s="98" t="s">
        <v>223</v>
      </c>
      <c r="B2780" s="68" t="s">
        <v>1183</v>
      </c>
      <c r="C2780" s="61" t="s">
        <v>156</v>
      </c>
      <c r="D2780" s="68" t="s">
        <v>2994</v>
      </c>
      <c r="E2780" s="120">
        <v>0</v>
      </c>
      <c r="F2780" s="151" t="s">
        <v>138</v>
      </c>
      <c r="G2780" s="151" t="s">
        <v>135</v>
      </c>
      <c r="H2780" s="68" t="s">
        <v>39</v>
      </c>
      <c r="I2780" s="168"/>
      <c r="J2780" s="74" t="str">
        <f t="shared" si="12"/>
        <v>[TIMES_SE] Paper mill, graphical - impulse</v>
      </c>
      <c r="K2780" s="168"/>
      <c r="L2780" s="163"/>
      <c r="M2780" s="169"/>
    </row>
    <row r="2781" spans="1:13" x14ac:dyDescent="0.55000000000000004">
      <c r="A2781" s="98" t="s">
        <v>223</v>
      </c>
      <c r="B2781" s="68" t="s">
        <v>160</v>
      </c>
      <c r="C2781" s="168" t="s">
        <v>247</v>
      </c>
      <c r="D2781" s="68" t="s">
        <v>3288</v>
      </c>
      <c r="E2781" s="119">
        <v>1.2903000000000001E-2</v>
      </c>
      <c r="F2781" s="151" t="s">
        <v>135</v>
      </c>
      <c r="G2781" s="151" t="s">
        <v>135</v>
      </c>
      <c r="H2781" s="127" t="s">
        <v>376</v>
      </c>
      <c r="I2781" s="168" t="s">
        <v>2013</v>
      </c>
      <c r="J2781" s="74" t="str">
        <f t="shared" si="12"/>
        <v>[TIMES_SE] Paper mill, graphical - impulse</v>
      </c>
      <c r="K2781" s="168"/>
      <c r="L2781" s="163"/>
      <c r="M2781" s="169"/>
    </row>
    <row r="2782" spans="1:13" x14ac:dyDescent="0.55000000000000004">
      <c r="A2782" s="98" t="s">
        <v>223</v>
      </c>
      <c r="B2782" s="68" t="s">
        <v>160</v>
      </c>
      <c r="C2782" s="168" t="s">
        <v>247</v>
      </c>
      <c r="D2782" s="68" t="s">
        <v>3288</v>
      </c>
      <c r="E2782" s="119">
        <v>8.7359999999999993E-2</v>
      </c>
      <c r="F2782" s="151" t="s">
        <v>135</v>
      </c>
      <c r="G2782" s="151" t="s">
        <v>135</v>
      </c>
      <c r="H2782" s="127" t="s">
        <v>373</v>
      </c>
      <c r="I2782" s="168" t="s">
        <v>2012</v>
      </c>
      <c r="J2782" s="74" t="str">
        <f t="shared" si="12"/>
        <v>[TIMES_SE] Paper mill, graphical - impulse</v>
      </c>
      <c r="K2782" s="168"/>
      <c r="L2782" s="163"/>
      <c r="M2782" s="169"/>
    </row>
    <row r="2783" spans="1:13" x14ac:dyDescent="0.55000000000000004">
      <c r="A2783" s="98" t="s">
        <v>221</v>
      </c>
      <c r="B2783" s="68" t="s">
        <v>215</v>
      </c>
      <c r="C2783" s="68" t="s">
        <v>121</v>
      </c>
      <c r="D2783" s="68" t="s">
        <v>3288</v>
      </c>
      <c r="E2783" s="120">
        <v>1</v>
      </c>
      <c r="F2783" s="151" t="s">
        <v>135</v>
      </c>
      <c r="G2783" s="151">
        <v>1</v>
      </c>
      <c r="H2783" s="68"/>
      <c r="I2783" s="168"/>
      <c r="J2783" s="74" t="str">
        <f t="shared" si="12"/>
        <v>[TIMES_SE] Paper mill, graphical - press dryer</v>
      </c>
      <c r="K2783" s="168"/>
      <c r="L2783" s="163"/>
      <c r="M2783" s="169"/>
    </row>
    <row r="2784" spans="1:13" x14ac:dyDescent="0.55000000000000004">
      <c r="A2784" s="98" t="s">
        <v>221</v>
      </c>
      <c r="B2784" s="68" t="s">
        <v>216</v>
      </c>
      <c r="C2784" s="168" t="s">
        <v>207</v>
      </c>
      <c r="D2784" s="68" t="s">
        <v>3288</v>
      </c>
      <c r="E2784" s="120">
        <v>0.7</v>
      </c>
      <c r="F2784" s="151" t="s">
        <v>135</v>
      </c>
      <c r="G2784" s="151" t="s">
        <v>135</v>
      </c>
      <c r="H2784" s="68" t="s">
        <v>39</v>
      </c>
      <c r="I2784" s="168"/>
      <c r="J2784" s="74" t="str">
        <f t="shared" si="12"/>
        <v>[TIMES_SE] Paper mill, graphical - press dryer</v>
      </c>
      <c r="K2784" s="168"/>
      <c r="L2784" s="163"/>
      <c r="M2784" s="169"/>
    </row>
    <row r="2785" spans="1:13" x14ac:dyDescent="0.55000000000000004">
      <c r="A2785" s="98" t="s">
        <v>221</v>
      </c>
      <c r="B2785" s="68" t="s">
        <v>222</v>
      </c>
      <c r="C2785" s="168" t="s">
        <v>207</v>
      </c>
      <c r="D2785" s="68" t="s">
        <v>3288</v>
      </c>
      <c r="E2785" s="120">
        <v>0.3</v>
      </c>
      <c r="F2785" s="151" t="s">
        <v>135</v>
      </c>
      <c r="G2785" s="151" t="s">
        <v>135</v>
      </c>
      <c r="H2785" s="68" t="s">
        <v>39</v>
      </c>
      <c r="I2785" s="168"/>
      <c r="J2785" s="74" t="str">
        <f t="shared" si="12"/>
        <v>[TIMES_SE] Paper mill, graphical - press dryer</v>
      </c>
      <c r="K2785" s="168"/>
      <c r="L2785" s="163"/>
      <c r="M2785" s="169"/>
    </row>
    <row r="2786" spans="1:13" x14ac:dyDescent="0.55000000000000004">
      <c r="A2786" s="98" t="s">
        <v>221</v>
      </c>
      <c r="B2786" s="68" t="s">
        <v>171</v>
      </c>
      <c r="C2786" s="68" t="s">
        <v>127</v>
      </c>
      <c r="D2786" s="68" t="s">
        <v>2994</v>
      </c>
      <c r="E2786" s="120">
        <v>0.23</v>
      </c>
      <c r="F2786" s="151" t="s">
        <v>138</v>
      </c>
      <c r="G2786" s="151" t="s">
        <v>135</v>
      </c>
      <c r="H2786" s="68" t="s">
        <v>2020</v>
      </c>
      <c r="I2786" s="168" t="s">
        <v>2019</v>
      </c>
      <c r="J2786" s="74" t="str">
        <f t="shared" si="12"/>
        <v>[TIMES_SE] Paper mill, graphical - press dryer</v>
      </c>
      <c r="K2786" s="168"/>
      <c r="L2786" s="163"/>
      <c r="M2786" s="169"/>
    </row>
    <row r="2787" spans="1:13" x14ac:dyDescent="0.55000000000000004">
      <c r="A2787" s="98" t="s">
        <v>221</v>
      </c>
      <c r="B2787" s="68" t="s">
        <v>153</v>
      </c>
      <c r="C2787" s="68" t="s">
        <v>127</v>
      </c>
      <c r="D2787" s="68" t="s">
        <v>2994</v>
      </c>
      <c r="E2787" s="120">
        <v>1.94</v>
      </c>
      <c r="F2787" s="151" t="s">
        <v>138</v>
      </c>
      <c r="G2787" s="151" t="s">
        <v>135</v>
      </c>
      <c r="H2787" s="68" t="s">
        <v>2021</v>
      </c>
      <c r="I2787" s="168" t="s">
        <v>2019</v>
      </c>
      <c r="J2787" s="74" t="str">
        <f t="shared" si="12"/>
        <v>[TIMES_SE] Paper mill, graphical - press dryer</v>
      </c>
      <c r="K2787" s="168"/>
      <c r="L2787" s="163"/>
      <c r="M2787" s="169"/>
    </row>
    <row r="2788" spans="1:13" x14ac:dyDescent="0.55000000000000004">
      <c r="A2788" s="98" t="s">
        <v>221</v>
      </c>
      <c r="B2788" s="68" t="s">
        <v>208</v>
      </c>
      <c r="C2788" s="68" t="s">
        <v>127</v>
      </c>
      <c r="D2788" s="68" t="s">
        <v>2994</v>
      </c>
      <c r="E2788" s="120">
        <v>4.08</v>
      </c>
      <c r="F2788" s="151" t="s">
        <v>138</v>
      </c>
      <c r="G2788" s="151" t="s">
        <v>135</v>
      </c>
      <c r="H2788" s="68" t="s">
        <v>39</v>
      </c>
      <c r="I2788" s="168"/>
      <c r="J2788" s="74" t="str">
        <f t="shared" si="12"/>
        <v>[TIMES_SE] Paper mill, graphical - press dryer</v>
      </c>
      <c r="K2788" s="168"/>
      <c r="L2788" s="163"/>
      <c r="M2788" s="169"/>
    </row>
    <row r="2789" spans="1:13" x14ac:dyDescent="0.55000000000000004">
      <c r="A2789" s="98" t="s">
        <v>221</v>
      </c>
      <c r="B2789" s="68" t="s">
        <v>1183</v>
      </c>
      <c r="C2789" s="61" t="s">
        <v>156</v>
      </c>
      <c r="D2789" s="68" t="s">
        <v>2994</v>
      </c>
      <c r="E2789" s="120">
        <v>1.78</v>
      </c>
      <c r="F2789" s="151" t="s">
        <v>138</v>
      </c>
      <c r="G2789" s="151" t="s">
        <v>135</v>
      </c>
      <c r="H2789" s="68" t="s">
        <v>39</v>
      </c>
      <c r="I2789" s="168"/>
      <c r="J2789" s="74" t="str">
        <f t="shared" si="12"/>
        <v>[TIMES_SE] Paper mill, graphical - press dryer</v>
      </c>
      <c r="K2789" s="168"/>
      <c r="L2789" s="163"/>
      <c r="M2789" s="169"/>
    </row>
    <row r="2790" spans="1:13" x14ac:dyDescent="0.55000000000000004">
      <c r="A2790" s="98" t="s">
        <v>221</v>
      </c>
      <c r="B2790" s="68" t="s">
        <v>160</v>
      </c>
      <c r="C2790" s="168" t="s">
        <v>247</v>
      </c>
      <c r="D2790" s="68" t="s">
        <v>3288</v>
      </c>
      <c r="E2790" s="119">
        <v>1.2903000000000001E-2</v>
      </c>
      <c r="F2790" s="151" t="s">
        <v>135</v>
      </c>
      <c r="G2790" s="151" t="s">
        <v>135</v>
      </c>
      <c r="H2790" s="127" t="s">
        <v>376</v>
      </c>
      <c r="I2790" s="168" t="s">
        <v>2013</v>
      </c>
      <c r="J2790" s="74" t="str">
        <f t="shared" si="12"/>
        <v>[TIMES_SE] Paper mill, graphical - press dryer</v>
      </c>
      <c r="K2790" s="168"/>
      <c r="L2790" s="163"/>
      <c r="M2790" s="169"/>
    </row>
    <row r="2791" spans="1:13" x14ac:dyDescent="0.55000000000000004">
      <c r="A2791" s="98" t="s">
        <v>221</v>
      </c>
      <c r="B2791" s="68" t="s">
        <v>160</v>
      </c>
      <c r="C2791" s="168" t="s">
        <v>247</v>
      </c>
      <c r="D2791" s="68" t="s">
        <v>3288</v>
      </c>
      <c r="E2791" s="119">
        <v>0.21215999999999999</v>
      </c>
      <c r="F2791" s="151" t="s">
        <v>135</v>
      </c>
      <c r="G2791" s="151" t="s">
        <v>135</v>
      </c>
      <c r="H2791" s="127" t="s">
        <v>373</v>
      </c>
      <c r="I2791" s="168" t="s">
        <v>2012</v>
      </c>
      <c r="J2791" s="74" t="str">
        <f t="shared" si="12"/>
        <v>[TIMES_SE] Paper mill, graphical - press dryer</v>
      </c>
      <c r="K2791" s="168"/>
      <c r="L2791" s="163"/>
      <c r="M2791" s="169"/>
    </row>
    <row r="2792" spans="1:13" x14ac:dyDescent="0.55000000000000004">
      <c r="A2792" s="98" t="s">
        <v>220</v>
      </c>
      <c r="B2792" s="68" t="s">
        <v>215</v>
      </c>
      <c r="C2792" s="68" t="s">
        <v>121</v>
      </c>
      <c r="D2792" s="68" t="s">
        <v>3288</v>
      </c>
      <c r="E2792" s="120">
        <v>1</v>
      </c>
      <c r="F2792" s="151" t="s">
        <v>135</v>
      </c>
      <c r="G2792" s="151">
        <v>1</v>
      </c>
      <c r="H2792" s="68"/>
      <c r="I2792" s="168"/>
      <c r="J2792" s="74" t="str">
        <f t="shared" si="12"/>
        <v>[TIMES_SE] Paper mill, soft - air impingement</v>
      </c>
      <c r="K2792" s="168"/>
      <c r="L2792" s="163"/>
      <c r="M2792" s="169"/>
    </row>
    <row r="2793" spans="1:13" x14ac:dyDescent="0.55000000000000004">
      <c r="A2793" s="98" t="s">
        <v>220</v>
      </c>
      <c r="B2793" s="68" t="s">
        <v>216</v>
      </c>
      <c r="C2793" s="168" t="s">
        <v>207</v>
      </c>
      <c r="D2793" s="68" t="s">
        <v>3288</v>
      </c>
      <c r="E2793" s="120">
        <v>0.3</v>
      </c>
      <c r="F2793" s="151" t="s">
        <v>135</v>
      </c>
      <c r="G2793" s="151" t="s">
        <v>135</v>
      </c>
      <c r="H2793" s="68" t="s">
        <v>39</v>
      </c>
      <c r="I2793" s="168"/>
      <c r="J2793" s="74" t="str">
        <f t="shared" ref="J2793:J2856" si="13">A2793</f>
        <v>[TIMES_SE] Paper mill, soft - air impingement</v>
      </c>
      <c r="K2793" s="168"/>
      <c r="L2793" s="163"/>
      <c r="M2793" s="169"/>
    </row>
    <row r="2794" spans="1:13" x14ac:dyDescent="0.55000000000000004">
      <c r="A2794" s="98" t="s">
        <v>220</v>
      </c>
      <c r="B2794" s="68" t="s">
        <v>205</v>
      </c>
      <c r="C2794" s="168" t="s">
        <v>207</v>
      </c>
      <c r="D2794" s="68" t="s">
        <v>3288</v>
      </c>
      <c r="E2794" s="120">
        <v>0.7</v>
      </c>
      <c r="F2794" s="151" t="s">
        <v>135</v>
      </c>
      <c r="G2794" s="151" t="s">
        <v>135</v>
      </c>
      <c r="H2794" s="68" t="s">
        <v>39</v>
      </c>
      <c r="I2794" s="168"/>
      <c r="J2794" s="74" t="str">
        <f t="shared" si="13"/>
        <v>[TIMES_SE] Paper mill, soft - air impingement</v>
      </c>
      <c r="K2794" s="168"/>
      <c r="L2794" s="163"/>
      <c r="M2794" s="169"/>
    </row>
    <row r="2795" spans="1:13" x14ac:dyDescent="0.55000000000000004">
      <c r="A2795" s="98" t="s">
        <v>220</v>
      </c>
      <c r="B2795" s="68" t="s">
        <v>171</v>
      </c>
      <c r="C2795" s="68" t="s">
        <v>127</v>
      </c>
      <c r="D2795" s="68" t="s">
        <v>2994</v>
      </c>
      <c r="E2795" s="120">
        <v>4.2220000000000004</v>
      </c>
      <c r="F2795" s="151" t="s">
        <v>138</v>
      </c>
      <c r="G2795" s="151" t="s">
        <v>135</v>
      </c>
      <c r="H2795" s="68" t="s">
        <v>2017</v>
      </c>
      <c r="I2795" s="168" t="s">
        <v>2016</v>
      </c>
      <c r="J2795" s="74" t="str">
        <f t="shared" si="13"/>
        <v>[TIMES_SE] Paper mill, soft - air impingement</v>
      </c>
      <c r="K2795" s="168"/>
      <c r="L2795" s="163"/>
      <c r="M2795" s="169"/>
    </row>
    <row r="2796" spans="1:13" x14ac:dyDescent="0.55000000000000004">
      <c r="A2796" s="98" t="s">
        <v>220</v>
      </c>
      <c r="B2796" s="68" t="s">
        <v>153</v>
      </c>
      <c r="C2796" s="68" t="s">
        <v>127</v>
      </c>
      <c r="D2796" s="68" t="s">
        <v>2994</v>
      </c>
      <c r="E2796" s="120">
        <v>3.54</v>
      </c>
      <c r="F2796" s="151" t="s">
        <v>138</v>
      </c>
      <c r="G2796" s="151" t="s">
        <v>135</v>
      </c>
      <c r="H2796" s="68" t="s">
        <v>2018</v>
      </c>
      <c r="I2796" s="168" t="s">
        <v>2016</v>
      </c>
      <c r="J2796" s="74" t="str">
        <f t="shared" si="13"/>
        <v>[TIMES_SE] Paper mill, soft - air impingement</v>
      </c>
      <c r="K2796" s="168"/>
      <c r="L2796" s="163"/>
      <c r="M2796" s="169"/>
    </row>
    <row r="2797" spans="1:13" x14ac:dyDescent="0.55000000000000004">
      <c r="A2797" s="98" t="s">
        <v>220</v>
      </c>
      <c r="B2797" s="68" t="s">
        <v>208</v>
      </c>
      <c r="C2797" s="68" t="s">
        <v>127</v>
      </c>
      <c r="D2797" s="68" t="s">
        <v>2994</v>
      </c>
      <c r="E2797" s="120">
        <v>2.46</v>
      </c>
      <c r="F2797" s="151" t="s">
        <v>138</v>
      </c>
      <c r="G2797" s="151" t="s">
        <v>135</v>
      </c>
      <c r="H2797" s="68" t="s">
        <v>39</v>
      </c>
      <c r="I2797" s="168"/>
      <c r="J2797" s="74" t="str">
        <f t="shared" si="13"/>
        <v>[TIMES_SE] Paper mill, soft - air impingement</v>
      </c>
      <c r="K2797" s="168"/>
      <c r="L2797" s="163"/>
      <c r="M2797" s="169"/>
    </row>
    <row r="2798" spans="1:13" x14ac:dyDescent="0.55000000000000004">
      <c r="A2798" s="98" t="s">
        <v>220</v>
      </c>
      <c r="B2798" s="68" t="s">
        <v>1183</v>
      </c>
      <c r="C2798" s="61" t="s">
        <v>156</v>
      </c>
      <c r="D2798" s="68" t="s">
        <v>2994</v>
      </c>
      <c r="E2798" s="120">
        <v>1.48</v>
      </c>
      <c r="F2798" s="151" t="s">
        <v>138</v>
      </c>
      <c r="G2798" s="151" t="s">
        <v>135</v>
      </c>
      <c r="H2798" s="68" t="s">
        <v>39</v>
      </c>
      <c r="I2798" s="168"/>
      <c r="J2798" s="74" t="str">
        <f t="shared" si="13"/>
        <v>[TIMES_SE] Paper mill, soft - air impingement</v>
      </c>
      <c r="K2798" s="168"/>
      <c r="L2798" s="163"/>
      <c r="M2798" s="169"/>
    </row>
    <row r="2799" spans="1:13" x14ac:dyDescent="0.55000000000000004">
      <c r="A2799" s="98" t="s">
        <v>220</v>
      </c>
      <c r="B2799" s="68" t="s">
        <v>160</v>
      </c>
      <c r="C2799" s="168" t="s">
        <v>247</v>
      </c>
      <c r="D2799" s="68" t="s">
        <v>3288</v>
      </c>
      <c r="E2799" s="119">
        <v>0.23685420000000001</v>
      </c>
      <c r="F2799" s="151" t="s">
        <v>135</v>
      </c>
      <c r="G2799" s="151" t="s">
        <v>135</v>
      </c>
      <c r="H2799" s="127" t="s">
        <v>376</v>
      </c>
      <c r="I2799" s="168" t="s">
        <v>2013</v>
      </c>
      <c r="J2799" s="74" t="str">
        <f t="shared" si="13"/>
        <v>[TIMES_SE] Paper mill, soft - air impingement</v>
      </c>
      <c r="K2799" s="168"/>
      <c r="L2799" s="163"/>
      <c r="M2799" s="169"/>
    </row>
    <row r="2800" spans="1:13" x14ac:dyDescent="0.55000000000000004">
      <c r="A2800" s="98" t="s">
        <v>220</v>
      </c>
      <c r="B2800" s="68" t="s">
        <v>160</v>
      </c>
      <c r="C2800" s="168" t="s">
        <v>247</v>
      </c>
      <c r="D2800" s="68" t="s">
        <v>3288</v>
      </c>
      <c r="E2800" s="119">
        <v>0.12792000000000001</v>
      </c>
      <c r="F2800" s="151" t="s">
        <v>135</v>
      </c>
      <c r="G2800" s="151" t="s">
        <v>135</v>
      </c>
      <c r="H2800" s="127" t="s">
        <v>373</v>
      </c>
      <c r="I2800" s="168" t="s">
        <v>2012</v>
      </c>
      <c r="J2800" s="74" t="str">
        <f t="shared" si="13"/>
        <v>[TIMES_SE] Paper mill, soft - air impingement</v>
      </c>
      <c r="K2800" s="168"/>
      <c r="L2800" s="163"/>
      <c r="M2800" s="169"/>
    </row>
    <row r="2801" spans="1:13" x14ac:dyDescent="0.55000000000000004">
      <c r="A2801" s="98" t="s">
        <v>218</v>
      </c>
      <c r="B2801" s="68" t="s">
        <v>219</v>
      </c>
      <c r="C2801" s="68" t="s">
        <v>121</v>
      </c>
      <c r="D2801" s="68" t="s">
        <v>3288</v>
      </c>
      <c r="E2801" s="120">
        <v>1</v>
      </c>
      <c r="F2801" s="151" t="s">
        <v>135</v>
      </c>
      <c r="G2801" s="151">
        <v>1</v>
      </c>
      <c r="H2801" s="68"/>
      <c r="I2801" s="168"/>
      <c r="J2801" s="74" t="str">
        <f t="shared" si="13"/>
        <v>[TIMES_SE] Paper mill, soft - conventional</v>
      </c>
      <c r="K2801" s="168"/>
      <c r="L2801" s="163"/>
      <c r="M2801" s="169"/>
    </row>
    <row r="2802" spans="1:13" x14ac:dyDescent="0.55000000000000004">
      <c r="A2802" s="98" t="s">
        <v>218</v>
      </c>
      <c r="B2802" s="68" t="s">
        <v>216</v>
      </c>
      <c r="C2802" s="168" t="s">
        <v>207</v>
      </c>
      <c r="D2802" s="68" t="s">
        <v>3288</v>
      </c>
      <c r="E2802" s="120">
        <v>0.3</v>
      </c>
      <c r="F2802" s="151" t="s">
        <v>135</v>
      </c>
      <c r="G2802" s="151" t="s">
        <v>135</v>
      </c>
      <c r="H2802" s="68" t="s">
        <v>39</v>
      </c>
      <c r="I2802" s="168"/>
      <c r="J2802" s="74" t="str">
        <f t="shared" si="13"/>
        <v>[TIMES_SE] Paper mill, soft - conventional</v>
      </c>
      <c r="K2802" s="168"/>
      <c r="L2802" s="163"/>
      <c r="M2802" s="169"/>
    </row>
    <row r="2803" spans="1:13" x14ac:dyDescent="0.55000000000000004">
      <c r="A2803" s="98" t="s">
        <v>218</v>
      </c>
      <c r="B2803" s="68" t="s">
        <v>205</v>
      </c>
      <c r="C2803" s="168" t="s">
        <v>207</v>
      </c>
      <c r="D2803" s="68" t="s">
        <v>3288</v>
      </c>
      <c r="E2803" s="120">
        <v>0.7</v>
      </c>
      <c r="F2803" s="151" t="s">
        <v>135</v>
      </c>
      <c r="G2803" s="151" t="s">
        <v>135</v>
      </c>
      <c r="H2803" s="68" t="s">
        <v>39</v>
      </c>
      <c r="I2803" s="168"/>
      <c r="J2803" s="74" t="str">
        <f t="shared" si="13"/>
        <v>[TIMES_SE] Paper mill, soft - conventional</v>
      </c>
      <c r="K2803" s="168"/>
      <c r="L2803" s="163"/>
      <c r="M2803" s="169"/>
    </row>
    <row r="2804" spans="1:13" x14ac:dyDescent="0.55000000000000004">
      <c r="A2804" s="98" t="s">
        <v>218</v>
      </c>
      <c r="B2804" s="68" t="s">
        <v>171</v>
      </c>
      <c r="C2804" s="68" t="s">
        <v>127</v>
      </c>
      <c r="D2804" s="68" t="s">
        <v>2994</v>
      </c>
      <c r="E2804" s="120">
        <v>2.56</v>
      </c>
      <c r="F2804" s="151" t="s">
        <v>138</v>
      </c>
      <c r="G2804" s="151" t="s">
        <v>135</v>
      </c>
      <c r="H2804" s="68" t="s">
        <v>2011</v>
      </c>
      <c r="I2804" s="168" t="s">
        <v>2014</v>
      </c>
      <c r="J2804" s="74" t="str">
        <f t="shared" si="13"/>
        <v>[TIMES_SE] Paper mill, soft - conventional</v>
      </c>
      <c r="K2804" s="168"/>
      <c r="L2804" s="163"/>
      <c r="M2804" s="169"/>
    </row>
    <row r="2805" spans="1:13" x14ac:dyDescent="0.55000000000000004">
      <c r="A2805" s="98" t="s">
        <v>218</v>
      </c>
      <c r="B2805" s="68" t="s">
        <v>153</v>
      </c>
      <c r="C2805" s="68" t="s">
        <v>127</v>
      </c>
      <c r="D2805" s="68" t="s">
        <v>2994</v>
      </c>
      <c r="E2805" s="120">
        <v>3.37</v>
      </c>
      <c r="F2805" s="151" t="s">
        <v>138</v>
      </c>
      <c r="G2805" s="151" t="s">
        <v>135</v>
      </c>
      <c r="H2805" s="68" t="s">
        <v>2015</v>
      </c>
      <c r="I2805" s="168" t="s">
        <v>2014</v>
      </c>
      <c r="J2805" s="74" t="str">
        <f t="shared" si="13"/>
        <v>[TIMES_SE] Paper mill, soft - conventional</v>
      </c>
      <c r="K2805" s="168"/>
      <c r="L2805" s="163"/>
      <c r="M2805" s="169"/>
    </row>
    <row r="2806" spans="1:13" x14ac:dyDescent="0.55000000000000004">
      <c r="A2806" s="98" t="s">
        <v>218</v>
      </c>
      <c r="B2806" s="68" t="s">
        <v>208</v>
      </c>
      <c r="C2806" s="68" t="s">
        <v>127</v>
      </c>
      <c r="D2806" s="68" t="s">
        <v>2994</v>
      </c>
      <c r="E2806" s="120">
        <v>4</v>
      </c>
      <c r="F2806" s="151" t="s">
        <v>138</v>
      </c>
      <c r="G2806" s="151" t="s">
        <v>135</v>
      </c>
      <c r="H2806" s="68" t="s">
        <v>39</v>
      </c>
      <c r="I2806" s="168"/>
      <c r="J2806" s="74" t="str">
        <f t="shared" si="13"/>
        <v>[TIMES_SE] Paper mill, soft - conventional</v>
      </c>
      <c r="K2806" s="168"/>
      <c r="L2806" s="163"/>
      <c r="M2806" s="169"/>
    </row>
    <row r="2807" spans="1:13" x14ac:dyDescent="0.55000000000000004">
      <c r="A2807" s="98" t="s">
        <v>218</v>
      </c>
      <c r="B2807" s="68" t="s">
        <v>1183</v>
      </c>
      <c r="C2807" s="61" t="s">
        <v>156</v>
      </c>
      <c r="D2807" s="68" t="s">
        <v>2994</v>
      </c>
      <c r="E2807" s="120">
        <v>1.48</v>
      </c>
      <c r="F2807" s="151" t="s">
        <v>138</v>
      </c>
      <c r="G2807" s="151" t="s">
        <v>135</v>
      </c>
      <c r="H2807" s="68" t="s">
        <v>39</v>
      </c>
      <c r="I2807" s="168"/>
      <c r="J2807" s="74" t="str">
        <f t="shared" si="13"/>
        <v>[TIMES_SE] Paper mill, soft - conventional</v>
      </c>
      <c r="K2807" s="168"/>
      <c r="L2807" s="163"/>
      <c r="M2807" s="169"/>
    </row>
    <row r="2808" spans="1:13" x14ac:dyDescent="0.55000000000000004">
      <c r="A2808" s="98" t="s">
        <v>218</v>
      </c>
      <c r="B2808" s="68" t="s">
        <v>160</v>
      </c>
      <c r="C2808" s="168" t="s">
        <v>247</v>
      </c>
      <c r="D2808" s="68" t="s">
        <v>3288</v>
      </c>
      <c r="E2808" s="119">
        <v>0.14361600000000002</v>
      </c>
      <c r="F2808" s="151" t="s">
        <v>135</v>
      </c>
      <c r="G2808" s="151" t="s">
        <v>135</v>
      </c>
      <c r="H2808" s="127" t="s">
        <v>376</v>
      </c>
      <c r="I2808" s="168" t="s">
        <v>2013</v>
      </c>
      <c r="J2808" s="74" t="str">
        <f t="shared" si="13"/>
        <v>[TIMES_SE] Paper mill, soft - conventional</v>
      </c>
      <c r="K2808" s="168"/>
      <c r="L2808" s="163"/>
      <c r="M2808" s="169"/>
    </row>
    <row r="2809" spans="1:13" x14ac:dyDescent="0.55000000000000004">
      <c r="A2809" s="98" t="s">
        <v>218</v>
      </c>
      <c r="B2809" s="68" t="s">
        <v>160</v>
      </c>
      <c r="C2809" s="168" t="s">
        <v>247</v>
      </c>
      <c r="D2809" s="68" t="s">
        <v>3288</v>
      </c>
      <c r="E2809" s="119">
        <v>0.20799999999999999</v>
      </c>
      <c r="F2809" s="151" t="s">
        <v>135</v>
      </c>
      <c r="G2809" s="151" t="s">
        <v>135</v>
      </c>
      <c r="H2809" s="127" t="s">
        <v>373</v>
      </c>
      <c r="I2809" s="168" t="s">
        <v>2012</v>
      </c>
      <c r="J2809" s="74" t="str">
        <f t="shared" si="13"/>
        <v>[TIMES_SE] Paper mill, soft - conventional</v>
      </c>
      <c r="K2809" s="168"/>
      <c r="L2809" s="163"/>
      <c r="M2809" s="169"/>
    </row>
    <row r="2810" spans="1:13" x14ac:dyDescent="0.55000000000000004">
      <c r="A2810" s="98" t="s">
        <v>214</v>
      </c>
      <c r="B2810" s="68" t="s">
        <v>215</v>
      </c>
      <c r="C2810" s="68" t="s">
        <v>121</v>
      </c>
      <c r="D2810" s="68" t="s">
        <v>3288</v>
      </c>
      <c r="E2810" s="120">
        <v>1</v>
      </c>
      <c r="F2810" s="151" t="s">
        <v>135</v>
      </c>
      <c r="G2810" s="151">
        <v>1</v>
      </c>
      <c r="H2810" s="68"/>
      <c r="I2810" s="168"/>
      <c r="J2810" s="74" t="str">
        <f t="shared" si="13"/>
        <v>[TIMES_SE] Paper mill, soft - steam impingement</v>
      </c>
      <c r="K2810" s="168"/>
      <c r="L2810" s="163"/>
      <c r="M2810" s="169"/>
    </row>
    <row r="2811" spans="1:13" x14ac:dyDescent="0.55000000000000004">
      <c r="A2811" s="98" t="s">
        <v>214</v>
      </c>
      <c r="B2811" s="68" t="s">
        <v>216</v>
      </c>
      <c r="C2811" s="168" t="s">
        <v>207</v>
      </c>
      <c r="D2811" s="68" t="s">
        <v>3288</v>
      </c>
      <c r="E2811" s="120">
        <v>0.3</v>
      </c>
      <c r="F2811" s="151" t="s">
        <v>135</v>
      </c>
      <c r="G2811" s="151" t="s">
        <v>135</v>
      </c>
      <c r="H2811" s="68" t="s">
        <v>39</v>
      </c>
      <c r="I2811" s="168"/>
      <c r="J2811" s="74" t="str">
        <f t="shared" si="13"/>
        <v>[TIMES_SE] Paper mill, soft - steam impingement</v>
      </c>
      <c r="K2811" s="168"/>
      <c r="L2811" s="163"/>
      <c r="M2811" s="169"/>
    </row>
    <row r="2812" spans="1:13" x14ac:dyDescent="0.55000000000000004">
      <c r="A2812" s="98" t="s">
        <v>214</v>
      </c>
      <c r="B2812" s="68" t="s">
        <v>205</v>
      </c>
      <c r="C2812" s="168" t="s">
        <v>207</v>
      </c>
      <c r="D2812" s="68" t="s">
        <v>3288</v>
      </c>
      <c r="E2812" s="120">
        <v>0.7</v>
      </c>
      <c r="F2812" s="151" t="s">
        <v>135</v>
      </c>
      <c r="G2812" s="151" t="s">
        <v>135</v>
      </c>
      <c r="H2812" s="68" t="s">
        <v>39</v>
      </c>
      <c r="I2812" s="168"/>
      <c r="J2812" s="74" t="str">
        <f t="shared" si="13"/>
        <v>[TIMES_SE] Paper mill, soft - steam impingement</v>
      </c>
      <c r="K2812" s="168"/>
      <c r="L2812" s="163"/>
      <c r="M2812" s="169"/>
    </row>
    <row r="2813" spans="1:13" x14ac:dyDescent="0.55000000000000004">
      <c r="A2813" s="98" t="s">
        <v>214</v>
      </c>
      <c r="B2813" s="68" t="s">
        <v>171</v>
      </c>
      <c r="C2813" s="68" t="s">
        <v>127</v>
      </c>
      <c r="D2813" s="68" t="s">
        <v>2994</v>
      </c>
      <c r="E2813" s="120">
        <v>2.56</v>
      </c>
      <c r="F2813" s="151" t="s">
        <v>138</v>
      </c>
      <c r="G2813" s="151" t="s">
        <v>135</v>
      </c>
      <c r="H2813" s="68" t="s">
        <v>2011</v>
      </c>
      <c r="I2813" s="168" t="s">
        <v>2009</v>
      </c>
      <c r="J2813" s="74" t="str">
        <f t="shared" si="13"/>
        <v>[TIMES_SE] Paper mill, soft - steam impingement</v>
      </c>
      <c r="K2813" s="168"/>
      <c r="L2813" s="163"/>
      <c r="M2813" s="169"/>
    </row>
    <row r="2814" spans="1:13" x14ac:dyDescent="0.55000000000000004">
      <c r="A2814" s="98" t="s">
        <v>214</v>
      </c>
      <c r="B2814" s="68" t="s">
        <v>153</v>
      </c>
      <c r="C2814" s="68" t="s">
        <v>127</v>
      </c>
      <c r="D2814" s="68" t="s">
        <v>2994</v>
      </c>
      <c r="E2814" s="120">
        <v>3.03</v>
      </c>
      <c r="F2814" s="151" t="s">
        <v>138</v>
      </c>
      <c r="G2814" s="151" t="s">
        <v>135</v>
      </c>
      <c r="H2814" s="68" t="s">
        <v>2010</v>
      </c>
      <c r="I2814" s="168" t="s">
        <v>2009</v>
      </c>
      <c r="J2814" s="74" t="str">
        <f t="shared" si="13"/>
        <v>[TIMES_SE] Paper mill, soft - steam impingement</v>
      </c>
      <c r="K2814" s="168"/>
      <c r="L2814" s="163"/>
      <c r="M2814" s="169"/>
    </row>
    <row r="2815" spans="1:13" x14ac:dyDescent="0.55000000000000004">
      <c r="A2815" s="98" t="s">
        <v>214</v>
      </c>
      <c r="B2815" s="68" t="s">
        <v>208</v>
      </c>
      <c r="C2815" s="68" t="s">
        <v>127</v>
      </c>
      <c r="D2815" s="68" t="s">
        <v>2994</v>
      </c>
      <c r="E2815" s="120">
        <v>3.4</v>
      </c>
      <c r="F2815" s="151" t="s">
        <v>138</v>
      </c>
      <c r="G2815" s="151" t="s">
        <v>135</v>
      </c>
      <c r="H2815" s="68" t="s">
        <v>39</v>
      </c>
      <c r="I2815" s="168"/>
      <c r="J2815" s="74" t="str">
        <f t="shared" si="13"/>
        <v>[TIMES_SE] Paper mill, soft - steam impingement</v>
      </c>
      <c r="K2815" s="168"/>
      <c r="L2815" s="163"/>
      <c r="M2815" s="169"/>
    </row>
    <row r="2816" spans="1:13" x14ac:dyDescent="0.55000000000000004">
      <c r="A2816" s="98" t="s">
        <v>214</v>
      </c>
      <c r="B2816" s="68" t="s">
        <v>1183</v>
      </c>
      <c r="C2816" s="61" t="s">
        <v>156</v>
      </c>
      <c r="D2816" s="68" t="s">
        <v>2994</v>
      </c>
      <c r="E2816" s="120">
        <v>1.48</v>
      </c>
      <c r="F2816" s="151" t="s">
        <v>138</v>
      </c>
      <c r="G2816" s="151" t="s">
        <v>135</v>
      </c>
      <c r="H2816" s="68" t="s">
        <v>39</v>
      </c>
      <c r="I2816" s="168"/>
      <c r="J2816" s="74" t="str">
        <f t="shared" si="13"/>
        <v>[TIMES_SE] Paper mill, soft - steam impingement</v>
      </c>
      <c r="K2816" s="168"/>
      <c r="L2816" s="163"/>
      <c r="M2816" s="169"/>
    </row>
    <row r="2817" spans="1:13" x14ac:dyDescent="0.55000000000000004">
      <c r="A2817" s="98" t="s">
        <v>214</v>
      </c>
      <c r="B2817" s="68" t="s">
        <v>160</v>
      </c>
      <c r="C2817" s="168" t="s">
        <v>247</v>
      </c>
      <c r="D2817" s="68" t="s">
        <v>3288</v>
      </c>
      <c r="E2817" s="119">
        <v>0.14361600000000002</v>
      </c>
      <c r="F2817" s="151" t="s">
        <v>135</v>
      </c>
      <c r="G2817" s="151" t="s">
        <v>135</v>
      </c>
      <c r="H2817" s="127" t="s">
        <v>376</v>
      </c>
      <c r="I2817" s="168" t="s">
        <v>2013</v>
      </c>
      <c r="J2817" s="74" t="str">
        <f t="shared" si="13"/>
        <v>[TIMES_SE] Paper mill, soft - steam impingement</v>
      </c>
      <c r="K2817" s="168"/>
      <c r="L2817" s="163"/>
      <c r="M2817" s="169"/>
    </row>
    <row r="2818" spans="1:13" x14ac:dyDescent="0.55000000000000004">
      <c r="A2818" s="98" t="s">
        <v>214</v>
      </c>
      <c r="B2818" s="68" t="s">
        <v>160</v>
      </c>
      <c r="C2818" s="168" t="s">
        <v>247</v>
      </c>
      <c r="D2818" s="68" t="s">
        <v>3288</v>
      </c>
      <c r="E2818" s="119">
        <v>0.17679999999999998</v>
      </c>
      <c r="F2818" s="151" t="s">
        <v>135</v>
      </c>
      <c r="G2818" s="151" t="s">
        <v>135</v>
      </c>
      <c r="H2818" s="127" t="s">
        <v>373</v>
      </c>
      <c r="I2818" s="168" t="s">
        <v>2012</v>
      </c>
      <c r="J2818" s="74" t="str">
        <f t="shared" si="13"/>
        <v>[TIMES_SE] Paper mill, soft - steam impingement</v>
      </c>
      <c r="K2818" s="168"/>
      <c r="L2818" s="163"/>
      <c r="M2818" s="169"/>
    </row>
    <row r="2819" spans="1:13" x14ac:dyDescent="0.55000000000000004">
      <c r="A2819" s="111" t="s">
        <v>365</v>
      </c>
      <c r="B2819" s="168" t="s">
        <v>366</v>
      </c>
      <c r="C2819" s="168" t="s">
        <v>121</v>
      </c>
      <c r="D2819" s="168" t="s">
        <v>3288</v>
      </c>
      <c r="E2819" s="117">
        <v>1</v>
      </c>
      <c r="F2819" s="149" t="s">
        <v>135</v>
      </c>
      <c r="G2819" s="149">
        <v>1</v>
      </c>
      <c r="H2819" s="168"/>
      <c r="I2819" s="168"/>
      <c r="J2819" s="77" t="str">
        <f t="shared" si="13"/>
        <v>[TIMES_SE] Powder atomisation</v>
      </c>
      <c r="K2819" s="168"/>
      <c r="L2819" s="131"/>
      <c r="M2819" s="169"/>
    </row>
    <row r="2820" spans="1:13" x14ac:dyDescent="0.55000000000000004">
      <c r="A2820" s="111" t="s">
        <v>365</v>
      </c>
      <c r="B2820" s="168" t="s">
        <v>339</v>
      </c>
      <c r="C2820" s="21" t="s">
        <v>125</v>
      </c>
      <c r="D2820" s="168" t="s">
        <v>3288</v>
      </c>
      <c r="E2820" s="117">
        <f>1/0.97</f>
        <v>1.0309278350515465</v>
      </c>
      <c r="F2820" s="149" t="s">
        <v>135</v>
      </c>
      <c r="G2820" s="149" t="s">
        <v>135</v>
      </c>
      <c r="H2820" s="168" t="s">
        <v>39</v>
      </c>
      <c r="I2820" s="168" t="s">
        <v>367</v>
      </c>
      <c r="J2820" s="77" t="str">
        <f t="shared" si="13"/>
        <v>[TIMES_SE] Powder atomisation</v>
      </c>
      <c r="K2820" s="168"/>
      <c r="L2820" s="131"/>
      <c r="M2820" s="169"/>
    </row>
    <row r="2821" spans="1:13" x14ac:dyDescent="0.55000000000000004">
      <c r="A2821" s="111" t="s">
        <v>365</v>
      </c>
      <c r="B2821" s="168" t="s">
        <v>153</v>
      </c>
      <c r="C2821" s="168" t="s">
        <v>127</v>
      </c>
      <c r="D2821" s="168" t="s">
        <v>2994</v>
      </c>
      <c r="E2821" s="117">
        <v>1.83</v>
      </c>
      <c r="F2821" s="149" t="s">
        <v>138</v>
      </c>
      <c r="G2821" s="149" t="s">
        <v>135</v>
      </c>
      <c r="H2821" s="168" t="s">
        <v>39</v>
      </c>
      <c r="I2821" s="168" t="s">
        <v>367</v>
      </c>
      <c r="J2821" s="77" t="str">
        <f t="shared" si="13"/>
        <v>[TIMES_SE] Powder atomisation</v>
      </c>
      <c r="K2821" s="168"/>
      <c r="L2821" s="131"/>
      <c r="M2821" s="169"/>
    </row>
    <row r="2822" spans="1:13" x14ac:dyDescent="0.55000000000000004">
      <c r="A2822" s="111" t="s">
        <v>365</v>
      </c>
      <c r="B2822" s="168" t="s">
        <v>160</v>
      </c>
      <c r="C2822" s="168" t="s">
        <v>247</v>
      </c>
      <c r="D2822" s="168" t="s">
        <v>3288</v>
      </c>
      <c r="E2822" s="116">
        <v>0</v>
      </c>
      <c r="F2822" s="149" t="s">
        <v>135</v>
      </c>
      <c r="G2822" s="149" t="s">
        <v>135</v>
      </c>
      <c r="H2822" s="168" t="s">
        <v>39</v>
      </c>
      <c r="I2822" s="168"/>
      <c r="J2822" s="77" t="str">
        <f t="shared" si="13"/>
        <v>[TIMES_SE] Powder atomisation</v>
      </c>
      <c r="K2822" s="168"/>
      <c r="L2822" s="131"/>
      <c r="M2822" s="169"/>
    </row>
    <row r="2823" spans="1:13" x14ac:dyDescent="0.55000000000000004">
      <c r="A2823" s="111" t="s">
        <v>368</v>
      </c>
      <c r="B2823" s="168" t="s">
        <v>366</v>
      </c>
      <c r="C2823" s="168" t="s">
        <v>121</v>
      </c>
      <c r="D2823" s="168" t="s">
        <v>3288</v>
      </c>
      <c r="E2823" s="117">
        <v>1</v>
      </c>
      <c r="F2823" s="149" t="s">
        <v>135</v>
      </c>
      <c r="G2823" s="149">
        <v>1</v>
      </c>
      <c r="H2823" s="168"/>
      <c r="I2823" s="168"/>
      <c r="J2823" s="77" t="str">
        <f t="shared" si="13"/>
        <v>[TIMES_SE] Powder grinding</v>
      </c>
      <c r="K2823" s="168"/>
      <c r="L2823" s="131"/>
      <c r="M2823" s="169"/>
    </row>
    <row r="2824" spans="1:13" x14ac:dyDescent="0.55000000000000004">
      <c r="A2824" s="111" t="s">
        <v>368</v>
      </c>
      <c r="B2824" s="168" t="s">
        <v>369</v>
      </c>
      <c r="C2824" s="21" t="s">
        <v>125</v>
      </c>
      <c r="D2824" s="168" t="s">
        <v>3288</v>
      </c>
      <c r="E2824" s="117">
        <v>1</v>
      </c>
      <c r="F2824" s="149" t="s">
        <v>135</v>
      </c>
      <c r="G2824" s="149" t="s">
        <v>135</v>
      </c>
      <c r="H2824" s="168" t="s">
        <v>39</v>
      </c>
      <c r="I2824" s="168" t="s">
        <v>367</v>
      </c>
      <c r="J2824" s="77" t="str">
        <f t="shared" si="13"/>
        <v>[TIMES_SE] Powder grinding</v>
      </c>
      <c r="K2824" s="168"/>
      <c r="L2824" s="131"/>
      <c r="M2824" s="169"/>
    </row>
    <row r="2825" spans="1:13" x14ac:dyDescent="0.55000000000000004">
      <c r="A2825" s="111" t="s">
        <v>368</v>
      </c>
      <c r="B2825" s="168" t="s">
        <v>153</v>
      </c>
      <c r="C2825" s="168" t="s">
        <v>127</v>
      </c>
      <c r="D2825" s="168" t="s">
        <v>2994</v>
      </c>
      <c r="E2825" s="117">
        <v>0.05</v>
      </c>
      <c r="F2825" s="149" t="s">
        <v>138</v>
      </c>
      <c r="G2825" s="149" t="s">
        <v>135</v>
      </c>
      <c r="H2825" s="168" t="s">
        <v>39</v>
      </c>
      <c r="I2825" s="168" t="s">
        <v>367</v>
      </c>
      <c r="J2825" s="77" t="str">
        <f t="shared" si="13"/>
        <v>[TIMES_SE] Powder grinding</v>
      </c>
      <c r="K2825" s="168"/>
      <c r="L2825" s="131"/>
      <c r="M2825" s="169"/>
    </row>
    <row r="2826" spans="1:13" x14ac:dyDescent="0.55000000000000004">
      <c r="A2826" s="111" t="s">
        <v>368</v>
      </c>
      <c r="B2826" s="168" t="s">
        <v>160</v>
      </c>
      <c r="C2826" s="168" t="s">
        <v>247</v>
      </c>
      <c r="D2826" s="168" t="s">
        <v>3288</v>
      </c>
      <c r="E2826" s="116">
        <v>0</v>
      </c>
      <c r="F2826" s="149" t="s">
        <v>135</v>
      </c>
      <c r="G2826" s="149" t="s">
        <v>135</v>
      </c>
      <c r="H2826" s="168" t="s">
        <v>39</v>
      </c>
      <c r="I2826" s="168"/>
      <c r="J2826" s="77" t="str">
        <f t="shared" si="13"/>
        <v>[TIMES_SE] Powder grinding</v>
      </c>
      <c r="K2826" s="168"/>
      <c r="L2826" s="131"/>
      <c r="M2826" s="169"/>
    </row>
    <row r="2827" spans="1:13" x14ac:dyDescent="0.55000000000000004">
      <c r="A2827" s="108" t="s">
        <v>209</v>
      </c>
      <c r="B2827" s="68" t="s">
        <v>210</v>
      </c>
      <c r="C2827" s="68" t="s">
        <v>121</v>
      </c>
      <c r="D2827" s="68" t="s">
        <v>3288</v>
      </c>
      <c r="E2827" s="120">
        <v>1</v>
      </c>
      <c r="F2827" s="151" t="s">
        <v>135</v>
      </c>
      <c r="G2827" s="151">
        <v>1</v>
      </c>
      <c r="H2827" s="68" t="s">
        <v>39</v>
      </c>
      <c r="I2827" s="168" t="s">
        <v>1249</v>
      </c>
      <c r="J2827" s="74" t="str">
        <f t="shared" si="13"/>
        <v xml:space="preserve">[TIMES_SE] Recycled aluminium </v>
      </c>
      <c r="K2827" s="168"/>
      <c r="L2827" s="163"/>
      <c r="M2827" s="169"/>
    </row>
    <row r="2828" spans="1:13" x14ac:dyDescent="0.55000000000000004">
      <c r="A2828" s="108" t="s">
        <v>209</v>
      </c>
      <c r="B2828" s="68" t="s">
        <v>211</v>
      </c>
      <c r="C2828" s="168" t="s">
        <v>125</v>
      </c>
      <c r="D2828" s="68" t="s">
        <v>3288</v>
      </c>
      <c r="E2828" s="120">
        <f>1/0.87</f>
        <v>1.1494252873563218</v>
      </c>
      <c r="F2828" s="151" t="s">
        <v>135</v>
      </c>
      <c r="G2828" s="151" t="s">
        <v>135</v>
      </c>
      <c r="H2828" s="68" t="s">
        <v>39</v>
      </c>
      <c r="I2828" s="168" t="s">
        <v>1250</v>
      </c>
      <c r="J2828" s="74" t="str">
        <f t="shared" si="13"/>
        <v xml:space="preserve">[TIMES_SE] Recycled aluminium </v>
      </c>
      <c r="K2828" s="168"/>
      <c r="L2828" s="163"/>
      <c r="M2828" s="169"/>
    </row>
    <row r="2829" spans="1:13" x14ac:dyDescent="0.55000000000000004">
      <c r="A2829" s="108" t="s">
        <v>209</v>
      </c>
      <c r="B2829" s="68" t="s">
        <v>171</v>
      </c>
      <c r="C2829" s="68" t="s">
        <v>127</v>
      </c>
      <c r="D2829" s="68" t="s">
        <v>2994</v>
      </c>
      <c r="E2829" s="120">
        <v>2.34</v>
      </c>
      <c r="F2829" s="151" t="s">
        <v>138</v>
      </c>
      <c r="G2829" s="151" t="s">
        <v>135</v>
      </c>
      <c r="H2829" s="68" t="s">
        <v>39</v>
      </c>
      <c r="I2829" s="168" t="s">
        <v>1249</v>
      </c>
      <c r="J2829" s="74" t="str">
        <f t="shared" si="13"/>
        <v xml:space="preserve">[TIMES_SE] Recycled aluminium </v>
      </c>
      <c r="K2829" s="168"/>
      <c r="L2829" s="163"/>
      <c r="M2829" s="169"/>
    </row>
    <row r="2830" spans="1:13" x14ac:dyDescent="0.55000000000000004">
      <c r="A2830" s="108" t="s">
        <v>209</v>
      </c>
      <c r="B2830" s="68" t="s">
        <v>153</v>
      </c>
      <c r="C2830" s="68" t="s">
        <v>127</v>
      </c>
      <c r="D2830" s="68" t="s">
        <v>2994</v>
      </c>
      <c r="E2830" s="120">
        <v>0.5</v>
      </c>
      <c r="F2830" s="151" t="s">
        <v>138</v>
      </c>
      <c r="G2830" s="151" t="s">
        <v>135</v>
      </c>
      <c r="H2830" s="68" t="s">
        <v>39</v>
      </c>
      <c r="I2830" s="168" t="s">
        <v>1249</v>
      </c>
      <c r="J2830" s="74" t="str">
        <f t="shared" si="13"/>
        <v xml:space="preserve">[TIMES_SE] Recycled aluminium </v>
      </c>
      <c r="K2830" s="168"/>
      <c r="L2830" s="163"/>
      <c r="M2830" s="169"/>
    </row>
    <row r="2831" spans="1:13" x14ac:dyDescent="0.55000000000000004">
      <c r="A2831" s="108" t="s">
        <v>209</v>
      </c>
      <c r="B2831" s="168" t="s">
        <v>213</v>
      </c>
      <c r="C2831" s="168" t="s">
        <v>125</v>
      </c>
      <c r="D2831" s="168" t="s">
        <v>3289</v>
      </c>
      <c r="E2831" s="116">
        <v>88</v>
      </c>
      <c r="F2831" s="149" t="s">
        <v>133</v>
      </c>
      <c r="G2831" s="149" t="s">
        <v>135</v>
      </c>
      <c r="H2831" s="68" t="s">
        <v>39</v>
      </c>
      <c r="I2831" s="168" t="s">
        <v>1249</v>
      </c>
      <c r="J2831" s="74" t="str">
        <f t="shared" si="13"/>
        <v xml:space="preserve">[TIMES_SE] Recycled aluminium </v>
      </c>
      <c r="K2831" s="168"/>
      <c r="L2831" s="131"/>
      <c r="M2831" s="169"/>
    </row>
    <row r="2832" spans="1:13" x14ac:dyDescent="0.55000000000000004">
      <c r="A2832" s="108" t="s">
        <v>209</v>
      </c>
      <c r="B2832" s="68" t="s">
        <v>160</v>
      </c>
      <c r="C2832" s="168" t="s">
        <v>247</v>
      </c>
      <c r="D2832" s="68" t="s">
        <v>3288</v>
      </c>
      <c r="E2832" s="119">
        <v>0.131274</v>
      </c>
      <c r="F2832" s="151" t="s">
        <v>135</v>
      </c>
      <c r="G2832" s="151" t="s">
        <v>135</v>
      </c>
      <c r="H2832" s="127" t="s">
        <v>376</v>
      </c>
      <c r="I2832" s="168" t="s">
        <v>1249</v>
      </c>
      <c r="J2832" s="74" t="str">
        <f t="shared" si="13"/>
        <v xml:space="preserve">[TIMES_SE] Recycled aluminium </v>
      </c>
      <c r="K2832" s="168"/>
      <c r="L2832" s="163"/>
      <c r="M2832" s="169"/>
    </row>
    <row r="2833" spans="1:13" x14ac:dyDescent="0.55000000000000004">
      <c r="A2833" s="98" t="s">
        <v>204</v>
      </c>
      <c r="B2833" s="68" t="s">
        <v>205</v>
      </c>
      <c r="C2833" s="68" t="s">
        <v>121</v>
      </c>
      <c r="D2833" s="68" t="s">
        <v>3288</v>
      </c>
      <c r="E2833" s="120">
        <v>1</v>
      </c>
      <c r="F2833" s="151" t="s">
        <v>135</v>
      </c>
      <c r="G2833" s="151">
        <v>1</v>
      </c>
      <c r="H2833" s="68"/>
      <c r="I2833" s="168"/>
      <c r="J2833" s="74" t="str">
        <f t="shared" si="13"/>
        <v>[TIMES_SE] Recycled fiber pulping</v>
      </c>
      <c r="K2833" s="168"/>
      <c r="L2833" s="163"/>
      <c r="M2833" s="169"/>
    </row>
    <row r="2834" spans="1:13" x14ac:dyDescent="0.55000000000000004">
      <c r="A2834" s="98" t="s">
        <v>204</v>
      </c>
      <c r="B2834" s="21" t="s">
        <v>206</v>
      </c>
      <c r="C2834" s="68" t="s">
        <v>207</v>
      </c>
      <c r="D2834" s="68" t="s">
        <v>3288</v>
      </c>
      <c r="E2834" s="120">
        <f>1/0.94</f>
        <v>1.0638297872340425</v>
      </c>
      <c r="F2834" s="151" t="s">
        <v>135</v>
      </c>
      <c r="G2834" s="151" t="s">
        <v>135</v>
      </c>
      <c r="H2834" s="68" t="s">
        <v>39</v>
      </c>
      <c r="I2834" s="168" t="s">
        <v>1243</v>
      </c>
      <c r="J2834" s="74" t="str">
        <f t="shared" si="13"/>
        <v>[TIMES_SE] Recycled fiber pulping</v>
      </c>
      <c r="K2834" s="168"/>
      <c r="L2834" s="163"/>
      <c r="M2834" s="169"/>
    </row>
    <row r="2835" spans="1:13" x14ac:dyDescent="0.55000000000000004">
      <c r="A2835" s="98" t="s">
        <v>204</v>
      </c>
      <c r="B2835" s="68" t="s">
        <v>153</v>
      </c>
      <c r="C2835" s="68" t="s">
        <v>127</v>
      </c>
      <c r="D2835" s="68" t="s">
        <v>2994</v>
      </c>
      <c r="E2835" s="120">
        <v>0.8</v>
      </c>
      <c r="F2835" s="151" t="s">
        <v>138</v>
      </c>
      <c r="G2835" s="151" t="s">
        <v>135</v>
      </c>
      <c r="H2835" s="68" t="s">
        <v>39</v>
      </c>
      <c r="I2835" s="168"/>
      <c r="J2835" s="74" t="str">
        <f t="shared" si="13"/>
        <v>[TIMES_SE] Recycled fiber pulping</v>
      </c>
      <c r="K2835" s="168"/>
      <c r="L2835" s="163"/>
      <c r="M2835" s="169"/>
    </row>
    <row r="2836" spans="1:13" x14ac:dyDescent="0.55000000000000004">
      <c r="A2836" s="98" t="s">
        <v>204</v>
      </c>
      <c r="B2836" s="21" t="s">
        <v>208</v>
      </c>
      <c r="C2836" s="68" t="s">
        <v>127</v>
      </c>
      <c r="D2836" s="68" t="s">
        <v>2994</v>
      </c>
      <c r="E2836" s="120">
        <v>0.35</v>
      </c>
      <c r="F2836" s="151" t="s">
        <v>138</v>
      </c>
      <c r="G2836" s="151" t="s">
        <v>135</v>
      </c>
      <c r="H2836" s="68" t="s">
        <v>39</v>
      </c>
      <c r="I2836" s="168"/>
      <c r="J2836" s="74" t="str">
        <f t="shared" si="13"/>
        <v>[TIMES_SE] Recycled fiber pulping</v>
      </c>
      <c r="K2836" s="168"/>
      <c r="L2836" s="163"/>
      <c r="M2836" s="169"/>
    </row>
    <row r="2837" spans="1:13" x14ac:dyDescent="0.55000000000000004">
      <c r="A2837" s="98" t="s">
        <v>204</v>
      </c>
      <c r="B2837" s="68" t="s">
        <v>160</v>
      </c>
      <c r="C2837" s="168" t="s">
        <v>247</v>
      </c>
      <c r="D2837" s="68" t="s">
        <v>3288</v>
      </c>
      <c r="E2837" s="119">
        <v>1.8200000000000001E-2</v>
      </c>
      <c r="F2837" s="151" t="s">
        <v>135</v>
      </c>
      <c r="G2837" s="151" t="s">
        <v>135</v>
      </c>
      <c r="H2837" s="127" t="s">
        <v>373</v>
      </c>
      <c r="I2837" s="168"/>
      <c r="J2837" s="74" t="str">
        <f t="shared" si="13"/>
        <v>[TIMES_SE] Recycled fiber pulping</v>
      </c>
      <c r="K2837" s="168"/>
      <c r="L2837" s="163"/>
      <c r="M2837" s="169"/>
    </row>
    <row r="2838" spans="1:13" x14ac:dyDescent="0.55000000000000004">
      <c r="A2838" s="92" t="s">
        <v>311</v>
      </c>
      <c r="B2838" s="168" t="s">
        <v>287</v>
      </c>
      <c r="C2838" s="168" t="s">
        <v>121</v>
      </c>
      <c r="D2838" s="168" t="s">
        <v>3288</v>
      </c>
      <c r="E2838" s="116">
        <v>1</v>
      </c>
      <c r="F2838" s="149" t="s">
        <v>135</v>
      </c>
      <c r="G2838" s="149">
        <v>1</v>
      </c>
      <c r="H2838" s="68"/>
      <c r="I2838" s="168"/>
      <c r="J2838" s="77" t="str">
        <f t="shared" si="13"/>
        <v>[TIMES_SE] Smelting furnace, advanced</v>
      </c>
      <c r="K2838" s="168"/>
      <c r="L2838" s="131"/>
      <c r="M2838" s="169"/>
    </row>
    <row r="2839" spans="1:13" x14ac:dyDescent="0.55000000000000004">
      <c r="A2839" s="92" t="s">
        <v>311</v>
      </c>
      <c r="B2839" s="21" t="s">
        <v>196</v>
      </c>
      <c r="C2839" s="168" t="s">
        <v>156</v>
      </c>
      <c r="D2839" s="168" t="s">
        <v>3288</v>
      </c>
      <c r="E2839" s="116">
        <v>0.27500000000000002</v>
      </c>
      <c r="F2839" s="149" t="s">
        <v>135</v>
      </c>
      <c r="G2839" s="149" t="s">
        <v>135</v>
      </c>
      <c r="H2839" s="68" t="s">
        <v>39</v>
      </c>
      <c r="I2839" s="168"/>
      <c r="J2839" s="77" t="str">
        <f t="shared" si="13"/>
        <v>[TIMES_SE] Smelting furnace, advanced</v>
      </c>
      <c r="K2839" s="168"/>
      <c r="L2839" s="131"/>
      <c r="M2839" s="169"/>
    </row>
    <row r="2840" spans="1:13" x14ac:dyDescent="0.55000000000000004">
      <c r="A2840" s="92" t="s">
        <v>311</v>
      </c>
      <c r="B2840" s="21" t="s">
        <v>308</v>
      </c>
      <c r="C2840" s="168" t="s">
        <v>156</v>
      </c>
      <c r="D2840" s="168" t="s">
        <v>2994</v>
      </c>
      <c r="E2840" s="116">
        <v>0.59</v>
      </c>
      <c r="F2840" s="149" t="s">
        <v>138</v>
      </c>
      <c r="G2840" s="149" t="s">
        <v>135</v>
      </c>
      <c r="H2840" s="68" t="s">
        <v>39</v>
      </c>
      <c r="I2840" s="168"/>
      <c r="J2840" s="77" t="str">
        <f t="shared" si="13"/>
        <v>[TIMES_SE] Smelting furnace, advanced</v>
      </c>
      <c r="K2840" s="168"/>
      <c r="L2840" s="131"/>
      <c r="M2840" s="169"/>
    </row>
    <row r="2841" spans="1:13" x14ac:dyDescent="0.55000000000000004">
      <c r="A2841" s="92" t="s">
        <v>311</v>
      </c>
      <c r="B2841" s="168" t="s">
        <v>290</v>
      </c>
      <c r="C2841" s="21" t="s">
        <v>125</v>
      </c>
      <c r="D2841" s="168" t="s">
        <v>3288</v>
      </c>
      <c r="E2841" s="116">
        <f>1/0.6</f>
        <v>1.6666666666666667</v>
      </c>
      <c r="F2841" s="149" t="s">
        <v>135</v>
      </c>
      <c r="G2841" s="149" t="s">
        <v>135</v>
      </c>
      <c r="H2841" s="68" t="s">
        <v>39</v>
      </c>
      <c r="I2841" s="168" t="s">
        <v>292</v>
      </c>
      <c r="J2841" s="77" t="str">
        <f t="shared" si="13"/>
        <v>[TIMES_SE] Smelting furnace, advanced</v>
      </c>
      <c r="K2841" s="168"/>
      <c r="L2841" s="131"/>
      <c r="M2841" s="169"/>
    </row>
    <row r="2842" spans="1:13" x14ac:dyDescent="0.55000000000000004">
      <c r="A2842" s="92" t="s">
        <v>311</v>
      </c>
      <c r="B2842" s="168" t="s">
        <v>262</v>
      </c>
      <c r="C2842" s="168" t="s">
        <v>294</v>
      </c>
      <c r="D2842" s="168" t="s">
        <v>2994</v>
      </c>
      <c r="E2842" s="116">
        <v>20.25</v>
      </c>
      <c r="F2842" s="149" t="s">
        <v>138</v>
      </c>
      <c r="G2842" s="149" t="s">
        <v>135</v>
      </c>
      <c r="H2842" s="68" t="s">
        <v>312</v>
      </c>
      <c r="I2842" s="168" t="s">
        <v>310</v>
      </c>
      <c r="J2842" s="77" t="str">
        <f t="shared" si="13"/>
        <v>[TIMES_SE] Smelting furnace, advanced</v>
      </c>
      <c r="K2842" s="168"/>
      <c r="L2842" s="131"/>
      <c r="M2842" s="169"/>
    </row>
    <row r="2843" spans="1:13" x14ac:dyDescent="0.55000000000000004">
      <c r="A2843" s="92" t="s">
        <v>311</v>
      </c>
      <c r="B2843" s="168" t="s">
        <v>297</v>
      </c>
      <c r="C2843" s="168" t="s">
        <v>294</v>
      </c>
      <c r="D2843" s="168" t="s">
        <v>2994</v>
      </c>
      <c r="E2843" s="116">
        <v>0</v>
      </c>
      <c r="F2843" s="149" t="s">
        <v>138</v>
      </c>
      <c r="G2843" s="149" t="s">
        <v>135</v>
      </c>
      <c r="H2843" s="68" t="s">
        <v>312</v>
      </c>
      <c r="I2843" s="168" t="s">
        <v>310</v>
      </c>
      <c r="J2843" s="77" t="str">
        <f t="shared" si="13"/>
        <v>[TIMES_SE] Smelting furnace, advanced</v>
      </c>
      <c r="K2843" s="168"/>
      <c r="L2843" s="131"/>
      <c r="M2843" s="169"/>
    </row>
    <row r="2844" spans="1:13" x14ac:dyDescent="0.55000000000000004">
      <c r="A2844" s="92" t="s">
        <v>311</v>
      </c>
      <c r="B2844" s="168" t="s">
        <v>213</v>
      </c>
      <c r="C2844" s="168" t="s">
        <v>125</v>
      </c>
      <c r="D2844" s="168" t="s">
        <v>3289</v>
      </c>
      <c r="E2844" s="116">
        <v>530</v>
      </c>
      <c r="F2844" s="149" t="s">
        <v>133</v>
      </c>
      <c r="G2844" s="149" t="s">
        <v>135</v>
      </c>
      <c r="H2844" s="68" t="s">
        <v>39</v>
      </c>
      <c r="I2844" s="168"/>
      <c r="J2844" s="77" t="str">
        <f t="shared" si="13"/>
        <v>[TIMES_SE] Smelting furnace, advanced</v>
      </c>
      <c r="K2844" s="168"/>
      <c r="L2844" s="131"/>
      <c r="M2844" s="169"/>
    </row>
    <row r="2845" spans="1:13" x14ac:dyDescent="0.55000000000000004">
      <c r="A2845" s="92" t="s">
        <v>311</v>
      </c>
      <c r="B2845" s="168" t="s">
        <v>131</v>
      </c>
      <c r="C2845" s="168" t="s">
        <v>125</v>
      </c>
      <c r="D2845" s="168" t="s">
        <v>3288</v>
      </c>
      <c r="E2845" s="116">
        <v>0.22</v>
      </c>
      <c r="F2845" s="149" t="s">
        <v>135</v>
      </c>
      <c r="G2845" s="149" t="s">
        <v>135</v>
      </c>
      <c r="H2845" s="68" t="s">
        <v>39</v>
      </c>
      <c r="I2845" s="168"/>
      <c r="J2845" s="77" t="str">
        <f t="shared" si="13"/>
        <v>[TIMES_SE] Smelting furnace, advanced</v>
      </c>
      <c r="K2845" s="168"/>
      <c r="L2845" s="131"/>
      <c r="M2845" s="169"/>
    </row>
    <row r="2846" spans="1:13" x14ac:dyDescent="0.55000000000000004">
      <c r="A2846" s="92" t="s">
        <v>311</v>
      </c>
      <c r="B2846" s="168" t="s">
        <v>153</v>
      </c>
      <c r="C2846" s="168" t="s">
        <v>127</v>
      </c>
      <c r="D2846" s="168" t="s">
        <v>2994</v>
      </c>
      <c r="E2846" s="116">
        <v>0.15</v>
      </c>
      <c r="F2846" s="149" t="s">
        <v>138</v>
      </c>
      <c r="G2846" s="149" t="s">
        <v>135</v>
      </c>
      <c r="H2846" s="68" t="s">
        <v>39</v>
      </c>
      <c r="I2846" s="168"/>
      <c r="J2846" s="77" t="str">
        <f t="shared" si="13"/>
        <v>[TIMES_SE] Smelting furnace, advanced</v>
      </c>
      <c r="K2846" s="168"/>
      <c r="L2846" s="131"/>
      <c r="M2846" s="169"/>
    </row>
    <row r="2847" spans="1:13" x14ac:dyDescent="0.55000000000000004">
      <c r="A2847" s="92" t="s">
        <v>311</v>
      </c>
      <c r="B2847" s="168" t="s">
        <v>160</v>
      </c>
      <c r="C2847" s="168" t="s">
        <v>247</v>
      </c>
      <c r="D2847" s="168" t="s">
        <v>3288</v>
      </c>
      <c r="E2847" s="119">
        <v>1.9844999999999999</v>
      </c>
      <c r="F2847" s="149" t="s">
        <v>135</v>
      </c>
      <c r="G2847" s="149" t="s">
        <v>135</v>
      </c>
      <c r="H2847" s="68" t="s">
        <v>413</v>
      </c>
      <c r="I2847" s="168" t="s">
        <v>2059</v>
      </c>
      <c r="J2847" s="77" t="str">
        <f t="shared" si="13"/>
        <v>[TIMES_SE] Smelting furnace, advanced</v>
      </c>
      <c r="K2847" s="168"/>
      <c r="L2847" s="160"/>
      <c r="M2847" s="169"/>
    </row>
    <row r="2848" spans="1:13" x14ac:dyDescent="0.55000000000000004">
      <c r="A2848" s="92" t="s">
        <v>313</v>
      </c>
      <c r="B2848" s="168" t="s">
        <v>287</v>
      </c>
      <c r="C2848" s="168" t="s">
        <v>121</v>
      </c>
      <c r="D2848" s="168" t="s">
        <v>3288</v>
      </c>
      <c r="E2848" s="116">
        <v>1</v>
      </c>
      <c r="F2848" s="149" t="s">
        <v>135</v>
      </c>
      <c r="G2848" s="149">
        <v>1</v>
      </c>
      <c r="H2848" s="68"/>
      <c r="I2848" s="168"/>
      <c r="J2848" s="77" t="str">
        <f t="shared" si="13"/>
        <v>[TIMES_SE] Smelting furnace, advanced w. CCS</v>
      </c>
      <c r="K2848" s="168"/>
      <c r="L2848" s="131"/>
      <c r="M2848" s="169"/>
    </row>
    <row r="2849" spans="1:13" x14ac:dyDescent="0.55000000000000004">
      <c r="A2849" s="92" t="s">
        <v>313</v>
      </c>
      <c r="B2849" s="21" t="s">
        <v>196</v>
      </c>
      <c r="C2849" s="168" t="s">
        <v>156</v>
      </c>
      <c r="D2849" s="168" t="s">
        <v>3288</v>
      </c>
      <c r="E2849" s="116">
        <v>0.27500000000000002</v>
      </c>
      <c r="F2849" s="149" t="s">
        <v>135</v>
      </c>
      <c r="G2849" s="149" t="s">
        <v>135</v>
      </c>
      <c r="H2849" s="68" t="s">
        <v>39</v>
      </c>
      <c r="I2849" s="168"/>
      <c r="J2849" s="77" t="str">
        <f t="shared" si="13"/>
        <v>[TIMES_SE] Smelting furnace, advanced w. CCS</v>
      </c>
      <c r="K2849" s="168"/>
      <c r="L2849" s="131"/>
      <c r="M2849" s="169"/>
    </row>
    <row r="2850" spans="1:13" x14ac:dyDescent="0.55000000000000004">
      <c r="A2850" s="92" t="s">
        <v>313</v>
      </c>
      <c r="B2850" s="21" t="s">
        <v>308</v>
      </c>
      <c r="C2850" s="168" t="s">
        <v>156</v>
      </c>
      <c r="D2850" s="168" t="s">
        <v>2994</v>
      </c>
      <c r="E2850" s="116">
        <v>0.59</v>
      </c>
      <c r="F2850" s="149" t="s">
        <v>138</v>
      </c>
      <c r="G2850" s="149" t="s">
        <v>135</v>
      </c>
      <c r="H2850" s="68" t="s">
        <v>39</v>
      </c>
      <c r="I2850" s="168"/>
      <c r="J2850" s="77" t="str">
        <f t="shared" si="13"/>
        <v>[TIMES_SE] Smelting furnace, advanced w. CCS</v>
      </c>
      <c r="K2850" s="168"/>
      <c r="L2850" s="131"/>
      <c r="M2850" s="169"/>
    </row>
    <row r="2851" spans="1:13" x14ac:dyDescent="0.55000000000000004">
      <c r="A2851" s="92" t="s">
        <v>313</v>
      </c>
      <c r="B2851" s="168" t="s">
        <v>290</v>
      </c>
      <c r="C2851" s="21" t="s">
        <v>125</v>
      </c>
      <c r="D2851" s="168" t="s">
        <v>3288</v>
      </c>
      <c r="E2851" s="116">
        <f>1/0.6</f>
        <v>1.6666666666666667</v>
      </c>
      <c r="F2851" s="149" t="s">
        <v>135</v>
      </c>
      <c r="G2851" s="149" t="s">
        <v>135</v>
      </c>
      <c r="H2851" s="68" t="s">
        <v>39</v>
      </c>
      <c r="I2851" s="168" t="s">
        <v>292</v>
      </c>
      <c r="J2851" s="77" t="str">
        <f t="shared" si="13"/>
        <v>[TIMES_SE] Smelting furnace, advanced w. CCS</v>
      </c>
      <c r="K2851" s="168"/>
      <c r="L2851" s="131"/>
      <c r="M2851" s="169"/>
    </row>
    <row r="2852" spans="1:13" x14ac:dyDescent="0.55000000000000004">
      <c r="A2852" s="92" t="s">
        <v>313</v>
      </c>
      <c r="B2852" s="168" t="s">
        <v>262</v>
      </c>
      <c r="C2852" s="168" t="s">
        <v>294</v>
      </c>
      <c r="D2852" s="168" t="s">
        <v>2994</v>
      </c>
      <c r="E2852" s="116">
        <v>20.25</v>
      </c>
      <c r="F2852" s="149" t="s">
        <v>138</v>
      </c>
      <c r="G2852" s="149" t="s">
        <v>135</v>
      </c>
      <c r="H2852" s="68" t="s">
        <v>312</v>
      </c>
      <c r="I2852" s="168" t="s">
        <v>310</v>
      </c>
      <c r="J2852" s="77" t="str">
        <f t="shared" si="13"/>
        <v>[TIMES_SE] Smelting furnace, advanced w. CCS</v>
      </c>
      <c r="K2852" s="168"/>
      <c r="L2852" s="131"/>
      <c r="M2852" s="169"/>
    </row>
    <row r="2853" spans="1:13" x14ac:dyDescent="0.55000000000000004">
      <c r="A2853" s="92" t="s">
        <v>313</v>
      </c>
      <c r="B2853" s="168" t="s">
        <v>297</v>
      </c>
      <c r="C2853" s="168" t="s">
        <v>294</v>
      </c>
      <c r="D2853" s="168" t="s">
        <v>2994</v>
      </c>
      <c r="E2853" s="116">
        <v>0</v>
      </c>
      <c r="F2853" s="149" t="s">
        <v>138</v>
      </c>
      <c r="G2853" s="149" t="s">
        <v>135</v>
      </c>
      <c r="H2853" s="68" t="s">
        <v>312</v>
      </c>
      <c r="I2853" s="168" t="s">
        <v>310</v>
      </c>
      <c r="J2853" s="77" t="str">
        <f t="shared" si="13"/>
        <v>[TIMES_SE] Smelting furnace, advanced w. CCS</v>
      </c>
      <c r="K2853" s="168"/>
      <c r="L2853" s="131"/>
      <c r="M2853" s="169"/>
    </row>
    <row r="2854" spans="1:13" x14ac:dyDescent="0.55000000000000004">
      <c r="A2854" s="92" t="s">
        <v>313</v>
      </c>
      <c r="B2854" s="168" t="s">
        <v>213</v>
      </c>
      <c r="C2854" s="168" t="s">
        <v>125</v>
      </c>
      <c r="D2854" s="168" t="s">
        <v>3289</v>
      </c>
      <c r="E2854" s="116">
        <v>530</v>
      </c>
      <c r="F2854" s="149" t="s">
        <v>133</v>
      </c>
      <c r="G2854" s="149" t="s">
        <v>135</v>
      </c>
      <c r="H2854" s="68" t="s">
        <v>39</v>
      </c>
      <c r="I2854" s="168"/>
      <c r="J2854" s="77" t="str">
        <f t="shared" si="13"/>
        <v>[TIMES_SE] Smelting furnace, advanced w. CCS</v>
      </c>
      <c r="K2854" s="168"/>
      <c r="L2854" s="131"/>
      <c r="M2854" s="169"/>
    </row>
    <row r="2855" spans="1:13" x14ac:dyDescent="0.55000000000000004">
      <c r="A2855" s="92" t="s">
        <v>313</v>
      </c>
      <c r="B2855" s="168" t="s">
        <v>131</v>
      </c>
      <c r="C2855" s="168" t="s">
        <v>125</v>
      </c>
      <c r="D2855" s="168" t="s">
        <v>3288</v>
      </c>
      <c r="E2855" s="116">
        <v>0.22</v>
      </c>
      <c r="F2855" s="149" t="s">
        <v>135</v>
      </c>
      <c r="G2855" s="149" t="s">
        <v>135</v>
      </c>
      <c r="H2855" s="68" t="s">
        <v>39</v>
      </c>
      <c r="I2855" s="168"/>
      <c r="J2855" s="77" t="str">
        <f t="shared" si="13"/>
        <v>[TIMES_SE] Smelting furnace, advanced w. CCS</v>
      </c>
      <c r="K2855" s="168"/>
      <c r="L2855" s="131"/>
      <c r="M2855" s="169"/>
    </row>
    <row r="2856" spans="1:13" x14ac:dyDescent="0.55000000000000004">
      <c r="A2856" s="92" t="s">
        <v>313</v>
      </c>
      <c r="B2856" s="168" t="s">
        <v>153</v>
      </c>
      <c r="C2856" s="168" t="s">
        <v>127</v>
      </c>
      <c r="D2856" s="168" t="s">
        <v>2994</v>
      </c>
      <c r="E2856" s="116">
        <v>1.726</v>
      </c>
      <c r="F2856" s="149" t="s">
        <v>138</v>
      </c>
      <c r="G2856" s="149" t="s">
        <v>135</v>
      </c>
      <c r="H2856" s="68" t="s">
        <v>39</v>
      </c>
      <c r="I2856" s="168"/>
      <c r="J2856" s="77" t="str">
        <f t="shared" si="13"/>
        <v>[TIMES_SE] Smelting furnace, advanced w. CCS</v>
      </c>
      <c r="K2856" s="168"/>
      <c r="L2856" s="131"/>
      <c r="M2856" s="169"/>
    </row>
    <row r="2857" spans="1:13" x14ac:dyDescent="0.55000000000000004">
      <c r="A2857" s="92" t="s">
        <v>313</v>
      </c>
      <c r="B2857" s="168" t="s">
        <v>160</v>
      </c>
      <c r="C2857" s="168" t="s">
        <v>247</v>
      </c>
      <c r="D2857" s="168" t="s">
        <v>3288</v>
      </c>
      <c r="E2857" s="119">
        <f>1.9845*(1-0.9)</f>
        <v>0.19844999999999996</v>
      </c>
      <c r="F2857" s="149" t="s">
        <v>135</v>
      </c>
      <c r="G2857" s="149" t="s">
        <v>135</v>
      </c>
      <c r="H2857" s="68" t="s">
        <v>413</v>
      </c>
      <c r="I2857" s="168" t="s">
        <v>2060</v>
      </c>
      <c r="J2857" s="77" t="str">
        <f t="shared" ref="J2857:J2916" si="14">A2857</f>
        <v>[TIMES_SE] Smelting furnace, advanced w. CCS</v>
      </c>
      <c r="K2857" s="168"/>
      <c r="L2857" s="160"/>
      <c r="M2857" s="169"/>
    </row>
    <row r="2858" spans="1:13" x14ac:dyDescent="0.55000000000000004">
      <c r="A2858" s="92" t="s">
        <v>313</v>
      </c>
      <c r="B2858" s="168" t="s">
        <v>160</v>
      </c>
      <c r="C2858" s="168" t="s">
        <v>156</v>
      </c>
      <c r="D2858" s="168" t="s">
        <v>3288</v>
      </c>
      <c r="E2858" s="119">
        <f>1.9845*(0.9)</f>
        <v>1.7860499999999999</v>
      </c>
      <c r="F2858" s="149" t="s">
        <v>135</v>
      </c>
      <c r="G2858" s="149" t="s">
        <v>135</v>
      </c>
      <c r="H2858" s="68" t="s">
        <v>413</v>
      </c>
      <c r="I2858" s="168" t="s">
        <v>2060</v>
      </c>
      <c r="J2858" s="77" t="str">
        <f t="shared" si="14"/>
        <v>[TIMES_SE] Smelting furnace, advanced w. CCS</v>
      </c>
      <c r="K2858" s="168"/>
      <c r="L2858" s="160"/>
      <c r="M2858" s="169"/>
    </row>
    <row r="2859" spans="1:13" x14ac:dyDescent="0.55000000000000004">
      <c r="A2859" s="92" t="s">
        <v>307</v>
      </c>
      <c r="B2859" s="168" t="s">
        <v>287</v>
      </c>
      <c r="C2859" s="168" t="s">
        <v>121</v>
      </c>
      <c r="D2859" s="168" t="s">
        <v>3288</v>
      </c>
      <c r="E2859" s="116">
        <v>1</v>
      </c>
      <c r="F2859" s="149" t="s">
        <v>135</v>
      </c>
      <c r="G2859" s="149">
        <v>1</v>
      </c>
      <c r="H2859" s="68"/>
      <c r="I2859" s="168"/>
      <c r="J2859" s="77" t="str">
        <f t="shared" si="14"/>
        <v>[TIMES_SE] Smelting furnace, conventional</v>
      </c>
      <c r="K2859" s="168"/>
      <c r="L2859" s="131"/>
      <c r="M2859" s="169"/>
    </row>
    <row r="2860" spans="1:13" x14ac:dyDescent="0.55000000000000004">
      <c r="A2860" s="92" t="s">
        <v>307</v>
      </c>
      <c r="B2860" s="21" t="s">
        <v>196</v>
      </c>
      <c r="C2860" s="168" t="s">
        <v>156</v>
      </c>
      <c r="D2860" s="168" t="s">
        <v>3288</v>
      </c>
      <c r="E2860" s="116">
        <v>0.35</v>
      </c>
      <c r="F2860" s="149" t="s">
        <v>135</v>
      </c>
      <c r="G2860" s="149" t="s">
        <v>135</v>
      </c>
      <c r="H2860" s="68" t="s">
        <v>39</v>
      </c>
      <c r="I2860" s="168"/>
      <c r="J2860" s="77" t="str">
        <f t="shared" si="14"/>
        <v>[TIMES_SE] Smelting furnace, conventional</v>
      </c>
      <c r="K2860" s="168"/>
      <c r="L2860" s="131"/>
      <c r="M2860" s="169"/>
    </row>
    <row r="2861" spans="1:13" x14ac:dyDescent="0.55000000000000004">
      <c r="A2861" s="92" t="s">
        <v>307</v>
      </c>
      <c r="B2861" s="21" t="s">
        <v>308</v>
      </c>
      <c r="C2861" s="168" t="s">
        <v>156</v>
      </c>
      <c r="D2861" s="168" t="s">
        <v>2994</v>
      </c>
      <c r="E2861" s="116">
        <v>13.25</v>
      </c>
      <c r="F2861" s="149" t="s">
        <v>138</v>
      </c>
      <c r="G2861" s="149" t="s">
        <v>135</v>
      </c>
      <c r="H2861" s="68" t="s">
        <v>39</v>
      </c>
      <c r="I2861" s="168"/>
      <c r="J2861" s="77" t="str">
        <f t="shared" si="14"/>
        <v>[TIMES_SE] Smelting furnace, conventional</v>
      </c>
      <c r="K2861" s="168"/>
      <c r="L2861" s="131"/>
      <c r="M2861" s="169"/>
    </row>
    <row r="2862" spans="1:13" x14ac:dyDescent="0.55000000000000004">
      <c r="A2862" s="92" t="s">
        <v>307</v>
      </c>
      <c r="B2862" s="168" t="s">
        <v>290</v>
      </c>
      <c r="C2862" s="21" t="s">
        <v>125</v>
      </c>
      <c r="D2862" s="168" t="s">
        <v>3288</v>
      </c>
      <c r="E2862" s="116">
        <f>1/0.6</f>
        <v>1.6666666666666667</v>
      </c>
      <c r="F2862" s="149" t="s">
        <v>135</v>
      </c>
      <c r="G2862" s="149" t="s">
        <v>135</v>
      </c>
      <c r="H2862" s="68" t="s">
        <v>39</v>
      </c>
      <c r="I2862" s="168" t="s">
        <v>292</v>
      </c>
      <c r="J2862" s="77" t="str">
        <f t="shared" si="14"/>
        <v>[TIMES_SE] Smelting furnace, conventional</v>
      </c>
      <c r="K2862" s="168"/>
      <c r="L2862" s="131"/>
      <c r="M2862" s="169"/>
    </row>
    <row r="2863" spans="1:13" x14ac:dyDescent="0.55000000000000004">
      <c r="A2863" s="92" t="s">
        <v>307</v>
      </c>
      <c r="B2863" s="168" t="s">
        <v>262</v>
      </c>
      <c r="C2863" s="168" t="s">
        <v>294</v>
      </c>
      <c r="D2863" s="168" t="s">
        <v>2994</v>
      </c>
      <c r="E2863" s="116">
        <v>29.64</v>
      </c>
      <c r="F2863" s="149" t="s">
        <v>138</v>
      </c>
      <c r="G2863" s="149" t="s">
        <v>135</v>
      </c>
      <c r="H2863" s="68" t="s">
        <v>309</v>
      </c>
      <c r="I2863" s="168" t="s">
        <v>310</v>
      </c>
      <c r="J2863" s="77" t="str">
        <f t="shared" si="14"/>
        <v>[TIMES_SE] Smelting furnace, conventional</v>
      </c>
      <c r="K2863" s="168"/>
      <c r="L2863" s="131"/>
      <c r="M2863" s="169"/>
    </row>
    <row r="2864" spans="1:13" x14ac:dyDescent="0.55000000000000004">
      <c r="A2864" s="92" t="s">
        <v>307</v>
      </c>
      <c r="B2864" s="168" t="s">
        <v>297</v>
      </c>
      <c r="C2864" s="168" t="s">
        <v>294</v>
      </c>
      <c r="D2864" s="168" t="s">
        <v>2994</v>
      </c>
      <c r="E2864" s="116">
        <v>0</v>
      </c>
      <c r="F2864" s="149" t="s">
        <v>138</v>
      </c>
      <c r="G2864" s="149" t="s">
        <v>135</v>
      </c>
      <c r="H2864" s="68" t="s">
        <v>309</v>
      </c>
      <c r="I2864" s="168" t="s">
        <v>310</v>
      </c>
      <c r="J2864" s="77" t="str">
        <f t="shared" si="14"/>
        <v>[TIMES_SE] Smelting furnace, conventional</v>
      </c>
      <c r="K2864" s="168"/>
      <c r="L2864" s="131"/>
      <c r="M2864" s="169"/>
    </row>
    <row r="2865" spans="1:13" x14ac:dyDescent="0.55000000000000004">
      <c r="A2865" s="92" t="s">
        <v>307</v>
      </c>
      <c r="B2865" s="168" t="s">
        <v>213</v>
      </c>
      <c r="C2865" s="168" t="s">
        <v>125</v>
      </c>
      <c r="D2865" s="168" t="s">
        <v>3289</v>
      </c>
      <c r="E2865" s="116">
        <v>506</v>
      </c>
      <c r="F2865" s="149" t="s">
        <v>133</v>
      </c>
      <c r="G2865" s="149" t="s">
        <v>135</v>
      </c>
      <c r="H2865" s="68" t="s">
        <v>39</v>
      </c>
      <c r="I2865" s="168"/>
      <c r="J2865" s="77" t="str">
        <f t="shared" si="14"/>
        <v>[TIMES_SE] Smelting furnace, conventional</v>
      </c>
      <c r="K2865" s="168"/>
      <c r="L2865" s="131"/>
      <c r="M2865" s="169"/>
    </row>
    <row r="2866" spans="1:13" x14ac:dyDescent="0.55000000000000004">
      <c r="A2866" s="92" t="s">
        <v>307</v>
      </c>
      <c r="B2866" s="168" t="s">
        <v>131</v>
      </c>
      <c r="C2866" s="168" t="s">
        <v>125</v>
      </c>
      <c r="D2866" s="168" t="s">
        <v>3288</v>
      </c>
      <c r="E2866" s="116">
        <v>0.28000000000000003</v>
      </c>
      <c r="F2866" s="149" t="s">
        <v>135</v>
      </c>
      <c r="G2866" s="149" t="s">
        <v>135</v>
      </c>
      <c r="H2866" s="68" t="s">
        <v>39</v>
      </c>
      <c r="I2866" s="168"/>
      <c r="J2866" s="77" t="str">
        <f t="shared" si="14"/>
        <v>[TIMES_SE] Smelting furnace, conventional</v>
      </c>
      <c r="K2866" s="168"/>
      <c r="L2866" s="131"/>
      <c r="M2866" s="169"/>
    </row>
    <row r="2867" spans="1:13" x14ac:dyDescent="0.55000000000000004">
      <c r="A2867" s="92" t="s">
        <v>307</v>
      </c>
      <c r="B2867" s="168" t="s">
        <v>153</v>
      </c>
      <c r="C2867" s="168" t="s">
        <v>127</v>
      </c>
      <c r="D2867" s="168" t="s">
        <v>2994</v>
      </c>
      <c r="E2867" s="116">
        <v>0.15</v>
      </c>
      <c r="F2867" s="149" t="s">
        <v>138</v>
      </c>
      <c r="G2867" s="149" t="s">
        <v>135</v>
      </c>
      <c r="H2867" s="68" t="s">
        <v>39</v>
      </c>
      <c r="I2867" s="168"/>
      <c r="J2867" s="77" t="str">
        <f t="shared" si="14"/>
        <v>[TIMES_SE] Smelting furnace, conventional</v>
      </c>
      <c r="K2867" s="168"/>
      <c r="L2867" s="131"/>
      <c r="M2867" s="169"/>
    </row>
    <row r="2868" spans="1:13" x14ac:dyDescent="0.55000000000000004">
      <c r="A2868" s="92" t="s">
        <v>307</v>
      </c>
      <c r="B2868" s="168" t="s">
        <v>160</v>
      </c>
      <c r="C2868" s="168" t="s">
        <v>247</v>
      </c>
      <c r="D2868" s="168" t="s">
        <v>3288</v>
      </c>
      <c r="E2868" s="119">
        <v>2.9047200000000002</v>
      </c>
      <c r="F2868" s="149" t="s">
        <v>135</v>
      </c>
      <c r="G2868" s="149" t="s">
        <v>135</v>
      </c>
      <c r="H2868" s="68" t="s">
        <v>413</v>
      </c>
      <c r="I2868" s="168" t="s">
        <v>2058</v>
      </c>
      <c r="J2868" s="77" t="str">
        <f t="shared" si="14"/>
        <v>[TIMES_SE] Smelting furnace, conventional</v>
      </c>
      <c r="K2868" s="168"/>
      <c r="L2868" s="160"/>
      <c r="M2868" s="169"/>
    </row>
    <row r="2869" spans="1:13" x14ac:dyDescent="0.55000000000000004">
      <c r="A2869" s="111" t="s">
        <v>303</v>
      </c>
      <c r="B2869" s="168" t="s">
        <v>287</v>
      </c>
      <c r="C2869" s="168" t="s">
        <v>121</v>
      </c>
      <c r="D2869" s="168" t="s">
        <v>3288</v>
      </c>
      <c r="E2869" s="116">
        <v>1</v>
      </c>
      <c r="F2869" s="149" t="s">
        <v>135</v>
      </c>
      <c r="G2869" s="149">
        <v>1</v>
      </c>
      <c r="H2869" s="68"/>
      <c r="I2869" s="168"/>
      <c r="J2869" s="77" t="str">
        <f t="shared" si="14"/>
        <v>[TIMES_SE] Top gas recycling blast furnace</v>
      </c>
      <c r="K2869" s="168"/>
      <c r="L2869" s="131"/>
      <c r="M2869" s="169"/>
    </row>
    <row r="2870" spans="1:13" x14ac:dyDescent="0.55000000000000004">
      <c r="A2870" s="111" t="s">
        <v>303</v>
      </c>
      <c r="B2870" s="21" t="s">
        <v>288</v>
      </c>
      <c r="C2870" s="168" t="s">
        <v>156</v>
      </c>
      <c r="D2870" s="168" t="s">
        <v>3288</v>
      </c>
      <c r="E2870" s="116">
        <v>0.28000000000000003</v>
      </c>
      <c r="F2870" s="149" t="s">
        <v>135</v>
      </c>
      <c r="G2870" s="149" t="s">
        <v>135</v>
      </c>
      <c r="H2870" s="68" t="s">
        <v>39</v>
      </c>
      <c r="I2870" s="168"/>
      <c r="J2870" s="77" t="str">
        <f t="shared" si="14"/>
        <v>[TIMES_SE] Top gas recycling blast furnace</v>
      </c>
      <c r="K2870" s="168"/>
      <c r="L2870" s="131"/>
      <c r="M2870" s="169"/>
    </row>
    <row r="2871" spans="1:13" x14ac:dyDescent="0.55000000000000004">
      <c r="A2871" s="111" t="s">
        <v>303</v>
      </c>
      <c r="B2871" s="21" t="s">
        <v>289</v>
      </c>
      <c r="C2871" s="168" t="s">
        <v>156</v>
      </c>
      <c r="D2871" s="168" t="s">
        <v>2994</v>
      </c>
      <c r="E2871" s="116">
        <f>1.69+0.59</f>
        <v>2.2799999999999998</v>
      </c>
      <c r="F2871" s="149" t="s">
        <v>138</v>
      </c>
      <c r="G2871" s="149" t="s">
        <v>135</v>
      </c>
      <c r="H2871" s="68" t="s">
        <v>39</v>
      </c>
      <c r="I2871" s="168"/>
      <c r="J2871" s="77" t="str">
        <f t="shared" si="14"/>
        <v>[TIMES_SE] Top gas recycling blast furnace</v>
      </c>
      <c r="K2871" s="168"/>
      <c r="L2871" s="131"/>
      <c r="M2871" s="169"/>
    </row>
    <row r="2872" spans="1:13" x14ac:dyDescent="0.55000000000000004">
      <c r="A2872" s="111" t="s">
        <v>303</v>
      </c>
      <c r="B2872" s="168" t="s">
        <v>290</v>
      </c>
      <c r="C2872" s="21" t="s">
        <v>125</v>
      </c>
      <c r="D2872" s="168" t="s">
        <v>3288</v>
      </c>
      <c r="E2872" s="116">
        <f>1/0.6</f>
        <v>1.6666666666666667</v>
      </c>
      <c r="F2872" s="149" t="s">
        <v>135</v>
      </c>
      <c r="G2872" s="149" t="s">
        <v>135</v>
      </c>
      <c r="H2872" s="68" t="s">
        <v>39</v>
      </c>
      <c r="I2872" s="168" t="s">
        <v>292</v>
      </c>
      <c r="J2872" s="77" t="str">
        <f t="shared" si="14"/>
        <v>[TIMES_SE] Top gas recycling blast furnace</v>
      </c>
      <c r="K2872" s="168"/>
      <c r="L2872" s="131"/>
      <c r="M2872" s="169"/>
    </row>
    <row r="2873" spans="1:13" x14ac:dyDescent="0.55000000000000004">
      <c r="A2873" s="111" t="s">
        <v>303</v>
      </c>
      <c r="B2873" s="168" t="s">
        <v>293</v>
      </c>
      <c r="C2873" s="168" t="s">
        <v>294</v>
      </c>
      <c r="D2873" s="168" t="s">
        <v>2994</v>
      </c>
      <c r="E2873" s="116">
        <v>12.4</v>
      </c>
      <c r="F2873" s="149" t="s">
        <v>138</v>
      </c>
      <c r="G2873" s="149" t="s">
        <v>135</v>
      </c>
      <c r="H2873" s="68" t="s">
        <v>301</v>
      </c>
      <c r="I2873" s="168" t="s">
        <v>295</v>
      </c>
      <c r="J2873" s="77" t="str">
        <f t="shared" si="14"/>
        <v>[TIMES_SE] Top gas recycling blast furnace</v>
      </c>
      <c r="K2873" s="168"/>
      <c r="L2873" s="131"/>
      <c r="M2873" s="169"/>
    </row>
    <row r="2874" spans="1:13" x14ac:dyDescent="0.55000000000000004">
      <c r="A2874" s="111" t="s">
        <v>303</v>
      </c>
      <c r="B2874" s="168" t="s">
        <v>262</v>
      </c>
      <c r="C2874" s="168" t="s">
        <v>294</v>
      </c>
      <c r="D2874" s="168" t="s">
        <v>2994</v>
      </c>
      <c r="E2874" s="116">
        <v>0</v>
      </c>
      <c r="F2874" s="149" t="s">
        <v>138</v>
      </c>
      <c r="G2874" s="149" t="s">
        <v>135</v>
      </c>
      <c r="H2874" s="68" t="s">
        <v>304</v>
      </c>
      <c r="I2874" s="168" t="s">
        <v>295</v>
      </c>
      <c r="J2874" s="77" t="str">
        <f t="shared" si="14"/>
        <v>[TIMES_SE] Top gas recycling blast furnace</v>
      </c>
      <c r="K2874" s="168"/>
      <c r="L2874" s="131"/>
      <c r="M2874" s="169"/>
    </row>
    <row r="2875" spans="1:13" x14ac:dyDescent="0.55000000000000004">
      <c r="A2875" s="111" t="s">
        <v>303</v>
      </c>
      <c r="B2875" s="168" t="s">
        <v>297</v>
      </c>
      <c r="C2875" s="168" t="s">
        <v>294</v>
      </c>
      <c r="D2875" s="168" t="s">
        <v>2994</v>
      </c>
      <c r="E2875" s="116">
        <v>0</v>
      </c>
      <c r="F2875" s="149" t="s">
        <v>138</v>
      </c>
      <c r="G2875" s="149" t="s">
        <v>135</v>
      </c>
      <c r="H2875" s="68" t="s">
        <v>304</v>
      </c>
      <c r="I2875" s="168" t="s">
        <v>295</v>
      </c>
      <c r="J2875" s="77" t="str">
        <f t="shared" si="14"/>
        <v>[TIMES_SE] Top gas recycling blast furnace</v>
      </c>
      <c r="K2875" s="168"/>
      <c r="L2875" s="131"/>
      <c r="M2875" s="169"/>
    </row>
    <row r="2876" spans="1:13" x14ac:dyDescent="0.55000000000000004">
      <c r="A2876" s="111" t="s">
        <v>303</v>
      </c>
      <c r="B2876" s="168" t="s">
        <v>213</v>
      </c>
      <c r="C2876" s="168" t="s">
        <v>125</v>
      </c>
      <c r="D2876" s="168" t="s">
        <v>3289</v>
      </c>
      <c r="E2876" s="116">
        <v>253</v>
      </c>
      <c r="F2876" s="149" t="s">
        <v>133</v>
      </c>
      <c r="G2876" s="149" t="s">
        <v>135</v>
      </c>
      <c r="H2876" s="68" t="s">
        <v>39</v>
      </c>
      <c r="I2876" s="168"/>
      <c r="J2876" s="77" t="str">
        <f t="shared" si="14"/>
        <v>[TIMES_SE] Top gas recycling blast furnace</v>
      </c>
      <c r="K2876" s="168"/>
      <c r="L2876" s="131"/>
      <c r="M2876" s="169"/>
    </row>
    <row r="2877" spans="1:13" x14ac:dyDescent="0.55000000000000004">
      <c r="A2877" s="111" t="s">
        <v>303</v>
      </c>
      <c r="B2877" s="168" t="s">
        <v>131</v>
      </c>
      <c r="C2877" s="168" t="s">
        <v>125</v>
      </c>
      <c r="D2877" s="168" t="s">
        <v>3288</v>
      </c>
      <c r="E2877" s="116">
        <v>6.0000000000000001E-3</v>
      </c>
      <c r="F2877" s="149" t="s">
        <v>135</v>
      </c>
      <c r="G2877" s="149" t="s">
        <v>135</v>
      </c>
      <c r="H2877" s="68" t="s">
        <v>39</v>
      </c>
      <c r="I2877" s="168"/>
      <c r="J2877" s="77" t="str">
        <f t="shared" si="14"/>
        <v>[TIMES_SE] Top gas recycling blast furnace</v>
      </c>
      <c r="K2877" s="168"/>
      <c r="L2877" s="131"/>
      <c r="M2877" s="169"/>
    </row>
    <row r="2878" spans="1:13" x14ac:dyDescent="0.55000000000000004">
      <c r="A2878" s="111" t="s">
        <v>303</v>
      </c>
      <c r="B2878" s="168" t="s">
        <v>298</v>
      </c>
      <c r="C2878" s="168" t="s">
        <v>127</v>
      </c>
      <c r="D2878" s="168" t="s">
        <v>2994</v>
      </c>
      <c r="E2878" s="116">
        <v>0.73</v>
      </c>
      <c r="F2878" s="149" t="s">
        <v>138</v>
      </c>
      <c r="G2878" s="149" t="s">
        <v>135</v>
      </c>
      <c r="H2878" s="68" t="s">
        <v>39</v>
      </c>
      <c r="I2878" s="168" t="s">
        <v>299</v>
      </c>
      <c r="J2878" s="77" t="str">
        <f t="shared" si="14"/>
        <v>[TIMES_SE] Top gas recycling blast furnace</v>
      </c>
      <c r="K2878" s="168"/>
      <c r="L2878" s="131"/>
      <c r="M2878" s="169"/>
    </row>
    <row r="2879" spans="1:13" x14ac:dyDescent="0.55000000000000004">
      <c r="A2879" s="111" t="s">
        <v>303</v>
      </c>
      <c r="B2879" s="168" t="s">
        <v>188</v>
      </c>
      <c r="C2879" s="168" t="s">
        <v>127</v>
      </c>
      <c r="D2879" s="168" t="s">
        <v>2994</v>
      </c>
      <c r="E2879" s="116">
        <v>2.0369999999999999</v>
      </c>
      <c r="F2879" s="149" t="s">
        <v>138</v>
      </c>
      <c r="G2879" s="149" t="s">
        <v>135</v>
      </c>
      <c r="H2879" s="68" t="s">
        <v>39</v>
      </c>
      <c r="I2879" s="168"/>
      <c r="J2879" s="77" t="str">
        <f t="shared" si="14"/>
        <v>[TIMES_SE] Top gas recycling blast furnace</v>
      </c>
      <c r="K2879" s="168"/>
      <c r="L2879" s="131"/>
      <c r="M2879" s="169"/>
    </row>
    <row r="2880" spans="1:13" x14ac:dyDescent="0.55000000000000004">
      <c r="A2880" s="111" t="s">
        <v>303</v>
      </c>
      <c r="B2880" s="168" t="s">
        <v>153</v>
      </c>
      <c r="C2880" s="168" t="s">
        <v>127</v>
      </c>
      <c r="D2880" s="168" t="s">
        <v>2994</v>
      </c>
      <c r="E2880" s="116">
        <v>0.371</v>
      </c>
      <c r="F2880" s="149" t="s">
        <v>138</v>
      </c>
      <c r="G2880" s="149" t="s">
        <v>135</v>
      </c>
      <c r="H2880" s="68" t="s">
        <v>39</v>
      </c>
      <c r="I2880" s="168"/>
      <c r="J2880" s="77" t="str">
        <f t="shared" si="14"/>
        <v>[TIMES_SE] Top gas recycling blast furnace</v>
      </c>
      <c r="K2880" s="168"/>
      <c r="L2880" s="131"/>
      <c r="M2880" s="169"/>
    </row>
    <row r="2881" spans="1:13" x14ac:dyDescent="0.55000000000000004">
      <c r="A2881" s="111" t="s">
        <v>303</v>
      </c>
      <c r="B2881" s="168" t="s">
        <v>160</v>
      </c>
      <c r="C2881" s="168" t="s">
        <v>247</v>
      </c>
      <c r="D2881" s="168" t="s">
        <v>3288</v>
      </c>
      <c r="E2881" s="119">
        <v>1.333</v>
      </c>
      <c r="F2881" s="151" t="s">
        <v>135</v>
      </c>
      <c r="G2881" s="149" t="s">
        <v>135</v>
      </c>
      <c r="H2881" s="68" t="s">
        <v>376</v>
      </c>
      <c r="I2881" s="168" t="s">
        <v>2052</v>
      </c>
      <c r="J2881" s="74" t="str">
        <f t="shared" si="14"/>
        <v>[TIMES_SE] Top gas recycling blast furnace</v>
      </c>
      <c r="K2881" s="168"/>
      <c r="L2881" s="160"/>
      <c r="M2881" s="169"/>
    </row>
    <row r="2882" spans="1:13" x14ac:dyDescent="0.55000000000000004">
      <c r="A2882" s="111" t="s">
        <v>303</v>
      </c>
      <c r="B2882" s="168" t="s">
        <v>160</v>
      </c>
      <c r="C2882" s="168" t="s">
        <v>247</v>
      </c>
      <c r="D2882" s="168" t="s">
        <v>3288</v>
      </c>
      <c r="E2882" s="119">
        <v>5.0589000000000002E-2</v>
      </c>
      <c r="F2882" s="151" t="s">
        <v>135</v>
      </c>
      <c r="G2882" s="149" t="s">
        <v>135</v>
      </c>
      <c r="H2882" s="68" t="s">
        <v>376</v>
      </c>
      <c r="I2882" s="168" t="s">
        <v>2053</v>
      </c>
      <c r="J2882" s="74" t="str">
        <f t="shared" si="14"/>
        <v>[TIMES_SE] Top gas recycling blast furnace</v>
      </c>
      <c r="K2882" s="168"/>
      <c r="L2882" s="160"/>
      <c r="M2882" s="169"/>
    </row>
    <row r="2883" spans="1:13" x14ac:dyDescent="0.55000000000000004">
      <c r="A2883" s="111" t="s">
        <v>303</v>
      </c>
      <c r="B2883" s="168" t="s">
        <v>160</v>
      </c>
      <c r="C2883" s="168" t="s">
        <v>247</v>
      </c>
      <c r="D2883" s="168" t="s">
        <v>3288</v>
      </c>
      <c r="E2883" s="119">
        <v>0.10592399999999999</v>
      </c>
      <c r="F2883" s="151" t="s">
        <v>135</v>
      </c>
      <c r="G2883" s="149" t="s">
        <v>135</v>
      </c>
      <c r="H2883" s="68" t="s">
        <v>373</v>
      </c>
      <c r="I2883" s="168" t="s">
        <v>2054</v>
      </c>
      <c r="J2883" s="74" t="str">
        <f t="shared" si="14"/>
        <v>[TIMES_SE] Top gas recycling blast furnace</v>
      </c>
      <c r="K2883" s="168"/>
      <c r="L2883" s="160"/>
      <c r="M2883" s="169"/>
    </row>
    <row r="2884" spans="1:13" x14ac:dyDescent="0.55000000000000004">
      <c r="A2884" s="92" t="s">
        <v>305</v>
      </c>
      <c r="B2884" s="168" t="s">
        <v>287</v>
      </c>
      <c r="C2884" s="168" t="s">
        <v>121</v>
      </c>
      <c r="D2884" s="168" t="s">
        <v>3288</v>
      </c>
      <c r="E2884" s="116">
        <v>1</v>
      </c>
      <c r="F2884" s="149" t="s">
        <v>135</v>
      </c>
      <c r="G2884" s="149">
        <v>1</v>
      </c>
      <c r="H2884" s="68"/>
      <c r="I2884" s="168"/>
      <c r="J2884" s="77" t="str">
        <f t="shared" si="14"/>
        <v>[TIMES_SE] Top gas recycling blast furnace w. CCS (MDEA)</v>
      </c>
      <c r="K2884" s="168"/>
      <c r="L2884" s="131"/>
      <c r="M2884" s="169"/>
    </row>
    <row r="2885" spans="1:13" x14ac:dyDescent="0.55000000000000004">
      <c r="A2885" s="92" t="s">
        <v>305</v>
      </c>
      <c r="B2885" s="21" t="s">
        <v>288</v>
      </c>
      <c r="C2885" s="168" t="s">
        <v>156</v>
      </c>
      <c r="D2885" s="168" t="s">
        <v>3288</v>
      </c>
      <c r="E2885" s="116">
        <v>0.28000000000000003</v>
      </c>
      <c r="F2885" s="149" t="s">
        <v>135</v>
      </c>
      <c r="G2885" s="149" t="s">
        <v>135</v>
      </c>
      <c r="H2885" s="68" t="s">
        <v>39</v>
      </c>
      <c r="I2885" s="168"/>
      <c r="J2885" s="77" t="str">
        <f t="shared" si="14"/>
        <v>[TIMES_SE] Top gas recycling blast furnace w. CCS (MDEA)</v>
      </c>
      <c r="K2885" s="168"/>
      <c r="L2885" s="131"/>
      <c r="M2885" s="169"/>
    </row>
    <row r="2886" spans="1:13" x14ac:dyDescent="0.55000000000000004">
      <c r="A2886" s="92" t="s">
        <v>305</v>
      </c>
      <c r="B2886" s="21" t="s">
        <v>289</v>
      </c>
      <c r="C2886" s="168" t="s">
        <v>156</v>
      </c>
      <c r="D2886" s="168" t="s">
        <v>2994</v>
      </c>
      <c r="E2886" s="116">
        <f>1.69+0.59</f>
        <v>2.2799999999999998</v>
      </c>
      <c r="F2886" s="149" t="s">
        <v>138</v>
      </c>
      <c r="G2886" s="149" t="s">
        <v>135</v>
      </c>
      <c r="H2886" s="68" t="s">
        <v>39</v>
      </c>
      <c r="I2886" s="168"/>
      <c r="J2886" s="77" t="str">
        <f t="shared" si="14"/>
        <v>[TIMES_SE] Top gas recycling blast furnace w. CCS (MDEA)</v>
      </c>
      <c r="K2886" s="168"/>
      <c r="L2886" s="131"/>
      <c r="M2886" s="169"/>
    </row>
    <row r="2887" spans="1:13" x14ac:dyDescent="0.55000000000000004">
      <c r="A2887" s="92" t="s">
        <v>305</v>
      </c>
      <c r="B2887" s="168" t="s">
        <v>290</v>
      </c>
      <c r="C2887" s="21" t="s">
        <v>125</v>
      </c>
      <c r="D2887" s="168" t="s">
        <v>3288</v>
      </c>
      <c r="E2887" s="116">
        <f>1/0.6</f>
        <v>1.6666666666666667</v>
      </c>
      <c r="F2887" s="149" t="s">
        <v>135</v>
      </c>
      <c r="G2887" s="149" t="s">
        <v>135</v>
      </c>
      <c r="H2887" s="68" t="s">
        <v>39</v>
      </c>
      <c r="I2887" s="168" t="s">
        <v>292</v>
      </c>
      <c r="J2887" s="77" t="str">
        <f t="shared" si="14"/>
        <v>[TIMES_SE] Top gas recycling blast furnace w. CCS (MDEA)</v>
      </c>
      <c r="K2887" s="168"/>
      <c r="L2887" s="131"/>
      <c r="M2887" s="169"/>
    </row>
    <row r="2888" spans="1:13" x14ac:dyDescent="0.55000000000000004">
      <c r="A2888" s="92" t="s">
        <v>305</v>
      </c>
      <c r="B2888" s="168" t="s">
        <v>293</v>
      </c>
      <c r="C2888" s="168" t="s">
        <v>294</v>
      </c>
      <c r="D2888" s="168" t="s">
        <v>2994</v>
      </c>
      <c r="E2888" s="116">
        <v>12.4</v>
      </c>
      <c r="F2888" s="149" t="s">
        <v>138</v>
      </c>
      <c r="G2888" s="149" t="s">
        <v>135</v>
      </c>
      <c r="H2888" s="68" t="s">
        <v>301</v>
      </c>
      <c r="I2888" s="168" t="s">
        <v>295</v>
      </c>
      <c r="J2888" s="77" t="str">
        <f t="shared" si="14"/>
        <v>[TIMES_SE] Top gas recycling blast furnace w. CCS (MDEA)</v>
      </c>
      <c r="K2888" s="168"/>
      <c r="L2888" s="131"/>
      <c r="M2888" s="169"/>
    </row>
    <row r="2889" spans="1:13" x14ac:dyDescent="0.55000000000000004">
      <c r="A2889" s="92" t="s">
        <v>305</v>
      </c>
      <c r="B2889" s="168" t="s">
        <v>262</v>
      </c>
      <c r="C2889" s="168" t="s">
        <v>294</v>
      </c>
      <c r="D2889" s="168" t="s">
        <v>2994</v>
      </c>
      <c r="E2889" s="116">
        <v>0</v>
      </c>
      <c r="F2889" s="149" t="s">
        <v>138</v>
      </c>
      <c r="G2889" s="149" t="s">
        <v>135</v>
      </c>
      <c r="H2889" s="68" t="s">
        <v>304</v>
      </c>
      <c r="I2889" s="168" t="s">
        <v>295</v>
      </c>
      <c r="J2889" s="77" t="str">
        <f t="shared" si="14"/>
        <v>[TIMES_SE] Top gas recycling blast furnace w. CCS (MDEA)</v>
      </c>
      <c r="K2889" s="168"/>
      <c r="L2889" s="131"/>
      <c r="M2889" s="169"/>
    </row>
    <row r="2890" spans="1:13" x14ac:dyDescent="0.55000000000000004">
      <c r="A2890" s="92" t="s">
        <v>305</v>
      </c>
      <c r="B2890" s="168" t="s">
        <v>297</v>
      </c>
      <c r="C2890" s="168" t="s">
        <v>294</v>
      </c>
      <c r="D2890" s="168" t="s">
        <v>2994</v>
      </c>
      <c r="E2890" s="116">
        <v>0</v>
      </c>
      <c r="F2890" s="149" t="s">
        <v>138</v>
      </c>
      <c r="G2890" s="149" t="s">
        <v>135</v>
      </c>
      <c r="H2890" s="68" t="s">
        <v>304</v>
      </c>
      <c r="I2890" s="168" t="s">
        <v>295</v>
      </c>
      <c r="J2890" s="77" t="str">
        <f t="shared" si="14"/>
        <v>[TIMES_SE] Top gas recycling blast furnace w. CCS (MDEA)</v>
      </c>
      <c r="K2890" s="168"/>
      <c r="L2890" s="131"/>
      <c r="M2890" s="169"/>
    </row>
    <row r="2891" spans="1:13" x14ac:dyDescent="0.55000000000000004">
      <c r="A2891" s="92" t="s">
        <v>305</v>
      </c>
      <c r="B2891" s="168" t="s">
        <v>213</v>
      </c>
      <c r="C2891" s="168" t="s">
        <v>125</v>
      </c>
      <c r="D2891" s="168" t="s">
        <v>3289</v>
      </c>
      <c r="E2891" s="116">
        <v>253</v>
      </c>
      <c r="F2891" s="149" t="s">
        <v>133</v>
      </c>
      <c r="G2891" s="149" t="s">
        <v>135</v>
      </c>
      <c r="H2891" s="68" t="s">
        <v>39</v>
      </c>
      <c r="I2891" s="168"/>
      <c r="J2891" s="77" t="str">
        <f t="shared" si="14"/>
        <v>[TIMES_SE] Top gas recycling blast furnace w. CCS (MDEA)</v>
      </c>
      <c r="K2891" s="168"/>
      <c r="L2891" s="131"/>
      <c r="M2891" s="169"/>
    </row>
    <row r="2892" spans="1:13" x14ac:dyDescent="0.55000000000000004">
      <c r="A2892" s="92" t="s">
        <v>305</v>
      </c>
      <c r="B2892" s="168" t="s">
        <v>131</v>
      </c>
      <c r="C2892" s="168" t="s">
        <v>125</v>
      </c>
      <c r="D2892" s="168" t="s">
        <v>3288</v>
      </c>
      <c r="E2892" s="116">
        <v>6.0000000000000001E-3</v>
      </c>
      <c r="F2892" s="149" t="s">
        <v>135</v>
      </c>
      <c r="G2892" s="149" t="s">
        <v>135</v>
      </c>
      <c r="H2892" s="68" t="s">
        <v>39</v>
      </c>
      <c r="I2892" s="168"/>
      <c r="J2892" s="77" t="str">
        <f t="shared" si="14"/>
        <v>[TIMES_SE] Top gas recycling blast furnace w. CCS (MDEA)</v>
      </c>
      <c r="K2892" s="168"/>
      <c r="L2892" s="131"/>
      <c r="M2892" s="169"/>
    </row>
    <row r="2893" spans="1:13" x14ac:dyDescent="0.55000000000000004">
      <c r="A2893" s="92" t="s">
        <v>305</v>
      </c>
      <c r="B2893" s="168" t="s">
        <v>298</v>
      </c>
      <c r="C2893" s="168" t="s">
        <v>127</v>
      </c>
      <c r="D2893" s="168" t="s">
        <v>2994</v>
      </c>
      <c r="E2893" s="116">
        <v>0.73</v>
      </c>
      <c r="F2893" s="149" t="s">
        <v>138</v>
      </c>
      <c r="G2893" s="149" t="s">
        <v>135</v>
      </c>
      <c r="H2893" s="68" t="s">
        <v>39</v>
      </c>
      <c r="I2893" s="168" t="s">
        <v>299</v>
      </c>
      <c r="J2893" s="77" t="str">
        <f t="shared" si="14"/>
        <v>[TIMES_SE] Top gas recycling blast furnace w. CCS (MDEA)</v>
      </c>
      <c r="K2893" s="168"/>
      <c r="L2893" s="131"/>
      <c r="M2893" s="169"/>
    </row>
    <row r="2894" spans="1:13" x14ac:dyDescent="0.55000000000000004">
      <c r="A2894" s="92" t="s">
        <v>305</v>
      </c>
      <c r="B2894" s="168" t="s">
        <v>188</v>
      </c>
      <c r="C2894" s="168" t="s">
        <v>127</v>
      </c>
      <c r="D2894" s="168" t="s">
        <v>2994</v>
      </c>
      <c r="E2894" s="116">
        <v>2.0369999999999999</v>
      </c>
      <c r="F2894" s="149" t="s">
        <v>138</v>
      </c>
      <c r="G2894" s="149" t="s">
        <v>135</v>
      </c>
      <c r="H2894" s="68" t="s">
        <v>39</v>
      </c>
      <c r="I2894" s="168"/>
      <c r="J2894" s="77" t="str">
        <f t="shared" si="14"/>
        <v>[TIMES_SE] Top gas recycling blast furnace w. CCS (MDEA)</v>
      </c>
      <c r="K2894" s="168"/>
      <c r="L2894" s="131"/>
      <c r="M2894" s="169"/>
    </row>
    <row r="2895" spans="1:13" x14ac:dyDescent="0.55000000000000004">
      <c r="A2895" s="92" t="s">
        <v>305</v>
      </c>
      <c r="B2895" s="168" t="s">
        <v>153</v>
      </c>
      <c r="C2895" s="168" t="s">
        <v>127</v>
      </c>
      <c r="D2895" s="168" t="s">
        <v>2994</v>
      </c>
      <c r="E2895" s="116">
        <v>0.89</v>
      </c>
      <c r="F2895" s="149" t="s">
        <v>138</v>
      </c>
      <c r="G2895" s="149" t="s">
        <v>135</v>
      </c>
      <c r="H2895" s="68" t="s">
        <v>39</v>
      </c>
      <c r="I2895" s="168"/>
      <c r="J2895" s="77" t="str">
        <f t="shared" si="14"/>
        <v>[TIMES_SE] Top gas recycling blast furnace w. CCS (MDEA)</v>
      </c>
      <c r="K2895" s="168"/>
      <c r="L2895" s="131"/>
      <c r="M2895" s="169"/>
    </row>
    <row r="2896" spans="1:13" x14ac:dyDescent="0.55000000000000004">
      <c r="A2896" s="92" t="s">
        <v>305</v>
      </c>
      <c r="B2896" s="168" t="s">
        <v>160</v>
      </c>
      <c r="C2896" s="168" t="s">
        <v>247</v>
      </c>
      <c r="D2896" s="168" t="s">
        <v>3288</v>
      </c>
      <c r="E2896" s="119">
        <f>1.333*(1-0.9)</f>
        <v>0.13329999999999997</v>
      </c>
      <c r="F2896" s="151" t="s">
        <v>135</v>
      </c>
      <c r="G2896" s="149" t="s">
        <v>135</v>
      </c>
      <c r="H2896" s="68" t="s">
        <v>376</v>
      </c>
      <c r="I2896" s="168" t="s">
        <v>2055</v>
      </c>
      <c r="J2896" s="74" t="str">
        <f t="shared" si="14"/>
        <v>[TIMES_SE] Top gas recycling blast furnace w. CCS (MDEA)</v>
      </c>
      <c r="K2896" s="168"/>
      <c r="L2896" s="160"/>
      <c r="M2896" s="169"/>
    </row>
    <row r="2897" spans="1:13" x14ac:dyDescent="0.55000000000000004">
      <c r="A2897" s="92" t="s">
        <v>305</v>
      </c>
      <c r="B2897" s="168" t="s">
        <v>160</v>
      </c>
      <c r="C2897" s="168" t="s">
        <v>247</v>
      </c>
      <c r="D2897" s="168" t="s">
        <v>3288</v>
      </c>
      <c r="E2897" s="119">
        <f>0.050589*(1-0.9)</f>
        <v>5.058899999999999E-3</v>
      </c>
      <c r="F2897" s="151" t="s">
        <v>135</v>
      </c>
      <c r="G2897" s="149" t="s">
        <v>135</v>
      </c>
      <c r="H2897" s="68" t="s">
        <v>376</v>
      </c>
      <c r="I2897" s="168" t="s">
        <v>2056</v>
      </c>
      <c r="J2897" s="74" t="str">
        <f t="shared" si="14"/>
        <v>[TIMES_SE] Top gas recycling blast furnace w. CCS (MDEA)</v>
      </c>
      <c r="K2897" s="168"/>
      <c r="L2897" s="160"/>
      <c r="M2897" s="169"/>
    </row>
    <row r="2898" spans="1:13" x14ac:dyDescent="0.55000000000000004">
      <c r="A2898" s="92" t="s">
        <v>305</v>
      </c>
      <c r="B2898" s="168" t="s">
        <v>160</v>
      </c>
      <c r="C2898" s="168" t="s">
        <v>247</v>
      </c>
      <c r="D2898" s="168" t="s">
        <v>3288</v>
      </c>
      <c r="E2898" s="119">
        <f>0.105924*(1-0.9)</f>
        <v>1.0592399999999998E-2</v>
      </c>
      <c r="F2898" s="151" t="s">
        <v>135</v>
      </c>
      <c r="G2898" s="149" t="s">
        <v>135</v>
      </c>
      <c r="H2898" s="68" t="s">
        <v>373</v>
      </c>
      <c r="I2898" s="168" t="s">
        <v>2057</v>
      </c>
      <c r="J2898" s="74" t="str">
        <f t="shared" si="14"/>
        <v>[TIMES_SE] Top gas recycling blast furnace w. CCS (MDEA)</v>
      </c>
      <c r="K2898" s="168"/>
      <c r="L2898" s="160"/>
      <c r="M2898" s="169"/>
    </row>
    <row r="2899" spans="1:13" x14ac:dyDescent="0.55000000000000004">
      <c r="A2899" s="92" t="s">
        <v>305</v>
      </c>
      <c r="B2899" s="168" t="s">
        <v>160</v>
      </c>
      <c r="C2899" s="168" t="s">
        <v>156</v>
      </c>
      <c r="D2899" s="168" t="s">
        <v>3288</v>
      </c>
      <c r="E2899" s="119">
        <f>1.333*(0.9)</f>
        <v>1.1997</v>
      </c>
      <c r="F2899" s="151" t="s">
        <v>135</v>
      </c>
      <c r="G2899" s="149" t="s">
        <v>135</v>
      </c>
      <c r="H2899" s="68" t="s">
        <v>376</v>
      </c>
      <c r="I2899" s="168" t="s">
        <v>2055</v>
      </c>
      <c r="J2899" s="74" t="str">
        <f t="shared" si="14"/>
        <v>[TIMES_SE] Top gas recycling blast furnace w. CCS (MDEA)</v>
      </c>
      <c r="K2899" s="168"/>
      <c r="L2899" s="160"/>
      <c r="M2899" s="169"/>
    </row>
    <row r="2900" spans="1:13" x14ac:dyDescent="0.55000000000000004">
      <c r="A2900" s="92" t="s">
        <v>305</v>
      </c>
      <c r="B2900" s="168" t="s">
        <v>160</v>
      </c>
      <c r="C2900" s="168" t="s">
        <v>156</v>
      </c>
      <c r="D2900" s="168" t="s">
        <v>3288</v>
      </c>
      <c r="E2900" s="119">
        <f>0.050589*(0.9)</f>
        <v>4.5530100000000004E-2</v>
      </c>
      <c r="F2900" s="151" t="s">
        <v>135</v>
      </c>
      <c r="G2900" s="149" t="s">
        <v>135</v>
      </c>
      <c r="H2900" s="68" t="s">
        <v>376</v>
      </c>
      <c r="I2900" s="168" t="s">
        <v>2056</v>
      </c>
      <c r="J2900" s="74" t="str">
        <f t="shared" si="14"/>
        <v>[TIMES_SE] Top gas recycling blast furnace w. CCS (MDEA)</v>
      </c>
      <c r="K2900" s="168"/>
      <c r="L2900" s="160"/>
      <c r="M2900" s="169"/>
    </row>
    <row r="2901" spans="1:13" x14ac:dyDescent="0.55000000000000004">
      <c r="A2901" s="92" t="s">
        <v>305</v>
      </c>
      <c r="B2901" s="168" t="s">
        <v>160</v>
      </c>
      <c r="C2901" s="168" t="s">
        <v>156</v>
      </c>
      <c r="D2901" s="168" t="s">
        <v>3288</v>
      </c>
      <c r="E2901" s="119">
        <f>0.105924*(0.9)</f>
        <v>9.5331600000000002E-2</v>
      </c>
      <c r="F2901" s="151" t="s">
        <v>135</v>
      </c>
      <c r="G2901" s="149" t="s">
        <v>135</v>
      </c>
      <c r="H2901" s="68" t="s">
        <v>373</v>
      </c>
      <c r="I2901" s="168" t="s">
        <v>2057</v>
      </c>
      <c r="J2901" s="74" t="str">
        <f t="shared" si="14"/>
        <v>[TIMES_SE] Top gas recycling blast furnace w. CCS (MDEA)</v>
      </c>
      <c r="K2901" s="168"/>
      <c r="L2901" s="160"/>
      <c r="M2901" s="169"/>
    </row>
    <row r="2902" spans="1:13" x14ac:dyDescent="0.55000000000000004">
      <c r="A2902" s="92" t="s">
        <v>306</v>
      </c>
      <c r="B2902" s="168" t="s">
        <v>287</v>
      </c>
      <c r="C2902" s="168" t="s">
        <v>121</v>
      </c>
      <c r="D2902" s="168" t="s">
        <v>3288</v>
      </c>
      <c r="E2902" s="116">
        <v>1</v>
      </c>
      <c r="F2902" s="149" t="s">
        <v>135</v>
      </c>
      <c r="G2902" s="149">
        <v>1</v>
      </c>
      <c r="H2902" s="68"/>
      <c r="I2902" s="168"/>
      <c r="J2902" s="77" t="str">
        <f t="shared" si="14"/>
        <v>[TIMES_SE] Top gas recycling blast furnace w. CCS (VPSA)</v>
      </c>
      <c r="K2902" s="168"/>
      <c r="L2902" s="131"/>
      <c r="M2902" s="169"/>
    </row>
    <row r="2903" spans="1:13" x14ac:dyDescent="0.55000000000000004">
      <c r="A2903" s="92" t="s">
        <v>306</v>
      </c>
      <c r="B2903" s="21" t="s">
        <v>288</v>
      </c>
      <c r="C2903" s="168" t="s">
        <v>156</v>
      </c>
      <c r="D2903" s="168" t="s">
        <v>3288</v>
      </c>
      <c r="E2903" s="116">
        <v>0.28000000000000003</v>
      </c>
      <c r="F2903" s="149" t="s">
        <v>135</v>
      </c>
      <c r="G2903" s="149" t="s">
        <v>135</v>
      </c>
      <c r="H2903" s="68" t="s">
        <v>39</v>
      </c>
      <c r="I2903" s="168"/>
      <c r="J2903" s="77" t="str">
        <f t="shared" si="14"/>
        <v>[TIMES_SE] Top gas recycling blast furnace w. CCS (VPSA)</v>
      </c>
      <c r="K2903" s="168"/>
      <c r="L2903" s="131"/>
      <c r="M2903" s="169"/>
    </row>
    <row r="2904" spans="1:13" x14ac:dyDescent="0.55000000000000004">
      <c r="A2904" s="92" t="s">
        <v>306</v>
      </c>
      <c r="B2904" s="21" t="s">
        <v>289</v>
      </c>
      <c r="C2904" s="168" t="s">
        <v>156</v>
      </c>
      <c r="D2904" s="168" t="s">
        <v>2994</v>
      </c>
      <c r="E2904" s="116">
        <f>1.69+0.59</f>
        <v>2.2799999999999998</v>
      </c>
      <c r="F2904" s="149" t="s">
        <v>138</v>
      </c>
      <c r="G2904" s="149" t="s">
        <v>135</v>
      </c>
      <c r="H2904" s="68" t="s">
        <v>39</v>
      </c>
      <c r="I2904" s="168"/>
      <c r="J2904" s="77" t="str">
        <f t="shared" si="14"/>
        <v>[TIMES_SE] Top gas recycling blast furnace w. CCS (VPSA)</v>
      </c>
      <c r="K2904" s="168"/>
      <c r="L2904" s="131"/>
      <c r="M2904" s="169"/>
    </row>
    <row r="2905" spans="1:13" x14ac:dyDescent="0.55000000000000004">
      <c r="A2905" s="92" t="s">
        <v>306</v>
      </c>
      <c r="B2905" s="168" t="s">
        <v>290</v>
      </c>
      <c r="C2905" s="21" t="s">
        <v>125</v>
      </c>
      <c r="D2905" s="168" t="s">
        <v>3288</v>
      </c>
      <c r="E2905" s="116">
        <f>1/0.6</f>
        <v>1.6666666666666667</v>
      </c>
      <c r="F2905" s="149" t="s">
        <v>135</v>
      </c>
      <c r="G2905" s="149" t="s">
        <v>135</v>
      </c>
      <c r="H2905" s="68" t="s">
        <v>39</v>
      </c>
      <c r="I2905" s="168" t="s">
        <v>292</v>
      </c>
      <c r="J2905" s="77" t="str">
        <f t="shared" si="14"/>
        <v>[TIMES_SE] Top gas recycling blast furnace w. CCS (VPSA)</v>
      </c>
      <c r="K2905" s="168"/>
      <c r="L2905" s="131"/>
      <c r="M2905" s="169"/>
    </row>
    <row r="2906" spans="1:13" x14ac:dyDescent="0.55000000000000004">
      <c r="A2906" s="92" t="s">
        <v>306</v>
      </c>
      <c r="B2906" s="168" t="s">
        <v>293</v>
      </c>
      <c r="C2906" s="168" t="s">
        <v>294</v>
      </c>
      <c r="D2906" s="168" t="s">
        <v>2994</v>
      </c>
      <c r="E2906" s="116">
        <v>12.4</v>
      </c>
      <c r="F2906" s="149" t="s">
        <v>138</v>
      </c>
      <c r="G2906" s="149" t="s">
        <v>135</v>
      </c>
      <c r="H2906" s="68" t="s">
        <v>301</v>
      </c>
      <c r="I2906" s="168" t="s">
        <v>295</v>
      </c>
      <c r="J2906" s="77" t="str">
        <f t="shared" si="14"/>
        <v>[TIMES_SE] Top gas recycling blast furnace w. CCS (VPSA)</v>
      </c>
      <c r="K2906" s="168"/>
      <c r="L2906" s="131"/>
      <c r="M2906" s="169"/>
    </row>
    <row r="2907" spans="1:13" x14ac:dyDescent="0.55000000000000004">
      <c r="A2907" s="92" t="s">
        <v>306</v>
      </c>
      <c r="B2907" s="168" t="s">
        <v>262</v>
      </c>
      <c r="C2907" s="168" t="s">
        <v>294</v>
      </c>
      <c r="D2907" s="168" t="s">
        <v>2994</v>
      </c>
      <c r="E2907" s="116">
        <v>0</v>
      </c>
      <c r="F2907" s="149" t="s">
        <v>138</v>
      </c>
      <c r="G2907" s="149" t="s">
        <v>135</v>
      </c>
      <c r="H2907" s="68" t="s">
        <v>304</v>
      </c>
      <c r="I2907" s="168" t="s">
        <v>295</v>
      </c>
      <c r="J2907" s="77" t="str">
        <f t="shared" si="14"/>
        <v>[TIMES_SE] Top gas recycling blast furnace w. CCS (VPSA)</v>
      </c>
      <c r="K2907" s="168"/>
      <c r="L2907" s="131"/>
      <c r="M2907" s="169"/>
    </row>
    <row r="2908" spans="1:13" x14ac:dyDescent="0.55000000000000004">
      <c r="A2908" s="92" t="s">
        <v>306</v>
      </c>
      <c r="B2908" s="168" t="s">
        <v>297</v>
      </c>
      <c r="C2908" s="168" t="s">
        <v>294</v>
      </c>
      <c r="D2908" s="168" t="s">
        <v>2994</v>
      </c>
      <c r="E2908" s="116">
        <v>0</v>
      </c>
      <c r="F2908" s="149" t="s">
        <v>138</v>
      </c>
      <c r="G2908" s="149" t="s">
        <v>135</v>
      </c>
      <c r="H2908" s="68" t="s">
        <v>304</v>
      </c>
      <c r="I2908" s="168" t="s">
        <v>295</v>
      </c>
      <c r="J2908" s="77" t="str">
        <f t="shared" si="14"/>
        <v>[TIMES_SE] Top gas recycling blast furnace w. CCS (VPSA)</v>
      </c>
      <c r="K2908" s="168"/>
      <c r="L2908" s="131"/>
      <c r="M2908" s="169"/>
    </row>
    <row r="2909" spans="1:13" x14ac:dyDescent="0.55000000000000004">
      <c r="A2909" s="92" t="s">
        <v>306</v>
      </c>
      <c r="B2909" s="168" t="s">
        <v>213</v>
      </c>
      <c r="C2909" s="168" t="s">
        <v>125</v>
      </c>
      <c r="D2909" s="168" t="s">
        <v>3289</v>
      </c>
      <c r="E2909" s="116">
        <v>253</v>
      </c>
      <c r="F2909" s="149" t="s">
        <v>133</v>
      </c>
      <c r="G2909" s="149" t="s">
        <v>135</v>
      </c>
      <c r="H2909" s="68" t="s">
        <v>39</v>
      </c>
      <c r="I2909" s="168"/>
      <c r="J2909" s="77" t="str">
        <f t="shared" si="14"/>
        <v>[TIMES_SE] Top gas recycling blast furnace w. CCS (VPSA)</v>
      </c>
      <c r="K2909" s="168"/>
      <c r="L2909" s="131"/>
      <c r="M2909" s="169"/>
    </row>
    <row r="2910" spans="1:13" x14ac:dyDescent="0.55000000000000004">
      <c r="A2910" s="92" t="s">
        <v>306</v>
      </c>
      <c r="B2910" s="168" t="s">
        <v>131</v>
      </c>
      <c r="C2910" s="168" t="s">
        <v>125</v>
      </c>
      <c r="D2910" s="168" t="s">
        <v>3288</v>
      </c>
      <c r="E2910" s="116">
        <v>6.0000000000000001E-3</v>
      </c>
      <c r="F2910" s="149" t="s">
        <v>135</v>
      </c>
      <c r="G2910" s="149" t="s">
        <v>135</v>
      </c>
      <c r="H2910" s="68" t="s">
        <v>39</v>
      </c>
      <c r="I2910" s="168"/>
      <c r="J2910" s="77" t="str">
        <f t="shared" si="14"/>
        <v>[TIMES_SE] Top gas recycling blast furnace w. CCS (VPSA)</v>
      </c>
      <c r="K2910" s="168"/>
      <c r="L2910" s="131"/>
      <c r="M2910" s="169"/>
    </row>
    <row r="2911" spans="1:13" x14ac:dyDescent="0.55000000000000004">
      <c r="A2911" s="92" t="s">
        <v>306</v>
      </c>
      <c r="B2911" s="168" t="s">
        <v>298</v>
      </c>
      <c r="C2911" s="168" t="s">
        <v>127</v>
      </c>
      <c r="D2911" s="168" t="s">
        <v>2994</v>
      </c>
      <c r="E2911" s="116">
        <v>0.73</v>
      </c>
      <c r="F2911" s="149" t="s">
        <v>138</v>
      </c>
      <c r="G2911" s="149" t="s">
        <v>135</v>
      </c>
      <c r="H2911" s="68" t="s">
        <v>39</v>
      </c>
      <c r="I2911" s="168" t="s">
        <v>299</v>
      </c>
      <c r="J2911" s="77" t="str">
        <f t="shared" si="14"/>
        <v>[TIMES_SE] Top gas recycling blast furnace w. CCS (VPSA)</v>
      </c>
      <c r="K2911" s="168"/>
      <c r="L2911" s="131"/>
      <c r="M2911" s="169"/>
    </row>
    <row r="2912" spans="1:13" x14ac:dyDescent="0.55000000000000004">
      <c r="A2912" s="92" t="s">
        <v>306</v>
      </c>
      <c r="B2912" s="168" t="s">
        <v>153</v>
      </c>
      <c r="C2912" s="168" t="s">
        <v>127</v>
      </c>
      <c r="D2912" s="168" t="s">
        <v>2994</v>
      </c>
      <c r="E2912" s="116">
        <v>1.1100000000000001</v>
      </c>
      <c r="F2912" s="149" t="s">
        <v>138</v>
      </c>
      <c r="G2912" s="149" t="s">
        <v>135</v>
      </c>
      <c r="H2912" s="68" t="s">
        <v>39</v>
      </c>
      <c r="I2912" s="168"/>
      <c r="J2912" s="77" t="str">
        <f t="shared" si="14"/>
        <v>[TIMES_SE] Top gas recycling blast furnace w. CCS (VPSA)</v>
      </c>
      <c r="K2912" s="168"/>
      <c r="L2912" s="131"/>
      <c r="M2912" s="169"/>
    </row>
    <row r="2913" spans="1:13" x14ac:dyDescent="0.55000000000000004">
      <c r="A2913" s="92" t="s">
        <v>306</v>
      </c>
      <c r="B2913" s="168" t="s">
        <v>160</v>
      </c>
      <c r="C2913" s="168" t="s">
        <v>247</v>
      </c>
      <c r="D2913" s="168" t="s">
        <v>3288</v>
      </c>
      <c r="E2913" s="119">
        <f>1.333*(1-0.9)</f>
        <v>0.13329999999999997</v>
      </c>
      <c r="F2913" s="151" t="s">
        <v>135</v>
      </c>
      <c r="G2913" s="149" t="s">
        <v>135</v>
      </c>
      <c r="H2913" s="68" t="s">
        <v>376</v>
      </c>
      <c r="I2913" s="168" t="s">
        <v>2055</v>
      </c>
      <c r="J2913" s="74" t="str">
        <f t="shared" si="14"/>
        <v>[TIMES_SE] Top gas recycling blast furnace w. CCS (VPSA)</v>
      </c>
      <c r="K2913" s="168"/>
      <c r="L2913" s="160"/>
      <c r="M2913" s="169"/>
    </row>
    <row r="2914" spans="1:13" x14ac:dyDescent="0.55000000000000004">
      <c r="A2914" s="92" t="s">
        <v>306</v>
      </c>
      <c r="B2914" s="168" t="s">
        <v>160</v>
      </c>
      <c r="C2914" s="168" t="s">
        <v>247</v>
      </c>
      <c r="D2914" s="168" t="s">
        <v>3288</v>
      </c>
      <c r="E2914" s="119">
        <f>0.050589*(1-0.9)</f>
        <v>5.058899999999999E-3</v>
      </c>
      <c r="F2914" s="151" t="s">
        <v>135</v>
      </c>
      <c r="G2914" s="149" t="s">
        <v>135</v>
      </c>
      <c r="H2914" s="68" t="s">
        <v>376</v>
      </c>
      <c r="I2914" s="168" t="s">
        <v>2056</v>
      </c>
      <c r="J2914" s="74" t="str">
        <f t="shared" si="14"/>
        <v>[TIMES_SE] Top gas recycling blast furnace w. CCS (VPSA)</v>
      </c>
      <c r="K2914" s="168"/>
      <c r="L2914" s="160"/>
      <c r="M2914" s="169"/>
    </row>
    <row r="2915" spans="1:13" x14ac:dyDescent="0.55000000000000004">
      <c r="A2915" s="92" t="s">
        <v>306</v>
      </c>
      <c r="B2915" s="168" t="s">
        <v>160</v>
      </c>
      <c r="C2915" s="168" t="s">
        <v>156</v>
      </c>
      <c r="D2915" s="168" t="s">
        <v>3288</v>
      </c>
      <c r="E2915" s="119">
        <f>1.333*(0.9)</f>
        <v>1.1997</v>
      </c>
      <c r="F2915" s="151" t="s">
        <v>135</v>
      </c>
      <c r="G2915" s="149" t="s">
        <v>135</v>
      </c>
      <c r="H2915" s="68" t="s">
        <v>376</v>
      </c>
      <c r="I2915" s="168" t="s">
        <v>2055</v>
      </c>
      <c r="J2915" s="74" t="str">
        <f t="shared" si="14"/>
        <v>[TIMES_SE] Top gas recycling blast furnace w. CCS (VPSA)</v>
      </c>
      <c r="K2915" s="168"/>
      <c r="L2915" s="160"/>
      <c r="M2915" s="169"/>
    </row>
    <row r="2916" spans="1:13" x14ac:dyDescent="0.55000000000000004">
      <c r="A2916" s="92" t="s">
        <v>306</v>
      </c>
      <c r="B2916" s="168" t="s">
        <v>160</v>
      </c>
      <c r="C2916" s="168" t="s">
        <v>156</v>
      </c>
      <c r="D2916" s="168" t="s">
        <v>3288</v>
      </c>
      <c r="E2916" s="119">
        <f>0.050589*(0.9)</f>
        <v>4.5530100000000004E-2</v>
      </c>
      <c r="F2916" s="151" t="s">
        <v>135</v>
      </c>
      <c r="G2916" s="149" t="s">
        <v>135</v>
      </c>
      <c r="H2916" s="68" t="s">
        <v>376</v>
      </c>
      <c r="I2916" s="168" t="s">
        <v>2056</v>
      </c>
      <c r="J2916" s="74" t="str">
        <f t="shared" si="14"/>
        <v>[TIMES_SE] Top gas recycling blast furnace w. CCS (VPSA)</v>
      </c>
      <c r="K2916" s="168"/>
      <c r="L2916" s="160"/>
      <c r="M2916" s="169"/>
    </row>
    <row r="2917" spans="1:13" x14ac:dyDescent="0.55000000000000004">
      <c r="A2917" s="104" t="s">
        <v>200</v>
      </c>
      <c r="B2917" s="168" t="s">
        <v>134</v>
      </c>
      <c r="C2917" s="61" t="s">
        <v>121</v>
      </c>
      <c r="D2917" s="61" t="s">
        <v>3288</v>
      </c>
      <c r="E2917" s="119">
        <v>1</v>
      </c>
      <c r="F2917" s="148" t="s">
        <v>135</v>
      </c>
      <c r="G2917" s="148">
        <v>1</v>
      </c>
      <c r="H2917" s="61" t="s">
        <v>39</v>
      </c>
      <c r="I2917" s="61" t="s">
        <v>940</v>
      </c>
      <c r="J2917" s="61" t="s">
        <v>200</v>
      </c>
      <c r="K2917" s="61"/>
      <c r="L2917" s="159">
        <v>252310</v>
      </c>
      <c r="M2917" s="169"/>
    </row>
    <row r="2918" spans="1:13" x14ac:dyDescent="0.55000000000000004">
      <c r="A2918" s="104" t="s">
        <v>200</v>
      </c>
      <c r="B2918" s="61" t="s">
        <v>131</v>
      </c>
      <c r="C2918" s="61" t="s">
        <v>132</v>
      </c>
      <c r="D2918" s="61" t="s">
        <v>3288</v>
      </c>
      <c r="E2918" s="119">
        <v>1.3</v>
      </c>
      <c r="F2918" s="148" t="s">
        <v>135</v>
      </c>
      <c r="G2918" s="148">
        <v>1</v>
      </c>
      <c r="H2918" s="61" t="s">
        <v>201</v>
      </c>
      <c r="I2918" s="61"/>
      <c r="J2918" s="61" t="s">
        <v>200</v>
      </c>
      <c r="K2918" s="61"/>
      <c r="L2918" s="159"/>
      <c r="M2918" s="169"/>
    </row>
    <row r="2919" spans="1:13" x14ac:dyDescent="0.55000000000000004">
      <c r="A2919" s="104" t="s">
        <v>200</v>
      </c>
      <c r="B2919" s="61" t="s">
        <v>202</v>
      </c>
      <c r="C2919" s="61" t="s">
        <v>132</v>
      </c>
      <c r="D2919" s="61" t="s">
        <v>3288</v>
      </c>
      <c r="E2919" s="119">
        <v>0.245</v>
      </c>
      <c r="F2919" s="148" t="s">
        <v>135</v>
      </c>
      <c r="G2919" s="148">
        <v>1</v>
      </c>
      <c r="H2919" s="61" t="s">
        <v>203</v>
      </c>
      <c r="I2919" s="61" t="s">
        <v>941</v>
      </c>
      <c r="J2919" s="61" t="s">
        <v>200</v>
      </c>
      <c r="K2919" s="168"/>
      <c r="L2919" s="159"/>
      <c r="M2919" s="169"/>
    </row>
    <row r="2920" spans="1:13" x14ac:dyDescent="0.55000000000000004">
      <c r="A2920" s="101" t="s">
        <v>193</v>
      </c>
      <c r="B2920" s="61" t="s">
        <v>194</v>
      </c>
      <c r="C2920" s="61" t="s">
        <v>121</v>
      </c>
      <c r="D2920" s="61" t="s">
        <v>3288</v>
      </c>
      <c r="E2920" s="119">
        <v>1</v>
      </c>
      <c r="F2920" s="148" t="s">
        <v>122</v>
      </c>
      <c r="G2920" s="148">
        <v>1</v>
      </c>
      <c r="H2920" s="61" t="s">
        <v>39</v>
      </c>
      <c r="I2920" s="168"/>
      <c r="J2920" s="62" t="s">
        <v>195</v>
      </c>
      <c r="K2920" s="168" t="s">
        <v>831</v>
      </c>
      <c r="L2920" s="159">
        <v>260300</v>
      </c>
      <c r="M2920" s="169"/>
    </row>
    <row r="2921" spans="1:13" x14ac:dyDescent="0.55000000000000004">
      <c r="A2921" s="101" t="s">
        <v>193</v>
      </c>
      <c r="B2921" s="61" t="s">
        <v>196</v>
      </c>
      <c r="C2921" s="61" t="s">
        <v>125</v>
      </c>
      <c r="D2921" s="61" t="s">
        <v>3288</v>
      </c>
      <c r="E2921" s="119">
        <v>11</v>
      </c>
      <c r="F2921" s="148" t="s">
        <v>122</v>
      </c>
      <c r="G2921" s="148" t="s">
        <v>122</v>
      </c>
      <c r="H2921" s="61" t="s">
        <v>39</v>
      </c>
      <c r="I2921" s="168"/>
      <c r="J2921" s="62" t="s">
        <v>195</v>
      </c>
      <c r="K2921" s="168" t="s">
        <v>831</v>
      </c>
      <c r="L2921" s="159">
        <v>262030</v>
      </c>
      <c r="M2921" s="169"/>
    </row>
    <row r="2922" spans="1:13" x14ac:dyDescent="0.55000000000000004">
      <c r="A2922" s="101" t="s">
        <v>193</v>
      </c>
      <c r="B2922" s="61" t="s">
        <v>197</v>
      </c>
      <c r="C2922" s="61" t="s">
        <v>125</v>
      </c>
      <c r="D2922" s="61" t="s">
        <v>3288</v>
      </c>
      <c r="E2922" s="119">
        <v>2.7399999999999998E-3</v>
      </c>
      <c r="F2922" s="148" t="s">
        <v>122</v>
      </c>
      <c r="G2922" s="148" t="s">
        <v>122</v>
      </c>
      <c r="H2922" s="61" t="s">
        <v>39</v>
      </c>
      <c r="I2922" s="168"/>
      <c r="J2922" s="62" t="s">
        <v>195</v>
      </c>
      <c r="K2922" s="168" t="s">
        <v>831</v>
      </c>
      <c r="L2922" s="159"/>
      <c r="M2922" s="169"/>
    </row>
    <row r="2923" spans="1:13" x14ac:dyDescent="0.55000000000000004">
      <c r="A2923" s="101" t="s">
        <v>193</v>
      </c>
      <c r="B2923" s="61" t="s">
        <v>198</v>
      </c>
      <c r="C2923" s="61" t="s">
        <v>125</v>
      </c>
      <c r="D2923" s="61" t="s">
        <v>3288</v>
      </c>
      <c r="E2923" s="119">
        <v>7.3499999999999998E-3</v>
      </c>
      <c r="F2923" s="148" t="s">
        <v>122</v>
      </c>
      <c r="G2923" s="148" t="s">
        <v>122</v>
      </c>
      <c r="H2923" s="61" t="s">
        <v>39</v>
      </c>
      <c r="I2923" s="168"/>
      <c r="J2923" s="62" t="s">
        <v>195</v>
      </c>
      <c r="K2923" s="168" t="s">
        <v>831</v>
      </c>
      <c r="L2923" s="159"/>
      <c r="M2923" s="169"/>
    </row>
    <row r="2924" spans="1:13" x14ac:dyDescent="0.55000000000000004">
      <c r="A2924" s="101" t="s">
        <v>193</v>
      </c>
      <c r="B2924" s="61" t="s">
        <v>153</v>
      </c>
      <c r="C2924" s="61" t="s">
        <v>127</v>
      </c>
      <c r="D2924" s="61" t="s">
        <v>2994</v>
      </c>
      <c r="E2924" s="119">
        <v>0.96199999999999997</v>
      </c>
      <c r="F2924" s="148" t="s">
        <v>130</v>
      </c>
      <c r="G2924" s="148" t="s">
        <v>122</v>
      </c>
      <c r="H2924" s="61" t="s">
        <v>39</v>
      </c>
      <c r="I2924" s="168"/>
      <c r="J2924" s="62" t="s">
        <v>195</v>
      </c>
      <c r="K2924" s="168" t="s">
        <v>831</v>
      </c>
      <c r="L2924" s="159"/>
      <c r="M2924" s="169"/>
    </row>
    <row r="2925" spans="1:13" x14ac:dyDescent="0.55000000000000004">
      <c r="A2925" s="101" t="s">
        <v>193</v>
      </c>
      <c r="B2925" s="61" t="s">
        <v>199</v>
      </c>
      <c r="C2925" s="61" t="s">
        <v>124</v>
      </c>
      <c r="D2925" s="61" t="s">
        <v>3288</v>
      </c>
      <c r="E2925" s="119">
        <v>9.66</v>
      </c>
      <c r="F2925" s="148" t="s">
        <v>122</v>
      </c>
      <c r="G2925" s="148" t="s">
        <v>122</v>
      </c>
      <c r="H2925" s="61" t="s">
        <v>39</v>
      </c>
      <c r="I2925" s="168"/>
      <c r="J2925" s="62" t="s">
        <v>195</v>
      </c>
      <c r="K2925" s="168" t="s">
        <v>831</v>
      </c>
      <c r="L2925" s="159"/>
      <c r="M2925" s="169"/>
    </row>
    <row r="2926" spans="1:13" x14ac:dyDescent="0.55000000000000004">
      <c r="A2926" s="101" t="s">
        <v>183</v>
      </c>
      <c r="B2926" s="61" t="s">
        <v>184</v>
      </c>
      <c r="C2926" s="61" t="s">
        <v>121</v>
      </c>
      <c r="D2926" s="61" t="s">
        <v>2682</v>
      </c>
      <c r="E2926" s="119">
        <v>1</v>
      </c>
      <c r="F2926" s="148">
        <v>1</v>
      </c>
      <c r="G2926" s="148">
        <v>1</v>
      </c>
      <c r="H2926" s="61" t="s">
        <v>39</v>
      </c>
      <c r="I2926" s="168"/>
      <c r="J2926" s="62" t="s">
        <v>185</v>
      </c>
      <c r="K2926" s="168" t="s">
        <v>831</v>
      </c>
      <c r="L2926" s="159"/>
      <c r="M2926" s="169"/>
    </row>
    <row r="2927" spans="1:13" x14ac:dyDescent="0.55000000000000004">
      <c r="A2927" s="101" t="s">
        <v>183</v>
      </c>
      <c r="B2927" s="61" t="s">
        <v>186</v>
      </c>
      <c r="C2927" s="61" t="s">
        <v>125</v>
      </c>
      <c r="D2927" s="61" t="s">
        <v>3288</v>
      </c>
      <c r="E2927" s="119">
        <v>1</v>
      </c>
      <c r="F2927" s="148" t="s">
        <v>122</v>
      </c>
      <c r="G2927" s="148">
        <v>1</v>
      </c>
      <c r="H2927" s="61" t="s">
        <v>39</v>
      </c>
      <c r="I2927" s="168"/>
      <c r="J2927" s="62" t="s">
        <v>185</v>
      </c>
      <c r="K2927" s="168" t="s">
        <v>831</v>
      </c>
      <c r="L2927" s="159">
        <v>262030</v>
      </c>
      <c r="M2927" s="169"/>
    </row>
    <row r="2928" spans="1:13" x14ac:dyDescent="0.55000000000000004">
      <c r="A2928" s="101" t="s">
        <v>183</v>
      </c>
      <c r="B2928" s="61" t="s">
        <v>145</v>
      </c>
      <c r="C2928" s="61" t="s">
        <v>125</v>
      </c>
      <c r="D2928" s="61" t="s">
        <v>3288</v>
      </c>
      <c r="E2928" s="119">
        <v>4.3200000000000002E-2</v>
      </c>
      <c r="F2928" s="148" t="s">
        <v>122</v>
      </c>
      <c r="G2928" s="148">
        <v>1</v>
      </c>
      <c r="H2928" s="61" t="s">
        <v>39</v>
      </c>
      <c r="I2928" s="168"/>
      <c r="J2928" s="62" t="s">
        <v>185</v>
      </c>
      <c r="K2928" s="168" t="s">
        <v>831</v>
      </c>
      <c r="L2928" s="159"/>
      <c r="M2928" s="169"/>
    </row>
    <row r="2929" spans="1:13" x14ac:dyDescent="0.55000000000000004">
      <c r="A2929" s="101" t="s">
        <v>183</v>
      </c>
      <c r="B2929" s="168" t="s">
        <v>131</v>
      </c>
      <c r="C2929" s="61" t="s">
        <v>125</v>
      </c>
      <c r="D2929" s="61" t="s">
        <v>3288</v>
      </c>
      <c r="E2929" s="119">
        <v>8.7800000000000003E-2</v>
      </c>
      <c r="F2929" s="148" t="s">
        <v>122</v>
      </c>
      <c r="G2929" s="148">
        <v>1</v>
      </c>
      <c r="H2929" s="61" t="s">
        <v>39</v>
      </c>
      <c r="I2929" s="168"/>
      <c r="J2929" s="62" t="s">
        <v>185</v>
      </c>
      <c r="K2929" s="168" t="s">
        <v>831</v>
      </c>
      <c r="L2929" s="159"/>
      <c r="M2929" s="169"/>
    </row>
    <row r="2930" spans="1:13" x14ac:dyDescent="0.55000000000000004">
      <c r="A2930" s="101" t="s">
        <v>183</v>
      </c>
      <c r="B2930" s="61" t="s">
        <v>187</v>
      </c>
      <c r="C2930" s="61" t="s">
        <v>125</v>
      </c>
      <c r="D2930" s="61" t="s">
        <v>3288</v>
      </c>
      <c r="E2930" s="119">
        <v>1.0699999999999999E-2</v>
      </c>
      <c r="F2930" s="148" t="s">
        <v>122</v>
      </c>
      <c r="G2930" s="148">
        <v>1</v>
      </c>
      <c r="H2930" s="61" t="s">
        <v>39</v>
      </c>
      <c r="I2930" s="168"/>
      <c r="J2930" s="62" t="s">
        <v>185</v>
      </c>
      <c r="K2930" s="168" t="s">
        <v>831</v>
      </c>
      <c r="L2930" s="159"/>
      <c r="M2930" s="169"/>
    </row>
    <row r="2931" spans="1:13" x14ac:dyDescent="0.55000000000000004">
      <c r="A2931" s="101" t="s">
        <v>183</v>
      </c>
      <c r="B2931" s="61" t="s">
        <v>153</v>
      </c>
      <c r="C2931" s="61" t="s">
        <v>127</v>
      </c>
      <c r="D2931" s="61" t="s">
        <v>2994</v>
      </c>
      <c r="E2931" s="119">
        <v>0.78500000000000003</v>
      </c>
      <c r="F2931" s="148" t="s">
        <v>130</v>
      </c>
      <c r="G2931" s="148">
        <v>1</v>
      </c>
      <c r="H2931" s="61" t="s">
        <v>39</v>
      </c>
      <c r="I2931" s="168"/>
      <c r="J2931" s="62" t="s">
        <v>185</v>
      </c>
      <c r="K2931" s="168" t="s">
        <v>831</v>
      </c>
      <c r="L2931" s="159"/>
      <c r="M2931" s="169"/>
    </row>
    <row r="2932" spans="1:13" x14ac:dyDescent="0.55000000000000004">
      <c r="A2932" s="101" t="s">
        <v>183</v>
      </c>
      <c r="B2932" s="61" t="s">
        <v>188</v>
      </c>
      <c r="C2932" s="61" t="s">
        <v>127</v>
      </c>
      <c r="D2932" s="61" t="s">
        <v>3288</v>
      </c>
      <c r="E2932" s="119">
        <v>3.45</v>
      </c>
      <c r="F2932" s="148" t="s">
        <v>122</v>
      </c>
      <c r="G2932" s="148">
        <v>1</v>
      </c>
      <c r="H2932" s="61" t="s">
        <v>39</v>
      </c>
      <c r="I2932" s="168"/>
      <c r="J2932" s="62" t="s">
        <v>185</v>
      </c>
      <c r="K2932" s="168" t="s">
        <v>831</v>
      </c>
      <c r="L2932" s="159"/>
      <c r="M2932" s="169"/>
    </row>
    <row r="2933" spans="1:13" x14ac:dyDescent="0.55000000000000004">
      <c r="A2933" s="101" t="s">
        <v>183</v>
      </c>
      <c r="B2933" s="61" t="s">
        <v>154</v>
      </c>
      <c r="C2933" s="61" t="s">
        <v>125</v>
      </c>
      <c r="D2933" s="61" t="s">
        <v>3288</v>
      </c>
      <c r="E2933" s="119">
        <v>1.1299999999999999</v>
      </c>
      <c r="F2933" s="148" t="s">
        <v>122</v>
      </c>
      <c r="G2933" s="148">
        <v>1</v>
      </c>
      <c r="H2933" s="61" t="s">
        <v>39</v>
      </c>
      <c r="I2933" s="168"/>
      <c r="J2933" s="62" t="s">
        <v>185</v>
      </c>
      <c r="K2933" s="168" t="s">
        <v>831</v>
      </c>
      <c r="L2933" s="159"/>
      <c r="M2933" s="169"/>
    </row>
    <row r="2934" spans="1:13" x14ac:dyDescent="0.55000000000000004">
      <c r="A2934" s="101" t="s">
        <v>183</v>
      </c>
      <c r="B2934" s="61" t="s">
        <v>189</v>
      </c>
      <c r="C2934" s="61" t="s">
        <v>156</v>
      </c>
      <c r="D2934" s="61" t="s">
        <v>3288</v>
      </c>
      <c r="E2934" s="119">
        <v>2.0400000000000001E-2</v>
      </c>
      <c r="F2934" s="148" t="s">
        <v>122</v>
      </c>
      <c r="G2934" s="148">
        <v>1</v>
      </c>
      <c r="H2934" s="61" t="s">
        <v>39</v>
      </c>
      <c r="I2934" s="168"/>
      <c r="J2934" s="62" t="s">
        <v>185</v>
      </c>
      <c r="K2934" s="168" t="s">
        <v>831</v>
      </c>
      <c r="L2934" s="159">
        <v>7403</v>
      </c>
      <c r="M2934" s="169"/>
    </row>
    <row r="2935" spans="1:13" x14ac:dyDescent="0.55000000000000004">
      <c r="A2935" s="101" t="s">
        <v>183</v>
      </c>
      <c r="B2935" s="61" t="s">
        <v>190</v>
      </c>
      <c r="C2935" s="61" t="s">
        <v>156</v>
      </c>
      <c r="D2935" s="61" t="s">
        <v>3288</v>
      </c>
      <c r="E2935" s="119">
        <v>3.8999999999999999E-4</v>
      </c>
      <c r="F2935" s="148" t="s">
        <v>122</v>
      </c>
      <c r="G2935" s="148">
        <v>1</v>
      </c>
      <c r="H2935" s="61" t="s">
        <v>39</v>
      </c>
      <c r="I2935" s="168"/>
      <c r="J2935" s="62" t="s">
        <v>185</v>
      </c>
      <c r="K2935" s="168" t="s">
        <v>831</v>
      </c>
      <c r="L2935" s="159">
        <v>8107</v>
      </c>
      <c r="M2935" s="169"/>
    </row>
    <row r="2936" spans="1:13" x14ac:dyDescent="0.55000000000000004">
      <c r="A2936" s="101" t="s">
        <v>183</v>
      </c>
      <c r="B2936" s="61" t="s">
        <v>191</v>
      </c>
      <c r="C2936" s="61" t="s">
        <v>156</v>
      </c>
      <c r="D2936" s="61" t="s">
        <v>3288</v>
      </c>
      <c r="E2936" s="119">
        <v>0.25800000000000001</v>
      </c>
      <c r="F2936" s="148" t="s">
        <v>122</v>
      </c>
      <c r="G2936" s="148">
        <v>1</v>
      </c>
      <c r="H2936" s="61" t="s">
        <v>39</v>
      </c>
      <c r="I2936" s="168"/>
      <c r="J2936" s="62" t="s">
        <v>185</v>
      </c>
      <c r="K2936" s="168" t="s">
        <v>831</v>
      </c>
      <c r="L2936" s="159">
        <v>2817</v>
      </c>
      <c r="M2936" s="169"/>
    </row>
    <row r="2937" spans="1:13" x14ac:dyDescent="0.55000000000000004">
      <c r="A2937" s="101" t="s">
        <v>183</v>
      </c>
      <c r="B2937" s="61" t="s">
        <v>192</v>
      </c>
      <c r="C2937" s="61" t="s">
        <v>124</v>
      </c>
      <c r="D2937" s="61" t="s">
        <v>3288</v>
      </c>
      <c r="E2937" s="119">
        <v>0.56499999999999995</v>
      </c>
      <c r="F2937" s="148" t="s">
        <v>122</v>
      </c>
      <c r="G2937" s="148">
        <v>1</v>
      </c>
      <c r="H2937" s="61" t="s">
        <v>39</v>
      </c>
      <c r="I2937" s="168"/>
      <c r="J2937" s="62" t="s">
        <v>185</v>
      </c>
      <c r="K2937" s="168" t="s">
        <v>831</v>
      </c>
      <c r="L2937" s="159"/>
      <c r="M2937" s="169"/>
    </row>
    <row r="2938" spans="1:13" x14ac:dyDescent="0.55000000000000004">
      <c r="A2938" s="101" t="s">
        <v>164</v>
      </c>
      <c r="B2938" s="61" t="s">
        <v>143</v>
      </c>
      <c r="C2938" s="61" t="s">
        <v>121</v>
      </c>
      <c r="D2938" s="61" t="s">
        <v>2682</v>
      </c>
      <c r="E2938" s="119">
        <v>1</v>
      </c>
      <c r="F2938" s="148">
        <v>1</v>
      </c>
      <c r="G2938" s="148">
        <v>1</v>
      </c>
      <c r="H2938" s="61" t="s">
        <v>39</v>
      </c>
      <c r="I2938" s="168"/>
      <c r="J2938" s="62" t="s">
        <v>165</v>
      </c>
      <c r="K2938" s="168" t="s">
        <v>831</v>
      </c>
      <c r="L2938" s="159"/>
      <c r="M2938" s="169"/>
    </row>
    <row r="2939" spans="1:13" x14ac:dyDescent="0.55000000000000004">
      <c r="A2939" s="101" t="s">
        <v>164</v>
      </c>
      <c r="B2939" s="61" t="s">
        <v>615</v>
      </c>
      <c r="C2939" s="61" t="s">
        <v>125</v>
      </c>
      <c r="D2939" s="61" t="s">
        <v>3288</v>
      </c>
      <c r="E2939" s="119">
        <v>0.23</v>
      </c>
      <c r="F2939" s="148" t="s">
        <v>122</v>
      </c>
      <c r="G2939" s="148">
        <v>1</v>
      </c>
      <c r="H2939" s="61" t="s">
        <v>39</v>
      </c>
      <c r="I2939" s="168"/>
      <c r="J2939" s="62" t="s">
        <v>165</v>
      </c>
      <c r="K2939" s="168" t="s">
        <v>831</v>
      </c>
      <c r="L2939" s="159"/>
      <c r="M2939" s="169"/>
    </row>
    <row r="2940" spans="1:13" x14ac:dyDescent="0.55000000000000004">
      <c r="A2940" s="101" t="s">
        <v>164</v>
      </c>
      <c r="B2940" s="61" t="s">
        <v>161</v>
      </c>
      <c r="C2940" s="61" t="s">
        <v>125</v>
      </c>
      <c r="D2940" s="61" t="s">
        <v>3288</v>
      </c>
      <c r="E2940" s="119">
        <v>1</v>
      </c>
      <c r="F2940" s="148" t="s">
        <v>122</v>
      </c>
      <c r="G2940" s="148">
        <v>1</v>
      </c>
      <c r="H2940" s="61" t="s">
        <v>39</v>
      </c>
      <c r="I2940" s="168"/>
      <c r="J2940" s="62" t="s">
        <v>165</v>
      </c>
      <c r="K2940" s="168" t="s">
        <v>831</v>
      </c>
      <c r="L2940" s="159"/>
      <c r="M2940" s="169"/>
    </row>
    <row r="2941" spans="1:13" x14ac:dyDescent="0.55000000000000004">
      <c r="A2941" s="101" t="s">
        <v>164</v>
      </c>
      <c r="B2941" s="61" t="s">
        <v>153</v>
      </c>
      <c r="C2941" s="61" t="s">
        <v>127</v>
      </c>
      <c r="D2941" s="61" t="s">
        <v>2994</v>
      </c>
      <c r="E2941" s="119">
        <v>4.8</v>
      </c>
      <c r="F2941" s="148" t="s">
        <v>167</v>
      </c>
      <c r="G2941" s="148">
        <v>1</v>
      </c>
      <c r="H2941" s="61" t="s">
        <v>39</v>
      </c>
      <c r="I2941" s="168"/>
      <c r="J2941" s="62" t="s">
        <v>165</v>
      </c>
      <c r="K2941" s="168" t="s">
        <v>831</v>
      </c>
      <c r="L2941" s="159"/>
      <c r="M2941" s="169"/>
    </row>
    <row r="2942" spans="1:13" x14ac:dyDescent="0.55000000000000004">
      <c r="A2942" s="101" t="s">
        <v>164</v>
      </c>
      <c r="B2942" s="61" t="s">
        <v>244</v>
      </c>
      <c r="C2942" s="61" t="s">
        <v>127</v>
      </c>
      <c r="D2942" s="61" t="s">
        <v>3288</v>
      </c>
      <c r="E2942" s="119">
        <v>0.747</v>
      </c>
      <c r="F2942" s="148" t="s">
        <v>122</v>
      </c>
      <c r="G2942" s="148">
        <v>1</v>
      </c>
      <c r="H2942" s="61" t="s">
        <v>39</v>
      </c>
      <c r="I2942" s="168"/>
      <c r="J2942" s="62" t="s">
        <v>165</v>
      </c>
      <c r="K2942" s="168" t="s">
        <v>831</v>
      </c>
      <c r="L2942" s="159"/>
      <c r="M2942" s="169"/>
    </row>
    <row r="2943" spans="1:13" x14ac:dyDescent="0.55000000000000004">
      <c r="A2943" s="101" t="s">
        <v>164</v>
      </c>
      <c r="B2943" s="61" t="s">
        <v>169</v>
      </c>
      <c r="C2943" s="61" t="s">
        <v>125</v>
      </c>
      <c r="D2943" s="61" t="s">
        <v>3288</v>
      </c>
      <c r="E2943" s="119">
        <v>6.6699999999999995E-4</v>
      </c>
      <c r="F2943" s="148" t="s">
        <v>122</v>
      </c>
      <c r="G2943" s="148">
        <v>1</v>
      </c>
      <c r="H2943" s="61" t="s">
        <v>39</v>
      </c>
      <c r="I2943" s="168"/>
      <c r="J2943" s="62" t="s">
        <v>165</v>
      </c>
      <c r="K2943" s="168" t="s">
        <v>831</v>
      </c>
      <c r="L2943" s="159"/>
      <c r="M2943" s="169"/>
    </row>
    <row r="2944" spans="1:13" x14ac:dyDescent="0.55000000000000004">
      <c r="A2944" s="101" t="s">
        <v>164</v>
      </c>
      <c r="B2944" s="61" t="s">
        <v>149</v>
      </c>
      <c r="C2944" s="61" t="s">
        <v>125</v>
      </c>
      <c r="D2944" s="61" t="s">
        <v>3288</v>
      </c>
      <c r="E2944" s="119">
        <v>6.4000000000000003E-3</v>
      </c>
      <c r="F2944" s="148" t="s">
        <v>122</v>
      </c>
      <c r="G2944" s="148">
        <v>1</v>
      </c>
      <c r="H2944" s="61" t="s">
        <v>39</v>
      </c>
      <c r="I2944" s="168"/>
      <c r="J2944" s="62" t="s">
        <v>165</v>
      </c>
      <c r="K2944" s="168" t="s">
        <v>831</v>
      </c>
      <c r="L2944" s="159"/>
      <c r="M2944" s="169"/>
    </row>
    <row r="2945" spans="1:13" x14ac:dyDescent="0.55000000000000004">
      <c r="A2945" s="101" t="s">
        <v>164</v>
      </c>
      <c r="B2945" s="168" t="s">
        <v>170</v>
      </c>
      <c r="C2945" s="61" t="s">
        <v>125</v>
      </c>
      <c r="D2945" s="61" t="s">
        <v>3288</v>
      </c>
      <c r="E2945" s="119">
        <v>0.5</v>
      </c>
      <c r="F2945" s="148" t="s">
        <v>122</v>
      </c>
      <c r="G2945" s="148">
        <v>1</v>
      </c>
      <c r="H2945" s="61" t="s">
        <v>39</v>
      </c>
      <c r="I2945" s="168"/>
      <c r="J2945" s="62" t="s">
        <v>165</v>
      </c>
      <c r="K2945" s="168" t="s">
        <v>831</v>
      </c>
      <c r="L2945" s="159"/>
      <c r="M2945" s="169"/>
    </row>
    <row r="2946" spans="1:13" x14ac:dyDescent="0.55000000000000004">
      <c r="A2946" s="101" t="s">
        <v>164</v>
      </c>
      <c r="B2946" s="61" t="s">
        <v>171</v>
      </c>
      <c r="C2946" s="61" t="s">
        <v>127</v>
      </c>
      <c r="D2946" s="61" t="s">
        <v>3288</v>
      </c>
      <c r="E2946" s="119">
        <v>0.12</v>
      </c>
      <c r="F2946" s="148" t="s">
        <v>122</v>
      </c>
      <c r="G2946" s="148">
        <v>1</v>
      </c>
      <c r="H2946" s="61" t="s">
        <v>39</v>
      </c>
      <c r="I2946" s="168"/>
      <c r="J2946" s="62" t="s">
        <v>165</v>
      </c>
      <c r="K2946" s="168" t="s">
        <v>831</v>
      </c>
      <c r="L2946" s="159"/>
      <c r="M2946" s="169"/>
    </row>
    <row r="2947" spans="1:13" x14ac:dyDescent="0.55000000000000004">
      <c r="A2947" s="101" t="s">
        <v>164</v>
      </c>
      <c r="B2947" s="61" t="s">
        <v>150</v>
      </c>
      <c r="C2947" s="61" t="s">
        <v>125</v>
      </c>
      <c r="D2947" s="61" t="s">
        <v>3288</v>
      </c>
      <c r="E2947" s="119">
        <v>4.0000000000000001E-3</v>
      </c>
      <c r="F2947" s="148" t="s">
        <v>122</v>
      </c>
      <c r="G2947" s="148">
        <v>1</v>
      </c>
      <c r="H2947" s="61" t="s">
        <v>39</v>
      </c>
      <c r="I2947" s="168"/>
      <c r="J2947" s="62" t="s">
        <v>165</v>
      </c>
      <c r="K2947" s="168" t="s">
        <v>831</v>
      </c>
      <c r="L2947" s="159"/>
      <c r="M2947" s="169"/>
    </row>
    <row r="2948" spans="1:13" x14ac:dyDescent="0.55000000000000004">
      <c r="A2948" s="101" t="s">
        <v>164</v>
      </c>
      <c r="B2948" s="61" t="s">
        <v>172</v>
      </c>
      <c r="C2948" s="61" t="s">
        <v>125</v>
      </c>
      <c r="D2948" s="61" t="s">
        <v>3288</v>
      </c>
      <c r="E2948" s="119">
        <v>1.3299999999999999E-2</v>
      </c>
      <c r="F2948" s="148" t="s">
        <v>122</v>
      </c>
      <c r="G2948" s="148">
        <v>1</v>
      </c>
      <c r="H2948" s="61" t="s">
        <v>39</v>
      </c>
      <c r="I2948" s="168"/>
      <c r="J2948" s="62" t="s">
        <v>165</v>
      </c>
      <c r="K2948" s="168" t="s">
        <v>831</v>
      </c>
      <c r="L2948" s="159"/>
      <c r="M2948" s="169"/>
    </row>
    <row r="2949" spans="1:13" x14ac:dyDescent="0.55000000000000004">
      <c r="A2949" s="101" t="s">
        <v>164</v>
      </c>
      <c r="B2949" s="61" t="s">
        <v>173</v>
      </c>
      <c r="C2949" s="61" t="s">
        <v>125</v>
      </c>
      <c r="D2949" s="61" t="s">
        <v>3288</v>
      </c>
      <c r="E2949" s="119">
        <v>1.4</v>
      </c>
      <c r="F2949" s="148" t="s">
        <v>122</v>
      </c>
      <c r="G2949" s="148">
        <v>1</v>
      </c>
      <c r="H2949" s="61" t="s">
        <v>39</v>
      </c>
      <c r="I2949" s="168"/>
      <c r="J2949" s="62" t="s">
        <v>165</v>
      </c>
      <c r="K2949" s="168" t="s">
        <v>831</v>
      </c>
      <c r="L2949" s="159"/>
      <c r="M2949" s="169"/>
    </row>
    <row r="2950" spans="1:13" x14ac:dyDescent="0.55000000000000004">
      <c r="A2950" s="101" t="s">
        <v>164</v>
      </c>
      <c r="B2950" s="61" t="s">
        <v>147</v>
      </c>
      <c r="C2950" s="61" t="s">
        <v>125</v>
      </c>
      <c r="D2950" s="61" t="s">
        <v>3288</v>
      </c>
      <c r="E2950" s="119">
        <v>0.4</v>
      </c>
      <c r="F2950" s="148" t="s">
        <v>122</v>
      </c>
      <c r="G2950" s="148">
        <v>1</v>
      </c>
      <c r="H2950" s="61" t="s">
        <v>39</v>
      </c>
      <c r="I2950" s="168"/>
      <c r="J2950" s="62" t="s">
        <v>165</v>
      </c>
      <c r="K2950" s="168" t="s">
        <v>831</v>
      </c>
      <c r="L2950" s="159"/>
      <c r="M2950" s="169"/>
    </row>
    <row r="2951" spans="1:13" x14ac:dyDescent="0.55000000000000004">
      <c r="A2951" s="101" t="s">
        <v>164</v>
      </c>
      <c r="B2951" s="61" t="s">
        <v>151</v>
      </c>
      <c r="C2951" s="61" t="s">
        <v>125</v>
      </c>
      <c r="D2951" s="61" t="s">
        <v>3288</v>
      </c>
      <c r="E2951" s="119">
        <v>0.4</v>
      </c>
      <c r="F2951" s="148" t="s">
        <v>122</v>
      </c>
      <c r="G2951" s="148">
        <v>1</v>
      </c>
      <c r="H2951" s="61" t="s">
        <v>39</v>
      </c>
      <c r="I2951" s="168"/>
      <c r="J2951" s="62" t="s">
        <v>165</v>
      </c>
      <c r="K2951" s="168" t="s">
        <v>831</v>
      </c>
      <c r="L2951" s="159"/>
      <c r="M2951" s="169"/>
    </row>
    <row r="2952" spans="1:13" x14ac:dyDescent="0.55000000000000004">
      <c r="A2952" s="101" t="s">
        <v>164</v>
      </c>
      <c r="B2952" s="61" t="s">
        <v>174</v>
      </c>
      <c r="C2952" s="61" t="s">
        <v>125</v>
      </c>
      <c r="D2952" s="61" t="s">
        <v>3288</v>
      </c>
      <c r="E2952" s="119">
        <v>0.2</v>
      </c>
      <c r="F2952" s="148" t="s">
        <v>122</v>
      </c>
      <c r="G2952" s="148">
        <v>1</v>
      </c>
      <c r="H2952" s="61" t="s">
        <v>39</v>
      </c>
      <c r="I2952" s="168"/>
      <c r="J2952" s="62" t="s">
        <v>165</v>
      </c>
      <c r="K2952" s="168" t="s">
        <v>831</v>
      </c>
      <c r="L2952" s="159"/>
      <c r="M2952" s="169"/>
    </row>
    <row r="2953" spans="1:13" x14ac:dyDescent="0.55000000000000004">
      <c r="A2953" s="101" t="s">
        <v>164</v>
      </c>
      <c r="B2953" s="61" t="s">
        <v>148</v>
      </c>
      <c r="C2953" s="61" t="s">
        <v>125</v>
      </c>
      <c r="D2953" s="61" t="s">
        <v>3288</v>
      </c>
      <c r="E2953" s="119">
        <v>0.1</v>
      </c>
      <c r="F2953" s="148" t="s">
        <v>122</v>
      </c>
      <c r="G2953" s="148">
        <v>1</v>
      </c>
      <c r="H2953" s="61" t="s">
        <v>39</v>
      </c>
      <c r="I2953" s="168"/>
      <c r="J2953" s="62" t="s">
        <v>165</v>
      </c>
      <c r="K2953" s="168" t="s">
        <v>831</v>
      </c>
      <c r="L2953" s="159"/>
      <c r="M2953" s="169"/>
    </row>
    <row r="2954" spans="1:13" x14ac:dyDescent="0.55000000000000004">
      <c r="A2954" s="101" t="s">
        <v>164</v>
      </c>
      <c r="B2954" s="61" t="s">
        <v>176</v>
      </c>
      <c r="C2954" s="61" t="s">
        <v>125</v>
      </c>
      <c r="D2954" s="61" t="s">
        <v>3288</v>
      </c>
      <c r="E2954" s="119">
        <v>0.2</v>
      </c>
      <c r="F2954" s="148" t="s">
        <v>122</v>
      </c>
      <c r="G2954" s="148">
        <v>1</v>
      </c>
      <c r="H2954" s="61" t="s">
        <v>39</v>
      </c>
      <c r="I2954" s="168"/>
      <c r="J2954" s="62" t="s">
        <v>165</v>
      </c>
      <c r="K2954" s="168" t="s">
        <v>831</v>
      </c>
      <c r="L2954" s="159"/>
      <c r="M2954" s="169"/>
    </row>
    <row r="2955" spans="1:13" x14ac:dyDescent="0.55000000000000004">
      <c r="A2955" s="101" t="s">
        <v>164</v>
      </c>
      <c r="B2955" s="61" t="s">
        <v>145</v>
      </c>
      <c r="C2955" s="61" t="s">
        <v>125</v>
      </c>
      <c r="D2955" s="61" t="s">
        <v>3288</v>
      </c>
      <c r="E2955" s="119">
        <v>1.18</v>
      </c>
      <c r="F2955" s="148" t="s">
        <v>122</v>
      </c>
      <c r="G2955" s="148">
        <v>1</v>
      </c>
      <c r="H2955" s="61" t="s">
        <v>39</v>
      </c>
      <c r="I2955" s="168"/>
      <c r="J2955" s="62" t="s">
        <v>165</v>
      </c>
      <c r="K2955" s="168" t="s">
        <v>831</v>
      </c>
      <c r="L2955" s="159"/>
      <c r="M2955" s="169"/>
    </row>
    <row r="2956" spans="1:13" x14ac:dyDescent="0.55000000000000004">
      <c r="A2956" s="101" t="s">
        <v>164</v>
      </c>
      <c r="B2956" s="61" t="s">
        <v>154</v>
      </c>
      <c r="C2956" s="61" t="s">
        <v>132</v>
      </c>
      <c r="D2956" s="61" t="s">
        <v>3288</v>
      </c>
      <c r="E2956" s="119">
        <v>0.28000000000000003</v>
      </c>
      <c r="F2956" s="148" t="s">
        <v>122</v>
      </c>
      <c r="G2956" s="148">
        <v>1</v>
      </c>
      <c r="H2956" s="61" t="s">
        <v>39</v>
      </c>
      <c r="I2956" s="168"/>
      <c r="J2956" s="62" t="s">
        <v>165</v>
      </c>
      <c r="K2956" s="168" t="s">
        <v>831</v>
      </c>
      <c r="L2956" s="159"/>
      <c r="M2956" s="169"/>
    </row>
    <row r="2957" spans="1:13" x14ac:dyDescent="0.55000000000000004">
      <c r="A2957" s="101" t="s">
        <v>164</v>
      </c>
      <c r="B2957" s="61" t="s">
        <v>177</v>
      </c>
      <c r="C2957" s="61" t="s">
        <v>156</v>
      </c>
      <c r="D2957" s="61" t="s">
        <v>3288</v>
      </c>
      <c r="E2957" s="119">
        <v>0.02</v>
      </c>
      <c r="F2957" s="148" t="s">
        <v>122</v>
      </c>
      <c r="G2957" s="148">
        <v>1</v>
      </c>
      <c r="H2957" s="61" t="s">
        <v>39</v>
      </c>
      <c r="I2957" s="168"/>
      <c r="J2957" s="62" t="s">
        <v>165</v>
      </c>
      <c r="K2957" s="168" t="s">
        <v>831</v>
      </c>
      <c r="L2957" s="159"/>
      <c r="M2957" s="169"/>
    </row>
    <row r="2958" spans="1:13" x14ac:dyDescent="0.55000000000000004">
      <c r="A2958" s="101" t="s">
        <v>164</v>
      </c>
      <c r="B2958" s="61" t="s">
        <v>178</v>
      </c>
      <c r="C2958" s="61" t="s">
        <v>156</v>
      </c>
      <c r="D2958" s="61" t="s">
        <v>3288</v>
      </c>
      <c r="E2958" s="119">
        <v>0.2</v>
      </c>
      <c r="F2958" s="148" t="s">
        <v>122</v>
      </c>
      <c r="G2958" s="148">
        <v>1</v>
      </c>
      <c r="H2958" s="61" t="s">
        <v>39</v>
      </c>
      <c r="I2958" s="168"/>
      <c r="J2958" s="62" t="s">
        <v>165</v>
      </c>
      <c r="K2958" s="168" t="s">
        <v>831</v>
      </c>
      <c r="L2958" s="159"/>
      <c r="M2958" s="169"/>
    </row>
    <row r="2959" spans="1:13" x14ac:dyDescent="0.55000000000000004">
      <c r="A2959" s="101" t="s">
        <v>164</v>
      </c>
      <c r="B2959" s="61" t="s">
        <v>160</v>
      </c>
      <c r="C2959" s="61" t="s">
        <v>124</v>
      </c>
      <c r="D2959" s="61" t="s">
        <v>3288</v>
      </c>
      <c r="E2959" s="119">
        <v>1</v>
      </c>
      <c r="F2959" s="148" t="s">
        <v>122</v>
      </c>
      <c r="G2959" s="148">
        <v>1</v>
      </c>
      <c r="H2959" s="61" t="s">
        <v>39</v>
      </c>
      <c r="I2959" s="168"/>
      <c r="J2959" s="62" t="s">
        <v>165</v>
      </c>
      <c r="K2959" s="168" t="s">
        <v>831</v>
      </c>
      <c r="L2959" s="159"/>
      <c r="M2959" s="169"/>
    </row>
    <row r="2960" spans="1:13" x14ac:dyDescent="0.55000000000000004">
      <c r="A2960" s="101" t="s">
        <v>164</v>
      </c>
      <c r="B2960" s="61" t="s">
        <v>179</v>
      </c>
      <c r="C2960" s="61" t="s">
        <v>124</v>
      </c>
      <c r="D2960" s="61" t="s">
        <v>3288</v>
      </c>
      <c r="E2960" s="119">
        <v>4.71</v>
      </c>
      <c r="F2960" s="148" t="s">
        <v>122</v>
      </c>
      <c r="G2960" s="148">
        <v>1</v>
      </c>
      <c r="H2960" s="61" t="s">
        <v>39</v>
      </c>
      <c r="I2960" s="168"/>
      <c r="J2960" s="62" t="s">
        <v>165</v>
      </c>
      <c r="K2960" s="168" t="s">
        <v>831</v>
      </c>
      <c r="L2960" s="159"/>
      <c r="M2960" s="169"/>
    </row>
    <row r="2961" spans="1:13" x14ac:dyDescent="0.55000000000000004">
      <c r="A2961" s="101" t="s">
        <v>164</v>
      </c>
      <c r="B2961" s="61" t="s">
        <v>180</v>
      </c>
      <c r="C2961" s="61" t="s">
        <v>163</v>
      </c>
      <c r="D2961" s="61" t="s">
        <v>3288</v>
      </c>
      <c r="E2961" s="119">
        <v>0.53300000000000003</v>
      </c>
      <c r="F2961" s="148" t="s">
        <v>122</v>
      </c>
      <c r="G2961" s="148">
        <v>1</v>
      </c>
      <c r="H2961" s="61" t="s">
        <v>39</v>
      </c>
      <c r="I2961" s="168"/>
      <c r="J2961" s="62" t="s">
        <v>165</v>
      </c>
      <c r="K2961" s="168" t="s">
        <v>831</v>
      </c>
      <c r="L2961" s="159"/>
      <c r="M2961" s="169"/>
    </row>
    <row r="2962" spans="1:13" x14ac:dyDescent="0.55000000000000004">
      <c r="A2962" s="101" t="s">
        <v>164</v>
      </c>
      <c r="B2962" s="61" t="s">
        <v>181</v>
      </c>
      <c r="C2962" s="61" t="s">
        <v>163</v>
      </c>
      <c r="D2962" s="61" t="s">
        <v>3288</v>
      </c>
      <c r="E2962" s="119">
        <v>0.22700000000000001</v>
      </c>
      <c r="F2962" s="148" t="s">
        <v>122</v>
      </c>
      <c r="G2962" s="148">
        <v>1</v>
      </c>
      <c r="H2962" s="61" t="s">
        <v>39</v>
      </c>
      <c r="I2962" s="168"/>
      <c r="J2962" s="62" t="s">
        <v>165</v>
      </c>
      <c r="K2962" s="168" t="s">
        <v>831</v>
      </c>
      <c r="L2962" s="159"/>
      <c r="M2962" s="169"/>
    </row>
    <row r="2963" spans="1:13" x14ac:dyDescent="0.55000000000000004">
      <c r="A2963" s="101" t="s">
        <v>164</v>
      </c>
      <c r="B2963" s="61" t="s">
        <v>155</v>
      </c>
      <c r="C2963" s="61" t="s">
        <v>156</v>
      </c>
      <c r="D2963" s="61" t="s">
        <v>3288</v>
      </c>
      <c r="E2963" s="119">
        <v>1E-3</v>
      </c>
      <c r="F2963" s="148" t="s">
        <v>122</v>
      </c>
      <c r="G2963" s="148">
        <v>1</v>
      </c>
      <c r="H2963" s="61" t="s">
        <v>39</v>
      </c>
      <c r="I2963" s="168"/>
      <c r="J2963" s="62" t="s">
        <v>165</v>
      </c>
      <c r="K2963" s="168" t="s">
        <v>831</v>
      </c>
      <c r="L2963" s="159">
        <v>7108</v>
      </c>
      <c r="M2963" s="169"/>
    </row>
    <row r="2964" spans="1:13" x14ac:dyDescent="0.55000000000000004">
      <c r="A2964" s="101" t="s">
        <v>164</v>
      </c>
      <c r="B2964" s="61" t="s">
        <v>182</v>
      </c>
      <c r="C2964" s="61" t="s">
        <v>156</v>
      </c>
      <c r="D2964" s="61" t="s">
        <v>3288</v>
      </c>
      <c r="E2964" s="119">
        <v>9.3299999999999994E-2</v>
      </c>
      <c r="F2964" s="148" t="s">
        <v>122</v>
      </c>
      <c r="G2964" s="148">
        <v>1</v>
      </c>
      <c r="H2964" s="61" t="s">
        <v>39</v>
      </c>
      <c r="I2964" s="168"/>
      <c r="J2964" s="62" t="s">
        <v>165</v>
      </c>
      <c r="K2964" s="168" t="s">
        <v>831</v>
      </c>
      <c r="L2964" s="159">
        <v>282540</v>
      </c>
      <c r="M2964" s="169"/>
    </row>
    <row r="2965" spans="1:13" x14ac:dyDescent="0.55000000000000004">
      <c r="A2965" s="101" t="s">
        <v>164</v>
      </c>
      <c r="B2965" s="61" t="s">
        <v>159</v>
      </c>
      <c r="C2965" s="61" t="s">
        <v>156</v>
      </c>
      <c r="D2965" s="61" t="s">
        <v>3288</v>
      </c>
      <c r="E2965" s="119">
        <v>3.3300000000000003E-2</v>
      </c>
      <c r="F2965" s="148" t="s">
        <v>122</v>
      </c>
      <c r="G2965" s="148">
        <v>1</v>
      </c>
      <c r="H2965" s="61" t="s">
        <v>39</v>
      </c>
      <c r="I2965" s="168"/>
      <c r="J2965" s="62" t="s">
        <v>165</v>
      </c>
      <c r="K2965" s="168" t="s">
        <v>831</v>
      </c>
      <c r="L2965" s="159">
        <v>280490</v>
      </c>
      <c r="M2965" s="169"/>
    </row>
    <row r="2966" spans="1:13" x14ac:dyDescent="0.55000000000000004">
      <c r="A2966" s="101" t="s">
        <v>164</v>
      </c>
      <c r="B2966" s="61" t="s">
        <v>157</v>
      </c>
      <c r="C2966" s="61" t="s">
        <v>156</v>
      </c>
      <c r="D2966" s="61" t="s">
        <v>3288</v>
      </c>
      <c r="E2966" s="119">
        <v>0.06</v>
      </c>
      <c r="F2966" s="148" t="s">
        <v>122</v>
      </c>
      <c r="G2966" s="148">
        <v>1</v>
      </c>
      <c r="H2966" s="61" t="s">
        <v>39</v>
      </c>
      <c r="I2966" s="168"/>
      <c r="J2966" s="62" t="s">
        <v>165</v>
      </c>
      <c r="K2966" s="168" t="s">
        <v>831</v>
      </c>
      <c r="L2966" s="159">
        <v>7106</v>
      </c>
      <c r="M2966" s="169"/>
    </row>
    <row r="2967" spans="1:13" x14ac:dyDescent="0.55000000000000004">
      <c r="A2967" s="101" t="s">
        <v>142</v>
      </c>
      <c r="B2967" s="61" t="s">
        <v>143</v>
      </c>
      <c r="C2967" s="61" t="s">
        <v>121</v>
      </c>
      <c r="D2967" s="61" t="s">
        <v>2682</v>
      </c>
      <c r="E2967" s="119">
        <v>1</v>
      </c>
      <c r="F2967" s="148">
        <v>1</v>
      </c>
      <c r="G2967" s="148">
        <v>1</v>
      </c>
      <c r="H2967" s="61" t="s">
        <v>39</v>
      </c>
      <c r="I2967" s="168"/>
      <c r="J2967" s="62" t="s">
        <v>144</v>
      </c>
      <c r="K2967" s="168" t="s">
        <v>831</v>
      </c>
      <c r="L2967" s="159"/>
      <c r="M2967" s="169"/>
    </row>
    <row r="2968" spans="1:13" x14ac:dyDescent="0.55000000000000004">
      <c r="A2968" s="101" t="s">
        <v>142</v>
      </c>
      <c r="B2968" s="61" t="s">
        <v>145</v>
      </c>
      <c r="C2968" s="61" t="s">
        <v>125</v>
      </c>
      <c r="D2968" s="61" t="s">
        <v>3288</v>
      </c>
      <c r="E2968" s="119">
        <v>3.9600000000000003E-2</v>
      </c>
      <c r="F2968" s="148" t="s">
        <v>122</v>
      </c>
      <c r="G2968" s="148">
        <v>1</v>
      </c>
      <c r="H2968" s="61" t="s">
        <v>39</v>
      </c>
      <c r="I2968" s="168"/>
      <c r="J2968" s="62" t="s">
        <v>144</v>
      </c>
      <c r="K2968" s="168" t="s">
        <v>831</v>
      </c>
      <c r="L2968" s="159"/>
      <c r="M2968" s="169"/>
    </row>
    <row r="2969" spans="1:13" x14ac:dyDescent="0.55000000000000004">
      <c r="A2969" s="101" t="s">
        <v>142</v>
      </c>
      <c r="B2969" s="61" t="s">
        <v>146</v>
      </c>
      <c r="C2969" s="61" t="s">
        <v>132</v>
      </c>
      <c r="D2969" s="61" t="s">
        <v>3288</v>
      </c>
      <c r="E2969" s="119">
        <v>4.9000000000000002E-2</v>
      </c>
      <c r="F2969" s="148" t="s">
        <v>122</v>
      </c>
      <c r="G2969" s="148">
        <v>1</v>
      </c>
      <c r="H2969" s="61" t="s">
        <v>39</v>
      </c>
      <c r="I2969" s="168"/>
      <c r="J2969" s="62" t="s">
        <v>144</v>
      </c>
      <c r="K2969" s="168" t="s">
        <v>831</v>
      </c>
      <c r="L2969" s="159"/>
      <c r="M2969" s="169"/>
    </row>
    <row r="2970" spans="1:13" x14ac:dyDescent="0.55000000000000004">
      <c r="A2970" s="101" t="s">
        <v>142</v>
      </c>
      <c r="B2970" s="61" t="s">
        <v>147</v>
      </c>
      <c r="C2970" s="61" t="s">
        <v>125</v>
      </c>
      <c r="D2970" s="61" t="s">
        <v>3288</v>
      </c>
      <c r="E2970" s="119">
        <v>5.6000000000000001E-2</v>
      </c>
      <c r="F2970" s="148" t="s">
        <v>122</v>
      </c>
      <c r="G2970" s="148">
        <v>1</v>
      </c>
      <c r="H2970" s="61" t="s">
        <v>39</v>
      </c>
      <c r="I2970" s="168"/>
      <c r="J2970" s="62" t="s">
        <v>144</v>
      </c>
      <c r="K2970" s="168" t="s">
        <v>831</v>
      </c>
      <c r="L2970" s="159"/>
      <c r="M2970" s="169"/>
    </row>
    <row r="2971" spans="1:13" x14ac:dyDescent="0.55000000000000004">
      <c r="A2971" s="101" t="s">
        <v>142</v>
      </c>
      <c r="B2971" s="61" t="s">
        <v>148</v>
      </c>
      <c r="C2971" s="61" t="s">
        <v>125</v>
      </c>
      <c r="D2971" s="61" t="s">
        <v>3288</v>
      </c>
      <c r="E2971" s="119">
        <v>0.71699999999999997</v>
      </c>
      <c r="F2971" s="148" t="s">
        <v>122</v>
      </c>
      <c r="G2971" s="148">
        <v>1</v>
      </c>
      <c r="H2971" s="61" t="s">
        <v>39</v>
      </c>
      <c r="I2971" s="168"/>
      <c r="J2971" s="62" t="s">
        <v>144</v>
      </c>
      <c r="K2971" s="168" t="s">
        <v>831</v>
      </c>
      <c r="L2971" s="159"/>
      <c r="M2971" s="169"/>
    </row>
    <row r="2972" spans="1:13" x14ac:dyDescent="0.55000000000000004">
      <c r="A2972" s="101" t="s">
        <v>142</v>
      </c>
      <c r="B2972" s="61" t="s">
        <v>149</v>
      </c>
      <c r="C2972" s="61" t="s">
        <v>125</v>
      </c>
      <c r="D2972" s="61" t="s">
        <v>3288</v>
      </c>
      <c r="E2972" s="119">
        <v>3.2300000000000002E-2</v>
      </c>
      <c r="F2972" s="148" t="s">
        <v>122</v>
      </c>
      <c r="G2972" s="148">
        <v>1</v>
      </c>
      <c r="H2972" s="61" t="s">
        <v>39</v>
      </c>
      <c r="I2972" s="168"/>
      <c r="J2972" s="62" t="s">
        <v>144</v>
      </c>
      <c r="K2972" s="168" t="s">
        <v>831</v>
      </c>
      <c r="L2972" s="159"/>
      <c r="M2972" s="169"/>
    </row>
    <row r="2973" spans="1:13" x14ac:dyDescent="0.55000000000000004">
      <c r="A2973" s="101" t="s">
        <v>142</v>
      </c>
      <c r="B2973" s="61" t="s">
        <v>150</v>
      </c>
      <c r="C2973" s="61" t="s">
        <v>125</v>
      </c>
      <c r="D2973" s="61" t="s">
        <v>3288</v>
      </c>
      <c r="E2973" s="119">
        <v>8.5100000000000002E-3</v>
      </c>
      <c r="F2973" s="148" t="s">
        <v>122</v>
      </c>
      <c r="G2973" s="148">
        <v>1</v>
      </c>
      <c r="H2973" s="61" t="s">
        <v>39</v>
      </c>
      <c r="I2973" s="168"/>
      <c r="J2973" s="62" t="s">
        <v>144</v>
      </c>
      <c r="K2973" s="168" t="s">
        <v>831</v>
      </c>
      <c r="L2973" s="159"/>
      <c r="M2973" s="169"/>
    </row>
    <row r="2974" spans="1:13" x14ac:dyDescent="0.55000000000000004">
      <c r="A2974" s="101" t="s">
        <v>142</v>
      </c>
      <c r="B2974" s="61" t="s">
        <v>151</v>
      </c>
      <c r="C2974" s="61" t="s">
        <v>125</v>
      </c>
      <c r="D2974" s="61" t="s">
        <v>3288</v>
      </c>
      <c r="E2974" s="119">
        <v>1.6999999999999999E-3</v>
      </c>
      <c r="F2974" s="148" t="s">
        <v>122</v>
      </c>
      <c r="G2974" s="148">
        <v>1</v>
      </c>
      <c r="H2974" s="61" t="s">
        <v>39</v>
      </c>
      <c r="I2974" s="168"/>
      <c r="J2974" s="62" t="s">
        <v>144</v>
      </c>
      <c r="K2974" s="168" t="s">
        <v>831</v>
      </c>
      <c r="L2974" s="159"/>
      <c r="M2974" s="169"/>
    </row>
    <row r="2975" spans="1:13" x14ac:dyDescent="0.55000000000000004">
      <c r="A2975" s="101" t="s">
        <v>142</v>
      </c>
      <c r="B2975" s="61" t="s">
        <v>152</v>
      </c>
      <c r="C2975" s="61" t="s">
        <v>125</v>
      </c>
      <c r="D2975" s="61" t="s">
        <v>3288</v>
      </c>
      <c r="E2975" s="119">
        <v>6.0000000000000002E-5</v>
      </c>
      <c r="F2975" s="148" t="s">
        <v>122</v>
      </c>
      <c r="G2975" s="148">
        <v>1</v>
      </c>
      <c r="H2975" s="61" t="s">
        <v>39</v>
      </c>
      <c r="I2975" s="168"/>
      <c r="J2975" s="62" t="s">
        <v>144</v>
      </c>
      <c r="K2975" s="168" t="s">
        <v>831</v>
      </c>
      <c r="L2975" s="159"/>
      <c r="M2975" s="169"/>
    </row>
    <row r="2976" spans="1:13" x14ac:dyDescent="0.55000000000000004">
      <c r="A2976" s="101" t="s">
        <v>142</v>
      </c>
      <c r="B2976" s="61" t="s">
        <v>153</v>
      </c>
      <c r="C2976" s="61" t="s">
        <v>127</v>
      </c>
      <c r="D2976" s="61" t="s">
        <v>2994</v>
      </c>
      <c r="E2976" s="119">
        <v>3.15</v>
      </c>
      <c r="F2976" s="148" t="s">
        <v>130</v>
      </c>
      <c r="G2976" s="148">
        <v>1</v>
      </c>
      <c r="H2976" s="61" t="s">
        <v>39</v>
      </c>
      <c r="I2976" s="168"/>
      <c r="J2976" s="62" t="s">
        <v>144</v>
      </c>
      <c r="K2976" s="168" t="s">
        <v>831</v>
      </c>
      <c r="L2976" s="159"/>
      <c r="M2976" s="169"/>
    </row>
    <row r="2977" spans="1:13" x14ac:dyDescent="0.55000000000000004">
      <c r="A2977" s="101" t="s">
        <v>142</v>
      </c>
      <c r="B2977" s="61" t="s">
        <v>154</v>
      </c>
      <c r="C2977" s="61" t="s">
        <v>132</v>
      </c>
      <c r="D2977" s="61" t="s">
        <v>3288</v>
      </c>
      <c r="E2977" s="119">
        <v>1.1499999999999999</v>
      </c>
      <c r="F2977" s="148" t="s">
        <v>122</v>
      </c>
      <c r="G2977" s="148">
        <v>1</v>
      </c>
      <c r="H2977" s="61" t="s">
        <v>39</v>
      </c>
      <c r="I2977" s="168"/>
      <c r="J2977" s="62" t="s">
        <v>144</v>
      </c>
      <c r="K2977" s="168" t="s">
        <v>831</v>
      </c>
      <c r="L2977" s="159"/>
      <c r="M2977" s="169"/>
    </row>
    <row r="2978" spans="1:13" x14ac:dyDescent="0.55000000000000004">
      <c r="A2978" s="101" t="s">
        <v>142</v>
      </c>
      <c r="B2978" s="61" t="s">
        <v>155</v>
      </c>
      <c r="C2978" s="61" t="s">
        <v>156</v>
      </c>
      <c r="D2978" s="61" t="s">
        <v>3288</v>
      </c>
      <c r="E2978" s="119">
        <v>1.67E-3</v>
      </c>
      <c r="F2978" s="148" t="s">
        <v>122</v>
      </c>
      <c r="G2978" s="148">
        <v>1</v>
      </c>
      <c r="H2978" s="61" t="s">
        <v>39</v>
      </c>
      <c r="I2978" s="168"/>
      <c r="J2978" s="62" t="s">
        <v>144</v>
      </c>
      <c r="K2978" s="168" t="s">
        <v>831</v>
      </c>
      <c r="L2978" s="159">
        <v>7108</v>
      </c>
      <c r="M2978" s="169"/>
    </row>
    <row r="2979" spans="1:13" x14ac:dyDescent="0.55000000000000004">
      <c r="A2979" s="101" t="s">
        <v>142</v>
      </c>
      <c r="B2979" s="61" t="s">
        <v>157</v>
      </c>
      <c r="C2979" s="61" t="s">
        <v>156</v>
      </c>
      <c r="D2979" s="61" t="s">
        <v>3288</v>
      </c>
      <c r="E2979" s="119">
        <v>3.7900000000000003E-2</v>
      </c>
      <c r="F2979" s="148" t="s">
        <v>122</v>
      </c>
      <c r="G2979" s="148">
        <v>1</v>
      </c>
      <c r="H2979" s="61" t="s">
        <v>39</v>
      </c>
      <c r="I2979" s="168"/>
      <c r="J2979" s="62" t="s">
        <v>144</v>
      </c>
      <c r="K2979" s="168" t="s">
        <v>831</v>
      </c>
      <c r="L2979" s="159">
        <v>7106</v>
      </c>
      <c r="M2979" s="169"/>
    </row>
    <row r="2980" spans="1:13" x14ac:dyDescent="0.55000000000000004">
      <c r="A2980" s="101" t="s">
        <v>142</v>
      </c>
      <c r="B2980" s="61" t="s">
        <v>158</v>
      </c>
      <c r="C2980" s="61" t="s">
        <v>156</v>
      </c>
      <c r="D2980" s="61" t="s">
        <v>3288</v>
      </c>
      <c r="E2980" s="119">
        <v>2.3E-2</v>
      </c>
      <c r="F2980" s="148" t="s">
        <v>122</v>
      </c>
      <c r="G2980" s="148">
        <v>1</v>
      </c>
      <c r="H2980" s="61" t="s">
        <v>39</v>
      </c>
      <c r="I2980" s="168"/>
      <c r="J2980" s="62" t="s">
        <v>144</v>
      </c>
      <c r="K2980" s="168" t="s">
        <v>831</v>
      </c>
      <c r="L2980" s="159">
        <v>7406</v>
      </c>
      <c r="M2980" s="169"/>
    </row>
    <row r="2981" spans="1:13" x14ac:dyDescent="0.55000000000000004">
      <c r="A2981" s="101" t="s">
        <v>142</v>
      </c>
      <c r="B2981" s="61" t="s">
        <v>159</v>
      </c>
      <c r="C2981" s="61" t="s">
        <v>156</v>
      </c>
      <c r="D2981" s="61" t="s">
        <v>3288</v>
      </c>
      <c r="E2981" s="119">
        <v>4.5499999999999999E-2</v>
      </c>
      <c r="F2981" s="148" t="s">
        <v>122</v>
      </c>
      <c r="G2981" s="148">
        <v>1</v>
      </c>
      <c r="H2981" s="61" t="s">
        <v>39</v>
      </c>
      <c r="I2981" s="168"/>
      <c r="J2981" s="62" t="s">
        <v>144</v>
      </c>
      <c r="K2981" s="168" t="s">
        <v>831</v>
      </c>
      <c r="L2981" s="159">
        <v>280490</v>
      </c>
      <c r="M2981" s="169"/>
    </row>
    <row r="2982" spans="1:13" x14ac:dyDescent="0.55000000000000004">
      <c r="A2982" s="101" t="s">
        <v>142</v>
      </c>
      <c r="B2982" s="61" t="s">
        <v>160</v>
      </c>
      <c r="C2982" s="61" t="s">
        <v>124</v>
      </c>
      <c r="D2982" s="61" t="s">
        <v>3288</v>
      </c>
      <c r="E2982" s="119">
        <v>1.1200000000000001</v>
      </c>
      <c r="F2982" s="148" t="s">
        <v>122</v>
      </c>
      <c r="G2982" s="148">
        <v>1</v>
      </c>
      <c r="H2982" s="61" t="s">
        <v>39</v>
      </c>
      <c r="I2982" s="168"/>
      <c r="J2982" s="62" t="s">
        <v>144</v>
      </c>
      <c r="K2982" s="168" t="s">
        <v>831</v>
      </c>
      <c r="L2982" s="159"/>
      <c r="M2982" s="169"/>
    </row>
    <row r="2983" spans="1:13" x14ac:dyDescent="0.55000000000000004">
      <c r="A2983" s="101" t="s">
        <v>142</v>
      </c>
      <c r="B2983" s="61" t="s">
        <v>161</v>
      </c>
      <c r="C2983" s="61" t="s">
        <v>125</v>
      </c>
      <c r="D2983" s="61" t="s">
        <v>3288</v>
      </c>
      <c r="E2983" s="119">
        <v>1</v>
      </c>
      <c r="F2983" s="148" t="s">
        <v>122</v>
      </c>
      <c r="G2983" s="148">
        <v>1</v>
      </c>
      <c r="H2983" s="61" t="s">
        <v>39</v>
      </c>
      <c r="I2983" s="168"/>
      <c r="J2983" s="62" t="s">
        <v>144</v>
      </c>
      <c r="K2983" s="168" t="s">
        <v>831</v>
      </c>
      <c r="L2983" s="159"/>
      <c r="M2983" s="169"/>
    </row>
    <row r="2984" spans="1:13" x14ac:dyDescent="0.55000000000000004">
      <c r="A2984" s="101" t="s">
        <v>142</v>
      </c>
      <c r="B2984" s="61" t="s">
        <v>162</v>
      </c>
      <c r="C2984" s="61" t="s">
        <v>163</v>
      </c>
      <c r="D2984" s="61" t="s">
        <v>3288</v>
      </c>
      <c r="E2984" s="119">
        <v>0.48</v>
      </c>
      <c r="F2984" s="148" t="s">
        <v>122</v>
      </c>
      <c r="G2984" s="148">
        <v>1</v>
      </c>
      <c r="H2984" s="61" t="s">
        <v>39</v>
      </c>
      <c r="I2984" s="168"/>
      <c r="J2984" s="62" t="s">
        <v>144</v>
      </c>
      <c r="K2984" s="168" t="s">
        <v>831</v>
      </c>
      <c r="L2984" s="159"/>
      <c r="M2984" s="169"/>
    </row>
    <row r="2985" spans="1:13" x14ac:dyDescent="0.55000000000000004">
      <c r="A2985" s="132" t="s">
        <v>2250</v>
      </c>
      <c r="B2985" s="133" t="s">
        <v>2587</v>
      </c>
      <c r="C2985" s="133" t="s">
        <v>121</v>
      </c>
      <c r="D2985" s="133" t="s">
        <v>2682</v>
      </c>
      <c r="E2985" s="138">
        <v>1</v>
      </c>
      <c r="F2985" s="153">
        <v>1</v>
      </c>
      <c r="G2985" s="153">
        <v>1</v>
      </c>
      <c r="H2985" s="133" t="s">
        <v>39</v>
      </c>
      <c r="I2985" s="133"/>
      <c r="J2985" s="133" t="s">
        <v>2249</v>
      </c>
      <c r="K2985" s="133" t="s">
        <v>831</v>
      </c>
      <c r="L2985" s="167"/>
      <c r="M2985" s="169"/>
    </row>
    <row r="2986" spans="1:13" x14ac:dyDescent="0.55000000000000004">
      <c r="A2986" s="132" t="s">
        <v>2250</v>
      </c>
      <c r="B2986" s="133" t="s">
        <v>2588</v>
      </c>
      <c r="C2986" s="133" t="s">
        <v>156</v>
      </c>
      <c r="D2986" s="133" t="s">
        <v>3288</v>
      </c>
      <c r="E2986" s="138">
        <v>0.996</v>
      </c>
      <c r="F2986" s="153" t="s">
        <v>135</v>
      </c>
      <c r="G2986" s="153">
        <v>1</v>
      </c>
      <c r="H2986" s="134" t="s">
        <v>39</v>
      </c>
      <c r="I2986" s="133"/>
      <c r="J2986" s="133" t="s">
        <v>2249</v>
      </c>
      <c r="K2986" s="133" t="s">
        <v>831</v>
      </c>
      <c r="L2986" s="167"/>
      <c r="M2986" s="169"/>
    </row>
    <row r="2987" spans="1:13" x14ac:dyDescent="0.55000000000000004">
      <c r="A2987" s="132" t="s">
        <v>2250</v>
      </c>
      <c r="B2987" s="133" t="s">
        <v>2589</v>
      </c>
      <c r="C2987" s="133" t="s">
        <v>156</v>
      </c>
      <c r="D2987" s="133" t="s">
        <v>3288</v>
      </c>
      <c r="E2987" s="138">
        <v>2.0100000000000001E-5</v>
      </c>
      <c r="F2987" s="153" t="s">
        <v>135</v>
      </c>
      <c r="G2987" s="153">
        <v>1</v>
      </c>
      <c r="H2987" s="134" t="s">
        <v>39</v>
      </c>
      <c r="I2987" s="133"/>
      <c r="J2987" s="133" t="s">
        <v>2249</v>
      </c>
      <c r="K2987" s="135" t="s">
        <v>831</v>
      </c>
      <c r="L2987" s="167"/>
      <c r="M2987" s="169"/>
    </row>
    <row r="2988" spans="1:13" x14ac:dyDescent="0.55000000000000004">
      <c r="A2988" s="132" t="s">
        <v>2250</v>
      </c>
      <c r="B2988" s="133" t="s">
        <v>2590</v>
      </c>
      <c r="C2988" s="133" t="s">
        <v>156</v>
      </c>
      <c r="D2988" s="133" t="s">
        <v>3288</v>
      </c>
      <c r="E2988" s="138">
        <v>4.4900000000000001E-3</v>
      </c>
      <c r="F2988" s="153" t="s">
        <v>135</v>
      </c>
      <c r="G2988" s="153">
        <v>1</v>
      </c>
      <c r="H2988" s="134" t="s">
        <v>39</v>
      </c>
      <c r="I2988" s="133"/>
      <c r="J2988" s="133" t="s">
        <v>2249</v>
      </c>
      <c r="K2988" s="133" t="s">
        <v>831</v>
      </c>
      <c r="L2988" s="167"/>
      <c r="M2988" s="169"/>
    </row>
    <row r="2989" spans="1:13" x14ac:dyDescent="0.55000000000000004">
      <c r="A2989" s="132" t="s">
        <v>2250</v>
      </c>
      <c r="B2989" s="133" t="s">
        <v>2591</v>
      </c>
      <c r="C2989" s="133" t="s">
        <v>156</v>
      </c>
      <c r="D2989" s="133" t="s">
        <v>3288</v>
      </c>
      <c r="E2989" s="138">
        <v>1.0000000000000001E-5</v>
      </c>
      <c r="F2989" s="153" t="s">
        <v>135</v>
      </c>
      <c r="G2989" s="153">
        <v>1</v>
      </c>
      <c r="H2989" s="134" t="s">
        <v>39</v>
      </c>
      <c r="I2989" s="133"/>
      <c r="J2989" s="133" t="s">
        <v>2249</v>
      </c>
      <c r="K2989" s="133" t="s">
        <v>831</v>
      </c>
      <c r="L2989" s="167"/>
      <c r="M2989" s="169"/>
    </row>
    <row r="2990" spans="1:13" x14ac:dyDescent="0.55000000000000004">
      <c r="A2990" s="132" t="s">
        <v>2250</v>
      </c>
      <c r="B2990" s="133" t="s">
        <v>2592</v>
      </c>
      <c r="C2990" s="133" t="s">
        <v>127</v>
      </c>
      <c r="D2990" s="133" t="s">
        <v>2994</v>
      </c>
      <c r="E2990" s="138">
        <v>0.63</v>
      </c>
      <c r="F2990" s="153" t="s">
        <v>130</v>
      </c>
      <c r="G2990" s="153">
        <v>1</v>
      </c>
      <c r="H2990" s="134" t="s">
        <v>39</v>
      </c>
      <c r="I2990" s="133"/>
      <c r="J2990" s="133" t="s">
        <v>2249</v>
      </c>
      <c r="K2990" s="133" t="s">
        <v>831</v>
      </c>
      <c r="L2990" s="167"/>
      <c r="M2990" s="169"/>
    </row>
    <row r="2991" spans="1:13" x14ac:dyDescent="0.55000000000000004">
      <c r="A2991" s="132" t="s">
        <v>2250</v>
      </c>
      <c r="B2991" s="133" t="s">
        <v>2593</v>
      </c>
      <c r="C2991" s="133" t="s">
        <v>125</v>
      </c>
      <c r="D2991" s="133" t="s">
        <v>3288</v>
      </c>
      <c r="E2991" s="138">
        <v>7.5300000000000001E-5</v>
      </c>
      <c r="F2991" s="153" t="s">
        <v>135</v>
      </c>
      <c r="G2991" s="153">
        <v>1</v>
      </c>
      <c r="H2991" s="134" t="s">
        <v>39</v>
      </c>
      <c r="I2991" s="133"/>
      <c r="J2991" s="133" t="s">
        <v>2249</v>
      </c>
      <c r="K2991" s="133" t="s">
        <v>831</v>
      </c>
      <c r="L2991" s="167"/>
      <c r="M2991" s="169"/>
    </row>
    <row r="2992" spans="1:13" x14ac:dyDescent="0.55000000000000004">
      <c r="A2992" s="132" t="s">
        <v>2250</v>
      </c>
      <c r="B2992" s="133" t="s">
        <v>2594</v>
      </c>
      <c r="C2992" s="133" t="s">
        <v>125</v>
      </c>
      <c r="D2992" s="133" t="s">
        <v>3288</v>
      </c>
      <c r="E2992" s="138">
        <v>3.16E-3</v>
      </c>
      <c r="F2992" s="153" t="s">
        <v>135</v>
      </c>
      <c r="G2992" s="153">
        <v>1</v>
      </c>
      <c r="H2992" s="134" t="s">
        <v>39</v>
      </c>
      <c r="I2992" s="133"/>
      <c r="J2992" s="133" t="s">
        <v>2249</v>
      </c>
      <c r="K2992" s="133" t="s">
        <v>831</v>
      </c>
      <c r="L2992" s="167"/>
      <c r="M2992" s="169"/>
    </row>
    <row r="2993" spans="1:13" x14ac:dyDescent="0.55000000000000004">
      <c r="A2993" s="132" t="s">
        <v>2250</v>
      </c>
      <c r="B2993" s="133" t="s">
        <v>2595</v>
      </c>
      <c r="C2993" s="133" t="s">
        <v>156</v>
      </c>
      <c r="D2993" s="133" t="s">
        <v>3288</v>
      </c>
      <c r="E2993" s="138">
        <v>7.7599999999999988E-2</v>
      </c>
      <c r="F2993" s="153" t="s">
        <v>135</v>
      </c>
      <c r="G2993" s="153">
        <v>1</v>
      </c>
      <c r="H2993" s="134" t="s">
        <v>39</v>
      </c>
      <c r="I2993" s="133"/>
      <c r="J2993" s="133" t="s">
        <v>2249</v>
      </c>
      <c r="K2993" s="133" t="s">
        <v>831</v>
      </c>
      <c r="L2993" s="167"/>
      <c r="M2993" s="169"/>
    </row>
    <row r="2994" spans="1:13" x14ac:dyDescent="0.55000000000000004">
      <c r="A2994" s="132" t="s">
        <v>2250</v>
      </c>
      <c r="B2994" s="133" t="s">
        <v>2596</v>
      </c>
      <c r="C2994" s="133" t="s">
        <v>156</v>
      </c>
      <c r="D2994" s="133" t="s">
        <v>3288</v>
      </c>
      <c r="E2994" s="138">
        <v>1.64E-3</v>
      </c>
      <c r="F2994" s="153" t="s">
        <v>135</v>
      </c>
      <c r="G2994" s="153">
        <v>1</v>
      </c>
      <c r="H2994" s="134" t="s">
        <v>39</v>
      </c>
      <c r="I2994" s="133"/>
      <c r="J2994" s="133" t="s">
        <v>2249</v>
      </c>
      <c r="K2994" s="133" t="s">
        <v>831</v>
      </c>
      <c r="L2994" s="167"/>
      <c r="M2994" s="169"/>
    </row>
    <row r="2995" spans="1:13" x14ac:dyDescent="0.55000000000000004">
      <c r="A2995" s="132" t="s">
        <v>2250</v>
      </c>
      <c r="B2995" s="133" t="s">
        <v>2597</v>
      </c>
      <c r="C2995" s="133" t="s">
        <v>125</v>
      </c>
      <c r="D2995" s="133" t="s">
        <v>3288</v>
      </c>
      <c r="E2995" s="138">
        <v>1</v>
      </c>
      <c r="F2995" s="153" t="s">
        <v>135</v>
      </c>
      <c r="G2995" s="153">
        <v>1</v>
      </c>
      <c r="H2995" s="134" t="s">
        <v>39</v>
      </c>
      <c r="I2995" s="133"/>
      <c r="J2995" s="133" t="s">
        <v>2249</v>
      </c>
      <c r="K2995" s="133" t="s">
        <v>831</v>
      </c>
      <c r="L2995" s="167"/>
      <c r="M2995" s="169"/>
    </row>
    <row r="2996" spans="1:13" x14ac:dyDescent="0.55000000000000004">
      <c r="A2996" s="132" t="s">
        <v>2250</v>
      </c>
      <c r="B2996" s="133" t="s">
        <v>154</v>
      </c>
      <c r="C2996" s="133" t="s">
        <v>132</v>
      </c>
      <c r="D2996" s="133" t="s">
        <v>3289</v>
      </c>
      <c r="E2996" s="138">
        <v>1.44</v>
      </c>
      <c r="F2996" s="153" t="s">
        <v>133</v>
      </c>
      <c r="G2996" s="153">
        <v>1</v>
      </c>
      <c r="H2996" s="134" t="s">
        <v>39</v>
      </c>
      <c r="I2996" s="133"/>
      <c r="J2996" s="133" t="s">
        <v>2249</v>
      </c>
      <c r="K2996" s="133" t="s">
        <v>831</v>
      </c>
      <c r="L2996" s="167"/>
      <c r="M2996" s="169"/>
    </row>
    <row r="2997" spans="1:13" x14ac:dyDescent="0.55000000000000004">
      <c r="A2997" s="132" t="s">
        <v>2250</v>
      </c>
      <c r="B2997" s="133" t="s">
        <v>2598</v>
      </c>
      <c r="C2997" s="133" t="s">
        <v>124</v>
      </c>
      <c r="D2997" s="133" t="s">
        <v>3288</v>
      </c>
      <c r="E2997" s="138">
        <v>8.7399999999999995E-3</v>
      </c>
      <c r="F2997" s="153" t="s">
        <v>135</v>
      </c>
      <c r="G2997" s="153">
        <v>1</v>
      </c>
      <c r="H2997" s="134" t="s">
        <v>39</v>
      </c>
      <c r="I2997" s="133"/>
      <c r="J2997" s="133" t="s">
        <v>2249</v>
      </c>
      <c r="K2997" s="133" t="s">
        <v>831</v>
      </c>
      <c r="L2997" s="167"/>
      <c r="M2997" s="169"/>
    </row>
    <row r="2998" spans="1:13" x14ac:dyDescent="0.55000000000000004">
      <c r="A2998" s="132" t="s">
        <v>2250</v>
      </c>
      <c r="B2998" s="133" t="s">
        <v>2599</v>
      </c>
      <c r="C2998" s="133" t="s">
        <v>124</v>
      </c>
      <c r="D2998" s="133" t="s">
        <v>3288</v>
      </c>
      <c r="E2998" s="138">
        <v>4.9199999999999995E-6</v>
      </c>
      <c r="F2998" s="153" t="s">
        <v>135</v>
      </c>
      <c r="G2998" s="153">
        <v>1</v>
      </c>
      <c r="H2998" s="134" t="s">
        <v>39</v>
      </c>
      <c r="I2998" s="133"/>
      <c r="J2998" s="133" t="s">
        <v>2249</v>
      </c>
      <c r="K2998" s="133" t="s">
        <v>831</v>
      </c>
      <c r="L2998" s="167"/>
      <c r="M2998" s="169"/>
    </row>
    <row r="2999" spans="1:13" x14ac:dyDescent="0.55000000000000004">
      <c r="A2999" s="132" t="s">
        <v>2250</v>
      </c>
      <c r="B2999" s="133" t="s">
        <v>891</v>
      </c>
      <c r="C2999" s="133" t="s">
        <v>124</v>
      </c>
      <c r="D2999" s="133" t="s">
        <v>3288</v>
      </c>
      <c r="E2999" s="138">
        <v>2.0000000000000002E-5</v>
      </c>
      <c r="F2999" s="153" t="s">
        <v>135</v>
      </c>
      <c r="G2999" s="153">
        <v>1</v>
      </c>
      <c r="H2999" s="134" t="s">
        <v>39</v>
      </c>
      <c r="I2999" s="133"/>
      <c r="J2999" s="133" t="s">
        <v>2249</v>
      </c>
      <c r="K2999" s="133" t="s">
        <v>831</v>
      </c>
      <c r="L2999" s="167"/>
      <c r="M2999" s="169"/>
    </row>
    <row r="3000" spans="1:13" x14ac:dyDescent="0.55000000000000004">
      <c r="A3000" s="132" t="s">
        <v>2250</v>
      </c>
      <c r="B3000" s="133" t="s">
        <v>1098</v>
      </c>
      <c r="C3000" s="133" t="s">
        <v>124</v>
      </c>
      <c r="D3000" s="133" t="s">
        <v>3288</v>
      </c>
      <c r="E3000" s="138">
        <v>2.4899999999999999E-5</v>
      </c>
      <c r="F3000" s="153" t="s">
        <v>135</v>
      </c>
      <c r="G3000" s="153">
        <v>1</v>
      </c>
      <c r="H3000" s="134" t="s">
        <v>39</v>
      </c>
      <c r="I3000" s="133"/>
      <c r="J3000" s="133" t="s">
        <v>2249</v>
      </c>
      <c r="K3000" s="133" t="s">
        <v>831</v>
      </c>
      <c r="L3000" s="167"/>
      <c r="M3000" s="169"/>
    </row>
    <row r="3001" spans="1:13" x14ac:dyDescent="0.55000000000000004">
      <c r="A3001" s="132" t="s">
        <v>2250</v>
      </c>
      <c r="B3001" s="133" t="s">
        <v>1099</v>
      </c>
      <c r="C3001" s="133" t="s">
        <v>124</v>
      </c>
      <c r="D3001" s="133" t="s">
        <v>3288</v>
      </c>
      <c r="E3001" s="138">
        <v>1.0499999999999999E-6</v>
      </c>
      <c r="F3001" s="153" t="s">
        <v>135</v>
      </c>
      <c r="G3001" s="153">
        <v>1</v>
      </c>
      <c r="H3001" s="134" t="s">
        <v>39</v>
      </c>
      <c r="I3001" s="133"/>
      <c r="J3001" s="133" t="s">
        <v>2249</v>
      </c>
      <c r="K3001" s="133" t="s">
        <v>831</v>
      </c>
      <c r="L3001" s="167"/>
      <c r="M3001" s="169"/>
    </row>
    <row r="3002" spans="1:13" x14ac:dyDescent="0.55000000000000004">
      <c r="A3002" s="132" t="s">
        <v>2250</v>
      </c>
      <c r="B3002" s="133" t="s">
        <v>1172</v>
      </c>
      <c r="C3002" s="133" t="s">
        <v>124</v>
      </c>
      <c r="D3002" s="133" t="s">
        <v>3288</v>
      </c>
      <c r="E3002" s="138">
        <v>1.54E-7</v>
      </c>
      <c r="F3002" s="153" t="s">
        <v>135</v>
      </c>
      <c r="G3002" s="153">
        <v>1</v>
      </c>
      <c r="H3002" s="134" t="s">
        <v>39</v>
      </c>
      <c r="I3002" s="133"/>
      <c r="J3002" s="133" t="s">
        <v>2249</v>
      </c>
      <c r="K3002" s="133" t="s">
        <v>831</v>
      </c>
      <c r="L3002" s="167"/>
      <c r="M3002" s="169"/>
    </row>
    <row r="3003" spans="1:13" x14ac:dyDescent="0.55000000000000004">
      <c r="A3003" s="132" t="s">
        <v>2250</v>
      </c>
      <c r="B3003" s="133" t="s">
        <v>2954</v>
      </c>
      <c r="C3003" s="133" t="s">
        <v>124</v>
      </c>
      <c r="D3003" s="133" t="s">
        <v>3288</v>
      </c>
      <c r="E3003" s="138">
        <v>8.4000000000000009E-5</v>
      </c>
      <c r="F3003" s="153" t="s">
        <v>135</v>
      </c>
      <c r="G3003" s="153">
        <v>1</v>
      </c>
      <c r="H3003" s="134" t="s">
        <v>39</v>
      </c>
      <c r="I3003" s="133"/>
      <c r="J3003" s="133" t="s">
        <v>2249</v>
      </c>
      <c r="K3003" s="133" t="s">
        <v>831</v>
      </c>
      <c r="L3003" s="167"/>
      <c r="M3003" s="169"/>
    </row>
    <row r="3004" spans="1:13" x14ac:dyDescent="0.55000000000000004">
      <c r="A3004" s="132" t="s">
        <v>2250</v>
      </c>
      <c r="B3004" s="133" t="s">
        <v>2603</v>
      </c>
      <c r="C3004" s="133" t="s">
        <v>124</v>
      </c>
      <c r="D3004" s="133" t="s">
        <v>3288</v>
      </c>
      <c r="E3004" s="138">
        <v>3.7100000000000002E-4</v>
      </c>
      <c r="F3004" s="153" t="s">
        <v>135</v>
      </c>
      <c r="G3004" s="153">
        <v>1</v>
      </c>
      <c r="H3004" s="134" t="s">
        <v>39</v>
      </c>
      <c r="I3004" s="133"/>
      <c r="J3004" s="133" t="s">
        <v>2249</v>
      </c>
      <c r="K3004" s="133" t="s">
        <v>831</v>
      </c>
      <c r="L3004" s="167"/>
      <c r="M3004" s="169"/>
    </row>
    <row r="3005" spans="1:13" x14ac:dyDescent="0.55000000000000004">
      <c r="A3005" s="132" t="s">
        <v>2250</v>
      </c>
      <c r="B3005" s="133" t="s">
        <v>2604</v>
      </c>
      <c r="C3005" s="133" t="s">
        <v>124</v>
      </c>
      <c r="D3005" s="133" t="s">
        <v>3288</v>
      </c>
      <c r="E3005" s="138">
        <v>4.7899999999999999E-5</v>
      </c>
      <c r="F3005" s="153" t="s">
        <v>135</v>
      </c>
      <c r="G3005" s="153">
        <v>1</v>
      </c>
      <c r="H3005" s="134" t="s">
        <v>39</v>
      </c>
      <c r="I3005" s="133"/>
      <c r="J3005" s="133" t="s">
        <v>2249</v>
      </c>
      <c r="K3005" s="133" t="s">
        <v>831</v>
      </c>
      <c r="L3005" s="167"/>
      <c r="M3005" s="169"/>
    </row>
    <row r="3006" spans="1:13" x14ac:dyDescent="0.55000000000000004">
      <c r="A3006" s="132" t="s">
        <v>2250</v>
      </c>
      <c r="B3006" s="133" t="s">
        <v>2605</v>
      </c>
      <c r="C3006" s="133" t="s">
        <v>124</v>
      </c>
      <c r="D3006" s="133" t="s">
        <v>3288</v>
      </c>
      <c r="E3006" s="138">
        <v>1.06E-4</v>
      </c>
      <c r="F3006" s="153" t="s">
        <v>135</v>
      </c>
      <c r="G3006" s="153">
        <v>1</v>
      </c>
      <c r="H3006" s="134" t="s">
        <v>39</v>
      </c>
      <c r="I3006" s="133"/>
      <c r="J3006" s="133" t="s">
        <v>2249</v>
      </c>
      <c r="K3006" s="133" t="s">
        <v>831</v>
      </c>
      <c r="L3006" s="167"/>
      <c r="M3006" s="169"/>
    </row>
    <row r="3007" spans="1:13" x14ac:dyDescent="0.55000000000000004">
      <c r="A3007" s="132" t="s">
        <v>2250</v>
      </c>
      <c r="B3007" s="133" t="s">
        <v>2606</v>
      </c>
      <c r="C3007" s="133" t="s">
        <v>124</v>
      </c>
      <c r="D3007" s="133" t="s">
        <v>3288</v>
      </c>
      <c r="E3007" s="138">
        <v>3.6899999999999997E-4</v>
      </c>
      <c r="F3007" s="153" t="s">
        <v>135</v>
      </c>
      <c r="G3007" s="153">
        <v>1</v>
      </c>
      <c r="H3007" s="134" t="s">
        <v>39</v>
      </c>
      <c r="I3007" s="133"/>
      <c r="J3007" s="133" t="s">
        <v>2249</v>
      </c>
      <c r="K3007" s="133" t="s">
        <v>831</v>
      </c>
      <c r="L3007" s="167"/>
      <c r="M3007" s="169"/>
    </row>
    <row r="3008" spans="1:13" x14ac:dyDescent="0.55000000000000004">
      <c r="A3008" s="132" t="s">
        <v>2250</v>
      </c>
      <c r="B3008" s="133" t="s">
        <v>2607</v>
      </c>
      <c r="C3008" s="133" t="s">
        <v>124</v>
      </c>
      <c r="D3008" s="133" t="s">
        <v>3288</v>
      </c>
      <c r="E3008" s="138">
        <v>5.5000000000000002E-5</v>
      </c>
      <c r="F3008" s="153" t="s">
        <v>135</v>
      </c>
      <c r="G3008" s="153">
        <v>1</v>
      </c>
      <c r="H3008" s="134" t="s">
        <v>39</v>
      </c>
      <c r="I3008" s="133"/>
      <c r="J3008" s="133" t="s">
        <v>2249</v>
      </c>
      <c r="K3008" s="133" t="s">
        <v>831</v>
      </c>
      <c r="L3008" s="167"/>
      <c r="M3008" s="169"/>
    </row>
    <row r="3009" spans="1:13" x14ac:dyDescent="0.55000000000000004">
      <c r="A3009" s="132" t="s">
        <v>2250</v>
      </c>
      <c r="B3009" s="133" t="s">
        <v>2608</v>
      </c>
      <c r="C3009" s="133" t="s">
        <v>124</v>
      </c>
      <c r="D3009" s="133" t="s">
        <v>3288</v>
      </c>
      <c r="E3009" s="138">
        <v>1.9900000000000003E-5</v>
      </c>
      <c r="F3009" s="153" t="s">
        <v>135</v>
      </c>
      <c r="G3009" s="153">
        <v>1</v>
      </c>
      <c r="H3009" s="134" t="s">
        <v>39</v>
      </c>
      <c r="I3009" s="133"/>
      <c r="J3009" s="133" t="s">
        <v>2249</v>
      </c>
      <c r="K3009" s="133" t="s">
        <v>831</v>
      </c>
      <c r="L3009" s="167"/>
      <c r="M3009" s="169"/>
    </row>
    <row r="3010" spans="1:13" x14ac:dyDescent="0.55000000000000004">
      <c r="A3010" s="132" t="s">
        <v>2250</v>
      </c>
      <c r="B3010" s="133" t="s">
        <v>2609</v>
      </c>
      <c r="C3010" s="133" t="s">
        <v>124</v>
      </c>
      <c r="D3010" s="133" t="s">
        <v>3288</v>
      </c>
      <c r="E3010" s="138">
        <v>2.8500000000000002E-6</v>
      </c>
      <c r="F3010" s="153" t="s">
        <v>135</v>
      </c>
      <c r="G3010" s="153">
        <v>1</v>
      </c>
      <c r="H3010" s="134" t="s">
        <v>39</v>
      </c>
      <c r="I3010" s="133"/>
      <c r="J3010" s="133" t="s">
        <v>2249</v>
      </c>
      <c r="K3010" s="133" t="s">
        <v>831</v>
      </c>
      <c r="L3010" s="167"/>
      <c r="M3010" s="169"/>
    </row>
    <row r="3011" spans="1:13" x14ac:dyDescent="0.55000000000000004">
      <c r="A3011" s="132" t="s">
        <v>2250</v>
      </c>
      <c r="B3011" s="133" t="s">
        <v>2610</v>
      </c>
      <c r="C3011" s="133" t="s">
        <v>124</v>
      </c>
      <c r="D3011" s="133" t="s">
        <v>3288</v>
      </c>
      <c r="E3011" s="138">
        <v>3.1999999999999999E-5</v>
      </c>
      <c r="F3011" s="153" t="s">
        <v>135</v>
      </c>
      <c r="G3011" s="153">
        <v>1</v>
      </c>
      <c r="H3011" s="134" t="s">
        <v>39</v>
      </c>
      <c r="I3011" s="133"/>
      <c r="J3011" s="133" t="s">
        <v>2249</v>
      </c>
      <c r="K3011" s="133" t="s">
        <v>831</v>
      </c>
      <c r="L3011" s="167"/>
      <c r="M3011" s="169"/>
    </row>
    <row r="3012" spans="1:13" x14ac:dyDescent="0.55000000000000004">
      <c r="A3012" s="132" t="s">
        <v>2250</v>
      </c>
      <c r="B3012" s="133" t="s">
        <v>2611</v>
      </c>
      <c r="C3012" s="133" t="s">
        <v>124</v>
      </c>
      <c r="D3012" s="133" t="s">
        <v>3288</v>
      </c>
      <c r="E3012" s="138">
        <v>1.06E-4</v>
      </c>
      <c r="F3012" s="153" t="s">
        <v>135</v>
      </c>
      <c r="G3012" s="153">
        <v>1</v>
      </c>
      <c r="H3012" s="134" t="s">
        <v>39</v>
      </c>
      <c r="I3012" s="133"/>
      <c r="J3012" s="133" t="s">
        <v>2249</v>
      </c>
      <c r="K3012" s="133" t="s">
        <v>831</v>
      </c>
      <c r="L3012" s="167"/>
      <c r="M3012" s="169"/>
    </row>
    <row r="3013" spans="1:13" x14ac:dyDescent="0.55000000000000004">
      <c r="A3013" s="132" t="s">
        <v>2250</v>
      </c>
      <c r="B3013" s="133" t="s">
        <v>154</v>
      </c>
      <c r="C3013" s="133" t="s">
        <v>124</v>
      </c>
      <c r="D3013" s="133" t="s">
        <v>3289</v>
      </c>
      <c r="E3013" s="138">
        <v>1.44</v>
      </c>
      <c r="F3013" s="153" t="s">
        <v>133</v>
      </c>
      <c r="G3013" s="153">
        <v>1</v>
      </c>
      <c r="H3013" s="134" t="s">
        <v>39</v>
      </c>
      <c r="I3013" s="133"/>
      <c r="J3013" s="133" t="s">
        <v>2249</v>
      </c>
      <c r="K3013" s="133" t="s">
        <v>831</v>
      </c>
      <c r="L3013" s="167"/>
      <c r="M3013" s="169"/>
    </row>
    <row r="3014" spans="1:13" x14ac:dyDescent="0.55000000000000004">
      <c r="A3014" s="132" t="s">
        <v>2256</v>
      </c>
      <c r="B3014" s="133" t="s">
        <v>2614</v>
      </c>
      <c r="C3014" s="133" t="s">
        <v>121</v>
      </c>
      <c r="D3014" s="133" t="s">
        <v>2682</v>
      </c>
      <c r="E3014" s="138">
        <v>1</v>
      </c>
      <c r="F3014" s="153">
        <v>1</v>
      </c>
      <c r="G3014" s="153">
        <v>1</v>
      </c>
      <c r="H3014" s="133" t="s">
        <v>39</v>
      </c>
      <c r="I3014" s="133"/>
      <c r="J3014" s="133" t="s">
        <v>2255</v>
      </c>
      <c r="K3014" s="133" t="s">
        <v>831</v>
      </c>
      <c r="L3014" s="167"/>
      <c r="M3014" s="169"/>
    </row>
    <row r="3015" spans="1:13" x14ac:dyDescent="0.55000000000000004">
      <c r="A3015" s="132" t="s">
        <v>2256</v>
      </c>
      <c r="B3015" s="133" t="s">
        <v>2588</v>
      </c>
      <c r="C3015" s="133" t="s">
        <v>156</v>
      </c>
      <c r="D3015" s="133" t="s">
        <v>3288</v>
      </c>
      <c r="E3015" s="138">
        <v>0.96599999999999997</v>
      </c>
      <c r="F3015" s="153" t="s">
        <v>135</v>
      </c>
      <c r="G3015" s="153">
        <v>1</v>
      </c>
      <c r="H3015" s="133" t="s">
        <v>39</v>
      </c>
      <c r="I3015" s="133"/>
      <c r="J3015" s="133" t="s">
        <v>2255</v>
      </c>
      <c r="K3015" s="133" t="s">
        <v>831</v>
      </c>
      <c r="L3015" s="167"/>
      <c r="M3015" s="169"/>
    </row>
    <row r="3016" spans="1:13" x14ac:dyDescent="0.55000000000000004">
      <c r="A3016" s="132" t="s">
        <v>2256</v>
      </c>
      <c r="B3016" s="133" t="s">
        <v>2590</v>
      </c>
      <c r="C3016" s="133" t="s">
        <v>156</v>
      </c>
      <c r="D3016" s="133" t="s">
        <v>3288</v>
      </c>
      <c r="E3016" s="138">
        <v>3.4299999999999997E-2</v>
      </c>
      <c r="F3016" s="153" t="s">
        <v>135</v>
      </c>
      <c r="G3016" s="153">
        <v>1</v>
      </c>
      <c r="H3016" s="133" t="s">
        <v>39</v>
      </c>
      <c r="I3016" s="133"/>
      <c r="J3016" s="133" t="s">
        <v>2255</v>
      </c>
      <c r="K3016" s="133" t="s">
        <v>831</v>
      </c>
      <c r="L3016" s="167"/>
      <c r="M3016" s="169"/>
    </row>
    <row r="3017" spans="1:13" x14ac:dyDescent="0.55000000000000004">
      <c r="A3017" s="132" t="s">
        <v>2256</v>
      </c>
      <c r="B3017" s="133" t="s">
        <v>2592</v>
      </c>
      <c r="C3017" s="133" t="s">
        <v>127</v>
      </c>
      <c r="D3017" s="133" t="s">
        <v>2994</v>
      </c>
      <c r="E3017" s="138">
        <v>11.7</v>
      </c>
      <c r="F3017" s="153" t="s">
        <v>130</v>
      </c>
      <c r="G3017" s="153">
        <v>1</v>
      </c>
      <c r="H3017" s="133" t="s">
        <v>39</v>
      </c>
      <c r="I3017" s="133"/>
      <c r="J3017" s="133" t="s">
        <v>2255</v>
      </c>
      <c r="K3017" s="133" t="s">
        <v>831</v>
      </c>
      <c r="L3017" s="167"/>
      <c r="M3017" s="169"/>
    </row>
    <row r="3018" spans="1:13" x14ac:dyDescent="0.55000000000000004">
      <c r="A3018" s="132" t="s">
        <v>2256</v>
      </c>
      <c r="B3018" s="133" t="s">
        <v>2595</v>
      </c>
      <c r="C3018" s="133" t="s">
        <v>125</v>
      </c>
      <c r="D3018" s="133" t="s">
        <v>3288</v>
      </c>
      <c r="E3018" s="138">
        <v>3.3300000000000003E-5</v>
      </c>
      <c r="F3018" s="153" t="s">
        <v>135</v>
      </c>
      <c r="G3018" s="153">
        <v>1</v>
      </c>
      <c r="H3018" s="133" t="s">
        <v>39</v>
      </c>
      <c r="I3018" s="133"/>
      <c r="J3018" s="133" t="s">
        <v>2255</v>
      </c>
      <c r="K3018" s="133" t="s">
        <v>831</v>
      </c>
      <c r="L3018" s="167"/>
      <c r="M3018" s="169"/>
    </row>
    <row r="3019" spans="1:13" x14ac:dyDescent="0.55000000000000004">
      <c r="A3019" s="132" t="s">
        <v>2256</v>
      </c>
      <c r="B3019" s="133" t="s">
        <v>2596</v>
      </c>
      <c r="C3019" s="133" t="s">
        <v>125</v>
      </c>
      <c r="D3019" s="133" t="s">
        <v>3288</v>
      </c>
      <c r="E3019" s="138">
        <v>8.5000000000000006E-5</v>
      </c>
      <c r="F3019" s="153" t="s">
        <v>135</v>
      </c>
      <c r="G3019" s="153">
        <v>1</v>
      </c>
      <c r="H3019" s="133" t="s">
        <v>39</v>
      </c>
      <c r="I3019" s="133"/>
      <c r="J3019" s="133" t="s">
        <v>2255</v>
      </c>
      <c r="K3019" s="133" t="s">
        <v>831</v>
      </c>
      <c r="L3019" s="167"/>
      <c r="M3019" s="169"/>
    </row>
    <row r="3020" spans="1:13" x14ac:dyDescent="0.55000000000000004">
      <c r="A3020" s="132" t="s">
        <v>2256</v>
      </c>
      <c r="B3020" s="133" t="s">
        <v>2597</v>
      </c>
      <c r="C3020" s="133" t="s">
        <v>348</v>
      </c>
      <c r="D3020" s="133" t="s">
        <v>3288</v>
      </c>
      <c r="E3020" s="138">
        <v>1</v>
      </c>
      <c r="F3020" s="153" t="s">
        <v>135</v>
      </c>
      <c r="G3020" s="153">
        <v>1</v>
      </c>
      <c r="H3020" s="133" t="s">
        <v>39</v>
      </c>
      <c r="I3020" s="133"/>
      <c r="J3020" s="133" t="s">
        <v>2255</v>
      </c>
      <c r="K3020" s="133" t="s">
        <v>831</v>
      </c>
      <c r="L3020" s="167"/>
      <c r="M3020" s="169"/>
    </row>
    <row r="3021" spans="1:13" x14ac:dyDescent="0.55000000000000004">
      <c r="A3021" s="132" t="s">
        <v>2256</v>
      </c>
      <c r="B3021" s="133" t="s">
        <v>154</v>
      </c>
      <c r="C3021" s="133" t="s">
        <v>132</v>
      </c>
      <c r="D3021" s="133" t="s">
        <v>3289</v>
      </c>
      <c r="E3021" s="138">
        <v>4.9099999999999998E-2</v>
      </c>
      <c r="F3021" s="153" t="s">
        <v>133</v>
      </c>
      <c r="G3021" s="153">
        <v>1</v>
      </c>
      <c r="H3021" s="133" t="s">
        <v>39</v>
      </c>
      <c r="I3021" s="133"/>
      <c r="J3021" s="133" t="s">
        <v>2255</v>
      </c>
      <c r="K3021" s="133" t="s">
        <v>831</v>
      </c>
      <c r="L3021" s="167"/>
      <c r="M3021" s="169"/>
    </row>
    <row r="3022" spans="1:13" x14ac:dyDescent="0.55000000000000004">
      <c r="A3022" s="132" t="s">
        <v>2256</v>
      </c>
      <c r="B3022" s="133" t="s">
        <v>2954</v>
      </c>
      <c r="C3022" s="133" t="s">
        <v>124</v>
      </c>
      <c r="D3022" s="133" t="s">
        <v>3288</v>
      </c>
      <c r="E3022" s="138">
        <v>1.77E-5</v>
      </c>
      <c r="F3022" s="153" t="s">
        <v>135</v>
      </c>
      <c r="G3022" s="153">
        <v>1</v>
      </c>
      <c r="H3022" s="133" t="s">
        <v>39</v>
      </c>
      <c r="I3022" s="133"/>
      <c r="J3022" s="133" t="s">
        <v>2255</v>
      </c>
      <c r="K3022" s="133" t="s">
        <v>831</v>
      </c>
      <c r="L3022" s="167"/>
      <c r="M3022" s="169"/>
    </row>
    <row r="3023" spans="1:13" x14ac:dyDescent="0.55000000000000004">
      <c r="A3023" s="132" t="s">
        <v>2256</v>
      </c>
      <c r="B3023" s="133" t="s">
        <v>2603</v>
      </c>
      <c r="C3023" s="133" t="s">
        <v>124</v>
      </c>
      <c r="D3023" s="133" t="s">
        <v>3288</v>
      </c>
      <c r="E3023" s="138">
        <v>5.91E-5</v>
      </c>
      <c r="F3023" s="153" t="s">
        <v>135</v>
      </c>
      <c r="G3023" s="153">
        <v>1</v>
      </c>
      <c r="H3023" s="133" t="s">
        <v>39</v>
      </c>
      <c r="I3023" s="133"/>
      <c r="J3023" s="133" t="s">
        <v>2255</v>
      </c>
      <c r="K3023" s="133" t="s">
        <v>831</v>
      </c>
      <c r="L3023" s="167"/>
      <c r="M3023" s="169"/>
    </row>
    <row r="3024" spans="1:13" x14ac:dyDescent="0.55000000000000004">
      <c r="A3024" s="132" t="s">
        <v>2256</v>
      </c>
      <c r="B3024" s="133" t="s">
        <v>2604</v>
      </c>
      <c r="C3024" s="133" t="s">
        <v>124</v>
      </c>
      <c r="D3024" s="133" t="s">
        <v>3288</v>
      </c>
      <c r="E3024" s="138">
        <v>2.0599999999999999E-5</v>
      </c>
      <c r="F3024" s="153" t="s">
        <v>135</v>
      </c>
      <c r="G3024" s="153">
        <v>1</v>
      </c>
      <c r="H3024" s="133" t="s">
        <v>39</v>
      </c>
      <c r="I3024" s="133"/>
      <c r="J3024" s="133" t="s">
        <v>2255</v>
      </c>
      <c r="K3024" s="133" t="s">
        <v>831</v>
      </c>
      <c r="L3024" s="167"/>
      <c r="M3024" s="169"/>
    </row>
    <row r="3025" spans="1:13" x14ac:dyDescent="0.55000000000000004">
      <c r="A3025" s="132" t="s">
        <v>2256</v>
      </c>
      <c r="B3025" s="133" t="s">
        <v>2605</v>
      </c>
      <c r="C3025" s="133" t="s">
        <v>124</v>
      </c>
      <c r="D3025" s="133" t="s">
        <v>3288</v>
      </c>
      <c r="E3025" s="138">
        <v>1.9699999999999998E-5</v>
      </c>
      <c r="F3025" s="153" t="s">
        <v>135</v>
      </c>
      <c r="G3025" s="153">
        <v>1</v>
      </c>
      <c r="H3025" s="133" t="s">
        <v>39</v>
      </c>
      <c r="I3025" s="133"/>
      <c r="J3025" s="133" t="s">
        <v>2255</v>
      </c>
      <c r="K3025" s="133" t="s">
        <v>831</v>
      </c>
      <c r="L3025" s="167"/>
      <c r="M3025" s="169"/>
    </row>
    <row r="3026" spans="1:13" x14ac:dyDescent="0.55000000000000004">
      <c r="A3026" s="132" t="s">
        <v>2256</v>
      </c>
      <c r="B3026" s="133" t="s">
        <v>2606</v>
      </c>
      <c r="C3026" s="133" t="s">
        <v>124</v>
      </c>
      <c r="D3026" s="133" t="s">
        <v>3288</v>
      </c>
      <c r="E3026" s="138">
        <v>1.7100000000000002E-5</v>
      </c>
      <c r="F3026" s="153" t="s">
        <v>135</v>
      </c>
      <c r="G3026" s="153">
        <v>1</v>
      </c>
      <c r="H3026" s="133" t="s">
        <v>39</v>
      </c>
      <c r="I3026" s="133"/>
      <c r="J3026" s="133" t="s">
        <v>2255</v>
      </c>
      <c r="K3026" s="133" t="s">
        <v>831</v>
      </c>
      <c r="L3026" s="167"/>
      <c r="M3026" s="169"/>
    </row>
    <row r="3027" spans="1:13" x14ac:dyDescent="0.55000000000000004">
      <c r="A3027" s="132" t="s">
        <v>2256</v>
      </c>
      <c r="B3027" s="133" t="s">
        <v>2607</v>
      </c>
      <c r="C3027" s="133" t="s">
        <v>124</v>
      </c>
      <c r="D3027" s="133" t="s">
        <v>3288</v>
      </c>
      <c r="E3027" s="138">
        <v>6.2199999999999994E-5</v>
      </c>
      <c r="F3027" s="153" t="s">
        <v>135</v>
      </c>
      <c r="G3027" s="153">
        <v>1</v>
      </c>
      <c r="H3027" s="133" t="s">
        <v>39</v>
      </c>
      <c r="I3027" s="133"/>
      <c r="J3027" s="133" t="s">
        <v>2255</v>
      </c>
      <c r="K3027" s="133" t="s">
        <v>831</v>
      </c>
      <c r="L3027" s="167"/>
      <c r="M3027" s="169"/>
    </row>
    <row r="3028" spans="1:13" x14ac:dyDescent="0.55000000000000004">
      <c r="A3028" s="132" t="s">
        <v>2256</v>
      </c>
      <c r="B3028" s="133" t="s">
        <v>2610</v>
      </c>
      <c r="C3028" s="133" t="s">
        <v>124</v>
      </c>
      <c r="D3028" s="133" t="s">
        <v>3288</v>
      </c>
      <c r="E3028" s="138">
        <v>1.9699999999999998E-5</v>
      </c>
      <c r="F3028" s="153" t="s">
        <v>135</v>
      </c>
      <c r="G3028" s="153">
        <v>1</v>
      </c>
      <c r="H3028" s="133" t="s">
        <v>39</v>
      </c>
      <c r="I3028" s="133"/>
      <c r="J3028" s="133" t="s">
        <v>2255</v>
      </c>
      <c r="K3028" s="133" t="s">
        <v>831</v>
      </c>
      <c r="L3028" s="167"/>
      <c r="M3028" s="169"/>
    </row>
    <row r="3029" spans="1:13" x14ac:dyDescent="0.55000000000000004">
      <c r="A3029" s="132" t="s">
        <v>2256</v>
      </c>
      <c r="B3029" s="133" t="s">
        <v>154</v>
      </c>
      <c r="C3029" s="133" t="s">
        <v>124</v>
      </c>
      <c r="D3029" s="133" t="s">
        <v>3289</v>
      </c>
      <c r="E3029" s="138">
        <v>4.9099999999999998E-2</v>
      </c>
      <c r="F3029" s="153" t="s">
        <v>133</v>
      </c>
      <c r="G3029" s="153">
        <v>1</v>
      </c>
      <c r="H3029" s="133" t="s">
        <v>39</v>
      </c>
      <c r="I3029" s="133"/>
      <c r="J3029" s="133" t="s">
        <v>2255</v>
      </c>
      <c r="K3029" s="133" t="s">
        <v>831</v>
      </c>
      <c r="L3029" s="167"/>
      <c r="M3029" s="169"/>
    </row>
    <row r="3030" spans="1:13" x14ac:dyDescent="0.55000000000000004">
      <c r="A3030" s="132" t="s">
        <v>2260</v>
      </c>
      <c r="B3030" s="133" t="s">
        <v>2616</v>
      </c>
      <c r="C3030" s="133" t="s">
        <v>121</v>
      </c>
      <c r="D3030" s="133" t="s">
        <v>2682</v>
      </c>
      <c r="E3030" s="138">
        <v>1</v>
      </c>
      <c r="F3030" s="153">
        <v>1</v>
      </c>
      <c r="G3030" s="153">
        <v>1</v>
      </c>
      <c r="H3030" s="133" t="s">
        <v>39</v>
      </c>
      <c r="I3030" s="133"/>
      <c r="J3030" s="133" t="s">
        <v>2259</v>
      </c>
      <c r="K3030" s="133" t="s">
        <v>831</v>
      </c>
      <c r="L3030" s="167"/>
      <c r="M3030" s="169"/>
    </row>
    <row r="3031" spans="1:13" x14ac:dyDescent="0.55000000000000004">
      <c r="A3031" s="132" t="s">
        <v>2260</v>
      </c>
      <c r="B3031" s="133" t="s">
        <v>2617</v>
      </c>
      <c r="C3031" s="136" t="s">
        <v>348</v>
      </c>
      <c r="D3031" s="133" t="s">
        <v>3288</v>
      </c>
      <c r="E3031" s="138">
        <v>1</v>
      </c>
      <c r="F3031" s="153" t="s">
        <v>135</v>
      </c>
      <c r="G3031" s="153">
        <v>1</v>
      </c>
      <c r="H3031" s="133" t="s">
        <v>39</v>
      </c>
      <c r="I3031" s="133"/>
      <c r="J3031" s="133" t="s">
        <v>2259</v>
      </c>
      <c r="K3031" s="133" t="s">
        <v>831</v>
      </c>
      <c r="L3031" s="167"/>
      <c r="M3031" s="169"/>
    </row>
    <row r="3032" spans="1:13" x14ac:dyDescent="0.55000000000000004">
      <c r="A3032" s="132" t="s">
        <v>2260</v>
      </c>
      <c r="B3032" s="133" t="s">
        <v>2618</v>
      </c>
      <c r="C3032" s="136" t="s">
        <v>127</v>
      </c>
      <c r="D3032" s="133" t="s">
        <v>2994</v>
      </c>
      <c r="E3032" s="138">
        <v>3830</v>
      </c>
      <c r="F3032" s="153" t="s">
        <v>167</v>
      </c>
      <c r="G3032" s="153">
        <v>1</v>
      </c>
      <c r="H3032" s="133" t="s">
        <v>39</v>
      </c>
      <c r="I3032" s="133"/>
      <c r="J3032" s="133" t="s">
        <v>2259</v>
      </c>
      <c r="K3032" s="133" t="s">
        <v>831</v>
      </c>
      <c r="L3032" s="167"/>
      <c r="M3032" s="169"/>
    </row>
    <row r="3033" spans="1:13" x14ac:dyDescent="0.55000000000000004">
      <c r="A3033" s="132" t="s">
        <v>2260</v>
      </c>
      <c r="B3033" s="133" t="s">
        <v>2619</v>
      </c>
      <c r="C3033" s="133" t="s">
        <v>156</v>
      </c>
      <c r="D3033" s="133" t="s">
        <v>3288</v>
      </c>
      <c r="E3033" s="138">
        <v>0.27400000000000002</v>
      </c>
      <c r="F3033" s="153" t="s">
        <v>135</v>
      </c>
      <c r="G3033" s="153">
        <v>1</v>
      </c>
      <c r="H3033" s="133" t="s">
        <v>39</v>
      </c>
      <c r="I3033" s="133" t="s">
        <v>2620</v>
      </c>
      <c r="J3033" s="133" t="s">
        <v>2259</v>
      </c>
      <c r="K3033" s="133" t="s">
        <v>831</v>
      </c>
      <c r="L3033" s="167"/>
      <c r="M3033" s="169"/>
    </row>
    <row r="3034" spans="1:13" x14ac:dyDescent="0.55000000000000004">
      <c r="A3034" s="132" t="s">
        <v>2260</v>
      </c>
      <c r="B3034" s="133" t="s">
        <v>181</v>
      </c>
      <c r="C3034" s="136" t="s">
        <v>163</v>
      </c>
      <c r="D3034" s="133" t="s">
        <v>3288</v>
      </c>
      <c r="E3034" s="138">
        <v>0.35</v>
      </c>
      <c r="F3034" s="153" t="s">
        <v>135</v>
      </c>
      <c r="G3034" s="153">
        <v>1</v>
      </c>
      <c r="H3034" s="133" t="s">
        <v>39</v>
      </c>
      <c r="I3034" s="133"/>
      <c r="J3034" s="133" t="s">
        <v>2259</v>
      </c>
      <c r="K3034" s="133" t="s">
        <v>831</v>
      </c>
      <c r="L3034" s="167"/>
      <c r="M3034" s="169"/>
    </row>
    <row r="3035" spans="1:13" x14ac:dyDescent="0.55000000000000004">
      <c r="A3035" s="132" t="s">
        <v>2265</v>
      </c>
      <c r="B3035" s="133" t="s">
        <v>2616</v>
      </c>
      <c r="C3035" s="133" t="s">
        <v>121</v>
      </c>
      <c r="D3035" s="133" t="s">
        <v>2682</v>
      </c>
      <c r="E3035" s="138">
        <v>1</v>
      </c>
      <c r="F3035" s="153">
        <v>1</v>
      </c>
      <c r="G3035" s="153">
        <v>1</v>
      </c>
      <c r="H3035" s="133" t="s">
        <v>39</v>
      </c>
      <c r="I3035" s="133"/>
      <c r="J3035" s="133" t="s">
        <v>2264</v>
      </c>
      <c r="K3035" s="133" t="s">
        <v>831</v>
      </c>
      <c r="L3035" s="167"/>
      <c r="M3035" s="169"/>
    </row>
    <row r="3036" spans="1:13" x14ac:dyDescent="0.55000000000000004">
      <c r="A3036" s="132" t="s">
        <v>2265</v>
      </c>
      <c r="B3036" s="133" t="s">
        <v>2617</v>
      </c>
      <c r="C3036" s="136" t="s">
        <v>348</v>
      </c>
      <c r="D3036" s="133" t="s">
        <v>3288</v>
      </c>
      <c r="E3036" s="138">
        <v>1</v>
      </c>
      <c r="F3036" s="153" t="s">
        <v>135</v>
      </c>
      <c r="G3036" s="153">
        <v>1</v>
      </c>
      <c r="H3036" s="133" t="s">
        <v>39</v>
      </c>
      <c r="I3036" s="133"/>
      <c r="J3036" s="133" t="s">
        <v>2264</v>
      </c>
      <c r="K3036" s="133" t="s">
        <v>831</v>
      </c>
      <c r="L3036" s="167"/>
      <c r="M3036" s="169"/>
    </row>
    <row r="3037" spans="1:13" x14ac:dyDescent="0.55000000000000004">
      <c r="A3037" s="132" t="s">
        <v>2265</v>
      </c>
      <c r="B3037" s="133" t="s">
        <v>2618</v>
      </c>
      <c r="C3037" s="136" t="s">
        <v>127</v>
      </c>
      <c r="D3037" s="133" t="s">
        <v>2994</v>
      </c>
      <c r="E3037" s="138">
        <v>14510</v>
      </c>
      <c r="F3037" s="153" t="s">
        <v>167</v>
      </c>
      <c r="G3037" s="153">
        <v>1</v>
      </c>
      <c r="H3037" s="133" t="s">
        <v>39</v>
      </c>
      <c r="I3037" s="133"/>
      <c r="J3037" s="133" t="s">
        <v>2264</v>
      </c>
      <c r="K3037" s="133" t="s">
        <v>831</v>
      </c>
      <c r="L3037" s="167"/>
      <c r="M3037" s="169"/>
    </row>
    <row r="3038" spans="1:13" x14ac:dyDescent="0.55000000000000004">
      <c r="A3038" s="132" t="s">
        <v>2265</v>
      </c>
      <c r="B3038" s="133" t="s">
        <v>948</v>
      </c>
      <c r="C3038" s="133" t="s">
        <v>156</v>
      </c>
      <c r="D3038" s="133" t="s">
        <v>3288</v>
      </c>
      <c r="E3038" s="138">
        <v>0.41899999999999998</v>
      </c>
      <c r="F3038" s="153" t="s">
        <v>135</v>
      </c>
      <c r="G3038" s="153">
        <v>1</v>
      </c>
      <c r="H3038" s="133" t="s">
        <v>39</v>
      </c>
      <c r="I3038" s="133"/>
      <c r="J3038" s="133" t="s">
        <v>2264</v>
      </c>
      <c r="K3038" s="133" t="s">
        <v>831</v>
      </c>
      <c r="L3038" s="167"/>
      <c r="M3038" s="169"/>
    </row>
    <row r="3039" spans="1:13" x14ac:dyDescent="0.55000000000000004">
      <c r="A3039" s="132" t="s">
        <v>2265</v>
      </c>
      <c r="B3039" s="133" t="s">
        <v>181</v>
      </c>
      <c r="C3039" s="136" t="s">
        <v>163</v>
      </c>
      <c r="D3039" s="133" t="s">
        <v>3288</v>
      </c>
      <c r="E3039" s="138">
        <v>0.58099999999999996</v>
      </c>
      <c r="F3039" s="153" t="s">
        <v>135</v>
      </c>
      <c r="G3039" s="153">
        <v>1</v>
      </c>
      <c r="H3039" s="133" t="s">
        <v>39</v>
      </c>
      <c r="I3039" s="133"/>
      <c r="J3039" s="133" t="s">
        <v>2264</v>
      </c>
      <c r="K3039" s="133" t="s">
        <v>831</v>
      </c>
      <c r="L3039" s="167"/>
      <c r="M3039" s="169"/>
    </row>
    <row r="3040" spans="1:13" x14ac:dyDescent="0.55000000000000004">
      <c r="A3040" s="132" t="s">
        <v>2268</v>
      </c>
      <c r="B3040" s="133" t="s">
        <v>2621</v>
      </c>
      <c r="C3040" s="136" t="s">
        <v>121</v>
      </c>
      <c r="D3040" s="133" t="s">
        <v>2682</v>
      </c>
      <c r="E3040" s="138">
        <v>1</v>
      </c>
      <c r="F3040" s="153">
        <v>1</v>
      </c>
      <c r="G3040" s="153">
        <v>1</v>
      </c>
      <c r="H3040" s="133" t="s">
        <v>39</v>
      </c>
      <c r="I3040" s="133"/>
      <c r="J3040" s="133" t="s">
        <v>2267</v>
      </c>
      <c r="K3040" s="133" t="s">
        <v>831</v>
      </c>
      <c r="L3040" s="167"/>
      <c r="M3040" s="169"/>
    </row>
    <row r="3041" spans="1:13" x14ac:dyDescent="0.55000000000000004">
      <c r="A3041" s="132" t="s">
        <v>2268</v>
      </c>
      <c r="B3041" s="133" t="s">
        <v>153</v>
      </c>
      <c r="C3041" s="136" t="s">
        <v>127</v>
      </c>
      <c r="D3041" s="133" t="s">
        <v>2994</v>
      </c>
      <c r="E3041" s="138">
        <v>2.3179999999999999E-2</v>
      </c>
      <c r="F3041" s="153" t="s">
        <v>130</v>
      </c>
      <c r="G3041" s="153">
        <v>1</v>
      </c>
      <c r="H3041" s="133" t="s">
        <v>39</v>
      </c>
      <c r="I3041" s="133" t="s">
        <v>2622</v>
      </c>
      <c r="J3041" s="133" t="s">
        <v>2267</v>
      </c>
      <c r="K3041" s="133" t="s">
        <v>831</v>
      </c>
      <c r="L3041" s="167"/>
      <c r="M3041" s="169"/>
    </row>
    <row r="3042" spans="1:13" x14ac:dyDescent="0.55000000000000004">
      <c r="A3042" s="132" t="s">
        <v>2268</v>
      </c>
      <c r="B3042" s="133" t="s">
        <v>508</v>
      </c>
      <c r="C3042" s="136" t="s">
        <v>127</v>
      </c>
      <c r="D3042" s="133" t="s">
        <v>3288</v>
      </c>
      <c r="E3042" s="138">
        <v>2.1700000000000001E-3</v>
      </c>
      <c r="F3042" s="153" t="s">
        <v>122</v>
      </c>
      <c r="G3042" s="153">
        <v>1</v>
      </c>
      <c r="H3042" s="133" t="s">
        <v>39</v>
      </c>
      <c r="I3042" s="133" t="s">
        <v>2622</v>
      </c>
      <c r="J3042" s="133" t="s">
        <v>2267</v>
      </c>
      <c r="K3042" s="133" t="s">
        <v>831</v>
      </c>
      <c r="L3042" s="167"/>
      <c r="M3042" s="169"/>
    </row>
    <row r="3043" spans="1:13" x14ac:dyDescent="0.55000000000000004">
      <c r="A3043" s="132" t="s">
        <v>2268</v>
      </c>
      <c r="B3043" s="133" t="s">
        <v>2623</v>
      </c>
      <c r="C3043" s="136" t="s">
        <v>348</v>
      </c>
      <c r="D3043" s="133" t="s">
        <v>3288</v>
      </c>
      <c r="E3043" s="138">
        <v>1.2999999999999999E-4</v>
      </c>
      <c r="F3043" s="153" t="s">
        <v>122</v>
      </c>
      <c r="G3043" s="153">
        <v>1</v>
      </c>
      <c r="H3043" s="133" t="s">
        <v>39</v>
      </c>
      <c r="I3043" s="133" t="s">
        <v>2622</v>
      </c>
      <c r="J3043" s="133" t="s">
        <v>2267</v>
      </c>
      <c r="K3043" s="133" t="s">
        <v>831</v>
      </c>
      <c r="L3043" s="167"/>
      <c r="M3043" s="169"/>
    </row>
    <row r="3044" spans="1:13" x14ac:dyDescent="0.55000000000000004">
      <c r="A3044" s="132" t="s">
        <v>2268</v>
      </c>
      <c r="B3044" s="133" t="s">
        <v>2624</v>
      </c>
      <c r="C3044" s="133" t="s">
        <v>156</v>
      </c>
      <c r="D3044" s="133" t="s">
        <v>3288</v>
      </c>
      <c r="E3044" s="138">
        <v>0.5</v>
      </c>
      <c r="F3044" s="153" t="s">
        <v>122</v>
      </c>
      <c r="G3044" s="153">
        <v>1</v>
      </c>
      <c r="H3044" s="133" t="s">
        <v>39</v>
      </c>
      <c r="I3044" s="133"/>
      <c r="J3044" s="133" t="s">
        <v>2267</v>
      </c>
      <c r="K3044" s="133" t="s">
        <v>831</v>
      </c>
      <c r="L3044" s="167"/>
      <c r="M3044" s="169"/>
    </row>
    <row r="3045" spans="1:13" x14ac:dyDescent="0.55000000000000004">
      <c r="A3045" s="132" t="s">
        <v>2268</v>
      </c>
      <c r="B3045" s="133" t="s">
        <v>2625</v>
      </c>
      <c r="C3045" s="136" t="s">
        <v>348</v>
      </c>
      <c r="D3045" s="133" t="s">
        <v>3288</v>
      </c>
      <c r="E3045" s="138">
        <v>1</v>
      </c>
      <c r="F3045" s="153" t="s">
        <v>122</v>
      </c>
      <c r="G3045" s="153">
        <v>1</v>
      </c>
      <c r="H3045" s="133" t="s">
        <v>39</v>
      </c>
      <c r="I3045" s="133"/>
      <c r="J3045" s="133" t="s">
        <v>2267</v>
      </c>
      <c r="K3045" s="133" t="s">
        <v>831</v>
      </c>
      <c r="L3045" s="167"/>
      <c r="M3045" s="169"/>
    </row>
    <row r="3046" spans="1:13" x14ac:dyDescent="0.55000000000000004">
      <c r="A3046" s="132" t="s">
        <v>2268</v>
      </c>
      <c r="B3046" s="133" t="s">
        <v>2626</v>
      </c>
      <c r="C3046" s="136" t="s">
        <v>163</v>
      </c>
      <c r="D3046" s="133" t="s">
        <v>3288</v>
      </c>
      <c r="E3046" s="138">
        <v>0.5</v>
      </c>
      <c r="F3046" s="153" t="s">
        <v>122</v>
      </c>
      <c r="G3046" s="153">
        <v>1</v>
      </c>
      <c r="H3046" s="133" t="s">
        <v>39</v>
      </c>
      <c r="I3046" s="133"/>
      <c r="J3046" s="133" t="s">
        <v>2267</v>
      </c>
      <c r="K3046" s="133" t="s">
        <v>831</v>
      </c>
      <c r="L3046" s="167"/>
      <c r="M3046" s="169"/>
    </row>
    <row r="3047" spans="1:13" x14ac:dyDescent="0.55000000000000004">
      <c r="A3047" s="132" t="s">
        <v>2272</v>
      </c>
      <c r="B3047" s="133" t="s">
        <v>2627</v>
      </c>
      <c r="C3047" s="136" t="s">
        <v>121</v>
      </c>
      <c r="D3047" s="133" t="s">
        <v>3288</v>
      </c>
      <c r="E3047" s="138">
        <v>1</v>
      </c>
      <c r="F3047" s="153" t="s">
        <v>122</v>
      </c>
      <c r="G3047" s="153">
        <v>1</v>
      </c>
      <c r="H3047" s="133" t="s">
        <v>39</v>
      </c>
      <c r="I3047" s="133"/>
      <c r="J3047" s="133" t="s">
        <v>2271</v>
      </c>
      <c r="K3047" s="133" t="s">
        <v>831</v>
      </c>
      <c r="L3047" s="167"/>
      <c r="M3047" s="169"/>
    </row>
    <row r="3048" spans="1:13" x14ac:dyDescent="0.55000000000000004">
      <c r="A3048" s="132" t="s">
        <v>2272</v>
      </c>
      <c r="B3048" s="133" t="s">
        <v>153</v>
      </c>
      <c r="C3048" s="136" t="s">
        <v>127</v>
      </c>
      <c r="D3048" s="133" t="s">
        <v>2994</v>
      </c>
      <c r="E3048" s="138">
        <v>1.197E-2</v>
      </c>
      <c r="F3048" s="153" t="s">
        <v>130</v>
      </c>
      <c r="G3048" s="153">
        <v>1</v>
      </c>
      <c r="H3048" s="133" t="s">
        <v>39</v>
      </c>
      <c r="I3048" s="133" t="s">
        <v>2622</v>
      </c>
      <c r="J3048" s="133" t="s">
        <v>2271</v>
      </c>
      <c r="K3048" s="133" t="s">
        <v>831</v>
      </c>
      <c r="L3048" s="167"/>
      <c r="M3048" s="169"/>
    </row>
    <row r="3049" spans="1:13" x14ac:dyDescent="0.55000000000000004">
      <c r="A3049" s="132" t="s">
        <v>2272</v>
      </c>
      <c r="B3049" s="133" t="s">
        <v>508</v>
      </c>
      <c r="C3049" s="136" t="s">
        <v>127</v>
      </c>
      <c r="D3049" s="133" t="s">
        <v>3288</v>
      </c>
      <c r="E3049" s="138">
        <v>9.2000000000000003E-4</v>
      </c>
      <c r="F3049" s="153" t="s">
        <v>122</v>
      </c>
      <c r="G3049" s="153">
        <v>1</v>
      </c>
      <c r="H3049" s="133" t="s">
        <v>39</v>
      </c>
      <c r="I3049" s="133" t="s">
        <v>2622</v>
      </c>
      <c r="J3049" s="133" t="s">
        <v>2271</v>
      </c>
      <c r="K3049" s="133" t="s">
        <v>831</v>
      </c>
      <c r="L3049" s="167"/>
      <c r="M3049" s="169"/>
    </row>
    <row r="3050" spans="1:13" x14ac:dyDescent="0.55000000000000004">
      <c r="A3050" s="132" t="s">
        <v>2272</v>
      </c>
      <c r="B3050" s="133" t="s">
        <v>2623</v>
      </c>
      <c r="C3050" s="136" t="s">
        <v>348</v>
      </c>
      <c r="D3050" s="133" t="s">
        <v>3288</v>
      </c>
      <c r="E3050" s="138">
        <v>5.0000000000000002E-5</v>
      </c>
      <c r="F3050" s="153" t="s">
        <v>122</v>
      </c>
      <c r="G3050" s="153">
        <v>1</v>
      </c>
      <c r="H3050" s="133" t="s">
        <v>39</v>
      </c>
      <c r="I3050" s="133" t="s">
        <v>2622</v>
      </c>
      <c r="J3050" s="133" t="s">
        <v>2271</v>
      </c>
      <c r="K3050" s="133" t="s">
        <v>831</v>
      </c>
      <c r="L3050" s="167"/>
      <c r="M3050" s="169"/>
    </row>
    <row r="3051" spans="1:13" x14ac:dyDescent="0.55000000000000004">
      <c r="A3051" s="132" t="s">
        <v>2272</v>
      </c>
      <c r="B3051" s="133" t="s">
        <v>2628</v>
      </c>
      <c r="C3051" s="136" t="s">
        <v>125</v>
      </c>
      <c r="D3051" s="133" t="s">
        <v>3288</v>
      </c>
      <c r="E3051" s="138">
        <v>1.1111111111111112</v>
      </c>
      <c r="F3051" s="153" t="s">
        <v>122</v>
      </c>
      <c r="G3051" s="153">
        <v>1</v>
      </c>
      <c r="H3051" s="133" t="s">
        <v>39</v>
      </c>
      <c r="I3051" s="133"/>
      <c r="J3051" s="133" t="s">
        <v>2271</v>
      </c>
      <c r="K3051" s="133" t="s">
        <v>831</v>
      </c>
      <c r="L3051" s="167"/>
      <c r="M3051" s="169"/>
    </row>
    <row r="3052" spans="1:13" x14ac:dyDescent="0.55000000000000004">
      <c r="A3052" s="132" t="s">
        <v>2272</v>
      </c>
      <c r="B3052" s="133" t="s">
        <v>2626</v>
      </c>
      <c r="C3052" s="136" t="s">
        <v>163</v>
      </c>
      <c r="D3052" s="133" t="s">
        <v>3288</v>
      </c>
      <c r="E3052" s="138">
        <v>0.11111111111111116</v>
      </c>
      <c r="F3052" s="153" t="s">
        <v>122</v>
      </c>
      <c r="G3052" s="153">
        <v>1</v>
      </c>
      <c r="H3052" s="133" t="s">
        <v>39</v>
      </c>
      <c r="I3052" s="133"/>
      <c r="J3052" s="133" t="s">
        <v>2271</v>
      </c>
      <c r="K3052" s="133" t="s">
        <v>831</v>
      </c>
      <c r="L3052" s="167"/>
      <c r="M3052" s="169"/>
    </row>
    <row r="3053" spans="1:13" x14ac:dyDescent="0.55000000000000004">
      <c r="A3053" s="132" t="s">
        <v>2275</v>
      </c>
      <c r="B3053" s="133" t="s">
        <v>2629</v>
      </c>
      <c r="C3053" s="136" t="s">
        <v>121</v>
      </c>
      <c r="D3053" s="133" t="s">
        <v>2682</v>
      </c>
      <c r="E3053" s="138">
        <v>1</v>
      </c>
      <c r="F3053" s="153">
        <v>1</v>
      </c>
      <c r="G3053" s="153">
        <v>1</v>
      </c>
      <c r="H3053" s="133" t="s">
        <v>39</v>
      </c>
      <c r="I3053" s="133"/>
      <c r="J3053" s="133" t="s">
        <v>2274</v>
      </c>
      <c r="K3053" s="133" t="s">
        <v>831</v>
      </c>
      <c r="L3053" s="167"/>
      <c r="M3053" s="169"/>
    </row>
    <row r="3054" spans="1:13" x14ac:dyDescent="0.55000000000000004">
      <c r="A3054" s="132" t="s">
        <v>2275</v>
      </c>
      <c r="B3054" s="133" t="s">
        <v>2630</v>
      </c>
      <c r="C3054" s="133" t="s">
        <v>156</v>
      </c>
      <c r="D3054" s="133" t="s">
        <v>3288</v>
      </c>
      <c r="E3054" s="138">
        <v>0.98599999999999999</v>
      </c>
      <c r="F3054" s="153" t="s">
        <v>122</v>
      </c>
      <c r="G3054" s="153">
        <v>1</v>
      </c>
      <c r="H3054" s="133" t="s">
        <v>39</v>
      </c>
      <c r="I3054" s="133"/>
      <c r="J3054" s="133" t="s">
        <v>2274</v>
      </c>
      <c r="K3054" s="133" t="s">
        <v>831</v>
      </c>
      <c r="L3054" s="167"/>
      <c r="M3054" s="169"/>
    </row>
    <row r="3055" spans="1:13" x14ac:dyDescent="0.55000000000000004">
      <c r="A3055" s="132" t="s">
        <v>2275</v>
      </c>
      <c r="B3055" s="133" t="s">
        <v>2631</v>
      </c>
      <c r="C3055" s="136" t="s">
        <v>127</v>
      </c>
      <c r="D3055" s="133" t="s">
        <v>2994</v>
      </c>
      <c r="E3055" s="138">
        <v>9.1999999999999998E-3</v>
      </c>
      <c r="F3055" s="153" t="s">
        <v>130</v>
      </c>
      <c r="G3055" s="153">
        <v>1</v>
      </c>
      <c r="H3055" s="133" t="s">
        <v>39</v>
      </c>
      <c r="I3055" s="133"/>
      <c r="J3055" s="133" t="s">
        <v>2274</v>
      </c>
      <c r="K3055" s="133" t="s">
        <v>831</v>
      </c>
      <c r="L3055" s="167"/>
      <c r="M3055" s="169"/>
    </row>
    <row r="3056" spans="1:13" x14ac:dyDescent="0.55000000000000004">
      <c r="A3056" s="132" t="s">
        <v>2275</v>
      </c>
      <c r="B3056" s="133" t="s">
        <v>496</v>
      </c>
      <c r="C3056" s="136" t="s">
        <v>127</v>
      </c>
      <c r="D3056" s="133" t="s">
        <v>2994</v>
      </c>
      <c r="E3056" s="138">
        <v>1.4420000000000001E-2</v>
      </c>
      <c r="F3056" s="153" t="s">
        <v>167</v>
      </c>
      <c r="G3056" s="153">
        <v>1</v>
      </c>
      <c r="H3056" s="133" t="s">
        <v>39</v>
      </c>
      <c r="I3056" s="133"/>
      <c r="J3056" s="133" t="s">
        <v>2274</v>
      </c>
      <c r="K3056" s="133" t="s">
        <v>831</v>
      </c>
      <c r="L3056" s="167"/>
      <c r="M3056" s="169"/>
    </row>
    <row r="3057" spans="1:13" x14ac:dyDescent="0.55000000000000004">
      <c r="A3057" s="132" t="s">
        <v>2275</v>
      </c>
      <c r="B3057" s="133" t="s">
        <v>2632</v>
      </c>
      <c r="C3057" s="136" t="s">
        <v>348</v>
      </c>
      <c r="D3057" s="133" t="s">
        <v>3288</v>
      </c>
      <c r="E3057" s="138">
        <v>1.1873500000000001E-5</v>
      </c>
      <c r="F3057" s="153" t="s">
        <v>122</v>
      </c>
      <c r="G3057" s="153">
        <v>1</v>
      </c>
      <c r="H3057" s="133" t="s">
        <v>39</v>
      </c>
      <c r="I3057" s="133"/>
      <c r="J3057" s="133" t="s">
        <v>2274</v>
      </c>
      <c r="K3057" s="133" t="s">
        <v>831</v>
      </c>
      <c r="L3057" s="167"/>
      <c r="M3057" s="169"/>
    </row>
    <row r="3058" spans="1:13" x14ac:dyDescent="0.55000000000000004">
      <c r="A3058" s="132" t="s">
        <v>2275</v>
      </c>
      <c r="B3058" s="133" t="s">
        <v>2633</v>
      </c>
      <c r="C3058" s="136" t="s">
        <v>125</v>
      </c>
      <c r="D3058" s="133" t="s">
        <v>3288</v>
      </c>
      <c r="E3058" s="138">
        <v>1.1900000000000001E-3</v>
      </c>
      <c r="F3058" s="153" t="s">
        <v>122</v>
      </c>
      <c r="G3058" s="153">
        <v>1</v>
      </c>
      <c r="H3058" s="133" t="s">
        <v>39</v>
      </c>
      <c r="I3058" s="133"/>
      <c r="J3058" s="133" t="s">
        <v>2274</v>
      </c>
      <c r="K3058" s="133" t="s">
        <v>831</v>
      </c>
      <c r="L3058" s="167"/>
      <c r="M3058" s="169"/>
    </row>
    <row r="3059" spans="1:13" x14ac:dyDescent="0.55000000000000004">
      <c r="A3059" s="132" t="s">
        <v>2275</v>
      </c>
      <c r="B3059" s="133" t="s">
        <v>2634</v>
      </c>
      <c r="C3059" s="136" t="s">
        <v>125</v>
      </c>
      <c r="D3059" s="133" t="s">
        <v>3288</v>
      </c>
      <c r="E3059" s="138">
        <v>1</v>
      </c>
      <c r="F3059" s="153" t="s">
        <v>122</v>
      </c>
      <c r="G3059" s="153">
        <v>1</v>
      </c>
      <c r="H3059" s="133" t="s">
        <v>39</v>
      </c>
      <c r="I3059" s="133"/>
      <c r="J3059" s="133" t="s">
        <v>2274</v>
      </c>
      <c r="K3059" s="133" t="s">
        <v>831</v>
      </c>
      <c r="L3059" s="167"/>
      <c r="M3059" s="169"/>
    </row>
    <row r="3060" spans="1:13" x14ac:dyDescent="0.55000000000000004">
      <c r="A3060" s="132" t="s">
        <v>2275</v>
      </c>
      <c r="B3060" s="133" t="s">
        <v>2589</v>
      </c>
      <c r="C3060" s="133" t="s">
        <v>156</v>
      </c>
      <c r="D3060" s="133" t="s">
        <v>3288</v>
      </c>
      <c r="E3060" s="138">
        <v>7.3999999999999999E-4</v>
      </c>
      <c r="F3060" s="153" t="s">
        <v>122</v>
      </c>
      <c r="G3060" s="153">
        <v>1</v>
      </c>
      <c r="H3060" s="133" t="s">
        <v>39</v>
      </c>
      <c r="I3060" s="133"/>
      <c r="J3060" s="133" t="s">
        <v>2274</v>
      </c>
      <c r="K3060" s="133" t="s">
        <v>831</v>
      </c>
      <c r="L3060" s="167"/>
      <c r="M3060" s="169"/>
    </row>
    <row r="3061" spans="1:13" x14ac:dyDescent="0.55000000000000004">
      <c r="A3061" s="132" t="s">
        <v>2275</v>
      </c>
      <c r="B3061" s="133" t="s">
        <v>2635</v>
      </c>
      <c r="C3061" s="133" t="s">
        <v>156</v>
      </c>
      <c r="D3061" s="133" t="s">
        <v>3288</v>
      </c>
      <c r="E3061" s="138">
        <v>8.5299999999999994E-3</v>
      </c>
      <c r="F3061" s="153" t="s">
        <v>122</v>
      </c>
      <c r="G3061" s="153">
        <v>1</v>
      </c>
      <c r="H3061" s="133" t="s">
        <v>39</v>
      </c>
      <c r="I3061" s="133"/>
      <c r="J3061" s="133" t="s">
        <v>2274</v>
      </c>
      <c r="K3061" s="133" t="s">
        <v>831</v>
      </c>
      <c r="L3061" s="167"/>
      <c r="M3061" s="169"/>
    </row>
    <row r="3062" spans="1:13" x14ac:dyDescent="0.55000000000000004">
      <c r="A3062" s="132" t="s">
        <v>2275</v>
      </c>
      <c r="B3062" s="133" t="s">
        <v>2636</v>
      </c>
      <c r="C3062" s="133" t="s">
        <v>156</v>
      </c>
      <c r="D3062" s="133" t="s">
        <v>3288</v>
      </c>
      <c r="E3062" s="138">
        <v>4.45E-3</v>
      </c>
      <c r="F3062" s="153" t="s">
        <v>122</v>
      </c>
      <c r="G3062" s="153">
        <v>1</v>
      </c>
      <c r="H3062" s="133" t="s">
        <v>39</v>
      </c>
      <c r="I3062" s="133"/>
      <c r="J3062" s="133" t="s">
        <v>2274</v>
      </c>
      <c r="K3062" s="133" t="s">
        <v>831</v>
      </c>
      <c r="L3062" s="167"/>
      <c r="M3062" s="169"/>
    </row>
    <row r="3063" spans="1:13" x14ac:dyDescent="0.55000000000000004">
      <c r="A3063" s="132" t="s">
        <v>2275</v>
      </c>
      <c r="B3063" s="133" t="s">
        <v>2637</v>
      </c>
      <c r="C3063" s="133" t="s">
        <v>156</v>
      </c>
      <c r="D3063" s="133" t="s">
        <v>3288</v>
      </c>
      <c r="E3063" s="138">
        <v>9.5200000000000007E-3</v>
      </c>
      <c r="F3063" s="153" t="s">
        <v>122</v>
      </c>
      <c r="G3063" s="153">
        <v>1</v>
      </c>
      <c r="H3063" s="133" t="s">
        <v>39</v>
      </c>
      <c r="I3063" s="133"/>
      <c r="J3063" s="133" t="s">
        <v>2274</v>
      </c>
      <c r="K3063" s="133" t="s">
        <v>831</v>
      </c>
      <c r="L3063" s="167"/>
      <c r="M3063" s="169"/>
    </row>
    <row r="3064" spans="1:13" x14ac:dyDescent="0.55000000000000004">
      <c r="A3064" s="132" t="s">
        <v>2275</v>
      </c>
      <c r="B3064" s="133" t="s">
        <v>2638</v>
      </c>
      <c r="C3064" s="133" t="s">
        <v>156</v>
      </c>
      <c r="D3064" s="133" t="s">
        <v>3288</v>
      </c>
      <c r="E3064" s="138">
        <v>7.3999999999999999E-4</v>
      </c>
      <c r="F3064" s="153" t="s">
        <v>122</v>
      </c>
      <c r="G3064" s="153">
        <v>1</v>
      </c>
      <c r="H3064" s="133" t="s">
        <v>39</v>
      </c>
      <c r="I3064" s="133"/>
      <c r="J3064" s="133" t="s">
        <v>2274</v>
      </c>
      <c r="K3064" s="133" t="s">
        <v>831</v>
      </c>
      <c r="L3064" s="167"/>
      <c r="M3064" s="169"/>
    </row>
    <row r="3065" spans="1:13" x14ac:dyDescent="0.55000000000000004">
      <c r="A3065" s="132" t="s">
        <v>2275</v>
      </c>
      <c r="B3065" s="133" t="s">
        <v>2639</v>
      </c>
      <c r="C3065" s="133" t="s">
        <v>156</v>
      </c>
      <c r="D3065" s="133" t="s">
        <v>3288</v>
      </c>
      <c r="E3065" s="138">
        <v>7.3999999999999999E-4</v>
      </c>
      <c r="F3065" s="153" t="s">
        <v>122</v>
      </c>
      <c r="G3065" s="153">
        <v>1</v>
      </c>
      <c r="H3065" s="133" t="s">
        <v>39</v>
      </c>
      <c r="I3065" s="133"/>
      <c r="J3065" s="133" t="s">
        <v>2274</v>
      </c>
      <c r="K3065" s="133" t="s">
        <v>831</v>
      </c>
      <c r="L3065" s="167"/>
      <c r="M3065" s="169"/>
    </row>
    <row r="3066" spans="1:13" x14ac:dyDescent="0.55000000000000004">
      <c r="A3066" s="132" t="s">
        <v>2280</v>
      </c>
      <c r="B3066" s="133" t="s">
        <v>2629</v>
      </c>
      <c r="C3066" s="136" t="s">
        <v>121</v>
      </c>
      <c r="D3066" s="133" t="s">
        <v>2682</v>
      </c>
      <c r="E3066" s="138">
        <v>1</v>
      </c>
      <c r="F3066" s="153">
        <v>1</v>
      </c>
      <c r="G3066" s="153">
        <v>1</v>
      </c>
      <c r="H3066" s="133" t="s">
        <v>39</v>
      </c>
      <c r="I3066" s="133"/>
      <c r="J3066" s="133" t="s">
        <v>2279</v>
      </c>
      <c r="K3066" s="133" t="s">
        <v>831</v>
      </c>
      <c r="L3066" s="167"/>
      <c r="M3066" s="169"/>
    </row>
    <row r="3067" spans="1:13" x14ac:dyDescent="0.55000000000000004">
      <c r="A3067" s="132" t="s">
        <v>2280</v>
      </c>
      <c r="B3067" s="133" t="s">
        <v>2640</v>
      </c>
      <c r="C3067" s="133" t="s">
        <v>156</v>
      </c>
      <c r="D3067" s="133" t="s">
        <v>3288</v>
      </c>
      <c r="E3067" s="138">
        <v>1</v>
      </c>
      <c r="F3067" s="153" t="s">
        <v>122</v>
      </c>
      <c r="G3067" s="153">
        <v>1</v>
      </c>
      <c r="H3067" s="133" t="s">
        <v>39</v>
      </c>
      <c r="I3067" s="133"/>
      <c r="J3067" s="133" t="s">
        <v>2279</v>
      </c>
      <c r="K3067" s="133" t="s">
        <v>831</v>
      </c>
      <c r="L3067" s="167"/>
      <c r="M3067" s="169"/>
    </row>
    <row r="3068" spans="1:13" x14ac:dyDescent="0.55000000000000004">
      <c r="A3068" s="132" t="s">
        <v>2280</v>
      </c>
      <c r="B3068" s="133" t="s">
        <v>2631</v>
      </c>
      <c r="C3068" s="136" t="s">
        <v>127</v>
      </c>
      <c r="D3068" s="133" t="s">
        <v>2994</v>
      </c>
      <c r="E3068" s="138">
        <v>9.2999999999999992E-3</v>
      </c>
      <c r="F3068" s="153" t="s">
        <v>130</v>
      </c>
      <c r="G3068" s="153">
        <v>1</v>
      </c>
      <c r="H3068" s="133" t="s">
        <v>39</v>
      </c>
      <c r="I3068" s="133"/>
      <c r="J3068" s="133" t="s">
        <v>2279</v>
      </c>
      <c r="K3068" s="133" t="s">
        <v>831</v>
      </c>
      <c r="L3068" s="167"/>
      <c r="M3068" s="169"/>
    </row>
    <row r="3069" spans="1:13" x14ac:dyDescent="0.55000000000000004">
      <c r="A3069" s="132" t="s">
        <v>2280</v>
      </c>
      <c r="B3069" s="133" t="s">
        <v>496</v>
      </c>
      <c r="C3069" s="136" t="s">
        <v>127</v>
      </c>
      <c r="D3069" s="133" t="s">
        <v>2994</v>
      </c>
      <c r="E3069" s="138">
        <v>1.457E-2</v>
      </c>
      <c r="F3069" s="153" t="s">
        <v>167</v>
      </c>
      <c r="G3069" s="153">
        <v>1</v>
      </c>
      <c r="H3069" s="133" t="s">
        <v>39</v>
      </c>
      <c r="I3069" s="133"/>
      <c r="J3069" s="133" t="s">
        <v>2279</v>
      </c>
      <c r="K3069" s="133" t="s">
        <v>831</v>
      </c>
      <c r="L3069" s="167"/>
      <c r="M3069" s="169"/>
    </row>
    <row r="3070" spans="1:13" x14ac:dyDescent="0.55000000000000004">
      <c r="A3070" s="132" t="s">
        <v>2280</v>
      </c>
      <c r="B3070" s="133" t="s">
        <v>2632</v>
      </c>
      <c r="C3070" s="136" t="s">
        <v>348</v>
      </c>
      <c r="D3070" s="133" t="s">
        <v>3288</v>
      </c>
      <c r="E3070" s="138">
        <v>1.2E-5</v>
      </c>
      <c r="F3070" s="153" t="s">
        <v>122</v>
      </c>
      <c r="G3070" s="153">
        <v>1</v>
      </c>
      <c r="H3070" s="133" t="s">
        <v>39</v>
      </c>
      <c r="I3070" s="133"/>
      <c r="J3070" s="133" t="s">
        <v>2279</v>
      </c>
      <c r="K3070" s="133" t="s">
        <v>831</v>
      </c>
      <c r="L3070" s="167"/>
      <c r="M3070" s="169"/>
    </row>
    <row r="3071" spans="1:13" x14ac:dyDescent="0.55000000000000004">
      <c r="A3071" s="132" t="s">
        <v>2280</v>
      </c>
      <c r="B3071" s="133" t="s">
        <v>2633</v>
      </c>
      <c r="C3071" s="136" t="s">
        <v>348</v>
      </c>
      <c r="D3071" s="133" t="s">
        <v>3288</v>
      </c>
      <c r="E3071" s="138">
        <v>1.1999999999999999E-3</v>
      </c>
      <c r="F3071" s="153" t="s">
        <v>122</v>
      </c>
      <c r="G3071" s="153">
        <v>1</v>
      </c>
      <c r="H3071" s="133" t="s">
        <v>39</v>
      </c>
      <c r="I3071" s="133"/>
      <c r="J3071" s="133" t="s">
        <v>2279</v>
      </c>
      <c r="K3071" s="133" t="s">
        <v>831</v>
      </c>
      <c r="L3071" s="167"/>
      <c r="M3071" s="169"/>
    </row>
    <row r="3072" spans="1:13" x14ac:dyDescent="0.55000000000000004">
      <c r="A3072" s="132" t="s">
        <v>2280</v>
      </c>
      <c r="B3072" s="133" t="s">
        <v>2641</v>
      </c>
      <c r="C3072" s="136" t="s">
        <v>348</v>
      </c>
      <c r="D3072" s="133" t="s">
        <v>3288</v>
      </c>
      <c r="E3072" s="138">
        <v>1.0249999999999999</v>
      </c>
      <c r="F3072" s="153" t="s">
        <v>122</v>
      </c>
      <c r="G3072" s="153">
        <v>1</v>
      </c>
      <c r="H3072" s="133" t="s">
        <v>39</v>
      </c>
      <c r="I3072" s="133"/>
      <c r="J3072" s="133" t="s">
        <v>2279</v>
      </c>
      <c r="K3072" s="133" t="s">
        <v>831</v>
      </c>
      <c r="L3072" s="167"/>
      <c r="M3072" s="169"/>
    </row>
    <row r="3073" spans="1:13" x14ac:dyDescent="0.55000000000000004">
      <c r="A3073" s="132" t="s">
        <v>2280</v>
      </c>
      <c r="B3073" s="133" t="s">
        <v>2642</v>
      </c>
      <c r="C3073" s="133" t="s">
        <v>156</v>
      </c>
      <c r="D3073" s="133" t="s">
        <v>3288</v>
      </c>
      <c r="E3073" s="138">
        <v>7.5000000000000002E-4</v>
      </c>
      <c r="F3073" s="153" t="s">
        <v>122</v>
      </c>
      <c r="G3073" s="153">
        <v>1</v>
      </c>
      <c r="H3073" s="133" t="s">
        <v>39</v>
      </c>
      <c r="I3073" s="133"/>
      <c r="J3073" s="133" t="s">
        <v>2279</v>
      </c>
      <c r="K3073" s="133" t="s">
        <v>831</v>
      </c>
      <c r="L3073" s="167"/>
      <c r="M3073" s="169"/>
    </row>
    <row r="3074" spans="1:13" x14ac:dyDescent="0.55000000000000004">
      <c r="A3074" s="132" t="s">
        <v>2280</v>
      </c>
      <c r="B3074" s="133" t="s">
        <v>2635</v>
      </c>
      <c r="C3074" s="133" t="s">
        <v>156</v>
      </c>
      <c r="D3074" s="133" t="s">
        <v>3288</v>
      </c>
      <c r="E3074" s="138">
        <v>8.6300000000000005E-3</v>
      </c>
      <c r="F3074" s="153" t="s">
        <v>122</v>
      </c>
      <c r="G3074" s="153">
        <v>1</v>
      </c>
      <c r="H3074" s="133" t="s">
        <v>39</v>
      </c>
      <c r="I3074" s="133"/>
      <c r="J3074" s="133" t="s">
        <v>2279</v>
      </c>
      <c r="K3074" s="133" t="s">
        <v>831</v>
      </c>
      <c r="L3074" s="167"/>
      <c r="M3074" s="169"/>
    </row>
    <row r="3075" spans="1:13" x14ac:dyDescent="0.55000000000000004">
      <c r="A3075" s="132" t="s">
        <v>2280</v>
      </c>
      <c r="B3075" s="133" t="s">
        <v>2636</v>
      </c>
      <c r="C3075" s="133" t="s">
        <v>156</v>
      </c>
      <c r="D3075" s="133" t="s">
        <v>3288</v>
      </c>
      <c r="E3075" s="138">
        <v>8.6300000000000005E-3</v>
      </c>
      <c r="F3075" s="153" t="s">
        <v>122</v>
      </c>
      <c r="G3075" s="153">
        <v>1</v>
      </c>
      <c r="H3075" s="133" t="s">
        <v>39</v>
      </c>
      <c r="I3075" s="133"/>
      <c r="J3075" s="133" t="s">
        <v>2279</v>
      </c>
      <c r="K3075" s="133" t="s">
        <v>831</v>
      </c>
      <c r="L3075" s="167"/>
      <c r="M3075" s="169"/>
    </row>
    <row r="3076" spans="1:13" x14ac:dyDescent="0.55000000000000004">
      <c r="A3076" s="132" t="s">
        <v>2280</v>
      </c>
      <c r="B3076" s="133" t="s">
        <v>2637</v>
      </c>
      <c r="C3076" s="133" t="s">
        <v>156</v>
      </c>
      <c r="D3076" s="133" t="s">
        <v>3288</v>
      </c>
      <c r="E3076" s="138">
        <v>9.6200000000000001E-3</v>
      </c>
      <c r="F3076" s="153" t="s">
        <v>122</v>
      </c>
      <c r="G3076" s="153">
        <v>1</v>
      </c>
      <c r="H3076" s="133" t="s">
        <v>39</v>
      </c>
      <c r="I3076" s="133"/>
      <c r="J3076" s="133" t="s">
        <v>2279</v>
      </c>
      <c r="K3076" s="133" t="s">
        <v>831</v>
      </c>
      <c r="L3076" s="167"/>
      <c r="M3076" s="169"/>
    </row>
    <row r="3077" spans="1:13" x14ac:dyDescent="0.55000000000000004">
      <c r="A3077" s="132" t="s">
        <v>2280</v>
      </c>
      <c r="B3077" s="133" t="s">
        <v>2638</v>
      </c>
      <c r="C3077" s="133" t="s">
        <v>156</v>
      </c>
      <c r="D3077" s="133" t="s">
        <v>3288</v>
      </c>
      <c r="E3077" s="138">
        <v>7.5000000000000002E-4</v>
      </c>
      <c r="F3077" s="153" t="s">
        <v>122</v>
      </c>
      <c r="G3077" s="153">
        <v>1</v>
      </c>
      <c r="H3077" s="133" t="s">
        <v>39</v>
      </c>
      <c r="I3077" s="133"/>
      <c r="J3077" s="133" t="s">
        <v>2279</v>
      </c>
      <c r="K3077" s="133" t="s">
        <v>831</v>
      </c>
      <c r="L3077" s="167"/>
      <c r="M3077" s="169"/>
    </row>
    <row r="3078" spans="1:13" x14ac:dyDescent="0.55000000000000004">
      <c r="A3078" s="132" t="s">
        <v>2280</v>
      </c>
      <c r="B3078" s="133" t="s">
        <v>2639</v>
      </c>
      <c r="C3078" s="133" t="s">
        <v>156</v>
      </c>
      <c r="D3078" s="133" t="s">
        <v>3288</v>
      </c>
      <c r="E3078" s="138">
        <v>7.5000000000000002E-4</v>
      </c>
      <c r="F3078" s="153" t="s">
        <v>122</v>
      </c>
      <c r="G3078" s="153">
        <v>1</v>
      </c>
      <c r="H3078" s="133" t="s">
        <v>39</v>
      </c>
      <c r="I3078" s="133"/>
      <c r="J3078" s="133" t="s">
        <v>2279</v>
      </c>
      <c r="K3078" s="133" t="s">
        <v>831</v>
      </c>
      <c r="L3078" s="167"/>
      <c r="M3078" s="169"/>
    </row>
    <row r="3079" spans="1:13" x14ac:dyDescent="0.55000000000000004">
      <c r="A3079" s="132" t="s">
        <v>2285</v>
      </c>
      <c r="B3079" s="133" t="s">
        <v>2643</v>
      </c>
      <c r="C3079" s="136" t="s">
        <v>121</v>
      </c>
      <c r="D3079" s="133" t="s">
        <v>3288</v>
      </c>
      <c r="E3079" s="138">
        <v>1</v>
      </c>
      <c r="F3079" s="153" t="s">
        <v>122</v>
      </c>
      <c r="G3079" s="153">
        <v>1</v>
      </c>
      <c r="H3079" s="133" t="s">
        <v>39</v>
      </c>
      <c r="I3079" s="133"/>
      <c r="J3079" s="133" t="s">
        <v>2284</v>
      </c>
      <c r="K3079" s="133" t="s">
        <v>831</v>
      </c>
      <c r="L3079" s="167"/>
      <c r="M3079" s="169"/>
    </row>
    <row r="3080" spans="1:13" x14ac:dyDescent="0.55000000000000004">
      <c r="A3080" s="132" t="s">
        <v>2285</v>
      </c>
      <c r="B3080" s="133" t="s">
        <v>1180</v>
      </c>
      <c r="C3080" s="136" t="s">
        <v>127</v>
      </c>
      <c r="D3080" s="133" t="s">
        <v>2994</v>
      </c>
      <c r="E3080" s="138">
        <v>1.8020000000000001E-2</v>
      </c>
      <c r="F3080" s="153" t="s">
        <v>167</v>
      </c>
      <c r="G3080" s="153">
        <v>1</v>
      </c>
      <c r="H3080" s="133" t="s">
        <v>39</v>
      </c>
      <c r="I3080" s="133"/>
      <c r="J3080" s="133" t="s">
        <v>2284</v>
      </c>
      <c r="K3080" s="133" t="s">
        <v>831</v>
      </c>
      <c r="L3080" s="167"/>
      <c r="M3080" s="169"/>
    </row>
    <row r="3081" spans="1:13" x14ac:dyDescent="0.55000000000000004">
      <c r="A3081" s="132" t="s">
        <v>2285</v>
      </c>
      <c r="B3081" s="133" t="s">
        <v>2631</v>
      </c>
      <c r="C3081" s="136" t="s">
        <v>127</v>
      </c>
      <c r="D3081" s="133" t="s">
        <v>2994</v>
      </c>
      <c r="E3081" s="138">
        <v>1.042E-2</v>
      </c>
      <c r="F3081" s="153" t="s">
        <v>130</v>
      </c>
      <c r="G3081" s="153">
        <v>1</v>
      </c>
      <c r="H3081" s="133" t="s">
        <v>39</v>
      </c>
      <c r="I3081" s="133"/>
      <c r="J3081" s="133" t="s">
        <v>2284</v>
      </c>
      <c r="K3081" s="133" t="s">
        <v>831</v>
      </c>
      <c r="L3081" s="167"/>
      <c r="M3081" s="169"/>
    </row>
    <row r="3082" spans="1:13" x14ac:dyDescent="0.55000000000000004">
      <c r="A3082" s="132" t="s">
        <v>2285</v>
      </c>
      <c r="B3082" s="133" t="s">
        <v>2644</v>
      </c>
      <c r="C3082" s="136" t="s">
        <v>348</v>
      </c>
      <c r="D3082" s="133" t="s">
        <v>3288</v>
      </c>
      <c r="E3082" s="138">
        <v>1.0416700000000001</v>
      </c>
      <c r="F3082" s="153" t="s">
        <v>122</v>
      </c>
      <c r="G3082" s="153">
        <v>1</v>
      </c>
      <c r="H3082" s="133" t="s">
        <v>39</v>
      </c>
      <c r="I3082" s="133"/>
      <c r="J3082" s="133" t="s">
        <v>2284</v>
      </c>
      <c r="K3082" s="133" t="s">
        <v>831</v>
      </c>
      <c r="L3082" s="167"/>
      <c r="M3082" s="169"/>
    </row>
    <row r="3083" spans="1:13" x14ac:dyDescent="0.55000000000000004">
      <c r="A3083" s="132" t="s">
        <v>2285</v>
      </c>
      <c r="B3083" s="133" t="s">
        <v>2626</v>
      </c>
      <c r="C3083" s="136" t="s">
        <v>163</v>
      </c>
      <c r="D3083" s="133" t="s">
        <v>3288</v>
      </c>
      <c r="E3083" s="138">
        <v>4.1669999999999999E-2</v>
      </c>
      <c r="F3083" s="153" t="s">
        <v>122</v>
      </c>
      <c r="G3083" s="153">
        <v>1</v>
      </c>
      <c r="H3083" s="133" t="s">
        <v>39</v>
      </c>
      <c r="I3083" s="133"/>
      <c r="J3083" s="133" t="s">
        <v>2284</v>
      </c>
      <c r="K3083" s="133" t="s">
        <v>831</v>
      </c>
      <c r="L3083" s="167"/>
      <c r="M3083" s="169"/>
    </row>
    <row r="3084" spans="1:13" x14ac:dyDescent="0.55000000000000004">
      <c r="A3084" s="132" t="s">
        <v>2289</v>
      </c>
      <c r="B3084" s="133" t="s">
        <v>2645</v>
      </c>
      <c r="C3084" s="136" t="s">
        <v>121</v>
      </c>
      <c r="D3084" s="133" t="s">
        <v>3288</v>
      </c>
      <c r="E3084" s="138">
        <v>1</v>
      </c>
      <c r="F3084" s="153" t="s">
        <v>122</v>
      </c>
      <c r="G3084" s="153">
        <v>1</v>
      </c>
      <c r="H3084" s="133" t="s">
        <v>39</v>
      </c>
      <c r="I3084" s="133"/>
      <c r="J3084" s="133" t="s">
        <v>2288</v>
      </c>
      <c r="K3084" s="133" t="s">
        <v>831</v>
      </c>
      <c r="L3084" s="167"/>
      <c r="M3084" s="169"/>
    </row>
    <row r="3085" spans="1:13" x14ac:dyDescent="0.55000000000000004">
      <c r="A3085" s="132" t="s">
        <v>2289</v>
      </c>
      <c r="B3085" s="133" t="s">
        <v>1180</v>
      </c>
      <c r="C3085" s="136" t="s">
        <v>127</v>
      </c>
      <c r="D3085" s="133" t="s">
        <v>2994</v>
      </c>
      <c r="E3085" s="138">
        <v>1.763E-2</v>
      </c>
      <c r="F3085" s="153" t="s">
        <v>167</v>
      </c>
      <c r="G3085" s="153">
        <v>1</v>
      </c>
      <c r="H3085" s="133" t="s">
        <v>39</v>
      </c>
      <c r="I3085" s="133"/>
      <c r="J3085" s="133" t="s">
        <v>2288</v>
      </c>
      <c r="K3085" s="133" t="s">
        <v>831</v>
      </c>
      <c r="L3085" s="167"/>
      <c r="M3085" s="169"/>
    </row>
    <row r="3086" spans="1:13" x14ac:dyDescent="0.55000000000000004">
      <c r="A3086" s="132" t="s">
        <v>2289</v>
      </c>
      <c r="B3086" s="133" t="s">
        <v>2631</v>
      </c>
      <c r="C3086" s="136" t="s">
        <v>127</v>
      </c>
      <c r="D3086" s="133" t="s">
        <v>2994</v>
      </c>
      <c r="E3086" s="138">
        <v>1.0200000000000001E-2</v>
      </c>
      <c r="F3086" s="153" t="s">
        <v>130</v>
      </c>
      <c r="G3086" s="153">
        <v>1</v>
      </c>
      <c r="H3086" s="133" t="s">
        <v>39</v>
      </c>
      <c r="I3086" s="133"/>
      <c r="J3086" s="133" t="s">
        <v>2288</v>
      </c>
      <c r="K3086" s="133" t="s">
        <v>831</v>
      </c>
      <c r="L3086" s="167"/>
      <c r="M3086" s="169"/>
    </row>
    <row r="3087" spans="1:13" x14ac:dyDescent="0.55000000000000004">
      <c r="A3087" s="132" t="s">
        <v>2289</v>
      </c>
      <c r="B3087" s="133" t="s">
        <v>2646</v>
      </c>
      <c r="C3087" s="136" t="s">
        <v>348</v>
      </c>
      <c r="D3087" s="133" t="s">
        <v>3288</v>
      </c>
      <c r="E3087" s="138">
        <v>1.02041</v>
      </c>
      <c r="F3087" s="153" t="s">
        <v>122</v>
      </c>
      <c r="G3087" s="153">
        <v>1</v>
      </c>
      <c r="H3087" s="133" t="s">
        <v>39</v>
      </c>
      <c r="I3087" s="133"/>
      <c r="J3087" s="133" t="s">
        <v>2288</v>
      </c>
      <c r="K3087" s="133" t="s">
        <v>831</v>
      </c>
      <c r="L3087" s="167"/>
      <c r="M3087" s="169"/>
    </row>
    <row r="3088" spans="1:13" x14ac:dyDescent="0.55000000000000004">
      <c r="A3088" s="132" t="s">
        <v>2289</v>
      </c>
      <c r="B3088" s="133" t="s">
        <v>2626</v>
      </c>
      <c r="C3088" s="136" t="s">
        <v>163</v>
      </c>
      <c r="D3088" s="133" t="s">
        <v>3288</v>
      </c>
      <c r="E3088" s="138">
        <v>2.0410000000000001E-2</v>
      </c>
      <c r="F3088" s="153" t="s">
        <v>122</v>
      </c>
      <c r="G3088" s="153">
        <v>1</v>
      </c>
      <c r="H3088" s="133" t="s">
        <v>39</v>
      </c>
      <c r="I3088" s="133"/>
      <c r="J3088" s="133" t="s">
        <v>2288</v>
      </c>
      <c r="K3088" s="133" t="s">
        <v>831</v>
      </c>
      <c r="L3088" s="167"/>
      <c r="M3088" s="169"/>
    </row>
    <row r="3089" spans="1:13" x14ac:dyDescent="0.55000000000000004">
      <c r="A3089" s="132" t="s">
        <v>2293</v>
      </c>
      <c r="B3089" s="133" t="s">
        <v>2647</v>
      </c>
      <c r="C3089" s="136" t="s">
        <v>121</v>
      </c>
      <c r="D3089" s="133" t="s">
        <v>3288</v>
      </c>
      <c r="E3089" s="138">
        <v>1</v>
      </c>
      <c r="F3089" s="153" t="s">
        <v>122</v>
      </c>
      <c r="G3089" s="153">
        <v>1</v>
      </c>
      <c r="H3089" s="133" t="s">
        <v>39</v>
      </c>
      <c r="I3089" s="133"/>
      <c r="J3089" s="133" t="s">
        <v>2292</v>
      </c>
      <c r="K3089" s="133" t="s">
        <v>831</v>
      </c>
      <c r="L3089" s="167"/>
      <c r="M3089" s="169"/>
    </row>
    <row r="3090" spans="1:13" x14ac:dyDescent="0.55000000000000004">
      <c r="A3090" s="132" t="s">
        <v>2293</v>
      </c>
      <c r="B3090" s="133" t="s">
        <v>153</v>
      </c>
      <c r="C3090" s="136" t="s">
        <v>127</v>
      </c>
      <c r="D3090" s="133" t="s">
        <v>2994</v>
      </c>
      <c r="E3090" s="138">
        <v>3.7499999999999999E-3</v>
      </c>
      <c r="F3090" s="153" t="s">
        <v>130</v>
      </c>
      <c r="G3090" s="153">
        <v>1</v>
      </c>
      <c r="H3090" s="133" t="s">
        <v>39</v>
      </c>
      <c r="I3090" s="133"/>
      <c r="J3090" s="133" t="s">
        <v>2292</v>
      </c>
      <c r="K3090" s="133" t="s">
        <v>831</v>
      </c>
      <c r="L3090" s="167"/>
      <c r="M3090" s="169"/>
    </row>
    <row r="3091" spans="1:13" x14ac:dyDescent="0.55000000000000004">
      <c r="A3091" s="132" t="s">
        <v>2293</v>
      </c>
      <c r="B3091" s="133" t="s">
        <v>2623</v>
      </c>
      <c r="C3091" s="136" t="s">
        <v>348</v>
      </c>
      <c r="D3091" s="133" t="s">
        <v>3288</v>
      </c>
      <c r="E3091" s="138">
        <v>9.9999999999999995E-7</v>
      </c>
      <c r="F3091" s="153" t="s">
        <v>122</v>
      </c>
      <c r="G3091" s="153">
        <v>1</v>
      </c>
      <c r="H3091" s="133" t="s">
        <v>39</v>
      </c>
      <c r="I3091" s="133"/>
      <c r="J3091" s="133" t="s">
        <v>2292</v>
      </c>
      <c r="K3091" s="133" t="s">
        <v>831</v>
      </c>
      <c r="L3091" s="167"/>
      <c r="M3091" s="169"/>
    </row>
    <row r="3092" spans="1:13" x14ac:dyDescent="0.55000000000000004">
      <c r="A3092" s="132" t="s">
        <v>2293</v>
      </c>
      <c r="B3092" s="133" t="s">
        <v>2648</v>
      </c>
      <c r="C3092" s="136" t="s">
        <v>348</v>
      </c>
      <c r="D3092" s="133" t="s">
        <v>3288</v>
      </c>
      <c r="E3092" s="138">
        <v>1.08</v>
      </c>
      <c r="F3092" s="153" t="s">
        <v>122</v>
      </c>
      <c r="G3092" s="153">
        <v>1</v>
      </c>
      <c r="H3092" s="133" t="s">
        <v>39</v>
      </c>
      <c r="I3092" s="133"/>
      <c r="J3092" s="133" t="s">
        <v>2292</v>
      </c>
      <c r="K3092" s="133" t="s">
        <v>831</v>
      </c>
      <c r="L3092" s="167"/>
      <c r="M3092" s="169"/>
    </row>
    <row r="3093" spans="1:13" x14ac:dyDescent="0.55000000000000004">
      <c r="A3093" s="132" t="s">
        <v>2293</v>
      </c>
      <c r="B3093" s="133" t="s">
        <v>154</v>
      </c>
      <c r="C3093" s="136" t="s">
        <v>132</v>
      </c>
      <c r="D3093" s="133" t="s">
        <v>3289</v>
      </c>
      <c r="E3093" s="138">
        <v>2.5054E-4</v>
      </c>
      <c r="F3093" s="153" t="s">
        <v>133</v>
      </c>
      <c r="G3093" s="153">
        <v>1</v>
      </c>
      <c r="H3093" s="133" t="s">
        <v>39</v>
      </c>
      <c r="I3093" s="133"/>
      <c r="J3093" s="133" t="s">
        <v>2292</v>
      </c>
      <c r="K3093" s="133" t="s">
        <v>831</v>
      </c>
      <c r="L3093" s="167"/>
      <c r="M3093" s="169"/>
    </row>
    <row r="3094" spans="1:13" x14ac:dyDescent="0.55000000000000004">
      <c r="A3094" s="132" t="s">
        <v>2293</v>
      </c>
      <c r="B3094" s="133" t="s">
        <v>154</v>
      </c>
      <c r="C3094" s="136" t="s">
        <v>124</v>
      </c>
      <c r="D3094" s="133" t="s">
        <v>3289</v>
      </c>
      <c r="E3094" s="138">
        <v>2.5054E-4</v>
      </c>
      <c r="F3094" s="153" t="s">
        <v>133</v>
      </c>
      <c r="G3094" s="153">
        <v>1</v>
      </c>
      <c r="H3094" s="133" t="s">
        <v>39</v>
      </c>
      <c r="I3094" s="133"/>
      <c r="J3094" s="133" t="s">
        <v>2292</v>
      </c>
      <c r="K3094" s="133" t="s">
        <v>831</v>
      </c>
      <c r="L3094" s="167"/>
      <c r="M3094" s="169"/>
    </row>
    <row r="3095" spans="1:13" x14ac:dyDescent="0.55000000000000004">
      <c r="A3095" s="132" t="s">
        <v>2293</v>
      </c>
      <c r="B3095" s="133" t="s">
        <v>2626</v>
      </c>
      <c r="C3095" s="136" t="s">
        <v>163</v>
      </c>
      <c r="D3095" s="133" t="s">
        <v>3288</v>
      </c>
      <c r="E3095" s="138">
        <v>8.0000000000000071E-2</v>
      </c>
      <c r="F3095" s="153" t="s">
        <v>122</v>
      </c>
      <c r="G3095" s="153">
        <v>1</v>
      </c>
      <c r="H3095" s="133" t="s">
        <v>39</v>
      </c>
      <c r="I3095" s="133"/>
      <c r="J3095" s="133" t="s">
        <v>2292</v>
      </c>
      <c r="K3095" s="133" t="s">
        <v>831</v>
      </c>
      <c r="L3095" s="167"/>
      <c r="M3095" s="169"/>
    </row>
    <row r="3096" spans="1:13" x14ac:dyDescent="0.55000000000000004">
      <c r="A3096" s="132" t="s">
        <v>2298</v>
      </c>
      <c r="B3096" s="133" t="s">
        <v>2649</v>
      </c>
      <c r="C3096" s="136" t="s">
        <v>121</v>
      </c>
      <c r="D3096" s="133" t="s">
        <v>3288</v>
      </c>
      <c r="E3096" s="138">
        <v>1</v>
      </c>
      <c r="F3096" s="153" t="s">
        <v>122</v>
      </c>
      <c r="G3096" s="153">
        <v>1</v>
      </c>
      <c r="H3096" s="133" t="s">
        <v>39</v>
      </c>
      <c r="I3096" s="133"/>
      <c r="J3096" s="133" t="s">
        <v>2297</v>
      </c>
      <c r="K3096" s="133" t="s">
        <v>831</v>
      </c>
      <c r="L3096" s="167"/>
      <c r="M3096" s="169"/>
    </row>
    <row r="3097" spans="1:13" x14ac:dyDescent="0.55000000000000004">
      <c r="A3097" s="132" t="s">
        <v>2298</v>
      </c>
      <c r="B3097" s="133" t="s">
        <v>154</v>
      </c>
      <c r="C3097" s="136" t="s">
        <v>132</v>
      </c>
      <c r="D3097" s="133" t="s">
        <v>3289</v>
      </c>
      <c r="E3097" s="138">
        <v>2.3093644187398581E-4</v>
      </c>
      <c r="F3097" s="153" t="s">
        <v>133</v>
      </c>
      <c r="G3097" s="153">
        <v>1</v>
      </c>
      <c r="H3097" s="133" t="s">
        <v>39</v>
      </c>
      <c r="I3097" s="133"/>
      <c r="J3097" s="133" t="s">
        <v>2297</v>
      </c>
      <c r="K3097" s="133" t="s">
        <v>831</v>
      </c>
      <c r="L3097" s="167"/>
      <c r="M3097" s="169"/>
    </row>
    <row r="3098" spans="1:13" x14ac:dyDescent="0.55000000000000004">
      <c r="A3098" s="132" t="s">
        <v>2298</v>
      </c>
      <c r="B3098" s="133" t="s">
        <v>2650</v>
      </c>
      <c r="C3098" s="136" t="s">
        <v>348</v>
      </c>
      <c r="D3098" s="133" t="s">
        <v>3288</v>
      </c>
      <c r="E3098" s="138">
        <v>1</v>
      </c>
      <c r="F3098" s="153" t="s">
        <v>122</v>
      </c>
      <c r="G3098" s="153">
        <v>1</v>
      </c>
      <c r="H3098" s="133" t="s">
        <v>39</v>
      </c>
      <c r="I3098" s="133"/>
      <c r="J3098" s="133" t="s">
        <v>2297</v>
      </c>
      <c r="K3098" s="133" t="s">
        <v>831</v>
      </c>
      <c r="L3098" s="167"/>
      <c r="M3098" s="169"/>
    </row>
    <row r="3099" spans="1:13" x14ac:dyDescent="0.55000000000000004">
      <c r="A3099" s="132" t="s">
        <v>2298</v>
      </c>
      <c r="B3099" s="133" t="s">
        <v>2631</v>
      </c>
      <c r="C3099" s="136" t="s">
        <v>127</v>
      </c>
      <c r="D3099" s="133" t="s">
        <v>2994</v>
      </c>
      <c r="E3099" s="138">
        <v>1.999999999999999E-2</v>
      </c>
      <c r="F3099" s="153" t="s">
        <v>130</v>
      </c>
      <c r="G3099" s="153">
        <v>1</v>
      </c>
      <c r="H3099" s="133" t="s">
        <v>39</v>
      </c>
      <c r="I3099" s="133"/>
      <c r="J3099" s="133" t="s">
        <v>2297</v>
      </c>
      <c r="K3099" s="133" t="s">
        <v>831</v>
      </c>
      <c r="L3099" s="167"/>
      <c r="M3099" s="169"/>
    </row>
    <row r="3100" spans="1:13" x14ac:dyDescent="0.55000000000000004">
      <c r="A3100" s="132" t="s">
        <v>2298</v>
      </c>
      <c r="B3100" s="133" t="s">
        <v>2632</v>
      </c>
      <c r="C3100" s="136" t="s">
        <v>348</v>
      </c>
      <c r="D3100" s="133" t="s">
        <v>3288</v>
      </c>
      <c r="E3100" s="138">
        <v>2.04E-6</v>
      </c>
      <c r="F3100" s="153" t="s">
        <v>122</v>
      </c>
      <c r="G3100" s="153">
        <v>1</v>
      </c>
      <c r="H3100" s="133" t="s">
        <v>39</v>
      </c>
      <c r="I3100" s="133"/>
      <c r="J3100" s="133" t="s">
        <v>2297</v>
      </c>
      <c r="K3100" s="133" t="s">
        <v>831</v>
      </c>
      <c r="L3100" s="167"/>
      <c r="M3100" s="169"/>
    </row>
    <row r="3101" spans="1:13" x14ac:dyDescent="0.55000000000000004">
      <c r="A3101" s="132" t="s">
        <v>2298</v>
      </c>
      <c r="B3101" s="133" t="s">
        <v>2651</v>
      </c>
      <c r="C3101" s="136" t="s">
        <v>348</v>
      </c>
      <c r="D3101" s="133" t="s">
        <v>3288</v>
      </c>
      <c r="E3101" s="138">
        <v>4.0799999999999999E-6</v>
      </c>
      <c r="F3101" s="153" t="s">
        <v>122</v>
      </c>
      <c r="G3101" s="153">
        <v>1</v>
      </c>
      <c r="H3101" s="133" t="s">
        <v>39</v>
      </c>
      <c r="I3101" s="133"/>
      <c r="J3101" s="133" t="s">
        <v>2297</v>
      </c>
      <c r="K3101" s="133" t="s">
        <v>831</v>
      </c>
      <c r="L3101" s="167"/>
      <c r="M3101" s="169"/>
    </row>
    <row r="3102" spans="1:13" x14ac:dyDescent="0.55000000000000004">
      <c r="A3102" s="132" t="s">
        <v>2303</v>
      </c>
      <c r="B3102" s="133" t="s">
        <v>2652</v>
      </c>
      <c r="C3102" s="136" t="s">
        <v>121</v>
      </c>
      <c r="D3102" s="133" t="s">
        <v>3288</v>
      </c>
      <c r="E3102" s="138">
        <v>1</v>
      </c>
      <c r="F3102" s="153" t="s">
        <v>122</v>
      </c>
      <c r="G3102" s="153">
        <v>1</v>
      </c>
      <c r="H3102" s="133" t="s">
        <v>39</v>
      </c>
      <c r="I3102" s="133"/>
      <c r="J3102" s="133" t="s">
        <v>2302</v>
      </c>
      <c r="K3102" s="133" t="s">
        <v>831</v>
      </c>
      <c r="L3102" s="167"/>
      <c r="M3102" s="169"/>
    </row>
    <row r="3103" spans="1:13" x14ac:dyDescent="0.55000000000000004">
      <c r="A3103" s="132" t="s">
        <v>2303</v>
      </c>
      <c r="B3103" s="133" t="s">
        <v>153</v>
      </c>
      <c r="C3103" s="136" t="s">
        <v>127</v>
      </c>
      <c r="D3103" s="133" t="s">
        <v>2994</v>
      </c>
      <c r="E3103" s="138">
        <v>0.5</v>
      </c>
      <c r="F3103" s="153" t="s">
        <v>130</v>
      </c>
      <c r="G3103" s="153">
        <v>1</v>
      </c>
      <c r="H3103" s="133" t="s">
        <v>39</v>
      </c>
      <c r="I3103" s="133"/>
      <c r="J3103" s="133" t="s">
        <v>2302</v>
      </c>
      <c r="K3103" s="133" t="s">
        <v>831</v>
      </c>
      <c r="L3103" s="167"/>
      <c r="M3103" s="169"/>
    </row>
    <row r="3104" spans="1:13" x14ac:dyDescent="0.55000000000000004">
      <c r="A3104" s="132" t="s">
        <v>2303</v>
      </c>
      <c r="B3104" s="133" t="s">
        <v>154</v>
      </c>
      <c r="C3104" s="136" t="s">
        <v>132</v>
      </c>
      <c r="D3104" s="133" t="s">
        <v>3288</v>
      </c>
      <c r="E3104" s="138">
        <v>2000</v>
      </c>
      <c r="F3104" s="153" t="s">
        <v>122</v>
      </c>
      <c r="G3104" s="153">
        <v>1</v>
      </c>
      <c r="H3104" s="133" t="s">
        <v>39</v>
      </c>
      <c r="I3104" s="133"/>
      <c r="J3104" s="133" t="s">
        <v>2302</v>
      </c>
      <c r="K3104" s="133" t="s">
        <v>831</v>
      </c>
      <c r="L3104" s="167"/>
      <c r="M3104" s="169"/>
    </row>
    <row r="3105" spans="1:13" x14ac:dyDescent="0.55000000000000004">
      <c r="A3105" s="132" t="s">
        <v>2303</v>
      </c>
      <c r="B3105" s="133" t="s">
        <v>2653</v>
      </c>
      <c r="C3105" s="136" t="s">
        <v>125</v>
      </c>
      <c r="D3105" s="133" t="s">
        <v>3288</v>
      </c>
      <c r="E3105" s="138">
        <v>0.15</v>
      </c>
      <c r="F3105" s="153" t="s">
        <v>122</v>
      </c>
      <c r="G3105" s="153">
        <v>1</v>
      </c>
      <c r="H3105" s="133" t="s">
        <v>39</v>
      </c>
      <c r="I3105" s="133"/>
      <c r="J3105" s="133" t="s">
        <v>2302</v>
      </c>
      <c r="K3105" s="133" t="s">
        <v>831</v>
      </c>
      <c r="L3105" s="167"/>
      <c r="M3105" s="169"/>
    </row>
    <row r="3106" spans="1:13" x14ac:dyDescent="0.55000000000000004">
      <c r="A3106" s="132" t="s">
        <v>2303</v>
      </c>
      <c r="B3106" s="133" t="s">
        <v>2654</v>
      </c>
      <c r="C3106" s="133" t="s">
        <v>124</v>
      </c>
      <c r="D3106" s="133" t="s">
        <v>3288</v>
      </c>
      <c r="E3106" s="138">
        <v>2100</v>
      </c>
      <c r="F3106" s="153" t="s">
        <v>122</v>
      </c>
      <c r="G3106" s="153">
        <v>1</v>
      </c>
      <c r="H3106" s="133" t="s">
        <v>39</v>
      </c>
      <c r="I3106" s="133"/>
      <c r="J3106" s="133" t="s">
        <v>2302</v>
      </c>
      <c r="K3106" s="133" t="s">
        <v>831</v>
      </c>
      <c r="L3106" s="167"/>
      <c r="M3106" s="169"/>
    </row>
    <row r="3107" spans="1:13" x14ac:dyDescent="0.55000000000000004">
      <c r="A3107" s="132" t="s">
        <v>2303</v>
      </c>
      <c r="B3107" s="133" t="s">
        <v>2655</v>
      </c>
      <c r="C3107" s="136" t="s">
        <v>125</v>
      </c>
      <c r="D3107" s="133" t="s">
        <v>3288</v>
      </c>
      <c r="E3107" s="138">
        <v>1.25</v>
      </c>
      <c r="F3107" s="153" t="s">
        <v>122</v>
      </c>
      <c r="G3107" s="153">
        <v>1</v>
      </c>
      <c r="H3107" s="133" t="s">
        <v>39</v>
      </c>
      <c r="I3107" s="133"/>
      <c r="J3107" s="133" t="s">
        <v>2302</v>
      </c>
      <c r="K3107" s="133" t="s">
        <v>831</v>
      </c>
      <c r="L3107" s="167"/>
      <c r="M3107" s="169"/>
    </row>
    <row r="3108" spans="1:13" x14ac:dyDescent="0.55000000000000004">
      <c r="A3108" s="132" t="s">
        <v>2303</v>
      </c>
      <c r="B3108" s="133" t="s">
        <v>2656</v>
      </c>
      <c r="C3108" s="136" t="s">
        <v>3269</v>
      </c>
      <c r="D3108" s="133" t="s">
        <v>3288</v>
      </c>
      <c r="E3108" s="138">
        <v>0.25</v>
      </c>
      <c r="F3108" s="153" t="s">
        <v>122</v>
      </c>
      <c r="G3108" s="153">
        <v>1</v>
      </c>
      <c r="H3108" s="133" t="s">
        <v>39</v>
      </c>
      <c r="I3108" s="133"/>
      <c r="J3108" s="133" t="s">
        <v>2302</v>
      </c>
      <c r="K3108" s="133" t="s">
        <v>831</v>
      </c>
      <c r="L3108" s="167"/>
      <c r="M3108" s="169"/>
    </row>
    <row r="3109" spans="1:13" x14ac:dyDescent="0.55000000000000004">
      <c r="A3109" s="132" t="s">
        <v>2308</v>
      </c>
      <c r="B3109" s="133" t="s">
        <v>2657</v>
      </c>
      <c r="C3109" s="136" t="s">
        <v>121</v>
      </c>
      <c r="D3109" s="133" t="s">
        <v>3288</v>
      </c>
      <c r="E3109" s="138">
        <v>1</v>
      </c>
      <c r="F3109" s="153" t="s">
        <v>122</v>
      </c>
      <c r="G3109" s="153">
        <v>1</v>
      </c>
      <c r="H3109" s="133" t="s">
        <v>39</v>
      </c>
      <c r="I3109" s="133"/>
      <c r="J3109" s="133" t="s">
        <v>2307</v>
      </c>
      <c r="K3109" s="133" t="s">
        <v>831</v>
      </c>
      <c r="L3109" s="167"/>
      <c r="M3109" s="169"/>
    </row>
    <row r="3110" spans="1:13" x14ac:dyDescent="0.55000000000000004">
      <c r="A3110" s="132" t="s">
        <v>2308</v>
      </c>
      <c r="B3110" s="133" t="s">
        <v>153</v>
      </c>
      <c r="C3110" s="136" t="s">
        <v>127</v>
      </c>
      <c r="D3110" s="133" t="s">
        <v>2994</v>
      </c>
      <c r="E3110" s="138">
        <v>0.54700000000000004</v>
      </c>
      <c r="F3110" s="153" t="s">
        <v>130</v>
      </c>
      <c r="G3110" s="153">
        <v>1</v>
      </c>
      <c r="H3110" s="133" t="s">
        <v>39</v>
      </c>
      <c r="I3110" s="133"/>
      <c r="J3110" s="133" t="s">
        <v>2307</v>
      </c>
      <c r="K3110" s="133" t="s">
        <v>831</v>
      </c>
      <c r="L3110" s="167"/>
      <c r="M3110" s="169"/>
    </row>
    <row r="3111" spans="1:13" x14ac:dyDescent="0.55000000000000004">
      <c r="A3111" s="132" t="s">
        <v>2308</v>
      </c>
      <c r="B3111" s="133" t="s">
        <v>154</v>
      </c>
      <c r="C3111" s="136" t="s">
        <v>132</v>
      </c>
      <c r="D3111" s="133" t="s">
        <v>3288</v>
      </c>
      <c r="E3111" s="138">
        <v>2000</v>
      </c>
      <c r="F3111" s="153" t="s">
        <v>122</v>
      </c>
      <c r="G3111" s="153">
        <v>1</v>
      </c>
      <c r="H3111" s="133" t="s">
        <v>39</v>
      </c>
      <c r="I3111" s="133"/>
      <c r="J3111" s="133" t="s">
        <v>2307</v>
      </c>
      <c r="K3111" s="133" t="s">
        <v>831</v>
      </c>
      <c r="L3111" s="167"/>
      <c r="M3111" s="169"/>
    </row>
    <row r="3112" spans="1:13" x14ac:dyDescent="0.55000000000000004">
      <c r="A3112" s="132" t="s">
        <v>2308</v>
      </c>
      <c r="B3112" s="133" t="s">
        <v>2654</v>
      </c>
      <c r="C3112" s="133" t="s">
        <v>124</v>
      </c>
      <c r="D3112" s="133" t="s">
        <v>3288</v>
      </c>
      <c r="E3112" s="138">
        <v>2100</v>
      </c>
      <c r="F3112" s="153" t="s">
        <v>122</v>
      </c>
      <c r="G3112" s="153">
        <v>1</v>
      </c>
      <c r="H3112" s="133" t="s">
        <v>39</v>
      </c>
      <c r="I3112" s="133"/>
      <c r="J3112" s="133" t="s">
        <v>2307</v>
      </c>
      <c r="K3112" s="133" t="s">
        <v>831</v>
      </c>
      <c r="L3112" s="167"/>
      <c r="M3112" s="169"/>
    </row>
    <row r="3113" spans="1:13" x14ac:dyDescent="0.55000000000000004">
      <c r="A3113" s="132" t="s">
        <v>2308</v>
      </c>
      <c r="B3113" s="133" t="s">
        <v>2658</v>
      </c>
      <c r="C3113" s="136" t="s">
        <v>125</v>
      </c>
      <c r="D3113" s="133" t="s">
        <v>3288</v>
      </c>
      <c r="E3113" s="138">
        <v>1.3333333333333333</v>
      </c>
      <c r="F3113" s="153" t="s">
        <v>122</v>
      </c>
      <c r="G3113" s="153">
        <v>1</v>
      </c>
      <c r="H3113" s="133" t="s">
        <v>39</v>
      </c>
      <c r="I3113" s="133"/>
      <c r="J3113" s="133" t="s">
        <v>2307</v>
      </c>
      <c r="K3113" s="133" t="s">
        <v>831</v>
      </c>
      <c r="L3113" s="167"/>
      <c r="M3113" s="169"/>
    </row>
    <row r="3114" spans="1:13" x14ac:dyDescent="0.55000000000000004">
      <c r="A3114" s="132" t="s">
        <v>2308</v>
      </c>
      <c r="B3114" s="133" t="s">
        <v>2626</v>
      </c>
      <c r="C3114" s="136" t="s">
        <v>3269</v>
      </c>
      <c r="D3114" s="133" t="s">
        <v>3288</v>
      </c>
      <c r="E3114" s="138">
        <v>0.33333333333333326</v>
      </c>
      <c r="F3114" s="153" t="s">
        <v>122</v>
      </c>
      <c r="G3114" s="153">
        <v>1</v>
      </c>
      <c r="H3114" s="133" t="s">
        <v>39</v>
      </c>
      <c r="I3114" s="133"/>
      <c r="J3114" s="133" t="s">
        <v>2307</v>
      </c>
      <c r="K3114" s="133" t="s">
        <v>831</v>
      </c>
      <c r="L3114" s="167"/>
      <c r="M3114" s="169"/>
    </row>
    <row r="3115" spans="1:13" x14ac:dyDescent="0.55000000000000004">
      <c r="A3115" s="132" t="s">
        <v>2312</v>
      </c>
      <c r="B3115" s="133" t="s">
        <v>2659</v>
      </c>
      <c r="C3115" s="136" t="s">
        <v>121</v>
      </c>
      <c r="D3115" s="133" t="s">
        <v>3288</v>
      </c>
      <c r="E3115" s="138">
        <v>1</v>
      </c>
      <c r="F3115" s="153" t="s">
        <v>122</v>
      </c>
      <c r="G3115" s="153">
        <v>1</v>
      </c>
      <c r="H3115" s="133" t="s">
        <v>39</v>
      </c>
      <c r="I3115" s="133"/>
      <c r="J3115" s="133" t="s">
        <v>2311</v>
      </c>
      <c r="K3115" s="133" t="s">
        <v>831</v>
      </c>
      <c r="L3115" s="167"/>
      <c r="M3115" s="169"/>
    </row>
    <row r="3116" spans="1:13" x14ac:dyDescent="0.55000000000000004">
      <c r="A3116" s="132" t="s">
        <v>2312</v>
      </c>
      <c r="B3116" s="133" t="s">
        <v>153</v>
      </c>
      <c r="C3116" s="136" t="s">
        <v>127</v>
      </c>
      <c r="D3116" s="133" t="s">
        <v>2994</v>
      </c>
      <c r="E3116" s="138">
        <v>0.75600000000000012</v>
      </c>
      <c r="F3116" s="153" t="s">
        <v>130</v>
      </c>
      <c r="G3116" s="153">
        <v>1</v>
      </c>
      <c r="H3116" s="133" t="s">
        <v>39</v>
      </c>
      <c r="I3116" s="133"/>
      <c r="J3116" s="133" t="s">
        <v>2311</v>
      </c>
      <c r="K3116" s="133" t="s">
        <v>831</v>
      </c>
      <c r="L3116" s="167"/>
      <c r="M3116" s="169"/>
    </row>
    <row r="3117" spans="1:13" x14ac:dyDescent="0.55000000000000004">
      <c r="A3117" s="132" t="s">
        <v>2312</v>
      </c>
      <c r="B3117" s="133" t="s">
        <v>154</v>
      </c>
      <c r="C3117" s="136" t="s">
        <v>132</v>
      </c>
      <c r="D3117" s="133" t="s">
        <v>3288</v>
      </c>
      <c r="E3117" s="138">
        <v>2000</v>
      </c>
      <c r="F3117" s="153" t="s">
        <v>122</v>
      </c>
      <c r="G3117" s="153">
        <v>1</v>
      </c>
      <c r="H3117" s="133" t="s">
        <v>39</v>
      </c>
      <c r="I3117" s="133"/>
      <c r="J3117" s="133" t="s">
        <v>2311</v>
      </c>
      <c r="K3117" s="133" t="s">
        <v>831</v>
      </c>
      <c r="L3117" s="167"/>
      <c r="M3117" s="169"/>
    </row>
    <row r="3118" spans="1:13" x14ac:dyDescent="0.55000000000000004">
      <c r="A3118" s="132" t="s">
        <v>2312</v>
      </c>
      <c r="B3118" s="133" t="s">
        <v>2654</v>
      </c>
      <c r="C3118" s="133" t="s">
        <v>124</v>
      </c>
      <c r="D3118" s="133" t="s">
        <v>3288</v>
      </c>
      <c r="E3118" s="138">
        <v>2100</v>
      </c>
      <c r="F3118" s="153" t="s">
        <v>122</v>
      </c>
      <c r="G3118" s="153">
        <v>1</v>
      </c>
      <c r="H3118" s="133" t="s">
        <v>39</v>
      </c>
      <c r="I3118" s="133"/>
      <c r="J3118" s="133" t="s">
        <v>2311</v>
      </c>
      <c r="K3118" s="133" t="s">
        <v>831</v>
      </c>
      <c r="L3118" s="167"/>
      <c r="M3118" s="169"/>
    </row>
    <row r="3119" spans="1:13" x14ac:dyDescent="0.55000000000000004">
      <c r="A3119" s="132" t="s">
        <v>2312</v>
      </c>
      <c r="B3119" s="133" t="s">
        <v>2660</v>
      </c>
      <c r="C3119" s="136" t="s">
        <v>125</v>
      </c>
      <c r="D3119" s="133" t="s">
        <v>3288</v>
      </c>
      <c r="E3119" s="138">
        <v>1.3333333333333333</v>
      </c>
      <c r="F3119" s="153" t="s">
        <v>122</v>
      </c>
      <c r="G3119" s="153">
        <v>1</v>
      </c>
      <c r="H3119" s="133" t="s">
        <v>39</v>
      </c>
      <c r="I3119" s="133"/>
      <c r="J3119" s="133" t="s">
        <v>2311</v>
      </c>
      <c r="K3119" s="133" t="s">
        <v>831</v>
      </c>
      <c r="L3119" s="167"/>
      <c r="M3119" s="169"/>
    </row>
    <row r="3120" spans="1:13" x14ac:dyDescent="0.55000000000000004">
      <c r="A3120" s="132" t="s">
        <v>2312</v>
      </c>
      <c r="B3120" s="133" t="s">
        <v>2626</v>
      </c>
      <c r="C3120" s="136" t="s">
        <v>3269</v>
      </c>
      <c r="D3120" s="133" t="s">
        <v>3288</v>
      </c>
      <c r="E3120" s="138">
        <v>0.33333333333333326</v>
      </c>
      <c r="F3120" s="153" t="s">
        <v>122</v>
      </c>
      <c r="G3120" s="153">
        <v>1</v>
      </c>
      <c r="H3120" s="133" t="s">
        <v>39</v>
      </c>
      <c r="I3120" s="133"/>
      <c r="J3120" s="133" t="s">
        <v>2311</v>
      </c>
      <c r="K3120" s="133" t="s">
        <v>831</v>
      </c>
      <c r="L3120" s="167"/>
      <c r="M3120" s="169"/>
    </row>
    <row r="3121" spans="1:13" x14ac:dyDescent="0.55000000000000004">
      <c r="A3121" s="132" t="s">
        <v>2315</v>
      </c>
      <c r="B3121" s="133" t="s">
        <v>2661</v>
      </c>
      <c r="C3121" s="136" t="s">
        <v>121</v>
      </c>
      <c r="D3121" s="133" t="s">
        <v>3288</v>
      </c>
      <c r="E3121" s="138">
        <v>1</v>
      </c>
      <c r="F3121" s="153" t="s">
        <v>122</v>
      </c>
      <c r="G3121" s="153">
        <v>1</v>
      </c>
      <c r="H3121" s="133" t="s">
        <v>39</v>
      </c>
      <c r="I3121" s="133"/>
      <c r="J3121" s="133" t="s">
        <v>2314</v>
      </c>
      <c r="K3121" s="133" t="s">
        <v>831</v>
      </c>
      <c r="L3121" s="167"/>
      <c r="M3121" s="169"/>
    </row>
    <row r="3122" spans="1:13" x14ac:dyDescent="0.55000000000000004">
      <c r="A3122" s="132" t="s">
        <v>2315</v>
      </c>
      <c r="B3122" s="133" t="s">
        <v>153</v>
      </c>
      <c r="C3122" s="136" t="s">
        <v>127</v>
      </c>
      <c r="D3122" s="133" t="s">
        <v>2994</v>
      </c>
      <c r="E3122" s="138">
        <v>0.54700000000000004</v>
      </c>
      <c r="F3122" s="153" t="s">
        <v>130</v>
      </c>
      <c r="G3122" s="153">
        <v>1</v>
      </c>
      <c r="H3122" s="133" t="s">
        <v>39</v>
      </c>
      <c r="I3122" s="133"/>
      <c r="J3122" s="133" t="s">
        <v>2314</v>
      </c>
      <c r="K3122" s="133" t="s">
        <v>831</v>
      </c>
      <c r="L3122" s="167"/>
      <c r="M3122" s="169"/>
    </row>
    <row r="3123" spans="1:13" x14ac:dyDescent="0.55000000000000004">
      <c r="A3123" s="132" t="s">
        <v>2315</v>
      </c>
      <c r="B3123" s="133" t="s">
        <v>154</v>
      </c>
      <c r="C3123" s="136" t="s">
        <v>132</v>
      </c>
      <c r="D3123" s="133" t="s">
        <v>3288</v>
      </c>
      <c r="E3123" s="138">
        <v>2000</v>
      </c>
      <c r="F3123" s="153" t="s">
        <v>122</v>
      </c>
      <c r="G3123" s="153">
        <v>1</v>
      </c>
      <c r="H3123" s="133" t="s">
        <v>39</v>
      </c>
      <c r="I3123" s="133"/>
      <c r="J3123" s="133" t="s">
        <v>2314</v>
      </c>
      <c r="K3123" s="133" t="s">
        <v>831</v>
      </c>
      <c r="L3123" s="167"/>
      <c r="M3123" s="169"/>
    </row>
    <row r="3124" spans="1:13" x14ac:dyDescent="0.55000000000000004">
      <c r="A3124" s="132" t="s">
        <v>2315</v>
      </c>
      <c r="B3124" s="133" t="s">
        <v>2654</v>
      </c>
      <c r="C3124" s="133" t="s">
        <v>124</v>
      </c>
      <c r="D3124" s="133" t="s">
        <v>3288</v>
      </c>
      <c r="E3124" s="138">
        <v>2100</v>
      </c>
      <c r="F3124" s="153" t="s">
        <v>122</v>
      </c>
      <c r="G3124" s="153">
        <v>1</v>
      </c>
      <c r="H3124" s="133" t="s">
        <v>39</v>
      </c>
      <c r="I3124" s="133"/>
      <c r="J3124" s="133" t="s">
        <v>2314</v>
      </c>
      <c r="K3124" s="133" t="s">
        <v>831</v>
      </c>
      <c r="L3124" s="167"/>
      <c r="M3124" s="169"/>
    </row>
    <row r="3125" spans="1:13" x14ac:dyDescent="0.55000000000000004">
      <c r="A3125" s="132" t="s">
        <v>2315</v>
      </c>
      <c r="B3125" s="133" t="s">
        <v>2662</v>
      </c>
      <c r="C3125" s="136" t="s">
        <v>125</v>
      </c>
      <c r="D3125" s="133" t="s">
        <v>3288</v>
      </c>
      <c r="E3125" s="138">
        <v>1.3333333333333333</v>
      </c>
      <c r="F3125" s="153" t="s">
        <v>122</v>
      </c>
      <c r="G3125" s="153">
        <v>1</v>
      </c>
      <c r="H3125" s="133" t="s">
        <v>39</v>
      </c>
      <c r="I3125" s="133"/>
      <c r="J3125" s="133" t="s">
        <v>2314</v>
      </c>
      <c r="K3125" s="133" t="s">
        <v>831</v>
      </c>
      <c r="L3125" s="167"/>
      <c r="M3125" s="169"/>
    </row>
    <row r="3126" spans="1:13" x14ac:dyDescent="0.55000000000000004">
      <c r="A3126" s="132" t="s">
        <v>2315</v>
      </c>
      <c r="B3126" s="133" t="s">
        <v>2626</v>
      </c>
      <c r="C3126" s="136" t="s">
        <v>3269</v>
      </c>
      <c r="D3126" s="133" t="s">
        <v>3288</v>
      </c>
      <c r="E3126" s="138">
        <v>0.33333333333333326</v>
      </c>
      <c r="F3126" s="153" t="s">
        <v>122</v>
      </c>
      <c r="G3126" s="153">
        <v>1</v>
      </c>
      <c r="H3126" s="133" t="s">
        <v>39</v>
      </c>
      <c r="I3126" s="133"/>
      <c r="J3126" s="133" t="s">
        <v>2314</v>
      </c>
      <c r="K3126" s="133" t="s">
        <v>831</v>
      </c>
      <c r="L3126" s="167"/>
      <c r="M3126" s="169"/>
    </row>
    <row r="3127" spans="1:13" x14ac:dyDescent="0.55000000000000004">
      <c r="A3127" s="132" t="s">
        <v>2318</v>
      </c>
      <c r="B3127" s="133" t="s">
        <v>2663</v>
      </c>
      <c r="C3127" s="136" t="s">
        <v>121</v>
      </c>
      <c r="D3127" s="133" t="s">
        <v>3288</v>
      </c>
      <c r="E3127" s="138">
        <v>1</v>
      </c>
      <c r="F3127" s="153" t="s">
        <v>122</v>
      </c>
      <c r="G3127" s="153">
        <v>1</v>
      </c>
      <c r="H3127" s="133" t="s">
        <v>39</v>
      </c>
      <c r="I3127" s="133"/>
      <c r="J3127" s="133" t="s">
        <v>2317</v>
      </c>
      <c r="K3127" s="133" t="s">
        <v>831</v>
      </c>
      <c r="L3127" s="167"/>
      <c r="M3127" s="169"/>
    </row>
    <row r="3128" spans="1:13" x14ac:dyDescent="0.55000000000000004">
      <c r="A3128" s="132" t="s">
        <v>2318</v>
      </c>
      <c r="B3128" s="133" t="s">
        <v>153</v>
      </c>
      <c r="C3128" s="136" t="s">
        <v>127</v>
      </c>
      <c r="D3128" s="133" t="s">
        <v>2994</v>
      </c>
      <c r="E3128" s="138">
        <v>0.54700000000000004</v>
      </c>
      <c r="F3128" s="153" t="s">
        <v>130</v>
      </c>
      <c r="G3128" s="153">
        <v>1</v>
      </c>
      <c r="H3128" s="133" t="s">
        <v>39</v>
      </c>
      <c r="I3128" s="133"/>
      <c r="J3128" s="133" t="s">
        <v>2317</v>
      </c>
      <c r="K3128" s="133" t="s">
        <v>831</v>
      </c>
      <c r="L3128" s="167"/>
      <c r="M3128" s="169"/>
    </row>
    <row r="3129" spans="1:13" x14ac:dyDescent="0.55000000000000004">
      <c r="A3129" s="132" t="s">
        <v>2318</v>
      </c>
      <c r="B3129" s="133" t="s">
        <v>154</v>
      </c>
      <c r="C3129" s="136" t="s">
        <v>132</v>
      </c>
      <c r="D3129" s="133" t="s">
        <v>3288</v>
      </c>
      <c r="E3129" s="138">
        <v>2000</v>
      </c>
      <c r="F3129" s="153" t="s">
        <v>122</v>
      </c>
      <c r="G3129" s="153">
        <v>1</v>
      </c>
      <c r="H3129" s="133" t="s">
        <v>39</v>
      </c>
      <c r="I3129" s="133"/>
      <c r="J3129" s="133" t="s">
        <v>2317</v>
      </c>
      <c r="K3129" s="133" t="s">
        <v>831</v>
      </c>
      <c r="L3129" s="167"/>
      <c r="M3129" s="169"/>
    </row>
    <row r="3130" spans="1:13" x14ac:dyDescent="0.55000000000000004">
      <c r="A3130" s="132" t="s">
        <v>2318</v>
      </c>
      <c r="B3130" s="133" t="s">
        <v>2654</v>
      </c>
      <c r="C3130" s="133" t="s">
        <v>124</v>
      </c>
      <c r="D3130" s="133" t="s">
        <v>3288</v>
      </c>
      <c r="E3130" s="138">
        <v>2100</v>
      </c>
      <c r="F3130" s="153" t="s">
        <v>122</v>
      </c>
      <c r="G3130" s="153">
        <v>1</v>
      </c>
      <c r="H3130" s="133" t="s">
        <v>39</v>
      </c>
      <c r="I3130" s="133"/>
      <c r="J3130" s="133" t="s">
        <v>2317</v>
      </c>
      <c r="K3130" s="133" t="s">
        <v>831</v>
      </c>
      <c r="L3130" s="167"/>
      <c r="M3130" s="169"/>
    </row>
    <row r="3131" spans="1:13" x14ac:dyDescent="0.55000000000000004">
      <c r="A3131" s="132" t="s">
        <v>2318</v>
      </c>
      <c r="B3131" s="133" t="s">
        <v>2664</v>
      </c>
      <c r="C3131" s="136" t="s">
        <v>125</v>
      </c>
      <c r="D3131" s="133" t="s">
        <v>3288</v>
      </c>
      <c r="E3131" s="138">
        <v>1.3333333333333333</v>
      </c>
      <c r="F3131" s="153" t="s">
        <v>122</v>
      </c>
      <c r="G3131" s="153">
        <v>1</v>
      </c>
      <c r="H3131" s="133" t="s">
        <v>39</v>
      </c>
      <c r="I3131" s="133"/>
      <c r="J3131" s="133" t="s">
        <v>2317</v>
      </c>
      <c r="K3131" s="133" t="s">
        <v>831</v>
      </c>
      <c r="L3131" s="167"/>
      <c r="M3131" s="169"/>
    </row>
    <row r="3132" spans="1:13" x14ac:dyDescent="0.55000000000000004">
      <c r="A3132" s="132" t="s">
        <v>2318</v>
      </c>
      <c r="B3132" s="133" t="s">
        <v>2626</v>
      </c>
      <c r="C3132" s="136" t="s">
        <v>3269</v>
      </c>
      <c r="D3132" s="133" t="s">
        <v>3288</v>
      </c>
      <c r="E3132" s="138">
        <v>0.33333333333333326</v>
      </c>
      <c r="F3132" s="153" t="s">
        <v>122</v>
      </c>
      <c r="G3132" s="153">
        <v>1</v>
      </c>
      <c r="H3132" s="133" t="s">
        <v>39</v>
      </c>
      <c r="I3132" s="133"/>
      <c r="J3132" s="133" t="s">
        <v>2317</v>
      </c>
      <c r="K3132" s="133" t="s">
        <v>831</v>
      </c>
      <c r="L3132" s="167"/>
      <c r="M3132" s="169"/>
    </row>
    <row r="3133" spans="1:13" x14ac:dyDescent="0.55000000000000004">
      <c r="A3133" s="132" t="s">
        <v>2322</v>
      </c>
      <c r="B3133" s="133" t="s">
        <v>2665</v>
      </c>
      <c r="C3133" s="136" t="s">
        <v>121</v>
      </c>
      <c r="D3133" s="133" t="s">
        <v>3288</v>
      </c>
      <c r="E3133" s="138">
        <v>1</v>
      </c>
      <c r="F3133" s="153" t="s">
        <v>135</v>
      </c>
      <c r="G3133" s="153">
        <v>1</v>
      </c>
      <c r="H3133" s="133" t="s">
        <v>39</v>
      </c>
      <c r="I3133" s="133"/>
      <c r="J3133" s="133" t="s">
        <v>2321</v>
      </c>
      <c r="K3133" s="133" t="s">
        <v>831</v>
      </c>
      <c r="L3133" s="167"/>
      <c r="M3133" s="169"/>
    </row>
    <row r="3134" spans="1:13" x14ac:dyDescent="0.55000000000000004">
      <c r="A3134" s="132" t="s">
        <v>2322</v>
      </c>
      <c r="B3134" s="133" t="s">
        <v>2666</v>
      </c>
      <c r="C3134" s="136" t="s">
        <v>348</v>
      </c>
      <c r="D3134" s="133" t="s">
        <v>3288</v>
      </c>
      <c r="E3134" s="138">
        <v>1410</v>
      </c>
      <c r="F3134" s="153" t="s">
        <v>135</v>
      </c>
      <c r="G3134" s="153">
        <v>1</v>
      </c>
      <c r="H3134" s="133" t="s">
        <v>39</v>
      </c>
      <c r="I3134" s="133"/>
      <c r="J3134" s="133" t="s">
        <v>2321</v>
      </c>
      <c r="K3134" s="133" t="s">
        <v>831</v>
      </c>
      <c r="L3134" s="167"/>
      <c r="M3134" s="169"/>
    </row>
    <row r="3135" spans="1:13" x14ac:dyDescent="0.55000000000000004">
      <c r="A3135" s="132" t="s">
        <v>2322</v>
      </c>
      <c r="B3135" s="133" t="s">
        <v>153</v>
      </c>
      <c r="C3135" s="136" t="s">
        <v>127</v>
      </c>
      <c r="D3135" s="133" t="s">
        <v>2994</v>
      </c>
      <c r="E3135" s="138">
        <v>3260</v>
      </c>
      <c r="F3135" s="153" t="s">
        <v>167</v>
      </c>
      <c r="G3135" s="153">
        <v>1</v>
      </c>
      <c r="H3135" s="133" t="s">
        <v>39</v>
      </c>
      <c r="I3135" s="133"/>
      <c r="J3135" s="133" t="s">
        <v>2321</v>
      </c>
      <c r="K3135" s="133" t="s">
        <v>831</v>
      </c>
      <c r="L3135" s="167"/>
      <c r="M3135" s="169"/>
    </row>
    <row r="3136" spans="1:13" x14ac:dyDescent="0.55000000000000004">
      <c r="A3136" s="132" t="s">
        <v>2322</v>
      </c>
      <c r="B3136" s="133" t="s">
        <v>171</v>
      </c>
      <c r="C3136" s="136" t="s">
        <v>127</v>
      </c>
      <c r="D3136" s="133" t="s">
        <v>3288</v>
      </c>
      <c r="E3136" s="138">
        <v>0.01</v>
      </c>
      <c r="F3136" s="153" t="s">
        <v>135</v>
      </c>
      <c r="G3136" s="153">
        <v>1</v>
      </c>
      <c r="H3136" s="133" t="s">
        <v>39</v>
      </c>
      <c r="I3136" s="133"/>
      <c r="J3136" s="133" t="s">
        <v>2321</v>
      </c>
      <c r="K3136" s="133" t="s">
        <v>831</v>
      </c>
      <c r="L3136" s="167"/>
      <c r="M3136" s="169"/>
    </row>
    <row r="3137" spans="1:13" x14ac:dyDescent="0.55000000000000004">
      <c r="A3137" s="132" t="s">
        <v>2322</v>
      </c>
      <c r="B3137" s="133" t="s">
        <v>2667</v>
      </c>
      <c r="C3137" s="133" t="s">
        <v>156</v>
      </c>
      <c r="D3137" s="133" t="s">
        <v>3288</v>
      </c>
      <c r="E3137" s="138">
        <v>0.11</v>
      </c>
      <c r="F3137" s="153" t="s">
        <v>135</v>
      </c>
      <c r="G3137" s="153">
        <v>1</v>
      </c>
      <c r="H3137" s="133" t="s">
        <v>39</v>
      </c>
      <c r="I3137" s="133"/>
      <c r="J3137" s="133" t="s">
        <v>2321</v>
      </c>
      <c r="K3137" s="133" t="s">
        <v>831</v>
      </c>
      <c r="L3137" s="167"/>
      <c r="M3137" s="169"/>
    </row>
    <row r="3138" spans="1:13" x14ac:dyDescent="0.55000000000000004">
      <c r="A3138" s="132" t="s">
        <v>2322</v>
      </c>
      <c r="B3138" s="133" t="s">
        <v>181</v>
      </c>
      <c r="C3138" s="136" t="s">
        <v>3269</v>
      </c>
      <c r="D3138" s="133" t="s">
        <v>3288</v>
      </c>
      <c r="E3138" s="138">
        <v>0.16</v>
      </c>
      <c r="F3138" s="153" t="s">
        <v>135</v>
      </c>
      <c r="G3138" s="153">
        <v>1</v>
      </c>
      <c r="H3138" s="133" t="s">
        <v>39</v>
      </c>
      <c r="I3138" s="133"/>
      <c r="J3138" s="133" t="s">
        <v>2321</v>
      </c>
      <c r="K3138" s="133" t="s">
        <v>831</v>
      </c>
      <c r="L3138" s="167"/>
      <c r="M3138" s="169"/>
    </row>
    <row r="3139" spans="1:13" x14ac:dyDescent="0.55000000000000004">
      <c r="A3139" s="132" t="s">
        <v>2322</v>
      </c>
      <c r="B3139" s="133" t="s">
        <v>2668</v>
      </c>
      <c r="C3139" s="133" t="s">
        <v>156</v>
      </c>
      <c r="D3139" s="133" t="s">
        <v>3288</v>
      </c>
      <c r="E3139" s="138">
        <v>2.1000000000000001E-2</v>
      </c>
      <c r="F3139" s="153" t="s">
        <v>135</v>
      </c>
      <c r="G3139" s="153">
        <v>1</v>
      </c>
      <c r="H3139" s="133" t="s">
        <v>39</v>
      </c>
      <c r="I3139" s="133"/>
      <c r="J3139" s="133" t="s">
        <v>2321</v>
      </c>
      <c r="K3139" s="133" t="s">
        <v>831</v>
      </c>
      <c r="L3139" s="167"/>
      <c r="M3139" s="169"/>
    </row>
    <row r="3140" spans="1:13" x14ac:dyDescent="0.55000000000000004">
      <c r="A3140" s="132" t="s">
        <v>2326</v>
      </c>
      <c r="B3140" s="133" t="s">
        <v>2669</v>
      </c>
      <c r="C3140" s="136" t="s">
        <v>121</v>
      </c>
      <c r="D3140" s="133" t="s">
        <v>2682</v>
      </c>
      <c r="E3140" s="138">
        <v>1</v>
      </c>
      <c r="F3140" s="153">
        <v>1</v>
      </c>
      <c r="G3140" s="153">
        <v>1</v>
      </c>
      <c r="H3140" s="133" t="s">
        <v>39</v>
      </c>
      <c r="I3140" s="133"/>
      <c r="J3140" s="133" t="s">
        <v>2325</v>
      </c>
      <c r="K3140" s="133" t="s">
        <v>831</v>
      </c>
      <c r="L3140" s="167"/>
      <c r="M3140" s="169"/>
    </row>
    <row r="3141" spans="1:13" x14ac:dyDescent="0.55000000000000004">
      <c r="A3141" s="132" t="s">
        <v>2326</v>
      </c>
      <c r="B3141" s="133" t="s">
        <v>2670</v>
      </c>
      <c r="C3141" s="133" t="s">
        <v>156</v>
      </c>
      <c r="D3141" s="133" t="s">
        <v>3288</v>
      </c>
      <c r="E3141" s="138">
        <v>1</v>
      </c>
      <c r="F3141" s="153" t="s">
        <v>135</v>
      </c>
      <c r="G3141" s="153">
        <v>1</v>
      </c>
      <c r="H3141" s="133" t="s">
        <v>39</v>
      </c>
      <c r="I3141" s="133"/>
      <c r="J3141" s="133" t="s">
        <v>2325</v>
      </c>
      <c r="K3141" s="133" t="s">
        <v>831</v>
      </c>
      <c r="L3141" s="167"/>
      <c r="M3141" s="169"/>
    </row>
    <row r="3142" spans="1:13" x14ac:dyDescent="0.55000000000000004">
      <c r="A3142" s="132" t="s">
        <v>2326</v>
      </c>
      <c r="B3142" s="133" t="s">
        <v>2666</v>
      </c>
      <c r="C3142" s="136" t="s">
        <v>348</v>
      </c>
      <c r="D3142" s="133" t="s">
        <v>3288</v>
      </c>
      <c r="E3142" s="138">
        <v>1.5</v>
      </c>
      <c r="F3142" s="153" t="s">
        <v>135</v>
      </c>
      <c r="G3142" s="153">
        <v>1</v>
      </c>
      <c r="H3142" s="133" t="s">
        <v>39</v>
      </c>
      <c r="I3142" s="133"/>
      <c r="J3142" s="133" t="s">
        <v>2325</v>
      </c>
      <c r="K3142" s="133" t="s">
        <v>831</v>
      </c>
      <c r="L3142" s="167"/>
      <c r="M3142" s="169"/>
    </row>
    <row r="3143" spans="1:13" x14ac:dyDescent="0.55000000000000004">
      <c r="A3143" s="132" t="s">
        <v>2326</v>
      </c>
      <c r="B3143" s="133" t="s">
        <v>153</v>
      </c>
      <c r="C3143" s="136" t="s">
        <v>127</v>
      </c>
      <c r="D3143" s="133" t="s">
        <v>2994</v>
      </c>
      <c r="E3143" s="138">
        <v>1.89</v>
      </c>
      <c r="F3143" s="153" t="s">
        <v>138</v>
      </c>
      <c r="G3143" s="153">
        <v>1</v>
      </c>
      <c r="H3143" s="133" t="s">
        <v>39</v>
      </c>
      <c r="I3143" s="133"/>
      <c r="J3143" s="133" t="s">
        <v>2325</v>
      </c>
      <c r="K3143" s="133" t="s">
        <v>831</v>
      </c>
      <c r="L3143" s="167"/>
      <c r="M3143" s="169"/>
    </row>
    <row r="3144" spans="1:13" x14ac:dyDescent="0.55000000000000004">
      <c r="A3144" s="132" t="s">
        <v>2326</v>
      </c>
      <c r="B3144" s="133" t="s">
        <v>2671</v>
      </c>
      <c r="C3144" s="133" t="s">
        <v>156</v>
      </c>
      <c r="D3144" s="133" t="s">
        <v>3288</v>
      </c>
      <c r="E3144" s="138">
        <v>0.5</v>
      </c>
      <c r="F3144" s="153" t="s">
        <v>135</v>
      </c>
      <c r="G3144" s="153">
        <v>1</v>
      </c>
      <c r="H3144" s="133" t="s">
        <v>39</v>
      </c>
      <c r="I3144" s="133"/>
      <c r="J3144" s="133" t="s">
        <v>2325</v>
      </c>
      <c r="K3144" s="133" t="s">
        <v>831</v>
      </c>
      <c r="L3144" s="167"/>
      <c r="M3144" s="169"/>
    </row>
    <row r="3145" spans="1:13" x14ac:dyDescent="0.55000000000000004">
      <c r="A3145" s="132" t="s">
        <v>2329</v>
      </c>
      <c r="B3145" s="133" t="s">
        <v>948</v>
      </c>
      <c r="C3145" s="136" t="s">
        <v>121</v>
      </c>
      <c r="D3145" s="133" t="s">
        <v>3288</v>
      </c>
      <c r="E3145" s="138">
        <v>1</v>
      </c>
      <c r="F3145" s="154" t="s">
        <v>135</v>
      </c>
      <c r="G3145" s="153">
        <v>1</v>
      </c>
      <c r="H3145" s="133" t="s">
        <v>39</v>
      </c>
      <c r="I3145" s="133"/>
      <c r="J3145" s="133" t="s">
        <v>2328</v>
      </c>
      <c r="K3145" s="133" t="s">
        <v>831</v>
      </c>
      <c r="L3145" s="167"/>
      <c r="M3145" s="169"/>
    </row>
    <row r="3146" spans="1:13" x14ac:dyDescent="0.55000000000000004">
      <c r="A3146" s="132" t="s">
        <v>2329</v>
      </c>
      <c r="B3146" s="133" t="s">
        <v>2665</v>
      </c>
      <c r="C3146" s="136" t="s">
        <v>348</v>
      </c>
      <c r="D3146" s="133" t="s">
        <v>3288</v>
      </c>
      <c r="E3146" s="138">
        <v>1.23</v>
      </c>
      <c r="F3146" s="154" t="s">
        <v>135</v>
      </c>
      <c r="G3146" s="153">
        <v>1</v>
      </c>
      <c r="H3146" s="133" t="s">
        <v>39</v>
      </c>
      <c r="I3146" s="133"/>
      <c r="J3146" s="133" t="s">
        <v>2328</v>
      </c>
      <c r="K3146" s="133" t="s">
        <v>831</v>
      </c>
      <c r="L3146" s="167"/>
      <c r="M3146" s="169"/>
    </row>
    <row r="3147" spans="1:13" x14ac:dyDescent="0.55000000000000004">
      <c r="A3147" s="132" t="s">
        <v>2329</v>
      </c>
      <c r="B3147" s="133" t="s">
        <v>2607</v>
      </c>
      <c r="C3147" s="136" t="s">
        <v>348</v>
      </c>
      <c r="D3147" s="133" t="s">
        <v>3288</v>
      </c>
      <c r="E3147" s="138">
        <v>5.0799999999999998E-2</v>
      </c>
      <c r="F3147" s="154" t="s">
        <v>135</v>
      </c>
      <c r="G3147" s="153">
        <v>1</v>
      </c>
      <c r="H3147" s="133" t="s">
        <v>39</v>
      </c>
      <c r="I3147" s="133"/>
      <c r="J3147" s="133" t="s">
        <v>2328</v>
      </c>
      <c r="K3147" s="133" t="s">
        <v>831</v>
      </c>
      <c r="L3147" s="167"/>
      <c r="M3147" s="169"/>
    </row>
    <row r="3148" spans="1:13" x14ac:dyDescent="0.55000000000000004">
      <c r="A3148" s="132" t="s">
        <v>2329</v>
      </c>
      <c r="B3148" s="133" t="s">
        <v>148</v>
      </c>
      <c r="C3148" s="136" t="s">
        <v>348</v>
      </c>
      <c r="D3148" s="133" t="s">
        <v>3288</v>
      </c>
      <c r="E3148" s="138">
        <v>8.8999999999999995E-4</v>
      </c>
      <c r="F3148" s="154" t="s">
        <v>135</v>
      </c>
      <c r="G3148" s="153">
        <v>1</v>
      </c>
      <c r="H3148" s="133" t="s">
        <v>39</v>
      </c>
      <c r="I3148" s="133"/>
      <c r="J3148" s="133" t="s">
        <v>2328</v>
      </c>
      <c r="K3148" s="133" t="s">
        <v>831</v>
      </c>
      <c r="L3148" s="167"/>
      <c r="M3148" s="169"/>
    </row>
    <row r="3149" spans="1:13" x14ac:dyDescent="0.55000000000000004">
      <c r="A3149" s="132" t="s">
        <v>2329</v>
      </c>
      <c r="B3149" s="133" t="s">
        <v>153</v>
      </c>
      <c r="C3149" s="136" t="s">
        <v>127</v>
      </c>
      <c r="D3149" s="133" t="s">
        <v>2994</v>
      </c>
      <c r="E3149" s="138">
        <v>0.41</v>
      </c>
      <c r="F3149" s="154" t="s">
        <v>138</v>
      </c>
      <c r="G3149" s="153">
        <v>1</v>
      </c>
      <c r="H3149" s="133" t="s">
        <v>39</v>
      </c>
      <c r="I3149" s="133"/>
      <c r="J3149" s="133" t="s">
        <v>2328</v>
      </c>
      <c r="K3149" s="133" t="s">
        <v>831</v>
      </c>
      <c r="L3149" s="167"/>
      <c r="M3149" s="169"/>
    </row>
    <row r="3150" spans="1:13" x14ac:dyDescent="0.55000000000000004">
      <c r="A3150" s="132" t="s">
        <v>2329</v>
      </c>
      <c r="B3150" s="133" t="s">
        <v>2672</v>
      </c>
      <c r="C3150" s="136" t="s">
        <v>127</v>
      </c>
      <c r="D3150" s="133" t="s">
        <v>2994</v>
      </c>
      <c r="E3150" s="138">
        <v>1.1100000000000001</v>
      </c>
      <c r="F3150" s="154" t="s">
        <v>138</v>
      </c>
      <c r="G3150" s="153">
        <v>1</v>
      </c>
      <c r="H3150" s="133" t="s">
        <v>39</v>
      </c>
      <c r="I3150" s="133"/>
      <c r="J3150" s="133" t="s">
        <v>2328</v>
      </c>
      <c r="K3150" s="133" t="s">
        <v>831</v>
      </c>
      <c r="L3150" s="167"/>
      <c r="M3150" s="169"/>
    </row>
    <row r="3151" spans="1:13" x14ac:dyDescent="0.55000000000000004">
      <c r="A3151" s="132" t="s">
        <v>2332</v>
      </c>
      <c r="B3151" s="133" t="s">
        <v>2673</v>
      </c>
      <c r="C3151" s="136" t="s">
        <v>121</v>
      </c>
      <c r="D3151" s="133" t="s">
        <v>2682</v>
      </c>
      <c r="E3151" s="138">
        <v>1</v>
      </c>
      <c r="F3151" s="154">
        <v>1</v>
      </c>
      <c r="G3151" s="153">
        <v>1</v>
      </c>
      <c r="H3151" s="133" t="s">
        <v>39</v>
      </c>
      <c r="I3151" s="133"/>
      <c r="J3151" s="133" t="s">
        <v>2331</v>
      </c>
      <c r="K3151" s="133" t="s">
        <v>831</v>
      </c>
      <c r="L3151" s="167"/>
      <c r="M3151" s="169"/>
    </row>
    <row r="3152" spans="1:13" x14ac:dyDescent="0.55000000000000004">
      <c r="A3152" s="132" t="s">
        <v>2332</v>
      </c>
      <c r="B3152" s="133" t="s">
        <v>2666</v>
      </c>
      <c r="C3152" s="136" t="s">
        <v>348</v>
      </c>
      <c r="D3152" s="133" t="s">
        <v>3288</v>
      </c>
      <c r="E3152" s="138">
        <v>1</v>
      </c>
      <c r="F3152" s="154" t="s">
        <v>135</v>
      </c>
      <c r="G3152" s="153">
        <v>1</v>
      </c>
      <c r="H3152" s="133" t="s">
        <v>39</v>
      </c>
      <c r="I3152" s="133"/>
      <c r="J3152" s="133" t="s">
        <v>2331</v>
      </c>
      <c r="K3152" s="133" t="s">
        <v>831</v>
      </c>
      <c r="L3152" s="167"/>
      <c r="M3152" s="169"/>
    </row>
    <row r="3153" spans="1:13" x14ac:dyDescent="0.55000000000000004">
      <c r="A3153" s="132" t="s">
        <v>2332</v>
      </c>
      <c r="B3153" s="133" t="s">
        <v>160</v>
      </c>
      <c r="C3153" s="133" t="s">
        <v>124</v>
      </c>
      <c r="D3153" s="133" t="s">
        <v>3288</v>
      </c>
      <c r="E3153" s="138">
        <v>1.9191</v>
      </c>
      <c r="F3153" s="154" t="s">
        <v>3286</v>
      </c>
      <c r="G3153" s="153">
        <v>1</v>
      </c>
      <c r="H3153" s="133" t="s">
        <v>39</v>
      </c>
      <c r="I3153" s="133"/>
      <c r="J3153" s="133" t="s">
        <v>2331</v>
      </c>
      <c r="K3153" s="133" t="s">
        <v>831</v>
      </c>
      <c r="L3153" s="167"/>
      <c r="M3153" s="169"/>
    </row>
    <row r="3154" spans="1:13" x14ac:dyDescent="0.55000000000000004">
      <c r="A3154" s="132" t="s">
        <v>2332</v>
      </c>
      <c r="B3154" s="133" t="s">
        <v>153</v>
      </c>
      <c r="C3154" s="133" t="s">
        <v>156</v>
      </c>
      <c r="D3154" s="133" t="s">
        <v>2994</v>
      </c>
      <c r="E3154" s="138">
        <v>4.8666666666666671</v>
      </c>
      <c r="F3154" s="154" t="s">
        <v>138</v>
      </c>
      <c r="G3154" s="153">
        <v>1</v>
      </c>
      <c r="H3154" s="133" t="s">
        <v>39</v>
      </c>
      <c r="I3154" s="133"/>
      <c r="J3154" s="133" t="s">
        <v>2331</v>
      </c>
      <c r="K3154" s="133" t="s">
        <v>831</v>
      </c>
      <c r="L3154" s="167"/>
      <c r="M3154" s="169"/>
    </row>
    <row r="3155" spans="1:13" x14ac:dyDescent="0.55000000000000004">
      <c r="A3155" s="132" t="s">
        <v>2332</v>
      </c>
      <c r="B3155" s="133" t="s">
        <v>188</v>
      </c>
      <c r="C3155" s="133" t="s">
        <v>156</v>
      </c>
      <c r="D3155" s="133" t="s">
        <v>2994</v>
      </c>
      <c r="E3155" s="138">
        <v>14.366666666666665</v>
      </c>
      <c r="F3155" s="154" t="s">
        <v>138</v>
      </c>
      <c r="G3155" s="153">
        <v>1</v>
      </c>
      <c r="H3155" s="133" t="s">
        <v>39</v>
      </c>
      <c r="I3155" s="133"/>
      <c r="J3155" s="133" t="s">
        <v>2331</v>
      </c>
      <c r="K3155" s="133" t="s">
        <v>831</v>
      </c>
      <c r="L3155" s="167"/>
      <c r="M3155" s="169"/>
    </row>
    <row r="3156" spans="1:13" x14ac:dyDescent="0.55000000000000004">
      <c r="A3156" s="132" t="s">
        <v>2335</v>
      </c>
      <c r="B3156" s="133" t="s">
        <v>2674</v>
      </c>
      <c r="C3156" s="136" t="s">
        <v>121</v>
      </c>
      <c r="D3156" s="133" t="s">
        <v>2682</v>
      </c>
      <c r="E3156" s="138">
        <v>1</v>
      </c>
      <c r="F3156" s="154">
        <v>1</v>
      </c>
      <c r="G3156" s="153">
        <v>1</v>
      </c>
      <c r="H3156" s="133" t="s">
        <v>39</v>
      </c>
      <c r="I3156" s="133"/>
      <c r="J3156" s="133" t="s">
        <v>2334</v>
      </c>
      <c r="K3156" s="133" t="s">
        <v>831</v>
      </c>
      <c r="L3156" s="167"/>
      <c r="M3156" s="169"/>
    </row>
    <row r="3157" spans="1:13" x14ac:dyDescent="0.55000000000000004">
      <c r="A3157" s="132" t="s">
        <v>2335</v>
      </c>
      <c r="B3157" s="133" t="s">
        <v>2666</v>
      </c>
      <c r="C3157" s="136" t="s">
        <v>348</v>
      </c>
      <c r="D3157" s="133" t="s">
        <v>3288</v>
      </c>
      <c r="E3157" s="138">
        <v>1</v>
      </c>
      <c r="F3157" s="154" t="s">
        <v>135</v>
      </c>
      <c r="G3157" s="153">
        <v>1</v>
      </c>
      <c r="H3157" s="133" t="s">
        <v>39</v>
      </c>
      <c r="I3157" s="133"/>
      <c r="J3157" s="133" t="s">
        <v>2334</v>
      </c>
      <c r="K3157" s="133" t="s">
        <v>831</v>
      </c>
      <c r="L3157" s="167"/>
      <c r="M3157" s="169"/>
    </row>
    <row r="3158" spans="1:13" x14ac:dyDescent="0.55000000000000004">
      <c r="A3158" s="132" t="s">
        <v>2335</v>
      </c>
      <c r="B3158" s="133" t="s">
        <v>160</v>
      </c>
      <c r="C3158" s="133" t="s">
        <v>124</v>
      </c>
      <c r="D3158" s="133" t="s">
        <v>3288</v>
      </c>
      <c r="E3158" s="138">
        <v>1716.2</v>
      </c>
      <c r="F3158" s="154" t="s">
        <v>3286</v>
      </c>
      <c r="G3158" s="153">
        <v>1</v>
      </c>
      <c r="H3158" s="133" t="s">
        <v>39</v>
      </c>
      <c r="I3158" s="133"/>
      <c r="J3158" s="133" t="s">
        <v>2334</v>
      </c>
      <c r="K3158" s="133" t="s">
        <v>831</v>
      </c>
      <c r="L3158" s="167"/>
      <c r="M3158" s="169"/>
    </row>
    <row r="3159" spans="1:13" x14ac:dyDescent="0.55000000000000004">
      <c r="A3159" s="132" t="s">
        <v>2335</v>
      </c>
      <c r="B3159" s="133" t="s">
        <v>153</v>
      </c>
      <c r="C3159" s="133" t="s">
        <v>156</v>
      </c>
      <c r="D3159" s="133" t="s">
        <v>2994</v>
      </c>
      <c r="E3159" s="138">
        <v>4.8666666666666671</v>
      </c>
      <c r="F3159" s="154" t="s">
        <v>138</v>
      </c>
      <c r="G3159" s="153">
        <v>1</v>
      </c>
      <c r="H3159" s="133" t="s">
        <v>39</v>
      </c>
      <c r="I3159" s="133"/>
      <c r="J3159" s="133" t="s">
        <v>2334</v>
      </c>
      <c r="K3159" s="133" t="s">
        <v>831</v>
      </c>
      <c r="L3159" s="167"/>
      <c r="M3159" s="169"/>
    </row>
    <row r="3160" spans="1:13" x14ac:dyDescent="0.55000000000000004">
      <c r="A3160" s="132" t="s">
        <v>2335</v>
      </c>
      <c r="B3160" s="133" t="s">
        <v>188</v>
      </c>
      <c r="C3160" s="133" t="s">
        <v>156</v>
      </c>
      <c r="D3160" s="133" t="s">
        <v>2994</v>
      </c>
      <c r="E3160" s="138">
        <v>14.366666666666665</v>
      </c>
      <c r="F3160" s="154" t="s">
        <v>138</v>
      </c>
      <c r="G3160" s="153">
        <v>1</v>
      </c>
      <c r="H3160" s="133" t="s">
        <v>39</v>
      </c>
      <c r="I3160" s="133"/>
      <c r="J3160" s="133" t="s">
        <v>2334</v>
      </c>
      <c r="K3160" s="133" t="s">
        <v>831</v>
      </c>
      <c r="L3160" s="167"/>
      <c r="M3160" s="169"/>
    </row>
    <row r="3161" spans="1:13" x14ac:dyDescent="0.55000000000000004">
      <c r="A3161" s="132" t="s">
        <v>2338</v>
      </c>
      <c r="B3161" s="133" t="s">
        <v>2675</v>
      </c>
      <c r="C3161" s="136" t="s">
        <v>121</v>
      </c>
      <c r="D3161" s="133" t="s">
        <v>2682</v>
      </c>
      <c r="E3161" s="138">
        <v>1</v>
      </c>
      <c r="F3161" s="154">
        <v>1</v>
      </c>
      <c r="G3161" s="153">
        <v>1</v>
      </c>
      <c r="H3161" s="133" t="s">
        <v>39</v>
      </c>
      <c r="I3161" s="133"/>
      <c r="J3161" s="133" t="s">
        <v>2337</v>
      </c>
      <c r="K3161" s="133" t="s">
        <v>831</v>
      </c>
      <c r="L3161" s="167"/>
      <c r="M3161" s="169"/>
    </row>
    <row r="3162" spans="1:13" x14ac:dyDescent="0.55000000000000004">
      <c r="A3162" s="132" t="s">
        <v>2338</v>
      </c>
      <c r="B3162" s="133" t="s">
        <v>2666</v>
      </c>
      <c r="C3162" s="136" t="s">
        <v>348</v>
      </c>
      <c r="D3162" s="133" t="s">
        <v>3288</v>
      </c>
      <c r="E3162" s="138">
        <v>1</v>
      </c>
      <c r="F3162" s="154" t="s">
        <v>135</v>
      </c>
      <c r="G3162" s="153">
        <v>1</v>
      </c>
      <c r="H3162" s="133" t="s">
        <v>39</v>
      </c>
      <c r="I3162" s="133"/>
      <c r="J3162" s="133" t="s">
        <v>2337</v>
      </c>
      <c r="K3162" s="133" t="s">
        <v>831</v>
      </c>
      <c r="L3162" s="167"/>
      <c r="M3162" s="169"/>
    </row>
    <row r="3163" spans="1:13" x14ac:dyDescent="0.55000000000000004">
      <c r="A3163" s="132" t="s">
        <v>2338</v>
      </c>
      <c r="B3163" s="133" t="s">
        <v>160</v>
      </c>
      <c r="C3163" s="133" t="s">
        <v>124</v>
      </c>
      <c r="D3163" s="133" t="s">
        <v>3288</v>
      </c>
      <c r="E3163" s="138">
        <v>1.7770999999999999</v>
      </c>
      <c r="F3163" s="154" t="s">
        <v>3286</v>
      </c>
      <c r="G3163" s="153">
        <v>1</v>
      </c>
      <c r="H3163" s="133" t="s">
        <v>39</v>
      </c>
      <c r="I3163" s="133"/>
      <c r="J3163" s="133" t="s">
        <v>2337</v>
      </c>
      <c r="K3163" s="133" t="s">
        <v>831</v>
      </c>
      <c r="L3163" s="167"/>
      <c r="M3163" s="169"/>
    </row>
    <row r="3164" spans="1:13" x14ac:dyDescent="0.55000000000000004">
      <c r="A3164" s="132" t="s">
        <v>2338</v>
      </c>
      <c r="B3164" s="133" t="s">
        <v>153</v>
      </c>
      <c r="C3164" s="133" t="s">
        <v>156</v>
      </c>
      <c r="D3164" s="133" t="s">
        <v>2994</v>
      </c>
      <c r="E3164" s="138">
        <v>5.9300000000000006</v>
      </c>
      <c r="F3164" s="154" t="s">
        <v>138</v>
      </c>
      <c r="G3164" s="153">
        <v>1</v>
      </c>
      <c r="H3164" s="133" t="s">
        <v>39</v>
      </c>
      <c r="I3164" s="133"/>
      <c r="J3164" s="133" t="s">
        <v>2337</v>
      </c>
      <c r="K3164" s="133" t="s">
        <v>831</v>
      </c>
      <c r="L3164" s="167"/>
      <c r="M3164" s="169"/>
    </row>
    <row r="3165" spans="1:13" x14ac:dyDescent="0.55000000000000004">
      <c r="A3165" s="132" t="s">
        <v>2338</v>
      </c>
      <c r="B3165" s="133" t="s">
        <v>188</v>
      </c>
      <c r="C3165" s="133" t="s">
        <v>156</v>
      </c>
      <c r="D3165" s="133" t="s">
        <v>2994</v>
      </c>
      <c r="E3165" s="138">
        <v>15.379999999999999</v>
      </c>
      <c r="F3165" s="154" t="s">
        <v>138</v>
      </c>
      <c r="G3165" s="153">
        <v>1</v>
      </c>
      <c r="H3165" s="133" t="s">
        <v>39</v>
      </c>
      <c r="I3165" s="133"/>
      <c r="J3165" s="133" t="s">
        <v>2337</v>
      </c>
      <c r="K3165" s="133" t="s">
        <v>831</v>
      </c>
      <c r="L3165" s="167"/>
      <c r="M3165" s="169"/>
    </row>
    <row r="3166" spans="1:13" x14ac:dyDescent="0.55000000000000004">
      <c r="A3166" s="132" t="s">
        <v>2341</v>
      </c>
      <c r="B3166" s="133" t="s">
        <v>2676</v>
      </c>
      <c r="C3166" s="136" t="s">
        <v>121</v>
      </c>
      <c r="D3166" s="133" t="s">
        <v>2682</v>
      </c>
      <c r="E3166" s="138">
        <v>1</v>
      </c>
      <c r="F3166" s="154">
        <v>1</v>
      </c>
      <c r="G3166" s="153">
        <v>1</v>
      </c>
      <c r="H3166" s="133" t="s">
        <v>39</v>
      </c>
      <c r="I3166" s="133"/>
      <c r="J3166" s="133" t="s">
        <v>2340</v>
      </c>
      <c r="K3166" s="133" t="s">
        <v>831</v>
      </c>
      <c r="L3166" s="167"/>
      <c r="M3166" s="169"/>
    </row>
    <row r="3167" spans="1:13" x14ac:dyDescent="0.55000000000000004">
      <c r="A3167" s="132" t="s">
        <v>2341</v>
      </c>
      <c r="B3167" s="133" t="s">
        <v>2677</v>
      </c>
      <c r="C3167" s="136" t="s">
        <v>348</v>
      </c>
      <c r="D3167" s="133" t="s">
        <v>3288</v>
      </c>
      <c r="E3167" s="138">
        <v>1</v>
      </c>
      <c r="F3167" s="154" t="s">
        <v>135</v>
      </c>
      <c r="G3167" s="153">
        <v>1</v>
      </c>
      <c r="H3167" s="133" t="s">
        <v>39</v>
      </c>
      <c r="I3167" s="133"/>
      <c r="J3167" s="133" t="s">
        <v>2340</v>
      </c>
      <c r="K3167" s="133" t="s">
        <v>831</v>
      </c>
      <c r="L3167" s="167"/>
      <c r="M3167" s="169"/>
    </row>
    <row r="3168" spans="1:13" x14ac:dyDescent="0.55000000000000004">
      <c r="A3168" s="132" t="s">
        <v>2341</v>
      </c>
      <c r="B3168" s="133" t="s">
        <v>153</v>
      </c>
      <c r="C3168" s="136" t="s">
        <v>127</v>
      </c>
      <c r="D3168" s="133" t="s">
        <v>2994</v>
      </c>
      <c r="E3168" s="138">
        <v>66</v>
      </c>
      <c r="F3168" s="154" t="s">
        <v>130</v>
      </c>
      <c r="G3168" s="153">
        <v>1</v>
      </c>
      <c r="H3168" s="133" t="s">
        <v>39</v>
      </c>
      <c r="I3168" s="133"/>
      <c r="J3168" s="133" t="s">
        <v>2340</v>
      </c>
      <c r="K3168" s="133" t="s">
        <v>831</v>
      </c>
      <c r="L3168" s="167"/>
      <c r="M3168" s="169"/>
    </row>
    <row r="3169" spans="1:13" x14ac:dyDescent="0.55000000000000004">
      <c r="A3169" s="132" t="s">
        <v>2341</v>
      </c>
      <c r="B3169" s="133" t="s">
        <v>2678</v>
      </c>
      <c r="C3169" s="133" t="s">
        <v>156</v>
      </c>
      <c r="D3169" s="133" t="s">
        <v>3288</v>
      </c>
      <c r="E3169" s="138">
        <v>0.14121</v>
      </c>
      <c r="F3169" s="154" t="s">
        <v>135</v>
      </c>
      <c r="G3169" s="153">
        <v>1</v>
      </c>
      <c r="H3169" s="133" t="s">
        <v>39</v>
      </c>
      <c r="I3169" s="133"/>
      <c r="J3169" s="133" t="s">
        <v>2340</v>
      </c>
      <c r="K3169" s="133" t="s">
        <v>831</v>
      </c>
      <c r="L3169" s="167"/>
      <c r="M3169" s="169"/>
    </row>
    <row r="3170" spans="1:13" x14ac:dyDescent="0.55000000000000004">
      <c r="A3170" s="132" t="s">
        <v>2341</v>
      </c>
      <c r="B3170" s="133" t="s">
        <v>2679</v>
      </c>
      <c r="C3170" s="133" t="s">
        <v>156</v>
      </c>
      <c r="D3170" s="133" t="s">
        <v>3288</v>
      </c>
      <c r="E3170" s="138">
        <v>0.41799999999999998</v>
      </c>
      <c r="F3170" s="154" t="s">
        <v>135</v>
      </c>
      <c r="G3170" s="153">
        <v>1</v>
      </c>
      <c r="H3170" s="133" t="s">
        <v>39</v>
      </c>
      <c r="I3170" s="133"/>
      <c r="J3170" s="133" t="s">
        <v>2340</v>
      </c>
      <c r="K3170" s="133" t="s">
        <v>831</v>
      </c>
      <c r="L3170" s="167"/>
      <c r="M3170" s="169"/>
    </row>
    <row r="3171" spans="1:13" x14ac:dyDescent="0.55000000000000004">
      <c r="A3171" s="132" t="s">
        <v>2341</v>
      </c>
      <c r="B3171" s="133" t="s">
        <v>2680</v>
      </c>
      <c r="C3171" s="133" t="s">
        <v>156</v>
      </c>
      <c r="D3171" s="133" t="s">
        <v>3288</v>
      </c>
      <c r="E3171" s="138">
        <v>0.123</v>
      </c>
      <c r="F3171" s="154" t="s">
        <v>135</v>
      </c>
      <c r="G3171" s="153">
        <v>1</v>
      </c>
      <c r="H3171" s="133" t="s">
        <v>39</v>
      </c>
      <c r="I3171" s="133"/>
      <c r="J3171" s="133" t="s">
        <v>2340</v>
      </c>
      <c r="K3171" s="133" t="s">
        <v>831</v>
      </c>
      <c r="L3171" s="167"/>
      <c r="M3171" s="169"/>
    </row>
    <row r="3172" spans="1:13" x14ac:dyDescent="0.55000000000000004">
      <c r="A3172" s="132" t="s">
        <v>2341</v>
      </c>
      <c r="B3172" s="133" t="s">
        <v>2637</v>
      </c>
      <c r="C3172" s="133" t="s">
        <v>156</v>
      </c>
      <c r="D3172" s="133" t="s">
        <v>3288</v>
      </c>
      <c r="E3172" s="138">
        <v>0.311</v>
      </c>
      <c r="F3172" s="154" t="s">
        <v>135</v>
      </c>
      <c r="G3172" s="153">
        <v>1</v>
      </c>
      <c r="H3172" s="133" t="s">
        <v>39</v>
      </c>
      <c r="I3172" s="133"/>
      <c r="J3172" s="133" t="s">
        <v>2340</v>
      </c>
      <c r="K3172" s="133" t="s">
        <v>831</v>
      </c>
      <c r="L3172" s="167"/>
      <c r="M3172" s="169"/>
    </row>
    <row r="3173" spans="1:13" x14ac:dyDescent="0.55000000000000004">
      <c r="A3173" s="132" t="s">
        <v>2341</v>
      </c>
      <c r="B3173" s="133" t="s">
        <v>1168</v>
      </c>
      <c r="C3173" s="133" t="s">
        <v>156</v>
      </c>
      <c r="D3173" s="133" t="s">
        <v>3288</v>
      </c>
      <c r="E3173" s="138">
        <v>6.6499999999999997E-3</v>
      </c>
      <c r="F3173" s="154" t="s">
        <v>135</v>
      </c>
      <c r="G3173" s="153">
        <v>1</v>
      </c>
      <c r="H3173" s="133" t="s">
        <v>39</v>
      </c>
      <c r="I3173" s="133"/>
      <c r="J3173" s="133" t="s">
        <v>2340</v>
      </c>
      <c r="K3173" s="133" t="s">
        <v>831</v>
      </c>
      <c r="L3173" s="167"/>
      <c r="M3173" s="169"/>
    </row>
    <row r="3174" spans="1:13" x14ac:dyDescent="0.55000000000000004">
      <c r="A3174" s="132" t="s">
        <v>2345</v>
      </c>
      <c r="B3174" s="133" t="s">
        <v>2681</v>
      </c>
      <c r="C3174" s="133" t="s">
        <v>121</v>
      </c>
      <c r="D3174" s="133" t="s">
        <v>2682</v>
      </c>
      <c r="E3174" s="138">
        <v>1</v>
      </c>
      <c r="F3174" s="153">
        <v>1</v>
      </c>
      <c r="G3174" s="153">
        <v>1</v>
      </c>
      <c r="H3174" s="133" t="s">
        <v>39</v>
      </c>
      <c r="I3174" s="133"/>
      <c r="J3174" s="133" t="s">
        <v>2344</v>
      </c>
      <c r="K3174" s="133" t="s">
        <v>831</v>
      </c>
      <c r="L3174" s="167"/>
      <c r="M3174" s="169"/>
    </row>
    <row r="3175" spans="1:13" x14ac:dyDescent="0.55000000000000004">
      <c r="A3175" s="132" t="s">
        <v>2345</v>
      </c>
      <c r="B3175" s="133" t="s">
        <v>2683</v>
      </c>
      <c r="C3175" s="133" t="s">
        <v>348</v>
      </c>
      <c r="D3175" s="133" t="s">
        <v>3288</v>
      </c>
      <c r="E3175" s="138">
        <v>1</v>
      </c>
      <c r="F3175" s="153" t="s">
        <v>135</v>
      </c>
      <c r="G3175" s="153">
        <v>1</v>
      </c>
      <c r="H3175" s="133" t="s">
        <v>39</v>
      </c>
      <c r="I3175" s="133"/>
      <c r="J3175" s="133" t="s">
        <v>2344</v>
      </c>
      <c r="K3175" s="133" t="s">
        <v>831</v>
      </c>
      <c r="L3175" s="167"/>
      <c r="M3175" s="169"/>
    </row>
    <row r="3176" spans="1:13" x14ac:dyDescent="0.55000000000000004">
      <c r="A3176" s="132" t="s">
        <v>2345</v>
      </c>
      <c r="B3176" s="133" t="s">
        <v>153</v>
      </c>
      <c r="C3176" s="133" t="s">
        <v>127</v>
      </c>
      <c r="D3176" s="133" t="s">
        <v>2994</v>
      </c>
      <c r="E3176" s="138">
        <v>200</v>
      </c>
      <c r="F3176" s="153" t="s">
        <v>130</v>
      </c>
      <c r="G3176" s="153">
        <v>1</v>
      </c>
      <c r="H3176" s="133" t="s">
        <v>39</v>
      </c>
      <c r="I3176" s="133"/>
      <c r="J3176" s="133" t="s">
        <v>2344</v>
      </c>
      <c r="K3176" s="133" t="s">
        <v>831</v>
      </c>
      <c r="L3176" s="167"/>
      <c r="M3176" s="169"/>
    </row>
    <row r="3177" spans="1:13" x14ac:dyDescent="0.55000000000000004">
      <c r="A3177" s="132" t="s">
        <v>2345</v>
      </c>
      <c r="B3177" s="133" t="s">
        <v>2684</v>
      </c>
      <c r="C3177" s="133" t="s">
        <v>156</v>
      </c>
      <c r="D3177" s="133" t="s">
        <v>3288</v>
      </c>
      <c r="E3177" s="138">
        <v>153</v>
      </c>
      <c r="F3177" s="153" t="s">
        <v>122</v>
      </c>
      <c r="G3177" s="153">
        <v>1</v>
      </c>
      <c r="H3177" s="133" t="s">
        <v>39</v>
      </c>
      <c r="I3177" s="133"/>
      <c r="J3177" s="133" t="s">
        <v>2344</v>
      </c>
      <c r="K3177" s="133" t="s">
        <v>831</v>
      </c>
      <c r="L3177" s="167"/>
      <c r="M3177" s="169"/>
    </row>
    <row r="3178" spans="1:13" x14ac:dyDescent="0.55000000000000004">
      <c r="A3178" s="132" t="s">
        <v>2345</v>
      </c>
      <c r="B3178" s="133" t="s">
        <v>2685</v>
      </c>
      <c r="C3178" s="133" t="s">
        <v>156</v>
      </c>
      <c r="D3178" s="133" t="s">
        <v>3288</v>
      </c>
      <c r="E3178" s="138">
        <v>473</v>
      </c>
      <c r="F3178" s="153" t="s">
        <v>122</v>
      </c>
      <c r="G3178" s="153">
        <v>1</v>
      </c>
      <c r="H3178" s="133" t="s">
        <v>39</v>
      </c>
      <c r="I3178" s="133"/>
      <c r="J3178" s="133" t="s">
        <v>2344</v>
      </c>
      <c r="K3178" s="133" t="s">
        <v>831</v>
      </c>
      <c r="L3178" s="167"/>
      <c r="M3178" s="169"/>
    </row>
    <row r="3179" spans="1:13" x14ac:dyDescent="0.55000000000000004">
      <c r="A3179" s="132" t="s">
        <v>2345</v>
      </c>
      <c r="B3179" s="133" t="s">
        <v>2686</v>
      </c>
      <c r="C3179" s="133" t="s">
        <v>156</v>
      </c>
      <c r="D3179" s="133" t="s">
        <v>3288</v>
      </c>
      <c r="E3179" s="138">
        <v>158</v>
      </c>
      <c r="F3179" s="153" t="s">
        <v>122</v>
      </c>
      <c r="G3179" s="153">
        <v>1</v>
      </c>
      <c r="H3179" s="133" t="s">
        <v>39</v>
      </c>
      <c r="I3179" s="133"/>
      <c r="J3179" s="133" t="s">
        <v>2344</v>
      </c>
      <c r="K3179" s="133" t="s">
        <v>831</v>
      </c>
      <c r="L3179" s="167"/>
      <c r="M3179" s="169"/>
    </row>
    <row r="3180" spans="1:13" x14ac:dyDescent="0.55000000000000004">
      <c r="A3180" s="132" t="s">
        <v>2345</v>
      </c>
      <c r="B3180" s="133" t="s">
        <v>2687</v>
      </c>
      <c r="C3180" s="133" t="s">
        <v>163</v>
      </c>
      <c r="D3180" s="133" t="s">
        <v>3288</v>
      </c>
      <c r="E3180" s="138">
        <v>17</v>
      </c>
      <c r="F3180" s="153" t="s">
        <v>122</v>
      </c>
      <c r="G3180" s="153">
        <v>1</v>
      </c>
      <c r="H3180" s="133" t="s">
        <v>39</v>
      </c>
      <c r="I3180" s="133"/>
      <c r="J3180" s="133" t="s">
        <v>2344</v>
      </c>
      <c r="K3180" s="133" t="s">
        <v>831</v>
      </c>
      <c r="L3180" s="167"/>
      <c r="M3180" s="169"/>
    </row>
    <row r="3181" spans="1:13" x14ac:dyDescent="0.55000000000000004">
      <c r="A3181" s="132" t="s">
        <v>2345</v>
      </c>
      <c r="B3181" s="133" t="s">
        <v>2688</v>
      </c>
      <c r="C3181" s="133" t="s">
        <v>163</v>
      </c>
      <c r="D3181" s="133" t="s">
        <v>3288</v>
      </c>
      <c r="E3181" s="138">
        <v>70</v>
      </c>
      <c r="F3181" s="153" t="s">
        <v>122</v>
      </c>
      <c r="G3181" s="153">
        <v>1</v>
      </c>
      <c r="H3181" s="133" t="s">
        <v>39</v>
      </c>
      <c r="I3181" s="133"/>
      <c r="J3181" s="133" t="s">
        <v>2344</v>
      </c>
      <c r="K3181" s="133" t="s">
        <v>831</v>
      </c>
      <c r="L3181" s="167"/>
      <c r="M3181" s="169"/>
    </row>
    <row r="3182" spans="1:13" x14ac:dyDescent="0.55000000000000004">
      <c r="A3182" s="132" t="s">
        <v>2345</v>
      </c>
      <c r="B3182" s="133" t="s">
        <v>2689</v>
      </c>
      <c r="C3182" s="133" t="s">
        <v>163</v>
      </c>
      <c r="D3182" s="133" t="s">
        <v>3288</v>
      </c>
      <c r="E3182" s="138">
        <v>130</v>
      </c>
      <c r="F3182" s="153" t="s">
        <v>122</v>
      </c>
      <c r="G3182" s="153">
        <v>1</v>
      </c>
      <c r="H3182" s="133" t="s">
        <v>39</v>
      </c>
      <c r="I3182" s="133"/>
      <c r="J3182" s="133" t="s">
        <v>2344</v>
      </c>
      <c r="K3182" s="133" t="s">
        <v>831</v>
      </c>
      <c r="L3182" s="167"/>
      <c r="M3182" s="169"/>
    </row>
    <row r="3183" spans="1:13" x14ac:dyDescent="0.55000000000000004">
      <c r="A3183" s="132" t="s">
        <v>2349</v>
      </c>
      <c r="B3183" s="133" t="s">
        <v>2681</v>
      </c>
      <c r="C3183" s="133" t="s">
        <v>121</v>
      </c>
      <c r="D3183" s="133" t="s">
        <v>2682</v>
      </c>
      <c r="E3183" s="138">
        <v>1</v>
      </c>
      <c r="F3183" s="153">
        <v>1</v>
      </c>
      <c r="G3183" s="153">
        <v>1</v>
      </c>
      <c r="H3183" s="133" t="s">
        <v>39</v>
      </c>
      <c r="I3183" s="133"/>
      <c r="J3183" s="133" t="s">
        <v>2348</v>
      </c>
      <c r="K3183" s="133" t="s">
        <v>831</v>
      </c>
      <c r="L3183" s="167"/>
      <c r="M3183" s="169"/>
    </row>
    <row r="3184" spans="1:13" x14ac:dyDescent="0.55000000000000004">
      <c r="A3184" s="132" t="s">
        <v>2349</v>
      </c>
      <c r="B3184" s="133" t="s">
        <v>2683</v>
      </c>
      <c r="C3184" s="133" t="s">
        <v>348</v>
      </c>
      <c r="D3184" s="133" t="s">
        <v>3288</v>
      </c>
      <c r="E3184" s="138">
        <v>1</v>
      </c>
      <c r="F3184" s="153" t="s">
        <v>135</v>
      </c>
      <c r="G3184" s="153">
        <v>1</v>
      </c>
      <c r="H3184" s="133" t="s">
        <v>39</v>
      </c>
      <c r="I3184" s="133"/>
      <c r="J3184" s="133" t="s">
        <v>2348</v>
      </c>
      <c r="K3184" s="133" t="s">
        <v>831</v>
      </c>
      <c r="L3184" s="167"/>
      <c r="M3184" s="169"/>
    </row>
    <row r="3185" spans="1:13" x14ac:dyDescent="0.55000000000000004">
      <c r="A3185" s="132" t="s">
        <v>2349</v>
      </c>
      <c r="B3185" s="133" t="s">
        <v>153</v>
      </c>
      <c r="C3185" s="133" t="s">
        <v>127</v>
      </c>
      <c r="D3185" s="133" t="s">
        <v>2994</v>
      </c>
      <c r="E3185" s="138">
        <v>200</v>
      </c>
      <c r="F3185" s="153" t="s">
        <v>130</v>
      </c>
      <c r="G3185" s="153">
        <v>1</v>
      </c>
      <c r="H3185" s="133" t="s">
        <v>39</v>
      </c>
      <c r="I3185" s="133"/>
      <c r="J3185" s="133" t="s">
        <v>2348</v>
      </c>
      <c r="K3185" s="133" t="s">
        <v>831</v>
      </c>
      <c r="L3185" s="167"/>
      <c r="M3185" s="169"/>
    </row>
    <row r="3186" spans="1:13" x14ac:dyDescent="0.55000000000000004">
      <c r="A3186" s="132" t="s">
        <v>2349</v>
      </c>
      <c r="B3186" s="133" t="s">
        <v>2684</v>
      </c>
      <c r="C3186" s="133" t="s">
        <v>156</v>
      </c>
      <c r="D3186" s="133" t="s">
        <v>3288</v>
      </c>
      <c r="E3186" s="138">
        <v>135</v>
      </c>
      <c r="F3186" s="153" t="s">
        <v>122</v>
      </c>
      <c r="G3186" s="153">
        <v>1</v>
      </c>
      <c r="H3186" s="133" t="s">
        <v>39</v>
      </c>
      <c r="I3186" s="133"/>
      <c r="J3186" s="133" t="s">
        <v>2348</v>
      </c>
      <c r="K3186" s="133" t="s">
        <v>831</v>
      </c>
      <c r="L3186" s="167"/>
      <c r="M3186" s="169"/>
    </row>
    <row r="3187" spans="1:13" x14ac:dyDescent="0.55000000000000004">
      <c r="A3187" s="132" t="s">
        <v>2349</v>
      </c>
      <c r="B3187" s="133" t="s">
        <v>2685</v>
      </c>
      <c r="C3187" s="133" t="s">
        <v>156</v>
      </c>
      <c r="D3187" s="133" t="s">
        <v>3288</v>
      </c>
      <c r="E3187" s="138">
        <v>526</v>
      </c>
      <c r="F3187" s="153" t="s">
        <v>122</v>
      </c>
      <c r="G3187" s="153">
        <v>1</v>
      </c>
      <c r="H3187" s="133" t="s">
        <v>39</v>
      </c>
      <c r="I3187" s="133"/>
      <c r="J3187" s="133" t="s">
        <v>2348</v>
      </c>
      <c r="K3187" s="133" t="s">
        <v>831</v>
      </c>
      <c r="L3187" s="167"/>
      <c r="M3187" s="169"/>
    </row>
    <row r="3188" spans="1:13" x14ac:dyDescent="0.55000000000000004">
      <c r="A3188" s="132" t="s">
        <v>2349</v>
      </c>
      <c r="B3188" s="133" t="s">
        <v>2686</v>
      </c>
      <c r="C3188" s="133" t="s">
        <v>156</v>
      </c>
      <c r="D3188" s="133" t="s">
        <v>3288</v>
      </c>
      <c r="E3188" s="138">
        <v>176</v>
      </c>
      <c r="F3188" s="153" t="s">
        <v>122</v>
      </c>
      <c r="G3188" s="153">
        <v>1</v>
      </c>
      <c r="H3188" s="133" t="s">
        <v>39</v>
      </c>
      <c r="I3188" s="133"/>
      <c r="J3188" s="133" t="s">
        <v>2348</v>
      </c>
      <c r="K3188" s="133" t="s">
        <v>831</v>
      </c>
      <c r="L3188" s="167"/>
      <c r="M3188" s="169"/>
    </row>
    <row r="3189" spans="1:13" x14ac:dyDescent="0.55000000000000004">
      <c r="A3189" s="132" t="s">
        <v>2349</v>
      </c>
      <c r="B3189" s="133" t="s">
        <v>2687</v>
      </c>
      <c r="C3189" s="133" t="s">
        <v>163</v>
      </c>
      <c r="D3189" s="133" t="s">
        <v>3288</v>
      </c>
      <c r="E3189" s="138">
        <v>15</v>
      </c>
      <c r="F3189" s="153" t="s">
        <v>122</v>
      </c>
      <c r="G3189" s="153">
        <v>1</v>
      </c>
      <c r="H3189" s="133" t="s">
        <v>39</v>
      </c>
      <c r="I3189" s="133"/>
      <c r="J3189" s="133" t="s">
        <v>2348</v>
      </c>
      <c r="K3189" s="133" t="s">
        <v>831</v>
      </c>
      <c r="L3189" s="167"/>
      <c r="M3189" s="169"/>
    </row>
    <row r="3190" spans="1:13" x14ac:dyDescent="0.55000000000000004">
      <c r="A3190" s="132" t="s">
        <v>2349</v>
      </c>
      <c r="B3190" s="133" t="s">
        <v>2688</v>
      </c>
      <c r="C3190" s="133" t="s">
        <v>163</v>
      </c>
      <c r="D3190" s="133" t="s">
        <v>3288</v>
      </c>
      <c r="E3190" s="138">
        <v>78</v>
      </c>
      <c r="F3190" s="153" t="s">
        <v>122</v>
      </c>
      <c r="G3190" s="153">
        <v>1</v>
      </c>
      <c r="H3190" s="133" t="s">
        <v>39</v>
      </c>
      <c r="I3190" s="133"/>
      <c r="J3190" s="133" t="s">
        <v>2348</v>
      </c>
      <c r="K3190" s="133" t="s">
        <v>831</v>
      </c>
      <c r="L3190" s="167"/>
      <c r="M3190" s="169"/>
    </row>
    <row r="3191" spans="1:13" x14ac:dyDescent="0.55000000000000004">
      <c r="A3191" s="132" t="s">
        <v>2349</v>
      </c>
      <c r="B3191" s="133" t="s">
        <v>2689</v>
      </c>
      <c r="C3191" s="133" t="s">
        <v>163</v>
      </c>
      <c r="D3191" s="133" t="s">
        <v>3288</v>
      </c>
      <c r="E3191" s="138">
        <v>70</v>
      </c>
      <c r="F3191" s="153" t="s">
        <v>122</v>
      </c>
      <c r="G3191" s="153">
        <v>1</v>
      </c>
      <c r="H3191" s="133" t="s">
        <v>39</v>
      </c>
      <c r="I3191" s="133"/>
      <c r="J3191" s="133" t="s">
        <v>2348</v>
      </c>
      <c r="K3191" s="133" t="s">
        <v>831</v>
      </c>
      <c r="L3191" s="167"/>
      <c r="M3191" s="169"/>
    </row>
    <row r="3192" spans="1:13" x14ac:dyDescent="0.55000000000000004">
      <c r="A3192" s="132" t="s">
        <v>2351</v>
      </c>
      <c r="B3192" s="133" t="s">
        <v>2690</v>
      </c>
      <c r="C3192" s="133" t="s">
        <v>121</v>
      </c>
      <c r="D3192" s="133" t="s">
        <v>2682</v>
      </c>
      <c r="E3192" s="138">
        <v>1</v>
      </c>
      <c r="F3192" s="153">
        <v>1</v>
      </c>
      <c r="G3192" s="153">
        <v>1</v>
      </c>
      <c r="H3192" s="133" t="s">
        <v>39</v>
      </c>
      <c r="I3192" s="133"/>
      <c r="J3192" s="133" t="s">
        <v>2350</v>
      </c>
      <c r="K3192" s="133" t="s">
        <v>831</v>
      </c>
      <c r="L3192" s="167"/>
      <c r="M3192" s="169"/>
    </row>
    <row r="3193" spans="1:13" x14ac:dyDescent="0.55000000000000004">
      <c r="A3193" s="132" t="s">
        <v>2351</v>
      </c>
      <c r="B3193" s="133" t="s">
        <v>2691</v>
      </c>
      <c r="C3193" s="133" t="s">
        <v>156</v>
      </c>
      <c r="D3193" s="133" t="s">
        <v>3288</v>
      </c>
      <c r="E3193" s="138">
        <v>1</v>
      </c>
      <c r="F3193" s="153" t="s">
        <v>135</v>
      </c>
      <c r="G3193" s="153">
        <v>1</v>
      </c>
      <c r="H3193" s="133" t="s">
        <v>39</v>
      </c>
      <c r="I3193" s="133" t="s">
        <v>2692</v>
      </c>
      <c r="J3193" s="133" t="s">
        <v>2350</v>
      </c>
      <c r="K3193" s="133" t="s">
        <v>831</v>
      </c>
      <c r="L3193" s="167"/>
      <c r="M3193" s="169"/>
    </row>
    <row r="3194" spans="1:13" x14ac:dyDescent="0.55000000000000004">
      <c r="A3194" s="132" t="s">
        <v>2351</v>
      </c>
      <c r="B3194" s="133" t="s">
        <v>2693</v>
      </c>
      <c r="C3194" s="133" t="s">
        <v>348</v>
      </c>
      <c r="D3194" s="133" t="s">
        <v>3288</v>
      </c>
      <c r="E3194" s="138">
        <v>2</v>
      </c>
      <c r="F3194" s="153" t="s">
        <v>135</v>
      </c>
      <c r="G3194" s="153">
        <v>1</v>
      </c>
      <c r="H3194" s="133" t="s">
        <v>39</v>
      </c>
      <c r="I3194" s="133"/>
      <c r="J3194" s="133" t="s">
        <v>2350</v>
      </c>
      <c r="K3194" s="133" t="s">
        <v>831</v>
      </c>
      <c r="L3194" s="167"/>
      <c r="M3194" s="169"/>
    </row>
    <row r="3195" spans="1:13" x14ac:dyDescent="0.55000000000000004">
      <c r="A3195" s="132" t="s">
        <v>2351</v>
      </c>
      <c r="B3195" s="133" t="s">
        <v>154</v>
      </c>
      <c r="C3195" s="133" t="s">
        <v>132</v>
      </c>
      <c r="D3195" s="133" t="s">
        <v>3289</v>
      </c>
      <c r="E3195" s="138">
        <v>1.5</v>
      </c>
      <c r="F3195" s="153" t="s">
        <v>133</v>
      </c>
      <c r="G3195" s="153">
        <v>1</v>
      </c>
      <c r="H3195" s="133" t="s">
        <v>39</v>
      </c>
      <c r="I3195" s="133"/>
      <c r="J3195" s="133" t="s">
        <v>2350</v>
      </c>
      <c r="K3195" s="133" t="s">
        <v>831</v>
      </c>
      <c r="L3195" s="167"/>
      <c r="M3195" s="169"/>
    </row>
    <row r="3196" spans="1:13" x14ac:dyDescent="0.55000000000000004">
      <c r="A3196" s="132" t="s">
        <v>2351</v>
      </c>
      <c r="B3196" s="133" t="s">
        <v>508</v>
      </c>
      <c r="C3196" s="133" t="s">
        <v>127</v>
      </c>
      <c r="D3196" s="133" t="s">
        <v>3288</v>
      </c>
      <c r="E3196" s="138">
        <v>1.3</v>
      </c>
      <c r="F3196" s="153" t="s">
        <v>122</v>
      </c>
      <c r="G3196" s="153">
        <v>1</v>
      </c>
      <c r="H3196" s="133" t="s">
        <v>39</v>
      </c>
      <c r="I3196" s="133"/>
      <c r="J3196" s="133" t="s">
        <v>2350</v>
      </c>
      <c r="K3196" s="133" t="s">
        <v>831</v>
      </c>
      <c r="L3196" s="167"/>
      <c r="M3196" s="169"/>
    </row>
    <row r="3197" spans="1:13" x14ac:dyDescent="0.55000000000000004">
      <c r="A3197" s="132" t="s">
        <v>2351</v>
      </c>
      <c r="B3197" s="133" t="s">
        <v>2694</v>
      </c>
      <c r="C3197" s="133" t="s">
        <v>127</v>
      </c>
      <c r="D3197" s="133" t="s">
        <v>2994</v>
      </c>
      <c r="E3197" s="138">
        <v>4.4000000000000004</v>
      </c>
      <c r="F3197" s="153" t="s">
        <v>138</v>
      </c>
      <c r="G3197" s="153">
        <v>1</v>
      </c>
      <c r="H3197" s="133" t="s">
        <v>39</v>
      </c>
      <c r="I3197" s="133"/>
      <c r="J3197" s="133" t="s">
        <v>2350</v>
      </c>
      <c r="K3197" s="133" t="s">
        <v>831</v>
      </c>
      <c r="L3197" s="167"/>
      <c r="M3197" s="169"/>
    </row>
    <row r="3198" spans="1:13" x14ac:dyDescent="0.55000000000000004">
      <c r="A3198" s="132" t="s">
        <v>2351</v>
      </c>
      <c r="B3198" s="133" t="s">
        <v>153</v>
      </c>
      <c r="C3198" s="133" t="s">
        <v>127</v>
      </c>
      <c r="D3198" s="133" t="s">
        <v>2994</v>
      </c>
      <c r="E3198" s="138">
        <v>331</v>
      </c>
      <c r="F3198" s="153" t="s">
        <v>130</v>
      </c>
      <c r="G3198" s="153">
        <v>1</v>
      </c>
      <c r="H3198" s="133" t="s">
        <v>39</v>
      </c>
      <c r="I3198" s="133"/>
      <c r="J3198" s="133" t="s">
        <v>2350</v>
      </c>
      <c r="K3198" s="133" t="s">
        <v>831</v>
      </c>
      <c r="L3198" s="167"/>
      <c r="M3198" s="169"/>
    </row>
    <row r="3199" spans="1:13" x14ac:dyDescent="0.55000000000000004">
      <c r="A3199" s="132" t="s">
        <v>2351</v>
      </c>
      <c r="B3199" s="133" t="s">
        <v>2695</v>
      </c>
      <c r="C3199" s="133" t="s">
        <v>163</v>
      </c>
      <c r="D3199" s="133" t="s">
        <v>3288</v>
      </c>
      <c r="E3199" s="138">
        <v>1</v>
      </c>
      <c r="F3199" s="153" t="s">
        <v>135</v>
      </c>
      <c r="G3199" s="153">
        <v>1</v>
      </c>
      <c r="H3199" s="133" t="s">
        <v>39</v>
      </c>
      <c r="I3199" s="133"/>
      <c r="J3199" s="133" t="s">
        <v>2350</v>
      </c>
      <c r="K3199" s="133" t="s">
        <v>831</v>
      </c>
      <c r="L3199" s="167"/>
      <c r="M3199" s="169"/>
    </row>
    <row r="3200" spans="1:13" x14ac:dyDescent="0.55000000000000004">
      <c r="A3200" s="132" t="s">
        <v>2351</v>
      </c>
      <c r="B3200" s="133" t="s">
        <v>2696</v>
      </c>
      <c r="C3200" s="133" t="s">
        <v>163</v>
      </c>
      <c r="D3200" s="133" t="s">
        <v>3289</v>
      </c>
      <c r="E3200" s="138">
        <v>1.5</v>
      </c>
      <c r="F3200" s="153" t="s">
        <v>133</v>
      </c>
      <c r="G3200" s="153">
        <v>1</v>
      </c>
      <c r="H3200" s="133" t="s">
        <v>39</v>
      </c>
      <c r="I3200" s="133"/>
      <c r="J3200" s="133" t="s">
        <v>2350</v>
      </c>
      <c r="K3200" s="133" t="s">
        <v>831</v>
      </c>
      <c r="L3200" s="167"/>
      <c r="M3200" s="169"/>
    </row>
    <row r="3201" spans="1:13" x14ac:dyDescent="0.55000000000000004">
      <c r="A3201" s="132" t="s">
        <v>2356</v>
      </c>
      <c r="B3201" s="133" t="s">
        <v>2697</v>
      </c>
      <c r="C3201" s="133" t="s">
        <v>121</v>
      </c>
      <c r="D3201" s="133" t="s">
        <v>2682</v>
      </c>
      <c r="E3201" s="138">
        <v>1</v>
      </c>
      <c r="F3201" s="153">
        <v>1</v>
      </c>
      <c r="G3201" s="153">
        <v>1</v>
      </c>
      <c r="H3201" s="137"/>
      <c r="I3201" s="137"/>
      <c r="J3201" s="133" t="s">
        <v>2355</v>
      </c>
      <c r="K3201" s="133" t="s">
        <v>831</v>
      </c>
      <c r="L3201" s="167"/>
      <c r="M3201" s="169"/>
    </row>
    <row r="3202" spans="1:13" x14ac:dyDescent="0.55000000000000004">
      <c r="A3202" s="132" t="s">
        <v>2356</v>
      </c>
      <c r="B3202" s="133" t="s">
        <v>2698</v>
      </c>
      <c r="C3202" s="133" t="s">
        <v>348</v>
      </c>
      <c r="D3202" s="133" t="s">
        <v>3288</v>
      </c>
      <c r="E3202" s="138">
        <v>1</v>
      </c>
      <c r="F3202" s="153" t="s">
        <v>135</v>
      </c>
      <c r="G3202" s="153">
        <v>1</v>
      </c>
      <c r="H3202" s="137"/>
      <c r="I3202" s="137"/>
      <c r="J3202" s="133" t="s">
        <v>2355</v>
      </c>
      <c r="K3202" s="133" t="s">
        <v>831</v>
      </c>
      <c r="L3202" s="167"/>
      <c r="M3202" s="169"/>
    </row>
    <row r="3203" spans="1:13" x14ac:dyDescent="0.55000000000000004">
      <c r="A3203" s="132" t="s">
        <v>2356</v>
      </c>
      <c r="B3203" s="133" t="s">
        <v>153</v>
      </c>
      <c r="C3203" s="133" t="s">
        <v>127</v>
      </c>
      <c r="D3203" s="133" t="s">
        <v>2994</v>
      </c>
      <c r="E3203" s="138">
        <v>660</v>
      </c>
      <c r="F3203" s="153" t="s">
        <v>130</v>
      </c>
      <c r="G3203" s="153">
        <v>1</v>
      </c>
      <c r="H3203" s="137"/>
      <c r="I3203" s="137"/>
      <c r="J3203" s="133" t="s">
        <v>2355</v>
      </c>
      <c r="K3203" s="133" t="s">
        <v>831</v>
      </c>
      <c r="L3203" s="167"/>
      <c r="M3203" s="169"/>
    </row>
    <row r="3204" spans="1:13" x14ac:dyDescent="0.55000000000000004">
      <c r="A3204" s="132" t="s">
        <v>2356</v>
      </c>
      <c r="B3204" s="133" t="s">
        <v>2699</v>
      </c>
      <c r="C3204" s="133" t="s">
        <v>156</v>
      </c>
      <c r="D3204" s="133" t="s">
        <v>3288</v>
      </c>
      <c r="E3204" s="138">
        <v>0.26700000000000002</v>
      </c>
      <c r="F3204" s="153" t="s">
        <v>135</v>
      </c>
      <c r="G3204" s="153">
        <v>1</v>
      </c>
      <c r="H3204" s="137"/>
      <c r="I3204" s="137"/>
      <c r="J3204" s="133" t="s">
        <v>2355</v>
      </c>
      <c r="K3204" s="133" t="s">
        <v>831</v>
      </c>
      <c r="L3204" s="167"/>
      <c r="M3204" s="169"/>
    </row>
    <row r="3205" spans="1:13" x14ac:dyDescent="0.55000000000000004">
      <c r="A3205" s="132" t="s">
        <v>2356</v>
      </c>
      <c r="B3205" s="133" t="s">
        <v>2700</v>
      </c>
      <c r="C3205" s="133" t="s">
        <v>156</v>
      </c>
      <c r="D3205" s="133" t="s">
        <v>3288</v>
      </c>
      <c r="E3205" s="138">
        <v>3.2000000000000001E-2</v>
      </c>
      <c r="F3205" s="153" t="s">
        <v>135</v>
      </c>
      <c r="G3205" s="153">
        <v>1</v>
      </c>
      <c r="H3205" s="137"/>
      <c r="I3205" s="137"/>
      <c r="J3205" s="133" t="s">
        <v>2355</v>
      </c>
      <c r="K3205" s="133" t="s">
        <v>831</v>
      </c>
      <c r="L3205" s="167"/>
      <c r="M3205" s="169"/>
    </row>
    <row r="3206" spans="1:13" x14ac:dyDescent="0.55000000000000004">
      <c r="A3206" s="132" t="s">
        <v>2356</v>
      </c>
      <c r="B3206" s="133" t="s">
        <v>2701</v>
      </c>
      <c r="C3206" s="133" t="s">
        <v>156</v>
      </c>
      <c r="D3206" s="133" t="s">
        <v>3288</v>
      </c>
      <c r="E3206" s="138">
        <v>1.0999999999999999E-2</v>
      </c>
      <c r="F3206" s="153" t="s">
        <v>135</v>
      </c>
      <c r="G3206" s="153">
        <v>1</v>
      </c>
      <c r="H3206" s="137"/>
      <c r="I3206" s="137"/>
      <c r="J3206" s="133" t="s">
        <v>2355</v>
      </c>
      <c r="K3206" s="133" t="s">
        <v>831</v>
      </c>
      <c r="L3206" s="167"/>
      <c r="M3206" s="169"/>
    </row>
    <row r="3207" spans="1:13" x14ac:dyDescent="0.55000000000000004">
      <c r="A3207" s="132" t="s">
        <v>2356</v>
      </c>
      <c r="B3207" s="133" t="s">
        <v>2702</v>
      </c>
      <c r="C3207" s="133" t="s">
        <v>156</v>
      </c>
      <c r="D3207" s="133" t="s">
        <v>3288</v>
      </c>
      <c r="E3207" s="138">
        <v>5.1999999999999995E-4</v>
      </c>
      <c r="F3207" s="153" t="s">
        <v>135</v>
      </c>
      <c r="G3207" s="153">
        <v>1</v>
      </c>
      <c r="H3207" s="137"/>
      <c r="I3207" s="137"/>
      <c r="J3207" s="133" t="s">
        <v>2355</v>
      </c>
      <c r="K3207" s="133" t="s">
        <v>831</v>
      </c>
      <c r="L3207" s="167"/>
      <c r="M3207" s="169"/>
    </row>
    <row r="3208" spans="1:13" x14ac:dyDescent="0.55000000000000004">
      <c r="A3208" s="132" t="s">
        <v>2356</v>
      </c>
      <c r="B3208" s="133" t="s">
        <v>2703</v>
      </c>
      <c r="C3208" s="133" t="s">
        <v>163</v>
      </c>
      <c r="D3208" s="133" t="s">
        <v>3288</v>
      </c>
      <c r="E3208" s="138">
        <v>0.13400000000000001</v>
      </c>
      <c r="F3208" s="153" t="s">
        <v>135</v>
      </c>
      <c r="G3208" s="153">
        <v>1</v>
      </c>
      <c r="H3208" s="137"/>
      <c r="I3208" s="137"/>
      <c r="J3208" s="133" t="s">
        <v>2355</v>
      </c>
      <c r="K3208" s="133" t="s">
        <v>831</v>
      </c>
      <c r="L3208" s="167"/>
      <c r="M3208" s="169"/>
    </row>
    <row r="3209" spans="1:13" x14ac:dyDescent="0.55000000000000004">
      <c r="A3209" s="132" t="s">
        <v>2356</v>
      </c>
      <c r="B3209" s="133" t="s">
        <v>2704</v>
      </c>
      <c r="C3209" s="133" t="s">
        <v>163</v>
      </c>
      <c r="D3209" s="133" t="s">
        <v>3288</v>
      </c>
      <c r="E3209" s="138">
        <v>0.55547999999999997</v>
      </c>
      <c r="F3209" s="153" t="s">
        <v>135</v>
      </c>
      <c r="G3209" s="153">
        <v>1</v>
      </c>
      <c r="H3209" s="137"/>
      <c r="I3209" s="137"/>
      <c r="J3209" s="133" t="s">
        <v>2355</v>
      </c>
      <c r="K3209" s="133" t="s">
        <v>831</v>
      </c>
      <c r="L3209" s="167"/>
      <c r="M3209" s="169"/>
    </row>
    <row r="3210" spans="1:13" x14ac:dyDescent="0.55000000000000004">
      <c r="A3210" s="132" t="s">
        <v>2359</v>
      </c>
      <c r="B3210" s="133" t="s">
        <v>2705</v>
      </c>
      <c r="C3210" s="133" t="s">
        <v>121</v>
      </c>
      <c r="D3210" s="133" t="s">
        <v>2682</v>
      </c>
      <c r="E3210" s="138">
        <v>1</v>
      </c>
      <c r="F3210" s="153">
        <v>1</v>
      </c>
      <c r="G3210" s="153">
        <v>1</v>
      </c>
      <c r="H3210" s="137"/>
      <c r="I3210" s="137"/>
      <c r="J3210" s="133" t="s">
        <v>2358</v>
      </c>
      <c r="K3210" s="133" t="s">
        <v>831</v>
      </c>
      <c r="L3210" s="167"/>
      <c r="M3210" s="169"/>
    </row>
    <row r="3211" spans="1:13" x14ac:dyDescent="0.55000000000000004">
      <c r="A3211" s="132" t="s">
        <v>2359</v>
      </c>
      <c r="B3211" s="133" t="s">
        <v>2706</v>
      </c>
      <c r="C3211" s="133" t="s">
        <v>348</v>
      </c>
      <c r="D3211" s="133" t="s">
        <v>3288</v>
      </c>
      <c r="E3211" s="138">
        <v>1</v>
      </c>
      <c r="F3211" s="153" t="s">
        <v>135</v>
      </c>
      <c r="G3211" s="153">
        <v>1</v>
      </c>
      <c r="H3211" s="137"/>
      <c r="I3211" s="137"/>
      <c r="J3211" s="133" t="s">
        <v>2358</v>
      </c>
      <c r="K3211" s="133" t="s">
        <v>831</v>
      </c>
      <c r="L3211" s="167"/>
      <c r="M3211" s="169"/>
    </row>
    <row r="3212" spans="1:13" x14ac:dyDescent="0.55000000000000004">
      <c r="A3212" s="132" t="s">
        <v>2359</v>
      </c>
      <c r="B3212" s="133" t="s">
        <v>153</v>
      </c>
      <c r="C3212" s="133" t="s">
        <v>127</v>
      </c>
      <c r="D3212" s="133" t="s">
        <v>2994</v>
      </c>
      <c r="E3212" s="138">
        <v>660</v>
      </c>
      <c r="F3212" s="153" t="s">
        <v>130</v>
      </c>
      <c r="G3212" s="153">
        <v>1</v>
      </c>
      <c r="H3212" s="137"/>
      <c r="I3212" s="137"/>
      <c r="J3212" s="133" t="s">
        <v>2358</v>
      </c>
      <c r="K3212" s="133" t="s">
        <v>831</v>
      </c>
      <c r="L3212" s="167"/>
      <c r="M3212" s="169"/>
    </row>
    <row r="3213" spans="1:13" x14ac:dyDescent="0.55000000000000004">
      <c r="A3213" s="132" t="s">
        <v>2359</v>
      </c>
      <c r="B3213" s="133" t="s">
        <v>2699</v>
      </c>
      <c r="C3213" s="133" t="s">
        <v>156</v>
      </c>
      <c r="D3213" s="133" t="s">
        <v>3288</v>
      </c>
      <c r="E3213" s="138">
        <v>0.19942399999999999</v>
      </c>
      <c r="F3213" s="153" t="s">
        <v>135</v>
      </c>
      <c r="G3213" s="153">
        <v>1</v>
      </c>
      <c r="H3213" s="137"/>
      <c r="I3213" s="137"/>
      <c r="J3213" s="133" t="s">
        <v>2358</v>
      </c>
      <c r="K3213" s="133" t="s">
        <v>831</v>
      </c>
      <c r="L3213" s="167"/>
      <c r="M3213" s="169"/>
    </row>
    <row r="3214" spans="1:13" x14ac:dyDescent="0.55000000000000004">
      <c r="A3214" s="132" t="s">
        <v>2359</v>
      </c>
      <c r="B3214" s="133" t="s">
        <v>2700</v>
      </c>
      <c r="C3214" s="133" t="s">
        <v>156</v>
      </c>
      <c r="D3214" s="133" t="s">
        <v>3288</v>
      </c>
      <c r="E3214" s="138">
        <v>6.7993600000000001E-2</v>
      </c>
      <c r="F3214" s="153" t="s">
        <v>135</v>
      </c>
      <c r="G3214" s="153">
        <v>1</v>
      </c>
      <c r="H3214" s="137"/>
      <c r="I3214" s="137"/>
      <c r="J3214" s="133" t="s">
        <v>2358</v>
      </c>
      <c r="K3214" s="133" t="s">
        <v>831</v>
      </c>
      <c r="L3214" s="167"/>
      <c r="M3214" s="169"/>
    </row>
    <row r="3215" spans="1:13" x14ac:dyDescent="0.55000000000000004">
      <c r="A3215" s="132" t="s">
        <v>2359</v>
      </c>
      <c r="B3215" s="133" t="s">
        <v>2701</v>
      </c>
      <c r="C3215" s="133" t="s">
        <v>156</v>
      </c>
      <c r="D3215" s="133" t="s">
        <v>3288</v>
      </c>
      <c r="E3215" s="138">
        <v>3.2256E-2</v>
      </c>
      <c r="F3215" s="153" t="s">
        <v>135</v>
      </c>
      <c r="G3215" s="153">
        <v>1</v>
      </c>
      <c r="H3215" s="137"/>
      <c r="I3215" s="137"/>
      <c r="J3215" s="133" t="s">
        <v>2358</v>
      </c>
      <c r="K3215" s="133" t="s">
        <v>831</v>
      </c>
      <c r="L3215" s="167"/>
      <c r="M3215" s="169"/>
    </row>
    <row r="3216" spans="1:13" x14ac:dyDescent="0.55000000000000004">
      <c r="A3216" s="132" t="s">
        <v>2359</v>
      </c>
      <c r="B3216" s="133" t="s">
        <v>2707</v>
      </c>
      <c r="C3216" s="133" t="s">
        <v>156</v>
      </c>
      <c r="D3216" s="133" t="s">
        <v>3288</v>
      </c>
      <c r="E3216" s="138">
        <v>5.1200000000000004E-3</v>
      </c>
      <c r="F3216" s="153" t="s">
        <v>135</v>
      </c>
      <c r="G3216" s="153">
        <v>1</v>
      </c>
      <c r="H3216" s="137"/>
      <c r="I3216" s="137"/>
      <c r="J3216" s="133" t="s">
        <v>2358</v>
      </c>
      <c r="K3216" s="133" t="s">
        <v>831</v>
      </c>
      <c r="L3216" s="167"/>
      <c r="M3216" s="169"/>
    </row>
    <row r="3217" spans="1:13" x14ac:dyDescent="0.55000000000000004">
      <c r="A3217" s="132" t="s">
        <v>2359</v>
      </c>
      <c r="B3217" s="133" t="s">
        <v>2703</v>
      </c>
      <c r="C3217" s="133" t="s">
        <v>163</v>
      </c>
      <c r="D3217" s="133" t="s">
        <v>3288</v>
      </c>
      <c r="E3217" s="138">
        <v>3.5840000000000004E-2</v>
      </c>
      <c r="F3217" s="153" t="s">
        <v>135</v>
      </c>
      <c r="G3217" s="153">
        <v>1</v>
      </c>
      <c r="H3217" s="137"/>
      <c r="I3217" s="137"/>
      <c r="J3217" s="133" t="s">
        <v>2358</v>
      </c>
      <c r="K3217" s="133" t="s">
        <v>831</v>
      </c>
      <c r="L3217" s="167"/>
      <c r="M3217" s="169"/>
    </row>
    <row r="3218" spans="1:13" x14ac:dyDescent="0.55000000000000004">
      <c r="A3218" s="132" t="s">
        <v>2359</v>
      </c>
      <c r="B3218" s="133" t="s">
        <v>2704</v>
      </c>
      <c r="C3218" s="133" t="s">
        <v>163</v>
      </c>
      <c r="D3218" s="133" t="s">
        <v>3288</v>
      </c>
      <c r="E3218" s="138">
        <v>0.65936640000000002</v>
      </c>
      <c r="F3218" s="153" t="s">
        <v>135</v>
      </c>
      <c r="G3218" s="153">
        <v>1</v>
      </c>
      <c r="H3218" s="137"/>
      <c r="I3218" s="137"/>
      <c r="J3218" s="133" t="s">
        <v>2358</v>
      </c>
      <c r="K3218" s="133" t="s">
        <v>831</v>
      </c>
      <c r="L3218" s="167"/>
      <c r="M3218" s="169"/>
    </row>
    <row r="3219" spans="1:13" x14ac:dyDescent="0.55000000000000004">
      <c r="A3219" s="132" t="s">
        <v>2362</v>
      </c>
      <c r="B3219" s="133" t="s">
        <v>2708</v>
      </c>
      <c r="C3219" s="133" t="s">
        <v>121</v>
      </c>
      <c r="D3219" s="133" t="s">
        <v>2682</v>
      </c>
      <c r="E3219" s="138">
        <v>1</v>
      </c>
      <c r="F3219" s="153">
        <v>1</v>
      </c>
      <c r="G3219" s="153">
        <v>1</v>
      </c>
      <c r="H3219" s="133"/>
      <c r="I3219" s="133"/>
      <c r="J3219" s="133" t="s">
        <v>2361</v>
      </c>
      <c r="K3219" s="133" t="s">
        <v>831</v>
      </c>
      <c r="L3219" s="167"/>
      <c r="M3219" s="169"/>
    </row>
    <row r="3220" spans="1:13" x14ac:dyDescent="0.55000000000000004">
      <c r="A3220" s="132" t="s">
        <v>2362</v>
      </c>
      <c r="B3220" s="133" t="s">
        <v>2709</v>
      </c>
      <c r="C3220" s="133" t="s">
        <v>348</v>
      </c>
      <c r="D3220" s="133" t="s">
        <v>3288</v>
      </c>
      <c r="E3220" s="138">
        <v>1</v>
      </c>
      <c r="F3220" s="153" t="s">
        <v>135</v>
      </c>
      <c r="G3220" s="153">
        <v>1</v>
      </c>
      <c r="H3220" s="133"/>
      <c r="I3220" s="133"/>
      <c r="J3220" s="133" t="s">
        <v>2361</v>
      </c>
      <c r="K3220" s="133" t="s">
        <v>831</v>
      </c>
      <c r="L3220" s="167"/>
      <c r="M3220" s="169"/>
    </row>
    <row r="3221" spans="1:13" x14ac:dyDescent="0.55000000000000004">
      <c r="A3221" s="132" t="s">
        <v>2362</v>
      </c>
      <c r="B3221" s="133" t="s">
        <v>2642</v>
      </c>
      <c r="C3221" s="133" t="s">
        <v>156</v>
      </c>
      <c r="D3221" s="133" t="s">
        <v>3288</v>
      </c>
      <c r="E3221" s="138">
        <v>0.46</v>
      </c>
      <c r="F3221" s="153" t="s">
        <v>135</v>
      </c>
      <c r="G3221" s="153">
        <v>1</v>
      </c>
      <c r="H3221" s="133"/>
      <c r="I3221" s="133"/>
      <c r="J3221" s="133" t="s">
        <v>2361</v>
      </c>
      <c r="K3221" s="133" t="s">
        <v>831</v>
      </c>
      <c r="L3221" s="167"/>
      <c r="M3221" s="169"/>
    </row>
    <row r="3222" spans="1:13" x14ac:dyDescent="0.55000000000000004">
      <c r="A3222" s="132" t="s">
        <v>2362</v>
      </c>
      <c r="B3222" s="133" t="s">
        <v>2710</v>
      </c>
      <c r="C3222" s="133" t="s">
        <v>156</v>
      </c>
      <c r="D3222" s="133" t="s">
        <v>3288</v>
      </c>
      <c r="E3222" s="138">
        <v>0.08</v>
      </c>
      <c r="F3222" s="153" t="s">
        <v>135</v>
      </c>
      <c r="G3222" s="153">
        <v>1</v>
      </c>
      <c r="H3222" s="133"/>
      <c r="I3222" s="133"/>
      <c r="J3222" s="133" t="s">
        <v>2361</v>
      </c>
      <c r="K3222" s="133" t="s">
        <v>831</v>
      </c>
      <c r="L3222" s="167"/>
      <c r="M3222" s="169"/>
    </row>
    <row r="3223" spans="1:13" x14ac:dyDescent="0.55000000000000004">
      <c r="A3223" s="132" t="s">
        <v>2362</v>
      </c>
      <c r="B3223" s="133" t="s">
        <v>2711</v>
      </c>
      <c r="C3223" s="133" t="s">
        <v>156</v>
      </c>
      <c r="D3223" s="133" t="s">
        <v>3288</v>
      </c>
      <c r="E3223" s="138">
        <v>0.14000000000000001</v>
      </c>
      <c r="F3223" s="153" t="s">
        <v>135</v>
      </c>
      <c r="G3223" s="153">
        <v>1</v>
      </c>
      <c r="H3223" s="133"/>
      <c r="I3223" s="133"/>
      <c r="J3223" s="133" t="s">
        <v>2361</v>
      </c>
      <c r="K3223" s="133" t="s">
        <v>831</v>
      </c>
      <c r="L3223" s="167"/>
      <c r="M3223" s="169"/>
    </row>
    <row r="3224" spans="1:13" x14ac:dyDescent="0.55000000000000004">
      <c r="A3224" s="132" t="s">
        <v>2362</v>
      </c>
      <c r="B3224" s="133" t="s">
        <v>2712</v>
      </c>
      <c r="C3224" s="133" t="s">
        <v>156</v>
      </c>
      <c r="D3224" s="133" t="s">
        <v>3288</v>
      </c>
      <c r="E3224" s="138">
        <v>0.32</v>
      </c>
      <c r="F3224" s="153" t="s">
        <v>135</v>
      </c>
      <c r="G3224" s="153">
        <v>1</v>
      </c>
      <c r="H3224" s="133"/>
      <c r="I3224" s="133"/>
      <c r="J3224" s="133" t="s">
        <v>2361</v>
      </c>
      <c r="K3224" s="133" t="s">
        <v>831</v>
      </c>
      <c r="L3224" s="167"/>
      <c r="M3224" s="169"/>
    </row>
    <row r="3225" spans="1:13" x14ac:dyDescent="0.55000000000000004">
      <c r="A3225" s="132" t="s">
        <v>2365</v>
      </c>
      <c r="B3225" s="133" t="s">
        <v>2713</v>
      </c>
      <c r="C3225" s="133" t="s">
        <v>121</v>
      </c>
      <c r="D3225" s="133" t="s">
        <v>2682</v>
      </c>
      <c r="E3225" s="138">
        <v>1</v>
      </c>
      <c r="F3225" s="153">
        <v>1</v>
      </c>
      <c r="G3225" s="153">
        <v>1</v>
      </c>
      <c r="H3225" s="133"/>
      <c r="I3225" s="133"/>
      <c r="J3225" s="133" t="s">
        <v>2364</v>
      </c>
      <c r="K3225" s="133" t="s">
        <v>831</v>
      </c>
      <c r="L3225" s="167"/>
      <c r="M3225" s="169"/>
    </row>
    <row r="3226" spans="1:13" x14ac:dyDescent="0.55000000000000004">
      <c r="A3226" s="132" t="s">
        <v>2365</v>
      </c>
      <c r="B3226" s="133" t="s">
        <v>153</v>
      </c>
      <c r="C3226" s="133" t="s">
        <v>127</v>
      </c>
      <c r="D3226" s="133" t="s">
        <v>2994</v>
      </c>
      <c r="E3226" s="138">
        <v>40</v>
      </c>
      <c r="F3226" s="153" t="s">
        <v>130</v>
      </c>
      <c r="G3226" s="153">
        <v>1</v>
      </c>
      <c r="H3226" s="133"/>
      <c r="I3226" s="133"/>
      <c r="J3226" s="133" t="s">
        <v>2364</v>
      </c>
      <c r="K3226" s="133" t="s">
        <v>831</v>
      </c>
      <c r="L3226" s="167"/>
      <c r="M3226" s="169"/>
    </row>
    <row r="3227" spans="1:13" x14ac:dyDescent="0.55000000000000004">
      <c r="A3227" s="132" t="s">
        <v>2365</v>
      </c>
      <c r="B3227" s="133" t="s">
        <v>2711</v>
      </c>
      <c r="C3227" s="133" t="s">
        <v>348</v>
      </c>
      <c r="D3227" s="133" t="s">
        <v>3288</v>
      </c>
      <c r="E3227" s="138">
        <v>1</v>
      </c>
      <c r="F3227" s="153" t="s">
        <v>135</v>
      </c>
      <c r="G3227" s="153">
        <v>1</v>
      </c>
      <c r="H3227" s="133"/>
      <c r="I3227" s="133"/>
      <c r="J3227" s="133" t="s">
        <v>2364</v>
      </c>
      <c r="K3227" s="133" t="s">
        <v>831</v>
      </c>
      <c r="L3227" s="167"/>
      <c r="M3227" s="169"/>
    </row>
    <row r="3228" spans="1:13" x14ac:dyDescent="0.55000000000000004">
      <c r="A3228" s="132" t="s">
        <v>2365</v>
      </c>
      <c r="B3228" s="133" t="s">
        <v>2714</v>
      </c>
      <c r="C3228" s="133" t="s">
        <v>156</v>
      </c>
      <c r="D3228" s="133" t="s">
        <v>3288</v>
      </c>
      <c r="E3228" s="138">
        <v>1</v>
      </c>
      <c r="F3228" s="153" t="s">
        <v>135</v>
      </c>
      <c r="G3228" s="153">
        <v>1</v>
      </c>
      <c r="H3228" s="133"/>
      <c r="I3228" s="133"/>
      <c r="J3228" s="133" t="s">
        <v>2364</v>
      </c>
      <c r="K3228" s="133" t="s">
        <v>831</v>
      </c>
      <c r="L3228" s="167"/>
      <c r="M3228" s="169"/>
    </row>
    <row r="3229" spans="1:13" x14ac:dyDescent="0.55000000000000004">
      <c r="A3229" s="132" t="s">
        <v>2368</v>
      </c>
      <c r="B3229" s="133" t="s">
        <v>2715</v>
      </c>
      <c r="C3229" s="133" t="s">
        <v>121</v>
      </c>
      <c r="D3229" s="133" t="s">
        <v>2682</v>
      </c>
      <c r="E3229" s="138">
        <v>1</v>
      </c>
      <c r="F3229" s="153">
        <v>1</v>
      </c>
      <c r="G3229" s="153">
        <v>1</v>
      </c>
      <c r="H3229" s="133"/>
      <c r="I3229" s="133"/>
      <c r="J3229" s="133" t="s">
        <v>2367</v>
      </c>
      <c r="K3229" s="133" t="s">
        <v>831</v>
      </c>
      <c r="L3229" s="167"/>
      <c r="M3229" s="169"/>
    </row>
    <row r="3230" spans="1:13" x14ac:dyDescent="0.55000000000000004">
      <c r="A3230" s="132" t="s">
        <v>2368</v>
      </c>
      <c r="B3230" s="133" t="s">
        <v>2710</v>
      </c>
      <c r="C3230" s="133" t="s">
        <v>348</v>
      </c>
      <c r="D3230" s="133" t="s">
        <v>3288</v>
      </c>
      <c r="E3230" s="138">
        <v>1</v>
      </c>
      <c r="F3230" s="153" t="s">
        <v>135</v>
      </c>
      <c r="G3230" s="153">
        <v>1</v>
      </c>
      <c r="H3230" s="133"/>
      <c r="I3230" s="133"/>
      <c r="J3230" s="133" t="s">
        <v>2367</v>
      </c>
      <c r="K3230" s="133" t="s">
        <v>831</v>
      </c>
      <c r="L3230" s="167"/>
      <c r="M3230" s="169"/>
    </row>
    <row r="3231" spans="1:13" x14ac:dyDescent="0.55000000000000004">
      <c r="A3231" s="132" t="s">
        <v>2368</v>
      </c>
      <c r="B3231" s="133" t="s">
        <v>153</v>
      </c>
      <c r="C3231" s="133" t="s">
        <v>127</v>
      </c>
      <c r="D3231" s="133" t="s">
        <v>2994</v>
      </c>
      <c r="E3231" s="138">
        <v>180</v>
      </c>
      <c r="F3231" s="153" t="s">
        <v>130</v>
      </c>
      <c r="G3231" s="153">
        <v>1</v>
      </c>
      <c r="H3231" s="133"/>
      <c r="I3231" s="133"/>
      <c r="J3231" s="133" t="s">
        <v>2367</v>
      </c>
      <c r="K3231" s="133" t="s">
        <v>831</v>
      </c>
      <c r="L3231" s="167"/>
      <c r="M3231" s="169"/>
    </row>
    <row r="3232" spans="1:13" x14ac:dyDescent="0.55000000000000004">
      <c r="A3232" s="132" t="s">
        <v>2368</v>
      </c>
      <c r="B3232" s="133" t="s">
        <v>1168</v>
      </c>
      <c r="C3232" s="133" t="s">
        <v>156</v>
      </c>
      <c r="D3232" s="133" t="s">
        <v>3288</v>
      </c>
      <c r="E3232" s="138">
        <v>0.66</v>
      </c>
      <c r="F3232" s="153" t="s">
        <v>135</v>
      </c>
      <c r="G3232" s="153">
        <v>1</v>
      </c>
      <c r="H3232" s="133"/>
      <c r="I3232" s="133"/>
      <c r="J3232" s="133" t="s">
        <v>2367</v>
      </c>
      <c r="K3232" s="133" t="s">
        <v>831</v>
      </c>
      <c r="L3232" s="167"/>
      <c r="M3232" s="169"/>
    </row>
    <row r="3233" spans="1:13" x14ac:dyDescent="0.55000000000000004">
      <c r="A3233" s="132" t="s">
        <v>2368</v>
      </c>
      <c r="B3233" s="133" t="s">
        <v>2716</v>
      </c>
      <c r="C3233" s="133" t="s">
        <v>163</v>
      </c>
      <c r="D3233" s="133" t="s">
        <v>3288</v>
      </c>
      <c r="E3233" s="138">
        <v>0.34</v>
      </c>
      <c r="F3233" s="153" t="s">
        <v>135</v>
      </c>
      <c r="G3233" s="153">
        <v>1</v>
      </c>
      <c r="H3233" s="133"/>
      <c r="I3233" s="133"/>
      <c r="J3233" s="133" t="s">
        <v>2367</v>
      </c>
      <c r="K3233" s="133" t="s">
        <v>831</v>
      </c>
      <c r="L3233" s="167"/>
      <c r="M3233" s="169"/>
    </row>
    <row r="3234" spans="1:13" x14ac:dyDescent="0.55000000000000004">
      <c r="A3234" s="132" t="s">
        <v>2371</v>
      </c>
      <c r="B3234" s="133" t="s">
        <v>2717</v>
      </c>
      <c r="C3234" s="133" t="s">
        <v>121</v>
      </c>
      <c r="D3234" s="133" t="s">
        <v>2682</v>
      </c>
      <c r="E3234" s="138">
        <v>1</v>
      </c>
      <c r="F3234" s="153">
        <v>1</v>
      </c>
      <c r="G3234" s="153">
        <v>1</v>
      </c>
      <c r="H3234" s="133"/>
      <c r="I3234" s="133"/>
      <c r="J3234" s="133" t="s">
        <v>2370</v>
      </c>
      <c r="K3234" s="133" t="s">
        <v>831</v>
      </c>
      <c r="L3234" s="167"/>
      <c r="M3234" s="169"/>
    </row>
    <row r="3235" spans="1:13" x14ac:dyDescent="0.55000000000000004">
      <c r="A3235" s="132" t="s">
        <v>2371</v>
      </c>
      <c r="B3235" s="133" t="s">
        <v>2718</v>
      </c>
      <c r="C3235" s="133" t="s">
        <v>348</v>
      </c>
      <c r="D3235" s="133" t="s">
        <v>3288</v>
      </c>
      <c r="E3235" s="138">
        <v>1</v>
      </c>
      <c r="F3235" s="153" t="s">
        <v>135</v>
      </c>
      <c r="G3235" s="153">
        <v>1</v>
      </c>
      <c r="H3235" s="133"/>
      <c r="I3235" s="133"/>
      <c r="J3235" s="133" t="s">
        <v>2370</v>
      </c>
      <c r="K3235" s="133" t="s">
        <v>831</v>
      </c>
      <c r="L3235" s="167"/>
      <c r="M3235" s="169"/>
    </row>
    <row r="3236" spans="1:13" x14ac:dyDescent="0.55000000000000004">
      <c r="A3236" s="132" t="s">
        <v>2371</v>
      </c>
      <c r="B3236" s="133" t="s">
        <v>153</v>
      </c>
      <c r="C3236" s="133" t="s">
        <v>127</v>
      </c>
      <c r="D3236" s="133" t="s">
        <v>2994</v>
      </c>
      <c r="E3236" s="138">
        <v>660</v>
      </c>
      <c r="F3236" s="153" t="s">
        <v>130</v>
      </c>
      <c r="G3236" s="153">
        <v>1</v>
      </c>
      <c r="H3236" s="133"/>
      <c r="I3236" s="133"/>
      <c r="J3236" s="133" t="s">
        <v>2370</v>
      </c>
      <c r="K3236" s="133" t="s">
        <v>831</v>
      </c>
      <c r="L3236" s="167"/>
      <c r="M3236" s="169"/>
    </row>
    <row r="3237" spans="1:13" x14ac:dyDescent="0.55000000000000004">
      <c r="A3237" s="132" t="s">
        <v>2371</v>
      </c>
      <c r="B3237" s="133" t="s">
        <v>2719</v>
      </c>
      <c r="C3237" s="133" t="s">
        <v>156</v>
      </c>
      <c r="D3237" s="133" t="s">
        <v>3288</v>
      </c>
      <c r="E3237" s="138">
        <v>0.36279739999999999</v>
      </c>
      <c r="F3237" s="153" t="s">
        <v>135</v>
      </c>
      <c r="G3237" s="153">
        <v>1</v>
      </c>
      <c r="H3237" s="133"/>
      <c r="I3237" s="133"/>
      <c r="J3237" s="133" t="s">
        <v>2370</v>
      </c>
      <c r="K3237" s="133" t="s">
        <v>831</v>
      </c>
      <c r="L3237" s="167"/>
      <c r="M3237" s="169"/>
    </row>
    <row r="3238" spans="1:13" x14ac:dyDescent="0.55000000000000004">
      <c r="A3238" s="132" t="s">
        <v>2371</v>
      </c>
      <c r="B3238" s="133" t="s">
        <v>2720</v>
      </c>
      <c r="C3238" s="133" t="s">
        <v>156</v>
      </c>
      <c r="D3238" s="133" t="s">
        <v>3288</v>
      </c>
      <c r="E3238" s="138">
        <v>2.9531399999999999E-2</v>
      </c>
      <c r="F3238" s="153" t="s">
        <v>135</v>
      </c>
      <c r="G3238" s="153">
        <v>1</v>
      </c>
      <c r="H3238" s="133"/>
      <c r="I3238" s="133"/>
      <c r="J3238" s="133" t="s">
        <v>2370</v>
      </c>
      <c r="K3238" s="133" t="s">
        <v>831</v>
      </c>
      <c r="L3238" s="167"/>
      <c r="M3238" s="169"/>
    </row>
    <row r="3239" spans="1:13" x14ac:dyDescent="0.55000000000000004">
      <c r="A3239" s="132" t="s">
        <v>2371</v>
      </c>
      <c r="B3239" s="133" t="s">
        <v>2721</v>
      </c>
      <c r="C3239" s="133" t="s">
        <v>156</v>
      </c>
      <c r="D3239" s="133" t="s">
        <v>3288</v>
      </c>
      <c r="E3239" s="138">
        <v>1.3876199999999998E-2</v>
      </c>
      <c r="F3239" s="153" t="s">
        <v>135</v>
      </c>
      <c r="G3239" s="153">
        <v>1</v>
      </c>
      <c r="H3239" s="133"/>
      <c r="I3239" s="133"/>
      <c r="J3239" s="133" t="s">
        <v>2370</v>
      </c>
      <c r="K3239" s="133" t="s">
        <v>831</v>
      </c>
      <c r="L3239" s="167"/>
      <c r="M3239" s="169"/>
    </row>
    <row r="3240" spans="1:13" x14ac:dyDescent="0.55000000000000004">
      <c r="A3240" s="132" t="s">
        <v>2371</v>
      </c>
      <c r="B3240" s="133" t="s">
        <v>2722</v>
      </c>
      <c r="C3240" s="133" t="s">
        <v>156</v>
      </c>
      <c r="D3240" s="133" t="s">
        <v>3288</v>
      </c>
      <c r="E3240" s="138">
        <v>8.3019999999999986E-3</v>
      </c>
      <c r="F3240" s="153" t="s">
        <v>135</v>
      </c>
      <c r="G3240" s="153">
        <v>1</v>
      </c>
      <c r="H3240" s="133"/>
      <c r="I3240" s="133"/>
      <c r="J3240" s="133" t="s">
        <v>2370</v>
      </c>
      <c r="K3240" s="133" t="s">
        <v>831</v>
      </c>
      <c r="L3240" s="167"/>
      <c r="M3240" s="169"/>
    </row>
    <row r="3241" spans="1:13" x14ac:dyDescent="0.55000000000000004">
      <c r="A3241" s="132" t="s">
        <v>2371</v>
      </c>
      <c r="B3241" s="133" t="s">
        <v>2703</v>
      </c>
      <c r="C3241" s="133" t="s">
        <v>3269</v>
      </c>
      <c r="D3241" s="133" t="s">
        <v>3288</v>
      </c>
      <c r="E3241" s="138">
        <v>8.9542999999999998E-2</v>
      </c>
      <c r="F3241" s="153" t="s">
        <v>135</v>
      </c>
      <c r="G3241" s="153">
        <v>1</v>
      </c>
      <c r="H3241" s="133"/>
      <c r="I3241" s="133"/>
      <c r="J3241" s="133" t="s">
        <v>2370</v>
      </c>
      <c r="K3241" s="133" t="s">
        <v>831</v>
      </c>
      <c r="L3241" s="167"/>
      <c r="M3241" s="169"/>
    </row>
    <row r="3242" spans="1:13" x14ac:dyDescent="0.55000000000000004">
      <c r="A3242" s="132" t="s">
        <v>2371</v>
      </c>
      <c r="B3242" s="133" t="s">
        <v>2704</v>
      </c>
      <c r="C3242" s="133" t="s">
        <v>3269</v>
      </c>
      <c r="D3242" s="133" t="s">
        <v>3288</v>
      </c>
      <c r="E3242" s="138">
        <v>0.49595</v>
      </c>
      <c r="F3242" s="153" t="s">
        <v>135</v>
      </c>
      <c r="G3242" s="153">
        <v>1</v>
      </c>
      <c r="H3242" s="133"/>
      <c r="I3242" s="133"/>
      <c r="J3242" s="133" t="s">
        <v>2370</v>
      </c>
      <c r="K3242" s="133" t="s">
        <v>831</v>
      </c>
      <c r="L3242" s="167"/>
      <c r="M3242" s="169"/>
    </row>
    <row r="3243" spans="1:13" x14ac:dyDescent="0.55000000000000004">
      <c r="A3243" s="132" t="s">
        <v>2374</v>
      </c>
      <c r="B3243" s="133" t="s">
        <v>2723</v>
      </c>
      <c r="C3243" s="133" t="s">
        <v>121</v>
      </c>
      <c r="D3243" s="133" t="s">
        <v>2682</v>
      </c>
      <c r="E3243" s="138">
        <v>1</v>
      </c>
      <c r="F3243" s="153">
        <v>1</v>
      </c>
      <c r="G3243" s="153">
        <v>1</v>
      </c>
      <c r="H3243" s="133"/>
      <c r="I3243" s="133"/>
      <c r="J3243" s="133" t="s">
        <v>2373</v>
      </c>
      <c r="K3243" s="133" t="s">
        <v>831</v>
      </c>
      <c r="L3243" s="167"/>
      <c r="M3243" s="169"/>
    </row>
    <row r="3244" spans="1:13" x14ac:dyDescent="0.55000000000000004">
      <c r="A3244" s="132" t="s">
        <v>2374</v>
      </c>
      <c r="B3244" s="133" t="s">
        <v>2724</v>
      </c>
      <c r="C3244" s="133" t="s">
        <v>348</v>
      </c>
      <c r="D3244" s="133" t="s">
        <v>3288</v>
      </c>
      <c r="E3244" s="138">
        <v>1</v>
      </c>
      <c r="F3244" s="153" t="s">
        <v>135</v>
      </c>
      <c r="G3244" s="153">
        <v>1</v>
      </c>
      <c r="H3244" s="133"/>
      <c r="I3244" s="133"/>
      <c r="J3244" s="133" t="s">
        <v>2373</v>
      </c>
      <c r="K3244" s="133" t="s">
        <v>831</v>
      </c>
      <c r="L3244" s="167"/>
      <c r="M3244" s="169"/>
    </row>
    <row r="3245" spans="1:13" x14ac:dyDescent="0.55000000000000004">
      <c r="A3245" s="132" t="s">
        <v>2374</v>
      </c>
      <c r="B3245" s="133" t="s">
        <v>2725</v>
      </c>
      <c r="C3245" s="133" t="s">
        <v>156</v>
      </c>
      <c r="D3245" s="133" t="s">
        <v>3288</v>
      </c>
      <c r="E3245" s="138">
        <v>0.95199999999999996</v>
      </c>
      <c r="F3245" s="153" t="s">
        <v>135</v>
      </c>
      <c r="G3245" s="153">
        <v>1</v>
      </c>
      <c r="H3245" s="133"/>
      <c r="I3245" s="133"/>
      <c r="J3245" s="133" t="s">
        <v>2373</v>
      </c>
      <c r="K3245" s="133" t="s">
        <v>831</v>
      </c>
      <c r="L3245" s="167"/>
      <c r="M3245" s="169"/>
    </row>
    <row r="3246" spans="1:13" x14ac:dyDescent="0.55000000000000004">
      <c r="A3246" s="132" t="s">
        <v>2374</v>
      </c>
      <c r="B3246" s="133" t="s">
        <v>153</v>
      </c>
      <c r="C3246" s="133" t="s">
        <v>127</v>
      </c>
      <c r="D3246" s="133" t="s">
        <v>2994</v>
      </c>
      <c r="E3246" s="138">
        <v>190</v>
      </c>
      <c r="F3246" s="153" t="s">
        <v>130</v>
      </c>
      <c r="G3246" s="153">
        <v>1</v>
      </c>
      <c r="H3246" s="133"/>
      <c r="I3246" s="133"/>
      <c r="J3246" s="133" t="s">
        <v>2373</v>
      </c>
      <c r="K3246" s="133" t="s">
        <v>831</v>
      </c>
      <c r="L3246" s="167"/>
      <c r="M3246" s="169"/>
    </row>
    <row r="3247" spans="1:13" x14ac:dyDescent="0.55000000000000004">
      <c r="A3247" s="132" t="s">
        <v>2374</v>
      </c>
      <c r="B3247" s="133" t="s">
        <v>2694</v>
      </c>
      <c r="C3247" s="133" t="s">
        <v>127</v>
      </c>
      <c r="D3247" s="133" t="s">
        <v>2994</v>
      </c>
      <c r="E3247" s="138">
        <v>614.29999999999995</v>
      </c>
      <c r="F3247" s="153" t="s">
        <v>167</v>
      </c>
      <c r="G3247" s="153">
        <v>1</v>
      </c>
      <c r="H3247" s="133"/>
      <c r="I3247" s="133"/>
      <c r="J3247" s="133" t="s">
        <v>2373</v>
      </c>
      <c r="K3247" s="133" t="s">
        <v>831</v>
      </c>
      <c r="L3247" s="167"/>
      <c r="M3247" s="169"/>
    </row>
    <row r="3248" spans="1:13" x14ac:dyDescent="0.55000000000000004">
      <c r="A3248" s="132" t="s">
        <v>2374</v>
      </c>
      <c r="B3248" s="133" t="s">
        <v>2726</v>
      </c>
      <c r="C3248" s="133" t="s">
        <v>127</v>
      </c>
      <c r="D3248" s="133" t="s">
        <v>2994</v>
      </c>
      <c r="E3248" s="138">
        <v>81.400000000000006</v>
      </c>
      <c r="F3248" s="153" t="s">
        <v>167</v>
      </c>
      <c r="G3248" s="153">
        <v>1</v>
      </c>
      <c r="H3248" s="133"/>
      <c r="I3248" s="133"/>
      <c r="J3248" s="133" t="s">
        <v>2373</v>
      </c>
      <c r="K3248" s="133" t="s">
        <v>831</v>
      </c>
      <c r="L3248" s="167"/>
      <c r="M3248" s="169"/>
    </row>
    <row r="3249" spans="1:13" x14ac:dyDescent="0.55000000000000004">
      <c r="A3249" s="132" t="s">
        <v>2374</v>
      </c>
      <c r="B3249" s="133" t="s">
        <v>2727</v>
      </c>
      <c r="C3249" s="133" t="s">
        <v>125</v>
      </c>
      <c r="D3249" s="133" t="s">
        <v>3288</v>
      </c>
      <c r="E3249" s="138">
        <v>1.1000000000000001E-3</v>
      </c>
      <c r="F3249" s="153" t="s">
        <v>135</v>
      </c>
      <c r="G3249" s="153">
        <v>1</v>
      </c>
      <c r="H3249" s="133"/>
      <c r="I3249" s="133"/>
      <c r="J3249" s="133" t="s">
        <v>2373</v>
      </c>
      <c r="K3249" s="133" t="s">
        <v>831</v>
      </c>
      <c r="L3249" s="167"/>
      <c r="M3249" s="169"/>
    </row>
    <row r="3250" spans="1:13" x14ac:dyDescent="0.55000000000000004">
      <c r="A3250" s="132" t="s">
        <v>2374</v>
      </c>
      <c r="B3250" s="133" t="s">
        <v>154</v>
      </c>
      <c r="C3250" s="133" t="s">
        <v>132</v>
      </c>
      <c r="D3250" s="133" t="s">
        <v>3288</v>
      </c>
      <c r="E3250" s="138">
        <v>4.2999999999999997E-2</v>
      </c>
      <c r="F3250" s="153" t="s">
        <v>135</v>
      </c>
      <c r="G3250" s="153">
        <v>1</v>
      </c>
      <c r="H3250" s="133"/>
      <c r="I3250" s="133"/>
      <c r="J3250" s="133" t="s">
        <v>2373</v>
      </c>
      <c r="K3250" s="133" t="s">
        <v>831</v>
      </c>
      <c r="L3250" s="167"/>
      <c r="M3250" s="169"/>
    </row>
    <row r="3251" spans="1:13" x14ac:dyDescent="0.55000000000000004">
      <c r="A3251" s="132" t="s">
        <v>2374</v>
      </c>
      <c r="B3251" s="133" t="s">
        <v>422</v>
      </c>
      <c r="C3251" s="133" t="s">
        <v>125</v>
      </c>
      <c r="D3251" s="133" t="s">
        <v>3288</v>
      </c>
      <c r="E3251" s="138">
        <v>1.6000000000000001E-4</v>
      </c>
      <c r="F3251" s="153" t="s">
        <v>135</v>
      </c>
      <c r="G3251" s="153">
        <v>1</v>
      </c>
      <c r="H3251" s="133"/>
      <c r="I3251" s="133"/>
      <c r="J3251" s="133" t="s">
        <v>2373</v>
      </c>
      <c r="K3251" s="133" t="s">
        <v>831</v>
      </c>
      <c r="L3251" s="167"/>
      <c r="M3251" s="169"/>
    </row>
    <row r="3252" spans="1:13" x14ac:dyDescent="0.55000000000000004">
      <c r="A3252" s="132" t="s">
        <v>2374</v>
      </c>
      <c r="B3252" s="133" t="s">
        <v>2728</v>
      </c>
      <c r="C3252" s="133" t="s">
        <v>125</v>
      </c>
      <c r="D3252" s="133" t="s">
        <v>3288</v>
      </c>
      <c r="E3252" s="138">
        <v>1.0000000000000001E-5</v>
      </c>
      <c r="F3252" s="153" t="s">
        <v>135</v>
      </c>
      <c r="G3252" s="153">
        <v>1</v>
      </c>
      <c r="H3252" s="133"/>
      <c r="I3252" s="133"/>
      <c r="J3252" s="133" t="s">
        <v>2373</v>
      </c>
      <c r="K3252" s="133" t="s">
        <v>831</v>
      </c>
      <c r="L3252" s="167"/>
      <c r="M3252" s="169"/>
    </row>
    <row r="3253" spans="1:13" x14ac:dyDescent="0.55000000000000004">
      <c r="A3253" s="132" t="s">
        <v>2374</v>
      </c>
      <c r="B3253" s="133" t="s">
        <v>2729</v>
      </c>
      <c r="C3253" s="133" t="s">
        <v>125</v>
      </c>
      <c r="D3253" s="133" t="s">
        <v>3288</v>
      </c>
      <c r="E3253" s="138">
        <v>1.1E-4</v>
      </c>
      <c r="F3253" s="153" t="s">
        <v>135</v>
      </c>
      <c r="G3253" s="153">
        <v>1</v>
      </c>
      <c r="H3253" s="133"/>
      <c r="I3253" s="133"/>
      <c r="J3253" s="133" t="s">
        <v>2373</v>
      </c>
      <c r="K3253" s="133" t="s">
        <v>831</v>
      </c>
      <c r="L3253" s="167"/>
      <c r="M3253" s="169"/>
    </row>
    <row r="3254" spans="1:13" x14ac:dyDescent="0.55000000000000004">
      <c r="A3254" s="132" t="s">
        <v>2374</v>
      </c>
      <c r="B3254" s="133" t="s">
        <v>603</v>
      </c>
      <c r="C3254" s="133" t="s">
        <v>125</v>
      </c>
      <c r="D3254" s="133" t="s">
        <v>3288</v>
      </c>
      <c r="E3254" s="138">
        <v>1.2999999999999999E-4</v>
      </c>
      <c r="F3254" s="153" t="s">
        <v>135</v>
      </c>
      <c r="G3254" s="153">
        <v>1</v>
      </c>
      <c r="H3254" s="133"/>
      <c r="I3254" s="133"/>
      <c r="J3254" s="133" t="s">
        <v>2373</v>
      </c>
      <c r="K3254" s="133" t="s">
        <v>831</v>
      </c>
      <c r="L3254" s="167"/>
      <c r="M3254" s="169"/>
    </row>
    <row r="3255" spans="1:13" x14ac:dyDescent="0.55000000000000004">
      <c r="A3255" s="132" t="s">
        <v>2374</v>
      </c>
      <c r="B3255" s="133" t="s">
        <v>2730</v>
      </c>
      <c r="C3255" s="133" t="s">
        <v>348</v>
      </c>
      <c r="D3255" s="133" t="s">
        <v>3288</v>
      </c>
      <c r="E3255" s="138">
        <v>4.4000000000000002E-4</v>
      </c>
      <c r="F3255" s="153" t="s">
        <v>135</v>
      </c>
      <c r="G3255" s="153">
        <v>1</v>
      </c>
      <c r="H3255" s="133"/>
      <c r="I3255" s="133"/>
      <c r="J3255" s="133" t="s">
        <v>2373</v>
      </c>
      <c r="K3255" s="133" t="s">
        <v>831</v>
      </c>
      <c r="L3255" s="167"/>
      <c r="M3255" s="169"/>
    </row>
    <row r="3256" spans="1:13" x14ac:dyDescent="0.55000000000000004">
      <c r="A3256" s="132" t="s">
        <v>2374</v>
      </c>
      <c r="B3256" s="133" t="s">
        <v>2731</v>
      </c>
      <c r="C3256" s="133" t="s">
        <v>156</v>
      </c>
      <c r="D3256" s="133" t="s">
        <v>3288</v>
      </c>
      <c r="E3256" s="138">
        <v>1.1900000000000001E-3</v>
      </c>
      <c r="F3256" s="153" t="s">
        <v>135</v>
      </c>
      <c r="G3256" s="153">
        <v>1</v>
      </c>
      <c r="H3256" s="133"/>
      <c r="I3256" s="133"/>
      <c r="J3256" s="133" t="s">
        <v>2373</v>
      </c>
      <c r="K3256" s="133" t="s">
        <v>831</v>
      </c>
      <c r="L3256" s="167"/>
      <c r="M3256" s="169"/>
    </row>
    <row r="3257" spans="1:13" x14ac:dyDescent="0.55000000000000004">
      <c r="A3257" s="132" t="s">
        <v>2374</v>
      </c>
      <c r="B3257" s="133" t="s">
        <v>2732</v>
      </c>
      <c r="C3257" s="133" t="s">
        <v>163</v>
      </c>
      <c r="D3257" s="133" t="s">
        <v>3288</v>
      </c>
      <c r="E3257" s="138">
        <v>6.3E-3</v>
      </c>
      <c r="F3257" s="153" t="s">
        <v>135</v>
      </c>
      <c r="G3257" s="153">
        <v>1</v>
      </c>
      <c r="H3257" s="133"/>
      <c r="I3257" s="133"/>
      <c r="J3257" s="133" t="s">
        <v>2373</v>
      </c>
      <c r="K3257" s="133" t="s">
        <v>831</v>
      </c>
      <c r="L3257" s="167"/>
      <c r="M3257" s="169"/>
    </row>
    <row r="3258" spans="1:13" x14ac:dyDescent="0.55000000000000004">
      <c r="A3258" s="132" t="s">
        <v>2374</v>
      </c>
      <c r="B3258" s="133" t="s">
        <v>2733</v>
      </c>
      <c r="C3258" s="133" t="s">
        <v>163</v>
      </c>
      <c r="D3258" s="133" t="s">
        <v>3288</v>
      </c>
      <c r="E3258" s="138">
        <v>8.0000000000000002E-3</v>
      </c>
      <c r="F3258" s="153" t="s">
        <v>135</v>
      </c>
      <c r="G3258" s="153">
        <v>1</v>
      </c>
      <c r="H3258" s="133"/>
      <c r="I3258" s="133"/>
      <c r="J3258" s="133" t="s">
        <v>2373</v>
      </c>
      <c r="K3258" s="133" t="s">
        <v>831</v>
      </c>
      <c r="L3258" s="167"/>
      <c r="M3258" s="169"/>
    </row>
    <row r="3259" spans="1:13" x14ac:dyDescent="0.55000000000000004">
      <c r="A3259" s="132" t="s">
        <v>2374</v>
      </c>
      <c r="B3259" s="133" t="s">
        <v>2734</v>
      </c>
      <c r="C3259" s="133" t="s">
        <v>163</v>
      </c>
      <c r="D3259" s="133" t="s">
        <v>3288</v>
      </c>
      <c r="E3259" s="138">
        <v>3.3500000000000001E-3</v>
      </c>
      <c r="F3259" s="153" t="s">
        <v>135</v>
      </c>
      <c r="G3259" s="153">
        <v>1</v>
      </c>
      <c r="H3259" s="133"/>
      <c r="I3259" s="133"/>
      <c r="J3259" s="133" t="s">
        <v>2373</v>
      </c>
      <c r="K3259" s="133" t="s">
        <v>831</v>
      </c>
      <c r="L3259" s="167"/>
      <c r="M3259" s="169"/>
    </row>
    <row r="3260" spans="1:13" x14ac:dyDescent="0.55000000000000004">
      <c r="A3260" s="132" t="s">
        <v>2377</v>
      </c>
      <c r="B3260" s="133" t="s">
        <v>2735</v>
      </c>
      <c r="C3260" s="133" t="s">
        <v>121</v>
      </c>
      <c r="D3260" s="133" t="s">
        <v>2682</v>
      </c>
      <c r="E3260" s="138">
        <v>1</v>
      </c>
      <c r="F3260" s="153">
        <v>1</v>
      </c>
      <c r="G3260" s="153">
        <v>1</v>
      </c>
      <c r="H3260" s="133"/>
      <c r="I3260" s="133"/>
      <c r="J3260" s="133" t="s">
        <v>2376</v>
      </c>
      <c r="K3260" s="133" t="s">
        <v>831</v>
      </c>
      <c r="L3260" s="167"/>
      <c r="M3260" s="169"/>
    </row>
    <row r="3261" spans="1:13" x14ac:dyDescent="0.55000000000000004">
      <c r="A3261" s="132" t="s">
        <v>2377</v>
      </c>
      <c r="B3261" s="133" t="s">
        <v>2736</v>
      </c>
      <c r="C3261" s="133" t="s">
        <v>348</v>
      </c>
      <c r="D3261" s="133" t="s">
        <v>3288</v>
      </c>
      <c r="E3261" s="138">
        <v>1</v>
      </c>
      <c r="F3261" s="153" t="s">
        <v>135</v>
      </c>
      <c r="G3261" s="153">
        <v>1</v>
      </c>
      <c r="H3261" s="133"/>
      <c r="I3261" s="133"/>
      <c r="J3261" s="133" t="s">
        <v>2376</v>
      </c>
      <c r="K3261" s="133" t="s">
        <v>831</v>
      </c>
      <c r="L3261" s="167"/>
      <c r="M3261" s="169"/>
    </row>
    <row r="3262" spans="1:13" x14ac:dyDescent="0.55000000000000004">
      <c r="A3262" s="132" t="s">
        <v>2377</v>
      </c>
      <c r="B3262" s="133" t="s">
        <v>2725</v>
      </c>
      <c r="C3262" s="133" t="s">
        <v>156</v>
      </c>
      <c r="D3262" s="133" t="s">
        <v>3288</v>
      </c>
      <c r="E3262" s="138">
        <v>0.4</v>
      </c>
      <c r="F3262" s="153" t="s">
        <v>135</v>
      </c>
      <c r="G3262" s="153">
        <v>1</v>
      </c>
      <c r="H3262" s="133"/>
      <c r="I3262" s="133"/>
      <c r="J3262" s="133" t="s">
        <v>2376</v>
      </c>
      <c r="K3262" s="133" t="s">
        <v>831</v>
      </c>
      <c r="L3262" s="167"/>
      <c r="M3262" s="169"/>
    </row>
    <row r="3263" spans="1:13" x14ac:dyDescent="0.55000000000000004">
      <c r="A3263" s="132" t="s">
        <v>2377</v>
      </c>
      <c r="B3263" s="133" t="s">
        <v>2737</v>
      </c>
      <c r="C3263" s="133" t="s">
        <v>156</v>
      </c>
      <c r="D3263" s="133" t="s">
        <v>3288</v>
      </c>
      <c r="E3263" s="138">
        <v>0.55000000000000004</v>
      </c>
      <c r="F3263" s="153" t="s">
        <v>135</v>
      </c>
      <c r="G3263" s="153">
        <v>1</v>
      </c>
      <c r="H3263" s="133"/>
      <c r="I3263" s="133"/>
      <c r="J3263" s="133" t="s">
        <v>2376</v>
      </c>
      <c r="K3263" s="133" t="s">
        <v>831</v>
      </c>
      <c r="L3263" s="167"/>
      <c r="M3263" s="169"/>
    </row>
    <row r="3264" spans="1:13" x14ac:dyDescent="0.55000000000000004">
      <c r="A3264" s="132" t="s">
        <v>2377</v>
      </c>
      <c r="B3264" s="133" t="s">
        <v>153</v>
      </c>
      <c r="C3264" s="133" t="s">
        <v>127</v>
      </c>
      <c r="D3264" s="133" t="s">
        <v>2994</v>
      </c>
      <c r="E3264" s="138">
        <v>190</v>
      </c>
      <c r="F3264" s="153" t="s">
        <v>130</v>
      </c>
      <c r="G3264" s="153">
        <v>1</v>
      </c>
      <c r="H3264" s="133"/>
      <c r="I3264" s="133"/>
      <c r="J3264" s="133" t="s">
        <v>2376</v>
      </c>
      <c r="K3264" s="133" t="s">
        <v>831</v>
      </c>
      <c r="L3264" s="167"/>
      <c r="M3264" s="169"/>
    </row>
    <row r="3265" spans="1:13" x14ac:dyDescent="0.55000000000000004">
      <c r="A3265" s="132" t="s">
        <v>2377</v>
      </c>
      <c r="B3265" s="133" t="s">
        <v>2694</v>
      </c>
      <c r="C3265" s="133" t="s">
        <v>127</v>
      </c>
      <c r="D3265" s="133" t="s">
        <v>2994</v>
      </c>
      <c r="E3265" s="138">
        <v>614.29999999999995</v>
      </c>
      <c r="F3265" s="153" t="s">
        <v>167</v>
      </c>
      <c r="G3265" s="153">
        <v>1</v>
      </c>
      <c r="H3265" s="133"/>
      <c r="I3265" s="133"/>
      <c r="J3265" s="133" t="s">
        <v>2376</v>
      </c>
      <c r="K3265" s="133" t="s">
        <v>831</v>
      </c>
      <c r="L3265" s="167"/>
      <c r="M3265" s="169"/>
    </row>
    <row r="3266" spans="1:13" x14ac:dyDescent="0.55000000000000004">
      <c r="A3266" s="132" t="s">
        <v>2377</v>
      </c>
      <c r="B3266" s="133" t="s">
        <v>2726</v>
      </c>
      <c r="C3266" s="133" t="s">
        <v>127</v>
      </c>
      <c r="D3266" s="133" t="s">
        <v>2994</v>
      </c>
      <c r="E3266" s="138">
        <v>81.400000000000006</v>
      </c>
      <c r="F3266" s="153" t="s">
        <v>167</v>
      </c>
      <c r="G3266" s="153">
        <v>1</v>
      </c>
      <c r="H3266" s="133"/>
      <c r="I3266" s="133"/>
      <c r="J3266" s="133" t="s">
        <v>2376</v>
      </c>
      <c r="K3266" s="133" t="s">
        <v>831</v>
      </c>
      <c r="L3266" s="167"/>
      <c r="M3266" s="169"/>
    </row>
    <row r="3267" spans="1:13" x14ac:dyDescent="0.55000000000000004">
      <c r="A3267" s="132" t="s">
        <v>2377</v>
      </c>
      <c r="B3267" s="133" t="s">
        <v>2727</v>
      </c>
      <c r="C3267" s="133" t="s">
        <v>125</v>
      </c>
      <c r="D3267" s="133" t="s">
        <v>3288</v>
      </c>
      <c r="E3267" s="138">
        <v>1.1000000000000001E-3</v>
      </c>
      <c r="F3267" s="153" t="s">
        <v>135</v>
      </c>
      <c r="G3267" s="153">
        <v>1</v>
      </c>
      <c r="H3267" s="133"/>
      <c r="I3267" s="133"/>
      <c r="J3267" s="133" t="s">
        <v>2376</v>
      </c>
      <c r="K3267" s="133" t="s">
        <v>831</v>
      </c>
      <c r="L3267" s="167"/>
      <c r="M3267" s="169"/>
    </row>
    <row r="3268" spans="1:13" x14ac:dyDescent="0.55000000000000004">
      <c r="A3268" s="132" t="s">
        <v>2377</v>
      </c>
      <c r="B3268" s="133" t="s">
        <v>154</v>
      </c>
      <c r="C3268" s="133" t="s">
        <v>132</v>
      </c>
      <c r="D3268" s="133" t="s">
        <v>3288</v>
      </c>
      <c r="E3268" s="138">
        <v>4.2999999999999997E-2</v>
      </c>
      <c r="F3268" s="153" t="s">
        <v>135</v>
      </c>
      <c r="G3268" s="153">
        <v>1</v>
      </c>
      <c r="H3268" s="133"/>
      <c r="I3268" s="133"/>
      <c r="J3268" s="133" t="s">
        <v>2376</v>
      </c>
      <c r="K3268" s="133" t="s">
        <v>831</v>
      </c>
      <c r="L3268" s="167"/>
      <c r="M3268" s="169"/>
    </row>
    <row r="3269" spans="1:13" x14ac:dyDescent="0.55000000000000004">
      <c r="A3269" s="132" t="s">
        <v>2377</v>
      </c>
      <c r="B3269" s="133" t="s">
        <v>422</v>
      </c>
      <c r="C3269" s="133" t="s">
        <v>125</v>
      </c>
      <c r="D3269" s="133" t="s">
        <v>3288</v>
      </c>
      <c r="E3269" s="138">
        <v>1.6000000000000001E-4</v>
      </c>
      <c r="F3269" s="153" t="s">
        <v>135</v>
      </c>
      <c r="G3269" s="153">
        <v>1</v>
      </c>
      <c r="H3269" s="133"/>
      <c r="I3269" s="133"/>
      <c r="J3269" s="133" t="s">
        <v>2376</v>
      </c>
      <c r="K3269" s="133" t="s">
        <v>831</v>
      </c>
      <c r="L3269" s="167"/>
      <c r="M3269" s="169"/>
    </row>
    <row r="3270" spans="1:13" x14ac:dyDescent="0.55000000000000004">
      <c r="A3270" s="132" t="s">
        <v>2377</v>
      </c>
      <c r="B3270" s="133" t="s">
        <v>2728</v>
      </c>
      <c r="C3270" s="133" t="s">
        <v>125</v>
      </c>
      <c r="D3270" s="133" t="s">
        <v>3288</v>
      </c>
      <c r="E3270" s="138">
        <v>1.0000000000000001E-5</v>
      </c>
      <c r="F3270" s="153" t="s">
        <v>135</v>
      </c>
      <c r="G3270" s="153">
        <v>1</v>
      </c>
      <c r="H3270" s="133"/>
      <c r="I3270" s="133"/>
      <c r="J3270" s="133" t="s">
        <v>2376</v>
      </c>
      <c r="K3270" s="133" t="s">
        <v>831</v>
      </c>
      <c r="L3270" s="167"/>
      <c r="M3270" s="169"/>
    </row>
    <row r="3271" spans="1:13" x14ac:dyDescent="0.55000000000000004">
      <c r="A3271" s="132" t="s">
        <v>2377</v>
      </c>
      <c r="B3271" s="133" t="s">
        <v>2729</v>
      </c>
      <c r="C3271" s="133" t="s">
        <v>125</v>
      </c>
      <c r="D3271" s="133" t="s">
        <v>3288</v>
      </c>
      <c r="E3271" s="138">
        <v>1.1E-4</v>
      </c>
      <c r="F3271" s="153" t="s">
        <v>135</v>
      </c>
      <c r="G3271" s="153">
        <v>1</v>
      </c>
      <c r="H3271" s="133"/>
      <c r="I3271" s="133"/>
      <c r="J3271" s="133" t="s">
        <v>2376</v>
      </c>
      <c r="K3271" s="133" t="s">
        <v>831</v>
      </c>
      <c r="L3271" s="167"/>
      <c r="M3271" s="169"/>
    </row>
    <row r="3272" spans="1:13" x14ac:dyDescent="0.55000000000000004">
      <c r="A3272" s="132" t="s">
        <v>2377</v>
      </c>
      <c r="B3272" s="133" t="s">
        <v>603</v>
      </c>
      <c r="C3272" s="133" t="s">
        <v>125</v>
      </c>
      <c r="D3272" s="133" t="s">
        <v>3288</v>
      </c>
      <c r="E3272" s="138">
        <v>1.2999999999999999E-4</v>
      </c>
      <c r="F3272" s="153" t="s">
        <v>135</v>
      </c>
      <c r="G3272" s="153">
        <v>1</v>
      </c>
      <c r="H3272" s="133"/>
      <c r="I3272" s="133"/>
      <c r="J3272" s="133" t="s">
        <v>2376</v>
      </c>
      <c r="K3272" s="133" t="s">
        <v>831</v>
      </c>
      <c r="L3272" s="167"/>
      <c r="M3272" s="169"/>
    </row>
    <row r="3273" spans="1:13" x14ac:dyDescent="0.55000000000000004">
      <c r="A3273" s="132" t="s">
        <v>2377</v>
      </c>
      <c r="B3273" s="133" t="s">
        <v>2730</v>
      </c>
      <c r="C3273" s="133" t="s">
        <v>348</v>
      </c>
      <c r="D3273" s="133" t="s">
        <v>3288</v>
      </c>
      <c r="E3273" s="138">
        <v>4.4000000000000002E-4</v>
      </c>
      <c r="F3273" s="153" t="s">
        <v>135</v>
      </c>
      <c r="G3273" s="153">
        <v>1</v>
      </c>
      <c r="H3273" s="133"/>
      <c r="I3273" s="133"/>
      <c r="J3273" s="133" t="s">
        <v>2376</v>
      </c>
      <c r="K3273" s="133" t="s">
        <v>831</v>
      </c>
      <c r="L3273" s="167"/>
      <c r="M3273" s="169"/>
    </row>
    <row r="3274" spans="1:13" x14ac:dyDescent="0.55000000000000004">
      <c r="A3274" s="132" t="s">
        <v>2377</v>
      </c>
      <c r="B3274" s="133" t="s">
        <v>2731</v>
      </c>
      <c r="C3274" s="133" t="s">
        <v>156</v>
      </c>
      <c r="D3274" s="133" t="s">
        <v>3288</v>
      </c>
      <c r="E3274" s="138">
        <v>1.1900000000000001E-3</v>
      </c>
      <c r="F3274" s="153" t="s">
        <v>135</v>
      </c>
      <c r="G3274" s="153">
        <v>1</v>
      </c>
      <c r="H3274" s="133"/>
      <c r="I3274" s="133"/>
      <c r="J3274" s="133" t="s">
        <v>2376</v>
      </c>
      <c r="K3274" s="133" t="s">
        <v>831</v>
      </c>
      <c r="L3274" s="167"/>
      <c r="M3274" s="169"/>
    </row>
    <row r="3275" spans="1:13" x14ac:dyDescent="0.55000000000000004">
      <c r="A3275" s="132" t="s">
        <v>2377</v>
      </c>
      <c r="B3275" s="133" t="s">
        <v>2732</v>
      </c>
      <c r="C3275" s="133" t="s">
        <v>163</v>
      </c>
      <c r="D3275" s="133" t="s">
        <v>3288</v>
      </c>
      <c r="E3275" s="138">
        <v>6.3E-3</v>
      </c>
      <c r="F3275" s="153" t="s">
        <v>135</v>
      </c>
      <c r="G3275" s="153">
        <v>1</v>
      </c>
      <c r="H3275" s="133"/>
      <c r="I3275" s="133"/>
      <c r="J3275" s="133" t="s">
        <v>2376</v>
      </c>
      <c r="K3275" s="133" t="s">
        <v>831</v>
      </c>
      <c r="L3275" s="167"/>
      <c r="M3275" s="169"/>
    </row>
    <row r="3276" spans="1:13" x14ac:dyDescent="0.55000000000000004">
      <c r="A3276" s="132" t="s">
        <v>2377</v>
      </c>
      <c r="B3276" s="133" t="s">
        <v>2733</v>
      </c>
      <c r="C3276" s="133" t="s">
        <v>163</v>
      </c>
      <c r="D3276" s="133" t="s">
        <v>3288</v>
      </c>
      <c r="E3276" s="138">
        <v>8.0000000000000002E-3</v>
      </c>
      <c r="F3276" s="153" t="s">
        <v>135</v>
      </c>
      <c r="G3276" s="153">
        <v>1</v>
      </c>
      <c r="H3276" s="133"/>
      <c r="I3276" s="133"/>
      <c r="J3276" s="133" t="s">
        <v>2376</v>
      </c>
      <c r="K3276" s="133" t="s">
        <v>831</v>
      </c>
      <c r="L3276" s="167"/>
      <c r="M3276" s="169"/>
    </row>
    <row r="3277" spans="1:13" x14ac:dyDescent="0.55000000000000004">
      <c r="A3277" s="132" t="s">
        <v>2377</v>
      </c>
      <c r="B3277" s="133" t="s">
        <v>2734</v>
      </c>
      <c r="C3277" s="133" t="s">
        <v>163</v>
      </c>
      <c r="D3277" s="133" t="s">
        <v>3288</v>
      </c>
      <c r="E3277" s="138">
        <v>3.3500000000000001E-3</v>
      </c>
      <c r="F3277" s="153" t="s">
        <v>135</v>
      </c>
      <c r="G3277" s="153">
        <v>1</v>
      </c>
      <c r="H3277" s="133"/>
      <c r="I3277" s="133"/>
      <c r="J3277" s="133" t="s">
        <v>2376</v>
      </c>
      <c r="K3277" s="133" t="s">
        <v>831</v>
      </c>
      <c r="L3277" s="167"/>
      <c r="M3277" s="169"/>
    </row>
    <row r="3278" spans="1:13" x14ac:dyDescent="0.55000000000000004">
      <c r="A3278" s="132" t="s">
        <v>2377</v>
      </c>
      <c r="B3278" s="133" t="s">
        <v>2738</v>
      </c>
      <c r="C3278" s="133" t="s">
        <v>163</v>
      </c>
      <c r="D3278" s="133" t="s">
        <v>3288</v>
      </c>
      <c r="E3278" s="138">
        <v>0.05</v>
      </c>
      <c r="F3278" s="153" t="s">
        <v>135</v>
      </c>
      <c r="G3278" s="153">
        <v>1</v>
      </c>
      <c r="H3278" s="133"/>
      <c r="I3278" s="133"/>
      <c r="J3278" s="133" t="s">
        <v>2376</v>
      </c>
      <c r="K3278" s="133" t="s">
        <v>831</v>
      </c>
      <c r="L3278" s="167"/>
      <c r="M3278" s="169"/>
    </row>
    <row r="3279" spans="1:13" x14ac:dyDescent="0.55000000000000004">
      <c r="A3279" s="132" t="s">
        <v>2380</v>
      </c>
      <c r="B3279" s="133" t="s">
        <v>2739</v>
      </c>
      <c r="C3279" s="133" t="s">
        <v>121</v>
      </c>
      <c r="D3279" s="133" t="s">
        <v>2682</v>
      </c>
      <c r="E3279" s="138">
        <v>1</v>
      </c>
      <c r="F3279" s="153">
        <v>1</v>
      </c>
      <c r="G3279" s="153">
        <v>1</v>
      </c>
      <c r="H3279" s="133" t="s">
        <v>39</v>
      </c>
      <c r="I3279" s="133"/>
      <c r="J3279" s="133" t="s">
        <v>2379</v>
      </c>
      <c r="K3279" s="133" t="s">
        <v>831</v>
      </c>
      <c r="L3279" s="167"/>
      <c r="M3279" s="169"/>
    </row>
    <row r="3280" spans="1:13" x14ac:dyDescent="0.55000000000000004">
      <c r="A3280" s="132" t="s">
        <v>2380</v>
      </c>
      <c r="B3280" s="133" t="s">
        <v>2740</v>
      </c>
      <c r="C3280" s="133" t="s">
        <v>348</v>
      </c>
      <c r="D3280" s="133" t="s">
        <v>3288</v>
      </c>
      <c r="E3280" s="138">
        <v>1</v>
      </c>
      <c r="F3280" s="153" t="s">
        <v>135</v>
      </c>
      <c r="G3280" s="153">
        <v>1</v>
      </c>
      <c r="H3280" s="133" t="s">
        <v>39</v>
      </c>
      <c r="I3280" s="133"/>
      <c r="J3280" s="133" t="s">
        <v>2379</v>
      </c>
      <c r="K3280" s="133" t="s">
        <v>831</v>
      </c>
      <c r="L3280" s="167"/>
      <c r="M3280" s="169"/>
    </row>
    <row r="3281" spans="1:13" x14ac:dyDescent="0.55000000000000004">
      <c r="A3281" s="132" t="s">
        <v>2380</v>
      </c>
      <c r="B3281" s="133" t="s">
        <v>153</v>
      </c>
      <c r="C3281" s="133" t="s">
        <v>127</v>
      </c>
      <c r="D3281" s="133" t="s">
        <v>2994</v>
      </c>
      <c r="E3281" s="138">
        <v>63.2</v>
      </c>
      <c r="F3281" s="153" t="s">
        <v>130</v>
      </c>
      <c r="G3281" s="153">
        <v>1</v>
      </c>
      <c r="H3281" s="133" t="s">
        <v>39</v>
      </c>
      <c r="I3281" s="133" t="s">
        <v>2741</v>
      </c>
      <c r="J3281" s="133" t="s">
        <v>2379</v>
      </c>
      <c r="K3281" s="133" t="s">
        <v>831</v>
      </c>
      <c r="L3281" s="167"/>
      <c r="M3281" s="169"/>
    </row>
    <row r="3282" spans="1:13" x14ac:dyDescent="0.55000000000000004">
      <c r="A3282" s="132" t="s">
        <v>2380</v>
      </c>
      <c r="B3282" s="133" t="s">
        <v>2742</v>
      </c>
      <c r="C3282" s="133" t="s">
        <v>156</v>
      </c>
      <c r="D3282" s="133" t="s">
        <v>3288</v>
      </c>
      <c r="E3282" s="138">
        <v>0.187</v>
      </c>
      <c r="F3282" s="153" t="s">
        <v>135</v>
      </c>
      <c r="G3282" s="153">
        <v>1</v>
      </c>
      <c r="H3282" s="133" t="s">
        <v>39</v>
      </c>
      <c r="I3282" s="133"/>
      <c r="J3282" s="133" t="s">
        <v>2379</v>
      </c>
      <c r="K3282" s="133" t="s">
        <v>831</v>
      </c>
      <c r="L3282" s="167"/>
      <c r="M3282" s="169"/>
    </row>
    <row r="3283" spans="1:13" x14ac:dyDescent="0.55000000000000004">
      <c r="A3283" s="132" t="s">
        <v>2380</v>
      </c>
      <c r="B3283" s="133" t="s">
        <v>2743</v>
      </c>
      <c r="C3283" s="133" t="s">
        <v>156</v>
      </c>
      <c r="D3283" s="133" t="s">
        <v>3288</v>
      </c>
      <c r="E3283" s="138">
        <v>0.14799999999999999</v>
      </c>
      <c r="F3283" s="153" t="s">
        <v>135</v>
      </c>
      <c r="G3283" s="153">
        <v>1</v>
      </c>
      <c r="H3283" s="133" t="s">
        <v>39</v>
      </c>
      <c r="I3283" s="133"/>
      <c r="J3283" s="133" t="s">
        <v>2379</v>
      </c>
      <c r="K3283" s="133" t="s">
        <v>831</v>
      </c>
      <c r="L3283" s="167"/>
      <c r="M3283" s="169"/>
    </row>
    <row r="3284" spans="1:13" x14ac:dyDescent="0.55000000000000004">
      <c r="A3284" s="132" t="s">
        <v>2380</v>
      </c>
      <c r="B3284" s="133" t="s">
        <v>2744</v>
      </c>
      <c r="C3284" s="133" t="s">
        <v>156</v>
      </c>
      <c r="D3284" s="133" t="s">
        <v>3288</v>
      </c>
      <c r="E3284" s="138">
        <v>0.02</v>
      </c>
      <c r="F3284" s="153" t="s">
        <v>135</v>
      </c>
      <c r="G3284" s="153">
        <v>1</v>
      </c>
      <c r="H3284" s="133" t="s">
        <v>39</v>
      </c>
      <c r="I3284" s="133"/>
      <c r="J3284" s="133" t="s">
        <v>2379</v>
      </c>
      <c r="K3284" s="133" t="s">
        <v>831</v>
      </c>
      <c r="L3284" s="167"/>
      <c r="M3284" s="169"/>
    </row>
    <row r="3285" spans="1:13" x14ac:dyDescent="0.55000000000000004">
      <c r="A3285" s="132" t="s">
        <v>2380</v>
      </c>
      <c r="B3285" s="133" t="s">
        <v>2745</v>
      </c>
      <c r="C3285" s="133" t="s">
        <v>156</v>
      </c>
      <c r="D3285" s="133" t="s">
        <v>3288</v>
      </c>
      <c r="E3285" s="138">
        <v>0.04</v>
      </c>
      <c r="F3285" s="153" t="s">
        <v>135</v>
      </c>
      <c r="G3285" s="153">
        <v>1</v>
      </c>
      <c r="H3285" s="133" t="s">
        <v>39</v>
      </c>
      <c r="I3285" s="133"/>
      <c r="J3285" s="133" t="s">
        <v>2379</v>
      </c>
      <c r="K3285" s="133" t="s">
        <v>831</v>
      </c>
      <c r="L3285" s="167"/>
      <c r="M3285" s="169"/>
    </row>
    <row r="3286" spans="1:13" x14ac:dyDescent="0.55000000000000004">
      <c r="A3286" s="132" t="s">
        <v>2380</v>
      </c>
      <c r="B3286" s="133" t="s">
        <v>2746</v>
      </c>
      <c r="C3286" s="133" t="s">
        <v>163</v>
      </c>
      <c r="D3286" s="133" t="s">
        <v>3288</v>
      </c>
      <c r="E3286" s="138">
        <v>0.60499999999999998</v>
      </c>
      <c r="F3286" s="153" t="s">
        <v>135</v>
      </c>
      <c r="G3286" s="153">
        <v>1</v>
      </c>
      <c r="H3286" s="133" t="s">
        <v>39</v>
      </c>
      <c r="I3286" s="133"/>
      <c r="J3286" s="133" t="s">
        <v>2379</v>
      </c>
      <c r="K3286" s="133" t="s">
        <v>831</v>
      </c>
      <c r="L3286" s="167"/>
      <c r="M3286" s="169"/>
    </row>
    <row r="3287" spans="1:13" x14ac:dyDescent="0.55000000000000004">
      <c r="A3287" s="132" t="s">
        <v>2383</v>
      </c>
      <c r="B3287" s="133" t="s">
        <v>2747</v>
      </c>
      <c r="C3287" s="133" t="s">
        <v>121</v>
      </c>
      <c r="D3287" s="133" t="s">
        <v>2682</v>
      </c>
      <c r="E3287" s="138">
        <v>1</v>
      </c>
      <c r="F3287" s="153">
        <v>1</v>
      </c>
      <c r="G3287" s="153">
        <v>1</v>
      </c>
      <c r="H3287" s="133" t="s">
        <v>39</v>
      </c>
      <c r="I3287" s="133"/>
      <c r="J3287" s="133" t="s">
        <v>2382</v>
      </c>
      <c r="K3287" s="133" t="s">
        <v>831</v>
      </c>
      <c r="L3287" s="167"/>
      <c r="M3287" s="169"/>
    </row>
    <row r="3288" spans="1:13" x14ac:dyDescent="0.55000000000000004">
      <c r="A3288" s="132" t="s">
        <v>2383</v>
      </c>
      <c r="B3288" s="133" t="s">
        <v>2748</v>
      </c>
      <c r="C3288" s="133" t="s">
        <v>348</v>
      </c>
      <c r="D3288" s="133" t="s">
        <v>3288</v>
      </c>
      <c r="E3288" s="138">
        <v>1</v>
      </c>
      <c r="F3288" s="153" t="s">
        <v>135</v>
      </c>
      <c r="G3288" s="153">
        <v>1</v>
      </c>
      <c r="H3288" s="133" t="s">
        <v>39</v>
      </c>
      <c r="I3288" s="133"/>
      <c r="J3288" s="133" t="s">
        <v>2382</v>
      </c>
      <c r="K3288" s="133" t="s">
        <v>831</v>
      </c>
      <c r="L3288" s="167"/>
      <c r="M3288" s="169"/>
    </row>
    <row r="3289" spans="1:13" x14ac:dyDescent="0.55000000000000004">
      <c r="A3289" s="132" t="s">
        <v>2383</v>
      </c>
      <c r="B3289" s="133" t="s">
        <v>2737</v>
      </c>
      <c r="C3289" s="133" t="s">
        <v>156</v>
      </c>
      <c r="D3289" s="133" t="s">
        <v>3288</v>
      </c>
      <c r="E3289" s="138">
        <v>0.95199999999999996</v>
      </c>
      <c r="F3289" s="153" t="s">
        <v>135</v>
      </c>
      <c r="G3289" s="153">
        <v>1</v>
      </c>
      <c r="H3289" s="133" t="s">
        <v>39</v>
      </c>
      <c r="I3289" s="133"/>
      <c r="J3289" s="133" t="s">
        <v>2382</v>
      </c>
      <c r="K3289" s="133" t="s">
        <v>831</v>
      </c>
      <c r="L3289" s="167"/>
      <c r="M3289" s="169"/>
    </row>
    <row r="3290" spans="1:13" x14ac:dyDescent="0.55000000000000004">
      <c r="A3290" s="132" t="s">
        <v>2383</v>
      </c>
      <c r="B3290" s="133" t="s">
        <v>2749</v>
      </c>
      <c r="C3290" s="133" t="s">
        <v>156</v>
      </c>
      <c r="D3290" s="133" t="s">
        <v>3288</v>
      </c>
      <c r="E3290" s="138">
        <v>4.8000000000000001E-2</v>
      </c>
      <c r="F3290" s="153" t="s">
        <v>135</v>
      </c>
      <c r="G3290" s="153">
        <v>1</v>
      </c>
      <c r="H3290" s="133" t="s">
        <v>39</v>
      </c>
      <c r="I3290" s="133"/>
      <c r="J3290" s="133" t="s">
        <v>2382</v>
      </c>
      <c r="K3290" s="133" t="s">
        <v>831</v>
      </c>
      <c r="L3290" s="167"/>
      <c r="M3290" s="169"/>
    </row>
    <row r="3291" spans="1:13" x14ac:dyDescent="0.55000000000000004">
      <c r="A3291" s="132" t="s">
        <v>2383</v>
      </c>
      <c r="B3291" s="133" t="s">
        <v>153</v>
      </c>
      <c r="C3291" s="133" t="s">
        <v>127</v>
      </c>
      <c r="D3291" s="133" t="s">
        <v>2994</v>
      </c>
      <c r="E3291" s="138">
        <v>190</v>
      </c>
      <c r="F3291" s="153" t="s">
        <v>130</v>
      </c>
      <c r="G3291" s="153">
        <v>1</v>
      </c>
      <c r="H3291" s="133" t="s">
        <v>39</v>
      </c>
      <c r="I3291" s="133"/>
      <c r="J3291" s="133" t="s">
        <v>2382</v>
      </c>
      <c r="K3291" s="133" t="s">
        <v>831</v>
      </c>
      <c r="L3291" s="167"/>
      <c r="M3291" s="169"/>
    </row>
    <row r="3292" spans="1:13" x14ac:dyDescent="0.55000000000000004">
      <c r="A3292" s="132" t="s">
        <v>2383</v>
      </c>
      <c r="B3292" s="133" t="s">
        <v>2694</v>
      </c>
      <c r="C3292" s="133" t="s">
        <v>127</v>
      </c>
      <c r="D3292" s="133" t="s">
        <v>2994</v>
      </c>
      <c r="E3292" s="138">
        <v>614.29999999999995</v>
      </c>
      <c r="F3292" s="153" t="s">
        <v>167</v>
      </c>
      <c r="G3292" s="153">
        <v>1</v>
      </c>
      <c r="H3292" s="133" t="s">
        <v>39</v>
      </c>
      <c r="I3292" s="133"/>
      <c r="J3292" s="133" t="s">
        <v>2382</v>
      </c>
      <c r="K3292" s="133" t="s">
        <v>831</v>
      </c>
      <c r="L3292" s="167"/>
      <c r="M3292" s="169"/>
    </row>
    <row r="3293" spans="1:13" x14ac:dyDescent="0.55000000000000004">
      <c r="A3293" s="132" t="s">
        <v>2383</v>
      </c>
      <c r="B3293" s="133" t="s">
        <v>2726</v>
      </c>
      <c r="C3293" s="133" t="s">
        <v>127</v>
      </c>
      <c r="D3293" s="133" t="s">
        <v>2994</v>
      </c>
      <c r="E3293" s="138">
        <v>81.400000000000006</v>
      </c>
      <c r="F3293" s="153" t="s">
        <v>167</v>
      </c>
      <c r="G3293" s="153">
        <v>1</v>
      </c>
      <c r="H3293" s="133" t="s">
        <v>39</v>
      </c>
      <c r="I3293" s="133"/>
      <c r="J3293" s="133" t="s">
        <v>2382</v>
      </c>
      <c r="K3293" s="133" t="s">
        <v>831</v>
      </c>
      <c r="L3293" s="167"/>
      <c r="M3293" s="169"/>
    </row>
    <row r="3294" spans="1:13" x14ac:dyDescent="0.55000000000000004">
      <c r="A3294" s="132" t="s">
        <v>2383</v>
      </c>
      <c r="B3294" s="133" t="s">
        <v>2727</v>
      </c>
      <c r="C3294" s="133" t="s">
        <v>125</v>
      </c>
      <c r="D3294" s="133" t="s">
        <v>3288</v>
      </c>
      <c r="E3294" s="138">
        <v>1.1000000000000001E-3</v>
      </c>
      <c r="F3294" s="153" t="s">
        <v>135</v>
      </c>
      <c r="G3294" s="153">
        <v>1</v>
      </c>
      <c r="H3294" s="133" t="s">
        <v>39</v>
      </c>
      <c r="I3294" s="133"/>
      <c r="J3294" s="133" t="s">
        <v>2382</v>
      </c>
      <c r="K3294" s="133" t="s">
        <v>831</v>
      </c>
      <c r="L3294" s="167"/>
      <c r="M3294" s="169"/>
    </row>
    <row r="3295" spans="1:13" x14ac:dyDescent="0.55000000000000004">
      <c r="A3295" s="132" t="s">
        <v>2383</v>
      </c>
      <c r="B3295" s="133" t="s">
        <v>154</v>
      </c>
      <c r="C3295" s="133" t="s">
        <v>132</v>
      </c>
      <c r="D3295" s="133" t="s">
        <v>3288</v>
      </c>
      <c r="E3295" s="138">
        <v>4.2999999999999997E-2</v>
      </c>
      <c r="F3295" s="153" t="s">
        <v>135</v>
      </c>
      <c r="G3295" s="153">
        <v>1</v>
      </c>
      <c r="H3295" s="133" t="s">
        <v>39</v>
      </c>
      <c r="I3295" s="133"/>
      <c r="J3295" s="133" t="s">
        <v>2382</v>
      </c>
      <c r="K3295" s="133" t="s">
        <v>831</v>
      </c>
      <c r="L3295" s="167"/>
      <c r="M3295" s="169"/>
    </row>
    <row r="3296" spans="1:13" x14ac:dyDescent="0.55000000000000004">
      <c r="A3296" s="132" t="s">
        <v>2383</v>
      </c>
      <c r="B3296" s="133" t="s">
        <v>422</v>
      </c>
      <c r="C3296" s="133" t="s">
        <v>125</v>
      </c>
      <c r="D3296" s="133" t="s">
        <v>3288</v>
      </c>
      <c r="E3296" s="138">
        <v>1.6000000000000001E-4</v>
      </c>
      <c r="F3296" s="153" t="s">
        <v>135</v>
      </c>
      <c r="G3296" s="153">
        <v>1</v>
      </c>
      <c r="H3296" s="133" t="s">
        <v>39</v>
      </c>
      <c r="I3296" s="133"/>
      <c r="J3296" s="133" t="s">
        <v>2382</v>
      </c>
      <c r="K3296" s="133" t="s">
        <v>831</v>
      </c>
      <c r="L3296" s="167"/>
      <c r="M3296" s="169"/>
    </row>
    <row r="3297" spans="1:13" x14ac:dyDescent="0.55000000000000004">
      <c r="A3297" s="132" t="s">
        <v>2383</v>
      </c>
      <c r="B3297" s="133" t="s">
        <v>2728</v>
      </c>
      <c r="C3297" s="133" t="s">
        <v>125</v>
      </c>
      <c r="D3297" s="133" t="s">
        <v>3288</v>
      </c>
      <c r="E3297" s="138">
        <v>1.0000000000000001E-5</v>
      </c>
      <c r="F3297" s="153" t="s">
        <v>135</v>
      </c>
      <c r="G3297" s="153">
        <v>1</v>
      </c>
      <c r="H3297" s="133" t="s">
        <v>39</v>
      </c>
      <c r="I3297" s="133"/>
      <c r="J3297" s="133" t="s">
        <v>2382</v>
      </c>
      <c r="K3297" s="133" t="s">
        <v>831</v>
      </c>
      <c r="L3297" s="167"/>
      <c r="M3297" s="169"/>
    </row>
    <row r="3298" spans="1:13" x14ac:dyDescent="0.55000000000000004">
      <c r="A3298" s="132" t="s">
        <v>2383</v>
      </c>
      <c r="B3298" s="133" t="s">
        <v>2729</v>
      </c>
      <c r="C3298" s="133" t="s">
        <v>125</v>
      </c>
      <c r="D3298" s="133" t="s">
        <v>3288</v>
      </c>
      <c r="E3298" s="138">
        <v>1.1E-4</v>
      </c>
      <c r="F3298" s="153" t="s">
        <v>135</v>
      </c>
      <c r="G3298" s="153">
        <v>1</v>
      </c>
      <c r="H3298" s="133" t="s">
        <v>39</v>
      </c>
      <c r="I3298" s="133"/>
      <c r="J3298" s="133" t="s">
        <v>2382</v>
      </c>
      <c r="K3298" s="133" t="s">
        <v>831</v>
      </c>
      <c r="L3298" s="167"/>
      <c r="M3298" s="169"/>
    </row>
    <row r="3299" spans="1:13" x14ac:dyDescent="0.55000000000000004">
      <c r="A3299" s="132" t="s">
        <v>2383</v>
      </c>
      <c r="B3299" s="133" t="s">
        <v>603</v>
      </c>
      <c r="C3299" s="133" t="s">
        <v>125</v>
      </c>
      <c r="D3299" s="133" t="s">
        <v>3288</v>
      </c>
      <c r="E3299" s="138">
        <v>1.2999999999999999E-4</v>
      </c>
      <c r="F3299" s="153" t="s">
        <v>135</v>
      </c>
      <c r="G3299" s="153">
        <v>1</v>
      </c>
      <c r="H3299" s="133" t="s">
        <v>39</v>
      </c>
      <c r="I3299" s="133"/>
      <c r="J3299" s="133" t="s">
        <v>2382</v>
      </c>
      <c r="K3299" s="133" t="s">
        <v>831</v>
      </c>
      <c r="L3299" s="167"/>
      <c r="M3299" s="169"/>
    </row>
    <row r="3300" spans="1:13" x14ac:dyDescent="0.55000000000000004">
      <c r="A3300" s="132" t="s">
        <v>2383</v>
      </c>
      <c r="B3300" s="133" t="s">
        <v>2730</v>
      </c>
      <c r="C3300" s="133" t="s">
        <v>348</v>
      </c>
      <c r="D3300" s="133" t="s">
        <v>3288</v>
      </c>
      <c r="E3300" s="138">
        <v>4.4000000000000002E-4</v>
      </c>
      <c r="F3300" s="153" t="s">
        <v>135</v>
      </c>
      <c r="G3300" s="153">
        <v>1</v>
      </c>
      <c r="H3300" s="133" t="s">
        <v>39</v>
      </c>
      <c r="I3300" s="133"/>
      <c r="J3300" s="133" t="s">
        <v>2382</v>
      </c>
      <c r="K3300" s="133" t="s">
        <v>831</v>
      </c>
      <c r="L3300" s="167"/>
      <c r="M3300" s="169"/>
    </row>
    <row r="3301" spans="1:13" x14ac:dyDescent="0.55000000000000004">
      <c r="A3301" s="132" t="s">
        <v>2383</v>
      </c>
      <c r="B3301" s="133" t="s">
        <v>2731</v>
      </c>
      <c r="C3301" s="133" t="s">
        <v>156</v>
      </c>
      <c r="D3301" s="133" t="s">
        <v>3288</v>
      </c>
      <c r="E3301" s="138">
        <v>1.1900000000000001E-3</v>
      </c>
      <c r="F3301" s="153" t="s">
        <v>135</v>
      </c>
      <c r="G3301" s="153">
        <v>1</v>
      </c>
      <c r="H3301" s="133" t="s">
        <v>39</v>
      </c>
      <c r="I3301" s="133"/>
      <c r="J3301" s="133" t="s">
        <v>2382</v>
      </c>
      <c r="K3301" s="133" t="s">
        <v>831</v>
      </c>
      <c r="L3301" s="167"/>
      <c r="M3301" s="169"/>
    </row>
    <row r="3302" spans="1:13" x14ac:dyDescent="0.55000000000000004">
      <c r="A3302" s="132" t="s">
        <v>2383</v>
      </c>
      <c r="B3302" s="133" t="s">
        <v>2732</v>
      </c>
      <c r="C3302" s="133" t="s">
        <v>163</v>
      </c>
      <c r="D3302" s="133" t="s">
        <v>3288</v>
      </c>
      <c r="E3302" s="138">
        <v>6.3E-3</v>
      </c>
      <c r="F3302" s="153" t="s">
        <v>135</v>
      </c>
      <c r="G3302" s="153">
        <v>1</v>
      </c>
      <c r="H3302" s="133" t="s">
        <v>39</v>
      </c>
      <c r="I3302" s="133"/>
      <c r="J3302" s="133" t="s">
        <v>2382</v>
      </c>
      <c r="K3302" s="133" t="s">
        <v>831</v>
      </c>
      <c r="L3302" s="167"/>
      <c r="M3302" s="169"/>
    </row>
    <row r="3303" spans="1:13" x14ac:dyDescent="0.55000000000000004">
      <c r="A3303" s="132" t="s">
        <v>2383</v>
      </c>
      <c r="B3303" s="133" t="s">
        <v>2733</v>
      </c>
      <c r="C3303" s="133" t="s">
        <v>163</v>
      </c>
      <c r="D3303" s="133" t="s">
        <v>3288</v>
      </c>
      <c r="E3303" s="138">
        <v>8.0000000000000002E-3</v>
      </c>
      <c r="F3303" s="153" t="s">
        <v>135</v>
      </c>
      <c r="G3303" s="153">
        <v>1</v>
      </c>
      <c r="H3303" s="133" t="s">
        <v>39</v>
      </c>
      <c r="I3303" s="133"/>
      <c r="J3303" s="133" t="s">
        <v>2382</v>
      </c>
      <c r="K3303" s="133" t="s">
        <v>831</v>
      </c>
      <c r="L3303" s="167"/>
      <c r="M3303" s="169"/>
    </row>
    <row r="3304" spans="1:13" x14ac:dyDescent="0.55000000000000004">
      <c r="A3304" s="132" t="s">
        <v>2383</v>
      </c>
      <c r="B3304" s="133" t="s">
        <v>2734</v>
      </c>
      <c r="C3304" s="133" t="s">
        <v>163</v>
      </c>
      <c r="D3304" s="133" t="s">
        <v>3288</v>
      </c>
      <c r="E3304" s="138">
        <v>3.3500000000000001E-3</v>
      </c>
      <c r="F3304" s="153" t="s">
        <v>135</v>
      </c>
      <c r="G3304" s="153">
        <v>1</v>
      </c>
      <c r="H3304" s="133" t="s">
        <v>39</v>
      </c>
      <c r="I3304" s="133"/>
      <c r="J3304" s="133" t="s">
        <v>2382</v>
      </c>
      <c r="K3304" s="133" t="s">
        <v>831</v>
      </c>
      <c r="L3304" s="167"/>
      <c r="M3304" s="169"/>
    </row>
    <row r="3305" spans="1:13" x14ac:dyDescent="0.55000000000000004">
      <c r="A3305" s="132" t="s">
        <v>2385</v>
      </c>
      <c r="B3305" s="133" t="s">
        <v>2750</v>
      </c>
      <c r="C3305" s="133" t="s">
        <v>121</v>
      </c>
      <c r="D3305" s="133" t="s">
        <v>2682</v>
      </c>
      <c r="E3305" s="138">
        <v>1</v>
      </c>
      <c r="F3305" s="153">
        <v>1</v>
      </c>
      <c r="G3305" s="153">
        <v>1</v>
      </c>
      <c r="H3305" s="133" t="s">
        <v>39</v>
      </c>
      <c r="I3305" s="133"/>
      <c r="J3305" s="133" t="s">
        <v>2384</v>
      </c>
      <c r="K3305" s="133" t="s">
        <v>831</v>
      </c>
      <c r="L3305" s="167"/>
      <c r="M3305" s="169"/>
    </row>
    <row r="3306" spans="1:13" x14ac:dyDescent="0.55000000000000004">
      <c r="A3306" s="132" t="s">
        <v>2385</v>
      </c>
      <c r="B3306" s="133" t="s">
        <v>2751</v>
      </c>
      <c r="C3306" s="133" t="s">
        <v>348</v>
      </c>
      <c r="D3306" s="133" t="s">
        <v>3288</v>
      </c>
      <c r="E3306" s="138">
        <v>1</v>
      </c>
      <c r="F3306" s="153" t="s">
        <v>122</v>
      </c>
      <c r="G3306" s="153">
        <v>1</v>
      </c>
      <c r="H3306" s="133" t="s">
        <v>39</v>
      </c>
      <c r="I3306" s="133"/>
      <c r="J3306" s="133" t="s">
        <v>2384</v>
      </c>
      <c r="K3306" s="133" t="s">
        <v>831</v>
      </c>
      <c r="L3306" s="167"/>
      <c r="M3306" s="169"/>
    </row>
    <row r="3307" spans="1:13" x14ac:dyDescent="0.55000000000000004">
      <c r="A3307" s="132" t="s">
        <v>2385</v>
      </c>
      <c r="B3307" s="133" t="s">
        <v>2594</v>
      </c>
      <c r="C3307" s="133" t="s">
        <v>127</v>
      </c>
      <c r="D3307" s="133" t="s">
        <v>2994</v>
      </c>
      <c r="E3307" s="138">
        <v>0.11683999999999999</v>
      </c>
      <c r="F3307" s="153" t="s">
        <v>167</v>
      </c>
      <c r="G3307" s="153">
        <v>1</v>
      </c>
      <c r="H3307" s="133" t="s">
        <v>39</v>
      </c>
      <c r="I3307" s="133"/>
      <c r="J3307" s="133" t="s">
        <v>2384</v>
      </c>
      <c r="K3307" s="133" t="s">
        <v>831</v>
      </c>
      <c r="L3307" s="167"/>
      <c r="M3307" s="169"/>
    </row>
    <row r="3308" spans="1:13" x14ac:dyDescent="0.55000000000000004">
      <c r="A3308" s="132" t="s">
        <v>2385</v>
      </c>
      <c r="B3308" s="133" t="s">
        <v>153</v>
      </c>
      <c r="C3308" s="133" t="s">
        <v>127</v>
      </c>
      <c r="D3308" s="133" t="s">
        <v>2994</v>
      </c>
      <c r="E3308" s="138">
        <v>0.140625</v>
      </c>
      <c r="F3308" s="153" t="s">
        <v>130</v>
      </c>
      <c r="G3308" s="153">
        <v>1</v>
      </c>
      <c r="H3308" s="133" t="s">
        <v>39</v>
      </c>
      <c r="I3308" s="133"/>
      <c r="J3308" s="133" t="s">
        <v>2384</v>
      </c>
      <c r="K3308" s="133" t="s">
        <v>831</v>
      </c>
      <c r="L3308" s="167"/>
      <c r="M3308" s="169"/>
    </row>
    <row r="3309" spans="1:13" x14ac:dyDescent="0.55000000000000004">
      <c r="A3309" s="132" t="s">
        <v>2385</v>
      </c>
      <c r="B3309" s="133" t="s">
        <v>508</v>
      </c>
      <c r="C3309" s="133" t="s">
        <v>127</v>
      </c>
      <c r="D3309" s="133" t="s">
        <v>2994</v>
      </c>
      <c r="E3309" s="138">
        <v>1.2370312500000001E-2</v>
      </c>
      <c r="F3309" s="153" t="s">
        <v>167</v>
      </c>
      <c r="G3309" s="153">
        <v>1</v>
      </c>
      <c r="H3309" s="133" t="s">
        <v>39</v>
      </c>
      <c r="I3309" s="133"/>
      <c r="J3309" s="133" t="s">
        <v>2384</v>
      </c>
      <c r="K3309" s="133" t="s">
        <v>831</v>
      </c>
      <c r="L3309" s="167"/>
      <c r="M3309" s="169"/>
    </row>
    <row r="3310" spans="1:13" x14ac:dyDescent="0.55000000000000004">
      <c r="A3310" s="132" t="s">
        <v>2385</v>
      </c>
      <c r="B3310" s="133" t="s">
        <v>2752</v>
      </c>
      <c r="C3310" s="133" t="s">
        <v>156</v>
      </c>
      <c r="D3310" s="133" t="s">
        <v>3288</v>
      </c>
      <c r="E3310" s="138">
        <v>0.55762500000000004</v>
      </c>
      <c r="F3310" s="153" t="s">
        <v>122</v>
      </c>
      <c r="G3310" s="153">
        <v>1</v>
      </c>
      <c r="H3310" s="133" t="s">
        <v>39</v>
      </c>
      <c r="I3310" s="133"/>
      <c r="J3310" s="133" t="s">
        <v>2384</v>
      </c>
      <c r="K3310" s="133" t="s">
        <v>831</v>
      </c>
      <c r="L3310" s="167"/>
      <c r="M3310" s="169"/>
    </row>
    <row r="3311" spans="1:13" x14ac:dyDescent="0.55000000000000004">
      <c r="A3311" s="132" t="s">
        <v>2385</v>
      </c>
      <c r="B3311" s="133" t="s">
        <v>2753</v>
      </c>
      <c r="C3311" s="133" t="s">
        <v>156</v>
      </c>
      <c r="D3311" s="133" t="s">
        <v>3288</v>
      </c>
      <c r="E3311" s="138">
        <v>2.0399999999999998E-2</v>
      </c>
      <c r="F3311" s="153" t="s">
        <v>122</v>
      </c>
      <c r="G3311" s="153">
        <v>1</v>
      </c>
      <c r="H3311" s="133" t="s">
        <v>39</v>
      </c>
      <c r="I3311" s="133"/>
      <c r="J3311" s="133" t="s">
        <v>2384</v>
      </c>
      <c r="K3311" s="133" t="s">
        <v>831</v>
      </c>
      <c r="L3311" s="167"/>
      <c r="M3311" s="169"/>
    </row>
    <row r="3312" spans="1:13" x14ac:dyDescent="0.55000000000000004">
      <c r="A3312" s="132" t="s">
        <v>2385</v>
      </c>
      <c r="B3312" s="133" t="s">
        <v>2754</v>
      </c>
      <c r="C3312" s="133" t="s">
        <v>156</v>
      </c>
      <c r="D3312" s="133" t="s">
        <v>3288</v>
      </c>
      <c r="E3312" s="138">
        <v>8.0999999999999996E-3</v>
      </c>
      <c r="F3312" s="153" t="s">
        <v>122</v>
      </c>
      <c r="G3312" s="153">
        <v>1</v>
      </c>
      <c r="H3312" s="133" t="s">
        <v>39</v>
      </c>
      <c r="I3312" s="133"/>
      <c r="J3312" s="133" t="s">
        <v>2384</v>
      </c>
      <c r="K3312" s="133" t="s">
        <v>831</v>
      </c>
      <c r="L3312" s="167"/>
      <c r="M3312" s="169"/>
    </row>
    <row r="3313" spans="1:13" x14ac:dyDescent="0.55000000000000004">
      <c r="A3313" s="132" t="s">
        <v>2385</v>
      </c>
      <c r="B3313" s="133" t="s">
        <v>2755</v>
      </c>
      <c r="C3313" s="133" t="s">
        <v>156</v>
      </c>
      <c r="D3313" s="133" t="s">
        <v>3288</v>
      </c>
      <c r="E3313" s="138">
        <v>0.16350000000000001</v>
      </c>
      <c r="F3313" s="153" t="s">
        <v>122</v>
      </c>
      <c r="G3313" s="153">
        <v>1</v>
      </c>
      <c r="H3313" s="133" t="s">
        <v>39</v>
      </c>
      <c r="I3313" s="133"/>
      <c r="J3313" s="133" t="s">
        <v>2384</v>
      </c>
      <c r="K3313" s="133" t="s">
        <v>831</v>
      </c>
      <c r="L3313" s="167"/>
      <c r="M3313" s="169"/>
    </row>
    <row r="3314" spans="1:13" x14ac:dyDescent="0.55000000000000004">
      <c r="A3314" s="132" t="s">
        <v>2385</v>
      </c>
      <c r="B3314" s="133" t="s">
        <v>2756</v>
      </c>
      <c r="C3314" s="133" t="s">
        <v>156</v>
      </c>
      <c r="D3314" s="133" t="s">
        <v>3288</v>
      </c>
      <c r="E3314" s="138">
        <v>1.5000000000000001E-4</v>
      </c>
      <c r="F3314" s="153" t="s">
        <v>122</v>
      </c>
      <c r="G3314" s="153">
        <v>1</v>
      </c>
      <c r="H3314" s="133" t="s">
        <v>39</v>
      </c>
      <c r="I3314" s="133"/>
      <c r="J3314" s="133" t="s">
        <v>2384</v>
      </c>
      <c r="K3314" s="133" t="s">
        <v>831</v>
      </c>
      <c r="L3314" s="167"/>
      <c r="M3314" s="169"/>
    </row>
    <row r="3315" spans="1:13" x14ac:dyDescent="0.55000000000000004">
      <c r="A3315" s="132" t="s">
        <v>2385</v>
      </c>
      <c r="B3315" s="133" t="s">
        <v>2757</v>
      </c>
      <c r="C3315" s="133" t="s">
        <v>156</v>
      </c>
      <c r="D3315" s="133" t="s">
        <v>3288</v>
      </c>
      <c r="E3315" s="138">
        <v>1.5000000000000001E-4</v>
      </c>
      <c r="F3315" s="153" t="s">
        <v>122</v>
      </c>
      <c r="G3315" s="153">
        <v>1</v>
      </c>
      <c r="H3315" s="133" t="s">
        <v>39</v>
      </c>
      <c r="I3315" s="133"/>
      <c r="J3315" s="133" t="s">
        <v>2384</v>
      </c>
      <c r="K3315" s="133" t="s">
        <v>831</v>
      </c>
      <c r="L3315" s="167"/>
      <c r="M3315" s="169"/>
    </row>
    <row r="3316" spans="1:13" x14ac:dyDescent="0.55000000000000004">
      <c r="A3316" s="132" t="s">
        <v>2385</v>
      </c>
      <c r="B3316" s="133" t="s">
        <v>2746</v>
      </c>
      <c r="C3316" s="133" t="s">
        <v>163</v>
      </c>
      <c r="D3316" s="133" t="s">
        <v>3288</v>
      </c>
      <c r="E3316" s="138">
        <v>0.25</v>
      </c>
      <c r="F3316" s="153" t="s">
        <v>122</v>
      </c>
      <c r="G3316" s="153">
        <v>1</v>
      </c>
      <c r="H3316" s="133" t="s">
        <v>39</v>
      </c>
      <c r="I3316" s="133"/>
      <c r="J3316" s="133" t="s">
        <v>2384</v>
      </c>
      <c r="K3316" s="133" t="s">
        <v>831</v>
      </c>
      <c r="L3316" s="167"/>
      <c r="M3316" s="169"/>
    </row>
    <row r="3317" spans="1:13" x14ac:dyDescent="0.55000000000000004">
      <c r="A3317" s="132" t="s">
        <v>2389</v>
      </c>
      <c r="B3317" s="133" t="s">
        <v>2758</v>
      </c>
      <c r="C3317" s="133" t="s">
        <v>121</v>
      </c>
      <c r="D3317" s="133" t="s">
        <v>2682</v>
      </c>
      <c r="E3317" s="138">
        <v>1</v>
      </c>
      <c r="F3317" s="153">
        <v>1</v>
      </c>
      <c r="G3317" s="153">
        <v>1</v>
      </c>
      <c r="H3317" s="133" t="s">
        <v>39</v>
      </c>
      <c r="I3317" s="133"/>
      <c r="J3317" s="133" t="s">
        <v>2388</v>
      </c>
      <c r="K3317" s="133" t="s">
        <v>831</v>
      </c>
      <c r="L3317" s="167"/>
      <c r="M3317" s="169"/>
    </row>
    <row r="3318" spans="1:13" x14ac:dyDescent="0.55000000000000004">
      <c r="A3318" s="132" t="s">
        <v>2389</v>
      </c>
      <c r="B3318" s="133" t="s">
        <v>2759</v>
      </c>
      <c r="C3318" s="133" t="s">
        <v>348</v>
      </c>
      <c r="D3318" s="133" t="s">
        <v>3288</v>
      </c>
      <c r="E3318" s="138">
        <v>1</v>
      </c>
      <c r="F3318" s="153" t="s">
        <v>122</v>
      </c>
      <c r="G3318" s="153">
        <v>1</v>
      </c>
      <c r="H3318" s="133" t="s">
        <v>39</v>
      </c>
      <c r="I3318" s="133"/>
      <c r="J3318" s="133" t="s">
        <v>2388</v>
      </c>
      <c r="K3318" s="133" t="s">
        <v>831</v>
      </c>
      <c r="L3318" s="167"/>
      <c r="M3318" s="169"/>
    </row>
    <row r="3319" spans="1:13" x14ac:dyDescent="0.55000000000000004">
      <c r="A3319" s="132" t="s">
        <v>2389</v>
      </c>
      <c r="B3319" s="133" t="s">
        <v>2594</v>
      </c>
      <c r="C3319" s="133" t="s">
        <v>127</v>
      </c>
      <c r="D3319" s="133" t="s">
        <v>2994</v>
      </c>
      <c r="E3319" s="138">
        <v>0.11908465116279068</v>
      </c>
      <c r="F3319" s="153" t="s">
        <v>167</v>
      </c>
      <c r="G3319" s="153">
        <v>1</v>
      </c>
      <c r="H3319" s="133" t="s">
        <v>39</v>
      </c>
      <c r="I3319" s="133"/>
      <c r="J3319" s="133" t="s">
        <v>2388</v>
      </c>
      <c r="K3319" s="133" t="s">
        <v>831</v>
      </c>
      <c r="L3319" s="167"/>
      <c r="M3319" s="169"/>
    </row>
    <row r="3320" spans="1:13" x14ac:dyDescent="0.55000000000000004">
      <c r="A3320" s="132" t="s">
        <v>2389</v>
      </c>
      <c r="B3320" s="133" t="s">
        <v>153</v>
      </c>
      <c r="C3320" s="133" t="s">
        <v>127</v>
      </c>
      <c r="D3320" s="133" t="s">
        <v>2994</v>
      </c>
      <c r="E3320" s="138">
        <v>0.14348837209302326</v>
      </c>
      <c r="F3320" s="153" t="s">
        <v>130</v>
      </c>
      <c r="G3320" s="153">
        <v>1</v>
      </c>
      <c r="H3320" s="133" t="s">
        <v>39</v>
      </c>
      <c r="I3320" s="133"/>
      <c r="J3320" s="133" t="s">
        <v>2388</v>
      </c>
      <c r="K3320" s="133" t="s">
        <v>831</v>
      </c>
      <c r="L3320" s="167"/>
      <c r="M3320" s="169"/>
    </row>
    <row r="3321" spans="1:13" x14ac:dyDescent="0.55000000000000004">
      <c r="A3321" s="132" t="s">
        <v>2389</v>
      </c>
      <c r="B3321" s="133" t="s">
        <v>508</v>
      </c>
      <c r="C3321" s="133" t="s">
        <v>127</v>
      </c>
      <c r="D3321" s="133" t="s">
        <v>2994</v>
      </c>
      <c r="E3321" s="138">
        <v>9.360000000000002E-3</v>
      </c>
      <c r="F3321" s="153" t="s">
        <v>167</v>
      </c>
      <c r="G3321" s="153">
        <v>1</v>
      </c>
      <c r="H3321" s="133" t="s">
        <v>39</v>
      </c>
      <c r="I3321" s="133"/>
      <c r="J3321" s="133" t="s">
        <v>2388</v>
      </c>
      <c r="K3321" s="133" t="s">
        <v>831</v>
      </c>
      <c r="L3321" s="167"/>
      <c r="M3321" s="169"/>
    </row>
    <row r="3322" spans="1:13" x14ac:dyDescent="0.55000000000000004">
      <c r="A3322" s="132" t="s">
        <v>2389</v>
      </c>
      <c r="B3322" s="133" t="s">
        <v>2752</v>
      </c>
      <c r="C3322" s="133" t="s">
        <v>156</v>
      </c>
      <c r="D3322" s="133" t="s">
        <v>3288</v>
      </c>
      <c r="E3322" s="138">
        <v>0.53407199999999999</v>
      </c>
      <c r="F3322" s="153" t="s">
        <v>122</v>
      </c>
      <c r="G3322" s="153">
        <v>1</v>
      </c>
      <c r="H3322" s="133" t="s">
        <v>39</v>
      </c>
      <c r="I3322" s="133"/>
      <c r="J3322" s="133" t="s">
        <v>2388</v>
      </c>
      <c r="K3322" s="133" t="s">
        <v>831</v>
      </c>
      <c r="L3322" s="167"/>
      <c r="M3322" s="169"/>
    </row>
    <row r="3323" spans="1:13" x14ac:dyDescent="0.55000000000000004">
      <c r="A3323" s="132" t="s">
        <v>2389</v>
      </c>
      <c r="B3323" s="133" t="s">
        <v>2753</v>
      </c>
      <c r="C3323" s="133" t="s">
        <v>156</v>
      </c>
      <c r="D3323" s="133" t="s">
        <v>3288</v>
      </c>
      <c r="E3323" s="138">
        <v>0.16648799999999997</v>
      </c>
      <c r="F3323" s="153" t="s">
        <v>122</v>
      </c>
      <c r="G3323" s="153">
        <v>1</v>
      </c>
      <c r="H3323" s="133" t="s">
        <v>39</v>
      </c>
      <c r="I3323" s="133"/>
      <c r="J3323" s="133" t="s">
        <v>2388</v>
      </c>
      <c r="K3323" s="133" t="s">
        <v>831</v>
      </c>
      <c r="L3323" s="167"/>
      <c r="M3323" s="169"/>
    </row>
    <row r="3324" spans="1:13" x14ac:dyDescent="0.55000000000000004">
      <c r="A3324" s="132" t="s">
        <v>2389</v>
      </c>
      <c r="B3324" s="133" t="s">
        <v>2754</v>
      </c>
      <c r="C3324" s="133" t="s">
        <v>156</v>
      </c>
      <c r="D3324" s="133" t="s">
        <v>3288</v>
      </c>
      <c r="E3324" s="138">
        <v>7.1316000000000004E-2</v>
      </c>
      <c r="F3324" s="153" t="s">
        <v>122</v>
      </c>
      <c r="G3324" s="153">
        <v>1</v>
      </c>
      <c r="H3324" s="133" t="s">
        <v>39</v>
      </c>
      <c r="I3324" s="133"/>
      <c r="J3324" s="133" t="s">
        <v>2388</v>
      </c>
      <c r="K3324" s="133" t="s">
        <v>831</v>
      </c>
      <c r="L3324" s="167"/>
      <c r="M3324" s="169"/>
    </row>
    <row r="3325" spans="1:13" x14ac:dyDescent="0.55000000000000004">
      <c r="A3325" s="132" t="s">
        <v>2389</v>
      </c>
      <c r="B3325" s="133" t="s">
        <v>2755</v>
      </c>
      <c r="C3325" s="133" t="s">
        <v>156</v>
      </c>
      <c r="D3325" s="133" t="s">
        <v>3288</v>
      </c>
      <c r="E3325" s="138">
        <v>5.4851999999999998E-2</v>
      </c>
      <c r="F3325" s="153" t="s">
        <v>122</v>
      </c>
      <c r="G3325" s="153">
        <v>1</v>
      </c>
      <c r="H3325" s="133" t="s">
        <v>39</v>
      </c>
      <c r="I3325" s="133"/>
      <c r="J3325" s="133" t="s">
        <v>2388</v>
      </c>
      <c r="K3325" s="133" t="s">
        <v>831</v>
      </c>
      <c r="L3325" s="167"/>
      <c r="M3325" s="169"/>
    </row>
    <row r="3326" spans="1:13" x14ac:dyDescent="0.55000000000000004">
      <c r="A3326" s="132" t="s">
        <v>2389</v>
      </c>
      <c r="B3326" s="133" t="s">
        <v>2756</v>
      </c>
      <c r="C3326" s="133" t="s">
        <v>156</v>
      </c>
      <c r="D3326" s="133" t="s">
        <v>3288</v>
      </c>
      <c r="E3326" s="138">
        <v>6.6360000000000004E-3</v>
      </c>
      <c r="F3326" s="153" t="s">
        <v>122</v>
      </c>
      <c r="G3326" s="153">
        <v>1</v>
      </c>
      <c r="H3326" s="133" t="s">
        <v>39</v>
      </c>
      <c r="I3326" s="133"/>
      <c r="J3326" s="133" t="s">
        <v>2388</v>
      </c>
      <c r="K3326" s="133" t="s">
        <v>831</v>
      </c>
      <c r="L3326" s="167"/>
      <c r="M3326" s="169"/>
    </row>
    <row r="3327" spans="1:13" x14ac:dyDescent="0.55000000000000004">
      <c r="A3327" s="132" t="s">
        <v>2389</v>
      </c>
      <c r="B3327" s="133" t="s">
        <v>2757</v>
      </c>
      <c r="C3327" s="133" t="s">
        <v>156</v>
      </c>
      <c r="D3327" s="133" t="s">
        <v>3288</v>
      </c>
      <c r="E3327" s="138">
        <v>6.6360000000000004E-3</v>
      </c>
      <c r="F3327" s="153" t="s">
        <v>122</v>
      </c>
      <c r="G3327" s="153">
        <v>1</v>
      </c>
      <c r="H3327" s="133" t="s">
        <v>39</v>
      </c>
      <c r="I3327" s="133"/>
      <c r="J3327" s="133" t="s">
        <v>2388</v>
      </c>
      <c r="K3327" s="133" t="s">
        <v>831</v>
      </c>
      <c r="L3327" s="167"/>
      <c r="M3327" s="169"/>
    </row>
    <row r="3328" spans="1:13" x14ac:dyDescent="0.55000000000000004">
      <c r="A3328" s="132" t="s">
        <v>2389</v>
      </c>
      <c r="B3328" s="133" t="s">
        <v>2746</v>
      </c>
      <c r="C3328" s="133" t="s">
        <v>163</v>
      </c>
      <c r="D3328" s="133" t="s">
        <v>3288</v>
      </c>
      <c r="E3328" s="138">
        <v>0.16</v>
      </c>
      <c r="F3328" s="153" t="s">
        <v>122</v>
      </c>
      <c r="G3328" s="153">
        <v>1</v>
      </c>
      <c r="H3328" s="133" t="s">
        <v>39</v>
      </c>
      <c r="I3328" s="133"/>
      <c r="J3328" s="133" t="s">
        <v>2388</v>
      </c>
      <c r="K3328" s="133" t="s">
        <v>831</v>
      </c>
      <c r="L3328" s="167"/>
      <c r="M3328" s="169"/>
    </row>
    <row r="3329" spans="1:13" x14ac:dyDescent="0.55000000000000004">
      <c r="A3329" s="132" t="s">
        <v>2392</v>
      </c>
      <c r="B3329" s="133" t="s">
        <v>2760</v>
      </c>
      <c r="C3329" s="133" t="s">
        <v>121</v>
      </c>
      <c r="D3329" s="133" t="s">
        <v>2682</v>
      </c>
      <c r="E3329" s="138">
        <v>1</v>
      </c>
      <c r="F3329" s="153">
        <v>1</v>
      </c>
      <c r="G3329" s="153">
        <v>1</v>
      </c>
      <c r="H3329" s="133" t="s">
        <v>39</v>
      </c>
      <c r="I3329" s="133"/>
      <c r="J3329" s="133" t="s">
        <v>2391</v>
      </c>
      <c r="K3329" s="133" t="s">
        <v>831</v>
      </c>
      <c r="L3329" s="167"/>
      <c r="M3329" s="169"/>
    </row>
    <row r="3330" spans="1:13" x14ac:dyDescent="0.55000000000000004">
      <c r="A3330" s="132" t="s">
        <v>2392</v>
      </c>
      <c r="B3330" s="133" t="s">
        <v>2761</v>
      </c>
      <c r="C3330" s="133" t="s">
        <v>348</v>
      </c>
      <c r="D3330" s="133" t="s">
        <v>3288</v>
      </c>
      <c r="E3330" s="138">
        <v>1</v>
      </c>
      <c r="F3330" s="153" t="s">
        <v>122</v>
      </c>
      <c r="G3330" s="153">
        <v>1</v>
      </c>
      <c r="H3330" s="133" t="s">
        <v>39</v>
      </c>
      <c r="I3330" s="133"/>
      <c r="J3330" s="133" t="s">
        <v>2391</v>
      </c>
      <c r="K3330" s="133" t="s">
        <v>831</v>
      </c>
      <c r="L3330" s="167"/>
      <c r="M3330" s="169"/>
    </row>
    <row r="3331" spans="1:13" x14ac:dyDescent="0.55000000000000004">
      <c r="A3331" s="132" t="s">
        <v>2392</v>
      </c>
      <c r="B3331" s="133" t="s">
        <v>2594</v>
      </c>
      <c r="C3331" s="133" t="s">
        <v>127</v>
      </c>
      <c r="D3331" s="133" t="s">
        <v>2994</v>
      </c>
      <c r="E3331" s="138">
        <v>0.13655793103448274</v>
      </c>
      <c r="F3331" s="153" t="s">
        <v>167</v>
      </c>
      <c r="G3331" s="153">
        <v>1</v>
      </c>
      <c r="H3331" s="133" t="s">
        <v>39</v>
      </c>
      <c r="I3331" s="133"/>
      <c r="J3331" s="133" t="s">
        <v>2391</v>
      </c>
      <c r="K3331" s="133" t="s">
        <v>831</v>
      </c>
      <c r="L3331" s="167"/>
      <c r="M3331" s="169"/>
    </row>
    <row r="3332" spans="1:13" x14ac:dyDescent="0.55000000000000004">
      <c r="A3332" s="132" t="s">
        <v>2392</v>
      </c>
      <c r="B3332" s="133" t="s">
        <v>153</v>
      </c>
      <c r="C3332" s="133" t="s">
        <v>127</v>
      </c>
      <c r="D3332" s="133" t="s">
        <v>2994</v>
      </c>
      <c r="E3332" s="138">
        <v>0.14189655172413793</v>
      </c>
      <c r="F3332" s="153" t="s">
        <v>130</v>
      </c>
      <c r="G3332" s="153">
        <v>1</v>
      </c>
      <c r="H3332" s="133" t="s">
        <v>39</v>
      </c>
      <c r="I3332" s="133"/>
      <c r="J3332" s="133" t="s">
        <v>2391</v>
      </c>
      <c r="K3332" s="133" t="s">
        <v>831</v>
      </c>
      <c r="L3332" s="167"/>
      <c r="M3332" s="169"/>
    </row>
    <row r="3333" spans="1:13" x14ac:dyDescent="0.55000000000000004">
      <c r="A3333" s="132" t="s">
        <v>2392</v>
      </c>
      <c r="B3333" s="133" t="s">
        <v>508</v>
      </c>
      <c r="C3333" s="133" t="s">
        <v>127</v>
      </c>
      <c r="D3333" s="133" t="s">
        <v>2994</v>
      </c>
      <c r="E3333" s="138">
        <v>1.248E-2</v>
      </c>
      <c r="F3333" s="153" t="s">
        <v>167</v>
      </c>
      <c r="G3333" s="153">
        <v>1</v>
      </c>
      <c r="H3333" s="133" t="s">
        <v>39</v>
      </c>
      <c r="I3333" s="133"/>
      <c r="J3333" s="133" t="s">
        <v>2391</v>
      </c>
      <c r="K3333" s="133" t="s">
        <v>831</v>
      </c>
      <c r="L3333" s="167"/>
      <c r="M3333" s="169"/>
    </row>
    <row r="3334" spans="1:13" x14ac:dyDescent="0.55000000000000004">
      <c r="A3334" s="132" t="s">
        <v>2392</v>
      </c>
      <c r="B3334" s="133" t="s">
        <v>2752</v>
      </c>
      <c r="C3334" s="133" t="s">
        <v>156</v>
      </c>
      <c r="D3334" s="133" t="s">
        <v>3288</v>
      </c>
      <c r="E3334" s="138">
        <v>0.55489400000000011</v>
      </c>
      <c r="F3334" s="153" t="s">
        <v>122</v>
      </c>
      <c r="G3334" s="153">
        <v>1</v>
      </c>
      <c r="H3334" s="133" t="s">
        <v>39</v>
      </c>
      <c r="I3334" s="133"/>
      <c r="J3334" s="133" t="s">
        <v>2391</v>
      </c>
      <c r="K3334" s="133" t="s">
        <v>831</v>
      </c>
      <c r="L3334" s="167"/>
      <c r="M3334" s="169"/>
    </row>
    <row r="3335" spans="1:13" x14ac:dyDescent="0.55000000000000004">
      <c r="A3335" s="132" t="s">
        <v>2392</v>
      </c>
      <c r="B3335" s="133" t="s">
        <v>2753</v>
      </c>
      <c r="C3335" s="133" t="s">
        <v>156</v>
      </c>
      <c r="D3335" s="133" t="s">
        <v>3288</v>
      </c>
      <c r="E3335" s="138">
        <v>1.5209000000000002E-2</v>
      </c>
      <c r="F3335" s="153" t="s">
        <v>122</v>
      </c>
      <c r="G3335" s="153">
        <v>1</v>
      </c>
      <c r="H3335" s="133" t="s">
        <v>39</v>
      </c>
      <c r="I3335" s="133"/>
      <c r="J3335" s="133" t="s">
        <v>2391</v>
      </c>
      <c r="K3335" s="133" t="s">
        <v>831</v>
      </c>
      <c r="L3335" s="167"/>
      <c r="M3335" s="169"/>
    </row>
    <row r="3336" spans="1:13" x14ac:dyDescent="0.55000000000000004">
      <c r="A3336" s="132" t="s">
        <v>2392</v>
      </c>
      <c r="B3336" s="133" t="s">
        <v>2754</v>
      </c>
      <c r="C3336" s="133" t="s">
        <v>156</v>
      </c>
      <c r="D3336" s="133" t="s">
        <v>3288</v>
      </c>
      <c r="E3336" s="138">
        <v>4.7570000000000008E-3</v>
      </c>
      <c r="F3336" s="153" t="s">
        <v>122</v>
      </c>
      <c r="G3336" s="153">
        <v>1</v>
      </c>
      <c r="H3336" s="133" t="s">
        <v>39</v>
      </c>
      <c r="I3336" s="133"/>
      <c r="J3336" s="133" t="s">
        <v>2391</v>
      </c>
      <c r="K3336" s="133" t="s">
        <v>831</v>
      </c>
      <c r="L3336" s="167"/>
      <c r="M3336" s="169"/>
    </row>
    <row r="3337" spans="1:13" x14ac:dyDescent="0.55000000000000004">
      <c r="A3337" s="132" t="s">
        <v>2392</v>
      </c>
      <c r="B3337" s="133" t="s">
        <v>2755</v>
      </c>
      <c r="C3337" s="133" t="s">
        <v>156</v>
      </c>
      <c r="D3337" s="133" t="s">
        <v>3288</v>
      </c>
      <c r="E3337" s="138">
        <v>9.2795000000000016E-2</v>
      </c>
      <c r="F3337" s="153" t="s">
        <v>122</v>
      </c>
      <c r="G3337" s="153">
        <v>1</v>
      </c>
      <c r="H3337" s="133" t="s">
        <v>39</v>
      </c>
      <c r="I3337" s="133"/>
      <c r="J3337" s="133" t="s">
        <v>2391</v>
      </c>
      <c r="K3337" s="133" t="s">
        <v>831</v>
      </c>
      <c r="L3337" s="167"/>
      <c r="M3337" s="169"/>
    </row>
    <row r="3338" spans="1:13" x14ac:dyDescent="0.55000000000000004">
      <c r="A3338" s="132" t="s">
        <v>2392</v>
      </c>
      <c r="B3338" s="133" t="s">
        <v>2756</v>
      </c>
      <c r="C3338" s="133" t="s">
        <v>156</v>
      </c>
      <c r="D3338" s="133" t="s">
        <v>3288</v>
      </c>
      <c r="E3338" s="138">
        <v>1.1725000000000001E-3</v>
      </c>
      <c r="F3338" s="153" t="s">
        <v>122</v>
      </c>
      <c r="G3338" s="153">
        <v>1</v>
      </c>
      <c r="H3338" s="133" t="s">
        <v>39</v>
      </c>
      <c r="I3338" s="133"/>
      <c r="J3338" s="133" t="s">
        <v>2391</v>
      </c>
      <c r="K3338" s="133" t="s">
        <v>831</v>
      </c>
      <c r="L3338" s="167"/>
      <c r="M3338" s="169"/>
    </row>
    <row r="3339" spans="1:13" x14ac:dyDescent="0.55000000000000004">
      <c r="A3339" s="132" t="s">
        <v>2392</v>
      </c>
      <c r="B3339" s="133" t="s">
        <v>2757</v>
      </c>
      <c r="C3339" s="133" t="s">
        <v>156</v>
      </c>
      <c r="D3339" s="133" t="s">
        <v>3288</v>
      </c>
      <c r="E3339" s="138">
        <v>1.1725000000000001E-3</v>
      </c>
      <c r="F3339" s="153" t="s">
        <v>122</v>
      </c>
      <c r="G3339" s="153">
        <v>1</v>
      </c>
      <c r="H3339" s="133" t="s">
        <v>39</v>
      </c>
      <c r="I3339" s="133"/>
      <c r="J3339" s="133" t="s">
        <v>2391</v>
      </c>
      <c r="K3339" s="133" t="s">
        <v>831</v>
      </c>
      <c r="L3339" s="167"/>
      <c r="M3339" s="169"/>
    </row>
    <row r="3340" spans="1:13" x14ac:dyDescent="0.55000000000000004">
      <c r="A3340" s="132" t="s">
        <v>2392</v>
      </c>
      <c r="B3340" s="133" t="s">
        <v>2746</v>
      </c>
      <c r="C3340" s="133" t="s">
        <v>163</v>
      </c>
      <c r="D3340" s="133" t="s">
        <v>3288</v>
      </c>
      <c r="E3340" s="138">
        <v>0.33</v>
      </c>
      <c r="F3340" s="153" t="s">
        <v>122</v>
      </c>
      <c r="G3340" s="153">
        <v>1</v>
      </c>
      <c r="H3340" s="133" t="s">
        <v>39</v>
      </c>
      <c r="I3340" s="133"/>
      <c r="J3340" s="133" t="s">
        <v>2391</v>
      </c>
      <c r="K3340" s="133" t="s">
        <v>831</v>
      </c>
      <c r="L3340" s="167"/>
      <c r="M3340" s="169"/>
    </row>
    <row r="3341" spans="1:13" x14ac:dyDescent="0.55000000000000004">
      <c r="A3341" s="132" t="s">
        <v>2395</v>
      </c>
      <c r="B3341" s="133" t="s">
        <v>2762</v>
      </c>
      <c r="C3341" s="133" t="s">
        <v>121</v>
      </c>
      <c r="D3341" s="133" t="s">
        <v>2682</v>
      </c>
      <c r="E3341" s="138">
        <v>1</v>
      </c>
      <c r="F3341" s="153">
        <v>1</v>
      </c>
      <c r="G3341" s="153">
        <v>1</v>
      </c>
      <c r="H3341" s="133"/>
      <c r="I3341" s="133"/>
      <c r="J3341" s="133" t="s">
        <v>2394</v>
      </c>
      <c r="K3341" s="133" t="s">
        <v>831</v>
      </c>
      <c r="L3341" s="167"/>
      <c r="M3341" s="169"/>
    </row>
    <row r="3342" spans="1:13" x14ac:dyDescent="0.55000000000000004">
      <c r="A3342" s="132" t="s">
        <v>2395</v>
      </c>
      <c r="B3342" s="133" t="s">
        <v>2763</v>
      </c>
      <c r="C3342" s="133" t="s">
        <v>348</v>
      </c>
      <c r="D3342" s="133" t="s">
        <v>3288</v>
      </c>
      <c r="E3342" s="138">
        <v>1</v>
      </c>
      <c r="F3342" s="153" t="s">
        <v>122</v>
      </c>
      <c r="G3342" s="153">
        <v>1</v>
      </c>
      <c r="H3342" s="133"/>
      <c r="I3342" s="133"/>
      <c r="J3342" s="133" t="s">
        <v>2394</v>
      </c>
      <c r="K3342" s="133" t="s">
        <v>831</v>
      </c>
      <c r="L3342" s="167"/>
      <c r="M3342" s="169"/>
    </row>
    <row r="3343" spans="1:13" x14ac:dyDescent="0.55000000000000004">
      <c r="A3343" s="132" t="s">
        <v>2395</v>
      </c>
      <c r="B3343" s="133" t="s">
        <v>2594</v>
      </c>
      <c r="C3343" s="133" t="s">
        <v>127</v>
      </c>
      <c r="D3343" s="133" t="s">
        <v>2994</v>
      </c>
      <c r="E3343" s="138">
        <v>0.1186542857142857</v>
      </c>
      <c r="F3343" s="153" t="s">
        <v>167</v>
      </c>
      <c r="G3343" s="153">
        <v>1</v>
      </c>
      <c r="H3343" s="133"/>
      <c r="I3343" s="133"/>
      <c r="J3343" s="133" t="s">
        <v>2394</v>
      </c>
      <c r="K3343" s="133" t="s">
        <v>831</v>
      </c>
      <c r="L3343" s="167"/>
      <c r="M3343" s="169"/>
    </row>
    <row r="3344" spans="1:13" x14ac:dyDescent="0.55000000000000004">
      <c r="A3344" s="132" t="s">
        <v>2395</v>
      </c>
      <c r="B3344" s="133" t="s">
        <v>153</v>
      </c>
      <c r="C3344" s="133" t="s">
        <v>127</v>
      </c>
      <c r="D3344" s="133" t="s">
        <v>2994</v>
      </c>
      <c r="E3344" s="138">
        <v>0.14285714285714285</v>
      </c>
      <c r="F3344" s="153" t="s">
        <v>130</v>
      </c>
      <c r="G3344" s="153">
        <v>1</v>
      </c>
      <c r="H3344" s="133"/>
      <c r="I3344" s="133"/>
      <c r="J3344" s="133" t="s">
        <v>2394</v>
      </c>
      <c r="K3344" s="133" t="s">
        <v>831</v>
      </c>
      <c r="L3344" s="167"/>
      <c r="M3344" s="169"/>
    </row>
    <row r="3345" spans="1:13" x14ac:dyDescent="0.55000000000000004">
      <c r="A3345" s="132" t="s">
        <v>2395</v>
      </c>
      <c r="B3345" s="133" t="s">
        <v>508</v>
      </c>
      <c r="C3345" s="133" t="s">
        <v>127</v>
      </c>
      <c r="D3345" s="133" t="s">
        <v>2994</v>
      </c>
      <c r="E3345" s="138">
        <v>1.2521785714285714E-2</v>
      </c>
      <c r="F3345" s="153" t="s">
        <v>167</v>
      </c>
      <c r="G3345" s="153">
        <v>1</v>
      </c>
      <c r="H3345" s="133"/>
      <c r="I3345" s="133"/>
      <c r="J3345" s="133" t="s">
        <v>2394</v>
      </c>
      <c r="K3345" s="133" t="s">
        <v>831</v>
      </c>
      <c r="L3345" s="167"/>
      <c r="M3345" s="169"/>
    </row>
    <row r="3346" spans="1:13" x14ac:dyDescent="0.55000000000000004">
      <c r="A3346" s="132" t="s">
        <v>2395</v>
      </c>
      <c r="B3346" s="133" t="s">
        <v>2752</v>
      </c>
      <c r="C3346" s="133" t="s">
        <v>156</v>
      </c>
      <c r="D3346" s="133" t="s">
        <v>3288</v>
      </c>
      <c r="E3346" s="138">
        <v>8.4931000000000006E-2</v>
      </c>
      <c r="F3346" s="153" t="s">
        <v>122</v>
      </c>
      <c r="G3346" s="153">
        <v>1</v>
      </c>
      <c r="H3346" s="133"/>
      <c r="I3346" s="133"/>
      <c r="J3346" s="133" t="s">
        <v>2394</v>
      </c>
      <c r="K3346" s="133" t="s">
        <v>831</v>
      </c>
      <c r="L3346" s="167"/>
      <c r="M3346" s="169"/>
    </row>
    <row r="3347" spans="1:13" x14ac:dyDescent="0.55000000000000004">
      <c r="A3347" s="132" t="s">
        <v>2395</v>
      </c>
      <c r="B3347" s="133" t="s">
        <v>2753</v>
      </c>
      <c r="C3347" s="133" t="s">
        <v>156</v>
      </c>
      <c r="D3347" s="133" t="s">
        <v>3288</v>
      </c>
      <c r="E3347" s="138">
        <v>3.9115999999999998E-2</v>
      </c>
      <c r="F3347" s="153" t="s">
        <v>122</v>
      </c>
      <c r="G3347" s="153">
        <v>1</v>
      </c>
      <c r="H3347" s="133"/>
      <c r="I3347" s="133"/>
      <c r="J3347" s="133" t="s">
        <v>2394</v>
      </c>
      <c r="K3347" s="133" t="s">
        <v>831</v>
      </c>
      <c r="L3347" s="167"/>
      <c r="M3347" s="169"/>
    </row>
    <row r="3348" spans="1:13" x14ac:dyDescent="0.55000000000000004">
      <c r="A3348" s="132" t="s">
        <v>2395</v>
      </c>
      <c r="B3348" s="133" t="s">
        <v>2754</v>
      </c>
      <c r="C3348" s="133" t="s">
        <v>156</v>
      </c>
      <c r="D3348" s="133" t="s">
        <v>3288</v>
      </c>
      <c r="E3348" s="138">
        <v>2.5409999999999999E-3</v>
      </c>
      <c r="F3348" s="153" t="s">
        <v>122</v>
      </c>
      <c r="G3348" s="153">
        <v>1</v>
      </c>
      <c r="H3348" s="133"/>
      <c r="I3348" s="133"/>
      <c r="J3348" s="133" t="s">
        <v>2394</v>
      </c>
      <c r="K3348" s="133" t="s">
        <v>831</v>
      </c>
      <c r="L3348" s="167"/>
      <c r="M3348" s="169"/>
    </row>
    <row r="3349" spans="1:13" x14ac:dyDescent="0.55000000000000004">
      <c r="A3349" s="132" t="s">
        <v>2395</v>
      </c>
      <c r="B3349" s="133" t="s">
        <v>2764</v>
      </c>
      <c r="C3349" s="133" t="s">
        <v>156</v>
      </c>
      <c r="D3349" s="133" t="s">
        <v>3288</v>
      </c>
      <c r="E3349" s="138">
        <v>0.49526399999999998</v>
      </c>
      <c r="F3349" s="153" t="s">
        <v>122</v>
      </c>
      <c r="G3349" s="153">
        <v>1</v>
      </c>
      <c r="H3349" s="133"/>
      <c r="I3349" s="133"/>
      <c r="J3349" s="133" t="s">
        <v>2394</v>
      </c>
      <c r="K3349" s="133" t="s">
        <v>831</v>
      </c>
      <c r="L3349" s="167"/>
      <c r="M3349" s="169"/>
    </row>
    <row r="3350" spans="1:13" x14ac:dyDescent="0.55000000000000004">
      <c r="A3350" s="132" t="s">
        <v>2395</v>
      </c>
      <c r="B3350" s="133" t="s">
        <v>2755</v>
      </c>
      <c r="C3350" s="133" t="s">
        <v>156</v>
      </c>
      <c r="D3350" s="133" t="s">
        <v>3288</v>
      </c>
      <c r="E3350" s="138">
        <v>0.14591500000000002</v>
      </c>
      <c r="F3350" s="153" t="s">
        <v>122</v>
      </c>
      <c r="G3350" s="153">
        <v>1</v>
      </c>
      <c r="H3350" s="133"/>
      <c r="I3350" s="133"/>
      <c r="J3350" s="133" t="s">
        <v>2394</v>
      </c>
      <c r="K3350" s="133" t="s">
        <v>831</v>
      </c>
      <c r="L3350" s="167"/>
      <c r="M3350" s="169"/>
    </row>
    <row r="3351" spans="1:13" x14ac:dyDescent="0.55000000000000004">
      <c r="A3351" s="132" t="s">
        <v>2395</v>
      </c>
      <c r="B3351" s="133" t="s">
        <v>2756</v>
      </c>
      <c r="C3351" s="133" t="s">
        <v>156</v>
      </c>
      <c r="D3351" s="133" t="s">
        <v>3288</v>
      </c>
      <c r="E3351" s="138">
        <v>1.1164999999999999E-3</v>
      </c>
      <c r="F3351" s="153" t="s">
        <v>122</v>
      </c>
      <c r="G3351" s="153">
        <v>1</v>
      </c>
      <c r="H3351" s="133"/>
      <c r="I3351" s="133"/>
      <c r="J3351" s="133" t="s">
        <v>2394</v>
      </c>
      <c r="K3351" s="133" t="s">
        <v>831</v>
      </c>
      <c r="L3351" s="167"/>
      <c r="M3351" s="169"/>
    </row>
    <row r="3352" spans="1:13" x14ac:dyDescent="0.55000000000000004">
      <c r="A3352" s="132" t="s">
        <v>2395</v>
      </c>
      <c r="B3352" s="133" t="s">
        <v>2757</v>
      </c>
      <c r="C3352" s="133" t="s">
        <v>156</v>
      </c>
      <c r="D3352" s="133" t="s">
        <v>3288</v>
      </c>
      <c r="E3352" s="138">
        <v>1.1164999999999999E-3</v>
      </c>
      <c r="F3352" s="153" t="s">
        <v>122</v>
      </c>
      <c r="G3352" s="153">
        <v>1</v>
      </c>
      <c r="H3352" s="133"/>
      <c r="I3352" s="133"/>
      <c r="J3352" s="133" t="s">
        <v>2394</v>
      </c>
      <c r="K3352" s="133" t="s">
        <v>831</v>
      </c>
      <c r="L3352" s="167"/>
      <c r="M3352" s="169"/>
    </row>
    <row r="3353" spans="1:13" x14ac:dyDescent="0.55000000000000004">
      <c r="A3353" s="132" t="s">
        <v>2395</v>
      </c>
      <c r="B3353" s="133" t="s">
        <v>2746</v>
      </c>
      <c r="C3353" s="133" t="s">
        <v>163</v>
      </c>
      <c r="D3353" s="133" t="s">
        <v>3288</v>
      </c>
      <c r="E3353" s="138">
        <v>0.23</v>
      </c>
      <c r="F3353" s="153" t="s">
        <v>122</v>
      </c>
      <c r="G3353" s="153">
        <v>1</v>
      </c>
      <c r="H3353" s="133"/>
      <c r="I3353" s="133"/>
      <c r="J3353" s="133" t="s">
        <v>2394</v>
      </c>
      <c r="K3353" s="133" t="s">
        <v>831</v>
      </c>
      <c r="L3353" s="167"/>
      <c r="M3353" s="169"/>
    </row>
    <row r="3354" spans="1:13" x14ac:dyDescent="0.55000000000000004">
      <c r="A3354" s="132" t="s">
        <v>2392</v>
      </c>
      <c r="B3354" s="133" t="s">
        <v>2765</v>
      </c>
      <c r="C3354" s="133" t="s">
        <v>121</v>
      </c>
      <c r="D3354" s="133" t="s">
        <v>2682</v>
      </c>
      <c r="E3354" s="138">
        <v>1</v>
      </c>
      <c r="F3354" s="153">
        <v>1</v>
      </c>
      <c r="G3354" s="153">
        <v>1</v>
      </c>
      <c r="H3354" s="133"/>
      <c r="I3354" s="133"/>
      <c r="J3354" s="133" t="s">
        <v>2397</v>
      </c>
      <c r="K3354" s="133" t="s">
        <v>831</v>
      </c>
      <c r="L3354" s="167"/>
      <c r="M3354" s="169"/>
    </row>
    <row r="3355" spans="1:13" x14ac:dyDescent="0.55000000000000004">
      <c r="A3355" s="132" t="s">
        <v>2392</v>
      </c>
      <c r="B3355" s="133" t="s">
        <v>2761</v>
      </c>
      <c r="C3355" s="133" t="s">
        <v>348</v>
      </c>
      <c r="D3355" s="133" t="s">
        <v>3288</v>
      </c>
      <c r="E3355" s="138">
        <v>1</v>
      </c>
      <c r="F3355" s="153" t="s">
        <v>135</v>
      </c>
      <c r="G3355" s="153">
        <v>1</v>
      </c>
      <c r="H3355" s="133"/>
      <c r="I3355" s="133"/>
      <c r="J3355" s="133" t="s">
        <v>2397</v>
      </c>
      <c r="K3355" s="133" t="s">
        <v>831</v>
      </c>
      <c r="L3355" s="167"/>
      <c r="M3355" s="169"/>
    </row>
    <row r="3356" spans="1:13" x14ac:dyDescent="0.55000000000000004">
      <c r="A3356" s="132" t="s">
        <v>2392</v>
      </c>
      <c r="B3356" s="133" t="s">
        <v>153</v>
      </c>
      <c r="C3356" s="133" t="s">
        <v>127</v>
      </c>
      <c r="D3356" s="133" t="s">
        <v>2994</v>
      </c>
      <c r="E3356" s="138">
        <v>0.6</v>
      </c>
      <c r="F3356" s="153" t="s">
        <v>130</v>
      </c>
      <c r="G3356" s="153">
        <v>1</v>
      </c>
      <c r="H3356" s="133"/>
      <c r="I3356" s="133" t="s">
        <v>2767</v>
      </c>
      <c r="J3356" s="133" t="s">
        <v>2397</v>
      </c>
      <c r="K3356" s="133" t="s">
        <v>831</v>
      </c>
      <c r="L3356" s="167"/>
      <c r="M3356" s="169"/>
    </row>
    <row r="3357" spans="1:13" x14ac:dyDescent="0.55000000000000004">
      <c r="A3357" s="132" t="s">
        <v>2392</v>
      </c>
      <c r="B3357" s="133" t="s">
        <v>153</v>
      </c>
      <c r="C3357" s="133" t="s">
        <v>127</v>
      </c>
      <c r="D3357" s="133" t="s">
        <v>2994</v>
      </c>
      <c r="E3357" s="138">
        <v>1.03</v>
      </c>
      <c r="F3357" s="153" t="s">
        <v>130</v>
      </c>
      <c r="G3357" s="153">
        <v>1</v>
      </c>
      <c r="H3357" s="133"/>
      <c r="I3357" s="133" t="s">
        <v>2768</v>
      </c>
      <c r="J3357" s="133" t="s">
        <v>2397</v>
      </c>
      <c r="K3357" s="133" t="s">
        <v>831</v>
      </c>
      <c r="L3357" s="167"/>
      <c r="M3357" s="169"/>
    </row>
    <row r="3358" spans="1:13" x14ac:dyDescent="0.55000000000000004">
      <c r="A3358" s="132" t="s">
        <v>2392</v>
      </c>
      <c r="B3358" s="133" t="s">
        <v>153</v>
      </c>
      <c r="C3358" s="133" t="s">
        <v>127</v>
      </c>
      <c r="D3358" s="133" t="s">
        <v>2994</v>
      </c>
      <c r="E3358" s="138">
        <v>1.7</v>
      </c>
      <c r="F3358" s="153" t="s">
        <v>130</v>
      </c>
      <c r="G3358" s="153">
        <v>1</v>
      </c>
      <c r="H3358" s="133"/>
      <c r="I3358" s="133" t="s">
        <v>2769</v>
      </c>
      <c r="J3358" s="133" t="s">
        <v>2397</v>
      </c>
      <c r="K3358" s="133" t="s">
        <v>831</v>
      </c>
      <c r="L3358" s="167"/>
      <c r="M3358" s="169"/>
    </row>
    <row r="3359" spans="1:13" x14ac:dyDescent="0.55000000000000004">
      <c r="A3359" s="132" t="s">
        <v>2392</v>
      </c>
      <c r="B3359" s="133" t="s">
        <v>153</v>
      </c>
      <c r="C3359" s="133" t="s">
        <v>127</v>
      </c>
      <c r="D3359" s="133" t="s">
        <v>2994</v>
      </c>
      <c r="E3359" s="138">
        <v>1.91</v>
      </c>
      <c r="F3359" s="153" t="s">
        <v>130</v>
      </c>
      <c r="G3359" s="153">
        <v>1</v>
      </c>
      <c r="H3359" s="133"/>
      <c r="I3359" s="133" t="s">
        <v>2770</v>
      </c>
      <c r="J3359" s="133" t="s">
        <v>2397</v>
      </c>
      <c r="K3359" s="133" t="s">
        <v>831</v>
      </c>
      <c r="L3359" s="167"/>
      <c r="M3359" s="169"/>
    </row>
    <row r="3360" spans="1:13" x14ac:dyDescent="0.55000000000000004">
      <c r="A3360" s="132" t="s">
        <v>2392</v>
      </c>
      <c r="B3360" s="133" t="s">
        <v>153</v>
      </c>
      <c r="C3360" s="133" t="s">
        <v>127</v>
      </c>
      <c r="D3360" s="133" t="s">
        <v>2994</v>
      </c>
      <c r="E3360" s="138">
        <v>3.67</v>
      </c>
      <c r="F3360" s="153" t="s">
        <v>130</v>
      </c>
      <c r="G3360" s="153">
        <v>1</v>
      </c>
      <c r="H3360" s="133"/>
      <c r="I3360" s="133" t="s">
        <v>2771</v>
      </c>
      <c r="J3360" s="133" t="s">
        <v>2397</v>
      </c>
      <c r="K3360" s="133" t="s">
        <v>831</v>
      </c>
      <c r="L3360" s="167"/>
      <c r="M3360" s="169"/>
    </row>
    <row r="3361" spans="1:13" x14ac:dyDescent="0.55000000000000004">
      <c r="A3361" s="132" t="s">
        <v>2392</v>
      </c>
      <c r="B3361" s="133" t="s">
        <v>153</v>
      </c>
      <c r="C3361" s="133" t="s">
        <v>127</v>
      </c>
      <c r="D3361" s="133" t="s">
        <v>2994</v>
      </c>
      <c r="E3361" s="138">
        <v>1.6</v>
      </c>
      <c r="F3361" s="153" t="s">
        <v>130</v>
      </c>
      <c r="G3361" s="153">
        <v>1</v>
      </c>
      <c r="H3361" s="133"/>
      <c r="I3361" s="133" t="s">
        <v>2772</v>
      </c>
      <c r="J3361" s="133" t="s">
        <v>2397</v>
      </c>
      <c r="K3361" s="133" t="s">
        <v>831</v>
      </c>
      <c r="L3361" s="167"/>
      <c r="M3361" s="169"/>
    </row>
    <row r="3362" spans="1:13" x14ac:dyDescent="0.55000000000000004">
      <c r="A3362" s="132" t="s">
        <v>2392</v>
      </c>
      <c r="B3362" s="133" t="s">
        <v>153</v>
      </c>
      <c r="C3362" s="133" t="s">
        <v>127</v>
      </c>
      <c r="D3362" s="133" t="s">
        <v>2994</v>
      </c>
      <c r="E3362" s="138">
        <v>0.76</v>
      </c>
      <c r="F3362" s="153" t="s">
        <v>130</v>
      </c>
      <c r="G3362" s="153">
        <v>1</v>
      </c>
      <c r="H3362" s="133"/>
      <c r="I3362" s="133" t="s">
        <v>2773</v>
      </c>
      <c r="J3362" s="133" t="s">
        <v>2397</v>
      </c>
      <c r="K3362" s="133" t="s">
        <v>831</v>
      </c>
      <c r="L3362" s="167"/>
      <c r="M3362" s="169"/>
    </row>
    <row r="3363" spans="1:13" x14ac:dyDescent="0.55000000000000004">
      <c r="A3363" s="132" t="s">
        <v>2392</v>
      </c>
      <c r="B3363" s="133" t="s">
        <v>2754</v>
      </c>
      <c r="C3363" s="133" t="s">
        <v>156</v>
      </c>
      <c r="D3363" s="133" t="s">
        <v>3288</v>
      </c>
      <c r="E3363" s="138">
        <v>1.7899999999999999E-2</v>
      </c>
      <c r="F3363" s="153" t="s">
        <v>135</v>
      </c>
      <c r="G3363" s="153">
        <v>1</v>
      </c>
      <c r="H3363" s="133"/>
      <c r="I3363" s="133"/>
      <c r="J3363" s="133" t="s">
        <v>2397</v>
      </c>
      <c r="K3363" s="133" t="s">
        <v>831</v>
      </c>
      <c r="L3363" s="167"/>
      <c r="M3363" s="169"/>
    </row>
    <row r="3364" spans="1:13" x14ac:dyDescent="0.55000000000000004">
      <c r="A3364" s="132" t="s">
        <v>2392</v>
      </c>
      <c r="B3364" s="133" t="s">
        <v>2753</v>
      </c>
      <c r="C3364" s="133" t="s">
        <v>156</v>
      </c>
      <c r="D3364" s="133" t="s">
        <v>3288</v>
      </c>
      <c r="E3364" s="138">
        <v>8.2000000000000007E-3</v>
      </c>
      <c r="F3364" s="153" t="s">
        <v>135</v>
      </c>
      <c r="G3364" s="153">
        <v>1</v>
      </c>
      <c r="H3364" s="133"/>
      <c r="I3364" s="133"/>
      <c r="J3364" s="133" t="s">
        <v>2397</v>
      </c>
      <c r="K3364" s="133" t="s">
        <v>831</v>
      </c>
      <c r="L3364" s="167"/>
      <c r="M3364" s="169"/>
    </row>
    <row r="3365" spans="1:13" x14ac:dyDescent="0.55000000000000004">
      <c r="A3365" s="132" t="s">
        <v>2392</v>
      </c>
      <c r="B3365" s="133" t="s">
        <v>2774</v>
      </c>
      <c r="C3365" s="133" t="s">
        <v>156</v>
      </c>
      <c r="D3365" s="133" t="s">
        <v>3288</v>
      </c>
      <c r="E3365" s="138">
        <v>3.7000000000000002E-3</v>
      </c>
      <c r="F3365" s="153" t="s">
        <v>135</v>
      </c>
      <c r="G3365" s="153">
        <v>1</v>
      </c>
      <c r="H3365" s="133"/>
      <c r="I3365" s="133"/>
      <c r="J3365" s="133" t="s">
        <v>2397</v>
      </c>
      <c r="K3365" s="133" t="s">
        <v>831</v>
      </c>
      <c r="L3365" s="167"/>
      <c r="M3365" s="169"/>
    </row>
    <row r="3366" spans="1:13" x14ac:dyDescent="0.55000000000000004">
      <c r="A3366" s="132" t="s">
        <v>2392</v>
      </c>
      <c r="B3366" s="133" t="s">
        <v>2752</v>
      </c>
      <c r="C3366" s="133" t="s">
        <v>156</v>
      </c>
      <c r="D3366" s="133" t="s">
        <v>3288</v>
      </c>
      <c r="E3366" s="138">
        <v>0.72660000000000002</v>
      </c>
      <c r="F3366" s="153" t="s">
        <v>135</v>
      </c>
      <c r="G3366" s="153">
        <v>1</v>
      </c>
      <c r="H3366" s="133"/>
      <c r="I3366" s="133"/>
      <c r="J3366" s="133" t="s">
        <v>2397</v>
      </c>
      <c r="K3366" s="133" t="s">
        <v>831</v>
      </c>
      <c r="L3366" s="167"/>
      <c r="M3366" s="169"/>
    </row>
    <row r="3367" spans="1:13" x14ac:dyDescent="0.55000000000000004">
      <c r="A3367" s="132" t="s">
        <v>2392</v>
      </c>
      <c r="B3367" s="133" t="s">
        <v>2775</v>
      </c>
      <c r="C3367" s="133" t="s">
        <v>156</v>
      </c>
      <c r="D3367" s="133" t="s">
        <v>3288</v>
      </c>
      <c r="E3367" s="138">
        <v>4.0000000000000002E-4</v>
      </c>
      <c r="F3367" s="153" t="s">
        <v>135</v>
      </c>
      <c r="G3367" s="153">
        <v>1</v>
      </c>
      <c r="H3367" s="133"/>
      <c r="I3367" s="133"/>
      <c r="J3367" s="133" t="s">
        <v>2397</v>
      </c>
      <c r="K3367" s="133" t="s">
        <v>831</v>
      </c>
      <c r="L3367" s="167"/>
      <c r="M3367" s="169"/>
    </row>
    <row r="3368" spans="1:13" x14ac:dyDescent="0.55000000000000004">
      <c r="A3368" s="132" t="s">
        <v>2392</v>
      </c>
      <c r="B3368" s="133" t="s">
        <v>2776</v>
      </c>
      <c r="C3368" s="133" t="s">
        <v>156</v>
      </c>
      <c r="D3368" s="133" t="s">
        <v>3288</v>
      </c>
      <c r="E3368" s="138">
        <v>2.9999999999999997E-4</v>
      </c>
      <c r="F3368" s="153" t="s">
        <v>135</v>
      </c>
      <c r="G3368" s="153">
        <v>1</v>
      </c>
      <c r="H3368" s="133"/>
      <c r="I3368" s="133"/>
      <c r="J3368" s="133" t="s">
        <v>2397</v>
      </c>
      <c r="K3368" s="133" t="s">
        <v>831</v>
      </c>
      <c r="L3368" s="167"/>
      <c r="M3368" s="169"/>
    </row>
    <row r="3369" spans="1:13" x14ac:dyDescent="0.55000000000000004">
      <c r="A3369" s="132" t="s">
        <v>2392</v>
      </c>
      <c r="B3369" s="133" t="s">
        <v>2746</v>
      </c>
      <c r="C3369" s="133" t="s">
        <v>163</v>
      </c>
      <c r="D3369" s="133" t="s">
        <v>3288</v>
      </c>
      <c r="E3369" s="138">
        <v>0.2429</v>
      </c>
      <c r="F3369" s="153" t="s">
        <v>135</v>
      </c>
      <c r="G3369" s="153">
        <v>1</v>
      </c>
      <c r="H3369" s="133"/>
      <c r="I3369" s="133"/>
      <c r="J3369" s="133" t="s">
        <v>2397</v>
      </c>
      <c r="K3369" s="133" t="s">
        <v>831</v>
      </c>
      <c r="L3369" s="167"/>
      <c r="M3369" s="169"/>
    </row>
    <row r="3370" spans="1:13" x14ac:dyDescent="0.55000000000000004">
      <c r="A3370" s="132" t="s">
        <v>2399</v>
      </c>
      <c r="B3370" s="133" t="s">
        <v>2777</v>
      </c>
      <c r="C3370" s="133" t="s">
        <v>121</v>
      </c>
      <c r="D3370" s="133" t="s">
        <v>2682</v>
      </c>
      <c r="E3370" s="138">
        <v>1</v>
      </c>
      <c r="F3370" s="153">
        <v>1</v>
      </c>
      <c r="G3370" s="153">
        <v>1</v>
      </c>
      <c r="H3370" s="133" t="s">
        <v>39</v>
      </c>
      <c r="I3370" s="133"/>
      <c r="J3370" s="133" t="s">
        <v>2398</v>
      </c>
      <c r="K3370" s="133" t="s">
        <v>831</v>
      </c>
      <c r="L3370" s="167"/>
      <c r="M3370" s="169"/>
    </row>
    <row r="3371" spans="1:13" x14ac:dyDescent="0.55000000000000004">
      <c r="A3371" s="132" t="s">
        <v>2399</v>
      </c>
      <c r="B3371" s="133" t="s">
        <v>2778</v>
      </c>
      <c r="C3371" s="133" t="s">
        <v>348</v>
      </c>
      <c r="D3371" s="133" t="s">
        <v>3288</v>
      </c>
      <c r="E3371" s="138">
        <v>1</v>
      </c>
      <c r="F3371" s="153" t="s">
        <v>135</v>
      </c>
      <c r="G3371" s="153">
        <v>1</v>
      </c>
      <c r="H3371" s="133" t="s">
        <v>39</v>
      </c>
      <c r="I3371" s="133"/>
      <c r="J3371" s="133" t="s">
        <v>2398</v>
      </c>
      <c r="K3371" s="133" t="s">
        <v>831</v>
      </c>
      <c r="L3371" s="167"/>
      <c r="M3371" s="169"/>
    </row>
    <row r="3372" spans="1:13" x14ac:dyDescent="0.55000000000000004">
      <c r="A3372" s="132" t="s">
        <v>2399</v>
      </c>
      <c r="B3372" s="133" t="s">
        <v>153</v>
      </c>
      <c r="C3372" s="133" t="s">
        <v>127</v>
      </c>
      <c r="D3372" s="133" t="s">
        <v>2994</v>
      </c>
      <c r="E3372" s="138">
        <v>113.55</v>
      </c>
      <c r="F3372" s="153" t="s">
        <v>130</v>
      </c>
      <c r="G3372" s="153">
        <v>1</v>
      </c>
      <c r="H3372" s="133" t="s">
        <v>39</v>
      </c>
      <c r="I3372" s="133"/>
      <c r="J3372" s="133" t="s">
        <v>2398</v>
      </c>
      <c r="K3372" s="133" t="s">
        <v>831</v>
      </c>
      <c r="L3372" s="167"/>
      <c r="M3372" s="169"/>
    </row>
    <row r="3373" spans="1:13" x14ac:dyDescent="0.55000000000000004">
      <c r="A3373" s="132" t="s">
        <v>2399</v>
      </c>
      <c r="B3373" s="133" t="s">
        <v>508</v>
      </c>
      <c r="C3373" s="133" t="s">
        <v>127</v>
      </c>
      <c r="D3373" s="133" t="s">
        <v>3288</v>
      </c>
      <c r="E3373" s="138">
        <v>1.1399999999999999</v>
      </c>
      <c r="F3373" s="153" t="s">
        <v>128</v>
      </c>
      <c r="G3373" s="153">
        <v>1</v>
      </c>
      <c r="H3373" s="133" t="s">
        <v>39</v>
      </c>
      <c r="I3373" s="133"/>
      <c r="J3373" s="133" t="s">
        <v>2398</v>
      </c>
      <c r="K3373" s="133" t="s">
        <v>831</v>
      </c>
      <c r="L3373" s="167"/>
      <c r="M3373" s="169"/>
    </row>
    <row r="3374" spans="1:13" x14ac:dyDescent="0.55000000000000004">
      <c r="A3374" s="132" t="s">
        <v>2399</v>
      </c>
      <c r="B3374" s="133" t="s">
        <v>2779</v>
      </c>
      <c r="C3374" s="133" t="s">
        <v>348</v>
      </c>
      <c r="D3374" s="133" t="s">
        <v>3288</v>
      </c>
      <c r="E3374" s="138">
        <v>7.0800000000000004E-3</v>
      </c>
      <c r="F3374" s="153" t="s">
        <v>135</v>
      </c>
      <c r="G3374" s="153">
        <v>1</v>
      </c>
      <c r="H3374" s="133" t="s">
        <v>39</v>
      </c>
      <c r="I3374" s="133"/>
      <c r="J3374" s="133" t="s">
        <v>2398</v>
      </c>
      <c r="K3374" s="133" t="s">
        <v>831</v>
      </c>
      <c r="L3374" s="167"/>
      <c r="M3374" s="169"/>
    </row>
    <row r="3375" spans="1:13" x14ac:dyDescent="0.55000000000000004">
      <c r="A3375" s="132" t="s">
        <v>2399</v>
      </c>
      <c r="B3375" s="133" t="s">
        <v>2780</v>
      </c>
      <c r="C3375" s="133" t="s">
        <v>348</v>
      </c>
      <c r="D3375" s="133" t="s">
        <v>3288</v>
      </c>
      <c r="E3375" s="138">
        <v>3.6499999999999998E-2</v>
      </c>
      <c r="F3375" s="153" t="s">
        <v>135</v>
      </c>
      <c r="G3375" s="153">
        <v>1</v>
      </c>
      <c r="H3375" s="133" t="s">
        <v>39</v>
      </c>
      <c r="I3375" s="133"/>
      <c r="J3375" s="133" t="s">
        <v>2398</v>
      </c>
      <c r="K3375" s="133" t="s">
        <v>831</v>
      </c>
      <c r="L3375" s="167"/>
      <c r="M3375" s="169"/>
    </row>
    <row r="3376" spans="1:13" x14ac:dyDescent="0.55000000000000004">
      <c r="A3376" s="132" t="s">
        <v>2399</v>
      </c>
      <c r="B3376" s="133" t="s">
        <v>154</v>
      </c>
      <c r="C3376" s="133" t="s">
        <v>132</v>
      </c>
      <c r="D3376" s="133" t="s">
        <v>3288</v>
      </c>
      <c r="E3376" s="138">
        <v>0.309</v>
      </c>
      <c r="F3376" s="153" t="s">
        <v>135</v>
      </c>
      <c r="G3376" s="153">
        <v>1</v>
      </c>
      <c r="H3376" s="133" t="s">
        <v>39</v>
      </c>
      <c r="I3376" s="133"/>
      <c r="J3376" s="133" t="s">
        <v>2398</v>
      </c>
      <c r="K3376" s="133" t="s">
        <v>831</v>
      </c>
      <c r="L3376" s="167"/>
      <c r="M3376" s="169"/>
    </row>
    <row r="3377" spans="1:13" x14ac:dyDescent="0.55000000000000004">
      <c r="A3377" s="132" t="s">
        <v>2399</v>
      </c>
      <c r="B3377" s="133" t="s">
        <v>2722</v>
      </c>
      <c r="C3377" s="133" t="s">
        <v>156</v>
      </c>
      <c r="D3377" s="133" t="s">
        <v>3288</v>
      </c>
      <c r="E3377" s="138">
        <v>0.68600000000000005</v>
      </c>
      <c r="F3377" s="153" t="s">
        <v>135</v>
      </c>
      <c r="G3377" s="153">
        <v>1</v>
      </c>
      <c r="H3377" s="133" t="s">
        <v>39</v>
      </c>
      <c r="I3377" s="133"/>
      <c r="J3377" s="133" t="s">
        <v>2398</v>
      </c>
      <c r="K3377" s="133" t="s">
        <v>831</v>
      </c>
      <c r="L3377" s="167"/>
      <c r="M3377" s="169"/>
    </row>
    <row r="3378" spans="1:13" x14ac:dyDescent="0.55000000000000004">
      <c r="A3378" s="132" t="s">
        <v>2399</v>
      </c>
      <c r="B3378" s="133" t="s">
        <v>2781</v>
      </c>
      <c r="C3378" s="133" t="s">
        <v>156</v>
      </c>
      <c r="D3378" s="133" t="s">
        <v>3288</v>
      </c>
      <c r="E3378" s="138">
        <v>0.18265000000000001</v>
      </c>
      <c r="F3378" s="153" t="s">
        <v>135</v>
      </c>
      <c r="G3378" s="153">
        <v>1</v>
      </c>
      <c r="H3378" s="133" t="s">
        <v>39</v>
      </c>
      <c r="I3378" s="133"/>
      <c r="J3378" s="133" t="s">
        <v>2398</v>
      </c>
      <c r="K3378" s="133" t="s">
        <v>831</v>
      </c>
      <c r="L3378" s="167"/>
      <c r="M3378" s="169"/>
    </row>
    <row r="3379" spans="1:13" x14ac:dyDescent="0.55000000000000004">
      <c r="A3379" s="132" t="s">
        <v>2399</v>
      </c>
      <c r="B3379" s="133" t="s">
        <v>2782</v>
      </c>
      <c r="C3379" s="133" t="s">
        <v>156</v>
      </c>
      <c r="D3379" s="133" t="s">
        <v>3288</v>
      </c>
      <c r="E3379" s="138">
        <v>4.3800000000000002E-3</v>
      </c>
      <c r="F3379" s="153" t="s">
        <v>135</v>
      </c>
      <c r="G3379" s="153">
        <v>1</v>
      </c>
      <c r="H3379" s="133" t="s">
        <v>39</v>
      </c>
      <c r="I3379" s="133"/>
      <c r="J3379" s="133" t="s">
        <v>2398</v>
      </c>
      <c r="K3379" s="133" t="s">
        <v>831</v>
      </c>
      <c r="L3379" s="167"/>
      <c r="M3379" s="169"/>
    </row>
    <row r="3380" spans="1:13" x14ac:dyDescent="0.55000000000000004">
      <c r="A3380" s="132" t="s">
        <v>2399</v>
      </c>
      <c r="B3380" s="133" t="s">
        <v>1168</v>
      </c>
      <c r="C3380" s="133" t="s">
        <v>156</v>
      </c>
      <c r="D3380" s="133" t="s">
        <v>3288</v>
      </c>
      <c r="E3380" s="138">
        <v>1.2999999999999999E-2</v>
      </c>
      <c r="F3380" s="153" t="s">
        <v>135</v>
      </c>
      <c r="G3380" s="153">
        <v>1</v>
      </c>
      <c r="H3380" s="133" t="s">
        <v>39</v>
      </c>
      <c r="I3380" s="133"/>
      <c r="J3380" s="133" t="s">
        <v>2398</v>
      </c>
      <c r="K3380" s="133" t="s">
        <v>831</v>
      </c>
      <c r="L3380" s="167"/>
      <c r="M3380" s="169"/>
    </row>
    <row r="3381" spans="1:13" x14ac:dyDescent="0.55000000000000004">
      <c r="A3381" s="132" t="s">
        <v>2399</v>
      </c>
      <c r="B3381" s="133" t="s">
        <v>2783</v>
      </c>
      <c r="C3381" s="133" t="s">
        <v>156</v>
      </c>
      <c r="D3381" s="133" t="s">
        <v>3288</v>
      </c>
      <c r="E3381" s="138">
        <v>5.0000000000000001E-4</v>
      </c>
      <c r="F3381" s="153" t="s">
        <v>135</v>
      </c>
      <c r="G3381" s="153">
        <v>1</v>
      </c>
      <c r="H3381" s="133" t="s">
        <v>39</v>
      </c>
      <c r="I3381" s="133"/>
      <c r="J3381" s="133" t="s">
        <v>2398</v>
      </c>
      <c r="K3381" s="133" t="s">
        <v>831</v>
      </c>
      <c r="L3381" s="167"/>
      <c r="M3381" s="169"/>
    </row>
    <row r="3382" spans="1:13" x14ac:dyDescent="0.55000000000000004">
      <c r="A3382" s="132" t="s">
        <v>2399</v>
      </c>
      <c r="B3382" s="133" t="s">
        <v>2784</v>
      </c>
      <c r="C3382" s="133" t="s">
        <v>156</v>
      </c>
      <c r="D3382" s="133" t="s">
        <v>3288</v>
      </c>
      <c r="E3382" s="138">
        <v>3.4680000000000002E-2</v>
      </c>
      <c r="F3382" s="153" t="s">
        <v>135</v>
      </c>
      <c r="G3382" s="153">
        <v>1</v>
      </c>
      <c r="H3382" s="133" t="s">
        <v>39</v>
      </c>
      <c r="I3382" s="133"/>
      <c r="J3382" s="133" t="s">
        <v>2398</v>
      </c>
      <c r="K3382" s="133" t="s">
        <v>831</v>
      </c>
      <c r="L3382" s="167"/>
      <c r="M3382" s="169"/>
    </row>
    <row r="3383" spans="1:13" x14ac:dyDescent="0.55000000000000004">
      <c r="A3383" s="132" t="s">
        <v>2399</v>
      </c>
      <c r="B3383" s="133" t="s">
        <v>153</v>
      </c>
      <c r="C3383" s="133" t="s">
        <v>156</v>
      </c>
      <c r="D3383" s="133" t="s">
        <v>2994</v>
      </c>
      <c r="E3383" s="138">
        <v>248.84</v>
      </c>
      <c r="F3383" s="153" t="s">
        <v>167</v>
      </c>
      <c r="G3383" s="153">
        <v>1</v>
      </c>
      <c r="H3383" s="133" t="s">
        <v>39</v>
      </c>
      <c r="I3383" s="133"/>
      <c r="J3383" s="133" t="s">
        <v>2398</v>
      </c>
      <c r="K3383" s="133" t="s">
        <v>831</v>
      </c>
      <c r="L3383" s="167"/>
      <c r="M3383" s="169"/>
    </row>
    <row r="3384" spans="1:13" x14ac:dyDescent="0.55000000000000004">
      <c r="A3384" s="132" t="s">
        <v>2399</v>
      </c>
      <c r="B3384" s="133" t="s">
        <v>2785</v>
      </c>
      <c r="C3384" s="133" t="s">
        <v>156</v>
      </c>
      <c r="D3384" s="133" t="s">
        <v>2994</v>
      </c>
      <c r="E3384" s="138">
        <v>502.84</v>
      </c>
      <c r="F3384" s="153" t="s">
        <v>167</v>
      </c>
      <c r="G3384" s="153">
        <v>1</v>
      </c>
      <c r="H3384" s="133" t="s">
        <v>39</v>
      </c>
      <c r="I3384" s="133"/>
      <c r="J3384" s="133" t="s">
        <v>2398</v>
      </c>
      <c r="K3384" s="133" t="s">
        <v>831</v>
      </c>
      <c r="L3384" s="167"/>
      <c r="M3384" s="169"/>
    </row>
    <row r="3385" spans="1:13" x14ac:dyDescent="0.55000000000000004">
      <c r="A3385" s="132" t="s">
        <v>2399</v>
      </c>
      <c r="B3385" s="133" t="s">
        <v>2786</v>
      </c>
      <c r="C3385" s="133" t="s">
        <v>163</v>
      </c>
      <c r="D3385" s="133" t="s">
        <v>3288</v>
      </c>
      <c r="E3385" s="138">
        <v>1.4E-2</v>
      </c>
      <c r="F3385" s="153" t="s">
        <v>135</v>
      </c>
      <c r="G3385" s="153">
        <v>1</v>
      </c>
      <c r="H3385" s="133" t="s">
        <v>39</v>
      </c>
      <c r="I3385" s="133"/>
      <c r="J3385" s="133" t="s">
        <v>2398</v>
      </c>
      <c r="K3385" s="133" t="s">
        <v>831</v>
      </c>
      <c r="L3385" s="167"/>
      <c r="M3385" s="169"/>
    </row>
    <row r="3386" spans="1:13" x14ac:dyDescent="0.55000000000000004">
      <c r="A3386" s="132" t="s">
        <v>2399</v>
      </c>
      <c r="B3386" s="133" t="s">
        <v>2787</v>
      </c>
      <c r="C3386" s="133" t="s">
        <v>163</v>
      </c>
      <c r="D3386" s="133" t="s">
        <v>3288</v>
      </c>
      <c r="E3386" s="138">
        <v>2E-3</v>
      </c>
      <c r="F3386" s="153" t="s">
        <v>135</v>
      </c>
      <c r="G3386" s="153">
        <v>1</v>
      </c>
      <c r="H3386" s="133" t="s">
        <v>39</v>
      </c>
      <c r="I3386" s="133"/>
      <c r="J3386" s="133" t="s">
        <v>2398</v>
      </c>
      <c r="K3386" s="133" t="s">
        <v>831</v>
      </c>
      <c r="L3386" s="167"/>
      <c r="M3386" s="169"/>
    </row>
    <row r="3387" spans="1:13" x14ac:dyDescent="0.55000000000000004">
      <c r="A3387" s="132" t="s">
        <v>2399</v>
      </c>
      <c r="B3387" s="133" t="s">
        <v>2788</v>
      </c>
      <c r="C3387" s="133" t="s">
        <v>163</v>
      </c>
      <c r="D3387" s="133" t="s">
        <v>3288</v>
      </c>
      <c r="E3387" s="138">
        <v>0.30613000000000001</v>
      </c>
      <c r="F3387" s="153" t="s">
        <v>135</v>
      </c>
      <c r="G3387" s="153">
        <v>1</v>
      </c>
      <c r="H3387" s="133" t="s">
        <v>39</v>
      </c>
      <c r="I3387" s="133"/>
      <c r="J3387" s="133" t="s">
        <v>2398</v>
      </c>
      <c r="K3387" s="133" t="s">
        <v>831</v>
      </c>
      <c r="L3387" s="167"/>
      <c r="M3387" s="169"/>
    </row>
    <row r="3388" spans="1:13" x14ac:dyDescent="0.55000000000000004">
      <c r="A3388" s="132" t="s">
        <v>2399</v>
      </c>
      <c r="B3388" s="133" t="s">
        <v>2789</v>
      </c>
      <c r="C3388" s="133" t="s">
        <v>163</v>
      </c>
      <c r="D3388" s="133" t="s">
        <v>3288</v>
      </c>
      <c r="E3388" s="138">
        <v>5.0250000000000003E-2</v>
      </c>
      <c r="F3388" s="153" t="s">
        <v>135</v>
      </c>
      <c r="G3388" s="153">
        <v>1</v>
      </c>
      <c r="H3388" s="133" t="s">
        <v>39</v>
      </c>
      <c r="I3388" s="133"/>
      <c r="J3388" s="133" t="s">
        <v>2398</v>
      </c>
      <c r="K3388" s="133" t="s">
        <v>831</v>
      </c>
      <c r="L3388" s="167"/>
      <c r="M3388" s="169"/>
    </row>
    <row r="3389" spans="1:13" x14ac:dyDescent="0.55000000000000004">
      <c r="A3389" s="132" t="s">
        <v>2399</v>
      </c>
      <c r="B3389" s="133" t="s">
        <v>2790</v>
      </c>
      <c r="C3389" s="133" t="s">
        <v>124</v>
      </c>
      <c r="D3389" s="133" t="s">
        <v>3288</v>
      </c>
      <c r="E3389" s="138">
        <v>2E-3</v>
      </c>
      <c r="F3389" s="153" t="s">
        <v>135</v>
      </c>
      <c r="G3389" s="153">
        <v>1</v>
      </c>
      <c r="H3389" s="133" t="s">
        <v>39</v>
      </c>
      <c r="I3389" s="133"/>
      <c r="J3389" s="133" t="s">
        <v>2398</v>
      </c>
      <c r="K3389" s="133" t="s">
        <v>831</v>
      </c>
      <c r="L3389" s="167"/>
      <c r="M3389" s="169"/>
    </row>
    <row r="3390" spans="1:13" x14ac:dyDescent="0.55000000000000004">
      <c r="A3390" s="132" t="s">
        <v>2402</v>
      </c>
      <c r="B3390" s="133" t="s">
        <v>2791</v>
      </c>
      <c r="C3390" s="133" t="s">
        <v>121</v>
      </c>
      <c r="D3390" s="133" t="s">
        <v>2682</v>
      </c>
      <c r="E3390" s="138">
        <v>1</v>
      </c>
      <c r="F3390" s="153">
        <v>1</v>
      </c>
      <c r="G3390" s="153">
        <v>1</v>
      </c>
      <c r="H3390" s="133" t="s">
        <v>39</v>
      </c>
      <c r="I3390" s="133"/>
      <c r="J3390" s="133" t="s">
        <v>2401</v>
      </c>
      <c r="K3390" s="133" t="s">
        <v>831</v>
      </c>
      <c r="L3390" s="167"/>
      <c r="M3390" s="169"/>
    </row>
    <row r="3391" spans="1:13" x14ac:dyDescent="0.55000000000000004">
      <c r="A3391" s="132" t="s">
        <v>2402</v>
      </c>
      <c r="B3391" s="133" t="s">
        <v>2792</v>
      </c>
      <c r="C3391" s="133" t="s">
        <v>348</v>
      </c>
      <c r="D3391" s="133" t="s">
        <v>3288</v>
      </c>
      <c r="E3391" s="138">
        <v>1</v>
      </c>
      <c r="F3391" s="153" t="s">
        <v>135</v>
      </c>
      <c r="G3391" s="153">
        <v>1</v>
      </c>
      <c r="H3391" s="133" t="s">
        <v>39</v>
      </c>
      <c r="I3391" s="133"/>
      <c r="J3391" s="133" t="s">
        <v>2401</v>
      </c>
      <c r="K3391" s="133" t="s">
        <v>831</v>
      </c>
      <c r="L3391" s="167"/>
      <c r="M3391" s="169"/>
    </row>
    <row r="3392" spans="1:13" x14ac:dyDescent="0.55000000000000004">
      <c r="A3392" s="132" t="s">
        <v>2402</v>
      </c>
      <c r="B3392" s="133" t="s">
        <v>153</v>
      </c>
      <c r="C3392" s="133" t="s">
        <v>127</v>
      </c>
      <c r="D3392" s="133" t="s">
        <v>2994</v>
      </c>
      <c r="E3392" s="138">
        <v>196.27</v>
      </c>
      <c r="F3392" s="153" t="s">
        <v>130</v>
      </c>
      <c r="G3392" s="153">
        <v>1</v>
      </c>
      <c r="H3392" s="133" t="s">
        <v>39</v>
      </c>
      <c r="I3392" s="133" t="s">
        <v>2793</v>
      </c>
      <c r="J3392" s="133" t="s">
        <v>2401</v>
      </c>
      <c r="K3392" s="133" t="s">
        <v>831</v>
      </c>
      <c r="L3392" s="167"/>
      <c r="M3392" s="169"/>
    </row>
    <row r="3393" spans="1:13" x14ac:dyDescent="0.55000000000000004">
      <c r="A3393" s="132" t="s">
        <v>2402</v>
      </c>
      <c r="B3393" s="133" t="s">
        <v>1168</v>
      </c>
      <c r="C3393" s="133" t="s">
        <v>156</v>
      </c>
      <c r="D3393" s="133" t="s">
        <v>3288</v>
      </c>
      <c r="E3393" s="138">
        <v>0.15032000000000001</v>
      </c>
      <c r="F3393" s="153" t="s">
        <v>135</v>
      </c>
      <c r="G3393" s="153">
        <v>1</v>
      </c>
      <c r="H3393" s="133" t="s">
        <v>39</v>
      </c>
      <c r="I3393" s="133"/>
      <c r="J3393" s="133" t="s">
        <v>2401</v>
      </c>
      <c r="K3393" s="133" t="s">
        <v>831</v>
      </c>
      <c r="L3393" s="167"/>
      <c r="M3393" s="169"/>
    </row>
    <row r="3394" spans="1:13" x14ac:dyDescent="0.55000000000000004">
      <c r="A3394" s="132" t="s">
        <v>2402</v>
      </c>
      <c r="B3394" s="133" t="s">
        <v>2794</v>
      </c>
      <c r="C3394" s="133" t="s">
        <v>156</v>
      </c>
      <c r="D3394" s="133" t="s">
        <v>3288</v>
      </c>
      <c r="E3394" s="138">
        <v>4.6100000000000002E-2</v>
      </c>
      <c r="F3394" s="153" t="s">
        <v>135</v>
      </c>
      <c r="G3394" s="153">
        <v>1</v>
      </c>
      <c r="H3394" s="133" t="s">
        <v>39</v>
      </c>
      <c r="I3394" s="133"/>
      <c r="J3394" s="133" t="s">
        <v>2401</v>
      </c>
      <c r="K3394" s="133" t="s">
        <v>831</v>
      </c>
      <c r="L3394" s="167"/>
      <c r="M3394" s="169"/>
    </row>
    <row r="3395" spans="1:13" x14ac:dyDescent="0.55000000000000004">
      <c r="A3395" s="132" t="s">
        <v>2402</v>
      </c>
      <c r="B3395" s="133" t="s">
        <v>2795</v>
      </c>
      <c r="C3395" s="133" t="s">
        <v>156</v>
      </c>
      <c r="D3395" s="133" t="s">
        <v>3288</v>
      </c>
      <c r="E3395" s="138">
        <v>3.5069999999999997E-2</v>
      </c>
      <c r="F3395" s="153" t="s">
        <v>135</v>
      </c>
      <c r="G3395" s="153">
        <v>1</v>
      </c>
      <c r="H3395" s="133" t="s">
        <v>39</v>
      </c>
      <c r="I3395" s="133"/>
      <c r="J3395" s="133" t="s">
        <v>2401</v>
      </c>
      <c r="K3395" s="133" t="s">
        <v>831</v>
      </c>
      <c r="L3395" s="167"/>
      <c r="M3395" s="169"/>
    </row>
    <row r="3396" spans="1:13" x14ac:dyDescent="0.55000000000000004">
      <c r="A3396" s="132" t="s">
        <v>2402</v>
      </c>
      <c r="B3396" s="133" t="s">
        <v>2796</v>
      </c>
      <c r="C3396" s="133" t="s">
        <v>156</v>
      </c>
      <c r="D3396" s="133" t="s">
        <v>3288</v>
      </c>
      <c r="E3396" s="138">
        <v>3.2070000000000001E-2</v>
      </c>
      <c r="F3396" s="153" t="s">
        <v>135</v>
      </c>
      <c r="G3396" s="153">
        <v>1</v>
      </c>
      <c r="H3396" s="133" t="s">
        <v>39</v>
      </c>
      <c r="I3396" s="133"/>
      <c r="J3396" s="133" t="s">
        <v>2401</v>
      </c>
      <c r="K3396" s="133" t="s">
        <v>831</v>
      </c>
      <c r="L3396" s="167"/>
      <c r="M3396" s="169"/>
    </row>
    <row r="3397" spans="1:13" x14ac:dyDescent="0.55000000000000004">
      <c r="A3397" s="132" t="s">
        <v>2402</v>
      </c>
      <c r="B3397" s="133" t="s">
        <v>2797</v>
      </c>
      <c r="C3397" s="133" t="s">
        <v>156</v>
      </c>
      <c r="D3397" s="133" t="s">
        <v>3288</v>
      </c>
      <c r="E3397" s="138">
        <v>2.4049999999999998E-2</v>
      </c>
      <c r="F3397" s="153" t="s">
        <v>135</v>
      </c>
      <c r="G3397" s="153">
        <v>1</v>
      </c>
      <c r="H3397" s="133" t="s">
        <v>39</v>
      </c>
      <c r="I3397" s="133"/>
      <c r="J3397" s="133" t="s">
        <v>2401</v>
      </c>
      <c r="K3397" s="133" t="s">
        <v>831</v>
      </c>
      <c r="L3397" s="167"/>
      <c r="M3397" s="169"/>
    </row>
    <row r="3398" spans="1:13" x14ac:dyDescent="0.55000000000000004">
      <c r="A3398" s="132" t="s">
        <v>2402</v>
      </c>
      <c r="B3398" s="133" t="s">
        <v>2798</v>
      </c>
      <c r="C3398" s="133" t="s">
        <v>156</v>
      </c>
      <c r="D3398" s="133" t="s">
        <v>3288</v>
      </c>
      <c r="E3398" s="138">
        <v>4.0099999999999997E-3</v>
      </c>
      <c r="F3398" s="153" t="s">
        <v>135</v>
      </c>
      <c r="G3398" s="153">
        <v>1</v>
      </c>
      <c r="H3398" s="133" t="s">
        <v>39</v>
      </c>
      <c r="I3398" s="133"/>
      <c r="J3398" s="133" t="s">
        <v>2401</v>
      </c>
      <c r="K3398" s="133" t="s">
        <v>831</v>
      </c>
      <c r="L3398" s="167"/>
      <c r="M3398" s="169"/>
    </row>
    <row r="3399" spans="1:13" x14ac:dyDescent="0.55000000000000004">
      <c r="A3399" s="132" t="s">
        <v>2402</v>
      </c>
      <c r="B3399" s="133" t="s">
        <v>2799</v>
      </c>
      <c r="C3399" s="133" t="s">
        <v>156</v>
      </c>
      <c r="D3399" s="133" t="s">
        <v>3288</v>
      </c>
      <c r="E3399" s="138">
        <v>3.0100000000000001E-3</v>
      </c>
      <c r="F3399" s="153" t="s">
        <v>135</v>
      </c>
      <c r="G3399" s="153">
        <v>1</v>
      </c>
      <c r="H3399" s="133" t="s">
        <v>39</v>
      </c>
      <c r="I3399" s="133"/>
      <c r="J3399" s="133" t="s">
        <v>2401</v>
      </c>
      <c r="K3399" s="133" t="s">
        <v>831</v>
      </c>
      <c r="L3399" s="167"/>
      <c r="M3399" s="169"/>
    </row>
    <row r="3400" spans="1:13" x14ac:dyDescent="0.55000000000000004">
      <c r="A3400" s="132" t="s">
        <v>2402</v>
      </c>
      <c r="B3400" s="133" t="s">
        <v>2800</v>
      </c>
      <c r="C3400" s="133" t="s">
        <v>156</v>
      </c>
      <c r="D3400" s="133" t="s">
        <v>3288</v>
      </c>
      <c r="E3400" s="138">
        <v>1.5900000000000001E-3</v>
      </c>
      <c r="F3400" s="153" t="s">
        <v>135</v>
      </c>
      <c r="G3400" s="153">
        <v>1</v>
      </c>
      <c r="H3400" s="133" t="s">
        <v>39</v>
      </c>
      <c r="I3400" s="133"/>
      <c r="J3400" s="133" t="s">
        <v>2401</v>
      </c>
      <c r="K3400" s="133" t="s">
        <v>831</v>
      </c>
      <c r="L3400" s="167"/>
      <c r="M3400" s="169"/>
    </row>
    <row r="3401" spans="1:13" x14ac:dyDescent="0.55000000000000004">
      <c r="A3401" s="132" t="s">
        <v>2402</v>
      </c>
      <c r="B3401" s="133" t="s">
        <v>2801</v>
      </c>
      <c r="C3401" s="133" t="s">
        <v>156</v>
      </c>
      <c r="D3401" s="133" t="s">
        <v>3288</v>
      </c>
      <c r="E3401" s="138">
        <v>3.1E-4</v>
      </c>
      <c r="F3401" s="153" t="s">
        <v>135</v>
      </c>
      <c r="G3401" s="153">
        <v>1</v>
      </c>
      <c r="H3401" s="133" t="s">
        <v>39</v>
      </c>
      <c r="I3401" s="133"/>
      <c r="J3401" s="133" t="s">
        <v>2401</v>
      </c>
      <c r="K3401" s="133" t="s">
        <v>831</v>
      </c>
      <c r="L3401" s="167"/>
      <c r="M3401" s="169"/>
    </row>
    <row r="3402" spans="1:13" x14ac:dyDescent="0.55000000000000004">
      <c r="A3402" s="132" t="s">
        <v>2402</v>
      </c>
      <c r="B3402" s="133" t="s">
        <v>2802</v>
      </c>
      <c r="C3402" s="133" t="s">
        <v>156</v>
      </c>
      <c r="D3402" s="133" t="s">
        <v>3288</v>
      </c>
      <c r="E3402" s="138">
        <v>0.28138999999999997</v>
      </c>
      <c r="F3402" s="153" t="s">
        <v>135</v>
      </c>
      <c r="G3402" s="153">
        <v>1</v>
      </c>
      <c r="H3402" s="133" t="s">
        <v>39</v>
      </c>
      <c r="I3402" s="133"/>
      <c r="J3402" s="133" t="s">
        <v>2401</v>
      </c>
      <c r="K3402" s="133" t="s">
        <v>831</v>
      </c>
      <c r="L3402" s="167"/>
      <c r="M3402" s="169"/>
    </row>
    <row r="3403" spans="1:13" x14ac:dyDescent="0.55000000000000004">
      <c r="A3403" s="132" t="s">
        <v>2402</v>
      </c>
      <c r="B3403" s="133" t="s">
        <v>2803</v>
      </c>
      <c r="C3403" s="133" t="s">
        <v>156</v>
      </c>
      <c r="D3403" s="133" t="s">
        <v>3288</v>
      </c>
      <c r="E3403" s="138">
        <v>0.42208200000000001</v>
      </c>
      <c r="F3403" s="153" t="s">
        <v>135</v>
      </c>
      <c r="G3403" s="153">
        <v>1</v>
      </c>
      <c r="H3403" s="133" t="s">
        <v>39</v>
      </c>
      <c r="I3403" s="133"/>
      <c r="J3403" s="133" t="s">
        <v>2401</v>
      </c>
      <c r="K3403" s="133" t="s">
        <v>831</v>
      </c>
      <c r="L3403" s="167"/>
      <c r="M3403" s="169"/>
    </row>
    <row r="3404" spans="1:13" x14ac:dyDescent="0.55000000000000004">
      <c r="A3404" s="132" t="s">
        <v>2405</v>
      </c>
      <c r="B3404" s="133" t="s">
        <v>2804</v>
      </c>
      <c r="C3404" s="133" t="s">
        <v>121</v>
      </c>
      <c r="D3404" s="133" t="s">
        <v>2682</v>
      </c>
      <c r="E3404" s="138">
        <v>1</v>
      </c>
      <c r="F3404" s="153">
        <v>1</v>
      </c>
      <c r="G3404" s="153">
        <v>1</v>
      </c>
      <c r="H3404" s="133" t="s">
        <v>39</v>
      </c>
      <c r="I3404" s="133"/>
      <c r="J3404" s="133" t="s">
        <v>2404</v>
      </c>
      <c r="K3404" s="133" t="s">
        <v>831</v>
      </c>
      <c r="L3404" s="167"/>
      <c r="M3404" s="169"/>
    </row>
    <row r="3405" spans="1:13" x14ac:dyDescent="0.55000000000000004">
      <c r="A3405" s="132" t="s">
        <v>2405</v>
      </c>
      <c r="B3405" s="133" t="s">
        <v>2805</v>
      </c>
      <c r="C3405" s="133" t="s">
        <v>348</v>
      </c>
      <c r="D3405" s="133" t="s">
        <v>3288</v>
      </c>
      <c r="E3405" s="138">
        <v>1</v>
      </c>
      <c r="F3405" s="153" t="s">
        <v>135</v>
      </c>
      <c r="G3405" s="153">
        <v>1</v>
      </c>
      <c r="H3405" s="133" t="s">
        <v>39</v>
      </c>
      <c r="I3405" s="133"/>
      <c r="J3405" s="133" t="s">
        <v>2404</v>
      </c>
      <c r="K3405" s="133" t="s">
        <v>831</v>
      </c>
      <c r="L3405" s="167"/>
      <c r="M3405" s="169"/>
    </row>
    <row r="3406" spans="1:13" x14ac:dyDescent="0.55000000000000004">
      <c r="A3406" s="132" t="s">
        <v>2405</v>
      </c>
      <c r="B3406" s="133" t="s">
        <v>153</v>
      </c>
      <c r="C3406" s="133" t="s">
        <v>127</v>
      </c>
      <c r="D3406" s="133" t="s">
        <v>2994</v>
      </c>
      <c r="E3406" s="138">
        <v>9</v>
      </c>
      <c r="F3406" s="153" t="s">
        <v>167</v>
      </c>
      <c r="G3406" s="153">
        <v>1</v>
      </c>
      <c r="H3406" s="133" t="s">
        <v>39</v>
      </c>
      <c r="I3406" s="133"/>
      <c r="J3406" s="133" t="s">
        <v>2404</v>
      </c>
      <c r="K3406" s="133" t="s">
        <v>831</v>
      </c>
      <c r="L3406" s="167"/>
      <c r="M3406" s="169"/>
    </row>
    <row r="3407" spans="1:13" x14ac:dyDescent="0.55000000000000004">
      <c r="A3407" s="132" t="s">
        <v>2405</v>
      </c>
      <c r="B3407" s="133" t="s">
        <v>2806</v>
      </c>
      <c r="C3407" s="133" t="s">
        <v>156</v>
      </c>
      <c r="D3407" s="133" t="s">
        <v>3288</v>
      </c>
      <c r="E3407" s="138">
        <v>0.06</v>
      </c>
      <c r="F3407" s="153" t="s">
        <v>135</v>
      </c>
      <c r="G3407" s="153">
        <v>1</v>
      </c>
      <c r="H3407" s="133" t="s">
        <v>39</v>
      </c>
      <c r="I3407" s="133"/>
      <c r="J3407" s="133" t="s">
        <v>2404</v>
      </c>
      <c r="K3407" s="133" t="s">
        <v>831</v>
      </c>
      <c r="L3407" s="167"/>
      <c r="M3407" s="169"/>
    </row>
    <row r="3408" spans="1:13" x14ac:dyDescent="0.55000000000000004">
      <c r="A3408" s="132" t="s">
        <v>2405</v>
      </c>
      <c r="B3408" s="133" t="s">
        <v>2807</v>
      </c>
      <c r="C3408" s="133" t="s">
        <v>163</v>
      </c>
      <c r="D3408" s="133" t="s">
        <v>3288</v>
      </c>
      <c r="E3408" s="138">
        <v>0.94</v>
      </c>
      <c r="F3408" s="153" t="s">
        <v>135</v>
      </c>
      <c r="G3408" s="153">
        <v>1</v>
      </c>
      <c r="H3408" s="133" t="s">
        <v>39</v>
      </c>
      <c r="I3408" s="133"/>
      <c r="J3408" s="133" t="s">
        <v>2404</v>
      </c>
      <c r="K3408" s="133" t="s">
        <v>831</v>
      </c>
      <c r="L3408" s="167"/>
      <c r="M3408" s="169"/>
    </row>
    <row r="3409" spans="1:13" x14ac:dyDescent="0.55000000000000004">
      <c r="A3409" s="132" t="s">
        <v>2408</v>
      </c>
      <c r="B3409" s="133" t="s">
        <v>2804</v>
      </c>
      <c r="C3409" s="133" t="s">
        <v>121</v>
      </c>
      <c r="D3409" s="133" t="s">
        <v>2682</v>
      </c>
      <c r="E3409" s="138">
        <v>1</v>
      </c>
      <c r="F3409" s="153">
        <v>1</v>
      </c>
      <c r="G3409" s="153">
        <v>1</v>
      </c>
      <c r="H3409" s="133" t="s">
        <v>39</v>
      </c>
      <c r="I3409" s="133"/>
      <c r="J3409" s="133" t="s">
        <v>2407</v>
      </c>
      <c r="K3409" s="133" t="s">
        <v>831</v>
      </c>
      <c r="L3409" s="167"/>
      <c r="M3409" s="169"/>
    </row>
    <row r="3410" spans="1:13" x14ac:dyDescent="0.55000000000000004">
      <c r="A3410" s="132" t="s">
        <v>2408</v>
      </c>
      <c r="B3410" s="133" t="s">
        <v>2805</v>
      </c>
      <c r="C3410" s="133" t="s">
        <v>348</v>
      </c>
      <c r="D3410" s="133" t="s">
        <v>3288</v>
      </c>
      <c r="E3410" s="138">
        <v>1</v>
      </c>
      <c r="F3410" s="153" t="s">
        <v>135</v>
      </c>
      <c r="G3410" s="153">
        <v>1</v>
      </c>
      <c r="H3410" s="133" t="s">
        <v>39</v>
      </c>
      <c r="I3410" s="133"/>
      <c r="J3410" s="133" t="s">
        <v>2407</v>
      </c>
      <c r="K3410" s="133" t="s">
        <v>831</v>
      </c>
      <c r="L3410" s="167"/>
      <c r="M3410" s="169"/>
    </row>
    <row r="3411" spans="1:13" x14ac:dyDescent="0.55000000000000004">
      <c r="A3411" s="132" t="s">
        <v>2408</v>
      </c>
      <c r="B3411" s="133" t="s">
        <v>153</v>
      </c>
      <c r="C3411" s="133" t="s">
        <v>127</v>
      </c>
      <c r="D3411" s="133" t="s">
        <v>2994</v>
      </c>
      <c r="E3411" s="138">
        <v>97</v>
      </c>
      <c r="F3411" s="153" t="s">
        <v>167</v>
      </c>
      <c r="G3411" s="153">
        <v>1</v>
      </c>
      <c r="H3411" s="133" t="s">
        <v>39</v>
      </c>
      <c r="I3411" s="133"/>
      <c r="J3411" s="133" t="s">
        <v>2407</v>
      </c>
      <c r="K3411" s="133" t="s">
        <v>831</v>
      </c>
      <c r="L3411" s="167"/>
      <c r="M3411" s="169"/>
    </row>
    <row r="3412" spans="1:13" x14ac:dyDescent="0.55000000000000004">
      <c r="A3412" s="132" t="s">
        <v>2408</v>
      </c>
      <c r="B3412" s="133" t="s">
        <v>2785</v>
      </c>
      <c r="C3412" s="133" t="s">
        <v>127</v>
      </c>
      <c r="D3412" s="133" t="s">
        <v>2994</v>
      </c>
      <c r="E3412" s="138">
        <v>126.3</v>
      </c>
      <c r="F3412" s="153" t="s">
        <v>167</v>
      </c>
      <c r="G3412" s="153">
        <v>1</v>
      </c>
      <c r="H3412" s="133" t="s">
        <v>39</v>
      </c>
      <c r="I3412" s="133"/>
      <c r="J3412" s="133" t="s">
        <v>2407</v>
      </c>
      <c r="K3412" s="133" t="s">
        <v>831</v>
      </c>
      <c r="L3412" s="167"/>
      <c r="M3412" s="169"/>
    </row>
    <row r="3413" spans="1:13" x14ac:dyDescent="0.55000000000000004">
      <c r="A3413" s="132" t="s">
        <v>2408</v>
      </c>
      <c r="B3413" s="133" t="s">
        <v>153</v>
      </c>
      <c r="C3413" s="133" t="s">
        <v>156</v>
      </c>
      <c r="D3413" s="133" t="s">
        <v>2994</v>
      </c>
      <c r="E3413" s="138">
        <v>966</v>
      </c>
      <c r="F3413" s="153" t="s">
        <v>167</v>
      </c>
      <c r="G3413" s="153">
        <v>1</v>
      </c>
      <c r="H3413" s="133" t="s">
        <v>39</v>
      </c>
      <c r="I3413" s="133"/>
      <c r="J3413" s="133" t="s">
        <v>2407</v>
      </c>
      <c r="K3413" s="133" t="s">
        <v>831</v>
      </c>
      <c r="L3413" s="167"/>
      <c r="M3413" s="169"/>
    </row>
    <row r="3414" spans="1:13" x14ac:dyDescent="0.55000000000000004">
      <c r="A3414" s="132" t="s">
        <v>2408</v>
      </c>
      <c r="B3414" s="133" t="s">
        <v>2785</v>
      </c>
      <c r="C3414" s="133" t="s">
        <v>156</v>
      </c>
      <c r="D3414" s="133" t="s">
        <v>2994</v>
      </c>
      <c r="E3414" s="138">
        <v>1263</v>
      </c>
      <c r="F3414" s="153" t="s">
        <v>167</v>
      </c>
      <c r="G3414" s="153">
        <v>1</v>
      </c>
      <c r="H3414" s="133" t="s">
        <v>39</v>
      </c>
      <c r="I3414" s="133"/>
      <c r="J3414" s="133" t="s">
        <v>2407</v>
      </c>
      <c r="K3414" s="133" t="s">
        <v>831</v>
      </c>
      <c r="L3414" s="167"/>
      <c r="M3414" s="169"/>
    </row>
    <row r="3415" spans="1:13" x14ac:dyDescent="0.55000000000000004">
      <c r="A3415" s="132" t="s">
        <v>2408</v>
      </c>
      <c r="B3415" s="133" t="s">
        <v>2806</v>
      </c>
      <c r="C3415" s="133" t="s">
        <v>156</v>
      </c>
      <c r="D3415" s="133" t="s">
        <v>3288</v>
      </c>
      <c r="E3415" s="138">
        <v>0.06</v>
      </c>
      <c r="F3415" s="153" t="s">
        <v>135</v>
      </c>
      <c r="G3415" s="153">
        <v>1</v>
      </c>
      <c r="H3415" s="133" t="s">
        <v>39</v>
      </c>
      <c r="I3415" s="133"/>
      <c r="J3415" s="133" t="s">
        <v>2407</v>
      </c>
      <c r="K3415" s="133" t="s">
        <v>831</v>
      </c>
      <c r="L3415" s="167"/>
      <c r="M3415" s="169"/>
    </row>
    <row r="3416" spans="1:13" x14ac:dyDescent="0.55000000000000004">
      <c r="A3416" s="132" t="s">
        <v>2408</v>
      </c>
      <c r="B3416" s="133" t="s">
        <v>2807</v>
      </c>
      <c r="C3416" s="133" t="s">
        <v>163</v>
      </c>
      <c r="D3416" s="133" t="s">
        <v>3288</v>
      </c>
      <c r="E3416" s="138">
        <v>0.22600000000000001</v>
      </c>
      <c r="F3416" s="153" t="s">
        <v>135</v>
      </c>
      <c r="G3416" s="153">
        <v>1</v>
      </c>
      <c r="H3416" s="133" t="s">
        <v>39</v>
      </c>
      <c r="I3416" s="133"/>
      <c r="J3416" s="133" t="s">
        <v>2407</v>
      </c>
      <c r="K3416" s="133" t="s">
        <v>831</v>
      </c>
      <c r="L3416" s="167"/>
      <c r="M3416" s="169"/>
    </row>
    <row r="3417" spans="1:13" x14ac:dyDescent="0.55000000000000004">
      <c r="A3417" s="132" t="s">
        <v>2411</v>
      </c>
      <c r="B3417" s="133" t="s">
        <v>2804</v>
      </c>
      <c r="C3417" s="133" t="s">
        <v>121</v>
      </c>
      <c r="D3417" s="133" t="s">
        <v>2682</v>
      </c>
      <c r="E3417" s="138">
        <v>1</v>
      </c>
      <c r="F3417" s="153">
        <v>1</v>
      </c>
      <c r="G3417" s="153">
        <v>1</v>
      </c>
      <c r="H3417" s="133" t="s">
        <v>39</v>
      </c>
      <c r="I3417" s="133"/>
      <c r="J3417" s="133" t="s">
        <v>2410</v>
      </c>
      <c r="K3417" s="133" t="s">
        <v>831</v>
      </c>
      <c r="L3417" s="167"/>
      <c r="M3417" s="169"/>
    </row>
    <row r="3418" spans="1:13" x14ac:dyDescent="0.55000000000000004">
      <c r="A3418" s="132" t="s">
        <v>2411</v>
      </c>
      <c r="B3418" s="133" t="s">
        <v>2805</v>
      </c>
      <c r="C3418" s="133" t="s">
        <v>348</v>
      </c>
      <c r="D3418" s="133" t="s">
        <v>3288</v>
      </c>
      <c r="E3418" s="138">
        <v>1</v>
      </c>
      <c r="F3418" s="153" t="s">
        <v>135</v>
      </c>
      <c r="G3418" s="153">
        <v>1</v>
      </c>
      <c r="H3418" s="133" t="s">
        <v>39</v>
      </c>
      <c r="I3418" s="133"/>
      <c r="J3418" s="133" t="s">
        <v>2410</v>
      </c>
      <c r="K3418" s="133" t="s">
        <v>831</v>
      </c>
      <c r="L3418" s="167"/>
      <c r="M3418" s="169"/>
    </row>
    <row r="3419" spans="1:13" x14ac:dyDescent="0.55000000000000004">
      <c r="A3419" s="132" t="s">
        <v>2411</v>
      </c>
      <c r="B3419" s="133" t="s">
        <v>153</v>
      </c>
      <c r="C3419" s="133" t="s">
        <v>127</v>
      </c>
      <c r="D3419" s="133" t="s">
        <v>2994</v>
      </c>
      <c r="E3419" s="138">
        <v>1231</v>
      </c>
      <c r="F3419" s="153" t="s">
        <v>167</v>
      </c>
      <c r="G3419" s="153">
        <v>1</v>
      </c>
      <c r="H3419" s="133" t="s">
        <v>39</v>
      </c>
      <c r="I3419" s="133"/>
      <c r="J3419" s="133" t="s">
        <v>2410</v>
      </c>
      <c r="K3419" s="133" t="s">
        <v>831</v>
      </c>
      <c r="L3419" s="167"/>
      <c r="M3419" s="169"/>
    </row>
    <row r="3420" spans="1:13" x14ac:dyDescent="0.55000000000000004">
      <c r="A3420" s="132" t="s">
        <v>2411</v>
      </c>
      <c r="B3420" s="133" t="s">
        <v>2785</v>
      </c>
      <c r="C3420" s="133" t="s">
        <v>127</v>
      </c>
      <c r="D3420" s="133" t="s">
        <v>2994</v>
      </c>
      <c r="E3420" s="138">
        <v>94</v>
      </c>
      <c r="F3420" s="153" t="s">
        <v>167</v>
      </c>
      <c r="G3420" s="153">
        <v>1</v>
      </c>
      <c r="H3420" s="133" t="s">
        <v>39</v>
      </c>
      <c r="I3420" s="133"/>
      <c r="J3420" s="133" t="s">
        <v>2410</v>
      </c>
      <c r="K3420" s="133" t="s">
        <v>831</v>
      </c>
      <c r="L3420" s="167"/>
      <c r="M3420" s="169"/>
    </row>
    <row r="3421" spans="1:13" x14ac:dyDescent="0.55000000000000004">
      <c r="A3421" s="132" t="s">
        <v>2411</v>
      </c>
      <c r="B3421" s="133" t="s">
        <v>171</v>
      </c>
      <c r="C3421" s="133" t="s">
        <v>127</v>
      </c>
      <c r="D3421" s="133" t="s">
        <v>2994</v>
      </c>
      <c r="E3421" s="138">
        <v>1450</v>
      </c>
      <c r="F3421" s="153" t="s">
        <v>167</v>
      </c>
      <c r="G3421" s="153">
        <v>1</v>
      </c>
      <c r="H3421" s="133" t="s">
        <v>39</v>
      </c>
      <c r="I3421" s="133"/>
      <c r="J3421" s="133" t="s">
        <v>2410</v>
      </c>
      <c r="K3421" s="133" t="s">
        <v>831</v>
      </c>
      <c r="L3421" s="167"/>
      <c r="M3421" s="169"/>
    </row>
    <row r="3422" spans="1:13" x14ac:dyDescent="0.55000000000000004">
      <c r="A3422" s="132" t="s">
        <v>2411</v>
      </c>
      <c r="B3422" s="133" t="s">
        <v>154</v>
      </c>
      <c r="C3422" s="133" t="s">
        <v>132</v>
      </c>
      <c r="D3422" s="133" t="s">
        <v>3288</v>
      </c>
      <c r="E3422" s="138">
        <v>0.4</v>
      </c>
      <c r="F3422" s="153" t="s">
        <v>135</v>
      </c>
      <c r="G3422" s="153">
        <v>1</v>
      </c>
      <c r="H3422" s="133" t="s">
        <v>39</v>
      </c>
      <c r="I3422" s="133"/>
      <c r="J3422" s="133" t="s">
        <v>2410</v>
      </c>
      <c r="K3422" s="133" t="s">
        <v>831</v>
      </c>
      <c r="L3422" s="167"/>
      <c r="M3422" s="169"/>
    </row>
    <row r="3423" spans="1:13" x14ac:dyDescent="0.55000000000000004">
      <c r="A3423" s="132" t="s">
        <v>2411</v>
      </c>
      <c r="B3423" s="133" t="s">
        <v>2808</v>
      </c>
      <c r="C3423" s="133" t="s">
        <v>156</v>
      </c>
      <c r="D3423" s="133" t="s">
        <v>3288</v>
      </c>
      <c r="E3423" s="138">
        <v>0.06</v>
      </c>
      <c r="F3423" s="153" t="s">
        <v>135</v>
      </c>
      <c r="G3423" s="153">
        <v>1</v>
      </c>
      <c r="H3423" s="133" t="s">
        <v>39</v>
      </c>
      <c r="I3423" s="133"/>
      <c r="J3423" s="133" t="s">
        <v>2410</v>
      </c>
      <c r="K3423" s="133" t="s">
        <v>831</v>
      </c>
      <c r="L3423" s="167"/>
      <c r="M3423" s="169"/>
    </row>
    <row r="3424" spans="1:13" x14ac:dyDescent="0.55000000000000004">
      <c r="A3424" s="132" t="s">
        <v>2411</v>
      </c>
      <c r="B3424" s="133" t="s">
        <v>2807</v>
      </c>
      <c r="C3424" s="133" t="s">
        <v>163</v>
      </c>
      <c r="D3424" s="133" t="s">
        <v>3288</v>
      </c>
      <c r="E3424" s="138">
        <v>0.16900000000000001</v>
      </c>
      <c r="F3424" s="153" t="s">
        <v>135</v>
      </c>
      <c r="G3424" s="153">
        <v>1</v>
      </c>
      <c r="H3424" s="133" t="s">
        <v>39</v>
      </c>
      <c r="I3424" s="133"/>
      <c r="J3424" s="133" t="s">
        <v>2410</v>
      </c>
      <c r="K3424" s="133" t="s">
        <v>831</v>
      </c>
      <c r="L3424" s="167"/>
      <c r="M3424" s="169"/>
    </row>
    <row r="3425" spans="1:13" x14ac:dyDescent="0.55000000000000004">
      <c r="A3425" s="132" t="s">
        <v>2411</v>
      </c>
      <c r="B3425" s="133" t="s">
        <v>2721</v>
      </c>
      <c r="C3425" s="133" t="s">
        <v>156</v>
      </c>
      <c r="D3425" s="133" t="s">
        <v>3288</v>
      </c>
      <c r="E3425" s="138">
        <v>0.23699999999999999</v>
      </c>
      <c r="F3425" s="153" t="s">
        <v>135</v>
      </c>
      <c r="G3425" s="153">
        <v>1</v>
      </c>
      <c r="H3425" s="133" t="s">
        <v>39</v>
      </c>
      <c r="I3425" s="133"/>
      <c r="J3425" s="133" t="s">
        <v>2410</v>
      </c>
      <c r="K3425" s="133" t="s">
        <v>831</v>
      </c>
      <c r="L3425" s="167"/>
      <c r="M3425" s="169"/>
    </row>
    <row r="3426" spans="1:13" x14ac:dyDescent="0.55000000000000004">
      <c r="A3426" s="132" t="s">
        <v>2411</v>
      </c>
      <c r="B3426" s="133" t="s">
        <v>2809</v>
      </c>
      <c r="C3426" s="133" t="s">
        <v>156</v>
      </c>
      <c r="D3426" s="133" t="s">
        <v>2994</v>
      </c>
      <c r="E3426" s="138">
        <v>723</v>
      </c>
      <c r="F3426" s="153" t="s">
        <v>167</v>
      </c>
      <c r="G3426" s="153">
        <v>1</v>
      </c>
      <c r="H3426" s="133" t="s">
        <v>39</v>
      </c>
      <c r="I3426" s="133"/>
      <c r="J3426" s="133" t="s">
        <v>2410</v>
      </c>
      <c r="K3426" s="133" t="s">
        <v>831</v>
      </c>
      <c r="L3426" s="167"/>
      <c r="M3426" s="169"/>
    </row>
    <row r="3427" spans="1:13" x14ac:dyDescent="0.55000000000000004">
      <c r="A3427" s="132" t="s">
        <v>2411</v>
      </c>
      <c r="B3427" s="133" t="s">
        <v>2810</v>
      </c>
      <c r="C3427" s="133" t="s">
        <v>156</v>
      </c>
      <c r="D3427" s="133" t="s">
        <v>2994</v>
      </c>
      <c r="E3427" s="138">
        <v>945</v>
      </c>
      <c r="F3427" s="153" t="s">
        <v>167</v>
      </c>
      <c r="G3427" s="153">
        <v>1</v>
      </c>
      <c r="H3427" s="133" t="s">
        <v>39</v>
      </c>
      <c r="I3427" s="133"/>
      <c r="J3427" s="133" t="s">
        <v>2410</v>
      </c>
      <c r="K3427" s="133" t="s">
        <v>831</v>
      </c>
      <c r="L3427" s="167"/>
      <c r="M3427" s="169"/>
    </row>
    <row r="3428" spans="1:13" x14ac:dyDescent="0.55000000000000004">
      <c r="A3428" s="132" t="s">
        <v>2414</v>
      </c>
      <c r="B3428" s="133" t="s">
        <v>2804</v>
      </c>
      <c r="C3428" s="133" t="s">
        <v>121</v>
      </c>
      <c r="D3428" s="133" t="s">
        <v>2682</v>
      </c>
      <c r="E3428" s="138">
        <v>1</v>
      </c>
      <c r="F3428" s="153">
        <v>1</v>
      </c>
      <c r="G3428" s="153">
        <v>1</v>
      </c>
      <c r="H3428" s="133" t="s">
        <v>39</v>
      </c>
      <c r="I3428" s="133"/>
      <c r="J3428" s="133" t="s">
        <v>2413</v>
      </c>
      <c r="K3428" s="133" t="s">
        <v>831</v>
      </c>
      <c r="L3428" s="167"/>
      <c r="M3428" s="169"/>
    </row>
    <row r="3429" spans="1:13" x14ac:dyDescent="0.55000000000000004">
      <c r="A3429" s="132" t="s">
        <v>2414</v>
      </c>
      <c r="B3429" s="133" t="s">
        <v>2805</v>
      </c>
      <c r="C3429" s="133" t="s">
        <v>348</v>
      </c>
      <c r="D3429" s="133" t="s">
        <v>3288</v>
      </c>
      <c r="E3429" s="138">
        <v>1</v>
      </c>
      <c r="F3429" s="153" t="s">
        <v>135</v>
      </c>
      <c r="G3429" s="153">
        <v>1</v>
      </c>
      <c r="H3429" s="133" t="s">
        <v>39</v>
      </c>
      <c r="I3429" s="133"/>
      <c r="J3429" s="133" t="s">
        <v>2413</v>
      </c>
      <c r="K3429" s="133" t="s">
        <v>831</v>
      </c>
      <c r="L3429" s="167"/>
      <c r="M3429" s="169"/>
    </row>
    <row r="3430" spans="1:13" x14ac:dyDescent="0.55000000000000004">
      <c r="A3430" s="132" t="s">
        <v>2414</v>
      </c>
      <c r="B3430" s="133" t="s">
        <v>153</v>
      </c>
      <c r="C3430" s="133" t="s">
        <v>127</v>
      </c>
      <c r="D3430" s="133" t="s">
        <v>2994</v>
      </c>
      <c r="E3430" s="138">
        <v>431</v>
      </c>
      <c r="F3430" s="153" t="s">
        <v>167</v>
      </c>
      <c r="G3430" s="153">
        <v>1</v>
      </c>
      <c r="H3430" s="133" t="s">
        <v>39</v>
      </c>
      <c r="I3430" s="133"/>
      <c r="J3430" s="133" t="s">
        <v>2413</v>
      </c>
      <c r="K3430" s="133" t="s">
        <v>831</v>
      </c>
      <c r="L3430" s="167"/>
      <c r="M3430" s="169"/>
    </row>
    <row r="3431" spans="1:13" x14ac:dyDescent="0.55000000000000004">
      <c r="A3431" s="132" t="s">
        <v>2414</v>
      </c>
      <c r="B3431" s="133" t="s">
        <v>213</v>
      </c>
      <c r="C3431" s="133" t="s">
        <v>127</v>
      </c>
      <c r="D3431" s="133" t="s">
        <v>3288</v>
      </c>
      <c r="E3431" s="138">
        <v>0.51500000000000001</v>
      </c>
      <c r="F3431" s="153" t="s">
        <v>135</v>
      </c>
      <c r="G3431" s="153">
        <v>1</v>
      </c>
      <c r="H3431" s="133" t="s">
        <v>39</v>
      </c>
      <c r="I3431" s="133"/>
      <c r="J3431" s="133" t="s">
        <v>2413</v>
      </c>
      <c r="K3431" s="133" t="s">
        <v>831</v>
      </c>
      <c r="L3431" s="167"/>
      <c r="M3431" s="169"/>
    </row>
    <row r="3432" spans="1:13" x14ac:dyDescent="0.55000000000000004">
      <c r="A3432" s="132" t="s">
        <v>2414</v>
      </c>
      <c r="B3432" s="133" t="s">
        <v>2811</v>
      </c>
      <c r="C3432" s="133" t="s">
        <v>348</v>
      </c>
      <c r="D3432" s="133" t="s">
        <v>3288</v>
      </c>
      <c r="E3432" s="138">
        <v>0.35</v>
      </c>
      <c r="F3432" s="153" t="s">
        <v>135</v>
      </c>
      <c r="G3432" s="153">
        <v>1</v>
      </c>
      <c r="H3432" s="133" t="s">
        <v>39</v>
      </c>
      <c r="I3432" s="133"/>
      <c r="J3432" s="133" t="s">
        <v>2413</v>
      </c>
      <c r="K3432" s="133" t="s">
        <v>831</v>
      </c>
      <c r="L3432" s="167"/>
      <c r="M3432" s="169"/>
    </row>
    <row r="3433" spans="1:13" x14ac:dyDescent="0.55000000000000004">
      <c r="A3433" s="132" t="s">
        <v>2414</v>
      </c>
      <c r="B3433" s="133" t="s">
        <v>556</v>
      </c>
      <c r="C3433" s="133" t="s">
        <v>348</v>
      </c>
      <c r="D3433" s="133" t="s">
        <v>3288</v>
      </c>
      <c r="E3433" s="138">
        <v>3.0000000000000001E-3</v>
      </c>
      <c r="F3433" s="153" t="s">
        <v>135</v>
      </c>
      <c r="G3433" s="153">
        <v>1</v>
      </c>
      <c r="H3433" s="133" t="s">
        <v>39</v>
      </c>
      <c r="I3433" s="133"/>
      <c r="J3433" s="133" t="s">
        <v>2413</v>
      </c>
      <c r="K3433" s="133" t="s">
        <v>831</v>
      </c>
      <c r="L3433" s="167"/>
      <c r="M3433" s="169"/>
    </row>
    <row r="3434" spans="1:13" x14ac:dyDescent="0.55000000000000004">
      <c r="A3434" s="132" t="s">
        <v>2414</v>
      </c>
      <c r="B3434" s="133" t="s">
        <v>2812</v>
      </c>
      <c r="C3434" s="133" t="s">
        <v>348</v>
      </c>
      <c r="D3434" s="133" t="s">
        <v>3288</v>
      </c>
      <c r="E3434" s="138">
        <v>0.01</v>
      </c>
      <c r="F3434" s="153" t="s">
        <v>135</v>
      </c>
      <c r="G3434" s="153">
        <v>1</v>
      </c>
      <c r="H3434" s="133" t="s">
        <v>39</v>
      </c>
      <c r="I3434" s="133"/>
      <c r="J3434" s="133" t="s">
        <v>2413</v>
      </c>
      <c r="K3434" s="133" t="s">
        <v>831</v>
      </c>
      <c r="L3434" s="167"/>
      <c r="M3434" s="169"/>
    </row>
    <row r="3435" spans="1:13" x14ac:dyDescent="0.55000000000000004">
      <c r="A3435" s="132" t="s">
        <v>2414</v>
      </c>
      <c r="B3435" s="133" t="s">
        <v>2813</v>
      </c>
      <c r="C3435" s="133" t="s">
        <v>348</v>
      </c>
      <c r="D3435" s="133" t="s">
        <v>3288</v>
      </c>
      <c r="E3435" s="138">
        <v>2E-3</v>
      </c>
      <c r="F3435" s="153" t="s">
        <v>135</v>
      </c>
      <c r="G3435" s="153">
        <v>1</v>
      </c>
      <c r="H3435" s="133" t="s">
        <v>39</v>
      </c>
      <c r="I3435" s="133"/>
      <c r="J3435" s="133" t="s">
        <v>2413</v>
      </c>
      <c r="K3435" s="133" t="s">
        <v>831</v>
      </c>
      <c r="L3435" s="167"/>
      <c r="M3435" s="169"/>
    </row>
    <row r="3436" spans="1:13" x14ac:dyDescent="0.55000000000000004">
      <c r="A3436" s="132" t="s">
        <v>2414</v>
      </c>
      <c r="B3436" s="133" t="s">
        <v>2808</v>
      </c>
      <c r="C3436" s="133" t="s">
        <v>156</v>
      </c>
      <c r="D3436" s="133" t="s">
        <v>3288</v>
      </c>
      <c r="E3436" s="138">
        <v>0.09</v>
      </c>
      <c r="F3436" s="153" t="s">
        <v>135</v>
      </c>
      <c r="G3436" s="153">
        <v>1</v>
      </c>
      <c r="H3436" s="133" t="s">
        <v>39</v>
      </c>
      <c r="I3436" s="133"/>
      <c r="J3436" s="133" t="s">
        <v>2413</v>
      </c>
      <c r="K3436" s="133" t="s">
        <v>831</v>
      </c>
      <c r="L3436" s="167"/>
      <c r="M3436" s="169"/>
    </row>
    <row r="3437" spans="1:13" x14ac:dyDescent="0.55000000000000004">
      <c r="A3437" s="132" t="s">
        <v>2414</v>
      </c>
      <c r="B3437" s="133" t="s">
        <v>2814</v>
      </c>
      <c r="C3437" s="133" t="s">
        <v>163</v>
      </c>
      <c r="D3437" s="133" t="s">
        <v>3288</v>
      </c>
      <c r="E3437" s="138">
        <v>0.23</v>
      </c>
      <c r="F3437" s="153" t="s">
        <v>135</v>
      </c>
      <c r="G3437" s="153">
        <v>1</v>
      </c>
      <c r="H3437" s="133" t="s">
        <v>39</v>
      </c>
      <c r="I3437" s="133"/>
      <c r="J3437" s="133" t="s">
        <v>2413</v>
      </c>
      <c r="K3437" s="133" t="s">
        <v>831</v>
      </c>
      <c r="L3437" s="167"/>
      <c r="M3437" s="169"/>
    </row>
    <row r="3438" spans="1:13" x14ac:dyDescent="0.55000000000000004">
      <c r="A3438" s="132" t="s">
        <v>2414</v>
      </c>
      <c r="B3438" s="133" t="s">
        <v>2815</v>
      </c>
      <c r="C3438" s="133" t="s">
        <v>156</v>
      </c>
      <c r="D3438" s="133" t="s">
        <v>3288</v>
      </c>
      <c r="E3438" s="138">
        <v>0.27</v>
      </c>
      <c r="F3438" s="153" t="s">
        <v>135</v>
      </c>
      <c r="G3438" s="153">
        <v>1</v>
      </c>
      <c r="H3438" s="133" t="s">
        <v>39</v>
      </c>
      <c r="I3438" s="133"/>
      <c r="J3438" s="133" t="s">
        <v>2413</v>
      </c>
      <c r="K3438" s="133" t="s">
        <v>831</v>
      </c>
      <c r="L3438" s="167"/>
      <c r="M3438" s="169"/>
    </row>
    <row r="3439" spans="1:13" x14ac:dyDescent="0.55000000000000004">
      <c r="A3439" s="132" t="s">
        <v>2414</v>
      </c>
      <c r="B3439" s="133" t="s">
        <v>2810</v>
      </c>
      <c r="C3439" s="133" t="s">
        <v>156</v>
      </c>
      <c r="D3439" s="133" t="s">
        <v>2994</v>
      </c>
      <c r="E3439" s="138">
        <v>2566</v>
      </c>
      <c r="F3439" s="153" t="s">
        <v>167</v>
      </c>
      <c r="G3439" s="153">
        <v>1</v>
      </c>
      <c r="H3439" s="133" t="s">
        <v>39</v>
      </c>
      <c r="I3439" s="133"/>
      <c r="J3439" s="133" t="s">
        <v>2413</v>
      </c>
      <c r="K3439" s="133" t="s">
        <v>831</v>
      </c>
      <c r="L3439" s="167"/>
      <c r="M3439" s="169"/>
    </row>
    <row r="3440" spans="1:13" x14ac:dyDescent="0.55000000000000004">
      <c r="A3440" s="132" t="s">
        <v>2414</v>
      </c>
      <c r="B3440" s="133" t="s">
        <v>469</v>
      </c>
      <c r="C3440" s="133" t="s">
        <v>156</v>
      </c>
      <c r="D3440" s="133" t="s">
        <v>3288</v>
      </c>
      <c r="E3440" s="138">
        <v>0.14799999999999999</v>
      </c>
      <c r="F3440" s="153" t="s">
        <v>135</v>
      </c>
      <c r="G3440" s="153">
        <v>1</v>
      </c>
      <c r="H3440" s="133" t="s">
        <v>39</v>
      </c>
      <c r="I3440" s="133"/>
      <c r="J3440" s="133" t="s">
        <v>2413</v>
      </c>
      <c r="K3440" s="133" t="s">
        <v>831</v>
      </c>
      <c r="L3440" s="167"/>
      <c r="M3440" s="169"/>
    </row>
    <row r="3441" spans="1:13" x14ac:dyDescent="0.55000000000000004">
      <c r="A3441" s="132" t="s">
        <v>2417</v>
      </c>
      <c r="B3441" s="133" t="s">
        <v>2816</v>
      </c>
      <c r="C3441" s="133" t="s">
        <v>121</v>
      </c>
      <c r="D3441" s="133" t="s">
        <v>2682</v>
      </c>
      <c r="E3441" s="138">
        <v>1</v>
      </c>
      <c r="F3441" s="153">
        <v>1</v>
      </c>
      <c r="G3441" s="153">
        <v>1</v>
      </c>
      <c r="H3441" s="133" t="s">
        <v>39</v>
      </c>
      <c r="I3441" s="133"/>
      <c r="J3441" s="133" t="s">
        <v>2416</v>
      </c>
      <c r="K3441" s="133" t="s">
        <v>831</v>
      </c>
      <c r="L3441" s="167"/>
      <c r="M3441" s="169"/>
    </row>
    <row r="3442" spans="1:13" x14ac:dyDescent="0.55000000000000004">
      <c r="A3442" s="132" t="s">
        <v>2417</v>
      </c>
      <c r="B3442" s="133" t="s">
        <v>2817</v>
      </c>
      <c r="C3442" s="133" t="s">
        <v>348</v>
      </c>
      <c r="D3442" s="133" t="s">
        <v>3288</v>
      </c>
      <c r="E3442" s="138">
        <v>1</v>
      </c>
      <c r="F3442" s="153" t="s">
        <v>135</v>
      </c>
      <c r="G3442" s="153">
        <v>1</v>
      </c>
      <c r="H3442" s="133" t="s">
        <v>39</v>
      </c>
      <c r="I3442" s="133"/>
      <c r="J3442" s="133" t="s">
        <v>2416</v>
      </c>
      <c r="K3442" s="133" t="s">
        <v>831</v>
      </c>
      <c r="L3442" s="167"/>
      <c r="M3442" s="169"/>
    </row>
    <row r="3443" spans="1:13" x14ac:dyDescent="0.55000000000000004">
      <c r="A3443" s="132" t="s">
        <v>2417</v>
      </c>
      <c r="B3443" s="133" t="s">
        <v>153</v>
      </c>
      <c r="C3443" s="133" t="s">
        <v>127</v>
      </c>
      <c r="D3443" s="133" t="s">
        <v>2994</v>
      </c>
      <c r="E3443" s="138">
        <v>66</v>
      </c>
      <c r="F3443" s="153" t="s">
        <v>130</v>
      </c>
      <c r="G3443" s="153">
        <v>1</v>
      </c>
      <c r="H3443" s="133" t="s">
        <v>39</v>
      </c>
      <c r="I3443" s="133"/>
      <c r="J3443" s="133" t="s">
        <v>2416</v>
      </c>
      <c r="K3443" s="133" t="s">
        <v>831</v>
      </c>
      <c r="L3443" s="167"/>
      <c r="M3443" s="169"/>
    </row>
    <row r="3444" spans="1:13" x14ac:dyDescent="0.55000000000000004">
      <c r="A3444" s="132" t="s">
        <v>2417</v>
      </c>
      <c r="B3444" s="133" t="s">
        <v>2798</v>
      </c>
      <c r="C3444" s="133" t="s">
        <v>156</v>
      </c>
      <c r="D3444" s="133" t="s">
        <v>3288</v>
      </c>
      <c r="E3444" s="138">
        <v>2.1999999999999999E-2</v>
      </c>
      <c r="F3444" s="153" t="s">
        <v>135</v>
      </c>
      <c r="G3444" s="153">
        <v>1</v>
      </c>
      <c r="H3444" s="133" t="s">
        <v>39</v>
      </c>
      <c r="I3444" s="133"/>
      <c r="J3444" s="133" t="s">
        <v>2416</v>
      </c>
      <c r="K3444" s="133" t="s">
        <v>831</v>
      </c>
      <c r="L3444" s="167"/>
      <c r="M3444" s="169"/>
    </row>
    <row r="3445" spans="1:13" x14ac:dyDescent="0.55000000000000004">
      <c r="A3445" s="132" t="s">
        <v>2417</v>
      </c>
      <c r="B3445" s="133" t="s">
        <v>2818</v>
      </c>
      <c r="C3445" s="133" t="s">
        <v>156</v>
      </c>
      <c r="D3445" s="133" t="s">
        <v>3288</v>
      </c>
      <c r="E3445" s="138">
        <v>0.38100000000000001</v>
      </c>
      <c r="F3445" s="153" t="s">
        <v>135</v>
      </c>
      <c r="G3445" s="153">
        <v>1</v>
      </c>
      <c r="H3445" s="133" t="s">
        <v>39</v>
      </c>
      <c r="I3445" s="133"/>
      <c r="J3445" s="133" t="s">
        <v>2416</v>
      </c>
      <c r="K3445" s="133" t="s">
        <v>831</v>
      </c>
      <c r="L3445" s="167"/>
      <c r="M3445" s="169"/>
    </row>
    <row r="3446" spans="1:13" x14ac:dyDescent="0.55000000000000004">
      <c r="A3446" s="132" t="s">
        <v>2417</v>
      </c>
      <c r="B3446" s="133" t="s">
        <v>2819</v>
      </c>
      <c r="C3446" s="133" t="s">
        <v>156</v>
      </c>
      <c r="D3446" s="133" t="s">
        <v>3288</v>
      </c>
      <c r="E3446" s="138">
        <v>0.16500000000000001</v>
      </c>
      <c r="F3446" s="153" t="s">
        <v>135</v>
      </c>
      <c r="G3446" s="153">
        <v>1</v>
      </c>
      <c r="H3446" s="133" t="s">
        <v>39</v>
      </c>
      <c r="I3446" s="133"/>
      <c r="J3446" s="133" t="s">
        <v>2416</v>
      </c>
      <c r="K3446" s="133" t="s">
        <v>831</v>
      </c>
      <c r="L3446" s="167"/>
      <c r="M3446" s="169"/>
    </row>
    <row r="3447" spans="1:13" x14ac:dyDescent="0.55000000000000004">
      <c r="A3447" s="132" t="s">
        <v>2417</v>
      </c>
      <c r="B3447" s="133" t="s">
        <v>2820</v>
      </c>
      <c r="C3447" s="133" t="s">
        <v>156</v>
      </c>
      <c r="D3447" s="133" t="s">
        <v>3288</v>
      </c>
      <c r="E3447" s="138">
        <v>0.114</v>
      </c>
      <c r="F3447" s="153" t="s">
        <v>135</v>
      </c>
      <c r="G3447" s="153">
        <v>1</v>
      </c>
      <c r="H3447" s="133" t="s">
        <v>39</v>
      </c>
      <c r="I3447" s="133"/>
      <c r="J3447" s="133" t="s">
        <v>2416</v>
      </c>
      <c r="K3447" s="133" t="s">
        <v>831</v>
      </c>
      <c r="L3447" s="167"/>
      <c r="M3447" s="169"/>
    </row>
    <row r="3448" spans="1:13" x14ac:dyDescent="0.55000000000000004">
      <c r="A3448" s="132" t="s">
        <v>2417</v>
      </c>
      <c r="B3448" s="133" t="s">
        <v>2821</v>
      </c>
      <c r="C3448" s="133" t="s">
        <v>156</v>
      </c>
      <c r="D3448" s="133" t="s">
        <v>3288</v>
      </c>
      <c r="E3448" s="138">
        <v>5.2999999999999999E-2</v>
      </c>
      <c r="F3448" s="153" t="s">
        <v>135</v>
      </c>
      <c r="G3448" s="153">
        <v>1</v>
      </c>
      <c r="H3448" s="133" t="s">
        <v>39</v>
      </c>
      <c r="I3448" s="133"/>
      <c r="J3448" s="133" t="s">
        <v>2416</v>
      </c>
      <c r="K3448" s="133" t="s">
        <v>831</v>
      </c>
      <c r="L3448" s="167"/>
      <c r="M3448" s="169"/>
    </row>
    <row r="3449" spans="1:13" x14ac:dyDescent="0.55000000000000004">
      <c r="A3449" s="132" t="s">
        <v>2417</v>
      </c>
      <c r="B3449" s="133" t="s">
        <v>2590</v>
      </c>
      <c r="C3449" s="133" t="s">
        <v>156</v>
      </c>
      <c r="D3449" s="133" t="s">
        <v>3288</v>
      </c>
      <c r="E3449" s="138">
        <v>0.26500000000000001</v>
      </c>
      <c r="F3449" s="153" t="s">
        <v>135</v>
      </c>
      <c r="G3449" s="153">
        <v>1</v>
      </c>
      <c r="H3449" s="133" t="s">
        <v>39</v>
      </c>
      <c r="I3449" s="133"/>
      <c r="J3449" s="133" t="s">
        <v>2416</v>
      </c>
      <c r="K3449" s="133" t="s">
        <v>831</v>
      </c>
      <c r="L3449" s="167"/>
      <c r="M3449" s="169"/>
    </row>
    <row r="3450" spans="1:13" x14ac:dyDescent="0.55000000000000004">
      <c r="A3450" s="132" t="s">
        <v>2420</v>
      </c>
      <c r="B3450" s="133" t="s">
        <v>2822</v>
      </c>
      <c r="C3450" s="133" t="s">
        <v>121</v>
      </c>
      <c r="D3450" s="133" t="s">
        <v>2682</v>
      </c>
      <c r="E3450" s="138">
        <v>1</v>
      </c>
      <c r="F3450" s="153">
        <v>1</v>
      </c>
      <c r="G3450" s="153">
        <v>1</v>
      </c>
      <c r="H3450" s="133" t="s">
        <v>39</v>
      </c>
      <c r="I3450" s="133"/>
      <c r="J3450" s="133" t="s">
        <v>2419</v>
      </c>
      <c r="K3450" s="133" t="s">
        <v>831</v>
      </c>
      <c r="L3450" s="167"/>
      <c r="M3450" s="169"/>
    </row>
    <row r="3451" spans="1:13" x14ac:dyDescent="0.55000000000000004">
      <c r="A3451" s="132" t="s">
        <v>2420</v>
      </c>
      <c r="B3451" s="133" t="s">
        <v>2823</v>
      </c>
      <c r="C3451" s="133" t="s">
        <v>348</v>
      </c>
      <c r="D3451" s="133" t="s">
        <v>3288</v>
      </c>
      <c r="E3451" s="138">
        <v>1</v>
      </c>
      <c r="F3451" s="153" t="s">
        <v>135</v>
      </c>
      <c r="G3451" s="153">
        <v>1</v>
      </c>
      <c r="H3451" s="133" t="s">
        <v>39</v>
      </c>
      <c r="I3451" s="133"/>
      <c r="J3451" s="133" t="s">
        <v>2419</v>
      </c>
      <c r="K3451" s="133" t="s">
        <v>831</v>
      </c>
      <c r="L3451" s="167"/>
      <c r="M3451" s="169"/>
    </row>
    <row r="3452" spans="1:13" x14ac:dyDescent="0.55000000000000004">
      <c r="A3452" s="132" t="s">
        <v>2420</v>
      </c>
      <c r="B3452" s="133" t="s">
        <v>153</v>
      </c>
      <c r="C3452" s="133" t="s">
        <v>127</v>
      </c>
      <c r="D3452" s="133" t="s">
        <v>2994</v>
      </c>
      <c r="E3452" s="138">
        <v>79.86</v>
      </c>
      <c r="F3452" s="153" t="s">
        <v>130</v>
      </c>
      <c r="G3452" s="153">
        <v>1</v>
      </c>
      <c r="H3452" s="133" t="s">
        <v>39</v>
      </c>
      <c r="I3452" s="133"/>
      <c r="J3452" s="133" t="s">
        <v>2419</v>
      </c>
      <c r="K3452" s="133" t="s">
        <v>831</v>
      </c>
      <c r="L3452" s="167"/>
      <c r="M3452" s="169"/>
    </row>
    <row r="3453" spans="1:13" x14ac:dyDescent="0.55000000000000004">
      <c r="A3453" s="132" t="s">
        <v>2420</v>
      </c>
      <c r="B3453" s="133" t="s">
        <v>2824</v>
      </c>
      <c r="C3453" s="133" t="s">
        <v>127</v>
      </c>
      <c r="D3453" s="133" t="s">
        <v>2994</v>
      </c>
      <c r="E3453" s="138">
        <v>813.08</v>
      </c>
      <c r="F3453" s="153" t="s">
        <v>167</v>
      </c>
      <c r="G3453" s="153">
        <v>1</v>
      </c>
      <c r="H3453" s="133" t="s">
        <v>39</v>
      </c>
      <c r="I3453" s="133"/>
      <c r="J3453" s="133" t="s">
        <v>2419</v>
      </c>
      <c r="K3453" s="133" t="s">
        <v>831</v>
      </c>
      <c r="L3453" s="167"/>
      <c r="M3453" s="169"/>
    </row>
    <row r="3454" spans="1:13" x14ac:dyDescent="0.55000000000000004">
      <c r="A3454" s="132" t="s">
        <v>2420</v>
      </c>
      <c r="B3454" s="133" t="s">
        <v>2825</v>
      </c>
      <c r="C3454" s="133" t="s">
        <v>125</v>
      </c>
      <c r="D3454" s="133" t="s">
        <v>3288</v>
      </c>
      <c r="E3454" s="138">
        <v>6.6900000000000006E-3</v>
      </c>
      <c r="F3454" s="153" t="s">
        <v>135</v>
      </c>
      <c r="G3454" s="153">
        <v>1</v>
      </c>
      <c r="H3454" s="133" t="s">
        <v>39</v>
      </c>
      <c r="I3454" s="133"/>
      <c r="J3454" s="133" t="s">
        <v>2419</v>
      </c>
      <c r="K3454" s="133" t="s">
        <v>831</v>
      </c>
      <c r="L3454" s="167"/>
      <c r="M3454" s="169"/>
    </row>
    <row r="3455" spans="1:13" x14ac:dyDescent="0.55000000000000004">
      <c r="A3455" s="132" t="s">
        <v>2420</v>
      </c>
      <c r="B3455" s="133" t="s">
        <v>2826</v>
      </c>
      <c r="C3455" s="133" t="s">
        <v>125</v>
      </c>
      <c r="D3455" s="133" t="s">
        <v>3288</v>
      </c>
      <c r="E3455" s="138">
        <v>1.6299999999999999E-3</v>
      </c>
      <c r="F3455" s="153" t="s">
        <v>135</v>
      </c>
      <c r="G3455" s="153">
        <v>1</v>
      </c>
      <c r="H3455" s="133" t="s">
        <v>39</v>
      </c>
      <c r="I3455" s="133"/>
      <c r="J3455" s="133" t="s">
        <v>2419</v>
      </c>
      <c r="K3455" s="133" t="s">
        <v>831</v>
      </c>
      <c r="L3455" s="167"/>
      <c r="M3455" s="169"/>
    </row>
    <row r="3456" spans="1:13" x14ac:dyDescent="0.55000000000000004">
      <c r="A3456" s="132" t="s">
        <v>2420</v>
      </c>
      <c r="B3456" s="133" t="s">
        <v>2827</v>
      </c>
      <c r="C3456" s="133" t="s">
        <v>156</v>
      </c>
      <c r="D3456" s="133" t="s">
        <v>3288</v>
      </c>
      <c r="E3456" s="138">
        <v>0.66665999999999992</v>
      </c>
      <c r="F3456" s="153" t="s">
        <v>135</v>
      </c>
      <c r="G3456" s="153">
        <v>1</v>
      </c>
      <c r="H3456" s="133" t="s">
        <v>39</v>
      </c>
      <c r="I3456" s="133"/>
      <c r="J3456" s="133" t="s">
        <v>2419</v>
      </c>
      <c r="K3456" s="133" t="s">
        <v>831</v>
      </c>
      <c r="L3456" s="167"/>
      <c r="M3456" s="169"/>
    </row>
    <row r="3457" spans="1:13" x14ac:dyDescent="0.55000000000000004">
      <c r="A3457" s="132" t="s">
        <v>2420</v>
      </c>
      <c r="B3457" s="133" t="s">
        <v>2828</v>
      </c>
      <c r="C3457" s="133" t="s">
        <v>156</v>
      </c>
      <c r="D3457" s="133" t="s">
        <v>3288</v>
      </c>
      <c r="E3457" s="138">
        <v>3.1899999999999998E-2</v>
      </c>
      <c r="F3457" s="153" t="s">
        <v>135</v>
      </c>
      <c r="G3457" s="153">
        <v>1</v>
      </c>
      <c r="H3457" s="133" t="s">
        <v>39</v>
      </c>
      <c r="I3457" s="133"/>
      <c r="J3457" s="133" t="s">
        <v>2419</v>
      </c>
      <c r="K3457" s="133" t="s">
        <v>831</v>
      </c>
      <c r="L3457" s="167"/>
      <c r="M3457" s="169"/>
    </row>
    <row r="3458" spans="1:13" x14ac:dyDescent="0.55000000000000004">
      <c r="A3458" s="132" t="s">
        <v>2420</v>
      </c>
      <c r="B3458" s="133" t="s">
        <v>2781</v>
      </c>
      <c r="C3458" s="133" t="s">
        <v>156</v>
      </c>
      <c r="D3458" s="133" t="s">
        <v>3288</v>
      </c>
      <c r="E3458" s="138">
        <v>4.2500000000000003E-2</v>
      </c>
      <c r="F3458" s="153" t="s">
        <v>135</v>
      </c>
      <c r="G3458" s="153">
        <v>1</v>
      </c>
      <c r="H3458" s="133" t="s">
        <v>39</v>
      </c>
      <c r="I3458" s="133"/>
      <c r="J3458" s="133" t="s">
        <v>2419</v>
      </c>
      <c r="K3458" s="133" t="s">
        <v>831</v>
      </c>
      <c r="L3458" s="167"/>
      <c r="M3458" s="169"/>
    </row>
    <row r="3459" spans="1:13" x14ac:dyDescent="0.55000000000000004">
      <c r="A3459" s="132" t="s">
        <v>2420</v>
      </c>
      <c r="B3459" s="133" t="s">
        <v>2829</v>
      </c>
      <c r="C3459" s="133" t="s">
        <v>156</v>
      </c>
      <c r="D3459" s="133" t="s">
        <v>3288</v>
      </c>
      <c r="E3459" s="138">
        <v>4.4000000000000003E-3</v>
      </c>
      <c r="F3459" s="153" t="s">
        <v>135</v>
      </c>
      <c r="G3459" s="153">
        <v>1</v>
      </c>
      <c r="H3459" s="133" t="s">
        <v>39</v>
      </c>
      <c r="I3459" s="133"/>
      <c r="J3459" s="133" t="s">
        <v>2419</v>
      </c>
      <c r="K3459" s="133" t="s">
        <v>831</v>
      </c>
      <c r="L3459" s="167"/>
      <c r="M3459" s="169"/>
    </row>
    <row r="3460" spans="1:13" x14ac:dyDescent="0.55000000000000004">
      <c r="A3460" s="132" t="s">
        <v>2420</v>
      </c>
      <c r="B3460" s="133" t="s">
        <v>2825</v>
      </c>
      <c r="C3460" s="133" t="s">
        <v>156</v>
      </c>
      <c r="D3460" s="133" t="s">
        <v>3288</v>
      </c>
      <c r="E3460" s="138">
        <v>1.98E-3</v>
      </c>
      <c r="F3460" s="153" t="s">
        <v>135</v>
      </c>
      <c r="G3460" s="153">
        <v>1</v>
      </c>
      <c r="H3460" s="133" t="s">
        <v>39</v>
      </c>
      <c r="I3460" s="133"/>
      <c r="J3460" s="133" t="s">
        <v>2419</v>
      </c>
      <c r="K3460" s="133" t="s">
        <v>831</v>
      </c>
      <c r="L3460" s="167"/>
      <c r="M3460" s="169"/>
    </row>
    <row r="3461" spans="1:13" x14ac:dyDescent="0.55000000000000004">
      <c r="A3461" s="132" t="s">
        <v>2420</v>
      </c>
      <c r="B3461" s="133" t="s">
        <v>2830</v>
      </c>
      <c r="C3461" s="133" t="s">
        <v>156</v>
      </c>
      <c r="D3461" s="133" t="s">
        <v>3288</v>
      </c>
      <c r="E3461" s="138">
        <v>0.10014000000000001</v>
      </c>
      <c r="F3461" s="153" t="s">
        <v>135</v>
      </c>
      <c r="G3461" s="153">
        <v>1</v>
      </c>
      <c r="H3461" s="133" t="s">
        <v>39</v>
      </c>
      <c r="I3461" s="133"/>
      <c r="J3461" s="133" t="s">
        <v>2419</v>
      </c>
      <c r="K3461" s="133" t="s">
        <v>831</v>
      </c>
      <c r="L3461" s="167"/>
      <c r="M3461" s="169"/>
    </row>
    <row r="3462" spans="1:13" x14ac:dyDescent="0.55000000000000004">
      <c r="A3462" s="132" t="s">
        <v>2420</v>
      </c>
      <c r="B3462" s="133" t="s">
        <v>153</v>
      </c>
      <c r="C3462" s="133" t="s">
        <v>156</v>
      </c>
      <c r="D3462" s="133" t="s">
        <v>2994</v>
      </c>
      <c r="E3462" s="138">
        <v>323</v>
      </c>
      <c r="F3462" s="153" t="s">
        <v>130</v>
      </c>
      <c r="G3462" s="153">
        <v>1</v>
      </c>
      <c r="H3462" s="133" t="s">
        <v>39</v>
      </c>
      <c r="I3462" s="133"/>
      <c r="J3462" s="133" t="s">
        <v>2419</v>
      </c>
      <c r="K3462" s="133" t="s">
        <v>831</v>
      </c>
      <c r="L3462" s="167"/>
      <c r="M3462" s="169"/>
    </row>
    <row r="3463" spans="1:13" x14ac:dyDescent="0.55000000000000004">
      <c r="A3463" s="132" t="s">
        <v>2420</v>
      </c>
      <c r="B3463" s="133" t="s">
        <v>496</v>
      </c>
      <c r="C3463" s="133" t="s">
        <v>156</v>
      </c>
      <c r="D3463" s="133" t="s">
        <v>2994</v>
      </c>
      <c r="E3463" s="138">
        <v>1407.6</v>
      </c>
      <c r="F3463" s="153" t="s">
        <v>167</v>
      </c>
      <c r="G3463" s="153">
        <v>1</v>
      </c>
      <c r="H3463" s="133" t="s">
        <v>39</v>
      </c>
      <c r="I3463" s="133"/>
      <c r="J3463" s="133" t="s">
        <v>2419</v>
      </c>
      <c r="K3463" s="133" t="s">
        <v>831</v>
      </c>
      <c r="L3463" s="167"/>
      <c r="M3463" s="169"/>
    </row>
    <row r="3464" spans="1:13" x14ac:dyDescent="0.55000000000000004">
      <c r="A3464" s="132" t="s">
        <v>2420</v>
      </c>
      <c r="B3464" s="133" t="s">
        <v>2831</v>
      </c>
      <c r="C3464" s="133" t="s">
        <v>156</v>
      </c>
      <c r="D3464" s="133" t="s">
        <v>3288</v>
      </c>
      <c r="E3464" s="138">
        <v>3.0589999999999999E-2</v>
      </c>
      <c r="F3464" s="153" t="s">
        <v>135</v>
      </c>
      <c r="G3464" s="153">
        <v>1</v>
      </c>
      <c r="H3464" s="133" t="s">
        <v>39</v>
      </c>
      <c r="I3464" s="133"/>
      <c r="J3464" s="133" t="s">
        <v>2419</v>
      </c>
      <c r="K3464" s="133" t="s">
        <v>831</v>
      </c>
      <c r="L3464" s="167"/>
      <c r="M3464" s="169"/>
    </row>
    <row r="3465" spans="1:13" x14ac:dyDescent="0.55000000000000004">
      <c r="A3465" s="132" t="s">
        <v>2420</v>
      </c>
      <c r="B3465" s="133" t="s">
        <v>2832</v>
      </c>
      <c r="C3465" s="133" t="s">
        <v>156</v>
      </c>
      <c r="D3465" s="133" t="s">
        <v>3288</v>
      </c>
      <c r="E3465" s="138">
        <v>7.9000000000000001E-4</v>
      </c>
      <c r="F3465" s="153" t="s">
        <v>135</v>
      </c>
      <c r="G3465" s="153">
        <v>1</v>
      </c>
      <c r="H3465" s="133" t="s">
        <v>39</v>
      </c>
      <c r="I3465" s="133"/>
      <c r="J3465" s="133" t="s">
        <v>2419</v>
      </c>
      <c r="K3465" s="133" t="s">
        <v>831</v>
      </c>
      <c r="L3465" s="167"/>
      <c r="M3465" s="169"/>
    </row>
    <row r="3466" spans="1:13" x14ac:dyDescent="0.55000000000000004">
      <c r="A3466" s="132" t="s">
        <v>2420</v>
      </c>
      <c r="B3466" s="133" t="s">
        <v>181</v>
      </c>
      <c r="C3466" s="133" t="s">
        <v>163</v>
      </c>
      <c r="D3466" s="133" t="s">
        <v>3288</v>
      </c>
      <c r="E3466" s="138">
        <v>5.7270000000000001E-2</v>
      </c>
      <c r="F3466" s="153" t="s">
        <v>135</v>
      </c>
      <c r="G3466" s="153">
        <v>1</v>
      </c>
      <c r="H3466" s="133" t="s">
        <v>39</v>
      </c>
      <c r="I3466" s="133"/>
      <c r="J3466" s="133" t="s">
        <v>2419</v>
      </c>
      <c r="K3466" s="133" t="s">
        <v>831</v>
      </c>
      <c r="L3466" s="167"/>
      <c r="M3466" s="169"/>
    </row>
    <row r="3467" spans="1:13" x14ac:dyDescent="0.55000000000000004">
      <c r="A3467" s="132" t="s">
        <v>2425</v>
      </c>
      <c r="B3467" s="133" t="s">
        <v>2833</v>
      </c>
      <c r="C3467" s="133" t="s">
        <v>121</v>
      </c>
      <c r="D3467" s="133" t="s">
        <v>2682</v>
      </c>
      <c r="E3467" s="138">
        <v>1</v>
      </c>
      <c r="F3467" s="153">
        <v>1</v>
      </c>
      <c r="G3467" s="153">
        <v>1</v>
      </c>
      <c r="H3467" s="133" t="s">
        <v>39</v>
      </c>
      <c r="I3467" s="133"/>
      <c r="J3467" s="133" t="s">
        <v>2424</v>
      </c>
      <c r="K3467" s="133" t="s">
        <v>831</v>
      </c>
      <c r="L3467" s="167"/>
      <c r="M3467" s="169"/>
    </row>
    <row r="3468" spans="1:13" x14ac:dyDescent="0.55000000000000004">
      <c r="A3468" s="132" t="s">
        <v>2425</v>
      </c>
      <c r="B3468" s="133" t="s">
        <v>2823</v>
      </c>
      <c r="C3468" s="133" t="s">
        <v>348</v>
      </c>
      <c r="D3468" s="133" t="s">
        <v>3288</v>
      </c>
      <c r="E3468" s="138">
        <v>1</v>
      </c>
      <c r="F3468" s="153" t="s">
        <v>135</v>
      </c>
      <c r="G3468" s="153">
        <v>1</v>
      </c>
      <c r="H3468" s="133" t="s">
        <v>39</v>
      </c>
      <c r="I3468" s="133"/>
      <c r="J3468" s="133" t="s">
        <v>2424</v>
      </c>
      <c r="K3468" s="133" t="s">
        <v>831</v>
      </c>
      <c r="L3468" s="167"/>
      <c r="M3468" s="169"/>
    </row>
    <row r="3469" spans="1:13" x14ac:dyDescent="0.55000000000000004">
      <c r="A3469" s="132" t="s">
        <v>2425</v>
      </c>
      <c r="B3469" s="133" t="s">
        <v>153</v>
      </c>
      <c r="C3469" s="133" t="s">
        <v>127</v>
      </c>
      <c r="D3469" s="133" t="s">
        <v>2994</v>
      </c>
      <c r="E3469" s="138">
        <v>78.28</v>
      </c>
      <c r="F3469" s="153" t="s">
        <v>130</v>
      </c>
      <c r="G3469" s="153">
        <v>1</v>
      </c>
      <c r="H3469" s="133" t="s">
        <v>39</v>
      </c>
      <c r="I3469" s="133"/>
      <c r="J3469" s="133" t="s">
        <v>2424</v>
      </c>
      <c r="K3469" s="133" t="s">
        <v>831</v>
      </c>
      <c r="L3469" s="167"/>
      <c r="M3469" s="169"/>
    </row>
    <row r="3470" spans="1:13" x14ac:dyDescent="0.55000000000000004">
      <c r="A3470" s="132" t="s">
        <v>2425</v>
      </c>
      <c r="B3470" s="133" t="s">
        <v>2824</v>
      </c>
      <c r="C3470" s="133" t="s">
        <v>127</v>
      </c>
      <c r="D3470" s="133" t="s">
        <v>2994</v>
      </c>
      <c r="E3470" s="138">
        <v>810.97</v>
      </c>
      <c r="F3470" s="153" t="s">
        <v>167</v>
      </c>
      <c r="G3470" s="153">
        <v>1</v>
      </c>
      <c r="H3470" s="133" t="s">
        <v>39</v>
      </c>
      <c r="I3470" s="133"/>
      <c r="J3470" s="133" t="s">
        <v>2424</v>
      </c>
      <c r="K3470" s="133" t="s">
        <v>831</v>
      </c>
      <c r="L3470" s="167"/>
      <c r="M3470" s="169"/>
    </row>
    <row r="3471" spans="1:13" x14ac:dyDescent="0.55000000000000004">
      <c r="A3471" s="132" t="s">
        <v>2425</v>
      </c>
      <c r="B3471" s="133" t="s">
        <v>2825</v>
      </c>
      <c r="C3471" s="133" t="s">
        <v>125</v>
      </c>
      <c r="D3471" s="133" t="s">
        <v>3288</v>
      </c>
      <c r="E3471" s="138">
        <v>6.28E-3</v>
      </c>
      <c r="F3471" s="153" t="s">
        <v>135</v>
      </c>
      <c r="G3471" s="153">
        <v>1</v>
      </c>
      <c r="H3471" s="133" t="s">
        <v>39</v>
      </c>
      <c r="I3471" s="133"/>
      <c r="J3471" s="133" t="s">
        <v>2424</v>
      </c>
      <c r="K3471" s="133" t="s">
        <v>831</v>
      </c>
      <c r="L3471" s="167"/>
      <c r="M3471" s="169"/>
    </row>
    <row r="3472" spans="1:13" x14ac:dyDescent="0.55000000000000004">
      <c r="A3472" s="132" t="s">
        <v>2425</v>
      </c>
      <c r="B3472" s="133" t="s">
        <v>2826</v>
      </c>
      <c r="C3472" s="133" t="s">
        <v>125</v>
      </c>
      <c r="D3472" s="133" t="s">
        <v>3288</v>
      </c>
      <c r="E3472" s="138">
        <v>1.34E-3</v>
      </c>
      <c r="F3472" s="153" t="s">
        <v>135</v>
      </c>
      <c r="G3472" s="153">
        <v>1</v>
      </c>
      <c r="H3472" s="133" t="s">
        <v>39</v>
      </c>
      <c r="I3472" s="133"/>
      <c r="J3472" s="133" t="s">
        <v>2424</v>
      </c>
      <c r="K3472" s="133" t="s">
        <v>831</v>
      </c>
      <c r="L3472" s="167"/>
      <c r="M3472" s="169"/>
    </row>
    <row r="3473" spans="1:13" x14ac:dyDescent="0.55000000000000004">
      <c r="A3473" s="132" t="s">
        <v>2425</v>
      </c>
      <c r="B3473" s="133" t="s">
        <v>2827</v>
      </c>
      <c r="C3473" s="133" t="s">
        <v>156</v>
      </c>
      <c r="D3473" s="133" t="s">
        <v>3288</v>
      </c>
      <c r="E3473" s="138">
        <v>0.66664000000000001</v>
      </c>
      <c r="F3473" s="153" t="s">
        <v>135</v>
      </c>
      <c r="G3473" s="153">
        <v>1</v>
      </c>
      <c r="H3473" s="133" t="s">
        <v>39</v>
      </c>
      <c r="I3473" s="133"/>
      <c r="J3473" s="133" t="s">
        <v>2424</v>
      </c>
      <c r="K3473" s="133" t="s">
        <v>831</v>
      </c>
      <c r="L3473" s="167"/>
      <c r="M3473" s="169"/>
    </row>
    <row r="3474" spans="1:13" x14ac:dyDescent="0.55000000000000004">
      <c r="A3474" s="132" t="s">
        <v>2425</v>
      </c>
      <c r="B3474" s="133" t="s">
        <v>2828</v>
      </c>
      <c r="C3474" s="133" t="s">
        <v>156</v>
      </c>
      <c r="D3474" s="133" t="s">
        <v>3288</v>
      </c>
      <c r="E3474" s="138">
        <v>3.107E-2</v>
      </c>
      <c r="F3474" s="153" t="s">
        <v>135</v>
      </c>
      <c r="G3474" s="153">
        <v>1</v>
      </c>
      <c r="H3474" s="133" t="s">
        <v>39</v>
      </c>
      <c r="I3474" s="133"/>
      <c r="J3474" s="133" t="s">
        <v>2424</v>
      </c>
      <c r="K3474" s="133" t="s">
        <v>831</v>
      </c>
      <c r="L3474" s="167"/>
      <c r="M3474" s="169"/>
    </row>
    <row r="3475" spans="1:13" x14ac:dyDescent="0.55000000000000004">
      <c r="A3475" s="132" t="s">
        <v>2425</v>
      </c>
      <c r="B3475" s="133" t="s">
        <v>2781</v>
      </c>
      <c r="C3475" s="133" t="s">
        <v>156</v>
      </c>
      <c r="D3475" s="133" t="s">
        <v>3288</v>
      </c>
      <c r="E3475" s="138">
        <v>4.2009999999999999E-2</v>
      </c>
      <c r="F3475" s="153" t="s">
        <v>135</v>
      </c>
      <c r="G3475" s="153">
        <v>1</v>
      </c>
      <c r="H3475" s="133" t="s">
        <v>39</v>
      </c>
      <c r="I3475" s="133"/>
      <c r="J3475" s="133" t="s">
        <v>2424</v>
      </c>
      <c r="K3475" s="133" t="s">
        <v>831</v>
      </c>
      <c r="L3475" s="167"/>
      <c r="M3475" s="169"/>
    </row>
    <row r="3476" spans="1:13" x14ac:dyDescent="0.55000000000000004">
      <c r="A3476" s="132" t="s">
        <v>2425</v>
      </c>
      <c r="B3476" s="133" t="s">
        <v>2829</v>
      </c>
      <c r="C3476" s="133" t="s">
        <v>156</v>
      </c>
      <c r="D3476" s="133" t="s">
        <v>3288</v>
      </c>
      <c r="E3476" s="138">
        <v>4.4000000000000003E-3</v>
      </c>
      <c r="F3476" s="153" t="s">
        <v>135</v>
      </c>
      <c r="G3476" s="153">
        <v>1</v>
      </c>
      <c r="H3476" s="133" t="s">
        <v>39</v>
      </c>
      <c r="I3476" s="133"/>
      <c r="J3476" s="133" t="s">
        <v>2424</v>
      </c>
      <c r="K3476" s="133" t="s">
        <v>831</v>
      </c>
      <c r="L3476" s="167"/>
      <c r="M3476" s="169"/>
    </row>
    <row r="3477" spans="1:13" x14ac:dyDescent="0.55000000000000004">
      <c r="A3477" s="132" t="s">
        <v>2425</v>
      </c>
      <c r="B3477" s="133" t="s">
        <v>2825</v>
      </c>
      <c r="C3477" s="133" t="s">
        <v>156</v>
      </c>
      <c r="D3477" s="133" t="s">
        <v>3288</v>
      </c>
      <c r="E3477" s="138">
        <v>1.98E-3</v>
      </c>
      <c r="F3477" s="153" t="s">
        <v>135</v>
      </c>
      <c r="G3477" s="153">
        <v>1</v>
      </c>
      <c r="H3477" s="133" t="s">
        <v>39</v>
      </c>
      <c r="I3477" s="133"/>
      <c r="J3477" s="133" t="s">
        <v>2424</v>
      </c>
      <c r="K3477" s="133" t="s">
        <v>831</v>
      </c>
      <c r="L3477" s="167"/>
      <c r="M3477" s="169"/>
    </row>
    <row r="3478" spans="1:13" x14ac:dyDescent="0.55000000000000004">
      <c r="A3478" s="132" t="s">
        <v>2425</v>
      </c>
      <c r="B3478" s="133" t="s">
        <v>2830</v>
      </c>
      <c r="C3478" s="133" t="s">
        <v>156</v>
      </c>
      <c r="D3478" s="133" t="s">
        <v>3288</v>
      </c>
      <c r="E3478" s="138">
        <v>0.84219999999999995</v>
      </c>
      <c r="F3478" s="153" t="s">
        <v>135</v>
      </c>
      <c r="G3478" s="153">
        <v>1</v>
      </c>
      <c r="H3478" s="133" t="s">
        <v>39</v>
      </c>
      <c r="I3478" s="133"/>
      <c r="J3478" s="133" t="s">
        <v>2424</v>
      </c>
      <c r="K3478" s="133" t="s">
        <v>831</v>
      </c>
      <c r="L3478" s="167"/>
      <c r="M3478" s="169"/>
    </row>
    <row r="3479" spans="1:13" x14ac:dyDescent="0.55000000000000004">
      <c r="A3479" s="132" t="s">
        <v>2425</v>
      </c>
      <c r="B3479" s="133" t="s">
        <v>153</v>
      </c>
      <c r="C3479" s="133" t="s">
        <v>156</v>
      </c>
      <c r="D3479" s="133" t="s">
        <v>2994</v>
      </c>
      <c r="E3479" s="138">
        <v>323</v>
      </c>
      <c r="F3479" s="153" t="s">
        <v>130</v>
      </c>
      <c r="G3479" s="153">
        <v>1</v>
      </c>
      <c r="H3479" s="133" t="s">
        <v>39</v>
      </c>
      <c r="I3479" s="133"/>
      <c r="J3479" s="133" t="s">
        <v>2424</v>
      </c>
      <c r="K3479" s="133" t="s">
        <v>831</v>
      </c>
      <c r="L3479" s="167"/>
      <c r="M3479" s="169"/>
    </row>
    <row r="3480" spans="1:13" x14ac:dyDescent="0.55000000000000004">
      <c r="A3480" s="132" t="s">
        <v>2425</v>
      </c>
      <c r="B3480" s="133" t="s">
        <v>496</v>
      </c>
      <c r="C3480" s="133" t="s">
        <v>156</v>
      </c>
      <c r="D3480" s="133" t="s">
        <v>2994</v>
      </c>
      <c r="E3480" s="138">
        <v>1851.6</v>
      </c>
      <c r="F3480" s="153" t="s">
        <v>167</v>
      </c>
      <c r="G3480" s="153">
        <v>1</v>
      </c>
      <c r="H3480" s="133" t="s">
        <v>39</v>
      </c>
      <c r="I3480" s="133"/>
      <c r="J3480" s="133" t="s">
        <v>2424</v>
      </c>
      <c r="K3480" s="133" t="s">
        <v>831</v>
      </c>
      <c r="L3480" s="167"/>
      <c r="M3480" s="169"/>
    </row>
    <row r="3481" spans="1:13" x14ac:dyDescent="0.55000000000000004">
      <c r="A3481" s="132" t="s">
        <v>2425</v>
      </c>
      <c r="B3481" s="133" t="s">
        <v>2831</v>
      </c>
      <c r="C3481" s="133" t="s">
        <v>156</v>
      </c>
      <c r="D3481" s="133" t="s">
        <v>3288</v>
      </c>
      <c r="E3481" s="138">
        <v>3.0589999999999999E-2</v>
      </c>
      <c r="F3481" s="153" t="s">
        <v>135</v>
      </c>
      <c r="G3481" s="153">
        <v>1</v>
      </c>
      <c r="H3481" s="133" t="s">
        <v>39</v>
      </c>
      <c r="I3481" s="133"/>
      <c r="J3481" s="133" t="s">
        <v>2424</v>
      </c>
      <c r="K3481" s="133" t="s">
        <v>831</v>
      </c>
      <c r="L3481" s="167"/>
      <c r="M3481" s="169"/>
    </row>
    <row r="3482" spans="1:13" x14ac:dyDescent="0.55000000000000004">
      <c r="A3482" s="132" t="s">
        <v>2425</v>
      </c>
      <c r="B3482" s="133" t="s">
        <v>2832</v>
      </c>
      <c r="C3482" s="133" t="s">
        <v>156</v>
      </c>
      <c r="D3482" s="133" t="s">
        <v>3288</v>
      </c>
      <c r="E3482" s="138">
        <v>1.8320000000000001</v>
      </c>
      <c r="F3482" s="153" t="s">
        <v>135</v>
      </c>
      <c r="G3482" s="153">
        <v>1</v>
      </c>
      <c r="H3482" s="133" t="s">
        <v>39</v>
      </c>
      <c r="I3482" s="133"/>
      <c r="J3482" s="133" t="s">
        <v>2424</v>
      </c>
      <c r="K3482" s="133" t="s">
        <v>831</v>
      </c>
      <c r="L3482" s="167"/>
      <c r="M3482" s="169"/>
    </row>
    <row r="3483" spans="1:13" x14ac:dyDescent="0.55000000000000004">
      <c r="A3483" s="132" t="s">
        <v>2425</v>
      </c>
      <c r="B3483" s="133" t="s">
        <v>181</v>
      </c>
      <c r="C3483" s="133" t="s">
        <v>163</v>
      </c>
      <c r="D3483" s="133" t="s">
        <v>3288</v>
      </c>
      <c r="E3483" s="138">
        <v>5.7270000000000001E-2</v>
      </c>
      <c r="F3483" s="153" t="s">
        <v>135</v>
      </c>
      <c r="G3483" s="153">
        <v>1</v>
      </c>
      <c r="H3483" s="133" t="s">
        <v>39</v>
      </c>
      <c r="I3483" s="133"/>
      <c r="J3483" s="133" t="s">
        <v>2424</v>
      </c>
      <c r="K3483" s="133" t="s">
        <v>831</v>
      </c>
      <c r="L3483" s="167"/>
      <c r="M3483" s="169"/>
    </row>
    <row r="3484" spans="1:13" x14ac:dyDescent="0.55000000000000004">
      <c r="A3484" s="132" t="s">
        <v>2429</v>
      </c>
      <c r="B3484" s="133" t="s">
        <v>2834</v>
      </c>
      <c r="C3484" s="133" t="s">
        <v>121</v>
      </c>
      <c r="D3484" s="133" t="s">
        <v>2682</v>
      </c>
      <c r="E3484" s="138">
        <v>1</v>
      </c>
      <c r="F3484" s="153">
        <v>1</v>
      </c>
      <c r="G3484" s="153">
        <v>1</v>
      </c>
      <c r="H3484" s="133" t="s">
        <v>39</v>
      </c>
      <c r="I3484" s="133"/>
      <c r="J3484" s="133" t="s">
        <v>2428</v>
      </c>
      <c r="K3484" s="133" t="s">
        <v>831</v>
      </c>
      <c r="L3484" s="167"/>
      <c r="M3484" s="169"/>
    </row>
    <row r="3485" spans="1:13" x14ac:dyDescent="0.55000000000000004">
      <c r="A3485" s="132" t="s">
        <v>2429</v>
      </c>
      <c r="B3485" s="133" t="s">
        <v>2835</v>
      </c>
      <c r="C3485" s="133" t="s">
        <v>348</v>
      </c>
      <c r="D3485" s="133" t="s">
        <v>3288</v>
      </c>
      <c r="E3485" s="138">
        <v>1.42</v>
      </c>
      <c r="F3485" s="153" t="s">
        <v>135</v>
      </c>
      <c r="G3485" s="153">
        <v>1</v>
      </c>
      <c r="H3485" s="133" t="s">
        <v>39</v>
      </c>
      <c r="I3485" s="133"/>
      <c r="J3485" s="133" t="s">
        <v>2428</v>
      </c>
      <c r="K3485" s="133" t="s">
        <v>831</v>
      </c>
      <c r="L3485" s="167"/>
      <c r="M3485" s="169"/>
    </row>
    <row r="3486" spans="1:13" x14ac:dyDescent="0.55000000000000004">
      <c r="A3486" s="132" t="s">
        <v>2429</v>
      </c>
      <c r="B3486" s="133" t="s">
        <v>153</v>
      </c>
      <c r="C3486" s="133" t="s">
        <v>127</v>
      </c>
      <c r="D3486" s="133" t="s">
        <v>2994</v>
      </c>
      <c r="E3486" s="138">
        <v>46</v>
      </c>
      <c r="F3486" s="153" t="s">
        <v>130</v>
      </c>
      <c r="G3486" s="153">
        <v>1</v>
      </c>
      <c r="H3486" s="133" t="s">
        <v>39</v>
      </c>
      <c r="I3486" s="133"/>
      <c r="J3486" s="133" t="s">
        <v>2428</v>
      </c>
      <c r="K3486" s="133" t="s">
        <v>831</v>
      </c>
      <c r="L3486" s="167"/>
      <c r="M3486" s="169"/>
    </row>
    <row r="3487" spans="1:13" x14ac:dyDescent="0.55000000000000004">
      <c r="A3487" s="132" t="s">
        <v>2429</v>
      </c>
      <c r="B3487" s="133" t="s">
        <v>2836</v>
      </c>
      <c r="C3487" s="133" t="s">
        <v>348</v>
      </c>
      <c r="D3487" s="133" t="s">
        <v>3289</v>
      </c>
      <c r="E3487" s="138">
        <v>0.17</v>
      </c>
      <c r="F3487" s="153" t="s">
        <v>133</v>
      </c>
      <c r="G3487" s="153">
        <v>1</v>
      </c>
      <c r="H3487" s="133" t="s">
        <v>39</v>
      </c>
      <c r="I3487" s="133"/>
      <c r="J3487" s="133" t="s">
        <v>2428</v>
      </c>
      <c r="K3487" s="133" t="s">
        <v>831</v>
      </c>
      <c r="L3487" s="167"/>
      <c r="M3487" s="169"/>
    </row>
    <row r="3488" spans="1:13" x14ac:dyDescent="0.55000000000000004">
      <c r="A3488" s="132" t="s">
        <v>2429</v>
      </c>
      <c r="B3488" s="133" t="s">
        <v>213</v>
      </c>
      <c r="C3488" s="133" t="s">
        <v>348</v>
      </c>
      <c r="D3488" s="133" t="s">
        <v>3289</v>
      </c>
      <c r="E3488" s="138">
        <v>0.32</v>
      </c>
      <c r="F3488" s="153" t="s">
        <v>133</v>
      </c>
      <c r="G3488" s="153">
        <v>1</v>
      </c>
      <c r="H3488" s="133" t="s">
        <v>39</v>
      </c>
      <c r="I3488" s="133"/>
      <c r="J3488" s="133" t="s">
        <v>2428</v>
      </c>
      <c r="K3488" s="133" t="s">
        <v>831</v>
      </c>
      <c r="L3488" s="167"/>
      <c r="M3488" s="169"/>
    </row>
    <row r="3489" spans="1:13" x14ac:dyDescent="0.55000000000000004">
      <c r="A3489" s="132" t="s">
        <v>2429</v>
      </c>
      <c r="B3489" s="133" t="s">
        <v>2837</v>
      </c>
      <c r="C3489" s="133" t="s">
        <v>156</v>
      </c>
      <c r="D3489" s="133" t="s">
        <v>3288</v>
      </c>
      <c r="E3489" s="138">
        <v>1.12E-2</v>
      </c>
      <c r="F3489" s="153" t="s">
        <v>135</v>
      </c>
      <c r="G3489" s="153">
        <v>1</v>
      </c>
      <c r="H3489" s="133" t="s">
        <v>39</v>
      </c>
      <c r="I3489" s="133"/>
      <c r="J3489" s="133" t="s">
        <v>2428</v>
      </c>
      <c r="K3489" s="133" t="s">
        <v>831</v>
      </c>
      <c r="L3489" s="167"/>
      <c r="M3489" s="169"/>
    </row>
    <row r="3490" spans="1:13" x14ac:dyDescent="0.55000000000000004">
      <c r="A3490" s="132" t="s">
        <v>2429</v>
      </c>
      <c r="B3490" s="133" t="s">
        <v>2838</v>
      </c>
      <c r="C3490" s="133" t="s">
        <v>156</v>
      </c>
      <c r="D3490" s="133" t="s">
        <v>3288</v>
      </c>
      <c r="E3490" s="138">
        <v>2.9999999999999997E-4</v>
      </c>
      <c r="F3490" s="153" t="s">
        <v>135</v>
      </c>
      <c r="G3490" s="153">
        <v>1</v>
      </c>
      <c r="H3490" s="133" t="s">
        <v>39</v>
      </c>
      <c r="I3490" s="133"/>
      <c r="J3490" s="133" t="s">
        <v>2428</v>
      </c>
      <c r="K3490" s="133" t="s">
        <v>831</v>
      </c>
      <c r="L3490" s="167"/>
      <c r="M3490" s="169"/>
    </row>
    <row r="3491" spans="1:13" x14ac:dyDescent="0.55000000000000004">
      <c r="A3491" s="132" t="s">
        <v>2429</v>
      </c>
      <c r="B3491" s="133" t="s">
        <v>2839</v>
      </c>
      <c r="C3491" s="133" t="s">
        <v>156</v>
      </c>
      <c r="D3491" s="133" t="s">
        <v>3288</v>
      </c>
      <c r="E3491" s="138">
        <v>1.2999999999999999E-3</v>
      </c>
      <c r="F3491" s="153" t="s">
        <v>135</v>
      </c>
      <c r="G3491" s="153">
        <v>1</v>
      </c>
      <c r="H3491" s="133" t="s">
        <v>39</v>
      </c>
      <c r="I3491" s="133"/>
      <c r="J3491" s="133" t="s">
        <v>2428</v>
      </c>
      <c r="K3491" s="133" t="s">
        <v>831</v>
      </c>
      <c r="L3491" s="167"/>
      <c r="M3491" s="169"/>
    </row>
    <row r="3492" spans="1:13" x14ac:dyDescent="0.55000000000000004">
      <c r="A3492" s="132" t="s">
        <v>2429</v>
      </c>
      <c r="B3492" s="133" t="s">
        <v>2840</v>
      </c>
      <c r="C3492" s="133" t="s">
        <v>156</v>
      </c>
      <c r="D3492" s="133" t="s">
        <v>3288</v>
      </c>
      <c r="E3492" s="138">
        <v>0.12</v>
      </c>
      <c r="F3492" s="153" t="s">
        <v>135</v>
      </c>
      <c r="G3492" s="153">
        <v>1</v>
      </c>
      <c r="H3492" s="133" t="s">
        <v>39</v>
      </c>
      <c r="I3492" s="133"/>
      <c r="J3492" s="133" t="s">
        <v>2428</v>
      </c>
      <c r="K3492" s="133" t="s">
        <v>831</v>
      </c>
      <c r="L3492" s="167"/>
      <c r="M3492" s="169"/>
    </row>
    <row r="3493" spans="1:13" x14ac:dyDescent="0.55000000000000004">
      <c r="A3493" s="132" t="s">
        <v>2429</v>
      </c>
      <c r="B3493" s="133" t="s">
        <v>2782</v>
      </c>
      <c r="C3493" s="133" t="s">
        <v>156</v>
      </c>
      <c r="D3493" s="133" t="s">
        <v>3288</v>
      </c>
      <c r="E3493" s="138">
        <v>0.82030000000000003</v>
      </c>
      <c r="F3493" s="153" t="s">
        <v>135</v>
      </c>
      <c r="G3493" s="153">
        <v>1</v>
      </c>
      <c r="H3493" s="133" t="s">
        <v>39</v>
      </c>
      <c r="I3493" s="133"/>
      <c r="J3493" s="133" t="s">
        <v>2428</v>
      </c>
      <c r="K3493" s="133" t="s">
        <v>831</v>
      </c>
      <c r="L3493" s="167"/>
      <c r="M3493" s="169"/>
    </row>
    <row r="3494" spans="1:13" x14ac:dyDescent="0.55000000000000004">
      <c r="A3494" s="132" t="s">
        <v>2429</v>
      </c>
      <c r="B3494" s="133" t="s">
        <v>2781</v>
      </c>
      <c r="C3494" s="133" t="s">
        <v>156</v>
      </c>
      <c r="D3494" s="133" t="s">
        <v>3288</v>
      </c>
      <c r="E3494" s="138">
        <v>7.9500000000000001E-2</v>
      </c>
      <c r="F3494" s="153" t="s">
        <v>135</v>
      </c>
      <c r="G3494" s="153">
        <v>1</v>
      </c>
      <c r="H3494" s="133" t="s">
        <v>39</v>
      </c>
      <c r="I3494" s="133"/>
      <c r="J3494" s="133" t="s">
        <v>2428</v>
      </c>
      <c r="K3494" s="133" t="s">
        <v>831</v>
      </c>
      <c r="L3494" s="167"/>
      <c r="M3494" s="169"/>
    </row>
    <row r="3495" spans="1:13" x14ac:dyDescent="0.55000000000000004">
      <c r="A3495" s="132" t="s">
        <v>2429</v>
      </c>
      <c r="B3495" s="133" t="s">
        <v>2828</v>
      </c>
      <c r="C3495" s="133" t="s">
        <v>156</v>
      </c>
      <c r="D3495" s="133" t="s">
        <v>3288</v>
      </c>
      <c r="E3495" s="138">
        <v>1.29E-2</v>
      </c>
      <c r="F3495" s="153" t="s">
        <v>135</v>
      </c>
      <c r="G3495" s="153">
        <v>1</v>
      </c>
      <c r="H3495" s="133" t="s">
        <v>39</v>
      </c>
      <c r="I3495" s="133"/>
      <c r="J3495" s="133" t="s">
        <v>2428</v>
      </c>
      <c r="K3495" s="133" t="s">
        <v>831</v>
      </c>
      <c r="L3495" s="167"/>
      <c r="M3495" s="169"/>
    </row>
    <row r="3496" spans="1:13" x14ac:dyDescent="0.55000000000000004">
      <c r="A3496" s="132" t="s">
        <v>2429</v>
      </c>
      <c r="B3496" s="133" t="s">
        <v>2841</v>
      </c>
      <c r="C3496" s="133" t="s">
        <v>156</v>
      </c>
      <c r="D3496" s="133" t="s">
        <v>3288</v>
      </c>
      <c r="E3496" s="138">
        <v>3.98E-3</v>
      </c>
      <c r="F3496" s="153" t="s">
        <v>135</v>
      </c>
      <c r="G3496" s="153">
        <v>1</v>
      </c>
      <c r="H3496" s="133" t="s">
        <v>39</v>
      </c>
      <c r="I3496" s="133"/>
      <c r="J3496" s="133" t="s">
        <v>2428</v>
      </c>
      <c r="K3496" s="133" t="s">
        <v>831</v>
      </c>
      <c r="L3496" s="167"/>
      <c r="M3496" s="169"/>
    </row>
    <row r="3497" spans="1:13" x14ac:dyDescent="0.55000000000000004">
      <c r="A3497" s="132" t="s">
        <v>2429</v>
      </c>
      <c r="B3497" s="133" t="s">
        <v>2842</v>
      </c>
      <c r="C3497" s="133" t="s">
        <v>156</v>
      </c>
      <c r="D3497" s="133" t="s">
        <v>3288</v>
      </c>
      <c r="E3497" s="138">
        <v>0.1593</v>
      </c>
      <c r="F3497" s="153" t="s">
        <v>135</v>
      </c>
      <c r="G3497" s="153">
        <v>1</v>
      </c>
      <c r="H3497" s="133" t="s">
        <v>39</v>
      </c>
      <c r="I3497" s="133"/>
      <c r="J3497" s="133" t="s">
        <v>2428</v>
      </c>
      <c r="K3497" s="133" t="s">
        <v>831</v>
      </c>
      <c r="L3497" s="167"/>
      <c r="M3497" s="169"/>
    </row>
    <row r="3498" spans="1:13" x14ac:dyDescent="0.55000000000000004">
      <c r="A3498" s="132" t="s">
        <v>2429</v>
      </c>
      <c r="B3498" s="133" t="s">
        <v>2843</v>
      </c>
      <c r="C3498" s="133" t="s">
        <v>156</v>
      </c>
      <c r="D3498" s="133" t="s">
        <v>3288</v>
      </c>
      <c r="E3498" s="138">
        <v>6.6900000000000001E-2</v>
      </c>
      <c r="F3498" s="153" t="s">
        <v>135</v>
      </c>
      <c r="G3498" s="153">
        <v>1</v>
      </c>
      <c r="H3498" s="133" t="s">
        <v>39</v>
      </c>
      <c r="I3498" s="133"/>
      <c r="J3498" s="133" t="s">
        <v>2428</v>
      </c>
      <c r="K3498" s="133" t="s">
        <v>831</v>
      </c>
      <c r="L3498" s="167"/>
      <c r="M3498" s="169"/>
    </row>
    <row r="3499" spans="1:13" x14ac:dyDescent="0.55000000000000004">
      <c r="A3499" s="132" t="s">
        <v>2429</v>
      </c>
      <c r="B3499" s="133" t="s">
        <v>2844</v>
      </c>
      <c r="C3499" s="133" t="s">
        <v>156</v>
      </c>
      <c r="D3499" s="133" t="s">
        <v>3288</v>
      </c>
      <c r="E3499" s="138">
        <v>0.08</v>
      </c>
      <c r="F3499" s="153" t="s">
        <v>135</v>
      </c>
      <c r="G3499" s="153">
        <v>1</v>
      </c>
      <c r="H3499" s="133" t="s">
        <v>39</v>
      </c>
      <c r="I3499" s="133"/>
      <c r="J3499" s="133" t="s">
        <v>2428</v>
      </c>
      <c r="K3499" s="133" t="s">
        <v>831</v>
      </c>
      <c r="L3499" s="167"/>
      <c r="M3499" s="169"/>
    </row>
    <row r="3500" spans="1:13" x14ac:dyDescent="0.55000000000000004">
      <c r="A3500" s="132" t="s">
        <v>2429</v>
      </c>
      <c r="B3500" s="133" t="s">
        <v>2845</v>
      </c>
      <c r="C3500" s="133" t="s">
        <v>156</v>
      </c>
      <c r="D3500" s="133" t="s">
        <v>3288</v>
      </c>
      <c r="E3500" s="138">
        <v>6.9999999999999999E-4</v>
      </c>
      <c r="F3500" s="153" t="s">
        <v>135</v>
      </c>
      <c r="G3500" s="153">
        <v>1</v>
      </c>
      <c r="H3500" s="133" t="s">
        <v>39</v>
      </c>
      <c r="I3500" s="133"/>
      <c r="J3500" s="133" t="s">
        <v>2428</v>
      </c>
      <c r="K3500" s="133" t="s">
        <v>831</v>
      </c>
      <c r="L3500" s="167"/>
      <c r="M3500" s="169"/>
    </row>
    <row r="3501" spans="1:13" x14ac:dyDescent="0.55000000000000004">
      <c r="A3501" s="132" t="s">
        <v>2429</v>
      </c>
      <c r="B3501" s="133" t="s">
        <v>2846</v>
      </c>
      <c r="C3501" s="133" t="s">
        <v>156</v>
      </c>
      <c r="D3501" s="133" t="s">
        <v>3288</v>
      </c>
      <c r="E3501" s="138">
        <v>4.0000000000000002E-4</v>
      </c>
      <c r="F3501" s="153" t="s">
        <v>135</v>
      </c>
      <c r="G3501" s="153">
        <v>1</v>
      </c>
      <c r="H3501" s="133" t="s">
        <v>39</v>
      </c>
      <c r="I3501" s="133"/>
      <c r="J3501" s="133" t="s">
        <v>2428</v>
      </c>
      <c r="K3501" s="133" t="s">
        <v>831</v>
      </c>
      <c r="L3501" s="167"/>
      <c r="M3501" s="169"/>
    </row>
    <row r="3502" spans="1:13" x14ac:dyDescent="0.55000000000000004">
      <c r="A3502" s="132" t="s">
        <v>2429</v>
      </c>
      <c r="B3502" s="133" t="s">
        <v>2805</v>
      </c>
      <c r="C3502" s="133" t="s">
        <v>163</v>
      </c>
      <c r="D3502" s="133" t="s">
        <v>3288</v>
      </c>
      <c r="E3502" s="138">
        <v>6.1699999999999998E-2</v>
      </c>
      <c r="F3502" s="153" t="s">
        <v>135</v>
      </c>
      <c r="G3502" s="153">
        <v>1</v>
      </c>
      <c r="H3502" s="133" t="s">
        <v>39</v>
      </c>
      <c r="I3502" s="133"/>
      <c r="J3502" s="133" t="s">
        <v>2428</v>
      </c>
      <c r="K3502" s="133" t="s">
        <v>831</v>
      </c>
      <c r="L3502" s="167"/>
      <c r="M3502" s="169"/>
    </row>
    <row r="3503" spans="1:13" x14ac:dyDescent="0.55000000000000004">
      <c r="A3503" s="132" t="s">
        <v>2429</v>
      </c>
      <c r="B3503" s="133" t="s">
        <v>2847</v>
      </c>
      <c r="C3503" s="133" t="s">
        <v>163</v>
      </c>
      <c r="D3503" s="133" t="s">
        <v>3288</v>
      </c>
      <c r="E3503" s="138">
        <v>3.9899999999999996E-3</v>
      </c>
      <c r="F3503" s="153" t="s">
        <v>135</v>
      </c>
      <c r="G3503" s="153">
        <v>1</v>
      </c>
      <c r="H3503" s="133" t="s">
        <v>39</v>
      </c>
      <c r="I3503" s="133"/>
      <c r="J3503" s="133" t="s">
        <v>2428</v>
      </c>
      <c r="K3503" s="133" t="s">
        <v>831</v>
      </c>
      <c r="L3503" s="167"/>
      <c r="M3503" s="169"/>
    </row>
    <row r="3504" spans="1:13" x14ac:dyDescent="0.55000000000000004">
      <c r="A3504" s="132" t="s">
        <v>2429</v>
      </c>
      <c r="B3504" s="133" t="s">
        <v>3419</v>
      </c>
      <c r="C3504" s="133" t="s">
        <v>124</v>
      </c>
      <c r="D3504" s="133" t="s">
        <v>3288</v>
      </c>
      <c r="E3504" s="138">
        <v>1.1E-5</v>
      </c>
      <c r="F3504" s="153" t="s">
        <v>135</v>
      </c>
      <c r="G3504" s="153">
        <v>1</v>
      </c>
      <c r="H3504" s="133" t="s">
        <v>39</v>
      </c>
      <c r="I3504" s="133"/>
      <c r="J3504" s="133" t="s">
        <v>2428</v>
      </c>
      <c r="K3504" s="133" t="s">
        <v>831</v>
      </c>
      <c r="L3504" s="167"/>
      <c r="M3504" s="169"/>
    </row>
    <row r="3505" spans="1:13" x14ac:dyDescent="0.55000000000000004">
      <c r="A3505" s="132" t="s">
        <v>2429</v>
      </c>
      <c r="B3505" s="133" t="s">
        <v>160</v>
      </c>
      <c r="C3505" s="133" t="s">
        <v>124</v>
      </c>
      <c r="D3505" s="133" t="s">
        <v>3288</v>
      </c>
      <c r="E3505" s="138">
        <v>5.4000000000000001E-4</v>
      </c>
      <c r="F3505" s="153" t="s">
        <v>135</v>
      </c>
      <c r="G3505" s="153">
        <v>1</v>
      </c>
      <c r="H3505" s="133" t="s">
        <v>39</v>
      </c>
      <c r="I3505" s="133"/>
      <c r="J3505" s="133" t="s">
        <v>2428</v>
      </c>
      <c r="K3505" s="133" t="s">
        <v>831</v>
      </c>
      <c r="L3505" s="167"/>
      <c r="M3505" s="169"/>
    </row>
    <row r="3506" spans="1:13" x14ac:dyDescent="0.55000000000000004">
      <c r="A3506" s="132" t="s">
        <v>2429</v>
      </c>
      <c r="B3506" s="133" t="s">
        <v>2849</v>
      </c>
      <c r="C3506" s="133" t="s">
        <v>124</v>
      </c>
      <c r="D3506" s="133" t="s">
        <v>3288</v>
      </c>
      <c r="E3506" s="138">
        <v>6.7000000000000002E-5</v>
      </c>
      <c r="F3506" s="153" t="s">
        <v>135</v>
      </c>
      <c r="G3506" s="153">
        <v>1</v>
      </c>
      <c r="H3506" s="133" t="s">
        <v>39</v>
      </c>
      <c r="I3506" s="133"/>
      <c r="J3506" s="133" t="s">
        <v>2428</v>
      </c>
      <c r="K3506" s="133" t="s">
        <v>831</v>
      </c>
      <c r="L3506" s="167"/>
      <c r="M3506" s="169"/>
    </row>
    <row r="3507" spans="1:13" x14ac:dyDescent="0.55000000000000004">
      <c r="A3507" s="132" t="s">
        <v>2429</v>
      </c>
      <c r="B3507" s="133" t="s">
        <v>2850</v>
      </c>
      <c r="C3507" s="133" t="s">
        <v>124</v>
      </c>
      <c r="D3507" s="133" t="s">
        <v>3288</v>
      </c>
      <c r="E3507" s="138">
        <v>4.3000000000000003E-6</v>
      </c>
      <c r="F3507" s="153" t="s">
        <v>135</v>
      </c>
      <c r="G3507" s="153">
        <v>1</v>
      </c>
      <c r="H3507" s="133" t="s">
        <v>39</v>
      </c>
      <c r="I3507" s="133"/>
      <c r="J3507" s="133" t="s">
        <v>2428</v>
      </c>
      <c r="K3507" s="133" t="s">
        <v>831</v>
      </c>
      <c r="L3507" s="167"/>
      <c r="M3507" s="169"/>
    </row>
    <row r="3508" spans="1:13" x14ac:dyDescent="0.55000000000000004">
      <c r="A3508" s="132" t="s">
        <v>2432</v>
      </c>
      <c r="B3508" s="133" t="s">
        <v>2851</v>
      </c>
      <c r="C3508" s="133" t="s">
        <v>121</v>
      </c>
      <c r="D3508" s="133" t="s">
        <v>2682</v>
      </c>
      <c r="E3508" s="138">
        <v>1</v>
      </c>
      <c r="F3508" s="153">
        <v>1</v>
      </c>
      <c r="G3508" s="153">
        <v>1</v>
      </c>
      <c r="H3508" s="133" t="s">
        <v>39</v>
      </c>
      <c r="I3508" s="133"/>
      <c r="J3508" s="133" t="s">
        <v>2431</v>
      </c>
      <c r="K3508" s="133" t="s">
        <v>831</v>
      </c>
      <c r="L3508" s="167"/>
      <c r="M3508" s="169"/>
    </row>
    <row r="3509" spans="1:13" x14ac:dyDescent="0.55000000000000004">
      <c r="A3509" s="132" t="s">
        <v>2432</v>
      </c>
      <c r="B3509" s="133" t="s">
        <v>2852</v>
      </c>
      <c r="C3509" s="133" t="s">
        <v>348</v>
      </c>
      <c r="D3509" s="133" t="s">
        <v>3288</v>
      </c>
      <c r="E3509" s="138">
        <v>1</v>
      </c>
      <c r="F3509" s="153" t="s">
        <v>135</v>
      </c>
      <c r="G3509" s="153">
        <v>1</v>
      </c>
      <c r="H3509" s="133" t="s">
        <v>39</v>
      </c>
      <c r="I3509" s="133"/>
      <c r="J3509" s="133" t="s">
        <v>2431</v>
      </c>
      <c r="K3509" s="133" t="s">
        <v>831</v>
      </c>
      <c r="L3509" s="167"/>
      <c r="M3509" s="169"/>
    </row>
    <row r="3510" spans="1:13" x14ac:dyDescent="0.55000000000000004">
      <c r="A3510" s="132" t="s">
        <v>2432</v>
      </c>
      <c r="B3510" s="133" t="s">
        <v>2618</v>
      </c>
      <c r="C3510" s="133" t="s">
        <v>127</v>
      </c>
      <c r="D3510" s="133" t="s">
        <v>2994</v>
      </c>
      <c r="E3510" s="138">
        <v>27.02</v>
      </c>
      <c r="F3510" s="153" t="s">
        <v>138</v>
      </c>
      <c r="G3510" s="153">
        <v>1</v>
      </c>
      <c r="H3510" s="133" t="s">
        <v>39</v>
      </c>
      <c r="I3510" s="133"/>
      <c r="J3510" s="133" t="s">
        <v>2431</v>
      </c>
      <c r="K3510" s="133" t="s">
        <v>831</v>
      </c>
      <c r="L3510" s="167"/>
      <c r="M3510" s="169"/>
    </row>
    <row r="3511" spans="1:13" x14ac:dyDescent="0.55000000000000004">
      <c r="A3511" s="132" t="s">
        <v>2432</v>
      </c>
      <c r="B3511" s="133" t="s">
        <v>153</v>
      </c>
      <c r="C3511" s="133" t="s">
        <v>156</v>
      </c>
      <c r="D3511" s="133" t="s">
        <v>2994</v>
      </c>
      <c r="E3511" s="138">
        <v>23.93</v>
      </c>
      <c r="F3511" s="153" t="s">
        <v>138</v>
      </c>
      <c r="G3511" s="153">
        <v>1</v>
      </c>
      <c r="H3511" s="133" t="s">
        <v>39</v>
      </c>
      <c r="I3511" s="133"/>
      <c r="J3511" s="133" t="s">
        <v>2431</v>
      </c>
      <c r="K3511" s="133" t="s">
        <v>831</v>
      </c>
      <c r="L3511" s="167"/>
      <c r="M3511" s="169"/>
    </row>
    <row r="3512" spans="1:13" x14ac:dyDescent="0.55000000000000004">
      <c r="A3512" s="132" t="s">
        <v>2432</v>
      </c>
      <c r="B3512" s="133" t="s">
        <v>2699</v>
      </c>
      <c r="C3512" s="133" t="s">
        <v>156</v>
      </c>
      <c r="D3512" s="133" t="s">
        <v>3288</v>
      </c>
      <c r="E3512" s="138">
        <v>3.5099999999999999E-2</v>
      </c>
      <c r="F3512" s="153" t="s">
        <v>135</v>
      </c>
      <c r="G3512" s="153">
        <v>1</v>
      </c>
      <c r="H3512" s="133" t="s">
        <v>39</v>
      </c>
      <c r="I3512" s="133"/>
      <c r="J3512" s="133" t="s">
        <v>2431</v>
      </c>
      <c r="K3512" s="133" t="s">
        <v>831</v>
      </c>
      <c r="L3512" s="167"/>
      <c r="M3512" s="169"/>
    </row>
    <row r="3513" spans="1:13" x14ac:dyDescent="0.55000000000000004">
      <c r="A3513" s="132" t="s">
        <v>2432</v>
      </c>
      <c r="B3513" s="133" t="s">
        <v>2700</v>
      </c>
      <c r="C3513" s="133" t="s">
        <v>156</v>
      </c>
      <c r="D3513" s="133" t="s">
        <v>3288</v>
      </c>
      <c r="E3513" s="138">
        <v>5.4899999999999997E-2</v>
      </c>
      <c r="F3513" s="153" t="s">
        <v>135</v>
      </c>
      <c r="G3513" s="153">
        <v>1</v>
      </c>
      <c r="H3513" s="133" t="s">
        <v>39</v>
      </c>
      <c r="I3513" s="133"/>
      <c r="J3513" s="133" t="s">
        <v>2431</v>
      </c>
      <c r="K3513" s="133" t="s">
        <v>831</v>
      </c>
      <c r="L3513" s="167"/>
      <c r="M3513" s="169"/>
    </row>
    <row r="3514" spans="1:13" x14ac:dyDescent="0.55000000000000004">
      <c r="A3514" s="132" t="s">
        <v>2432</v>
      </c>
      <c r="B3514" s="133" t="s">
        <v>2853</v>
      </c>
      <c r="C3514" s="133" t="s">
        <v>2854</v>
      </c>
      <c r="D3514" s="133" t="s">
        <v>2855</v>
      </c>
      <c r="E3514" s="138">
        <v>120</v>
      </c>
      <c r="F3514" s="153" t="s">
        <v>2856</v>
      </c>
      <c r="G3514" s="153">
        <v>1</v>
      </c>
      <c r="H3514" s="133" t="s">
        <v>39</v>
      </c>
      <c r="I3514" s="133"/>
      <c r="J3514" s="133" t="s">
        <v>2431</v>
      </c>
      <c r="K3514" s="133" t="s">
        <v>831</v>
      </c>
      <c r="L3514" s="167"/>
      <c r="M3514" s="169"/>
    </row>
    <row r="3515" spans="1:13" x14ac:dyDescent="0.55000000000000004">
      <c r="A3515" s="132" t="s">
        <v>2435</v>
      </c>
      <c r="B3515" s="133" t="s">
        <v>2851</v>
      </c>
      <c r="C3515" s="133" t="s">
        <v>121</v>
      </c>
      <c r="D3515" s="133" t="s">
        <v>2682</v>
      </c>
      <c r="E3515" s="138">
        <v>1</v>
      </c>
      <c r="F3515" s="153">
        <v>1</v>
      </c>
      <c r="G3515" s="153">
        <v>1</v>
      </c>
      <c r="H3515" s="133" t="s">
        <v>39</v>
      </c>
      <c r="I3515" s="133"/>
      <c r="J3515" s="133" t="s">
        <v>2434</v>
      </c>
      <c r="K3515" s="133" t="s">
        <v>831</v>
      </c>
      <c r="L3515" s="167"/>
      <c r="M3515" s="169"/>
    </row>
    <row r="3516" spans="1:13" x14ac:dyDescent="0.55000000000000004">
      <c r="A3516" s="132" t="s">
        <v>2435</v>
      </c>
      <c r="B3516" s="133" t="s">
        <v>2852</v>
      </c>
      <c r="C3516" s="133" t="s">
        <v>348</v>
      </c>
      <c r="D3516" s="133" t="s">
        <v>3288</v>
      </c>
      <c r="E3516" s="138">
        <v>1</v>
      </c>
      <c r="F3516" s="153" t="s">
        <v>135</v>
      </c>
      <c r="G3516" s="153">
        <v>1</v>
      </c>
      <c r="H3516" s="133" t="s">
        <v>39</v>
      </c>
      <c r="I3516" s="133"/>
      <c r="J3516" s="133" t="s">
        <v>2434</v>
      </c>
      <c r="K3516" s="133" t="s">
        <v>831</v>
      </c>
      <c r="L3516" s="167"/>
      <c r="M3516" s="169"/>
    </row>
    <row r="3517" spans="1:13" x14ac:dyDescent="0.55000000000000004">
      <c r="A3517" s="132" t="s">
        <v>2435</v>
      </c>
      <c r="B3517" s="133" t="s">
        <v>2618</v>
      </c>
      <c r="C3517" s="133" t="s">
        <v>124</v>
      </c>
      <c r="D3517" s="133" t="s">
        <v>3288</v>
      </c>
      <c r="E3517" s="138">
        <v>27.020000000000003</v>
      </c>
      <c r="F3517" s="153" t="s">
        <v>138</v>
      </c>
      <c r="G3517" s="153">
        <v>1</v>
      </c>
      <c r="H3517" s="133" t="s">
        <v>39</v>
      </c>
      <c r="I3517" s="133"/>
      <c r="J3517" s="133" t="s">
        <v>2434</v>
      </c>
      <c r="K3517" s="133" t="s">
        <v>831</v>
      </c>
      <c r="L3517" s="167"/>
      <c r="M3517" s="169"/>
    </row>
    <row r="3518" spans="1:13" x14ac:dyDescent="0.55000000000000004">
      <c r="A3518" s="132" t="s">
        <v>2435</v>
      </c>
      <c r="B3518" s="133" t="s">
        <v>153</v>
      </c>
      <c r="C3518" s="133" t="s">
        <v>156</v>
      </c>
      <c r="D3518" s="133" t="s">
        <v>2994</v>
      </c>
      <c r="E3518" s="138">
        <v>23.93</v>
      </c>
      <c r="F3518" s="153" t="s">
        <v>138</v>
      </c>
      <c r="G3518" s="153">
        <v>1</v>
      </c>
      <c r="H3518" s="133" t="s">
        <v>39</v>
      </c>
      <c r="I3518" s="133"/>
      <c r="J3518" s="133" t="s">
        <v>2434</v>
      </c>
      <c r="K3518" s="133" t="s">
        <v>831</v>
      </c>
      <c r="L3518" s="167"/>
      <c r="M3518" s="169"/>
    </row>
    <row r="3519" spans="1:13" x14ac:dyDescent="0.55000000000000004">
      <c r="A3519" s="132" t="s">
        <v>2435</v>
      </c>
      <c r="B3519" s="133" t="s">
        <v>2699</v>
      </c>
      <c r="C3519" s="133" t="s">
        <v>156</v>
      </c>
      <c r="D3519" s="133" t="s">
        <v>3288</v>
      </c>
      <c r="E3519" s="138">
        <v>3.5099999999999999E-2</v>
      </c>
      <c r="F3519" s="153" t="s">
        <v>135</v>
      </c>
      <c r="G3519" s="153">
        <v>1</v>
      </c>
      <c r="H3519" s="133" t="s">
        <v>39</v>
      </c>
      <c r="I3519" s="133"/>
      <c r="J3519" s="133" t="s">
        <v>2434</v>
      </c>
      <c r="K3519" s="133" t="s">
        <v>831</v>
      </c>
      <c r="L3519" s="167"/>
      <c r="M3519" s="169"/>
    </row>
    <row r="3520" spans="1:13" x14ac:dyDescent="0.55000000000000004">
      <c r="A3520" s="132" t="s">
        <v>2435</v>
      </c>
      <c r="B3520" s="133" t="s">
        <v>2700</v>
      </c>
      <c r="C3520" s="133" t="s">
        <v>156</v>
      </c>
      <c r="D3520" s="133" t="s">
        <v>3288</v>
      </c>
      <c r="E3520" s="138">
        <v>5.4899999999999997E-2</v>
      </c>
      <c r="F3520" s="153" t="s">
        <v>135</v>
      </c>
      <c r="G3520" s="153">
        <v>1</v>
      </c>
      <c r="H3520" s="133" t="s">
        <v>39</v>
      </c>
      <c r="I3520" s="133"/>
      <c r="J3520" s="133" t="s">
        <v>2434</v>
      </c>
      <c r="K3520" s="133" t="s">
        <v>831</v>
      </c>
      <c r="L3520" s="167"/>
      <c r="M3520" s="169"/>
    </row>
    <row r="3521" spans="1:13" x14ac:dyDescent="0.55000000000000004">
      <c r="A3521" s="132" t="s">
        <v>2435</v>
      </c>
      <c r="B3521" s="133" t="s">
        <v>2853</v>
      </c>
      <c r="C3521" s="133" t="s">
        <v>2854</v>
      </c>
      <c r="D3521" s="133" t="s">
        <v>2855</v>
      </c>
      <c r="E3521" s="138">
        <v>120</v>
      </c>
      <c r="F3521" s="153" t="s">
        <v>2856</v>
      </c>
      <c r="G3521" s="153">
        <v>1</v>
      </c>
      <c r="H3521" s="133" t="s">
        <v>39</v>
      </c>
      <c r="I3521" s="133"/>
      <c r="J3521" s="133" t="s">
        <v>2434</v>
      </c>
      <c r="K3521" s="133" t="s">
        <v>831</v>
      </c>
      <c r="L3521" s="167"/>
      <c r="M3521" s="169"/>
    </row>
    <row r="3522" spans="1:13" x14ac:dyDescent="0.55000000000000004">
      <c r="A3522" s="132" t="s">
        <v>2438</v>
      </c>
      <c r="B3522" s="133" t="s">
        <v>2851</v>
      </c>
      <c r="C3522" s="133" t="s">
        <v>121</v>
      </c>
      <c r="D3522" s="133" t="s">
        <v>2682</v>
      </c>
      <c r="E3522" s="138">
        <v>1</v>
      </c>
      <c r="F3522" s="153">
        <v>1</v>
      </c>
      <c r="G3522" s="153">
        <v>1</v>
      </c>
      <c r="H3522" s="133" t="s">
        <v>39</v>
      </c>
      <c r="I3522" s="133"/>
      <c r="J3522" s="133" t="s">
        <v>2437</v>
      </c>
      <c r="K3522" s="133" t="s">
        <v>831</v>
      </c>
      <c r="L3522" s="167"/>
      <c r="M3522" s="169"/>
    </row>
    <row r="3523" spans="1:13" x14ac:dyDescent="0.55000000000000004">
      <c r="A3523" s="132" t="s">
        <v>2438</v>
      </c>
      <c r="B3523" s="133" t="s">
        <v>2857</v>
      </c>
      <c r="C3523" s="133" t="s">
        <v>348</v>
      </c>
      <c r="D3523" s="133" t="s">
        <v>3288</v>
      </c>
      <c r="E3523" s="138">
        <v>1</v>
      </c>
      <c r="F3523" s="153" t="s">
        <v>135</v>
      </c>
      <c r="G3523" s="153">
        <v>1</v>
      </c>
      <c r="H3523" s="133" t="s">
        <v>39</v>
      </c>
      <c r="I3523" s="133"/>
      <c r="J3523" s="133" t="s">
        <v>2437</v>
      </c>
      <c r="K3523" s="133" t="s">
        <v>831</v>
      </c>
      <c r="L3523" s="167"/>
      <c r="M3523" s="169"/>
    </row>
    <row r="3524" spans="1:13" x14ac:dyDescent="0.55000000000000004">
      <c r="A3524" s="132" t="s">
        <v>2438</v>
      </c>
      <c r="B3524" s="133" t="s">
        <v>2618</v>
      </c>
      <c r="C3524" s="133" t="s">
        <v>127</v>
      </c>
      <c r="D3524" s="133" t="s">
        <v>2994</v>
      </c>
      <c r="E3524" s="138">
        <v>5.9799999999999995</v>
      </c>
      <c r="F3524" s="153" t="s">
        <v>138</v>
      </c>
      <c r="G3524" s="153">
        <v>1</v>
      </c>
      <c r="H3524" s="133" t="s">
        <v>39</v>
      </c>
      <c r="I3524" s="133"/>
      <c r="J3524" s="133" t="s">
        <v>2437</v>
      </c>
      <c r="K3524" s="133" t="s">
        <v>831</v>
      </c>
      <c r="L3524" s="167"/>
      <c r="M3524" s="169"/>
    </row>
    <row r="3525" spans="1:13" x14ac:dyDescent="0.55000000000000004">
      <c r="A3525" s="132" t="s">
        <v>2438</v>
      </c>
      <c r="B3525" s="133" t="s">
        <v>2699</v>
      </c>
      <c r="C3525" s="133" t="s">
        <v>156</v>
      </c>
      <c r="D3525" s="133" t="s">
        <v>3288</v>
      </c>
      <c r="E3525" s="138">
        <v>3.5099999999999999E-2</v>
      </c>
      <c r="F3525" s="153" t="s">
        <v>135</v>
      </c>
      <c r="G3525" s="153">
        <v>1</v>
      </c>
      <c r="H3525" s="133" t="s">
        <v>39</v>
      </c>
      <c r="I3525" s="133"/>
      <c r="J3525" s="133" t="s">
        <v>2437</v>
      </c>
      <c r="K3525" s="133" t="s">
        <v>831</v>
      </c>
      <c r="L3525" s="167"/>
      <c r="M3525" s="169"/>
    </row>
    <row r="3526" spans="1:13" x14ac:dyDescent="0.55000000000000004">
      <c r="A3526" s="132" t="s">
        <v>2438</v>
      </c>
      <c r="B3526" s="133" t="s">
        <v>2700</v>
      </c>
      <c r="C3526" s="133" t="s">
        <v>156</v>
      </c>
      <c r="D3526" s="133" t="s">
        <v>3288</v>
      </c>
      <c r="E3526" s="138">
        <v>5.4899999999999997E-2</v>
      </c>
      <c r="F3526" s="153" t="s">
        <v>135</v>
      </c>
      <c r="G3526" s="153">
        <v>1</v>
      </c>
      <c r="H3526" s="133" t="s">
        <v>39</v>
      </c>
      <c r="I3526" s="133"/>
      <c r="J3526" s="133" t="s">
        <v>2437</v>
      </c>
      <c r="K3526" s="133" t="s">
        <v>831</v>
      </c>
      <c r="L3526" s="167"/>
      <c r="M3526" s="169"/>
    </row>
    <row r="3527" spans="1:13" x14ac:dyDescent="0.55000000000000004">
      <c r="A3527" s="132" t="s">
        <v>2438</v>
      </c>
      <c r="B3527" s="133" t="s">
        <v>2858</v>
      </c>
      <c r="C3527" s="133" t="s">
        <v>156</v>
      </c>
      <c r="D3527" s="133" t="s">
        <v>3288</v>
      </c>
      <c r="E3527" s="138">
        <v>1.2999999999999999E-4</v>
      </c>
      <c r="F3527" s="153" t="s">
        <v>135</v>
      </c>
      <c r="G3527" s="153">
        <v>1</v>
      </c>
      <c r="H3527" s="133" t="s">
        <v>39</v>
      </c>
      <c r="I3527" s="133"/>
      <c r="J3527" s="133" t="s">
        <v>2437</v>
      </c>
      <c r="K3527" s="133" t="s">
        <v>831</v>
      </c>
      <c r="L3527" s="167"/>
      <c r="M3527" s="169"/>
    </row>
    <row r="3528" spans="1:13" x14ac:dyDescent="0.55000000000000004">
      <c r="A3528" s="132" t="s">
        <v>2438</v>
      </c>
      <c r="B3528" s="133" t="s">
        <v>2859</v>
      </c>
      <c r="C3528" s="133" t="s">
        <v>156</v>
      </c>
      <c r="D3528" s="133" t="s">
        <v>3288</v>
      </c>
      <c r="E3528" s="138">
        <v>6.0000000000000002E-5</v>
      </c>
      <c r="F3528" s="153" t="s">
        <v>135</v>
      </c>
      <c r="G3528" s="153">
        <v>1</v>
      </c>
      <c r="H3528" s="133" t="s">
        <v>39</v>
      </c>
      <c r="I3528" s="133"/>
      <c r="J3528" s="133" t="s">
        <v>2437</v>
      </c>
      <c r="K3528" s="133" t="s">
        <v>831</v>
      </c>
      <c r="L3528" s="167"/>
      <c r="M3528" s="169"/>
    </row>
    <row r="3529" spans="1:13" x14ac:dyDescent="0.55000000000000004">
      <c r="A3529" s="132" t="s">
        <v>2438</v>
      </c>
      <c r="B3529" s="133" t="s">
        <v>998</v>
      </c>
      <c r="C3529" s="133" t="s">
        <v>156</v>
      </c>
      <c r="D3529" s="133" t="s">
        <v>3288</v>
      </c>
      <c r="E3529" s="138">
        <v>4.0000000000000003E-5</v>
      </c>
      <c r="F3529" s="153" t="s">
        <v>135</v>
      </c>
      <c r="G3529" s="153">
        <v>1</v>
      </c>
      <c r="H3529" s="133" t="s">
        <v>39</v>
      </c>
      <c r="I3529" s="133"/>
      <c r="J3529" s="133" t="s">
        <v>2437</v>
      </c>
      <c r="K3529" s="133" t="s">
        <v>831</v>
      </c>
      <c r="L3529" s="167"/>
      <c r="M3529" s="169"/>
    </row>
    <row r="3530" spans="1:13" x14ac:dyDescent="0.55000000000000004">
      <c r="A3530" s="132" t="s">
        <v>2438</v>
      </c>
      <c r="B3530" s="133" t="s">
        <v>2860</v>
      </c>
      <c r="C3530" s="133" t="s">
        <v>156</v>
      </c>
      <c r="D3530" s="133" t="s">
        <v>3288</v>
      </c>
      <c r="E3530" s="138">
        <v>8.0000000000000007E-5</v>
      </c>
      <c r="F3530" s="153" t="s">
        <v>135</v>
      </c>
      <c r="G3530" s="153">
        <v>1</v>
      </c>
      <c r="H3530" s="133" t="s">
        <v>39</v>
      </c>
      <c r="I3530" s="133"/>
      <c r="J3530" s="133" t="s">
        <v>2437</v>
      </c>
      <c r="K3530" s="133" t="s">
        <v>831</v>
      </c>
      <c r="L3530" s="167"/>
      <c r="M3530" s="169"/>
    </row>
    <row r="3531" spans="1:13" x14ac:dyDescent="0.55000000000000004">
      <c r="A3531" s="132" t="s">
        <v>2438</v>
      </c>
      <c r="B3531" s="133" t="s">
        <v>2853</v>
      </c>
      <c r="C3531" s="133" t="s">
        <v>2854</v>
      </c>
      <c r="D3531" s="133" t="s">
        <v>2855</v>
      </c>
      <c r="E3531" s="138">
        <v>160</v>
      </c>
      <c r="F3531" s="153" t="s">
        <v>2856</v>
      </c>
      <c r="G3531" s="153">
        <v>1</v>
      </c>
      <c r="H3531" s="133" t="s">
        <v>39</v>
      </c>
      <c r="I3531" s="133"/>
      <c r="J3531" s="133" t="s">
        <v>2437</v>
      </c>
      <c r="K3531" s="133" t="s">
        <v>831</v>
      </c>
      <c r="L3531" s="167"/>
      <c r="M3531" s="169"/>
    </row>
    <row r="3532" spans="1:13" x14ac:dyDescent="0.55000000000000004">
      <c r="A3532" s="132" t="s">
        <v>2441</v>
      </c>
      <c r="B3532" s="133" t="s">
        <v>2861</v>
      </c>
      <c r="C3532" s="133" t="s">
        <v>121</v>
      </c>
      <c r="D3532" s="133" t="s">
        <v>2682</v>
      </c>
      <c r="E3532" s="138">
        <v>1</v>
      </c>
      <c r="F3532" s="153">
        <v>1</v>
      </c>
      <c r="G3532" s="153">
        <v>1</v>
      </c>
      <c r="H3532" s="133" t="s">
        <v>39</v>
      </c>
      <c r="I3532" s="133"/>
      <c r="J3532" s="133" t="s">
        <v>2440</v>
      </c>
      <c r="K3532" s="133" t="s">
        <v>831</v>
      </c>
      <c r="L3532" s="167"/>
      <c r="M3532" s="169"/>
    </row>
    <row r="3533" spans="1:13" x14ac:dyDescent="0.55000000000000004">
      <c r="A3533" s="132" t="s">
        <v>2441</v>
      </c>
      <c r="B3533" s="133" t="s">
        <v>2862</v>
      </c>
      <c r="C3533" s="133" t="s">
        <v>348</v>
      </c>
      <c r="D3533" s="133" t="s">
        <v>3288</v>
      </c>
      <c r="E3533" s="138">
        <v>1</v>
      </c>
      <c r="F3533" s="153" t="s">
        <v>135</v>
      </c>
      <c r="G3533" s="153">
        <v>1</v>
      </c>
      <c r="H3533" s="133" t="s">
        <v>39</v>
      </c>
      <c r="I3533" s="133"/>
      <c r="J3533" s="133" t="s">
        <v>2440</v>
      </c>
      <c r="K3533" s="133" t="s">
        <v>831</v>
      </c>
      <c r="L3533" s="167"/>
      <c r="M3533" s="169"/>
    </row>
    <row r="3534" spans="1:13" x14ac:dyDescent="0.55000000000000004">
      <c r="A3534" s="132" t="s">
        <v>2441</v>
      </c>
      <c r="B3534" s="133" t="s">
        <v>153</v>
      </c>
      <c r="C3534" s="133" t="s">
        <v>127</v>
      </c>
      <c r="D3534" s="133" t="s">
        <v>2994</v>
      </c>
      <c r="E3534" s="138">
        <v>7.21</v>
      </c>
      <c r="F3534" s="153" t="s">
        <v>130</v>
      </c>
      <c r="G3534" s="153">
        <v>1</v>
      </c>
      <c r="H3534" s="133" t="s">
        <v>39</v>
      </c>
      <c r="I3534" s="133"/>
      <c r="J3534" s="133" t="s">
        <v>2440</v>
      </c>
      <c r="K3534" s="133" t="s">
        <v>831</v>
      </c>
      <c r="L3534" s="167"/>
      <c r="M3534" s="169"/>
    </row>
    <row r="3535" spans="1:13" x14ac:dyDescent="0.55000000000000004">
      <c r="A3535" s="132" t="s">
        <v>2441</v>
      </c>
      <c r="B3535" s="133" t="s">
        <v>496</v>
      </c>
      <c r="C3535" s="133" t="s">
        <v>127</v>
      </c>
      <c r="D3535" s="133" t="s">
        <v>2994</v>
      </c>
      <c r="E3535" s="138">
        <v>507</v>
      </c>
      <c r="F3535" s="153" t="s">
        <v>167</v>
      </c>
      <c r="G3535" s="153">
        <v>1</v>
      </c>
      <c r="H3535" s="133" t="s">
        <v>39</v>
      </c>
      <c r="I3535" s="133"/>
      <c r="J3535" s="133" t="s">
        <v>2440</v>
      </c>
      <c r="K3535" s="133" t="s">
        <v>831</v>
      </c>
      <c r="L3535" s="167"/>
      <c r="M3535" s="169"/>
    </row>
    <row r="3536" spans="1:13" x14ac:dyDescent="0.55000000000000004">
      <c r="A3536" s="132" t="s">
        <v>2441</v>
      </c>
      <c r="B3536" s="133" t="s">
        <v>2863</v>
      </c>
      <c r="C3536" s="133" t="s">
        <v>348</v>
      </c>
      <c r="D3536" s="133" t="s">
        <v>3288</v>
      </c>
      <c r="E3536" s="138">
        <v>0.05</v>
      </c>
      <c r="F3536" s="153" t="s">
        <v>135</v>
      </c>
      <c r="G3536" s="153">
        <v>1</v>
      </c>
      <c r="H3536" s="133" t="s">
        <v>39</v>
      </c>
      <c r="I3536" s="133"/>
      <c r="J3536" s="133" t="s">
        <v>2440</v>
      </c>
      <c r="K3536" s="133" t="s">
        <v>831</v>
      </c>
      <c r="L3536" s="167"/>
      <c r="M3536" s="169"/>
    </row>
    <row r="3537" spans="1:13" x14ac:dyDescent="0.55000000000000004">
      <c r="A3537" s="132" t="s">
        <v>2441</v>
      </c>
      <c r="B3537" s="133" t="s">
        <v>2864</v>
      </c>
      <c r="C3537" s="133" t="s">
        <v>348</v>
      </c>
      <c r="D3537" s="133" t="s">
        <v>3288</v>
      </c>
      <c r="E3537" s="138">
        <v>1E-3</v>
      </c>
      <c r="F3537" s="153" t="s">
        <v>135</v>
      </c>
      <c r="G3537" s="153">
        <v>1</v>
      </c>
      <c r="H3537" s="133" t="s">
        <v>39</v>
      </c>
      <c r="I3537" s="133"/>
      <c r="J3537" s="133" t="s">
        <v>2440</v>
      </c>
      <c r="K3537" s="133" t="s">
        <v>831</v>
      </c>
      <c r="L3537" s="167"/>
      <c r="M3537" s="169"/>
    </row>
    <row r="3538" spans="1:13" x14ac:dyDescent="0.55000000000000004">
      <c r="A3538" s="132" t="s">
        <v>2441</v>
      </c>
      <c r="B3538" s="133" t="s">
        <v>2865</v>
      </c>
      <c r="C3538" s="133" t="s">
        <v>163</v>
      </c>
      <c r="D3538" s="133" t="s">
        <v>3288</v>
      </c>
      <c r="E3538" s="138">
        <v>0.317</v>
      </c>
      <c r="F3538" s="153" t="s">
        <v>135</v>
      </c>
      <c r="G3538" s="153">
        <v>1</v>
      </c>
      <c r="H3538" s="133" t="s">
        <v>39</v>
      </c>
      <c r="I3538" s="133"/>
      <c r="J3538" s="133" t="s">
        <v>2440</v>
      </c>
      <c r="K3538" s="133" t="s">
        <v>831</v>
      </c>
      <c r="L3538" s="167"/>
      <c r="M3538" s="169"/>
    </row>
    <row r="3539" spans="1:13" x14ac:dyDescent="0.55000000000000004">
      <c r="A3539" s="132" t="s">
        <v>2441</v>
      </c>
      <c r="B3539" s="133" t="s">
        <v>2598</v>
      </c>
      <c r="C3539" s="133" t="s">
        <v>124</v>
      </c>
      <c r="D3539" s="133" t="s">
        <v>3288</v>
      </c>
      <c r="E3539" s="138">
        <v>0.4</v>
      </c>
      <c r="F3539" s="153" t="s">
        <v>135</v>
      </c>
      <c r="G3539" s="153">
        <v>1</v>
      </c>
      <c r="H3539" s="133" t="s">
        <v>39</v>
      </c>
      <c r="I3539" s="133"/>
      <c r="J3539" s="133" t="s">
        <v>2440</v>
      </c>
      <c r="K3539" s="133" t="s">
        <v>831</v>
      </c>
      <c r="L3539" s="167"/>
      <c r="M3539" s="169"/>
    </row>
    <row r="3540" spans="1:13" x14ac:dyDescent="0.55000000000000004">
      <c r="A3540" s="132" t="s">
        <v>2441</v>
      </c>
      <c r="B3540" s="133" t="s">
        <v>2866</v>
      </c>
      <c r="C3540" s="133" t="s">
        <v>156</v>
      </c>
      <c r="D3540" s="133" t="s">
        <v>3288</v>
      </c>
      <c r="E3540" s="138">
        <v>0.58399999999999996</v>
      </c>
      <c r="F3540" s="153" t="s">
        <v>135</v>
      </c>
      <c r="G3540" s="153">
        <v>1</v>
      </c>
      <c r="H3540" s="133" t="s">
        <v>39</v>
      </c>
      <c r="I3540" s="133"/>
      <c r="J3540" s="133" t="s">
        <v>2440</v>
      </c>
      <c r="K3540" s="133" t="s">
        <v>831</v>
      </c>
      <c r="L3540" s="167"/>
      <c r="M3540" s="169"/>
    </row>
    <row r="3541" spans="1:13" x14ac:dyDescent="0.55000000000000004">
      <c r="A3541" s="132" t="s">
        <v>2444</v>
      </c>
      <c r="B3541" s="133" t="s">
        <v>2867</v>
      </c>
      <c r="C3541" s="133" t="s">
        <v>121</v>
      </c>
      <c r="D3541" s="133" t="s">
        <v>2682</v>
      </c>
      <c r="E3541" s="138">
        <v>1</v>
      </c>
      <c r="F3541" s="153">
        <v>1</v>
      </c>
      <c r="G3541" s="153">
        <v>1</v>
      </c>
      <c r="H3541" s="133" t="s">
        <v>39</v>
      </c>
      <c r="I3541" s="133"/>
      <c r="J3541" s="133" t="s">
        <v>2443</v>
      </c>
      <c r="K3541" s="133" t="s">
        <v>831</v>
      </c>
      <c r="L3541" s="167"/>
      <c r="M3541" s="169"/>
    </row>
    <row r="3542" spans="1:13" x14ac:dyDescent="0.55000000000000004">
      <c r="A3542" s="132" t="s">
        <v>2444</v>
      </c>
      <c r="B3542" s="133" t="s">
        <v>2868</v>
      </c>
      <c r="C3542" s="133" t="s">
        <v>348</v>
      </c>
      <c r="D3542" s="133" t="s">
        <v>3288</v>
      </c>
      <c r="E3542" s="138">
        <v>1</v>
      </c>
      <c r="F3542" s="153" t="s">
        <v>135</v>
      </c>
      <c r="G3542" s="153">
        <v>1</v>
      </c>
      <c r="H3542" s="133" t="s">
        <v>39</v>
      </c>
      <c r="I3542" s="133"/>
      <c r="J3542" s="133" t="s">
        <v>2443</v>
      </c>
      <c r="K3542" s="133" t="s">
        <v>831</v>
      </c>
      <c r="L3542" s="167"/>
      <c r="M3542" s="169"/>
    </row>
    <row r="3543" spans="1:13" x14ac:dyDescent="0.55000000000000004">
      <c r="A3543" s="132" t="s">
        <v>2444</v>
      </c>
      <c r="B3543" s="133" t="s">
        <v>153</v>
      </c>
      <c r="C3543" s="133" t="s">
        <v>127</v>
      </c>
      <c r="D3543" s="133" t="s">
        <v>2994</v>
      </c>
      <c r="E3543" s="138">
        <v>2</v>
      </c>
      <c r="F3543" s="153" t="s">
        <v>130</v>
      </c>
      <c r="G3543" s="153">
        <v>1</v>
      </c>
      <c r="H3543" s="133" t="s">
        <v>39</v>
      </c>
      <c r="I3543" s="133"/>
      <c r="J3543" s="133" t="s">
        <v>2443</v>
      </c>
      <c r="K3543" s="133" t="s">
        <v>831</v>
      </c>
      <c r="L3543" s="167"/>
      <c r="M3543" s="169"/>
    </row>
    <row r="3544" spans="1:13" x14ac:dyDescent="0.55000000000000004">
      <c r="A3544" s="132" t="s">
        <v>2444</v>
      </c>
      <c r="B3544" s="133" t="s">
        <v>496</v>
      </c>
      <c r="C3544" s="133" t="s">
        <v>127</v>
      </c>
      <c r="D3544" s="133" t="s">
        <v>2994</v>
      </c>
      <c r="E3544" s="138">
        <v>2476</v>
      </c>
      <c r="F3544" s="153" t="s">
        <v>167</v>
      </c>
      <c r="G3544" s="153">
        <v>1</v>
      </c>
      <c r="H3544" s="133" t="s">
        <v>39</v>
      </c>
      <c r="I3544" s="133"/>
      <c r="J3544" s="133" t="s">
        <v>2443</v>
      </c>
      <c r="K3544" s="133" t="s">
        <v>831</v>
      </c>
      <c r="L3544" s="167"/>
      <c r="M3544" s="169"/>
    </row>
    <row r="3545" spans="1:13" x14ac:dyDescent="0.55000000000000004">
      <c r="A3545" s="132" t="s">
        <v>2444</v>
      </c>
      <c r="B3545" s="133" t="s">
        <v>2863</v>
      </c>
      <c r="C3545" s="133" t="s">
        <v>348</v>
      </c>
      <c r="D3545" s="133" t="s">
        <v>3288</v>
      </c>
      <c r="E3545" s="138">
        <v>0.05</v>
      </c>
      <c r="F3545" s="153" t="s">
        <v>135</v>
      </c>
      <c r="G3545" s="153">
        <v>1</v>
      </c>
      <c r="H3545" s="133" t="s">
        <v>39</v>
      </c>
      <c r="I3545" s="133"/>
      <c r="J3545" s="133" t="s">
        <v>2443</v>
      </c>
      <c r="K3545" s="133" t="s">
        <v>831</v>
      </c>
      <c r="L3545" s="167"/>
      <c r="M3545" s="169"/>
    </row>
    <row r="3546" spans="1:13" x14ac:dyDescent="0.55000000000000004">
      <c r="A3546" s="132" t="s">
        <v>2444</v>
      </c>
      <c r="B3546" s="133" t="s">
        <v>2864</v>
      </c>
      <c r="C3546" s="133" t="s">
        <v>348</v>
      </c>
      <c r="D3546" s="133" t="s">
        <v>3288</v>
      </c>
      <c r="E3546" s="138">
        <v>1E-3</v>
      </c>
      <c r="F3546" s="153" t="s">
        <v>135</v>
      </c>
      <c r="G3546" s="153">
        <v>1</v>
      </c>
      <c r="H3546" s="133" t="s">
        <v>39</v>
      </c>
      <c r="I3546" s="133"/>
      <c r="J3546" s="133" t="s">
        <v>2443</v>
      </c>
      <c r="K3546" s="133" t="s">
        <v>831</v>
      </c>
      <c r="L3546" s="167"/>
      <c r="M3546" s="169"/>
    </row>
    <row r="3547" spans="1:13" x14ac:dyDescent="0.55000000000000004">
      <c r="A3547" s="132" t="s">
        <v>2444</v>
      </c>
      <c r="B3547" s="133" t="s">
        <v>2865</v>
      </c>
      <c r="C3547" s="133" t="s">
        <v>163</v>
      </c>
      <c r="D3547" s="133" t="s">
        <v>3288</v>
      </c>
      <c r="E3547" s="138">
        <v>0.121</v>
      </c>
      <c r="F3547" s="153" t="s">
        <v>135</v>
      </c>
      <c r="G3547" s="153">
        <v>1</v>
      </c>
      <c r="H3547" s="133" t="s">
        <v>39</v>
      </c>
      <c r="I3547" s="133"/>
      <c r="J3547" s="133" t="s">
        <v>2443</v>
      </c>
      <c r="K3547" s="133" t="s">
        <v>831</v>
      </c>
      <c r="L3547" s="167"/>
      <c r="M3547" s="169"/>
    </row>
    <row r="3548" spans="1:13" x14ac:dyDescent="0.55000000000000004">
      <c r="A3548" s="132" t="s">
        <v>2444</v>
      </c>
      <c r="B3548" s="133" t="s">
        <v>2598</v>
      </c>
      <c r="C3548" s="133" t="s">
        <v>124</v>
      </c>
      <c r="D3548" s="133" t="s">
        <v>3288</v>
      </c>
      <c r="E3548" s="138">
        <v>0.38100000000000001</v>
      </c>
      <c r="F3548" s="153" t="s">
        <v>135</v>
      </c>
      <c r="G3548" s="153">
        <v>1</v>
      </c>
      <c r="H3548" s="133" t="s">
        <v>39</v>
      </c>
      <c r="I3548" s="133"/>
      <c r="J3548" s="133" t="s">
        <v>2443</v>
      </c>
      <c r="K3548" s="133" t="s">
        <v>831</v>
      </c>
      <c r="L3548" s="167"/>
      <c r="M3548" s="169"/>
    </row>
    <row r="3549" spans="1:13" x14ac:dyDescent="0.55000000000000004">
      <c r="A3549" s="132" t="s">
        <v>2444</v>
      </c>
      <c r="B3549" s="133" t="s">
        <v>2866</v>
      </c>
      <c r="C3549" s="133" t="s">
        <v>156</v>
      </c>
      <c r="D3549" s="133" t="s">
        <v>3288</v>
      </c>
      <c r="E3549" s="138">
        <v>0.78400000000000003</v>
      </c>
      <c r="F3549" s="153" t="s">
        <v>135</v>
      </c>
      <c r="G3549" s="153">
        <v>1</v>
      </c>
      <c r="H3549" s="133" t="s">
        <v>39</v>
      </c>
      <c r="I3549" s="133"/>
      <c r="J3549" s="133" t="s">
        <v>2443</v>
      </c>
      <c r="K3549" s="133" t="s">
        <v>831</v>
      </c>
      <c r="L3549" s="167"/>
      <c r="M3549" s="169"/>
    </row>
    <row r="3550" spans="1:13" x14ac:dyDescent="0.55000000000000004">
      <c r="A3550" s="132" t="s">
        <v>2447</v>
      </c>
      <c r="B3550" s="133" t="s">
        <v>2869</v>
      </c>
      <c r="C3550" s="133" t="s">
        <v>121</v>
      </c>
      <c r="D3550" s="133" t="s">
        <v>2682</v>
      </c>
      <c r="E3550" s="138">
        <v>1</v>
      </c>
      <c r="F3550" s="153">
        <v>1</v>
      </c>
      <c r="G3550" s="153">
        <v>1</v>
      </c>
      <c r="H3550" s="133"/>
      <c r="I3550" s="133"/>
      <c r="J3550" s="133" t="s">
        <v>2446</v>
      </c>
      <c r="K3550" s="133" t="s">
        <v>831</v>
      </c>
      <c r="L3550" s="167"/>
      <c r="M3550" s="169"/>
    </row>
    <row r="3551" spans="1:13" x14ac:dyDescent="0.55000000000000004">
      <c r="A3551" s="132" t="s">
        <v>2447</v>
      </c>
      <c r="B3551" s="133" t="s">
        <v>2870</v>
      </c>
      <c r="C3551" s="133" t="s">
        <v>348</v>
      </c>
      <c r="D3551" s="133" t="s">
        <v>3288</v>
      </c>
      <c r="E3551" s="138">
        <v>1</v>
      </c>
      <c r="F3551" s="153" t="s">
        <v>135</v>
      </c>
      <c r="G3551" s="153">
        <v>1</v>
      </c>
      <c r="H3551" s="133"/>
      <c r="I3551" s="133"/>
      <c r="J3551" s="133" t="s">
        <v>2446</v>
      </c>
      <c r="K3551" s="133" t="s">
        <v>831</v>
      </c>
      <c r="L3551" s="167"/>
      <c r="M3551" s="169"/>
    </row>
    <row r="3552" spans="1:13" x14ac:dyDescent="0.55000000000000004">
      <c r="A3552" s="132" t="s">
        <v>2447</v>
      </c>
      <c r="B3552" s="133" t="s">
        <v>153</v>
      </c>
      <c r="C3552" s="133" t="s">
        <v>127</v>
      </c>
      <c r="D3552" s="133" t="s">
        <v>2994</v>
      </c>
      <c r="E3552" s="138">
        <v>7.526296699310846</v>
      </c>
      <c r="F3552" s="153" t="s">
        <v>130</v>
      </c>
      <c r="G3552" s="153">
        <v>1</v>
      </c>
      <c r="H3552" s="134"/>
      <c r="I3552" s="133"/>
      <c r="J3552" s="133" t="s">
        <v>2446</v>
      </c>
      <c r="K3552" s="133" t="s">
        <v>831</v>
      </c>
      <c r="L3552" s="167"/>
      <c r="M3552" s="169"/>
    </row>
    <row r="3553" spans="1:13" x14ac:dyDescent="0.55000000000000004">
      <c r="A3553" s="132" t="s">
        <v>2447</v>
      </c>
      <c r="B3553" s="133" t="s">
        <v>508</v>
      </c>
      <c r="C3553" s="133" t="s">
        <v>127</v>
      </c>
      <c r="D3553" s="133" t="s">
        <v>3288</v>
      </c>
      <c r="E3553" s="138">
        <v>3.1193326079071455E-3</v>
      </c>
      <c r="F3553" s="153" t="s">
        <v>135</v>
      </c>
      <c r="G3553" s="153">
        <v>1</v>
      </c>
      <c r="H3553" s="134"/>
      <c r="I3553" s="133"/>
      <c r="J3553" s="133" t="s">
        <v>2446</v>
      </c>
      <c r="K3553" s="133" t="s">
        <v>831</v>
      </c>
      <c r="L3553" s="167"/>
      <c r="M3553" s="169"/>
    </row>
    <row r="3554" spans="1:13" x14ac:dyDescent="0.55000000000000004">
      <c r="A3554" s="132" t="s">
        <v>2447</v>
      </c>
      <c r="B3554" s="133" t="s">
        <v>2871</v>
      </c>
      <c r="C3554" s="133" t="s">
        <v>156</v>
      </c>
      <c r="D3554" s="133" t="s">
        <v>3288</v>
      </c>
      <c r="E3554" s="138">
        <v>0.86167936162495462</v>
      </c>
      <c r="F3554" s="153" t="s">
        <v>135</v>
      </c>
      <c r="G3554" s="153">
        <v>1</v>
      </c>
      <c r="H3554" s="134"/>
      <c r="I3554" s="133"/>
      <c r="J3554" s="133" t="s">
        <v>2446</v>
      </c>
      <c r="K3554" s="133" t="s">
        <v>831</v>
      </c>
      <c r="L3554" s="167"/>
      <c r="M3554" s="169"/>
    </row>
    <row r="3555" spans="1:13" x14ac:dyDescent="0.55000000000000004">
      <c r="A3555" s="132" t="s">
        <v>2447</v>
      </c>
      <c r="B3555" s="133" t="s">
        <v>1168</v>
      </c>
      <c r="C3555" s="133" t="s">
        <v>156</v>
      </c>
      <c r="D3555" s="133" t="s">
        <v>3288</v>
      </c>
      <c r="E3555" s="138">
        <v>1.8706927820094303E-2</v>
      </c>
      <c r="F3555" s="153" t="s">
        <v>135</v>
      </c>
      <c r="G3555" s="153">
        <v>1</v>
      </c>
      <c r="H3555" s="134"/>
      <c r="I3555" s="133"/>
      <c r="J3555" s="133" t="s">
        <v>2446</v>
      </c>
      <c r="K3555" s="133" t="s">
        <v>831</v>
      </c>
      <c r="L3555" s="167"/>
      <c r="M3555" s="169"/>
    </row>
    <row r="3556" spans="1:13" x14ac:dyDescent="0.55000000000000004">
      <c r="A3556" s="132" t="s">
        <v>2447</v>
      </c>
      <c r="B3556" s="133" t="s">
        <v>2781</v>
      </c>
      <c r="C3556" s="133" t="s">
        <v>156</v>
      </c>
      <c r="D3556" s="133" t="s">
        <v>3288</v>
      </c>
      <c r="E3556" s="138">
        <v>1.3910047152702212E-2</v>
      </c>
      <c r="F3556" s="153" t="s">
        <v>135</v>
      </c>
      <c r="G3556" s="153">
        <v>1</v>
      </c>
      <c r="H3556" s="134"/>
      <c r="I3556" s="133"/>
      <c r="J3556" s="133" t="s">
        <v>2446</v>
      </c>
      <c r="K3556" s="133" t="s">
        <v>831</v>
      </c>
      <c r="L3556" s="167"/>
      <c r="M3556" s="169"/>
    </row>
    <row r="3557" spans="1:13" x14ac:dyDescent="0.55000000000000004">
      <c r="A3557" s="132" t="s">
        <v>2447</v>
      </c>
      <c r="B3557" s="133" t="s">
        <v>160</v>
      </c>
      <c r="C3557" s="133" t="s">
        <v>124</v>
      </c>
      <c r="D3557" s="133" t="s">
        <v>3288</v>
      </c>
      <c r="E3557" s="138">
        <v>1.0301051867972434E-2</v>
      </c>
      <c r="F3557" s="153" t="s">
        <v>135</v>
      </c>
      <c r="G3557" s="153">
        <v>1</v>
      </c>
      <c r="H3557" s="134"/>
      <c r="I3557" s="133"/>
      <c r="J3557" s="133" t="s">
        <v>2446</v>
      </c>
      <c r="K3557" s="133" t="s">
        <v>831</v>
      </c>
      <c r="L3557" s="167"/>
      <c r="M3557" s="169"/>
    </row>
    <row r="3558" spans="1:13" x14ac:dyDescent="0.55000000000000004">
      <c r="A3558" s="132" t="s">
        <v>2447</v>
      </c>
      <c r="B3558" s="133" t="s">
        <v>2873</v>
      </c>
      <c r="C3558" s="133" t="s">
        <v>124</v>
      </c>
      <c r="D3558" s="133" t="s">
        <v>3288</v>
      </c>
      <c r="E3558" s="138">
        <v>8.3424011606819011E-3</v>
      </c>
      <c r="F3558" s="153" t="s">
        <v>135</v>
      </c>
      <c r="G3558" s="153">
        <v>1</v>
      </c>
      <c r="H3558" s="134"/>
      <c r="I3558" s="133"/>
      <c r="J3558" s="133" t="s">
        <v>2446</v>
      </c>
      <c r="K3558" s="133" t="s">
        <v>831</v>
      </c>
      <c r="L3558" s="167"/>
      <c r="M3558" s="169"/>
    </row>
    <row r="3559" spans="1:13" x14ac:dyDescent="0.55000000000000004">
      <c r="A3559" s="132" t="s">
        <v>2447</v>
      </c>
      <c r="B3559" s="133" t="s">
        <v>2874</v>
      </c>
      <c r="C3559" s="133" t="s">
        <v>124</v>
      </c>
      <c r="D3559" s="133" t="s">
        <v>3288</v>
      </c>
      <c r="E3559" s="138">
        <v>3.2825535001813565E-3</v>
      </c>
      <c r="F3559" s="153" t="s">
        <v>135</v>
      </c>
      <c r="G3559" s="153">
        <v>1</v>
      </c>
      <c r="H3559" s="134"/>
      <c r="I3559" s="133"/>
      <c r="J3559" s="133" t="s">
        <v>2446</v>
      </c>
      <c r="K3559" s="133" t="s">
        <v>831</v>
      </c>
      <c r="L3559" s="167"/>
      <c r="M3559" s="169"/>
    </row>
    <row r="3560" spans="1:13" x14ac:dyDescent="0.55000000000000004">
      <c r="A3560" s="132" t="s">
        <v>2447</v>
      </c>
      <c r="B3560" s="133" t="s">
        <v>2875</v>
      </c>
      <c r="C3560" s="133" t="s">
        <v>124</v>
      </c>
      <c r="D3560" s="133" t="s">
        <v>3288</v>
      </c>
      <c r="E3560" s="138">
        <v>2.2306855277475513E-6</v>
      </c>
      <c r="F3560" s="153" t="s">
        <v>135</v>
      </c>
      <c r="G3560" s="153">
        <v>1</v>
      </c>
      <c r="H3560" s="134"/>
      <c r="I3560" s="133"/>
      <c r="J3560" s="133" t="s">
        <v>2446</v>
      </c>
      <c r="K3560" s="133" t="s">
        <v>831</v>
      </c>
      <c r="L3560" s="167"/>
      <c r="M3560" s="169"/>
    </row>
    <row r="3561" spans="1:13" x14ac:dyDescent="0.55000000000000004">
      <c r="A3561" s="132" t="s">
        <v>2447</v>
      </c>
      <c r="B3561" s="133" t="s">
        <v>2790</v>
      </c>
      <c r="C3561" s="133" t="s">
        <v>124</v>
      </c>
      <c r="D3561" s="133" t="s">
        <v>3288</v>
      </c>
      <c r="E3561" s="138">
        <v>1.2210736307580704E-4</v>
      </c>
      <c r="F3561" s="153" t="s">
        <v>135</v>
      </c>
      <c r="G3561" s="153">
        <v>1</v>
      </c>
      <c r="H3561" s="134"/>
      <c r="I3561" s="133"/>
      <c r="J3561" s="133" t="s">
        <v>2446</v>
      </c>
      <c r="K3561" s="133" t="s">
        <v>831</v>
      </c>
      <c r="L3561" s="167"/>
      <c r="M3561" s="169"/>
    </row>
    <row r="3562" spans="1:13" x14ac:dyDescent="0.55000000000000004">
      <c r="A3562" s="132" t="s">
        <v>2447</v>
      </c>
      <c r="B3562" s="133" t="s">
        <v>1097</v>
      </c>
      <c r="C3562" s="133" t="s">
        <v>124</v>
      </c>
      <c r="D3562" s="133" t="s">
        <v>3288</v>
      </c>
      <c r="E3562" s="138">
        <v>9.0768951759158504E-6</v>
      </c>
      <c r="F3562" s="153" t="s">
        <v>135</v>
      </c>
      <c r="G3562" s="153">
        <v>1</v>
      </c>
      <c r="H3562" s="134"/>
      <c r="I3562" s="133"/>
      <c r="J3562" s="133" t="s">
        <v>2446</v>
      </c>
      <c r="K3562" s="133" t="s">
        <v>831</v>
      </c>
      <c r="L3562" s="167"/>
      <c r="M3562" s="169"/>
    </row>
    <row r="3563" spans="1:13" x14ac:dyDescent="0.55000000000000004">
      <c r="A3563" s="132" t="s">
        <v>2447</v>
      </c>
      <c r="B3563" s="133" t="s">
        <v>1098</v>
      </c>
      <c r="C3563" s="133" t="s">
        <v>124</v>
      </c>
      <c r="D3563" s="133" t="s">
        <v>3288</v>
      </c>
      <c r="E3563" s="138">
        <v>9.9020674646354722E-6</v>
      </c>
      <c r="F3563" s="153" t="s">
        <v>135</v>
      </c>
      <c r="G3563" s="153">
        <v>1</v>
      </c>
      <c r="H3563" s="134"/>
      <c r="I3563" s="133"/>
      <c r="J3563" s="133" t="s">
        <v>2446</v>
      </c>
      <c r="K3563" s="133" t="s">
        <v>831</v>
      </c>
      <c r="L3563" s="167"/>
      <c r="M3563" s="169"/>
    </row>
    <row r="3564" spans="1:13" x14ac:dyDescent="0.55000000000000004">
      <c r="A3564" s="132" t="s">
        <v>2447</v>
      </c>
      <c r="B3564" s="133" t="s">
        <v>3387</v>
      </c>
      <c r="C3564" s="133" t="s">
        <v>124</v>
      </c>
      <c r="D3564" s="133" t="s">
        <v>3288</v>
      </c>
      <c r="E3564" s="138">
        <v>4.5339136742836414E-9</v>
      </c>
      <c r="F3564" s="153" t="s">
        <v>135</v>
      </c>
      <c r="G3564" s="153">
        <v>1</v>
      </c>
      <c r="H3564" s="134"/>
      <c r="I3564" s="133"/>
      <c r="J3564" s="133" t="s">
        <v>2446</v>
      </c>
      <c r="K3564" s="133" t="s">
        <v>831</v>
      </c>
      <c r="L3564" s="167"/>
      <c r="M3564" s="169"/>
    </row>
    <row r="3565" spans="1:13" x14ac:dyDescent="0.55000000000000004">
      <c r="A3565" s="132" t="s">
        <v>2447</v>
      </c>
      <c r="B3565" s="133" t="s">
        <v>2880</v>
      </c>
      <c r="C3565" s="133" t="s">
        <v>124</v>
      </c>
      <c r="D3565" s="133" t="s">
        <v>3288</v>
      </c>
      <c r="E3565" s="138">
        <v>6.6004715270221245E-8</v>
      </c>
      <c r="F3565" s="153" t="s">
        <v>135</v>
      </c>
      <c r="G3565" s="153">
        <v>1</v>
      </c>
      <c r="H3565" s="134"/>
      <c r="I3565" s="133"/>
      <c r="J3565" s="133" t="s">
        <v>2446</v>
      </c>
      <c r="K3565" s="133" t="s">
        <v>831</v>
      </c>
      <c r="L3565" s="167"/>
      <c r="M3565" s="169"/>
    </row>
    <row r="3566" spans="1:13" x14ac:dyDescent="0.55000000000000004">
      <c r="A3566" s="132" t="s">
        <v>2447</v>
      </c>
      <c r="B3566" s="133" t="s">
        <v>2881</v>
      </c>
      <c r="C3566" s="133" t="s">
        <v>124</v>
      </c>
      <c r="D3566" s="133" t="s">
        <v>3288</v>
      </c>
      <c r="E3566" s="138">
        <v>1.1552412042074719E-5</v>
      </c>
      <c r="F3566" s="153" t="s">
        <v>135</v>
      </c>
      <c r="G3566" s="153">
        <v>1</v>
      </c>
      <c r="H3566" s="134"/>
      <c r="I3566" s="133"/>
      <c r="J3566" s="133" t="s">
        <v>2446</v>
      </c>
      <c r="K3566" s="133" t="s">
        <v>831</v>
      </c>
      <c r="L3566" s="167"/>
      <c r="M3566" s="169"/>
    </row>
    <row r="3567" spans="1:13" x14ac:dyDescent="0.55000000000000004">
      <c r="A3567" s="132" t="s">
        <v>2447</v>
      </c>
      <c r="B3567" s="133" t="s">
        <v>2805</v>
      </c>
      <c r="C3567" s="133" t="s">
        <v>156</v>
      </c>
      <c r="D3567" s="133" t="s">
        <v>3288</v>
      </c>
      <c r="E3567" s="138">
        <v>0.10623866521581429</v>
      </c>
      <c r="F3567" s="153" t="s">
        <v>135</v>
      </c>
      <c r="G3567" s="153">
        <v>1</v>
      </c>
      <c r="H3567" s="134"/>
      <c r="I3567" s="133"/>
      <c r="J3567" s="133" t="s">
        <v>2446</v>
      </c>
      <c r="K3567" s="133" t="s">
        <v>831</v>
      </c>
      <c r="L3567" s="167"/>
      <c r="M3567" s="169"/>
    </row>
    <row r="3568" spans="1:13" x14ac:dyDescent="0.55000000000000004">
      <c r="A3568" s="132" t="s">
        <v>2452</v>
      </c>
      <c r="B3568" s="133" t="s">
        <v>2882</v>
      </c>
      <c r="C3568" s="133" t="s">
        <v>121</v>
      </c>
      <c r="D3568" s="133" t="s">
        <v>2682</v>
      </c>
      <c r="E3568" s="138">
        <v>1</v>
      </c>
      <c r="F3568" s="153">
        <v>1</v>
      </c>
      <c r="G3568" s="153">
        <v>1</v>
      </c>
      <c r="H3568" s="134"/>
      <c r="I3568" s="133"/>
      <c r="J3568" s="133" t="s">
        <v>2451</v>
      </c>
      <c r="K3568" s="133" t="s">
        <v>831</v>
      </c>
      <c r="L3568" s="167"/>
      <c r="M3568" s="169"/>
    </row>
    <row r="3569" spans="1:13" x14ac:dyDescent="0.55000000000000004">
      <c r="A3569" s="132" t="s">
        <v>2452</v>
      </c>
      <c r="B3569" s="133" t="s">
        <v>2870</v>
      </c>
      <c r="C3569" s="133" t="s">
        <v>348</v>
      </c>
      <c r="D3569" s="133" t="s">
        <v>3288</v>
      </c>
      <c r="E3569" s="138">
        <v>1</v>
      </c>
      <c r="F3569" s="153" t="s">
        <v>135</v>
      </c>
      <c r="G3569" s="153">
        <v>1</v>
      </c>
      <c r="H3569" s="134"/>
      <c r="I3569" s="133"/>
      <c r="J3569" s="133" t="s">
        <v>2451</v>
      </c>
      <c r="K3569" s="133" t="s">
        <v>831</v>
      </c>
      <c r="L3569" s="167"/>
      <c r="M3569" s="169"/>
    </row>
    <row r="3570" spans="1:13" x14ac:dyDescent="0.55000000000000004">
      <c r="A3570" s="132" t="s">
        <v>2452</v>
      </c>
      <c r="B3570" s="133" t="s">
        <v>153</v>
      </c>
      <c r="C3570" s="133" t="s">
        <v>127</v>
      </c>
      <c r="D3570" s="133" t="s">
        <v>153</v>
      </c>
      <c r="E3570" s="138">
        <v>28.8</v>
      </c>
      <c r="F3570" s="153" t="s">
        <v>130</v>
      </c>
      <c r="G3570" s="153">
        <v>1</v>
      </c>
      <c r="H3570" s="134"/>
      <c r="I3570" s="133"/>
      <c r="J3570" s="133" t="s">
        <v>2451</v>
      </c>
      <c r="K3570" s="133" t="s">
        <v>831</v>
      </c>
      <c r="L3570" s="167"/>
      <c r="M3570" s="169"/>
    </row>
    <row r="3571" spans="1:13" x14ac:dyDescent="0.55000000000000004">
      <c r="A3571" s="132" t="s">
        <v>2452</v>
      </c>
      <c r="B3571" s="133" t="s">
        <v>2699</v>
      </c>
      <c r="C3571" s="133" t="s">
        <v>156</v>
      </c>
      <c r="D3571" s="133" t="s">
        <v>3288</v>
      </c>
      <c r="E3571" s="138">
        <v>0.71330000000000005</v>
      </c>
      <c r="F3571" s="153" t="s">
        <v>135</v>
      </c>
      <c r="G3571" s="153">
        <v>1</v>
      </c>
      <c r="H3571" s="134"/>
      <c r="I3571" s="133"/>
      <c r="J3571" s="133" t="s">
        <v>2451</v>
      </c>
      <c r="K3571" s="133" t="s">
        <v>831</v>
      </c>
      <c r="L3571" s="167"/>
      <c r="M3571" s="169"/>
    </row>
    <row r="3572" spans="1:13" x14ac:dyDescent="0.55000000000000004">
      <c r="A3572" s="132" t="s">
        <v>2452</v>
      </c>
      <c r="B3572" s="133" t="s">
        <v>2700</v>
      </c>
      <c r="C3572" s="133" t="s">
        <v>156</v>
      </c>
      <c r="D3572" s="133" t="s">
        <v>3288</v>
      </c>
      <c r="E3572" s="138">
        <v>2.6100000000000002E-2</v>
      </c>
      <c r="F3572" s="153" t="s">
        <v>135</v>
      </c>
      <c r="G3572" s="153">
        <v>1</v>
      </c>
      <c r="H3572" s="134"/>
      <c r="I3572" s="133"/>
      <c r="J3572" s="133" t="s">
        <v>2451</v>
      </c>
      <c r="K3572" s="133" t="s">
        <v>831</v>
      </c>
      <c r="L3572" s="167"/>
      <c r="M3572" s="169"/>
    </row>
    <row r="3573" spans="1:13" x14ac:dyDescent="0.55000000000000004">
      <c r="A3573" s="132" t="s">
        <v>2452</v>
      </c>
      <c r="B3573" s="133" t="s">
        <v>2884</v>
      </c>
      <c r="C3573" s="133" t="s">
        <v>163</v>
      </c>
      <c r="D3573" s="133" t="s">
        <v>3288</v>
      </c>
      <c r="E3573" s="138">
        <v>6.8600000000000008E-2</v>
      </c>
      <c r="F3573" s="153" t="s">
        <v>135</v>
      </c>
      <c r="G3573" s="153">
        <v>1</v>
      </c>
      <c r="H3573" s="134"/>
      <c r="I3573" s="133"/>
      <c r="J3573" s="133" t="s">
        <v>2451</v>
      </c>
      <c r="K3573" s="133" t="s">
        <v>831</v>
      </c>
      <c r="L3573" s="167"/>
      <c r="M3573" s="169"/>
    </row>
    <row r="3574" spans="1:13" x14ac:dyDescent="0.55000000000000004">
      <c r="A3574" s="132" t="s">
        <v>2452</v>
      </c>
      <c r="B3574" s="133" t="s">
        <v>2885</v>
      </c>
      <c r="C3574" s="133" t="s">
        <v>132</v>
      </c>
      <c r="D3574" s="133" t="s">
        <v>3288</v>
      </c>
      <c r="E3574" s="138">
        <v>5.7</v>
      </c>
      <c r="F3574" s="153" t="s">
        <v>128</v>
      </c>
      <c r="G3574" s="153">
        <v>1</v>
      </c>
      <c r="H3574" s="134"/>
      <c r="I3574" s="133"/>
      <c r="J3574" s="133" t="s">
        <v>2451</v>
      </c>
      <c r="K3574" s="133" t="s">
        <v>831</v>
      </c>
      <c r="L3574" s="167"/>
      <c r="M3574" s="169"/>
    </row>
    <row r="3575" spans="1:13" x14ac:dyDescent="0.55000000000000004">
      <c r="A3575" s="132" t="s">
        <v>2452</v>
      </c>
      <c r="B3575" s="133" t="s">
        <v>2805</v>
      </c>
      <c r="C3575" s="133" t="s">
        <v>156</v>
      </c>
      <c r="D3575" s="133" t="s">
        <v>3288</v>
      </c>
      <c r="E3575" s="138">
        <v>0.19209999999999999</v>
      </c>
      <c r="F3575" s="153" t="s">
        <v>135</v>
      </c>
      <c r="G3575" s="153">
        <v>1</v>
      </c>
      <c r="H3575" s="134"/>
      <c r="I3575" s="133"/>
      <c r="J3575" s="133" t="s">
        <v>2451</v>
      </c>
      <c r="K3575" s="133" t="s">
        <v>831</v>
      </c>
      <c r="L3575" s="167"/>
      <c r="M3575" s="169"/>
    </row>
    <row r="3576" spans="1:13" x14ac:dyDescent="0.55000000000000004">
      <c r="A3576" s="132" t="s">
        <v>2452</v>
      </c>
      <c r="B3576" s="133" t="s">
        <v>160</v>
      </c>
      <c r="C3576" s="133" t="s">
        <v>124</v>
      </c>
      <c r="D3576" s="133" t="s">
        <v>3288</v>
      </c>
      <c r="E3576" s="138">
        <v>8.6E-3</v>
      </c>
      <c r="F3576" s="153" t="s">
        <v>135</v>
      </c>
      <c r="G3576" s="153">
        <v>1</v>
      </c>
      <c r="H3576" s="134"/>
      <c r="I3576" s="133"/>
      <c r="J3576" s="133" t="s">
        <v>2451</v>
      </c>
      <c r="K3576" s="133" t="s">
        <v>831</v>
      </c>
      <c r="L3576" s="167"/>
      <c r="M3576" s="169"/>
    </row>
    <row r="3577" spans="1:13" x14ac:dyDescent="0.55000000000000004">
      <c r="A3577" s="132" t="s">
        <v>2452</v>
      </c>
      <c r="B3577" s="133" t="s">
        <v>2880</v>
      </c>
      <c r="C3577" s="133" t="s">
        <v>124</v>
      </c>
      <c r="D3577" s="133" t="s">
        <v>3288</v>
      </c>
      <c r="E3577" s="138">
        <v>3.2299999999999999E-5</v>
      </c>
      <c r="F3577" s="153" t="s">
        <v>135</v>
      </c>
      <c r="G3577" s="153">
        <v>1</v>
      </c>
      <c r="H3577" s="134"/>
      <c r="I3577" s="133"/>
      <c r="J3577" s="133" t="s">
        <v>2451</v>
      </c>
      <c r="K3577" s="133" t="s">
        <v>831</v>
      </c>
      <c r="L3577" s="167"/>
      <c r="M3577" s="169"/>
    </row>
    <row r="3578" spans="1:13" x14ac:dyDescent="0.55000000000000004">
      <c r="A3578" s="132" t="s">
        <v>2452</v>
      </c>
      <c r="B3578" s="133" t="s">
        <v>2886</v>
      </c>
      <c r="C3578" s="133" t="s">
        <v>124</v>
      </c>
      <c r="D3578" s="133" t="s">
        <v>3288</v>
      </c>
      <c r="E3578" s="138">
        <v>1.11E-5</v>
      </c>
      <c r="F3578" s="153" t="s">
        <v>135</v>
      </c>
      <c r="G3578" s="153">
        <v>1</v>
      </c>
      <c r="H3578" s="134"/>
      <c r="I3578" s="133"/>
      <c r="J3578" s="133" t="s">
        <v>2451</v>
      </c>
      <c r="K3578" s="133" t="s">
        <v>831</v>
      </c>
      <c r="L3578" s="167"/>
      <c r="M3578" s="169"/>
    </row>
    <row r="3579" spans="1:13" x14ac:dyDescent="0.55000000000000004">
      <c r="A3579" s="132" t="s">
        <v>2452</v>
      </c>
      <c r="B3579" s="133" t="s">
        <v>3419</v>
      </c>
      <c r="C3579" s="133" t="s">
        <v>124</v>
      </c>
      <c r="D3579" s="133" t="s">
        <v>3288</v>
      </c>
      <c r="E3579" s="138">
        <v>1.5699999999999999E-5</v>
      </c>
      <c r="F3579" s="153" t="s">
        <v>135</v>
      </c>
      <c r="G3579" s="153">
        <v>1</v>
      </c>
      <c r="H3579" s="134"/>
      <c r="I3579" s="133"/>
      <c r="J3579" s="133" t="s">
        <v>2451</v>
      </c>
      <c r="K3579" s="133" t="s">
        <v>831</v>
      </c>
      <c r="L3579" s="167"/>
      <c r="M3579" s="169"/>
    </row>
    <row r="3580" spans="1:13" x14ac:dyDescent="0.55000000000000004">
      <c r="A3580" s="132" t="s">
        <v>2456</v>
      </c>
      <c r="B3580" s="133" t="s">
        <v>2888</v>
      </c>
      <c r="C3580" s="133" t="s">
        <v>121</v>
      </c>
      <c r="D3580" s="133" t="s">
        <v>2682</v>
      </c>
      <c r="E3580" s="138">
        <v>1</v>
      </c>
      <c r="F3580" s="153">
        <v>1</v>
      </c>
      <c r="G3580" s="153">
        <v>1</v>
      </c>
      <c r="H3580" s="133"/>
      <c r="I3580" s="133"/>
      <c r="J3580" s="133" t="s">
        <v>2455</v>
      </c>
      <c r="K3580" s="133" t="s">
        <v>831</v>
      </c>
      <c r="L3580" s="167"/>
      <c r="M3580" s="169"/>
    </row>
    <row r="3581" spans="1:13" x14ac:dyDescent="0.55000000000000004">
      <c r="A3581" s="132" t="s">
        <v>2456</v>
      </c>
      <c r="B3581" s="133" t="s">
        <v>2889</v>
      </c>
      <c r="C3581" s="133" t="s">
        <v>348</v>
      </c>
      <c r="D3581" s="133" t="s">
        <v>3288</v>
      </c>
      <c r="E3581" s="138">
        <v>1</v>
      </c>
      <c r="F3581" s="153" t="s">
        <v>135</v>
      </c>
      <c r="G3581" s="153">
        <v>1</v>
      </c>
      <c r="H3581" s="133"/>
      <c r="I3581" s="133"/>
      <c r="J3581" s="133" t="s">
        <v>2455</v>
      </c>
      <c r="K3581" s="133" t="s">
        <v>831</v>
      </c>
      <c r="L3581" s="167"/>
      <c r="M3581" s="169"/>
    </row>
    <row r="3582" spans="1:13" x14ac:dyDescent="0.55000000000000004">
      <c r="A3582" s="132" t="s">
        <v>2456</v>
      </c>
      <c r="B3582" s="133" t="s">
        <v>153</v>
      </c>
      <c r="C3582" s="133" t="s">
        <v>127</v>
      </c>
      <c r="D3582" s="133" t="s">
        <v>2994</v>
      </c>
      <c r="E3582" s="138">
        <v>23.1</v>
      </c>
      <c r="F3582" s="153" t="s">
        <v>130</v>
      </c>
      <c r="G3582" s="153">
        <v>1</v>
      </c>
      <c r="H3582" s="133"/>
      <c r="I3582" s="133"/>
      <c r="J3582" s="133" t="s">
        <v>2455</v>
      </c>
      <c r="K3582" s="133" t="s">
        <v>831</v>
      </c>
      <c r="L3582" s="167"/>
      <c r="M3582" s="169"/>
    </row>
    <row r="3583" spans="1:13" x14ac:dyDescent="0.55000000000000004">
      <c r="A3583" s="132" t="s">
        <v>2456</v>
      </c>
      <c r="B3583" s="133" t="s">
        <v>2870</v>
      </c>
      <c r="C3583" s="133" t="s">
        <v>156</v>
      </c>
      <c r="D3583" s="133" t="s">
        <v>3288</v>
      </c>
      <c r="E3583" s="138">
        <v>0.88400000000000001</v>
      </c>
      <c r="F3583" s="153" t="s">
        <v>135</v>
      </c>
      <c r="G3583" s="153">
        <v>1</v>
      </c>
      <c r="H3583" s="133"/>
      <c r="I3583" s="133"/>
      <c r="J3583" s="133" t="s">
        <v>2455</v>
      </c>
      <c r="K3583" s="133" t="s">
        <v>831</v>
      </c>
      <c r="L3583" s="167"/>
      <c r="M3583" s="169"/>
    </row>
    <row r="3584" spans="1:13" x14ac:dyDescent="0.55000000000000004">
      <c r="A3584" s="132" t="s">
        <v>2456</v>
      </c>
      <c r="B3584" s="133" t="s">
        <v>2890</v>
      </c>
      <c r="C3584" s="133" t="s">
        <v>156</v>
      </c>
      <c r="D3584" s="133" t="s">
        <v>3288</v>
      </c>
      <c r="E3584" s="138">
        <v>5.3E-3</v>
      </c>
      <c r="F3584" s="153" t="s">
        <v>135</v>
      </c>
      <c r="G3584" s="153">
        <v>1</v>
      </c>
      <c r="H3584" s="133"/>
      <c r="I3584" s="133" t="s">
        <v>2891</v>
      </c>
      <c r="J3584" s="133" t="s">
        <v>2455</v>
      </c>
      <c r="K3584" s="133" t="s">
        <v>831</v>
      </c>
      <c r="L3584" s="167"/>
      <c r="M3584" s="169"/>
    </row>
    <row r="3585" spans="1:13" x14ac:dyDescent="0.55000000000000004">
      <c r="A3585" s="132" t="s">
        <v>2456</v>
      </c>
      <c r="B3585" s="133" t="s">
        <v>2892</v>
      </c>
      <c r="C3585" s="133" t="s">
        <v>156</v>
      </c>
      <c r="D3585" s="133" t="s">
        <v>3288</v>
      </c>
      <c r="E3585" s="138">
        <v>1.1479372197309417E-2</v>
      </c>
      <c r="F3585" s="153" t="s">
        <v>135</v>
      </c>
      <c r="G3585" s="153">
        <v>1</v>
      </c>
      <c r="H3585" s="133"/>
      <c r="I3585" s="133" t="s">
        <v>2893</v>
      </c>
      <c r="J3585" s="133" t="s">
        <v>2455</v>
      </c>
      <c r="K3585" s="133" t="s">
        <v>831</v>
      </c>
      <c r="L3585" s="167"/>
      <c r="M3585" s="169"/>
    </row>
    <row r="3586" spans="1:13" x14ac:dyDescent="0.55000000000000004">
      <c r="A3586" s="132" t="s">
        <v>2456</v>
      </c>
      <c r="B3586" s="133" t="s">
        <v>2894</v>
      </c>
      <c r="C3586" s="133" t="s">
        <v>156</v>
      </c>
      <c r="D3586" s="133" t="s">
        <v>3288</v>
      </c>
      <c r="E3586" s="138">
        <v>2.3206278026905829E-3</v>
      </c>
      <c r="F3586" s="153" t="s">
        <v>135</v>
      </c>
      <c r="G3586" s="153">
        <v>1</v>
      </c>
      <c r="H3586" s="133"/>
      <c r="I3586" s="133" t="s">
        <v>2893</v>
      </c>
      <c r="J3586" s="133" t="s">
        <v>2455</v>
      </c>
      <c r="K3586" s="133" t="s">
        <v>831</v>
      </c>
      <c r="L3586" s="167"/>
      <c r="M3586" s="169"/>
    </row>
    <row r="3587" spans="1:13" x14ac:dyDescent="0.55000000000000004">
      <c r="A3587" s="132" t="s">
        <v>2456</v>
      </c>
      <c r="B3587" s="133" t="s">
        <v>2895</v>
      </c>
      <c r="C3587" s="133" t="s">
        <v>156</v>
      </c>
      <c r="D3587" s="133" t="s">
        <v>3288</v>
      </c>
      <c r="E3587" s="138">
        <v>2.3662058023572081E-3</v>
      </c>
      <c r="F3587" s="153" t="s">
        <v>135</v>
      </c>
      <c r="G3587" s="153">
        <v>1</v>
      </c>
      <c r="H3587" s="133"/>
      <c r="I3587" s="133"/>
      <c r="J3587" s="133" t="s">
        <v>2455</v>
      </c>
      <c r="K3587" s="133" t="s">
        <v>831</v>
      </c>
      <c r="L3587" s="167"/>
      <c r="M3587" s="169"/>
    </row>
    <row r="3588" spans="1:13" x14ac:dyDescent="0.55000000000000004">
      <c r="A3588" s="132" t="s">
        <v>2456</v>
      </c>
      <c r="B3588" s="133" t="s">
        <v>2896</v>
      </c>
      <c r="C3588" s="133" t="s">
        <v>156</v>
      </c>
      <c r="D3588" s="133" t="s">
        <v>3288</v>
      </c>
      <c r="E3588" s="138">
        <v>9.4825475974614683E-3</v>
      </c>
      <c r="F3588" s="153" t="s">
        <v>135</v>
      </c>
      <c r="G3588" s="153">
        <v>1</v>
      </c>
      <c r="H3588" s="133"/>
      <c r="I3588" s="133"/>
      <c r="J3588" s="133" t="s">
        <v>2455</v>
      </c>
      <c r="K3588" s="133" t="s">
        <v>831</v>
      </c>
      <c r="L3588" s="167"/>
      <c r="M3588" s="169"/>
    </row>
    <row r="3589" spans="1:13" x14ac:dyDescent="0.55000000000000004">
      <c r="A3589" s="132" t="s">
        <v>2456</v>
      </c>
      <c r="B3589" s="133" t="s">
        <v>2897</v>
      </c>
      <c r="C3589" s="133" t="s">
        <v>156</v>
      </c>
      <c r="D3589" s="133" t="s">
        <v>3288</v>
      </c>
      <c r="E3589" s="138">
        <v>4.7412737987307342E-3</v>
      </c>
      <c r="F3589" s="153" t="s">
        <v>135</v>
      </c>
      <c r="G3589" s="153">
        <v>1</v>
      </c>
      <c r="H3589" s="133"/>
      <c r="I3589" s="133"/>
      <c r="J3589" s="133" t="s">
        <v>2455</v>
      </c>
      <c r="K3589" s="133" t="s">
        <v>831</v>
      </c>
      <c r="L3589" s="167"/>
      <c r="M3589" s="169"/>
    </row>
    <row r="3590" spans="1:13" x14ac:dyDescent="0.55000000000000004">
      <c r="A3590" s="132" t="s">
        <v>2456</v>
      </c>
      <c r="B3590" s="133" t="s">
        <v>2898</v>
      </c>
      <c r="C3590" s="133" t="s">
        <v>156</v>
      </c>
      <c r="D3590" s="133" t="s">
        <v>3288</v>
      </c>
      <c r="E3590" s="138">
        <v>2.3662058023572081E-3</v>
      </c>
      <c r="F3590" s="153" t="s">
        <v>135</v>
      </c>
      <c r="G3590" s="153">
        <v>1</v>
      </c>
      <c r="H3590" s="133"/>
      <c r="I3590" s="133"/>
      <c r="J3590" s="133" t="s">
        <v>2455</v>
      </c>
      <c r="K3590" s="133" t="s">
        <v>831</v>
      </c>
      <c r="L3590" s="167"/>
      <c r="M3590" s="169"/>
    </row>
    <row r="3591" spans="1:13" x14ac:dyDescent="0.55000000000000004">
      <c r="A3591" s="132" t="s">
        <v>2456</v>
      </c>
      <c r="B3591" s="133" t="s">
        <v>2899</v>
      </c>
      <c r="C3591" s="133" t="s">
        <v>156</v>
      </c>
      <c r="D3591" s="133" t="s">
        <v>3288</v>
      </c>
      <c r="E3591" s="138">
        <v>4.7412737987307342E-3</v>
      </c>
      <c r="F3591" s="153" t="s">
        <v>135</v>
      </c>
      <c r="G3591" s="153">
        <v>1</v>
      </c>
      <c r="H3591" s="133"/>
      <c r="I3591" s="133"/>
      <c r="J3591" s="133" t="s">
        <v>2455</v>
      </c>
      <c r="K3591" s="133" t="s">
        <v>831</v>
      </c>
      <c r="L3591" s="167"/>
      <c r="M3591" s="169"/>
    </row>
    <row r="3592" spans="1:13" x14ac:dyDescent="0.55000000000000004">
      <c r="A3592" s="132" t="s">
        <v>2456</v>
      </c>
      <c r="B3592" s="133" t="s">
        <v>2900</v>
      </c>
      <c r="C3592" s="133" t="s">
        <v>156</v>
      </c>
      <c r="D3592" s="133" t="s">
        <v>3288</v>
      </c>
      <c r="E3592" s="138">
        <v>9.4825475974614683E-3</v>
      </c>
      <c r="F3592" s="153" t="s">
        <v>135</v>
      </c>
      <c r="G3592" s="153">
        <v>1</v>
      </c>
      <c r="H3592" s="133"/>
      <c r="I3592" s="133"/>
      <c r="J3592" s="133" t="s">
        <v>2455</v>
      </c>
      <c r="K3592" s="133" t="s">
        <v>831</v>
      </c>
      <c r="L3592" s="167"/>
      <c r="M3592" s="169"/>
    </row>
    <row r="3593" spans="1:13" x14ac:dyDescent="0.55000000000000004">
      <c r="A3593" s="132" t="s">
        <v>2456</v>
      </c>
      <c r="B3593" s="133" t="s">
        <v>2901</v>
      </c>
      <c r="C3593" s="133" t="s">
        <v>156</v>
      </c>
      <c r="D3593" s="133" t="s">
        <v>3288</v>
      </c>
      <c r="E3593" s="138">
        <v>5.9199456029011789E-3</v>
      </c>
      <c r="F3593" s="153" t="s">
        <v>135</v>
      </c>
      <c r="G3593" s="153">
        <v>1</v>
      </c>
      <c r="H3593" s="133"/>
      <c r="I3593" s="133"/>
      <c r="J3593" s="133" t="s">
        <v>2455</v>
      </c>
      <c r="K3593" s="133" t="s">
        <v>831</v>
      </c>
      <c r="L3593" s="167"/>
      <c r="M3593" s="169"/>
    </row>
    <row r="3594" spans="1:13" x14ac:dyDescent="0.55000000000000004">
      <c r="A3594" s="132" t="s">
        <v>2456</v>
      </c>
      <c r="B3594" s="133" t="s">
        <v>2902</v>
      </c>
      <c r="C3594" s="133" t="s">
        <v>156</v>
      </c>
      <c r="D3594" s="133" t="s">
        <v>3288</v>
      </c>
      <c r="E3594" s="138">
        <v>3.9999999999999996E-4</v>
      </c>
      <c r="F3594" s="153" t="s">
        <v>135</v>
      </c>
      <c r="G3594" s="153">
        <v>1</v>
      </c>
      <c r="H3594" s="133"/>
      <c r="I3594" s="133"/>
      <c r="J3594" s="133" t="s">
        <v>2455</v>
      </c>
      <c r="K3594" s="133" t="s">
        <v>831</v>
      </c>
      <c r="L3594" s="167"/>
      <c r="M3594" s="169"/>
    </row>
    <row r="3595" spans="1:13" x14ac:dyDescent="0.55000000000000004">
      <c r="A3595" s="132" t="s">
        <v>2456</v>
      </c>
      <c r="B3595" s="133" t="s">
        <v>2903</v>
      </c>
      <c r="C3595" s="133" t="s">
        <v>156</v>
      </c>
      <c r="D3595" s="133" t="s">
        <v>3288</v>
      </c>
      <c r="E3595" s="138">
        <v>3.9999999999999996E-4</v>
      </c>
      <c r="F3595" s="153" t="s">
        <v>135</v>
      </c>
      <c r="G3595" s="153">
        <v>1</v>
      </c>
      <c r="H3595" s="133"/>
      <c r="I3595" s="133"/>
      <c r="J3595" s="133" t="s">
        <v>2455</v>
      </c>
      <c r="K3595" s="133" t="s">
        <v>831</v>
      </c>
      <c r="L3595" s="167"/>
      <c r="M3595" s="169"/>
    </row>
    <row r="3596" spans="1:13" x14ac:dyDescent="0.55000000000000004">
      <c r="A3596" s="132" t="s">
        <v>2456</v>
      </c>
      <c r="B3596" s="133" t="s">
        <v>2904</v>
      </c>
      <c r="C3596" s="133" t="s">
        <v>156</v>
      </c>
      <c r="D3596" s="133" t="s">
        <v>3288</v>
      </c>
      <c r="E3596" s="138">
        <v>3.9999999999999996E-4</v>
      </c>
      <c r="F3596" s="153" t="s">
        <v>135</v>
      </c>
      <c r="G3596" s="153">
        <v>1</v>
      </c>
      <c r="H3596" s="133"/>
      <c r="I3596" s="133"/>
      <c r="J3596" s="133" t="s">
        <v>2455</v>
      </c>
      <c r="K3596" s="133" t="s">
        <v>831</v>
      </c>
      <c r="L3596" s="167"/>
      <c r="M3596" s="169"/>
    </row>
    <row r="3597" spans="1:13" x14ac:dyDescent="0.55000000000000004">
      <c r="A3597" s="132" t="s">
        <v>2456</v>
      </c>
      <c r="B3597" s="133" t="s">
        <v>2905</v>
      </c>
      <c r="C3597" s="133" t="s">
        <v>156</v>
      </c>
      <c r="D3597" s="133" t="s">
        <v>3288</v>
      </c>
      <c r="E3597" s="138">
        <v>5.6027400000000005E-2</v>
      </c>
      <c r="F3597" s="153" t="s">
        <v>135</v>
      </c>
      <c r="G3597" s="153">
        <v>1</v>
      </c>
      <c r="H3597" s="133"/>
      <c r="I3597" s="133"/>
      <c r="J3597" s="133" t="s">
        <v>2455</v>
      </c>
      <c r="K3597" s="133" t="s">
        <v>831</v>
      </c>
      <c r="L3597" s="167"/>
      <c r="M3597" s="169"/>
    </row>
    <row r="3598" spans="1:13" x14ac:dyDescent="0.55000000000000004">
      <c r="A3598" s="132" t="s">
        <v>2456</v>
      </c>
      <c r="B3598" s="133" t="s">
        <v>2906</v>
      </c>
      <c r="C3598" s="133" t="s">
        <v>156</v>
      </c>
      <c r="D3598" s="133" t="s">
        <v>3288</v>
      </c>
      <c r="E3598" s="138">
        <v>1.1725999999999959E-3</v>
      </c>
      <c r="F3598" s="153" t="s">
        <v>135</v>
      </c>
      <c r="G3598" s="153">
        <v>1</v>
      </c>
      <c r="H3598" s="133"/>
      <c r="I3598" s="133"/>
      <c r="J3598" s="133" t="s">
        <v>2455</v>
      </c>
      <c r="K3598" s="133" t="s">
        <v>831</v>
      </c>
      <c r="L3598" s="167"/>
      <c r="M3598" s="169"/>
    </row>
    <row r="3599" spans="1:13" x14ac:dyDescent="0.55000000000000004">
      <c r="A3599" s="132" t="s">
        <v>2456</v>
      </c>
      <c r="B3599" s="133" t="s">
        <v>160</v>
      </c>
      <c r="C3599" s="133" t="s">
        <v>124</v>
      </c>
      <c r="D3599" s="133" t="s">
        <v>3288</v>
      </c>
      <c r="E3599" s="138">
        <v>6.8999999999999999E-3</v>
      </c>
      <c r="F3599" s="153" t="s">
        <v>135</v>
      </c>
      <c r="G3599" s="153">
        <v>1</v>
      </c>
      <c r="H3599" s="133"/>
      <c r="I3599" s="133"/>
      <c r="J3599" s="133" t="s">
        <v>2455</v>
      </c>
      <c r="K3599" s="133" t="s">
        <v>831</v>
      </c>
      <c r="L3599" s="167"/>
      <c r="M3599" s="169"/>
    </row>
    <row r="3600" spans="1:13" x14ac:dyDescent="0.55000000000000004">
      <c r="A3600" s="132" t="s">
        <v>2456</v>
      </c>
      <c r="B3600" s="133" t="s">
        <v>2880</v>
      </c>
      <c r="C3600" s="133" t="s">
        <v>124</v>
      </c>
      <c r="D3600" s="133" t="s">
        <v>3288</v>
      </c>
      <c r="E3600" s="138">
        <v>2.5899999999999999E-5</v>
      </c>
      <c r="F3600" s="153" t="s">
        <v>135</v>
      </c>
      <c r="G3600" s="153">
        <v>1</v>
      </c>
      <c r="H3600" s="133"/>
      <c r="I3600" s="133"/>
      <c r="J3600" s="133" t="s">
        <v>2455</v>
      </c>
      <c r="K3600" s="133" t="s">
        <v>831</v>
      </c>
      <c r="L3600" s="167"/>
      <c r="M3600" s="169"/>
    </row>
    <row r="3601" spans="1:13" x14ac:dyDescent="0.55000000000000004">
      <c r="A3601" s="132" t="s">
        <v>2456</v>
      </c>
      <c r="B3601" s="133" t="s">
        <v>2886</v>
      </c>
      <c r="C3601" s="133" t="s">
        <v>124</v>
      </c>
      <c r="D3601" s="133" t="s">
        <v>3288</v>
      </c>
      <c r="E3601" s="138">
        <v>8.9000000000000012E-6</v>
      </c>
      <c r="F3601" s="153" t="s">
        <v>135</v>
      </c>
      <c r="G3601" s="153">
        <v>1</v>
      </c>
      <c r="H3601" s="133"/>
      <c r="I3601" s="133"/>
      <c r="J3601" s="133" t="s">
        <v>2455</v>
      </c>
      <c r="K3601" s="133" t="s">
        <v>831</v>
      </c>
      <c r="L3601" s="167"/>
      <c r="M3601" s="169"/>
    </row>
    <row r="3602" spans="1:13" x14ac:dyDescent="0.55000000000000004">
      <c r="A3602" s="132" t="s">
        <v>2460</v>
      </c>
      <c r="B3602" s="133" t="s">
        <v>2907</v>
      </c>
      <c r="C3602" s="133" t="s">
        <v>121</v>
      </c>
      <c r="D3602" s="133" t="s">
        <v>2682</v>
      </c>
      <c r="E3602" s="138">
        <v>1</v>
      </c>
      <c r="F3602" s="153">
        <v>1</v>
      </c>
      <c r="G3602" s="153">
        <v>1</v>
      </c>
      <c r="H3602" s="133"/>
      <c r="I3602" s="133"/>
      <c r="J3602" s="133" t="s">
        <v>2459</v>
      </c>
      <c r="K3602" s="133" t="s">
        <v>831</v>
      </c>
      <c r="L3602" s="167"/>
      <c r="M3602" s="169"/>
    </row>
    <row r="3603" spans="1:13" x14ac:dyDescent="0.55000000000000004">
      <c r="A3603" s="132" t="s">
        <v>2460</v>
      </c>
      <c r="B3603" s="133" t="s">
        <v>2908</v>
      </c>
      <c r="C3603" s="133" t="s">
        <v>348</v>
      </c>
      <c r="D3603" s="133" t="s">
        <v>3288</v>
      </c>
      <c r="E3603" s="138">
        <v>1</v>
      </c>
      <c r="F3603" s="153" t="s">
        <v>135</v>
      </c>
      <c r="G3603" s="153">
        <v>1</v>
      </c>
      <c r="H3603" s="133"/>
      <c r="I3603" s="133"/>
      <c r="J3603" s="133" t="s">
        <v>2459</v>
      </c>
      <c r="K3603" s="133" t="s">
        <v>831</v>
      </c>
      <c r="L3603" s="167"/>
      <c r="M3603" s="169"/>
    </row>
    <row r="3604" spans="1:13" x14ac:dyDescent="0.55000000000000004">
      <c r="A3604" s="132" t="s">
        <v>2460</v>
      </c>
      <c r="B3604" s="133" t="s">
        <v>153</v>
      </c>
      <c r="C3604" s="133" t="s">
        <v>127</v>
      </c>
      <c r="D3604" s="133" t="s">
        <v>2994</v>
      </c>
      <c r="E3604" s="138">
        <v>439.6</v>
      </c>
      <c r="F3604" s="153" t="s">
        <v>130</v>
      </c>
      <c r="G3604" s="153">
        <v>1</v>
      </c>
      <c r="H3604" s="133"/>
      <c r="I3604" s="133"/>
      <c r="J3604" s="133" t="s">
        <v>2459</v>
      </c>
      <c r="K3604" s="133" t="s">
        <v>831</v>
      </c>
      <c r="L3604" s="167"/>
      <c r="M3604" s="169"/>
    </row>
    <row r="3605" spans="1:13" x14ac:dyDescent="0.55000000000000004">
      <c r="A3605" s="132" t="s">
        <v>2460</v>
      </c>
      <c r="B3605" s="133" t="s">
        <v>171</v>
      </c>
      <c r="C3605" s="133" t="s">
        <v>127</v>
      </c>
      <c r="D3605" s="133" t="s">
        <v>3289</v>
      </c>
      <c r="E3605" s="138">
        <v>91.92</v>
      </c>
      <c r="F3605" s="153" t="s">
        <v>133</v>
      </c>
      <c r="G3605" s="153">
        <v>1</v>
      </c>
      <c r="H3605" s="133"/>
      <c r="I3605" s="133"/>
      <c r="J3605" s="133" t="s">
        <v>2459</v>
      </c>
      <c r="K3605" s="133" t="s">
        <v>831</v>
      </c>
      <c r="L3605" s="167"/>
      <c r="M3605" s="169"/>
    </row>
    <row r="3606" spans="1:13" x14ac:dyDescent="0.55000000000000004">
      <c r="A3606" s="132" t="s">
        <v>2460</v>
      </c>
      <c r="B3606" s="133" t="s">
        <v>154</v>
      </c>
      <c r="C3606" s="133" t="s">
        <v>132</v>
      </c>
      <c r="D3606" s="133" t="s">
        <v>3289</v>
      </c>
      <c r="E3606" s="138">
        <v>2.77</v>
      </c>
      <c r="F3606" s="153" t="s">
        <v>133</v>
      </c>
      <c r="G3606" s="153">
        <v>1</v>
      </c>
      <c r="H3606" s="133"/>
      <c r="I3606" s="133"/>
      <c r="J3606" s="133" t="s">
        <v>2459</v>
      </c>
      <c r="K3606" s="133" t="s">
        <v>831</v>
      </c>
      <c r="L3606" s="167"/>
      <c r="M3606" s="169"/>
    </row>
    <row r="3607" spans="1:13" x14ac:dyDescent="0.55000000000000004">
      <c r="A3607" s="132" t="s">
        <v>2460</v>
      </c>
      <c r="B3607" s="133" t="s">
        <v>173</v>
      </c>
      <c r="C3607" s="133" t="s">
        <v>348</v>
      </c>
      <c r="D3607" s="133" t="s">
        <v>3288</v>
      </c>
      <c r="E3607" s="138">
        <v>7.7999999999999999E-4</v>
      </c>
      <c r="F3607" s="153" t="s">
        <v>135</v>
      </c>
      <c r="G3607" s="153">
        <v>1</v>
      </c>
      <c r="H3607" s="133"/>
      <c r="I3607" s="133"/>
      <c r="J3607" s="133" t="s">
        <v>2459</v>
      </c>
      <c r="K3607" s="133" t="s">
        <v>831</v>
      </c>
      <c r="L3607" s="167"/>
      <c r="M3607" s="169"/>
    </row>
    <row r="3608" spans="1:13" x14ac:dyDescent="0.55000000000000004">
      <c r="A3608" s="132" t="s">
        <v>2460</v>
      </c>
      <c r="B3608" s="133" t="s">
        <v>262</v>
      </c>
      <c r="C3608" s="133" t="s">
        <v>127</v>
      </c>
      <c r="D3608" s="133" t="s">
        <v>3288</v>
      </c>
      <c r="E3608" s="138">
        <v>1.8100000000000002E-2</v>
      </c>
      <c r="F3608" s="153" t="s">
        <v>135</v>
      </c>
      <c r="G3608" s="153">
        <v>1</v>
      </c>
      <c r="H3608" s="133"/>
      <c r="I3608" s="133"/>
      <c r="J3608" s="133" t="s">
        <v>2459</v>
      </c>
      <c r="K3608" s="133" t="s">
        <v>831</v>
      </c>
      <c r="L3608" s="167"/>
      <c r="M3608" s="169"/>
    </row>
    <row r="3609" spans="1:13" x14ac:dyDescent="0.55000000000000004">
      <c r="A3609" s="132" t="s">
        <v>2460</v>
      </c>
      <c r="B3609" s="133" t="s">
        <v>2909</v>
      </c>
      <c r="C3609" s="133" t="s">
        <v>156</v>
      </c>
      <c r="D3609" s="133" t="s">
        <v>3288</v>
      </c>
      <c r="E3609" s="138">
        <v>0.12</v>
      </c>
      <c r="F3609" s="153" t="s">
        <v>135</v>
      </c>
      <c r="G3609" s="153">
        <v>1</v>
      </c>
      <c r="H3609" s="133"/>
      <c r="I3609" s="133"/>
      <c r="J3609" s="133" t="s">
        <v>2459</v>
      </c>
      <c r="K3609" s="133" t="s">
        <v>831</v>
      </c>
      <c r="L3609" s="167"/>
      <c r="M3609" s="169"/>
    </row>
    <row r="3610" spans="1:13" x14ac:dyDescent="0.55000000000000004">
      <c r="A3610" s="132" t="s">
        <v>2460</v>
      </c>
      <c r="B3610" s="133" t="s">
        <v>2910</v>
      </c>
      <c r="C3610" s="133" t="s">
        <v>156</v>
      </c>
      <c r="D3610" s="133" t="s">
        <v>3288</v>
      </c>
      <c r="E3610" s="138">
        <v>0.38</v>
      </c>
      <c r="F3610" s="153" t="s">
        <v>135</v>
      </c>
      <c r="G3610" s="153">
        <v>1</v>
      </c>
      <c r="H3610" s="133"/>
      <c r="I3610" s="133"/>
      <c r="J3610" s="133" t="s">
        <v>2459</v>
      </c>
      <c r="K3610" s="133" t="s">
        <v>831</v>
      </c>
      <c r="L3610" s="167"/>
      <c r="M3610" s="169"/>
    </row>
    <row r="3611" spans="1:13" x14ac:dyDescent="0.55000000000000004">
      <c r="A3611" s="132" t="s">
        <v>2460</v>
      </c>
      <c r="B3611" s="133" t="s">
        <v>508</v>
      </c>
      <c r="C3611" s="133" t="s">
        <v>156</v>
      </c>
      <c r="D3611" s="133" t="s">
        <v>3288</v>
      </c>
      <c r="E3611" s="138">
        <v>0.15</v>
      </c>
      <c r="F3611" s="153" t="s">
        <v>135</v>
      </c>
      <c r="G3611" s="153">
        <v>1</v>
      </c>
      <c r="H3611" s="133"/>
      <c r="I3611" s="133"/>
      <c r="J3611" s="133" t="s">
        <v>2459</v>
      </c>
      <c r="K3611" s="133" t="s">
        <v>831</v>
      </c>
      <c r="L3611" s="167"/>
      <c r="M3611" s="169"/>
    </row>
    <row r="3612" spans="1:13" x14ac:dyDescent="0.55000000000000004">
      <c r="A3612" s="132" t="s">
        <v>2460</v>
      </c>
      <c r="B3612" s="133" t="s">
        <v>2911</v>
      </c>
      <c r="C3612" s="133" t="s">
        <v>156</v>
      </c>
      <c r="D3612" s="133" t="s">
        <v>3288</v>
      </c>
      <c r="E3612" s="138">
        <v>0.20200000000000001</v>
      </c>
      <c r="F3612" s="153" t="s">
        <v>135</v>
      </c>
      <c r="G3612" s="153">
        <v>1</v>
      </c>
      <c r="H3612" s="133"/>
      <c r="I3612" s="133"/>
      <c r="J3612" s="133" t="s">
        <v>2459</v>
      </c>
      <c r="K3612" s="133" t="s">
        <v>831</v>
      </c>
      <c r="L3612" s="167"/>
      <c r="M3612" s="169"/>
    </row>
    <row r="3613" spans="1:13" x14ac:dyDescent="0.55000000000000004">
      <c r="A3613" s="132" t="s">
        <v>2460</v>
      </c>
      <c r="B3613" s="133" t="s">
        <v>2912</v>
      </c>
      <c r="C3613" s="133" t="s">
        <v>156</v>
      </c>
      <c r="D3613" s="133" t="s">
        <v>3288</v>
      </c>
      <c r="E3613" s="138">
        <v>6.8000000000000005E-2</v>
      </c>
      <c r="F3613" s="153" t="s">
        <v>135</v>
      </c>
      <c r="G3613" s="153">
        <v>1</v>
      </c>
      <c r="H3613" s="133"/>
      <c r="I3613" s="133"/>
      <c r="J3613" s="133" t="s">
        <v>2459</v>
      </c>
      <c r="K3613" s="133" t="s">
        <v>831</v>
      </c>
      <c r="L3613" s="167"/>
      <c r="M3613" s="169"/>
    </row>
    <row r="3614" spans="1:13" x14ac:dyDescent="0.55000000000000004">
      <c r="A3614" s="132" t="s">
        <v>2465</v>
      </c>
      <c r="B3614" s="133" t="s">
        <v>2907</v>
      </c>
      <c r="C3614" s="133" t="s">
        <v>121</v>
      </c>
      <c r="D3614" s="133" t="s">
        <v>2682</v>
      </c>
      <c r="E3614" s="138">
        <v>1</v>
      </c>
      <c r="F3614" s="153">
        <v>1</v>
      </c>
      <c r="G3614" s="153">
        <v>1</v>
      </c>
      <c r="H3614" s="133"/>
      <c r="I3614" s="133"/>
      <c r="J3614" s="133" t="s">
        <v>2464</v>
      </c>
      <c r="K3614" s="133" t="s">
        <v>831</v>
      </c>
      <c r="L3614" s="167"/>
      <c r="M3614" s="169"/>
    </row>
    <row r="3615" spans="1:13" x14ac:dyDescent="0.55000000000000004">
      <c r="A3615" s="132" t="s">
        <v>2465</v>
      </c>
      <c r="B3615" s="133" t="s">
        <v>2908</v>
      </c>
      <c r="C3615" s="133" t="s">
        <v>348</v>
      </c>
      <c r="D3615" s="133" t="s">
        <v>3288</v>
      </c>
      <c r="E3615" s="138">
        <v>1</v>
      </c>
      <c r="F3615" s="153" t="s">
        <v>135</v>
      </c>
      <c r="G3615" s="153">
        <v>1</v>
      </c>
      <c r="H3615" s="133"/>
      <c r="I3615" s="133"/>
      <c r="J3615" s="133" t="s">
        <v>2464</v>
      </c>
      <c r="K3615" s="133" t="s">
        <v>831</v>
      </c>
      <c r="L3615" s="167"/>
      <c r="M3615" s="169"/>
    </row>
    <row r="3616" spans="1:13" x14ac:dyDescent="0.55000000000000004">
      <c r="A3616" s="132" t="s">
        <v>2465</v>
      </c>
      <c r="B3616" s="133" t="s">
        <v>153</v>
      </c>
      <c r="C3616" s="133" t="s">
        <v>127</v>
      </c>
      <c r="D3616" s="133" t="s">
        <v>2994</v>
      </c>
      <c r="E3616" s="138">
        <v>280</v>
      </c>
      <c r="F3616" s="153" t="s">
        <v>130</v>
      </c>
      <c r="G3616" s="153">
        <v>1</v>
      </c>
      <c r="H3616" s="133"/>
      <c r="I3616" s="133"/>
      <c r="J3616" s="133" t="s">
        <v>2464</v>
      </c>
      <c r="K3616" s="133" t="s">
        <v>831</v>
      </c>
      <c r="L3616" s="167"/>
      <c r="M3616" s="169"/>
    </row>
    <row r="3617" spans="1:13" x14ac:dyDescent="0.55000000000000004">
      <c r="A3617" s="132" t="s">
        <v>2465</v>
      </c>
      <c r="B3617" s="133" t="s">
        <v>154</v>
      </c>
      <c r="C3617" s="133" t="s">
        <v>132</v>
      </c>
      <c r="D3617" s="133" t="s">
        <v>3289</v>
      </c>
      <c r="E3617" s="138">
        <v>0.8</v>
      </c>
      <c r="F3617" s="153" t="s">
        <v>133</v>
      </c>
      <c r="G3617" s="153">
        <v>1</v>
      </c>
      <c r="H3617" s="133"/>
      <c r="I3617" s="133"/>
      <c r="J3617" s="133" t="s">
        <v>2464</v>
      </c>
      <c r="K3617" s="133" t="s">
        <v>831</v>
      </c>
      <c r="L3617" s="167"/>
      <c r="M3617" s="169"/>
    </row>
    <row r="3618" spans="1:13" x14ac:dyDescent="0.55000000000000004">
      <c r="A3618" s="132" t="s">
        <v>2465</v>
      </c>
      <c r="B3618" s="133" t="s">
        <v>2909</v>
      </c>
      <c r="C3618" s="133" t="s">
        <v>156</v>
      </c>
      <c r="D3618" s="133" t="s">
        <v>3288</v>
      </c>
      <c r="E3618" s="138">
        <v>0.12</v>
      </c>
      <c r="F3618" s="153" t="s">
        <v>135</v>
      </c>
      <c r="G3618" s="153">
        <v>1</v>
      </c>
      <c r="H3618" s="133"/>
      <c r="I3618" s="133"/>
      <c r="J3618" s="133" t="s">
        <v>2464</v>
      </c>
      <c r="K3618" s="133" t="s">
        <v>831</v>
      </c>
      <c r="L3618" s="167"/>
      <c r="M3618" s="169"/>
    </row>
    <row r="3619" spans="1:13" x14ac:dyDescent="0.55000000000000004">
      <c r="A3619" s="132" t="s">
        <v>2465</v>
      </c>
      <c r="B3619" s="133" t="s">
        <v>2913</v>
      </c>
      <c r="C3619" s="133" t="s">
        <v>156</v>
      </c>
      <c r="D3619" s="133" t="s">
        <v>3288</v>
      </c>
      <c r="E3619" s="138">
        <v>0.38</v>
      </c>
      <c r="F3619" s="153" t="s">
        <v>135</v>
      </c>
      <c r="G3619" s="153">
        <v>1</v>
      </c>
      <c r="H3619" s="133"/>
      <c r="I3619" s="133"/>
      <c r="J3619" s="133" t="s">
        <v>2464</v>
      </c>
      <c r="K3619" s="133" t="s">
        <v>831</v>
      </c>
      <c r="L3619" s="167"/>
      <c r="M3619" s="169"/>
    </row>
    <row r="3620" spans="1:13" x14ac:dyDescent="0.55000000000000004">
      <c r="A3620" s="132" t="s">
        <v>2465</v>
      </c>
      <c r="B3620" s="133" t="s">
        <v>505</v>
      </c>
      <c r="C3620" s="133" t="s">
        <v>156</v>
      </c>
      <c r="D3620" s="133" t="s">
        <v>3288</v>
      </c>
      <c r="E3620" s="138">
        <v>0.42</v>
      </c>
      <c r="F3620" s="153" t="s">
        <v>135</v>
      </c>
      <c r="G3620" s="153">
        <v>1</v>
      </c>
      <c r="H3620" s="133"/>
      <c r="I3620" s="133"/>
      <c r="J3620" s="133" t="s">
        <v>2464</v>
      </c>
      <c r="K3620" s="133" t="s">
        <v>831</v>
      </c>
      <c r="L3620" s="167"/>
      <c r="M3620" s="169"/>
    </row>
    <row r="3621" spans="1:13" x14ac:dyDescent="0.55000000000000004">
      <c r="A3621" s="132" t="s">
        <v>2468</v>
      </c>
      <c r="B3621" s="133" t="s">
        <v>2907</v>
      </c>
      <c r="C3621" s="133" t="s">
        <v>121</v>
      </c>
      <c r="D3621" s="133" t="s">
        <v>2682</v>
      </c>
      <c r="E3621" s="138">
        <v>1</v>
      </c>
      <c r="F3621" s="153">
        <v>1</v>
      </c>
      <c r="G3621" s="153">
        <v>1</v>
      </c>
      <c r="H3621" s="133"/>
      <c r="I3621" s="133"/>
      <c r="J3621" s="133" t="s">
        <v>2467</v>
      </c>
      <c r="K3621" s="133" t="s">
        <v>831</v>
      </c>
      <c r="L3621" s="167"/>
      <c r="M3621" s="169"/>
    </row>
    <row r="3622" spans="1:13" x14ac:dyDescent="0.55000000000000004">
      <c r="A3622" s="132" t="s">
        <v>2468</v>
      </c>
      <c r="B3622" s="133" t="s">
        <v>2908</v>
      </c>
      <c r="C3622" s="133" t="s">
        <v>348</v>
      </c>
      <c r="D3622" s="133" t="s">
        <v>3288</v>
      </c>
      <c r="E3622" s="138">
        <v>1</v>
      </c>
      <c r="F3622" s="153" t="s">
        <v>135</v>
      </c>
      <c r="G3622" s="153">
        <v>1</v>
      </c>
      <c r="H3622" s="133"/>
      <c r="I3622" s="133"/>
      <c r="J3622" s="133" t="s">
        <v>2467</v>
      </c>
      <c r="K3622" s="133" t="s">
        <v>831</v>
      </c>
      <c r="L3622" s="167"/>
      <c r="M3622" s="169"/>
    </row>
    <row r="3623" spans="1:13" x14ac:dyDescent="0.55000000000000004">
      <c r="A3623" s="132" t="s">
        <v>2468</v>
      </c>
      <c r="B3623" s="133" t="s">
        <v>153</v>
      </c>
      <c r="C3623" s="133" t="s">
        <v>127</v>
      </c>
      <c r="D3623" s="133" t="s">
        <v>2994</v>
      </c>
      <c r="E3623" s="138">
        <v>390</v>
      </c>
      <c r="F3623" s="153" t="s">
        <v>130</v>
      </c>
      <c r="G3623" s="153">
        <v>1</v>
      </c>
      <c r="H3623" s="133"/>
      <c r="I3623" s="133"/>
      <c r="J3623" s="133" t="s">
        <v>2467</v>
      </c>
      <c r="K3623" s="133" t="s">
        <v>831</v>
      </c>
      <c r="L3623" s="167"/>
      <c r="M3623" s="169"/>
    </row>
    <row r="3624" spans="1:13" x14ac:dyDescent="0.55000000000000004">
      <c r="A3624" s="132" t="s">
        <v>2468</v>
      </c>
      <c r="B3624" s="133" t="s">
        <v>2914</v>
      </c>
      <c r="C3624" s="133" t="s">
        <v>156</v>
      </c>
      <c r="D3624" s="133" t="s">
        <v>3288</v>
      </c>
      <c r="E3624" s="138">
        <v>0.25</v>
      </c>
      <c r="F3624" s="153" t="s">
        <v>135</v>
      </c>
      <c r="G3624" s="153">
        <v>1</v>
      </c>
      <c r="H3624" s="133"/>
      <c r="I3624" s="133" t="s">
        <v>2915</v>
      </c>
      <c r="J3624" s="133" t="s">
        <v>2467</v>
      </c>
      <c r="K3624" s="133" t="s">
        <v>831</v>
      </c>
      <c r="L3624" s="167"/>
      <c r="M3624" s="169"/>
    </row>
    <row r="3625" spans="1:13" x14ac:dyDescent="0.55000000000000004">
      <c r="A3625" s="132" t="s">
        <v>2468</v>
      </c>
      <c r="B3625" s="133" t="s">
        <v>2916</v>
      </c>
      <c r="C3625" s="133" t="s">
        <v>156</v>
      </c>
      <c r="D3625" s="133" t="s">
        <v>3288</v>
      </c>
      <c r="E3625" s="138">
        <v>0.65</v>
      </c>
      <c r="F3625" s="153" t="s">
        <v>135</v>
      </c>
      <c r="G3625" s="153">
        <v>1</v>
      </c>
      <c r="H3625" s="133"/>
      <c r="I3625" s="133" t="s">
        <v>2917</v>
      </c>
      <c r="J3625" s="133" t="s">
        <v>2467</v>
      </c>
      <c r="K3625" s="133" t="s">
        <v>831</v>
      </c>
      <c r="L3625" s="167"/>
      <c r="M3625" s="169"/>
    </row>
    <row r="3626" spans="1:13" x14ac:dyDescent="0.55000000000000004">
      <c r="A3626" s="132" t="s">
        <v>2472</v>
      </c>
      <c r="B3626" s="133" t="s">
        <v>2907</v>
      </c>
      <c r="C3626" s="133" t="s">
        <v>121</v>
      </c>
      <c r="D3626" s="133" t="s">
        <v>2682</v>
      </c>
      <c r="E3626" s="138">
        <v>1</v>
      </c>
      <c r="F3626" s="153">
        <v>1</v>
      </c>
      <c r="G3626" s="153">
        <v>1</v>
      </c>
      <c r="H3626" s="133" t="s">
        <v>39</v>
      </c>
      <c r="I3626" s="133"/>
      <c r="J3626" s="133" t="s">
        <v>2471</v>
      </c>
      <c r="K3626" s="133" t="s">
        <v>831</v>
      </c>
      <c r="L3626" s="167"/>
      <c r="M3626" s="169"/>
    </row>
    <row r="3627" spans="1:13" x14ac:dyDescent="0.55000000000000004">
      <c r="A3627" s="132" t="s">
        <v>2472</v>
      </c>
      <c r="B3627" s="133" t="s">
        <v>2908</v>
      </c>
      <c r="C3627" s="133" t="s">
        <v>348</v>
      </c>
      <c r="D3627" s="133" t="s">
        <v>3288</v>
      </c>
      <c r="E3627" s="138">
        <v>1</v>
      </c>
      <c r="F3627" s="153" t="s">
        <v>135</v>
      </c>
      <c r="G3627" s="153">
        <v>1</v>
      </c>
      <c r="H3627" s="133" t="s">
        <v>39</v>
      </c>
      <c r="I3627" s="133"/>
      <c r="J3627" s="133" t="s">
        <v>2471</v>
      </c>
      <c r="K3627" s="133" t="s">
        <v>831</v>
      </c>
      <c r="L3627" s="167"/>
      <c r="M3627" s="169"/>
    </row>
    <row r="3628" spans="1:13" x14ac:dyDescent="0.55000000000000004">
      <c r="A3628" s="132" t="s">
        <v>2472</v>
      </c>
      <c r="B3628" s="133" t="s">
        <v>153</v>
      </c>
      <c r="C3628" s="133" t="s">
        <v>127</v>
      </c>
      <c r="D3628" s="133" t="s">
        <v>2994</v>
      </c>
      <c r="E3628" s="138">
        <v>800</v>
      </c>
      <c r="F3628" s="153" t="s">
        <v>130</v>
      </c>
      <c r="G3628" s="153">
        <v>1</v>
      </c>
      <c r="H3628" s="133" t="s">
        <v>39</v>
      </c>
      <c r="I3628" s="133"/>
      <c r="J3628" s="133" t="s">
        <v>2471</v>
      </c>
      <c r="K3628" s="133" t="s">
        <v>831</v>
      </c>
      <c r="L3628" s="167"/>
      <c r="M3628" s="169"/>
    </row>
    <row r="3629" spans="1:13" x14ac:dyDescent="0.55000000000000004">
      <c r="A3629" s="132" t="s">
        <v>2472</v>
      </c>
      <c r="B3629" s="133" t="s">
        <v>262</v>
      </c>
      <c r="C3629" s="133" t="s">
        <v>127</v>
      </c>
      <c r="D3629" s="133" t="s">
        <v>3288</v>
      </c>
      <c r="E3629" s="138">
        <v>0.08</v>
      </c>
      <c r="F3629" s="153" t="s">
        <v>135</v>
      </c>
      <c r="G3629" s="153">
        <v>1</v>
      </c>
      <c r="H3629" s="133" t="s">
        <v>39</v>
      </c>
      <c r="I3629" s="133"/>
      <c r="J3629" s="133" t="s">
        <v>2471</v>
      </c>
      <c r="K3629" s="133" t="s">
        <v>831</v>
      </c>
      <c r="L3629" s="167"/>
      <c r="M3629" s="169"/>
    </row>
    <row r="3630" spans="1:13" x14ac:dyDescent="0.55000000000000004">
      <c r="A3630" s="132" t="s">
        <v>2472</v>
      </c>
      <c r="B3630" s="133" t="s">
        <v>2914</v>
      </c>
      <c r="C3630" s="133" t="s">
        <v>156</v>
      </c>
      <c r="D3630" s="133" t="s">
        <v>3288</v>
      </c>
      <c r="E3630" s="138">
        <v>0.23</v>
      </c>
      <c r="F3630" s="153" t="s">
        <v>135</v>
      </c>
      <c r="G3630" s="153">
        <v>1</v>
      </c>
      <c r="H3630" s="133" t="s">
        <v>39</v>
      </c>
      <c r="I3630" s="133" t="s">
        <v>2918</v>
      </c>
      <c r="J3630" s="133" t="s">
        <v>2471</v>
      </c>
      <c r="K3630" s="133" t="s">
        <v>831</v>
      </c>
      <c r="L3630" s="167"/>
      <c r="M3630" s="169"/>
    </row>
    <row r="3631" spans="1:13" x14ac:dyDescent="0.55000000000000004">
      <c r="A3631" s="132" t="s">
        <v>2472</v>
      </c>
      <c r="B3631" s="133" t="s">
        <v>2919</v>
      </c>
      <c r="C3631" s="133" t="s">
        <v>156</v>
      </c>
      <c r="D3631" s="133" t="s">
        <v>3288</v>
      </c>
      <c r="E3631" s="138">
        <v>0.65</v>
      </c>
      <c r="F3631" s="153" t="s">
        <v>135</v>
      </c>
      <c r="G3631" s="153">
        <v>1</v>
      </c>
      <c r="H3631" s="133" t="s">
        <v>39</v>
      </c>
      <c r="I3631" s="133" t="s">
        <v>2920</v>
      </c>
      <c r="J3631" s="133" t="s">
        <v>2471</v>
      </c>
      <c r="K3631" s="133" t="s">
        <v>831</v>
      </c>
      <c r="L3631" s="167"/>
      <c r="M3631" s="169"/>
    </row>
    <row r="3632" spans="1:13" x14ac:dyDescent="0.55000000000000004">
      <c r="A3632" s="132" t="s">
        <v>2472</v>
      </c>
      <c r="B3632" s="133" t="s">
        <v>160</v>
      </c>
      <c r="C3632" s="133" t="s">
        <v>497</v>
      </c>
      <c r="D3632" s="133" t="s">
        <v>3288</v>
      </c>
      <c r="E3632" s="138">
        <v>0.17</v>
      </c>
      <c r="F3632" s="153" t="s">
        <v>135</v>
      </c>
      <c r="G3632" s="153">
        <v>1</v>
      </c>
      <c r="H3632" s="133" t="s">
        <v>39</v>
      </c>
      <c r="I3632" s="133"/>
      <c r="J3632" s="133" t="s">
        <v>2471</v>
      </c>
      <c r="K3632" s="133" t="s">
        <v>831</v>
      </c>
      <c r="L3632" s="167"/>
      <c r="M3632" s="169"/>
    </row>
    <row r="3633" spans="1:13" x14ac:dyDescent="0.55000000000000004">
      <c r="A3633" s="132" t="s">
        <v>2472</v>
      </c>
      <c r="B3633" s="133" t="s">
        <v>2874</v>
      </c>
      <c r="C3633" s="133" t="s">
        <v>497</v>
      </c>
      <c r="D3633" s="133" t="s">
        <v>3288</v>
      </c>
      <c r="E3633" s="138">
        <v>2.0999999999999998E-4</v>
      </c>
      <c r="F3633" s="153" t="s">
        <v>135</v>
      </c>
      <c r="G3633" s="153">
        <v>1</v>
      </c>
      <c r="H3633" s="133" t="s">
        <v>39</v>
      </c>
      <c r="I3633" s="133"/>
      <c r="J3633" s="133" t="s">
        <v>2471</v>
      </c>
      <c r="K3633" s="133" t="s">
        <v>831</v>
      </c>
      <c r="L3633" s="167"/>
      <c r="M3633" s="169"/>
    </row>
    <row r="3634" spans="1:13" x14ac:dyDescent="0.55000000000000004">
      <c r="A3634" s="132" t="s">
        <v>2472</v>
      </c>
      <c r="B3634" s="133" t="s">
        <v>2880</v>
      </c>
      <c r="C3634" s="133" t="s">
        <v>497</v>
      </c>
      <c r="D3634" s="133" t="s">
        <v>3288</v>
      </c>
      <c r="E3634" s="138">
        <v>7.1999999999999994E-4</v>
      </c>
      <c r="F3634" s="153" t="s">
        <v>135</v>
      </c>
      <c r="G3634" s="153">
        <v>1</v>
      </c>
      <c r="H3634" s="133" t="s">
        <v>39</v>
      </c>
      <c r="I3634" s="133"/>
      <c r="J3634" s="133" t="s">
        <v>2471</v>
      </c>
      <c r="K3634" s="133" t="s">
        <v>831</v>
      </c>
      <c r="L3634" s="167"/>
      <c r="M3634" s="169"/>
    </row>
    <row r="3635" spans="1:13" x14ac:dyDescent="0.55000000000000004">
      <c r="A3635" s="132" t="s">
        <v>2472</v>
      </c>
      <c r="B3635" s="133" t="s">
        <v>2790</v>
      </c>
      <c r="C3635" s="133" t="s">
        <v>497</v>
      </c>
      <c r="D3635" s="133" t="s">
        <v>3288</v>
      </c>
      <c r="E3635" s="138">
        <v>3.8500000000000003E-4</v>
      </c>
      <c r="F3635" s="153" t="s">
        <v>135</v>
      </c>
      <c r="G3635" s="153">
        <v>1</v>
      </c>
      <c r="H3635" s="133" t="s">
        <v>39</v>
      </c>
      <c r="I3635" s="133"/>
      <c r="J3635" s="133" t="s">
        <v>2471</v>
      </c>
      <c r="K3635" s="133" t="s">
        <v>831</v>
      </c>
      <c r="L3635" s="167"/>
      <c r="M3635" s="169"/>
    </row>
    <row r="3636" spans="1:13" x14ac:dyDescent="0.55000000000000004">
      <c r="A3636" s="132" t="s">
        <v>2472</v>
      </c>
      <c r="B3636" s="133" t="s">
        <v>1162</v>
      </c>
      <c r="C3636" s="133" t="s">
        <v>497</v>
      </c>
      <c r="D3636" s="133" t="s">
        <v>3288</v>
      </c>
      <c r="E3636" s="138">
        <v>3.5200000000000002E-5</v>
      </c>
      <c r="F3636" s="153" t="s">
        <v>135</v>
      </c>
      <c r="G3636" s="153">
        <v>1</v>
      </c>
      <c r="H3636" s="133" t="s">
        <v>39</v>
      </c>
      <c r="I3636" s="133"/>
      <c r="J3636" s="133" t="s">
        <v>2471</v>
      </c>
      <c r="K3636" s="133" t="s">
        <v>831</v>
      </c>
      <c r="L3636" s="167"/>
      <c r="M3636" s="169"/>
    </row>
    <row r="3637" spans="1:13" x14ac:dyDescent="0.55000000000000004">
      <c r="A3637" s="132" t="s">
        <v>2472</v>
      </c>
      <c r="B3637" s="133" t="s">
        <v>2921</v>
      </c>
      <c r="C3637" s="133" t="s">
        <v>497</v>
      </c>
      <c r="D3637" s="133" t="s">
        <v>3288</v>
      </c>
      <c r="E3637" s="138">
        <v>7.7499999999999997E-4</v>
      </c>
      <c r="F3637" s="153" t="s">
        <v>135</v>
      </c>
      <c r="G3637" s="153">
        <v>1</v>
      </c>
      <c r="H3637" s="133" t="s">
        <v>39</v>
      </c>
      <c r="I3637" s="133"/>
      <c r="J3637" s="133" t="s">
        <v>2471</v>
      </c>
      <c r="K3637" s="133" t="s">
        <v>831</v>
      </c>
      <c r="L3637" s="167"/>
      <c r="M3637" s="169"/>
    </row>
    <row r="3638" spans="1:13" x14ac:dyDescent="0.55000000000000004">
      <c r="A3638" s="132" t="s">
        <v>2472</v>
      </c>
      <c r="B3638" s="133" t="s">
        <v>2922</v>
      </c>
      <c r="C3638" s="133" t="s">
        <v>497</v>
      </c>
      <c r="D3638" s="133" t="s">
        <v>3288</v>
      </c>
      <c r="E3638" s="138">
        <v>17900</v>
      </c>
      <c r="F3638" s="153" t="s">
        <v>135</v>
      </c>
      <c r="G3638" s="153">
        <v>1</v>
      </c>
      <c r="H3638" s="133" t="s">
        <v>39</v>
      </c>
      <c r="I3638" s="133"/>
      <c r="J3638" s="133" t="s">
        <v>2471</v>
      </c>
      <c r="K3638" s="133" t="s">
        <v>831</v>
      </c>
      <c r="L3638" s="167"/>
      <c r="M3638" s="169"/>
    </row>
    <row r="3639" spans="1:13" x14ac:dyDescent="0.55000000000000004">
      <c r="A3639" s="132" t="s">
        <v>2472</v>
      </c>
      <c r="B3639" s="133" t="s">
        <v>2923</v>
      </c>
      <c r="C3639" s="133" t="s">
        <v>497</v>
      </c>
      <c r="D3639" s="133" t="s">
        <v>3288</v>
      </c>
      <c r="E3639" s="138">
        <v>3.5099999999999997E-4</v>
      </c>
      <c r="F3639" s="153" t="s">
        <v>135</v>
      </c>
      <c r="G3639" s="153">
        <v>1</v>
      </c>
      <c r="H3639" s="133" t="s">
        <v>39</v>
      </c>
      <c r="I3639" s="133"/>
      <c r="J3639" s="133" t="s">
        <v>2471</v>
      </c>
      <c r="K3639" s="133" t="s">
        <v>831</v>
      </c>
      <c r="L3639" s="167"/>
      <c r="M3639" s="169"/>
    </row>
    <row r="3640" spans="1:13" x14ac:dyDescent="0.55000000000000004">
      <c r="A3640" s="132" t="s">
        <v>2472</v>
      </c>
      <c r="B3640" s="133" t="s">
        <v>2924</v>
      </c>
      <c r="C3640" s="133" t="s">
        <v>497</v>
      </c>
      <c r="D3640" s="133" t="s">
        <v>3288</v>
      </c>
      <c r="E3640" s="138">
        <v>4.4299999999999998E-9</v>
      </c>
      <c r="F3640" s="153" t="s">
        <v>135</v>
      </c>
      <c r="G3640" s="153">
        <v>1</v>
      </c>
      <c r="H3640" s="133" t="s">
        <v>39</v>
      </c>
      <c r="I3640" s="133"/>
      <c r="J3640" s="133" t="s">
        <v>2471</v>
      </c>
      <c r="K3640" s="133" t="s">
        <v>831</v>
      </c>
      <c r="L3640" s="167"/>
      <c r="M3640" s="169"/>
    </row>
    <row r="3641" spans="1:13" x14ac:dyDescent="0.55000000000000004">
      <c r="A3641" s="132" t="s">
        <v>2472</v>
      </c>
      <c r="B3641" s="133" t="s">
        <v>2925</v>
      </c>
      <c r="C3641" s="133" t="s">
        <v>497</v>
      </c>
      <c r="D3641" s="133" t="s">
        <v>3288</v>
      </c>
      <c r="E3641" s="138">
        <v>1.15E-10</v>
      </c>
      <c r="F3641" s="153" t="s">
        <v>135</v>
      </c>
      <c r="G3641" s="153">
        <v>1</v>
      </c>
      <c r="H3641" s="133" t="s">
        <v>39</v>
      </c>
      <c r="I3641" s="133"/>
      <c r="J3641" s="133" t="s">
        <v>2471</v>
      </c>
      <c r="K3641" s="133" t="s">
        <v>831</v>
      </c>
      <c r="L3641" s="167"/>
      <c r="M3641" s="169"/>
    </row>
    <row r="3642" spans="1:13" x14ac:dyDescent="0.55000000000000004">
      <c r="A3642" s="132" t="s">
        <v>2472</v>
      </c>
      <c r="B3642" s="133" t="s">
        <v>2926</v>
      </c>
      <c r="C3642" s="133" t="s">
        <v>497</v>
      </c>
      <c r="D3642" s="133" t="s">
        <v>3288</v>
      </c>
      <c r="E3642" s="138">
        <v>1.15E-9</v>
      </c>
      <c r="F3642" s="153" t="s">
        <v>135</v>
      </c>
      <c r="G3642" s="153">
        <v>1</v>
      </c>
      <c r="H3642" s="133" t="s">
        <v>39</v>
      </c>
      <c r="I3642" s="133"/>
      <c r="J3642" s="133" t="s">
        <v>2471</v>
      </c>
      <c r="K3642" s="133" t="s">
        <v>831</v>
      </c>
      <c r="L3642" s="167"/>
      <c r="M3642" s="169"/>
    </row>
    <row r="3643" spans="1:13" x14ac:dyDescent="0.55000000000000004">
      <c r="A3643" s="132" t="s">
        <v>2472</v>
      </c>
      <c r="B3643" s="133" t="s">
        <v>2927</v>
      </c>
      <c r="C3643" s="133" t="s">
        <v>497</v>
      </c>
      <c r="D3643" s="133" t="s">
        <v>3288</v>
      </c>
      <c r="E3643" s="138">
        <v>4.9899999999999995E-9</v>
      </c>
      <c r="F3643" s="153" t="s">
        <v>135</v>
      </c>
      <c r="G3643" s="153">
        <v>1</v>
      </c>
      <c r="H3643" s="133" t="s">
        <v>39</v>
      </c>
      <c r="I3643" s="133"/>
      <c r="J3643" s="133" t="s">
        <v>2471</v>
      </c>
      <c r="K3643" s="133" t="s">
        <v>831</v>
      </c>
      <c r="L3643" s="167"/>
      <c r="M3643" s="169"/>
    </row>
    <row r="3644" spans="1:13" x14ac:dyDescent="0.55000000000000004">
      <c r="A3644" s="132" t="s">
        <v>2472</v>
      </c>
      <c r="B3644" s="133" t="s">
        <v>2928</v>
      </c>
      <c r="C3644" s="133" t="s">
        <v>497</v>
      </c>
      <c r="D3644" s="133" t="s">
        <v>3288</v>
      </c>
      <c r="E3644" s="138">
        <v>1.4599999999999999E-9</v>
      </c>
      <c r="F3644" s="153" t="s">
        <v>135</v>
      </c>
      <c r="G3644" s="153">
        <v>1</v>
      </c>
      <c r="H3644" s="133" t="s">
        <v>39</v>
      </c>
      <c r="I3644" s="133"/>
      <c r="J3644" s="133" t="s">
        <v>2471</v>
      </c>
      <c r="K3644" s="133" t="s">
        <v>831</v>
      </c>
      <c r="L3644" s="167"/>
      <c r="M3644" s="169"/>
    </row>
    <row r="3645" spans="1:13" x14ac:dyDescent="0.55000000000000004">
      <c r="A3645" s="132" t="s">
        <v>2472</v>
      </c>
      <c r="B3645" s="133" t="s">
        <v>2929</v>
      </c>
      <c r="C3645" s="133" t="s">
        <v>497</v>
      </c>
      <c r="D3645" s="133" t="s">
        <v>3288</v>
      </c>
      <c r="E3645" s="138">
        <v>2.3400000000000001E-8</v>
      </c>
      <c r="F3645" s="153" t="s">
        <v>135</v>
      </c>
      <c r="G3645" s="153">
        <v>1</v>
      </c>
      <c r="H3645" s="133" t="s">
        <v>39</v>
      </c>
      <c r="I3645" s="133"/>
      <c r="J3645" s="133" t="s">
        <v>2471</v>
      </c>
      <c r="K3645" s="133" t="s">
        <v>831</v>
      </c>
      <c r="L3645" s="167"/>
      <c r="M3645" s="169"/>
    </row>
    <row r="3646" spans="1:13" x14ac:dyDescent="0.55000000000000004">
      <c r="A3646" s="132" t="s">
        <v>2472</v>
      </c>
      <c r="B3646" s="133" t="s">
        <v>2930</v>
      </c>
      <c r="C3646" s="133" t="s">
        <v>497</v>
      </c>
      <c r="D3646" s="133" t="s">
        <v>3288</v>
      </c>
      <c r="E3646" s="138">
        <v>3.1499999999999998E-8</v>
      </c>
      <c r="F3646" s="153" t="s">
        <v>135</v>
      </c>
      <c r="G3646" s="153">
        <v>1</v>
      </c>
      <c r="H3646" s="133" t="s">
        <v>39</v>
      </c>
      <c r="I3646" s="133"/>
      <c r="J3646" s="133" t="s">
        <v>2471</v>
      </c>
      <c r="K3646" s="133" t="s">
        <v>831</v>
      </c>
      <c r="L3646" s="167"/>
      <c r="M3646" s="169"/>
    </row>
    <row r="3647" spans="1:13" x14ac:dyDescent="0.55000000000000004">
      <c r="A3647" s="132" t="s">
        <v>2475</v>
      </c>
      <c r="B3647" s="133" t="s">
        <v>2907</v>
      </c>
      <c r="C3647" s="133" t="s">
        <v>121</v>
      </c>
      <c r="D3647" s="133" t="s">
        <v>2682</v>
      </c>
      <c r="E3647" s="138">
        <v>1</v>
      </c>
      <c r="F3647" s="153">
        <v>1</v>
      </c>
      <c r="G3647" s="153">
        <v>1</v>
      </c>
      <c r="H3647" s="133" t="s">
        <v>39</v>
      </c>
      <c r="I3647" s="133"/>
      <c r="J3647" s="133" t="s">
        <v>2474</v>
      </c>
      <c r="K3647" s="133" t="s">
        <v>831</v>
      </c>
      <c r="L3647" s="167"/>
      <c r="M3647" s="169"/>
    </row>
    <row r="3648" spans="1:13" x14ac:dyDescent="0.55000000000000004">
      <c r="A3648" s="132" t="s">
        <v>2475</v>
      </c>
      <c r="B3648" s="133" t="s">
        <v>2908</v>
      </c>
      <c r="C3648" s="133" t="s">
        <v>348</v>
      </c>
      <c r="D3648" s="133" t="s">
        <v>3288</v>
      </c>
      <c r="E3648" s="138">
        <v>1</v>
      </c>
      <c r="F3648" s="153" t="s">
        <v>135</v>
      </c>
      <c r="G3648" s="153">
        <v>1</v>
      </c>
      <c r="H3648" s="133" t="s">
        <v>39</v>
      </c>
      <c r="I3648" s="133"/>
      <c r="J3648" s="133" t="s">
        <v>2474</v>
      </c>
      <c r="K3648" s="133" t="s">
        <v>831</v>
      </c>
      <c r="L3648" s="167"/>
      <c r="M3648" s="169"/>
    </row>
    <row r="3649" spans="1:13" x14ac:dyDescent="0.55000000000000004">
      <c r="A3649" s="132" t="s">
        <v>2475</v>
      </c>
      <c r="B3649" s="133" t="s">
        <v>153</v>
      </c>
      <c r="C3649" s="133" t="s">
        <v>127</v>
      </c>
      <c r="D3649" s="133" t="s">
        <v>2994</v>
      </c>
      <c r="E3649" s="138">
        <v>200</v>
      </c>
      <c r="F3649" s="153" t="s">
        <v>130</v>
      </c>
      <c r="G3649" s="153">
        <v>1</v>
      </c>
      <c r="H3649" s="133" t="s">
        <v>39</v>
      </c>
      <c r="I3649" s="133"/>
      <c r="J3649" s="133" t="s">
        <v>2474</v>
      </c>
      <c r="K3649" s="133" t="s">
        <v>831</v>
      </c>
      <c r="L3649" s="167"/>
      <c r="M3649" s="169"/>
    </row>
    <row r="3650" spans="1:13" x14ac:dyDescent="0.55000000000000004">
      <c r="A3650" s="132" t="s">
        <v>2475</v>
      </c>
      <c r="B3650" s="133" t="s">
        <v>2914</v>
      </c>
      <c r="C3650" s="133" t="s">
        <v>156</v>
      </c>
      <c r="D3650" s="133" t="s">
        <v>3288</v>
      </c>
      <c r="E3650" s="138">
        <v>0.22</v>
      </c>
      <c r="F3650" s="153" t="s">
        <v>135</v>
      </c>
      <c r="G3650" s="153">
        <v>1</v>
      </c>
      <c r="H3650" s="133" t="s">
        <v>39</v>
      </c>
      <c r="I3650" s="133" t="s">
        <v>2931</v>
      </c>
      <c r="J3650" s="133" t="s">
        <v>2474</v>
      </c>
      <c r="K3650" s="133" t="s">
        <v>831</v>
      </c>
      <c r="L3650" s="167"/>
      <c r="M3650" s="169"/>
    </row>
    <row r="3651" spans="1:13" x14ac:dyDescent="0.55000000000000004">
      <c r="A3651" s="132" t="s">
        <v>2475</v>
      </c>
      <c r="B3651" s="133" t="s">
        <v>505</v>
      </c>
      <c r="C3651" s="133" t="s">
        <v>156</v>
      </c>
      <c r="D3651" s="133" t="s">
        <v>3288</v>
      </c>
      <c r="E3651" s="138">
        <v>0.35</v>
      </c>
      <c r="F3651" s="153" t="s">
        <v>135</v>
      </c>
      <c r="G3651" s="153">
        <v>1</v>
      </c>
      <c r="H3651" s="133" t="s">
        <v>39</v>
      </c>
      <c r="I3651" s="133" t="s">
        <v>2932</v>
      </c>
      <c r="J3651" s="133" t="s">
        <v>2474</v>
      </c>
      <c r="K3651" s="133" t="s">
        <v>831</v>
      </c>
      <c r="L3651" s="167"/>
      <c r="M3651" s="169"/>
    </row>
    <row r="3652" spans="1:13" x14ac:dyDescent="0.55000000000000004">
      <c r="A3652" s="132" t="s">
        <v>2475</v>
      </c>
      <c r="B3652" s="133" t="s">
        <v>2831</v>
      </c>
      <c r="C3652" s="133" t="s">
        <v>156</v>
      </c>
      <c r="D3652" s="133" t="s">
        <v>3288</v>
      </c>
      <c r="E3652" s="138">
        <v>0.33</v>
      </c>
      <c r="F3652" s="153" t="s">
        <v>135</v>
      </c>
      <c r="G3652" s="153">
        <v>1</v>
      </c>
      <c r="H3652" s="133" t="s">
        <v>39</v>
      </c>
      <c r="I3652" s="133" t="s">
        <v>2933</v>
      </c>
      <c r="J3652" s="133" t="s">
        <v>2474</v>
      </c>
      <c r="K3652" s="133" t="s">
        <v>831</v>
      </c>
      <c r="L3652" s="167"/>
      <c r="M3652" s="169"/>
    </row>
    <row r="3653" spans="1:13" x14ac:dyDescent="0.55000000000000004">
      <c r="A3653" s="132" t="s">
        <v>2475</v>
      </c>
      <c r="B3653" s="133" t="s">
        <v>160</v>
      </c>
      <c r="C3653" s="133" t="s">
        <v>497</v>
      </c>
      <c r="D3653" s="133" t="s">
        <v>3288</v>
      </c>
      <c r="E3653" s="138">
        <v>5.45E-2</v>
      </c>
      <c r="F3653" s="153" t="s">
        <v>135</v>
      </c>
      <c r="G3653" s="153">
        <v>1</v>
      </c>
      <c r="H3653" s="133" t="s">
        <v>39</v>
      </c>
      <c r="I3653" s="133"/>
      <c r="J3653" s="133" t="s">
        <v>2474</v>
      </c>
      <c r="K3653" s="133" t="s">
        <v>831</v>
      </c>
      <c r="L3653" s="167"/>
      <c r="M3653" s="169"/>
    </row>
    <row r="3654" spans="1:13" x14ac:dyDescent="0.55000000000000004">
      <c r="A3654" s="132" t="s">
        <v>2475</v>
      </c>
      <c r="B3654" s="133" t="s">
        <v>2874</v>
      </c>
      <c r="C3654" s="133" t="s">
        <v>497</v>
      </c>
      <c r="D3654" s="133" t="s">
        <v>3288</v>
      </c>
      <c r="E3654" s="138">
        <v>0</v>
      </c>
      <c r="F3654" s="153" t="s">
        <v>135</v>
      </c>
      <c r="G3654" s="153">
        <v>1</v>
      </c>
      <c r="H3654" s="133" t="s">
        <v>39</v>
      </c>
      <c r="I3654" s="133"/>
      <c r="J3654" s="133" t="s">
        <v>2474</v>
      </c>
      <c r="K3654" s="133" t="s">
        <v>831</v>
      </c>
      <c r="L3654" s="167"/>
      <c r="M3654" s="169"/>
    </row>
    <row r="3655" spans="1:13" x14ac:dyDescent="0.55000000000000004">
      <c r="A3655" s="132" t="s">
        <v>2475</v>
      </c>
      <c r="B3655" s="133" t="s">
        <v>2880</v>
      </c>
      <c r="C3655" s="133" t="s">
        <v>497</v>
      </c>
      <c r="D3655" s="133" t="s">
        <v>3288</v>
      </c>
      <c r="E3655" s="138">
        <v>3.5499999999999998E-3</v>
      </c>
      <c r="F3655" s="153" t="s">
        <v>135</v>
      </c>
      <c r="G3655" s="153">
        <v>1</v>
      </c>
      <c r="H3655" s="133" t="s">
        <v>39</v>
      </c>
      <c r="I3655" s="133"/>
      <c r="J3655" s="133" t="s">
        <v>2474</v>
      </c>
      <c r="K3655" s="133" t="s">
        <v>831</v>
      </c>
      <c r="L3655" s="167"/>
      <c r="M3655" s="169"/>
    </row>
    <row r="3656" spans="1:13" x14ac:dyDescent="0.55000000000000004">
      <c r="A3656" s="132" t="s">
        <v>2475</v>
      </c>
      <c r="B3656" s="133" t="s">
        <v>2790</v>
      </c>
      <c r="C3656" s="133" t="s">
        <v>497</v>
      </c>
      <c r="D3656" s="133" t="s">
        <v>3288</v>
      </c>
      <c r="E3656" s="138">
        <v>1.4E-3</v>
      </c>
      <c r="F3656" s="153" t="s">
        <v>135</v>
      </c>
      <c r="G3656" s="153">
        <v>1</v>
      </c>
      <c r="H3656" s="133" t="s">
        <v>39</v>
      </c>
      <c r="I3656" s="133"/>
      <c r="J3656" s="133" t="s">
        <v>2474</v>
      </c>
      <c r="K3656" s="133" t="s">
        <v>831</v>
      </c>
      <c r="L3656" s="167"/>
      <c r="M3656" s="169"/>
    </row>
    <row r="3657" spans="1:13" x14ac:dyDescent="0.55000000000000004">
      <c r="A3657" s="132" t="s">
        <v>2475</v>
      </c>
      <c r="B3657" s="133" t="s">
        <v>2923</v>
      </c>
      <c r="C3657" s="133" t="s">
        <v>497</v>
      </c>
      <c r="D3657" s="133" t="s">
        <v>3288</v>
      </c>
      <c r="E3657" s="138">
        <v>5.8E-4</v>
      </c>
      <c r="F3657" s="153" t="s">
        <v>135</v>
      </c>
      <c r="G3657" s="153">
        <v>1</v>
      </c>
      <c r="H3657" s="133" t="s">
        <v>39</v>
      </c>
      <c r="I3657" s="133"/>
      <c r="J3657" s="133" t="s">
        <v>2474</v>
      </c>
      <c r="K3657" s="133" t="s">
        <v>831</v>
      </c>
      <c r="L3657" s="167"/>
      <c r="M3657" s="169"/>
    </row>
    <row r="3658" spans="1:13" x14ac:dyDescent="0.55000000000000004">
      <c r="A3658" s="132" t="s">
        <v>2478</v>
      </c>
      <c r="B3658" s="133" t="s">
        <v>2907</v>
      </c>
      <c r="C3658" s="133" t="s">
        <v>121</v>
      </c>
      <c r="D3658" s="133" t="s">
        <v>2682</v>
      </c>
      <c r="E3658" s="138">
        <v>1</v>
      </c>
      <c r="F3658" s="153">
        <v>1</v>
      </c>
      <c r="G3658" s="153">
        <v>1</v>
      </c>
      <c r="H3658" s="133" t="s">
        <v>39</v>
      </c>
      <c r="I3658" s="133"/>
      <c r="J3658" s="133" t="s">
        <v>2477</v>
      </c>
      <c r="K3658" s="133" t="s">
        <v>831</v>
      </c>
      <c r="L3658" s="167"/>
      <c r="M3658" s="169"/>
    </row>
    <row r="3659" spans="1:13" x14ac:dyDescent="0.55000000000000004">
      <c r="A3659" s="132" t="s">
        <v>2478</v>
      </c>
      <c r="B3659" s="133" t="s">
        <v>2908</v>
      </c>
      <c r="C3659" s="133" t="s">
        <v>348</v>
      </c>
      <c r="D3659" s="133" t="s">
        <v>3288</v>
      </c>
      <c r="E3659" s="138">
        <v>1</v>
      </c>
      <c r="F3659" s="153" t="s">
        <v>135</v>
      </c>
      <c r="G3659" s="153">
        <v>1</v>
      </c>
      <c r="H3659" s="133" t="s">
        <v>39</v>
      </c>
      <c r="I3659" s="133"/>
      <c r="J3659" s="133" t="s">
        <v>2477</v>
      </c>
      <c r="K3659" s="133" t="s">
        <v>831</v>
      </c>
      <c r="L3659" s="167"/>
      <c r="M3659" s="169"/>
    </row>
    <row r="3660" spans="1:13" x14ac:dyDescent="0.55000000000000004">
      <c r="A3660" s="132" t="s">
        <v>2478</v>
      </c>
      <c r="B3660" s="133" t="s">
        <v>262</v>
      </c>
      <c r="C3660" s="133" t="s">
        <v>127</v>
      </c>
      <c r="D3660" s="133" t="s">
        <v>3288</v>
      </c>
      <c r="E3660" s="138">
        <v>0.15</v>
      </c>
      <c r="F3660" s="153" t="s">
        <v>135</v>
      </c>
      <c r="G3660" s="153">
        <v>1</v>
      </c>
      <c r="H3660" s="133" t="s">
        <v>39</v>
      </c>
      <c r="I3660" s="133"/>
      <c r="J3660" s="133" t="s">
        <v>2477</v>
      </c>
      <c r="K3660" s="133" t="s">
        <v>831</v>
      </c>
      <c r="L3660" s="167"/>
      <c r="M3660" s="169"/>
    </row>
    <row r="3661" spans="1:13" x14ac:dyDescent="0.55000000000000004">
      <c r="A3661" s="132" t="s">
        <v>2478</v>
      </c>
      <c r="B3661" s="133" t="s">
        <v>2914</v>
      </c>
      <c r="C3661" s="133" t="s">
        <v>156</v>
      </c>
      <c r="D3661" s="133" t="s">
        <v>3288</v>
      </c>
      <c r="E3661" s="138">
        <v>0.2</v>
      </c>
      <c r="F3661" s="153" t="s">
        <v>135</v>
      </c>
      <c r="G3661" s="153">
        <v>1</v>
      </c>
      <c r="H3661" s="133" t="s">
        <v>39</v>
      </c>
      <c r="I3661" s="133" t="s">
        <v>2935</v>
      </c>
      <c r="J3661" s="133" t="s">
        <v>2477</v>
      </c>
      <c r="K3661" s="133" t="s">
        <v>831</v>
      </c>
      <c r="L3661" s="167"/>
      <c r="M3661" s="169"/>
    </row>
    <row r="3662" spans="1:13" x14ac:dyDescent="0.55000000000000004">
      <c r="A3662" s="132" t="s">
        <v>2478</v>
      </c>
      <c r="B3662" s="133" t="s">
        <v>2936</v>
      </c>
      <c r="C3662" s="133" t="s">
        <v>156</v>
      </c>
      <c r="D3662" s="133" t="s">
        <v>3288</v>
      </c>
      <c r="E3662" s="138">
        <v>0.33</v>
      </c>
      <c r="F3662" s="153" t="s">
        <v>135</v>
      </c>
      <c r="G3662" s="153">
        <v>1</v>
      </c>
      <c r="H3662" s="133" t="s">
        <v>39</v>
      </c>
      <c r="I3662" s="133" t="s">
        <v>2937</v>
      </c>
      <c r="J3662" s="133" t="s">
        <v>2477</v>
      </c>
      <c r="K3662" s="133" t="s">
        <v>831</v>
      </c>
      <c r="L3662" s="167"/>
      <c r="M3662" s="169"/>
    </row>
    <row r="3663" spans="1:13" x14ac:dyDescent="0.55000000000000004">
      <c r="A3663" s="132" t="s">
        <v>2478</v>
      </c>
      <c r="B3663" s="133" t="s">
        <v>160</v>
      </c>
      <c r="C3663" s="133" t="s">
        <v>497</v>
      </c>
      <c r="D3663" s="133" t="s">
        <v>3288</v>
      </c>
      <c r="E3663" s="138">
        <v>0.32900000000000001</v>
      </c>
      <c r="F3663" s="153" t="s">
        <v>135</v>
      </c>
      <c r="G3663" s="153">
        <v>1</v>
      </c>
      <c r="H3663" s="133" t="s">
        <v>39</v>
      </c>
      <c r="I3663" s="133"/>
      <c r="J3663" s="133" t="s">
        <v>2477</v>
      </c>
      <c r="K3663" s="133" t="s">
        <v>831</v>
      </c>
      <c r="L3663" s="167"/>
      <c r="M3663" s="169"/>
    </row>
    <row r="3664" spans="1:13" x14ac:dyDescent="0.55000000000000004">
      <c r="A3664" s="132" t="s">
        <v>2478</v>
      </c>
      <c r="B3664" s="133" t="s">
        <v>2874</v>
      </c>
      <c r="C3664" s="133" t="s">
        <v>497</v>
      </c>
      <c r="D3664" s="133" t="s">
        <v>3288</v>
      </c>
      <c r="E3664" s="138">
        <v>4.9199999999999999E-3</v>
      </c>
      <c r="F3664" s="153" t="s">
        <v>135</v>
      </c>
      <c r="G3664" s="153">
        <v>1</v>
      </c>
      <c r="H3664" s="133" t="s">
        <v>39</v>
      </c>
      <c r="I3664" s="133"/>
      <c r="J3664" s="133" t="s">
        <v>2477</v>
      </c>
      <c r="K3664" s="133" t="s">
        <v>831</v>
      </c>
      <c r="L3664" s="167"/>
      <c r="M3664" s="169"/>
    </row>
    <row r="3665" spans="1:13" x14ac:dyDescent="0.55000000000000004">
      <c r="A3665" s="132" t="s">
        <v>2478</v>
      </c>
      <c r="B3665" s="133" t="s">
        <v>2880</v>
      </c>
      <c r="C3665" s="133" t="s">
        <v>497</v>
      </c>
      <c r="D3665" s="133" t="s">
        <v>3288</v>
      </c>
      <c r="E3665" s="138">
        <v>1.9199999999999998E-3</v>
      </c>
      <c r="F3665" s="153" t="s">
        <v>135</v>
      </c>
      <c r="G3665" s="153">
        <v>1</v>
      </c>
      <c r="H3665" s="133" t="s">
        <v>39</v>
      </c>
      <c r="I3665" s="133"/>
      <c r="J3665" s="133" t="s">
        <v>2477</v>
      </c>
      <c r="K3665" s="133" t="s">
        <v>831</v>
      </c>
      <c r="L3665" s="167"/>
      <c r="M3665" s="169"/>
    </row>
    <row r="3666" spans="1:13" x14ac:dyDescent="0.55000000000000004">
      <c r="A3666" s="132" t="s">
        <v>2478</v>
      </c>
      <c r="B3666" s="133" t="s">
        <v>2790</v>
      </c>
      <c r="C3666" s="133" t="s">
        <v>497</v>
      </c>
      <c r="D3666" s="133" t="s">
        <v>3288</v>
      </c>
      <c r="E3666" s="138">
        <v>7.2199999999999999E-4</v>
      </c>
      <c r="F3666" s="153" t="s">
        <v>135</v>
      </c>
      <c r="G3666" s="153">
        <v>1</v>
      </c>
      <c r="H3666" s="133" t="s">
        <v>39</v>
      </c>
      <c r="I3666" s="133"/>
      <c r="J3666" s="133" t="s">
        <v>2477</v>
      </c>
      <c r="K3666" s="133" t="s">
        <v>831</v>
      </c>
      <c r="L3666" s="167"/>
      <c r="M3666" s="169"/>
    </row>
    <row r="3667" spans="1:13" x14ac:dyDescent="0.55000000000000004">
      <c r="A3667" s="132" t="s">
        <v>2478</v>
      </c>
      <c r="B3667" s="133" t="s">
        <v>1162</v>
      </c>
      <c r="C3667" s="133" t="s">
        <v>497</v>
      </c>
      <c r="D3667" s="133" t="s">
        <v>3288</v>
      </c>
      <c r="E3667" s="138">
        <v>9.0200000000000002E-3</v>
      </c>
      <c r="F3667" s="153" t="s">
        <v>135</v>
      </c>
      <c r="G3667" s="153">
        <v>1</v>
      </c>
      <c r="H3667" s="133" t="s">
        <v>39</v>
      </c>
      <c r="I3667" s="133"/>
      <c r="J3667" s="133" t="s">
        <v>2477</v>
      </c>
      <c r="K3667" s="133" t="s">
        <v>831</v>
      </c>
      <c r="L3667" s="167"/>
      <c r="M3667" s="169"/>
    </row>
    <row r="3668" spans="1:13" x14ac:dyDescent="0.55000000000000004">
      <c r="A3668" s="132" t="s">
        <v>2478</v>
      </c>
      <c r="B3668" s="133" t="s">
        <v>2921</v>
      </c>
      <c r="C3668" s="133" t="s">
        <v>497</v>
      </c>
      <c r="D3668" s="133" t="s">
        <v>3288</v>
      </c>
      <c r="E3668" s="138">
        <v>7.3900000000000007E-2</v>
      </c>
      <c r="F3668" s="153" t="s">
        <v>135</v>
      </c>
      <c r="G3668" s="153">
        <v>1</v>
      </c>
      <c r="H3668" s="133" t="s">
        <v>39</v>
      </c>
      <c r="I3668" s="133"/>
      <c r="J3668" s="133" t="s">
        <v>2477</v>
      </c>
      <c r="K3668" s="133" t="s">
        <v>831</v>
      </c>
      <c r="L3668" s="167"/>
      <c r="M3668" s="169"/>
    </row>
    <row r="3669" spans="1:13" x14ac:dyDescent="0.55000000000000004">
      <c r="A3669" s="132" t="s">
        <v>2478</v>
      </c>
      <c r="B3669" s="133" t="s">
        <v>2922</v>
      </c>
      <c r="C3669" s="133" t="s">
        <v>497</v>
      </c>
      <c r="D3669" s="133" t="s">
        <v>3288</v>
      </c>
      <c r="E3669" s="138">
        <v>3.0400000000000002E-3</v>
      </c>
      <c r="F3669" s="153" t="s">
        <v>135</v>
      </c>
      <c r="G3669" s="153">
        <v>1</v>
      </c>
      <c r="H3669" s="133" t="s">
        <v>39</v>
      </c>
      <c r="I3669" s="133"/>
      <c r="J3669" s="133" t="s">
        <v>2477</v>
      </c>
      <c r="K3669" s="133" t="s">
        <v>831</v>
      </c>
      <c r="L3669" s="167"/>
      <c r="M3669" s="169"/>
    </row>
    <row r="3670" spans="1:13" x14ac:dyDescent="0.55000000000000004">
      <c r="A3670" s="132" t="s">
        <v>2478</v>
      </c>
      <c r="B3670" s="133" t="s">
        <v>2923</v>
      </c>
      <c r="C3670" s="133" t="s">
        <v>497</v>
      </c>
      <c r="D3670" s="133" t="s">
        <v>3288</v>
      </c>
      <c r="E3670" s="138">
        <v>1.5E-3</v>
      </c>
      <c r="F3670" s="153" t="s">
        <v>135</v>
      </c>
      <c r="G3670" s="153">
        <v>1</v>
      </c>
      <c r="H3670" s="133" t="s">
        <v>39</v>
      </c>
      <c r="I3670" s="133"/>
      <c r="J3670" s="133" t="s">
        <v>2477</v>
      </c>
      <c r="K3670" s="133" t="s">
        <v>831</v>
      </c>
      <c r="L3670" s="167"/>
      <c r="M3670" s="169"/>
    </row>
    <row r="3671" spans="1:13" x14ac:dyDescent="0.55000000000000004">
      <c r="A3671" s="132" t="s">
        <v>2478</v>
      </c>
      <c r="B3671" s="133" t="s">
        <v>2924</v>
      </c>
      <c r="C3671" s="133" t="s">
        <v>497</v>
      </c>
      <c r="D3671" s="133" t="s">
        <v>3288</v>
      </c>
      <c r="E3671" s="138">
        <v>4.1599999999999997E-7</v>
      </c>
      <c r="F3671" s="153" t="s">
        <v>135</v>
      </c>
      <c r="G3671" s="153">
        <v>1</v>
      </c>
      <c r="H3671" s="133" t="s">
        <v>39</v>
      </c>
      <c r="I3671" s="133"/>
      <c r="J3671" s="133" t="s">
        <v>2477</v>
      </c>
      <c r="K3671" s="133" t="s">
        <v>831</v>
      </c>
      <c r="L3671" s="167"/>
      <c r="M3671" s="169"/>
    </row>
    <row r="3672" spans="1:13" x14ac:dyDescent="0.55000000000000004">
      <c r="A3672" s="132" t="s">
        <v>2478</v>
      </c>
      <c r="B3672" s="133" t="s">
        <v>2925</v>
      </c>
      <c r="C3672" s="133" t="s">
        <v>497</v>
      </c>
      <c r="D3672" s="133" t="s">
        <v>3288</v>
      </c>
      <c r="E3672" s="138">
        <v>7.2E-9</v>
      </c>
      <c r="F3672" s="153" t="s">
        <v>135</v>
      </c>
      <c r="G3672" s="153">
        <v>1</v>
      </c>
      <c r="H3672" s="133" t="s">
        <v>39</v>
      </c>
      <c r="I3672" s="133"/>
      <c r="J3672" s="133" t="s">
        <v>2477</v>
      </c>
      <c r="K3672" s="133" t="s">
        <v>831</v>
      </c>
      <c r="L3672" s="167"/>
      <c r="M3672" s="169"/>
    </row>
    <row r="3673" spans="1:13" x14ac:dyDescent="0.55000000000000004">
      <c r="A3673" s="132" t="s">
        <v>2478</v>
      </c>
      <c r="B3673" s="133" t="s">
        <v>2926</v>
      </c>
      <c r="C3673" s="133" t="s">
        <v>497</v>
      </c>
      <c r="D3673" s="133" t="s">
        <v>3288</v>
      </c>
      <c r="E3673" s="138">
        <v>2.16E-7</v>
      </c>
      <c r="F3673" s="153" t="s">
        <v>135</v>
      </c>
      <c r="G3673" s="153">
        <v>1</v>
      </c>
      <c r="H3673" s="133" t="s">
        <v>39</v>
      </c>
      <c r="I3673" s="133"/>
      <c r="J3673" s="133" t="s">
        <v>2477</v>
      </c>
      <c r="K3673" s="133" t="s">
        <v>831</v>
      </c>
      <c r="L3673" s="167"/>
      <c r="M3673" s="169"/>
    </row>
    <row r="3674" spans="1:13" x14ac:dyDescent="0.55000000000000004">
      <c r="A3674" s="132" t="s">
        <v>2478</v>
      </c>
      <c r="B3674" s="133" t="s">
        <v>2927</v>
      </c>
      <c r="C3674" s="133" t="s">
        <v>497</v>
      </c>
      <c r="D3674" s="133" t="s">
        <v>3288</v>
      </c>
      <c r="E3674" s="138">
        <v>2.3400000000000001E-8</v>
      </c>
      <c r="F3674" s="153" t="s">
        <v>135</v>
      </c>
      <c r="G3674" s="153">
        <v>1</v>
      </c>
      <c r="H3674" s="133" t="s">
        <v>39</v>
      </c>
      <c r="I3674" s="133"/>
      <c r="J3674" s="133" t="s">
        <v>2477</v>
      </c>
      <c r="K3674" s="133" t="s">
        <v>831</v>
      </c>
      <c r="L3674" s="167"/>
      <c r="M3674" s="169"/>
    </row>
    <row r="3675" spans="1:13" x14ac:dyDescent="0.55000000000000004">
      <c r="A3675" s="132" t="s">
        <v>2478</v>
      </c>
      <c r="B3675" s="133" t="s">
        <v>2928</v>
      </c>
      <c r="C3675" s="133" t="s">
        <v>497</v>
      </c>
      <c r="D3675" s="133" t="s">
        <v>3288</v>
      </c>
      <c r="E3675" s="138">
        <v>2.7500000000000001E-7</v>
      </c>
      <c r="F3675" s="153" t="s">
        <v>135</v>
      </c>
      <c r="G3675" s="153">
        <v>1</v>
      </c>
      <c r="H3675" s="133" t="s">
        <v>39</v>
      </c>
      <c r="I3675" s="133"/>
      <c r="J3675" s="133" t="s">
        <v>2477</v>
      </c>
      <c r="K3675" s="133" t="s">
        <v>831</v>
      </c>
      <c r="L3675" s="167"/>
      <c r="M3675" s="169"/>
    </row>
    <row r="3676" spans="1:13" x14ac:dyDescent="0.55000000000000004">
      <c r="A3676" s="132" t="s">
        <v>2478</v>
      </c>
      <c r="B3676" s="133" t="s">
        <v>2929</v>
      </c>
      <c r="C3676" s="133" t="s">
        <v>497</v>
      </c>
      <c r="D3676" s="133" t="s">
        <v>3288</v>
      </c>
      <c r="E3676" s="138">
        <v>2.1900000000000002E-6</v>
      </c>
      <c r="F3676" s="153" t="s">
        <v>135</v>
      </c>
      <c r="G3676" s="153">
        <v>1</v>
      </c>
      <c r="H3676" s="133" t="s">
        <v>39</v>
      </c>
      <c r="I3676" s="133"/>
      <c r="J3676" s="133" t="s">
        <v>2477</v>
      </c>
      <c r="K3676" s="133" t="s">
        <v>831</v>
      </c>
      <c r="L3676" s="167"/>
      <c r="M3676" s="169"/>
    </row>
    <row r="3677" spans="1:13" x14ac:dyDescent="0.55000000000000004">
      <c r="A3677" s="132" t="s">
        <v>2478</v>
      </c>
      <c r="B3677" s="133" t="s">
        <v>2930</v>
      </c>
      <c r="C3677" s="133" t="s">
        <v>497</v>
      </c>
      <c r="D3677" s="133" t="s">
        <v>3288</v>
      </c>
      <c r="E3677" s="138">
        <v>2.96E-6</v>
      </c>
      <c r="F3677" s="153" t="s">
        <v>135</v>
      </c>
      <c r="G3677" s="153">
        <v>1</v>
      </c>
      <c r="H3677" s="133" t="s">
        <v>39</v>
      </c>
      <c r="I3677" s="133"/>
      <c r="J3677" s="133" t="s">
        <v>2477</v>
      </c>
      <c r="K3677" s="133" t="s">
        <v>831</v>
      </c>
      <c r="L3677" s="167"/>
      <c r="M3677" s="169"/>
    </row>
    <row r="3678" spans="1:13" x14ac:dyDescent="0.55000000000000004">
      <c r="A3678" s="133" t="s">
        <v>2482</v>
      </c>
      <c r="B3678" s="133" t="s">
        <v>2938</v>
      </c>
      <c r="C3678" s="133" t="s">
        <v>121</v>
      </c>
      <c r="D3678" s="133" t="s">
        <v>2682</v>
      </c>
      <c r="E3678" s="138">
        <v>1</v>
      </c>
      <c r="F3678" s="153">
        <v>1</v>
      </c>
      <c r="G3678" s="153">
        <v>1</v>
      </c>
      <c r="H3678" s="133" t="s">
        <v>39</v>
      </c>
      <c r="I3678" s="133"/>
      <c r="J3678" s="133" t="s">
        <v>2481</v>
      </c>
      <c r="K3678" s="133"/>
      <c r="L3678" s="167"/>
      <c r="M3678" s="169"/>
    </row>
    <row r="3679" spans="1:13" x14ac:dyDescent="0.55000000000000004">
      <c r="A3679" s="133" t="s">
        <v>2482</v>
      </c>
      <c r="B3679" s="133" t="s">
        <v>2939</v>
      </c>
      <c r="C3679" s="133" t="s">
        <v>207</v>
      </c>
      <c r="D3679" s="133" t="s">
        <v>3288</v>
      </c>
      <c r="E3679" s="138">
        <v>1</v>
      </c>
      <c r="F3679" s="153" t="s">
        <v>122</v>
      </c>
      <c r="G3679" s="153">
        <v>1</v>
      </c>
      <c r="H3679" s="133" t="s">
        <v>39</v>
      </c>
      <c r="I3679" s="133"/>
      <c r="J3679" s="133" t="s">
        <v>2481</v>
      </c>
      <c r="K3679" s="133"/>
      <c r="L3679" s="167"/>
      <c r="M3679" s="169"/>
    </row>
    <row r="3680" spans="1:13" x14ac:dyDescent="0.55000000000000004">
      <c r="A3680" s="133" t="s">
        <v>2482</v>
      </c>
      <c r="B3680" s="133" t="s">
        <v>2631</v>
      </c>
      <c r="C3680" s="133" t="s">
        <v>127</v>
      </c>
      <c r="D3680" s="133" t="s">
        <v>2994</v>
      </c>
      <c r="E3680" s="138">
        <v>0.8</v>
      </c>
      <c r="F3680" s="153" t="s">
        <v>130</v>
      </c>
      <c r="G3680" s="153">
        <v>1</v>
      </c>
      <c r="H3680" s="133" t="s">
        <v>39</v>
      </c>
      <c r="I3680" s="133"/>
      <c r="J3680" s="133" t="s">
        <v>2481</v>
      </c>
      <c r="K3680" s="133"/>
      <c r="L3680" s="167"/>
      <c r="M3680" s="169"/>
    </row>
    <row r="3681" spans="1:13" x14ac:dyDescent="0.55000000000000004">
      <c r="A3681" s="133" t="s">
        <v>2482</v>
      </c>
      <c r="B3681" s="133" t="s">
        <v>148</v>
      </c>
      <c r="C3681" s="133" t="s">
        <v>125</v>
      </c>
      <c r="D3681" s="133" t="s">
        <v>3288</v>
      </c>
      <c r="E3681" s="138">
        <v>0.35</v>
      </c>
      <c r="F3681" s="153" t="s">
        <v>122</v>
      </c>
      <c r="G3681" s="153">
        <v>1</v>
      </c>
      <c r="H3681" s="133" t="s">
        <v>39</v>
      </c>
      <c r="I3681" s="133"/>
      <c r="J3681" s="133" t="s">
        <v>2481</v>
      </c>
      <c r="K3681" s="133"/>
      <c r="L3681" s="167">
        <v>2815</v>
      </c>
      <c r="M3681" s="169"/>
    </row>
    <row r="3682" spans="1:13" x14ac:dyDescent="0.55000000000000004">
      <c r="A3682" s="133" t="s">
        <v>2482</v>
      </c>
      <c r="B3682" s="133" t="s">
        <v>154</v>
      </c>
      <c r="C3682" s="133" t="s">
        <v>132</v>
      </c>
      <c r="D3682" s="133" t="s">
        <v>3289</v>
      </c>
      <c r="E3682" s="138">
        <v>1E-3</v>
      </c>
      <c r="F3682" s="153" t="s">
        <v>133</v>
      </c>
      <c r="G3682" s="153">
        <v>1</v>
      </c>
      <c r="H3682" s="133" t="s">
        <v>39</v>
      </c>
      <c r="I3682" s="133"/>
      <c r="J3682" s="133" t="s">
        <v>2481</v>
      </c>
      <c r="K3682" s="133"/>
      <c r="L3682" s="167"/>
      <c r="M3682" s="169"/>
    </row>
    <row r="3683" spans="1:13" x14ac:dyDescent="0.55000000000000004">
      <c r="A3683" s="133" t="s">
        <v>2482</v>
      </c>
      <c r="B3683" s="133" t="s">
        <v>2940</v>
      </c>
      <c r="C3683" s="133" t="s">
        <v>156</v>
      </c>
      <c r="D3683" s="133" t="s">
        <v>3288</v>
      </c>
      <c r="E3683" s="138">
        <v>0.27</v>
      </c>
      <c r="F3683" s="153" t="s">
        <v>122</v>
      </c>
      <c r="G3683" s="153">
        <v>1</v>
      </c>
      <c r="H3683" s="133" t="s">
        <v>39</v>
      </c>
      <c r="I3683" s="133"/>
      <c r="J3683" s="133" t="s">
        <v>2481</v>
      </c>
      <c r="K3683" s="133"/>
      <c r="L3683" s="167">
        <v>7204</v>
      </c>
      <c r="M3683" s="169"/>
    </row>
    <row r="3684" spans="1:13" x14ac:dyDescent="0.55000000000000004">
      <c r="A3684" s="133" t="s">
        <v>2482</v>
      </c>
      <c r="B3684" s="133" t="s">
        <v>2941</v>
      </c>
      <c r="C3684" s="133" t="s">
        <v>156</v>
      </c>
      <c r="D3684" s="133" t="s">
        <v>3288</v>
      </c>
      <c r="E3684" s="138">
        <v>0.01</v>
      </c>
      <c r="F3684" s="153" t="s">
        <v>122</v>
      </c>
      <c r="G3684" s="153">
        <v>1</v>
      </c>
      <c r="H3684" s="133" t="s">
        <v>39</v>
      </c>
      <c r="I3684" s="133"/>
      <c r="J3684" s="133" t="s">
        <v>2481</v>
      </c>
      <c r="K3684" s="133"/>
      <c r="L3684" s="167">
        <v>282010</v>
      </c>
      <c r="M3684" s="169"/>
    </row>
    <row r="3685" spans="1:13" x14ac:dyDescent="0.55000000000000004">
      <c r="A3685" s="133" t="s">
        <v>2482</v>
      </c>
      <c r="B3685" s="133" t="s">
        <v>2942</v>
      </c>
      <c r="C3685" s="133" t="s">
        <v>156</v>
      </c>
      <c r="D3685" s="133" t="s">
        <v>3288</v>
      </c>
      <c r="E3685" s="138">
        <v>0.192</v>
      </c>
      <c r="F3685" s="153" t="s">
        <v>122</v>
      </c>
      <c r="G3685" s="153">
        <v>1</v>
      </c>
      <c r="H3685" s="133" t="s">
        <v>39</v>
      </c>
      <c r="I3685" s="133"/>
      <c r="J3685" s="133" t="s">
        <v>2481</v>
      </c>
      <c r="K3685" s="133"/>
      <c r="L3685" s="167">
        <v>8105</v>
      </c>
      <c r="M3685" s="169"/>
    </row>
    <row r="3686" spans="1:13" x14ac:dyDescent="0.55000000000000004">
      <c r="A3686" s="133" t="s">
        <v>2482</v>
      </c>
      <c r="B3686" s="133" t="s">
        <v>2943</v>
      </c>
      <c r="C3686" s="133" t="s">
        <v>163</v>
      </c>
      <c r="D3686" s="133" t="s">
        <v>3288</v>
      </c>
      <c r="E3686" s="138">
        <v>0.24</v>
      </c>
      <c r="F3686" s="153" t="s">
        <v>122</v>
      </c>
      <c r="G3686" s="153">
        <v>1</v>
      </c>
      <c r="H3686" s="133" t="s">
        <v>39</v>
      </c>
      <c r="I3686" s="133"/>
      <c r="J3686" s="133" t="s">
        <v>2481</v>
      </c>
      <c r="K3686" s="133"/>
      <c r="L3686" s="167"/>
      <c r="M3686" s="169"/>
    </row>
    <row r="3687" spans="1:13" x14ac:dyDescent="0.55000000000000004">
      <c r="A3687" s="133" t="s">
        <v>2482</v>
      </c>
      <c r="B3687" s="133" t="s">
        <v>2637</v>
      </c>
      <c r="C3687" s="133" t="s">
        <v>163</v>
      </c>
      <c r="D3687" s="133" t="s">
        <v>3288</v>
      </c>
      <c r="E3687" s="138">
        <v>0.2</v>
      </c>
      <c r="F3687" s="153" t="s">
        <v>122</v>
      </c>
      <c r="G3687" s="153">
        <v>1</v>
      </c>
      <c r="H3687" s="133" t="s">
        <v>39</v>
      </c>
      <c r="I3687" s="133"/>
      <c r="J3687" s="133" t="s">
        <v>2481</v>
      </c>
      <c r="K3687" s="133"/>
      <c r="L3687" s="167">
        <v>3915</v>
      </c>
      <c r="M3687" s="169"/>
    </row>
    <row r="3688" spans="1:13" x14ac:dyDescent="0.55000000000000004">
      <c r="A3688" s="133" t="s">
        <v>2482</v>
      </c>
      <c r="B3688" s="133" t="s">
        <v>1097</v>
      </c>
      <c r="C3688" s="133" t="s">
        <v>124</v>
      </c>
      <c r="D3688" s="133" t="s">
        <v>3288</v>
      </c>
      <c r="E3688" s="138">
        <v>1.0399999999999999E-4</v>
      </c>
      <c r="F3688" s="153" t="s">
        <v>122</v>
      </c>
      <c r="G3688" s="153">
        <v>1</v>
      </c>
      <c r="H3688" s="133" t="s">
        <v>39</v>
      </c>
      <c r="I3688" s="133"/>
      <c r="J3688" s="133" t="s">
        <v>2481</v>
      </c>
      <c r="K3688" s="133"/>
      <c r="L3688" s="167"/>
      <c r="M3688" s="169"/>
    </row>
    <row r="3689" spans="1:13" x14ac:dyDescent="0.55000000000000004">
      <c r="A3689" s="133" t="s">
        <v>2482</v>
      </c>
      <c r="B3689" s="133" t="s">
        <v>1098</v>
      </c>
      <c r="C3689" s="133" t="s">
        <v>124</v>
      </c>
      <c r="D3689" s="133" t="s">
        <v>3288</v>
      </c>
      <c r="E3689" s="138">
        <v>1.04E-5</v>
      </c>
      <c r="F3689" s="153" t="s">
        <v>122</v>
      </c>
      <c r="G3689" s="153">
        <v>1</v>
      </c>
      <c r="H3689" s="133" t="s">
        <v>39</v>
      </c>
      <c r="I3689" s="133"/>
      <c r="J3689" s="133" t="s">
        <v>2481</v>
      </c>
      <c r="K3689" s="133"/>
      <c r="L3689" s="167"/>
      <c r="M3689" s="169"/>
    </row>
    <row r="3690" spans="1:13" x14ac:dyDescent="0.55000000000000004">
      <c r="A3690" s="133" t="s">
        <v>2482</v>
      </c>
      <c r="B3690" s="133" t="s">
        <v>1099</v>
      </c>
      <c r="C3690" s="133" t="s">
        <v>124</v>
      </c>
      <c r="D3690" s="133" t="s">
        <v>3288</v>
      </c>
      <c r="E3690" s="138">
        <v>9.3599999999999998E-5</v>
      </c>
      <c r="F3690" s="153" t="s">
        <v>122</v>
      </c>
      <c r="G3690" s="153">
        <v>1</v>
      </c>
      <c r="H3690" s="133" t="s">
        <v>39</v>
      </c>
      <c r="I3690" s="133"/>
      <c r="J3690" s="133" t="s">
        <v>2481</v>
      </c>
      <c r="K3690" s="133"/>
      <c r="L3690" s="167"/>
      <c r="M3690" s="169"/>
    </row>
    <row r="3691" spans="1:13" x14ac:dyDescent="0.55000000000000004">
      <c r="A3691" s="133" t="s">
        <v>2482</v>
      </c>
      <c r="B3691" s="133" t="s">
        <v>1172</v>
      </c>
      <c r="C3691" s="133" t="s">
        <v>124</v>
      </c>
      <c r="D3691" s="133" t="s">
        <v>3288</v>
      </c>
      <c r="E3691" s="138">
        <v>4.8000000000000001E-5</v>
      </c>
      <c r="F3691" s="153" t="s">
        <v>122</v>
      </c>
      <c r="G3691" s="153">
        <v>1</v>
      </c>
      <c r="H3691" s="133" t="s">
        <v>39</v>
      </c>
      <c r="I3691" s="133"/>
      <c r="J3691" s="133" t="s">
        <v>2481</v>
      </c>
      <c r="K3691" s="133"/>
      <c r="L3691" s="167"/>
      <c r="M3691" s="169"/>
    </row>
    <row r="3692" spans="1:13" x14ac:dyDescent="0.55000000000000004">
      <c r="A3692" s="133" t="s">
        <v>2482</v>
      </c>
      <c r="B3692" s="133" t="s">
        <v>154</v>
      </c>
      <c r="C3692" s="133" t="s">
        <v>124</v>
      </c>
      <c r="D3692" s="133" t="s">
        <v>3289</v>
      </c>
      <c r="E3692" s="138">
        <v>1E-3</v>
      </c>
      <c r="F3692" s="153" t="s">
        <v>133</v>
      </c>
      <c r="G3692" s="153">
        <v>1</v>
      </c>
      <c r="H3692" s="133" t="s">
        <v>39</v>
      </c>
      <c r="I3692" s="133"/>
      <c r="J3692" s="133" t="s">
        <v>2481</v>
      </c>
      <c r="K3692" s="133"/>
      <c r="L3692" s="167"/>
      <c r="M3692" s="169"/>
    </row>
    <row r="3693" spans="1:13" x14ac:dyDescent="0.55000000000000004">
      <c r="A3693" s="133" t="s">
        <v>2482</v>
      </c>
      <c r="B3693" s="133" t="s">
        <v>2604</v>
      </c>
      <c r="C3693" s="133" t="s">
        <v>124</v>
      </c>
      <c r="D3693" s="133" t="s">
        <v>3288</v>
      </c>
      <c r="E3693" s="138">
        <v>0.04</v>
      </c>
      <c r="F3693" s="153" t="s">
        <v>122</v>
      </c>
      <c r="G3693" s="153">
        <v>1</v>
      </c>
      <c r="H3693" s="133" t="s">
        <v>39</v>
      </c>
      <c r="I3693" s="133"/>
      <c r="J3693" s="133" t="s">
        <v>2481</v>
      </c>
      <c r="K3693" s="133"/>
      <c r="L3693" s="167"/>
      <c r="M3693" s="169"/>
    </row>
    <row r="3694" spans="1:13" x14ac:dyDescent="0.55000000000000004">
      <c r="A3694" s="133" t="s">
        <v>2482</v>
      </c>
      <c r="B3694" s="133" t="s">
        <v>2944</v>
      </c>
      <c r="C3694" s="133" t="s">
        <v>124</v>
      </c>
      <c r="D3694" s="133" t="s">
        <v>3288</v>
      </c>
      <c r="E3694" s="138">
        <v>0.06</v>
      </c>
      <c r="F3694" s="153" t="s">
        <v>122</v>
      </c>
      <c r="G3694" s="153">
        <v>1</v>
      </c>
      <c r="H3694" s="133" t="s">
        <v>39</v>
      </c>
      <c r="I3694" s="133"/>
      <c r="J3694" s="133" t="s">
        <v>2481</v>
      </c>
      <c r="K3694" s="133"/>
      <c r="L3694" s="167"/>
      <c r="M3694" s="169"/>
    </row>
    <row r="3695" spans="1:13" x14ac:dyDescent="0.55000000000000004">
      <c r="A3695" s="133" t="s">
        <v>2482</v>
      </c>
      <c r="B3695" s="133" t="s">
        <v>181</v>
      </c>
      <c r="C3695" s="133" t="s">
        <v>163</v>
      </c>
      <c r="D3695" s="133" t="s">
        <v>3288</v>
      </c>
      <c r="E3695" s="138">
        <v>0.3377440000000001</v>
      </c>
      <c r="F3695" s="153" t="s">
        <v>122</v>
      </c>
      <c r="G3695" s="153">
        <v>1</v>
      </c>
      <c r="H3695" s="133" t="s">
        <v>39</v>
      </c>
      <c r="I3695" s="133"/>
      <c r="J3695" s="133" t="s">
        <v>2481</v>
      </c>
      <c r="K3695" s="133"/>
      <c r="L3695" s="167"/>
      <c r="M3695" s="169"/>
    </row>
    <row r="3696" spans="1:13" x14ac:dyDescent="0.55000000000000004">
      <c r="A3696" s="133" t="s">
        <v>2488</v>
      </c>
      <c r="B3696" s="133" t="s">
        <v>2945</v>
      </c>
      <c r="C3696" s="133" t="s">
        <v>121</v>
      </c>
      <c r="D3696" s="133" t="s">
        <v>2682</v>
      </c>
      <c r="E3696" s="138">
        <v>1</v>
      </c>
      <c r="F3696" s="153">
        <v>1</v>
      </c>
      <c r="G3696" s="153">
        <v>1</v>
      </c>
      <c r="H3696" s="133" t="s">
        <v>39</v>
      </c>
      <c r="I3696" s="133"/>
      <c r="J3696" s="133" t="s">
        <v>2487</v>
      </c>
      <c r="K3696" s="133"/>
      <c r="L3696" s="167"/>
      <c r="M3696" s="169"/>
    </row>
    <row r="3697" spans="1:13" x14ac:dyDescent="0.55000000000000004">
      <c r="A3697" s="133" t="s">
        <v>2488</v>
      </c>
      <c r="B3697" s="133" t="s">
        <v>2946</v>
      </c>
      <c r="C3697" s="133" t="s">
        <v>348</v>
      </c>
      <c r="D3697" s="133" t="s">
        <v>3288</v>
      </c>
      <c r="E3697" s="138">
        <v>1</v>
      </c>
      <c r="F3697" s="153" t="s">
        <v>122</v>
      </c>
      <c r="G3697" s="153">
        <v>1</v>
      </c>
      <c r="H3697" s="133" t="s">
        <v>39</v>
      </c>
      <c r="I3697" s="133"/>
      <c r="J3697" s="133" t="s">
        <v>2487</v>
      </c>
      <c r="K3697" s="133"/>
      <c r="L3697" s="167"/>
      <c r="M3697" s="169"/>
    </row>
    <row r="3698" spans="1:13" x14ac:dyDescent="0.55000000000000004">
      <c r="A3698" s="133" t="s">
        <v>2488</v>
      </c>
      <c r="B3698" s="133" t="s">
        <v>1088</v>
      </c>
      <c r="C3698" s="133" t="s">
        <v>127</v>
      </c>
      <c r="D3698" s="133" t="s">
        <v>2994</v>
      </c>
      <c r="E3698" s="138">
        <v>1.36</v>
      </c>
      <c r="F3698" s="153" t="s">
        <v>130</v>
      </c>
      <c r="G3698" s="153">
        <v>1</v>
      </c>
      <c r="H3698" s="133" t="s">
        <v>39</v>
      </c>
      <c r="I3698" s="133"/>
      <c r="J3698" s="133" t="s">
        <v>2487</v>
      </c>
      <c r="K3698" s="133"/>
      <c r="L3698" s="167"/>
      <c r="M3698" s="169"/>
    </row>
    <row r="3699" spans="1:13" x14ac:dyDescent="0.55000000000000004">
      <c r="A3699" s="133" t="s">
        <v>2488</v>
      </c>
      <c r="B3699" s="133" t="s">
        <v>1089</v>
      </c>
      <c r="C3699" s="133" t="s">
        <v>127</v>
      </c>
      <c r="D3699" s="133" t="s">
        <v>2994</v>
      </c>
      <c r="E3699" s="138">
        <v>0.17100000000000001</v>
      </c>
      <c r="F3699" s="153" t="s">
        <v>167</v>
      </c>
      <c r="G3699" s="153">
        <v>1</v>
      </c>
      <c r="H3699" s="133" t="s">
        <v>39</v>
      </c>
      <c r="I3699" s="133"/>
      <c r="J3699" s="133" t="s">
        <v>2487</v>
      </c>
      <c r="K3699" s="133"/>
      <c r="L3699" s="167"/>
      <c r="M3699" s="169"/>
    </row>
    <row r="3700" spans="1:13" x14ac:dyDescent="0.55000000000000004">
      <c r="A3700" s="133" t="s">
        <v>2488</v>
      </c>
      <c r="B3700" s="133" t="s">
        <v>1090</v>
      </c>
      <c r="C3700" s="133" t="s">
        <v>125</v>
      </c>
      <c r="D3700" s="133" t="s">
        <v>3288</v>
      </c>
      <c r="E3700" s="138">
        <v>5.2400000000000002E-2</v>
      </c>
      <c r="F3700" s="153" t="s">
        <v>122</v>
      </c>
      <c r="G3700" s="153">
        <v>1</v>
      </c>
      <c r="H3700" s="133" t="s">
        <v>39</v>
      </c>
      <c r="I3700" s="133"/>
      <c r="J3700" s="133" t="s">
        <v>2487</v>
      </c>
      <c r="K3700" s="133"/>
      <c r="L3700" s="167">
        <v>280440</v>
      </c>
      <c r="M3700" s="169"/>
    </row>
    <row r="3701" spans="1:13" x14ac:dyDescent="0.55000000000000004">
      <c r="A3701" s="133" t="s">
        <v>2488</v>
      </c>
      <c r="B3701" s="133" t="s">
        <v>1138</v>
      </c>
      <c r="C3701" s="133" t="s">
        <v>156</v>
      </c>
      <c r="D3701" s="133" t="s">
        <v>3288</v>
      </c>
      <c r="E3701" s="138">
        <v>0.21</v>
      </c>
      <c r="F3701" s="153" t="s">
        <v>122</v>
      </c>
      <c r="G3701" s="153">
        <v>1</v>
      </c>
      <c r="H3701" s="133" t="s">
        <v>39</v>
      </c>
      <c r="I3701" s="133"/>
      <c r="J3701" s="133" t="s">
        <v>2487</v>
      </c>
      <c r="K3701" s="133"/>
      <c r="L3701" s="167">
        <v>740311</v>
      </c>
      <c r="M3701" s="169"/>
    </row>
    <row r="3702" spans="1:13" x14ac:dyDescent="0.55000000000000004">
      <c r="A3702" s="133" t="s">
        <v>2488</v>
      </c>
      <c r="B3702" s="133" t="s">
        <v>632</v>
      </c>
      <c r="C3702" s="133" t="s">
        <v>124</v>
      </c>
      <c r="D3702" s="133" t="s">
        <v>3288</v>
      </c>
      <c r="E3702" s="138">
        <v>1.5699999999999999E-4</v>
      </c>
      <c r="F3702" s="153" t="s">
        <v>122</v>
      </c>
      <c r="G3702" s="153">
        <v>1</v>
      </c>
      <c r="H3702" s="133" t="s">
        <v>39</v>
      </c>
      <c r="I3702" s="133"/>
      <c r="J3702" s="133" t="s">
        <v>2487</v>
      </c>
      <c r="K3702" s="133"/>
      <c r="L3702" s="167"/>
      <c r="M3702" s="169"/>
    </row>
    <row r="3703" spans="1:13" x14ac:dyDescent="0.55000000000000004">
      <c r="A3703" s="133" t="s">
        <v>2488</v>
      </c>
      <c r="B3703" s="133" t="s">
        <v>726</v>
      </c>
      <c r="C3703" s="133" t="s">
        <v>124</v>
      </c>
      <c r="D3703" s="133" t="s">
        <v>3288</v>
      </c>
      <c r="E3703" s="138">
        <v>1.11E-6</v>
      </c>
      <c r="F3703" s="153" t="s">
        <v>122</v>
      </c>
      <c r="G3703" s="153">
        <v>1</v>
      </c>
      <c r="H3703" s="133" t="s">
        <v>39</v>
      </c>
      <c r="I3703" s="133"/>
      <c r="J3703" s="133" t="s">
        <v>2487</v>
      </c>
      <c r="K3703" s="133"/>
      <c r="L3703" s="167"/>
      <c r="M3703" s="169"/>
    </row>
    <row r="3704" spans="1:13" x14ac:dyDescent="0.55000000000000004">
      <c r="A3704" s="133" t="s">
        <v>2488</v>
      </c>
      <c r="B3704" s="133" t="s">
        <v>1093</v>
      </c>
      <c r="C3704" s="133" t="s">
        <v>124</v>
      </c>
      <c r="D3704" s="133" t="s">
        <v>3288</v>
      </c>
      <c r="E3704" s="138">
        <v>3.1100000000000002E-9</v>
      </c>
      <c r="F3704" s="153" t="s">
        <v>122</v>
      </c>
      <c r="G3704" s="153">
        <v>1</v>
      </c>
      <c r="H3704" s="133" t="s">
        <v>39</v>
      </c>
      <c r="I3704" s="133"/>
      <c r="J3704" s="133" t="s">
        <v>2487</v>
      </c>
      <c r="K3704" s="133"/>
      <c r="L3704" s="167"/>
      <c r="M3704" s="169"/>
    </row>
    <row r="3705" spans="1:13" x14ac:dyDescent="0.55000000000000004">
      <c r="A3705" s="133" t="s">
        <v>2488</v>
      </c>
      <c r="B3705" s="133" t="s">
        <v>1094</v>
      </c>
      <c r="C3705" s="133" t="s">
        <v>124</v>
      </c>
      <c r="D3705" s="133" t="s">
        <v>3288</v>
      </c>
      <c r="E3705" s="138">
        <v>1.26E-6</v>
      </c>
      <c r="F3705" s="153" t="s">
        <v>122</v>
      </c>
      <c r="G3705" s="153">
        <v>1</v>
      </c>
      <c r="H3705" s="133" t="s">
        <v>39</v>
      </c>
      <c r="I3705" s="133"/>
      <c r="J3705" s="133" t="s">
        <v>2487</v>
      </c>
      <c r="K3705" s="133"/>
      <c r="L3705" s="167"/>
      <c r="M3705" s="169"/>
    </row>
    <row r="3706" spans="1:13" x14ac:dyDescent="0.55000000000000004">
      <c r="A3706" s="133" t="s">
        <v>2488</v>
      </c>
      <c r="B3706" s="133" t="s">
        <v>891</v>
      </c>
      <c r="C3706" s="133" t="s">
        <v>124</v>
      </c>
      <c r="D3706" s="133" t="s">
        <v>3288</v>
      </c>
      <c r="E3706" s="138">
        <v>4.2999999999999999E-4</v>
      </c>
      <c r="F3706" s="153" t="s">
        <v>122</v>
      </c>
      <c r="G3706" s="153">
        <v>1</v>
      </c>
      <c r="H3706" s="133" t="s">
        <v>39</v>
      </c>
      <c r="I3706" s="133"/>
      <c r="J3706" s="133" t="s">
        <v>2487</v>
      </c>
      <c r="K3706" s="133"/>
      <c r="L3706" s="167"/>
      <c r="M3706" s="169"/>
    </row>
    <row r="3707" spans="1:13" x14ac:dyDescent="0.55000000000000004">
      <c r="A3707" s="133" t="s">
        <v>2488</v>
      </c>
      <c r="B3707" s="133" t="s">
        <v>1097</v>
      </c>
      <c r="C3707" s="133" t="s">
        <v>124</v>
      </c>
      <c r="D3707" s="133" t="s">
        <v>3288</v>
      </c>
      <c r="E3707" s="138">
        <v>3.3000000000000003E-5</v>
      </c>
      <c r="F3707" s="153" t="s">
        <v>122</v>
      </c>
      <c r="G3707" s="153">
        <v>1</v>
      </c>
      <c r="H3707" s="133" t="s">
        <v>39</v>
      </c>
      <c r="I3707" s="133"/>
      <c r="J3707" s="133" t="s">
        <v>2487</v>
      </c>
      <c r="K3707" s="133"/>
      <c r="L3707" s="167"/>
      <c r="M3707" s="169"/>
    </row>
    <row r="3708" spans="1:13" x14ac:dyDescent="0.55000000000000004">
      <c r="A3708" s="133" t="s">
        <v>2488</v>
      </c>
      <c r="B3708" s="133" t="s">
        <v>1098</v>
      </c>
      <c r="C3708" s="133" t="s">
        <v>124</v>
      </c>
      <c r="D3708" s="133" t="s">
        <v>3288</v>
      </c>
      <c r="E3708" s="138">
        <v>1.1000000000000001E-5</v>
      </c>
      <c r="F3708" s="153" t="s">
        <v>122</v>
      </c>
      <c r="G3708" s="153">
        <v>1</v>
      </c>
      <c r="H3708" s="133" t="s">
        <v>39</v>
      </c>
      <c r="I3708" s="133"/>
      <c r="J3708" s="133" t="s">
        <v>2487</v>
      </c>
      <c r="K3708" s="133"/>
      <c r="L3708" s="167"/>
      <c r="M3708" s="169"/>
    </row>
    <row r="3709" spans="1:13" x14ac:dyDescent="0.55000000000000004">
      <c r="A3709" s="133" t="s">
        <v>2488</v>
      </c>
      <c r="B3709" s="133" t="s">
        <v>1099</v>
      </c>
      <c r="C3709" s="133" t="s">
        <v>124</v>
      </c>
      <c r="D3709" s="133" t="s">
        <v>3288</v>
      </c>
      <c r="E3709" s="138">
        <v>2.2000000000000003E-5</v>
      </c>
      <c r="F3709" s="153" t="s">
        <v>122</v>
      </c>
      <c r="G3709" s="153">
        <v>1</v>
      </c>
      <c r="H3709" s="133" t="s">
        <v>39</v>
      </c>
      <c r="I3709" s="133"/>
      <c r="J3709" s="133" t="s">
        <v>2487</v>
      </c>
      <c r="K3709" s="133"/>
      <c r="L3709" s="167"/>
      <c r="M3709" s="169"/>
    </row>
    <row r="3710" spans="1:13" x14ac:dyDescent="0.55000000000000004">
      <c r="A3710" s="133" t="s">
        <v>2488</v>
      </c>
      <c r="B3710" s="133" t="s">
        <v>1172</v>
      </c>
      <c r="C3710" s="133" t="s">
        <v>124</v>
      </c>
      <c r="D3710" s="133" t="s">
        <v>3288</v>
      </c>
      <c r="E3710" s="138">
        <v>3.3300000000000002E-4</v>
      </c>
      <c r="F3710" s="153" t="s">
        <v>122</v>
      </c>
      <c r="G3710" s="153">
        <v>1</v>
      </c>
      <c r="H3710" s="133" t="s">
        <v>39</v>
      </c>
      <c r="I3710" s="133"/>
      <c r="J3710" s="133" t="s">
        <v>2487</v>
      </c>
      <c r="K3710" s="133"/>
      <c r="L3710" s="167"/>
      <c r="M3710" s="169"/>
    </row>
    <row r="3711" spans="1:13" x14ac:dyDescent="0.55000000000000004">
      <c r="A3711" s="133" t="s">
        <v>2488</v>
      </c>
      <c r="B3711" s="133" t="s">
        <v>181</v>
      </c>
      <c r="C3711" s="133" t="s">
        <v>163</v>
      </c>
      <c r="D3711" s="133" t="s">
        <v>3288</v>
      </c>
      <c r="E3711" s="138">
        <v>0.84141162689000004</v>
      </c>
      <c r="F3711" s="153" t="s">
        <v>122</v>
      </c>
      <c r="G3711" s="153">
        <v>1</v>
      </c>
      <c r="H3711" s="133" t="s">
        <v>39</v>
      </c>
      <c r="I3711" s="133"/>
      <c r="J3711" s="133" t="s">
        <v>2487</v>
      </c>
      <c r="K3711" s="133"/>
      <c r="L3711" s="167"/>
      <c r="M3711" s="169"/>
    </row>
    <row r="3712" spans="1:13" x14ac:dyDescent="0.55000000000000004">
      <c r="A3712" s="133" t="s">
        <v>2491</v>
      </c>
      <c r="B3712" s="133" t="s">
        <v>2947</v>
      </c>
      <c r="C3712" s="133" t="s">
        <v>121</v>
      </c>
      <c r="D3712" s="133" t="s">
        <v>2682</v>
      </c>
      <c r="E3712" s="138">
        <v>1</v>
      </c>
      <c r="F3712" s="153">
        <v>1</v>
      </c>
      <c r="G3712" s="153">
        <v>1</v>
      </c>
      <c r="H3712" s="133" t="s">
        <v>39</v>
      </c>
      <c r="I3712" s="133"/>
      <c r="J3712" s="133" t="s">
        <v>2490</v>
      </c>
      <c r="K3712" s="133"/>
      <c r="L3712" s="167"/>
      <c r="M3712" s="169"/>
    </row>
    <row r="3713" spans="1:13" x14ac:dyDescent="0.55000000000000004">
      <c r="A3713" s="133" t="s">
        <v>2491</v>
      </c>
      <c r="B3713" s="133" t="s">
        <v>2939</v>
      </c>
      <c r="C3713" s="133" t="s">
        <v>207</v>
      </c>
      <c r="D3713" s="133" t="s">
        <v>3288</v>
      </c>
      <c r="E3713" s="138">
        <v>1</v>
      </c>
      <c r="F3713" s="153" t="s">
        <v>122</v>
      </c>
      <c r="G3713" s="153">
        <v>1</v>
      </c>
      <c r="H3713" s="133" t="s">
        <v>39</v>
      </c>
      <c r="I3713" s="133"/>
      <c r="J3713" s="133" t="s">
        <v>2490</v>
      </c>
      <c r="K3713" s="133"/>
      <c r="L3713" s="167"/>
      <c r="M3713" s="169"/>
    </row>
    <row r="3714" spans="1:13" x14ac:dyDescent="0.55000000000000004">
      <c r="A3714" s="133" t="s">
        <v>2491</v>
      </c>
      <c r="B3714" s="133" t="s">
        <v>2948</v>
      </c>
      <c r="C3714" s="133" t="s">
        <v>125</v>
      </c>
      <c r="D3714" s="133" t="s">
        <v>3288</v>
      </c>
      <c r="E3714" s="138">
        <v>2.5000000000000001E-2</v>
      </c>
      <c r="F3714" s="153" t="s">
        <v>122</v>
      </c>
      <c r="G3714" s="153">
        <v>1</v>
      </c>
      <c r="H3714" s="133" t="s">
        <v>39</v>
      </c>
      <c r="I3714" s="133"/>
      <c r="J3714" s="133" t="s">
        <v>2490</v>
      </c>
      <c r="K3714" s="133"/>
      <c r="L3714" s="167">
        <v>28</v>
      </c>
      <c r="M3714" s="169"/>
    </row>
    <row r="3715" spans="1:13" x14ac:dyDescent="0.55000000000000004">
      <c r="A3715" s="133" t="s">
        <v>2491</v>
      </c>
      <c r="B3715" s="133" t="s">
        <v>2631</v>
      </c>
      <c r="C3715" s="133" t="s">
        <v>127</v>
      </c>
      <c r="D3715" s="133" t="s">
        <v>2994</v>
      </c>
      <c r="E3715" s="138">
        <v>0.14000000000000001</v>
      </c>
      <c r="F3715" s="153" t="s">
        <v>130</v>
      </c>
      <c r="G3715" s="153">
        <v>1</v>
      </c>
      <c r="H3715" s="133" t="s">
        <v>39</v>
      </c>
      <c r="I3715" s="133"/>
      <c r="J3715" s="133" t="s">
        <v>2490</v>
      </c>
      <c r="K3715" s="133"/>
      <c r="L3715" s="167"/>
      <c r="M3715" s="169"/>
    </row>
    <row r="3716" spans="1:13" x14ac:dyDescent="0.55000000000000004">
      <c r="A3716" s="133" t="s">
        <v>2491</v>
      </c>
      <c r="B3716" s="133" t="s">
        <v>2949</v>
      </c>
      <c r="C3716" s="133" t="s">
        <v>125</v>
      </c>
      <c r="D3716" s="133" t="s">
        <v>3288</v>
      </c>
      <c r="E3716" s="138">
        <v>0.11600000000000001</v>
      </c>
      <c r="F3716" s="153" t="s">
        <v>122</v>
      </c>
      <c r="G3716" s="153">
        <v>1</v>
      </c>
      <c r="H3716" s="133" t="s">
        <v>39</v>
      </c>
      <c r="I3716" s="133"/>
      <c r="J3716" s="133" t="s">
        <v>2490</v>
      </c>
      <c r="K3716" s="133"/>
      <c r="L3716" s="167">
        <v>2522</v>
      </c>
      <c r="M3716" s="169"/>
    </row>
    <row r="3717" spans="1:13" x14ac:dyDescent="0.55000000000000004">
      <c r="A3717" s="133" t="s">
        <v>2491</v>
      </c>
      <c r="B3717" s="133" t="s">
        <v>145</v>
      </c>
      <c r="C3717" s="133" t="s">
        <v>125</v>
      </c>
      <c r="D3717" s="133" t="s">
        <v>3288</v>
      </c>
      <c r="E3717" s="138">
        <v>0.23100000000000001</v>
      </c>
      <c r="F3717" s="153" t="s">
        <v>122</v>
      </c>
      <c r="G3717" s="153">
        <v>1</v>
      </c>
      <c r="H3717" s="133" t="s">
        <v>39</v>
      </c>
      <c r="I3717" s="133"/>
      <c r="J3717" s="133" t="s">
        <v>2490</v>
      </c>
      <c r="K3717" s="133"/>
      <c r="L3717" s="167">
        <v>280700</v>
      </c>
      <c r="M3717" s="169"/>
    </row>
    <row r="3718" spans="1:13" x14ac:dyDescent="0.55000000000000004">
      <c r="A3718" s="133" t="s">
        <v>2491</v>
      </c>
      <c r="B3718" s="133" t="s">
        <v>154</v>
      </c>
      <c r="C3718" s="133" t="s">
        <v>132</v>
      </c>
      <c r="D3718" s="133" t="s">
        <v>3289</v>
      </c>
      <c r="E3718" s="138">
        <v>7.2000000000000005E-4</v>
      </c>
      <c r="F3718" s="153" t="s">
        <v>133</v>
      </c>
      <c r="G3718" s="153">
        <v>1</v>
      </c>
      <c r="H3718" s="133" t="s">
        <v>39</v>
      </c>
      <c r="I3718" s="133"/>
      <c r="J3718" s="133" t="s">
        <v>2490</v>
      </c>
      <c r="K3718" s="133"/>
      <c r="L3718" s="167"/>
      <c r="M3718" s="169"/>
    </row>
    <row r="3719" spans="1:13" x14ac:dyDescent="0.55000000000000004">
      <c r="A3719" s="133" t="s">
        <v>2491</v>
      </c>
      <c r="B3719" s="133" t="s">
        <v>2940</v>
      </c>
      <c r="C3719" s="133" t="s">
        <v>156</v>
      </c>
      <c r="D3719" s="133" t="s">
        <v>3288</v>
      </c>
      <c r="E3719" s="138">
        <v>0.16500000000000001</v>
      </c>
      <c r="F3719" s="153" t="s">
        <v>122</v>
      </c>
      <c r="G3719" s="153">
        <v>1</v>
      </c>
      <c r="H3719" s="133" t="s">
        <v>39</v>
      </c>
      <c r="I3719" s="133"/>
      <c r="J3719" s="133" t="s">
        <v>2490</v>
      </c>
      <c r="K3719" s="133"/>
      <c r="L3719" s="167">
        <v>7204</v>
      </c>
      <c r="M3719" s="169"/>
    </row>
    <row r="3720" spans="1:13" x14ac:dyDescent="0.55000000000000004">
      <c r="A3720" s="133" t="s">
        <v>2491</v>
      </c>
      <c r="B3720" s="133" t="s">
        <v>2950</v>
      </c>
      <c r="C3720" s="133" t="s">
        <v>156</v>
      </c>
      <c r="D3720" s="133" t="s">
        <v>3288</v>
      </c>
      <c r="E3720" s="138">
        <v>0.19800000000000001</v>
      </c>
      <c r="F3720" s="153" t="s">
        <v>122</v>
      </c>
      <c r="G3720" s="153">
        <v>1</v>
      </c>
      <c r="H3720" s="133" t="s">
        <v>39</v>
      </c>
      <c r="I3720" s="133"/>
      <c r="J3720" s="133" t="s">
        <v>2490</v>
      </c>
      <c r="K3720" s="133"/>
      <c r="L3720" s="167">
        <v>283691</v>
      </c>
      <c r="M3720" s="169"/>
    </row>
    <row r="3721" spans="1:13" x14ac:dyDescent="0.55000000000000004">
      <c r="A3721" s="133" t="s">
        <v>2491</v>
      </c>
      <c r="B3721" s="133" t="s">
        <v>2942</v>
      </c>
      <c r="C3721" s="133" t="s">
        <v>156</v>
      </c>
      <c r="D3721" s="133" t="s">
        <v>3288</v>
      </c>
      <c r="E3721" s="138">
        <v>0.34</v>
      </c>
      <c r="F3721" s="153" t="s">
        <v>122</v>
      </c>
      <c r="G3721" s="153">
        <v>1</v>
      </c>
      <c r="H3721" s="133" t="s">
        <v>39</v>
      </c>
      <c r="I3721" s="133"/>
      <c r="J3721" s="133" t="s">
        <v>2490</v>
      </c>
      <c r="K3721" s="133"/>
      <c r="L3721" s="167">
        <v>810530</v>
      </c>
      <c r="M3721" s="169"/>
    </row>
    <row r="3722" spans="1:13" x14ac:dyDescent="0.55000000000000004">
      <c r="A3722" s="133" t="s">
        <v>2491</v>
      </c>
      <c r="B3722" s="133" t="s">
        <v>2951</v>
      </c>
      <c r="C3722" s="133" t="s">
        <v>163</v>
      </c>
      <c r="D3722" s="133" t="s">
        <v>3288</v>
      </c>
      <c r="E3722" s="138">
        <v>0.20200000000000001</v>
      </c>
      <c r="F3722" s="153" t="s">
        <v>122</v>
      </c>
      <c r="G3722" s="153">
        <v>1</v>
      </c>
      <c r="H3722" s="133" t="s">
        <v>39</v>
      </c>
      <c r="I3722" s="133"/>
      <c r="J3722" s="133" t="s">
        <v>2490</v>
      </c>
      <c r="K3722" s="133"/>
      <c r="L3722" s="167"/>
      <c r="M3722" s="169"/>
    </row>
    <row r="3723" spans="1:13" x14ac:dyDescent="0.55000000000000004">
      <c r="A3723" s="133" t="s">
        <v>2491</v>
      </c>
      <c r="B3723" s="133" t="s">
        <v>2943</v>
      </c>
      <c r="C3723" s="133" t="s">
        <v>163</v>
      </c>
      <c r="D3723" s="133" t="s">
        <v>3288</v>
      </c>
      <c r="E3723" s="138">
        <v>0.15</v>
      </c>
      <c r="F3723" s="153" t="s">
        <v>122</v>
      </c>
      <c r="G3723" s="153">
        <v>1</v>
      </c>
      <c r="H3723" s="133" t="s">
        <v>39</v>
      </c>
      <c r="I3723" s="133"/>
      <c r="J3723" s="133" t="s">
        <v>2490</v>
      </c>
      <c r="K3723" s="133"/>
      <c r="L3723" s="167"/>
      <c r="M3723" s="169"/>
    </row>
    <row r="3724" spans="1:13" x14ac:dyDescent="0.55000000000000004">
      <c r="A3724" s="133" t="s">
        <v>2491</v>
      </c>
      <c r="B3724" s="133" t="s">
        <v>2635</v>
      </c>
      <c r="C3724" s="133" t="s">
        <v>163</v>
      </c>
      <c r="D3724" s="133" t="s">
        <v>3288</v>
      </c>
      <c r="E3724" s="138">
        <v>6.5000000000000002E-2</v>
      </c>
      <c r="F3724" s="153" t="s">
        <v>122</v>
      </c>
      <c r="G3724" s="153">
        <v>1</v>
      </c>
      <c r="H3724" s="133" t="s">
        <v>39</v>
      </c>
      <c r="I3724" s="133"/>
      <c r="J3724" s="133" t="s">
        <v>2490</v>
      </c>
      <c r="K3724" s="133"/>
      <c r="L3724" s="167"/>
      <c r="M3724" s="169"/>
    </row>
    <row r="3725" spans="1:13" x14ac:dyDescent="0.55000000000000004">
      <c r="A3725" s="133" t="s">
        <v>2491</v>
      </c>
      <c r="B3725" s="133" t="s">
        <v>2952</v>
      </c>
      <c r="C3725" s="133" t="s">
        <v>163</v>
      </c>
      <c r="D3725" s="133" t="s">
        <v>3288</v>
      </c>
      <c r="E3725" s="138">
        <v>0.33900000000000002</v>
      </c>
      <c r="F3725" s="153" t="s">
        <v>122</v>
      </c>
      <c r="G3725" s="153">
        <v>1</v>
      </c>
      <c r="H3725" s="133" t="s">
        <v>39</v>
      </c>
      <c r="I3725" s="133"/>
      <c r="J3725" s="133" t="s">
        <v>2490</v>
      </c>
      <c r="K3725" s="133"/>
      <c r="L3725" s="167"/>
      <c r="M3725" s="169"/>
    </row>
    <row r="3726" spans="1:13" x14ac:dyDescent="0.55000000000000004">
      <c r="A3726" s="133" t="s">
        <v>2491</v>
      </c>
      <c r="B3726" s="133" t="s">
        <v>2637</v>
      </c>
      <c r="C3726" s="133" t="s">
        <v>163</v>
      </c>
      <c r="D3726" s="133" t="s">
        <v>3288</v>
      </c>
      <c r="E3726" s="138">
        <v>6.5000000000000002E-2</v>
      </c>
      <c r="F3726" s="153" t="s">
        <v>122</v>
      </c>
      <c r="G3726" s="153">
        <v>1</v>
      </c>
      <c r="H3726" s="133" t="s">
        <v>39</v>
      </c>
      <c r="I3726" s="133"/>
      <c r="J3726" s="133" t="s">
        <v>2490</v>
      </c>
      <c r="K3726" s="133"/>
      <c r="L3726" s="167">
        <v>3915</v>
      </c>
      <c r="M3726" s="169"/>
    </row>
    <row r="3727" spans="1:13" x14ac:dyDescent="0.55000000000000004">
      <c r="A3727" s="133" t="s">
        <v>2491</v>
      </c>
      <c r="B3727" s="133" t="s">
        <v>2953</v>
      </c>
      <c r="C3727" s="133" t="s">
        <v>124</v>
      </c>
      <c r="D3727" s="133" t="s">
        <v>3288</v>
      </c>
      <c r="E3727" s="138">
        <v>2.4999999999999998E-6</v>
      </c>
      <c r="F3727" s="153" t="s">
        <v>122</v>
      </c>
      <c r="G3727" s="153">
        <v>1</v>
      </c>
      <c r="H3727" s="133" t="s">
        <v>39</v>
      </c>
      <c r="I3727" s="133"/>
      <c r="J3727" s="133" t="s">
        <v>2490</v>
      </c>
      <c r="K3727" s="133"/>
      <c r="L3727" s="167"/>
      <c r="M3727" s="169"/>
    </row>
    <row r="3728" spans="1:13" x14ac:dyDescent="0.55000000000000004">
      <c r="A3728" s="133" t="s">
        <v>2491</v>
      </c>
      <c r="B3728" s="133" t="s">
        <v>1172</v>
      </c>
      <c r="C3728" s="133" t="s">
        <v>124</v>
      </c>
      <c r="D3728" s="133" t="s">
        <v>3288</v>
      </c>
      <c r="E3728" s="138">
        <v>4.5000000000000001E-6</v>
      </c>
      <c r="F3728" s="153" t="s">
        <v>122</v>
      </c>
      <c r="G3728" s="153">
        <v>1</v>
      </c>
      <c r="H3728" s="133" t="s">
        <v>39</v>
      </c>
      <c r="I3728" s="133"/>
      <c r="J3728" s="133" t="s">
        <v>2490</v>
      </c>
      <c r="K3728" s="133"/>
      <c r="L3728" s="167"/>
      <c r="M3728" s="169"/>
    </row>
    <row r="3729" spans="1:13" x14ac:dyDescent="0.55000000000000004">
      <c r="A3729" s="133" t="s">
        <v>2491</v>
      </c>
      <c r="B3729" s="133" t="s">
        <v>154</v>
      </c>
      <c r="C3729" s="133" t="s">
        <v>124</v>
      </c>
      <c r="D3729" s="133" t="s">
        <v>3289</v>
      </c>
      <c r="E3729" s="138">
        <v>7.2000000000000005E-4</v>
      </c>
      <c r="F3729" s="153" t="s">
        <v>133</v>
      </c>
      <c r="G3729" s="153">
        <v>1</v>
      </c>
      <c r="H3729" s="133" t="s">
        <v>39</v>
      </c>
      <c r="I3729" s="133"/>
      <c r="J3729" s="133" t="s">
        <v>2490</v>
      </c>
      <c r="K3729" s="133"/>
      <c r="L3729" s="167"/>
      <c r="M3729" s="169"/>
    </row>
    <row r="3730" spans="1:13" x14ac:dyDescent="0.55000000000000004">
      <c r="A3730" s="133" t="s">
        <v>2491</v>
      </c>
      <c r="B3730" s="133" t="s">
        <v>2954</v>
      </c>
      <c r="C3730" s="133" t="s">
        <v>124</v>
      </c>
      <c r="D3730" s="133" t="s">
        <v>3288</v>
      </c>
      <c r="E3730" s="138">
        <v>6.0000000000000008E-5</v>
      </c>
      <c r="F3730" s="153" t="s">
        <v>122</v>
      </c>
      <c r="G3730" s="153">
        <v>1</v>
      </c>
      <c r="H3730" s="133" t="s">
        <v>39</v>
      </c>
      <c r="I3730" s="133"/>
      <c r="J3730" s="133" t="s">
        <v>2490</v>
      </c>
      <c r="K3730" s="133"/>
      <c r="L3730" s="167"/>
      <c r="M3730" s="169"/>
    </row>
    <row r="3731" spans="1:13" x14ac:dyDescent="0.55000000000000004">
      <c r="A3731" s="133" t="s">
        <v>2491</v>
      </c>
      <c r="B3731" s="133" t="s">
        <v>2603</v>
      </c>
      <c r="C3731" s="133" t="s">
        <v>124</v>
      </c>
      <c r="D3731" s="133" t="s">
        <v>3288</v>
      </c>
      <c r="E3731" s="138">
        <v>3.0000000000000004E-5</v>
      </c>
      <c r="F3731" s="153" t="s">
        <v>122</v>
      </c>
      <c r="G3731" s="153">
        <v>1</v>
      </c>
      <c r="H3731" s="133" t="s">
        <v>39</v>
      </c>
      <c r="I3731" s="133"/>
      <c r="J3731" s="133" t="s">
        <v>2490</v>
      </c>
      <c r="K3731" s="133"/>
      <c r="L3731" s="167"/>
      <c r="M3731" s="169"/>
    </row>
    <row r="3732" spans="1:13" x14ac:dyDescent="0.55000000000000004">
      <c r="A3732" s="133" t="s">
        <v>2491</v>
      </c>
      <c r="B3732" s="133" t="s">
        <v>2955</v>
      </c>
      <c r="C3732" s="133" t="s">
        <v>124</v>
      </c>
      <c r="D3732" s="133" t="s">
        <v>3288</v>
      </c>
      <c r="E3732" s="138">
        <v>1.7E-8</v>
      </c>
      <c r="F3732" s="153" t="s">
        <v>122</v>
      </c>
      <c r="G3732" s="153">
        <v>1</v>
      </c>
      <c r="H3732" s="133" t="s">
        <v>39</v>
      </c>
      <c r="I3732" s="133"/>
      <c r="J3732" s="133" t="s">
        <v>2490</v>
      </c>
      <c r="K3732" s="133"/>
      <c r="L3732" s="167"/>
      <c r="M3732" s="169"/>
    </row>
    <row r="3733" spans="1:13" x14ac:dyDescent="0.55000000000000004">
      <c r="A3733" s="133" t="s">
        <v>2491</v>
      </c>
      <c r="B3733" s="133" t="s">
        <v>1092</v>
      </c>
      <c r="C3733" s="133" t="s">
        <v>124</v>
      </c>
      <c r="D3733" s="133" t="s">
        <v>3288</v>
      </c>
      <c r="E3733" s="138">
        <v>1.6499999999999999E-8</v>
      </c>
      <c r="F3733" s="153" t="s">
        <v>122</v>
      </c>
      <c r="G3733" s="153">
        <v>1</v>
      </c>
      <c r="H3733" s="133" t="s">
        <v>39</v>
      </c>
      <c r="I3733" s="133"/>
      <c r="J3733" s="133" t="s">
        <v>2490</v>
      </c>
      <c r="K3733" s="133"/>
      <c r="L3733" s="167"/>
      <c r="M3733" s="169"/>
    </row>
    <row r="3734" spans="1:13" x14ac:dyDescent="0.55000000000000004">
      <c r="A3734" s="133" t="s">
        <v>2491</v>
      </c>
      <c r="B3734" s="133" t="s">
        <v>2605</v>
      </c>
      <c r="C3734" s="133" t="s">
        <v>124</v>
      </c>
      <c r="D3734" s="133" t="s">
        <v>3288</v>
      </c>
      <c r="E3734" s="138">
        <v>1.1100000000000002E-5</v>
      </c>
      <c r="F3734" s="153" t="s">
        <v>122</v>
      </c>
      <c r="G3734" s="153">
        <v>1</v>
      </c>
      <c r="H3734" s="133" t="s">
        <v>39</v>
      </c>
      <c r="I3734" s="133"/>
      <c r="J3734" s="133" t="s">
        <v>2490</v>
      </c>
      <c r="K3734" s="133"/>
      <c r="L3734" s="167"/>
      <c r="M3734" s="169"/>
    </row>
    <row r="3735" spans="1:13" x14ac:dyDescent="0.55000000000000004">
      <c r="A3735" s="133" t="s">
        <v>2491</v>
      </c>
      <c r="B3735" s="133" t="s">
        <v>2956</v>
      </c>
      <c r="C3735" s="133" t="s">
        <v>124</v>
      </c>
      <c r="D3735" s="133" t="s">
        <v>3288</v>
      </c>
      <c r="E3735" s="138">
        <v>3.0000000000000004E-8</v>
      </c>
      <c r="F3735" s="153" t="s">
        <v>122</v>
      </c>
      <c r="G3735" s="153">
        <v>1</v>
      </c>
      <c r="H3735" s="133" t="s">
        <v>39</v>
      </c>
      <c r="I3735" s="133"/>
      <c r="J3735" s="133" t="s">
        <v>2490</v>
      </c>
      <c r="K3735" s="133"/>
      <c r="L3735" s="167"/>
      <c r="M3735" s="169"/>
    </row>
    <row r="3736" spans="1:13" x14ac:dyDescent="0.55000000000000004">
      <c r="A3736" s="133" t="s">
        <v>2491</v>
      </c>
      <c r="B3736" s="133" t="s">
        <v>2957</v>
      </c>
      <c r="C3736" s="133" t="s">
        <v>124</v>
      </c>
      <c r="D3736" s="133" t="s">
        <v>3288</v>
      </c>
      <c r="E3736" s="138">
        <v>1E-8</v>
      </c>
      <c r="F3736" s="153" t="s">
        <v>122</v>
      </c>
      <c r="G3736" s="153">
        <v>1</v>
      </c>
      <c r="H3736" s="133" t="s">
        <v>39</v>
      </c>
      <c r="I3736" s="133"/>
      <c r="J3736" s="133" t="s">
        <v>2490</v>
      </c>
      <c r="K3736" s="133"/>
      <c r="L3736" s="167"/>
      <c r="M3736" s="169"/>
    </row>
    <row r="3737" spans="1:13" x14ac:dyDescent="0.55000000000000004">
      <c r="A3737" s="133" t="s">
        <v>2491</v>
      </c>
      <c r="B3737" s="133" t="s">
        <v>2958</v>
      </c>
      <c r="C3737" s="133" t="s">
        <v>124</v>
      </c>
      <c r="D3737" s="133" t="s">
        <v>3288</v>
      </c>
      <c r="E3737" s="138">
        <v>1.6499999999999999E-8</v>
      </c>
      <c r="F3737" s="153" t="s">
        <v>122</v>
      </c>
      <c r="G3737" s="153">
        <v>1</v>
      </c>
      <c r="H3737" s="133" t="s">
        <v>39</v>
      </c>
      <c r="I3737" s="133"/>
      <c r="J3737" s="133" t="s">
        <v>2490</v>
      </c>
      <c r="K3737" s="133"/>
      <c r="L3737" s="167"/>
      <c r="M3737" s="169"/>
    </row>
    <row r="3738" spans="1:13" x14ac:dyDescent="0.55000000000000004">
      <c r="A3738" s="133" t="s">
        <v>2491</v>
      </c>
      <c r="B3738" s="133" t="s">
        <v>2959</v>
      </c>
      <c r="C3738" s="133" t="s">
        <v>124</v>
      </c>
      <c r="D3738" s="133" t="s">
        <v>3288</v>
      </c>
      <c r="E3738" s="138">
        <v>1.2E-5</v>
      </c>
      <c r="F3738" s="153" t="s">
        <v>122</v>
      </c>
      <c r="G3738" s="153">
        <v>1</v>
      </c>
      <c r="H3738" s="133" t="s">
        <v>39</v>
      </c>
      <c r="I3738" s="133"/>
      <c r="J3738" s="133" t="s">
        <v>2490</v>
      </c>
      <c r="K3738" s="133"/>
      <c r="L3738" s="167"/>
      <c r="M3738" s="169"/>
    </row>
    <row r="3739" spans="1:13" x14ac:dyDescent="0.55000000000000004">
      <c r="A3739" s="133" t="s">
        <v>2491</v>
      </c>
      <c r="B3739" s="133" t="s">
        <v>2611</v>
      </c>
      <c r="C3739" s="133" t="s">
        <v>124</v>
      </c>
      <c r="D3739" s="133" t="s">
        <v>3288</v>
      </c>
      <c r="E3739" s="138">
        <v>1.1100000000000002E-5</v>
      </c>
      <c r="F3739" s="153" t="s">
        <v>122</v>
      </c>
      <c r="G3739" s="153">
        <v>1</v>
      </c>
      <c r="H3739" s="133" t="s">
        <v>39</v>
      </c>
      <c r="I3739" s="133"/>
      <c r="J3739" s="133" t="s">
        <v>2490</v>
      </c>
      <c r="K3739" s="133"/>
      <c r="L3739" s="167"/>
      <c r="M3739" s="169"/>
    </row>
    <row r="3740" spans="1:13" x14ac:dyDescent="0.55000000000000004">
      <c r="A3740" s="133" t="s">
        <v>2494</v>
      </c>
      <c r="B3740" s="133" t="s">
        <v>2960</v>
      </c>
      <c r="C3740" s="133" t="s">
        <v>121</v>
      </c>
      <c r="D3740" s="133" t="s">
        <v>2682</v>
      </c>
      <c r="E3740" s="138">
        <v>1</v>
      </c>
      <c r="F3740" s="153">
        <v>1</v>
      </c>
      <c r="G3740" s="153">
        <v>1</v>
      </c>
      <c r="H3740" s="133" t="s">
        <v>39</v>
      </c>
      <c r="I3740" s="133"/>
      <c r="J3740" s="133" t="s">
        <v>2493</v>
      </c>
      <c r="K3740" s="133"/>
      <c r="L3740" s="167"/>
      <c r="M3740" s="169"/>
    </row>
    <row r="3741" spans="1:13" x14ac:dyDescent="0.55000000000000004">
      <c r="A3741" s="133" t="s">
        <v>2494</v>
      </c>
      <c r="B3741" s="133" t="s">
        <v>2961</v>
      </c>
      <c r="C3741" s="133" t="s">
        <v>348</v>
      </c>
      <c r="D3741" s="133" t="s">
        <v>3288</v>
      </c>
      <c r="E3741" s="138">
        <v>1</v>
      </c>
      <c r="F3741" s="153" t="s">
        <v>122</v>
      </c>
      <c r="G3741" s="153">
        <v>1</v>
      </c>
      <c r="H3741" s="133" t="s">
        <v>39</v>
      </c>
      <c r="I3741" s="133"/>
      <c r="J3741" s="133" t="s">
        <v>2493</v>
      </c>
      <c r="K3741" s="133"/>
      <c r="L3741" s="167"/>
      <c r="M3741" s="169"/>
    </row>
    <row r="3742" spans="1:13" x14ac:dyDescent="0.55000000000000004">
      <c r="A3742" s="133" t="s">
        <v>2494</v>
      </c>
      <c r="B3742" s="133" t="s">
        <v>2962</v>
      </c>
      <c r="C3742" s="133" t="s">
        <v>125</v>
      </c>
      <c r="D3742" s="133" t="s">
        <v>3288</v>
      </c>
      <c r="E3742" s="138">
        <v>1.6999999999999999E-3</v>
      </c>
      <c r="F3742" s="153" t="s">
        <v>122</v>
      </c>
      <c r="G3742" s="153">
        <v>1</v>
      </c>
      <c r="H3742" s="133" t="s">
        <v>39</v>
      </c>
      <c r="I3742" s="133"/>
      <c r="J3742" s="133" t="s">
        <v>2493</v>
      </c>
      <c r="K3742" s="133"/>
      <c r="L3742" s="167">
        <v>281410</v>
      </c>
      <c r="M3742" s="169"/>
    </row>
    <row r="3743" spans="1:13" x14ac:dyDescent="0.55000000000000004">
      <c r="A3743" s="133" t="s">
        <v>2494</v>
      </c>
      <c r="B3743" s="133" t="s">
        <v>1088</v>
      </c>
      <c r="C3743" s="133" t="s">
        <v>127</v>
      </c>
      <c r="D3743" s="133" t="s">
        <v>2994</v>
      </c>
      <c r="E3743" s="138">
        <v>6.3</v>
      </c>
      <c r="F3743" s="153" t="s">
        <v>130</v>
      </c>
      <c r="G3743" s="153">
        <v>1</v>
      </c>
      <c r="H3743" s="133" t="s">
        <v>39</v>
      </c>
      <c r="I3743" s="133"/>
      <c r="J3743" s="133" t="s">
        <v>2493</v>
      </c>
      <c r="K3743" s="133"/>
      <c r="L3743" s="167"/>
      <c r="M3743" s="169"/>
    </row>
    <row r="3744" spans="1:13" x14ac:dyDescent="0.55000000000000004">
      <c r="A3744" s="133" t="s">
        <v>2494</v>
      </c>
      <c r="B3744" s="133" t="s">
        <v>2631</v>
      </c>
      <c r="C3744" s="133" t="s">
        <v>127</v>
      </c>
      <c r="D3744" s="133" t="s">
        <v>2994</v>
      </c>
      <c r="E3744" s="138">
        <v>2.2799999999999998</v>
      </c>
      <c r="F3744" s="153" t="s">
        <v>130</v>
      </c>
      <c r="G3744" s="153">
        <v>1</v>
      </c>
      <c r="H3744" s="133" t="s">
        <v>39</v>
      </c>
      <c r="I3744" s="133"/>
      <c r="J3744" s="133" t="s">
        <v>2493</v>
      </c>
      <c r="K3744" s="133"/>
      <c r="L3744" s="167"/>
      <c r="M3744" s="169"/>
    </row>
    <row r="3745" spans="1:13" x14ac:dyDescent="0.55000000000000004">
      <c r="A3745" s="133" t="s">
        <v>2494</v>
      </c>
      <c r="B3745" s="133" t="s">
        <v>154</v>
      </c>
      <c r="C3745" s="133" t="s">
        <v>132</v>
      </c>
      <c r="D3745" s="133" t="s">
        <v>3289</v>
      </c>
      <c r="E3745" s="138">
        <v>0.17</v>
      </c>
      <c r="F3745" s="153" t="s">
        <v>133</v>
      </c>
      <c r="G3745" s="153">
        <v>1</v>
      </c>
      <c r="H3745" s="133" t="s">
        <v>39</v>
      </c>
      <c r="I3745" s="133"/>
      <c r="J3745" s="133" t="s">
        <v>2493</v>
      </c>
      <c r="K3745" s="133"/>
      <c r="L3745" s="167"/>
      <c r="M3745" s="169"/>
    </row>
    <row r="3746" spans="1:13" x14ac:dyDescent="0.55000000000000004">
      <c r="A3746" s="133" t="s">
        <v>2494</v>
      </c>
      <c r="B3746" s="133" t="s">
        <v>2678</v>
      </c>
      <c r="C3746" s="133" t="s">
        <v>156</v>
      </c>
      <c r="D3746" s="133" t="s">
        <v>3288</v>
      </c>
      <c r="E3746" s="138">
        <v>0.10100000000000001</v>
      </c>
      <c r="F3746" s="153" t="s">
        <v>122</v>
      </c>
      <c r="G3746" s="153">
        <v>1</v>
      </c>
      <c r="H3746" s="133" t="s">
        <v>39</v>
      </c>
      <c r="I3746" s="133"/>
      <c r="J3746" s="133" t="s">
        <v>2493</v>
      </c>
      <c r="K3746" s="133"/>
      <c r="L3746" s="167">
        <v>7602</v>
      </c>
      <c r="M3746" s="169"/>
    </row>
    <row r="3747" spans="1:13" x14ac:dyDescent="0.55000000000000004">
      <c r="A3747" s="133" t="s">
        <v>2494</v>
      </c>
      <c r="B3747" s="133" t="s">
        <v>1138</v>
      </c>
      <c r="C3747" s="133" t="s">
        <v>156</v>
      </c>
      <c r="D3747" s="133" t="s">
        <v>3288</v>
      </c>
      <c r="E3747" s="138">
        <v>0.14699999999999999</v>
      </c>
      <c r="F3747" s="153" t="s">
        <v>122</v>
      </c>
      <c r="G3747" s="153">
        <v>1</v>
      </c>
      <c r="H3747" s="133" t="s">
        <v>39</v>
      </c>
      <c r="I3747" s="133"/>
      <c r="J3747" s="133" t="s">
        <v>2493</v>
      </c>
      <c r="K3747" s="133"/>
      <c r="L3747" s="167">
        <v>740311</v>
      </c>
      <c r="M3747" s="169"/>
    </row>
    <row r="3748" spans="1:13" x14ac:dyDescent="0.55000000000000004">
      <c r="A3748" s="133" t="s">
        <v>2494</v>
      </c>
      <c r="B3748" s="133" t="s">
        <v>2963</v>
      </c>
      <c r="C3748" s="133" t="s">
        <v>156</v>
      </c>
      <c r="D3748" s="133" t="s">
        <v>3288</v>
      </c>
      <c r="E3748" s="138">
        <v>8.6800000000000002E-2</v>
      </c>
      <c r="F3748" s="153" t="s">
        <v>122</v>
      </c>
      <c r="G3748" s="153">
        <v>1</v>
      </c>
      <c r="H3748" s="133" t="s">
        <v>39</v>
      </c>
      <c r="I3748" s="133"/>
      <c r="J3748" s="133" t="s">
        <v>2493</v>
      </c>
      <c r="K3748" s="133"/>
      <c r="L3748" s="167">
        <v>8111</v>
      </c>
      <c r="M3748" s="169"/>
    </row>
    <row r="3749" spans="1:13" x14ac:dyDescent="0.55000000000000004">
      <c r="A3749" s="133" t="s">
        <v>2494</v>
      </c>
      <c r="B3749" s="133" t="s">
        <v>154</v>
      </c>
      <c r="C3749" s="133" t="s">
        <v>124</v>
      </c>
      <c r="D3749" s="133" t="s">
        <v>3289</v>
      </c>
      <c r="E3749" s="138">
        <v>0.16949999999999998</v>
      </c>
      <c r="F3749" s="153" t="s">
        <v>133</v>
      </c>
      <c r="G3749" s="153">
        <v>1</v>
      </c>
      <c r="H3749" s="133" t="s">
        <v>39</v>
      </c>
      <c r="I3749" s="133"/>
      <c r="J3749" s="133" t="s">
        <v>2493</v>
      </c>
      <c r="K3749" s="133"/>
      <c r="L3749" s="167"/>
      <c r="M3749" s="169"/>
    </row>
    <row r="3750" spans="1:13" x14ac:dyDescent="0.55000000000000004">
      <c r="A3750" s="133" t="s">
        <v>2498</v>
      </c>
      <c r="B3750" s="133" t="s">
        <v>2964</v>
      </c>
      <c r="C3750" s="133" t="s">
        <v>121</v>
      </c>
      <c r="D3750" s="133" t="s">
        <v>2682</v>
      </c>
      <c r="E3750" s="138">
        <v>1</v>
      </c>
      <c r="F3750" s="153">
        <v>1</v>
      </c>
      <c r="G3750" s="153">
        <v>1</v>
      </c>
      <c r="H3750" s="133" t="s">
        <v>39</v>
      </c>
      <c r="I3750" s="133"/>
      <c r="J3750" s="133" t="s">
        <v>2497</v>
      </c>
      <c r="K3750" s="133"/>
      <c r="L3750" s="167"/>
      <c r="M3750" s="169"/>
    </row>
    <row r="3751" spans="1:13" x14ac:dyDescent="0.55000000000000004">
      <c r="A3751" s="133" t="s">
        <v>2498</v>
      </c>
      <c r="B3751" s="133" t="s">
        <v>2965</v>
      </c>
      <c r="C3751" s="133" t="s">
        <v>207</v>
      </c>
      <c r="D3751" s="133" t="s">
        <v>3288</v>
      </c>
      <c r="E3751" s="138">
        <v>3499.97</v>
      </c>
      <c r="F3751" s="153" t="s">
        <v>122</v>
      </c>
      <c r="G3751" s="153">
        <v>1</v>
      </c>
      <c r="H3751" s="133" t="s">
        <v>39</v>
      </c>
      <c r="I3751" s="133"/>
      <c r="J3751" s="133" t="s">
        <v>2497</v>
      </c>
      <c r="K3751" s="133"/>
      <c r="L3751" s="167"/>
      <c r="M3751" s="169"/>
    </row>
    <row r="3752" spans="1:13" x14ac:dyDescent="0.55000000000000004">
      <c r="A3752" s="133" t="s">
        <v>2498</v>
      </c>
      <c r="B3752" s="133" t="s">
        <v>2966</v>
      </c>
      <c r="C3752" s="133" t="s">
        <v>125</v>
      </c>
      <c r="D3752" s="133" t="s">
        <v>3288</v>
      </c>
      <c r="E3752" s="138">
        <v>19.010000000000002</v>
      </c>
      <c r="F3752" s="153" t="s">
        <v>122</v>
      </c>
      <c r="G3752" s="153">
        <v>1</v>
      </c>
      <c r="H3752" s="133" t="s">
        <v>39</v>
      </c>
      <c r="I3752" s="133"/>
      <c r="J3752" s="133" t="s">
        <v>2497</v>
      </c>
      <c r="K3752" s="133"/>
      <c r="L3752" s="167">
        <v>8110</v>
      </c>
      <c r="M3752" s="169"/>
    </row>
    <row r="3753" spans="1:13" x14ac:dyDescent="0.55000000000000004">
      <c r="A3753" s="133" t="s">
        <v>2498</v>
      </c>
      <c r="B3753" s="133" t="s">
        <v>2967</v>
      </c>
      <c r="C3753" s="133" t="s">
        <v>125</v>
      </c>
      <c r="D3753" s="133" t="s">
        <v>3288</v>
      </c>
      <c r="E3753" s="138">
        <v>1.66</v>
      </c>
      <c r="F3753" s="153" t="s">
        <v>122</v>
      </c>
      <c r="G3753" s="153">
        <v>1</v>
      </c>
      <c r="H3753" s="133" t="s">
        <v>39</v>
      </c>
      <c r="I3753" s="133"/>
      <c r="J3753" s="133" t="s">
        <v>2497</v>
      </c>
      <c r="K3753" s="133"/>
      <c r="L3753" s="167">
        <v>280480</v>
      </c>
      <c r="M3753" s="169"/>
    </row>
    <row r="3754" spans="1:13" x14ac:dyDescent="0.55000000000000004">
      <c r="A3754" s="133" t="s">
        <v>2498</v>
      </c>
      <c r="B3754" s="133" t="s">
        <v>293</v>
      </c>
      <c r="C3754" s="133" t="s">
        <v>125</v>
      </c>
      <c r="D3754" s="133" t="s">
        <v>3288</v>
      </c>
      <c r="E3754" s="138">
        <v>79.44</v>
      </c>
      <c r="F3754" s="153" t="s">
        <v>122</v>
      </c>
      <c r="G3754" s="153">
        <v>1</v>
      </c>
      <c r="H3754" s="133" t="s">
        <v>39</v>
      </c>
      <c r="I3754" s="133"/>
      <c r="J3754" s="133" t="s">
        <v>2497</v>
      </c>
      <c r="K3754" s="133"/>
      <c r="L3754" s="167">
        <v>2704</v>
      </c>
      <c r="M3754" s="169"/>
    </row>
    <row r="3755" spans="1:13" x14ac:dyDescent="0.55000000000000004">
      <c r="A3755" s="133" t="s">
        <v>2498</v>
      </c>
      <c r="B3755" s="133" t="s">
        <v>2968</v>
      </c>
      <c r="C3755" s="133" t="s">
        <v>125</v>
      </c>
      <c r="D3755" s="133" t="s">
        <v>3288</v>
      </c>
      <c r="E3755" s="138">
        <v>280.54000000000002</v>
      </c>
      <c r="F3755" s="153" t="s">
        <v>122</v>
      </c>
      <c r="G3755" s="153">
        <v>1</v>
      </c>
      <c r="H3755" s="133" t="s">
        <v>39</v>
      </c>
      <c r="I3755" s="133"/>
      <c r="J3755" s="133" t="s">
        <v>2497</v>
      </c>
      <c r="K3755" s="133"/>
      <c r="L3755" s="167">
        <v>7204</v>
      </c>
      <c r="M3755" s="169"/>
    </row>
    <row r="3756" spans="1:13" x14ac:dyDescent="0.55000000000000004">
      <c r="A3756" s="133" t="s">
        <v>2498</v>
      </c>
      <c r="B3756" s="133" t="s">
        <v>2969</v>
      </c>
      <c r="C3756" s="133" t="s">
        <v>125</v>
      </c>
      <c r="D3756" s="133" t="s">
        <v>3288</v>
      </c>
      <c r="E3756" s="138">
        <v>46.74</v>
      </c>
      <c r="F3756" s="153" t="s">
        <v>122</v>
      </c>
      <c r="G3756" s="153">
        <v>1</v>
      </c>
      <c r="H3756" s="133" t="s">
        <v>39</v>
      </c>
      <c r="I3756" s="133"/>
      <c r="J3756" s="133" t="s">
        <v>2497</v>
      </c>
      <c r="K3756" s="133"/>
      <c r="L3756" s="167">
        <v>2522</v>
      </c>
      <c r="M3756" s="169"/>
    </row>
    <row r="3757" spans="1:13" x14ac:dyDescent="0.55000000000000004">
      <c r="A3757" s="133" t="s">
        <v>2498</v>
      </c>
      <c r="B3757" s="133" t="s">
        <v>213</v>
      </c>
      <c r="C3757" s="133" t="s">
        <v>125</v>
      </c>
      <c r="D3757" s="133" t="s">
        <v>3288</v>
      </c>
      <c r="E3757" s="138">
        <v>129.61000000000001</v>
      </c>
      <c r="F3757" s="153" t="s">
        <v>122</v>
      </c>
      <c r="G3757" s="153">
        <v>1</v>
      </c>
      <c r="H3757" s="133" t="s">
        <v>39</v>
      </c>
      <c r="I3757" s="133"/>
      <c r="J3757" s="133" t="s">
        <v>2497</v>
      </c>
      <c r="K3757" s="133"/>
      <c r="L3757" s="167">
        <v>280440</v>
      </c>
      <c r="M3757" s="169"/>
    </row>
    <row r="3758" spans="1:13" x14ac:dyDescent="0.55000000000000004">
      <c r="A3758" s="133" t="s">
        <v>2498</v>
      </c>
      <c r="B3758" s="133" t="s">
        <v>2970</v>
      </c>
      <c r="C3758" s="133" t="s">
        <v>125</v>
      </c>
      <c r="D3758" s="133" t="s">
        <v>3288</v>
      </c>
      <c r="E3758" s="138">
        <v>0.43</v>
      </c>
      <c r="F3758" s="153" t="s">
        <v>122</v>
      </c>
      <c r="G3758" s="153">
        <v>1</v>
      </c>
      <c r="H3758" s="133" t="s">
        <v>39</v>
      </c>
      <c r="I3758" s="133"/>
      <c r="J3758" s="133" t="s">
        <v>2497</v>
      </c>
      <c r="K3758" s="133"/>
      <c r="L3758" s="167">
        <v>283640</v>
      </c>
      <c r="M3758" s="169"/>
    </row>
    <row r="3759" spans="1:13" x14ac:dyDescent="0.55000000000000004">
      <c r="A3759" s="133" t="s">
        <v>2498</v>
      </c>
      <c r="B3759" s="133" t="s">
        <v>159</v>
      </c>
      <c r="C3759" s="133" t="s">
        <v>125</v>
      </c>
      <c r="D3759" s="133" t="s">
        <v>3288</v>
      </c>
      <c r="E3759" s="138">
        <v>0.04</v>
      </c>
      <c r="F3759" s="153" t="s">
        <v>122</v>
      </c>
      <c r="G3759" s="153">
        <v>1</v>
      </c>
      <c r="H3759" s="133" t="s">
        <v>39</v>
      </c>
      <c r="I3759" s="133"/>
      <c r="J3759" s="133" t="s">
        <v>2497</v>
      </c>
      <c r="K3759" s="133"/>
      <c r="L3759" s="167">
        <v>280490</v>
      </c>
      <c r="M3759" s="169"/>
    </row>
    <row r="3760" spans="1:13" x14ac:dyDescent="0.55000000000000004">
      <c r="A3760" s="133" t="s">
        <v>2498</v>
      </c>
      <c r="B3760" s="133" t="s">
        <v>147</v>
      </c>
      <c r="C3760" s="133" t="s">
        <v>125</v>
      </c>
      <c r="D3760" s="133" t="s">
        <v>3288</v>
      </c>
      <c r="E3760" s="138">
        <v>19.59</v>
      </c>
      <c r="F3760" s="153" t="s">
        <v>122</v>
      </c>
      <c r="G3760" s="153">
        <v>1</v>
      </c>
      <c r="H3760" s="133" t="s">
        <v>39</v>
      </c>
      <c r="I3760" s="133"/>
      <c r="J3760" s="133" t="s">
        <v>2497</v>
      </c>
      <c r="K3760" s="133"/>
      <c r="L3760" s="167">
        <v>283620</v>
      </c>
      <c r="M3760" s="169"/>
    </row>
    <row r="3761" spans="1:13" x14ac:dyDescent="0.55000000000000004">
      <c r="A3761" s="133" t="s">
        <v>2498</v>
      </c>
      <c r="B3761" s="133" t="s">
        <v>174</v>
      </c>
      <c r="C3761" s="133" t="s">
        <v>125</v>
      </c>
      <c r="D3761" s="133" t="s">
        <v>3288</v>
      </c>
      <c r="E3761" s="138">
        <v>0.39</v>
      </c>
      <c r="F3761" s="153" t="s">
        <v>122</v>
      </c>
      <c r="G3761" s="153">
        <v>1</v>
      </c>
      <c r="H3761" s="133" t="s">
        <v>39</v>
      </c>
      <c r="I3761" s="133"/>
      <c r="J3761" s="133" t="s">
        <v>2497</v>
      </c>
      <c r="K3761" s="133"/>
      <c r="L3761" s="167">
        <v>2501</v>
      </c>
      <c r="M3761" s="169"/>
    </row>
    <row r="3762" spans="1:13" x14ac:dyDescent="0.55000000000000004">
      <c r="A3762" s="133" t="s">
        <v>2498</v>
      </c>
      <c r="B3762" s="133" t="s">
        <v>148</v>
      </c>
      <c r="C3762" s="133" t="s">
        <v>125</v>
      </c>
      <c r="D3762" s="133" t="s">
        <v>3288</v>
      </c>
      <c r="E3762" s="138">
        <v>6.03</v>
      </c>
      <c r="F3762" s="153" t="s">
        <v>122</v>
      </c>
      <c r="G3762" s="153">
        <v>1</v>
      </c>
      <c r="H3762" s="133" t="s">
        <v>39</v>
      </c>
      <c r="I3762" s="133"/>
      <c r="J3762" s="133" t="s">
        <v>2497</v>
      </c>
      <c r="K3762" s="133"/>
      <c r="L3762" s="167">
        <v>2815</v>
      </c>
      <c r="M3762" s="169"/>
    </row>
    <row r="3763" spans="1:13" x14ac:dyDescent="0.55000000000000004">
      <c r="A3763" s="133" t="s">
        <v>2498</v>
      </c>
      <c r="B3763" s="133" t="s">
        <v>2971</v>
      </c>
      <c r="C3763" s="133" t="s">
        <v>125</v>
      </c>
      <c r="D3763" s="133" t="s">
        <v>3288</v>
      </c>
      <c r="E3763" s="138">
        <v>2.4900000000000002</v>
      </c>
      <c r="F3763" s="153" t="s">
        <v>122</v>
      </c>
      <c r="G3763" s="153">
        <v>1</v>
      </c>
      <c r="H3763" s="133" t="s">
        <v>39</v>
      </c>
      <c r="I3763" s="133"/>
      <c r="J3763" s="133" t="s">
        <v>2497</v>
      </c>
      <c r="K3763" s="133"/>
      <c r="L3763" s="167"/>
      <c r="M3763" s="169"/>
    </row>
    <row r="3764" spans="1:13" x14ac:dyDescent="0.55000000000000004">
      <c r="A3764" s="133" t="s">
        <v>2498</v>
      </c>
      <c r="B3764" s="133" t="s">
        <v>2972</v>
      </c>
      <c r="C3764" s="133" t="s">
        <v>125</v>
      </c>
      <c r="D3764" s="133" t="s">
        <v>3288</v>
      </c>
      <c r="E3764" s="138">
        <v>0.95</v>
      </c>
      <c r="F3764" s="153" t="s">
        <v>122</v>
      </c>
      <c r="G3764" s="153">
        <v>1</v>
      </c>
      <c r="H3764" s="133" t="s">
        <v>39</v>
      </c>
      <c r="I3764" s="133"/>
      <c r="J3764" s="133" t="s">
        <v>2497</v>
      </c>
      <c r="K3764" s="133"/>
      <c r="L3764" s="167">
        <v>25</v>
      </c>
      <c r="M3764" s="169"/>
    </row>
    <row r="3765" spans="1:13" x14ac:dyDescent="0.55000000000000004">
      <c r="A3765" s="133" t="s">
        <v>2498</v>
      </c>
      <c r="B3765" s="133" t="s">
        <v>573</v>
      </c>
      <c r="C3765" s="133" t="s">
        <v>125</v>
      </c>
      <c r="D3765" s="133" t="s">
        <v>3288</v>
      </c>
      <c r="E3765" s="138">
        <v>0.56000000000000005</v>
      </c>
      <c r="F3765" s="153" t="s">
        <v>122</v>
      </c>
      <c r="G3765" s="153">
        <v>1</v>
      </c>
      <c r="H3765" s="133" t="s">
        <v>39</v>
      </c>
      <c r="I3765" s="133"/>
      <c r="J3765" s="133" t="s">
        <v>2497</v>
      </c>
      <c r="K3765" s="133"/>
      <c r="L3765" s="167"/>
      <c r="M3765" s="169"/>
    </row>
    <row r="3766" spans="1:13" x14ac:dyDescent="0.55000000000000004">
      <c r="A3766" s="133" t="s">
        <v>2498</v>
      </c>
      <c r="B3766" s="133" t="s">
        <v>153</v>
      </c>
      <c r="C3766" s="133" t="s">
        <v>127</v>
      </c>
      <c r="D3766" s="133" t="s">
        <v>2994</v>
      </c>
      <c r="E3766" s="138">
        <v>1165.08</v>
      </c>
      <c r="F3766" s="153" t="s">
        <v>167</v>
      </c>
      <c r="G3766" s="153">
        <v>1</v>
      </c>
      <c r="H3766" s="133" t="s">
        <v>39</v>
      </c>
      <c r="I3766" s="133"/>
      <c r="J3766" s="133" t="s">
        <v>2497</v>
      </c>
      <c r="K3766" s="133"/>
      <c r="L3766" s="167"/>
      <c r="M3766" s="169"/>
    </row>
    <row r="3767" spans="1:13" x14ac:dyDescent="0.55000000000000004">
      <c r="A3767" s="133" t="s">
        <v>2498</v>
      </c>
      <c r="B3767" s="133" t="s">
        <v>422</v>
      </c>
      <c r="C3767" s="133" t="s">
        <v>127</v>
      </c>
      <c r="D3767" s="133" t="s">
        <v>2994</v>
      </c>
      <c r="E3767" s="138">
        <v>110.86</v>
      </c>
      <c r="F3767" s="153" t="s">
        <v>122</v>
      </c>
      <c r="G3767" s="153">
        <v>1</v>
      </c>
      <c r="H3767" s="133" t="s">
        <v>39</v>
      </c>
      <c r="I3767" s="133"/>
      <c r="J3767" s="133" t="s">
        <v>2497</v>
      </c>
      <c r="K3767" s="133"/>
      <c r="L3767" s="167">
        <v>271012</v>
      </c>
      <c r="M3767" s="169"/>
    </row>
    <row r="3768" spans="1:13" x14ac:dyDescent="0.55000000000000004">
      <c r="A3768" s="133" t="s">
        <v>2498</v>
      </c>
      <c r="B3768" s="133" t="s">
        <v>154</v>
      </c>
      <c r="C3768" s="133" t="s">
        <v>125</v>
      </c>
      <c r="D3768" s="133" t="s">
        <v>3289</v>
      </c>
      <c r="E3768" s="138">
        <v>92.11</v>
      </c>
      <c r="F3768" s="153" t="s">
        <v>128</v>
      </c>
      <c r="G3768" s="153">
        <v>1</v>
      </c>
      <c r="H3768" s="133" t="s">
        <v>39</v>
      </c>
      <c r="I3768" s="133"/>
      <c r="J3768" s="133" t="s">
        <v>2497</v>
      </c>
      <c r="K3768" s="133"/>
      <c r="L3768" s="167"/>
      <c r="M3768" s="169"/>
    </row>
    <row r="3769" spans="1:13" x14ac:dyDescent="0.55000000000000004">
      <c r="A3769" s="133" t="s">
        <v>2498</v>
      </c>
      <c r="B3769" s="133" t="s">
        <v>2973</v>
      </c>
      <c r="C3769" s="133" t="s">
        <v>156</v>
      </c>
      <c r="D3769" s="133" t="s">
        <v>3288</v>
      </c>
      <c r="E3769" s="138">
        <v>1000</v>
      </c>
      <c r="F3769" s="153" t="s">
        <v>122</v>
      </c>
      <c r="G3769" s="153">
        <v>1</v>
      </c>
      <c r="H3769" s="133" t="s">
        <v>39</v>
      </c>
      <c r="I3769" s="133"/>
      <c r="J3769" s="133" t="s">
        <v>2497</v>
      </c>
      <c r="K3769" s="133"/>
      <c r="L3769" s="167">
        <v>780110</v>
      </c>
      <c r="M3769" s="169"/>
    </row>
    <row r="3770" spans="1:13" x14ac:dyDescent="0.55000000000000004">
      <c r="A3770" s="133" t="s">
        <v>2498</v>
      </c>
      <c r="B3770" s="133" t="s">
        <v>160</v>
      </c>
      <c r="C3770" s="133" t="s">
        <v>124</v>
      </c>
      <c r="D3770" s="133" t="s">
        <v>3288</v>
      </c>
      <c r="E3770" s="138">
        <v>555114</v>
      </c>
      <c r="F3770" s="153" t="s">
        <v>892</v>
      </c>
      <c r="G3770" s="153">
        <v>1</v>
      </c>
      <c r="H3770" s="133" t="s">
        <v>39</v>
      </c>
      <c r="I3770" s="133"/>
      <c r="J3770" s="133" t="s">
        <v>2497</v>
      </c>
      <c r="K3770" s="133"/>
      <c r="L3770" s="167"/>
      <c r="M3770" s="169"/>
    </row>
    <row r="3771" spans="1:13" x14ac:dyDescent="0.55000000000000004">
      <c r="A3771" s="133" t="s">
        <v>2498</v>
      </c>
      <c r="B3771" s="133" t="s">
        <v>2974</v>
      </c>
      <c r="C3771" s="133" t="s">
        <v>124</v>
      </c>
      <c r="D3771" s="133" t="s">
        <v>3288</v>
      </c>
      <c r="E3771" s="138">
        <v>4.59</v>
      </c>
      <c r="F3771" s="153" t="s">
        <v>892</v>
      </c>
      <c r="G3771" s="153">
        <v>1</v>
      </c>
      <c r="H3771" s="133" t="s">
        <v>39</v>
      </c>
      <c r="I3771" s="133"/>
      <c r="J3771" s="133" t="s">
        <v>2497</v>
      </c>
      <c r="K3771" s="133"/>
      <c r="L3771" s="167"/>
      <c r="M3771" s="169"/>
    </row>
    <row r="3772" spans="1:13" x14ac:dyDescent="0.55000000000000004">
      <c r="A3772" s="133" t="s">
        <v>2498</v>
      </c>
      <c r="B3772" s="133" t="s">
        <v>2975</v>
      </c>
      <c r="C3772" s="133" t="s">
        <v>124</v>
      </c>
      <c r="D3772" s="133" t="s">
        <v>3288</v>
      </c>
      <c r="E3772" s="138">
        <v>24.61</v>
      </c>
      <c r="F3772" s="153" t="s">
        <v>892</v>
      </c>
      <c r="G3772" s="153">
        <v>1</v>
      </c>
      <c r="H3772" s="133" t="s">
        <v>39</v>
      </c>
      <c r="I3772" s="133"/>
      <c r="J3772" s="133" t="s">
        <v>2497</v>
      </c>
      <c r="K3772" s="133"/>
      <c r="L3772" s="167"/>
      <c r="M3772" s="169"/>
    </row>
    <row r="3773" spans="1:13" x14ac:dyDescent="0.55000000000000004">
      <c r="A3773" s="133" t="s">
        <v>2498</v>
      </c>
      <c r="B3773" s="133" t="s">
        <v>891</v>
      </c>
      <c r="C3773" s="133" t="s">
        <v>124</v>
      </c>
      <c r="D3773" s="133" t="s">
        <v>3288</v>
      </c>
      <c r="E3773" s="138">
        <v>2002.09</v>
      </c>
      <c r="F3773" s="153" t="s">
        <v>892</v>
      </c>
      <c r="G3773" s="153">
        <v>1</v>
      </c>
      <c r="H3773" s="133" t="s">
        <v>39</v>
      </c>
      <c r="I3773" s="133"/>
      <c r="J3773" s="133" t="s">
        <v>2497</v>
      </c>
      <c r="K3773" s="133"/>
      <c r="L3773" s="167"/>
      <c r="M3773" s="169"/>
    </row>
    <row r="3774" spans="1:13" x14ac:dyDescent="0.55000000000000004">
      <c r="A3774" s="133" t="s">
        <v>2498</v>
      </c>
      <c r="B3774" s="133" t="s">
        <v>3419</v>
      </c>
      <c r="C3774" s="133" t="s">
        <v>124</v>
      </c>
      <c r="D3774" s="133" t="s">
        <v>3288</v>
      </c>
      <c r="E3774" s="138">
        <v>450.81</v>
      </c>
      <c r="F3774" s="153" t="s">
        <v>892</v>
      </c>
      <c r="G3774" s="153">
        <v>1</v>
      </c>
      <c r="H3774" s="133" t="s">
        <v>39</v>
      </c>
      <c r="I3774" s="133"/>
      <c r="J3774" s="133" t="s">
        <v>2497</v>
      </c>
      <c r="K3774" s="133"/>
      <c r="L3774" s="167"/>
      <c r="M3774" s="169"/>
    </row>
    <row r="3775" spans="1:13" x14ac:dyDescent="0.55000000000000004">
      <c r="A3775" s="133" t="s">
        <v>2498</v>
      </c>
      <c r="B3775" s="133" t="s">
        <v>1172</v>
      </c>
      <c r="C3775" s="133" t="s">
        <v>124</v>
      </c>
      <c r="D3775" s="133" t="s">
        <v>3288</v>
      </c>
      <c r="E3775" s="138">
        <v>3820.69</v>
      </c>
      <c r="F3775" s="153" t="s">
        <v>892</v>
      </c>
      <c r="G3775" s="153">
        <v>1</v>
      </c>
      <c r="H3775" s="133" t="s">
        <v>39</v>
      </c>
      <c r="I3775" s="133"/>
      <c r="J3775" s="133" t="s">
        <v>2497</v>
      </c>
      <c r="K3775" s="133"/>
      <c r="L3775" s="167"/>
      <c r="M3775" s="169"/>
    </row>
    <row r="3776" spans="1:13" x14ac:dyDescent="0.55000000000000004">
      <c r="A3776" s="133" t="s">
        <v>2498</v>
      </c>
      <c r="B3776" s="133" t="s">
        <v>2976</v>
      </c>
      <c r="C3776" s="133" t="s">
        <v>163</v>
      </c>
      <c r="D3776" s="133" t="s">
        <v>3288</v>
      </c>
      <c r="E3776" s="138">
        <v>176.82</v>
      </c>
      <c r="F3776" s="153" t="s">
        <v>122</v>
      </c>
      <c r="G3776" s="153">
        <v>1</v>
      </c>
      <c r="H3776" s="133" t="s">
        <v>39</v>
      </c>
      <c r="I3776" s="133"/>
      <c r="J3776" s="133" t="s">
        <v>2497</v>
      </c>
      <c r="K3776" s="133"/>
      <c r="L3776" s="167">
        <v>3915</v>
      </c>
      <c r="M3776" s="169"/>
    </row>
    <row r="3777" spans="1:13" x14ac:dyDescent="0.55000000000000004">
      <c r="A3777" s="133" t="s">
        <v>2498</v>
      </c>
      <c r="B3777" s="133" t="s">
        <v>2977</v>
      </c>
      <c r="C3777" s="133" t="s">
        <v>163</v>
      </c>
      <c r="D3777" s="133" t="s">
        <v>3288</v>
      </c>
      <c r="E3777" s="138">
        <v>136.78</v>
      </c>
      <c r="F3777" s="153" t="s">
        <v>122</v>
      </c>
      <c r="G3777" s="153">
        <v>1</v>
      </c>
      <c r="H3777" s="133" t="s">
        <v>39</v>
      </c>
      <c r="I3777" s="133"/>
      <c r="J3777" s="133" t="s">
        <v>2497</v>
      </c>
      <c r="K3777" s="133"/>
      <c r="L3777" s="167">
        <v>3915</v>
      </c>
      <c r="M3777" s="169"/>
    </row>
    <row r="3778" spans="1:13" x14ac:dyDescent="0.55000000000000004">
      <c r="A3778" s="133" t="s">
        <v>2498</v>
      </c>
      <c r="B3778" s="133" t="s">
        <v>2978</v>
      </c>
      <c r="C3778" s="133" t="s">
        <v>163</v>
      </c>
      <c r="D3778" s="133" t="s">
        <v>3288</v>
      </c>
      <c r="E3778" s="138">
        <v>81.17</v>
      </c>
      <c r="F3778" s="153" t="s">
        <v>122</v>
      </c>
      <c r="G3778" s="153">
        <v>1</v>
      </c>
      <c r="H3778" s="133" t="s">
        <v>39</v>
      </c>
      <c r="I3778" s="133"/>
      <c r="J3778" s="133" t="s">
        <v>2497</v>
      </c>
      <c r="K3778" s="133"/>
      <c r="L3778" s="167"/>
      <c r="M3778" s="169"/>
    </row>
    <row r="3779" spans="1:13" x14ac:dyDescent="0.55000000000000004">
      <c r="A3779" s="133" t="s">
        <v>2498</v>
      </c>
      <c r="B3779" s="133" t="s">
        <v>2979</v>
      </c>
      <c r="C3779" s="133" t="s">
        <v>163</v>
      </c>
      <c r="D3779" s="133" t="s">
        <v>3288</v>
      </c>
      <c r="E3779" s="138">
        <v>422.21</v>
      </c>
      <c r="F3779" s="153" t="s">
        <v>122</v>
      </c>
      <c r="G3779" s="153">
        <v>1</v>
      </c>
      <c r="H3779" s="133" t="s">
        <v>39</v>
      </c>
      <c r="I3779" s="133"/>
      <c r="J3779" s="133" t="s">
        <v>2497</v>
      </c>
      <c r="K3779" s="133"/>
      <c r="L3779" s="167"/>
      <c r="M3779" s="169"/>
    </row>
    <row r="3780" spans="1:13" x14ac:dyDescent="0.55000000000000004">
      <c r="A3780" s="133" t="s">
        <v>2503</v>
      </c>
      <c r="B3780" s="133" t="s">
        <v>2980</v>
      </c>
      <c r="C3780" s="133" t="s">
        <v>121</v>
      </c>
      <c r="D3780" s="133" t="s">
        <v>2682</v>
      </c>
      <c r="E3780" s="138">
        <v>1</v>
      </c>
      <c r="F3780" s="153">
        <v>1</v>
      </c>
      <c r="G3780" s="153">
        <v>1</v>
      </c>
      <c r="H3780" s="133" t="s">
        <v>39</v>
      </c>
      <c r="I3780" s="133"/>
      <c r="J3780" s="133" t="s">
        <v>2502</v>
      </c>
      <c r="K3780" s="133"/>
      <c r="L3780" s="167"/>
      <c r="M3780" s="169"/>
    </row>
    <row r="3781" spans="1:13" x14ac:dyDescent="0.55000000000000004">
      <c r="A3781" s="133" t="s">
        <v>2503</v>
      </c>
      <c r="B3781" s="133" t="s">
        <v>2981</v>
      </c>
      <c r="C3781" s="133" t="s">
        <v>207</v>
      </c>
      <c r="D3781" s="133" t="s">
        <v>3288</v>
      </c>
      <c r="E3781" s="138">
        <v>1</v>
      </c>
      <c r="F3781" s="153" t="s">
        <v>122</v>
      </c>
      <c r="G3781" s="153">
        <v>1</v>
      </c>
      <c r="H3781" s="133" t="s">
        <v>39</v>
      </c>
      <c r="I3781" s="133"/>
      <c r="J3781" s="133" t="s">
        <v>2502</v>
      </c>
      <c r="K3781" s="133"/>
      <c r="L3781" s="167"/>
      <c r="M3781" s="169"/>
    </row>
    <row r="3782" spans="1:13" x14ac:dyDescent="0.55000000000000004">
      <c r="A3782" s="133" t="s">
        <v>2503</v>
      </c>
      <c r="B3782" s="133" t="s">
        <v>153</v>
      </c>
      <c r="C3782" s="133" t="s">
        <v>127</v>
      </c>
      <c r="D3782" s="133" t="s">
        <v>2994</v>
      </c>
      <c r="E3782" s="138">
        <v>4.0679999999999996</v>
      </c>
      <c r="F3782" s="153" t="s">
        <v>167</v>
      </c>
      <c r="G3782" s="153">
        <v>1</v>
      </c>
      <c r="H3782" s="133" t="s">
        <v>39</v>
      </c>
      <c r="I3782" s="133"/>
      <c r="J3782" s="133" t="s">
        <v>2502</v>
      </c>
      <c r="K3782" s="133"/>
      <c r="L3782" s="167"/>
      <c r="M3782" s="169"/>
    </row>
    <row r="3783" spans="1:13" x14ac:dyDescent="0.55000000000000004">
      <c r="A3783" s="133" t="s">
        <v>2503</v>
      </c>
      <c r="B3783" s="133" t="s">
        <v>2982</v>
      </c>
      <c r="C3783" s="133" t="s">
        <v>156</v>
      </c>
      <c r="D3783" s="133" t="s">
        <v>2994</v>
      </c>
      <c r="E3783" s="138">
        <v>0.79</v>
      </c>
      <c r="F3783" s="153" t="s">
        <v>167</v>
      </c>
      <c r="G3783" s="153">
        <v>1</v>
      </c>
      <c r="H3783" s="133" t="s">
        <v>39</v>
      </c>
      <c r="I3783" s="133"/>
      <c r="J3783" s="133" t="s">
        <v>2502</v>
      </c>
      <c r="K3783" s="133"/>
      <c r="L3783" s="167"/>
      <c r="M3783" s="169"/>
    </row>
    <row r="3784" spans="1:13" x14ac:dyDescent="0.55000000000000004">
      <c r="A3784" s="133" t="s">
        <v>2503</v>
      </c>
      <c r="B3784" s="133" t="s">
        <v>2983</v>
      </c>
      <c r="C3784" s="133" t="s">
        <v>124</v>
      </c>
      <c r="D3784" s="133" t="s">
        <v>3288</v>
      </c>
      <c r="E3784" s="138">
        <v>7.0289999999999997E-7</v>
      </c>
      <c r="F3784" s="153" t="s">
        <v>122</v>
      </c>
      <c r="G3784" s="153">
        <v>1</v>
      </c>
      <c r="H3784" s="133" t="s">
        <v>39</v>
      </c>
      <c r="I3784" s="133"/>
      <c r="J3784" s="133" t="s">
        <v>2502</v>
      </c>
      <c r="K3784" s="133"/>
      <c r="L3784" s="167"/>
      <c r="M3784" s="169"/>
    </row>
    <row r="3785" spans="1:13" x14ac:dyDescent="0.55000000000000004">
      <c r="A3785" s="133" t="s">
        <v>2503</v>
      </c>
      <c r="B3785" s="133" t="s">
        <v>2984</v>
      </c>
      <c r="C3785" s="133" t="s">
        <v>124</v>
      </c>
      <c r="D3785" s="133" t="s">
        <v>3288</v>
      </c>
      <c r="E3785" s="138">
        <v>1.2130000000000001E-7</v>
      </c>
      <c r="F3785" s="153" t="s">
        <v>122</v>
      </c>
      <c r="G3785" s="153">
        <v>1</v>
      </c>
      <c r="H3785" s="133" t="s">
        <v>39</v>
      </c>
      <c r="I3785" s="133"/>
      <c r="J3785" s="133" t="s">
        <v>2502</v>
      </c>
      <c r="K3785" s="133"/>
      <c r="L3785" s="167"/>
      <c r="M3785" s="169"/>
    </row>
    <row r="3786" spans="1:13" x14ac:dyDescent="0.55000000000000004">
      <c r="A3786" s="133" t="s">
        <v>2503</v>
      </c>
      <c r="B3786" s="133" t="s">
        <v>2985</v>
      </c>
      <c r="C3786" s="133" t="s">
        <v>124</v>
      </c>
      <c r="D3786" s="133" t="s">
        <v>3288</v>
      </c>
      <c r="E3786" s="138">
        <v>5.0000000000000003E-10</v>
      </c>
      <c r="F3786" s="153" t="s">
        <v>122</v>
      </c>
      <c r="G3786" s="153">
        <v>1</v>
      </c>
      <c r="H3786" s="133" t="s">
        <v>39</v>
      </c>
      <c r="I3786" s="133"/>
      <c r="J3786" s="133" t="s">
        <v>2502</v>
      </c>
      <c r="K3786" s="133"/>
      <c r="L3786" s="167"/>
      <c r="M3786" s="169"/>
    </row>
    <row r="3787" spans="1:13" x14ac:dyDescent="0.55000000000000004">
      <c r="A3787" s="133" t="s">
        <v>2503</v>
      </c>
      <c r="B3787" s="133" t="s">
        <v>2986</v>
      </c>
      <c r="C3787" s="133" t="s">
        <v>124</v>
      </c>
      <c r="D3787" s="133" t="s">
        <v>3288</v>
      </c>
      <c r="E3787" s="138">
        <v>2.4E-9</v>
      </c>
      <c r="F3787" s="153" t="s">
        <v>122</v>
      </c>
      <c r="G3787" s="153">
        <v>1</v>
      </c>
      <c r="H3787" s="133" t="s">
        <v>39</v>
      </c>
      <c r="I3787" s="133"/>
      <c r="J3787" s="133" t="s">
        <v>2502</v>
      </c>
      <c r="K3787" s="133"/>
      <c r="L3787" s="167"/>
      <c r="M3787" s="169"/>
    </row>
    <row r="3788" spans="1:13" x14ac:dyDescent="0.55000000000000004">
      <c r="A3788" s="133" t="s">
        <v>2503</v>
      </c>
      <c r="B3788" s="133" t="s">
        <v>2987</v>
      </c>
      <c r="C3788" s="133" t="s">
        <v>156</v>
      </c>
      <c r="D3788" s="133" t="s">
        <v>3288</v>
      </c>
      <c r="E3788" s="138">
        <v>0.246</v>
      </c>
      <c r="F3788" s="153" t="s">
        <v>122</v>
      </c>
      <c r="G3788" s="153">
        <v>1</v>
      </c>
      <c r="H3788" s="133" t="s">
        <v>39</v>
      </c>
      <c r="I3788" s="133"/>
      <c r="J3788" s="133" t="s">
        <v>2502</v>
      </c>
      <c r="K3788" s="133"/>
      <c r="L3788" s="167">
        <v>8107</v>
      </c>
      <c r="M3788" s="169"/>
    </row>
    <row r="3789" spans="1:13" x14ac:dyDescent="0.55000000000000004">
      <c r="A3789" s="133" t="s">
        <v>2503</v>
      </c>
      <c r="B3789" s="133" t="s">
        <v>2988</v>
      </c>
      <c r="C3789" s="133" t="s">
        <v>156</v>
      </c>
      <c r="D3789" s="133" t="s">
        <v>3288</v>
      </c>
      <c r="E3789" s="138">
        <v>0.70299999999999996</v>
      </c>
      <c r="F3789" s="153" t="s">
        <v>122</v>
      </c>
      <c r="G3789" s="153">
        <v>1</v>
      </c>
      <c r="H3789" s="133" t="s">
        <v>39</v>
      </c>
      <c r="I3789" s="133"/>
      <c r="J3789" s="133" t="s">
        <v>2502</v>
      </c>
      <c r="K3789" s="133"/>
      <c r="L3789" s="167">
        <v>720260</v>
      </c>
      <c r="M3789" s="169"/>
    </row>
    <row r="3790" spans="1:13" x14ac:dyDescent="0.55000000000000004">
      <c r="A3790" s="133" t="s">
        <v>2506</v>
      </c>
      <c r="B3790" s="133" t="s">
        <v>2989</v>
      </c>
      <c r="C3790" s="133" t="s">
        <v>121</v>
      </c>
      <c r="D3790" s="133" t="s">
        <v>2682</v>
      </c>
      <c r="E3790" s="138">
        <v>1</v>
      </c>
      <c r="F3790" s="153">
        <v>1</v>
      </c>
      <c r="G3790" s="153">
        <v>1</v>
      </c>
      <c r="H3790" s="133" t="s">
        <v>39</v>
      </c>
      <c r="I3790" s="133"/>
      <c r="J3790" s="133" t="s">
        <v>2505</v>
      </c>
      <c r="K3790" s="133"/>
      <c r="L3790" s="167"/>
      <c r="M3790" s="169"/>
    </row>
    <row r="3791" spans="1:13" x14ac:dyDescent="0.55000000000000004">
      <c r="A3791" s="133" t="s">
        <v>2506</v>
      </c>
      <c r="B3791" s="133" t="s">
        <v>2981</v>
      </c>
      <c r="C3791" s="133" t="s">
        <v>207</v>
      </c>
      <c r="D3791" s="133" t="s">
        <v>3288</v>
      </c>
      <c r="E3791" s="138">
        <v>1500</v>
      </c>
      <c r="F3791" s="153" t="s">
        <v>122</v>
      </c>
      <c r="G3791" s="153">
        <v>1</v>
      </c>
      <c r="H3791" s="133" t="s">
        <v>39</v>
      </c>
      <c r="I3791" s="133"/>
      <c r="J3791" s="133" t="s">
        <v>2505</v>
      </c>
      <c r="K3791" s="133"/>
      <c r="L3791" s="167"/>
      <c r="M3791" s="169"/>
    </row>
    <row r="3792" spans="1:13" x14ac:dyDescent="0.55000000000000004">
      <c r="A3792" s="133" t="s">
        <v>2506</v>
      </c>
      <c r="B3792" s="133" t="s">
        <v>2990</v>
      </c>
      <c r="C3792" s="133" t="s">
        <v>156</v>
      </c>
      <c r="D3792" s="133" t="s">
        <v>3288</v>
      </c>
      <c r="E3792" s="138">
        <v>500</v>
      </c>
      <c r="F3792" s="153" t="s">
        <v>122</v>
      </c>
      <c r="G3792" s="153">
        <v>1</v>
      </c>
      <c r="H3792" s="133" t="s">
        <v>39</v>
      </c>
      <c r="I3792" s="133" t="s">
        <v>2991</v>
      </c>
      <c r="J3792" s="133" t="s">
        <v>2505</v>
      </c>
      <c r="K3792" s="133">
        <v>29</v>
      </c>
      <c r="L3792" s="167">
        <v>7204</v>
      </c>
      <c r="M3792" s="169"/>
    </row>
    <row r="3793" spans="1:13" x14ac:dyDescent="0.55000000000000004">
      <c r="A3793" s="133" t="s">
        <v>2506</v>
      </c>
      <c r="B3793" s="133" t="s">
        <v>1140</v>
      </c>
      <c r="C3793" s="133" t="s">
        <v>125</v>
      </c>
      <c r="D3793" s="133" t="s">
        <v>3289</v>
      </c>
      <c r="E3793" s="138">
        <v>25</v>
      </c>
      <c r="F3793" s="153" t="s">
        <v>133</v>
      </c>
      <c r="G3793" s="153">
        <v>1</v>
      </c>
      <c r="H3793" s="133" t="s">
        <v>39</v>
      </c>
      <c r="I3793" s="133"/>
      <c r="J3793" s="133" t="s">
        <v>2505</v>
      </c>
      <c r="K3793" s="133"/>
      <c r="L3793" s="167">
        <v>280700</v>
      </c>
      <c r="M3793" s="169"/>
    </row>
    <row r="3794" spans="1:13" x14ac:dyDescent="0.55000000000000004">
      <c r="A3794" s="133" t="s">
        <v>2506</v>
      </c>
      <c r="B3794" s="133" t="s">
        <v>615</v>
      </c>
      <c r="C3794" s="133" t="s">
        <v>125</v>
      </c>
      <c r="D3794" s="133" t="s">
        <v>3288</v>
      </c>
      <c r="E3794" s="138">
        <v>1489.3617021276596</v>
      </c>
      <c r="F3794" s="153" t="s">
        <v>122</v>
      </c>
      <c r="G3794" s="153">
        <v>1</v>
      </c>
      <c r="H3794" s="133" t="s">
        <v>39</v>
      </c>
      <c r="I3794" s="133" t="s">
        <v>2992</v>
      </c>
      <c r="J3794" s="133" t="s">
        <v>2505</v>
      </c>
      <c r="K3794" s="133">
        <v>30</v>
      </c>
      <c r="L3794" s="167">
        <v>2814</v>
      </c>
      <c r="M3794" s="169"/>
    </row>
    <row r="3795" spans="1:13" x14ac:dyDescent="0.55000000000000004">
      <c r="A3795" s="133" t="s">
        <v>2506</v>
      </c>
      <c r="B3795" s="133" t="s">
        <v>148</v>
      </c>
      <c r="C3795" s="133" t="s">
        <v>125</v>
      </c>
      <c r="D3795" s="133" t="s">
        <v>3288</v>
      </c>
      <c r="E3795" s="138">
        <v>1489.3617021276596</v>
      </c>
      <c r="F3795" s="153" t="s">
        <v>122</v>
      </c>
      <c r="G3795" s="153">
        <v>1</v>
      </c>
      <c r="H3795" s="133" t="s">
        <v>39</v>
      </c>
      <c r="I3795" s="133" t="s">
        <v>2992</v>
      </c>
      <c r="J3795" s="133" t="s">
        <v>2505</v>
      </c>
      <c r="K3795" s="133">
        <v>31</v>
      </c>
      <c r="L3795" s="167">
        <v>2815</v>
      </c>
      <c r="M3795" s="169"/>
    </row>
    <row r="3796" spans="1:13" x14ac:dyDescent="0.55000000000000004">
      <c r="A3796" s="133" t="s">
        <v>2506</v>
      </c>
      <c r="B3796" s="133" t="s">
        <v>2993</v>
      </c>
      <c r="C3796" s="133" t="s">
        <v>125</v>
      </c>
      <c r="D3796" s="133" t="s">
        <v>3289</v>
      </c>
      <c r="E3796" s="138">
        <v>5</v>
      </c>
      <c r="F3796" s="153" t="s">
        <v>133</v>
      </c>
      <c r="G3796" s="153">
        <v>1</v>
      </c>
      <c r="H3796" s="133" t="s">
        <v>39</v>
      </c>
      <c r="I3796" s="133"/>
      <c r="J3796" s="133" t="s">
        <v>2505</v>
      </c>
      <c r="K3796" s="133"/>
      <c r="L3796" s="167">
        <v>2847</v>
      </c>
      <c r="M3796" s="169"/>
    </row>
    <row r="3797" spans="1:13" x14ac:dyDescent="0.55000000000000004">
      <c r="A3797" s="133" t="s">
        <v>2506</v>
      </c>
      <c r="B3797" s="133" t="s">
        <v>2994</v>
      </c>
      <c r="C3797" s="133" t="s">
        <v>127</v>
      </c>
      <c r="D3797" s="133" t="s">
        <v>2994</v>
      </c>
      <c r="E3797" s="138">
        <v>32142.857142857141</v>
      </c>
      <c r="F3797" s="153" t="s">
        <v>130</v>
      </c>
      <c r="G3797" s="153">
        <v>1</v>
      </c>
      <c r="H3797" s="133" t="s">
        <v>39</v>
      </c>
      <c r="I3797" s="133"/>
      <c r="J3797" s="133" t="s">
        <v>2505</v>
      </c>
      <c r="K3797" s="133"/>
      <c r="L3797" s="167"/>
      <c r="M3797" s="169"/>
    </row>
    <row r="3798" spans="1:13" x14ac:dyDescent="0.55000000000000004">
      <c r="A3798" s="133" t="s">
        <v>2506</v>
      </c>
      <c r="B3798" s="133" t="s">
        <v>2995</v>
      </c>
      <c r="C3798" s="133" t="s">
        <v>156</v>
      </c>
      <c r="D3798" s="133" t="s">
        <v>3288</v>
      </c>
      <c r="E3798" s="138">
        <v>165</v>
      </c>
      <c r="F3798" s="153" t="s">
        <v>122</v>
      </c>
      <c r="G3798" s="153">
        <v>1</v>
      </c>
      <c r="H3798" s="133" t="s">
        <v>39</v>
      </c>
      <c r="I3798" s="133"/>
      <c r="J3798" s="133" t="s">
        <v>2505</v>
      </c>
      <c r="K3798" s="133"/>
      <c r="L3798" s="167">
        <v>75</v>
      </c>
      <c r="M3798" s="169"/>
    </row>
    <row r="3799" spans="1:13" x14ac:dyDescent="0.55000000000000004">
      <c r="A3799" s="133" t="s">
        <v>2506</v>
      </c>
      <c r="B3799" s="133" t="s">
        <v>2996</v>
      </c>
      <c r="C3799" s="133" t="s">
        <v>156</v>
      </c>
      <c r="D3799" s="133" t="s">
        <v>3288</v>
      </c>
      <c r="E3799" s="138">
        <v>315</v>
      </c>
      <c r="F3799" s="153" t="s">
        <v>122</v>
      </c>
      <c r="G3799" s="153">
        <v>1</v>
      </c>
      <c r="H3799" s="133" t="s">
        <v>39</v>
      </c>
      <c r="I3799" s="133"/>
      <c r="J3799" s="133" t="s">
        <v>2505</v>
      </c>
      <c r="K3799" s="133"/>
      <c r="L3799" s="167">
        <v>8107</v>
      </c>
      <c r="M3799" s="169"/>
    </row>
    <row r="3800" spans="1:13" x14ac:dyDescent="0.55000000000000004">
      <c r="A3800" s="133" t="s">
        <v>2506</v>
      </c>
      <c r="B3800" s="133" t="s">
        <v>2997</v>
      </c>
      <c r="C3800" s="133" t="s">
        <v>156</v>
      </c>
      <c r="D3800" s="133" t="s">
        <v>3288</v>
      </c>
      <c r="E3800" s="138">
        <v>236.82524999516519</v>
      </c>
      <c r="F3800" s="153" t="s">
        <v>122</v>
      </c>
      <c r="G3800" s="153">
        <v>1</v>
      </c>
      <c r="H3800" s="133" t="s">
        <v>39</v>
      </c>
      <c r="I3800" s="133" t="s">
        <v>2998</v>
      </c>
      <c r="J3800" s="133" t="s">
        <v>2505</v>
      </c>
      <c r="K3800" s="133"/>
      <c r="L3800" s="167">
        <v>282110</v>
      </c>
      <c r="M3800" s="169"/>
    </row>
    <row r="3801" spans="1:13" x14ac:dyDescent="0.55000000000000004">
      <c r="A3801" s="133" t="s">
        <v>2506</v>
      </c>
      <c r="B3801" s="133" t="s">
        <v>2999</v>
      </c>
      <c r="C3801" s="133" t="s">
        <v>163</v>
      </c>
      <c r="D3801" s="133" t="s">
        <v>3288</v>
      </c>
      <c r="E3801" s="138">
        <v>30</v>
      </c>
      <c r="F3801" s="153" t="s">
        <v>122</v>
      </c>
      <c r="G3801" s="153">
        <v>1</v>
      </c>
      <c r="H3801" s="133" t="s">
        <v>39</v>
      </c>
      <c r="I3801" s="133" t="s">
        <v>3000</v>
      </c>
      <c r="J3801" s="133" t="s">
        <v>2505</v>
      </c>
      <c r="K3801" s="133"/>
      <c r="L3801" s="167"/>
      <c r="M3801" s="169"/>
    </row>
    <row r="3802" spans="1:13" x14ac:dyDescent="0.55000000000000004">
      <c r="A3802" s="133" t="s">
        <v>2506</v>
      </c>
      <c r="B3802" s="133" t="s">
        <v>3001</v>
      </c>
      <c r="C3802" s="133" t="s">
        <v>163</v>
      </c>
      <c r="D3802" s="133" t="s">
        <v>3288</v>
      </c>
      <c r="E3802" s="138">
        <v>150</v>
      </c>
      <c r="F3802" s="153" t="s">
        <v>122</v>
      </c>
      <c r="G3802" s="153">
        <v>1</v>
      </c>
      <c r="H3802" s="133" t="s">
        <v>39</v>
      </c>
      <c r="I3802" s="133" t="s">
        <v>3002</v>
      </c>
      <c r="J3802" s="133" t="s">
        <v>2505</v>
      </c>
      <c r="K3802" s="133"/>
      <c r="L3802" s="167">
        <v>720260</v>
      </c>
      <c r="M3802" s="169"/>
    </row>
    <row r="3803" spans="1:13" x14ac:dyDescent="0.55000000000000004">
      <c r="A3803" s="133" t="s">
        <v>2510</v>
      </c>
      <c r="B3803" s="133" t="s">
        <v>3003</v>
      </c>
      <c r="C3803" s="133" t="s">
        <v>121</v>
      </c>
      <c r="D3803" s="133" t="s">
        <v>2682</v>
      </c>
      <c r="E3803" s="138">
        <v>1</v>
      </c>
      <c r="F3803" s="153">
        <v>1</v>
      </c>
      <c r="G3803" s="153">
        <v>1</v>
      </c>
      <c r="H3803" s="133" t="s">
        <v>39</v>
      </c>
      <c r="I3803" s="133"/>
      <c r="J3803" s="133" t="s">
        <v>2509</v>
      </c>
      <c r="K3803" s="133"/>
      <c r="L3803" s="167"/>
      <c r="M3803" s="169"/>
    </row>
    <row r="3804" spans="1:13" x14ac:dyDescent="0.55000000000000004">
      <c r="A3804" s="133" t="s">
        <v>2510</v>
      </c>
      <c r="B3804" s="133" t="s">
        <v>3004</v>
      </c>
      <c r="C3804" s="133" t="s">
        <v>207</v>
      </c>
      <c r="D3804" s="133" t="s">
        <v>3288</v>
      </c>
      <c r="E3804" s="138">
        <v>8.64</v>
      </c>
      <c r="F3804" s="153" t="s">
        <v>122</v>
      </c>
      <c r="G3804" s="153">
        <v>1</v>
      </c>
      <c r="H3804" s="133" t="s">
        <v>39</v>
      </c>
      <c r="I3804" s="133"/>
      <c r="J3804" s="133" t="s">
        <v>2509</v>
      </c>
      <c r="K3804" s="133"/>
      <c r="L3804" s="167"/>
      <c r="M3804" s="169"/>
    </row>
    <row r="3805" spans="1:13" x14ac:dyDescent="0.55000000000000004">
      <c r="A3805" s="133" t="s">
        <v>2510</v>
      </c>
      <c r="B3805" s="133" t="s">
        <v>3005</v>
      </c>
      <c r="C3805" s="133" t="s">
        <v>125</v>
      </c>
      <c r="D3805" s="133" t="s">
        <v>3288</v>
      </c>
      <c r="E3805" s="138">
        <v>0.29599999999999999</v>
      </c>
      <c r="F3805" s="153" t="s">
        <v>122</v>
      </c>
      <c r="G3805" s="153">
        <v>1</v>
      </c>
      <c r="H3805" s="133" t="s">
        <v>39</v>
      </c>
      <c r="I3805" s="133"/>
      <c r="J3805" s="133" t="s">
        <v>2509</v>
      </c>
      <c r="K3805" s="133"/>
      <c r="L3805" s="167"/>
      <c r="M3805" s="169"/>
    </row>
    <row r="3806" spans="1:13" x14ac:dyDescent="0.55000000000000004">
      <c r="A3806" s="133" t="s">
        <v>2510</v>
      </c>
      <c r="B3806" s="133" t="s">
        <v>3006</v>
      </c>
      <c r="C3806" s="133" t="s">
        <v>125</v>
      </c>
      <c r="D3806" s="133" t="s">
        <v>3288</v>
      </c>
      <c r="E3806" s="138">
        <v>0.82400000000000007</v>
      </c>
      <c r="F3806" s="153" t="s">
        <v>122</v>
      </c>
      <c r="G3806" s="153">
        <v>1</v>
      </c>
      <c r="H3806" s="133" t="s">
        <v>39</v>
      </c>
      <c r="I3806" s="133"/>
      <c r="J3806" s="133" t="s">
        <v>2509</v>
      </c>
      <c r="K3806" s="133"/>
      <c r="L3806" s="167"/>
      <c r="M3806" s="169"/>
    </row>
    <row r="3807" spans="1:13" x14ac:dyDescent="0.55000000000000004">
      <c r="A3807" s="133" t="s">
        <v>2510</v>
      </c>
      <c r="B3807" s="133" t="s">
        <v>3007</v>
      </c>
      <c r="C3807" s="133" t="s">
        <v>125</v>
      </c>
      <c r="D3807" s="133" t="s">
        <v>3288</v>
      </c>
      <c r="E3807" s="138">
        <v>0.754</v>
      </c>
      <c r="F3807" s="153" t="s">
        <v>122</v>
      </c>
      <c r="G3807" s="153">
        <v>1</v>
      </c>
      <c r="H3807" s="133" t="s">
        <v>39</v>
      </c>
      <c r="I3807" s="133"/>
      <c r="J3807" s="133" t="s">
        <v>2509</v>
      </c>
      <c r="K3807" s="133"/>
      <c r="L3807" s="167"/>
      <c r="M3807" s="169"/>
    </row>
    <row r="3808" spans="1:13" x14ac:dyDescent="0.55000000000000004">
      <c r="A3808" s="133" t="s">
        <v>2510</v>
      </c>
      <c r="B3808" s="133" t="s">
        <v>3008</v>
      </c>
      <c r="C3808" s="133" t="s">
        <v>125</v>
      </c>
      <c r="D3808" s="133" t="s">
        <v>3288</v>
      </c>
      <c r="E3808" s="138">
        <v>3.08</v>
      </c>
      <c r="F3808" s="153" t="s">
        <v>122</v>
      </c>
      <c r="G3808" s="153">
        <v>1</v>
      </c>
      <c r="H3808" s="133" t="s">
        <v>39</v>
      </c>
      <c r="I3808" s="133"/>
      <c r="J3808" s="133" t="s">
        <v>2509</v>
      </c>
      <c r="K3808" s="133"/>
      <c r="L3808" s="167"/>
      <c r="M3808" s="169"/>
    </row>
    <row r="3809" spans="1:13" x14ac:dyDescent="0.55000000000000004">
      <c r="A3809" s="133" t="s">
        <v>2510</v>
      </c>
      <c r="B3809" s="133" t="s">
        <v>154</v>
      </c>
      <c r="C3809" s="133" t="s">
        <v>132</v>
      </c>
      <c r="D3809" s="133" t="s">
        <v>3288</v>
      </c>
      <c r="E3809" s="138">
        <v>4.59</v>
      </c>
      <c r="F3809" s="153" t="s">
        <v>122</v>
      </c>
      <c r="G3809" s="153">
        <v>1</v>
      </c>
      <c r="H3809" s="133" t="s">
        <v>39</v>
      </c>
      <c r="I3809" s="133"/>
      <c r="J3809" s="133" t="s">
        <v>2509</v>
      </c>
      <c r="K3809" s="133"/>
      <c r="L3809" s="167"/>
      <c r="M3809" s="169"/>
    </row>
    <row r="3810" spans="1:13" x14ac:dyDescent="0.55000000000000004">
      <c r="A3810" s="133" t="s">
        <v>2510</v>
      </c>
      <c r="B3810" s="133" t="s">
        <v>153</v>
      </c>
      <c r="C3810" s="133" t="s">
        <v>127</v>
      </c>
      <c r="D3810" s="133" t="s">
        <v>2994</v>
      </c>
      <c r="E3810" s="138">
        <v>4.1900000000000004</v>
      </c>
      <c r="F3810" s="153" t="s">
        <v>130</v>
      </c>
      <c r="G3810" s="153">
        <v>1</v>
      </c>
      <c r="H3810" s="133" t="s">
        <v>39</v>
      </c>
      <c r="I3810" s="133"/>
      <c r="J3810" s="133" t="s">
        <v>2509</v>
      </c>
      <c r="K3810" s="133"/>
      <c r="L3810" s="167"/>
      <c r="M3810" s="169"/>
    </row>
    <row r="3811" spans="1:13" x14ac:dyDescent="0.55000000000000004">
      <c r="A3811" s="133" t="s">
        <v>2510</v>
      </c>
      <c r="B3811" s="133" t="s">
        <v>3009</v>
      </c>
      <c r="C3811" s="133" t="s">
        <v>156</v>
      </c>
      <c r="D3811" s="133" t="s">
        <v>3288</v>
      </c>
      <c r="E3811" s="138">
        <v>3.08</v>
      </c>
      <c r="F3811" s="153" t="s">
        <v>122</v>
      </c>
      <c r="G3811" s="153">
        <v>1</v>
      </c>
      <c r="H3811" s="133" t="s">
        <v>39</v>
      </c>
      <c r="I3811" s="133"/>
      <c r="J3811" s="133" t="s">
        <v>2509</v>
      </c>
      <c r="K3811" s="133"/>
      <c r="L3811" s="167"/>
      <c r="M3811" s="169"/>
    </row>
    <row r="3812" spans="1:13" x14ac:dyDescent="0.55000000000000004">
      <c r="A3812" s="133" t="s">
        <v>2510</v>
      </c>
      <c r="B3812" s="133" t="s">
        <v>2923</v>
      </c>
      <c r="C3812" s="133" t="s">
        <v>124</v>
      </c>
      <c r="D3812" s="133" t="s">
        <v>3288</v>
      </c>
      <c r="E3812" s="138">
        <v>1.5200000000000001E-3</v>
      </c>
      <c r="F3812" s="153" t="s">
        <v>122</v>
      </c>
      <c r="G3812" s="153">
        <v>1</v>
      </c>
      <c r="H3812" s="133" t="s">
        <v>39</v>
      </c>
      <c r="I3812" s="133"/>
      <c r="J3812" s="133" t="s">
        <v>2509</v>
      </c>
      <c r="K3812" s="133"/>
      <c r="L3812" s="167"/>
      <c r="M3812" s="169"/>
    </row>
    <row r="3813" spans="1:13" x14ac:dyDescent="0.55000000000000004">
      <c r="A3813" s="133" t="s">
        <v>2510</v>
      </c>
      <c r="B3813" s="133" t="s">
        <v>3010</v>
      </c>
      <c r="C3813" s="133" t="s">
        <v>124</v>
      </c>
      <c r="D3813" s="133" t="s">
        <v>3288</v>
      </c>
      <c r="E3813" s="138">
        <v>2.0600000000000003E-5</v>
      </c>
      <c r="F3813" s="153" t="s">
        <v>122</v>
      </c>
      <c r="G3813" s="153">
        <v>1</v>
      </c>
      <c r="H3813" s="133" t="s">
        <v>39</v>
      </c>
      <c r="I3813" s="133"/>
      <c r="J3813" s="133" t="s">
        <v>2509</v>
      </c>
      <c r="K3813" s="133"/>
      <c r="L3813" s="167"/>
      <c r="M3813" s="169"/>
    </row>
    <row r="3814" spans="1:13" x14ac:dyDescent="0.55000000000000004">
      <c r="A3814" s="133" t="s">
        <v>2510</v>
      </c>
      <c r="B3814" s="133" t="s">
        <v>3011</v>
      </c>
      <c r="C3814" s="133" t="s">
        <v>124</v>
      </c>
      <c r="D3814" s="133" t="s">
        <v>3288</v>
      </c>
      <c r="E3814" s="138">
        <v>1.14E-3</v>
      </c>
      <c r="F3814" s="153" t="s">
        <v>122</v>
      </c>
      <c r="G3814" s="153">
        <v>1</v>
      </c>
      <c r="H3814" s="133" t="s">
        <v>39</v>
      </c>
      <c r="I3814" s="133"/>
      <c r="J3814" s="133" t="s">
        <v>2509</v>
      </c>
      <c r="K3814" s="133"/>
      <c r="L3814" s="167"/>
      <c r="M3814" s="169"/>
    </row>
    <row r="3815" spans="1:13" x14ac:dyDescent="0.55000000000000004">
      <c r="A3815" s="133" t="s">
        <v>2510</v>
      </c>
      <c r="B3815" s="133" t="s">
        <v>3012</v>
      </c>
      <c r="C3815" s="133" t="s">
        <v>124</v>
      </c>
      <c r="D3815" s="133" t="s">
        <v>3288</v>
      </c>
      <c r="E3815" s="138">
        <v>3.4600000000000001E-5</v>
      </c>
      <c r="F3815" s="153" t="s">
        <v>122</v>
      </c>
      <c r="G3815" s="153">
        <v>1</v>
      </c>
      <c r="H3815" s="133" t="s">
        <v>39</v>
      </c>
      <c r="I3815" s="133"/>
      <c r="J3815" s="133" t="s">
        <v>2509</v>
      </c>
      <c r="K3815" s="133"/>
      <c r="L3815" s="167"/>
      <c r="M3815" s="169"/>
    </row>
    <row r="3816" spans="1:13" x14ac:dyDescent="0.55000000000000004">
      <c r="A3816" s="133" t="s">
        <v>2510</v>
      </c>
      <c r="B3816" s="133" t="s">
        <v>3013</v>
      </c>
      <c r="C3816" s="133" t="s">
        <v>163</v>
      </c>
      <c r="D3816" s="133" t="s">
        <v>3288</v>
      </c>
      <c r="E3816" s="138">
        <v>1.73</v>
      </c>
      <c r="F3816" s="153" t="s">
        <v>122</v>
      </c>
      <c r="G3816" s="153">
        <v>1</v>
      </c>
      <c r="H3816" s="133" t="s">
        <v>39</v>
      </c>
      <c r="I3816" s="133"/>
      <c r="J3816" s="133" t="s">
        <v>2509</v>
      </c>
      <c r="K3816" s="133"/>
      <c r="L3816" s="167"/>
      <c r="M3816" s="169"/>
    </row>
    <row r="3817" spans="1:13" x14ac:dyDescent="0.55000000000000004">
      <c r="A3817" s="133" t="s">
        <v>2510</v>
      </c>
      <c r="B3817" s="133" t="s">
        <v>3014</v>
      </c>
      <c r="C3817" s="133" t="s">
        <v>163</v>
      </c>
      <c r="D3817" s="133" t="s">
        <v>3288</v>
      </c>
      <c r="E3817" s="138">
        <v>0.43200000000000005</v>
      </c>
      <c r="F3817" s="153" t="s">
        <v>122</v>
      </c>
      <c r="G3817" s="153">
        <v>1</v>
      </c>
      <c r="H3817" s="133" t="s">
        <v>39</v>
      </c>
      <c r="I3817" s="133"/>
      <c r="J3817" s="133" t="s">
        <v>2509</v>
      </c>
      <c r="K3817" s="133"/>
      <c r="L3817" s="167"/>
      <c r="M3817" s="169"/>
    </row>
    <row r="3818" spans="1:13" x14ac:dyDescent="0.55000000000000004">
      <c r="A3818" s="133" t="s">
        <v>2510</v>
      </c>
      <c r="B3818" s="133" t="s">
        <v>3015</v>
      </c>
      <c r="C3818" s="133" t="s">
        <v>163</v>
      </c>
      <c r="D3818" s="133" t="s">
        <v>3288</v>
      </c>
      <c r="E3818" s="138">
        <v>0.25900000000000001</v>
      </c>
      <c r="F3818" s="153" t="s">
        <v>122</v>
      </c>
      <c r="G3818" s="153">
        <v>1</v>
      </c>
      <c r="H3818" s="133" t="s">
        <v>39</v>
      </c>
      <c r="I3818" s="133"/>
      <c r="J3818" s="133" t="s">
        <v>2509</v>
      </c>
      <c r="K3818" s="133"/>
      <c r="L3818" s="167"/>
      <c r="M3818" s="169"/>
    </row>
    <row r="3819" spans="1:13" x14ac:dyDescent="0.55000000000000004">
      <c r="A3819" s="133" t="s">
        <v>2510</v>
      </c>
      <c r="B3819" s="133" t="s">
        <v>211</v>
      </c>
      <c r="C3819" s="133" t="s">
        <v>163</v>
      </c>
      <c r="D3819" s="133" t="s">
        <v>3288</v>
      </c>
      <c r="E3819" s="138">
        <v>0.51800000000000002</v>
      </c>
      <c r="F3819" s="153" t="s">
        <v>122</v>
      </c>
      <c r="G3819" s="153">
        <v>1</v>
      </c>
      <c r="H3819" s="133" t="s">
        <v>39</v>
      </c>
      <c r="I3819" s="133"/>
      <c r="J3819" s="133" t="s">
        <v>2509</v>
      </c>
      <c r="K3819" s="133"/>
      <c r="L3819" s="167"/>
      <c r="M3819" s="169"/>
    </row>
    <row r="3820" spans="1:13" x14ac:dyDescent="0.55000000000000004">
      <c r="A3820" s="133" t="s">
        <v>2510</v>
      </c>
      <c r="B3820" s="133" t="s">
        <v>3016</v>
      </c>
      <c r="C3820" s="133" t="s">
        <v>163</v>
      </c>
      <c r="D3820" s="133" t="s">
        <v>3288</v>
      </c>
      <c r="E3820" s="138">
        <v>1.3</v>
      </c>
      <c r="F3820" s="153" t="s">
        <v>122</v>
      </c>
      <c r="G3820" s="153">
        <v>1</v>
      </c>
      <c r="H3820" s="133" t="s">
        <v>39</v>
      </c>
      <c r="I3820" s="133"/>
      <c r="J3820" s="133" t="s">
        <v>2509</v>
      </c>
      <c r="K3820" s="133"/>
      <c r="L3820" s="167"/>
      <c r="M3820" s="169"/>
    </row>
    <row r="3821" spans="1:13" x14ac:dyDescent="0.55000000000000004">
      <c r="A3821" s="133" t="s">
        <v>2510</v>
      </c>
      <c r="B3821" s="133" t="s">
        <v>3017</v>
      </c>
      <c r="C3821" s="133" t="s">
        <v>163</v>
      </c>
      <c r="D3821" s="133" t="s">
        <v>3288</v>
      </c>
      <c r="E3821" s="138">
        <v>5.12</v>
      </c>
      <c r="F3821" s="153" t="s">
        <v>122</v>
      </c>
      <c r="G3821" s="153">
        <v>1</v>
      </c>
      <c r="H3821" s="133" t="s">
        <v>39</v>
      </c>
      <c r="I3821" s="133"/>
      <c r="J3821" s="133" t="s">
        <v>2509</v>
      </c>
      <c r="K3821" s="133"/>
      <c r="L3821" s="167"/>
      <c r="M3821" s="169"/>
    </row>
    <row r="3822" spans="1:13" x14ac:dyDescent="0.55000000000000004">
      <c r="A3822" s="133" t="s">
        <v>2512</v>
      </c>
      <c r="B3822" s="133" t="s">
        <v>3018</v>
      </c>
      <c r="C3822" s="133" t="s">
        <v>121</v>
      </c>
      <c r="D3822" s="133" t="s">
        <v>2682</v>
      </c>
      <c r="E3822" s="138">
        <v>1</v>
      </c>
      <c r="F3822" s="153">
        <v>1</v>
      </c>
      <c r="G3822" s="153">
        <v>1</v>
      </c>
      <c r="H3822" s="133" t="s">
        <v>39</v>
      </c>
      <c r="I3822" s="133"/>
      <c r="J3822" s="133" t="s">
        <v>2511</v>
      </c>
      <c r="K3822" s="133"/>
      <c r="L3822" s="167"/>
      <c r="M3822" s="169"/>
    </row>
    <row r="3823" spans="1:13" x14ac:dyDescent="0.55000000000000004">
      <c r="A3823" s="133" t="s">
        <v>2512</v>
      </c>
      <c r="B3823" s="133" t="s">
        <v>3019</v>
      </c>
      <c r="C3823" s="133" t="s">
        <v>207</v>
      </c>
      <c r="D3823" s="133" t="s">
        <v>3288</v>
      </c>
      <c r="E3823" s="138">
        <v>3.95</v>
      </c>
      <c r="F3823" s="153" t="s">
        <v>122</v>
      </c>
      <c r="G3823" s="153">
        <v>1</v>
      </c>
      <c r="H3823" s="133" t="s">
        <v>39</v>
      </c>
      <c r="I3823" s="133"/>
      <c r="J3823" s="133" t="s">
        <v>2511</v>
      </c>
      <c r="K3823" s="133"/>
      <c r="L3823" s="167"/>
      <c r="M3823" s="169"/>
    </row>
    <row r="3824" spans="1:13" x14ac:dyDescent="0.55000000000000004">
      <c r="A3824" s="133" t="s">
        <v>2512</v>
      </c>
      <c r="B3824" s="139" t="s">
        <v>3020</v>
      </c>
      <c r="C3824" s="133" t="s">
        <v>125</v>
      </c>
      <c r="D3824" s="133" t="s">
        <v>3288</v>
      </c>
      <c r="E3824" s="138">
        <v>2.52</v>
      </c>
      <c r="F3824" s="153" t="s">
        <v>122</v>
      </c>
      <c r="G3824" s="153">
        <v>1</v>
      </c>
      <c r="H3824" s="133" t="s">
        <v>39</v>
      </c>
      <c r="I3824" s="133"/>
      <c r="J3824" s="133" t="s">
        <v>2511</v>
      </c>
      <c r="K3824" s="133"/>
      <c r="L3824" s="167"/>
      <c r="M3824" s="169"/>
    </row>
    <row r="3825" spans="1:13" x14ac:dyDescent="0.55000000000000004">
      <c r="A3825" s="133" t="s">
        <v>2512</v>
      </c>
      <c r="B3825" s="133" t="s">
        <v>3021</v>
      </c>
      <c r="C3825" s="133" t="s">
        <v>125</v>
      </c>
      <c r="D3825" s="133" t="s">
        <v>3288</v>
      </c>
      <c r="E3825" s="138">
        <v>202.99999999999997</v>
      </c>
      <c r="F3825" s="153" t="s">
        <v>122</v>
      </c>
      <c r="G3825" s="153">
        <v>1</v>
      </c>
      <c r="H3825" s="133" t="s">
        <v>39</v>
      </c>
      <c r="I3825" s="133"/>
      <c r="J3825" s="133" t="s">
        <v>2511</v>
      </c>
      <c r="K3825" s="133"/>
      <c r="L3825" s="167"/>
      <c r="M3825" s="169"/>
    </row>
    <row r="3826" spans="1:13" x14ac:dyDescent="0.55000000000000004">
      <c r="A3826" s="133" t="s">
        <v>2512</v>
      </c>
      <c r="B3826" s="133" t="s">
        <v>2607</v>
      </c>
      <c r="C3826" s="133" t="s">
        <v>125</v>
      </c>
      <c r="D3826" s="133" t="s">
        <v>3288</v>
      </c>
      <c r="E3826" s="138">
        <v>4.2599999999999999E-2</v>
      </c>
      <c r="F3826" s="153" t="s">
        <v>122</v>
      </c>
      <c r="G3826" s="153">
        <v>1</v>
      </c>
      <c r="H3826" s="133" t="s">
        <v>39</v>
      </c>
      <c r="I3826" s="133"/>
      <c r="J3826" s="133" t="s">
        <v>2511</v>
      </c>
      <c r="K3826" s="133"/>
      <c r="L3826" s="167"/>
      <c r="M3826" s="169"/>
    </row>
    <row r="3827" spans="1:13" x14ac:dyDescent="0.55000000000000004">
      <c r="A3827" s="133" t="s">
        <v>2512</v>
      </c>
      <c r="B3827" s="133" t="s">
        <v>188</v>
      </c>
      <c r="C3827" s="133" t="s">
        <v>125</v>
      </c>
      <c r="D3827" s="133" t="s">
        <v>3288</v>
      </c>
      <c r="E3827" s="138">
        <v>3.75</v>
      </c>
      <c r="F3827" s="153" t="s">
        <v>122</v>
      </c>
      <c r="G3827" s="153">
        <v>1</v>
      </c>
      <c r="H3827" s="133" t="s">
        <v>39</v>
      </c>
      <c r="I3827" s="133"/>
      <c r="J3827" s="133" t="s">
        <v>2511</v>
      </c>
      <c r="K3827" s="133"/>
      <c r="L3827" s="167"/>
      <c r="M3827" s="169"/>
    </row>
    <row r="3828" spans="1:13" x14ac:dyDescent="0.55000000000000004">
      <c r="A3828" s="133" t="s">
        <v>2512</v>
      </c>
      <c r="B3828" s="133" t="s">
        <v>145</v>
      </c>
      <c r="C3828" s="133" t="s">
        <v>125</v>
      </c>
      <c r="D3828" s="133" t="s">
        <v>3288</v>
      </c>
      <c r="E3828" s="138">
        <v>3.68</v>
      </c>
      <c r="F3828" s="153" t="s">
        <v>122</v>
      </c>
      <c r="G3828" s="153">
        <v>1</v>
      </c>
      <c r="H3828" s="133" t="s">
        <v>39</v>
      </c>
      <c r="I3828" s="133"/>
      <c r="J3828" s="133" t="s">
        <v>2511</v>
      </c>
      <c r="K3828" s="133"/>
      <c r="L3828" s="167"/>
      <c r="M3828" s="169"/>
    </row>
    <row r="3829" spans="1:13" x14ac:dyDescent="0.55000000000000004">
      <c r="A3829" s="133" t="s">
        <v>2512</v>
      </c>
      <c r="B3829" s="133" t="s">
        <v>149</v>
      </c>
      <c r="C3829" s="133" t="s">
        <v>125</v>
      </c>
      <c r="D3829" s="133" t="s">
        <v>3288</v>
      </c>
      <c r="E3829" s="138">
        <v>5.9900000000000002E-2</v>
      </c>
      <c r="F3829" s="153" t="s">
        <v>122</v>
      </c>
      <c r="G3829" s="153">
        <v>1</v>
      </c>
      <c r="H3829" s="133" t="s">
        <v>39</v>
      </c>
      <c r="I3829" s="133"/>
      <c r="J3829" s="133" t="s">
        <v>2511</v>
      </c>
      <c r="K3829" s="133"/>
      <c r="L3829" s="167"/>
      <c r="M3829" s="169"/>
    </row>
    <row r="3830" spans="1:13" x14ac:dyDescent="0.55000000000000004">
      <c r="A3830" s="133" t="s">
        <v>2512</v>
      </c>
      <c r="B3830" s="133" t="s">
        <v>3022</v>
      </c>
      <c r="C3830" s="133" t="s">
        <v>125</v>
      </c>
      <c r="D3830" s="133" t="s">
        <v>3288</v>
      </c>
      <c r="E3830" s="138">
        <v>0.55800000000000005</v>
      </c>
      <c r="F3830" s="153" t="s">
        <v>122</v>
      </c>
      <c r="G3830" s="153">
        <v>1</v>
      </c>
      <c r="H3830" s="133" t="s">
        <v>39</v>
      </c>
      <c r="I3830" s="133"/>
      <c r="J3830" s="133" t="s">
        <v>2511</v>
      </c>
      <c r="K3830" s="133"/>
      <c r="L3830" s="167"/>
      <c r="M3830" s="169"/>
    </row>
    <row r="3831" spans="1:13" x14ac:dyDescent="0.55000000000000004">
      <c r="A3831" s="133" t="s">
        <v>2512</v>
      </c>
      <c r="B3831" s="133" t="s">
        <v>615</v>
      </c>
      <c r="C3831" s="133" t="s">
        <v>125</v>
      </c>
      <c r="D3831" s="133" t="s">
        <v>3288</v>
      </c>
      <c r="E3831" s="138">
        <v>7.6300000000000007E-2</v>
      </c>
      <c r="F3831" s="153" t="s">
        <v>122</v>
      </c>
      <c r="G3831" s="153">
        <v>1</v>
      </c>
      <c r="H3831" s="133" t="s">
        <v>39</v>
      </c>
      <c r="I3831" s="133"/>
      <c r="J3831" s="133" t="s">
        <v>2511</v>
      </c>
      <c r="K3831" s="133"/>
      <c r="L3831" s="167"/>
      <c r="M3831" s="169"/>
    </row>
    <row r="3832" spans="1:13" x14ac:dyDescent="0.55000000000000004">
      <c r="A3832" s="133" t="s">
        <v>2512</v>
      </c>
      <c r="B3832" s="133" t="s">
        <v>148</v>
      </c>
      <c r="C3832" s="133" t="s">
        <v>125</v>
      </c>
      <c r="D3832" s="133" t="s">
        <v>3288</v>
      </c>
      <c r="E3832" s="138">
        <v>2.81</v>
      </c>
      <c r="F3832" s="153" t="s">
        <v>122</v>
      </c>
      <c r="G3832" s="153">
        <v>1</v>
      </c>
      <c r="H3832" s="133" t="s">
        <v>39</v>
      </c>
      <c r="I3832" s="133"/>
      <c r="J3832" s="133" t="s">
        <v>2511</v>
      </c>
      <c r="K3832" s="133"/>
      <c r="L3832" s="167"/>
      <c r="M3832" s="169"/>
    </row>
    <row r="3833" spans="1:13" x14ac:dyDescent="0.55000000000000004">
      <c r="A3833" s="133" t="s">
        <v>2512</v>
      </c>
      <c r="B3833" s="133" t="s">
        <v>3023</v>
      </c>
      <c r="C3833" s="133" t="s">
        <v>125</v>
      </c>
      <c r="D3833" s="133" t="s">
        <v>3288</v>
      </c>
      <c r="E3833" s="138">
        <v>0.82500000000000007</v>
      </c>
      <c r="F3833" s="153" t="s">
        <v>122</v>
      </c>
      <c r="G3833" s="153">
        <v>1</v>
      </c>
      <c r="H3833" s="133" t="s">
        <v>39</v>
      </c>
      <c r="I3833" s="133"/>
      <c r="J3833" s="133" t="s">
        <v>2511</v>
      </c>
      <c r="K3833" s="133"/>
      <c r="L3833" s="167"/>
      <c r="M3833" s="169"/>
    </row>
    <row r="3834" spans="1:13" x14ac:dyDescent="0.55000000000000004">
      <c r="A3834" s="133" t="s">
        <v>2512</v>
      </c>
      <c r="B3834" s="133" t="s">
        <v>2950</v>
      </c>
      <c r="C3834" s="133" t="s">
        <v>125</v>
      </c>
      <c r="D3834" s="133" t="s">
        <v>3288</v>
      </c>
      <c r="E3834" s="138">
        <v>3.2000000000000001E-2</v>
      </c>
      <c r="F3834" s="153" t="s">
        <v>122</v>
      </c>
      <c r="G3834" s="153">
        <v>1</v>
      </c>
      <c r="H3834" s="133" t="s">
        <v>39</v>
      </c>
      <c r="I3834" s="133"/>
      <c r="J3834" s="133" t="s">
        <v>2511</v>
      </c>
      <c r="K3834" s="133"/>
      <c r="L3834" s="167"/>
      <c r="M3834" s="169"/>
    </row>
    <row r="3835" spans="1:13" x14ac:dyDescent="0.55000000000000004">
      <c r="A3835" s="133" t="s">
        <v>2512</v>
      </c>
      <c r="B3835" s="133" t="s">
        <v>3024</v>
      </c>
      <c r="C3835" s="133" t="s">
        <v>125</v>
      </c>
      <c r="D3835" s="133" t="s">
        <v>3288</v>
      </c>
      <c r="E3835" s="138">
        <v>21.200000000000003</v>
      </c>
      <c r="F3835" s="153" t="s">
        <v>122</v>
      </c>
      <c r="G3835" s="153">
        <v>1</v>
      </c>
      <c r="H3835" s="133" t="s">
        <v>39</v>
      </c>
      <c r="I3835" s="133"/>
      <c r="J3835" s="133" t="s">
        <v>2511</v>
      </c>
      <c r="K3835" s="133"/>
      <c r="L3835" s="167"/>
      <c r="M3835" s="169"/>
    </row>
    <row r="3836" spans="1:13" x14ac:dyDescent="0.55000000000000004">
      <c r="A3836" s="133" t="s">
        <v>2512</v>
      </c>
      <c r="B3836" s="133" t="s">
        <v>153</v>
      </c>
      <c r="C3836" s="133" t="s">
        <v>127</v>
      </c>
      <c r="D3836" s="133" t="s">
        <v>2994</v>
      </c>
      <c r="E3836" s="138">
        <v>10.700000000000001</v>
      </c>
      <c r="F3836" s="153" t="s">
        <v>130</v>
      </c>
      <c r="G3836" s="153">
        <v>1</v>
      </c>
      <c r="H3836" s="133" t="s">
        <v>39</v>
      </c>
      <c r="I3836" s="133"/>
      <c r="J3836" s="133" t="s">
        <v>2511</v>
      </c>
      <c r="K3836" s="133"/>
      <c r="L3836" s="167"/>
      <c r="M3836" s="169"/>
    </row>
    <row r="3837" spans="1:13" x14ac:dyDescent="0.55000000000000004">
      <c r="A3837" s="133" t="s">
        <v>2512</v>
      </c>
      <c r="B3837" s="133" t="s">
        <v>496</v>
      </c>
      <c r="C3837" s="133" t="s">
        <v>127</v>
      </c>
      <c r="D3837" s="133" t="s">
        <v>2994</v>
      </c>
      <c r="E3837" s="138">
        <v>30.7</v>
      </c>
      <c r="F3837" s="153" t="s">
        <v>167</v>
      </c>
      <c r="G3837" s="153">
        <v>1</v>
      </c>
      <c r="H3837" s="133" t="s">
        <v>39</v>
      </c>
      <c r="I3837" s="133"/>
      <c r="J3837" s="133" t="s">
        <v>2511</v>
      </c>
      <c r="K3837" s="133"/>
      <c r="L3837" s="167"/>
      <c r="M3837" s="169"/>
    </row>
    <row r="3838" spans="1:13" x14ac:dyDescent="0.55000000000000004">
      <c r="A3838" s="133" t="s">
        <v>2512</v>
      </c>
      <c r="B3838" s="133" t="s">
        <v>3025</v>
      </c>
      <c r="C3838" s="133" t="s">
        <v>156</v>
      </c>
      <c r="D3838" s="133" t="s">
        <v>3288</v>
      </c>
      <c r="E3838" s="138">
        <v>4.3600000000000007E-2</v>
      </c>
      <c r="F3838" s="153" t="s">
        <v>122</v>
      </c>
      <c r="G3838" s="153">
        <v>1</v>
      </c>
      <c r="H3838" s="133" t="s">
        <v>39</v>
      </c>
      <c r="I3838" s="133"/>
      <c r="J3838" s="133" t="s">
        <v>2511</v>
      </c>
      <c r="K3838" s="133"/>
      <c r="L3838" s="167"/>
      <c r="M3838" s="169"/>
    </row>
    <row r="3839" spans="1:13" x14ac:dyDescent="0.55000000000000004">
      <c r="A3839" s="133" t="s">
        <v>2512</v>
      </c>
      <c r="B3839" s="133" t="s">
        <v>3026</v>
      </c>
      <c r="C3839" s="133" t="s">
        <v>156</v>
      </c>
      <c r="D3839" s="133" t="s">
        <v>3288</v>
      </c>
      <c r="E3839" s="138">
        <v>0.29799999999999999</v>
      </c>
      <c r="F3839" s="153" t="s">
        <v>122</v>
      </c>
      <c r="G3839" s="153">
        <v>1</v>
      </c>
      <c r="H3839" s="133" t="s">
        <v>39</v>
      </c>
      <c r="I3839" s="133"/>
      <c r="J3839" s="133" t="s">
        <v>2511</v>
      </c>
      <c r="K3839" s="133"/>
      <c r="L3839" s="167"/>
      <c r="M3839" s="169"/>
    </row>
    <row r="3840" spans="1:13" x14ac:dyDescent="0.55000000000000004">
      <c r="A3840" s="133" t="s">
        <v>2512</v>
      </c>
      <c r="B3840" s="133" t="s">
        <v>726</v>
      </c>
      <c r="C3840" s="133" t="s">
        <v>156</v>
      </c>
      <c r="D3840" s="133" t="s">
        <v>3288</v>
      </c>
      <c r="E3840" s="138">
        <v>0.31200000000000006</v>
      </c>
      <c r="F3840" s="153" t="s">
        <v>122</v>
      </c>
      <c r="G3840" s="153">
        <v>1</v>
      </c>
      <c r="H3840" s="133" t="s">
        <v>39</v>
      </c>
      <c r="I3840" s="133"/>
      <c r="J3840" s="133" t="s">
        <v>2511</v>
      </c>
      <c r="K3840" s="133"/>
      <c r="L3840" s="167"/>
      <c r="M3840" s="169"/>
    </row>
    <row r="3841" spans="1:13" x14ac:dyDescent="0.55000000000000004">
      <c r="A3841" s="133" t="s">
        <v>2512</v>
      </c>
      <c r="B3841" s="133" t="s">
        <v>3027</v>
      </c>
      <c r="C3841" s="133" t="s">
        <v>156</v>
      </c>
      <c r="D3841" s="133" t="s">
        <v>3288</v>
      </c>
      <c r="E3841" s="138">
        <v>1.5</v>
      </c>
      <c r="F3841" s="153" t="s">
        <v>122</v>
      </c>
      <c r="G3841" s="153">
        <v>1</v>
      </c>
      <c r="H3841" s="133" t="s">
        <v>39</v>
      </c>
      <c r="I3841" s="133"/>
      <c r="J3841" s="133" t="s">
        <v>2511</v>
      </c>
      <c r="K3841" s="133"/>
      <c r="L3841" s="167"/>
      <c r="M3841" s="169"/>
    </row>
    <row r="3842" spans="1:13" x14ac:dyDescent="0.55000000000000004">
      <c r="A3842" s="133" t="s">
        <v>2512</v>
      </c>
      <c r="B3842" s="133" t="s">
        <v>160</v>
      </c>
      <c r="C3842" s="133" t="s">
        <v>124</v>
      </c>
      <c r="D3842" s="133" t="s">
        <v>3288</v>
      </c>
      <c r="E3842" s="138">
        <v>3.83</v>
      </c>
      <c r="F3842" s="153" t="s">
        <v>122</v>
      </c>
      <c r="G3842" s="153">
        <v>1</v>
      </c>
      <c r="H3842" s="133" t="s">
        <v>39</v>
      </c>
      <c r="I3842" s="133"/>
      <c r="J3842" s="133" t="s">
        <v>2511</v>
      </c>
      <c r="K3842" s="133"/>
      <c r="L3842" s="167"/>
      <c r="M3842" s="169"/>
    </row>
    <row r="3843" spans="1:13" x14ac:dyDescent="0.55000000000000004">
      <c r="A3843" s="133" t="s">
        <v>2512</v>
      </c>
      <c r="B3843" s="133" t="s">
        <v>3028</v>
      </c>
      <c r="C3843" s="133" t="s">
        <v>163</v>
      </c>
      <c r="D3843" s="133" t="s">
        <v>3288</v>
      </c>
      <c r="E3843" s="138">
        <v>2.7599999999999999E-3</v>
      </c>
      <c r="F3843" s="153" t="s">
        <v>122</v>
      </c>
      <c r="G3843" s="153">
        <v>1</v>
      </c>
      <c r="H3843" s="133" t="s">
        <v>39</v>
      </c>
      <c r="I3843" s="133"/>
      <c r="J3843" s="133" t="s">
        <v>2511</v>
      </c>
      <c r="K3843" s="133"/>
      <c r="L3843" s="167"/>
      <c r="M3843" s="169"/>
    </row>
    <row r="3844" spans="1:13" x14ac:dyDescent="0.55000000000000004">
      <c r="A3844" s="133" t="s">
        <v>2512</v>
      </c>
      <c r="B3844" s="133" t="s">
        <v>3029</v>
      </c>
      <c r="C3844" s="133" t="s">
        <v>163</v>
      </c>
      <c r="D3844" s="133" t="s">
        <v>3288</v>
      </c>
      <c r="E3844" s="138">
        <v>1.5700000000000002E-2</v>
      </c>
      <c r="F3844" s="153" t="s">
        <v>122</v>
      </c>
      <c r="G3844" s="153">
        <v>1</v>
      </c>
      <c r="H3844" s="133" t="s">
        <v>39</v>
      </c>
      <c r="I3844" s="133"/>
      <c r="J3844" s="133" t="s">
        <v>2511</v>
      </c>
      <c r="K3844" s="133"/>
      <c r="L3844" s="167"/>
      <c r="M3844" s="169"/>
    </row>
    <row r="3845" spans="1:13" x14ac:dyDescent="0.55000000000000004">
      <c r="A3845" s="133" t="s">
        <v>2512</v>
      </c>
      <c r="B3845" s="133" t="s">
        <v>3030</v>
      </c>
      <c r="C3845" s="133" t="s">
        <v>163</v>
      </c>
      <c r="D3845" s="133" t="s">
        <v>3288</v>
      </c>
      <c r="E3845" s="138">
        <v>1.18E-2</v>
      </c>
      <c r="F3845" s="153" t="s">
        <v>122</v>
      </c>
      <c r="G3845" s="153">
        <v>1</v>
      </c>
      <c r="H3845" s="133" t="s">
        <v>39</v>
      </c>
      <c r="I3845" s="133"/>
      <c r="J3845" s="133" t="s">
        <v>2511</v>
      </c>
      <c r="K3845" s="133"/>
      <c r="L3845" s="167"/>
      <c r="M3845" s="169"/>
    </row>
    <row r="3846" spans="1:13" x14ac:dyDescent="0.55000000000000004">
      <c r="A3846" s="133" t="s">
        <v>2512</v>
      </c>
      <c r="B3846" s="133" t="s">
        <v>3031</v>
      </c>
      <c r="C3846" s="133" t="s">
        <v>163</v>
      </c>
      <c r="D3846" s="133" t="s">
        <v>3288</v>
      </c>
      <c r="E3846" s="138">
        <v>3.79E-3</v>
      </c>
      <c r="F3846" s="153" t="s">
        <v>122</v>
      </c>
      <c r="G3846" s="153">
        <v>1</v>
      </c>
      <c r="H3846" s="133" t="s">
        <v>39</v>
      </c>
      <c r="I3846" s="133"/>
      <c r="J3846" s="133" t="s">
        <v>2511</v>
      </c>
      <c r="K3846" s="133"/>
      <c r="L3846" s="167"/>
      <c r="M3846" s="169"/>
    </row>
    <row r="3847" spans="1:13" x14ac:dyDescent="0.55000000000000004">
      <c r="A3847" s="133" t="s">
        <v>2512</v>
      </c>
      <c r="B3847" s="133" t="s">
        <v>3032</v>
      </c>
      <c r="C3847" s="133" t="s">
        <v>163</v>
      </c>
      <c r="D3847" s="133" t="s">
        <v>3288</v>
      </c>
      <c r="E3847" s="138">
        <v>0.10400000000000001</v>
      </c>
      <c r="F3847" s="153" t="s">
        <v>122</v>
      </c>
      <c r="G3847" s="153">
        <v>1</v>
      </c>
      <c r="H3847" s="133" t="s">
        <v>39</v>
      </c>
      <c r="I3847" s="133"/>
      <c r="J3847" s="133" t="s">
        <v>2511</v>
      </c>
      <c r="K3847" s="133"/>
      <c r="L3847" s="167"/>
      <c r="M3847" s="169"/>
    </row>
    <row r="3848" spans="1:13" x14ac:dyDescent="0.55000000000000004">
      <c r="A3848" s="133" t="s">
        <v>2512</v>
      </c>
      <c r="B3848" s="133" t="s">
        <v>3033</v>
      </c>
      <c r="C3848" s="133" t="s">
        <v>163</v>
      </c>
      <c r="D3848" s="133" t="s">
        <v>3288</v>
      </c>
      <c r="E3848" s="138">
        <v>0.221</v>
      </c>
      <c r="F3848" s="153" t="s">
        <v>122</v>
      </c>
      <c r="G3848" s="153">
        <v>1</v>
      </c>
      <c r="H3848" s="133" t="s">
        <v>39</v>
      </c>
      <c r="I3848" s="133"/>
      <c r="J3848" s="133" t="s">
        <v>2511</v>
      </c>
      <c r="K3848" s="133"/>
      <c r="L3848" s="167"/>
      <c r="M3848" s="169"/>
    </row>
    <row r="3849" spans="1:13" x14ac:dyDescent="0.55000000000000004">
      <c r="A3849" s="133" t="s">
        <v>2512</v>
      </c>
      <c r="B3849" s="133" t="s">
        <v>3034</v>
      </c>
      <c r="C3849" s="133" t="s">
        <v>163</v>
      </c>
      <c r="D3849" s="133" t="s">
        <v>3288</v>
      </c>
      <c r="E3849" s="138">
        <v>1.34E-2</v>
      </c>
      <c r="F3849" s="153" t="s">
        <v>122</v>
      </c>
      <c r="G3849" s="153">
        <v>1</v>
      </c>
      <c r="H3849" s="133" t="s">
        <v>39</v>
      </c>
      <c r="I3849" s="133"/>
      <c r="J3849" s="133" t="s">
        <v>2511</v>
      </c>
      <c r="K3849" s="133"/>
      <c r="L3849" s="167"/>
      <c r="M3849" s="169"/>
    </row>
    <row r="3850" spans="1:13" x14ac:dyDescent="0.55000000000000004">
      <c r="A3850" s="133" t="s">
        <v>2512</v>
      </c>
      <c r="B3850" s="133" t="s">
        <v>3035</v>
      </c>
      <c r="C3850" s="133" t="s">
        <v>163</v>
      </c>
      <c r="D3850" s="133" t="s">
        <v>3288</v>
      </c>
      <c r="E3850" s="138">
        <v>1.7299999999999999E-2</v>
      </c>
      <c r="F3850" s="153" t="s">
        <v>122</v>
      </c>
      <c r="G3850" s="153">
        <v>1</v>
      </c>
      <c r="H3850" s="133" t="s">
        <v>39</v>
      </c>
      <c r="I3850" s="133"/>
      <c r="J3850" s="133" t="s">
        <v>2511</v>
      </c>
      <c r="K3850" s="133"/>
      <c r="L3850" s="167"/>
      <c r="M3850" s="169"/>
    </row>
    <row r="3851" spans="1:13" x14ac:dyDescent="0.55000000000000004">
      <c r="A3851" s="133" t="s">
        <v>2512</v>
      </c>
      <c r="B3851" s="133" t="s">
        <v>3036</v>
      </c>
      <c r="C3851" s="133" t="s">
        <v>163</v>
      </c>
      <c r="D3851" s="133" t="s">
        <v>3288</v>
      </c>
      <c r="E3851" s="138">
        <v>3.82E-3</v>
      </c>
      <c r="F3851" s="153" t="s">
        <v>122</v>
      </c>
      <c r="G3851" s="153">
        <v>1</v>
      </c>
      <c r="H3851" s="133" t="s">
        <v>39</v>
      </c>
      <c r="I3851" s="133"/>
      <c r="J3851" s="133" t="s">
        <v>2511</v>
      </c>
      <c r="K3851" s="133"/>
      <c r="L3851" s="167"/>
      <c r="M3851" s="169"/>
    </row>
    <row r="3852" spans="1:13" x14ac:dyDescent="0.55000000000000004">
      <c r="A3852" s="133" t="s">
        <v>2512</v>
      </c>
      <c r="B3852" s="133" t="s">
        <v>3037</v>
      </c>
      <c r="C3852" s="133" t="s">
        <v>163</v>
      </c>
      <c r="D3852" s="133" t="s">
        <v>3288</v>
      </c>
      <c r="E3852" s="138">
        <v>4.5700000000000003E-3</v>
      </c>
      <c r="F3852" s="153" t="s">
        <v>122</v>
      </c>
      <c r="G3852" s="153">
        <v>1</v>
      </c>
      <c r="H3852" s="133" t="s">
        <v>39</v>
      </c>
      <c r="I3852" s="133"/>
      <c r="J3852" s="133" t="s">
        <v>2511</v>
      </c>
      <c r="K3852" s="133"/>
      <c r="L3852" s="167"/>
      <c r="M3852" s="169"/>
    </row>
    <row r="3853" spans="1:13" x14ac:dyDescent="0.55000000000000004">
      <c r="A3853" s="133" t="s">
        <v>2512</v>
      </c>
      <c r="B3853" s="133" t="s">
        <v>3038</v>
      </c>
      <c r="C3853" s="133" t="s">
        <v>163</v>
      </c>
      <c r="D3853" s="133" t="s">
        <v>3288</v>
      </c>
      <c r="E3853" s="138">
        <v>0.29599999999999999</v>
      </c>
      <c r="F3853" s="153" t="s">
        <v>122</v>
      </c>
      <c r="G3853" s="153">
        <v>1</v>
      </c>
      <c r="H3853" s="133" t="s">
        <v>39</v>
      </c>
      <c r="I3853" s="133"/>
      <c r="J3853" s="133" t="s">
        <v>2511</v>
      </c>
      <c r="K3853" s="133"/>
      <c r="L3853" s="167"/>
      <c r="M3853" s="169"/>
    </row>
    <row r="3854" spans="1:13" x14ac:dyDescent="0.55000000000000004">
      <c r="A3854" s="133" t="s">
        <v>2512</v>
      </c>
      <c r="B3854" s="139" t="s">
        <v>3039</v>
      </c>
      <c r="C3854" s="133" t="s">
        <v>163</v>
      </c>
      <c r="D3854" s="133" t="s">
        <v>3288</v>
      </c>
      <c r="E3854" s="138">
        <v>5.04E-2</v>
      </c>
      <c r="F3854" s="153" t="s">
        <v>122</v>
      </c>
      <c r="G3854" s="153">
        <v>1</v>
      </c>
      <c r="H3854" s="133" t="s">
        <v>39</v>
      </c>
      <c r="I3854" s="133"/>
      <c r="J3854" s="133" t="s">
        <v>2511</v>
      </c>
      <c r="K3854" s="133"/>
      <c r="L3854" s="167"/>
      <c r="M3854" s="169"/>
    </row>
    <row r="3855" spans="1:13" x14ac:dyDescent="0.55000000000000004">
      <c r="A3855" s="133" t="s">
        <v>2512</v>
      </c>
      <c r="B3855" s="139" t="s">
        <v>3040</v>
      </c>
      <c r="C3855" s="133" t="s">
        <v>163</v>
      </c>
      <c r="D3855" s="133" t="s">
        <v>3288</v>
      </c>
      <c r="E3855" s="138">
        <v>202.99999999999997</v>
      </c>
      <c r="F3855" s="153" t="s">
        <v>122</v>
      </c>
      <c r="G3855" s="153">
        <v>1</v>
      </c>
      <c r="H3855" s="133" t="s">
        <v>39</v>
      </c>
      <c r="I3855" s="133"/>
      <c r="J3855" s="133" t="s">
        <v>2511</v>
      </c>
      <c r="K3855" s="133"/>
      <c r="L3855" s="167"/>
      <c r="M3855" s="169"/>
    </row>
    <row r="3856" spans="1:13" x14ac:dyDescent="0.55000000000000004">
      <c r="A3856" s="133" t="s">
        <v>2515</v>
      </c>
      <c r="B3856" s="133" t="s">
        <v>3003</v>
      </c>
      <c r="C3856" s="133" t="s">
        <v>121</v>
      </c>
      <c r="D3856" s="133" t="s">
        <v>2682</v>
      </c>
      <c r="E3856" s="138">
        <v>1</v>
      </c>
      <c r="F3856" s="153">
        <v>1</v>
      </c>
      <c r="G3856" s="153">
        <v>1</v>
      </c>
      <c r="H3856" s="133" t="s">
        <v>39</v>
      </c>
      <c r="I3856" s="133"/>
      <c r="J3856" s="133" t="s">
        <v>2514</v>
      </c>
      <c r="K3856" s="133"/>
      <c r="L3856" s="167"/>
      <c r="M3856" s="169"/>
    </row>
    <row r="3857" spans="1:13" x14ac:dyDescent="0.55000000000000004">
      <c r="A3857" s="133" t="s">
        <v>2515</v>
      </c>
      <c r="B3857" s="133" t="s">
        <v>3004</v>
      </c>
      <c r="C3857" s="133" t="s">
        <v>207</v>
      </c>
      <c r="D3857" s="133" t="s">
        <v>3288</v>
      </c>
      <c r="E3857" s="138">
        <v>8.64</v>
      </c>
      <c r="F3857" s="153" t="s">
        <v>122</v>
      </c>
      <c r="G3857" s="153">
        <v>1</v>
      </c>
      <c r="H3857" s="133" t="s">
        <v>39</v>
      </c>
      <c r="I3857" s="133"/>
      <c r="J3857" s="133" t="s">
        <v>2514</v>
      </c>
      <c r="K3857" s="133"/>
      <c r="L3857" s="167"/>
      <c r="M3857" s="169"/>
    </row>
    <row r="3858" spans="1:13" x14ac:dyDescent="0.55000000000000004">
      <c r="A3858" s="133" t="s">
        <v>2515</v>
      </c>
      <c r="B3858" s="133" t="s">
        <v>1164</v>
      </c>
      <c r="C3858" s="133" t="s">
        <v>125</v>
      </c>
      <c r="D3858" s="133" t="s">
        <v>3288</v>
      </c>
      <c r="E3858" s="138">
        <v>31.200000000000003</v>
      </c>
      <c r="F3858" s="153" t="s">
        <v>122</v>
      </c>
      <c r="G3858" s="153">
        <v>1</v>
      </c>
      <c r="H3858" s="133" t="s">
        <v>39</v>
      </c>
      <c r="I3858" s="133"/>
      <c r="J3858" s="133" t="s">
        <v>2514</v>
      </c>
      <c r="K3858" s="133"/>
      <c r="L3858" s="167"/>
      <c r="M3858" s="169"/>
    </row>
    <row r="3859" spans="1:13" x14ac:dyDescent="0.55000000000000004">
      <c r="A3859" s="133" t="s">
        <v>2515</v>
      </c>
      <c r="B3859" s="133" t="s">
        <v>3041</v>
      </c>
      <c r="C3859" s="133" t="s">
        <v>125</v>
      </c>
      <c r="D3859" s="133" t="s">
        <v>3288</v>
      </c>
      <c r="E3859" s="138">
        <v>1.58</v>
      </c>
      <c r="F3859" s="153" t="s">
        <v>122</v>
      </c>
      <c r="G3859" s="153">
        <v>1</v>
      </c>
      <c r="H3859" s="133" t="s">
        <v>39</v>
      </c>
      <c r="I3859" s="133"/>
      <c r="J3859" s="133" t="s">
        <v>2514</v>
      </c>
      <c r="K3859" s="133"/>
      <c r="L3859" s="167"/>
      <c r="M3859" s="169"/>
    </row>
    <row r="3860" spans="1:13" x14ac:dyDescent="0.55000000000000004">
      <c r="A3860" s="133" t="s">
        <v>2515</v>
      </c>
      <c r="B3860" s="133" t="s">
        <v>2950</v>
      </c>
      <c r="C3860" s="133" t="s">
        <v>125</v>
      </c>
      <c r="D3860" s="133" t="s">
        <v>3288</v>
      </c>
      <c r="E3860" s="138">
        <v>0.125</v>
      </c>
      <c r="F3860" s="153" t="s">
        <v>122</v>
      </c>
      <c r="G3860" s="153">
        <v>1</v>
      </c>
      <c r="H3860" s="133" t="s">
        <v>39</v>
      </c>
      <c r="I3860" s="133"/>
      <c r="J3860" s="133" t="s">
        <v>2514</v>
      </c>
      <c r="K3860" s="133"/>
      <c r="L3860" s="167"/>
      <c r="M3860" s="169"/>
    </row>
    <row r="3861" spans="1:13" x14ac:dyDescent="0.55000000000000004">
      <c r="A3861" s="133" t="s">
        <v>2515</v>
      </c>
      <c r="B3861" s="133" t="s">
        <v>2607</v>
      </c>
      <c r="C3861" s="133" t="s">
        <v>125</v>
      </c>
      <c r="D3861" s="133" t="s">
        <v>3288</v>
      </c>
      <c r="E3861" s="138">
        <v>0.89900000000000002</v>
      </c>
      <c r="F3861" s="153" t="s">
        <v>122</v>
      </c>
      <c r="G3861" s="153">
        <v>1</v>
      </c>
      <c r="H3861" s="133" t="s">
        <v>39</v>
      </c>
      <c r="I3861" s="133"/>
      <c r="J3861" s="133" t="s">
        <v>2514</v>
      </c>
      <c r="K3861" s="133"/>
      <c r="L3861" s="167"/>
      <c r="M3861" s="169"/>
    </row>
    <row r="3862" spans="1:13" x14ac:dyDescent="0.55000000000000004">
      <c r="A3862" s="133" t="s">
        <v>2515</v>
      </c>
      <c r="B3862" s="133" t="s">
        <v>3042</v>
      </c>
      <c r="C3862" s="133" t="s">
        <v>125</v>
      </c>
      <c r="D3862" s="133" t="s">
        <v>3288</v>
      </c>
      <c r="E3862" s="138">
        <v>0.40300000000000002</v>
      </c>
      <c r="F3862" s="153" t="s">
        <v>122</v>
      </c>
      <c r="G3862" s="153">
        <v>1</v>
      </c>
      <c r="H3862" s="133" t="s">
        <v>39</v>
      </c>
      <c r="I3862" s="133"/>
      <c r="J3862" s="133" t="s">
        <v>2514</v>
      </c>
      <c r="K3862" s="133"/>
      <c r="L3862" s="167"/>
      <c r="M3862" s="169"/>
    </row>
    <row r="3863" spans="1:13" x14ac:dyDescent="0.55000000000000004">
      <c r="A3863" s="133" t="s">
        <v>2515</v>
      </c>
      <c r="B3863" s="133" t="s">
        <v>153</v>
      </c>
      <c r="C3863" s="133" t="s">
        <v>127</v>
      </c>
      <c r="D3863" s="133" t="s">
        <v>2994</v>
      </c>
      <c r="E3863" s="138">
        <v>30</v>
      </c>
      <c r="F3863" s="153" t="s">
        <v>130</v>
      </c>
      <c r="G3863" s="153">
        <v>1</v>
      </c>
      <c r="H3863" s="133" t="s">
        <v>39</v>
      </c>
      <c r="I3863" s="133"/>
      <c r="J3863" s="133" t="s">
        <v>2514</v>
      </c>
      <c r="K3863" s="133"/>
      <c r="L3863" s="167"/>
      <c r="M3863" s="169"/>
    </row>
    <row r="3864" spans="1:13" x14ac:dyDescent="0.55000000000000004">
      <c r="A3864" s="133" t="s">
        <v>2515</v>
      </c>
      <c r="B3864" s="133" t="s">
        <v>3010</v>
      </c>
      <c r="C3864" s="133" t="s">
        <v>124</v>
      </c>
      <c r="D3864" s="133" t="s">
        <v>3288</v>
      </c>
      <c r="E3864" s="138">
        <v>1.73E-4</v>
      </c>
      <c r="F3864" s="153" t="s">
        <v>122</v>
      </c>
      <c r="G3864" s="153">
        <v>1</v>
      </c>
      <c r="H3864" s="133" t="s">
        <v>39</v>
      </c>
      <c r="I3864" s="133"/>
      <c r="J3864" s="133" t="s">
        <v>2514</v>
      </c>
      <c r="K3864" s="133"/>
      <c r="L3864" s="167"/>
      <c r="M3864" s="169"/>
    </row>
    <row r="3865" spans="1:13" x14ac:dyDescent="0.55000000000000004">
      <c r="A3865" s="133" t="s">
        <v>2515</v>
      </c>
      <c r="B3865" s="133" t="s">
        <v>2923</v>
      </c>
      <c r="C3865" s="133" t="s">
        <v>124</v>
      </c>
      <c r="D3865" s="133" t="s">
        <v>3288</v>
      </c>
      <c r="E3865" s="138">
        <v>5.3400000000000001E-3</v>
      </c>
      <c r="F3865" s="153" t="s">
        <v>122</v>
      </c>
      <c r="G3865" s="153">
        <v>1</v>
      </c>
      <c r="H3865" s="133" t="s">
        <v>39</v>
      </c>
      <c r="I3865" s="133"/>
      <c r="J3865" s="133" t="s">
        <v>2514</v>
      </c>
      <c r="K3865" s="133"/>
      <c r="L3865" s="167"/>
      <c r="M3865" s="169"/>
    </row>
    <row r="3866" spans="1:13" x14ac:dyDescent="0.55000000000000004">
      <c r="A3866" s="133" t="s">
        <v>2515</v>
      </c>
      <c r="B3866" s="133" t="s">
        <v>3011</v>
      </c>
      <c r="C3866" s="133" t="s">
        <v>124</v>
      </c>
      <c r="D3866" s="133" t="s">
        <v>3288</v>
      </c>
      <c r="E3866" s="138">
        <v>2E-3</v>
      </c>
      <c r="F3866" s="153" t="s">
        <v>122</v>
      </c>
      <c r="G3866" s="153">
        <v>1</v>
      </c>
      <c r="H3866" s="133" t="s">
        <v>39</v>
      </c>
      <c r="I3866" s="133"/>
      <c r="J3866" s="133" t="s">
        <v>2514</v>
      </c>
      <c r="K3866" s="133"/>
      <c r="L3866" s="167"/>
      <c r="M3866" s="169"/>
    </row>
    <row r="3867" spans="1:13" x14ac:dyDescent="0.55000000000000004">
      <c r="A3867" s="133" t="s">
        <v>2515</v>
      </c>
      <c r="B3867" s="133" t="s">
        <v>3043</v>
      </c>
      <c r="C3867" s="133" t="s">
        <v>156</v>
      </c>
      <c r="D3867" s="133" t="s">
        <v>3288</v>
      </c>
      <c r="E3867" s="138">
        <v>1.9</v>
      </c>
      <c r="F3867" s="153" t="s">
        <v>122</v>
      </c>
      <c r="G3867" s="153">
        <v>1</v>
      </c>
      <c r="H3867" s="133" t="s">
        <v>39</v>
      </c>
      <c r="I3867" s="133"/>
      <c r="J3867" s="133" t="s">
        <v>2514</v>
      </c>
      <c r="K3867" s="133"/>
      <c r="L3867" s="167"/>
      <c r="M3867" s="169"/>
    </row>
    <row r="3868" spans="1:13" x14ac:dyDescent="0.55000000000000004">
      <c r="A3868" s="133" t="s">
        <v>2515</v>
      </c>
      <c r="B3868" s="133" t="s">
        <v>3044</v>
      </c>
      <c r="C3868" s="133" t="s">
        <v>156</v>
      </c>
      <c r="D3868" s="133" t="s">
        <v>3288</v>
      </c>
      <c r="E3868" s="138">
        <v>0.86199999999999999</v>
      </c>
      <c r="F3868" s="153" t="s">
        <v>122</v>
      </c>
      <c r="G3868" s="153">
        <v>1</v>
      </c>
      <c r="H3868" s="133" t="s">
        <v>39</v>
      </c>
      <c r="I3868" s="133"/>
      <c r="J3868" s="133" t="s">
        <v>2514</v>
      </c>
      <c r="K3868" s="133"/>
      <c r="L3868" s="167"/>
      <c r="M3868" s="169"/>
    </row>
    <row r="3869" spans="1:13" x14ac:dyDescent="0.55000000000000004">
      <c r="A3869" s="133" t="s">
        <v>2515</v>
      </c>
      <c r="B3869" s="133" t="s">
        <v>3045</v>
      </c>
      <c r="C3869" s="133" t="s">
        <v>156</v>
      </c>
      <c r="D3869" s="133" t="s">
        <v>3288</v>
      </c>
      <c r="E3869" s="138">
        <v>0.43200000000000005</v>
      </c>
      <c r="F3869" s="153" t="s">
        <v>122</v>
      </c>
      <c r="G3869" s="153">
        <v>1</v>
      </c>
      <c r="H3869" s="133" t="s">
        <v>39</v>
      </c>
      <c r="I3869" s="133"/>
      <c r="J3869" s="133" t="s">
        <v>2514</v>
      </c>
      <c r="K3869" s="133"/>
      <c r="L3869" s="167"/>
      <c r="M3869" s="169"/>
    </row>
    <row r="3870" spans="1:13" x14ac:dyDescent="0.55000000000000004">
      <c r="A3870" s="133" t="s">
        <v>2515</v>
      </c>
      <c r="B3870" s="133" t="s">
        <v>3046</v>
      </c>
      <c r="C3870" s="133" t="s">
        <v>156</v>
      </c>
      <c r="D3870" s="133" t="s">
        <v>3288</v>
      </c>
      <c r="E3870" s="138">
        <v>0.69100000000000006</v>
      </c>
      <c r="F3870" s="153" t="s">
        <v>122</v>
      </c>
      <c r="G3870" s="153">
        <v>1</v>
      </c>
      <c r="H3870" s="133" t="s">
        <v>39</v>
      </c>
      <c r="I3870" s="133"/>
      <c r="J3870" s="133" t="s">
        <v>2514</v>
      </c>
      <c r="K3870" s="133"/>
      <c r="L3870" s="167"/>
      <c r="M3870" s="169"/>
    </row>
    <row r="3871" spans="1:13" x14ac:dyDescent="0.55000000000000004">
      <c r="A3871" s="133" t="s">
        <v>2515</v>
      </c>
      <c r="B3871" s="133" t="s">
        <v>3014</v>
      </c>
      <c r="C3871" s="133" t="s">
        <v>156</v>
      </c>
      <c r="D3871" s="133" t="s">
        <v>3288</v>
      </c>
      <c r="E3871" s="138">
        <v>0.371</v>
      </c>
      <c r="F3871" s="153" t="s">
        <v>122</v>
      </c>
      <c r="G3871" s="153">
        <v>1</v>
      </c>
      <c r="H3871" s="133" t="s">
        <v>39</v>
      </c>
      <c r="I3871" s="133"/>
      <c r="J3871" s="133" t="s">
        <v>2514</v>
      </c>
      <c r="K3871" s="133"/>
      <c r="L3871" s="167"/>
      <c r="M3871" s="169"/>
    </row>
    <row r="3872" spans="1:13" x14ac:dyDescent="0.55000000000000004">
      <c r="A3872" s="133" t="s">
        <v>2515</v>
      </c>
      <c r="B3872" s="133" t="s">
        <v>3047</v>
      </c>
      <c r="C3872" s="133" t="s">
        <v>156</v>
      </c>
      <c r="D3872" s="133" t="s">
        <v>3288</v>
      </c>
      <c r="E3872" s="138">
        <v>9.0700000000000003E-2</v>
      </c>
      <c r="F3872" s="153" t="s">
        <v>122</v>
      </c>
      <c r="G3872" s="153">
        <v>1</v>
      </c>
      <c r="H3872" s="133" t="s">
        <v>39</v>
      </c>
      <c r="I3872" s="133"/>
      <c r="J3872" s="133" t="s">
        <v>2514</v>
      </c>
      <c r="K3872" s="133"/>
      <c r="L3872" s="167"/>
      <c r="M3872" s="169"/>
    </row>
    <row r="3873" spans="1:13" x14ac:dyDescent="0.55000000000000004">
      <c r="A3873" s="133" t="s">
        <v>2515</v>
      </c>
      <c r="B3873" s="133" t="s">
        <v>3048</v>
      </c>
      <c r="C3873" s="133" t="s">
        <v>156</v>
      </c>
      <c r="D3873" s="133" t="s">
        <v>3288</v>
      </c>
      <c r="E3873" s="138">
        <v>0.85399999999999998</v>
      </c>
      <c r="F3873" s="153" t="s">
        <v>122</v>
      </c>
      <c r="G3873" s="153">
        <v>1</v>
      </c>
      <c r="H3873" s="133" t="s">
        <v>39</v>
      </c>
      <c r="I3873" s="133"/>
      <c r="J3873" s="133" t="s">
        <v>2514</v>
      </c>
      <c r="K3873" s="133"/>
      <c r="L3873" s="167"/>
      <c r="M3873" s="169"/>
    </row>
    <row r="3874" spans="1:13" x14ac:dyDescent="0.55000000000000004">
      <c r="A3874" s="133" t="s">
        <v>2515</v>
      </c>
      <c r="B3874" s="133" t="s">
        <v>3049</v>
      </c>
      <c r="C3874" s="133" t="s">
        <v>156</v>
      </c>
      <c r="D3874" s="133" t="s">
        <v>3288</v>
      </c>
      <c r="E3874" s="138">
        <v>1.1100000000000001E-3</v>
      </c>
      <c r="F3874" s="153" t="s">
        <v>122</v>
      </c>
      <c r="G3874" s="153">
        <v>1</v>
      </c>
      <c r="H3874" s="133" t="s">
        <v>39</v>
      </c>
      <c r="I3874" s="133"/>
      <c r="J3874" s="133" t="s">
        <v>2514</v>
      </c>
      <c r="K3874" s="133"/>
      <c r="L3874" s="167"/>
      <c r="M3874" s="169"/>
    </row>
    <row r="3875" spans="1:13" x14ac:dyDescent="0.55000000000000004">
      <c r="A3875" s="133" t="s">
        <v>2515</v>
      </c>
      <c r="B3875" s="133" t="s">
        <v>2607</v>
      </c>
      <c r="C3875" s="133" t="s">
        <v>124</v>
      </c>
      <c r="D3875" s="133" t="s">
        <v>3288</v>
      </c>
      <c r="E3875" s="138">
        <v>31.200000000000003</v>
      </c>
      <c r="F3875" s="153" t="s">
        <v>122</v>
      </c>
      <c r="G3875" s="153">
        <v>1</v>
      </c>
      <c r="H3875" s="133" t="s">
        <v>39</v>
      </c>
      <c r="I3875" s="133"/>
      <c r="J3875" s="133" t="s">
        <v>2514</v>
      </c>
      <c r="K3875" s="133"/>
      <c r="L3875" s="167"/>
      <c r="M3875" s="169"/>
    </row>
    <row r="3876" spans="1:13" x14ac:dyDescent="0.55000000000000004">
      <c r="A3876" s="133" t="s">
        <v>2518</v>
      </c>
      <c r="B3876" s="133" t="s">
        <v>3003</v>
      </c>
      <c r="C3876" s="133" t="s">
        <v>121</v>
      </c>
      <c r="D3876" s="133" t="s">
        <v>2682</v>
      </c>
      <c r="E3876" s="138">
        <v>1</v>
      </c>
      <c r="F3876" s="153">
        <v>1</v>
      </c>
      <c r="G3876" s="153">
        <v>1</v>
      </c>
      <c r="H3876" s="133" t="s">
        <v>39</v>
      </c>
      <c r="I3876" s="133"/>
      <c r="J3876" s="133" t="s">
        <v>2517</v>
      </c>
      <c r="K3876" s="133"/>
      <c r="L3876" s="167"/>
      <c r="M3876" s="169"/>
    </row>
    <row r="3877" spans="1:13" x14ac:dyDescent="0.55000000000000004">
      <c r="A3877" s="133" t="s">
        <v>2518</v>
      </c>
      <c r="B3877" s="133" t="s">
        <v>3004</v>
      </c>
      <c r="C3877" s="133" t="s">
        <v>207</v>
      </c>
      <c r="D3877" s="133" t="s">
        <v>3288</v>
      </c>
      <c r="E3877" s="138">
        <v>8.33</v>
      </c>
      <c r="F3877" s="153" t="s">
        <v>122</v>
      </c>
      <c r="G3877" s="153">
        <v>1</v>
      </c>
      <c r="H3877" s="133" t="s">
        <v>39</v>
      </c>
      <c r="I3877" s="133"/>
      <c r="J3877" s="133" t="s">
        <v>2517</v>
      </c>
      <c r="K3877" s="133"/>
      <c r="L3877" s="167"/>
      <c r="M3877" s="169"/>
    </row>
    <row r="3878" spans="1:13" x14ac:dyDescent="0.55000000000000004">
      <c r="A3878" s="133" t="s">
        <v>2518</v>
      </c>
      <c r="B3878" s="133" t="s">
        <v>174</v>
      </c>
      <c r="C3878" s="133" t="s">
        <v>125</v>
      </c>
      <c r="D3878" s="133" t="s">
        <v>3288</v>
      </c>
      <c r="E3878" s="138">
        <v>6.4100000000000004E-2</v>
      </c>
      <c r="F3878" s="153" t="s">
        <v>122</v>
      </c>
      <c r="G3878" s="153">
        <v>1</v>
      </c>
      <c r="H3878" s="133" t="s">
        <v>39</v>
      </c>
      <c r="I3878" s="133"/>
      <c r="J3878" s="133" t="s">
        <v>2517</v>
      </c>
      <c r="K3878" s="133"/>
      <c r="L3878" s="167"/>
      <c r="M3878" s="169"/>
    </row>
    <row r="3879" spans="1:13" x14ac:dyDescent="0.55000000000000004">
      <c r="A3879" s="133" t="s">
        <v>2518</v>
      </c>
      <c r="B3879" s="133" t="s">
        <v>3050</v>
      </c>
      <c r="C3879" s="133" t="s">
        <v>125</v>
      </c>
      <c r="D3879" s="133" t="s">
        <v>3288</v>
      </c>
      <c r="E3879" s="138">
        <v>0.18300000000000002</v>
      </c>
      <c r="F3879" s="153" t="s">
        <v>122</v>
      </c>
      <c r="G3879" s="153">
        <v>1</v>
      </c>
      <c r="H3879" s="133" t="s">
        <v>39</v>
      </c>
      <c r="I3879" s="133"/>
      <c r="J3879" s="133" t="s">
        <v>2517</v>
      </c>
      <c r="K3879" s="133"/>
      <c r="L3879" s="167"/>
      <c r="M3879" s="169"/>
    </row>
    <row r="3880" spans="1:13" x14ac:dyDescent="0.55000000000000004">
      <c r="A3880" s="133" t="s">
        <v>2518</v>
      </c>
      <c r="B3880" s="133" t="s">
        <v>3051</v>
      </c>
      <c r="C3880" s="133" t="s">
        <v>125</v>
      </c>
      <c r="D3880" s="133" t="s">
        <v>3288</v>
      </c>
      <c r="E3880" s="138">
        <v>5.8300000000000005E-2</v>
      </c>
      <c r="F3880" s="153" t="s">
        <v>122</v>
      </c>
      <c r="G3880" s="153">
        <v>1</v>
      </c>
      <c r="H3880" s="133" t="s">
        <v>39</v>
      </c>
      <c r="I3880" s="133"/>
      <c r="J3880" s="133" t="s">
        <v>2517</v>
      </c>
      <c r="K3880" s="133"/>
      <c r="L3880" s="167"/>
      <c r="M3880" s="169"/>
    </row>
    <row r="3881" spans="1:13" x14ac:dyDescent="0.55000000000000004">
      <c r="A3881" s="133" t="s">
        <v>2518</v>
      </c>
      <c r="B3881" s="133" t="s">
        <v>2950</v>
      </c>
      <c r="C3881" s="133" t="s">
        <v>125</v>
      </c>
      <c r="D3881" s="133" t="s">
        <v>3288</v>
      </c>
      <c r="E3881" s="138">
        <v>2.5000000000000001E-2</v>
      </c>
      <c r="F3881" s="153" t="s">
        <v>122</v>
      </c>
      <c r="G3881" s="153">
        <v>1</v>
      </c>
      <c r="H3881" s="133" t="s">
        <v>39</v>
      </c>
      <c r="I3881" s="133"/>
      <c r="J3881" s="133" t="s">
        <v>2517</v>
      </c>
      <c r="K3881" s="133"/>
      <c r="L3881" s="167"/>
      <c r="M3881" s="169"/>
    </row>
    <row r="3882" spans="1:13" x14ac:dyDescent="0.55000000000000004">
      <c r="A3882" s="133" t="s">
        <v>2518</v>
      </c>
      <c r="B3882" s="133" t="s">
        <v>153</v>
      </c>
      <c r="C3882" s="133" t="s">
        <v>127</v>
      </c>
      <c r="D3882" s="133" t="s">
        <v>2994</v>
      </c>
      <c r="E3882" s="138">
        <v>2.46</v>
      </c>
      <c r="F3882" s="153" t="s">
        <v>130</v>
      </c>
      <c r="G3882" s="153">
        <v>1</v>
      </c>
      <c r="H3882" s="133" t="s">
        <v>39</v>
      </c>
      <c r="I3882" s="133"/>
      <c r="J3882" s="133" t="s">
        <v>2517</v>
      </c>
      <c r="K3882" s="133"/>
      <c r="L3882" s="167"/>
      <c r="M3882" s="169"/>
    </row>
    <row r="3883" spans="1:13" x14ac:dyDescent="0.55000000000000004">
      <c r="A3883" s="133" t="s">
        <v>2518</v>
      </c>
      <c r="B3883" s="133" t="s">
        <v>188</v>
      </c>
      <c r="C3883" s="133" t="s">
        <v>127</v>
      </c>
      <c r="D3883" s="133" t="s">
        <v>2994</v>
      </c>
      <c r="E3883" s="138">
        <v>5</v>
      </c>
      <c r="F3883" s="153" t="s">
        <v>167</v>
      </c>
      <c r="G3883" s="153">
        <v>1</v>
      </c>
      <c r="H3883" s="133" t="s">
        <v>39</v>
      </c>
      <c r="I3883" s="133"/>
      <c r="J3883" s="133" t="s">
        <v>2517</v>
      </c>
      <c r="K3883" s="133"/>
      <c r="L3883" s="167"/>
      <c r="M3883" s="169"/>
    </row>
    <row r="3884" spans="1:13" x14ac:dyDescent="0.55000000000000004">
      <c r="A3884" s="133" t="s">
        <v>2518</v>
      </c>
      <c r="B3884" s="133" t="s">
        <v>3052</v>
      </c>
      <c r="C3884" s="133" t="s">
        <v>3053</v>
      </c>
      <c r="D3884" s="133" t="s">
        <v>2682</v>
      </c>
      <c r="E3884" s="138">
        <v>8.66</v>
      </c>
      <c r="F3884" s="153" t="s">
        <v>3054</v>
      </c>
      <c r="G3884" s="153">
        <v>1</v>
      </c>
      <c r="H3884" s="133" t="s">
        <v>39</v>
      </c>
      <c r="I3884" s="133"/>
      <c r="J3884" s="133" t="s">
        <v>2517</v>
      </c>
      <c r="K3884" s="133"/>
      <c r="L3884" s="167"/>
      <c r="M3884" s="169"/>
    </row>
    <row r="3885" spans="1:13" x14ac:dyDescent="0.55000000000000004">
      <c r="A3885" s="133" t="s">
        <v>2518</v>
      </c>
      <c r="B3885" s="133" t="s">
        <v>3055</v>
      </c>
      <c r="C3885" s="133" t="s">
        <v>3053</v>
      </c>
      <c r="D3885" s="133" t="s">
        <v>2682</v>
      </c>
      <c r="E3885" s="138">
        <v>0.8660000000000001</v>
      </c>
      <c r="F3885" s="153" t="s">
        <v>3054</v>
      </c>
      <c r="G3885" s="153">
        <v>1</v>
      </c>
      <c r="H3885" s="133" t="s">
        <v>39</v>
      </c>
      <c r="I3885" s="133"/>
      <c r="J3885" s="133" t="s">
        <v>2517</v>
      </c>
      <c r="K3885" s="133"/>
      <c r="L3885" s="167"/>
      <c r="M3885" s="169"/>
    </row>
    <row r="3886" spans="1:13" x14ac:dyDescent="0.55000000000000004">
      <c r="A3886" s="133" t="s">
        <v>2518</v>
      </c>
      <c r="B3886" s="133" t="s">
        <v>2923</v>
      </c>
      <c r="C3886" s="133" t="s">
        <v>124</v>
      </c>
      <c r="D3886" s="133" t="s">
        <v>3288</v>
      </c>
      <c r="E3886" s="138">
        <v>7.45E-3</v>
      </c>
      <c r="F3886" s="153" t="s">
        <v>122</v>
      </c>
      <c r="G3886" s="153">
        <v>1</v>
      </c>
      <c r="H3886" s="133" t="s">
        <v>39</v>
      </c>
      <c r="I3886" s="133"/>
      <c r="J3886" s="133" t="s">
        <v>2517</v>
      </c>
      <c r="K3886" s="133"/>
      <c r="L3886" s="167"/>
      <c r="M3886" s="169"/>
    </row>
    <row r="3887" spans="1:13" x14ac:dyDescent="0.55000000000000004">
      <c r="A3887" s="133" t="s">
        <v>2518</v>
      </c>
      <c r="B3887" s="133" t="s">
        <v>3011</v>
      </c>
      <c r="C3887" s="133" t="s">
        <v>124</v>
      </c>
      <c r="D3887" s="133" t="s">
        <v>3288</v>
      </c>
      <c r="E3887" s="138">
        <v>6.4100000000000008E-4</v>
      </c>
      <c r="F3887" s="153" t="s">
        <v>122</v>
      </c>
      <c r="G3887" s="153">
        <v>1</v>
      </c>
      <c r="H3887" s="133" t="s">
        <v>39</v>
      </c>
      <c r="I3887" s="133"/>
      <c r="J3887" s="133" t="s">
        <v>2517</v>
      </c>
      <c r="K3887" s="133"/>
      <c r="L3887" s="167"/>
      <c r="M3887" s="169"/>
    </row>
    <row r="3888" spans="1:13" x14ac:dyDescent="0.55000000000000004">
      <c r="A3888" s="133" t="s">
        <v>2518</v>
      </c>
      <c r="B3888" s="133" t="s">
        <v>2865</v>
      </c>
      <c r="C3888" s="133" t="s">
        <v>163</v>
      </c>
      <c r="D3888" s="133" t="s">
        <v>3288</v>
      </c>
      <c r="E3888" s="138">
        <v>0.25700000000000001</v>
      </c>
      <c r="F3888" s="153" t="s">
        <v>122</v>
      </c>
      <c r="G3888" s="153">
        <v>1</v>
      </c>
      <c r="H3888" s="133" t="s">
        <v>39</v>
      </c>
      <c r="I3888" s="133"/>
      <c r="J3888" s="133" t="s">
        <v>2517</v>
      </c>
      <c r="K3888" s="133"/>
      <c r="L3888" s="167"/>
      <c r="M3888" s="169"/>
    </row>
    <row r="3889" spans="1:13" x14ac:dyDescent="0.55000000000000004">
      <c r="A3889" s="133" t="s">
        <v>2518</v>
      </c>
      <c r="B3889" s="133" t="s">
        <v>3043</v>
      </c>
      <c r="C3889" s="133" t="s">
        <v>156</v>
      </c>
      <c r="D3889" s="133" t="s">
        <v>3288</v>
      </c>
      <c r="E3889" s="138">
        <v>2.5299999999999998</v>
      </c>
      <c r="F3889" s="153" t="s">
        <v>122</v>
      </c>
      <c r="G3889" s="153">
        <v>1</v>
      </c>
      <c r="H3889" s="133" t="s">
        <v>39</v>
      </c>
      <c r="I3889" s="133"/>
      <c r="J3889" s="133" t="s">
        <v>2517</v>
      </c>
      <c r="K3889" s="133"/>
      <c r="L3889" s="167"/>
      <c r="M3889" s="169"/>
    </row>
    <row r="3890" spans="1:13" x14ac:dyDescent="0.55000000000000004">
      <c r="A3890" s="133" t="s">
        <v>2518</v>
      </c>
      <c r="B3890" s="133" t="s">
        <v>3056</v>
      </c>
      <c r="C3890" s="133" t="s">
        <v>156</v>
      </c>
      <c r="D3890" s="133" t="s">
        <v>3288</v>
      </c>
      <c r="E3890" s="138">
        <v>0.82200000000000006</v>
      </c>
      <c r="F3890" s="153" t="s">
        <v>122</v>
      </c>
      <c r="G3890" s="153">
        <v>1</v>
      </c>
      <c r="H3890" s="133" t="s">
        <v>39</v>
      </c>
      <c r="I3890" s="133"/>
      <c r="J3890" s="133" t="s">
        <v>2517</v>
      </c>
      <c r="K3890" s="133"/>
      <c r="L3890" s="167"/>
      <c r="M3890" s="169"/>
    </row>
    <row r="3891" spans="1:13" x14ac:dyDescent="0.55000000000000004">
      <c r="A3891" s="133" t="s">
        <v>2518</v>
      </c>
      <c r="B3891" s="133" t="s">
        <v>2798</v>
      </c>
      <c r="C3891" s="133" t="s">
        <v>156</v>
      </c>
      <c r="D3891" s="133" t="s">
        <v>3288</v>
      </c>
      <c r="E3891" s="138">
        <v>0.73399999999999999</v>
      </c>
      <c r="F3891" s="153" t="s">
        <v>122</v>
      </c>
      <c r="G3891" s="153">
        <v>1</v>
      </c>
      <c r="H3891" s="133" t="s">
        <v>39</v>
      </c>
      <c r="I3891" s="133"/>
      <c r="J3891" s="133" t="s">
        <v>2517</v>
      </c>
      <c r="K3891" s="133"/>
      <c r="L3891" s="167"/>
      <c r="M3891" s="169"/>
    </row>
    <row r="3892" spans="1:13" x14ac:dyDescent="0.55000000000000004">
      <c r="A3892" s="133" t="s">
        <v>2518</v>
      </c>
      <c r="B3892" s="133" t="s">
        <v>181</v>
      </c>
      <c r="C3892" s="133" t="s">
        <v>163</v>
      </c>
      <c r="D3892" s="133" t="s">
        <v>3288</v>
      </c>
      <c r="E3892" s="138">
        <v>4.3093089999999989</v>
      </c>
      <c r="F3892" s="153" t="s">
        <v>122</v>
      </c>
      <c r="G3892" s="153">
        <v>1</v>
      </c>
      <c r="H3892" s="133" t="s">
        <v>39</v>
      </c>
      <c r="I3892" s="133"/>
      <c r="J3892" s="133" t="s">
        <v>2517</v>
      </c>
      <c r="K3892" s="133"/>
      <c r="L3892" s="167"/>
      <c r="M3892" s="169"/>
    </row>
    <row r="3893" spans="1:13" x14ac:dyDescent="0.55000000000000004">
      <c r="A3893" s="133" t="s">
        <v>2521</v>
      </c>
      <c r="B3893" s="133" t="s">
        <v>3018</v>
      </c>
      <c r="C3893" s="133" t="s">
        <v>121</v>
      </c>
      <c r="D3893" s="133" t="s">
        <v>2682</v>
      </c>
      <c r="E3893" s="138">
        <v>1</v>
      </c>
      <c r="F3893" s="153">
        <v>1</v>
      </c>
      <c r="G3893" s="153">
        <v>1</v>
      </c>
      <c r="H3893" s="133" t="s">
        <v>39</v>
      </c>
      <c r="I3893" s="133"/>
      <c r="J3893" s="133" t="s">
        <v>2520</v>
      </c>
      <c r="K3893" s="133"/>
      <c r="L3893" s="167"/>
      <c r="M3893" s="169"/>
    </row>
    <row r="3894" spans="1:13" x14ac:dyDescent="0.55000000000000004">
      <c r="A3894" s="133" t="s">
        <v>2521</v>
      </c>
      <c r="B3894" s="133" t="s">
        <v>3019</v>
      </c>
      <c r="C3894" s="133" t="s">
        <v>207</v>
      </c>
      <c r="D3894" s="133" t="s">
        <v>3288</v>
      </c>
      <c r="E3894" s="138">
        <v>6.67</v>
      </c>
      <c r="F3894" s="153" t="s">
        <v>122</v>
      </c>
      <c r="G3894" s="153">
        <v>1</v>
      </c>
      <c r="H3894" s="133" t="s">
        <v>39</v>
      </c>
      <c r="I3894" s="133"/>
      <c r="J3894" s="133" t="s">
        <v>2520</v>
      </c>
      <c r="K3894" s="133"/>
      <c r="L3894" s="167"/>
      <c r="M3894" s="169"/>
    </row>
    <row r="3895" spans="1:13" x14ac:dyDescent="0.55000000000000004">
      <c r="A3895" s="133" t="s">
        <v>2521</v>
      </c>
      <c r="B3895" s="133" t="s">
        <v>174</v>
      </c>
      <c r="C3895" s="133" t="s">
        <v>125</v>
      </c>
      <c r="D3895" s="133" t="s">
        <v>3288</v>
      </c>
      <c r="E3895" s="138">
        <v>4.9000000000000002E-2</v>
      </c>
      <c r="F3895" s="153" t="s">
        <v>122</v>
      </c>
      <c r="G3895" s="153">
        <v>1</v>
      </c>
      <c r="H3895" s="133" t="s">
        <v>39</v>
      </c>
      <c r="I3895" s="133"/>
      <c r="J3895" s="133" t="s">
        <v>2520</v>
      </c>
      <c r="K3895" s="133"/>
      <c r="L3895" s="167"/>
      <c r="M3895" s="169"/>
    </row>
    <row r="3896" spans="1:13" x14ac:dyDescent="0.55000000000000004">
      <c r="A3896" s="133" t="s">
        <v>2521</v>
      </c>
      <c r="B3896" s="133" t="s">
        <v>3050</v>
      </c>
      <c r="C3896" s="133" t="s">
        <v>125</v>
      </c>
      <c r="D3896" s="133" t="s">
        <v>3288</v>
      </c>
      <c r="E3896" s="138">
        <v>0.29300000000000004</v>
      </c>
      <c r="F3896" s="153" t="s">
        <v>122</v>
      </c>
      <c r="G3896" s="153">
        <v>1</v>
      </c>
      <c r="H3896" s="133" t="s">
        <v>39</v>
      </c>
      <c r="I3896" s="133"/>
      <c r="J3896" s="133" t="s">
        <v>2520</v>
      </c>
      <c r="K3896" s="133"/>
      <c r="L3896" s="167"/>
      <c r="M3896" s="169"/>
    </row>
    <row r="3897" spans="1:13" x14ac:dyDescent="0.55000000000000004">
      <c r="A3897" s="133" t="s">
        <v>2521</v>
      </c>
      <c r="B3897" s="133" t="s">
        <v>2950</v>
      </c>
      <c r="C3897" s="133" t="s">
        <v>125</v>
      </c>
      <c r="D3897" s="133" t="s">
        <v>3288</v>
      </c>
      <c r="E3897" s="138">
        <v>2.5000000000000001E-2</v>
      </c>
      <c r="F3897" s="153" t="s">
        <v>122</v>
      </c>
      <c r="G3897" s="153">
        <v>1</v>
      </c>
      <c r="H3897" s="133" t="s">
        <v>39</v>
      </c>
      <c r="I3897" s="133"/>
      <c r="J3897" s="133" t="s">
        <v>2520</v>
      </c>
      <c r="K3897" s="133"/>
      <c r="L3897" s="167"/>
      <c r="M3897" s="169"/>
    </row>
    <row r="3898" spans="1:13" x14ac:dyDescent="0.55000000000000004">
      <c r="A3898" s="133" t="s">
        <v>2521</v>
      </c>
      <c r="B3898" s="133" t="s">
        <v>153</v>
      </c>
      <c r="C3898" s="133" t="s">
        <v>127</v>
      </c>
      <c r="D3898" s="133" t="s">
        <v>2994</v>
      </c>
      <c r="E3898" s="138">
        <v>2.67</v>
      </c>
      <c r="F3898" s="153" t="s">
        <v>130</v>
      </c>
      <c r="G3898" s="153">
        <v>1</v>
      </c>
      <c r="H3898" s="133" t="s">
        <v>39</v>
      </c>
      <c r="I3898" s="133"/>
      <c r="J3898" s="133" t="s">
        <v>2520</v>
      </c>
      <c r="K3898" s="133"/>
      <c r="L3898" s="167"/>
      <c r="M3898" s="169"/>
    </row>
    <row r="3899" spans="1:13" x14ac:dyDescent="0.55000000000000004">
      <c r="A3899" s="133" t="s">
        <v>2521</v>
      </c>
      <c r="B3899" s="133" t="s">
        <v>188</v>
      </c>
      <c r="C3899" s="133" t="s">
        <v>127</v>
      </c>
      <c r="D3899" s="133" t="s">
        <v>2994</v>
      </c>
      <c r="E3899" s="138">
        <v>13.3</v>
      </c>
      <c r="F3899" s="153" t="s">
        <v>167</v>
      </c>
      <c r="G3899" s="153">
        <v>1</v>
      </c>
      <c r="H3899" s="133" t="s">
        <v>39</v>
      </c>
      <c r="I3899" s="133"/>
      <c r="J3899" s="133" t="s">
        <v>2520</v>
      </c>
      <c r="K3899" s="133"/>
      <c r="L3899" s="167"/>
      <c r="M3899" s="169"/>
    </row>
    <row r="3900" spans="1:13" x14ac:dyDescent="0.55000000000000004">
      <c r="A3900" s="133" t="s">
        <v>2521</v>
      </c>
      <c r="B3900" s="133" t="s">
        <v>3052</v>
      </c>
      <c r="C3900" s="133" t="s">
        <v>3053</v>
      </c>
      <c r="D3900" s="133" t="s">
        <v>2682</v>
      </c>
      <c r="E3900" s="138">
        <v>8.66</v>
      </c>
      <c r="F3900" s="153" t="s">
        <v>3054</v>
      </c>
      <c r="G3900" s="153">
        <v>1</v>
      </c>
      <c r="H3900" s="133" t="s">
        <v>39</v>
      </c>
      <c r="I3900" s="133"/>
      <c r="J3900" s="133" t="s">
        <v>2520</v>
      </c>
      <c r="K3900" s="133"/>
      <c r="L3900" s="167"/>
      <c r="M3900" s="169"/>
    </row>
    <row r="3901" spans="1:13" x14ac:dyDescent="0.55000000000000004">
      <c r="A3901" s="133" t="s">
        <v>2521</v>
      </c>
      <c r="B3901" s="133" t="s">
        <v>3055</v>
      </c>
      <c r="C3901" s="133" t="s">
        <v>3053</v>
      </c>
      <c r="D3901" s="133" t="s">
        <v>2682</v>
      </c>
      <c r="E3901" s="138">
        <v>0.8660000000000001</v>
      </c>
      <c r="F3901" s="153" t="s">
        <v>3054</v>
      </c>
      <c r="G3901" s="153">
        <v>1</v>
      </c>
      <c r="H3901" s="133" t="s">
        <v>39</v>
      </c>
      <c r="I3901" s="133"/>
      <c r="J3901" s="133" t="s">
        <v>2520</v>
      </c>
      <c r="K3901" s="133"/>
      <c r="L3901" s="167"/>
      <c r="M3901" s="169"/>
    </row>
    <row r="3902" spans="1:13" x14ac:dyDescent="0.55000000000000004">
      <c r="A3902" s="133" t="s">
        <v>2521</v>
      </c>
      <c r="B3902" s="133" t="s">
        <v>2923</v>
      </c>
      <c r="C3902" s="133" t="s">
        <v>124</v>
      </c>
      <c r="D3902" s="133" t="s">
        <v>3288</v>
      </c>
      <c r="E3902" s="138">
        <v>5.7999999999999996E-3</v>
      </c>
      <c r="F3902" s="153" t="s">
        <v>122</v>
      </c>
      <c r="G3902" s="153">
        <v>1</v>
      </c>
      <c r="H3902" s="133" t="s">
        <v>39</v>
      </c>
      <c r="I3902" s="133"/>
      <c r="J3902" s="133" t="s">
        <v>2520</v>
      </c>
      <c r="K3902" s="133"/>
      <c r="L3902" s="167"/>
      <c r="M3902" s="169"/>
    </row>
    <row r="3903" spans="1:13" x14ac:dyDescent="0.55000000000000004">
      <c r="A3903" s="133" t="s">
        <v>2521</v>
      </c>
      <c r="B3903" s="133" t="s">
        <v>3011</v>
      </c>
      <c r="C3903" s="133" t="s">
        <v>124</v>
      </c>
      <c r="D3903" s="133" t="s">
        <v>3288</v>
      </c>
      <c r="E3903" s="138">
        <v>8.9499999999999996E-4</v>
      </c>
      <c r="F3903" s="153" t="s">
        <v>122</v>
      </c>
      <c r="G3903" s="153">
        <v>1</v>
      </c>
      <c r="H3903" s="133" t="s">
        <v>39</v>
      </c>
      <c r="I3903" s="133"/>
      <c r="J3903" s="133" t="s">
        <v>2520</v>
      </c>
      <c r="K3903" s="133"/>
      <c r="L3903" s="167"/>
      <c r="M3903" s="169"/>
    </row>
    <row r="3904" spans="1:13" x14ac:dyDescent="0.55000000000000004">
      <c r="A3904" s="133" t="s">
        <v>2521</v>
      </c>
      <c r="B3904" s="133" t="s">
        <v>2865</v>
      </c>
      <c r="C3904" s="133" t="s">
        <v>163</v>
      </c>
      <c r="D3904" s="133" t="s">
        <v>3288</v>
      </c>
      <c r="E3904" s="138">
        <v>0.19600000000000001</v>
      </c>
      <c r="F3904" s="153" t="s">
        <v>122</v>
      </c>
      <c r="G3904" s="153">
        <v>1</v>
      </c>
      <c r="H3904" s="133" t="s">
        <v>39</v>
      </c>
      <c r="I3904" s="133"/>
      <c r="J3904" s="133" t="s">
        <v>2520</v>
      </c>
      <c r="K3904" s="133"/>
      <c r="L3904" s="167"/>
      <c r="M3904" s="169"/>
    </row>
    <row r="3905" spans="1:13" x14ac:dyDescent="0.55000000000000004">
      <c r="A3905" s="133" t="s">
        <v>2521</v>
      </c>
      <c r="B3905" s="133" t="s">
        <v>3043</v>
      </c>
      <c r="C3905" s="133" t="s">
        <v>156</v>
      </c>
      <c r="D3905" s="133" t="s">
        <v>3288</v>
      </c>
      <c r="E3905" s="138">
        <v>1.1200000000000001</v>
      </c>
      <c r="F3905" s="153" t="s">
        <v>122</v>
      </c>
      <c r="G3905" s="153">
        <v>1</v>
      </c>
      <c r="H3905" s="133" t="s">
        <v>39</v>
      </c>
      <c r="I3905" s="133"/>
      <c r="J3905" s="133" t="s">
        <v>2520</v>
      </c>
      <c r="K3905" s="133"/>
      <c r="L3905" s="167"/>
      <c r="M3905" s="169"/>
    </row>
    <row r="3906" spans="1:13" x14ac:dyDescent="0.55000000000000004">
      <c r="A3906" s="133" t="s">
        <v>2521</v>
      </c>
      <c r="B3906" s="133" t="s">
        <v>3056</v>
      </c>
      <c r="C3906" s="133" t="s">
        <v>156</v>
      </c>
      <c r="D3906" s="133" t="s">
        <v>3288</v>
      </c>
      <c r="E3906" s="138">
        <v>0.76</v>
      </c>
      <c r="F3906" s="153" t="s">
        <v>122</v>
      </c>
      <c r="G3906" s="153">
        <v>1</v>
      </c>
      <c r="H3906" s="133" t="s">
        <v>39</v>
      </c>
      <c r="I3906" s="133"/>
      <c r="J3906" s="133" t="s">
        <v>2520</v>
      </c>
      <c r="K3906" s="133"/>
      <c r="L3906" s="167"/>
      <c r="M3906" s="169"/>
    </row>
    <row r="3907" spans="1:13" x14ac:dyDescent="0.55000000000000004">
      <c r="A3907" s="133" t="s">
        <v>2521</v>
      </c>
      <c r="B3907" s="133" t="s">
        <v>2798</v>
      </c>
      <c r="C3907" s="133" t="s">
        <v>156</v>
      </c>
      <c r="D3907" s="133" t="s">
        <v>3288</v>
      </c>
      <c r="E3907" s="138">
        <v>0.55400000000000005</v>
      </c>
      <c r="F3907" s="153" t="s">
        <v>122</v>
      </c>
      <c r="G3907" s="153">
        <v>1</v>
      </c>
      <c r="H3907" s="133" t="s">
        <v>39</v>
      </c>
      <c r="I3907" s="133"/>
      <c r="J3907" s="133" t="s">
        <v>2520</v>
      </c>
      <c r="K3907" s="133"/>
      <c r="L3907" s="167"/>
      <c r="M3907" s="169"/>
    </row>
    <row r="3908" spans="1:13" x14ac:dyDescent="0.55000000000000004">
      <c r="A3908" s="133" t="s">
        <v>2521</v>
      </c>
      <c r="B3908" s="133" t="s">
        <v>181</v>
      </c>
      <c r="C3908" s="133" t="s">
        <v>163</v>
      </c>
      <c r="D3908" s="133" t="s">
        <v>3288</v>
      </c>
      <c r="E3908" s="138">
        <v>4.4003050000000004</v>
      </c>
      <c r="F3908" s="153" t="s">
        <v>122</v>
      </c>
      <c r="G3908" s="153">
        <v>1</v>
      </c>
      <c r="H3908" s="133" t="s">
        <v>39</v>
      </c>
      <c r="I3908" s="133"/>
      <c r="J3908" s="133" t="s">
        <v>2520</v>
      </c>
      <c r="K3908" s="133"/>
      <c r="L3908" s="167"/>
      <c r="M3908" s="169"/>
    </row>
    <row r="3909" spans="1:13" x14ac:dyDescent="0.55000000000000004">
      <c r="A3909" s="133" t="s">
        <v>2523</v>
      </c>
      <c r="B3909" s="133" t="s">
        <v>3003</v>
      </c>
      <c r="C3909" s="133" t="s">
        <v>121</v>
      </c>
      <c r="D3909" s="133" t="s">
        <v>2682</v>
      </c>
      <c r="E3909" s="138">
        <v>1</v>
      </c>
      <c r="F3909" s="153">
        <v>1</v>
      </c>
      <c r="G3909" s="153">
        <v>1</v>
      </c>
      <c r="H3909" s="133" t="s">
        <v>39</v>
      </c>
      <c r="I3909" s="133"/>
      <c r="J3909" s="133" t="s">
        <v>2522</v>
      </c>
      <c r="K3909" s="133"/>
      <c r="L3909" s="167"/>
      <c r="M3909" s="169"/>
    </row>
    <row r="3910" spans="1:13" x14ac:dyDescent="0.55000000000000004">
      <c r="A3910" s="133" t="s">
        <v>2523</v>
      </c>
      <c r="B3910" s="133" t="s">
        <v>3004</v>
      </c>
      <c r="C3910" s="133" t="s">
        <v>207</v>
      </c>
      <c r="D3910" s="133" t="s">
        <v>3288</v>
      </c>
      <c r="E3910" s="138">
        <v>5.72</v>
      </c>
      <c r="F3910" s="153" t="s">
        <v>122</v>
      </c>
      <c r="G3910" s="153">
        <v>1</v>
      </c>
      <c r="H3910" s="133" t="s">
        <v>39</v>
      </c>
      <c r="I3910" s="133"/>
      <c r="J3910" s="133" t="s">
        <v>2522</v>
      </c>
      <c r="K3910" s="133"/>
      <c r="L3910" s="167"/>
      <c r="M3910" s="169"/>
    </row>
    <row r="3911" spans="1:13" x14ac:dyDescent="0.55000000000000004">
      <c r="A3911" s="133" t="s">
        <v>2523</v>
      </c>
      <c r="B3911" s="139" t="s">
        <v>3020</v>
      </c>
      <c r="C3911" s="133" t="s">
        <v>125</v>
      </c>
      <c r="D3911" s="133" t="s">
        <v>3288</v>
      </c>
      <c r="E3911" s="138">
        <v>3.4500000000000003E-2</v>
      </c>
      <c r="F3911" s="153" t="s">
        <v>122</v>
      </c>
      <c r="G3911" s="153">
        <v>1</v>
      </c>
      <c r="H3911" s="133" t="s">
        <v>39</v>
      </c>
      <c r="I3911" s="133"/>
      <c r="J3911" s="133" t="s">
        <v>2522</v>
      </c>
      <c r="K3911" s="133"/>
      <c r="L3911" s="167"/>
      <c r="M3911" s="169"/>
    </row>
    <row r="3912" spans="1:13" x14ac:dyDescent="0.55000000000000004">
      <c r="A3912" s="133" t="s">
        <v>2523</v>
      </c>
      <c r="B3912" s="133" t="s">
        <v>3021</v>
      </c>
      <c r="C3912" s="133" t="s">
        <v>125</v>
      </c>
      <c r="D3912" s="133" t="s">
        <v>3288</v>
      </c>
      <c r="E3912" s="138">
        <v>263</v>
      </c>
      <c r="F3912" s="153" t="s">
        <v>122</v>
      </c>
      <c r="G3912" s="153">
        <v>1</v>
      </c>
      <c r="H3912" s="133" t="s">
        <v>39</v>
      </c>
      <c r="I3912" s="133"/>
      <c r="J3912" s="133" t="s">
        <v>2522</v>
      </c>
      <c r="K3912" s="133"/>
      <c r="L3912" s="167"/>
      <c r="M3912" s="169"/>
    </row>
    <row r="3913" spans="1:13" x14ac:dyDescent="0.55000000000000004">
      <c r="A3913" s="133" t="s">
        <v>2523</v>
      </c>
      <c r="B3913" s="133" t="s">
        <v>2607</v>
      </c>
      <c r="C3913" s="133" t="s">
        <v>125</v>
      </c>
      <c r="D3913" s="133" t="s">
        <v>3288</v>
      </c>
      <c r="E3913" s="138">
        <v>5.5099999999999996E-2</v>
      </c>
      <c r="F3913" s="153" t="s">
        <v>122</v>
      </c>
      <c r="G3913" s="153">
        <v>1</v>
      </c>
      <c r="H3913" s="133" t="s">
        <v>39</v>
      </c>
      <c r="I3913" s="133"/>
      <c r="J3913" s="133" t="s">
        <v>2522</v>
      </c>
      <c r="K3913" s="133"/>
      <c r="L3913" s="167"/>
      <c r="M3913" s="169"/>
    </row>
    <row r="3914" spans="1:13" x14ac:dyDescent="0.55000000000000004">
      <c r="A3914" s="133" t="s">
        <v>2523</v>
      </c>
      <c r="B3914" s="133" t="s">
        <v>188</v>
      </c>
      <c r="C3914" s="133" t="s">
        <v>125</v>
      </c>
      <c r="D3914" s="133" t="s">
        <v>3288</v>
      </c>
      <c r="E3914" s="138">
        <v>4.8499999999999996</v>
      </c>
      <c r="F3914" s="153" t="s">
        <v>122</v>
      </c>
      <c r="G3914" s="153">
        <v>1</v>
      </c>
      <c r="H3914" s="133" t="s">
        <v>39</v>
      </c>
      <c r="I3914" s="133"/>
      <c r="J3914" s="133" t="s">
        <v>2522</v>
      </c>
      <c r="K3914" s="133"/>
      <c r="L3914" s="167"/>
      <c r="M3914" s="169"/>
    </row>
    <row r="3915" spans="1:13" x14ac:dyDescent="0.55000000000000004">
      <c r="A3915" s="133" t="s">
        <v>2523</v>
      </c>
      <c r="B3915" s="133" t="s">
        <v>3057</v>
      </c>
      <c r="C3915" s="133" t="s">
        <v>125</v>
      </c>
      <c r="D3915" s="133" t="s">
        <v>3288</v>
      </c>
      <c r="E3915" s="138">
        <v>0.88600000000000001</v>
      </c>
      <c r="F3915" s="153" t="s">
        <v>122</v>
      </c>
      <c r="G3915" s="153">
        <v>1</v>
      </c>
      <c r="H3915" s="133" t="s">
        <v>39</v>
      </c>
      <c r="I3915" s="133"/>
      <c r="J3915" s="133" t="s">
        <v>2522</v>
      </c>
      <c r="K3915" s="133"/>
      <c r="L3915" s="167"/>
      <c r="M3915" s="169"/>
    </row>
    <row r="3916" spans="1:13" x14ac:dyDescent="0.55000000000000004">
      <c r="A3916" s="133" t="s">
        <v>2523</v>
      </c>
      <c r="B3916" s="133" t="s">
        <v>153</v>
      </c>
      <c r="C3916" s="133" t="s">
        <v>127</v>
      </c>
      <c r="D3916" s="133" t="s">
        <v>2994</v>
      </c>
      <c r="E3916" s="138">
        <v>26.299999999999997</v>
      </c>
      <c r="F3916" s="153" t="s">
        <v>130</v>
      </c>
      <c r="G3916" s="153">
        <v>1</v>
      </c>
      <c r="H3916" s="133" t="s">
        <v>39</v>
      </c>
      <c r="I3916" s="133"/>
      <c r="J3916" s="133" t="s">
        <v>2522</v>
      </c>
      <c r="K3916" s="133"/>
      <c r="L3916" s="167"/>
      <c r="M3916" s="169"/>
    </row>
    <row r="3917" spans="1:13" x14ac:dyDescent="0.55000000000000004">
      <c r="A3917" s="133" t="s">
        <v>2523</v>
      </c>
      <c r="B3917" s="133" t="s">
        <v>496</v>
      </c>
      <c r="C3917" s="133" t="s">
        <v>127</v>
      </c>
      <c r="D3917" s="133" t="s">
        <v>2994</v>
      </c>
      <c r="E3917" s="138">
        <v>23.900000000000002</v>
      </c>
      <c r="F3917" s="153" t="s">
        <v>167</v>
      </c>
      <c r="G3917" s="153">
        <v>1</v>
      </c>
      <c r="H3917" s="133" t="s">
        <v>39</v>
      </c>
      <c r="I3917" s="133"/>
      <c r="J3917" s="133" t="s">
        <v>2522</v>
      </c>
      <c r="K3917" s="133"/>
      <c r="L3917" s="167"/>
      <c r="M3917" s="169"/>
    </row>
    <row r="3918" spans="1:13" x14ac:dyDescent="0.55000000000000004">
      <c r="A3918" s="133" t="s">
        <v>2523</v>
      </c>
      <c r="B3918" s="133" t="s">
        <v>3025</v>
      </c>
      <c r="C3918" s="133" t="s">
        <v>156</v>
      </c>
      <c r="D3918" s="133" t="s">
        <v>3288</v>
      </c>
      <c r="E3918" s="138">
        <v>6.3200000000000006E-2</v>
      </c>
      <c r="F3918" s="153" t="s">
        <v>122</v>
      </c>
      <c r="G3918" s="153">
        <v>1</v>
      </c>
      <c r="H3918" s="133" t="s">
        <v>39</v>
      </c>
      <c r="I3918" s="133"/>
      <c r="J3918" s="133" t="s">
        <v>2522</v>
      </c>
      <c r="K3918" s="133"/>
      <c r="L3918" s="167"/>
      <c r="M3918" s="169"/>
    </row>
    <row r="3919" spans="1:13" x14ac:dyDescent="0.55000000000000004">
      <c r="A3919" s="133" t="s">
        <v>2523</v>
      </c>
      <c r="B3919" s="133" t="s">
        <v>3026</v>
      </c>
      <c r="C3919" s="133" t="s">
        <v>156</v>
      </c>
      <c r="D3919" s="133" t="s">
        <v>3288</v>
      </c>
      <c r="E3919" s="138">
        <v>0.57300000000000006</v>
      </c>
      <c r="F3919" s="153" t="s">
        <v>122</v>
      </c>
      <c r="G3919" s="153">
        <v>1</v>
      </c>
      <c r="H3919" s="133" t="s">
        <v>39</v>
      </c>
      <c r="I3919" s="133"/>
      <c r="J3919" s="133" t="s">
        <v>2522</v>
      </c>
      <c r="K3919" s="133"/>
      <c r="L3919" s="167"/>
      <c r="M3919" s="169"/>
    </row>
    <row r="3920" spans="1:13" x14ac:dyDescent="0.55000000000000004">
      <c r="A3920" s="133" t="s">
        <v>2523</v>
      </c>
      <c r="B3920" s="133" t="s">
        <v>726</v>
      </c>
      <c r="C3920" s="133" t="s">
        <v>156</v>
      </c>
      <c r="D3920" s="133" t="s">
        <v>3288</v>
      </c>
      <c r="E3920" s="138">
        <v>0.54300000000000004</v>
      </c>
      <c r="F3920" s="153" t="s">
        <v>122</v>
      </c>
      <c r="G3920" s="153">
        <v>1</v>
      </c>
      <c r="H3920" s="133" t="s">
        <v>39</v>
      </c>
      <c r="I3920" s="133"/>
      <c r="J3920" s="133" t="s">
        <v>2522</v>
      </c>
      <c r="K3920" s="133"/>
      <c r="L3920" s="167"/>
      <c r="M3920" s="169"/>
    </row>
    <row r="3921" spans="1:13" x14ac:dyDescent="0.55000000000000004">
      <c r="A3921" s="133" t="s">
        <v>2523</v>
      </c>
      <c r="B3921" s="133" t="s">
        <v>3027</v>
      </c>
      <c r="C3921" s="133" t="s">
        <v>156</v>
      </c>
      <c r="D3921" s="133" t="s">
        <v>3288</v>
      </c>
      <c r="E3921" s="138">
        <v>2.95</v>
      </c>
      <c r="F3921" s="153" t="s">
        <v>122</v>
      </c>
      <c r="G3921" s="153">
        <v>1</v>
      </c>
      <c r="H3921" s="133" t="s">
        <v>39</v>
      </c>
      <c r="I3921" s="133"/>
      <c r="J3921" s="133" t="s">
        <v>2522</v>
      </c>
      <c r="K3921" s="133"/>
      <c r="L3921" s="167"/>
      <c r="M3921" s="169"/>
    </row>
    <row r="3922" spans="1:13" x14ac:dyDescent="0.55000000000000004">
      <c r="A3922" s="133" t="s">
        <v>2523</v>
      </c>
      <c r="B3922" s="133" t="s">
        <v>3058</v>
      </c>
      <c r="C3922" s="133" t="s">
        <v>156</v>
      </c>
      <c r="D3922" s="133" t="s">
        <v>3288</v>
      </c>
      <c r="E3922" s="138">
        <v>0.17100000000000001</v>
      </c>
      <c r="F3922" s="153" t="s">
        <v>122</v>
      </c>
      <c r="G3922" s="153">
        <v>1</v>
      </c>
      <c r="H3922" s="133" t="s">
        <v>39</v>
      </c>
      <c r="I3922" s="133"/>
      <c r="J3922" s="133" t="s">
        <v>2522</v>
      </c>
      <c r="K3922" s="133"/>
      <c r="L3922" s="167"/>
      <c r="M3922" s="169"/>
    </row>
    <row r="3923" spans="1:13" x14ac:dyDescent="0.55000000000000004">
      <c r="A3923" s="133" t="s">
        <v>2523</v>
      </c>
      <c r="B3923" s="133" t="s">
        <v>3059</v>
      </c>
      <c r="C3923" s="133" t="s">
        <v>156</v>
      </c>
      <c r="D3923" s="133" t="s">
        <v>3288</v>
      </c>
      <c r="E3923" s="138">
        <v>0.18000000000000002</v>
      </c>
      <c r="F3923" s="153" t="s">
        <v>122</v>
      </c>
      <c r="G3923" s="153">
        <v>1</v>
      </c>
      <c r="H3923" s="133" t="s">
        <v>39</v>
      </c>
      <c r="I3923" s="133"/>
      <c r="J3923" s="133" t="s">
        <v>2522</v>
      </c>
      <c r="K3923" s="133"/>
      <c r="L3923" s="167"/>
      <c r="M3923" s="169"/>
    </row>
    <row r="3924" spans="1:13" x14ac:dyDescent="0.55000000000000004">
      <c r="A3924" s="133" t="s">
        <v>2523</v>
      </c>
      <c r="B3924" s="133" t="s">
        <v>3060</v>
      </c>
      <c r="C3924" s="133" t="s">
        <v>156</v>
      </c>
      <c r="D3924" s="133" t="s">
        <v>3288</v>
      </c>
      <c r="E3924" s="138">
        <v>0.19500000000000001</v>
      </c>
      <c r="F3924" s="153" t="s">
        <v>122</v>
      </c>
      <c r="G3924" s="153">
        <v>1</v>
      </c>
      <c r="H3924" s="133" t="s">
        <v>39</v>
      </c>
      <c r="I3924" s="133"/>
      <c r="J3924" s="133" t="s">
        <v>2522</v>
      </c>
      <c r="K3924" s="133"/>
      <c r="L3924" s="167"/>
      <c r="M3924" s="169"/>
    </row>
    <row r="3925" spans="1:13" x14ac:dyDescent="0.55000000000000004">
      <c r="A3925" s="133" t="s">
        <v>2523</v>
      </c>
      <c r="B3925" s="133" t="s">
        <v>160</v>
      </c>
      <c r="C3925" s="133" t="s">
        <v>124</v>
      </c>
      <c r="D3925" s="133" t="s">
        <v>3288</v>
      </c>
      <c r="E3925" s="138">
        <v>4.42</v>
      </c>
      <c r="F3925" s="153" t="s">
        <v>122</v>
      </c>
      <c r="G3925" s="153">
        <v>1</v>
      </c>
      <c r="H3925" s="133" t="s">
        <v>39</v>
      </c>
      <c r="I3925" s="133"/>
      <c r="J3925" s="133" t="s">
        <v>2522</v>
      </c>
      <c r="K3925" s="133"/>
      <c r="L3925" s="167"/>
      <c r="M3925" s="169"/>
    </row>
    <row r="3926" spans="1:13" x14ac:dyDescent="0.55000000000000004">
      <c r="A3926" s="133" t="s">
        <v>2523</v>
      </c>
      <c r="B3926" s="133" t="s">
        <v>3028</v>
      </c>
      <c r="C3926" s="133" t="s">
        <v>163</v>
      </c>
      <c r="D3926" s="133" t="s">
        <v>3288</v>
      </c>
      <c r="E3926" s="138">
        <v>4.28E-3</v>
      </c>
      <c r="F3926" s="153" t="s">
        <v>122</v>
      </c>
      <c r="G3926" s="153">
        <v>1</v>
      </c>
      <c r="H3926" s="133" t="s">
        <v>39</v>
      </c>
      <c r="I3926" s="133"/>
      <c r="J3926" s="133" t="s">
        <v>2522</v>
      </c>
      <c r="K3926" s="133"/>
      <c r="L3926" s="167"/>
      <c r="M3926" s="169"/>
    </row>
    <row r="3927" spans="1:13" x14ac:dyDescent="0.55000000000000004">
      <c r="A3927" s="133" t="s">
        <v>2523</v>
      </c>
      <c r="B3927" s="133" t="s">
        <v>3029</v>
      </c>
      <c r="C3927" s="133" t="s">
        <v>163</v>
      </c>
      <c r="D3927" s="133" t="s">
        <v>3288</v>
      </c>
      <c r="E3927" s="138">
        <v>3.0200000000000001E-2</v>
      </c>
      <c r="F3927" s="153" t="s">
        <v>122</v>
      </c>
      <c r="G3927" s="153">
        <v>1</v>
      </c>
      <c r="H3927" s="133" t="s">
        <v>39</v>
      </c>
      <c r="I3927" s="133"/>
      <c r="J3927" s="133" t="s">
        <v>2522</v>
      </c>
      <c r="K3927" s="133"/>
      <c r="L3927" s="167"/>
      <c r="M3927" s="169"/>
    </row>
    <row r="3928" spans="1:13" x14ac:dyDescent="0.55000000000000004">
      <c r="A3928" s="133" t="s">
        <v>2523</v>
      </c>
      <c r="B3928" s="133" t="s">
        <v>3030</v>
      </c>
      <c r="C3928" s="133" t="s">
        <v>163</v>
      </c>
      <c r="D3928" s="133" t="s">
        <v>3288</v>
      </c>
      <c r="E3928" s="138">
        <v>1.72E-2</v>
      </c>
      <c r="F3928" s="153" t="s">
        <v>122</v>
      </c>
      <c r="G3928" s="153">
        <v>1</v>
      </c>
      <c r="H3928" s="133" t="s">
        <v>39</v>
      </c>
      <c r="I3928" s="133"/>
      <c r="J3928" s="133" t="s">
        <v>2522</v>
      </c>
      <c r="K3928" s="133"/>
      <c r="L3928" s="167"/>
      <c r="M3928" s="169"/>
    </row>
    <row r="3929" spans="1:13" x14ac:dyDescent="0.55000000000000004">
      <c r="A3929" s="133" t="s">
        <v>2523</v>
      </c>
      <c r="B3929" s="133" t="s">
        <v>3031</v>
      </c>
      <c r="C3929" s="133" t="s">
        <v>163</v>
      </c>
      <c r="D3929" s="133" t="s">
        <v>3288</v>
      </c>
      <c r="E3929" s="138">
        <v>5.4900000000000001E-3</v>
      </c>
      <c r="F3929" s="153" t="s">
        <v>122</v>
      </c>
      <c r="G3929" s="153">
        <v>1</v>
      </c>
      <c r="H3929" s="133" t="s">
        <v>39</v>
      </c>
      <c r="I3929" s="133"/>
      <c r="J3929" s="133" t="s">
        <v>2522</v>
      </c>
      <c r="K3929" s="133"/>
      <c r="L3929" s="167"/>
      <c r="M3929" s="169"/>
    </row>
    <row r="3930" spans="1:13" x14ac:dyDescent="0.55000000000000004">
      <c r="A3930" s="133" t="s">
        <v>2523</v>
      </c>
      <c r="B3930" s="133" t="s">
        <v>3032</v>
      </c>
      <c r="C3930" s="133" t="s">
        <v>163</v>
      </c>
      <c r="D3930" s="133" t="s">
        <v>3288</v>
      </c>
      <c r="E3930" s="138">
        <v>0.13799999999999998</v>
      </c>
      <c r="F3930" s="153" t="s">
        <v>122</v>
      </c>
      <c r="G3930" s="153">
        <v>1</v>
      </c>
      <c r="H3930" s="133" t="s">
        <v>39</v>
      </c>
      <c r="I3930" s="133"/>
      <c r="J3930" s="133" t="s">
        <v>2522</v>
      </c>
      <c r="K3930" s="133"/>
      <c r="L3930" s="167"/>
      <c r="M3930" s="169"/>
    </row>
    <row r="3931" spans="1:13" x14ac:dyDescent="0.55000000000000004">
      <c r="A3931" s="133" t="s">
        <v>2523</v>
      </c>
      <c r="B3931" s="133" t="s">
        <v>3033</v>
      </c>
      <c r="C3931" s="133" t="s">
        <v>163</v>
      </c>
      <c r="D3931" s="133" t="s">
        <v>3288</v>
      </c>
      <c r="E3931" s="138">
        <v>0.33100000000000002</v>
      </c>
      <c r="F3931" s="153" t="s">
        <v>122</v>
      </c>
      <c r="G3931" s="153">
        <v>1</v>
      </c>
      <c r="H3931" s="133" t="s">
        <v>39</v>
      </c>
      <c r="I3931" s="133"/>
      <c r="J3931" s="133" t="s">
        <v>2522</v>
      </c>
      <c r="K3931" s="133"/>
      <c r="L3931" s="167"/>
      <c r="M3931" s="169"/>
    </row>
    <row r="3932" spans="1:13" x14ac:dyDescent="0.55000000000000004">
      <c r="A3932" s="133" t="s">
        <v>2523</v>
      </c>
      <c r="B3932" s="133" t="s">
        <v>3034</v>
      </c>
      <c r="C3932" s="133" t="s">
        <v>163</v>
      </c>
      <c r="D3932" s="133" t="s">
        <v>3288</v>
      </c>
      <c r="E3932" s="138">
        <v>2.3799999999999998E-2</v>
      </c>
      <c r="F3932" s="153" t="s">
        <v>122</v>
      </c>
      <c r="G3932" s="153">
        <v>1</v>
      </c>
      <c r="H3932" s="133" t="s">
        <v>39</v>
      </c>
      <c r="I3932" s="133"/>
      <c r="J3932" s="133" t="s">
        <v>2522</v>
      </c>
      <c r="K3932" s="133"/>
      <c r="L3932" s="167"/>
      <c r="M3932" s="169"/>
    </row>
    <row r="3933" spans="1:13" x14ac:dyDescent="0.55000000000000004">
      <c r="A3933" s="133" t="s">
        <v>2523</v>
      </c>
      <c r="B3933" s="133" t="s">
        <v>3035</v>
      </c>
      <c r="C3933" s="133" t="s">
        <v>163</v>
      </c>
      <c r="D3933" s="133" t="s">
        <v>3288</v>
      </c>
      <c r="E3933" s="138">
        <v>3.7100000000000001E-2</v>
      </c>
      <c r="F3933" s="153" t="s">
        <v>122</v>
      </c>
      <c r="G3933" s="153">
        <v>1</v>
      </c>
      <c r="H3933" s="133" t="s">
        <v>39</v>
      </c>
      <c r="I3933" s="133"/>
      <c r="J3933" s="133" t="s">
        <v>2522</v>
      </c>
      <c r="K3933" s="133"/>
      <c r="L3933" s="167"/>
      <c r="M3933" s="169"/>
    </row>
    <row r="3934" spans="1:13" x14ac:dyDescent="0.55000000000000004">
      <c r="A3934" s="133" t="s">
        <v>2523</v>
      </c>
      <c r="B3934" s="133" t="s">
        <v>3036</v>
      </c>
      <c r="C3934" s="133" t="s">
        <v>163</v>
      </c>
      <c r="D3934" s="133" t="s">
        <v>3288</v>
      </c>
      <c r="E3934" s="138">
        <v>8.4800000000000014E-3</v>
      </c>
      <c r="F3934" s="153" t="s">
        <v>122</v>
      </c>
      <c r="G3934" s="153">
        <v>1</v>
      </c>
      <c r="H3934" s="133" t="s">
        <v>39</v>
      </c>
      <c r="I3934" s="133"/>
      <c r="J3934" s="133" t="s">
        <v>2522</v>
      </c>
      <c r="K3934" s="133"/>
      <c r="L3934" s="167"/>
      <c r="M3934" s="169"/>
    </row>
    <row r="3935" spans="1:13" x14ac:dyDescent="0.55000000000000004">
      <c r="A3935" s="133" t="s">
        <v>2523</v>
      </c>
      <c r="B3935" s="133" t="s">
        <v>3037</v>
      </c>
      <c r="C3935" s="133" t="s">
        <v>163</v>
      </c>
      <c r="D3935" s="133" t="s">
        <v>3288</v>
      </c>
      <c r="E3935" s="138">
        <v>7.4000000000000003E-3</v>
      </c>
      <c r="F3935" s="153" t="s">
        <v>122</v>
      </c>
      <c r="G3935" s="153">
        <v>1</v>
      </c>
      <c r="H3935" s="133" t="s">
        <v>39</v>
      </c>
      <c r="I3935" s="133"/>
      <c r="J3935" s="133" t="s">
        <v>2522</v>
      </c>
      <c r="K3935" s="133"/>
      <c r="L3935" s="167"/>
      <c r="M3935" s="169"/>
    </row>
    <row r="3936" spans="1:13" x14ac:dyDescent="0.55000000000000004">
      <c r="A3936" s="133" t="s">
        <v>2523</v>
      </c>
      <c r="B3936" s="139" t="s">
        <v>3039</v>
      </c>
      <c r="C3936" s="133" t="s">
        <v>163</v>
      </c>
      <c r="D3936" s="133" t="s">
        <v>3288</v>
      </c>
      <c r="E3936" s="138">
        <v>6.5199999999999994E-2</v>
      </c>
      <c r="F3936" s="153" t="s">
        <v>122</v>
      </c>
      <c r="G3936" s="153">
        <v>1</v>
      </c>
      <c r="H3936" s="133" t="s">
        <v>39</v>
      </c>
      <c r="I3936" s="133"/>
      <c r="J3936" s="133" t="s">
        <v>2522</v>
      </c>
      <c r="K3936" s="133"/>
      <c r="L3936" s="167"/>
      <c r="M3936" s="169"/>
    </row>
    <row r="3937" spans="1:13" x14ac:dyDescent="0.55000000000000004">
      <c r="A3937" s="133" t="s">
        <v>2523</v>
      </c>
      <c r="B3937" s="139" t="s">
        <v>3040</v>
      </c>
      <c r="C3937" s="133" t="s">
        <v>163</v>
      </c>
      <c r="D3937" s="133" t="s">
        <v>3288</v>
      </c>
      <c r="E3937" s="138">
        <v>263</v>
      </c>
      <c r="F3937" s="153" t="s">
        <v>122</v>
      </c>
      <c r="G3937" s="153">
        <v>1</v>
      </c>
      <c r="H3937" s="133" t="s">
        <v>39</v>
      </c>
      <c r="I3937" s="133"/>
      <c r="J3937" s="133" t="s">
        <v>2522</v>
      </c>
      <c r="K3937" s="133"/>
      <c r="L3937" s="167"/>
      <c r="M3937" s="169"/>
    </row>
    <row r="3938" spans="1:13" x14ac:dyDescent="0.55000000000000004">
      <c r="A3938" s="133" t="s">
        <v>2525</v>
      </c>
      <c r="B3938" s="133" t="s">
        <v>3018</v>
      </c>
      <c r="C3938" s="133" t="s">
        <v>121</v>
      </c>
      <c r="D3938" s="133" t="s">
        <v>2682</v>
      </c>
      <c r="E3938" s="138">
        <v>1</v>
      </c>
      <c r="F3938" s="153">
        <v>1</v>
      </c>
      <c r="G3938" s="153">
        <v>1</v>
      </c>
      <c r="H3938" s="133" t="s">
        <v>39</v>
      </c>
      <c r="I3938" s="133"/>
      <c r="J3938" s="133" t="s">
        <v>2524</v>
      </c>
      <c r="K3938" s="133"/>
      <c r="L3938" s="167"/>
      <c r="M3938" s="169"/>
    </row>
    <row r="3939" spans="1:13" x14ac:dyDescent="0.55000000000000004">
      <c r="A3939" s="133" t="s">
        <v>2525</v>
      </c>
      <c r="B3939" s="133" t="s">
        <v>3019</v>
      </c>
      <c r="C3939" s="133" t="s">
        <v>207</v>
      </c>
      <c r="D3939" s="133" t="s">
        <v>3288</v>
      </c>
      <c r="E3939" s="138">
        <v>3.95</v>
      </c>
      <c r="F3939" s="153" t="s">
        <v>122</v>
      </c>
      <c r="G3939" s="153">
        <v>1</v>
      </c>
      <c r="H3939" s="133" t="s">
        <v>39</v>
      </c>
      <c r="I3939" s="133"/>
      <c r="J3939" s="133" t="s">
        <v>2524</v>
      </c>
      <c r="K3939" s="133"/>
      <c r="L3939" s="167"/>
      <c r="M3939" s="169"/>
    </row>
    <row r="3940" spans="1:13" x14ac:dyDescent="0.55000000000000004">
      <c r="A3940" s="133" t="s">
        <v>2525</v>
      </c>
      <c r="B3940" s="139" t="s">
        <v>3020</v>
      </c>
      <c r="C3940" s="133" t="s">
        <v>125</v>
      </c>
      <c r="D3940" s="133" t="s">
        <v>3288</v>
      </c>
      <c r="E3940" s="138">
        <v>2.6700000000000002E-2</v>
      </c>
      <c r="F3940" s="153" t="s">
        <v>122</v>
      </c>
      <c r="G3940" s="153">
        <v>1</v>
      </c>
      <c r="H3940" s="133" t="s">
        <v>39</v>
      </c>
      <c r="I3940" s="133"/>
      <c r="J3940" s="133" t="s">
        <v>2524</v>
      </c>
      <c r="K3940" s="133"/>
      <c r="L3940" s="167"/>
      <c r="M3940" s="169"/>
    </row>
    <row r="3941" spans="1:13" x14ac:dyDescent="0.55000000000000004">
      <c r="A3941" s="133" t="s">
        <v>2525</v>
      </c>
      <c r="B3941" s="133" t="s">
        <v>3021</v>
      </c>
      <c r="C3941" s="133" t="s">
        <v>125</v>
      </c>
      <c r="D3941" s="133" t="s">
        <v>3288</v>
      </c>
      <c r="E3941" s="138">
        <v>202.99999999999997</v>
      </c>
      <c r="F3941" s="153" t="s">
        <v>122</v>
      </c>
      <c r="G3941" s="153">
        <v>1</v>
      </c>
      <c r="H3941" s="133" t="s">
        <v>39</v>
      </c>
      <c r="I3941" s="133"/>
      <c r="J3941" s="133" t="s">
        <v>2524</v>
      </c>
      <c r="K3941" s="133"/>
      <c r="L3941" s="167"/>
      <c r="M3941" s="169"/>
    </row>
    <row r="3942" spans="1:13" x14ac:dyDescent="0.55000000000000004">
      <c r="A3942" s="133" t="s">
        <v>2525</v>
      </c>
      <c r="B3942" s="133" t="s">
        <v>2607</v>
      </c>
      <c r="C3942" s="133" t="s">
        <v>125</v>
      </c>
      <c r="D3942" s="133" t="s">
        <v>3288</v>
      </c>
      <c r="E3942" s="138">
        <v>4.2599999999999999E-2</v>
      </c>
      <c r="F3942" s="153" t="s">
        <v>122</v>
      </c>
      <c r="G3942" s="153">
        <v>1</v>
      </c>
      <c r="H3942" s="133" t="s">
        <v>39</v>
      </c>
      <c r="I3942" s="133"/>
      <c r="J3942" s="133" t="s">
        <v>2524</v>
      </c>
      <c r="K3942" s="133"/>
      <c r="L3942" s="167"/>
      <c r="M3942" s="169"/>
    </row>
    <row r="3943" spans="1:13" x14ac:dyDescent="0.55000000000000004">
      <c r="A3943" s="133" t="s">
        <v>2525</v>
      </c>
      <c r="B3943" s="133" t="s">
        <v>188</v>
      </c>
      <c r="C3943" s="133" t="s">
        <v>125</v>
      </c>
      <c r="D3943" s="133" t="s">
        <v>3288</v>
      </c>
      <c r="E3943" s="138">
        <v>3.75</v>
      </c>
      <c r="F3943" s="153" t="s">
        <v>122</v>
      </c>
      <c r="G3943" s="153">
        <v>1</v>
      </c>
      <c r="H3943" s="133" t="s">
        <v>39</v>
      </c>
      <c r="I3943" s="133"/>
      <c r="J3943" s="133" t="s">
        <v>2524</v>
      </c>
      <c r="K3943" s="133"/>
      <c r="L3943" s="167"/>
      <c r="M3943" s="169"/>
    </row>
    <row r="3944" spans="1:13" x14ac:dyDescent="0.55000000000000004">
      <c r="A3944" s="133" t="s">
        <v>2525</v>
      </c>
      <c r="B3944" s="133" t="s">
        <v>3061</v>
      </c>
      <c r="C3944" s="133" t="s">
        <v>125</v>
      </c>
      <c r="D3944" s="133" t="s">
        <v>3288</v>
      </c>
      <c r="E3944" s="138">
        <v>3.9199999999999999E-2</v>
      </c>
      <c r="F3944" s="153" t="s">
        <v>122</v>
      </c>
      <c r="G3944" s="153">
        <v>1</v>
      </c>
      <c r="H3944" s="133" t="s">
        <v>39</v>
      </c>
      <c r="I3944" s="133"/>
      <c r="J3944" s="133" t="s">
        <v>2524</v>
      </c>
      <c r="K3944" s="133"/>
      <c r="L3944" s="167"/>
      <c r="M3944" s="169"/>
    </row>
    <row r="3945" spans="1:13" x14ac:dyDescent="0.55000000000000004">
      <c r="A3945" s="133" t="s">
        <v>2525</v>
      </c>
      <c r="B3945" s="133" t="s">
        <v>153</v>
      </c>
      <c r="C3945" s="133" t="s">
        <v>127</v>
      </c>
      <c r="D3945" s="133" t="s">
        <v>2994</v>
      </c>
      <c r="E3945" s="138">
        <v>14.5</v>
      </c>
      <c r="F3945" s="153" t="s">
        <v>122</v>
      </c>
      <c r="G3945" s="153">
        <v>1</v>
      </c>
      <c r="H3945" s="133" t="s">
        <v>39</v>
      </c>
      <c r="I3945" s="133"/>
      <c r="J3945" s="133" t="s">
        <v>2524</v>
      </c>
      <c r="K3945" s="133"/>
      <c r="L3945" s="167"/>
      <c r="M3945" s="169"/>
    </row>
    <row r="3946" spans="1:13" x14ac:dyDescent="0.55000000000000004">
      <c r="A3946" s="133" t="s">
        <v>2525</v>
      </c>
      <c r="B3946" s="133" t="s">
        <v>496</v>
      </c>
      <c r="C3946" s="133" t="s">
        <v>127</v>
      </c>
      <c r="D3946" s="133" t="s">
        <v>2994</v>
      </c>
      <c r="E3946" s="138">
        <v>13.200000000000001</v>
      </c>
      <c r="F3946" s="153" t="s">
        <v>122</v>
      </c>
      <c r="G3946" s="153">
        <v>1</v>
      </c>
      <c r="H3946" s="133" t="s">
        <v>39</v>
      </c>
      <c r="I3946" s="133"/>
      <c r="J3946" s="133" t="s">
        <v>2524</v>
      </c>
      <c r="K3946" s="133"/>
      <c r="L3946" s="167"/>
      <c r="M3946" s="169"/>
    </row>
    <row r="3947" spans="1:13" x14ac:dyDescent="0.55000000000000004">
      <c r="A3947" s="133" t="s">
        <v>2525</v>
      </c>
      <c r="B3947" s="133" t="s">
        <v>3062</v>
      </c>
      <c r="C3947" s="133" t="s">
        <v>156</v>
      </c>
      <c r="D3947" s="133" t="s">
        <v>3288</v>
      </c>
      <c r="E3947" s="138">
        <v>4.3600000000000007E-2</v>
      </c>
      <c r="F3947" s="153" t="s">
        <v>122</v>
      </c>
      <c r="G3947" s="153">
        <v>1</v>
      </c>
      <c r="H3947" s="133" t="s">
        <v>39</v>
      </c>
      <c r="I3947" s="133"/>
      <c r="J3947" s="133" t="s">
        <v>2524</v>
      </c>
      <c r="K3947" s="133"/>
      <c r="L3947" s="167"/>
      <c r="M3947" s="169"/>
    </row>
    <row r="3948" spans="1:13" x14ac:dyDescent="0.55000000000000004">
      <c r="A3948" s="133" t="s">
        <v>2525</v>
      </c>
      <c r="B3948" s="133" t="s">
        <v>3026</v>
      </c>
      <c r="C3948" s="133" t="s">
        <v>156</v>
      </c>
      <c r="D3948" s="133" t="s">
        <v>3288</v>
      </c>
      <c r="E3948" s="138">
        <v>0.29799999999999999</v>
      </c>
      <c r="F3948" s="153" t="s">
        <v>122</v>
      </c>
      <c r="G3948" s="153">
        <v>1</v>
      </c>
      <c r="H3948" s="133" t="s">
        <v>39</v>
      </c>
      <c r="I3948" s="133"/>
      <c r="J3948" s="133" t="s">
        <v>2524</v>
      </c>
      <c r="K3948" s="133"/>
      <c r="L3948" s="167"/>
      <c r="M3948" s="169"/>
    </row>
    <row r="3949" spans="1:13" x14ac:dyDescent="0.55000000000000004">
      <c r="A3949" s="133" t="s">
        <v>2525</v>
      </c>
      <c r="B3949" s="133" t="s">
        <v>726</v>
      </c>
      <c r="C3949" s="133" t="s">
        <v>156</v>
      </c>
      <c r="D3949" s="133" t="s">
        <v>3288</v>
      </c>
      <c r="E3949" s="138">
        <v>0.31200000000000006</v>
      </c>
      <c r="F3949" s="153" t="s">
        <v>122</v>
      </c>
      <c r="G3949" s="153">
        <v>1</v>
      </c>
      <c r="H3949" s="133" t="s">
        <v>39</v>
      </c>
      <c r="I3949" s="133"/>
      <c r="J3949" s="133" t="s">
        <v>2524</v>
      </c>
      <c r="K3949" s="133"/>
      <c r="L3949" s="167"/>
      <c r="M3949" s="169"/>
    </row>
    <row r="3950" spans="1:13" x14ac:dyDescent="0.55000000000000004">
      <c r="A3950" s="133" t="s">
        <v>2525</v>
      </c>
      <c r="B3950" s="133" t="s">
        <v>3027</v>
      </c>
      <c r="C3950" s="133" t="s">
        <v>156</v>
      </c>
      <c r="D3950" s="133" t="s">
        <v>3288</v>
      </c>
      <c r="E3950" s="138">
        <v>1.43</v>
      </c>
      <c r="F3950" s="153" t="s">
        <v>122</v>
      </c>
      <c r="G3950" s="153">
        <v>1</v>
      </c>
      <c r="H3950" s="133" t="s">
        <v>39</v>
      </c>
      <c r="I3950" s="133"/>
      <c r="J3950" s="133" t="s">
        <v>2524</v>
      </c>
      <c r="K3950" s="133"/>
      <c r="L3950" s="167"/>
      <c r="M3950" s="169"/>
    </row>
    <row r="3951" spans="1:13" x14ac:dyDescent="0.55000000000000004">
      <c r="A3951" s="133" t="s">
        <v>2525</v>
      </c>
      <c r="B3951" s="133" t="s">
        <v>3058</v>
      </c>
      <c r="C3951" s="133" t="s">
        <v>156</v>
      </c>
      <c r="D3951" s="133" t="s">
        <v>3288</v>
      </c>
      <c r="E3951" s="138">
        <v>0.17100000000000001</v>
      </c>
      <c r="F3951" s="153" t="s">
        <v>122</v>
      </c>
      <c r="G3951" s="153">
        <v>1</v>
      </c>
      <c r="H3951" s="133" t="s">
        <v>39</v>
      </c>
      <c r="I3951" s="133"/>
      <c r="J3951" s="133" t="s">
        <v>2524</v>
      </c>
      <c r="K3951" s="133"/>
      <c r="L3951" s="167"/>
      <c r="M3951" s="169"/>
    </row>
    <row r="3952" spans="1:13" x14ac:dyDescent="0.55000000000000004">
      <c r="A3952" s="133" t="s">
        <v>2525</v>
      </c>
      <c r="B3952" s="133" t="s">
        <v>3059</v>
      </c>
      <c r="C3952" s="133" t="s">
        <v>156</v>
      </c>
      <c r="D3952" s="133" t="s">
        <v>3288</v>
      </c>
      <c r="E3952" s="138">
        <v>6.8499999999999991E-2</v>
      </c>
      <c r="F3952" s="153" t="s">
        <v>122</v>
      </c>
      <c r="G3952" s="153">
        <v>1</v>
      </c>
      <c r="H3952" s="133" t="s">
        <v>39</v>
      </c>
      <c r="I3952" s="133"/>
      <c r="J3952" s="133" t="s">
        <v>2524</v>
      </c>
      <c r="K3952" s="133"/>
      <c r="L3952" s="167"/>
      <c r="M3952" s="169"/>
    </row>
    <row r="3953" spans="1:13" x14ac:dyDescent="0.55000000000000004">
      <c r="A3953" s="133" t="s">
        <v>2525</v>
      </c>
      <c r="B3953" s="133" t="s">
        <v>3060</v>
      </c>
      <c r="C3953" s="133" t="s">
        <v>156</v>
      </c>
      <c r="D3953" s="133" t="s">
        <v>3288</v>
      </c>
      <c r="E3953" s="138">
        <v>7.400000000000001E-2</v>
      </c>
      <c r="F3953" s="153" t="s">
        <v>122</v>
      </c>
      <c r="G3953" s="153">
        <v>1</v>
      </c>
      <c r="H3953" s="133" t="s">
        <v>39</v>
      </c>
      <c r="I3953" s="133"/>
      <c r="J3953" s="133" t="s">
        <v>2524</v>
      </c>
      <c r="K3953" s="133"/>
      <c r="L3953" s="167"/>
      <c r="M3953" s="169"/>
    </row>
    <row r="3954" spans="1:13" x14ac:dyDescent="0.55000000000000004">
      <c r="A3954" s="133" t="s">
        <v>2525</v>
      </c>
      <c r="B3954" s="133" t="s">
        <v>160</v>
      </c>
      <c r="C3954" s="133" t="s">
        <v>124</v>
      </c>
      <c r="D3954" s="133" t="s">
        <v>3288</v>
      </c>
      <c r="E3954" s="138">
        <v>3.83</v>
      </c>
      <c r="F3954" s="153" t="s">
        <v>122</v>
      </c>
      <c r="G3954" s="153">
        <v>1</v>
      </c>
      <c r="H3954" s="133" t="s">
        <v>39</v>
      </c>
      <c r="I3954" s="133"/>
      <c r="J3954" s="133" t="s">
        <v>2524</v>
      </c>
      <c r="K3954" s="133"/>
      <c r="L3954" s="167"/>
      <c r="M3954" s="169"/>
    </row>
    <row r="3955" spans="1:13" x14ac:dyDescent="0.55000000000000004">
      <c r="A3955" s="133" t="s">
        <v>2525</v>
      </c>
      <c r="B3955" s="133" t="s">
        <v>3028</v>
      </c>
      <c r="C3955" s="133" t="s">
        <v>163</v>
      </c>
      <c r="D3955" s="133" t="s">
        <v>3288</v>
      </c>
      <c r="E3955" s="138">
        <v>2.7599999999999999E-3</v>
      </c>
      <c r="F3955" s="153" t="s">
        <v>122</v>
      </c>
      <c r="G3955" s="153">
        <v>1</v>
      </c>
      <c r="H3955" s="133" t="s">
        <v>39</v>
      </c>
      <c r="I3955" s="133"/>
      <c r="J3955" s="133" t="s">
        <v>2524</v>
      </c>
      <c r="K3955" s="133"/>
      <c r="L3955" s="167"/>
      <c r="M3955" s="169"/>
    </row>
    <row r="3956" spans="1:13" x14ac:dyDescent="0.55000000000000004">
      <c r="A3956" s="133" t="s">
        <v>2525</v>
      </c>
      <c r="B3956" s="133" t="s">
        <v>3029</v>
      </c>
      <c r="C3956" s="133" t="s">
        <v>163</v>
      </c>
      <c r="D3956" s="133" t="s">
        <v>3288</v>
      </c>
      <c r="E3956" s="138">
        <v>1.5700000000000002E-2</v>
      </c>
      <c r="F3956" s="153" t="s">
        <v>122</v>
      </c>
      <c r="G3956" s="153">
        <v>1</v>
      </c>
      <c r="H3956" s="133" t="s">
        <v>39</v>
      </c>
      <c r="I3956" s="133"/>
      <c r="J3956" s="133" t="s">
        <v>2524</v>
      </c>
      <c r="K3956" s="133"/>
      <c r="L3956" s="167"/>
      <c r="M3956" s="169"/>
    </row>
    <row r="3957" spans="1:13" x14ac:dyDescent="0.55000000000000004">
      <c r="A3957" s="133" t="s">
        <v>2525</v>
      </c>
      <c r="B3957" s="133" t="s">
        <v>3030</v>
      </c>
      <c r="C3957" s="133" t="s">
        <v>163</v>
      </c>
      <c r="D3957" s="133" t="s">
        <v>3288</v>
      </c>
      <c r="E3957" s="138">
        <v>1.18E-2</v>
      </c>
      <c r="F3957" s="153" t="s">
        <v>122</v>
      </c>
      <c r="G3957" s="153">
        <v>1</v>
      </c>
      <c r="H3957" s="133" t="s">
        <v>39</v>
      </c>
      <c r="I3957" s="133"/>
      <c r="J3957" s="133" t="s">
        <v>2524</v>
      </c>
      <c r="K3957" s="133"/>
      <c r="L3957" s="167"/>
      <c r="M3957" s="169"/>
    </row>
    <row r="3958" spans="1:13" x14ac:dyDescent="0.55000000000000004">
      <c r="A3958" s="133" t="s">
        <v>2525</v>
      </c>
      <c r="B3958" s="133" t="s">
        <v>3031</v>
      </c>
      <c r="C3958" s="133" t="s">
        <v>163</v>
      </c>
      <c r="D3958" s="133" t="s">
        <v>3288</v>
      </c>
      <c r="E3958" s="138">
        <v>3.79E-3</v>
      </c>
      <c r="F3958" s="153" t="s">
        <v>122</v>
      </c>
      <c r="G3958" s="153">
        <v>1</v>
      </c>
      <c r="H3958" s="133" t="s">
        <v>39</v>
      </c>
      <c r="I3958" s="133"/>
      <c r="J3958" s="133" t="s">
        <v>2524</v>
      </c>
      <c r="K3958" s="133"/>
      <c r="L3958" s="167"/>
      <c r="M3958" s="169"/>
    </row>
    <row r="3959" spans="1:13" x14ac:dyDescent="0.55000000000000004">
      <c r="A3959" s="133" t="s">
        <v>2525</v>
      </c>
      <c r="B3959" s="133" t="s">
        <v>3032</v>
      </c>
      <c r="C3959" s="133" t="s">
        <v>163</v>
      </c>
      <c r="D3959" s="133" t="s">
        <v>3288</v>
      </c>
      <c r="E3959" s="138">
        <v>0.10400000000000001</v>
      </c>
      <c r="F3959" s="153" t="s">
        <v>122</v>
      </c>
      <c r="G3959" s="153">
        <v>1</v>
      </c>
      <c r="H3959" s="133" t="s">
        <v>39</v>
      </c>
      <c r="I3959" s="133"/>
      <c r="J3959" s="133" t="s">
        <v>2524</v>
      </c>
      <c r="K3959" s="133"/>
      <c r="L3959" s="167"/>
      <c r="M3959" s="169"/>
    </row>
    <row r="3960" spans="1:13" x14ac:dyDescent="0.55000000000000004">
      <c r="A3960" s="133" t="s">
        <v>2525</v>
      </c>
      <c r="B3960" s="133" t="s">
        <v>3033</v>
      </c>
      <c r="C3960" s="133" t="s">
        <v>163</v>
      </c>
      <c r="D3960" s="133" t="s">
        <v>3288</v>
      </c>
      <c r="E3960" s="138">
        <v>0.221</v>
      </c>
      <c r="F3960" s="153" t="s">
        <v>122</v>
      </c>
      <c r="G3960" s="153">
        <v>1</v>
      </c>
      <c r="H3960" s="133" t="s">
        <v>39</v>
      </c>
      <c r="I3960" s="133"/>
      <c r="J3960" s="133" t="s">
        <v>2524</v>
      </c>
      <c r="K3960" s="133"/>
      <c r="L3960" s="167"/>
      <c r="M3960" s="169"/>
    </row>
    <row r="3961" spans="1:13" x14ac:dyDescent="0.55000000000000004">
      <c r="A3961" s="133" t="s">
        <v>2525</v>
      </c>
      <c r="B3961" s="133" t="s">
        <v>3034</v>
      </c>
      <c r="C3961" s="133" t="s">
        <v>163</v>
      </c>
      <c r="D3961" s="133" t="s">
        <v>3288</v>
      </c>
      <c r="E3961" s="138">
        <v>1.34E-2</v>
      </c>
      <c r="F3961" s="153" t="s">
        <v>122</v>
      </c>
      <c r="G3961" s="153">
        <v>1</v>
      </c>
      <c r="H3961" s="133" t="s">
        <v>39</v>
      </c>
      <c r="I3961" s="133"/>
      <c r="J3961" s="133" t="s">
        <v>2524</v>
      </c>
      <c r="K3961" s="133"/>
      <c r="L3961" s="167"/>
      <c r="M3961" s="169"/>
    </row>
    <row r="3962" spans="1:13" x14ac:dyDescent="0.55000000000000004">
      <c r="A3962" s="133" t="s">
        <v>2525</v>
      </c>
      <c r="B3962" s="133" t="s">
        <v>3035</v>
      </c>
      <c r="C3962" s="133" t="s">
        <v>163</v>
      </c>
      <c r="D3962" s="133" t="s">
        <v>3288</v>
      </c>
      <c r="E3962" s="138">
        <v>1.7299999999999999E-2</v>
      </c>
      <c r="F3962" s="153" t="s">
        <v>122</v>
      </c>
      <c r="G3962" s="153">
        <v>1</v>
      </c>
      <c r="H3962" s="133" t="s">
        <v>39</v>
      </c>
      <c r="I3962" s="133"/>
      <c r="J3962" s="133" t="s">
        <v>2524</v>
      </c>
      <c r="K3962" s="133"/>
      <c r="L3962" s="167"/>
      <c r="M3962" s="169"/>
    </row>
    <row r="3963" spans="1:13" x14ac:dyDescent="0.55000000000000004">
      <c r="A3963" s="133" t="s">
        <v>2525</v>
      </c>
      <c r="B3963" s="133" t="s">
        <v>3036</v>
      </c>
      <c r="C3963" s="133" t="s">
        <v>163</v>
      </c>
      <c r="D3963" s="133" t="s">
        <v>3288</v>
      </c>
      <c r="E3963" s="138">
        <v>4.5700000000000003E-3</v>
      </c>
      <c r="F3963" s="153" t="s">
        <v>122</v>
      </c>
      <c r="G3963" s="153">
        <v>1</v>
      </c>
      <c r="H3963" s="133" t="s">
        <v>39</v>
      </c>
      <c r="I3963" s="133"/>
      <c r="J3963" s="133" t="s">
        <v>2524</v>
      </c>
      <c r="K3963" s="133"/>
      <c r="L3963" s="167"/>
      <c r="M3963" s="169"/>
    </row>
    <row r="3964" spans="1:13" x14ac:dyDescent="0.55000000000000004">
      <c r="A3964" s="133" t="s">
        <v>2525</v>
      </c>
      <c r="B3964" s="133" t="s">
        <v>3037</v>
      </c>
      <c r="C3964" s="133" t="s">
        <v>163</v>
      </c>
      <c r="D3964" s="133" t="s">
        <v>3288</v>
      </c>
      <c r="E3964" s="138">
        <v>4.5700000000000003E-3</v>
      </c>
      <c r="F3964" s="153" t="s">
        <v>122</v>
      </c>
      <c r="G3964" s="153">
        <v>1</v>
      </c>
      <c r="H3964" s="133" t="s">
        <v>39</v>
      </c>
      <c r="I3964" s="133"/>
      <c r="J3964" s="133" t="s">
        <v>2524</v>
      </c>
      <c r="K3964" s="133"/>
      <c r="L3964" s="167"/>
      <c r="M3964" s="169"/>
    </row>
    <row r="3965" spans="1:13" x14ac:dyDescent="0.55000000000000004">
      <c r="A3965" s="133" t="s">
        <v>2525</v>
      </c>
      <c r="B3965" s="133" t="s">
        <v>3038</v>
      </c>
      <c r="C3965" s="133" t="s">
        <v>163</v>
      </c>
      <c r="D3965" s="133" t="s">
        <v>3288</v>
      </c>
      <c r="E3965" s="138">
        <v>8.15</v>
      </c>
      <c r="F3965" s="153" t="s">
        <v>122</v>
      </c>
      <c r="G3965" s="153">
        <v>1</v>
      </c>
      <c r="H3965" s="133" t="s">
        <v>39</v>
      </c>
      <c r="I3965" s="133"/>
      <c r="J3965" s="133" t="s">
        <v>2524</v>
      </c>
      <c r="K3965" s="133"/>
      <c r="L3965" s="167"/>
      <c r="M3965" s="169"/>
    </row>
    <row r="3966" spans="1:13" x14ac:dyDescent="0.55000000000000004">
      <c r="A3966" s="133" t="s">
        <v>2525</v>
      </c>
      <c r="B3966" s="139" t="s">
        <v>3039</v>
      </c>
      <c r="C3966" s="133" t="s">
        <v>163</v>
      </c>
      <c r="D3966" s="133" t="s">
        <v>3288</v>
      </c>
      <c r="E3966" s="138">
        <v>5.04E-2</v>
      </c>
      <c r="F3966" s="153" t="s">
        <v>122</v>
      </c>
      <c r="G3966" s="153">
        <v>1</v>
      </c>
      <c r="H3966" s="133" t="s">
        <v>39</v>
      </c>
      <c r="I3966" s="133"/>
      <c r="J3966" s="133" t="s">
        <v>2524</v>
      </c>
      <c r="K3966" s="133"/>
      <c r="L3966" s="167"/>
      <c r="M3966" s="169"/>
    </row>
    <row r="3967" spans="1:13" x14ac:dyDescent="0.55000000000000004">
      <c r="A3967" s="133" t="s">
        <v>2525</v>
      </c>
      <c r="B3967" s="139" t="s">
        <v>3040</v>
      </c>
      <c r="C3967" s="133" t="s">
        <v>163</v>
      </c>
      <c r="D3967" s="133" t="s">
        <v>3288</v>
      </c>
      <c r="E3967" s="138">
        <v>202.99999999999997</v>
      </c>
      <c r="F3967" s="153" t="s">
        <v>122</v>
      </c>
      <c r="G3967" s="153">
        <v>1</v>
      </c>
      <c r="H3967" s="133" t="s">
        <v>39</v>
      </c>
      <c r="I3967" s="133"/>
      <c r="J3967" s="133" t="s">
        <v>2524</v>
      </c>
      <c r="K3967" s="133"/>
      <c r="L3967" s="167"/>
      <c r="M3967" s="169"/>
    </row>
    <row r="3968" spans="1:13" x14ac:dyDescent="0.55000000000000004">
      <c r="A3968" s="133" t="s">
        <v>2527</v>
      </c>
      <c r="B3968" s="133" t="s">
        <v>3063</v>
      </c>
      <c r="C3968" s="133" t="s">
        <v>121</v>
      </c>
      <c r="D3968" s="133" t="s">
        <v>2682</v>
      </c>
      <c r="E3968" s="138">
        <v>1</v>
      </c>
      <c r="F3968" s="153">
        <v>1</v>
      </c>
      <c r="G3968" s="153">
        <v>1</v>
      </c>
      <c r="H3968" s="133" t="s">
        <v>39</v>
      </c>
      <c r="I3968" s="133"/>
      <c r="J3968" s="133" t="s">
        <v>2526</v>
      </c>
      <c r="K3968" s="133" t="s">
        <v>831</v>
      </c>
      <c r="L3968" s="167"/>
      <c r="M3968" s="169"/>
    </row>
    <row r="3969" spans="1:13" x14ac:dyDescent="0.55000000000000004">
      <c r="A3969" s="133" t="s">
        <v>2527</v>
      </c>
      <c r="B3969" s="133" t="s">
        <v>3064</v>
      </c>
      <c r="C3969" s="133" t="s">
        <v>348</v>
      </c>
      <c r="D3969" s="133" t="s">
        <v>3288</v>
      </c>
      <c r="E3969" s="138">
        <v>1</v>
      </c>
      <c r="F3969" s="153" t="s">
        <v>135</v>
      </c>
      <c r="G3969" s="153">
        <v>1</v>
      </c>
      <c r="H3969" s="133" t="s">
        <v>39</v>
      </c>
      <c r="I3969" s="133"/>
      <c r="J3969" s="133" t="s">
        <v>2526</v>
      </c>
      <c r="K3969" s="133" t="s">
        <v>831</v>
      </c>
      <c r="L3969" s="167"/>
      <c r="M3969" s="169"/>
    </row>
    <row r="3970" spans="1:13" x14ac:dyDescent="0.55000000000000004">
      <c r="A3970" s="133" t="s">
        <v>2527</v>
      </c>
      <c r="B3970" s="133" t="s">
        <v>153</v>
      </c>
      <c r="C3970" s="133" t="s">
        <v>127</v>
      </c>
      <c r="D3970" s="133" t="s">
        <v>2994</v>
      </c>
      <c r="E3970" s="138">
        <v>142</v>
      </c>
      <c r="F3970" s="153" t="s">
        <v>130</v>
      </c>
      <c r="G3970" s="153">
        <v>1</v>
      </c>
      <c r="H3970" s="133" t="s">
        <v>39</v>
      </c>
      <c r="I3970" s="133"/>
      <c r="J3970" s="133" t="s">
        <v>2526</v>
      </c>
      <c r="K3970" s="133" t="s">
        <v>831</v>
      </c>
      <c r="L3970" s="167"/>
      <c r="M3970" s="169"/>
    </row>
    <row r="3971" spans="1:13" x14ac:dyDescent="0.55000000000000004">
      <c r="A3971" s="133" t="s">
        <v>2527</v>
      </c>
      <c r="B3971" s="133" t="s">
        <v>153</v>
      </c>
      <c r="C3971" s="133" t="s">
        <v>156</v>
      </c>
      <c r="D3971" s="133" t="s">
        <v>2994</v>
      </c>
      <c r="E3971" s="138">
        <v>1520</v>
      </c>
      <c r="F3971" s="153" t="s">
        <v>167</v>
      </c>
      <c r="G3971" s="153">
        <v>1</v>
      </c>
      <c r="H3971" s="133" t="s">
        <v>39</v>
      </c>
      <c r="I3971" s="133"/>
      <c r="J3971" s="133" t="s">
        <v>2526</v>
      </c>
      <c r="K3971" s="133" t="s">
        <v>831</v>
      </c>
      <c r="L3971" s="167"/>
      <c r="M3971" s="169"/>
    </row>
    <row r="3972" spans="1:13" x14ac:dyDescent="0.55000000000000004">
      <c r="A3972" s="133" t="s">
        <v>2527</v>
      </c>
      <c r="B3972" s="133" t="s">
        <v>154</v>
      </c>
      <c r="C3972" s="133" t="s">
        <v>132</v>
      </c>
      <c r="D3972" s="133" t="s">
        <v>3289</v>
      </c>
      <c r="E3972" s="138">
        <v>1</v>
      </c>
      <c r="F3972" s="153" t="s">
        <v>133</v>
      </c>
      <c r="G3972" s="153">
        <v>1</v>
      </c>
      <c r="H3972" s="133" t="s">
        <v>39</v>
      </c>
      <c r="I3972" s="133"/>
      <c r="J3972" s="133" t="s">
        <v>2526</v>
      </c>
      <c r="K3972" s="133" t="s">
        <v>831</v>
      </c>
      <c r="L3972" s="167"/>
      <c r="M3972" s="169"/>
    </row>
    <row r="3973" spans="1:13" x14ac:dyDescent="0.55000000000000004">
      <c r="A3973" s="133" t="s">
        <v>2527</v>
      </c>
      <c r="B3973" s="133" t="s">
        <v>2726</v>
      </c>
      <c r="C3973" s="133" t="s">
        <v>127</v>
      </c>
      <c r="D3973" s="133" t="s">
        <v>3288</v>
      </c>
      <c r="E3973" s="138">
        <v>0.24</v>
      </c>
      <c r="F3973" s="153" t="s">
        <v>135</v>
      </c>
      <c r="G3973" s="153">
        <v>1</v>
      </c>
      <c r="H3973" s="133" t="s">
        <v>39</v>
      </c>
      <c r="I3973" s="133"/>
      <c r="J3973" s="133" t="s">
        <v>2526</v>
      </c>
      <c r="K3973" s="133" t="s">
        <v>831</v>
      </c>
      <c r="L3973" s="167"/>
      <c r="M3973" s="169"/>
    </row>
    <row r="3974" spans="1:13" x14ac:dyDescent="0.55000000000000004">
      <c r="A3974" s="133" t="s">
        <v>2527</v>
      </c>
      <c r="B3974" s="133" t="s">
        <v>615</v>
      </c>
      <c r="C3974" s="133" t="s">
        <v>348</v>
      </c>
      <c r="D3974" s="133" t="s">
        <v>3288</v>
      </c>
      <c r="E3974" s="138">
        <v>5.0000000000000001E-4</v>
      </c>
      <c r="F3974" s="153" t="s">
        <v>135</v>
      </c>
      <c r="G3974" s="153">
        <v>1</v>
      </c>
      <c r="H3974" s="133" t="s">
        <v>39</v>
      </c>
      <c r="I3974" s="133"/>
      <c r="J3974" s="133" t="s">
        <v>2526</v>
      </c>
      <c r="K3974" s="133" t="s">
        <v>831</v>
      </c>
      <c r="L3974" s="167"/>
      <c r="M3974" s="169"/>
    </row>
    <row r="3975" spans="1:13" x14ac:dyDescent="0.55000000000000004">
      <c r="A3975" s="133" t="s">
        <v>2527</v>
      </c>
      <c r="B3975" s="133" t="s">
        <v>603</v>
      </c>
      <c r="C3975" s="133" t="s">
        <v>348</v>
      </c>
      <c r="D3975" s="133" t="s">
        <v>3288</v>
      </c>
      <c r="E3975" s="138">
        <v>0.01</v>
      </c>
      <c r="F3975" s="153" t="s">
        <v>135</v>
      </c>
      <c r="G3975" s="153">
        <v>1</v>
      </c>
      <c r="H3975" s="133" t="s">
        <v>39</v>
      </c>
      <c r="I3975" s="133"/>
      <c r="J3975" s="133" t="s">
        <v>2526</v>
      </c>
      <c r="K3975" s="133" t="s">
        <v>831</v>
      </c>
      <c r="L3975" s="167"/>
      <c r="M3975" s="169"/>
    </row>
    <row r="3976" spans="1:13" x14ac:dyDescent="0.55000000000000004">
      <c r="A3976" s="133" t="s">
        <v>2527</v>
      </c>
      <c r="B3976" s="133" t="s">
        <v>148</v>
      </c>
      <c r="C3976" s="133" t="s">
        <v>348</v>
      </c>
      <c r="D3976" s="133" t="s">
        <v>3288</v>
      </c>
      <c r="E3976" s="138">
        <v>1.9000000000000001E-4</v>
      </c>
      <c r="F3976" s="153" t="s">
        <v>135</v>
      </c>
      <c r="G3976" s="153">
        <v>1</v>
      </c>
      <c r="H3976" s="133" t="s">
        <v>39</v>
      </c>
      <c r="I3976" s="133"/>
      <c r="J3976" s="133" t="s">
        <v>2526</v>
      </c>
      <c r="K3976" s="133" t="s">
        <v>831</v>
      </c>
      <c r="L3976" s="167"/>
      <c r="M3976" s="169"/>
    </row>
    <row r="3977" spans="1:13" x14ac:dyDescent="0.55000000000000004">
      <c r="A3977" s="133" t="s">
        <v>2527</v>
      </c>
      <c r="B3977" s="133" t="s">
        <v>3065</v>
      </c>
      <c r="C3977" s="133" t="s">
        <v>348</v>
      </c>
      <c r="D3977" s="133" t="s">
        <v>3288</v>
      </c>
      <c r="E3977" s="138">
        <v>2.5000000000000001E-4</v>
      </c>
      <c r="F3977" s="153" t="s">
        <v>135</v>
      </c>
      <c r="G3977" s="153">
        <v>1</v>
      </c>
      <c r="H3977" s="133" t="s">
        <v>39</v>
      </c>
      <c r="I3977" s="133"/>
      <c r="J3977" s="133" t="s">
        <v>2526</v>
      </c>
      <c r="K3977" s="133" t="s">
        <v>831</v>
      </c>
      <c r="L3977" s="167"/>
      <c r="M3977" s="169"/>
    </row>
    <row r="3978" spans="1:13" x14ac:dyDescent="0.55000000000000004">
      <c r="A3978" s="133" t="s">
        <v>2530</v>
      </c>
      <c r="B3978" s="133" t="s">
        <v>3066</v>
      </c>
      <c r="C3978" s="133" t="s">
        <v>121</v>
      </c>
      <c r="D3978" s="133" t="s">
        <v>2682</v>
      </c>
      <c r="E3978" s="138">
        <v>1</v>
      </c>
      <c r="F3978" s="153">
        <v>1</v>
      </c>
      <c r="G3978" s="153">
        <v>1</v>
      </c>
      <c r="H3978" s="133" t="s">
        <v>39</v>
      </c>
      <c r="I3978" s="133"/>
      <c r="J3978" s="133" t="s">
        <v>2529</v>
      </c>
      <c r="K3978" s="133" t="s">
        <v>831</v>
      </c>
      <c r="L3978" s="167"/>
      <c r="M3978" s="169"/>
    </row>
    <row r="3979" spans="1:13" x14ac:dyDescent="0.55000000000000004">
      <c r="A3979" s="133" t="s">
        <v>2530</v>
      </c>
      <c r="B3979" s="133" t="s">
        <v>3067</v>
      </c>
      <c r="C3979" s="133" t="s">
        <v>348</v>
      </c>
      <c r="D3979" s="133" t="s">
        <v>3288</v>
      </c>
      <c r="E3979" s="138">
        <v>1</v>
      </c>
      <c r="F3979" s="153" t="s">
        <v>135</v>
      </c>
      <c r="G3979" s="153">
        <v>1</v>
      </c>
      <c r="H3979" s="133" t="s">
        <v>39</v>
      </c>
      <c r="I3979" s="133"/>
      <c r="J3979" s="133" t="s">
        <v>2529</v>
      </c>
      <c r="K3979" s="133" t="s">
        <v>831</v>
      </c>
      <c r="L3979" s="167"/>
      <c r="M3979" s="169"/>
    </row>
    <row r="3980" spans="1:13" x14ac:dyDescent="0.55000000000000004">
      <c r="A3980" s="133" t="s">
        <v>2530</v>
      </c>
      <c r="B3980" s="133" t="s">
        <v>508</v>
      </c>
      <c r="C3980" s="133" t="s">
        <v>348</v>
      </c>
      <c r="D3980" s="133" t="s">
        <v>3288</v>
      </c>
      <c r="E3980" s="138">
        <v>1.8E-3</v>
      </c>
      <c r="F3980" s="153" t="s">
        <v>135</v>
      </c>
      <c r="G3980" s="153">
        <v>1</v>
      </c>
      <c r="H3980" s="133" t="s">
        <v>39</v>
      </c>
      <c r="I3980" s="133"/>
      <c r="J3980" s="133" t="s">
        <v>2529</v>
      </c>
      <c r="K3980" s="133" t="s">
        <v>831</v>
      </c>
      <c r="L3980" s="167"/>
      <c r="M3980" s="169"/>
    </row>
    <row r="3981" spans="1:13" x14ac:dyDescent="0.55000000000000004">
      <c r="A3981" s="133" t="s">
        <v>2530</v>
      </c>
      <c r="B3981" s="133" t="s">
        <v>153</v>
      </c>
      <c r="C3981" s="133" t="s">
        <v>127</v>
      </c>
      <c r="D3981" s="133" t="s">
        <v>2994</v>
      </c>
      <c r="E3981" s="138">
        <v>8</v>
      </c>
      <c r="F3981" s="153" t="s">
        <v>130</v>
      </c>
      <c r="G3981" s="153">
        <v>1</v>
      </c>
      <c r="H3981" s="133" t="s">
        <v>39</v>
      </c>
      <c r="I3981" s="133"/>
      <c r="J3981" s="133" t="s">
        <v>2529</v>
      </c>
      <c r="K3981" s="133" t="s">
        <v>831</v>
      </c>
      <c r="L3981" s="167"/>
      <c r="M3981" s="169"/>
    </row>
    <row r="3982" spans="1:13" x14ac:dyDescent="0.55000000000000004">
      <c r="A3982" s="133" t="s">
        <v>2530</v>
      </c>
      <c r="B3982" s="133" t="s">
        <v>154</v>
      </c>
      <c r="C3982" s="133" t="s">
        <v>348</v>
      </c>
      <c r="D3982" s="133" t="s">
        <v>3288</v>
      </c>
      <c r="E3982" s="138">
        <v>3.8000000000000001E-7</v>
      </c>
      <c r="F3982" s="153" t="s">
        <v>135</v>
      </c>
      <c r="G3982" s="153">
        <v>1</v>
      </c>
      <c r="H3982" s="133" t="s">
        <v>39</v>
      </c>
      <c r="I3982" s="133"/>
      <c r="J3982" s="133" t="s">
        <v>2529</v>
      </c>
      <c r="K3982" s="133" t="s">
        <v>831</v>
      </c>
      <c r="L3982" s="167"/>
      <c r="M3982" s="169"/>
    </row>
    <row r="3983" spans="1:13" x14ac:dyDescent="0.55000000000000004">
      <c r="A3983" s="133" t="s">
        <v>2530</v>
      </c>
      <c r="B3983" s="133" t="s">
        <v>3068</v>
      </c>
      <c r="C3983" s="133" t="s">
        <v>348</v>
      </c>
      <c r="D3983" s="133" t="s">
        <v>3288</v>
      </c>
      <c r="E3983" s="138">
        <v>1E-3</v>
      </c>
      <c r="F3983" s="153" t="s">
        <v>135</v>
      </c>
      <c r="G3983" s="153">
        <v>1</v>
      </c>
      <c r="H3983" s="133" t="s">
        <v>39</v>
      </c>
      <c r="I3983" s="133"/>
      <c r="J3983" s="133" t="s">
        <v>2529</v>
      </c>
      <c r="K3983" s="133" t="s">
        <v>831</v>
      </c>
      <c r="L3983" s="167"/>
      <c r="M3983" s="169"/>
    </row>
    <row r="3984" spans="1:13" x14ac:dyDescent="0.55000000000000004">
      <c r="A3984" s="133" t="s">
        <v>2530</v>
      </c>
      <c r="B3984" s="133" t="s">
        <v>3069</v>
      </c>
      <c r="C3984" s="133" t="s">
        <v>348</v>
      </c>
      <c r="D3984" s="133" t="s">
        <v>3288</v>
      </c>
      <c r="E3984" s="138">
        <v>0.1</v>
      </c>
      <c r="F3984" s="153" t="s">
        <v>135</v>
      </c>
      <c r="G3984" s="153">
        <v>1</v>
      </c>
      <c r="H3984" s="133" t="s">
        <v>39</v>
      </c>
      <c r="I3984" s="133"/>
      <c r="J3984" s="133" t="s">
        <v>2529</v>
      </c>
      <c r="K3984" s="133" t="s">
        <v>831</v>
      </c>
      <c r="L3984" s="167"/>
      <c r="M3984" s="169"/>
    </row>
    <row r="3985" spans="1:13" x14ac:dyDescent="0.55000000000000004">
      <c r="A3985" s="133" t="s">
        <v>2530</v>
      </c>
      <c r="B3985" s="133" t="s">
        <v>1231</v>
      </c>
      <c r="C3985" s="133" t="s">
        <v>348</v>
      </c>
      <c r="D3985" s="133" t="s">
        <v>3288</v>
      </c>
      <c r="E3985" s="138">
        <v>1.2E-4</v>
      </c>
      <c r="F3985" s="153" t="s">
        <v>135</v>
      </c>
      <c r="G3985" s="153">
        <v>1</v>
      </c>
      <c r="H3985" s="133" t="s">
        <v>39</v>
      </c>
      <c r="I3985" s="133"/>
      <c r="J3985" s="133" t="s">
        <v>2529</v>
      </c>
      <c r="K3985" s="133" t="s">
        <v>831</v>
      </c>
      <c r="L3985" s="167"/>
      <c r="M3985" s="169"/>
    </row>
    <row r="3986" spans="1:13" x14ac:dyDescent="0.55000000000000004">
      <c r="A3986" s="133" t="s">
        <v>2530</v>
      </c>
      <c r="B3986" s="133" t="s">
        <v>3070</v>
      </c>
      <c r="C3986" s="133" t="s">
        <v>348</v>
      </c>
      <c r="D3986" s="133" t="s">
        <v>3288</v>
      </c>
      <c r="E3986" s="138">
        <v>1.1000000000000001E-6</v>
      </c>
      <c r="F3986" s="153" t="s">
        <v>135</v>
      </c>
      <c r="G3986" s="153">
        <v>1</v>
      </c>
      <c r="H3986" s="133" t="s">
        <v>39</v>
      </c>
      <c r="I3986" s="133"/>
      <c r="J3986" s="133" t="s">
        <v>2529</v>
      </c>
      <c r="K3986" s="133" t="s">
        <v>831</v>
      </c>
      <c r="L3986" s="167"/>
      <c r="M3986" s="169"/>
    </row>
    <row r="3987" spans="1:13" x14ac:dyDescent="0.55000000000000004">
      <c r="A3987" s="133" t="s">
        <v>2530</v>
      </c>
      <c r="B3987" s="133" t="s">
        <v>3071</v>
      </c>
      <c r="C3987" s="133" t="s">
        <v>348</v>
      </c>
      <c r="D3987" s="133" t="s">
        <v>3288</v>
      </c>
      <c r="E3987" s="138">
        <v>8.8999999999999995E-6</v>
      </c>
      <c r="F3987" s="153" t="s">
        <v>135</v>
      </c>
      <c r="G3987" s="153">
        <v>1</v>
      </c>
      <c r="H3987" s="133" t="s">
        <v>39</v>
      </c>
      <c r="I3987" s="133"/>
      <c r="J3987" s="133" t="s">
        <v>2529</v>
      </c>
      <c r="K3987" s="133" t="s">
        <v>831</v>
      </c>
      <c r="L3987" s="167"/>
      <c r="M3987" s="169"/>
    </row>
    <row r="3988" spans="1:13" x14ac:dyDescent="0.55000000000000004">
      <c r="A3988" s="133" t="s">
        <v>2530</v>
      </c>
      <c r="B3988" s="133" t="s">
        <v>3072</v>
      </c>
      <c r="C3988" s="133" t="s">
        <v>124</v>
      </c>
      <c r="D3988" s="133" t="s">
        <v>3288</v>
      </c>
      <c r="E3988" s="138">
        <v>1.3639999999999999E-2</v>
      </c>
      <c r="F3988" s="153" t="s">
        <v>135</v>
      </c>
      <c r="G3988" s="153">
        <v>1</v>
      </c>
      <c r="H3988" s="133" t="s">
        <v>39</v>
      </c>
      <c r="I3988" s="133"/>
      <c r="J3988" s="133" t="s">
        <v>2529</v>
      </c>
      <c r="K3988" s="133" t="s">
        <v>831</v>
      </c>
      <c r="L3988" s="167"/>
      <c r="M3988" s="169"/>
    </row>
    <row r="3989" spans="1:13" x14ac:dyDescent="0.55000000000000004">
      <c r="A3989" s="133" t="s">
        <v>2533</v>
      </c>
      <c r="B3989" s="133" t="s">
        <v>3073</v>
      </c>
      <c r="C3989" s="133" t="s">
        <v>121</v>
      </c>
      <c r="D3989" s="133" t="s">
        <v>2682</v>
      </c>
      <c r="E3989" s="138">
        <v>1</v>
      </c>
      <c r="F3989" s="153">
        <v>1</v>
      </c>
      <c r="G3989" s="153">
        <v>1</v>
      </c>
      <c r="H3989" s="133" t="s">
        <v>39</v>
      </c>
      <c r="I3989" s="133"/>
      <c r="J3989" s="133" t="s">
        <v>2532</v>
      </c>
      <c r="K3989" s="133" t="s">
        <v>831</v>
      </c>
      <c r="L3989" s="167"/>
      <c r="M3989" s="169"/>
    </row>
    <row r="3990" spans="1:13" x14ac:dyDescent="0.55000000000000004">
      <c r="A3990" s="133" t="s">
        <v>2533</v>
      </c>
      <c r="B3990" s="133" t="s">
        <v>3074</v>
      </c>
      <c r="C3990" s="133" t="s">
        <v>348</v>
      </c>
      <c r="D3990" s="133" t="s">
        <v>3288</v>
      </c>
      <c r="E3990" s="138">
        <v>1</v>
      </c>
      <c r="F3990" s="153" t="s">
        <v>135</v>
      </c>
      <c r="G3990" s="153">
        <v>1</v>
      </c>
      <c r="H3990" s="133" t="s">
        <v>39</v>
      </c>
      <c r="I3990" s="133"/>
      <c r="J3990" s="133" t="s">
        <v>2532</v>
      </c>
      <c r="K3990" s="133" t="s">
        <v>831</v>
      </c>
      <c r="L3990" s="167"/>
      <c r="M3990" s="169"/>
    </row>
    <row r="3991" spans="1:13" x14ac:dyDescent="0.55000000000000004">
      <c r="A3991" s="133" t="s">
        <v>2533</v>
      </c>
      <c r="B3991" s="133" t="s">
        <v>173</v>
      </c>
      <c r="C3991" s="133" t="s">
        <v>348</v>
      </c>
      <c r="D3991" s="133" t="s">
        <v>3288</v>
      </c>
      <c r="E3991" s="138">
        <v>1.48E-6</v>
      </c>
      <c r="F3991" s="153" t="s">
        <v>135</v>
      </c>
      <c r="G3991" s="153">
        <v>1</v>
      </c>
      <c r="H3991" s="133" t="s">
        <v>39</v>
      </c>
      <c r="I3991" s="133"/>
      <c r="J3991" s="133" t="s">
        <v>2532</v>
      </c>
      <c r="K3991" s="133" t="s">
        <v>831</v>
      </c>
      <c r="L3991" s="167"/>
      <c r="M3991" s="169"/>
    </row>
    <row r="3992" spans="1:13" x14ac:dyDescent="0.55000000000000004">
      <c r="A3992" s="133" t="s">
        <v>2533</v>
      </c>
      <c r="B3992" s="133" t="s">
        <v>3075</v>
      </c>
      <c r="C3992" s="133" t="s">
        <v>348</v>
      </c>
      <c r="D3992" s="133" t="s">
        <v>3289</v>
      </c>
      <c r="E3992" s="138">
        <v>1.4300000000000001E-4</v>
      </c>
      <c r="F3992" s="153" t="s">
        <v>133</v>
      </c>
      <c r="G3992" s="153">
        <v>1</v>
      </c>
      <c r="H3992" s="133" t="s">
        <v>39</v>
      </c>
      <c r="I3992" s="133"/>
      <c r="J3992" s="133" t="s">
        <v>2532</v>
      </c>
      <c r="K3992" s="133" t="s">
        <v>831</v>
      </c>
      <c r="L3992" s="167"/>
      <c r="M3992" s="169"/>
    </row>
    <row r="3993" spans="1:13" x14ac:dyDescent="0.55000000000000004">
      <c r="A3993" s="133" t="s">
        <v>2533</v>
      </c>
      <c r="B3993" s="133" t="s">
        <v>1180</v>
      </c>
      <c r="C3993" s="133" t="s">
        <v>127</v>
      </c>
      <c r="D3993" s="133" t="s">
        <v>2994</v>
      </c>
      <c r="E3993" s="138">
        <v>48.4</v>
      </c>
      <c r="F3993" s="153" t="s">
        <v>167</v>
      </c>
      <c r="G3993" s="153">
        <v>1</v>
      </c>
      <c r="H3993" s="133" t="s">
        <v>39</v>
      </c>
      <c r="I3993" s="133"/>
      <c r="J3993" s="133" t="s">
        <v>2532</v>
      </c>
      <c r="K3993" s="133" t="s">
        <v>831</v>
      </c>
      <c r="L3993" s="167"/>
      <c r="M3993" s="169"/>
    </row>
    <row r="3994" spans="1:13" x14ac:dyDescent="0.55000000000000004">
      <c r="A3994" s="133" t="s">
        <v>2533</v>
      </c>
      <c r="B3994" s="133" t="s">
        <v>2592</v>
      </c>
      <c r="C3994" s="133" t="s">
        <v>127</v>
      </c>
      <c r="D3994" s="133" t="s">
        <v>2994</v>
      </c>
      <c r="E3994" s="138">
        <v>1.5000000000000001E-2</v>
      </c>
      <c r="F3994" s="153" t="s">
        <v>130</v>
      </c>
      <c r="G3994" s="153">
        <v>1</v>
      </c>
      <c r="H3994" s="133" t="s">
        <v>39</v>
      </c>
      <c r="I3994" s="133"/>
      <c r="J3994" s="133" t="s">
        <v>2532</v>
      </c>
      <c r="K3994" s="133" t="s">
        <v>831</v>
      </c>
      <c r="L3994" s="167"/>
      <c r="M3994" s="169"/>
    </row>
    <row r="3995" spans="1:13" x14ac:dyDescent="0.55000000000000004">
      <c r="A3995" s="133" t="s">
        <v>2533</v>
      </c>
      <c r="B3995" s="133" t="s">
        <v>3076</v>
      </c>
      <c r="C3995" s="133" t="s">
        <v>348</v>
      </c>
      <c r="D3995" s="133" t="s">
        <v>3288</v>
      </c>
      <c r="E3995" s="138">
        <v>8.4900000000000004E-5</v>
      </c>
      <c r="F3995" s="153" t="s">
        <v>135</v>
      </c>
      <c r="G3995" s="153">
        <v>1</v>
      </c>
      <c r="H3995" s="133" t="s">
        <v>39</v>
      </c>
      <c r="I3995" s="133"/>
      <c r="J3995" s="133" t="s">
        <v>2532</v>
      </c>
      <c r="K3995" s="133" t="s">
        <v>831</v>
      </c>
      <c r="L3995" s="167"/>
      <c r="M3995" s="169"/>
    </row>
    <row r="3996" spans="1:13" x14ac:dyDescent="0.55000000000000004">
      <c r="A3996" s="133" t="s">
        <v>2533</v>
      </c>
      <c r="B3996" s="133" t="s">
        <v>3077</v>
      </c>
      <c r="C3996" s="133" t="s">
        <v>348</v>
      </c>
      <c r="D3996" s="133" t="s">
        <v>3288</v>
      </c>
      <c r="E3996" s="138">
        <v>0.16</v>
      </c>
      <c r="F3996" s="153" t="s">
        <v>135</v>
      </c>
      <c r="G3996" s="153">
        <v>1</v>
      </c>
      <c r="H3996" s="133" t="s">
        <v>39</v>
      </c>
      <c r="I3996" s="133"/>
      <c r="J3996" s="133" t="s">
        <v>2532</v>
      </c>
      <c r="K3996" s="133" t="s">
        <v>831</v>
      </c>
      <c r="L3996" s="167"/>
      <c r="M3996" s="169"/>
    </row>
    <row r="3997" spans="1:13" x14ac:dyDescent="0.55000000000000004">
      <c r="A3997" s="133" t="s">
        <v>2533</v>
      </c>
      <c r="B3997" s="133" t="s">
        <v>1089</v>
      </c>
      <c r="C3997" s="133" t="s">
        <v>127</v>
      </c>
      <c r="D3997" s="133" t="s">
        <v>2994</v>
      </c>
      <c r="E3997" s="138">
        <v>1.61</v>
      </c>
      <c r="F3997" s="153" t="s">
        <v>167</v>
      </c>
      <c r="G3997" s="153">
        <v>1</v>
      </c>
      <c r="H3997" s="133" t="s">
        <v>39</v>
      </c>
      <c r="I3997" s="133"/>
      <c r="J3997" s="133" t="s">
        <v>2532</v>
      </c>
      <c r="K3997" s="133" t="s">
        <v>831</v>
      </c>
      <c r="L3997" s="167"/>
      <c r="M3997" s="169"/>
    </row>
    <row r="3998" spans="1:13" x14ac:dyDescent="0.55000000000000004">
      <c r="A3998" s="133" t="s">
        <v>2533</v>
      </c>
      <c r="B3998" s="133" t="s">
        <v>3078</v>
      </c>
      <c r="C3998" s="133" t="s">
        <v>348</v>
      </c>
      <c r="D3998" s="133" t="s">
        <v>3288</v>
      </c>
      <c r="E3998" s="138">
        <v>2.3900000000000002E-3</v>
      </c>
      <c r="F3998" s="153" t="s">
        <v>135</v>
      </c>
      <c r="G3998" s="153">
        <v>1</v>
      </c>
      <c r="H3998" s="133" t="s">
        <v>39</v>
      </c>
      <c r="I3998" s="133"/>
      <c r="J3998" s="133" t="s">
        <v>2532</v>
      </c>
      <c r="K3998" s="133" t="s">
        <v>831</v>
      </c>
      <c r="L3998" s="167"/>
      <c r="M3998" s="169"/>
    </row>
    <row r="3999" spans="1:13" x14ac:dyDescent="0.55000000000000004">
      <c r="A3999" s="133" t="s">
        <v>2533</v>
      </c>
      <c r="B3999" s="133" t="s">
        <v>3079</v>
      </c>
      <c r="C3999" s="133" t="s">
        <v>348</v>
      </c>
      <c r="D3999" s="133" t="s">
        <v>3288</v>
      </c>
      <c r="E3999" s="138">
        <v>2.6899999999999998E-4</v>
      </c>
      <c r="F3999" s="153" t="s">
        <v>135</v>
      </c>
      <c r="G3999" s="153">
        <v>1</v>
      </c>
      <c r="H3999" s="133" t="s">
        <v>39</v>
      </c>
      <c r="I3999" s="133"/>
      <c r="J3999" s="133" t="s">
        <v>2532</v>
      </c>
      <c r="K3999" s="133" t="s">
        <v>831</v>
      </c>
      <c r="L3999" s="167"/>
      <c r="M3999" s="169"/>
    </row>
    <row r="4000" spans="1:13" x14ac:dyDescent="0.55000000000000004">
      <c r="A4000" s="133" t="s">
        <v>2533</v>
      </c>
      <c r="B4000" s="133" t="s">
        <v>3080</v>
      </c>
      <c r="C4000" s="133" t="s">
        <v>348</v>
      </c>
      <c r="D4000" s="133" t="s">
        <v>3288</v>
      </c>
      <c r="E4000" s="138">
        <v>2.2399999999999999E-7</v>
      </c>
      <c r="F4000" s="153" t="s">
        <v>135</v>
      </c>
      <c r="G4000" s="153">
        <v>1</v>
      </c>
      <c r="H4000" s="133" t="s">
        <v>39</v>
      </c>
      <c r="I4000" s="133"/>
      <c r="J4000" s="133" t="s">
        <v>2532</v>
      </c>
      <c r="K4000" s="133" t="s">
        <v>831</v>
      </c>
      <c r="L4000" s="167"/>
      <c r="M4000" s="169"/>
    </row>
    <row r="4001" spans="1:13" x14ac:dyDescent="0.55000000000000004">
      <c r="A4001" s="133" t="s">
        <v>2533</v>
      </c>
      <c r="B4001" s="133" t="s">
        <v>3081</v>
      </c>
      <c r="C4001" s="133" t="s">
        <v>348</v>
      </c>
      <c r="D4001" s="133" t="s">
        <v>3288</v>
      </c>
      <c r="E4001" s="138">
        <v>2.2399999999999999E-7</v>
      </c>
      <c r="F4001" s="153" t="s">
        <v>135</v>
      </c>
      <c r="G4001" s="153">
        <v>1</v>
      </c>
      <c r="H4001" s="133" t="s">
        <v>39</v>
      </c>
      <c r="I4001" s="133"/>
      <c r="J4001" s="133" t="s">
        <v>2532</v>
      </c>
      <c r="K4001" s="133" t="s">
        <v>831</v>
      </c>
      <c r="L4001" s="167"/>
      <c r="M4001" s="169"/>
    </row>
    <row r="4002" spans="1:13" x14ac:dyDescent="0.55000000000000004">
      <c r="A4002" s="133" t="s">
        <v>2533</v>
      </c>
      <c r="B4002" s="133" t="s">
        <v>3082</v>
      </c>
      <c r="C4002" s="133" t="s">
        <v>348</v>
      </c>
      <c r="D4002" s="133" t="s">
        <v>3288</v>
      </c>
      <c r="E4002" s="138">
        <v>8.7199999999999995E-6</v>
      </c>
      <c r="F4002" s="153" t="s">
        <v>135</v>
      </c>
      <c r="G4002" s="153">
        <v>1</v>
      </c>
      <c r="H4002" s="133" t="s">
        <v>39</v>
      </c>
      <c r="I4002" s="133"/>
      <c r="J4002" s="133" t="s">
        <v>2532</v>
      </c>
      <c r="K4002" s="133" t="s">
        <v>831</v>
      </c>
      <c r="L4002" s="167"/>
      <c r="M4002" s="169"/>
    </row>
    <row r="4003" spans="1:13" x14ac:dyDescent="0.55000000000000004">
      <c r="A4003" s="133" t="s">
        <v>2533</v>
      </c>
      <c r="B4003" s="133" t="s">
        <v>2829</v>
      </c>
      <c r="C4003" s="133" t="s">
        <v>348</v>
      </c>
      <c r="D4003" s="133" t="s">
        <v>3288</v>
      </c>
      <c r="E4003" s="138">
        <v>6.69E-5</v>
      </c>
      <c r="F4003" s="153" t="s">
        <v>135</v>
      </c>
      <c r="G4003" s="153">
        <v>1</v>
      </c>
      <c r="H4003" s="133" t="s">
        <v>39</v>
      </c>
      <c r="I4003" s="133"/>
      <c r="J4003" s="133" t="s">
        <v>2532</v>
      </c>
      <c r="K4003" s="133" t="s">
        <v>831</v>
      </c>
      <c r="L4003" s="167"/>
      <c r="M4003" s="169"/>
    </row>
    <row r="4004" spans="1:13" x14ac:dyDescent="0.55000000000000004">
      <c r="A4004" s="133" t="s">
        <v>2533</v>
      </c>
      <c r="B4004" s="133" t="s">
        <v>3083</v>
      </c>
      <c r="C4004" s="133" t="s">
        <v>348</v>
      </c>
      <c r="D4004" s="133" t="s">
        <v>3288</v>
      </c>
      <c r="E4004" s="138">
        <v>3.0400000000000001E-6</v>
      </c>
      <c r="F4004" s="153" t="s">
        <v>135</v>
      </c>
      <c r="G4004" s="153">
        <v>1</v>
      </c>
      <c r="H4004" s="133" t="s">
        <v>39</v>
      </c>
      <c r="I4004" s="133"/>
      <c r="J4004" s="133" t="s">
        <v>2532</v>
      </c>
      <c r="K4004" s="133" t="s">
        <v>831</v>
      </c>
      <c r="L4004" s="167"/>
      <c r="M4004" s="169"/>
    </row>
    <row r="4005" spans="1:13" x14ac:dyDescent="0.55000000000000004">
      <c r="A4005" s="133" t="s">
        <v>2533</v>
      </c>
      <c r="B4005" s="133" t="s">
        <v>3084</v>
      </c>
      <c r="C4005" s="133" t="s">
        <v>348</v>
      </c>
      <c r="D4005" s="133" t="s">
        <v>3288</v>
      </c>
      <c r="E4005" s="138">
        <v>8.9400000000000006E-8</v>
      </c>
      <c r="F4005" s="153" t="s">
        <v>135</v>
      </c>
      <c r="G4005" s="153">
        <v>1</v>
      </c>
      <c r="H4005" s="133" t="s">
        <v>39</v>
      </c>
      <c r="I4005" s="133"/>
      <c r="J4005" s="133" t="s">
        <v>2532</v>
      </c>
      <c r="K4005" s="133" t="s">
        <v>831</v>
      </c>
      <c r="L4005" s="167"/>
      <c r="M4005" s="169"/>
    </row>
    <row r="4006" spans="1:13" x14ac:dyDescent="0.55000000000000004">
      <c r="A4006" s="133" t="s">
        <v>2533</v>
      </c>
      <c r="B4006" s="133" t="s">
        <v>3085</v>
      </c>
      <c r="C4006" s="133" t="s">
        <v>348</v>
      </c>
      <c r="D4006" s="133" t="s">
        <v>3288</v>
      </c>
      <c r="E4006" s="138">
        <v>1.8600000000000001E-3</v>
      </c>
      <c r="F4006" s="153" t="s">
        <v>135</v>
      </c>
      <c r="G4006" s="153">
        <v>1</v>
      </c>
      <c r="H4006" s="133" t="s">
        <v>39</v>
      </c>
      <c r="I4006" s="133"/>
      <c r="J4006" s="133" t="s">
        <v>2532</v>
      </c>
      <c r="K4006" s="133" t="s">
        <v>831</v>
      </c>
      <c r="L4006" s="167"/>
      <c r="M4006" s="169"/>
    </row>
    <row r="4007" spans="1:13" x14ac:dyDescent="0.55000000000000004">
      <c r="A4007" s="133" t="s">
        <v>2533</v>
      </c>
      <c r="B4007" s="133" t="s">
        <v>3086</v>
      </c>
      <c r="C4007" s="133" t="s">
        <v>124</v>
      </c>
      <c r="D4007" s="133" t="s">
        <v>3288</v>
      </c>
      <c r="E4007" s="138">
        <v>1.340000838E-2</v>
      </c>
      <c r="F4007" s="153" t="s">
        <v>135</v>
      </c>
      <c r="G4007" s="153">
        <v>1</v>
      </c>
      <c r="H4007" s="133" t="s">
        <v>39</v>
      </c>
      <c r="I4007" s="133"/>
      <c r="J4007" s="133" t="s">
        <v>2532</v>
      </c>
      <c r="K4007" s="133" t="s">
        <v>831</v>
      </c>
      <c r="L4007" s="167"/>
      <c r="M4007" s="169"/>
    </row>
    <row r="4008" spans="1:13" x14ac:dyDescent="0.55000000000000004">
      <c r="A4008" s="133" t="s">
        <v>2533</v>
      </c>
      <c r="B4008" s="133" t="s">
        <v>3087</v>
      </c>
      <c r="C4008" s="133" t="s">
        <v>124</v>
      </c>
      <c r="D4008" s="133" t="s">
        <v>3288</v>
      </c>
      <c r="E4008" s="138">
        <v>6.1500000000000001E-17</v>
      </c>
      <c r="F4008" s="153" t="s">
        <v>135</v>
      </c>
      <c r="G4008" s="153">
        <v>1</v>
      </c>
      <c r="H4008" s="133" t="s">
        <v>39</v>
      </c>
      <c r="I4008" s="133"/>
      <c r="J4008" s="133" t="s">
        <v>2532</v>
      </c>
      <c r="K4008" s="133" t="s">
        <v>831</v>
      </c>
      <c r="L4008" s="167"/>
      <c r="M4008" s="169"/>
    </row>
    <row r="4009" spans="1:13" x14ac:dyDescent="0.55000000000000004">
      <c r="A4009" s="133" t="s">
        <v>2533</v>
      </c>
      <c r="B4009" s="133" t="s">
        <v>3088</v>
      </c>
      <c r="C4009" s="133" t="s">
        <v>124</v>
      </c>
      <c r="D4009" s="133" t="s">
        <v>3288</v>
      </c>
      <c r="E4009" s="138">
        <v>5.8601159999999998E-9</v>
      </c>
      <c r="F4009" s="153" t="s">
        <v>135</v>
      </c>
      <c r="G4009" s="153">
        <v>1</v>
      </c>
      <c r="H4009" s="133" t="s">
        <v>39</v>
      </c>
      <c r="I4009" s="133"/>
      <c r="J4009" s="133" t="s">
        <v>2532</v>
      </c>
      <c r="K4009" s="133" t="s">
        <v>831</v>
      </c>
      <c r="L4009" s="167"/>
      <c r="M4009" s="169"/>
    </row>
    <row r="4010" spans="1:13" x14ac:dyDescent="0.55000000000000004">
      <c r="A4010" s="133" t="s">
        <v>2533</v>
      </c>
      <c r="B4010" s="133" t="s">
        <v>3089</v>
      </c>
      <c r="C4010" s="133" t="s">
        <v>124</v>
      </c>
      <c r="D4010" s="133" t="s">
        <v>3288</v>
      </c>
      <c r="E4010" s="138">
        <v>4.3642899999999997E-7</v>
      </c>
      <c r="F4010" s="153" t="s">
        <v>135</v>
      </c>
      <c r="G4010" s="153">
        <v>1</v>
      </c>
      <c r="H4010" s="133" t="s">
        <v>39</v>
      </c>
      <c r="I4010" s="133"/>
      <c r="J4010" s="133" t="s">
        <v>2532</v>
      </c>
      <c r="K4010" s="133" t="s">
        <v>831</v>
      </c>
      <c r="L4010" s="167"/>
      <c r="M4010" s="169"/>
    </row>
    <row r="4011" spans="1:13" x14ac:dyDescent="0.55000000000000004">
      <c r="A4011" s="133" t="s">
        <v>2533</v>
      </c>
      <c r="B4011" s="133" t="s">
        <v>3090</v>
      </c>
      <c r="C4011" s="133" t="s">
        <v>124</v>
      </c>
      <c r="D4011" s="133" t="s">
        <v>3288</v>
      </c>
      <c r="E4011" s="138">
        <v>3.77E-8</v>
      </c>
      <c r="F4011" s="153" t="s">
        <v>135</v>
      </c>
      <c r="G4011" s="153">
        <v>1</v>
      </c>
      <c r="H4011" s="133" t="s">
        <v>39</v>
      </c>
      <c r="I4011" s="133"/>
      <c r="J4011" s="133" t="s">
        <v>2532</v>
      </c>
      <c r="K4011" s="133" t="s">
        <v>831</v>
      </c>
      <c r="L4011" s="167"/>
      <c r="M4011" s="169"/>
    </row>
    <row r="4012" spans="1:13" x14ac:dyDescent="0.55000000000000004">
      <c r="A4012" s="133" t="s">
        <v>2533</v>
      </c>
      <c r="B4012" s="133" t="s">
        <v>1091</v>
      </c>
      <c r="C4012" s="133" t="s">
        <v>124</v>
      </c>
      <c r="D4012" s="133" t="s">
        <v>2994</v>
      </c>
      <c r="E4012" s="138">
        <v>6.0203579999999997E-7</v>
      </c>
      <c r="F4012" s="153" t="s">
        <v>167</v>
      </c>
      <c r="G4012" s="153">
        <v>1</v>
      </c>
      <c r="H4012" s="133" t="s">
        <v>39</v>
      </c>
      <c r="I4012" s="133"/>
      <c r="J4012" s="133" t="s">
        <v>2532</v>
      </c>
      <c r="K4012" s="133" t="s">
        <v>831</v>
      </c>
      <c r="L4012" s="167"/>
      <c r="M4012" s="169"/>
    </row>
    <row r="4013" spans="1:13" x14ac:dyDescent="0.55000000000000004">
      <c r="A4013" s="133" t="s">
        <v>2533</v>
      </c>
      <c r="B4013" s="133" t="s">
        <v>3091</v>
      </c>
      <c r="C4013" s="133" t="s">
        <v>124</v>
      </c>
      <c r="D4013" s="133" t="s">
        <v>3288</v>
      </c>
      <c r="E4013" s="138">
        <v>0.182000298</v>
      </c>
      <c r="F4013" s="153" t="s">
        <v>135</v>
      </c>
      <c r="G4013" s="153">
        <v>1</v>
      </c>
      <c r="H4013" s="133" t="s">
        <v>39</v>
      </c>
      <c r="I4013" s="133"/>
      <c r="J4013" s="133" t="s">
        <v>2532</v>
      </c>
      <c r="K4013" s="133" t="s">
        <v>831</v>
      </c>
      <c r="L4013" s="167"/>
      <c r="M4013" s="169"/>
    </row>
    <row r="4014" spans="1:13" x14ac:dyDescent="0.55000000000000004">
      <c r="A4014" s="133" t="s">
        <v>2533</v>
      </c>
      <c r="B4014" s="133" t="s">
        <v>3092</v>
      </c>
      <c r="C4014" s="133" t="s">
        <v>124</v>
      </c>
      <c r="D4014" s="133" t="s">
        <v>3288</v>
      </c>
      <c r="E4014" s="138">
        <v>5.7299999999999996E-7</v>
      </c>
      <c r="F4014" s="153" t="s">
        <v>135</v>
      </c>
      <c r="G4014" s="153">
        <v>1</v>
      </c>
      <c r="H4014" s="133" t="s">
        <v>39</v>
      </c>
      <c r="I4014" s="133"/>
      <c r="J4014" s="133" t="s">
        <v>2532</v>
      </c>
      <c r="K4014" s="133" t="s">
        <v>831</v>
      </c>
      <c r="L4014" s="167"/>
      <c r="M4014" s="169"/>
    </row>
    <row r="4015" spans="1:13" x14ac:dyDescent="0.55000000000000004">
      <c r="A4015" s="133" t="s">
        <v>2533</v>
      </c>
      <c r="B4015" s="133" t="s">
        <v>3093</v>
      </c>
      <c r="C4015" s="133" t="s">
        <v>124</v>
      </c>
      <c r="D4015" s="133" t="s">
        <v>3288</v>
      </c>
      <c r="E4015" s="138">
        <v>3.4899999999999997E-11</v>
      </c>
      <c r="F4015" s="153" t="s">
        <v>135</v>
      </c>
      <c r="G4015" s="153">
        <v>1</v>
      </c>
      <c r="H4015" s="133" t="s">
        <v>39</v>
      </c>
      <c r="I4015" s="133"/>
      <c r="J4015" s="133" t="s">
        <v>2532</v>
      </c>
      <c r="K4015" s="133" t="s">
        <v>831</v>
      </c>
      <c r="L4015" s="167"/>
      <c r="M4015" s="169"/>
    </row>
    <row r="4016" spans="1:13" x14ac:dyDescent="0.55000000000000004">
      <c r="A4016" s="133" t="s">
        <v>2533</v>
      </c>
      <c r="B4016" s="133" t="s">
        <v>3094</v>
      </c>
      <c r="C4016" s="133" t="s">
        <v>124</v>
      </c>
      <c r="D4016" s="133" t="s">
        <v>3288</v>
      </c>
      <c r="E4016" s="138">
        <v>3.0500000000000001E-12</v>
      </c>
      <c r="F4016" s="153" t="s">
        <v>135</v>
      </c>
      <c r="G4016" s="153">
        <v>1</v>
      </c>
      <c r="H4016" s="133" t="s">
        <v>39</v>
      </c>
      <c r="I4016" s="133"/>
      <c r="J4016" s="133" t="s">
        <v>2532</v>
      </c>
      <c r="K4016" s="133" t="s">
        <v>831</v>
      </c>
      <c r="L4016" s="167"/>
      <c r="M4016" s="169"/>
    </row>
    <row r="4017" spans="1:13" x14ac:dyDescent="0.55000000000000004">
      <c r="A4017" s="133" t="s">
        <v>2533</v>
      </c>
      <c r="B4017" s="133" t="s">
        <v>3095</v>
      </c>
      <c r="C4017" s="133" t="s">
        <v>124</v>
      </c>
      <c r="D4017" s="133" t="s">
        <v>3288</v>
      </c>
      <c r="E4017" s="138">
        <v>6.3500000000000006E-8</v>
      </c>
      <c r="F4017" s="153" t="s">
        <v>135</v>
      </c>
      <c r="G4017" s="153">
        <v>1</v>
      </c>
      <c r="H4017" s="133" t="s">
        <v>39</v>
      </c>
      <c r="I4017" s="133"/>
      <c r="J4017" s="133" t="s">
        <v>2532</v>
      </c>
      <c r="K4017" s="133" t="s">
        <v>831</v>
      </c>
      <c r="L4017" s="167"/>
      <c r="M4017" s="169"/>
    </row>
    <row r="4018" spans="1:13" x14ac:dyDescent="0.55000000000000004">
      <c r="A4018" s="133" t="s">
        <v>2533</v>
      </c>
      <c r="B4018" s="133" t="s">
        <v>2955</v>
      </c>
      <c r="C4018" s="133" t="s">
        <v>124</v>
      </c>
      <c r="D4018" s="133" t="s">
        <v>3288</v>
      </c>
      <c r="E4018" s="138">
        <v>1.7300071099999999E-6</v>
      </c>
      <c r="F4018" s="153" t="s">
        <v>135</v>
      </c>
      <c r="G4018" s="153">
        <v>1</v>
      </c>
      <c r="H4018" s="133" t="s">
        <v>39</v>
      </c>
      <c r="I4018" s="133"/>
      <c r="J4018" s="133" t="s">
        <v>2532</v>
      </c>
      <c r="K4018" s="133" t="s">
        <v>831</v>
      </c>
      <c r="L4018" s="167"/>
      <c r="M4018" s="169"/>
    </row>
    <row r="4019" spans="1:13" x14ac:dyDescent="0.55000000000000004">
      <c r="A4019" s="133" t="s">
        <v>2533</v>
      </c>
      <c r="B4019" s="133" t="s">
        <v>3096</v>
      </c>
      <c r="C4019" s="133" t="s">
        <v>124</v>
      </c>
      <c r="D4019" s="133" t="s">
        <v>3288</v>
      </c>
      <c r="E4019" s="138">
        <v>1.5900000000000001E-7</v>
      </c>
      <c r="F4019" s="153" t="s">
        <v>135</v>
      </c>
      <c r="G4019" s="153">
        <v>1</v>
      </c>
      <c r="H4019" s="133" t="s">
        <v>39</v>
      </c>
      <c r="I4019" s="133"/>
      <c r="J4019" s="133" t="s">
        <v>2532</v>
      </c>
      <c r="K4019" s="133" t="s">
        <v>831</v>
      </c>
      <c r="L4019" s="167"/>
      <c r="M4019" s="169"/>
    </row>
    <row r="4020" spans="1:13" x14ac:dyDescent="0.55000000000000004">
      <c r="A4020" s="133" t="s">
        <v>2533</v>
      </c>
      <c r="B4020" s="133" t="s">
        <v>1092</v>
      </c>
      <c r="C4020" s="133" t="s">
        <v>124</v>
      </c>
      <c r="D4020" s="133" t="s">
        <v>3288</v>
      </c>
      <c r="E4020" s="138">
        <v>3.8600002700000007E-6</v>
      </c>
      <c r="F4020" s="153" t="s">
        <v>135</v>
      </c>
      <c r="G4020" s="153">
        <v>1</v>
      </c>
      <c r="H4020" s="133" t="s">
        <v>39</v>
      </c>
      <c r="I4020" s="133"/>
      <c r="J4020" s="133" t="s">
        <v>2532</v>
      </c>
      <c r="K4020" s="133" t="s">
        <v>831</v>
      </c>
      <c r="L4020" s="167"/>
      <c r="M4020" s="169"/>
    </row>
    <row r="4021" spans="1:13" x14ac:dyDescent="0.55000000000000004">
      <c r="A4021" s="133" t="s">
        <v>2533</v>
      </c>
      <c r="B4021" s="133" t="s">
        <v>3097</v>
      </c>
      <c r="C4021" s="133" t="s">
        <v>124</v>
      </c>
      <c r="D4021" s="133" t="s">
        <v>3288</v>
      </c>
      <c r="E4021" s="138">
        <v>1.4600000000000001E-7</v>
      </c>
      <c r="F4021" s="153" t="s">
        <v>135</v>
      </c>
      <c r="G4021" s="153">
        <v>1</v>
      </c>
      <c r="H4021" s="133" t="s">
        <v>39</v>
      </c>
      <c r="I4021" s="133"/>
      <c r="J4021" s="133" t="s">
        <v>2532</v>
      </c>
      <c r="K4021" s="133" t="s">
        <v>831</v>
      </c>
      <c r="L4021" s="167"/>
      <c r="M4021" s="169"/>
    </row>
    <row r="4022" spans="1:13" x14ac:dyDescent="0.55000000000000004">
      <c r="A4022" s="133" t="s">
        <v>2533</v>
      </c>
      <c r="B4022" s="133" t="s">
        <v>3098</v>
      </c>
      <c r="C4022" s="133" t="s">
        <v>124</v>
      </c>
      <c r="D4022" s="133" t="s">
        <v>2994</v>
      </c>
      <c r="E4022" s="138">
        <v>3.3500000000000001E-3</v>
      </c>
      <c r="F4022" s="153" t="s">
        <v>167</v>
      </c>
      <c r="G4022" s="153">
        <v>1</v>
      </c>
      <c r="H4022" s="133" t="s">
        <v>39</v>
      </c>
      <c r="I4022" s="133"/>
      <c r="J4022" s="133" t="s">
        <v>2532</v>
      </c>
      <c r="K4022" s="133" t="s">
        <v>831</v>
      </c>
      <c r="L4022" s="167"/>
      <c r="M4022" s="169"/>
    </row>
    <row r="4023" spans="1:13" x14ac:dyDescent="0.55000000000000004">
      <c r="A4023" s="133" t="s">
        <v>2533</v>
      </c>
      <c r="B4023" s="133" t="s">
        <v>3099</v>
      </c>
      <c r="C4023" s="133" t="s">
        <v>124</v>
      </c>
      <c r="D4023" s="133" t="s">
        <v>3288</v>
      </c>
      <c r="E4023" s="138">
        <v>3.5199999999999999E-4</v>
      </c>
      <c r="F4023" s="153" t="s">
        <v>135</v>
      </c>
      <c r="G4023" s="153">
        <v>1</v>
      </c>
      <c r="H4023" s="133" t="s">
        <v>39</v>
      </c>
      <c r="I4023" s="133"/>
      <c r="J4023" s="133" t="s">
        <v>2532</v>
      </c>
      <c r="K4023" s="133" t="s">
        <v>831</v>
      </c>
      <c r="L4023" s="167"/>
      <c r="M4023" s="169"/>
    </row>
    <row r="4024" spans="1:13" x14ac:dyDescent="0.55000000000000004">
      <c r="A4024" s="133" t="s">
        <v>2533</v>
      </c>
      <c r="B4024" s="133" t="s">
        <v>3100</v>
      </c>
      <c r="C4024" s="133" t="s">
        <v>124</v>
      </c>
      <c r="D4024" s="133" t="s">
        <v>3288</v>
      </c>
      <c r="E4024" s="138">
        <v>1.0000001729999999E-2</v>
      </c>
      <c r="F4024" s="153" t="s">
        <v>135</v>
      </c>
      <c r="G4024" s="153">
        <v>1</v>
      </c>
      <c r="H4024" s="133" t="s">
        <v>39</v>
      </c>
      <c r="I4024" s="133"/>
      <c r="J4024" s="133" t="s">
        <v>2532</v>
      </c>
      <c r="K4024" s="133" t="s">
        <v>831</v>
      </c>
      <c r="L4024" s="167"/>
      <c r="M4024" s="169"/>
    </row>
    <row r="4025" spans="1:13" x14ac:dyDescent="0.55000000000000004">
      <c r="A4025" s="133" t="s">
        <v>2533</v>
      </c>
      <c r="B4025" s="133" t="s">
        <v>1095</v>
      </c>
      <c r="C4025" s="133" t="s">
        <v>124</v>
      </c>
      <c r="D4025" s="133" t="s">
        <v>3288</v>
      </c>
      <c r="E4025" s="138">
        <v>2.940000288E-5</v>
      </c>
      <c r="F4025" s="153" t="s">
        <v>135</v>
      </c>
      <c r="G4025" s="153">
        <v>1</v>
      </c>
      <c r="H4025" s="133" t="s">
        <v>39</v>
      </c>
      <c r="I4025" s="133"/>
      <c r="J4025" s="133" t="s">
        <v>2532</v>
      </c>
      <c r="K4025" s="133" t="s">
        <v>831</v>
      </c>
      <c r="L4025" s="167"/>
      <c r="M4025" s="169"/>
    </row>
    <row r="4026" spans="1:13" x14ac:dyDescent="0.55000000000000004">
      <c r="A4026" s="133" t="s">
        <v>2533</v>
      </c>
      <c r="B4026" s="133" t="s">
        <v>3101</v>
      </c>
      <c r="C4026" s="133" t="s">
        <v>124</v>
      </c>
      <c r="D4026" s="133" t="s">
        <v>3288</v>
      </c>
      <c r="E4026" s="138">
        <v>1.7900281999999999E-4</v>
      </c>
      <c r="F4026" s="153" t="s">
        <v>135</v>
      </c>
      <c r="G4026" s="153">
        <v>1</v>
      </c>
      <c r="H4026" s="133" t="s">
        <v>39</v>
      </c>
      <c r="I4026" s="133"/>
      <c r="J4026" s="133" t="s">
        <v>2532</v>
      </c>
      <c r="K4026" s="133" t="s">
        <v>831</v>
      </c>
      <c r="L4026" s="167"/>
      <c r="M4026" s="169"/>
    </row>
    <row r="4027" spans="1:13" x14ac:dyDescent="0.55000000000000004">
      <c r="A4027" s="133" t="s">
        <v>2533</v>
      </c>
      <c r="B4027" s="133" t="s">
        <v>1096</v>
      </c>
      <c r="C4027" s="133" t="s">
        <v>124</v>
      </c>
      <c r="D4027" s="133" t="s">
        <v>3288</v>
      </c>
      <c r="E4027" s="138">
        <v>1.70235E-8</v>
      </c>
      <c r="F4027" s="153" t="s">
        <v>135</v>
      </c>
      <c r="G4027" s="153">
        <v>1</v>
      </c>
      <c r="H4027" s="133" t="s">
        <v>39</v>
      </c>
      <c r="I4027" s="133"/>
      <c r="J4027" s="133" t="s">
        <v>2532</v>
      </c>
      <c r="K4027" s="133" t="s">
        <v>831</v>
      </c>
      <c r="L4027" s="167"/>
      <c r="M4027" s="169"/>
    </row>
    <row r="4028" spans="1:13" x14ac:dyDescent="0.55000000000000004">
      <c r="A4028" s="133" t="s">
        <v>2533</v>
      </c>
      <c r="B4028" s="133" t="s">
        <v>3102</v>
      </c>
      <c r="C4028" s="133" t="s">
        <v>124</v>
      </c>
      <c r="D4028" s="133" t="s">
        <v>3288</v>
      </c>
      <c r="E4028" s="138">
        <v>7.4299999999999997E-8</v>
      </c>
      <c r="F4028" s="153" t="s">
        <v>135</v>
      </c>
      <c r="G4028" s="153">
        <v>1</v>
      </c>
      <c r="H4028" s="133" t="s">
        <v>39</v>
      </c>
      <c r="I4028" s="133"/>
      <c r="J4028" s="133" t="s">
        <v>2532</v>
      </c>
      <c r="K4028" s="133" t="s">
        <v>831</v>
      </c>
      <c r="L4028" s="167"/>
      <c r="M4028" s="169"/>
    </row>
    <row r="4029" spans="1:13" x14ac:dyDescent="0.55000000000000004">
      <c r="A4029" s="133" t="s">
        <v>2533</v>
      </c>
      <c r="B4029" s="133" t="s">
        <v>2958</v>
      </c>
      <c r="C4029" s="133" t="s">
        <v>124</v>
      </c>
      <c r="D4029" s="133" t="s">
        <v>3288</v>
      </c>
      <c r="E4029" s="138">
        <v>1.6400011999999998E-5</v>
      </c>
      <c r="F4029" s="153" t="s">
        <v>135</v>
      </c>
      <c r="G4029" s="153">
        <v>1</v>
      </c>
      <c r="H4029" s="133" t="s">
        <v>39</v>
      </c>
      <c r="I4029" s="133"/>
      <c r="J4029" s="133" t="s">
        <v>2532</v>
      </c>
      <c r="K4029" s="133" t="s">
        <v>831</v>
      </c>
      <c r="L4029" s="167"/>
      <c r="M4029" s="169"/>
    </row>
    <row r="4030" spans="1:13" x14ac:dyDescent="0.55000000000000004">
      <c r="A4030" s="133" t="s">
        <v>2533</v>
      </c>
      <c r="B4030" s="133" t="s">
        <v>3103</v>
      </c>
      <c r="C4030" s="133" t="s">
        <v>124</v>
      </c>
      <c r="D4030" s="133" t="s">
        <v>3288</v>
      </c>
      <c r="E4030" s="138">
        <v>6.4600000000000003E-18</v>
      </c>
      <c r="F4030" s="153" t="s">
        <v>135</v>
      </c>
      <c r="G4030" s="153">
        <v>1</v>
      </c>
      <c r="H4030" s="133" t="s">
        <v>39</v>
      </c>
      <c r="I4030" s="133"/>
      <c r="J4030" s="133" t="s">
        <v>2532</v>
      </c>
      <c r="K4030" s="133" t="s">
        <v>831</v>
      </c>
      <c r="L4030" s="167"/>
      <c r="M4030" s="169"/>
    </row>
    <row r="4031" spans="1:13" x14ac:dyDescent="0.55000000000000004">
      <c r="A4031" s="133" t="s">
        <v>2533</v>
      </c>
      <c r="B4031" s="133" t="s">
        <v>3104</v>
      </c>
      <c r="C4031" s="133" t="s">
        <v>124</v>
      </c>
      <c r="D4031" s="133" t="s">
        <v>3288</v>
      </c>
      <c r="E4031" s="138">
        <v>3.3399999999999999E-18</v>
      </c>
      <c r="F4031" s="153" t="s">
        <v>135</v>
      </c>
      <c r="G4031" s="153">
        <v>1</v>
      </c>
      <c r="H4031" s="133" t="s">
        <v>39</v>
      </c>
      <c r="I4031" s="133"/>
      <c r="J4031" s="133" t="s">
        <v>2532</v>
      </c>
      <c r="K4031" s="133" t="s">
        <v>831</v>
      </c>
      <c r="L4031" s="167"/>
      <c r="M4031" s="169"/>
    </row>
    <row r="4032" spans="1:13" x14ac:dyDescent="0.55000000000000004">
      <c r="A4032" s="133" t="s">
        <v>2533</v>
      </c>
      <c r="B4032" s="133" t="s">
        <v>3105</v>
      </c>
      <c r="C4032" s="133" t="s">
        <v>124</v>
      </c>
      <c r="D4032" s="133" t="s">
        <v>3288</v>
      </c>
      <c r="E4032" s="138">
        <v>9.9999999999999998E-17</v>
      </c>
      <c r="F4032" s="153" t="s">
        <v>135</v>
      </c>
      <c r="G4032" s="153">
        <v>1</v>
      </c>
      <c r="H4032" s="133" t="s">
        <v>39</v>
      </c>
      <c r="I4032" s="133"/>
      <c r="J4032" s="133" t="s">
        <v>2532</v>
      </c>
      <c r="K4032" s="133" t="s">
        <v>831</v>
      </c>
      <c r="L4032" s="167"/>
      <c r="M4032" s="169"/>
    </row>
    <row r="4033" spans="1:13" x14ac:dyDescent="0.55000000000000004">
      <c r="A4033" s="133" t="s">
        <v>2533</v>
      </c>
      <c r="B4033" s="133" t="s">
        <v>891</v>
      </c>
      <c r="C4033" s="133" t="s">
        <v>124</v>
      </c>
      <c r="D4033" s="133" t="s">
        <v>3288</v>
      </c>
      <c r="E4033" s="138">
        <v>8.2800000000000001E-11</v>
      </c>
      <c r="F4033" s="153" t="s">
        <v>135</v>
      </c>
      <c r="G4033" s="153">
        <v>1</v>
      </c>
      <c r="H4033" s="133" t="s">
        <v>39</v>
      </c>
      <c r="I4033" s="133"/>
      <c r="J4033" s="133" t="s">
        <v>2532</v>
      </c>
      <c r="K4033" s="133" t="s">
        <v>831</v>
      </c>
      <c r="L4033" s="167"/>
      <c r="M4033" s="169"/>
    </row>
    <row r="4034" spans="1:13" x14ac:dyDescent="0.55000000000000004">
      <c r="A4034" s="133" t="s">
        <v>2533</v>
      </c>
      <c r="B4034" s="133" t="s">
        <v>3106</v>
      </c>
      <c r="C4034" s="133" t="s">
        <v>124</v>
      </c>
      <c r="D4034" s="133" t="s">
        <v>3288</v>
      </c>
      <c r="E4034" s="138">
        <v>6.6100000000000001E-13</v>
      </c>
      <c r="F4034" s="153" t="s">
        <v>135</v>
      </c>
      <c r="G4034" s="153">
        <v>1</v>
      </c>
      <c r="H4034" s="133" t="s">
        <v>39</v>
      </c>
      <c r="I4034" s="133"/>
      <c r="J4034" s="133" t="s">
        <v>2532</v>
      </c>
      <c r="K4034" s="133" t="s">
        <v>831</v>
      </c>
      <c r="L4034" s="167"/>
      <c r="M4034" s="169"/>
    </row>
    <row r="4035" spans="1:13" x14ac:dyDescent="0.55000000000000004">
      <c r="A4035" s="133" t="s">
        <v>2533</v>
      </c>
      <c r="B4035" s="133" t="s">
        <v>1097</v>
      </c>
      <c r="C4035" s="133" t="s">
        <v>124</v>
      </c>
      <c r="D4035" s="133" t="s">
        <v>3288</v>
      </c>
      <c r="E4035" s="138">
        <v>1.1700000000000001E-11</v>
      </c>
      <c r="F4035" s="153" t="s">
        <v>135</v>
      </c>
      <c r="G4035" s="153">
        <v>1</v>
      </c>
      <c r="H4035" s="133" t="s">
        <v>39</v>
      </c>
      <c r="I4035" s="133"/>
      <c r="J4035" s="133" t="s">
        <v>2532</v>
      </c>
      <c r="K4035" s="133" t="s">
        <v>831</v>
      </c>
      <c r="L4035" s="167"/>
      <c r="M4035" s="169"/>
    </row>
    <row r="4036" spans="1:13" x14ac:dyDescent="0.55000000000000004">
      <c r="A4036" s="133" t="s">
        <v>2533</v>
      </c>
      <c r="B4036" s="133" t="s">
        <v>3108</v>
      </c>
      <c r="C4036" s="133" t="s">
        <v>124</v>
      </c>
      <c r="D4036" s="133" t="s">
        <v>3288</v>
      </c>
      <c r="E4036" s="138">
        <v>4.7700000000000001E-5</v>
      </c>
      <c r="F4036" s="153" t="s">
        <v>135</v>
      </c>
      <c r="G4036" s="153">
        <v>1</v>
      </c>
      <c r="H4036" s="133" t="s">
        <v>39</v>
      </c>
      <c r="I4036" s="133"/>
      <c r="J4036" s="133" t="s">
        <v>2532</v>
      </c>
      <c r="K4036" s="133" t="s">
        <v>831</v>
      </c>
      <c r="L4036" s="167"/>
      <c r="M4036" s="169"/>
    </row>
    <row r="4037" spans="1:13" x14ac:dyDescent="0.55000000000000004">
      <c r="A4037" s="133" t="s">
        <v>2533</v>
      </c>
      <c r="B4037" s="133" t="s">
        <v>3109</v>
      </c>
      <c r="C4037" s="133" t="s">
        <v>124</v>
      </c>
      <c r="D4037" s="133" t="s">
        <v>3288</v>
      </c>
      <c r="E4037" s="138">
        <v>5.3302400000000011E-4</v>
      </c>
      <c r="F4037" s="153" t="s">
        <v>135</v>
      </c>
      <c r="G4037" s="153">
        <v>1</v>
      </c>
      <c r="H4037" s="133" t="s">
        <v>39</v>
      </c>
      <c r="I4037" s="133"/>
      <c r="J4037" s="133" t="s">
        <v>2532</v>
      </c>
      <c r="K4037" s="133" t="s">
        <v>831</v>
      </c>
      <c r="L4037" s="167"/>
      <c r="M4037" s="169"/>
    </row>
    <row r="4038" spans="1:13" x14ac:dyDescent="0.55000000000000004">
      <c r="A4038" s="133" t="s">
        <v>2533</v>
      </c>
      <c r="B4038" s="133" t="s">
        <v>2610</v>
      </c>
      <c r="C4038" s="133" t="s">
        <v>124</v>
      </c>
      <c r="D4038" s="133" t="s">
        <v>3288</v>
      </c>
      <c r="E4038" s="138">
        <v>3.2602130000000001E-3</v>
      </c>
      <c r="F4038" s="153" t="s">
        <v>135</v>
      </c>
      <c r="G4038" s="153">
        <v>1</v>
      </c>
      <c r="H4038" s="133" t="s">
        <v>39</v>
      </c>
      <c r="I4038" s="133"/>
      <c r="J4038" s="133" t="s">
        <v>2532</v>
      </c>
      <c r="K4038" s="133" t="s">
        <v>831</v>
      </c>
      <c r="L4038" s="167"/>
      <c r="M4038" s="169"/>
    </row>
    <row r="4039" spans="1:13" x14ac:dyDescent="0.55000000000000004">
      <c r="A4039" s="133" t="s">
        <v>2533</v>
      </c>
      <c r="B4039" s="133" t="s">
        <v>2944</v>
      </c>
      <c r="C4039" s="133" t="s">
        <v>124</v>
      </c>
      <c r="D4039" s="133" t="s">
        <v>3288</v>
      </c>
      <c r="E4039" s="138">
        <v>1.35E-2</v>
      </c>
      <c r="F4039" s="153" t="s">
        <v>135</v>
      </c>
      <c r="G4039" s="153">
        <v>1</v>
      </c>
      <c r="H4039" s="133" t="s">
        <v>39</v>
      </c>
      <c r="I4039" s="133"/>
      <c r="J4039" s="133" t="s">
        <v>2532</v>
      </c>
      <c r="K4039" s="133" t="s">
        <v>831</v>
      </c>
      <c r="L4039" s="167"/>
      <c r="M4039" s="169"/>
    </row>
    <row r="4040" spans="1:13" x14ac:dyDescent="0.55000000000000004">
      <c r="A4040" s="133" t="s">
        <v>2533</v>
      </c>
      <c r="B4040" s="133" t="s">
        <v>1172</v>
      </c>
      <c r="C4040" s="133" t="s">
        <v>124</v>
      </c>
      <c r="D4040" s="133" t="s">
        <v>3288</v>
      </c>
      <c r="E4040" s="138">
        <v>3.2199999999999997E-5</v>
      </c>
      <c r="F4040" s="153" t="s">
        <v>135</v>
      </c>
      <c r="G4040" s="153">
        <v>1</v>
      </c>
      <c r="H4040" s="133" t="s">
        <v>39</v>
      </c>
      <c r="I4040" s="133"/>
      <c r="J4040" s="133" t="s">
        <v>2532</v>
      </c>
      <c r="K4040" s="133" t="s">
        <v>831</v>
      </c>
      <c r="L4040" s="167"/>
      <c r="M4040" s="169"/>
    </row>
    <row r="4041" spans="1:13" x14ac:dyDescent="0.55000000000000004">
      <c r="A4041" s="133" t="s">
        <v>2533</v>
      </c>
      <c r="B4041" s="133" t="s">
        <v>3110</v>
      </c>
      <c r="C4041" s="133" t="s">
        <v>124</v>
      </c>
      <c r="D4041" s="133" t="s">
        <v>3288</v>
      </c>
      <c r="E4041" s="138">
        <v>1.9200014E-7</v>
      </c>
      <c r="F4041" s="153" t="s">
        <v>135</v>
      </c>
      <c r="G4041" s="153">
        <v>1</v>
      </c>
      <c r="H4041" s="133" t="s">
        <v>39</v>
      </c>
      <c r="I4041" s="133"/>
      <c r="J4041" s="133" t="s">
        <v>2532</v>
      </c>
      <c r="K4041" s="133" t="s">
        <v>831</v>
      </c>
      <c r="L4041" s="167"/>
      <c r="M4041" s="169"/>
    </row>
    <row r="4042" spans="1:13" x14ac:dyDescent="0.55000000000000004">
      <c r="A4042" s="133" t="s">
        <v>2533</v>
      </c>
      <c r="B4042" s="133" t="s">
        <v>3111</v>
      </c>
      <c r="C4042" s="133" t="s">
        <v>124</v>
      </c>
      <c r="D4042" s="133" t="s">
        <v>3288</v>
      </c>
      <c r="E4042" s="138">
        <v>1.3300000979E-6</v>
      </c>
      <c r="F4042" s="153" t="s">
        <v>135</v>
      </c>
      <c r="G4042" s="153">
        <v>1</v>
      </c>
      <c r="H4042" s="133" t="s">
        <v>39</v>
      </c>
      <c r="I4042" s="133"/>
      <c r="J4042" s="133" t="s">
        <v>2532</v>
      </c>
      <c r="K4042" s="133" t="s">
        <v>831</v>
      </c>
      <c r="L4042" s="167"/>
      <c r="M4042" s="169"/>
    </row>
    <row r="4043" spans="1:13" x14ac:dyDescent="0.55000000000000004">
      <c r="A4043" s="133" t="s">
        <v>2533</v>
      </c>
      <c r="B4043" s="133" t="s">
        <v>3112</v>
      </c>
      <c r="C4043" s="133" t="s">
        <v>124</v>
      </c>
      <c r="D4043" s="133" t="s">
        <v>3288</v>
      </c>
      <c r="E4043" s="138">
        <v>1.4600000000000001E-7</v>
      </c>
      <c r="F4043" s="153" t="s">
        <v>135</v>
      </c>
      <c r="G4043" s="153">
        <v>1</v>
      </c>
      <c r="H4043" s="133" t="s">
        <v>39</v>
      </c>
      <c r="I4043" s="133"/>
      <c r="J4043" s="133" t="s">
        <v>2532</v>
      </c>
      <c r="K4043" s="133" t="s">
        <v>831</v>
      </c>
      <c r="L4043" s="167"/>
      <c r="M4043" s="169"/>
    </row>
    <row r="4044" spans="1:13" x14ac:dyDescent="0.55000000000000004">
      <c r="A4044" s="133" t="s">
        <v>2533</v>
      </c>
      <c r="B4044" s="133" t="s">
        <v>3113</v>
      </c>
      <c r="C4044" s="133" t="s">
        <v>124</v>
      </c>
      <c r="D4044" s="133" t="s">
        <v>3288</v>
      </c>
      <c r="E4044" s="138">
        <v>4.6500306000000004E-6</v>
      </c>
      <c r="F4044" s="153" t="s">
        <v>135</v>
      </c>
      <c r="G4044" s="153">
        <v>1</v>
      </c>
      <c r="H4044" s="133" t="s">
        <v>39</v>
      </c>
      <c r="I4044" s="133"/>
      <c r="J4044" s="133" t="s">
        <v>2532</v>
      </c>
      <c r="K4044" s="133" t="s">
        <v>831</v>
      </c>
      <c r="L4044" s="167"/>
      <c r="M4044" s="169"/>
    </row>
    <row r="4045" spans="1:13" x14ac:dyDescent="0.55000000000000004">
      <c r="A4045" s="133" t="s">
        <v>2533</v>
      </c>
      <c r="B4045" s="133" t="s">
        <v>1101</v>
      </c>
      <c r="C4045" s="133" t="s">
        <v>124</v>
      </c>
      <c r="D4045" s="133" t="s">
        <v>3288</v>
      </c>
      <c r="E4045" s="138">
        <v>8.0300042400000002E-5</v>
      </c>
      <c r="F4045" s="153" t="s">
        <v>135</v>
      </c>
      <c r="G4045" s="153">
        <v>1</v>
      </c>
      <c r="H4045" s="133" t="s">
        <v>39</v>
      </c>
      <c r="I4045" s="133"/>
      <c r="J4045" s="133" t="s">
        <v>2532</v>
      </c>
      <c r="K4045" s="133" t="s">
        <v>831</v>
      </c>
      <c r="L4045" s="167"/>
      <c r="M4045" s="169"/>
    </row>
    <row r="4046" spans="1:13" x14ac:dyDescent="0.55000000000000004">
      <c r="A4046" s="133" t="s">
        <v>2536</v>
      </c>
      <c r="B4046" s="133" t="s">
        <v>3114</v>
      </c>
      <c r="C4046" s="133" t="s">
        <v>121</v>
      </c>
      <c r="D4046" s="133" t="s">
        <v>2682</v>
      </c>
      <c r="E4046" s="138">
        <v>1</v>
      </c>
      <c r="F4046" s="153">
        <v>1</v>
      </c>
      <c r="G4046" s="153">
        <v>1</v>
      </c>
      <c r="H4046" s="133" t="s">
        <v>39</v>
      </c>
      <c r="I4046" s="133"/>
      <c r="J4046" s="133" t="s">
        <v>2535</v>
      </c>
      <c r="K4046" s="133" t="s">
        <v>831</v>
      </c>
      <c r="L4046" s="167"/>
      <c r="M4046" s="169"/>
    </row>
    <row r="4047" spans="1:13" x14ac:dyDescent="0.55000000000000004">
      <c r="A4047" s="133" t="s">
        <v>2536</v>
      </c>
      <c r="B4047" s="133" t="s">
        <v>3115</v>
      </c>
      <c r="C4047" s="133" t="s">
        <v>348</v>
      </c>
      <c r="D4047" s="133" t="s">
        <v>3288</v>
      </c>
      <c r="E4047" s="138">
        <v>1</v>
      </c>
      <c r="F4047" s="153" t="s">
        <v>135</v>
      </c>
      <c r="G4047" s="153">
        <v>1</v>
      </c>
      <c r="H4047" s="133" t="s">
        <v>39</v>
      </c>
      <c r="I4047" s="133"/>
      <c r="J4047" s="133" t="s">
        <v>2535</v>
      </c>
      <c r="K4047" s="133" t="s">
        <v>831</v>
      </c>
      <c r="L4047" s="167"/>
      <c r="M4047" s="169"/>
    </row>
    <row r="4048" spans="1:13" x14ac:dyDescent="0.55000000000000004">
      <c r="A4048" s="133" t="s">
        <v>2536</v>
      </c>
      <c r="B4048" s="133" t="s">
        <v>2798</v>
      </c>
      <c r="C4048" s="133" t="s">
        <v>156</v>
      </c>
      <c r="D4048" s="133" t="s">
        <v>3288</v>
      </c>
      <c r="E4048" s="138">
        <v>6.8599999999999998E-4</v>
      </c>
      <c r="F4048" s="153" t="s">
        <v>135</v>
      </c>
      <c r="G4048" s="153">
        <v>1</v>
      </c>
      <c r="H4048" s="133" t="s">
        <v>39</v>
      </c>
      <c r="I4048" s="133"/>
      <c r="J4048" s="133" t="s">
        <v>2535</v>
      </c>
      <c r="K4048" s="133" t="s">
        <v>831</v>
      </c>
      <c r="L4048" s="167"/>
      <c r="M4048" s="169"/>
    </row>
    <row r="4049" spans="1:13" x14ac:dyDescent="0.55000000000000004">
      <c r="A4049" s="133" t="s">
        <v>2536</v>
      </c>
      <c r="B4049" s="133" t="s">
        <v>3195</v>
      </c>
      <c r="C4049" s="133" t="s">
        <v>156</v>
      </c>
      <c r="D4049" s="133" t="s">
        <v>3288</v>
      </c>
      <c r="E4049" s="138">
        <v>0.23100000000000001</v>
      </c>
      <c r="F4049" s="153" t="s">
        <v>135</v>
      </c>
      <c r="G4049" s="153">
        <v>1</v>
      </c>
      <c r="H4049" s="133" t="s">
        <v>39</v>
      </c>
      <c r="I4049" s="133"/>
      <c r="J4049" s="133" t="s">
        <v>2535</v>
      </c>
      <c r="K4049" s="133" t="s">
        <v>831</v>
      </c>
      <c r="L4049" s="167"/>
      <c r="M4049" s="169"/>
    </row>
    <row r="4050" spans="1:13" x14ac:dyDescent="0.55000000000000004">
      <c r="A4050" s="133" t="s">
        <v>2536</v>
      </c>
      <c r="B4050" s="133" t="s">
        <v>3056</v>
      </c>
      <c r="C4050" s="133" t="s">
        <v>156</v>
      </c>
      <c r="D4050" s="133" t="s">
        <v>3288</v>
      </c>
      <c r="E4050" s="138">
        <v>2.7399999999999999E-4</v>
      </c>
      <c r="F4050" s="153" t="s">
        <v>135</v>
      </c>
      <c r="G4050" s="153">
        <v>1</v>
      </c>
      <c r="H4050" s="133" t="s">
        <v>39</v>
      </c>
      <c r="I4050" s="133"/>
      <c r="J4050" s="133" t="s">
        <v>2535</v>
      </c>
      <c r="K4050" s="133" t="s">
        <v>831</v>
      </c>
      <c r="L4050" s="167"/>
      <c r="M4050" s="169"/>
    </row>
    <row r="4051" spans="1:13" x14ac:dyDescent="0.55000000000000004">
      <c r="A4051" s="133" t="s">
        <v>2536</v>
      </c>
      <c r="B4051" s="133" t="s">
        <v>153</v>
      </c>
      <c r="C4051" s="133" t="s">
        <v>156</v>
      </c>
      <c r="D4051" s="133" t="s">
        <v>2994</v>
      </c>
      <c r="E4051" s="138">
        <v>386</v>
      </c>
      <c r="F4051" s="153" t="s">
        <v>130</v>
      </c>
      <c r="G4051" s="153">
        <v>1</v>
      </c>
      <c r="H4051" s="133" t="s">
        <v>39</v>
      </c>
      <c r="I4051" s="133"/>
      <c r="J4051" s="133" t="s">
        <v>2535</v>
      </c>
      <c r="K4051" s="133" t="s">
        <v>831</v>
      </c>
      <c r="L4051" s="167"/>
      <c r="M4051" s="169"/>
    </row>
    <row r="4052" spans="1:13" x14ac:dyDescent="0.55000000000000004">
      <c r="A4052" s="133" t="s">
        <v>2536</v>
      </c>
      <c r="B4052" s="133" t="s">
        <v>496</v>
      </c>
      <c r="C4052" s="133" t="s">
        <v>156</v>
      </c>
      <c r="D4052" s="133" t="s">
        <v>2994</v>
      </c>
      <c r="E4052" s="138">
        <v>2850</v>
      </c>
      <c r="F4052" s="153" t="s">
        <v>167</v>
      </c>
      <c r="G4052" s="153">
        <v>1</v>
      </c>
      <c r="H4052" s="133" t="s">
        <v>39</v>
      </c>
      <c r="I4052" s="133"/>
      <c r="J4052" s="133" t="s">
        <v>2535</v>
      </c>
      <c r="K4052" s="133" t="s">
        <v>831</v>
      </c>
      <c r="L4052" s="167"/>
      <c r="M4052" s="169"/>
    </row>
    <row r="4053" spans="1:13" x14ac:dyDescent="0.55000000000000004">
      <c r="A4053" s="133" t="s">
        <v>2536</v>
      </c>
      <c r="B4053" s="133" t="s">
        <v>2795</v>
      </c>
      <c r="C4053" s="133" t="s">
        <v>156</v>
      </c>
      <c r="D4053" s="133" t="s">
        <v>3288</v>
      </c>
      <c r="E4053" s="138">
        <v>1.04E-2</v>
      </c>
      <c r="F4053" s="153" t="s">
        <v>135</v>
      </c>
      <c r="G4053" s="153">
        <v>1</v>
      </c>
      <c r="H4053" s="133" t="s">
        <v>39</v>
      </c>
      <c r="I4053" s="133"/>
      <c r="J4053" s="133" t="s">
        <v>2535</v>
      </c>
      <c r="K4053" s="133" t="s">
        <v>831</v>
      </c>
      <c r="L4053" s="167"/>
      <c r="M4053" s="169"/>
    </row>
    <row r="4054" spans="1:13" x14ac:dyDescent="0.55000000000000004">
      <c r="A4054" s="133" t="s">
        <v>2536</v>
      </c>
      <c r="B4054" s="133" t="s">
        <v>3388</v>
      </c>
      <c r="C4054" s="133" t="s">
        <v>156</v>
      </c>
      <c r="D4054" s="133" t="s">
        <v>3288</v>
      </c>
      <c r="E4054" s="138">
        <v>1.89E-2</v>
      </c>
      <c r="F4054" s="153" t="s">
        <v>135</v>
      </c>
      <c r="G4054" s="153">
        <v>1</v>
      </c>
      <c r="H4054" s="133" t="s">
        <v>39</v>
      </c>
      <c r="I4054" s="133"/>
      <c r="J4054" s="133" t="s">
        <v>2535</v>
      </c>
      <c r="K4054" s="133" t="s">
        <v>831</v>
      </c>
      <c r="L4054" s="167"/>
      <c r="M4054" s="169"/>
    </row>
    <row r="4055" spans="1:13" x14ac:dyDescent="0.55000000000000004">
      <c r="A4055" s="133" t="s">
        <v>2536</v>
      </c>
      <c r="B4055" s="133" t="s">
        <v>3389</v>
      </c>
      <c r="C4055" s="133" t="s">
        <v>348</v>
      </c>
      <c r="D4055" s="133" t="s">
        <v>3288</v>
      </c>
      <c r="E4055" s="138">
        <v>6.9800000000000005E-4</v>
      </c>
      <c r="F4055" s="153" t="s">
        <v>135</v>
      </c>
      <c r="G4055" s="153">
        <v>1</v>
      </c>
      <c r="H4055" s="133" t="s">
        <v>39</v>
      </c>
      <c r="I4055" s="133"/>
      <c r="J4055" s="133" t="s">
        <v>2535</v>
      </c>
      <c r="K4055" s="133" t="s">
        <v>831</v>
      </c>
      <c r="L4055" s="167"/>
      <c r="M4055" s="169"/>
    </row>
    <row r="4056" spans="1:13" x14ac:dyDescent="0.55000000000000004">
      <c r="A4056" s="133" t="s">
        <v>2536</v>
      </c>
      <c r="B4056" s="133" t="s">
        <v>3390</v>
      </c>
      <c r="C4056" s="133" t="s">
        <v>348</v>
      </c>
      <c r="D4056" s="133" t="s">
        <v>3288</v>
      </c>
      <c r="E4056" s="138">
        <v>2.0799999999999999E-4</v>
      </c>
      <c r="F4056" s="153" t="s">
        <v>135</v>
      </c>
      <c r="G4056" s="153">
        <v>1</v>
      </c>
      <c r="H4056" s="133" t="s">
        <v>39</v>
      </c>
      <c r="I4056" s="133"/>
      <c r="J4056" s="133" t="s">
        <v>2535</v>
      </c>
      <c r="K4056" s="133" t="s">
        <v>831</v>
      </c>
      <c r="L4056" s="167"/>
      <c r="M4056" s="169"/>
    </row>
    <row r="4057" spans="1:13" x14ac:dyDescent="0.55000000000000004">
      <c r="A4057" s="133" t="s">
        <v>2536</v>
      </c>
      <c r="B4057" s="133" t="s">
        <v>3391</v>
      </c>
      <c r="C4057" s="133" t="s">
        <v>348</v>
      </c>
      <c r="D4057" s="133" t="s">
        <v>3288</v>
      </c>
      <c r="E4057" s="138">
        <v>8.9199999999999999E-7</v>
      </c>
      <c r="F4057" s="153" t="s">
        <v>135</v>
      </c>
      <c r="G4057" s="153">
        <v>1</v>
      </c>
      <c r="H4057" s="133" t="s">
        <v>39</v>
      </c>
      <c r="I4057" s="133"/>
      <c r="J4057" s="133" t="s">
        <v>2535</v>
      </c>
      <c r="K4057" s="133" t="s">
        <v>831</v>
      </c>
      <c r="L4057" s="167"/>
      <c r="M4057" s="169"/>
    </row>
    <row r="4058" spans="1:13" x14ac:dyDescent="0.55000000000000004">
      <c r="A4058" s="133" t="s">
        <v>2536</v>
      </c>
      <c r="B4058" s="133" t="s">
        <v>1089</v>
      </c>
      <c r="C4058" s="133" t="s">
        <v>127</v>
      </c>
      <c r="D4058" s="133" t="s">
        <v>2994</v>
      </c>
      <c r="E4058" s="138">
        <v>131</v>
      </c>
      <c r="F4058" s="153" t="s">
        <v>167</v>
      </c>
      <c r="G4058" s="153">
        <v>1</v>
      </c>
      <c r="H4058" s="133" t="s">
        <v>39</v>
      </c>
      <c r="I4058" s="133"/>
      <c r="J4058" s="133" t="s">
        <v>2535</v>
      </c>
      <c r="K4058" s="133" t="s">
        <v>831</v>
      </c>
      <c r="L4058" s="167"/>
      <c r="M4058" s="169"/>
    </row>
    <row r="4059" spans="1:13" x14ac:dyDescent="0.55000000000000004">
      <c r="A4059" s="133" t="s">
        <v>2536</v>
      </c>
      <c r="B4059" s="133" t="s">
        <v>149</v>
      </c>
      <c r="C4059" s="133" t="s">
        <v>348</v>
      </c>
      <c r="D4059" s="133" t="s">
        <v>3288</v>
      </c>
      <c r="E4059" s="138">
        <v>5.4700000000000001E-5</v>
      </c>
      <c r="F4059" s="153" t="s">
        <v>135</v>
      </c>
      <c r="G4059" s="153">
        <v>1</v>
      </c>
      <c r="H4059" s="133" t="s">
        <v>39</v>
      </c>
      <c r="I4059" s="133"/>
      <c r="J4059" s="133" t="s">
        <v>2535</v>
      </c>
      <c r="K4059" s="133" t="s">
        <v>831</v>
      </c>
      <c r="L4059" s="167"/>
      <c r="M4059" s="169"/>
    </row>
    <row r="4060" spans="1:13" x14ac:dyDescent="0.55000000000000004">
      <c r="A4060" s="133" t="s">
        <v>2536</v>
      </c>
      <c r="B4060" s="133" t="s">
        <v>3392</v>
      </c>
      <c r="C4060" s="133" t="s">
        <v>348</v>
      </c>
      <c r="D4060" s="133" t="s">
        <v>3288</v>
      </c>
      <c r="E4060" s="138">
        <v>3.2499999999999997E-5</v>
      </c>
      <c r="F4060" s="153" t="s">
        <v>135</v>
      </c>
      <c r="G4060" s="153">
        <v>1</v>
      </c>
      <c r="H4060" s="133" t="s">
        <v>39</v>
      </c>
      <c r="I4060" s="133"/>
      <c r="J4060" s="133" t="s">
        <v>2535</v>
      </c>
      <c r="K4060" s="133" t="s">
        <v>831</v>
      </c>
      <c r="L4060" s="167"/>
      <c r="M4060" s="169"/>
    </row>
    <row r="4061" spans="1:13" x14ac:dyDescent="0.55000000000000004">
      <c r="A4061" s="133" t="s">
        <v>2536</v>
      </c>
      <c r="B4061" s="133" t="s">
        <v>3393</v>
      </c>
      <c r="C4061" s="133" t="s">
        <v>348</v>
      </c>
      <c r="D4061" s="133" t="s">
        <v>3288</v>
      </c>
      <c r="E4061" s="138">
        <v>3.2100000000000002E-3</v>
      </c>
      <c r="F4061" s="153" t="s">
        <v>135</v>
      </c>
      <c r="G4061" s="153">
        <v>1</v>
      </c>
      <c r="H4061" s="133" t="s">
        <v>39</v>
      </c>
      <c r="I4061" s="133"/>
      <c r="J4061" s="133" t="s">
        <v>2535</v>
      </c>
      <c r="K4061" s="133" t="s">
        <v>831</v>
      </c>
      <c r="L4061" s="167"/>
      <c r="M4061" s="169"/>
    </row>
    <row r="4062" spans="1:13" x14ac:dyDescent="0.55000000000000004">
      <c r="A4062" s="133" t="s">
        <v>2536</v>
      </c>
      <c r="B4062" s="133" t="s">
        <v>148</v>
      </c>
      <c r="C4062" s="133" t="s">
        <v>348</v>
      </c>
      <c r="D4062" s="133" t="s">
        <v>3288</v>
      </c>
      <c r="E4062" s="138">
        <v>9.7499999999999996E-4</v>
      </c>
      <c r="F4062" s="153" t="s">
        <v>135</v>
      </c>
      <c r="G4062" s="153">
        <v>1</v>
      </c>
      <c r="H4062" s="133" t="s">
        <v>39</v>
      </c>
      <c r="I4062" s="133"/>
      <c r="J4062" s="133" t="s">
        <v>2535</v>
      </c>
      <c r="K4062" s="133" t="s">
        <v>831</v>
      </c>
      <c r="L4062" s="167"/>
      <c r="M4062" s="169"/>
    </row>
    <row r="4063" spans="1:13" x14ac:dyDescent="0.55000000000000004">
      <c r="A4063" s="133" t="s">
        <v>2536</v>
      </c>
      <c r="B4063" s="133" t="s">
        <v>3394</v>
      </c>
      <c r="C4063" s="133" t="s">
        <v>348</v>
      </c>
      <c r="D4063" s="133" t="s">
        <v>3288</v>
      </c>
      <c r="E4063" s="138">
        <v>4.3699999999999998E-5</v>
      </c>
      <c r="F4063" s="153" t="s">
        <v>135</v>
      </c>
      <c r="G4063" s="153">
        <v>1</v>
      </c>
      <c r="H4063" s="133" t="s">
        <v>39</v>
      </c>
      <c r="I4063" s="133"/>
      <c r="J4063" s="133" t="s">
        <v>2535</v>
      </c>
      <c r="K4063" s="133" t="s">
        <v>831</v>
      </c>
      <c r="L4063" s="167"/>
      <c r="M4063" s="169"/>
    </row>
    <row r="4064" spans="1:13" x14ac:dyDescent="0.55000000000000004">
      <c r="A4064" s="133" t="s">
        <v>2536</v>
      </c>
      <c r="B4064" s="133" t="s">
        <v>3395</v>
      </c>
      <c r="C4064" s="133" t="s">
        <v>348</v>
      </c>
      <c r="D4064" s="133" t="s">
        <v>3288</v>
      </c>
      <c r="E4064" s="138">
        <v>2.2500000000000001E-5</v>
      </c>
      <c r="F4064" s="153" t="s">
        <v>135</v>
      </c>
      <c r="G4064" s="153">
        <v>1</v>
      </c>
      <c r="H4064" s="133" t="s">
        <v>39</v>
      </c>
      <c r="I4064" s="133"/>
      <c r="J4064" s="133" t="s">
        <v>2535</v>
      </c>
      <c r="K4064" s="133" t="s">
        <v>831</v>
      </c>
      <c r="L4064" s="167"/>
      <c r="M4064" s="169"/>
    </row>
    <row r="4065" spans="1:13" x14ac:dyDescent="0.55000000000000004">
      <c r="A4065" s="133" t="s">
        <v>2536</v>
      </c>
      <c r="B4065" s="133" t="s">
        <v>3396</v>
      </c>
      <c r="C4065" s="133" t="s">
        <v>348</v>
      </c>
      <c r="D4065" s="133" t="s">
        <v>3288</v>
      </c>
      <c r="E4065" s="138">
        <v>1.33</v>
      </c>
      <c r="F4065" s="153" t="s">
        <v>135</v>
      </c>
      <c r="G4065" s="153">
        <v>1</v>
      </c>
      <c r="H4065" s="133" t="s">
        <v>39</v>
      </c>
      <c r="I4065" s="133"/>
      <c r="J4065" s="133" t="s">
        <v>2535</v>
      </c>
      <c r="K4065" s="133" t="s">
        <v>831</v>
      </c>
      <c r="L4065" s="167"/>
      <c r="M4065" s="169"/>
    </row>
    <row r="4066" spans="1:13" x14ac:dyDescent="0.55000000000000004">
      <c r="A4066" s="133" t="s">
        <v>2536</v>
      </c>
      <c r="B4066" s="133" t="s">
        <v>213</v>
      </c>
      <c r="C4066" s="133" t="s">
        <v>132</v>
      </c>
      <c r="D4066" s="133" t="s">
        <v>3288</v>
      </c>
      <c r="E4066" s="138">
        <v>2.23</v>
      </c>
      <c r="F4066" s="153" t="s">
        <v>135</v>
      </c>
      <c r="G4066" s="153">
        <v>1</v>
      </c>
      <c r="H4066" s="133" t="s">
        <v>39</v>
      </c>
      <c r="I4066" s="133"/>
      <c r="J4066" s="133" t="s">
        <v>2535</v>
      </c>
      <c r="K4066" s="133" t="s">
        <v>831</v>
      </c>
      <c r="L4066" s="167"/>
      <c r="M4066" s="169"/>
    </row>
    <row r="4067" spans="1:13" x14ac:dyDescent="0.55000000000000004">
      <c r="A4067" s="133" t="s">
        <v>2536</v>
      </c>
      <c r="B4067" s="133" t="s">
        <v>3086</v>
      </c>
      <c r="C4067" s="133" t="s">
        <v>497</v>
      </c>
      <c r="D4067" s="133" t="s">
        <v>3288</v>
      </c>
      <c r="E4067" s="138">
        <v>6.8309999999999994E-8</v>
      </c>
      <c r="F4067" s="153" t="s">
        <v>135</v>
      </c>
      <c r="G4067" s="153">
        <v>1</v>
      </c>
      <c r="H4067" s="133" t="s">
        <v>39</v>
      </c>
      <c r="I4067" s="133"/>
      <c r="J4067" s="133" t="s">
        <v>2535</v>
      </c>
      <c r="K4067" s="133" t="s">
        <v>831</v>
      </c>
      <c r="L4067" s="167"/>
      <c r="M4067" s="169"/>
    </row>
    <row r="4068" spans="1:13" x14ac:dyDescent="0.55000000000000004">
      <c r="A4068" s="133" t="s">
        <v>2536</v>
      </c>
      <c r="B4068" s="133" t="s">
        <v>615</v>
      </c>
      <c r="C4068" s="133" t="s">
        <v>497</v>
      </c>
      <c r="D4068" s="133" t="s">
        <v>3288</v>
      </c>
      <c r="E4068" s="138">
        <v>8.2099999999999995E-7</v>
      </c>
      <c r="F4068" s="153" t="s">
        <v>135</v>
      </c>
      <c r="G4068" s="153">
        <v>1</v>
      </c>
      <c r="H4068" s="133" t="s">
        <v>39</v>
      </c>
      <c r="I4068" s="133"/>
      <c r="J4068" s="133" t="s">
        <v>2535</v>
      </c>
      <c r="K4068" s="133" t="s">
        <v>831</v>
      </c>
      <c r="L4068" s="167"/>
      <c r="M4068" s="169"/>
    </row>
    <row r="4069" spans="1:13" x14ac:dyDescent="0.55000000000000004">
      <c r="A4069" s="133" t="s">
        <v>2536</v>
      </c>
      <c r="B4069" s="133" t="s">
        <v>3088</v>
      </c>
      <c r="C4069" s="133" t="s">
        <v>497</v>
      </c>
      <c r="D4069" s="133" t="s">
        <v>3288</v>
      </c>
      <c r="E4069" s="138">
        <v>2.2600000000000001E-11</v>
      </c>
      <c r="F4069" s="153" t="s">
        <v>135</v>
      </c>
      <c r="G4069" s="153">
        <v>1</v>
      </c>
      <c r="H4069" s="133" t="s">
        <v>39</v>
      </c>
      <c r="I4069" s="133"/>
      <c r="J4069" s="133" t="s">
        <v>2535</v>
      </c>
      <c r="K4069" s="133" t="s">
        <v>831</v>
      </c>
      <c r="L4069" s="167"/>
      <c r="M4069" s="169"/>
    </row>
    <row r="4070" spans="1:13" x14ac:dyDescent="0.55000000000000004">
      <c r="A4070" s="133" t="s">
        <v>2536</v>
      </c>
      <c r="B4070" s="133" t="s">
        <v>3089</v>
      </c>
      <c r="C4070" s="133" t="s">
        <v>497</v>
      </c>
      <c r="D4070" s="133" t="s">
        <v>3288</v>
      </c>
      <c r="E4070" s="138">
        <v>4.900000022E-9</v>
      </c>
      <c r="F4070" s="153" t="s">
        <v>135</v>
      </c>
      <c r="G4070" s="153">
        <v>1</v>
      </c>
      <c r="H4070" s="133" t="s">
        <v>39</v>
      </c>
      <c r="I4070" s="133"/>
      <c r="J4070" s="133" t="s">
        <v>2535</v>
      </c>
      <c r="K4070" s="133" t="s">
        <v>831</v>
      </c>
      <c r="L4070" s="167"/>
      <c r="M4070" s="169"/>
    </row>
    <row r="4071" spans="1:13" x14ac:dyDescent="0.55000000000000004">
      <c r="A4071" s="133" t="s">
        <v>2536</v>
      </c>
      <c r="B4071" s="133" t="s">
        <v>3397</v>
      </c>
      <c r="C4071" s="133" t="s">
        <v>497</v>
      </c>
      <c r="D4071" s="133" t="s">
        <v>3288</v>
      </c>
      <c r="E4071" s="138">
        <v>1.4284E-7</v>
      </c>
      <c r="F4071" s="153" t="s">
        <v>135</v>
      </c>
      <c r="G4071" s="153">
        <v>1</v>
      </c>
      <c r="H4071" s="133" t="s">
        <v>39</v>
      </c>
      <c r="I4071" s="133"/>
      <c r="J4071" s="133" t="s">
        <v>2535</v>
      </c>
      <c r="K4071" s="133" t="s">
        <v>831</v>
      </c>
      <c r="L4071" s="167"/>
      <c r="M4071" s="169"/>
    </row>
    <row r="4072" spans="1:13" x14ac:dyDescent="0.55000000000000004">
      <c r="A4072" s="133" t="s">
        <v>2536</v>
      </c>
      <c r="B4072" s="133" t="s">
        <v>3398</v>
      </c>
      <c r="C4072" s="133" t="s">
        <v>497</v>
      </c>
      <c r="D4072" s="133" t="s">
        <v>3288</v>
      </c>
      <c r="E4072" s="138">
        <v>3.3799999999999998E-8</v>
      </c>
      <c r="F4072" s="153" t="s">
        <v>135</v>
      </c>
      <c r="G4072" s="153">
        <v>1</v>
      </c>
      <c r="H4072" s="133" t="s">
        <v>39</v>
      </c>
      <c r="I4072" s="133"/>
      <c r="J4072" s="133" t="s">
        <v>2535</v>
      </c>
      <c r="K4072" s="133" t="s">
        <v>831</v>
      </c>
      <c r="L4072" s="167"/>
      <c r="M4072" s="169"/>
    </row>
    <row r="4073" spans="1:13" x14ac:dyDescent="0.55000000000000004">
      <c r="A4073" s="133" t="s">
        <v>2536</v>
      </c>
      <c r="B4073" s="133" t="s">
        <v>3399</v>
      </c>
      <c r="C4073" s="133" t="s">
        <v>497</v>
      </c>
      <c r="D4073" s="133" t="s">
        <v>3288</v>
      </c>
      <c r="E4073" s="138">
        <v>7.5300000000000002E-13</v>
      </c>
      <c r="F4073" s="153" t="s">
        <v>135</v>
      </c>
      <c r="G4073" s="153">
        <v>1</v>
      </c>
      <c r="H4073" s="133" t="s">
        <v>39</v>
      </c>
      <c r="I4073" s="133"/>
      <c r="J4073" s="133" t="s">
        <v>2535</v>
      </c>
      <c r="K4073" s="133" t="s">
        <v>831</v>
      </c>
      <c r="L4073" s="167"/>
      <c r="M4073" s="169"/>
    </row>
    <row r="4074" spans="1:13" x14ac:dyDescent="0.55000000000000004">
      <c r="A4074" s="133" t="s">
        <v>2536</v>
      </c>
      <c r="B4074" s="133" t="s">
        <v>2954</v>
      </c>
      <c r="C4074" s="133" t="s">
        <v>497</v>
      </c>
      <c r="D4074" s="133" t="s">
        <v>3288</v>
      </c>
      <c r="E4074" s="138">
        <v>3.79E-4</v>
      </c>
      <c r="F4074" s="153" t="s">
        <v>135</v>
      </c>
      <c r="G4074" s="153">
        <v>1</v>
      </c>
      <c r="H4074" s="133" t="s">
        <v>39</v>
      </c>
      <c r="I4074" s="133"/>
      <c r="J4074" s="133" t="s">
        <v>2535</v>
      </c>
      <c r="K4074" s="133" t="s">
        <v>831</v>
      </c>
      <c r="L4074" s="167"/>
      <c r="M4074" s="169"/>
    </row>
    <row r="4075" spans="1:13" x14ac:dyDescent="0.55000000000000004">
      <c r="A4075" s="133" t="s">
        <v>2536</v>
      </c>
      <c r="B4075" s="133" t="s">
        <v>3400</v>
      </c>
      <c r="C4075" s="133" t="s">
        <v>497</v>
      </c>
      <c r="D4075" s="133" t="s">
        <v>3288</v>
      </c>
      <c r="E4075" s="138">
        <v>4.3367700000000002E-6</v>
      </c>
      <c r="F4075" s="153" t="s">
        <v>135</v>
      </c>
      <c r="G4075" s="153">
        <v>1</v>
      </c>
      <c r="H4075" s="133" t="s">
        <v>39</v>
      </c>
      <c r="I4075" s="133"/>
      <c r="J4075" s="133" t="s">
        <v>2535</v>
      </c>
      <c r="K4075" s="133" t="s">
        <v>831</v>
      </c>
      <c r="L4075" s="167"/>
      <c r="M4075" s="169"/>
    </row>
    <row r="4076" spans="1:13" x14ac:dyDescent="0.55000000000000004">
      <c r="A4076" s="133" t="s">
        <v>2536</v>
      </c>
      <c r="B4076" s="133" t="s">
        <v>1091</v>
      </c>
      <c r="C4076" s="133" t="s">
        <v>497</v>
      </c>
      <c r="D4076" s="133" t="s">
        <v>3288</v>
      </c>
      <c r="E4076" s="138">
        <v>6.4899999999999997E-9</v>
      </c>
      <c r="F4076" s="153" t="s">
        <v>135</v>
      </c>
      <c r="G4076" s="153">
        <v>1</v>
      </c>
      <c r="H4076" s="133" t="s">
        <v>39</v>
      </c>
      <c r="I4076" s="133"/>
      <c r="J4076" s="133" t="s">
        <v>2535</v>
      </c>
      <c r="K4076" s="133" t="s">
        <v>831</v>
      </c>
      <c r="L4076" s="167"/>
      <c r="M4076" s="169"/>
    </row>
    <row r="4077" spans="1:13" x14ac:dyDescent="0.55000000000000004">
      <c r="A4077" s="133" t="s">
        <v>2536</v>
      </c>
      <c r="B4077" s="133" t="s">
        <v>3091</v>
      </c>
      <c r="C4077" s="133" t="s">
        <v>497</v>
      </c>
      <c r="D4077" s="133" t="s">
        <v>3288</v>
      </c>
      <c r="E4077" s="138">
        <v>1.3860000000000001E-4</v>
      </c>
      <c r="F4077" s="153" t="s">
        <v>135</v>
      </c>
      <c r="G4077" s="153">
        <v>1</v>
      </c>
      <c r="H4077" s="133" t="s">
        <v>39</v>
      </c>
      <c r="I4077" s="133"/>
      <c r="J4077" s="133" t="s">
        <v>2535</v>
      </c>
      <c r="K4077" s="133" t="s">
        <v>831</v>
      </c>
      <c r="L4077" s="167"/>
      <c r="M4077" s="169"/>
    </row>
    <row r="4078" spans="1:13" x14ac:dyDescent="0.55000000000000004">
      <c r="A4078" s="133" t="s">
        <v>2536</v>
      </c>
      <c r="B4078" s="133" t="s">
        <v>3092</v>
      </c>
      <c r="C4078" s="133" t="s">
        <v>497</v>
      </c>
      <c r="D4078" s="133" t="s">
        <v>3288</v>
      </c>
      <c r="E4078" s="138">
        <v>0.47599999999999998</v>
      </c>
      <c r="F4078" s="153" t="s">
        <v>135</v>
      </c>
      <c r="G4078" s="153">
        <v>1</v>
      </c>
      <c r="H4078" s="133" t="s">
        <v>39</v>
      </c>
      <c r="I4078" s="133"/>
      <c r="J4078" s="133" t="s">
        <v>2535</v>
      </c>
      <c r="K4078" s="133" t="s">
        <v>831</v>
      </c>
      <c r="L4078" s="167"/>
      <c r="M4078" s="169"/>
    </row>
    <row r="4079" spans="1:13" x14ac:dyDescent="0.55000000000000004">
      <c r="A4079" s="133" t="s">
        <v>2536</v>
      </c>
      <c r="B4079" s="133" t="s">
        <v>3145</v>
      </c>
      <c r="C4079" s="133" t="s">
        <v>497</v>
      </c>
      <c r="D4079" s="133" t="s">
        <v>3288</v>
      </c>
      <c r="E4079" s="138">
        <v>0.72699999999999998</v>
      </c>
      <c r="F4079" s="153" t="s">
        <v>135</v>
      </c>
      <c r="G4079" s="153">
        <v>1</v>
      </c>
      <c r="H4079" s="133" t="s">
        <v>39</v>
      </c>
      <c r="I4079" s="133"/>
      <c r="J4079" s="133" t="s">
        <v>2535</v>
      </c>
      <c r="K4079" s="133" t="s">
        <v>831</v>
      </c>
      <c r="L4079" s="167"/>
      <c r="M4079" s="169"/>
    </row>
    <row r="4080" spans="1:13" x14ac:dyDescent="0.55000000000000004">
      <c r="A4080" s="133" t="s">
        <v>2536</v>
      </c>
      <c r="B4080" s="133" t="s">
        <v>3093</v>
      </c>
      <c r="C4080" s="133" t="s">
        <v>497</v>
      </c>
      <c r="D4080" s="133" t="s">
        <v>3288</v>
      </c>
      <c r="E4080" s="138">
        <v>2.2799999999999999E-5</v>
      </c>
      <c r="F4080" s="153" t="s">
        <v>135</v>
      </c>
      <c r="G4080" s="153">
        <v>1</v>
      </c>
      <c r="H4080" s="133" t="s">
        <v>39</v>
      </c>
      <c r="I4080" s="133"/>
      <c r="J4080" s="133" t="s">
        <v>2535</v>
      </c>
      <c r="K4080" s="133" t="s">
        <v>831</v>
      </c>
      <c r="L4080" s="167"/>
      <c r="M4080" s="169"/>
    </row>
    <row r="4081" spans="1:13" x14ac:dyDescent="0.55000000000000004">
      <c r="A4081" s="133" t="s">
        <v>2536</v>
      </c>
      <c r="B4081" s="133" t="s">
        <v>3146</v>
      </c>
      <c r="C4081" s="133" t="s">
        <v>497</v>
      </c>
      <c r="D4081" s="133" t="s">
        <v>3288</v>
      </c>
      <c r="E4081" s="138">
        <v>3.4799999999999999E-5</v>
      </c>
      <c r="F4081" s="153" t="s">
        <v>135</v>
      </c>
      <c r="G4081" s="153">
        <v>1</v>
      </c>
      <c r="H4081" s="133" t="s">
        <v>39</v>
      </c>
      <c r="I4081" s="133"/>
      <c r="J4081" s="133" t="s">
        <v>2535</v>
      </c>
      <c r="K4081" s="133" t="s">
        <v>831</v>
      </c>
      <c r="L4081" s="167"/>
      <c r="M4081" s="169"/>
    </row>
    <row r="4082" spans="1:13" x14ac:dyDescent="0.55000000000000004">
      <c r="A4082" s="133" t="s">
        <v>2536</v>
      </c>
      <c r="B4082" s="133" t="s">
        <v>2604</v>
      </c>
      <c r="C4082" s="133" t="s">
        <v>497</v>
      </c>
      <c r="D4082" s="133" t="s">
        <v>3288</v>
      </c>
      <c r="E4082" s="138">
        <v>3.98E-3</v>
      </c>
      <c r="F4082" s="153" t="s">
        <v>135</v>
      </c>
      <c r="G4082" s="153">
        <v>1</v>
      </c>
      <c r="H4082" s="133" t="s">
        <v>39</v>
      </c>
      <c r="I4082" s="133"/>
      <c r="J4082" s="133" t="s">
        <v>2535</v>
      </c>
      <c r="K4082" s="133" t="s">
        <v>831</v>
      </c>
      <c r="L4082" s="167"/>
      <c r="M4082" s="169"/>
    </row>
    <row r="4083" spans="1:13" x14ac:dyDescent="0.55000000000000004">
      <c r="A4083" s="133" t="s">
        <v>2536</v>
      </c>
      <c r="B4083" s="133" t="s">
        <v>3094</v>
      </c>
      <c r="C4083" s="133" t="s">
        <v>497</v>
      </c>
      <c r="D4083" s="133" t="s">
        <v>3288</v>
      </c>
      <c r="E4083" s="138">
        <v>5.2809999999999994E-8</v>
      </c>
      <c r="F4083" s="153" t="s">
        <v>135</v>
      </c>
      <c r="G4083" s="153">
        <v>1</v>
      </c>
      <c r="H4083" s="133" t="s">
        <v>39</v>
      </c>
      <c r="I4083" s="133"/>
      <c r="J4083" s="133" t="s">
        <v>2535</v>
      </c>
      <c r="K4083" s="133" t="s">
        <v>831</v>
      </c>
      <c r="L4083" s="167"/>
      <c r="M4083" s="169"/>
    </row>
    <row r="4084" spans="1:13" x14ac:dyDescent="0.55000000000000004">
      <c r="A4084" s="133" t="s">
        <v>2536</v>
      </c>
      <c r="B4084" s="133" t="s">
        <v>2955</v>
      </c>
      <c r="C4084" s="133" t="s">
        <v>497</v>
      </c>
      <c r="D4084" s="133" t="s">
        <v>3288</v>
      </c>
      <c r="E4084" s="138">
        <v>2.4634E-9</v>
      </c>
      <c r="F4084" s="153" t="s">
        <v>135</v>
      </c>
      <c r="G4084" s="153">
        <v>1</v>
      </c>
      <c r="H4084" s="133" t="s">
        <v>39</v>
      </c>
      <c r="I4084" s="133"/>
      <c r="J4084" s="133" t="s">
        <v>2535</v>
      </c>
      <c r="K4084" s="133" t="s">
        <v>831</v>
      </c>
      <c r="L4084" s="167"/>
      <c r="M4084" s="169"/>
    </row>
    <row r="4085" spans="1:13" x14ac:dyDescent="0.55000000000000004">
      <c r="A4085" s="133" t="s">
        <v>2536</v>
      </c>
      <c r="B4085" s="133" t="s">
        <v>2603</v>
      </c>
      <c r="C4085" s="133" t="s">
        <v>497</v>
      </c>
      <c r="D4085" s="133" t="s">
        <v>3288</v>
      </c>
      <c r="E4085" s="138">
        <v>3.79E-4</v>
      </c>
      <c r="F4085" s="153" t="s">
        <v>135</v>
      </c>
      <c r="G4085" s="153">
        <v>1</v>
      </c>
      <c r="H4085" s="133" t="s">
        <v>39</v>
      </c>
      <c r="I4085" s="133"/>
      <c r="J4085" s="133" t="s">
        <v>2535</v>
      </c>
      <c r="K4085" s="133" t="s">
        <v>831</v>
      </c>
      <c r="L4085" s="167"/>
      <c r="M4085" s="169"/>
    </row>
    <row r="4086" spans="1:13" x14ac:dyDescent="0.55000000000000004">
      <c r="A4086" s="133" t="s">
        <v>2536</v>
      </c>
      <c r="B4086" s="133" t="s">
        <v>1092</v>
      </c>
      <c r="C4086" s="133" t="s">
        <v>497</v>
      </c>
      <c r="D4086" s="133" t="s">
        <v>3288</v>
      </c>
      <c r="E4086" s="138">
        <v>1.212E-7</v>
      </c>
      <c r="F4086" s="153" t="s">
        <v>135</v>
      </c>
      <c r="G4086" s="153">
        <v>1</v>
      </c>
      <c r="H4086" s="133" t="s">
        <v>39</v>
      </c>
      <c r="I4086" s="133"/>
      <c r="J4086" s="133" t="s">
        <v>2535</v>
      </c>
      <c r="K4086" s="133" t="s">
        <v>831</v>
      </c>
      <c r="L4086" s="167"/>
      <c r="M4086" s="169"/>
    </row>
    <row r="4087" spans="1:13" x14ac:dyDescent="0.55000000000000004">
      <c r="A4087" s="133" t="s">
        <v>2536</v>
      </c>
      <c r="B4087" s="133" t="s">
        <v>3401</v>
      </c>
      <c r="C4087" s="133" t="s">
        <v>497</v>
      </c>
      <c r="D4087" s="133" t="s">
        <v>3288</v>
      </c>
      <c r="E4087" s="138">
        <v>1.0000000000000001E-5</v>
      </c>
      <c r="F4087" s="153" t="s">
        <v>135</v>
      </c>
      <c r="G4087" s="153">
        <v>1</v>
      </c>
      <c r="H4087" s="133" t="s">
        <v>39</v>
      </c>
      <c r="I4087" s="133"/>
      <c r="J4087" s="133" t="s">
        <v>2535</v>
      </c>
      <c r="K4087" s="133" t="s">
        <v>831</v>
      </c>
      <c r="L4087" s="167"/>
      <c r="M4087" s="169"/>
    </row>
    <row r="4088" spans="1:13" x14ac:dyDescent="0.55000000000000004">
      <c r="A4088" s="133" t="s">
        <v>2536</v>
      </c>
      <c r="B4088" s="133" t="s">
        <v>3402</v>
      </c>
      <c r="C4088" s="133" t="s">
        <v>497</v>
      </c>
      <c r="D4088" s="133" t="s">
        <v>3288</v>
      </c>
      <c r="E4088" s="138">
        <v>4.6600000000000001E-5</v>
      </c>
      <c r="F4088" s="153" t="s">
        <v>135</v>
      </c>
      <c r="G4088" s="153">
        <v>1</v>
      </c>
      <c r="H4088" s="133" t="s">
        <v>39</v>
      </c>
      <c r="I4088" s="133"/>
      <c r="J4088" s="133" t="s">
        <v>2535</v>
      </c>
      <c r="K4088" s="133" t="s">
        <v>831</v>
      </c>
      <c r="L4088" s="167"/>
      <c r="M4088" s="169"/>
    </row>
    <row r="4089" spans="1:13" x14ac:dyDescent="0.55000000000000004">
      <c r="A4089" s="133" t="s">
        <v>2536</v>
      </c>
      <c r="B4089" s="133" t="s">
        <v>1093</v>
      </c>
      <c r="C4089" s="133" t="s">
        <v>497</v>
      </c>
      <c r="D4089" s="133" t="s">
        <v>3288</v>
      </c>
      <c r="E4089" s="138">
        <v>6.7700000000000004E-14</v>
      </c>
      <c r="F4089" s="153" t="s">
        <v>135</v>
      </c>
      <c r="G4089" s="153">
        <v>1</v>
      </c>
      <c r="H4089" s="133" t="s">
        <v>39</v>
      </c>
      <c r="I4089" s="133"/>
      <c r="J4089" s="133" t="s">
        <v>2535</v>
      </c>
      <c r="K4089" s="133" t="s">
        <v>831</v>
      </c>
      <c r="L4089" s="167"/>
      <c r="M4089" s="169"/>
    </row>
    <row r="4090" spans="1:13" x14ac:dyDescent="0.55000000000000004">
      <c r="A4090" s="133" t="s">
        <v>2536</v>
      </c>
      <c r="B4090" s="133" t="s">
        <v>2605</v>
      </c>
      <c r="C4090" s="133" t="s">
        <v>497</v>
      </c>
      <c r="D4090" s="133" t="s">
        <v>3288</v>
      </c>
      <c r="E4090" s="138">
        <v>1.66E-4</v>
      </c>
      <c r="F4090" s="153" t="s">
        <v>135</v>
      </c>
      <c r="G4090" s="153">
        <v>1</v>
      </c>
      <c r="H4090" s="133" t="s">
        <v>39</v>
      </c>
      <c r="I4090" s="133"/>
      <c r="J4090" s="133" t="s">
        <v>2535</v>
      </c>
      <c r="K4090" s="133" t="s">
        <v>831</v>
      </c>
      <c r="L4090" s="167"/>
      <c r="M4090" s="169"/>
    </row>
    <row r="4091" spans="1:13" x14ac:dyDescent="0.55000000000000004">
      <c r="A4091" s="133" t="s">
        <v>2536</v>
      </c>
      <c r="B4091" s="133" t="s">
        <v>2956</v>
      </c>
      <c r="C4091" s="133" t="s">
        <v>497</v>
      </c>
      <c r="D4091" s="133" t="s">
        <v>3288</v>
      </c>
      <c r="E4091" s="138">
        <v>2.5600000000000001E-6</v>
      </c>
      <c r="F4091" s="153" t="s">
        <v>135</v>
      </c>
      <c r="G4091" s="153">
        <v>1</v>
      </c>
      <c r="H4091" s="133" t="s">
        <v>39</v>
      </c>
      <c r="I4091" s="133"/>
      <c r="J4091" s="133" t="s">
        <v>2535</v>
      </c>
      <c r="K4091" s="133" t="s">
        <v>831</v>
      </c>
      <c r="L4091" s="167"/>
      <c r="M4091" s="169"/>
    </row>
    <row r="4092" spans="1:13" x14ac:dyDescent="0.55000000000000004">
      <c r="A4092" s="133" t="s">
        <v>2536</v>
      </c>
      <c r="B4092" s="133" t="s">
        <v>3098</v>
      </c>
      <c r="C4092" s="133" t="s">
        <v>497</v>
      </c>
      <c r="D4092" s="133" t="s">
        <v>2994</v>
      </c>
      <c r="E4092" s="138">
        <v>9382.5</v>
      </c>
      <c r="F4092" s="153" t="s">
        <v>167</v>
      </c>
      <c r="G4092" s="153">
        <v>1</v>
      </c>
      <c r="H4092" s="133" t="s">
        <v>39</v>
      </c>
      <c r="I4092" s="133"/>
      <c r="J4092" s="133" t="s">
        <v>2535</v>
      </c>
      <c r="K4092" s="133" t="s">
        <v>831</v>
      </c>
      <c r="L4092" s="167"/>
      <c r="M4092" s="169"/>
    </row>
    <row r="4093" spans="1:13" x14ac:dyDescent="0.55000000000000004">
      <c r="A4093" s="133" t="s">
        <v>2536</v>
      </c>
      <c r="B4093" s="133" t="s">
        <v>3403</v>
      </c>
      <c r="C4093" s="133" t="s">
        <v>497</v>
      </c>
      <c r="D4093" s="133" t="s">
        <v>3288</v>
      </c>
      <c r="E4093" s="138">
        <v>7.0800000000000004E-11</v>
      </c>
      <c r="F4093" s="153" t="s">
        <v>135</v>
      </c>
      <c r="G4093" s="153">
        <v>1</v>
      </c>
      <c r="H4093" s="133" t="s">
        <v>39</v>
      </c>
      <c r="I4093" s="133"/>
      <c r="J4093" s="133" t="s">
        <v>2535</v>
      </c>
      <c r="K4093" s="133" t="s">
        <v>831</v>
      </c>
      <c r="L4093" s="167"/>
      <c r="M4093" s="169"/>
    </row>
    <row r="4094" spans="1:13" x14ac:dyDescent="0.55000000000000004">
      <c r="A4094" s="133" t="s">
        <v>2536</v>
      </c>
      <c r="B4094" s="133" t="s">
        <v>149</v>
      </c>
      <c r="C4094" s="133" t="s">
        <v>497</v>
      </c>
      <c r="D4094" s="133" t="s">
        <v>3288</v>
      </c>
      <c r="E4094" s="138">
        <v>3.41E-6</v>
      </c>
      <c r="F4094" s="153" t="s">
        <v>135</v>
      </c>
      <c r="G4094" s="153">
        <v>1</v>
      </c>
      <c r="H4094" s="133" t="s">
        <v>39</v>
      </c>
      <c r="I4094" s="133"/>
      <c r="J4094" s="133" t="s">
        <v>2535</v>
      </c>
      <c r="K4094" s="133" t="s">
        <v>831</v>
      </c>
      <c r="L4094" s="167"/>
      <c r="M4094" s="169"/>
    </row>
    <row r="4095" spans="1:13" x14ac:dyDescent="0.55000000000000004">
      <c r="A4095" s="133" t="s">
        <v>2536</v>
      </c>
      <c r="B4095" s="133" t="s">
        <v>3010</v>
      </c>
      <c r="C4095" s="133" t="s">
        <v>497</v>
      </c>
      <c r="D4095" s="133" t="s">
        <v>3288</v>
      </c>
      <c r="E4095" s="138">
        <v>3.8000000000000001E-7</v>
      </c>
      <c r="F4095" s="153" t="s">
        <v>135</v>
      </c>
      <c r="G4095" s="153">
        <v>1</v>
      </c>
      <c r="H4095" s="133" t="s">
        <v>39</v>
      </c>
      <c r="I4095" s="133"/>
      <c r="J4095" s="133" t="s">
        <v>2535</v>
      </c>
      <c r="K4095" s="133" t="s">
        <v>831</v>
      </c>
      <c r="L4095" s="167"/>
      <c r="M4095" s="169"/>
    </row>
    <row r="4096" spans="1:13" x14ac:dyDescent="0.55000000000000004">
      <c r="A4096" s="133" t="s">
        <v>2536</v>
      </c>
      <c r="B4096" s="133" t="s">
        <v>3404</v>
      </c>
      <c r="C4096" s="133" t="s">
        <v>497</v>
      </c>
      <c r="D4096" s="133" t="s">
        <v>3288</v>
      </c>
      <c r="E4096" s="138">
        <v>8.0600000000000007E-9</v>
      </c>
      <c r="F4096" s="153" t="s">
        <v>135</v>
      </c>
      <c r="G4096" s="153">
        <v>1</v>
      </c>
      <c r="H4096" s="133" t="s">
        <v>39</v>
      </c>
      <c r="I4096" s="133"/>
      <c r="J4096" s="133" t="s">
        <v>2535</v>
      </c>
      <c r="K4096" s="133" t="s">
        <v>831</v>
      </c>
      <c r="L4096" s="167"/>
      <c r="M4096" s="169"/>
    </row>
    <row r="4097" spans="1:13" x14ac:dyDescent="0.55000000000000004">
      <c r="A4097" s="133" t="s">
        <v>2536</v>
      </c>
      <c r="B4097" s="133" t="s">
        <v>3405</v>
      </c>
      <c r="C4097" s="133" t="s">
        <v>497</v>
      </c>
      <c r="D4097" s="133" t="s">
        <v>3288</v>
      </c>
      <c r="E4097" s="138">
        <v>6.7199999999999996E-12</v>
      </c>
      <c r="F4097" s="153" t="s">
        <v>135</v>
      </c>
      <c r="G4097" s="153">
        <v>1</v>
      </c>
      <c r="H4097" s="133" t="s">
        <v>39</v>
      </c>
      <c r="I4097" s="133"/>
      <c r="J4097" s="133" t="s">
        <v>2535</v>
      </c>
      <c r="K4097" s="133" t="s">
        <v>831</v>
      </c>
      <c r="L4097" s="167"/>
      <c r="M4097" s="169"/>
    </row>
    <row r="4098" spans="1:13" x14ac:dyDescent="0.55000000000000004">
      <c r="A4098" s="133" t="s">
        <v>2536</v>
      </c>
      <c r="B4098" s="133" t="s">
        <v>3100</v>
      </c>
      <c r="C4098" s="133" t="s">
        <v>497</v>
      </c>
      <c r="D4098" s="133" t="s">
        <v>3288</v>
      </c>
      <c r="E4098" s="138">
        <v>1.6499999999999998E-7</v>
      </c>
      <c r="F4098" s="153" t="s">
        <v>135</v>
      </c>
      <c r="G4098" s="153">
        <v>1</v>
      </c>
      <c r="H4098" s="133" t="s">
        <v>39</v>
      </c>
      <c r="I4098" s="133"/>
      <c r="J4098" s="133" t="s">
        <v>2535</v>
      </c>
      <c r="K4098" s="133" t="s">
        <v>831</v>
      </c>
      <c r="L4098" s="167"/>
      <c r="M4098" s="169"/>
    </row>
    <row r="4099" spans="1:13" x14ac:dyDescent="0.55000000000000004">
      <c r="A4099" s="133" t="s">
        <v>2536</v>
      </c>
      <c r="B4099" s="133" t="s">
        <v>1095</v>
      </c>
      <c r="C4099" s="133" t="s">
        <v>497</v>
      </c>
      <c r="D4099" s="133" t="s">
        <v>3288</v>
      </c>
      <c r="E4099" s="138">
        <v>4.9999999999999998E-8</v>
      </c>
      <c r="F4099" s="153" t="s">
        <v>135</v>
      </c>
      <c r="G4099" s="153">
        <v>1</v>
      </c>
      <c r="H4099" s="133" t="s">
        <v>39</v>
      </c>
      <c r="I4099" s="133"/>
      <c r="J4099" s="133" t="s">
        <v>2535</v>
      </c>
      <c r="K4099" s="133" t="s">
        <v>831</v>
      </c>
      <c r="L4099" s="167"/>
      <c r="M4099" s="169"/>
    </row>
    <row r="4100" spans="1:13" x14ac:dyDescent="0.55000000000000004">
      <c r="A4100" s="133" t="s">
        <v>2536</v>
      </c>
      <c r="B4100" s="133" t="s">
        <v>3406</v>
      </c>
      <c r="C4100" s="133" t="s">
        <v>497</v>
      </c>
      <c r="D4100" s="133" t="s">
        <v>3288</v>
      </c>
      <c r="E4100" s="138">
        <v>5.9400000000000007E-6</v>
      </c>
      <c r="F4100" s="153" t="s">
        <v>135</v>
      </c>
      <c r="G4100" s="153">
        <v>1</v>
      </c>
      <c r="H4100" s="133" t="s">
        <v>39</v>
      </c>
      <c r="I4100" s="133"/>
      <c r="J4100" s="133" t="s">
        <v>2535</v>
      </c>
      <c r="K4100" s="133" t="s">
        <v>831</v>
      </c>
      <c r="L4100" s="167"/>
      <c r="M4100" s="169"/>
    </row>
    <row r="4101" spans="1:13" x14ac:dyDescent="0.55000000000000004">
      <c r="A4101" s="133" t="s">
        <v>2536</v>
      </c>
      <c r="B4101" s="133" t="s">
        <v>3101</v>
      </c>
      <c r="C4101" s="133" t="s">
        <v>497</v>
      </c>
      <c r="D4101" s="133" t="s">
        <v>3288</v>
      </c>
      <c r="E4101" s="138">
        <v>8.0299999999999998E-8</v>
      </c>
      <c r="F4101" s="153" t="s">
        <v>135</v>
      </c>
      <c r="G4101" s="153">
        <v>1</v>
      </c>
      <c r="H4101" s="133" t="s">
        <v>39</v>
      </c>
      <c r="I4101" s="133"/>
      <c r="J4101" s="133" t="s">
        <v>2535</v>
      </c>
      <c r="K4101" s="133" t="s">
        <v>831</v>
      </c>
      <c r="L4101" s="167"/>
      <c r="M4101" s="169"/>
    </row>
    <row r="4102" spans="1:13" x14ac:dyDescent="0.55000000000000004">
      <c r="A4102" s="133" t="s">
        <v>2536</v>
      </c>
      <c r="B4102" s="133" t="s">
        <v>1096</v>
      </c>
      <c r="C4102" s="133" t="s">
        <v>497</v>
      </c>
      <c r="D4102" s="133" t="s">
        <v>3288</v>
      </c>
      <c r="E4102" s="138">
        <v>3.3996000000000002E-8</v>
      </c>
      <c r="F4102" s="153" t="s">
        <v>135</v>
      </c>
      <c r="G4102" s="153">
        <v>1</v>
      </c>
      <c r="H4102" s="133" t="s">
        <v>39</v>
      </c>
      <c r="I4102" s="133"/>
      <c r="J4102" s="133" t="s">
        <v>2535</v>
      </c>
      <c r="K4102" s="133" t="s">
        <v>831</v>
      </c>
      <c r="L4102" s="167"/>
      <c r="M4102" s="169"/>
    </row>
    <row r="4103" spans="1:13" x14ac:dyDescent="0.55000000000000004">
      <c r="A4103" s="133" t="s">
        <v>2536</v>
      </c>
      <c r="B4103" s="133" t="s">
        <v>3102</v>
      </c>
      <c r="C4103" s="133" t="s">
        <v>497</v>
      </c>
      <c r="D4103" s="133" t="s">
        <v>3288</v>
      </c>
      <c r="E4103" s="138">
        <v>2.0100000000000001E-7</v>
      </c>
      <c r="F4103" s="153" t="s">
        <v>135</v>
      </c>
      <c r="G4103" s="153">
        <v>1</v>
      </c>
      <c r="H4103" s="133" t="s">
        <v>39</v>
      </c>
      <c r="I4103" s="133"/>
      <c r="J4103" s="133" t="s">
        <v>2535</v>
      </c>
      <c r="K4103" s="133" t="s">
        <v>831</v>
      </c>
      <c r="L4103" s="167"/>
      <c r="M4103" s="169"/>
    </row>
    <row r="4104" spans="1:13" x14ac:dyDescent="0.55000000000000004">
      <c r="A4104" s="133" t="s">
        <v>2536</v>
      </c>
      <c r="B4104" s="133" t="s">
        <v>3407</v>
      </c>
      <c r="C4104" s="133" t="s">
        <v>497</v>
      </c>
      <c r="D4104" s="133" t="s">
        <v>3288</v>
      </c>
      <c r="E4104" s="138">
        <v>3.0699999999999998E-7</v>
      </c>
      <c r="F4104" s="153" t="s">
        <v>135</v>
      </c>
      <c r="G4104" s="153">
        <v>1</v>
      </c>
      <c r="H4104" s="133" t="s">
        <v>39</v>
      </c>
      <c r="I4104" s="133"/>
      <c r="J4104" s="133" t="s">
        <v>2535</v>
      </c>
      <c r="K4104" s="133" t="s">
        <v>831</v>
      </c>
      <c r="L4104" s="167"/>
      <c r="M4104" s="169"/>
    </row>
    <row r="4105" spans="1:13" x14ac:dyDescent="0.55000000000000004">
      <c r="A4105" s="133" t="s">
        <v>2536</v>
      </c>
      <c r="B4105" s="133" t="s">
        <v>3408</v>
      </c>
      <c r="C4105" s="133" t="s">
        <v>497</v>
      </c>
      <c r="D4105" s="133" t="s">
        <v>3288</v>
      </c>
      <c r="E4105" s="138">
        <v>2.6730000000000002E-9</v>
      </c>
      <c r="F4105" s="153" t="s">
        <v>135</v>
      </c>
      <c r="G4105" s="153">
        <v>1</v>
      </c>
      <c r="H4105" s="133" t="s">
        <v>39</v>
      </c>
      <c r="I4105" s="133"/>
      <c r="J4105" s="133" t="s">
        <v>2535</v>
      </c>
      <c r="K4105" s="133" t="s">
        <v>831</v>
      </c>
      <c r="L4105" s="167"/>
      <c r="M4105" s="169"/>
    </row>
    <row r="4106" spans="1:13" x14ac:dyDescent="0.55000000000000004">
      <c r="A4106" s="133" t="s">
        <v>2536</v>
      </c>
      <c r="B4106" s="133" t="s">
        <v>2958</v>
      </c>
      <c r="C4106" s="133" t="s">
        <v>497</v>
      </c>
      <c r="D4106" s="133" t="s">
        <v>3288</v>
      </c>
      <c r="E4106" s="138">
        <v>7.0720000000000001E-8</v>
      </c>
      <c r="F4106" s="153" t="s">
        <v>135</v>
      </c>
      <c r="G4106" s="153">
        <v>1</v>
      </c>
      <c r="H4106" s="133" t="s">
        <v>39</v>
      </c>
      <c r="I4106" s="133"/>
      <c r="J4106" s="133" t="s">
        <v>2535</v>
      </c>
      <c r="K4106" s="133" t="s">
        <v>831</v>
      </c>
      <c r="L4106" s="167"/>
      <c r="M4106" s="169"/>
    </row>
    <row r="4107" spans="1:13" x14ac:dyDescent="0.55000000000000004">
      <c r="A4107" s="133" t="s">
        <v>2536</v>
      </c>
      <c r="B4107" s="133" t="s">
        <v>3103</v>
      </c>
      <c r="C4107" s="133" t="s">
        <v>497</v>
      </c>
      <c r="D4107" s="133" t="s">
        <v>3288</v>
      </c>
      <c r="E4107" s="138">
        <v>1.3699999999999999E-5</v>
      </c>
      <c r="F4107" s="153" t="s">
        <v>135</v>
      </c>
      <c r="G4107" s="153">
        <v>1</v>
      </c>
      <c r="H4107" s="133" t="s">
        <v>39</v>
      </c>
      <c r="I4107" s="133"/>
      <c r="J4107" s="133" t="s">
        <v>2535</v>
      </c>
      <c r="K4107" s="133" t="s">
        <v>831</v>
      </c>
      <c r="L4107" s="167"/>
      <c r="M4107" s="169"/>
    </row>
    <row r="4108" spans="1:13" x14ac:dyDescent="0.55000000000000004">
      <c r="A4108" s="133" t="s">
        <v>2536</v>
      </c>
      <c r="B4108" s="133" t="s">
        <v>891</v>
      </c>
      <c r="C4108" s="133" t="s">
        <v>497</v>
      </c>
      <c r="D4108" s="133" t="s">
        <v>3288</v>
      </c>
      <c r="E4108" s="138">
        <v>2.5999999999999998E-4</v>
      </c>
      <c r="F4108" s="153" t="s">
        <v>135</v>
      </c>
      <c r="G4108" s="153">
        <v>1</v>
      </c>
      <c r="H4108" s="133" t="s">
        <v>39</v>
      </c>
      <c r="I4108" s="133"/>
      <c r="J4108" s="133" t="s">
        <v>2535</v>
      </c>
      <c r="K4108" s="133" t="s">
        <v>831</v>
      </c>
      <c r="L4108" s="167"/>
      <c r="M4108" s="169"/>
    </row>
    <row r="4109" spans="1:13" x14ac:dyDescent="0.55000000000000004">
      <c r="A4109" s="133" t="s">
        <v>2536</v>
      </c>
      <c r="B4109" s="133" t="s">
        <v>3409</v>
      </c>
      <c r="C4109" s="133" t="s">
        <v>497</v>
      </c>
      <c r="D4109" s="133" t="s">
        <v>3288</v>
      </c>
      <c r="E4109" s="138">
        <v>1.5400000000000001E-6</v>
      </c>
      <c r="F4109" s="153" t="s">
        <v>135</v>
      </c>
      <c r="G4109" s="153">
        <v>1</v>
      </c>
      <c r="H4109" s="133" t="s">
        <v>39</v>
      </c>
      <c r="I4109" s="133"/>
      <c r="J4109" s="133" t="s">
        <v>2535</v>
      </c>
      <c r="K4109" s="133" t="s">
        <v>831</v>
      </c>
      <c r="L4109" s="167"/>
      <c r="M4109" s="169"/>
    </row>
    <row r="4110" spans="1:13" x14ac:dyDescent="0.55000000000000004">
      <c r="A4110" s="133" t="s">
        <v>2536</v>
      </c>
      <c r="B4110" s="133" t="s">
        <v>1097</v>
      </c>
      <c r="C4110" s="133" t="s">
        <v>497</v>
      </c>
      <c r="D4110" s="133" t="s">
        <v>3288</v>
      </c>
      <c r="E4110" s="138">
        <v>4.0400000000000003E-6</v>
      </c>
      <c r="F4110" s="153" t="s">
        <v>135</v>
      </c>
      <c r="G4110" s="153">
        <v>1</v>
      </c>
      <c r="H4110" s="133" t="s">
        <v>39</v>
      </c>
      <c r="I4110" s="133"/>
      <c r="J4110" s="133" t="s">
        <v>2535</v>
      </c>
      <c r="K4110" s="133" t="s">
        <v>831</v>
      </c>
      <c r="L4110" s="167"/>
      <c r="M4110" s="169"/>
    </row>
    <row r="4111" spans="1:13" x14ac:dyDescent="0.55000000000000004">
      <c r="A4111" s="133" t="s">
        <v>2536</v>
      </c>
      <c r="B4111" s="133" t="s">
        <v>1099</v>
      </c>
      <c r="C4111" s="133" t="s">
        <v>497</v>
      </c>
      <c r="D4111" s="133" t="s">
        <v>3288</v>
      </c>
      <c r="E4111" s="138">
        <v>2.03E-8</v>
      </c>
      <c r="F4111" s="153" t="s">
        <v>135</v>
      </c>
      <c r="G4111" s="153">
        <v>1</v>
      </c>
      <c r="H4111" s="133" t="s">
        <v>39</v>
      </c>
      <c r="I4111" s="133"/>
      <c r="J4111" s="133" t="s">
        <v>2535</v>
      </c>
      <c r="K4111" s="133" t="s">
        <v>831</v>
      </c>
      <c r="L4111" s="167"/>
      <c r="M4111" s="169"/>
    </row>
    <row r="4112" spans="1:13" x14ac:dyDescent="0.55000000000000004">
      <c r="A4112" s="133" t="s">
        <v>2536</v>
      </c>
      <c r="B4112" s="133" t="s">
        <v>3410</v>
      </c>
      <c r="C4112" s="133" t="s">
        <v>497</v>
      </c>
      <c r="D4112" s="133" t="s">
        <v>3288</v>
      </c>
      <c r="E4112" s="138">
        <v>1.79E-10</v>
      </c>
      <c r="F4112" s="153" t="s">
        <v>135</v>
      </c>
      <c r="G4112" s="153">
        <v>1</v>
      </c>
      <c r="H4112" s="133" t="s">
        <v>39</v>
      </c>
      <c r="I4112" s="133"/>
      <c r="J4112" s="133" t="s">
        <v>2535</v>
      </c>
      <c r="K4112" s="133" t="s">
        <v>831</v>
      </c>
      <c r="L4112" s="167"/>
      <c r="M4112" s="169"/>
    </row>
    <row r="4113" spans="1:13" x14ac:dyDescent="0.55000000000000004">
      <c r="A4113" s="133" t="s">
        <v>2536</v>
      </c>
      <c r="B4113" s="133" t="s">
        <v>3411</v>
      </c>
      <c r="C4113" s="133" t="s">
        <v>497</v>
      </c>
      <c r="D4113" s="133" t="s">
        <v>3288</v>
      </c>
      <c r="E4113" s="138">
        <v>1.4700000000000002E-11</v>
      </c>
      <c r="F4113" s="153" t="s">
        <v>135</v>
      </c>
      <c r="G4113" s="153">
        <v>1</v>
      </c>
      <c r="H4113" s="133" t="s">
        <v>39</v>
      </c>
      <c r="I4113" s="133"/>
      <c r="J4113" s="133" t="s">
        <v>2535</v>
      </c>
      <c r="K4113" s="133" t="s">
        <v>831</v>
      </c>
      <c r="L4113" s="167"/>
      <c r="M4113" s="169"/>
    </row>
    <row r="4114" spans="1:13" x14ac:dyDescent="0.55000000000000004">
      <c r="A4114" s="133" t="s">
        <v>2536</v>
      </c>
      <c r="B4114" s="133" t="s">
        <v>3108</v>
      </c>
      <c r="C4114" s="133" t="s">
        <v>497</v>
      </c>
      <c r="D4114" s="133" t="s">
        <v>3288</v>
      </c>
      <c r="E4114" s="138">
        <v>3.03E-7</v>
      </c>
      <c r="F4114" s="153" t="s">
        <v>135</v>
      </c>
      <c r="G4114" s="153">
        <v>1</v>
      </c>
      <c r="H4114" s="133" t="s">
        <v>39</v>
      </c>
      <c r="I4114" s="133"/>
      <c r="J4114" s="133" t="s">
        <v>2535</v>
      </c>
      <c r="K4114" s="133" t="s">
        <v>831</v>
      </c>
      <c r="L4114" s="167"/>
      <c r="M4114" s="169"/>
    </row>
    <row r="4115" spans="1:13" x14ac:dyDescent="0.55000000000000004">
      <c r="A4115" s="133" t="s">
        <v>2536</v>
      </c>
      <c r="B4115" s="133" t="s">
        <v>2609</v>
      </c>
      <c r="C4115" s="133" t="s">
        <v>497</v>
      </c>
      <c r="D4115" s="133" t="s">
        <v>3288</v>
      </c>
      <c r="E4115" s="138">
        <v>9.0800000000000003E-7</v>
      </c>
      <c r="F4115" s="153" t="s">
        <v>135</v>
      </c>
      <c r="G4115" s="153">
        <v>1</v>
      </c>
      <c r="H4115" s="133" t="s">
        <v>39</v>
      </c>
      <c r="I4115" s="133"/>
      <c r="J4115" s="133" t="s">
        <v>2535</v>
      </c>
      <c r="K4115" s="133" t="s">
        <v>831</v>
      </c>
      <c r="L4115" s="167"/>
      <c r="M4115" s="169"/>
    </row>
    <row r="4116" spans="1:13" x14ac:dyDescent="0.55000000000000004">
      <c r="A4116" s="133" t="s">
        <v>2536</v>
      </c>
      <c r="B4116" s="133" t="s">
        <v>3412</v>
      </c>
      <c r="C4116" s="133" t="s">
        <v>497</v>
      </c>
      <c r="D4116" s="133" t="s">
        <v>3288</v>
      </c>
      <c r="E4116" s="138">
        <v>2.02E-5</v>
      </c>
      <c r="F4116" s="153" t="s">
        <v>135</v>
      </c>
      <c r="G4116" s="153">
        <v>1</v>
      </c>
      <c r="H4116" s="133" t="s">
        <v>39</v>
      </c>
      <c r="I4116" s="133"/>
      <c r="J4116" s="133" t="s">
        <v>2535</v>
      </c>
      <c r="K4116" s="133" t="s">
        <v>831</v>
      </c>
      <c r="L4116" s="167"/>
      <c r="M4116" s="169"/>
    </row>
    <row r="4117" spans="1:13" x14ac:dyDescent="0.55000000000000004">
      <c r="A4117" s="133" t="s">
        <v>2536</v>
      </c>
      <c r="B4117" s="133" t="s">
        <v>3413</v>
      </c>
      <c r="C4117" s="133" t="s">
        <v>497</v>
      </c>
      <c r="D4117" s="133" t="s">
        <v>3288</v>
      </c>
      <c r="E4117" s="138">
        <v>2.7403660000000001E-9</v>
      </c>
      <c r="F4117" s="153" t="s">
        <v>135</v>
      </c>
      <c r="G4117" s="153">
        <v>1</v>
      </c>
      <c r="H4117" s="133" t="s">
        <v>39</v>
      </c>
      <c r="I4117" s="133"/>
      <c r="J4117" s="133" t="s">
        <v>2535</v>
      </c>
      <c r="K4117" s="133" t="s">
        <v>831</v>
      </c>
      <c r="L4117" s="167"/>
      <c r="M4117" s="169"/>
    </row>
    <row r="4118" spans="1:13" x14ac:dyDescent="0.55000000000000004">
      <c r="A4118" s="133" t="s">
        <v>2536</v>
      </c>
      <c r="B4118" s="133" t="s">
        <v>3109</v>
      </c>
      <c r="C4118" s="133" t="s">
        <v>497</v>
      </c>
      <c r="D4118" s="133" t="s">
        <v>3288</v>
      </c>
      <c r="E4118" s="138">
        <v>4.8599999999999998E-8</v>
      </c>
      <c r="F4118" s="153" t="s">
        <v>135</v>
      </c>
      <c r="G4118" s="153">
        <v>1</v>
      </c>
      <c r="H4118" s="133" t="s">
        <v>39</v>
      </c>
      <c r="I4118" s="133"/>
      <c r="J4118" s="133" t="s">
        <v>2535</v>
      </c>
      <c r="K4118" s="133" t="s">
        <v>831</v>
      </c>
      <c r="L4118" s="167"/>
      <c r="M4118" s="169"/>
    </row>
    <row r="4119" spans="1:13" x14ac:dyDescent="0.55000000000000004">
      <c r="A4119" s="133" t="s">
        <v>2536</v>
      </c>
      <c r="B4119" s="133" t="s">
        <v>3414</v>
      </c>
      <c r="C4119" s="133" t="s">
        <v>497</v>
      </c>
      <c r="D4119" s="133" t="s">
        <v>3288</v>
      </c>
      <c r="E4119" s="138">
        <v>2.6200000000000001E-9</v>
      </c>
      <c r="F4119" s="153" t="s">
        <v>135</v>
      </c>
      <c r="G4119" s="153">
        <v>1</v>
      </c>
      <c r="H4119" s="133" t="s">
        <v>39</v>
      </c>
      <c r="I4119" s="133"/>
      <c r="J4119" s="133" t="s">
        <v>2535</v>
      </c>
      <c r="K4119" s="133" t="s">
        <v>831</v>
      </c>
      <c r="L4119" s="167"/>
      <c r="M4119" s="169"/>
    </row>
    <row r="4120" spans="1:13" x14ac:dyDescent="0.55000000000000004">
      <c r="A4120" s="133" t="s">
        <v>2536</v>
      </c>
      <c r="B4120" s="133" t="s">
        <v>2610</v>
      </c>
      <c r="C4120" s="133" t="s">
        <v>497</v>
      </c>
      <c r="D4120" s="133" t="s">
        <v>3288</v>
      </c>
      <c r="E4120" s="138">
        <v>1.556E-5</v>
      </c>
      <c r="F4120" s="153" t="s">
        <v>135</v>
      </c>
      <c r="G4120" s="153">
        <v>1</v>
      </c>
      <c r="H4120" s="133" t="s">
        <v>39</v>
      </c>
      <c r="I4120" s="133"/>
      <c r="J4120" s="133" t="s">
        <v>2535</v>
      </c>
      <c r="K4120" s="133" t="s">
        <v>831</v>
      </c>
      <c r="L4120" s="167"/>
      <c r="M4120" s="169"/>
    </row>
    <row r="4121" spans="1:13" x14ac:dyDescent="0.55000000000000004">
      <c r="A4121" s="133" t="s">
        <v>2536</v>
      </c>
      <c r="B4121" s="133" t="s">
        <v>2944</v>
      </c>
      <c r="C4121" s="133" t="s">
        <v>497</v>
      </c>
      <c r="D4121" s="133" t="s">
        <v>3288</v>
      </c>
      <c r="E4121" s="138">
        <v>2.5099999999999998E-4</v>
      </c>
      <c r="F4121" s="153" t="s">
        <v>135</v>
      </c>
      <c r="G4121" s="153">
        <v>1</v>
      </c>
      <c r="H4121" s="133" t="s">
        <v>39</v>
      </c>
      <c r="I4121" s="133"/>
      <c r="J4121" s="133" t="s">
        <v>2535</v>
      </c>
      <c r="K4121" s="133" t="s">
        <v>831</v>
      </c>
      <c r="L4121" s="167"/>
      <c r="M4121" s="169"/>
    </row>
    <row r="4122" spans="1:13" x14ac:dyDescent="0.55000000000000004">
      <c r="A4122" s="133" t="s">
        <v>2536</v>
      </c>
      <c r="B4122" s="133" t="s">
        <v>1172</v>
      </c>
      <c r="C4122" s="133" t="s">
        <v>497</v>
      </c>
      <c r="D4122" s="133" t="s">
        <v>3288</v>
      </c>
      <c r="E4122" s="138">
        <v>1.11E-5</v>
      </c>
      <c r="F4122" s="153" t="s">
        <v>135</v>
      </c>
      <c r="G4122" s="153">
        <v>1</v>
      </c>
      <c r="H4122" s="133" t="s">
        <v>39</v>
      </c>
      <c r="I4122" s="133"/>
      <c r="J4122" s="133" t="s">
        <v>2535</v>
      </c>
      <c r="K4122" s="133" t="s">
        <v>831</v>
      </c>
      <c r="L4122" s="167"/>
      <c r="M4122" s="169"/>
    </row>
    <row r="4123" spans="1:13" x14ac:dyDescent="0.55000000000000004">
      <c r="A4123" s="133" t="s">
        <v>2536</v>
      </c>
      <c r="B4123" s="133" t="s">
        <v>3111</v>
      </c>
      <c r="C4123" s="133" t="s">
        <v>497</v>
      </c>
      <c r="D4123" s="133" t="s">
        <v>3288</v>
      </c>
      <c r="E4123" s="138">
        <v>7.34E-11</v>
      </c>
      <c r="F4123" s="153" t="s">
        <v>135</v>
      </c>
      <c r="G4123" s="153">
        <v>1</v>
      </c>
      <c r="H4123" s="133" t="s">
        <v>39</v>
      </c>
      <c r="I4123" s="133"/>
      <c r="J4123" s="133" t="s">
        <v>2535</v>
      </c>
      <c r="K4123" s="133" t="s">
        <v>831</v>
      </c>
      <c r="L4123" s="167"/>
      <c r="M4123" s="169"/>
    </row>
    <row r="4124" spans="1:13" x14ac:dyDescent="0.55000000000000004">
      <c r="A4124" s="133" t="s">
        <v>2536</v>
      </c>
      <c r="B4124" s="133" t="s">
        <v>3188</v>
      </c>
      <c r="C4124" s="133" t="s">
        <v>497</v>
      </c>
      <c r="D4124" s="133" t="s">
        <v>3288</v>
      </c>
      <c r="E4124" s="138">
        <v>1.66E-4</v>
      </c>
      <c r="F4124" s="153" t="s">
        <v>135</v>
      </c>
      <c r="G4124" s="153">
        <v>1</v>
      </c>
      <c r="H4124" s="133" t="s">
        <v>39</v>
      </c>
      <c r="I4124" s="133"/>
      <c r="J4124" s="133" t="s">
        <v>2535</v>
      </c>
      <c r="K4124" s="133" t="s">
        <v>831</v>
      </c>
      <c r="L4124" s="167"/>
      <c r="M4124" s="169"/>
    </row>
    <row r="4125" spans="1:13" x14ac:dyDescent="0.55000000000000004">
      <c r="A4125" s="133" t="s">
        <v>2536</v>
      </c>
      <c r="B4125" s="133" t="s">
        <v>3415</v>
      </c>
      <c r="C4125" s="133" t="s">
        <v>497</v>
      </c>
      <c r="D4125" s="133" t="s">
        <v>3288</v>
      </c>
      <c r="E4125" s="138">
        <v>6.7700000000000004E-8</v>
      </c>
      <c r="F4125" s="153" t="s">
        <v>135</v>
      </c>
      <c r="G4125" s="153">
        <v>1</v>
      </c>
      <c r="H4125" s="133" t="s">
        <v>39</v>
      </c>
      <c r="I4125" s="133"/>
      <c r="J4125" s="133" t="s">
        <v>2535</v>
      </c>
      <c r="K4125" s="133" t="s">
        <v>831</v>
      </c>
      <c r="L4125" s="167"/>
      <c r="M4125" s="169"/>
    </row>
    <row r="4126" spans="1:13" x14ac:dyDescent="0.55000000000000004">
      <c r="A4126" s="133" t="s">
        <v>2536</v>
      </c>
      <c r="B4126" s="133" t="s">
        <v>3113</v>
      </c>
      <c r="C4126" s="133" t="s">
        <v>497</v>
      </c>
      <c r="D4126" s="133" t="s">
        <v>3288</v>
      </c>
      <c r="E4126" s="138">
        <v>1.9548E-7</v>
      </c>
      <c r="F4126" s="153" t="s">
        <v>135</v>
      </c>
      <c r="G4126" s="153">
        <v>1</v>
      </c>
      <c r="H4126" s="133" t="s">
        <v>39</v>
      </c>
      <c r="I4126" s="133"/>
      <c r="J4126" s="133" t="s">
        <v>2535</v>
      </c>
      <c r="K4126" s="133" t="s">
        <v>831</v>
      </c>
      <c r="L4126" s="167"/>
      <c r="M4126" s="169"/>
    </row>
    <row r="4127" spans="1:13" x14ac:dyDescent="0.55000000000000004">
      <c r="A4127" s="133" t="s">
        <v>2536</v>
      </c>
      <c r="B4127" s="133" t="s">
        <v>154</v>
      </c>
      <c r="C4127" s="133" t="s">
        <v>497</v>
      </c>
      <c r="D4127" s="133" t="s">
        <v>3289</v>
      </c>
      <c r="E4127" s="138">
        <v>1.902E-3</v>
      </c>
      <c r="F4127" s="153" t="s">
        <v>133</v>
      </c>
      <c r="G4127" s="153">
        <v>1</v>
      </c>
      <c r="H4127" s="133" t="s">
        <v>39</v>
      </c>
      <c r="I4127" s="133"/>
      <c r="J4127" s="133" t="s">
        <v>2535</v>
      </c>
      <c r="K4127" s="133" t="s">
        <v>831</v>
      </c>
      <c r="L4127" s="167"/>
      <c r="M4127" s="169"/>
    </row>
    <row r="4128" spans="1:13" x14ac:dyDescent="0.55000000000000004">
      <c r="A4128" s="133" t="s">
        <v>2536</v>
      </c>
      <c r="B4128" s="133" t="s">
        <v>1101</v>
      </c>
      <c r="C4128" s="133" t="s">
        <v>497</v>
      </c>
      <c r="D4128" s="133" t="s">
        <v>3288</v>
      </c>
      <c r="E4128" s="138">
        <v>7.2489999999999993E-7</v>
      </c>
      <c r="F4128" s="153" t="s">
        <v>135</v>
      </c>
      <c r="G4128" s="153">
        <v>1</v>
      </c>
      <c r="H4128" s="133" t="s">
        <v>39</v>
      </c>
      <c r="I4128" s="133"/>
      <c r="J4128" s="133" t="s">
        <v>2535</v>
      </c>
      <c r="K4128" s="133" t="s">
        <v>831</v>
      </c>
      <c r="L4128" s="167"/>
      <c r="M4128" s="169"/>
    </row>
    <row r="4129" spans="1:13" x14ac:dyDescent="0.55000000000000004">
      <c r="A4129" s="133" t="s">
        <v>2539</v>
      </c>
      <c r="B4129" s="133" t="s">
        <v>3193</v>
      </c>
      <c r="C4129" s="133" t="s">
        <v>121</v>
      </c>
      <c r="D4129" s="133" t="s">
        <v>2682</v>
      </c>
      <c r="E4129" s="138">
        <v>1</v>
      </c>
      <c r="F4129" s="153">
        <v>1</v>
      </c>
      <c r="G4129" s="153">
        <v>1</v>
      </c>
      <c r="H4129" s="133" t="s">
        <v>39</v>
      </c>
      <c r="I4129" s="133"/>
      <c r="J4129" s="133" t="s">
        <v>2538</v>
      </c>
      <c r="K4129" s="133" t="s">
        <v>831</v>
      </c>
      <c r="L4129" s="167"/>
      <c r="M4129" s="169"/>
    </row>
    <row r="4130" spans="1:13" x14ac:dyDescent="0.55000000000000004">
      <c r="A4130" s="133" t="s">
        <v>2539</v>
      </c>
      <c r="B4130" s="133" t="s">
        <v>3194</v>
      </c>
      <c r="C4130" s="133" t="s">
        <v>348</v>
      </c>
      <c r="D4130" s="133" t="s">
        <v>3288</v>
      </c>
      <c r="E4130" s="138">
        <v>1</v>
      </c>
      <c r="F4130" s="153" t="s">
        <v>135</v>
      </c>
      <c r="G4130" s="153">
        <v>1</v>
      </c>
      <c r="H4130" s="133" t="s">
        <v>39</v>
      </c>
      <c r="I4130" s="133"/>
      <c r="J4130" s="133" t="s">
        <v>2538</v>
      </c>
      <c r="K4130" s="133" t="s">
        <v>831</v>
      </c>
      <c r="L4130" s="167"/>
      <c r="M4130" s="169"/>
    </row>
    <row r="4131" spans="1:13" x14ac:dyDescent="0.55000000000000004">
      <c r="A4131" s="133" t="s">
        <v>2539</v>
      </c>
      <c r="B4131" s="133" t="s">
        <v>262</v>
      </c>
      <c r="C4131" s="133" t="s">
        <v>127</v>
      </c>
      <c r="D4131" s="133" t="s">
        <v>3288</v>
      </c>
      <c r="E4131" s="138">
        <v>4.9399999999999999E-2</v>
      </c>
      <c r="F4131" s="153" t="s">
        <v>135</v>
      </c>
      <c r="G4131" s="153">
        <v>1</v>
      </c>
      <c r="H4131" s="133" t="s">
        <v>39</v>
      </c>
      <c r="I4131" s="133"/>
      <c r="J4131" s="133" t="s">
        <v>2538</v>
      </c>
      <c r="K4131" s="133" t="s">
        <v>831</v>
      </c>
      <c r="L4131" s="167"/>
      <c r="M4131" s="169"/>
    </row>
    <row r="4132" spans="1:13" x14ac:dyDescent="0.55000000000000004">
      <c r="A4132" s="133" t="s">
        <v>2539</v>
      </c>
      <c r="B4132" s="133" t="s">
        <v>153</v>
      </c>
      <c r="C4132" s="133" t="s">
        <v>127</v>
      </c>
      <c r="D4132" s="133" t="s">
        <v>2994</v>
      </c>
      <c r="E4132" s="138">
        <v>2.4</v>
      </c>
      <c r="F4132" s="153" t="s">
        <v>130</v>
      </c>
      <c r="G4132" s="153">
        <v>1</v>
      </c>
      <c r="H4132" s="133" t="s">
        <v>39</v>
      </c>
      <c r="I4132" s="133"/>
      <c r="J4132" s="133" t="s">
        <v>2538</v>
      </c>
      <c r="K4132" s="133" t="s">
        <v>831</v>
      </c>
      <c r="L4132" s="167"/>
      <c r="M4132" s="169"/>
    </row>
    <row r="4133" spans="1:13" x14ac:dyDescent="0.55000000000000004">
      <c r="A4133" s="133" t="s">
        <v>2539</v>
      </c>
      <c r="B4133" s="133" t="s">
        <v>508</v>
      </c>
      <c r="C4133" s="133" t="s">
        <v>127</v>
      </c>
      <c r="D4133" s="133" t="s">
        <v>3289</v>
      </c>
      <c r="E4133" s="138">
        <v>2.2999999999999998</v>
      </c>
      <c r="F4133" s="153" t="s">
        <v>128</v>
      </c>
      <c r="G4133" s="153">
        <v>1</v>
      </c>
      <c r="H4133" s="133" t="s">
        <v>39</v>
      </c>
      <c r="I4133" s="133"/>
      <c r="J4133" s="133" t="s">
        <v>2538</v>
      </c>
      <c r="K4133" s="133" t="s">
        <v>831</v>
      </c>
      <c r="L4133" s="167"/>
      <c r="M4133" s="169"/>
    </row>
    <row r="4134" spans="1:13" x14ac:dyDescent="0.55000000000000004">
      <c r="A4134" s="133" t="s">
        <v>2539</v>
      </c>
      <c r="B4134" s="133" t="s">
        <v>603</v>
      </c>
      <c r="C4134" s="133" t="s">
        <v>348</v>
      </c>
      <c r="D4134" s="133" t="s">
        <v>3288</v>
      </c>
      <c r="E4134" s="138">
        <v>9.5999999999999992E-3</v>
      </c>
      <c r="F4134" s="153" t="s">
        <v>135</v>
      </c>
      <c r="G4134" s="153">
        <v>1</v>
      </c>
      <c r="H4134" s="133" t="s">
        <v>39</v>
      </c>
      <c r="I4134" s="133"/>
      <c r="J4134" s="133" t="s">
        <v>2538</v>
      </c>
      <c r="K4134" s="133" t="s">
        <v>831</v>
      </c>
      <c r="L4134" s="167"/>
      <c r="M4134" s="169"/>
    </row>
    <row r="4135" spans="1:13" x14ac:dyDescent="0.55000000000000004">
      <c r="A4135" s="133" t="s">
        <v>2539</v>
      </c>
      <c r="B4135" s="133" t="s">
        <v>3065</v>
      </c>
      <c r="C4135" s="133" t="s">
        <v>348</v>
      </c>
      <c r="D4135" s="133" t="s">
        <v>3288</v>
      </c>
      <c r="E4135" s="138">
        <v>5.0000000000000001E-4</v>
      </c>
      <c r="F4135" s="153" t="s">
        <v>135</v>
      </c>
      <c r="G4135" s="153">
        <v>1</v>
      </c>
      <c r="H4135" s="133" t="s">
        <v>39</v>
      </c>
      <c r="I4135" s="133"/>
      <c r="J4135" s="133" t="s">
        <v>2538</v>
      </c>
      <c r="K4135" s="133" t="s">
        <v>831</v>
      </c>
      <c r="L4135" s="167"/>
      <c r="M4135" s="169"/>
    </row>
    <row r="4136" spans="1:13" x14ac:dyDescent="0.55000000000000004">
      <c r="A4136" s="133" t="s">
        <v>2539</v>
      </c>
      <c r="B4136" s="133" t="s">
        <v>153</v>
      </c>
      <c r="C4136" s="133" t="s">
        <v>156</v>
      </c>
      <c r="D4136" s="133" t="s">
        <v>2994</v>
      </c>
      <c r="E4136" s="138">
        <v>317</v>
      </c>
      <c r="F4136" s="153" t="s">
        <v>130</v>
      </c>
      <c r="G4136" s="153">
        <v>1</v>
      </c>
      <c r="H4136" s="133" t="s">
        <v>39</v>
      </c>
      <c r="I4136" s="133"/>
      <c r="J4136" s="133" t="s">
        <v>2538</v>
      </c>
      <c r="K4136" s="133" t="s">
        <v>831</v>
      </c>
      <c r="L4136" s="167"/>
      <c r="M4136" s="169"/>
    </row>
    <row r="4137" spans="1:13" x14ac:dyDescent="0.55000000000000004">
      <c r="A4137" s="133" t="s">
        <v>2539</v>
      </c>
      <c r="B4137" s="133" t="s">
        <v>3195</v>
      </c>
      <c r="C4137" s="133" t="s">
        <v>156</v>
      </c>
      <c r="D4137" s="133" t="s">
        <v>3288</v>
      </c>
      <c r="E4137" s="138">
        <v>4.0899999999999999E-2</v>
      </c>
      <c r="F4137" s="153" t="s">
        <v>135</v>
      </c>
      <c r="G4137" s="153">
        <v>1</v>
      </c>
      <c r="H4137" s="133" t="s">
        <v>39</v>
      </c>
      <c r="I4137" s="133"/>
      <c r="J4137" s="133" t="s">
        <v>2538</v>
      </c>
      <c r="K4137" s="133" t="s">
        <v>831</v>
      </c>
      <c r="L4137" s="167"/>
      <c r="M4137" s="169"/>
    </row>
    <row r="4138" spans="1:13" x14ac:dyDescent="0.55000000000000004">
      <c r="A4138" s="133" t="s">
        <v>2539</v>
      </c>
      <c r="B4138" s="133" t="s">
        <v>3196</v>
      </c>
      <c r="C4138" s="133" t="s">
        <v>156</v>
      </c>
      <c r="D4138" s="133" t="s">
        <v>3288</v>
      </c>
      <c r="E4138" s="138">
        <v>6.5799999999999997E-2</v>
      </c>
      <c r="F4138" s="153" t="s">
        <v>135</v>
      </c>
      <c r="G4138" s="153">
        <v>1</v>
      </c>
      <c r="H4138" s="133" t="s">
        <v>39</v>
      </c>
      <c r="I4138" s="133"/>
      <c r="J4138" s="133" t="s">
        <v>2538</v>
      </c>
      <c r="K4138" s="133" t="s">
        <v>831</v>
      </c>
      <c r="L4138" s="167"/>
      <c r="M4138" s="169"/>
    </row>
    <row r="4139" spans="1:13" x14ac:dyDescent="0.55000000000000004">
      <c r="A4139" s="133" t="s">
        <v>2539</v>
      </c>
      <c r="B4139" s="133" t="s">
        <v>3197</v>
      </c>
      <c r="C4139" s="133" t="s">
        <v>497</v>
      </c>
      <c r="D4139" s="133" t="s">
        <v>3288</v>
      </c>
      <c r="E4139" s="138">
        <v>1.4699999999999999E-8</v>
      </c>
      <c r="F4139" s="153" t="s">
        <v>135</v>
      </c>
      <c r="G4139" s="153">
        <v>1</v>
      </c>
      <c r="H4139" s="133" t="s">
        <v>39</v>
      </c>
      <c r="I4139" s="133"/>
      <c r="J4139" s="133" t="s">
        <v>2538</v>
      </c>
      <c r="K4139" s="133" t="s">
        <v>831</v>
      </c>
      <c r="L4139" s="167"/>
      <c r="M4139" s="169"/>
    </row>
    <row r="4140" spans="1:13" x14ac:dyDescent="0.55000000000000004">
      <c r="A4140" s="133" t="s">
        <v>2539</v>
      </c>
      <c r="B4140" s="133" t="s">
        <v>3198</v>
      </c>
      <c r="C4140" s="133" t="s">
        <v>497</v>
      </c>
      <c r="D4140" s="133" t="s">
        <v>3288</v>
      </c>
      <c r="E4140" s="138">
        <v>2.96E-8</v>
      </c>
      <c r="F4140" s="153" t="s">
        <v>135</v>
      </c>
      <c r="G4140" s="153">
        <v>1</v>
      </c>
      <c r="H4140" s="133" t="s">
        <v>39</v>
      </c>
      <c r="I4140" s="133"/>
      <c r="J4140" s="133" t="s">
        <v>2538</v>
      </c>
      <c r="K4140" s="133" t="s">
        <v>831</v>
      </c>
      <c r="L4140" s="167"/>
      <c r="M4140" s="169"/>
    </row>
    <row r="4141" spans="1:13" x14ac:dyDescent="0.55000000000000004">
      <c r="A4141" s="133" t="s">
        <v>2539</v>
      </c>
      <c r="B4141" s="133" t="s">
        <v>726</v>
      </c>
      <c r="C4141" s="133" t="s">
        <v>497</v>
      </c>
      <c r="D4141" s="133" t="s">
        <v>3288</v>
      </c>
      <c r="E4141" s="138">
        <v>1.2999999999999999E-12</v>
      </c>
      <c r="F4141" s="153" t="s">
        <v>135</v>
      </c>
      <c r="G4141" s="153">
        <v>1</v>
      </c>
      <c r="H4141" s="133" t="s">
        <v>39</v>
      </c>
      <c r="I4141" s="133"/>
      <c r="J4141" s="133" t="s">
        <v>2538</v>
      </c>
      <c r="K4141" s="133" t="s">
        <v>831</v>
      </c>
      <c r="L4141" s="167"/>
      <c r="M4141" s="169"/>
    </row>
    <row r="4142" spans="1:13" x14ac:dyDescent="0.55000000000000004">
      <c r="A4142" s="133" t="s">
        <v>2539</v>
      </c>
      <c r="B4142" s="133" t="s">
        <v>2975</v>
      </c>
      <c r="C4142" s="133" t="s">
        <v>497</v>
      </c>
      <c r="D4142" s="133" t="s">
        <v>3288</v>
      </c>
      <c r="E4142" s="138">
        <v>6.87E-8</v>
      </c>
      <c r="F4142" s="153" t="s">
        <v>135</v>
      </c>
      <c r="G4142" s="153">
        <v>1</v>
      </c>
      <c r="H4142" s="133" t="s">
        <v>39</v>
      </c>
      <c r="I4142" s="133"/>
      <c r="J4142" s="133" t="s">
        <v>2538</v>
      </c>
      <c r="K4142" s="133" t="s">
        <v>831</v>
      </c>
      <c r="L4142" s="167"/>
      <c r="M4142" s="169"/>
    </row>
    <row r="4143" spans="1:13" x14ac:dyDescent="0.55000000000000004">
      <c r="A4143" s="133" t="s">
        <v>2539</v>
      </c>
      <c r="B4143" s="133" t="s">
        <v>3199</v>
      </c>
      <c r="C4143" s="133" t="s">
        <v>497</v>
      </c>
      <c r="D4143" s="133" t="s">
        <v>3288</v>
      </c>
      <c r="E4143" s="138">
        <v>1.603E-7</v>
      </c>
      <c r="F4143" s="153" t="s">
        <v>135</v>
      </c>
      <c r="G4143" s="153">
        <v>1</v>
      </c>
      <c r="H4143" s="133" t="s">
        <v>39</v>
      </c>
      <c r="I4143" s="133"/>
      <c r="J4143" s="133" t="s">
        <v>2538</v>
      </c>
      <c r="K4143" s="133" t="s">
        <v>831</v>
      </c>
      <c r="L4143" s="167"/>
      <c r="M4143" s="169"/>
    </row>
    <row r="4144" spans="1:13" x14ac:dyDescent="0.55000000000000004">
      <c r="A4144" s="133" t="s">
        <v>2539</v>
      </c>
      <c r="B4144" s="133" t="s">
        <v>556</v>
      </c>
      <c r="C4144" s="133" t="s">
        <v>497</v>
      </c>
      <c r="D4144" s="133" t="s">
        <v>3288</v>
      </c>
      <c r="E4144" s="138">
        <v>2.1900000000000002E-6</v>
      </c>
      <c r="F4144" s="153" t="s">
        <v>135</v>
      </c>
      <c r="G4144" s="154">
        <v>1</v>
      </c>
      <c r="H4144" s="133" t="s">
        <v>39</v>
      </c>
      <c r="I4144" s="133"/>
      <c r="J4144" s="133" t="s">
        <v>2538</v>
      </c>
      <c r="K4144" s="133" t="s">
        <v>831</v>
      </c>
      <c r="L4144" s="167"/>
      <c r="M4144" s="169"/>
    </row>
    <row r="4145" spans="1:13" x14ac:dyDescent="0.55000000000000004">
      <c r="A4145" s="133" t="s">
        <v>2539</v>
      </c>
      <c r="B4145" s="133" t="s">
        <v>2874</v>
      </c>
      <c r="C4145" s="133" t="s">
        <v>497</v>
      </c>
      <c r="D4145" s="133" t="s">
        <v>3288</v>
      </c>
      <c r="E4145" s="138">
        <v>9.5209999999999999E-4</v>
      </c>
      <c r="F4145" s="153" t="s">
        <v>135</v>
      </c>
      <c r="G4145" s="154">
        <v>1</v>
      </c>
      <c r="H4145" s="133" t="s">
        <v>39</v>
      </c>
      <c r="I4145" s="133"/>
      <c r="J4145" s="133" t="s">
        <v>2538</v>
      </c>
      <c r="K4145" s="133" t="s">
        <v>831</v>
      </c>
      <c r="L4145" s="167"/>
      <c r="M4145" s="169"/>
    </row>
    <row r="4146" spans="1:13" x14ac:dyDescent="0.55000000000000004">
      <c r="A4146" s="133" t="s">
        <v>2539</v>
      </c>
      <c r="B4146" s="133" t="s">
        <v>2880</v>
      </c>
      <c r="C4146" s="133" t="s">
        <v>497</v>
      </c>
      <c r="D4146" s="133" t="s">
        <v>3288</v>
      </c>
      <c r="E4146" s="138">
        <v>4.9229999999999999E-4</v>
      </c>
      <c r="F4146" s="153" t="s">
        <v>135</v>
      </c>
      <c r="G4146" s="154">
        <v>1</v>
      </c>
      <c r="H4146" s="133" t="s">
        <v>39</v>
      </c>
      <c r="I4146" s="133"/>
      <c r="J4146" s="133" t="s">
        <v>2538</v>
      </c>
      <c r="K4146" s="133" t="s">
        <v>831</v>
      </c>
      <c r="L4146" s="167"/>
      <c r="M4146" s="169"/>
    </row>
    <row r="4147" spans="1:13" x14ac:dyDescent="0.55000000000000004">
      <c r="A4147" s="133" t="s">
        <v>2539</v>
      </c>
      <c r="B4147" s="133" t="s">
        <v>2790</v>
      </c>
      <c r="C4147" s="133" t="s">
        <v>497</v>
      </c>
      <c r="D4147" s="133" t="s">
        <v>3288</v>
      </c>
      <c r="E4147" s="138">
        <v>1.06E-3</v>
      </c>
      <c r="F4147" s="153" t="s">
        <v>135</v>
      </c>
      <c r="G4147" s="154">
        <v>1</v>
      </c>
      <c r="H4147" s="133" t="s">
        <v>39</v>
      </c>
      <c r="I4147" s="133"/>
      <c r="J4147" s="133" t="s">
        <v>2538</v>
      </c>
      <c r="K4147" s="133" t="s">
        <v>831</v>
      </c>
      <c r="L4147" s="167"/>
      <c r="M4147" s="169"/>
    </row>
    <row r="4148" spans="1:13" x14ac:dyDescent="0.55000000000000004">
      <c r="A4148" s="133" t="s">
        <v>2539</v>
      </c>
      <c r="B4148" s="133" t="s">
        <v>3200</v>
      </c>
      <c r="C4148" s="133" t="s">
        <v>497</v>
      </c>
      <c r="D4148" s="133" t="s">
        <v>3288</v>
      </c>
      <c r="E4148" s="138">
        <v>4.85E-5</v>
      </c>
      <c r="F4148" s="153" t="s">
        <v>135</v>
      </c>
      <c r="G4148" s="154">
        <v>1</v>
      </c>
      <c r="H4148" s="133" t="s">
        <v>39</v>
      </c>
      <c r="I4148" s="133"/>
      <c r="J4148" s="133" t="s">
        <v>2538</v>
      </c>
      <c r="K4148" s="133" t="s">
        <v>831</v>
      </c>
      <c r="L4148" s="167"/>
      <c r="M4148" s="169"/>
    </row>
    <row r="4149" spans="1:13" x14ac:dyDescent="0.55000000000000004">
      <c r="A4149" s="133" t="s">
        <v>2539</v>
      </c>
      <c r="B4149" s="133" t="s">
        <v>3201</v>
      </c>
      <c r="C4149" s="133" t="s">
        <v>497</v>
      </c>
      <c r="D4149" s="133" t="s">
        <v>3288</v>
      </c>
      <c r="E4149" s="138">
        <v>2.6000000000000001E-6</v>
      </c>
      <c r="F4149" s="153" t="s">
        <v>135</v>
      </c>
      <c r="G4149" s="154">
        <v>1</v>
      </c>
      <c r="H4149" s="133" t="s">
        <v>39</v>
      </c>
      <c r="I4149" s="133"/>
      <c r="J4149" s="133" t="s">
        <v>2538</v>
      </c>
      <c r="K4149" s="133" t="s">
        <v>831</v>
      </c>
      <c r="L4149" s="167"/>
      <c r="M4149" s="169"/>
    </row>
    <row r="4150" spans="1:13" x14ac:dyDescent="0.55000000000000004">
      <c r="A4150" s="133" t="s">
        <v>2539</v>
      </c>
      <c r="B4150" s="133" t="s">
        <v>3419</v>
      </c>
      <c r="C4150" s="133" t="s">
        <v>497</v>
      </c>
      <c r="D4150" s="133" t="s">
        <v>3288</v>
      </c>
      <c r="E4150" s="138">
        <v>4.8600000000000002E-5</v>
      </c>
      <c r="F4150" s="153" t="s">
        <v>135</v>
      </c>
      <c r="G4150" s="154">
        <v>1</v>
      </c>
      <c r="H4150" s="133" t="s">
        <v>39</v>
      </c>
      <c r="I4150" s="133"/>
      <c r="J4150" s="133" t="s">
        <v>2538</v>
      </c>
      <c r="K4150" s="133" t="s">
        <v>831</v>
      </c>
      <c r="L4150" s="167"/>
      <c r="M4150" s="169"/>
    </row>
    <row r="4151" spans="1:13" x14ac:dyDescent="0.55000000000000004">
      <c r="A4151" s="133" t="s">
        <v>2539</v>
      </c>
      <c r="B4151" s="133" t="s">
        <v>3203</v>
      </c>
      <c r="C4151" s="133" t="s">
        <v>497</v>
      </c>
      <c r="D4151" s="133" t="s">
        <v>3288</v>
      </c>
      <c r="E4151" s="138">
        <v>3.2E-13</v>
      </c>
      <c r="F4151" s="153" t="s">
        <v>135</v>
      </c>
      <c r="G4151" s="154">
        <v>1</v>
      </c>
      <c r="H4151" s="133" t="s">
        <v>39</v>
      </c>
      <c r="I4151" s="133"/>
      <c r="J4151" s="133" t="s">
        <v>2538</v>
      </c>
      <c r="K4151" s="133" t="s">
        <v>831</v>
      </c>
      <c r="L4151" s="167"/>
      <c r="M4151" s="169"/>
    </row>
    <row r="4152" spans="1:13" x14ac:dyDescent="0.55000000000000004">
      <c r="A4152" s="133" t="s">
        <v>2543</v>
      </c>
      <c r="B4152" s="133" t="s">
        <v>3193</v>
      </c>
      <c r="C4152" s="133" t="s">
        <v>121</v>
      </c>
      <c r="D4152" s="133" t="s">
        <v>2682</v>
      </c>
      <c r="E4152" s="138">
        <v>1</v>
      </c>
      <c r="F4152" s="153">
        <v>1</v>
      </c>
      <c r="G4152" s="153">
        <v>1</v>
      </c>
      <c r="H4152" s="133" t="s">
        <v>39</v>
      </c>
      <c r="I4152" s="133"/>
      <c r="J4152" s="133" t="s">
        <v>2542</v>
      </c>
      <c r="K4152" s="133" t="s">
        <v>831</v>
      </c>
      <c r="L4152" s="167"/>
      <c r="M4152" s="169"/>
    </row>
    <row r="4153" spans="1:13" x14ac:dyDescent="0.55000000000000004">
      <c r="A4153" s="133" t="s">
        <v>2543</v>
      </c>
      <c r="B4153" s="133" t="s">
        <v>3194</v>
      </c>
      <c r="C4153" s="133" t="s">
        <v>348</v>
      </c>
      <c r="D4153" s="133" t="s">
        <v>3288</v>
      </c>
      <c r="E4153" s="138">
        <v>1</v>
      </c>
      <c r="F4153" s="153" t="s">
        <v>135</v>
      </c>
      <c r="G4153" s="153">
        <v>1</v>
      </c>
      <c r="H4153" s="133" t="s">
        <v>39</v>
      </c>
      <c r="I4153" s="133"/>
      <c r="J4153" s="133" t="s">
        <v>2542</v>
      </c>
      <c r="K4153" s="133" t="s">
        <v>831</v>
      </c>
      <c r="L4153" s="167"/>
      <c r="M4153" s="169"/>
    </row>
    <row r="4154" spans="1:13" x14ac:dyDescent="0.55000000000000004">
      <c r="A4154" s="133" t="s">
        <v>2543</v>
      </c>
      <c r="B4154" s="133" t="s">
        <v>505</v>
      </c>
      <c r="C4154" s="133" t="s">
        <v>127</v>
      </c>
      <c r="D4154" s="133" t="s">
        <v>3289</v>
      </c>
      <c r="E4154" s="138">
        <v>5.2</v>
      </c>
      <c r="F4154" s="153" t="s">
        <v>128</v>
      </c>
      <c r="G4154" s="153">
        <v>1</v>
      </c>
      <c r="H4154" s="133" t="s">
        <v>39</v>
      </c>
      <c r="I4154" s="133"/>
      <c r="J4154" s="133" t="s">
        <v>2542</v>
      </c>
      <c r="K4154" s="133" t="s">
        <v>831</v>
      </c>
      <c r="L4154" s="167"/>
      <c r="M4154" s="169"/>
    </row>
    <row r="4155" spans="1:13" x14ac:dyDescent="0.55000000000000004">
      <c r="A4155" s="133" t="s">
        <v>2543</v>
      </c>
      <c r="B4155" s="133" t="s">
        <v>153</v>
      </c>
      <c r="C4155" s="133" t="s">
        <v>127</v>
      </c>
      <c r="D4155" s="133" t="s">
        <v>2994</v>
      </c>
      <c r="E4155" s="138">
        <v>1.3</v>
      </c>
      <c r="F4155" s="153" t="s">
        <v>130</v>
      </c>
      <c r="G4155" s="153">
        <v>1</v>
      </c>
      <c r="H4155" s="133" t="s">
        <v>39</v>
      </c>
      <c r="I4155" s="133"/>
      <c r="J4155" s="133" t="s">
        <v>2542</v>
      </c>
      <c r="K4155" s="133" t="s">
        <v>831</v>
      </c>
      <c r="L4155" s="167"/>
      <c r="M4155" s="169"/>
    </row>
    <row r="4156" spans="1:13" x14ac:dyDescent="0.55000000000000004">
      <c r="A4156" s="133" t="s">
        <v>2543</v>
      </c>
      <c r="B4156" s="133" t="s">
        <v>508</v>
      </c>
      <c r="C4156" s="133" t="s">
        <v>127</v>
      </c>
      <c r="D4156" s="133" t="s">
        <v>3289</v>
      </c>
      <c r="E4156" s="138">
        <v>5.6</v>
      </c>
      <c r="F4156" s="153" t="s">
        <v>128</v>
      </c>
      <c r="G4156" s="153">
        <v>1</v>
      </c>
      <c r="H4156" s="133" t="s">
        <v>39</v>
      </c>
      <c r="I4156" s="133"/>
      <c r="J4156" s="133" t="s">
        <v>2542</v>
      </c>
      <c r="K4156" s="133" t="s">
        <v>831</v>
      </c>
      <c r="L4156" s="167"/>
      <c r="M4156" s="169"/>
    </row>
    <row r="4157" spans="1:13" x14ac:dyDescent="0.55000000000000004">
      <c r="A4157" s="133" t="s">
        <v>2543</v>
      </c>
      <c r="B4157" s="133" t="s">
        <v>603</v>
      </c>
      <c r="C4157" s="133" t="s">
        <v>348</v>
      </c>
      <c r="D4157" s="133" t="s">
        <v>3288</v>
      </c>
      <c r="E4157" s="138">
        <v>1.0200000000000001E-2</v>
      </c>
      <c r="F4157" s="153" t="s">
        <v>135</v>
      </c>
      <c r="G4157" s="153">
        <v>1</v>
      </c>
      <c r="H4157" s="133" t="s">
        <v>39</v>
      </c>
      <c r="I4157" s="133"/>
      <c r="J4157" s="133" t="s">
        <v>2542</v>
      </c>
      <c r="K4157" s="133" t="s">
        <v>831</v>
      </c>
      <c r="L4157" s="167"/>
      <c r="M4157" s="169"/>
    </row>
    <row r="4158" spans="1:13" x14ac:dyDescent="0.55000000000000004">
      <c r="A4158" s="133" t="s">
        <v>2543</v>
      </c>
      <c r="B4158" s="133" t="s">
        <v>148</v>
      </c>
      <c r="C4158" s="133" t="s">
        <v>348</v>
      </c>
      <c r="D4158" s="133" t="s">
        <v>3288</v>
      </c>
      <c r="E4158" s="138">
        <v>2E-3</v>
      </c>
      <c r="F4158" s="153" t="s">
        <v>135</v>
      </c>
      <c r="G4158" s="153">
        <v>1</v>
      </c>
      <c r="H4158" s="133" t="s">
        <v>39</v>
      </c>
      <c r="I4158" s="133"/>
      <c r="J4158" s="133" t="s">
        <v>2542</v>
      </c>
      <c r="K4158" s="133" t="s">
        <v>831</v>
      </c>
      <c r="L4158" s="167"/>
      <c r="M4158" s="169"/>
    </row>
    <row r="4159" spans="1:13" x14ac:dyDescent="0.55000000000000004">
      <c r="A4159" s="133" t="s">
        <v>2543</v>
      </c>
      <c r="B4159" s="133" t="s">
        <v>3065</v>
      </c>
      <c r="C4159" s="133" t="s">
        <v>348</v>
      </c>
      <c r="D4159" s="133" t="s">
        <v>3288</v>
      </c>
      <c r="E4159" s="138">
        <v>1E-3</v>
      </c>
      <c r="F4159" s="153" t="s">
        <v>135</v>
      </c>
      <c r="G4159" s="153">
        <v>1</v>
      </c>
      <c r="H4159" s="133" t="s">
        <v>39</v>
      </c>
      <c r="I4159" s="133"/>
      <c r="J4159" s="133" t="s">
        <v>2542</v>
      </c>
      <c r="K4159" s="133" t="s">
        <v>831</v>
      </c>
      <c r="L4159" s="167"/>
      <c r="M4159" s="169"/>
    </row>
    <row r="4160" spans="1:13" x14ac:dyDescent="0.55000000000000004">
      <c r="A4160" s="133" t="s">
        <v>2543</v>
      </c>
      <c r="B4160" s="133" t="s">
        <v>3204</v>
      </c>
      <c r="C4160" s="133" t="s">
        <v>348</v>
      </c>
      <c r="D4160" s="133" t="s">
        <v>3288</v>
      </c>
      <c r="E4160" s="138">
        <v>2.8999999999999998E-3</v>
      </c>
      <c r="F4160" s="153" t="s">
        <v>135</v>
      </c>
      <c r="G4160" s="153">
        <v>1</v>
      </c>
      <c r="H4160" s="133" t="s">
        <v>39</v>
      </c>
      <c r="I4160" s="133"/>
      <c r="J4160" s="133" t="s">
        <v>2542</v>
      </c>
      <c r="K4160" s="133" t="s">
        <v>831</v>
      </c>
      <c r="L4160" s="167"/>
      <c r="M4160" s="169"/>
    </row>
    <row r="4161" spans="1:13" x14ac:dyDescent="0.55000000000000004">
      <c r="A4161" s="133" t="s">
        <v>2543</v>
      </c>
      <c r="B4161" s="133" t="s">
        <v>153</v>
      </c>
      <c r="C4161" s="133" t="s">
        <v>156</v>
      </c>
      <c r="D4161" s="133" t="s">
        <v>2994</v>
      </c>
      <c r="E4161" s="138">
        <v>180.5</v>
      </c>
      <c r="F4161" s="153" t="s">
        <v>130</v>
      </c>
      <c r="G4161" s="153">
        <v>1</v>
      </c>
      <c r="H4161" s="133" t="s">
        <v>39</v>
      </c>
      <c r="I4161" s="133"/>
      <c r="J4161" s="133" t="s">
        <v>2542</v>
      </c>
      <c r="K4161" s="133" t="s">
        <v>831</v>
      </c>
      <c r="L4161" s="167"/>
      <c r="M4161" s="169"/>
    </row>
    <row r="4162" spans="1:13" x14ac:dyDescent="0.55000000000000004">
      <c r="A4162" s="133" t="s">
        <v>2543</v>
      </c>
      <c r="B4162" s="133" t="s">
        <v>496</v>
      </c>
      <c r="C4162" s="133" t="s">
        <v>156</v>
      </c>
      <c r="D4162" s="133" t="s">
        <v>2994</v>
      </c>
      <c r="E4162" s="138">
        <v>1999.5</v>
      </c>
      <c r="F4162" s="153" t="s">
        <v>167</v>
      </c>
      <c r="G4162" s="153">
        <v>1</v>
      </c>
      <c r="H4162" s="133" t="s">
        <v>39</v>
      </c>
      <c r="I4162" s="133" t="s">
        <v>3205</v>
      </c>
      <c r="J4162" s="133" t="s">
        <v>2542</v>
      </c>
      <c r="K4162" s="133" t="s">
        <v>831</v>
      </c>
      <c r="L4162" s="167"/>
      <c r="M4162" s="169"/>
    </row>
    <row r="4163" spans="1:13" x14ac:dyDescent="0.55000000000000004">
      <c r="A4163" s="133" t="s">
        <v>2543</v>
      </c>
      <c r="B4163" s="133" t="s">
        <v>3195</v>
      </c>
      <c r="C4163" s="133" t="s">
        <v>156</v>
      </c>
      <c r="D4163" s="133" t="s">
        <v>3288</v>
      </c>
      <c r="E4163" s="138">
        <v>0.23799999999999999</v>
      </c>
      <c r="F4163" s="153" t="s">
        <v>135</v>
      </c>
      <c r="G4163" s="153">
        <v>1</v>
      </c>
      <c r="H4163" s="133" t="s">
        <v>39</v>
      </c>
      <c r="I4163" s="133"/>
      <c r="J4163" s="133" t="s">
        <v>2542</v>
      </c>
      <c r="K4163" s="133" t="s">
        <v>831</v>
      </c>
      <c r="L4163" s="167"/>
      <c r="M4163" s="169"/>
    </row>
    <row r="4164" spans="1:13" x14ac:dyDescent="0.55000000000000004">
      <c r="A4164" s="133" t="s">
        <v>2543</v>
      </c>
      <c r="B4164" s="133" t="s">
        <v>3196</v>
      </c>
      <c r="C4164" s="133" t="s">
        <v>156</v>
      </c>
      <c r="D4164" s="133" t="s">
        <v>3288</v>
      </c>
      <c r="E4164" s="138">
        <v>3.4299999999999997E-2</v>
      </c>
      <c r="F4164" s="153" t="s">
        <v>135</v>
      </c>
      <c r="G4164" s="153">
        <v>1</v>
      </c>
      <c r="H4164" s="133" t="s">
        <v>39</v>
      </c>
      <c r="I4164" s="133"/>
      <c r="J4164" s="133" t="s">
        <v>2542</v>
      </c>
      <c r="K4164" s="133" t="s">
        <v>831</v>
      </c>
      <c r="L4164" s="167"/>
      <c r="M4164" s="169"/>
    </row>
    <row r="4165" spans="1:13" x14ac:dyDescent="0.55000000000000004">
      <c r="A4165" s="133" t="s">
        <v>2543</v>
      </c>
      <c r="B4165" s="133" t="s">
        <v>3197</v>
      </c>
      <c r="C4165" s="133" t="s">
        <v>497</v>
      </c>
      <c r="D4165" s="133" t="s">
        <v>3288</v>
      </c>
      <c r="E4165" s="138">
        <v>7.1400000000000004E-8</v>
      </c>
      <c r="F4165" s="153" t="s">
        <v>135</v>
      </c>
      <c r="G4165" s="153">
        <v>1</v>
      </c>
      <c r="H4165" s="133" t="s">
        <v>39</v>
      </c>
      <c r="I4165" s="133"/>
      <c r="J4165" s="133" t="s">
        <v>2542</v>
      </c>
      <c r="K4165" s="133" t="s">
        <v>831</v>
      </c>
      <c r="L4165" s="167"/>
      <c r="M4165" s="169"/>
    </row>
    <row r="4166" spans="1:13" x14ac:dyDescent="0.55000000000000004">
      <c r="A4166" s="133" t="s">
        <v>2543</v>
      </c>
      <c r="B4166" s="133" t="s">
        <v>3198</v>
      </c>
      <c r="C4166" s="133" t="s">
        <v>497</v>
      </c>
      <c r="D4166" s="133" t="s">
        <v>3288</v>
      </c>
      <c r="E4166" s="138">
        <v>9.53E-8</v>
      </c>
      <c r="F4166" s="153" t="s">
        <v>135</v>
      </c>
      <c r="G4166" s="153">
        <v>1</v>
      </c>
      <c r="H4166" s="133" t="s">
        <v>39</v>
      </c>
      <c r="I4166" s="133"/>
      <c r="J4166" s="133" t="s">
        <v>2542</v>
      </c>
      <c r="K4166" s="133" t="s">
        <v>831</v>
      </c>
      <c r="L4166" s="167"/>
      <c r="M4166" s="169"/>
    </row>
    <row r="4167" spans="1:13" x14ac:dyDescent="0.55000000000000004">
      <c r="A4167" s="133" t="s">
        <v>2543</v>
      </c>
      <c r="B4167" s="133" t="s">
        <v>726</v>
      </c>
      <c r="C4167" s="133" t="s">
        <v>497</v>
      </c>
      <c r="D4167" s="133" t="s">
        <v>3288</v>
      </c>
      <c r="E4167" s="138">
        <v>5.4978000000000001E-6</v>
      </c>
      <c r="F4167" s="153" t="s">
        <v>135</v>
      </c>
      <c r="G4167" s="153">
        <v>1</v>
      </c>
      <c r="H4167" s="133" t="s">
        <v>39</v>
      </c>
      <c r="I4167" s="133"/>
      <c r="J4167" s="133" t="s">
        <v>2542</v>
      </c>
      <c r="K4167" s="133" t="s">
        <v>831</v>
      </c>
      <c r="L4167" s="167"/>
      <c r="M4167" s="169"/>
    </row>
    <row r="4168" spans="1:13" x14ac:dyDescent="0.55000000000000004">
      <c r="A4168" s="133" t="s">
        <v>2543</v>
      </c>
      <c r="B4168" s="133" t="s">
        <v>2975</v>
      </c>
      <c r="C4168" s="133" t="s">
        <v>497</v>
      </c>
      <c r="D4168" s="133" t="s">
        <v>3288</v>
      </c>
      <c r="E4168" s="138">
        <v>1.9754000000000002E-6</v>
      </c>
      <c r="F4168" s="153" t="s">
        <v>135</v>
      </c>
      <c r="G4168" s="153">
        <v>1</v>
      </c>
      <c r="H4168" s="133" t="s">
        <v>39</v>
      </c>
      <c r="I4168" s="133"/>
      <c r="J4168" s="133" t="s">
        <v>2542</v>
      </c>
      <c r="K4168" s="133" t="s">
        <v>831</v>
      </c>
      <c r="L4168" s="167"/>
      <c r="M4168" s="169"/>
    </row>
    <row r="4169" spans="1:13" x14ac:dyDescent="0.55000000000000004">
      <c r="A4169" s="133" t="s">
        <v>2543</v>
      </c>
      <c r="B4169" s="133" t="s">
        <v>3199</v>
      </c>
      <c r="C4169" s="133" t="s">
        <v>497</v>
      </c>
      <c r="D4169" s="133" t="s">
        <v>3288</v>
      </c>
      <c r="E4169" s="138">
        <v>5.4739999999999994E-7</v>
      </c>
      <c r="F4169" s="153" t="s">
        <v>135</v>
      </c>
      <c r="G4169" s="153">
        <v>1</v>
      </c>
      <c r="H4169" s="133" t="s">
        <v>39</v>
      </c>
      <c r="I4169" s="133"/>
      <c r="J4169" s="133" t="s">
        <v>2542</v>
      </c>
      <c r="K4169" s="133" t="s">
        <v>831</v>
      </c>
      <c r="L4169" s="167"/>
      <c r="M4169" s="169"/>
    </row>
    <row r="4170" spans="1:13" x14ac:dyDescent="0.55000000000000004">
      <c r="A4170" s="133" t="s">
        <v>2543</v>
      </c>
      <c r="B4170" s="133" t="s">
        <v>556</v>
      </c>
      <c r="C4170" s="133" t="s">
        <v>497</v>
      </c>
      <c r="D4170" s="133" t="s">
        <v>3288</v>
      </c>
      <c r="E4170" s="138">
        <v>5.4978000000000001E-6</v>
      </c>
      <c r="F4170" s="153" t="s">
        <v>135</v>
      </c>
      <c r="G4170" s="154">
        <v>1</v>
      </c>
      <c r="H4170" s="133" t="s">
        <v>39</v>
      </c>
      <c r="I4170" s="133"/>
      <c r="J4170" s="133" t="s">
        <v>2542</v>
      </c>
      <c r="K4170" s="133" t="s">
        <v>831</v>
      </c>
      <c r="L4170" s="167"/>
      <c r="M4170" s="169"/>
    </row>
    <row r="4171" spans="1:13" x14ac:dyDescent="0.55000000000000004">
      <c r="A4171" s="133" t="s">
        <v>2543</v>
      </c>
      <c r="B4171" s="133" t="s">
        <v>2874</v>
      </c>
      <c r="C4171" s="133" t="s">
        <v>497</v>
      </c>
      <c r="D4171" s="133" t="s">
        <v>3288</v>
      </c>
      <c r="E4171" s="138">
        <v>5.1E-5</v>
      </c>
      <c r="F4171" s="153" t="s">
        <v>135</v>
      </c>
      <c r="G4171" s="154">
        <v>1</v>
      </c>
      <c r="H4171" s="133" t="s">
        <v>39</v>
      </c>
      <c r="I4171" s="133"/>
      <c r="J4171" s="133" t="s">
        <v>2542</v>
      </c>
      <c r="K4171" s="133" t="s">
        <v>831</v>
      </c>
      <c r="L4171" s="167"/>
      <c r="M4171" s="169"/>
    </row>
    <row r="4172" spans="1:13" x14ac:dyDescent="0.55000000000000004">
      <c r="A4172" s="133" t="s">
        <v>2543</v>
      </c>
      <c r="B4172" s="133" t="s">
        <v>2880</v>
      </c>
      <c r="C4172" s="133" t="s">
        <v>497</v>
      </c>
      <c r="D4172" s="133" t="s">
        <v>3288</v>
      </c>
      <c r="E4172" s="138">
        <v>5.1200000000000004E-5</v>
      </c>
      <c r="F4172" s="153" t="s">
        <v>135</v>
      </c>
      <c r="G4172" s="154">
        <v>1</v>
      </c>
      <c r="H4172" s="133" t="s">
        <v>39</v>
      </c>
      <c r="I4172" s="133"/>
      <c r="J4172" s="133" t="s">
        <v>2542</v>
      </c>
      <c r="K4172" s="133" t="s">
        <v>831</v>
      </c>
      <c r="L4172" s="167"/>
      <c r="M4172" s="169"/>
    </row>
    <row r="4173" spans="1:13" x14ac:dyDescent="0.55000000000000004">
      <c r="A4173" s="133" t="s">
        <v>2543</v>
      </c>
      <c r="B4173" s="133" t="s">
        <v>2790</v>
      </c>
      <c r="C4173" s="133" t="s">
        <v>497</v>
      </c>
      <c r="D4173" s="133" t="s">
        <v>3288</v>
      </c>
      <c r="E4173" s="138">
        <v>9.2699999999999998E-4</v>
      </c>
      <c r="F4173" s="153" t="s">
        <v>135</v>
      </c>
      <c r="G4173" s="154">
        <v>1</v>
      </c>
      <c r="H4173" s="133" t="s">
        <v>39</v>
      </c>
      <c r="I4173" s="133"/>
      <c r="J4173" s="133" t="s">
        <v>2542</v>
      </c>
      <c r="K4173" s="133" t="s">
        <v>831</v>
      </c>
      <c r="L4173" s="167"/>
      <c r="M4173" s="169"/>
    </row>
    <row r="4174" spans="1:13" x14ac:dyDescent="0.55000000000000004">
      <c r="A4174" s="133" t="s">
        <v>2543</v>
      </c>
      <c r="B4174" s="133" t="s">
        <v>3200</v>
      </c>
      <c r="C4174" s="133" t="s">
        <v>497</v>
      </c>
      <c r="D4174" s="133" t="s">
        <v>3288</v>
      </c>
      <c r="E4174" s="138">
        <v>1.8300000000000001E-5</v>
      </c>
      <c r="F4174" s="153" t="s">
        <v>135</v>
      </c>
      <c r="G4174" s="154">
        <v>1</v>
      </c>
      <c r="H4174" s="133" t="s">
        <v>39</v>
      </c>
      <c r="I4174" s="133"/>
      <c r="J4174" s="133" t="s">
        <v>2542</v>
      </c>
      <c r="K4174" s="133" t="s">
        <v>831</v>
      </c>
      <c r="L4174" s="167"/>
      <c r="M4174" s="169"/>
    </row>
    <row r="4175" spans="1:13" x14ac:dyDescent="0.55000000000000004">
      <c r="A4175" s="133" t="s">
        <v>2543</v>
      </c>
      <c r="B4175" s="133" t="s">
        <v>3201</v>
      </c>
      <c r="C4175" s="133" t="s">
        <v>497</v>
      </c>
      <c r="D4175" s="133" t="s">
        <v>3288</v>
      </c>
      <c r="E4175" s="138">
        <v>9.0000000000000007E-7</v>
      </c>
      <c r="F4175" s="153" t="s">
        <v>135</v>
      </c>
      <c r="G4175" s="154">
        <v>1</v>
      </c>
      <c r="H4175" s="133" t="s">
        <v>39</v>
      </c>
      <c r="I4175" s="133"/>
      <c r="J4175" s="133" t="s">
        <v>2542</v>
      </c>
      <c r="K4175" s="133" t="s">
        <v>831</v>
      </c>
      <c r="L4175" s="167"/>
      <c r="M4175" s="169"/>
    </row>
    <row r="4176" spans="1:13" x14ac:dyDescent="0.55000000000000004">
      <c r="A4176" s="133" t="s">
        <v>2543</v>
      </c>
      <c r="B4176" s="133" t="s">
        <v>3419</v>
      </c>
      <c r="C4176" s="133" t="s">
        <v>497</v>
      </c>
      <c r="D4176" s="133" t="s">
        <v>3288</v>
      </c>
      <c r="E4176" s="138">
        <v>8.6999999999999997E-6</v>
      </c>
      <c r="F4176" s="153" t="s">
        <v>135</v>
      </c>
      <c r="G4176" s="154">
        <v>1</v>
      </c>
      <c r="H4176" s="133" t="s">
        <v>39</v>
      </c>
      <c r="I4176" s="133"/>
      <c r="J4176" s="133" t="s">
        <v>2542</v>
      </c>
      <c r="K4176" s="133" t="s">
        <v>831</v>
      </c>
      <c r="L4176" s="167"/>
      <c r="M4176" s="169"/>
    </row>
    <row r="4177" spans="1:13" x14ac:dyDescent="0.55000000000000004">
      <c r="A4177" s="133" t="s">
        <v>2543</v>
      </c>
      <c r="B4177" s="133" t="s">
        <v>3203</v>
      </c>
      <c r="C4177" s="133" t="s">
        <v>497</v>
      </c>
      <c r="D4177" s="133" t="s">
        <v>3288</v>
      </c>
      <c r="E4177" s="138">
        <v>7.0000000000000005E-14</v>
      </c>
      <c r="F4177" s="153" t="s">
        <v>135</v>
      </c>
      <c r="G4177" s="154">
        <v>1</v>
      </c>
      <c r="H4177" s="133" t="s">
        <v>39</v>
      </c>
      <c r="I4177" s="134"/>
      <c r="J4177" s="133" t="s">
        <v>2542</v>
      </c>
      <c r="K4177" s="133" t="s">
        <v>831</v>
      </c>
      <c r="L4177" s="167"/>
      <c r="M4177" s="169"/>
    </row>
    <row r="4178" spans="1:13" x14ac:dyDescent="0.55000000000000004">
      <c r="A4178" s="133" t="s">
        <v>2547</v>
      </c>
      <c r="B4178" s="133" t="s">
        <v>3207</v>
      </c>
      <c r="C4178" s="133" t="s">
        <v>121</v>
      </c>
      <c r="D4178" s="133" t="s">
        <v>2682</v>
      </c>
      <c r="E4178" s="138">
        <v>1</v>
      </c>
      <c r="F4178" s="153">
        <v>1</v>
      </c>
      <c r="G4178" s="153">
        <v>1</v>
      </c>
      <c r="H4178" s="133" t="s">
        <v>39</v>
      </c>
      <c r="I4178" s="133"/>
      <c r="J4178" s="133" t="s">
        <v>2546</v>
      </c>
      <c r="K4178" s="133" t="s">
        <v>831</v>
      </c>
      <c r="L4178" s="167"/>
      <c r="M4178" s="169"/>
    </row>
    <row r="4179" spans="1:13" x14ac:dyDescent="0.55000000000000004">
      <c r="A4179" s="133" t="s">
        <v>2547</v>
      </c>
      <c r="B4179" s="133" t="s">
        <v>3194</v>
      </c>
      <c r="C4179" s="133" t="s">
        <v>348</v>
      </c>
      <c r="D4179" s="133" t="s">
        <v>3288</v>
      </c>
      <c r="E4179" s="138">
        <v>1</v>
      </c>
      <c r="F4179" s="153" t="s">
        <v>135</v>
      </c>
      <c r="G4179" s="153">
        <v>1</v>
      </c>
      <c r="H4179" s="133" t="s">
        <v>39</v>
      </c>
      <c r="I4179" s="133"/>
      <c r="J4179" s="133" t="s">
        <v>2546</v>
      </c>
      <c r="K4179" s="133" t="s">
        <v>831</v>
      </c>
      <c r="L4179" s="167"/>
      <c r="M4179" s="169"/>
    </row>
    <row r="4180" spans="1:13" x14ac:dyDescent="0.55000000000000004">
      <c r="A4180" s="133" t="s">
        <v>2547</v>
      </c>
      <c r="B4180" s="133" t="s">
        <v>153</v>
      </c>
      <c r="C4180" s="133" t="s">
        <v>127</v>
      </c>
      <c r="D4180" s="133" t="s">
        <v>2994</v>
      </c>
      <c r="E4180" s="138">
        <v>72.099999999999994</v>
      </c>
      <c r="F4180" s="153" t="s">
        <v>130</v>
      </c>
      <c r="G4180" s="153">
        <v>1</v>
      </c>
      <c r="H4180" s="133" t="s">
        <v>39</v>
      </c>
      <c r="I4180" s="133" t="s">
        <v>3208</v>
      </c>
      <c r="J4180" s="133" t="s">
        <v>2546</v>
      </c>
      <c r="K4180" s="133" t="s">
        <v>831</v>
      </c>
      <c r="L4180" s="167"/>
      <c r="M4180" s="169"/>
    </row>
    <row r="4181" spans="1:13" x14ac:dyDescent="0.55000000000000004">
      <c r="A4181" s="133" t="s">
        <v>2547</v>
      </c>
      <c r="B4181" s="133" t="s">
        <v>508</v>
      </c>
      <c r="C4181" s="133" t="s">
        <v>127</v>
      </c>
      <c r="D4181" s="133" t="s">
        <v>3289</v>
      </c>
      <c r="E4181" s="138">
        <v>2.4</v>
      </c>
      <c r="F4181" s="153" t="s">
        <v>128</v>
      </c>
      <c r="G4181" s="153">
        <v>1</v>
      </c>
      <c r="H4181" s="133" t="s">
        <v>39</v>
      </c>
      <c r="I4181" s="133"/>
      <c r="J4181" s="133" t="s">
        <v>2546</v>
      </c>
      <c r="K4181" s="133" t="s">
        <v>831</v>
      </c>
      <c r="L4181" s="167"/>
      <c r="M4181" s="169"/>
    </row>
    <row r="4182" spans="1:13" x14ac:dyDescent="0.55000000000000004">
      <c r="A4182" s="133" t="s">
        <v>2547</v>
      </c>
      <c r="B4182" s="133" t="s">
        <v>3210</v>
      </c>
      <c r="C4182" s="133" t="s">
        <v>348</v>
      </c>
      <c r="D4182" s="133" t="s">
        <v>3288</v>
      </c>
      <c r="E4182" s="138">
        <v>1.21E-2</v>
      </c>
      <c r="F4182" s="153" t="s">
        <v>135</v>
      </c>
      <c r="G4182" s="153">
        <v>1</v>
      </c>
      <c r="H4182" s="133" t="s">
        <v>39</v>
      </c>
      <c r="I4182" s="133"/>
      <c r="J4182" s="133" t="s">
        <v>2546</v>
      </c>
      <c r="K4182" s="133" t="s">
        <v>831</v>
      </c>
      <c r="L4182" s="167"/>
      <c r="M4182" s="169"/>
    </row>
    <row r="4183" spans="1:13" x14ac:dyDescent="0.55000000000000004">
      <c r="A4183" s="133" t="s">
        <v>2547</v>
      </c>
      <c r="B4183" s="133" t="s">
        <v>3065</v>
      </c>
      <c r="C4183" s="133" t="s">
        <v>348</v>
      </c>
      <c r="D4183" s="133" t="s">
        <v>3288</v>
      </c>
      <c r="E4183" s="138">
        <v>6.0000000000000001E-3</v>
      </c>
      <c r="F4183" s="153" t="s">
        <v>135</v>
      </c>
      <c r="G4183" s="153">
        <v>1</v>
      </c>
      <c r="H4183" s="133" t="s">
        <v>39</v>
      </c>
      <c r="I4183" s="133"/>
      <c r="J4183" s="133" t="s">
        <v>2546</v>
      </c>
      <c r="K4183" s="133" t="s">
        <v>831</v>
      </c>
      <c r="L4183" s="167"/>
      <c r="M4183" s="169"/>
    </row>
    <row r="4184" spans="1:13" x14ac:dyDescent="0.55000000000000004">
      <c r="A4184" s="133" t="s">
        <v>2547</v>
      </c>
      <c r="B4184" s="133" t="s">
        <v>3204</v>
      </c>
      <c r="C4184" s="133" t="s">
        <v>348</v>
      </c>
      <c r="D4184" s="133" t="s">
        <v>3288</v>
      </c>
      <c r="E4184" s="138">
        <v>5.9999999999999995E-4</v>
      </c>
      <c r="F4184" s="153" t="s">
        <v>135</v>
      </c>
      <c r="G4184" s="153">
        <v>1</v>
      </c>
      <c r="H4184" s="133" t="s">
        <v>39</v>
      </c>
      <c r="I4184" s="133"/>
      <c r="J4184" s="133" t="s">
        <v>2546</v>
      </c>
      <c r="K4184" s="133" t="s">
        <v>831</v>
      </c>
      <c r="L4184" s="167"/>
      <c r="M4184" s="169"/>
    </row>
    <row r="4185" spans="1:13" x14ac:dyDescent="0.55000000000000004">
      <c r="A4185" s="133" t="s">
        <v>2547</v>
      </c>
      <c r="B4185" s="133" t="s">
        <v>153</v>
      </c>
      <c r="C4185" s="133" t="s">
        <v>156</v>
      </c>
      <c r="D4185" s="133" t="s">
        <v>2994</v>
      </c>
      <c r="E4185" s="138">
        <v>777.2</v>
      </c>
      <c r="F4185" s="153" t="s">
        <v>130</v>
      </c>
      <c r="G4185" s="153">
        <v>1</v>
      </c>
      <c r="H4185" s="133" t="s">
        <v>39</v>
      </c>
      <c r="I4185" s="133"/>
      <c r="J4185" s="133" t="s">
        <v>2546</v>
      </c>
      <c r="K4185" s="133" t="s">
        <v>831</v>
      </c>
      <c r="L4185" s="167"/>
      <c r="M4185" s="169"/>
    </row>
    <row r="4186" spans="1:13" x14ac:dyDescent="0.55000000000000004">
      <c r="A4186" s="133" t="s">
        <v>2547</v>
      </c>
      <c r="B4186" s="133" t="s">
        <v>3195</v>
      </c>
      <c r="C4186" s="133" t="s">
        <v>156</v>
      </c>
      <c r="D4186" s="133" t="s">
        <v>3288</v>
      </c>
      <c r="E4186" s="138">
        <v>5.0200000000000002E-2</v>
      </c>
      <c r="F4186" s="153" t="s">
        <v>135</v>
      </c>
      <c r="G4186" s="153">
        <v>1</v>
      </c>
      <c r="H4186" s="133" t="s">
        <v>39</v>
      </c>
      <c r="I4186" s="133"/>
      <c r="J4186" s="133" t="s">
        <v>2546</v>
      </c>
      <c r="K4186" s="133" t="s">
        <v>831</v>
      </c>
      <c r="L4186" s="167"/>
      <c r="M4186" s="169"/>
    </row>
    <row r="4187" spans="1:13" x14ac:dyDescent="0.55000000000000004">
      <c r="A4187" s="133" t="s">
        <v>2547</v>
      </c>
      <c r="B4187" s="133" t="s">
        <v>3196</v>
      </c>
      <c r="C4187" s="133" t="s">
        <v>156</v>
      </c>
      <c r="D4187" s="133" t="s">
        <v>3288</v>
      </c>
      <c r="E4187" s="138">
        <v>5.8400000000000001E-2</v>
      </c>
      <c r="F4187" s="153" t="s">
        <v>135</v>
      </c>
      <c r="G4187" s="153">
        <v>1</v>
      </c>
      <c r="H4187" s="133" t="s">
        <v>39</v>
      </c>
      <c r="I4187" s="133"/>
      <c r="J4187" s="133" t="s">
        <v>2546</v>
      </c>
      <c r="K4187" s="133" t="s">
        <v>831</v>
      </c>
      <c r="L4187" s="167"/>
      <c r="M4187" s="169"/>
    </row>
    <row r="4188" spans="1:13" x14ac:dyDescent="0.55000000000000004">
      <c r="A4188" s="133" t="s">
        <v>2547</v>
      </c>
      <c r="B4188" s="133" t="s">
        <v>3197</v>
      </c>
      <c r="C4188" s="133" t="s">
        <v>497</v>
      </c>
      <c r="D4188" s="133" t="s">
        <v>3288</v>
      </c>
      <c r="E4188" s="138">
        <v>2.0000000000000001E-10</v>
      </c>
      <c r="F4188" s="153" t="s">
        <v>135</v>
      </c>
      <c r="G4188" s="153">
        <v>1</v>
      </c>
      <c r="H4188" s="133" t="s">
        <v>39</v>
      </c>
      <c r="I4188" s="133"/>
      <c r="J4188" s="133" t="s">
        <v>2546</v>
      </c>
      <c r="K4188" s="133" t="s">
        <v>831</v>
      </c>
      <c r="L4188" s="167"/>
      <c r="M4188" s="169"/>
    </row>
    <row r="4189" spans="1:13" x14ac:dyDescent="0.55000000000000004">
      <c r="A4189" s="133" t="s">
        <v>2547</v>
      </c>
      <c r="B4189" s="133" t="s">
        <v>3198</v>
      </c>
      <c r="C4189" s="133" t="s">
        <v>497</v>
      </c>
      <c r="D4189" s="133" t="s">
        <v>3288</v>
      </c>
      <c r="E4189" s="138">
        <v>1.6000000000000001E-9</v>
      </c>
      <c r="F4189" s="153" t="s">
        <v>135</v>
      </c>
      <c r="G4189" s="153">
        <v>1</v>
      </c>
      <c r="H4189" s="133" t="s">
        <v>39</v>
      </c>
      <c r="I4189" s="133"/>
      <c r="J4189" s="133" t="s">
        <v>2546</v>
      </c>
      <c r="K4189" s="133" t="s">
        <v>831</v>
      </c>
      <c r="L4189" s="167"/>
      <c r="M4189" s="169"/>
    </row>
    <row r="4190" spans="1:13" x14ac:dyDescent="0.55000000000000004">
      <c r="A4190" s="133" t="s">
        <v>2547</v>
      </c>
      <c r="B4190" s="133" t="s">
        <v>726</v>
      </c>
      <c r="C4190" s="133" t="s">
        <v>497</v>
      </c>
      <c r="D4190" s="133" t="s">
        <v>3288</v>
      </c>
      <c r="E4190" s="138">
        <v>3.1119999999999998E-7</v>
      </c>
      <c r="F4190" s="153" t="s">
        <v>135</v>
      </c>
      <c r="G4190" s="153">
        <v>1</v>
      </c>
      <c r="H4190" s="133" t="s">
        <v>39</v>
      </c>
      <c r="I4190" s="133"/>
      <c r="J4190" s="133" t="s">
        <v>2546</v>
      </c>
      <c r="K4190" s="133" t="s">
        <v>831</v>
      </c>
      <c r="L4190" s="167"/>
      <c r="M4190" s="169"/>
    </row>
    <row r="4191" spans="1:13" x14ac:dyDescent="0.55000000000000004">
      <c r="A4191" s="133" t="s">
        <v>2547</v>
      </c>
      <c r="B4191" s="133" t="s">
        <v>2975</v>
      </c>
      <c r="C4191" s="133" t="s">
        <v>497</v>
      </c>
      <c r="D4191" s="133" t="s">
        <v>3288</v>
      </c>
      <c r="E4191" s="138">
        <v>6.5200000000000001E-8</v>
      </c>
      <c r="F4191" s="153" t="s">
        <v>135</v>
      </c>
      <c r="G4191" s="153">
        <v>1</v>
      </c>
      <c r="H4191" s="133" t="s">
        <v>39</v>
      </c>
      <c r="I4191" s="133"/>
      <c r="J4191" s="133" t="s">
        <v>2546</v>
      </c>
      <c r="K4191" s="133" t="s">
        <v>831</v>
      </c>
      <c r="L4191" s="167"/>
      <c r="M4191" s="169"/>
    </row>
    <row r="4192" spans="1:13" x14ac:dyDescent="0.55000000000000004">
      <c r="A4192" s="133" t="s">
        <v>2547</v>
      </c>
      <c r="B4192" s="133" t="s">
        <v>3199</v>
      </c>
      <c r="C4192" s="133" t="s">
        <v>497</v>
      </c>
      <c r="D4192" s="133" t="s">
        <v>3288</v>
      </c>
      <c r="E4192" s="138">
        <v>1.0000000000000001E-9</v>
      </c>
      <c r="F4192" s="153" t="s">
        <v>135</v>
      </c>
      <c r="G4192" s="153">
        <v>1</v>
      </c>
      <c r="H4192" s="133" t="s">
        <v>39</v>
      </c>
      <c r="I4192" s="133"/>
      <c r="J4192" s="133" t="s">
        <v>2546</v>
      </c>
      <c r="K4192" s="133" t="s">
        <v>831</v>
      </c>
      <c r="L4192" s="167"/>
      <c r="M4192" s="169"/>
    </row>
    <row r="4193" spans="1:13" x14ac:dyDescent="0.55000000000000004">
      <c r="A4193" s="133" t="s">
        <v>2547</v>
      </c>
      <c r="B4193" s="133" t="s">
        <v>556</v>
      </c>
      <c r="C4193" s="133" t="s">
        <v>497</v>
      </c>
      <c r="D4193" s="133" t="s">
        <v>3288</v>
      </c>
      <c r="E4193" s="138">
        <v>1.2550000000000001E-7</v>
      </c>
      <c r="F4193" s="153" t="s">
        <v>135</v>
      </c>
      <c r="G4193" s="154">
        <v>1</v>
      </c>
      <c r="H4193" s="133" t="s">
        <v>39</v>
      </c>
      <c r="I4193" s="133"/>
      <c r="J4193" s="133" t="s">
        <v>2546</v>
      </c>
      <c r="K4193" s="133" t="s">
        <v>831</v>
      </c>
      <c r="L4193" s="167"/>
      <c r="M4193" s="169"/>
    </row>
    <row r="4194" spans="1:13" x14ac:dyDescent="0.55000000000000004">
      <c r="A4194" s="133" t="s">
        <v>2547</v>
      </c>
      <c r="B4194" s="133" t="s">
        <v>2874</v>
      </c>
      <c r="C4194" s="133" t="s">
        <v>497</v>
      </c>
      <c r="D4194" s="133" t="s">
        <v>3288</v>
      </c>
      <c r="E4194" s="138">
        <v>8.1000000000000004E-6</v>
      </c>
      <c r="F4194" s="153" t="s">
        <v>135</v>
      </c>
      <c r="G4194" s="154">
        <v>1</v>
      </c>
      <c r="H4194" s="133" t="s">
        <v>39</v>
      </c>
      <c r="I4194" s="133"/>
      <c r="J4194" s="133" t="s">
        <v>2546</v>
      </c>
      <c r="K4194" s="133" t="s">
        <v>831</v>
      </c>
      <c r="L4194" s="167"/>
      <c r="M4194" s="169"/>
    </row>
    <row r="4195" spans="1:13" x14ac:dyDescent="0.55000000000000004">
      <c r="A4195" s="133" t="s">
        <v>2547</v>
      </c>
      <c r="B4195" s="133" t="s">
        <v>2880</v>
      </c>
      <c r="C4195" s="133" t="s">
        <v>497</v>
      </c>
      <c r="D4195" s="133" t="s">
        <v>3288</v>
      </c>
      <c r="E4195" s="138">
        <v>2.8199999999999998E-5</v>
      </c>
      <c r="F4195" s="153" t="s">
        <v>135</v>
      </c>
      <c r="G4195" s="154">
        <v>1</v>
      </c>
      <c r="H4195" s="133" t="s">
        <v>39</v>
      </c>
      <c r="I4195" s="133"/>
      <c r="J4195" s="133" t="s">
        <v>2546</v>
      </c>
      <c r="K4195" s="133" t="s">
        <v>831</v>
      </c>
      <c r="L4195" s="167"/>
      <c r="M4195" s="169"/>
    </row>
    <row r="4196" spans="1:13" x14ac:dyDescent="0.55000000000000004">
      <c r="A4196" s="133" t="s">
        <v>2547</v>
      </c>
      <c r="B4196" s="133" t="s">
        <v>2790</v>
      </c>
      <c r="C4196" s="133" t="s">
        <v>497</v>
      </c>
      <c r="D4196" s="133" t="s">
        <v>3288</v>
      </c>
      <c r="E4196" s="138">
        <v>6.4970000000000002E-4</v>
      </c>
      <c r="F4196" s="153" t="s">
        <v>135</v>
      </c>
      <c r="G4196" s="154">
        <v>1</v>
      </c>
      <c r="H4196" s="133" t="s">
        <v>39</v>
      </c>
      <c r="I4196" s="133"/>
      <c r="J4196" s="133" t="s">
        <v>2546</v>
      </c>
      <c r="K4196" s="133" t="s">
        <v>831</v>
      </c>
      <c r="L4196" s="167"/>
      <c r="M4196" s="169"/>
    </row>
    <row r="4197" spans="1:13" x14ac:dyDescent="0.55000000000000004">
      <c r="A4197" s="133" t="s">
        <v>2547</v>
      </c>
      <c r="B4197" s="133" t="s">
        <v>3200</v>
      </c>
      <c r="C4197" s="133" t="s">
        <v>497</v>
      </c>
      <c r="D4197" s="133" t="s">
        <v>3288</v>
      </c>
      <c r="E4197" s="138">
        <v>3.9999999999999998E-6</v>
      </c>
      <c r="F4197" s="153" t="s">
        <v>135</v>
      </c>
      <c r="G4197" s="154">
        <v>1</v>
      </c>
      <c r="H4197" s="133" t="s">
        <v>39</v>
      </c>
      <c r="I4197" s="133"/>
      <c r="J4197" s="133" t="s">
        <v>2546</v>
      </c>
      <c r="K4197" s="133" t="s">
        <v>831</v>
      </c>
      <c r="L4197" s="167"/>
      <c r="M4197" s="169"/>
    </row>
    <row r="4198" spans="1:13" x14ac:dyDescent="0.55000000000000004">
      <c r="A4198" s="133" t="s">
        <v>2547</v>
      </c>
      <c r="B4198" s="133" t="s">
        <v>3201</v>
      </c>
      <c r="C4198" s="133" t="s">
        <v>497</v>
      </c>
      <c r="D4198" s="133" t="s">
        <v>3288</v>
      </c>
      <c r="E4198" s="138">
        <v>1.9999999999999999E-6</v>
      </c>
      <c r="F4198" s="153" t="s">
        <v>135</v>
      </c>
      <c r="G4198" s="154">
        <v>1</v>
      </c>
      <c r="H4198" s="133" t="s">
        <v>39</v>
      </c>
      <c r="I4198" s="133"/>
      <c r="J4198" s="133" t="s">
        <v>2546</v>
      </c>
      <c r="K4198" s="133" t="s">
        <v>831</v>
      </c>
      <c r="L4198" s="167"/>
      <c r="M4198" s="169"/>
    </row>
    <row r="4199" spans="1:13" x14ac:dyDescent="0.55000000000000004">
      <c r="A4199" s="133" t="s">
        <v>2547</v>
      </c>
      <c r="B4199" s="133" t="s">
        <v>3419</v>
      </c>
      <c r="C4199" s="133" t="s">
        <v>497</v>
      </c>
      <c r="D4199" s="133" t="s">
        <v>3288</v>
      </c>
      <c r="E4199" s="138">
        <v>8.1000000000000004E-6</v>
      </c>
      <c r="F4199" s="153" t="s">
        <v>135</v>
      </c>
      <c r="G4199" s="154">
        <v>1</v>
      </c>
      <c r="H4199" s="133" t="s">
        <v>39</v>
      </c>
      <c r="I4199" s="133"/>
      <c r="J4199" s="133" t="s">
        <v>2546</v>
      </c>
      <c r="K4199" s="133" t="s">
        <v>831</v>
      </c>
      <c r="L4199" s="167"/>
      <c r="M4199" s="169"/>
    </row>
    <row r="4200" spans="1:13" x14ac:dyDescent="0.55000000000000004">
      <c r="A4200" s="133" t="s">
        <v>2547</v>
      </c>
      <c r="B4200" s="133" t="s">
        <v>3203</v>
      </c>
      <c r="C4200" s="133" t="s">
        <v>497</v>
      </c>
      <c r="D4200" s="133" t="s">
        <v>3288</v>
      </c>
      <c r="E4200" s="138">
        <v>8.0999999999999999E-15</v>
      </c>
      <c r="F4200" s="153" t="s">
        <v>135</v>
      </c>
      <c r="G4200" s="154">
        <v>1</v>
      </c>
      <c r="H4200" s="133" t="s">
        <v>39</v>
      </c>
      <c r="I4200" s="134"/>
      <c r="J4200" s="133" t="s">
        <v>2546</v>
      </c>
      <c r="K4200" s="133" t="s">
        <v>831</v>
      </c>
      <c r="L4200" s="167"/>
      <c r="M4200" s="169"/>
    </row>
    <row r="4201" spans="1:13" x14ac:dyDescent="0.55000000000000004">
      <c r="A4201" s="133" t="s">
        <v>2551</v>
      </c>
      <c r="B4201" s="133" t="s">
        <v>3211</v>
      </c>
      <c r="C4201" s="133" t="s">
        <v>121</v>
      </c>
      <c r="D4201" s="133" t="s">
        <v>2682</v>
      </c>
      <c r="E4201" s="138">
        <v>1</v>
      </c>
      <c r="F4201" s="153">
        <v>1</v>
      </c>
      <c r="G4201" s="154">
        <v>1</v>
      </c>
      <c r="H4201" s="133" t="s">
        <v>39</v>
      </c>
      <c r="I4201" s="134" t="s">
        <v>2553</v>
      </c>
      <c r="J4201" s="133" t="s">
        <v>2550</v>
      </c>
      <c r="K4201" s="133" t="s">
        <v>831</v>
      </c>
      <c r="L4201" s="167"/>
      <c r="M4201" s="169"/>
    </row>
    <row r="4202" spans="1:13" x14ac:dyDescent="0.55000000000000004">
      <c r="A4202" s="133" t="s">
        <v>2551</v>
      </c>
      <c r="B4202" s="133" t="s">
        <v>181</v>
      </c>
      <c r="C4202" s="133" t="s">
        <v>348</v>
      </c>
      <c r="D4202" s="133" t="s">
        <v>3288</v>
      </c>
      <c r="E4202" s="138">
        <v>1</v>
      </c>
      <c r="F4202" s="153" t="s">
        <v>135</v>
      </c>
      <c r="G4202" s="154">
        <v>1</v>
      </c>
      <c r="H4202" s="133" t="s">
        <v>39</v>
      </c>
      <c r="I4202" s="134"/>
      <c r="J4202" s="133" t="s">
        <v>2550</v>
      </c>
      <c r="K4202" s="133" t="s">
        <v>831</v>
      </c>
      <c r="L4202" s="167"/>
      <c r="M4202" s="169"/>
    </row>
    <row r="4203" spans="1:13" x14ac:dyDescent="0.55000000000000004">
      <c r="A4203" s="133" t="s">
        <v>2551</v>
      </c>
      <c r="B4203" s="133" t="s">
        <v>154</v>
      </c>
      <c r="C4203" s="133" t="s">
        <v>132</v>
      </c>
      <c r="D4203" s="133" t="s">
        <v>3289</v>
      </c>
      <c r="E4203" s="138">
        <v>0.22500000000000001</v>
      </c>
      <c r="F4203" s="153" t="s">
        <v>133</v>
      </c>
      <c r="G4203" s="154">
        <v>1</v>
      </c>
      <c r="H4203" s="135" t="s">
        <v>3212</v>
      </c>
      <c r="I4203" s="134"/>
      <c r="J4203" s="133" t="s">
        <v>2550</v>
      </c>
      <c r="K4203" s="133" t="s">
        <v>831</v>
      </c>
      <c r="L4203" s="167"/>
      <c r="M4203" s="169"/>
    </row>
    <row r="4204" spans="1:13" x14ac:dyDescent="0.55000000000000004">
      <c r="A4204" s="133" t="s">
        <v>2551</v>
      </c>
      <c r="B4204" s="133" t="s">
        <v>170</v>
      </c>
      <c r="C4204" s="133" t="s">
        <v>348</v>
      </c>
      <c r="D4204" s="133" t="s">
        <v>3288</v>
      </c>
      <c r="E4204" s="138">
        <v>9.6500000000000006E-3</v>
      </c>
      <c r="F4204" s="153" t="s">
        <v>135</v>
      </c>
      <c r="G4204" s="154">
        <v>1</v>
      </c>
      <c r="H4204" s="135" t="s">
        <v>3213</v>
      </c>
      <c r="I4204" s="134"/>
      <c r="J4204" s="133" t="s">
        <v>2550</v>
      </c>
      <c r="K4204" s="133" t="s">
        <v>831</v>
      </c>
      <c r="L4204" s="167"/>
      <c r="M4204" s="169"/>
    </row>
    <row r="4205" spans="1:13" x14ac:dyDescent="0.55000000000000004">
      <c r="A4205" s="133" t="s">
        <v>2551</v>
      </c>
      <c r="B4205" s="133" t="s">
        <v>148</v>
      </c>
      <c r="C4205" s="133" t="s">
        <v>348</v>
      </c>
      <c r="D4205" s="133" t="s">
        <v>3288</v>
      </c>
      <c r="E4205" s="138">
        <v>4.4999999999999999E-4</v>
      </c>
      <c r="F4205" s="153" t="s">
        <v>135</v>
      </c>
      <c r="G4205" s="154">
        <v>1</v>
      </c>
      <c r="H4205" s="135" t="s">
        <v>3214</v>
      </c>
      <c r="I4205" s="134"/>
      <c r="J4205" s="133" t="s">
        <v>2550</v>
      </c>
      <c r="K4205" s="133" t="s">
        <v>831</v>
      </c>
      <c r="L4205" s="167"/>
      <c r="M4205" s="169"/>
    </row>
    <row r="4206" spans="1:13" x14ac:dyDescent="0.55000000000000004">
      <c r="A4206" s="133" t="s">
        <v>2551</v>
      </c>
      <c r="B4206" s="133" t="s">
        <v>3065</v>
      </c>
      <c r="C4206" s="133" t="s">
        <v>348</v>
      </c>
      <c r="D4206" s="133" t="s">
        <v>3288</v>
      </c>
      <c r="E4206" s="138">
        <v>2E-3</v>
      </c>
      <c r="F4206" s="153" t="s">
        <v>135</v>
      </c>
      <c r="G4206" s="154">
        <v>1</v>
      </c>
      <c r="H4206" s="133" t="s">
        <v>39</v>
      </c>
      <c r="I4206" s="134"/>
      <c r="J4206" s="133" t="s">
        <v>2550</v>
      </c>
      <c r="K4206" s="133" t="s">
        <v>831</v>
      </c>
      <c r="L4206" s="167"/>
      <c r="M4206" s="169"/>
    </row>
    <row r="4207" spans="1:13" x14ac:dyDescent="0.55000000000000004">
      <c r="A4207" s="133" t="s">
        <v>2551</v>
      </c>
      <c r="B4207" s="133" t="s">
        <v>615</v>
      </c>
      <c r="C4207" s="133" t="s">
        <v>348</v>
      </c>
      <c r="D4207" s="133" t="s">
        <v>3288</v>
      </c>
      <c r="E4207" s="138">
        <v>2.3E-3</v>
      </c>
      <c r="F4207" s="153" t="s">
        <v>135</v>
      </c>
      <c r="G4207" s="154">
        <v>1</v>
      </c>
      <c r="H4207" s="133" t="s">
        <v>39</v>
      </c>
      <c r="I4207" s="134"/>
      <c r="J4207" s="133" t="s">
        <v>2550</v>
      </c>
      <c r="K4207" s="133" t="s">
        <v>831</v>
      </c>
      <c r="L4207" s="167"/>
      <c r="M4207" s="169"/>
    </row>
    <row r="4208" spans="1:13" x14ac:dyDescent="0.55000000000000004">
      <c r="A4208" s="133" t="s">
        <v>2551</v>
      </c>
      <c r="B4208" s="133" t="s">
        <v>3215</v>
      </c>
      <c r="C4208" s="133" t="s">
        <v>348</v>
      </c>
      <c r="D4208" s="133" t="s">
        <v>3288</v>
      </c>
      <c r="E4208" s="138">
        <v>1.7000000000000001E-4</v>
      </c>
      <c r="F4208" s="153" t="s">
        <v>135</v>
      </c>
      <c r="G4208" s="154">
        <v>1</v>
      </c>
      <c r="H4208" s="133" t="s">
        <v>39</v>
      </c>
      <c r="I4208" s="134"/>
      <c r="J4208" s="133" t="s">
        <v>2550</v>
      </c>
      <c r="K4208" s="133" t="s">
        <v>831</v>
      </c>
      <c r="L4208" s="167"/>
      <c r="M4208" s="169"/>
    </row>
    <row r="4209" spans="1:13" x14ac:dyDescent="0.55000000000000004">
      <c r="A4209" s="133" t="s">
        <v>2551</v>
      </c>
      <c r="B4209" s="133" t="s">
        <v>508</v>
      </c>
      <c r="C4209" s="133" t="s">
        <v>127</v>
      </c>
      <c r="D4209" s="133" t="s">
        <v>3288</v>
      </c>
      <c r="E4209" s="138">
        <v>1.8</v>
      </c>
      <c r="F4209" s="153" t="s">
        <v>128</v>
      </c>
      <c r="G4209" s="154">
        <v>1</v>
      </c>
      <c r="H4209" s="135" t="s">
        <v>3216</v>
      </c>
      <c r="I4209" s="134"/>
      <c r="J4209" s="133" t="s">
        <v>2550</v>
      </c>
      <c r="K4209" s="133" t="s">
        <v>831</v>
      </c>
      <c r="L4209" s="167"/>
      <c r="M4209" s="169"/>
    </row>
    <row r="4210" spans="1:13" x14ac:dyDescent="0.55000000000000004">
      <c r="A4210" s="133" t="s">
        <v>2551</v>
      </c>
      <c r="B4210" s="133" t="s">
        <v>153</v>
      </c>
      <c r="C4210" s="133" t="s">
        <v>127</v>
      </c>
      <c r="D4210" s="133" t="s">
        <v>2994</v>
      </c>
      <c r="E4210" s="138">
        <v>120</v>
      </c>
      <c r="F4210" s="153" t="s">
        <v>130</v>
      </c>
      <c r="G4210" s="154">
        <v>1</v>
      </c>
      <c r="H4210" s="133" t="s">
        <v>39</v>
      </c>
      <c r="I4210" s="134"/>
      <c r="J4210" s="133" t="s">
        <v>2550</v>
      </c>
      <c r="K4210" s="133" t="s">
        <v>831</v>
      </c>
      <c r="L4210" s="167"/>
      <c r="M4210" s="169"/>
    </row>
    <row r="4211" spans="1:13" x14ac:dyDescent="0.55000000000000004">
      <c r="A4211" s="133" t="s">
        <v>2551</v>
      </c>
      <c r="B4211" s="133" t="s">
        <v>496</v>
      </c>
      <c r="C4211" s="133" t="s">
        <v>156</v>
      </c>
      <c r="D4211" s="133" t="s">
        <v>2994</v>
      </c>
      <c r="E4211" s="138">
        <v>2232</v>
      </c>
      <c r="F4211" s="153" t="s">
        <v>130</v>
      </c>
      <c r="G4211" s="154">
        <v>1</v>
      </c>
      <c r="H4211" s="133" t="s">
        <v>39</v>
      </c>
      <c r="I4211" s="134"/>
      <c r="J4211" s="133" t="s">
        <v>2550</v>
      </c>
      <c r="K4211" s="133" t="s">
        <v>831</v>
      </c>
      <c r="L4211" s="167"/>
      <c r="M4211" s="169"/>
    </row>
    <row r="4212" spans="1:13" x14ac:dyDescent="0.55000000000000004">
      <c r="A4212" s="133" t="s">
        <v>2551</v>
      </c>
      <c r="B4212" s="133" t="s">
        <v>179</v>
      </c>
      <c r="C4212" s="133" t="s">
        <v>124</v>
      </c>
      <c r="D4212" s="133" t="s">
        <v>3289</v>
      </c>
      <c r="E4212" s="138">
        <v>5670</v>
      </c>
      <c r="F4212" s="153" t="s">
        <v>3217</v>
      </c>
      <c r="G4212" s="154">
        <v>1</v>
      </c>
      <c r="H4212" s="133" t="s">
        <v>39</v>
      </c>
      <c r="I4212" s="134"/>
      <c r="J4212" s="133" t="s">
        <v>2550</v>
      </c>
      <c r="K4212" s="133" t="s">
        <v>831</v>
      </c>
      <c r="L4212" s="167"/>
      <c r="M4212" s="169"/>
    </row>
    <row r="4213" spans="1:13" x14ac:dyDescent="0.55000000000000004">
      <c r="A4213" s="133" t="s">
        <v>2551</v>
      </c>
      <c r="B4213" s="133" t="s">
        <v>3195</v>
      </c>
      <c r="C4213" s="133" t="s">
        <v>156</v>
      </c>
      <c r="D4213" s="133" t="s">
        <v>3288</v>
      </c>
      <c r="E4213" s="138">
        <v>0.13850000000000001</v>
      </c>
      <c r="F4213" s="153" t="s">
        <v>135</v>
      </c>
      <c r="G4213" s="154">
        <v>1</v>
      </c>
      <c r="H4213" s="135" t="s">
        <v>3218</v>
      </c>
      <c r="I4213" s="134"/>
      <c r="J4213" s="133" t="s">
        <v>2550</v>
      </c>
      <c r="K4213" s="133" t="s">
        <v>831</v>
      </c>
      <c r="L4213" s="167"/>
      <c r="M4213" s="169"/>
    </row>
    <row r="4214" spans="1:13" x14ac:dyDescent="0.55000000000000004">
      <c r="A4214" s="133" t="s">
        <v>2551</v>
      </c>
      <c r="B4214" s="133" t="s">
        <v>2787</v>
      </c>
      <c r="C4214" s="133" t="s">
        <v>3269</v>
      </c>
      <c r="D4214" s="133" t="s">
        <v>3288</v>
      </c>
      <c r="E4214" s="138">
        <v>2.5000000000000001E-2</v>
      </c>
      <c r="F4214" s="153" t="s">
        <v>135</v>
      </c>
      <c r="G4214" s="154">
        <v>1</v>
      </c>
      <c r="H4214" s="135" t="s">
        <v>3219</v>
      </c>
      <c r="I4214" s="134"/>
      <c r="J4214" s="133" t="s">
        <v>2550</v>
      </c>
      <c r="K4214" s="133" t="s">
        <v>831</v>
      </c>
      <c r="L4214" s="167"/>
      <c r="M4214" s="169"/>
    </row>
    <row r="4215" spans="1:13" x14ac:dyDescent="0.55000000000000004">
      <c r="A4215" s="133" t="s">
        <v>2551</v>
      </c>
      <c r="B4215" s="133" t="s">
        <v>3220</v>
      </c>
      <c r="C4215" s="133" t="s">
        <v>3269</v>
      </c>
      <c r="D4215" s="133" t="s">
        <v>3288</v>
      </c>
      <c r="E4215" s="138">
        <v>0.01</v>
      </c>
      <c r="F4215" s="153" t="s">
        <v>135</v>
      </c>
      <c r="G4215" s="154">
        <v>1</v>
      </c>
      <c r="H4215" s="133" t="s">
        <v>39</v>
      </c>
      <c r="I4215" s="134"/>
      <c r="J4215" s="133" t="s">
        <v>2550</v>
      </c>
      <c r="K4215" s="133" t="s">
        <v>831</v>
      </c>
      <c r="L4215" s="167"/>
      <c r="M4215" s="169"/>
    </row>
    <row r="4216" spans="1:13" x14ac:dyDescent="0.55000000000000004">
      <c r="A4216" s="133" t="s">
        <v>2551</v>
      </c>
      <c r="B4216" s="133" t="s">
        <v>154</v>
      </c>
      <c r="C4216" s="133" t="s">
        <v>124</v>
      </c>
      <c r="D4216" s="133" t="s">
        <v>3289</v>
      </c>
      <c r="E4216" s="138">
        <v>0.2</v>
      </c>
      <c r="F4216" s="153" t="s">
        <v>133</v>
      </c>
      <c r="G4216" s="154">
        <v>1</v>
      </c>
      <c r="H4216" s="133" t="s">
        <v>39</v>
      </c>
      <c r="I4216" s="134"/>
      <c r="J4216" s="133" t="s">
        <v>2550</v>
      </c>
      <c r="K4216" s="133" t="s">
        <v>831</v>
      </c>
      <c r="L4216" s="167"/>
      <c r="M4216" s="169"/>
    </row>
    <row r="4217" spans="1:13" x14ac:dyDescent="0.55000000000000004">
      <c r="A4217" s="133" t="s">
        <v>2551</v>
      </c>
      <c r="B4217" s="133" t="s">
        <v>160</v>
      </c>
      <c r="C4217" s="133" t="s">
        <v>124</v>
      </c>
      <c r="D4217" s="133" t="s">
        <v>3288</v>
      </c>
      <c r="E4217" s="138">
        <v>1.1399999999999999</v>
      </c>
      <c r="F4217" s="153" t="s">
        <v>135</v>
      </c>
      <c r="G4217" s="154">
        <v>1</v>
      </c>
      <c r="H4217" s="133" t="s">
        <v>39</v>
      </c>
      <c r="I4217" s="134"/>
      <c r="J4217" s="133" t="s">
        <v>2550</v>
      </c>
      <c r="K4217" s="133" t="s">
        <v>831</v>
      </c>
      <c r="L4217" s="167"/>
      <c r="M4217" s="169"/>
    </row>
    <row r="4218" spans="1:13" x14ac:dyDescent="0.55000000000000004">
      <c r="A4218" s="133" t="s">
        <v>2551</v>
      </c>
      <c r="B4218" s="133" t="s">
        <v>2974</v>
      </c>
      <c r="C4218" s="133" t="s">
        <v>124</v>
      </c>
      <c r="D4218" s="133" t="s">
        <v>3288</v>
      </c>
      <c r="E4218" s="138">
        <v>55.69</v>
      </c>
      <c r="F4218" s="153" t="s">
        <v>3221</v>
      </c>
      <c r="G4218" s="154">
        <v>1</v>
      </c>
      <c r="H4218" s="133" t="s">
        <v>39</v>
      </c>
      <c r="I4218" s="134"/>
      <c r="J4218" s="133" t="s">
        <v>2550</v>
      </c>
      <c r="K4218" s="133" t="s">
        <v>831</v>
      </c>
      <c r="L4218" s="167"/>
      <c r="M4218" s="169"/>
    </row>
    <row r="4219" spans="1:13" x14ac:dyDescent="0.55000000000000004">
      <c r="A4219" s="133" t="s">
        <v>2551</v>
      </c>
      <c r="B4219" s="133" t="s">
        <v>891</v>
      </c>
      <c r="C4219" s="133" t="s">
        <v>124</v>
      </c>
      <c r="D4219" s="133" t="s">
        <v>3288</v>
      </c>
      <c r="E4219" s="138">
        <v>1048.7</v>
      </c>
      <c r="F4219" s="153" t="s">
        <v>3221</v>
      </c>
      <c r="G4219" s="154">
        <v>1</v>
      </c>
      <c r="H4219" s="133" t="s">
        <v>39</v>
      </c>
      <c r="I4219" s="134"/>
      <c r="J4219" s="133" t="s">
        <v>2550</v>
      </c>
      <c r="K4219" s="133" t="s">
        <v>831</v>
      </c>
      <c r="L4219" s="167"/>
      <c r="M4219" s="169"/>
    </row>
    <row r="4220" spans="1:13" x14ac:dyDescent="0.55000000000000004">
      <c r="A4220" s="133" t="s">
        <v>2551</v>
      </c>
      <c r="B4220" s="133" t="s">
        <v>2923</v>
      </c>
      <c r="C4220" s="133" t="s">
        <v>124</v>
      </c>
      <c r="D4220" s="133" t="s">
        <v>3288</v>
      </c>
      <c r="E4220" s="138">
        <v>24.88</v>
      </c>
      <c r="F4220" s="153" t="s">
        <v>3221</v>
      </c>
      <c r="G4220" s="154">
        <v>1</v>
      </c>
      <c r="H4220" s="133" t="s">
        <v>39</v>
      </c>
      <c r="I4220" s="134"/>
      <c r="J4220" s="133" t="s">
        <v>2550</v>
      </c>
      <c r="K4220" s="133" t="s">
        <v>831</v>
      </c>
      <c r="L4220" s="167"/>
      <c r="M4220" s="169"/>
    </row>
    <row r="4221" spans="1:13" x14ac:dyDescent="0.55000000000000004">
      <c r="A4221" s="133" t="s">
        <v>2551</v>
      </c>
      <c r="B4221" s="133" t="s">
        <v>1172</v>
      </c>
      <c r="C4221" s="133" t="s">
        <v>124</v>
      </c>
      <c r="D4221" s="133" t="s">
        <v>3288</v>
      </c>
      <c r="E4221" s="138">
        <v>165.3</v>
      </c>
      <c r="F4221" s="153" t="s">
        <v>3221</v>
      </c>
      <c r="G4221" s="154">
        <v>1</v>
      </c>
      <c r="H4221" s="133" t="s">
        <v>39</v>
      </c>
      <c r="I4221" s="134"/>
      <c r="J4221" s="133" t="s">
        <v>2550</v>
      </c>
      <c r="K4221" s="133" t="s">
        <v>831</v>
      </c>
      <c r="L4221" s="167"/>
      <c r="M4221" s="169"/>
    </row>
    <row r="4222" spans="1:13" x14ac:dyDescent="0.55000000000000004">
      <c r="A4222" s="133" t="s">
        <v>2551</v>
      </c>
      <c r="B4222" s="133" t="s">
        <v>3222</v>
      </c>
      <c r="C4222" s="133" t="s">
        <v>124</v>
      </c>
      <c r="D4222" s="133" t="s">
        <v>3288</v>
      </c>
      <c r="E4222" s="138">
        <v>5.51</v>
      </c>
      <c r="F4222" s="153" t="s">
        <v>3221</v>
      </c>
      <c r="G4222" s="154">
        <v>1</v>
      </c>
      <c r="H4222" s="133" t="s">
        <v>39</v>
      </c>
      <c r="I4222" s="134"/>
      <c r="J4222" s="133" t="s">
        <v>2550</v>
      </c>
      <c r="K4222" s="133" t="s">
        <v>831</v>
      </c>
      <c r="L4222" s="167"/>
      <c r="M4222" s="169"/>
    </row>
    <row r="4223" spans="1:13" x14ac:dyDescent="0.55000000000000004">
      <c r="A4223" s="133" t="s">
        <v>2551</v>
      </c>
      <c r="B4223" s="133" t="s">
        <v>3223</v>
      </c>
      <c r="C4223" s="133" t="s">
        <v>124</v>
      </c>
      <c r="D4223" s="133" t="s">
        <v>3288</v>
      </c>
      <c r="E4223" s="138">
        <v>0.24</v>
      </c>
      <c r="F4223" s="153" t="s">
        <v>3221</v>
      </c>
      <c r="G4223" s="154">
        <v>1</v>
      </c>
      <c r="H4223" s="133" t="s">
        <v>39</v>
      </c>
      <c r="I4223" s="134"/>
      <c r="J4223" s="133" t="s">
        <v>2550</v>
      </c>
      <c r="K4223" s="133" t="s">
        <v>831</v>
      </c>
      <c r="L4223" s="167"/>
      <c r="M4223" s="169"/>
    </row>
    <row r="4224" spans="1:13" x14ac:dyDescent="0.55000000000000004">
      <c r="A4224" s="133" t="s">
        <v>2551</v>
      </c>
      <c r="B4224" s="133" t="s">
        <v>3224</v>
      </c>
      <c r="C4224" s="133" t="s">
        <v>124</v>
      </c>
      <c r="D4224" s="133" t="s">
        <v>3288</v>
      </c>
      <c r="E4224" s="138">
        <v>1.18</v>
      </c>
      <c r="F4224" s="153" t="s">
        <v>3221</v>
      </c>
      <c r="G4224" s="154">
        <v>1</v>
      </c>
      <c r="H4224" s="133" t="s">
        <v>39</v>
      </c>
      <c r="I4224" s="134"/>
      <c r="J4224" s="133" t="s">
        <v>2550</v>
      </c>
      <c r="K4224" s="133" t="s">
        <v>831</v>
      </c>
      <c r="L4224" s="167"/>
      <c r="M4224" s="169"/>
    </row>
    <row r="4225" spans="1:13" x14ac:dyDescent="0.55000000000000004">
      <c r="A4225" s="133" t="s">
        <v>2551</v>
      </c>
      <c r="B4225" s="133" t="s">
        <v>3225</v>
      </c>
      <c r="C4225" s="133" t="s">
        <v>124</v>
      </c>
      <c r="D4225" s="133" t="s">
        <v>3288</v>
      </c>
      <c r="E4225" s="138">
        <v>0.23</v>
      </c>
      <c r="F4225" s="153" t="s">
        <v>3226</v>
      </c>
      <c r="G4225" s="154">
        <v>1</v>
      </c>
      <c r="H4225" s="133" t="s">
        <v>39</v>
      </c>
      <c r="I4225" s="134"/>
      <c r="J4225" s="133" t="s">
        <v>2550</v>
      </c>
      <c r="K4225" s="133" t="s">
        <v>831</v>
      </c>
      <c r="L4225" s="167"/>
      <c r="M4225" s="169"/>
    </row>
    <row r="4226" spans="1:13" x14ac:dyDescent="0.55000000000000004">
      <c r="A4226" s="133" t="s">
        <v>2551</v>
      </c>
      <c r="B4226" s="133" t="s">
        <v>3227</v>
      </c>
      <c r="C4226" s="133" t="s">
        <v>124</v>
      </c>
      <c r="D4226" s="133" t="s">
        <v>3288</v>
      </c>
      <c r="E4226" s="138">
        <v>0.01</v>
      </c>
      <c r="F4226" s="153" t="s">
        <v>3221</v>
      </c>
      <c r="G4226" s="154">
        <v>1</v>
      </c>
      <c r="H4226" s="133" t="s">
        <v>39</v>
      </c>
      <c r="I4226" s="134"/>
      <c r="J4226" s="133" t="s">
        <v>2550</v>
      </c>
      <c r="K4226" s="133" t="s">
        <v>831</v>
      </c>
      <c r="L4226" s="167"/>
      <c r="M4226" s="169"/>
    </row>
    <row r="4227" spans="1:13" x14ac:dyDescent="0.55000000000000004">
      <c r="A4227" s="133" t="s">
        <v>2551</v>
      </c>
      <c r="B4227" s="133" t="s">
        <v>3228</v>
      </c>
      <c r="C4227" s="133" t="s">
        <v>124</v>
      </c>
      <c r="D4227" s="133" t="s">
        <v>3288</v>
      </c>
      <c r="E4227" s="138">
        <v>0.34</v>
      </c>
      <c r="F4227" s="153" t="s">
        <v>3221</v>
      </c>
      <c r="G4227" s="154">
        <v>1</v>
      </c>
      <c r="H4227" s="133" t="s">
        <v>39</v>
      </c>
      <c r="I4227" s="134"/>
      <c r="J4227" s="133" t="s">
        <v>2550</v>
      </c>
      <c r="K4227" s="133" t="s">
        <v>831</v>
      </c>
      <c r="L4227" s="167"/>
      <c r="M4227" s="169"/>
    </row>
    <row r="4228" spans="1:13" x14ac:dyDescent="0.55000000000000004">
      <c r="A4228" s="133" t="s">
        <v>2556</v>
      </c>
      <c r="B4228" s="133" t="s">
        <v>3211</v>
      </c>
      <c r="C4228" s="133" t="s">
        <v>121</v>
      </c>
      <c r="D4228" s="133" t="s">
        <v>2682</v>
      </c>
      <c r="E4228" s="138">
        <v>1</v>
      </c>
      <c r="F4228" s="153">
        <v>1</v>
      </c>
      <c r="G4228" s="154">
        <v>1</v>
      </c>
      <c r="H4228" s="133" t="s">
        <v>39</v>
      </c>
      <c r="I4228" s="134" t="s">
        <v>2558</v>
      </c>
      <c r="J4228" s="133" t="s">
        <v>2555</v>
      </c>
      <c r="K4228" s="133" t="s">
        <v>831</v>
      </c>
      <c r="L4228" s="167"/>
      <c r="M4228" s="169"/>
    </row>
    <row r="4229" spans="1:13" x14ac:dyDescent="0.55000000000000004">
      <c r="A4229" s="133" t="s">
        <v>2556</v>
      </c>
      <c r="B4229" s="133" t="s">
        <v>181</v>
      </c>
      <c r="C4229" s="133" t="s">
        <v>348</v>
      </c>
      <c r="D4229" s="133" t="s">
        <v>3288</v>
      </c>
      <c r="E4229" s="138">
        <v>1</v>
      </c>
      <c r="F4229" s="153" t="s">
        <v>135</v>
      </c>
      <c r="G4229" s="154">
        <v>1</v>
      </c>
      <c r="H4229" s="133" t="s">
        <v>39</v>
      </c>
      <c r="I4229" s="134"/>
      <c r="J4229" s="133" t="s">
        <v>2555</v>
      </c>
      <c r="K4229" s="133" t="s">
        <v>831</v>
      </c>
      <c r="L4229" s="167"/>
      <c r="M4229" s="169"/>
    </row>
    <row r="4230" spans="1:13" x14ac:dyDescent="0.55000000000000004">
      <c r="A4230" s="133" t="s">
        <v>2556</v>
      </c>
      <c r="B4230" s="133" t="s">
        <v>3204</v>
      </c>
      <c r="C4230" s="133" t="s">
        <v>348</v>
      </c>
      <c r="D4230" s="133" t="s">
        <v>3289</v>
      </c>
      <c r="E4230" s="138">
        <v>4.5999999999999999E-3</v>
      </c>
      <c r="F4230" s="153" t="s">
        <v>135</v>
      </c>
      <c r="G4230" s="154">
        <v>1</v>
      </c>
      <c r="H4230" s="133" t="s">
        <v>39</v>
      </c>
      <c r="I4230" s="134"/>
      <c r="J4230" s="133" t="s">
        <v>2555</v>
      </c>
      <c r="K4230" s="133" t="s">
        <v>831</v>
      </c>
      <c r="L4230" s="167"/>
      <c r="M4230" s="169"/>
    </row>
    <row r="4231" spans="1:13" x14ac:dyDescent="0.55000000000000004">
      <c r="A4231" s="133" t="s">
        <v>2556</v>
      </c>
      <c r="B4231" s="133" t="s">
        <v>3229</v>
      </c>
      <c r="C4231" s="133" t="s">
        <v>348</v>
      </c>
      <c r="D4231" s="133" t="s">
        <v>3288</v>
      </c>
      <c r="E4231" s="138">
        <v>0.01</v>
      </c>
      <c r="F4231" s="153" t="s">
        <v>135</v>
      </c>
      <c r="G4231" s="154">
        <v>1</v>
      </c>
      <c r="H4231" s="133" t="s">
        <v>39</v>
      </c>
      <c r="I4231" s="134"/>
      <c r="J4231" s="133" t="s">
        <v>2555</v>
      </c>
      <c r="K4231" s="133" t="s">
        <v>831</v>
      </c>
      <c r="L4231" s="167"/>
      <c r="M4231" s="169"/>
    </row>
    <row r="4232" spans="1:13" x14ac:dyDescent="0.55000000000000004">
      <c r="A4232" s="133" t="s">
        <v>2556</v>
      </c>
      <c r="B4232" s="133" t="s">
        <v>3065</v>
      </c>
      <c r="C4232" s="133" t="s">
        <v>348</v>
      </c>
      <c r="D4232" s="133" t="s">
        <v>3288</v>
      </c>
      <c r="E4232" s="138">
        <v>1E-3</v>
      </c>
      <c r="F4232" s="153" t="s">
        <v>135</v>
      </c>
      <c r="G4232" s="154">
        <v>1</v>
      </c>
      <c r="H4232" s="133" t="s">
        <v>39</v>
      </c>
      <c r="I4232" s="134"/>
      <c r="J4232" s="133" t="s">
        <v>2555</v>
      </c>
      <c r="K4232" s="133" t="s">
        <v>831</v>
      </c>
      <c r="L4232" s="167"/>
      <c r="M4232" s="169"/>
    </row>
    <row r="4233" spans="1:13" x14ac:dyDescent="0.55000000000000004">
      <c r="A4233" s="133" t="s">
        <v>2556</v>
      </c>
      <c r="B4233" s="133" t="s">
        <v>3230</v>
      </c>
      <c r="C4233" s="133" t="s">
        <v>127</v>
      </c>
      <c r="D4233" s="133" t="s">
        <v>3288</v>
      </c>
      <c r="E4233" s="138">
        <v>4.0299999999999997E-3</v>
      </c>
      <c r="F4233" s="153" t="s">
        <v>135</v>
      </c>
      <c r="G4233" s="154">
        <v>1</v>
      </c>
      <c r="H4233" s="133" t="s">
        <v>39</v>
      </c>
      <c r="I4233" s="134"/>
      <c r="J4233" s="133" t="s">
        <v>2555</v>
      </c>
      <c r="K4233" s="133" t="s">
        <v>831</v>
      </c>
      <c r="L4233" s="167"/>
      <c r="M4233" s="169"/>
    </row>
    <row r="4234" spans="1:13" x14ac:dyDescent="0.55000000000000004">
      <c r="A4234" s="133" t="s">
        <v>2556</v>
      </c>
      <c r="B4234" s="133" t="s">
        <v>153</v>
      </c>
      <c r="C4234" s="133" t="s">
        <v>156</v>
      </c>
      <c r="D4234" s="133" t="s">
        <v>2994</v>
      </c>
      <c r="E4234" s="138">
        <v>550</v>
      </c>
      <c r="F4234" s="153" t="s">
        <v>130</v>
      </c>
      <c r="G4234" s="154">
        <v>1</v>
      </c>
      <c r="H4234" s="133" t="s">
        <v>39</v>
      </c>
      <c r="I4234" s="134"/>
      <c r="J4234" s="133" t="s">
        <v>2555</v>
      </c>
      <c r="K4234" s="133" t="s">
        <v>831</v>
      </c>
      <c r="L4234" s="167"/>
      <c r="M4234" s="169"/>
    </row>
    <row r="4235" spans="1:13" x14ac:dyDescent="0.55000000000000004">
      <c r="A4235" s="133" t="s">
        <v>2556</v>
      </c>
      <c r="B4235" s="133" t="s">
        <v>3195</v>
      </c>
      <c r="C4235" s="133" t="s">
        <v>156</v>
      </c>
      <c r="D4235" s="133" t="s">
        <v>3288</v>
      </c>
      <c r="E4235" s="138">
        <v>0.22</v>
      </c>
      <c r="F4235" s="153" t="s">
        <v>135</v>
      </c>
      <c r="G4235" s="154">
        <v>1</v>
      </c>
      <c r="H4235" s="133" t="s">
        <v>39</v>
      </c>
      <c r="I4235" s="134"/>
      <c r="J4235" s="133" t="s">
        <v>2555</v>
      </c>
      <c r="K4235" s="133" t="s">
        <v>831</v>
      </c>
      <c r="L4235" s="167"/>
      <c r="M4235" s="169"/>
    </row>
    <row r="4236" spans="1:13" x14ac:dyDescent="0.55000000000000004">
      <c r="A4236" s="133" t="s">
        <v>2556</v>
      </c>
      <c r="B4236" s="133" t="s">
        <v>3231</v>
      </c>
      <c r="C4236" s="133" t="s">
        <v>3269</v>
      </c>
      <c r="D4236" s="133" t="s">
        <v>3288</v>
      </c>
      <c r="E4236" s="138">
        <v>2.7E-2</v>
      </c>
      <c r="F4236" s="153" t="s">
        <v>135</v>
      </c>
      <c r="G4236" s="154">
        <v>1</v>
      </c>
      <c r="H4236" s="133" t="s">
        <v>39</v>
      </c>
      <c r="I4236" s="134"/>
      <c r="J4236" s="133" t="s">
        <v>2555</v>
      </c>
      <c r="K4236" s="133" t="s">
        <v>831</v>
      </c>
      <c r="L4236" s="167"/>
      <c r="M4236" s="169"/>
    </row>
    <row r="4237" spans="1:13" x14ac:dyDescent="0.55000000000000004">
      <c r="A4237" s="133" t="s">
        <v>2556</v>
      </c>
      <c r="B4237" s="133" t="s">
        <v>160</v>
      </c>
      <c r="C4237" s="133" t="s">
        <v>124</v>
      </c>
      <c r="D4237" s="133" t="s">
        <v>3288</v>
      </c>
      <c r="E4237" s="138">
        <v>0.97699999999999998</v>
      </c>
      <c r="F4237" s="153" t="s">
        <v>135</v>
      </c>
      <c r="G4237" s="154">
        <v>1</v>
      </c>
      <c r="H4237" s="133" t="s">
        <v>39</v>
      </c>
      <c r="I4237" s="134"/>
      <c r="J4237" s="133" t="s">
        <v>2555</v>
      </c>
      <c r="K4237" s="133" t="s">
        <v>831</v>
      </c>
      <c r="L4237" s="167"/>
      <c r="M4237" s="169"/>
    </row>
    <row r="4238" spans="1:13" x14ac:dyDescent="0.55000000000000004">
      <c r="A4238" s="133" t="s">
        <v>2556</v>
      </c>
      <c r="B4238" s="133" t="s">
        <v>2974</v>
      </c>
      <c r="C4238" s="133" t="s">
        <v>124</v>
      </c>
      <c r="D4238" s="133" t="s">
        <v>3288</v>
      </c>
      <c r="E4238" s="138">
        <v>9.7799999999999998E-2</v>
      </c>
      <c r="F4238" s="153" t="s">
        <v>135</v>
      </c>
      <c r="G4238" s="154">
        <v>1</v>
      </c>
      <c r="H4238" s="133" t="s">
        <v>39</v>
      </c>
      <c r="I4238" s="134"/>
      <c r="J4238" s="133" t="s">
        <v>2555</v>
      </c>
      <c r="K4238" s="133" t="s">
        <v>831</v>
      </c>
      <c r="L4238" s="167"/>
      <c r="M4238" s="169"/>
    </row>
    <row r="4239" spans="1:13" x14ac:dyDescent="0.55000000000000004">
      <c r="A4239" s="133" t="s">
        <v>2556</v>
      </c>
      <c r="B4239" s="133" t="s">
        <v>213</v>
      </c>
      <c r="C4239" s="133" t="s">
        <v>124</v>
      </c>
      <c r="D4239" s="133" t="s">
        <v>3288</v>
      </c>
      <c r="E4239" s="138">
        <v>0.63800000000000001</v>
      </c>
      <c r="F4239" s="153" t="s">
        <v>135</v>
      </c>
      <c r="G4239" s="154">
        <v>1</v>
      </c>
      <c r="H4239" s="133" t="s">
        <v>39</v>
      </c>
      <c r="I4239" s="134"/>
      <c r="J4239" s="133" t="s">
        <v>2555</v>
      </c>
      <c r="K4239" s="133" t="s">
        <v>831</v>
      </c>
      <c r="L4239" s="167"/>
      <c r="M4239" s="169"/>
    </row>
    <row r="4240" spans="1:13" x14ac:dyDescent="0.55000000000000004">
      <c r="A4240" s="133" t="s">
        <v>2556</v>
      </c>
      <c r="B4240" s="133" t="s">
        <v>2607</v>
      </c>
      <c r="C4240" s="133" t="s">
        <v>124</v>
      </c>
      <c r="D4240" s="133" t="s">
        <v>3288</v>
      </c>
      <c r="E4240" s="138">
        <v>5.2</v>
      </c>
      <c r="F4240" s="153" t="s">
        <v>135</v>
      </c>
      <c r="G4240" s="154">
        <v>1</v>
      </c>
      <c r="H4240" s="133" t="s">
        <v>39</v>
      </c>
      <c r="I4240" s="134"/>
      <c r="J4240" s="133" t="s">
        <v>2555</v>
      </c>
      <c r="K4240" s="133" t="s">
        <v>831</v>
      </c>
      <c r="L4240" s="167"/>
      <c r="M4240" s="169"/>
    </row>
    <row r="4241" spans="1:13" x14ac:dyDescent="0.55000000000000004">
      <c r="A4241" s="133" t="s">
        <v>2556</v>
      </c>
      <c r="B4241" s="133" t="s">
        <v>891</v>
      </c>
      <c r="C4241" s="133" t="s">
        <v>124</v>
      </c>
      <c r="D4241" s="133" t="s">
        <v>3288</v>
      </c>
      <c r="E4241" s="138">
        <v>5.5900000000000004E-4</v>
      </c>
      <c r="F4241" s="153" t="s">
        <v>135</v>
      </c>
      <c r="G4241" s="154">
        <v>1</v>
      </c>
      <c r="H4241" s="133" t="s">
        <v>39</v>
      </c>
      <c r="I4241" s="134"/>
      <c r="J4241" s="133" t="s">
        <v>2555</v>
      </c>
      <c r="K4241" s="133" t="s">
        <v>831</v>
      </c>
      <c r="L4241" s="167"/>
      <c r="M4241" s="169"/>
    </row>
    <row r="4242" spans="1:13" x14ac:dyDescent="0.55000000000000004">
      <c r="A4242" s="133" t="s">
        <v>2556</v>
      </c>
      <c r="B4242" s="133" t="s">
        <v>615</v>
      </c>
      <c r="C4242" s="133" t="s">
        <v>124</v>
      </c>
      <c r="D4242" s="133" t="s">
        <v>3288</v>
      </c>
      <c r="E4242" s="138">
        <v>30.7</v>
      </c>
      <c r="F4242" s="153" t="s">
        <v>892</v>
      </c>
      <c r="G4242" s="154">
        <v>1</v>
      </c>
      <c r="H4242" s="133" t="s">
        <v>39</v>
      </c>
      <c r="I4242" s="134"/>
      <c r="J4242" s="133" t="s">
        <v>2555</v>
      </c>
      <c r="K4242" s="133" t="s">
        <v>831</v>
      </c>
      <c r="L4242" s="167"/>
      <c r="M4242" s="169"/>
    </row>
    <row r="4243" spans="1:13" x14ac:dyDescent="0.55000000000000004">
      <c r="A4243" s="133" t="s">
        <v>2556</v>
      </c>
      <c r="B4243" s="133" t="s">
        <v>1172</v>
      </c>
      <c r="C4243" s="133" t="s">
        <v>124</v>
      </c>
      <c r="D4243" s="133" t="s">
        <v>3288</v>
      </c>
      <c r="E4243" s="138">
        <v>56</v>
      </c>
      <c r="F4243" s="153" t="s">
        <v>892</v>
      </c>
      <c r="G4243" s="154">
        <v>1</v>
      </c>
      <c r="H4243" s="133" t="s">
        <v>39</v>
      </c>
      <c r="I4243" s="134"/>
      <c r="J4243" s="133" t="s">
        <v>2555</v>
      </c>
      <c r="K4243" s="133" t="s">
        <v>831</v>
      </c>
      <c r="L4243" s="167"/>
      <c r="M4243" s="169"/>
    </row>
    <row r="4244" spans="1:13" x14ac:dyDescent="0.55000000000000004">
      <c r="A4244" s="133" t="s">
        <v>2556</v>
      </c>
      <c r="B4244" s="133" t="s">
        <v>3011</v>
      </c>
      <c r="C4244" s="133" t="s">
        <v>124</v>
      </c>
      <c r="D4244" s="133" t="s">
        <v>3288</v>
      </c>
      <c r="E4244" s="138">
        <v>5.59</v>
      </c>
      <c r="F4244" s="153" t="s">
        <v>892</v>
      </c>
      <c r="G4244" s="154">
        <v>1</v>
      </c>
      <c r="H4244" s="133" t="s">
        <v>39</v>
      </c>
      <c r="I4244" s="134"/>
      <c r="J4244" s="133" t="s">
        <v>2555</v>
      </c>
      <c r="K4244" s="133" t="s">
        <v>831</v>
      </c>
      <c r="L4244" s="167"/>
      <c r="M4244" s="169"/>
    </row>
    <row r="4245" spans="1:13" x14ac:dyDescent="0.55000000000000004">
      <c r="A4245" s="133" t="s">
        <v>2556</v>
      </c>
      <c r="B4245" s="133" t="s">
        <v>3232</v>
      </c>
      <c r="C4245" s="133" t="s">
        <v>124</v>
      </c>
      <c r="D4245" s="133" t="s">
        <v>3288</v>
      </c>
      <c r="E4245" s="138">
        <v>0.223</v>
      </c>
      <c r="F4245" s="153" t="s">
        <v>892</v>
      </c>
      <c r="G4245" s="154">
        <v>1</v>
      </c>
      <c r="H4245" s="133" t="s">
        <v>39</v>
      </c>
      <c r="I4245" s="134"/>
      <c r="J4245" s="133" t="s">
        <v>2555</v>
      </c>
      <c r="K4245" s="133" t="s">
        <v>831</v>
      </c>
      <c r="L4245" s="167"/>
      <c r="M4245" s="169"/>
    </row>
    <row r="4246" spans="1:13" x14ac:dyDescent="0.55000000000000004">
      <c r="A4246" s="133" t="s">
        <v>2556</v>
      </c>
      <c r="B4246" s="133" t="s">
        <v>3197</v>
      </c>
      <c r="C4246" s="133" t="s">
        <v>124</v>
      </c>
      <c r="D4246" s="133" t="s">
        <v>3288</v>
      </c>
      <c r="E4246" s="138">
        <v>9.4999999999999998E-3</v>
      </c>
      <c r="F4246" s="153" t="s">
        <v>892</v>
      </c>
      <c r="G4246" s="154">
        <v>1</v>
      </c>
      <c r="H4246" s="133" t="s">
        <v>39</v>
      </c>
      <c r="I4246" s="134"/>
      <c r="J4246" s="133" t="s">
        <v>2555</v>
      </c>
      <c r="K4246" s="133" t="s">
        <v>831</v>
      </c>
      <c r="L4246" s="167"/>
      <c r="M4246" s="169"/>
    </row>
    <row r="4247" spans="1:13" x14ac:dyDescent="0.55000000000000004">
      <c r="A4247" s="133" t="s">
        <v>2556</v>
      </c>
      <c r="B4247" s="133" t="s">
        <v>2975</v>
      </c>
      <c r="C4247" s="133" t="s">
        <v>124</v>
      </c>
      <c r="D4247" s="133" t="s">
        <v>3288</v>
      </c>
      <c r="E4247" s="138">
        <v>0.128</v>
      </c>
      <c r="F4247" s="153" t="s">
        <v>892</v>
      </c>
      <c r="G4247" s="154">
        <v>1</v>
      </c>
      <c r="H4247" s="133" t="s">
        <v>39</v>
      </c>
      <c r="I4247" s="134"/>
      <c r="J4247" s="133" t="s">
        <v>2555</v>
      </c>
      <c r="K4247" s="133" t="s">
        <v>831</v>
      </c>
      <c r="L4247" s="167"/>
      <c r="M4247" s="169"/>
    </row>
    <row r="4248" spans="1:13" x14ac:dyDescent="0.55000000000000004">
      <c r="A4248" s="133" t="s">
        <v>2556</v>
      </c>
      <c r="B4248" s="133" t="s">
        <v>556</v>
      </c>
      <c r="C4248" s="133" t="s">
        <v>124</v>
      </c>
      <c r="D4248" s="133" t="s">
        <v>3288</v>
      </c>
      <c r="E4248" s="138">
        <v>0.18</v>
      </c>
      <c r="F4248" s="153" t="s">
        <v>892</v>
      </c>
      <c r="G4248" s="154">
        <v>1</v>
      </c>
      <c r="H4248" s="133" t="s">
        <v>39</v>
      </c>
      <c r="I4248" s="134"/>
      <c r="J4248" s="133" t="s">
        <v>2555</v>
      </c>
      <c r="K4248" s="133" t="s">
        <v>831</v>
      </c>
      <c r="L4248" s="167"/>
      <c r="M4248" s="169"/>
    </row>
    <row r="4249" spans="1:13" x14ac:dyDescent="0.55000000000000004">
      <c r="A4249" s="133" t="s">
        <v>2556</v>
      </c>
      <c r="B4249" s="133" t="s">
        <v>3026</v>
      </c>
      <c r="C4249" s="133" t="s">
        <v>124</v>
      </c>
      <c r="D4249" s="133" t="s">
        <v>3288</v>
      </c>
      <c r="E4249" s="138">
        <v>0.26</v>
      </c>
      <c r="F4249" s="153" t="s">
        <v>892</v>
      </c>
      <c r="G4249" s="154">
        <v>1</v>
      </c>
      <c r="H4249" s="133" t="s">
        <v>39</v>
      </c>
      <c r="I4249" s="134"/>
      <c r="J4249" s="133" t="s">
        <v>2555</v>
      </c>
      <c r="K4249" s="133" t="s">
        <v>831</v>
      </c>
      <c r="L4249" s="167"/>
      <c r="M4249" s="169"/>
    </row>
    <row r="4250" spans="1:13" x14ac:dyDescent="0.55000000000000004">
      <c r="A4250" s="133" t="s">
        <v>2556</v>
      </c>
      <c r="B4250" s="133" t="s">
        <v>726</v>
      </c>
      <c r="C4250" s="133" t="s">
        <v>124</v>
      </c>
      <c r="D4250" s="133" t="s">
        <v>3288</v>
      </c>
      <c r="E4250" s="138">
        <v>2.3E-2</v>
      </c>
      <c r="F4250" s="153" t="s">
        <v>892</v>
      </c>
      <c r="G4250" s="154">
        <v>1</v>
      </c>
      <c r="H4250" s="133" t="s">
        <v>39</v>
      </c>
      <c r="I4250" s="134"/>
      <c r="J4250" s="133" t="s">
        <v>2555</v>
      </c>
      <c r="K4250" s="133" t="s">
        <v>831</v>
      </c>
      <c r="L4250" s="167"/>
      <c r="M4250" s="169"/>
    </row>
    <row r="4251" spans="1:13" x14ac:dyDescent="0.55000000000000004">
      <c r="A4251" s="133" t="s">
        <v>2556</v>
      </c>
      <c r="B4251" s="133" t="s">
        <v>3233</v>
      </c>
      <c r="C4251" s="133" t="s">
        <v>124</v>
      </c>
      <c r="D4251" s="133" t="s">
        <v>3288</v>
      </c>
      <c r="E4251" s="138">
        <v>1.68</v>
      </c>
      <c r="F4251" s="153" t="s">
        <v>892</v>
      </c>
      <c r="G4251" s="154">
        <v>1</v>
      </c>
      <c r="H4251" s="133" t="s">
        <v>39</v>
      </c>
      <c r="I4251" s="134"/>
      <c r="J4251" s="133" t="s">
        <v>2555</v>
      </c>
      <c r="K4251" s="133" t="s">
        <v>831</v>
      </c>
      <c r="L4251" s="167"/>
      <c r="M4251" s="169"/>
    </row>
    <row r="4252" spans="1:13" x14ac:dyDescent="0.55000000000000004">
      <c r="A4252" s="133" t="s">
        <v>2556</v>
      </c>
      <c r="B4252" s="133" t="s">
        <v>149</v>
      </c>
      <c r="C4252" s="133" t="s">
        <v>124</v>
      </c>
      <c r="D4252" s="133" t="s">
        <v>3288</v>
      </c>
      <c r="E4252" s="138">
        <v>25.1</v>
      </c>
      <c r="F4252" s="153" t="s">
        <v>892</v>
      </c>
      <c r="G4252" s="154">
        <v>1</v>
      </c>
      <c r="H4252" s="133" t="s">
        <v>39</v>
      </c>
      <c r="I4252" s="134"/>
      <c r="J4252" s="133" t="s">
        <v>2555</v>
      </c>
      <c r="K4252" s="133" t="s">
        <v>831</v>
      </c>
      <c r="L4252" s="167"/>
      <c r="M4252" s="169"/>
    </row>
    <row r="4253" spans="1:13" x14ac:dyDescent="0.55000000000000004">
      <c r="A4253" s="133" t="s">
        <v>2556</v>
      </c>
      <c r="B4253" s="133" t="s">
        <v>2923</v>
      </c>
      <c r="C4253" s="133" t="s">
        <v>124</v>
      </c>
      <c r="D4253" s="133" t="s">
        <v>3288</v>
      </c>
      <c r="E4253" s="138">
        <v>5.59</v>
      </c>
      <c r="F4253" s="153" t="s">
        <v>892</v>
      </c>
      <c r="G4253" s="154">
        <v>1</v>
      </c>
      <c r="H4253" s="133" t="s">
        <v>39</v>
      </c>
      <c r="I4253" s="134"/>
      <c r="J4253" s="133" t="s">
        <v>2555</v>
      </c>
      <c r="K4253" s="133" t="s">
        <v>831</v>
      </c>
      <c r="L4253" s="167"/>
      <c r="M4253" s="169"/>
    </row>
    <row r="4254" spans="1:13" x14ac:dyDescent="0.55000000000000004">
      <c r="A4254" s="133" t="s">
        <v>2556</v>
      </c>
      <c r="B4254" s="133" t="s">
        <v>3234</v>
      </c>
      <c r="C4254" s="133" t="s">
        <v>124</v>
      </c>
      <c r="D4254" s="133" t="s">
        <v>3288</v>
      </c>
      <c r="E4254" s="138">
        <v>220</v>
      </c>
      <c r="F4254" s="153" t="s">
        <v>3226</v>
      </c>
      <c r="G4254" s="154">
        <v>1</v>
      </c>
      <c r="H4254" s="133" t="s">
        <v>39</v>
      </c>
      <c r="I4254" s="134"/>
      <c r="J4254" s="133" t="s">
        <v>2555</v>
      </c>
      <c r="K4254" s="133" t="s">
        <v>831</v>
      </c>
      <c r="L4254" s="167"/>
      <c r="M4254" s="169"/>
    </row>
    <row r="4255" spans="1:13" x14ac:dyDescent="0.55000000000000004">
      <c r="A4255" s="133" t="s">
        <v>2561</v>
      </c>
      <c r="B4255" s="133" t="s">
        <v>3211</v>
      </c>
      <c r="C4255" s="133" t="s">
        <v>121</v>
      </c>
      <c r="D4255" s="133" t="s">
        <v>2682</v>
      </c>
      <c r="E4255" s="138">
        <v>1</v>
      </c>
      <c r="F4255" s="153">
        <v>1</v>
      </c>
      <c r="G4255" s="154">
        <v>1</v>
      </c>
      <c r="H4255" s="133" t="s">
        <v>39</v>
      </c>
      <c r="I4255" s="134"/>
      <c r="J4255" s="133" t="s">
        <v>2560</v>
      </c>
      <c r="K4255" s="133" t="s">
        <v>831</v>
      </c>
      <c r="L4255" s="167"/>
      <c r="M4255" s="169"/>
    </row>
    <row r="4256" spans="1:13" x14ac:dyDescent="0.55000000000000004">
      <c r="A4256" s="133" t="s">
        <v>2561</v>
      </c>
      <c r="B4256" s="133" t="s">
        <v>181</v>
      </c>
      <c r="C4256" s="133" t="s">
        <v>348</v>
      </c>
      <c r="D4256" s="133" t="s">
        <v>3288</v>
      </c>
      <c r="E4256" s="138">
        <v>1</v>
      </c>
      <c r="F4256" s="153" t="s">
        <v>135</v>
      </c>
      <c r="G4256" s="154">
        <v>1</v>
      </c>
      <c r="H4256" s="133" t="s">
        <v>39</v>
      </c>
      <c r="I4256" s="134"/>
      <c r="J4256" s="133" t="s">
        <v>2560</v>
      </c>
      <c r="K4256" s="133" t="s">
        <v>831</v>
      </c>
      <c r="L4256" s="167"/>
      <c r="M4256" s="169"/>
    </row>
    <row r="4257" spans="1:13" x14ac:dyDescent="0.55000000000000004">
      <c r="A4257" s="133" t="s">
        <v>2561</v>
      </c>
      <c r="B4257" s="133" t="s">
        <v>3204</v>
      </c>
      <c r="C4257" s="133" t="s">
        <v>348</v>
      </c>
      <c r="D4257" s="133" t="s">
        <v>3289</v>
      </c>
      <c r="E4257" s="138">
        <v>4.5999999999999999E-3</v>
      </c>
      <c r="F4257" s="153" t="s">
        <v>135</v>
      </c>
      <c r="G4257" s="154">
        <v>1</v>
      </c>
      <c r="H4257" s="133" t="s">
        <v>39</v>
      </c>
      <c r="I4257" s="134"/>
      <c r="J4257" s="133" t="s">
        <v>2560</v>
      </c>
      <c r="K4257" s="133" t="s">
        <v>831</v>
      </c>
      <c r="L4257" s="167"/>
      <c r="M4257" s="169"/>
    </row>
    <row r="4258" spans="1:13" x14ac:dyDescent="0.55000000000000004">
      <c r="A4258" s="133" t="s">
        <v>2561</v>
      </c>
      <c r="B4258" s="133" t="s">
        <v>3229</v>
      </c>
      <c r="C4258" s="133" t="s">
        <v>348</v>
      </c>
      <c r="D4258" s="133" t="s">
        <v>3288</v>
      </c>
      <c r="E4258" s="138">
        <v>6.4999999999999997E-3</v>
      </c>
      <c r="F4258" s="153" t="s">
        <v>135</v>
      </c>
      <c r="G4258" s="154">
        <v>1</v>
      </c>
      <c r="H4258" s="133" t="s">
        <v>39</v>
      </c>
      <c r="I4258" s="134"/>
      <c r="J4258" s="133" t="s">
        <v>2560</v>
      </c>
      <c r="K4258" s="133" t="s">
        <v>831</v>
      </c>
      <c r="L4258" s="167"/>
      <c r="M4258" s="169"/>
    </row>
    <row r="4259" spans="1:13" x14ac:dyDescent="0.55000000000000004">
      <c r="A4259" s="133" t="s">
        <v>2561</v>
      </c>
      <c r="B4259" s="133" t="s">
        <v>3065</v>
      </c>
      <c r="C4259" s="133" t="s">
        <v>348</v>
      </c>
      <c r="D4259" s="133" t="s">
        <v>3288</v>
      </c>
      <c r="E4259" s="138">
        <v>5.0000000000000001E-4</v>
      </c>
      <c r="F4259" s="153" t="s">
        <v>135</v>
      </c>
      <c r="G4259" s="154">
        <v>1</v>
      </c>
      <c r="H4259" s="133" t="s">
        <v>39</v>
      </c>
      <c r="I4259" s="134"/>
      <c r="J4259" s="133" t="s">
        <v>2560</v>
      </c>
      <c r="K4259" s="133" t="s">
        <v>831</v>
      </c>
      <c r="L4259" s="167"/>
      <c r="M4259" s="169"/>
    </row>
    <row r="4260" spans="1:13" x14ac:dyDescent="0.55000000000000004">
      <c r="A4260" s="133" t="s">
        <v>2561</v>
      </c>
      <c r="B4260" s="133" t="s">
        <v>3230</v>
      </c>
      <c r="C4260" s="133" t="s">
        <v>127</v>
      </c>
      <c r="D4260" s="133" t="s">
        <v>3288</v>
      </c>
      <c r="E4260" s="138">
        <v>8.9999999999999993E-3</v>
      </c>
      <c r="F4260" s="153" t="s">
        <v>135</v>
      </c>
      <c r="G4260" s="154">
        <v>1</v>
      </c>
      <c r="H4260" s="133" t="s">
        <v>39</v>
      </c>
      <c r="I4260" s="134"/>
      <c r="J4260" s="133" t="s">
        <v>2560</v>
      </c>
      <c r="K4260" s="133" t="s">
        <v>831</v>
      </c>
      <c r="L4260" s="167"/>
      <c r="M4260" s="169"/>
    </row>
    <row r="4261" spans="1:13" x14ac:dyDescent="0.55000000000000004">
      <c r="A4261" s="133" t="s">
        <v>2561</v>
      </c>
      <c r="B4261" s="133" t="s">
        <v>293</v>
      </c>
      <c r="C4261" s="133" t="s">
        <v>127</v>
      </c>
      <c r="D4261" s="133" t="s">
        <v>3288</v>
      </c>
      <c r="E4261" s="138">
        <v>4.9000000000000002E-2</v>
      </c>
      <c r="F4261" s="153" t="s">
        <v>135</v>
      </c>
      <c r="G4261" s="154">
        <v>1</v>
      </c>
      <c r="H4261" s="133" t="s">
        <v>39</v>
      </c>
      <c r="I4261" s="134"/>
      <c r="J4261" s="133" t="s">
        <v>2560</v>
      </c>
      <c r="K4261" s="133" t="s">
        <v>831</v>
      </c>
      <c r="L4261" s="167"/>
      <c r="M4261" s="169"/>
    </row>
    <row r="4262" spans="1:13" x14ac:dyDescent="0.55000000000000004">
      <c r="A4262" s="133" t="s">
        <v>2561</v>
      </c>
      <c r="B4262" s="133" t="s">
        <v>131</v>
      </c>
      <c r="C4262" s="133" t="s">
        <v>348</v>
      </c>
      <c r="D4262" s="133" t="s">
        <v>3288</v>
      </c>
      <c r="E4262" s="138">
        <v>7.0199999999999999E-2</v>
      </c>
      <c r="F4262" s="153" t="s">
        <v>135</v>
      </c>
      <c r="G4262" s="154">
        <v>1</v>
      </c>
      <c r="H4262" s="133" t="s">
        <v>39</v>
      </c>
      <c r="I4262" s="134"/>
      <c r="J4262" s="133" t="s">
        <v>2560</v>
      </c>
      <c r="K4262" s="133" t="s">
        <v>831</v>
      </c>
      <c r="L4262" s="167"/>
      <c r="M4262" s="169"/>
    </row>
    <row r="4263" spans="1:13" x14ac:dyDescent="0.55000000000000004">
      <c r="A4263" s="133" t="s">
        <v>2561</v>
      </c>
      <c r="B4263" s="133" t="s">
        <v>153</v>
      </c>
      <c r="C4263" s="133" t="s">
        <v>156</v>
      </c>
      <c r="D4263" s="133" t="s">
        <v>2994</v>
      </c>
      <c r="E4263" s="138">
        <v>450</v>
      </c>
      <c r="F4263" s="153" t="s">
        <v>130</v>
      </c>
      <c r="G4263" s="154">
        <v>1</v>
      </c>
      <c r="H4263" s="133" t="s">
        <v>39</v>
      </c>
      <c r="I4263" s="134"/>
      <c r="J4263" s="133" t="s">
        <v>2560</v>
      </c>
      <c r="K4263" s="133" t="s">
        <v>831</v>
      </c>
      <c r="L4263" s="167"/>
      <c r="M4263" s="169"/>
    </row>
    <row r="4264" spans="1:13" x14ac:dyDescent="0.55000000000000004">
      <c r="A4264" s="133" t="s">
        <v>2561</v>
      </c>
      <c r="B4264" s="133" t="s">
        <v>3231</v>
      </c>
      <c r="C4264" s="133" t="s">
        <v>3269</v>
      </c>
      <c r="D4264" s="133" t="s">
        <v>3288</v>
      </c>
      <c r="E4264" s="138">
        <v>7.1099999999999997E-2</v>
      </c>
      <c r="F4264" s="153" t="s">
        <v>135</v>
      </c>
      <c r="G4264" s="154">
        <v>1</v>
      </c>
      <c r="H4264" s="133" t="s">
        <v>39</v>
      </c>
      <c r="I4264" s="134"/>
      <c r="J4264" s="133" t="s">
        <v>2560</v>
      </c>
      <c r="K4264" s="133" t="s">
        <v>831</v>
      </c>
      <c r="L4264" s="167"/>
      <c r="M4264" s="169"/>
    </row>
    <row r="4265" spans="1:13" x14ac:dyDescent="0.55000000000000004">
      <c r="A4265" s="133" t="s">
        <v>2561</v>
      </c>
      <c r="B4265" s="133" t="s">
        <v>160</v>
      </c>
      <c r="C4265" s="133" t="s">
        <v>124</v>
      </c>
      <c r="D4265" s="133" t="s">
        <v>3288</v>
      </c>
      <c r="E4265" s="138">
        <v>1.23</v>
      </c>
      <c r="F4265" s="153" t="s">
        <v>135</v>
      </c>
      <c r="G4265" s="154">
        <v>1</v>
      </c>
      <c r="H4265" s="133" t="s">
        <v>39</v>
      </c>
      <c r="I4265" s="134"/>
      <c r="J4265" s="133" t="s">
        <v>2560</v>
      </c>
      <c r="K4265" s="133" t="s">
        <v>831</v>
      </c>
      <c r="L4265" s="167"/>
      <c r="M4265" s="169"/>
    </row>
    <row r="4266" spans="1:13" x14ac:dyDescent="0.55000000000000004">
      <c r="A4266" s="133" t="s">
        <v>2561</v>
      </c>
      <c r="B4266" s="133" t="s">
        <v>2974</v>
      </c>
      <c r="C4266" s="133" t="s">
        <v>124</v>
      </c>
      <c r="D4266" s="133" t="s">
        <v>3288</v>
      </c>
      <c r="E4266" s="138">
        <v>2.18E-2</v>
      </c>
      <c r="F4266" s="153" t="s">
        <v>135</v>
      </c>
      <c r="G4266" s="154">
        <v>1</v>
      </c>
      <c r="H4266" s="133" t="s">
        <v>39</v>
      </c>
      <c r="I4266" s="134"/>
      <c r="J4266" s="133" t="s">
        <v>2560</v>
      </c>
      <c r="K4266" s="133" t="s">
        <v>831</v>
      </c>
      <c r="L4266" s="167"/>
      <c r="M4266" s="169"/>
    </row>
    <row r="4267" spans="1:13" x14ac:dyDescent="0.55000000000000004">
      <c r="A4267" s="133" t="s">
        <v>2561</v>
      </c>
      <c r="B4267" s="133" t="s">
        <v>213</v>
      </c>
      <c r="C4267" s="133" t="s">
        <v>124</v>
      </c>
      <c r="D4267" s="133" t="s">
        <v>3288</v>
      </c>
      <c r="E4267" s="138">
        <v>0.111</v>
      </c>
      <c r="F4267" s="153" t="s">
        <v>135</v>
      </c>
      <c r="G4267" s="154">
        <v>1</v>
      </c>
      <c r="H4267" s="133" t="s">
        <v>39</v>
      </c>
      <c r="I4267" s="134"/>
      <c r="J4267" s="133" t="s">
        <v>2560</v>
      </c>
      <c r="K4267" s="133" t="s">
        <v>831</v>
      </c>
      <c r="L4267" s="167"/>
      <c r="M4267" s="169"/>
    </row>
    <row r="4268" spans="1:13" x14ac:dyDescent="0.55000000000000004">
      <c r="A4268" s="133" t="s">
        <v>2561</v>
      </c>
      <c r="B4268" s="133" t="s">
        <v>2607</v>
      </c>
      <c r="C4268" s="133" t="s">
        <v>124</v>
      </c>
      <c r="D4268" s="133" t="s">
        <v>3288</v>
      </c>
      <c r="E4268" s="138">
        <v>3.18</v>
      </c>
      <c r="F4268" s="153" t="s">
        <v>135</v>
      </c>
      <c r="G4268" s="154">
        <v>1</v>
      </c>
      <c r="H4268" s="133" t="s">
        <v>39</v>
      </c>
      <c r="I4268" s="134"/>
      <c r="J4268" s="133" t="s">
        <v>2560</v>
      </c>
      <c r="K4268" s="133" t="s">
        <v>831</v>
      </c>
      <c r="L4268" s="167"/>
      <c r="M4268" s="169"/>
    </row>
    <row r="4269" spans="1:13" x14ac:dyDescent="0.55000000000000004">
      <c r="A4269" s="133" t="s">
        <v>2561</v>
      </c>
      <c r="B4269" s="133" t="s">
        <v>891</v>
      </c>
      <c r="C4269" s="133" t="s">
        <v>124</v>
      </c>
      <c r="D4269" s="133" t="s">
        <v>3288</v>
      </c>
      <c r="E4269" s="138">
        <v>7.36E-5</v>
      </c>
      <c r="F4269" s="153" t="s">
        <v>135</v>
      </c>
      <c r="G4269" s="154">
        <v>1</v>
      </c>
      <c r="H4269" s="133" t="s">
        <v>39</v>
      </c>
      <c r="I4269" s="134"/>
      <c r="J4269" s="133" t="s">
        <v>2560</v>
      </c>
      <c r="K4269" s="133" t="s">
        <v>831</v>
      </c>
      <c r="L4269" s="167"/>
      <c r="M4269" s="169"/>
    </row>
    <row r="4270" spans="1:13" x14ac:dyDescent="0.55000000000000004">
      <c r="A4270" s="133" t="s">
        <v>2561</v>
      </c>
      <c r="B4270" s="133" t="s">
        <v>1172</v>
      </c>
      <c r="C4270" s="133" t="s">
        <v>124</v>
      </c>
      <c r="D4270" s="133" t="s">
        <v>3288</v>
      </c>
      <c r="E4270" s="138">
        <v>11.6</v>
      </c>
      <c r="F4270" s="153" t="s">
        <v>892</v>
      </c>
      <c r="G4270" s="154">
        <v>1</v>
      </c>
      <c r="H4270" s="133" t="s">
        <v>39</v>
      </c>
      <c r="I4270" s="134"/>
      <c r="J4270" s="133" t="s">
        <v>2560</v>
      </c>
      <c r="K4270" s="133" t="s">
        <v>831</v>
      </c>
      <c r="L4270" s="167"/>
      <c r="M4270" s="169"/>
    </row>
    <row r="4271" spans="1:13" x14ac:dyDescent="0.55000000000000004">
      <c r="A4271" s="133" t="s">
        <v>2561</v>
      </c>
      <c r="B4271" s="133" t="s">
        <v>3232</v>
      </c>
      <c r="C4271" s="133" t="s">
        <v>124</v>
      </c>
      <c r="D4271" s="133" t="s">
        <v>3288</v>
      </c>
      <c r="E4271" s="138">
        <v>7.0000000000000007E-2</v>
      </c>
      <c r="F4271" s="153" t="s">
        <v>892</v>
      </c>
      <c r="G4271" s="154">
        <v>1</v>
      </c>
      <c r="H4271" s="133" t="s">
        <v>39</v>
      </c>
      <c r="I4271" s="134"/>
      <c r="J4271" s="133" t="s">
        <v>2560</v>
      </c>
      <c r="K4271" s="133" t="s">
        <v>831</v>
      </c>
      <c r="L4271" s="167"/>
      <c r="M4271" s="169"/>
    </row>
    <row r="4272" spans="1:13" x14ac:dyDescent="0.55000000000000004">
      <c r="A4272" s="133" t="s">
        <v>2561</v>
      </c>
      <c r="B4272" s="133" t="s">
        <v>3197</v>
      </c>
      <c r="C4272" s="133" t="s">
        <v>124</v>
      </c>
      <c r="D4272" s="133" t="s">
        <v>3288</v>
      </c>
      <c r="E4272" s="138">
        <v>6.0000000000000001E-3</v>
      </c>
      <c r="F4272" s="153" t="s">
        <v>892</v>
      </c>
      <c r="G4272" s="154">
        <v>1</v>
      </c>
      <c r="H4272" s="133" t="s">
        <v>39</v>
      </c>
      <c r="I4272" s="134"/>
      <c r="J4272" s="133" t="s">
        <v>2560</v>
      </c>
      <c r="K4272" s="133" t="s">
        <v>831</v>
      </c>
      <c r="L4272" s="167"/>
      <c r="M4272" s="169"/>
    </row>
    <row r="4273" spans="1:13" x14ac:dyDescent="0.55000000000000004">
      <c r="A4273" s="133" t="s">
        <v>2561</v>
      </c>
      <c r="B4273" s="133" t="s">
        <v>2975</v>
      </c>
      <c r="C4273" s="133" t="s">
        <v>124</v>
      </c>
      <c r="D4273" s="133" t="s">
        <v>3288</v>
      </c>
      <c r="E4273" s="138">
        <v>0.24</v>
      </c>
      <c r="F4273" s="153" t="s">
        <v>892</v>
      </c>
      <c r="G4273" s="154">
        <v>1</v>
      </c>
      <c r="H4273" s="133" t="s">
        <v>39</v>
      </c>
      <c r="I4273" s="134"/>
      <c r="J4273" s="133" t="s">
        <v>2560</v>
      </c>
      <c r="K4273" s="133" t="s">
        <v>831</v>
      </c>
      <c r="L4273" s="167"/>
      <c r="M4273" s="169"/>
    </row>
    <row r="4274" spans="1:13" x14ac:dyDescent="0.55000000000000004">
      <c r="A4274" s="133" t="s">
        <v>2561</v>
      </c>
      <c r="B4274" s="133" t="s">
        <v>556</v>
      </c>
      <c r="C4274" s="133" t="s">
        <v>124</v>
      </c>
      <c r="D4274" s="133" t="s">
        <v>3288</v>
      </c>
      <c r="E4274" s="138">
        <v>0.33</v>
      </c>
      <c r="F4274" s="153" t="s">
        <v>892</v>
      </c>
      <c r="G4274" s="154">
        <v>1</v>
      </c>
      <c r="H4274" s="133" t="s">
        <v>39</v>
      </c>
      <c r="I4274" s="134"/>
      <c r="J4274" s="133" t="s">
        <v>2560</v>
      </c>
      <c r="K4274" s="133" t="s">
        <v>831</v>
      </c>
      <c r="L4274" s="167"/>
      <c r="M4274" s="169"/>
    </row>
    <row r="4275" spans="1:13" x14ac:dyDescent="0.55000000000000004">
      <c r="A4275" s="133" t="s">
        <v>2561</v>
      </c>
      <c r="B4275" s="133" t="s">
        <v>3026</v>
      </c>
      <c r="C4275" s="133" t="s">
        <v>124</v>
      </c>
      <c r="D4275" s="133" t="s">
        <v>3288</v>
      </c>
      <c r="E4275" s="138">
        <v>0.4</v>
      </c>
      <c r="F4275" s="153" t="s">
        <v>892</v>
      </c>
      <c r="G4275" s="154">
        <v>1</v>
      </c>
      <c r="H4275" s="133" t="s">
        <v>39</v>
      </c>
      <c r="I4275" s="134"/>
      <c r="J4275" s="133" t="s">
        <v>2560</v>
      </c>
      <c r="K4275" s="133" t="s">
        <v>831</v>
      </c>
      <c r="L4275" s="167"/>
      <c r="M4275" s="169"/>
    </row>
    <row r="4276" spans="1:13" x14ac:dyDescent="0.55000000000000004">
      <c r="A4276" s="133" t="s">
        <v>2561</v>
      </c>
      <c r="B4276" s="133" t="s">
        <v>726</v>
      </c>
      <c r="C4276" s="133" t="s">
        <v>124</v>
      </c>
      <c r="D4276" s="133" t="s">
        <v>3288</v>
      </c>
      <c r="E4276" s="138">
        <v>1.0999999999999999E-2</v>
      </c>
      <c r="F4276" s="153" t="s">
        <v>892</v>
      </c>
      <c r="G4276" s="154">
        <v>1</v>
      </c>
      <c r="H4276" s="133" t="s">
        <v>39</v>
      </c>
      <c r="I4276" s="134"/>
      <c r="J4276" s="133" t="s">
        <v>2560</v>
      </c>
      <c r="K4276" s="133" t="s">
        <v>831</v>
      </c>
      <c r="L4276" s="167"/>
      <c r="M4276" s="169"/>
    </row>
    <row r="4277" spans="1:13" x14ac:dyDescent="0.55000000000000004">
      <c r="A4277" s="133" t="s">
        <v>2561</v>
      </c>
      <c r="B4277" s="133" t="s">
        <v>3233</v>
      </c>
      <c r="C4277" s="133" t="s">
        <v>124</v>
      </c>
      <c r="D4277" s="133" t="s">
        <v>3288</v>
      </c>
      <c r="E4277" s="138">
        <v>0.84</v>
      </c>
      <c r="F4277" s="153" t="s">
        <v>892</v>
      </c>
      <c r="G4277" s="154">
        <v>1</v>
      </c>
      <c r="H4277" s="133" t="s">
        <v>39</v>
      </c>
      <c r="I4277" s="134"/>
      <c r="J4277" s="133" t="s">
        <v>2560</v>
      </c>
      <c r="K4277" s="133" t="s">
        <v>831</v>
      </c>
      <c r="L4277" s="167"/>
      <c r="M4277" s="169"/>
    </row>
    <row r="4278" spans="1:13" x14ac:dyDescent="0.55000000000000004">
      <c r="A4278" s="133" t="s">
        <v>2561</v>
      </c>
      <c r="B4278" s="133" t="s">
        <v>149</v>
      </c>
      <c r="C4278" s="133" t="s">
        <v>124</v>
      </c>
      <c r="D4278" s="133" t="s">
        <v>3288</v>
      </c>
      <c r="E4278" s="138">
        <v>13</v>
      </c>
      <c r="F4278" s="153" t="s">
        <v>892</v>
      </c>
      <c r="G4278" s="154">
        <v>1</v>
      </c>
      <c r="H4278" s="133" t="s">
        <v>39</v>
      </c>
      <c r="I4278" s="134"/>
      <c r="J4278" s="133" t="s">
        <v>2560</v>
      </c>
      <c r="K4278" s="133" t="s">
        <v>831</v>
      </c>
      <c r="L4278" s="167"/>
      <c r="M4278" s="169"/>
    </row>
    <row r="4279" spans="1:13" x14ac:dyDescent="0.55000000000000004">
      <c r="A4279" s="133" t="s">
        <v>2561</v>
      </c>
      <c r="B4279" s="133" t="s">
        <v>2923</v>
      </c>
      <c r="C4279" s="133" t="s">
        <v>124</v>
      </c>
      <c r="D4279" s="133" t="s">
        <v>3288</v>
      </c>
      <c r="E4279" s="138">
        <v>3.52</v>
      </c>
      <c r="F4279" s="153" t="s">
        <v>892</v>
      </c>
      <c r="G4279" s="154">
        <v>1</v>
      </c>
      <c r="H4279" s="133" t="s">
        <v>39</v>
      </c>
      <c r="I4279" s="134"/>
      <c r="J4279" s="133" t="s">
        <v>2560</v>
      </c>
      <c r="K4279" s="133" t="s">
        <v>831</v>
      </c>
      <c r="L4279" s="167"/>
      <c r="M4279" s="169"/>
    </row>
    <row r="4280" spans="1:13" x14ac:dyDescent="0.55000000000000004">
      <c r="A4280" s="133" t="s">
        <v>2561</v>
      </c>
      <c r="B4280" s="133" t="s">
        <v>3234</v>
      </c>
      <c r="C4280" s="133" t="s">
        <v>124</v>
      </c>
      <c r="D4280" s="133" t="s">
        <v>3288</v>
      </c>
      <c r="E4280" s="138">
        <v>3.06</v>
      </c>
      <c r="F4280" s="153" t="s">
        <v>3226</v>
      </c>
      <c r="G4280" s="154">
        <v>1</v>
      </c>
      <c r="H4280" s="133" t="s">
        <v>39</v>
      </c>
      <c r="I4280" s="134"/>
      <c r="J4280" s="133" t="s">
        <v>2560</v>
      </c>
      <c r="K4280" s="133" t="s">
        <v>831</v>
      </c>
      <c r="L4280" s="167"/>
      <c r="M4280" s="169"/>
    </row>
    <row r="4281" spans="1:13" x14ac:dyDescent="0.55000000000000004">
      <c r="A4281" s="133" t="s">
        <v>2564</v>
      </c>
      <c r="B4281" s="133" t="s">
        <v>3235</v>
      </c>
      <c r="C4281" s="133" t="s">
        <v>121</v>
      </c>
      <c r="D4281" s="133" t="s">
        <v>2682</v>
      </c>
      <c r="E4281" s="138">
        <v>1</v>
      </c>
      <c r="F4281" s="153">
        <v>1</v>
      </c>
      <c r="G4281" s="154">
        <v>1</v>
      </c>
      <c r="H4281" s="133" t="s">
        <v>39</v>
      </c>
      <c r="I4281" s="134"/>
      <c r="J4281" s="133" t="s">
        <v>2563</v>
      </c>
      <c r="K4281" s="133" t="s">
        <v>831</v>
      </c>
      <c r="L4281" s="167"/>
      <c r="M4281" s="169"/>
    </row>
    <row r="4282" spans="1:13" x14ac:dyDescent="0.55000000000000004">
      <c r="A4282" s="133" t="s">
        <v>2564</v>
      </c>
      <c r="B4282" s="133" t="s">
        <v>3416</v>
      </c>
      <c r="C4282" s="133" t="s">
        <v>348</v>
      </c>
      <c r="D4282" s="133" t="s">
        <v>3288</v>
      </c>
      <c r="E4282" s="138">
        <v>1</v>
      </c>
      <c r="F4282" s="153" t="s">
        <v>135</v>
      </c>
      <c r="G4282" s="154">
        <v>1</v>
      </c>
      <c r="H4282" s="133" t="s">
        <v>39</v>
      </c>
      <c r="I4282" s="134"/>
      <c r="J4282" s="133" t="s">
        <v>2563</v>
      </c>
      <c r="K4282" s="133" t="s">
        <v>831</v>
      </c>
      <c r="L4282" s="167"/>
      <c r="M4282" s="169"/>
    </row>
    <row r="4283" spans="1:13" x14ac:dyDescent="0.55000000000000004">
      <c r="A4283" s="133" t="s">
        <v>2564</v>
      </c>
      <c r="B4283" s="133" t="s">
        <v>153</v>
      </c>
      <c r="C4283" s="133" t="s">
        <v>127</v>
      </c>
      <c r="D4283" s="133" t="s">
        <v>2994</v>
      </c>
      <c r="E4283" s="138">
        <v>2.4090909090909092</v>
      </c>
      <c r="F4283" s="153" t="s">
        <v>130</v>
      </c>
      <c r="G4283" s="154">
        <v>1</v>
      </c>
      <c r="H4283" s="133" t="s">
        <v>39</v>
      </c>
      <c r="I4283" s="134"/>
      <c r="J4283" s="133" t="s">
        <v>2563</v>
      </c>
      <c r="K4283" s="133" t="s">
        <v>831</v>
      </c>
      <c r="L4283" s="167"/>
      <c r="M4283" s="169"/>
    </row>
    <row r="4284" spans="1:13" x14ac:dyDescent="0.55000000000000004">
      <c r="A4284" s="133" t="s">
        <v>2564</v>
      </c>
      <c r="B4284" s="133" t="s">
        <v>3237</v>
      </c>
      <c r="C4284" s="133" t="s">
        <v>156</v>
      </c>
      <c r="D4284" s="133" t="s">
        <v>3288</v>
      </c>
      <c r="E4284" s="138">
        <v>9.0909090909090922E-3</v>
      </c>
      <c r="F4284" s="153" t="s">
        <v>135</v>
      </c>
      <c r="G4284" s="154">
        <v>1</v>
      </c>
      <c r="H4284" s="133" t="s">
        <v>39</v>
      </c>
      <c r="I4284" s="134"/>
      <c r="J4284" s="133" t="s">
        <v>2563</v>
      </c>
      <c r="K4284" s="133" t="s">
        <v>831</v>
      </c>
      <c r="L4284" s="167"/>
      <c r="M4284" s="169"/>
    </row>
    <row r="4285" spans="1:13" x14ac:dyDescent="0.55000000000000004">
      <c r="A4285" s="133" t="s">
        <v>2564</v>
      </c>
      <c r="B4285" s="133" t="s">
        <v>3238</v>
      </c>
      <c r="C4285" s="133" t="s">
        <v>156</v>
      </c>
      <c r="D4285" s="133" t="s">
        <v>3288</v>
      </c>
      <c r="E4285" s="138">
        <v>4.5454545454545461E-3</v>
      </c>
      <c r="F4285" s="153" t="s">
        <v>135</v>
      </c>
      <c r="G4285" s="154">
        <v>1</v>
      </c>
      <c r="H4285" s="133" t="s">
        <v>39</v>
      </c>
      <c r="I4285" s="134"/>
      <c r="J4285" s="133" t="s">
        <v>2563</v>
      </c>
      <c r="K4285" s="133" t="s">
        <v>831</v>
      </c>
      <c r="L4285" s="167"/>
      <c r="M4285" s="169"/>
    </row>
    <row r="4286" spans="1:13" x14ac:dyDescent="0.55000000000000004">
      <c r="A4286" s="133" t="s">
        <v>2564</v>
      </c>
      <c r="B4286" s="133" t="s">
        <v>2798</v>
      </c>
      <c r="C4286" s="133" t="s">
        <v>156</v>
      </c>
      <c r="D4286" s="133" t="s">
        <v>3288</v>
      </c>
      <c r="E4286" s="138">
        <v>1.7545454545454545E-2</v>
      </c>
      <c r="F4286" s="153" t="s">
        <v>135</v>
      </c>
      <c r="G4286" s="154">
        <v>1</v>
      </c>
      <c r="H4286" s="133" t="s">
        <v>39</v>
      </c>
      <c r="I4286" s="134"/>
      <c r="J4286" s="133" t="s">
        <v>2563</v>
      </c>
      <c r="K4286" s="133" t="s">
        <v>831</v>
      </c>
      <c r="L4286" s="167"/>
      <c r="M4286" s="169"/>
    </row>
    <row r="4287" spans="1:13" x14ac:dyDescent="0.55000000000000004">
      <c r="A4287" s="133" t="s">
        <v>2564</v>
      </c>
      <c r="B4287" s="133" t="s">
        <v>3239</v>
      </c>
      <c r="C4287" s="133" t="s">
        <v>156</v>
      </c>
      <c r="D4287" s="133" t="s">
        <v>3288</v>
      </c>
      <c r="E4287" s="138">
        <v>6.3772727272727273E-2</v>
      </c>
      <c r="F4287" s="153" t="s">
        <v>135</v>
      </c>
      <c r="G4287" s="154">
        <v>1</v>
      </c>
      <c r="H4287" s="133" t="s">
        <v>39</v>
      </c>
      <c r="I4287" s="134"/>
      <c r="J4287" s="133" t="s">
        <v>2563</v>
      </c>
      <c r="K4287" s="133" t="s">
        <v>831</v>
      </c>
      <c r="L4287" s="167"/>
      <c r="M4287" s="169"/>
    </row>
    <row r="4288" spans="1:13" x14ac:dyDescent="0.55000000000000004">
      <c r="A4288" s="133" t="s">
        <v>2564</v>
      </c>
      <c r="B4288" s="133" t="s">
        <v>3240</v>
      </c>
      <c r="C4288" s="133" t="s">
        <v>156</v>
      </c>
      <c r="D4288" s="133" t="s">
        <v>3288</v>
      </c>
      <c r="E4288" s="138">
        <v>0.42249999999999999</v>
      </c>
      <c r="F4288" s="153" t="s">
        <v>135</v>
      </c>
      <c r="G4288" s="154">
        <v>1</v>
      </c>
      <c r="H4288" s="133" t="s">
        <v>39</v>
      </c>
      <c r="I4288" s="134"/>
      <c r="J4288" s="133" t="s">
        <v>2563</v>
      </c>
      <c r="K4288" s="133" t="s">
        <v>831</v>
      </c>
      <c r="L4288" s="167"/>
      <c r="M4288" s="169"/>
    </row>
    <row r="4289" spans="1:13" x14ac:dyDescent="0.55000000000000004">
      <c r="A4289" s="133" t="s">
        <v>2567</v>
      </c>
      <c r="B4289" s="133" t="s">
        <v>3241</v>
      </c>
      <c r="C4289" s="133" t="s">
        <v>121</v>
      </c>
      <c r="D4289" s="133" t="s">
        <v>3288</v>
      </c>
      <c r="E4289" s="138">
        <v>1</v>
      </c>
      <c r="F4289" s="153">
        <v>1</v>
      </c>
      <c r="G4289" s="154">
        <v>1</v>
      </c>
      <c r="H4289" s="133" t="s">
        <v>39</v>
      </c>
      <c r="I4289" s="134"/>
      <c r="J4289" s="133" t="s">
        <v>2566</v>
      </c>
      <c r="K4289" s="133" t="s">
        <v>831</v>
      </c>
      <c r="L4289" s="167"/>
      <c r="M4289" s="169"/>
    </row>
    <row r="4290" spans="1:13" x14ac:dyDescent="0.55000000000000004">
      <c r="A4290" s="133" t="s">
        <v>2567</v>
      </c>
      <c r="B4290" s="133" t="s">
        <v>2732</v>
      </c>
      <c r="C4290" s="133" t="s">
        <v>348</v>
      </c>
      <c r="D4290" s="133" t="s">
        <v>3288</v>
      </c>
      <c r="E4290" s="138">
        <v>1</v>
      </c>
      <c r="F4290" s="153" t="s">
        <v>135</v>
      </c>
      <c r="G4290" s="154">
        <v>1</v>
      </c>
      <c r="H4290" s="133" t="s">
        <v>39</v>
      </c>
      <c r="I4290" s="134"/>
      <c r="J4290" s="133" t="s">
        <v>2566</v>
      </c>
      <c r="K4290" s="133" t="s">
        <v>831</v>
      </c>
      <c r="L4290" s="167"/>
      <c r="M4290" s="169"/>
    </row>
    <row r="4291" spans="1:13" x14ac:dyDescent="0.55000000000000004">
      <c r="A4291" s="133" t="s">
        <v>2567</v>
      </c>
      <c r="B4291" s="133" t="s">
        <v>153</v>
      </c>
      <c r="C4291" s="133" t="s">
        <v>127</v>
      </c>
      <c r="D4291" s="133" t="s">
        <v>2994</v>
      </c>
      <c r="E4291" s="138">
        <v>258.24</v>
      </c>
      <c r="F4291" s="153" t="s">
        <v>130</v>
      </c>
      <c r="G4291" s="154">
        <v>1</v>
      </c>
      <c r="H4291" s="133" t="s">
        <v>39</v>
      </c>
      <c r="I4291" s="134"/>
      <c r="J4291" s="133" t="s">
        <v>2566</v>
      </c>
      <c r="K4291" s="133" t="s">
        <v>831</v>
      </c>
      <c r="L4291" s="167"/>
      <c r="M4291" s="169"/>
    </row>
    <row r="4292" spans="1:13" x14ac:dyDescent="0.55000000000000004">
      <c r="A4292" s="133" t="s">
        <v>2567</v>
      </c>
      <c r="B4292" s="133" t="s">
        <v>171</v>
      </c>
      <c r="C4292" s="133" t="s">
        <v>127</v>
      </c>
      <c r="D4292" s="133" t="s">
        <v>2994</v>
      </c>
      <c r="E4292" s="138">
        <v>0.59</v>
      </c>
      <c r="F4292" s="153" t="s">
        <v>122</v>
      </c>
      <c r="G4292" s="154">
        <v>1</v>
      </c>
      <c r="H4292" s="133" t="s">
        <v>39</v>
      </c>
      <c r="I4292" s="134"/>
      <c r="J4292" s="133" t="s">
        <v>2566</v>
      </c>
      <c r="K4292" s="133" t="s">
        <v>831</v>
      </c>
      <c r="L4292" s="167"/>
      <c r="M4292" s="169"/>
    </row>
    <row r="4293" spans="1:13" x14ac:dyDescent="0.55000000000000004">
      <c r="A4293" s="133" t="s">
        <v>2567</v>
      </c>
      <c r="B4293" s="133" t="s">
        <v>3242</v>
      </c>
      <c r="C4293" s="133" t="s">
        <v>348</v>
      </c>
      <c r="D4293" s="133" t="s">
        <v>3288</v>
      </c>
      <c r="E4293" s="138">
        <v>4.1000000000000003E-3</v>
      </c>
      <c r="F4293" s="153" t="s">
        <v>135</v>
      </c>
      <c r="G4293" s="154">
        <v>1</v>
      </c>
      <c r="H4293" s="133" t="s">
        <v>39</v>
      </c>
      <c r="I4293" s="134"/>
      <c r="J4293" s="133" t="s">
        <v>2566</v>
      </c>
      <c r="K4293" s="133" t="s">
        <v>831</v>
      </c>
      <c r="L4293" s="167"/>
      <c r="M4293" s="169"/>
    </row>
    <row r="4294" spans="1:13" x14ac:dyDescent="0.55000000000000004">
      <c r="A4294" s="133" t="s">
        <v>2567</v>
      </c>
      <c r="B4294" s="133" t="s">
        <v>492</v>
      </c>
      <c r="C4294" s="133" t="s">
        <v>348</v>
      </c>
      <c r="D4294" s="133" t="s">
        <v>3288</v>
      </c>
      <c r="E4294" s="138">
        <v>1.0200000000000001E-2</v>
      </c>
      <c r="F4294" s="153" t="s">
        <v>133</v>
      </c>
      <c r="G4294" s="154">
        <v>1</v>
      </c>
      <c r="H4294" s="133" t="s">
        <v>39</v>
      </c>
      <c r="I4294" s="134"/>
      <c r="J4294" s="133" t="s">
        <v>2566</v>
      </c>
      <c r="K4294" s="133" t="s">
        <v>831</v>
      </c>
      <c r="L4294" s="167"/>
      <c r="M4294" s="169"/>
    </row>
    <row r="4295" spans="1:13" x14ac:dyDescent="0.55000000000000004">
      <c r="A4295" s="133" t="s">
        <v>2567</v>
      </c>
      <c r="B4295" s="133" t="s">
        <v>3068</v>
      </c>
      <c r="C4295" s="133" t="s">
        <v>348</v>
      </c>
      <c r="D4295" s="133" t="s">
        <v>3288</v>
      </c>
      <c r="E4295" s="138">
        <v>1.9799999999999999E-4</v>
      </c>
      <c r="F4295" s="153" t="s">
        <v>133</v>
      </c>
      <c r="G4295" s="154">
        <v>1</v>
      </c>
      <c r="H4295" s="133" t="s">
        <v>39</v>
      </c>
      <c r="I4295" s="134"/>
      <c r="J4295" s="133" t="s">
        <v>2566</v>
      </c>
      <c r="K4295" s="133" t="s">
        <v>831</v>
      </c>
      <c r="L4295" s="167"/>
      <c r="M4295" s="169"/>
    </row>
    <row r="4296" spans="1:13" x14ac:dyDescent="0.55000000000000004">
      <c r="A4296" s="133" t="s">
        <v>2567</v>
      </c>
      <c r="B4296" s="133" t="s">
        <v>3243</v>
      </c>
      <c r="C4296" s="133" t="s">
        <v>348</v>
      </c>
      <c r="D4296" s="133" t="s">
        <v>3288</v>
      </c>
      <c r="E4296" s="138">
        <v>1.7099999999999999E-5</v>
      </c>
      <c r="F4296" s="153" t="s">
        <v>135</v>
      </c>
      <c r="G4296" s="154">
        <v>1</v>
      </c>
      <c r="H4296" s="133" t="s">
        <v>39</v>
      </c>
      <c r="I4296" s="134"/>
      <c r="J4296" s="133" t="s">
        <v>2566</v>
      </c>
      <c r="K4296" s="133" t="s">
        <v>831</v>
      </c>
      <c r="L4296" s="167"/>
      <c r="M4296" s="169"/>
    </row>
    <row r="4297" spans="1:13" x14ac:dyDescent="0.55000000000000004">
      <c r="A4297" s="133" t="s">
        <v>2567</v>
      </c>
      <c r="B4297" s="133" t="s">
        <v>3244</v>
      </c>
      <c r="C4297" s="133" t="s">
        <v>348</v>
      </c>
      <c r="D4297" s="133" t="s">
        <v>3288</v>
      </c>
      <c r="E4297" s="138">
        <v>8.0199999999999994E-3</v>
      </c>
      <c r="F4297" s="153" t="s">
        <v>133</v>
      </c>
      <c r="G4297" s="154">
        <v>1</v>
      </c>
      <c r="H4297" s="133" t="s">
        <v>39</v>
      </c>
      <c r="I4297" s="134"/>
      <c r="J4297" s="133" t="s">
        <v>2566</v>
      </c>
      <c r="K4297" s="133" t="s">
        <v>831</v>
      </c>
      <c r="L4297" s="167"/>
      <c r="M4297" s="169"/>
    </row>
    <row r="4298" spans="1:13" x14ac:dyDescent="0.55000000000000004">
      <c r="A4298" s="133" t="s">
        <v>2567</v>
      </c>
      <c r="B4298" s="133" t="s">
        <v>236</v>
      </c>
      <c r="C4298" s="133" t="s">
        <v>348</v>
      </c>
      <c r="D4298" s="133" t="s">
        <v>3288</v>
      </c>
      <c r="E4298" s="138">
        <v>4.895E-2</v>
      </c>
      <c r="F4298" s="153" t="s">
        <v>135</v>
      </c>
      <c r="G4298" s="154">
        <v>1</v>
      </c>
      <c r="H4298" s="133" t="s">
        <v>39</v>
      </c>
      <c r="I4298" s="134"/>
      <c r="J4298" s="133" t="s">
        <v>2566</v>
      </c>
      <c r="K4298" s="133" t="s">
        <v>831</v>
      </c>
      <c r="L4298" s="167"/>
      <c r="M4298" s="169"/>
    </row>
    <row r="4299" spans="1:13" x14ac:dyDescent="0.55000000000000004">
      <c r="A4299" s="133" t="s">
        <v>2567</v>
      </c>
      <c r="B4299" s="133" t="s">
        <v>3245</v>
      </c>
      <c r="C4299" s="133" t="s">
        <v>348</v>
      </c>
      <c r="D4299" s="133" t="s">
        <v>3288</v>
      </c>
      <c r="E4299" s="138">
        <v>0.23</v>
      </c>
      <c r="F4299" s="153" t="s">
        <v>892</v>
      </c>
      <c r="G4299" s="154">
        <v>1</v>
      </c>
      <c r="H4299" s="133" t="s">
        <v>39</v>
      </c>
      <c r="I4299" s="134"/>
      <c r="J4299" s="133" t="s">
        <v>2566</v>
      </c>
      <c r="K4299" s="133" t="s">
        <v>831</v>
      </c>
      <c r="L4299" s="167"/>
      <c r="M4299" s="169"/>
    </row>
    <row r="4300" spans="1:13" x14ac:dyDescent="0.55000000000000004">
      <c r="A4300" s="133" t="s">
        <v>2567</v>
      </c>
      <c r="B4300" s="133" t="s">
        <v>508</v>
      </c>
      <c r="C4300" s="133" t="s">
        <v>127</v>
      </c>
      <c r="D4300" s="133" t="s">
        <v>3288</v>
      </c>
      <c r="E4300" s="138">
        <v>2.9049999999999999E-2</v>
      </c>
      <c r="F4300" s="153" t="s">
        <v>135</v>
      </c>
      <c r="G4300" s="154">
        <v>1</v>
      </c>
      <c r="H4300" s="133" t="s">
        <v>39</v>
      </c>
      <c r="I4300" s="134"/>
      <c r="J4300" s="133" t="s">
        <v>2566</v>
      </c>
      <c r="K4300" s="133" t="s">
        <v>831</v>
      </c>
      <c r="L4300" s="167"/>
      <c r="M4300" s="169"/>
    </row>
    <row r="4301" spans="1:13" x14ac:dyDescent="0.55000000000000004">
      <c r="A4301" s="133" t="s">
        <v>2567</v>
      </c>
      <c r="B4301" s="133" t="s">
        <v>603</v>
      </c>
      <c r="C4301" s="133" t="s">
        <v>348</v>
      </c>
      <c r="D4301" s="133" t="s">
        <v>3288</v>
      </c>
      <c r="E4301" s="138">
        <v>4.895E-2</v>
      </c>
      <c r="F4301" s="153" t="s">
        <v>135</v>
      </c>
      <c r="G4301" s="154">
        <v>1</v>
      </c>
      <c r="H4301" s="133" t="s">
        <v>39</v>
      </c>
      <c r="I4301" s="134"/>
      <c r="J4301" s="133" t="s">
        <v>2566</v>
      </c>
      <c r="K4301" s="133" t="s">
        <v>831</v>
      </c>
      <c r="L4301" s="167"/>
      <c r="M4301" s="169"/>
    </row>
    <row r="4302" spans="1:13" x14ac:dyDescent="0.55000000000000004">
      <c r="A4302" s="133" t="s">
        <v>2567</v>
      </c>
      <c r="B4302" s="133" t="s">
        <v>148</v>
      </c>
      <c r="C4302" s="133" t="s">
        <v>348</v>
      </c>
      <c r="D4302" s="133" t="s">
        <v>3288</v>
      </c>
      <c r="E4302" s="138">
        <v>2.6610000000000002E-2</v>
      </c>
      <c r="F4302" s="153" t="s">
        <v>135</v>
      </c>
      <c r="G4302" s="154">
        <v>1</v>
      </c>
      <c r="H4302" s="133" t="s">
        <v>39</v>
      </c>
      <c r="I4302" s="134"/>
      <c r="J4302" s="133" t="s">
        <v>2566</v>
      </c>
      <c r="K4302" s="133" t="s">
        <v>831</v>
      </c>
      <c r="L4302" s="167"/>
      <c r="M4302" s="169"/>
    </row>
    <row r="4303" spans="1:13" x14ac:dyDescent="0.55000000000000004">
      <c r="A4303" s="133" t="s">
        <v>2567</v>
      </c>
      <c r="B4303" s="133" t="s">
        <v>3246</v>
      </c>
      <c r="C4303" s="133" t="s">
        <v>348</v>
      </c>
      <c r="D4303" s="133" t="s">
        <v>3288</v>
      </c>
      <c r="E4303" s="138">
        <v>0.59</v>
      </c>
      <c r="F4303" s="153" t="s">
        <v>892</v>
      </c>
      <c r="G4303" s="154">
        <v>1</v>
      </c>
      <c r="H4303" s="133" t="s">
        <v>39</v>
      </c>
      <c r="I4303" s="134"/>
      <c r="J4303" s="133" t="s">
        <v>2566</v>
      </c>
      <c r="K4303" s="133" t="s">
        <v>831</v>
      </c>
      <c r="L4303" s="167"/>
      <c r="M4303" s="169"/>
    </row>
    <row r="4304" spans="1:13" x14ac:dyDescent="0.55000000000000004">
      <c r="A4304" s="133" t="s">
        <v>2567</v>
      </c>
      <c r="B4304" s="133" t="s">
        <v>3247</v>
      </c>
      <c r="C4304" s="133" t="s">
        <v>348</v>
      </c>
      <c r="D4304" s="133" t="s">
        <v>3288</v>
      </c>
      <c r="E4304" s="138">
        <v>0.21</v>
      </c>
      <c r="F4304" s="153" t="s">
        <v>892</v>
      </c>
      <c r="G4304" s="154">
        <v>1</v>
      </c>
      <c r="H4304" s="133" t="s">
        <v>39</v>
      </c>
      <c r="I4304" s="134"/>
      <c r="J4304" s="133" t="s">
        <v>2566</v>
      </c>
      <c r="K4304" s="133" t="s">
        <v>831</v>
      </c>
      <c r="L4304" s="167"/>
      <c r="M4304" s="169"/>
    </row>
    <row r="4305" spans="1:13" x14ac:dyDescent="0.55000000000000004">
      <c r="A4305" s="133" t="s">
        <v>2567</v>
      </c>
      <c r="B4305" s="133" t="s">
        <v>3248</v>
      </c>
      <c r="C4305" s="133" t="s">
        <v>132</v>
      </c>
      <c r="D4305" s="133" t="s">
        <v>3288</v>
      </c>
      <c r="E4305" s="138">
        <v>2.39</v>
      </c>
      <c r="F4305" s="153" t="s">
        <v>135</v>
      </c>
      <c r="G4305" s="154">
        <v>1</v>
      </c>
      <c r="H4305" s="133" t="s">
        <v>39</v>
      </c>
      <c r="I4305" s="134"/>
      <c r="J4305" s="133" t="s">
        <v>2566</v>
      </c>
      <c r="K4305" s="133" t="s">
        <v>831</v>
      </c>
      <c r="L4305" s="167"/>
      <c r="M4305" s="169"/>
    </row>
    <row r="4306" spans="1:13" x14ac:dyDescent="0.55000000000000004">
      <c r="A4306" s="133" t="s">
        <v>2567</v>
      </c>
      <c r="B4306" s="133" t="s">
        <v>2654</v>
      </c>
      <c r="C4306" s="133" t="s">
        <v>163</v>
      </c>
      <c r="D4306" s="133" t="s">
        <v>3288</v>
      </c>
      <c r="E4306" s="138">
        <v>1.01</v>
      </c>
      <c r="F4306" s="153" t="s">
        <v>135</v>
      </c>
      <c r="G4306" s="154">
        <v>1</v>
      </c>
      <c r="H4306" s="133" t="s">
        <v>39</v>
      </c>
      <c r="I4306" s="134"/>
      <c r="J4306" s="133" t="s">
        <v>2566</v>
      </c>
      <c r="K4306" s="133" t="s">
        <v>831</v>
      </c>
      <c r="L4306" s="167"/>
      <c r="M4306" s="169"/>
    </row>
    <row r="4307" spans="1:13" x14ac:dyDescent="0.55000000000000004">
      <c r="A4307" s="133" t="s">
        <v>2567</v>
      </c>
      <c r="B4307" s="133" t="s">
        <v>3249</v>
      </c>
      <c r="C4307" s="133" t="s">
        <v>163</v>
      </c>
      <c r="D4307" s="133" t="s">
        <v>3288</v>
      </c>
      <c r="E4307" s="138">
        <v>1.3999999999999999E-4</v>
      </c>
      <c r="F4307" s="153" t="s">
        <v>135</v>
      </c>
      <c r="G4307" s="154">
        <v>1</v>
      </c>
      <c r="H4307" s="133" t="s">
        <v>39</v>
      </c>
      <c r="I4307" s="134"/>
      <c r="J4307" s="133" t="s">
        <v>2566</v>
      </c>
      <c r="K4307" s="133" t="s">
        <v>831</v>
      </c>
      <c r="L4307" s="167"/>
      <c r="M4307" s="169"/>
    </row>
    <row r="4308" spans="1:13" x14ac:dyDescent="0.55000000000000004">
      <c r="A4308" s="133" t="s">
        <v>2567</v>
      </c>
      <c r="B4308" s="133" t="s">
        <v>3250</v>
      </c>
      <c r="C4308" s="133" t="s">
        <v>163</v>
      </c>
      <c r="D4308" s="133" t="s">
        <v>3288</v>
      </c>
      <c r="E4308" s="138">
        <v>3.82E-3</v>
      </c>
      <c r="F4308" s="153" t="s">
        <v>135</v>
      </c>
      <c r="G4308" s="154">
        <v>1</v>
      </c>
      <c r="H4308" s="133" t="s">
        <v>39</v>
      </c>
      <c r="I4308" s="134"/>
      <c r="J4308" s="133" t="s">
        <v>2566</v>
      </c>
      <c r="K4308" s="133" t="s">
        <v>831</v>
      </c>
      <c r="L4308" s="167"/>
      <c r="M4308" s="169"/>
    </row>
    <row r="4309" spans="1:13" x14ac:dyDescent="0.55000000000000004">
      <c r="A4309" s="133" t="s">
        <v>2567</v>
      </c>
      <c r="B4309" s="133" t="s">
        <v>3251</v>
      </c>
      <c r="C4309" s="133" t="s">
        <v>163</v>
      </c>
      <c r="D4309" s="133" t="s">
        <v>3288</v>
      </c>
      <c r="E4309" s="138">
        <v>8.8999999999999999E-3</v>
      </c>
      <c r="F4309" s="153" t="s">
        <v>135</v>
      </c>
      <c r="G4309" s="154">
        <v>1</v>
      </c>
      <c r="H4309" s="133" t="s">
        <v>39</v>
      </c>
      <c r="I4309" s="134"/>
      <c r="J4309" s="133" t="s">
        <v>2566</v>
      </c>
      <c r="K4309" s="133" t="s">
        <v>831</v>
      </c>
      <c r="L4309" s="167"/>
      <c r="M4309" s="169"/>
    </row>
    <row r="4310" spans="1:13" x14ac:dyDescent="0.55000000000000004">
      <c r="A4310" s="133" t="s">
        <v>2567</v>
      </c>
      <c r="B4310" s="133" t="s">
        <v>3419</v>
      </c>
      <c r="C4310" s="133" t="s">
        <v>497</v>
      </c>
      <c r="D4310" s="133" t="s">
        <v>3288</v>
      </c>
      <c r="E4310" s="138">
        <v>1.8000000000000001E-4</v>
      </c>
      <c r="F4310" s="153" t="s">
        <v>135</v>
      </c>
      <c r="G4310" s="154">
        <v>1</v>
      </c>
      <c r="H4310" s="133" t="s">
        <v>39</v>
      </c>
      <c r="I4310" s="134"/>
      <c r="J4310" s="133" t="s">
        <v>2566</v>
      </c>
      <c r="K4310" s="133" t="s">
        <v>831</v>
      </c>
      <c r="L4310" s="167"/>
      <c r="M4310" s="169"/>
    </row>
    <row r="4311" spans="1:13" x14ac:dyDescent="0.55000000000000004">
      <c r="A4311" s="133" t="s">
        <v>2567</v>
      </c>
      <c r="B4311" s="133" t="s">
        <v>1172</v>
      </c>
      <c r="C4311" s="133" t="s">
        <v>497</v>
      </c>
      <c r="D4311" s="133" t="s">
        <v>3288</v>
      </c>
      <c r="E4311" s="138">
        <v>6.4999999999999997E-4</v>
      </c>
      <c r="F4311" s="153" t="s">
        <v>135</v>
      </c>
      <c r="G4311" s="154">
        <v>1</v>
      </c>
      <c r="H4311" s="133" t="s">
        <v>39</v>
      </c>
      <c r="I4311" s="134"/>
      <c r="J4311" s="133" t="s">
        <v>2566</v>
      </c>
      <c r="K4311" s="133" t="s">
        <v>831</v>
      </c>
      <c r="L4311" s="167"/>
      <c r="M4311" s="169"/>
    </row>
    <row r="4312" spans="1:13" x14ac:dyDescent="0.55000000000000004">
      <c r="A4312" s="133" t="s">
        <v>2567</v>
      </c>
      <c r="B4312" s="133" t="s">
        <v>160</v>
      </c>
      <c r="C4312" s="133" t="s">
        <v>497</v>
      </c>
      <c r="D4312" s="133" t="s">
        <v>3288</v>
      </c>
      <c r="E4312" s="138">
        <v>1.26</v>
      </c>
      <c r="F4312" s="153" t="s">
        <v>135</v>
      </c>
      <c r="G4312" s="154">
        <v>1</v>
      </c>
      <c r="H4312" s="133" t="s">
        <v>39</v>
      </c>
      <c r="I4312" s="134"/>
      <c r="J4312" s="133" t="s">
        <v>2566</v>
      </c>
      <c r="K4312" s="133" t="s">
        <v>831</v>
      </c>
      <c r="L4312" s="167"/>
      <c r="M4312" s="169"/>
    </row>
    <row r="4313" spans="1:13" x14ac:dyDescent="0.55000000000000004">
      <c r="A4313" s="133" t="s">
        <v>2567</v>
      </c>
      <c r="B4313" s="133" t="s">
        <v>891</v>
      </c>
      <c r="C4313" s="133" t="s">
        <v>497</v>
      </c>
      <c r="D4313" s="133" t="s">
        <v>3288</v>
      </c>
      <c r="E4313" s="138">
        <v>2.5200000000000001E-3</v>
      </c>
      <c r="F4313" s="153" t="s">
        <v>135</v>
      </c>
      <c r="G4313" s="154">
        <v>1</v>
      </c>
      <c r="H4313" s="133" t="s">
        <v>39</v>
      </c>
      <c r="I4313" s="134"/>
      <c r="J4313" s="133" t="s">
        <v>2566</v>
      </c>
      <c r="K4313" s="133" t="s">
        <v>831</v>
      </c>
      <c r="L4313" s="167"/>
      <c r="M4313" s="169"/>
    </row>
    <row r="4314" spans="1:13" x14ac:dyDescent="0.55000000000000004">
      <c r="A4314" s="133" t="s">
        <v>2567</v>
      </c>
      <c r="B4314" s="133" t="s">
        <v>2974</v>
      </c>
      <c r="C4314" s="133" t="s">
        <v>497</v>
      </c>
      <c r="D4314" s="133" t="s">
        <v>3288</v>
      </c>
      <c r="E4314" s="138">
        <v>2.5999999999999998E-4</v>
      </c>
      <c r="F4314" s="153" t="s">
        <v>135</v>
      </c>
      <c r="G4314" s="154">
        <v>1</v>
      </c>
      <c r="H4314" s="133" t="s">
        <v>39</v>
      </c>
      <c r="I4314" s="134"/>
      <c r="J4314" s="133" t="s">
        <v>2566</v>
      </c>
      <c r="K4314" s="133" t="s">
        <v>831</v>
      </c>
      <c r="L4314" s="167"/>
      <c r="M4314" s="169"/>
    </row>
    <row r="4315" spans="1:13" x14ac:dyDescent="0.55000000000000004">
      <c r="A4315" s="133" t="s">
        <v>2567</v>
      </c>
      <c r="B4315" s="133" t="s">
        <v>3010</v>
      </c>
      <c r="C4315" s="133" t="s">
        <v>497</v>
      </c>
      <c r="D4315" s="133" t="s">
        <v>3288</v>
      </c>
      <c r="E4315" s="138">
        <v>1.6</v>
      </c>
      <c r="F4315" s="153" t="s">
        <v>892</v>
      </c>
      <c r="G4315" s="154">
        <v>1</v>
      </c>
      <c r="H4315" s="133" t="s">
        <v>39</v>
      </c>
      <c r="I4315" s="134"/>
      <c r="J4315" s="133" t="s">
        <v>2566</v>
      </c>
      <c r="K4315" s="133" t="s">
        <v>831</v>
      </c>
      <c r="L4315" s="167"/>
      <c r="M4315" s="169"/>
    </row>
    <row r="4316" spans="1:13" x14ac:dyDescent="0.55000000000000004">
      <c r="A4316" s="133" t="s">
        <v>2567</v>
      </c>
      <c r="B4316" s="133" t="s">
        <v>3222</v>
      </c>
      <c r="C4316" s="133" t="s">
        <v>497</v>
      </c>
      <c r="D4316" s="133" t="s">
        <v>3288</v>
      </c>
      <c r="E4316" s="138">
        <v>42.89</v>
      </c>
      <c r="F4316" s="153" t="s">
        <v>892</v>
      </c>
      <c r="G4316" s="154">
        <v>1</v>
      </c>
      <c r="H4316" s="133" t="s">
        <v>39</v>
      </c>
      <c r="I4316" s="134"/>
      <c r="J4316" s="133" t="s">
        <v>2566</v>
      </c>
      <c r="K4316" s="133" t="s">
        <v>831</v>
      </c>
      <c r="L4316" s="167"/>
      <c r="M4316" s="169"/>
    </row>
    <row r="4317" spans="1:13" x14ac:dyDescent="0.55000000000000004">
      <c r="A4317" s="133" t="s">
        <v>2567</v>
      </c>
      <c r="B4317" s="133" t="s">
        <v>3232</v>
      </c>
      <c r="C4317" s="133" t="s">
        <v>497</v>
      </c>
      <c r="D4317" s="133" t="s">
        <v>3288</v>
      </c>
      <c r="E4317" s="138">
        <v>0.15000749999999999</v>
      </c>
      <c r="F4317" s="153" t="s">
        <v>892</v>
      </c>
      <c r="G4317" s="154">
        <v>1</v>
      </c>
      <c r="H4317" s="133" t="s">
        <v>39</v>
      </c>
      <c r="I4317" s="134"/>
      <c r="J4317" s="133" t="s">
        <v>2566</v>
      </c>
      <c r="K4317" s="133" t="s">
        <v>831</v>
      </c>
      <c r="L4317" s="167"/>
      <c r="M4317" s="169"/>
    </row>
    <row r="4318" spans="1:13" x14ac:dyDescent="0.55000000000000004">
      <c r="A4318" s="133" t="s">
        <v>2567</v>
      </c>
      <c r="B4318" s="133" t="s">
        <v>2967</v>
      </c>
      <c r="C4318" s="133" t="s">
        <v>497</v>
      </c>
      <c r="D4318" s="133" t="s">
        <v>3288</v>
      </c>
      <c r="E4318" s="138">
        <v>2.3201099999999997</v>
      </c>
      <c r="F4318" s="153" t="s">
        <v>892</v>
      </c>
      <c r="G4318" s="154">
        <v>1</v>
      </c>
      <c r="H4318" s="133" t="s">
        <v>39</v>
      </c>
      <c r="I4318" s="134"/>
      <c r="J4318" s="133" t="s">
        <v>2566</v>
      </c>
      <c r="K4318" s="133" t="s">
        <v>831</v>
      </c>
      <c r="L4318" s="167"/>
      <c r="M4318" s="169"/>
    </row>
    <row r="4319" spans="1:13" x14ac:dyDescent="0.55000000000000004">
      <c r="A4319" s="133" t="s">
        <v>2567</v>
      </c>
      <c r="B4319" s="133" t="s">
        <v>3199</v>
      </c>
      <c r="C4319" s="133" t="s">
        <v>497</v>
      </c>
      <c r="D4319" s="133" t="s">
        <v>3288</v>
      </c>
      <c r="E4319" s="138">
        <v>0.32358999999999999</v>
      </c>
      <c r="F4319" s="153" t="s">
        <v>892</v>
      </c>
      <c r="G4319" s="154">
        <v>1</v>
      </c>
      <c r="H4319" s="133" t="s">
        <v>39</v>
      </c>
      <c r="I4319" s="134"/>
      <c r="J4319" s="133" t="s">
        <v>2566</v>
      </c>
      <c r="K4319" s="133" t="s">
        <v>831</v>
      </c>
      <c r="L4319" s="167"/>
      <c r="M4319" s="169"/>
    </row>
    <row r="4320" spans="1:13" x14ac:dyDescent="0.55000000000000004">
      <c r="A4320" s="133" t="s">
        <v>2567</v>
      </c>
      <c r="B4320" s="133" t="s">
        <v>2975</v>
      </c>
      <c r="C4320" s="133" t="s">
        <v>497</v>
      </c>
      <c r="D4320" s="133" t="s">
        <v>3288</v>
      </c>
      <c r="E4320" s="138">
        <v>1.3215400000000002</v>
      </c>
      <c r="F4320" s="153" t="s">
        <v>892</v>
      </c>
      <c r="G4320" s="154">
        <v>1</v>
      </c>
      <c r="H4320" s="133" t="s">
        <v>39</v>
      </c>
      <c r="I4320" s="134"/>
      <c r="J4320" s="133" t="s">
        <v>2566</v>
      </c>
      <c r="K4320" s="133" t="s">
        <v>831</v>
      </c>
      <c r="L4320" s="167"/>
      <c r="M4320" s="169"/>
    </row>
    <row r="4321" spans="1:13" x14ac:dyDescent="0.55000000000000004">
      <c r="A4321" s="133" t="s">
        <v>2567</v>
      </c>
      <c r="B4321" s="133" t="s">
        <v>3198</v>
      </c>
      <c r="C4321" s="133" t="s">
        <v>497</v>
      </c>
      <c r="D4321" s="133" t="s">
        <v>3288</v>
      </c>
      <c r="E4321" s="138">
        <v>0.17061000000000001</v>
      </c>
      <c r="F4321" s="153" t="s">
        <v>892</v>
      </c>
      <c r="G4321" s="154">
        <v>1</v>
      </c>
      <c r="H4321" s="133" t="s">
        <v>39</v>
      </c>
      <c r="I4321" s="134"/>
      <c r="J4321" s="133" t="s">
        <v>2566</v>
      </c>
      <c r="K4321" s="133" t="s">
        <v>831</v>
      </c>
      <c r="L4321" s="167"/>
      <c r="M4321" s="169"/>
    </row>
    <row r="4322" spans="1:13" x14ac:dyDescent="0.55000000000000004">
      <c r="A4322" s="133" t="s">
        <v>2567</v>
      </c>
      <c r="B4322" s="133" t="s">
        <v>573</v>
      </c>
      <c r="C4322" s="133" t="s">
        <v>497</v>
      </c>
      <c r="D4322" s="133" t="s">
        <v>3288</v>
      </c>
      <c r="E4322" s="138">
        <v>0.15</v>
      </c>
      <c r="F4322" s="153" t="s">
        <v>892</v>
      </c>
      <c r="G4322" s="154">
        <v>1</v>
      </c>
      <c r="H4322" s="133" t="s">
        <v>39</v>
      </c>
      <c r="I4322" s="134"/>
      <c r="J4322" s="133" t="s">
        <v>2566</v>
      </c>
      <c r="K4322" s="133" t="s">
        <v>831</v>
      </c>
      <c r="L4322" s="167"/>
      <c r="M4322" s="169"/>
    </row>
    <row r="4323" spans="1:13" x14ac:dyDescent="0.55000000000000004">
      <c r="A4323" s="133" t="s">
        <v>2567</v>
      </c>
      <c r="B4323" s="133" t="s">
        <v>2966</v>
      </c>
      <c r="C4323" s="133" t="s">
        <v>497</v>
      </c>
      <c r="D4323" s="133" t="s">
        <v>3288</v>
      </c>
      <c r="E4323" s="138">
        <v>4.7</v>
      </c>
      <c r="F4323" s="153" t="s">
        <v>3221</v>
      </c>
      <c r="G4323" s="154">
        <v>1</v>
      </c>
      <c r="H4323" s="133" t="s">
        <v>39</v>
      </c>
      <c r="I4323" s="134"/>
      <c r="J4323" s="133" t="s">
        <v>2566</v>
      </c>
      <c r="K4323" s="133" t="s">
        <v>831</v>
      </c>
      <c r="L4323" s="167"/>
      <c r="M4323" s="169"/>
    </row>
    <row r="4324" spans="1:13" x14ac:dyDescent="0.55000000000000004">
      <c r="A4324" s="133" t="s">
        <v>2567</v>
      </c>
      <c r="B4324" s="133" t="s">
        <v>726</v>
      </c>
      <c r="C4324" s="133" t="s">
        <v>497</v>
      </c>
      <c r="D4324" s="133" t="s">
        <v>3288</v>
      </c>
      <c r="E4324" s="138">
        <v>58.510000000000005</v>
      </c>
      <c r="F4324" s="153" t="s">
        <v>3221</v>
      </c>
      <c r="G4324" s="154">
        <v>1</v>
      </c>
      <c r="H4324" s="133" t="s">
        <v>39</v>
      </c>
      <c r="I4324" s="134"/>
      <c r="J4324" s="133" t="s">
        <v>2566</v>
      </c>
      <c r="K4324" s="133" t="s">
        <v>831</v>
      </c>
      <c r="L4324" s="167"/>
      <c r="M4324" s="169"/>
    </row>
    <row r="4325" spans="1:13" x14ac:dyDescent="0.55000000000000004">
      <c r="A4325" s="133" t="s">
        <v>2567</v>
      </c>
      <c r="B4325" s="133" t="s">
        <v>2963</v>
      </c>
      <c r="C4325" s="133" t="s">
        <v>497</v>
      </c>
      <c r="D4325" s="133" t="s">
        <v>3288</v>
      </c>
      <c r="E4325" s="138">
        <v>0.15</v>
      </c>
      <c r="F4325" s="153" t="s">
        <v>892</v>
      </c>
      <c r="G4325" s="154">
        <v>1</v>
      </c>
      <c r="H4325" s="133" t="s">
        <v>39</v>
      </c>
      <c r="I4325" s="134"/>
      <c r="J4325" s="133" t="s">
        <v>2566</v>
      </c>
      <c r="K4325" s="133" t="s">
        <v>831</v>
      </c>
      <c r="L4325" s="167"/>
      <c r="M4325" s="169"/>
    </row>
    <row r="4326" spans="1:13" x14ac:dyDescent="0.55000000000000004">
      <c r="A4326" s="133" t="s">
        <v>2567</v>
      </c>
      <c r="B4326" s="133" t="s">
        <v>3252</v>
      </c>
      <c r="C4326" s="133" t="s">
        <v>497</v>
      </c>
      <c r="D4326" s="133" t="s">
        <v>3288</v>
      </c>
      <c r="E4326" s="138">
        <v>2.7E-6</v>
      </c>
      <c r="F4326" s="153" t="s">
        <v>892</v>
      </c>
      <c r="G4326" s="154">
        <v>1</v>
      </c>
      <c r="H4326" s="133" t="s">
        <v>39</v>
      </c>
      <c r="I4326" s="134"/>
      <c r="J4326" s="133" t="s">
        <v>2566</v>
      </c>
      <c r="K4326" s="133" t="s">
        <v>831</v>
      </c>
      <c r="L4326" s="167"/>
      <c r="M4326" s="169"/>
    </row>
    <row r="4327" spans="1:13" x14ac:dyDescent="0.55000000000000004">
      <c r="A4327" s="133" t="s">
        <v>2567</v>
      </c>
      <c r="B4327" s="133" t="s">
        <v>3197</v>
      </c>
      <c r="C4327" s="133" t="s">
        <v>497</v>
      </c>
      <c r="D4327" s="133" t="s">
        <v>3288</v>
      </c>
      <c r="E4327" s="138">
        <v>0.12</v>
      </c>
      <c r="F4327" s="153" t="s">
        <v>3221</v>
      </c>
      <c r="G4327" s="154">
        <v>1</v>
      </c>
      <c r="H4327" s="133" t="s">
        <v>39</v>
      </c>
      <c r="I4327" s="134"/>
      <c r="J4327" s="133" t="s">
        <v>2566</v>
      </c>
      <c r="K4327" s="133" t="s">
        <v>831</v>
      </c>
      <c r="L4327" s="167"/>
      <c r="M4327" s="169"/>
    </row>
    <row r="4328" spans="1:13" x14ac:dyDescent="0.55000000000000004">
      <c r="A4328" s="133" t="s">
        <v>2567</v>
      </c>
      <c r="B4328" s="133" t="s">
        <v>556</v>
      </c>
      <c r="C4328" s="133" t="s">
        <v>497</v>
      </c>
      <c r="D4328" s="133" t="s">
        <v>3288</v>
      </c>
      <c r="E4328" s="138">
        <v>2.16</v>
      </c>
      <c r="F4328" s="153" t="s">
        <v>3221</v>
      </c>
      <c r="G4328" s="154">
        <v>1</v>
      </c>
      <c r="H4328" s="133" t="s">
        <v>39</v>
      </c>
      <c r="I4328" s="134"/>
      <c r="J4328" s="133" t="s">
        <v>2566</v>
      </c>
      <c r="K4328" s="133" t="s">
        <v>831</v>
      </c>
      <c r="L4328" s="167"/>
      <c r="M4328" s="169"/>
    </row>
    <row r="4329" spans="1:13" x14ac:dyDescent="0.55000000000000004">
      <c r="A4329" s="133" t="s">
        <v>2567</v>
      </c>
      <c r="B4329" s="133" t="s">
        <v>3253</v>
      </c>
      <c r="C4329" s="133" t="s">
        <v>497</v>
      </c>
      <c r="D4329" s="133" t="s">
        <v>3288</v>
      </c>
      <c r="E4329" s="138">
        <v>3.67</v>
      </c>
      <c r="F4329" s="153" t="s">
        <v>3221</v>
      </c>
      <c r="G4329" s="154">
        <v>1</v>
      </c>
      <c r="H4329" s="133" t="s">
        <v>39</v>
      </c>
      <c r="I4329" s="134"/>
      <c r="J4329" s="133" t="s">
        <v>2566</v>
      </c>
      <c r="K4329" s="133" t="s">
        <v>831</v>
      </c>
      <c r="L4329" s="167"/>
      <c r="M4329" s="169"/>
    </row>
    <row r="4330" spans="1:13" x14ac:dyDescent="0.55000000000000004">
      <c r="A4330" s="133" t="s">
        <v>2567</v>
      </c>
      <c r="B4330" s="133" t="s">
        <v>1094</v>
      </c>
      <c r="C4330" s="133" t="s">
        <v>497</v>
      </c>
      <c r="D4330" s="133" t="s">
        <v>3288</v>
      </c>
      <c r="E4330" s="138">
        <v>9.25</v>
      </c>
      <c r="F4330" s="153" t="s">
        <v>892</v>
      </c>
      <c r="G4330" s="154">
        <v>1</v>
      </c>
      <c r="H4330" s="133" t="s">
        <v>39</v>
      </c>
      <c r="I4330" s="134"/>
      <c r="J4330" s="133" t="s">
        <v>2566</v>
      </c>
      <c r="K4330" s="133" t="s">
        <v>831</v>
      </c>
      <c r="L4330" s="167"/>
      <c r="M4330" s="169"/>
    </row>
    <row r="4331" spans="1:13" x14ac:dyDescent="0.55000000000000004">
      <c r="A4331" s="133" t="s">
        <v>2572</v>
      </c>
      <c r="B4331" s="133" t="s">
        <v>3241</v>
      </c>
      <c r="C4331" s="133" t="s">
        <v>121</v>
      </c>
      <c r="D4331" s="133" t="s">
        <v>3288</v>
      </c>
      <c r="E4331" s="138">
        <v>1</v>
      </c>
      <c r="F4331" s="153">
        <v>1</v>
      </c>
      <c r="G4331" s="154">
        <v>1</v>
      </c>
      <c r="H4331" s="133" t="s">
        <v>39</v>
      </c>
      <c r="I4331" s="134"/>
      <c r="J4331" s="133" t="s">
        <v>2571</v>
      </c>
      <c r="K4331" s="133" t="s">
        <v>831</v>
      </c>
      <c r="L4331" s="167"/>
      <c r="M4331" s="169"/>
    </row>
    <row r="4332" spans="1:13" x14ac:dyDescent="0.55000000000000004">
      <c r="A4332" s="133" t="s">
        <v>2572</v>
      </c>
      <c r="B4332" s="133" t="s">
        <v>2732</v>
      </c>
      <c r="C4332" s="133" t="s">
        <v>348</v>
      </c>
      <c r="D4332" s="133" t="s">
        <v>3288</v>
      </c>
      <c r="E4332" s="138">
        <v>1</v>
      </c>
      <c r="F4332" s="153" t="s">
        <v>135</v>
      </c>
      <c r="G4332" s="154">
        <v>1</v>
      </c>
      <c r="H4332" s="133" t="s">
        <v>39</v>
      </c>
      <c r="I4332" s="134"/>
      <c r="J4332" s="133" t="s">
        <v>2571</v>
      </c>
      <c r="K4332" s="133" t="s">
        <v>831</v>
      </c>
      <c r="L4332" s="167"/>
      <c r="M4332" s="169"/>
    </row>
    <row r="4333" spans="1:13" x14ac:dyDescent="0.55000000000000004">
      <c r="A4333" s="133" t="s">
        <v>2572</v>
      </c>
      <c r="B4333" s="133" t="s">
        <v>153</v>
      </c>
      <c r="C4333" s="133" t="s">
        <v>127</v>
      </c>
      <c r="D4333" s="133" t="s">
        <v>2994</v>
      </c>
      <c r="E4333" s="138">
        <v>3.43</v>
      </c>
      <c r="F4333" s="153" t="s">
        <v>130</v>
      </c>
      <c r="G4333" s="154">
        <v>1</v>
      </c>
      <c r="H4333" s="133" t="s">
        <v>39</v>
      </c>
      <c r="I4333" s="134"/>
      <c r="J4333" s="133" t="s">
        <v>2571</v>
      </c>
      <c r="K4333" s="133" t="s">
        <v>831</v>
      </c>
      <c r="L4333" s="167"/>
      <c r="M4333" s="169"/>
    </row>
    <row r="4334" spans="1:13" x14ac:dyDescent="0.55000000000000004">
      <c r="A4334" s="133" t="s">
        <v>2572</v>
      </c>
      <c r="B4334" s="133" t="s">
        <v>492</v>
      </c>
      <c r="C4334" s="133" t="s">
        <v>348</v>
      </c>
      <c r="D4334" s="133" t="s">
        <v>3288</v>
      </c>
      <c r="E4334" s="138">
        <v>1.04</v>
      </c>
      <c r="F4334" s="153" t="s">
        <v>133</v>
      </c>
      <c r="G4334" s="154">
        <v>1</v>
      </c>
      <c r="H4334" s="133" t="s">
        <v>39</v>
      </c>
      <c r="I4334" s="134"/>
      <c r="J4334" s="133" t="s">
        <v>2571</v>
      </c>
      <c r="K4334" s="133" t="s">
        <v>831</v>
      </c>
      <c r="L4334" s="167"/>
      <c r="M4334" s="169"/>
    </row>
    <row r="4335" spans="1:13" x14ac:dyDescent="0.55000000000000004">
      <c r="A4335" s="133" t="s">
        <v>2572</v>
      </c>
      <c r="B4335" s="133" t="s">
        <v>3068</v>
      </c>
      <c r="C4335" s="133" t="s">
        <v>348</v>
      </c>
      <c r="D4335" s="133" t="s">
        <v>3288</v>
      </c>
      <c r="E4335" s="138">
        <v>0.02</v>
      </c>
      <c r="F4335" s="153" t="s">
        <v>133</v>
      </c>
      <c r="G4335" s="154">
        <v>1</v>
      </c>
      <c r="H4335" s="133" t="s">
        <v>39</v>
      </c>
      <c r="I4335" s="134"/>
      <c r="J4335" s="133" t="s">
        <v>2571</v>
      </c>
      <c r="K4335" s="133" t="s">
        <v>831</v>
      </c>
      <c r="L4335" s="167"/>
      <c r="M4335" s="169"/>
    </row>
    <row r="4336" spans="1:13" x14ac:dyDescent="0.55000000000000004">
      <c r="A4336" s="133" t="s">
        <v>2572</v>
      </c>
      <c r="B4336" s="133" t="s">
        <v>3243</v>
      </c>
      <c r="C4336" s="133" t="s">
        <v>348</v>
      </c>
      <c r="D4336" s="133" t="s">
        <v>3288</v>
      </c>
      <c r="E4336" s="138">
        <v>1.72E-3</v>
      </c>
      <c r="F4336" s="153" t="s">
        <v>135</v>
      </c>
      <c r="G4336" s="154">
        <v>1</v>
      </c>
      <c r="H4336" s="133" t="s">
        <v>39</v>
      </c>
      <c r="I4336" s="134"/>
      <c r="J4336" s="133" t="s">
        <v>2571</v>
      </c>
      <c r="K4336" s="133" t="s">
        <v>831</v>
      </c>
      <c r="L4336" s="167"/>
      <c r="M4336" s="169"/>
    </row>
    <row r="4337" spans="1:13" x14ac:dyDescent="0.55000000000000004">
      <c r="A4337" s="133" t="s">
        <v>2572</v>
      </c>
      <c r="B4337" s="133" t="s">
        <v>3244</v>
      </c>
      <c r="C4337" s="133" t="s">
        <v>348</v>
      </c>
      <c r="D4337" s="133" t="s">
        <v>3288</v>
      </c>
      <c r="E4337" s="138">
        <v>0.81</v>
      </c>
      <c r="F4337" s="153" t="s">
        <v>133</v>
      </c>
      <c r="G4337" s="154">
        <v>1</v>
      </c>
      <c r="H4337" s="133" t="s">
        <v>39</v>
      </c>
      <c r="I4337" s="134"/>
      <c r="J4337" s="133" t="s">
        <v>2571</v>
      </c>
      <c r="K4337" s="133" t="s">
        <v>831</v>
      </c>
      <c r="L4337" s="167"/>
      <c r="M4337" s="169"/>
    </row>
    <row r="4338" spans="1:13" x14ac:dyDescent="0.55000000000000004">
      <c r="A4338" s="133" t="s">
        <v>2572</v>
      </c>
      <c r="B4338" s="133" t="s">
        <v>236</v>
      </c>
      <c r="C4338" s="133" t="s">
        <v>348</v>
      </c>
      <c r="D4338" s="133" t="s">
        <v>3288</v>
      </c>
      <c r="E4338" s="138">
        <v>0.39739000000000002</v>
      </c>
      <c r="F4338" s="153" t="s">
        <v>135</v>
      </c>
      <c r="G4338" s="154">
        <v>1</v>
      </c>
      <c r="H4338" s="133" t="s">
        <v>39</v>
      </c>
      <c r="I4338" s="134"/>
      <c r="J4338" s="133" t="s">
        <v>2571</v>
      </c>
      <c r="K4338" s="133" t="s">
        <v>831</v>
      </c>
      <c r="L4338" s="167"/>
      <c r="M4338" s="169"/>
    </row>
    <row r="4339" spans="1:13" x14ac:dyDescent="0.55000000000000004">
      <c r="A4339" s="133" t="s">
        <v>2572</v>
      </c>
      <c r="B4339" s="133" t="s">
        <v>3245</v>
      </c>
      <c r="C4339" s="133" t="s">
        <v>348</v>
      </c>
      <c r="D4339" s="133" t="s">
        <v>3288</v>
      </c>
      <c r="E4339" s="138">
        <v>5.8109999999999998E-5</v>
      </c>
      <c r="F4339" s="153" t="s">
        <v>135</v>
      </c>
      <c r="G4339" s="154">
        <v>1</v>
      </c>
      <c r="H4339" s="133" t="s">
        <v>39</v>
      </c>
      <c r="I4339" s="134"/>
      <c r="J4339" s="133" t="s">
        <v>2571</v>
      </c>
      <c r="K4339" s="133" t="s">
        <v>831</v>
      </c>
      <c r="L4339" s="167"/>
      <c r="M4339" s="169"/>
    </row>
    <row r="4340" spans="1:13" x14ac:dyDescent="0.55000000000000004">
      <c r="A4340" s="133" t="s">
        <v>2572</v>
      </c>
      <c r="B4340" s="133" t="s">
        <v>508</v>
      </c>
      <c r="C4340" s="133" t="s">
        <v>127</v>
      </c>
      <c r="D4340" s="133" t="s">
        <v>3288</v>
      </c>
      <c r="E4340" s="138">
        <v>3.2340000000000001E-2</v>
      </c>
      <c r="F4340" s="153" t="s">
        <v>135</v>
      </c>
      <c r="G4340" s="154">
        <v>1</v>
      </c>
      <c r="H4340" s="133" t="s">
        <v>39</v>
      </c>
      <c r="I4340" s="134"/>
      <c r="J4340" s="133" t="s">
        <v>2571</v>
      </c>
      <c r="K4340" s="133" t="s">
        <v>831</v>
      </c>
      <c r="L4340" s="167"/>
      <c r="M4340" s="169"/>
    </row>
    <row r="4341" spans="1:13" x14ac:dyDescent="0.55000000000000004">
      <c r="A4341" s="133" t="s">
        <v>2572</v>
      </c>
      <c r="B4341" s="133" t="s">
        <v>603</v>
      </c>
      <c r="C4341" s="133" t="s">
        <v>348</v>
      </c>
      <c r="D4341" s="133" t="s">
        <v>3288</v>
      </c>
      <c r="E4341" s="138">
        <v>7.0290000000000005E-2</v>
      </c>
      <c r="F4341" s="153" t="s">
        <v>135</v>
      </c>
      <c r="G4341" s="154">
        <v>1</v>
      </c>
      <c r="H4341" s="133" t="s">
        <v>39</v>
      </c>
      <c r="I4341" s="134"/>
      <c r="J4341" s="133" t="s">
        <v>2571</v>
      </c>
      <c r="K4341" s="133" t="s">
        <v>831</v>
      </c>
      <c r="L4341" s="167"/>
      <c r="M4341" s="169"/>
    </row>
    <row r="4342" spans="1:13" x14ac:dyDescent="0.55000000000000004">
      <c r="A4342" s="133" t="s">
        <v>2572</v>
      </c>
      <c r="B4342" s="133" t="s">
        <v>3246</v>
      </c>
      <c r="C4342" s="133" t="s">
        <v>348</v>
      </c>
      <c r="D4342" s="133" t="s">
        <v>3288</v>
      </c>
      <c r="E4342" s="138">
        <v>1.5091E-4</v>
      </c>
      <c r="F4342" s="153" t="s">
        <v>135</v>
      </c>
      <c r="G4342" s="154">
        <v>1</v>
      </c>
      <c r="H4342" s="133" t="s">
        <v>39</v>
      </c>
      <c r="I4342" s="134"/>
      <c r="J4342" s="133" t="s">
        <v>2571</v>
      </c>
      <c r="K4342" s="133" t="s">
        <v>831</v>
      </c>
      <c r="L4342" s="167"/>
      <c r="M4342" s="169"/>
    </row>
    <row r="4343" spans="1:13" x14ac:dyDescent="0.55000000000000004">
      <c r="A4343" s="133" t="s">
        <v>2572</v>
      </c>
      <c r="B4343" s="133" t="s">
        <v>3247</v>
      </c>
      <c r="C4343" s="133" t="s">
        <v>348</v>
      </c>
      <c r="D4343" s="133" t="s">
        <v>3288</v>
      </c>
      <c r="E4343" s="138">
        <v>5.2469999999999997E-5</v>
      </c>
      <c r="F4343" s="153" t="s">
        <v>135</v>
      </c>
      <c r="G4343" s="154">
        <v>1</v>
      </c>
      <c r="H4343" s="133" t="s">
        <v>39</v>
      </c>
      <c r="I4343" s="134"/>
      <c r="J4343" s="133" t="s">
        <v>2571</v>
      </c>
      <c r="K4343" s="133" t="s">
        <v>831</v>
      </c>
      <c r="L4343" s="167"/>
      <c r="M4343" s="169"/>
    </row>
    <row r="4344" spans="1:13" x14ac:dyDescent="0.55000000000000004">
      <c r="A4344" s="133" t="s">
        <v>2572</v>
      </c>
      <c r="B4344" s="133" t="s">
        <v>3248</v>
      </c>
      <c r="C4344" s="133" t="s">
        <v>132</v>
      </c>
      <c r="D4344" s="133" t="s">
        <v>3288</v>
      </c>
      <c r="E4344" s="138">
        <v>0.23</v>
      </c>
      <c r="F4344" s="153" t="s">
        <v>135</v>
      </c>
      <c r="G4344" s="154">
        <v>1</v>
      </c>
      <c r="H4344" s="133" t="s">
        <v>39</v>
      </c>
      <c r="I4344" s="134"/>
      <c r="J4344" s="133" t="s">
        <v>2571</v>
      </c>
      <c r="K4344" s="133" t="s">
        <v>831</v>
      </c>
      <c r="L4344" s="167"/>
      <c r="M4344" s="169"/>
    </row>
    <row r="4345" spans="1:13" x14ac:dyDescent="0.55000000000000004">
      <c r="A4345" s="133" t="s">
        <v>2572</v>
      </c>
      <c r="B4345" s="133" t="s">
        <v>2654</v>
      </c>
      <c r="C4345" s="133" t="s">
        <v>163</v>
      </c>
      <c r="D4345" s="133" t="s">
        <v>3288</v>
      </c>
      <c r="E4345" s="138">
        <v>2.8</v>
      </c>
      <c r="F4345" s="153" t="s">
        <v>135</v>
      </c>
      <c r="G4345" s="154">
        <v>1</v>
      </c>
      <c r="H4345" s="133" t="s">
        <v>39</v>
      </c>
      <c r="I4345" s="134"/>
      <c r="J4345" s="133" t="s">
        <v>2571</v>
      </c>
      <c r="K4345" s="133" t="s">
        <v>831</v>
      </c>
      <c r="L4345" s="167"/>
      <c r="M4345" s="169"/>
    </row>
    <row r="4346" spans="1:13" x14ac:dyDescent="0.55000000000000004">
      <c r="A4346" s="133" t="s">
        <v>2572</v>
      </c>
      <c r="B4346" s="133" t="s">
        <v>3249</v>
      </c>
      <c r="C4346" s="133" t="s">
        <v>163</v>
      </c>
      <c r="D4346" s="133" t="s">
        <v>3288</v>
      </c>
      <c r="E4346" s="138">
        <v>3.4680000000000002E-2</v>
      </c>
      <c r="F4346" s="153" t="s">
        <v>135</v>
      </c>
      <c r="G4346" s="154">
        <v>1</v>
      </c>
      <c r="H4346" s="133" t="s">
        <v>39</v>
      </c>
      <c r="I4346" s="134"/>
      <c r="J4346" s="133" t="s">
        <v>2571</v>
      </c>
      <c r="K4346" s="133" t="s">
        <v>831</v>
      </c>
      <c r="L4346" s="167"/>
      <c r="M4346" s="169"/>
    </row>
    <row r="4347" spans="1:13" x14ac:dyDescent="0.55000000000000004">
      <c r="A4347" s="133" t="s">
        <v>2572</v>
      </c>
      <c r="B4347" s="133" t="s">
        <v>3232</v>
      </c>
      <c r="C4347" s="133" t="s">
        <v>497</v>
      </c>
      <c r="D4347" s="133" t="s">
        <v>3288</v>
      </c>
      <c r="E4347" s="138">
        <v>1.1999999999999999E-6</v>
      </c>
      <c r="F4347" s="153" t="s">
        <v>892</v>
      </c>
      <c r="G4347" s="154">
        <v>1</v>
      </c>
      <c r="H4347" s="133" t="s">
        <v>39</v>
      </c>
      <c r="I4347" s="134"/>
      <c r="J4347" s="133" t="s">
        <v>2571</v>
      </c>
      <c r="K4347" s="133" t="s">
        <v>831</v>
      </c>
      <c r="L4347" s="167"/>
      <c r="M4347" s="169"/>
    </row>
    <row r="4348" spans="1:13" x14ac:dyDescent="0.55000000000000004">
      <c r="A4348" s="133" t="s">
        <v>2572</v>
      </c>
      <c r="B4348" s="133" t="s">
        <v>2967</v>
      </c>
      <c r="C4348" s="133" t="s">
        <v>497</v>
      </c>
      <c r="D4348" s="133" t="s">
        <v>3288</v>
      </c>
      <c r="E4348" s="138">
        <v>0.39933000000000002</v>
      </c>
      <c r="F4348" s="153" t="s">
        <v>892</v>
      </c>
      <c r="G4348" s="154">
        <v>1</v>
      </c>
      <c r="H4348" s="133" t="s">
        <v>39</v>
      </c>
      <c r="I4348" s="134"/>
      <c r="J4348" s="133" t="s">
        <v>2571</v>
      </c>
      <c r="K4348" s="133" t="s">
        <v>831</v>
      </c>
      <c r="L4348" s="167"/>
      <c r="M4348" s="169"/>
    </row>
    <row r="4349" spans="1:13" x14ac:dyDescent="0.55000000000000004">
      <c r="A4349" s="133" t="s">
        <v>2572</v>
      </c>
      <c r="B4349" s="133" t="s">
        <v>3199</v>
      </c>
      <c r="C4349" s="133" t="s">
        <v>497</v>
      </c>
      <c r="D4349" s="133" t="s">
        <v>3288</v>
      </c>
      <c r="E4349" s="138">
        <v>0.39257999999999998</v>
      </c>
      <c r="F4349" s="153" t="s">
        <v>892</v>
      </c>
      <c r="G4349" s="154">
        <v>1</v>
      </c>
      <c r="H4349" s="133" t="s">
        <v>39</v>
      </c>
      <c r="I4349" s="134"/>
      <c r="J4349" s="133" t="s">
        <v>2571</v>
      </c>
      <c r="K4349" s="133" t="s">
        <v>831</v>
      </c>
      <c r="L4349" s="167"/>
      <c r="M4349" s="169"/>
    </row>
    <row r="4350" spans="1:13" x14ac:dyDescent="0.55000000000000004">
      <c r="A4350" s="133" t="s">
        <v>2572</v>
      </c>
      <c r="B4350" s="133" t="s">
        <v>2975</v>
      </c>
      <c r="C4350" s="133" t="s">
        <v>497</v>
      </c>
      <c r="D4350" s="133" t="s">
        <v>3288</v>
      </c>
      <c r="E4350" s="138">
        <v>59.72</v>
      </c>
      <c r="F4350" s="153" t="s">
        <v>3221</v>
      </c>
      <c r="G4350" s="154">
        <v>1</v>
      </c>
      <c r="H4350" s="133" t="s">
        <v>39</v>
      </c>
      <c r="I4350" s="134"/>
      <c r="J4350" s="133" t="s">
        <v>2571</v>
      </c>
      <c r="K4350" s="133" t="s">
        <v>831</v>
      </c>
      <c r="L4350" s="167"/>
      <c r="M4350" s="169"/>
    </row>
    <row r="4351" spans="1:13" x14ac:dyDescent="0.55000000000000004">
      <c r="A4351" s="133" t="s">
        <v>2572</v>
      </c>
      <c r="B4351" s="133" t="s">
        <v>3198</v>
      </c>
      <c r="C4351" s="133" t="s">
        <v>497</v>
      </c>
      <c r="D4351" s="133" t="s">
        <v>3288</v>
      </c>
      <c r="E4351" s="138">
        <v>95.18</v>
      </c>
      <c r="F4351" s="153" t="s">
        <v>3221</v>
      </c>
      <c r="G4351" s="154">
        <v>1</v>
      </c>
      <c r="H4351" s="133" t="s">
        <v>39</v>
      </c>
      <c r="I4351" s="134"/>
      <c r="J4351" s="133" t="s">
        <v>2571</v>
      </c>
      <c r="K4351" s="133" t="s">
        <v>831</v>
      </c>
      <c r="L4351" s="167"/>
      <c r="M4351" s="169"/>
    </row>
    <row r="4352" spans="1:13" x14ac:dyDescent="0.55000000000000004">
      <c r="A4352" s="133" t="s">
        <v>2572</v>
      </c>
      <c r="B4352" s="133" t="s">
        <v>726</v>
      </c>
      <c r="C4352" s="133" t="s">
        <v>497</v>
      </c>
      <c r="D4352" s="133" t="s">
        <v>3288</v>
      </c>
      <c r="E4352" s="138">
        <v>18.3</v>
      </c>
      <c r="F4352" s="153" t="s">
        <v>3221</v>
      </c>
      <c r="G4352" s="154">
        <v>1</v>
      </c>
      <c r="H4352" s="133" t="s">
        <v>39</v>
      </c>
      <c r="I4352" s="134"/>
      <c r="J4352" s="133" t="s">
        <v>2571</v>
      </c>
      <c r="K4352" s="133" t="s">
        <v>831</v>
      </c>
      <c r="L4352" s="167"/>
      <c r="M4352" s="169"/>
    </row>
    <row r="4353" spans="1:13" x14ac:dyDescent="0.55000000000000004">
      <c r="A4353" s="133" t="s">
        <v>2572</v>
      </c>
      <c r="B4353" s="133" t="s">
        <v>3197</v>
      </c>
      <c r="C4353" s="133" t="s">
        <v>497</v>
      </c>
      <c r="D4353" s="133" t="s">
        <v>3288</v>
      </c>
      <c r="E4353" s="138">
        <v>12.11</v>
      </c>
      <c r="F4353" s="153" t="s">
        <v>3221</v>
      </c>
      <c r="G4353" s="154">
        <v>1</v>
      </c>
      <c r="H4353" s="133" t="s">
        <v>39</v>
      </c>
      <c r="I4353" s="134"/>
      <c r="J4353" s="133" t="s">
        <v>2571</v>
      </c>
      <c r="K4353" s="133" t="s">
        <v>831</v>
      </c>
      <c r="L4353" s="167"/>
      <c r="M4353" s="169"/>
    </row>
    <row r="4354" spans="1:13" x14ac:dyDescent="0.55000000000000004">
      <c r="A4354" s="133" t="s">
        <v>2572</v>
      </c>
      <c r="B4354" s="133" t="s">
        <v>556</v>
      </c>
      <c r="C4354" s="133" t="s">
        <v>497</v>
      </c>
      <c r="D4354" s="133" t="s">
        <v>3288</v>
      </c>
      <c r="E4354" s="138">
        <v>35.93</v>
      </c>
      <c r="F4354" s="153" t="s">
        <v>3221</v>
      </c>
      <c r="G4354" s="154">
        <v>1</v>
      </c>
      <c r="H4354" s="133" t="s">
        <v>39</v>
      </c>
      <c r="I4354" s="134"/>
      <c r="J4354" s="133" t="s">
        <v>2571</v>
      </c>
      <c r="K4354" s="133" t="s">
        <v>831</v>
      </c>
      <c r="L4354" s="167"/>
      <c r="M4354" s="169"/>
    </row>
    <row r="4355" spans="1:13" x14ac:dyDescent="0.55000000000000004">
      <c r="A4355" s="133" t="s">
        <v>2572</v>
      </c>
      <c r="B4355" s="133" t="s">
        <v>3253</v>
      </c>
      <c r="C4355" s="133" t="s">
        <v>497</v>
      </c>
      <c r="D4355" s="133" t="s">
        <v>3288</v>
      </c>
      <c r="E4355" s="138">
        <v>3.67</v>
      </c>
      <c r="F4355" s="153" t="s">
        <v>3221</v>
      </c>
      <c r="G4355" s="154">
        <v>1</v>
      </c>
      <c r="H4355" s="133" t="s">
        <v>39</v>
      </c>
      <c r="I4355" s="134"/>
      <c r="J4355" s="133" t="s">
        <v>2571</v>
      </c>
      <c r="K4355" s="133" t="s">
        <v>831</v>
      </c>
      <c r="L4355" s="167"/>
      <c r="M4355" s="169"/>
    </row>
    <row r="4356" spans="1:13" x14ac:dyDescent="0.55000000000000004">
      <c r="A4356" s="133" t="s">
        <v>2572</v>
      </c>
      <c r="B4356" s="133" t="s">
        <v>1094</v>
      </c>
      <c r="C4356" s="133" t="s">
        <v>497</v>
      </c>
      <c r="D4356" s="133" t="s">
        <v>3288</v>
      </c>
      <c r="E4356" s="138">
        <v>1800</v>
      </c>
      <c r="F4356" s="153" t="s">
        <v>892</v>
      </c>
      <c r="G4356" s="154">
        <v>1</v>
      </c>
      <c r="H4356" s="133" t="s">
        <v>39</v>
      </c>
      <c r="I4356" s="134"/>
      <c r="J4356" s="133" t="s">
        <v>2571</v>
      </c>
      <c r="K4356" s="133" t="s">
        <v>831</v>
      </c>
      <c r="L4356" s="167"/>
      <c r="M4356" s="169"/>
    </row>
    <row r="4357" spans="1:13" x14ac:dyDescent="0.55000000000000004">
      <c r="A4357" s="133" t="s">
        <v>2576</v>
      </c>
      <c r="B4357" s="133" t="s">
        <v>3254</v>
      </c>
      <c r="C4357" s="133" t="s">
        <v>121</v>
      </c>
      <c r="D4357" s="133" t="s">
        <v>2682</v>
      </c>
      <c r="E4357" s="138">
        <v>1</v>
      </c>
      <c r="F4357" s="153">
        <v>1</v>
      </c>
      <c r="G4357" s="154">
        <v>1</v>
      </c>
      <c r="H4357" s="133" t="s">
        <v>39</v>
      </c>
      <c r="I4357" s="134"/>
      <c r="J4357" s="133" t="s">
        <v>2575</v>
      </c>
      <c r="K4357" s="133" t="s">
        <v>831</v>
      </c>
      <c r="L4357" s="167"/>
      <c r="M4357" s="169"/>
    </row>
    <row r="4358" spans="1:13" x14ac:dyDescent="0.55000000000000004">
      <c r="A4358" s="133" t="s">
        <v>2576</v>
      </c>
      <c r="B4358" s="133" t="s">
        <v>2884</v>
      </c>
      <c r="C4358" s="133" t="s">
        <v>348</v>
      </c>
      <c r="D4358" s="133" t="s">
        <v>3288</v>
      </c>
      <c r="E4358" s="138">
        <v>1</v>
      </c>
      <c r="F4358" s="153" t="s">
        <v>135</v>
      </c>
      <c r="G4358" s="154">
        <v>1</v>
      </c>
      <c r="H4358" s="133" t="s">
        <v>39</v>
      </c>
      <c r="I4358" s="134"/>
      <c r="J4358" s="133" t="s">
        <v>2575</v>
      </c>
      <c r="K4358" s="133" t="s">
        <v>831</v>
      </c>
      <c r="L4358" s="167"/>
      <c r="M4358" s="169"/>
    </row>
    <row r="4359" spans="1:13" x14ac:dyDescent="0.55000000000000004">
      <c r="A4359" s="133" t="s">
        <v>2576</v>
      </c>
      <c r="B4359" s="133" t="s">
        <v>153</v>
      </c>
      <c r="C4359" s="133" t="s">
        <v>127</v>
      </c>
      <c r="D4359" s="133" t="s">
        <v>2994</v>
      </c>
      <c r="E4359" s="138">
        <v>8.11</v>
      </c>
      <c r="F4359" s="153" t="s">
        <v>130</v>
      </c>
      <c r="G4359" s="154">
        <v>1</v>
      </c>
      <c r="H4359" s="133" t="s">
        <v>39</v>
      </c>
      <c r="I4359" s="134"/>
      <c r="J4359" s="133" t="s">
        <v>2575</v>
      </c>
      <c r="K4359" s="133" t="s">
        <v>831</v>
      </c>
      <c r="L4359" s="167"/>
      <c r="M4359" s="169"/>
    </row>
    <row r="4360" spans="1:13" x14ac:dyDescent="0.55000000000000004">
      <c r="A4360" s="133" t="s">
        <v>2576</v>
      </c>
      <c r="B4360" s="133" t="s">
        <v>508</v>
      </c>
      <c r="C4360" s="133" t="s">
        <v>127</v>
      </c>
      <c r="D4360" s="133" t="s">
        <v>3289</v>
      </c>
      <c r="E4360" s="138">
        <v>0.56000000000000005</v>
      </c>
      <c r="F4360" s="153" t="s">
        <v>128</v>
      </c>
      <c r="G4360" s="154">
        <v>1</v>
      </c>
      <c r="H4360" s="133" t="s">
        <v>39</v>
      </c>
      <c r="I4360" s="134"/>
      <c r="J4360" s="133" t="s">
        <v>2575</v>
      </c>
      <c r="K4360" s="133" t="s">
        <v>831</v>
      </c>
      <c r="L4360" s="167"/>
      <c r="M4360" s="169"/>
    </row>
    <row r="4361" spans="1:13" x14ac:dyDescent="0.55000000000000004">
      <c r="A4361" s="133" t="s">
        <v>2576</v>
      </c>
      <c r="B4361" s="133" t="s">
        <v>154</v>
      </c>
      <c r="C4361" s="133" t="s">
        <v>348</v>
      </c>
      <c r="D4361" s="133" t="s">
        <v>3289</v>
      </c>
      <c r="E4361" s="138">
        <v>4.0000000000000001E-3</v>
      </c>
      <c r="F4361" s="153" t="s">
        <v>133</v>
      </c>
      <c r="G4361" s="154">
        <v>1</v>
      </c>
      <c r="H4361" s="133" t="s">
        <v>39</v>
      </c>
      <c r="I4361" s="134"/>
      <c r="J4361" s="133" t="s">
        <v>2575</v>
      </c>
      <c r="K4361" s="133" t="s">
        <v>831</v>
      </c>
      <c r="L4361" s="167"/>
      <c r="M4361" s="169"/>
    </row>
    <row r="4362" spans="1:13" x14ac:dyDescent="0.55000000000000004">
      <c r="A4362" s="133" t="s">
        <v>2576</v>
      </c>
      <c r="B4362" s="133" t="s">
        <v>3255</v>
      </c>
      <c r="C4362" s="133" t="s">
        <v>156</v>
      </c>
      <c r="D4362" s="133" t="s">
        <v>3288</v>
      </c>
      <c r="E4362" s="138">
        <v>2.12E-2</v>
      </c>
      <c r="F4362" s="153" t="s">
        <v>135</v>
      </c>
      <c r="G4362" s="154">
        <v>1</v>
      </c>
      <c r="H4362" s="133" t="s">
        <v>39</v>
      </c>
      <c r="I4362" s="134"/>
      <c r="J4362" s="133" t="s">
        <v>2575</v>
      </c>
      <c r="K4362" s="133" t="s">
        <v>831</v>
      </c>
      <c r="L4362" s="167"/>
      <c r="M4362" s="169"/>
    </row>
    <row r="4363" spans="1:13" x14ac:dyDescent="0.55000000000000004">
      <c r="A4363" s="133" t="s">
        <v>2576</v>
      </c>
      <c r="B4363" s="133" t="s">
        <v>3256</v>
      </c>
      <c r="C4363" s="133" t="s">
        <v>156</v>
      </c>
      <c r="D4363" s="133" t="s">
        <v>3288</v>
      </c>
      <c r="E4363" s="138">
        <v>0.02</v>
      </c>
      <c r="F4363" s="153" t="s">
        <v>135</v>
      </c>
      <c r="G4363" s="154">
        <v>1</v>
      </c>
      <c r="H4363" s="133" t="s">
        <v>39</v>
      </c>
      <c r="I4363" s="134"/>
      <c r="J4363" s="133" t="s">
        <v>2575</v>
      </c>
      <c r="K4363" s="133" t="s">
        <v>831</v>
      </c>
      <c r="L4363" s="167"/>
      <c r="M4363" s="169"/>
    </row>
    <row r="4364" spans="1:13" x14ac:dyDescent="0.55000000000000004">
      <c r="A4364" s="133" t="s">
        <v>2576</v>
      </c>
      <c r="B4364" s="133" t="s">
        <v>3257</v>
      </c>
      <c r="C4364" s="133" t="s">
        <v>156</v>
      </c>
      <c r="D4364" s="133" t="s">
        <v>3288</v>
      </c>
      <c r="E4364" s="138">
        <v>3.3999999999999998E-3</v>
      </c>
      <c r="F4364" s="153" t="s">
        <v>135</v>
      </c>
      <c r="G4364" s="154">
        <v>1</v>
      </c>
      <c r="H4364" s="133" t="s">
        <v>39</v>
      </c>
      <c r="I4364" s="134"/>
      <c r="J4364" s="133" t="s">
        <v>2575</v>
      </c>
      <c r="K4364" s="133" t="s">
        <v>831</v>
      </c>
      <c r="L4364" s="167"/>
      <c r="M4364" s="169"/>
    </row>
    <row r="4365" spans="1:13" x14ac:dyDescent="0.55000000000000004">
      <c r="A4365" s="133" t="s">
        <v>2576</v>
      </c>
      <c r="B4365" s="133" t="s">
        <v>3258</v>
      </c>
      <c r="C4365" s="133" t="s">
        <v>156</v>
      </c>
      <c r="D4365" s="133" t="s">
        <v>3288</v>
      </c>
      <c r="E4365" s="138">
        <v>0.41339999999999999</v>
      </c>
      <c r="F4365" s="153" t="s">
        <v>135</v>
      </c>
      <c r="G4365" s="154">
        <v>1</v>
      </c>
      <c r="H4365" s="133" t="s">
        <v>39</v>
      </c>
      <c r="I4365" s="134"/>
      <c r="J4365" s="133" t="s">
        <v>2575</v>
      </c>
      <c r="K4365" s="133" t="s">
        <v>831</v>
      </c>
      <c r="L4365" s="167"/>
      <c r="M4365" s="169"/>
    </row>
    <row r="4366" spans="1:13" x14ac:dyDescent="0.55000000000000004">
      <c r="A4366" s="133" t="s">
        <v>2576</v>
      </c>
      <c r="B4366" s="133" t="s">
        <v>181</v>
      </c>
      <c r="C4366" s="133" t="s">
        <v>163</v>
      </c>
      <c r="D4366" s="133" t="s">
        <v>3288</v>
      </c>
      <c r="E4366" s="138">
        <v>0.54449999999999998</v>
      </c>
      <c r="F4366" s="153" t="s">
        <v>135</v>
      </c>
      <c r="G4366" s="154">
        <v>1</v>
      </c>
      <c r="H4366" s="133" t="s">
        <v>39</v>
      </c>
      <c r="I4366" s="134"/>
      <c r="J4366" s="133" t="s">
        <v>2575</v>
      </c>
      <c r="K4366" s="133" t="s">
        <v>831</v>
      </c>
      <c r="L4366" s="167"/>
      <c r="M4366" s="169"/>
    </row>
    <row r="4367" spans="1:13" x14ac:dyDescent="0.55000000000000004">
      <c r="A4367" s="133" t="s">
        <v>2581</v>
      </c>
      <c r="B4367" s="133" t="s">
        <v>3260</v>
      </c>
      <c r="C4367" s="133" t="s">
        <v>121</v>
      </c>
      <c r="D4367" s="133" t="s">
        <v>2682</v>
      </c>
      <c r="E4367" s="138">
        <v>1</v>
      </c>
      <c r="F4367" s="153">
        <v>1</v>
      </c>
      <c r="G4367" s="154">
        <v>1</v>
      </c>
      <c r="H4367" s="133" t="s">
        <v>39</v>
      </c>
      <c r="I4367" s="134"/>
      <c r="J4367" s="133" t="s">
        <v>2580</v>
      </c>
      <c r="K4367" s="133" t="s">
        <v>831</v>
      </c>
      <c r="L4367" s="167"/>
      <c r="M4367" s="169"/>
    </row>
    <row r="4368" spans="1:13" x14ac:dyDescent="0.55000000000000004">
      <c r="A4368" s="133" t="s">
        <v>2581</v>
      </c>
      <c r="B4368" s="133" t="s">
        <v>2884</v>
      </c>
      <c r="C4368" s="133" t="s">
        <v>348</v>
      </c>
      <c r="D4368" s="133" t="s">
        <v>3288</v>
      </c>
      <c r="E4368" s="138">
        <v>1</v>
      </c>
      <c r="F4368" s="153" t="s">
        <v>135</v>
      </c>
      <c r="G4368" s="154">
        <v>1</v>
      </c>
      <c r="H4368" s="133" t="s">
        <v>39</v>
      </c>
      <c r="I4368" s="134"/>
      <c r="J4368" s="133" t="s">
        <v>2580</v>
      </c>
      <c r="K4368" s="133" t="s">
        <v>831</v>
      </c>
      <c r="L4368" s="167"/>
      <c r="M4368" s="169"/>
    </row>
    <row r="4369" spans="1:13" x14ac:dyDescent="0.55000000000000004">
      <c r="A4369" s="133" t="s">
        <v>2581</v>
      </c>
      <c r="B4369" s="133" t="s">
        <v>153</v>
      </c>
      <c r="C4369" s="133" t="s">
        <v>127</v>
      </c>
      <c r="D4369" s="133" t="s">
        <v>2994</v>
      </c>
      <c r="E4369" s="138">
        <v>7.8</v>
      </c>
      <c r="F4369" s="153" t="s">
        <v>130</v>
      </c>
      <c r="G4369" s="154">
        <v>1</v>
      </c>
      <c r="H4369" s="133" t="s">
        <v>39</v>
      </c>
      <c r="I4369" s="134"/>
      <c r="J4369" s="133" t="s">
        <v>2580</v>
      </c>
      <c r="K4369" s="133" t="s">
        <v>831</v>
      </c>
      <c r="L4369" s="167"/>
      <c r="M4369" s="169"/>
    </row>
    <row r="4370" spans="1:13" x14ac:dyDescent="0.55000000000000004">
      <c r="A4370" s="133" t="s">
        <v>2581</v>
      </c>
      <c r="B4370" s="133" t="s">
        <v>508</v>
      </c>
      <c r="C4370" s="133" t="s">
        <v>127</v>
      </c>
      <c r="D4370" s="133" t="s">
        <v>3289</v>
      </c>
      <c r="E4370" s="138">
        <v>0.7</v>
      </c>
      <c r="F4370" s="153" t="s">
        <v>128</v>
      </c>
      <c r="G4370" s="154">
        <v>1</v>
      </c>
      <c r="H4370" s="133" t="s">
        <v>39</v>
      </c>
      <c r="I4370" s="134"/>
      <c r="J4370" s="133" t="s">
        <v>2580</v>
      </c>
      <c r="K4370" s="133" t="s">
        <v>831</v>
      </c>
      <c r="L4370" s="167"/>
      <c r="M4370" s="169"/>
    </row>
    <row r="4371" spans="1:13" x14ac:dyDescent="0.55000000000000004">
      <c r="A4371" s="133" t="s">
        <v>2581</v>
      </c>
      <c r="B4371" s="133" t="s">
        <v>2909</v>
      </c>
      <c r="C4371" s="133" t="s">
        <v>348</v>
      </c>
      <c r="D4371" s="133" t="s">
        <v>3288</v>
      </c>
      <c r="E4371" s="138">
        <v>3.0000000000000001E-3</v>
      </c>
      <c r="F4371" s="153" t="s">
        <v>135</v>
      </c>
      <c r="G4371" s="154">
        <v>1</v>
      </c>
      <c r="H4371" s="133" t="s">
        <v>39</v>
      </c>
      <c r="I4371" s="134" t="s">
        <v>3261</v>
      </c>
      <c r="J4371" s="133" t="s">
        <v>2580</v>
      </c>
      <c r="K4371" s="133" t="s">
        <v>831</v>
      </c>
      <c r="L4371" s="167"/>
      <c r="M4371" s="169"/>
    </row>
    <row r="4372" spans="1:13" x14ac:dyDescent="0.55000000000000004">
      <c r="A4372" s="133" t="s">
        <v>2581</v>
      </c>
      <c r="B4372" s="133" t="s">
        <v>3255</v>
      </c>
      <c r="C4372" s="133" t="s">
        <v>156</v>
      </c>
      <c r="D4372" s="133" t="s">
        <v>3288</v>
      </c>
      <c r="E4372" s="138">
        <v>9.7000000000000003E-2</v>
      </c>
      <c r="F4372" s="153" t="s">
        <v>135</v>
      </c>
      <c r="G4372" s="154">
        <v>1</v>
      </c>
      <c r="H4372" s="133" t="s">
        <v>39</v>
      </c>
      <c r="I4372" s="134"/>
      <c r="J4372" s="133" t="s">
        <v>2580</v>
      </c>
      <c r="K4372" s="133" t="s">
        <v>831</v>
      </c>
      <c r="L4372" s="167"/>
      <c r="M4372" s="169"/>
    </row>
    <row r="4373" spans="1:13" x14ac:dyDescent="0.55000000000000004">
      <c r="A4373" s="133" t="s">
        <v>2581</v>
      </c>
      <c r="B4373" s="133" t="s">
        <v>3262</v>
      </c>
      <c r="C4373" s="133" t="s">
        <v>156</v>
      </c>
      <c r="D4373" s="133" t="s">
        <v>3288</v>
      </c>
      <c r="E4373" s="138">
        <v>1.54E-2</v>
      </c>
      <c r="F4373" s="153" t="s">
        <v>135</v>
      </c>
      <c r="G4373" s="154">
        <v>1</v>
      </c>
      <c r="H4373" s="133" t="s">
        <v>39</v>
      </c>
      <c r="I4373" s="134"/>
      <c r="J4373" s="133" t="s">
        <v>2580</v>
      </c>
      <c r="K4373" s="133" t="s">
        <v>831</v>
      </c>
      <c r="L4373" s="167"/>
      <c r="M4373" s="169"/>
    </row>
    <row r="4374" spans="1:13" x14ac:dyDescent="0.55000000000000004">
      <c r="A4374" s="133" t="s">
        <v>2581</v>
      </c>
      <c r="B4374" s="133" t="s">
        <v>2843</v>
      </c>
      <c r="C4374" s="133" t="s">
        <v>156</v>
      </c>
      <c r="D4374" s="133" t="s">
        <v>3288</v>
      </c>
      <c r="E4374" s="138">
        <v>3.243E-2</v>
      </c>
      <c r="F4374" s="153" t="s">
        <v>135</v>
      </c>
      <c r="G4374" s="154">
        <v>1</v>
      </c>
      <c r="H4374" s="133" t="s">
        <v>39</v>
      </c>
      <c r="I4374" s="134"/>
      <c r="J4374" s="133" t="s">
        <v>2580</v>
      </c>
      <c r="K4374" s="133" t="s">
        <v>831</v>
      </c>
      <c r="L4374" s="167"/>
      <c r="M4374" s="169"/>
    </row>
    <row r="4375" spans="1:13" x14ac:dyDescent="0.55000000000000004">
      <c r="A4375" s="133" t="s">
        <v>2581</v>
      </c>
      <c r="B4375" s="133" t="s">
        <v>3263</v>
      </c>
      <c r="C4375" s="133" t="s">
        <v>156</v>
      </c>
      <c r="D4375" s="133" t="s">
        <v>3288</v>
      </c>
      <c r="E4375" s="138">
        <v>1.0789999999999999E-2</v>
      </c>
      <c r="F4375" s="153" t="s">
        <v>135</v>
      </c>
      <c r="G4375" s="154">
        <v>1</v>
      </c>
      <c r="H4375" s="133" t="s">
        <v>39</v>
      </c>
      <c r="I4375" s="134"/>
      <c r="J4375" s="133" t="s">
        <v>2580</v>
      </c>
      <c r="K4375" s="133" t="s">
        <v>831</v>
      </c>
      <c r="L4375" s="167"/>
      <c r="M4375" s="169"/>
    </row>
    <row r="4376" spans="1:13" x14ac:dyDescent="0.55000000000000004">
      <c r="A4376" s="133" t="s">
        <v>2581</v>
      </c>
      <c r="B4376" s="133" t="s">
        <v>3264</v>
      </c>
      <c r="C4376" s="133" t="s">
        <v>156</v>
      </c>
      <c r="D4376" s="133" t="s">
        <v>3288</v>
      </c>
      <c r="E4376" s="138">
        <v>8.9999999999999993E-3</v>
      </c>
      <c r="F4376" s="153" t="s">
        <v>135</v>
      </c>
      <c r="G4376" s="154">
        <v>1</v>
      </c>
      <c r="H4376" s="133" t="s">
        <v>39</v>
      </c>
      <c r="I4376" s="134"/>
      <c r="J4376" s="133" t="s">
        <v>2580</v>
      </c>
      <c r="K4376" s="133" t="s">
        <v>831</v>
      </c>
      <c r="L4376" s="167"/>
      <c r="M4376" s="169"/>
    </row>
    <row r="4377" spans="1:13" x14ac:dyDescent="0.55000000000000004">
      <c r="A4377" s="133" t="s">
        <v>2581</v>
      </c>
      <c r="B4377" s="133" t="s">
        <v>3256</v>
      </c>
      <c r="C4377" s="133" t="s">
        <v>156</v>
      </c>
      <c r="D4377" s="133" t="s">
        <v>3288</v>
      </c>
      <c r="E4377" s="138">
        <v>1.1440000000000001E-2</v>
      </c>
      <c r="F4377" s="153" t="s">
        <v>135</v>
      </c>
      <c r="G4377" s="154">
        <v>1</v>
      </c>
      <c r="H4377" s="133" t="s">
        <v>39</v>
      </c>
      <c r="I4377" s="134"/>
      <c r="J4377" s="133" t="s">
        <v>2580</v>
      </c>
      <c r="K4377" s="133" t="s">
        <v>831</v>
      </c>
      <c r="L4377" s="167"/>
      <c r="M4377" s="169"/>
    </row>
    <row r="4378" spans="1:13" x14ac:dyDescent="0.55000000000000004">
      <c r="A4378" s="133" t="s">
        <v>2581</v>
      </c>
      <c r="B4378" s="133" t="s">
        <v>3265</v>
      </c>
      <c r="C4378" s="133" t="s">
        <v>156</v>
      </c>
      <c r="D4378" s="133" t="s">
        <v>3288</v>
      </c>
      <c r="E4378" s="138">
        <v>7.92E-3</v>
      </c>
      <c r="F4378" s="153" t="s">
        <v>135</v>
      </c>
      <c r="G4378" s="154">
        <v>1</v>
      </c>
      <c r="H4378" s="133" t="s">
        <v>39</v>
      </c>
      <c r="I4378" s="134"/>
      <c r="J4378" s="133" t="s">
        <v>2580</v>
      </c>
      <c r="K4378" s="133" t="s">
        <v>831</v>
      </c>
      <c r="L4378" s="167"/>
      <c r="M4378" s="169"/>
    </row>
    <row r="4379" spans="1:13" x14ac:dyDescent="0.55000000000000004">
      <c r="A4379" s="133" t="s">
        <v>2581</v>
      </c>
      <c r="B4379" s="133" t="s">
        <v>2626</v>
      </c>
      <c r="C4379" s="133" t="s">
        <v>163</v>
      </c>
      <c r="D4379" s="133" t="s">
        <v>3288</v>
      </c>
      <c r="E4379" s="138">
        <v>0.76</v>
      </c>
      <c r="F4379" s="153" t="s">
        <v>135</v>
      </c>
      <c r="G4379" s="154">
        <v>1</v>
      </c>
      <c r="H4379" s="133" t="s">
        <v>39</v>
      </c>
      <c r="I4379" s="134"/>
      <c r="J4379" s="133" t="s">
        <v>2580</v>
      </c>
      <c r="K4379" s="133" t="s">
        <v>831</v>
      </c>
      <c r="L4379" s="167"/>
      <c r="M4379" s="169"/>
    </row>
    <row r="4380" spans="1:13" x14ac:dyDescent="0.55000000000000004">
      <c r="A4380" s="133" t="s">
        <v>2584</v>
      </c>
      <c r="B4380" s="133" t="s">
        <v>3266</v>
      </c>
      <c r="C4380" s="133" t="s">
        <v>121</v>
      </c>
      <c r="D4380" s="133" t="s">
        <v>2682</v>
      </c>
      <c r="E4380" s="138">
        <v>1</v>
      </c>
      <c r="F4380" s="153">
        <v>1</v>
      </c>
      <c r="G4380" s="153">
        <v>1</v>
      </c>
      <c r="H4380" s="133" t="s">
        <v>39</v>
      </c>
      <c r="I4380" s="133"/>
      <c r="J4380" s="133" t="s">
        <v>2583</v>
      </c>
      <c r="K4380" s="133" t="s">
        <v>831</v>
      </c>
      <c r="L4380" s="167"/>
      <c r="M4380" s="169"/>
    </row>
    <row r="4381" spans="1:13" x14ac:dyDescent="0.55000000000000004">
      <c r="A4381" s="133" t="s">
        <v>2584</v>
      </c>
      <c r="B4381" s="133" t="s">
        <v>3267</v>
      </c>
      <c r="C4381" s="133" t="s">
        <v>348</v>
      </c>
      <c r="D4381" s="133" t="s">
        <v>3288</v>
      </c>
      <c r="E4381" s="138">
        <v>1</v>
      </c>
      <c r="F4381" s="153" t="s">
        <v>135</v>
      </c>
      <c r="G4381" s="153">
        <v>1</v>
      </c>
      <c r="H4381" s="133" t="s">
        <v>39</v>
      </c>
      <c r="I4381" s="133"/>
      <c r="J4381" s="133" t="s">
        <v>2583</v>
      </c>
      <c r="K4381" s="133" t="s">
        <v>831</v>
      </c>
      <c r="L4381" s="167"/>
      <c r="M4381" s="169"/>
    </row>
    <row r="4382" spans="1:13" x14ac:dyDescent="0.55000000000000004">
      <c r="A4382" s="133" t="s">
        <v>2584</v>
      </c>
      <c r="B4382" s="133" t="s">
        <v>508</v>
      </c>
      <c r="C4382" s="133" t="s">
        <v>127</v>
      </c>
      <c r="D4382" s="133" t="s">
        <v>2994</v>
      </c>
      <c r="E4382" s="138">
        <v>51.9</v>
      </c>
      <c r="F4382" s="153" t="s">
        <v>167</v>
      </c>
      <c r="G4382" s="153">
        <v>1</v>
      </c>
      <c r="H4382" s="133" t="s">
        <v>39</v>
      </c>
      <c r="I4382" s="133"/>
      <c r="J4382" s="133" t="s">
        <v>2583</v>
      </c>
      <c r="K4382" s="133" t="s">
        <v>831</v>
      </c>
      <c r="L4382" s="167"/>
      <c r="M4382" s="169"/>
    </row>
    <row r="4383" spans="1:13" x14ac:dyDescent="0.55000000000000004">
      <c r="A4383" s="133" t="s">
        <v>2584</v>
      </c>
      <c r="B4383" s="133" t="s">
        <v>153</v>
      </c>
      <c r="C4383" s="133" t="s">
        <v>127</v>
      </c>
      <c r="D4383" s="133" t="s">
        <v>2994</v>
      </c>
      <c r="E4383" s="138">
        <v>30</v>
      </c>
      <c r="F4383" s="153" t="s">
        <v>130</v>
      </c>
      <c r="G4383" s="153">
        <v>1</v>
      </c>
      <c r="H4383" s="133" t="s">
        <v>39</v>
      </c>
      <c r="I4383" s="133"/>
      <c r="J4383" s="133" t="s">
        <v>2583</v>
      </c>
      <c r="K4383" s="133" t="s">
        <v>831</v>
      </c>
      <c r="L4383" s="167"/>
      <c r="M4383" s="169"/>
    </row>
    <row r="4384" spans="1:13" x14ac:dyDescent="0.55000000000000004">
      <c r="A4384" s="133" t="s">
        <v>2584</v>
      </c>
      <c r="B4384" s="133" t="s">
        <v>2827</v>
      </c>
      <c r="C4384" s="133" t="s">
        <v>156</v>
      </c>
      <c r="D4384" s="133" t="s">
        <v>3288</v>
      </c>
      <c r="E4384" s="138">
        <v>0.32</v>
      </c>
      <c r="F4384" s="153" t="s">
        <v>135</v>
      </c>
      <c r="G4384" s="153">
        <v>1</v>
      </c>
      <c r="H4384" s="133" t="s">
        <v>39</v>
      </c>
      <c r="I4384" s="133"/>
      <c r="J4384" s="133" t="s">
        <v>2583</v>
      </c>
      <c r="K4384" s="133" t="s">
        <v>831</v>
      </c>
      <c r="L4384" s="167"/>
      <c r="M4384" s="169"/>
    </row>
    <row r="4385" spans="1:13" x14ac:dyDescent="0.55000000000000004">
      <c r="A4385" s="133" t="s">
        <v>2584</v>
      </c>
      <c r="B4385" s="133" t="s">
        <v>3268</v>
      </c>
      <c r="C4385" s="133" t="s">
        <v>156</v>
      </c>
      <c r="D4385" s="133" t="s">
        <v>3288</v>
      </c>
      <c r="E4385" s="138">
        <v>0.32</v>
      </c>
      <c r="F4385" s="153" t="s">
        <v>135</v>
      </c>
      <c r="G4385" s="153">
        <v>1</v>
      </c>
      <c r="H4385" s="133" t="s">
        <v>39</v>
      </c>
      <c r="I4385" s="133"/>
      <c r="J4385" s="133" t="s">
        <v>2583</v>
      </c>
      <c r="K4385" s="133" t="s">
        <v>831</v>
      </c>
      <c r="L4385" s="167"/>
      <c r="M4385" s="169"/>
    </row>
    <row r="4386" spans="1:13" x14ac:dyDescent="0.55000000000000004">
      <c r="A4386" s="133" t="s">
        <v>2584</v>
      </c>
      <c r="B4386" s="133" t="s">
        <v>2781</v>
      </c>
      <c r="C4386" s="133" t="s">
        <v>156</v>
      </c>
      <c r="D4386" s="133" t="s">
        <v>3288</v>
      </c>
      <c r="E4386" s="138">
        <v>0.32666666666666666</v>
      </c>
      <c r="F4386" s="153" t="s">
        <v>135</v>
      </c>
      <c r="G4386" s="153">
        <v>1</v>
      </c>
      <c r="H4386" s="133" t="s">
        <v>39</v>
      </c>
      <c r="I4386" s="133"/>
      <c r="J4386" s="133" t="s">
        <v>2583</v>
      </c>
      <c r="K4386" s="133" t="s">
        <v>831</v>
      </c>
      <c r="L4386" s="167"/>
      <c r="M4386" s="169"/>
    </row>
    <row r="4387" spans="1:13" x14ac:dyDescent="0.55000000000000004">
      <c r="A4387" s="133" t="s">
        <v>2584</v>
      </c>
      <c r="B4387" s="133" t="s">
        <v>2626</v>
      </c>
      <c r="C4387" s="133" t="s">
        <v>163</v>
      </c>
      <c r="D4387" s="133" t="s">
        <v>3288</v>
      </c>
      <c r="E4387" s="138">
        <v>3.3333333333333333E-2</v>
      </c>
      <c r="F4387" s="154" t="s">
        <v>135</v>
      </c>
      <c r="G4387" s="153">
        <v>1</v>
      </c>
      <c r="H4387" s="133" t="s">
        <v>39</v>
      </c>
      <c r="I4387" s="133"/>
      <c r="J4387" s="133" t="s">
        <v>2583</v>
      </c>
      <c r="K4387" s="133" t="s">
        <v>831</v>
      </c>
      <c r="L4387" s="167"/>
      <c r="M4387" s="169"/>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4401"/>
  <sheetViews>
    <sheetView zoomScale="34" zoomScaleNormal="34" workbookViewId="0">
      <pane xSplit="1" ySplit="1" topLeftCell="B4313" activePane="bottomRight" state="frozen"/>
      <selection pane="topRight" activeCell="B1" sqref="B1"/>
      <selection pane="bottomLeft" activeCell="A4" sqref="A4"/>
      <selection pane="bottomRight" sqref="A1:L4401"/>
    </sheetView>
  </sheetViews>
  <sheetFormatPr baseColWidth="10" defaultColWidth="11.47265625" defaultRowHeight="14.4" x14ac:dyDescent="0.55000000000000004"/>
  <cols>
    <col min="1" max="1" width="76" style="170" customWidth="1"/>
    <col min="2" max="2" width="23.47265625" style="170" customWidth="1"/>
    <col min="3" max="3" width="28.3125" style="170" customWidth="1"/>
    <col min="4" max="4" width="15.3125" style="170" customWidth="1"/>
    <col min="5" max="5" width="15.15625" style="171" customWidth="1"/>
    <col min="6" max="6" width="9" style="172" customWidth="1"/>
    <col min="7" max="7" width="10.47265625" style="172" customWidth="1"/>
    <col min="8" max="8" width="20.47265625" style="170" customWidth="1"/>
    <col min="9" max="9" width="13.47265625" style="170" customWidth="1"/>
    <col min="10" max="10" width="15.47265625" style="170" customWidth="1"/>
    <col min="11" max="11" width="17.68359375" style="170" bestFit="1" customWidth="1"/>
    <col min="12" max="12" width="14.15625" style="173" customWidth="1"/>
    <col min="13" max="13" width="15.3125" style="170" bestFit="1" customWidth="1"/>
    <col min="14" max="14" width="22.68359375" style="170" bestFit="1" customWidth="1"/>
    <col min="15" max="15" width="48.68359375" style="170" customWidth="1"/>
    <col min="16" max="17" width="11.47265625" style="170"/>
    <col min="18" max="18" width="11.47265625" style="170" customWidth="1"/>
    <col min="19" max="21" width="11.47265625" style="170"/>
    <col min="22" max="22" width="14.47265625" style="170" customWidth="1"/>
    <col min="23" max="23" width="13.68359375" style="170" customWidth="1"/>
    <col min="24" max="16384" width="11.47265625" style="170"/>
  </cols>
  <sheetData>
    <row r="1" spans="1:14" customFormat="1" x14ac:dyDescent="0.55000000000000004">
      <c r="A1" s="49" t="s">
        <v>36</v>
      </c>
      <c r="B1" s="49" t="s">
        <v>3374</v>
      </c>
      <c r="C1" s="49" t="s">
        <v>42</v>
      </c>
      <c r="D1" s="49" t="s">
        <v>50</v>
      </c>
      <c r="E1" s="145" t="s">
        <v>37</v>
      </c>
      <c r="F1" s="155" t="s">
        <v>40</v>
      </c>
      <c r="G1" s="147" t="s">
        <v>43</v>
      </c>
      <c r="H1" s="50" t="s">
        <v>3285</v>
      </c>
      <c r="I1" s="50" t="s">
        <v>51</v>
      </c>
      <c r="J1" s="50" t="s">
        <v>119</v>
      </c>
      <c r="K1" s="50" t="s">
        <v>120</v>
      </c>
      <c r="L1" s="158" t="s">
        <v>46</v>
      </c>
      <c r="M1" s="48"/>
    </row>
    <row r="2" spans="1:14" customFormat="1" x14ac:dyDescent="0.55000000000000004">
      <c r="A2" s="101" t="s">
        <v>1228</v>
      </c>
      <c r="B2" s="61" t="s">
        <v>1210</v>
      </c>
      <c r="C2" s="61" t="s">
        <v>121</v>
      </c>
      <c r="D2" s="61" t="s">
        <v>3288</v>
      </c>
      <c r="E2" s="119">
        <v>1</v>
      </c>
      <c r="F2" s="148" t="s">
        <v>135</v>
      </c>
      <c r="G2" s="148">
        <v>1</v>
      </c>
      <c r="H2" s="61" t="s">
        <v>39</v>
      </c>
      <c r="I2" s="61" t="s">
        <v>535</v>
      </c>
      <c r="J2" s="62" t="s">
        <v>1229</v>
      </c>
      <c r="K2" s="61" t="s">
        <v>831</v>
      </c>
      <c r="L2" s="159">
        <v>2603</v>
      </c>
      <c r="M2" s="48"/>
      <c r="N2" s="123"/>
    </row>
    <row r="3" spans="1:14" customFormat="1" x14ac:dyDescent="0.55000000000000004">
      <c r="A3" s="101" t="s">
        <v>1228</v>
      </c>
      <c r="B3" s="61" t="s">
        <v>1230</v>
      </c>
      <c r="C3" s="61" t="s">
        <v>132</v>
      </c>
      <c r="D3" s="61" t="s">
        <v>3288</v>
      </c>
      <c r="E3" s="119">
        <v>4</v>
      </c>
      <c r="F3" s="148" t="s">
        <v>135</v>
      </c>
      <c r="G3" s="148" t="s">
        <v>135</v>
      </c>
      <c r="H3" s="61" t="s">
        <v>39</v>
      </c>
      <c r="I3" s="61" t="s">
        <v>535</v>
      </c>
      <c r="J3" s="62" t="s">
        <v>1229</v>
      </c>
      <c r="K3" s="61" t="s">
        <v>831</v>
      </c>
      <c r="L3" s="159"/>
      <c r="M3" s="48"/>
      <c r="N3" s="123"/>
    </row>
    <row r="4" spans="1:14" customFormat="1" x14ac:dyDescent="0.55000000000000004">
      <c r="A4" s="101" t="s">
        <v>1228</v>
      </c>
      <c r="B4" s="61" t="s">
        <v>153</v>
      </c>
      <c r="C4" s="61" t="s">
        <v>127</v>
      </c>
      <c r="D4" s="61" t="s">
        <v>2994</v>
      </c>
      <c r="E4" s="119">
        <v>16.399999999999999</v>
      </c>
      <c r="F4" s="148" t="s">
        <v>130</v>
      </c>
      <c r="G4" s="148" t="s">
        <v>135</v>
      </c>
      <c r="H4" s="61" t="s">
        <v>39</v>
      </c>
      <c r="I4" s="61" t="s">
        <v>535</v>
      </c>
      <c r="J4" s="62" t="s">
        <v>1229</v>
      </c>
      <c r="K4" s="61" t="s">
        <v>831</v>
      </c>
      <c r="L4" s="159"/>
      <c r="M4" s="48"/>
      <c r="N4" s="123"/>
    </row>
    <row r="5" spans="1:14" customFormat="1" x14ac:dyDescent="0.55000000000000004">
      <c r="A5" s="101" t="s">
        <v>1228</v>
      </c>
      <c r="B5" s="61" t="s">
        <v>154</v>
      </c>
      <c r="C5" s="61" t="s">
        <v>132</v>
      </c>
      <c r="D5" s="61" t="s">
        <v>3289</v>
      </c>
      <c r="E5" s="119">
        <v>0.6</v>
      </c>
      <c r="F5" s="148" t="s">
        <v>133</v>
      </c>
      <c r="G5" s="148" t="s">
        <v>135</v>
      </c>
      <c r="H5" s="61" t="s">
        <v>39</v>
      </c>
      <c r="I5" s="61" t="s">
        <v>535</v>
      </c>
      <c r="J5" s="62" t="s">
        <v>1229</v>
      </c>
      <c r="K5" s="61" t="s">
        <v>831</v>
      </c>
      <c r="L5" s="159"/>
      <c r="M5" s="48"/>
      <c r="N5" s="123"/>
    </row>
    <row r="6" spans="1:14" customFormat="1" x14ac:dyDescent="0.55000000000000004">
      <c r="A6" s="101" t="s">
        <v>1228</v>
      </c>
      <c r="B6" s="61" t="s">
        <v>1231</v>
      </c>
      <c r="C6" s="61" t="s">
        <v>125</v>
      </c>
      <c r="D6" s="61" t="s">
        <v>3288</v>
      </c>
      <c r="E6" s="119">
        <v>0.7</v>
      </c>
      <c r="F6" s="148" t="s">
        <v>135</v>
      </c>
      <c r="G6" s="148" t="s">
        <v>135</v>
      </c>
      <c r="H6" s="61" t="s">
        <v>39</v>
      </c>
      <c r="I6" s="61" t="s">
        <v>535</v>
      </c>
      <c r="J6" s="62" t="s">
        <v>1229</v>
      </c>
      <c r="K6" s="61" t="s">
        <v>831</v>
      </c>
      <c r="L6" s="159"/>
      <c r="M6" s="48"/>
      <c r="N6" s="123"/>
    </row>
    <row r="7" spans="1:14" customFormat="1" x14ac:dyDescent="0.55000000000000004">
      <c r="A7" s="101" t="s">
        <v>1228</v>
      </c>
      <c r="B7" t="s">
        <v>170</v>
      </c>
      <c r="C7" s="61" t="s">
        <v>125</v>
      </c>
      <c r="D7" s="61" t="s">
        <v>3288</v>
      </c>
      <c r="E7" s="119">
        <v>1</v>
      </c>
      <c r="F7" s="148" t="s">
        <v>135</v>
      </c>
      <c r="G7" s="148" t="s">
        <v>135</v>
      </c>
      <c r="H7" s="61" t="s">
        <v>39</v>
      </c>
      <c r="I7" s="61" t="s">
        <v>535</v>
      </c>
      <c r="J7" s="62" t="s">
        <v>1229</v>
      </c>
      <c r="K7" s="61" t="s">
        <v>831</v>
      </c>
      <c r="L7" s="159"/>
      <c r="M7" s="48"/>
      <c r="N7" s="123"/>
    </row>
    <row r="8" spans="1:14" customFormat="1" x14ac:dyDescent="0.55000000000000004">
      <c r="A8" s="101" t="s">
        <v>1228</v>
      </c>
      <c r="B8" s="61" t="s">
        <v>1233</v>
      </c>
      <c r="C8" s="61" t="s">
        <v>125</v>
      </c>
      <c r="D8" s="61" t="s">
        <v>3288</v>
      </c>
      <c r="E8" s="119">
        <v>0.13</v>
      </c>
      <c r="F8" s="148" t="s">
        <v>135</v>
      </c>
      <c r="G8" s="148" t="s">
        <v>135</v>
      </c>
      <c r="H8" s="61" t="s">
        <v>39</v>
      </c>
      <c r="I8" s="61" t="s">
        <v>535</v>
      </c>
      <c r="J8" s="62" t="s">
        <v>1229</v>
      </c>
      <c r="K8" s="61" t="s">
        <v>831</v>
      </c>
      <c r="L8" s="159"/>
      <c r="M8" s="48"/>
      <c r="N8" s="123"/>
    </row>
    <row r="9" spans="1:14" customFormat="1" x14ac:dyDescent="0.55000000000000004">
      <c r="A9" s="101" t="s">
        <v>1228</v>
      </c>
      <c r="B9" s="61" t="s">
        <v>154</v>
      </c>
      <c r="C9" t="s">
        <v>124</v>
      </c>
      <c r="D9" s="61" t="s">
        <v>3289</v>
      </c>
      <c r="E9" s="119">
        <v>0.6</v>
      </c>
      <c r="F9" s="148" t="s">
        <v>133</v>
      </c>
      <c r="G9" s="148" t="s">
        <v>135</v>
      </c>
      <c r="H9" s="61" t="s">
        <v>39</v>
      </c>
      <c r="I9" s="61" t="s">
        <v>535</v>
      </c>
      <c r="J9" s="62" t="s">
        <v>1229</v>
      </c>
      <c r="K9" s="61" t="s">
        <v>831</v>
      </c>
      <c r="L9" s="159"/>
      <c r="M9" s="48"/>
      <c r="N9" s="123"/>
    </row>
    <row r="10" spans="1:14" customFormat="1" x14ac:dyDescent="0.55000000000000004">
      <c r="A10" s="101" t="s">
        <v>1228</v>
      </c>
      <c r="B10" s="61" t="s">
        <v>1234</v>
      </c>
      <c r="C10" s="61" t="s">
        <v>163</v>
      </c>
      <c r="D10" s="61" t="s">
        <v>3288</v>
      </c>
      <c r="E10" s="119">
        <v>5.83</v>
      </c>
      <c r="F10" s="148" t="s">
        <v>135</v>
      </c>
      <c r="G10" s="148" t="s">
        <v>135</v>
      </c>
      <c r="H10" s="61" t="s">
        <v>39</v>
      </c>
      <c r="I10" s="61" t="s">
        <v>535</v>
      </c>
      <c r="J10" s="62" t="s">
        <v>1229</v>
      </c>
      <c r="K10" s="61" t="s">
        <v>831</v>
      </c>
      <c r="L10" s="159"/>
      <c r="M10" s="48"/>
      <c r="N10" s="123"/>
    </row>
    <row r="11" spans="1:14" customFormat="1" x14ac:dyDescent="0.55000000000000004">
      <c r="A11" s="104" t="s">
        <v>1225</v>
      </c>
      <c r="B11" s="61" t="s">
        <v>1016</v>
      </c>
      <c r="C11" s="61" t="s">
        <v>121</v>
      </c>
      <c r="D11" s="61" t="s">
        <v>3288</v>
      </c>
      <c r="E11" s="119">
        <v>1</v>
      </c>
      <c r="F11" s="148" t="s">
        <v>135</v>
      </c>
      <c r="G11" s="148">
        <v>1</v>
      </c>
      <c r="H11" s="61" t="s">
        <v>39</v>
      </c>
      <c r="I11" s="61"/>
      <c r="J11" s="61" t="s">
        <v>1225</v>
      </c>
      <c r="K11" s="61" t="s">
        <v>936</v>
      </c>
      <c r="L11" s="159">
        <v>2507</v>
      </c>
      <c r="M11" s="48"/>
      <c r="N11" s="123"/>
    </row>
    <row r="12" spans="1:14" customFormat="1" x14ac:dyDescent="0.55000000000000004">
      <c r="A12" s="104" t="s">
        <v>1225</v>
      </c>
      <c r="B12" s="61" t="s">
        <v>1223</v>
      </c>
      <c r="C12" s="61" t="s">
        <v>132</v>
      </c>
      <c r="D12" s="61" t="s">
        <v>3288</v>
      </c>
      <c r="E12" s="119">
        <v>1.1599999999999999</v>
      </c>
      <c r="F12" s="148" t="s">
        <v>135</v>
      </c>
      <c r="G12" s="148">
        <v>1</v>
      </c>
      <c r="H12" s="61" t="s">
        <v>39</v>
      </c>
      <c r="I12" s="61"/>
      <c r="J12" s="61" t="s">
        <v>1225</v>
      </c>
      <c r="K12" s="61" t="s">
        <v>936</v>
      </c>
      <c r="L12" s="159"/>
      <c r="M12" s="48"/>
      <c r="N12" s="123"/>
    </row>
    <row r="13" spans="1:14" customFormat="1" x14ac:dyDescent="0.55000000000000004">
      <c r="A13" s="104" t="s">
        <v>1225</v>
      </c>
      <c r="B13" t="s">
        <v>137</v>
      </c>
      <c r="C13" s="61" t="s">
        <v>127</v>
      </c>
      <c r="D13" s="61" t="s">
        <v>2994</v>
      </c>
      <c r="E13" s="119">
        <v>2.7</v>
      </c>
      <c r="F13" s="148" t="s">
        <v>138</v>
      </c>
      <c r="G13" s="148">
        <v>1</v>
      </c>
      <c r="H13" s="61" t="s">
        <v>1227</v>
      </c>
      <c r="I13" s="61"/>
      <c r="J13" s="61" t="s">
        <v>1225</v>
      </c>
      <c r="K13" s="61" t="s">
        <v>936</v>
      </c>
      <c r="L13" s="159"/>
      <c r="M13" s="48"/>
      <c r="N13" s="123"/>
    </row>
    <row r="14" spans="1:14" customFormat="1" x14ac:dyDescent="0.55000000000000004">
      <c r="A14" s="104" t="s">
        <v>1225</v>
      </c>
      <c r="B14" s="61" t="s">
        <v>153</v>
      </c>
      <c r="C14" s="61" t="s">
        <v>127</v>
      </c>
      <c r="D14" s="61" t="s">
        <v>2994</v>
      </c>
      <c r="E14" s="119">
        <v>5.0999999999999997E-2</v>
      </c>
      <c r="F14" s="148" t="s">
        <v>138</v>
      </c>
      <c r="G14" s="148">
        <v>1</v>
      </c>
      <c r="H14" s="61" t="s">
        <v>39</v>
      </c>
      <c r="I14" s="61"/>
      <c r="J14" s="61" t="s">
        <v>1225</v>
      </c>
      <c r="K14" s="61" t="s">
        <v>936</v>
      </c>
      <c r="L14" s="159"/>
      <c r="M14" s="48"/>
      <c r="N14" s="123"/>
    </row>
    <row r="15" spans="1:14" customFormat="1" x14ac:dyDescent="0.55000000000000004">
      <c r="A15" s="104" t="s">
        <v>1225</v>
      </c>
      <c r="B15" s="61" t="s">
        <v>160</v>
      </c>
      <c r="C15" s="61" t="s">
        <v>560</v>
      </c>
      <c r="D15" s="61" t="s">
        <v>3288</v>
      </c>
      <c r="E15" s="119">
        <v>0.03</v>
      </c>
      <c r="F15" s="148" t="s">
        <v>135</v>
      </c>
      <c r="G15" s="148">
        <v>1</v>
      </c>
      <c r="H15" s="61" t="s">
        <v>39</v>
      </c>
      <c r="I15" s="61" t="s">
        <v>937</v>
      </c>
      <c r="J15" s="61" t="s">
        <v>1225</v>
      </c>
      <c r="K15" s="61" t="s">
        <v>934</v>
      </c>
      <c r="L15" s="159"/>
      <c r="M15" s="48"/>
      <c r="N15" s="123"/>
    </row>
    <row r="16" spans="1:14" customFormat="1" x14ac:dyDescent="0.55000000000000004">
      <c r="A16" s="104" t="s">
        <v>1222</v>
      </c>
      <c r="B16" s="61" t="s">
        <v>1016</v>
      </c>
      <c r="C16" s="61" t="s">
        <v>121</v>
      </c>
      <c r="D16" s="61" t="s">
        <v>3288</v>
      </c>
      <c r="E16" s="119">
        <v>1</v>
      </c>
      <c r="F16" s="148" t="s">
        <v>135</v>
      </c>
      <c r="G16" s="148">
        <v>1</v>
      </c>
      <c r="H16" s="61" t="s">
        <v>39</v>
      </c>
      <c r="I16" s="61" t="s">
        <v>930</v>
      </c>
      <c r="J16" s="61" t="s">
        <v>1222</v>
      </c>
      <c r="K16" s="61" t="s">
        <v>931</v>
      </c>
      <c r="L16" s="159">
        <v>2507</v>
      </c>
      <c r="M16" s="48"/>
      <c r="N16" s="123"/>
    </row>
    <row r="17" spans="1:14" customFormat="1" x14ac:dyDescent="0.55000000000000004">
      <c r="A17" s="104" t="s">
        <v>1222</v>
      </c>
      <c r="B17" s="61" t="s">
        <v>1223</v>
      </c>
      <c r="C17" s="61" t="s">
        <v>132</v>
      </c>
      <c r="D17" s="61" t="s">
        <v>3288</v>
      </c>
      <c r="E17" s="119">
        <v>1.1599999999999999</v>
      </c>
      <c r="F17" s="148" t="s">
        <v>135</v>
      </c>
      <c r="G17" s="148">
        <v>1</v>
      </c>
      <c r="H17" s="61" t="s">
        <v>39</v>
      </c>
      <c r="I17" s="61" t="s">
        <v>932</v>
      </c>
      <c r="J17" s="61" t="s">
        <v>1222</v>
      </c>
      <c r="K17" s="61" t="s">
        <v>933</v>
      </c>
      <c r="L17" s="159"/>
      <c r="M17" s="48"/>
      <c r="N17" s="123"/>
    </row>
    <row r="18" spans="1:14" customFormat="1" x14ac:dyDescent="0.55000000000000004">
      <c r="A18" s="104" t="s">
        <v>1222</v>
      </c>
      <c r="B18" t="s">
        <v>137</v>
      </c>
      <c r="C18" s="61" t="s">
        <v>127</v>
      </c>
      <c r="D18" s="61" t="s">
        <v>2994</v>
      </c>
      <c r="E18" s="119">
        <v>3.1</v>
      </c>
      <c r="F18" s="148" t="s">
        <v>138</v>
      </c>
      <c r="G18" s="148">
        <v>1</v>
      </c>
      <c r="H18" s="61" t="s">
        <v>1224</v>
      </c>
      <c r="I18" s="61"/>
      <c r="J18" s="61" t="s">
        <v>1222</v>
      </c>
      <c r="K18" s="61" t="s">
        <v>934</v>
      </c>
      <c r="L18" s="159"/>
      <c r="M18" s="48"/>
      <c r="N18" s="123"/>
    </row>
    <row r="19" spans="1:14" customFormat="1" x14ac:dyDescent="0.55000000000000004">
      <c r="A19" s="104" t="s">
        <v>1222</v>
      </c>
      <c r="B19" s="61" t="s">
        <v>153</v>
      </c>
      <c r="C19" s="61" t="s">
        <v>127</v>
      </c>
      <c r="D19" s="61" t="s">
        <v>2994</v>
      </c>
      <c r="E19" s="119">
        <v>0.16500000000000001</v>
      </c>
      <c r="F19" s="148" t="s">
        <v>138</v>
      </c>
      <c r="G19" s="148">
        <v>1</v>
      </c>
      <c r="H19" s="61" t="s">
        <v>39</v>
      </c>
      <c r="I19" s="61" t="s">
        <v>935</v>
      </c>
      <c r="J19" s="61" t="s">
        <v>1222</v>
      </c>
      <c r="K19" s="61" t="s">
        <v>931</v>
      </c>
      <c r="L19" s="159"/>
      <c r="M19" s="48"/>
      <c r="N19" s="123"/>
    </row>
    <row r="20" spans="1:14" customFormat="1" x14ac:dyDescent="0.55000000000000004">
      <c r="A20" s="104" t="s">
        <v>1222</v>
      </c>
      <c r="B20" s="61" t="s">
        <v>160</v>
      </c>
      <c r="C20" s="61" t="s">
        <v>560</v>
      </c>
      <c r="D20" s="61" t="s">
        <v>3288</v>
      </c>
      <c r="E20" s="119">
        <v>0.03</v>
      </c>
      <c r="F20" s="148" t="s">
        <v>135</v>
      </c>
      <c r="G20" s="148">
        <v>1</v>
      </c>
      <c r="H20" s="61" t="s">
        <v>39</v>
      </c>
      <c r="I20" s="61"/>
      <c r="J20" s="61" t="s">
        <v>1222</v>
      </c>
      <c r="K20" s="61"/>
      <c r="L20" s="159"/>
      <c r="M20" s="48"/>
      <c r="N20" s="123"/>
    </row>
    <row r="21" spans="1:14" customFormat="1" x14ac:dyDescent="0.55000000000000004">
      <c r="A21" s="101" t="s">
        <v>1219</v>
      </c>
      <c r="B21" s="61" t="s">
        <v>1166</v>
      </c>
      <c r="C21" s="61" t="s">
        <v>121</v>
      </c>
      <c r="D21" s="61" t="s">
        <v>3288</v>
      </c>
      <c r="E21" s="119">
        <v>1</v>
      </c>
      <c r="F21" s="148" t="s">
        <v>122</v>
      </c>
      <c r="G21" s="148">
        <v>1</v>
      </c>
      <c r="H21" s="61" t="s">
        <v>39</v>
      </c>
      <c r="I21" s="61" t="s">
        <v>535</v>
      </c>
      <c r="J21" s="62" t="s">
        <v>1220</v>
      </c>
      <c r="K21" s="61" t="s">
        <v>831</v>
      </c>
      <c r="L21" s="159">
        <v>7402</v>
      </c>
      <c r="M21" s="48"/>
      <c r="N21" s="123"/>
    </row>
    <row r="22" spans="1:14" customFormat="1" x14ac:dyDescent="0.55000000000000004">
      <c r="A22" s="101" t="s">
        <v>1219</v>
      </c>
      <c r="B22" s="61" t="s">
        <v>1210</v>
      </c>
      <c r="C22" s="61" t="s">
        <v>125</v>
      </c>
      <c r="D22" s="61" t="s">
        <v>3288</v>
      </c>
      <c r="E22" s="119">
        <v>3.57</v>
      </c>
      <c r="F22" s="148" t="s">
        <v>122</v>
      </c>
      <c r="G22" s="148" t="s">
        <v>122</v>
      </c>
      <c r="H22" s="61" t="s">
        <v>39</v>
      </c>
      <c r="I22" s="61" t="s">
        <v>535</v>
      </c>
      <c r="J22" s="62" t="s">
        <v>1220</v>
      </c>
      <c r="K22" s="61" t="s">
        <v>831</v>
      </c>
      <c r="L22" s="159"/>
      <c r="M22" s="48"/>
      <c r="N22" s="123"/>
    </row>
    <row r="23" spans="1:14" customFormat="1" x14ac:dyDescent="0.55000000000000004">
      <c r="A23" s="101" t="s">
        <v>1219</v>
      </c>
      <c r="B23" s="61" t="s">
        <v>145</v>
      </c>
      <c r="C23" s="61" t="s">
        <v>156</v>
      </c>
      <c r="D23" s="61" t="s">
        <v>3288</v>
      </c>
      <c r="E23" s="119">
        <v>1.52</v>
      </c>
      <c r="F23" s="148" t="s">
        <v>122</v>
      </c>
      <c r="G23" s="148" t="s">
        <v>122</v>
      </c>
      <c r="H23" s="61" t="s">
        <v>39</v>
      </c>
      <c r="I23" s="61" t="s">
        <v>535</v>
      </c>
      <c r="J23" s="62" t="s">
        <v>1220</v>
      </c>
      <c r="K23" s="61" t="s">
        <v>831</v>
      </c>
      <c r="L23" s="159">
        <v>2807</v>
      </c>
      <c r="M23" s="48"/>
      <c r="N23" s="123"/>
    </row>
    <row r="24" spans="1:14" customFormat="1" x14ac:dyDescent="0.55000000000000004">
      <c r="A24" s="101" t="s">
        <v>1219</v>
      </c>
      <c r="B24" s="61" t="s">
        <v>505</v>
      </c>
      <c r="C24" s="61" t="s">
        <v>127</v>
      </c>
      <c r="D24" s="61" t="s">
        <v>2994</v>
      </c>
      <c r="E24" s="119">
        <v>4.18</v>
      </c>
      <c r="F24" s="148" t="s">
        <v>167</v>
      </c>
      <c r="G24" s="148" t="s">
        <v>122</v>
      </c>
      <c r="H24" s="61" t="s">
        <v>39</v>
      </c>
      <c r="I24" s="61" t="s">
        <v>535</v>
      </c>
      <c r="J24" s="62" t="s">
        <v>1220</v>
      </c>
      <c r="K24" s="61" t="s">
        <v>831</v>
      </c>
      <c r="L24" s="159"/>
      <c r="M24" s="48"/>
      <c r="N24" s="123"/>
    </row>
    <row r="25" spans="1:14" customFormat="1" x14ac:dyDescent="0.55000000000000004">
      <c r="A25" s="101" t="s">
        <v>1219</v>
      </c>
      <c r="B25" s="61" t="s">
        <v>153</v>
      </c>
      <c r="C25" s="61" t="s">
        <v>127</v>
      </c>
      <c r="D25" s="61" t="s">
        <v>2994</v>
      </c>
      <c r="E25" s="119">
        <v>6.9</v>
      </c>
      <c r="F25" s="148" t="s">
        <v>167</v>
      </c>
      <c r="G25" s="148" t="s">
        <v>122</v>
      </c>
      <c r="H25" s="61" t="s">
        <v>39</v>
      </c>
      <c r="I25" s="61" t="s">
        <v>535</v>
      </c>
      <c r="J25" s="62" t="s">
        <v>1220</v>
      </c>
      <c r="K25" s="61" t="s">
        <v>831</v>
      </c>
      <c r="L25" s="159"/>
      <c r="M25" s="48"/>
      <c r="N25" s="123"/>
    </row>
    <row r="26" spans="1:14" customFormat="1" x14ac:dyDescent="0.55000000000000004">
      <c r="A26" s="101" t="s">
        <v>1219</v>
      </c>
      <c r="B26" s="61" t="s">
        <v>213</v>
      </c>
      <c r="C26" s="61" t="s">
        <v>132</v>
      </c>
      <c r="D26" s="61" t="s">
        <v>3288</v>
      </c>
      <c r="E26" s="119">
        <v>2.79</v>
      </c>
      <c r="F26" s="148" t="s">
        <v>122</v>
      </c>
      <c r="G26" s="148" t="s">
        <v>122</v>
      </c>
      <c r="H26" s="61" t="s">
        <v>39</v>
      </c>
      <c r="I26" s="61" t="s">
        <v>535</v>
      </c>
      <c r="J26" s="62" t="s">
        <v>1220</v>
      </c>
      <c r="K26" s="61" t="s">
        <v>831</v>
      </c>
      <c r="L26" s="159"/>
      <c r="M26" s="48"/>
      <c r="N26" s="123"/>
    </row>
    <row r="27" spans="1:14" customFormat="1" x14ac:dyDescent="0.55000000000000004">
      <c r="A27" s="101" t="s">
        <v>1219</v>
      </c>
      <c r="B27" s="61" t="s">
        <v>1169</v>
      </c>
      <c r="C27" s="61" t="s">
        <v>125</v>
      </c>
      <c r="D27" s="61" t="s">
        <v>3288</v>
      </c>
      <c r="E27" s="119">
        <v>1.27</v>
      </c>
      <c r="F27" s="148" t="s">
        <v>122</v>
      </c>
      <c r="G27" s="148" t="s">
        <v>122</v>
      </c>
      <c r="H27" s="61" t="s">
        <v>39</v>
      </c>
      <c r="I27" s="61" t="s">
        <v>535</v>
      </c>
      <c r="J27" s="62" t="s">
        <v>1220</v>
      </c>
      <c r="K27" s="61" t="s">
        <v>831</v>
      </c>
      <c r="L27" s="159"/>
      <c r="M27" s="48"/>
      <c r="N27" s="123"/>
    </row>
    <row r="28" spans="1:14" customFormat="1" x14ac:dyDescent="0.55000000000000004">
      <c r="A28" s="101" t="s">
        <v>1219</v>
      </c>
      <c r="B28" s="61" t="s">
        <v>1170</v>
      </c>
      <c r="C28" s="61" t="s">
        <v>125</v>
      </c>
      <c r="D28" s="61" t="s">
        <v>3288</v>
      </c>
      <c r="E28" s="119">
        <v>0.35499999999999998</v>
      </c>
      <c r="F28" s="148" t="s">
        <v>122</v>
      </c>
      <c r="G28" s="148" t="s">
        <v>122</v>
      </c>
      <c r="H28" s="61" t="s">
        <v>39</v>
      </c>
      <c r="I28" s="61" t="s">
        <v>535</v>
      </c>
      <c r="J28" s="62" t="s">
        <v>1220</v>
      </c>
      <c r="K28" s="61" t="s">
        <v>831</v>
      </c>
      <c r="L28" s="159"/>
      <c r="M28" s="48"/>
      <c r="N28" s="123"/>
    </row>
    <row r="29" spans="1:14" customFormat="1" x14ac:dyDescent="0.55000000000000004">
      <c r="A29" s="101" t="s">
        <v>1219</v>
      </c>
      <c r="B29" t="s">
        <v>131</v>
      </c>
      <c r="C29" s="61" t="s">
        <v>132</v>
      </c>
      <c r="D29" s="61" t="s">
        <v>3288</v>
      </c>
      <c r="E29" s="119">
        <v>0.127</v>
      </c>
      <c r="F29" s="148" t="s">
        <v>122</v>
      </c>
      <c r="G29" s="148" t="s">
        <v>122</v>
      </c>
      <c r="H29" s="61" t="s">
        <v>39</v>
      </c>
      <c r="I29" s="61" t="s">
        <v>535</v>
      </c>
      <c r="J29" s="62" t="s">
        <v>1220</v>
      </c>
      <c r="K29" s="61" t="s">
        <v>831</v>
      </c>
      <c r="L29" s="159"/>
      <c r="M29" s="48"/>
      <c r="N29" s="123"/>
    </row>
    <row r="30" spans="1:14" customFormat="1" x14ac:dyDescent="0.55000000000000004">
      <c r="A30" s="101" t="s">
        <v>1219</v>
      </c>
      <c r="B30" s="61" t="s">
        <v>1171</v>
      </c>
      <c r="C30" s="61" t="s">
        <v>348</v>
      </c>
      <c r="D30" s="61" t="s">
        <v>3288</v>
      </c>
      <c r="E30" s="119">
        <v>4.2299999999999997E-2</v>
      </c>
      <c r="F30" s="148" t="s">
        <v>122</v>
      </c>
      <c r="G30" s="148" t="s">
        <v>122</v>
      </c>
      <c r="H30" s="61" t="s">
        <v>39</v>
      </c>
      <c r="I30" s="61" t="s">
        <v>535</v>
      </c>
      <c r="J30" s="62" t="s">
        <v>1220</v>
      </c>
      <c r="K30" s="61" t="s">
        <v>831</v>
      </c>
      <c r="L30" s="159"/>
      <c r="M30" s="48"/>
      <c r="N30" s="123"/>
    </row>
    <row r="31" spans="1:14" customFormat="1" x14ac:dyDescent="0.55000000000000004">
      <c r="A31" s="101" t="s">
        <v>1219</v>
      </c>
      <c r="B31" s="61" t="s">
        <v>154</v>
      </c>
      <c r="C31" s="61" t="s">
        <v>132</v>
      </c>
      <c r="D31" s="61" t="s">
        <v>3288</v>
      </c>
      <c r="E31" s="119">
        <v>0.35499999999999998</v>
      </c>
      <c r="F31" s="148" t="s">
        <v>122</v>
      </c>
      <c r="G31" s="148" t="s">
        <v>122</v>
      </c>
      <c r="H31" s="61" t="s">
        <v>39</v>
      </c>
      <c r="I31" s="61" t="s">
        <v>535</v>
      </c>
      <c r="J31" s="62" t="s">
        <v>1220</v>
      </c>
      <c r="K31" s="61" t="s">
        <v>831</v>
      </c>
      <c r="L31" s="159"/>
      <c r="M31" s="48"/>
      <c r="N31" s="123"/>
    </row>
    <row r="32" spans="1:14" customFormat="1" x14ac:dyDescent="0.55000000000000004">
      <c r="A32" s="101" t="s">
        <v>1219</v>
      </c>
      <c r="B32" s="61" t="s">
        <v>1172</v>
      </c>
      <c r="C32" s="61" t="s">
        <v>124</v>
      </c>
      <c r="D32" s="61" t="s">
        <v>3288</v>
      </c>
      <c r="E32" s="119">
        <v>0.45</v>
      </c>
      <c r="F32" s="148" t="s">
        <v>122</v>
      </c>
      <c r="G32" s="148" t="s">
        <v>122</v>
      </c>
      <c r="H32" s="61" t="s">
        <v>39</v>
      </c>
      <c r="I32" s="61" t="s">
        <v>535</v>
      </c>
      <c r="J32" s="62" t="s">
        <v>1220</v>
      </c>
      <c r="K32" s="61" t="s">
        <v>831</v>
      </c>
      <c r="L32" s="159">
        <v>2807</v>
      </c>
      <c r="M32" s="48"/>
      <c r="N32" s="123"/>
    </row>
    <row r="33" spans="1:14" customFormat="1" x14ac:dyDescent="0.55000000000000004">
      <c r="A33" s="101" t="s">
        <v>1219</v>
      </c>
      <c r="B33" s="61" t="s">
        <v>160</v>
      </c>
      <c r="C33" s="61" t="s">
        <v>124</v>
      </c>
      <c r="D33" s="61" t="s">
        <v>3288</v>
      </c>
      <c r="E33" s="119">
        <v>0.39</v>
      </c>
      <c r="F33" s="148" t="s">
        <v>122</v>
      </c>
      <c r="G33" s="148" t="s">
        <v>122</v>
      </c>
      <c r="H33" s="61" t="s">
        <v>39</v>
      </c>
      <c r="I33" s="61" t="s">
        <v>535</v>
      </c>
      <c r="J33" s="62" t="s">
        <v>1220</v>
      </c>
      <c r="K33" s="61" t="s">
        <v>831</v>
      </c>
      <c r="L33" s="159">
        <v>2520</v>
      </c>
      <c r="M33" s="48"/>
      <c r="N33" s="123"/>
    </row>
    <row r="34" spans="1:14" customFormat="1" x14ac:dyDescent="0.55000000000000004">
      <c r="A34" s="101" t="s">
        <v>1219</v>
      </c>
      <c r="B34" s="61" t="s">
        <v>735</v>
      </c>
      <c r="C34" s="61" t="s">
        <v>163</v>
      </c>
      <c r="D34" s="61" t="s">
        <v>3288</v>
      </c>
      <c r="E34" s="119">
        <v>1.91</v>
      </c>
      <c r="F34" s="148" t="s">
        <v>122</v>
      </c>
      <c r="G34" s="148" t="s">
        <v>122</v>
      </c>
      <c r="H34" s="61" t="s">
        <v>39</v>
      </c>
      <c r="I34" s="61" t="s">
        <v>535</v>
      </c>
      <c r="J34" s="62" t="s">
        <v>1220</v>
      </c>
      <c r="K34" s="61" t="s">
        <v>831</v>
      </c>
      <c r="L34" s="159"/>
      <c r="M34" s="48"/>
      <c r="N34" s="123"/>
    </row>
    <row r="35" spans="1:14" customFormat="1" x14ac:dyDescent="0.55000000000000004">
      <c r="A35" s="101" t="s">
        <v>1215</v>
      </c>
      <c r="B35" s="61" t="s">
        <v>1166</v>
      </c>
      <c r="C35" s="61" t="s">
        <v>121</v>
      </c>
      <c r="D35" s="61" t="s">
        <v>3288</v>
      </c>
      <c r="E35" s="119">
        <v>1</v>
      </c>
      <c r="F35" s="148" t="s">
        <v>122</v>
      </c>
      <c r="G35" s="148">
        <v>1</v>
      </c>
      <c r="H35" s="61" t="s">
        <v>39</v>
      </c>
      <c r="I35" s="61" t="s">
        <v>535</v>
      </c>
      <c r="J35" s="62" t="s">
        <v>1216</v>
      </c>
      <c r="K35" s="61" t="s">
        <v>831</v>
      </c>
      <c r="L35" s="159">
        <v>7402</v>
      </c>
      <c r="M35" s="48"/>
      <c r="N35" s="123"/>
    </row>
    <row r="36" spans="1:14" customFormat="1" x14ac:dyDescent="0.55000000000000004">
      <c r="A36" s="101" t="s">
        <v>1215</v>
      </c>
      <c r="B36" s="61" t="s">
        <v>1217</v>
      </c>
      <c r="C36" s="61" t="s">
        <v>125</v>
      </c>
      <c r="D36" s="61" t="s">
        <v>3288</v>
      </c>
      <c r="E36" s="119">
        <v>3.57</v>
      </c>
      <c r="F36" s="148" t="s">
        <v>122</v>
      </c>
      <c r="G36" s="148" t="s">
        <v>122</v>
      </c>
      <c r="H36" s="61" t="s">
        <v>39</v>
      </c>
      <c r="I36" s="61" t="s">
        <v>535</v>
      </c>
      <c r="J36" s="62" t="s">
        <v>1216</v>
      </c>
      <c r="K36" s="61" t="s">
        <v>831</v>
      </c>
      <c r="L36" s="159"/>
      <c r="M36" s="48"/>
      <c r="N36" s="123"/>
    </row>
    <row r="37" spans="1:14" customFormat="1" x14ac:dyDescent="0.55000000000000004">
      <c r="A37" s="101" t="s">
        <v>1215</v>
      </c>
      <c r="B37" s="61" t="s">
        <v>145</v>
      </c>
      <c r="C37" s="61" t="s">
        <v>156</v>
      </c>
      <c r="D37" s="61" t="s">
        <v>3288</v>
      </c>
      <c r="E37" s="119">
        <v>2.48</v>
      </c>
      <c r="F37" s="148" t="s">
        <v>122</v>
      </c>
      <c r="G37" s="148" t="s">
        <v>122</v>
      </c>
      <c r="H37" s="61" t="s">
        <v>39</v>
      </c>
      <c r="I37" s="61" t="s">
        <v>535</v>
      </c>
      <c r="J37" s="62" t="s">
        <v>1216</v>
      </c>
      <c r="K37" s="61" t="s">
        <v>831</v>
      </c>
      <c r="L37" s="159">
        <v>2807</v>
      </c>
      <c r="M37" s="48"/>
      <c r="N37" s="123"/>
    </row>
    <row r="38" spans="1:14" customFormat="1" x14ac:dyDescent="0.55000000000000004">
      <c r="A38" s="101" t="s">
        <v>1215</v>
      </c>
      <c r="B38" s="61" t="s">
        <v>505</v>
      </c>
      <c r="C38" s="61" t="s">
        <v>127</v>
      </c>
      <c r="D38" s="61" t="s">
        <v>2994</v>
      </c>
      <c r="E38" s="119">
        <v>2.5</v>
      </c>
      <c r="F38" s="148" t="s">
        <v>167</v>
      </c>
      <c r="G38" s="148" t="s">
        <v>122</v>
      </c>
      <c r="H38" s="61" t="s">
        <v>39</v>
      </c>
      <c r="I38" s="61" t="s">
        <v>535</v>
      </c>
      <c r="J38" s="62" t="s">
        <v>1216</v>
      </c>
      <c r="K38" s="61" t="s">
        <v>831</v>
      </c>
      <c r="L38" s="159"/>
      <c r="M38" s="48"/>
      <c r="N38" s="123"/>
    </row>
    <row r="39" spans="1:14" customFormat="1" x14ac:dyDescent="0.55000000000000004">
      <c r="A39" s="101" t="s">
        <v>1215</v>
      </c>
      <c r="B39" s="61" t="s">
        <v>153</v>
      </c>
      <c r="C39" s="61" t="s">
        <v>127</v>
      </c>
      <c r="D39" s="61" t="s">
        <v>2994</v>
      </c>
      <c r="E39" s="119">
        <v>8.51</v>
      </c>
      <c r="F39" s="148" t="s">
        <v>167</v>
      </c>
      <c r="G39" s="148" t="s">
        <v>122</v>
      </c>
      <c r="H39" s="61" t="s">
        <v>39</v>
      </c>
      <c r="I39" s="61" t="s">
        <v>535</v>
      </c>
      <c r="J39" s="62" t="s">
        <v>1216</v>
      </c>
      <c r="K39" s="61" t="s">
        <v>831</v>
      </c>
      <c r="L39" s="159"/>
      <c r="M39" s="48"/>
      <c r="N39" s="123"/>
    </row>
    <row r="40" spans="1:14" customFormat="1" x14ac:dyDescent="0.55000000000000004">
      <c r="A40" s="101" t="s">
        <v>1215</v>
      </c>
      <c r="B40" s="61" t="s">
        <v>213</v>
      </c>
      <c r="C40" s="61" t="s">
        <v>132</v>
      </c>
      <c r="D40" s="61" t="s">
        <v>3288</v>
      </c>
      <c r="E40" s="119">
        <v>2.71</v>
      </c>
      <c r="F40" s="148" t="s">
        <v>122</v>
      </c>
      <c r="G40" s="148" t="s">
        <v>122</v>
      </c>
      <c r="H40" s="61" t="s">
        <v>39</v>
      </c>
      <c r="I40" s="61" t="s">
        <v>535</v>
      </c>
      <c r="J40" s="62" t="s">
        <v>1216</v>
      </c>
      <c r="K40" s="61" t="s">
        <v>831</v>
      </c>
      <c r="L40" s="159"/>
      <c r="M40" s="48"/>
      <c r="N40" s="123"/>
    </row>
    <row r="41" spans="1:14" customFormat="1" x14ac:dyDescent="0.55000000000000004">
      <c r="A41" s="101" t="s">
        <v>1215</v>
      </c>
      <c r="B41" s="61" t="s">
        <v>1170</v>
      </c>
      <c r="C41" s="61" t="s">
        <v>125</v>
      </c>
      <c r="D41" s="61" t="s">
        <v>3288</v>
      </c>
      <c r="E41" s="119">
        <v>0.41099999999999998</v>
      </c>
      <c r="F41" s="148" t="s">
        <v>122</v>
      </c>
      <c r="G41" s="148" t="s">
        <v>122</v>
      </c>
      <c r="H41" s="61" t="s">
        <v>39</v>
      </c>
      <c r="I41" s="61" t="s">
        <v>535</v>
      </c>
      <c r="J41" s="62" t="s">
        <v>1216</v>
      </c>
      <c r="K41" s="61" t="s">
        <v>831</v>
      </c>
      <c r="L41" s="159"/>
      <c r="M41" s="48"/>
      <c r="N41" s="123"/>
    </row>
    <row r="42" spans="1:14" customFormat="1" x14ac:dyDescent="0.55000000000000004">
      <c r="A42" s="101" t="s">
        <v>1215</v>
      </c>
      <c r="B42" s="61" t="s">
        <v>1169</v>
      </c>
      <c r="C42" s="61" t="s">
        <v>125</v>
      </c>
      <c r="D42" s="61" t="s">
        <v>3288</v>
      </c>
      <c r="E42" s="119">
        <v>1.47</v>
      </c>
      <c r="F42" s="148" t="s">
        <v>122</v>
      </c>
      <c r="G42" s="148" t="s">
        <v>122</v>
      </c>
      <c r="H42" s="61" t="s">
        <v>39</v>
      </c>
      <c r="I42" s="61" t="s">
        <v>535</v>
      </c>
      <c r="J42" s="62" t="s">
        <v>1216</v>
      </c>
      <c r="K42" s="61" t="s">
        <v>831</v>
      </c>
      <c r="L42" s="159"/>
      <c r="M42" s="48"/>
      <c r="N42" s="123"/>
    </row>
    <row r="43" spans="1:14" customFormat="1" x14ac:dyDescent="0.55000000000000004">
      <c r="A43" s="101" t="s">
        <v>1215</v>
      </c>
      <c r="B43" t="s">
        <v>131</v>
      </c>
      <c r="C43" s="61" t="s">
        <v>132</v>
      </c>
      <c r="D43" s="61" t="s">
        <v>3288</v>
      </c>
      <c r="E43" s="119">
        <v>0.19400000000000001</v>
      </c>
      <c r="F43" s="148" t="s">
        <v>122</v>
      </c>
      <c r="G43" s="148" t="s">
        <v>122</v>
      </c>
      <c r="H43" s="61" t="s">
        <v>39</v>
      </c>
      <c r="I43" s="61" t="s">
        <v>535</v>
      </c>
      <c r="J43" s="62" t="s">
        <v>1216</v>
      </c>
      <c r="K43" s="61" t="s">
        <v>831</v>
      </c>
      <c r="L43" s="159"/>
      <c r="M43" s="48"/>
      <c r="N43" s="123"/>
    </row>
    <row r="44" spans="1:14" customFormat="1" x14ac:dyDescent="0.55000000000000004">
      <c r="A44" s="101" t="s">
        <v>1215</v>
      </c>
      <c r="B44" s="61" t="s">
        <v>1171</v>
      </c>
      <c r="C44" s="61" t="s">
        <v>348</v>
      </c>
      <c r="D44" s="61" t="s">
        <v>3288</v>
      </c>
      <c r="E44" s="119">
        <v>0.30299999999999999</v>
      </c>
      <c r="F44" s="148" t="s">
        <v>122</v>
      </c>
      <c r="G44" s="148" t="s">
        <v>122</v>
      </c>
      <c r="H44" s="61" t="s">
        <v>39</v>
      </c>
      <c r="I44" s="61" t="s">
        <v>535</v>
      </c>
      <c r="J44" s="62" t="s">
        <v>1216</v>
      </c>
      <c r="K44" s="61" t="s">
        <v>831</v>
      </c>
      <c r="L44" s="159"/>
      <c r="M44" s="48"/>
      <c r="N44" s="123"/>
    </row>
    <row r="45" spans="1:14" customFormat="1" x14ac:dyDescent="0.55000000000000004">
      <c r="A45" s="101" t="s">
        <v>1215</v>
      </c>
      <c r="B45" s="61" t="s">
        <v>154</v>
      </c>
      <c r="C45" s="61" t="s">
        <v>132</v>
      </c>
      <c r="D45" s="61" t="s">
        <v>3288</v>
      </c>
      <c r="E45" s="119">
        <v>0.54500000000000004</v>
      </c>
      <c r="F45" s="148" t="s">
        <v>122</v>
      </c>
      <c r="G45" s="148" t="s">
        <v>122</v>
      </c>
      <c r="H45" s="61" t="s">
        <v>39</v>
      </c>
      <c r="I45" s="61" t="s">
        <v>535</v>
      </c>
      <c r="J45" s="62" t="s">
        <v>1216</v>
      </c>
      <c r="K45" s="61" t="s">
        <v>831</v>
      </c>
      <c r="L45" s="159"/>
      <c r="M45" s="48"/>
      <c r="N45" s="123"/>
    </row>
    <row r="46" spans="1:14" customFormat="1" x14ac:dyDescent="0.55000000000000004">
      <c r="A46" s="101" t="s">
        <v>1215</v>
      </c>
      <c r="B46" s="61" t="s">
        <v>160</v>
      </c>
      <c r="C46" s="61" t="s">
        <v>124</v>
      </c>
      <c r="D46" s="61" t="s">
        <v>3288</v>
      </c>
      <c r="E46" s="119">
        <v>0.28499999999999998</v>
      </c>
      <c r="F46" s="148" t="s">
        <v>122</v>
      </c>
      <c r="G46" s="148" t="s">
        <v>122</v>
      </c>
      <c r="H46" s="61" t="s">
        <v>39</v>
      </c>
      <c r="I46" s="61" t="s">
        <v>535</v>
      </c>
      <c r="J46" s="62" t="s">
        <v>1216</v>
      </c>
      <c r="K46" s="61" t="s">
        <v>831</v>
      </c>
      <c r="L46" s="159"/>
      <c r="M46" s="48"/>
      <c r="N46" s="123"/>
    </row>
    <row r="47" spans="1:14" customFormat="1" x14ac:dyDescent="0.55000000000000004">
      <c r="A47" s="101" t="s">
        <v>1215</v>
      </c>
      <c r="B47" s="61" t="s">
        <v>1211</v>
      </c>
      <c r="C47" s="61" t="s">
        <v>156</v>
      </c>
      <c r="D47" s="61" t="s">
        <v>3288</v>
      </c>
      <c r="E47" s="119">
        <v>0.254</v>
      </c>
      <c r="F47" s="148" t="s">
        <v>122</v>
      </c>
      <c r="G47" s="148" t="s">
        <v>122</v>
      </c>
      <c r="H47" s="61" t="s">
        <v>39</v>
      </c>
      <c r="I47" s="61" t="s">
        <v>535</v>
      </c>
      <c r="J47" s="62" t="s">
        <v>1216</v>
      </c>
      <c r="K47" s="61" t="s">
        <v>831</v>
      </c>
      <c r="L47" s="159">
        <v>2807</v>
      </c>
      <c r="M47" s="48"/>
      <c r="N47" s="123"/>
    </row>
    <row r="48" spans="1:14" customFormat="1" x14ac:dyDescent="0.55000000000000004">
      <c r="A48" s="101" t="s">
        <v>1215</v>
      </c>
      <c r="B48" s="61" t="s">
        <v>394</v>
      </c>
      <c r="C48" s="61" t="s">
        <v>156</v>
      </c>
      <c r="D48" s="61" t="s">
        <v>3288</v>
      </c>
      <c r="E48" s="119">
        <v>0.30299999999999999</v>
      </c>
      <c r="F48" s="148" t="s">
        <v>122</v>
      </c>
      <c r="G48" s="148" t="s">
        <v>122</v>
      </c>
      <c r="H48" s="61" t="s">
        <v>39</v>
      </c>
      <c r="I48" s="61" t="s">
        <v>535</v>
      </c>
      <c r="J48" s="62" t="s">
        <v>1216</v>
      </c>
      <c r="K48" s="61" t="s">
        <v>831</v>
      </c>
      <c r="L48" s="159">
        <v>2520</v>
      </c>
      <c r="M48" s="48"/>
      <c r="N48" s="123"/>
    </row>
    <row r="49" spans="1:14" customFormat="1" x14ac:dyDescent="0.55000000000000004">
      <c r="A49" s="101" t="s">
        <v>1215</v>
      </c>
      <c r="B49" s="61" t="s">
        <v>735</v>
      </c>
      <c r="C49" s="61" t="s">
        <v>163</v>
      </c>
      <c r="D49" s="61" t="s">
        <v>3288</v>
      </c>
      <c r="E49" s="119">
        <v>1.85</v>
      </c>
      <c r="F49" s="148" t="s">
        <v>122</v>
      </c>
      <c r="G49" s="148" t="s">
        <v>122</v>
      </c>
      <c r="H49" s="61" t="s">
        <v>39</v>
      </c>
      <c r="I49" s="61" t="s">
        <v>535</v>
      </c>
      <c r="J49" s="62" t="s">
        <v>1216</v>
      </c>
      <c r="K49" s="61" t="s">
        <v>831</v>
      </c>
      <c r="L49" s="159"/>
      <c r="M49" s="48"/>
      <c r="N49" s="123"/>
    </row>
    <row r="50" spans="1:14" customFormat="1" x14ac:dyDescent="0.55000000000000004">
      <c r="A50" s="101" t="s">
        <v>1212</v>
      </c>
      <c r="B50" s="61" t="s">
        <v>1166</v>
      </c>
      <c r="C50" s="61" t="s">
        <v>121</v>
      </c>
      <c r="D50" s="61" t="s">
        <v>3288</v>
      </c>
      <c r="E50" s="119">
        <v>1</v>
      </c>
      <c r="F50" s="148" t="s">
        <v>122</v>
      </c>
      <c r="G50" s="148">
        <v>1</v>
      </c>
      <c r="H50" s="61" t="s">
        <v>39</v>
      </c>
      <c r="I50" s="61" t="s">
        <v>535</v>
      </c>
      <c r="J50" s="62" t="s">
        <v>1213</v>
      </c>
      <c r="K50" s="61" t="s">
        <v>831</v>
      </c>
      <c r="L50" s="159">
        <v>7402</v>
      </c>
      <c r="M50" s="48"/>
      <c r="N50" s="123"/>
    </row>
    <row r="51" spans="1:14" customFormat="1" x14ac:dyDescent="0.55000000000000004">
      <c r="A51" s="101" t="s">
        <v>1212</v>
      </c>
      <c r="B51" s="61" t="s">
        <v>1210</v>
      </c>
      <c r="C51" s="61" t="s">
        <v>125</v>
      </c>
      <c r="D51" s="61" t="s">
        <v>3288</v>
      </c>
      <c r="E51" s="119">
        <v>3.57</v>
      </c>
      <c r="F51" s="148" t="s">
        <v>122</v>
      </c>
      <c r="G51" s="148" t="s">
        <v>122</v>
      </c>
      <c r="H51" s="61" t="s">
        <v>39</v>
      </c>
      <c r="I51" s="61" t="s">
        <v>535</v>
      </c>
      <c r="J51" s="62" t="s">
        <v>1213</v>
      </c>
      <c r="K51" s="61" t="s">
        <v>831</v>
      </c>
      <c r="L51" s="159"/>
      <c r="M51" s="48"/>
      <c r="N51" s="123"/>
    </row>
    <row r="52" spans="1:14" customFormat="1" x14ac:dyDescent="0.55000000000000004">
      <c r="A52" s="101" t="s">
        <v>1212</v>
      </c>
      <c r="B52" s="61" t="s">
        <v>145</v>
      </c>
      <c r="C52" s="61" t="s">
        <v>156</v>
      </c>
      <c r="D52" s="61" t="s">
        <v>3288</v>
      </c>
      <c r="E52" s="119">
        <v>2.2000000000000002</v>
      </c>
      <c r="F52" s="148" t="s">
        <v>122</v>
      </c>
      <c r="G52" s="148" t="s">
        <v>122</v>
      </c>
      <c r="H52" s="61" t="s">
        <v>39</v>
      </c>
      <c r="I52" s="61" t="s">
        <v>535</v>
      </c>
      <c r="J52" s="62" t="s">
        <v>1213</v>
      </c>
      <c r="K52" s="61" t="s">
        <v>831</v>
      </c>
      <c r="L52" s="159">
        <v>2807</v>
      </c>
      <c r="M52" s="48"/>
      <c r="N52" s="123"/>
    </row>
    <row r="53" spans="1:14" customFormat="1" x14ac:dyDescent="0.55000000000000004">
      <c r="A53" s="101" t="s">
        <v>1212</v>
      </c>
      <c r="B53" s="61" t="s">
        <v>505</v>
      </c>
      <c r="C53" s="61" t="s">
        <v>127</v>
      </c>
      <c r="D53" s="61" t="s">
        <v>2994</v>
      </c>
      <c r="E53" s="119">
        <v>1.52</v>
      </c>
      <c r="F53" s="148" t="s">
        <v>167</v>
      </c>
      <c r="G53" s="148" t="s">
        <v>122</v>
      </c>
      <c r="H53" s="61" t="s">
        <v>39</v>
      </c>
      <c r="I53" s="61" t="s">
        <v>535</v>
      </c>
      <c r="J53" s="62" t="s">
        <v>1213</v>
      </c>
      <c r="K53" s="61" t="s">
        <v>831</v>
      </c>
      <c r="L53" s="159"/>
      <c r="M53" s="48"/>
      <c r="N53" s="123"/>
    </row>
    <row r="54" spans="1:14" customFormat="1" x14ac:dyDescent="0.55000000000000004">
      <c r="A54" s="101" t="s">
        <v>1212</v>
      </c>
      <c r="B54" s="61" t="s">
        <v>153</v>
      </c>
      <c r="C54" s="61" t="s">
        <v>127</v>
      </c>
      <c r="D54" s="61" t="s">
        <v>2994</v>
      </c>
      <c r="E54" s="119">
        <v>9.27</v>
      </c>
      <c r="F54" s="148" t="s">
        <v>167</v>
      </c>
      <c r="G54" s="148" t="s">
        <v>122</v>
      </c>
      <c r="H54" s="61" t="s">
        <v>39</v>
      </c>
      <c r="I54" s="61" t="s">
        <v>535</v>
      </c>
      <c r="J54" s="62" t="s">
        <v>1213</v>
      </c>
      <c r="K54" s="61" t="s">
        <v>831</v>
      </c>
      <c r="L54" s="159"/>
      <c r="M54" s="48"/>
      <c r="N54" s="123"/>
    </row>
    <row r="55" spans="1:14" customFormat="1" x14ac:dyDescent="0.55000000000000004">
      <c r="A55" s="101" t="s">
        <v>1212</v>
      </c>
      <c r="B55" s="61" t="s">
        <v>1169</v>
      </c>
      <c r="C55" s="61" t="s">
        <v>125</v>
      </c>
      <c r="D55" s="61" t="s">
        <v>3288</v>
      </c>
      <c r="E55" s="119">
        <v>0.90900000000000003</v>
      </c>
      <c r="F55" s="148" t="s">
        <v>122</v>
      </c>
      <c r="G55" s="148" t="s">
        <v>122</v>
      </c>
      <c r="H55" s="61" t="s">
        <v>39</v>
      </c>
      <c r="I55" s="61" t="s">
        <v>535</v>
      </c>
      <c r="J55" s="62" t="s">
        <v>1213</v>
      </c>
      <c r="K55" s="61" t="s">
        <v>831</v>
      </c>
      <c r="L55" s="159"/>
      <c r="M55" s="48"/>
      <c r="N55" s="123"/>
    </row>
    <row r="56" spans="1:14" customFormat="1" x14ac:dyDescent="0.55000000000000004">
      <c r="A56" s="101" t="s">
        <v>1212</v>
      </c>
      <c r="B56" s="61" t="s">
        <v>213</v>
      </c>
      <c r="C56" s="61" t="s">
        <v>132</v>
      </c>
      <c r="D56" s="61" t="s">
        <v>3288</v>
      </c>
      <c r="E56" s="119">
        <v>1.78</v>
      </c>
      <c r="F56" s="148" t="s">
        <v>122</v>
      </c>
      <c r="G56" s="148" t="s">
        <v>122</v>
      </c>
      <c r="H56" s="61" t="s">
        <v>39</v>
      </c>
      <c r="I56" s="61" t="s">
        <v>535</v>
      </c>
      <c r="J56" s="62" t="s">
        <v>1213</v>
      </c>
      <c r="K56" s="61" t="s">
        <v>831</v>
      </c>
      <c r="L56" s="159"/>
      <c r="M56" s="48"/>
      <c r="N56" s="123"/>
    </row>
    <row r="57" spans="1:14" customFormat="1" x14ac:dyDescent="0.55000000000000004">
      <c r="A57" s="101" t="s">
        <v>1212</v>
      </c>
      <c r="B57" s="61" t="s">
        <v>1170</v>
      </c>
      <c r="C57" s="61" t="s">
        <v>125</v>
      </c>
      <c r="D57" s="61" t="s">
        <v>3288</v>
      </c>
      <c r="E57" s="119">
        <v>0.35</v>
      </c>
      <c r="F57" s="148" t="s">
        <v>122</v>
      </c>
      <c r="G57" s="148" t="s">
        <v>122</v>
      </c>
      <c r="H57" s="61" t="s">
        <v>39</v>
      </c>
      <c r="I57" s="61" t="s">
        <v>535</v>
      </c>
      <c r="J57" s="62" t="s">
        <v>1213</v>
      </c>
      <c r="K57" s="61" t="s">
        <v>831</v>
      </c>
      <c r="L57" s="159"/>
      <c r="M57" s="48"/>
      <c r="N57" s="123"/>
    </row>
    <row r="58" spans="1:14" customFormat="1" x14ac:dyDescent="0.55000000000000004">
      <c r="A58" s="101" t="s">
        <v>1212</v>
      </c>
      <c r="B58" t="s">
        <v>131</v>
      </c>
      <c r="C58" s="61" t="s">
        <v>132</v>
      </c>
      <c r="D58" s="61" t="s">
        <v>3288</v>
      </c>
      <c r="E58" s="119">
        <v>0.18</v>
      </c>
      <c r="F58" s="148" t="s">
        <v>122</v>
      </c>
      <c r="G58" s="148" t="s">
        <v>122</v>
      </c>
      <c r="H58" s="61" t="s">
        <v>39</v>
      </c>
      <c r="I58" s="61" t="s">
        <v>535</v>
      </c>
      <c r="J58" s="62" t="s">
        <v>1213</v>
      </c>
      <c r="K58" s="61" t="s">
        <v>831</v>
      </c>
      <c r="L58" s="159"/>
      <c r="M58" s="48"/>
      <c r="N58" s="123"/>
    </row>
    <row r="59" spans="1:14" customFormat="1" x14ac:dyDescent="0.55000000000000004">
      <c r="A59" s="101" t="s">
        <v>1212</v>
      </c>
      <c r="B59" s="61" t="s">
        <v>1171</v>
      </c>
      <c r="C59" s="61" t="s">
        <v>348</v>
      </c>
      <c r="D59" s="61" t="s">
        <v>3288</v>
      </c>
      <c r="E59" s="119">
        <v>0.11</v>
      </c>
      <c r="F59" s="148" t="s">
        <v>122</v>
      </c>
      <c r="G59" s="148" t="s">
        <v>122</v>
      </c>
      <c r="H59" s="61" t="s">
        <v>39</v>
      </c>
      <c r="I59" s="61" t="s">
        <v>535</v>
      </c>
      <c r="J59" s="62" t="s">
        <v>1213</v>
      </c>
      <c r="K59" s="61" t="s">
        <v>831</v>
      </c>
      <c r="L59" s="159"/>
      <c r="M59" s="48"/>
      <c r="N59" s="123"/>
    </row>
    <row r="60" spans="1:14" customFormat="1" x14ac:dyDescent="0.55000000000000004">
      <c r="A60" s="101" t="s">
        <v>1212</v>
      </c>
      <c r="B60" s="61" t="s">
        <v>154</v>
      </c>
      <c r="C60" s="61" t="s">
        <v>132</v>
      </c>
      <c r="D60" s="61" t="s">
        <v>3288</v>
      </c>
      <c r="E60" s="119">
        <v>0.49</v>
      </c>
      <c r="F60" s="148" t="s">
        <v>122</v>
      </c>
      <c r="G60" s="148" t="s">
        <v>122</v>
      </c>
      <c r="H60" s="61" t="s">
        <v>39</v>
      </c>
      <c r="I60" s="61" t="s">
        <v>535</v>
      </c>
      <c r="J60" s="62" t="s">
        <v>1213</v>
      </c>
      <c r="K60" s="61" t="s">
        <v>831</v>
      </c>
      <c r="L60" s="159"/>
      <c r="M60" s="48"/>
      <c r="N60" s="123"/>
    </row>
    <row r="61" spans="1:14" customFormat="1" x14ac:dyDescent="0.55000000000000004">
      <c r="A61" s="101" t="s">
        <v>1212</v>
      </c>
      <c r="B61" s="61" t="s">
        <v>1172</v>
      </c>
      <c r="C61" s="61" t="s">
        <v>124</v>
      </c>
      <c r="D61" s="61" t="s">
        <v>3288</v>
      </c>
      <c r="E61" s="119">
        <v>0.19</v>
      </c>
      <c r="F61" s="148" t="s">
        <v>122</v>
      </c>
      <c r="G61" s="148" t="s">
        <v>122</v>
      </c>
      <c r="H61" s="61" t="s">
        <v>39</v>
      </c>
      <c r="I61" s="61" t="s">
        <v>535</v>
      </c>
      <c r="J61" s="62" t="s">
        <v>1213</v>
      </c>
      <c r="K61" s="61" t="s">
        <v>831</v>
      </c>
      <c r="L61" s="159"/>
      <c r="M61" s="48"/>
      <c r="N61" s="123"/>
    </row>
    <row r="62" spans="1:14" customFormat="1" x14ac:dyDescent="0.55000000000000004">
      <c r="A62" s="101" t="s">
        <v>1212</v>
      </c>
      <c r="B62" s="61" t="s">
        <v>160</v>
      </c>
      <c r="C62" s="61" t="s">
        <v>124</v>
      </c>
      <c r="D62" s="61" t="s">
        <v>3288</v>
      </c>
      <c r="E62" s="119">
        <v>0.21</v>
      </c>
      <c r="F62" s="148" t="s">
        <v>122</v>
      </c>
      <c r="G62" s="148" t="s">
        <v>122</v>
      </c>
      <c r="H62" s="61" t="s">
        <v>39</v>
      </c>
      <c r="I62" s="61" t="s">
        <v>535</v>
      </c>
      <c r="J62" s="62" t="s">
        <v>1213</v>
      </c>
      <c r="K62" s="61" t="s">
        <v>831</v>
      </c>
      <c r="L62" s="159"/>
      <c r="M62" s="48"/>
      <c r="N62" s="123"/>
    </row>
    <row r="63" spans="1:14" customFormat="1" x14ac:dyDescent="0.55000000000000004">
      <c r="A63" s="101" t="s">
        <v>1212</v>
      </c>
      <c r="B63" s="61" t="s">
        <v>1211</v>
      </c>
      <c r="C63" s="61" t="s">
        <v>156</v>
      </c>
      <c r="D63" s="61" t="s">
        <v>3288</v>
      </c>
      <c r="E63" s="119">
        <v>0.3</v>
      </c>
      <c r="F63" s="148" t="s">
        <v>122</v>
      </c>
      <c r="G63" s="148" t="s">
        <v>122</v>
      </c>
      <c r="H63" s="61" t="s">
        <v>39</v>
      </c>
      <c r="I63" s="61" t="s">
        <v>535</v>
      </c>
      <c r="J63" s="62" t="s">
        <v>1213</v>
      </c>
      <c r="K63" s="61" t="s">
        <v>831</v>
      </c>
      <c r="L63" s="159">
        <v>2807</v>
      </c>
      <c r="M63" s="48"/>
      <c r="N63" s="123"/>
    </row>
    <row r="64" spans="1:14" customFormat="1" x14ac:dyDescent="0.55000000000000004">
      <c r="A64" s="101" t="s">
        <v>1212</v>
      </c>
      <c r="B64" s="61" t="s">
        <v>394</v>
      </c>
      <c r="C64" s="61" t="s">
        <v>156</v>
      </c>
      <c r="D64" s="61" t="s">
        <v>3288</v>
      </c>
      <c r="E64" s="119">
        <v>0.8</v>
      </c>
      <c r="F64" s="148" t="s">
        <v>122</v>
      </c>
      <c r="G64" s="148" t="s">
        <v>122</v>
      </c>
      <c r="H64" s="61" t="s">
        <v>39</v>
      </c>
      <c r="I64" s="61" t="s">
        <v>535</v>
      </c>
      <c r="J64" s="62" t="s">
        <v>1213</v>
      </c>
      <c r="K64" s="61" t="s">
        <v>831</v>
      </c>
      <c r="L64" s="159">
        <v>2520</v>
      </c>
      <c r="M64" s="48"/>
      <c r="N64" s="123"/>
    </row>
    <row r="65" spans="1:14" customFormat="1" x14ac:dyDescent="0.55000000000000004">
      <c r="A65" s="101" t="s">
        <v>1212</v>
      </c>
      <c r="B65" s="61" t="s">
        <v>735</v>
      </c>
      <c r="C65" s="61" t="s">
        <v>163</v>
      </c>
      <c r="D65" s="61" t="s">
        <v>3288</v>
      </c>
      <c r="E65" s="119">
        <v>1.91</v>
      </c>
      <c r="F65" s="148" t="s">
        <v>122</v>
      </c>
      <c r="G65" s="148" t="s">
        <v>122</v>
      </c>
      <c r="H65" s="61" t="s">
        <v>39</v>
      </c>
      <c r="I65" s="61" t="s">
        <v>535</v>
      </c>
      <c r="J65" s="62" t="s">
        <v>1213</v>
      </c>
      <c r="K65" s="61" t="s">
        <v>831</v>
      </c>
      <c r="L65" s="159"/>
      <c r="M65" s="48"/>
      <c r="N65" s="123"/>
    </row>
    <row r="66" spans="1:14" customFormat="1" x14ac:dyDescent="0.55000000000000004">
      <c r="A66" s="101" t="s">
        <v>1208</v>
      </c>
      <c r="B66" s="61" t="s">
        <v>1166</v>
      </c>
      <c r="C66" s="61" t="s">
        <v>121</v>
      </c>
      <c r="D66" s="61" t="s">
        <v>3288</v>
      </c>
      <c r="E66" s="119">
        <v>1</v>
      </c>
      <c r="F66" s="148" t="s">
        <v>122</v>
      </c>
      <c r="G66" s="148">
        <v>1</v>
      </c>
      <c r="H66" s="61" t="s">
        <v>39</v>
      </c>
      <c r="I66" s="61" t="s">
        <v>535</v>
      </c>
      <c r="J66" s="62" t="s">
        <v>1209</v>
      </c>
      <c r="K66" s="61" t="s">
        <v>831</v>
      </c>
      <c r="L66" s="159">
        <v>7402</v>
      </c>
      <c r="M66" s="48"/>
      <c r="N66" s="123"/>
    </row>
    <row r="67" spans="1:14" customFormat="1" x14ac:dyDescent="0.55000000000000004">
      <c r="A67" s="101" t="s">
        <v>1208</v>
      </c>
      <c r="B67" s="61" t="s">
        <v>1210</v>
      </c>
      <c r="C67" s="61" t="s">
        <v>125</v>
      </c>
      <c r="D67" s="61" t="s">
        <v>3288</v>
      </c>
      <c r="E67" s="119">
        <v>3.57</v>
      </c>
      <c r="F67" s="148" t="s">
        <v>122</v>
      </c>
      <c r="G67" s="148" t="s">
        <v>122</v>
      </c>
      <c r="H67" s="61" t="s">
        <v>39</v>
      </c>
      <c r="I67" s="61" t="s">
        <v>535</v>
      </c>
      <c r="J67" s="62" t="s">
        <v>1209</v>
      </c>
      <c r="K67" s="61" t="s">
        <v>831</v>
      </c>
      <c r="L67" s="159"/>
      <c r="M67" s="48"/>
      <c r="N67" s="123"/>
    </row>
    <row r="68" spans="1:14" customFormat="1" x14ac:dyDescent="0.55000000000000004">
      <c r="A68" s="101" t="s">
        <v>1208</v>
      </c>
      <c r="B68" s="61" t="s">
        <v>145</v>
      </c>
      <c r="C68" s="61" t="s">
        <v>156</v>
      </c>
      <c r="D68" s="61" t="s">
        <v>3288</v>
      </c>
      <c r="E68" s="119">
        <v>2.2000000000000002</v>
      </c>
      <c r="F68" s="148" t="s">
        <v>122</v>
      </c>
      <c r="G68" s="148" t="s">
        <v>122</v>
      </c>
      <c r="H68" s="61" t="s">
        <v>39</v>
      </c>
      <c r="I68" s="61" t="s">
        <v>535</v>
      </c>
      <c r="J68" s="62" t="s">
        <v>1209</v>
      </c>
      <c r="K68" s="61" t="s">
        <v>831</v>
      </c>
      <c r="L68" s="159"/>
      <c r="M68" s="48"/>
      <c r="N68" s="123"/>
    </row>
    <row r="69" spans="1:14" customFormat="1" x14ac:dyDescent="0.55000000000000004">
      <c r="A69" s="101" t="s">
        <v>1208</v>
      </c>
      <c r="B69" s="61" t="s">
        <v>334</v>
      </c>
      <c r="C69" s="61" t="s">
        <v>294</v>
      </c>
      <c r="D69" s="61" t="s">
        <v>3288</v>
      </c>
      <c r="E69" s="119">
        <v>2.4299999999999999E-2</v>
      </c>
      <c r="F69" s="148" t="s">
        <v>122</v>
      </c>
      <c r="G69" s="148" t="s">
        <v>122</v>
      </c>
      <c r="H69" s="61" t="s">
        <v>39</v>
      </c>
      <c r="I69" s="61" t="s">
        <v>535</v>
      </c>
      <c r="J69" s="62" t="s">
        <v>1209</v>
      </c>
      <c r="K69" s="61" t="s">
        <v>831</v>
      </c>
      <c r="L69" s="159"/>
      <c r="M69" s="48"/>
      <c r="N69" s="123"/>
    </row>
    <row r="70" spans="1:14" customFormat="1" x14ac:dyDescent="0.55000000000000004">
      <c r="A70" s="101" t="s">
        <v>1208</v>
      </c>
      <c r="B70" s="61" t="s">
        <v>153</v>
      </c>
      <c r="C70" s="61" t="s">
        <v>127</v>
      </c>
      <c r="D70" s="61" t="s">
        <v>2994</v>
      </c>
      <c r="E70" s="119">
        <v>9.27</v>
      </c>
      <c r="F70" s="148" t="s">
        <v>167</v>
      </c>
      <c r="G70" s="148" t="s">
        <v>122</v>
      </c>
      <c r="H70" s="61" t="s">
        <v>39</v>
      </c>
      <c r="I70" s="61" t="s">
        <v>535</v>
      </c>
      <c r="J70" s="62" t="s">
        <v>1209</v>
      </c>
      <c r="K70" s="61" t="s">
        <v>831</v>
      </c>
      <c r="L70" s="159"/>
      <c r="M70" s="48"/>
      <c r="N70" s="123"/>
    </row>
    <row r="71" spans="1:14" customFormat="1" x14ac:dyDescent="0.55000000000000004">
      <c r="A71" s="101" t="s">
        <v>1208</v>
      </c>
      <c r="B71" s="61" t="s">
        <v>1169</v>
      </c>
      <c r="C71" s="61" t="s">
        <v>125</v>
      </c>
      <c r="D71" s="61" t="s">
        <v>3288</v>
      </c>
      <c r="E71" s="119">
        <v>0.90900000000000003</v>
      </c>
      <c r="F71" s="148" t="s">
        <v>122</v>
      </c>
      <c r="G71" s="148" t="s">
        <v>122</v>
      </c>
      <c r="H71" s="61" t="s">
        <v>39</v>
      </c>
      <c r="I71" s="61" t="s">
        <v>535</v>
      </c>
      <c r="J71" s="62" t="s">
        <v>1209</v>
      </c>
      <c r="K71" s="61" t="s">
        <v>831</v>
      </c>
      <c r="L71" s="159"/>
      <c r="M71" s="48"/>
      <c r="N71" s="123"/>
    </row>
    <row r="72" spans="1:14" customFormat="1" x14ac:dyDescent="0.55000000000000004">
      <c r="A72" s="101" t="s">
        <v>1208</v>
      </c>
      <c r="B72" s="61" t="s">
        <v>213</v>
      </c>
      <c r="C72" s="61" t="s">
        <v>132</v>
      </c>
      <c r="D72" s="61" t="s">
        <v>3288</v>
      </c>
      <c r="E72" s="119">
        <v>1.78</v>
      </c>
      <c r="F72" s="148" t="s">
        <v>122</v>
      </c>
      <c r="G72" s="148" t="s">
        <v>122</v>
      </c>
      <c r="H72" s="61" t="s">
        <v>39</v>
      </c>
      <c r="I72" s="61" t="s">
        <v>535</v>
      </c>
      <c r="J72" s="62" t="s">
        <v>1209</v>
      </c>
      <c r="K72" s="61" t="s">
        <v>831</v>
      </c>
      <c r="L72" s="159"/>
      <c r="M72" s="48"/>
      <c r="N72" s="123"/>
    </row>
    <row r="73" spans="1:14" customFormat="1" x14ac:dyDescent="0.55000000000000004">
      <c r="A73" s="101" t="s">
        <v>1208</v>
      </c>
      <c r="B73" s="61" t="s">
        <v>1170</v>
      </c>
      <c r="C73" s="61" t="s">
        <v>125</v>
      </c>
      <c r="D73" s="61" t="s">
        <v>3288</v>
      </c>
      <c r="E73" s="119">
        <v>0.35</v>
      </c>
      <c r="F73" s="148" t="s">
        <v>122</v>
      </c>
      <c r="G73" s="148" t="s">
        <v>122</v>
      </c>
      <c r="H73" s="61" t="s">
        <v>39</v>
      </c>
      <c r="I73" s="61" t="s">
        <v>535</v>
      </c>
      <c r="J73" s="62" t="s">
        <v>1209</v>
      </c>
      <c r="K73" s="61" t="s">
        <v>831</v>
      </c>
      <c r="L73" s="159"/>
      <c r="M73" s="48"/>
      <c r="N73" s="123"/>
    </row>
    <row r="74" spans="1:14" customFormat="1" x14ac:dyDescent="0.55000000000000004">
      <c r="A74" s="101" t="s">
        <v>1208</v>
      </c>
      <c r="B74" s="61" t="s">
        <v>1171</v>
      </c>
      <c r="C74" s="61" t="s">
        <v>348</v>
      </c>
      <c r="D74" s="61" t="s">
        <v>3288</v>
      </c>
      <c r="E74" s="119">
        <v>0.11</v>
      </c>
      <c r="F74" s="148" t="s">
        <v>122</v>
      </c>
      <c r="G74" s="148" t="s">
        <v>122</v>
      </c>
      <c r="H74" s="61" t="s">
        <v>39</v>
      </c>
      <c r="I74" s="61" t="s">
        <v>535</v>
      </c>
      <c r="J74" s="62" t="s">
        <v>1209</v>
      </c>
      <c r="K74" s="61" t="s">
        <v>831</v>
      </c>
      <c r="L74" s="159"/>
      <c r="M74" s="48"/>
      <c r="N74" s="123"/>
    </row>
    <row r="75" spans="1:14" customFormat="1" x14ac:dyDescent="0.55000000000000004">
      <c r="A75" s="101" t="s">
        <v>1208</v>
      </c>
      <c r="B75" s="61" t="s">
        <v>154</v>
      </c>
      <c r="C75" s="61" t="s">
        <v>132</v>
      </c>
      <c r="D75" s="61" t="s">
        <v>3288</v>
      </c>
      <c r="E75" s="119">
        <v>0.49</v>
      </c>
      <c r="F75" s="148" t="s">
        <v>122</v>
      </c>
      <c r="G75" s="148" t="s">
        <v>122</v>
      </c>
      <c r="H75" s="61" t="s">
        <v>39</v>
      </c>
      <c r="I75" s="61" t="s">
        <v>535</v>
      </c>
      <c r="J75" s="62" t="s">
        <v>1209</v>
      </c>
      <c r="K75" s="61" t="s">
        <v>831</v>
      </c>
      <c r="L75" s="159"/>
      <c r="M75" s="48"/>
      <c r="N75" s="123"/>
    </row>
    <row r="76" spans="1:14" customFormat="1" x14ac:dyDescent="0.55000000000000004">
      <c r="A76" s="101" t="s">
        <v>1208</v>
      </c>
      <c r="B76" s="61" t="s">
        <v>1172</v>
      </c>
      <c r="C76" s="61" t="s">
        <v>124</v>
      </c>
      <c r="D76" s="61" t="s">
        <v>3288</v>
      </c>
      <c r="E76" s="119">
        <v>0.19</v>
      </c>
      <c r="F76" s="148" t="s">
        <v>122</v>
      </c>
      <c r="G76" s="148" t="s">
        <v>122</v>
      </c>
      <c r="H76" s="61" t="s">
        <v>39</v>
      </c>
      <c r="I76" s="61" t="s">
        <v>535</v>
      </c>
      <c r="J76" s="62" t="s">
        <v>1209</v>
      </c>
      <c r="K76" s="61" t="s">
        <v>831</v>
      </c>
      <c r="L76" s="159"/>
      <c r="M76" s="48"/>
      <c r="N76" s="123"/>
    </row>
    <row r="77" spans="1:14" customFormat="1" x14ac:dyDescent="0.55000000000000004">
      <c r="A77" s="101" t="s">
        <v>1208</v>
      </c>
      <c r="B77" s="61" t="s">
        <v>154</v>
      </c>
      <c r="C77" s="61" t="s">
        <v>156</v>
      </c>
      <c r="D77" s="61" t="s">
        <v>3288</v>
      </c>
      <c r="E77" s="119">
        <v>1.8</v>
      </c>
      <c r="F77" s="148" t="s">
        <v>122</v>
      </c>
      <c r="G77" s="148" t="s">
        <v>122</v>
      </c>
      <c r="H77" s="61" t="s">
        <v>39</v>
      </c>
      <c r="I77" s="61" t="s">
        <v>535</v>
      </c>
      <c r="J77" s="62" t="s">
        <v>1209</v>
      </c>
      <c r="K77" s="61" t="s">
        <v>831</v>
      </c>
      <c r="L77" s="159"/>
      <c r="M77" s="48"/>
      <c r="N77" s="123"/>
    </row>
    <row r="78" spans="1:14" customFormat="1" x14ac:dyDescent="0.55000000000000004">
      <c r="A78" s="101" t="s">
        <v>1208</v>
      </c>
      <c r="B78" s="61" t="s">
        <v>1211</v>
      </c>
      <c r="C78" s="61" t="s">
        <v>156</v>
      </c>
      <c r="D78" s="61" t="s">
        <v>3288</v>
      </c>
      <c r="E78" s="119">
        <v>0.3</v>
      </c>
      <c r="F78" s="148" t="s">
        <v>122</v>
      </c>
      <c r="G78" s="148" t="s">
        <v>122</v>
      </c>
      <c r="H78" s="61" t="s">
        <v>39</v>
      </c>
      <c r="I78" s="61" t="s">
        <v>535</v>
      </c>
      <c r="J78" s="62" t="s">
        <v>1209</v>
      </c>
      <c r="K78" s="61" t="s">
        <v>831</v>
      </c>
      <c r="L78" s="159">
        <v>2807</v>
      </c>
      <c r="M78" s="48"/>
      <c r="N78" s="123"/>
    </row>
    <row r="79" spans="1:14" customFormat="1" x14ac:dyDescent="0.55000000000000004">
      <c r="A79" s="101" t="s">
        <v>1208</v>
      </c>
      <c r="B79" s="61" t="s">
        <v>394</v>
      </c>
      <c r="C79" s="61" t="s">
        <v>156</v>
      </c>
      <c r="D79" s="61" t="s">
        <v>3288</v>
      </c>
      <c r="E79" s="119">
        <v>0.8</v>
      </c>
      <c r="F79" s="148" t="s">
        <v>122</v>
      </c>
      <c r="G79" s="148" t="s">
        <v>122</v>
      </c>
      <c r="H79" s="61" t="s">
        <v>39</v>
      </c>
      <c r="I79" s="61" t="s">
        <v>535</v>
      </c>
      <c r="J79" s="62" t="s">
        <v>1209</v>
      </c>
      <c r="K79" s="61" t="s">
        <v>831</v>
      </c>
      <c r="L79" s="159">
        <v>2520</v>
      </c>
      <c r="M79" s="48"/>
      <c r="N79" s="123"/>
    </row>
    <row r="80" spans="1:14" customFormat="1" x14ac:dyDescent="0.55000000000000004">
      <c r="A80" s="101" t="s">
        <v>1208</v>
      </c>
      <c r="B80" s="61" t="s">
        <v>735</v>
      </c>
      <c r="C80" s="61" t="s">
        <v>163</v>
      </c>
      <c r="D80" s="61" t="s">
        <v>3288</v>
      </c>
      <c r="E80" s="119">
        <v>1.91</v>
      </c>
      <c r="F80" s="148" t="s">
        <v>122</v>
      </c>
      <c r="G80" s="148" t="s">
        <v>122</v>
      </c>
      <c r="H80" s="61" t="s">
        <v>39</v>
      </c>
      <c r="I80" s="61" t="s">
        <v>535</v>
      </c>
      <c r="J80" s="62" t="s">
        <v>1209</v>
      </c>
      <c r="K80" s="61" t="s">
        <v>831</v>
      </c>
      <c r="L80" s="159"/>
      <c r="M80" s="48"/>
      <c r="N80" s="123"/>
    </row>
    <row r="81" spans="1:14" customFormat="1" x14ac:dyDescent="0.55000000000000004">
      <c r="A81" s="101" t="s">
        <v>1201</v>
      </c>
      <c r="B81" s="61" t="s">
        <v>189</v>
      </c>
      <c r="C81" s="61" t="s">
        <v>121</v>
      </c>
      <c r="D81" s="61" t="s">
        <v>3288</v>
      </c>
      <c r="E81" s="119">
        <v>1</v>
      </c>
      <c r="F81" s="148" t="s">
        <v>122</v>
      </c>
      <c r="G81" s="148">
        <v>1</v>
      </c>
      <c r="H81" s="61" t="s">
        <v>39</v>
      </c>
      <c r="I81" s="61" t="s">
        <v>535</v>
      </c>
      <c r="J81" s="62" t="s">
        <v>1202</v>
      </c>
      <c r="K81" s="61" t="s">
        <v>126</v>
      </c>
      <c r="L81" s="159">
        <v>7403</v>
      </c>
      <c r="M81" s="48"/>
      <c r="N81" s="123"/>
    </row>
    <row r="82" spans="1:14" customFormat="1" x14ac:dyDescent="0.55000000000000004">
      <c r="A82" s="101" t="s">
        <v>1201</v>
      </c>
      <c r="B82" s="61" t="s">
        <v>1203</v>
      </c>
      <c r="C82" s="61" t="s">
        <v>127</v>
      </c>
      <c r="D82" s="61" t="s">
        <v>2994</v>
      </c>
      <c r="E82" s="119">
        <v>5.22</v>
      </c>
      <c r="F82" s="148" t="s">
        <v>167</v>
      </c>
      <c r="G82" s="148" t="s">
        <v>122</v>
      </c>
      <c r="H82" s="61" t="s">
        <v>39</v>
      </c>
      <c r="I82" s="61" t="s">
        <v>535</v>
      </c>
      <c r="J82" s="62" t="s">
        <v>1202</v>
      </c>
      <c r="K82" s="61" t="s">
        <v>126</v>
      </c>
      <c r="L82" s="159"/>
      <c r="M82" s="48"/>
      <c r="N82" s="123"/>
    </row>
    <row r="83" spans="1:14" customFormat="1" x14ac:dyDescent="0.55000000000000004">
      <c r="A83" s="101" t="s">
        <v>1201</v>
      </c>
      <c r="B83" s="61" t="s">
        <v>154</v>
      </c>
      <c r="C83" s="61" t="s">
        <v>132</v>
      </c>
      <c r="D83" s="61" t="s">
        <v>3289</v>
      </c>
      <c r="E83" s="119">
        <v>2.2700000000000001E-2</v>
      </c>
      <c r="F83" s="148" t="s">
        <v>133</v>
      </c>
      <c r="G83" s="148" t="s">
        <v>122</v>
      </c>
      <c r="H83" s="61" t="s">
        <v>39</v>
      </c>
      <c r="I83" s="61" t="s">
        <v>535</v>
      </c>
      <c r="J83" s="62" t="s">
        <v>1202</v>
      </c>
      <c r="K83" s="61" t="s">
        <v>126</v>
      </c>
      <c r="L83" s="159"/>
      <c r="M83" s="48"/>
      <c r="N83" s="123"/>
    </row>
    <row r="84" spans="1:14" customFormat="1" x14ac:dyDescent="0.55000000000000004">
      <c r="A84" s="101" t="s">
        <v>1201</v>
      </c>
      <c r="B84" s="61" t="s">
        <v>145</v>
      </c>
      <c r="C84" s="61" t="s">
        <v>125</v>
      </c>
      <c r="D84" s="61" t="s">
        <v>3288</v>
      </c>
      <c r="E84" s="119">
        <v>2.95</v>
      </c>
      <c r="F84" s="148" t="s">
        <v>122</v>
      </c>
      <c r="G84" s="148" t="s">
        <v>122</v>
      </c>
      <c r="H84" s="61" t="s">
        <v>39</v>
      </c>
      <c r="I84" s="61" t="s">
        <v>535</v>
      </c>
      <c r="J84" s="62" t="s">
        <v>1202</v>
      </c>
      <c r="K84" s="61" t="s">
        <v>126</v>
      </c>
      <c r="L84" s="159"/>
      <c r="M84" s="48"/>
      <c r="N84" s="123"/>
    </row>
    <row r="85" spans="1:14" customFormat="1" x14ac:dyDescent="0.55000000000000004">
      <c r="A85" s="101" t="s">
        <v>1201</v>
      </c>
      <c r="B85" s="61" t="s">
        <v>1204</v>
      </c>
      <c r="C85" s="61" t="s">
        <v>127</v>
      </c>
      <c r="D85" s="61" t="s">
        <v>2994</v>
      </c>
      <c r="E85" s="119">
        <v>8.4600000000000009</v>
      </c>
      <c r="F85" s="148" t="s">
        <v>167</v>
      </c>
      <c r="G85" s="148" t="s">
        <v>122</v>
      </c>
      <c r="H85" s="61" t="s">
        <v>39</v>
      </c>
      <c r="I85" s="61" t="s">
        <v>535</v>
      </c>
      <c r="J85" s="62" t="s">
        <v>1202</v>
      </c>
      <c r="K85" s="61" t="s">
        <v>126</v>
      </c>
      <c r="L85" s="159"/>
      <c r="M85" s="48"/>
      <c r="N85" s="123"/>
    </row>
    <row r="86" spans="1:14" customFormat="1" x14ac:dyDescent="0.55000000000000004">
      <c r="A86" s="101" t="s">
        <v>1201</v>
      </c>
      <c r="B86" s="61" t="s">
        <v>1205</v>
      </c>
      <c r="C86" s="61" t="s">
        <v>127</v>
      </c>
      <c r="D86" s="61" t="s">
        <v>2994</v>
      </c>
      <c r="E86" s="119">
        <v>16.899999999999999</v>
      </c>
      <c r="F86" s="148" t="s">
        <v>167</v>
      </c>
      <c r="G86" s="148" t="s">
        <v>122</v>
      </c>
      <c r="H86" s="61" t="s">
        <v>39</v>
      </c>
      <c r="I86" s="61" t="s">
        <v>535</v>
      </c>
      <c r="J86" s="62" t="s">
        <v>1202</v>
      </c>
      <c r="K86" s="61" t="s">
        <v>126</v>
      </c>
      <c r="L86" s="159"/>
      <c r="M86" s="48"/>
      <c r="N86" s="123"/>
    </row>
    <row r="87" spans="1:14" customFormat="1" x14ac:dyDescent="0.55000000000000004">
      <c r="A87" s="101" t="s">
        <v>1201</v>
      </c>
      <c r="B87" s="61" t="s">
        <v>188</v>
      </c>
      <c r="C87" s="61" t="s">
        <v>127</v>
      </c>
      <c r="D87" s="61" t="s">
        <v>3288</v>
      </c>
      <c r="E87" s="119">
        <v>2.5599999999999999E-4</v>
      </c>
      <c r="F87" s="148" t="s">
        <v>122</v>
      </c>
      <c r="G87" s="148" t="s">
        <v>122</v>
      </c>
      <c r="H87" s="61" t="s">
        <v>39</v>
      </c>
      <c r="I87" s="61" t="s">
        <v>535</v>
      </c>
      <c r="J87" s="62" t="s">
        <v>1202</v>
      </c>
      <c r="K87" s="61" t="s">
        <v>126</v>
      </c>
      <c r="L87" s="159"/>
      <c r="M87" s="48"/>
      <c r="N87" s="123"/>
    </row>
    <row r="88" spans="1:14" customFormat="1" x14ac:dyDescent="0.55000000000000004">
      <c r="A88" s="101" t="s">
        <v>1201</v>
      </c>
      <c r="B88" s="61" t="s">
        <v>1206</v>
      </c>
      <c r="C88" s="61" t="s">
        <v>132</v>
      </c>
      <c r="D88" s="61" t="s">
        <v>3288</v>
      </c>
      <c r="E88" s="119">
        <v>143</v>
      </c>
      <c r="F88" s="148" t="s">
        <v>122</v>
      </c>
      <c r="G88" s="148" t="s">
        <v>122</v>
      </c>
      <c r="H88" s="61" t="s">
        <v>39</v>
      </c>
      <c r="I88" s="61" t="s">
        <v>535</v>
      </c>
      <c r="J88" s="62" t="s">
        <v>1202</v>
      </c>
      <c r="K88" s="61" t="s">
        <v>126</v>
      </c>
      <c r="L88" s="159"/>
      <c r="M88" s="48"/>
      <c r="N88" s="123"/>
    </row>
    <row r="89" spans="1:14" customFormat="1" x14ac:dyDescent="0.55000000000000004">
      <c r="A89" s="101" t="s">
        <v>1201</v>
      </c>
      <c r="B89" s="61" t="s">
        <v>154</v>
      </c>
      <c r="C89" s="61" t="s">
        <v>124</v>
      </c>
      <c r="D89" s="61" t="s">
        <v>3289</v>
      </c>
      <c r="E89" s="119">
        <v>2.2700000000000001E-2</v>
      </c>
      <c r="F89" s="148" t="s">
        <v>133</v>
      </c>
      <c r="G89" s="148" t="s">
        <v>122</v>
      </c>
      <c r="H89" s="61" t="s">
        <v>39</v>
      </c>
      <c r="I89" s="61" t="s">
        <v>535</v>
      </c>
      <c r="J89" s="62" t="s">
        <v>1202</v>
      </c>
      <c r="K89" s="61" t="s">
        <v>126</v>
      </c>
      <c r="L89" s="159"/>
      <c r="M89" s="48"/>
      <c r="N89" s="123"/>
    </row>
    <row r="90" spans="1:14" customFormat="1" x14ac:dyDescent="0.55000000000000004">
      <c r="A90" s="101" t="s">
        <v>1199</v>
      </c>
      <c r="B90" s="61" t="s">
        <v>189</v>
      </c>
      <c r="C90" s="61" t="s">
        <v>121</v>
      </c>
      <c r="D90" s="61" t="s">
        <v>3288</v>
      </c>
      <c r="E90" s="119">
        <v>1</v>
      </c>
      <c r="F90" s="148" t="s">
        <v>122</v>
      </c>
      <c r="G90" s="148">
        <v>1</v>
      </c>
      <c r="H90" s="61" t="s">
        <v>39</v>
      </c>
      <c r="I90" s="61" t="s">
        <v>535</v>
      </c>
      <c r="J90" s="62" t="s">
        <v>1200</v>
      </c>
      <c r="K90" s="61" t="s">
        <v>831</v>
      </c>
      <c r="L90" s="159">
        <v>7403</v>
      </c>
      <c r="M90" s="48"/>
      <c r="N90" s="123"/>
    </row>
    <row r="91" spans="1:14" customFormat="1" x14ac:dyDescent="0.55000000000000004">
      <c r="A91" s="101" t="s">
        <v>1199</v>
      </c>
      <c r="B91" s="61" t="s">
        <v>1166</v>
      </c>
      <c r="C91" s="61" t="s">
        <v>125</v>
      </c>
      <c r="D91" s="61" t="s">
        <v>3288</v>
      </c>
      <c r="E91" s="119">
        <v>0.99299999999999999</v>
      </c>
      <c r="F91" s="148" t="s">
        <v>122</v>
      </c>
      <c r="G91" s="148" t="s">
        <v>122</v>
      </c>
      <c r="H91" s="61" t="s">
        <v>39</v>
      </c>
      <c r="I91" s="61" t="s">
        <v>535</v>
      </c>
      <c r="J91" s="62" t="s">
        <v>1200</v>
      </c>
      <c r="K91" s="61" t="s">
        <v>831</v>
      </c>
      <c r="L91" s="159"/>
      <c r="M91" s="48"/>
      <c r="N91" s="123"/>
    </row>
    <row r="92" spans="1:14" customFormat="1" x14ac:dyDescent="0.55000000000000004">
      <c r="A92" s="101" t="s">
        <v>1199</v>
      </c>
      <c r="B92" s="61" t="s">
        <v>1088</v>
      </c>
      <c r="C92" s="61" t="s">
        <v>127</v>
      </c>
      <c r="D92" s="61" t="s">
        <v>2994</v>
      </c>
      <c r="E92" s="119">
        <v>0.4</v>
      </c>
      <c r="F92" s="148" t="s">
        <v>130</v>
      </c>
      <c r="G92" s="148" t="s">
        <v>122</v>
      </c>
      <c r="H92" s="61" t="s">
        <v>39</v>
      </c>
      <c r="I92" s="61" t="s">
        <v>535</v>
      </c>
      <c r="J92" s="62" t="s">
        <v>1200</v>
      </c>
      <c r="K92" s="61" t="s">
        <v>831</v>
      </c>
      <c r="L92" s="159"/>
      <c r="M92" s="48"/>
      <c r="N92" s="123"/>
    </row>
    <row r="93" spans="1:14" customFormat="1" x14ac:dyDescent="0.55000000000000004">
      <c r="A93" s="101" t="s">
        <v>1199</v>
      </c>
      <c r="B93" s="61" t="s">
        <v>1180</v>
      </c>
      <c r="C93" s="61" t="s">
        <v>127</v>
      </c>
      <c r="D93" s="61" t="s">
        <v>2994</v>
      </c>
      <c r="E93" s="119">
        <v>2.2400000000000002</v>
      </c>
      <c r="F93" s="148" t="s">
        <v>167</v>
      </c>
      <c r="G93" s="148" t="s">
        <v>122</v>
      </c>
      <c r="H93" s="61" t="s">
        <v>39</v>
      </c>
      <c r="I93" s="61" t="s">
        <v>535</v>
      </c>
      <c r="J93" s="62" t="s">
        <v>1200</v>
      </c>
      <c r="K93" s="61" t="s">
        <v>831</v>
      </c>
      <c r="L93" s="159"/>
      <c r="M93" s="48"/>
      <c r="N93" s="123"/>
    </row>
    <row r="94" spans="1:14" customFormat="1" x14ac:dyDescent="0.55000000000000004">
      <c r="A94" s="101" t="s">
        <v>1199</v>
      </c>
      <c r="B94" s="61" t="s">
        <v>1181</v>
      </c>
      <c r="C94" s="61" t="s">
        <v>125</v>
      </c>
      <c r="D94" s="61" t="s">
        <v>3288</v>
      </c>
      <c r="E94" s="119">
        <v>6.0099999999999997E-3</v>
      </c>
      <c r="F94" s="148" t="s">
        <v>122</v>
      </c>
      <c r="G94" s="148" t="s">
        <v>122</v>
      </c>
      <c r="H94" s="61" t="s">
        <v>39</v>
      </c>
      <c r="I94" s="61" t="s">
        <v>535</v>
      </c>
      <c r="J94" s="62" t="s">
        <v>1200</v>
      </c>
      <c r="K94" s="61" t="s">
        <v>831</v>
      </c>
      <c r="L94" s="159"/>
      <c r="M94" s="48"/>
      <c r="N94" s="123"/>
    </row>
    <row r="95" spans="1:14" customFormat="1" x14ac:dyDescent="0.55000000000000004">
      <c r="A95" s="101" t="s">
        <v>1199</v>
      </c>
      <c r="B95" s="61" t="s">
        <v>1182</v>
      </c>
      <c r="C95" s="61" t="s">
        <v>125</v>
      </c>
      <c r="D95" s="61" t="s">
        <v>3288</v>
      </c>
      <c r="E95" s="119">
        <v>4.9500000000000004E-3</v>
      </c>
      <c r="F95" s="148" t="s">
        <v>122</v>
      </c>
      <c r="G95" s="148" t="s">
        <v>122</v>
      </c>
      <c r="H95" s="61" t="s">
        <v>39</v>
      </c>
      <c r="I95" s="61" t="s">
        <v>535</v>
      </c>
      <c r="J95" s="62" t="s">
        <v>1200</v>
      </c>
      <c r="K95" s="61" t="s">
        <v>831</v>
      </c>
      <c r="L95" s="159"/>
      <c r="M95" s="48"/>
      <c r="N95" s="123"/>
    </row>
    <row r="96" spans="1:14" customFormat="1" x14ac:dyDescent="0.55000000000000004">
      <c r="A96" s="101" t="s">
        <v>1199</v>
      </c>
      <c r="B96" s="61" t="s">
        <v>1183</v>
      </c>
      <c r="C96" s="61" t="s">
        <v>124</v>
      </c>
      <c r="D96" s="61" t="s">
        <v>2994</v>
      </c>
      <c r="E96" s="119">
        <v>1.77</v>
      </c>
      <c r="F96" s="148" t="s">
        <v>167</v>
      </c>
      <c r="G96" s="148" t="s">
        <v>122</v>
      </c>
      <c r="H96" s="61" t="s">
        <v>39</v>
      </c>
      <c r="I96" s="61" t="s">
        <v>535</v>
      </c>
      <c r="J96" s="62" t="s">
        <v>1200</v>
      </c>
      <c r="K96" s="61" t="s">
        <v>831</v>
      </c>
      <c r="L96" s="159"/>
      <c r="M96" s="48"/>
      <c r="N96" s="123"/>
    </row>
    <row r="97" spans="1:14" customFormat="1" x14ac:dyDescent="0.55000000000000004">
      <c r="A97" s="101" t="s">
        <v>1199</v>
      </c>
      <c r="B97" s="61" t="s">
        <v>161</v>
      </c>
      <c r="C97" s="61" t="s">
        <v>156</v>
      </c>
      <c r="D97" s="61" t="s">
        <v>3288</v>
      </c>
      <c r="E97" s="119">
        <v>3.0000000000000001E-3</v>
      </c>
      <c r="F97" s="148" t="s">
        <v>122</v>
      </c>
      <c r="G97" s="148" t="s">
        <v>122</v>
      </c>
      <c r="H97" s="61" t="s">
        <v>39</v>
      </c>
      <c r="I97" s="61" t="s">
        <v>535</v>
      </c>
      <c r="J97" s="62" t="s">
        <v>1200</v>
      </c>
      <c r="K97" s="61" t="s">
        <v>831</v>
      </c>
      <c r="L97" s="159">
        <v>711230</v>
      </c>
      <c r="M97" s="48"/>
      <c r="N97" s="123"/>
    </row>
    <row r="98" spans="1:14" customFormat="1" x14ac:dyDescent="0.55000000000000004">
      <c r="A98" s="105" t="s">
        <v>1196</v>
      </c>
      <c r="B98" s="61" t="s">
        <v>625</v>
      </c>
      <c r="C98" s="61" t="s">
        <v>121</v>
      </c>
      <c r="D98" s="61" t="s">
        <v>3288</v>
      </c>
      <c r="E98" s="119">
        <v>1</v>
      </c>
      <c r="F98" s="148" t="s">
        <v>135</v>
      </c>
      <c r="G98" s="148">
        <v>1</v>
      </c>
      <c r="H98" s="61" t="s">
        <v>39</v>
      </c>
      <c r="I98" s="61" t="s">
        <v>535</v>
      </c>
      <c r="J98" s="85" t="s">
        <v>1161</v>
      </c>
      <c r="K98" s="61" t="s">
        <v>535</v>
      </c>
      <c r="L98" s="159">
        <v>271114</v>
      </c>
      <c r="M98" s="48"/>
      <c r="N98" s="123"/>
    </row>
    <row r="99" spans="1:14" customFormat="1" x14ac:dyDescent="0.55000000000000004">
      <c r="A99" s="105" t="s">
        <v>1196</v>
      </c>
      <c r="B99" s="61" t="s">
        <v>171</v>
      </c>
      <c r="C99" s="61" t="s">
        <v>127</v>
      </c>
      <c r="D99" s="61" t="s">
        <v>2994</v>
      </c>
      <c r="E99" s="119">
        <v>8.6E-3</v>
      </c>
      <c r="F99" s="148" t="s">
        <v>138</v>
      </c>
      <c r="G99" s="148">
        <v>1</v>
      </c>
      <c r="H99" s="61" t="s">
        <v>39</v>
      </c>
      <c r="I99" s="61" t="s">
        <v>535</v>
      </c>
      <c r="J99" s="85" t="s">
        <v>1161</v>
      </c>
      <c r="K99" s="61" t="s">
        <v>535</v>
      </c>
      <c r="L99" s="159"/>
      <c r="M99" s="48"/>
      <c r="N99" s="123"/>
    </row>
    <row r="100" spans="1:14" customFormat="1" x14ac:dyDescent="0.55000000000000004">
      <c r="A100" s="105" t="s">
        <v>1196</v>
      </c>
      <c r="B100" s="61" t="s">
        <v>1197</v>
      </c>
      <c r="C100" s="61" t="s">
        <v>125</v>
      </c>
      <c r="D100" s="61" t="s">
        <v>3288</v>
      </c>
      <c r="E100" s="119">
        <v>1.0660000000000001</v>
      </c>
      <c r="F100" s="148" t="s">
        <v>135</v>
      </c>
      <c r="G100" s="148">
        <v>1</v>
      </c>
      <c r="H100" s="61" t="s">
        <v>39</v>
      </c>
      <c r="I100" s="61" t="s">
        <v>535</v>
      </c>
      <c r="J100" s="85" t="s">
        <v>1161</v>
      </c>
      <c r="K100" s="61" t="s">
        <v>535</v>
      </c>
      <c r="L100" s="159"/>
      <c r="M100" s="48"/>
      <c r="N100" s="123"/>
    </row>
    <row r="101" spans="1:14" customFormat="1" x14ac:dyDescent="0.55000000000000004">
      <c r="A101" s="105" t="s">
        <v>1196</v>
      </c>
      <c r="B101" s="61" t="s">
        <v>160</v>
      </c>
      <c r="C101" s="61" t="s">
        <v>497</v>
      </c>
      <c r="D101" s="61" t="s">
        <v>3288</v>
      </c>
      <c r="E101" s="119">
        <v>0.09</v>
      </c>
      <c r="F101" s="148" t="s">
        <v>135</v>
      </c>
      <c r="G101" s="148">
        <v>1</v>
      </c>
      <c r="H101" s="61" t="s">
        <v>39</v>
      </c>
      <c r="I101" s="61" t="s">
        <v>535</v>
      </c>
      <c r="J101" s="85" t="s">
        <v>1161</v>
      </c>
      <c r="K101" s="61" t="s">
        <v>535</v>
      </c>
      <c r="L101" s="159"/>
      <c r="M101" s="48"/>
      <c r="N101" s="123"/>
    </row>
    <row r="102" spans="1:14" customFormat="1" x14ac:dyDescent="0.55000000000000004">
      <c r="A102" s="105" t="s">
        <v>1196</v>
      </c>
      <c r="B102" s="61" t="s">
        <v>1162</v>
      </c>
      <c r="C102" s="61" t="s">
        <v>497</v>
      </c>
      <c r="D102" s="61" t="s">
        <v>3288</v>
      </c>
      <c r="E102" s="119">
        <v>1.0849999999999999E-5</v>
      </c>
      <c r="F102" s="148" t="s">
        <v>135</v>
      </c>
      <c r="G102" s="148">
        <v>1</v>
      </c>
      <c r="H102" s="61" t="s">
        <v>39</v>
      </c>
      <c r="I102" s="61" t="s">
        <v>535</v>
      </c>
      <c r="J102" s="85" t="s">
        <v>1161</v>
      </c>
      <c r="K102" s="61" t="s">
        <v>535</v>
      </c>
      <c r="L102" s="159"/>
      <c r="M102" s="48"/>
      <c r="N102" s="123"/>
    </row>
    <row r="103" spans="1:14" customFormat="1" x14ac:dyDescent="0.55000000000000004">
      <c r="A103" s="105" t="s">
        <v>1194</v>
      </c>
      <c r="B103" s="61" t="s">
        <v>1195</v>
      </c>
      <c r="C103" s="61" t="s">
        <v>121</v>
      </c>
      <c r="D103" s="61" t="s">
        <v>3288</v>
      </c>
      <c r="E103" s="119">
        <v>1</v>
      </c>
      <c r="F103" s="148" t="s">
        <v>135</v>
      </c>
      <c r="G103" s="148">
        <v>1</v>
      </c>
      <c r="H103" s="61" t="s">
        <v>39</v>
      </c>
      <c r="I103" s="61" t="s">
        <v>535</v>
      </c>
      <c r="J103" s="85" t="s">
        <v>1161</v>
      </c>
      <c r="K103" s="61" t="s">
        <v>535</v>
      </c>
      <c r="L103" s="159">
        <v>271114</v>
      </c>
      <c r="M103" s="48"/>
      <c r="N103" s="123"/>
    </row>
    <row r="104" spans="1:14" customFormat="1" x14ac:dyDescent="0.55000000000000004">
      <c r="A104" s="105" t="s">
        <v>1194</v>
      </c>
      <c r="B104" s="61" t="s">
        <v>160</v>
      </c>
      <c r="C104" s="61" t="s">
        <v>497</v>
      </c>
      <c r="D104" s="61" t="s">
        <v>3288</v>
      </c>
      <c r="E104" s="119">
        <v>3.4904803999999998E-2</v>
      </c>
      <c r="F104" s="148" t="s">
        <v>135</v>
      </c>
      <c r="G104" s="148">
        <v>1</v>
      </c>
      <c r="H104" s="61" t="s">
        <v>39</v>
      </c>
      <c r="I104" s="61" t="s">
        <v>535</v>
      </c>
      <c r="J104" s="85" t="s">
        <v>1161</v>
      </c>
      <c r="K104" s="61" t="s">
        <v>535</v>
      </c>
      <c r="L104" s="159"/>
      <c r="M104" s="48"/>
      <c r="N104" s="123"/>
    </row>
    <row r="105" spans="1:14" customFormat="1" x14ac:dyDescent="0.55000000000000004">
      <c r="A105" s="105" t="s">
        <v>1194</v>
      </c>
      <c r="B105" s="61" t="s">
        <v>1162</v>
      </c>
      <c r="C105" s="61" t="s">
        <v>497</v>
      </c>
      <c r="D105" s="61" t="s">
        <v>3288</v>
      </c>
      <c r="E105" s="119">
        <v>0</v>
      </c>
      <c r="F105" s="148" t="s">
        <v>135</v>
      </c>
      <c r="G105" s="148">
        <v>1</v>
      </c>
      <c r="H105" s="61" t="s">
        <v>39</v>
      </c>
      <c r="I105" s="61" t="s">
        <v>535</v>
      </c>
      <c r="J105" s="85" t="s">
        <v>1161</v>
      </c>
      <c r="K105" s="61" t="s">
        <v>535</v>
      </c>
      <c r="L105" s="159"/>
      <c r="M105" s="48"/>
      <c r="N105" s="123"/>
    </row>
    <row r="106" spans="1:14" customFormat="1" x14ac:dyDescent="0.55000000000000004">
      <c r="A106" s="105" t="s">
        <v>1194</v>
      </c>
      <c r="B106" s="61" t="s">
        <v>948</v>
      </c>
      <c r="C106" s="61" t="s">
        <v>125</v>
      </c>
      <c r="D106" s="61" t="s">
        <v>3288</v>
      </c>
      <c r="E106" s="119">
        <v>1.0018</v>
      </c>
      <c r="F106" s="148" t="s">
        <v>135</v>
      </c>
      <c r="G106" s="148">
        <v>1</v>
      </c>
      <c r="H106" s="61" t="s">
        <v>39</v>
      </c>
      <c r="I106" s="61" t="s">
        <v>535</v>
      </c>
      <c r="J106" s="85" t="s">
        <v>1161</v>
      </c>
      <c r="K106" s="61" t="s">
        <v>535</v>
      </c>
      <c r="L106" s="159"/>
      <c r="M106" s="48"/>
      <c r="N106" s="123"/>
    </row>
    <row r="107" spans="1:14" customFormat="1" x14ac:dyDescent="0.55000000000000004">
      <c r="A107" s="105" t="s">
        <v>1194</v>
      </c>
      <c r="B107" s="61" t="s">
        <v>171</v>
      </c>
      <c r="C107" s="61" t="s">
        <v>127</v>
      </c>
      <c r="D107" s="61" t="s">
        <v>2994</v>
      </c>
      <c r="E107" s="119">
        <v>0.12831000000000001</v>
      </c>
      <c r="F107" s="148" t="s">
        <v>138</v>
      </c>
      <c r="G107" s="148">
        <v>1</v>
      </c>
      <c r="H107" s="61" t="s">
        <v>39</v>
      </c>
      <c r="I107" s="61" t="s">
        <v>535</v>
      </c>
      <c r="J107" s="85" t="s">
        <v>1161</v>
      </c>
      <c r="K107" s="61" t="s">
        <v>535</v>
      </c>
      <c r="L107" s="159"/>
      <c r="M107" s="48"/>
      <c r="N107" s="123"/>
    </row>
    <row r="108" spans="1:14" customFormat="1" x14ac:dyDescent="0.55000000000000004">
      <c r="A108" s="105" t="s">
        <v>1194</v>
      </c>
      <c r="B108" s="61" t="s">
        <v>153</v>
      </c>
      <c r="C108" s="61" t="s">
        <v>127</v>
      </c>
      <c r="D108" s="61" t="s">
        <v>2994</v>
      </c>
      <c r="E108" s="119">
        <v>1.5551999999999999</v>
      </c>
      <c r="F108" s="148" t="s">
        <v>138</v>
      </c>
      <c r="G108" s="148">
        <v>1</v>
      </c>
      <c r="H108" s="61" t="s">
        <v>39</v>
      </c>
      <c r="I108" s="61" t="s">
        <v>535</v>
      </c>
      <c r="J108" s="85" t="s">
        <v>1161</v>
      </c>
      <c r="K108" s="61" t="s">
        <v>535</v>
      </c>
      <c r="L108" s="159"/>
      <c r="M108" s="48"/>
      <c r="N108" s="123"/>
    </row>
    <row r="109" spans="1:14" customFormat="1" x14ac:dyDescent="0.55000000000000004">
      <c r="A109" s="105" t="s">
        <v>1194</v>
      </c>
      <c r="B109" s="61" t="s">
        <v>496</v>
      </c>
      <c r="C109" s="61" t="s">
        <v>127</v>
      </c>
      <c r="D109" s="61" t="s">
        <v>2994</v>
      </c>
      <c r="E109" s="119">
        <v>1.121</v>
      </c>
      <c r="F109" s="148" t="s">
        <v>138</v>
      </c>
      <c r="G109" s="148">
        <v>1</v>
      </c>
      <c r="H109" s="61" t="s">
        <v>39</v>
      </c>
      <c r="I109" s="61" t="s">
        <v>535</v>
      </c>
      <c r="J109" s="85" t="s">
        <v>1161</v>
      </c>
      <c r="K109" s="61" t="s">
        <v>535</v>
      </c>
      <c r="L109" s="159"/>
      <c r="M109" s="48"/>
      <c r="N109" s="123"/>
    </row>
    <row r="110" spans="1:14" customFormat="1" x14ac:dyDescent="0.55000000000000004">
      <c r="A110" s="105" t="s">
        <v>1194</v>
      </c>
      <c r="B110" s="61" t="s">
        <v>334</v>
      </c>
      <c r="C110" s="61" t="s">
        <v>125</v>
      </c>
      <c r="D110" s="61" t="s">
        <v>3288</v>
      </c>
      <c r="E110" s="119">
        <v>2.4000000000000001E-4</v>
      </c>
      <c r="F110" s="148" t="s">
        <v>135</v>
      </c>
      <c r="G110" s="148">
        <v>1</v>
      </c>
      <c r="H110" s="61" t="s">
        <v>39</v>
      </c>
      <c r="I110" s="61" t="s">
        <v>535</v>
      </c>
      <c r="J110" s="85" t="s">
        <v>1161</v>
      </c>
      <c r="K110" s="61" t="s">
        <v>535</v>
      </c>
      <c r="L110" s="159"/>
      <c r="M110" s="48"/>
      <c r="N110" s="123"/>
    </row>
    <row r="111" spans="1:14" customFormat="1" x14ac:dyDescent="0.55000000000000004">
      <c r="A111" s="105" t="s">
        <v>1191</v>
      </c>
      <c r="B111" s="61" t="s">
        <v>1192</v>
      </c>
      <c r="C111" s="61" t="s">
        <v>121</v>
      </c>
      <c r="D111" s="61" t="s">
        <v>3288</v>
      </c>
      <c r="E111" s="119">
        <v>1</v>
      </c>
      <c r="F111" s="148" t="s">
        <v>135</v>
      </c>
      <c r="G111" s="148">
        <v>1</v>
      </c>
      <c r="H111" s="61" t="s">
        <v>39</v>
      </c>
      <c r="I111" s="61" t="s">
        <v>535</v>
      </c>
      <c r="J111" s="85" t="s">
        <v>1161</v>
      </c>
      <c r="K111" s="61" t="s">
        <v>535</v>
      </c>
      <c r="L111" s="159">
        <v>271114</v>
      </c>
      <c r="M111" s="48"/>
      <c r="N111" s="123"/>
    </row>
    <row r="112" spans="1:14" customFormat="1" x14ac:dyDescent="0.55000000000000004">
      <c r="A112" s="105" t="s">
        <v>1191</v>
      </c>
      <c r="B112" s="61" t="s">
        <v>160</v>
      </c>
      <c r="C112" s="61" t="s">
        <v>497</v>
      </c>
      <c r="D112" s="61" t="s">
        <v>3288</v>
      </c>
      <c r="E112" s="119">
        <v>4.1573270000000002E-2</v>
      </c>
      <c r="F112" s="148" t="s">
        <v>135</v>
      </c>
      <c r="G112" s="148">
        <v>1</v>
      </c>
      <c r="H112" s="61" t="s">
        <v>39</v>
      </c>
      <c r="I112" s="61" t="s">
        <v>535</v>
      </c>
      <c r="J112" s="85" t="s">
        <v>1161</v>
      </c>
      <c r="K112" s="61" t="s">
        <v>535</v>
      </c>
      <c r="L112" s="159"/>
      <c r="M112" s="48"/>
      <c r="N112" s="123"/>
    </row>
    <row r="113" spans="1:14" customFormat="1" x14ac:dyDescent="0.55000000000000004">
      <c r="A113" s="105" t="s">
        <v>1191</v>
      </c>
      <c r="B113" s="61" t="s">
        <v>1162</v>
      </c>
      <c r="C113" s="61" t="s">
        <v>497</v>
      </c>
      <c r="D113" s="61" t="s">
        <v>3288</v>
      </c>
      <c r="E113" s="119">
        <v>3.2054299999999998E-6</v>
      </c>
      <c r="F113" s="148" t="s">
        <v>135</v>
      </c>
      <c r="G113" s="148">
        <v>1</v>
      </c>
      <c r="H113" s="61" t="s">
        <v>39</v>
      </c>
      <c r="I113" s="61" t="s">
        <v>535</v>
      </c>
      <c r="J113" s="85" t="s">
        <v>1161</v>
      </c>
      <c r="K113" s="61" t="s">
        <v>535</v>
      </c>
      <c r="L113" s="159"/>
      <c r="M113" s="48"/>
      <c r="N113" s="123"/>
    </row>
    <row r="114" spans="1:14" customFormat="1" x14ac:dyDescent="0.55000000000000004">
      <c r="A114" s="105" t="s">
        <v>1191</v>
      </c>
      <c r="B114" s="61" t="s">
        <v>920</v>
      </c>
      <c r="C114" s="61" t="s">
        <v>125</v>
      </c>
      <c r="D114" s="61" t="s">
        <v>3288</v>
      </c>
      <c r="E114" s="119">
        <v>0.98765999999999998</v>
      </c>
      <c r="F114" s="148" t="s">
        <v>135</v>
      </c>
      <c r="G114" s="148">
        <v>1</v>
      </c>
      <c r="H114" s="61" t="s">
        <v>39</v>
      </c>
      <c r="I114" s="61" t="s">
        <v>535</v>
      </c>
      <c r="J114" s="85" t="s">
        <v>1161</v>
      </c>
      <c r="K114" s="61" t="s">
        <v>535</v>
      </c>
      <c r="L114" s="159"/>
      <c r="M114" s="48"/>
      <c r="N114" s="123"/>
    </row>
    <row r="115" spans="1:14" customFormat="1" x14ac:dyDescent="0.55000000000000004">
      <c r="A115" s="105" t="s">
        <v>1191</v>
      </c>
      <c r="B115" s="61" t="s">
        <v>171</v>
      </c>
      <c r="C115" s="61" t="s">
        <v>127</v>
      </c>
      <c r="D115" s="61" t="s">
        <v>2994</v>
      </c>
      <c r="E115" s="119">
        <v>0.19694999999999999</v>
      </c>
      <c r="F115" s="148" t="s">
        <v>138</v>
      </c>
      <c r="G115" s="148">
        <v>1</v>
      </c>
      <c r="H115" s="61" t="s">
        <v>39</v>
      </c>
      <c r="I115" s="61" t="s">
        <v>535</v>
      </c>
      <c r="J115" s="85" t="s">
        <v>1161</v>
      </c>
      <c r="K115" s="61" t="s">
        <v>535</v>
      </c>
      <c r="L115" s="159"/>
      <c r="M115" s="48"/>
      <c r="N115" s="123"/>
    </row>
    <row r="116" spans="1:14" customFormat="1" x14ac:dyDescent="0.55000000000000004">
      <c r="A116" s="105" t="s">
        <v>1191</v>
      </c>
      <c r="B116" s="61" t="s">
        <v>153</v>
      </c>
      <c r="C116" s="61" t="s">
        <v>127</v>
      </c>
      <c r="D116" s="61" t="s">
        <v>2994</v>
      </c>
      <c r="E116" s="119">
        <v>1.26468</v>
      </c>
      <c r="F116" s="148" t="s">
        <v>138</v>
      </c>
      <c r="G116" s="148">
        <v>1</v>
      </c>
      <c r="H116" s="61" t="s">
        <v>39</v>
      </c>
      <c r="I116" s="61" t="s">
        <v>535</v>
      </c>
      <c r="J116" s="85" t="s">
        <v>1161</v>
      </c>
      <c r="K116" s="61" t="s">
        <v>535</v>
      </c>
      <c r="L116" s="159"/>
      <c r="M116" s="48"/>
      <c r="N116" s="123"/>
    </row>
    <row r="117" spans="1:14" customFormat="1" x14ac:dyDescent="0.55000000000000004">
      <c r="A117" s="105" t="s">
        <v>1191</v>
      </c>
      <c r="B117" s="61" t="s">
        <v>496</v>
      </c>
      <c r="C117" s="61" t="s">
        <v>127</v>
      </c>
      <c r="D117" s="61" t="s">
        <v>2994</v>
      </c>
      <c r="E117" s="119">
        <v>0.56899999999999995</v>
      </c>
      <c r="F117" s="148" t="s">
        <v>138</v>
      </c>
      <c r="G117" s="148">
        <v>1</v>
      </c>
      <c r="H117" s="61" t="s">
        <v>39</v>
      </c>
      <c r="I117" s="61" t="s">
        <v>535</v>
      </c>
      <c r="J117" s="85" t="s">
        <v>1161</v>
      </c>
      <c r="K117" s="61" t="s">
        <v>535</v>
      </c>
      <c r="L117" s="159"/>
      <c r="M117" s="48"/>
      <c r="N117" s="123"/>
    </row>
    <row r="118" spans="1:14" customFormat="1" x14ac:dyDescent="0.55000000000000004">
      <c r="A118" s="105" t="s">
        <v>1191</v>
      </c>
      <c r="B118" s="61" t="s">
        <v>334</v>
      </c>
      <c r="C118" s="61" t="s">
        <v>125</v>
      </c>
      <c r="D118" s="61" t="s">
        <v>3288</v>
      </c>
      <c r="E118" s="119">
        <v>2.0000000000000001E-4</v>
      </c>
      <c r="F118" s="148" t="s">
        <v>135</v>
      </c>
      <c r="G118" s="148">
        <v>1</v>
      </c>
      <c r="H118" s="61" t="s">
        <v>39</v>
      </c>
      <c r="I118" s="61" t="s">
        <v>535</v>
      </c>
      <c r="J118" s="85" t="s">
        <v>1161</v>
      </c>
      <c r="K118" s="61" t="s">
        <v>535</v>
      </c>
      <c r="L118" s="159"/>
      <c r="M118" s="48"/>
      <c r="N118" s="123"/>
    </row>
    <row r="119" spans="1:14" customFormat="1" x14ac:dyDescent="0.55000000000000004">
      <c r="A119" s="105" t="s">
        <v>1191</v>
      </c>
      <c r="B119" s="61" t="s">
        <v>1164</v>
      </c>
      <c r="C119" s="61" t="s">
        <v>125</v>
      </c>
      <c r="D119" s="61" t="s">
        <v>3288</v>
      </c>
      <c r="E119" s="119">
        <v>5.2600000000000001E-2</v>
      </c>
      <c r="F119" s="148" t="s">
        <v>135</v>
      </c>
      <c r="G119" s="148">
        <v>1</v>
      </c>
      <c r="H119" s="61" t="s">
        <v>39</v>
      </c>
      <c r="I119" s="61" t="s">
        <v>535</v>
      </c>
      <c r="J119" s="85" t="s">
        <v>1161</v>
      </c>
      <c r="K119" s="61" t="s">
        <v>535</v>
      </c>
      <c r="L119" s="159"/>
      <c r="M119" s="48"/>
      <c r="N119" s="123"/>
    </row>
    <row r="120" spans="1:14" customFormat="1" x14ac:dyDescent="0.55000000000000004">
      <c r="A120" s="105" t="s">
        <v>1189</v>
      </c>
      <c r="B120" s="61" t="s">
        <v>1190</v>
      </c>
      <c r="C120" s="61" t="s">
        <v>121</v>
      </c>
      <c r="D120" s="61" t="s">
        <v>3288</v>
      </c>
      <c r="E120" s="119">
        <v>1</v>
      </c>
      <c r="F120" s="148" t="s">
        <v>135</v>
      </c>
      <c r="G120" s="148">
        <v>1</v>
      </c>
      <c r="H120" s="61" t="s">
        <v>39</v>
      </c>
      <c r="I120" s="61" t="s">
        <v>535</v>
      </c>
      <c r="J120" s="85" t="s">
        <v>1161</v>
      </c>
      <c r="K120" s="61" t="s">
        <v>535</v>
      </c>
      <c r="L120" s="159">
        <v>271114</v>
      </c>
      <c r="M120" s="48"/>
      <c r="N120" s="123"/>
    </row>
    <row r="121" spans="1:14" customFormat="1" x14ac:dyDescent="0.55000000000000004">
      <c r="A121" s="105" t="s">
        <v>1189</v>
      </c>
      <c r="B121" s="61" t="s">
        <v>160</v>
      </c>
      <c r="C121" s="61" t="s">
        <v>497</v>
      </c>
      <c r="D121" s="61" t="s">
        <v>3288</v>
      </c>
      <c r="E121" s="119">
        <v>1.0831891999999999E-2</v>
      </c>
      <c r="F121" s="148" t="s">
        <v>135</v>
      </c>
      <c r="G121" s="148">
        <v>1</v>
      </c>
      <c r="H121" s="61" t="s">
        <v>39</v>
      </c>
      <c r="I121" s="61" t="s">
        <v>535</v>
      </c>
      <c r="J121" s="85" t="s">
        <v>1161</v>
      </c>
      <c r="K121" s="61" t="s">
        <v>535</v>
      </c>
      <c r="L121" s="159"/>
      <c r="M121" s="48"/>
      <c r="N121" s="123"/>
    </row>
    <row r="122" spans="1:14" customFormat="1" x14ac:dyDescent="0.55000000000000004">
      <c r="A122" s="105" t="s">
        <v>1189</v>
      </c>
      <c r="B122" s="61" t="s">
        <v>1162</v>
      </c>
      <c r="C122" s="61" t="s">
        <v>497</v>
      </c>
      <c r="D122" s="61" t="s">
        <v>3288</v>
      </c>
      <c r="E122" s="119">
        <v>0</v>
      </c>
      <c r="F122" s="148" t="s">
        <v>135</v>
      </c>
      <c r="G122" s="148">
        <v>1</v>
      </c>
      <c r="H122" s="61" t="s">
        <v>39</v>
      </c>
      <c r="I122" s="61" t="s">
        <v>535</v>
      </c>
      <c r="J122" s="85" t="s">
        <v>1161</v>
      </c>
      <c r="K122" s="61" t="s">
        <v>535</v>
      </c>
      <c r="L122" s="159"/>
      <c r="M122" s="48"/>
      <c r="N122" s="123"/>
    </row>
    <row r="123" spans="1:14" customFormat="1" x14ac:dyDescent="0.55000000000000004">
      <c r="A123" s="105" t="s">
        <v>1189</v>
      </c>
      <c r="B123" s="61" t="s">
        <v>1160</v>
      </c>
      <c r="C123" s="61" t="s">
        <v>125</v>
      </c>
      <c r="D123" s="61" t="s">
        <v>3288</v>
      </c>
      <c r="E123" s="119">
        <v>1</v>
      </c>
      <c r="F123" s="148" t="s">
        <v>135</v>
      </c>
      <c r="G123" s="148">
        <v>1</v>
      </c>
      <c r="H123" s="61" t="s">
        <v>39</v>
      </c>
      <c r="I123" s="61" t="s">
        <v>535</v>
      </c>
      <c r="J123" s="85" t="s">
        <v>1161</v>
      </c>
      <c r="K123" s="61" t="s">
        <v>535</v>
      </c>
      <c r="L123" s="159"/>
      <c r="M123" s="48"/>
      <c r="N123" s="123"/>
    </row>
    <row r="124" spans="1:14" customFormat="1" x14ac:dyDescent="0.55000000000000004">
      <c r="A124" s="105" t="s">
        <v>1189</v>
      </c>
      <c r="B124" s="61" t="s">
        <v>171</v>
      </c>
      <c r="C124" s="61" t="s">
        <v>127</v>
      </c>
      <c r="D124" s="61" t="s">
        <v>2994</v>
      </c>
      <c r="E124" s="119">
        <v>0.43485000000000001</v>
      </c>
      <c r="F124" s="148" t="s">
        <v>138</v>
      </c>
      <c r="G124" s="148">
        <v>1</v>
      </c>
      <c r="H124" s="61" t="s">
        <v>39</v>
      </c>
      <c r="I124" s="61" t="s">
        <v>535</v>
      </c>
      <c r="J124" s="85" t="s">
        <v>1161</v>
      </c>
      <c r="K124" s="61" t="s">
        <v>535</v>
      </c>
      <c r="L124" s="159"/>
      <c r="M124" s="48"/>
      <c r="N124" s="123"/>
    </row>
    <row r="125" spans="1:14" customFormat="1" x14ac:dyDescent="0.55000000000000004">
      <c r="A125" s="105" t="s">
        <v>1189</v>
      </c>
      <c r="B125" s="61" t="s">
        <v>153</v>
      </c>
      <c r="C125" s="61" t="s">
        <v>127</v>
      </c>
      <c r="D125" s="61" t="s">
        <v>2994</v>
      </c>
      <c r="E125" s="119">
        <v>0.69479999999999997</v>
      </c>
      <c r="F125" s="148" t="s">
        <v>138</v>
      </c>
      <c r="G125" s="148">
        <v>1</v>
      </c>
      <c r="H125" s="61" t="s">
        <v>39</v>
      </c>
      <c r="I125" s="61" t="s">
        <v>535</v>
      </c>
      <c r="J125" s="85" t="s">
        <v>1161</v>
      </c>
      <c r="K125" s="61" t="s">
        <v>535</v>
      </c>
      <c r="L125" s="159"/>
      <c r="M125" s="48"/>
      <c r="N125" s="123"/>
    </row>
    <row r="126" spans="1:14" customFormat="1" x14ac:dyDescent="0.55000000000000004">
      <c r="A126" s="105" t="s">
        <v>1189</v>
      </c>
      <c r="B126" s="61" t="s">
        <v>496</v>
      </c>
      <c r="C126" s="61" t="s">
        <v>127</v>
      </c>
      <c r="D126" s="61" t="s">
        <v>2994</v>
      </c>
      <c r="E126" s="119">
        <v>1.93</v>
      </c>
      <c r="F126" s="148" t="s">
        <v>138</v>
      </c>
      <c r="G126" s="148">
        <v>1</v>
      </c>
      <c r="H126" s="61" t="s">
        <v>39</v>
      </c>
      <c r="I126" s="61" t="s">
        <v>535</v>
      </c>
      <c r="J126" s="85" t="s">
        <v>1161</v>
      </c>
      <c r="K126" s="61" t="s">
        <v>535</v>
      </c>
      <c r="L126" s="159"/>
      <c r="M126" s="48"/>
      <c r="N126" s="123"/>
    </row>
    <row r="127" spans="1:14" customFormat="1" x14ac:dyDescent="0.55000000000000004">
      <c r="A127" s="101" t="s">
        <v>1185</v>
      </c>
      <c r="B127" s="61" t="s">
        <v>1138</v>
      </c>
      <c r="C127" s="61" t="s">
        <v>121</v>
      </c>
      <c r="D127" s="61" t="s">
        <v>3288</v>
      </c>
      <c r="E127" s="119">
        <v>1</v>
      </c>
      <c r="F127" s="148" t="s">
        <v>122</v>
      </c>
      <c r="G127" s="148">
        <v>1</v>
      </c>
      <c r="H127" s="61" t="s">
        <v>39</v>
      </c>
      <c r="I127" s="61" t="s">
        <v>535</v>
      </c>
      <c r="J127" s="62" t="s">
        <v>1186</v>
      </c>
      <c r="K127" s="61" t="s">
        <v>831</v>
      </c>
      <c r="L127" s="159">
        <v>7403</v>
      </c>
      <c r="M127" s="48"/>
      <c r="N127" s="123"/>
    </row>
    <row r="128" spans="1:14" customFormat="1" x14ac:dyDescent="0.55000000000000004">
      <c r="A128" s="101" t="s">
        <v>1185</v>
      </c>
      <c r="B128" s="61" t="s">
        <v>153</v>
      </c>
      <c r="C128" s="61" t="s">
        <v>127</v>
      </c>
      <c r="D128" s="61" t="s">
        <v>2994</v>
      </c>
      <c r="E128" s="119">
        <v>28.3</v>
      </c>
      <c r="F128" s="148" t="s">
        <v>130</v>
      </c>
      <c r="G128" s="148" t="s">
        <v>122</v>
      </c>
      <c r="H128" s="61" t="s">
        <v>39</v>
      </c>
      <c r="I128" s="61" t="s">
        <v>535</v>
      </c>
      <c r="J128" s="62" t="s">
        <v>1186</v>
      </c>
      <c r="K128" s="61" t="s">
        <v>831</v>
      </c>
      <c r="L128" s="159"/>
      <c r="M128" s="48"/>
      <c r="N128" s="123"/>
    </row>
    <row r="129" spans="1:14" customFormat="1" x14ac:dyDescent="0.55000000000000004">
      <c r="A129" s="101" t="s">
        <v>1185</v>
      </c>
      <c r="B129" s="61" t="s">
        <v>1145</v>
      </c>
      <c r="C129" s="61" t="s">
        <v>125</v>
      </c>
      <c r="D129" s="61" t="s">
        <v>3288</v>
      </c>
      <c r="E129" s="119">
        <v>0.52200000000000002</v>
      </c>
      <c r="F129" s="148" t="s">
        <v>122</v>
      </c>
      <c r="G129" s="148" t="s">
        <v>122</v>
      </c>
      <c r="H129" s="61" t="s">
        <v>39</v>
      </c>
      <c r="I129" s="61" t="s">
        <v>535</v>
      </c>
      <c r="J129" s="62" t="s">
        <v>1186</v>
      </c>
      <c r="K129" s="61" t="s">
        <v>831</v>
      </c>
      <c r="L129" s="159"/>
      <c r="M129" s="48"/>
      <c r="N129" s="123"/>
    </row>
    <row r="130" spans="1:14" customFormat="1" x14ac:dyDescent="0.55000000000000004">
      <c r="A130" s="101" t="s">
        <v>1185</v>
      </c>
      <c r="B130" s="61" t="s">
        <v>154</v>
      </c>
      <c r="C130" s="61" t="s">
        <v>132</v>
      </c>
      <c r="D130" s="61" t="s">
        <v>3288</v>
      </c>
      <c r="E130" s="119">
        <v>8.6999999999999993</v>
      </c>
      <c r="F130" s="148" t="s">
        <v>122</v>
      </c>
      <c r="G130" s="148" t="s">
        <v>122</v>
      </c>
      <c r="H130" s="61" t="s">
        <v>39</v>
      </c>
      <c r="I130" s="61" t="s">
        <v>535</v>
      </c>
      <c r="J130" s="62" t="s">
        <v>1186</v>
      </c>
      <c r="K130" s="61" t="s">
        <v>831</v>
      </c>
      <c r="L130" s="159"/>
      <c r="M130" s="48"/>
      <c r="N130" s="123"/>
    </row>
    <row r="131" spans="1:14" customFormat="1" x14ac:dyDescent="0.55000000000000004">
      <c r="A131" s="101" t="s">
        <v>1185</v>
      </c>
      <c r="B131" s="61" t="s">
        <v>1140</v>
      </c>
      <c r="C131" s="61" t="s">
        <v>125</v>
      </c>
      <c r="D131" s="61" t="s">
        <v>3288</v>
      </c>
      <c r="E131" s="119">
        <v>1.3</v>
      </c>
      <c r="F131" s="148" t="s">
        <v>122</v>
      </c>
      <c r="G131" s="148" t="s">
        <v>122</v>
      </c>
      <c r="H131" s="61" t="s">
        <v>39</v>
      </c>
      <c r="I131" s="61" t="s">
        <v>535</v>
      </c>
      <c r="J131" s="62" t="s">
        <v>1186</v>
      </c>
      <c r="K131" s="61" t="s">
        <v>831</v>
      </c>
      <c r="L131" s="159"/>
      <c r="M131" s="48"/>
      <c r="N131" s="123"/>
    </row>
    <row r="132" spans="1:14" customFormat="1" x14ac:dyDescent="0.55000000000000004">
      <c r="A132" s="101" t="s">
        <v>1185</v>
      </c>
      <c r="B132" s="61" t="s">
        <v>148</v>
      </c>
      <c r="C132" s="61" t="s">
        <v>125</v>
      </c>
      <c r="D132" s="61" t="s">
        <v>3288</v>
      </c>
      <c r="E132" s="119">
        <v>2.61</v>
      </c>
      <c r="F132" s="148" t="s">
        <v>122</v>
      </c>
      <c r="G132" s="148" t="s">
        <v>122</v>
      </c>
      <c r="H132" s="61" t="s">
        <v>39</v>
      </c>
      <c r="I132" s="61" t="s">
        <v>535</v>
      </c>
      <c r="J132" s="62" t="s">
        <v>1186</v>
      </c>
      <c r="K132" s="61" t="s">
        <v>831</v>
      </c>
      <c r="L132" s="159"/>
      <c r="M132" s="48"/>
      <c r="N132" s="123"/>
    </row>
    <row r="133" spans="1:14" customFormat="1" x14ac:dyDescent="0.55000000000000004">
      <c r="A133" s="101" t="s">
        <v>1185</v>
      </c>
      <c r="B133" s="61" t="s">
        <v>1142</v>
      </c>
      <c r="C133" s="61" t="s">
        <v>348</v>
      </c>
      <c r="D133" s="61" t="s">
        <v>3288</v>
      </c>
      <c r="E133" s="119">
        <v>4.3499999999999996</v>
      </c>
      <c r="F133" s="148" t="s">
        <v>122</v>
      </c>
      <c r="G133" s="148" t="s">
        <v>122</v>
      </c>
      <c r="H133" s="61" t="s">
        <v>39</v>
      </c>
      <c r="I133" s="61" t="s">
        <v>535</v>
      </c>
      <c r="J133" s="62" t="s">
        <v>1186</v>
      </c>
      <c r="K133" s="61" t="s">
        <v>831</v>
      </c>
      <c r="L133" s="159"/>
      <c r="M133" s="48"/>
      <c r="N133" s="123"/>
    </row>
    <row r="134" spans="1:14" customFormat="1" x14ac:dyDescent="0.55000000000000004">
      <c r="A134" s="101" t="s">
        <v>1185</v>
      </c>
      <c r="B134" s="61" t="s">
        <v>181</v>
      </c>
      <c r="C134" s="61" t="s">
        <v>163</v>
      </c>
      <c r="D134" s="61" t="s">
        <v>3288</v>
      </c>
      <c r="E134" s="119">
        <v>16.3</v>
      </c>
      <c r="F134" s="148" t="s">
        <v>122</v>
      </c>
      <c r="G134" s="148" t="s">
        <v>122</v>
      </c>
      <c r="H134" s="61" t="s">
        <v>39</v>
      </c>
      <c r="I134" s="61" t="s">
        <v>535</v>
      </c>
      <c r="J134" s="62" t="s">
        <v>1186</v>
      </c>
      <c r="K134" s="61" t="s">
        <v>831</v>
      </c>
      <c r="L134" s="159"/>
      <c r="M134" s="48"/>
      <c r="N134" s="123"/>
    </row>
    <row r="135" spans="1:14" customFormat="1" x14ac:dyDescent="0.55000000000000004">
      <c r="A135" s="101" t="s">
        <v>1185</v>
      </c>
      <c r="B135" s="61" t="s">
        <v>1147</v>
      </c>
      <c r="C135" s="61" t="s">
        <v>156</v>
      </c>
      <c r="D135" s="61" t="s">
        <v>3288</v>
      </c>
      <c r="E135" s="119">
        <v>0.13</v>
      </c>
      <c r="F135" s="148" t="s">
        <v>122</v>
      </c>
      <c r="G135" s="148" t="s">
        <v>122</v>
      </c>
      <c r="H135" s="61" t="s">
        <v>39</v>
      </c>
      <c r="I135" s="61" t="s">
        <v>535</v>
      </c>
      <c r="J135" s="62" t="s">
        <v>1186</v>
      </c>
      <c r="K135" s="61" t="s">
        <v>831</v>
      </c>
      <c r="L135" s="159">
        <v>262019</v>
      </c>
      <c r="M135" s="48"/>
      <c r="N135" s="123"/>
    </row>
    <row r="136" spans="1:14" customFormat="1" x14ac:dyDescent="0.55000000000000004">
      <c r="A136" s="101" t="s">
        <v>1177</v>
      </c>
      <c r="B136" s="61" t="s">
        <v>189</v>
      </c>
      <c r="C136" s="61" t="s">
        <v>121</v>
      </c>
      <c r="D136" s="61" t="s">
        <v>3288</v>
      </c>
      <c r="E136" s="119">
        <v>1</v>
      </c>
      <c r="F136" s="148" t="s">
        <v>122</v>
      </c>
      <c r="G136" s="148">
        <v>1</v>
      </c>
      <c r="H136" s="61" t="s">
        <v>39</v>
      </c>
      <c r="I136" s="61" t="s">
        <v>535</v>
      </c>
      <c r="J136" s="62" t="s">
        <v>1178</v>
      </c>
      <c r="K136" s="61" t="s">
        <v>831</v>
      </c>
      <c r="L136" s="159">
        <v>7403</v>
      </c>
      <c r="M136" s="48"/>
      <c r="N136" s="123"/>
    </row>
    <row r="137" spans="1:14" customFormat="1" x14ac:dyDescent="0.55000000000000004">
      <c r="A137" s="101" t="s">
        <v>1177</v>
      </c>
      <c r="B137" s="61" t="s">
        <v>1179</v>
      </c>
      <c r="C137" s="61" t="s">
        <v>125</v>
      </c>
      <c r="D137" s="61" t="s">
        <v>3288</v>
      </c>
      <c r="E137" s="119">
        <v>1.05</v>
      </c>
      <c r="F137" s="148" t="s">
        <v>122</v>
      </c>
      <c r="G137" s="148" t="s">
        <v>122</v>
      </c>
      <c r="H137" s="61" t="s">
        <v>39</v>
      </c>
      <c r="I137" s="61" t="s">
        <v>535</v>
      </c>
      <c r="J137" s="62" t="s">
        <v>1178</v>
      </c>
      <c r="K137" s="61" t="s">
        <v>831</v>
      </c>
      <c r="L137" s="159"/>
      <c r="M137" s="48"/>
      <c r="N137" s="123"/>
    </row>
    <row r="138" spans="1:14" customFormat="1" x14ac:dyDescent="0.55000000000000004">
      <c r="A138" s="101" t="s">
        <v>1177</v>
      </c>
      <c r="B138" s="61" t="s">
        <v>1088</v>
      </c>
      <c r="C138" s="61" t="s">
        <v>127</v>
      </c>
      <c r="D138" s="61" t="s">
        <v>2994</v>
      </c>
      <c r="E138" s="119">
        <v>0.4</v>
      </c>
      <c r="F138" s="148" t="s">
        <v>130</v>
      </c>
      <c r="G138" s="148" t="s">
        <v>122</v>
      </c>
      <c r="H138" s="61" t="s">
        <v>39</v>
      </c>
      <c r="I138" s="61" t="s">
        <v>535</v>
      </c>
      <c r="J138" s="62" t="s">
        <v>1178</v>
      </c>
      <c r="K138" s="61" t="s">
        <v>831</v>
      </c>
      <c r="L138" s="159"/>
      <c r="M138" s="48"/>
      <c r="N138" s="123"/>
    </row>
    <row r="139" spans="1:14" customFormat="1" x14ac:dyDescent="0.55000000000000004">
      <c r="A139" s="101" t="s">
        <v>1177</v>
      </c>
      <c r="B139" s="61" t="s">
        <v>1180</v>
      </c>
      <c r="C139" s="61" t="s">
        <v>127</v>
      </c>
      <c r="D139" s="61" t="s">
        <v>2994</v>
      </c>
      <c r="E139" s="119">
        <v>2.23</v>
      </c>
      <c r="F139" s="148" t="s">
        <v>167</v>
      </c>
      <c r="G139" s="148" t="s">
        <v>122</v>
      </c>
      <c r="H139" s="61" t="s">
        <v>39</v>
      </c>
      <c r="I139" s="61" t="s">
        <v>535</v>
      </c>
      <c r="J139" s="62" t="s">
        <v>1178</v>
      </c>
      <c r="K139" s="61" t="s">
        <v>831</v>
      </c>
      <c r="L139" s="159"/>
      <c r="M139" s="48"/>
      <c r="N139" s="123"/>
    </row>
    <row r="140" spans="1:14" customFormat="1" x14ac:dyDescent="0.55000000000000004">
      <c r="A140" s="101" t="s">
        <v>1177</v>
      </c>
      <c r="B140" s="61" t="s">
        <v>1181</v>
      </c>
      <c r="C140" s="61" t="s">
        <v>125</v>
      </c>
      <c r="D140" s="61" t="s">
        <v>3288</v>
      </c>
      <c r="E140" s="119">
        <v>6.0099999999999997E-3</v>
      </c>
      <c r="F140" s="148" t="s">
        <v>122</v>
      </c>
      <c r="G140" s="148" t="s">
        <v>122</v>
      </c>
      <c r="H140" s="61" t="s">
        <v>39</v>
      </c>
      <c r="I140" s="61" t="s">
        <v>535</v>
      </c>
      <c r="J140" s="62" t="s">
        <v>1178</v>
      </c>
      <c r="K140" s="61" t="s">
        <v>831</v>
      </c>
      <c r="L140" s="159"/>
      <c r="M140" s="48"/>
      <c r="N140" s="123"/>
    </row>
    <row r="141" spans="1:14" customFormat="1" x14ac:dyDescent="0.55000000000000004">
      <c r="A141" s="101" t="s">
        <v>1177</v>
      </c>
      <c r="B141" s="61" t="s">
        <v>1182</v>
      </c>
      <c r="C141" s="61" t="s">
        <v>125</v>
      </c>
      <c r="D141" s="61" t="s">
        <v>3288</v>
      </c>
      <c r="E141" s="119">
        <v>4.9500000000000004E-3</v>
      </c>
      <c r="F141" s="148" t="s">
        <v>122</v>
      </c>
      <c r="G141" s="148" t="s">
        <v>122</v>
      </c>
      <c r="H141" s="61" t="s">
        <v>39</v>
      </c>
      <c r="I141" s="61" t="s">
        <v>535</v>
      </c>
      <c r="J141" s="62" t="s">
        <v>1178</v>
      </c>
      <c r="K141" s="61" t="s">
        <v>831</v>
      </c>
      <c r="L141" s="159"/>
      <c r="M141" s="48"/>
      <c r="N141" s="123"/>
    </row>
    <row r="142" spans="1:14" customFormat="1" x14ac:dyDescent="0.55000000000000004">
      <c r="A142" s="101" t="s">
        <v>1177</v>
      </c>
      <c r="B142" s="61" t="s">
        <v>1183</v>
      </c>
      <c r="C142" s="61" t="s">
        <v>124</v>
      </c>
      <c r="D142" s="61" t="s">
        <v>2994</v>
      </c>
      <c r="E142" s="119">
        <v>1.76</v>
      </c>
      <c r="F142" s="148" t="s">
        <v>167</v>
      </c>
      <c r="G142" s="148" t="s">
        <v>122</v>
      </c>
      <c r="H142" s="61" t="s">
        <v>39</v>
      </c>
      <c r="I142" s="61" t="s">
        <v>535</v>
      </c>
      <c r="J142" s="62" t="s">
        <v>1178</v>
      </c>
      <c r="K142" s="61" t="s">
        <v>831</v>
      </c>
      <c r="L142" s="159"/>
      <c r="M142" s="48"/>
      <c r="N142" s="123"/>
    </row>
    <row r="143" spans="1:14" customFormat="1" x14ac:dyDescent="0.55000000000000004">
      <c r="A143" s="101" t="s">
        <v>1177</v>
      </c>
      <c r="B143" s="61" t="s">
        <v>1184</v>
      </c>
      <c r="C143" s="61" t="s">
        <v>163</v>
      </c>
      <c r="D143" s="61" t="s">
        <v>3288</v>
      </c>
      <c r="E143" s="119">
        <v>4.7600000000000003E-2</v>
      </c>
      <c r="F143" s="148" t="s">
        <v>122</v>
      </c>
      <c r="G143" s="148" t="s">
        <v>122</v>
      </c>
      <c r="H143" s="61" t="s">
        <v>39</v>
      </c>
      <c r="I143" s="61" t="s">
        <v>535</v>
      </c>
      <c r="J143" s="62" t="s">
        <v>1178</v>
      </c>
      <c r="K143" s="61" t="s">
        <v>831</v>
      </c>
      <c r="L143" s="159"/>
      <c r="M143" s="48"/>
      <c r="N143" s="123"/>
    </row>
    <row r="144" spans="1:14" customFormat="1" x14ac:dyDescent="0.55000000000000004">
      <c r="A144" s="101" t="s">
        <v>1177</v>
      </c>
      <c r="B144" s="61" t="s">
        <v>161</v>
      </c>
      <c r="C144" s="61" t="s">
        <v>156</v>
      </c>
      <c r="D144" s="61" t="s">
        <v>3288</v>
      </c>
      <c r="E144" s="119">
        <v>5.0000000000000001E-3</v>
      </c>
      <c r="F144" s="148" t="s">
        <v>122</v>
      </c>
      <c r="G144" s="148" t="s">
        <v>122</v>
      </c>
      <c r="H144" s="61" t="s">
        <v>39</v>
      </c>
      <c r="I144" s="61" t="s">
        <v>535</v>
      </c>
      <c r="J144" s="62" t="s">
        <v>1178</v>
      </c>
      <c r="K144" s="61" t="s">
        <v>831</v>
      </c>
      <c r="L144" s="159">
        <v>711230</v>
      </c>
      <c r="M144" s="48"/>
      <c r="N144" s="123"/>
    </row>
    <row r="145" spans="1:14" customFormat="1" x14ac:dyDescent="0.55000000000000004">
      <c r="A145" s="101" t="s">
        <v>1173</v>
      </c>
      <c r="B145" s="61" t="s">
        <v>1166</v>
      </c>
      <c r="C145" s="61" t="s">
        <v>121</v>
      </c>
      <c r="D145" s="61" t="s">
        <v>3288</v>
      </c>
      <c r="E145" s="119">
        <v>1</v>
      </c>
      <c r="F145" s="148" t="s">
        <v>122</v>
      </c>
      <c r="G145" s="148">
        <v>1</v>
      </c>
      <c r="H145" s="61" t="s">
        <v>39</v>
      </c>
      <c r="I145" s="61" t="s">
        <v>535</v>
      </c>
      <c r="J145" s="62" t="s">
        <v>1174</v>
      </c>
      <c r="K145" s="109" t="s">
        <v>831</v>
      </c>
      <c r="L145" s="159">
        <v>7402</v>
      </c>
      <c r="M145" s="48"/>
      <c r="N145" s="123"/>
    </row>
    <row r="146" spans="1:14" customFormat="1" x14ac:dyDescent="0.55000000000000004">
      <c r="A146" s="101" t="s">
        <v>1173</v>
      </c>
      <c r="B146" s="61" t="s">
        <v>1175</v>
      </c>
      <c r="C146" s="61" t="s">
        <v>125</v>
      </c>
      <c r="D146" s="61" t="s">
        <v>3288</v>
      </c>
      <c r="E146" s="119">
        <v>3.33</v>
      </c>
      <c r="F146" s="148" t="s">
        <v>122</v>
      </c>
      <c r="G146" s="148" t="s">
        <v>122</v>
      </c>
      <c r="H146" s="61" t="s">
        <v>39</v>
      </c>
      <c r="I146" s="61" t="s">
        <v>535</v>
      </c>
      <c r="J146" s="62" t="s">
        <v>1174</v>
      </c>
      <c r="K146" s="109" t="s">
        <v>831</v>
      </c>
      <c r="L146" s="159"/>
      <c r="M146" s="48"/>
      <c r="N146" s="123"/>
    </row>
    <row r="147" spans="1:14" customFormat="1" x14ac:dyDescent="0.55000000000000004">
      <c r="A147" s="101" t="s">
        <v>1173</v>
      </c>
      <c r="B147" s="61" t="s">
        <v>145</v>
      </c>
      <c r="C147" s="61" t="s">
        <v>156</v>
      </c>
      <c r="D147" s="61" t="s">
        <v>3288</v>
      </c>
      <c r="E147" s="119">
        <v>2.17</v>
      </c>
      <c r="F147" s="148" t="s">
        <v>122</v>
      </c>
      <c r="G147" s="148" t="s">
        <v>122</v>
      </c>
      <c r="H147" s="61" t="s">
        <v>39</v>
      </c>
      <c r="I147" s="61" t="s">
        <v>535</v>
      </c>
      <c r="J147" s="62" t="s">
        <v>1174</v>
      </c>
      <c r="K147" s="109" t="s">
        <v>831</v>
      </c>
      <c r="L147" s="159"/>
      <c r="M147" s="48"/>
      <c r="N147" s="123"/>
    </row>
    <row r="148" spans="1:14" customFormat="1" x14ac:dyDescent="0.55000000000000004">
      <c r="A148" s="101" t="s">
        <v>1173</v>
      </c>
      <c r="B148" s="61" t="s">
        <v>505</v>
      </c>
      <c r="C148" s="61" t="s">
        <v>127</v>
      </c>
      <c r="D148" s="61" t="s">
        <v>2994</v>
      </c>
      <c r="E148" s="119">
        <v>3.9</v>
      </c>
      <c r="F148" s="148" t="s">
        <v>167</v>
      </c>
      <c r="G148" s="148" t="s">
        <v>122</v>
      </c>
      <c r="H148" s="61" t="s">
        <v>39</v>
      </c>
      <c r="I148" s="61" t="s">
        <v>535</v>
      </c>
      <c r="J148" s="62" t="s">
        <v>1174</v>
      </c>
      <c r="K148" s="109" t="s">
        <v>831</v>
      </c>
      <c r="L148" s="159"/>
      <c r="M148" s="48"/>
      <c r="N148" s="123"/>
    </row>
    <row r="149" spans="1:14" customFormat="1" x14ac:dyDescent="0.55000000000000004">
      <c r="A149" s="101" t="s">
        <v>1173</v>
      </c>
      <c r="B149" s="61" t="s">
        <v>153</v>
      </c>
      <c r="C149" s="61" t="s">
        <v>127</v>
      </c>
      <c r="D149" s="61" t="s">
        <v>2994</v>
      </c>
      <c r="E149" s="119">
        <v>6.44</v>
      </c>
      <c r="F149" s="148" t="s">
        <v>167</v>
      </c>
      <c r="G149" s="148" t="s">
        <v>122</v>
      </c>
      <c r="H149" s="61" t="s">
        <v>39</v>
      </c>
      <c r="I149" s="61" t="s">
        <v>535</v>
      </c>
      <c r="J149" s="62" t="s">
        <v>1174</v>
      </c>
      <c r="K149" s="109" t="s">
        <v>831</v>
      </c>
      <c r="L149" s="159"/>
      <c r="M149" s="48"/>
      <c r="N149" s="123"/>
    </row>
    <row r="150" spans="1:14" customFormat="1" x14ac:dyDescent="0.55000000000000004">
      <c r="A150" s="101" t="s">
        <v>1173</v>
      </c>
      <c r="B150" s="61" t="s">
        <v>1169</v>
      </c>
      <c r="C150" s="61" t="s">
        <v>125</v>
      </c>
      <c r="D150" s="61" t="s">
        <v>3288</v>
      </c>
      <c r="E150" s="119">
        <v>1.77</v>
      </c>
      <c r="F150" s="148" t="s">
        <v>122</v>
      </c>
      <c r="G150" s="148" t="s">
        <v>122</v>
      </c>
      <c r="H150" s="61" t="s">
        <v>39</v>
      </c>
      <c r="I150" s="61" t="s">
        <v>535</v>
      </c>
      <c r="J150" s="62" t="s">
        <v>1174</v>
      </c>
      <c r="K150" s="109" t="s">
        <v>831</v>
      </c>
      <c r="L150" s="159"/>
      <c r="M150" s="48"/>
      <c r="N150" s="123"/>
    </row>
    <row r="151" spans="1:14" customFormat="1" x14ac:dyDescent="0.55000000000000004">
      <c r="A151" s="101" t="s">
        <v>1173</v>
      </c>
      <c r="B151" s="61" t="s">
        <v>213</v>
      </c>
      <c r="C151" s="61" t="s">
        <v>132</v>
      </c>
      <c r="D151" s="61" t="s">
        <v>3288</v>
      </c>
      <c r="E151" s="119">
        <v>3.04</v>
      </c>
      <c r="F151" s="148" t="s">
        <v>122</v>
      </c>
      <c r="G151" s="148" t="s">
        <v>122</v>
      </c>
      <c r="H151" s="61" t="s">
        <v>39</v>
      </c>
      <c r="I151" s="61" t="s">
        <v>535</v>
      </c>
      <c r="J151" s="62" t="s">
        <v>1174</v>
      </c>
      <c r="K151" s="109" t="s">
        <v>831</v>
      </c>
      <c r="L151" s="159"/>
      <c r="M151" s="48"/>
      <c r="N151" s="123"/>
    </row>
    <row r="152" spans="1:14" customFormat="1" x14ac:dyDescent="0.55000000000000004">
      <c r="A152" s="101" t="s">
        <v>1173</v>
      </c>
      <c r="B152" s="61" t="s">
        <v>1170</v>
      </c>
      <c r="C152" s="61" t="s">
        <v>125</v>
      </c>
      <c r="D152" s="61" t="s">
        <v>3288</v>
      </c>
      <c r="E152" s="119">
        <v>0.33</v>
      </c>
      <c r="F152" s="148" t="s">
        <v>122</v>
      </c>
      <c r="G152" s="148" t="s">
        <v>122</v>
      </c>
      <c r="H152" s="61" t="s">
        <v>39</v>
      </c>
      <c r="I152" s="61" t="s">
        <v>535</v>
      </c>
      <c r="J152" s="62" t="s">
        <v>1174</v>
      </c>
      <c r="K152" s="109" t="s">
        <v>831</v>
      </c>
      <c r="L152" s="159"/>
      <c r="M152" s="48"/>
      <c r="N152" s="123"/>
    </row>
    <row r="153" spans="1:14" customFormat="1" x14ac:dyDescent="0.55000000000000004">
      <c r="A153" s="101" t="s">
        <v>1173</v>
      </c>
      <c r="B153" t="s">
        <v>131</v>
      </c>
      <c r="C153" s="61" t="s">
        <v>132</v>
      </c>
      <c r="D153" s="61" t="s">
        <v>3288</v>
      </c>
      <c r="E153" s="119">
        <v>0.16</v>
      </c>
      <c r="F153" s="148" t="s">
        <v>122</v>
      </c>
      <c r="G153" s="148" t="s">
        <v>122</v>
      </c>
      <c r="H153" s="61" t="s">
        <v>39</v>
      </c>
      <c r="I153" s="61" t="s">
        <v>535</v>
      </c>
      <c r="J153" s="62" t="s">
        <v>1174</v>
      </c>
      <c r="K153" s="109" t="s">
        <v>831</v>
      </c>
      <c r="L153" s="159"/>
      <c r="M153" s="48"/>
      <c r="N153" s="123"/>
    </row>
    <row r="154" spans="1:14" customFormat="1" x14ac:dyDescent="0.55000000000000004">
      <c r="A154" s="101" t="s">
        <v>1173</v>
      </c>
      <c r="B154" s="61" t="s">
        <v>1171</v>
      </c>
      <c r="C154" s="61" t="s">
        <v>348</v>
      </c>
      <c r="D154" s="61" t="s">
        <v>3288</v>
      </c>
      <c r="E154" s="119">
        <v>0.01</v>
      </c>
      <c r="F154" s="148" t="s">
        <v>122</v>
      </c>
      <c r="G154" s="148" t="s">
        <v>122</v>
      </c>
      <c r="H154" s="61" t="s">
        <v>39</v>
      </c>
      <c r="I154" s="61" t="s">
        <v>535</v>
      </c>
      <c r="J154" s="62" t="s">
        <v>1174</v>
      </c>
      <c r="K154" s="109" t="s">
        <v>831</v>
      </c>
      <c r="L154" s="159"/>
      <c r="M154" s="48"/>
      <c r="N154" s="123"/>
    </row>
    <row r="155" spans="1:14" customFormat="1" x14ac:dyDescent="0.55000000000000004">
      <c r="A155" s="101" t="s">
        <v>1173</v>
      </c>
      <c r="B155" s="61" t="s">
        <v>154</v>
      </c>
      <c r="C155" s="61" t="s">
        <v>132</v>
      </c>
      <c r="D155" s="61" t="s">
        <v>3288</v>
      </c>
      <c r="E155" s="119">
        <v>0.44</v>
      </c>
      <c r="F155" s="148" t="s">
        <v>122</v>
      </c>
      <c r="G155" s="148" t="s">
        <v>122</v>
      </c>
      <c r="H155" s="61" t="s">
        <v>39</v>
      </c>
      <c r="I155" s="61" t="s">
        <v>535</v>
      </c>
      <c r="J155" s="62" t="s">
        <v>1174</v>
      </c>
      <c r="K155" s="61" t="s">
        <v>831</v>
      </c>
      <c r="L155" s="159"/>
      <c r="M155" s="48"/>
      <c r="N155" s="123"/>
    </row>
    <row r="156" spans="1:14" customFormat="1" x14ac:dyDescent="0.55000000000000004">
      <c r="A156" s="101" t="s">
        <v>1173</v>
      </c>
      <c r="B156" s="61" t="s">
        <v>1172</v>
      </c>
      <c r="C156" s="61" t="s">
        <v>124</v>
      </c>
      <c r="D156" s="61" t="s">
        <v>3288</v>
      </c>
      <c r="E156" s="119">
        <v>0.02</v>
      </c>
      <c r="F156" s="148" t="s">
        <v>122</v>
      </c>
      <c r="G156" s="148" t="s">
        <v>122</v>
      </c>
      <c r="H156" s="61" t="s">
        <v>39</v>
      </c>
      <c r="I156" s="61" t="s">
        <v>535</v>
      </c>
      <c r="J156" s="62" t="s">
        <v>1174</v>
      </c>
      <c r="K156" s="61" t="s">
        <v>831</v>
      </c>
      <c r="L156" s="159"/>
      <c r="M156" s="48"/>
      <c r="N156" s="123"/>
    </row>
    <row r="157" spans="1:14" customFormat="1" x14ac:dyDescent="0.55000000000000004">
      <c r="A157" s="101" t="s">
        <v>1173</v>
      </c>
      <c r="B157" s="61" t="s">
        <v>160</v>
      </c>
      <c r="C157" s="61" t="s">
        <v>124</v>
      </c>
      <c r="D157" s="61" t="s">
        <v>3288</v>
      </c>
      <c r="E157" s="119">
        <v>0.4</v>
      </c>
      <c r="F157" s="148" t="s">
        <v>122</v>
      </c>
      <c r="G157" s="148" t="s">
        <v>122</v>
      </c>
      <c r="H157" s="61" t="s">
        <v>39</v>
      </c>
      <c r="I157" s="61" t="s">
        <v>535</v>
      </c>
      <c r="J157" s="62" t="s">
        <v>1174</v>
      </c>
      <c r="K157" s="61" t="s">
        <v>831</v>
      </c>
      <c r="L157" s="159"/>
      <c r="M157" s="48"/>
      <c r="N157" s="123"/>
    </row>
    <row r="158" spans="1:14" customFormat="1" x14ac:dyDescent="0.55000000000000004">
      <c r="A158" s="101" t="s">
        <v>1173</v>
      </c>
      <c r="B158" s="61" t="s">
        <v>735</v>
      </c>
      <c r="C158" s="61" t="s">
        <v>163</v>
      </c>
      <c r="D158" s="61" t="s">
        <v>3288</v>
      </c>
      <c r="E158" s="119">
        <v>1.83</v>
      </c>
      <c r="F158" s="148" t="s">
        <v>122</v>
      </c>
      <c r="G158" s="148" t="s">
        <v>122</v>
      </c>
      <c r="H158" s="61" t="s">
        <v>39</v>
      </c>
      <c r="I158" s="61" t="s">
        <v>535</v>
      </c>
      <c r="J158" s="62" t="s">
        <v>1174</v>
      </c>
      <c r="K158" s="61" t="s">
        <v>831</v>
      </c>
      <c r="L158" s="159"/>
      <c r="M158" s="48"/>
      <c r="N158" s="123"/>
    </row>
    <row r="159" spans="1:14" customFormat="1" x14ac:dyDescent="0.55000000000000004">
      <c r="A159" s="101" t="s">
        <v>1165</v>
      </c>
      <c r="B159" s="61" t="s">
        <v>1166</v>
      </c>
      <c r="C159" s="61" t="s">
        <v>121</v>
      </c>
      <c r="D159" s="61" t="s">
        <v>3288</v>
      </c>
      <c r="E159" s="119">
        <v>1</v>
      </c>
      <c r="F159" s="148" t="s">
        <v>122</v>
      </c>
      <c r="G159" s="148">
        <v>1</v>
      </c>
      <c r="H159" s="61" t="s">
        <v>39</v>
      </c>
      <c r="I159" s="61" t="s">
        <v>535</v>
      </c>
      <c r="J159" s="62" t="s">
        <v>1167</v>
      </c>
      <c r="K159" s="109" t="s">
        <v>831</v>
      </c>
      <c r="L159" s="159">
        <v>7402</v>
      </c>
      <c r="M159" s="48"/>
      <c r="N159" s="123"/>
    </row>
    <row r="160" spans="1:14" customFormat="1" x14ac:dyDescent="0.55000000000000004">
      <c r="A160" s="101" t="s">
        <v>1165</v>
      </c>
      <c r="B160" s="61" t="s">
        <v>1168</v>
      </c>
      <c r="C160" s="61" t="s">
        <v>125</v>
      </c>
      <c r="D160" s="61" t="s">
        <v>3288</v>
      </c>
      <c r="E160" s="119">
        <v>2</v>
      </c>
      <c r="F160" s="148" t="s">
        <v>122</v>
      </c>
      <c r="G160" s="148" t="s">
        <v>122</v>
      </c>
      <c r="H160" s="61" t="s">
        <v>39</v>
      </c>
      <c r="I160" s="61" t="s">
        <v>535</v>
      </c>
      <c r="J160" s="62" t="s">
        <v>1167</v>
      </c>
      <c r="K160" s="109" t="s">
        <v>831</v>
      </c>
      <c r="L160" s="159"/>
      <c r="M160" s="48"/>
      <c r="N160" s="123"/>
    </row>
    <row r="161" spans="1:14" customFormat="1" x14ac:dyDescent="0.55000000000000004">
      <c r="A161" s="101" t="s">
        <v>1165</v>
      </c>
      <c r="B161" s="61" t="s">
        <v>505</v>
      </c>
      <c r="C161" s="61" t="s">
        <v>127</v>
      </c>
      <c r="D161" s="61" t="s">
        <v>2994</v>
      </c>
      <c r="E161" s="119">
        <v>1.08</v>
      </c>
      <c r="F161" s="148" t="s">
        <v>167</v>
      </c>
      <c r="G161" s="148" t="s">
        <v>122</v>
      </c>
      <c r="H161" s="61" t="s">
        <v>39</v>
      </c>
      <c r="I161" s="61" t="s">
        <v>535</v>
      </c>
      <c r="J161" s="62" t="s">
        <v>1167</v>
      </c>
      <c r="K161" s="109" t="s">
        <v>831</v>
      </c>
      <c r="L161" s="159"/>
      <c r="M161" s="48"/>
      <c r="N161" s="123"/>
    </row>
    <row r="162" spans="1:14" customFormat="1" x14ac:dyDescent="0.55000000000000004">
      <c r="A162" s="101" t="s">
        <v>1165</v>
      </c>
      <c r="B162" s="61" t="s">
        <v>153</v>
      </c>
      <c r="C162" s="61" t="s">
        <v>127</v>
      </c>
      <c r="D162" s="61" t="s">
        <v>2994</v>
      </c>
      <c r="E162" s="119">
        <v>5.2</v>
      </c>
      <c r="F162" s="148" t="s">
        <v>167</v>
      </c>
      <c r="G162" s="148" t="s">
        <v>122</v>
      </c>
      <c r="H162" s="61" t="s">
        <v>39</v>
      </c>
      <c r="I162" s="61" t="s">
        <v>535</v>
      </c>
      <c r="J162" s="62" t="s">
        <v>1167</v>
      </c>
      <c r="K162" s="109" t="s">
        <v>831</v>
      </c>
      <c r="L162" s="159"/>
      <c r="M162" s="48"/>
      <c r="N162" s="123"/>
    </row>
    <row r="163" spans="1:14" customFormat="1" x14ac:dyDescent="0.55000000000000004">
      <c r="A163" s="101" t="s">
        <v>1165</v>
      </c>
      <c r="B163" s="61" t="s">
        <v>213</v>
      </c>
      <c r="C163" s="61" t="s">
        <v>132</v>
      </c>
      <c r="D163" s="61" t="s">
        <v>3288</v>
      </c>
      <c r="E163" s="119">
        <v>0.28000000000000003</v>
      </c>
      <c r="F163" s="148" t="s">
        <v>122</v>
      </c>
      <c r="G163" s="148" t="s">
        <v>122</v>
      </c>
      <c r="H163" s="61" t="s">
        <v>39</v>
      </c>
      <c r="I163" s="61" t="s">
        <v>535</v>
      </c>
      <c r="J163" s="62" t="s">
        <v>1167</v>
      </c>
      <c r="K163" s="109" t="s">
        <v>831</v>
      </c>
      <c r="L163" s="159"/>
      <c r="M163" s="48"/>
      <c r="N163" s="123"/>
    </row>
    <row r="164" spans="1:14" customFormat="1" x14ac:dyDescent="0.55000000000000004">
      <c r="A164" s="101" t="s">
        <v>1165</v>
      </c>
      <c r="B164" s="61" t="s">
        <v>1169</v>
      </c>
      <c r="C164" s="61" t="s">
        <v>125</v>
      </c>
      <c r="D164" s="61" t="s">
        <v>3288</v>
      </c>
      <c r="E164" s="119">
        <v>0.68400000000000005</v>
      </c>
      <c r="F164" s="148" t="s">
        <v>122</v>
      </c>
      <c r="G164" s="148" t="s">
        <v>122</v>
      </c>
      <c r="H164" s="61" t="s">
        <v>39</v>
      </c>
      <c r="I164" s="61" t="s">
        <v>535</v>
      </c>
      <c r="J164" s="62" t="s">
        <v>1167</v>
      </c>
      <c r="K164" s="109" t="s">
        <v>831</v>
      </c>
      <c r="L164" s="159"/>
      <c r="M164" s="48"/>
      <c r="N164" s="123"/>
    </row>
    <row r="165" spans="1:14" customFormat="1" x14ac:dyDescent="0.55000000000000004">
      <c r="A165" s="101" t="s">
        <v>1165</v>
      </c>
      <c r="B165" s="61" t="s">
        <v>1170</v>
      </c>
      <c r="C165" s="61" t="s">
        <v>127</v>
      </c>
      <c r="D165" s="61" t="s">
        <v>3288</v>
      </c>
      <c r="E165" s="119">
        <v>0.1</v>
      </c>
      <c r="F165" s="148" t="s">
        <v>122</v>
      </c>
      <c r="G165" s="148" t="s">
        <v>122</v>
      </c>
      <c r="H165" s="61" t="s">
        <v>39</v>
      </c>
      <c r="I165" s="61" t="s">
        <v>535</v>
      </c>
      <c r="J165" s="62" t="s">
        <v>1167</v>
      </c>
      <c r="K165" s="109" t="s">
        <v>831</v>
      </c>
      <c r="L165" s="159"/>
      <c r="M165" s="48"/>
      <c r="N165" s="123"/>
    </row>
    <row r="166" spans="1:14" customFormat="1" x14ac:dyDescent="0.55000000000000004">
      <c r="A166" s="101" t="s">
        <v>1165</v>
      </c>
      <c r="B166" s="61" t="s">
        <v>145</v>
      </c>
      <c r="C166" s="61" t="s">
        <v>156</v>
      </c>
      <c r="D166" s="61" t="s">
        <v>3288</v>
      </c>
      <c r="E166" s="119">
        <v>1.32</v>
      </c>
      <c r="F166" s="148" t="s">
        <v>122</v>
      </c>
      <c r="G166" s="148" t="s">
        <v>122</v>
      </c>
      <c r="H166" s="61" t="s">
        <v>39</v>
      </c>
      <c r="I166" s="61" t="s">
        <v>535</v>
      </c>
      <c r="J166" s="62" t="s">
        <v>1167</v>
      </c>
      <c r="K166" s="109" t="s">
        <v>831</v>
      </c>
      <c r="L166" s="159"/>
      <c r="M166" s="48"/>
      <c r="N166" s="123"/>
    </row>
    <row r="167" spans="1:14" customFormat="1" x14ac:dyDescent="0.55000000000000004">
      <c r="A167" s="101" t="s">
        <v>1165</v>
      </c>
      <c r="B167" s="61" t="s">
        <v>1171</v>
      </c>
      <c r="C167" s="61" t="s">
        <v>348</v>
      </c>
      <c r="D167" s="61" t="s">
        <v>3288</v>
      </c>
      <c r="E167" s="119">
        <v>0.01</v>
      </c>
      <c r="F167" s="148" t="s">
        <v>122</v>
      </c>
      <c r="G167" s="148" t="s">
        <v>122</v>
      </c>
      <c r="H167" s="61" t="s">
        <v>39</v>
      </c>
      <c r="I167" s="61" t="s">
        <v>535</v>
      </c>
      <c r="J167" s="62" t="s">
        <v>1167</v>
      </c>
      <c r="K167" s="109" t="s">
        <v>831</v>
      </c>
      <c r="L167" s="159"/>
      <c r="M167" s="48"/>
      <c r="N167" s="123"/>
    </row>
    <row r="168" spans="1:14" customFormat="1" x14ac:dyDescent="0.55000000000000004">
      <c r="A168" s="101" t="s">
        <v>1165</v>
      </c>
      <c r="B168" s="61" t="s">
        <v>154</v>
      </c>
      <c r="C168" s="61" t="s">
        <v>132</v>
      </c>
      <c r="D168" s="61" t="s">
        <v>3288</v>
      </c>
      <c r="E168" s="119">
        <v>0.27</v>
      </c>
      <c r="F168" s="148" t="s">
        <v>122</v>
      </c>
      <c r="G168" s="148" t="s">
        <v>122</v>
      </c>
      <c r="H168" s="61" t="s">
        <v>39</v>
      </c>
      <c r="I168" s="61" t="s">
        <v>535</v>
      </c>
      <c r="J168" s="62" t="s">
        <v>1167</v>
      </c>
      <c r="K168" s="109" t="s">
        <v>831</v>
      </c>
      <c r="L168" s="159"/>
      <c r="M168" s="48"/>
      <c r="N168" s="123"/>
    </row>
    <row r="169" spans="1:14" customFormat="1" x14ac:dyDescent="0.55000000000000004">
      <c r="A169" s="101" t="s">
        <v>1165</v>
      </c>
      <c r="B169" s="61" t="s">
        <v>1172</v>
      </c>
      <c r="C169" s="61" t="s">
        <v>124</v>
      </c>
      <c r="D169" s="61" t="s">
        <v>3288</v>
      </c>
      <c r="E169" s="119">
        <v>0.03</v>
      </c>
      <c r="F169" s="148" t="s">
        <v>122</v>
      </c>
      <c r="G169" s="148" t="s">
        <v>122</v>
      </c>
      <c r="H169" s="61" t="s">
        <v>39</v>
      </c>
      <c r="I169" s="61" t="s">
        <v>535</v>
      </c>
      <c r="J169" s="62" t="s">
        <v>1167</v>
      </c>
      <c r="K169" s="109" t="s">
        <v>831</v>
      </c>
      <c r="L169" s="159"/>
      <c r="M169" s="48"/>
      <c r="N169" s="123"/>
    </row>
    <row r="170" spans="1:14" customFormat="1" x14ac:dyDescent="0.55000000000000004">
      <c r="A170" s="101" t="s">
        <v>1165</v>
      </c>
      <c r="B170" s="61" t="s">
        <v>160</v>
      </c>
      <c r="C170" s="61" t="s">
        <v>124</v>
      </c>
      <c r="D170" s="61" t="s">
        <v>3288</v>
      </c>
      <c r="E170" s="119">
        <v>0.08</v>
      </c>
      <c r="F170" s="148" t="s">
        <v>122</v>
      </c>
      <c r="G170" s="148" t="s">
        <v>122</v>
      </c>
      <c r="H170" s="61" t="s">
        <v>39</v>
      </c>
      <c r="I170" s="61" t="s">
        <v>535</v>
      </c>
      <c r="J170" s="62" t="s">
        <v>1167</v>
      </c>
      <c r="K170" s="109" t="s">
        <v>831</v>
      </c>
      <c r="L170" s="159"/>
      <c r="M170" s="48"/>
      <c r="N170" s="123"/>
    </row>
    <row r="171" spans="1:14" customFormat="1" x14ac:dyDescent="0.55000000000000004">
      <c r="A171" s="101" t="s">
        <v>1165</v>
      </c>
      <c r="B171" s="61" t="s">
        <v>735</v>
      </c>
      <c r="C171" s="61" t="s">
        <v>163</v>
      </c>
      <c r="D171" s="61" t="s">
        <v>3288</v>
      </c>
      <c r="E171" s="119">
        <v>0.65</v>
      </c>
      <c r="F171" s="148" t="s">
        <v>122</v>
      </c>
      <c r="G171" s="148" t="s">
        <v>122</v>
      </c>
      <c r="H171" s="61" t="s">
        <v>39</v>
      </c>
      <c r="I171" s="61" t="s">
        <v>535</v>
      </c>
      <c r="J171" s="62" t="s">
        <v>1167</v>
      </c>
      <c r="K171" s="109" t="s">
        <v>831</v>
      </c>
      <c r="L171" s="159"/>
      <c r="M171" s="48"/>
      <c r="N171" s="123"/>
    </row>
    <row r="172" spans="1:14" customFormat="1" x14ac:dyDescent="0.55000000000000004">
      <c r="A172" s="105" t="s">
        <v>1159</v>
      </c>
      <c r="B172" s="61" t="s">
        <v>1160</v>
      </c>
      <c r="C172" s="61" t="s">
        <v>121</v>
      </c>
      <c r="D172" s="61" t="s">
        <v>3288</v>
      </c>
      <c r="E172" s="119">
        <v>1</v>
      </c>
      <c r="F172" s="148" t="s">
        <v>135</v>
      </c>
      <c r="G172" s="148">
        <v>1</v>
      </c>
      <c r="H172" s="61" t="s">
        <v>39</v>
      </c>
      <c r="I172" s="61" t="s">
        <v>535</v>
      </c>
      <c r="J172" s="85" t="s">
        <v>1161</v>
      </c>
      <c r="K172" s="61" t="s">
        <v>535</v>
      </c>
      <c r="L172" s="159">
        <v>271114</v>
      </c>
      <c r="M172" s="48"/>
      <c r="N172" s="123"/>
    </row>
    <row r="173" spans="1:14" customFormat="1" x14ac:dyDescent="0.55000000000000004">
      <c r="A173" s="105" t="s">
        <v>1159</v>
      </c>
      <c r="B173" s="61" t="s">
        <v>160</v>
      </c>
      <c r="C173" s="61" t="s">
        <v>497</v>
      </c>
      <c r="D173" s="61" t="s">
        <v>3288</v>
      </c>
      <c r="E173" s="119">
        <v>0.18710470700000001</v>
      </c>
      <c r="F173" s="148" t="s">
        <v>135</v>
      </c>
      <c r="G173" s="148">
        <v>1</v>
      </c>
      <c r="H173" s="61" t="s">
        <v>39</v>
      </c>
      <c r="I173" s="61" t="s">
        <v>535</v>
      </c>
      <c r="J173" s="85" t="s">
        <v>1161</v>
      </c>
      <c r="K173" s="61" t="s">
        <v>535</v>
      </c>
      <c r="L173" s="159"/>
      <c r="M173" s="48"/>
      <c r="N173" s="123"/>
    </row>
    <row r="174" spans="1:14" customFormat="1" x14ac:dyDescent="0.55000000000000004">
      <c r="A174" s="105" t="s">
        <v>1159</v>
      </c>
      <c r="B174" s="61" t="s">
        <v>1162</v>
      </c>
      <c r="C174" s="61" t="s">
        <v>497</v>
      </c>
      <c r="D174" s="61" t="s">
        <v>3288</v>
      </c>
      <c r="E174" s="119">
        <v>1.03064E-5</v>
      </c>
      <c r="F174" s="148" t="s">
        <v>135</v>
      </c>
      <c r="G174" s="148">
        <v>1</v>
      </c>
      <c r="H174" s="61" t="s">
        <v>39</v>
      </c>
      <c r="I174" s="61" t="s">
        <v>535</v>
      </c>
      <c r="J174" s="85" t="s">
        <v>1161</v>
      </c>
      <c r="K174" s="61" t="s">
        <v>535</v>
      </c>
      <c r="L174" s="159"/>
      <c r="M174" s="48"/>
      <c r="N174" s="123"/>
    </row>
    <row r="175" spans="1:14" customFormat="1" x14ac:dyDescent="0.55000000000000004">
      <c r="A175" s="105" t="s">
        <v>1159</v>
      </c>
      <c r="B175" s="61" t="s">
        <v>632</v>
      </c>
      <c r="C175" s="61" t="s">
        <v>125</v>
      </c>
      <c r="D175" s="61" t="s">
        <v>3288</v>
      </c>
      <c r="E175" s="119">
        <v>0.42599999999999999</v>
      </c>
      <c r="F175" s="148" t="s">
        <v>135</v>
      </c>
      <c r="G175" s="148">
        <v>1</v>
      </c>
      <c r="H175" s="61" t="s">
        <v>39</v>
      </c>
      <c r="I175" s="61" t="s">
        <v>535</v>
      </c>
      <c r="J175" s="85" t="s">
        <v>1161</v>
      </c>
      <c r="K175" s="61" t="s">
        <v>535</v>
      </c>
      <c r="L175" s="159"/>
      <c r="M175" s="48"/>
      <c r="N175" s="123"/>
    </row>
    <row r="176" spans="1:14" customFormat="1" x14ac:dyDescent="0.55000000000000004">
      <c r="A176" s="105" t="s">
        <v>1159</v>
      </c>
      <c r="B176" s="61" t="s">
        <v>153</v>
      </c>
      <c r="C176" s="61" t="s">
        <v>127</v>
      </c>
      <c r="D176" s="61" t="s">
        <v>2994</v>
      </c>
      <c r="E176" s="119">
        <v>0.55800000000000005</v>
      </c>
      <c r="F176" s="148" t="s">
        <v>138</v>
      </c>
      <c r="G176" s="148">
        <v>1</v>
      </c>
      <c r="H176" s="61" t="s">
        <v>39</v>
      </c>
      <c r="I176" s="61" t="s">
        <v>535</v>
      </c>
      <c r="J176" s="85" t="s">
        <v>1161</v>
      </c>
      <c r="K176" s="61" t="s">
        <v>535</v>
      </c>
      <c r="L176" s="159"/>
      <c r="M176" s="48"/>
      <c r="N176" s="123"/>
    </row>
    <row r="177" spans="1:14" customFormat="1" x14ac:dyDescent="0.55000000000000004">
      <c r="A177" s="105" t="s">
        <v>1159</v>
      </c>
      <c r="B177" s="61" t="s">
        <v>948</v>
      </c>
      <c r="C177" s="61" t="s">
        <v>125</v>
      </c>
      <c r="D177" s="61" t="s">
        <v>3288</v>
      </c>
      <c r="E177" s="119">
        <v>0.433</v>
      </c>
      <c r="F177" s="148" t="s">
        <v>135</v>
      </c>
      <c r="G177" s="148">
        <v>1</v>
      </c>
      <c r="H177" s="61" t="s">
        <v>39</v>
      </c>
      <c r="I177" s="61" t="s">
        <v>535</v>
      </c>
      <c r="J177" s="85" t="s">
        <v>1161</v>
      </c>
      <c r="K177" s="61" t="s">
        <v>535</v>
      </c>
      <c r="L177" s="159"/>
      <c r="M177" s="48"/>
      <c r="N177" s="123"/>
    </row>
    <row r="178" spans="1:14" customFormat="1" x14ac:dyDescent="0.55000000000000004">
      <c r="A178" s="105" t="s">
        <v>1159</v>
      </c>
      <c r="B178" s="61" t="s">
        <v>1163</v>
      </c>
      <c r="C178" s="61" t="s">
        <v>125</v>
      </c>
      <c r="D178" s="61" t="s">
        <v>3288</v>
      </c>
      <c r="E178" s="119">
        <v>0.13900000000000001</v>
      </c>
      <c r="F178" s="148" t="s">
        <v>135</v>
      </c>
      <c r="G178" s="148">
        <v>1</v>
      </c>
      <c r="H178" s="61" t="s">
        <v>39</v>
      </c>
      <c r="I178" s="61" t="s">
        <v>535</v>
      </c>
      <c r="J178" s="85" t="s">
        <v>1161</v>
      </c>
      <c r="K178" s="61" t="s">
        <v>535</v>
      </c>
      <c r="L178" s="159"/>
      <c r="M178" s="48"/>
      <c r="N178" s="123"/>
    </row>
    <row r="179" spans="1:14" customFormat="1" x14ac:dyDescent="0.55000000000000004">
      <c r="A179" s="105" t="s">
        <v>1159</v>
      </c>
      <c r="B179" s="61" t="s">
        <v>149</v>
      </c>
      <c r="C179" s="61" t="s">
        <v>125</v>
      </c>
      <c r="D179" s="61" t="s">
        <v>3288</v>
      </c>
      <c r="E179" s="119">
        <v>5.2999999999999999E-2</v>
      </c>
      <c r="F179" s="148" t="s">
        <v>135</v>
      </c>
      <c r="G179" s="148">
        <v>1</v>
      </c>
      <c r="H179" s="61" t="s">
        <v>39</v>
      </c>
      <c r="I179" s="61" t="s">
        <v>535</v>
      </c>
      <c r="J179" s="85" t="s">
        <v>1161</v>
      </c>
      <c r="K179" s="61" t="s">
        <v>535</v>
      </c>
      <c r="L179" s="159"/>
      <c r="M179" s="48"/>
      <c r="N179" s="123"/>
    </row>
    <row r="180" spans="1:14" customFormat="1" x14ac:dyDescent="0.55000000000000004">
      <c r="A180" s="105" t="s">
        <v>1159</v>
      </c>
      <c r="B180" s="61" t="s">
        <v>171</v>
      </c>
      <c r="C180" s="61" t="s">
        <v>127</v>
      </c>
      <c r="D180" s="61" t="s">
        <v>2994</v>
      </c>
      <c r="E180" s="119">
        <v>4.1496000000000004</v>
      </c>
      <c r="F180" s="148" t="s">
        <v>138</v>
      </c>
      <c r="G180" s="148">
        <v>1</v>
      </c>
      <c r="H180" s="61" t="s">
        <v>39</v>
      </c>
      <c r="I180" s="61" t="s">
        <v>535</v>
      </c>
      <c r="J180" s="85" t="s">
        <v>1161</v>
      </c>
      <c r="K180" s="61" t="s">
        <v>535</v>
      </c>
      <c r="L180" s="159"/>
      <c r="M180" s="48"/>
      <c r="N180" s="123"/>
    </row>
    <row r="181" spans="1:14" customFormat="1" x14ac:dyDescent="0.55000000000000004">
      <c r="A181" s="105" t="s">
        <v>1159</v>
      </c>
      <c r="B181" s="61" t="s">
        <v>1164</v>
      </c>
      <c r="C181" s="61" t="s">
        <v>125</v>
      </c>
      <c r="D181" s="61" t="s">
        <v>3288</v>
      </c>
      <c r="E181" s="119">
        <v>3.6999999999999998E-2</v>
      </c>
      <c r="F181" s="148" t="s">
        <v>135</v>
      </c>
      <c r="G181" s="148">
        <v>1</v>
      </c>
      <c r="H181" s="61" t="s">
        <v>39</v>
      </c>
      <c r="I181" s="61" t="s">
        <v>535</v>
      </c>
      <c r="J181" s="85" t="s">
        <v>1161</v>
      </c>
      <c r="K181" s="61" t="s">
        <v>535</v>
      </c>
      <c r="L181" s="159"/>
      <c r="M181" s="48"/>
      <c r="N181" s="123"/>
    </row>
    <row r="182" spans="1:14" customFormat="1" x14ac:dyDescent="0.55000000000000004">
      <c r="A182" s="105" t="s">
        <v>1159</v>
      </c>
      <c r="B182" s="61" t="s">
        <v>1090</v>
      </c>
      <c r="C182" s="61" t="s">
        <v>125</v>
      </c>
      <c r="D182" s="61" t="s">
        <v>3288</v>
      </c>
      <c r="E182" s="119">
        <v>0.111</v>
      </c>
      <c r="F182" s="148" t="s">
        <v>135</v>
      </c>
      <c r="G182" s="148">
        <v>1</v>
      </c>
      <c r="H182" s="61" t="s">
        <v>39</v>
      </c>
      <c r="I182" s="61" t="s">
        <v>535</v>
      </c>
      <c r="J182" s="85" t="s">
        <v>1161</v>
      </c>
      <c r="K182" s="61" t="s">
        <v>535</v>
      </c>
      <c r="L182" s="159"/>
      <c r="M182" s="48"/>
      <c r="N182" s="123"/>
    </row>
    <row r="183" spans="1:14" customFormat="1" x14ac:dyDescent="0.55000000000000004">
      <c r="A183" s="92" t="s">
        <v>1158</v>
      </c>
      <c r="B183" s="61" t="s">
        <v>140</v>
      </c>
      <c r="C183" s="61" t="s">
        <v>121</v>
      </c>
      <c r="D183" s="61" t="s">
        <v>3288</v>
      </c>
      <c r="E183" s="116">
        <v>1</v>
      </c>
      <c r="F183" s="149" t="s">
        <v>135</v>
      </c>
      <c r="G183" s="149">
        <v>1</v>
      </c>
      <c r="H183" t="s">
        <v>39</v>
      </c>
      <c r="I183" t="s">
        <v>1240</v>
      </c>
      <c r="J183" s="61" t="str">
        <f>A183</f>
        <v>[Agora] CCU of smelting gases from the blast-furnace route</v>
      </c>
      <c r="K183" s="61" t="s">
        <v>126</v>
      </c>
      <c r="L183" s="160" t="s">
        <v>1021</v>
      </c>
      <c r="M183" s="48"/>
      <c r="N183" s="123"/>
    </row>
    <row r="184" spans="1:14" customFormat="1" x14ac:dyDescent="0.55000000000000004">
      <c r="A184" s="92" t="s">
        <v>1158</v>
      </c>
      <c r="B184" s="61" t="s">
        <v>160</v>
      </c>
      <c r="C184" t="s">
        <v>497</v>
      </c>
      <c r="D184" s="61" t="s">
        <v>3288</v>
      </c>
      <c r="E184" s="116">
        <v>0.85</v>
      </c>
      <c r="F184" s="149" t="s">
        <v>135</v>
      </c>
      <c r="G184" s="149" t="s">
        <v>135</v>
      </c>
      <c r="H184" s="61" t="s">
        <v>39</v>
      </c>
      <c r="I184" t="s">
        <v>1241</v>
      </c>
      <c r="J184" s="61" t="str">
        <f>A184</f>
        <v>[Agora] CCU of smelting gases from the blast-furnace route</v>
      </c>
      <c r="K184" s="61" t="s">
        <v>126</v>
      </c>
      <c r="L184" s="160"/>
      <c r="M184" s="48"/>
      <c r="N184" s="123"/>
    </row>
    <row r="185" spans="1:14" customFormat="1" x14ac:dyDescent="0.55000000000000004">
      <c r="A185" s="92" t="s">
        <v>1156</v>
      </c>
      <c r="B185" s="61" t="s">
        <v>140</v>
      </c>
      <c r="C185" s="61" t="s">
        <v>121</v>
      </c>
      <c r="D185" s="61" t="s">
        <v>3288</v>
      </c>
      <c r="E185" s="116">
        <v>1</v>
      </c>
      <c r="F185" s="149" t="s">
        <v>135</v>
      </c>
      <c r="G185" s="149">
        <v>1</v>
      </c>
      <c r="H185" t="s">
        <v>39</v>
      </c>
      <c r="J185" s="61" t="s">
        <v>1157</v>
      </c>
      <c r="K185" s="61" t="s">
        <v>126</v>
      </c>
      <c r="L185" s="160" t="s">
        <v>1021</v>
      </c>
      <c r="M185" s="48"/>
      <c r="N185" s="123"/>
    </row>
    <row r="186" spans="1:14" customFormat="1" x14ac:dyDescent="0.55000000000000004">
      <c r="A186" s="92" t="s">
        <v>1156</v>
      </c>
      <c r="B186" s="61" t="s">
        <v>160</v>
      </c>
      <c r="C186" t="s">
        <v>497</v>
      </c>
      <c r="D186" s="61" t="s">
        <v>3288</v>
      </c>
      <c r="E186" s="116">
        <v>0.05</v>
      </c>
      <c r="F186" s="149" t="s">
        <v>135</v>
      </c>
      <c r="G186" s="149" t="s">
        <v>135</v>
      </c>
      <c r="H186" s="61" t="s">
        <v>39</v>
      </c>
      <c r="I186" t="s">
        <v>1239</v>
      </c>
      <c r="J186" s="61" t="s">
        <v>1157</v>
      </c>
      <c r="K186" s="61" t="s">
        <v>126</v>
      </c>
      <c r="L186" s="160"/>
      <c r="M186" s="48"/>
      <c r="N186" s="123"/>
    </row>
    <row r="187" spans="1:14" customFormat="1" x14ac:dyDescent="0.55000000000000004">
      <c r="A187" s="92" t="s">
        <v>1154</v>
      </c>
      <c r="B187" s="61" t="s">
        <v>1126</v>
      </c>
      <c r="C187" s="61" t="s">
        <v>121</v>
      </c>
      <c r="D187" s="61" t="s">
        <v>3288</v>
      </c>
      <c r="E187" s="116">
        <v>1</v>
      </c>
      <c r="F187" s="149" t="s">
        <v>135</v>
      </c>
      <c r="G187" s="148">
        <v>1</v>
      </c>
      <c r="H187" s="61" t="s">
        <v>39</v>
      </c>
      <c r="I187" t="s">
        <v>1237</v>
      </c>
      <c r="J187" s="61" t="s">
        <v>1155</v>
      </c>
      <c r="K187" s="61" t="s">
        <v>126</v>
      </c>
      <c r="L187" s="160" t="s">
        <v>1021</v>
      </c>
      <c r="M187" s="48"/>
      <c r="N187" s="123"/>
    </row>
    <row r="188" spans="1:14" customFormat="1" x14ac:dyDescent="0.55000000000000004">
      <c r="A188" s="92" t="s">
        <v>1154</v>
      </c>
      <c r="B188" s="61" t="s">
        <v>153</v>
      </c>
      <c r="C188" s="61" t="s">
        <v>127</v>
      </c>
      <c r="D188" s="61" t="s">
        <v>2994</v>
      </c>
      <c r="E188" s="116">
        <v>2</v>
      </c>
      <c r="F188" s="149" t="s">
        <v>138</v>
      </c>
      <c r="G188" s="148" t="s">
        <v>135</v>
      </c>
      <c r="H188" s="61" t="s">
        <v>39</v>
      </c>
      <c r="I188" t="s">
        <v>1237</v>
      </c>
      <c r="J188" s="61" t="s">
        <v>1155</v>
      </c>
      <c r="K188" s="61" t="s">
        <v>126</v>
      </c>
      <c r="L188" s="159"/>
      <c r="M188" s="48"/>
      <c r="N188" s="123"/>
    </row>
    <row r="189" spans="1:14" customFormat="1" x14ac:dyDescent="0.55000000000000004">
      <c r="A189" s="92" t="s">
        <v>1154</v>
      </c>
      <c r="B189" s="61" t="s">
        <v>160</v>
      </c>
      <c r="C189" t="s">
        <v>497</v>
      </c>
      <c r="D189" s="61" t="s">
        <v>3288</v>
      </c>
      <c r="E189" s="116">
        <v>7.0000000000000007E-2</v>
      </c>
      <c r="F189" s="149" t="s">
        <v>135</v>
      </c>
      <c r="G189" s="149" t="s">
        <v>135</v>
      </c>
      <c r="H189" s="61" t="s">
        <v>39</v>
      </c>
      <c r="I189" t="s">
        <v>1237</v>
      </c>
      <c r="J189" s="61" t="s">
        <v>1155</v>
      </c>
      <c r="K189" s="61" t="s">
        <v>126</v>
      </c>
      <c r="L189" s="160"/>
      <c r="M189" s="48"/>
      <c r="N189" s="123"/>
    </row>
    <row r="190" spans="1:14" customFormat="1" x14ac:dyDescent="0.55000000000000004">
      <c r="A190" s="92" t="s">
        <v>1153</v>
      </c>
      <c r="B190" s="61" t="s">
        <v>140</v>
      </c>
      <c r="C190" s="61" t="s">
        <v>121</v>
      </c>
      <c r="D190" s="61" t="s">
        <v>3288</v>
      </c>
      <c r="E190" s="116">
        <v>1</v>
      </c>
      <c r="F190" s="149" t="s">
        <v>135</v>
      </c>
      <c r="G190" s="149">
        <v>1</v>
      </c>
      <c r="H190" t="s">
        <v>39</v>
      </c>
      <c r="J190" s="61" t="str">
        <f>A190</f>
        <v>[Agora] HIsarna® with CCS</v>
      </c>
      <c r="K190" s="61" t="s">
        <v>126</v>
      </c>
      <c r="L190" s="160" t="s">
        <v>1021</v>
      </c>
      <c r="M190" s="48"/>
      <c r="N190" s="123"/>
    </row>
    <row r="191" spans="1:14" customFormat="1" x14ac:dyDescent="0.55000000000000004">
      <c r="A191" s="92" t="s">
        <v>1153</v>
      </c>
      <c r="B191" s="61" t="s">
        <v>160</v>
      </c>
      <c r="C191" t="s">
        <v>497</v>
      </c>
      <c r="D191" s="61" t="s">
        <v>3288</v>
      </c>
      <c r="E191" s="116">
        <v>0.24</v>
      </c>
      <c r="F191" s="149" t="s">
        <v>135</v>
      </c>
      <c r="G191" s="149" t="s">
        <v>135</v>
      </c>
      <c r="H191" s="61" t="s">
        <v>39</v>
      </c>
      <c r="I191" t="s">
        <v>1239</v>
      </c>
      <c r="J191" s="61" t="str">
        <f>A191</f>
        <v>[Agora] HIsarna® with CCS</v>
      </c>
      <c r="K191" s="61" t="s">
        <v>126</v>
      </c>
      <c r="L191" s="160"/>
      <c r="M191" s="48"/>
      <c r="N191" s="123"/>
    </row>
    <row r="192" spans="1:14" customFormat="1" x14ac:dyDescent="0.55000000000000004">
      <c r="A192" s="92" t="s">
        <v>1151</v>
      </c>
      <c r="B192" s="61" t="s">
        <v>140</v>
      </c>
      <c r="C192" s="61" t="s">
        <v>121</v>
      </c>
      <c r="D192" s="61" t="s">
        <v>3288</v>
      </c>
      <c r="E192" s="116">
        <v>1</v>
      </c>
      <c r="F192" s="149" t="s">
        <v>135</v>
      </c>
      <c r="G192" s="148">
        <v>1</v>
      </c>
      <c r="H192" s="61" t="s">
        <v>39</v>
      </c>
      <c r="I192" t="s">
        <v>1236</v>
      </c>
      <c r="J192" s="61" t="s">
        <v>1152</v>
      </c>
      <c r="K192" s="61" t="s">
        <v>126</v>
      </c>
      <c r="L192" s="160" t="s">
        <v>1021</v>
      </c>
      <c r="M192" s="48"/>
      <c r="N192" s="123"/>
    </row>
    <row r="193" spans="1:14" customFormat="1" x14ac:dyDescent="0.55000000000000004">
      <c r="A193" s="92" t="s">
        <v>1151</v>
      </c>
      <c r="B193" s="61" t="s">
        <v>262</v>
      </c>
      <c r="C193" s="61" t="s">
        <v>127</v>
      </c>
      <c r="D193" s="61" t="s">
        <v>2994</v>
      </c>
      <c r="E193" s="116">
        <v>15</v>
      </c>
      <c r="F193" s="149" t="s">
        <v>138</v>
      </c>
      <c r="G193" s="148" t="s">
        <v>135</v>
      </c>
      <c r="H193" s="61" t="s">
        <v>39</v>
      </c>
      <c r="I193" t="s">
        <v>1236</v>
      </c>
      <c r="J193" s="61" t="s">
        <v>1152</v>
      </c>
      <c r="K193" s="61" t="s">
        <v>126</v>
      </c>
      <c r="L193" s="159"/>
      <c r="M193" s="48"/>
      <c r="N193" s="123"/>
    </row>
    <row r="194" spans="1:14" customFormat="1" x14ac:dyDescent="0.55000000000000004">
      <c r="A194" s="92" t="s">
        <v>1151</v>
      </c>
      <c r="B194" s="61" t="s">
        <v>160</v>
      </c>
      <c r="C194" t="s">
        <v>497</v>
      </c>
      <c r="D194" s="61" t="s">
        <v>3288</v>
      </c>
      <c r="E194" s="116">
        <v>1.8</v>
      </c>
      <c r="F194" s="149" t="s">
        <v>135</v>
      </c>
      <c r="G194" s="149" t="s">
        <v>135</v>
      </c>
      <c r="H194" s="61" t="s">
        <v>39</v>
      </c>
      <c r="I194" t="s">
        <v>1236</v>
      </c>
      <c r="J194" s="61" t="s">
        <v>1152</v>
      </c>
      <c r="K194" s="61" t="s">
        <v>126</v>
      </c>
      <c r="L194" s="160"/>
      <c r="M194" s="48"/>
      <c r="N194" s="123"/>
    </row>
    <row r="195" spans="1:14" customFormat="1" x14ac:dyDescent="0.55000000000000004">
      <c r="A195" s="92" t="s">
        <v>1150</v>
      </c>
      <c r="B195" s="61" t="s">
        <v>140</v>
      </c>
      <c r="C195" s="61" t="s">
        <v>121</v>
      </c>
      <c r="D195" s="61" t="s">
        <v>3288</v>
      </c>
      <c r="E195" s="116">
        <v>1</v>
      </c>
      <c r="F195" s="149" t="s">
        <v>135</v>
      </c>
      <c r="G195" s="149">
        <v>1</v>
      </c>
      <c r="H195" t="s">
        <v>39</v>
      </c>
      <c r="J195" s="61" t="str">
        <f>A195</f>
        <v>[Agora] Iron electrolysis and smelting in electric arc furnaces</v>
      </c>
      <c r="K195" s="61" t="s">
        <v>126</v>
      </c>
      <c r="L195" s="160" t="s">
        <v>1021</v>
      </c>
      <c r="M195" s="48"/>
      <c r="N195" s="123"/>
    </row>
    <row r="196" spans="1:14" customFormat="1" x14ac:dyDescent="0.55000000000000004">
      <c r="A196" s="92" t="s">
        <v>1150</v>
      </c>
      <c r="B196" s="61" t="s">
        <v>160</v>
      </c>
      <c r="C196" t="s">
        <v>497</v>
      </c>
      <c r="D196" s="61" t="s">
        <v>3288</v>
      </c>
      <c r="E196" s="116">
        <v>0.22</v>
      </c>
      <c r="F196" s="149" t="s">
        <v>135</v>
      </c>
      <c r="G196" s="149" t="s">
        <v>135</v>
      </c>
      <c r="H196" s="61" t="s">
        <v>39</v>
      </c>
      <c r="I196" t="s">
        <v>1239</v>
      </c>
      <c r="J196" s="61" t="str">
        <f>A196</f>
        <v>[Agora] Iron electrolysis and smelting in electric arc furnaces</v>
      </c>
      <c r="K196" s="61" t="s">
        <v>126</v>
      </c>
      <c r="L196" s="160"/>
      <c r="M196" s="48"/>
      <c r="N196" s="123"/>
    </row>
    <row r="197" spans="1:14" customFormat="1" x14ac:dyDescent="0.55000000000000004">
      <c r="A197" s="92" t="s">
        <v>1148</v>
      </c>
      <c r="B197" s="61" t="s">
        <v>140</v>
      </c>
      <c r="C197" s="61" t="s">
        <v>121</v>
      </c>
      <c r="D197" s="61" t="s">
        <v>3288</v>
      </c>
      <c r="E197" s="116">
        <v>1</v>
      </c>
      <c r="F197" s="149" t="s">
        <v>135</v>
      </c>
      <c r="G197" s="149">
        <v>1</v>
      </c>
      <c r="H197" t="s">
        <v>39</v>
      </c>
      <c r="I197" t="s">
        <v>1236</v>
      </c>
      <c r="J197" s="61" t="s">
        <v>1149</v>
      </c>
      <c r="K197" s="61" t="s">
        <v>126</v>
      </c>
      <c r="L197" s="160" t="s">
        <v>1021</v>
      </c>
      <c r="M197" s="48"/>
      <c r="N197" s="123"/>
    </row>
    <row r="198" spans="1:14" customFormat="1" x14ac:dyDescent="0.55000000000000004">
      <c r="A198" s="92" t="s">
        <v>1148</v>
      </c>
      <c r="B198" s="61" t="s">
        <v>171</v>
      </c>
      <c r="C198" s="61" t="s">
        <v>127</v>
      </c>
      <c r="D198" s="61" t="s">
        <v>2994</v>
      </c>
      <c r="E198" s="116">
        <v>11</v>
      </c>
      <c r="F198" s="149" t="s">
        <v>138</v>
      </c>
      <c r="G198" s="148" t="s">
        <v>135</v>
      </c>
      <c r="H198" s="61" t="s">
        <v>39</v>
      </c>
      <c r="I198" t="s">
        <v>1238</v>
      </c>
      <c r="J198" s="61" t="s">
        <v>1149</v>
      </c>
      <c r="K198" s="61" t="s">
        <v>126</v>
      </c>
      <c r="L198" s="159"/>
      <c r="M198" s="48"/>
      <c r="N198" s="123"/>
    </row>
    <row r="199" spans="1:14" customFormat="1" x14ac:dyDescent="0.55000000000000004">
      <c r="A199" s="92" t="s">
        <v>1148</v>
      </c>
      <c r="B199" s="61" t="s">
        <v>153</v>
      </c>
      <c r="C199" s="61" t="s">
        <v>127</v>
      </c>
      <c r="D199" s="61" t="s">
        <v>2994</v>
      </c>
      <c r="E199" s="116">
        <v>2</v>
      </c>
      <c r="F199" s="149" t="s">
        <v>138</v>
      </c>
      <c r="G199" s="148" t="s">
        <v>135</v>
      </c>
      <c r="H199" s="61" t="s">
        <v>39</v>
      </c>
      <c r="I199" t="s">
        <v>1238</v>
      </c>
      <c r="J199" s="61" t="s">
        <v>1149</v>
      </c>
      <c r="K199" s="61" t="s">
        <v>126</v>
      </c>
      <c r="L199" s="159"/>
      <c r="M199" s="48"/>
      <c r="N199" s="123"/>
    </row>
    <row r="200" spans="1:14" customFormat="1" x14ac:dyDescent="0.55000000000000004">
      <c r="A200" s="92" t="s">
        <v>1148</v>
      </c>
      <c r="B200" s="61" t="s">
        <v>160</v>
      </c>
      <c r="C200" t="s">
        <v>497</v>
      </c>
      <c r="D200" s="61" t="s">
        <v>3288</v>
      </c>
      <c r="E200" s="116">
        <v>0.5</v>
      </c>
      <c r="F200" s="149" t="s">
        <v>135</v>
      </c>
      <c r="G200" s="149" t="s">
        <v>135</v>
      </c>
      <c r="H200" s="61" t="s">
        <v>39</v>
      </c>
      <c r="I200" t="s">
        <v>1236</v>
      </c>
      <c r="J200" s="61" t="s">
        <v>1149</v>
      </c>
      <c r="K200" s="61" t="s">
        <v>126</v>
      </c>
      <c r="L200" s="160"/>
      <c r="M200" s="48"/>
      <c r="N200" s="123"/>
    </row>
    <row r="201" spans="1:14" customFormat="1" x14ac:dyDescent="0.55000000000000004">
      <c r="A201" s="101" t="s">
        <v>1143</v>
      </c>
      <c r="B201" s="61" t="s">
        <v>1138</v>
      </c>
      <c r="C201" s="61" t="s">
        <v>121</v>
      </c>
      <c r="D201" s="61" t="s">
        <v>3288</v>
      </c>
      <c r="E201" s="119">
        <v>1</v>
      </c>
      <c r="F201" s="148" t="s">
        <v>122</v>
      </c>
      <c r="G201" s="148">
        <v>1</v>
      </c>
      <c r="H201" s="61" t="s">
        <v>39</v>
      </c>
      <c r="I201" s="61" t="s">
        <v>535</v>
      </c>
      <c r="J201" s="62" t="s">
        <v>1144</v>
      </c>
      <c r="K201" s="61" t="s">
        <v>831</v>
      </c>
      <c r="L201" s="159">
        <v>7403</v>
      </c>
      <c r="M201" s="48"/>
      <c r="N201" s="123"/>
    </row>
    <row r="202" spans="1:14" customFormat="1" x14ac:dyDescent="0.55000000000000004">
      <c r="A202" s="101" t="s">
        <v>1143</v>
      </c>
      <c r="B202" s="61" t="s">
        <v>153</v>
      </c>
      <c r="C202" s="61" t="s">
        <v>127</v>
      </c>
      <c r="D202" s="61" t="s">
        <v>2994</v>
      </c>
      <c r="E202" s="119">
        <v>19.2</v>
      </c>
      <c r="F202" s="148" t="s">
        <v>130</v>
      </c>
      <c r="G202" s="148" t="s">
        <v>122</v>
      </c>
      <c r="H202" s="61" t="s">
        <v>39</v>
      </c>
      <c r="I202" s="61" t="s">
        <v>535</v>
      </c>
      <c r="J202" s="62" t="s">
        <v>1144</v>
      </c>
      <c r="K202" s="61" t="s">
        <v>831</v>
      </c>
      <c r="L202" s="159"/>
      <c r="M202" s="48"/>
      <c r="N202" s="123"/>
    </row>
    <row r="203" spans="1:14" customFormat="1" x14ac:dyDescent="0.55000000000000004">
      <c r="A203" s="101" t="s">
        <v>1143</v>
      </c>
      <c r="B203" s="61" t="s">
        <v>1145</v>
      </c>
      <c r="C203" s="61" t="s">
        <v>125</v>
      </c>
      <c r="D203" s="61" t="s">
        <v>3288</v>
      </c>
      <c r="E203" s="119">
        <v>2.08</v>
      </c>
      <c r="F203" s="148" t="s">
        <v>122</v>
      </c>
      <c r="G203" s="148" t="s">
        <v>122</v>
      </c>
      <c r="H203" s="61" t="s">
        <v>39</v>
      </c>
      <c r="I203" s="61" t="s">
        <v>535</v>
      </c>
      <c r="J203" s="62" t="s">
        <v>1144</v>
      </c>
      <c r="K203" s="61" t="s">
        <v>831</v>
      </c>
      <c r="L203" s="159"/>
      <c r="M203" s="48"/>
      <c r="N203" s="123"/>
    </row>
    <row r="204" spans="1:14" customFormat="1" x14ac:dyDescent="0.55000000000000004">
      <c r="A204" s="101" t="s">
        <v>1143</v>
      </c>
      <c r="B204" s="61" t="s">
        <v>154</v>
      </c>
      <c r="C204" s="61" t="s">
        <v>132</v>
      </c>
      <c r="D204" s="61" t="s">
        <v>3288</v>
      </c>
      <c r="E204" s="119">
        <v>14.2</v>
      </c>
      <c r="F204" s="148" t="s">
        <v>122</v>
      </c>
      <c r="G204" s="148" t="s">
        <v>122</v>
      </c>
      <c r="H204" s="61" t="s">
        <v>39</v>
      </c>
      <c r="I204" s="61" t="s">
        <v>535</v>
      </c>
      <c r="J204" s="62" t="s">
        <v>1144</v>
      </c>
      <c r="K204" s="61" t="s">
        <v>831</v>
      </c>
      <c r="L204" s="159"/>
      <c r="M204" s="48"/>
      <c r="N204" s="123"/>
    </row>
    <row r="205" spans="1:14" customFormat="1" x14ac:dyDescent="0.55000000000000004">
      <c r="A205" s="101" t="s">
        <v>1143</v>
      </c>
      <c r="B205" s="61" t="s">
        <v>1140</v>
      </c>
      <c r="C205" s="61" t="s">
        <v>125</v>
      </c>
      <c r="D205" s="61" t="s">
        <v>3288</v>
      </c>
      <c r="E205" s="119">
        <v>1.25</v>
      </c>
      <c r="F205" s="148" t="s">
        <v>122</v>
      </c>
      <c r="G205" s="148" t="s">
        <v>122</v>
      </c>
      <c r="H205" s="61" t="s">
        <v>39</v>
      </c>
      <c r="I205" s="61" t="s">
        <v>535</v>
      </c>
      <c r="J205" s="62" t="s">
        <v>1144</v>
      </c>
      <c r="K205" s="61" t="s">
        <v>831</v>
      </c>
      <c r="L205" s="159"/>
      <c r="M205" s="48"/>
      <c r="N205" s="123"/>
    </row>
    <row r="206" spans="1:14" customFormat="1" x14ac:dyDescent="0.55000000000000004">
      <c r="A206" s="101" t="s">
        <v>1143</v>
      </c>
      <c r="B206" s="61" t="s">
        <v>148</v>
      </c>
      <c r="C206" s="61" t="s">
        <v>125</v>
      </c>
      <c r="D206" s="61" t="s">
        <v>3288</v>
      </c>
      <c r="E206" s="119">
        <v>0.83299999999999996</v>
      </c>
      <c r="F206" s="148" t="s">
        <v>122</v>
      </c>
      <c r="G206" s="148" t="s">
        <v>122</v>
      </c>
      <c r="H206" s="61" t="s">
        <v>39</v>
      </c>
      <c r="I206" s="61" t="s">
        <v>535</v>
      </c>
      <c r="J206" s="62" t="s">
        <v>1144</v>
      </c>
      <c r="K206" s="61" t="s">
        <v>831</v>
      </c>
      <c r="L206" s="159"/>
      <c r="M206" s="48"/>
      <c r="N206" s="123"/>
    </row>
    <row r="207" spans="1:14" customFormat="1" x14ac:dyDescent="0.55000000000000004">
      <c r="A207" s="101" t="s">
        <v>1143</v>
      </c>
      <c r="B207" s="61" t="s">
        <v>1146</v>
      </c>
      <c r="C207" s="61" t="s">
        <v>125</v>
      </c>
      <c r="D207" s="61" t="s">
        <v>3288</v>
      </c>
      <c r="E207" s="119">
        <v>3.3300000000000003E-2</v>
      </c>
      <c r="F207" s="148" t="s">
        <v>122</v>
      </c>
      <c r="G207" s="148" t="s">
        <v>122</v>
      </c>
      <c r="H207" s="61" t="s">
        <v>39</v>
      </c>
      <c r="I207" s="61" t="s">
        <v>535</v>
      </c>
      <c r="J207" s="62" t="s">
        <v>1144</v>
      </c>
      <c r="K207" s="61" t="s">
        <v>831</v>
      </c>
      <c r="L207" s="159"/>
      <c r="M207" s="48"/>
      <c r="N207" s="123"/>
    </row>
    <row r="208" spans="1:14" customFormat="1" x14ac:dyDescent="0.55000000000000004">
      <c r="A208" s="101" t="s">
        <v>1143</v>
      </c>
      <c r="B208" s="61" t="s">
        <v>1142</v>
      </c>
      <c r="C208" s="61" t="s">
        <v>348</v>
      </c>
      <c r="D208" s="61" t="s">
        <v>3288</v>
      </c>
      <c r="E208" s="119">
        <v>4.17</v>
      </c>
      <c r="F208" s="148" t="s">
        <v>122</v>
      </c>
      <c r="G208" s="148" t="s">
        <v>122</v>
      </c>
      <c r="H208" s="61" t="s">
        <v>39</v>
      </c>
      <c r="I208" s="61" t="s">
        <v>535</v>
      </c>
      <c r="J208" s="62" t="s">
        <v>1144</v>
      </c>
      <c r="K208" s="61" t="s">
        <v>831</v>
      </c>
      <c r="L208" s="159"/>
      <c r="M208" s="48"/>
      <c r="N208" s="123"/>
    </row>
    <row r="209" spans="1:16383" customFormat="1" x14ac:dyDescent="0.55000000000000004">
      <c r="A209" s="101" t="s">
        <v>1143</v>
      </c>
      <c r="B209" s="61" t="s">
        <v>181</v>
      </c>
      <c r="C209" s="61" t="s">
        <v>163</v>
      </c>
      <c r="D209" s="61" t="s">
        <v>3288</v>
      </c>
      <c r="E209" s="119">
        <v>21.4</v>
      </c>
      <c r="F209" s="148" t="s">
        <v>122</v>
      </c>
      <c r="G209" s="148" t="s">
        <v>122</v>
      </c>
      <c r="H209" s="61" t="s">
        <v>39</v>
      </c>
      <c r="I209" s="61" t="s">
        <v>535</v>
      </c>
      <c r="J209" s="62" t="s">
        <v>1144</v>
      </c>
      <c r="K209" s="61" t="s">
        <v>831</v>
      </c>
      <c r="L209" s="159"/>
      <c r="M209" s="48"/>
      <c r="N209" s="123"/>
    </row>
    <row r="210" spans="1:16383" customFormat="1" x14ac:dyDescent="0.55000000000000004">
      <c r="A210" s="101" t="s">
        <v>1143</v>
      </c>
      <c r="B210" s="61" t="s">
        <v>1147</v>
      </c>
      <c r="C210" s="61" t="s">
        <v>156</v>
      </c>
      <c r="D210" s="61" t="s">
        <v>3288</v>
      </c>
      <c r="E210" s="119">
        <v>0.125</v>
      </c>
      <c r="F210" s="148" t="s">
        <v>122</v>
      </c>
      <c r="G210" s="148" t="s">
        <v>122</v>
      </c>
      <c r="H210" s="61" t="s">
        <v>39</v>
      </c>
      <c r="I210" s="61" t="s">
        <v>535</v>
      </c>
      <c r="J210" s="62" t="s">
        <v>1144</v>
      </c>
      <c r="K210" s="61" t="s">
        <v>831</v>
      </c>
      <c r="L210" s="159">
        <v>262019</v>
      </c>
      <c r="M210" s="48"/>
      <c r="N210" s="123"/>
    </row>
    <row r="211" spans="1:16383" customFormat="1" x14ac:dyDescent="0.55000000000000004">
      <c r="A211" s="101" t="s">
        <v>1137</v>
      </c>
      <c r="B211" s="61" t="s">
        <v>1138</v>
      </c>
      <c r="C211" s="61" t="s">
        <v>121</v>
      </c>
      <c r="D211" s="61" t="s">
        <v>3288</v>
      </c>
      <c r="E211" s="119">
        <v>1</v>
      </c>
      <c r="F211" s="148" t="s">
        <v>122</v>
      </c>
      <c r="G211" s="148">
        <v>1</v>
      </c>
      <c r="H211" s="61" t="s">
        <v>39</v>
      </c>
      <c r="I211" s="61" t="s">
        <v>535</v>
      </c>
      <c r="J211" s="62" t="s">
        <v>1139</v>
      </c>
      <c r="K211" s="61" t="s">
        <v>831</v>
      </c>
      <c r="L211" s="159">
        <v>7403</v>
      </c>
      <c r="M211" s="48"/>
      <c r="N211" s="123"/>
    </row>
    <row r="212" spans="1:16383" customFormat="1" x14ac:dyDescent="0.55000000000000004">
      <c r="A212" s="101" t="s">
        <v>1137</v>
      </c>
      <c r="B212" s="61" t="s">
        <v>153</v>
      </c>
      <c r="C212" s="61" t="s">
        <v>127</v>
      </c>
      <c r="D212" s="61" t="s">
        <v>2994</v>
      </c>
      <c r="E212" s="119">
        <v>16.399999999999999</v>
      </c>
      <c r="F212" s="148" t="s">
        <v>130</v>
      </c>
      <c r="G212" s="148" t="s">
        <v>122</v>
      </c>
      <c r="H212" s="61" t="s">
        <v>39</v>
      </c>
      <c r="I212" s="61" t="s">
        <v>535</v>
      </c>
      <c r="J212" s="62" t="s">
        <v>1139</v>
      </c>
      <c r="K212" s="61" t="s">
        <v>831</v>
      </c>
      <c r="L212" s="159"/>
      <c r="M212" s="48"/>
      <c r="N212" s="123"/>
    </row>
    <row r="213" spans="1:16383" customFormat="1" x14ac:dyDescent="0.55000000000000004">
      <c r="A213" s="101" t="s">
        <v>1137</v>
      </c>
      <c r="B213" s="61" t="s">
        <v>154</v>
      </c>
      <c r="C213" s="61" t="s">
        <v>132</v>
      </c>
      <c r="D213" s="61" t="s">
        <v>3288</v>
      </c>
      <c r="E213" s="119">
        <v>35.700000000000003</v>
      </c>
      <c r="F213" s="148" t="s">
        <v>122</v>
      </c>
      <c r="G213" s="148" t="s">
        <v>122</v>
      </c>
      <c r="H213" s="61" t="s">
        <v>39</v>
      </c>
      <c r="I213" s="61" t="s">
        <v>535</v>
      </c>
      <c r="J213" s="62" t="s">
        <v>1139</v>
      </c>
      <c r="K213" s="61" t="s">
        <v>831</v>
      </c>
      <c r="L213" s="159"/>
      <c r="M213" s="48"/>
      <c r="N213" s="123"/>
    </row>
    <row r="214" spans="1:16383" customFormat="1" x14ac:dyDescent="0.55000000000000004">
      <c r="A214" s="101" t="s">
        <v>1137</v>
      </c>
      <c r="B214" s="61" t="s">
        <v>1140</v>
      </c>
      <c r="C214" s="61" t="s">
        <v>125</v>
      </c>
      <c r="D214" s="61" t="s">
        <v>3288</v>
      </c>
      <c r="E214" s="119">
        <v>7.86</v>
      </c>
      <c r="F214" s="148" t="s">
        <v>122</v>
      </c>
      <c r="G214" s="148" t="s">
        <v>122</v>
      </c>
      <c r="H214" s="61" t="s">
        <v>39</v>
      </c>
      <c r="I214" s="61" t="s">
        <v>535</v>
      </c>
      <c r="J214" s="62" t="s">
        <v>1139</v>
      </c>
      <c r="K214" s="61" t="s">
        <v>831</v>
      </c>
      <c r="L214" s="159"/>
      <c r="M214" s="48"/>
      <c r="N214" s="123"/>
    </row>
    <row r="215" spans="1:16383" customFormat="1" x14ac:dyDescent="0.55000000000000004">
      <c r="A215" s="101" t="s">
        <v>1137</v>
      </c>
      <c r="B215" s="61" t="s">
        <v>1141</v>
      </c>
      <c r="C215" s="61" t="s">
        <v>125</v>
      </c>
      <c r="D215" s="61" t="s">
        <v>3288</v>
      </c>
      <c r="E215" s="119">
        <v>5</v>
      </c>
      <c r="F215" s="148" t="s">
        <v>122</v>
      </c>
      <c r="G215" s="148" t="s">
        <v>122</v>
      </c>
      <c r="H215" s="61" t="s">
        <v>39</v>
      </c>
      <c r="I215" s="61" t="s">
        <v>535</v>
      </c>
      <c r="J215" s="62" t="s">
        <v>1139</v>
      </c>
      <c r="K215" s="61" t="s">
        <v>831</v>
      </c>
      <c r="L215" s="159"/>
      <c r="M215" s="48"/>
      <c r="N215" s="123"/>
    </row>
    <row r="216" spans="1:16383" customFormat="1" x14ac:dyDescent="0.55000000000000004">
      <c r="A216" s="101" t="s">
        <v>1137</v>
      </c>
      <c r="B216" s="61" t="s">
        <v>181</v>
      </c>
      <c r="C216" s="61" t="s">
        <v>163</v>
      </c>
      <c r="D216" s="61" t="s">
        <v>3288</v>
      </c>
      <c r="E216" s="119">
        <v>54.7</v>
      </c>
      <c r="F216" s="148" t="s">
        <v>122</v>
      </c>
      <c r="G216" s="148" t="s">
        <v>122</v>
      </c>
      <c r="H216" s="61" t="s">
        <v>39</v>
      </c>
      <c r="I216" s="61" t="s">
        <v>535</v>
      </c>
      <c r="J216" s="62" t="s">
        <v>1139</v>
      </c>
      <c r="K216" s="61" t="s">
        <v>831</v>
      </c>
      <c r="L216" s="159"/>
      <c r="M216" s="48"/>
      <c r="N216" s="123"/>
    </row>
    <row r="217" spans="1:16383" customFormat="1" x14ac:dyDescent="0.55000000000000004">
      <c r="A217" s="101" t="s">
        <v>1137</v>
      </c>
      <c r="B217" s="61" t="s">
        <v>1142</v>
      </c>
      <c r="C217" s="61" t="s">
        <v>348</v>
      </c>
      <c r="D217" s="61" t="s">
        <v>3288</v>
      </c>
      <c r="E217" s="119">
        <v>7.14</v>
      </c>
      <c r="F217" s="148" t="s">
        <v>122</v>
      </c>
      <c r="G217" s="148" t="s">
        <v>122</v>
      </c>
      <c r="H217" s="61" t="s">
        <v>39</v>
      </c>
      <c r="I217" s="61" t="s">
        <v>535</v>
      </c>
      <c r="J217" s="62" t="s">
        <v>1139</v>
      </c>
      <c r="K217" s="61" t="s">
        <v>831</v>
      </c>
      <c r="L217" s="159"/>
      <c r="M217" s="48"/>
      <c r="N217" s="123"/>
    </row>
    <row r="218" spans="1:16383" customFormat="1" x14ac:dyDescent="0.55000000000000004">
      <c r="A218" s="92" t="s">
        <v>1136</v>
      </c>
      <c r="B218" s="61" t="s">
        <v>140</v>
      </c>
      <c r="C218" s="61" t="s">
        <v>121</v>
      </c>
      <c r="D218" t="s">
        <v>3288</v>
      </c>
      <c r="E218" s="116">
        <v>1</v>
      </c>
      <c r="F218" s="149" t="s">
        <v>135</v>
      </c>
      <c r="G218" s="149">
        <v>1</v>
      </c>
      <c r="H218" t="s">
        <v>39</v>
      </c>
      <c r="I218" s="61" t="s">
        <v>535</v>
      </c>
      <c r="J218" s="92" t="s">
        <v>1136</v>
      </c>
      <c r="K218" s="61" t="s">
        <v>535</v>
      </c>
      <c r="L218" s="160" t="s">
        <v>1021</v>
      </c>
      <c r="M218" s="48"/>
      <c r="N218" s="123"/>
    </row>
    <row r="219" spans="1:16383" customFormat="1" x14ac:dyDescent="0.55000000000000004">
      <c r="A219" s="92" t="s">
        <v>1136</v>
      </c>
      <c r="B219" s="61" t="s">
        <v>1134</v>
      </c>
      <c r="C219" s="61" t="s">
        <v>127</v>
      </c>
      <c r="D219" t="s">
        <v>2994</v>
      </c>
      <c r="E219" s="120">
        <v>23</v>
      </c>
      <c r="F219" s="148" t="s">
        <v>138</v>
      </c>
      <c r="G219" s="148" t="s">
        <v>135</v>
      </c>
      <c r="H219" t="s">
        <v>39</v>
      </c>
      <c r="I219" s="61" t="s">
        <v>535</v>
      </c>
      <c r="J219" s="92" t="s">
        <v>1136</v>
      </c>
      <c r="K219" s="61" t="s">
        <v>535</v>
      </c>
      <c r="L219" s="161"/>
      <c r="M219" s="48"/>
      <c r="N219" s="123"/>
    </row>
    <row r="220" spans="1:16383" customFormat="1" x14ac:dyDescent="0.55000000000000004">
      <c r="A220" s="92" t="s">
        <v>1136</v>
      </c>
      <c r="B220" s="113" t="s">
        <v>160</v>
      </c>
      <c r="C220" s="113" t="s">
        <v>247</v>
      </c>
      <c r="D220" s="114" t="s">
        <v>3288</v>
      </c>
      <c r="E220" s="146">
        <v>2.1757999999999997</v>
      </c>
      <c r="F220" s="150" t="s">
        <v>3286</v>
      </c>
      <c r="G220" s="150" t="s">
        <v>135</v>
      </c>
      <c r="H220" s="113" t="s">
        <v>2088</v>
      </c>
      <c r="I220" s="113"/>
      <c r="J220" s="92" t="s">
        <v>1136</v>
      </c>
      <c r="K220" s="113"/>
      <c r="L220" s="162"/>
      <c r="M220" s="113"/>
      <c r="N220" s="123"/>
      <c r="O220" s="115"/>
      <c r="P220" s="113"/>
      <c r="Q220" s="113"/>
      <c r="R220" s="113"/>
      <c r="S220" s="113"/>
      <c r="T220" s="114"/>
      <c r="U220" s="113"/>
      <c r="V220" s="115"/>
      <c r="W220" s="115"/>
      <c r="X220" s="113"/>
      <c r="Y220" s="113"/>
      <c r="Z220" s="113"/>
      <c r="AA220" s="113"/>
      <c r="AB220" s="114"/>
      <c r="AC220" s="113"/>
      <c r="AD220" s="115"/>
      <c r="AE220" s="115"/>
      <c r="AF220" s="113"/>
      <c r="AG220" s="113"/>
      <c r="AH220" s="113"/>
      <c r="AI220" s="113"/>
      <c r="AJ220" s="114"/>
      <c r="AK220" s="113"/>
      <c r="AL220" s="115"/>
      <c r="AM220" s="115"/>
      <c r="AN220" s="113"/>
      <c r="AO220" s="113"/>
      <c r="AP220" s="113"/>
      <c r="AQ220" s="113"/>
      <c r="AR220" s="114"/>
      <c r="AS220" s="113"/>
      <c r="AT220" s="115"/>
      <c r="AU220" s="115"/>
      <c r="AV220" s="113"/>
      <c r="AW220" s="113"/>
      <c r="AX220" s="113"/>
      <c r="AY220" s="113"/>
      <c r="AZ220" s="114"/>
      <c r="BA220" s="113"/>
      <c r="BB220" s="115"/>
      <c r="BC220" s="115"/>
      <c r="BD220" s="113"/>
      <c r="BE220" s="113"/>
      <c r="BF220" s="113"/>
      <c r="BG220" s="113"/>
      <c r="BH220" s="114"/>
      <c r="BI220" s="113"/>
      <c r="BJ220" s="115"/>
      <c r="BK220" s="115"/>
      <c r="BL220" s="113"/>
      <c r="BM220" s="113"/>
      <c r="BN220" s="113"/>
      <c r="BO220" s="113"/>
      <c r="BP220" s="114"/>
      <c r="BQ220" s="113"/>
      <c r="BR220" s="115"/>
      <c r="BS220" s="115"/>
      <c r="BT220" s="113"/>
      <c r="BU220" s="113"/>
      <c r="BV220" s="113"/>
      <c r="BW220" s="113"/>
      <c r="BX220" s="114"/>
      <c r="BY220" s="113"/>
      <c r="BZ220" s="115"/>
      <c r="CA220" s="115"/>
      <c r="CB220" s="113"/>
      <c r="CC220" s="113"/>
      <c r="CD220" s="113"/>
      <c r="CE220" s="113"/>
      <c r="CF220" s="114"/>
      <c r="CG220" s="113"/>
      <c r="CH220" s="115"/>
      <c r="CI220" s="115"/>
      <c r="CJ220" s="113"/>
      <c r="CK220" s="113"/>
      <c r="CL220" s="113"/>
      <c r="CM220" s="113"/>
      <c r="CN220" s="114"/>
      <c r="CO220" s="113"/>
      <c r="CP220" s="115"/>
      <c r="CQ220" s="115"/>
      <c r="CR220" s="113"/>
      <c r="CS220" s="113"/>
      <c r="CT220" s="113"/>
      <c r="CU220" s="113"/>
      <c r="CV220" s="114"/>
      <c r="CW220" s="113"/>
      <c r="CX220" s="115"/>
      <c r="CY220" s="115"/>
      <c r="CZ220" s="113"/>
      <c r="DA220" s="113"/>
      <c r="DB220" s="113"/>
      <c r="DC220" s="113"/>
      <c r="DD220" s="114"/>
      <c r="DE220" s="113"/>
      <c r="DF220" s="115"/>
      <c r="DG220" s="115"/>
      <c r="DH220" s="113"/>
      <c r="DI220" s="113"/>
      <c r="DJ220" s="113"/>
      <c r="DK220" s="113"/>
      <c r="DL220" s="114"/>
      <c r="DM220" s="113"/>
      <c r="DN220" s="115"/>
      <c r="DO220" s="115"/>
      <c r="DP220" s="113"/>
      <c r="DQ220" s="113"/>
      <c r="DR220" s="113"/>
      <c r="DS220" s="113"/>
      <c r="DT220" s="114"/>
      <c r="DU220" s="113"/>
      <c r="DV220" s="115"/>
      <c r="DW220" s="115"/>
      <c r="DX220" s="113"/>
      <c r="DY220" s="113"/>
      <c r="DZ220" s="113"/>
      <c r="EA220" s="113"/>
      <c r="EB220" s="114"/>
      <c r="EC220" s="113"/>
      <c r="ED220" s="115"/>
      <c r="EE220" s="115"/>
      <c r="EF220" s="113"/>
      <c r="EG220" s="113"/>
      <c r="EH220" s="113"/>
      <c r="EI220" s="113"/>
      <c r="EJ220" s="114"/>
      <c r="EK220" s="113"/>
      <c r="EL220" s="115"/>
      <c r="EM220" s="115"/>
      <c r="EN220" s="113"/>
      <c r="EO220" s="113"/>
      <c r="EP220" s="113"/>
      <c r="EQ220" s="113"/>
      <c r="ER220" s="114"/>
      <c r="ES220" s="113"/>
      <c r="ET220" s="115"/>
      <c r="EU220" s="115"/>
      <c r="EV220" s="113"/>
      <c r="EW220" s="113"/>
      <c r="EX220" s="113"/>
      <c r="EY220" s="113"/>
      <c r="EZ220" s="114"/>
      <c r="FA220" s="113"/>
      <c r="FB220" s="115"/>
      <c r="FC220" s="115"/>
      <c r="FD220" s="113"/>
      <c r="FE220" s="113"/>
      <c r="FF220" s="113"/>
      <c r="FG220" s="113"/>
      <c r="FH220" s="114"/>
      <c r="FI220" s="113"/>
      <c r="FJ220" s="115"/>
      <c r="FK220" s="115"/>
      <c r="FL220" s="113"/>
      <c r="FM220" s="113"/>
      <c r="FN220" s="113"/>
      <c r="FO220" s="113"/>
      <c r="FP220" s="114"/>
      <c r="FQ220" s="113"/>
      <c r="FR220" s="115"/>
      <c r="FS220" s="115"/>
      <c r="FT220" s="113"/>
      <c r="FU220" s="113"/>
      <c r="FV220" s="113"/>
      <c r="FW220" s="113"/>
      <c r="FX220" s="114"/>
      <c r="FY220" s="113"/>
      <c r="FZ220" s="115"/>
      <c r="GA220" s="115"/>
      <c r="GB220" s="113"/>
      <c r="GC220" s="113"/>
      <c r="GD220" s="113"/>
      <c r="GE220" s="113"/>
      <c r="GF220" s="114"/>
      <c r="GG220" s="113"/>
      <c r="GH220" s="115"/>
      <c r="GI220" s="115"/>
      <c r="GJ220" s="113"/>
      <c r="GK220" s="113"/>
      <c r="GL220" s="113"/>
      <c r="GM220" s="113"/>
      <c r="GN220" s="114"/>
      <c r="GO220" s="113"/>
      <c r="GP220" s="115"/>
      <c r="GQ220" s="115"/>
      <c r="GR220" s="113"/>
      <c r="GS220" s="113"/>
      <c r="GT220" s="113"/>
      <c r="GU220" s="113"/>
      <c r="GV220" s="114"/>
      <c r="GW220" s="113"/>
      <c r="GX220" s="115"/>
      <c r="GY220" s="115"/>
      <c r="GZ220" s="113"/>
      <c r="HA220" s="113"/>
      <c r="HB220" s="113"/>
      <c r="HC220" s="113"/>
      <c r="HD220" s="114"/>
      <c r="HE220" s="113"/>
      <c r="HF220" s="115"/>
      <c r="HG220" s="115"/>
      <c r="HH220" s="113"/>
      <c r="HI220" s="113"/>
      <c r="HJ220" s="113"/>
      <c r="HK220" s="113"/>
      <c r="HL220" s="114"/>
      <c r="HM220" s="113"/>
      <c r="HN220" s="115"/>
      <c r="HO220" s="115"/>
      <c r="HP220" s="113"/>
      <c r="HQ220" s="113"/>
      <c r="HR220" s="113"/>
      <c r="HS220" s="113"/>
      <c r="HT220" s="114"/>
      <c r="HU220" s="113"/>
      <c r="HV220" s="115"/>
      <c r="HW220" s="115"/>
      <c r="HX220" s="113"/>
      <c r="HY220" s="113"/>
      <c r="HZ220" s="113"/>
      <c r="IA220" s="113"/>
      <c r="IB220" s="114"/>
      <c r="IC220" s="113"/>
      <c r="ID220" s="115"/>
      <c r="IE220" s="115"/>
      <c r="IF220" s="113"/>
      <c r="IG220" s="113"/>
      <c r="IH220" s="113"/>
      <c r="II220" s="113"/>
      <c r="IJ220" s="114"/>
      <c r="IK220" s="113"/>
      <c r="IL220" s="115"/>
      <c r="IM220" s="115"/>
      <c r="IN220" s="113"/>
      <c r="IO220" s="113"/>
      <c r="IP220" s="113"/>
      <c r="IQ220" s="113"/>
      <c r="IR220" s="114"/>
      <c r="IS220" s="113"/>
      <c r="IT220" s="115"/>
      <c r="IU220" s="115"/>
      <c r="IV220" s="113"/>
      <c r="IW220" s="113"/>
      <c r="IX220" s="113"/>
      <c r="IY220" s="113"/>
      <c r="IZ220" s="114"/>
      <c r="JA220" s="113"/>
      <c r="JB220" s="115"/>
      <c r="JC220" s="115"/>
      <c r="JD220" s="113"/>
      <c r="JE220" s="113"/>
      <c r="JF220" s="113"/>
      <c r="JG220" s="113"/>
      <c r="JH220" s="114"/>
      <c r="JI220" s="113"/>
      <c r="JJ220" s="115"/>
      <c r="JK220" s="115"/>
      <c r="JL220" s="113"/>
      <c r="JM220" s="113"/>
      <c r="JN220" s="113"/>
      <c r="JO220" s="113"/>
      <c r="JP220" s="114"/>
      <c r="JQ220" s="113"/>
      <c r="JR220" s="115"/>
      <c r="JS220" s="115"/>
      <c r="JT220" s="113"/>
      <c r="JU220" s="113"/>
      <c r="JV220" s="113"/>
      <c r="JW220" s="113"/>
      <c r="JX220" s="114"/>
      <c r="JY220" s="113"/>
      <c r="JZ220" s="115"/>
      <c r="KA220" s="115"/>
      <c r="KB220" s="113"/>
      <c r="KC220" s="113"/>
      <c r="KD220" s="113"/>
      <c r="KE220" s="113"/>
      <c r="KF220" s="114"/>
      <c r="KG220" s="113"/>
      <c r="KH220" s="115"/>
      <c r="KI220" s="115"/>
      <c r="KJ220" s="113"/>
      <c r="KK220" s="113"/>
      <c r="KL220" s="113"/>
      <c r="KM220" s="113"/>
      <c r="KN220" s="114"/>
      <c r="KO220" s="113"/>
      <c r="KP220" s="115"/>
      <c r="KQ220" s="115"/>
      <c r="KR220" s="113"/>
      <c r="KS220" s="113"/>
      <c r="KT220" s="113"/>
      <c r="KU220" s="113"/>
      <c r="KV220" s="114"/>
      <c r="KW220" s="113"/>
      <c r="KX220" s="115"/>
      <c r="KY220" s="115"/>
      <c r="KZ220" s="113"/>
      <c r="LA220" s="113"/>
      <c r="LB220" s="113"/>
      <c r="LC220" s="113"/>
      <c r="LD220" s="114"/>
      <c r="LE220" s="113"/>
      <c r="LF220" s="115"/>
      <c r="LG220" s="115"/>
      <c r="LH220" s="113"/>
      <c r="LI220" s="113"/>
      <c r="LJ220" s="113"/>
      <c r="LK220" s="113"/>
      <c r="LL220" s="114"/>
      <c r="LM220" s="113"/>
      <c r="LN220" s="115"/>
      <c r="LO220" s="115"/>
      <c r="LP220" s="113"/>
      <c r="LQ220" s="113"/>
      <c r="LR220" s="113"/>
      <c r="LS220" s="113"/>
      <c r="LT220" s="114"/>
      <c r="LU220" s="113"/>
      <c r="LV220" s="115"/>
      <c r="LW220" s="115"/>
      <c r="LX220" s="113"/>
      <c r="LY220" s="113"/>
      <c r="LZ220" s="113"/>
      <c r="MA220" s="113"/>
      <c r="MB220" s="114"/>
      <c r="MC220" s="113"/>
      <c r="MD220" s="115"/>
      <c r="ME220" s="115"/>
      <c r="MF220" s="113"/>
      <c r="MG220" s="113"/>
      <c r="MH220" s="113"/>
      <c r="MI220" s="113"/>
      <c r="MJ220" s="114"/>
      <c r="MK220" s="113"/>
      <c r="ML220" s="115"/>
      <c r="MM220" s="115"/>
      <c r="MN220" s="113"/>
      <c r="MO220" s="113"/>
      <c r="MP220" s="113"/>
      <c r="MQ220" s="113"/>
      <c r="MR220" s="114"/>
      <c r="MS220" s="113"/>
      <c r="MT220" s="115"/>
      <c r="MU220" s="115"/>
      <c r="MV220" s="113"/>
      <c r="MW220" s="113"/>
      <c r="MX220" s="113"/>
      <c r="MY220" s="113"/>
      <c r="MZ220" s="114"/>
      <c r="NA220" s="113"/>
      <c r="NB220" s="115"/>
      <c r="NC220" s="115"/>
      <c r="ND220" s="113"/>
      <c r="NE220" s="113"/>
      <c r="NF220" s="113"/>
      <c r="NG220" s="113"/>
      <c r="NH220" s="114"/>
      <c r="NI220" s="113"/>
      <c r="NJ220" s="115"/>
      <c r="NK220" s="115"/>
      <c r="NL220" s="113"/>
      <c r="NM220" s="113"/>
      <c r="NN220" s="113"/>
      <c r="NO220" s="113"/>
      <c r="NP220" s="114"/>
      <c r="NQ220" s="113"/>
      <c r="NR220" s="115"/>
      <c r="NS220" s="115"/>
      <c r="NT220" s="113"/>
      <c r="NU220" s="113"/>
      <c r="NV220" s="113"/>
      <c r="NW220" s="113"/>
      <c r="NX220" s="114"/>
      <c r="NY220" s="113"/>
      <c r="NZ220" s="115"/>
      <c r="OA220" s="115"/>
      <c r="OB220" s="113"/>
      <c r="OC220" s="113"/>
      <c r="OD220" s="113"/>
      <c r="OE220" s="113"/>
      <c r="OF220" s="114"/>
      <c r="OG220" s="113"/>
      <c r="OH220" s="115"/>
      <c r="OI220" s="115"/>
      <c r="OJ220" s="113"/>
      <c r="OK220" s="113"/>
      <c r="OL220" s="113"/>
      <c r="OM220" s="113"/>
      <c r="ON220" s="114"/>
      <c r="OO220" s="113"/>
      <c r="OP220" s="115"/>
      <c r="OQ220" s="115"/>
      <c r="OR220" s="113"/>
      <c r="OS220" s="113"/>
      <c r="OT220" s="113"/>
      <c r="OU220" s="113"/>
      <c r="OV220" s="114"/>
      <c r="OW220" s="113"/>
      <c r="OX220" s="115"/>
      <c r="OY220" s="115"/>
      <c r="OZ220" s="113"/>
      <c r="PA220" s="113"/>
      <c r="PB220" s="113"/>
      <c r="PC220" s="113"/>
      <c r="PD220" s="114"/>
      <c r="PE220" s="113"/>
      <c r="PF220" s="115"/>
      <c r="PG220" s="115"/>
      <c r="PH220" s="113"/>
      <c r="PI220" s="113"/>
      <c r="PJ220" s="113"/>
      <c r="PK220" s="113"/>
      <c r="PL220" s="114"/>
      <c r="PM220" s="113"/>
      <c r="PN220" s="115"/>
      <c r="PO220" s="115"/>
      <c r="PP220" s="113"/>
      <c r="PQ220" s="113"/>
      <c r="PR220" s="113"/>
      <c r="PS220" s="113"/>
      <c r="PT220" s="114"/>
      <c r="PU220" s="113"/>
      <c r="PV220" s="115"/>
      <c r="PW220" s="115"/>
      <c r="PX220" s="113"/>
      <c r="PY220" s="113"/>
      <c r="PZ220" s="113"/>
      <c r="QA220" s="113"/>
      <c r="QB220" s="114"/>
      <c r="QC220" s="113"/>
      <c r="QD220" s="115"/>
      <c r="QE220" s="115"/>
      <c r="QF220" s="113"/>
      <c r="QG220" s="113"/>
      <c r="QH220" s="113"/>
      <c r="QI220" s="113"/>
      <c r="QJ220" s="114"/>
      <c r="QK220" s="113"/>
      <c r="QL220" s="115"/>
      <c r="QM220" s="115"/>
      <c r="QN220" s="113"/>
      <c r="QO220" s="113"/>
      <c r="QP220" s="113"/>
      <c r="QQ220" s="113"/>
      <c r="QR220" s="114"/>
      <c r="QS220" s="113"/>
      <c r="QT220" s="115"/>
      <c r="QU220" s="115"/>
      <c r="QV220" s="113"/>
      <c r="QW220" s="113"/>
      <c r="QX220" s="113"/>
      <c r="QY220" s="113"/>
      <c r="QZ220" s="114"/>
      <c r="RA220" s="113"/>
      <c r="RB220" s="115"/>
      <c r="RC220" s="115"/>
      <c r="RD220" s="113"/>
      <c r="RE220" s="113"/>
      <c r="RF220" s="113"/>
      <c r="RG220" s="113"/>
      <c r="RH220" s="114"/>
      <c r="RI220" s="113"/>
      <c r="RJ220" s="115"/>
      <c r="RK220" s="115"/>
      <c r="RL220" s="113"/>
      <c r="RM220" s="113"/>
      <c r="RN220" s="113"/>
      <c r="RO220" s="113"/>
      <c r="RP220" s="114"/>
      <c r="RQ220" s="113"/>
      <c r="RR220" s="115"/>
      <c r="RS220" s="115"/>
      <c r="RT220" s="113"/>
      <c r="RU220" s="113"/>
      <c r="RV220" s="113"/>
      <c r="RW220" s="113"/>
      <c r="RX220" s="114"/>
      <c r="RY220" s="113"/>
      <c r="RZ220" s="115"/>
      <c r="SA220" s="115"/>
      <c r="SB220" s="113"/>
      <c r="SC220" s="113"/>
      <c r="SD220" s="113"/>
      <c r="SE220" s="113"/>
      <c r="SF220" s="114"/>
      <c r="SG220" s="113"/>
      <c r="SH220" s="115"/>
      <c r="SI220" s="115"/>
      <c r="SJ220" s="113"/>
      <c r="SK220" s="113"/>
      <c r="SL220" s="113"/>
      <c r="SM220" s="113"/>
      <c r="SN220" s="114"/>
      <c r="SO220" s="113"/>
      <c r="SP220" s="115"/>
      <c r="SQ220" s="115"/>
      <c r="SR220" s="113"/>
      <c r="SS220" s="113"/>
      <c r="ST220" s="113"/>
      <c r="SU220" s="113"/>
      <c r="SV220" s="114"/>
      <c r="SW220" s="113"/>
      <c r="SX220" s="115"/>
      <c r="SY220" s="115"/>
      <c r="SZ220" s="113"/>
      <c r="TA220" s="113"/>
      <c r="TB220" s="113"/>
      <c r="TC220" s="113"/>
      <c r="TD220" s="114"/>
      <c r="TE220" s="113"/>
      <c r="TF220" s="115"/>
      <c r="TG220" s="115"/>
      <c r="TH220" s="113"/>
      <c r="TI220" s="113"/>
      <c r="TJ220" s="113"/>
      <c r="TK220" s="113"/>
      <c r="TL220" s="114"/>
      <c r="TM220" s="113"/>
      <c r="TN220" s="115"/>
      <c r="TO220" s="115"/>
      <c r="TP220" s="113"/>
      <c r="TQ220" s="113"/>
      <c r="TR220" s="113"/>
      <c r="TS220" s="113"/>
      <c r="TT220" s="114"/>
      <c r="TU220" s="113"/>
      <c r="TV220" s="115"/>
      <c r="TW220" s="115"/>
      <c r="TX220" s="113"/>
      <c r="TY220" s="113"/>
      <c r="TZ220" s="113"/>
      <c r="UA220" s="113"/>
      <c r="UB220" s="114"/>
      <c r="UC220" s="113"/>
      <c r="UD220" s="115"/>
      <c r="UE220" s="115"/>
      <c r="UF220" s="113"/>
      <c r="UG220" s="113"/>
      <c r="UH220" s="113"/>
      <c r="UI220" s="113"/>
      <c r="UJ220" s="114"/>
      <c r="UK220" s="113"/>
      <c r="UL220" s="115"/>
      <c r="UM220" s="115"/>
      <c r="UN220" s="113"/>
      <c r="UO220" s="113"/>
      <c r="UP220" s="113"/>
      <c r="UQ220" s="113"/>
      <c r="UR220" s="114"/>
      <c r="US220" s="113"/>
      <c r="UT220" s="115"/>
      <c r="UU220" s="115"/>
      <c r="UV220" s="113"/>
      <c r="UW220" s="113"/>
      <c r="UX220" s="113"/>
      <c r="UY220" s="113"/>
      <c r="UZ220" s="114"/>
      <c r="VA220" s="113"/>
      <c r="VB220" s="115"/>
      <c r="VC220" s="115"/>
      <c r="VD220" s="113"/>
      <c r="VE220" s="113"/>
      <c r="VF220" s="113"/>
      <c r="VG220" s="113"/>
      <c r="VH220" s="114"/>
      <c r="VI220" s="113"/>
      <c r="VJ220" s="115"/>
      <c r="VK220" s="115"/>
      <c r="VL220" s="113"/>
      <c r="VM220" s="113"/>
      <c r="VN220" s="113"/>
      <c r="VO220" s="113"/>
      <c r="VP220" s="114"/>
      <c r="VQ220" s="113"/>
      <c r="VR220" s="115"/>
      <c r="VS220" s="115"/>
      <c r="VT220" s="113"/>
      <c r="VU220" s="113"/>
      <c r="VV220" s="113"/>
      <c r="VW220" s="113"/>
      <c r="VX220" s="114"/>
      <c r="VY220" s="113"/>
      <c r="VZ220" s="115"/>
      <c r="WA220" s="115"/>
      <c r="WB220" s="113"/>
      <c r="WC220" s="113"/>
      <c r="WD220" s="113"/>
      <c r="WE220" s="113"/>
      <c r="WF220" s="114"/>
      <c r="WG220" s="113"/>
      <c r="WH220" s="115"/>
      <c r="WI220" s="115"/>
      <c r="WJ220" s="113"/>
      <c r="WK220" s="113"/>
      <c r="WL220" s="113"/>
      <c r="WM220" s="113"/>
      <c r="WN220" s="114"/>
      <c r="WO220" s="113"/>
      <c r="WP220" s="115"/>
      <c r="WQ220" s="115"/>
      <c r="WR220" s="113"/>
      <c r="WS220" s="113"/>
      <c r="WT220" s="113"/>
      <c r="WU220" s="113"/>
      <c r="WV220" s="114"/>
      <c r="WW220" s="113"/>
      <c r="WX220" s="115"/>
      <c r="WY220" s="115"/>
      <c r="WZ220" s="113"/>
      <c r="XA220" s="113"/>
      <c r="XB220" s="113"/>
      <c r="XC220" s="113"/>
      <c r="XD220" s="114"/>
      <c r="XE220" s="113"/>
      <c r="XF220" s="115"/>
      <c r="XG220" s="115"/>
      <c r="XH220" s="113"/>
      <c r="XI220" s="113"/>
      <c r="XJ220" s="113"/>
      <c r="XK220" s="113"/>
      <c r="XL220" s="114"/>
      <c r="XM220" s="113"/>
      <c r="XN220" s="115"/>
      <c r="XO220" s="115"/>
      <c r="XP220" s="113"/>
      <c r="XQ220" s="113"/>
      <c r="XR220" s="113"/>
      <c r="XS220" s="113"/>
      <c r="XT220" s="114"/>
      <c r="XU220" s="113"/>
      <c r="XV220" s="115"/>
      <c r="XW220" s="115"/>
      <c r="XX220" s="113"/>
      <c r="XY220" s="113"/>
      <c r="XZ220" s="113"/>
      <c r="YA220" s="113"/>
      <c r="YB220" s="114"/>
      <c r="YC220" s="113"/>
      <c r="YD220" s="115"/>
      <c r="YE220" s="115"/>
      <c r="YF220" s="113"/>
      <c r="YG220" s="113"/>
      <c r="YH220" s="113"/>
      <c r="YI220" s="113"/>
      <c r="YJ220" s="114"/>
      <c r="YK220" s="113"/>
      <c r="YL220" s="115"/>
      <c r="YM220" s="115"/>
      <c r="YN220" s="113"/>
      <c r="YO220" s="113"/>
      <c r="YP220" s="113"/>
      <c r="YQ220" s="113"/>
      <c r="YR220" s="114"/>
      <c r="YS220" s="113"/>
      <c r="YT220" s="115"/>
      <c r="YU220" s="115"/>
      <c r="YV220" s="113"/>
      <c r="YW220" s="113"/>
      <c r="YX220" s="113"/>
      <c r="YY220" s="113"/>
      <c r="YZ220" s="114"/>
      <c r="ZA220" s="113"/>
      <c r="ZB220" s="115"/>
      <c r="ZC220" s="115"/>
      <c r="ZD220" s="113"/>
      <c r="ZE220" s="113"/>
      <c r="ZF220" s="113"/>
      <c r="ZG220" s="113"/>
      <c r="ZH220" s="114"/>
      <c r="ZI220" s="113"/>
      <c r="ZJ220" s="115"/>
      <c r="ZK220" s="115"/>
      <c r="ZL220" s="113"/>
      <c r="ZM220" s="113"/>
      <c r="ZN220" s="113"/>
      <c r="ZO220" s="113"/>
      <c r="ZP220" s="114"/>
      <c r="ZQ220" s="113"/>
      <c r="ZR220" s="115"/>
      <c r="ZS220" s="115"/>
      <c r="ZT220" s="113"/>
      <c r="ZU220" s="113"/>
      <c r="ZV220" s="113"/>
      <c r="ZW220" s="113"/>
      <c r="ZX220" s="114"/>
      <c r="ZY220" s="113"/>
      <c r="ZZ220" s="115"/>
      <c r="AAA220" s="115"/>
      <c r="AAB220" s="113"/>
      <c r="AAC220" s="113"/>
      <c r="AAD220" s="113"/>
      <c r="AAE220" s="113"/>
      <c r="AAF220" s="114"/>
      <c r="AAG220" s="113"/>
      <c r="AAH220" s="115"/>
      <c r="AAI220" s="115"/>
      <c r="AAJ220" s="113"/>
      <c r="AAK220" s="113"/>
      <c r="AAL220" s="113"/>
      <c r="AAM220" s="113"/>
      <c r="AAN220" s="114"/>
      <c r="AAO220" s="113"/>
      <c r="AAP220" s="115"/>
      <c r="AAQ220" s="115"/>
      <c r="AAR220" s="113"/>
      <c r="AAS220" s="113"/>
      <c r="AAT220" s="113"/>
      <c r="AAU220" s="113"/>
      <c r="AAV220" s="114"/>
      <c r="AAW220" s="113"/>
      <c r="AAX220" s="115"/>
      <c r="AAY220" s="115"/>
      <c r="AAZ220" s="113"/>
      <c r="ABA220" s="113"/>
      <c r="ABB220" s="113"/>
      <c r="ABC220" s="113"/>
      <c r="ABD220" s="114"/>
      <c r="ABE220" s="113"/>
      <c r="ABF220" s="115"/>
      <c r="ABG220" s="115"/>
      <c r="ABH220" s="113"/>
      <c r="ABI220" s="113"/>
      <c r="ABJ220" s="113"/>
      <c r="ABK220" s="113"/>
      <c r="ABL220" s="114"/>
      <c r="ABM220" s="113"/>
      <c r="ABN220" s="115"/>
      <c r="ABO220" s="115"/>
      <c r="ABP220" s="113"/>
      <c r="ABQ220" s="113"/>
      <c r="ABR220" s="113"/>
      <c r="ABS220" s="113"/>
      <c r="ABT220" s="114"/>
      <c r="ABU220" s="113"/>
      <c r="ABV220" s="115"/>
      <c r="ABW220" s="115"/>
      <c r="ABX220" s="113"/>
      <c r="ABY220" s="113"/>
      <c r="ABZ220" s="113"/>
      <c r="ACA220" s="113"/>
      <c r="ACB220" s="114"/>
      <c r="ACC220" s="113"/>
      <c r="ACD220" s="115"/>
      <c r="ACE220" s="115"/>
      <c r="ACF220" s="113"/>
      <c r="ACG220" s="113"/>
      <c r="ACH220" s="113"/>
      <c r="ACI220" s="113"/>
      <c r="ACJ220" s="114"/>
      <c r="ACK220" s="113"/>
      <c r="ACL220" s="115"/>
      <c r="ACM220" s="115"/>
      <c r="ACN220" s="113"/>
      <c r="ACO220" s="113"/>
      <c r="ACP220" s="113"/>
      <c r="ACQ220" s="113"/>
      <c r="ACR220" s="114"/>
      <c r="ACS220" s="113"/>
      <c r="ACT220" s="115"/>
      <c r="ACU220" s="115"/>
      <c r="ACV220" s="113"/>
      <c r="ACW220" s="113"/>
      <c r="ACX220" s="113"/>
      <c r="ACY220" s="113"/>
      <c r="ACZ220" s="114"/>
      <c r="ADA220" s="113"/>
      <c r="ADB220" s="115"/>
      <c r="ADC220" s="115"/>
      <c r="ADD220" s="113"/>
      <c r="ADE220" s="113"/>
      <c r="ADF220" s="113"/>
      <c r="ADG220" s="113"/>
      <c r="ADH220" s="114"/>
      <c r="ADI220" s="113"/>
      <c r="ADJ220" s="115"/>
      <c r="ADK220" s="115"/>
      <c r="ADL220" s="113"/>
      <c r="ADM220" s="113"/>
      <c r="ADN220" s="113"/>
      <c r="ADO220" s="113"/>
      <c r="ADP220" s="114"/>
      <c r="ADQ220" s="113"/>
      <c r="ADR220" s="115"/>
      <c r="ADS220" s="115"/>
      <c r="ADT220" s="113"/>
      <c r="ADU220" s="113"/>
      <c r="ADV220" s="113"/>
      <c r="ADW220" s="113"/>
      <c r="ADX220" s="114"/>
      <c r="ADY220" s="113"/>
      <c r="ADZ220" s="115"/>
      <c r="AEA220" s="115"/>
      <c r="AEB220" s="113"/>
      <c r="AEC220" s="113"/>
      <c r="AED220" s="113"/>
      <c r="AEE220" s="113"/>
      <c r="AEF220" s="114"/>
      <c r="AEG220" s="113"/>
      <c r="AEH220" s="115"/>
      <c r="AEI220" s="115"/>
      <c r="AEJ220" s="113"/>
      <c r="AEK220" s="113"/>
      <c r="AEL220" s="113"/>
      <c r="AEM220" s="113"/>
      <c r="AEN220" s="114"/>
      <c r="AEO220" s="113"/>
      <c r="AEP220" s="115"/>
      <c r="AEQ220" s="115"/>
      <c r="AER220" s="113"/>
      <c r="AES220" s="113"/>
      <c r="AET220" s="113"/>
      <c r="AEU220" s="113"/>
      <c r="AEV220" s="114"/>
      <c r="AEW220" s="113"/>
      <c r="AEX220" s="115"/>
      <c r="AEY220" s="115"/>
      <c r="AEZ220" s="113"/>
      <c r="AFA220" s="113"/>
      <c r="AFB220" s="113"/>
      <c r="AFC220" s="113"/>
      <c r="AFD220" s="114"/>
      <c r="AFE220" s="113"/>
      <c r="AFF220" s="115"/>
      <c r="AFG220" s="115"/>
      <c r="AFH220" s="113"/>
      <c r="AFI220" s="113"/>
      <c r="AFJ220" s="113"/>
      <c r="AFK220" s="113"/>
      <c r="AFL220" s="114"/>
      <c r="AFM220" s="113"/>
      <c r="AFN220" s="115"/>
      <c r="AFO220" s="115"/>
      <c r="AFP220" s="113"/>
      <c r="AFQ220" s="113"/>
      <c r="AFR220" s="113"/>
      <c r="AFS220" s="113"/>
      <c r="AFT220" s="114"/>
      <c r="AFU220" s="113"/>
      <c r="AFV220" s="115"/>
      <c r="AFW220" s="115"/>
      <c r="AFX220" s="113"/>
      <c r="AFY220" s="113"/>
      <c r="AFZ220" s="113"/>
      <c r="AGA220" s="113"/>
      <c r="AGB220" s="114"/>
      <c r="AGC220" s="113"/>
      <c r="AGD220" s="115"/>
      <c r="AGE220" s="115"/>
      <c r="AGF220" s="113"/>
      <c r="AGG220" s="113"/>
      <c r="AGH220" s="113"/>
      <c r="AGI220" s="113"/>
      <c r="AGJ220" s="114"/>
      <c r="AGK220" s="113"/>
      <c r="AGL220" s="115"/>
      <c r="AGM220" s="115"/>
      <c r="AGN220" s="113"/>
      <c r="AGO220" s="113"/>
      <c r="AGP220" s="113"/>
      <c r="AGQ220" s="113"/>
      <c r="AGR220" s="114"/>
      <c r="AGS220" s="113"/>
      <c r="AGT220" s="115"/>
      <c r="AGU220" s="115"/>
      <c r="AGV220" s="113"/>
      <c r="AGW220" s="113"/>
      <c r="AGX220" s="113"/>
      <c r="AGY220" s="113"/>
      <c r="AGZ220" s="114"/>
      <c r="AHA220" s="113"/>
      <c r="AHB220" s="115"/>
      <c r="AHC220" s="115"/>
      <c r="AHD220" s="113"/>
      <c r="AHE220" s="113"/>
      <c r="AHF220" s="113"/>
      <c r="AHG220" s="113"/>
      <c r="AHH220" s="114"/>
      <c r="AHI220" s="113"/>
      <c r="AHJ220" s="115"/>
      <c r="AHK220" s="115"/>
      <c r="AHL220" s="113"/>
      <c r="AHM220" s="113"/>
      <c r="AHN220" s="113"/>
      <c r="AHO220" s="113"/>
      <c r="AHP220" s="114"/>
      <c r="AHQ220" s="113"/>
      <c r="AHR220" s="115"/>
      <c r="AHS220" s="115"/>
      <c r="AHT220" s="113"/>
      <c r="AHU220" s="113"/>
      <c r="AHV220" s="113"/>
      <c r="AHW220" s="113"/>
      <c r="AHX220" s="114"/>
      <c r="AHY220" s="113"/>
      <c r="AHZ220" s="115"/>
      <c r="AIA220" s="115"/>
      <c r="AIB220" s="113"/>
      <c r="AIC220" s="113"/>
      <c r="AID220" s="113"/>
      <c r="AIE220" s="113"/>
      <c r="AIF220" s="114"/>
      <c r="AIG220" s="113"/>
      <c r="AIH220" s="115"/>
      <c r="AII220" s="115"/>
      <c r="AIJ220" s="113"/>
      <c r="AIK220" s="113"/>
      <c r="AIL220" s="113"/>
      <c r="AIM220" s="113"/>
      <c r="AIN220" s="114"/>
      <c r="AIO220" s="113"/>
      <c r="AIP220" s="115"/>
      <c r="AIQ220" s="115"/>
      <c r="AIR220" s="113"/>
      <c r="AIS220" s="113"/>
      <c r="AIT220" s="113"/>
      <c r="AIU220" s="113"/>
      <c r="AIV220" s="114"/>
      <c r="AIW220" s="113"/>
      <c r="AIX220" s="115"/>
      <c r="AIY220" s="115"/>
      <c r="AIZ220" s="113"/>
      <c r="AJA220" s="113"/>
      <c r="AJB220" s="113"/>
      <c r="AJC220" s="113"/>
      <c r="AJD220" s="114"/>
      <c r="AJE220" s="113"/>
      <c r="AJF220" s="115"/>
      <c r="AJG220" s="115"/>
      <c r="AJH220" s="113"/>
      <c r="AJI220" s="113"/>
      <c r="AJJ220" s="113"/>
      <c r="AJK220" s="113"/>
      <c r="AJL220" s="114"/>
      <c r="AJM220" s="113"/>
      <c r="AJN220" s="115"/>
      <c r="AJO220" s="115"/>
      <c r="AJP220" s="113"/>
      <c r="AJQ220" s="113"/>
      <c r="AJR220" s="113"/>
      <c r="AJS220" s="113"/>
      <c r="AJT220" s="114"/>
      <c r="AJU220" s="113"/>
      <c r="AJV220" s="115"/>
      <c r="AJW220" s="115"/>
      <c r="AJX220" s="113"/>
      <c r="AJY220" s="113"/>
      <c r="AJZ220" s="113"/>
      <c r="AKA220" s="113"/>
      <c r="AKB220" s="114"/>
      <c r="AKC220" s="113"/>
      <c r="AKD220" s="115"/>
      <c r="AKE220" s="115"/>
      <c r="AKF220" s="113"/>
      <c r="AKG220" s="113"/>
      <c r="AKH220" s="113"/>
      <c r="AKI220" s="113"/>
      <c r="AKJ220" s="114"/>
      <c r="AKK220" s="113"/>
      <c r="AKL220" s="115"/>
      <c r="AKM220" s="115"/>
      <c r="AKN220" s="113"/>
      <c r="AKO220" s="113"/>
      <c r="AKP220" s="113"/>
      <c r="AKQ220" s="113"/>
      <c r="AKR220" s="114"/>
      <c r="AKS220" s="113"/>
      <c r="AKT220" s="115"/>
      <c r="AKU220" s="115"/>
      <c r="AKV220" s="113"/>
      <c r="AKW220" s="113"/>
      <c r="AKX220" s="113"/>
      <c r="AKY220" s="113"/>
      <c r="AKZ220" s="114"/>
      <c r="ALA220" s="113"/>
      <c r="ALB220" s="115"/>
      <c r="ALC220" s="115"/>
      <c r="ALD220" s="113"/>
      <c r="ALE220" s="113"/>
      <c r="ALF220" s="113"/>
      <c r="ALG220" s="113"/>
      <c r="ALH220" s="114"/>
      <c r="ALI220" s="113"/>
      <c r="ALJ220" s="115"/>
      <c r="ALK220" s="115"/>
      <c r="ALL220" s="113"/>
      <c r="ALM220" s="113"/>
      <c r="ALN220" s="113"/>
      <c r="ALO220" s="113"/>
      <c r="ALP220" s="114"/>
      <c r="ALQ220" s="113"/>
      <c r="ALR220" s="115"/>
      <c r="ALS220" s="115"/>
      <c r="ALT220" s="113"/>
      <c r="ALU220" s="113"/>
      <c r="ALV220" s="113"/>
      <c r="ALW220" s="113"/>
      <c r="ALX220" s="114"/>
      <c r="ALY220" s="113"/>
      <c r="ALZ220" s="115"/>
      <c r="AMA220" s="115"/>
      <c r="AMB220" s="113"/>
      <c r="AMC220" s="113"/>
      <c r="AMD220" s="113"/>
      <c r="AME220" s="113"/>
      <c r="AMF220" s="114"/>
      <c r="AMG220" s="113"/>
      <c r="AMH220" s="115"/>
      <c r="AMI220" s="115"/>
      <c r="AMJ220" s="113"/>
      <c r="AMK220" s="113"/>
      <c r="AML220" s="113"/>
      <c r="AMM220" s="113"/>
      <c r="AMN220" s="114"/>
      <c r="AMO220" s="113"/>
      <c r="AMP220" s="115"/>
      <c r="AMQ220" s="115"/>
      <c r="AMR220" s="113"/>
      <c r="AMS220" s="113"/>
      <c r="AMT220" s="113"/>
      <c r="AMU220" s="113"/>
      <c r="AMV220" s="114"/>
      <c r="AMW220" s="113"/>
      <c r="AMX220" s="115"/>
      <c r="AMY220" s="115"/>
      <c r="AMZ220" s="113"/>
      <c r="ANA220" s="113"/>
      <c r="ANB220" s="113"/>
      <c r="ANC220" s="113"/>
      <c r="AND220" s="114"/>
      <c r="ANE220" s="113"/>
      <c r="ANF220" s="115"/>
      <c r="ANG220" s="115"/>
      <c r="ANH220" s="113"/>
      <c r="ANI220" s="113"/>
      <c r="ANJ220" s="113"/>
      <c r="ANK220" s="113"/>
      <c r="ANL220" s="114"/>
      <c r="ANM220" s="113"/>
      <c r="ANN220" s="115"/>
      <c r="ANO220" s="115"/>
      <c r="ANP220" s="113"/>
      <c r="ANQ220" s="113"/>
      <c r="ANR220" s="113"/>
      <c r="ANS220" s="113"/>
      <c r="ANT220" s="114"/>
      <c r="ANU220" s="113"/>
      <c r="ANV220" s="115"/>
      <c r="ANW220" s="115"/>
      <c r="ANX220" s="113"/>
      <c r="ANY220" s="113"/>
      <c r="ANZ220" s="113"/>
      <c r="AOA220" s="113"/>
      <c r="AOB220" s="114"/>
      <c r="AOC220" s="113"/>
      <c r="AOD220" s="115"/>
      <c r="AOE220" s="115"/>
      <c r="AOF220" s="113"/>
      <c r="AOG220" s="113"/>
      <c r="AOH220" s="113"/>
      <c r="AOI220" s="113"/>
      <c r="AOJ220" s="114"/>
      <c r="AOK220" s="113"/>
      <c r="AOL220" s="115"/>
      <c r="AOM220" s="115"/>
      <c r="AON220" s="113"/>
      <c r="AOO220" s="113"/>
      <c r="AOP220" s="113"/>
      <c r="AOQ220" s="113"/>
      <c r="AOR220" s="114"/>
      <c r="AOS220" s="113"/>
      <c r="AOT220" s="115"/>
      <c r="AOU220" s="115"/>
      <c r="AOV220" s="113"/>
      <c r="AOW220" s="113"/>
      <c r="AOX220" s="113"/>
      <c r="AOY220" s="113"/>
      <c r="AOZ220" s="114"/>
      <c r="APA220" s="113"/>
      <c r="APB220" s="115"/>
      <c r="APC220" s="115"/>
      <c r="APD220" s="113"/>
      <c r="APE220" s="113"/>
      <c r="APF220" s="113"/>
      <c r="APG220" s="113"/>
      <c r="APH220" s="114"/>
      <c r="API220" s="113"/>
      <c r="APJ220" s="115"/>
      <c r="APK220" s="115"/>
      <c r="APL220" s="113"/>
      <c r="APM220" s="113"/>
      <c r="APN220" s="113"/>
      <c r="APO220" s="113"/>
      <c r="APP220" s="114"/>
      <c r="APQ220" s="113"/>
      <c r="APR220" s="115"/>
      <c r="APS220" s="115"/>
      <c r="APT220" s="113"/>
      <c r="APU220" s="113"/>
      <c r="APV220" s="113"/>
      <c r="APW220" s="113"/>
      <c r="APX220" s="114"/>
      <c r="APY220" s="113"/>
      <c r="APZ220" s="115"/>
      <c r="AQA220" s="115"/>
      <c r="AQB220" s="113"/>
      <c r="AQC220" s="113"/>
      <c r="AQD220" s="113"/>
      <c r="AQE220" s="113"/>
      <c r="AQF220" s="114"/>
      <c r="AQG220" s="113"/>
      <c r="AQH220" s="115"/>
      <c r="AQI220" s="115"/>
      <c r="AQJ220" s="113"/>
      <c r="AQK220" s="113"/>
      <c r="AQL220" s="113"/>
      <c r="AQM220" s="113"/>
      <c r="AQN220" s="114"/>
      <c r="AQO220" s="113"/>
      <c r="AQP220" s="115"/>
      <c r="AQQ220" s="115"/>
      <c r="AQR220" s="113"/>
      <c r="AQS220" s="113"/>
      <c r="AQT220" s="113"/>
      <c r="AQU220" s="113"/>
      <c r="AQV220" s="114"/>
      <c r="AQW220" s="113"/>
      <c r="AQX220" s="115"/>
      <c r="AQY220" s="115"/>
      <c r="AQZ220" s="113"/>
      <c r="ARA220" s="113"/>
      <c r="ARB220" s="113"/>
      <c r="ARC220" s="113"/>
      <c r="ARD220" s="114"/>
      <c r="ARE220" s="113"/>
      <c r="ARF220" s="115"/>
      <c r="ARG220" s="115"/>
      <c r="ARH220" s="113"/>
      <c r="ARI220" s="113"/>
      <c r="ARJ220" s="113"/>
      <c r="ARK220" s="113"/>
      <c r="ARL220" s="114"/>
      <c r="ARM220" s="113"/>
      <c r="ARN220" s="115"/>
      <c r="ARO220" s="115"/>
      <c r="ARP220" s="113"/>
      <c r="ARQ220" s="113"/>
      <c r="ARR220" s="113"/>
      <c r="ARS220" s="113"/>
      <c r="ART220" s="114"/>
      <c r="ARU220" s="113"/>
      <c r="ARV220" s="115"/>
      <c r="ARW220" s="115"/>
      <c r="ARX220" s="113"/>
      <c r="ARY220" s="113"/>
      <c r="ARZ220" s="113"/>
      <c r="ASA220" s="113"/>
      <c r="ASB220" s="114"/>
      <c r="ASC220" s="113"/>
      <c r="ASD220" s="115"/>
      <c r="ASE220" s="115"/>
      <c r="ASF220" s="113"/>
      <c r="ASG220" s="113"/>
      <c r="ASH220" s="113"/>
      <c r="ASI220" s="113"/>
      <c r="ASJ220" s="114"/>
      <c r="ASK220" s="113"/>
      <c r="ASL220" s="115"/>
      <c r="ASM220" s="115"/>
      <c r="ASN220" s="113"/>
      <c r="ASO220" s="113"/>
      <c r="ASP220" s="113"/>
      <c r="ASQ220" s="113"/>
      <c r="ASR220" s="114"/>
      <c r="ASS220" s="113"/>
      <c r="AST220" s="115"/>
      <c r="ASU220" s="115"/>
      <c r="ASV220" s="113"/>
      <c r="ASW220" s="113"/>
      <c r="ASX220" s="113"/>
      <c r="ASY220" s="113"/>
      <c r="ASZ220" s="114"/>
      <c r="ATA220" s="113"/>
      <c r="ATB220" s="115"/>
      <c r="ATC220" s="115"/>
      <c r="ATD220" s="113"/>
      <c r="ATE220" s="113"/>
      <c r="ATF220" s="113"/>
      <c r="ATG220" s="113"/>
      <c r="ATH220" s="114"/>
      <c r="ATI220" s="113"/>
      <c r="ATJ220" s="115"/>
      <c r="ATK220" s="115"/>
      <c r="ATL220" s="113"/>
      <c r="ATM220" s="113"/>
      <c r="ATN220" s="113"/>
      <c r="ATO220" s="113"/>
      <c r="ATP220" s="114"/>
      <c r="ATQ220" s="113"/>
      <c r="ATR220" s="115"/>
      <c r="ATS220" s="115"/>
      <c r="ATT220" s="113"/>
      <c r="ATU220" s="113"/>
      <c r="ATV220" s="113"/>
      <c r="ATW220" s="113"/>
      <c r="ATX220" s="114"/>
      <c r="ATY220" s="113"/>
      <c r="ATZ220" s="115"/>
      <c r="AUA220" s="115"/>
      <c r="AUB220" s="113"/>
      <c r="AUC220" s="113"/>
      <c r="AUD220" s="113"/>
      <c r="AUE220" s="113"/>
      <c r="AUF220" s="114"/>
      <c r="AUG220" s="113"/>
      <c r="AUH220" s="115"/>
      <c r="AUI220" s="115"/>
      <c r="AUJ220" s="113"/>
      <c r="AUK220" s="113"/>
      <c r="AUL220" s="113"/>
      <c r="AUM220" s="113"/>
      <c r="AUN220" s="114"/>
      <c r="AUO220" s="113"/>
      <c r="AUP220" s="115"/>
      <c r="AUQ220" s="115"/>
      <c r="AUR220" s="113"/>
      <c r="AUS220" s="113"/>
      <c r="AUT220" s="113"/>
      <c r="AUU220" s="113"/>
      <c r="AUV220" s="114"/>
      <c r="AUW220" s="113"/>
      <c r="AUX220" s="115"/>
      <c r="AUY220" s="115"/>
      <c r="AUZ220" s="113"/>
      <c r="AVA220" s="113"/>
      <c r="AVB220" s="113"/>
      <c r="AVC220" s="113"/>
      <c r="AVD220" s="114"/>
      <c r="AVE220" s="113"/>
      <c r="AVF220" s="115"/>
      <c r="AVG220" s="115"/>
      <c r="AVH220" s="113"/>
      <c r="AVI220" s="113"/>
      <c r="AVJ220" s="113"/>
      <c r="AVK220" s="113"/>
      <c r="AVL220" s="114"/>
      <c r="AVM220" s="113"/>
      <c r="AVN220" s="115"/>
      <c r="AVO220" s="115"/>
      <c r="AVP220" s="113"/>
      <c r="AVQ220" s="113"/>
      <c r="AVR220" s="113"/>
      <c r="AVS220" s="113"/>
      <c r="AVT220" s="114"/>
      <c r="AVU220" s="113"/>
      <c r="AVV220" s="115"/>
      <c r="AVW220" s="115"/>
      <c r="AVX220" s="113"/>
      <c r="AVY220" s="113"/>
      <c r="AVZ220" s="113"/>
      <c r="AWA220" s="113"/>
      <c r="AWB220" s="114"/>
      <c r="AWC220" s="113"/>
      <c r="AWD220" s="115"/>
      <c r="AWE220" s="115"/>
      <c r="AWF220" s="113"/>
      <c r="AWG220" s="113"/>
      <c r="AWH220" s="113"/>
      <c r="AWI220" s="113"/>
      <c r="AWJ220" s="114"/>
      <c r="AWK220" s="113"/>
      <c r="AWL220" s="115"/>
      <c r="AWM220" s="115"/>
      <c r="AWN220" s="113"/>
      <c r="AWO220" s="113"/>
      <c r="AWP220" s="113"/>
      <c r="AWQ220" s="113"/>
      <c r="AWR220" s="114"/>
      <c r="AWS220" s="113"/>
      <c r="AWT220" s="115"/>
      <c r="AWU220" s="115"/>
      <c r="AWV220" s="113"/>
      <c r="AWW220" s="113"/>
      <c r="AWX220" s="113"/>
      <c r="AWY220" s="113"/>
      <c r="AWZ220" s="114"/>
      <c r="AXA220" s="113"/>
      <c r="AXB220" s="115"/>
      <c r="AXC220" s="115"/>
      <c r="AXD220" s="113"/>
      <c r="AXE220" s="113"/>
      <c r="AXF220" s="113"/>
      <c r="AXG220" s="113"/>
      <c r="AXH220" s="114"/>
      <c r="AXI220" s="113"/>
      <c r="AXJ220" s="115"/>
      <c r="AXK220" s="115"/>
      <c r="AXL220" s="113"/>
      <c r="AXM220" s="113"/>
      <c r="AXN220" s="113"/>
      <c r="AXO220" s="113"/>
      <c r="AXP220" s="114"/>
      <c r="AXQ220" s="113"/>
      <c r="AXR220" s="115"/>
      <c r="AXS220" s="115"/>
      <c r="AXT220" s="113"/>
      <c r="AXU220" s="113"/>
      <c r="AXV220" s="113"/>
      <c r="AXW220" s="113"/>
      <c r="AXX220" s="114"/>
      <c r="AXY220" s="113"/>
      <c r="AXZ220" s="115"/>
      <c r="AYA220" s="115"/>
      <c r="AYB220" s="113"/>
      <c r="AYC220" s="113"/>
      <c r="AYD220" s="113"/>
      <c r="AYE220" s="113"/>
      <c r="AYF220" s="114"/>
      <c r="AYG220" s="113"/>
      <c r="AYH220" s="115"/>
      <c r="AYI220" s="115"/>
      <c r="AYJ220" s="113"/>
      <c r="AYK220" s="113"/>
      <c r="AYL220" s="113"/>
      <c r="AYM220" s="113"/>
      <c r="AYN220" s="114"/>
      <c r="AYO220" s="113"/>
      <c r="AYP220" s="115"/>
      <c r="AYQ220" s="115"/>
      <c r="AYR220" s="113"/>
      <c r="AYS220" s="113"/>
      <c r="AYT220" s="113"/>
      <c r="AYU220" s="113"/>
      <c r="AYV220" s="114"/>
      <c r="AYW220" s="113"/>
      <c r="AYX220" s="115"/>
      <c r="AYY220" s="115"/>
      <c r="AYZ220" s="113"/>
      <c r="AZA220" s="113"/>
      <c r="AZB220" s="113"/>
      <c r="AZC220" s="113"/>
      <c r="AZD220" s="114"/>
      <c r="AZE220" s="113"/>
      <c r="AZF220" s="115"/>
      <c r="AZG220" s="115"/>
      <c r="AZH220" s="113"/>
      <c r="AZI220" s="113"/>
      <c r="AZJ220" s="113"/>
      <c r="AZK220" s="113"/>
      <c r="AZL220" s="114"/>
      <c r="AZM220" s="113"/>
      <c r="AZN220" s="115"/>
      <c r="AZO220" s="115"/>
      <c r="AZP220" s="113"/>
      <c r="AZQ220" s="113"/>
      <c r="AZR220" s="113"/>
      <c r="AZS220" s="113"/>
      <c r="AZT220" s="114"/>
      <c r="AZU220" s="113"/>
      <c r="AZV220" s="115"/>
      <c r="AZW220" s="115"/>
      <c r="AZX220" s="113"/>
      <c r="AZY220" s="113"/>
      <c r="AZZ220" s="113"/>
      <c r="BAA220" s="113"/>
      <c r="BAB220" s="114"/>
      <c r="BAC220" s="113"/>
      <c r="BAD220" s="115"/>
      <c r="BAE220" s="115"/>
      <c r="BAF220" s="113"/>
      <c r="BAG220" s="113"/>
      <c r="BAH220" s="113"/>
      <c r="BAI220" s="113"/>
      <c r="BAJ220" s="114"/>
      <c r="BAK220" s="113"/>
      <c r="BAL220" s="115"/>
      <c r="BAM220" s="115"/>
      <c r="BAN220" s="113"/>
      <c r="BAO220" s="113"/>
      <c r="BAP220" s="113"/>
      <c r="BAQ220" s="113"/>
      <c r="BAR220" s="114"/>
      <c r="BAS220" s="113"/>
      <c r="BAT220" s="115"/>
      <c r="BAU220" s="115"/>
      <c r="BAV220" s="113"/>
      <c r="BAW220" s="113"/>
      <c r="BAX220" s="113"/>
      <c r="BAY220" s="113"/>
      <c r="BAZ220" s="114"/>
      <c r="BBA220" s="113"/>
      <c r="BBB220" s="115"/>
      <c r="BBC220" s="115"/>
      <c r="BBD220" s="113"/>
      <c r="BBE220" s="113"/>
      <c r="BBF220" s="113"/>
      <c r="BBG220" s="113"/>
      <c r="BBH220" s="114"/>
      <c r="BBI220" s="113"/>
      <c r="BBJ220" s="115"/>
      <c r="BBK220" s="115"/>
      <c r="BBL220" s="113"/>
      <c r="BBM220" s="113"/>
      <c r="BBN220" s="113"/>
      <c r="BBO220" s="113"/>
      <c r="BBP220" s="114"/>
      <c r="BBQ220" s="113"/>
      <c r="BBR220" s="115"/>
      <c r="BBS220" s="115"/>
      <c r="BBT220" s="113"/>
      <c r="BBU220" s="113"/>
      <c r="BBV220" s="113"/>
      <c r="BBW220" s="113"/>
      <c r="BBX220" s="114"/>
      <c r="BBY220" s="113"/>
      <c r="BBZ220" s="115"/>
      <c r="BCA220" s="115"/>
      <c r="BCB220" s="113"/>
      <c r="BCC220" s="113"/>
      <c r="BCD220" s="113"/>
      <c r="BCE220" s="113"/>
      <c r="BCF220" s="114"/>
      <c r="BCG220" s="113"/>
      <c r="BCH220" s="115"/>
      <c r="BCI220" s="115"/>
      <c r="BCJ220" s="113"/>
      <c r="BCK220" s="113"/>
      <c r="BCL220" s="113"/>
      <c r="BCM220" s="113"/>
      <c r="BCN220" s="114"/>
      <c r="BCO220" s="113"/>
      <c r="BCP220" s="115"/>
      <c r="BCQ220" s="115"/>
      <c r="BCR220" s="113"/>
      <c r="BCS220" s="113"/>
      <c r="BCT220" s="113"/>
      <c r="BCU220" s="113"/>
      <c r="BCV220" s="114"/>
      <c r="BCW220" s="113"/>
      <c r="BCX220" s="115"/>
      <c r="BCY220" s="115"/>
      <c r="BCZ220" s="113"/>
      <c r="BDA220" s="113"/>
      <c r="BDB220" s="113"/>
      <c r="BDC220" s="113"/>
      <c r="BDD220" s="114"/>
      <c r="BDE220" s="113"/>
      <c r="BDF220" s="115"/>
      <c r="BDG220" s="115"/>
      <c r="BDH220" s="113"/>
      <c r="BDI220" s="113"/>
      <c r="BDJ220" s="113"/>
      <c r="BDK220" s="113"/>
      <c r="BDL220" s="114"/>
      <c r="BDM220" s="113"/>
      <c r="BDN220" s="115"/>
      <c r="BDO220" s="115"/>
      <c r="BDP220" s="113"/>
      <c r="BDQ220" s="113"/>
      <c r="BDR220" s="113"/>
      <c r="BDS220" s="113"/>
      <c r="BDT220" s="114"/>
      <c r="BDU220" s="113"/>
      <c r="BDV220" s="115"/>
      <c r="BDW220" s="115"/>
      <c r="BDX220" s="113"/>
      <c r="BDY220" s="113"/>
      <c r="BDZ220" s="113"/>
      <c r="BEA220" s="113"/>
      <c r="BEB220" s="114"/>
      <c r="BEC220" s="113"/>
      <c r="BED220" s="115"/>
      <c r="BEE220" s="115"/>
      <c r="BEF220" s="113"/>
      <c r="BEG220" s="113"/>
      <c r="BEH220" s="113"/>
      <c r="BEI220" s="113"/>
      <c r="BEJ220" s="114"/>
      <c r="BEK220" s="113"/>
      <c r="BEL220" s="115"/>
      <c r="BEM220" s="115"/>
      <c r="BEN220" s="113"/>
      <c r="BEO220" s="113"/>
      <c r="BEP220" s="113"/>
      <c r="BEQ220" s="113"/>
      <c r="BER220" s="114"/>
      <c r="BES220" s="113"/>
      <c r="BET220" s="115"/>
      <c r="BEU220" s="115"/>
      <c r="BEV220" s="113"/>
      <c r="BEW220" s="113"/>
      <c r="BEX220" s="113"/>
      <c r="BEY220" s="113"/>
      <c r="BEZ220" s="114"/>
      <c r="BFA220" s="113"/>
      <c r="BFB220" s="115"/>
      <c r="BFC220" s="115"/>
      <c r="BFD220" s="113"/>
      <c r="BFE220" s="113"/>
      <c r="BFF220" s="113"/>
      <c r="BFG220" s="113"/>
      <c r="BFH220" s="114"/>
      <c r="BFI220" s="113"/>
      <c r="BFJ220" s="115"/>
      <c r="BFK220" s="115"/>
      <c r="BFL220" s="113"/>
      <c r="BFM220" s="113"/>
      <c r="BFN220" s="113"/>
      <c r="BFO220" s="113"/>
      <c r="BFP220" s="114"/>
      <c r="BFQ220" s="113"/>
      <c r="BFR220" s="115"/>
      <c r="BFS220" s="115"/>
      <c r="BFT220" s="113"/>
      <c r="BFU220" s="113"/>
      <c r="BFV220" s="113"/>
      <c r="BFW220" s="113"/>
      <c r="BFX220" s="114"/>
      <c r="BFY220" s="113"/>
      <c r="BFZ220" s="115"/>
      <c r="BGA220" s="115"/>
      <c r="BGB220" s="113"/>
      <c r="BGC220" s="113"/>
      <c r="BGD220" s="113"/>
      <c r="BGE220" s="113"/>
      <c r="BGF220" s="114"/>
      <c r="BGG220" s="113"/>
      <c r="BGH220" s="115"/>
      <c r="BGI220" s="115"/>
      <c r="BGJ220" s="113"/>
      <c r="BGK220" s="113"/>
      <c r="BGL220" s="113"/>
      <c r="BGM220" s="113"/>
      <c r="BGN220" s="114"/>
      <c r="BGO220" s="113"/>
      <c r="BGP220" s="115"/>
      <c r="BGQ220" s="115"/>
      <c r="BGR220" s="113"/>
      <c r="BGS220" s="113"/>
      <c r="BGT220" s="113"/>
      <c r="BGU220" s="113"/>
      <c r="BGV220" s="114"/>
      <c r="BGW220" s="113"/>
      <c r="BGX220" s="115"/>
      <c r="BGY220" s="115"/>
      <c r="BGZ220" s="113"/>
      <c r="BHA220" s="113"/>
      <c r="BHB220" s="113"/>
      <c r="BHC220" s="113"/>
      <c r="BHD220" s="114"/>
      <c r="BHE220" s="113"/>
      <c r="BHF220" s="115"/>
      <c r="BHG220" s="115"/>
      <c r="BHH220" s="113"/>
      <c r="BHI220" s="113"/>
      <c r="BHJ220" s="113"/>
      <c r="BHK220" s="113"/>
      <c r="BHL220" s="114"/>
      <c r="BHM220" s="113"/>
      <c r="BHN220" s="115"/>
      <c r="BHO220" s="115"/>
      <c r="BHP220" s="113"/>
      <c r="BHQ220" s="113"/>
      <c r="BHR220" s="113"/>
      <c r="BHS220" s="113"/>
      <c r="BHT220" s="114"/>
      <c r="BHU220" s="113"/>
      <c r="BHV220" s="115"/>
      <c r="BHW220" s="115"/>
      <c r="BHX220" s="113"/>
      <c r="BHY220" s="113"/>
      <c r="BHZ220" s="113"/>
      <c r="BIA220" s="113"/>
      <c r="BIB220" s="114"/>
      <c r="BIC220" s="113"/>
      <c r="BID220" s="115"/>
      <c r="BIE220" s="115"/>
      <c r="BIF220" s="113"/>
      <c r="BIG220" s="113"/>
      <c r="BIH220" s="113"/>
      <c r="BII220" s="113"/>
      <c r="BIJ220" s="114"/>
      <c r="BIK220" s="113"/>
      <c r="BIL220" s="115"/>
      <c r="BIM220" s="115"/>
      <c r="BIN220" s="113"/>
      <c r="BIO220" s="113"/>
      <c r="BIP220" s="113"/>
      <c r="BIQ220" s="113"/>
      <c r="BIR220" s="114"/>
      <c r="BIS220" s="113"/>
      <c r="BIT220" s="115"/>
      <c r="BIU220" s="115"/>
      <c r="BIV220" s="113"/>
      <c r="BIW220" s="113"/>
      <c r="BIX220" s="113"/>
      <c r="BIY220" s="113"/>
      <c r="BIZ220" s="114"/>
      <c r="BJA220" s="113"/>
      <c r="BJB220" s="115"/>
      <c r="BJC220" s="115"/>
      <c r="BJD220" s="113"/>
      <c r="BJE220" s="113"/>
      <c r="BJF220" s="113"/>
      <c r="BJG220" s="113"/>
      <c r="BJH220" s="114"/>
      <c r="BJI220" s="113"/>
      <c r="BJJ220" s="115"/>
      <c r="BJK220" s="115"/>
      <c r="BJL220" s="113"/>
      <c r="BJM220" s="113"/>
      <c r="BJN220" s="113"/>
      <c r="BJO220" s="113"/>
      <c r="BJP220" s="114"/>
      <c r="BJQ220" s="113"/>
      <c r="BJR220" s="115"/>
      <c r="BJS220" s="115"/>
      <c r="BJT220" s="113"/>
      <c r="BJU220" s="113"/>
      <c r="BJV220" s="113"/>
      <c r="BJW220" s="113"/>
      <c r="BJX220" s="114"/>
      <c r="BJY220" s="113"/>
      <c r="BJZ220" s="115"/>
      <c r="BKA220" s="115"/>
      <c r="BKB220" s="113"/>
      <c r="BKC220" s="113"/>
      <c r="BKD220" s="113"/>
      <c r="BKE220" s="113"/>
      <c r="BKF220" s="114"/>
      <c r="BKG220" s="113"/>
      <c r="BKH220" s="115"/>
      <c r="BKI220" s="115"/>
      <c r="BKJ220" s="113"/>
      <c r="BKK220" s="113"/>
      <c r="BKL220" s="113"/>
      <c r="BKM220" s="113"/>
      <c r="BKN220" s="114"/>
      <c r="BKO220" s="113"/>
      <c r="BKP220" s="115"/>
      <c r="BKQ220" s="115"/>
      <c r="BKR220" s="113"/>
      <c r="BKS220" s="113"/>
      <c r="BKT220" s="113"/>
      <c r="BKU220" s="113"/>
      <c r="BKV220" s="114"/>
      <c r="BKW220" s="113"/>
      <c r="BKX220" s="115"/>
      <c r="BKY220" s="115"/>
      <c r="BKZ220" s="113"/>
      <c r="BLA220" s="113"/>
      <c r="BLB220" s="113"/>
      <c r="BLC220" s="113"/>
      <c r="BLD220" s="114"/>
      <c r="BLE220" s="113"/>
      <c r="BLF220" s="115"/>
      <c r="BLG220" s="115"/>
      <c r="BLH220" s="113"/>
      <c r="BLI220" s="113"/>
      <c r="BLJ220" s="113"/>
      <c r="BLK220" s="113"/>
      <c r="BLL220" s="114"/>
      <c r="BLM220" s="113"/>
      <c r="BLN220" s="115"/>
      <c r="BLO220" s="115"/>
      <c r="BLP220" s="113"/>
      <c r="BLQ220" s="113"/>
      <c r="BLR220" s="113"/>
      <c r="BLS220" s="113"/>
      <c r="BLT220" s="114"/>
      <c r="BLU220" s="113"/>
      <c r="BLV220" s="115"/>
      <c r="BLW220" s="115"/>
      <c r="BLX220" s="113"/>
      <c r="BLY220" s="113"/>
      <c r="BLZ220" s="113"/>
      <c r="BMA220" s="113"/>
      <c r="BMB220" s="114"/>
      <c r="BMC220" s="113"/>
      <c r="BMD220" s="115"/>
      <c r="BME220" s="115"/>
      <c r="BMF220" s="113"/>
      <c r="BMG220" s="113"/>
      <c r="BMH220" s="113"/>
      <c r="BMI220" s="113"/>
      <c r="BMJ220" s="114"/>
      <c r="BMK220" s="113"/>
      <c r="BML220" s="115"/>
      <c r="BMM220" s="115"/>
      <c r="BMN220" s="113"/>
      <c r="BMO220" s="113"/>
      <c r="BMP220" s="113"/>
      <c r="BMQ220" s="113"/>
      <c r="BMR220" s="114"/>
      <c r="BMS220" s="113"/>
      <c r="BMT220" s="115"/>
      <c r="BMU220" s="115"/>
      <c r="BMV220" s="113"/>
      <c r="BMW220" s="113"/>
      <c r="BMX220" s="113"/>
      <c r="BMY220" s="113"/>
      <c r="BMZ220" s="114"/>
      <c r="BNA220" s="113"/>
      <c r="BNB220" s="115"/>
      <c r="BNC220" s="115"/>
      <c r="BND220" s="113"/>
      <c r="BNE220" s="113"/>
      <c r="BNF220" s="113"/>
      <c r="BNG220" s="113"/>
      <c r="BNH220" s="114"/>
      <c r="BNI220" s="113"/>
      <c r="BNJ220" s="115"/>
      <c r="BNK220" s="115"/>
      <c r="BNL220" s="113"/>
      <c r="BNM220" s="113"/>
      <c r="BNN220" s="113"/>
      <c r="BNO220" s="113"/>
      <c r="BNP220" s="114"/>
      <c r="BNQ220" s="113"/>
      <c r="BNR220" s="115"/>
      <c r="BNS220" s="115"/>
      <c r="BNT220" s="113"/>
      <c r="BNU220" s="113"/>
      <c r="BNV220" s="113"/>
      <c r="BNW220" s="113"/>
      <c r="BNX220" s="114"/>
      <c r="BNY220" s="113"/>
      <c r="BNZ220" s="115"/>
      <c r="BOA220" s="115"/>
      <c r="BOB220" s="113"/>
      <c r="BOC220" s="113"/>
      <c r="BOD220" s="113"/>
      <c r="BOE220" s="113"/>
      <c r="BOF220" s="114"/>
      <c r="BOG220" s="113"/>
      <c r="BOH220" s="115"/>
      <c r="BOI220" s="115"/>
      <c r="BOJ220" s="113"/>
      <c r="BOK220" s="113"/>
      <c r="BOL220" s="113"/>
      <c r="BOM220" s="113"/>
      <c r="BON220" s="114"/>
      <c r="BOO220" s="113"/>
      <c r="BOP220" s="115"/>
      <c r="BOQ220" s="115"/>
      <c r="BOR220" s="113"/>
      <c r="BOS220" s="113"/>
      <c r="BOT220" s="113"/>
      <c r="BOU220" s="113"/>
      <c r="BOV220" s="114"/>
      <c r="BOW220" s="113"/>
      <c r="BOX220" s="115"/>
      <c r="BOY220" s="115"/>
      <c r="BOZ220" s="113"/>
      <c r="BPA220" s="113"/>
      <c r="BPB220" s="113"/>
      <c r="BPC220" s="113"/>
      <c r="BPD220" s="114"/>
      <c r="BPE220" s="113"/>
      <c r="BPF220" s="115"/>
      <c r="BPG220" s="115"/>
      <c r="BPH220" s="113"/>
      <c r="BPI220" s="113"/>
      <c r="BPJ220" s="113"/>
      <c r="BPK220" s="113"/>
      <c r="BPL220" s="114"/>
      <c r="BPM220" s="113"/>
      <c r="BPN220" s="115"/>
      <c r="BPO220" s="115"/>
      <c r="BPP220" s="113"/>
      <c r="BPQ220" s="113"/>
      <c r="BPR220" s="113"/>
      <c r="BPS220" s="113"/>
      <c r="BPT220" s="114"/>
      <c r="BPU220" s="113"/>
      <c r="BPV220" s="115"/>
      <c r="BPW220" s="115"/>
      <c r="BPX220" s="113"/>
      <c r="BPY220" s="113"/>
      <c r="BPZ220" s="113"/>
      <c r="BQA220" s="113"/>
      <c r="BQB220" s="114"/>
      <c r="BQC220" s="113"/>
      <c r="BQD220" s="115"/>
      <c r="BQE220" s="115"/>
      <c r="BQF220" s="113"/>
      <c r="BQG220" s="113"/>
      <c r="BQH220" s="113"/>
      <c r="BQI220" s="113"/>
      <c r="BQJ220" s="114"/>
      <c r="BQK220" s="113"/>
      <c r="BQL220" s="115"/>
      <c r="BQM220" s="115"/>
      <c r="BQN220" s="113"/>
      <c r="BQO220" s="113"/>
      <c r="BQP220" s="113"/>
      <c r="BQQ220" s="113"/>
      <c r="BQR220" s="114"/>
      <c r="BQS220" s="113"/>
      <c r="BQT220" s="115"/>
      <c r="BQU220" s="115"/>
      <c r="BQV220" s="113"/>
      <c r="BQW220" s="113"/>
      <c r="BQX220" s="113"/>
      <c r="BQY220" s="113"/>
      <c r="BQZ220" s="114"/>
      <c r="BRA220" s="113"/>
      <c r="BRB220" s="115"/>
      <c r="BRC220" s="115"/>
      <c r="BRD220" s="113"/>
      <c r="BRE220" s="113"/>
      <c r="BRF220" s="113"/>
      <c r="BRG220" s="113"/>
      <c r="BRH220" s="114"/>
      <c r="BRI220" s="113"/>
      <c r="BRJ220" s="115"/>
      <c r="BRK220" s="115"/>
      <c r="BRL220" s="113"/>
      <c r="BRM220" s="113"/>
      <c r="BRN220" s="113"/>
      <c r="BRO220" s="113"/>
      <c r="BRP220" s="114"/>
      <c r="BRQ220" s="113"/>
      <c r="BRR220" s="115"/>
      <c r="BRS220" s="115"/>
      <c r="BRT220" s="113"/>
      <c r="BRU220" s="113"/>
      <c r="BRV220" s="113"/>
      <c r="BRW220" s="113"/>
      <c r="BRX220" s="114"/>
      <c r="BRY220" s="113"/>
      <c r="BRZ220" s="115"/>
      <c r="BSA220" s="115"/>
      <c r="BSB220" s="113"/>
      <c r="BSC220" s="113"/>
      <c r="BSD220" s="113"/>
      <c r="BSE220" s="113"/>
      <c r="BSF220" s="114"/>
      <c r="BSG220" s="113"/>
      <c r="BSH220" s="115"/>
      <c r="BSI220" s="115"/>
      <c r="BSJ220" s="113"/>
      <c r="BSK220" s="113"/>
      <c r="BSL220" s="113"/>
      <c r="BSM220" s="113"/>
      <c r="BSN220" s="114"/>
      <c r="BSO220" s="113"/>
      <c r="BSP220" s="115"/>
      <c r="BSQ220" s="115"/>
      <c r="BSR220" s="113"/>
      <c r="BSS220" s="113"/>
      <c r="BST220" s="113"/>
      <c r="BSU220" s="113"/>
      <c r="BSV220" s="114"/>
      <c r="BSW220" s="113"/>
      <c r="BSX220" s="115"/>
      <c r="BSY220" s="115"/>
      <c r="BSZ220" s="113"/>
      <c r="BTA220" s="113"/>
      <c r="BTB220" s="113"/>
      <c r="BTC220" s="113"/>
      <c r="BTD220" s="114"/>
      <c r="BTE220" s="113"/>
      <c r="BTF220" s="115"/>
      <c r="BTG220" s="115"/>
      <c r="BTH220" s="113"/>
      <c r="BTI220" s="113"/>
      <c r="BTJ220" s="113"/>
      <c r="BTK220" s="113"/>
      <c r="BTL220" s="114"/>
      <c r="BTM220" s="113"/>
      <c r="BTN220" s="115"/>
      <c r="BTO220" s="115"/>
      <c r="BTP220" s="113"/>
      <c r="BTQ220" s="113"/>
      <c r="BTR220" s="113"/>
      <c r="BTS220" s="113"/>
      <c r="BTT220" s="114"/>
      <c r="BTU220" s="113"/>
      <c r="BTV220" s="115"/>
      <c r="BTW220" s="115"/>
      <c r="BTX220" s="113"/>
      <c r="BTY220" s="113"/>
      <c r="BTZ220" s="113"/>
      <c r="BUA220" s="113"/>
      <c r="BUB220" s="114"/>
      <c r="BUC220" s="113"/>
      <c r="BUD220" s="115"/>
      <c r="BUE220" s="115"/>
      <c r="BUF220" s="113"/>
      <c r="BUG220" s="113"/>
      <c r="BUH220" s="113"/>
      <c r="BUI220" s="113"/>
      <c r="BUJ220" s="114"/>
      <c r="BUK220" s="113"/>
      <c r="BUL220" s="115"/>
      <c r="BUM220" s="115"/>
      <c r="BUN220" s="113"/>
      <c r="BUO220" s="113"/>
      <c r="BUP220" s="113"/>
      <c r="BUQ220" s="113"/>
      <c r="BUR220" s="114"/>
      <c r="BUS220" s="113"/>
      <c r="BUT220" s="115"/>
      <c r="BUU220" s="115"/>
      <c r="BUV220" s="113"/>
      <c r="BUW220" s="113"/>
      <c r="BUX220" s="113"/>
      <c r="BUY220" s="113"/>
      <c r="BUZ220" s="114"/>
      <c r="BVA220" s="113"/>
      <c r="BVB220" s="115"/>
      <c r="BVC220" s="115"/>
      <c r="BVD220" s="113"/>
      <c r="BVE220" s="113"/>
      <c r="BVF220" s="113"/>
      <c r="BVG220" s="113"/>
      <c r="BVH220" s="114"/>
      <c r="BVI220" s="113"/>
      <c r="BVJ220" s="115"/>
      <c r="BVK220" s="115"/>
      <c r="BVL220" s="113"/>
      <c r="BVM220" s="113"/>
      <c r="BVN220" s="113"/>
      <c r="BVO220" s="113"/>
      <c r="BVP220" s="114"/>
      <c r="BVQ220" s="113"/>
      <c r="BVR220" s="115"/>
      <c r="BVS220" s="115"/>
      <c r="BVT220" s="113"/>
      <c r="BVU220" s="113"/>
      <c r="BVV220" s="113"/>
      <c r="BVW220" s="113"/>
      <c r="BVX220" s="114"/>
      <c r="BVY220" s="113"/>
      <c r="BVZ220" s="115"/>
      <c r="BWA220" s="115"/>
      <c r="BWB220" s="113"/>
      <c r="BWC220" s="113"/>
      <c r="BWD220" s="113"/>
      <c r="BWE220" s="113"/>
      <c r="BWF220" s="114"/>
      <c r="BWG220" s="113"/>
      <c r="BWH220" s="115"/>
      <c r="BWI220" s="115"/>
      <c r="BWJ220" s="113"/>
      <c r="BWK220" s="113"/>
      <c r="BWL220" s="113"/>
      <c r="BWM220" s="113"/>
      <c r="BWN220" s="114"/>
      <c r="BWO220" s="113"/>
      <c r="BWP220" s="115"/>
      <c r="BWQ220" s="115"/>
      <c r="BWR220" s="113"/>
      <c r="BWS220" s="113"/>
      <c r="BWT220" s="113"/>
      <c r="BWU220" s="113"/>
      <c r="BWV220" s="114"/>
      <c r="BWW220" s="113"/>
      <c r="BWX220" s="115"/>
      <c r="BWY220" s="115"/>
      <c r="BWZ220" s="113"/>
      <c r="BXA220" s="113"/>
      <c r="BXB220" s="113"/>
      <c r="BXC220" s="113"/>
      <c r="BXD220" s="114"/>
      <c r="BXE220" s="113"/>
      <c r="BXF220" s="115"/>
      <c r="BXG220" s="115"/>
      <c r="BXH220" s="113"/>
      <c r="BXI220" s="113"/>
      <c r="BXJ220" s="113"/>
      <c r="BXK220" s="113"/>
      <c r="BXL220" s="114"/>
      <c r="BXM220" s="113"/>
      <c r="BXN220" s="115"/>
      <c r="BXO220" s="115"/>
      <c r="BXP220" s="113"/>
      <c r="BXQ220" s="113"/>
      <c r="BXR220" s="113"/>
      <c r="BXS220" s="113"/>
      <c r="BXT220" s="114"/>
      <c r="BXU220" s="113"/>
      <c r="BXV220" s="115"/>
      <c r="BXW220" s="115"/>
      <c r="BXX220" s="113"/>
      <c r="BXY220" s="113"/>
      <c r="BXZ220" s="113"/>
      <c r="BYA220" s="113"/>
      <c r="BYB220" s="114"/>
      <c r="BYC220" s="113"/>
      <c r="BYD220" s="115"/>
      <c r="BYE220" s="115"/>
      <c r="BYF220" s="113"/>
      <c r="BYG220" s="113"/>
      <c r="BYH220" s="113"/>
      <c r="BYI220" s="113"/>
      <c r="BYJ220" s="114"/>
      <c r="BYK220" s="113"/>
      <c r="BYL220" s="115"/>
      <c r="BYM220" s="115"/>
      <c r="BYN220" s="113"/>
      <c r="BYO220" s="113"/>
      <c r="BYP220" s="113"/>
      <c r="BYQ220" s="113"/>
      <c r="BYR220" s="114"/>
      <c r="BYS220" s="113"/>
      <c r="BYT220" s="115"/>
      <c r="BYU220" s="115"/>
      <c r="BYV220" s="113"/>
      <c r="BYW220" s="113"/>
      <c r="BYX220" s="113"/>
      <c r="BYY220" s="113"/>
      <c r="BYZ220" s="114"/>
      <c r="BZA220" s="113"/>
      <c r="BZB220" s="115"/>
      <c r="BZC220" s="115"/>
      <c r="BZD220" s="113"/>
      <c r="BZE220" s="113"/>
      <c r="BZF220" s="113"/>
      <c r="BZG220" s="113"/>
      <c r="BZH220" s="114"/>
      <c r="BZI220" s="113"/>
      <c r="BZJ220" s="115"/>
      <c r="BZK220" s="115"/>
      <c r="BZL220" s="113"/>
      <c r="BZM220" s="113"/>
      <c r="BZN220" s="113"/>
      <c r="BZO220" s="113"/>
      <c r="BZP220" s="114"/>
      <c r="BZQ220" s="113"/>
      <c r="BZR220" s="115"/>
      <c r="BZS220" s="115"/>
      <c r="BZT220" s="113"/>
      <c r="BZU220" s="113"/>
      <c r="BZV220" s="113"/>
      <c r="BZW220" s="113"/>
      <c r="BZX220" s="114"/>
      <c r="BZY220" s="113"/>
      <c r="BZZ220" s="115"/>
      <c r="CAA220" s="115"/>
      <c r="CAB220" s="113"/>
      <c r="CAC220" s="113"/>
      <c r="CAD220" s="113"/>
      <c r="CAE220" s="113"/>
      <c r="CAF220" s="114"/>
      <c r="CAG220" s="113"/>
      <c r="CAH220" s="115"/>
      <c r="CAI220" s="115"/>
      <c r="CAJ220" s="113"/>
      <c r="CAK220" s="113"/>
      <c r="CAL220" s="113"/>
      <c r="CAM220" s="113"/>
      <c r="CAN220" s="114"/>
      <c r="CAO220" s="113"/>
      <c r="CAP220" s="115"/>
      <c r="CAQ220" s="115"/>
      <c r="CAR220" s="113"/>
      <c r="CAS220" s="113"/>
      <c r="CAT220" s="113"/>
      <c r="CAU220" s="113"/>
      <c r="CAV220" s="114"/>
      <c r="CAW220" s="113"/>
      <c r="CAX220" s="115"/>
      <c r="CAY220" s="115"/>
      <c r="CAZ220" s="113"/>
      <c r="CBA220" s="113"/>
      <c r="CBB220" s="113"/>
      <c r="CBC220" s="113"/>
      <c r="CBD220" s="114"/>
      <c r="CBE220" s="113"/>
      <c r="CBF220" s="115"/>
      <c r="CBG220" s="115"/>
      <c r="CBH220" s="113"/>
      <c r="CBI220" s="113"/>
      <c r="CBJ220" s="113"/>
      <c r="CBK220" s="113"/>
      <c r="CBL220" s="114"/>
      <c r="CBM220" s="113"/>
      <c r="CBN220" s="115"/>
      <c r="CBO220" s="115"/>
      <c r="CBP220" s="113"/>
      <c r="CBQ220" s="113"/>
      <c r="CBR220" s="113"/>
      <c r="CBS220" s="113"/>
      <c r="CBT220" s="114"/>
      <c r="CBU220" s="113"/>
      <c r="CBV220" s="115"/>
      <c r="CBW220" s="115"/>
      <c r="CBX220" s="113"/>
      <c r="CBY220" s="113"/>
      <c r="CBZ220" s="113"/>
      <c r="CCA220" s="113"/>
      <c r="CCB220" s="114"/>
      <c r="CCC220" s="113"/>
      <c r="CCD220" s="115"/>
      <c r="CCE220" s="115"/>
      <c r="CCF220" s="113"/>
      <c r="CCG220" s="113"/>
      <c r="CCH220" s="113"/>
      <c r="CCI220" s="113"/>
      <c r="CCJ220" s="114"/>
      <c r="CCK220" s="113"/>
      <c r="CCL220" s="115"/>
      <c r="CCM220" s="115"/>
      <c r="CCN220" s="113"/>
      <c r="CCO220" s="113"/>
      <c r="CCP220" s="113"/>
      <c r="CCQ220" s="113"/>
      <c r="CCR220" s="114"/>
      <c r="CCS220" s="113"/>
      <c r="CCT220" s="115"/>
      <c r="CCU220" s="115"/>
      <c r="CCV220" s="113"/>
      <c r="CCW220" s="113"/>
      <c r="CCX220" s="113"/>
      <c r="CCY220" s="113"/>
      <c r="CCZ220" s="114"/>
      <c r="CDA220" s="113"/>
      <c r="CDB220" s="115"/>
      <c r="CDC220" s="115"/>
      <c r="CDD220" s="113"/>
      <c r="CDE220" s="113"/>
      <c r="CDF220" s="113"/>
      <c r="CDG220" s="113"/>
      <c r="CDH220" s="114"/>
      <c r="CDI220" s="113"/>
      <c r="CDJ220" s="115"/>
      <c r="CDK220" s="115"/>
      <c r="CDL220" s="113"/>
      <c r="CDM220" s="113"/>
      <c r="CDN220" s="113"/>
      <c r="CDO220" s="113"/>
      <c r="CDP220" s="114"/>
      <c r="CDQ220" s="113"/>
      <c r="CDR220" s="115"/>
      <c r="CDS220" s="115"/>
      <c r="CDT220" s="113"/>
      <c r="CDU220" s="113"/>
      <c r="CDV220" s="113"/>
      <c r="CDW220" s="113"/>
      <c r="CDX220" s="114"/>
      <c r="CDY220" s="113"/>
      <c r="CDZ220" s="115"/>
      <c r="CEA220" s="115"/>
      <c r="CEB220" s="113"/>
      <c r="CEC220" s="113"/>
      <c r="CED220" s="113"/>
      <c r="CEE220" s="113"/>
      <c r="CEF220" s="114"/>
      <c r="CEG220" s="113"/>
      <c r="CEH220" s="115"/>
      <c r="CEI220" s="115"/>
      <c r="CEJ220" s="113"/>
      <c r="CEK220" s="113"/>
      <c r="CEL220" s="113"/>
      <c r="CEM220" s="113"/>
      <c r="CEN220" s="114"/>
      <c r="CEO220" s="113"/>
      <c r="CEP220" s="115"/>
      <c r="CEQ220" s="115"/>
      <c r="CER220" s="113"/>
      <c r="CES220" s="113"/>
      <c r="CET220" s="113"/>
      <c r="CEU220" s="113"/>
      <c r="CEV220" s="114"/>
      <c r="CEW220" s="113"/>
      <c r="CEX220" s="115"/>
      <c r="CEY220" s="115"/>
      <c r="CEZ220" s="113"/>
      <c r="CFA220" s="113"/>
      <c r="CFB220" s="113"/>
      <c r="CFC220" s="113"/>
      <c r="CFD220" s="114"/>
      <c r="CFE220" s="113"/>
      <c r="CFF220" s="115"/>
      <c r="CFG220" s="115"/>
      <c r="CFH220" s="113"/>
      <c r="CFI220" s="113"/>
      <c r="CFJ220" s="113"/>
      <c r="CFK220" s="113"/>
      <c r="CFL220" s="114"/>
      <c r="CFM220" s="113"/>
      <c r="CFN220" s="115"/>
      <c r="CFO220" s="115"/>
      <c r="CFP220" s="113"/>
      <c r="CFQ220" s="113"/>
      <c r="CFR220" s="113"/>
      <c r="CFS220" s="113"/>
      <c r="CFT220" s="114"/>
      <c r="CFU220" s="113"/>
      <c r="CFV220" s="115"/>
      <c r="CFW220" s="115"/>
      <c r="CFX220" s="113"/>
      <c r="CFY220" s="113"/>
      <c r="CFZ220" s="113"/>
      <c r="CGA220" s="113"/>
      <c r="CGB220" s="114"/>
      <c r="CGC220" s="113"/>
      <c r="CGD220" s="115"/>
      <c r="CGE220" s="115"/>
      <c r="CGF220" s="113"/>
      <c r="CGG220" s="113"/>
      <c r="CGH220" s="113"/>
      <c r="CGI220" s="113"/>
      <c r="CGJ220" s="114"/>
      <c r="CGK220" s="113"/>
      <c r="CGL220" s="115"/>
      <c r="CGM220" s="115"/>
      <c r="CGN220" s="113"/>
      <c r="CGO220" s="113"/>
      <c r="CGP220" s="113"/>
      <c r="CGQ220" s="113"/>
      <c r="CGR220" s="114"/>
      <c r="CGS220" s="113"/>
      <c r="CGT220" s="115"/>
      <c r="CGU220" s="115"/>
      <c r="CGV220" s="113"/>
      <c r="CGW220" s="113"/>
      <c r="CGX220" s="113"/>
      <c r="CGY220" s="113"/>
      <c r="CGZ220" s="114"/>
      <c r="CHA220" s="113"/>
      <c r="CHB220" s="115"/>
      <c r="CHC220" s="115"/>
      <c r="CHD220" s="113"/>
      <c r="CHE220" s="113"/>
      <c r="CHF220" s="113"/>
      <c r="CHG220" s="113"/>
      <c r="CHH220" s="114"/>
      <c r="CHI220" s="113"/>
      <c r="CHJ220" s="115"/>
      <c r="CHK220" s="115"/>
      <c r="CHL220" s="113"/>
      <c r="CHM220" s="113"/>
      <c r="CHN220" s="113"/>
      <c r="CHO220" s="113"/>
      <c r="CHP220" s="114"/>
      <c r="CHQ220" s="113"/>
      <c r="CHR220" s="115"/>
      <c r="CHS220" s="115"/>
      <c r="CHT220" s="113"/>
      <c r="CHU220" s="113"/>
      <c r="CHV220" s="113"/>
      <c r="CHW220" s="113"/>
      <c r="CHX220" s="114"/>
      <c r="CHY220" s="113"/>
      <c r="CHZ220" s="115"/>
      <c r="CIA220" s="115"/>
      <c r="CIB220" s="113"/>
      <c r="CIC220" s="113"/>
      <c r="CID220" s="113"/>
      <c r="CIE220" s="113"/>
      <c r="CIF220" s="114"/>
      <c r="CIG220" s="113"/>
      <c r="CIH220" s="115"/>
      <c r="CII220" s="115"/>
      <c r="CIJ220" s="113"/>
      <c r="CIK220" s="113"/>
      <c r="CIL220" s="113"/>
      <c r="CIM220" s="113"/>
      <c r="CIN220" s="114"/>
      <c r="CIO220" s="113"/>
      <c r="CIP220" s="115"/>
      <c r="CIQ220" s="115"/>
      <c r="CIR220" s="113"/>
      <c r="CIS220" s="113"/>
      <c r="CIT220" s="113"/>
      <c r="CIU220" s="113"/>
      <c r="CIV220" s="114"/>
      <c r="CIW220" s="113"/>
      <c r="CIX220" s="115"/>
      <c r="CIY220" s="115"/>
      <c r="CIZ220" s="113"/>
      <c r="CJA220" s="113"/>
      <c r="CJB220" s="113"/>
      <c r="CJC220" s="113"/>
      <c r="CJD220" s="114"/>
      <c r="CJE220" s="113"/>
      <c r="CJF220" s="115"/>
      <c r="CJG220" s="115"/>
      <c r="CJH220" s="113"/>
      <c r="CJI220" s="113"/>
      <c r="CJJ220" s="113"/>
      <c r="CJK220" s="113"/>
      <c r="CJL220" s="114"/>
      <c r="CJM220" s="113"/>
      <c r="CJN220" s="115"/>
      <c r="CJO220" s="115"/>
      <c r="CJP220" s="113"/>
      <c r="CJQ220" s="113"/>
      <c r="CJR220" s="113"/>
      <c r="CJS220" s="113"/>
      <c r="CJT220" s="114"/>
      <c r="CJU220" s="113"/>
      <c r="CJV220" s="115"/>
      <c r="CJW220" s="115"/>
      <c r="CJX220" s="113"/>
      <c r="CJY220" s="113"/>
      <c r="CJZ220" s="113"/>
      <c r="CKA220" s="113"/>
      <c r="CKB220" s="114"/>
      <c r="CKC220" s="113"/>
      <c r="CKD220" s="115"/>
      <c r="CKE220" s="115"/>
      <c r="CKF220" s="113"/>
      <c r="CKG220" s="113"/>
      <c r="CKH220" s="113"/>
      <c r="CKI220" s="113"/>
      <c r="CKJ220" s="114"/>
      <c r="CKK220" s="113"/>
      <c r="CKL220" s="115"/>
      <c r="CKM220" s="115"/>
      <c r="CKN220" s="113"/>
      <c r="CKO220" s="113"/>
      <c r="CKP220" s="113"/>
      <c r="CKQ220" s="113"/>
      <c r="CKR220" s="114"/>
      <c r="CKS220" s="113"/>
      <c r="CKT220" s="115"/>
      <c r="CKU220" s="115"/>
      <c r="CKV220" s="113"/>
      <c r="CKW220" s="113"/>
      <c r="CKX220" s="113"/>
      <c r="CKY220" s="113"/>
      <c r="CKZ220" s="114"/>
      <c r="CLA220" s="113"/>
      <c r="CLB220" s="115"/>
      <c r="CLC220" s="115"/>
      <c r="CLD220" s="113"/>
      <c r="CLE220" s="113"/>
      <c r="CLF220" s="113"/>
      <c r="CLG220" s="113"/>
      <c r="CLH220" s="114"/>
      <c r="CLI220" s="113"/>
      <c r="CLJ220" s="115"/>
      <c r="CLK220" s="115"/>
      <c r="CLL220" s="113"/>
      <c r="CLM220" s="113"/>
      <c r="CLN220" s="113"/>
      <c r="CLO220" s="113"/>
      <c r="CLP220" s="114"/>
      <c r="CLQ220" s="113"/>
      <c r="CLR220" s="115"/>
      <c r="CLS220" s="115"/>
      <c r="CLT220" s="113"/>
      <c r="CLU220" s="113"/>
      <c r="CLV220" s="113"/>
      <c r="CLW220" s="113"/>
      <c r="CLX220" s="114"/>
      <c r="CLY220" s="113"/>
      <c r="CLZ220" s="115"/>
      <c r="CMA220" s="115"/>
      <c r="CMB220" s="113"/>
      <c r="CMC220" s="113"/>
      <c r="CMD220" s="113"/>
      <c r="CME220" s="113"/>
      <c r="CMF220" s="114"/>
      <c r="CMG220" s="113"/>
      <c r="CMH220" s="115"/>
      <c r="CMI220" s="115"/>
      <c r="CMJ220" s="113"/>
      <c r="CMK220" s="113"/>
      <c r="CML220" s="113"/>
      <c r="CMM220" s="113"/>
      <c r="CMN220" s="114"/>
      <c r="CMO220" s="113"/>
      <c r="CMP220" s="115"/>
      <c r="CMQ220" s="115"/>
      <c r="CMR220" s="113"/>
      <c r="CMS220" s="113"/>
      <c r="CMT220" s="113"/>
      <c r="CMU220" s="113"/>
      <c r="CMV220" s="114"/>
      <c r="CMW220" s="113"/>
      <c r="CMX220" s="115"/>
      <c r="CMY220" s="115"/>
      <c r="CMZ220" s="113"/>
      <c r="CNA220" s="113"/>
      <c r="CNB220" s="113"/>
      <c r="CNC220" s="113"/>
      <c r="CND220" s="114"/>
      <c r="CNE220" s="113"/>
      <c r="CNF220" s="115"/>
      <c r="CNG220" s="115"/>
      <c r="CNH220" s="113"/>
      <c r="CNI220" s="113"/>
      <c r="CNJ220" s="113"/>
      <c r="CNK220" s="113"/>
      <c r="CNL220" s="114"/>
      <c r="CNM220" s="113"/>
      <c r="CNN220" s="115"/>
      <c r="CNO220" s="115"/>
      <c r="CNP220" s="113"/>
      <c r="CNQ220" s="113"/>
      <c r="CNR220" s="113"/>
      <c r="CNS220" s="113"/>
      <c r="CNT220" s="114"/>
      <c r="CNU220" s="113"/>
      <c r="CNV220" s="115"/>
      <c r="CNW220" s="115"/>
      <c r="CNX220" s="113"/>
      <c r="CNY220" s="113"/>
      <c r="CNZ220" s="113"/>
      <c r="COA220" s="113"/>
      <c r="COB220" s="114"/>
      <c r="COC220" s="113"/>
      <c r="COD220" s="115"/>
      <c r="COE220" s="115"/>
      <c r="COF220" s="113"/>
      <c r="COG220" s="113"/>
      <c r="COH220" s="113"/>
      <c r="COI220" s="113"/>
      <c r="COJ220" s="114"/>
      <c r="COK220" s="113"/>
      <c r="COL220" s="115"/>
      <c r="COM220" s="115"/>
      <c r="CON220" s="113"/>
      <c r="COO220" s="113"/>
      <c r="COP220" s="113"/>
      <c r="COQ220" s="113"/>
      <c r="COR220" s="114"/>
      <c r="COS220" s="113"/>
      <c r="COT220" s="115"/>
      <c r="COU220" s="115"/>
      <c r="COV220" s="113"/>
      <c r="COW220" s="113"/>
      <c r="COX220" s="113"/>
      <c r="COY220" s="113"/>
      <c r="COZ220" s="114"/>
      <c r="CPA220" s="113"/>
      <c r="CPB220" s="115"/>
      <c r="CPC220" s="115"/>
      <c r="CPD220" s="113"/>
      <c r="CPE220" s="113"/>
      <c r="CPF220" s="113"/>
      <c r="CPG220" s="113"/>
      <c r="CPH220" s="114"/>
      <c r="CPI220" s="113"/>
      <c r="CPJ220" s="115"/>
      <c r="CPK220" s="115"/>
      <c r="CPL220" s="113"/>
      <c r="CPM220" s="113"/>
      <c r="CPN220" s="113"/>
      <c r="CPO220" s="113"/>
      <c r="CPP220" s="114"/>
      <c r="CPQ220" s="113"/>
      <c r="CPR220" s="115"/>
      <c r="CPS220" s="115"/>
      <c r="CPT220" s="113"/>
      <c r="CPU220" s="113"/>
      <c r="CPV220" s="113"/>
      <c r="CPW220" s="113"/>
      <c r="CPX220" s="114"/>
      <c r="CPY220" s="113"/>
      <c r="CPZ220" s="115"/>
      <c r="CQA220" s="115"/>
      <c r="CQB220" s="113"/>
      <c r="CQC220" s="113"/>
      <c r="CQD220" s="113"/>
      <c r="CQE220" s="113"/>
      <c r="CQF220" s="114"/>
      <c r="CQG220" s="113"/>
      <c r="CQH220" s="115"/>
      <c r="CQI220" s="115"/>
      <c r="CQJ220" s="113"/>
      <c r="CQK220" s="113"/>
      <c r="CQL220" s="113"/>
      <c r="CQM220" s="113"/>
      <c r="CQN220" s="114"/>
      <c r="CQO220" s="113"/>
      <c r="CQP220" s="115"/>
      <c r="CQQ220" s="115"/>
      <c r="CQR220" s="113"/>
      <c r="CQS220" s="113"/>
      <c r="CQT220" s="113"/>
      <c r="CQU220" s="113"/>
      <c r="CQV220" s="114"/>
      <c r="CQW220" s="113"/>
      <c r="CQX220" s="115"/>
      <c r="CQY220" s="115"/>
      <c r="CQZ220" s="113"/>
      <c r="CRA220" s="113"/>
      <c r="CRB220" s="113"/>
      <c r="CRC220" s="113"/>
      <c r="CRD220" s="114"/>
      <c r="CRE220" s="113"/>
      <c r="CRF220" s="115"/>
      <c r="CRG220" s="115"/>
      <c r="CRH220" s="113"/>
      <c r="CRI220" s="113"/>
      <c r="CRJ220" s="113"/>
      <c r="CRK220" s="113"/>
      <c r="CRL220" s="114"/>
      <c r="CRM220" s="113"/>
      <c r="CRN220" s="115"/>
      <c r="CRO220" s="115"/>
      <c r="CRP220" s="113"/>
      <c r="CRQ220" s="113"/>
      <c r="CRR220" s="113"/>
      <c r="CRS220" s="113"/>
      <c r="CRT220" s="114"/>
      <c r="CRU220" s="113"/>
      <c r="CRV220" s="115"/>
      <c r="CRW220" s="115"/>
      <c r="CRX220" s="113"/>
      <c r="CRY220" s="113"/>
      <c r="CRZ220" s="113"/>
      <c r="CSA220" s="113"/>
      <c r="CSB220" s="114"/>
      <c r="CSC220" s="113"/>
      <c r="CSD220" s="115"/>
      <c r="CSE220" s="115"/>
      <c r="CSF220" s="113"/>
      <c r="CSG220" s="113"/>
      <c r="CSH220" s="113"/>
      <c r="CSI220" s="113"/>
      <c r="CSJ220" s="114"/>
      <c r="CSK220" s="113"/>
      <c r="CSL220" s="115"/>
      <c r="CSM220" s="115"/>
      <c r="CSN220" s="113"/>
      <c r="CSO220" s="113"/>
      <c r="CSP220" s="113"/>
      <c r="CSQ220" s="113"/>
      <c r="CSR220" s="114"/>
      <c r="CSS220" s="113"/>
      <c r="CST220" s="115"/>
      <c r="CSU220" s="115"/>
      <c r="CSV220" s="113"/>
      <c r="CSW220" s="113"/>
      <c r="CSX220" s="113"/>
      <c r="CSY220" s="113"/>
      <c r="CSZ220" s="114"/>
      <c r="CTA220" s="113"/>
      <c r="CTB220" s="115"/>
      <c r="CTC220" s="115"/>
      <c r="CTD220" s="113"/>
      <c r="CTE220" s="113"/>
      <c r="CTF220" s="113"/>
      <c r="CTG220" s="113"/>
      <c r="CTH220" s="114"/>
      <c r="CTI220" s="113"/>
      <c r="CTJ220" s="115"/>
      <c r="CTK220" s="115"/>
      <c r="CTL220" s="113"/>
      <c r="CTM220" s="113"/>
      <c r="CTN220" s="113"/>
      <c r="CTO220" s="113"/>
      <c r="CTP220" s="114"/>
      <c r="CTQ220" s="113"/>
      <c r="CTR220" s="115"/>
      <c r="CTS220" s="115"/>
      <c r="CTT220" s="113"/>
      <c r="CTU220" s="113"/>
      <c r="CTV220" s="113"/>
      <c r="CTW220" s="113"/>
      <c r="CTX220" s="114"/>
      <c r="CTY220" s="113"/>
      <c r="CTZ220" s="115"/>
      <c r="CUA220" s="115"/>
      <c r="CUB220" s="113"/>
      <c r="CUC220" s="113"/>
      <c r="CUD220" s="113"/>
      <c r="CUE220" s="113"/>
      <c r="CUF220" s="114"/>
      <c r="CUG220" s="113"/>
      <c r="CUH220" s="115"/>
      <c r="CUI220" s="115"/>
      <c r="CUJ220" s="113"/>
      <c r="CUK220" s="113"/>
      <c r="CUL220" s="113"/>
      <c r="CUM220" s="113"/>
      <c r="CUN220" s="114"/>
      <c r="CUO220" s="113"/>
      <c r="CUP220" s="115"/>
      <c r="CUQ220" s="115"/>
      <c r="CUR220" s="113"/>
      <c r="CUS220" s="113"/>
      <c r="CUT220" s="113"/>
      <c r="CUU220" s="113"/>
      <c r="CUV220" s="114"/>
      <c r="CUW220" s="113"/>
      <c r="CUX220" s="115"/>
      <c r="CUY220" s="115"/>
      <c r="CUZ220" s="113"/>
      <c r="CVA220" s="113"/>
      <c r="CVB220" s="113"/>
      <c r="CVC220" s="113"/>
      <c r="CVD220" s="114"/>
      <c r="CVE220" s="113"/>
      <c r="CVF220" s="115"/>
      <c r="CVG220" s="115"/>
      <c r="CVH220" s="113"/>
      <c r="CVI220" s="113"/>
      <c r="CVJ220" s="113"/>
      <c r="CVK220" s="113"/>
      <c r="CVL220" s="114"/>
      <c r="CVM220" s="113"/>
      <c r="CVN220" s="115"/>
      <c r="CVO220" s="115"/>
      <c r="CVP220" s="113"/>
      <c r="CVQ220" s="113"/>
      <c r="CVR220" s="113"/>
      <c r="CVS220" s="113"/>
      <c r="CVT220" s="114"/>
      <c r="CVU220" s="113"/>
      <c r="CVV220" s="115"/>
      <c r="CVW220" s="115"/>
      <c r="CVX220" s="113"/>
      <c r="CVY220" s="113"/>
      <c r="CVZ220" s="113"/>
      <c r="CWA220" s="113"/>
      <c r="CWB220" s="114"/>
      <c r="CWC220" s="113"/>
      <c r="CWD220" s="115"/>
      <c r="CWE220" s="115"/>
      <c r="CWF220" s="113"/>
      <c r="CWG220" s="113"/>
      <c r="CWH220" s="113"/>
      <c r="CWI220" s="113"/>
      <c r="CWJ220" s="114"/>
      <c r="CWK220" s="113"/>
      <c r="CWL220" s="115"/>
      <c r="CWM220" s="115"/>
      <c r="CWN220" s="113"/>
      <c r="CWO220" s="113"/>
      <c r="CWP220" s="113"/>
      <c r="CWQ220" s="113"/>
      <c r="CWR220" s="114"/>
      <c r="CWS220" s="113"/>
      <c r="CWT220" s="115"/>
      <c r="CWU220" s="115"/>
      <c r="CWV220" s="113"/>
      <c r="CWW220" s="113"/>
      <c r="CWX220" s="113"/>
      <c r="CWY220" s="113"/>
      <c r="CWZ220" s="114"/>
      <c r="CXA220" s="113"/>
      <c r="CXB220" s="115"/>
      <c r="CXC220" s="115"/>
      <c r="CXD220" s="113"/>
      <c r="CXE220" s="113"/>
      <c r="CXF220" s="113"/>
      <c r="CXG220" s="113"/>
      <c r="CXH220" s="114"/>
      <c r="CXI220" s="113"/>
      <c r="CXJ220" s="115"/>
      <c r="CXK220" s="115"/>
      <c r="CXL220" s="113"/>
      <c r="CXM220" s="113"/>
      <c r="CXN220" s="113"/>
      <c r="CXO220" s="113"/>
      <c r="CXP220" s="114"/>
      <c r="CXQ220" s="113"/>
      <c r="CXR220" s="115"/>
      <c r="CXS220" s="115"/>
      <c r="CXT220" s="113"/>
      <c r="CXU220" s="113"/>
      <c r="CXV220" s="113"/>
      <c r="CXW220" s="113"/>
      <c r="CXX220" s="114"/>
      <c r="CXY220" s="113"/>
      <c r="CXZ220" s="115"/>
      <c r="CYA220" s="115"/>
      <c r="CYB220" s="113"/>
      <c r="CYC220" s="113"/>
      <c r="CYD220" s="113"/>
      <c r="CYE220" s="113"/>
      <c r="CYF220" s="114"/>
      <c r="CYG220" s="113"/>
      <c r="CYH220" s="115"/>
      <c r="CYI220" s="115"/>
      <c r="CYJ220" s="113"/>
      <c r="CYK220" s="113"/>
      <c r="CYL220" s="113"/>
      <c r="CYM220" s="113"/>
      <c r="CYN220" s="114"/>
      <c r="CYO220" s="113"/>
      <c r="CYP220" s="115"/>
      <c r="CYQ220" s="115"/>
      <c r="CYR220" s="113"/>
      <c r="CYS220" s="113"/>
      <c r="CYT220" s="113"/>
      <c r="CYU220" s="113"/>
      <c r="CYV220" s="114"/>
      <c r="CYW220" s="113"/>
      <c r="CYX220" s="115"/>
      <c r="CYY220" s="115"/>
      <c r="CYZ220" s="113"/>
      <c r="CZA220" s="113"/>
      <c r="CZB220" s="113"/>
      <c r="CZC220" s="113"/>
      <c r="CZD220" s="114"/>
      <c r="CZE220" s="113"/>
      <c r="CZF220" s="115"/>
      <c r="CZG220" s="115"/>
      <c r="CZH220" s="113"/>
      <c r="CZI220" s="113"/>
      <c r="CZJ220" s="113"/>
      <c r="CZK220" s="113"/>
      <c r="CZL220" s="114"/>
      <c r="CZM220" s="113"/>
      <c r="CZN220" s="115"/>
      <c r="CZO220" s="115"/>
      <c r="CZP220" s="113"/>
      <c r="CZQ220" s="113"/>
      <c r="CZR220" s="113"/>
      <c r="CZS220" s="113"/>
      <c r="CZT220" s="114"/>
      <c r="CZU220" s="113"/>
      <c r="CZV220" s="115"/>
      <c r="CZW220" s="115"/>
      <c r="CZX220" s="113"/>
      <c r="CZY220" s="113"/>
      <c r="CZZ220" s="113"/>
      <c r="DAA220" s="113"/>
      <c r="DAB220" s="114"/>
      <c r="DAC220" s="113"/>
      <c r="DAD220" s="115"/>
      <c r="DAE220" s="115"/>
      <c r="DAF220" s="113"/>
      <c r="DAG220" s="113"/>
      <c r="DAH220" s="113"/>
      <c r="DAI220" s="113"/>
      <c r="DAJ220" s="114"/>
      <c r="DAK220" s="113"/>
      <c r="DAL220" s="115"/>
      <c r="DAM220" s="115"/>
      <c r="DAN220" s="113"/>
      <c r="DAO220" s="113"/>
      <c r="DAP220" s="113"/>
      <c r="DAQ220" s="113"/>
      <c r="DAR220" s="114"/>
      <c r="DAS220" s="113"/>
      <c r="DAT220" s="115"/>
      <c r="DAU220" s="115"/>
      <c r="DAV220" s="113"/>
      <c r="DAW220" s="113"/>
      <c r="DAX220" s="113"/>
      <c r="DAY220" s="113"/>
      <c r="DAZ220" s="114"/>
      <c r="DBA220" s="113"/>
      <c r="DBB220" s="115"/>
      <c r="DBC220" s="115"/>
      <c r="DBD220" s="113"/>
      <c r="DBE220" s="113"/>
      <c r="DBF220" s="113"/>
      <c r="DBG220" s="113"/>
      <c r="DBH220" s="114"/>
      <c r="DBI220" s="113"/>
      <c r="DBJ220" s="115"/>
      <c r="DBK220" s="115"/>
      <c r="DBL220" s="113"/>
      <c r="DBM220" s="113"/>
      <c r="DBN220" s="113"/>
      <c r="DBO220" s="113"/>
      <c r="DBP220" s="114"/>
      <c r="DBQ220" s="113"/>
      <c r="DBR220" s="115"/>
      <c r="DBS220" s="115"/>
      <c r="DBT220" s="113"/>
      <c r="DBU220" s="113"/>
      <c r="DBV220" s="113"/>
      <c r="DBW220" s="113"/>
      <c r="DBX220" s="114"/>
      <c r="DBY220" s="113"/>
      <c r="DBZ220" s="115"/>
      <c r="DCA220" s="115"/>
      <c r="DCB220" s="113"/>
      <c r="DCC220" s="113"/>
      <c r="DCD220" s="113"/>
      <c r="DCE220" s="113"/>
      <c r="DCF220" s="114"/>
      <c r="DCG220" s="113"/>
      <c r="DCH220" s="115"/>
      <c r="DCI220" s="115"/>
      <c r="DCJ220" s="113"/>
      <c r="DCK220" s="113"/>
      <c r="DCL220" s="113"/>
      <c r="DCM220" s="113"/>
      <c r="DCN220" s="114"/>
      <c r="DCO220" s="113"/>
      <c r="DCP220" s="115"/>
      <c r="DCQ220" s="115"/>
      <c r="DCR220" s="113"/>
      <c r="DCS220" s="113"/>
      <c r="DCT220" s="113"/>
      <c r="DCU220" s="113"/>
      <c r="DCV220" s="114"/>
      <c r="DCW220" s="113"/>
      <c r="DCX220" s="115"/>
      <c r="DCY220" s="115"/>
      <c r="DCZ220" s="113"/>
      <c r="DDA220" s="113"/>
      <c r="DDB220" s="113"/>
      <c r="DDC220" s="113"/>
      <c r="DDD220" s="114"/>
      <c r="DDE220" s="113"/>
      <c r="DDF220" s="115"/>
      <c r="DDG220" s="115"/>
      <c r="DDH220" s="113"/>
      <c r="DDI220" s="113"/>
      <c r="DDJ220" s="113"/>
      <c r="DDK220" s="113"/>
      <c r="DDL220" s="114"/>
      <c r="DDM220" s="113"/>
      <c r="DDN220" s="115"/>
      <c r="DDO220" s="115"/>
      <c r="DDP220" s="113"/>
      <c r="DDQ220" s="113"/>
      <c r="DDR220" s="113"/>
      <c r="DDS220" s="113"/>
      <c r="DDT220" s="114"/>
      <c r="DDU220" s="113"/>
      <c r="DDV220" s="115"/>
      <c r="DDW220" s="115"/>
      <c r="DDX220" s="113"/>
      <c r="DDY220" s="113"/>
      <c r="DDZ220" s="113"/>
      <c r="DEA220" s="113"/>
      <c r="DEB220" s="114"/>
      <c r="DEC220" s="113"/>
      <c r="DED220" s="115"/>
      <c r="DEE220" s="115"/>
      <c r="DEF220" s="113"/>
      <c r="DEG220" s="113"/>
      <c r="DEH220" s="113"/>
      <c r="DEI220" s="113"/>
      <c r="DEJ220" s="114"/>
      <c r="DEK220" s="113"/>
      <c r="DEL220" s="115"/>
      <c r="DEM220" s="115"/>
      <c r="DEN220" s="113"/>
      <c r="DEO220" s="113"/>
      <c r="DEP220" s="113"/>
      <c r="DEQ220" s="113"/>
      <c r="DER220" s="114"/>
      <c r="DES220" s="113"/>
      <c r="DET220" s="115"/>
      <c r="DEU220" s="115"/>
      <c r="DEV220" s="113"/>
      <c r="DEW220" s="113"/>
      <c r="DEX220" s="113"/>
      <c r="DEY220" s="113"/>
      <c r="DEZ220" s="114"/>
      <c r="DFA220" s="113"/>
      <c r="DFB220" s="115"/>
      <c r="DFC220" s="115"/>
      <c r="DFD220" s="113"/>
      <c r="DFE220" s="113"/>
      <c r="DFF220" s="113"/>
      <c r="DFG220" s="113"/>
      <c r="DFH220" s="114"/>
      <c r="DFI220" s="113"/>
      <c r="DFJ220" s="115"/>
      <c r="DFK220" s="115"/>
      <c r="DFL220" s="113"/>
      <c r="DFM220" s="113"/>
      <c r="DFN220" s="113"/>
      <c r="DFO220" s="113"/>
      <c r="DFP220" s="114"/>
      <c r="DFQ220" s="113"/>
      <c r="DFR220" s="115"/>
      <c r="DFS220" s="115"/>
      <c r="DFT220" s="113"/>
      <c r="DFU220" s="113"/>
      <c r="DFV220" s="113"/>
      <c r="DFW220" s="113"/>
      <c r="DFX220" s="114"/>
      <c r="DFY220" s="113"/>
      <c r="DFZ220" s="115"/>
      <c r="DGA220" s="115"/>
      <c r="DGB220" s="113"/>
      <c r="DGC220" s="113"/>
      <c r="DGD220" s="113"/>
      <c r="DGE220" s="113"/>
      <c r="DGF220" s="114"/>
      <c r="DGG220" s="113"/>
      <c r="DGH220" s="115"/>
      <c r="DGI220" s="115"/>
      <c r="DGJ220" s="113"/>
      <c r="DGK220" s="113"/>
      <c r="DGL220" s="113"/>
      <c r="DGM220" s="113"/>
      <c r="DGN220" s="114"/>
      <c r="DGO220" s="113"/>
      <c r="DGP220" s="115"/>
      <c r="DGQ220" s="115"/>
      <c r="DGR220" s="113"/>
      <c r="DGS220" s="113"/>
      <c r="DGT220" s="113"/>
      <c r="DGU220" s="113"/>
      <c r="DGV220" s="114"/>
      <c r="DGW220" s="113"/>
      <c r="DGX220" s="115"/>
      <c r="DGY220" s="115"/>
      <c r="DGZ220" s="113"/>
      <c r="DHA220" s="113"/>
      <c r="DHB220" s="113"/>
      <c r="DHC220" s="113"/>
      <c r="DHD220" s="114"/>
      <c r="DHE220" s="113"/>
      <c r="DHF220" s="115"/>
      <c r="DHG220" s="115"/>
      <c r="DHH220" s="113"/>
      <c r="DHI220" s="113"/>
      <c r="DHJ220" s="113"/>
      <c r="DHK220" s="113"/>
      <c r="DHL220" s="114"/>
      <c r="DHM220" s="113"/>
      <c r="DHN220" s="115"/>
      <c r="DHO220" s="115"/>
      <c r="DHP220" s="113"/>
      <c r="DHQ220" s="113"/>
      <c r="DHR220" s="113"/>
      <c r="DHS220" s="113"/>
      <c r="DHT220" s="114"/>
      <c r="DHU220" s="113"/>
      <c r="DHV220" s="115"/>
      <c r="DHW220" s="115"/>
      <c r="DHX220" s="113"/>
      <c r="DHY220" s="113"/>
      <c r="DHZ220" s="113"/>
      <c r="DIA220" s="113"/>
      <c r="DIB220" s="114"/>
      <c r="DIC220" s="113"/>
      <c r="DID220" s="115"/>
      <c r="DIE220" s="115"/>
      <c r="DIF220" s="113"/>
      <c r="DIG220" s="113"/>
      <c r="DIH220" s="113"/>
      <c r="DII220" s="113"/>
      <c r="DIJ220" s="114"/>
      <c r="DIK220" s="113"/>
      <c r="DIL220" s="115"/>
      <c r="DIM220" s="115"/>
      <c r="DIN220" s="113"/>
      <c r="DIO220" s="113"/>
      <c r="DIP220" s="113"/>
      <c r="DIQ220" s="113"/>
      <c r="DIR220" s="114"/>
      <c r="DIS220" s="113"/>
      <c r="DIT220" s="115"/>
      <c r="DIU220" s="115"/>
      <c r="DIV220" s="113"/>
      <c r="DIW220" s="113"/>
      <c r="DIX220" s="113"/>
      <c r="DIY220" s="113"/>
      <c r="DIZ220" s="114"/>
      <c r="DJA220" s="113"/>
      <c r="DJB220" s="115"/>
      <c r="DJC220" s="115"/>
      <c r="DJD220" s="113"/>
      <c r="DJE220" s="113"/>
      <c r="DJF220" s="113"/>
      <c r="DJG220" s="113"/>
      <c r="DJH220" s="114"/>
      <c r="DJI220" s="113"/>
      <c r="DJJ220" s="115"/>
      <c r="DJK220" s="115"/>
      <c r="DJL220" s="113"/>
      <c r="DJM220" s="113"/>
      <c r="DJN220" s="113"/>
      <c r="DJO220" s="113"/>
      <c r="DJP220" s="114"/>
      <c r="DJQ220" s="113"/>
      <c r="DJR220" s="115"/>
      <c r="DJS220" s="115"/>
      <c r="DJT220" s="113"/>
      <c r="DJU220" s="113"/>
      <c r="DJV220" s="113"/>
      <c r="DJW220" s="113"/>
      <c r="DJX220" s="114"/>
      <c r="DJY220" s="113"/>
      <c r="DJZ220" s="115"/>
      <c r="DKA220" s="115"/>
      <c r="DKB220" s="113"/>
      <c r="DKC220" s="113"/>
      <c r="DKD220" s="113"/>
      <c r="DKE220" s="113"/>
      <c r="DKF220" s="114"/>
      <c r="DKG220" s="113"/>
      <c r="DKH220" s="115"/>
      <c r="DKI220" s="115"/>
      <c r="DKJ220" s="113"/>
      <c r="DKK220" s="113"/>
      <c r="DKL220" s="113"/>
      <c r="DKM220" s="113"/>
      <c r="DKN220" s="114"/>
      <c r="DKO220" s="113"/>
      <c r="DKP220" s="115"/>
      <c r="DKQ220" s="115"/>
      <c r="DKR220" s="113"/>
      <c r="DKS220" s="113"/>
      <c r="DKT220" s="113"/>
      <c r="DKU220" s="113"/>
      <c r="DKV220" s="114"/>
      <c r="DKW220" s="113"/>
      <c r="DKX220" s="115"/>
      <c r="DKY220" s="115"/>
      <c r="DKZ220" s="113"/>
      <c r="DLA220" s="113"/>
      <c r="DLB220" s="113"/>
      <c r="DLC220" s="113"/>
      <c r="DLD220" s="114"/>
      <c r="DLE220" s="113"/>
      <c r="DLF220" s="115"/>
      <c r="DLG220" s="115"/>
      <c r="DLH220" s="113"/>
      <c r="DLI220" s="113"/>
      <c r="DLJ220" s="113"/>
      <c r="DLK220" s="113"/>
      <c r="DLL220" s="114"/>
      <c r="DLM220" s="113"/>
      <c r="DLN220" s="115"/>
      <c r="DLO220" s="115"/>
      <c r="DLP220" s="113"/>
      <c r="DLQ220" s="113"/>
      <c r="DLR220" s="113"/>
      <c r="DLS220" s="113"/>
      <c r="DLT220" s="114"/>
      <c r="DLU220" s="113"/>
      <c r="DLV220" s="115"/>
      <c r="DLW220" s="115"/>
      <c r="DLX220" s="113"/>
      <c r="DLY220" s="113"/>
      <c r="DLZ220" s="113"/>
      <c r="DMA220" s="113"/>
      <c r="DMB220" s="114"/>
      <c r="DMC220" s="113"/>
      <c r="DMD220" s="115"/>
      <c r="DME220" s="115"/>
      <c r="DMF220" s="113"/>
      <c r="DMG220" s="113"/>
      <c r="DMH220" s="113"/>
      <c r="DMI220" s="113"/>
      <c r="DMJ220" s="114"/>
      <c r="DMK220" s="113"/>
      <c r="DML220" s="115"/>
      <c r="DMM220" s="115"/>
      <c r="DMN220" s="113"/>
      <c r="DMO220" s="113"/>
      <c r="DMP220" s="113"/>
      <c r="DMQ220" s="113"/>
      <c r="DMR220" s="114"/>
      <c r="DMS220" s="113"/>
      <c r="DMT220" s="115"/>
      <c r="DMU220" s="115"/>
      <c r="DMV220" s="113"/>
      <c r="DMW220" s="113"/>
      <c r="DMX220" s="113"/>
      <c r="DMY220" s="113"/>
      <c r="DMZ220" s="114"/>
      <c r="DNA220" s="113"/>
      <c r="DNB220" s="115"/>
      <c r="DNC220" s="115"/>
      <c r="DND220" s="113"/>
      <c r="DNE220" s="113"/>
      <c r="DNF220" s="113"/>
      <c r="DNG220" s="113"/>
      <c r="DNH220" s="114"/>
      <c r="DNI220" s="113"/>
      <c r="DNJ220" s="115"/>
      <c r="DNK220" s="115"/>
      <c r="DNL220" s="113"/>
      <c r="DNM220" s="113"/>
      <c r="DNN220" s="113"/>
      <c r="DNO220" s="113"/>
      <c r="DNP220" s="114"/>
      <c r="DNQ220" s="113"/>
      <c r="DNR220" s="115"/>
      <c r="DNS220" s="115"/>
      <c r="DNT220" s="113"/>
      <c r="DNU220" s="113"/>
      <c r="DNV220" s="113"/>
      <c r="DNW220" s="113"/>
      <c r="DNX220" s="114"/>
      <c r="DNY220" s="113"/>
      <c r="DNZ220" s="115"/>
      <c r="DOA220" s="115"/>
      <c r="DOB220" s="113"/>
      <c r="DOC220" s="113"/>
      <c r="DOD220" s="113"/>
      <c r="DOE220" s="113"/>
      <c r="DOF220" s="114"/>
      <c r="DOG220" s="113"/>
      <c r="DOH220" s="115"/>
      <c r="DOI220" s="115"/>
      <c r="DOJ220" s="113"/>
      <c r="DOK220" s="113"/>
      <c r="DOL220" s="113"/>
      <c r="DOM220" s="113"/>
      <c r="DON220" s="114"/>
      <c r="DOO220" s="113"/>
      <c r="DOP220" s="115"/>
      <c r="DOQ220" s="115"/>
      <c r="DOR220" s="113"/>
      <c r="DOS220" s="113"/>
      <c r="DOT220" s="113"/>
      <c r="DOU220" s="113"/>
      <c r="DOV220" s="114"/>
      <c r="DOW220" s="113"/>
      <c r="DOX220" s="115"/>
      <c r="DOY220" s="115"/>
      <c r="DOZ220" s="113"/>
      <c r="DPA220" s="113"/>
      <c r="DPB220" s="113"/>
      <c r="DPC220" s="113"/>
      <c r="DPD220" s="114"/>
      <c r="DPE220" s="113"/>
      <c r="DPF220" s="115"/>
      <c r="DPG220" s="115"/>
      <c r="DPH220" s="113"/>
      <c r="DPI220" s="113"/>
      <c r="DPJ220" s="113"/>
      <c r="DPK220" s="113"/>
      <c r="DPL220" s="114"/>
      <c r="DPM220" s="113"/>
      <c r="DPN220" s="115"/>
      <c r="DPO220" s="115"/>
      <c r="DPP220" s="113"/>
      <c r="DPQ220" s="113"/>
      <c r="DPR220" s="113"/>
      <c r="DPS220" s="113"/>
      <c r="DPT220" s="114"/>
      <c r="DPU220" s="113"/>
      <c r="DPV220" s="115"/>
      <c r="DPW220" s="115"/>
      <c r="DPX220" s="113"/>
      <c r="DPY220" s="113"/>
      <c r="DPZ220" s="113"/>
      <c r="DQA220" s="113"/>
      <c r="DQB220" s="114"/>
      <c r="DQC220" s="113"/>
      <c r="DQD220" s="115"/>
      <c r="DQE220" s="115"/>
      <c r="DQF220" s="113"/>
      <c r="DQG220" s="113"/>
      <c r="DQH220" s="113"/>
      <c r="DQI220" s="113"/>
      <c r="DQJ220" s="114"/>
      <c r="DQK220" s="113"/>
      <c r="DQL220" s="115"/>
      <c r="DQM220" s="115"/>
      <c r="DQN220" s="113"/>
      <c r="DQO220" s="113"/>
      <c r="DQP220" s="113"/>
      <c r="DQQ220" s="113"/>
      <c r="DQR220" s="114"/>
      <c r="DQS220" s="113"/>
      <c r="DQT220" s="115"/>
      <c r="DQU220" s="115"/>
      <c r="DQV220" s="113"/>
      <c r="DQW220" s="113"/>
      <c r="DQX220" s="113"/>
      <c r="DQY220" s="113"/>
      <c r="DQZ220" s="114"/>
      <c r="DRA220" s="113"/>
      <c r="DRB220" s="115"/>
      <c r="DRC220" s="115"/>
      <c r="DRD220" s="113"/>
      <c r="DRE220" s="113"/>
      <c r="DRF220" s="113"/>
      <c r="DRG220" s="113"/>
      <c r="DRH220" s="114"/>
      <c r="DRI220" s="113"/>
      <c r="DRJ220" s="115"/>
      <c r="DRK220" s="115"/>
      <c r="DRL220" s="113"/>
      <c r="DRM220" s="113"/>
      <c r="DRN220" s="113"/>
      <c r="DRO220" s="113"/>
      <c r="DRP220" s="114"/>
      <c r="DRQ220" s="113"/>
      <c r="DRR220" s="115"/>
      <c r="DRS220" s="115"/>
      <c r="DRT220" s="113"/>
      <c r="DRU220" s="113"/>
      <c r="DRV220" s="113"/>
      <c r="DRW220" s="113"/>
      <c r="DRX220" s="114"/>
      <c r="DRY220" s="113"/>
      <c r="DRZ220" s="115"/>
      <c r="DSA220" s="115"/>
      <c r="DSB220" s="113"/>
      <c r="DSC220" s="113"/>
      <c r="DSD220" s="113"/>
      <c r="DSE220" s="113"/>
      <c r="DSF220" s="114"/>
      <c r="DSG220" s="113"/>
      <c r="DSH220" s="115"/>
      <c r="DSI220" s="115"/>
      <c r="DSJ220" s="113"/>
      <c r="DSK220" s="113"/>
      <c r="DSL220" s="113"/>
      <c r="DSM220" s="113"/>
      <c r="DSN220" s="114"/>
      <c r="DSO220" s="113"/>
      <c r="DSP220" s="115"/>
      <c r="DSQ220" s="115"/>
      <c r="DSR220" s="113"/>
      <c r="DSS220" s="113"/>
      <c r="DST220" s="113"/>
      <c r="DSU220" s="113"/>
      <c r="DSV220" s="114"/>
      <c r="DSW220" s="113"/>
      <c r="DSX220" s="115"/>
      <c r="DSY220" s="115"/>
      <c r="DSZ220" s="113"/>
      <c r="DTA220" s="113"/>
      <c r="DTB220" s="113"/>
      <c r="DTC220" s="113"/>
      <c r="DTD220" s="114"/>
      <c r="DTE220" s="113"/>
      <c r="DTF220" s="115"/>
      <c r="DTG220" s="115"/>
      <c r="DTH220" s="113"/>
      <c r="DTI220" s="113"/>
      <c r="DTJ220" s="113"/>
      <c r="DTK220" s="113"/>
      <c r="DTL220" s="114"/>
      <c r="DTM220" s="113"/>
      <c r="DTN220" s="115"/>
      <c r="DTO220" s="115"/>
      <c r="DTP220" s="113"/>
      <c r="DTQ220" s="113"/>
      <c r="DTR220" s="113"/>
      <c r="DTS220" s="113"/>
      <c r="DTT220" s="114"/>
      <c r="DTU220" s="113"/>
      <c r="DTV220" s="115"/>
      <c r="DTW220" s="115"/>
      <c r="DTX220" s="113"/>
      <c r="DTY220" s="113"/>
      <c r="DTZ220" s="113"/>
      <c r="DUA220" s="113"/>
      <c r="DUB220" s="114"/>
      <c r="DUC220" s="113"/>
      <c r="DUD220" s="115"/>
      <c r="DUE220" s="115"/>
      <c r="DUF220" s="113"/>
      <c r="DUG220" s="113"/>
      <c r="DUH220" s="113"/>
      <c r="DUI220" s="113"/>
      <c r="DUJ220" s="114"/>
      <c r="DUK220" s="113"/>
      <c r="DUL220" s="115"/>
      <c r="DUM220" s="115"/>
      <c r="DUN220" s="113"/>
      <c r="DUO220" s="113"/>
      <c r="DUP220" s="113"/>
      <c r="DUQ220" s="113"/>
      <c r="DUR220" s="114"/>
      <c r="DUS220" s="113"/>
      <c r="DUT220" s="115"/>
      <c r="DUU220" s="115"/>
      <c r="DUV220" s="113"/>
      <c r="DUW220" s="113"/>
      <c r="DUX220" s="113"/>
      <c r="DUY220" s="113"/>
      <c r="DUZ220" s="114"/>
      <c r="DVA220" s="113"/>
      <c r="DVB220" s="115"/>
      <c r="DVC220" s="115"/>
      <c r="DVD220" s="113"/>
      <c r="DVE220" s="113"/>
      <c r="DVF220" s="113"/>
      <c r="DVG220" s="113"/>
      <c r="DVH220" s="114"/>
      <c r="DVI220" s="113"/>
      <c r="DVJ220" s="115"/>
      <c r="DVK220" s="115"/>
      <c r="DVL220" s="113"/>
      <c r="DVM220" s="113"/>
      <c r="DVN220" s="113"/>
      <c r="DVO220" s="113"/>
      <c r="DVP220" s="114"/>
      <c r="DVQ220" s="113"/>
      <c r="DVR220" s="115"/>
      <c r="DVS220" s="115"/>
      <c r="DVT220" s="113"/>
      <c r="DVU220" s="113"/>
      <c r="DVV220" s="113"/>
      <c r="DVW220" s="113"/>
      <c r="DVX220" s="114"/>
      <c r="DVY220" s="113"/>
      <c r="DVZ220" s="115"/>
      <c r="DWA220" s="115"/>
      <c r="DWB220" s="113"/>
      <c r="DWC220" s="113"/>
      <c r="DWD220" s="113"/>
      <c r="DWE220" s="113"/>
      <c r="DWF220" s="114"/>
      <c r="DWG220" s="113"/>
      <c r="DWH220" s="115"/>
      <c r="DWI220" s="115"/>
      <c r="DWJ220" s="113"/>
      <c r="DWK220" s="113"/>
      <c r="DWL220" s="113"/>
      <c r="DWM220" s="113"/>
      <c r="DWN220" s="114"/>
      <c r="DWO220" s="113"/>
      <c r="DWP220" s="115"/>
      <c r="DWQ220" s="115"/>
      <c r="DWR220" s="113"/>
      <c r="DWS220" s="113"/>
      <c r="DWT220" s="113"/>
      <c r="DWU220" s="113"/>
      <c r="DWV220" s="114"/>
      <c r="DWW220" s="113"/>
      <c r="DWX220" s="115"/>
      <c r="DWY220" s="115"/>
      <c r="DWZ220" s="113"/>
      <c r="DXA220" s="113"/>
      <c r="DXB220" s="113"/>
      <c r="DXC220" s="113"/>
      <c r="DXD220" s="114"/>
      <c r="DXE220" s="113"/>
      <c r="DXF220" s="115"/>
      <c r="DXG220" s="115"/>
      <c r="DXH220" s="113"/>
      <c r="DXI220" s="113"/>
      <c r="DXJ220" s="113"/>
      <c r="DXK220" s="113"/>
      <c r="DXL220" s="114"/>
      <c r="DXM220" s="113"/>
      <c r="DXN220" s="115"/>
      <c r="DXO220" s="115"/>
      <c r="DXP220" s="113"/>
      <c r="DXQ220" s="113"/>
      <c r="DXR220" s="113"/>
      <c r="DXS220" s="113"/>
      <c r="DXT220" s="114"/>
      <c r="DXU220" s="113"/>
      <c r="DXV220" s="115"/>
      <c r="DXW220" s="115"/>
      <c r="DXX220" s="113"/>
      <c r="DXY220" s="113"/>
      <c r="DXZ220" s="113"/>
      <c r="DYA220" s="113"/>
      <c r="DYB220" s="114"/>
      <c r="DYC220" s="113"/>
      <c r="DYD220" s="115"/>
      <c r="DYE220" s="115"/>
      <c r="DYF220" s="113"/>
      <c r="DYG220" s="113"/>
      <c r="DYH220" s="113"/>
      <c r="DYI220" s="113"/>
      <c r="DYJ220" s="114"/>
      <c r="DYK220" s="113"/>
      <c r="DYL220" s="115"/>
      <c r="DYM220" s="115"/>
      <c r="DYN220" s="113"/>
      <c r="DYO220" s="113"/>
      <c r="DYP220" s="113"/>
      <c r="DYQ220" s="113"/>
      <c r="DYR220" s="114"/>
      <c r="DYS220" s="113"/>
      <c r="DYT220" s="115"/>
      <c r="DYU220" s="115"/>
      <c r="DYV220" s="113"/>
      <c r="DYW220" s="113"/>
      <c r="DYX220" s="113"/>
      <c r="DYY220" s="113"/>
      <c r="DYZ220" s="114"/>
      <c r="DZA220" s="113"/>
      <c r="DZB220" s="115"/>
      <c r="DZC220" s="115"/>
      <c r="DZD220" s="113"/>
      <c r="DZE220" s="113"/>
      <c r="DZF220" s="113"/>
      <c r="DZG220" s="113"/>
      <c r="DZH220" s="114"/>
      <c r="DZI220" s="113"/>
      <c r="DZJ220" s="115"/>
      <c r="DZK220" s="115"/>
      <c r="DZL220" s="113"/>
      <c r="DZM220" s="113"/>
      <c r="DZN220" s="113"/>
      <c r="DZO220" s="113"/>
      <c r="DZP220" s="114"/>
      <c r="DZQ220" s="113"/>
      <c r="DZR220" s="115"/>
      <c r="DZS220" s="115"/>
      <c r="DZT220" s="113"/>
      <c r="DZU220" s="113"/>
      <c r="DZV220" s="113"/>
      <c r="DZW220" s="113"/>
      <c r="DZX220" s="114"/>
      <c r="DZY220" s="113"/>
      <c r="DZZ220" s="115"/>
      <c r="EAA220" s="115"/>
      <c r="EAB220" s="113"/>
      <c r="EAC220" s="113"/>
      <c r="EAD220" s="113"/>
      <c r="EAE220" s="113"/>
      <c r="EAF220" s="114"/>
      <c r="EAG220" s="113"/>
      <c r="EAH220" s="115"/>
      <c r="EAI220" s="115"/>
      <c r="EAJ220" s="113"/>
      <c r="EAK220" s="113"/>
      <c r="EAL220" s="113"/>
      <c r="EAM220" s="113"/>
      <c r="EAN220" s="114"/>
      <c r="EAO220" s="113"/>
      <c r="EAP220" s="115"/>
      <c r="EAQ220" s="115"/>
      <c r="EAR220" s="113"/>
      <c r="EAS220" s="113"/>
      <c r="EAT220" s="113"/>
      <c r="EAU220" s="113"/>
      <c r="EAV220" s="114"/>
      <c r="EAW220" s="113"/>
      <c r="EAX220" s="115"/>
      <c r="EAY220" s="115"/>
      <c r="EAZ220" s="113"/>
      <c r="EBA220" s="113"/>
      <c r="EBB220" s="113"/>
      <c r="EBC220" s="113"/>
      <c r="EBD220" s="114"/>
      <c r="EBE220" s="113"/>
      <c r="EBF220" s="115"/>
      <c r="EBG220" s="115"/>
      <c r="EBH220" s="113"/>
      <c r="EBI220" s="113"/>
      <c r="EBJ220" s="113"/>
      <c r="EBK220" s="113"/>
      <c r="EBL220" s="114"/>
      <c r="EBM220" s="113"/>
      <c r="EBN220" s="115"/>
      <c r="EBO220" s="115"/>
      <c r="EBP220" s="113"/>
      <c r="EBQ220" s="113"/>
      <c r="EBR220" s="113"/>
      <c r="EBS220" s="113"/>
      <c r="EBT220" s="114"/>
      <c r="EBU220" s="113"/>
      <c r="EBV220" s="115"/>
      <c r="EBW220" s="115"/>
      <c r="EBX220" s="113"/>
      <c r="EBY220" s="113"/>
      <c r="EBZ220" s="113"/>
      <c r="ECA220" s="113"/>
      <c r="ECB220" s="114"/>
      <c r="ECC220" s="113"/>
      <c r="ECD220" s="115"/>
      <c r="ECE220" s="115"/>
      <c r="ECF220" s="113"/>
      <c r="ECG220" s="113"/>
      <c r="ECH220" s="113"/>
      <c r="ECI220" s="113"/>
      <c r="ECJ220" s="114"/>
      <c r="ECK220" s="113"/>
      <c r="ECL220" s="115"/>
      <c r="ECM220" s="115"/>
      <c r="ECN220" s="113"/>
      <c r="ECO220" s="113"/>
      <c r="ECP220" s="113"/>
      <c r="ECQ220" s="113"/>
      <c r="ECR220" s="114"/>
      <c r="ECS220" s="113"/>
      <c r="ECT220" s="115"/>
      <c r="ECU220" s="115"/>
      <c r="ECV220" s="113"/>
      <c r="ECW220" s="113"/>
      <c r="ECX220" s="113"/>
      <c r="ECY220" s="113"/>
      <c r="ECZ220" s="114"/>
      <c r="EDA220" s="113"/>
      <c r="EDB220" s="115"/>
      <c r="EDC220" s="115"/>
      <c r="EDD220" s="113"/>
      <c r="EDE220" s="113"/>
      <c r="EDF220" s="113"/>
      <c r="EDG220" s="113"/>
      <c r="EDH220" s="114"/>
      <c r="EDI220" s="113"/>
      <c r="EDJ220" s="115"/>
      <c r="EDK220" s="115"/>
      <c r="EDL220" s="113"/>
      <c r="EDM220" s="113"/>
      <c r="EDN220" s="113"/>
      <c r="EDO220" s="113"/>
      <c r="EDP220" s="114"/>
      <c r="EDQ220" s="113"/>
      <c r="EDR220" s="115"/>
      <c r="EDS220" s="115"/>
      <c r="EDT220" s="113"/>
      <c r="EDU220" s="113"/>
      <c r="EDV220" s="113"/>
      <c r="EDW220" s="113"/>
      <c r="EDX220" s="114"/>
      <c r="EDY220" s="113"/>
      <c r="EDZ220" s="115"/>
      <c r="EEA220" s="115"/>
      <c r="EEB220" s="113"/>
      <c r="EEC220" s="113"/>
      <c r="EED220" s="113"/>
      <c r="EEE220" s="113"/>
      <c r="EEF220" s="114"/>
      <c r="EEG220" s="113"/>
      <c r="EEH220" s="115"/>
      <c r="EEI220" s="115"/>
      <c r="EEJ220" s="113"/>
      <c r="EEK220" s="113"/>
      <c r="EEL220" s="113"/>
      <c r="EEM220" s="113"/>
      <c r="EEN220" s="114"/>
      <c r="EEO220" s="113"/>
      <c r="EEP220" s="115"/>
      <c r="EEQ220" s="115"/>
      <c r="EER220" s="113"/>
      <c r="EES220" s="113"/>
      <c r="EET220" s="113"/>
      <c r="EEU220" s="113"/>
      <c r="EEV220" s="114"/>
      <c r="EEW220" s="113"/>
      <c r="EEX220" s="115"/>
      <c r="EEY220" s="115"/>
      <c r="EEZ220" s="113"/>
      <c r="EFA220" s="113"/>
      <c r="EFB220" s="113"/>
      <c r="EFC220" s="113"/>
      <c r="EFD220" s="114"/>
      <c r="EFE220" s="113"/>
      <c r="EFF220" s="115"/>
      <c r="EFG220" s="115"/>
      <c r="EFH220" s="113"/>
      <c r="EFI220" s="113"/>
      <c r="EFJ220" s="113"/>
      <c r="EFK220" s="113"/>
      <c r="EFL220" s="114"/>
      <c r="EFM220" s="113"/>
      <c r="EFN220" s="115"/>
      <c r="EFO220" s="115"/>
      <c r="EFP220" s="113"/>
      <c r="EFQ220" s="113"/>
      <c r="EFR220" s="113"/>
      <c r="EFS220" s="113"/>
      <c r="EFT220" s="114"/>
      <c r="EFU220" s="113"/>
      <c r="EFV220" s="115"/>
      <c r="EFW220" s="115"/>
      <c r="EFX220" s="113"/>
      <c r="EFY220" s="113"/>
      <c r="EFZ220" s="113"/>
      <c r="EGA220" s="113"/>
      <c r="EGB220" s="114"/>
      <c r="EGC220" s="113"/>
      <c r="EGD220" s="115"/>
      <c r="EGE220" s="115"/>
      <c r="EGF220" s="113"/>
      <c r="EGG220" s="113"/>
      <c r="EGH220" s="113"/>
      <c r="EGI220" s="113"/>
      <c r="EGJ220" s="114"/>
      <c r="EGK220" s="113"/>
      <c r="EGL220" s="115"/>
      <c r="EGM220" s="115"/>
      <c r="EGN220" s="113"/>
      <c r="EGO220" s="113"/>
      <c r="EGP220" s="113"/>
      <c r="EGQ220" s="113"/>
      <c r="EGR220" s="114"/>
      <c r="EGS220" s="113"/>
      <c r="EGT220" s="115"/>
      <c r="EGU220" s="115"/>
      <c r="EGV220" s="113"/>
      <c r="EGW220" s="113"/>
      <c r="EGX220" s="113"/>
      <c r="EGY220" s="113"/>
      <c r="EGZ220" s="114"/>
      <c r="EHA220" s="113"/>
      <c r="EHB220" s="115"/>
      <c r="EHC220" s="115"/>
      <c r="EHD220" s="113"/>
      <c r="EHE220" s="113"/>
      <c r="EHF220" s="113"/>
      <c r="EHG220" s="113"/>
      <c r="EHH220" s="114"/>
      <c r="EHI220" s="113"/>
      <c r="EHJ220" s="115"/>
      <c r="EHK220" s="115"/>
      <c r="EHL220" s="113"/>
      <c r="EHM220" s="113"/>
      <c r="EHN220" s="113"/>
      <c r="EHO220" s="113"/>
      <c r="EHP220" s="114"/>
      <c r="EHQ220" s="113"/>
      <c r="EHR220" s="115"/>
      <c r="EHS220" s="115"/>
      <c r="EHT220" s="113"/>
      <c r="EHU220" s="113"/>
      <c r="EHV220" s="113"/>
      <c r="EHW220" s="113"/>
      <c r="EHX220" s="114"/>
      <c r="EHY220" s="113"/>
      <c r="EHZ220" s="115"/>
      <c r="EIA220" s="115"/>
      <c r="EIB220" s="113"/>
      <c r="EIC220" s="113"/>
      <c r="EID220" s="113"/>
      <c r="EIE220" s="113"/>
      <c r="EIF220" s="114"/>
      <c r="EIG220" s="113"/>
      <c r="EIH220" s="115"/>
      <c r="EII220" s="115"/>
      <c r="EIJ220" s="113"/>
      <c r="EIK220" s="113"/>
      <c r="EIL220" s="113"/>
      <c r="EIM220" s="113"/>
      <c r="EIN220" s="114"/>
      <c r="EIO220" s="113"/>
      <c r="EIP220" s="115"/>
      <c r="EIQ220" s="115"/>
      <c r="EIR220" s="113"/>
      <c r="EIS220" s="113"/>
      <c r="EIT220" s="113"/>
      <c r="EIU220" s="113"/>
      <c r="EIV220" s="114"/>
      <c r="EIW220" s="113"/>
      <c r="EIX220" s="115"/>
      <c r="EIY220" s="115"/>
      <c r="EIZ220" s="113"/>
      <c r="EJA220" s="113"/>
      <c r="EJB220" s="113"/>
      <c r="EJC220" s="113"/>
      <c r="EJD220" s="114"/>
      <c r="EJE220" s="113"/>
      <c r="EJF220" s="115"/>
      <c r="EJG220" s="115"/>
      <c r="EJH220" s="113"/>
      <c r="EJI220" s="113"/>
      <c r="EJJ220" s="113"/>
      <c r="EJK220" s="113"/>
      <c r="EJL220" s="114"/>
      <c r="EJM220" s="113"/>
      <c r="EJN220" s="115"/>
      <c r="EJO220" s="115"/>
      <c r="EJP220" s="113"/>
      <c r="EJQ220" s="113"/>
      <c r="EJR220" s="113"/>
      <c r="EJS220" s="113"/>
      <c r="EJT220" s="114"/>
      <c r="EJU220" s="113"/>
      <c r="EJV220" s="115"/>
      <c r="EJW220" s="115"/>
      <c r="EJX220" s="113"/>
      <c r="EJY220" s="113"/>
      <c r="EJZ220" s="113"/>
      <c r="EKA220" s="113"/>
      <c r="EKB220" s="114"/>
      <c r="EKC220" s="113"/>
      <c r="EKD220" s="115"/>
      <c r="EKE220" s="115"/>
      <c r="EKF220" s="113"/>
      <c r="EKG220" s="113"/>
      <c r="EKH220" s="113"/>
      <c r="EKI220" s="113"/>
      <c r="EKJ220" s="114"/>
      <c r="EKK220" s="113"/>
      <c r="EKL220" s="115"/>
      <c r="EKM220" s="115"/>
      <c r="EKN220" s="113"/>
      <c r="EKO220" s="113"/>
      <c r="EKP220" s="113"/>
      <c r="EKQ220" s="113"/>
      <c r="EKR220" s="114"/>
      <c r="EKS220" s="113"/>
      <c r="EKT220" s="115"/>
      <c r="EKU220" s="115"/>
      <c r="EKV220" s="113"/>
      <c r="EKW220" s="113"/>
      <c r="EKX220" s="113"/>
      <c r="EKY220" s="113"/>
      <c r="EKZ220" s="114"/>
      <c r="ELA220" s="113"/>
      <c r="ELB220" s="115"/>
      <c r="ELC220" s="115"/>
      <c r="ELD220" s="113"/>
      <c r="ELE220" s="113"/>
      <c r="ELF220" s="113"/>
      <c r="ELG220" s="113"/>
      <c r="ELH220" s="114"/>
      <c r="ELI220" s="113"/>
      <c r="ELJ220" s="115"/>
      <c r="ELK220" s="115"/>
      <c r="ELL220" s="113"/>
      <c r="ELM220" s="113"/>
      <c r="ELN220" s="113"/>
      <c r="ELO220" s="113"/>
      <c r="ELP220" s="114"/>
      <c r="ELQ220" s="113"/>
      <c r="ELR220" s="115"/>
      <c r="ELS220" s="115"/>
      <c r="ELT220" s="113"/>
      <c r="ELU220" s="113"/>
      <c r="ELV220" s="113"/>
      <c r="ELW220" s="113"/>
      <c r="ELX220" s="114"/>
      <c r="ELY220" s="113"/>
      <c r="ELZ220" s="115"/>
      <c r="EMA220" s="115"/>
      <c r="EMB220" s="113"/>
      <c r="EMC220" s="113"/>
      <c r="EMD220" s="113"/>
      <c r="EME220" s="113"/>
      <c r="EMF220" s="114"/>
      <c r="EMG220" s="113"/>
      <c r="EMH220" s="115"/>
      <c r="EMI220" s="115"/>
      <c r="EMJ220" s="113"/>
      <c r="EMK220" s="113"/>
      <c r="EML220" s="113"/>
      <c r="EMM220" s="113"/>
      <c r="EMN220" s="114"/>
      <c r="EMO220" s="113"/>
      <c r="EMP220" s="115"/>
      <c r="EMQ220" s="115"/>
      <c r="EMR220" s="113"/>
      <c r="EMS220" s="113"/>
      <c r="EMT220" s="113"/>
      <c r="EMU220" s="113"/>
      <c r="EMV220" s="114"/>
      <c r="EMW220" s="113"/>
      <c r="EMX220" s="115"/>
      <c r="EMY220" s="115"/>
      <c r="EMZ220" s="113"/>
      <c r="ENA220" s="113"/>
      <c r="ENB220" s="113"/>
      <c r="ENC220" s="113"/>
      <c r="END220" s="114"/>
      <c r="ENE220" s="113"/>
      <c r="ENF220" s="115"/>
      <c r="ENG220" s="115"/>
      <c r="ENH220" s="113"/>
      <c r="ENI220" s="113"/>
      <c r="ENJ220" s="113"/>
      <c r="ENK220" s="113"/>
      <c r="ENL220" s="114"/>
      <c r="ENM220" s="113"/>
      <c r="ENN220" s="115"/>
      <c r="ENO220" s="115"/>
      <c r="ENP220" s="113"/>
      <c r="ENQ220" s="113"/>
      <c r="ENR220" s="113"/>
      <c r="ENS220" s="113"/>
      <c r="ENT220" s="114"/>
      <c r="ENU220" s="113"/>
      <c r="ENV220" s="115"/>
      <c r="ENW220" s="115"/>
      <c r="ENX220" s="113"/>
      <c r="ENY220" s="113"/>
      <c r="ENZ220" s="113"/>
      <c r="EOA220" s="113"/>
      <c r="EOB220" s="114"/>
      <c r="EOC220" s="113"/>
      <c r="EOD220" s="115"/>
      <c r="EOE220" s="115"/>
      <c r="EOF220" s="113"/>
      <c r="EOG220" s="113"/>
      <c r="EOH220" s="113"/>
      <c r="EOI220" s="113"/>
      <c r="EOJ220" s="114"/>
      <c r="EOK220" s="113"/>
      <c r="EOL220" s="115"/>
      <c r="EOM220" s="115"/>
      <c r="EON220" s="113"/>
      <c r="EOO220" s="113"/>
      <c r="EOP220" s="113"/>
      <c r="EOQ220" s="113"/>
      <c r="EOR220" s="114"/>
      <c r="EOS220" s="113"/>
      <c r="EOT220" s="115"/>
      <c r="EOU220" s="115"/>
      <c r="EOV220" s="113"/>
      <c r="EOW220" s="113"/>
      <c r="EOX220" s="113"/>
      <c r="EOY220" s="113"/>
      <c r="EOZ220" s="114"/>
      <c r="EPA220" s="113"/>
      <c r="EPB220" s="115"/>
      <c r="EPC220" s="115"/>
      <c r="EPD220" s="113"/>
      <c r="EPE220" s="113"/>
      <c r="EPF220" s="113"/>
      <c r="EPG220" s="113"/>
      <c r="EPH220" s="114"/>
      <c r="EPI220" s="113"/>
      <c r="EPJ220" s="115"/>
      <c r="EPK220" s="115"/>
      <c r="EPL220" s="113"/>
      <c r="EPM220" s="113"/>
      <c r="EPN220" s="113"/>
      <c r="EPO220" s="113"/>
      <c r="EPP220" s="114"/>
      <c r="EPQ220" s="113"/>
      <c r="EPR220" s="115"/>
      <c r="EPS220" s="115"/>
      <c r="EPT220" s="113"/>
      <c r="EPU220" s="113"/>
      <c r="EPV220" s="113"/>
      <c r="EPW220" s="113"/>
      <c r="EPX220" s="114"/>
      <c r="EPY220" s="113"/>
      <c r="EPZ220" s="115"/>
      <c r="EQA220" s="115"/>
      <c r="EQB220" s="113"/>
      <c r="EQC220" s="113"/>
      <c r="EQD220" s="113"/>
      <c r="EQE220" s="113"/>
      <c r="EQF220" s="114"/>
      <c r="EQG220" s="113"/>
      <c r="EQH220" s="115"/>
      <c r="EQI220" s="115"/>
      <c r="EQJ220" s="113"/>
      <c r="EQK220" s="113"/>
      <c r="EQL220" s="113"/>
      <c r="EQM220" s="113"/>
      <c r="EQN220" s="114"/>
      <c r="EQO220" s="113"/>
      <c r="EQP220" s="115"/>
      <c r="EQQ220" s="115"/>
      <c r="EQR220" s="113"/>
      <c r="EQS220" s="113"/>
      <c r="EQT220" s="113"/>
      <c r="EQU220" s="113"/>
      <c r="EQV220" s="114"/>
      <c r="EQW220" s="113"/>
      <c r="EQX220" s="115"/>
      <c r="EQY220" s="115"/>
      <c r="EQZ220" s="113"/>
      <c r="ERA220" s="113"/>
      <c r="ERB220" s="113"/>
      <c r="ERC220" s="113"/>
      <c r="ERD220" s="114"/>
      <c r="ERE220" s="113"/>
      <c r="ERF220" s="115"/>
      <c r="ERG220" s="115"/>
      <c r="ERH220" s="113"/>
      <c r="ERI220" s="113"/>
      <c r="ERJ220" s="113"/>
      <c r="ERK220" s="113"/>
      <c r="ERL220" s="114"/>
      <c r="ERM220" s="113"/>
      <c r="ERN220" s="115"/>
      <c r="ERO220" s="115"/>
      <c r="ERP220" s="113"/>
      <c r="ERQ220" s="113"/>
      <c r="ERR220" s="113"/>
      <c r="ERS220" s="113"/>
      <c r="ERT220" s="114"/>
      <c r="ERU220" s="113"/>
      <c r="ERV220" s="115"/>
      <c r="ERW220" s="115"/>
      <c r="ERX220" s="113"/>
      <c r="ERY220" s="113"/>
      <c r="ERZ220" s="113"/>
      <c r="ESA220" s="113"/>
      <c r="ESB220" s="114"/>
      <c r="ESC220" s="113"/>
      <c r="ESD220" s="115"/>
      <c r="ESE220" s="115"/>
      <c r="ESF220" s="113"/>
      <c r="ESG220" s="113"/>
      <c r="ESH220" s="113"/>
      <c r="ESI220" s="113"/>
      <c r="ESJ220" s="114"/>
      <c r="ESK220" s="113"/>
      <c r="ESL220" s="115"/>
      <c r="ESM220" s="115"/>
      <c r="ESN220" s="113"/>
      <c r="ESO220" s="113"/>
      <c r="ESP220" s="113"/>
      <c r="ESQ220" s="113"/>
      <c r="ESR220" s="114"/>
      <c r="ESS220" s="113"/>
      <c r="EST220" s="115"/>
      <c r="ESU220" s="115"/>
      <c r="ESV220" s="113"/>
      <c r="ESW220" s="113"/>
      <c r="ESX220" s="113"/>
      <c r="ESY220" s="113"/>
      <c r="ESZ220" s="114"/>
      <c r="ETA220" s="113"/>
      <c r="ETB220" s="115"/>
      <c r="ETC220" s="115"/>
      <c r="ETD220" s="113"/>
      <c r="ETE220" s="113"/>
      <c r="ETF220" s="113"/>
      <c r="ETG220" s="113"/>
      <c r="ETH220" s="114"/>
      <c r="ETI220" s="113"/>
      <c r="ETJ220" s="115"/>
      <c r="ETK220" s="115"/>
      <c r="ETL220" s="113"/>
      <c r="ETM220" s="113"/>
      <c r="ETN220" s="113"/>
      <c r="ETO220" s="113"/>
      <c r="ETP220" s="114"/>
      <c r="ETQ220" s="113"/>
      <c r="ETR220" s="115"/>
      <c r="ETS220" s="115"/>
      <c r="ETT220" s="113"/>
      <c r="ETU220" s="113"/>
      <c r="ETV220" s="113"/>
      <c r="ETW220" s="113"/>
      <c r="ETX220" s="114"/>
      <c r="ETY220" s="113"/>
      <c r="ETZ220" s="115"/>
      <c r="EUA220" s="115"/>
      <c r="EUB220" s="113"/>
      <c r="EUC220" s="113"/>
      <c r="EUD220" s="113"/>
      <c r="EUE220" s="113"/>
      <c r="EUF220" s="114"/>
      <c r="EUG220" s="113"/>
      <c r="EUH220" s="115"/>
      <c r="EUI220" s="115"/>
      <c r="EUJ220" s="113"/>
      <c r="EUK220" s="113"/>
      <c r="EUL220" s="113"/>
      <c r="EUM220" s="113"/>
      <c r="EUN220" s="114"/>
      <c r="EUO220" s="113"/>
      <c r="EUP220" s="115"/>
      <c r="EUQ220" s="115"/>
      <c r="EUR220" s="113"/>
      <c r="EUS220" s="113"/>
      <c r="EUT220" s="113"/>
      <c r="EUU220" s="113"/>
      <c r="EUV220" s="114"/>
      <c r="EUW220" s="113"/>
      <c r="EUX220" s="115"/>
      <c r="EUY220" s="115"/>
      <c r="EUZ220" s="113"/>
      <c r="EVA220" s="113"/>
      <c r="EVB220" s="113"/>
      <c r="EVC220" s="113"/>
      <c r="EVD220" s="114"/>
      <c r="EVE220" s="113"/>
      <c r="EVF220" s="115"/>
      <c r="EVG220" s="115"/>
      <c r="EVH220" s="113"/>
      <c r="EVI220" s="113"/>
      <c r="EVJ220" s="113"/>
      <c r="EVK220" s="113"/>
      <c r="EVL220" s="114"/>
      <c r="EVM220" s="113"/>
      <c r="EVN220" s="115"/>
      <c r="EVO220" s="115"/>
      <c r="EVP220" s="113"/>
      <c r="EVQ220" s="113"/>
      <c r="EVR220" s="113"/>
      <c r="EVS220" s="113"/>
      <c r="EVT220" s="114"/>
      <c r="EVU220" s="113"/>
      <c r="EVV220" s="115"/>
      <c r="EVW220" s="115"/>
      <c r="EVX220" s="113"/>
      <c r="EVY220" s="113"/>
      <c r="EVZ220" s="113"/>
      <c r="EWA220" s="113"/>
      <c r="EWB220" s="114"/>
      <c r="EWC220" s="113"/>
      <c r="EWD220" s="115"/>
      <c r="EWE220" s="115"/>
      <c r="EWF220" s="113"/>
      <c r="EWG220" s="113"/>
      <c r="EWH220" s="113"/>
      <c r="EWI220" s="113"/>
      <c r="EWJ220" s="114"/>
      <c r="EWK220" s="113"/>
      <c r="EWL220" s="115"/>
      <c r="EWM220" s="115"/>
      <c r="EWN220" s="113"/>
      <c r="EWO220" s="113"/>
      <c r="EWP220" s="113"/>
      <c r="EWQ220" s="113"/>
      <c r="EWR220" s="114"/>
      <c r="EWS220" s="113"/>
      <c r="EWT220" s="115"/>
      <c r="EWU220" s="115"/>
      <c r="EWV220" s="113"/>
      <c r="EWW220" s="113"/>
      <c r="EWX220" s="113"/>
      <c r="EWY220" s="113"/>
      <c r="EWZ220" s="114"/>
      <c r="EXA220" s="113"/>
      <c r="EXB220" s="115"/>
      <c r="EXC220" s="115"/>
      <c r="EXD220" s="113"/>
      <c r="EXE220" s="113"/>
      <c r="EXF220" s="113"/>
      <c r="EXG220" s="113"/>
      <c r="EXH220" s="114"/>
      <c r="EXI220" s="113"/>
      <c r="EXJ220" s="115"/>
      <c r="EXK220" s="115"/>
      <c r="EXL220" s="113"/>
      <c r="EXM220" s="113"/>
      <c r="EXN220" s="113"/>
      <c r="EXO220" s="113"/>
      <c r="EXP220" s="114"/>
      <c r="EXQ220" s="113"/>
      <c r="EXR220" s="115"/>
      <c r="EXS220" s="115"/>
      <c r="EXT220" s="113"/>
      <c r="EXU220" s="113"/>
      <c r="EXV220" s="113"/>
      <c r="EXW220" s="113"/>
      <c r="EXX220" s="114"/>
      <c r="EXY220" s="113"/>
      <c r="EXZ220" s="115"/>
      <c r="EYA220" s="115"/>
      <c r="EYB220" s="113"/>
      <c r="EYC220" s="113"/>
      <c r="EYD220" s="113"/>
      <c r="EYE220" s="113"/>
      <c r="EYF220" s="114"/>
      <c r="EYG220" s="113"/>
      <c r="EYH220" s="115"/>
      <c r="EYI220" s="115"/>
      <c r="EYJ220" s="113"/>
      <c r="EYK220" s="113"/>
      <c r="EYL220" s="113"/>
      <c r="EYM220" s="113"/>
      <c r="EYN220" s="114"/>
      <c r="EYO220" s="113"/>
      <c r="EYP220" s="115"/>
      <c r="EYQ220" s="115"/>
      <c r="EYR220" s="113"/>
      <c r="EYS220" s="113"/>
      <c r="EYT220" s="113"/>
      <c r="EYU220" s="113"/>
      <c r="EYV220" s="114"/>
      <c r="EYW220" s="113"/>
      <c r="EYX220" s="115"/>
      <c r="EYY220" s="115"/>
      <c r="EYZ220" s="113"/>
      <c r="EZA220" s="113"/>
      <c r="EZB220" s="113"/>
      <c r="EZC220" s="113"/>
      <c r="EZD220" s="114"/>
      <c r="EZE220" s="113"/>
      <c r="EZF220" s="115"/>
      <c r="EZG220" s="115"/>
      <c r="EZH220" s="113"/>
      <c r="EZI220" s="113"/>
      <c r="EZJ220" s="113"/>
      <c r="EZK220" s="113"/>
      <c r="EZL220" s="114"/>
      <c r="EZM220" s="113"/>
      <c r="EZN220" s="115"/>
      <c r="EZO220" s="115"/>
      <c r="EZP220" s="113"/>
      <c r="EZQ220" s="113"/>
      <c r="EZR220" s="113"/>
      <c r="EZS220" s="113"/>
      <c r="EZT220" s="114"/>
      <c r="EZU220" s="113"/>
      <c r="EZV220" s="115"/>
      <c r="EZW220" s="115"/>
      <c r="EZX220" s="113"/>
      <c r="EZY220" s="113"/>
      <c r="EZZ220" s="113"/>
      <c r="FAA220" s="113"/>
      <c r="FAB220" s="114"/>
      <c r="FAC220" s="113"/>
      <c r="FAD220" s="115"/>
      <c r="FAE220" s="115"/>
      <c r="FAF220" s="113"/>
      <c r="FAG220" s="113"/>
      <c r="FAH220" s="113"/>
      <c r="FAI220" s="113"/>
      <c r="FAJ220" s="114"/>
      <c r="FAK220" s="113"/>
      <c r="FAL220" s="115"/>
      <c r="FAM220" s="115"/>
      <c r="FAN220" s="113"/>
      <c r="FAO220" s="113"/>
      <c r="FAP220" s="113"/>
      <c r="FAQ220" s="113"/>
      <c r="FAR220" s="114"/>
      <c r="FAS220" s="113"/>
      <c r="FAT220" s="115"/>
      <c r="FAU220" s="115"/>
      <c r="FAV220" s="113"/>
      <c r="FAW220" s="113"/>
      <c r="FAX220" s="113"/>
      <c r="FAY220" s="113"/>
      <c r="FAZ220" s="114"/>
      <c r="FBA220" s="113"/>
      <c r="FBB220" s="115"/>
      <c r="FBC220" s="115"/>
      <c r="FBD220" s="113"/>
      <c r="FBE220" s="113"/>
      <c r="FBF220" s="113"/>
      <c r="FBG220" s="113"/>
      <c r="FBH220" s="114"/>
      <c r="FBI220" s="113"/>
      <c r="FBJ220" s="115"/>
      <c r="FBK220" s="115"/>
      <c r="FBL220" s="113"/>
      <c r="FBM220" s="113"/>
      <c r="FBN220" s="113"/>
      <c r="FBO220" s="113"/>
      <c r="FBP220" s="114"/>
      <c r="FBQ220" s="113"/>
      <c r="FBR220" s="115"/>
      <c r="FBS220" s="115"/>
      <c r="FBT220" s="113"/>
      <c r="FBU220" s="113"/>
      <c r="FBV220" s="113"/>
      <c r="FBW220" s="113"/>
      <c r="FBX220" s="114"/>
      <c r="FBY220" s="113"/>
      <c r="FBZ220" s="115"/>
      <c r="FCA220" s="115"/>
      <c r="FCB220" s="113"/>
      <c r="FCC220" s="113"/>
      <c r="FCD220" s="113"/>
      <c r="FCE220" s="113"/>
      <c r="FCF220" s="114"/>
      <c r="FCG220" s="113"/>
      <c r="FCH220" s="115"/>
      <c r="FCI220" s="115"/>
      <c r="FCJ220" s="113"/>
      <c r="FCK220" s="113"/>
      <c r="FCL220" s="113"/>
      <c r="FCM220" s="113"/>
      <c r="FCN220" s="114"/>
      <c r="FCO220" s="113"/>
      <c r="FCP220" s="115"/>
      <c r="FCQ220" s="115"/>
      <c r="FCR220" s="113"/>
      <c r="FCS220" s="113"/>
      <c r="FCT220" s="113"/>
      <c r="FCU220" s="113"/>
      <c r="FCV220" s="114"/>
      <c r="FCW220" s="113"/>
      <c r="FCX220" s="115"/>
      <c r="FCY220" s="115"/>
      <c r="FCZ220" s="113"/>
      <c r="FDA220" s="113"/>
      <c r="FDB220" s="113"/>
      <c r="FDC220" s="113"/>
      <c r="FDD220" s="114"/>
      <c r="FDE220" s="113"/>
      <c r="FDF220" s="115"/>
      <c r="FDG220" s="115"/>
      <c r="FDH220" s="113"/>
      <c r="FDI220" s="113"/>
      <c r="FDJ220" s="113"/>
      <c r="FDK220" s="113"/>
      <c r="FDL220" s="114"/>
      <c r="FDM220" s="113"/>
      <c r="FDN220" s="115"/>
      <c r="FDO220" s="115"/>
      <c r="FDP220" s="113"/>
      <c r="FDQ220" s="113"/>
      <c r="FDR220" s="113"/>
      <c r="FDS220" s="113"/>
      <c r="FDT220" s="114"/>
      <c r="FDU220" s="113"/>
      <c r="FDV220" s="115"/>
      <c r="FDW220" s="115"/>
      <c r="FDX220" s="113"/>
      <c r="FDY220" s="113"/>
      <c r="FDZ220" s="113"/>
      <c r="FEA220" s="113"/>
      <c r="FEB220" s="114"/>
      <c r="FEC220" s="113"/>
      <c r="FED220" s="115"/>
      <c r="FEE220" s="115"/>
      <c r="FEF220" s="113"/>
      <c r="FEG220" s="113"/>
      <c r="FEH220" s="113"/>
      <c r="FEI220" s="113"/>
      <c r="FEJ220" s="114"/>
      <c r="FEK220" s="113"/>
      <c r="FEL220" s="115"/>
      <c r="FEM220" s="115"/>
      <c r="FEN220" s="113"/>
      <c r="FEO220" s="113"/>
      <c r="FEP220" s="113"/>
      <c r="FEQ220" s="113"/>
      <c r="FER220" s="114"/>
      <c r="FES220" s="113"/>
      <c r="FET220" s="115"/>
      <c r="FEU220" s="115"/>
      <c r="FEV220" s="113"/>
      <c r="FEW220" s="113"/>
      <c r="FEX220" s="113"/>
      <c r="FEY220" s="113"/>
      <c r="FEZ220" s="114"/>
      <c r="FFA220" s="113"/>
      <c r="FFB220" s="115"/>
      <c r="FFC220" s="115"/>
      <c r="FFD220" s="113"/>
      <c r="FFE220" s="113"/>
      <c r="FFF220" s="113"/>
      <c r="FFG220" s="113"/>
      <c r="FFH220" s="114"/>
      <c r="FFI220" s="113"/>
      <c r="FFJ220" s="115"/>
      <c r="FFK220" s="115"/>
      <c r="FFL220" s="113"/>
      <c r="FFM220" s="113"/>
      <c r="FFN220" s="113"/>
      <c r="FFO220" s="113"/>
      <c r="FFP220" s="114"/>
      <c r="FFQ220" s="113"/>
      <c r="FFR220" s="115"/>
      <c r="FFS220" s="115"/>
      <c r="FFT220" s="113"/>
      <c r="FFU220" s="113"/>
      <c r="FFV220" s="113"/>
      <c r="FFW220" s="113"/>
      <c r="FFX220" s="114"/>
      <c r="FFY220" s="113"/>
      <c r="FFZ220" s="115"/>
      <c r="FGA220" s="115"/>
      <c r="FGB220" s="113"/>
      <c r="FGC220" s="113"/>
      <c r="FGD220" s="113"/>
      <c r="FGE220" s="113"/>
      <c r="FGF220" s="114"/>
      <c r="FGG220" s="113"/>
      <c r="FGH220" s="115"/>
      <c r="FGI220" s="115"/>
      <c r="FGJ220" s="113"/>
      <c r="FGK220" s="113"/>
      <c r="FGL220" s="113"/>
      <c r="FGM220" s="113"/>
      <c r="FGN220" s="114"/>
      <c r="FGO220" s="113"/>
      <c r="FGP220" s="115"/>
      <c r="FGQ220" s="115"/>
      <c r="FGR220" s="113"/>
      <c r="FGS220" s="113"/>
      <c r="FGT220" s="113"/>
      <c r="FGU220" s="113"/>
      <c r="FGV220" s="114"/>
      <c r="FGW220" s="113"/>
      <c r="FGX220" s="115"/>
      <c r="FGY220" s="115"/>
      <c r="FGZ220" s="113"/>
      <c r="FHA220" s="113"/>
      <c r="FHB220" s="113"/>
      <c r="FHC220" s="113"/>
      <c r="FHD220" s="114"/>
      <c r="FHE220" s="113"/>
      <c r="FHF220" s="115"/>
      <c r="FHG220" s="115"/>
      <c r="FHH220" s="113"/>
      <c r="FHI220" s="113"/>
      <c r="FHJ220" s="113"/>
      <c r="FHK220" s="113"/>
      <c r="FHL220" s="114"/>
      <c r="FHM220" s="113"/>
      <c r="FHN220" s="115"/>
      <c r="FHO220" s="115"/>
      <c r="FHP220" s="113"/>
      <c r="FHQ220" s="113"/>
      <c r="FHR220" s="113"/>
      <c r="FHS220" s="113"/>
      <c r="FHT220" s="114"/>
      <c r="FHU220" s="113"/>
      <c r="FHV220" s="115"/>
      <c r="FHW220" s="115"/>
      <c r="FHX220" s="113"/>
      <c r="FHY220" s="113"/>
      <c r="FHZ220" s="113"/>
      <c r="FIA220" s="113"/>
      <c r="FIB220" s="114"/>
      <c r="FIC220" s="113"/>
      <c r="FID220" s="115"/>
      <c r="FIE220" s="115"/>
      <c r="FIF220" s="113"/>
      <c r="FIG220" s="113"/>
      <c r="FIH220" s="113"/>
      <c r="FII220" s="113"/>
      <c r="FIJ220" s="114"/>
      <c r="FIK220" s="113"/>
      <c r="FIL220" s="115"/>
      <c r="FIM220" s="115"/>
      <c r="FIN220" s="113"/>
      <c r="FIO220" s="113"/>
      <c r="FIP220" s="113"/>
      <c r="FIQ220" s="113"/>
      <c r="FIR220" s="114"/>
      <c r="FIS220" s="113"/>
      <c r="FIT220" s="115"/>
      <c r="FIU220" s="115"/>
      <c r="FIV220" s="113"/>
      <c r="FIW220" s="113"/>
      <c r="FIX220" s="113"/>
      <c r="FIY220" s="113"/>
      <c r="FIZ220" s="114"/>
      <c r="FJA220" s="113"/>
      <c r="FJB220" s="115"/>
      <c r="FJC220" s="115"/>
      <c r="FJD220" s="113"/>
      <c r="FJE220" s="113"/>
      <c r="FJF220" s="113"/>
      <c r="FJG220" s="113"/>
      <c r="FJH220" s="114"/>
      <c r="FJI220" s="113"/>
      <c r="FJJ220" s="115"/>
      <c r="FJK220" s="115"/>
      <c r="FJL220" s="113"/>
      <c r="FJM220" s="113"/>
      <c r="FJN220" s="113"/>
      <c r="FJO220" s="113"/>
      <c r="FJP220" s="114"/>
      <c r="FJQ220" s="113"/>
      <c r="FJR220" s="115"/>
      <c r="FJS220" s="115"/>
      <c r="FJT220" s="113"/>
      <c r="FJU220" s="113"/>
      <c r="FJV220" s="113"/>
      <c r="FJW220" s="113"/>
      <c r="FJX220" s="114"/>
      <c r="FJY220" s="113"/>
      <c r="FJZ220" s="115"/>
      <c r="FKA220" s="115"/>
      <c r="FKB220" s="113"/>
      <c r="FKC220" s="113"/>
      <c r="FKD220" s="113"/>
      <c r="FKE220" s="113"/>
      <c r="FKF220" s="114"/>
      <c r="FKG220" s="113"/>
      <c r="FKH220" s="115"/>
      <c r="FKI220" s="115"/>
      <c r="FKJ220" s="113"/>
      <c r="FKK220" s="113"/>
      <c r="FKL220" s="113"/>
      <c r="FKM220" s="113"/>
      <c r="FKN220" s="114"/>
      <c r="FKO220" s="113"/>
      <c r="FKP220" s="115"/>
      <c r="FKQ220" s="115"/>
      <c r="FKR220" s="113"/>
      <c r="FKS220" s="113"/>
      <c r="FKT220" s="113"/>
      <c r="FKU220" s="113"/>
      <c r="FKV220" s="114"/>
      <c r="FKW220" s="113"/>
      <c r="FKX220" s="115"/>
      <c r="FKY220" s="115"/>
      <c r="FKZ220" s="113"/>
      <c r="FLA220" s="113"/>
      <c r="FLB220" s="113"/>
      <c r="FLC220" s="113"/>
      <c r="FLD220" s="114"/>
      <c r="FLE220" s="113"/>
      <c r="FLF220" s="115"/>
      <c r="FLG220" s="115"/>
      <c r="FLH220" s="113"/>
      <c r="FLI220" s="113"/>
      <c r="FLJ220" s="113"/>
      <c r="FLK220" s="113"/>
      <c r="FLL220" s="114"/>
      <c r="FLM220" s="113"/>
      <c r="FLN220" s="115"/>
      <c r="FLO220" s="115"/>
      <c r="FLP220" s="113"/>
      <c r="FLQ220" s="113"/>
      <c r="FLR220" s="113"/>
      <c r="FLS220" s="113"/>
      <c r="FLT220" s="114"/>
      <c r="FLU220" s="113"/>
      <c r="FLV220" s="115"/>
      <c r="FLW220" s="115"/>
      <c r="FLX220" s="113"/>
      <c r="FLY220" s="113"/>
      <c r="FLZ220" s="113"/>
      <c r="FMA220" s="113"/>
      <c r="FMB220" s="114"/>
      <c r="FMC220" s="113"/>
      <c r="FMD220" s="115"/>
      <c r="FME220" s="115"/>
      <c r="FMF220" s="113"/>
      <c r="FMG220" s="113"/>
      <c r="FMH220" s="113"/>
      <c r="FMI220" s="113"/>
      <c r="FMJ220" s="114"/>
      <c r="FMK220" s="113"/>
      <c r="FML220" s="115"/>
      <c r="FMM220" s="115"/>
      <c r="FMN220" s="113"/>
      <c r="FMO220" s="113"/>
      <c r="FMP220" s="113"/>
      <c r="FMQ220" s="113"/>
      <c r="FMR220" s="114"/>
      <c r="FMS220" s="113"/>
      <c r="FMT220" s="115"/>
      <c r="FMU220" s="115"/>
      <c r="FMV220" s="113"/>
      <c r="FMW220" s="113"/>
      <c r="FMX220" s="113"/>
      <c r="FMY220" s="113"/>
      <c r="FMZ220" s="114"/>
      <c r="FNA220" s="113"/>
      <c r="FNB220" s="115"/>
      <c r="FNC220" s="115"/>
      <c r="FND220" s="113"/>
      <c r="FNE220" s="113"/>
      <c r="FNF220" s="113"/>
      <c r="FNG220" s="113"/>
      <c r="FNH220" s="114"/>
      <c r="FNI220" s="113"/>
      <c r="FNJ220" s="115"/>
      <c r="FNK220" s="115"/>
      <c r="FNL220" s="113"/>
      <c r="FNM220" s="113"/>
      <c r="FNN220" s="113"/>
      <c r="FNO220" s="113"/>
      <c r="FNP220" s="114"/>
      <c r="FNQ220" s="113"/>
      <c r="FNR220" s="115"/>
      <c r="FNS220" s="115"/>
      <c r="FNT220" s="113"/>
      <c r="FNU220" s="113"/>
      <c r="FNV220" s="113"/>
      <c r="FNW220" s="113"/>
      <c r="FNX220" s="114"/>
      <c r="FNY220" s="113"/>
      <c r="FNZ220" s="115"/>
      <c r="FOA220" s="115"/>
      <c r="FOB220" s="113"/>
      <c r="FOC220" s="113"/>
      <c r="FOD220" s="113"/>
      <c r="FOE220" s="113"/>
      <c r="FOF220" s="114"/>
      <c r="FOG220" s="113"/>
      <c r="FOH220" s="115"/>
      <c r="FOI220" s="115"/>
      <c r="FOJ220" s="113"/>
      <c r="FOK220" s="113"/>
      <c r="FOL220" s="113"/>
      <c r="FOM220" s="113"/>
      <c r="FON220" s="114"/>
      <c r="FOO220" s="113"/>
      <c r="FOP220" s="115"/>
      <c r="FOQ220" s="115"/>
      <c r="FOR220" s="113"/>
      <c r="FOS220" s="113"/>
      <c r="FOT220" s="113"/>
      <c r="FOU220" s="113"/>
      <c r="FOV220" s="114"/>
      <c r="FOW220" s="113"/>
      <c r="FOX220" s="115"/>
      <c r="FOY220" s="115"/>
      <c r="FOZ220" s="113"/>
      <c r="FPA220" s="113"/>
      <c r="FPB220" s="113"/>
      <c r="FPC220" s="113"/>
      <c r="FPD220" s="114"/>
      <c r="FPE220" s="113"/>
      <c r="FPF220" s="115"/>
      <c r="FPG220" s="115"/>
      <c r="FPH220" s="113"/>
      <c r="FPI220" s="113"/>
      <c r="FPJ220" s="113"/>
      <c r="FPK220" s="113"/>
      <c r="FPL220" s="114"/>
      <c r="FPM220" s="113"/>
      <c r="FPN220" s="115"/>
      <c r="FPO220" s="115"/>
      <c r="FPP220" s="113"/>
      <c r="FPQ220" s="113"/>
      <c r="FPR220" s="113"/>
      <c r="FPS220" s="113"/>
      <c r="FPT220" s="114"/>
      <c r="FPU220" s="113"/>
      <c r="FPV220" s="115"/>
      <c r="FPW220" s="115"/>
      <c r="FPX220" s="113"/>
      <c r="FPY220" s="113"/>
      <c r="FPZ220" s="113"/>
      <c r="FQA220" s="113"/>
      <c r="FQB220" s="114"/>
      <c r="FQC220" s="113"/>
      <c r="FQD220" s="115"/>
      <c r="FQE220" s="115"/>
      <c r="FQF220" s="113"/>
      <c r="FQG220" s="113"/>
      <c r="FQH220" s="113"/>
      <c r="FQI220" s="113"/>
      <c r="FQJ220" s="114"/>
      <c r="FQK220" s="113"/>
      <c r="FQL220" s="115"/>
      <c r="FQM220" s="115"/>
      <c r="FQN220" s="113"/>
      <c r="FQO220" s="113"/>
      <c r="FQP220" s="113"/>
      <c r="FQQ220" s="113"/>
      <c r="FQR220" s="114"/>
      <c r="FQS220" s="113"/>
      <c r="FQT220" s="115"/>
      <c r="FQU220" s="115"/>
      <c r="FQV220" s="113"/>
      <c r="FQW220" s="113"/>
      <c r="FQX220" s="113"/>
      <c r="FQY220" s="113"/>
      <c r="FQZ220" s="114"/>
      <c r="FRA220" s="113"/>
      <c r="FRB220" s="115"/>
      <c r="FRC220" s="115"/>
      <c r="FRD220" s="113"/>
      <c r="FRE220" s="113"/>
      <c r="FRF220" s="113"/>
      <c r="FRG220" s="113"/>
      <c r="FRH220" s="114"/>
      <c r="FRI220" s="113"/>
      <c r="FRJ220" s="115"/>
      <c r="FRK220" s="115"/>
      <c r="FRL220" s="113"/>
      <c r="FRM220" s="113"/>
      <c r="FRN220" s="113"/>
      <c r="FRO220" s="113"/>
      <c r="FRP220" s="114"/>
      <c r="FRQ220" s="113"/>
      <c r="FRR220" s="115"/>
      <c r="FRS220" s="115"/>
      <c r="FRT220" s="113"/>
      <c r="FRU220" s="113"/>
      <c r="FRV220" s="113"/>
      <c r="FRW220" s="113"/>
      <c r="FRX220" s="114"/>
      <c r="FRY220" s="113"/>
      <c r="FRZ220" s="115"/>
      <c r="FSA220" s="115"/>
      <c r="FSB220" s="113"/>
      <c r="FSC220" s="113"/>
      <c r="FSD220" s="113"/>
      <c r="FSE220" s="113"/>
      <c r="FSF220" s="114"/>
      <c r="FSG220" s="113"/>
      <c r="FSH220" s="115"/>
      <c r="FSI220" s="115"/>
      <c r="FSJ220" s="113"/>
      <c r="FSK220" s="113"/>
      <c r="FSL220" s="113"/>
      <c r="FSM220" s="113"/>
      <c r="FSN220" s="114"/>
      <c r="FSO220" s="113"/>
      <c r="FSP220" s="115"/>
      <c r="FSQ220" s="115"/>
      <c r="FSR220" s="113"/>
      <c r="FSS220" s="113"/>
      <c r="FST220" s="113"/>
      <c r="FSU220" s="113"/>
      <c r="FSV220" s="114"/>
      <c r="FSW220" s="113"/>
      <c r="FSX220" s="115"/>
      <c r="FSY220" s="115"/>
      <c r="FSZ220" s="113"/>
      <c r="FTA220" s="113"/>
      <c r="FTB220" s="113"/>
      <c r="FTC220" s="113"/>
      <c r="FTD220" s="114"/>
      <c r="FTE220" s="113"/>
      <c r="FTF220" s="115"/>
      <c r="FTG220" s="115"/>
      <c r="FTH220" s="113"/>
      <c r="FTI220" s="113"/>
      <c r="FTJ220" s="113"/>
      <c r="FTK220" s="113"/>
      <c r="FTL220" s="114"/>
      <c r="FTM220" s="113"/>
      <c r="FTN220" s="115"/>
      <c r="FTO220" s="115"/>
      <c r="FTP220" s="113"/>
      <c r="FTQ220" s="113"/>
      <c r="FTR220" s="113"/>
      <c r="FTS220" s="113"/>
      <c r="FTT220" s="114"/>
      <c r="FTU220" s="113"/>
      <c r="FTV220" s="115"/>
      <c r="FTW220" s="115"/>
      <c r="FTX220" s="113"/>
      <c r="FTY220" s="113"/>
      <c r="FTZ220" s="113"/>
      <c r="FUA220" s="113"/>
      <c r="FUB220" s="114"/>
      <c r="FUC220" s="113"/>
      <c r="FUD220" s="115"/>
      <c r="FUE220" s="115"/>
      <c r="FUF220" s="113"/>
      <c r="FUG220" s="113"/>
      <c r="FUH220" s="113"/>
      <c r="FUI220" s="113"/>
      <c r="FUJ220" s="114"/>
      <c r="FUK220" s="113"/>
      <c r="FUL220" s="115"/>
      <c r="FUM220" s="115"/>
      <c r="FUN220" s="113"/>
      <c r="FUO220" s="113"/>
      <c r="FUP220" s="113"/>
      <c r="FUQ220" s="113"/>
      <c r="FUR220" s="114"/>
      <c r="FUS220" s="113"/>
      <c r="FUT220" s="115"/>
      <c r="FUU220" s="115"/>
      <c r="FUV220" s="113"/>
      <c r="FUW220" s="113"/>
      <c r="FUX220" s="113"/>
      <c r="FUY220" s="113"/>
      <c r="FUZ220" s="114"/>
      <c r="FVA220" s="113"/>
      <c r="FVB220" s="115"/>
      <c r="FVC220" s="115"/>
      <c r="FVD220" s="113"/>
      <c r="FVE220" s="113"/>
      <c r="FVF220" s="113"/>
      <c r="FVG220" s="113"/>
      <c r="FVH220" s="114"/>
      <c r="FVI220" s="113"/>
      <c r="FVJ220" s="115"/>
      <c r="FVK220" s="115"/>
      <c r="FVL220" s="113"/>
      <c r="FVM220" s="113"/>
      <c r="FVN220" s="113"/>
      <c r="FVO220" s="113"/>
      <c r="FVP220" s="114"/>
      <c r="FVQ220" s="113"/>
      <c r="FVR220" s="115"/>
      <c r="FVS220" s="115"/>
      <c r="FVT220" s="113"/>
      <c r="FVU220" s="113"/>
      <c r="FVV220" s="113"/>
      <c r="FVW220" s="113"/>
      <c r="FVX220" s="114"/>
      <c r="FVY220" s="113"/>
      <c r="FVZ220" s="115"/>
      <c r="FWA220" s="115"/>
      <c r="FWB220" s="113"/>
      <c r="FWC220" s="113"/>
      <c r="FWD220" s="113"/>
      <c r="FWE220" s="113"/>
      <c r="FWF220" s="114"/>
      <c r="FWG220" s="113"/>
      <c r="FWH220" s="115"/>
      <c r="FWI220" s="115"/>
      <c r="FWJ220" s="113"/>
      <c r="FWK220" s="113"/>
      <c r="FWL220" s="113"/>
      <c r="FWM220" s="113"/>
      <c r="FWN220" s="114"/>
      <c r="FWO220" s="113"/>
      <c r="FWP220" s="115"/>
      <c r="FWQ220" s="115"/>
      <c r="FWR220" s="113"/>
      <c r="FWS220" s="113"/>
      <c r="FWT220" s="113"/>
      <c r="FWU220" s="113"/>
      <c r="FWV220" s="114"/>
      <c r="FWW220" s="113"/>
      <c r="FWX220" s="115"/>
      <c r="FWY220" s="115"/>
      <c r="FWZ220" s="113"/>
      <c r="FXA220" s="113"/>
      <c r="FXB220" s="113"/>
      <c r="FXC220" s="113"/>
      <c r="FXD220" s="114"/>
      <c r="FXE220" s="113"/>
      <c r="FXF220" s="115"/>
      <c r="FXG220" s="115"/>
      <c r="FXH220" s="113"/>
      <c r="FXI220" s="113"/>
      <c r="FXJ220" s="113"/>
      <c r="FXK220" s="113"/>
      <c r="FXL220" s="114"/>
      <c r="FXM220" s="113"/>
      <c r="FXN220" s="115"/>
      <c r="FXO220" s="115"/>
      <c r="FXP220" s="113"/>
      <c r="FXQ220" s="113"/>
      <c r="FXR220" s="113"/>
      <c r="FXS220" s="113"/>
      <c r="FXT220" s="114"/>
      <c r="FXU220" s="113"/>
      <c r="FXV220" s="115"/>
      <c r="FXW220" s="115"/>
      <c r="FXX220" s="113"/>
      <c r="FXY220" s="113"/>
      <c r="FXZ220" s="113"/>
      <c r="FYA220" s="113"/>
      <c r="FYB220" s="114"/>
      <c r="FYC220" s="113"/>
      <c r="FYD220" s="115"/>
      <c r="FYE220" s="115"/>
      <c r="FYF220" s="113"/>
      <c r="FYG220" s="113"/>
      <c r="FYH220" s="113"/>
      <c r="FYI220" s="113"/>
      <c r="FYJ220" s="114"/>
      <c r="FYK220" s="113"/>
      <c r="FYL220" s="115"/>
      <c r="FYM220" s="115"/>
      <c r="FYN220" s="113"/>
      <c r="FYO220" s="113"/>
      <c r="FYP220" s="113"/>
      <c r="FYQ220" s="113"/>
      <c r="FYR220" s="114"/>
      <c r="FYS220" s="113"/>
      <c r="FYT220" s="115"/>
      <c r="FYU220" s="115"/>
      <c r="FYV220" s="113"/>
      <c r="FYW220" s="113"/>
      <c r="FYX220" s="113"/>
      <c r="FYY220" s="113"/>
      <c r="FYZ220" s="114"/>
      <c r="FZA220" s="113"/>
      <c r="FZB220" s="115"/>
      <c r="FZC220" s="115"/>
      <c r="FZD220" s="113"/>
      <c r="FZE220" s="113"/>
      <c r="FZF220" s="113"/>
      <c r="FZG220" s="113"/>
      <c r="FZH220" s="114"/>
      <c r="FZI220" s="113"/>
      <c r="FZJ220" s="115"/>
      <c r="FZK220" s="115"/>
      <c r="FZL220" s="113"/>
      <c r="FZM220" s="113"/>
      <c r="FZN220" s="113"/>
      <c r="FZO220" s="113"/>
      <c r="FZP220" s="114"/>
      <c r="FZQ220" s="113"/>
      <c r="FZR220" s="115"/>
      <c r="FZS220" s="115"/>
      <c r="FZT220" s="113"/>
      <c r="FZU220" s="113"/>
      <c r="FZV220" s="113"/>
      <c r="FZW220" s="113"/>
      <c r="FZX220" s="114"/>
      <c r="FZY220" s="113"/>
      <c r="FZZ220" s="115"/>
      <c r="GAA220" s="115"/>
      <c r="GAB220" s="113"/>
      <c r="GAC220" s="113"/>
      <c r="GAD220" s="113"/>
      <c r="GAE220" s="113"/>
      <c r="GAF220" s="114"/>
      <c r="GAG220" s="113"/>
      <c r="GAH220" s="115"/>
      <c r="GAI220" s="115"/>
      <c r="GAJ220" s="113"/>
      <c r="GAK220" s="113"/>
      <c r="GAL220" s="113"/>
      <c r="GAM220" s="113"/>
      <c r="GAN220" s="114"/>
      <c r="GAO220" s="113"/>
      <c r="GAP220" s="115"/>
      <c r="GAQ220" s="115"/>
      <c r="GAR220" s="113"/>
      <c r="GAS220" s="113"/>
      <c r="GAT220" s="113"/>
      <c r="GAU220" s="113"/>
      <c r="GAV220" s="114"/>
      <c r="GAW220" s="113"/>
      <c r="GAX220" s="115"/>
      <c r="GAY220" s="115"/>
      <c r="GAZ220" s="113"/>
      <c r="GBA220" s="113"/>
      <c r="GBB220" s="113"/>
      <c r="GBC220" s="113"/>
      <c r="GBD220" s="114"/>
      <c r="GBE220" s="113"/>
      <c r="GBF220" s="115"/>
      <c r="GBG220" s="115"/>
      <c r="GBH220" s="113"/>
      <c r="GBI220" s="113"/>
      <c r="GBJ220" s="113"/>
      <c r="GBK220" s="113"/>
      <c r="GBL220" s="114"/>
      <c r="GBM220" s="113"/>
      <c r="GBN220" s="115"/>
      <c r="GBO220" s="115"/>
      <c r="GBP220" s="113"/>
      <c r="GBQ220" s="113"/>
      <c r="GBR220" s="113"/>
      <c r="GBS220" s="113"/>
      <c r="GBT220" s="114"/>
      <c r="GBU220" s="113"/>
      <c r="GBV220" s="115"/>
      <c r="GBW220" s="115"/>
      <c r="GBX220" s="113"/>
      <c r="GBY220" s="113"/>
      <c r="GBZ220" s="113"/>
      <c r="GCA220" s="113"/>
      <c r="GCB220" s="114"/>
      <c r="GCC220" s="113"/>
      <c r="GCD220" s="115"/>
      <c r="GCE220" s="115"/>
      <c r="GCF220" s="113"/>
      <c r="GCG220" s="113"/>
      <c r="GCH220" s="113"/>
      <c r="GCI220" s="113"/>
      <c r="GCJ220" s="114"/>
      <c r="GCK220" s="113"/>
      <c r="GCL220" s="115"/>
      <c r="GCM220" s="115"/>
      <c r="GCN220" s="113"/>
      <c r="GCO220" s="113"/>
      <c r="GCP220" s="113"/>
      <c r="GCQ220" s="113"/>
      <c r="GCR220" s="114"/>
      <c r="GCS220" s="113"/>
      <c r="GCT220" s="115"/>
      <c r="GCU220" s="115"/>
      <c r="GCV220" s="113"/>
      <c r="GCW220" s="113"/>
      <c r="GCX220" s="113"/>
      <c r="GCY220" s="113"/>
      <c r="GCZ220" s="114"/>
      <c r="GDA220" s="113"/>
      <c r="GDB220" s="115"/>
      <c r="GDC220" s="115"/>
      <c r="GDD220" s="113"/>
      <c r="GDE220" s="113"/>
      <c r="GDF220" s="113"/>
      <c r="GDG220" s="113"/>
      <c r="GDH220" s="114"/>
      <c r="GDI220" s="113"/>
      <c r="GDJ220" s="115"/>
      <c r="GDK220" s="115"/>
      <c r="GDL220" s="113"/>
      <c r="GDM220" s="113"/>
      <c r="GDN220" s="113"/>
      <c r="GDO220" s="113"/>
      <c r="GDP220" s="114"/>
      <c r="GDQ220" s="113"/>
      <c r="GDR220" s="115"/>
      <c r="GDS220" s="115"/>
      <c r="GDT220" s="113"/>
      <c r="GDU220" s="113"/>
      <c r="GDV220" s="113"/>
      <c r="GDW220" s="113"/>
      <c r="GDX220" s="114"/>
      <c r="GDY220" s="113"/>
      <c r="GDZ220" s="115"/>
      <c r="GEA220" s="115"/>
      <c r="GEB220" s="113"/>
      <c r="GEC220" s="113"/>
      <c r="GED220" s="113"/>
      <c r="GEE220" s="113"/>
      <c r="GEF220" s="114"/>
      <c r="GEG220" s="113"/>
      <c r="GEH220" s="115"/>
      <c r="GEI220" s="115"/>
      <c r="GEJ220" s="113"/>
      <c r="GEK220" s="113"/>
      <c r="GEL220" s="113"/>
      <c r="GEM220" s="113"/>
      <c r="GEN220" s="114"/>
      <c r="GEO220" s="113"/>
      <c r="GEP220" s="115"/>
      <c r="GEQ220" s="115"/>
      <c r="GER220" s="113"/>
      <c r="GES220" s="113"/>
      <c r="GET220" s="113"/>
      <c r="GEU220" s="113"/>
      <c r="GEV220" s="114"/>
      <c r="GEW220" s="113"/>
      <c r="GEX220" s="115"/>
      <c r="GEY220" s="115"/>
      <c r="GEZ220" s="113"/>
      <c r="GFA220" s="113"/>
      <c r="GFB220" s="113"/>
      <c r="GFC220" s="113"/>
      <c r="GFD220" s="114"/>
      <c r="GFE220" s="113"/>
      <c r="GFF220" s="115"/>
      <c r="GFG220" s="115"/>
      <c r="GFH220" s="113"/>
      <c r="GFI220" s="113"/>
      <c r="GFJ220" s="113"/>
      <c r="GFK220" s="113"/>
      <c r="GFL220" s="114"/>
      <c r="GFM220" s="113"/>
      <c r="GFN220" s="115"/>
      <c r="GFO220" s="115"/>
      <c r="GFP220" s="113"/>
      <c r="GFQ220" s="113"/>
      <c r="GFR220" s="113"/>
      <c r="GFS220" s="113"/>
      <c r="GFT220" s="114"/>
      <c r="GFU220" s="113"/>
      <c r="GFV220" s="115"/>
      <c r="GFW220" s="115"/>
      <c r="GFX220" s="113"/>
      <c r="GFY220" s="113"/>
      <c r="GFZ220" s="113"/>
      <c r="GGA220" s="113"/>
      <c r="GGB220" s="114"/>
      <c r="GGC220" s="113"/>
      <c r="GGD220" s="115"/>
      <c r="GGE220" s="115"/>
      <c r="GGF220" s="113"/>
      <c r="GGG220" s="113"/>
      <c r="GGH220" s="113"/>
      <c r="GGI220" s="113"/>
      <c r="GGJ220" s="114"/>
      <c r="GGK220" s="113"/>
      <c r="GGL220" s="115"/>
      <c r="GGM220" s="115"/>
      <c r="GGN220" s="113"/>
      <c r="GGO220" s="113"/>
      <c r="GGP220" s="113"/>
      <c r="GGQ220" s="113"/>
      <c r="GGR220" s="114"/>
      <c r="GGS220" s="113"/>
      <c r="GGT220" s="115"/>
      <c r="GGU220" s="115"/>
      <c r="GGV220" s="113"/>
      <c r="GGW220" s="113"/>
      <c r="GGX220" s="113"/>
      <c r="GGY220" s="113"/>
      <c r="GGZ220" s="114"/>
      <c r="GHA220" s="113"/>
      <c r="GHB220" s="115"/>
      <c r="GHC220" s="115"/>
      <c r="GHD220" s="113"/>
      <c r="GHE220" s="113"/>
      <c r="GHF220" s="113"/>
      <c r="GHG220" s="113"/>
      <c r="GHH220" s="114"/>
      <c r="GHI220" s="113"/>
      <c r="GHJ220" s="115"/>
      <c r="GHK220" s="115"/>
      <c r="GHL220" s="113"/>
      <c r="GHM220" s="113"/>
      <c r="GHN220" s="113"/>
      <c r="GHO220" s="113"/>
      <c r="GHP220" s="114"/>
      <c r="GHQ220" s="113"/>
      <c r="GHR220" s="115"/>
      <c r="GHS220" s="115"/>
      <c r="GHT220" s="113"/>
      <c r="GHU220" s="113"/>
      <c r="GHV220" s="113"/>
      <c r="GHW220" s="113"/>
      <c r="GHX220" s="114"/>
      <c r="GHY220" s="113"/>
      <c r="GHZ220" s="115"/>
      <c r="GIA220" s="115"/>
      <c r="GIB220" s="113"/>
      <c r="GIC220" s="113"/>
      <c r="GID220" s="113"/>
      <c r="GIE220" s="113"/>
      <c r="GIF220" s="114"/>
      <c r="GIG220" s="113"/>
      <c r="GIH220" s="115"/>
      <c r="GII220" s="115"/>
      <c r="GIJ220" s="113"/>
      <c r="GIK220" s="113"/>
      <c r="GIL220" s="113"/>
      <c r="GIM220" s="113"/>
      <c r="GIN220" s="114"/>
      <c r="GIO220" s="113"/>
      <c r="GIP220" s="115"/>
      <c r="GIQ220" s="115"/>
      <c r="GIR220" s="113"/>
      <c r="GIS220" s="113"/>
      <c r="GIT220" s="113"/>
      <c r="GIU220" s="113"/>
      <c r="GIV220" s="114"/>
      <c r="GIW220" s="113"/>
      <c r="GIX220" s="115"/>
      <c r="GIY220" s="115"/>
      <c r="GIZ220" s="113"/>
      <c r="GJA220" s="113"/>
      <c r="GJB220" s="113"/>
      <c r="GJC220" s="113"/>
      <c r="GJD220" s="114"/>
      <c r="GJE220" s="113"/>
      <c r="GJF220" s="115"/>
      <c r="GJG220" s="115"/>
      <c r="GJH220" s="113"/>
      <c r="GJI220" s="113"/>
      <c r="GJJ220" s="113"/>
      <c r="GJK220" s="113"/>
      <c r="GJL220" s="114"/>
      <c r="GJM220" s="113"/>
      <c r="GJN220" s="115"/>
      <c r="GJO220" s="115"/>
      <c r="GJP220" s="113"/>
      <c r="GJQ220" s="113"/>
      <c r="GJR220" s="113"/>
      <c r="GJS220" s="113"/>
      <c r="GJT220" s="114"/>
      <c r="GJU220" s="113"/>
      <c r="GJV220" s="115"/>
      <c r="GJW220" s="115"/>
      <c r="GJX220" s="113"/>
      <c r="GJY220" s="113"/>
      <c r="GJZ220" s="113"/>
      <c r="GKA220" s="113"/>
      <c r="GKB220" s="114"/>
      <c r="GKC220" s="113"/>
      <c r="GKD220" s="115"/>
      <c r="GKE220" s="115"/>
      <c r="GKF220" s="113"/>
      <c r="GKG220" s="113"/>
      <c r="GKH220" s="113"/>
      <c r="GKI220" s="113"/>
      <c r="GKJ220" s="114"/>
      <c r="GKK220" s="113"/>
      <c r="GKL220" s="115"/>
      <c r="GKM220" s="115"/>
      <c r="GKN220" s="113"/>
      <c r="GKO220" s="113"/>
      <c r="GKP220" s="113"/>
      <c r="GKQ220" s="113"/>
      <c r="GKR220" s="114"/>
      <c r="GKS220" s="113"/>
      <c r="GKT220" s="115"/>
      <c r="GKU220" s="115"/>
      <c r="GKV220" s="113"/>
      <c r="GKW220" s="113"/>
      <c r="GKX220" s="113"/>
      <c r="GKY220" s="113"/>
      <c r="GKZ220" s="114"/>
      <c r="GLA220" s="113"/>
      <c r="GLB220" s="115"/>
      <c r="GLC220" s="115"/>
      <c r="GLD220" s="113"/>
      <c r="GLE220" s="113"/>
      <c r="GLF220" s="113"/>
      <c r="GLG220" s="113"/>
      <c r="GLH220" s="114"/>
      <c r="GLI220" s="113"/>
      <c r="GLJ220" s="115"/>
      <c r="GLK220" s="115"/>
      <c r="GLL220" s="113"/>
      <c r="GLM220" s="113"/>
      <c r="GLN220" s="113"/>
      <c r="GLO220" s="113"/>
      <c r="GLP220" s="114"/>
      <c r="GLQ220" s="113"/>
      <c r="GLR220" s="115"/>
      <c r="GLS220" s="115"/>
      <c r="GLT220" s="113"/>
      <c r="GLU220" s="113"/>
      <c r="GLV220" s="113"/>
      <c r="GLW220" s="113"/>
      <c r="GLX220" s="114"/>
      <c r="GLY220" s="113"/>
      <c r="GLZ220" s="115"/>
      <c r="GMA220" s="115"/>
      <c r="GMB220" s="113"/>
      <c r="GMC220" s="113"/>
      <c r="GMD220" s="113"/>
      <c r="GME220" s="113"/>
      <c r="GMF220" s="114"/>
      <c r="GMG220" s="113"/>
      <c r="GMH220" s="115"/>
      <c r="GMI220" s="115"/>
      <c r="GMJ220" s="113"/>
      <c r="GMK220" s="113"/>
      <c r="GML220" s="113"/>
      <c r="GMM220" s="113"/>
      <c r="GMN220" s="114"/>
      <c r="GMO220" s="113"/>
      <c r="GMP220" s="115"/>
      <c r="GMQ220" s="115"/>
      <c r="GMR220" s="113"/>
      <c r="GMS220" s="113"/>
      <c r="GMT220" s="113"/>
      <c r="GMU220" s="113"/>
      <c r="GMV220" s="114"/>
      <c r="GMW220" s="113"/>
      <c r="GMX220" s="115"/>
      <c r="GMY220" s="115"/>
      <c r="GMZ220" s="113"/>
      <c r="GNA220" s="113"/>
      <c r="GNB220" s="113"/>
      <c r="GNC220" s="113"/>
      <c r="GND220" s="114"/>
      <c r="GNE220" s="113"/>
      <c r="GNF220" s="115"/>
      <c r="GNG220" s="115"/>
      <c r="GNH220" s="113"/>
      <c r="GNI220" s="113"/>
      <c r="GNJ220" s="113"/>
      <c r="GNK220" s="113"/>
      <c r="GNL220" s="114"/>
      <c r="GNM220" s="113"/>
      <c r="GNN220" s="115"/>
      <c r="GNO220" s="115"/>
      <c r="GNP220" s="113"/>
      <c r="GNQ220" s="113"/>
      <c r="GNR220" s="113"/>
      <c r="GNS220" s="113"/>
      <c r="GNT220" s="114"/>
      <c r="GNU220" s="113"/>
      <c r="GNV220" s="115"/>
      <c r="GNW220" s="115"/>
      <c r="GNX220" s="113"/>
      <c r="GNY220" s="113"/>
      <c r="GNZ220" s="113"/>
      <c r="GOA220" s="113"/>
      <c r="GOB220" s="114"/>
      <c r="GOC220" s="113"/>
      <c r="GOD220" s="115"/>
      <c r="GOE220" s="115"/>
      <c r="GOF220" s="113"/>
      <c r="GOG220" s="113"/>
      <c r="GOH220" s="113"/>
      <c r="GOI220" s="113"/>
      <c r="GOJ220" s="114"/>
      <c r="GOK220" s="113"/>
      <c r="GOL220" s="115"/>
      <c r="GOM220" s="115"/>
      <c r="GON220" s="113"/>
      <c r="GOO220" s="113"/>
      <c r="GOP220" s="113"/>
      <c r="GOQ220" s="113"/>
      <c r="GOR220" s="114"/>
      <c r="GOS220" s="113"/>
      <c r="GOT220" s="115"/>
      <c r="GOU220" s="115"/>
      <c r="GOV220" s="113"/>
      <c r="GOW220" s="113"/>
      <c r="GOX220" s="113"/>
      <c r="GOY220" s="113"/>
      <c r="GOZ220" s="114"/>
      <c r="GPA220" s="113"/>
      <c r="GPB220" s="115"/>
      <c r="GPC220" s="115"/>
      <c r="GPD220" s="113"/>
      <c r="GPE220" s="113"/>
      <c r="GPF220" s="113"/>
      <c r="GPG220" s="113"/>
      <c r="GPH220" s="114"/>
      <c r="GPI220" s="113"/>
      <c r="GPJ220" s="115"/>
      <c r="GPK220" s="115"/>
      <c r="GPL220" s="113"/>
      <c r="GPM220" s="113"/>
      <c r="GPN220" s="113"/>
      <c r="GPO220" s="113"/>
      <c r="GPP220" s="114"/>
      <c r="GPQ220" s="113"/>
      <c r="GPR220" s="115"/>
      <c r="GPS220" s="115"/>
      <c r="GPT220" s="113"/>
      <c r="GPU220" s="113"/>
      <c r="GPV220" s="113"/>
      <c r="GPW220" s="113"/>
      <c r="GPX220" s="114"/>
      <c r="GPY220" s="113"/>
      <c r="GPZ220" s="115"/>
      <c r="GQA220" s="115"/>
      <c r="GQB220" s="113"/>
      <c r="GQC220" s="113"/>
      <c r="GQD220" s="113"/>
      <c r="GQE220" s="113"/>
      <c r="GQF220" s="114"/>
      <c r="GQG220" s="113"/>
      <c r="GQH220" s="115"/>
      <c r="GQI220" s="115"/>
      <c r="GQJ220" s="113"/>
      <c r="GQK220" s="113"/>
      <c r="GQL220" s="113"/>
      <c r="GQM220" s="113"/>
      <c r="GQN220" s="114"/>
      <c r="GQO220" s="113"/>
      <c r="GQP220" s="115"/>
      <c r="GQQ220" s="115"/>
      <c r="GQR220" s="113"/>
      <c r="GQS220" s="113"/>
      <c r="GQT220" s="113"/>
      <c r="GQU220" s="113"/>
      <c r="GQV220" s="114"/>
      <c r="GQW220" s="113"/>
      <c r="GQX220" s="115"/>
      <c r="GQY220" s="115"/>
      <c r="GQZ220" s="113"/>
      <c r="GRA220" s="113"/>
      <c r="GRB220" s="113"/>
      <c r="GRC220" s="113"/>
      <c r="GRD220" s="114"/>
      <c r="GRE220" s="113"/>
      <c r="GRF220" s="115"/>
      <c r="GRG220" s="115"/>
      <c r="GRH220" s="113"/>
      <c r="GRI220" s="113"/>
      <c r="GRJ220" s="113"/>
      <c r="GRK220" s="113"/>
      <c r="GRL220" s="114"/>
      <c r="GRM220" s="113"/>
      <c r="GRN220" s="115"/>
      <c r="GRO220" s="115"/>
      <c r="GRP220" s="113"/>
      <c r="GRQ220" s="113"/>
      <c r="GRR220" s="113"/>
      <c r="GRS220" s="113"/>
      <c r="GRT220" s="114"/>
      <c r="GRU220" s="113"/>
      <c r="GRV220" s="115"/>
      <c r="GRW220" s="115"/>
      <c r="GRX220" s="113"/>
      <c r="GRY220" s="113"/>
      <c r="GRZ220" s="113"/>
      <c r="GSA220" s="113"/>
      <c r="GSB220" s="114"/>
      <c r="GSC220" s="113"/>
      <c r="GSD220" s="115"/>
      <c r="GSE220" s="115"/>
      <c r="GSF220" s="113"/>
      <c r="GSG220" s="113"/>
      <c r="GSH220" s="113"/>
      <c r="GSI220" s="113"/>
      <c r="GSJ220" s="114"/>
      <c r="GSK220" s="113"/>
      <c r="GSL220" s="115"/>
      <c r="GSM220" s="115"/>
      <c r="GSN220" s="113"/>
      <c r="GSO220" s="113"/>
      <c r="GSP220" s="113"/>
      <c r="GSQ220" s="113"/>
      <c r="GSR220" s="114"/>
      <c r="GSS220" s="113"/>
      <c r="GST220" s="115"/>
      <c r="GSU220" s="115"/>
      <c r="GSV220" s="113"/>
      <c r="GSW220" s="113"/>
      <c r="GSX220" s="113"/>
      <c r="GSY220" s="113"/>
      <c r="GSZ220" s="114"/>
      <c r="GTA220" s="113"/>
      <c r="GTB220" s="115"/>
      <c r="GTC220" s="115"/>
      <c r="GTD220" s="113"/>
      <c r="GTE220" s="113"/>
      <c r="GTF220" s="113"/>
      <c r="GTG220" s="113"/>
      <c r="GTH220" s="114"/>
      <c r="GTI220" s="113"/>
      <c r="GTJ220" s="115"/>
      <c r="GTK220" s="115"/>
      <c r="GTL220" s="113"/>
      <c r="GTM220" s="113"/>
      <c r="GTN220" s="113"/>
      <c r="GTO220" s="113"/>
      <c r="GTP220" s="114"/>
      <c r="GTQ220" s="113"/>
      <c r="GTR220" s="115"/>
      <c r="GTS220" s="115"/>
      <c r="GTT220" s="113"/>
      <c r="GTU220" s="113"/>
      <c r="GTV220" s="113"/>
      <c r="GTW220" s="113"/>
      <c r="GTX220" s="114"/>
      <c r="GTY220" s="113"/>
      <c r="GTZ220" s="115"/>
      <c r="GUA220" s="115"/>
      <c r="GUB220" s="113"/>
      <c r="GUC220" s="113"/>
      <c r="GUD220" s="113"/>
      <c r="GUE220" s="113"/>
      <c r="GUF220" s="114"/>
      <c r="GUG220" s="113"/>
      <c r="GUH220" s="115"/>
      <c r="GUI220" s="115"/>
      <c r="GUJ220" s="113"/>
      <c r="GUK220" s="113"/>
      <c r="GUL220" s="113"/>
      <c r="GUM220" s="113"/>
      <c r="GUN220" s="114"/>
      <c r="GUO220" s="113"/>
      <c r="GUP220" s="115"/>
      <c r="GUQ220" s="115"/>
      <c r="GUR220" s="113"/>
      <c r="GUS220" s="113"/>
      <c r="GUT220" s="113"/>
      <c r="GUU220" s="113"/>
      <c r="GUV220" s="114"/>
      <c r="GUW220" s="113"/>
      <c r="GUX220" s="115"/>
      <c r="GUY220" s="115"/>
      <c r="GUZ220" s="113"/>
      <c r="GVA220" s="113"/>
      <c r="GVB220" s="113"/>
      <c r="GVC220" s="113"/>
      <c r="GVD220" s="114"/>
      <c r="GVE220" s="113"/>
      <c r="GVF220" s="115"/>
      <c r="GVG220" s="115"/>
      <c r="GVH220" s="113"/>
      <c r="GVI220" s="113"/>
      <c r="GVJ220" s="113"/>
      <c r="GVK220" s="113"/>
      <c r="GVL220" s="114"/>
      <c r="GVM220" s="113"/>
      <c r="GVN220" s="115"/>
      <c r="GVO220" s="115"/>
      <c r="GVP220" s="113"/>
      <c r="GVQ220" s="113"/>
      <c r="GVR220" s="113"/>
      <c r="GVS220" s="113"/>
      <c r="GVT220" s="114"/>
      <c r="GVU220" s="113"/>
      <c r="GVV220" s="115"/>
      <c r="GVW220" s="115"/>
      <c r="GVX220" s="113"/>
      <c r="GVY220" s="113"/>
      <c r="GVZ220" s="113"/>
      <c r="GWA220" s="113"/>
      <c r="GWB220" s="114"/>
      <c r="GWC220" s="113"/>
      <c r="GWD220" s="115"/>
      <c r="GWE220" s="115"/>
      <c r="GWF220" s="113"/>
      <c r="GWG220" s="113"/>
      <c r="GWH220" s="113"/>
      <c r="GWI220" s="113"/>
      <c r="GWJ220" s="114"/>
      <c r="GWK220" s="113"/>
      <c r="GWL220" s="115"/>
      <c r="GWM220" s="115"/>
      <c r="GWN220" s="113"/>
      <c r="GWO220" s="113"/>
      <c r="GWP220" s="113"/>
      <c r="GWQ220" s="113"/>
      <c r="GWR220" s="114"/>
      <c r="GWS220" s="113"/>
      <c r="GWT220" s="115"/>
      <c r="GWU220" s="115"/>
      <c r="GWV220" s="113"/>
      <c r="GWW220" s="113"/>
      <c r="GWX220" s="113"/>
      <c r="GWY220" s="113"/>
      <c r="GWZ220" s="114"/>
      <c r="GXA220" s="113"/>
      <c r="GXB220" s="115"/>
      <c r="GXC220" s="115"/>
      <c r="GXD220" s="113"/>
      <c r="GXE220" s="113"/>
      <c r="GXF220" s="113"/>
      <c r="GXG220" s="113"/>
      <c r="GXH220" s="114"/>
      <c r="GXI220" s="113"/>
      <c r="GXJ220" s="115"/>
      <c r="GXK220" s="115"/>
      <c r="GXL220" s="113"/>
      <c r="GXM220" s="113"/>
      <c r="GXN220" s="113"/>
      <c r="GXO220" s="113"/>
      <c r="GXP220" s="114"/>
      <c r="GXQ220" s="113"/>
      <c r="GXR220" s="115"/>
      <c r="GXS220" s="115"/>
      <c r="GXT220" s="113"/>
      <c r="GXU220" s="113"/>
      <c r="GXV220" s="113"/>
      <c r="GXW220" s="113"/>
      <c r="GXX220" s="114"/>
      <c r="GXY220" s="113"/>
      <c r="GXZ220" s="115"/>
      <c r="GYA220" s="115"/>
      <c r="GYB220" s="113"/>
      <c r="GYC220" s="113"/>
      <c r="GYD220" s="113"/>
      <c r="GYE220" s="113"/>
      <c r="GYF220" s="114"/>
      <c r="GYG220" s="113"/>
      <c r="GYH220" s="115"/>
      <c r="GYI220" s="115"/>
      <c r="GYJ220" s="113"/>
      <c r="GYK220" s="113"/>
      <c r="GYL220" s="113"/>
      <c r="GYM220" s="113"/>
      <c r="GYN220" s="114"/>
      <c r="GYO220" s="113"/>
      <c r="GYP220" s="115"/>
      <c r="GYQ220" s="115"/>
      <c r="GYR220" s="113"/>
      <c r="GYS220" s="113"/>
      <c r="GYT220" s="113"/>
      <c r="GYU220" s="113"/>
      <c r="GYV220" s="114"/>
      <c r="GYW220" s="113"/>
      <c r="GYX220" s="115"/>
      <c r="GYY220" s="115"/>
      <c r="GYZ220" s="113"/>
      <c r="GZA220" s="113"/>
      <c r="GZB220" s="113"/>
      <c r="GZC220" s="113"/>
      <c r="GZD220" s="114"/>
      <c r="GZE220" s="113"/>
      <c r="GZF220" s="115"/>
      <c r="GZG220" s="115"/>
      <c r="GZH220" s="113"/>
      <c r="GZI220" s="113"/>
      <c r="GZJ220" s="113"/>
      <c r="GZK220" s="113"/>
      <c r="GZL220" s="114"/>
      <c r="GZM220" s="113"/>
      <c r="GZN220" s="115"/>
      <c r="GZO220" s="115"/>
      <c r="GZP220" s="113"/>
      <c r="GZQ220" s="113"/>
      <c r="GZR220" s="113"/>
      <c r="GZS220" s="113"/>
      <c r="GZT220" s="114"/>
      <c r="GZU220" s="113"/>
      <c r="GZV220" s="115"/>
      <c r="GZW220" s="115"/>
      <c r="GZX220" s="113"/>
      <c r="GZY220" s="113"/>
      <c r="GZZ220" s="113"/>
      <c r="HAA220" s="113"/>
      <c r="HAB220" s="114"/>
      <c r="HAC220" s="113"/>
      <c r="HAD220" s="115"/>
      <c r="HAE220" s="115"/>
      <c r="HAF220" s="113"/>
      <c r="HAG220" s="113"/>
      <c r="HAH220" s="113"/>
      <c r="HAI220" s="113"/>
      <c r="HAJ220" s="114"/>
      <c r="HAK220" s="113"/>
      <c r="HAL220" s="115"/>
      <c r="HAM220" s="115"/>
      <c r="HAN220" s="113"/>
      <c r="HAO220" s="113"/>
      <c r="HAP220" s="113"/>
      <c r="HAQ220" s="113"/>
      <c r="HAR220" s="114"/>
      <c r="HAS220" s="113"/>
      <c r="HAT220" s="115"/>
      <c r="HAU220" s="115"/>
      <c r="HAV220" s="113"/>
      <c r="HAW220" s="113"/>
      <c r="HAX220" s="113"/>
      <c r="HAY220" s="113"/>
      <c r="HAZ220" s="114"/>
      <c r="HBA220" s="113"/>
      <c r="HBB220" s="115"/>
      <c r="HBC220" s="115"/>
      <c r="HBD220" s="113"/>
      <c r="HBE220" s="113"/>
      <c r="HBF220" s="113"/>
      <c r="HBG220" s="113"/>
      <c r="HBH220" s="114"/>
      <c r="HBI220" s="113"/>
      <c r="HBJ220" s="115"/>
      <c r="HBK220" s="115"/>
      <c r="HBL220" s="113"/>
      <c r="HBM220" s="113"/>
      <c r="HBN220" s="113"/>
      <c r="HBO220" s="113"/>
      <c r="HBP220" s="114"/>
      <c r="HBQ220" s="113"/>
      <c r="HBR220" s="115"/>
      <c r="HBS220" s="115"/>
      <c r="HBT220" s="113"/>
      <c r="HBU220" s="113"/>
      <c r="HBV220" s="113"/>
      <c r="HBW220" s="113"/>
      <c r="HBX220" s="114"/>
      <c r="HBY220" s="113"/>
      <c r="HBZ220" s="115"/>
      <c r="HCA220" s="115"/>
      <c r="HCB220" s="113"/>
      <c r="HCC220" s="113"/>
      <c r="HCD220" s="113"/>
      <c r="HCE220" s="113"/>
      <c r="HCF220" s="114"/>
      <c r="HCG220" s="113"/>
      <c r="HCH220" s="115"/>
      <c r="HCI220" s="115"/>
      <c r="HCJ220" s="113"/>
      <c r="HCK220" s="113"/>
      <c r="HCL220" s="113"/>
      <c r="HCM220" s="113"/>
      <c r="HCN220" s="114"/>
      <c r="HCO220" s="113"/>
      <c r="HCP220" s="115"/>
      <c r="HCQ220" s="115"/>
      <c r="HCR220" s="113"/>
      <c r="HCS220" s="113"/>
      <c r="HCT220" s="113"/>
      <c r="HCU220" s="113"/>
      <c r="HCV220" s="114"/>
      <c r="HCW220" s="113"/>
      <c r="HCX220" s="115"/>
      <c r="HCY220" s="115"/>
      <c r="HCZ220" s="113"/>
      <c r="HDA220" s="113"/>
      <c r="HDB220" s="113"/>
      <c r="HDC220" s="113"/>
      <c r="HDD220" s="114"/>
      <c r="HDE220" s="113"/>
      <c r="HDF220" s="115"/>
      <c r="HDG220" s="115"/>
      <c r="HDH220" s="113"/>
      <c r="HDI220" s="113"/>
      <c r="HDJ220" s="113"/>
      <c r="HDK220" s="113"/>
      <c r="HDL220" s="114"/>
      <c r="HDM220" s="113"/>
      <c r="HDN220" s="115"/>
      <c r="HDO220" s="115"/>
      <c r="HDP220" s="113"/>
      <c r="HDQ220" s="113"/>
      <c r="HDR220" s="113"/>
      <c r="HDS220" s="113"/>
      <c r="HDT220" s="114"/>
      <c r="HDU220" s="113"/>
      <c r="HDV220" s="115"/>
      <c r="HDW220" s="115"/>
      <c r="HDX220" s="113"/>
      <c r="HDY220" s="113"/>
      <c r="HDZ220" s="113"/>
      <c r="HEA220" s="113"/>
      <c r="HEB220" s="114"/>
      <c r="HEC220" s="113"/>
      <c r="HED220" s="115"/>
      <c r="HEE220" s="115"/>
      <c r="HEF220" s="113"/>
      <c r="HEG220" s="113"/>
      <c r="HEH220" s="113"/>
      <c r="HEI220" s="113"/>
      <c r="HEJ220" s="114"/>
      <c r="HEK220" s="113"/>
      <c r="HEL220" s="115"/>
      <c r="HEM220" s="115"/>
      <c r="HEN220" s="113"/>
      <c r="HEO220" s="113"/>
      <c r="HEP220" s="113"/>
      <c r="HEQ220" s="113"/>
      <c r="HER220" s="114"/>
      <c r="HES220" s="113"/>
      <c r="HET220" s="115"/>
      <c r="HEU220" s="115"/>
      <c r="HEV220" s="113"/>
      <c r="HEW220" s="113"/>
      <c r="HEX220" s="113"/>
      <c r="HEY220" s="113"/>
      <c r="HEZ220" s="114"/>
      <c r="HFA220" s="113"/>
      <c r="HFB220" s="115"/>
      <c r="HFC220" s="115"/>
      <c r="HFD220" s="113"/>
      <c r="HFE220" s="113"/>
      <c r="HFF220" s="113"/>
      <c r="HFG220" s="113"/>
      <c r="HFH220" s="114"/>
      <c r="HFI220" s="113"/>
      <c r="HFJ220" s="115"/>
      <c r="HFK220" s="115"/>
      <c r="HFL220" s="113"/>
      <c r="HFM220" s="113"/>
      <c r="HFN220" s="113"/>
      <c r="HFO220" s="113"/>
      <c r="HFP220" s="114"/>
      <c r="HFQ220" s="113"/>
      <c r="HFR220" s="115"/>
      <c r="HFS220" s="115"/>
      <c r="HFT220" s="113"/>
      <c r="HFU220" s="113"/>
      <c r="HFV220" s="113"/>
      <c r="HFW220" s="113"/>
      <c r="HFX220" s="114"/>
      <c r="HFY220" s="113"/>
      <c r="HFZ220" s="115"/>
      <c r="HGA220" s="115"/>
      <c r="HGB220" s="113"/>
      <c r="HGC220" s="113"/>
      <c r="HGD220" s="113"/>
      <c r="HGE220" s="113"/>
      <c r="HGF220" s="114"/>
      <c r="HGG220" s="113"/>
      <c r="HGH220" s="115"/>
      <c r="HGI220" s="115"/>
      <c r="HGJ220" s="113"/>
      <c r="HGK220" s="113"/>
      <c r="HGL220" s="113"/>
      <c r="HGM220" s="113"/>
      <c r="HGN220" s="114"/>
      <c r="HGO220" s="113"/>
      <c r="HGP220" s="115"/>
      <c r="HGQ220" s="115"/>
      <c r="HGR220" s="113"/>
      <c r="HGS220" s="113"/>
      <c r="HGT220" s="113"/>
      <c r="HGU220" s="113"/>
      <c r="HGV220" s="114"/>
      <c r="HGW220" s="113"/>
      <c r="HGX220" s="115"/>
      <c r="HGY220" s="115"/>
      <c r="HGZ220" s="113"/>
      <c r="HHA220" s="113"/>
      <c r="HHB220" s="113"/>
      <c r="HHC220" s="113"/>
      <c r="HHD220" s="114"/>
      <c r="HHE220" s="113"/>
      <c r="HHF220" s="115"/>
      <c r="HHG220" s="115"/>
      <c r="HHH220" s="113"/>
      <c r="HHI220" s="113"/>
      <c r="HHJ220" s="113"/>
      <c r="HHK220" s="113"/>
      <c r="HHL220" s="114"/>
      <c r="HHM220" s="113"/>
      <c r="HHN220" s="115"/>
      <c r="HHO220" s="115"/>
      <c r="HHP220" s="113"/>
      <c r="HHQ220" s="113"/>
      <c r="HHR220" s="113"/>
      <c r="HHS220" s="113"/>
      <c r="HHT220" s="114"/>
      <c r="HHU220" s="113"/>
      <c r="HHV220" s="115"/>
      <c r="HHW220" s="115"/>
      <c r="HHX220" s="113"/>
      <c r="HHY220" s="113"/>
      <c r="HHZ220" s="113"/>
      <c r="HIA220" s="113"/>
      <c r="HIB220" s="114"/>
      <c r="HIC220" s="113"/>
      <c r="HID220" s="115"/>
      <c r="HIE220" s="115"/>
      <c r="HIF220" s="113"/>
      <c r="HIG220" s="113"/>
      <c r="HIH220" s="113"/>
      <c r="HII220" s="113"/>
      <c r="HIJ220" s="114"/>
      <c r="HIK220" s="113"/>
      <c r="HIL220" s="115"/>
      <c r="HIM220" s="115"/>
      <c r="HIN220" s="113"/>
      <c r="HIO220" s="113"/>
      <c r="HIP220" s="113"/>
      <c r="HIQ220" s="113"/>
      <c r="HIR220" s="114"/>
      <c r="HIS220" s="113"/>
      <c r="HIT220" s="115"/>
      <c r="HIU220" s="115"/>
      <c r="HIV220" s="113"/>
      <c r="HIW220" s="113"/>
      <c r="HIX220" s="113"/>
      <c r="HIY220" s="113"/>
      <c r="HIZ220" s="114"/>
      <c r="HJA220" s="113"/>
      <c r="HJB220" s="115"/>
      <c r="HJC220" s="115"/>
      <c r="HJD220" s="113"/>
      <c r="HJE220" s="113"/>
      <c r="HJF220" s="113"/>
      <c r="HJG220" s="113"/>
      <c r="HJH220" s="114"/>
      <c r="HJI220" s="113"/>
      <c r="HJJ220" s="115"/>
      <c r="HJK220" s="115"/>
      <c r="HJL220" s="113"/>
      <c r="HJM220" s="113"/>
      <c r="HJN220" s="113"/>
      <c r="HJO220" s="113"/>
      <c r="HJP220" s="114"/>
      <c r="HJQ220" s="113"/>
      <c r="HJR220" s="115"/>
      <c r="HJS220" s="115"/>
      <c r="HJT220" s="113"/>
      <c r="HJU220" s="113"/>
      <c r="HJV220" s="113"/>
      <c r="HJW220" s="113"/>
      <c r="HJX220" s="114"/>
      <c r="HJY220" s="113"/>
      <c r="HJZ220" s="115"/>
      <c r="HKA220" s="115"/>
      <c r="HKB220" s="113"/>
      <c r="HKC220" s="113"/>
      <c r="HKD220" s="113"/>
      <c r="HKE220" s="113"/>
      <c r="HKF220" s="114"/>
      <c r="HKG220" s="113"/>
      <c r="HKH220" s="115"/>
      <c r="HKI220" s="115"/>
      <c r="HKJ220" s="113"/>
      <c r="HKK220" s="113"/>
      <c r="HKL220" s="113"/>
      <c r="HKM220" s="113"/>
      <c r="HKN220" s="114"/>
      <c r="HKO220" s="113"/>
      <c r="HKP220" s="115"/>
      <c r="HKQ220" s="115"/>
      <c r="HKR220" s="113"/>
      <c r="HKS220" s="113"/>
      <c r="HKT220" s="113"/>
      <c r="HKU220" s="113"/>
      <c r="HKV220" s="114"/>
      <c r="HKW220" s="113"/>
      <c r="HKX220" s="115"/>
      <c r="HKY220" s="115"/>
      <c r="HKZ220" s="113"/>
      <c r="HLA220" s="113"/>
      <c r="HLB220" s="113"/>
      <c r="HLC220" s="113"/>
      <c r="HLD220" s="114"/>
      <c r="HLE220" s="113"/>
      <c r="HLF220" s="115"/>
      <c r="HLG220" s="115"/>
      <c r="HLH220" s="113"/>
      <c r="HLI220" s="113"/>
      <c r="HLJ220" s="113"/>
      <c r="HLK220" s="113"/>
      <c r="HLL220" s="114"/>
      <c r="HLM220" s="113"/>
      <c r="HLN220" s="115"/>
      <c r="HLO220" s="115"/>
      <c r="HLP220" s="113"/>
      <c r="HLQ220" s="113"/>
      <c r="HLR220" s="113"/>
      <c r="HLS220" s="113"/>
      <c r="HLT220" s="114"/>
      <c r="HLU220" s="113"/>
      <c r="HLV220" s="115"/>
      <c r="HLW220" s="115"/>
      <c r="HLX220" s="113"/>
      <c r="HLY220" s="113"/>
      <c r="HLZ220" s="113"/>
      <c r="HMA220" s="113"/>
      <c r="HMB220" s="114"/>
      <c r="HMC220" s="113"/>
      <c r="HMD220" s="115"/>
      <c r="HME220" s="115"/>
      <c r="HMF220" s="113"/>
      <c r="HMG220" s="113"/>
      <c r="HMH220" s="113"/>
      <c r="HMI220" s="113"/>
      <c r="HMJ220" s="114"/>
      <c r="HMK220" s="113"/>
      <c r="HML220" s="115"/>
      <c r="HMM220" s="115"/>
      <c r="HMN220" s="113"/>
      <c r="HMO220" s="113"/>
      <c r="HMP220" s="113"/>
      <c r="HMQ220" s="113"/>
      <c r="HMR220" s="114"/>
      <c r="HMS220" s="113"/>
      <c r="HMT220" s="115"/>
      <c r="HMU220" s="115"/>
      <c r="HMV220" s="113"/>
      <c r="HMW220" s="113"/>
      <c r="HMX220" s="113"/>
      <c r="HMY220" s="113"/>
      <c r="HMZ220" s="114"/>
      <c r="HNA220" s="113"/>
      <c r="HNB220" s="115"/>
      <c r="HNC220" s="115"/>
      <c r="HND220" s="113"/>
      <c r="HNE220" s="113"/>
      <c r="HNF220" s="113"/>
      <c r="HNG220" s="113"/>
      <c r="HNH220" s="114"/>
      <c r="HNI220" s="113"/>
      <c r="HNJ220" s="115"/>
      <c r="HNK220" s="115"/>
      <c r="HNL220" s="113"/>
      <c r="HNM220" s="113"/>
      <c r="HNN220" s="113"/>
      <c r="HNO220" s="113"/>
      <c r="HNP220" s="114"/>
      <c r="HNQ220" s="113"/>
      <c r="HNR220" s="115"/>
      <c r="HNS220" s="115"/>
      <c r="HNT220" s="113"/>
      <c r="HNU220" s="113"/>
      <c r="HNV220" s="113"/>
      <c r="HNW220" s="113"/>
      <c r="HNX220" s="114"/>
      <c r="HNY220" s="113"/>
      <c r="HNZ220" s="115"/>
      <c r="HOA220" s="115"/>
      <c r="HOB220" s="113"/>
      <c r="HOC220" s="113"/>
      <c r="HOD220" s="113"/>
      <c r="HOE220" s="113"/>
      <c r="HOF220" s="114"/>
      <c r="HOG220" s="113"/>
      <c r="HOH220" s="115"/>
      <c r="HOI220" s="115"/>
      <c r="HOJ220" s="113"/>
      <c r="HOK220" s="113"/>
      <c r="HOL220" s="113"/>
      <c r="HOM220" s="113"/>
      <c r="HON220" s="114"/>
      <c r="HOO220" s="113"/>
      <c r="HOP220" s="115"/>
      <c r="HOQ220" s="115"/>
      <c r="HOR220" s="113"/>
      <c r="HOS220" s="113"/>
      <c r="HOT220" s="113"/>
      <c r="HOU220" s="113"/>
      <c r="HOV220" s="114"/>
      <c r="HOW220" s="113"/>
      <c r="HOX220" s="115"/>
      <c r="HOY220" s="115"/>
      <c r="HOZ220" s="113"/>
      <c r="HPA220" s="113"/>
      <c r="HPB220" s="113"/>
      <c r="HPC220" s="113"/>
      <c r="HPD220" s="114"/>
      <c r="HPE220" s="113"/>
      <c r="HPF220" s="115"/>
      <c r="HPG220" s="115"/>
      <c r="HPH220" s="113"/>
      <c r="HPI220" s="113"/>
      <c r="HPJ220" s="113"/>
      <c r="HPK220" s="113"/>
      <c r="HPL220" s="114"/>
      <c r="HPM220" s="113"/>
      <c r="HPN220" s="115"/>
      <c r="HPO220" s="115"/>
      <c r="HPP220" s="113"/>
      <c r="HPQ220" s="113"/>
      <c r="HPR220" s="113"/>
      <c r="HPS220" s="113"/>
      <c r="HPT220" s="114"/>
      <c r="HPU220" s="113"/>
      <c r="HPV220" s="115"/>
      <c r="HPW220" s="115"/>
      <c r="HPX220" s="113"/>
      <c r="HPY220" s="113"/>
      <c r="HPZ220" s="113"/>
      <c r="HQA220" s="113"/>
      <c r="HQB220" s="114"/>
      <c r="HQC220" s="113"/>
      <c r="HQD220" s="115"/>
      <c r="HQE220" s="115"/>
      <c r="HQF220" s="113"/>
      <c r="HQG220" s="113"/>
      <c r="HQH220" s="113"/>
      <c r="HQI220" s="113"/>
      <c r="HQJ220" s="114"/>
      <c r="HQK220" s="113"/>
      <c r="HQL220" s="115"/>
      <c r="HQM220" s="115"/>
      <c r="HQN220" s="113"/>
      <c r="HQO220" s="113"/>
      <c r="HQP220" s="113"/>
      <c r="HQQ220" s="113"/>
      <c r="HQR220" s="114"/>
      <c r="HQS220" s="113"/>
      <c r="HQT220" s="115"/>
      <c r="HQU220" s="115"/>
      <c r="HQV220" s="113"/>
      <c r="HQW220" s="113"/>
      <c r="HQX220" s="113"/>
      <c r="HQY220" s="113"/>
      <c r="HQZ220" s="114"/>
      <c r="HRA220" s="113"/>
      <c r="HRB220" s="115"/>
      <c r="HRC220" s="115"/>
      <c r="HRD220" s="113"/>
      <c r="HRE220" s="113"/>
      <c r="HRF220" s="113"/>
      <c r="HRG220" s="113"/>
      <c r="HRH220" s="114"/>
      <c r="HRI220" s="113"/>
      <c r="HRJ220" s="115"/>
      <c r="HRK220" s="115"/>
      <c r="HRL220" s="113"/>
      <c r="HRM220" s="113"/>
      <c r="HRN220" s="113"/>
      <c r="HRO220" s="113"/>
      <c r="HRP220" s="114"/>
      <c r="HRQ220" s="113"/>
      <c r="HRR220" s="115"/>
      <c r="HRS220" s="115"/>
      <c r="HRT220" s="113"/>
      <c r="HRU220" s="113"/>
      <c r="HRV220" s="113"/>
      <c r="HRW220" s="113"/>
      <c r="HRX220" s="114"/>
      <c r="HRY220" s="113"/>
      <c r="HRZ220" s="115"/>
      <c r="HSA220" s="115"/>
      <c r="HSB220" s="113"/>
      <c r="HSC220" s="113"/>
      <c r="HSD220" s="113"/>
      <c r="HSE220" s="113"/>
      <c r="HSF220" s="114"/>
      <c r="HSG220" s="113"/>
      <c r="HSH220" s="115"/>
      <c r="HSI220" s="115"/>
      <c r="HSJ220" s="113"/>
      <c r="HSK220" s="113"/>
      <c r="HSL220" s="113"/>
      <c r="HSM220" s="113"/>
      <c r="HSN220" s="114"/>
      <c r="HSO220" s="113"/>
      <c r="HSP220" s="115"/>
      <c r="HSQ220" s="115"/>
      <c r="HSR220" s="113"/>
      <c r="HSS220" s="113"/>
      <c r="HST220" s="113"/>
      <c r="HSU220" s="113"/>
      <c r="HSV220" s="114"/>
      <c r="HSW220" s="113"/>
      <c r="HSX220" s="115"/>
      <c r="HSY220" s="115"/>
      <c r="HSZ220" s="113"/>
      <c r="HTA220" s="113"/>
      <c r="HTB220" s="113"/>
      <c r="HTC220" s="113"/>
      <c r="HTD220" s="114"/>
      <c r="HTE220" s="113"/>
      <c r="HTF220" s="115"/>
      <c r="HTG220" s="115"/>
      <c r="HTH220" s="113"/>
      <c r="HTI220" s="113"/>
      <c r="HTJ220" s="113"/>
      <c r="HTK220" s="113"/>
      <c r="HTL220" s="114"/>
      <c r="HTM220" s="113"/>
      <c r="HTN220" s="115"/>
      <c r="HTO220" s="115"/>
      <c r="HTP220" s="113"/>
      <c r="HTQ220" s="113"/>
      <c r="HTR220" s="113"/>
      <c r="HTS220" s="113"/>
      <c r="HTT220" s="114"/>
      <c r="HTU220" s="113"/>
      <c r="HTV220" s="115"/>
      <c r="HTW220" s="115"/>
      <c r="HTX220" s="113"/>
      <c r="HTY220" s="113"/>
      <c r="HTZ220" s="113"/>
      <c r="HUA220" s="113"/>
      <c r="HUB220" s="114"/>
      <c r="HUC220" s="113"/>
      <c r="HUD220" s="115"/>
      <c r="HUE220" s="115"/>
      <c r="HUF220" s="113"/>
      <c r="HUG220" s="113"/>
      <c r="HUH220" s="113"/>
      <c r="HUI220" s="113"/>
      <c r="HUJ220" s="114"/>
      <c r="HUK220" s="113"/>
      <c r="HUL220" s="115"/>
      <c r="HUM220" s="115"/>
      <c r="HUN220" s="113"/>
      <c r="HUO220" s="113"/>
      <c r="HUP220" s="113"/>
      <c r="HUQ220" s="113"/>
      <c r="HUR220" s="114"/>
      <c r="HUS220" s="113"/>
      <c r="HUT220" s="115"/>
      <c r="HUU220" s="115"/>
      <c r="HUV220" s="113"/>
      <c r="HUW220" s="113"/>
      <c r="HUX220" s="113"/>
      <c r="HUY220" s="113"/>
      <c r="HUZ220" s="114"/>
      <c r="HVA220" s="113"/>
      <c r="HVB220" s="115"/>
      <c r="HVC220" s="115"/>
      <c r="HVD220" s="113"/>
      <c r="HVE220" s="113"/>
      <c r="HVF220" s="113"/>
      <c r="HVG220" s="113"/>
      <c r="HVH220" s="114"/>
      <c r="HVI220" s="113"/>
      <c r="HVJ220" s="115"/>
      <c r="HVK220" s="115"/>
      <c r="HVL220" s="113"/>
      <c r="HVM220" s="113"/>
      <c r="HVN220" s="113"/>
      <c r="HVO220" s="113"/>
      <c r="HVP220" s="114"/>
      <c r="HVQ220" s="113"/>
      <c r="HVR220" s="115"/>
      <c r="HVS220" s="115"/>
      <c r="HVT220" s="113"/>
      <c r="HVU220" s="113"/>
      <c r="HVV220" s="113"/>
      <c r="HVW220" s="113"/>
      <c r="HVX220" s="114"/>
      <c r="HVY220" s="113"/>
      <c r="HVZ220" s="115"/>
      <c r="HWA220" s="115"/>
      <c r="HWB220" s="113"/>
      <c r="HWC220" s="113"/>
      <c r="HWD220" s="113"/>
      <c r="HWE220" s="113"/>
      <c r="HWF220" s="114"/>
      <c r="HWG220" s="113"/>
      <c r="HWH220" s="115"/>
      <c r="HWI220" s="115"/>
      <c r="HWJ220" s="113"/>
      <c r="HWK220" s="113"/>
      <c r="HWL220" s="113"/>
      <c r="HWM220" s="113"/>
      <c r="HWN220" s="114"/>
      <c r="HWO220" s="113"/>
      <c r="HWP220" s="115"/>
      <c r="HWQ220" s="115"/>
      <c r="HWR220" s="113"/>
      <c r="HWS220" s="113"/>
      <c r="HWT220" s="113"/>
      <c r="HWU220" s="113"/>
      <c r="HWV220" s="114"/>
      <c r="HWW220" s="113"/>
      <c r="HWX220" s="115"/>
      <c r="HWY220" s="115"/>
      <c r="HWZ220" s="113"/>
      <c r="HXA220" s="113"/>
      <c r="HXB220" s="113"/>
      <c r="HXC220" s="113"/>
      <c r="HXD220" s="114"/>
      <c r="HXE220" s="113"/>
      <c r="HXF220" s="115"/>
      <c r="HXG220" s="115"/>
      <c r="HXH220" s="113"/>
      <c r="HXI220" s="113"/>
      <c r="HXJ220" s="113"/>
      <c r="HXK220" s="113"/>
      <c r="HXL220" s="114"/>
      <c r="HXM220" s="113"/>
      <c r="HXN220" s="115"/>
      <c r="HXO220" s="115"/>
      <c r="HXP220" s="113"/>
      <c r="HXQ220" s="113"/>
      <c r="HXR220" s="113"/>
      <c r="HXS220" s="113"/>
      <c r="HXT220" s="114"/>
      <c r="HXU220" s="113"/>
      <c r="HXV220" s="115"/>
      <c r="HXW220" s="115"/>
      <c r="HXX220" s="113"/>
      <c r="HXY220" s="113"/>
      <c r="HXZ220" s="113"/>
      <c r="HYA220" s="113"/>
      <c r="HYB220" s="114"/>
      <c r="HYC220" s="113"/>
      <c r="HYD220" s="115"/>
      <c r="HYE220" s="115"/>
      <c r="HYF220" s="113"/>
      <c r="HYG220" s="113"/>
      <c r="HYH220" s="113"/>
      <c r="HYI220" s="113"/>
      <c r="HYJ220" s="114"/>
      <c r="HYK220" s="113"/>
      <c r="HYL220" s="115"/>
      <c r="HYM220" s="115"/>
      <c r="HYN220" s="113"/>
      <c r="HYO220" s="113"/>
      <c r="HYP220" s="113"/>
      <c r="HYQ220" s="113"/>
      <c r="HYR220" s="114"/>
      <c r="HYS220" s="113"/>
      <c r="HYT220" s="115"/>
      <c r="HYU220" s="115"/>
      <c r="HYV220" s="113"/>
      <c r="HYW220" s="113"/>
      <c r="HYX220" s="113"/>
      <c r="HYY220" s="113"/>
      <c r="HYZ220" s="114"/>
      <c r="HZA220" s="113"/>
      <c r="HZB220" s="115"/>
      <c r="HZC220" s="115"/>
      <c r="HZD220" s="113"/>
      <c r="HZE220" s="113"/>
      <c r="HZF220" s="113"/>
      <c r="HZG220" s="113"/>
      <c r="HZH220" s="114"/>
      <c r="HZI220" s="113"/>
      <c r="HZJ220" s="115"/>
      <c r="HZK220" s="115"/>
      <c r="HZL220" s="113"/>
      <c r="HZM220" s="113"/>
      <c r="HZN220" s="113"/>
      <c r="HZO220" s="113"/>
      <c r="HZP220" s="114"/>
      <c r="HZQ220" s="113"/>
      <c r="HZR220" s="115"/>
      <c r="HZS220" s="115"/>
      <c r="HZT220" s="113"/>
      <c r="HZU220" s="113"/>
      <c r="HZV220" s="113"/>
      <c r="HZW220" s="113"/>
      <c r="HZX220" s="114"/>
      <c r="HZY220" s="113"/>
      <c r="HZZ220" s="115"/>
      <c r="IAA220" s="115"/>
      <c r="IAB220" s="113"/>
      <c r="IAC220" s="113"/>
      <c r="IAD220" s="113"/>
      <c r="IAE220" s="113"/>
      <c r="IAF220" s="114"/>
      <c r="IAG220" s="113"/>
      <c r="IAH220" s="115"/>
      <c r="IAI220" s="115"/>
      <c r="IAJ220" s="113"/>
      <c r="IAK220" s="113"/>
      <c r="IAL220" s="113"/>
      <c r="IAM220" s="113"/>
      <c r="IAN220" s="114"/>
      <c r="IAO220" s="113"/>
      <c r="IAP220" s="115"/>
      <c r="IAQ220" s="115"/>
      <c r="IAR220" s="113"/>
      <c r="IAS220" s="113"/>
      <c r="IAT220" s="113"/>
      <c r="IAU220" s="113"/>
      <c r="IAV220" s="114"/>
      <c r="IAW220" s="113"/>
      <c r="IAX220" s="115"/>
      <c r="IAY220" s="115"/>
      <c r="IAZ220" s="113"/>
      <c r="IBA220" s="113"/>
      <c r="IBB220" s="113"/>
      <c r="IBC220" s="113"/>
      <c r="IBD220" s="114"/>
      <c r="IBE220" s="113"/>
      <c r="IBF220" s="115"/>
      <c r="IBG220" s="115"/>
      <c r="IBH220" s="113"/>
      <c r="IBI220" s="113"/>
      <c r="IBJ220" s="113"/>
      <c r="IBK220" s="113"/>
      <c r="IBL220" s="114"/>
      <c r="IBM220" s="113"/>
      <c r="IBN220" s="115"/>
      <c r="IBO220" s="115"/>
      <c r="IBP220" s="113"/>
      <c r="IBQ220" s="113"/>
      <c r="IBR220" s="113"/>
      <c r="IBS220" s="113"/>
      <c r="IBT220" s="114"/>
      <c r="IBU220" s="113"/>
      <c r="IBV220" s="115"/>
      <c r="IBW220" s="115"/>
      <c r="IBX220" s="113"/>
      <c r="IBY220" s="113"/>
      <c r="IBZ220" s="113"/>
      <c r="ICA220" s="113"/>
      <c r="ICB220" s="114"/>
      <c r="ICC220" s="113"/>
      <c r="ICD220" s="115"/>
      <c r="ICE220" s="115"/>
      <c r="ICF220" s="113"/>
      <c r="ICG220" s="113"/>
      <c r="ICH220" s="113"/>
      <c r="ICI220" s="113"/>
      <c r="ICJ220" s="114"/>
      <c r="ICK220" s="113"/>
      <c r="ICL220" s="115"/>
      <c r="ICM220" s="115"/>
      <c r="ICN220" s="113"/>
      <c r="ICO220" s="113"/>
      <c r="ICP220" s="113"/>
      <c r="ICQ220" s="113"/>
      <c r="ICR220" s="114"/>
      <c r="ICS220" s="113"/>
      <c r="ICT220" s="115"/>
      <c r="ICU220" s="115"/>
      <c r="ICV220" s="113"/>
      <c r="ICW220" s="113"/>
      <c r="ICX220" s="113"/>
      <c r="ICY220" s="113"/>
      <c r="ICZ220" s="114"/>
      <c r="IDA220" s="113"/>
      <c r="IDB220" s="115"/>
      <c r="IDC220" s="115"/>
      <c r="IDD220" s="113"/>
      <c r="IDE220" s="113"/>
      <c r="IDF220" s="113"/>
      <c r="IDG220" s="113"/>
      <c r="IDH220" s="114"/>
      <c r="IDI220" s="113"/>
      <c r="IDJ220" s="115"/>
      <c r="IDK220" s="115"/>
      <c r="IDL220" s="113"/>
      <c r="IDM220" s="113"/>
      <c r="IDN220" s="113"/>
      <c r="IDO220" s="113"/>
      <c r="IDP220" s="114"/>
      <c r="IDQ220" s="113"/>
      <c r="IDR220" s="115"/>
      <c r="IDS220" s="115"/>
      <c r="IDT220" s="113"/>
      <c r="IDU220" s="113"/>
      <c r="IDV220" s="113"/>
      <c r="IDW220" s="113"/>
      <c r="IDX220" s="114"/>
      <c r="IDY220" s="113"/>
      <c r="IDZ220" s="115"/>
      <c r="IEA220" s="115"/>
      <c r="IEB220" s="113"/>
      <c r="IEC220" s="113"/>
      <c r="IED220" s="113"/>
      <c r="IEE220" s="113"/>
      <c r="IEF220" s="114"/>
      <c r="IEG220" s="113"/>
      <c r="IEH220" s="115"/>
      <c r="IEI220" s="115"/>
      <c r="IEJ220" s="113"/>
      <c r="IEK220" s="113"/>
      <c r="IEL220" s="113"/>
      <c r="IEM220" s="113"/>
      <c r="IEN220" s="114"/>
      <c r="IEO220" s="113"/>
      <c r="IEP220" s="115"/>
      <c r="IEQ220" s="115"/>
      <c r="IER220" s="113"/>
      <c r="IES220" s="113"/>
      <c r="IET220" s="113"/>
      <c r="IEU220" s="113"/>
      <c r="IEV220" s="114"/>
      <c r="IEW220" s="113"/>
      <c r="IEX220" s="115"/>
      <c r="IEY220" s="115"/>
      <c r="IEZ220" s="113"/>
      <c r="IFA220" s="113"/>
      <c r="IFB220" s="113"/>
      <c r="IFC220" s="113"/>
      <c r="IFD220" s="114"/>
      <c r="IFE220" s="113"/>
      <c r="IFF220" s="115"/>
      <c r="IFG220" s="115"/>
      <c r="IFH220" s="113"/>
      <c r="IFI220" s="113"/>
      <c r="IFJ220" s="113"/>
      <c r="IFK220" s="113"/>
      <c r="IFL220" s="114"/>
      <c r="IFM220" s="113"/>
      <c r="IFN220" s="115"/>
      <c r="IFO220" s="115"/>
      <c r="IFP220" s="113"/>
      <c r="IFQ220" s="113"/>
      <c r="IFR220" s="113"/>
      <c r="IFS220" s="113"/>
      <c r="IFT220" s="114"/>
      <c r="IFU220" s="113"/>
      <c r="IFV220" s="115"/>
      <c r="IFW220" s="115"/>
      <c r="IFX220" s="113"/>
      <c r="IFY220" s="113"/>
      <c r="IFZ220" s="113"/>
      <c r="IGA220" s="113"/>
      <c r="IGB220" s="114"/>
      <c r="IGC220" s="113"/>
      <c r="IGD220" s="115"/>
      <c r="IGE220" s="115"/>
      <c r="IGF220" s="113"/>
      <c r="IGG220" s="113"/>
      <c r="IGH220" s="113"/>
      <c r="IGI220" s="113"/>
      <c r="IGJ220" s="114"/>
      <c r="IGK220" s="113"/>
      <c r="IGL220" s="115"/>
      <c r="IGM220" s="115"/>
      <c r="IGN220" s="113"/>
      <c r="IGO220" s="113"/>
      <c r="IGP220" s="113"/>
      <c r="IGQ220" s="113"/>
      <c r="IGR220" s="114"/>
      <c r="IGS220" s="113"/>
      <c r="IGT220" s="115"/>
      <c r="IGU220" s="115"/>
      <c r="IGV220" s="113"/>
      <c r="IGW220" s="113"/>
      <c r="IGX220" s="113"/>
      <c r="IGY220" s="113"/>
      <c r="IGZ220" s="114"/>
      <c r="IHA220" s="113"/>
      <c r="IHB220" s="115"/>
      <c r="IHC220" s="115"/>
      <c r="IHD220" s="113"/>
      <c r="IHE220" s="113"/>
      <c r="IHF220" s="113"/>
      <c r="IHG220" s="113"/>
      <c r="IHH220" s="114"/>
      <c r="IHI220" s="113"/>
      <c r="IHJ220" s="115"/>
      <c r="IHK220" s="115"/>
      <c r="IHL220" s="113"/>
      <c r="IHM220" s="113"/>
      <c r="IHN220" s="113"/>
      <c r="IHO220" s="113"/>
      <c r="IHP220" s="114"/>
      <c r="IHQ220" s="113"/>
      <c r="IHR220" s="115"/>
      <c r="IHS220" s="115"/>
      <c r="IHT220" s="113"/>
      <c r="IHU220" s="113"/>
      <c r="IHV220" s="113"/>
      <c r="IHW220" s="113"/>
      <c r="IHX220" s="114"/>
      <c r="IHY220" s="113"/>
      <c r="IHZ220" s="115"/>
      <c r="IIA220" s="115"/>
      <c r="IIB220" s="113"/>
      <c r="IIC220" s="113"/>
      <c r="IID220" s="113"/>
      <c r="IIE220" s="113"/>
      <c r="IIF220" s="114"/>
      <c r="IIG220" s="113"/>
      <c r="IIH220" s="115"/>
      <c r="III220" s="115"/>
      <c r="IIJ220" s="113"/>
      <c r="IIK220" s="113"/>
      <c r="IIL220" s="113"/>
      <c r="IIM220" s="113"/>
      <c r="IIN220" s="114"/>
      <c r="IIO220" s="113"/>
      <c r="IIP220" s="115"/>
      <c r="IIQ220" s="115"/>
      <c r="IIR220" s="113"/>
      <c r="IIS220" s="113"/>
      <c r="IIT220" s="113"/>
      <c r="IIU220" s="113"/>
      <c r="IIV220" s="114"/>
      <c r="IIW220" s="113"/>
      <c r="IIX220" s="115"/>
      <c r="IIY220" s="115"/>
      <c r="IIZ220" s="113"/>
      <c r="IJA220" s="113"/>
      <c r="IJB220" s="113"/>
      <c r="IJC220" s="113"/>
      <c r="IJD220" s="114"/>
      <c r="IJE220" s="113"/>
      <c r="IJF220" s="115"/>
      <c r="IJG220" s="115"/>
      <c r="IJH220" s="113"/>
      <c r="IJI220" s="113"/>
      <c r="IJJ220" s="113"/>
      <c r="IJK220" s="113"/>
      <c r="IJL220" s="114"/>
      <c r="IJM220" s="113"/>
      <c r="IJN220" s="115"/>
      <c r="IJO220" s="115"/>
      <c r="IJP220" s="113"/>
      <c r="IJQ220" s="113"/>
      <c r="IJR220" s="113"/>
      <c r="IJS220" s="113"/>
      <c r="IJT220" s="114"/>
      <c r="IJU220" s="113"/>
      <c r="IJV220" s="115"/>
      <c r="IJW220" s="115"/>
      <c r="IJX220" s="113"/>
      <c r="IJY220" s="113"/>
      <c r="IJZ220" s="113"/>
      <c r="IKA220" s="113"/>
      <c r="IKB220" s="114"/>
      <c r="IKC220" s="113"/>
      <c r="IKD220" s="115"/>
      <c r="IKE220" s="115"/>
      <c r="IKF220" s="113"/>
      <c r="IKG220" s="113"/>
      <c r="IKH220" s="113"/>
      <c r="IKI220" s="113"/>
      <c r="IKJ220" s="114"/>
      <c r="IKK220" s="113"/>
      <c r="IKL220" s="115"/>
      <c r="IKM220" s="115"/>
      <c r="IKN220" s="113"/>
      <c r="IKO220" s="113"/>
      <c r="IKP220" s="113"/>
      <c r="IKQ220" s="113"/>
      <c r="IKR220" s="114"/>
      <c r="IKS220" s="113"/>
      <c r="IKT220" s="115"/>
      <c r="IKU220" s="115"/>
      <c r="IKV220" s="113"/>
      <c r="IKW220" s="113"/>
      <c r="IKX220" s="113"/>
      <c r="IKY220" s="113"/>
      <c r="IKZ220" s="114"/>
      <c r="ILA220" s="113"/>
      <c r="ILB220" s="115"/>
      <c r="ILC220" s="115"/>
      <c r="ILD220" s="113"/>
      <c r="ILE220" s="113"/>
      <c r="ILF220" s="113"/>
      <c r="ILG220" s="113"/>
      <c r="ILH220" s="114"/>
      <c r="ILI220" s="113"/>
      <c r="ILJ220" s="115"/>
      <c r="ILK220" s="115"/>
      <c r="ILL220" s="113"/>
      <c r="ILM220" s="113"/>
      <c r="ILN220" s="113"/>
      <c r="ILO220" s="113"/>
      <c r="ILP220" s="114"/>
      <c r="ILQ220" s="113"/>
      <c r="ILR220" s="115"/>
      <c r="ILS220" s="115"/>
      <c r="ILT220" s="113"/>
      <c r="ILU220" s="113"/>
      <c r="ILV220" s="113"/>
      <c r="ILW220" s="113"/>
      <c r="ILX220" s="114"/>
      <c r="ILY220" s="113"/>
      <c r="ILZ220" s="115"/>
      <c r="IMA220" s="115"/>
      <c r="IMB220" s="113"/>
      <c r="IMC220" s="113"/>
      <c r="IMD220" s="113"/>
      <c r="IME220" s="113"/>
      <c r="IMF220" s="114"/>
      <c r="IMG220" s="113"/>
      <c r="IMH220" s="115"/>
      <c r="IMI220" s="115"/>
      <c r="IMJ220" s="113"/>
      <c r="IMK220" s="113"/>
      <c r="IML220" s="113"/>
      <c r="IMM220" s="113"/>
      <c r="IMN220" s="114"/>
      <c r="IMO220" s="113"/>
      <c r="IMP220" s="115"/>
      <c r="IMQ220" s="115"/>
      <c r="IMR220" s="113"/>
      <c r="IMS220" s="113"/>
      <c r="IMT220" s="113"/>
      <c r="IMU220" s="113"/>
      <c r="IMV220" s="114"/>
      <c r="IMW220" s="113"/>
      <c r="IMX220" s="115"/>
      <c r="IMY220" s="115"/>
      <c r="IMZ220" s="113"/>
      <c r="INA220" s="113"/>
      <c r="INB220" s="113"/>
      <c r="INC220" s="113"/>
      <c r="IND220" s="114"/>
      <c r="INE220" s="113"/>
      <c r="INF220" s="115"/>
      <c r="ING220" s="115"/>
      <c r="INH220" s="113"/>
      <c r="INI220" s="113"/>
      <c r="INJ220" s="113"/>
      <c r="INK220" s="113"/>
      <c r="INL220" s="114"/>
      <c r="INM220" s="113"/>
      <c r="INN220" s="115"/>
      <c r="INO220" s="115"/>
      <c r="INP220" s="113"/>
      <c r="INQ220" s="113"/>
      <c r="INR220" s="113"/>
      <c r="INS220" s="113"/>
      <c r="INT220" s="114"/>
      <c r="INU220" s="113"/>
      <c r="INV220" s="115"/>
      <c r="INW220" s="115"/>
      <c r="INX220" s="113"/>
      <c r="INY220" s="113"/>
      <c r="INZ220" s="113"/>
      <c r="IOA220" s="113"/>
      <c r="IOB220" s="114"/>
      <c r="IOC220" s="113"/>
      <c r="IOD220" s="115"/>
      <c r="IOE220" s="115"/>
      <c r="IOF220" s="113"/>
      <c r="IOG220" s="113"/>
      <c r="IOH220" s="113"/>
      <c r="IOI220" s="113"/>
      <c r="IOJ220" s="114"/>
      <c r="IOK220" s="113"/>
      <c r="IOL220" s="115"/>
      <c r="IOM220" s="115"/>
      <c r="ION220" s="113"/>
      <c r="IOO220" s="113"/>
      <c r="IOP220" s="113"/>
      <c r="IOQ220" s="113"/>
      <c r="IOR220" s="114"/>
      <c r="IOS220" s="113"/>
      <c r="IOT220" s="115"/>
      <c r="IOU220" s="115"/>
      <c r="IOV220" s="113"/>
      <c r="IOW220" s="113"/>
      <c r="IOX220" s="113"/>
      <c r="IOY220" s="113"/>
      <c r="IOZ220" s="114"/>
      <c r="IPA220" s="113"/>
      <c r="IPB220" s="115"/>
      <c r="IPC220" s="115"/>
      <c r="IPD220" s="113"/>
      <c r="IPE220" s="113"/>
      <c r="IPF220" s="113"/>
      <c r="IPG220" s="113"/>
      <c r="IPH220" s="114"/>
      <c r="IPI220" s="113"/>
      <c r="IPJ220" s="115"/>
      <c r="IPK220" s="115"/>
      <c r="IPL220" s="113"/>
      <c r="IPM220" s="113"/>
      <c r="IPN220" s="113"/>
      <c r="IPO220" s="113"/>
      <c r="IPP220" s="114"/>
      <c r="IPQ220" s="113"/>
      <c r="IPR220" s="115"/>
      <c r="IPS220" s="115"/>
      <c r="IPT220" s="113"/>
      <c r="IPU220" s="113"/>
      <c r="IPV220" s="113"/>
      <c r="IPW220" s="113"/>
      <c r="IPX220" s="114"/>
      <c r="IPY220" s="113"/>
      <c r="IPZ220" s="115"/>
      <c r="IQA220" s="115"/>
      <c r="IQB220" s="113"/>
      <c r="IQC220" s="113"/>
      <c r="IQD220" s="113"/>
      <c r="IQE220" s="113"/>
      <c r="IQF220" s="114"/>
      <c r="IQG220" s="113"/>
      <c r="IQH220" s="115"/>
      <c r="IQI220" s="115"/>
      <c r="IQJ220" s="113"/>
      <c r="IQK220" s="113"/>
      <c r="IQL220" s="113"/>
      <c r="IQM220" s="113"/>
      <c r="IQN220" s="114"/>
      <c r="IQO220" s="113"/>
      <c r="IQP220" s="115"/>
      <c r="IQQ220" s="115"/>
      <c r="IQR220" s="113"/>
      <c r="IQS220" s="113"/>
      <c r="IQT220" s="113"/>
      <c r="IQU220" s="113"/>
      <c r="IQV220" s="114"/>
      <c r="IQW220" s="113"/>
      <c r="IQX220" s="115"/>
      <c r="IQY220" s="115"/>
      <c r="IQZ220" s="113"/>
      <c r="IRA220" s="113"/>
      <c r="IRB220" s="113"/>
      <c r="IRC220" s="113"/>
      <c r="IRD220" s="114"/>
      <c r="IRE220" s="113"/>
      <c r="IRF220" s="115"/>
      <c r="IRG220" s="115"/>
      <c r="IRH220" s="113"/>
      <c r="IRI220" s="113"/>
      <c r="IRJ220" s="113"/>
      <c r="IRK220" s="113"/>
      <c r="IRL220" s="114"/>
      <c r="IRM220" s="113"/>
      <c r="IRN220" s="115"/>
      <c r="IRO220" s="115"/>
      <c r="IRP220" s="113"/>
      <c r="IRQ220" s="113"/>
      <c r="IRR220" s="113"/>
      <c r="IRS220" s="113"/>
      <c r="IRT220" s="114"/>
      <c r="IRU220" s="113"/>
      <c r="IRV220" s="115"/>
      <c r="IRW220" s="115"/>
      <c r="IRX220" s="113"/>
      <c r="IRY220" s="113"/>
      <c r="IRZ220" s="113"/>
      <c r="ISA220" s="113"/>
      <c r="ISB220" s="114"/>
      <c r="ISC220" s="113"/>
      <c r="ISD220" s="115"/>
      <c r="ISE220" s="115"/>
      <c r="ISF220" s="113"/>
      <c r="ISG220" s="113"/>
      <c r="ISH220" s="113"/>
      <c r="ISI220" s="113"/>
      <c r="ISJ220" s="114"/>
      <c r="ISK220" s="113"/>
      <c r="ISL220" s="115"/>
      <c r="ISM220" s="115"/>
      <c r="ISN220" s="113"/>
      <c r="ISO220" s="113"/>
      <c r="ISP220" s="113"/>
      <c r="ISQ220" s="113"/>
      <c r="ISR220" s="114"/>
      <c r="ISS220" s="113"/>
      <c r="IST220" s="115"/>
      <c r="ISU220" s="115"/>
      <c r="ISV220" s="113"/>
      <c r="ISW220" s="113"/>
      <c r="ISX220" s="113"/>
      <c r="ISY220" s="113"/>
      <c r="ISZ220" s="114"/>
      <c r="ITA220" s="113"/>
      <c r="ITB220" s="115"/>
      <c r="ITC220" s="115"/>
      <c r="ITD220" s="113"/>
      <c r="ITE220" s="113"/>
      <c r="ITF220" s="113"/>
      <c r="ITG220" s="113"/>
      <c r="ITH220" s="114"/>
      <c r="ITI220" s="113"/>
      <c r="ITJ220" s="115"/>
      <c r="ITK220" s="115"/>
      <c r="ITL220" s="113"/>
      <c r="ITM220" s="113"/>
      <c r="ITN220" s="113"/>
      <c r="ITO220" s="113"/>
      <c r="ITP220" s="114"/>
      <c r="ITQ220" s="113"/>
      <c r="ITR220" s="115"/>
      <c r="ITS220" s="115"/>
      <c r="ITT220" s="113"/>
      <c r="ITU220" s="113"/>
      <c r="ITV220" s="113"/>
      <c r="ITW220" s="113"/>
      <c r="ITX220" s="114"/>
      <c r="ITY220" s="113"/>
      <c r="ITZ220" s="115"/>
      <c r="IUA220" s="115"/>
      <c r="IUB220" s="113"/>
      <c r="IUC220" s="113"/>
      <c r="IUD220" s="113"/>
      <c r="IUE220" s="113"/>
      <c r="IUF220" s="114"/>
      <c r="IUG220" s="113"/>
      <c r="IUH220" s="115"/>
      <c r="IUI220" s="115"/>
      <c r="IUJ220" s="113"/>
      <c r="IUK220" s="113"/>
      <c r="IUL220" s="113"/>
      <c r="IUM220" s="113"/>
      <c r="IUN220" s="114"/>
      <c r="IUO220" s="113"/>
      <c r="IUP220" s="115"/>
      <c r="IUQ220" s="115"/>
      <c r="IUR220" s="113"/>
      <c r="IUS220" s="113"/>
      <c r="IUT220" s="113"/>
      <c r="IUU220" s="113"/>
      <c r="IUV220" s="114"/>
      <c r="IUW220" s="113"/>
      <c r="IUX220" s="115"/>
      <c r="IUY220" s="115"/>
      <c r="IUZ220" s="113"/>
      <c r="IVA220" s="113"/>
      <c r="IVB220" s="113"/>
      <c r="IVC220" s="113"/>
      <c r="IVD220" s="114"/>
      <c r="IVE220" s="113"/>
      <c r="IVF220" s="115"/>
      <c r="IVG220" s="115"/>
      <c r="IVH220" s="113"/>
      <c r="IVI220" s="113"/>
      <c r="IVJ220" s="113"/>
      <c r="IVK220" s="113"/>
      <c r="IVL220" s="114"/>
      <c r="IVM220" s="113"/>
      <c r="IVN220" s="115"/>
      <c r="IVO220" s="115"/>
      <c r="IVP220" s="113"/>
      <c r="IVQ220" s="113"/>
      <c r="IVR220" s="113"/>
      <c r="IVS220" s="113"/>
      <c r="IVT220" s="114"/>
      <c r="IVU220" s="113"/>
      <c r="IVV220" s="115"/>
      <c r="IVW220" s="115"/>
      <c r="IVX220" s="113"/>
      <c r="IVY220" s="113"/>
      <c r="IVZ220" s="113"/>
      <c r="IWA220" s="113"/>
      <c r="IWB220" s="114"/>
      <c r="IWC220" s="113"/>
      <c r="IWD220" s="115"/>
      <c r="IWE220" s="115"/>
      <c r="IWF220" s="113"/>
      <c r="IWG220" s="113"/>
      <c r="IWH220" s="113"/>
      <c r="IWI220" s="113"/>
      <c r="IWJ220" s="114"/>
      <c r="IWK220" s="113"/>
      <c r="IWL220" s="115"/>
      <c r="IWM220" s="115"/>
      <c r="IWN220" s="113"/>
      <c r="IWO220" s="113"/>
      <c r="IWP220" s="113"/>
      <c r="IWQ220" s="113"/>
      <c r="IWR220" s="114"/>
      <c r="IWS220" s="113"/>
      <c r="IWT220" s="115"/>
      <c r="IWU220" s="115"/>
      <c r="IWV220" s="113"/>
      <c r="IWW220" s="113"/>
      <c r="IWX220" s="113"/>
      <c r="IWY220" s="113"/>
      <c r="IWZ220" s="114"/>
      <c r="IXA220" s="113"/>
      <c r="IXB220" s="115"/>
      <c r="IXC220" s="115"/>
      <c r="IXD220" s="113"/>
      <c r="IXE220" s="113"/>
      <c r="IXF220" s="113"/>
      <c r="IXG220" s="113"/>
      <c r="IXH220" s="114"/>
      <c r="IXI220" s="113"/>
      <c r="IXJ220" s="115"/>
      <c r="IXK220" s="115"/>
      <c r="IXL220" s="113"/>
      <c r="IXM220" s="113"/>
      <c r="IXN220" s="113"/>
      <c r="IXO220" s="113"/>
      <c r="IXP220" s="114"/>
      <c r="IXQ220" s="113"/>
      <c r="IXR220" s="115"/>
      <c r="IXS220" s="115"/>
      <c r="IXT220" s="113"/>
      <c r="IXU220" s="113"/>
      <c r="IXV220" s="113"/>
      <c r="IXW220" s="113"/>
      <c r="IXX220" s="114"/>
      <c r="IXY220" s="113"/>
      <c r="IXZ220" s="115"/>
      <c r="IYA220" s="115"/>
      <c r="IYB220" s="113"/>
      <c r="IYC220" s="113"/>
      <c r="IYD220" s="113"/>
      <c r="IYE220" s="113"/>
      <c r="IYF220" s="114"/>
      <c r="IYG220" s="113"/>
      <c r="IYH220" s="115"/>
      <c r="IYI220" s="115"/>
      <c r="IYJ220" s="113"/>
      <c r="IYK220" s="113"/>
      <c r="IYL220" s="113"/>
      <c r="IYM220" s="113"/>
      <c r="IYN220" s="114"/>
      <c r="IYO220" s="113"/>
      <c r="IYP220" s="115"/>
      <c r="IYQ220" s="115"/>
      <c r="IYR220" s="113"/>
      <c r="IYS220" s="113"/>
      <c r="IYT220" s="113"/>
      <c r="IYU220" s="113"/>
      <c r="IYV220" s="114"/>
      <c r="IYW220" s="113"/>
      <c r="IYX220" s="115"/>
      <c r="IYY220" s="115"/>
      <c r="IYZ220" s="113"/>
      <c r="IZA220" s="113"/>
      <c r="IZB220" s="113"/>
      <c r="IZC220" s="113"/>
      <c r="IZD220" s="114"/>
      <c r="IZE220" s="113"/>
      <c r="IZF220" s="115"/>
      <c r="IZG220" s="115"/>
      <c r="IZH220" s="113"/>
      <c r="IZI220" s="113"/>
      <c r="IZJ220" s="113"/>
      <c r="IZK220" s="113"/>
      <c r="IZL220" s="114"/>
      <c r="IZM220" s="113"/>
      <c r="IZN220" s="115"/>
      <c r="IZO220" s="115"/>
      <c r="IZP220" s="113"/>
      <c r="IZQ220" s="113"/>
      <c r="IZR220" s="113"/>
      <c r="IZS220" s="113"/>
      <c r="IZT220" s="114"/>
      <c r="IZU220" s="113"/>
      <c r="IZV220" s="115"/>
      <c r="IZW220" s="115"/>
      <c r="IZX220" s="113"/>
      <c r="IZY220" s="113"/>
      <c r="IZZ220" s="113"/>
      <c r="JAA220" s="113"/>
      <c r="JAB220" s="114"/>
      <c r="JAC220" s="113"/>
      <c r="JAD220" s="115"/>
      <c r="JAE220" s="115"/>
      <c r="JAF220" s="113"/>
      <c r="JAG220" s="113"/>
      <c r="JAH220" s="113"/>
      <c r="JAI220" s="113"/>
      <c r="JAJ220" s="114"/>
      <c r="JAK220" s="113"/>
      <c r="JAL220" s="115"/>
      <c r="JAM220" s="115"/>
      <c r="JAN220" s="113"/>
      <c r="JAO220" s="113"/>
      <c r="JAP220" s="113"/>
      <c r="JAQ220" s="113"/>
      <c r="JAR220" s="114"/>
      <c r="JAS220" s="113"/>
      <c r="JAT220" s="115"/>
      <c r="JAU220" s="115"/>
      <c r="JAV220" s="113"/>
      <c r="JAW220" s="113"/>
      <c r="JAX220" s="113"/>
      <c r="JAY220" s="113"/>
      <c r="JAZ220" s="114"/>
      <c r="JBA220" s="113"/>
      <c r="JBB220" s="115"/>
      <c r="JBC220" s="115"/>
      <c r="JBD220" s="113"/>
      <c r="JBE220" s="113"/>
      <c r="JBF220" s="113"/>
      <c r="JBG220" s="113"/>
      <c r="JBH220" s="114"/>
      <c r="JBI220" s="113"/>
      <c r="JBJ220" s="115"/>
      <c r="JBK220" s="115"/>
      <c r="JBL220" s="113"/>
      <c r="JBM220" s="113"/>
      <c r="JBN220" s="113"/>
      <c r="JBO220" s="113"/>
      <c r="JBP220" s="114"/>
      <c r="JBQ220" s="113"/>
      <c r="JBR220" s="115"/>
      <c r="JBS220" s="115"/>
      <c r="JBT220" s="113"/>
      <c r="JBU220" s="113"/>
      <c r="JBV220" s="113"/>
      <c r="JBW220" s="113"/>
      <c r="JBX220" s="114"/>
      <c r="JBY220" s="113"/>
      <c r="JBZ220" s="115"/>
      <c r="JCA220" s="115"/>
      <c r="JCB220" s="113"/>
      <c r="JCC220" s="113"/>
      <c r="JCD220" s="113"/>
      <c r="JCE220" s="113"/>
      <c r="JCF220" s="114"/>
      <c r="JCG220" s="113"/>
      <c r="JCH220" s="115"/>
      <c r="JCI220" s="115"/>
      <c r="JCJ220" s="113"/>
      <c r="JCK220" s="113"/>
      <c r="JCL220" s="113"/>
      <c r="JCM220" s="113"/>
      <c r="JCN220" s="114"/>
      <c r="JCO220" s="113"/>
      <c r="JCP220" s="115"/>
      <c r="JCQ220" s="115"/>
      <c r="JCR220" s="113"/>
      <c r="JCS220" s="113"/>
      <c r="JCT220" s="113"/>
      <c r="JCU220" s="113"/>
      <c r="JCV220" s="114"/>
      <c r="JCW220" s="113"/>
      <c r="JCX220" s="115"/>
      <c r="JCY220" s="115"/>
      <c r="JCZ220" s="113"/>
      <c r="JDA220" s="113"/>
      <c r="JDB220" s="113"/>
      <c r="JDC220" s="113"/>
      <c r="JDD220" s="114"/>
      <c r="JDE220" s="113"/>
      <c r="JDF220" s="115"/>
      <c r="JDG220" s="115"/>
      <c r="JDH220" s="113"/>
      <c r="JDI220" s="113"/>
      <c r="JDJ220" s="113"/>
      <c r="JDK220" s="113"/>
      <c r="JDL220" s="114"/>
      <c r="JDM220" s="113"/>
      <c r="JDN220" s="115"/>
      <c r="JDO220" s="115"/>
      <c r="JDP220" s="113"/>
      <c r="JDQ220" s="113"/>
      <c r="JDR220" s="113"/>
      <c r="JDS220" s="113"/>
      <c r="JDT220" s="114"/>
      <c r="JDU220" s="113"/>
      <c r="JDV220" s="115"/>
      <c r="JDW220" s="115"/>
      <c r="JDX220" s="113"/>
      <c r="JDY220" s="113"/>
      <c r="JDZ220" s="113"/>
      <c r="JEA220" s="113"/>
      <c r="JEB220" s="114"/>
      <c r="JEC220" s="113"/>
      <c r="JED220" s="115"/>
      <c r="JEE220" s="115"/>
      <c r="JEF220" s="113"/>
      <c r="JEG220" s="113"/>
      <c r="JEH220" s="113"/>
      <c r="JEI220" s="113"/>
      <c r="JEJ220" s="114"/>
      <c r="JEK220" s="113"/>
      <c r="JEL220" s="115"/>
      <c r="JEM220" s="115"/>
      <c r="JEN220" s="113"/>
      <c r="JEO220" s="113"/>
      <c r="JEP220" s="113"/>
      <c r="JEQ220" s="113"/>
      <c r="JER220" s="114"/>
      <c r="JES220" s="113"/>
      <c r="JET220" s="115"/>
      <c r="JEU220" s="115"/>
      <c r="JEV220" s="113"/>
      <c r="JEW220" s="113"/>
      <c r="JEX220" s="113"/>
      <c r="JEY220" s="113"/>
      <c r="JEZ220" s="114"/>
      <c r="JFA220" s="113"/>
      <c r="JFB220" s="115"/>
      <c r="JFC220" s="115"/>
      <c r="JFD220" s="113"/>
      <c r="JFE220" s="113"/>
      <c r="JFF220" s="113"/>
      <c r="JFG220" s="113"/>
      <c r="JFH220" s="114"/>
      <c r="JFI220" s="113"/>
      <c r="JFJ220" s="115"/>
      <c r="JFK220" s="115"/>
      <c r="JFL220" s="113"/>
      <c r="JFM220" s="113"/>
      <c r="JFN220" s="113"/>
      <c r="JFO220" s="113"/>
      <c r="JFP220" s="114"/>
      <c r="JFQ220" s="113"/>
      <c r="JFR220" s="115"/>
      <c r="JFS220" s="115"/>
      <c r="JFT220" s="113"/>
      <c r="JFU220" s="113"/>
      <c r="JFV220" s="113"/>
      <c r="JFW220" s="113"/>
      <c r="JFX220" s="114"/>
      <c r="JFY220" s="113"/>
      <c r="JFZ220" s="115"/>
      <c r="JGA220" s="115"/>
      <c r="JGB220" s="113"/>
      <c r="JGC220" s="113"/>
      <c r="JGD220" s="113"/>
      <c r="JGE220" s="113"/>
      <c r="JGF220" s="114"/>
      <c r="JGG220" s="113"/>
      <c r="JGH220" s="115"/>
      <c r="JGI220" s="115"/>
      <c r="JGJ220" s="113"/>
      <c r="JGK220" s="113"/>
      <c r="JGL220" s="113"/>
      <c r="JGM220" s="113"/>
      <c r="JGN220" s="114"/>
      <c r="JGO220" s="113"/>
      <c r="JGP220" s="115"/>
      <c r="JGQ220" s="115"/>
      <c r="JGR220" s="113"/>
      <c r="JGS220" s="113"/>
      <c r="JGT220" s="113"/>
      <c r="JGU220" s="113"/>
      <c r="JGV220" s="114"/>
      <c r="JGW220" s="113"/>
      <c r="JGX220" s="115"/>
      <c r="JGY220" s="115"/>
      <c r="JGZ220" s="113"/>
      <c r="JHA220" s="113"/>
      <c r="JHB220" s="113"/>
      <c r="JHC220" s="113"/>
      <c r="JHD220" s="114"/>
      <c r="JHE220" s="113"/>
      <c r="JHF220" s="115"/>
      <c r="JHG220" s="115"/>
      <c r="JHH220" s="113"/>
      <c r="JHI220" s="113"/>
      <c r="JHJ220" s="113"/>
      <c r="JHK220" s="113"/>
      <c r="JHL220" s="114"/>
      <c r="JHM220" s="113"/>
      <c r="JHN220" s="115"/>
      <c r="JHO220" s="115"/>
      <c r="JHP220" s="113"/>
      <c r="JHQ220" s="113"/>
      <c r="JHR220" s="113"/>
      <c r="JHS220" s="113"/>
      <c r="JHT220" s="114"/>
      <c r="JHU220" s="113"/>
      <c r="JHV220" s="115"/>
      <c r="JHW220" s="115"/>
      <c r="JHX220" s="113"/>
      <c r="JHY220" s="113"/>
      <c r="JHZ220" s="113"/>
      <c r="JIA220" s="113"/>
      <c r="JIB220" s="114"/>
      <c r="JIC220" s="113"/>
      <c r="JID220" s="115"/>
      <c r="JIE220" s="115"/>
      <c r="JIF220" s="113"/>
      <c r="JIG220" s="113"/>
      <c r="JIH220" s="113"/>
      <c r="JII220" s="113"/>
      <c r="JIJ220" s="114"/>
      <c r="JIK220" s="113"/>
      <c r="JIL220" s="115"/>
      <c r="JIM220" s="115"/>
      <c r="JIN220" s="113"/>
      <c r="JIO220" s="113"/>
      <c r="JIP220" s="113"/>
      <c r="JIQ220" s="113"/>
      <c r="JIR220" s="114"/>
      <c r="JIS220" s="113"/>
      <c r="JIT220" s="115"/>
      <c r="JIU220" s="115"/>
      <c r="JIV220" s="113"/>
      <c r="JIW220" s="113"/>
      <c r="JIX220" s="113"/>
      <c r="JIY220" s="113"/>
      <c r="JIZ220" s="114"/>
      <c r="JJA220" s="113"/>
      <c r="JJB220" s="115"/>
      <c r="JJC220" s="115"/>
      <c r="JJD220" s="113"/>
      <c r="JJE220" s="113"/>
      <c r="JJF220" s="113"/>
      <c r="JJG220" s="113"/>
      <c r="JJH220" s="114"/>
      <c r="JJI220" s="113"/>
      <c r="JJJ220" s="115"/>
      <c r="JJK220" s="115"/>
      <c r="JJL220" s="113"/>
      <c r="JJM220" s="113"/>
      <c r="JJN220" s="113"/>
      <c r="JJO220" s="113"/>
      <c r="JJP220" s="114"/>
      <c r="JJQ220" s="113"/>
      <c r="JJR220" s="115"/>
      <c r="JJS220" s="115"/>
      <c r="JJT220" s="113"/>
      <c r="JJU220" s="113"/>
      <c r="JJV220" s="113"/>
      <c r="JJW220" s="113"/>
      <c r="JJX220" s="114"/>
      <c r="JJY220" s="113"/>
      <c r="JJZ220" s="115"/>
      <c r="JKA220" s="115"/>
      <c r="JKB220" s="113"/>
      <c r="JKC220" s="113"/>
      <c r="JKD220" s="113"/>
      <c r="JKE220" s="113"/>
      <c r="JKF220" s="114"/>
      <c r="JKG220" s="113"/>
      <c r="JKH220" s="115"/>
      <c r="JKI220" s="115"/>
      <c r="JKJ220" s="113"/>
      <c r="JKK220" s="113"/>
      <c r="JKL220" s="113"/>
      <c r="JKM220" s="113"/>
      <c r="JKN220" s="114"/>
      <c r="JKO220" s="113"/>
      <c r="JKP220" s="115"/>
      <c r="JKQ220" s="115"/>
      <c r="JKR220" s="113"/>
      <c r="JKS220" s="113"/>
      <c r="JKT220" s="113"/>
      <c r="JKU220" s="113"/>
      <c r="JKV220" s="114"/>
      <c r="JKW220" s="113"/>
      <c r="JKX220" s="115"/>
      <c r="JKY220" s="115"/>
      <c r="JKZ220" s="113"/>
      <c r="JLA220" s="113"/>
      <c r="JLB220" s="113"/>
      <c r="JLC220" s="113"/>
      <c r="JLD220" s="114"/>
      <c r="JLE220" s="113"/>
      <c r="JLF220" s="115"/>
      <c r="JLG220" s="115"/>
      <c r="JLH220" s="113"/>
      <c r="JLI220" s="113"/>
      <c r="JLJ220" s="113"/>
      <c r="JLK220" s="113"/>
      <c r="JLL220" s="114"/>
      <c r="JLM220" s="113"/>
      <c r="JLN220" s="115"/>
      <c r="JLO220" s="115"/>
      <c r="JLP220" s="113"/>
      <c r="JLQ220" s="113"/>
      <c r="JLR220" s="113"/>
      <c r="JLS220" s="113"/>
      <c r="JLT220" s="114"/>
      <c r="JLU220" s="113"/>
      <c r="JLV220" s="115"/>
      <c r="JLW220" s="115"/>
      <c r="JLX220" s="113"/>
      <c r="JLY220" s="113"/>
      <c r="JLZ220" s="113"/>
      <c r="JMA220" s="113"/>
      <c r="JMB220" s="114"/>
      <c r="JMC220" s="113"/>
      <c r="JMD220" s="115"/>
      <c r="JME220" s="115"/>
      <c r="JMF220" s="113"/>
      <c r="JMG220" s="113"/>
      <c r="JMH220" s="113"/>
      <c r="JMI220" s="113"/>
      <c r="JMJ220" s="114"/>
      <c r="JMK220" s="113"/>
      <c r="JML220" s="115"/>
      <c r="JMM220" s="115"/>
      <c r="JMN220" s="113"/>
      <c r="JMO220" s="113"/>
      <c r="JMP220" s="113"/>
      <c r="JMQ220" s="113"/>
      <c r="JMR220" s="114"/>
      <c r="JMS220" s="113"/>
      <c r="JMT220" s="115"/>
      <c r="JMU220" s="115"/>
      <c r="JMV220" s="113"/>
      <c r="JMW220" s="113"/>
      <c r="JMX220" s="113"/>
      <c r="JMY220" s="113"/>
      <c r="JMZ220" s="114"/>
      <c r="JNA220" s="113"/>
      <c r="JNB220" s="115"/>
      <c r="JNC220" s="115"/>
      <c r="JND220" s="113"/>
      <c r="JNE220" s="113"/>
      <c r="JNF220" s="113"/>
      <c r="JNG220" s="113"/>
      <c r="JNH220" s="114"/>
      <c r="JNI220" s="113"/>
      <c r="JNJ220" s="115"/>
      <c r="JNK220" s="115"/>
      <c r="JNL220" s="113"/>
      <c r="JNM220" s="113"/>
      <c r="JNN220" s="113"/>
      <c r="JNO220" s="113"/>
      <c r="JNP220" s="114"/>
      <c r="JNQ220" s="113"/>
      <c r="JNR220" s="115"/>
      <c r="JNS220" s="115"/>
      <c r="JNT220" s="113"/>
      <c r="JNU220" s="113"/>
      <c r="JNV220" s="113"/>
      <c r="JNW220" s="113"/>
      <c r="JNX220" s="114"/>
      <c r="JNY220" s="113"/>
      <c r="JNZ220" s="115"/>
      <c r="JOA220" s="115"/>
      <c r="JOB220" s="113"/>
      <c r="JOC220" s="113"/>
      <c r="JOD220" s="113"/>
      <c r="JOE220" s="113"/>
      <c r="JOF220" s="114"/>
      <c r="JOG220" s="113"/>
      <c r="JOH220" s="115"/>
      <c r="JOI220" s="115"/>
      <c r="JOJ220" s="113"/>
      <c r="JOK220" s="113"/>
      <c r="JOL220" s="113"/>
      <c r="JOM220" s="113"/>
      <c r="JON220" s="114"/>
      <c r="JOO220" s="113"/>
      <c r="JOP220" s="115"/>
      <c r="JOQ220" s="115"/>
      <c r="JOR220" s="113"/>
      <c r="JOS220" s="113"/>
      <c r="JOT220" s="113"/>
      <c r="JOU220" s="113"/>
      <c r="JOV220" s="114"/>
      <c r="JOW220" s="113"/>
      <c r="JOX220" s="115"/>
      <c r="JOY220" s="115"/>
      <c r="JOZ220" s="113"/>
      <c r="JPA220" s="113"/>
      <c r="JPB220" s="113"/>
      <c r="JPC220" s="113"/>
      <c r="JPD220" s="114"/>
      <c r="JPE220" s="113"/>
      <c r="JPF220" s="115"/>
      <c r="JPG220" s="115"/>
      <c r="JPH220" s="113"/>
      <c r="JPI220" s="113"/>
      <c r="JPJ220" s="113"/>
      <c r="JPK220" s="113"/>
      <c r="JPL220" s="114"/>
      <c r="JPM220" s="113"/>
      <c r="JPN220" s="115"/>
      <c r="JPO220" s="115"/>
      <c r="JPP220" s="113"/>
      <c r="JPQ220" s="113"/>
      <c r="JPR220" s="113"/>
      <c r="JPS220" s="113"/>
      <c r="JPT220" s="114"/>
      <c r="JPU220" s="113"/>
      <c r="JPV220" s="115"/>
      <c r="JPW220" s="115"/>
      <c r="JPX220" s="113"/>
      <c r="JPY220" s="113"/>
      <c r="JPZ220" s="113"/>
      <c r="JQA220" s="113"/>
      <c r="JQB220" s="114"/>
      <c r="JQC220" s="113"/>
      <c r="JQD220" s="115"/>
      <c r="JQE220" s="115"/>
      <c r="JQF220" s="113"/>
      <c r="JQG220" s="113"/>
      <c r="JQH220" s="113"/>
      <c r="JQI220" s="113"/>
      <c r="JQJ220" s="114"/>
      <c r="JQK220" s="113"/>
      <c r="JQL220" s="115"/>
      <c r="JQM220" s="115"/>
      <c r="JQN220" s="113"/>
      <c r="JQO220" s="113"/>
      <c r="JQP220" s="113"/>
      <c r="JQQ220" s="113"/>
      <c r="JQR220" s="114"/>
      <c r="JQS220" s="113"/>
      <c r="JQT220" s="115"/>
      <c r="JQU220" s="115"/>
      <c r="JQV220" s="113"/>
      <c r="JQW220" s="113"/>
      <c r="JQX220" s="113"/>
      <c r="JQY220" s="113"/>
      <c r="JQZ220" s="114"/>
      <c r="JRA220" s="113"/>
      <c r="JRB220" s="115"/>
      <c r="JRC220" s="115"/>
      <c r="JRD220" s="113"/>
      <c r="JRE220" s="113"/>
      <c r="JRF220" s="113"/>
      <c r="JRG220" s="113"/>
      <c r="JRH220" s="114"/>
      <c r="JRI220" s="113"/>
      <c r="JRJ220" s="115"/>
      <c r="JRK220" s="115"/>
      <c r="JRL220" s="113"/>
      <c r="JRM220" s="113"/>
      <c r="JRN220" s="113"/>
      <c r="JRO220" s="113"/>
      <c r="JRP220" s="114"/>
      <c r="JRQ220" s="113"/>
      <c r="JRR220" s="115"/>
      <c r="JRS220" s="115"/>
      <c r="JRT220" s="113"/>
      <c r="JRU220" s="113"/>
      <c r="JRV220" s="113"/>
      <c r="JRW220" s="113"/>
      <c r="JRX220" s="114"/>
      <c r="JRY220" s="113"/>
      <c r="JRZ220" s="115"/>
      <c r="JSA220" s="115"/>
      <c r="JSB220" s="113"/>
      <c r="JSC220" s="113"/>
      <c r="JSD220" s="113"/>
      <c r="JSE220" s="113"/>
      <c r="JSF220" s="114"/>
      <c r="JSG220" s="113"/>
      <c r="JSH220" s="115"/>
      <c r="JSI220" s="115"/>
      <c r="JSJ220" s="113"/>
      <c r="JSK220" s="113"/>
      <c r="JSL220" s="113"/>
      <c r="JSM220" s="113"/>
      <c r="JSN220" s="114"/>
      <c r="JSO220" s="113"/>
      <c r="JSP220" s="115"/>
      <c r="JSQ220" s="115"/>
      <c r="JSR220" s="113"/>
      <c r="JSS220" s="113"/>
      <c r="JST220" s="113"/>
      <c r="JSU220" s="113"/>
      <c r="JSV220" s="114"/>
      <c r="JSW220" s="113"/>
      <c r="JSX220" s="115"/>
      <c r="JSY220" s="115"/>
      <c r="JSZ220" s="113"/>
      <c r="JTA220" s="113"/>
      <c r="JTB220" s="113"/>
      <c r="JTC220" s="113"/>
      <c r="JTD220" s="114"/>
      <c r="JTE220" s="113"/>
      <c r="JTF220" s="115"/>
      <c r="JTG220" s="115"/>
      <c r="JTH220" s="113"/>
      <c r="JTI220" s="113"/>
      <c r="JTJ220" s="113"/>
      <c r="JTK220" s="113"/>
      <c r="JTL220" s="114"/>
      <c r="JTM220" s="113"/>
      <c r="JTN220" s="115"/>
      <c r="JTO220" s="115"/>
      <c r="JTP220" s="113"/>
      <c r="JTQ220" s="113"/>
      <c r="JTR220" s="113"/>
      <c r="JTS220" s="113"/>
      <c r="JTT220" s="114"/>
      <c r="JTU220" s="113"/>
      <c r="JTV220" s="115"/>
      <c r="JTW220" s="115"/>
      <c r="JTX220" s="113"/>
      <c r="JTY220" s="113"/>
      <c r="JTZ220" s="113"/>
      <c r="JUA220" s="113"/>
      <c r="JUB220" s="114"/>
      <c r="JUC220" s="113"/>
      <c r="JUD220" s="115"/>
      <c r="JUE220" s="115"/>
      <c r="JUF220" s="113"/>
      <c r="JUG220" s="113"/>
      <c r="JUH220" s="113"/>
      <c r="JUI220" s="113"/>
      <c r="JUJ220" s="114"/>
      <c r="JUK220" s="113"/>
      <c r="JUL220" s="115"/>
      <c r="JUM220" s="115"/>
      <c r="JUN220" s="113"/>
      <c r="JUO220" s="113"/>
      <c r="JUP220" s="113"/>
      <c r="JUQ220" s="113"/>
      <c r="JUR220" s="114"/>
      <c r="JUS220" s="113"/>
      <c r="JUT220" s="115"/>
      <c r="JUU220" s="115"/>
      <c r="JUV220" s="113"/>
      <c r="JUW220" s="113"/>
      <c r="JUX220" s="113"/>
      <c r="JUY220" s="113"/>
      <c r="JUZ220" s="114"/>
      <c r="JVA220" s="113"/>
      <c r="JVB220" s="115"/>
      <c r="JVC220" s="115"/>
      <c r="JVD220" s="113"/>
      <c r="JVE220" s="113"/>
      <c r="JVF220" s="113"/>
      <c r="JVG220" s="113"/>
      <c r="JVH220" s="114"/>
      <c r="JVI220" s="113"/>
      <c r="JVJ220" s="115"/>
      <c r="JVK220" s="115"/>
      <c r="JVL220" s="113"/>
      <c r="JVM220" s="113"/>
      <c r="JVN220" s="113"/>
      <c r="JVO220" s="113"/>
      <c r="JVP220" s="114"/>
      <c r="JVQ220" s="113"/>
      <c r="JVR220" s="115"/>
      <c r="JVS220" s="115"/>
      <c r="JVT220" s="113"/>
      <c r="JVU220" s="113"/>
      <c r="JVV220" s="113"/>
      <c r="JVW220" s="113"/>
      <c r="JVX220" s="114"/>
      <c r="JVY220" s="113"/>
      <c r="JVZ220" s="115"/>
      <c r="JWA220" s="115"/>
      <c r="JWB220" s="113"/>
      <c r="JWC220" s="113"/>
      <c r="JWD220" s="113"/>
      <c r="JWE220" s="113"/>
      <c r="JWF220" s="114"/>
      <c r="JWG220" s="113"/>
      <c r="JWH220" s="115"/>
      <c r="JWI220" s="115"/>
      <c r="JWJ220" s="113"/>
      <c r="JWK220" s="113"/>
      <c r="JWL220" s="113"/>
      <c r="JWM220" s="113"/>
      <c r="JWN220" s="114"/>
      <c r="JWO220" s="113"/>
      <c r="JWP220" s="115"/>
      <c r="JWQ220" s="115"/>
      <c r="JWR220" s="113"/>
      <c r="JWS220" s="113"/>
      <c r="JWT220" s="113"/>
      <c r="JWU220" s="113"/>
      <c r="JWV220" s="114"/>
      <c r="JWW220" s="113"/>
      <c r="JWX220" s="115"/>
      <c r="JWY220" s="115"/>
      <c r="JWZ220" s="113"/>
      <c r="JXA220" s="113"/>
      <c r="JXB220" s="113"/>
      <c r="JXC220" s="113"/>
      <c r="JXD220" s="114"/>
      <c r="JXE220" s="113"/>
      <c r="JXF220" s="115"/>
      <c r="JXG220" s="115"/>
      <c r="JXH220" s="113"/>
      <c r="JXI220" s="113"/>
      <c r="JXJ220" s="113"/>
      <c r="JXK220" s="113"/>
      <c r="JXL220" s="114"/>
      <c r="JXM220" s="113"/>
      <c r="JXN220" s="115"/>
      <c r="JXO220" s="115"/>
      <c r="JXP220" s="113"/>
      <c r="JXQ220" s="113"/>
      <c r="JXR220" s="113"/>
      <c r="JXS220" s="113"/>
      <c r="JXT220" s="114"/>
      <c r="JXU220" s="113"/>
      <c r="JXV220" s="115"/>
      <c r="JXW220" s="115"/>
      <c r="JXX220" s="113"/>
      <c r="JXY220" s="113"/>
      <c r="JXZ220" s="113"/>
      <c r="JYA220" s="113"/>
      <c r="JYB220" s="114"/>
      <c r="JYC220" s="113"/>
      <c r="JYD220" s="115"/>
      <c r="JYE220" s="115"/>
      <c r="JYF220" s="113"/>
      <c r="JYG220" s="113"/>
      <c r="JYH220" s="113"/>
      <c r="JYI220" s="113"/>
      <c r="JYJ220" s="114"/>
      <c r="JYK220" s="113"/>
      <c r="JYL220" s="115"/>
      <c r="JYM220" s="115"/>
      <c r="JYN220" s="113"/>
      <c r="JYO220" s="113"/>
      <c r="JYP220" s="113"/>
      <c r="JYQ220" s="113"/>
      <c r="JYR220" s="114"/>
      <c r="JYS220" s="113"/>
      <c r="JYT220" s="115"/>
      <c r="JYU220" s="115"/>
      <c r="JYV220" s="113"/>
      <c r="JYW220" s="113"/>
      <c r="JYX220" s="113"/>
      <c r="JYY220" s="113"/>
      <c r="JYZ220" s="114"/>
      <c r="JZA220" s="113"/>
      <c r="JZB220" s="115"/>
      <c r="JZC220" s="115"/>
      <c r="JZD220" s="113"/>
      <c r="JZE220" s="113"/>
      <c r="JZF220" s="113"/>
      <c r="JZG220" s="113"/>
      <c r="JZH220" s="114"/>
      <c r="JZI220" s="113"/>
      <c r="JZJ220" s="115"/>
      <c r="JZK220" s="115"/>
      <c r="JZL220" s="113"/>
      <c r="JZM220" s="113"/>
      <c r="JZN220" s="113"/>
      <c r="JZO220" s="113"/>
      <c r="JZP220" s="114"/>
      <c r="JZQ220" s="113"/>
      <c r="JZR220" s="115"/>
      <c r="JZS220" s="115"/>
      <c r="JZT220" s="113"/>
      <c r="JZU220" s="113"/>
      <c r="JZV220" s="113"/>
      <c r="JZW220" s="113"/>
      <c r="JZX220" s="114"/>
      <c r="JZY220" s="113"/>
      <c r="JZZ220" s="115"/>
      <c r="KAA220" s="115"/>
      <c r="KAB220" s="113"/>
      <c r="KAC220" s="113"/>
      <c r="KAD220" s="113"/>
      <c r="KAE220" s="113"/>
      <c r="KAF220" s="114"/>
      <c r="KAG220" s="113"/>
      <c r="KAH220" s="115"/>
      <c r="KAI220" s="115"/>
      <c r="KAJ220" s="113"/>
      <c r="KAK220" s="113"/>
      <c r="KAL220" s="113"/>
      <c r="KAM220" s="113"/>
      <c r="KAN220" s="114"/>
      <c r="KAO220" s="113"/>
      <c r="KAP220" s="115"/>
      <c r="KAQ220" s="115"/>
      <c r="KAR220" s="113"/>
      <c r="KAS220" s="113"/>
      <c r="KAT220" s="113"/>
      <c r="KAU220" s="113"/>
      <c r="KAV220" s="114"/>
      <c r="KAW220" s="113"/>
      <c r="KAX220" s="115"/>
      <c r="KAY220" s="115"/>
      <c r="KAZ220" s="113"/>
      <c r="KBA220" s="113"/>
      <c r="KBB220" s="113"/>
      <c r="KBC220" s="113"/>
      <c r="KBD220" s="114"/>
      <c r="KBE220" s="113"/>
      <c r="KBF220" s="115"/>
      <c r="KBG220" s="115"/>
      <c r="KBH220" s="113"/>
      <c r="KBI220" s="113"/>
      <c r="KBJ220" s="113"/>
      <c r="KBK220" s="113"/>
      <c r="KBL220" s="114"/>
      <c r="KBM220" s="113"/>
      <c r="KBN220" s="115"/>
      <c r="KBO220" s="115"/>
      <c r="KBP220" s="113"/>
      <c r="KBQ220" s="113"/>
      <c r="KBR220" s="113"/>
      <c r="KBS220" s="113"/>
      <c r="KBT220" s="114"/>
      <c r="KBU220" s="113"/>
      <c r="KBV220" s="115"/>
      <c r="KBW220" s="115"/>
      <c r="KBX220" s="113"/>
      <c r="KBY220" s="113"/>
      <c r="KBZ220" s="113"/>
      <c r="KCA220" s="113"/>
      <c r="KCB220" s="114"/>
      <c r="KCC220" s="113"/>
      <c r="KCD220" s="115"/>
      <c r="KCE220" s="115"/>
      <c r="KCF220" s="113"/>
      <c r="KCG220" s="113"/>
      <c r="KCH220" s="113"/>
      <c r="KCI220" s="113"/>
      <c r="KCJ220" s="114"/>
      <c r="KCK220" s="113"/>
      <c r="KCL220" s="115"/>
      <c r="KCM220" s="115"/>
      <c r="KCN220" s="113"/>
      <c r="KCO220" s="113"/>
      <c r="KCP220" s="113"/>
      <c r="KCQ220" s="113"/>
      <c r="KCR220" s="114"/>
      <c r="KCS220" s="113"/>
      <c r="KCT220" s="115"/>
      <c r="KCU220" s="115"/>
      <c r="KCV220" s="113"/>
      <c r="KCW220" s="113"/>
      <c r="KCX220" s="113"/>
      <c r="KCY220" s="113"/>
      <c r="KCZ220" s="114"/>
      <c r="KDA220" s="113"/>
      <c r="KDB220" s="115"/>
      <c r="KDC220" s="115"/>
      <c r="KDD220" s="113"/>
      <c r="KDE220" s="113"/>
      <c r="KDF220" s="113"/>
      <c r="KDG220" s="113"/>
      <c r="KDH220" s="114"/>
      <c r="KDI220" s="113"/>
      <c r="KDJ220" s="115"/>
      <c r="KDK220" s="115"/>
      <c r="KDL220" s="113"/>
      <c r="KDM220" s="113"/>
      <c r="KDN220" s="113"/>
      <c r="KDO220" s="113"/>
      <c r="KDP220" s="114"/>
      <c r="KDQ220" s="113"/>
      <c r="KDR220" s="115"/>
      <c r="KDS220" s="115"/>
      <c r="KDT220" s="113"/>
      <c r="KDU220" s="113"/>
      <c r="KDV220" s="113"/>
      <c r="KDW220" s="113"/>
      <c r="KDX220" s="114"/>
      <c r="KDY220" s="113"/>
      <c r="KDZ220" s="115"/>
      <c r="KEA220" s="115"/>
      <c r="KEB220" s="113"/>
      <c r="KEC220" s="113"/>
      <c r="KED220" s="113"/>
      <c r="KEE220" s="113"/>
      <c r="KEF220" s="114"/>
      <c r="KEG220" s="113"/>
      <c r="KEH220" s="115"/>
      <c r="KEI220" s="115"/>
      <c r="KEJ220" s="113"/>
      <c r="KEK220" s="113"/>
      <c r="KEL220" s="113"/>
      <c r="KEM220" s="113"/>
      <c r="KEN220" s="114"/>
      <c r="KEO220" s="113"/>
      <c r="KEP220" s="115"/>
      <c r="KEQ220" s="115"/>
      <c r="KER220" s="113"/>
      <c r="KES220" s="113"/>
      <c r="KET220" s="113"/>
      <c r="KEU220" s="113"/>
      <c r="KEV220" s="114"/>
      <c r="KEW220" s="113"/>
      <c r="KEX220" s="115"/>
      <c r="KEY220" s="115"/>
      <c r="KEZ220" s="113"/>
      <c r="KFA220" s="113"/>
      <c r="KFB220" s="113"/>
      <c r="KFC220" s="113"/>
      <c r="KFD220" s="114"/>
      <c r="KFE220" s="113"/>
      <c r="KFF220" s="115"/>
      <c r="KFG220" s="115"/>
      <c r="KFH220" s="113"/>
      <c r="KFI220" s="113"/>
      <c r="KFJ220" s="113"/>
      <c r="KFK220" s="113"/>
      <c r="KFL220" s="114"/>
      <c r="KFM220" s="113"/>
      <c r="KFN220" s="115"/>
      <c r="KFO220" s="115"/>
      <c r="KFP220" s="113"/>
      <c r="KFQ220" s="113"/>
      <c r="KFR220" s="113"/>
      <c r="KFS220" s="113"/>
      <c r="KFT220" s="114"/>
      <c r="KFU220" s="113"/>
      <c r="KFV220" s="115"/>
      <c r="KFW220" s="115"/>
      <c r="KFX220" s="113"/>
      <c r="KFY220" s="113"/>
      <c r="KFZ220" s="113"/>
      <c r="KGA220" s="113"/>
      <c r="KGB220" s="114"/>
      <c r="KGC220" s="113"/>
      <c r="KGD220" s="115"/>
      <c r="KGE220" s="115"/>
      <c r="KGF220" s="113"/>
      <c r="KGG220" s="113"/>
      <c r="KGH220" s="113"/>
      <c r="KGI220" s="113"/>
      <c r="KGJ220" s="114"/>
      <c r="KGK220" s="113"/>
      <c r="KGL220" s="115"/>
      <c r="KGM220" s="115"/>
      <c r="KGN220" s="113"/>
      <c r="KGO220" s="113"/>
      <c r="KGP220" s="113"/>
      <c r="KGQ220" s="113"/>
      <c r="KGR220" s="114"/>
      <c r="KGS220" s="113"/>
      <c r="KGT220" s="115"/>
      <c r="KGU220" s="115"/>
      <c r="KGV220" s="113"/>
      <c r="KGW220" s="113"/>
      <c r="KGX220" s="113"/>
      <c r="KGY220" s="113"/>
      <c r="KGZ220" s="114"/>
      <c r="KHA220" s="113"/>
      <c r="KHB220" s="115"/>
      <c r="KHC220" s="115"/>
      <c r="KHD220" s="113"/>
      <c r="KHE220" s="113"/>
      <c r="KHF220" s="113"/>
      <c r="KHG220" s="113"/>
      <c r="KHH220" s="114"/>
      <c r="KHI220" s="113"/>
      <c r="KHJ220" s="115"/>
      <c r="KHK220" s="115"/>
      <c r="KHL220" s="113"/>
      <c r="KHM220" s="113"/>
      <c r="KHN220" s="113"/>
      <c r="KHO220" s="113"/>
      <c r="KHP220" s="114"/>
      <c r="KHQ220" s="113"/>
      <c r="KHR220" s="115"/>
      <c r="KHS220" s="115"/>
      <c r="KHT220" s="113"/>
      <c r="KHU220" s="113"/>
      <c r="KHV220" s="113"/>
      <c r="KHW220" s="113"/>
      <c r="KHX220" s="114"/>
      <c r="KHY220" s="113"/>
      <c r="KHZ220" s="115"/>
      <c r="KIA220" s="115"/>
      <c r="KIB220" s="113"/>
      <c r="KIC220" s="113"/>
      <c r="KID220" s="113"/>
      <c r="KIE220" s="113"/>
      <c r="KIF220" s="114"/>
      <c r="KIG220" s="113"/>
      <c r="KIH220" s="115"/>
      <c r="KII220" s="115"/>
      <c r="KIJ220" s="113"/>
      <c r="KIK220" s="113"/>
      <c r="KIL220" s="113"/>
      <c r="KIM220" s="113"/>
      <c r="KIN220" s="114"/>
      <c r="KIO220" s="113"/>
      <c r="KIP220" s="115"/>
      <c r="KIQ220" s="115"/>
      <c r="KIR220" s="113"/>
      <c r="KIS220" s="113"/>
      <c r="KIT220" s="113"/>
      <c r="KIU220" s="113"/>
      <c r="KIV220" s="114"/>
      <c r="KIW220" s="113"/>
      <c r="KIX220" s="115"/>
      <c r="KIY220" s="115"/>
      <c r="KIZ220" s="113"/>
      <c r="KJA220" s="113"/>
      <c r="KJB220" s="113"/>
      <c r="KJC220" s="113"/>
      <c r="KJD220" s="114"/>
      <c r="KJE220" s="113"/>
      <c r="KJF220" s="115"/>
      <c r="KJG220" s="115"/>
      <c r="KJH220" s="113"/>
      <c r="KJI220" s="113"/>
      <c r="KJJ220" s="113"/>
      <c r="KJK220" s="113"/>
      <c r="KJL220" s="114"/>
      <c r="KJM220" s="113"/>
      <c r="KJN220" s="115"/>
      <c r="KJO220" s="115"/>
      <c r="KJP220" s="113"/>
      <c r="KJQ220" s="113"/>
      <c r="KJR220" s="113"/>
      <c r="KJS220" s="113"/>
      <c r="KJT220" s="114"/>
      <c r="KJU220" s="113"/>
      <c r="KJV220" s="115"/>
      <c r="KJW220" s="115"/>
      <c r="KJX220" s="113"/>
      <c r="KJY220" s="113"/>
      <c r="KJZ220" s="113"/>
      <c r="KKA220" s="113"/>
      <c r="KKB220" s="114"/>
      <c r="KKC220" s="113"/>
      <c r="KKD220" s="115"/>
      <c r="KKE220" s="115"/>
      <c r="KKF220" s="113"/>
      <c r="KKG220" s="113"/>
      <c r="KKH220" s="113"/>
      <c r="KKI220" s="113"/>
      <c r="KKJ220" s="114"/>
      <c r="KKK220" s="113"/>
      <c r="KKL220" s="115"/>
      <c r="KKM220" s="115"/>
      <c r="KKN220" s="113"/>
      <c r="KKO220" s="113"/>
      <c r="KKP220" s="113"/>
      <c r="KKQ220" s="113"/>
      <c r="KKR220" s="114"/>
      <c r="KKS220" s="113"/>
      <c r="KKT220" s="115"/>
      <c r="KKU220" s="115"/>
      <c r="KKV220" s="113"/>
      <c r="KKW220" s="113"/>
      <c r="KKX220" s="113"/>
      <c r="KKY220" s="113"/>
      <c r="KKZ220" s="114"/>
      <c r="KLA220" s="113"/>
      <c r="KLB220" s="115"/>
      <c r="KLC220" s="115"/>
      <c r="KLD220" s="113"/>
      <c r="KLE220" s="113"/>
      <c r="KLF220" s="113"/>
      <c r="KLG220" s="113"/>
      <c r="KLH220" s="114"/>
      <c r="KLI220" s="113"/>
      <c r="KLJ220" s="115"/>
      <c r="KLK220" s="115"/>
      <c r="KLL220" s="113"/>
      <c r="KLM220" s="113"/>
      <c r="KLN220" s="113"/>
      <c r="KLO220" s="113"/>
      <c r="KLP220" s="114"/>
      <c r="KLQ220" s="113"/>
      <c r="KLR220" s="115"/>
      <c r="KLS220" s="115"/>
      <c r="KLT220" s="113"/>
      <c r="KLU220" s="113"/>
      <c r="KLV220" s="113"/>
      <c r="KLW220" s="113"/>
      <c r="KLX220" s="114"/>
      <c r="KLY220" s="113"/>
      <c r="KLZ220" s="115"/>
      <c r="KMA220" s="115"/>
      <c r="KMB220" s="113"/>
      <c r="KMC220" s="113"/>
      <c r="KMD220" s="113"/>
      <c r="KME220" s="113"/>
      <c r="KMF220" s="114"/>
      <c r="KMG220" s="113"/>
      <c r="KMH220" s="115"/>
      <c r="KMI220" s="115"/>
      <c r="KMJ220" s="113"/>
      <c r="KMK220" s="113"/>
      <c r="KML220" s="113"/>
      <c r="KMM220" s="113"/>
      <c r="KMN220" s="114"/>
      <c r="KMO220" s="113"/>
      <c r="KMP220" s="115"/>
      <c r="KMQ220" s="115"/>
      <c r="KMR220" s="113"/>
      <c r="KMS220" s="113"/>
      <c r="KMT220" s="113"/>
      <c r="KMU220" s="113"/>
      <c r="KMV220" s="114"/>
      <c r="KMW220" s="113"/>
      <c r="KMX220" s="115"/>
      <c r="KMY220" s="115"/>
      <c r="KMZ220" s="113"/>
      <c r="KNA220" s="113"/>
      <c r="KNB220" s="113"/>
      <c r="KNC220" s="113"/>
      <c r="KND220" s="114"/>
      <c r="KNE220" s="113"/>
      <c r="KNF220" s="115"/>
      <c r="KNG220" s="115"/>
      <c r="KNH220" s="113"/>
      <c r="KNI220" s="113"/>
      <c r="KNJ220" s="113"/>
      <c r="KNK220" s="113"/>
      <c r="KNL220" s="114"/>
      <c r="KNM220" s="113"/>
      <c r="KNN220" s="115"/>
      <c r="KNO220" s="115"/>
      <c r="KNP220" s="113"/>
      <c r="KNQ220" s="113"/>
      <c r="KNR220" s="113"/>
      <c r="KNS220" s="113"/>
      <c r="KNT220" s="114"/>
      <c r="KNU220" s="113"/>
      <c r="KNV220" s="115"/>
      <c r="KNW220" s="115"/>
      <c r="KNX220" s="113"/>
      <c r="KNY220" s="113"/>
      <c r="KNZ220" s="113"/>
      <c r="KOA220" s="113"/>
      <c r="KOB220" s="114"/>
      <c r="KOC220" s="113"/>
      <c r="KOD220" s="115"/>
      <c r="KOE220" s="115"/>
      <c r="KOF220" s="113"/>
      <c r="KOG220" s="113"/>
      <c r="KOH220" s="113"/>
      <c r="KOI220" s="113"/>
      <c r="KOJ220" s="114"/>
      <c r="KOK220" s="113"/>
      <c r="KOL220" s="115"/>
      <c r="KOM220" s="115"/>
      <c r="KON220" s="113"/>
      <c r="KOO220" s="113"/>
      <c r="KOP220" s="113"/>
      <c r="KOQ220" s="113"/>
      <c r="KOR220" s="114"/>
      <c r="KOS220" s="113"/>
      <c r="KOT220" s="115"/>
      <c r="KOU220" s="115"/>
      <c r="KOV220" s="113"/>
      <c r="KOW220" s="113"/>
      <c r="KOX220" s="113"/>
      <c r="KOY220" s="113"/>
      <c r="KOZ220" s="114"/>
      <c r="KPA220" s="113"/>
      <c r="KPB220" s="115"/>
      <c r="KPC220" s="115"/>
      <c r="KPD220" s="113"/>
      <c r="KPE220" s="113"/>
      <c r="KPF220" s="113"/>
      <c r="KPG220" s="113"/>
      <c r="KPH220" s="114"/>
      <c r="KPI220" s="113"/>
      <c r="KPJ220" s="115"/>
      <c r="KPK220" s="115"/>
      <c r="KPL220" s="113"/>
      <c r="KPM220" s="113"/>
      <c r="KPN220" s="113"/>
      <c r="KPO220" s="113"/>
      <c r="KPP220" s="114"/>
      <c r="KPQ220" s="113"/>
      <c r="KPR220" s="115"/>
      <c r="KPS220" s="115"/>
      <c r="KPT220" s="113"/>
      <c r="KPU220" s="113"/>
      <c r="KPV220" s="113"/>
      <c r="KPW220" s="113"/>
      <c r="KPX220" s="114"/>
      <c r="KPY220" s="113"/>
      <c r="KPZ220" s="115"/>
      <c r="KQA220" s="115"/>
      <c r="KQB220" s="113"/>
      <c r="KQC220" s="113"/>
      <c r="KQD220" s="113"/>
      <c r="KQE220" s="113"/>
      <c r="KQF220" s="114"/>
      <c r="KQG220" s="113"/>
      <c r="KQH220" s="115"/>
      <c r="KQI220" s="115"/>
      <c r="KQJ220" s="113"/>
      <c r="KQK220" s="113"/>
      <c r="KQL220" s="113"/>
      <c r="KQM220" s="113"/>
      <c r="KQN220" s="114"/>
      <c r="KQO220" s="113"/>
      <c r="KQP220" s="115"/>
      <c r="KQQ220" s="115"/>
      <c r="KQR220" s="113"/>
      <c r="KQS220" s="113"/>
      <c r="KQT220" s="113"/>
      <c r="KQU220" s="113"/>
      <c r="KQV220" s="114"/>
      <c r="KQW220" s="113"/>
      <c r="KQX220" s="115"/>
      <c r="KQY220" s="115"/>
      <c r="KQZ220" s="113"/>
      <c r="KRA220" s="113"/>
      <c r="KRB220" s="113"/>
      <c r="KRC220" s="113"/>
      <c r="KRD220" s="114"/>
      <c r="KRE220" s="113"/>
      <c r="KRF220" s="115"/>
      <c r="KRG220" s="115"/>
      <c r="KRH220" s="113"/>
      <c r="KRI220" s="113"/>
      <c r="KRJ220" s="113"/>
      <c r="KRK220" s="113"/>
      <c r="KRL220" s="114"/>
      <c r="KRM220" s="113"/>
      <c r="KRN220" s="115"/>
      <c r="KRO220" s="115"/>
      <c r="KRP220" s="113"/>
      <c r="KRQ220" s="113"/>
      <c r="KRR220" s="113"/>
      <c r="KRS220" s="113"/>
      <c r="KRT220" s="114"/>
      <c r="KRU220" s="113"/>
      <c r="KRV220" s="115"/>
      <c r="KRW220" s="115"/>
      <c r="KRX220" s="113"/>
      <c r="KRY220" s="113"/>
      <c r="KRZ220" s="113"/>
      <c r="KSA220" s="113"/>
      <c r="KSB220" s="114"/>
      <c r="KSC220" s="113"/>
      <c r="KSD220" s="115"/>
      <c r="KSE220" s="115"/>
      <c r="KSF220" s="113"/>
      <c r="KSG220" s="113"/>
      <c r="KSH220" s="113"/>
      <c r="KSI220" s="113"/>
      <c r="KSJ220" s="114"/>
      <c r="KSK220" s="113"/>
      <c r="KSL220" s="115"/>
      <c r="KSM220" s="115"/>
      <c r="KSN220" s="113"/>
      <c r="KSO220" s="113"/>
      <c r="KSP220" s="113"/>
      <c r="KSQ220" s="113"/>
      <c r="KSR220" s="114"/>
      <c r="KSS220" s="113"/>
      <c r="KST220" s="115"/>
      <c r="KSU220" s="115"/>
      <c r="KSV220" s="113"/>
      <c r="KSW220" s="113"/>
      <c r="KSX220" s="113"/>
      <c r="KSY220" s="113"/>
      <c r="KSZ220" s="114"/>
      <c r="KTA220" s="113"/>
      <c r="KTB220" s="115"/>
      <c r="KTC220" s="115"/>
      <c r="KTD220" s="113"/>
      <c r="KTE220" s="113"/>
      <c r="KTF220" s="113"/>
      <c r="KTG220" s="113"/>
      <c r="KTH220" s="114"/>
      <c r="KTI220" s="113"/>
      <c r="KTJ220" s="115"/>
      <c r="KTK220" s="115"/>
      <c r="KTL220" s="113"/>
      <c r="KTM220" s="113"/>
      <c r="KTN220" s="113"/>
      <c r="KTO220" s="113"/>
      <c r="KTP220" s="114"/>
      <c r="KTQ220" s="113"/>
      <c r="KTR220" s="115"/>
      <c r="KTS220" s="115"/>
      <c r="KTT220" s="113"/>
      <c r="KTU220" s="113"/>
      <c r="KTV220" s="113"/>
      <c r="KTW220" s="113"/>
      <c r="KTX220" s="114"/>
      <c r="KTY220" s="113"/>
      <c r="KTZ220" s="115"/>
      <c r="KUA220" s="115"/>
      <c r="KUB220" s="113"/>
      <c r="KUC220" s="113"/>
      <c r="KUD220" s="113"/>
      <c r="KUE220" s="113"/>
      <c r="KUF220" s="114"/>
      <c r="KUG220" s="113"/>
      <c r="KUH220" s="115"/>
      <c r="KUI220" s="115"/>
      <c r="KUJ220" s="113"/>
      <c r="KUK220" s="113"/>
      <c r="KUL220" s="113"/>
      <c r="KUM220" s="113"/>
      <c r="KUN220" s="114"/>
      <c r="KUO220" s="113"/>
      <c r="KUP220" s="115"/>
      <c r="KUQ220" s="115"/>
      <c r="KUR220" s="113"/>
      <c r="KUS220" s="113"/>
      <c r="KUT220" s="113"/>
      <c r="KUU220" s="113"/>
      <c r="KUV220" s="114"/>
      <c r="KUW220" s="113"/>
      <c r="KUX220" s="115"/>
      <c r="KUY220" s="115"/>
      <c r="KUZ220" s="113"/>
      <c r="KVA220" s="113"/>
      <c r="KVB220" s="113"/>
      <c r="KVC220" s="113"/>
      <c r="KVD220" s="114"/>
      <c r="KVE220" s="113"/>
      <c r="KVF220" s="115"/>
      <c r="KVG220" s="115"/>
      <c r="KVH220" s="113"/>
      <c r="KVI220" s="113"/>
      <c r="KVJ220" s="113"/>
      <c r="KVK220" s="113"/>
      <c r="KVL220" s="114"/>
      <c r="KVM220" s="113"/>
      <c r="KVN220" s="115"/>
      <c r="KVO220" s="115"/>
      <c r="KVP220" s="113"/>
      <c r="KVQ220" s="113"/>
      <c r="KVR220" s="113"/>
      <c r="KVS220" s="113"/>
      <c r="KVT220" s="114"/>
      <c r="KVU220" s="113"/>
      <c r="KVV220" s="115"/>
      <c r="KVW220" s="115"/>
      <c r="KVX220" s="113"/>
      <c r="KVY220" s="113"/>
      <c r="KVZ220" s="113"/>
      <c r="KWA220" s="113"/>
      <c r="KWB220" s="114"/>
      <c r="KWC220" s="113"/>
      <c r="KWD220" s="115"/>
      <c r="KWE220" s="115"/>
      <c r="KWF220" s="113"/>
      <c r="KWG220" s="113"/>
      <c r="KWH220" s="113"/>
      <c r="KWI220" s="113"/>
      <c r="KWJ220" s="114"/>
      <c r="KWK220" s="113"/>
      <c r="KWL220" s="115"/>
      <c r="KWM220" s="115"/>
      <c r="KWN220" s="113"/>
      <c r="KWO220" s="113"/>
      <c r="KWP220" s="113"/>
      <c r="KWQ220" s="113"/>
      <c r="KWR220" s="114"/>
      <c r="KWS220" s="113"/>
      <c r="KWT220" s="115"/>
      <c r="KWU220" s="115"/>
      <c r="KWV220" s="113"/>
      <c r="KWW220" s="113"/>
      <c r="KWX220" s="113"/>
      <c r="KWY220" s="113"/>
      <c r="KWZ220" s="114"/>
      <c r="KXA220" s="113"/>
      <c r="KXB220" s="115"/>
      <c r="KXC220" s="115"/>
      <c r="KXD220" s="113"/>
      <c r="KXE220" s="113"/>
      <c r="KXF220" s="113"/>
      <c r="KXG220" s="113"/>
      <c r="KXH220" s="114"/>
      <c r="KXI220" s="113"/>
      <c r="KXJ220" s="115"/>
      <c r="KXK220" s="115"/>
      <c r="KXL220" s="113"/>
      <c r="KXM220" s="113"/>
      <c r="KXN220" s="113"/>
      <c r="KXO220" s="113"/>
      <c r="KXP220" s="114"/>
      <c r="KXQ220" s="113"/>
      <c r="KXR220" s="115"/>
      <c r="KXS220" s="115"/>
      <c r="KXT220" s="113"/>
      <c r="KXU220" s="113"/>
      <c r="KXV220" s="113"/>
      <c r="KXW220" s="113"/>
      <c r="KXX220" s="114"/>
      <c r="KXY220" s="113"/>
      <c r="KXZ220" s="115"/>
      <c r="KYA220" s="115"/>
      <c r="KYB220" s="113"/>
      <c r="KYC220" s="113"/>
      <c r="KYD220" s="113"/>
      <c r="KYE220" s="113"/>
      <c r="KYF220" s="114"/>
      <c r="KYG220" s="113"/>
      <c r="KYH220" s="115"/>
      <c r="KYI220" s="115"/>
      <c r="KYJ220" s="113"/>
      <c r="KYK220" s="113"/>
      <c r="KYL220" s="113"/>
      <c r="KYM220" s="113"/>
      <c r="KYN220" s="114"/>
      <c r="KYO220" s="113"/>
      <c r="KYP220" s="115"/>
      <c r="KYQ220" s="115"/>
      <c r="KYR220" s="113"/>
      <c r="KYS220" s="113"/>
      <c r="KYT220" s="113"/>
      <c r="KYU220" s="113"/>
      <c r="KYV220" s="114"/>
      <c r="KYW220" s="113"/>
      <c r="KYX220" s="115"/>
      <c r="KYY220" s="115"/>
      <c r="KYZ220" s="113"/>
      <c r="KZA220" s="113"/>
      <c r="KZB220" s="113"/>
      <c r="KZC220" s="113"/>
      <c r="KZD220" s="114"/>
      <c r="KZE220" s="113"/>
      <c r="KZF220" s="115"/>
      <c r="KZG220" s="115"/>
      <c r="KZH220" s="113"/>
      <c r="KZI220" s="113"/>
      <c r="KZJ220" s="113"/>
      <c r="KZK220" s="113"/>
      <c r="KZL220" s="114"/>
      <c r="KZM220" s="113"/>
      <c r="KZN220" s="115"/>
      <c r="KZO220" s="115"/>
      <c r="KZP220" s="113"/>
      <c r="KZQ220" s="113"/>
      <c r="KZR220" s="113"/>
      <c r="KZS220" s="113"/>
      <c r="KZT220" s="114"/>
      <c r="KZU220" s="113"/>
      <c r="KZV220" s="115"/>
      <c r="KZW220" s="115"/>
      <c r="KZX220" s="113"/>
      <c r="KZY220" s="113"/>
      <c r="KZZ220" s="113"/>
      <c r="LAA220" s="113"/>
      <c r="LAB220" s="114"/>
      <c r="LAC220" s="113"/>
      <c r="LAD220" s="115"/>
      <c r="LAE220" s="115"/>
      <c r="LAF220" s="113"/>
      <c r="LAG220" s="113"/>
      <c r="LAH220" s="113"/>
      <c r="LAI220" s="113"/>
      <c r="LAJ220" s="114"/>
      <c r="LAK220" s="113"/>
      <c r="LAL220" s="115"/>
      <c r="LAM220" s="115"/>
      <c r="LAN220" s="113"/>
      <c r="LAO220" s="113"/>
      <c r="LAP220" s="113"/>
      <c r="LAQ220" s="113"/>
      <c r="LAR220" s="114"/>
      <c r="LAS220" s="113"/>
      <c r="LAT220" s="115"/>
      <c r="LAU220" s="115"/>
      <c r="LAV220" s="113"/>
      <c r="LAW220" s="113"/>
      <c r="LAX220" s="113"/>
      <c r="LAY220" s="113"/>
      <c r="LAZ220" s="114"/>
      <c r="LBA220" s="113"/>
      <c r="LBB220" s="115"/>
      <c r="LBC220" s="115"/>
      <c r="LBD220" s="113"/>
      <c r="LBE220" s="113"/>
      <c r="LBF220" s="113"/>
      <c r="LBG220" s="113"/>
      <c r="LBH220" s="114"/>
      <c r="LBI220" s="113"/>
      <c r="LBJ220" s="115"/>
      <c r="LBK220" s="115"/>
      <c r="LBL220" s="113"/>
      <c r="LBM220" s="113"/>
      <c r="LBN220" s="113"/>
      <c r="LBO220" s="113"/>
      <c r="LBP220" s="114"/>
      <c r="LBQ220" s="113"/>
      <c r="LBR220" s="115"/>
      <c r="LBS220" s="115"/>
      <c r="LBT220" s="113"/>
      <c r="LBU220" s="113"/>
      <c r="LBV220" s="113"/>
      <c r="LBW220" s="113"/>
      <c r="LBX220" s="114"/>
      <c r="LBY220" s="113"/>
      <c r="LBZ220" s="115"/>
      <c r="LCA220" s="115"/>
      <c r="LCB220" s="113"/>
      <c r="LCC220" s="113"/>
      <c r="LCD220" s="113"/>
      <c r="LCE220" s="113"/>
      <c r="LCF220" s="114"/>
      <c r="LCG220" s="113"/>
      <c r="LCH220" s="115"/>
      <c r="LCI220" s="115"/>
      <c r="LCJ220" s="113"/>
      <c r="LCK220" s="113"/>
      <c r="LCL220" s="113"/>
      <c r="LCM220" s="113"/>
      <c r="LCN220" s="114"/>
      <c r="LCO220" s="113"/>
      <c r="LCP220" s="115"/>
      <c r="LCQ220" s="115"/>
      <c r="LCR220" s="113"/>
      <c r="LCS220" s="113"/>
      <c r="LCT220" s="113"/>
      <c r="LCU220" s="113"/>
      <c r="LCV220" s="114"/>
      <c r="LCW220" s="113"/>
      <c r="LCX220" s="115"/>
      <c r="LCY220" s="115"/>
      <c r="LCZ220" s="113"/>
      <c r="LDA220" s="113"/>
      <c r="LDB220" s="113"/>
      <c r="LDC220" s="113"/>
      <c r="LDD220" s="114"/>
      <c r="LDE220" s="113"/>
      <c r="LDF220" s="115"/>
      <c r="LDG220" s="115"/>
      <c r="LDH220" s="113"/>
      <c r="LDI220" s="113"/>
      <c r="LDJ220" s="113"/>
      <c r="LDK220" s="113"/>
      <c r="LDL220" s="114"/>
      <c r="LDM220" s="113"/>
      <c r="LDN220" s="115"/>
      <c r="LDO220" s="115"/>
      <c r="LDP220" s="113"/>
      <c r="LDQ220" s="113"/>
      <c r="LDR220" s="113"/>
      <c r="LDS220" s="113"/>
      <c r="LDT220" s="114"/>
      <c r="LDU220" s="113"/>
      <c r="LDV220" s="115"/>
      <c r="LDW220" s="115"/>
      <c r="LDX220" s="113"/>
      <c r="LDY220" s="113"/>
      <c r="LDZ220" s="113"/>
      <c r="LEA220" s="113"/>
      <c r="LEB220" s="114"/>
      <c r="LEC220" s="113"/>
      <c r="LED220" s="115"/>
      <c r="LEE220" s="115"/>
      <c r="LEF220" s="113"/>
      <c r="LEG220" s="113"/>
      <c r="LEH220" s="113"/>
      <c r="LEI220" s="113"/>
      <c r="LEJ220" s="114"/>
      <c r="LEK220" s="113"/>
      <c r="LEL220" s="115"/>
      <c r="LEM220" s="115"/>
      <c r="LEN220" s="113"/>
      <c r="LEO220" s="113"/>
      <c r="LEP220" s="113"/>
      <c r="LEQ220" s="113"/>
      <c r="LER220" s="114"/>
      <c r="LES220" s="113"/>
      <c r="LET220" s="115"/>
      <c r="LEU220" s="115"/>
      <c r="LEV220" s="113"/>
      <c r="LEW220" s="113"/>
      <c r="LEX220" s="113"/>
      <c r="LEY220" s="113"/>
      <c r="LEZ220" s="114"/>
      <c r="LFA220" s="113"/>
      <c r="LFB220" s="115"/>
      <c r="LFC220" s="115"/>
      <c r="LFD220" s="113"/>
      <c r="LFE220" s="113"/>
      <c r="LFF220" s="113"/>
      <c r="LFG220" s="113"/>
      <c r="LFH220" s="114"/>
      <c r="LFI220" s="113"/>
      <c r="LFJ220" s="115"/>
      <c r="LFK220" s="115"/>
      <c r="LFL220" s="113"/>
      <c r="LFM220" s="113"/>
      <c r="LFN220" s="113"/>
      <c r="LFO220" s="113"/>
      <c r="LFP220" s="114"/>
      <c r="LFQ220" s="113"/>
      <c r="LFR220" s="115"/>
      <c r="LFS220" s="115"/>
      <c r="LFT220" s="113"/>
      <c r="LFU220" s="113"/>
      <c r="LFV220" s="113"/>
      <c r="LFW220" s="113"/>
      <c r="LFX220" s="114"/>
      <c r="LFY220" s="113"/>
      <c r="LFZ220" s="115"/>
      <c r="LGA220" s="115"/>
      <c r="LGB220" s="113"/>
      <c r="LGC220" s="113"/>
      <c r="LGD220" s="113"/>
      <c r="LGE220" s="113"/>
      <c r="LGF220" s="114"/>
      <c r="LGG220" s="113"/>
      <c r="LGH220" s="115"/>
      <c r="LGI220" s="115"/>
      <c r="LGJ220" s="113"/>
      <c r="LGK220" s="113"/>
      <c r="LGL220" s="113"/>
      <c r="LGM220" s="113"/>
      <c r="LGN220" s="114"/>
      <c r="LGO220" s="113"/>
      <c r="LGP220" s="115"/>
      <c r="LGQ220" s="115"/>
      <c r="LGR220" s="113"/>
      <c r="LGS220" s="113"/>
      <c r="LGT220" s="113"/>
      <c r="LGU220" s="113"/>
      <c r="LGV220" s="114"/>
      <c r="LGW220" s="113"/>
      <c r="LGX220" s="115"/>
      <c r="LGY220" s="115"/>
      <c r="LGZ220" s="113"/>
      <c r="LHA220" s="113"/>
      <c r="LHB220" s="113"/>
      <c r="LHC220" s="113"/>
      <c r="LHD220" s="114"/>
      <c r="LHE220" s="113"/>
      <c r="LHF220" s="115"/>
      <c r="LHG220" s="115"/>
      <c r="LHH220" s="113"/>
      <c r="LHI220" s="113"/>
      <c r="LHJ220" s="113"/>
      <c r="LHK220" s="113"/>
      <c r="LHL220" s="114"/>
      <c r="LHM220" s="113"/>
      <c r="LHN220" s="115"/>
      <c r="LHO220" s="115"/>
      <c r="LHP220" s="113"/>
      <c r="LHQ220" s="113"/>
      <c r="LHR220" s="113"/>
      <c r="LHS220" s="113"/>
      <c r="LHT220" s="114"/>
      <c r="LHU220" s="113"/>
      <c r="LHV220" s="115"/>
      <c r="LHW220" s="115"/>
      <c r="LHX220" s="113"/>
      <c r="LHY220" s="113"/>
      <c r="LHZ220" s="113"/>
      <c r="LIA220" s="113"/>
      <c r="LIB220" s="114"/>
      <c r="LIC220" s="113"/>
      <c r="LID220" s="115"/>
      <c r="LIE220" s="115"/>
      <c r="LIF220" s="113"/>
      <c r="LIG220" s="113"/>
      <c r="LIH220" s="113"/>
      <c r="LII220" s="113"/>
      <c r="LIJ220" s="114"/>
      <c r="LIK220" s="113"/>
      <c r="LIL220" s="115"/>
      <c r="LIM220" s="115"/>
      <c r="LIN220" s="113"/>
      <c r="LIO220" s="113"/>
      <c r="LIP220" s="113"/>
      <c r="LIQ220" s="113"/>
      <c r="LIR220" s="114"/>
      <c r="LIS220" s="113"/>
      <c r="LIT220" s="115"/>
      <c r="LIU220" s="115"/>
      <c r="LIV220" s="113"/>
      <c r="LIW220" s="113"/>
      <c r="LIX220" s="113"/>
      <c r="LIY220" s="113"/>
      <c r="LIZ220" s="114"/>
      <c r="LJA220" s="113"/>
      <c r="LJB220" s="115"/>
      <c r="LJC220" s="115"/>
      <c r="LJD220" s="113"/>
      <c r="LJE220" s="113"/>
      <c r="LJF220" s="113"/>
      <c r="LJG220" s="113"/>
      <c r="LJH220" s="114"/>
      <c r="LJI220" s="113"/>
      <c r="LJJ220" s="115"/>
      <c r="LJK220" s="115"/>
      <c r="LJL220" s="113"/>
      <c r="LJM220" s="113"/>
      <c r="LJN220" s="113"/>
      <c r="LJO220" s="113"/>
      <c r="LJP220" s="114"/>
      <c r="LJQ220" s="113"/>
      <c r="LJR220" s="115"/>
      <c r="LJS220" s="115"/>
      <c r="LJT220" s="113"/>
      <c r="LJU220" s="113"/>
      <c r="LJV220" s="113"/>
      <c r="LJW220" s="113"/>
      <c r="LJX220" s="114"/>
      <c r="LJY220" s="113"/>
      <c r="LJZ220" s="115"/>
      <c r="LKA220" s="115"/>
      <c r="LKB220" s="113"/>
      <c r="LKC220" s="113"/>
      <c r="LKD220" s="113"/>
      <c r="LKE220" s="113"/>
      <c r="LKF220" s="114"/>
      <c r="LKG220" s="113"/>
      <c r="LKH220" s="115"/>
      <c r="LKI220" s="115"/>
      <c r="LKJ220" s="113"/>
      <c r="LKK220" s="113"/>
      <c r="LKL220" s="113"/>
      <c r="LKM220" s="113"/>
      <c r="LKN220" s="114"/>
      <c r="LKO220" s="113"/>
      <c r="LKP220" s="115"/>
      <c r="LKQ220" s="115"/>
      <c r="LKR220" s="113"/>
      <c r="LKS220" s="113"/>
      <c r="LKT220" s="113"/>
      <c r="LKU220" s="113"/>
      <c r="LKV220" s="114"/>
      <c r="LKW220" s="113"/>
      <c r="LKX220" s="115"/>
      <c r="LKY220" s="115"/>
      <c r="LKZ220" s="113"/>
      <c r="LLA220" s="113"/>
      <c r="LLB220" s="113"/>
      <c r="LLC220" s="113"/>
      <c r="LLD220" s="114"/>
      <c r="LLE220" s="113"/>
      <c r="LLF220" s="115"/>
      <c r="LLG220" s="115"/>
      <c r="LLH220" s="113"/>
      <c r="LLI220" s="113"/>
      <c r="LLJ220" s="113"/>
      <c r="LLK220" s="113"/>
      <c r="LLL220" s="114"/>
      <c r="LLM220" s="113"/>
      <c r="LLN220" s="115"/>
      <c r="LLO220" s="115"/>
      <c r="LLP220" s="113"/>
      <c r="LLQ220" s="113"/>
      <c r="LLR220" s="113"/>
      <c r="LLS220" s="113"/>
      <c r="LLT220" s="114"/>
      <c r="LLU220" s="113"/>
      <c r="LLV220" s="115"/>
      <c r="LLW220" s="115"/>
      <c r="LLX220" s="113"/>
      <c r="LLY220" s="113"/>
      <c r="LLZ220" s="113"/>
      <c r="LMA220" s="113"/>
      <c r="LMB220" s="114"/>
      <c r="LMC220" s="113"/>
      <c r="LMD220" s="115"/>
      <c r="LME220" s="115"/>
      <c r="LMF220" s="113"/>
      <c r="LMG220" s="113"/>
      <c r="LMH220" s="113"/>
      <c r="LMI220" s="113"/>
      <c r="LMJ220" s="114"/>
      <c r="LMK220" s="113"/>
      <c r="LML220" s="115"/>
      <c r="LMM220" s="115"/>
      <c r="LMN220" s="113"/>
      <c r="LMO220" s="113"/>
      <c r="LMP220" s="113"/>
      <c r="LMQ220" s="113"/>
      <c r="LMR220" s="114"/>
      <c r="LMS220" s="113"/>
      <c r="LMT220" s="115"/>
      <c r="LMU220" s="115"/>
      <c r="LMV220" s="113"/>
      <c r="LMW220" s="113"/>
      <c r="LMX220" s="113"/>
      <c r="LMY220" s="113"/>
      <c r="LMZ220" s="114"/>
      <c r="LNA220" s="113"/>
      <c r="LNB220" s="115"/>
      <c r="LNC220" s="115"/>
      <c r="LND220" s="113"/>
      <c r="LNE220" s="113"/>
      <c r="LNF220" s="113"/>
      <c r="LNG220" s="113"/>
      <c r="LNH220" s="114"/>
      <c r="LNI220" s="113"/>
      <c r="LNJ220" s="115"/>
      <c r="LNK220" s="115"/>
      <c r="LNL220" s="113"/>
      <c r="LNM220" s="113"/>
      <c r="LNN220" s="113"/>
      <c r="LNO220" s="113"/>
      <c r="LNP220" s="114"/>
      <c r="LNQ220" s="113"/>
      <c r="LNR220" s="115"/>
      <c r="LNS220" s="115"/>
      <c r="LNT220" s="113"/>
      <c r="LNU220" s="113"/>
      <c r="LNV220" s="113"/>
      <c r="LNW220" s="113"/>
      <c r="LNX220" s="114"/>
      <c r="LNY220" s="113"/>
      <c r="LNZ220" s="115"/>
      <c r="LOA220" s="115"/>
      <c r="LOB220" s="113"/>
      <c r="LOC220" s="113"/>
      <c r="LOD220" s="113"/>
      <c r="LOE220" s="113"/>
      <c r="LOF220" s="114"/>
      <c r="LOG220" s="113"/>
      <c r="LOH220" s="115"/>
      <c r="LOI220" s="115"/>
      <c r="LOJ220" s="113"/>
      <c r="LOK220" s="113"/>
      <c r="LOL220" s="113"/>
      <c r="LOM220" s="113"/>
      <c r="LON220" s="114"/>
      <c r="LOO220" s="113"/>
      <c r="LOP220" s="115"/>
      <c r="LOQ220" s="115"/>
      <c r="LOR220" s="113"/>
      <c r="LOS220" s="113"/>
      <c r="LOT220" s="113"/>
      <c r="LOU220" s="113"/>
      <c r="LOV220" s="114"/>
      <c r="LOW220" s="113"/>
      <c r="LOX220" s="115"/>
      <c r="LOY220" s="115"/>
      <c r="LOZ220" s="113"/>
      <c r="LPA220" s="113"/>
      <c r="LPB220" s="113"/>
      <c r="LPC220" s="113"/>
      <c r="LPD220" s="114"/>
      <c r="LPE220" s="113"/>
      <c r="LPF220" s="115"/>
      <c r="LPG220" s="115"/>
      <c r="LPH220" s="113"/>
      <c r="LPI220" s="113"/>
      <c r="LPJ220" s="113"/>
      <c r="LPK220" s="113"/>
      <c r="LPL220" s="114"/>
      <c r="LPM220" s="113"/>
      <c r="LPN220" s="115"/>
      <c r="LPO220" s="115"/>
      <c r="LPP220" s="113"/>
      <c r="LPQ220" s="113"/>
      <c r="LPR220" s="113"/>
      <c r="LPS220" s="113"/>
      <c r="LPT220" s="114"/>
      <c r="LPU220" s="113"/>
      <c r="LPV220" s="115"/>
      <c r="LPW220" s="115"/>
      <c r="LPX220" s="113"/>
      <c r="LPY220" s="113"/>
      <c r="LPZ220" s="113"/>
      <c r="LQA220" s="113"/>
      <c r="LQB220" s="114"/>
      <c r="LQC220" s="113"/>
      <c r="LQD220" s="115"/>
      <c r="LQE220" s="115"/>
      <c r="LQF220" s="113"/>
      <c r="LQG220" s="113"/>
      <c r="LQH220" s="113"/>
      <c r="LQI220" s="113"/>
      <c r="LQJ220" s="114"/>
      <c r="LQK220" s="113"/>
      <c r="LQL220" s="115"/>
      <c r="LQM220" s="115"/>
      <c r="LQN220" s="113"/>
      <c r="LQO220" s="113"/>
      <c r="LQP220" s="113"/>
      <c r="LQQ220" s="113"/>
      <c r="LQR220" s="114"/>
      <c r="LQS220" s="113"/>
      <c r="LQT220" s="115"/>
      <c r="LQU220" s="115"/>
      <c r="LQV220" s="113"/>
      <c r="LQW220" s="113"/>
      <c r="LQX220" s="113"/>
      <c r="LQY220" s="113"/>
      <c r="LQZ220" s="114"/>
      <c r="LRA220" s="113"/>
      <c r="LRB220" s="115"/>
      <c r="LRC220" s="115"/>
      <c r="LRD220" s="113"/>
      <c r="LRE220" s="113"/>
      <c r="LRF220" s="113"/>
      <c r="LRG220" s="113"/>
      <c r="LRH220" s="114"/>
      <c r="LRI220" s="113"/>
      <c r="LRJ220" s="115"/>
      <c r="LRK220" s="115"/>
      <c r="LRL220" s="113"/>
      <c r="LRM220" s="113"/>
      <c r="LRN220" s="113"/>
      <c r="LRO220" s="113"/>
      <c r="LRP220" s="114"/>
      <c r="LRQ220" s="113"/>
      <c r="LRR220" s="115"/>
      <c r="LRS220" s="115"/>
      <c r="LRT220" s="113"/>
      <c r="LRU220" s="113"/>
      <c r="LRV220" s="113"/>
      <c r="LRW220" s="113"/>
      <c r="LRX220" s="114"/>
      <c r="LRY220" s="113"/>
      <c r="LRZ220" s="115"/>
      <c r="LSA220" s="115"/>
      <c r="LSB220" s="113"/>
      <c r="LSC220" s="113"/>
      <c r="LSD220" s="113"/>
      <c r="LSE220" s="113"/>
      <c r="LSF220" s="114"/>
      <c r="LSG220" s="113"/>
      <c r="LSH220" s="115"/>
      <c r="LSI220" s="115"/>
      <c r="LSJ220" s="113"/>
      <c r="LSK220" s="113"/>
      <c r="LSL220" s="113"/>
      <c r="LSM220" s="113"/>
      <c r="LSN220" s="114"/>
      <c r="LSO220" s="113"/>
      <c r="LSP220" s="115"/>
      <c r="LSQ220" s="115"/>
      <c r="LSR220" s="113"/>
      <c r="LSS220" s="113"/>
      <c r="LST220" s="113"/>
      <c r="LSU220" s="113"/>
      <c r="LSV220" s="114"/>
      <c r="LSW220" s="113"/>
      <c r="LSX220" s="115"/>
      <c r="LSY220" s="115"/>
      <c r="LSZ220" s="113"/>
      <c r="LTA220" s="113"/>
      <c r="LTB220" s="113"/>
      <c r="LTC220" s="113"/>
      <c r="LTD220" s="114"/>
      <c r="LTE220" s="113"/>
      <c r="LTF220" s="115"/>
      <c r="LTG220" s="115"/>
      <c r="LTH220" s="113"/>
      <c r="LTI220" s="113"/>
      <c r="LTJ220" s="113"/>
      <c r="LTK220" s="113"/>
      <c r="LTL220" s="114"/>
      <c r="LTM220" s="113"/>
      <c r="LTN220" s="115"/>
      <c r="LTO220" s="115"/>
      <c r="LTP220" s="113"/>
      <c r="LTQ220" s="113"/>
      <c r="LTR220" s="113"/>
      <c r="LTS220" s="113"/>
      <c r="LTT220" s="114"/>
      <c r="LTU220" s="113"/>
      <c r="LTV220" s="115"/>
      <c r="LTW220" s="115"/>
      <c r="LTX220" s="113"/>
      <c r="LTY220" s="113"/>
      <c r="LTZ220" s="113"/>
      <c r="LUA220" s="113"/>
      <c r="LUB220" s="114"/>
      <c r="LUC220" s="113"/>
      <c r="LUD220" s="115"/>
      <c r="LUE220" s="115"/>
      <c r="LUF220" s="113"/>
      <c r="LUG220" s="113"/>
      <c r="LUH220" s="113"/>
      <c r="LUI220" s="113"/>
      <c r="LUJ220" s="114"/>
      <c r="LUK220" s="113"/>
      <c r="LUL220" s="115"/>
      <c r="LUM220" s="115"/>
      <c r="LUN220" s="113"/>
      <c r="LUO220" s="113"/>
      <c r="LUP220" s="113"/>
      <c r="LUQ220" s="113"/>
      <c r="LUR220" s="114"/>
      <c r="LUS220" s="113"/>
      <c r="LUT220" s="115"/>
      <c r="LUU220" s="115"/>
      <c r="LUV220" s="113"/>
      <c r="LUW220" s="113"/>
      <c r="LUX220" s="113"/>
      <c r="LUY220" s="113"/>
      <c r="LUZ220" s="114"/>
      <c r="LVA220" s="113"/>
      <c r="LVB220" s="115"/>
      <c r="LVC220" s="115"/>
      <c r="LVD220" s="113"/>
      <c r="LVE220" s="113"/>
      <c r="LVF220" s="113"/>
      <c r="LVG220" s="113"/>
      <c r="LVH220" s="114"/>
      <c r="LVI220" s="113"/>
      <c r="LVJ220" s="115"/>
      <c r="LVK220" s="115"/>
      <c r="LVL220" s="113"/>
      <c r="LVM220" s="113"/>
      <c r="LVN220" s="113"/>
      <c r="LVO220" s="113"/>
      <c r="LVP220" s="114"/>
      <c r="LVQ220" s="113"/>
      <c r="LVR220" s="115"/>
      <c r="LVS220" s="115"/>
      <c r="LVT220" s="113"/>
      <c r="LVU220" s="113"/>
      <c r="LVV220" s="113"/>
      <c r="LVW220" s="113"/>
      <c r="LVX220" s="114"/>
      <c r="LVY220" s="113"/>
      <c r="LVZ220" s="115"/>
      <c r="LWA220" s="115"/>
      <c r="LWB220" s="113"/>
      <c r="LWC220" s="113"/>
      <c r="LWD220" s="113"/>
      <c r="LWE220" s="113"/>
      <c r="LWF220" s="114"/>
      <c r="LWG220" s="113"/>
      <c r="LWH220" s="115"/>
      <c r="LWI220" s="115"/>
      <c r="LWJ220" s="113"/>
      <c r="LWK220" s="113"/>
      <c r="LWL220" s="113"/>
      <c r="LWM220" s="113"/>
      <c r="LWN220" s="114"/>
      <c r="LWO220" s="113"/>
      <c r="LWP220" s="115"/>
      <c r="LWQ220" s="115"/>
      <c r="LWR220" s="113"/>
      <c r="LWS220" s="113"/>
      <c r="LWT220" s="113"/>
      <c r="LWU220" s="113"/>
      <c r="LWV220" s="114"/>
      <c r="LWW220" s="113"/>
      <c r="LWX220" s="115"/>
      <c r="LWY220" s="115"/>
      <c r="LWZ220" s="113"/>
      <c r="LXA220" s="113"/>
      <c r="LXB220" s="113"/>
      <c r="LXC220" s="113"/>
      <c r="LXD220" s="114"/>
      <c r="LXE220" s="113"/>
      <c r="LXF220" s="115"/>
      <c r="LXG220" s="115"/>
      <c r="LXH220" s="113"/>
      <c r="LXI220" s="113"/>
      <c r="LXJ220" s="113"/>
      <c r="LXK220" s="113"/>
      <c r="LXL220" s="114"/>
      <c r="LXM220" s="113"/>
      <c r="LXN220" s="115"/>
      <c r="LXO220" s="115"/>
      <c r="LXP220" s="113"/>
      <c r="LXQ220" s="113"/>
      <c r="LXR220" s="113"/>
      <c r="LXS220" s="113"/>
      <c r="LXT220" s="114"/>
      <c r="LXU220" s="113"/>
      <c r="LXV220" s="115"/>
      <c r="LXW220" s="115"/>
      <c r="LXX220" s="113"/>
      <c r="LXY220" s="113"/>
      <c r="LXZ220" s="113"/>
      <c r="LYA220" s="113"/>
      <c r="LYB220" s="114"/>
      <c r="LYC220" s="113"/>
      <c r="LYD220" s="115"/>
      <c r="LYE220" s="115"/>
      <c r="LYF220" s="113"/>
      <c r="LYG220" s="113"/>
      <c r="LYH220" s="113"/>
      <c r="LYI220" s="113"/>
      <c r="LYJ220" s="114"/>
      <c r="LYK220" s="113"/>
      <c r="LYL220" s="115"/>
      <c r="LYM220" s="115"/>
      <c r="LYN220" s="113"/>
      <c r="LYO220" s="113"/>
      <c r="LYP220" s="113"/>
      <c r="LYQ220" s="113"/>
      <c r="LYR220" s="114"/>
      <c r="LYS220" s="113"/>
      <c r="LYT220" s="115"/>
      <c r="LYU220" s="115"/>
      <c r="LYV220" s="113"/>
      <c r="LYW220" s="113"/>
      <c r="LYX220" s="113"/>
      <c r="LYY220" s="113"/>
      <c r="LYZ220" s="114"/>
      <c r="LZA220" s="113"/>
      <c r="LZB220" s="115"/>
      <c r="LZC220" s="115"/>
      <c r="LZD220" s="113"/>
      <c r="LZE220" s="113"/>
      <c r="LZF220" s="113"/>
      <c r="LZG220" s="113"/>
      <c r="LZH220" s="114"/>
      <c r="LZI220" s="113"/>
      <c r="LZJ220" s="115"/>
      <c r="LZK220" s="115"/>
      <c r="LZL220" s="113"/>
      <c r="LZM220" s="113"/>
      <c r="LZN220" s="113"/>
      <c r="LZO220" s="113"/>
      <c r="LZP220" s="114"/>
      <c r="LZQ220" s="113"/>
      <c r="LZR220" s="115"/>
      <c r="LZS220" s="115"/>
      <c r="LZT220" s="113"/>
      <c r="LZU220" s="113"/>
      <c r="LZV220" s="113"/>
      <c r="LZW220" s="113"/>
      <c r="LZX220" s="114"/>
      <c r="LZY220" s="113"/>
      <c r="LZZ220" s="115"/>
      <c r="MAA220" s="115"/>
      <c r="MAB220" s="113"/>
      <c r="MAC220" s="113"/>
      <c r="MAD220" s="113"/>
      <c r="MAE220" s="113"/>
      <c r="MAF220" s="114"/>
      <c r="MAG220" s="113"/>
      <c r="MAH220" s="115"/>
      <c r="MAI220" s="115"/>
      <c r="MAJ220" s="113"/>
      <c r="MAK220" s="113"/>
      <c r="MAL220" s="113"/>
      <c r="MAM220" s="113"/>
      <c r="MAN220" s="114"/>
      <c r="MAO220" s="113"/>
      <c r="MAP220" s="115"/>
      <c r="MAQ220" s="115"/>
      <c r="MAR220" s="113"/>
      <c r="MAS220" s="113"/>
      <c r="MAT220" s="113"/>
      <c r="MAU220" s="113"/>
      <c r="MAV220" s="114"/>
      <c r="MAW220" s="113"/>
      <c r="MAX220" s="115"/>
      <c r="MAY220" s="115"/>
      <c r="MAZ220" s="113"/>
      <c r="MBA220" s="113"/>
      <c r="MBB220" s="113"/>
      <c r="MBC220" s="113"/>
      <c r="MBD220" s="114"/>
      <c r="MBE220" s="113"/>
      <c r="MBF220" s="115"/>
      <c r="MBG220" s="115"/>
      <c r="MBH220" s="113"/>
      <c r="MBI220" s="113"/>
      <c r="MBJ220" s="113"/>
      <c r="MBK220" s="113"/>
      <c r="MBL220" s="114"/>
      <c r="MBM220" s="113"/>
      <c r="MBN220" s="115"/>
      <c r="MBO220" s="115"/>
      <c r="MBP220" s="113"/>
      <c r="MBQ220" s="113"/>
      <c r="MBR220" s="113"/>
      <c r="MBS220" s="113"/>
      <c r="MBT220" s="114"/>
      <c r="MBU220" s="113"/>
      <c r="MBV220" s="115"/>
      <c r="MBW220" s="115"/>
      <c r="MBX220" s="113"/>
      <c r="MBY220" s="113"/>
      <c r="MBZ220" s="113"/>
      <c r="MCA220" s="113"/>
      <c r="MCB220" s="114"/>
      <c r="MCC220" s="113"/>
      <c r="MCD220" s="115"/>
      <c r="MCE220" s="115"/>
      <c r="MCF220" s="113"/>
      <c r="MCG220" s="113"/>
      <c r="MCH220" s="113"/>
      <c r="MCI220" s="113"/>
      <c r="MCJ220" s="114"/>
      <c r="MCK220" s="113"/>
      <c r="MCL220" s="115"/>
      <c r="MCM220" s="115"/>
      <c r="MCN220" s="113"/>
      <c r="MCO220" s="113"/>
      <c r="MCP220" s="113"/>
      <c r="MCQ220" s="113"/>
      <c r="MCR220" s="114"/>
      <c r="MCS220" s="113"/>
      <c r="MCT220" s="115"/>
      <c r="MCU220" s="115"/>
      <c r="MCV220" s="113"/>
      <c r="MCW220" s="113"/>
      <c r="MCX220" s="113"/>
      <c r="MCY220" s="113"/>
      <c r="MCZ220" s="114"/>
      <c r="MDA220" s="113"/>
      <c r="MDB220" s="115"/>
      <c r="MDC220" s="115"/>
      <c r="MDD220" s="113"/>
      <c r="MDE220" s="113"/>
      <c r="MDF220" s="113"/>
      <c r="MDG220" s="113"/>
      <c r="MDH220" s="114"/>
      <c r="MDI220" s="113"/>
      <c r="MDJ220" s="115"/>
      <c r="MDK220" s="115"/>
      <c r="MDL220" s="113"/>
      <c r="MDM220" s="113"/>
      <c r="MDN220" s="113"/>
      <c r="MDO220" s="113"/>
      <c r="MDP220" s="114"/>
      <c r="MDQ220" s="113"/>
      <c r="MDR220" s="115"/>
      <c r="MDS220" s="115"/>
      <c r="MDT220" s="113"/>
      <c r="MDU220" s="113"/>
      <c r="MDV220" s="113"/>
      <c r="MDW220" s="113"/>
      <c r="MDX220" s="114"/>
      <c r="MDY220" s="113"/>
      <c r="MDZ220" s="115"/>
      <c r="MEA220" s="115"/>
      <c r="MEB220" s="113"/>
      <c r="MEC220" s="113"/>
      <c r="MED220" s="113"/>
      <c r="MEE220" s="113"/>
      <c r="MEF220" s="114"/>
      <c r="MEG220" s="113"/>
      <c r="MEH220" s="115"/>
      <c r="MEI220" s="115"/>
      <c r="MEJ220" s="113"/>
      <c r="MEK220" s="113"/>
      <c r="MEL220" s="113"/>
      <c r="MEM220" s="113"/>
      <c r="MEN220" s="114"/>
      <c r="MEO220" s="113"/>
      <c r="MEP220" s="115"/>
      <c r="MEQ220" s="115"/>
      <c r="MER220" s="113"/>
      <c r="MES220" s="113"/>
      <c r="MET220" s="113"/>
      <c r="MEU220" s="113"/>
      <c r="MEV220" s="114"/>
      <c r="MEW220" s="113"/>
      <c r="MEX220" s="115"/>
      <c r="MEY220" s="115"/>
      <c r="MEZ220" s="113"/>
      <c r="MFA220" s="113"/>
      <c r="MFB220" s="113"/>
      <c r="MFC220" s="113"/>
      <c r="MFD220" s="114"/>
      <c r="MFE220" s="113"/>
      <c r="MFF220" s="115"/>
      <c r="MFG220" s="115"/>
      <c r="MFH220" s="113"/>
      <c r="MFI220" s="113"/>
      <c r="MFJ220" s="113"/>
      <c r="MFK220" s="113"/>
      <c r="MFL220" s="114"/>
      <c r="MFM220" s="113"/>
      <c r="MFN220" s="115"/>
      <c r="MFO220" s="115"/>
      <c r="MFP220" s="113"/>
      <c r="MFQ220" s="113"/>
      <c r="MFR220" s="113"/>
      <c r="MFS220" s="113"/>
      <c r="MFT220" s="114"/>
      <c r="MFU220" s="113"/>
      <c r="MFV220" s="115"/>
      <c r="MFW220" s="115"/>
      <c r="MFX220" s="113"/>
      <c r="MFY220" s="113"/>
      <c r="MFZ220" s="113"/>
      <c r="MGA220" s="113"/>
      <c r="MGB220" s="114"/>
      <c r="MGC220" s="113"/>
      <c r="MGD220" s="115"/>
      <c r="MGE220" s="115"/>
      <c r="MGF220" s="113"/>
      <c r="MGG220" s="113"/>
      <c r="MGH220" s="113"/>
      <c r="MGI220" s="113"/>
      <c r="MGJ220" s="114"/>
      <c r="MGK220" s="113"/>
      <c r="MGL220" s="115"/>
      <c r="MGM220" s="115"/>
      <c r="MGN220" s="113"/>
      <c r="MGO220" s="113"/>
      <c r="MGP220" s="113"/>
      <c r="MGQ220" s="113"/>
      <c r="MGR220" s="114"/>
      <c r="MGS220" s="113"/>
      <c r="MGT220" s="115"/>
      <c r="MGU220" s="115"/>
      <c r="MGV220" s="113"/>
      <c r="MGW220" s="113"/>
      <c r="MGX220" s="113"/>
      <c r="MGY220" s="113"/>
      <c r="MGZ220" s="114"/>
      <c r="MHA220" s="113"/>
      <c r="MHB220" s="115"/>
      <c r="MHC220" s="115"/>
      <c r="MHD220" s="113"/>
      <c r="MHE220" s="113"/>
      <c r="MHF220" s="113"/>
      <c r="MHG220" s="113"/>
      <c r="MHH220" s="114"/>
      <c r="MHI220" s="113"/>
      <c r="MHJ220" s="115"/>
      <c r="MHK220" s="115"/>
      <c r="MHL220" s="113"/>
      <c r="MHM220" s="113"/>
      <c r="MHN220" s="113"/>
      <c r="MHO220" s="113"/>
      <c r="MHP220" s="114"/>
      <c r="MHQ220" s="113"/>
      <c r="MHR220" s="115"/>
      <c r="MHS220" s="115"/>
      <c r="MHT220" s="113"/>
      <c r="MHU220" s="113"/>
      <c r="MHV220" s="113"/>
      <c r="MHW220" s="113"/>
      <c r="MHX220" s="114"/>
      <c r="MHY220" s="113"/>
      <c r="MHZ220" s="115"/>
      <c r="MIA220" s="115"/>
      <c r="MIB220" s="113"/>
      <c r="MIC220" s="113"/>
      <c r="MID220" s="113"/>
      <c r="MIE220" s="113"/>
      <c r="MIF220" s="114"/>
      <c r="MIG220" s="113"/>
      <c r="MIH220" s="115"/>
      <c r="MII220" s="115"/>
      <c r="MIJ220" s="113"/>
      <c r="MIK220" s="113"/>
      <c r="MIL220" s="113"/>
      <c r="MIM220" s="113"/>
      <c r="MIN220" s="114"/>
      <c r="MIO220" s="113"/>
      <c r="MIP220" s="115"/>
      <c r="MIQ220" s="115"/>
      <c r="MIR220" s="113"/>
      <c r="MIS220" s="113"/>
      <c r="MIT220" s="113"/>
      <c r="MIU220" s="113"/>
      <c r="MIV220" s="114"/>
      <c r="MIW220" s="113"/>
      <c r="MIX220" s="115"/>
      <c r="MIY220" s="115"/>
      <c r="MIZ220" s="113"/>
      <c r="MJA220" s="113"/>
      <c r="MJB220" s="113"/>
      <c r="MJC220" s="113"/>
      <c r="MJD220" s="114"/>
      <c r="MJE220" s="113"/>
      <c r="MJF220" s="115"/>
      <c r="MJG220" s="115"/>
      <c r="MJH220" s="113"/>
      <c r="MJI220" s="113"/>
      <c r="MJJ220" s="113"/>
      <c r="MJK220" s="113"/>
      <c r="MJL220" s="114"/>
      <c r="MJM220" s="113"/>
      <c r="MJN220" s="115"/>
      <c r="MJO220" s="115"/>
      <c r="MJP220" s="113"/>
      <c r="MJQ220" s="113"/>
      <c r="MJR220" s="113"/>
      <c r="MJS220" s="113"/>
      <c r="MJT220" s="114"/>
      <c r="MJU220" s="113"/>
      <c r="MJV220" s="115"/>
      <c r="MJW220" s="115"/>
      <c r="MJX220" s="113"/>
      <c r="MJY220" s="113"/>
      <c r="MJZ220" s="113"/>
      <c r="MKA220" s="113"/>
      <c r="MKB220" s="114"/>
      <c r="MKC220" s="113"/>
      <c r="MKD220" s="115"/>
      <c r="MKE220" s="115"/>
      <c r="MKF220" s="113"/>
      <c r="MKG220" s="113"/>
      <c r="MKH220" s="113"/>
      <c r="MKI220" s="113"/>
      <c r="MKJ220" s="114"/>
      <c r="MKK220" s="113"/>
      <c r="MKL220" s="115"/>
      <c r="MKM220" s="115"/>
      <c r="MKN220" s="113"/>
      <c r="MKO220" s="113"/>
      <c r="MKP220" s="113"/>
      <c r="MKQ220" s="113"/>
      <c r="MKR220" s="114"/>
      <c r="MKS220" s="113"/>
      <c r="MKT220" s="115"/>
      <c r="MKU220" s="115"/>
      <c r="MKV220" s="113"/>
      <c r="MKW220" s="113"/>
      <c r="MKX220" s="113"/>
      <c r="MKY220" s="113"/>
      <c r="MKZ220" s="114"/>
      <c r="MLA220" s="113"/>
      <c r="MLB220" s="115"/>
      <c r="MLC220" s="115"/>
      <c r="MLD220" s="113"/>
      <c r="MLE220" s="113"/>
      <c r="MLF220" s="113"/>
      <c r="MLG220" s="113"/>
      <c r="MLH220" s="114"/>
      <c r="MLI220" s="113"/>
      <c r="MLJ220" s="115"/>
      <c r="MLK220" s="115"/>
      <c r="MLL220" s="113"/>
      <c r="MLM220" s="113"/>
      <c r="MLN220" s="113"/>
      <c r="MLO220" s="113"/>
      <c r="MLP220" s="114"/>
      <c r="MLQ220" s="113"/>
      <c r="MLR220" s="115"/>
      <c r="MLS220" s="115"/>
      <c r="MLT220" s="113"/>
      <c r="MLU220" s="113"/>
      <c r="MLV220" s="113"/>
      <c r="MLW220" s="113"/>
      <c r="MLX220" s="114"/>
      <c r="MLY220" s="113"/>
      <c r="MLZ220" s="115"/>
      <c r="MMA220" s="115"/>
      <c r="MMB220" s="113"/>
      <c r="MMC220" s="113"/>
      <c r="MMD220" s="113"/>
      <c r="MME220" s="113"/>
      <c r="MMF220" s="114"/>
      <c r="MMG220" s="113"/>
      <c r="MMH220" s="115"/>
      <c r="MMI220" s="115"/>
      <c r="MMJ220" s="113"/>
      <c r="MMK220" s="113"/>
      <c r="MML220" s="113"/>
      <c r="MMM220" s="113"/>
      <c r="MMN220" s="114"/>
      <c r="MMO220" s="113"/>
      <c r="MMP220" s="115"/>
      <c r="MMQ220" s="115"/>
      <c r="MMR220" s="113"/>
      <c r="MMS220" s="113"/>
      <c r="MMT220" s="113"/>
      <c r="MMU220" s="113"/>
      <c r="MMV220" s="114"/>
      <c r="MMW220" s="113"/>
      <c r="MMX220" s="115"/>
      <c r="MMY220" s="115"/>
      <c r="MMZ220" s="113"/>
      <c r="MNA220" s="113"/>
      <c r="MNB220" s="113"/>
      <c r="MNC220" s="113"/>
      <c r="MND220" s="114"/>
      <c r="MNE220" s="113"/>
      <c r="MNF220" s="115"/>
      <c r="MNG220" s="115"/>
      <c r="MNH220" s="113"/>
      <c r="MNI220" s="113"/>
      <c r="MNJ220" s="113"/>
      <c r="MNK220" s="113"/>
      <c r="MNL220" s="114"/>
      <c r="MNM220" s="113"/>
      <c r="MNN220" s="115"/>
      <c r="MNO220" s="115"/>
      <c r="MNP220" s="113"/>
      <c r="MNQ220" s="113"/>
      <c r="MNR220" s="113"/>
      <c r="MNS220" s="113"/>
      <c r="MNT220" s="114"/>
      <c r="MNU220" s="113"/>
      <c r="MNV220" s="115"/>
      <c r="MNW220" s="115"/>
      <c r="MNX220" s="113"/>
      <c r="MNY220" s="113"/>
      <c r="MNZ220" s="113"/>
      <c r="MOA220" s="113"/>
      <c r="MOB220" s="114"/>
      <c r="MOC220" s="113"/>
      <c r="MOD220" s="115"/>
      <c r="MOE220" s="115"/>
      <c r="MOF220" s="113"/>
      <c r="MOG220" s="113"/>
      <c r="MOH220" s="113"/>
      <c r="MOI220" s="113"/>
      <c r="MOJ220" s="114"/>
      <c r="MOK220" s="113"/>
      <c r="MOL220" s="115"/>
      <c r="MOM220" s="115"/>
      <c r="MON220" s="113"/>
      <c r="MOO220" s="113"/>
      <c r="MOP220" s="113"/>
      <c r="MOQ220" s="113"/>
      <c r="MOR220" s="114"/>
      <c r="MOS220" s="113"/>
      <c r="MOT220" s="115"/>
      <c r="MOU220" s="115"/>
      <c r="MOV220" s="113"/>
      <c r="MOW220" s="113"/>
      <c r="MOX220" s="113"/>
      <c r="MOY220" s="113"/>
      <c r="MOZ220" s="114"/>
      <c r="MPA220" s="113"/>
      <c r="MPB220" s="115"/>
      <c r="MPC220" s="115"/>
      <c r="MPD220" s="113"/>
      <c r="MPE220" s="113"/>
      <c r="MPF220" s="113"/>
      <c r="MPG220" s="113"/>
      <c r="MPH220" s="114"/>
      <c r="MPI220" s="113"/>
      <c r="MPJ220" s="115"/>
      <c r="MPK220" s="115"/>
      <c r="MPL220" s="113"/>
      <c r="MPM220" s="113"/>
      <c r="MPN220" s="113"/>
      <c r="MPO220" s="113"/>
      <c r="MPP220" s="114"/>
      <c r="MPQ220" s="113"/>
      <c r="MPR220" s="115"/>
      <c r="MPS220" s="115"/>
      <c r="MPT220" s="113"/>
      <c r="MPU220" s="113"/>
      <c r="MPV220" s="113"/>
      <c r="MPW220" s="113"/>
      <c r="MPX220" s="114"/>
      <c r="MPY220" s="113"/>
      <c r="MPZ220" s="115"/>
      <c r="MQA220" s="115"/>
      <c r="MQB220" s="113"/>
      <c r="MQC220" s="113"/>
      <c r="MQD220" s="113"/>
      <c r="MQE220" s="113"/>
      <c r="MQF220" s="114"/>
      <c r="MQG220" s="113"/>
      <c r="MQH220" s="115"/>
      <c r="MQI220" s="115"/>
      <c r="MQJ220" s="113"/>
      <c r="MQK220" s="113"/>
      <c r="MQL220" s="113"/>
      <c r="MQM220" s="113"/>
      <c r="MQN220" s="114"/>
      <c r="MQO220" s="113"/>
      <c r="MQP220" s="115"/>
      <c r="MQQ220" s="115"/>
      <c r="MQR220" s="113"/>
      <c r="MQS220" s="113"/>
      <c r="MQT220" s="113"/>
      <c r="MQU220" s="113"/>
      <c r="MQV220" s="114"/>
      <c r="MQW220" s="113"/>
      <c r="MQX220" s="115"/>
      <c r="MQY220" s="115"/>
      <c r="MQZ220" s="113"/>
      <c r="MRA220" s="113"/>
      <c r="MRB220" s="113"/>
      <c r="MRC220" s="113"/>
      <c r="MRD220" s="114"/>
      <c r="MRE220" s="113"/>
      <c r="MRF220" s="115"/>
      <c r="MRG220" s="115"/>
      <c r="MRH220" s="113"/>
      <c r="MRI220" s="113"/>
      <c r="MRJ220" s="113"/>
      <c r="MRK220" s="113"/>
      <c r="MRL220" s="114"/>
      <c r="MRM220" s="113"/>
      <c r="MRN220" s="115"/>
      <c r="MRO220" s="115"/>
      <c r="MRP220" s="113"/>
      <c r="MRQ220" s="113"/>
      <c r="MRR220" s="113"/>
      <c r="MRS220" s="113"/>
      <c r="MRT220" s="114"/>
      <c r="MRU220" s="113"/>
      <c r="MRV220" s="115"/>
      <c r="MRW220" s="115"/>
      <c r="MRX220" s="113"/>
      <c r="MRY220" s="113"/>
      <c r="MRZ220" s="113"/>
      <c r="MSA220" s="113"/>
      <c r="MSB220" s="114"/>
      <c r="MSC220" s="113"/>
      <c r="MSD220" s="115"/>
      <c r="MSE220" s="115"/>
      <c r="MSF220" s="113"/>
      <c r="MSG220" s="113"/>
      <c r="MSH220" s="113"/>
      <c r="MSI220" s="113"/>
      <c r="MSJ220" s="114"/>
      <c r="MSK220" s="113"/>
      <c r="MSL220" s="115"/>
      <c r="MSM220" s="115"/>
      <c r="MSN220" s="113"/>
      <c r="MSO220" s="113"/>
      <c r="MSP220" s="113"/>
      <c r="MSQ220" s="113"/>
      <c r="MSR220" s="114"/>
      <c r="MSS220" s="113"/>
      <c r="MST220" s="115"/>
      <c r="MSU220" s="115"/>
      <c r="MSV220" s="113"/>
      <c r="MSW220" s="113"/>
      <c r="MSX220" s="113"/>
      <c r="MSY220" s="113"/>
      <c r="MSZ220" s="114"/>
      <c r="MTA220" s="113"/>
      <c r="MTB220" s="115"/>
      <c r="MTC220" s="115"/>
      <c r="MTD220" s="113"/>
      <c r="MTE220" s="113"/>
      <c r="MTF220" s="113"/>
      <c r="MTG220" s="113"/>
      <c r="MTH220" s="114"/>
      <c r="MTI220" s="113"/>
      <c r="MTJ220" s="115"/>
      <c r="MTK220" s="115"/>
      <c r="MTL220" s="113"/>
      <c r="MTM220" s="113"/>
      <c r="MTN220" s="113"/>
      <c r="MTO220" s="113"/>
      <c r="MTP220" s="114"/>
      <c r="MTQ220" s="113"/>
      <c r="MTR220" s="115"/>
      <c r="MTS220" s="115"/>
      <c r="MTT220" s="113"/>
      <c r="MTU220" s="113"/>
      <c r="MTV220" s="113"/>
      <c r="MTW220" s="113"/>
      <c r="MTX220" s="114"/>
      <c r="MTY220" s="113"/>
      <c r="MTZ220" s="115"/>
      <c r="MUA220" s="115"/>
      <c r="MUB220" s="113"/>
      <c r="MUC220" s="113"/>
      <c r="MUD220" s="113"/>
      <c r="MUE220" s="113"/>
      <c r="MUF220" s="114"/>
      <c r="MUG220" s="113"/>
      <c r="MUH220" s="115"/>
      <c r="MUI220" s="115"/>
      <c r="MUJ220" s="113"/>
      <c r="MUK220" s="113"/>
      <c r="MUL220" s="113"/>
      <c r="MUM220" s="113"/>
      <c r="MUN220" s="114"/>
      <c r="MUO220" s="113"/>
      <c r="MUP220" s="115"/>
      <c r="MUQ220" s="115"/>
      <c r="MUR220" s="113"/>
      <c r="MUS220" s="113"/>
      <c r="MUT220" s="113"/>
      <c r="MUU220" s="113"/>
      <c r="MUV220" s="114"/>
      <c r="MUW220" s="113"/>
      <c r="MUX220" s="115"/>
      <c r="MUY220" s="115"/>
      <c r="MUZ220" s="113"/>
      <c r="MVA220" s="113"/>
      <c r="MVB220" s="113"/>
      <c r="MVC220" s="113"/>
      <c r="MVD220" s="114"/>
      <c r="MVE220" s="113"/>
      <c r="MVF220" s="115"/>
      <c r="MVG220" s="115"/>
      <c r="MVH220" s="113"/>
      <c r="MVI220" s="113"/>
      <c r="MVJ220" s="113"/>
      <c r="MVK220" s="113"/>
      <c r="MVL220" s="114"/>
      <c r="MVM220" s="113"/>
      <c r="MVN220" s="115"/>
      <c r="MVO220" s="115"/>
      <c r="MVP220" s="113"/>
      <c r="MVQ220" s="113"/>
      <c r="MVR220" s="113"/>
      <c r="MVS220" s="113"/>
      <c r="MVT220" s="114"/>
      <c r="MVU220" s="113"/>
      <c r="MVV220" s="115"/>
      <c r="MVW220" s="115"/>
      <c r="MVX220" s="113"/>
      <c r="MVY220" s="113"/>
      <c r="MVZ220" s="113"/>
      <c r="MWA220" s="113"/>
      <c r="MWB220" s="114"/>
      <c r="MWC220" s="113"/>
      <c r="MWD220" s="115"/>
      <c r="MWE220" s="115"/>
      <c r="MWF220" s="113"/>
      <c r="MWG220" s="113"/>
      <c r="MWH220" s="113"/>
      <c r="MWI220" s="113"/>
      <c r="MWJ220" s="114"/>
      <c r="MWK220" s="113"/>
      <c r="MWL220" s="115"/>
      <c r="MWM220" s="115"/>
      <c r="MWN220" s="113"/>
      <c r="MWO220" s="113"/>
      <c r="MWP220" s="113"/>
      <c r="MWQ220" s="113"/>
      <c r="MWR220" s="114"/>
      <c r="MWS220" s="113"/>
      <c r="MWT220" s="115"/>
      <c r="MWU220" s="115"/>
      <c r="MWV220" s="113"/>
      <c r="MWW220" s="113"/>
      <c r="MWX220" s="113"/>
      <c r="MWY220" s="113"/>
      <c r="MWZ220" s="114"/>
      <c r="MXA220" s="113"/>
      <c r="MXB220" s="115"/>
      <c r="MXC220" s="115"/>
      <c r="MXD220" s="113"/>
      <c r="MXE220" s="113"/>
      <c r="MXF220" s="113"/>
      <c r="MXG220" s="113"/>
      <c r="MXH220" s="114"/>
      <c r="MXI220" s="113"/>
      <c r="MXJ220" s="115"/>
      <c r="MXK220" s="115"/>
      <c r="MXL220" s="113"/>
      <c r="MXM220" s="113"/>
      <c r="MXN220" s="113"/>
      <c r="MXO220" s="113"/>
      <c r="MXP220" s="114"/>
      <c r="MXQ220" s="113"/>
      <c r="MXR220" s="115"/>
      <c r="MXS220" s="115"/>
      <c r="MXT220" s="113"/>
      <c r="MXU220" s="113"/>
      <c r="MXV220" s="113"/>
      <c r="MXW220" s="113"/>
      <c r="MXX220" s="114"/>
      <c r="MXY220" s="113"/>
      <c r="MXZ220" s="115"/>
      <c r="MYA220" s="115"/>
      <c r="MYB220" s="113"/>
      <c r="MYC220" s="113"/>
      <c r="MYD220" s="113"/>
      <c r="MYE220" s="113"/>
      <c r="MYF220" s="114"/>
      <c r="MYG220" s="113"/>
      <c r="MYH220" s="115"/>
      <c r="MYI220" s="115"/>
      <c r="MYJ220" s="113"/>
      <c r="MYK220" s="113"/>
      <c r="MYL220" s="113"/>
      <c r="MYM220" s="113"/>
      <c r="MYN220" s="114"/>
      <c r="MYO220" s="113"/>
      <c r="MYP220" s="115"/>
      <c r="MYQ220" s="115"/>
      <c r="MYR220" s="113"/>
      <c r="MYS220" s="113"/>
      <c r="MYT220" s="113"/>
      <c r="MYU220" s="113"/>
      <c r="MYV220" s="114"/>
      <c r="MYW220" s="113"/>
      <c r="MYX220" s="115"/>
      <c r="MYY220" s="115"/>
      <c r="MYZ220" s="113"/>
      <c r="MZA220" s="113"/>
      <c r="MZB220" s="113"/>
      <c r="MZC220" s="113"/>
      <c r="MZD220" s="114"/>
      <c r="MZE220" s="113"/>
      <c r="MZF220" s="115"/>
      <c r="MZG220" s="115"/>
      <c r="MZH220" s="113"/>
      <c r="MZI220" s="113"/>
      <c r="MZJ220" s="113"/>
      <c r="MZK220" s="113"/>
      <c r="MZL220" s="114"/>
      <c r="MZM220" s="113"/>
      <c r="MZN220" s="115"/>
      <c r="MZO220" s="115"/>
      <c r="MZP220" s="113"/>
      <c r="MZQ220" s="113"/>
      <c r="MZR220" s="113"/>
      <c r="MZS220" s="113"/>
      <c r="MZT220" s="114"/>
      <c r="MZU220" s="113"/>
      <c r="MZV220" s="115"/>
      <c r="MZW220" s="115"/>
      <c r="MZX220" s="113"/>
      <c r="MZY220" s="113"/>
      <c r="MZZ220" s="113"/>
      <c r="NAA220" s="113"/>
      <c r="NAB220" s="114"/>
      <c r="NAC220" s="113"/>
      <c r="NAD220" s="115"/>
      <c r="NAE220" s="115"/>
      <c r="NAF220" s="113"/>
      <c r="NAG220" s="113"/>
      <c r="NAH220" s="113"/>
      <c r="NAI220" s="113"/>
      <c r="NAJ220" s="114"/>
      <c r="NAK220" s="113"/>
      <c r="NAL220" s="115"/>
      <c r="NAM220" s="115"/>
      <c r="NAN220" s="113"/>
      <c r="NAO220" s="113"/>
      <c r="NAP220" s="113"/>
      <c r="NAQ220" s="113"/>
      <c r="NAR220" s="114"/>
      <c r="NAS220" s="113"/>
      <c r="NAT220" s="115"/>
      <c r="NAU220" s="115"/>
      <c r="NAV220" s="113"/>
      <c r="NAW220" s="113"/>
      <c r="NAX220" s="113"/>
      <c r="NAY220" s="113"/>
      <c r="NAZ220" s="114"/>
      <c r="NBA220" s="113"/>
      <c r="NBB220" s="115"/>
      <c r="NBC220" s="115"/>
      <c r="NBD220" s="113"/>
      <c r="NBE220" s="113"/>
      <c r="NBF220" s="113"/>
      <c r="NBG220" s="113"/>
      <c r="NBH220" s="114"/>
      <c r="NBI220" s="113"/>
      <c r="NBJ220" s="115"/>
      <c r="NBK220" s="115"/>
      <c r="NBL220" s="113"/>
      <c r="NBM220" s="113"/>
      <c r="NBN220" s="113"/>
      <c r="NBO220" s="113"/>
      <c r="NBP220" s="114"/>
      <c r="NBQ220" s="113"/>
      <c r="NBR220" s="115"/>
      <c r="NBS220" s="115"/>
      <c r="NBT220" s="113"/>
      <c r="NBU220" s="113"/>
      <c r="NBV220" s="113"/>
      <c r="NBW220" s="113"/>
      <c r="NBX220" s="114"/>
      <c r="NBY220" s="113"/>
      <c r="NBZ220" s="115"/>
      <c r="NCA220" s="115"/>
      <c r="NCB220" s="113"/>
      <c r="NCC220" s="113"/>
      <c r="NCD220" s="113"/>
      <c r="NCE220" s="113"/>
      <c r="NCF220" s="114"/>
      <c r="NCG220" s="113"/>
      <c r="NCH220" s="115"/>
      <c r="NCI220" s="115"/>
      <c r="NCJ220" s="113"/>
      <c r="NCK220" s="113"/>
      <c r="NCL220" s="113"/>
      <c r="NCM220" s="113"/>
      <c r="NCN220" s="114"/>
      <c r="NCO220" s="113"/>
      <c r="NCP220" s="115"/>
      <c r="NCQ220" s="115"/>
      <c r="NCR220" s="113"/>
      <c r="NCS220" s="113"/>
      <c r="NCT220" s="113"/>
      <c r="NCU220" s="113"/>
      <c r="NCV220" s="114"/>
      <c r="NCW220" s="113"/>
      <c r="NCX220" s="115"/>
      <c r="NCY220" s="115"/>
      <c r="NCZ220" s="113"/>
      <c r="NDA220" s="113"/>
      <c r="NDB220" s="113"/>
      <c r="NDC220" s="113"/>
      <c r="NDD220" s="114"/>
      <c r="NDE220" s="113"/>
      <c r="NDF220" s="115"/>
      <c r="NDG220" s="115"/>
      <c r="NDH220" s="113"/>
      <c r="NDI220" s="113"/>
      <c r="NDJ220" s="113"/>
      <c r="NDK220" s="113"/>
      <c r="NDL220" s="114"/>
      <c r="NDM220" s="113"/>
      <c r="NDN220" s="115"/>
      <c r="NDO220" s="115"/>
      <c r="NDP220" s="113"/>
      <c r="NDQ220" s="113"/>
      <c r="NDR220" s="113"/>
      <c r="NDS220" s="113"/>
      <c r="NDT220" s="114"/>
      <c r="NDU220" s="113"/>
      <c r="NDV220" s="115"/>
      <c r="NDW220" s="115"/>
      <c r="NDX220" s="113"/>
      <c r="NDY220" s="113"/>
      <c r="NDZ220" s="113"/>
      <c r="NEA220" s="113"/>
      <c r="NEB220" s="114"/>
      <c r="NEC220" s="113"/>
      <c r="NED220" s="115"/>
      <c r="NEE220" s="115"/>
      <c r="NEF220" s="113"/>
      <c r="NEG220" s="113"/>
      <c r="NEH220" s="113"/>
      <c r="NEI220" s="113"/>
      <c r="NEJ220" s="114"/>
      <c r="NEK220" s="113"/>
      <c r="NEL220" s="115"/>
      <c r="NEM220" s="115"/>
      <c r="NEN220" s="113"/>
      <c r="NEO220" s="113"/>
      <c r="NEP220" s="113"/>
      <c r="NEQ220" s="113"/>
      <c r="NER220" s="114"/>
      <c r="NES220" s="113"/>
      <c r="NET220" s="115"/>
      <c r="NEU220" s="115"/>
      <c r="NEV220" s="113"/>
      <c r="NEW220" s="113"/>
      <c r="NEX220" s="113"/>
      <c r="NEY220" s="113"/>
      <c r="NEZ220" s="114"/>
      <c r="NFA220" s="113"/>
      <c r="NFB220" s="115"/>
      <c r="NFC220" s="115"/>
      <c r="NFD220" s="113"/>
      <c r="NFE220" s="113"/>
      <c r="NFF220" s="113"/>
      <c r="NFG220" s="113"/>
      <c r="NFH220" s="114"/>
      <c r="NFI220" s="113"/>
      <c r="NFJ220" s="115"/>
      <c r="NFK220" s="115"/>
      <c r="NFL220" s="113"/>
      <c r="NFM220" s="113"/>
      <c r="NFN220" s="113"/>
      <c r="NFO220" s="113"/>
      <c r="NFP220" s="114"/>
      <c r="NFQ220" s="113"/>
      <c r="NFR220" s="115"/>
      <c r="NFS220" s="115"/>
      <c r="NFT220" s="113"/>
      <c r="NFU220" s="113"/>
      <c r="NFV220" s="113"/>
      <c r="NFW220" s="113"/>
      <c r="NFX220" s="114"/>
      <c r="NFY220" s="113"/>
      <c r="NFZ220" s="115"/>
      <c r="NGA220" s="115"/>
      <c r="NGB220" s="113"/>
      <c r="NGC220" s="113"/>
      <c r="NGD220" s="113"/>
      <c r="NGE220" s="113"/>
      <c r="NGF220" s="114"/>
      <c r="NGG220" s="113"/>
      <c r="NGH220" s="115"/>
      <c r="NGI220" s="115"/>
      <c r="NGJ220" s="113"/>
      <c r="NGK220" s="113"/>
      <c r="NGL220" s="113"/>
      <c r="NGM220" s="113"/>
      <c r="NGN220" s="114"/>
      <c r="NGO220" s="113"/>
      <c r="NGP220" s="115"/>
      <c r="NGQ220" s="115"/>
      <c r="NGR220" s="113"/>
      <c r="NGS220" s="113"/>
      <c r="NGT220" s="113"/>
      <c r="NGU220" s="113"/>
      <c r="NGV220" s="114"/>
      <c r="NGW220" s="113"/>
      <c r="NGX220" s="115"/>
      <c r="NGY220" s="115"/>
      <c r="NGZ220" s="113"/>
      <c r="NHA220" s="113"/>
      <c r="NHB220" s="113"/>
      <c r="NHC220" s="113"/>
      <c r="NHD220" s="114"/>
      <c r="NHE220" s="113"/>
      <c r="NHF220" s="115"/>
      <c r="NHG220" s="115"/>
      <c r="NHH220" s="113"/>
      <c r="NHI220" s="113"/>
      <c r="NHJ220" s="113"/>
      <c r="NHK220" s="113"/>
      <c r="NHL220" s="114"/>
      <c r="NHM220" s="113"/>
      <c r="NHN220" s="115"/>
      <c r="NHO220" s="115"/>
      <c r="NHP220" s="113"/>
      <c r="NHQ220" s="113"/>
      <c r="NHR220" s="113"/>
      <c r="NHS220" s="113"/>
      <c r="NHT220" s="114"/>
      <c r="NHU220" s="113"/>
      <c r="NHV220" s="115"/>
      <c r="NHW220" s="115"/>
      <c r="NHX220" s="113"/>
      <c r="NHY220" s="113"/>
      <c r="NHZ220" s="113"/>
      <c r="NIA220" s="113"/>
      <c r="NIB220" s="114"/>
      <c r="NIC220" s="113"/>
      <c r="NID220" s="115"/>
      <c r="NIE220" s="115"/>
      <c r="NIF220" s="113"/>
      <c r="NIG220" s="113"/>
      <c r="NIH220" s="113"/>
      <c r="NII220" s="113"/>
      <c r="NIJ220" s="114"/>
      <c r="NIK220" s="113"/>
      <c r="NIL220" s="115"/>
      <c r="NIM220" s="115"/>
      <c r="NIN220" s="113"/>
      <c r="NIO220" s="113"/>
      <c r="NIP220" s="113"/>
      <c r="NIQ220" s="113"/>
      <c r="NIR220" s="114"/>
      <c r="NIS220" s="113"/>
      <c r="NIT220" s="115"/>
      <c r="NIU220" s="115"/>
      <c r="NIV220" s="113"/>
      <c r="NIW220" s="113"/>
      <c r="NIX220" s="113"/>
      <c r="NIY220" s="113"/>
      <c r="NIZ220" s="114"/>
      <c r="NJA220" s="113"/>
      <c r="NJB220" s="115"/>
      <c r="NJC220" s="115"/>
      <c r="NJD220" s="113"/>
      <c r="NJE220" s="113"/>
      <c r="NJF220" s="113"/>
      <c r="NJG220" s="113"/>
      <c r="NJH220" s="114"/>
      <c r="NJI220" s="113"/>
      <c r="NJJ220" s="115"/>
      <c r="NJK220" s="115"/>
      <c r="NJL220" s="113"/>
      <c r="NJM220" s="113"/>
      <c r="NJN220" s="113"/>
      <c r="NJO220" s="113"/>
      <c r="NJP220" s="114"/>
      <c r="NJQ220" s="113"/>
      <c r="NJR220" s="115"/>
      <c r="NJS220" s="115"/>
      <c r="NJT220" s="113"/>
      <c r="NJU220" s="113"/>
      <c r="NJV220" s="113"/>
      <c r="NJW220" s="113"/>
      <c r="NJX220" s="114"/>
      <c r="NJY220" s="113"/>
      <c r="NJZ220" s="115"/>
      <c r="NKA220" s="115"/>
      <c r="NKB220" s="113"/>
      <c r="NKC220" s="113"/>
      <c r="NKD220" s="113"/>
      <c r="NKE220" s="113"/>
      <c r="NKF220" s="114"/>
      <c r="NKG220" s="113"/>
      <c r="NKH220" s="115"/>
      <c r="NKI220" s="115"/>
      <c r="NKJ220" s="113"/>
      <c r="NKK220" s="113"/>
      <c r="NKL220" s="113"/>
      <c r="NKM220" s="113"/>
      <c r="NKN220" s="114"/>
      <c r="NKO220" s="113"/>
      <c r="NKP220" s="115"/>
      <c r="NKQ220" s="115"/>
      <c r="NKR220" s="113"/>
      <c r="NKS220" s="113"/>
      <c r="NKT220" s="113"/>
      <c r="NKU220" s="113"/>
      <c r="NKV220" s="114"/>
      <c r="NKW220" s="113"/>
      <c r="NKX220" s="115"/>
      <c r="NKY220" s="115"/>
      <c r="NKZ220" s="113"/>
      <c r="NLA220" s="113"/>
      <c r="NLB220" s="113"/>
      <c r="NLC220" s="113"/>
      <c r="NLD220" s="114"/>
      <c r="NLE220" s="113"/>
      <c r="NLF220" s="115"/>
      <c r="NLG220" s="115"/>
      <c r="NLH220" s="113"/>
      <c r="NLI220" s="113"/>
      <c r="NLJ220" s="113"/>
      <c r="NLK220" s="113"/>
      <c r="NLL220" s="114"/>
      <c r="NLM220" s="113"/>
      <c r="NLN220" s="115"/>
      <c r="NLO220" s="115"/>
      <c r="NLP220" s="113"/>
      <c r="NLQ220" s="113"/>
      <c r="NLR220" s="113"/>
      <c r="NLS220" s="113"/>
      <c r="NLT220" s="114"/>
      <c r="NLU220" s="113"/>
      <c r="NLV220" s="115"/>
      <c r="NLW220" s="115"/>
      <c r="NLX220" s="113"/>
      <c r="NLY220" s="113"/>
      <c r="NLZ220" s="113"/>
      <c r="NMA220" s="113"/>
      <c r="NMB220" s="114"/>
      <c r="NMC220" s="113"/>
      <c r="NMD220" s="115"/>
      <c r="NME220" s="115"/>
      <c r="NMF220" s="113"/>
      <c r="NMG220" s="113"/>
      <c r="NMH220" s="113"/>
      <c r="NMI220" s="113"/>
      <c r="NMJ220" s="114"/>
      <c r="NMK220" s="113"/>
      <c r="NML220" s="115"/>
      <c r="NMM220" s="115"/>
      <c r="NMN220" s="113"/>
      <c r="NMO220" s="113"/>
      <c r="NMP220" s="113"/>
      <c r="NMQ220" s="113"/>
      <c r="NMR220" s="114"/>
      <c r="NMS220" s="113"/>
      <c r="NMT220" s="115"/>
      <c r="NMU220" s="115"/>
      <c r="NMV220" s="113"/>
      <c r="NMW220" s="113"/>
      <c r="NMX220" s="113"/>
      <c r="NMY220" s="113"/>
      <c r="NMZ220" s="114"/>
      <c r="NNA220" s="113"/>
      <c r="NNB220" s="115"/>
      <c r="NNC220" s="115"/>
      <c r="NND220" s="113"/>
      <c r="NNE220" s="113"/>
      <c r="NNF220" s="113"/>
      <c r="NNG220" s="113"/>
      <c r="NNH220" s="114"/>
      <c r="NNI220" s="113"/>
      <c r="NNJ220" s="115"/>
      <c r="NNK220" s="115"/>
      <c r="NNL220" s="113"/>
      <c r="NNM220" s="113"/>
      <c r="NNN220" s="113"/>
      <c r="NNO220" s="113"/>
      <c r="NNP220" s="114"/>
      <c r="NNQ220" s="113"/>
      <c r="NNR220" s="115"/>
      <c r="NNS220" s="115"/>
      <c r="NNT220" s="113"/>
      <c r="NNU220" s="113"/>
      <c r="NNV220" s="113"/>
      <c r="NNW220" s="113"/>
      <c r="NNX220" s="114"/>
      <c r="NNY220" s="113"/>
      <c r="NNZ220" s="115"/>
      <c r="NOA220" s="115"/>
      <c r="NOB220" s="113"/>
      <c r="NOC220" s="113"/>
      <c r="NOD220" s="113"/>
      <c r="NOE220" s="113"/>
      <c r="NOF220" s="114"/>
      <c r="NOG220" s="113"/>
      <c r="NOH220" s="115"/>
      <c r="NOI220" s="115"/>
      <c r="NOJ220" s="113"/>
      <c r="NOK220" s="113"/>
      <c r="NOL220" s="113"/>
      <c r="NOM220" s="113"/>
      <c r="NON220" s="114"/>
      <c r="NOO220" s="113"/>
      <c r="NOP220" s="115"/>
      <c r="NOQ220" s="115"/>
      <c r="NOR220" s="113"/>
      <c r="NOS220" s="113"/>
      <c r="NOT220" s="113"/>
      <c r="NOU220" s="113"/>
      <c r="NOV220" s="114"/>
      <c r="NOW220" s="113"/>
      <c r="NOX220" s="115"/>
      <c r="NOY220" s="115"/>
      <c r="NOZ220" s="113"/>
      <c r="NPA220" s="113"/>
      <c r="NPB220" s="113"/>
      <c r="NPC220" s="113"/>
      <c r="NPD220" s="114"/>
      <c r="NPE220" s="113"/>
      <c r="NPF220" s="115"/>
      <c r="NPG220" s="115"/>
      <c r="NPH220" s="113"/>
      <c r="NPI220" s="113"/>
      <c r="NPJ220" s="113"/>
      <c r="NPK220" s="113"/>
      <c r="NPL220" s="114"/>
      <c r="NPM220" s="113"/>
      <c r="NPN220" s="115"/>
      <c r="NPO220" s="115"/>
      <c r="NPP220" s="113"/>
      <c r="NPQ220" s="113"/>
      <c r="NPR220" s="113"/>
      <c r="NPS220" s="113"/>
      <c r="NPT220" s="114"/>
      <c r="NPU220" s="113"/>
      <c r="NPV220" s="115"/>
      <c r="NPW220" s="115"/>
      <c r="NPX220" s="113"/>
      <c r="NPY220" s="113"/>
      <c r="NPZ220" s="113"/>
      <c r="NQA220" s="113"/>
      <c r="NQB220" s="114"/>
      <c r="NQC220" s="113"/>
      <c r="NQD220" s="115"/>
      <c r="NQE220" s="115"/>
      <c r="NQF220" s="113"/>
      <c r="NQG220" s="113"/>
      <c r="NQH220" s="113"/>
      <c r="NQI220" s="113"/>
      <c r="NQJ220" s="114"/>
      <c r="NQK220" s="113"/>
      <c r="NQL220" s="115"/>
      <c r="NQM220" s="115"/>
      <c r="NQN220" s="113"/>
      <c r="NQO220" s="113"/>
      <c r="NQP220" s="113"/>
      <c r="NQQ220" s="113"/>
      <c r="NQR220" s="114"/>
      <c r="NQS220" s="113"/>
      <c r="NQT220" s="115"/>
      <c r="NQU220" s="115"/>
      <c r="NQV220" s="113"/>
      <c r="NQW220" s="113"/>
      <c r="NQX220" s="113"/>
      <c r="NQY220" s="113"/>
      <c r="NQZ220" s="114"/>
      <c r="NRA220" s="113"/>
      <c r="NRB220" s="115"/>
      <c r="NRC220" s="115"/>
      <c r="NRD220" s="113"/>
      <c r="NRE220" s="113"/>
      <c r="NRF220" s="113"/>
      <c r="NRG220" s="113"/>
      <c r="NRH220" s="114"/>
      <c r="NRI220" s="113"/>
      <c r="NRJ220" s="115"/>
      <c r="NRK220" s="115"/>
      <c r="NRL220" s="113"/>
      <c r="NRM220" s="113"/>
      <c r="NRN220" s="113"/>
      <c r="NRO220" s="113"/>
      <c r="NRP220" s="114"/>
      <c r="NRQ220" s="113"/>
      <c r="NRR220" s="115"/>
      <c r="NRS220" s="115"/>
      <c r="NRT220" s="113"/>
      <c r="NRU220" s="113"/>
      <c r="NRV220" s="113"/>
      <c r="NRW220" s="113"/>
      <c r="NRX220" s="114"/>
      <c r="NRY220" s="113"/>
      <c r="NRZ220" s="115"/>
      <c r="NSA220" s="115"/>
      <c r="NSB220" s="113"/>
      <c r="NSC220" s="113"/>
      <c r="NSD220" s="113"/>
      <c r="NSE220" s="113"/>
      <c r="NSF220" s="114"/>
      <c r="NSG220" s="113"/>
      <c r="NSH220" s="115"/>
      <c r="NSI220" s="115"/>
      <c r="NSJ220" s="113"/>
      <c r="NSK220" s="113"/>
      <c r="NSL220" s="113"/>
      <c r="NSM220" s="113"/>
      <c r="NSN220" s="114"/>
      <c r="NSO220" s="113"/>
      <c r="NSP220" s="115"/>
      <c r="NSQ220" s="115"/>
      <c r="NSR220" s="113"/>
      <c r="NSS220" s="113"/>
      <c r="NST220" s="113"/>
      <c r="NSU220" s="113"/>
      <c r="NSV220" s="114"/>
      <c r="NSW220" s="113"/>
      <c r="NSX220" s="115"/>
      <c r="NSY220" s="115"/>
      <c r="NSZ220" s="113"/>
      <c r="NTA220" s="113"/>
      <c r="NTB220" s="113"/>
      <c r="NTC220" s="113"/>
      <c r="NTD220" s="114"/>
      <c r="NTE220" s="113"/>
      <c r="NTF220" s="115"/>
      <c r="NTG220" s="115"/>
      <c r="NTH220" s="113"/>
      <c r="NTI220" s="113"/>
      <c r="NTJ220" s="113"/>
      <c r="NTK220" s="113"/>
      <c r="NTL220" s="114"/>
      <c r="NTM220" s="113"/>
      <c r="NTN220" s="115"/>
      <c r="NTO220" s="115"/>
      <c r="NTP220" s="113"/>
      <c r="NTQ220" s="113"/>
      <c r="NTR220" s="113"/>
      <c r="NTS220" s="113"/>
      <c r="NTT220" s="114"/>
      <c r="NTU220" s="113"/>
      <c r="NTV220" s="115"/>
      <c r="NTW220" s="115"/>
      <c r="NTX220" s="113"/>
      <c r="NTY220" s="113"/>
      <c r="NTZ220" s="113"/>
      <c r="NUA220" s="113"/>
      <c r="NUB220" s="114"/>
      <c r="NUC220" s="113"/>
      <c r="NUD220" s="115"/>
      <c r="NUE220" s="115"/>
      <c r="NUF220" s="113"/>
      <c r="NUG220" s="113"/>
      <c r="NUH220" s="113"/>
      <c r="NUI220" s="113"/>
      <c r="NUJ220" s="114"/>
      <c r="NUK220" s="113"/>
      <c r="NUL220" s="115"/>
      <c r="NUM220" s="115"/>
      <c r="NUN220" s="113"/>
      <c r="NUO220" s="113"/>
      <c r="NUP220" s="113"/>
      <c r="NUQ220" s="113"/>
      <c r="NUR220" s="114"/>
      <c r="NUS220" s="113"/>
      <c r="NUT220" s="115"/>
      <c r="NUU220" s="115"/>
      <c r="NUV220" s="113"/>
      <c r="NUW220" s="113"/>
      <c r="NUX220" s="113"/>
      <c r="NUY220" s="113"/>
      <c r="NUZ220" s="114"/>
      <c r="NVA220" s="113"/>
      <c r="NVB220" s="115"/>
      <c r="NVC220" s="115"/>
      <c r="NVD220" s="113"/>
      <c r="NVE220" s="113"/>
      <c r="NVF220" s="113"/>
      <c r="NVG220" s="113"/>
      <c r="NVH220" s="114"/>
      <c r="NVI220" s="113"/>
      <c r="NVJ220" s="115"/>
      <c r="NVK220" s="115"/>
      <c r="NVL220" s="113"/>
      <c r="NVM220" s="113"/>
      <c r="NVN220" s="113"/>
      <c r="NVO220" s="113"/>
      <c r="NVP220" s="114"/>
      <c r="NVQ220" s="113"/>
      <c r="NVR220" s="115"/>
      <c r="NVS220" s="115"/>
      <c r="NVT220" s="113"/>
      <c r="NVU220" s="113"/>
      <c r="NVV220" s="113"/>
      <c r="NVW220" s="113"/>
      <c r="NVX220" s="114"/>
      <c r="NVY220" s="113"/>
      <c r="NVZ220" s="115"/>
      <c r="NWA220" s="115"/>
      <c r="NWB220" s="113"/>
      <c r="NWC220" s="113"/>
      <c r="NWD220" s="113"/>
      <c r="NWE220" s="113"/>
      <c r="NWF220" s="114"/>
      <c r="NWG220" s="113"/>
      <c r="NWH220" s="115"/>
      <c r="NWI220" s="115"/>
      <c r="NWJ220" s="113"/>
      <c r="NWK220" s="113"/>
      <c r="NWL220" s="113"/>
      <c r="NWM220" s="113"/>
      <c r="NWN220" s="114"/>
      <c r="NWO220" s="113"/>
      <c r="NWP220" s="115"/>
      <c r="NWQ220" s="115"/>
      <c r="NWR220" s="113"/>
      <c r="NWS220" s="113"/>
      <c r="NWT220" s="113"/>
      <c r="NWU220" s="113"/>
      <c r="NWV220" s="114"/>
      <c r="NWW220" s="113"/>
      <c r="NWX220" s="115"/>
      <c r="NWY220" s="115"/>
      <c r="NWZ220" s="113"/>
      <c r="NXA220" s="113"/>
      <c r="NXB220" s="113"/>
      <c r="NXC220" s="113"/>
      <c r="NXD220" s="114"/>
      <c r="NXE220" s="113"/>
      <c r="NXF220" s="115"/>
      <c r="NXG220" s="115"/>
      <c r="NXH220" s="113"/>
      <c r="NXI220" s="113"/>
      <c r="NXJ220" s="113"/>
      <c r="NXK220" s="113"/>
      <c r="NXL220" s="114"/>
      <c r="NXM220" s="113"/>
      <c r="NXN220" s="115"/>
      <c r="NXO220" s="115"/>
      <c r="NXP220" s="113"/>
      <c r="NXQ220" s="113"/>
      <c r="NXR220" s="113"/>
      <c r="NXS220" s="113"/>
      <c r="NXT220" s="114"/>
      <c r="NXU220" s="113"/>
      <c r="NXV220" s="115"/>
      <c r="NXW220" s="115"/>
      <c r="NXX220" s="113"/>
      <c r="NXY220" s="113"/>
      <c r="NXZ220" s="113"/>
      <c r="NYA220" s="113"/>
      <c r="NYB220" s="114"/>
      <c r="NYC220" s="113"/>
      <c r="NYD220" s="115"/>
      <c r="NYE220" s="115"/>
      <c r="NYF220" s="113"/>
      <c r="NYG220" s="113"/>
      <c r="NYH220" s="113"/>
      <c r="NYI220" s="113"/>
      <c r="NYJ220" s="114"/>
      <c r="NYK220" s="113"/>
      <c r="NYL220" s="115"/>
      <c r="NYM220" s="115"/>
      <c r="NYN220" s="113"/>
      <c r="NYO220" s="113"/>
      <c r="NYP220" s="113"/>
      <c r="NYQ220" s="113"/>
      <c r="NYR220" s="114"/>
      <c r="NYS220" s="113"/>
      <c r="NYT220" s="115"/>
      <c r="NYU220" s="115"/>
      <c r="NYV220" s="113"/>
      <c r="NYW220" s="113"/>
      <c r="NYX220" s="113"/>
      <c r="NYY220" s="113"/>
      <c r="NYZ220" s="114"/>
      <c r="NZA220" s="113"/>
      <c r="NZB220" s="115"/>
      <c r="NZC220" s="115"/>
      <c r="NZD220" s="113"/>
      <c r="NZE220" s="113"/>
      <c r="NZF220" s="113"/>
      <c r="NZG220" s="113"/>
      <c r="NZH220" s="114"/>
      <c r="NZI220" s="113"/>
      <c r="NZJ220" s="115"/>
      <c r="NZK220" s="115"/>
      <c r="NZL220" s="113"/>
      <c r="NZM220" s="113"/>
      <c r="NZN220" s="113"/>
      <c r="NZO220" s="113"/>
      <c r="NZP220" s="114"/>
      <c r="NZQ220" s="113"/>
      <c r="NZR220" s="115"/>
      <c r="NZS220" s="115"/>
      <c r="NZT220" s="113"/>
      <c r="NZU220" s="113"/>
      <c r="NZV220" s="113"/>
      <c r="NZW220" s="113"/>
      <c r="NZX220" s="114"/>
      <c r="NZY220" s="113"/>
      <c r="NZZ220" s="115"/>
      <c r="OAA220" s="115"/>
      <c r="OAB220" s="113"/>
      <c r="OAC220" s="113"/>
      <c r="OAD220" s="113"/>
      <c r="OAE220" s="113"/>
      <c r="OAF220" s="114"/>
      <c r="OAG220" s="113"/>
      <c r="OAH220" s="115"/>
      <c r="OAI220" s="115"/>
      <c r="OAJ220" s="113"/>
      <c r="OAK220" s="113"/>
      <c r="OAL220" s="113"/>
      <c r="OAM220" s="113"/>
      <c r="OAN220" s="114"/>
      <c r="OAO220" s="113"/>
      <c r="OAP220" s="115"/>
      <c r="OAQ220" s="115"/>
      <c r="OAR220" s="113"/>
      <c r="OAS220" s="113"/>
      <c r="OAT220" s="113"/>
      <c r="OAU220" s="113"/>
      <c r="OAV220" s="114"/>
      <c r="OAW220" s="113"/>
      <c r="OAX220" s="115"/>
      <c r="OAY220" s="115"/>
      <c r="OAZ220" s="113"/>
      <c r="OBA220" s="113"/>
      <c r="OBB220" s="113"/>
      <c r="OBC220" s="113"/>
      <c r="OBD220" s="114"/>
      <c r="OBE220" s="113"/>
      <c r="OBF220" s="115"/>
      <c r="OBG220" s="115"/>
      <c r="OBH220" s="113"/>
      <c r="OBI220" s="113"/>
      <c r="OBJ220" s="113"/>
      <c r="OBK220" s="113"/>
      <c r="OBL220" s="114"/>
      <c r="OBM220" s="113"/>
      <c r="OBN220" s="115"/>
      <c r="OBO220" s="115"/>
      <c r="OBP220" s="113"/>
      <c r="OBQ220" s="113"/>
      <c r="OBR220" s="113"/>
      <c r="OBS220" s="113"/>
      <c r="OBT220" s="114"/>
      <c r="OBU220" s="113"/>
      <c r="OBV220" s="115"/>
      <c r="OBW220" s="115"/>
      <c r="OBX220" s="113"/>
      <c r="OBY220" s="113"/>
      <c r="OBZ220" s="113"/>
      <c r="OCA220" s="113"/>
      <c r="OCB220" s="114"/>
      <c r="OCC220" s="113"/>
      <c r="OCD220" s="115"/>
      <c r="OCE220" s="115"/>
      <c r="OCF220" s="113"/>
      <c r="OCG220" s="113"/>
      <c r="OCH220" s="113"/>
      <c r="OCI220" s="113"/>
      <c r="OCJ220" s="114"/>
      <c r="OCK220" s="113"/>
      <c r="OCL220" s="115"/>
      <c r="OCM220" s="115"/>
      <c r="OCN220" s="113"/>
      <c r="OCO220" s="113"/>
      <c r="OCP220" s="113"/>
      <c r="OCQ220" s="113"/>
      <c r="OCR220" s="114"/>
      <c r="OCS220" s="113"/>
      <c r="OCT220" s="115"/>
      <c r="OCU220" s="115"/>
      <c r="OCV220" s="113"/>
      <c r="OCW220" s="113"/>
      <c r="OCX220" s="113"/>
      <c r="OCY220" s="113"/>
      <c r="OCZ220" s="114"/>
      <c r="ODA220" s="113"/>
      <c r="ODB220" s="115"/>
      <c r="ODC220" s="115"/>
      <c r="ODD220" s="113"/>
      <c r="ODE220" s="113"/>
      <c r="ODF220" s="113"/>
      <c r="ODG220" s="113"/>
      <c r="ODH220" s="114"/>
      <c r="ODI220" s="113"/>
      <c r="ODJ220" s="115"/>
      <c r="ODK220" s="115"/>
      <c r="ODL220" s="113"/>
      <c r="ODM220" s="113"/>
      <c r="ODN220" s="113"/>
      <c r="ODO220" s="113"/>
      <c r="ODP220" s="114"/>
      <c r="ODQ220" s="113"/>
      <c r="ODR220" s="115"/>
      <c r="ODS220" s="115"/>
      <c r="ODT220" s="113"/>
      <c r="ODU220" s="113"/>
      <c r="ODV220" s="113"/>
      <c r="ODW220" s="113"/>
      <c r="ODX220" s="114"/>
      <c r="ODY220" s="113"/>
      <c r="ODZ220" s="115"/>
      <c r="OEA220" s="115"/>
      <c r="OEB220" s="113"/>
      <c r="OEC220" s="113"/>
      <c r="OED220" s="113"/>
      <c r="OEE220" s="113"/>
      <c r="OEF220" s="114"/>
      <c r="OEG220" s="113"/>
      <c r="OEH220" s="115"/>
      <c r="OEI220" s="115"/>
      <c r="OEJ220" s="113"/>
      <c r="OEK220" s="113"/>
      <c r="OEL220" s="113"/>
      <c r="OEM220" s="113"/>
      <c r="OEN220" s="114"/>
      <c r="OEO220" s="113"/>
      <c r="OEP220" s="115"/>
      <c r="OEQ220" s="115"/>
      <c r="OER220" s="113"/>
      <c r="OES220" s="113"/>
      <c r="OET220" s="113"/>
      <c r="OEU220" s="113"/>
      <c r="OEV220" s="114"/>
      <c r="OEW220" s="113"/>
      <c r="OEX220" s="115"/>
      <c r="OEY220" s="115"/>
      <c r="OEZ220" s="113"/>
      <c r="OFA220" s="113"/>
      <c r="OFB220" s="113"/>
      <c r="OFC220" s="113"/>
      <c r="OFD220" s="114"/>
      <c r="OFE220" s="113"/>
      <c r="OFF220" s="115"/>
      <c r="OFG220" s="115"/>
      <c r="OFH220" s="113"/>
      <c r="OFI220" s="113"/>
      <c r="OFJ220" s="113"/>
      <c r="OFK220" s="113"/>
      <c r="OFL220" s="114"/>
      <c r="OFM220" s="113"/>
      <c r="OFN220" s="115"/>
      <c r="OFO220" s="115"/>
      <c r="OFP220" s="113"/>
      <c r="OFQ220" s="113"/>
      <c r="OFR220" s="113"/>
      <c r="OFS220" s="113"/>
      <c r="OFT220" s="114"/>
      <c r="OFU220" s="113"/>
      <c r="OFV220" s="115"/>
      <c r="OFW220" s="115"/>
      <c r="OFX220" s="113"/>
      <c r="OFY220" s="113"/>
      <c r="OFZ220" s="113"/>
      <c r="OGA220" s="113"/>
      <c r="OGB220" s="114"/>
      <c r="OGC220" s="113"/>
      <c r="OGD220" s="115"/>
      <c r="OGE220" s="115"/>
      <c r="OGF220" s="113"/>
      <c r="OGG220" s="113"/>
      <c r="OGH220" s="113"/>
      <c r="OGI220" s="113"/>
      <c r="OGJ220" s="114"/>
      <c r="OGK220" s="113"/>
      <c r="OGL220" s="115"/>
      <c r="OGM220" s="115"/>
      <c r="OGN220" s="113"/>
      <c r="OGO220" s="113"/>
      <c r="OGP220" s="113"/>
      <c r="OGQ220" s="113"/>
      <c r="OGR220" s="114"/>
      <c r="OGS220" s="113"/>
      <c r="OGT220" s="115"/>
      <c r="OGU220" s="115"/>
      <c r="OGV220" s="113"/>
      <c r="OGW220" s="113"/>
      <c r="OGX220" s="113"/>
      <c r="OGY220" s="113"/>
      <c r="OGZ220" s="114"/>
      <c r="OHA220" s="113"/>
      <c r="OHB220" s="115"/>
      <c r="OHC220" s="115"/>
      <c r="OHD220" s="113"/>
      <c r="OHE220" s="113"/>
      <c r="OHF220" s="113"/>
      <c r="OHG220" s="113"/>
      <c r="OHH220" s="114"/>
      <c r="OHI220" s="113"/>
      <c r="OHJ220" s="115"/>
      <c r="OHK220" s="115"/>
      <c r="OHL220" s="113"/>
      <c r="OHM220" s="113"/>
      <c r="OHN220" s="113"/>
      <c r="OHO220" s="113"/>
      <c r="OHP220" s="114"/>
      <c r="OHQ220" s="113"/>
      <c r="OHR220" s="115"/>
      <c r="OHS220" s="115"/>
      <c r="OHT220" s="113"/>
      <c r="OHU220" s="113"/>
      <c r="OHV220" s="113"/>
      <c r="OHW220" s="113"/>
      <c r="OHX220" s="114"/>
      <c r="OHY220" s="113"/>
      <c r="OHZ220" s="115"/>
      <c r="OIA220" s="115"/>
      <c r="OIB220" s="113"/>
      <c r="OIC220" s="113"/>
      <c r="OID220" s="113"/>
      <c r="OIE220" s="113"/>
      <c r="OIF220" s="114"/>
      <c r="OIG220" s="113"/>
      <c r="OIH220" s="115"/>
      <c r="OII220" s="115"/>
      <c r="OIJ220" s="113"/>
      <c r="OIK220" s="113"/>
      <c r="OIL220" s="113"/>
      <c r="OIM220" s="113"/>
      <c r="OIN220" s="114"/>
      <c r="OIO220" s="113"/>
      <c r="OIP220" s="115"/>
      <c r="OIQ220" s="115"/>
      <c r="OIR220" s="113"/>
      <c r="OIS220" s="113"/>
      <c r="OIT220" s="113"/>
      <c r="OIU220" s="113"/>
      <c r="OIV220" s="114"/>
      <c r="OIW220" s="113"/>
      <c r="OIX220" s="115"/>
      <c r="OIY220" s="115"/>
      <c r="OIZ220" s="113"/>
      <c r="OJA220" s="113"/>
      <c r="OJB220" s="113"/>
      <c r="OJC220" s="113"/>
      <c r="OJD220" s="114"/>
      <c r="OJE220" s="113"/>
      <c r="OJF220" s="115"/>
      <c r="OJG220" s="115"/>
      <c r="OJH220" s="113"/>
      <c r="OJI220" s="113"/>
      <c r="OJJ220" s="113"/>
      <c r="OJK220" s="113"/>
      <c r="OJL220" s="114"/>
      <c r="OJM220" s="113"/>
      <c r="OJN220" s="115"/>
      <c r="OJO220" s="115"/>
      <c r="OJP220" s="113"/>
      <c r="OJQ220" s="113"/>
      <c r="OJR220" s="113"/>
      <c r="OJS220" s="113"/>
      <c r="OJT220" s="114"/>
      <c r="OJU220" s="113"/>
      <c r="OJV220" s="115"/>
      <c r="OJW220" s="115"/>
      <c r="OJX220" s="113"/>
      <c r="OJY220" s="113"/>
      <c r="OJZ220" s="113"/>
      <c r="OKA220" s="113"/>
      <c r="OKB220" s="114"/>
      <c r="OKC220" s="113"/>
      <c r="OKD220" s="115"/>
      <c r="OKE220" s="115"/>
      <c r="OKF220" s="113"/>
      <c r="OKG220" s="113"/>
      <c r="OKH220" s="113"/>
      <c r="OKI220" s="113"/>
      <c r="OKJ220" s="114"/>
      <c r="OKK220" s="113"/>
      <c r="OKL220" s="115"/>
      <c r="OKM220" s="115"/>
      <c r="OKN220" s="113"/>
      <c r="OKO220" s="113"/>
      <c r="OKP220" s="113"/>
      <c r="OKQ220" s="113"/>
      <c r="OKR220" s="114"/>
      <c r="OKS220" s="113"/>
      <c r="OKT220" s="115"/>
      <c r="OKU220" s="115"/>
      <c r="OKV220" s="113"/>
      <c r="OKW220" s="113"/>
      <c r="OKX220" s="113"/>
      <c r="OKY220" s="113"/>
      <c r="OKZ220" s="114"/>
      <c r="OLA220" s="113"/>
      <c r="OLB220" s="115"/>
      <c r="OLC220" s="115"/>
      <c r="OLD220" s="113"/>
      <c r="OLE220" s="113"/>
      <c r="OLF220" s="113"/>
      <c r="OLG220" s="113"/>
      <c r="OLH220" s="114"/>
      <c r="OLI220" s="113"/>
      <c r="OLJ220" s="115"/>
      <c r="OLK220" s="115"/>
      <c r="OLL220" s="113"/>
      <c r="OLM220" s="113"/>
      <c r="OLN220" s="113"/>
      <c r="OLO220" s="113"/>
      <c r="OLP220" s="114"/>
      <c r="OLQ220" s="113"/>
      <c r="OLR220" s="115"/>
      <c r="OLS220" s="115"/>
      <c r="OLT220" s="113"/>
      <c r="OLU220" s="113"/>
      <c r="OLV220" s="113"/>
      <c r="OLW220" s="113"/>
      <c r="OLX220" s="114"/>
      <c r="OLY220" s="113"/>
      <c r="OLZ220" s="115"/>
      <c r="OMA220" s="115"/>
      <c r="OMB220" s="113"/>
      <c r="OMC220" s="113"/>
      <c r="OMD220" s="113"/>
      <c r="OME220" s="113"/>
      <c r="OMF220" s="114"/>
      <c r="OMG220" s="113"/>
      <c r="OMH220" s="115"/>
      <c r="OMI220" s="115"/>
      <c r="OMJ220" s="113"/>
      <c r="OMK220" s="113"/>
      <c r="OML220" s="113"/>
      <c r="OMM220" s="113"/>
      <c r="OMN220" s="114"/>
      <c r="OMO220" s="113"/>
      <c r="OMP220" s="115"/>
      <c r="OMQ220" s="115"/>
      <c r="OMR220" s="113"/>
      <c r="OMS220" s="113"/>
      <c r="OMT220" s="113"/>
      <c r="OMU220" s="113"/>
      <c r="OMV220" s="114"/>
      <c r="OMW220" s="113"/>
      <c r="OMX220" s="115"/>
      <c r="OMY220" s="115"/>
      <c r="OMZ220" s="113"/>
      <c r="ONA220" s="113"/>
      <c r="ONB220" s="113"/>
      <c r="ONC220" s="113"/>
      <c r="OND220" s="114"/>
      <c r="ONE220" s="113"/>
      <c r="ONF220" s="115"/>
      <c r="ONG220" s="115"/>
      <c r="ONH220" s="113"/>
      <c r="ONI220" s="113"/>
      <c r="ONJ220" s="113"/>
      <c r="ONK220" s="113"/>
      <c r="ONL220" s="114"/>
      <c r="ONM220" s="113"/>
      <c r="ONN220" s="115"/>
      <c r="ONO220" s="115"/>
      <c r="ONP220" s="113"/>
      <c r="ONQ220" s="113"/>
      <c r="ONR220" s="113"/>
      <c r="ONS220" s="113"/>
      <c r="ONT220" s="114"/>
      <c r="ONU220" s="113"/>
      <c r="ONV220" s="115"/>
      <c r="ONW220" s="115"/>
      <c r="ONX220" s="113"/>
      <c r="ONY220" s="113"/>
      <c r="ONZ220" s="113"/>
      <c r="OOA220" s="113"/>
      <c r="OOB220" s="114"/>
      <c r="OOC220" s="113"/>
      <c r="OOD220" s="115"/>
      <c r="OOE220" s="115"/>
      <c r="OOF220" s="113"/>
      <c r="OOG220" s="113"/>
      <c r="OOH220" s="113"/>
      <c r="OOI220" s="113"/>
      <c r="OOJ220" s="114"/>
      <c r="OOK220" s="113"/>
      <c r="OOL220" s="115"/>
      <c r="OOM220" s="115"/>
      <c r="OON220" s="113"/>
      <c r="OOO220" s="113"/>
      <c r="OOP220" s="113"/>
      <c r="OOQ220" s="113"/>
      <c r="OOR220" s="114"/>
      <c r="OOS220" s="113"/>
      <c r="OOT220" s="115"/>
      <c r="OOU220" s="115"/>
      <c r="OOV220" s="113"/>
      <c r="OOW220" s="113"/>
      <c r="OOX220" s="113"/>
      <c r="OOY220" s="113"/>
      <c r="OOZ220" s="114"/>
      <c r="OPA220" s="113"/>
      <c r="OPB220" s="115"/>
      <c r="OPC220" s="115"/>
      <c r="OPD220" s="113"/>
      <c r="OPE220" s="113"/>
      <c r="OPF220" s="113"/>
      <c r="OPG220" s="113"/>
      <c r="OPH220" s="114"/>
      <c r="OPI220" s="113"/>
      <c r="OPJ220" s="115"/>
      <c r="OPK220" s="115"/>
      <c r="OPL220" s="113"/>
      <c r="OPM220" s="113"/>
      <c r="OPN220" s="113"/>
      <c r="OPO220" s="113"/>
      <c r="OPP220" s="114"/>
      <c r="OPQ220" s="113"/>
      <c r="OPR220" s="115"/>
      <c r="OPS220" s="115"/>
      <c r="OPT220" s="113"/>
      <c r="OPU220" s="113"/>
      <c r="OPV220" s="113"/>
      <c r="OPW220" s="113"/>
      <c r="OPX220" s="114"/>
      <c r="OPY220" s="113"/>
      <c r="OPZ220" s="115"/>
      <c r="OQA220" s="115"/>
      <c r="OQB220" s="113"/>
      <c r="OQC220" s="113"/>
      <c r="OQD220" s="113"/>
      <c r="OQE220" s="113"/>
      <c r="OQF220" s="114"/>
      <c r="OQG220" s="113"/>
      <c r="OQH220" s="115"/>
      <c r="OQI220" s="115"/>
      <c r="OQJ220" s="113"/>
      <c r="OQK220" s="113"/>
      <c r="OQL220" s="113"/>
      <c r="OQM220" s="113"/>
      <c r="OQN220" s="114"/>
      <c r="OQO220" s="113"/>
      <c r="OQP220" s="115"/>
      <c r="OQQ220" s="115"/>
      <c r="OQR220" s="113"/>
      <c r="OQS220" s="113"/>
      <c r="OQT220" s="113"/>
      <c r="OQU220" s="113"/>
      <c r="OQV220" s="114"/>
      <c r="OQW220" s="113"/>
      <c r="OQX220" s="115"/>
      <c r="OQY220" s="115"/>
      <c r="OQZ220" s="113"/>
      <c r="ORA220" s="113"/>
      <c r="ORB220" s="113"/>
      <c r="ORC220" s="113"/>
      <c r="ORD220" s="114"/>
      <c r="ORE220" s="113"/>
      <c r="ORF220" s="115"/>
      <c r="ORG220" s="115"/>
      <c r="ORH220" s="113"/>
      <c r="ORI220" s="113"/>
      <c r="ORJ220" s="113"/>
      <c r="ORK220" s="113"/>
      <c r="ORL220" s="114"/>
      <c r="ORM220" s="113"/>
      <c r="ORN220" s="115"/>
      <c r="ORO220" s="115"/>
      <c r="ORP220" s="113"/>
      <c r="ORQ220" s="113"/>
      <c r="ORR220" s="113"/>
      <c r="ORS220" s="113"/>
      <c r="ORT220" s="114"/>
      <c r="ORU220" s="113"/>
      <c r="ORV220" s="115"/>
      <c r="ORW220" s="115"/>
      <c r="ORX220" s="113"/>
      <c r="ORY220" s="113"/>
      <c r="ORZ220" s="113"/>
      <c r="OSA220" s="113"/>
      <c r="OSB220" s="114"/>
      <c r="OSC220" s="113"/>
      <c r="OSD220" s="115"/>
      <c r="OSE220" s="115"/>
      <c r="OSF220" s="113"/>
      <c r="OSG220" s="113"/>
      <c r="OSH220" s="113"/>
      <c r="OSI220" s="113"/>
      <c r="OSJ220" s="114"/>
      <c r="OSK220" s="113"/>
      <c r="OSL220" s="115"/>
      <c r="OSM220" s="115"/>
      <c r="OSN220" s="113"/>
      <c r="OSO220" s="113"/>
      <c r="OSP220" s="113"/>
      <c r="OSQ220" s="113"/>
      <c r="OSR220" s="114"/>
      <c r="OSS220" s="113"/>
      <c r="OST220" s="115"/>
      <c r="OSU220" s="115"/>
      <c r="OSV220" s="113"/>
      <c r="OSW220" s="113"/>
      <c r="OSX220" s="113"/>
      <c r="OSY220" s="113"/>
      <c r="OSZ220" s="114"/>
      <c r="OTA220" s="113"/>
      <c r="OTB220" s="115"/>
      <c r="OTC220" s="115"/>
      <c r="OTD220" s="113"/>
      <c r="OTE220" s="113"/>
      <c r="OTF220" s="113"/>
      <c r="OTG220" s="113"/>
      <c r="OTH220" s="114"/>
      <c r="OTI220" s="113"/>
      <c r="OTJ220" s="115"/>
      <c r="OTK220" s="115"/>
      <c r="OTL220" s="113"/>
      <c r="OTM220" s="113"/>
      <c r="OTN220" s="113"/>
      <c r="OTO220" s="113"/>
      <c r="OTP220" s="114"/>
      <c r="OTQ220" s="113"/>
      <c r="OTR220" s="115"/>
      <c r="OTS220" s="115"/>
      <c r="OTT220" s="113"/>
      <c r="OTU220" s="113"/>
      <c r="OTV220" s="113"/>
      <c r="OTW220" s="113"/>
      <c r="OTX220" s="114"/>
      <c r="OTY220" s="113"/>
      <c r="OTZ220" s="115"/>
      <c r="OUA220" s="115"/>
      <c r="OUB220" s="113"/>
      <c r="OUC220" s="113"/>
      <c r="OUD220" s="113"/>
      <c r="OUE220" s="113"/>
      <c r="OUF220" s="114"/>
      <c r="OUG220" s="113"/>
      <c r="OUH220" s="115"/>
      <c r="OUI220" s="115"/>
      <c r="OUJ220" s="113"/>
      <c r="OUK220" s="113"/>
      <c r="OUL220" s="113"/>
      <c r="OUM220" s="113"/>
      <c r="OUN220" s="114"/>
      <c r="OUO220" s="113"/>
      <c r="OUP220" s="115"/>
      <c r="OUQ220" s="115"/>
      <c r="OUR220" s="113"/>
      <c r="OUS220" s="113"/>
      <c r="OUT220" s="113"/>
      <c r="OUU220" s="113"/>
      <c r="OUV220" s="114"/>
      <c r="OUW220" s="113"/>
      <c r="OUX220" s="115"/>
      <c r="OUY220" s="115"/>
      <c r="OUZ220" s="113"/>
      <c r="OVA220" s="113"/>
      <c r="OVB220" s="113"/>
      <c r="OVC220" s="113"/>
      <c r="OVD220" s="114"/>
      <c r="OVE220" s="113"/>
      <c r="OVF220" s="115"/>
      <c r="OVG220" s="115"/>
      <c r="OVH220" s="113"/>
      <c r="OVI220" s="113"/>
      <c r="OVJ220" s="113"/>
      <c r="OVK220" s="113"/>
      <c r="OVL220" s="114"/>
      <c r="OVM220" s="113"/>
      <c r="OVN220" s="115"/>
      <c r="OVO220" s="115"/>
      <c r="OVP220" s="113"/>
      <c r="OVQ220" s="113"/>
      <c r="OVR220" s="113"/>
      <c r="OVS220" s="113"/>
      <c r="OVT220" s="114"/>
      <c r="OVU220" s="113"/>
      <c r="OVV220" s="115"/>
      <c r="OVW220" s="115"/>
      <c r="OVX220" s="113"/>
      <c r="OVY220" s="113"/>
      <c r="OVZ220" s="113"/>
      <c r="OWA220" s="113"/>
      <c r="OWB220" s="114"/>
      <c r="OWC220" s="113"/>
      <c r="OWD220" s="115"/>
      <c r="OWE220" s="115"/>
      <c r="OWF220" s="113"/>
      <c r="OWG220" s="113"/>
      <c r="OWH220" s="113"/>
      <c r="OWI220" s="113"/>
      <c r="OWJ220" s="114"/>
      <c r="OWK220" s="113"/>
      <c r="OWL220" s="115"/>
      <c r="OWM220" s="115"/>
      <c r="OWN220" s="113"/>
      <c r="OWO220" s="113"/>
      <c r="OWP220" s="113"/>
      <c r="OWQ220" s="113"/>
      <c r="OWR220" s="114"/>
      <c r="OWS220" s="113"/>
      <c r="OWT220" s="115"/>
      <c r="OWU220" s="115"/>
      <c r="OWV220" s="113"/>
      <c r="OWW220" s="113"/>
      <c r="OWX220" s="113"/>
      <c r="OWY220" s="113"/>
      <c r="OWZ220" s="114"/>
      <c r="OXA220" s="113"/>
      <c r="OXB220" s="115"/>
      <c r="OXC220" s="115"/>
      <c r="OXD220" s="113"/>
      <c r="OXE220" s="113"/>
      <c r="OXF220" s="113"/>
      <c r="OXG220" s="113"/>
      <c r="OXH220" s="114"/>
      <c r="OXI220" s="113"/>
      <c r="OXJ220" s="115"/>
      <c r="OXK220" s="115"/>
      <c r="OXL220" s="113"/>
      <c r="OXM220" s="113"/>
      <c r="OXN220" s="113"/>
      <c r="OXO220" s="113"/>
      <c r="OXP220" s="114"/>
      <c r="OXQ220" s="113"/>
      <c r="OXR220" s="115"/>
      <c r="OXS220" s="115"/>
      <c r="OXT220" s="113"/>
      <c r="OXU220" s="113"/>
      <c r="OXV220" s="113"/>
      <c r="OXW220" s="113"/>
      <c r="OXX220" s="114"/>
      <c r="OXY220" s="113"/>
      <c r="OXZ220" s="115"/>
      <c r="OYA220" s="115"/>
      <c r="OYB220" s="113"/>
      <c r="OYC220" s="113"/>
      <c r="OYD220" s="113"/>
      <c r="OYE220" s="113"/>
      <c r="OYF220" s="114"/>
      <c r="OYG220" s="113"/>
      <c r="OYH220" s="115"/>
      <c r="OYI220" s="115"/>
      <c r="OYJ220" s="113"/>
      <c r="OYK220" s="113"/>
      <c r="OYL220" s="113"/>
      <c r="OYM220" s="113"/>
      <c r="OYN220" s="114"/>
      <c r="OYO220" s="113"/>
      <c r="OYP220" s="115"/>
      <c r="OYQ220" s="115"/>
      <c r="OYR220" s="113"/>
      <c r="OYS220" s="113"/>
      <c r="OYT220" s="113"/>
      <c r="OYU220" s="113"/>
      <c r="OYV220" s="114"/>
      <c r="OYW220" s="113"/>
      <c r="OYX220" s="115"/>
      <c r="OYY220" s="115"/>
      <c r="OYZ220" s="113"/>
      <c r="OZA220" s="113"/>
      <c r="OZB220" s="113"/>
      <c r="OZC220" s="113"/>
      <c r="OZD220" s="114"/>
      <c r="OZE220" s="113"/>
      <c r="OZF220" s="115"/>
      <c r="OZG220" s="115"/>
      <c r="OZH220" s="113"/>
      <c r="OZI220" s="113"/>
      <c r="OZJ220" s="113"/>
      <c r="OZK220" s="113"/>
      <c r="OZL220" s="114"/>
      <c r="OZM220" s="113"/>
      <c r="OZN220" s="115"/>
      <c r="OZO220" s="115"/>
      <c r="OZP220" s="113"/>
      <c r="OZQ220" s="113"/>
      <c r="OZR220" s="113"/>
      <c r="OZS220" s="113"/>
      <c r="OZT220" s="114"/>
      <c r="OZU220" s="113"/>
      <c r="OZV220" s="115"/>
      <c r="OZW220" s="115"/>
      <c r="OZX220" s="113"/>
      <c r="OZY220" s="113"/>
      <c r="OZZ220" s="113"/>
      <c r="PAA220" s="113"/>
      <c r="PAB220" s="114"/>
      <c r="PAC220" s="113"/>
      <c r="PAD220" s="115"/>
      <c r="PAE220" s="115"/>
      <c r="PAF220" s="113"/>
      <c r="PAG220" s="113"/>
      <c r="PAH220" s="113"/>
      <c r="PAI220" s="113"/>
      <c r="PAJ220" s="114"/>
      <c r="PAK220" s="113"/>
      <c r="PAL220" s="115"/>
      <c r="PAM220" s="115"/>
      <c r="PAN220" s="113"/>
      <c r="PAO220" s="113"/>
      <c r="PAP220" s="113"/>
      <c r="PAQ220" s="113"/>
      <c r="PAR220" s="114"/>
      <c r="PAS220" s="113"/>
      <c r="PAT220" s="115"/>
      <c r="PAU220" s="115"/>
      <c r="PAV220" s="113"/>
      <c r="PAW220" s="113"/>
      <c r="PAX220" s="113"/>
      <c r="PAY220" s="113"/>
      <c r="PAZ220" s="114"/>
      <c r="PBA220" s="113"/>
      <c r="PBB220" s="115"/>
      <c r="PBC220" s="115"/>
      <c r="PBD220" s="113"/>
      <c r="PBE220" s="113"/>
      <c r="PBF220" s="113"/>
      <c r="PBG220" s="113"/>
      <c r="PBH220" s="114"/>
      <c r="PBI220" s="113"/>
      <c r="PBJ220" s="115"/>
      <c r="PBK220" s="115"/>
      <c r="PBL220" s="113"/>
      <c r="PBM220" s="113"/>
      <c r="PBN220" s="113"/>
      <c r="PBO220" s="113"/>
      <c r="PBP220" s="114"/>
      <c r="PBQ220" s="113"/>
      <c r="PBR220" s="115"/>
      <c r="PBS220" s="115"/>
      <c r="PBT220" s="113"/>
      <c r="PBU220" s="113"/>
      <c r="PBV220" s="113"/>
      <c r="PBW220" s="113"/>
      <c r="PBX220" s="114"/>
      <c r="PBY220" s="113"/>
      <c r="PBZ220" s="115"/>
      <c r="PCA220" s="115"/>
      <c r="PCB220" s="113"/>
      <c r="PCC220" s="113"/>
      <c r="PCD220" s="113"/>
      <c r="PCE220" s="113"/>
      <c r="PCF220" s="114"/>
      <c r="PCG220" s="113"/>
      <c r="PCH220" s="115"/>
      <c r="PCI220" s="115"/>
      <c r="PCJ220" s="113"/>
      <c r="PCK220" s="113"/>
      <c r="PCL220" s="113"/>
      <c r="PCM220" s="113"/>
      <c r="PCN220" s="114"/>
      <c r="PCO220" s="113"/>
      <c r="PCP220" s="115"/>
      <c r="PCQ220" s="115"/>
      <c r="PCR220" s="113"/>
      <c r="PCS220" s="113"/>
      <c r="PCT220" s="113"/>
      <c r="PCU220" s="113"/>
      <c r="PCV220" s="114"/>
      <c r="PCW220" s="113"/>
      <c r="PCX220" s="115"/>
      <c r="PCY220" s="115"/>
      <c r="PCZ220" s="113"/>
      <c r="PDA220" s="113"/>
      <c r="PDB220" s="113"/>
      <c r="PDC220" s="113"/>
      <c r="PDD220" s="114"/>
      <c r="PDE220" s="113"/>
      <c r="PDF220" s="115"/>
      <c r="PDG220" s="115"/>
      <c r="PDH220" s="113"/>
      <c r="PDI220" s="113"/>
      <c r="PDJ220" s="113"/>
      <c r="PDK220" s="113"/>
      <c r="PDL220" s="114"/>
      <c r="PDM220" s="113"/>
      <c r="PDN220" s="115"/>
      <c r="PDO220" s="115"/>
      <c r="PDP220" s="113"/>
      <c r="PDQ220" s="113"/>
      <c r="PDR220" s="113"/>
      <c r="PDS220" s="113"/>
      <c r="PDT220" s="114"/>
      <c r="PDU220" s="113"/>
      <c r="PDV220" s="115"/>
      <c r="PDW220" s="115"/>
      <c r="PDX220" s="113"/>
      <c r="PDY220" s="113"/>
      <c r="PDZ220" s="113"/>
      <c r="PEA220" s="113"/>
      <c r="PEB220" s="114"/>
      <c r="PEC220" s="113"/>
      <c r="PED220" s="115"/>
      <c r="PEE220" s="115"/>
      <c r="PEF220" s="113"/>
      <c r="PEG220" s="113"/>
      <c r="PEH220" s="113"/>
      <c r="PEI220" s="113"/>
      <c r="PEJ220" s="114"/>
      <c r="PEK220" s="113"/>
      <c r="PEL220" s="115"/>
      <c r="PEM220" s="115"/>
      <c r="PEN220" s="113"/>
      <c r="PEO220" s="113"/>
      <c r="PEP220" s="113"/>
      <c r="PEQ220" s="113"/>
      <c r="PER220" s="114"/>
      <c r="PES220" s="113"/>
      <c r="PET220" s="115"/>
      <c r="PEU220" s="115"/>
      <c r="PEV220" s="113"/>
      <c r="PEW220" s="113"/>
      <c r="PEX220" s="113"/>
      <c r="PEY220" s="113"/>
      <c r="PEZ220" s="114"/>
      <c r="PFA220" s="113"/>
      <c r="PFB220" s="115"/>
      <c r="PFC220" s="115"/>
      <c r="PFD220" s="113"/>
      <c r="PFE220" s="113"/>
      <c r="PFF220" s="113"/>
      <c r="PFG220" s="113"/>
      <c r="PFH220" s="114"/>
      <c r="PFI220" s="113"/>
      <c r="PFJ220" s="115"/>
      <c r="PFK220" s="115"/>
      <c r="PFL220" s="113"/>
      <c r="PFM220" s="113"/>
      <c r="PFN220" s="113"/>
      <c r="PFO220" s="113"/>
      <c r="PFP220" s="114"/>
      <c r="PFQ220" s="113"/>
      <c r="PFR220" s="115"/>
      <c r="PFS220" s="115"/>
      <c r="PFT220" s="113"/>
      <c r="PFU220" s="113"/>
      <c r="PFV220" s="113"/>
      <c r="PFW220" s="113"/>
      <c r="PFX220" s="114"/>
      <c r="PFY220" s="113"/>
      <c r="PFZ220" s="115"/>
      <c r="PGA220" s="115"/>
      <c r="PGB220" s="113"/>
      <c r="PGC220" s="113"/>
      <c r="PGD220" s="113"/>
      <c r="PGE220" s="113"/>
      <c r="PGF220" s="114"/>
      <c r="PGG220" s="113"/>
      <c r="PGH220" s="115"/>
      <c r="PGI220" s="115"/>
      <c r="PGJ220" s="113"/>
      <c r="PGK220" s="113"/>
      <c r="PGL220" s="113"/>
      <c r="PGM220" s="113"/>
      <c r="PGN220" s="114"/>
      <c r="PGO220" s="113"/>
      <c r="PGP220" s="115"/>
      <c r="PGQ220" s="115"/>
      <c r="PGR220" s="113"/>
      <c r="PGS220" s="113"/>
      <c r="PGT220" s="113"/>
      <c r="PGU220" s="113"/>
      <c r="PGV220" s="114"/>
      <c r="PGW220" s="113"/>
      <c r="PGX220" s="115"/>
      <c r="PGY220" s="115"/>
      <c r="PGZ220" s="113"/>
      <c r="PHA220" s="113"/>
      <c r="PHB220" s="113"/>
      <c r="PHC220" s="113"/>
      <c r="PHD220" s="114"/>
      <c r="PHE220" s="113"/>
      <c r="PHF220" s="115"/>
      <c r="PHG220" s="115"/>
      <c r="PHH220" s="113"/>
      <c r="PHI220" s="113"/>
      <c r="PHJ220" s="113"/>
      <c r="PHK220" s="113"/>
      <c r="PHL220" s="114"/>
      <c r="PHM220" s="113"/>
      <c r="PHN220" s="115"/>
      <c r="PHO220" s="115"/>
      <c r="PHP220" s="113"/>
      <c r="PHQ220" s="113"/>
      <c r="PHR220" s="113"/>
      <c r="PHS220" s="113"/>
      <c r="PHT220" s="114"/>
      <c r="PHU220" s="113"/>
      <c r="PHV220" s="115"/>
      <c r="PHW220" s="115"/>
      <c r="PHX220" s="113"/>
      <c r="PHY220" s="113"/>
      <c r="PHZ220" s="113"/>
      <c r="PIA220" s="113"/>
      <c r="PIB220" s="114"/>
      <c r="PIC220" s="113"/>
      <c r="PID220" s="115"/>
      <c r="PIE220" s="115"/>
      <c r="PIF220" s="113"/>
      <c r="PIG220" s="113"/>
      <c r="PIH220" s="113"/>
      <c r="PII220" s="113"/>
      <c r="PIJ220" s="114"/>
      <c r="PIK220" s="113"/>
      <c r="PIL220" s="115"/>
      <c r="PIM220" s="115"/>
      <c r="PIN220" s="113"/>
      <c r="PIO220" s="113"/>
      <c r="PIP220" s="113"/>
      <c r="PIQ220" s="113"/>
      <c r="PIR220" s="114"/>
      <c r="PIS220" s="113"/>
      <c r="PIT220" s="115"/>
      <c r="PIU220" s="115"/>
      <c r="PIV220" s="113"/>
      <c r="PIW220" s="113"/>
      <c r="PIX220" s="113"/>
      <c r="PIY220" s="113"/>
      <c r="PIZ220" s="114"/>
      <c r="PJA220" s="113"/>
      <c r="PJB220" s="115"/>
      <c r="PJC220" s="115"/>
      <c r="PJD220" s="113"/>
      <c r="PJE220" s="113"/>
      <c r="PJF220" s="113"/>
      <c r="PJG220" s="113"/>
      <c r="PJH220" s="114"/>
      <c r="PJI220" s="113"/>
      <c r="PJJ220" s="115"/>
      <c r="PJK220" s="115"/>
      <c r="PJL220" s="113"/>
      <c r="PJM220" s="113"/>
      <c r="PJN220" s="113"/>
      <c r="PJO220" s="113"/>
      <c r="PJP220" s="114"/>
      <c r="PJQ220" s="113"/>
      <c r="PJR220" s="115"/>
      <c r="PJS220" s="115"/>
      <c r="PJT220" s="113"/>
      <c r="PJU220" s="113"/>
      <c r="PJV220" s="113"/>
      <c r="PJW220" s="113"/>
      <c r="PJX220" s="114"/>
      <c r="PJY220" s="113"/>
      <c r="PJZ220" s="115"/>
      <c r="PKA220" s="115"/>
      <c r="PKB220" s="113"/>
      <c r="PKC220" s="113"/>
      <c r="PKD220" s="113"/>
      <c r="PKE220" s="113"/>
      <c r="PKF220" s="114"/>
      <c r="PKG220" s="113"/>
      <c r="PKH220" s="115"/>
      <c r="PKI220" s="115"/>
      <c r="PKJ220" s="113"/>
      <c r="PKK220" s="113"/>
      <c r="PKL220" s="113"/>
      <c r="PKM220" s="113"/>
      <c r="PKN220" s="114"/>
      <c r="PKO220" s="113"/>
      <c r="PKP220" s="115"/>
      <c r="PKQ220" s="115"/>
      <c r="PKR220" s="113"/>
      <c r="PKS220" s="113"/>
      <c r="PKT220" s="113"/>
      <c r="PKU220" s="113"/>
      <c r="PKV220" s="114"/>
      <c r="PKW220" s="113"/>
      <c r="PKX220" s="115"/>
      <c r="PKY220" s="115"/>
      <c r="PKZ220" s="113"/>
      <c r="PLA220" s="113"/>
      <c r="PLB220" s="113"/>
      <c r="PLC220" s="113"/>
      <c r="PLD220" s="114"/>
      <c r="PLE220" s="113"/>
      <c r="PLF220" s="115"/>
      <c r="PLG220" s="115"/>
      <c r="PLH220" s="113"/>
      <c r="PLI220" s="113"/>
      <c r="PLJ220" s="113"/>
      <c r="PLK220" s="113"/>
      <c r="PLL220" s="114"/>
      <c r="PLM220" s="113"/>
      <c r="PLN220" s="115"/>
      <c r="PLO220" s="115"/>
      <c r="PLP220" s="113"/>
      <c r="PLQ220" s="113"/>
      <c r="PLR220" s="113"/>
      <c r="PLS220" s="113"/>
      <c r="PLT220" s="114"/>
      <c r="PLU220" s="113"/>
      <c r="PLV220" s="115"/>
      <c r="PLW220" s="115"/>
      <c r="PLX220" s="113"/>
      <c r="PLY220" s="113"/>
      <c r="PLZ220" s="113"/>
      <c r="PMA220" s="113"/>
      <c r="PMB220" s="114"/>
      <c r="PMC220" s="113"/>
      <c r="PMD220" s="115"/>
      <c r="PME220" s="115"/>
      <c r="PMF220" s="113"/>
      <c r="PMG220" s="113"/>
      <c r="PMH220" s="113"/>
      <c r="PMI220" s="113"/>
      <c r="PMJ220" s="114"/>
      <c r="PMK220" s="113"/>
      <c r="PML220" s="115"/>
      <c r="PMM220" s="115"/>
      <c r="PMN220" s="113"/>
      <c r="PMO220" s="113"/>
      <c r="PMP220" s="113"/>
      <c r="PMQ220" s="113"/>
      <c r="PMR220" s="114"/>
      <c r="PMS220" s="113"/>
      <c r="PMT220" s="115"/>
      <c r="PMU220" s="115"/>
      <c r="PMV220" s="113"/>
      <c r="PMW220" s="113"/>
      <c r="PMX220" s="113"/>
      <c r="PMY220" s="113"/>
      <c r="PMZ220" s="114"/>
      <c r="PNA220" s="113"/>
      <c r="PNB220" s="115"/>
      <c r="PNC220" s="115"/>
      <c r="PND220" s="113"/>
      <c r="PNE220" s="113"/>
      <c r="PNF220" s="113"/>
      <c r="PNG220" s="113"/>
      <c r="PNH220" s="114"/>
      <c r="PNI220" s="113"/>
      <c r="PNJ220" s="115"/>
      <c r="PNK220" s="115"/>
      <c r="PNL220" s="113"/>
      <c r="PNM220" s="113"/>
      <c r="PNN220" s="113"/>
      <c r="PNO220" s="113"/>
      <c r="PNP220" s="114"/>
      <c r="PNQ220" s="113"/>
      <c r="PNR220" s="115"/>
      <c r="PNS220" s="115"/>
      <c r="PNT220" s="113"/>
      <c r="PNU220" s="113"/>
      <c r="PNV220" s="113"/>
      <c r="PNW220" s="113"/>
      <c r="PNX220" s="114"/>
      <c r="PNY220" s="113"/>
      <c r="PNZ220" s="115"/>
      <c r="POA220" s="115"/>
      <c r="POB220" s="113"/>
      <c r="POC220" s="113"/>
      <c r="POD220" s="113"/>
      <c r="POE220" s="113"/>
      <c r="POF220" s="114"/>
      <c r="POG220" s="113"/>
      <c r="POH220" s="115"/>
      <c r="POI220" s="115"/>
      <c r="POJ220" s="113"/>
      <c r="POK220" s="113"/>
      <c r="POL220" s="113"/>
      <c r="POM220" s="113"/>
      <c r="PON220" s="114"/>
      <c r="POO220" s="113"/>
      <c r="POP220" s="115"/>
      <c r="POQ220" s="115"/>
      <c r="POR220" s="113"/>
      <c r="POS220" s="113"/>
      <c r="POT220" s="113"/>
      <c r="POU220" s="113"/>
      <c r="POV220" s="114"/>
      <c r="POW220" s="113"/>
      <c r="POX220" s="115"/>
      <c r="POY220" s="115"/>
      <c r="POZ220" s="113"/>
      <c r="PPA220" s="113"/>
      <c r="PPB220" s="113"/>
      <c r="PPC220" s="113"/>
      <c r="PPD220" s="114"/>
      <c r="PPE220" s="113"/>
      <c r="PPF220" s="115"/>
      <c r="PPG220" s="115"/>
      <c r="PPH220" s="113"/>
      <c r="PPI220" s="113"/>
      <c r="PPJ220" s="113"/>
      <c r="PPK220" s="113"/>
      <c r="PPL220" s="114"/>
      <c r="PPM220" s="113"/>
      <c r="PPN220" s="115"/>
      <c r="PPO220" s="115"/>
      <c r="PPP220" s="113"/>
      <c r="PPQ220" s="113"/>
      <c r="PPR220" s="113"/>
      <c r="PPS220" s="113"/>
      <c r="PPT220" s="114"/>
      <c r="PPU220" s="113"/>
      <c r="PPV220" s="115"/>
      <c r="PPW220" s="115"/>
      <c r="PPX220" s="113"/>
      <c r="PPY220" s="113"/>
      <c r="PPZ220" s="113"/>
      <c r="PQA220" s="113"/>
      <c r="PQB220" s="114"/>
      <c r="PQC220" s="113"/>
      <c r="PQD220" s="115"/>
      <c r="PQE220" s="115"/>
      <c r="PQF220" s="113"/>
      <c r="PQG220" s="113"/>
      <c r="PQH220" s="113"/>
      <c r="PQI220" s="113"/>
      <c r="PQJ220" s="114"/>
      <c r="PQK220" s="113"/>
      <c r="PQL220" s="115"/>
      <c r="PQM220" s="115"/>
      <c r="PQN220" s="113"/>
      <c r="PQO220" s="113"/>
      <c r="PQP220" s="113"/>
      <c r="PQQ220" s="113"/>
      <c r="PQR220" s="114"/>
      <c r="PQS220" s="113"/>
      <c r="PQT220" s="115"/>
      <c r="PQU220" s="115"/>
      <c r="PQV220" s="113"/>
      <c r="PQW220" s="113"/>
      <c r="PQX220" s="113"/>
      <c r="PQY220" s="113"/>
      <c r="PQZ220" s="114"/>
      <c r="PRA220" s="113"/>
      <c r="PRB220" s="115"/>
      <c r="PRC220" s="115"/>
      <c r="PRD220" s="113"/>
      <c r="PRE220" s="113"/>
      <c r="PRF220" s="113"/>
      <c r="PRG220" s="113"/>
      <c r="PRH220" s="114"/>
      <c r="PRI220" s="113"/>
      <c r="PRJ220" s="115"/>
      <c r="PRK220" s="115"/>
      <c r="PRL220" s="113"/>
      <c r="PRM220" s="113"/>
      <c r="PRN220" s="113"/>
      <c r="PRO220" s="113"/>
      <c r="PRP220" s="114"/>
      <c r="PRQ220" s="113"/>
      <c r="PRR220" s="115"/>
      <c r="PRS220" s="115"/>
      <c r="PRT220" s="113"/>
      <c r="PRU220" s="113"/>
      <c r="PRV220" s="113"/>
      <c r="PRW220" s="113"/>
      <c r="PRX220" s="114"/>
      <c r="PRY220" s="113"/>
      <c r="PRZ220" s="115"/>
      <c r="PSA220" s="115"/>
      <c r="PSB220" s="113"/>
      <c r="PSC220" s="113"/>
      <c r="PSD220" s="113"/>
      <c r="PSE220" s="113"/>
      <c r="PSF220" s="114"/>
      <c r="PSG220" s="113"/>
      <c r="PSH220" s="115"/>
      <c r="PSI220" s="115"/>
      <c r="PSJ220" s="113"/>
      <c r="PSK220" s="113"/>
      <c r="PSL220" s="113"/>
      <c r="PSM220" s="113"/>
      <c r="PSN220" s="114"/>
      <c r="PSO220" s="113"/>
      <c r="PSP220" s="115"/>
      <c r="PSQ220" s="115"/>
      <c r="PSR220" s="113"/>
      <c r="PSS220" s="113"/>
      <c r="PST220" s="113"/>
      <c r="PSU220" s="113"/>
      <c r="PSV220" s="114"/>
      <c r="PSW220" s="113"/>
      <c r="PSX220" s="115"/>
      <c r="PSY220" s="115"/>
      <c r="PSZ220" s="113"/>
      <c r="PTA220" s="113"/>
      <c r="PTB220" s="113"/>
      <c r="PTC220" s="113"/>
      <c r="PTD220" s="114"/>
      <c r="PTE220" s="113"/>
      <c r="PTF220" s="115"/>
      <c r="PTG220" s="115"/>
      <c r="PTH220" s="113"/>
      <c r="PTI220" s="113"/>
      <c r="PTJ220" s="113"/>
      <c r="PTK220" s="113"/>
      <c r="PTL220" s="114"/>
      <c r="PTM220" s="113"/>
      <c r="PTN220" s="115"/>
      <c r="PTO220" s="115"/>
      <c r="PTP220" s="113"/>
      <c r="PTQ220" s="113"/>
      <c r="PTR220" s="113"/>
      <c r="PTS220" s="113"/>
      <c r="PTT220" s="114"/>
      <c r="PTU220" s="113"/>
      <c r="PTV220" s="115"/>
      <c r="PTW220" s="115"/>
      <c r="PTX220" s="113"/>
      <c r="PTY220" s="113"/>
      <c r="PTZ220" s="113"/>
      <c r="PUA220" s="113"/>
      <c r="PUB220" s="114"/>
      <c r="PUC220" s="113"/>
      <c r="PUD220" s="115"/>
      <c r="PUE220" s="115"/>
      <c r="PUF220" s="113"/>
      <c r="PUG220" s="113"/>
      <c r="PUH220" s="113"/>
      <c r="PUI220" s="113"/>
      <c r="PUJ220" s="114"/>
      <c r="PUK220" s="113"/>
      <c r="PUL220" s="115"/>
      <c r="PUM220" s="115"/>
      <c r="PUN220" s="113"/>
      <c r="PUO220" s="113"/>
      <c r="PUP220" s="113"/>
      <c r="PUQ220" s="113"/>
      <c r="PUR220" s="114"/>
      <c r="PUS220" s="113"/>
      <c r="PUT220" s="115"/>
      <c r="PUU220" s="115"/>
      <c r="PUV220" s="113"/>
      <c r="PUW220" s="113"/>
      <c r="PUX220" s="113"/>
      <c r="PUY220" s="113"/>
      <c r="PUZ220" s="114"/>
      <c r="PVA220" s="113"/>
      <c r="PVB220" s="115"/>
      <c r="PVC220" s="115"/>
      <c r="PVD220" s="113"/>
      <c r="PVE220" s="113"/>
      <c r="PVF220" s="113"/>
      <c r="PVG220" s="113"/>
      <c r="PVH220" s="114"/>
      <c r="PVI220" s="113"/>
      <c r="PVJ220" s="115"/>
      <c r="PVK220" s="115"/>
      <c r="PVL220" s="113"/>
      <c r="PVM220" s="113"/>
      <c r="PVN220" s="113"/>
      <c r="PVO220" s="113"/>
      <c r="PVP220" s="114"/>
      <c r="PVQ220" s="113"/>
      <c r="PVR220" s="115"/>
      <c r="PVS220" s="115"/>
      <c r="PVT220" s="113"/>
      <c r="PVU220" s="113"/>
      <c r="PVV220" s="113"/>
      <c r="PVW220" s="113"/>
      <c r="PVX220" s="114"/>
      <c r="PVY220" s="113"/>
      <c r="PVZ220" s="115"/>
      <c r="PWA220" s="115"/>
      <c r="PWB220" s="113"/>
      <c r="PWC220" s="113"/>
      <c r="PWD220" s="113"/>
      <c r="PWE220" s="113"/>
      <c r="PWF220" s="114"/>
      <c r="PWG220" s="113"/>
      <c r="PWH220" s="115"/>
      <c r="PWI220" s="115"/>
      <c r="PWJ220" s="113"/>
      <c r="PWK220" s="113"/>
      <c r="PWL220" s="113"/>
      <c r="PWM220" s="113"/>
      <c r="PWN220" s="114"/>
      <c r="PWO220" s="113"/>
      <c r="PWP220" s="115"/>
      <c r="PWQ220" s="115"/>
      <c r="PWR220" s="113"/>
      <c r="PWS220" s="113"/>
      <c r="PWT220" s="113"/>
      <c r="PWU220" s="113"/>
      <c r="PWV220" s="114"/>
      <c r="PWW220" s="113"/>
      <c r="PWX220" s="115"/>
      <c r="PWY220" s="115"/>
      <c r="PWZ220" s="113"/>
      <c r="PXA220" s="113"/>
      <c r="PXB220" s="113"/>
      <c r="PXC220" s="113"/>
      <c r="PXD220" s="114"/>
      <c r="PXE220" s="113"/>
      <c r="PXF220" s="115"/>
      <c r="PXG220" s="115"/>
      <c r="PXH220" s="113"/>
      <c r="PXI220" s="113"/>
      <c r="PXJ220" s="113"/>
      <c r="PXK220" s="113"/>
      <c r="PXL220" s="114"/>
      <c r="PXM220" s="113"/>
      <c r="PXN220" s="115"/>
      <c r="PXO220" s="115"/>
      <c r="PXP220" s="113"/>
      <c r="PXQ220" s="113"/>
      <c r="PXR220" s="113"/>
      <c r="PXS220" s="113"/>
      <c r="PXT220" s="114"/>
      <c r="PXU220" s="113"/>
      <c r="PXV220" s="115"/>
      <c r="PXW220" s="115"/>
      <c r="PXX220" s="113"/>
      <c r="PXY220" s="113"/>
      <c r="PXZ220" s="113"/>
      <c r="PYA220" s="113"/>
      <c r="PYB220" s="114"/>
      <c r="PYC220" s="113"/>
      <c r="PYD220" s="115"/>
      <c r="PYE220" s="115"/>
      <c r="PYF220" s="113"/>
      <c r="PYG220" s="113"/>
      <c r="PYH220" s="113"/>
      <c r="PYI220" s="113"/>
      <c r="PYJ220" s="114"/>
      <c r="PYK220" s="113"/>
      <c r="PYL220" s="115"/>
      <c r="PYM220" s="115"/>
      <c r="PYN220" s="113"/>
      <c r="PYO220" s="113"/>
      <c r="PYP220" s="113"/>
      <c r="PYQ220" s="113"/>
      <c r="PYR220" s="114"/>
      <c r="PYS220" s="113"/>
      <c r="PYT220" s="115"/>
      <c r="PYU220" s="115"/>
      <c r="PYV220" s="113"/>
      <c r="PYW220" s="113"/>
      <c r="PYX220" s="113"/>
      <c r="PYY220" s="113"/>
      <c r="PYZ220" s="114"/>
      <c r="PZA220" s="113"/>
      <c r="PZB220" s="115"/>
      <c r="PZC220" s="115"/>
      <c r="PZD220" s="113"/>
      <c r="PZE220" s="113"/>
      <c r="PZF220" s="113"/>
      <c r="PZG220" s="113"/>
      <c r="PZH220" s="114"/>
      <c r="PZI220" s="113"/>
      <c r="PZJ220" s="115"/>
      <c r="PZK220" s="115"/>
      <c r="PZL220" s="113"/>
      <c r="PZM220" s="113"/>
      <c r="PZN220" s="113"/>
      <c r="PZO220" s="113"/>
      <c r="PZP220" s="114"/>
      <c r="PZQ220" s="113"/>
      <c r="PZR220" s="115"/>
      <c r="PZS220" s="115"/>
      <c r="PZT220" s="113"/>
      <c r="PZU220" s="113"/>
      <c r="PZV220" s="113"/>
      <c r="PZW220" s="113"/>
      <c r="PZX220" s="114"/>
      <c r="PZY220" s="113"/>
      <c r="PZZ220" s="115"/>
      <c r="QAA220" s="115"/>
      <c r="QAB220" s="113"/>
      <c r="QAC220" s="113"/>
      <c r="QAD220" s="113"/>
      <c r="QAE220" s="113"/>
      <c r="QAF220" s="114"/>
      <c r="QAG220" s="113"/>
      <c r="QAH220" s="115"/>
      <c r="QAI220" s="115"/>
      <c r="QAJ220" s="113"/>
      <c r="QAK220" s="113"/>
      <c r="QAL220" s="113"/>
      <c r="QAM220" s="113"/>
      <c r="QAN220" s="114"/>
      <c r="QAO220" s="113"/>
      <c r="QAP220" s="115"/>
      <c r="QAQ220" s="115"/>
      <c r="QAR220" s="113"/>
      <c r="QAS220" s="113"/>
      <c r="QAT220" s="113"/>
      <c r="QAU220" s="113"/>
      <c r="QAV220" s="114"/>
      <c r="QAW220" s="113"/>
      <c r="QAX220" s="115"/>
      <c r="QAY220" s="115"/>
      <c r="QAZ220" s="113"/>
      <c r="QBA220" s="113"/>
      <c r="QBB220" s="113"/>
      <c r="QBC220" s="113"/>
      <c r="QBD220" s="114"/>
      <c r="QBE220" s="113"/>
      <c r="QBF220" s="115"/>
      <c r="QBG220" s="115"/>
      <c r="QBH220" s="113"/>
      <c r="QBI220" s="113"/>
      <c r="QBJ220" s="113"/>
      <c r="QBK220" s="113"/>
      <c r="QBL220" s="114"/>
      <c r="QBM220" s="113"/>
      <c r="QBN220" s="115"/>
      <c r="QBO220" s="115"/>
      <c r="QBP220" s="113"/>
      <c r="QBQ220" s="113"/>
      <c r="QBR220" s="113"/>
      <c r="QBS220" s="113"/>
      <c r="QBT220" s="114"/>
      <c r="QBU220" s="113"/>
      <c r="QBV220" s="115"/>
      <c r="QBW220" s="115"/>
      <c r="QBX220" s="113"/>
      <c r="QBY220" s="113"/>
      <c r="QBZ220" s="113"/>
      <c r="QCA220" s="113"/>
      <c r="QCB220" s="114"/>
      <c r="QCC220" s="113"/>
      <c r="QCD220" s="115"/>
      <c r="QCE220" s="115"/>
      <c r="QCF220" s="113"/>
      <c r="QCG220" s="113"/>
      <c r="QCH220" s="113"/>
      <c r="QCI220" s="113"/>
      <c r="QCJ220" s="114"/>
      <c r="QCK220" s="113"/>
      <c r="QCL220" s="115"/>
      <c r="QCM220" s="115"/>
      <c r="QCN220" s="113"/>
      <c r="QCO220" s="113"/>
      <c r="QCP220" s="113"/>
      <c r="QCQ220" s="113"/>
      <c r="QCR220" s="114"/>
      <c r="QCS220" s="113"/>
      <c r="QCT220" s="115"/>
      <c r="QCU220" s="115"/>
      <c r="QCV220" s="113"/>
      <c r="QCW220" s="113"/>
      <c r="QCX220" s="113"/>
      <c r="QCY220" s="113"/>
      <c r="QCZ220" s="114"/>
      <c r="QDA220" s="113"/>
      <c r="QDB220" s="115"/>
      <c r="QDC220" s="115"/>
      <c r="QDD220" s="113"/>
      <c r="QDE220" s="113"/>
      <c r="QDF220" s="113"/>
      <c r="QDG220" s="113"/>
      <c r="QDH220" s="114"/>
      <c r="QDI220" s="113"/>
      <c r="QDJ220" s="115"/>
      <c r="QDK220" s="115"/>
      <c r="QDL220" s="113"/>
      <c r="QDM220" s="113"/>
      <c r="QDN220" s="113"/>
      <c r="QDO220" s="113"/>
      <c r="QDP220" s="114"/>
      <c r="QDQ220" s="113"/>
      <c r="QDR220" s="115"/>
      <c r="QDS220" s="115"/>
      <c r="QDT220" s="113"/>
      <c r="QDU220" s="113"/>
      <c r="QDV220" s="113"/>
      <c r="QDW220" s="113"/>
      <c r="QDX220" s="114"/>
      <c r="QDY220" s="113"/>
      <c r="QDZ220" s="115"/>
      <c r="QEA220" s="115"/>
      <c r="QEB220" s="113"/>
      <c r="QEC220" s="113"/>
      <c r="QED220" s="113"/>
      <c r="QEE220" s="113"/>
      <c r="QEF220" s="114"/>
      <c r="QEG220" s="113"/>
      <c r="QEH220" s="115"/>
      <c r="QEI220" s="115"/>
      <c r="QEJ220" s="113"/>
      <c r="QEK220" s="113"/>
      <c r="QEL220" s="113"/>
      <c r="QEM220" s="113"/>
      <c r="QEN220" s="114"/>
      <c r="QEO220" s="113"/>
      <c r="QEP220" s="115"/>
      <c r="QEQ220" s="115"/>
      <c r="QER220" s="113"/>
      <c r="QES220" s="113"/>
      <c r="QET220" s="113"/>
      <c r="QEU220" s="113"/>
      <c r="QEV220" s="114"/>
      <c r="QEW220" s="113"/>
      <c r="QEX220" s="115"/>
      <c r="QEY220" s="115"/>
      <c r="QEZ220" s="113"/>
      <c r="QFA220" s="113"/>
      <c r="QFB220" s="113"/>
      <c r="QFC220" s="113"/>
      <c r="QFD220" s="114"/>
      <c r="QFE220" s="113"/>
      <c r="QFF220" s="115"/>
      <c r="QFG220" s="115"/>
      <c r="QFH220" s="113"/>
      <c r="QFI220" s="113"/>
      <c r="QFJ220" s="113"/>
      <c r="QFK220" s="113"/>
      <c r="QFL220" s="114"/>
      <c r="QFM220" s="113"/>
      <c r="QFN220" s="115"/>
      <c r="QFO220" s="115"/>
      <c r="QFP220" s="113"/>
      <c r="QFQ220" s="113"/>
      <c r="QFR220" s="113"/>
      <c r="QFS220" s="113"/>
      <c r="QFT220" s="114"/>
      <c r="QFU220" s="113"/>
      <c r="QFV220" s="115"/>
      <c r="QFW220" s="115"/>
      <c r="QFX220" s="113"/>
      <c r="QFY220" s="113"/>
      <c r="QFZ220" s="113"/>
      <c r="QGA220" s="113"/>
      <c r="QGB220" s="114"/>
      <c r="QGC220" s="113"/>
      <c r="QGD220" s="115"/>
      <c r="QGE220" s="115"/>
      <c r="QGF220" s="113"/>
      <c r="QGG220" s="113"/>
      <c r="QGH220" s="113"/>
      <c r="QGI220" s="113"/>
      <c r="QGJ220" s="114"/>
      <c r="QGK220" s="113"/>
      <c r="QGL220" s="115"/>
      <c r="QGM220" s="115"/>
      <c r="QGN220" s="113"/>
      <c r="QGO220" s="113"/>
      <c r="QGP220" s="113"/>
      <c r="QGQ220" s="113"/>
      <c r="QGR220" s="114"/>
      <c r="QGS220" s="113"/>
      <c r="QGT220" s="115"/>
      <c r="QGU220" s="115"/>
      <c r="QGV220" s="113"/>
      <c r="QGW220" s="113"/>
      <c r="QGX220" s="113"/>
      <c r="QGY220" s="113"/>
      <c r="QGZ220" s="114"/>
      <c r="QHA220" s="113"/>
      <c r="QHB220" s="115"/>
      <c r="QHC220" s="115"/>
      <c r="QHD220" s="113"/>
      <c r="QHE220" s="113"/>
      <c r="QHF220" s="113"/>
      <c r="QHG220" s="113"/>
      <c r="QHH220" s="114"/>
      <c r="QHI220" s="113"/>
      <c r="QHJ220" s="115"/>
      <c r="QHK220" s="115"/>
      <c r="QHL220" s="113"/>
      <c r="QHM220" s="113"/>
      <c r="QHN220" s="113"/>
      <c r="QHO220" s="113"/>
      <c r="QHP220" s="114"/>
      <c r="QHQ220" s="113"/>
      <c r="QHR220" s="115"/>
      <c r="QHS220" s="115"/>
      <c r="QHT220" s="113"/>
      <c r="QHU220" s="113"/>
      <c r="QHV220" s="113"/>
      <c r="QHW220" s="113"/>
      <c r="QHX220" s="114"/>
      <c r="QHY220" s="113"/>
      <c r="QHZ220" s="115"/>
      <c r="QIA220" s="115"/>
      <c r="QIB220" s="113"/>
      <c r="QIC220" s="113"/>
      <c r="QID220" s="113"/>
      <c r="QIE220" s="113"/>
      <c r="QIF220" s="114"/>
      <c r="QIG220" s="113"/>
      <c r="QIH220" s="115"/>
      <c r="QII220" s="115"/>
      <c r="QIJ220" s="113"/>
      <c r="QIK220" s="113"/>
      <c r="QIL220" s="113"/>
      <c r="QIM220" s="113"/>
      <c r="QIN220" s="114"/>
      <c r="QIO220" s="113"/>
      <c r="QIP220" s="115"/>
      <c r="QIQ220" s="115"/>
      <c r="QIR220" s="113"/>
      <c r="QIS220" s="113"/>
      <c r="QIT220" s="113"/>
      <c r="QIU220" s="113"/>
      <c r="QIV220" s="114"/>
      <c r="QIW220" s="113"/>
      <c r="QIX220" s="115"/>
      <c r="QIY220" s="115"/>
      <c r="QIZ220" s="113"/>
      <c r="QJA220" s="113"/>
      <c r="QJB220" s="113"/>
      <c r="QJC220" s="113"/>
      <c r="QJD220" s="114"/>
      <c r="QJE220" s="113"/>
      <c r="QJF220" s="115"/>
      <c r="QJG220" s="115"/>
      <c r="QJH220" s="113"/>
      <c r="QJI220" s="113"/>
      <c r="QJJ220" s="113"/>
      <c r="QJK220" s="113"/>
      <c r="QJL220" s="114"/>
      <c r="QJM220" s="113"/>
      <c r="QJN220" s="115"/>
      <c r="QJO220" s="115"/>
      <c r="QJP220" s="113"/>
      <c r="QJQ220" s="113"/>
      <c r="QJR220" s="113"/>
      <c r="QJS220" s="113"/>
      <c r="QJT220" s="114"/>
      <c r="QJU220" s="113"/>
      <c r="QJV220" s="115"/>
      <c r="QJW220" s="115"/>
      <c r="QJX220" s="113"/>
      <c r="QJY220" s="113"/>
      <c r="QJZ220" s="113"/>
      <c r="QKA220" s="113"/>
      <c r="QKB220" s="114"/>
      <c r="QKC220" s="113"/>
      <c r="QKD220" s="115"/>
      <c r="QKE220" s="115"/>
      <c r="QKF220" s="113"/>
      <c r="QKG220" s="113"/>
      <c r="QKH220" s="113"/>
      <c r="QKI220" s="113"/>
      <c r="QKJ220" s="114"/>
      <c r="QKK220" s="113"/>
      <c r="QKL220" s="115"/>
      <c r="QKM220" s="115"/>
      <c r="QKN220" s="113"/>
      <c r="QKO220" s="113"/>
      <c r="QKP220" s="113"/>
      <c r="QKQ220" s="113"/>
      <c r="QKR220" s="114"/>
      <c r="QKS220" s="113"/>
      <c r="QKT220" s="115"/>
      <c r="QKU220" s="115"/>
      <c r="QKV220" s="113"/>
      <c r="QKW220" s="113"/>
      <c r="QKX220" s="113"/>
      <c r="QKY220" s="113"/>
      <c r="QKZ220" s="114"/>
      <c r="QLA220" s="113"/>
      <c r="QLB220" s="115"/>
      <c r="QLC220" s="115"/>
      <c r="QLD220" s="113"/>
      <c r="QLE220" s="113"/>
      <c r="QLF220" s="113"/>
      <c r="QLG220" s="113"/>
      <c r="QLH220" s="114"/>
      <c r="QLI220" s="113"/>
      <c r="QLJ220" s="115"/>
      <c r="QLK220" s="115"/>
      <c r="QLL220" s="113"/>
      <c r="QLM220" s="113"/>
      <c r="QLN220" s="113"/>
      <c r="QLO220" s="113"/>
      <c r="QLP220" s="114"/>
      <c r="QLQ220" s="113"/>
      <c r="QLR220" s="115"/>
      <c r="QLS220" s="115"/>
      <c r="QLT220" s="113"/>
      <c r="QLU220" s="113"/>
      <c r="QLV220" s="113"/>
      <c r="QLW220" s="113"/>
      <c r="QLX220" s="114"/>
      <c r="QLY220" s="113"/>
      <c r="QLZ220" s="115"/>
      <c r="QMA220" s="115"/>
      <c r="QMB220" s="113"/>
      <c r="QMC220" s="113"/>
      <c r="QMD220" s="113"/>
      <c r="QME220" s="113"/>
      <c r="QMF220" s="114"/>
      <c r="QMG220" s="113"/>
      <c r="QMH220" s="115"/>
      <c r="QMI220" s="115"/>
      <c r="QMJ220" s="113"/>
      <c r="QMK220" s="113"/>
      <c r="QML220" s="113"/>
      <c r="QMM220" s="113"/>
      <c r="QMN220" s="114"/>
      <c r="QMO220" s="113"/>
      <c r="QMP220" s="115"/>
      <c r="QMQ220" s="115"/>
      <c r="QMR220" s="113"/>
      <c r="QMS220" s="113"/>
      <c r="QMT220" s="113"/>
      <c r="QMU220" s="113"/>
      <c r="QMV220" s="114"/>
      <c r="QMW220" s="113"/>
      <c r="QMX220" s="115"/>
      <c r="QMY220" s="115"/>
      <c r="QMZ220" s="113"/>
      <c r="QNA220" s="113"/>
      <c r="QNB220" s="113"/>
      <c r="QNC220" s="113"/>
      <c r="QND220" s="114"/>
      <c r="QNE220" s="113"/>
      <c r="QNF220" s="115"/>
      <c r="QNG220" s="115"/>
      <c r="QNH220" s="113"/>
      <c r="QNI220" s="113"/>
      <c r="QNJ220" s="113"/>
      <c r="QNK220" s="113"/>
      <c r="QNL220" s="114"/>
      <c r="QNM220" s="113"/>
      <c r="QNN220" s="115"/>
      <c r="QNO220" s="115"/>
      <c r="QNP220" s="113"/>
      <c r="QNQ220" s="113"/>
      <c r="QNR220" s="113"/>
      <c r="QNS220" s="113"/>
      <c r="QNT220" s="114"/>
      <c r="QNU220" s="113"/>
      <c r="QNV220" s="115"/>
      <c r="QNW220" s="115"/>
      <c r="QNX220" s="113"/>
      <c r="QNY220" s="113"/>
      <c r="QNZ220" s="113"/>
      <c r="QOA220" s="113"/>
      <c r="QOB220" s="114"/>
      <c r="QOC220" s="113"/>
      <c r="QOD220" s="115"/>
      <c r="QOE220" s="115"/>
      <c r="QOF220" s="113"/>
      <c r="QOG220" s="113"/>
      <c r="QOH220" s="113"/>
      <c r="QOI220" s="113"/>
      <c r="QOJ220" s="114"/>
      <c r="QOK220" s="113"/>
      <c r="QOL220" s="115"/>
      <c r="QOM220" s="115"/>
      <c r="QON220" s="113"/>
      <c r="QOO220" s="113"/>
      <c r="QOP220" s="113"/>
      <c r="QOQ220" s="113"/>
      <c r="QOR220" s="114"/>
      <c r="QOS220" s="113"/>
      <c r="QOT220" s="115"/>
      <c r="QOU220" s="115"/>
      <c r="QOV220" s="113"/>
      <c r="QOW220" s="113"/>
      <c r="QOX220" s="113"/>
      <c r="QOY220" s="113"/>
      <c r="QOZ220" s="114"/>
      <c r="QPA220" s="113"/>
      <c r="QPB220" s="115"/>
      <c r="QPC220" s="115"/>
      <c r="QPD220" s="113"/>
      <c r="QPE220" s="113"/>
      <c r="QPF220" s="113"/>
      <c r="QPG220" s="113"/>
      <c r="QPH220" s="114"/>
      <c r="QPI220" s="113"/>
      <c r="QPJ220" s="115"/>
      <c r="QPK220" s="115"/>
      <c r="QPL220" s="113"/>
      <c r="QPM220" s="113"/>
      <c r="QPN220" s="113"/>
      <c r="QPO220" s="113"/>
      <c r="QPP220" s="114"/>
      <c r="QPQ220" s="113"/>
      <c r="QPR220" s="115"/>
      <c r="QPS220" s="115"/>
      <c r="QPT220" s="113"/>
      <c r="QPU220" s="113"/>
      <c r="QPV220" s="113"/>
      <c r="QPW220" s="113"/>
      <c r="QPX220" s="114"/>
      <c r="QPY220" s="113"/>
      <c r="QPZ220" s="115"/>
      <c r="QQA220" s="115"/>
      <c r="QQB220" s="113"/>
      <c r="QQC220" s="113"/>
      <c r="QQD220" s="113"/>
      <c r="QQE220" s="113"/>
      <c r="QQF220" s="114"/>
      <c r="QQG220" s="113"/>
      <c r="QQH220" s="115"/>
      <c r="QQI220" s="115"/>
      <c r="QQJ220" s="113"/>
      <c r="QQK220" s="113"/>
      <c r="QQL220" s="113"/>
      <c r="QQM220" s="113"/>
      <c r="QQN220" s="114"/>
      <c r="QQO220" s="113"/>
      <c r="QQP220" s="115"/>
      <c r="QQQ220" s="115"/>
      <c r="QQR220" s="113"/>
      <c r="QQS220" s="113"/>
      <c r="QQT220" s="113"/>
      <c r="QQU220" s="113"/>
      <c r="QQV220" s="114"/>
      <c r="QQW220" s="113"/>
      <c r="QQX220" s="115"/>
      <c r="QQY220" s="115"/>
      <c r="QQZ220" s="113"/>
      <c r="QRA220" s="113"/>
      <c r="QRB220" s="113"/>
      <c r="QRC220" s="113"/>
      <c r="QRD220" s="114"/>
      <c r="QRE220" s="113"/>
      <c r="QRF220" s="115"/>
      <c r="QRG220" s="115"/>
      <c r="QRH220" s="113"/>
      <c r="QRI220" s="113"/>
      <c r="QRJ220" s="113"/>
      <c r="QRK220" s="113"/>
      <c r="QRL220" s="114"/>
      <c r="QRM220" s="113"/>
      <c r="QRN220" s="115"/>
      <c r="QRO220" s="115"/>
      <c r="QRP220" s="113"/>
      <c r="QRQ220" s="113"/>
      <c r="QRR220" s="113"/>
      <c r="QRS220" s="113"/>
      <c r="QRT220" s="114"/>
      <c r="QRU220" s="113"/>
      <c r="QRV220" s="115"/>
      <c r="QRW220" s="115"/>
      <c r="QRX220" s="113"/>
      <c r="QRY220" s="113"/>
      <c r="QRZ220" s="113"/>
      <c r="QSA220" s="113"/>
      <c r="QSB220" s="114"/>
      <c r="QSC220" s="113"/>
      <c r="QSD220" s="115"/>
      <c r="QSE220" s="115"/>
      <c r="QSF220" s="113"/>
      <c r="QSG220" s="113"/>
      <c r="QSH220" s="113"/>
      <c r="QSI220" s="113"/>
      <c r="QSJ220" s="114"/>
      <c r="QSK220" s="113"/>
      <c r="QSL220" s="115"/>
      <c r="QSM220" s="115"/>
      <c r="QSN220" s="113"/>
      <c r="QSO220" s="113"/>
      <c r="QSP220" s="113"/>
      <c r="QSQ220" s="113"/>
      <c r="QSR220" s="114"/>
      <c r="QSS220" s="113"/>
      <c r="QST220" s="115"/>
      <c r="QSU220" s="115"/>
      <c r="QSV220" s="113"/>
      <c r="QSW220" s="113"/>
      <c r="QSX220" s="113"/>
      <c r="QSY220" s="113"/>
      <c r="QSZ220" s="114"/>
      <c r="QTA220" s="113"/>
      <c r="QTB220" s="115"/>
      <c r="QTC220" s="115"/>
      <c r="QTD220" s="113"/>
      <c r="QTE220" s="113"/>
      <c r="QTF220" s="113"/>
      <c r="QTG220" s="113"/>
      <c r="QTH220" s="114"/>
      <c r="QTI220" s="113"/>
      <c r="QTJ220" s="115"/>
      <c r="QTK220" s="115"/>
      <c r="QTL220" s="113"/>
      <c r="QTM220" s="113"/>
      <c r="QTN220" s="113"/>
      <c r="QTO220" s="113"/>
      <c r="QTP220" s="114"/>
      <c r="QTQ220" s="113"/>
      <c r="QTR220" s="115"/>
      <c r="QTS220" s="115"/>
      <c r="QTT220" s="113"/>
      <c r="QTU220" s="113"/>
      <c r="QTV220" s="113"/>
      <c r="QTW220" s="113"/>
      <c r="QTX220" s="114"/>
      <c r="QTY220" s="113"/>
      <c r="QTZ220" s="115"/>
      <c r="QUA220" s="115"/>
      <c r="QUB220" s="113"/>
      <c r="QUC220" s="113"/>
      <c r="QUD220" s="113"/>
      <c r="QUE220" s="113"/>
      <c r="QUF220" s="114"/>
      <c r="QUG220" s="113"/>
      <c r="QUH220" s="115"/>
      <c r="QUI220" s="115"/>
      <c r="QUJ220" s="113"/>
      <c r="QUK220" s="113"/>
      <c r="QUL220" s="113"/>
      <c r="QUM220" s="113"/>
      <c r="QUN220" s="114"/>
      <c r="QUO220" s="113"/>
      <c r="QUP220" s="115"/>
      <c r="QUQ220" s="115"/>
      <c r="QUR220" s="113"/>
      <c r="QUS220" s="113"/>
      <c r="QUT220" s="113"/>
      <c r="QUU220" s="113"/>
      <c r="QUV220" s="114"/>
      <c r="QUW220" s="113"/>
      <c r="QUX220" s="115"/>
      <c r="QUY220" s="115"/>
      <c r="QUZ220" s="113"/>
      <c r="QVA220" s="113"/>
      <c r="QVB220" s="113"/>
      <c r="QVC220" s="113"/>
      <c r="QVD220" s="114"/>
      <c r="QVE220" s="113"/>
      <c r="QVF220" s="115"/>
      <c r="QVG220" s="115"/>
      <c r="QVH220" s="113"/>
      <c r="QVI220" s="113"/>
      <c r="QVJ220" s="113"/>
      <c r="QVK220" s="113"/>
      <c r="QVL220" s="114"/>
      <c r="QVM220" s="113"/>
      <c r="QVN220" s="115"/>
      <c r="QVO220" s="115"/>
      <c r="QVP220" s="113"/>
      <c r="QVQ220" s="113"/>
      <c r="QVR220" s="113"/>
      <c r="QVS220" s="113"/>
      <c r="QVT220" s="114"/>
      <c r="QVU220" s="113"/>
      <c r="QVV220" s="115"/>
      <c r="QVW220" s="115"/>
      <c r="QVX220" s="113"/>
      <c r="QVY220" s="113"/>
      <c r="QVZ220" s="113"/>
      <c r="QWA220" s="113"/>
      <c r="QWB220" s="114"/>
      <c r="QWC220" s="113"/>
      <c r="QWD220" s="115"/>
      <c r="QWE220" s="115"/>
      <c r="QWF220" s="113"/>
      <c r="QWG220" s="113"/>
      <c r="QWH220" s="113"/>
      <c r="QWI220" s="113"/>
      <c r="QWJ220" s="114"/>
      <c r="QWK220" s="113"/>
      <c r="QWL220" s="115"/>
      <c r="QWM220" s="115"/>
      <c r="QWN220" s="113"/>
      <c r="QWO220" s="113"/>
      <c r="QWP220" s="113"/>
      <c r="QWQ220" s="113"/>
      <c r="QWR220" s="114"/>
      <c r="QWS220" s="113"/>
      <c r="QWT220" s="115"/>
      <c r="QWU220" s="115"/>
      <c r="QWV220" s="113"/>
      <c r="QWW220" s="113"/>
      <c r="QWX220" s="113"/>
      <c r="QWY220" s="113"/>
      <c r="QWZ220" s="114"/>
      <c r="QXA220" s="113"/>
      <c r="QXB220" s="115"/>
      <c r="QXC220" s="115"/>
      <c r="QXD220" s="113"/>
      <c r="QXE220" s="113"/>
      <c r="QXF220" s="113"/>
      <c r="QXG220" s="113"/>
      <c r="QXH220" s="114"/>
      <c r="QXI220" s="113"/>
      <c r="QXJ220" s="115"/>
      <c r="QXK220" s="115"/>
      <c r="QXL220" s="113"/>
      <c r="QXM220" s="113"/>
      <c r="QXN220" s="113"/>
      <c r="QXO220" s="113"/>
      <c r="QXP220" s="114"/>
      <c r="QXQ220" s="113"/>
      <c r="QXR220" s="115"/>
      <c r="QXS220" s="115"/>
      <c r="QXT220" s="113"/>
      <c r="QXU220" s="113"/>
      <c r="QXV220" s="113"/>
      <c r="QXW220" s="113"/>
      <c r="QXX220" s="114"/>
      <c r="QXY220" s="113"/>
      <c r="QXZ220" s="115"/>
      <c r="QYA220" s="115"/>
      <c r="QYB220" s="113"/>
      <c r="QYC220" s="113"/>
      <c r="QYD220" s="113"/>
      <c r="QYE220" s="113"/>
      <c r="QYF220" s="114"/>
      <c r="QYG220" s="113"/>
      <c r="QYH220" s="115"/>
      <c r="QYI220" s="115"/>
      <c r="QYJ220" s="113"/>
      <c r="QYK220" s="113"/>
      <c r="QYL220" s="113"/>
      <c r="QYM220" s="113"/>
      <c r="QYN220" s="114"/>
      <c r="QYO220" s="113"/>
      <c r="QYP220" s="115"/>
      <c r="QYQ220" s="115"/>
      <c r="QYR220" s="113"/>
      <c r="QYS220" s="113"/>
      <c r="QYT220" s="113"/>
      <c r="QYU220" s="113"/>
      <c r="QYV220" s="114"/>
      <c r="QYW220" s="113"/>
      <c r="QYX220" s="115"/>
      <c r="QYY220" s="115"/>
      <c r="QYZ220" s="113"/>
      <c r="QZA220" s="113"/>
      <c r="QZB220" s="113"/>
      <c r="QZC220" s="113"/>
      <c r="QZD220" s="114"/>
      <c r="QZE220" s="113"/>
      <c r="QZF220" s="115"/>
      <c r="QZG220" s="115"/>
      <c r="QZH220" s="113"/>
      <c r="QZI220" s="113"/>
      <c r="QZJ220" s="113"/>
      <c r="QZK220" s="113"/>
      <c r="QZL220" s="114"/>
      <c r="QZM220" s="113"/>
      <c r="QZN220" s="115"/>
      <c r="QZO220" s="115"/>
      <c r="QZP220" s="113"/>
      <c r="QZQ220" s="113"/>
      <c r="QZR220" s="113"/>
      <c r="QZS220" s="113"/>
      <c r="QZT220" s="114"/>
      <c r="QZU220" s="113"/>
      <c r="QZV220" s="115"/>
      <c r="QZW220" s="115"/>
      <c r="QZX220" s="113"/>
      <c r="QZY220" s="113"/>
      <c r="QZZ220" s="113"/>
      <c r="RAA220" s="113"/>
      <c r="RAB220" s="114"/>
      <c r="RAC220" s="113"/>
      <c r="RAD220" s="115"/>
      <c r="RAE220" s="115"/>
      <c r="RAF220" s="113"/>
      <c r="RAG220" s="113"/>
      <c r="RAH220" s="113"/>
      <c r="RAI220" s="113"/>
      <c r="RAJ220" s="114"/>
      <c r="RAK220" s="113"/>
      <c r="RAL220" s="115"/>
      <c r="RAM220" s="115"/>
      <c r="RAN220" s="113"/>
      <c r="RAO220" s="113"/>
      <c r="RAP220" s="113"/>
      <c r="RAQ220" s="113"/>
      <c r="RAR220" s="114"/>
      <c r="RAS220" s="113"/>
      <c r="RAT220" s="115"/>
      <c r="RAU220" s="115"/>
      <c r="RAV220" s="113"/>
      <c r="RAW220" s="113"/>
      <c r="RAX220" s="113"/>
      <c r="RAY220" s="113"/>
      <c r="RAZ220" s="114"/>
      <c r="RBA220" s="113"/>
      <c r="RBB220" s="115"/>
      <c r="RBC220" s="115"/>
      <c r="RBD220" s="113"/>
      <c r="RBE220" s="113"/>
      <c r="RBF220" s="113"/>
      <c r="RBG220" s="113"/>
      <c r="RBH220" s="114"/>
      <c r="RBI220" s="113"/>
      <c r="RBJ220" s="115"/>
      <c r="RBK220" s="115"/>
      <c r="RBL220" s="113"/>
      <c r="RBM220" s="113"/>
      <c r="RBN220" s="113"/>
      <c r="RBO220" s="113"/>
      <c r="RBP220" s="114"/>
      <c r="RBQ220" s="113"/>
      <c r="RBR220" s="115"/>
      <c r="RBS220" s="115"/>
      <c r="RBT220" s="113"/>
      <c r="RBU220" s="113"/>
      <c r="RBV220" s="113"/>
      <c r="RBW220" s="113"/>
      <c r="RBX220" s="114"/>
      <c r="RBY220" s="113"/>
      <c r="RBZ220" s="115"/>
      <c r="RCA220" s="115"/>
      <c r="RCB220" s="113"/>
      <c r="RCC220" s="113"/>
      <c r="RCD220" s="113"/>
      <c r="RCE220" s="113"/>
      <c r="RCF220" s="114"/>
      <c r="RCG220" s="113"/>
      <c r="RCH220" s="115"/>
      <c r="RCI220" s="115"/>
      <c r="RCJ220" s="113"/>
      <c r="RCK220" s="113"/>
      <c r="RCL220" s="113"/>
      <c r="RCM220" s="113"/>
      <c r="RCN220" s="114"/>
      <c r="RCO220" s="113"/>
      <c r="RCP220" s="115"/>
      <c r="RCQ220" s="115"/>
      <c r="RCR220" s="113"/>
      <c r="RCS220" s="113"/>
      <c r="RCT220" s="113"/>
      <c r="RCU220" s="113"/>
      <c r="RCV220" s="114"/>
      <c r="RCW220" s="113"/>
      <c r="RCX220" s="115"/>
      <c r="RCY220" s="115"/>
      <c r="RCZ220" s="113"/>
      <c r="RDA220" s="113"/>
      <c r="RDB220" s="113"/>
      <c r="RDC220" s="113"/>
      <c r="RDD220" s="114"/>
      <c r="RDE220" s="113"/>
      <c r="RDF220" s="115"/>
      <c r="RDG220" s="115"/>
      <c r="RDH220" s="113"/>
      <c r="RDI220" s="113"/>
      <c r="RDJ220" s="113"/>
      <c r="RDK220" s="113"/>
      <c r="RDL220" s="114"/>
      <c r="RDM220" s="113"/>
      <c r="RDN220" s="115"/>
      <c r="RDO220" s="115"/>
      <c r="RDP220" s="113"/>
      <c r="RDQ220" s="113"/>
      <c r="RDR220" s="113"/>
      <c r="RDS220" s="113"/>
      <c r="RDT220" s="114"/>
      <c r="RDU220" s="113"/>
      <c r="RDV220" s="115"/>
      <c r="RDW220" s="115"/>
      <c r="RDX220" s="113"/>
      <c r="RDY220" s="113"/>
      <c r="RDZ220" s="113"/>
      <c r="REA220" s="113"/>
      <c r="REB220" s="114"/>
      <c r="REC220" s="113"/>
      <c r="RED220" s="115"/>
      <c r="REE220" s="115"/>
      <c r="REF220" s="113"/>
      <c r="REG220" s="113"/>
      <c r="REH220" s="113"/>
      <c r="REI220" s="113"/>
      <c r="REJ220" s="114"/>
      <c r="REK220" s="113"/>
      <c r="REL220" s="115"/>
      <c r="REM220" s="115"/>
      <c r="REN220" s="113"/>
      <c r="REO220" s="113"/>
      <c r="REP220" s="113"/>
      <c r="REQ220" s="113"/>
      <c r="RER220" s="114"/>
      <c r="RES220" s="113"/>
      <c r="RET220" s="115"/>
      <c r="REU220" s="115"/>
      <c r="REV220" s="113"/>
      <c r="REW220" s="113"/>
      <c r="REX220" s="113"/>
      <c r="REY220" s="113"/>
      <c r="REZ220" s="114"/>
      <c r="RFA220" s="113"/>
      <c r="RFB220" s="115"/>
      <c r="RFC220" s="115"/>
      <c r="RFD220" s="113"/>
      <c r="RFE220" s="113"/>
      <c r="RFF220" s="113"/>
      <c r="RFG220" s="113"/>
      <c r="RFH220" s="114"/>
      <c r="RFI220" s="113"/>
      <c r="RFJ220" s="115"/>
      <c r="RFK220" s="115"/>
      <c r="RFL220" s="113"/>
      <c r="RFM220" s="113"/>
      <c r="RFN220" s="113"/>
      <c r="RFO220" s="113"/>
      <c r="RFP220" s="114"/>
      <c r="RFQ220" s="113"/>
      <c r="RFR220" s="115"/>
      <c r="RFS220" s="115"/>
      <c r="RFT220" s="113"/>
      <c r="RFU220" s="113"/>
      <c r="RFV220" s="113"/>
      <c r="RFW220" s="113"/>
      <c r="RFX220" s="114"/>
      <c r="RFY220" s="113"/>
      <c r="RFZ220" s="115"/>
      <c r="RGA220" s="115"/>
      <c r="RGB220" s="113"/>
      <c r="RGC220" s="113"/>
      <c r="RGD220" s="113"/>
      <c r="RGE220" s="113"/>
      <c r="RGF220" s="114"/>
      <c r="RGG220" s="113"/>
      <c r="RGH220" s="115"/>
      <c r="RGI220" s="115"/>
      <c r="RGJ220" s="113"/>
      <c r="RGK220" s="113"/>
      <c r="RGL220" s="113"/>
      <c r="RGM220" s="113"/>
      <c r="RGN220" s="114"/>
      <c r="RGO220" s="113"/>
      <c r="RGP220" s="115"/>
      <c r="RGQ220" s="115"/>
      <c r="RGR220" s="113"/>
      <c r="RGS220" s="113"/>
      <c r="RGT220" s="113"/>
      <c r="RGU220" s="113"/>
      <c r="RGV220" s="114"/>
      <c r="RGW220" s="113"/>
      <c r="RGX220" s="115"/>
      <c r="RGY220" s="115"/>
      <c r="RGZ220" s="113"/>
      <c r="RHA220" s="113"/>
      <c r="RHB220" s="113"/>
      <c r="RHC220" s="113"/>
      <c r="RHD220" s="114"/>
      <c r="RHE220" s="113"/>
      <c r="RHF220" s="115"/>
      <c r="RHG220" s="115"/>
      <c r="RHH220" s="113"/>
      <c r="RHI220" s="113"/>
      <c r="RHJ220" s="113"/>
      <c r="RHK220" s="113"/>
      <c r="RHL220" s="114"/>
      <c r="RHM220" s="113"/>
      <c r="RHN220" s="115"/>
      <c r="RHO220" s="115"/>
      <c r="RHP220" s="113"/>
      <c r="RHQ220" s="113"/>
      <c r="RHR220" s="113"/>
      <c r="RHS220" s="113"/>
      <c r="RHT220" s="114"/>
      <c r="RHU220" s="113"/>
      <c r="RHV220" s="115"/>
      <c r="RHW220" s="115"/>
      <c r="RHX220" s="113"/>
      <c r="RHY220" s="113"/>
      <c r="RHZ220" s="113"/>
      <c r="RIA220" s="113"/>
      <c r="RIB220" s="114"/>
      <c r="RIC220" s="113"/>
      <c r="RID220" s="115"/>
      <c r="RIE220" s="115"/>
      <c r="RIF220" s="113"/>
      <c r="RIG220" s="113"/>
      <c r="RIH220" s="113"/>
      <c r="RII220" s="113"/>
      <c r="RIJ220" s="114"/>
      <c r="RIK220" s="113"/>
      <c r="RIL220" s="115"/>
      <c r="RIM220" s="115"/>
      <c r="RIN220" s="113"/>
      <c r="RIO220" s="113"/>
      <c r="RIP220" s="113"/>
      <c r="RIQ220" s="113"/>
      <c r="RIR220" s="114"/>
      <c r="RIS220" s="113"/>
      <c r="RIT220" s="115"/>
      <c r="RIU220" s="115"/>
      <c r="RIV220" s="113"/>
      <c r="RIW220" s="113"/>
      <c r="RIX220" s="113"/>
      <c r="RIY220" s="113"/>
      <c r="RIZ220" s="114"/>
      <c r="RJA220" s="113"/>
      <c r="RJB220" s="115"/>
      <c r="RJC220" s="115"/>
      <c r="RJD220" s="113"/>
      <c r="RJE220" s="113"/>
      <c r="RJF220" s="113"/>
      <c r="RJG220" s="113"/>
      <c r="RJH220" s="114"/>
      <c r="RJI220" s="113"/>
      <c r="RJJ220" s="115"/>
      <c r="RJK220" s="115"/>
      <c r="RJL220" s="113"/>
      <c r="RJM220" s="113"/>
      <c r="RJN220" s="113"/>
      <c r="RJO220" s="113"/>
      <c r="RJP220" s="114"/>
      <c r="RJQ220" s="113"/>
      <c r="RJR220" s="115"/>
      <c r="RJS220" s="115"/>
      <c r="RJT220" s="113"/>
      <c r="RJU220" s="113"/>
      <c r="RJV220" s="113"/>
      <c r="RJW220" s="113"/>
      <c r="RJX220" s="114"/>
      <c r="RJY220" s="113"/>
      <c r="RJZ220" s="115"/>
      <c r="RKA220" s="115"/>
      <c r="RKB220" s="113"/>
      <c r="RKC220" s="113"/>
      <c r="RKD220" s="113"/>
      <c r="RKE220" s="113"/>
      <c r="RKF220" s="114"/>
      <c r="RKG220" s="113"/>
      <c r="RKH220" s="115"/>
      <c r="RKI220" s="115"/>
      <c r="RKJ220" s="113"/>
      <c r="RKK220" s="113"/>
      <c r="RKL220" s="113"/>
      <c r="RKM220" s="113"/>
      <c r="RKN220" s="114"/>
      <c r="RKO220" s="113"/>
      <c r="RKP220" s="115"/>
      <c r="RKQ220" s="115"/>
      <c r="RKR220" s="113"/>
      <c r="RKS220" s="113"/>
      <c r="RKT220" s="113"/>
      <c r="RKU220" s="113"/>
      <c r="RKV220" s="114"/>
      <c r="RKW220" s="113"/>
      <c r="RKX220" s="115"/>
      <c r="RKY220" s="115"/>
      <c r="RKZ220" s="113"/>
      <c r="RLA220" s="113"/>
      <c r="RLB220" s="113"/>
      <c r="RLC220" s="113"/>
      <c r="RLD220" s="114"/>
      <c r="RLE220" s="113"/>
      <c r="RLF220" s="115"/>
      <c r="RLG220" s="115"/>
      <c r="RLH220" s="113"/>
      <c r="RLI220" s="113"/>
      <c r="RLJ220" s="113"/>
      <c r="RLK220" s="113"/>
      <c r="RLL220" s="114"/>
      <c r="RLM220" s="113"/>
      <c r="RLN220" s="115"/>
      <c r="RLO220" s="115"/>
      <c r="RLP220" s="113"/>
      <c r="RLQ220" s="113"/>
      <c r="RLR220" s="113"/>
      <c r="RLS220" s="113"/>
      <c r="RLT220" s="114"/>
      <c r="RLU220" s="113"/>
      <c r="RLV220" s="115"/>
      <c r="RLW220" s="115"/>
      <c r="RLX220" s="113"/>
      <c r="RLY220" s="113"/>
      <c r="RLZ220" s="113"/>
      <c r="RMA220" s="113"/>
      <c r="RMB220" s="114"/>
      <c r="RMC220" s="113"/>
      <c r="RMD220" s="115"/>
      <c r="RME220" s="115"/>
      <c r="RMF220" s="113"/>
      <c r="RMG220" s="113"/>
      <c r="RMH220" s="113"/>
      <c r="RMI220" s="113"/>
      <c r="RMJ220" s="114"/>
      <c r="RMK220" s="113"/>
      <c r="RML220" s="115"/>
      <c r="RMM220" s="115"/>
      <c r="RMN220" s="113"/>
      <c r="RMO220" s="113"/>
      <c r="RMP220" s="113"/>
      <c r="RMQ220" s="113"/>
      <c r="RMR220" s="114"/>
      <c r="RMS220" s="113"/>
      <c r="RMT220" s="115"/>
      <c r="RMU220" s="115"/>
      <c r="RMV220" s="113"/>
      <c r="RMW220" s="113"/>
      <c r="RMX220" s="113"/>
      <c r="RMY220" s="113"/>
      <c r="RMZ220" s="114"/>
      <c r="RNA220" s="113"/>
      <c r="RNB220" s="115"/>
      <c r="RNC220" s="115"/>
      <c r="RND220" s="113"/>
      <c r="RNE220" s="113"/>
      <c r="RNF220" s="113"/>
      <c r="RNG220" s="113"/>
      <c r="RNH220" s="114"/>
      <c r="RNI220" s="113"/>
      <c r="RNJ220" s="115"/>
      <c r="RNK220" s="115"/>
      <c r="RNL220" s="113"/>
      <c r="RNM220" s="113"/>
      <c r="RNN220" s="113"/>
      <c r="RNO220" s="113"/>
      <c r="RNP220" s="114"/>
      <c r="RNQ220" s="113"/>
      <c r="RNR220" s="115"/>
      <c r="RNS220" s="115"/>
      <c r="RNT220" s="113"/>
      <c r="RNU220" s="113"/>
      <c r="RNV220" s="113"/>
      <c r="RNW220" s="113"/>
      <c r="RNX220" s="114"/>
      <c r="RNY220" s="113"/>
      <c r="RNZ220" s="115"/>
      <c r="ROA220" s="115"/>
      <c r="ROB220" s="113"/>
      <c r="ROC220" s="113"/>
      <c r="ROD220" s="113"/>
      <c r="ROE220" s="113"/>
      <c r="ROF220" s="114"/>
      <c r="ROG220" s="113"/>
      <c r="ROH220" s="115"/>
      <c r="ROI220" s="115"/>
      <c r="ROJ220" s="113"/>
      <c r="ROK220" s="113"/>
      <c r="ROL220" s="113"/>
      <c r="ROM220" s="113"/>
      <c r="RON220" s="114"/>
      <c r="ROO220" s="113"/>
      <c r="ROP220" s="115"/>
      <c r="ROQ220" s="115"/>
      <c r="ROR220" s="113"/>
      <c r="ROS220" s="113"/>
      <c r="ROT220" s="113"/>
      <c r="ROU220" s="113"/>
      <c r="ROV220" s="114"/>
      <c r="ROW220" s="113"/>
      <c r="ROX220" s="115"/>
      <c r="ROY220" s="115"/>
      <c r="ROZ220" s="113"/>
      <c r="RPA220" s="113"/>
      <c r="RPB220" s="113"/>
      <c r="RPC220" s="113"/>
      <c r="RPD220" s="114"/>
      <c r="RPE220" s="113"/>
      <c r="RPF220" s="115"/>
      <c r="RPG220" s="115"/>
      <c r="RPH220" s="113"/>
      <c r="RPI220" s="113"/>
      <c r="RPJ220" s="113"/>
      <c r="RPK220" s="113"/>
      <c r="RPL220" s="114"/>
      <c r="RPM220" s="113"/>
      <c r="RPN220" s="115"/>
      <c r="RPO220" s="115"/>
      <c r="RPP220" s="113"/>
      <c r="RPQ220" s="113"/>
      <c r="RPR220" s="113"/>
      <c r="RPS220" s="113"/>
      <c r="RPT220" s="114"/>
      <c r="RPU220" s="113"/>
      <c r="RPV220" s="115"/>
      <c r="RPW220" s="115"/>
      <c r="RPX220" s="113"/>
      <c r="RPY220" s="113"/>
      <c r="RPZ220" s="113"/>
      <c r="RQA220" s="113"/>
      <c r="RQB220" s="114"/>
      <c r="RQC220" s="113"/>
      <c r="RQD220" s="115"/>
      <c r="RQE220" s="115"/>
      <c r="RQF220" s="113"/>
      <c r="RQG220" s="113"/>
      <c r="RQH220" s="113"/>
      <c r="RQI220" s="113"/>
      <c r="RQJ220" s="114"/>
      <c r="RQK220" s="113"/>
      <c r="RQL220" s="115"/>
      <c r="RQM220" s="115"/>
      <c r="RQN220" s="113"/>
      <c r="RQO220" s="113"/>
      <c r="RQP220" s="113"/>
      <c r="RQQ220" s="113"/>
      <c r="RQR220" s="114"/>
      <c r="RQS220" s="113"/>
      <c r="RQT220" s="115"/>
      <c r="RQU220" s="115"/>
      <c r="RQV220" s="113"/>
      <c r="RQW220" s="113"/>
      <c r="RQX220" s="113"/>
      <c r="RQY220" s="113"/>
      <c r="RQZ220" s="114"/>
      <c r="RRA220" s="113"/>
      <c r="RRB220" s="115"/>
      <c r="RRC220" s="115"/>
      <c r="RRD220" s="113"/>
      <c r="RRE220" s="113"/>
      <c r="RRF220" s="113"/>
      <c r="RRG220" s="113"/>
      <c r="RRH220" s="114"/>
      <c r="RRI220" s="113"/>
      <c r="RRJ220" s="115"/>
      <c r="RRK220" s="115"/>
      <c r="RRL220" s="113"/>
      <c r="RRM220" s="113"/>
      <c r="RRN220" s="113"/>
      <c r="RRO220" s="113"/>
      <c r="RRP220" s="114"/>
      <c r="RRQ220" s="113"/>
      <c r="RRR220" s="115"/>
      <c r="RRS220" s="115"/>
      <c r="RRT220" s="113"/>
      <c r="RRU220" s="113"/>
      <c r="RRV220" s="113"/>
      <c r="RRW220" s="113"/>
      <c r="RRX220" s="114"/>
      <c r="RRY220" s="113"/>
      <c r="RRZ220" s="115"/>
      <c r="RSA220" s="115"/>
      <c r="RSB220" s="113"/>
      <c r="RSC220" s="113"/>
      <c r="RSD220" s="113"/>
      <c r="RSE220" s="113"/>
      <c r="RSF220" s="114"/>
      <c r="RSG220" s="113"/>
      <c r="RSH220" s="115"/>
      <c r="RSI220" s="115"/>
      <c r="RSJ220" s="113"/>
      <c r="RSK220" s="113"/>
      <c r="RSL220" s="113"/>
      <c r="RSM220" s="113"/>
      <c r="RSN220" s="114"/>
      <c r="RSO220" s="113"/>
      <c r="RSP220" s="115"/>
      <c r="RSQ220" s="115"/>
      <c r="RSR220" s="113"/>
      <c r="RSS220" s="113"/>
      <c r="RST220" s="113"/>
      <c r="RSU220" s="113"/>
      <c r="RSV220" s="114"/>
      <c r="RSW220" s="113"/>
      <c r="RSX220" s="115"/>
      <c r="RSY220" s="115"/>
      <c r="RSZ220" s="113"/>
      <c r="RTA220" s="113"/>
      <c r="RTB220" s="113"/>
      <c r="RTC220" s="113"/>
      <c r="RTD220" s="114"/>
      <c r="RTE220" s="113"/>
      <c r="RTF220" s="115"/>
      <c r="RTG220" s="115"/>
      <c r="RTH220" s="113"/>
      <c r="RTI220" s="113"/>
      <c r="RTJ220" s="113"/>
      <c r="RTK220" s="113"/>
      <c r="RTL220" s="114"/>
      <c r="RTM220" s="113"/>
      <c r="RTN220" s="115"/>
      <c r="RTO220" s="115"/>
      <c r="RTP220" s="113"/>
      <c r="RTQ220" s="113"/>
      <c r="RTR220" s="113"/>
      <c r="RTS220" s="113"/>
      <c r="RTT220" s="114"/>
      <c r="RTU220" s="113"/>
      <c r="RTV220" s="115"/>
      <c r="RTW220" s="115"/>
      <c r="RTX220" s="113"/>
      <c r="RTY220" s="113"/>
      <c r="RTZ220" s="113"/>
      <c r="RUA220" s="113"/>
      <c r="RUB220" s="114"/>
      <c r="RUC220" s="113"/>
      <c r="RUD220" s="115"/>
      <c r="RUE220" s="115"/>
      <c r="RUF220" s="113"/>
      <c r="RUG220" s="113"/>
      <c r="RUH220" s="113"/>
      <c r="RUI220" s="113"/>
      <c r="RUJ220" s="114"/>
      <c r="RUK220" s="113"/>
      <c r="RUL220" s="115"/>
      <c r="RUM220" s="115"/>
      <c r="RUN220" s="113"/>
      <c r="RUO220" s="113"/>
      <c r="RUP220" s="113"/>
      <c r="RUQ220" s="113"/>
      <c r="RUR220" s="114"/>
      <c r="RUS220" s="113"/>
      <c r="RUT220" s="115"/>
      <c r="RUU220" s="115"/>
      <c r="RUV220" s="113"/>
      <c r="RUW220" s="113"/>
      <c r="RUX220" s="113"/>
      <c r="RUY220" s="113"/>
      <c r="RUZ220" s="114"/>
      <c r="RVA220" s="113"/>
      <c r="RVB220" s="115"/>
      <c r="RVC220" s="115"/>
      <c r="RVD220" s="113"/>
      <c r="RVE220" s="113"/>
      <c r="RVF220" s="113"/>
      <c r="RVG220" s="113"/>
      <c r="RVH220" s="114"/>
      <c r="RVI220" s="113"/>
      <c r="RVJ220" s="115"/>
      <c r="RVK220" s="115"/>
      <c r="RVL220" s="113"/>
      <c r="RVM220" s="113"/>
      <c r="RVN220" s="113"/>
      <c r="RVO220" s="113"/>
      <c r="RVP220" s="114"/>
      <c r="RVQ220" s="113"/>
      <c r="RVR220" s="115"/>
      <c r="RVS220" s="115"/>
      <c r="RVT220" s="113"/>
      <c r="RVU220" s="113"/>
      <c r="RVV220" s="113"/>
      <c r="RVW220" s="113"/>
      <c r="RVX220" s="114"/>
      <c r="RVY220" s="113"/>
      <c r="RVZ220" s="115"/>
      <c r="RWA220" s="115"/>
      <c r="RWB220" s="113"/>
      <c r="RWC220" s="113"/>
      <c r="RWD220" s="113"/>
      <c r="RWE220" s="113"/>
      <c r="RWF220" s="114"/>
      <c r="RWG220" s="113"/>
      <c r="RWH220" s="115"/>
      <c r="RWI220" s="115"/>
      <c r="RWJ220" s="113"/>
      <c r="RWK220" s="113"/>
      <c r="RWL220" s="113"/>
      <c r="RWM220" s="113"/>
      <c r="RWN220" s="114"/>
      <c r="RWO220" s="113"/>
      <c r="RWP220" s="115"/>
      <c r="RWQ220" s="115"/>
      <c r="RWR220" s="113"/>
      <c r="RWS220" s="113"/>
      <c r="RWT220" s="113"/>
      <c r="RWU220" s="113"/>
      <c r="RWV220" s="114"/>
      <c r="RWW220" s="113"/>
      <c r="RWX220" s="115"/>
      <c r="RWY220" s="115"/>
      <c r="RWZ220" s="113"/>
      <c r="RXA220" s="113"/>
      <c r="RXB220" s="113"/>
      <c r="RXC220" s="113"/>
      <c r="RXD220" s="114"/>
      <c r="RXE220" s="113"/>
      <c r="RXF220" s="115"/>
      <c r="RXG220" s="115"/>
      <c r="RXH220" s="113"/>
      <c r="RXI220" s="113"/>
      <c r="RXJ220" s="113"/>
      <c r="RXK220" s="113"/>
      <c r="RXL220" s="114"/>
      <c r="RXM220" s="113"/>
      <c r="RXN220" s="115"/>
      <c r="RXO220" s="115"/>
      <c r="RXP220" s="113"/>
      <c r="RXQ220" s="113"/>
      <c r="RXR220" s="113"/>
      <c r="RXS220" s="113"/>
      <c r="RXT220" s="114"/>
      <c r="RXU220" s="113"/>
      <c r="RXV220" s="115"/>
      <c r="RXW220" s="115"/>
      <c r="RXX220" s="113"/>
      <c r="RXY220" s="113"/>
      <c r="RXZ220" s="113"/>
      <c r="RYA220" s="113"/>
      <c r="RYB220" s="114"/>
      <c r="RYC220" s="113"/>
      <c r="RYD220" s="115"/>
      <c r="RYE220" s="115"/>
      <c r="RYF220" s="113"/>
      <c r="RYG220" s="113"/>
      <c r="RYH220" s="113"/>
      <c r="RYI220" s="113"/>
      <c r="RYJ220" s="114"/>
      <c r="RYK220" s="113"/>
      <c r="RYL220" s="115"/>
      <c r="RYM220" s="115"/>
      <c r="RYN220" s="113"/>
      <c r="RYO220" s="113"/>
      <c r="RYP220" s="113"/>
      <c r="RYQ220" s="113"/>
      <c r="RYR220" s="114"/>
      <c r="RYS220" s="113"/>
      <c r="RYT220" s="115"/>
      <c r="RYU220" s="115"/>
      <c r="RYV220" s="113"/>
      <c r="RYW220" s="113"/>
      <c r="RYX220" s="113"/>
      <c r="RYY220" s="113"/>
      <c r="RYZ220" s="114"/>
      <c r="RZA220" s="113"/>
      <c r="RZB220" s="115"/>
      <c r="RZC220" s="115"/>
      <c r="RZD220" s="113"/>
      <c r="RZE220" s="113"/>
      <c r="RZF220" s="113"/>
      <c r="RZG220" s="113"/>
      <c r="RZH220" s="114"/>
      <c r="RZI220" s="113"/>
      <c r="RZJ220" s="115"/>
      <c r="RZK220" s="115"/>
      <c r="RZL220" s="113"/>
      <c r="RZM220" s="113"/>
      <c r="RZN220" s="113"/>
      <c r="RZO220" s="113"/>
      <c r="RZP220" s="114"/>
      <c r="RZQ220" s="113"/>
      <c r="RZR220" s="115"/>
      <c r="RZS220" s="115"/>
      <c r="RZT220" s="113"/>
      <c r="RZU220" s="113"/>
      <c r="RZV220" s="113"/>
      <c r="RZW220" s="113"/>
      <c r="RZX220" s="114"/>
      <c r="RZY220" s="113"/>
      <c r="RZZ220" s="115"/>
      <c r="SAA220" s="115"/>
      <c r="SAB220" s="113"/>
      <c r="SAC220" s="113"/>
      <c r="SAD220" s="113"/>
      <c r="SAE220" s="113"/>
      <c r="SAF220" s="114"/>
      <c r="SAG220" s="113"/>
      <c r="SAH220" s="115"/>
      <c r="SAI220" s="115"/>
      <c r="SAJ220" s="113"/>
      <c r="SAK220" s="113"/>
      <c r="SAL220" s="113"/>
      <c r="SAM220" s="113"/>
      <c r="SAN220" s="114"/>
      <c r="SAO220" s="113"/>
      <c r="SAP220" s="115"/>
      <c r="SAQ220" s="115"/>
      <c r="SAR220" s="113"/>
      <c r="SAS220" s="113"/>
      <c r="SAT220" s="113"/>
      <c r="SAU220" s="113"/>
      <c r="SAV220" s="114"/>
      <c r="SAW220" s="113"/>
      <c r="SAX220" s="115"/>
      <c r="SAY220" s="115"/>
      <c r="SAZ220" s="113"/>
      <c r="SBA220" s="113"/>
      <c r="SBB220" s="113"/>
      <c r="SBC220" s="113"/>
      <c r="SBD220" s="114"/>
      <c r="SBE220" s="113"/>
      <c r="SBF220" s="115"/>
      <c r="SBG220" s="115"/>
      <c r="SBH220" s="113"/>
      <c r="SBI220" s="113"/>
      <c r="SBJ220" s="113"/>
      <c r="SBK220" s="113"/>
      <c r="SBL220" s="114"/>
      <c r="SBM220" s="113"/>
      <c r="SBN220" s="115"/>
      <c r="SBO220" s="115"/>
      <c r="SBP220" s="113"/>
      <c r="SBQ220" s="113"/>
      <c r="SBR220" s="113"/>
      <c r="SBS220" s="113"/>
      <c r="SBT220" s="114"/>
      <c r="SBU220" s="113"/>
      <c r="SBV220" s="115"/>
      <c r="SBW220" s="115"/>
      <c r="SBX220" s="113"/>
      <c r="SBY220" s="113"/>
      <c r="SBZ220" s="113"/>
      <c r="SCA220" s="113"/>
      <c r="SCB220" s="114"/>
      <c r="SCC220" s="113"/>
      <c r="SCD220" s="115"/>
      <c r="SCE220" s="115"/>
      <c r="SCF220" s="113"/>
      <c r="SCG220" s="113"/>
      <c r="SCH220" s="113"/>
      <c r="SCI220" s="113"/>
      <c r="SCJ220" s="114"/>
      <c r="SCK220" s="113"/>
      <c r="SCL220" s="115"/>
      <c r="SCM220" s="115"/>
      <c r="SCN220" s="113"/>
      <c r="SCO220" s="113"/>
      <c r="SCP220" s="113"/>
      <c r="SCQ220" s="113"/>
      <c r="SCR220" s="114"/>
      <c r="SCS220" s="113"/>
      <c r="SCT220" s="115"/>
      <c r="SCU220" s="115"/>
      <c r="SCV220" s="113"/>
      <c r="SCW220" s="113"/>
      <c r="SCX220" s="113"/>
      <c r="SCY220" s="113"/>
      <c r="SCZ220" s="114"/>
      <c r="SDA220" s="113"/>
      <c r="SDB220" s="115"/>
      <c r="SDC220" s="115"/>
      <c r="SDD220" s="113"/>
      <c r="SDE220" s="113"/>
      <c r="SDF220" s="113"/>
      <c r="SDG220" s="113"/>
      <c r="SDH220" s="114"/>
      <c r="SDI220" s="113"/>
      <c r="SDJ220" s="115"/>
      <c r="SDK220" s="115"/>
      <c r="SDL220" s="113"/>
      <c r="SDM220" s="113"/>
      <c r="SDN220" s="113"/>
      <c r="SDO220" s="113"/>
      <c r="SDP220" s="114"/>
      <c r="SDQ220" s="113"/>
      <c r="SDR220" s="115"/>
      <c r="SDS220" s="115"/>
      <c r="SDT220" s="113"/>
      <c r="SDU220" s="113"/>
      <c r="SDV220" s="113"/>
      <c r="SDW220" s="113"/>
      <c r="SDX220" s="114"/>
      <c r="SDY220" s="113"/>
      <c r="SDZ220" s="115"/>
      <c r="SEA220" s="115"/>
      <c r="SEB220" s="113"/>
      <c r="SEC220" s="113"/>
      <c r="SED220" s="113"/>
      <c r="SEE220" s="113"/>
      <c r="SEF220" s="114"/>
      <c r="SEG220" s="113"/>
      <c r="SEH220" s="115"/>
      <c r="SEI220" s="115"/>
      <c r="SEJ220" s="113"/>
      <c r="SEK220" s="113"/>
      <c r="SEL220" s="113"/>
      <c r="SEM220" s="113"/>
      <c r="SEN220" s="114"/>
      <c r="SEO220" s="113"/>
      <c r="SEP220" s="115"/>
      <c r="SEQ220" s="115"/>
      <c r="SER220" s="113"/>
      <c r="SES220" s="113"/>
      <c r="SET220" s="113"/>
      <c r="SEU220" s="113"/>
      <c r="SEV220" s="114"/>
      <c r="SEW220" s="113"/>
      <c r="SEX220" s="115"/>
      <c r="SEY220" s="115"/>
      <c r="SEZ220" s="113"/>
      <c r="SFA220" s="113"/>
      <c r="SFB220" s="113"/>
      <c r="SFC220" s="113"/>
      <c r="SFD220" s="114"/>
      <c r="SFE220" s="113"/>
      <c r="SFF220" s="115"/>
      <c r="SFG220" s="115"/>
      <c r="SFH220" s="113"/>
      <c r="SFI220" s="113"/>
      <c r="SFJ220" s="113"/>
      <c r="SFK220" s="113"/>
      <c r="SFL220" s="114"/>
      <c r="SFM220" s="113"/>
      <c r="SFN220" s="115"/>
      <c r="SFO220" s="115"/>
      <c r="SFP220" s="113"/>
      <c r="SFQ220" s="113"/>
      <c r="SFR220" s="113"/>
      <c r="SFS220" s="113"/>
      <c r="SFT220" s="114"/>
      <c r="SFU220" s="113"/>
      <c r="SFV220" s="115"/>
      <c r="SFW220" s="115"/>
      <c r="SFX220" s="113"/>
      <c r="SFY220" s="113"/>
      <c r="SFZ220" s="113"/>
      <c r="SGA220" s="113"/>
      <c r="SGB220" s="114"/>
      <c r="SGC220" s="113"/>
      <c r="SGD220" s="115"/>
      <c r="SGE220" s="115"/>
      <c r="SGF220" s="113"/>
      <c r="SGG220" s="113"/>
      <c r="SGH220" s="113"/>
      <c r="SGI220" s="113"/>
      <c r="SGJ220" s="114"/>
      <c r="SGK220" s="113"/>
      <c r="SGL220" s="115"/>
      <c r="SGM220" s="115"/>
      <c r="SGN220" s="113"/>
      <c r="SGO220" s="113"/>
      <c r="SGP220" s="113"/>
      <c r="SGQ220" s="113"/>
      <c r="SGR220" s="114"/>
      <c r="SGS220" s="113"/>
      <c r="SGT220" s="115"/>
      <c r="SGU220" s="115"/>
      <c r="SGV220" s="113"/>
      <c r="SGW220" s="113"/>
      <c r="SGX220" s="113"/>
      <c r="SGY220" s="113"/>
      <c r="SGZ220" s="114"/>
      <c r="SHA220" s="113"/>
      <c r="SHB220" s="115"/>
      <c r="SHC220" s="115"/>
      <c r="SHD220" s="113"/>
      <c r="SHE220" s="113"/>
      <c r="SHF220" s="113"/>
      <c r="SHG220" s="113"/>
      <c r="SHH220" s="114"/>
      <c r="SHI220" s="113"/>
      <c r="SHJ220" s="115"/>
      <c r="SHK220" s="115"/>
      <c r="SHL220" s="113"/>
      <c r="SHM220" s="113"/>
      <c r="SHN220" s="113"/>
      <c r="SHO220" s="113"/>
      <c r="SHP220" s="114"/>
      <c r="SHQ220" s="113"/>
      <c r="SHR220" s="115"/>
      <c r="SHS220" s="115"/>
      <c r="SHT220" s="113"/>
      <c r="SHU220" s="113"/>
      <c r="SHV220" s="113"/>
      <c r="SHW220" s="113"/>
      <c r="SHX220" s="114"/>
      <c r="SHY220" s="113"/>
      <c r="SHZ220" s="115"/>
      <c r="SIA220" s="115"/>
      <c r="SIB220" s="113"/>
      <c r="SIC220" s="113"/>
      <c r="SID220" s="113"/>
      <c r="SIE220" s="113"/>
      <c r="SIF220" s="114"/>
      <c r="SIG220" s="113"/>
      <c r="SIH220" s="115"/>
      <c r="SII220" s="115"/>
      <c r="SIJ220" s="113"/>
      <c r="SIK220" s="113"/>
      <c r="SIL220" s="113"/>
      <c r="SIM220" s="113"/>
      <c r="SIN220" s="114"/>
      <c r="SIO220" s="113"/>
      <c r="SIP220" s="115"/>
      <c r="SIQ220" s="115"/>
      <c r="SIR220" s="113"/>
      <c r="SIS220" s="113"/>
      <c r="SIT220" s="113"/>
      <c r="SIU220" s="113"/>
      <c r="SIV220" s="114"/>
      <c r="SIW220" s="113"/>
      <c r="SIX220" s="115"/>
      <c r="SIY220" s="115"/>
      <c r="SIZ220" s="113"/>
      <c r="SJA220" s="113"/>
      <c r="SJB220" s="113"/>
      <c r="SJC220" s="113"/>
      <c r="SJD220" s="114"/>
      <c r="SJE220" s="113"/>
      <c r="SJF220" s="115"/>
      <c r="SJG220" s="115"/>
      <c r="SJH220" s="113"/>
      <c r="SJI220" s="113"/>
      <c r="SJJ220" s="113"/>
      <c r="SJK220" s="113"/>
      <c r="SJL220" s="114"/>
      <c r="SJM220" s="113"/>
      <c r="SJN220" s="115"/>
      <c r="SJO220" s="115"/>
      <c r="SJP220" s="113"/>
      <c r="SJQ220" s="113"/>
      <c r="SJR220" s="113"/>
      <c r="SJS220" s="113"/>
      <c r="SJT220" s="114"/>
      <c r="SJU220" s="113"/>
      <c r="SJV220" s="115"/>
      <c r="SJW220" s="115"/>
      <c r="SJX220" s="113"/>
      <c r="SJY220" s="113"/>
      <c r="SJZ220" s="113"/>
      <c r="SKA220" s="113"/>
      <c r="SKB220" s="114"/>
      <c r="SKC220" s="113"/>
      <c r="SKD220" s="115"/>
      <c r="SKE220" s="115"/>
      <c r="SKF220" s="113"/>
      <c r="SKG220" s="113"/>
      <c r="SKH220" s="113"/>
      <c r="SKI220" s="113"/>
      <c r="SKJ220" s="114"/>
      <c r="SKK220" s="113"/>
      <c r="SKL220" s="115"/>
      <c r="SKM220" s="115"/>
      <c r="SKN220" s="113"/>
      <c r="SKO220" s="113"/>
      <c r="SKP220" s="113"/>
      <c r="SKQ220" s="113"/>
      <c r="SKR220" s="114"/>
      <c r="SKS220" s="113"/>
      <c r="SKT220" s="115"/>
      <c r="SKU220" s="115"/>
      <c r="SKV220" s="113"/>
      <c r="SKW220" s="113"/>
      <c r="SKX220" s="113"/>
      <c r="SKY220" s="113"/>
      <c r="SKZ220" s="114"/>
      <c r="SLA220" s="113"/>
      <c r="SLB220" s="115"/>
      <c r="SLC220" s="115"/>
      <c r="SLD220" s="113"/>
      <c r="SLE220" s="113"/>
      <c r="SLF220" s="113"/>
      <c r="SLG220" s="113"/>
      <c r="SLH220" s="114"/>
      <c r="SLI220" s="113"/>
      <c r="SLJ220" s="115"/>
      <c r="SLK220" s="115"/>
      <c r="SLL220" s="113"/>
      <c r="SLM220" s="113"/>
      <c r="SLN220" s="113"/>
      <c r="SLO220" s="113"/>
      <c r="SLP220" s="114"/>
      <c r="SLQ220" s="113"/>
      <c r="SLR220" s="115"/>
      <c r="SLS220" s="115"/>
      <c r="SLT220" s="113"/>
      <c r="SLU220" s="113"/>
      <c r="SLV220" s="113"/>
      <c r="SLW220" s="113"/>
      <c r="SLX220" s="114"/>
      <c r="SLY220" s="113"/>
      <c r="SLZ220" s="115"/>
      <c r="SMA220" s="115"/>
      <c r="SMB220" s="113"/>
      <c r="SMC220" s="113"/>
      <c r="SMD220" s="113"/>
      <c r="SME220" s="113"/>
      <c r="SMF220" s="114"/>
      <c r="SMG220" s="113"/>
      <c r="SMH220" s="115"/>
      <c r="SMI220" s="115"/>
      <c r="SMJ220" s="113"/>
      <c r="SMK220" s="113"/>
      <c r="SML220" s="113"/>
      <c r="SMM220" s="113"/>
      <c r="SMN220" s="114"/>
      <c r="SMO220" s="113"/>
      <c r="SMP220" s="115"/>
      <c r="SMQ220" s="115"/>
      <c r="SMR220" s="113"/>
      <c r="SMS220" s="113"/>
      <c r="SMT220" s="113"/>
      <c r="SMU220" s="113"/>
      <c r="SMV220" s="114"/>
      <c r="SMW220" s="113"/>
      <c r="SMX220" s="115"/>
      <c r="SMY220" s="115"/>
      <c r="SMZ220" s="113"/>
      <c r="SNA220" s="113"/>
      <c r="SNB220" s="113"/>
      <c r="SNC220" s="113"/>
      <c r="SND220" s="114"/>
      <c r="SNE220" s="113"/>
      <c r="SNF220" s="115"/>
      <c r="SNG220" s="115"/>
      <c r="SNH220" s="113"/>
      <c r="SNI220" s="113"/>
      <c r="SNJ220" s="113"/>
      <c r="SNK220" s="113"/>
      <c r="SNL220" s="114"/>
      <c r="SNM220" s="113"/>
      <c r="SNN220" s="115"/>
      <c r="SNO220" s="115"/>
      <c r="SNP220" s="113"/>
      <c r="SNQ220" s="113"/>
      <c r="SNR220" s="113"/>
      <c r="SNS220" s="113"/>
      <c r="SNT220" s="114"/>
      <c r="SNU220" s="113"/>
      <c r="SNV220" s="115"/>
      <c r="SNW220" s="115"/>
      <c r="SNX220" s="113"/>
      <c r="SNY220" s="113"/>
      <c r="SNZ220" s="113"/>
      <c r="SOA220" s="113"/>
      <c r="SOB220" s="114"/>
      <c r="SOC220" s="113"/>
      <c r="SOD220" s="115"/>
      <c r="SOE220" s="115"/>
      <c r="SOF220" s="113"/>
      <c r="SOG220" s="113"/>
      <c r="SOH220" s="113"/>
      <c r="SOI220" s="113"/>
      <c r="SOJ220" s="114"/>
      <c r="SOK220" s="113"/>
      <c r="SOL220" s="115"/>
      <c r="SOM220" s="115"/>
      <c r="SON220" s="113"/>
      <c r="SOO220" s="113"/>
      <c r="SOP220" s="113"/>
      <c r="SOQ220" s="113"/>
      <c r="SOR220" s="114"/>
      <c r="SOS220" s="113"/>
      <c r="SOT220" s="115"/>
      <c r="SOU220" s="115"/>
      <c r="SOV220" s="113"/>
      <c r="SOW220" s="113"/>
      <c r="SOX220" s="113"/>
      <c r="SOY220" s="113"/>
      <c r="SOZ220" s="114"/>
      <c r="SPA220" s="113"/>
      <c r="SPB220" s="115"/>
      <c r="SPC220" s="115"/>
      <c r="SPD220" s="113"/>
      <c r="SPE220" s="113"/>
      <c r="SPF220" s="113"/>
      <c r="SPG220" s="113"/>
      <c r="SPH220" s="114"/>
      <c r="SPI220" s="113"/>
      <c r="SPJ220" s="115"/>
      <c r="SPK220" s="115"/>
      <c r="SPL220" s="113"/>
      <c r="SPM220" s="113"/>
      <c r="SPN220" s="113"/>
      <c r="SPO220" s="113"/>
      <c r="SPP220" s="114"/>
      <c r="SPQ220" s="113"/>
      <c r="SPR220" s="115"/>
      <c r="SPS220" s="115"/>
      <c r="SPT220" s="113"/>
      <c r="SPU220" s="113"/>
      <c r="SPV220" s="113"/>
      <c r="SPW220" s="113"/>
      <c r="SPX220" s="114"/>
      <c r="SPY220" s="113"/>
      <c r="SPZ220" s="115"/>
      <c r="SQA220" s="115"/>
      <c r="SQB220" s="113"/>
      <c r="SQC220" s="113"/>
      <c r="SQD220" s="113"/>
      <c r="SQE220" s="113"/>
      <c r="SQF220" s="114"/>
      <c r="SQG220" s="113"/>
      <c r="SQH220" s="115"/>
      <c r="SQI220" s="115"/>
      <c r="SQJ220" s="113"/>
      <c r="SQK220" s="113"/>
      <c r="SQL220" s="113"/>
      <c r="SQM220" s="113"/>
      <c r="SQN220" s="114"/>
      <c r="SQO220" s="113"/>
      <c r="SQP220" s="115"/>
      <c r="SQQ220" s="115"/>
      <c r="SQR220" s="113"/>
      <c r="SQS220" s="113"/>
      <c r="SQT220" s="113"/>
      <c r="SQU220" s="113"/>
      <c r="SQV220" s="114"/>
      <c r="SQW220" s="113"/>
      <c r="SQX220" s="115"/>
      <c r="SQY220" s="115"/>
      <c r="SQZ220" s="113"/>
      <c r="SRA220" s="113"/>
      <c r="SRB220" s="113"/>
      <c r="SRC220" s="113"/>
      <c r="SRD220" s="114"/>
      <c r="SRE220" s="113"/>
      <c r="SRF220" s="115"/>
      <c r="SRG220" s="115"/>
      <c r="SRH220" s="113"/>
      <c r="SRI220" s="113"/>
      <c r="SRJ220" s="113"/>
      <c r="SRK220" s="113"/>
      <c r="SRL220" s="114"/>
      <c r="SRM220" s="113"/>
      <c r="SRN220" s="115"/>
      <c r="SRO220" s="115"/>
      <c r="SRP220" s="113"/>
      <c r="SRQ220" s="113"/>
      <c r="SRR220" s="113"/>
      <c r="SRS220" s="113"/>
      <c r="SRT220" s="114"/>
      <c r="SRU220" s="113"/>
      <c r="SRV220" s="115"/>
      <c r="SRW220" s="115"/>
      <c r="SRX220" s="113"/>
      <c r="SRY220" s="113"/>
      <c r="SRZ220" s="113"/>
      <c r="SSA220" s="113"/>
      <c r="SSB220" s="114"/>
      <c r="SSC220" s="113"/>
      <c r="SSD220" s="115"/>
      <c r="SSE220" s="115"/>
      <c r="SSF220" s="113"/>
      <c r="SSG220" s="113"/>
      <c r="SSH220" s="113"/>
      <c r="SSI220" s="113"/>
      <c r="SSJ220" s="114"/>
      <c r="SSK220" s="113"/>
      <c r="SSL220" s="115"/>
      <c r="SSM220" s="115"/>
      <c r="SSN220" s="113"/>
      <c r="SSO220" s="113"/>
      <c r="SSP220" s="113"/>
      <c r="SSQ220" s="113"/>
      <c r="SSR220" s="114"/>
      <c r="SSS220" s="113"/>
      <c r="SST220" s="115"/>
      <c r="SSU220" s="115"/>
      <c r="SSV220" s="113"/>
      <c r="SSW220" s="113"/>
      <c r="SSX220" s="113"/>
      <c r="SSY220" s="113"/>
      <c r="SSZ220" s="114"/>
      <c r="STA220" s="113"/>
      <c r="STB220" s="115"/>
      <c r="STC220" s="115"/>
      <c r="STD220" s="113"/>
      <c r="STE220" s="113"/>
      <c r="STF220" s="113"/>
      <c r="STG220" s="113"/>
      <c r="STH220" s="114"/>
      <c r="STI220" s="113"/>
      <c r="STJ220" s="115"/>
      <c r="STK220" s="115"/>
      <c r="STL220" s="113"/>
      <c r="STM220" s="113"/>
      <c r="STN220" s="113"/>
      <c r="STO220" s="113"/>
      <c r="STP220" s="114"/>
      <c r="STQ220" s="113"/>
      <c r="STR220" s="115"/>
      <c r="STS220" s="115"/>
      <c r="STT220" s="113"/>
      <c r="STU220" s="113"/>
      <c r="STV220" s="113"/>
      <c r="STW220" s="113"/>
      <c r="STX220" s="114"/>
      <c r="STY220" s="113"/>
      <c r="STZ220" s="115"/>
      <c r="SUA220" s="115"/>
      <c r="SUB220" s="113"/>
      <c r="SUC220" s="113"/>
      <c r="SUD220" s="113"/>
      <c r="SUE220" s="113"/>
      <c r="SUF220" s="114"/>
      <c r="SUG220" s="113"/>
      <c r="SUH220" s="115"/>
      <c r="SUI220" s="115"/>
      <c r="SUJ220" s="113"/>
      <c r="SUK220" s="113"/>
      <c r="SUL220" s="113"/>
      <c r="SUM220" s="113"/>
      <c r="SUN220" s="114"/>
      <c r="SUO220" s="113"/>
      <c r="SUP220" s="115"/>
      <c r="SUQ220" s="115"/>
      <c r="SUR220" s="113"/>
      <c r="SUS220" s="113"/>
      <c r="SUT220" s="113"/>
      <c r="SUU220" s="113"/>
      <c r="SUV220" s="114"/>
      <c r="SUW220" s="113"/>
      <c r="SUX220" s="115"/>
      <c r="SUY220" s="115"/>
      <c r="SUZ220" s="113"/>
      <c r="SVA220" s="113"/>
      <c r="SVB220" s="113"/>
      <c r="SVC220" s="113"/>
      <c r="SVD220" s="114"/>
      <c r="SVE220" s="113"/>
      <c r="SVF220" s="115"/>
      <c r="SVG220" s="115"/>
      <c r="SVH220" s="113"/>
      <c r="SVI220" s="113"/>
      <c r="SVJ220" s="113"/>
      <c r="SVK220" s="113"/>
      <c r="SVL220" s="114"/>
      <c r="SVM220" s="113"/>
      <c r="SVN220" s="115"/>
      <c r="SVO220" s="115"/>
      <c r="SVP220" s="113"/>
      <c r="SVQ220" s="113"/>
      <c r="SVR220" s="113"/>
      <c r="SVS220" s="113"/>
      <c r="SVT220" s="114"/>
      <c r="SVU220" s="113"/>
      <c r="SVV220" s="115"/>
      <c r="SVW220" s="115"/>
      <c r="SVX220" s="113"/>
      <c r="SVY220" s="113"/>
      <c r="SVZ220" s="113"/>
      <c r="SWA220" s="113"/>
      <c r="SWB220" s="114"/>
      <c r="SWC220" s="113"/>
      <c r="SWD220" s="115"/>
      <c r="SWE220" s="115"/>
      <c r="SWF220" s="113"/>
      <c r="SWG220" s="113"/>
      <c r="SWH220" s="113"/>
      <c r="SWI220" s="113"/>
      <c r="SWJ220" s="114"/>
      <c r="SWK220" s="113"/>
      <c r="SWL220" s="115"/>
      <c r="SWM220" s="115"/>
      <c r="SWN220" s="113"/>
      <c r="SWO220" s="113"/>
      <c r="SWP220" s="113"/>
      <c r="SWQ220" s="113"/>
      <c r="SWR220" s="114"/>
      <c r="SWS220" s="113"/>
      <c r="SWT220" s="115"/>
      <c r="SWU220" s="115"/>
      <c r="SWV220" s="113"/>
      <c r="SWW220" s="113"/>
      <c r="SWX220" s="113"/>
      <c r="SWY220" s="113"/>
      <c r="SWZ220" s="114"/>
      <c r="SXA220" s="113"/>
      <c r="SXB220" s="115"/>
      <c r="SXC220" s="115"/>
      <c r="SXD220" s="113"/>
      <c r="SXE220" s="113"/>
      <c r="SXF220" s="113"/>
      <c r="SXG220" s="113"/>
      <c r="SXH220" s="114"/>
      <c r="SXI220" s="113"/>
      <c r="SXJ220" s="115"/>
      <c r="SXK220" s="115"/>
      <c r="SXL220" s="113"/>
      <c r="SXM220" s="113"/>
      <c r="SXN220" s="113"/>
      <c r="SXO220" s="113"/>
      <c r="SXP220" s="114"/>
      <c r="SXQ220" s="113"/>
      <c r="SXR220" s="115"/>
      <c r="SXS220" s="115"/>
      <c r="SXT220" s="113"/>
      <c r="SXU220" s="113"/>
      <c r="SXV220" s="113"/>
      <c r="SXW220" s="113"/>
      <c r="SXX220" s="114"/>
      <c r="SXY220" s="113"/>
      <c r="SXZ220" s="115"/>
      <c r="SYA220" s="115"/>
      <c r="SYB220" s="113"/>
      <c r="SYC220" s="113"/>
      <c r="SYD220" s="113"/>
      <c r="SYE220" s="113"/>
      <c r="SYF220" s="114"/>
      <c r="SYG220" s="113"/>
      <c r="SYH220" s="115"/>
      <c r="SYI220" s="115"/>
      <c r="SYJ220" s="113"/>
      <c r="SYK220" s="113"/>
      <c r="SYL220" s="113"/>
      <c r="SYM220" s="113"/>
      <c r="SYN220" s="114"/>
      <c r="SYO220" s="113"/>
      <c r="SYP220" s="115"/>
      <c r="SYQ220" s="115"/>
      <c r="SYR220" s="113"/>
      <c r="SYS220" s="113"/>
      <c r="SYT220" s="113"/>
      <c r="SYU220" s="113"/>
      <c r="SYV220" s="114"/>
      <c r="SYW220" s="113"/>
      <c r="SYX220" s="115"/>
      <c r="SYY220" s="115"/>
      <c r="SYZ220" s="113"/>
      <c r="SZA220" s="113"/>
      <c r="SZB220" s="113"/>
      <c r="SZC220" s="113"/>
      <c r="SZD220" s="114"/>
      <c r="SZE220" s="113"/>
      <c r="SZF220" s="115"/>
      <c r="SZG220" s="115"/>
      <c r="SZH220" s="113"/>
      <c r="SZI220" s="113"/>
      <c r="SZJ220" s="113"/>
      <c r="SZK220" s="113"/>
      <c r="SZL220" s="114"/>
      <c r="SZM220" s="113"/>
      <c r="SZN220" s="115"/>
      <c r="SZO220" s="115"/>
      <c r="SZP220" s="113"/>
      <c r="SZQ220" s="113"/>
      <c r="SZR220" s="113"/>
      <c r="SZS220" s="113"/>
      <c r="SZT220" s="114"/>
      <c r="SZU220" s="113"/>
      <c r="SZV220" s="115"/>
      <c r="SZW220" s="115"/>
      <c r="SZX220" s="113"/>
      <c r="SZY220" s="113"/>
      <c r="SZZ220" s="113"/>
      <c r="TAA220" s="113"/>
      <c r="TAB220" s="114"/>
      <c r="TAC220" s="113"/>
      <c r="TAD220" s="115"/>
      <c r="TAE220" s="115"/>
      <c r="TAF220" s="113"/>
      <c r="TAG220" s="113"/>
      <c r="TAH220" s="113"/>
      <c r="TAI220" s="113"/>
      <c r="TAJ220" s="114"/>
      <c r="TAK220" s="113"/>
      <c r="TAL220" s="115"/>
      <c r="TAM220" s="115"/>
      <c r="TAN220" s="113"/>
      <c r="TAO220" s="113"/>
      <c r="TAP220" s="113"/>
      <c r="TAQ220" s="113"/>
      <c r="TAR220" s="114"/>
      <c r="TAS220" s="113"/>
      <c r="TAT220" s="115"/>
      <c r="TAU220" s="115"/>
      <c r="TAV220" s="113"/>
      <c r="TAW220" s="113"/>
      <c r="TAX220" s="113"/>
      <c r="TAY220" s="113"/>
      <c r="TAZ220" s="114"/>
      <c r="TBA220" s="113"/>
      <c r="TBB220" s="115"/>
      <c r="TBC220" s="115"/>
      <c r="TBD220" s="113"/>
      <c r="TBE220" s="113"/>
      <c r="TBF220" s="113"/>
      <c r="TBG220" s="113"/>
      <c r="TBH220" s="114"/>
      <c r="TBI220" s="113"/>
      <c r="TBJ220" s="115"/>
      <c r="TBK220" s="115"/>
      <c r="TBL220" s="113"/>
      <c r="TBM220" s="113"/>
      <c r="TBN220" s="113"/>
      <c r="TBO220" s="113"/>
      <c r="TBP220" s="114"/>
      <c r="TBQ220" s="113"/>
      <c r="TBR220" s="115"/>
      <c r="TBS220" s="115"/>
      <c r="TBT220" s="113"/>
      <c r="TBU220" s="113"/>
      <c r="TBV220" s="113"/>
      <c r="TBW220" s="113"/>
      <c r="TBX220" s="114"/>
      <c r="TBY220" s="113"/>
      <c r="TBZ220" s="115"/>
      <c r="TCA220" s="115"/>
      <c r="TCB220" s="113"/>
      <c r="TCC220" s="113"/>
      <c r="TCD220" s="113"/>
      <c r="TCE220" s="113"/>
      <c r="TCF220" s="114"/>
      <c r="TCG220" s="113"/>
      <c r="TCH220" s="115"/>
      <c r="TCI220" s="115"/>
      <c r="TCJ220" s="113"/>
      <c r="TCK220" s="113"/>
      <c r="TCL220" s="113"/>
      <c r="TCM220" s="113"/>
      <c r="TCN220" s="114"/>
      <c r="TCO220" s="113"/>
      <c r="TCP220" s="115"/>
      <c r="TCQ220" s="115"/>
      <c r="TCR220" s="113"/>
      <c r="TCS220" s="113"/>
      <c r="TCT220" s="113"/>
      <c r="TCU220" s="113"/>
      <c r="TCV220" s="114"/>
      <c r="TCW220" s="113"/>
      <c r="TCX220" s="115"/>
      <c r="TCY220" s="115"/>
      <c r="TCZ220" s="113"/>
      <c r="TDA220" s="113"/>
      <c r="TDB220" s="113"/>
      <c r="TDC220" s="113"/>
      <c r="TDD220" s="114"/>
      <c r="TDE220" s="113"/>
      <c r="TDF220" s="115"/>
      <c r="TDG220" s="115"/>
      <c r="TDH220" s="113"/>
      <c r="TDI220" s="113"/>
      <c r="TDJ220" s="113"/>
      <c r="TDK220" s="113"/>
      <c r="TDL220" s="114"/>
      <c r="TDM220" s="113"/>
      <c r="TDN220" s="115"/>
      <c r="TDO220" s="115"/>
      <c r="TDP220" s="113"/>
      <c r="TDQ220" s="113"/>
      <c r="TDR220" s="113"/>
      <c r="TDS220" s="113"/>
      <c r="TDT220" s="114"/>
      <c r="TDU220" s="113"/>
      <c r="TDV220" s="115"/>
      <c r="TDW220" s="115"/>
      <c r="TDX220" s="113"/>
      <c r="TDY220" s="113"/>
      <c r="TDZ220" s="113"/>
      <c r="TEA220" s="113"/>
      <c r="TEB220" s="114"/>
      <c r="TEC220" s="113"/>
      <c r="TED220" s="115"/>
      <c r="TEE220" s="115"/>
      <c r="TEF220" s="113"/>
      <c r="TEG220" s="113"/>
      <c r="TEH220" s="113"/>
      <c r="TEI220" s="113"/>
      <c r="TEJ220" s="114"/>
      <c r="TEK220" s="113"/>
      <c r="TEL220" s="115"/>
      <c r="TEM220" s="115"/>
      <c r="TEN220" s="113"/>
      <c r="TEO220" s="113"/>
      <c r="TEP220" s="113"/>
      <c r="TEQ220" s="113"/>
      <c r="TER220" s="114"/>
      <c r="TES220" s="113"/>
      <c r="TET220" s="115"/>
      <c r="TEU220" s="115"/>
      <c r="TEV220" s="113"/>
      <c r="TEW220" s="113"/>
      <c r="TEX220" s="113"/>
      <c r="TEY220" s="113"/>
      <c r="TEZ220" s="114"/>
      <c r="TFA220" s="113"/>
      <c r="TFB220" s="115"/>
      <c r="TFC220" s="115"/>
      <c r="TFD220" s="113"/>
      <c r="TFE220" s="113"/>
      <c r="TFF220" s="113"/>
      <c r="TFG220" s="113"/>
      <c r="TFH220" s="114"/>
      <c r="TFI220" s="113"/>
      <c r="TFJ220" s="115"/>
      <c r="TFK220" s="115"/>
      <c r="TFL220" s="113"/>
      <c r="TFM220" s="113"/>
      <c r="TFN220" s="113"/>
      <c r="TFO220" s="113"/>
      <c r="TFP220" s="114"/>
      <c r="TFQ220" s="113"/>
      <c r="TFR220" s="115"/>
      <c r="TFS220" s="115"/>
      <c r="TFT220" s="113"/>
      <c r="TFU220" s="113"/>
      <c r="TFV220" s="113"/>
      <c r="TFW220" s="113"/>
      <c r="TFX220" s="114"/>
      <c r="TFY220" s="113"/>
      <c r="TFZ220" s="115"/>
      <c r="TGA220" s="115"/>
      <c r="TGB220" s="113"/>
      <c r="TGC220" s="113"/>
      <c r="TGD220" s="113"/>
      <c r="TGE220" s="113"/>
      <c r="TGF220" s="114"/>
      <c r="TGG220" s="113"/>
      <c r="TGH220" s="115"/>
      <c r="TGI220" s="115"/>
      <c r="TGJ220" s="113"/>
      <c r="TGK220" s="113"/>
      <c r="TGL220" s="113"/>
      <c r="TGM220" s="113"/>
      <c r="TGN220" s="114"/>
      <c r="TGO220" s="113"/>
      <c r="TGP220" s="115"/>
      <c r="TGQ220" s="115"/>
      <c r="TGR220" s="113"/>
      <c r="TGS220" s="113"/>
      <c r="TGT220" s="113"/>
      <c r="TGU220" s="113"/>
      <c r="TGV220" s="114"/>
      <c r="TGW220" s="113"/>
      <c r="TGX220" s="115"/>
      <c r="TGY220" s="115"/>
      <c r="TGZ220" s="113"/>
      <c r="THA220" s="113"/>
      <c r="THB220" s="113"/>
      <c r="THC220" s="113"/>
      <c r="THD220" s="114"/>
      <c r="THE220" s="113"/>
      <c r="THF220" s="115"/>
      <c r="THG220" s="115"/>
      <c r="THH220" s="113"/>
      <c r="THI220" s="113"/>
      <c r="THJ220" s="113"/>
      <c r="THK220" s="113"/>
      <c r="THL220" s="114"/>
      <c r="THM220" s="113"/>
      <c r="THN220" s="115"/>
      <c r="THO220" s="115"/>
      <c r="THP220" s="113"/>
      <c r="THQ220" s="113"/>
      <c r="THR220" s="113"/>
      <c r="THS220" s="113"/>
      <c r="THT220" s="114"/>
      <c r="THU220" s="113"/>
      <c r="THV220" s="115"/>
      <c r="THW220" s="115"/>
      <c r="THX220" s="113"/>
      <c r="THY220" s="113"/>
      <c r="THZ220" s="113"/>
      <c r="TIA220" s="113"/>
      <c r="TIB220" s="114"/>
      <c r="TIC220" s="113"/>
      <c r="TID220" s="115"/>
      <c r="TIE220" s="115"/>
      <c r="TIF220" s="113"/>
      <c r="TIG220" s="113"/>
      <c r="TIH220" s="113"/>
      <c r="TII220" s="113"/>
      <c r="TIJ220" s="114"/>
      <c r="TIK220" s="113"/>
      <c r="TIL220" s="115"/>
      <c r="TIM220" s="115"/>
      <c r="TIN220" s="113"/>
      <c r="TIO220" s="113"/>
      <c r="TIP220" s="113"/>
      <c r="TIQ220" s="113"/>
      <c r="TIR220" s="114"/>
      <c r="TIS220" s="113"/>
      <c r="TIT220" s="115"/>
      <c r="TIU220" s="115"/>
      <c r="TIV220" s="113"/>
      <c r="TIW220" s="113"/>
      <c r="TIX220" s="113"/>
      <c r="TIY220" s="113"/>
      <c r="TIZ220" s="114"/>
      <c r="TJA220" s="113"/>
      <c r="TJB220" s="115"/>
      <c r="TJC220" s="115"/>
      <c r="TJD220" s="113"/>
      <c r="TJE220" s="113"/>
      <c r="TJF220" s="113"/>
      <c r="TJG220" s="113"/>
      <c r="TJH220" s="114"/>
      <c r="TJI220" s="113"/>
      <c r="TJJ220" s="115"/>
      <c r="TJK220" s="115"/>
      <c r="TJL220" s="113"/>
      <c r="TJM220" s="113"/>
      <c r="TJN220" s="113"/>
      <c r="TJO220" s="113"/>
      <c r="TJP220" s="114"/>
      <c r="TJQ220" s="113"/>
      <c r="TJR220" s="115"/>
      <c r="TJS220" s="115"/>
      <c r="TJT220" s="113"/>
      <c r="TJU220" s="113"/>
      <c r="TJV220" s="113"/>
      <c r="TJW220" s="113"/>
      <c r="TJX220" s="114"/>
      <c r="TJY220" s="113"/>
      <c r="TJZ220" s="115"/>
      <c r="TKA220" s="115"/>
      <c r="TKB220" s="113"/>
      <c r="TKC220" s="113"/>
      <c r="TKD220" s="113"/>
      <c r="TKE220" s="113"/>
      <c r="TKF220" s="114"/>
      <c r="TKG220" s="113"/>
      <c r="TKH220" s="115"/>
      <c r="TKI220" s="115"/>
      <c r="TKJ220" s="113"/>
      <c r="TKK220" s="113"/>
      <c r="TKL220" s="113"/>
      <c r="TKM220" s="113"/>
      <c r="TKN220" s="114"/>
      <c r="TKO220" s="113"/>
      <c r="TKP220" s="115"/>
      <c r="TKQ220" s="115"/>
      <c r="TKR220" s="113"/>
      <c r="TKS220" s="113"/>
      <c r="TKT220" s="113"/>
      <c r="TKU220" s="113"/>
      <c r="TKV220" s="114"/>
      <c r="TKW220" s="113"/>
      <c r="TKX220" s="115"/>
      <c r="TKY220" s="115"/>
      <c r="TKZ220" s="113"/>
      <c r="TLA220" s="113"/>
      <c r="TLB220" s="113"/>
      <c r="TLC220" s="113"/>
      <c r="TLD220" s="114"/>
      <c r="TLE220" s="113"/>
      <c r="TLF220" s="115"/>
      <c r="TLG220" s="115"/>
      <c r="TLH220" s="113"/>
      <c r="TLI220" s="113"/>
      <c r="TLJ220" s="113"/>
      <c r="TLK220" s="113"/>
      <c r="TLL220" s="114"/>
      <c r="TLM220" s="113"/>
      <c r="TLN220" s="115"/>
      <c r="TLO220" s="115"/>
      <c r="TLP220" s="113"/>
      <c r="TLQ220" s="113"/>
      <c r="TLR220" s="113"/>
      <c r="TLS220" s="113"/>
      <c r="TLT220" s="114"/>
      <c r="TLU220" s="113"/>
      <c r="TLV220" s="115"/>
      <c r="TLW220" s="115"/>
      <c r="TLX220" s="113"/>
      <c r="TLY220" s="113"/>
      <c r="TLZ220" s="113"/>
      <c r="TMA220" s="113"/>
      <c r="TMB220" s="114"/>
      <c r="TMC220" s="113"/>
      <c r="TMD220" s="115"/>
      <c r="TME220" s="115"/>
      <c r="TMF220" s="113"/>
      <c r="TMG220" s="113"/>
      <c r="TMH220" s="113"/>
      <c r="TMI220" s="113"/>
      <c r="TMJ220" s="114"/>
      <c r="TMK220" s="113"/>
      <c r="TML220" s="115"/>
      <c r="TMM220" s="115"/>
      <c r="TMN220" s="113"/>
      <c r="TMO220" s="113"/>
      <c r="TMP220" s="113"/>
      <c r="TMQ220" s="113"/>
      <c r="TMR220" s="114"/>
      <c r="TMS220" s="113"/>
      <c r="TMT220" s="115"/>
      <c r="TMU220" s="115"/>
      <c r="TMV220" s="113"/>
      <c r="TMW220" s="113"/>
      <c r="TMX220" s="113"/>
      <c r="TMY220" s="113"/>
      <c r="TMZ220" s="114"/>
      <c r="TNA220" s="113"/>
      <c r="TNB220" s="115"/>
      <c r="TNC220" s="115"/>
      <c r="TND220" s="113"/>
      <c r="TNE220" s="113"/>
      <c r="TNF220" s="113"/>
      <c r="TNG220" s="113"/>
      <c r="TNH220" s="114"/>
      <c r="TNI220" s="113"/>
      <c r="TNJ220" s="115"/>
      <c r="TNK220" s="115"/>
      <c r="TNL220" s="113"/>
      <c r="TNM220" s="113"/>
      <c r="TNN220" s="113"/>
      <c r="TNO220" s="113"/>
      <c r="TNP220" s="114"/>
      <c r="TNQ220" s="113"/>
      <c r="TNR220" s="115"/>
      <c r="TNS220" s="115"/>
      <c r="TNT220" s="113"/>
      <c r="TNU220" s="113"/>
      <c r="TNV220" s="113"/>
      <c r="TNW220" s="113"/>
      <c r="TNX220" s="114"/>
      <c r="TNY220" s="113"/>
      <c r="TNZ220" s="115"/>
      <c r="TOA220" s="115"/>
      <c r="TOB220" s="113"/>
      <c r="TOC220" s="113"/>
      <c r="TOD220" s="113"/>
      <c r="TOE220" s="113"/>
      <c r="TOF220" s="114"/>
      <c r="TOG220" s="113"/>
      <c r="TOH220" s="115"/>
      <c r="TOI220" s="115"/>
      <c r="TOJ220" s="113"/>
      <c r="TOK220" s="113"/>
      <c r="TOL220" s="113"/>
      <c r="TOM220" s="113"/>
      <c r="TON220" s="114"/>
      <c r="TOO220" s="113"/>
      <c r="TOP220" s="115"/>
      <c r="TOQ220" s="115"/>
      <c r="TOR220" s="113"/>
      <c r="TOS220" s="113"/>
      <c r="TOT220" s="113"/>
      <c r="TOU220" s="113"/>
      <c r="TOV220" s="114"/>
      <c r="TOW220" s="113"/>
      <c r="TOX220" s="115"/>
      <c r="TOY220" s="115"/>
      <c r="TOZ220" s="113"/>
      <c r="TPA220" s="113"/>
      <c r="TPB220" s="113"/>
      <c r="TPC220" s="113"/>
      <c r="TPD220" s="114"/>
      <c r="TPE220" s="113"/>
      <c r="TPF220" s="115"/>
      <c r="TPG220" s="115"/>
      <c r="TPH220" s="113"/>
      <c r="TPI220" s="113"/>
      <c r="TPJ220" s="113"/>
      <c r="TPK220" s="113"/>
      <c r="TPL220" s="114"/>
      <c r="TPM220" s="113"/>
      <c r="TPN220" s="115"/>
      <c r="TPO220" s="115"/>
      <c r="TPP220" s="113"/>
      <c r="TPQ220" s="113"/>
      <c r="TPR220" s="113"/>
      <c r="TPS220" s="113"/>
      <c r="TPT220" s="114"/>
      <c r="TPU220" s="113"/>
      <c r="TPV220" s="115"/>
      <c r="TPW220" s="115"/>
      <c r="TPX220" s="113"/>
      <c r="TPY220" s="113"/>
      <c r="TPZ220" s="113"/>
      <c r="TQA220" s="113"/>
      <c r="TQB220" s="114"/>
      <c r="TQC220" s="113"/>
      <c r="TQD220" s="115"/>
      <c r="TQE220" s="115"/>
      <c r="TQF220" s="113"/>
      <c r="TQG220" s="113"/>
      <c r="TQH220" s="113"/>
      <c r="TQI220" s="113"/>
      <c r="TQJ220" s="114"/>
      <c r="TQK220" s="113"/>
      <c r="TQL220" s="115"/>
      <c r="TQM220" s="115"/>
      <c r="TQN220" s="113"/>
      <c r="TQO220" s="113"/>
      <c r="TQP220" s="113"/>
      <c r="TQQ220" s="113"/>
      <c r="TQR220" s="114"/>
      <c r="TQS220" s="113"/>
      <c r="TQT220" s="115"/>
      <c r="TQU220" s="115"/>
      <c r="TQV220" s="113"/>
      <c r="TQW220" s="113"/>
      <c r="TQX220" s="113"/>
      <c r="TQY220" s="113"/>
      <c r="TQZ220" s="114"/>
      <c r="TRA220" s="113"/>
      <c r="TRB220" s="115"/>
      <c r="TRC220" s="115"/>
      <c r="TRD220" s="113"/>
      <c r="TRE220" s="113"/>
      <c r="TRF220" s="113"/>
      <c r="TRG220" s="113"/>
      <c r="TRH220" s="114"/>
      <c r="TRI220" s="113"/>
      <c r="TRJ220" s="115"/>
      <c r="TRK220" s="115"/>
      <c r="TRL220" s="113"/>
      <c r="TRM220" s="113"/>
      <c r="TRN220" s="113"/>
      <c r="TRO220" s="113"/>
      <c r="TRP220" s="114"/>
      <c r="TRQ220" s="113"/>
      <c r="TRR220" s="115"/>
      <c r="TRS220" s="115"/>
      <c r="TRT220" s="113"/>
      <c r="TRU220" s="113"/>
      <c r="TRV220" s="113"/>
      <c r="TRW220" s="113"/>
      <c r="TRX220" s="114"/>
      <c r="TRY220" s="113"/>
      <c r="TRZ220" s="115"/>
      <c r="TSA220" s="115"/>
      <c r="TSB220" s="113"/>
      <c r="TSC220" s="113"/>
      <c r="TSD220" s="113"/>
      <c r="TSE220" s="113"/>
      <c r="TSF220" s="114"/>
      <c r="TSG220" s="113"/>
      <c r="TSH220" s="115"/>
      <c r="TSI220" s="115"/>
      <c r="TSJ220" s="113"/>
      <c r="TSK220" s="113"/>
      <c r="TSL220" s="113"/>
      <c r="TSM220" s="113"/>
      <c r="TSN220" s="114"/>
      <c r="TSO220" s="113"/>
      <c r="TSP220" s="115"/>
      <c r="TSQ220" s="115"/>
      <c r="TSR220" s="113"/>
      <c r="TSS220" s="113"/>
      <c r="TST220" s="113"/>
      <c r="TSU220" s="113"/>
      <c r="TSV220" s="114"/>
      <c r="TSW220" s="113"/>
      <c r="TSX220" s="115"/>
      <c r="TSY220" s="115"/>
      <c r="TSZ220" s="113"/>
      <c r="TTA220" s="113"/>
      <c r="TTB220" s="113"/>
      <c r="TTC220" s="113"/>
      <c r="TTD220" s="114"/>
      <c r="TTE220" s="113"/>
      <c r="TTF220" s="115"/>
      <c r="TTG220" s="115"/>
      <c r="TTH220" s="113"/>
      <c r="TTI220" s="113"/>
      <c r="TTJ220" s="113"/>
      <c r="TTK220" s="113"/>
      <c r="TTL220" s="114"/>
      <c r="TTM220" s="113"/>
      <c r="TTN220" s="115"/>
      <c r="TTO220" s="115"/>
      <c r="TTP220" s="113"/>
      <c r="TTQ220" s="113"/>
      <c r="TTR220" s="113"/>
      <c r="TTS220" s="113"/>
      <c r="TTT220" s="114"/>
      <c r="TTU220" s="113"/>
      <c r="TTV220" s="115"/>
      <c r="TTW220" s="115"/>
      <c r="TTX220" s="113"/>
      <c r="TTY220" s="113"/>
      <c r="TTZ220" s="113"/>
      <c r="TUA220" s="113"/>
      <c r="TUB220" s="114"/>
      <c r="TUC220" s="113"/>
      <c r="TUD220" s="115"/>
      <c r="TUE220" s="115"/>
      <c r="TUF220" s="113"/>
      <c r="TUG220" s="113"/>
      <c r="TUH220" s="113"/>
      <c r="TUI220" s="113"/>
      <c r="TUJ220" s="114"/>
      <c r="TUK220" s="113"/>
      <c r="TUL220" s="115"/>
      <c r="TUM220" s="115"/>
      <c r="TUN220" s="113"/>
      <c r="TUO220" s="113"/>
      <c r="TUP220" s="113"/>
      <c r="TUQ220" s="113"/>
      <c r="TUR220" s="114"/>
      <c r="TUS220" s="113"/>
      <c r="TUT220" s="115"/>
      <c r="TUU220" s="115"/>
      <c r="TUV220" s="113"/>
      <c r="TUW220" s="113"/>
      <c r="TUX220" s="113"/>
      <c r="TUY220" s="113"/>
      <c r="TUZ220" s="114"/>
      <c r="TVA220" s="113"/>
      <c r="TVB220" s="115"/>
      <c r="TVC220" s="115"/>
      <c r="TVD220" s="113"/>
      <c r="TVE220" s="113"/>
      <c r="TVF220" s="113"/>
      <c r="TVG220" s="113"/>
      <c r="TVH220" s="114"/>
      <c r="TVI220" s="113"/>
      <c r="TVJ220" s="115"/>
      <c r="TVK220" s="115"/>
      <c r="TVL220" s="113"/>
      <c r="TVM220" s="113"/>
      <c r="TVN220" s="113"/>
      <c r="TVO220" s="113"/>
      <c r="TVP220" s="114"/>
      <c r="TVQ220" s="113"/>
      <c r="TVR220" s="115"/>
      <c r="TVS220" s="115"/>
      <c r="TVT220" s="113"/>
      <c r="TVU220" s="113"/>
      <c r="TVV220" s="113"/>
      <c r="TVW220" s="113"/>
      <c r="TVX220" s="114"/>
      <c r="TVY220" s="113"/>
      <c r="TVZ220" s="115"/>
      <c r="TWA220" s="115"/>
      <c r="TWB220" s="113"/>
      <c r="TWC220" s="113"/>
      <c r="TWD220" s="113"/>
      <c r="TWE220" s="113"/>
      <c r="TWF220" s="114"/>
      <c r="TWG220" s="113"/>
      <c r="TWH220" s="115"/>
      <c r="TWI220" s="115"/>
      <c r="TWJ220" s="113"/>
      <c r="TWK220" s="113"/>
      <c r="TWL220" s="113"/>
      <c r="TWM220" s="113"/>
      <c r="TWN220" s="114"/>
      <c r="TWO220" s="113"/>
      <c r="TWP220" s="115"/>
      <c r="TWQ220" s="115"/>
      <c r="TWR220" s="113"/>
      <c r="TWS220" s="113"/>
      <c r="TWT220" s="113"/>
      <c r="TWU220" s="113"/>
      <c r="TWV220" s="114"/>
      <c r="TWW220" s="113"/>
      <c r="TWX220" s="115"/>
      <c r="TWY220" s="115"/>
      <c r="TWZ220" s="113"/>
      <c r="TXA220" s="113"/>
      <c r="TXB220" s="113"/>
      <c r="TXC220" s="113"/>
      <c r="TXD220" s="114"/>
      <c r="TXE220" s="113"/>
      <c r="TXF220" s="115"/>
      <c r="TXG220" s="115"/>
      <c r="TXH220" s="113"/>
      <c r="TXI220" s="113"/>
      <c r="TXJ220" s="113"/>
      <c r="TXK220" s="113"/>
      <c r="TXL220" s="114"/>
      <c r="TXM220" s="113"/>
      <c r="TXN220" s="115"/>
      <c r="TXO220" s="115"/>
      <c r="TXP220" s="113"/>
      <c r="TXQ220" s="113"/>
      <c r="TXR220" s="113"/>
      <c r="TXS220" s="113"/>
      <c r="TXT220" s="114"/>
      <c r="TXU220" s="113"/>
      <c r="TXV220" s="115"/>
      <c r="TXW220" s="115"/>
      <c r="TXX220" s="113"/>
      <c r="TXY220" s="113"/>
      <c r="TXZ220" s="113"/>
      <c r="TYA220" s="113"/>
      <c r="TYB220" s="114"/>
      <c r="TYC220" s="113"/>
      <c r="TYD220" s="115"/>
      <c r="TYE220" s="115"/>
      <c r="TYF220" s="113"/>
      <c r="TYG220" s="113"/>
      <c r="TYH220" s="113"/>
      <c r="TYI220" s="113"/>
      <c r="TYJ220" s="114"/>
      <c r="TYK220" s="113"/>
      <c r="TYL220" s="115"/>
      <c r="TYM220" s="115"/>
      <c r="TYN220" s="113"/>
      <c r="TYO220" s="113"/>
      <c r="TYP220" s="113"/>
      <c r="TYQ220" s="113"/>
      <c r="TYR220" s="114"/>
      <c r="TYS220" s="113"/>
      <c r="TYT220" s="115"/>
      <c r="TYU220" s="115"/>
      <c r="TYV220" s="113"/>
      <c r="TYW220" s="113"/>
      <c r="TYX220" s="113"/>
      <c r="TYY220" s="113"/>
      <c r="TYZ220" s="114"/>
      <c r="TZA220" s="113"/>
      <c r="TZB220" s="115"/>
      <c r="TZC220" s="115"/>
      <c r="TZD220" s="113"/>
      <c r="TZE220" s="113"/>
      <c r="TZF220" s="113"/>
      <c r="TZG220" s="113"/>
      <c r="TZH220" s="114"/>
      <c r="TZI220" s="113"/>
      <c r="TZJ220" s="115"/>
      <c r="TZK220" s="115"/>
      <c r="TZL220" s="113"/>
      <c r="TZM220" s="113"/>
      <c r="TZN220" s="113"/>
      <c r="TZO220" s="113"/>
      <c r="TZP220" s="114"/>
      <c r="TZQ220" s="113"/>
      <c r="TZR220" s="115"/>
      <c r="TZS220" s="115"/>
      <c r="TZT220" s="113"/>
      <c r="TZU220" s="113"/>
      <c r="TZV220" s="113"/>
      <c r="TZW220" s="113"/>
      <c r="TZX220" s="114"/>
      <c r="TZY220" s="113"/>
      <c r="TZZ220" s="115"/>
      <c r="UAA220" s="115"/>
      <c r="UAB220" s="113"/>
      <c r="UAC220" s="113"/>
      <c r="UAD220" s="113"/>
      <c r="UAE220" s="113"/>
      <c r="UAF220" s="114"/>
      <c r="UAG220" s="113"/>
      <c r="UAH220" s="115"/>
      <c r="UAI220" s="115"/>
      <c r="UAJ220" s="113"/>
      <c r="UAK220" s="113"/>
      <c r="UAL220" s="113"/>
      <c r="UAM220" s="113"/>
      <c r="UAN220" s="114"/>
      <c r="UAO220" s="113"/>
      <c r="UAP220" s="115"/>
      <c r="UAQ220" s="115"/>
      <c r="UAR220" s="113"/>
      <c r="UAS220" s="113"/>
      <c r="UAT220" s="113"/>
      <c r="UAU220" s="113"/>
      <c r="UAV220" s="114"/>
      <c r="UAW220" s="113"/>
      <c r="UAX220" s="115"/>
      <c r="UAY220" s="115"/>
      <c r="UAZ220" s="113"/>
      <c r="UBA220" s="113"/>
      <c r="UBB220" s="113"/>
      <c r="UBC220" s="113"/>
      <c r="UBD220" s="114"/>
      <c r="UBE220" s="113"/>
      <c r="UBF220" s="115"/>
      <c r="UBG220" s="115"/>
      <c r="UBH220" s="113"/>
      <c r="UBI220" s="113"/>
      <c r="UBJ220" s="113"/>
      <c r="UBK220" s="113"/>
      <c r="UBL220" s="114"/>
      <c r="UBM220" s="113"/>
      <c r="UBN220" s="115"/>
      <c r="UBO220" s="115"/>
      <c r="UBP220" s="113"/>
      <c r="UBQ220" s="113"/>
      <c r="UBR220" s="113"/>
      <c r="UBS220" s="113"/>
      <c r="UBT220" s="114"/>
      <c r="UBU220" s="113"/>
      <c r="UBV220" s="115"/>
      <c r="UBW220" s="115"/>
      <c r="UBX220" s="113"/>
      <c r="UBY220" s="113"/>
      <c r="UBZ220" s="113"/>
      <c r="UCA220" s="113"/>
      <c r="UCB220" s="114"/>
      <c r="UCC220" s="113"/>
      <c r="UCD220" s="115"/>
      <c r="UCE220" s="115"/>
      <c r="UCF220" s="113"/>
      <c r="UCG220" s="113"/>
      <c r="UCH220" s="113"/>
      <c r="UCI220" s="113"/>
      <c r="UCJ220" s="114"/>
      <c r="UCK220" s="113"/>
      <c r="UCL220" s="115"/>
      <c r="UCM220" s="115"/>
      <c r="UCN220" s="113"/>
      <c r="UCO220" s="113"/>
      <c r="UCP220" s="113"/>
      <c r="UCQ220" s="113"/>
      <c r="UCR220" s="114"/>
      <c r="UCS220" s="113"/>
      <c r="UCT220" s="115"/>
      <c r="UCU220" s="115"/>
      <c r="UCV220" s="113"/>
      <c r="UCW220" s="113"/>
      <c r="UCX220" s="113"/>
      <c r="UCY220" s="113"/>
      <c r="UCZ220" s="114"/>
      <c r="UDA220" s="113"/>
      <c r="UDB220" s="115"/>
      <c r="UDC220" s="115"/>
      <c r="UDD220" s="113"/>
      <c r="UDE220" s="113"/>
      <c r="UDF220" s="113"/>
      <c r="UDG220" s="113"/>
      <c r="UDH220" s="114"/>
      <c r="UDI220" s="113"/>
      <c r="UDJ220" s="115"/>
      <c r="UDK220" s="115"/>
      <c r="UDL220" s="113"/>
      <c r="UDM220" s="113"/>
      <c r="UDN220" s="113"/>
      <c r="UDO220" s="113"/>
      <c r="UDP220" s="114"/>
      <c r="UDQ220" s="113"/>
      <c r="UDR220" s="115"/>
      <c r="UDS220" s="115"/>
      <c r="UDT220" s="113"/>
      <c r="UDU220" s="113"/>
      <c r="UDV220" s="113"/>
      <c r="UDW220" s="113"/>
      <c r="UDX220" s="114"/>
      <c r="UDY220" s="113"/>
      <c r="UDZ220" s="115"/>
      <c r="UEA220" s="115"/>
      <c r="UEB220" s="113"/>
      <c r="UEC220" s="113"/>
      <c r="UED220" s="113"/>
      <c r="UEE220" s="113"/>
      <c r="UEF220" s="114"/>
      <c r="UEG220" s="113"/>
      <c r="UEH220" s="115"/>
      <c r="UEI220" s="115"/>
      <c r="UEJ220" s="113"/>
      <c r="UEK220" s="113"/>
      <c r="UEL220" s="113"/>
      <c r="UEM220" s="113"/>
      <c r="UEN220" s="114"/>
      <c r="UEO220" s="113"/>
      <c r="UEP220" s="115"/>
      <c r="UEQ220" s="115"/>
      <c r="UER220" s="113"/>
      <c r="UES220" s="113"/>
      <c r="UET220" s="113"/>
      <c r="UEU220" s="113"/>
      <c r="UEV220" s="114"/>
      <c r="UEW220" s="113"/>
      <c r="UEX220" s="115"/>
      <c r="UEY220" s="115"/>
      <c r="UEZ220" s="113"/>
      <c r="UFA220" s="113"/>
      <c r="UFB220" s="113"/>
      <c r="UFC220" s="113"/>
      <c r="UFD220" s="114"/>
      <c r="UFE220" s="113"/>
      <c r="UFF220" s="115"/>
      <c r="UFG220" s="115"/>
      <c r="UFH220" s="113"/>
      <c r="UFI220" s="113"/>
      <c r="UFJ220" s="113"/>
      <c r="UFK220" s="113"/>
      <c r="UFL220" s="114"/>
      <c r="UFM220" s="113"/>
      <c r="UFN220" s="115"/>
      <c r="UFO220" s="115"/>
      <c r="UFP220" s="113"/>
      <c r="UFQ220" s="113"/>
      <c r="UFR220" s="113"/>
      <c r="UFS220" s="113"/>
      <c r="UFT220" s="114"/>
      <c r="UFU220" s="113"/>
      <c r="UFV220" s="115"/>
      <c r="UFW220" s="115"/>
      <c r="UFX220" s="113"/>
      <c r="UFY220" s="113"/>
      <c r="UFZ220" s="113"/>
      <c r="UGA220" s="113"/>
      <c r="UGB220" s="114"/>
      <c r="UGC220" s="113"/>
      <c r="UGD220" s="115"/>
      <c r="UGE220" s="115"/>
      <c r="UGF220" s="113"/>
      <c r="UGG220" s="113"/>
      <c r="UGH220" s="113"/>
      <c r="UGI220" s="113"/>
      <c r="UGJ220" s="114"/>
      <c r="UGK220" s="113"/>
      <c r="UGL220" s="115"/>
      <c r="UGM220" s="115"/>
      <c r="UGN220" s="113"/>
      <c r="UGO220" s="113"/>
      <c r="UGP220" s="113"/>
      <c r="UGQ220" s="113"/>
      <c r="UGR220" s="114"/>
      <c r="UGS220" s="113"/>
      <c r="UGT220" s="115"/>
      <c r="UGU220" s="115"/>
      <c r="UGV220" s="113"/>
      <c r="UGW220" s="113"/>
      <c r="UGX220" s="113"/>
      <c r="UGY220" s="113"/>
      <c r="UGZ220" s="114"/>
      <c r="UHA220" s="113"/>
      <c r="UHB220" s="115"/>
      <c r="UHC220" s="115"/>
      <c r="UHD220" s="113"/>
      <c r="UHE220" s="113"/>
      <c r="UHF220" s="113"/>
      <c r="UHG220" s="113"/>
      <c r="UHH220" s="114"/>
      <c r="UHI220" s="113"/>
      <c r="UHJ220" s="115"/>
      <c r="UHK220" s="115"/>
      <c r="UHL220" s="113"/>
      <c r="UHM220" s="113"/>
      <c r="UHN220" s="113"/>
      <c r="UHO220" s="113"/>
      <c r="UHP220" s="114"/>
      <c r="UHQ220" s="113"/>
      <c r="UHR220" s="115"/>
      <c r="UHS220" s="115"/>
      <c r="UHT220" s="113"/>
      <c r="UHU220" s="113"/>
      <c r="UHV220" s="113"/>
      <c r="UHW220" s="113"/>
      <c r="UHX220" s="114"/>
      <c r="UHY220" s="113"/>
      <c r="UHZ220" s="115"/>
      <c r="UIA220" s="115"/>
      <c r="UIB220" s="113"/>
      <c r="UIC220" s="113"/>
      <c r="UID220" s="113"/>
      <c r="UIE220" s="113"/>
      <c r="UIF220" s="114"/>
      <c r="UIG220" s="113"/>
      <c r="UIH220" s="115"/>
      <c r="UII220" s="115"/>
      <c r="UIJ220" s="113"/>
      <c r="UIK220" s="113"/>
      <c r="UIL220" s="113"/>
      <c r="UIM220" s="113"/>
      <c r="UIN220" s="114"/>
      <c r="UIO220" s="113"/>
      <c r="UIP220" s="115"/>
      <c r="UIQ220" s="115"/>
      <c r="UIR220" s="113"/>
      <c r="UIS220" s="113"/>
      <c r="UIT220" s="113"/>
      <c r="UIU220" s="113"/>
      <c r="UIV220" s="114"/>
      <c r="UIW220" s="113"/>
      <c r="UIX220" s="115"/>
      <c r="UIY220" s="115"/>
      <c r="UIZ220" s="113"/>
      <c r="UJA220" s="113"/>
      <c r="UJB220" s="113"/>
      <c r="UJC220" s="113"/>
      <c r="UJD220" s="114"/>
      <c r="UJE220" s="113"/>
      <c r="UJF220" s="115"/>
      <c r="UJG220" s="115"/>
      <c r="UJH220" s="113"/>
      <c r="UJI220" s="113"/>
      <c r="UJJ220" s="113"/>
      <c r="UJK220" s="113"/>
      <c r="UJL220" s="114"/>
      <c r="UJM220" s="113"/>
      <c r="UJN220" s="115"/>
      <c r="UJO220" s="115"/>
      <c r="UJP220" s="113"/>
      <c r="UJQ220" s="113"/>
      <c r="UJR220" s="113"/>
      <c r="UJS220" s="113"/>
      <c r="UJT220" s="114"/>
      <c r="UJU220" s="113"/>
      <c r="UJV220" s="115"/>
      <c r="UJW220" s="115"/>
      <c r="UJX220" s="113"/>
      <c r="UJY220" s="113"/>
      <c r="UJZ220" s="113"/>
      <c r="UKA220" s="113"/>
      <c r="UKB220" s="114"/>
      <c r="UKC220" s="113"/>
      <c r="UKD220" s="115"/>
      <c r="UKE220" s="115"/>
      <c r="UKF220" s="113"/>
      <c r="UKG220" s="113"/>
      <c r="UKH220" s="113"/>
      <c r="UKI220" s="113"/>
      <c r="UKJ220" s="114"/>
      <c r="UKK220" s="113"/>
      <c r="UKL220" s="115"/>
      <c r="UKM220" s="115"/>
      <c r="UKN220" s="113"/>
      <c r="UKO220" s="113"/>
      <c r="UKP220" s="113"/>
      <c r="UKQ220" s="113"/>
      <c r="UKR220" s="114"/>
      <c r="UKS220" s="113"/>
      <c r="UKT220" s="115"/>
      <c r="UKU220" s="115"/>
      <c r="UKV220" s="113"/>
      <c r="UKW220" s="113"/>
      <c r="UKX220" s="113"/>
      <c r="UKY220" s="113"/>
      <c r="UKZ220" s="114"/>
      <c r="ULA220" s="113"/>
      <c r="ULB220" s="115"/>
      <c r="ULC220" s="115"/>
      <c r="ULD220" s="113"/>
      <c r="ULE220" s="113"/>
      <c r="ULF220" s="113"/>
      <c r="ULG220" s="113"/>
      <c r="ULH220" s="114"/>
      <c r="ULI220" s="113"/>
      <c r="ULJ220" s="115"/>
      <c r="ULK220" s="115"/>
      <c r="ULL220" s="113"/>
      <c r="ULM220" s="113"/>
      <c r="ULN220" s="113"/>
      <c r="ULO220" s="113"/>
      <c r="ULP220" s="114"/>
      <c r="ULQ220" s="113"/>
      <c r="ULR220" s="115"/>
      <c r="ULS220" s="115"/>
      <c r="ULT220" s="113"/>
      <c r="ULU220" s="113"/>
      <c r="ULV220" s="113"/>
      <c r="ULW220" s="113"/>
      <c r="ULX220" s="114"/>
      <c r="ULY220" s="113"/>
      <c r="ULZ220" s="115"/>
      <c r="UMA220" s="115"/>
      <c r="UMB220" s="113"/>
      <c r="UMC220" s="113"/>
      <c r="UMD220" s="113"/>
      <c r="UME220" s="113"/>
      <c r="UMF220" s="114"/>
      <c r="UMG220" s="113"/>
      <c r="UMH220" s="115"/>
      <c r="UMI220" s="115"/>
      <c r="UMJ220" s="113"/>
      <c r="UMK220" s="113"/>
      <c r="UML220" s="113"/>
      <c r="UMM220" s="113"/>
      <c r="UMN220" s="114"/>
      <c r="UMO220" s="113"/>
      <c r="UMP220" s="115"/>
      <c r="UMQ220" s="115"/>
      <c r="UMR220" s="113"/>
      <c r="UMS220" s="113"/>
      <c r="UMT220" s="113"/>
      <c r="UMU220" s="113"/>
      <c r="UMV220" s="114"/>
      <c r="UMW220" s="113"/>
      <c r="UMX220" s="115"/>
      <c r="UMY220" s="115"/>
      <c r="UMZ220" s="113"/>
      <c r="UNA220" s="113"/>
      <c r="UNB220" s="113"/>
      <c r="UNC220" s="113"/>
      <c r="UND220" s="114"/>
      <c r="UNE220" s="113"/>
      <c r="UNF220" s="115"/>
      <c r="UNG220" s="115"/>
      <c r="UNH220" s="113"/>
      <c r="UNI220" s="113"/>
      <c r="UNJ220" s="113"/>
      <c r="UNK220" s="113"/>
      <c r="UNL220" s="114"/>
      <c r="UNM220" s="113"/>
      <c r="UNN220" s="115"/>
      <c r="UNO220" s="115"/>
      <c r="UNP220" s="113"/>
      <c r="UNQ220" s="113"/>
      <c r="UNR220" s="113"/>
      <c r="UNS220" s="113"/>
      <c r="UNT220" s="114"/>
      <c r="UNU220" s="113"/>
      <c r="UNV220" s="115"/>
      <c r="UNW220" s="115"/>
      <c r="UNX220" s="113"/>
      <c r="UNY220" s="113"/>
      <c r="UNZ220" s="113"/>
      <c r="UOA220" s="113"/>
      <c r="UOB220" s="114"/>
      <c r="UOC220" s="113"/>
      <c r="UOD220" s="115"/>
      <c r="UOE220" s="115"/>
      <c r="UOF220" s="113"/>
      <c r="UOG220" s="113"/>
      <c r="UOH220" s="113"/>
      <c r="UOI220" s="113"/>
      <c r="UOJ220" s="114"/>
      <c r="UOK220" s="113"/>
      <c r="UOL220" s="115"/>
      <c r="UOM220" s="115"/>
      <c r="UON220" s="113"/>
      <c r="UOO220" s="113"/>
      <c r="UOP220" s="113"/>
      <c r="UOQ220" s="113"/>
      <c r="UOR220" s="114"/>
      <c r="UOS220" s="113"/>
      <c r="UOT220" s="115"/>
      <c r="UOU220" s="115"/>
      <c r="UOV220" s="113"/>
      <c r="UOW220" s="113"/>
      <c r="UOX220" s="113"/>
      <c r="UOY220" s="113"/>
      <c r="UOZ220" s="114"/>
      <c r="UPA220" s="113"/>
      <c r="UPB220" s="115"/>
      <c r="UPC220" s="115"/>
      <c r="UPD220" s="113"/>
      <c r="UPE220" s="113"/>
      <c r="UPF220" s="113"/>
      <c r="UPG220" s="113"/>
      <c r="UPH220" s="114"/>
      <c r="UPI220" s="113"/>
      <c r="UPJ220" s="115"/>
      <c r="UPK220" s="115"/>
      <c r="UPL220" s="113"/>
      <c r="UPM220" s="113"/>
      <c r="UPN220" s="113"/>
      <c r="UPO220" s="113"/>
      <c r="UPP220" s="114"/>
      <c r="UPQ220" s="113"/>
      <c r="UPR220" s="115"/>
      <c r="UPS220" s="115"/>
      <c r="UPT220" s="113"/>
      <c r="UPU220" s="113"/>
      <c r="UPV220" s="113"/>
      <c r="UPW220" s="113"/>
      <c r="UPX220" s="114"/>
      <c r="UPY220" s="113"/>
      <c r="UPZ220" s="115"/>
      <c r="UQA220" s="115"/>
      <c r="UQB220" s="113"/>
      <c r="UQC220" s="113"/>
      <c r="UQD220" s="113"/>
      <c r="UQE220" s="113"/>
      <c r="UQF220" s="114"/>
      <c r="UQG220" s="113"/>
      <c r="UQH220" s="115"/>
      <c r="UQI220" s="115"/>
      <c r="UQJ220" s="113"/>
      <c r="UQK220" s="113"/>
      <c r="UQL220" s="113"/>
      <c r="UQM220" s="113"/>
      <c r="UQN220" s="114"/>
      <c r="UQO220" s="113"/>
      <c r="UQP220" s="115"/>
      <c r="UQQ220" s="115"/>
      <c r="UQR220" s="113"/>
      <c r="UQS220" s="113"/>
      <c r="UQT220" s="113"/>
      <c r="UQU220" s="113"/>
      <c r="UQV220" s="114"/>
      <c r="UQW220" s="113"/>
      <c r="UQX220" s="115"/>
      <c r="UQY220" s="115"/>
      <c r="UQZ220" s="113"/>
      <c r="URA220" s="113"/>
      <c r="URB220" s="113"/>
      <c r="URC220" s="113"/>
      <c r="URD220" s="114"/>
      <c r="URE220" s="113"/>
      <c r="URF220" s="115"/>
      <c r="URG220" s="115"/>
      <c r="URH220" s="113"/>
      <c r="URI220" s="113"/>
      <c r="URJ220" s="113"/>
      <c r="URK220" s="113"/>
      <c r="URL220" s="114"/>
      <c r="URM220" s="113"/>
      <c r="URN220" s="115"/>
      <c r="URO220" s="115"/>
      <c r="URP220" s="113"/>
      <c r="URQ220" s="113"/>
      <c r="URR220" s="113"/>
      <c r="URS220" s="113"/>
      <c r="URT220" s="114"/>
      <c r="URU220" s="113"/>
      <c r="URV220" s="115"/>
      <c r="URW220" s="115"/>
      <c r="URX220" s="113"/>
      <c r="URY220" s="113"/>
      <c r="URZ220" s="113"/>
      <c r="USA220" s="113"/>
      <c r="USB220" s="114"/>
      <c r="USC220" s="113"/>
      <c r="USD220" s="115"/>
      <c r="USE220" s="115"/>
      <c r="USF220" s="113"/>
      <c r="USG220" s="113"/>
      <c r="USH220" s="113"/>
      <c r="USI220" s="113"/>
      <c r="USJ220" s="114"/>
      <c r="USK220" s="113"/>
      <c r="USL220" s="115"/>
      <c r="USM220" s="115"/>
      <c r="USN220" s="113"/>
      <c r="USO220" s="113"/>
      <c r="USP220" s="113"/>
      <c r="USQ220" s="113"/>
      <c r="USR220" s="114"/>
      <c r="USS220" s="113"/>
      <c r="UST220" s="115"/>
      <c r="USU220" s="115"/>
      <c r="USV220" s="113"/>
      <c r="USW220" s="113"/>
      <c r="USX220" s="113"/>
      <c r="USY220" s="113"/>
      <c r="USZ220" s="114"/>
      <c r="UTA220" s="113"/>
      <c r="UTB220" s="115"/>
      <c r="UTC220" s="115"/>
      <c r="UTD220" s="113"/>
      <c r="UTE220" s="113"/>
      <c r="UTF220" s="113"/>
      <c r="UTG220" s="113"/>
      <c r="UTH220" s="114"/>
      <c r="UTI220" s="113"/>
      <c r="UTJ220" s="115"/>
      <c r="UTK220" s="115"/>
      <c r="UTL220" s="113"/>
      <c r="UTM220" s="113"/>
      <c r="UTN220" s="113"/>
      <c r="UTO220" s="113"/>
      <c r="UTP220" s="114"/>
      <c r="UTQ220" s="113"/>
      <c r="UTR220" s="115"/>
      <c r="UTS220" s="115"/>
      <c r="UTT220" s="113"/>
      <c r="UTU220" s="113"/>
      <c r="UTV220" s="113"/>
      <c r="UTW220" s="113"/>
      <c r="UTX220" s="114"/>
      <c r="UTY220" s="113"/>
      <c r="UTZ220" s="115"/>
      <c r="UUA220" s="115"/>
      <c r="UUB220" s="113"/>
      <c r="UUC220" s="113"/>
      <c r="UUD220" s="113"/>
      <c r="UUE220" s="113"/>
      <c r="UUF220" s="114"/>
      <c r="UUG220" s="113"/>
      <c r="UUH220" s="115"/>
      <c r="UUI220" s="115"/>
      <c r="UUJ220" s="113"/>
      <c r="UUK220" s="113"/>
      <c r="UUL220" s="113"/>
      <c r="UUM220" s="113"/>
      <c r="UUN220" s="114"/>
      <c r="UUO220" s="113"/>
      <c r="UUP220" s="115"/>
      <c r="UUQ220" s="115"/>
      <c r="UUR220" s="113"/>
      <c r="UUS220" s="113"/>
      <c r="UUT220" s="113"/>
      <c r="UUU220" s="113"/>
      <c r="UUV220" s="114"/>
      <c r="UUW220" s="113"/>
      <c r="UUX220" s="115"/>
      <c r="UUY220" s="115"/>
      <c r="UUZ220" s="113"/>
      <c r="UVA220" s="113"/>
      <c r="UVB220" s="113"/>
      <c r="UVC220" s="113"/>
      <c r="UVD220" s="114"/>
      <c r="UVE220" s="113"/>
      <c r="UVF220" s="115"/>
      <c r="UVG220" s="115"/>
      <c r="UVH220" s="113"/>
      <c r="UVI220" s="113"/>
      <c r="UVJ220" s="113"/>
      <c r="UVK220" s="113"/>
      <c r="UVL220" s="114"/>
      <c r="UVM220" s="113"/>
      <c r="UVN220" s="115"/>
      <c r="UVO220" s="115"/>
      <c r="UVP220" s="113"/>
      <c r="UVQ220" s="113"/>
      <c r="UVR220" s="113"/>
      <c r="UVS220" s="113"/>
      <c r="UVT220" s="114"/>
      <c r="UVU220" s="113"/>
      <c r="UVV220" s="115"/>
      <c r="UVW220" s="115"/>
      <c r="UVX220" s="113"/>
      <c r="UVY220" s="113"/>
      <c r="UVZ220" s="113"/>
      <c r="UWA220" s="113"/>
      <c r="UWB220" s="114"/>
      <c r="UWC220" s="113"/>
      <c r="UWD220" s="115"/>
      <c r="UWE220" s="115"/>
      <c r="UWF220" s="113"/>
      <c r="UWG220" s="113"/>
      <c r="UWH220" s="113"/>
      <c r="UWI220" s="113"/>
      <c r="UWJ220" s="114"/>
      <c r="UWK220" s="113"/>
      <c r="UWL220" s="115"/>
      <c r="UWM220" s="115"/>
      <c r="UWN220" s="113"/>
      <c r="UWO220" s="113"/>
      <c r="UWP220" s="113"/>
      <c r="UWQ220" s="113"/>
      <c r="UWR220" s="114"/>
      <c r="UWS220" s="113"/>
      <c r="UWT220" s="115"/>
      <c r="UWU220" s="115"/>
      <c r="UWV220" s="113"/>
      <c r="UWW220" s="113"/>
      <c r="UWX220" s="113"/>
      <c r="UWY220" s="113"/>
      <c r="UWZ220" s="114"/>
      <c r="UXA220" s="113"/>
      <c r="UXB220" s="115"/>
      <c r="UXC220" s="115"/>
      <c r="UXD220" s="113"/>
      <c r="UXE220" s="113"/>
      <c r="UXF220" s="113"/>
      <c r="UXG220" s="113"/>
      <c r="UXH220" s="114"/>
      <c r="UXI220" s="113"/>
      <c r="UXJ220" s="115"/>
      <c r="UXK220" s="115"/>
      <c r="UXL220" s="113"/>
      <c r="UXM220" s="113"/>
      <c r="UXN220" s="113"/>
      <c r="UXO220" s="113"/>
      <c r="UXP220" s="114"/>
      <c r="UXQ220" s="113"/>
      <c r="UXR220" s="115"/>
      <c r="UXS220" s="115"/>
      <c r="UXT220" s="113"/>
      <c r="UXU220" s="113"/>
      <c r="UXV220" s="113"/>
      <c r="UXW220" s="113"/>
      <c r="UXX220" s="114"/>
      <c r="UXY220" s="113"/>
      <c r="UXZ220" s="115"/>
      <c r="UYA220" s="115"/>
      <c r="UYB220" s="113"/>
      <c r="UYC220" s="113"/>
      <c r="UYD220" s="113"/>
      <c r="UYE220" s="113"/>
      <c r="UYF220" s="114"/>
      <c r="UYG220" s="113"/>
      <c r="UYH220" s="115"/>
      <c r="UYI220" s="115"/>
      <c r="UYJ220" s="113"/>
      <c r="UYK220" s="113"/>
      <c r="UYL220" s="113"/>
      <c r="UYM220" s="113"/>
      <c r="UYN220" s="114"/>
      <c r="UYO220" s="113"/>
      <c r="UYP220" s="115"/>
      <c r="UYQ220" s="115"/>
      <c r="UYR220" s="113"/>
      <c r="UYS220" s="113"/>
      <c r="UYT220" s="113"/>
      <c r="UYU220" s="113"/>
      <c r="UYV220" s="114"/>
      <c r="UYW220" s="113"/>
      <c r="UYX220" s="115"/>
      <c r="UYY220" s="115"/>
      <c r="UYZ220" s="113"/>
      <c r="UZA220" s="113"/>
      <c r="UZB220" s="113"/>
      <c r="UZC220" s="113"/>
      <c r="UZD220" s="114"/>
      <c r="UZE220" s="113"/>
      <c r="UZF220" s="115"/>
      <c r="UZG220" s="115"/>
      <c r="UZH220" s="113"/>
      <c r="UZI220" s="113"/>
      <c r="UZJ220" s="113"/>
      <c r="UZK220" s="113"/>
      <c r="UZL220" s="114"/>
      <c r="UZM220" s="113"/>
      <c r="UZN220" s="115"/>
      <c r="UZO220" s="115"/>
      <c r="UZP220" s="113"/>
      <c r="UZQ220" s="113"/>
      <c r="UZR220" s="113"/>
      <c r="UZS220" s="113"/>
      <c r="UZT220" s="114"/>
      <c r="UZU220" s="113"/>
      <c r="UZV220" s="115"/>
      <c r="UZW220" s="115"/>
      <c r="UZX220" s="113"/>
      <c r="UZY220" s="113"/>
      <c r="UZZ220" s="113"/>
      <c r="VAA220" s="113"/>
      <c r="VAB220" s="114"/>
      <c r="VAC220" s="113"/>
      <c r="VAD220" s="115"/>
      <c r="VAE220" s="115"/>
      <c r="VAF220" s="113"/>
      <c r="VAG220" s="113"/>
      <c r="VAH220" s="113"/>
      <c r="VAI220" s="113"/>
      <c r="VAJ220" s="114"/>
      <c r="VAK220" s="113"/>
      <c r="VAL220" s="115"/>
      <c r="VAM220" s="115"/>
      <c r="VAN220" s="113"/>
      <c r="VAO220" s="113"/>
      <c r="VAP220" s="113"/>
      <c r="VAQ220" s="113"/>
      <c r="VAR220" s="114"/>
      <c r="VAS220" s="113"/>
      <c r="VAT220" s="115"/>
      <c r="VAU220" s="115"/>
      <c r="VAV220" s="113"/>
      <c r="VAW220" s="113"/>
      <c r="VAX220" s="113"/>
      <c r="VAY220" s="113"/>
      <c r="VAZ220" s="114"/>
      <c r="VBA220" s="113"/>
      <c r="VBB220" s="115"/>
      <c r="VBC220" s="115"/>
      <c r="VBD220" s="113"/>
      <c r="VBE220" s="113"/>
      <c r="VBF220" s="113"/>
      <c r="VBG220" s="113"/>
      <c r="VBH220" s="114"/>
      <c r="VBI220" s="113"/>
      <c r="VBJ220" s="115"/>
      <c r="VBK220" s="115"/>
      <c r="VBL220" s="113"/>
      <c r="VBM220" s="113"/>
      <c r="VBN220" s="113"/>
      <c r="VBO220" s="113"/>
      <c r="VBP220" s="114"/>
      <c r="VBQ220" s="113"/>
      <c r="VBR220" s="115"/>
      <c r="VBS220" s="115"/>
      <c r="VBT220" s="113"/>
      <c r="VBU220" s="113"/>
      <c r="VBV220" s="113"/>
      <c r="VBW220" s="113"/>
      <c r="VBX220" s="114"/>
      <c r="VBY220" s="113"/>
      <c r="VBZ220" s="115"/>
      <c r="VCA220" s="115"/>
      <c r="VCB220" s="113"/>
      <c r="VCC220" s="113"/>
      <c r="VCD220" s="113"/>
      <c r="VCE220" s="113"/>
      <c r="VCF220" s="114"/>
      <c r="VCG220" s="113"/>
      <c r="VCH220" s="115"/>
      <c r="VCI220" s="115"/>
      <c r="VCJ220" s="113"/>
      <c r="VCK220" s="113"/>
      <c r="VCL220" s="113"/>
      <c r="VCM220" s="113"/>
      <c r="VCN220" s="114"/>
      <c r="VCO220" s="113"/>
      <c r="VCP220" s="115"/>
      <c r="VCQ220" s="115"/>
      <c r="VCR220" s="113"/>
      <c r="VCS220" s="113"/>
      <c r="VCT220" s="113"/>
      <c r="VCU220" s="113"/>
      <c r="VCV220" s="114"/>
      <c r="VCW220" s="113"/>
      <c r="VCX220" s="115"/>
      <c r="VCY220" s="115"/>
      <c r="VCZ220" s="113"/>
      <c r="VDA220" s="113"/>
      <c r="VDB220" s="113"/>
      <c r="VDC220" s="113"/>
      <c r="VDD220" s="114"/>
      <c r="VDE220" s="113"/>
      <c r="VDF220" s="115"/>
      <c r="VDG220" s="115"/>
      <c r="VDH220" s="113"/>
      <c r="VDI220" s="113"/>
      <c r="VDJ220" s="113"/>
      <c r="VDK220" s="113"/>
      <c r="VDL220" s="114"/>
      <c r="VDM220" s="113"/>
      <c r="VDN220" s="115"/>
      <c r="VDO220" s="115"/>
      <c r="VDP220" s="113"/>
      <c r="VDQ220" s="113"/>
      <c r="VDR220" s="113"/>
      <c r="VDS220" s="113"/>
      <c r="VDT220" s="114"/>
      <c r="VDU220" s="113"/>
      <c r="VDV220" s="115"/>
      <c r="VDW220" s="115"/>
      <c r="VDX220" s="113"/>
      <c r="VDY220" s="113"/>
      <c r="VDZ220" s="113"/>
      <c r="VEA220" s="113"/>
      <c r="VEB220" s="114"/>
      <c r="VEC220" s="113"/>
      <c r="VED220" s="115"/>
      <c r="VEE220" s="115"/>
      <c r="VEF220" s="113"/>
      <c r="VEG220" s="113"/>
      <c r="VEH220" s="113"/>
      <c r="VEI220" s="113"/>
      <c r="VEJ220" s="114"/>
      <c r="VEK220" s="113"/>
      <c r="VEL220" s="115"/>
      <c r="VEM220" s="115"/>
      <c r="VEN220" s="113"/>
      <c r="VEO220" s="113"/>
      <c r="VEP220" s="113"/>
      <c r="VEQ220" s="113"/>
      <c r="VER220" s="114"/>
      <c r="VES220" s="113"/>
      <c r="VET220" s="115"/>
      <c r="VEU220" s="115"/>
      <c r="VEV220" s="113"/>
      <c r="VEW220" s="113"/>
      <c r="VEX220" s="113"/>
      <c r="VEY220" s="113"/>
      <c r="VEZ220" s="114"/>
      <c r="VFA220" s="113"/>
      <c r="VFB220" s="115"/>
      <c r="VFC220" s="115"/>
      <c r="VFD220" s="113"/>
      <c r="VFE220" s="113"/>
      <c r="VFF220" s="113"/>
      <c r="VFG220" s="113"/>
      <c r="VFH220" s="114"/>
      <c r="VFI220" s="113"/>
      <c r="VFJ220" s="115"/>
      <c r="VFK220" s="115"/>
      <c r="VFL220" s="113"/>
      <c r="VFM220" s="113"/>
      <c r="VFN220" s="113"/>
      <c r="VFO220" s="113"/>
      <c r="VFP220" s="114"/>
      <c r="VFQ220" s="113"/>
      <c r="VFR220" s="115"/>
      <c r="VFS220" s="115"/>
      <c r="VFT220" s="113"/>
      <c r="VFU220" s="113"/>
      <c r="VFV220" s="113"/>
      <c r="VFW220" s="113"/>
      <c r="VFX220" s="114"/>
      <c r="VFY220" s="113"/>
      <c r="VFZ220" s="115"/>
      <c r="VGA220" s="115"/>
      <c r="VGB220" s="113"/>
      <c r="VGC220" s="113"/>
      <c r="VGD220" s="113"/>
      <c r="VGE220" s="113"/>
      <c r="VGF220" s="114"/>
      <c r="VGG220" s="113"/>
      <c r="VGH220" s="115"/>
      <c r="VGI220" s="115"/>
      <c r="VGJ220" s="113"/>
      <c r="VGK220" s="113"/>
      <c r="VGL220" s="113"/>
      <c r="VGM220" s="113"/>
      <c r="VGN220" s="114"/>
      <c r="VGO220" s="113"/>
      <c r="VGP220" s="115"/>
      <c r="VGQ220" s="115"/>
      <c r="VGR220" s="113"/>
      <c r="VGS220" s="113"/>
      <c r="VGT220" s="113"/>
      <c r="VGU220" s="113"/>
      <c r="VGV220" s="114"/>
      <c r="VGW220" s="113"/>
      <c r="VGX220" s="115"/>
      <c r="VGY220" s="115"/>
      <c r="VGZ220" s="113"/>
      <c r="VHA220" s="113"/>
      <c r="VHB220" s="113"/>
      <c r="VHC220" s="113"/>
      <c r="VHD220" s="114"/>
      <c r="VHE220" s="113"/>
      <c r="VHF220" s="115"/>
      <c r="VHG220" s="115"/>
      <c r="VHH220" s="113"/>
      <c r="VHI220" s="113"/>
      <c r="VHJ220" s="113"/>
      <c r="VHK220" s="113"/>
      <c r="VHL220" s="114"/>
      <c r="VHM220" s="113"/>
      <c r="VHN220" s="115"/>
      <c r="VHO220" s="115"/>
      <c r="VHP220" s="113"/>
      <c r="VHQ220" s="113"/>
      <c r="VHR220" s="113"/>
      <c r="VHS220" s="113"/>
      <c r="VHT220" s="114"/>
      <c r="VHU220" s="113"/>
      <c r="VHV220" s="115"/>
      <c r="VHW220" s="115"/>
      <c r="VHX220" s="113"/>
      <c r="VHY220" s="113"/>
      <c r="VHZ220" s="113"/>
      <c r="VIA220" s="113"/>
      <c r="VIB220" s="114"/>
      <c r="VIC220" s="113"/>
      <c r="VID220" s="115"/>
      <c r="VIE220" s="115"/>
      <c r="VIF220" s="113"/>
      <c r="VIG220" s="113"/>
      <c r="VIH220" s="113"/>
      <c r="VII220" s="113"/>
      <c r="VIJ220" s="114"/>
      <c r="VIK220" s="113"/>
      <c r="VIL220" s="115"/>
      <c r="VIM220" s="115"/>
      <c r="VIN220" s="113"/>
      <c r="VIO220" s="113"/>
      <c r="VIP220" s="113"/>
      <c r="VIQ220" s="113"/>
      <c r="VIR220" s="114"/>
      <c r="VIS220" s="113"/>
      <c r="VIT220" s="115"/>
      <c r="VIU220" s="115"/>
      <c r="VIV220" s="113"/>
      <c r="VIW220" s="113"/>
      <c r="VIX220" s="113"/>
      <c r="VIY220" s="113"/>
      <c r="VIZ220" s="114"/>
      <c r="VJA220" s="113"/>
      <c r="VJB220" s="115"/>
      <c r="VJC220" s="115"/>
      <c r="VJD220" s="113"/>
      <c r="VJE220" s="113"/>
      <c r="VJF220" s="113"/>
      <c r="VJG220" s="113"/>
      <c r="VJH220" s="114"/>
      <c r="VJI220" s="113"/>
      <c r="VJJ220" s="115"/>
      <c r="VJK220" s="115"/>
      <c r="VJL220" s="113"/>
      <c r="VJM220" s="113"/>
      <c r="VJN220" s="113"/>
      <c r="VJO220" s="113"/>
      <c r="VJP220" s="114"/>
      <c r="VJQ220" s="113"/>
      <c r="VJR220" s="115"/>
      <c r="VJS220" s="115"/>
      <c r="VJT220" s="113"/>
      <c r="VJU220" s="113"/>
      <c r="VJV220" s="113"/>
      <c r="VJW220" s="113"/>
      <c r="VJX220" s="114"/>
      <c r="VJY220" s="113"/>
      <c r="VJZ220" s="115"/>
      <c r="VKA220" s="115"/>
      <c r="VKB220" s="113"/>
      <c r="VKC220" s="113"/>
      <c r="VKD220" s="113"/>
      <c r="VKE220" s="113"/>
      <c r="VKF220" s="114"/>
      <c r="VKG220" s="113"/>
      <c r="VKH220" s="115"/>
      <c r="VKI220" s="115"/>
      <c r="VKJ220" s="113"/>
      <c r="VKK220" s="113"/>
      <c r="VKL220" s="113"/>
      <c r="VKM220" s="113"/>
      <c r="VKN220" s="114"/>
      <c r="VKO220" s="113"/>
      <c r="VKP220" s="115"/>
      <c r="VKQ220" s="115"/>
      <c r="VKR220" s="113"/>
      <c r="VKS220" s="113"/>
      <c r="VKT220" s="113"/>
      <c r="VKU220" s="113"/>
      <c r="VKV220" s="114"/>
      <c r="VKW220" s="113"/>
      <c r="VKX220" s="115"/>
      <c r="VKY220" s="115"/>
      <c r="VKZ220" s="113"/>
      <c r="VLA220" s="113"/>
      <c r="VLB220" s="113"/>
      <c r="VLC220" s="113"/>
      <c r="VLD220" s="114"/>
      <c r="VLE220" s="113"/>
      <c r="VLF220" s="115"/>
      <c r="VLG220" s="115"/>
      <c r="VLH220" s="113"/>
      <c r="VLI220" s="113"/>
      <c r="VLJ220" s="113"/>
      <c r="VLK220" s="113"/>
      <c r="VLL220" s="114"/>
      <c r="VLM220" s="113"/>
      <c r="VLN220" s="115"/>
      <c r="VLO220" s="115"/>
      <c r="VLP220" s="113"/>
      <c r="VLQ220" s="113"/>
      <c r="VLR220" s="113"/>
      <c r="VLS220" s="113"/>
      <c r="VLT220" s="114"/>
      <c r="VLU220" s="113"/>
      <c r="VLV220" s="115"/>
      <c r="VLW220" s="115"/>
      <c r="VLX220" s="113"/>
      <c r="VLY220" s="113"/>
      <c r="VLZ220" s="113"/>
      <c r="VMA220" s="113"/>
      <c r="VMB220" s="114"/>
      <c r="VMC220" s="113"/>
      <c r="VMD220" s="115"/>
      <c r="VME220" s="115"/>
      <c r="VMF220" s="113"/>
      <c r="VMG220" s="113"/>
      <c r="VMH220" s="113"/>
      <c r="VMI220" s="113"/>
      <c r="VMJ220" s="114"/>
      <c r="VMK220" s="113"/>
      <c r="VML220" s="115"/>
      <c r="VMM220" s="115"/>
      <c r="VMN220" s="113"/>
      <c r="VMO220" s="113"/>
      <c r="VMP220" s="113"/>
      <c r="VMQ220" s="113"/>
      <c r="VMR220" s="114"/>
      <c r="VMS220" s="113"/>
      <c r="VMT220" s="115"/>
      <c r="VMU220" s="115"/>
      <c r="VMV220" s="113"/>
      <c r="VMW220" s="113"/>
      <c r="VMX220" s="113"/>
      <c r="VMY220" s="113"/>
      <c r="VMZ220" s="114"/>
      <c r="VNA220" s="113"/>
      <c r="VNB220" s="115"/>
      <c r="VNC220" s="115"/>
      <c r="VND220" s="113"/>
      <c r="VNE220" s="113"/>
      <c r="VNF220" s="113"/>
      <c r="VNG220" s="113"/>
      <c r="VNH220" s="114"/>
      <c r="VNI220" s="113"/>
      <c r="VNJ220" s="115"/>
      <c r="VNK220" s="115"/>
      <c r="VNL220" s="113"/>
      <c r="VNM220" s="113"/>
      <c r="VNN220" s="113"/>
      <c r="VNO220" s="113"/>
      <c r="VNP220" s="114"/>
      <c r="VNQ220" s="113"/>
      <c r="VNR220" s="115"/>
      <c r="VNS220" s="115"/>
      <c r="VNT220" s="113"/>
      <c r="VNU220" s="113"/>
      <c r="VNV220" s="113"/>
      <c r="VNW220" s="113"/>
      <c r="VNX220" s="114"/>
      <c r="VNY220" s="113"/>
      <c r="VNZ220" s="115"/>
      <c r="VOA220" s="115"/>
      <c r="VOB220" s="113"/>
      <c r="VOC220" s="113"/>
      <c r="VOD220" s="113"/>
      <c r="VOE220" s="113"/>
      <c r="VOF220" s="114"/>
      <c r="VOG220" s="113"/>
      <c r="VOH220" s="115"/>
      <c r="VOI220" s="115"/>
      <c r="VOJ220" s="113"/>
      <c r="VOK220" s="113"/>
      <c r="VOL220" s="113"/>
      <c r="VOM220" s="113"/>
      <c r="VON220" s="114"/>
      <c r="VOO220" s="113"/>
      <c r="VOP220" s="115"/>
      <c r="VOQ220" s="115"/>
      <c r="VOR220" s="113"/>
      <c r="VOS220" s="113"/>
      <c r="VOT220" s="113"/>
      <c r="VOU220" s="113"/>
      <c r="VOV220" s="114"/>
      <c r="VOW220" s="113"/>
      <c r="VOX220" s="115"/>
      <c r="VOY220" s="115"/>
      <c r="VOZ220" s="113"/>
      <c r="VPA220" s="113"/>
      <c r="VPB220" s="113"/>
      <c r="VPC220" s="113"/>
      <c r="VPD220" s="114"/>
      <c r="VPE220" s="113"/>
      <c r="VPF220" s="115"/>
      <c r="VPG220" s="115"/>
      <c r="VPH220" s="113"/>
      <c r="VPI220" s="113"/>
      <c r="VPJ220" s="113"/>
      <c r="VPK220" s="113"/>
      <c r="VPL220" s="114"/>
      <c r="VPM220" s="113"/>
      <c r="VPN220" s="115"/>
      <c r="VPO220" s="115"/>
      <c r="VPP220" s="113"/>
      <c r="VPQ220" s="113"/>
      <c r="VPR220" s="113"/>
      <c r="VPS220" s="113"/>
      <c r="VPT220" s="114"/>
      <c r="VPU220" s="113"/>
      <c r="VPV220" s="115"/>
      <c r="VPW220" s="115"/>
      <c r="VPX220" s="113"/>
      <c r="VPY220" s="113"/>
      <c r="VPZ220" s="113"/>
      <c r="VQA220" s="113"/>
      <c r="VQB220" s="114"/>
      <c r="VQC220" s="113"/>
      <c r="VQD220" s="115"/>
      <c r="VQE220" s="115"/>
      <c r="VQF220" s="113"/>
      <c r="VQG220" s="113"/>
      <c r="VQH220" s="113"/>
      <c r="VQI220" s="113"/>
      <c r="VQJ220" s="114"/>
      <c r="VQK220" s="113"/>
      <c r="VQL220" s="115"/>
      <c r="VQM220" s="115"/>
      <c r="VQN220" s="113"/>
      <c r="VQO220" s="113"/>
      <c r="VQP220" s="113"/>
      <c r="VQQ220" s="113"/>
      <c r="VQR220" s="114"/>
      <c r="VQS220" s="113"/>
      <c r="VQT220" s="115"/>
      <c r="VQU220" s="115"/>
      <c r="VQV220" s="113"/>
      <c r="VQW220" s="113"/>
      <c r="VQX220" s="113"/>
      <c r="VQY220" s="113"/>
      <c r="VQZ220" s="114"/>
      <c r="VRA220" s="113"/>
      <c r="VRB220" s="115"/>
      <c r="VRC220" s="115"/>
      <c r="VRD220" s="113"/>
      <c r="VRE220" s="113"/>
      <c r="VRF220" s="113"/>
      <c r="VRG220" s="113"/>
      <c r="VRH220" s="114"/>
      <c r="VRI220" s="113"/>
      <c r="VRJ220" s="115"/>
      <c r="VRK220" s="115"/>
      <c r="VRL220" s="113"/>
      <c r="VRM220" s="113"/>
      <c r="VRN220" s="113"/>
      <c r="VRO220" s="113"/>
      <c r="VRP220" s="114"/>
      <c r="VRQ220" s="113"/>
      <c r="VRR220" s="115"/>
      <c r="VRS220" s="115"/>
      <c r="VRT220" s="113"/>
      <c r="VRU220" s="113"/>
      <c r="VRV220" s="113"/>
      <c r="VRW220" s="113"/>
      <c r="VRX220" s="114"/>
      <c r="VRY220" s="113"/>
      <c r="VRZ220" s="115"/>
      <c r="VSA220" s="115"/>
      <c r="VSB220" s="113"/>
      <c r="VSC220" s="113"/>
      <c r="VSD220" s="113"/>
      <c r="VSE220" s="113"/>
      <c r="VSF220" s="114"/>
      <c r="VSG220" s="113"/>
      <c r="VSH220" s="115"/>
      <c r="VSI220" s="115"/>
      <c r="VSJ220" s="113"/>
      <c r="VSK220" s="113"/>
      <c r="VSL220" s="113"/>
      <c r="VSM220" s="113"/>
      <c r="VSN220" s="114"/>
      <c r="VSO220" s="113"/>
      <c r="VSP220" s="115"/>
      <c r="VSQ220" s="115"/>
      <c r="VSR220" s="113"/>
      <c r="VSS220" s="113"/>
      <c r="VST220" s="113"/>
      <c r="VSU220" s="113"/>
      <c r="VSV220" s="114"/>
      <c r="VSW220" s="113"/>
      <c r="VSX220" s="115"/>
      <c r="VSY220" s="115"/>
      <c r="VSZ220" s="113"/>
      <c r="VTA220" s="113"/>
      <c r="VTB220" s="113"/>
      <c r="VTC220" s="113"/>
      <c r="VTD220" s="114"/>
      <c r="VTE220" s="113"/>
      <c r="VTF220" s="115"/>
      <c r="VTG220" s="115"/>
      <c r="VTH220" s="113"/>
      <c r="VTI220" s="113"/>
      <c r="VTJ220" s="113"/>
      <c r="VTK220" s="113"/>
      <c r="VTL220" s="114"/>
      <c r="VTM220" s="113"/>
      <c r="VTN220" s="115"/>
      <c r="VTO220" s="115"/>
      <c r="VTP220" s="113"/>
      <c r="VTQ220" s="113"/>
      <c r="VTR220" s="113"/>
      <c r="VTS220" s="113"/>
      <c r="VTT220" s="114"/>
      <c r="VTU220" s="113"/>
      <c r="VTV220" s="115"/>
      <c r="VTW220" s="115"/>
      <c r="VTX220" s="113"/>
      <c r="VTY220" s="113"/>
      <c r="VTZ220" s="113"/>
      <c r="VUA220" s="113"/>
      <c r="VUB220" s="114"/>
      <c r="VUC220" s="113"/>
      <c r="VUD220" s="115"/>
      <c r="VUE220" s="115"/>
      <c r="VUF220" s="113"/>
      <c r="VUG220" s="113"/>
      <c r="VUH220" s="113"/>
      <c r="VUI220" s="113"/>
      <c r="VUJ220" s="114"/>
      <c r="VUK220" s="113"/>
      <c r="VUL220" s="115"/>
      <c r="VUM220" s="115"/>
      <c r="VUN220" s="113"/>
      <c r="VUO220" s="113"/>
      <c r="VUP220" s="113"/>
      <c r="VUQ220" s="113"/>
      <c r="VUR220" s="114"/>
      <c r="VUS220" s="113"/>
      <c r="VUT220" s="115"/>
      <c r="VUU220" s="115"/>
      <c r="VUV220" s="113"/>
      <c r="VUW220" s="113"/>
      <c r="VUX220" s="113"/>
      <c r="VUY220" s="113"/>
      <c r="VUZ220" s="114"/>
      <c r="VVA220" s="113"/>
      <c r="VVB220" s="115"/>
      <c r="VVC220" s="115"/>
      <c r="VVD220" s="113"/>
      <c r="VVE220" s="113"/>
      <c r="VVF220" s="113"/>
      <c r="VVG220" s="113"/>
      <c r="VVH220" s="114"/>
      <c r="VVI220" s="113"/>
      <c r="VVJ220" s="115"/>
      <c r="VVK220" s="115"/>
      <c r="VVL220" s="113"/>
      <c r="VVM220" s="113"/>
      <c r="VVN220" s="113"/>
      <c r="VVO220" s="113"/>
      <c r="VVP220" s="114"/>
      <c r="VVQ220" s="113"/>
      <c r="VVR220" s="115"/>
      <c r="VVS220" s="115"/>
      <c r="VVT220" s="113"/>
      <c r="VVU220" s="113"/>
      <c r="VVV220" s="113"/>
      <c r="VVW220" s="113"/>
      <c r="VVX220" s="114"/>
      <c r="VVY220" s="113"/>
      <c r="VVZ220" s="115"/>
      <c r="VWA220" s="115"/>
      <c r="VWB220" s="113"/>
      <c r="VWC220" s="113"/>
      <c r="VWD220" s="113"/>
      <c r="VWE220" s="113"/>
      <c r="VWF220" s="114"/>
      <c r="VWG220" s="113"/>
      <c r="VWH220" s="115"/>
      <c r="VWI220" s="115"/>
      <c r="VWJ220" s="113"/>
      <c r="VWK220" s="113"/>
      <c r="VWL220" s="113"/>
      <c r="VWM220" s="113"/>
      <c r="VWN220" s="114"/>
      <c r="VWO220" s="113"/>
      <c r="VWP220" s="115"/>
      <c r="VWQ220" s="115"/>
      <c r="VWR220" s="113"/>
      <c r="VWS220" s="113"/>
      <c r="VWT220" s="113"/>
      <c r="VWU220" s="113"/>
      <c r="VWV220" s="114"/>
      <c r="VWW220" s="113"/>
      <c r="VWX220" s="115"/>
      <c r="VWY220" s="115"/>
      <c r="VWZ220" s="113"/>
      <c r="VXA220" s="113"/>
      <c r="VXB220" s="113"/>
      <c r="VXC220" s="113"/>
      <c r="VXD220" s="114"/>
      <c r="VXE220" s="113"/>
      <c r="VXF220" s="115"/>
      <c r="VXG220" s="115"/>
      <c r="VXH220" s="113"/>
      <c r="VXI220" s="113"/>
      <c r="VXJ220" s="113"/>
      <c r="VXK220" s="113"/>
      <c r="VXL220" s="114"/>
      <c r="VXM220" s="113"/>
      <c r="VXN220" s="115"/>
      <c r="VXO220" s="115"/>
      <c r="VXP220" s="113"/>
      <c r="VXQ220" s="113"/>
      <c r="VXR220" s="113"/>
      <c r="VXS220" s="113"/>
      <c r="VXT220" s="114"/>
      <c r="VXU220" s="113"/>
      <c r="VXV220" s="115"/>
      <c r="VXW220" s="115"/>
      <c r="VXX220" s="113"/>
      <c r="VXY220" s="113"/>
      <c r="VXZ220" s="113"/>
      <c r="VYA220" s="113"/>
      <c r="VYB220" s="114"/>
      <c r="VYC220" s="113"/>
      <c r="VYD220" s="115"/>
      <c r="VYE220" s="115"/>
      <c r="VYF220" s="113"/>
      <c r="VYG220" s="113"/>
      <c r="VYH220" s="113"/>
      <c r="VYI220" s="113"/>
      <c r="VYJ220" s="114"/>
      <c r="VYK220" s="113"/>
      <c r="VYL220" s="115"/>
      <c r="VYM220" s="115"/>
      <c r="VYN220" s="113"/>
      <c r="VYO220" s="113"/>
      <c r="VYP220" s="113"/>
      <c r="VYQ220" s="113"/>
      <c r="VYR220" s="114"/>
      <c r="VYS220" s="113"/>
      <c r="VYT220" s="115"/>
      <c r="VYU220" s="115"/>
      <c r="VYV220" s="113"/>
      <c r="VYW220" s="113"/>
      <c r="VYX220" s="113"/>
      <c r="VYY220" s="113"/>
      <c r="VYZ220" s="114"/>
      <c r="VZA220" s="113"/>
      <c r="VZB220" s="115"/>
      <c r="VZC220" s="115"/>
      <c r="VZD220" s="113"/>
      <c r="VZE220" s="113"/>
      <c r="VZF220" s="113"/>
      <c r="VZG220" s="113"/>
      <c r="VZH220" s="114"/>
      <c r="VZI220" s="113"/>
      <c r="VZJ220" s="115"/>
      <c r="VZK220" s="115"/>
      <c r="VZL220" s="113"/>
      <c r="VZM220" s="113"/>
      <c r="VZN220" s="113"/>
      <c r="VZO220" s="113"/>
      <c r="VZP220" s="114"/>
      <c r="VZQ220" s="113"/>
      <c r="VZR220" s="115"/>
      <c r="VZS220" s="115"/>
      <c r="VZT220" s="113"/>
      <c r="VZU220" s="113"/>
      <c r="VZV220" s="113"/>
      <c r="VZW220" s="113"/>
      <c r="VZX220" s="114"/>
      <c r="VZY220" s="113"/>
      <c r="VZZ220" s="115"/>
      <c r="WAA220" s="115"/>
      <c r="WAB220" s="113"/>
      <c r="WAC220" s="113"/>
      <c r="WAD220" s="113"/>
      <c r="WAE220" s="113"/>
      <c r="WAF220" s="114"/>
      <c r="WAG220" s="113"/>
      <c r="WAH220" s="115"/>
      <c r="WAI220" s="115"/>
      <c r="WAJ220" s="113"/>
      <c r="WAK220" s="113"/>
      <c r="WAL220" s="113"/>
      <c r="WAM220" s="113"/>
      <c r="WAN220" s="114"/>
      <c r="WAO220" s="113"/>
      <c r="WAP220" s="115"/>
      <c r="WAQ220" s="115"/>
      <c r="WAR220" s="113"/>
      <c r="WAS220" s="113"/>
      <c r="WAT220" s="113"/>
      <c r="WAU220" s="113"/>
      <c r="WAV220" s="114"/>
      <c r="WAW220" s="113"/>
      <c r="WAX220" s="115"/>
      <c r="WAY220" s="115"/>
      <c r="WAZ220" s="113"/>
      <c r="WBA220" s="113"/>
      <c r="WBB220" s="113"/>
      <c r="WBC220" s="113"/>
      <c r="WBD220" s="114"/>
      <c r="WBE220" s="113"/>
      <c r="WBF220" s="115"/>
      <c r="WBG220" s="115"/>
      <c r="WBH220" s="113"/>
      <c r="WBI220" s="113"/>
      <c r="WBJ220" s="113"/>
      <c r="WBK220" s="113"/>
      <c r="WBL220" s="114"/>
      <c r="WBM220" s="113"/>
      <c r="WBN220" s="115"/>
      <c r="WBO220" s="115"/>
      <c r="WBP220" s="113"/>
      <c r="WBQ220" s="113"/>
      <c r="WBR220" s="113"/>
      <c r="WBS220" s="113"/>
      <c r="WBT220" s="114"/>
      <c r="WBU220" s="113"/>
      <c r="WBV220" s="115"/>
      <c r="WBW220" s="115"/>
      <c r="WBX220" s="113"/>
      <c r="WBY220" s="113"/>
      <c r="WBZ220" s="113"/>
      <c r="WCA220" s="113"/>
      <c r="WCB220" s="114"/>
      <c r="WCC220" s="113"/>
      <c r="WCD220" s="115"/>
      <c r="WCE220" s="115"/>
      <c r="WCF220" s="113"/>
      <c r="WCG220" s="113"/>
      <c r="WCH220" s="113"/>
      <c r="WCI220" s="113"/>
      <c r="WCJ220" s="114"/>
      <c r="WCK220" s="113"/>
      <c r="WCL220" s="115"/>
      <c r="WCM220" s="115"/>
      <c r="WCN220" s="113"/>
      <c r="WCO220" s="113"/>
      <c r="WCP220" s="113"/>
      <c r="WCQ220" s="113"/>
      <c r="WCR220" s="114"/>
      <c r="WCS220" s="113"/>
      <c r="WCT220" s="115"/>
      <c r="WCU220" s="115"/>
      <c r="WCV220" s="113"/>
      <c r="WCW220" s="113"/>
      <c r="WCX220" s="113"/>
      <c r="WCY220" s="113"/>
      <c r="WCZ220" s="114"/>
      <c r="WDA220" s="113"/>
      <c r="WDB220" s="115"/>
      <c r="WDC220" s="115"/>
      <c r="WDD220" s="113"/>
      <c r="WDE220" s="113"/>
      <c r="WDF220" s="113"/>
      <c r="WDG220" s="113"/>
      <c r="WDH220" s="114"/>
      <c r="WDI220" s="113"/>
      <c r="WDJ220" s="115"/>
      <c r="WDK220" s="115"/>
      <c r="WDL220" s="113"/>
      <c r="WDM220" s="113"/>
      <c r="WDN220" s="113"/>
      <c r="WDO220" s="113"/>
      <c r="WDP220" s="114"/>
      <c r="WDQ220" s="113"/>
      <c r="WDR220" s="115"/>
      <c r="WDS220" s="115"/>
      <c r="WDT220" s="113"/>
      <c r="WDU220" s="113"/>
      <c r="WDV220" s="113"/>
      <c r="WDW220" s="113"/>
      <c r="WDX220" s="114"/>
      <c r="WDY220" s="113"/>
      <c r="WDZ220" s="115"/>
      <c r="WEA220" s="115"/>
      <c r="WEB220" s="113"/>
      <c r="WEC220" s="113"/>
      <c r="WED220" s="113"/>
      <c r="WEE220" s="113"/>
      <c r="WEF220" s="114"/>
      <c r="WEG220" s="113"/>
      <c r="WEH220" s="115"/>
      <c r="WEI220" s="115"/>
      <c r="WEJ220" s="113"/>
      <c r="WEK220" s="113"/>
      <c r="WEL220" s="113"/>
      <c r="WEM220" s="113"/>
      <c r="WEN220" s="114"/>
      <c r="WEO220" s="113"/>
      <c r="WEP220" s="115"/>
      <c r="WEQ220" s="115"/>
      <c r="WER220" s="113"/>
      <c r="WES220" s="113"/>
      <c r="WET220" s="113"/>
      <c r="WEU220" s="113"/>
      <c r="WEV220" s="114"/>
      <c r="WEW220" s="113"/>
      <c r="WEX220" s="115"/>
      <c r="WEY220" s="115"/>
      <c r="WEZ220" s="113"/>
      <c r="WFA220" s="113"/>
      <c r="WFB220" s="113"/>
      <c r="WFC220" s="113"/>
      <c r="WFD220" s="114"/>
      <c r="WFE220" s="113"/>
      <c r="WFF220" s="115"/>
      <c r="WFG220" s="115"/>
      <c r="WFH220" s="113"/>
      <c r="WFI220" s="113"/>
      <c r="WFJ220" s="113"/>
      <c r="WFK220" s="113"/>
      <c r="WFL220" s="114"/>
      <c r="WFM220" s="113"/>
      <c r="WFN220" s="115"/>
      <c r="WFO220" s="115"/>
      <c r="WFP220" s="113"/>
      <c r="WFQ220" s="113"/>
      <c r="WFR220" s="113"/>
      <c r="WFS220" s="113"/>
      <c r="WFT220" s="114"/>
      <c r="WFU220" s="113"/>
      <c r="WFV220" s="115"/>
      <c r="WFW220" s="115"/>
      <c r="WFX220" s="113"/>
      <c r="WFY220" s="113"/>
      <c r="WFZ220" s="113"/>
      <c r="WGA220" s="113"/>
      <c r="WGB220" s="114"/>
      <c r="WGC220" s="113"/>
      <c r="WGD220" s="115"/>
      <c r="WGE220" s="115"/>
      <c r="WGF220" s="113"/>
      <c r="WGG220" s="113"/>
      <c r="WGH220" s="113"/>
      <c r="WGI220" s="113"/>
      <c r="WGJ220" s="114"/>
      <c r="WGK220" s="113"/>
      <c r="WGL220" s="115"/>
      <c r="WGM220" s="115"/>
      <c r="WGN220" s="113"/>
      <c r="WGO220" s="113"/>
      <c r="WGP220" s="113"/>
      <c r="WGQ220" s="113"/>
      <c r="WGR220" s="114"/>
      <c r="WGS220" s="113"/>
      <c r="WGT220" s="115"/>
      <c r="WGU220" s="115"/>
      <c r="WGV220" s="113"/>
      <c r="WGW220" s="113"/>
      <c r="WGX220" s="113"/>
      <c r="WGY220" s="113"/>
      <c r="WGZ220" s="114"/>
      <c r="WHA220" s="113"/>
      <c r="WHB220" s="115"/>
      <c r="WHC220" s="115"/>
      <c r="WHD220" s="113"/>
      <c r="WHE220" s="113"/>
      <c r="WHF220" s="113"/>
      <c r="WHG220" s="113"/>
      <c r="WHH220" s="114"/>
      <c r="WHI220" s="113"/>
      <c r="WHJ220" s="115"/>
      <c r="WHK220" s="115"/>
      <c r="WHL220" s="113"/>
      <c r="WHM220" s="113"/>
      <c r="WHN220" s="113"/>
      <c r="WHO220" s="113"/>
      <c r="WHP220" s="114"/>
      <c r="WHQ220" s="113"/>
      <c r="WHR220" s="115"/>
      <c r="WHS220" s="115"/>
      <c r="WHT220" s="113"/>
      <c r="WHU220" s="113"/>
      <c r="WHV220" s="113"/>
      <c r="WHW220" s="113"/>
      <c r="WHX220" s="114"/>
      <c r="WHY220" s="113"/>
      <c r="WHZ220" s="115"/>
      <c r="WIA220" s="115"/>
      <c r="WIB220" s="113"/>
      <c r="WIC220" s="113"/>
      <c r="WID220" s="113"/>
      <c r="WIE220" s="113"/>
      <c r="WIF220" s="114"/>
      <c r="WIG220" s="113"/>
      <c r="WIH220" s="115"/>
      <c r="WII220" s="115"/>
      <c r="WIJ220" s="113"/>
      <c r="WIK220" s="113"/>
      <c r="WIL220" s="113"/>
      <c r="WIM220" s="113"/>
      <c r="WIN220" s="114"/>
      <c r="WIO220" s="113"/>
      <c r="WIP220" s="115"/>
      <c r="WIQ220" s="115"/>
      <c r="WIR220" s="113"/>
      <c r="WIS220" s="113"/>
      <c r="WIT220" s="113"/>
      <c r="WIU220" s="113"/>
      <c r="WIV220" s="114"/>
      <c r="WIW220" s="113"/>
      <c r="WIX220" s="115"/>
      <c r="WIY220" s="115"/>
      <c r="WIZ220" s="113"/>
      <c r="WJA220" s="113"/>
      <c r="WJB220" s="113"/>
      <c r="WJC220" s="113"/>
      <c r="WJD220" s="114"/>
      <c r="WJE220" s="113"/>
      <c r="WJF220" s="115"/>
      <c r="WJG220" s="115"/>
      <c r="WJH220" s="113"/>
      <c r="WJI220" s="113"/>
      <c r="WJJ220" s="113"/>
      <c r="WJK220" s="113"/>
      <c r="WJL220" s="114"/>
      <c r="WJM220" s="113"/>
      <c r="WJN220" s="115"/>
      <c r="WJO220" s="115"/>
      <c r="WJP220" s="113"/>
      <c r="WJQ220" s="113"/>
      <c r="WJR220" s="113"/>
      <c r="WJS220" s="113"/>
      <c r="WJT220" s="114"/>
      <c r="WJU220" s="113"/>
      <c r="WJV220" s="115"/>
      <c r="WJW220" s="115"/>
      <c r="WJX220" s="113"/>
      <c r="WJY220" s="113"/>
      <c r="WJZ220" s="113"/>
      <c r="WKA220" s="113"/>
      <c r="WKB220" s="114"/>
      <c r="WKC220" s="113"/>
      <c r="WKD220" s="115"/>
      <c r="WKE220" s="115"/>
      <c r="WKF220" s="113"/>
      <c r="WKG220" s="113"/>
      <c r="WKH220" s="113"/>
      <c r="WKI220" s="113"/>
      <c r="WKJ220" s="114"/>
      <c r="WKK220" s="113"/>
      <c r="WKL220" s="115"/>
      <c r="WKM220" s="115"/>
      <c r="WKN220" s="113"/>
      <c r="WKO220" s="113"/>
      <c r="WKP220" s="113"/>
      <c r="WKQ220" s="113"/>
      <c r="WKR220" s="114"/>
      <c r="WKS220" s="113"/>
      <c r="WKT220" s="115"/>
      <c r="WKU220" s="115"/>
      <c r="WKV220" s="113"/>
      <c r="WKW220" s="113"/>
      <c r="WKX220" s="113"/>
      <c r="WKY220" s="113"/>
      <c r="WKZ220" s="114"/>
      <c r="WLA220" s="113"/>
      <c r="WLB220" s="115"/>
      <c r="WLC220" s="115"/>
      <c r="WLD220" s="113"/>
      <c r="WLE220" s="113"/>
      <c r="WLF220" s="113"/>
      <c r="WLG220" s="113"/>
      <c r="WLH220" s="114"/>
      <c r="WLI220" s="113"/>
      <c r="WLJ220" s="115"/>
      <c r="WLK220" s="115"/>
      <c r="WLL220" s="113"/>
      <c r="WLM220" s="113"/>
      <c r="WLN220" s="113"/>
      <c r="WLO220" s="113"/>
      <c r="WLP220" s="114"/>
      <c r="WLQ220" s="113"/>
      <c r="WLR220" s="115"/>
      <c r="WLS220" s="115"/>
      <c r="WLT220" s="113"/>
      <c r="WLU220" s="113"/>
      <c r="WLV220" s="113"/>
      <c r="WLW220" s="113"/>
      <c r="WLX220" s="114"/>
      <c r="WLY220" s="113"/>
      <c r="WLZ220" s="115"/>
      <c r="WMA220" s="115"/>
      <c r="WMB220" s="113"/>
      <c r="WMC220" s="113"/>
      <c r="WMD220" s="113"/>
      <c r="WME220" s="113"/>
      <c r="WMF220" s="114"/>
      <c r="WMG220" s="113"/>
      <c r="WMH220" s="115"/>
      <c r="WMI220" s="115"/>
      <c r="WMJ220" s="113"/>
      <c r="WMK220" s="113"/>
      <c r="WML220" s="113"/>
      <c r="WMM220" s="113"/>
      <c r="WMN220" s="114"/>
      <c r="WMO220" s="113"/>
      <c r="WMP220" s="115"/>
      <c r="WMQ220" s="115"/>
      <c r="WMR220" s="113"/>
      <c r="WMS220" s="113"/>
      <c r="WMT220" s="113"/>
      <c r="WMU220" s="113"/>
      <c r="WMV220" s="114"/>
      <c r="WMW220" s="113"/>
      <c r="WMX220" s="115"/>
      <c r="WMY220" s="115"/>
      <c r="WMZ220" s="113"/>
      <c r="WNA220" s="113"/>
      <c r="WNB220" s="113"/>
      <c r="WNC220" s="113"/>
      <c r="WND220" s="114"/>
      <c r="WNE220" s="113"/>
      <c r="WNF220" s="115"/>
      <c r="WNG220" s="115"/>
      <c r="WNH220" s="113"/>
      <c r="WNI220" s="113"/>
      <c r="WNJ220" s="113"/>
      <c r="WNK220" s="113"/>
      <c r="WNL220" s="114"/>
      <c r="WNM220" s="113"/>
      <c r="WNN220" s="115"/>
      <c r="WNO220" s="115"/>
      <c r="WNP220" s="113"/>
      <c r="WNQ220" s="113"/>
      <c r="WNR220" s="113"/>
      <c r="WNS220" s="113"/>
      <c r="WNT220" s="114"/>
      <c r="WNU220" s="113"/>
      <c r="WNV220" s="115"/>
      <c r="WNW220" s="115"/>
      <c r="WNX220" s="113"/>
      <c r="WNY220" s="113"/>
      <c r="WNZ220" s="113"/>
      <c r="WOA220" s="113"/>
      <c r="WOB220" s="114"/>
      <c r="WOC220" s="113"/>
      <c r="WOD220" s="115"/>
      <c r="WOE220" s="115"/>
      <c r="WOF220" s="113"/>
      <c r="WOG220" s="113"/>
      <c r="WOH220" s="113"/>
      <c r="WOI220" s="113"/>
      <c r="WOJ220" s="114"/>
      <c r="WOK220" s="113"/>
      <c r="WOL220" s="115"/>
      <c r="WOM220" s="115"/>
      <c r="WON220" s="113"/>
      <c r="WOO220" s="113"/>
      <c r="WOP220" s="113"/>
      <c r="WOQ220" s="113"/>
      <c r="WOR220" s="114"/>
      <c r="WOS220" s="113"/>
      <c r="WOT220" s="115"/>
      <c r="WOU220" s="115"/>
      <c r="WOV220" s="113"/>
      <c r="WOW220" s="113"/>
      <c r="WOX220" s="113"/>
      <c r="WOY220" s="113"/>
      <c r="WOZ220" s="114"/>
      <c r="WPA220" s="113"/>
      <c r="WPB220" s="115"/>
      <c r="WPC220" s="115"/>
      <c r="WPD220" s="113"/>
      <c r="WPE220" s="113"/>
      <c r="WPF220" s="113"/>
      <c r="WPG220" s="113"/>
      <c r="WPH220" s="114"/>
      <c r="WPI220" s="113"/>
      <c r="WPJ220" s="115"/>
      <c r="WPK220" s="115"/>
      <c r="WPL220" s="113"/>
      <c r="WPM220" s="113"/>
      <c r="WPN220" s="113"/>
      <c r="WPO220" s="113"/>
      <c r="WPP220" s="114"/>
      <c r="WPQ220" s="113"/>
      <c r="WPR220" s="115"/>
      <c r="WPS220" s="115"/>
      <c r="WPT220" s="113"/>
      <c r="WPU220" s="113"/>
      <c r="WPV220" s="113"/>
      <c r="WPW220" s="113"/>
      <c r="WPX220" s="114"/>
      <c r="WPY220" s="113"/>
      <c r="WPZ220" s="115"/>
      <c r="WQA220" s="115"/>
      <c r="WQB220" s="113"/>
      <c r="WQC220" s="113"/>
      <c r="WQD220" s="113"/>
      <c r="WQE220" s="113"/>
      <c r="WQF220" s="114"/>
      <c r="WQG220" s="113"/>
      <c r="WQH220" s="115"/>
      <c r="WQI220" s="115"/>
      <c r="WQJ220" s="113"/>
      <c r="WQK220" s="113"/>
      <c r="WQL220" s="113"/>
      <c r="WQM220" s="113"/>
      <c r="WQN220" s="114"/>
      <c r="WQO220" s="113"/>
      <c r="WQP220" s="115"/>
      <c r="WQQ220" s="115"/>
      <c r="WQR220" s="113"/>
      <c r="WQS220" s="113"/>
      <c r="WQT220" s="113"/>
      <c r="WQU220" s="113"/>
      <c r="WQV220" s="114"/>
      <c r="WQW220" s="113"/>
      <c r="WQX220" s="115"/>
      <c r="WQY220" s="115"/>
      <c r="WQZ220" s="113"/>
      <c r="WRA220" s="113"/>
      <c r="WRB220" s="113"/>
      <c r="WRC220" s="113"/>
      <c r="WRD220" s="114"/>
      <c r="WRE220" s="113"/>
      <c r="WRF220" s="115"/>
      <c r="WRG220" s="115"/>
      <c r="WRH220" s="113"/>
      <c r="WRI220" s="113"/>
      <c r="WRJ220" s="113"/>
      <c r="WRK220" s="113"/>
      <c r="WRL220" s="114"/>
      <c r="WRM220" s="113"/>
      <c r="WRN220" s="115"/>
      <c r="WRO220" s="115"/>
      <c r="WRP220" s="113"/>
      <c r="WRQ220" s="113"/>
      <c r="WRR220" s="113"/>
      <c r="WRS220" s="113"/>
      <c r="WRT220" s="114"/>
      <c r="WRU220" s="113"/>
      <c r="WRV220" s="115"/>
      <c r="WRW220" s="115"/>
      <c r="WRX220" s="113"/>
      <c r="WRY220" s="113"/>
      <c r="WRZ220" s="113"/>
      <c r="WSA220" s="113"/>
      <c r="WSB220" s="114"/>
      <c r="WSC220" s="113"/>
      <c r="WSD220" s="115"/>
      <c r="WSE220" s="115"/>
      <c r="WSF220" s="113"/>
      <c r="WSG220" s="113"/>
      <c r="WSH220" s="113"/>
      <c r="WSI220" s="113"/>
      <c r="WSJ220" s="114"/>
      <c r="WSK220" s="113"/>
      <c r="WSL220" s="115"/>
      <c r="WSM220" s="115"/>
      <c r="WSN220" s="113"/>
      <c r="WSO220" s="113"/>
      <c r="WSP220" s="113"/>
      <c r="WSQ220" s="113"/>
      <c r="WSR220" s="114"/>
      <c r="WSS220" s="113"/>
      <c r="WST220" s="115"/>
      <c r="WSU220" s="115"/>
      <c r="WSV220" s="113"/>
      <c r="WSW220" s="113"/>
      <c r="WSX220" s="113"/>
      <c r="WSY220" s="113"/>
      <c r="WSZ220" s="114"/>
      <c r="WTA220" s="113"/>
      <c r="WTB220" s="115"/>
      <c r="WTC220" s="115"/>
      <c r="WTD220" s="113"/>
      <c r="WTE220" s="113"/>
      <c r="WTF220" s="113"/>
      <c r="WTG220" s="113"/>
      <c r="WTH220" s="114"/>
      <c r="WTI220" s="113"/>
      <c r="WTJ220" s="115"/>
      <c r="WTK220" s="115"/>
      <c r="WTL220" s="113"/>
      <c r="WTM220" s="113"/>
      <c r="WTN220" s="113"/>
      <c r="WTO220" s="113"/>
      <c r="WTP220" s="114"/>
      <c r="WTQ220" s="113"/>
      <c r="WTR220" s="115"/>
      <c r="WTS220" s="115"/>
      <c r="WTT220" s="113"/>
      <c r="WTU220" s="113"/>
      <c r="WTV220" s="113"/>
      <c r="WTW220" s="113"/>
      <c r="WTX220" s="114"/>
      <c r="WTY220" s="113"/>
      <c r="WTZ220" s="115"/>
      <c r="WUA220" s="115"/>
      <c r="WUB220" s="113"/>
      <c r="WUC220" s="113"/>
      <c r="WUD220" s="113"/>
      <c r="WUE220" s="113"/>
      <c r="WUF220" s="114"/>
      <c r="WUG220" s="113"/>
      <c r="WUH220" s="115"/>
      <c r="WUI220" s="115"/>
      <c r="WUJ220" s="113"/>
      <c r="WUK220" s="113"/>
      <c r="WUL220" s="113"/>
      <c r="WUM220" s="113"/>
      <c r="WUN220" s="114"/>
      <c r="WUO220" s="113"/>
      <c r="WUP220" s="115"/>
      <c r="WUQ220" s="115"/>
      <c r="WUR220" s="113"/>
      <c r="WUS220" s="113"/>
      <c r="WUT220" s="113"/>
      <c r="WUU220" s="113"/>
      <c r="WUV220" s="114"/>
      <c r="WUW220" s="113"/>
      <c r="WUX220" s="115"/>
      <c r="WUY220" s="115"/>
      <c r="WUZ220" s="113"/>
      <c r="WVA220" s="113"/>
      <c r="WVB220" s="113"/>
      <c r="WVC220" s="113"/>
      <c r="WVD220" s="114"/>
      <c r="WVE220" s="113"/>
      <c r="WVF220" s="115"/>
      <c r="WVG220" s="115"/>
      <c r="WVH220" s="113"/>
      <c r="WVI220" s="113"/>
      <c r="WVJ220" s="113"/>
      <c r="WVK220" s="113"/>
      <c r="WVL220" s="114"/>
      <c r="WVM220" s="113"/>
      <c r="WVN220" s="115"/>
      <c r="WVO220" s="115"/>
      <c r="WVP220" s="113"/>
      <c r="WVQ220" s="113"/>
      <c r="WVR220" s="113"/>
      <c r="WVS220" s="113"/>
      <c r="WVT220" s="114"/>
      <c r="WVU220" s="113"/>
      <c r="WVV220" s="115"/>
      <c r="WVW220" s="115"/>
      <c r="WVX220" s="113"/>
      <c r="WVY220" s="113"/>
      <c r="WVZ220" s="113"/>
      <c r="WWA220" s="113"/>
      <c r="WWB220" s="114"/>
      <c r="WWC220" s="113"/>
      <c r="WWD220" s="115"/>
      <c r="WWE220" s="115"/>
      <c r="WWF220" s="113"/>
      <c r="WWG220" s="113"/>
      <c r="WWH220" s="113"/>
      <c r="WWI220" s="113"/>
      <c r="WWJ220" s="114"/>
      <c r="WWK220" s="113"/>
      <c r="WWL220" s="115"/>
      <c r="WWM220" s="115"/>
      <c r="WWN220" s="113"/>
      <c r="WWO220" s="113"/>
      <c r="WWP220" s="113"/>
      <c r="WWQ220" s="113"/>
      <c r="WWR220" s="114"/>
      <c r="WWS220" s="113"/>
      <c r="WWT220" s="115"/>
      <c r="WWU220" s="115"/>
      <c r="WWV220" s="113"/>
      <c r="WWW220" s="113"/>
      <c r="WWX220" s="113"/>
      <c r="WWY220" s="113"/>
      <c r="WWZ220" s="114"/>
      <c r="WXA220" s="113"/>
      <c r="WXB220" s="115"/>
      <c r="WXC220" s="115"/>
      <c r="WXD220" s="113"/>
      <c r="WXE220" s="113"/>
      <c r="WXF220" s="113"/>
      <c r="WXG220" s="113"/>
      <c r="WXH220" s="114"/>
      <c r="WXI220" s="113"/>
      <c r="WXJ220" s="115"/>
      <c r="WXK220" s="115"/>
      <c r="WXL220" s="113"/>
      <c r="WXM220" s="113"/>
      <c r="WXN220" s="113"/>
      <c r="WXO220" s="113"/>
      <c r="WXP220" s="114"/>
      <c r="WXQ220" s="113"/>
      <c r="WXR220" s="115"/>
      <c r="WXS220" s="115"/>
      <c r="WXT220" s="113"/>
      <c r="WXU220" s="113"/>
      <c r="WXV220" s="113"/>
      <c r="WXW220" s="113"/>
      <c r="WXX220" s="114"/>
      <c r="WXY220" s="113"/>
      <c r="WXZ220" s="115"/>
      <c r="WYA220" s="115"/>
      <c r="WYB220" s="113"/>
      <c r="WYC220" s="113"/>
      <c r="WYD220" s="113"/>
      <c r="WYE220" s="113"/>
      <c r="WYF220" s="114"/>
      <c r="WYG220" s="113"/>
      <c r="WYH220" s="115"/>
      <c r="WYI220" s="115"/>
      <c r="WYJ220" s="113"/>
      <c r="WYK220" s="113"/>
      <c r="WYL220" s="113"/>
      <c r="WYM220" s="113"/>
      <c r="WYN220" s="114"/>
      <c r="WYO220" s="113"/>
      <c r="WYP220" s="115"/>
      <c r="WYQ220" s="115"/>
      <c r="WYR220" s="113"/>
      <c r="WYS220" s="113"/>
      <c r="WYT220" s="113"/>
      <c r="WYU220" s="113"/>
      <c r="WYV220" s="114"/>
      <c r="WYW220" s="113"/>
      <c r="WYX220" s="115"/>
      <c r="WYY220" s="115"/>
      <c r="WYZ220" s="113"/>
      <c r="WZA220" s="113"/>
      <c r="WZB220" s="113"/>
      <c r="WZC220" s="113"/>
      <c r="WZD220" s="114"/>
      <c r="WZE220" s="113"/>
      <c r="WZF220" s="115"/>
      <c r="WZG220" s="115"/>
      <c r="WZH220" s="113"/>
      <c r="WZI220" s="113"/>
      <c r="WZJ220" s="113"/>
      <c r="WZK220" s="113"/>
      <c r="WZL220" s="114"/>
      <c r="WZM220" s="113"/>
      <c r="WZN220" s="115"/>
      <c r="WZO220" s="115"/>
      <c r="WZP220" s="113"/>
      <c r="WZQ220" s="113"/>
      <c r="WZR220" s="113"/>
      <c r="WZS220" s="113"/>
      <c r="WZT220" s="114"/>
      <c r="WZU220" s="113"/>
      <c r="WZV220" s="115"/>
      <c r="WZW220" s="115"/>
      <c r="WZX220" s="113"/>
      <c r="WZY220" s="113"/>
      <c r="WZZ220" s="113"/>
      <c r="XAA220" s="113"/>
      <c r="XAB220" s="114"/>
      <c r="XAC220" s="113"/>
      <c r="XAD220" s="115"/>
      <c r="XAE220" s="115"/>
      <c r="XAF220" s="113"/>
      <c r="XAG220" s="113"/>
      <c r="XAH220" s="113"/>
      <c r="XAI220" s="113"/>
      <c r="XAJ220" s="114"/>
      <c r="XAK220" s="113"/>
      <c r="XAL220" s="115"/>
      <c r="XAM220" s="115"/>
      <c r="XAN220" s="113"/>
      <c r="XAO220" s="113"/>
      <c r="XAP220" s="113"/>
      <c r="XAQ220" s="113"/>
      <c r="XAR220" s="114"/>
      <c r="XAS220" s="113"/>
      <c r="XAT220" s="115"/>
      <c r="XAU220" s="115"/>
      <c r="XAV220" s="113"/>
      <c r="XAW220" s="113"/>
      <c r="XAX220" s="113"/>
      <c r="XAY220" s="113"/>
      <c r="XAZ220" s="114"/>
      <c r="XBA220" s="113"/>
      <c r="XBB220" s="115"/>
      <c r="XBC220" s="115"/>
      <c r="XBD220" s="113"/>
      <c r="XBE220" s="113"/>
      <c r="XBF220" s="113"/>
      <c r="XBG220" s="113"/>
      <c r="XBH220" s="114"/>
      <c r="XBI220" s="113"/>
      <c r="XBJ220" s="115"/>
      <c r="XBK220" s="115"/>
      <c r="XBL220" s="113"/>
      <c r="XBM220" s="113"/>
      <c r="XBN220" s="113"/>
      <c r="XBO220" s="113"/>
      <c r="XBP220" s="114"/>
      <c r="XBQ220" s="113"/>
      <c r="XBR220" s="115"/>
      <c r="XBS220" s="115"/>
      <c r="XBT220" s="113"/>
      <c r="XBU220" s="113"/>
      <c r="XBV220" s="113"/>
      <c r="XBW220" s="113"/>
      <c r="XBX220" s="114"/>
      <c r="XBY220" s="113"/>
      <c r="XBZ220" s="115"/>
      <c r="XCA220" s="115"/>
      <c r="XCB220" s="113"/>
      <c r="XCC220" s="113"/>
      <c r="XCD220" s="113"/>
      <c r="XCE220" s="113"/>
      <c r="XCF220" s="114"/>
      <c r="XCG220" s="113"/>
      <c r="XCH220" s="115"/>
      <c r="XCI220" s="115"/>
      <c r="XCJ220" s="113"/>
      <c r="XCK220" s="113"/>
      <c r="XCL220" s="113"/>
      <c r="XCM220" s="113"/>
      <c r="XCN220" s="114"/>
      <c r="XCO220" s="113"/>
      <c r="XCP220" s="115"/>
      <c r="XCQ220" s="115"/>
      <c r="XCR220" s="113"/>
      <c r="XCS220" s="113"/>
      <c r="XCT220" s="113"/>
      <c r="XCU220" s="113"/>
      <c r="XCV220" s="114"/>
      <c r="XCW220" s="113"/>
      <c r="XCX220" s="115"/>
      <c r="XCY220" s="115"/>
      <c r="XCZ220" s="113"/>
      <c r="XDA220" s="113"/>
      <c r="XDB220" s="113"/>
      <c r="XDC220" s="113"/>
      <c r="XDD220" s="114"/>
      <c r="XDE220" s="113"/>
      <c r="XDF220" s="115"/>
      <c r="XDG220" s="115"/>
      <c r="XDH220" s="113"/>
      <c r="XDI220" s="113"/>
      <c r="XDJ220" s="113"/>
      <c r="XDK220" s="113"/>
      <c r="XDL220" s="114"/>
      <c r="XDM220" s="113"/>
      <c r="XDN220" s="115"/>
      <c r="XDO220" s="115"/>
      <c r="XDP220" s="113"/>
      <c r="XDQ220" s="113"/>
      <c r="XDR220" s="113"/>
      <c r="XDS220" s="113"/>
      <c r="XDT220" s="114"/>
      <c r="XDU220" s="113"/>
      <c r="XDV220" s="115"/>
      <c r="XDW220" s="115"/>
      <c r="XDX220" s="113"/>
      <c r="XDY220" s="113"/>
      <c r="XDZ220" s="113"/>
      <c r="XEA220" s="113"/>
      <c r="XEB220" s="114"/>
      <c r="XEC220" s="113"/>
      <c r="XED220" s="115"/>
      <c r="XEE220" s="115"/>
      <c r="XEF220" s="113"/>
      <c r="XEG220" s="113"/>
      <c r="XEH220" s="113"/>
      <c r="XEI220" s="113"/>
      <c r="XEJ220" s="114"/>
      <c r="XEK220" s="113"/>
      <c r="XEL220" s="115"/>
      <c r="XEM220" s="115"/>
      <c r="XEN220" s="113"/>
      <c r="XEO220" s="113"/>
      <c r="XEP220" s="113"/>
      <c r="XEQ220" s="113"/>
      <c r="XER220" s="114"/>
      <c r="XES220" s="113"/>
      <c r="XET220" s="115"/>
      <c r="XEU220" s="115"/>
      <c r="XEV220" s="113"/>
      <c r="XEW220" s="113"/>
      <c r="XEX220" s="113"/>
      <c r="XEY220" s="113"/>
      <c r="XEZ220" s="114"/>
      <c r="XFA220" s="113"/>
      <c r="XFB220" s="115"/>
      <c r="XFC220" s="115"/>
    </row>
    <row r="221" spans="1:16383" customFormat="1" x14ac:dyDescent="0.55000000000000004">
      <c r="A221" s="92" t="s">
        <v>1136</v>
      </c>
      <c r="B221" s="61" t="s">
        <v>316</v>
      </c>
      <c r="C221" t="s">
        <v>132</v>
      </c>
      <c r="D221" t="s">
        <v>3288</v>
      </c>
      <c r="E221" s="116">
        <v>1.6</v>
      </c>
      <c r="F221" s="149" t="s">
        <v>135</v>
      </c>
      <c r="G221" s="149" t="s">
        <v>135</v>
      </c>
      <c r="H221" t="s">
        <v>39</v>
      </c>
      <c r="I221" s="61" t="s">
        <v>535</v>
      </c>
      <c r="J221" s="92" t="s">
        <v>1136</v>
      </c>
      <c r="K221" s="61" t="s">
        <v>535</v>
      </c>
      <c r="L221" s="160"/>
      <c r="M221" s="48"/>
      <c r="N221" s="123"/>
    </row>
    <row r="222" spans="1:16383" customFormat="1" x14ac:dyDescent="0.55000000000000004">
      <c r="A222" s="92" t="s">
        <v>1135</v>
      </c>
      <c r="B222" s="61" t="s">
        <v>140</v>
      </c>
      <c r="C222" s="61" t="s">
        <v>121</v>
      </c>
      <c r="D222" t="s">
        <v>3288</v>
      </c>
      <c r="E222" s="116">
        <v>1</v>
      </c>
      <c r="F222" s="149" t="s">
        <v>135</v>
      </c>
      <c r="G222" s="149">
        <v>1</v>
      </c>
      <c r="H222" t="s">
        <v>39</v>
      </c>
      <c r="I222" s="61" t="s">
        <v>535</v>
      </c>
      <c r="J222" s="92" t="s">
        <v>1135</v>
      </c>
      <c r="K222" s="61" t="s">
        <v>535</v>
      </c>
      <c r="L222" s="160" t="s">
        <v>1021</v>
      </c>
      <c r="M222" s="48"/>
      <c r="N222" s="123"/>
    </row>
    <row r="223" spans="1:16383" customFormat="1" x14ac:dyDescent="0.55000000000000004">
      <c r="A223" s="92" t="s">
        <v>1135</v>
      </c>
      <c r="B223" s="61" t="s">
        <v>1134</v>
      </c>
      <c r="C223" s="61" t="s">
        <v>127</v>
      </c>
      <c r="D223" t="s">
        <v>2994</v>
      </c>
      <c r="E223" s="120">
        <v>18</v>
      </c>
      <c r="F223" s="148" t="s">
        <v>138</v>
      </c>
      <c r="G223" s="148" t="s">
        <v>135</v>
      </c>
      <c r="H223" t="s">
        <v>39</v>
      </c>
      <c r="I223" s="61" t="s">
        <v>535</v>
      </c>
      <c r="J223" s="92" t="s">
        <v>1135</v>
      </c>
      <c r="K223" s="61" t="s">
        <v>535</v>
      </c>
      <c r="L223" s="161"/>
      <c r="M223" s="48"/>
      <c r="N223" s="123"/>
    </row>
    <row r="224" spans="1:16383" customFormat="1" x14ac:dyDescent="0.55000000000000004">
      <c r="A224" s="92" t="s">
        <v>1135</v>
      </c>
      <c r="B224" s="61" t="s">
        <v>316</v>
      </c>
      <c r="C224" t="s">
        <v>132</v>
      </c>
      <c r="D224" t="s">
        <v>3288</v>
      </c>
      <c r="E224" s="116">
        <v>1.6</v>
      </c>
      <c r="F224" s="149" t="s">
        <v>135</v>
      </c>
      <c r="G224" s="149" t="s">
        <v>135</v>
      </c>
      <c r="H224" t="s">
        <v>39</v>
      </c>
      <c r="I224" s="61" t="s">
        <v>535</v>
      </c>
      <c r="J224" s="92" t="s">
        <v>1135</v>
      </c>
      <c r="K224" s="61" t="s">
        <v>535</v>
      </c>
      <c r="L224" s="160"/>
      <c r="M224" s="48"/>
      <c r="N224" s="123"/>
    </row>
    <row r="225" spans="1:14" customFormat="1" x14ac:dyDescent="0.55000000000000004">
      <c r="A225" s="92" t="s">
        <v>1135</v>
      </c>
      <c r="B225" s="61" t="s">
        <v>160</v>
      </c>
      <c r="C225" t="s">
        <v>247</v>
      </c>
      <c r="D225" t="s">
        <v>3288</v>
      </c>
      <c r="E225" s="116">
        <v>1.7027999999999999</v>
      </c>
      <c r="F225" s="149" t="s">
        <v>3286</v>
      </c>
      <c r="G225" s="149" t="s">
        <v>135</v>
      </c>
      <c r="H225" t="s">
        <v>2088</v>
      </c>
      <c r="I225" s="61"/>
      <c r="J225" s="92" t="s">
        <v>1135</v>
      </c>
      <c r="K225" s="61"/>
      <c r="L225" s="160"/>
      <c r="M225" s="48"/>
      <c r="N225" s="123"/>
    </row>
    <row r="226" spans="1:14" customFormat="1" x14ac:dyDescent="0.55000000000000004">
      <c r="A226" s="65" t="s">
        <v>1133</v>
      </c>
      <c r="B226" s="61" t="s">
        <v>140</v>
      </c>
      <c r="C226" s="61" t="s">
        <v>121</v>
      </c>
      <c r="D226" t="s">
        <v>3288</v>
      </c>
      <c r="E226" s="116">
        <v>1</v>
      </c>
      <c r="F226" s="149" t="s">
        <v>135</v>
      </c>
      <c r="G226" s="149">
        <v>1</v>
      </c>
      <c r="H226" t="s">
        <v>7</v>
      </c>
      <c r="I226" s="61" t="s">
        <v>535</v>
      </c>
      <c r="J226" s="65" t="s">
        <v>1133</v>
      </c>
      <c r="K226" s="61" t="s">
        <v>535</v>
      </c>
      <c r="L226" s="160" t="s">
        <v>1021</v>
      </c>
      <c r="M226" s="48"/>
      <c r="N226" s="123"/>
    </row>
    <row r="227" spans="1:14" customFormat="1" x14ac:dyDescent="0.55000000000000004">
      <c r="A227" s="65" t="s">
        <v>1133</v>
      </c>
      <c r="B227" s="61" t="s">
        <v>1134</v>
      </c>
      <c r="C227" s="61" t="s">
        <v>127</v>
      </c>
      <c r="D227" t="s">
        <v>2994</v>
      </c>
      <c r="E227" s="120">
        <v>21.599999999999998</v>
      </c>
      <c r="F227" s="148" t="s">
        <v>138</v>
      </c>
      <c r="G227" s="148" t="s">
        <v>135</v>
      </c>
      <c r="H227" t="s">
        <v>39</v>
      </c>
      <c r="I227" s="61" t="s">
        <v>535</v>
      </c>
      <c r="J227" s="65" t="s">
        <v>1133</v>
      </c>
      <c r="K227" s="61" t="s">
        <v>535</v>
      </c>
      <c r="L227" s="161"/>
      <c r="M227" s="48"/>
      <c r="N227" s="123"/>
    </row>
    <row r="228" spans="1:14" customFormat="1" x14ac:dyDescent="0.55000000000000004">
      <c r="A228" s="65" t="s">
        <v>1133</v>
      </c>
      <c r="B228" s="61" t="s">
        <v>316</v>
      </c>
      <c r="C228" t="s">
        <v>132</v>
      </c>
      <c r="D228" t="s">
        <v>3288</v>
      </c>
      <c r="E228" s="116">
        <v>1.6</v>
      </c>
      <c r="F228" s="149" t="s">
        <v>135</v>
      </c>
      <c r="G228" s="149" t="s">
        <v>135</v>
      </c>
      <c r="H228" t="s">
        <v>39</v>
      </c>
      <c r="I228" s="61" t="s">
        <v>535</v>
      </c>
      <c r="J228" s="65" t="s">
        <v>1133</v>
      </c>
      <c r="K228" s="61" t="s">
        <v>535</v>
      </c>
      <c r="L228" s="160"/>
      <c r="M228" s="48"/>
      <c r="N228" s="123"/>
    </row>
    <row r="229" spans="1:14" customFormat="1" x14ac:dyDescent="0.55000000000000004">
      <c r="A229" s="65" t="s">
        <v>1133</v>
      </c>
      <c r="B229" s="61" t="s">
        <v>160</v>
      </c>
      <c r="C229" t="s">
        <v>156</v>
      </c>
      <c r="D229" t="s">
        <v>3288</v>
      </c>
      <c r="E229" s="116">
        <v>0.71</v>
      </c>
      <c r="F229" s="149" t="s">
        <v>135</v>
      </c>
      <c r="G229" s="149" t="s">
        <v>135</v>
      </c>
      <c r="H229" t="s">
        <v>39</v>
      </c>
      <c r="I229" s="61" t="s">
        <v>535</v>
      </c>
      <c r="J229" s="65" t="s">
        <v>1133</v>
      </c>
      <c r="K229" s="61" t="s">
        <v>535</v>
      </c>
      <c r="L229" s="160"/>
      <c r="M229" s="48"/>
      <c r="N229" s="123"/>
    </row>
    <row r="230" spans="1:14" customFormat="1" x14ac:dyDescent="0.55000000000000004">
      <c r="A230" s="65" t="s">
        <v>1133</v>
      </c>
      <c r="B230" s="61" t="s">
        <v>160</v>
      </c>
      <c r="C230" t="s">
        <v>247</v>
      </c>
      <c r="D230" t="s">
        <v>3288</v>
      </c>
      <c r="E230" s="116">
        <v>2.0433599999999998</v>
      </c>
      <c r="F230" s="149" t="s">
        <v>3286</v>
      </c>
      <c r="G230" s="149" t="s">
        <v>135</v>
      </c>
      <c r="H230" t="s">
        <v>2088</v>
      </c>
      <c r="I230" s="61"/>
      <c r="J230" s="65" t="s">
        <v>1133</v>
      </c>
      <c r="K230" s="61"/>
      <c r="L230" s="160"/>
      <c r="M230" s="48"/>
      <c r="N230" s="123"/>
    </row>
    <row r="231" spans="1:14" customFormat="1" x14ac:dyDescent="0.55000000000000004">
      <c r="A231" s="92" t="s">
        <v>1132</v>
      </c>
      <c r="B231" s="61" t="s">
        <v>140</v>
      </c>
      <c r="C231" s="61" t="s">
        <v>121</v>
      </c>
      <c r="D231" t="s">
        <v>3288</v>
      </c>
      <c r="E231" s="116">
        <v>1</v>
      </c>
      <c r="F231" s="149" t="s">
        <v>135</v>
      </c>
      <c r="G231" s="149">
        <v>1</v>
      </c>
      <c r="H231" t="s">
        <v>7</v>
      </c>
      <c r="I231" s="61" t="s">
        <v>535</v>
      </c>
      <c r="J231" s="92" t="s">
        <v>1132</v>
      </c>
      <c r="K231" s="61" t="s">
        <v>535</v>
      </c>
      <c r="L231" s="160" t="s">
        <v>1021</v>
      </c>
      <c r="M231" s="48"/>
      <c r="N231" s="123"/>
    </row>
    <row r="232" spans="1:14" customFormat="1" x14ac:dyDescent="0.55000000000000004">
      <c r="A232" s="92" t="s">
        <v>1132</v>
      </c>
      <c r="B232" s="61" t="s">
        <v>297</v>
      </c>
      <c r="C232" s="61" t="s">
        <v>127</v>
      </c>
      <c r="D232" t="s">
        <v>2994</v>
      </c>
      <c r="E232" s="120">
        <v>24.8</v>
      </c>
      <c r="F232" s="148" t="s">
        <v>138</v>
      </c>
      <c r="G232" s="148" t="s">
        <v>135</v>
      </c>
      <c r="H232" t="s">
        <v>39</v>
      </c>
      <c r="I232" s="61" t="s">
        <v>535</v>
      </c>
      <c r="J232" s="92" t="s">
        <v>1132</v>
      </c>
      <c r="K232" s="61" t="s">
        <v>535</v>
      </c>
      <c r="L232" s="161"/>
      <c r="M232" s="48"/>
      <c r="N232" s="123"/>
    </row>
    <row r="233" spans="1:14" customFormat="1" x14ac:dyDescent="0.55000000000000004">
      <c r="A233" s="92" t="s">
        <v>1132</v>
      </c>
      <c r="B233" s="61" t="s">
        <v>316</v>
      </c>
      <c r="C233" t="s">
        <v>132</v>
      </c>
      <c r="D233" t="s">
        <v>3288</v>
      </c>
      <c r="E233" s="116">
        <v>1.6</v>
      </c>
      <c r="F233" s="149" t="s">
        <v>135</v>
      </c>
      <c r="G233" s="149" t="s">
        <v>135</v>
      </c>
      <c r="H233" t="s">
        <v>39</v>
      </c>
      <c r="I233" s="61" t="s">
        <v>535</v>
      </c>
      <c r="J233" s="92" t="s">
        <v>1132</v>
      </c>
      <c r="K233" s="61" t="s">
        <v>535</v>
      </c>
      <c r="L233" s="160"/>
      <c r="M233" s="48"/>
      <c r="N233" s="123"/>
    </row>
    <row r="234" spans="1:14" customFormat="1" x14ac:dyDescent="0.55000000000000004">
      <c r="A234" s="92" t="s">
        <v>1132</v>
      </c>
      <c r="B234" s="61" t="s">
        <v>160</v>
      </c>
      <c r="C234" t="s">
        <v>247</v>
      </c>
      <c r="D234" t="s">
        <v>3288</v>
      </c>
      <c r="E234" s="116">
        <v>3.1</v>
      </c>
      <c r="F234" s="149" t="s">
        <v>3286</v>
      </c>
      <c r="G234" s="149" t="s">
        <v>135</v>
      </c>
      <c r="H234" t="s">
        <v>2088</v>
      </c>
      <c r="I234" s="61"/>
      <c r="J234" s="92" t="s">
        <v>1132</v>
      </c>
      <c r="K234" s="61"/>
      <c r="L234" s="160"/>
      <c r="M234" s="48"/>
      <c r="N234" s="123"/>
    </row>
    <row r="235" spans="1:14" customFormat="1" x14ac:dyDescent="0.55000000000000004">
      <c r="A235" s="65" t="s">
        <v>1131</v>
      </c>
      <c r="B235" s="61" t="s">
        <v>140</v>
      </c>
      <c r="C235" s="61" t="s">
        <v>121</v>
      </c>
      <c r="D235" t="s">
        <v>3288</v>
      </c>
      <c r="E235" s="116">
        <v>1</v>
      </c>
      <c r="F235" s="149" t="s">
        <v>135</v>
      </c>
      <c r="G235" s="149">
        <v>1</v>
      </c>
      <c r="H235" t="s">
        <v>7</v>
      </c>
      <c r="I235" s="61" t="s">
        <v>535</v>
      </c>
      <c r="J235" s="65" t="s">
        <v>1131</v>
      </c>
      <c r="K235" s="61" t="s">
        <v>535</v>
      </c>
      <c r="L235" s="160" t="s">
        <v>1021</v>
      </c>
      <c r="M235" s="48"/>
      <c r="N235" s="123"/>
    </row>
    <row r="236" spans="1:14" customFormat="1" x14ac:dyDescent="0.55000000000000004">
      <c r="A236" s="65" t="s">
        <v>1131</v>
      </c>
      <c r="B236" s="61" t="s">
        <v>297</v>
      </c>
      <c r="C236" s="61" t="s">
        <v>127</v>
      </c>
      <c r="D236" t="s">
        <v>2994</v>
      </c>
      <c r="E236" s="120">
        <v>29.759999999999998</v>
      </c>
      <c r="F236" s="148" t="s">
        <v>138</v>
      </c>
      <c r="G236" s="148" t="s">
        <v>135</v>
      </c>
      <c r="H236" t="s">
        <v>39</v>
      </c>
      <c r="I236" s="61" t="s">
        <v>535</v>
      </c>
      <c r="J236" s="65" t="s">
        <v>1131</v>
      </c>
      <c r="K236" s="61" t="s">
        <v>535</v>
      </c>
      <c r="L236" s="161"/>
      <c r="M236" s="48"/>
      <c r="N236" s="123"/>
    </row>
    <row r="237" spans="1:14" customFormat="1" x14ac:dyDescent="0.55000000000000004">
      <c r="A237" s="65" t="s">
        <v>1131</v>
      </c>
      <c r="B237" s="61" t="s">
        <v>316</v>
      </c>
      <c r="C237" t="s">
        <v>132</v>
      </c>
      <c r="D237" t="s">
        <v>3288</v>
      </c>
      <c r="E237" s="116">
        <v>1.6</v>
      </c>
      <c r="F237" s="149" t="s">
        <v>135</v>
      </c>
      <c r="G237" s="149" t="s">
        <v>135</v>
      </c>
      <c r="H237" t="s">
        <v>39</v>
      </c>
      <c r="I237" s="61" t="s">
        <v>535</v>
      </c>
      <c r="J237" s="65" t="s">
        <v>1131</v>
      </c>
      <c r="K237" s="61" t="s">
        <v>535</v>
      </c>
      <c r="L237" s="160"/>
      <c r="M237" s="48"/>
      <c r="N237" s="123"/>
    </row>
    <row r="238" spans="1:14" customFormat="1" x14ac:dyDescent="0.55000000000000004">
      <c r="A238" s="65" t="s">
        <v>1131</v>
      </c>
      <c r="B238" s="61" t="s">
        <v>160</v>
      </c>
      <c r="C238" t="s">
        <v>156</v>
      </c>
      <c r="D238" t="s">
        <v>3288</v>
      </c>
      <c r="E238" s="116">
        <v>1.69</v>
      </c>
      <c r="F238" s="149" t="s">
        <v>135</v>
      </c>
      <c r="G238" s="149" t="s">
        <v>135</v>
      </c>
      <c r="H238" t="s">
        <v>39</v>
      </c>
      <c r="I238" s="61" t="s">
        <v>535</v>
      </c>
      <c r="J238" s="65" t="s">
        <v>1131</v>
      </c>
      <c r="K238" s="61" t="s">
        <v>535</v>
      </c>
      <c r="L238" s="160"/>
      <c r="M238" s="48"/>
      <c r="N238" s="123"/>
    </row>
    <row r="239" spans="1:14" customFormat="1" x14ac:dyDescent="0.55000000000000004">
      <c r="A239" s="65" t="s">
        <v>1131</v>
      </c>
      <c r="B239" s="61" t="s">
        <v>160</v>
      </c>
      <c r="C239" t="s">
        <v>247</v>
      </c>
      <c r="D239" t="s">
        <v>3288</v>
      </c>
      <c r="E239" s="116">
        <v>3.7199999999999998</v>
      </c>
      <c r="F239" s="149" t="s">
        <v>3286</v>
      </c>
      <c r="G239" s="149">
        <v>1</v>
      </c>
      <c r="H239" t="s">
        <v>2088</v>
      </c>
      <c r="I239" s="61"/>
      <c r="J239" s="65" t="s">
        <v>1131</v>
      </c>
      <c r="K239" s="61"/>
      <c r="L239" s="160"/>
      <c r="M239" s="48"/>
      <c r="N239" s="123"/>
    </row>
    <row r="240" spans="1:14" customFormat="1" x14ac:dyDescent="0.55000000000000004">
      <c r="A240" s="65" t="s">
        <v>1130</v>
      </c>
      <c r="B240" s="61" t="s">
        <v>315</v>
      </c>
      <c r="C240" s="61" t="s">
        <v>121</v>
      </c>
      <c r="D240" t="s">
        <v>3288</v>
      </c>
      <c r="E240" s="116">
        <v>1</v>
      </c>
      <c r="F240" s="149" t="s">
        <v>135</v>
      </c>
      <c r="G240" s="149">
        <v>1</v>
      </c>
      <c r="H240" t="s">
        <v>7</v>
      </c>
      <c r="I240" s="61" t="s">
        <v>535</v>
      </c>
      <c r="J240" s="65" t="s">
        <v>1130</v>
      </c>
      <c r="K240" s="61" t="s">
        <v>535</v>
      </c>
      <c r="L240" s="160" t="s">
        <v>1021</v>
      </c>
      <c r="M240" s="48"/>
      <c r="N240" s="123"/>
    </row>
    <row r="241" spans="1:14" customFormat="1" x14ac:dyDescent="0.55000000000000004">
      <c r="A241" s="65" t="s">
        <v>1130</v>
      </c>
      <c r="B241" s="61" t="s">
        <v>171</v>
      </c>
      <c r="C241" s="61" t="s">
        <v>127</v>
      </c>
      <c r="D241" t="s">
        <v>2994</v>
      </c>
      <c r="E241" s="120">
        <v>14.9</v>
      </c>
      <c r="F241" s="148" t="s">
        <v>138</v>
      </c>
      <c r="G241" s="148" t="s">
        <v>135</v>
      </c>
      <c r="H241" t="s">
        <v>39</v>
      </c>
      <c r="I241" s="61" t="s">
        <v>535</v>
      </c>
      <c r="J241" s="65" t="s">
        <v>1130</v>
      </c>
      <c r="K241" s="61" t="s">
        <v>535</v>
      </c>
      <c r="L241" s="161"/>
      <c r="M241" s="48"/>
      <c r="N241" s="123"/>
    </row>
    <row r="242" spans="1:14" customFormat="1" x14ac:dyDescent="0.55000000000000004">
      <c r="A242" s="65" t="s">
        <v>1130</v>
      </c>
      <c r="B242" s="61" t="s">
        <v>316</v>
      </c>
      <c r="C242" t="s">
        <v>132</v>
      </c>
      <c r="D242" t="s">
        <v>3288</v>
      </c>
      <c r="E242" s="116">
        <v>1.7</v>
      </c>
      <c r="F242" s="149" t="s">
        <v>135</v>
      </c>
      <c r="G242" s="149" t="s">
        <v>135</v>
      </c>
      <c r="H242" t="s">
        <v>39</v>
      </c>
      <c r="I242" s="61" t="s">
        <v>535</v>
      </c>
      <c r="J242" s="65" t="s">
        <v>1130</v>
      </c>
      <c r="K242" s="61" t="s">
        <v>535</v>
      </c>
      <c r="L242" s="160"/>
      <c r="M242" s="48"/>
      <c r="N242" s="123"/>
    </row>
    <row r="243" spans="1:14" customFormat="1" x14ac:dyDescent="0.55000000000000004">
      <c r="A243" s="65" t="s">
        <v>1130</v>
      </c>
      <c r="B243" s="61" t="s">
        <v>160</v>
      </c>
      <c r="C243" t="s">
        <v>247</v>
      </c>
      <c r="D243" t="s">
        <v>3288</v>
      </c>
      <c r="E243" s="116">
        <v>0.83589000000000002</v>
      </c>
      <c r="F243" s="149" t="s">
        <v>3286</v>
      </c>
      <c r="G243" s="149" t="s">
        <v>135</v>
      </c>
      <c r="H243" t="s">
        <v>376</v>
      </c>
      <c r="I243" s="61"/>
      <c r="J243" s="65" t="s">
        <v>1130</v>
      </c>
      <c r="K243" s="61"/>
      <c r="L243" s="160"/>
      <c r="M243" s="48"/>
      <c r="N243" s="123"/>
    </row>
    <row r="244" spans="1:14" customFormat="1" x14ac:dyDescent="0.55000000000000004">
      <c r="A244" s="65" t="s">
        <v>1129</v>
      </c>
      <c r="B244" s="61" t="s">
        <v>315</v>
      </c>
      <c r="C244" s="61" t="s">
        <v>121</v>
      </c>
      <c r="D244" t="s">
        <v>3288</v>
      </c>
      <c r="E244" s="116">
        <v>1</v>
      </c>
      <c r="F244" s="149" t="s">
        <v>135</v>
      </c>
      <c r="G244" s="149">
        <v>1</v>
      </c>
      <c r="H244" t="s">
        <v>7</v>
      </c>
      <c r="I244" s="61" t="s">
        <v>535</v>
      </c>
      <c r="J244" s="65" t="s">
        <v>1129</v>
      </c>
      <c r="K244" s="61" t="s">
        <v>535</v>
      </c>
      <c r="L244" s="160" t="s">
        <v>1021</v>
      </c>
      <c r="M244" s="48"/>
      <c r="N244" s="123"/>
    </row>
    <row r="245" spans="1:14" customFormat="1" x14ac:dyDescent="0.55000000000000004">
      <c r="A245" s="65" t="s">
        <v>1129</v>
      </c>
      <c r="B245" s="61" t="s">
        <v>171</v>
      </c>
      <c r="C245" s="61" t="s">
        <v>127</v>
      </c>
      <c r="D245" t="s">
        <v>2994</v>
      </c>
      <c r="E245" s="120">
        <v>14.9</v>
      </c>
      <c r="F245" s="148" t="s">
        <v>138</v>
      </c>
      <c r="G245" s="148" t="s">
        <v>135</v>
      </c>
      <c r="H245" t="s">
        <v>39</v>
      </c>
      <c r="I245" s="61" t="s">
        <v>535</v>
      </c>
      <c r="J245" s="65" t="s">
        <v>1129</v>
      </c>
      <c r="K245" s="61" t="s">
        <v>535</v>
      </c>
      <c r="L245" s="161"/>
      <c r="M245" s="48"/>
      <c r="N245" s="123"/>
    </row>
    <row r="246" spans="1:14" customFormat="1" x14ac:dyDescent="0.55000000000000004">
      <c r="A246" s="65" t="s">
        <v>1129</v>
      </c>
      <c r="B246" s="61" t="s">
        <v>316</v>
      </c>
      <c r="C246" t="s">
        <v>132</v>
      </c>
      <c r="D246" t="s">
        <v>3288</v>
      </c>
      <c r="E246" s="116">
        <v>1.7</v>
      </c>
      <c r="F246" s="149" t="s">
        <v>135</v>
      </c>
      <c r="G246" s="149" t="s">
        <v>135</v>
      </c>
      <c r="H246" t="s">
        <v>39</v>
      </c>
      <c r="I246" s="61" t="s">
        <v>535</v>
      </c>
      <c r="J246" s="65" t="s">
        <v>1129</v>
      </c>
      <c r="K246" s="61" t="s">
        <v>535</v>
      </c>
      <c r="L246" s="160"/>
      <c r="M246" s="48"/>
      <c r="N246" s="123"/>
    </row>
    <row r="247" spans="1:14" customFormat="1" x14ac:dyDescent="0.55000000000000004">
      <c r="A247" s="65" t="s">
        <v>1129</v>
      </c>
      <c r="B247" s="61" t="s">
        <v>160</v>
      </c>
      <c r="C247" t="s">
        <v>156</v>
      </c>
      <c r="D247" t="s">
        <v>3288</v>
      </c>
      <c r="E247" s="116">
        <v>0.53</v>
      </c>
      <c r="F247" s="149" t="s">
        <v>135</v>
      </c>
      <c r="G247" s="149" t="s">
        <v>135</v>
      </c>
      <c r="H247" t="s">
        <v>39</v>
      </c>
      <c r="I247" s="61" t="s">
        <v>535</v>
      </c>
      <c r="J247" s="65" t="s">
        <v>1129</v>
      </c>
      <c r="K247" s="61" t="s">
        <v>535</v>
      </c>
      <c r="L247" s="160"/>
      <c r="M247" s="48"/>
      <c r="N247" s="123"/>
    </row>
    <row r="248" spans="1:14" customFormat="1" x14ac:dyDescent="0.55000000000000004">
      <c r="A248" s="65" t="s">
        <v>1129</v>
      </c>
      <c r="B248" s="61" t="s">
        <v>160</v>
      </c>
      <c r="C248" t="s">
        <v>247</v>
      </c>
      <c r="D248" t="s">
        <v>3288</v>
      </c>
      <c r="E248" s="116">
        <v>0.83589000000000002</v>
      </c>
      <c r="F248" s="149" t="s">
        <v>3286</v>
      </c>
      <c r="G248" s="149" t="s">
        <v>135</v>
      </c>
      <c r="H248" t="s">
        <v>376</v>
      </c>
      <c r="I248" s="61"/>
      <c r="J248" s="65" t="s">
        <v>1129</v>
      </c>
      <c r="K248" s="61"/>
      <c r="L248" s="160"/>
      <c r="M248" s="48"/>
      <c r="N248" s="123"/>
    </row>
    <row r="249" spans="1:14" customFormat="1" x14ac:dyDescent="0.55000000000000004">
      <c r="A249" s="65" t="s">
        <v>1128</v>
      </c>
      <c r="B249" s="61" t="s">
        <v>140</v>
      </c>
      <c r="C249" s="61" t="s">
        <v>121</v>
      </c>
      <c r="D249" t="s">
        <v>3288</v>
      </c>
      <c r="E249" s="116">
        <v>1</v>
      </c>
      <c r="F249" s="149" t="s">
        <v>135</v>
      </c>
      <c r="G249" s="149">
        <v>1</v>
      </c>
      <c r="H249" t="s">
        <v>7</v>
      </c>
      <c r="I249" s="61" t="s">
        <v>535</v>
      </c>
      <c r="J249" s="65" t="s">
        <v>1128</v>
      </c>
      <c r="K249" s="61" t="s">
        <v>535</v>
      </c>
      <c r="L249" s="160" t="s">
        <v>1021</v>
      </c>
      <c r="M249" s="48"/>
      <c r="N249" s="123"/>
    </row>
    <row r="250" spans="1:14" customFormat="1" x14ac:dyDescent="0.55000000000000004">
      <c r="A250" s="65" t="s">
        <v>1128</v>
      </c>
      <c r="B250" s="61" t="s">
        <v>153</v>
      </c>
      <c r="C250" s="61" t="s">
        <v>127</v>
      </c>
      <c r="D250" t="s">
        <v>2994</v>
      </c>
      <c r="E250" s="120">
        <v>2.1</v>
      </c>
      <c r="F250" s="148" t="s">
        <v>138</v>
      </c>
      <c r="G250" s="148" t="s">
        <v>135</v>
      </c>
      <c r="H250" t="s">
        <v>39</v>
      </c>
      <c r="I250" s="61" t="s">
        <v>535</v>
      </c>
      <c r="J250" s="65" t="s">
        <v>1128</v>
      </c>
      <c r="K250" s="61" t="s">
        <v>535</v>
      </c>
      <c r="L250" s="161"/>
      <c r="M250" s="48"/>
      <c r="N250" s="123"/>
    </row>
    <row r="251" spans="1:14" customFormat="1" x14ac:dyDescent="0.55000000000000004">
      <c r="A251" s="65" t="s">
        <v>1128</v>
      </c>
      <c r="B251" s="61" t="s">
        <v>315</v>
      </c>
      <c r="C251" s="61" t="s">
        <v>125</v>
      </c>
      <c r="D251" t="s">
        <v>3288</v>
      </c>
      <c r="E251" s="116">
        <v>0.97</v>
      </c>
      <c r="F251" s="149" t="s">
        <v>135</v>
      </c>
      <c r="G251" s="149" t="s">
        <v>135</v>
      </c>
      <c r="H251" t="s">
        <v>39</v>
      </c>
      <c r="I251" s="61" t="s">
        <v>535</v>
      </c>
      <c r="J251" s="65" t="s">
        <v>1128</v>
      </c>
      <c r="K251" s="61" t="s">
        <v>535</v>
      </c>
      <c r="L251" s="160"/>
      <c r="M251" s="48"/>
      <c r="N251" s="123"/>
    </row>
    <row r="252" spans="1:14" customFormat="1" x14ac:dyDescent="0.55000000000000004">
      <c r="A252" s="65" t="s">
        <v>1127</v>
      </c>
      <c r="B252" s="61" t="s">
        <v>315</v>
      </c>
      <c r="C252" s="61" t="s">
        <v>121</v>
      </c>
      <c r="D252" t="s">
        <v>3288</v>
      </c>
      <c r="E252" s="116">
        <v>1</v>
      </c>
      <c r="F252" s="149" t="s">
        <v>135</v>
      </c>
      <c r="G252" s="149">
        <v>1</v>
      </c>
      <c r="H252" t="s">
        <v>7</v>
      </c>
      <c r="I252" s="61" t="s">
        <v>535</v>
      </c>
      <c r="J252" s="65" t="s">
        <v>1127</v>
      </c>
      <c r="K252" s="61" t="s">
        <v>535</v>
      </c>
      <c r="L252" s="160" t="s">
        <v>1021</v>
      </c>
      <c r="M252" s="48"/>
      <c r="N252" s="123"/>
    </row>
    <row r="253" spans="1:14" customFormat="1" x14ac:dyDescent="0.55000000000000004">
      <c r="A253" s="65" t="s">
        <v>1127</v>
      </c>
      <c r="B253" s="61" t="s">
        <v>334</v>
      </c>
      <c r="C253" s="61" t="s">
        <v>127</v>
      </c>
      <c r="D253" t="s">
        <v>2994</v>
      </c>
      <c r="E253" s="120">
        <v>14.2</v>
      </c>
      <c r="F253" s="148" t="s">
        <v>138</v>
      </c>
      <c r="G253" s="148" t="s">
        <v>135</v>
      </c>
      <c r="H253" t="s">
        <v>39</v>
      </c>
      <c r="I253" s="61" t="s">
        <v>535</v>
      </c>
      <c r="J253" s="65" t="s">
        <v>1127</v>
      </c>
      <c r="K253" s="61" t="s">
        <v>535</v>
      </c>
      <c r="L253" s="161"/>
      <c r="M253" s="48"/>
      <c r="N253" s="123"/>
    </row>
    <row r="254" spans="1:14" customFormat="1" x14ac:dyDescent="0.55000000000000004">
      <c r="A254" s="65" t="s">
        <v>1127</v>
      </c>
      <c r="B254" s="61" t="s">
        <v>316</v>
      </c>
      <c r="C254" t="s">
        <v>132</v>
      </c>
      <c r="D254" t="s">
        <v>3288</v>
      </c>
      <c r="E254" s="116">
        <v>1.7</v>
      </c>
      <c r="F254" s="149" t="s">
        <v>135</v>
      </c>
      <c r="G254" s="149" t="s">
        <v>135</v>
      </c>
      <c r="H254" t="s">
        <v>39</v>
      </c>
      <c r="I254" s="61" t="s">
        <v>535</v>
      </c>
      <c r="J254" s="65" t="s">
        <v>1127</v>
      </c>
      <c r="K254" s="61" t="s">
        <v>535</v>
      </c>
      <c r="L254" s="160"/>
      <c r="M254" s="48"/>
      <c r="N254" s="123"/>
    </row>
    <row r="255" spans="1:14" customFormat="1" x14ac:dyDescent="0.55000000000000004">
      <c r="A255" s="65" t="s">
        <v>1125</v>
      </c>
      <c r="B255" s="61" t="s">
        <v>1126</v>
      </c>
      <c r="C255" s="61" t="s">
        <v>121</v>
      </c>
      <c r="D255" t="s">
        <v>3288</v>
      </c>
      <c r="E255" s="116">
        <v>1</v>
      </c>
      <c r="F255" s="149" t="s">
        <v>135</v>
      </c>
      <c r="G255" s="149">
        <v>1</v>
      </c>
      <c r="H255" t="s">
        <v>7</v>
      </c>
      <c r="I255" s="61" t="s">
        <v>535</v>
      </c>
      <c r="J255" s="65" t="s">
        <v>1125</v>
      </c>
      <c r="K255" s="61" t="s">
        <v>535</v>
      </c>
      <c r="L255" s="160" t="s">
        <v>1021</v>
      </c>
      <c r="M255" s="48"/>
      <c r="N255" s="123"/>
    </row>
    <row r="256" spans="1:14" customFormat="1" x14ac:dyDescent="0.55000000000000004">
      <c r="A256" s="65" t="s">
        <v>1125</v>
      </c>
      <c r="B256" s="61" t="s">
        <v>153</v>
      </c>
      <c r="C256" s="61" t="s">
        <v>127</v>
      </c>
      <c r="D256" t="s">
        <v>2994</v>
      </c>
      <c r="E256" s="120">
        <v>2.1</v>
      </c>
      <c r="F256" s="148" t="s">
        <v>138</v>
      </c>
      <c r="G256" s="148" t="s">
        <v>135</v>
      </c>
      <c r="H256" t="s">
        <v>39</v>
      </c>
      <c r="I256" s="61" t="s">
        <v>535</v>
      </c>
      <c r="J256" s="65" t="s">
        <v>1125</v>
      </c>
      <c r="K256" s="61" t="s">
        <v>535</v>
      </c>
      <c r="L256" s="161"/>
      <c r="M256" s="48"/>
      <c r="N256" s="123"/>
    </row>
    <row r="257" spans="1:14" customFormat="1" x14ac:dyDescent="0.55000000000000004">
      <c r="A257" s="65" t="s">
        <v>1125</v>
      </c>
      <c r="B257" s="61" t="s">
        <v>341</v>
      </c>
      <c r="C257" s="61" t="s">
        <v>887</v>
      </c>
      <c r="D257" t="s">
        <v>3288</v>
      </c>
      <c r="E257" s="116">
        <v>0.95</v>
      </c>
      <c r="F257" s="149" t="s">
        <v>135</v>
      </c>
      <c r="G257" s="149" t="s">
        <v>135</v>
      </c>
      <c r="H257" t="s">
        <v>39</v>
      </c>
      <c r="I257" s="61" t="s">
        <v>535</v>
      </c>
      <c r="J257" s="65" t="s">
        <v>1125</v>
      </c>
      <c r="K257" s="61" t="s">
        <v>535</v>
      </c>
      <c r="L257" s="160"/>
      <c r="M257" s="48"/>
      <c r="N257" s="123"/>
    </row>
    <row r="258" spans="1:14" customFormat="1" x14ac:dyDescent="0.55000000000000004">
      <c r="A258" s="92" t="s">
        <v>1124</v>
      </c>
      <c r="B258" s="61" t="s">
        <v>140</v>
      </c>
      <c r="C258" s="61" t="s">
        <v>121</v>
      </c>
      <c r="D258" t="s">
        <v>3288</v>
      </c>
      <c r="E258" s="116">
        <v>1</v>
      </c>
      <c r="F258" s="149" t="s">
        <v>135</v>
      </c>
      <c r="G258" s="149">
        <v>1</v>
      </c>
      <c r="H258" t="s">
        <v>7</v>
      </c>
      <c r="I258" s="61" t="s">
        <v>535</v>
      </c>
      <c r="J258" s="92" t="s">
        <v>1124</v>
      </c>
      <c r="K258" s="61" t="s">
        <v>535</v>
      </c>
      <c r="L258" s="160" t="s">
        <v>1021</v>
      </c>
      <c r="M258" s="48"/>
      <c r="N258" s="123"/>
    </row>
    <row r="259" spans="1:14" customFormat="1" x14ac:dyDescent="0.55000000000000004">
      <c r="A259" s="92" t="s">
        <v>1124</v>
      </c>
      <c r="B259" s="61" t="s">
        <v>1123</v>
      </c>
      <c r="C259" s="61" t="s">
        <v>127</v>
      </c>
      <c r="D259" t="s">
        <v>2994</v>
      </c>
      <c r="E259" s="120">
        <v>19.399999999999999</v>
      </c>
      <c r="F259" s="148" t="s">
        <v>138</v>
      </c>
      <c r="G259" s="148" t="s">
        <v>135</v>
      </c>
      <c r="H259" t="s">
        <v>39</v>
      </c>
      <c r="I259" s="61" t="s">
        <v>535</v>
      </c>
      <c r="J259" s="92" t="s">
        <v>1124</v>
      </c>
      <c r="K259" s="61" t="s">
        <v>535</v>
      </c>
      <c r="L259" s="161"/>
      <c r="M259" s="48"/>
      <c r="N259" s="123"/>
    </row>
    <row r="260" spans="1:14" customFormat="1" x14ac:dyDescent="0.55000000000000004">
      <c r="A260" s="92" t="s">
        <v>1124</v>
      </c>
      <c r="B260" s="61" t="s">
        <v>316</v>
      </c>
      <c r="C260" t="s">
        <v>132</v>
      </c>
      <c r="D260" t="s">
        <v>3288</v>
      </c>
      <c r="E260" s="116">
        <v>1.6</v>
      </c>
      <c r="F260" s="149" t="s">
        <v>135</v>
      </c>
      <c r="G260" s="149" t="s">
        <v>135</v>
      </c>
      <c r="H260" t="s">
        <v>39</v>
      </c>
      <c r="I260" s="61" t="s">
        <v>535</v>
      </c>
      <c r="J260" s="92" t="s">
        <v>1124</v>
      </c>
      <c r="K260" s="61" t="s">
        <v>535</v>
      </c>
      <c r="L260" s="160"/>
      <c r="M260" s="48"/>
      <c r="N260" s="123"/>
    </row>
    <row r="261" spans="1:14" customFormat="1" x14ac:dyDescent="0.55000000000000004">
      <c r="A261" s="92" t="s">
        <v>1124</v>
      </c>
      <c r="B261" s="61" t="s">
        <v>160</v>
      </c>
      <c r="C261" t="s">
        <v>247</v>
      </c>
      <c r="D261" t="s">
        <v>3288</v>
      </c>
      <c r="E261" s="116">
        <v>1.91381</v>
      </c>
      <c r="F261" s="149" t="s">
        <v>3286</v>
      </c>
      <c r="G261" s="149" t="s">
        <v>135</v>
      </c>
      <c r="H261" t="s">
        <v>2089</v>
      </c>
      <c r="I261" s="61"/>
      <c r="J261" s="92" t="s">
        <v>1124</v>
      </c>
      <c r="K261" s="61"/>
      <c r="L261" s="160"/>
      <c r="M261" s="48"/>
      <c r="N261" s="123"/>
    </row>
    <row r="262" spans="1:14" customFormat="1" x14ac:dyDescent="0.55000000000000004">
      <c r="A262" s="65" t="s">
        <v>1122</v>
      </c>
      <c r="B262" s="61" t="s">
        <v>140</v>
      </c>
      <c r="C262" s="61" t="s">
        <v>121</v>
      </c>
      <c r="D262" t="s">
        <v>3288</v>
      </c>
      <c r="E262" s="116">
        <v>1</v>
      </c>
      <c r="F262" s="149" t="s">
        <v>135</v>
      </c>
      <c r="G262" s="149">
        <v>1</v>
      </c>
      <c r="H262" t="s">
        <v>7</v>
      </c>
      <c r="I262" s="61" t="s">
        <v>535</v>
      </c>
      <c r="J262" s="65" t="s">
        <v>1122</v>
      </c>
      <c r="K262" s="61" t="s">
        <v>535</v>
      </c>
      <c r="L262" s="160" t="s">
        <v>1021</v>
      </c>
      <c r="M262" s="48"/>
      <c r="N262" s="123"/>
    </row>
    <row r="263" spans="1:14" customFormat="1" x14ac:dyDescent="0.55000000000000004">
      <c r="A263" s="65" t="s">
        <v>1122</v>
      </c>
      <c r="B263" s="61" t="s">
        <v>1123</v>
      </c>
      <c r="C263" s="61" t="s">
        <v>127</v>
      </c>
      <c r="D263" t="s">
        <v>2994</v>
      </c>
      <c r="E263" s="120">
        <v>23.279999999999998</v>
      </c>
      <c r="F263" s="148" t="s">
        <v>138</v>
      </c>
      <c r="G263" s="148" t="s">
        <v>135</v>
      </c>
      <c r="H263" t="s">
        <v>39</v>
      </c>
      <c r="I263" s="61" t="s">
        <v>535</v>
      </c>
      <c r="J263" s="65" t="s">
        <v>1122</v>
      </c>
      <c r="K263" s="61" t="s">
        <v>535</v>
      </c>
      <c r="L263" s="161"/>
      <c r="M263" s="48"/>
      <c r="N263" s="123"/>
    </row>
    <row r="264" spans="1:14" customFormat="1" x14ac:dyDescent="0.55000000000000004">
      <c r="A264" s="65" t="s">
        <v>1122</v>
      </c>
      <c r="B264" s="61" t="s">
        <v>316</v>
      </c>
      <c r="C264" t="s">
        <v>132</v>
      </c>
      <c r="D264" t="s">
        <v>3288</v>
      </c>
      <c r="E264" s="116">
        <v>1.6</v>
      </c>
      <c r="F264" s="149" t="s">
        <v>135</v>
      </c>
      <c r="G264" s="149" t="s">
        <v>135</v>
      </c>
      <c r="H264" t="s">
        <v>39</v>
      </c>
      <c r="I264" s="61" t="s">
        <v>535</v>
      </c>
      <c r="J264" s="65" t="s">
        <v>1122</v>
      </c>
      <c r="K264" s="61" t="s">
        <v>535</v>
      </c>
      <c r="L264" s="160"/>
      <c r="M264" s="48"/>
      <c r="N264" s="123"/>
    </row>
    <row r="265" spans="1:14" customFormat="1" x14ac:dyDescent="0.55000000000000004">
      <c r="A265" s="65" t="s">
        <v>1122</v>
      </c>
      <c r="B265" s="61" t="s">
        <v>160</v>
      </c>
      <c r="C265" t="s">
        <v>247</v>
      </c>
      <c r="D265" t="s">
        <v>3288</v>
      </c>
      <c r="E265" s="116">
        <v>2.2965720000000003</v>
      </c>
      <c r="F265" s="149" t="s">
        <v>3286</v>
      </c>
      <c r="G265" s="149" t="s">
        <v>135</v>
      </c>
      <c r="H265" t="s">
        <v>2089</v>
      </c>
      <c r="I265" s="61"/>
      <c r="J265" s="65" t="s">
        <v>1122</v>
      </c>
      <c r="K265" s="61"/>
      <c r="L265" s="160"/>
      <c r="M265" s="48"/>
      <c r="N265" s="123"/>
    </row>
    <row r="266" spans="1:14" customFormat="1" x14ac:dyDescent="0.55000000000000004">
      <c r="A266" s="65" t="s">
        <v>1122</v>
      </c>
      <c r="B266" s="61" t="s">
        <v>160</v>
      </c>
      <c r="C266" t="s">
        <v>156</v>
      </c>
      <c r="D266" t="s">
        <v>3288</v>
      </c>
      <c r="E266" s="116">
        <v>1.69</v>
      </c>
      <c r="F266" s="149" t="s">
        <v>135</v>
      </c>
      <c r="G266" s="149" t="s">
        <v>135</v>
      </c>
      <c r="H266" t="s">
        <v>39</v>
      </c>
      <c r="I266" s="61" t="s">
        <v>535</v>
      </c>
      <c r="J266" s="65" t="s">
        <v>1122</v>
      </c>
      <c r="K266" s="61" t="s">
        <v>535</v>
      </c>
      <c r="L266" s="160"/>
      <c r="M266" s="48"/>
      <c r="N266" s="123"/>
    </row>
    <row r="267" spans="1:14" customFormat="1" x14ac:dyDescent="0.55000000000000004">
      <c r="A267" s="101" t="s">
        <v>1102</v>
      </c>
      <c r="B267" s="61" t="s">
        <v>1103</v>
      </c>
      <c r="C267" s="61" t="s">
        <v>121</v>
      </c>
      <c r="D267" s="61" t="s">
        <v>2682</v>
      </c>
      <c r="E267" s="119">
        <v>1</v>
      </c>
      <c r="F267" s="148">
        <v>1</v>
      </c>
      <c r="G267" s="148">
        <v>1</v>
      </c>
      <c r="H267" s="61" t="s">
        <v>39</v>
      </c>
      <c r="I267" s="61" t="s">
        <v>535</v>
      </c>
      <c r="J267" s="62" t="s">
        <v>1104</v>
      </c>
      <c r="K267" t="s">
        <v>831</v>
      </c>
      <c r="L267" s="159"/>
      <c r="M267" s="48"/>
      <c r="N267" s="123"/>
    </row>
    <row r="268" spans="1:14" customFormat="1" x14ac:dyDescent="0.55000000000000004">
      <c r="A268" s="101" t="s">
        <v>1102</v>
      </c>
      <c r="B268" s="61" t="s">
        <v>1105</v>
      </c>
      <c r="C268" s="61" t="s">
        <v>156</v>
      </c>
      <c r="D268" s="61" t="s">
        <v>3288</v>
      </c>
      <c r="E268" s="118">
        <v>2.3800000000000002E-3</v>
      </c>
      <c r="F268" s="148" t="s">
        <v>122</v>
      </c>
      <c r="G268" s="148">
        <v>1</v>
      </c>
      <c r="H268" s="61" t="s">
        <v>39</v>
      </c>
      <c r="I268" s="61" t="s">
        <v>535</v>
      </c>
      <c r="J268" s="62" t="s">
        <v>1104</v>
      </c>
      <c r="K268" t="s">
        <v>831</v>
      </c>
      <c r="L268" s="159">
        <v>7108</v>
      </c>
      <c r="M268" s="48"/>
      <c r="N268" s="123"/>
    </row>
    <row r="269" spans="1:14" customFormat="1" x14ac:dyDescent="0.55000000000000004">
      <c r="A269" s="101" t="s">
        <v>1102</v>
      </c>
      <c r="B269" s="61" t="s">
        <v>1106</v>
      </c>
      <c r="C269" s="61" t="s">
        <v>156</v>
      </c>
      <c r="D269" s="61" t="s">
        <v>3288</v>
      </c>
      <c r="E269" s="118">
        <v>4.9700000000000001E-2</v>
      </c>
      <c r="F269" s="148" t="s">
        <v>122</v>
      </c>
      <c r="G269" s="148">
        <v>1</v>
      </c>
      <c r="H269" s="61" t="s">
        <v>39</v>
      </c>
      <c r="I269" s="61" t="s">
        <v>535</v>
      </c>
      <c r="J269" s="62" t="s">
        <v>1104</v>
      </c>
      <c r="K269" t="s">
        <v>831</v>
      </c>
      <c r="L269" s="159">
        <v>280490</v>
      </c>
      <c r="M269" s="48"/>
      <c r="N269" s="123"/>
    </row>
    <row r="270" spans="1:14" customFormat="1" x14ac:dyDescent="0.55000000000000004">
      <c r="A270" s="101" t="s">
        <v>1102</v>
      </c>
      <c r="B270" s="61" t="s">
        <v>1107</v>
      </c>
      <c r="C270" s="61" t="s">
        <v>156</v>
      </c>
      <c r="D270" s="61" t="s">
        <v>3288</v>
      </c>
      <c r="E270" s="118">
        <v>5.8099999999999999E-2</v>
      </c>
      <c r="F270" s="148" t="s">
        <v>122</v>
      </c>
      <c r="G270" s="148">
        <v>1</v>
      </c>
      <c r="H270" s="61" t="s">
        <v>39</v>
      </c>
      <c r="I270" s="61" t="s">
        <v>535</v>
      </c>
      <c r="J270" s="62" t="s">
        <v>1104</v>
      </c>
      <c r="K270" t="s">
        <v>831</v>
      </c>
      <c r="L270" s="159">
        <v>7106</v>
      </c>
      <c r="M270" s="48"/>
      <c r="N270" s="123"/>
    </row>
    <row r="271" spans="1:14" customFormat="1" x14ac:dyDescent="0.55000000000000004">
      <c r="A271" s="101" t="s">
        <v>1102</v>
      </c>
      <c r="B271" s="61" t="s">
        <v>1108</v>
      </c>
      <c r="C271" s="61" t="s">
        <v>156</v>
      </c>
      <c r="D271" s="61" t="s">
        <v>3288</v>
      </c>
      <c r="E271" s="118">
        <v>0.878</v>
      </c>
      <c r="F271" s="148" t="s">
        <v>122</v>
      </c>
      <c r="G271" s="148">
        <v>1</v>
      </c>
      <c r="H271" s="61" t="s">
        <v>39</v>
      </c>
      <c r="I271" s="61" t="s">
        <v>535</v>
      </c>
      <c r="J271" s="62" t="s">
        <v>1104</v>
      </c>
      <c r="K271" t="s">
        <v>831</v>
      </c>
      <c r="L271" s="159">
        <v>262030</v>
      </c>
      <c r="M271" s="48"/>
      <c r="N271" s="123"/>
    </row>
    <row r="272" spans="1:14" customFormat="1" x14ac:dyDescent="0.55000000000000004">
      <c r="A272" s="101" t="s">
        <v>1102</v>
      </c>
      <c r="B272" s="61" t="s">
        <v>1088</v>
      </c>
      <c r="C272" s="61" t="s">
        <v>127</v>
      </c>
      <c r="D272" s="61" t="s">
        <v>2994</v>
      </c>
      <c r="E272" s="118">
        <v>1.36</v>
      </c>
      <c r="F272" s="148" t="s">
        <v>130</v>
      </c>
      <c r="G272" s="148">
        <v>1</v>
      </c>
      <c r="H272" s="61" t="s">
        <v>39</v>
      </c>
      <c r="I272" s="61" t="s">
        <v>535</v>
      </c>
      <c r="J272" s="62" t="s">
        <v>1104</v>
      </c>
      <c r="K272" t="s">
        <v>831</v>
      </c>
      <c r="L272" s="159"/>
      <c r="M272" s="48"/>
      <c r="N272" s="123"/>
    </row>
    <row r="273" spans="1:14" customFormat="1" x14ac:dyDescent="0.55000000000000004">
      <c r="A273" s="101" t="s">
        <v>1102</v>
      </c>
      <c r="B273" s="61" t="s">
        <v>1089</v>
      </c>
      <c r="C273" s="61" t="s">
        <v>127</v>
      </c>
      <c r="D273" s="61" t="s">
        <v>2994</v>
      </c>
      <c r="E273" s="118">
        <v>0.17199999999999999</v>
      </c>
      <c r="F273" s="148" t="s">
        <v>167</v>
      </c>
      <c r="G273" s="148">
        <v>1</v>
      </c>
      <c r="H273" s="61" t="s">
        <v>39</v>
      </c>
      <c r="I273" s="61" t="s">
        <v>535</v>
      </c>
      <c r="J273" s="62" t="s">
        <v>1104</v>
      </c>
      <c r="K273" t="s">
        <v>831</v>
      </c>
      <c r="L273" s="159"/>
      <c r="M273" s="48"/>
      <c r="N273" s="123"/>
    </row>
    <row r="274" spans="1:14" customFormat="1" x14ac:dyDescent="0.55000000000000004">
      <c r="A274" s="101" t="s">
        <v>1102</v>
      </c>
      <c r="B274" s="61" t="s">
        <v>1109</v>
      </c>
      <c r="C274" s="61" t="s">
        <v>125</v>
      </c>
      <c r="D274" s="61" t="s">
        <v>3288</v>
      </c>
      <c r="E274" s="118">
        <v>5.2400000000000002E-2</v>
      </c>
      <c r="F274" s="148" t="s">
        <v>122</v>
      </c>
      <c r="G274" s="148">
        <v>1</v>
      </c>
      <c r="H274" s="61" t="s">
        <v>39</v>
      </c>
      <c r="I274" s="61" t="s">
        <v>535</v>
      </c>
      <c r="J274" s="62" t="s">
        <v>1104</v>
      </c>
      <c r="K274" t="s">
        <v>831</v>
      </c>
      <c r="L274" s="159"/>
      <c r="M274" s="48"/>
      <c r="N274" s="123"/>
    </row>
    <row r="275" spans="1:14" customFormat="1" x14ac:dyDescent="0.55000000000000004">
      <c r="A275" s="101" t="s">
        <v>1102</v>
      </c>
      <c r="B275" s="61" t="s">
        <v>1110</v>
      </c>
      <c r="C275" s="61" t="s">
        <v>125</v>
      </c>
      <c r="D275" s="61" t="s">
        <v>3288</v>
      </c>
      <c r="E275" s="118">
        <v>1</v>
      </c>
      <c r="F275" s="148" t="s">
        <v>122</v>
      </c>
      <c r="G275" s="148">
        <v>1</v>
      </c>
      <c r="H275" s="61" t="s">
        <v>39</v>
      </c>
      <c r="I275" s="61" t="s">
        <v>535</v>
      </c>
      <c r="J275" s="62" t="s">
        <v>1104</v>
      </c>
      <c r="K275" t="s">
        <v>831</v>
      </c>
      <c r="L275" s="159"/>
      <c r="M275" s="48"/>
      <c r="N275" s="123"/>
    </row>
    <row r="276" spans="1:14" customFormat="1" x14ac:dyDescent="0.55000000000000004">
      <c r="A276" s="101" t="s">
        <v>1102</v>
      </c>
      <c r="B276" s="61" t="s">
        <v>1091</v>
      </c>
      <c r="C276" s="61" t="s">
        <v>124</v>
      </c>
      <c r="D276" s="61" t="s">
        <v>3288</v>
      </c>
      <c r="E276" s="118">
        <v>7.4099999999999995E-8</v>
      </c>
      <c r="F276" s="148" t="s">
        <v>122</v>
      </c>
      <c r="G276" s="148">
        <v>1</v>
      </c>
      <c r="H276" s="61" t="s">
        <v>39</v>
      </c>
      <c r="I276" s="61" t="s">
        <v>535</v>
      </c>
      <c r="J276" s="62" t="s">
        <v>1104</v>
      </c>
      <c r="K276" t="s">
        <v>831</v>
      </c>
      <c r="L276" s="159"/>
      <c r="M276" s="48"/>
      <c r="N276" s="123"/>
    </row>
    <row r="277" spans="1:14" customFormat="1" x14ac:dyDescent="0.55000000000000004">
      <c r="A277" s="101" t="s">
        <v>1102</v>
      </c>
      <c r="B277" s="61" t="s">
        <v>1111</v>
      </c>
      <c r="C277" s="61" t="s">
        <v>124</v>
      </c>
      <c r="D277" s="61" t="s">
        <v>3288</v>
      </c>
      <c r="E277" s="118">
        <v>1.5699999999999999E-4</v>
      </c>
      <c r="F277" s="148" t="s">
        <v>122</v>
      </c>
      <c r="G277" s="148">
        <v>1</v>
      </c>
      <c r="H277" s="61" t="s">
        <v>39</v>
      </c>
      <c r="I277" s="61" t="s">
        <v>535</v>
      </c>
      <c r="J277" s="62" t="s">
        <v>1104</v>
      </c>
      <c r="K277" t="s">
        <v>831</v>
      </c>
      <c r="L277" s="159"/>
      <c r="M277" s="48"/>
      <c r="N277" s="123"/>
    </row>
    <row r="278" spans="1:14" customFormat="1" x14ac:dyDescent="0.55000000000000004">
      <c r="A278" s="101" t="s">
        <v>1102</v>
      </c>
      <c r="B278" s="61" t="s">
        <v>1112</v>
      </c>
      <c r="C278" s="61" t="s">
        <v>124</v>
      </c>
      <c r="D278" s="61" t="s">
        <v>3288</v>
      </c>
      <c r="E278" s="118">
        <v>1.11E-6</v>
      </c>
      <c r="F278" s="148" t="s">
        <v>122</v>
      </c>
      <c r="G278" s="148">
        <v>1</v>
      </c>
      <c r="H278" s="61" t="s">
        <v>39</v>
      </c>
      <c r="I278" s="61" t="s">
        <v>535</v>
      </c>
      <c r="J278" s="62" t="s">
        <v>1104</v>
      </c>
      <c r="K278" t="s">
        <v>831</v>
      </c>
      <c r="L278" s="159"/>
      <c r="M278" s="48"/>
      <c r="N278" s="123"/>
    </row>
    <row r="279" spans="1:14" customFormat="1" x14ac:dyDescent="0.55000000000000004">
      <c r="A279" s="101" t="s">
        <v>1102</v>
      </c>
      <c r="B279" s="61" t="s">
        <v>1113</v>
      </c>
      <c r="C279" s="61" t="s">
        <v>124</v>
      </c>
      <c r="D279" s="61" t="s">
        <v>3288</v>
      </c>
      <c r="E279" s="118">
        <v>3.1099999999999998E-9</v>
      </c>
      <c r="F279" s="148" t="s">
        <v>122</v>
      </c>
      <c r="G279" s="148">
        <v>1</v>
      </c>
      <c r="H279" s="61" t="s">
        <v>39</v>
      </c>
      <c r="I279" s="61" t="s">
        <v>535</v>
      </c>
      <c r="J279" s="62" t="s">
        <v>1104</v>
      </c>
      <c r="K279" t="s">
        <v>831</v>
      </c>
      <c r="L279" s="159"/>
      <c r="M279" s="48"/>
      <c r="N279" s="123"/>
    </row>
    <row r="280" spans="1:14" customFormat="1" x14ac:dyDescent="0.55000000000000004">
      <c r="A280" s="101" t="s">
        <v>1102</v>
      </c>
      <c r="B280" s="61" t="s">
        <v>1114</v>
      </c>
      <c r="C280" s="61" t="s">
        <v>124</v>
      </c>
      <c r="D280" s="61" t="s">
        <v>3288</v>
      </c>
      <c r="E280" s="118">
        <v>1.26E-6</v>
      </c>
      <c r="F280" s="148" t="s">
        <v>122</v>
      </c>
      <c r="G280" s="148">
        <v>1</v>
      </c>
      <c r="H280" s="61" t="s">
        <v>39</v>
      </c>
      <c r="I280" s="61" t="s">
        <v>535</v>
      </c>
      <c r="J280" s="62" t="s">
        <v>1104</v>
      </c>
      <c r="K280" t="s">
        <v>831</v>
      </c>
      <c r="L280" s="159"/>
      <c r="M280" s="48"/>
      <c r="N280" s="123"/>
    </row>
    <row r="281" spans="1:14" customFormat="1" x14ac:dyDescent="0.55000000000000004">
      <c r="A281" s="101" t="s">
        <v>1102</v>
      </c>
      <c r="B281" s="61" t="s">
        <v>1115</v>
      </c>
      <c r="C281" s="61" t="s">
        <v>124</v>
      </c>
      <c r="D281" s="61" t="s">
        <v>3288</v>
      </c>
      <c r="E281" s="118">
        <v>3.0700000000000001E-5</v>
      </c>
      <c r="F281" s="148" t="s">
        <v>122</v>
      </c>
      <c r="G281" s="148">
        <v>1</v>
      </c>
      <c r="H281" s="61" t="s">
        <v>39</v>
      </c>
      <c r="I281" s="61" t="s">
        <v>535</v>
      </c>
      <c r="J281" s="62" t="s">
        <v>1104</v>
      </c>
      <c r="K281" t="s">
        <v>831</v>
      </c>
      <c r="L281" s="159"/>
      <c r="M281" s="48"/>
      <c r="N281" s="123"/>
    </row>
    <row r="282" spans="1:14" customFormat="1" x14ac:dyDescent="0.55000000000000004">
      <c r="A282" s="101" t="s">
        <v>1102</v>
      </c>
      <c r="B282" s="61" t="s">
        <v>1116</v>
      </c>
      <c r="C282" s="61" t="s">
        <v>124</v>
      </c>
      <c r="D282" s="61" t="s">
        <v>3288</v>
      </c>
      <c r="E282" s="118">
        <v>1.48E-7</v>
      </c>
      <c r="F282" s="148" t="s">
        <v>122</v>
      </c>
      <c r="G282" s="148">
        <v>1</v>
      </c>
      <c r="H282" s="61" t="s">
        <v>39</v>
      </c>
      <c r="I282" s="61" t="s">
        <v>535</v>
      </c>
      <c r="J282" s="62" t="s">
        <v>1104</v>
      </c>
      <c r="K282" t="s">
        <v>831</v>
      </c>
      <c r="L282" s="159"/>
      <c r="M282" s="48"/>
      <c r="N282" s="123"/>
    </row>
    <row r="283" spans="1:14" customFormat="1" x14ac:dyDescent="0.55000000000000004">
      <c r="A283" s="101" t="s">
        <v>1102</v>
      </c>
      <c r="B283" s="61" t="s">
        <v>1117</v>
      </c>
      <c r="C283" s="61" t="s">
        <v>124</v>
      </c>
      <c r="D283" s="61" t="s">
        <v>3288</v>
      </c>
      <c r="E283" s="118">
        <v>4.2999999999999999E-4</v>
      </c>
      <c r="F283" s="148" t="s">
        <v>122</v>
      </c>
      <c r="G283" s="148">
        <v>1</v>
      </c>
      <c r="H283" s="61" t="s">
        <v>39</v>
      </c>
      <c r="I283" s="61" t="s">
        <v>535</v>
      </c>
      <c r="J283" s="62" t="s">
        <v>1104</v>
      </c>
      <c r="K283" t="s">
        <v>831</v>
      </c>
      <c r="L283" s="159"/>
      <c r="M283" s="48"/>
      <c r="N283" s="123"/>
    </row>
    <row r="284" spans="1:14" customFormat="1" x14ac:dyDescent="0.55000000000000004">
      <c r="A284" s="101" t="s">
        <v>1102</v>
      </c>
      <c r="B284" s="61" t="s">
        <v>1118</v>
      </c>
      <c r="C284" s="61" t="s">
        <v>124</v>
      </c>
      <c r="D284" s="61" t="s">
        <v>3288</v>
      </c>
      <c r="E284" s="118">
        <v>3.3000000000000003E-5</v>
      </c>
      <c r="F284" s="148" t="s">
        <v>122</v>
      </c>
      <c r="G284" s="148">
        <v>1</v>
      </c>
      <c r="H284" s="61" t="s">
        <v>39</v>
      </c>
      <c r="I284" s="61" t="s">
        <v>535</v>
      </c>
      <c r="J284" s="62" t="s">
        <v>1104</v>
      </c>
      <c r="K284" t="s">
        <v>831</v>
      </c>
      <c r="L284" s="159"/>
      <c r="M284" s="48"/>
      <c r="N284" s="123"/>
    </row>
    <row r="285" spans="1:14" customFormat="1" x14ac:dyDescent="0.55000000000000004">
      <c r="A285" s="101" t="s">
        <v>1102</v>
      </c>
      <c r="B285" s="61" t="s">
        <v>1119</v>
      </c>
      <c r="C285" s="61" t="s">
        <v>124</v>
      </c>
      <c r="D285" s="61" t="s">
        <v>3288</v>
      </c>
      <c r="E285" s="118">
        <v>1.1E-5</v>
      </c>
      <c r="F285" s="148" t="s">
        <v>122</v>
      </c>
      <c r="G285" s="148">
        <v>1</v>
      </c>
      <c r="H285" s="61" t="s">
        <v>39</v>
      </c>
      <c r="I285" s="61" t="s">
        <v>535</v>
      </c>
      <c r="J285" s="62" t="s">
        <v>1104</v>
      </c>
      <c r="K285" t="s">
        <v>831</v>
      </c>
      <c r="L285" s="159"/>
      <c r="M285" s="48"/>
      <c r="N285" s="123"/>
    </row>
    <row r="286" spans="1:14" customFormat="1" x14ac:dyDescent="0.55000000000000004">
      <c r="A286" s="101" t="s">
        <v>1102</v>
      </c>
      <c r="B286" s="61" t="s">
        <v>1120</v>
      </c>
      <c r="C286" s="61" t="s">
        <v>124</v>
      </c>
      <c r="D286" s="61" t="s">
        <v>3288</v>
      </c>
      <c r="E286" s="118">
        <v>2.1999999999999999E-5</v>
      </c>
      <c r="F286" s="148" t="s">
        <v>122</v>
      </c>
      <c r="G286" s="148">
        <v>1</v>
      </c>
      <c r="H286" s="61" t="s">
        <v>39</v>
      </c>
      <c r="I286" s="61" t="s">
        <v>535</v>
      </c>
      <c r="J286" s="62" t="s">
        <v>1104</v>
      </c>
      <c r="K286" t="s">
        <v>831</v>
      </c>
      <c r="L286" s="159"/>
      <c r="M286" s="48"/>
      <c r="N286" s="123"/>
    </row>
    <row r="287" spans="1:14" customFormat="1" x14ac:dyDescent="0.55000000000000004">
      <c r="A287" s="101" t="s">
        <v>1102</v>
      </c>
      <c r="B287" s="61" t="s">
        <v>1100</v>
      </c>
      <c r="C287" s="61" t="s">
        <v>124</v>
      </c>
      <c r="D287" s="61" t="s">
        <v>3288</v>
      </c>
      <c r="E287" s="118">
        <v>3.3399999999999999E-4</v>
      </c>
      <c r="F287" s="148" t="s">
        <v>122</v>
      </c>
      <c r="G287" s="148">
        <v>1</v>
      </c>
      <c r="H287" s="61" t="s">
        <v>39</v>
      </c>
      <c r="I287" s="61" t="s">
        <v>535</v>
      </c>
      <c r="J287" s="62" t="s">
        <v>1104</v>
      </c>
      <c r="K287" t="s">
        <v>831</v>
      </c>
      <c r="L287" s="159"/>
      <c r="M287" s="48"/>
      <c r="N287" s="123"/>
    </row>
    <row r="288" spans="1:14" customFormat="1" x14ac:dyDescent="0.55000000000000004">
      <c r="A288" s="101" t="s">
        <v>1102</v>
      </c>
      <c r="B288" s="61" t="s">
        <v>1121</v>
      </c>
      <c r="C288" s="61" t="s">
        <v>124</v>
      </c>
      <c r="D288" s="61" t="s">
        <v>3288</v>
      </c>
      <c r="E288" s="118">
        <v>4.1200000000000004E-6</v>
      </c>
      <c r="F288" s="148" t="s">
        <v>122</v>
      </c>
      <c r="G288" s="148">
        <v>1</v>
      </c>
      <c r="H288" s="61" t="s">
        <v>39</v>
      </c>
      <c r="I288" s="61" t="s">
        <v>535</v>
      </c>
      <c r="J288" s="62" t="s">
        <v>1104</v>
      </c>
      <c r="K288" t="s">
        <v>831</v>
      </c>
      <c r="L288" s="159"/>
      <c r="M288" s="48"/>
      <c r="N288" s="123"/>
    </row>
    <row r="289" spans="1:14" customFormat="1" x14ac:dyDescent="0.55000000000000004">
      <c r="A289" s="101" t="s">
        <v>1085</v>
      </c>
      <c r="B289" s="61" t="s">
        <v>143</v>
      </c>
      <c r="C289" s="61" t="s">
        <v>121</v>
      </c>
      <c r="D289" s="61" t="s">
        <v>2682</v>
      </c>
      <c r="E289" s="118">
        <v>1</v>
      </c>
      <c r="F289" s="148">
        <v>1</v>
      </c>
      <c r="G289" s="148">
        <v>1</v>
      </c>
      <c r="H289" s="61" t="s">
        <v>39</v>
      </c>
      <c r="I289" s="61" t="s">
        <v>535</v>
      </c>
      <c r="J289" s="62" t="s">
        <v>1086</v>
      </c>
      <c r="K289" t="s">
        <v>831</v>
      </c>
      <c r="L289" s="159"/>
      <c r="M289" s="48"/>
      <c r="N289" s="123"/>
    </row>
    <row r="290" spans="1:14" customFormat="1" x14ac:dyDescent="0.55000000000000004">
      <c r="A290" s="101" t="s">
        <v>1085</v>
      </c>
      <c r="B290" s="61" t="s">
        <v>155</v>
      </c>
      <c r="C290" s="61" t="s">
        <v>156</v>
      </c>
      <c r="D290" s="61" t="s">
        <v>3288</v>
      </c>
      <c r="E290" s="118">
        <v>2.8000000000000001E-2</v>
      </c>
      <c r="F290" s="148" t="s">
        <v>122</v>
      </c>
      <c r="G290" s="148">
        <v>1</v>
      </c>
      <c r="H290" s="61" t="s">
        <v>39</v>
      </c>
      <c r="I290" s="61" t="s">
        <v>535</v>
      </c>
      <c r="J290" s="62" t="s">
        <v>1086</v>
      </c>
      <c r="K290" t="s">
        <v>831</v>
      </c>
      <c r="L290" s="159">
        <v>7108</v>
      </c>
      <c r="M290" s="48"/>
      <c r="N290" s="123"/>
    </row>
    <row r="291" spans="1:14" customFormat="1" x14ac:dyDescent="0.55000000000000004">
      <c r="A291" s="101" t="s">
        <v>1085</v>
      </c>
      <c r="B291" s="61" t="s">
        <v>1087</v>
      </c>
      <c r="C291" s="61" t="s">
        <v>156</v>
      </c>
      <c r="D291" s="61" t="s">
        <v>3288</v>
      </c>
      <c r="E291" s="118">
        <v>5.0999999999999997E-2</v>
      </c>
      <c r="F291" s="148" t="s">
        <v>122</v>
      </c>
      <c r="G291" s="148">
        <v>1</v>
      </c>
      <c r="H291" s="61" t="s">
        <v>39</v>
      </c>
      <c r="I291" s="61" t="s">
        <v>535</v>
      </c>
      <c r="J291" s="62" t="s">
        <v>1086</v>
      </c>
      <c r="K291" t="s">
        <v>831</v>
      </c>
      <c r="L291" s="159">
        <v>711021</v>
      </c>
      <c r="M291" s="48"/>
      <c r="N291" s="123"/>
    </row>
    <row r="292" spans="1:14" customFormat="1" x14ac:dyDescent="0.55000000000000004">
      <c r="A292" s="101" t="s">
        <v>1085</v>
      </c>
      <c r="B292" s="61" t="s">
        <v>157</v>
      </c>
      <c r="C292" s="61" t="s">
        <v>156</v>
      </c>
      <c r="D292" s="61" t="s">
        <v>3288</v>
      </c>
      <c r="E292" s="118">
        <v>0.92100000000000004</v>
      </c>
      <c r="F292" s="148" t="s">
        <v>122</v>
      </c>
      <c r="G292" s="148">
        <v>1</v>
      </c>
      <c r="H292" s="61" t="s">
        <v>39</v>
      </c>
      <c r="I292" s="61" t="s">
        <v>535</v>
      </c>
      <c r="J292" s="62" t="s">
        <v>1086</v>
      </c>
      <c r="K292" t="s">
        <v>831</v>
      </c>
      <c r="L292" s="159">
        <v>7106</v>
      </c>
      <c r="M292" s="48"/>
      <c r="N292" s="123"/>
    </row>
    <row r="293" spans="1:14" customFormat="1" x14ac:dyDescent="0.55000000000000004">
      <c r="A293" s="101" t="s">
        <v>1085</v>
      </c>
      <c r="B293" s="61" t="s">
        <v>1088</v>
      </c>
      <c r="C293" s="61" t="s">
        <v>127</v>
      </c>
      <c r="D293" s="61" t="s">
        <v>2994</v>
      </c>
      <c r="E293" s="118">
        <v>1.36</v>
      </c>
      <c r="F293" s="148" t="s">
        <v>130</v>
      </c>
      <c r="G293" s="148">
        <v>1</v>
      </c>
      <c r="H293" s="61" t="s">
        <v>39</v>
      </c>
      <c r="I293" s="61" t="s">
        <v>535</v>
      </c>
      <c r="J293" s="62" t="s">
        <v>1086</v>
      </c>
      <c r="K293" t="s">
        <v>831</v>
      </c>
      <c r="L293" s="159"/>
      <c r="M293" s="48"/>
      <c r="N293" s="123"/>
    </row>
    <row r="294" spans="1:14" customFormat="1" x14ac:dyDescent="0.55000000000000004">
      <c r="A294" s="101" t="s">
        <v>1085</v>
      </c>
      <c r="B294" s="61" t="s">
        <v>1089</v>
      </c>
      <c r="C294" s="61" t="s">
        <v>127</v>
      </c>
      <c r="D294" s="61" t="s">
        <v>2994</v>
      </c>
      <c r="E294" s="118">
        <v>0.17100000000000001</v>
      </c>
      <c r="F294" s="148" t="s">
        <v>167</v>
      </c>
      <c r="G294" s="148">
        <v>1</v>
      </c>
      <c r="H294" s="61" t="s">
        <v>39</v>
      </c>
      <c r="I294" s="61" t="s">
        <v>535</v>
      </c>
      <c r="J294" s="62" t="s">
        <v>1086</v>
      </c>
      <c r="K294" t="s">
        <v>831</v>
      </c>
      <c r="L294" s="159"/>
      <c r="M294" s="48"/>
      <c r="N294" s="123"/>
    </row>
    <row r="295" spans="1:14" customFormat="1" x14ac:dyDescent="0.55000000000000004">
      <c r="A295" s="101" t="s">
        <v>1085</v>
      </c>
      <c r="B295" s="61" t="s">
        <v>1090</v>
      </c>
      <c r="C295" s="61" t="s">
        <v>125</v>
      </c>
      <c r="D295" s="61" t="s">
        <v>3288</v>
      </c>
      <c r="E295" s="118">
        <v>5.2400000000000002E-2</v>
      </c>
      <c r="F295" s="148" t="s">
        <v>122</v>
      </c>
      <c r="G295" s="148">
        <v>1</v>
      </c>
      <c r="H295" s="61" t="s">
        <v>39</v>
      </c>
      <c r="I295" s="61" t="s">
        <v>535</v>
      </c>
      <c r="J295" s="62" t="s">
        <v>1086</v>
      </c>
      <c r="K295" t="s">
        <v>831</v>
      </c>
      <c r="L295" s="159"/>
      <c r="M295" s="48"/>
      <c r="N295" s="123"/>
    </row>
    <row r="296" spans="1:14" customFormat="1" x14ac:dyDescent="0.55000000000000004">
      <c r="A296" s="101" t="s">
        <v>1085</v>
      </c>
      <c r="B296" s="61" t="s">
        <v>161</v>
      </c>
      <c r="C296" s="61" t="s">
        <v>125</v>
      </c>
      <c r="D296" s="61" t="s">
        <v>3288</v>
      </c>
      <c r="E296" s="118">
        <v>1</v>
      </c>
      <c r="F296" s="148" t="s">
        <v>122</v>
      </c>
      <c r="G296" s="148">
        <v>1</v>
      </c>
      <c r="H296" s="61" t="s">
        <v>39</v>
      </c>
      <c r="I296" s="61" t="s">
        <v>535</v>
      </c>
      <c r="J296" s="62" t="s">
        <v>1086</v>
      </c>
      <c r="K296" t="s">
        <v>831</v>
      </c>
      <c r="L296" s="159"/>
      <c r="M296" s="48"/>
      <c r="N296" s="123"/>
    </row>
    <row r="297" spans="1:14" customFormat="1" x14ac:dyDescent="0.55000000000000004">
      <c r="A297" s="101" t="s">
        <v>1085</v>
      </c>
      <c r="B297" s="61" t="s">
        <v>1091</v>
      </c>
      <c r="C297" s="61" t="s">
        <v>124</v>
      </c>
      <c r="D297" s="61" t="s">
        <v>3288</v>
      </c>
      <c r="E297" s="118">
        <v>7.4099999999999995E-8</v>
      </c>
      <c r="F297" s="148" t="s">
        <v>122</v>
      </c>
      <c r="G297" s="148">
        <v>1</v>
      </c>
      <c r="H297" s="61" t="s">
        <v>39</v>
      </c>
      <c r="I297" s="61" t="s">
        <v>535</v>
      </c>
      <c r="J297" s="62" t="s">
        <v>1086</v>
      </c>
      <c r="K297" t="s">
        <v>831</v>
      </c>
      <c r="L297" s="159"/>
      <c r="M297" s="48"/>
      <c r="N297" s="123"/>
    </row>
    <row r="298" spans="1:14" customFormat="1" x14ac:dyDescent="0.55000000000000004">
      <c r="A298" s="101" t="s">
        <v>1085</v>
      </c>
      <c r="B298" s="61" t="s">
        <v>632</v>
      </c>
      <c r="C298" s="61" t="s">
        <v>124</v>
      </c>
      <c r="D298" s="61" t="s">
        <v>3288</v>
      </c>
      <c r="E298" s="118">
        <v>1.5699999999999999E-4</v>
      </c>
      <c r="F298" s="148" t="s">
        <v>122</v>
      </c>
      <c r="G298" s="148">
        <v>1</v>
      </c>
      <c r="H298" s="61" t="s">
        <v>39</v>
      </c>
      <c r="I298" s="61" t="s">
        <v>535</v>
      </c>
      <c r="J298" s="62" t="s">
        <v>1086</v>
      </c>
      <c r="K298" t="s">
        <v>831</v>
      </c>
      <c r="L298" s="159"/>
      <c r="M298" s="48"/>
      <c r="N298" s="123"/>
    </row>
    <row r="299" spans="1:14" customFormat="1" x14ac:dyDescent="0.55000000000000004">
      <c r="A299" s="101" t="s">
        <v>1085</v>
      </c>
      <c r="B299" s="61" t="s">
        <v>1092</v>
      </c>
      <c r="C299" s="61" t="s">
        <v>124</v>
      </c>
      <c r="D299" s="61" t="s">
        <v>3288</v>
      </c>
      <c r="E299" s="118">
        <v>1.11E-6</v>
      </c>
      <c r="F299" s="148" t="s">
        <v>122</v>
      </c>
      <c r="G299" s="148">
        <v>1</v>
      </c>
      <c r="H299" s="61" t="s">
        <v>39</v>
      </c>
      <c r="I299" s="61" t="s">
        <v>535</v>
      </c>
      <c r="J299" s="62" t="s">
        <v>1086</v>
      </c>
      <c r="K299" t="s">
        <v>831</v>
      </c>
      <c r="L299" s="159"/>
      <c r="M299" s="48"/>
      <c r="N299" s="123"/>
    </row>
    <row r="300" spans="1:14" customFormat="1" x14ac:dyDescent="0.55000000000000004">
      <c r="A300" s="101" t="s">
        <v>1085</v>
      </c>
      <c r="B300" s="61" t="s">
        <v>1093</v>
      </c>
      <c r="C300" s="61" t="s">
        <v>124</v>
      </c>
      <c r="D300" s="61" t="s">
        <v>3288</v>
      </c>
      <c r="E300" s="118">
        <v>3.1099999999999998E-9</v>
      </c>
      <c r="F300" s="148" t="s">
        <v>122</v>
      </c>
      <c r="G300" s="148">
        <v>1</v>
      </c>
      <c r="H300" s="61" t="s">
        <v>39</v>
      </c>
      <c r="I300" s="61" t="s">
        <v>535</v>
      </c>
      <c r="J300" s="62" t="s">
        <v>1086</v>
      </c>
      <c r="K300" t="s">
        <v>831</v>
      </c>
      <c r="L300" s="159"/>
      <c r="M300" s="48"/>
      <c r="N300" s="123"/>
    </row>
    <row r="301" spans="1:14" customFormat="1" x14ac:dyDescent="0.55000000000000004">
      <c r="A301" s="101" t="s">
        <v>1085</v>
      </c>
      <c r="B301" s="61" t="s">
        <v>1094</v>
      </c>
      <c r="C301" s="61" t="s">
        <v>124</v>
      </c>
      <c r="D301" s="61" t="s">
        <v>3288</v>
      </c>
      <c r="E301" s="118">
        <v>1.26E-6</v>
      </c>
      <c r="F301" s="148" t="s">
        <v>122</v>
      </c>
      <c r="G301" s="148">
        <v>1</v>
      </c>
      <c r="H301" s="61" t="s">
        <v>39</v>
      </c>
      <c r="I301" s="61" t="s">
        <v>535</v>
      </c>
      <c r="J301" s="62" t="s">
        <v>1086</v>
      </c>
      <c r="K301" t="s">
        <v>831</v>
      </c>
      <c r="L301" s="159"/>
      <c r="M301" s="48"/>
      <c r="N301" s="123"/>
    </row>
    <row r="302" spans="1:14" customFormat="1" x14ac:dyDescent="0.55000000000000004">
      <c r="A302" s="101" t="s">
        <v>1085</v>
      </c>
      <c r="B302" s="61" t="s">
        <v>1095</v>
      </c>
      <c r="C302" s="61" t="s">
        <v>124</v>
      </c>
      <c r="D302" s="61" t="s">
        <v>3288</v>
      </c>
      <c r="E302" s="118">
        <v>3.0700000000000001E-5</v>
      </c>
      <c r="F302" s="148" t="s">
        <v>122</v>
      </c>
      <c r="G302" s="148">
        <v>1</v>
      </c>
      <c r="H302" s="61" t="s">
        <v>39</v>
      </c>
      <c r="I302" s="61" t="s">
        <v>535</v>
      </c>
      <c r="J302" s="62" t="s">
        <v>1086</v>
      </c>
      <c r="K302" t="s">
        <v>831</v>
      </c>
      <c r="L302" s="159"/>
      <c r="M302" s="48"/>
      <c r="N302" s="123"/>
    </row>
    <row r="303" spans="1:14" customFormat="1" x14ac:dyDescent="0.55000000000000004">
      <c r="A303" s="101" t="s">
        <v>1085</v>
      </c>
      <c r="B303" s="61" t="s">
        <v>1096</v>
      </c>
      <c r="C303" s="61" t="s">
        <v>124</v>
      </c>
      <c r="D303" s="61" t="s">
        <v>3288</v>
      </c>
      <c r="E303" s="118">
        <v>1.48E-7</v>
      </c>
      <c r="F303" s="148" t="s">
        <v>122</v>
      </c>
      <c r="G303" s="148">
        <v>1</v>
      </c>
      <c r="H303" s="61" t="s">
        <v>39</v>
      </c>
      <c r="I303" s="61" t="s">
        <v>535</v>
      </c>
      <c r="J303" s="62" t="s">
        <v>1086</v>
      </c>
      <c r="K303" t="s">
        <v>831</v>
      </c>
      <c r="L303" s="159"/>
      <c r="M303" s="48"/>
      <c r="N303" s="123"/>
    </row>
    <row r="304" spans="1:14" customFormat="1" x14ac:dyDescent="0.55000000000000004">
      <c r="A304" s="101" t="s">
        <v>1085</v>
      </c>
      <c r="B304" s="61" t="s">
        <v>891</v>
      </c>
      <c r="C304" s="61" t="s">
        <v>124</v>
      </c>
      <c r="D304" s="61" t="s">
        <v>3288</v>
      </c>
      <c r="E304" s="118">
        <v>4.2999999999999999E-4</v>
      </c>
      <c r="F304" s="148" t="s">
        <v>122</v>
      </c>
      <c r="G304" s="148">
        <v>1</v>
      </c>
      <c r="H304" s="61" t="s">
        <v>39</v>
      </c>
      <c r="I304" s="61" t="s">
        <v>535</v>
      </c>
      <c r="J304" s="62" t="s">
        <v>1086</v>
      </c>
      <c r="K304" t="s">
        <v>831</v>
      </c>
      <c r="L304" s="159"/>
      <c r="M304" s="48"/>
      <c r="N304" s="123"/>
    </row>
    <row r="305" spans="1:14" customFormat="1" x14ac:dyDescent="0.55000000000000004">
      <c r="A305" s="101" t="s">
        <v>1085</v>
      </c>
      <c r="B305" s="61" t="s">
        <v>1097</v>
      </c>
      <c r="C305" s="61" t="s">
        <v>124</v>
      </c>
      <c r="D305" s="61" t="s">
        <v>3288</v>
      </c>
      <c r="E305" s="118">
        <v>3.3000000000000003E-5</v>
      </c>
      <c r="F305" s="148" t="s">
        <v>122</v>
      </c>
      <c r="G305" s="148">
        <v>1</v>
      </c>
      <c r="H305" s="61" t="s">
        <v>39</v>
      </c>
      <c r="I305" s="61" t="s">
        <v>535</v>
      </c>
      <c r="J305" s="62" t="s">
        <v>1086</v>
      </c>
      <c r="K305" t="s">
        <v>831</v>
      </c>
      <c r="L305" s="159"/>
      <c r="M305" s="48"/>
      <c r="N305" s="123"/>
    </row>
    <row r="306" spans="1:14" customFormat="1" x14ac:dyDescent="0.55000000000000004">
      <c r="A306" s="101" t="s">
        <v>1085</v>
      </c>
      <c r="B306" s="61" t="s">
        <v>1098</v>
      </c>
      <c r="C306" s="61" t="s">
        <v>124</v>
      </c>
      <c r="D306" s="61" t="s">
        <v>3288</v>
      </c>
      <c r="E306" s="118">
        <v>1.1E-5</v>
      </c>
      <c r="F306" s="148" t="s">
        <v>122</v>
      </c>
      <c r="G306" s="148">
        <v>1</v>
      </c>
      <c r="H306" s="61" t="s">
        <v>39</v>
      </c>
      <c r="I306" s="61" t="s">
        <v>535</v>
      </c>
      <c r="J306" s="62" t="s">
        <v>1086</v>
      </c>
      <c r="K306" t="s">
        <v>831</v>
      </c>
      <c r="L306" s="159"/>
      <c r="M306" s="48"/>
      <c r="N306" s="123"/>
    </row>
    <row r="307" spans="1:14" customFormat="1" x14ac:dyDescent="0.55000000000000004">
      <c r="A307" s="101" t="s">
        <v>1085</v>
      </c>
      <c r="B307" s="61" t="s">
        <v>1099</v>
      </c>
      <c r="C307" s="61" t="s">
        <v>124</v>
      </c>
      <c r="D307" s="61" t="s">
        <v>3288</v>
      </c>
      <c r="E307" s="118">
        <v>2.1999999999999999E-5</v>
      </c>
      <c r="F307" s="148" t="s">
        <v>122</v>
      </c>
      <c r="G307" s="148">
        <v>1</v>
      </c>
      <c r="H307" s="61" t="s">
        <v>39</v>
      </c>
      <c r="I307" s="61" t="s">
        <v>535</v>
      </c>
      <c r="J307" s="62" t="s">
        <v>1086</v>
      </c>
      <c r="K307" t="s">
        <v>831</v>
      </c>
      <c r="L307" s="159"/>
      <c r="M307" s="48"/>
      <c r="N307" s="123"/>
    </row>
    <row r="308" spans="1:14" customFormat="1" x14ac:dyDescent="0.55000000000000004">
      <c r="A308" s="101" t="s">
        <v>1085</v>
      </c>
      <c r="B308" s="61" t="s">
        <v>1100</v>
      </c>
      <c r="C308" s="61" t="s">
        <v>124</v>
      </c>
      <c r="D308" s="61" t="s">
        <v>3288</v>
      </c>
      <c r="E308" s="118">
        <v>3.3300000000000002E-4</v>
      </c>
      <c r="F308" s="148" t="s">
        <v>122</v>
      </c>
      <c r="G308" s="148">
        <v>1</v>
      </c>
      <c r="H308" s="61" t="s">
        <v>39</v>
      </c>
      <c r="I308" s="61" t="s">
        <v>535</v>
      </c>
      <c r="J308" s="62" t="s">
        <v>1086</v>
      </c>
      <c r="K308" t="s">
        <v>831</v>
      </c>
      <c r="L308" s="159"/>
      <c r="M308" s="48"/>
      <c r="N308" s="123"/>
    </row>
    <row r="309" spans="1:14" customFormat="1" x14ac:dyDescent="0.55000000000000004">
      <c r="A309" s="101" t="s">
        <v>1085</v>
      </c>
      <c r="B309" s="61" t="s">
        <v>1101</v>
      </c>
      <c r="C309" s="61" t="s">
        <v>124</v>
      </c>
      <c r="D309" s="61" t="s">
        <v>3288</v>
      </c>
      <c r="E309" s="118">
        <v>4.1099999999999996E-6</v>
      </c>
      <c r="F309" s="148" t="s">
        <v>122</v>
      </c>
      <c r="G309" s="148">
        <v>1</v>
      </c>
      <c r="H309" s="61" t="s">
        <v>39</v>
      </c>
      <c r="I309" s="61" t="s">
        <v>535</v>
      </c>
      <c r="J309" s="62" t="s">
        <v>1086</v>
      </c>
      <c r="K309" t="s">
        <v>831</v>
      </c>
      <c r="L309" s="159"/>
      <c r="M309" s="48"/>
      <c r="N309" s="123"/>
    </row>
    <row r="310" spans="1:14" customFormat="1" x14ac:dyDescent="0.55000000000000004">
      <c r="A310" s="94" t="s">
        <v>1072</v>
      </c>
      <c r="B310" t="s">
        <v>469</v>
      </c>
      <c r="C310" t="s">
        <v>121</v>
      </c>
      <c r="D310" t="s">
        <v>2994</v>
      </c>
      <c r="E310" s="116">
        <v>1</v>
      </c>
      <c r="F310" s="149" t="s">
        <v>138</v>
      </c>
      <c r="G310" s="149">
        <v>1</v>
      </c>
      <c r="H310" t="s">
        <v>39</v>
      </c>
      <c r="I310" s="61"/>
      <c r="J310" s="94" t="s">
        <v>1073</v>
      </c>
      <c r="K310" s="61"/>
      <c r="L310" s="160">
        <v>2905</v>
      </c>
      <c r="M310" s="48"/>
      <c r="N310" s="123"/>
    </row>
    <row r="311" spans="1:14" customFormat="1" x14ac:dyDescent="0.55000000000000004">
      <c r="A311" s="94" t="s">
        <v>1072</v>
      </c>
      <c r="B311" t="s">
        <v>233</v>
      </c>
      <c r="C311" t="s">
        <v>231</v>
      </c>
      <c r="D311" t="s">
        <v>2994</v>
      </c>
      <c r="E311" s="116">
        <v>1.0136734410462731</v>
      </c>
      <c r="F311" s="149" t="s">
        <v>138</v>
      </c>
      <c r="G311" s="149" t="s">
        <v>138</v>
      </c>
      <c r="H311" t="s">
        <v>39</v>
      </c>
      <c r="I311" s="61"/>
      <c r="J311" s="94" t="s">
        <v>1073</v>
      </c>
      <c r="K311" s="61"/>
      <c r="L311" s="160"/>
      <c r="M311" s="48"/>
      <c r="N311" s="123"/>
    </row>
    <row r="312" spans="1:14" customFormat="1" x14ac:dyDescent="0.55000000000000004">
      <c r="A312" s="94" t="s">
        <v>1072</v>
      </c>
      <c r="B312" t="s">
        <v>208</v>
      </c>
      <c r="C312" t="s">
        <v>127</v>
      </c>
      <c r="D312" t="s">
        <v>2994</v>
      </c>
      <c r="E312" s="116">
        <v>0.42220000000000002</v>
      </c>
      <c r="F312" s="149" t="s">
        <v>138</v>
      </c>
      <c r="G312" s="149" t="s">
        <v>138</v>
      </c>
      <c r="H312" t="s">
        <v>39</v>
      </c>
      <c r="I312" s="61"/>
      <c r="J312" s="94" t="s">
        <v>1073</v>
      </c>
      <c r="K312" s="61"/>
      <c r="L312" s="160"/>
      <c r="M312" s="48"/>
      <c r="N312" s="123"/>
    </row>
    <row r="313" spans="1:14" customFormat="1" x14ac:dyDescent="0.55000000000000004">
      <c r="A313" s="94" t="s">
        <v>1072</v>
      </c>
      <c r="B313" t="s">
        <v>160</v>
      </c>
      <c r="C313" t="s">
        <v>247</v>
      </c>
      <c r="D313" t="s">
        <v>3288</v>
      </c>
      <c r="E313" s="116">
        <v>2.1954399999999999E-2</v>
      </c>
      <c r="F313" s="149" t="s">
        <v>3286</v>
      </c>
      <c r="G313" s="149" t="s">
        <v>135</v>
      </c>
      <c r="I313" s="61"/>
      <c r="J313" s="94" t="s">
        <v>1073</v>
      </c>
      <c r="K313" s="61"/>
      <c r="L313" s="160"/>
      <c r="M313" s="48"/>
      <c r="N313" s="123"/>
    </row>
    <row r="314" spans="1:14" customFormat="1" x14ac:dyDescent="0.55000000000000004">
      <c r="A314" s="60" t="s">
        <v>1070</v>
      </c>
      <c r="B314" s="61" t="s">
        <v>140</v>
      </c>
      <c r="C314" s="61" t="s">
        <v>121</v>
      </c>
      <c r="D314" t="s">
        <v>3288</v>
      </c>
      <c r="E314" s="116">
        <v>1</v>
      </c>
      <c r="F314" s="149" t="s">
        <v>135</v>
      </c>
      <c r="G314" s="149">
        <v>1</v>
      </c>
      <c r="H314" t="s">
        <v>39</v>
      </c>
      <c r="I314" s="61"/>
      <c r="J314" s="60" t="s">
        <v>1071</v>
      </c>
      <c r="K314" s="61"/>
      <c r="L314" s="160" t="s">
        <v>1021</v>
      </c>
      <c r="M314" s="48"/>
      <c r="N314" s="123"/>
    </row>
    <row r="315" spans="1:14" customFormat="1" x14ac:dyDescent="0.55000000000000004">
      <c r="A315" s="60" t="s">
        <v>1070</v>
      </c>
      <c r="B315" s="61" t="s">
        <v>137</v>
      </c>
      <c r="C315" s="61" t="s">
        <v>127</v>
      </c>
      <c r="D315" t="s">
        <v>2994</v>
      </c>
      <c r="E315" s="120">
        <v>23.5</v>
      </c>
      <c r="F315" s="148" t="s">
        <v>138</v>
      </c>
      <c r="G315" s="148" t="s">
        <v>135</v>
      </c>
      <c r="I315" s="61"/>
      <c r="J315" s="60" t="s">
        <v>1071</v>
      </c>
      <c r="K315" s="61"/>
      <c r="L315" s="161"/>
      <c r="M315" s="48"/>
      <c r="N315" s="123"/>
    </row>
    <row r="316" spans="1:14" customFormat="1" x14ac:dyDescent="0.55000000000000004">
      <c r="A316" s="60" t="s">
        <v>1068</v>
      </c>
      <c r="B316" s="61" t="s">
        <v>140</v>
      </c>
      <c r="C316" s="61" t="s">
        <v>121</v>
      </c>
      <c r="D316" t="s">
        <v>3288</v>
      </c>
      <c r="E316" s="116">
        <v>1</v>
      </c>
      <c r="F316" s="149" t="s">
        <v>135</v>
      </c>
      <c r="G316" s="149">
        <v>1</v>
      </c>
      <c r="H316" t="s">
        <v>39</v>
      </c>
      <c r="I316" s="61"/>
      <c r="J316" s="60" t="s">
        <v>1069</v>
      </c>
      <c r="K316" s="61"/>
      <c r="L316" s="160" t="s">
        <v>1021</v>
      </c>
      <c r="M316" s="48"/>
      <c r="N316" s="123"/>
    </row>
    <row r="317" spans="1:14" customFormat="1" x14ac:dyDescent="0.55000000000000004">
      <c r="A317" s="60" t="s">
        <v>1068</v>
      </c>
      <c r="B317" s="61" t="s">
        <v>137</v>
      </c>
      <c r="C317" s="61" t="s">
        <v>127</v>
      </c>
      <c r="D317" t="s">
        <v>2994</v>
      </c>
      <c r="E317" s="117">
        <v>18.5</v>
      </c>
      <c r="F317" s="148" t="s">
        <v>138</v>
      </c>
      <c r="G317" s="148" t="s">
        <v>135</v>
      </c>
      <c r="I317" s="61"/>
      <c r="J317" s="60" t="s">
        <v>1069</v>
      </c>
      <c r="K317" s="61"/>
      <c r="L317" s="161"/>
      <c r="M317" s="48"/>
      <c r="N317" s="123"/>
    </row>
    <row r="318" spans="1:14" customFormat="1" x14ac:dyDescent="0.55000000000000004">
      <c r="A318" s="60" t="s">
        <v>1068</v>
      </c>
      <c r="B318" s="61" t="s">
        <v>160</v>
      </c>
      <c r="C318" s="61" t="s">
        <v>247</v>
      </c>
      <c r="D318" t="s">
        <v>3288</v>
      </c>
      <c r="E318" s="117">
        <v>0.96199999999999997</v>
      </c>
      <c r="F318" s="148" t="s">
        <v>3286</v>
      </c>
      <c r="G318" s="148" t="s">
        <v>135</v>
      </c>
      <c r="H318" t="s">
        <v>373</v>
      </c>
      <c r="I318" s="61"/>
      <c r="J318" s="60" t="s">
        <v>1069</v>
      </c>
      <c r="K318" s="61"/>
      <c r="L318" s="161"/>
      <c r="M318" s="48"/>
      <c r="N318" s="123"/>
    </row>
    <row r="319" spans="1:14" customFormat="1" x14ac:dyDescent="0.55000000000000004">
      <c r="A319" s="60" t="s">
        <v>1068</v>
      </c>
      <c r="B319" s="61" t="s">
        <v>160</v>
      </c>
      <c r="C319" t="s">
        <v>156</v>
      </c>
      <c r="D319" t="s">
        <v>3288</v>
      </c>
      <c r="E319" s="116">
        <f>E318*0.8</f>
        <v>0.76960000000000006</v>
      </c>
      <c r="F319" s="149" t="s">
        <v>135</v>
      </c>
      <c r="G319" s="149" t="s">
        <v>135</v>
      </c>
      <c r="H319" t="s">
        <v>39</v>
      </c>
      <c r="I319" s="61" t="s">
        <v>2096</v>
      </c>
      <c r="J319" s="60" t="s">
        <v>1069</v>
      </c>
      <c r="K319" s="61"/>
      <c r="L319" s="160"/>
      <c r="M319" s="48"/>
      <c r="N319" s="123"/>
    </row>
    <row r="320" spans="1:14" customFormat="1" x14ac:dyDescent="0.55000000000000004">
      <c r="A320" s="94" t="s">
        <v>1066</v>
      </c>
      <c r="B320" t="s">
        <v>1037</v>
      </c>
      <c r="C320" t="s">
        <v>121</v>
      </c>
      <c r="D320" t="s">
        <v>2994</v>
      </c>
      <c r="E320" s="116">
        <v>1</v>
      </c>
      <c r="F320" s="149" t="s">
        <v>138</v>
      </c>
      <c r="G320" s="149">
        <v>1</v>
      </c>
      <c r="H320" t="s">
        <v>39</v>
      </c>
      <c r="I320" s="61"/>
      <c r="J320" s="94" t="s">
        <v>1067</v>
      </c>
      <c r="K320" s="61"/>
      <c r="L320" s="160">
        <v>2901.21</v>
      </c>
      <c r="M320" s="48"/>
      <c r="N320" s="123"/>
    </row>
    <row r="321" spans="1:14" customFormat="1" x14ac:dyDescent="0.55000000000000004">
      <c r="A321" s="94" t="s">
        <v>1066</v>
      </c>
      <c r="B321" t="s">
        <v>230</v>
      </c>
      <c r="C321" t="s">
        <v>231</v>
      </c>
      <c r="D321" t="s">
        <v>2994</v>
      </c>
      <c r="E321" s="116">
        <v>4.1025641025641022</v>
      </c>
      <c r="F321" s="149" t="s">
        <v>138</v>
      </c>
      <c r="G321" s="149" t="s">
        <v>138</v>
      </c>
      <c r="H321" t="s">
        <v>39</v>
      </c>
      <c r="I321" s="61"/>
      <c r="J321" s="94" t="s">
        <v>1067</v>
      </c>
      <c r="K321" s="61"/>
      <c r="L321" s="160"/>
      <c r="M321" s="48"/>
      <c r="N321" s="123"/>
    </row>
    <row r="322" spans="1:14" customFormat="1" x14ac:dyDescent="0.55000000000000004">
      <c r="A322" s="94" t="s">
        <v>1066</v>
      </c>
      <c r="B322" t="s">
        <v>208</v>
      </c>
      <c r="C322" t="s">
        <v>127</v>
      </c>
      <c r="D322" t="s">
        <v>2994</v>
      </c>
      <c r="E322" s="116">
        <v>0.50370399999999993</v>
      </c>
      <c r="F322" s="149" t="s">
        <v>138</v>
      </c>
      <c r="G322" s="149" t="s">
        <v>138</v>
      </c>
      <c r="H322" t="s">
        <v>39</v>
      </c>
      <c r="I322" s="61"/>
      <c r="J322" s="94" t="s">
        <v>1067</v>
      </c>
      <c r="K322" s="61"/>
      <c r="L322" s="160"/>
      <c r="M322" s="48"/>
      <c r="N322" s="123"/>
    </row>
    <row r="323" spans="1:14" customFormat="1" x14ac:dyDescent="0.55000000000000004">
      <c r="A323" s="94" t="s">
        <v>1066</v>
      </c>
      <c r="B323" t="s">
        <v>160</v>
      </c>
      <c r="C323" t="s">
        <v>247</v>
      </c>
      <c r="D323" t="s">
        <v>3288</v>
      </c>
      <c r="E323" s="116">
        <v>2.6192607999999996E-2</v>
      </c>
      <c r="F323" s="149" t="s">
        <v>3286</v>
      </c>
      <c r="G323" s="149" t="s">
        <v>135</v>
      </c>
      <c r="H323" t="s">
        <v>373</v>
      </c>
      <c r="I323" s="61"/>
      <c r="J323" s="94" t="s">
        <v>1067</v>
      </c>
      <c r="K323" s="61"/>
      <c r="L323" s="160"/>
      <c r="M323" s="48"/>
      <c r="N323" s="123"/>
    </row>
    <row r="324" spans="1:14" customFormat="1" x14ac:dyDescent="0.55000000000000004">
      <c r="A324" s="94" t="s">
        <v>1064</v>
      </c>
      <c r="B324" t="s">
        <v>469</v>
      </c>
      <c r="C324" t="s">
        <v>121</v>
      </c>
      <c r="D324" t="s">
        <v>2994</v>
      </c>
      <c r="E324" s="116">
        <v>1</v>
      </c>
      <c r="F324" s="149" t="s">
        <v>138</v>
      </c>
      <c r="G324" s="149">
        <v>1</v>
      </c>
      <c r="H324" t="s">
        <v>39</v>
      </c>
      <c r="I324" s="61"/>
      <c r="J324" s="94" t="s">
        <v>1065</v>
      </c>
      <c r="K324" s="61"/>
      <c r="L324" s="160">
        <v>2905</v>
      </c>
      <c r="M324" s="48"/>
      <c r="N324" s="123"/>
    </row>
    <row r="325" spans="1:14" customFormat="1" x14ac:dyDescent="0.55000000000000004">
      <c r="A325" s="94" t="s">
        <v>1064</v>
      </c>
      <c r="B325" t="s">
        <v>160</v>
      </c>
      <c r="C325" t="s">
        <v>125</v>
      </c>
      <c r="D325" t="s">
        <v>2994</v>
      </c>
      <c r="E325" s="116">
        <v>30.487804878048784</v>
      </c>
      <c r="F325" s="149" t="s">
        <v>138</v>
      </c>
      <c r="G325" s="149" t="s">
        <v>138</v>
      </c>
      <c r="H325" t="s">
        <v>39</v>
      </c>
      <c r="I325" s="61"/>
      <c r="J325" s="94" t="s">
        <v>1065</v>
      </c>
      <c r="K325" s="61"/>
      <c r="L325" s="160"/>
      <c r="M325" s="48"/>
      <c r="N325" s="123"/>
    </row>
    <row r="326" spans="1:14" customFormat="1" x14ac:dyDescent="0.55000000000000004">
      <c r="A326" s="94" t="s">
        <v>1064</v>
      </c>
      <c r="B326" t="s">
        <v>208</v>
      </c>
      <c r="C326" t="s">
        <v>127</v>
      </c>
      <c r="D326" t="s">
        <v>2994</v>
      </c>
      <c r="E326" s="116">
        <v>0.73</v>
      </c>
      <c r="F326" s="149" t="s">
        <v>138</v>
      </c>
      <c r="G326" s="149" t="s">
        <v>138</v>
      </c>
      <c r="H326" t="s">
        <v>39</v>
      </c>
      <c r="I326" s="61"/>
      <c r="J326" s="94" t="s">
        <v>1065</v>
      </c>
      <c r="K326" s="61"/>
      <c r="L326" s="160"/>
      <c r="M326" s="48"/>
      <c r="N326" s="123"/>
    </row>
    <row r="327" spans="1:14" customFormat="1" x14ac:dyDescent="0.55000000000000004">
      <c r="A327" s="94" t="s">
        <v>1064</v>
      </c>
      <c r="B327" t="s">
        <v>160</v>
      </c>
      <c r="C327" t="s">
        <v>247</v>
      </c>
      <c r="D327" t="s">
        <v>3288</v>
      </c>
      <c r="E327" s="116">
        <v>3.7960000000000001E-2</v>
      </c>
      <c r="F327" s="149" t="s">
        <v>3286</v>
      </c>
      <c r="G327" s="149" t="s">
        <v>135</v>
      </c>
      <c r="H327" t="s">
        <v>373</v>
      </c>
      <c r="I327" s="61"/>
      <c r="J327" s="94" t="s">
        <v>1065</v>
      </c>
      <c r="K327" s="61"/>
      <c r="L327" s="160"/>
      <c r="M327" s="48"/>
      <c r="N327" s="123"/>
    </row>
    <row r="328" spans="1:14" customFormat="1" x14ac:dyDescent="0.55000000000000004">
      <c r="A328" s="94" t="s">
        <v>1062</v>
      </c>
      <c r="B328" t="s">
        <v>1037</v>
      </c>
      <c r="C328" t="s">
        <v>121</v>
      </c>
      <c r="D328" t="s">
        <v>2994</v>
      </c>
      <c r="E328" s="116">
        <v>1</v>
      </c>
      <c r="F328" s="149" t="s">
        <v>138</v>
      </c>
      <c r="G328" s="149">
        <v>1</v>
      </c>
      <c r="H328" t="s">
        <v>39</v>
      </c>
      <c r="I328" s="61"/>
      <c r="J328" s="94" t="s">
        <v>1063</v>
      </c>
      <c r="K328" s="61"/>
      <c r="L328" s="160">
        <v>2901.21</v>
      </c>
      <c r="M328" s="48"/>
      <c r="N328" s="123"/>
    </row>
    <row r="329" spans="1:14" customFormat="1" x14ac:dyDescent="0.55000000000000004">
      <c r="A329" s="94" t="s">
        <v>1062</v>
      </c>
      <c r="B329" t="s">
        <v>262</v>
      </c>
      <c r="C329" t="s">
        <v>231</v>
      </c>
      <c r="D329" t="s">
        <v>2994</v>
      </c>
      <c r="E329" s="116">
        <v>1.8157685215073491</v>
      </c>
      <c r="F329" s="149" t="s">
        <v>138</v>
      </c>
      <c r="G329" s="149" t="s">
        <v>138</v>
      </c>
      <c r="H329" t="s">
        <v>39</v>
      </c>
      <c r="I329" s="61"/>
      <c r="J329" s="94" t="s">
        <v>1063</v>
      </c>
      <c r="K329" s="61"/>
      <c r="L329" s="160"/>
      <c r="M329" s="48"/>
      <c r="N329" s="123"/>
    </row>
    <row r="330" spans="1:14" customFormat="1" x14ac:dyDescent="0.55000000000000004">
      <c r="A330" s="94" t="s">
        <v>1062</v>
      </c>
      <c r="B330" t="s">
        <v>208</v>
      </c>
      <c r="C330" t="s">
        <v>127</v>
      </c>
      <c r="D330" t="s">
        <v>2994</v>
      </c>
      <c r="E330" s="116">
        <v>0.98966397157622721</v>
      </c>
      <c r="F330" s="149" t="s">
        <v>138</v>
      </c>
      <c r="G330" s="149" t="s">
        <v>138</v>
      </c>
      <c r="H330" t="s">
        <v>39</v>
      </c>
      <c r="I330" s="61"/>
      <c r="J330" s="94" t="s">
        <v>1063</v>
      </c>
      <c r="K330" s="61"/>
      <c r="L330" s="160"/>
      <c r="M330" s="48"/>
      <c r="N330" s="123"/>
    </row>
    <row r="331" spans="1:14" customFormat="1" x14ac:dyDescent="0.55000000000000004">
      <c r="A331" s="94" t="s">
        <v>1062</v>
      </c>
      <c r="B331" t="s">
        <v>160</v>
      </c>
      <c r="C331" t="s">
        <v>247</v>
      </c>
      <c r="D331" t="s">
        <v>3288</v>
      </c>
      <c r="E331" s="116">
        <v>5.1462526521963814E-2</v>
      </c>
      <c r="F331" s="149" t="s">
        <v>3286</v>
      </c>
      <c r="G331" s="149" t="s">
        <v>135</v>
      </c>
      <c r="H331" t="s">
        <v>373</v>
      </c>
      <c r="I331" s="61"/>
      <c r="J331" s="94" t="s">
        <v>1063</v>
      </c>
      <c r="K331" s="61"/>
      <c r="L331" s="160"/>
      <c r="M331" s="48"/>
      <c r="N331" s="123"/>
    </row>
    <row r="332" spans="1:14" customFormat="1" x14ac:dyDescent="0.55000000000000004">
      <c r="A332" s="94" t="s">
        <v>1060</v>
      </c>
      <c r="B332" t="s">
        <v>1037</v>
      </c>
      <c r="C332" t="s">
        <v>121</v>
      </c>
      <c r="D332" t="s">
        <v>2994</v>
      </c>
      <c r="E332" s="116">
        <v>1</v>
      </c>
      <c r="F332" s="149" t="s">
        <v>138</v>
      </c>
      <c r="G332" s="149">
        <v>1</v>
      </c>
      <c r="H332" t="s">
        <v>39</v>
      </c>
      <c r="I332" s="61"/>
      <c r="J332" s="94" t="s">
        <v>1061</v>
      </c>
      <c r="K332" s="61"/>
      <c r="L332" s="160">
        <v>2901.21</v>
      </c>
      <c r="M332" s="48"/>
      <c r="N332" s="123"/>
    </row>
    <row r="333" spans="1:14" customFormat="1" x14ac:dyDescent="0.55000000000000004">
      <c r="A333" s="94" t="s">
        <v>1060</v>
      </c>
      <c r="B333" t="s">
        <v>262</v>
      </c>
      <c r="C333" t="s">
        <v>231</v>
      </c>
      <c r="D333" t="s">
        <v>2994</v>
      </c>
      <c r="E333" s="116">
        <v>3.0784030784030785</v>
      </c>
      <c r="F333" s="149" t="s">
        <v>138</v>
      </c>
      <c r="G333" s="149" t="s">
        <v>138</v>
      </c>
      <c r="H333" t="s">
        <v>39</v>
      </c>
      <c r="I333" s="61"/>
      <c r="J333" s="94" t="s">
        <v>1061</v>
      </c>
      <c r="K333" s="61"/>
      <c r="L333" s="160"/>
      <c r="M333" s="48"/>
      <c r="N333" s="123"/>
    </row>
    <row r="334" spans="1:14" customFormat="1" x14ac:dyDescent="0.55000000000000004">
      <c r="A334" s="94" t="s">
        <v>1060</v>
      </c>
      <c r="B334" t="s">
        <v>208</v>
      </c>
      <c r="C334" t="s">
        <v>127</v>
      </c>
      <c r="D334" t="s">
        <v>2994</v>
      </c>
      <c r="E334" s="116">
        <v>1.71</v>
      </c>
      <c r="F334" s="149" t="s">
        <v>138</v>
      </c>
      <c r="G334" s="149" t="s">
        <v>138</v>
      </c>
      <c r="H334" t="s">
        <v>39</v>
      </c>
      <c r="I334" s="61"/>
      <c r="J334" s="94" t="s">
        <v>1061</v>
      </c>
      <c r="K334" s="61"/>
      <c r="L334" s="160"/>
      <c r="M334" s="48"/>
      <c r="N334" s="123"/>
    </row>
    <row r="335" spans="1:14" customFormat="1" x14ac:dyDescent="0.55000000000000004">
      <c r="A335" s="94" t="s">
        <v>1060</v>
      </c>
      <c r="B335" t="s">
        <v>160</v>
      </c>
      <c r="C335" t="s">
        <v>247</v>
      </c>
      <c r="D335" t="s">
        <v>3288</v>
      </c>
      <c r="E335" s="116">
        <v>8.8919999999999999E-2</v>
      </c>
      <c r="F335" s="149" t="s">
        <v>3286</v>
      </c>
      <c r="G335" s="149" t="s">
        <v>135</v>
      </c>
      <c r="H335" t="s">
        <v>373</v>
      </c>
      <c r="I335" s="61"/>
      <c r="J335" s="94" t="s">
        <v>1061</v>
      </c>
      <c r="K335" s="61"/>
      <c r="L335" s="160"/>
      <c r="M335" s="48"/>
      <c r="N335" s="123"/>
    </row>
    <row r="336" spans="1:14" customFormat="1" x14ac:dyDescent="0.55000000000000004">
      <c r="A336" s="60" t="s">
        <v>1058</v>
      </c>
      <c r="B336" s="61" t="s">
        <v>140</v>
      </c>
      <c r="C336" s="61" t="s">
        <v>121</v>
      </c>
      <c r="D336" t="s">
        <v>3288</v>
      </c>
      <c r="E336" s="116">
        <v>1</v>
      </c>
      <c r="F336" s="149" t="s">
        <v>135</v>
      </c>
      <c r="G336" s="149">
        <v>1</v>
      </c>
      <c r="H336" t="s">
        <v>39</v>
      </c>
      <c r="I336" s="61"/>
      <c r="J336" s="60" t="s">
        <v>1059</v>
      </c>
      <c r="K336" s="61"/>
      <c r="L336" s="160" t="s">
        <v>1021</v>
      </c>
      <c r="M336" s="48"/>
      <c r="N336" s="123"/>
    </row>
    <row r="337" spans="1:14" customFormat="1" x14ac:dyDescent="0.55000000000000004">
      <c r="A337" s="60" t="s">
        <v>1058</v>
      </c>
      <c r="B337" s="61" t="s">
        <v>137</v>
      </c>
      <c r="C337" s="61" t="s">
        <v>127</v>
      </c>
      <c r="D337" t="s">
        <v>2994</v>
      </c>
      <c r="E337" s="120">
        <v>19.8</v>
      </c>
      <c r="F337" s="148" t="s">
        <v>138</v>
      </c>
      <c r="G337" s="148" t="s">
        <v>135</v>
      </c>
      <c r="I337" s="61"/>
      <c r="J337" s="60" t="s">
        <v>1059</v>
      </c>
      <c r="K337" s="61"/>
      <c r="L337" s="161"/>
      <c r="M337" s="48"/>
      <c r="N337" s="123"/>
    </row>
    <row r="338" spans="1:14" customFormat="1" x14ac:dyDescent="0.55000000000000004">
      <c r="A338" s="60" t="s">
        <v>1058</v>
      </c>
      <c r="B338" s="61" t="s">
        <v>160</v>
      </c>
      <c r="C338" s="61" t="s">
        <v>247</v>
      </c>
      <c r="D338" t="s">
        <v>3288</v>
      </c>
      <c r="E338" s="120">
        <v>1.0296000000000001</v>
      </c>
      <c r="F338" s="148" t="s">
        <v>3286</v>
      </c>
      <c r="G338" s="148" t="s">
        <v>135</v>
      </c>
      <c r="H338" t="s">
        <v>373</v>
      </c>
      <c r="I338" s="61"/>
      <c r="J338" s="60" t="s">
        <v>1059</v>
      </c>
      <c r="K338" s="61"/>
      <c r="L338" s="161"/>
      <c r="M338" s="48"/>
      <c r="N338" s="123"/>
    </row>
    <row r="339" spans="1:14" customFormat="1" x14ac:dyDescent="0.55000000000000004">
      <c r="A339" s="60" t="s">
        <v>1056</v>
      </c>
      <c r="B339" s="61" t="s">
        <v>140</v>
      </c>
      <c r="C339" s="61" t="s">
        <v>121</v>
      </c>
      <c r="D339" t="s">
        <v>3288</v>
      </c>
      <c r="E339" s="116">
        <v>1</v>
      </c>
      <c r="F339" s="149" t="s">
        <v>135</v>
      </c>
      <c r="G339" s="149">
        <v>1</v>
      </c>
      <c r="H339" t="s">
        <v>39</v>
      </c>
      <c r="I339" s="61"/>
      <c r="J339" s="60" t="s">
        <v>1057</v>
      </c>
      <c r="K339" s="61"/>
      <c r="L339" s="160" t="s">
        <v>1021</v>
      </c>
      <c r="M339" s="48"/>
      <c r="N339" s="123"/>
    </row>
    <row r="340" spans="1:14" customFormat="1" x14ac:dyDescent="0.55000000000000004">
      <c r="A340" s="60" t="s">
        <v>1056</v>
      </c>
      <c r="B340" s="61" t="s">
        <v>137</v>
      </c>
      <c r="C340" s="61" t="s">
        <v>127</v>
      </c>
      <c r="D340" t="s">
        <v>2994</v>
      </c>
      <c r="E340" s="117">
        <v>19.8</v>
      </c>
      <c r="F340" s="148" t="s">
        <v>138</v>
      </c>
      <c r="G340" s="148" t="s">
        <v>135</v>
      </c>
      <c r="I340" s="61"/>
      <c r="J340" s="60" t="s">
        <v>1057</v>
      </c>
      <c r="K340" s="61"/>
      <c r="L340" s="161"/>
      <c r="M340" s="48"/>
      <c r="N340" s="123"/>
    </row>
    <row r="341" spans="1:14" customFormat="1" x14ac:dyDescent="0.55000000000000004">
      <c r="A341" s="60" t="s">
        <v>1056</v>
      </c>
      <c r="B341" s="61" t="s">
        <v>160</v>
      </c>
      <c r="C341" s="61" t="s">
        <v>247</v>
      </c>
      <c r="D341" t="s">
        <v>3288</v>
      </c>
      <c r="E341" s="117">
        <v>1.0296000000000001</v>
      </c>
      <c r="F341" s="148" t="s">
        <v>3286</v>
      </c>
      <c r="G341" s="148" t="s">
        <v>135</v>
      </c>
      <c r="H341" t="s">
        <v>373</v>
      </c>
      <c r="I341" s="61"/>
      <c r="J341" s="60" t="s">
        <v>1057</v>
      </c>
      <c r="K341" s="61"/>
      <c r="L341" s="161"/>
      <c r="M341" s="48"/>
      <c r="N341" s="123"/>
    </row>
    <row r="342" spans="1:14" customFormat="1" x14ac:dyDescent="0.55000000000000004">
      <c r="A342" s="60" t="s">
        <v>1056</v>
      </c>
      <c r="B342" s="61" t="s">
        <v>160</v>
      </c>
      <c r="C342" t="s">
        <v>156</v>
      </c>
      <c r="D342" t="s">
        <v>3288</v>
      </c>
      <c r="E342" s="116">
        <f>E341*0.8</f>
        <v>0.82368000000000008</v>
      </c>
      <c r="F342" s="149" t="s">
        <v>135</v>
      </c>
      <c r="G342" s="149" t="s">
        <v>135</v>
      </c>
      <c r="H342" t="s">
        <v>39</v>
      </c>
      <c r="I342" s="61" t="s">
        <v>2096</v>
      </c>
      <c r="J342" s="60" t="s">
        <v>1057</v>
      </c>
      <c r="K342" s="61"/>
      <c r="L342" s="160"/>
      <c r="M342" s="48"/>
      <c r="N342" s="123"/>
    </row>
    <row r="343" spans="1:14" customFormat="1" x14ac:dyDescent="0.55000000000000004">
      <c r="A343" s="62" t="s">
        <v>1054</v>
      </c>
      <c r="B343" t="s">
        <v>134</v>
      </c>
      <c r="C343" s="61" t="s">
        <v>121</v>
      </c>
      <c r="D343" t="s">
        <v>3288</v>
      </c>
      <c r="E343" s="116">
        <v>1</v>
      </c>
      <c r="F343" s="149" t="s">
        <v>135</v>
      </c>
      <c r="G343" s="149">
        <v>1</v>
      </c>
      <c r="H343" t="s">
        <v>39</v>
      </c>
      <c r="I343" s="61"/>
      <c r="J343" s="62" t="s">
        <v>1055</v>
      </c>
      <c r="K343" s="61"/>
      <c r="L343" s="160" t="s">
        <v>241</v>
      </c>
      <c r="M343" s="48"/>
      <c r="N343" s="123"/>
    </row>
    <row r="344" spans="1:14" customFormat="1" x14ac:dyDescent="0.55000000000000004">
      <c r="A344" s="62" t="s">
        <v>1054</v>
      </c>
      <c r="B344" s="61" t="s">
        <v>137</v>
      </c>
      <c r="C344" s="61" t="s">
        <v>127</v>
      </c>
      <c r="D344" t="s">
        <v>2994</v>
      </c>
      <c r="E344" s="120">
        <v>2.9</v>
      </c>
      <c r="F344" s="148" t="s">
        <v>138</v>
      </c>
      <c r="G344" s="148" t="s">
        <v>135</v>
      </c>
      <c r="I344" s="61"/>
      <c r="J344" s="62" t="s">
        <v>1055</v>
      </c>
      <c r="K344" s="61"/>
      <c r="L344" s="161"/>
      <c r="M344" s="48"/>
      <c r="N344" s="123"/>
    </row>
    <row r="345" spans="1:14" customFormat="1" x14ac:dyDescent="0.55000000000000004">
      <c r="A345" s="62" t="s">
        <v>1054</v>
      </c>
      <c r="B345" s="61" t="s">
        <v>160</v>
      </c>
      <c r="C345" s="61" t="s">
        <v>247</v>
      </c>
      <c r="D345" t="s">
        <v>3288</v>
      </c>
      <c r="E345" s="120">
        <v>0.15079999999999999</v>
      </c>
      <c r="F345" s="148" t="s">
        <v>3286</v>
      </c>
      <c r="G345" s="148" t="s">
        <v>135</v>
      </c>
      <c r="H345" t="s">
        <v>373</v>
      </c>
      <c r="I345" s="61"/>
      <c r="J345" s="62" t="s">
        <v>1055</v>
      </c>
      <c r="K345" s="61"/>
      <c r="L345" s="161"/>
      <c r="M345" s="48"/>
      <c r="N345" s="123"/>
    </row>
    <row r="346" spans="1:14" customFormat="1" x14ac:dyDescent="0.55000000000000004">
      <c r="A346" s="62" t="s">
        <v>1054</v>
      </c>
      <c r="B346" s="61" t="s">
        <v>160</v>
      </c>
      <c r="C346" s="61" t="s">
        <v>560</v>
      </c>
      <c r="D346" t="s">
        <v>3288</v>
      </c>
      <c r="E346" s="120">
        <v>0.5</v>
      </c>
      <c r="F346" s="148" t="s">
        <v>3286</v>
      </c>
      <c r="G346" s="148" t="s">
        <v>135</v>
      </c>
      <c r="H346" t="s">
        <v>39</v>
      </c>
      <c r="I346" s="61"/>
      <c r="J346" s="62" t="s">
        <v>1055</v>
      </c>
      <c r="K346" s="61"/>
      <c r="L346" s="161"/>
      <c r="M346" s="48"/>
      <c r="N346" s="123"/>
    </row>
    <row r="347" spans="1:14" customFormat="1" x14ac:dyDescent="0.55000000000000004">
      <c r="A347" s="62" t="s">
        <v>1052</v>
      </c>
      <c r="B347" t="s">
        <v>134</v>
      </c>
      <c r="C347" s="61" t="s">
        <v>121</v>
      </c>
      <c r="D347" t="s">
        <v>3288</v>
      </c>
      <c r="E347" s="116">
        <v>1</v>
      </c>
      <c r="F347" s="149" t="s">
        <v>135</v>
      </c>
      <c r="G347" s="149">
        <v>1</v>
      </c>
      <c r="H347" t="s">
        <v>39</v>
      </c>
      <c r="J347" s="62" t="s">
        <v>1053</v>
      </c>
      <c r="K347" s="61"/>
      <c r="L347" s="160" t="s">
        <v>241</v>
      </c>
      <c r="M347" s="48"/>
      <c r="N347" s="123"/>
    </row>
    <row r="348" spans="1:14" customFormat="1" x14ac:dyDescent="0.55000000000000004">
      <c r="A348" s="62" t="s">
        <v>1052</v>
      </c>
      <c r="B348" s="61" t="s">
        <v>137</v>
      </c>
      <c r="C348" s="61" t="s">
        <v>127</v>
      </c>
      <c r="D348" t="s">
        <v>2994</v>
      </c>
      <c r="E348" s="120">
        <v>3.3</v>
      </c>
      <c r="F348" s="148" t="s">
        <v>138</v>
      </c>
      <c r="G348" s="148" t="s">
        <v>135</v>
      </c>
      <c r="I348" s="61"/>
      <c r="J348" s="62" t="s">
        <v>1053</v>
      </c>
      <c r="K348" s="61"/>
      <c r="L348" s="161"/>
      <c r="M348" s="48"/>
      <c r="N348" s="123"/>
    </row>
    <row r="349" spans="1:14" customFormat="1" x14ac:dyDescent="0.55000000000000004">
      <c r="A349" s="62" t="s">
        <v>1052</v>
      </c>
      <c r="B349" s="61" t="s">
        <v>160</v>
      </c>
      <c r="C349" s="61" t="s">
        <v>247</v>
      </c>
      <c r="D349" t="s">
        <v>3288</v>
      </c>
      <c r="E349" s="120">
        <v>0.1716</v>
      </c>
      <c r="F349" s="148" t="s">
        <v>3286</v>
      </c>
      <c r="G349" s="148" t="s">
        <v>135</v>
      </c>
      <c r="H349" t="s">
        <v>373</v>
      </c>
      <c r="I349" s="61"/>
      <c r="J349" s="62" t="s">
        <v>1053</v>
      </c>
      <c r="K349" s="61"/>
      <c r="L349" s="161"/>
      <c r="M349" s="48"/>
      <c r="N349" s="123"/>
    </row>
    <row r="350" spans="1:14" customFormat="1" x14ac:dyDescent="0.55000000000000004">
      <c r="A350" s="62" t="s">
        <v>1052</v>
      </c>
      <c r="B350" s="61" t="s">
        <v>160</v>
      </c>
      <c r="C350" t="s">
        <v>156</v>
      </c>
      <c r="D350" t="s">
        <v>3288</v>
      </c>
      <c r="E350" s="116">
        <f>0.55*(E349+E351)</f>
        <v>0.36938000000000004</v>
      </c>
      <c r="F350" s="149" t="s">
        <v>135</v>
      </c>
      <c r="G350" s="149" t="s">
        <v>135</v>
      </c>
      <c r="H350" t="s">
        <v>39</v>
      </c>
      <c r="I350" s="61" t="s">
        <v>2094</v>
      </c>
      <c r="J350" s="62" t="s">
        <v>1053</v>
      </c>
      <c r="K350" s="61"/>
      <c r="L350" s="160"/>
      <c r="M350" s="48"/>
      <c r="N350" s="123"/>
    </row>
    <row r="351" spans="1:14" customFormat="1" x14ac:dyDescent="0.55000000000000004">
      <c r="A351" s="62" t="s">
        <v>1052</v>
      </c>
      <c r="B351" s="61" t="s">
        <v>160</v>
      </c>
      <c r="C351" s="61" t="s">
        <v>560</v>
      </c>
      <c r="D351" t="s">
        <v>3288</v>
      </c>
      <c r="E351" s="120">
        <v>0.5</v>
      </c>
      <c r="F351" s="148" t="s">
        <v>3286</v>
      </c>
      <c r="G351" s="148" t="s">
        <v>135</v>
      </c>
      <c r="H351" t="s">
        <v>39</v>
      </c>
      <c r="I351" s="61"/>
      <c r="J351" s="62" t="s">
        <v>1053</v>
      </c>
      <c r="K351" s="61"/>
      <c r="L351" s="161"/>
      <c r="M351" s="48"/>
      <c r="N351" s="123"/>
    </row>
    <row r="352" spans="1:14" customFormat="1" x14ac:dyDescent="0.55000000000000004">
      <c r="A352" s="62" t="s">
        <v>1050</v>
      </c>
      <c r="B352" t="s">
        <v>134</v>
      </c>
      <c r="C352" s="61" t="s">
        <v>121</v>
      </c>
      <c r="D352" t="s">
        <v>3288</v>
      </c>
      <c r="E352" s="116">
        <v>1</v>
      </c>
      <c r="F352" s="149" t="s">
        <v>135</v>
      </c>
      <c r="G352" s="149">
        <v>1</v>
      </c>
      <c r="H352" t="s">
        <v>39</v>
      </c>
      <c r="J352" s="62" t="s">
        <v>1051</v>
      </c>
      <c r="K352" s="61"/>
      <c r="L352" s="160" t="s">
        <v>241</v>
      </c>
      <c r="M352" s="48"/>
      <c r="N352" s="123"/>
    </row>
    <row r="353" spans="1:14" customFormat="1" x14ac:dyDescent="0.55000000000000004">
      <c r="A353" s="62" t="s">
        <v>1050</v>
      </c>
      <c r="B353" s="61" t="s">
        <v>137</v>
      </c>
      <c r="C353" s="61" t="s">
        <v>127</v>
      </c>
      <c r="D353" t="s">
        <v>2994</v>
      </c>
      <c r="E353" s="120">
        <v>8.1999999999999993</v>
      </c>
      <c r="F353" s="148" t="s">
        <v>138</v>
      </c>
      <c r="G353" s="148" t="s">
        <v>135</v>
      </c>
      <c r="I353" s="61"/>
      <c r="J353" s="62" t="s">
        <v>1051</v>
      </c>
      <c r="K353" s="61"/>
      <c r="L353" s="161"/>
      <c r="M353" s="48"/>
      <c r="N353" s="123"/>
    </row>
    <row r="354" spans="1:14" customFormat="1" x14ac:dyDescent="0.55000000000000004">
      <c r="A354" s="62" t="s">
        <v>1050</v>
      </c>
      <c r="B354" s="61" t="s">
        <v>160</v>
      </c>
      <c r="C354" s="61" t="s">
        <v>247</v>
      </c>
      <c r="D354" t="s">
        <v>3288</v>
      </c>
      <c r="E354" s="120">
        <v>0.4264</v>
      </c>
      <c r="F354" s="148" t="s">
        <v>3286</v>
      </c>
      <c r="G354" s="148" t="s">
        <v>135</v>
      </c>
      <c r="H354" t="s">
        <v>373</v>
      </c>
      <c r="I354" s="61"/>
      <c r="J354" s="62" t="s">
        <v>1051</v>
      </c>
      <c r="K354" s="61"/>
      <c r="L354" s="161"/>
      <c r="M354" s="48"/>
      <c r="N354" s="123"/>
    </row>
    <row r="355" spans="1:14" customFormat="1" x14ac:dyDescent="0.55000000000000004">
      <c r="A355" s="62" t="s">
        <v>1050</v>
      </c>
      <c r="B355" s="61" t="s">
        <v>160</v>
      </c>
      <c r="C355" s="61" t="s">
        <v>560</v>
      </c>
      <c r="D355" t="s">
        <v>3288</v>
      </c>
      <c r="E355" s="120">
        <v>0.5</v>
      </c>
      <c r="F355" s="148" t="s">
        <v>3286</v>
      </c>
      <c r="G355" s="148" t="s">
        <v>135</v>
      </c>
      <c r="H355" t="s">
        <v>39</v>
      </c>
      <c r="I355" s="61"/>
      <c r="J355" s="62" t="s">
        <v>1051</v>
      </c>
      <c r="K355" s="61"/>
      <c r="L355" s="161"/>
      <c r="M355" s="48"/>
      <c r="N355" s="123"/>
    </row>
    <row r="356" spans="1:14" customFormat="1" x14ac:dyDescent="0.55000000000000004">
      <c r="A356" s="62" t="s">
        <v>1050</v>
      </c>
      <c r="B356" s="61" t="s">
        <v>160</v>
      </c>
      <c r="C356" t="s">
        <v>156</v>
      </c>
      <c r="D356" t="s">
        <v>3288</v>
      </c>
      <c r="E356" s="116">
        <f>0.86*(E355+E354)</f>
        <v>0.79670399999999997</v>
      </c>
      <c r="F356" s="149" t="s">
        <v>135</v>
      </c>
      <c r="G356" s="149" t="s">
        <v>135</v>
      </c>
      <c r="H356" t="s">
        <v>39</v>
      </c>
      <c r="I356" s="61" t="s">
        <v>2095</v>
      </c>
      <c r="J356" s="62" t="s">
        <v>1051</v>
      </c>
      <c r="K356" s="61"/>
      <c r="L356" s="160"/>
      <c r="M356" s="48"/>
      <c r="N356" s="123"/>
    </row>
    <row r="357" spans="1:14" customFormat="1" x14ac:dyDescent="0.55000000000000004">
      <c r="A357" s="60" t="s">
        <v>1047</v>
      </c>
      <c r="B357" s="61" t="s">
        <v>140</v>
      </c>
      <c r="C357" s="61" t="s">
        <v>121</v>
      </c>
      <c r="D357" t="s">
        <v>3288</v>
      </c>
      <c r="E357" s="116">
        <v>1</v>
      </c>
      <c r="F357" s="149" t="s">
        <v>135</v>
      </c>
      <c r="G357" s="149">
        <v>1</v>
      </c>
      <c r="H357" t="s">
        <v>39</v>
      </c>
      <c r="I357" s="61"/>
      <c r="J357" s="60" t="s">
        <v>1048</v>
      </c>
      <c r="K357" s="61"/>
      <c r="L357" s="160" t="s">
        <v>1021</v>
      </c>
      <c r="M357" s="48"/>
      <c r="N357" s="123"/>
    </row>
    <row r="358" spans="1:14" customFormat="1" x14ac:dyDescent="0.55000000000000004">
      <c r="A358" s="60" t="s">
        <v>1047</v>
      </c>
      <c r="B358" s="61" t="s">
        <v>137</v>
      </c>
      <c r="C358" s="61" t="s">
        <v>127</v>
      </c>
      <c r="D358" t="s">
        <v>2994</v>
      </c>
      <c r="E358" s="120">
        <v>12</v>
      </c>
      <c r="F358" s="148" t="s">
        <v>138</v>
      </c>
      <c r="G358" s="148" t="s">
        <v>135</v>
      </c>
      <c r="I358" s="61"/>
      <c r="J358" s="60" t="s">
        <v>1049</v>
      </c>
      <c r="K358" s="61"/>
      <c r="L358" s="160"/>
      <c r="M358" s="48"/>
      <c r="N358" s="123"/>
    </row>
    <row r="359" spans="1:14" customFormat="1" x14ac:dyDescent="0.55000000000000004">
      <c r="A359" s="60" t="s">
        <v>1047</v>
      </c>
      <c r="B359" s="61" t="s">
        <v>160</v>
      </c>
      <c r="C359" s="61" t="s">
        <v>247</v>
      </c>
      <c r="D359" t="s">
        <v>3288</v>
      </c>
      <c r="E359" s="120">
        <v>0.624</v>
      </c>
      <c r="F359" s="148" t="s">
        <v>3286</v>
      </c>
      <c r="G359" s="148">
        <v>1</v>
      </c>
      <c r="H359" t="s">
        <v>373</v>
      </c>
      <c r="I359" s="61"/>
      <c r="J359" s="60" t="s">
        <v>1049</v>
      </c>
      <c r="K359" s="61"/>
      <c r="L359" s="160"/>
      <c r="M359" s="48"/>
      <c r="N359" s="123"/>
    </row>
    <row r="360" spans="1:14" customFormat="1" x14ac:dyDescent="0.55000000000000004">
      <c r="A360" s="60" t="s">
        <v>1045</v>
      </c>
      <c r="B360" s="61" t="s">
        <v>140</v>
      </c>
      <c r="C360" s="61" t="s">
        <v>121</v>
      </c>
      <c r="D360" t="s">
        <v>3288</v>
      </c>
      <c r="E360" s="116">
        <v>1</v>
      </c>
      <c r="F360" s="149" t="s">
        <v>135</v>
      </c>
      <c r="G360" s="149">
        <v>1</v>
      </c>
      <c r="H360" t="s">
        <v>39</v>
      </c>
      <c r="I360" s="61"/>
      <c r="J360" s="60" t="s">
        <v>1046</v>
      </c>
      <c r="K360" s="61">
        <v>120</v>
      </c>
      <c r="L360" s="160" t="s">
        <v>1021</v>
      </c>
      <c r="M360" s="48"/>
      <c r="N360" s="123"/>
    </row>
    <row r="361" spans="1:14" customFormat="1" x14ac:dyDescent="0.55000000000000004">
      <c r="A361" s="60" t="s">
        <v>1045</v>
      </c>
      <c r="B361" s="61" t="s">
        <v>137</v>
      </c>
      <c r="C361" s="61" t="s">
        <v>127</v>
      </c>
      <c r="D361" t="s">
        <v>2994</v>
      </c>
      <c r="E361" s="120">
        <v>16</v>
      </c>
      <c r="F361" s="148" t="s">
        <v>138</v>
      </c>
      <c r="G361" s="148" t="s">
        <v>135</v>
      </c>
      <c r="I361" s="61"/>
      <c r="J361" s="60" t="s">
        <v>1046</v>
      </c>
      <c r="K361" s="61"/>
      <c r="L361" s="161"/>
      <c r="M361" s="48"/>
      <c r="N361" s="123"/>
    </row>
    <row r="362" spans="1:14" customFormat="1" x14ac:dyDescent="0.55000000000000004">
      <c r="A362" s="60" t="s">
        <v>1045</v>
      </c>
      <c r="B362" s="61" t="s">
        <v>160</v>
      </c>
      <c r="C362" s="61" t="s">
        <v>247</v>
      </c>
      <c r="D362" t="s">
        <v>3288</v>
      </c>
      <c r="E362" s="120">
        <v>0.83199999999999996</v>
      </c>
      <c r="F362" s="148" t="s">
        <v>3286</v>
      </c>
      <c r="G362" s="148">
        <v>1</v>
      </c>
      <c r="H362" t="s">
        <v>373</v>
      </c>
      <c r="I362" s="61"/>
      <c r="J362" s="60" t="s">
        <v>1046</v>
      </c>
      <c r="K362" s="61"/>
      <c r="L362" s="161"/>
      <c r="M362" s="48"/>
      <c r="N362" s="123"/>
    </row>
    <row r="363" spans="1:14" customFormat="1" x14ac:dyDescent="0.55000000000000004">
      <c r="A363" s="60" t="s">
        <v>1043</v>
      </c>
      <c r="B363" s="61" t="s">
        <v>140</v>
      </c>
      <c r="C363" s="61" t="s">
        <v>121</v>
      </c>
      <c r="D363" t="s">
        <v>3288</v>
      </c>
      <c r="E363" s="116">
        <v>1</v>
      </c>
      <c r="F363" s="149" t="s">
        <v>135</v>
      </c>
      <c r="G363" s="149">
        <v>1</v>
      </c>
      <c r="H363" t="s">
        <v>39</v>
      </c>
      <c r="I363" s="61"/>
      <c r="J363" s="60" t="s">
        <v>1044</v>
      </c>
      <c r="K363" s="61"/>
      <c r="L363" s="160" t="s">
        <v>1021</v>
      </c>
      <c r="M363" s="48"/>
      <c r="N363" s="123"/>
    </row>
    <row r="364" spans="1:14" customFormat="1" x14ac:dyDescent="0.55000000000000004">
      <c r="A364" s="60" t="s">
        <v>1043</v>
      </c>
      <c r="B364" s="61" t="s">
        <v>137</v>
      </c>
      <c r="C364" s="61" t="s">
        <v>127</v>
      </c>
      <c r="D364" t="s">
        <v>2994</v>
      </c>
      <c r="E364" s="120">
        <v>22.2</v>
      </c>
      <c r="F364" s="148" t="s">
        <v>138</v>
      </c>
      <c r="G364" s="148" t="s">
        <v>135</v>
      </c>
      <c r="I364" s="61"/>
      <c r="J364" s="60" t="s">
        <v>1044</v>
      </c>
      <c r="K364" s="61"/>
      <c r="L364" s="161"/>
      <c r="M364" s="48"/>
      <c r="N364" s="123"/>
    </row>
    <row r="365" spans="1:14" customFormat="1" x14ac:dyDescent="0.55000000000000004">
      <c r="A365" s="60" t="s">
        <v>1043</v>
      </c>
      <c r="B365" s="61" t="s">
        <v>160</v>
      </c>
      <c r="C365" s="61" t="s">
        <v>247</v>
      </c>
      <c r="D365" t="s">
        <v>3288</v>
      </c>
      <c r="E365" s="120">
        <v>1.1543999999999999</v>
      </c>
      <c r="F365" s="148" t="s">
        <v>3286</v>
      </c>
      <c r="G365" s="148">
        <v>1</v>
      </c>
      <c r="H365" t="s">
        <v>373</v>
      </c>
      <c r="I365" s="61"/>
      <c r="J365" s="60" t="s">
        <v>1044</v>
      </c>
      <c r="K365" s="61"/>
      <c r="L365" s="161"/>
      <c r="M365" s="48"/>
      <c r="N365" s="123"/>
    </row>
    <row r="366" spans="1:14" customFormat="1" x14ac:dyDescent="0.55000000000000004">
      <c r="A366" s="94" t="s">
        <v>1041</v>
      </c>
      <c r="B366" t="s">
        <v>1037</v>
      </c>
      <c r="C366" t="s">
        <v>121</v>
      </c>
      <c r="D366" t="s">
        <v>2994</v>
      </c>
      <c r="E366" s="116">
        <v>1</v>
      </c>
      <c r="F366" s="149" t="s">
        <v>138</v>
      </c>
      <c r="G366" s="149">
        <v>1</v>
      </c>
      <c r="H366" t="s">
        <v>39</v>
      </c>
      <c r="I366" s="61"/>
      <c r="J366" s="94" t="s">
        <v>1042</v>
      </c>
      <c r="K366" s="61"/>
      <c r="L366" s="160">
        <v>2901.21</v>
      </c>
      <c r="M366" s="48"/>
      <c r="N366" s="123"/>
    </row>
    <row r="367" spans="1:14" customFormat="1" x14ac:dyDescent="0.55000000000000004">
      <c r="A367" s="94" t="s">
        <v>1041</v>
      </c>
      <c r="B367" t="s">
        <v>230</v>
      </c>
      <c r="C367" t="s">
        <v>231</v>
      </c>
      <c r="D367" t="s">
        <v>2994</v>
      </c>
      <c r="E367" s="116">
        <v>1.2737133584509608</v>
      </c>
      <c r="F367" s="149" t="s">
        <v>138</v>
      </c>
      <c r="G367" s="149" t="s">
        <v>138</v>
      </c>
      <c r="H367" t="s">
        <v>39</v>
      </c>
      <c r="I367" s="61"/>
      <c r="J367" s="94" t="s">
        <v>1042</v>
      </c>
      <c r="K367" s="61"/>
      <c r="L367" s="160"/>
      <c r="M367" s="48"/>
      <c r="N367" s="123"/>
    </row>
    <row r="368" spans="1:14" customFormat="1" x14ac:dyDescent="0.55000000000000004">
      <c r="A368" s="94" t="s">
        <v>1041</v>
      </c>
      <c r="B368" t="s">
        <v>208</v>
      </c>
      <c r="C368" t="s">
        <v>127</v>
      </c>
      <c r="D368" t="s">
        <v>2994</v>
      </c>
      <c r="E368" s="116">
        <v>0.43197450340208837</v>
      </c>
      <c r="F368" s="149" t="s">
        <v>138</v>
      </c>
      <c r="G368" s="149" t="s">
        <v>138</v>
      </c>
      <c r="H368" t="s">
        <v>39</v>
      </c>
      <c r="I368" s="61"/>
      <c r="J368" s="94" t="s">
        <v>1042</v>
      </c>
      <c r="K368" s="61"/>
      <c r="L368" s="160"/>
      <c r="M368" s="48"/>
      <c r="N368" s="123"/>
    </row>
    <row r="369" spans="1:14" customFormat="1" x14ac:dyDescent="0.55000000000000004">
      <c r="A369" s="94" t="s">
        <v>1041</v>
      </c>
      <c r="B369" t="s">
        <v>160</v>
      </c>
      <c r="C369" t="s">
        <v>247</v>
      </c>
      <c r="D369" t="s">
        <v>3288</v>
      </c>
      <c r="E369" s="116">
        <v>2.2462674176908597E-2</v>
      </c>
      <c r="F369" s="149" t="s">
        <v>3286</v>
      </c>
      <c r="G369" s="149">
        <v>1</v>
      </c>
      <c r="H369" t="s">
        <v>373</v>
      </c>
      <c r="I369" s="61"/>
      <c r="J369" s="94" t="s">
        <v>1042</v>
      </c>
      <c r="K369" s="61"/>
      <c r="L369" s="160"/>
      <c r="M369" s="48"/>
      <c r="N369" s="123"/>
    </row>
    <row r="370" spans="1:14" customFormat="1" x14ac:dyDescent="0.55000000000000004">
      <c r="A370" s="94" t="s">
        <v>1039</v>
      </c>
      <c r="B370" t="s">
        <v>1037</v>
      </c>
      <c r="C370" t="s">
        <v>121</v>
      </c>
      <c r="D370" t="s">
        <v>2994</v>
      </c>
      <c r="E370" s="116">
        <v>1</v>
      </c>
      <c r="F370" s="149" t="s">
        <v>138</v>
      </c>
      <c r="G370" s="149">
        <v>1</v>
      </c>
      <c r="H370" t="s">
        <v>39</v>
      </c>
      <c r="I370" s="61"/>
      <c r="J370" s="94" t="s">
        <v>1040</v>
      </c>
      <c r="K370" s="61"/>
      <c r="L370" s="160">
        <v>2901.21</v>
      </c>
      <c r="M370" s="48"/>
      <c r="N370" s="123"/>
    </row>
    <row r="371" spans="1:14" customFormat="1" x14ac:dyDescent="0.55000000000000004">
      <c r="A371" s="94" t="s">
        <v>1039</v>
      </c>
      <c r="B371" t="s">
        <v>691</v>
      </c>
      <c r="C371" t="s">
        <v>231</v>
      </c>
      <c r="D371" t="s">
        <v>2994</v>
      </c>
      <c r="E371" s="116">
        <v>1.6666666666666667</v>
      </c>
      <c r="F371" s="149" t="s">
        <v>138</v>
      </c>
      <c r="G371" s="149" t="s">
        <v>138</v>
      </c>
      <c r="H371" t="s">
        <v>39</v>
      </c>
      <c r="I371" s="61"/>
      <c r="J371" s="94" t="s">
        <v>1040</v>
      </c>
      <c r="K371" s="61"/>
      <c r="L371" s="160"/>
      <c r="M371" s="48"/>
      <c r="N371" s="123"/>
    </row>
    <row r="372" spans="1:14" customFormat="1" x14ac:dyDescent="0.55000000000000004">
      <c r="A372" s="94" t="s">
        <v>1039</v>
      </c>
      <c r="B372" t="s">
        <v>208</v>
      </c>
      <c r="C372" t="s">
        <v>127</v>
      </c>
      <c r="D372" t="s">
        <v>2994</v>
      </c>
      <c r="E372" s="116">
        <v>0.44444966666666663</v>
      </c>
      <c r="F372" s="149" t="s">
        <v>138</v>
      </c>
      <c r="G372" s="149" t="s">
        <v>138</v>
      </c>
      <c r="H372" t="s">
        <v>39</v>
      </c>
      <c r="I372" s="61"/>
      <c r="J372" s="94" t="s">
        <v>1040</v>
      </c>
      <c r="K372" s="61"/>
      <c r="L372" s="160"/>
      <c r="M372" s="48"/>
      <c r="N372" s="123"/>
    </row>
    <row r="373" spans="1:14" customFormat="1" x14ac:dyDescent="0.55000000000000004">
      <c r="A373" s="94" t="s">
        <v>1039</v>
      </c>
      <c r="B373" t="s">
        <v>160</v>
      </c>
      <c r="C373" t="s">
        <v>247</v>
      </c>
      <c r="D373" t="s">
        <v>3288</v>
      </c>
      <c r="E373" s="116">
        <v>2.3111382666666663E-2</v>
      </c>
      <c r="F373" s="149" t="s">
        <v>3286</v>
      </c>
      <c r="G373" s="149">
        <v>1</v>
      </c>
      <c r="H373" t="s">
        <v>373</v>
      </c>
      <c r="I373" s="61"/>
      <c r="J373" s="94" t="s">
        <v>1040</v>
      </c>
      <c r="K373" s="61"/>
      <c r="L373" s="160"/>
      <c r="M373" s="48"/>
      <c r="N373" s="123"/>
    </row>
    <row r="374" spans="1:14" customFormat="1" x14ac:dyDescent="0.55000000000000004">
      <c r="A374" s="94" t="s">
        <v>1036</v>
      </c>
      <c r="B374" t="s">
        <v>1037</v>
      </c>
      <c r="C374" t="s">
        <v>121</v>
      </c>
      <c r="D374" t="s">
        <v>2994</v>
      </c>
      <c r="E374" s="116">
        <v>1</v>
      </c>
      <c r="F374" s="149" t="s">
        <v>138</v>
      </c>
      <c r="G374" s="149">
        <v>1</v>
      </c>
      <c r="H374" t="s">
        <v>39</v>
      </c>
      <c r="I374" s="61"/>
      <c r="J374" s="94" t="s">
        <v>1038</v>
      </c>
      <c r="K374" s="61"/>
      <c r="L374" s="160">
        <v>2901.21</v>
      </c>
      <c r="M374" s="48"/>
      <c r="N374" s="123"/>
    </row>
    <row r="375" spans="1:14" customFormat="1" x14ac:dyDescent="0.55000000000000004">
      <c r="A375" s="94" t="s">
        <v>1036</v>
      </c>
      <c r="B375" t="s">
        <v>691</v>
      </c>
      <c r="C375" t="s">
        <v>231</v>
      </c>
      <c r="D375" t="s">
        <v>2994</v>
      </c>
      <c r="E375" s="116">
        <v>3.1746031746031744</v>
      </c>
      <c r="F375" s="149" t="s">
        <v>138</v>
      </c>
      <c r="G375" s="149" t="s">
        <v>138</v>
      </c>
      <c r="H375" t="s">
        <v>39</v>
      </c>
      <c r="I375" s="61"/>
      <c r="J375" s="94" t="s">
        <v>1038</v>
      </c>
      <c r="K375" s="61"/>
      <c r="L375" s="160"/>
      <c r="M375" s="48"/>
      <c r="N375" s="123"/>
    </row>
    <row r="376" spans="1:14" customFormat="1" x14ac:dyDescent="0.55000000000000004">
      <c r="A376" s="94" t="s">
        <v>1036</v>
      </c>
      <c r="B376" t="s">
        <v>208</v>
      </c>
      <c r="C376" t="s">
        <v>127</v>
      </c>
      <c r="D376" t="s">
        <v>2994</v>
      </c>
      <c r="E376" s="116">
        <v>0.38730442857142855</v>
      </c>
      <c r="F376" s="149" t="s">
        <v>138</v>
      </c>
      <c r="G376" s="149" t="s">
        <v>138</v>
      </c>
      <c r="H376" t="s">
        <v>39</v>
      </c>
      <c r="I376" s="61"/>
      <c r="J376" s="94" t="s">
        <v>1038</v>
      </c>
      <c r="K376" s="61"/>
      <c r="L376" s="160"/>
      <c r="M376" s="48"/>
      <c r="N376" s="123"/>
    </row>
    <row r="377" spans="1:14" customFormat="1" x14ac:dyDescent="0.55000000000000004">
      <c r="A377" s="94" t="s">
        <v>1036</v>
      </c>
      <c r="B377" t="s">
        <v>160</v>
      </c>
      <c r="C377" t="s">
        <v>247</v>
      </c>
      <c r="D377" t="s">
        <v>3288</v>
      </c>
      <c r="E377" s="116">
        <v>2.0139830285714286E-2</v>
      </c>
      <c r="F377" s="149" t="s">
        <v>3286</v>
      </c>
      <c r="G377" s="149">
        <v>1</v>
      </c>
      <c r="H377" t="s">
        <v>373</v>
      </c>
      <c r="I377" s="61"/>
      <c r="J377" s="94" t="s">
        <v>1038</v>
      </c>
      <c r="K377" s="61"/>
      <c r="L377" s="160"/>
      <c r="M377" s="48"/>
      <c r="N377" s="123"/>
    </row>
    <row r="378" spans="1:14" customFormat="1" x14ac:dyDescent="0.55000000000000004">
      <c r="A378" s="60" t="s">
        <v>1034</v>
      </c>
      <c r="B378" s="61" t="s">
        <v>140</v>
      </c>
      <c r="C378" s="61" t="s">
        <v>121</v>
      </c>
      <c r="D378" t="s">
        <v>3288</v>
      </c>
      <c r="E378" s="116">
        <v>1</v>
      </c>
      <c r="F378" s="149" t="s">
        <v>135</v>
      </c>
      <c r="G378" s="149">
        <v>1</v>
      </c>
      <c r="H378" t="s">
        <v>39</v>
      </c>
      <c r="I378" s="61"/>
      <c r="J378" s="60" t="s">
        <v>1035</v>
      </c>
      <c r="K378" s="61"/>
      <c r="L378" s="160" t="s">
        <v>1021</v>
      </c>
      <c r="M378" s="48"/>
      <c r="N378" s="123"/>
    </row>
    <row r="379" spans="1:14" customFormat="1" x14ac:dyDescent="0.55000000000000004">
      <c r="A379" s="60" t="s">
        <v>1034</v>
      </c>
      <c r="B379" s="61" t="s">
        <v>137</v>
      </c>
      <c r="C379" s="61" t="s">
        <v>127</v>
      </c>
      <c r="D379" t="s">
        <v>2994</v>
      </c>
      <c r="E379" s="117">
        <v>20.3</v>
      </c>
      <c r="F379" s="148" t="s">
        <v>138</v>
      </c>
      <c r="G379" s="148" t="s">
        <v>135</v>
      </c>
      <c r="I379" s="61"/>
      <c r="J379" s="60" t="s">
        <v>1035</v>
      </c>
      <c r="K379" s="61"/>
      <c r="L379" s="161"/>
      <c r="M379" s="48"/>
      <c r="N379" s="123"/>
    </row>
    <row r="380" spans="1:14" customFormat="1" x14ac:dyDescent="0.55000000000000004">
      <c r="A380" s="60" t="s">
        <v>1034</v>
      </c>
      <c r="B380" s="61" t="s">
        <v>160</v>
      </c>
      <c r="C380" s="61" t="s">
        <v>247</v>
      </c>
      <c r="D380" t="s">
        <v>3288</v>
      </c>
      <c r="E380" s="117">
        <v>1.0556000000000001</v>
      </c>
      <c r="F380" s="148" t="s">
        <v>3286</v>
      </c>
      <c r="G380" s="148">
        <v>1</v>
      </c>
      <c r="H380" t="s">
        <v>373</v>
      </c>
      <c r="I380" s="61"/>
      <c r="J380" s="60" t="s">
        <v>1035</v>
      </c>
      <c r="K380" s="61"/>
      <c r="L380" s="161"/>
      <c r="M380" s="48"/>
      <c r="N380" s="123"/>
    </row>
    <row r="381" spans="1:14" customFormat="1" x14ac:dyDescent="0.55000000000000004">
      <c r="A381" s="60" t="s">
        <v>1032</v>
      </c>
      <c r="B381" s="61" t="s">
        <v>140</v>
      </c>
      <c r="C381" s="61" t="s">
        <v>121</v>
      </c>
      <c r="D381" t="s">
        <v>3288</v>
      </c>
      <c r="E381" s="116">
        <v>1</v>
      </c>
      <c r="F381" s="149" t="s">
        <v>135</v>
      </c>
      <c r="G381" s="149">
        <v>1</v>
      </c>
      <c r="H381" t="s">
        <v>39</v>
      </c>
      <c r="I381" s="61"/>
      <c r="J381" s="60" t="s">
        <v>1033</v>
      </c>
      <c r="K381" s="61"/>
      <c r="L381" s="160" t="s">
        <v>1021</v>
      </c>
      <c r="M381" s="48"/>
      <c r="N381" s="123"/>
    </row>
    <row r="382" spans="1:14" customFormat="1" x14ac:dyDescent="0.55000000000000004">
      <c r="A382" s="60" t="s">
        <v>1032</v>
      </c>
      <c r="B382" s="61" t="s">
        <v>137</v>
      </c>
      <c r="C382" s="61" t="s">
        <v>127</v>
      </c>
      <c r="D382" t="s">
        <v>2994</v>
      </c>
      <c r="E382" s="117">
        <v>20.3</v>
      </c>
      <c r="F382" s="148" t="s">
        <v>138</v>
      </c>
      <c r="G382" s="148" t="s">
        <v>135</v>
      </c>
      <c r="I382" s="61"/>
      <c r="J382" s="60" t="s">
        <v>1033</v>
      </c>
      <c r="K382" s="61"/>
      <c r="L382" s="161"/>
      <c r="M382" s="48"/>
      <c r="N382" s="123"/>
    </row>
    <row r="383" spans="1:14" customFormat="1" x14ac:dyDescent="0.55000000000000004">
      <c r="A383" s="60" t="s">
        <v>1032</v>
      </c>
      <c r="B383" s="61" t="s">
        <v>160</v>
      </c>
      <c r="C383" s="61" t="s">
        <v>247</v>
      </c>
      <c r="D383" t="s">
        <v>3288</v>
      </c>
      <c r="E383" s="117">
        <v>1.0556000000000001</v>
      </c>
      <c r="F383" s="148" t="s">
        <v>3286</v>
      </c>
      <c r="G383" s="148">
        <v>1</v>
      </c>
      <c r="H383" t="s">
        <v>373</v>
      </c>
      <c r="I383" s="61"/>
      <c r="J383" s="60" t="s">
        <v>1033</v>
      </c>
      <c r="K383" s="61"/>
      <c r="L383" s="161"/>
      <c r="M383" s="48"/>
      <c r="N383" s="123"/>
    </row>
    <row r="384" spans="1:14" customFormat="1" x14ac:dyDescent="0.55000000000000004">
      <c r="A384" s="60" t="s">
        <v>1032</v>
      </c>
      <c r="B384" s="61" t="s">
        <v>160</v>
      </c>
      <c r="C384" t="s">
        <v>156</v>
      </c>
      <c r="D384" t="s">
        <v>3288</v>
      </c>
      <c r="E384" s="116">
        <f>E383*0.8</f>
        <v>0.84448000000000012</v>
      </c>
      <c r="F384" s="149" t="s">
        <v>135</v>
      </c>
      <c r="G384" s="149" t="s">
        <v>135</v>
      </c>
      <c r="H384" t="s">
        <v>39</v>
      </c>
      <c r="I384" s="61" t="s">
        <v>2096</v>
      </c>
      <c r="J384" s="60" t="s">
        <v>1033</v>
      </c>
      <c r="K384" s="61"/>
      <c r="L384" s="160"/>
      <c r="M384" s="48"/>
      <c r="N384" s="123"/>
    </row>
    <row r="385" spans="1:14" customFormat="1" x14ac:dyDescent="0.55000000000000004">
      <c r="A385" s="62" t="s">
        <v>1030</v>
      </c>
      <c r="B385" t="s">
        <v>134</v>
      </c>
      <c r="C385" s="61" t="s">
        <v>121</v>
      </c>
      <c r="D385" t="s">
        <v>3288</v>
      </c>
      <c r="E385" s="116">
        <v>1</v>
      </c>
      <c r="F385" s="149" t="s">
        <v>135</v>
      </c>
      <c r="G385" s="149">
        <v>1</v>
      </c>
      <c r="H385" t="s">
        <v>39</v>
      </c>
      <c r="I385" s="61"/>
      <c r="J385" s="62" t="s">
        <v>1031</v>
      </c>
      <c r="K385" s="61"/>
      <c r="L385" s="160" t="s">
        <v>241</v>
      </c>
      <c r="M385" s="48"/>
      <c r="N385" s="123"/>
    </row>
    <row r="386" spans="1:14" customFormat="1" x14ac:dyDescent="0.55000000000000004">
      <c r="A386" s="62" t="s">
        <v>1030</v>
      </c>
      <c r="B386" s="61" t="s">
        <v>141</v>
      </c>
      <c r="C386" s="61" t="s">
        <v>127</v>
      </c>
      <c r="D386" t="s">
        <v>2994</v>
      </c>
      <c r="E386" s="120">
        <v>3.9</v>
      </c>
      <c r="F386" s="148" t="s">
        <v>138</v>
      </c>
      <c r="G386" s="148" t="s">
        <v>135</v>
      </c>
      <c r="I386" s="61"/>
      <c r="J386" s="62" t="s">
        <v>1031</v>
      </c>
      <c r="K386" s="61"/>
      <c r="L386" s="161"/>
      <c r="M386" s="48"/>
      <c r="N386" s="123"/>
    </row>
    <row r="387" spans="1:14" customFormat="1" x14ac:dyDescent="0.55000000000000004">
      <c r="A387" s="62" t="s">
        <v>1030</v>
      </c>
      <c r="B387" s="61" t="s">
        <v>160</v>
      </c>
      <c r="C387" s="61" t="s">
        <v>247</v>
      </c>
      <c r="D387" t="s">
        <v>3288</v>
      </c>
      <c r="E387" s="120">
        <v>0.20279999999999998</v>
      </c>
      <c r="F387" s="148" t="s">
        <v>3286</v>
      </c>
      <c r="G387" s="148">
        <v>1</v>
      </c>
      <c r="H387" t="s">
        <v>373</v>
      </c>
      <c r="I387" s="61"/>
      <c r="J387" s="62" t="s">
        <v>1031</v>
      </c>
      <c r="K387" s="61"/>
      <c r="L387" s="161"/>
      <c r="M387" s="48"/>
      <c r="N387" s="123"/>
    </row>
    <row r="388" spans="1:14" customFormat="1" x14ac:dyDescent="0.55000000000000004">
      <c r="A388" s="62" t="s">
        <v>1030</v>
      </c>
      <c r="B388" s="61" t="s">
        <v>160</v>
      </c>
      <c r="C388" s="61" t="s">
        <v>560</v>
      </c>
      <c r="D388" t="s">
        <v>3288</v>
      </c>
      <c r="E388" s="120">
        <v>0.5</v>
      </c>
      <c r="F388" s="148" t="s">
        <v>3286</v>
      </c>
      <c r="G388" s="148">
        <v>1</v>
      </c>
      <c r="H388" t="s">
        <v>39</v>
      </c>
      <c r="I388" s="61"/>
      <c r="J388" s="62" t="s">
        <v>1031</v>
      </c>
      <c r="K388" s="61"/>
      <c r="L388" s="161"/>
      <c r="M388" s="48"/>
      <c r="N388" s="123"/>
    </row>
    <row r="389" spans="1:14" customFormat="1" x14ac:dyDescent="0.55000000000000004">
      <c r="A389" s="60" t="s">
        <v>1028</v>
      </c>
      <c r="B389" s="61" t="s">
        <v>582</v>
      </c>
      <c r="C389" s="61" t="s">
        <v>121</v>
      </c>
      <c r="D389" t="s">
        <v>3288</v>
      </c>
      <c r="E389" s="116">
        <v>1</v>
      </c>
      <c r="F389" s="149" t="s">
        <v>135</v>
      </c>
      <c r="G389" s="149">
        <v>1</v>
      </c>
      <c r="H389" t="s">
        <v>39</v>
      </c>
      <c r="I389" s="61"/>
      <c r="J389" s="60" t="s">
        <v>1029</v>
      </c>
      <c r="K389" s="61"/>
      <c r="L389" s="160" t="s">
        <v>1021</v>
      </c>
      <c r="M389" s="48"/>
      <c r="N389" s="123"/>
    </row>
    <row r="390" spans="1:14" customFormat="1" x14ac:dyDescent="0.55000000000000004">
      <c r="A390" s="60" t="s">
        <v>1028</v>
      </c>
      <c r="B390" s="61" t="s">
        <v>137</v>
      </c>
      <c r="C390" s="61" t="s">
        <v>127</v>
      </c>
      <c r="D390" t="s">
        <v>2994</v>
      </c>
      <c r="E390" s="121">
        <v>8</v>
      </c>
      <c r="F390" s="148" t="s">
        <v>138</v>
      </c>
      <c r="G390" s="148" t="s">
        <v>135</v>
      </c>
      <c r="I390" s="61"/>
      <c r="J390" s="60" t="s">
        <v>1029</v>
      </c>
      <c r="K390" s="61"/>
      <c r="L390" s="160"/>
      <c r="M390" s="48"/>
      <c r="N390" s="123"/>
    </row>
    <row r="391" spans="1:14" customFormat="1" x14ac:dyDescent="0.55000000000000004">
      <c r="A391" s="60" t="s">
        <v>1028</v>
      </c>
      <c r="B391" s="61" t="s">
        <v>160</v>
      </c>
      <c r="C391" s="61" t="s">
        <v>247</v>
      </c>
      <c r="D391" t="s">
        <v>3288</v>
      </c>
      <c r="E391" s="121">
        <v>0.41599999999999998</v>
      </c>
      <c r="F391" s="148" t="s">
        <v>3286</v>
      </c>
      <c r="G391" s="148">
        <v>1</v>
      </c>
      <c r="H391" t="s">
        <v>373</v>
      </c>
      <c r="I391" s="61"/>
      <c r="J391" s="60" t="s">
        <v>1029</v>
      </c>
      <c r="K391" s="61"/>
      <c r="L391" s="160"/>
      <c r="M391" s="48"/>
      <c r="N391" s="123"/>
    </row>
    <row r="392" spans="1:14" customFormat="1" x14ac:dyDescent="0.55000000000000004">
      <c r="A392" s="60" t="s">
        <v>1026</v>
      </c>
      <c r="B392" s="61" t="s">
        <v>140</v>
      </c>
      <c r="C392" s="61" t="s">
        <v>121</v>
      </c>
      <c r="D392" t="s">
        <v>3288</v>
      </c>
      <c r="E392" s="116">
        <v>1</v>
      </c>
      <c r="F392" s="149" t="s">
        <v>135</v>
      </c>
      <c r="G392" s="149">
        <v>1</v>
      </c>
      <c r="H392" t="s">
        <v>39</v>
      </c>
      <c r="I392" s="61"/>
      <c r="J392" s="60" t="s">
        <v>1027</v>
      </c>
      <c r="K392" s="61"/>
      <c r="L392" s="160" t="s">
        <v>1021</v>
      </c>
      <c r="M392" s="48"/>
      <c r="N392" s="123"/>
    </row>
    <row r="393" spans="1:14" customFormat="1" x14ac:dyDescent="0.55000000000000004">
      <c r="A393" s="60" t="s">
        <v>1026</v>
      </c>
      <c r="B393" s="61" t="s">
        <v>137</v>
      </c>
      <c r="C393" s="61" t="s">
        <v>127</v>
      </c>
      <c r="D393" t="s">
        <v>2994</v>
      </c>
      <c r="E393" s="117">
        <v>19.3</v>
      </c>
      <c r="F393" s="148" t="s">
        <v>138</v>
      </c>
      <c r="G393" s="148" t="s">
        <v>135</v>
      </c>
      <c r="I393" s="61"/>
      <c r="J393" s="60" t="s">
        <v>1027</v>
      </c>
      <c r="K393" s="61"/>
      <c r="L393" s="161"/>
      <c r="M393" s="48"/>
      <c r="N393" s="123"/>
    </row>
    <row r="394" spans="1:14" customFormat="1" x14ac:dyDescent="0.55000000000000004">
      <c r="A394" s="60" t="s">
        <v>1026</v>
      </c>
      <c r="B394" s="61" t="s">
        <v>160</v>
      </c>
      <c r="C394" s="61" t="s">
        <v>247</v>
      </c>
      <c r="D394" t="s">
        <v>3288</v>
      </c>
      <c r="E394" s="117">
        <v>1.0036</v>
      </c>
      <c r="F394" s="148" t="s">
        <v>3286</v>
      </c>
      <c r="G394" s="148">
        <v>1</v>
      </c>
      <c r="H394" t="s">
        <v>373</v>
      </c>
      <c r="I394" s="61"/>
      <c r="J394" s="60" t="s">
        <v>1027</v>
      </c>
      <c r="K394" s="61"/>
      <c r="L394" s="161"/>
      <c r="M394" s="48"/>
      <c r="N394" s="123"/>
    </row>
    <row r="395" spans="1:14" customFormat="1" x14ac:dyDescent="0.55000000000000004">
      <c r="A395" s="60" t="s">
        <v>1024</v>
      </c>
      <c r="B395" s="61" t="s">
        <v>140</v>
      </c>
      <c r="C395" s="61" t="s">
        <v>121</v>
      </c>
      <c r="D395" t="s">
        <v>3288</v>
      </c>
      <c r="E395" s="116">
        <v>1</v>
      </c>
      <c r="F395" s="149" t="s">
        <v>135</v>
      </c>
      <c r="G395" s="149">
        <v>1</v>
      </c>
      <c r="H395" t="s">
        <v>39</v>
      </c>
      <c r="I395" s="61"/>
      <c r="J395" s="60" t="s">
        <v>1025</v>
      </c>
      <c r="K395" s="61"/>
      <c r="L395" s="160" t="s">
        <v>1021</v>
      </c>
      <c r="M395" s="48"/>
      <c r="N395" s="123"/>
    </row>
    <row r="396" spans="1:14" customFormat="1" x14ac:dyDescent="0.55000000000000004">
      <c r="A396" s="60" t="s">
        <v>1024</v>
      </c>
      <c r="B396" s="61" t="s">
        <v>137</v>
      </c>
      <c r="C396" s="61" t="s">
        <v>127</v>
      </c>
      <c r="D396" t="s">
        <v>2994</v>
      </c>
      <c r="E396" s="120">
        <v>10.15</v>
      </c>
      <c r="F396" s="148" t="s">
        <v>138</v>
      </c>
      <c r="G396" s="148" t="s">
        <v>135</v>
      </c>
      <c r="I396" s="61"/>
      <c r="J396" s="60" t="s">
        <v>1025</v>
      </c>
      <c r="K396" s="61"/>
      <c r="L396" s="161"/>
      <c r="M396" s="48"/>
      <c r="N396" s="123"/>
    </row>
    <row r="397" spans="1:14" customFormat="1" x14ac:dyDescent="0.55000000000000004">
      <c r="A397" s="60" t="s">
        <v>1024</v>
      </c>
      <c r="B397" s="61" t="s">
        <v>160</v>
      </c>
      <c r="C397" s="61" t="s">
        <v>247</v>
      </c>
      <c r="D397" t="s">
        <v>3288</v>
      </c>
      <c r="E397" s="120">
        <v>0.52780000000000005</v>
      </c>
      <c r="F397" s="148" t="s">
        <v>3286</v>
      </c>
      <c r="G397" s="148">
        <v>1</v>
      </c>
      <c r="H397" t="s">
        <v>373</v>
      </c>
      <c r="I397" s="61"/>
      <c r="J397" s="60" t="s">
        <v>1025</v>
      </c>
      <c r="K397" s="61"/>
      <c r="L397" s="161"/>
      <c r="M397" s="48"/>
      <c r="N397" s="123"/>
    </row>
    <row r="398" spans="1:14" customFormat="1" x14ac:dyDescent="0.55000000000000004">
      <c r="A398" s="60" t="s">
        <v>1020</v>
      </c>
      <c r="B398" s="61" t="s">
        <v>140</v>
      </c>
      <c r="C398" s="61" t="s">
        <v>121</v>
      </c>
      <c r="D398" t="s">
        <v>3288</v>
      </c>
      <c r="E398" s="116">
        <v>1</v>
      </c>
      <c r="F398" s="149" t="s">
        <v>135</v>
      </c>
      <c r="G398" s="149">
        <v>1</v>
      </c>
      <c r="H398" t="s">
        <v>39</v>
      </c>
      <c r="I398" s="61"/>
      <c r="J398" s="60" t="s">
        <v>1022</v>
      </c>
      <c r="K398" s="61"/>
      <c r="L398" s="160" t="s">
        <v>1021</v>
      </c>
      <c r="M398" s="48"/>
      <c r="N398" s="123"/>
    </row>
    <row r="399" spans="1:14" customFormat="1" x14ac:dyDescent="0.55000000000000004">
      <c r="A399" s="60" t="s">
        <v>1020</v>
      </c>
      <c r="B399" s="61" t="s">
        <v>137</v>
      </c>
      <c r="C399" s="61" t="s">
        <v>127</v>
      </c>
      <c r="D399" t="s">
        <v>2994</v>
      </c>
      <c r="E399" s="120">
        <v>10.15</v>
      </c>
      <c r="F399" s="148" t="s">
        <v>138</v>
      </c>
      <c r="G399" s="148" t="s">
        <v>135</v>
      </c>
      <c r="I399" s="61"/>
      <c r="J399" s="60" t="s">
        <v>1022</v>
      </c>
      <c r="K399" s="61"/>
      <c r="L399" s="161"/>
      <c r="M399" s="48"/>
      <c r="N399" s="123"/>
    </row>
    <row r="400" spans="1:14" customFormat="1" x14ac:dyDescent="0.55000000000000004">
      <c r="A400" s="60" t="s">
        <v>1020</v>
      </c>
      <c r="B400" s="61" t="s">
        <v>160</v>
      </c>
      <c r="C400" s="61" t="s">
        <v>247</v>
      </c>
      <c r="D400" t="s">
        <v>3288</v>
      </c>
      <c r="E400" s="120">
        <v>0.52780000000000005</v>
      </c>
      <c r="F400" s="148" t="s">
        <v>3286</v>
      </c>
      <c r="G400" s="148">
        <v>1</v>
      </c>
      <c r="H400" t="s">
        <v>373</v>
      </c>
      <c r="I400" s="61"/>
      <c r="J400" s="60" t="s">
        <v>1022</v>
      </c>
      <c r="K400" s="61"/>
      <c r="L400" s="161"/>
      <c r="M400" s="48"/>
      <c r="N400" s="123"/>
    </row>
    <row r="401" spans="1:14" customFormat="1" x14ac:dyDescent="0.55000000000000004">
      <c r="A401" s="60" t="s">
        <v>1020</v>
      </c>
      <c r="B401" s="61" t="s">
        <v>160</v>
      </c>
      <c r="C401" t="s">
        <v>156</v>
      </c>
      <c r="D401" t="s">
        <v>3288</v>
      </c>
      <c r="E401" s="116">
        <f>E400*0.8</f>
        <v>0.42224000000000006</v>
      </c>
      <c r="F401" s="149" t="s">
        <v>135</v>
      </c>
      <c r="G401" s="149" t="s">
        <v>135</v>
      </c>
      <c r="H401" t="s">
        <v>39</v>
      </c>
      <c r="I401" s="61" t="s">
        <v>2096</v>
      </c>
      <c r="J401" s="60" t="s">
        <v>1022</v>
      </c>
      <c r="K401" s="61"/>
      <c r="L401" s="160"/>
      <c r="M401" s="48"/>
      <c r="N401" s="123"/>
    </row>
    <row r="402" spans="1:14" customFormat="1" x14ac:dyDescent="0.55000000000000004">
      <c r="A402" s="95" t="s">
        <v>1019</v>
      </c>
      <c r="B402" t="s">
        <v>606</v>
      </c>
      <c r="C402" t="s">
        <v>121</v>
      </c>
      <c r="D402" t="s">
        <v>3288</v>
      </c>
      <c r="E402" s="116">
        <v>1</v>
      </c>
      <c r="F402" s="149" t="s">
        <v>135</v>
      </c>
      <c r="G402" s="149">
        <v>1</v>
      </c>
      <c r="H402" t="s">
        <v>39</v>
      </c>
      <c r="I402" s="61"/>
      <c r="J402" t="str">
        <f t="shared" ref="J402:J409" si="0">A402</f>
        <v>[LBNL] Kraft IPP</v>
      </c>
      <c r="K402" s="61"/>
      <c r="L402" s="160"/>
      <c r="M402" s="48"/>
      <c r="N402" s="123"/>
    </row>
    <row r="403" spans="1:14" customFormat="1" x14ac:dyDescent="0.55000000000000004">
      <c r="A403" s="95" t="s">
        <v>1019</v>
      </c>
      <c r="B403" t="s">
        <v>171</v>
      </c>
      <c r="C403" t="s">
        <v>127</v>
      </c>
      <c r="D403" t="s">
        <v>2994</v>
      </c>
      <c r="E403" s="116">
        <f>2.2+10.9</f>
        <v>13.100000000000001</v>
      </c>
      <c r="F403" s="149" t="s">
        <v>138</v>
      </c>
      <c r="G403" s="149" t="s">
        <v>135</v>
      </c>
      <c r="H403" t="s">
        <v>39</v>
      </c>
      <c r="I403" t="s">
        <v>942</v>
      </c>
      <c r="J403" t="str">
        <f t="shared" si="0"/>
        <v>[LBNL] Kraft IPP</v>
      </c>
      <c r="K403">
        <v>91</v>
      </c>
      <c r="L403" s="160"/>
      <c r="M403" s="48"/>
      <c r="N403" s="123"/>
    </row>
    <row r="404" spans="1:14" customFormat="1" x14ac:dyDescent="0.55000000000000004">
      <c r="A404" s="95" t="s">
        <v>1019</v>
      </c>
      <c r="B404" t="s">
        <v>153</v>
      </c>
      <c r="C404" t="s">
        <v>127</v>
      </c>
      <c r="D404" t="s">
        <v>2994</v>
      </c>
      <c r="E404" s="116">
        <v>3.56</v>
      </c>
      <c r="F404" s="149" t="s">
        <v>138</v>
      </c>
      <c r="G404" s="149" t="s">
        <v>135</v>
      </c>
      <c r="H404" t="s">
        <v>39</v>
      </c>
      <c r="J404" t="str">
        <f t="shared" si="0"/>
        <v>[LBNL] Kraft IPP</v>
      </c>
      <c r="K404">
        <v>91</v>
      </c>
      <c r="L404" s="160"/>
      <c r="M404" s="48"/>
      <c r="N404" s="123"/>
    </row>
    <row r="405" spans="1:14" customFormat="1" x14ac:dyDescent="0.55000000000000004">
      <c r="A405" s="95" t="s">
        <v>1019</v>
      </c>
      <c r="B405" s="68" t="s">
        <v>160</v>
      </c>
      <c r="C405" t="s">
        <v>247</v>
      </c>
      <c r="D405" s="68" t="s">
        <v>3288</v>
      </c>
      <c r="E405" s="119">
        <v>0.73491000000000006</v>
      </c>
      <c r="F405" s="151" t="s">
        <v>135</v>
      </c>
      <c r="G405" s="151" t="s">
        <v>135</v>
      </c>
      <c r="H405" s="68" t="s">
        <v>376</v>
      </c>
      <c r="J405" s="74" t="str">
        <f t="shared" si="0"/>
        <v>[LBNL] Kraft IPP</v>
      </c>
      <c r="L405" s="163"/>
      <c r="M405" s="48"/>
      <c r="N405" s="123"/>
    </row>
    <row r="406" spans="1:14" customFormat="1" x14ac:dyDescent="0.55000000000000004">
      <c r="A406" s="95" t="s">
        <v>1018</v>
      </c>
      <c r="B406" t="s">
        <v>606</v>
      </c>
      <c r="C406" t="s">
        <v>121</v>
      </c>
      <c r="D406" t="s">
        <v>3288</v>
      </c>
      <c r="E406" s="116">
        <v>1</v>
      </c>
      <c r="F406" s="149" t="s">
        <v>135</v>
      </c>
      <c r="G406" s="149">
        <v>1</v>
      </c>
      <c r="H406" t="s">
        <v>39</v>
      </c>
      <c r="I406" s="61"/>
      <c r="J406" t="str">
        <f t="shared" si="0"/>
        <v>[LBNL] Kraft IPP + Heat pump</v>
      </c>
      <c r="K406" s="61"/>
      <c r="L406" s="160"/>
      <c r="M406" s="48"/>
      <c r="N406" s="123"/>
    </row>
    <row r="407" spans="1:14" customFormat="1" x14ac:dyDescent="0.55000000000000004">
      <c r="A407" s="95" t="s">
        <v>1018</v>
      </c>
      <c r="B407" t="s">
        <v>171</v>
      </c>
      <c r="C407" t="s">
        <v>127</v>
      </c>
      <c r="D407" t="s">
        <v>2994</v>
      </c>
      <c r="E407" s="116">
        <v>2.2000000000000002</v>
      </c>
      <c r="F407" s="149" t="s">
        <v>138</v>
      </c>
      <c r="G407" s="149" t="s">
        <v>135</v>
      </c>
      <c r="H407" t="s">
        <v>39</v>
      </c>
      <c r="I407" t="s">
        <v>942</v>
      </c>
      <c r="J407" t="str">
        <f t="shared" si="0"/>
        <v>[LBNL] Kraft IPP + Heat pump</v>
      </c>
      <c r="K407">
        <v>91</v>
      </c>
      <c r="L407" s="160"/>
      <c r="M407" s="48"/>
      <c r="N407" s="123"/>
    </row>
    <row r="408" spans="1:14" customFormat="1" x14ac:dyDescent="0.55000000000000004">
      <c r="A408" s="95" t="s">
        <v>1018</v>
      </c>
      <c r="B408" t="s">
        <v>153</v>
      </c>
      <c r="C408" t="s">
        <v>127</v>
      </c>
      <c r="D408" t="s">
        <v>2994</v>
      </c>
      <c r="E408" s="116">
        <f>3.56+4.51</f>
        <v>8.07</v>
      </c>
      <c r="F408" s="149" t="s">
        <v>138</v>
      </c>
      <c r="G408" s="149" t="s">
        <v>135</v>
      </c>
      <c r="H408" t="s">
        <v>39</v>
      </c>
      <c r="J408" t="str">
        <f t="shared" si="0"/>
        <v>[LBNL] Kraft IPP + Heat pump</v>
      </c>
      <c r="K408">
        <v>91</v>
      </c>
      <c r="L408" s="160"/>
      <c r="M408" s="48"/>
      <c r="N408" s="123"/>
    </row>
    <row r="409" spans="1:14" customFormat="1" x14ac:dyDescent="0.55000000000000004">
      <c r="A409" s="95" t="s">
        <v>1018</v>
      </c>
      <c r="B409" s="68" t="s">
        <v>160</v>
      </c>
      <c r="C409" t="s">
        <v>247</v>
      </c>
      <c r="D409" s="68" t="s">
        <v>3288</v>
      </c>
      <c r="E409" s="119">
        <v>0.12342000000000002</v>
      </c>
      <c r="F409" s="151" t="s">
        <v>135</v>
      </c>
      <c r="G409" s="151" t="s">
        <v>135</v>
      </c>
      <c r="H409" s="68" t="s">
        <v>376</v>
      </c>
      <c r="J409" s="74" t="str">
        <f t="shared" si="0"/>
        <v>[LBNL] Kraft IPP + Heat pump</v>
      </c>
      <c r="L409" s="163"/>
      <c r="M409" s="48"/>
      <c r="N409" s="123"/>
    </row>
    <row r="410" spans="1:14" customFormat="1" x14ac:dyDescent="0.55000000000000004">
      <c r="A410" s="104" t="s">
        <v>1014</v>
      </c>
      <c r="B410" s="61" t="s">
        <v>236</v>
      </c>
      <c r="C410" s="61" t="s">
        <v>121</v>
      </c>
      <c r="D410" s="61" t="s">
        <v>3288</v>
      </c>
      <c r="E410" s="119">
        <v>1</v>
      </c>
      <c r="F410" s="148" t="s">
        <v>135</v>
      </c>
      <c r="G410" s="148">
        <v>1</v>
      </c>
      <c r="H410" s="61" t="s">
        <v>39</v>
      </c>
      <c r="I410" s="61" t="s">
        <v>535</v>
      </c>
      <c r="J410" s="61" t="s">
        <v>1015</v>
      </c>
      <c r="K410" s="61" t="s">
        <v>535</v>
      </c>
      <c r="L410" s="159">
        <v>2523</v>
      </c>
      <c r="M410" s="48"/>
      <c r="N410" s="123"/>
    </row>
    <row r="411" spans="1:14" customFormat="1" x14ac:dyDescent="0.55000000000000004">
      <c r="A411" s="104" t="s">
        <v>1014</v>
      </c>
      <c r="B411" s="61" t="s">
        <v>1016</v>
      </c>
      <c r="C411" s="61" t="s">
        <v>125</v>
      </c>
      <c r="D411" s="61" t="s">
        <v>3288</v>
      </c>
      <c r="E411" s="119">
        <v>0.35</v>
      </c>
      <c r="F411" s="148" t="s">
        <v>135</v>
      </c>
      <c r="G411" s="148">
        <v>1</v>
      </c>
      <c r="H411" s="61" t="s">
        <v>39</v>
      </c>
      <c r="I411" s="61" t="s">
        <v>930</v>
      </c>
      <c r="J411" s="61" t="s">
        <v>1015</v>
      </c>
      <c r="K411" s="61" t="s">
        <v>931</v>
      </c>
      <c r="L411" s="159"/>
      <c r="M411" s="48"/>
      <c r="N411" s="123"/>
    </row>
    <row r="412" spans="1:14" customFormat="1" x14ac:dyDescent="0.55000000000000004">
      <c r="A412" s="104" t="s">
        <v>1014</v>
      </c>
      <c r="B412" s="61" t="s">
        <v>131</v>
      </c>
      <c r="C412" s="61" t="s">
        <v>132</v>
      </c>
      <c r="D412" s="61" t="s">
        <v>3288</v>
      </c>
      <c r="E412" s="119">
        <v>0.15</v>
      </c>
      <c r="F412" s="148" t="s">
        <v>135</v>
      </c>
      <c r="G412" s="148">
        <v>1</v>
      </c>
      <c r="H412" s="61" t="s">
        <v>39</v>
      </c>
      <c r="I412" s="61" t="s">
        <v>932</v>
      </c>
      <c r="J412" s="61" t="s">
        <v>1015</v>
      </c>
      <c r="K412" s="61" t="s">
        <v>933</v>
      </c>
      <c r="L412" s="159"/>
      <c r="M412" s="48"/>
      <c r="N412" s="123"/>
    </row>
    <row r="413" spans="1:14" customFormat="1" x14ac:dyDescent="0.55000000000000004">
      <c r="A413" s="104" t="s">
        <v>1014</v>
      </c>
      <c r="B413" s="61" t="s">
        <v>134</v>
      </c>
      <c r="C413" s="61" t="s">
        <v>125</v>
      </c>
      <c r="D413" s="61" t="s">
        <v>3288</v>
      </c>
      <c r="E413" s="119">
        <v>0.47499999999999998</v>
      </c>
      <c r="F413" s="148" t="s">
        <v>135</v>
      </c>
      <c r="G413" s="148">
        <v>1</v>
      </c>
      <c r="H413" s="61" t="s">
        <v>39</v>
      </c>
      <c r="I413" s="61"/>
      <c r="J413" s="61" t="s">
        <v>1015</v>
      </c>
      <c r="K413" s="61" t="s">
        <v>934</v>
      </c>
      <c r="L413" s="159"/>
      <c r="M413" s="48"/>
      <c r="N413" s="123"/>
    </row>
    <row r="414" spans="1:14" customFormat="1" x14ac:dyDescent="0.55000000000000004">
      <c r="A414" s="104" t="s">
        <v>1014</v>
      </c>
      <c r="B414" t="s">
        <v>859</v>
      </c>
      <c r="C414" s="61" t="s">
        <v>125</v>
      </c>
      <c r="D414" s="61" t="s">
        <v>3288</v>
      </c>
      <c r="E414" s="119">
        <v>2.5000000000000001E-2</v>
      </c>
      <c r="F414" s="148" t="s">
        <v>135</v>
      </c>
      <c r="G414" s="148">
        <v>1</v>
      </c>
      <c r="H414" s="61" t="s">
        <v>39</v>
      </c>
      <c r="I414" s="61" t="s">
        <v>935</v>
      </c>
      <c r="J414" s="61" t="s">
        <v>1015</v>
      </c>
      <c r="K414" s="61" t="s">
        <v>931</v>
      </c>
      <c r="L414" s="159"/>
      <c r="M414" s="48"/>
      <c r="N414" s="123"/>
    </row>
    <row r="415" spans="1:14" customFormat="1" x14ac:dyDescent="0.55000000000000004">
      <c r="A415" s="104" t="s">
        <v>1014</v>
      </c>
      <c r="B415" s="61" t="s">
        <v>153</v>
      </c>
      <c r="C415" s="61" t="s">
        <v>127</v>
      </c>
      <c r="D415" s="61" t="s">
        <v>2994</v>
      </c>
      <c r="E415" s="119">
        <v>8.5999999999999993E-2</v>
      </c>
      <c r="F415" s="148" t="s">
        <v>138</v>
      </c>
      <c r="G415" s="148">
        <v>1</v>
      </c>
      <c r="H415" s="61" t="s">
        <v>1017</v>
      </c>
      <c r="I415" s="61" t="s">
        <v>937</v>
      </c>
      <c r="J415" s="61" t="s">
        <v>1015</v>
      </c>
      <c r="K415" s="61" t="s">
        <v>934</v>
      </c>
      <c r="L415" s="159"/>
      <c r="M415" s="48"/>
      <c r="N415" s="123"/>
    </row>
    <row r="416" spans="1:14" customFormat="1" x14ac:dyDescent="0.55000000000000004">
      <c r="A416" s="105" t="s">
        <v>3291</v>
      </c>
      <c r="B416" s="61" t="s">
        <v>998</v>
      </c>
      <c r="C416" s="61" t="s">
        <v>121</v>
      </c>
      <c r="D416" s="61" t="s">
        <v>3288</v>
      </c>
      <c r="E416" s="119">
        <v>1</v>
      </c>
      <c r="F416" s="148" t="s">
        <v>135</v>
      </c>
      <c r="G416" s="148">
        <v>1</v>
      </c>
      <c r="H416" s="61" t="s">
        <v>39</v>
      </c>
      <c r="I416" s="61"/>
      <c r="J416" s="61"/>
      <c r="K416" s="61"/>
      <c r="L416" s="159">
        <v>271114</v>
      </c>
      <c r="M416" s="48"/>
      <c r="N416" s="123"/>
    </row>
    <row r="417" spans="1:14" customFormat="1" x14ac:dyDescent="0.55000000000000004">
      <c r="A417" s="105" t="s">
        <v>3291</v>
      </c>
      <c r="B417" s="61" t="s">
        <v>939</v>
      </c>
      <c r="C417" s="61" t="s">
        <v>125</v>
      </c>
      <c r="D417" s="61" t="s">
        <v>3288</v>
      </c>
      <c r="E417" s="119">
        <v>1.5870445339999999</v>
      </c>
      <c r="F417" s="148" t="s">
        <v>135</v>
      </c>
      <c r="G417" s="148">
        <v>1</v>
      </c>
      <c r="H417" s="61" t="s">
        <v>39</v>
      </c>
      <c r="I417" s="61"/>
      <c r="J417" s="61" t="s">
        <v>919</v>
      </c>
      <c r="K417" s="61" t="s">
        <v>126</v>
      </c>
      <c r="L417" s="159"/>
      <c r="M417" s="48"/>
      <c r="N417" s="123"/>
    </row>
    <row r="418" spans="1:14" customFormat="1" x14ac:dyDescent="0.55000000000000004">
      <c r="A418" s="105" t="s">
        <v>3291</v>
      </c>
      <c r="B418" s="61" t="s">
        <v>213</v>
      </c>
      <c r="C418" s="61" t="s">
        <v>125</v>
      </c>
      <c r="D418" s="61" t="s">
        <v>3288</v>
      </c>
      <c r="E418" s="119">
        <v>6.4777327999999995E-2</v>
      </c>
      <c r="F418" s="148" t="s">
        <v>135</v>
      </c>
      <c r="G418" s="148">
        <v>1</v>
      </c>
      <c r="H418" s="61" t="s">
        <v>39</v>
      </c>
      <c r="I418" s="61"/>
      <c r="J418" s="61" t="s">
        <v>919</v>
      </c>
      <c r="K418" s="61" t="s">
        <v>126</v>
      </c>
      <c r="L418" s="159"/>
      <c r="M418" s="48"/>
      <c r="N418" s="123"/>
    </row>
    <row r="419" spans="1:14" customFormat="1" x14ac:dyDescent="0.55000000000000004">
      <c r="A419" s="105" t="s">
        <v>3291</v>
      </c>
      <c r="B419" s="61" t="s">
        <v>153</v>
      </c>
      <c r="C419" s="61" t="s">
        <v>127</v>
      </c>
      <c r="D419" s="61" t="s">
        <v>2994</v>
      </c>
      <c r="E419" s="119">
        <v>8.1201133599999995</v>
      </c>
      <c r="F419" s="148" t="s">
        <v>138</v>
      </c>
      <c r="G419" s="148">
        <v>1</v>
      </c>
      <c r="H419" s="61" t="s">
        <v>39</v>
      </c>
      <c r="I419" s="61"/>
      <c r="J419" s="61" t="s">
        <v>919</v>
      </c>
      <c r="K419" s="61" t="s">
        <v>126</v>
      </c>
      <c r="L419" s="159"/>
      <c r="M419" s="48"/>
      <c r="N419" s="123"/>
    </row>
    <row r="420" spans="1:14" customFormat="1" x14ac:dyDescent="0.55000000000000004">
      <c r="A420" s="105" t="s">
        <v>3291</v>
      </c>
      <c r="B420" s="61" t="s">
        <v>153</v>
      </c>
      <c r="C420" s="61" t="s">
        <v>127</v>
      </c>
      <c r="D420" s="61" t="s">
        <v>2994</v>
      </c>
      <c r="E420" s="119">
        <v>1.5591093119999999</v>
      </c>
      <c r="F420" s="148" t="s">
        <v>138</v>
      </c>
      <c r="G420" s="148">
        <v>1</v>
      </c>
      <c r="H420" s="61" t="s">
        <v>39</v>
      </c>
      <c r="I420" s="61"/>
      <c r="J420" s="61" t="s">
        <v>919</v>
      </c>
      <c r="K420" s="61" t="s">
        <v>126</v>
      </c>
      <c r="L420" s="159"/>
      <c r="M420" s="48"/>
      <c r="N420" s="123"/>
    </row>
    <row r="421" spans="1:14" customFormat="1" x14ac:dyDescent="0.55000000000000004">
      <c r="A421" s="105" t="s">
        <v>3291</v>
      </c>
      <c r="B421" s="61" t="s">
        <v>153</v>
      </c>
      <c r="C421" s="61" t="s">
        <v>127</v>
      </c>
      <c r="D421" s="61" t="s">
        <v>2994</v>
      </c>
      <c r="E421" s="119">
        <v>3.2571428569999998</v>
      </c>
      <c r="F421" s="148" t="s">
        <v>138</v>
      </c>
      <c r="G421" s="148">
        <v>1</v>
      </c>
      <c r="H421" s="61" t="s">
        <v>39</v>
      </c>
      <c r="I421" s="61" t="s">
        <v>1023</v>
      </c>
      <c r="J421" s="61" t="s">
        <v>919</v>
      </c>
      <c r="K421" s="61" t="s">
        <v>126</v>
      </c>
      <c r="L421" s="159"/>
      <c r="M421" s="48"/>
      <c r="N421" s="123"/>
    </row>
    <row r="422" spans="1:14" customFormat="1" x14ac:dyDescent="0.55000000000000004">
      <c r="A422" s="105" t="s">
        <v>3291</v>
      </c>
      <c r="B422" s="61" t="s">
        <v>153</v>
      </c>
      <c r="C422" s="61" t="s">
        <v>127</v>
      </c>
      <c r="D422" s="61" t="s">
        <v>2994</v>
      </c>
      <c r="E422" s="119">
        <v>12.93636553</v>
      </c>
      <c r="F422" s="148" t="s">
        <v>138</v>
      </c>
      <c r="G422" s="148">
        <v>1</v>
      </c>
      <c r="H422" s="61" t="s">
        <v>39</v>
      </c>
      <c r="I422" s="61"/>
      <c r="J422" s="61" t="s">
        <v>919</v>
      </c>
      <c r="K422" s="61" t="s">
        <v>126</v>
      </c>
      <c r="L422" s="159"/>
      <c r="M422" s="48"/>
      <c r="N422" s="123"/>
    </row>
    <row r="423" spans="1:14" customFormat="1" x14ac:dyDescent="0.55000000000000004">
      <c r="A423" s="105" t="s">
        <v>3292</v>
      </c>
      <c r="B423" s="61" t="s">
        <v>998</v>
      </c>
      <c r="C423" s="61" t="s">
        <v>121</v>
      </c>
      <c r="D423" s="61" t="s">
        <v>3288</v>
      </c>
      <c r="E423" s="119">
        <v>1</v>
      </c>
      <c r="F423" s="148" t="s">
        <v>135</v>
      </c>
      <c r="G423" s="148">
        <v>1</v>
      </c>
      <c r="H423" s="61" t="s">
        <v>39</v>
      </c>
      <c r="I423" s="61"/>
      <c r="J423" s="61"/>
      <c r="K423" s="61"/>
      <c r="L423" s="159">
        <v>271114</v>
      </c>
      <c r="M423" s="48"/>
      <c r="N423" s="123"/>
    </row>
    <row r="424" spans="1:14" customFormat="1" x14ac:dyDescent="0.55000000000000004">
      <c r="A424" s="105" t="s">
        <v>3292</v>
      </c>
      <c r="B424" s="61" t="s">
        <v>939</v>
      </c>
      <c r="C424" s="61" t="s">
        <v>125</v>
      </c>
      <c r="D424" s="61" t="s">
        <v>3288</v>
      </c>
      <c r="E424" s="119">
        <v>1.5870445339999999</v>
      </c>
      <c r="F424" s="148" t="s">
        <v>135</v>
      </c>
      <c r="G424" s="148">
        <v>1</v>
      </c>
      <c r="H424" s="61" t="s">
        <v>39</v>
      </c>
      <c r="I424" s="61"/>
      <c r="J424" s="61" t="s">
        <v>919</v>
      </c>
      <c r="K424" s="61" t="s">
        <v>126</v>
      </c>
      <c r="L424" s="159"/>
      <c r="M424" s="48"/>
      <c r="N424" s="123"/>
    </row>
    <row r="425" spans="1:14" customFormat="1" x14ac:dyDescent="0.55000000000000004">
      <c r="A425" s="105" t="s">
        <v>3292</v>
      </c>
      <c r="B425" s="61" t="s">
        <v>213</v>
      </c>
      <c r="C425" s="61" t="s">
        <v>125</v>
      </c>
      <c r="D425" s="61" t="s">
        <v>3288</v>
      </c>
      <c r="E425" s="119">
        <v>6.4777327999999995E-2</v>
      </c>
      <c r="F425" s="148" t="s">
        <v>135</v>
      </c>
      <c r="G425" s="148">
        <v>1</v>
      </c>
      <c r="H425" s="61" t="s">
        <v>39</v>
      </c>
      <c r="I425" s="61"/>
      <c r="J425" s="61" t="s">
        <v>919</v>
      </c>
      <c r="K425" s="61" t="s">
        <v>126</v>
      </c>
      <c r="L425" s="159"/>
      <c r="M425" s="48"/>
      <c r="N425" s="123"/>
    </row>
    <row r="426" spans="1:14" customFormat="1" x14ac:dyDescent="0.55000000000000004">
      <c r="A426" s="105" t="s">
        <v>3292</v>
      </c>
      <c r="B426" s="61" t="s">
        <v>334</v>
      </c>
      <c r="C426" s="61" t="s">
        <v>127</v>
      </c>
      <c r="D426" s="61" t="s">
        <v>2994</v>
      </c>
      <c r="E426" s="119">
        <v>6.4736842000000003E-2</v>
      </c>
      <c r="F426" s="148" t="s">
        <v>135</v>
      </c>
      <c r="G426" s="148">
        <v>1</v>
      </c>
      <c r="H426" s="61" t="s">
        <v>39</v>
      </c>
      <c r="I426" s="61"/>
      <c r="J426" s="61" t="s">
        <v>919</v>
      </c>
      <c r="K426" s="61" t="s">
        <v>126</v>
      </c>
      <c r="L426" s="159"/>
      <c r="M426" s="48"/>
      <c r="N426" s="123"/>
    </row>
    <row r="427" spans="1:14" customFormat="1" x14ac:dyDescent="0.55000000000000004">
      <c r="A427" s="105" t="s">
        <v>3292</v>
      </c>
      <c r="B427" s="61" t="s">
        <v>153</v>
      </c>
      <c r="C427" s="61" t="s">
        <v>127</v>
      </c>
      <c r="D427" s="61" t="s">
        <v>2994</v>
      </c>
      <c r="E427" s="119">
        <v>1.0253441299999999</v>
      </c>
      <c r="F427" s="148" t="s">
        <v>138</v>
      </c>
      <c r="G427" s="148">
        <v>1</v>
      </c>
      <c r="H427" s="61" t="s">
        <v>39</v>
      </c>
      <c r="I427" s="61"/>
      <c r="J427" s="61" t="s">
        <v>919</v>
      </c>
      <c r="K427" s="61" t="s">
        <v>126</v>
      </c>
      <c r="L427" s="159"/>
      <c r="M427" s="48"/>
      <c r="N427" s="123"/>
    </row>
    <row r="428" spans="1:14" customFormat="1" x14ac:dyDescent="0.55000000000000004">
      <c r="A428" s="105" t="s">
        <v>3292</v>
      </c>
      <c r="B428" s="61" t="s">
        <v>153</v>
      </c>
      <c r="C428" s="61" t="s">
        <v>127</v>
      </c>
      <c r="D428" s="61" t="s">
        <v>2994</v>
      </c>
      <c r="E428" s="119">
        <v>1.5591093119999999</v>
      </c>
      <c r="F428" s="148" t="s">
        <v>138</v>
      </c>
      <c r="G428" s="148">
        <v>1</v>
      </c>
      <c r="H428" s="61" t="s">
        <v>39</v>
      </c>
      <c r="I428" s="61"/>
      <c r="J428" s="61" t="s">
        <v>919</v>
      </c>
      <c r="K428" s="61" t="s">
        <v>126</v>
      </c>
      <c r="L428" s="159"/>
      <c r="M428" s="48"/>
      <c r="N428" s="123"/>
    </row>
    <row r="429" spans="1:14" customFormat="1" x14ac:dyDescent="0.55000000000000004">
      <c r="A429" s="105" t="s">
        <v>3292</v>
      </c>
      <c r="B429" s="61" t="s">
        <v>153</v>
      </c>
      <c r="C429" s="61" t="s">
        <v>127</v>
      </c>
      <c r="D429" s="61" t="s">
        <v>2994</v>
      </c>
      <c r="E429" s="119">
        <v>3.2571428569999998</v>
      </c>
      <c r="F429" s="148" t="s">
        <v>138</v>
      </c>
      <c r="G429" s="148">
        <v>1</v>
      </c>
      <c r="H429" s="61" t="s">
        <v>39</v>
      </c>
      <c r="I429" s="61" t="s">
        <v>1023</v>
      </c>
      <c r="J429" s="61" t="s">
        <v>919</v>
      </c>
      <c r="K429" s="61" t="s">
        <v>126</v>
      </c>
      <c r="L429" s="159"/>
      <c r="M429" s="48"/>
      <c r="N429" s="123"/>
    </row>
    <row r="430" spans="1:14" customFormat="1" x14ac:dyDescent="0.55000000000000004">
      <c r="A430" s="105" t="s">
        <v>3292</v>
      </c>
      <c r="B430" s="61" t="s">
        <v>153</v>
      </c>
      <c r="C430" s="61" t="s">
        <v>127</v>
      </c>
      <c r="D430" s="61" t="s">
        <v>2994</v>
      </c>
      <c r="E430" s="119">
        <v>5.8415962979999998</v>
      </c>
      <c r="F430" s="148" t="s">
        <v>138</v>
      </c>
      <c r="G430" s="148">
        <v>1</v>
      </c>
      <c r="H430" s="61" t="s">
        <v>39</v>
      </c>
      <c r="I430" s="61"/>
      <c r="J430" s="61" t="s">
        <v>919</v>
      </c>
      <c r="K430" s="61" t="s">
        <v>126</v>
      </c>
      <c r="L430" s="159"/>
      <c r="M430" s="48"/>
      <c r="N430" s="123"/>
    </row>
    <row r="431" spans="1:14" customFormat="1" x14ac:dyDescent="0.55000000000000004">
      <c r="A431" s="105" t="s">
        <v>3293</v>
      </c>
      <c r="B431" s="61" t="s">
        <v>998</v>
      </c>
      <c r="C431" s="61" t="s">
        <v>121</v>
      </c>
      <c r="D431" s="61" t="s">
        <v>3288</v>
      </c>
      <c r="E431" s="119">
        <v>1</v>
      </c>
      <c r="F431" s="148" t="s">
        <v>135</v>
      </c>
      <c r="G431" s="148">
        <v>1</v>
      </c>
      <c r="H431" s="61" t="s">
        <v>39</v>
      </c>
      <c r="I431" s="61"/>
      <c r="J431" s="61"/>
      <c r="K431" s="61"/>
      <c r="L431" s="159">
        <v>271114</v>
      </c>
      <c r="M431" s="48"/>
      <c r="N431" s="123"/>
    </row>
    <row r="432" spans="1:14" customFormat="1" x14ac:dyDescent="0.55000000000000004">
      <c r="A432" s="105" t="s">
        <v>3293</v>
      </c>
      <c r="B432" s="61" t="s">
        <v>939</v>
      </c>
      <c r="C432" s="61" t="s">
        <v>125</v>
      </c>
      <c r="D432" s="61" t="s">
        <v>3288</v>
      </c>
      <c r="E432" s="119">
        <v>1.5870445339999999</v>
      </c>
      <c r="F432" s="148" t="s">
        <v>135</v>
      </c>
      <c r="G432" s="148">
        <v>1</v>
      </c>
      <c r="H432" s="61" t="s">
        <v>39</v>
      </c>
      <c r="I432" s="61"/>
      <c r="J432" s="61" t="s">
        <v>919</v>
      </c>
      <c r="K432" s="61" t="s">
        <v>126</v>
      </c>
      <c r="L432" s="159"/>
      <c r="M432" s="48"/>
      <c r="N432" s="123"/>
    </row>
    <row r="433" spans="1:14" customFormat="1" x14ac:dyDescent="0.55000000000000004">
      <c r="A433" s="105" t="s">
        <v>3293</v>
      </c>
      <c r="B433" s="61" t="s">
        <v>923</v>
      </c>
      <c r="C433" s="61" t="s">
        <v>127</v>
      </c>
      <c r="D433" s="61" t="s">
        <v>2994</v>
      </c>
      <c r="E433" s="119">
        <v>8.8663967610000007</v>
      </c>
      <c r="F433" s="148" t="s">
        <v>138</v>
      </c>
      <c r="G433" s="148">
        <v>1</v>
      </c>
      <c r="H433" s="61" t="s">
        <v>39</v>
      </c>
      <c r="I433" s="61"/>
      <c r="J433" s="61" t="s">
        <v>919</v>
      </c>
      <c r="K433" s="61" t="s">
        <v>126</v>
      </c>
      <c r="L433" s="159"/>
      <c r="M433" s="48"/>
      <c r="N433" s="123"/>
    </row>
    <row r="434" spans="1:14" customFormat="1" x14ac:dyDescent="0.55000000000000004">
      <c r="A434" s="105" t="s">
        <v>3293</v>
      </c>
      <c r="B434" s="61" t="s">
        <v>153</v>
      </c>
      <c r="C434" s="61" t="s">
        <v>127</v>
      </c>
      <c r="D434" s="61" t="s">
        <v>2994</v>
      </c>
      <c r="E434" s="119">
        <v>1.0253441299999999</v>
      </c>
      <c r="F434" s="148" t="s">
        <v>138</v>
      </c>
      <c r="G434" s="148">
        <v>1</v>
      </c>
      <c r="H434" s="61" t="s">
        <v>39</v>
      </c>
      <c r="I434" s="61"/>
      <c r="J434" s="61" t="s">
        <v>919</v>
      </c>
      <c r="K434" s="61" t="s">
        <v>126</v>
      </c>
      <c r="L434" s="159"/>
      <c r="M434" s="48"/>
      <c r="N434" s="123"/>
    </row>
    <row r="435" spans="1:14" customFormat="1" x14ac:dyDescent="0.55000000000000004">
      <c r="A435" s="105" t="s">
        <v>3293</v>
      </c>
      <c r="B435" s="61" t="s">
        <v>153</v>
      </c>
      <c r="C435" s="61" t="s">
        <v>127</v>
      </c>
      <c r="D435" s="61" t="s">
        <v>2994</v>
      </c>
      <c r="E435" s="119">
        <v>3.2571428569999998</v>
      </c>
      <c r="F435" s="148" t="s">
        <v>138</v>
      </c>
      <c r="G435" s="148">
        <v>1</v>
      </c>
      <c r="H435" s="61" t="s">
        <v>39</v>
      </c>
      <c r="I435" s="61" t="s">
        <v>1023</v>
      </c>
      <c r="J435" s="61" t="s">
        <v>919</v>
      </c>
      <c r="K435" s="61" t="s">
        <v>126</v>
      </c>
      <c r="L435" s="159"/>
      <c r="M435" s="48"/>
      <c r="N435" s="123"/>
    </row>
    <row r="436" spans="1:14" customFormat="1" x14ac:dyDescent="0.55000000000000004">
      <c r="A436" s="105" t="s">
        <v>3293</v>
      </c>
      <c r="B436" s="61" t="s">
        <v>153</v>
      </c>
      <c r="C436" s="61" t="s">
        <v>127</v>
      </c>
      <c r="D436" s="61" t="s">
        <v>2994</v>
      </c>
      <c r="E436" s="119">
        <v>4.2824869870000004</v>
      </c>
      <c r="F436" s="148" t="s">
        <v>138</v>
      </c>
      <c r="G436" s="148">
        <v>1</v>
      </c>
      <c r="H436" s="61" t="s">
        <v>39</v>
      </c>
      <c r="I436" s="61"/>
      <c r="J436" s="61" t="s">
        <v>919</v>
      </c>
      <c r="K436" s="61" t="s">
        <v>126</v>
      </c>
      <c r="L436" s="159"/>
      <c r="M436" s="48"/>
      <c r="N436" s="123"/>
    </row>
    <row r="437" spans="1:14" customFormat="1" x14ac:dyDescent="0.55000000000000004">
      <c r="A437" s="105" t="s">
        <v>3293</v>
      </c>
      <c r="B437" s="61" t="s">
        <v>160</v>
      </c>
      <c r="C437" s="61" t="s">
        <v>497</v>
      </c>
      <c r="D437" s="61" t="s">
        <v>3288</v>
      </c>
      <c r="E437" s="119">
        <v>0.59404858299999996</v>
      </c>
      <c r="F437" s="148" t="s">
        <v>135</v>
      </c>
      <c r="G437" s="148">
        <v>1</v>
      </c>
      <c r="H437" s="61" t="s">
        <v>39</v>
      </c>
      <c r="I437" s="61" t="s">
        <v>959</v>
      </c>
      <c r="J437" s="61" t="s">
        <v>924</v>
      </c>
      <c r="K437" s="61" t="s">
        <v>126</v>
      </c>
      <c r="L437" s="159"/>
      <c r="M437" s="48"/>
      <c r="N437" s="123"/>
    </row>
    <row r="438" spans="1:14" customFormat="1" x14ac:dyDescent="0.55000000000000004">
      <c r="A438" s="105" t="s">
        <v>3294</v>
      </c>
      <c r="B438" s="61" t="s">
        <v>998</v>
      </c>
      <c r="C438" s="61" t="s">
        <v>121</v>
      </c>
      <c r="D438" s="61" t="s">
        <v>3288</v>
      </c>
      <c r="E438" s="119">
        <v>1</v>
      </c>
      <c r="F438" s="148" t="s">
        <v>135</v>
      </c>
      <c r="G438" s="148">
        <v>1</v>
      </c>
      <c r="H438" s="61" t="s">
        <v>39</v>
      </c>
      <c r="I438" s="61"/>
      <c r="J438" s="61"/>
      <c r="K438" s="61"/>
      <c r="L438" s="159">
        <v>271114</v>
      </c>
      <c r="M438" s="48"/>
      <c r="N438" s="123"/>
    </row>
    <row r="439" spans="1:14" customFormat="1" x14ac:dyDescent="0.55000000000000004">
      <c r="A439" s="105" t="s">
        <v>3294</v>
      </c>
      <c r="B439" s="61" t="s">
        <v>939</v>
      </c>
      <c r="C439" s="61" t="s">
        <v>125</v>
      </c>
      <c r="D439" s="61" t="s">
        <v>3288</v>
      </c>
      <c r="E439" s="119">
        <v>1.5870445339999999</v>
      </c>
      <c r="F439" s="148" t="s">
        <v>135</v>
      </c>
      <c r="G439" s="148">
        <v>1</v>
      </c>
      <c r="H439" s="61" t="s">
        <v>39</v>
      </c>
      <c r="I439" s="61"/>
      <c r="J439" s="61" t="s">
        <v>919</v>
      </c>
      <c r="K439" s="61" t="s">
        <v>126</v>
      </c>
      <c r="L439" s="159"/>
      <c r="M439" s="48"/>
      <c r="N439" s="123"/>
    </row>
    <row r="440" spans="1:14" customFormat="1" x14ac:dyDescent="0.55000000000000004">
      <c r="A440" s="105" t="s">
        <v>3294</v>
      </c>
      <c r="B440" s="61" t="s">
        <v>213</v>
      </c>
      <c r="C440" s="61" t="s">
        <v>125</v>
      </c>
      <c r="D440" s="61" t="s">
        <v>3288</v>
      </c>
      <c r="E440" s="119">
        <v>6.4777327999999995E-2</v>
      </c>
      <c r="F440" s="148" t="s">
        <v>135</v>
      </c>
      <c r="G440" s="148">
        <v>1</v>
      </c>
      <c r="H440" s="61" t="s">
        <v>39</v>
      </c>
      <c r="I440" s="61"/>
      <c r="J440" s="61" t="s">
        <v>919</v>
      </c>
      <c r="K440" s="61" t="s">
        <v>126</v>
      </c>
      <c r="L440" s="159"/>
      <c r="M440" s="48"/>
      <c r="N440" s="123"/>
    </row>
    <row r="441" spans="1:14" customFormat="1" x14ac:dyDescent="0.55000000000000004">
      <c r="A441" s="105" t="s">
        <v>3294</v>
      </c>
      <c r="B441" s="61" t="s">
        <v>153</v>
      </c>
      <c r="C441" s="61" t="s">
        <v>127</v>
      </c>
      <c r="D441" s="61" t="s">
        <v>2994</v>
      </c>
      <c r="E441" s="119">
        <v>1.0253441299999999</v>
      </c>
      <c r="F441" s="148" t="s">
        <v>138</v>
      </c>
      <c r="G441" s="148">
        <v>1</v>
      </c>
      <c r="H441" s="61" t="s">
        <v>39</v>
      </c>
      <c r="I441" s="61"/>
      <c r="J441" s="61" t="s">
        <v>919</v>
      </c>
      <c r="K441" s="61" t="s">
        <v>126</v>
      </c>
      <c r="L441" s="159"/>
      <c r="M441" s="48"/>
      <c r="N441" s="123"/>
    </row>
    <row r="442" spans="1:14" customFormat="1" x14ac:dyDescent="0.55000000000000004">
      <c r="A442" s="105" t="s">
        <v>3294</v>
      </c>
      <c r="B442" s="61" t="s">
        <v>153</v>
      </c>
      <c r="C442" s="61" t="s">
        <v>127</v>
      </c>
      <c r="D442" s="61" t="s">
        <v>2994</v>
      </c>
      <c r="E442" s="119">
        <v>0.44048583000000002</v>
      </c>
      <c r="F442" s="148" t="s">
        <v>138</v>
      </c>
      <c r="G442" s="148">
        <v>1</v>
      </c>
      <c r="H442" s="61" t="s">
        <v>39</v>
      </c>
      <c r="I442" s="61"/>
      <c r="J442" s="61" t="s">
        <v>919</v>
      </c>
      <c r="K442" s="61" t="s">
        <v>126</v>
      </c>
      <c r="L442" s="159"/>
      <c r="M442" s="48"/>
      <c r="N442" s="123"/>
    </row>
    <row r="443" spans="1:14" customFormat="1" x14ac:dyDescent="0.55000000000000004">
      <c r="A443" s="105" t="s">
        <v>3294</v>
      </c>
      <c r="B443" s="61" t="s">
        <v>153</v>
      </c>
      <c r="C443" s="61" t="s">
        <v>127</v>
      </c>
      <c r="D443" s="61" t="s">
        <v>2994</v>
      </c>
      <c r="E443" s="119">
        <v>3.2571428569999998</v>
      </c>
      <c r="F443" s="148" t="s">
        <v>138</v>
      </c>
      <c r="G443" s="148">
        <v>1</v>
      </c>
      <c r="H443" s="61" t="s">
        <v>39</v>
      </c>
      <c r="I443" s="61" t="s">
        <v>1023</v>
      </c>
      <c r="J443" s="61" t="s">
        <v>919</v>
      </c>
      <c r="K443" s="61" t="s">
        <v>126</v>
      </c>
      <c r="L443" s="159"/>
      <c r="M443" s="48"/>
      <c r="N443" s="123"/>
    </row>
    <row r="444" spans="1:14" customFormat="1" x14ac:dyDescent="0.55000000000000004">
      <c r="A444" s="105" t="s">
        <v>3294</v>
      </c>
      <c r="B444" s="61" t="s">
        <v>153</v>
      </c>
      <c r="C444" s="61" t="s">
        <v>127</v>
      </c>
      <c r="D444" s="61" t="s">
        <v>2994</v>
      </c>
      <c r="E444" s="119">
        <v>4.7229728169999996</v>
      </c>
      <c r="F444" s="148" t="s">
        <v>138</v>
      </c>
      <c r="G444" s="148">
        <v>1</v>
      </c>
      <c r="H444" s="61" t="s">
        <v>39</v>
      </c>
      <c r="I444" s="61"/>
      <c r="J444" s="61" t="s">
        <v>919</v>
      </c>
      <c r="K444" s="61" t="s">
        <v>126</v>
      </c>
      <c r="L444" s="159"/>
      <c r="M444" s="48"/>
      <c r="N444" s="123"/>
    </row>
    <row r="445" spans="1:14" customFormat="1" x14ac:dyDescent="0.55000000000000004">
      <c r="A445" s="105" t="s">
        <v>3295</v>
      </c>
      <c r="B445" s="61" t="s">
        <v>998</v>
      </c>
      <c r="C445" s="61" t="s">
        <v>121</v>
      </c>
      <c r="D445" s="61" t="s">
        <v>3288</v>
      </c>
      <c r="E445" s="119">
        <v>1</v>
      </c>
      <c r="F445" s="148" t="s">
        <v>135</v>
      </c>
      <c r="G445" s="148">
        <v>1</v>
      </c>
      <c r="H445" s="61" t="s">
        <v>39</v>
      </c>
      <c r="I445" s="61"/>
      <c r="J445" s="61"/>
      <c r="K445" s="61"/>
      <c r="L445" s="159">
        <v>271114</v>
      </c>
      <c r="M445" s="48"/>
      <c r="N445" s="123"/>
    </row>
    <row r="446" spans="1:14" customFormat="1" x14ac:dyDescent="0.55000000000000004">
      <c r="A446" s="105" t="s">
        <v>3295</v>
      </c>
      <c r="B446" s="61" t="s">
        <v>625</v>
      </c>
      <c r="C446" s="61" t="s">
        <v>125</v>
      </c>
      <c r="D446" s="61" t="s">
        <v>3288</v>
      </c>
      <c r="E446" s="119">
        <v>0.69454000000000005</v>
      </c>
      <c r="F446" s="148" t="s">
        <v>135</v>
      </c>
      <c r="G446" s="148">
        <v>1</v>
      </c>
      <c r="H446" s="61" t="s">
        <v>39</v>
      </c>
      <c r="I446" s="61" t="s">
        <v>956</v>
      </c>
      <c r="J446" s="61" t="s">
        <v>919</v>
      </c>
      <c r="K446" s="61" t="s">
        <v>126</v>
      </c>
      <c r="L446" s="159"/>
      <c r="M446" s="48"/>
      <c r="N446" s="123"/>
    </row>
    <row r="447" spans="1:14" customFormat="1" x14ac:dyDescent="0.55000000000000004">
      <c r="A447" s="105" t="s">
        <v>3295</v>
      </c>
      <c r="B447" s="61" t="s">
        <v>706</v>
      </c>
      <c r="C447" s="61" t="s">
        <v>125</v>
      </c>
      <c r="D447" s="61" t="s">
        <v>3288</v>
      </c>
      <c r="E447" s="119">
        <v>5.9450000000000003E-2</v>
      </c>
      <c r="F447" s="148" t="s">
        <v>135</v>
      </c>
      <c r="G447" s="148">
        <v>1</v>
      </c>
      <c r="H447" s="61" t="s">
        <v>39</v>
      </c>
      <c r="I447" s="61" t="s">
        <v>947</v>
      </c>
      <c r="J447" s="61" t="s">
        <v>919</v>
      </c>
      <c r="K447" s="61" t="s">
        <v>126</v>
      </c>
      <c r="L447" s="159"/>
      <c r="M447" s="48"/>
      <c r="N447" s="123"/>
    </row>
    <row r="448" spans="1:14" customFormat="1" x14ac:dyDescent="0.55000000000000004">
      <c r="A448" s="105" t="s">
        <v>3295</v>
      </c>
      <c r="B448" s="61" t="s">
        <v>925</v>
      </c>
      <c r="C448" s="61" t="s">
        <v>125</v>
      </c>
      <c r="D448" s="61" t="s">
        <v>3288</v>
      </c>
      <c r="E448" s="119">
        <v>0.27388000000000001</v>
      </c>
      <c r="F448" s="148" t="s">
        <v>135</v>
      </c>
      <c r="G448" s="148">
        <v>1</v>
      </c>
      <c r="H448" s="61" t="s">
        <v>39</v>
      </c>
      <c r="I448" s="61" t="s">
        <v>947</v>
      </c>
      <c r="J448" s="61" t="s">
        <v>919</v>
      </c>
      <c r="K448" s="61" t="s">
        <v>126</v>
      </c>
      <c r="L448" s="159"/>
      <c r="M448" s="48"/>
      <c r="N448" s="123"/>
    </row>
    <row r="449" spans="1:14" customFormat="1" x14ac:dyDescent="0.55000000000000004">
      <c r="A449" s="105" t="s">
        <v>3295</v>
      </c>
      <c r="B449" s="61" t="s">
        <v>923</v>
      </c>
      <c r="C449" s="61" t="s">
        <v>127</v>
      </c>
      <c r="D449" s="61" t="s">
        <v>2994</v>
      </c>
      <c r="E449" s="119">
        <v>7.5381556850000004</v>
      </c>
      <c r="F449" s="148" t="s">
        <v>138</v>
      </c>
      <c r="G449" s="148">
        <v>1</v>
      </c>
      <c r="H449" s="61" t="s">
        <v>39</v>
      </c>
      <c r="I449" s="61" t="s">
        <v>968</v>
      </c>
      <c r="J449" s="61" t="s">
        <v>919</v>
      </c>
      <c r="K449" s="61" t="s">
        <v>126</v>
      </c>
      <c r="L449" s="159"/>
      <c r="M449" s="48"/>
      <c r="N449" s="123"/>
    </row>
    <row r="450" spans="1:14" customFormat="1" x14ac:dyDescent="0.55000000000000004">
      <c r="A450" s="105" t="s">
        <v>3295</v>
      </c>
      <c r="B450" s="61" t="s">
        <v>153</v>
      </c>
      <c r="C450" s="61" t="s">
        <v>127</v>
      </c>
      <c r="D450" s="61" t="s">
        <v>2994</v>
      </c>
      <c r="E450" s="119">
        <v>2.1527099999999999</v>
      </c>
      <c r="F450" s="148" t="s">
        <v>138</v>
      </c>
      <c r="G450" s="148">
        <v>1</v>
      </c>
      <c r="H450" s="61" t="s">
        <v>39</v>
      </c>
      <c r="I450" s="61" t="s">
        <v>968</v>
      </c>
      <c r="J450" s="61" t="s">
        <v>919</v>
      </c>
      <c r="K450" s="61" t="s">
        <v>126</v>
      </c>
      <c r="L450" s="159"/>
      <c r="M450" s="48"/>
      <c r="N450" s="123"/>
    </row>
    <row r="451" spans="1:14" customFormat="1" x14ac:dyDescent="0.55000000000000004">
      <c r="A451" s="105" t="s">
        <v>3295</v>
      </c>
      <c r="B451" s="61" t="s">
        <v>160</v>
      </c>
      <c r="C451" s="61" t="s">
        <v>497</v>
      </c>
      <c r="D451" s="61" t="s">
        <v>3288</v>
      </c>
      <c r="E451" s="119">
        <v>0.50505643099999997</v>
      </c>
      <c r="F451" s="148" t="s">
        <v>135</v>
      </c>
      <c r="G451" s="148">
        <v>1</v>
      </c>
      <c r="H451" s="61" t="s">
        <v>39</v>
      </c>
      <c r="I451" s="61" t="s">
        <v>959</v>
      </c>
      <c r="J451" s="61" t="s">
        <v>924</v>
      </c>
      <c r="K451" s="61" t="s">
        <v>126</v>
      </c>
      <c r="L451" s="159"/>
      <c r="M451" s="48"/>
      <c r="N451" s="123"/>
    </row>
    <row r="452" spans="1:14" customFormat="1" x14ac:dyDescent="0.55000000000000004">
      <c r="A452" s="105" t="s">
        <v>3296</v>
      </c>
      <c r="B452" s="61" t="s">
        <v>998</v>
      </c>
      <c r="C452" s="61" t="s">
        <v>121</v>
      </c>
      <c r="D452" s="61" t="s">
        <v>3288</v>
      </c>
      <c r="E452" s="119">
        <v>1</v>
      </c>
      <c r="F452" s="148" t="s">
        <v>135</v>
      </c>
      <c r="G452" s="148">
        <v>1</v>
      </c>
      <c r="H452" s="61" t="s">
        <v>39</v>
      </c>
      <c r="I452" s="61"/>
      <c r="J452" s="61"/>
      <c r="K452" s="61"/>
      <c r="L452" s="159">
        <v>271114</v>
      </c>
      <c r="M452" s="48"/>
      <c r="N452" s="123"/>
    </row>
    <row r="453" spans="1:14" customFormat="1" x14ac:dyDescent="0.55000000000000004">
      <c r="A453" s="105" t="s">
        <v>3296</v>
      </c>
      <c r="B453" s="61" t="s">
        <v>625</v>
      </c>
      <c r="C453" s="61" t="s">
        <v>125</v>
      </c>
      <c r="D453" s="61" t="s">
        <v>3288</v>
      </c>
      <c r="E453" s="119">
        <v>0.98744939300000001</v>
      </c>
      <c r="F453" s="148" t="s">
        <v>135</v>
      </c>
      <c r="G453" s="148">
        <v>1</v>
      </c>
      <c r="H453" s="61" t="s">
        <v>39</v>
      </c>
      <c r="I453" s="61" t="s">
        <v>947</v>
      </c>
      <c r="J453" s="61" t="s">
        <v>919</v>
      </c>
      <c r="K453" s="61" t="s">
        <v>126</v>
      </c>
      <c r="L453" s="159"/>
      <c r="M453" s="48"/>
      <c r="N453" s="123"/>
    </row>
    <row r="454" spans="1:14" customFormat="1" x14ac:dyDescent="0.55000000000000004">
      <c r="A454" s="105" t="s">
        <v>3296</v>
      </c>
      <c r="B454" s="61" t="s">
        <v>706</v>
      </c>
      <c r="C454" s="61" t="s">
        <v>125</v>
      </c>
      <c r="D454" s="61" t="s">
        <v>3288</v>
      </c>
      <c r="E454" s="119">
        <v>0</v>
      </c>
      <c r="F454" s="148" t="s">
        <v>135</v>
      </c>
      <c r="G454" s="148">
        <v>1</v>
      </c>
      <c r="H454" s="61" t="s">
        <v>39</v>
      </c>
      <c r="I454" s="61" t="s">
        <v>947</v>
      </c>
      <c r="J454" s="61" t="s">
        <v>919</v>
      </c>
      <c r="K454" s="61" t="s">
        <v>126</v>
      </c>
      <c r="L454" s="159"/>
      <c r="M454" s="48"/>
      <c r="N454" s="123"/>
    </row>
    <row r="455" spans="1:14" customFormat="1" x14ac:dyDescent="0.55000000000000004">
      <c r="A455" s="105" t="s">
        <v>3296</v>
      </c>
      <c r="B455" s="61" t="s">
        <v>925</v>
      </c>
      <c r="C455" s="61" t="s">
        <v>125</v>
      </c>
      <c r="D455" s="61" t="s">
        <v>3288</v>
      </c>
      <c r="E455" s="119">
        <v>2.4696355999999999E-2</v>
      </c>
      <c r="F455" s="148" t="s">
        <v>135</v>
      </c>
      <c r="G455" s="148">
        <v>1</v>
      </c>
      <c r="H455" s="61" t="s">
        <v>39</v>
      </c>
      <c r="I455" s="61" t="s">
        <v>947</v>
      </c>
      <c r="J455" s="61" t="s">
        <v>919</v>
      </c>
      <c r="K455" s="61" t="s">
        <v>126</v>
      </c>
      <c r="L455" s="159"/>
      <c r="M455" s="48"/>
      <c r="N455" s="123"/>
    </row>
    <row r="456" spans="1:14" customFormat="1" x14ac:dyDescent="0.55000000000000004">
      <c r="A456" s="105" t="s">
        <v>3296</v>
      </c>
      <c r="B456" s="61" t="s">
        <v>923</v>
      </c>
      <c r="C456" s="61" t="s">
        <v>127</v>
      </c>
      <c r="D456" s="61" t="s">
        <v>2994</v>
      </c>
      <c r="E456" s="119">
        <v>7.5364372470000003</v>
      </c>
      <c r="F456" s="148" t="s">
        <v>138</v>
      </c>
      <c r="G456" s="148">
        <v>1</v>
      </c>
      <c r="H456" s="61" t="s">
        <v>39</v>
      </c>
      <c r="I456" s="61" t="s">
        <v>947</v>
      </c>
      <c r="J456" s="61" t="s">
        <v>919</v>
      </c>
      <c r="K456" s="61" t="s">
        <v>126</v>
      </c>
      <c r="L456" s="159"/>
      <c r="M456" s="48"/>
      <c r="N456" s="123"/>
    </row>
    <row r="457" spans="1:14" customFormat="1" x14ac:dyDescent="0.55000000000000004">
      <c r="A457" s="105" t="s">
        <v>3296</v>
      </c>
      <c r="B457" s="61" t="s">
        <v>153</v>
      </c>
      <c r="C457" s="61" t="s">
        <v>127</v>
      </c>
      <c r="D457" s="61" t="s">
        <v>2994</v>
      </c>
      <c r="E457" s="119">
        <v>0.87154251000000005</v>
      </c>
      <c r="F457" s="148" t="s">
        <v>138</v>
      </c>
      <c r="G457" s="148">
        <v>1</v>
      </c>
      <c r="H457" s="61" t="s">
        <v>39</v>
      </c>
      <c r="I457" s="61" t="s">
        <v>970</v>
      </c>
      <c r="J457" s="61" t="s">
        <v>919</v>
      </c>
      <c r="K457" s="61" t="s">
        <v>126</v>
      </c>
      <c r="L457" s="159"/>
      <c r="M457" s="48"/>
      <c r="N457" s="123"/>
    </row>
    <row r="458" spans="1:14" customFormat="1" x14ac:dyDescent="0.55000000000000004">
      <c r="A458" s="105" t="s">
        <v>3296</v>
      </c>
      <c r="B458" s="61" t="s">
        <v>153</v>
      </c>
      <c r="C458" s="61" t="s">
        <v>127</v>
      </c>
      <c r="D458" s="61" t="s">
        <v>2994</v>
      </c>
      <c r="E458" s="119">
        <v>2.2222727999999998</v>
      </c>
      <c r="F458" s="148" t="s">
        <v>138</v>
      </c>
      <c r="G458" s="148">
        <v>1</v>
      </c>
      <c r="H458" s="61" t="s">
        <v>39</v>
      </c>
      <c r="I458" s="61" t="s">
        <v>950</v>
      </c>
      <c r="J458" s="61" t="s">
        <v>919</v>
      </c>
      <c r="K458" s="61" t="s">
        <v>126</v>
      </c>
      <c r="L458" s="159"/>
      <c r="M458" s="48"/>
      <c r="N458" s="123"/>
    </row>
    <row r="459" spans="1:14" customFormat="1" x14ac:dyDescent="0.55000000000000004">
      <c r="A459" s="105" t="s">
        <v>3296</v>
      </c>
      <c r="B459" s="61" t="s">
        <v>153</v>
      </c>
      <c r="C459" s="61" t="s">
        <v>127</v>
      </c>
      <c r="D459" s="61" t="s">
        <v>2994</v>
      </c>
      <c r="E459" s="119">
        <v>3.0938153100000001</v>
      </c>
      <c r="F459" s="148" t="s">
        <v>138</v>
      </c>
      <c r="G459" s="148">
        <v>1</v>
      </c>
      <c r="H459" s="61" t="s">
        <v>39</v>
      </c>
      <c r="I459" s="61" t="s">
        <v>971</v>
      </c>
      <c r="J459" s="61" t="s">
        <v>919</v>
      </c>
      <c r="K459" s="61" t="s">
        <v>126</v>
      </c>
      <c r="L459" s="159"/>
      <c r="M459" s="48"/>
      <c r="N459" s="123"/>
    </row>
    <row r="460" spans="1:14" customFormat="1" x14ac:dyDescent="0.55000000000000004">
      <c r="A460" s="105" t="s">
        <v>3296</v>
      </c>
      <c r="B460" s="61" t="s">
        <v>160</v>
      </c>
      <c r="C460" s="61" t="s">
        <v>497</v>
      </c>
      <c r="D460" s="61" t="s">
        <v>3288</v>
      </c>
      <c r="E460" s="119">
        <v>2.5247064999999999E-2</v>
      </c>
      <c r="F460" s="148" t="s">
        <v>135</v>
      </c>
      <c r="G460" s="148">
        <v>1</v>
      </c>
      <c r="H460" s="61" t="s">
        <v>39</v>
      </c>
      <c r="I460" s="61" t="s">
        <v>959</v>
      </c>
      <c r="J460" s="61" t="s">
        <v>924</v>
      </c>
      <c r="K460" s="61" t="s">
        <v>126</v>
      </c>
      <c r="L460" s="159"/>
      <c r="M460" s="48"/>
      <c r="N460" s="123"/>
    </row>
    <row r="461" spans="1:14" customFormat="1" x14ac:dyDescent="0.55000000000000004">
      <c r="A461" s="105" t="s">
        <v>3297</v>
      </c>
      <c r="B461" s="61" t="s">
        <v>998</v>
      </c>
      <c r="C461" s="61" t="s">
        <v>121</v>
      </c>
      <c r="D461" s="61" t="s">
        <v>3288</v>
      </c>
      <c r="E461" s="119">
        <v>1</v>
      </c>
      <c r="F461" s="148" t="s">
        <v>135</v>
      </c>
      <c r="G461" s="148">
        <v>1</v>
      </c>
      <c r="H461" s="61" t="s">
        <v>39</v>
      </c>
      <c r="I461" s="61"/>
      <c r="J461" s="61"/>
      <c r="K461" s="61"/>
      <c r="L461" s="159">
        <v>271114</v>
      </c>
      <c r="M461" s="48"/>
      <c r="N461" s="123"/>
    </row>
    <row r="462" spans="1:14" customFormat="1" x14ac:dyDescent="0.55000000000000004">
      <c r="A462" s="105" t="s">
        <v>3297</v>
      </c>
      <c r="B462" s="61" t="s">
        <v>625</v>
      </c>
      <c r="C462" s="61" t="s">
        <v>125</v>
      </c>
      <c r="D462" s="61" t="s">
        <v>3288</v>
      </c>
      <c r="E462" s="119">
        <v>0.69289999999999996</v>
      </c>
      <c r="F462" s="148" t="s">
        <v>135</v>
      </c>
      <c r="G462" s="148">
        <v>1</v>
      </c>
      <c r="H462" s="61" t="s">
        <v>39</v>
      </c>
      <c r="I462" s="61" t="s">
        <v>947</v>
      </c>
      <c r="J462" s="61" t="s">
        <v>919</v>
      </c>
      <c r="K462" s="61" t="s">
        <v>126</v>
      </c>
      <c r="L462" s="159"/>
      <c r="M462" s="48"/>
      <c r="N462" s="123"/>
    </row>
    <row r="463" spans="1:14" customFormat="1" x14ac:dyDescent="0.55000000000000004">
      <c r="A463" s="105" t="s">
        <v>3297</v>
      </c>
      <c r="B463" s="61" t="s">
        <v>706</v>
      </c>
      <c r="C463" s="61" t="s">
        <v>125</v>
      </c>
      <c r="D463" s="61" t="s">
        <v>3288</v>
      </c>
      <c r="E463" s="119">
        <v>5.9450000000000003E-2</v>
      </c>
      <c r="F463" s="148" t="s">
        <v>135</v>
      </c>
      <c r="G463" s="148">
        <v>1</v>
      </c>
      <c r="H463" s="61" t="s">
        <v>39</v>
      </c>
      <c r="I463" s="61" t="s">
        <v>947</v>
      </c>
      <c r="J463" s="61" t="s">
        <v>919</v>
      </c>
      <c r="K463" s="61" t="s">
        <v>126</v>
      </c>
      <c r="L463" s="159"/>
      <c r="M463" s="48"/>
      <c r="N463" s="123"/>
    </row>
    <row r="464" spans="1:14" customFormat="1" x14ac:dyDescent="0.55000000000000004">
      <c r="A464" s="105" t="s">
        <v>3297</v>
      </c>
      <c r="B464" s="61" t="s">
        <v>925</v>
      </c>
      <c r="C464" s="61" t="s">
        <v>125</v>
      </c>
      <c r="D464" s="61" t="s">
        <v>3288</v>
      </c>
      <c r="E464" s="119">
        <v>0.27388000000000001</v>
      </c>
      <c r="F464" s="148" t="s">
        <v>135</v>
      </c>
      <c r="G464" s="148">
        <v>1</v>
      </c>
      <c r="H464" s="61" t="s">
        <v>39</v>
      </c>
      <c r="I464" s="61" t="s">
        <v>947</v>
      </c>
      <c r="J464" s="61" t="s">
        <v>919</v>
      </c>
      <c r="K464" s="61" t="s">
        <v>126</v>
      </c>
      <c r="L464" s="159"/>
      <c r="M464" s="48"/>
      <c r="N464" s="123"/>
    </row>
    <row r="465" spans="1:15" customFormat="1" x14ac:dyDescent="0.55000000000000004">
      <c r="A465" s="105" t="s">
        <v>3297</v>
      </c>
      <c r="B465" s="61" t="s">
        <v>153</v>
      </c>
      <c r="C465" s="61" t="s">
        <v>127</v>
      </c>
      <c r="D465" s="61" t="s">
        <v>2994</v>
      </c>
      <c r="E465" s="119">
        <v>6.9897529799999996</v>
      </c>
      <c r="F465" s="148" t="s">
        <v>138</v>
      </c>
      <c r="G465" s="148">
        <v>1</v>
      </c>
      <c r="H465" s="61" t="s">
        <v>39</v>
      </c>
      <c r="I465" s="61" t="s">
        <v>1005</v>
      </c>
      <c r="J465" s="61" t="s">
        <v>919</v>
      </c>
      <c r="K465" s="61" t="s">
        <v>126</v>
      </c>
      <c r="L465" s="159"/>
      <c r="M465" s="48"/>
      <c r="N465" s="123"/>
    </row>
    <row r="466" spans="1:15" customFormat="1" x14ac:dyDescent="0.55000000000000004">
      <c r="A466" s="105" t="s">
        <v>3298</v>
      </c>
      <c r="B466" s="61" t="s">
        <v>998</v>
      </c>
      <c r="C466" s="61" t="s">
        <v>121</v>
      </c>
      <c r="D466" s="61" t="s">
        <v>3288</v>
      </c>
      <c r="E466" s="119">
        <v>1</v>
      </c>
      <c r="F466" s="148" t="s">
        <v>135</v>
      </c>
      <c r="G466" s="148">
        <v>1</v>
      </c>
      <c r="H466" s="61" t="s">
        <v>39</v>
      </c>
      <c r="I466" s="61"/>
      <c r="J466" s="61"/>
      <c r="K466" s="61"/>
      <c r="L466" s="159">
        <v>271114</v>
      </c>
      <c r="M466" s="48"/>
      <c r="N466" s="123"/>
    </row>
    <row r="467" spans="1:15" customFormat="1" x14ac:dyDescent="0.55000000000000004">
      <c r="A467" s="105" t="s">
        <v>3298</v>
      </c>
      <c r="B467" s="61" t="s">
        <v>625</v>
      </c>
      <c r="C467" s="61" t="s">
        <v>125</v>
      </c>
      <c r="D467" s="61" t="s">
        <v>3288</v>
      </c>
      <c r="E467" s="119">
        <v>0.98744939300000001</v>
      </c>
      <c r="F467" s="148" t="s">
        <v>135</v>
      </c>
      <c r="G467" s="148">
        <v>1</v>
      </c>
      <c r="H467" s="61" t="s">
        <v>39</v>
      </c>
      <c r="I467" s="61" t="s">
        <v>947</v>
      </c>
      <c r="J467" s="61" t="s">
        <v>919</v>
      </c>
      <c r="K467" s="61" t="s">
        <v>126</v>
      </c>
      <c r="L467" s="159"/>
      <c r="M467" s="48"/>
      <c r="N467" s="123"/>
    </row>
    <row r="468" spans="1:15" customFormat="1" x14ac:dyDescent="0.55000000000000004">
      <c r="A468" s="105" t="s">
        <v>3298</v>
      </c>
      <c r="B468" s="61" t="s">
        <v>706</v>
      </c>
      <c r="C468" s="61" t="s">
        <v>125</v>
      </c>
      <c r="D468" s="61" t="s">
        <v>3288</v>
      </c>
      <c r="E468" s="119">
        <v>0</v>
      </c>
      <c r="F468" s="148" t="s">
        <v>135</v>
      </c>
      <c r="G468" s="148">
        <v>1</v>
      </c>
      <c r="H468" s="61" t="s">
        <v>39</v>
      </c>
      <c r="I468" s="61" t="s">
        <v>947</v>
      </c>
      <c r="J468" s="61" t="s">
        <v>919</v>
      </c>
      <c r="K468" s="61" t="s">
        <v>126</v>
      </c>
      <c r="L468" s="159"/>
      <c r="M468" s="48"/>
      <c r="N468" s="123"/>
    </row>
    <row r="469" spans="1:15" customFormat="1" x14ac:dyDescent="0.55000000000000004">
      <c r="A469" s="105" t="s">
        <v>3298</v>
      </c>
      <c r="B469" s="61" t="s">
        <v>925</v>
      </c>
      <c r="C469" s="61" t="s">
        <v>125</v>
      </c>
      <c r="D469" s="61" t="s">
        <v>3288</v>
      </c>
      <c r="E469" s="119">
        <v>2.4696355999999999E-2</v>
      </c>
      <c r="F469" s="148" t="s">
        <v>135</v>
      </c>
      <c r="G469" s="148">
        <v>1</v>
      </c>
      <c r="H469" s="61" t="s">
        <v>39</v>
      </c>
      <c r="I469" s="61" t="s">
        <v>947</v>
      </c>
      <c r="J469" s="61" t="s">
        <v>919</v>
      </c>
      <c r="K469" s="61" t="s">
        <v>126</v>
      </c>
      <c r="L469" s="159"/>
      <c r="M469" s="48"/>
      <c r="N469" s="123"/>
    </row>
    <row r="470" spans="1:15" customFormat="1" x14ac:dyDescent="0.55000000000000004">
      <c r="A470" s="105" t="s">
        <v>3298</v>
      </c>
      <c r="B470" s="61" t="s">
        <v>334</v>
      </c>
      <c r="C470" s="61" t="s">
        <v>127</v>
      </c>
      <c r="D470" s="61" t="s">
        <v>2994</v>
      </c>
      <c r="E470" s="119">
        <v>7.3886640000000003E-2</v>
      </c>
      <c r="F470" s="148" t="s">
        <v>135</v>
      </c>
      <c r="G470" s="148">
        <v>1</v>
      </c>
      <c r="H470" s="61" t="s">
        <v>39</v>
      </c>
      <c r="I470" s="61" t="s">
        <v>947</v>
      </c>
      <c r="J470" s="61" t="s">
        <v>919</v>
      </c>
      <c r="K470" s="61" t="s">
        <v>126</v>
      </c>
      <c r="L470" s="159"/>
      <c r="M470" s="48"/>
      <c r="N470" s="123"/>
    </row>
    <row r="471" spans="1:15" customFormat="1" x14ac:dyDescent="0.55000000000000004">
      <c r="A471" s="105" t="s">
        <v>3298</v>
      </c>
      <c r="B471" s="61" t="s">
        <v>153</v>
      </c>
      <c r="C471" s="61" t="s">
        <v>127</v>
      </c>
      <c r="D471" s="61" t="s">
        <v>2994</v>
      </c>
      <c r="E471" s="119">
        <v>0.87154251000000005</v>
      </c>
      <c r="F471" s="148" t="s">
        <v>138</v>
      </c>
      <c r="G471" s="148">
        <v>1</v>
      </c>
      <c r="H471" s="61" t="s">
        <v>39</v>
      </c>
      <c r="I471" s="61" t="s">
        <v>972</v>
      </c>
      <c r="J471" s="61" t="s">
        <v>919</v>
      </c>
      <c r="K471" s="61" t="s">
        <v>126</v>
      </c>
      <c r="L471" s="159"/>
      <c r="M471" s="48"/>
      <c r="N471" s="123"/>
    </row>
    <row r="472" spans="1:15" customFormat="1" x14ac:dyDescent="0.55000000000000004">
      <c r="A472" s="105" t="s">
        <v>3299</v>
      </c>
      <c r="B472" s="61" t="s">
        <v>998</v>
      </c>
      <c r="C472" s="61" t="s">
        <v>121</v>
      </c>
      <c r="D472" s="61" t="s">
        <v>3288</v>
      </c>
      <c r="E472" s="119">
        <v>1</v>
      </c>
      <c r="F472" s="148" t="s">
        <v>135</v>
      </c>
      <c r="G472" s="148">
        <v>1</v>
      </c>
      <c r="H472" s="61" t="s">
        <v>39</v>
      </c>
      <c r="I472" s="61"/>
      <c r="J472" s="61"/>
      <c r="K472" s="61"/>
      <c r="L472" s="159">
        <v>271114</v>
      </c>
      <c r="M472" s="48"/>
      <c r="N472" s="123"/>
    </row>
    <row r="473" spans="1:15" customFormat="1" x14ac:dyDescent="0.55000000000000004">
      <c r="A473" s="105" t="s">
        <v>3299</v>
      </c>
      <c r="B473" s="61" t="s">
        <v>997</v>
      </c>
      <c r="C473" s="61" t="s">
        <v>125</v>
      </c>
      <c r="D473" s="61" t="s">
        <v>3288</v>
      </c>
      <c r="E473" s="119">
        <v>2.6</v>
      </c>
      <c r="F473" s="148" t="s">
        <v>135</v>
      </c>
      <c r="G473" s="148">
        <v>1</v>
      </c>
      <c r="H473" s="61" t="s">
        <v>39</v>
      </c>
      <c r="I473" s="61"/>
      <c r="J473" s="61" t="s">
        <v>919</v>
      </c>
      <c r="K473" s="61" t="s">
        <v>126</v>
      </c>
      <c r="L473" s="159"/>
      <c r="M473" s="48"/>
      <c r="N473" s="123"/>
    </row>
    <row r="474" spans="1:15" customFormat="1" x14ac:dyDescent="0.55000000000000004">
      <c r="A474" s="105" t="s">
        <v>3299</v>
      </c>
      <c r="B474" s="61" t="s">
        <v>153</v>
      </c>
      <c r="C474" s="61" t="s">
        <v>127</v>
      </c>
      <c r="D474" s="61" t="s">
        <v>2994</v>
      </c>
      <c r="E474" s="119">
        <v>8.18</v>
      </c>
      <c r="F474" s="148" t="s">
        <v>138</v>
      </c>
      <c r="G474" s="148">
        <v>1</v>
      </c>
      <c r="H474" s="61" t="s">
        <v>39</v>
      </c>
      <c r="I474" s="61"/>
      <c r="J474" s="61" t="s">
        <v>919</v>
      </c>
      <c r="K474" s="61" t="s">
        <v>126</v>
      </c>
      <c r="L474" s="159"/>
      <c r="M474" s="48"/>
      <c r="N474" s="123"/>
    </row>
    <row r="475" spans="1:15" customFormat="1" x14ac:dyDescent="0.55000000000000004">
      <c r="A475" s="105" t="s">
        <v>3300</v>
      </c>
      <c r="B475" s="61" t="s">
        <v>998</v>
      </c>
      <c r="C475" s="61" t="s">
        <v>121</v>
      </c>
      <c r="D475" s="61" t="s">
        <v>3288</v>
      </c>
      <c r="E475" s="119">
        <v>1</v>
      </c>
      <c r="F475" s="148" t="s">
        <v>135</v>
      </c>
      <c r="G475" s="148">
        <v>1</v>
      </c>
      <c r="H475" s="61" t="s">
        <v>39</v>
      </c>
      <c r="I475" s="61"/>
      <c r="J475" s="61"/>
      <c r="K475" s="61"/>
      <c r="L475" s="159">
        <v>271114</v>
      </c>
      <c r="M475" s="48"/>
      <c r="N475" s="123"/>
    </row>
    <row r="476" spans="1:15" customFormat="1" x14ac:dyDescent="0.55000000000000004">
      <c r="A476" s="105" t="s">
        <v>3300</v>
      </c>
      <c r="B476" s="61" t="s">
        <v>625</v>
      </c>
      <c r="C476" s="61" t="s">
        <v>125</v>
      </c>
      <c r="D476" s="61" t="s">
        <v>3288</v>
      </c>
      <c r="E476" s="119">
        <v>0.98744939300000001</v>
      </c>
      <c r="F476" s="148" t="s">
        <v>135</v>
      </c>
      <c r="G476" s="148">
        <v>1</v>
      </c>
      <c r="H476" s="61" t="s">
        <v>39</v>
      </c>
      <c r="I476" s="61" t="s">
        <v>947</v>
      </c>
      <c r="J476" s="61" t="s">
        <v>919</v>
      </c>
      <c r="K476" s="61" t="s">
        <v>126</v>
      </c>
      <c r="L476" s="159"/>
      <c r="M476" s="48"/>
      <c r="N476" s="123"/>
    </row>
    <row r="477" spans="1:15" customFormat="1" x14ac:dyDescent="0.55000000000000004">
      <c r="A477" s="105" t="s">
        <v>3300</v>
      </c>
      <c r="B477" s="61" t="s">
        <v>706</v>
      </c>
      <c r="C477" s="61" t="s">
        <v>125</v>
      </c>
      <c r="D477" s="61" t="s">
        <v>3288</v>
      </c>
      <c r="E477" s="119">
        <v>0</v>
      </c>
      <c r="F477" s="148" t="s">
        <v>135</v>
      </c>
      <c r="G477" s="148">
        <v>1</v>
      </c>
      <c r="H477" s="61" t="s">
        <v>39</v>
      </c>
      <c r="I477" s="61" t="s">
        <v>947</v>
      </c>
      <c r="J477" s="61" t="s">
        <v>919</v>
      </c>
      <c r="K477" s="61" t="s">
        <v>126</v>
      </c>
      <c r="L477" s="159"/>
      <c r="M477" s="48"/>
      <c r="N477" s="123"/>
      <c r="O477" s="112"/>
    </row>
    <row r="478" spans="1:15" customFormat="1" x14ac:dyDescent="0.55000000000000004">
      <c r="A478" s="105" t="s">
        <v>3300</v>
      </c>
      <c r="B478" s="61" t="s">
        <v>925</v>
      </c>
      <c r="C478" s="61" t="s">
        <v>125</v>
      </c>
      <c r="D478" s="61" t="s">
        <v>3288</v>
      </c>
      <c r="E478" s="119">
        <v>2.4696355999999999E-2</v>
      </c>
      <c r="F478" s="148" t="s">
        <v>135</v>
      </c>
      <c r="G478" s="148">
        <v>1</v>
      </c>
      <c r="H478" s="61" t="s">
        <v>39</v>
      </c>
      <c r="I478" s="61" t="s">
        <v>947</v>
      </c>
      <c r="J478" s="61" t="s">
        <v>919</v>
      </c>
      <c r="K478" s="61" t="s">
        <v>126</v>
      </c>
      <c r="L478" s="159"/>
      <c r="M478" s="48"/>
      <c r="N478" s="123"/>
    </row>
    <row r="479" spans="1:15" customFormat="1" x14ac:dyDescent="0.55000000000000004">
      <c r="A479" s="105" t="s">
        <v>3300</v>
      </c>
      <c r="B479" s="61" t="s">
        <v>153</v>
      </c>
      <c r="C479" s="61" t="s">
        <v>127</v>
      </c>
      <c r="D479" s="61" t="s">
        <v>2994</v>
      </c>
      <c r="E479" s="119">
        <v>8.1201133599999995</v>
      </c>
      <c r="F479" s="148" t="s">
        <v>138</v>
      </c>
      <c r="G479" s="148">
        <v>1</v>
      </c>
      <c r="H479" s="61" t="s">
        <v>39</v>
      </c>
      <c r="I479" s="61" t="s">
        <v>999</v>
      </c>
      <c r="J479" s="61" t="s">
        <v>919</v>
      </c>
      <c r="K479" s="61" t="s">
        <v>126</v>
      </c>
      <c r="L479" s="159"/>
      <c r="M479" s="48"/>
      <c r="N479" s="123"/>
    </row>
    <row r="480" spans="1:15" customFormat="1" x14ac:dyDescent="0.55000000000000004">
      <c r="A480" s="105" t="s">
        <v>3300</v>
      </c>
      <c r="B480" s="61" t="s">
        <v>153</v>
      </c>
      <c r="C480" s="61" t="s">
        <v>127</v>
      </c>
      <c r="D480" s="61" t="s">
        <v>2994</v>
      </c>
      <c r="E480" s="119">
        <v>3.2571428569999998</v>
      </c>
      <c r="F480" s="148" t="s">
        <v>138</v>
      </c>
      <c r="G480" s="148">
        <v>1</v>
      </c>
      <c r="H480" s="61" t="s">
        <v>39</v>
      </c>
      <c r="I480" s="61" t="s">
        <v>1023</v>
      </c>
      <c r="J480" s="61" t="s">
        <v>919</v>
      </c>
      <c r="K480" s="61" t="s">
        <v>126</v>
      </c>
      <c r="L480" s="159"/>
      <c r="M480" s="48"/>
      <c r="N480" s="123"/>
    </row>
    <row r="481" spans="1:14" customFormat="1" x14ac:dyDescent="0.55000000000000004">
      <c r="A481" s="105" t="s">
        <v>3300</v>
      </c>
      <c r="B481" s="61" t="s">
        <v>153</v>
      </c>
      <c r="C481" s="61" t="s">
        <v>127</v>
      </c>
      <c r="D481" s="61" t="s">
        <v>2994</v>
      </c>
      <c r="E481" s="119">
        <v>11.37725622</v>
      </c>
      <c r="F481" s="148" t="s">
        <v>138</v>
      </c>
      <c r="G481" s="148">
        <v>1</v>
      </c>
      <c r="H481" s="61" t="s">
        <v>39</v>
      </c>
      <c r="I481" s="61"/>
      <c r="J481" s="61" t="s">
        <v>919</v>
      </c>
      <c r="K481" s="61" t="s">
        <v>126</v>
      </c>
      <c r="L481" s="159"/>
      <c r="M481" s="48"/>
      <c r="N481" s="123"/>
    </row>
    <row r="482" spans="1:14" customFormat="1" x14ac:dyDescent="0.55000000000000004">
      <c r="A482" s="105" t="s">
        <v>3301</v>
      </c>
      <c r="B482" s="61" t="s">
        <v>998</v>
      </c>
      <c r="C482" s="61" t="s">
        <v>121</v>
      </c>
      <c r="D482" s="61" t="s">
        <v>3288</v>
      </c>
      <c r="E482" s="119">
        <v>1</v>
      </c>
      <c r="F482" s="148" t="s">
        <v>135</v>
      </c>
      <c r="G482" s="148">
        <v>1</v>
      </c>
      <c r="H482" s="61" t="s">
        <v>39</v>
      </c>
      <c r="I482" s="61"/>
      <c r="J482" s="61"/>
      <c r="K482" s="61"/>
      <c r="L482" s="159">
        <v>271114</v>
      </c>
      <c r="M482" s="48"/>
      <c r="N482" s="123"/>
    </row>
    <row r="483" spans="1:14" customFormat="1" x14ac:dyDescent="0.55000000000000004">
      <c r="A483" s="105" t="s">
        <v>3301</v>
      </c>
      <c r="B483" s="61" t="s">
        <v>625</v>
      </c>
      <c r="C483" s="61" t="s">
        <v>125</v>
      </c>
      <c r="D483" s="61" t="s">
        <v>3288</v>
      </c>
      <c r="E483" s="119">
        <v>0.84939271299999997</v>
      </c>
      <c r="F483" s="148" t="s">
        <v>135</v>
      </c>
      <c r="G483" s="148">
        <v>1</v>
      </c>
      <c r="H483" s="61" t="s">
        <v>39</v>
      </c>
      <c r="I483" s="61" t="s">
        <v>947</v>
      </c>
      <c r="J483" s="61" t="s">
        <v>919</v>
      </c>
      <c r="K483" s="61" t="s">
        <v>126</v>
      </c>
      <c r="L483" s="159"/>
      <c r="M483" s="48"/>
      <c r="N483" s="123"/>
    </row>
    <row r="484" spans="1:14" customFormat="1" x14ac:dyDescent="0.55000000000000004">
      <c r="A484" s="105" t="s">
        <v>3301</v>
      </c>
      <c r="B484" s="61" t="s">
        <v>706</v>
      </c>
      <c r="C484" s="61" t="s">
        <v>125</v>
      </c>
      <c r="D484" s="61" t="s">
        <v>3288</v>
      </c>
      <c r="E484" s="119">
        <v>0</v>
      </c>
      <c r="F484" s="148" t="s">
        <v>135</v>
      </c>
      <c r="G484" s="148">
        <v>1</v>
      </c>
      <c r="H484" s="61" t="s">
        <v>39</v>
      </c>
      <c r="I484" s="61" t="s">
        <v>947</v>
      </c>
      <c r="J484" s="61" t="s">
        <v>919</v>
      </c>
      <c r="K484" s="61" t="s">
        <v>126</v>
      </c>
      <c r="L484" s="159"/>
      <c r="M484" s="48"/>
      <c r="N484" s="123"/>
    </row>
    <row r="485" spans="1:14" customFormat="1" x14ac:dyDescent="0.55000000000000004">
      <c r="A485" s="105" t="s">
        <v>3301</v>
      </c>
      <c r="B485" s="61" t="s">
        <v>925</v>
      </c>
      <c r="C485" s="61" t="s">
        <v>125</v>
      </c>
      <c r="D485" s="61" t="s">
        <v>3288</v>
      </c>
      <c r="E485" s="119">
        <v>2.1052632000000002E-2</v>
      </c>
      <c r="F485" s="148" t="s">
        <v>135</v>
      </c>
      <c r="G485" s="148">
        <v>1</v>
      </c>
      <c r="H485" s="61" t="s">
        <v>39</v>
      </c>
      <c r="I485" s="61" t="s">
        <v>947</v>
      </c>
      <c r="J485" s="61" t="s">
        <v>919</v>
      </c>
      <c r="K485" s="61" t="s">
        <v>126</v>
      </c>
      <c r="L485" s="159"/>
      <c r="M485" s="48"/>
      <c r="N485" s="123"/>
    </row>
    <row r="486" spans="1:14" customFormat="1" x14ac:dyDescent="0.55000000000000004">
      <c r="A486" s="105" t="s">
        <v>3301</v>
      </c>
      <c r="B486" s="61" t="s">
        <v>213</v>
      </c>
      <c r="C486" s="61" t="s">
        <v>125</v>
      </c>
      <c r="D486" s="61" t="s">
        <v>3288</v>
      </c>
      <c r="E486" s="119">
        <v>6.4777327999999995E-2</v>
      </c>
      <c r="F486" s="148" t="s">
        <v>135</v>
      </c>
      <c r="G486" s="148">
        <v>1</v>
      </c>
      <c r="H486" s="61" t="s">
        <v>39</v>
      </c>
      <c r="I486" s="61" t="s">
        <v>947</v>
      </c>
      <c r="J486" s="61" t="s">
        <v>919</v>
      </c>
      <c r="K486" s="61" t="s">
        <v>126</v>
      </c>
      <c r="L486" s="159"/>
      <c r="M486" s="48"/>
      <c r="N486" s="123"/>
    </row>
    <row r="487" spans="1:14" customFormat="1" x14ac:dyDescent="0.55000000000000004">
      <c r="A487" s="105" t="s">
        <v>3301</v>
      </c>
      <c r="B487" s="61" t="s">
        <v>153</v>
      </c>
      <c r="C487" s="61" t="s">
        <v>127</v>
      </c>
      <c r="D487" s="61" t="s">
        <v>2994</v>
      </c>
      <c r="E487" s="119">
        <v>3.2571428569999998</v>
      </c>
      <c r="F487" s="148" t="s">
        <v>138</v>
      </c>
      <c r="G487" s="148">
        <v>1</v>
      </c>
      <c r="H487" s="61" t="s">
        <v>39</v>
      </c>
      <c r="I487" s="61"/>
      <c r="J487" s="61" t="s">
        <v>919</v>
      </c>
      <c r="K487" s="61" t="s">
        <v>126</v>
      </c>
      <c r="L487" s="159"/>
      <c r="M487" s="48"/>
      <c r="N487" s="123"/>
    </row>
    <row r="488" spans="1:14" customFormat="1" x14ac:dyDescent="0.55000000000000004">
      <c r="A488" s="105" t="s">
        <v>3301</v>
      </c>
      <c r="B488" s="61" t="s">
        <v>153</v>
      </c>
      <c r="C488" s="61" t="s">
        <v>127</v>
      </c>
      <c r="D488" s="61" t="s">
        <v>2994</v>
      </c>
      <c r="E488" s="119">
        <v>12.93636553</v>
      </c>
      <c r="F488" s="148" t="s">
        <v>138</v>
      </c>
      <c r="G488" s="148">
        <v>1</v>
      </c>
      <c r="H488" s="61" t="s">
        <v>39</v>
      </c>
      <c r="I488" s="61" t="s">
        <v>947</v>
      </c>
      <c r="J488" s="61" t="s">
        <v>919</v>
      </c>
      <c r="K488" s="61" t="s">
        <v>126</v>
      </c>
      <c r="L488" s="159"/>
      <c r="M488" s="48"/>
      <c r="N488" s="123"/>
    </row>
    <row r="489" spans="1:14" customFormat="1" x14ac:dyDescent="0.55000000000000004">
      <c r="A489" s="105" t="s">
        <v>3302</v>
      </c>
      <c r="B489" s="61" t="s">
        <v>998</v>
      </c>
      <c r="C489" s="61" t="s">
        <v>121</v>
      </c>
      <c r="D489" s="61" t="s">
        <v>3288</v>
      </c>
      <c r="E489" s="119">
        <v>1</v>
      </c>
      <c r="F489" s="148" t="s">
        <v>135</v>
      </c>
      <c r="G489" s="148">
        <v>1</v>
      </c>
      <c r="H489" s="61" t="s">
        <v>39</v>
      </c>
      <c r="I489" s="61"/>
      <c r="J489" s="61"/>
      <c r="K489" s="61"/>
      <c r="L489" s="159">
        <v>271114</v>
      </c>
      <c r="M489" s="48"/>
      <c r="N489" s="123"/>
    </row>
    <row r="490" spans="1:14" customFormat="1" x14ac:dyDescent="0.55000000000000004">
      <c r="A490" s="105" t="s">
        <v>3302</v>
      </c>
      <c r="B490" s="61" t="s">
        <v>625</v>
      </c>
      <c r="C490" s="61" t="s">
        <v>125</v>
      </c>
      <c r="D490" s="61" t="s">
        <v>3288</v>
      </c>
      <c r="E490" s="119">
        <v>0.98744939300000001</v>
      </c>
      <c r="F490" s="148" t="s">
        <v>135</v>
      </c>
      <c r="G490" s="148">
        <v>1</v>
      </c>
      <c r="H490" s="61" t="s">
        <v>39</v>
      </c>
      <c r="I490" s="61" t="s">
        <v>947</v>
      </c>
      <c r="J490" s="61" t="s">
        <v>919</v>
      </c>
      <c r="K490" s="61" t="s">
        <v>126</v>
      </c>
      <c r="L490" s="159"/>
      <c r="M490" s="48"/>
      <c r="N490" s="123"/>
    </row>
    <row r="491" spans="1:14" customFormat="1" x14ac:dyDescent="0.55000000000000004">
      <c r="A491" s="105" t="s">
        <v>3302</v>
      </c>
      <c r="B491" s="61" t="s">
        <v>706</v>
      </c>
      <c r="C491" s="61" t="s">
        <v>125</v>
      </c>
      <c r="D491" s="61" t="s">
        <v>3288</v>
      </c>
      <c r="E491" s="119">
        <v>0</v>
      </c>
      <c r="F491" s="148" t="s">
        <v>135</v>
      </c>
      <c r="G491" s="148">
        <v>1</v>
      </c>
      <c r="H491" s="61" t="s">
        <v>39</v>
      </c>
      <c r="I491" s="61" t="s">
        <v>947</v>
      </c>
      <c r="J491" s="61" t="s">
        <v>919</v>
      </c>
      <c r="K491" s="61" t="s">
        <v>126</v>
      </c>
      <c r="L491" s="159"/>
      <c r="M491" s="48"/>
      <c r="N491" s="123"/>
    </row>
    <row r="492" spans="1:14" customFormat="1" x14ac:dyDescent="0.55000000000000004">
      <c r="A492" s="105" t="s">
        <v>3302</v>
      </c>
      <c r="B492" s="61" t="s">
        <v>925</v>
      </c>
      <c r="C492" s="61" t="s">
        <v>125</v>
      </c>
      <c r="D492" s="61" t="s">
        <v>3288</v>
      </c>
      <c r="E492" s="119">
        <v>2.4696355999999999E-2</v>
      </c>
      <c r="F492" s="148" t="s">
        <v>135</v>
      </c>
      <c r="G492" s="148">
        <v>1</v>
      </c>
      <c r="H492" s="61" t="s">
        <v>39</v>
      </c>
      <c r="I492" s="61" t="s">
        <v>947</v>
      </c>
      <c r="J492" s="61" t="s">
        <v>919</v>
      </c>
      <c r="K492" s="61" t="s">
        <v>126</v>
      </c>
      <c r="L492" s="159"/>
      <c r="M492" s="48"/>
      <c r="N492" s="123"/>
    </row>
    <row r="493" spans="1:14" customFormat="1" x14ac:dyDescent="0.55000000000000004">
      <c r="A493" s="105" t="s">
        <v>3302</v>
      </c>
      <c r="B493" s="61" t="s">
        <v>334</v>
      </c>
      <c r="C493" s="61" t="s">
        <v>127</v>
      </c>
      <c r="D493" s="61" t="s">
        <v>2994</v>
      </c>
      <c r="E493" s="119">
        <v>7.3886640000000003E-2</v>
      </c>
      <c r="F493" s="148" t="s">
        <v>135</v>
      </c>
      <c r="G493" s="148">
        <v>1</v>
      </c>
      <c r="H493" s="61" t="s">
        <v>39</v>
      </c>
      <c r="I493" s="61" t="s">
        <v>947</v>
      </c>
      <c r="J493" s="61" t="s">
        <v>919</v>
      </c>
      <c r="K493" s="61" t="s">
        <v>126</v>
      </c>
      <c r="L493" s="159"/>
      <c r="M493" s="48"/>
      <c r="N493" s="123"/>
    </row>
    <row r="494" spans="1:14" customFormat="1" x14ac:dyDescent="0.55000000000000004">
      <c r="A494" s="105" t="s">
        <v>3302</v>
      </c>
      <c r="B494" s="61" t="s">
        <v>153</v>
      </c>
      <c r="C494" s="61" t="s">
        <v>127</v>
      </c>
      <c r="D494" s="61" t="s">
        <v>2994</v>
      </c>
      <c r="E494" s="119">
        <v>3.2571428569999998</v>
      </c>
      <c r="F494" s="148" t="s">
        <v>138</v>
      </c>
      <c r="G494" s="148">
        <v>1</v>
      </c>
      <c r="H494" s="61" t="s">
        <v>39</v>
      </c>
      <c r="I494" s="61" t="s">
        <v>1023</v>
      </c>
      <c r="J494" s="61" t="s">
        <v>919</v>
      </c>
      <c r="K494" s="61" t="s">
        <v>126</v>
      </c>
      <c r="L494" s="159"/>
      <c r="M494" s="48"/>
      <c r="N494" s="123"/>
    </row>
    <row r="495" spans="1:14" customFormat="1" x14ac:dyDescent="0.55000000000000004">
      <c r="A495" s="105" t="s">
        <v>3302</v>
      </c>
      <c r="B495" s="61" t="s">
        <v>153</v>
      </c>
      <c r="C495" s="61" t="s">
        <v>127</v>
      </c>
      <c r="D495" s="61" t="s">
        <v>2994</v>
      </c>
      <c r="E495" s="119">
        <v>4.2824869870000004</v>
      </c>
      <c r="F495" s="148" t="s">
        <v>138</v>
      </c>
      <c r="G495" s="148">
        <v>1</v>
      </c>
      <c r="H495" s="61" t="s">
        <v>39</v>
      </c>
      <c r="I495" s="61" t="s">
        <v>947</v>
      </c>
      <c r="J495" s="61" t="s">
        <v>919</v>
      </c>
      <c r="K495" s="61" t="s">
        <v>126</v>
      </c>
      <c r="L495" s="159"/>
      <c r="M495" s="48"/>
      <c r="N495" s="123"/>
    </row>
    <row r="496" spans="1:14" customFormat="1" x14ac:dyDescent="0.55000000000000004">
      <c r="A496" s="105" t="s">
        <v>3303</v>
      </c>
      <c r="B496" s="61" t="s">
        <v>998</v>
      </c>
      <c r="C496" s="61" t="s">
        <v>121</v>
      </c>
      <c r="D496" s="61" t="s">
        <v>3288</v>
      </c>
      <c r="E496" s="119">
        <v>1</v>
      </c>
      <c r="F496" s="148" t="s">
        <v>135</v>
      </c>
      <c r="G496" s="148">
        <v>1</v>
      </c>
      <c r="H496" s="61" t="s">
        <v>39</v>
      </c>
      <c r="I496" s="61"/>
      <c r="J496" s="61"/>
      <c r="K496" s="61"/>
      <c r="L496" s="159">
        <v>271114</v>
      </c>
      <c r="M496" s="48"/>
      <c r="N496" s="123"/>
    </row>
    <row r="497" spans="1:14" customFormat="1" x14ac:dyDescent="0.55000000000000004">
      <c r="A497" s="105" t="s">
        <v>3303</v>
      </c>
      <c r="B497" s="61" t="s">
        <v>625</v>
      </c>
      <c r="C497" s="61" t="s">
        <v>125</v>
      </c>
      <c r="D497" s="61" t="s">
        <v>3288</v>
      </c>
      <c r="E497" s="119">
        <v>0.84939271299999997</v>
      </c>
      <c r="F497" s="148" t="s">
        <v>135</v>
      </c>
      <c r="G497" s="148">
        <v>1</v>
      </c>
      <c r="H497" s="61" t="s">
        <v>39</v>
      </c>
      <c r="I497" s="61" t="s">
        <v>947</v>
      </c>
      <c r="J497" s="61" t="s">
        <v>919</v>
      </c>
      <c r="K497" s="61" t="s">
        <v>126</v>
      </c>
      <c r="L497" s="159"/>
      <c r="M497" s="48"/>
      <c r="N497" s="123"/>
    </row>
    <row r="498" spans="1:14" customFormat="1" x14ac:dyDescent="0.55000000000000004">
      <c r="A498" s="105" t="s">
        <v>3303</v>
      </c>
      <c r="B498" s="61" t="s">
        <v>706</v>
      </c>
      <c r="C498" s="61" t="s">
        <v>125</v>
      </c>
      <c r="D498" s="61" t="s">
        <v>3288</v>
      </c>
      <c r="E498" s="119">
        <v>0</v>
      </c>
      <c r="F498" s="148" t="s">
        <v>135</v>
      </c>
      <c r="G498" s="148">
        <v>1</v>
      </c>
      <c r="H498" s="61" t="s">
        <v>39</v>
      </c>
      <c r="I498" s="61" t="s">
        <v>947</v>
      </c>
      <c r="J498" s="61" t="s">
        <v>919</v>
      </c>
      <c r="K498" s="61" t="s">
        <v>126</v>
      </c>
      <c r="L498" s="159"/>
      <c r="M498" s="48"/>
      <c r="N498" s="123"/>
    </row>
    <row r="499" spans="1:14" customFormat="1" x14ac:dyDescent="0.55000000000000004">
      <c r="A499" s="105" t="s">
        <v>3303</v>
      </c>
      <c r="B499" s="61" t="s">
        <v>925</v>
      </c>
      <c r="C499" s="61" t="s">
        <v>125</v>
      </c>
      <c r="D499" s="61" t="s">
        <v>3288</v>
      </c>
      <c r="E499" s="119">
        <v>2.1052632000000002E-2</v>
      </c>
      <c r="F499" s="148" t="s">
        <v>135</v>
      </c>
      <c r="G499" s="148">
        <v>1</v>
      </c>
      <c r="H499" s="61" t="s">
        <v>39</v>
      </c>
      <c r="I499" s="61" t="s">
        <v>947</v>
      </c>
      <c r="J499" s="61" t="s">
        <v>919</v>
      </c>
      <c r="K499" s="61" t="s">
        <v>126</v>
      </c>
      <c r="L499" s="159"/>
      <c r="M499" s="48"/>
      <c r="N499" s="123"/>
    </row>
    <row r="500" spans="1:14" customFormat="1" x14ac:dyDescent="0.55000000000000004">
      <c r="A500" s="105" t="s">
        <v>3303</v>
      </c>
      <c r="B500" s="61" t="s">
        <v>213</v>
      </c>
      <c r="C500" s="61" t="s">
        <v>125</v>
      </c>
      <c r="D500" s="61" t="s">
        <v>3288</v>
      </c>
      <c r="E500" s="119">
        <v>6.4736842000000003E-2</v>
      </c>
      <c r="F500" s="148" t="s">
        <v>135</v>
      </c>
      <c r="G500" s="148">
        <v>1</v>
      </c>
      <c r="H500" s="61" t="s">
        <v>39</v>
      </c>
      <c r="I500" s="61" t="s">
        <v>947</v>
      </c>
      <c r="J500" s="61" t="s">
        <v>919</v>
      </c>
      <c r="K500" s="61" t="s">
        <v>126</v>
      </c>
      <c r="L500" s="159"/>
      <c r="M500" s="48"/>
      <c r="N500" s="123"/>
    </row>
    <row r="501" spans="1:14" customFormat="1" x14ac:dyDescent="0.55000000000000004">
      <c r="A501" s="105" t="s">
        <v>3303</v>
      </c>
      <c r="B501" s="61" t="s">
        <v>334</v>
      </c>
      <c r="C501" s="61" t="s">
        <v>127</v>
      </c>
      <c r="D501" s="61" t="s">
        <v>2994</v>
      </c>
      <c r="E501" s="119">
        <v>6.4736842000000003E-2</v>
      </c>
      <c r="F501" s="148" t="s">
        <v>135</v>
      </c>
      <c r="G501" s="148">
        <v>1</v>
      </c>
      <c r="H501" s="61" t="s">
        <v>39</v>
      </c>
      <c r="I501" s="61" t="s">
        <v>947</v>
      </c>
      <c r="J501" s="61" t="s">
        <v>919</v>
      </c>
      <c r="K501" s="61" t="s">
        <v>126</v>
      </c>
      <c r="L501" s="159"/>
      <c r="M501" s="48"/>
      <c r="N501" s="123"/>
    </row>
    <row r="502" spans="1:14" customFormat="1" x14ac:dyDescent="0.55000000000000004">
      <c r="A502" s="105" t="s">
        <v>3303</v>
      </c>
      <c r="B502" s="61" t="s">
        <v>153</v>
      </c>
      <c r="C502" s="61" t="s">
        <v>127</v>
      </c>
      <c r="D502" s="61" t="s">
        <v>2994</v>
      </c>
      <c r="E502" s="119">
        <v>3.2571428569999998</v>
      </c>
      <c r="F502" s="148" t="s">
        <v>138</v>
      </c>
      <c r="G502" s="148">
        <v>1</v>
      </c>
      <c r="H502" s="61" t="s">
        <v>39</v>
      </c>
      <c r="I502" s="61" t="s">
        <v>1023</v>
      </c>
      <c r="J502" s="61" t="s">
        <v>919</v>
      </c>
      <c r="K502" s="61" t="s">
        <v>126</v>
      </c>
      <c r="L502" s="159"/>
      <c r="M502" s="48"/>
      <c r="N502" s="123"/>
    </row>
    <row r="503" spans="1:14" customFormat="1" x14ac:dyDescent="0.55000000000000004">
      <c r="A503" s="105" t="s">
        <v>3303</v>
      </c>
      <c r="B503" s="61" t="s">
        <v>153</v>
      </c>
      <c r="C503" s="61" t="s">
        <v>127</v>
      </c>
      <c r="D503" s="61" t="s">
        <v>2994</v>
      </c>
      <c r="E503" s="119">
        <v>5.8415962979999998</v>
      </c>
      <c r="F503" s="148" t="s">
        <v>138</v>
      </c>
      <c r="G503" s="148">
        <v>1</v>
      </c>
      <c r="H503" s="61" t="s">
        <v>39</v>
      </c>
      <c r="I503" s="61" t="s">
        <v>947</v>
      </c>
      <c r="J503" s="61" t="s">
        <v>919</v>
      </c>
      <c r="K503" s="61" t="s">
        <v>126</v>
      </c>
      <c r="L503" s="159"/>
      <c r="M503" s="48"/>
      <c r="N503" s="123"/>
    </row>
    <row r="504" spans="1:14" customFormat="1" x14ac:dyDescent="0.55000000000000004">
      <c r="A504" s="105" t="s">
        <v>3304</v>
      </c>
      <c r="B504" s="61" t="s">
        <v>998</v>
      </c>
      <c r="C504" s="61" t="s">
        <v>121</v>
      </c>
      <c r="D504" s="61" t="s">
        <v>3288</v>
      </c>
      <c r="E504" s="119">
        <v>1</v>
      </c>
      <c r="F504" s="148" t="s">
        <v>135</v>
      </c>
      <c r="G504" s="148">
        <v>1</v>
      </c>
      <c r="H504" s="61" t="s">
        <v>39</v>
      </c>
      <c r="I504" s="61"/>
      <c r="J504" s="61"/>
      <c r="K504" s="61"/>
      <c r="L504" s="159">
        <v>271114</v>
      </c>
      <c r="M504" s="48"/>
      <c r="N504" s="123"/>
    </row>
    <row r="505" spans="1:14" customFormat="1" x14ac:dyDescent="0.55000000000000004">
      <c r="A505" s="105" t="s">
        <v>3304</v>
      </c>
      <c r="B505" s="61" t="s">
        <v>625</v>
      </c>
      <c r="C505" s="61" t="s">
        <v>125</v>
      </c>
      <c r="D505" s="61" t="s">
        <v>3288</v>
      </c>
      <c r="E505" s="119">
        <v>0.98744939300000001</v>
      </c>
      <c r="F505" s="148" t="s">
        <v>135</v>
      </c>
      <c r="G505" s="148">
        <v>1</v>
      </c>
      <c r="H505" s="61" t="s">
        <v>39</v>
      </c>
      <c r="I505" s="61" t="s">
        <v>956</v>
      </c>
      <c r="J505" s="61" t="s">
        <v>919</v>
      </c>
      <c r="K505" s="61" t="s">
        <v>126</v>
      </c>
      <c r="L505" s="159"/>
      <c r="M505" s="48"/>
      <c r="N505" s="123"/>
    </row>
    <row r="506" spans="1:14" customFormat="1" x14ac:dyDescent="0.55000000000000004">
      <c r="A506" s="105" t="s">
        <v>3304</v>
      </c>
      <c r="B506" s="61" t="s">
        <v>706</v>
      </c>
      <c r="C506" s="61" t="s">
        <v>125</v>
      </c>
      <c r="D506" s="61" t="s">
        <v>3288</v>
      </c>
      <c r="E506" s="119">
        <v>0</v>
      </c>
      <c r="F506" s="148" t="s">
        <v>135</v>
      </c>
      <c r="G506" s="148">
        <v>1</v>
      </c>
      <c r="H506" s="61" t="s">
        <v>39</v>
      </c>
      <c r="I506" s="61" t="s">
        <v>947</v>
      </c>
      <c r="J506" s="61" t="s">
        <v>919</v>
      </c>
      <c r="K506" s="61" t="s">
        <v>126</v>
      </c>
      <c r="L506" s="159"/>
      <c r="M506" s="48"/>
      <c r="N506" s="123"/>
    </row>
    <row r="507" spans="1:14" customFormat="1" x14ac:dyDescent="0.55000000000000004">
      <c r="A507" s="105" t="s">
        <v>3304</v>
      </c>
      <c r="B507" s="61" t="s">
        <v>925</v>
      </c>
      <c r="C507" s="61" t="s">
        <v>125</v>
      </c>
      <c r="D507" s="61" t="s">
        <v>3288</v>
      </c>
      <c r="E507" s="119">
        <v>2.4696355999999999E-2</v>
      </c>
      <c r="F507" s="148" t="s">
        <v>135</v>
      </c>
      <c r="G507" s="148">
        <v>1</v>
      </c>
      <c r="H507" s="61" t="s">
        <v>39</v>
      </c>
      <c r="I507" s="61" t="s">
        <v>947</v>
      </c>
      <c r="J507" s="61" t="s">
        <v>919</v>
      </c>
      <c r="K507" s="61" t="s">
        <v>126</v>
      </c>
      <c r="L507" s="159"/>
      <c r="M507" s="48"/>
      <c r="N507" s="123"/>
    </row>
    <row r="508" spans="1:14" customFormat="1" x14ac:dyDescent="0.55000000000000004">
      <c r="A508" s="105" t="s">
        <v>3304</v>
      </c>
      <c r="B508" s="61" t="s">
        <v>923</v>
      </c>
      <c r="C508" s="61" t="s">
        <v>127</v>
      </c>
      <c r="D508" s="61" t="s">
        <v>2994</v>
      </c>
      <c r="E508" s="119">
        <v>8.8684184530000003</v>
      </c>
      <c r="F508" s="148" t="s">
        <v>138</v>
      </c>
      <c r="G508" s="148">
        <v>1</v>
      </c>
      <c r="H508" s="61" t="s">
        <v>39</v>
      </c>
      <c r="I508" s="61" t="s">
        <v>957</v>
      </c>
      <c r="J508" s="61" t="s">
        <v>919</v>
      </c>
      <c r="K508" s="61" t="s">
        <v>126</v>
      </c>
      <c r="L508" s="159"/>
      <c r="M508" s="48"/>
      <c r="N508" s="123"/>
    </row>
    <row r="509" spans="1:14" customFormat="1" x14ac:dyDescent="0.55000000000000004">
      <c r="A509" s="105" t="s">
        <v>3304</v>
      </c>
      <c r="B509" s="61" t="s">
        <v>153</v>
      </c>
      <c r="C509" s="61" t="s">
        <v>127</v>
      </c>
      <c r="D509" s="61" t="s">
        <v>2994</v>
      </c>
      <c r="E509" s="119">
        <v>1.0253441299999999</v>
      </c>
      <c r="F509" s="148" t="s">
        <v>138</v>
      </c>
      <c r="G509" s="148">
        <v>1</v>
      </c>
      <c r="H509" s="61" t="s">
        <v>39</v>
      </c>
      <c r="I509" s="61" t="s">
        <v>958</v>
      </c>
      <c r="J509" s="61" t="s">
        <v>919</v>
      </c>
      <c r="K509" s="61" t="s">
        <v>126</v>
      </c>
      <c r="L509" s="159"/>
      <c r="M509" s="48"/>
      <c r="N509" s="123"/>
    </row>
    <row r="510" spans="1:14" customFormat="1" x14ac:dyDescent="0.55000000000000004">
      <c r="A510" s="105" t="s">
        <v>3304</v>
      </c>
      <c r="B510" s="61" t="s">
        <v>153</v>
      </c>
      <c r="C510" s="61" t="s">
        <v>127</v>
      </c>
      <c r="D510" s="61" t="s">
        <v>2994</v>
      </c>
      <c r="E510" s="119">
        <v>3.2571428569999998</v>
      </c>
      <c r="F510" s="148" t="s">
        <v>138</v>
      </c>
      <c r="G510" s="148">
        <v>1</v>
      </c>
      <c r="H510" s="61" t="s">
        <v>39</v>
      </c>
      <c r="I510" s="61" t="s">
        <v>1023</v>
      </c>
      <c r="J510" s="61" t="s">
        <v>919</v>
      </c>
      <c r="K510" s="61" t="s">
        <v>126</v>
      </c>
      <c r="L510" s="159"/>
      <c r="M510" s="48"/>
      <c r="N510" s="123"/>
    </row>
    <row r="511" spans="1:14" customFormat="1" x14ac:dyDescent="0.55000000000000004">
      <c r="A511" s="105" t="s">
        <v>3304</v>
      </c>
      <c r="B511" s="61" t="s">
        <v>153</v>
      </c>
      <c r="C511" s="61" t="s">
        <v>127</v>
      </c>
      <c r="D511" s="61" t="s">
        <v>2994</v>
      </c>
      <c r="E511" s="119">
        <v>4.2824869870000004</v>
      </c>
      <c r="F511" s="148" t="s">
        <v>138</v>
      </c>
      <c r="G511" s="148">
        <v>1</v>
      </c>
      <c r="H511" s="61" t="s">
        <v>39</v>
      </c>
      <c r="I511" s="61"/>
      <c r="J511" s="61" t="s">
        <v>919</v>
      </c>
      <c r="K511" s="61" t="s">
        <v>126</v>
      </c>
      <c r="L511" s="159"/>
      <c r="M511" s="48"/>
      <c r="N511" s="123"/>
    </row>
    <row r="512" spans="1:14" customFormat="1" x14ac:dyDescent="0.55000000000000004">
      <c r="A512" s="105" t="s">
        <v>3304</v>
      </c>
      <c r="B512" s="61" t="s">
        <v>160</v>
      </c>
      <c r="C512" s="61" t="s">
        <v>497</v>
      </c>
      <c r="D512" s="61" t="s">
        <v>3288</v>
      </c>
      <c r="E512" s="119">
        <v>0.59418403600000003</v>
      </c>
      <c r="F512" s="148" t="s">
        <v>135</v>
      </c>
      <c r="G512" s="148">
        <v>1</v>
      </c>
      <c r="H512" s="61" t="s">
        <v>39</v>
      </c>
      <c r="I512" s="61" t="s">
        <v>959</v>
      </c>
      <c r="J512" s="61" t="s">
        <v>924</v>
      </c>
      <c r="K512" s="61" t="s">
        <v>126</v>
      </c>
      <c r="L512" s="159"/>
      <c r="M512" s="48"/>
      <c r="N512" s="123"/>
    </row>
    <row r="513" spans="1:14" customFormat="1" x14ac:dyDescent="0.55000000000000004">
      <c r="A513" s="105" t="s">
        <v>3305</v>
      </c>
      <c r="B513" s="61" t="s">
        <v>998</v>
      </c>
      <c r="C513" s="61" t="s">
        <v>121</v>
      </c>
      <c r="D513" s="61" t="s">
        <v>3288</v>
      </c>
      <c r="E513" s="119">
        <v>1</v>
      </c>
      <c r="F513" s="148" t="s">
        <v>135</v>
      </c>
      <c r="G513" s="148">
        <v>1</v>
      </c>
      <c r="H513" s="61" t="s">
        <v>39</v>
      </c>
      <c r="I513" s="61"/>
      <c r="J513" s="61"/>
      <c r="K513" s="61"/>
      <c r="L513" s="159">
        <v>271114</v>
      </c>
      <c r="M513" s="48"/>
      <c r="N513" s="123"/>
    </row>
    <row r="514" spans="1:14" customFormat="1" x14ac:dyDescent="0.55000000000000004">
      <c r="A514" s="105" t="s">
        <v>3305</v>
      </c>
      <c r="B514" s="61" t="s">
        <v>923</v>
      </c>
      <c r="C514" s="61" t="s">
        <v>127</v>
      </c>
      <c r="D514" s="61" t="s">
        <v>2994</v>
      </c>
      <c r="E514" s="119">
        <v>8.461538462</v>
      </c>
      <c r="F514" s="148" t="s">
        <v>138</v>
      </c>
      <c r="G514" s="148">
        <v>1</v>
      </c>
      <c r="H514" s="61" t="s">
        <v>39</v>
      </c>
      <c r="I514" s="61" t="s">
        <v>947</v>
      </c>
      <c r="J514" s="61" t="s">
        <v>919</v>
      </c>
      <c r="K514" s="61" t="s">
        <v>126</v>
      </c>
      <c r="L514" s="159"/>
      <c r="M514" s="48"/>
      <c r="N514" s="123"/>
    </row>
    <row r="515" spans="1:14" customFormat="1" x14ac:dyDescent="0.55000000000000004">
      <c r="A515" s="105" t="s">
        <v>3305</v>
      </c>
      <c r="B515" s="61" t="s">
        <v>625</v>
      </c>
      <c r="C515" s="61" t="s">
        <v>125</v>
      </c>
      <c r="D515" s="61" t="s">
        <v>3288</v>
      </c>
      <c r="E515" s="119">
        <v>0.91821862300000001</v>
      </c>
      <c r="F515" s="148" t="s">
        <v>135</v>
      </c>
      <c r="G515" s="148">
        <v>1</v>
      </c>
      <c r="H515" s="61" t="s">
        <v>39</v>
      </c>
      <c r="I515" s="61" t="s">
        <v>947</v>
      </c>
      <c r="J515" s="61" t="s">
        <v>919</v>
      </c>
      <c r="K515" s="61" t="s">
        <v>126</v>
      </c>
      <c r="L515" s="159"/>
      <c r="M515" s="48"/>
      <c r="N515" s="123"/>
    </row>
    <row r="516" spans="1:14" customFormat="1" x14ac:dyDescent="0.55000000000000004">
      <c r="A516" s="105" t="s">
        <v>3305</v>
      </c>
      <c r="B516" s="61" t="s">
        <v>706</v>
      </c>
      <c r="C516" s="61" t="s">
        <v>125</v>
      </c>
      <c r="D516" s="61" t="s">
        <v>3288</v>
      </c>
      <c r="E516" s="119">
        <v>0</v>
      </c>
      <c r="F516" s="148" t="s">
        <v>135</v>
      </c>
      <c r="G516" s="148">
        <v>1</v>
      </c>
      <c r="H516" s="61" t="s">
        <v>39</v>
      </c>
      <c r="I516" s="61" t="s">
        <v>947</v>
      </c>
      <c r="J516" s="61" t="s">
        <v>919</v>
      </c>
      <c r="K516" s="61" t="s">
        <v>126</v>
      </c>
      <c r="L516" s="159"/>
      <c r="M516" s="48"/>
      <c r="N516" s="123"/>
    </row>
    <row r="517" spans="1:14" customFormat="1" x14ac:dyDescent="0.55000000000000004">
      <c r="A517" s="105" t="s">
        <v>3305</v>
      </c>
      <c r="B517" s="61" t="s">
        <v>925</v>
      </c>
      <c r="C517" s="61" t="s">
        <v>125</v>
      </c>
      <c r="D517" s="61" t="s">
        <v>3288</v>
      </c>
      <c r="E517" s="119">
        <v>2.3076922999999999E-2</v>
      </c>
      <c r="F517" s="148" t="s">
        <v>135</v>
      </c>
      <c r="G517" s="148">
        <v>1</v>
      </c>
      <c r="H517" s="61" t="s">
        <v>39</v>
      </c>
      <c r="I517" s="61" t="s">
        <v>947</v>
      </c>
      <c r="J517" s="61" t="s">
        <v>919</v>
      </c>
      <c r="K517" s="61" t="s">
        <v>126</v>
      </c>
      <c r="L517" s="159"/>
      <c r="M517" s="48"/>
      <c r="N517" s="123"/>
    </row>
    <row r="518" spans="1:14" customFormat="1" x14ac:dyDescent="0.55000000000000004">
      <c r="A518" s="105" t="s">
        <v>3305</v>
      </c>
      <c r="B518" s="61" t="s">
        <v>213</v>
      </c>
      <c r="C518" s="61" t="s">
        <v>125</v>
      </c>
      <c r="D518" s="61" t="s">
        <v>3288</v>
      </c>
      <c r="E518" s="119">
        <v>6.4777327999999995E-2</v>
      </c>
      <c r="F518" s="148" t="s">
        <v>135</v>
      </c>
      <c r="G518" s="148">
        <v>1</v>
      </c>
      <c r="H518" s="61" t="s">
        <v>39</v>
      </c>
      <c r="I518" s="61" t="s">
        <v>960</v>
      </c>
      <c r="J518" s="61" t="s">
        <v>919</v>
      </c>
      <c r="K518" s="61" t="s">
        <v>126</v>
      </c>
      <c r="L518" s="159"/>
      <c r="M518" s="48"/>
      <c r="N518" s="123"/>
    </row>
    <row r="519" spans="1:14" customFormat="1" x14ac:dyDescent="0.55000000000000004">
      <c r="A519" s="105" t="s">
        <v>3305</v>
      </c>
      <c r="B519" s="61" t="s">
        <v>153</v>
      </c>
      <c r="C519" s="61" t="s">
        <v>127</v>
      </c>
      <c r="D519" s="61" t="s">
        <v>2994</v>
      </c>
      <c r="E519" s="119">
        <v>1.0253441299999999</v>
      </c>
      <c r="F519" s="148" t="s">
        <v>138</v>
      </c>
      <c r="G519" s="148">
        <v>1</v>
      </c>
      <c r="H519" s="61" t="s">
        <v>39</v>
      </c>
      <c r="I519" s="61" t="s">
        <v>961</v>
      </c>
      <c r="J519" s="61" t="s">
        <v>919</v>
      </c>
      <c r="K519" s="61" t="s">
        <v>126</v>
      </c>
      <c r="L519" s="159"/>
      <c r="M519" s="48"/>
      <c r="N519" s="123"/>
    </row>
    <row r="520" spans="1:14" customFormat="1" x14ac:dyDescent="0.55000000000000004">
      <c r="A520" s="105" t="s">
        <v>3305</v>
      </c>
      <c r="B520" s="61" t="s">
        <v>153</v>
      </c>
      <c r="C520" s="61" t="s">
        <v>127</v>
      </c>
      <c r="D520" s="61" t="s">
        <v>2994</v>
      </c>
      <c r="E520" s="119">
        <v>0.44048583000000002</v>
      </c>
      <c r="F520" s="148" t="s">
        <v>138</v>
      </c>
      <c r="G520" s="148">
        <v>1</v>
      </c>
      <c r="H520" s="61" t="s">
        <v>39</v>
      </c>
      <c r="I520" s="61" t="s">
        <v>1000</v>
      </c>
      <c r="J520" s="61" t="s">
        <v>919</v>
      </c>
      <c r="K520" s="61" t="s">
        <v>126</v>
      </c>
      <c r="L520" s="159"/>
      <c r="M520" s="48"/>
      <c r="N520" s="123"/>
    </row>
    <row r="521" spans="1:14" customFormat="1" x14ac:dyDescent="0.55000000000000004">
      <c r="A521" s="105" t="s">
        <v>3305</v>
      </c>
      <c r="B521" s="61" t="s">
        <v>153</v>
      </c>
      <c r="C521" s="61" t="s">
        <v>127</v>
      </c>
      <c r="D521" s="61" t="s">
        <v>2994</v>
      </c>
      <c r="E521" s="119">
        <v>3.2571428569999998</v>
      </c>
      <c r="F521" s="148" t="s">
        <v>138</v>
      </c>
      <c r="G521" s="148">
        <v>1</v>
      </c>
      <c r="H521" s="61" t="s">
        <v>39</v>
      </c>
      <c r="I521" s="61" t="s">
        <v>1023</v>
      </c>
      <c r="J521" s="61" t="s">
        <v>919</v>
      </c>
      <c r="K521" s="61" t="s">
        <v>126</v>
      </c>
      <c r="L521" s="159"/>
      <c r="M521" s="48"/>
      <c r="N521" s="123"/>
    </row>
    <row r="522" spans="1:14" customFormat="1" x14ac:dyDescent="0.55000000000000004">
      <c r="A522" s="105" t="s">
        <v>3305</v>
      </c>
      <c r="B522" s="61" t="s">
        <v>153</v>
      </c>
      <c r="C522" s="61" t="s">
        <v>127</v>
      </c>
      <c r="D522" s="61" t="s">
        <v>2994</v>
      </c>
      <c r="E522" s="119">
        <v>4.7229728169999996</v>
      </c>
      <c r="F522" s="148" t="s">
        <v>138</v>
      </c>
      <c r="G522" s="148">
        <v>1</v>
      </c>
      <c r="H522" s="61" t="s">
        <v>39</v>
      </c>
      <c r="I522" s="61" t="s">
        <v>962</v>
      </c>
      <c r="J522" s="61" t="s">
        <v>919</v>
      </c>
      <c r="K522" s="61" t="s">
        <v>126</v>
      </c>
      <c r="L522" s="159"/>
      <c r="M522" s="48"/>
      <c r="N522" s="123"/>
    </row>
    <row r="523" spans="1:14" customFormat="1" x14ac:dyDescent="0.55000000000000004">
      <c r="A523" s="105" t="s">
        <v>3305</v>
      </c>
      <c r="B523" s="61" t="s">
        <v>160</v>
      </c>
      <c r="C523" s="61" t="s">
        <v>497</v>
      </c>
      <c r="D523" s="61" t="s">
        <v>3288</v>
      </c>
      <c r="E523" s="119">
        <v>0.566923077</v>
      </c>
      <c r="F523" s="148" t="s">
        <v>135</v>
      </c>
      <c r="G523" s="148">
        <v>1</v>
      </c>
      <c r="H523" s="61" t="s">
        <v>39</v>
      </c>
      <c r="I523" s="61" t="s">
        <v>959</v>
      </c>
      <c r="J523" s="61" t="s">
        <v>924</v>
      </c>
      <c r="K523" s="61" t="s">
        <v>126</v>
      </c>
      <c r="L523" s="159"/>
      <c r="M523" s="48"/>
      <c r="N523" s="123"/>
    </row>
    <row r="524" spans="1:14" customFormat="1" x14ac:dyDescent="0.55000000000000004">
      <c r="A524" s="105" t="s">
        <v>3306</v>
      </c>
      <c r="B524" s="61" t="s">
        <v>998</v>
      </c>
      <c r="C524" s="61" t="s">
        <v>121</v>
      </c>
      <c r="D524" s="61" t="s">
        <v>3288</v>
      </c>
      <c r="E524" s="119">
        <v>1</v>
      </c>
      <c r="F524" s="148" t="s">
        <v>135</v>
      </c>
      <c r="G524" s="148">
        <v>1</v>
      </c>
      <c r="H524" s="61" t="s">
        <v>39</v>
      </c>
      <c r="I524" s="61"/>
      <c r="J524" s="61"/>
      <c r="K524" s="61"/>
      <c r="L524" s="159">
        <v>271114</v>
      </c>
      <c r="M524" s="48"/>
      <c r="N524" s="123"/>
    </row>
    <row r="525" spans="1:14" customFormat="1" x14ac:dyDescent="0.55000000000000004">
      <c r="A525" s="105" t="s">
        <v>3306</v>
      </c>
      <c r="B525" s="61" t="s">
        <v>625</v>
      </c>
      <c r="C525" s="61" t="s">
        <v>125</v>
      </c>
      <c r="D525" s="61" t="s">
        <v>3288</v>
      </c>
      <c r="E525" s="119">
        <v>0.98744939300000001</v>
      </c>
      <c r="F525" s="148" t="s">
        <v>135</v>
      </c>
      <c r="G525" s="148">
        <v>1</v>
      </c>
      <c r="H525" s="61" t="s">
        <v>39</v>
      </c>
      <c r="I525" s="61" t="s">
        <v>947</v>
      </c>
      <c r="J525" s="61" t="s">
        <v>919</v>
      </c>
      <c r="K525" s="61" t="s">
        <v>126</v>
      </c>
      <c r="L525" s="159"/>
      <c r="M525" s="48"/>
      <c r="N525" s="123"/>
    </row>
    <row r="526" spans="1:14" customFormat="1" x14ac:dyDescent="0.55000000000000004">
      <c r="A526" s="105" t="s">
        <v>3306</v>
      </c>
      <c r="B526" s="61" t="s">
        <v>706</v>
      </c>
      <c r="C526" s="61" t="s">
        <v>125</v>
      </c>
      <c r="D526" s="61" t="s">
        <v>3288</v>
      </c>
      <c r="E526" s="119">
        <v>0</v>
      </c>
      <c r="F526" s="148" t="s">
        <v>135</v>
      </c>
      <c r="G526" s="148">
        <v>1</v>
      </c>
      <c r="H526" s="61" t="s">
        <v>39</v>
      </c>
      <c r="I526" s="61" t="s">
        <v>947</v>
      </c>
      <c r="J526" s="61" t="s">
        <v>919</v>
      </c>
      <c r="K526" s="61" t="s">
        <v>126</v>
      </c>
      <c r="L526" s="159"/>
      <c r="M526" s="48"/>
      <c r="N526" s="123"/>
    </row>
    <row r="527" spans="1:14" customFormat="1" x14ac:dyDescent="0.55000000000000004">
      <c r="A527" s="105" t="s">
        <v>3306</v>
      </c>
      <c r="B527" s="61" t="s">
        <v>925</v>
      </c>
      <c r="C527" s="61" t="s">
        <v>125</v>
      </c>
      <c r="D527" s="61" t="s">
        <v>3288</v>
      </c>
      <c r="E527" s="119">
        <v>2.4696355999999999E-2</v>
      </c>
      <c r="F527" s="148" t="s">
        <v>135</v>
      </c>
      <c r="G527" s="148">
        <v>1</v>
      </c>
      <c r="H527" s="61" t="s">
        <v>39</v>
      </c>
      <c r="I527" s="61" t="s">
        <v>947</v>
      </c>
      <c r="J527" s="61" t="s">
        <v>919</v>
      </c>
      <c r="K527" s="61" t="s">
        <v>126</v>
      </c>
      <c r="L527" s="159"/>
      <c r="M527" s="48"/>
      <c r="N527" s="123"/>
    </row>
    <row r="528" spans="1:14" customFormat="1" x14ac:dyDescent="0.55000000000000004">
      <c r="A528" s="105" t="s">
        <v>3306</v>
      </c>
      <c r="B528" s="61" t="s">
        <v>923</v>
      </c>
      <c r="C528" s="61" t="s">
        <v>127</v>
      </c>
      <c r="D528" s="61" t="s">
        <v>2994</v>
      </c>
      <c r="E528" s="119">
        <v>8.8663967610000007</v>
      </c>
      <c r="F528" s="148" t="s">
        <v>138</v>
      </c>
      <c r="G528" s="148">
        <v>1</v>
      </c>
      <c r="H528" s="61" t="s">
        <v>39</v>
      </c>
      <c r="I528" s="61" t="s">
        <v>947</v>
      </c>
      <c r="J528" s="61" t="s">
        <v>919</v>
      </c>
      <c r="K528" s="61" t="s">
        <v>126</v>
      </c>
      <c r="L528" s="159"/>
      <c r="M528" s="48"/>
      <c r="N528" s="123"/>
    </row>
    <row r="529" spans="1:14" customFormat="1" x14ac:dyDescent="0.55000000000000004">
      <c r="A529" s="105" t="s">
        <v>3306</v>
      </c>
      <c r="B529" s="61" t="s">
        <v>153</v>
      </c>
      <c r="C529" s="61" t="s">
        <v>127</v>
      </c>
      <c r="D529" s="61" t="s">
        <v>2994</v>
      </c>
      <c r="E529" s="119">
        <v>0.415119081</v>
      </c>
      <c r="F529" s="148" t="s">
        <v>138</v>
      </c>
      <c r="G529" s="148">
        <v>1</v>
      </c>
      <c r="H529" s="61" t="s">
        <v>39</v>
      </c>
      <c r="I529" s="61" t="s">
        <v>949</v>
      </c>
      <c r="J529" s="61" t="s">
        <v>919</v>
      </c>
      <c r="K529" s="61" t="s">
        <v>126</v>
      </c>
      <c r="L529" s="159"/>
      <c r="M529" s="48"/>
      <c r="N529" s="123"/>
    </row>
    <row r="530" spans="1:14" customFormat="1" x14ac:dyDescent="0.55000000000000004">
      <c r="A530" s="105" t="s">
        <v>3306</v>
      </c>
      <c r="B530" s="61" t="s">
        <v>153</v>
      </c>
      <c r="C530" s="61" t="s">
        <v>127</v>
      </c>
      <c r="D530" s="61" t="s">
        <v>2994</v>
      </c>
      <c r="E530" s="119">
        <v>1.363190283</v>
      </c>
      <c r="F530" s="148" t="s">
        <v>138</v>
      </c>
      <c r="G530" s="148">
        <v>1</v>
      </c>
      <c r="H530" s="61" t="s">
        <v>39</v>
      </c>
      <c r="I530" s="61" t="s">
        <v>950</v>
      </c>
      <c r="J530" s="61" t="s">
        <v>919</v>
      </c>
      <c r="K530" s="61" t="s">
        <v>126</v>
      </c>
      <c r="L530" s="159"/>
      <c r="M530" s="48"/>
      <c r="N530" s="123"/>
    </row>
    <row r="531" spans="1:14" customFormat="1" x14ac:dyDescent="0.55000000000000004">
      <c r="A531" s="105" t="s">
        <v>3306</v>
      </c>
      <c r="B531" s="61" t="s">
        <v>153</v>
      </c>
      <c r="C531" s="61" t="s">
        <v>127</v>
      </c>
      <c r="D531" s="61" t="s">
        <v>2994</v>
      </c>
      <c r="E531" s="119">
        <v>3.2571428569999998</v>
      </c>
      <c r="F531" s="148" t="s">
        <v>138</v>
      </c>
      <c r="G531" s="148">
        <v>1</v>
      </c>
      <c r="H531" s="61" t="s">
        <v>39</v>
      </c>
      <c r="I531" s="61" t="s">
        <v>1023</v>
      </c>
      <c r="J531" s="61" t="s">
        <v>919</v>
      </c>
      <c r="K531" s="61" t="s">
        <v>126</v>
      </c>
      <c r="L531" s="159"/>
      <c r="M531" s="48"/>
      <c r="N531" s="123"/>
    </row>
    <row r="532" spans="1:14" customFormat="1" x14ac:dyDescent="0.55000000000000004">
      <c r="A532" s="105" t="s">
        <v>3306</v>
      </c>
      <c r="B532" s="61" t="s">
        <v>153</v>
      </c>
      <c r="C532" s="61" t="s">
        <v>127</v>
      </c>
      <c r="D532" s="61" t="s">
        <v>2994</v>
      </c>
      <c r="E532" s="119">
        <v>5.0354522209999999</v>
      </c>
      <c r="F532" s="148" t="s">
        <v>138</v>
      </c>
      <c r="G532" s="148">
        <v>1</v>
      </c>
      <c r="H532" s="61" t="s">
        <v>39</v>
      </c>
      <c r="I532" s="61" t="s">
        <v>947</v>
      </c>
      <c r="J532" s="61" t="s">
        <v>919</v>
      </c>
      <c r="K532" s="61" t="s">
        <v>126</v>
      </c>
      <c r="L532" s="159"/>
      <c r="M532" s="48"/>
      <c r="N532" s="123"/>
    </row>
    <row r="533" spans="1:14" customFormat="1" x14ac:dyDescent="0.55000000000000004">
      <c r="A533" s="105" t="s">
        <v>3306</v>
      </c>
      <c r="B533" s="61" t="s">
        <v>160</v>
      </c>
      <c r="C533" s="61" t="s">
        <v>497</v>
      </c>
      <c r="D533" s="61" t="s">
        <v>3288</v>
      </c>
      <c r="E533" s="119">
        <v>2.9702428999999999E-2</v>
      </c>
      <c r="F533" s="148" t="s">
        <v>135</v>
      </c>
      <c r="G533" s="148">
        <v>1</v>
      </c>
      <c r="H533" s="61" t="s">
        <v>39</v>
      </c>
      <c r="I533" s="61" t="s">
        <v>959</v>
      </c>
      <c r="J533" s="61" t="s">
        <v>924</v>
      </c>
      <c r="K533" s="61" t="s">
        <v>126</v>
      </c>
      <c r="L533" s="159"/>
      <c r="M533" s="48"/>
      <c r="N533" s="123"/>
    </row>
    <row r="534" spans="1:14" customFormat="1" x14ac:dyDescent="0.55000000000000004">
      <c r="A534" s="105" t="s">
        <v>3307</v>
      </c>
      <c r="B534" s="61" t="s">
        <v>998</v>
      </c>
      <c r="C534" s="61" t="s">
        <v>121</v>
      </c>
      <c r="D534" s="61" t="s">
        <v>3288</v>
      </c>
      <c r="E534" s="119">
        <v>1</v>
      </c>
      <c r="F534" s="148" t="s">
        <v>135</v>
      </c>
      <c r="G534" s="148">
        <v>1</v>
      </c>
      <c r="H534" s="61" t="s">
        <v>39</v>
      </c>
      <c r="I534" s="61"/>
      <c r="J534" s="61"/>
      <c r="K534" s="61"/>
      <c r="L534" s="159">
        <v>271114</v>
      </c>
      <c r="M534" s="48"/>
      <c r="N534" s="123"/>
    </row>
    <row r="535" spans="1:14" customFormat="1" x14ac:dyDescent="0.55000000000000004">
      <c r="A535" s="105" t="s">
        <v>3307</v>
      </c>
      <c r="B535" s="61" t="s">
        <v>923</v>
      </c>
      <c r="C535" s="61" t="s">
        <v>125</v>
      </c>
      <c r="D535" s="61" t="s">
        <v>3288</v>
      </c>
      <c r="E535" s="119">
        <v>8.461538462</v>
      </c>
      <c r="F535" s="148" t="s">
        <v>138</v>
      </c>
      <c r="G535" s="148">
        <v>1</v>
      </c>
      <c r="H535" s="61" t="s">
        <v>39</v>
      </c>
      <c r="I535" s="61" t="s">
        <v>984</v>
      </c>
      <c r="J535" s="61" t="s">
        <v>919</v>
      </c>
      <c r="K535" s="61" t="s">
        <v>126</v>
      </c>
      <c r="L535" s="159"/>
      <c r="M535" s="48"/>
      <c r="N535" s="123"/>
    </row>
    <row r="536" spans="1:14" customFormat="1" x14ac:dyDescent="0.55000000000000004">
      <c r="A536" s="105" t="s">
        <v>3307</v>
      </c>
      <c r="B536" s="61" t="s">
        <v>625</v>
      </c>
      <c r="C536" s="61" t="s">
        <v>125</v>
      </c>
      <c r="D536" s="61" t="s">
        <v>3288</v>
      </c>
      <c r="E536" s="119">
        <v>0.91821862300000001</v>
      </c>
      <c r="F536" s="148" t="s">
        <v>135</v>
      </c>
      <c r="G536" s="148">
        <v>1</v>
      </c>
      <c r="H536" s="61" t="s">
        <v>39</v>
      </c>
      <c r="I536" s="61" t="s">
        <v>984</v>
      </c>
      <c r="J536" s="61" t="s">
        <v>919</v>
      </c>
      <c r="K536" s="61" t="s">
        <v>126</v>
      </c>
      <c r="L536" s="159"/>
      <c r="M536" s="48"/>
      <c r="N536" s="123"/>
    </row>
    <row r="537" spans="1:14" customFormat="1" x14ac:dyDescent="0.55000000000000004">
      <c r="A537" s="105" t="s">
        <v>3307</v>
      </c>
      <c r="B537" s="61" t="s">
        <v>706</v>
      </c>
      <c r="C537" s="61" t="s">
        <v>125</v>
      </c>
      <c r="D537" s="61" t="s">
        <v>3288</v>
      </c>
      <c r="E537" s="119">
        <v>0</v>
      </c>
      <c r="F537" s="148" t="s">
        <v>135</v>
      </c>
      <c r="G537" s="148">
        <v>1</v>
      </c>
      <c r="H537" s="61" t="s">
        <v>39</v>
      </c>
      <c r="I537" s="61" t="s">
        <v>984</v>
      </c>
      <c r="J537" s="61" t="s">
        <v>919</v>
      </c>
      <c r="K537" s="61" t="s">
        <v>126</v>
      </c>
      <c r="L537" s="159"/>
      <c r="M537" s="48"/>
      <c r="N537" s="123"/>
    </row>
    <row r="538" spans="1:14" customFormat="1" x14ac:dyDescent="0.55000000000000004">
      <c r="A538" s="105" t="s">
        <v>3307</v>
      </c>
      <c r="B538" s="61" t="s">
        <v>925</v>
      </c>
      <c r="C538" s="61" t="s">
        <v>125</v>
      </c>
      <c r="D538" s="61" t="s">
        <v>3288</v>
      </c>
      <c r="E538" s="119">
        <v>2.3076922999999999E-2</v>
      </c>
      <c r="F538" s="148" t="s">
        <v>135</v>
      </c>
      <c r="G538" s="148">
        <v>1</v>
      </c>
      <c r="H538" s="61" t="s">
        <v>39</v>
      </c>
      <c r="I538" s="61" t="s">
        <v>984</v>
      </c>
      <c r="J538" s="61" t="s">
        <v>919</v>
      </c>
      <c r="K538" s="61" t="s">
        <v>126</v>
      </c>
      <c r="L538" s="159"/>
      <c r="M538" s="48"/>
      <c r="N538" s="123"/>
    </row>
    <row r="539" spans="1:14" customFormat="1" x14ac:dyDescent="0.55000000000000004">
      <c r="A539" s="105" t="s">
        <v>3307</v>
      </c>
      <c r="B539" s="61" t="s">
        <v>213</v>
      </c>
      <c r="C539" s="61" t="s">
        <v>125</v>
      </c>
      <c r="D539" s="61" t="s">
        <v>3288</v>
      </c>
      <c r="E539" s="119">
        <v>6.4777327999999995E-2</v>
      </c>
      <c r="F539" s="148" t="s">
        <v>135</v>
      </c>
      <c r="G539" s="148">
        <v>1</v>
      </c>
      <c r="H539" s="61" t="s">
        <v>39</v>
      </c>
      <c r="I539" s="61" t="s">
        <v>984</v>
      </c>
      <c r="J539" s="61" t="s">
        <v>919</v>
      </c>
      <c r="K539" s="61" t="s">
        <v>126</v>
      </c>
      <c r="L539" s="159"/>
      <c r="M539" s="48"/>
      <c r="N539" s="123"/>
    </row>
    <row r="540" spans="1:14" customFormat="1" x14ac:dyDescent="0.55000000000000004">
      <c r="A540" s="105" t="s">
        <v>3307</v>
      </c>
      <c r="B540" s="61" t="s">
        <v>153</v>
      </c>
      <c r="C540" s="61" t="s">
        <v>127</v>
      </c>
      <c r="D540" s="61" t="s">
        <v>2994</v>
      </c>
      <c r="E540" s="119">
        <v>1.0253441299999999</v>
      </c>
      <c r="F540" s="148" t="s">
        <v>138</v>
      </c>
      <c r="G540" s="148">
        <v>1</v>
      </c>
      <c r="H540" s="61" t="s">
        <v>39</v>
      </c>
      <c r="I540" s="61" t="s">
        <v>984</v>
      </c>
      <c r="J540" s="61" t="s">
        <v>919</v>
      </c>
      <c r="K540" s="61" t="s">
        <v>126</v>
      </c>
      <c r="L540" s="159"/>
      <c r="M540" s="48"/>
      <c r="N540" s="123"/>
    </row>
    <row r="541" spans="1:14" customFormat="1" x14ac:dyDescent="0.55000000000000004">
      <c r="A541" s="105" t="s">
        <v>3307</v>
      </c>
      <c r="B541" s="61" t="s">
        <v>153</v>
      </c>
      <c r="C541" s="61" t="s">
        <v>127</v>
      </c>
      <c r="D541" s="61" t="s">
        <v>2994</v>
      </c>
      <c r="E541" s="119">
        <v>1.363190283</v>
      </c>
      <c r="F541" s="148" t="s">
        <v>138</v>
      </c>
      <c r="G541" s="148">
        <v>1</v>
      </c>
      <c r="H541" s="61" t="s">
        <v>39</v>
      </c>
      <c r="I541" s="61" t="s">
        <v>985</v>
      </c>
      <c r="J541" s="61" t="s">
        <v>919</v>
      </c>
      <c r="K541" s="61" t="s">
        <v>126</v>
      </c>
      <c r="L541" s="159"/>
      <c r="M541" s="48"/>
      <c r="N541" s="123"/>
    </row>
    <row r="542" spans="1:14" customFormat="1" x14ac:dyDescent="0.55000000000000004">
      <c r="A542" s="105" t="s">
        <v>3307</v>
      </c>
      <c r="B542" s="61" t="s">
        <v>153</v>
      </c>
      <c r="C542" s="61" t="s">
        <v>127</v>
      </c>
      <c r="D542" s="61" t="s">
        <v>2994</v>
      </c>
      <c r="E542" s="119">
        <v>0.44048583000000002</v>
      </c>
      <c r="F542" s="148" t="s">
        <v>138</v>
      </c>
      <c r="G542" s="148">
        <v>1</v>
      </c>
      <c r="H542" s="61" t="s">
        <v>39</v>
      </c>
      <c r="I542" s="61" t="s">
        <v>984</v>
      </c>
      <c r="J542" s="61" t="s">
        <v>919</v>
      </c>
      <c r="K542" s="61" t="s">
        <v>126</v>
      </c>
      <c r="L542" s="159"/>
      <c r="M542" s="48"/>
      <c r="N542" s="123"/>
    </row>
    <row r="543" spans="1:14" customFormat="1" x14ac:dyDescent="0.55000000000000004">
      <c r="A543" s="105" t="s">
        <v>3307</v>
      </c>
      <c r="B543" s="61" t="s">
        <v>153</v>
      </c>
      <c r="C543" s="61" t="s">
        <v>127</v>
      </c>
      <c r="D543" s="61" t="s">
        <v>2994</v>
      </c>
      <c r="E543" s="119">
        <v>3.2571428569999998</v>
      </c>
      <c r="F543" s="148" t="s">
        <v>138</v>
      </c>
      <c r="G543" s="148">
        <v>1</v>
      </c>
      <c r="H543" s="61" t="s">
        <v>39</v>
      </c>
      <c r="I543" s="61" t="s">
        <v>1023</v>
      </c>
      <c r="J543" s="61" t="s">
        <v>919</v>
      </c>
      <c r="K543" s="61" t="s">
        <v>126</v>
      </c>
      <c r="L543" s="159"/>
      <c r="M543" s="48"/>
      <c r="N543" s="123"/>
    </row>
    <row r="544" spans="1:14" customFormat="1" x14ac:dyDescent="0.55000000000000004">
      <c r="A544" s="105" t="s">
        <v>3307</v>
      </c>
      <c r="B544" s="61" t="s">
        <v>153</v>
      </c>
      <c r="C544" s="61" t="s">
        <v>127</v>
      </c>
      <c r="D544" s="61" t="s">
        <v>2994</v>
      </c>
      <c r="E544" s="119">
        <v>6.0861631000000003</v>
      </c>
      <c r="F544" s="148" t="s">
        <v>138</v>
      </c>
      <c r="G544" s="148">
        <v>1</v>
      </c>
      <c r="H544" s="61" t="s">
        <v>39</v>
      </c>
      <c r="I544" s="61"/>
      <c r="J544" s="61" t="s">
        <v>919</v>
      </c>
      <c r="K544" s="61" t="s">
        <v>126</v>
      </c>
      <c r="L544" s="159"/>
      <c r="M544" s="48"/>
      <c r="N544" s="123"/>
    </row>
    <row r="545" spans="1:14" customFormat="1" x14ac:dyDescent="0.55000000000000004">
      <c r="A545" s="105" t="s">
        <v>3307</v>
      </c>
      <c r="B545" s="61" t="s">
        <v>160</v>
      </c>
      <c r="C545" s="61" t="s">
        <v>497</v>
      </c>
      <c r="D545" s="61" t="s">
        <v>3288</v>
      </c>
      <c r="E545" s="119">
        <v>2.8346153999999998E-2</v>
      </c>
      <c r="F545" s="148" t="s">
        <v>135</v>
      </c>
      <c r="G545" s="148">
        <v>1</v>
      </c>
      <c r="H545" s="61" t="s">
        <v>39</v>
      </c>
      <c r="I545" s="61" t="s">
        <v>959</v>
      </c>
      <c r="J545" s="61" t="s">
        <v>924</v>
      </c>
      <c r="K545" s="61" t="s">
        <v>126</v>
      </c>
      <c r="L545" s="159"/>
      <c r="M545" s="48"/>
      <c r="N545" s="123"/>
    </row>
    <row r="546" spans="1:14" customFormat="1" x14ac:dyDescent="0.55000000000000004">
      <c r="A546" s="105" t="s">
        <v>3308</v>
      </c>
      <c r="B546" s="61" t="s">
        <v>998</v>
      </c>
      <c r="C546" s="61" t="s">
        <v>121</v>
      </c>
      <c r="D546" s="61" t="s">
        <v>3288</v>
      </c>
      <c r="E546" s="119">
        <v>1</v>
      </c>
      <c r="F546" s="148" t="s">
        <v>135</v>
      </c>
      <c r="G546" s="148">
        <v>1</v>
      </c>
      <c r="H546" s="61" t="s">
        <v>39</v>
      </c>
      <c r="I546" s="61"/>
      <c r="J546" s="61"/>
      <c r="K546" s="61"/>
      <c r="L546" s="159">
        <v>271114</v>
      </c>
      <c r="M546" s="48"/>
      <c r="N546" s="123"/>
    </row>
    <row r="547" spans="1:14" customFormat="1" x14ac:dyDescent="0.55000000000000004">
      <c r="A547" s="105" t="s">
        <v>3308</v>
      </c>
      <c r="B547" s="61" t="s">
        <v>921</v>
      </c>
      <c r="C547" s="61" t="s">
        <v>125</v>
      </c>
      <c r="D547" s="61" t="s">
        <v>3288</v>
      </c>
      <c r="E547" s="119">
        <v>1.3220141700000001</v>
      </c>
      <c r="F547" s="148" t="s">
        <v>135</v>
      </c>
      <c r="G547" s="148">
        <v>1</v>
      </c>
      <c r="H547" s="61" t="s">
        <v>39</v>
      </c>
      <c r="I547" s="61" t="s">
        <v>988</v>
      </c>
      <c r="J547" s="61" t="s">
        <v>919</v>
      </c>
      <c r="K547" s="61" t="s">
        <v>126</v>
      </c>
      <c r="L547" s="159"/>
      <c r="M547" s="48"/>
      <c r="N547" s="123"/>
    </row>
    <row r="548" spans="1:14" customFormat="1" x14ac:dyDescent="0.55000000000000004">
      <c r="A548" s="105" t="s">
        <v>3308</v>
      </c>
      <c r="B548" s="61" t="s">
        <v>922</v>
      </c>
      <c r="C548" s="61" t="s">
        <v>125</v>
      </c>
      <c r="D548" s="61" t="s">
        <v>3288</v>
      </c>
      <c r="E548" s="119">
        <v>1.0576113359999999</v>
      </c>
      <c r="F548" s="148" t="s">
        <v>135</v>
      </c>
      <c r="G548" s="148">
        <v>1</v>
      </c>
      <c r="H548" s="61" t="s">
        <v>39</v>
      </c>
      <c r="I548" s="61" t="s">
        <v>988</v>
      </c>
      <c r="J548" s="61" t="s">
        <v>919</v>
      </c>
      <c r="K548" s="61" t="s">
        <v>126</v>
      </c>
      <c r="L548" s="159"/>
      <c r="M548" s="48"/>
      <c r="N548" s="123"/>
    </row>
    <row r="549" spans="1:14" customFormat="1" x14ac:dyDescent="0.55000000000000004">
      <c r="A549" s="105" t="s">
        <v>3308</v>
      </c>
      <c r="B549" s="61" t="s">
        <v>213</v>
      </c>
      <c r="C549" s="61" t="s">
        <v>125</v>
      </c>
      <c r="D549" s="61" t="s">
        <v>3288</v>
      </c>
      <c r="E549" s="119">
        <v>6.4777327999999995E-2</v>
      </c>
      <c r="F549" s="148" t="s">
        <v>135</v>
      </c>
      <c r="G549" s="148">
        <v>1</v>
      </c>
      <c r="H549" s="61" t="s">
        <v>39</v>
      </c>
      <c r="I549" s="61" t="s">
        <v>987</v>
      </c>
      <c r="J549" s="61" t="s">
        <v>919</v>
      </c>
      <c r="K549" s="61" t="s">
        <v>126</v>
      </c>
      <c r="L549" s="159"/>
      <c r="M549" s="48"/>
      <c r="N549" s="123"/>
    </row>
    <row r="550" spans="1:14" customFormat="1" x14ac:dyDescent="0.55000000000000004">
      <c r="A550" s="105" t="s">
        <v>3308</v>
      </c>
      <c r="B550" s="61" t="s">
        <v>153</v>
      </c>
      <c r="C550" s="61" t="s">
        <v>127</v>
      </c>
      <c r="D550" s="61" t="s">
        <v>2994</v>
      </c>
      <c r="E550" s="119">
        <v>0.46537651800000002</v>
      </c>
      <c r="F550" s="148" t="s">
        <v>138</v>
      </c>
      <c r="G550" s="148">
        <v>1</v>
      </c>
      <c r="H550" s="61" t="s">
        <v>39</v>
      </c>
      <c r="I550" s="61" t="s">
        <v>988</v>
      </c>
      <c r="J550" s="61" t="s">
        <v>919</v>
      </c>
      <c r="K550" s="61" t="s">
        <v>126</v>
      </c>
      <c r="L550" s="159"/>
      <c r="M550" s="48"/>
      <c r="N550" s="123"/>
    </row>
    <row r="551" spans="1:14" customFormat="1" x14ac:dyDescent="0.55000000000000004">
      <c r="A551" s="105" t="s">
        <v>3308</v>
      </c>
      <c r="B551" s="61" t="s">
        <v>153</v>
      </c>
      <c r="C551" s="61" t="s">
        <v>127</v>
      </c>
      <c r="D551" s="61" t="s">
        <v>2994</v>
      </c>
      <c r="E551" s="119">
        <v>8.1201133599999995</v>
      </c>
      <c r="F551" s="148" t="s">
        <v>138</v>
      </c>
      <c r="G551" s="148">
        <v>1</v>
      </c>
      <c r="H551" s="61" t="s">
        <v>39</v>
      </c>
      <c r="I551" s="61" t="s">
        <v>953</v>
      </c>
      <c r="J551" s="61" t="s">
        <v>919</v>
      </c>
      <c r="K551" s="61" t="s">
        <v>126</v>
      </c>
      <c r="L551" s="159"/>
      <c r="M551" s="48"/>
      <c r="N551" s="123"/>
    </row>
    <row r="552" spans="1:14" customFormat="1" x14ac:dyDescent="0.55000000000000004">
      <c r="A552" s="105" t="s">
        <v>3308</v>
      </c>
      <c r="B552" s="61" t="s">
        <v>153</v>
      </c>
      <c r="C552" s="61" t="s">
        <v>127</v>
      </c>
      <c r="D552" s="61" t="s">
        <v>2994</v>
      </c>
      <c r="E552" s="119">
        <v>1.5591093119999999</v>
      </c>
      <c r="F552" s="148" t="s">
        <v>138</v>
      </c>
      <c r="G552" s="148">
        <v>1</v>
      </c>
      <c r="H552" s="61" t="s">
        <v>39</v>
      </c>
      <c r="I552" s="61" t="s">
        <v>987</v>
      </c>
      <c r="J552" s="61" t="s">
        <v>919</v>
      </c>
      <c r="K552" s="61" t="s">
        <v>126</v>
      </c>
      <c r="L552" s="159"/>
      <c r="M552" s="48"/>
      <c r="N552" s="123"/>
    </row>
    <row r="553" spans="1:14" customFormat="1" x14ac:dyDescent="0.55000000000000004">
      <c r="A553" s="105" t="s">
        <v>3308</v>
      </c>
      <c r="B553" s="61" t="s">
        <v>153</v>
      </c>
      <c r="C553" s="61" t="s">
        <v>127</v>
      </c>
      <c r="D553" s="61" t="s">
        <v>2994</v>
      </c>
      <c r="E553" s="119">
        <v>3.2571428569999998</v>
      </c>
      <c r="F553" s="148" t="s">
        <v>138</v>
      </c>
      <c r="G553" s="148">
        <v>1</v>
      </c>
      <c r="H553" s="61" t="s">
        <v>39</v>
      </c>
      <c r="I553" s="61" t="s">
        <v>1023</v>
      </c>
      <c r="J553" s="61" t="s">
        <v>919</v>
      </c>
      <c r="K553" s="61" t="s">
        <v>126</v>
      </c>
      <c r="L553" s="159"/>
      <c r="M553" s="48"/>
      <c r="N553" s="123"/>
    </row>
    <row r="554" spans="1:14" customFormat="1" x14ac:dyDescent="0.55000000000000004">
      <c r="A554" s="105" t="s">
        <v>3308</v>
      </c>
      <c r="B554" s="61" t="s">
        <v>153</v>
      </c>
      <c r="C554" s="61" t="s">
        <v>127</v>
      </c>
      <c r="D554" s="61" t="s">
        <v>2994</v>
      </c>
      <c r="E554" s="119">
        <v>13.401742049999999</v>
      </c>
      <c r="F554" s="148" t="s">
        <v>138</v>
      </c>
      <c r="G554" s="148">
        <v>1</v>
      </c>
      <c r="H554" s="61" t="s">
        <v>39</v>
      </c>
      <c r="I554" s="61"/>
      <c r="J554" s="61" t="s">
        <v>919</v>
      </c>
      <c r="K554" s="61" t="s">
        <v>126</v>
      </c>
      <c r="L554" s="159"/>
      <c r="M554" s="48"/>
      <c r="N554" s="123"/>
    </row>
    <row r="555" spans="1:14" customFormat="1" x14ac:dyDescent="0.55000000000000004">
      <c r="A555" s="105" t="s">
        <v>3309</v>
      </c>
      <c r="B555" s="61" t="s">
        <v>998</v>
      </c>
      <c r="C555" s="61" t="s">
        <v>121</v>
      </c>
      <c r="D555" s="61" t="s">
        <v>3288</v>
      </c>
      <c r="E555" s="119">
        <v>1</v>
      </c>
      <c r="F555" s="148" t="s">
        <v>135</v>
      </c>
      <c r="G555" s="148">
        <v>1</v>
      </c>
      <c r="H555" s="61" t="s">
        <v>39</v>
      </c>
      <c r="I555" s="61"/>
      <c r="J555" s="61"/>
      <c r="K555" s="61"/>
      <c r="L555" s="159">
        <v>271114</v>
      </c>
      <c r="M555" s="48"/>
      <c r="N555" s="123"/>
    </row>
    <row r="556" spans="1:14" customFormat="1" x14ac:dyDescent="0.55000000000000004">
      <c r="A556" s="105" t="s">
        <v>3309</v>
      </c>
      <c r="B556" s="61" t="s">
        <v>921</v>
      </c>
      <c r="C556" s="61" t="s">
        <v>125</v>
      </c>
      <c r="D556" s="61" t="s">
        <v>3288</v>
      </c>
      <c r="E556" s="119">
        <v>1.3220141700000001</v>
      </c>
      <c r="F556" s="148" t="s">
        <v>135</v>
      </c>
      <c r="G556" s="148">
        <v>1</v>
      </c>
      <c r="H556" s="61" t="s">
        <v>39</v>
      </c>
      <c r="I556" s="61"/>
      <c r="J556" s="61" t="s">
        <v>919</v>
      </c>
      <c r="K556" s="61" t="s">
        <v>126</v>
      </c>
      <c r="L556" s="159"/>
      <c r="M556" s="48"/>
      <c r="N556" s="123"/>
    </row>
    <row r="557" spans="1:14" customFormat="1" x14ac:dyDescent="0.55000000000000004">
      <c r="A557" s="105" t="s">
        <v>3309</v>
      </c>
      <c r="B557" s="61" t="s">
        <v>922</v>
      </c>
      <c r="C557" s="61" t="s">
        <v>125</v>
      </c>
      <c r="D557" s="61" t="s">
        <v>3288</v>
      </c>
      <c r="E557" s="119">
        <v>1.0576113359999999</v>
      </c>
      <c r="F557" s="148" t="s">
        <v>135</v>
      </c>
      <c r="G557" s="148">
        <v>1</v>
      </c>
      <c r="H557" s="61" t="s">
        <v>39</v>
      </c>
      <c r="I557" s="61"/>
      <c r="J557" s="61" t="s">
        <v>919</v>
      </c>
      <c r="K557" s="61" t="s">
        <v>126</v>
      </c>
      <c r="L557" s="159"/>
      <c r="M557" s="48"/>
      <c r="N557" s="123"/>
    </row>
    <row r="558" spans="1:14" customFormat="1" x14ac:dyDescent="0.55000000000000004">
      <c r="A558" s="105" t="s">
        <v>3309</v>
      </c>
      <c r="B558" s="61" t="s">
        <v>213</v>
      </c>
      <c r="C558" s="61" t="s">
        <v>125</v>
      </c>
      <c r="D558" s="61" t="s">
        <v>3288</v>
      </c>
      <c r="E558" s="119">
        <v>6.4777327999999995E-2</v>
      </c>
      <c r="F558" s="148" t="s">
        <v>135</v>
      </c>
      <c r="G558" s="148">
        <v>1</v>
      </c>
      <c r="H558" s="61" t="s">
        <v>39</v>
      </c>
      <c r="I558" s="61"/>
      <c r="J558" s="61" t="s">
        <v>919</v>
      </c>
      <c r="K558" s="61" t="s">
        <v>126</v>
      </c>
      <c r="L558" s="159"/>
      <c r="M558" s="48"/>
      <c r="N558" s="123"/>
    </row>
    <row r="559" spans="1:14" customFormat="1" x14ac:dyDescent="0.55000000000000004">
      <c r="A559" s="105" t="s">
        <v>3309</v>
      </c>
      <c r="B559" s="61" t="s">
        <v>153</v>
      </c>
      <c r="C559" s="61" t="s">
        <v>127</v>
      </c>
      <c r="D559" s="61" t="s">
        <v>2994</v>
      </c>
      <c r="E559" s="119">
        <v>0.46537651800000002</v>
      </c>
      <c r="F559" s="148" t="s">
        <v>138</v>
      </c>
      <c r="G559" s="148">
        <v>1</v>
      </c>
      <c r="H559" s="61" t="s">
        <v>39</v>
      </c>
      <c r="I559" s="61"/>
      <c r="J559" s="61" t="s">
        <v>919</v>
      </c>
      <c r="K559" s="61" t="s">
        <v>126</v>
      </c>
      <c r="L559" s="159"/>
      <c r="M559" s="48"/>
      <c r="N559" s="123"/>
    </row>
    <row r="560" spans="1:14" customFormat="1" x14ac:dyDescent="0.55000000000000004">
      <c r="A560" s="105" t="s">
        <v>3309</v>
      </c>
      <c r="B560" s="61" t="s">
        <v>153</v>
      </c>
      <c r="C560" s="61" t="s">
        <v>127</v>
      </c>
      <c r="D560" s="61" t="s">
        <v>2994</v>
      </c>
      <c r="E560" s="119">
        <v>8.1201133599999995</v>
      </c>
      <c r="F560" s="148" t="s">
        <v>138</v>
      </c>
      <c r="G560" s="148">
        <v>1</v>
      </c>
      <c r="H560" s="61" t="s">
        <v>39</v>
      </c>
      <c r="I560" s="61"/>
      <c r="J560" s="61" t="s">
        <v>919</v>
      </c>
      <c r="K560" s="61" t="s">
        <v>126</v>
      </c>
      <c r="L560" s="159"/>
      <c r="M560" s="48"/>
      <c r="N560" s="123"/>
    </row>
    <row r="561" spans="1:14" customFormat="1" x14ac:dyDescent="0.55000000000000004">
      <c r="A561" s="105" t="s">
        <v>3309</v>
      </c>
      <c r="B561" s="61" t="s">
        <v>153</v>
      </c>
      <c r="C561" s="61" t="s">
        <v>127</v>
      </c>
      <c r="D561" s="61" t="s">
        <v>2994</v>
      </c>
      <c r="E561" s="119">
        <v>1.5591093119999999</v>
      </c>
      <c r="F561" s="148" t="s">
        <v>138</v>
      </c>
      <c r="G561" s="148">
        <v>1</v>
      </c>
      <c r="H561" s="61" t="s">
        <v>39</v>
      </c>
      <c r="I561" s="61"/>
      <c r="J561" s="61" t="s">
        <v>919</v>
      </c>
      <c r="K561" s="61" t="s">
        <v>126</v>
      </c>
      <c r="L561" s="159"/>
      <c r="M561" s="48"/>
      <c r="N561" s="123"/>
    </row>
    <row r="562" spans="1:14" customFormat="1" x14ac:dyDescent="0.55000000000000004">
      <c r="A562" s="105" t="s">
        <v>3309</v>
      </c>
      <c r="B562" s="61" t="s">
        <v>153</v>
      </c>
      <c r="C562" s="61" t="s">
        <v>127</v>
      </c>
      <c r="D562" s="61" t="s">
        <v>2994</v>
      </c>
      <c r="E562" s="119">
        <v>1.363190283</v>
      </c>
      <c r="F562" s="148" t="s">
        <v>138</v>
      </c>
      <c r="G562" s="148">
        <v>1</v>
      </c>
      <c r="H562" s="61" t="s">
        <v>39</v>
      </c>
      <c r="I562" s="61"/>
      <c r="J562" s="61" t="s">
        <v>919</v>
      </c>
      <c r="K562" s="61" t="s">
        <v>126</v>
      </c>
      <c r="L562" s="159"/>
      <c r="M562" s="48"/>
      <c r="N562" s="123"/>
    </row>
    <row r="563" spans="1:14" customFormat="1" x14ac:dyDescent="0.55000000000000004">
      <c r="A563" s="105" t="s">
        <v>3309</v>
      </c>
      <c r="B563" s="61" t="s">
        <v>153</v>
      </c>
      <c r="C563" s="61" t="s">
        <v>127</v>
      </c>
      <c r="D563" s="61" t="s">
        <v>2994</v>
      </c>
      <c r="E563" s="119">
        <v>3.2571428569999998</v>
      </c>
      <c r="F563" s="148" t="s">
        <v>138</v>
      </c>
      <c r="G563" s="148">
        <v>1</v>
      </c>
      <c r="H563" s="61" t="s">
        <v>39</v>
      </c>
      <c r="I563" s="61" t="s">
        <v>1023</v>
      </c>
      <c r="J563" s="61" t="s">
        <v>919</v>
      </c>
      <c r="K563" s="61" t="s">
        <v>126</v>
      </c>
      <c r="L563" s="159"/>
      <c r="M563" s="48"/>
      <c r="N563" s="123"/>
    </row>
    <row r="564" spans="1:14" customFormat="1" x14ac:dyDescent="0.55000000000000004">
      <c r="A564" s="105" t="s">
        <v>3309</v>
      </c>
      <c r="B564" s="61" t="s">
        <v>153</v>
      </c>
      <c r="C564" s="61" t="s">
        <v>127</v>
      </c>
      <c r="D564" s="61" t="s">
        <v>2994</v>
      </c>
      <c r="E564" s="119">
        <v>14.764932330000001</v>
      </c>
      <c r="F564" s="148" t="s">
        <v>138</v>
      </c>
      <c r="G564" s="148">
        <v>1</v>
      </c>
      <c r="H564" s="61" t="s">
        <v>39</v>
      </c>
      <c r="I564" s="61"/>
      <c r="J564" s="61" t="s">
        <v>919</v>
      </c>
      <c r="K564" s="61" t="s">
        <v>126</v>
      </c>
      <c r="L564" s="159"/>
      <c r="M564" s="48"/>
      <c r="N564" s="123"/>
    </row>
    <row r="565" spans="1:14" customFormat="1" x14ac:dyDescent="0.55000000000000004">
      <c r="A565" s="105" t="s">
        <v>3310</v>
      </c>
      <c r="B565" s="61" t="s">
        <v>998</v>
      </c>
      <c r="C565" s="61" t="s">
        <v>121</v>
      </c>
      <c r="D565" s="61" t="s">
        <v>3288</v>
      </c>
      <c r="E565" s="119">
        <v>1</v>
      </c>
      <c r="F565" s="148" t="s">
        <v>135</v>
      </c>
      <c r="G565" s="148">
        <v>1</v>
      </c>
      <c r="H565" s="61" t="s">
        <v>39</v>
      </c>
      <c r="I565" s="61"/>
      <c r="J565" s="61"/>
      <c r="K565" s="61"/>
      <c r="L565" s="159">
        <v>271114</v>
      </c>
      <c r="M565" s="48"/>
      <c r="N565" s="123"/>
    </row>
    <row r="566" spans="1:14" customFormat="1" x14ac:dyDescent="0.55000000000000004">
      <c r="A566" s="105" t="s">
        <v>3310</v>
      </c>
      <c r="B566" s="61" t="s">
        <v>921</v>
      </c>
      <c r="C566" s="61" t="s">
        <v>125</v>
      </c>
      <c r="D566" s="61" t="s">
        <v>3288</v>
      </c>
      <c r="E566" s="119">
        <v>1.3220141700000001</v>
      </c>
      <c r="F566" s="148" t="s">
        <v>135</v>
      </c>
      <c r="G566" s="148">
        <v>1</v>
      </c>
      <c r="H566" s="61" t="s">
        <v>39</v>
      </c>
      <c r="I566" s="61" t="s">
        <v>988</v>
      </c>
      <c r="J566" s="61" t="s">
        <v>919</v>
      </c>
      <c r="K566" s="61" t="s">
        <v>126</v>
      </c>
      <c r="L566" s="159"/>
      <c r="M566" s="48"/>
      <c r="N566" s="123"/>
    </row>
    <row r="567" spans="1:14" customFormat="1" x14ac:dyDescent="0.55000000000000004">
      <c r="A567" s="105" t="s">
        <v>3310</v>
      </c>
      <c r="B567" s="61" t="s">
        <v>922</v>
      </c>
      <c r="C567" s="61" t="s">
        <v>125</v>
      </c>
      <c r="D567" s="61" t="s">
        <v>3288</v>
      </c>
      <c r="E567" s="119">
        <v>1.0576113359999999</v>
      </c>
      <c r="F567" s="148" t="s">
        <v>135</v>
      </c>
      <c r="G567" s="148">
        <v>1</v>
      </c>
      <c r="H567" s="61" t="s">
        <v>39</v>
      </c>
      <c r="I567" s="61" t="s">
        <v>988</v>
      </c>
      <c r="J567" s="61" t="s">
        <v>919</v>
      </c>
      <c r="K567" s="61" t="s">
        <v>126</v>
      </c>
      <c r="L567" s="159"/>
      <c r="M567" s="48"/>
      <c r="N567" s="123"/>
    </row>
    <row r="568" spans="1:14" customFormat="1" x14ac:dyDescent="0.55000000000000004">
      <c r="A568" s="105" t="s">
        <v>3310</v>
      </c>
      <c r="B568" s="61" t="s">
        <v>213</v>
      </c>
      <c r="C568" s="61" t="s">
        <v>125</v>
      </c>
      <c r="D568" s="61" t="s">
        <v>3288</v>
      </c>
      <c r="E568" s="119">
        <v>6.4777327999999995E-2</v>
      </c>
      <c r="F568" s="148" t="s">
        <v>135</v>
      </c>
      <c r="G568" s="148">
        <v>1</v>
      </c>
      <c r="H568" s="61" t="s">
        <v>39</v>
      </c>
      <c r="I568" s="61" t="s">
        <v>987</v>
      </c>
      <c r="J568" s="61" t="s">
        <v>919</v>
      </c>
      <c r="K568" s="61" t="s">
        <v>126</v>
      </c>
      <c r="L568" s="159"/>
      <c r="M568" s="48"/>
      <c r="N568" s="123"/>
    </row>
    <row r="569" spans="1:14" customFormat="1" x14ac:dyDescent="0.55000000000000004">
      <c r="A569" s="105" t="s">
        <v>3310</v>
      </c>
      <c r="B569" s="61" t="s">
        <v>334</v>
      </c>
      <c r="C569" s="61" t="s">
        <v>127</v>
      </c>
      <c r="D569" s="61" t="s">
        <v>2994</v>
      </c>
      <c r="E569" s="119">
        <v>6.4736842000000003E-2</v>
      </c>
      <c r="F569" s="148" t="s">
        <v>135</v>
      </c>
      <c r="G569" s="148">
        <v>1</v>
      </c>
      <c r="H569" s="61" t="s">
        <v>39</v>
      </c>
      <c r="I569" s="61" t="s">
        <v>955</v>
      </c>
      <c r="J569" s="61" t="s">
        <v>919</v>
      </c>
      <c r="K569" s="61" t="s">
        <v>126</v>
      </c>
      <c r="L569" s="159"/>
      <c r="M569" s="48"/>
      <c r="N569" s="123"/>
    </row>
    <row r="570" spans="1:14" customFormat="1" x14ac:dyDescent="0.55000000000000004">
      <c r="A570" s="105" t="s">
        <v>3310</v>
      </c>
      <c r="B570" s="61" t="s">
        <v>153</v>
      </c>
      <c r="C570" s="61" t="s">
        <v>127</v>
      </c>
      <c r="D570" s="61" t="s">
        <v>2994</v>
      </c>
      <c r="E570" s="119">
        <v>0.46537651800000002</v>
      </c>
      <c r="F570" s="148" t="s">
        <v>138</v>
      </c>
      <c r="G570" s="148">
        <v>1</v>
      </c>
      <c r="H570" s="61" t="s">
        <v>39</v>
      </c>
      <c r="I570" s="61" t="s">
        <v>988</v>
      </c>
      <c r="J570" s="61" t="s">
        <v>919</v>
      </c>
      <c r="K570" s="61" t="s">
        <v>126</v>
      </c>
      <c r="L570" s="159"/>
      <c r="M570" s="48"/>
      <c r="N570" s="123"/>
    </row>
    <row r="571" spans="1:14" customFormat="1" x14ac:dyDescent="0.55000000000000004">
      <c r="A571" s="105" t="s">
        <v>3310</v>
      </c>
      <c r="B571" s="61" t="s">
        <v>153</v>
      </c>
      <c r="C571" s="61" t="s">
        <v>127</v>
      </c>
      <c r="D571" s="61" t="s">
        <v>2994</v>
      </c>
      <c r="E571" s="119">
        <v>1.0253441299999999</v>
      </c>
      <c r="F571" s="148" t="s">
        <v>138</v>
      </c>
      <c r="G571" s="148">
        <v>1</v>
      </c>
      <c r="H571" s="61" t="s">
        <v>39</v>
      </c>
      <c r="I571" s="61" t="s">
        <v>988</v>
      </c>
      <c r="J571" s="61" t="s">
        <v>919</v>
      </c>
      <c r="K571" s="61" t="s">
        <v>126</v>
      </c>
      <c r="L571" s="159"/>
      <c r="M571" s="48"/>
      <c r="N571" s="123"/>
    </row>
    <row r="572" spans="1:14" customFormat="1" x14ac:dyDescent="0.55000000000000004">
      <c r="A572" s="105" t="s">
        <v>3310</v>
      </c>
      <c r="B572" s="61" t="s">
        <v>153</v>
      </c>
      <c r="C572" s="61" t="s">
        <v>127</v>
      </c>
      <c r="D572" s="61" t="s">
        <v>2994</v>
      </c>
      <c r="E572" s="119">
        <v>1.5591093119999999</v>
      </c>
      <c r="F572" s="148" t="s">
        <v>138</v>
      </c>
      <c r="G572" s="148">
        <v>1</v>
      </c>
      <c r="H572" s="61" t="s">
        <v>39</v>
      </c>
      <c r="I572" s="61" t="s">
        <v>987</v>
      </c>
      <c r="J572" s="61" t="s">
        <v>919</v>
      </c>
      <c r="K572" s="61" t="s">
        <v>126</v>
      </c>
      <c r="L572" s="159"/>
      <c r="M572" s="48"/>
      <c r="N572" s="123"/>
    </row>
    <row r="573" spans="1:14" customFormat="1" x14ac:dyDescent="0.55000000000000004">
      <c r="A573" s="105" t="s">
        <v>3310</v>
      </c>
      <c r="B573" s="61" t="s">
        <v>153</v>
      </c>
      <c r="C573" s="61" t="s">
        <v>127</v>
      </c>
      <c r="D573" s="61" t="s">
        <v>2994</v>
      </c>
      <c r="E573" s="119">
        <v>3.2571428569999998</v>
      </c>
      <c r="F573" s="148" t="s">
        <v>138</v>
      </c>
      <c r="G573" s="148">
        <v>1</v>
      </c>
      <c r="H573" s="61" t="s">
        <v>39</v>
      </c>
      <c r="I573" s="61" t="s">
        <v>1023</v>
      </c>
      <c r="J573" s="61" t="s">
        <v>919</v>
      </c>
      <c r="K573" s="61" t="s">
        <v>126</v>
      </c>
      <c r="L573" s="159"/>
      <c r="M573" s="48"/>
      <c r="N573" s="123"/>
    </row>
    <row r="574" spans="1:14" customFormat="1" x14ac:dyDescent="0.55000000000000004">
      <c r="A574" s="105" t="s">
        <v>3310</v>
      </c>
      <c r="B574" s="61" t="s">
        <v>153</v>
      </c>
      <c r="C574" s="61" t="s">
        <v>127</v>
      </c>
      <c r="D574" s="61" t="s">
        <v>2994</v>
      </c>
      <c r="E574" s="119">
        <v>6.3069728170000001</v>
      </c>
      <c r="F574" s="148" t="s">
        <v>138</v>
      </c>
      <c r="G574" s="148">
        <v>1</v>
      </c>
      <c r="H574" s="61" t="s">
        <v>39</v>
      </c>
      <c r="I574" s="61"/>
      <c r="J574" s="61" t="s">
        <v>919</v>
      </c>
      <c r="K574" s="61" t="s">
        <v>126</v>
      </c>
      <c r="L574" s="159"/>
      <c r="M574" s="48"/>
      <c r="N574" s="123"/>
    </row>
    <row r="575" spans="1:14" customFormat="1" x14ac:dyDescent="0.55000000000000004">
      <c r="A575" s="105" t="s">
        <v>3311</v>
      </c>
      <c r="B575" s="61" t="s">
        <v>998</v>
      </c>
      <c r="C575" s="61" t="s">
        <v>121</v>
      </c>
      <c r="D575" s="61" t="s">
        <v>3288</v>
      </c>
      <c r="E575" s="119">
        <v>1</v>
      </c>
      <c r="F575" s="148" t="s">
        <v>135</v>
      </c>
      <c r="G575" s="148">
        <v>1</v>
      </c>
      <c r="H575" s="61" t="s">
        <v>39</v>
      </c>
      <c r="I575" s="61"/>
      <c r="J575" s="61"/>
      <c r="K575" s="61"/>
      <c r="L575" s="159">
        <v>271114</v>
      </c>
      <c r="M575" s="48"/>
      <c r="N575" s="123"/>
    </row>
    <row r="576" spans="1:14" customFormat="1" x14ac:dyDescent="0.55000000000000004">
      <c r="A576" s="105" t="s">
        <v>3311</v>
      </c>
      <c r="B576" s="61" t="s">
        <v>921</v>
      </c>
      <c r="C576" s="61" t="s">
        <v>125</v>
      </c>
      <c r="D576" s="61" t="s">
        <v>3288</v>
      </c>
      <c r="E576" s="119">
        <v>1.3220141700000001</v>
      </c>
      <c r="F576" s="148" t="s">
        <v>135</v>
      </c>
      <c r="G576" s="148">
        <v>1</v>
      </c>
      <c r="H576" s="61" t="s">
        <v>39</v>
      </c>
      <c r="I576" s="61"/>
      <c r="J576" s="61" t="s">
        <v>919</v>
      </c>
      <c r="K576" s="61" t="s">
        <v>126</v>
      </c>
      <c r="L576" s="159"/>
      <c r="M576" s="48"/>
      <c r="N576" s="123"/>
    </row>
    <row r="577" spans="1:14" customFormat="1" x14ac:dyDescent="0.55000000000000004">
      <c r="A577" s="105" t="s">
        <v>3311</v>
      </c>
      <c r="B577" s="61" t="s">
        <v>922</v>
      </c>
      <c r="C577" s="61" t="s">
        <v>125</v>
      </c>
      <c r="D577" s="61" t="s">
        <v>3288</v>
      </c>
      <c r="E577" s="119">
        <v>1.0576113359999999</v>
      </c>
      <c r="F577" s="148" t="s">
        <v>135</v>
      </c>
      <c r="G577" s="148">
        <v>1</v>
      </c>
      <c r="H577" s="61" t="s">
        <v>39</v>
      </c>
      <c r="I577" s="61"/>
      <c r="J577" s="61" t="s">
        <v>919</v>
      </c>
      <c r="K577" s="61" t="s">
        <v>126</v>
      </c>
      <c r="L577" s="159"/>
      <c r="M577" s="48"/>
      <c r="N577" s="123"/>
    </row>
    <row r="578" spans="1:14" customFormat="1" x14ac:dyDescent="0.55000000000000004">
      <c r="A578" s="105" t="s">
        <v>3311</v>
      </c>
      <c r="B578" s="61" t="s">
        <v>213</v>
      </c>
      <c r="C578" s="61" t="s">
        <v>125</v>
      </c>
      <c r="D578" s="61" t="s">
        <v>3288</v>
      </c>
      <c r="E578" s="119">
        <v>6.4777327999999995E-2</v>
      </c>
      <c r="F578" s="148" t="s">
        <v>135</v>
      </c>
      <c r="G578" s="148">
        <v>1</v>
      </c>
      <c r="H578" s="61" t="s">
        <v>39</v>
      </c>
      <c r="I578" s="61"/>
      <c r="J578" s="61" t="s">
        <v>919</v>
      </c>
      <c r="K578" s="61" t="s">
        <v>126</v>
      </c>
      <c r="L578" s="159"/>
      <c r="M578" s="48"/>
      <c r="N578" s="123"/>
    </row>
    <row r="579" spans="1:14" customFormat="1" x14ac:dyDescent="0.55000000000000004">
      <c r="A579" s="105" t="s">
        <v>3311</v>
      </c>
      <c r="B579" s="61" t="s">
        <v>334</v>
      </c>
      <c r="C579" s="61" t="s">
        <v>127</v>
      </c>
      <c r="D579" s="61" t="s">
        <v>2994</v>
      </c>
      <c r="E579" s="119">
        <v>6.4736842000000003E-2</v>
      </c>
      <c r="F579" s="148" t="s">
        <v>135</v>
      </c>
      <c r="G579" s="148">
        <v>1</v>
      </c>
      <c r="H579" s="61" t="s">
        <v>39</v>
      </c>
      <c r="I579" s="61"/>
      <c r="J579" s="61" t="s">
        <v>919</v>
      </c>
      <c r="K579" s="61" t="s">
        <v>126</v>
      </c>
      <c r="L579" s="159"/>
      <c r="M579" s="48"/>
      <c r="N579" s="123"/>
    </row>
    <row r="580" spans="1:14" customFormat="1" x14ac:dyDescent="0.55000000000000004">
      <c r="A580" s="105" t="s">
        <v>3311</v>
      </c>
      <c r="B580" s="61" t="s">
        <v>153</v>
      </c>
      <c r="C580" s="61" t="s">
        <v>127</v>
      </c>
      <c r="D580" s="61" t="s">
        <v>2994</v>
      </c>
      <c r="E580" s="119">
        <v>0.46537651800000002</v>
      </c>
      <c r="F580" s="148" t="s">
        <v>138</v>
      </c>
      <c r="G580" s="148">
        <v>1</v>
      </c>
      <c r="H580" s="61" t="s">
        <v>39</v>
      </c>
      <c r="I580" s="61"/>
      <c r="J580" s="61" t="s">
        <v>919</v>
      </c>
      <c r="K580" s="61" t="s">
        <v>126</v>
      </c>
      <c r="L580" s="159"/>
      <c r="M580" s="48"/>
      <c r="N580" s="123"/>
    </row>
    <row r="581" spans="1:14" customFormat="1" x14ac:dyDescent="0.55000000000000004">
      <c r="A581" s="105" t="s">
        <v>3311</v>
      </c>
      <c r="B581" s="61" t="s">
        <v>153</v>
      </c>
      <c r="C581" s="61" t="s">
        <v>127</v>
      </c>
      <c r="D581" s="61" t="s">
        <v>2994</v>
      </c>
      <c r="E581" s="119">
        <v>1.0253441299999999</v>
      </c>
      <c r="F581" s="148" t="s">
        <v>138</v>
      </c>
      <c r="G581" s="148">
        <v>1</v>
      </c>
      <c r="H581" s="61" t="s">
        <v>39</v>
      </c>
      <c r="I581" s="61"/>
      <c r="J581" s="61" t="s">
        <v>919</v>
      </c>
      <c r="K581" s="61" t="s">
        <v>126</v>
      </c>
      <c r="L581" s="159"/>
      <c r="M581" s="48"/>
      <c r="N581" s="123"/>
    </row>
    <row r="582" spans="1:14" customFormat="1" x14ac:dyDescent="0.55000000000000004">
      <c r="A582" s="105" t="s">
        <v>3311</v>
      </c>
      <c r="B582" s="61" t="s">
        <v>153</v>
      </c>
      <c r="C582" s="61" t="s">
        <v>127</v>
      </c>
      <c r="D582" s="61" t="s">
        <v>2994</v>
      </c>
      <c r="E582" s="119">
        <v>1.5591093119999999</v>
      </c>
      <c r="F582" s="148" t="s">
        <v>138</v>
      </c>
      <c r="G582" s="148">
        <v>1</v>
      </c>
      <c r="H582" s="61" t="s">
        <v>39</v>
      </c>
      <c r="I582" s="61"/>
      <c r="J582" s="61" t="s">
        <v>919</v>
      </c>
      <c r="K582" s="61" t="s">
        <v>126</v>
      </c>
      <c r="L582" s="159"/>
      <c r="M582" s="48"/>
      <c r="N582" s="123"/>
    </row>
    <row r="583" spans="1:14" customFormat="1" x14ac:dyDescent="0.55000000000000004">
      <c r="A583" s="105" t="s">
        <v>3311</v>
      </c>
      <c r="B583" s="61" t="s">
        <v>153</v>
      </c>
      <c r="C583" s="61" t="s">
        <v>127</v>
      </c>
      <c r="D583" s="61" t="s">
        <v>2994</v>
      </c>
      <c r="E583" s="119">
        <v>1.363190283</v>
      </c>
      <c r="F583" s="148" t="s">
        <v>138</v>
      </c>
      <c r="G583" s="148">
        <v>1</v>
      </c>
      <c r="H583" s="61" t="s">
        <v>39</v>
      </c>
      <c r="I583" s="61"/>
      <c r="J583" s="61" t="s">
        <v>919</v>
      </c>
      <c r="K583" s="61" t="s">
        <v>126</v>
      </c>
      <c r="L583" s="159"/>
      <c r="M583" s="48"/>
      <c r="N583" s="123"/>
    </row>
    <row r="584" spans="1:14" customFormat="1" x14ac:dyDescent="0.55000000000000004">
      <c r="A584" s="105" t="s">
        <v>3311</v>
      </c>
      <c r="B584" s="61" t="s">
        <v>153</v>
      </c>
      <c r="C584" s="61" t="s">
        <v>127</v>
      </c>
      <c r="D584" s="61" t="s">
        <v>2994</v>
      </c>
      <c r="E584" s="119">
        <v>3.2571428569999998</v>
      </c>
      <c r="F584" s="148" t="s">
        <v>138</v>
      </c>
      <c r="G584" s="148">
        <v>1</v>
      </c>
      <c r="H584" s="61" t="s">
        <v>39</v>
      </c>
      <c r="I584" s="61" t="s">
        <v>1023</v>
      </c>
      <c r="J584" s="61" t="s">
        <v>919</v>
      </c>
      <c r="K584" s="61" t="s">
        <v>126</v>
      </c>
      <c r="L584" s="159"/>
      <c r="M584" s="48"/>
      <c r="N584" s="123"/>
    </row>
    <row r="585" spans="1:14" customFormat="1" x14ac:dyDescent="0.55000000000000004">
      <c r="A585" s="105" t="s">
        <v>3311</v>
      </c>
      <c r="B585" s="61" t="s">
        <v>153</v>
      </c>
      <c r="C585" s="61" t="s">
        <v>127</v>
      </c>
      <c r="D585" s="61" t="s">
        <v>2994</v>
      </c>
      <c r="E585" s="119">
        <v>7.6701630999999999</v>
      </c>
      <c r="F585" s="148" t="s">
        <v>138</v>
      </c>
      <c r="G585" s="148">
        <v>1</v>
      </c>
      <c r="H585" s="61" t="s">
        <v>39</v>
      </c>
      <c r="I585" s="61"/>
      <c r="J585" s="61" t="s">
        <v>919</v>
      </c>
      <c r="K585" s="61" t="s">
        <v>126</v>
      </c>
      <c r="L585" s="159"/>
      <c r="M585" s="48"/>
      <c r="N585" s="123"/>
    </row>
    <row r="586" spans="1:14" customFormat="1" x14ac:dyDescent="0.55000000000000004">
      <c r="A586" s="105" t="s">
        <v>3312</v>
      </c>
      <c r="B586" s="61" t="s">
        <v>998</v>
      </c>
      <c r="C586" s="61" t="s">
        <v>121</v>
      </c>
      <c r="D586" s="61" t="s">
        <v>3288</v>
      </c>
      <c r="E586" s="119">
        <v>1</v>
      </c>
      <c r="F586" s="148" t="s">
        <v>135</v>
      </c>
      <c r="G586" s="148">
        <v>1</v>
      </c>
      <c r="H586" s="61" t="s">
        <v>39</v>
      </c>
      <c r="I586" s="61"/>
      <c r="J586" s="61"/>
      <c r="K586" s="61"/>
      <c r="L586" s="159">
        <v>271114</v>
      </c>
      <c r="M586" s="48"/>
      <c r="N586" s="123"/>
    </row>
    <row r="587" spans="1:14" customFormat="1" x14ac:dyDescent="0.55000000000000004">
      <c r="A587" s="105" t="s">
        <v>3312</v>
      </c>
      <c r="B587" s="61" t="s">
        <v>921</v>
      </c>
      <c r="C587" s="61" t="s">
        <v>125</v>
      </c>
      <c r="D587" s="61" t="s">
        <v>3288</v>
      </c>
      <c r="E587" s="119">
        <v>1.5283400810000001</v>
      </c>
      <c r="F587" s="148" t="s">
        <v>135</v>
      </c>
      <c r="G587" s="148">
        <v>1</v>
      </c>
      <c r="H587" s="61" t="s">
        <v>39</v>
      </c>
      <c r="I587" s="61" t="s">
        <v>1001</v>
      </c>
      <c r="J587" s="61" t="s">
        <v>919</v>
      </c>
      <c r="K587" s="61" t="s">
        <v>126</v>
      </c>
      <c r="L587" s="159"/>
      <c r="M587" s="48"/>
      <c r="N587" s="123"/>
    </row>
    <row r="588" spans="1:14" customFormat="1" x14ac:dyDescent="0.55000000000000004">
      <c r="A588" s="105" t="s">
        <v>3312</v>
      </c>
      <c r="B588" s="61" t="s">
        <v>922</v>
      </c>
      <c r="C588" s="61" t="s">
        <v>125</v>
      </c>
      <c r="D588" s="61" t="s">
        <v>3288</v>
      </c>
      <c r="E588" s="119">
        <v>1.222672065</v>
      </c>
      <c r="F588" s="148" t="s">
        <v>135</v>
      </c>
      <c r="G588" s="148">
        <v>1</v>
      </c>
      <c r="H588" s="61" t="s">
        <v>39</v>
      </c>
      <c r="I588" s="61" t="s">
        <v>1002</v>
      </c>
      <c r="J588" s="61" t="s">
        <v>919</v>
      </c>
      <c r="K588" s="61" t="s">
        <v>126</v>
      </c>
      <c r="L588" s="159"/>
      <c r="M588" s="48"/>
      <c r="N588" s="123"/>
    </row>
    <row r="589" spans="1:14" customFormat="1" x14ac:dyDescent="0.55000000000000004">
      <c r="A589" s="105" t="s">
        <v>3312</v>
      </c>
      <c r="B589" s="61" t="s">
        <v>923</v>
      </c>
      <c r="C589" s="61" t="s">
        <v>127</v>
      </c>
      <c r="D589" s="61" t="s">
        <v>2994</v>
      </c>
      <c r="E589" s="119">
        <v>8.8663967610000007</v>
      </c>
      <c r="F589" s="148" t="s">
        <v>138</v>
      </c>
      <c r="G589" s="148">
        <v>1</v>
      </c>
      <c r="H589" s="61" t="s">
        <v>39</v>
      </c>
      <c r="I589" s="61" t="s">
        <v>947</v>
      </c>
      <c r="J589" s="61" t="s">
        <v>919</v>
      </c>
      <c r="K589" s="61" t="s">
        <v>126</v>
      </c>
      <c r="L589" s="159"/>
      <c r="M589" s="48"/>
      <c r="N589" s="123"/>
    </row>
    <row r="590" spans="1:14" customFormat="1" x14ac:dyDescent="0.55000000000000004">
      <c r="A590" s="105" t="s">
        <v>3312</v>
      </c>
      <c r="B590" s="61" t="s">
        <v>153</v>
      </c>
      <c r="C590" s="61" t="s">
        <v>127</v>
      </c>
      <c r="D590" s="61" t="s">
        <v>2994</v>
      </c>
      <c r="E590" s="119">
        <v>0.46537651800000002</v>
      </c>
      <c r="F590" s="148" t="s">
        <v>138</v>
      </c>
      <c r="G590" s="148">
        <v>1</v>
      </c>
      <c r="H590" s="61" t="s">
        <v>39</v>
      </c>
      <c r="I590" s="61" t="s">
        <v>1003</v>
      </c>
      <c r="J590" s="61" t="s">
        <v>919</v>
      </c>
      <c r="K590" s="61" t="s">
        <v>126</v>
      </c>
      <c r="L590" s="159"/>
      <c r="M590" s="48"/>
      <c r="N590" s="123"/>
    </row>
    <row r="591" spans="1:14" customFormat="1" x14ac:dyDescent="0.55000000000000004">
      <c r="A591" s="105" t="s">
        <v>3312</v>
      </c>
      <c r="B591" s="61" t="s">
        <v>153</v>
      </c>
      <c r="C591" s="61" t="s">
        <v>127</v>
      </c>
      <c r="D591" s="61" t="s">
        <v>2994</v>
      </c>
      <c r="E591" s="119">
        <v>1.0253441299999999</v>
      </c>
      <c r="F591" s="148" t="s">
        <v>138</v>
      </c>
      <c r="G591" s="148">
        <v>1</v>
      </c>
      <c r="H591" s="61" t="s">
        <v>39</v>
      </c>
      <c r="I591" s="61" t="s">
        <v>966</v>
      </c>
      <c r="J591" s="61" t="s">
        <v>919</v>
      </c>
      <c r="K591" s="61" t="s">
        <v>126</v>
      </c>
      <c r="L591" s="159"/>
      <c r="M591" s="48"/>
      <c r="N591" s="123"/>
    </row>
    <row r="592" spans="1:14" customFormat="1" x14ac:dyDescent="0.55000000000000004">
      <c r="A592" s="105" t="s">
        <v>3312</v>
      </c>
      <c r="B592" s="61" t="s">
        <v>153</v>
      </c>
      <c r="C592" s="61" t="s">
        <v>127</v>
      </c>
      <c r="D592" s="61" t="s">
        <v>2994</v>
      </c>
      <c r="E592" s="119">
        <v>3.2571428569999998</v>
      </c>
      <c r="F592" s="148" t="s">
        <v>138</v>
      </c>
      <c r="G592" s="148">
        <v>1</v>
      </c>
      <c r="H592" s="61" t="s">
        <v>39</v>
      </c>
      <c r="I592" s="61" t="s">
        <v>1023</v>
      </c>
      <c r="J592" s="61" t="s">
        <v>919</v>
      </c>
      <c r="K592" s="61" t="s">
        <v>126</v>
      </c>
      <c r="L592" s="159"/>
      <c r="M592" s="48"/>
      <c r="N592" s="123"/>
    </row>
    <row r="593" spans="1:14" customFormat="1" x14ac:dyDescent="0.55000000000000004">
      <c r="A593" s="105" t="s">
        <v>3312</v>
      </c>
      <c r="B593" s="61" t="s">
        <v>153</v>
      </c>
      <c r="C593" s="61" t="s">
        <v>127</v>
      </c>
      <c r="D593" s="61" t="s">
        <v>2994</v>
      </c>
      <c r="E593" s="119">
        <v>4.7478635049999998</v>
      </c>
      <c r="F593" s="148" t="s">
        <v>138</v>
      </c>
      <c r="G593" s="148">
        <v>1</v>
      </c>
      <c r="H593" s="61" t="s">
        <v>39</v>
      </c>
      <c r="I593" s="61" t="s">
        <v>1004</v>
      </c>
      <c r="J593" s="61" t="s">
        <v>919</v>
      </c>
      <c r="K593" s="61" t="s">
        <v>126</v>
      </c>
      <c r="L593" s="159"/>
      <c r="M593" s="48"/>
      <c r="N593" s="123"/>
    </row>
    <row r="594" spans="1:14" customFormat="1" x14ac:dyDescent="0.55000000000000004">
      <c r="A594" s="105" t="s">
        <v>3312</v>
      </c>
      <c r="B594" s="61" t="s">
        <v>160</v>
      </c>
      <c r="C594" s="61" t="s">
        <v>497</v>
      </c>
      <c r="D594" s="61" t="s">
        <v>3288</v>
      </c>
      <c r="E594" s="119">
        <v>0.59404858299999996</v>
      </c>
      <c r="F594" s="148" t="s">
        <v>135</v>
      </c>
      <c r="G594" s="148">
        <v>1</v>
      </c>
      <c r="H594" s="61" t="s">
        <v>39</v>
      </c>
      <c r="I594" s="61" t="s">
        <v>959</v>
      </c>
      <c r="J594" s="61" t="s">
        <v>924</v>
      </c>
      <c r="K594" s="61" t="s">
        <v>126</v>
      </c>
      <c r="L594" s="159"/>
      <c r="M594" s="48"/>
      <c r="N594" s="123"/>
    </row>
    <row r="595" spans="1:14" customFormat="1" x14ac:dyDescent="0.55000000000000004">
      <c r="A595" s="105" t="s">
        <v>3313</v>
      </c>
      <c r="B595" s="61" t="s">
        <v>998</v>
      </c>
      <c r="C595" s="61" t="s">
        <v>121</v>
      </c>
      <c r="D595" s="61" t="s">
        <v>3288</v>
      </c>
      <c r="E595" s="119">
        <v>1</v>
      </c>
      <c r="F595" s="148" t="s">
        <v>135</v>
      </c>
      <c r="G595" s="148">
        <v>1</v>
      </c>
      <c r="H595" s="61" t="s">
        <v>39</v>
      </c>
      <c r="I595" s="61"/>
      <c r="J595" s="61"/>
      <c r="K595" s="61"/>
      <c r="L595" s="159">
        <v>271114</v>
      </c>
      <c r="M595" s="48"/>
      <c r="N595" s="123"/>
    </row>
    <row r="596" spans="1:14" customFormat="1" x14ac:dyDescent="0.55000000000000004">
      <c r="A596" s="105" t="s">
        <v>3313</v>
      </c>
      <c r="B596" s="61" t="s">
        <v>921</v>
      </c>
      <c r="C596" s="61" t="s">
        <v>125</v>
      </c>
      <c r="D596" s="61" t="s">
        <v>3288</v>
      </c>
      <c r="E596" s="119">
        <v>1.4213562749999999</v>
      </c>
      <c r="F596" s="148" t="s">
        <v>135</v>
      </c>
      <c r="G596" s="148">
        <v>1</v>
      </c>
      <c r="H596" s="61" t="s">
        <v>39</v>
      </c>
      <c r="I596" s="61" t="s">
        <v>988</v>
      </c>
      <c r="J596" s="61" t="s">
        <v>919</v>
      </c>
      <c r="K596" s="61" t="s">
        <v>126</v>
      </c>
      <c r="L596" s="159"/>
      <c r="M596" s="48"/>
      <c r="N596" s="123"/>
    </row>
    <row r="597" spans="1:14" customFormat="1" x14ac:dyDescent="0.55000000000000004">
      <c r="A597" s="105" t="s">
        <v>3313</v>
      </c>
      <c r="B597" s="61" t="s">
        <v>922</v>
      </c>
      <c r="C597" s="61" t="s">
        <v>125</v>
      </c>
      <c r="D597" s="61" t="s">
        <v>3288</v>
      </c>
      <c r="E597" s="119">
        <v>1.13708502</v>
      </c>
      <c r="F597" s="148" t="s">
        <v>135</v>
      </c>
      <c r="G597" s="148">
        <v>1</v>
      </c>
      <c r="H597" s="61" t="s">
        <v>39</v>
      </c>
      <c r="I597" s="61" t="s">
        <v>988</v>
      </c>
      <c r="J597" s="61" t="s">
        <v>919</v>
      </c>
      <c r="K597" s="61" t="s">
        <v>126</v>
      </c>
      <c r="L597" s="159"/>
      <c r="M597" s="48"/>
      <c r="N597" s="123"/>
    </row>
    <row r="598" spans="1:14" customFormat="1" x14ac:dyDescent="0.55000000000000004">
      <c r="A598" s="105" t="s">
        <v>3313</v>
      </c>
      <c r="B598" s="61" t="s">
        <v>213</v>
      </c>
      <c r="C598" s="61" t="s">
        <v>125</v>
      </c>
      <c r="D598" s="61" t="s">
        <v>3288</v>
      </c>
      <c r="E598" s="119">
        <v>6.4777327999999995E-2</v>
      </c>
      <c r="F598" s="148" t="s">
        <v>135</v>
      </c>
      <c r="G598" s="148">
        <v>1</v>
      </c>
      <c r="H598" s="61" t="s">
        <v>39</v>
      </c>
      <c r="I598" s="61" t="s">
        <v>987</v>
      </c>
      <c r="J598" s="61" t="s">
        <v>919</v>
      </c>
      <c r="K598" s="61" t="s">
        <v>126</v>
      </c>
      <c r="L598" s="159"/>
      <c r="M598" s="48"/>
      <c r="N598" s="123"/>
    </row>
    <row r="599" spans="1:14" customFormat="1" x14ac:dyDescent="0.55000000000000004">
      <c r="A599" s="105" t="s">
        <v>3313</v>
      </c>
      <c r="B599" s="61" t="s">
        <v>923</v>
      </c>
      <c r="C599" s="61" t="s">
        <v>127</v>
      </c>
      <c r="D599" s="61" t="s">
        <v>2994</v>
      </c>
      <c r="E599" s="119">
        <v>8.461538462</v>
      </c>
      <c r="F599" s="148" t="s">
        <v>138</v>
      </c>
      <c r="G599" s="148">
        <v>1</v>
      </c>
      <c r="H599" s="61" t="s">
        <v>39</v>
      </c>
      <c r="I599" s="61" t="s">
        <v>988</v>
      </c>
      <c r="J599" s="61" t="s">
        <v>919</v>
      </c>
      <c r="K599" s="61" t="s">
        <v>126</v>
      </c>
      <c r="L599" s="159"/>
      <c r="M599" s="48"/>
      <c r="N599" s="123"/>
    </row>
    <row r="600" spans="1:14" customFormat="1" x14ac:dyDescent="0.55000000000000004">
      <c r="A600" s="105" t="s">
        <v>3313</v>
      </c>
      <c r="B600" s="61" t="s">
        <v>153</v>
      </c>
      <c r="C600" s="61" t="s">
        <v>127</v>
      </c>
      <c r="D600" s="61" t="s">
        <v>2994</v>
      </c>
      <c r="E600" s="119">
        <v>0.46537651800000002</v>
      </c>
      <c r="F600" s="148" t="s">
        <v>138</v>
      </c>
      <c r="G600" s="148">
        <v>1</v>
      </c>
      <c r="H600" s="61" t="s">
        <v>39</v>
      </c>
      <c r="I600" s="61" t="s">
        <v>988</v>
      </c>
      <c r="J600" s="61" t="s">
        <v>919</v>
      </c>
      <c r="K600" s="61" t="s">
        <v>126</v>
      </c>
      <c r="L600" s="159"/>
      <c r="M600" s="48"/>
      <c r="N600" s="123"/>
    </row>
    <row r="601" spans="1:14" customFormat="1" x14ac:dyDescent="0.55000000000000004">
      <c r="A601" s="105" t="s">
        <v>3313</v>
      </c>
      <c r="B601" s="61" t="s">
        <v>153</v>
      </c>
      <c r="C601" s="61" t="s">
        <v>127</v>
      </c>
      <c r="D601" s="61" t="s">
        <v>2994</v>
      </c>
      <c r="E601" s="119">
        <v>1.0253441299999999</v>
      </c>
      <c r="F601" s="148" t="s">
        <v>138</v>
      </c>
      <c r="G601" s="148">
        <v>1</v>
      </c>
      <c r="H601" s="61" t="s">
        <v>39</v>
      </c>
      <c r="I601" s="61" t="s">
        <v>988</v>
      </c>
      <c r="J601" s="61" t="s">
        <v>919</v>
      </c>
      <c r="K601" s="61" t="s">
        <v>126</v>
      </c>
      <c r="L601" s="159"/>
      <c r="M601" s="48"/>
      <c r="N601" s="123"/>
    </row>
    <row r="602" spans="1:14" customFormat="1" x14ac:dyDescent="0.55000000000000004">
      <c r="A602" s="105" t="s">
        <v>3313</v>
      </c>
      <c r="B602" s="61" t="s">
        <v>153</v>
      </c>
      <c r="C602" s="61" t="s">
        <v>127</v>
      </c>
      <c r="D602" s="61" t="s">
        <v>2994</v>
      </c>
      <c r="E602" s="119">
        <v>1.363190283</v>
      </c>
      <c r="F602" s="148" t="s">
        <v>138</v>
      </c>
      <c r="G602" s="148">
        <v>1</v>
      </c>
      <c r="H602" s="61" t="s">
        <v>39</v>
      </c>
      <c r="I602" s="61" t="s">
        <v>989</v>
      </c>
      <c r="J602" s="61" t="s">
        <v>919</v>
      </c>
      <c r="K602" s="61" t="s">
        <v>126</v>
      </c>
      <c r="L602" s="159"/>
      <c r="M602" s="48"/>
      <c r="N602" s="123"/>
    </row>
    <row r="603" spans="1:14" customFormat="1" x14ac:dyDescent="0.55000000000000004">
      <c r="A603" s="105" t="s">
        <v>3313</v>
      </c>
      <c r="B603" s="61" t="s">
        <v>153</v>
      </c>
      <c r="C603" s="61" t="s">
        <v>127</v>
      </c>
      <c r="D603" s="61" t="s">
        <v>2994</v>
      </c>
      <c r="E603" s="119">
        <v>0.44048583000000002</v>
      </c>
      <c r="F603" s="148" t="s">
        <v>138</v>
      </c>
      <c r="G603" s="148">
        <v>1</v>
      </c>
      <c r="H603" s="61" t="s">
        <v>39</v>
      </c>
      <c r="I603" s="61" t="s">
        <v>987</v>
      </c>
      <c r="J603" s="61" t="s">
        <v>919</v>
      </c>
      <c r="K603" s="61" t="s">
        <v>126</v>
      </c>
      <c r="L603" s="159"/>
      <c r="M603" s="48"/>
      <c r="N603" s="123"/>
    </row>
    <row r="604" spans="1:14" customFormat="1" x14ac:dyDescent="0.55000000000000004">
      <c r="A604" s="105" t="s">
        <v>3313</v>
      </c>
      <c r="B604" s="61" t="s">
        <v>153</v>
      </c>
      <c r="C604" s="61" t="s">
        <v>127</v>
      </c>
      <c r="D604" s="61" t="s">
        <v>2994</v>
      </c>
      <c r="E604" s="119">
        <v>3.2571428569999998</v>
      </c>
      <c r="F604" s="148" t="s">
        <v>138</v>
      </c>
      <c r="G604" s="148">
        <v>1</v>
      </c>
      <c r="H604" s="61" t="s">
        <v>39</v>
      </c>
      <c r="I604" s="61" t="s">
        <v>1023</v>
      </c>
      <c r="J604" s="61" t="s">
        <v>919</v>
      </c>
      <c r="K604" s="61" t="s">
        <v>126</v>
      </c>
      <c r="L604" s="159"/>
      <c r="M604" s="48"/>
      <c r="N604" s="123"/>
    </row>
    <row r="605" spans="1:14" customFormat="1" x14ac:dyDescent="0.55000000000000004">
      <c r="A605" s="105" t="s">
        <v>3313</v>
      </c>
      <c r="B605" s="61" t="s">
        <v>153</v>
      </c>
      <c r="C605" s="61" t="s">
        <v>127</v>
      </c>
      <c r="D605" s="61" t="s">
        <v>2994</v>
      </c>
      <c r="E605" s="119">
        <v>6.5515396179999996</v>
      </c>
      <c r="F605" s="148" t="s">
        <v>138</v>
      </c>
      <c r="G605" s="148">
        <v>1</v>
      </c>
      <c r="H605" s="61" t="s">
        <v>39</v>
      </c>
      <c r="I605" s="61"/>
      <c r="J605" s="61" t="s">
        <v>919</v>
      </c>
      <c r="K605" s="61" t="s">
        <v>126</v>
      </c>
      <c r="L605" s="159"/>
      <c r="M605" s="48"/>
      <c r="N605" s="123"/>
    </row>
    <row r="606" spans="1:14" customFormat="1" x14ac:dyDescent="0.55000000000000004">
      <c r="A606" s="105" t="s">
        <v>3313</v>
      </c>
      <c r="B606" s="61" t="s">
        <v>160</v>
      </c>
      <c r="C606" s="61" t="s">
        <v>497</v>
      </c>
      <c r="D606" s="61" t="s">
        <v>3288</v>
      </c>
      <c r="E606" s="119">
        <v>2.8346153999999998E-2</v>
      </c>
      <c r="F606" s="148" t="s">
        <v>135</v>
      </c>
      <c r="G606" s="148">
        <v>1</v>
      </c>
      <c r="H606" s="61" t="s">
        <v>39</v>
      </c>
      <c r="I606" s="61" t="s">
        <v>959</v>
      </c>
      <c r="J606" s="61" t="s">
        <v>924</v>
      </c>
      <c r="K606" s="61" t="s">
        <v>126</v>
      </c>
      <c r="L606" s="159"/>
      <c r="M606" s="48"/>
      <c r="N606" s="123"/>
    </row>
    <row r="607" spans="1:14" customFormat="1" x14ac:dyDescent="0.55000000000000004">
      <c r="A607" s="105" t="s">
        <v>3314</v>
      </c>
      <c r="B607" s="61" t="s">
        <v>948</v>
      </c>
      <c r="C607" s="61" t="s">
        <v>121</v>
      </c>
      <c r="D607" s="61" t="s">
        <v>3288</v>
      </c>
      <c r="E607" s="119">
        <v>1</v>
      </c>
      <c r="F607" s="148" t="s">
        <v>135</v>
      </c>
      <c r="G607" s="148">
        <v>1</v>
      </c>
      <c r="H607" s="61" t="s">
        <v>39</v>
      </c>
      <c r="I607" s="61"/>
      <c r="J607" s="61"/>
      <c r="K607" s="61"/>
      <c r="L607" s="159">
        <v>271114</v>
      </c>
      <c r="M607" s="48"/>
      <c r="N607" s="123"/>
    </row>
    <row r="608" spans="1:14" customFormat="1" x14ac:dyDescent="0.55000000000000004">
      <c r="A608" s="105" t="s">
        <v>3314</v>
      </c>
      <c r="B608" s="61" t="s">
        <v>153</v>
      </c>
      <c r="C608" s="61" t="s">
        <v>127</v>
      </c>
      <c r="D608" s="61" t="s">
        <v>2994</v>
      </c>
      <c r="E608" s="119">
        <v>7</v>
      </c>
      <c r="F608" s="148" t="s">
        <v>138</v>
      </c>
      <c r="G608" s="148">
        <v>1</v>
      </c>
      <c r="H608" s="61" t="s">
        <v>39</v>
      </c>
      <c r="I608" s="61" t="s">
        <v>995</v>
      </c>
      <c r="J608" s="61" t="s">
        <v>919</v>
      </c>
      <c r="K608" s="61" t="s">
        <v>126</v>
      </c>
      <c r="L608" s="159"/>
      <c r="M608" s="48"/>
      <c r="N608" s="123"/>
    </row>
    <row r="609" spans="1:14" customFormat="1" x14ac:dyDescent="0.55000000000000004">
      <c r="A609" s="105" t="s">
        <v>3314</v>
      </c>
      <c r="B609" s="61" t="s">
        <v>997</v>
      </c>
      <c r="C609" s="61" t="s">
        <v>125</v>
      </c>
      <c r="D609" s="61" t="s">
        <v>3288</v>
      </c>
      <c r="E609" s="119">
        <v>1.74</v>
      </c>
      <c r="F609" s="148" t="s">
        <v>135</v>
      </c>
      <c r="G609" s="148">
        <v>1</v>
      </c>
      <c r="H609" s="61" t="s">
        <v>39</v>
      </c>
      <c r="I609" s="61" t="s">
        <v>996</v>
      </c>
      <c r="J609" s="61" t="s">
        <v>919</v>
      </c>
      <c r="K609" s="61" t="s">
        <v>126</v>
      </c>
      <c r="L609" s="159"/>
      <c r="M609" s="48"/>
      <c r="N609" s="123"/>
    </row>
    <row r="610" spans="1:14" customFormat="1" x14ac:dyDescent="0.55000000000000004">
      <c r="A610" s="105" t="s">
        <v>3315</v>
      </c>
      <c r="B610" s="61" t="s">
        <v>948</v>
      </c>
      <c r="C610" s="61" t="s">
        <v>121</v>
      </c>
      <c r="D610" s="61" t="s">
        <v>3288</v>
      </c>
      <c r="E610" s="119">
        <v>1</v>
      </c>
      <c r="F610" s="148" t="s">
        <v>135</v>
      </c>
      <c r="G610" s="148">
        <v>1</v>
      </c>
      <c r="H610" s="61" t="s">
        <v>39</v>
      </c>
      <c r="I610" s="61"/>
      <c r="J610" s="61"/>
      <c r="K610" s="61"/>
      <c r="L610" s="159">
        <v>271114</v>
      </c>
      <c r="M610" s="48"/>
      <c r="N610" s="123"/>
    </row>
    <row r="611" spans="1:14" customFormat="1" x14ac:dyDescent="0.55000000000000004">
      <c r="A611" s="105" t="s">
        <v>3315</v>
      </c>
      <c r="B611" s="61" t="s">
        <v>939</v>
      </c>
      <c r="C611" s="61" t="s">
        <v>125</v>
      </c>
      <c r="D611" s="61" t="s">
        <v>3288</v>
      </c>
      <c r="E611" s="119">
        <v>1.5870445339999999</v>
      </c>
      <c r="F611" s="148" t="s">
        <v>135</v>
      </c>
      <c r="G611" s="148">
        <v>1</v>
      </c>
      <c r="H611" s="61" t="s">
        <v>39</v>
      </c>
      <c r="I611" s="61"/>
      <c r="J611" s="61" t="s">
        <v>919</v>
      </c>
      <c r="K611" s="61" t="s">
        <v>126</v>
      </c>
      <c r="L611" s="159"/>
      <c r="M611" s="48"/>
      <c r="N611" s="123"/>
    </row>
    <row r="612" spans="1:14" customFormat="1" x14ac:dyDescent="0.55000000000000004">
      <c r="A612" s="105" t="s">
        <v>3315</v>
      </c>
      <c r="B612" s="61" t="s">
        <v>213</v>
      </c>
      <c r="C612" s="61" t="s">
        <v>125</v>
      </c>
      <c r="D612" s="61" t="s">
        <v>3288</v>
      </c>
      <c r="E612" s="119">
        <v>6.4777327999999995E-2</v>
      </c>
      <c r="F612" s="148" t="s">
        <v>135</v>
      </c>
      <c r="G612" s="148">
        <v>1</v>
      </c>
      <c r="H612" s="61" t="s">
        <v>39</v>
      </c>
      <c r="I612" s="61"/>
      <c r="J612" s="61" t="s">
        <v>919</v>
      </c>
      <c r="K612" s="61" t="s">
        <v>126</v>
      </c>
      <c r="L612" s="159"/>
      <c r="M612" s="48"/>
      <c r="N612" s="123"/>
    </row>
    <row r="613" spans="1:14" customFormat="1" x14ac:dyDescent="0.55000000000000004">
      <c r="A613" s="105" t="s">
        <v>3315</v>
      </c>
      <c r="B613" s="61" t="s">
        <v>153</v>
      </c>
      <c r="C613" s="61" t="s">
        <v>127</v>
      </c>
      <c r="D613" s="61" t="s">
        <v>2994</v>
      </c>
      <c r="E613" s="119">
        <v>8.1201133599999995</v>
      </c>
      <c r="F613" s="148" t="s">
        <v>138</v>
      </c>
      <c r="G613" s="148">
        <v>1</v>
      </c>
      <c r="H613" s="61" t="s">
        <v>39</v>
      </c>
      <c r="I613" s="61"/>
      <c r="J613" s="61" t="s">
        <v>919</v>
      </c>
      <c r="K613" s="61" t="s">
        <v>126</v>
      </c>
      <c r="L613" s="159"/>
      <c r="M613" s="48"/>
      <c r="N613" s="123"/>
    </row>
    <row r="614" spans="1:14" customFormat="1" x14ac:dyDescent="0.55000000000000004">
      <c r="A614" s="105" t="s">
        <v>3315</v>
      </c>
      <c r="B614" s="61" t="s">
        <v>153</v>
      </c>
      <c r="C614" s="61" t="s">
        <v>127</v>
      </c>
      <c r="D614" s="61" t="s">
        <v>2994</v>
      </c>
      <c r="E614" s="119">
        <v>1.5591093119999999</v>
      </c>
      <c r="F614" s="148" t="s">
        <v>138</v>
      </c>
      <c r="G614" s="148">
        <v>1</v>
      </c>
      <c r="H614" s="61" t="s">
        <v>39</v>
      </c>
      <c r="I614" s="61"/>
      <c r="J614" s="61" t="s">
        <v>919</v>
      </c>
      <c r="K614" s="61" t="s">
        <v>126</v>
      </c>
      <c r="L614" s="159"/>
      <c r="M614" s="48"/>
      <c r="N614" s="123"/>
    </row>
    <row r="615" spans="1:14" customFormat="1" x14ac:dyDescent="0.55000000000000004">
      <c r="A615" s="105" t="s">
        <v>3315</v>
      </c>
      <c r="B615" s="61" t="s">
        <v>153</v>
      </c>
      <c r="C615" s="61" t="s">
        <v>127</v>
      </c>
      <c r="D615" s="61" t="s">
        <v>2994</v>
      </c>
      <c r="E615" s="119">
        <v>9.6792226719999999</v>
      </c>
      <c r="F615" s="148" t="s">
        <v>138</v>
      </c>
      <c r="G615" s="148">
        <v>1</v>
      </c>
      <c r="H615" s="61" t="s">
        <v>39</v>
      </c>
      <c r="I615" s="61"/>
      <c r="J615" s="61" t="s">
        <v>919</v>
      </c>
      <c r="K615" s="61" t="s">
        <v>126</v>
      </c>
      <c r="L615" s="159"/>
      <c r="M615" s="48"/>
      <c r="N615" s="123"/>
    </row>
    <row r="616" spans="1:14" customFormat="1" x14ac:dyDescent="0.55000000000000004">
      <c r="A616" s="105" t="s">
        <v>3315</v>
      </c>
      <c r="B616" s="61" t="s">
        <v>334</v>
      </c>
      <c r="C616" s="61" t="s">
        <v>125</v>
      </c>
      <c r="D616" s="61" t="s">
        <v>3288</v>
      </c>
      <c r="E616" s="119">
        <v>1.9190282999999999E-2</v>
      </c>
      <c r="F616" s="148" t="s">
        <v>135</v>
      </c>
      <c r="G616" s="148">
        <v>1</v>
      </c>
      <c r="H616" s="61" t="s">
        <v>39</v>
      </c>
      <c r="I616" s="61"/>
      <c r="J616" s="61" t="s">
        <v>919</v>
      </c>
      <c r="K616" s="61" t="s">
        <v>126</v>
      </c>
      <c r="L616" s="159"/>
      <c r="M616" s="48"/>
      <c r="N616" s="123"/>
    </row>
    <row r="617" spans="1:14" customFormat="1" x14ac:dyDescent="0.55000000000000004">
      <c r="A617" s="105" t="s">
        <v>3316</v>
      </c>
      <c r="B617" s="61" t="s">
        <v>948</v>
      </c>
      <c r="C617" s="61" t="s">
        <v>121</v>
      </c>
      <c r="D617" s="61" t="s">
        <v>3288</v>
      </c>
      <c r="E617" s="119">
        <v>1</v>
      </c>
      <c r="F617" s="148" t="s">
        <v>135</v>
      </c>
      <c r="G617" s="148">
        <v>1</v>
      </c>
      <c r="H617" s="61" t="s">
        <v>39</v>
      </c>
      <c r="I617" s="61"/>
      <c r="J617" s="61"/>
      <c r="K617" s="61"/>
      <c r="L617" s="159">
        <v>271114</v>
      </c>
      <c r="M617" s="48"/>
      <c r="N617" s="123"/>
    </row>
    <row r="618" spans="1:14" customFormat="1" x14ac:dyDescent="0.55000000000000004">
      <c r="A618" s="105" t="s">
        <v>3316</v>
      </c>
      <c r="B618" s="61" t="s">
        <v>939</v>
      </c>
      <c r="C618" s="61" t="s">
        <v>125</v>
      </c>
      <c r="D618" s="61" t="s">
        <v>3288</v>
      </c>
      <c r="E618" s="119">
        <v>1.5870445339999999</v>
      </c>
      <c r="F618" s="148" t="s">
        <v>135</v>
      </c>
      <c r="G618" s="148">
        <v>1</v>
      </c>
      <c r="H618" s="61" t="s">
        <v>39</v>
      </c>
      <c r="I618" s="61"/>
      <c r="J618" s="61" t="s">
        <v>919</v>
      </c>
      <c r="K618" s="61" t="s">
        <v>126</v>
      </c>
      <c r="L618" s="159"/>
      <c r="M618" s="48"/>
      <c r="N618" s="123"/>
    </row>
    <row r="619" spans="1:14" customFormat="1" x14ac:dyDescent="0.55000000000000004">
      <c r="A619" s="105" t="s">
        <v>3316</v>
      </c>
      <c r="B619" s="61" t="s">
        <v>213</v>
      </c>
      <c r="C619" s="61" t="s">
        <v>125</v>
      </c>
      <c r="D619" s="61" t="s">
        <v>3288</v>
      </c>
      <c r="E619" s="119">
        <v>6.4777327999999995E-2</v>
      </c>
      <c r="F619" s="148" t="s">
        <v>135</v>
      </c>
      <c r="G619" s="148">
        <v>1</v>
      </c>
      <c r="H619" s="61" t="s">
        <v>39</v>
      </c>
      <c r="I619" s="61"/>
      <c r="J619" s="61" t="s">
        <v>919</v>
      </c>
      <c r="K619" s="61" t="s">
        <v>126</v>
      </c>
      <c r="L619" s="159"/>
      <c r="M619" s="48"/>
      <c r="N619" s="123"/>
    </row>
    <row r="620" spans="1:14" customFormat="1" x14ac:dyDescent="0.55000000000000004">
      <c r="A620" s="105" t="s">
        <v>3316</v>
      </c>
      <c r="B620" s="61" t="s">
        <v>334</v>
      </c>
      <c r="C620" s="61" t="s">
        <v>125</v>
      </c>
      <c r="D620" s="61" t="s">
        <v>3288</v>
      </c>
      <c r="E620" s="119">
        <v>6.4736842000000003E-2</v>
      </c>
      <c r="F620" s="148" t="s">
        <v>135</v>
      </c>
      <c r="G620" s="148">
        <v>1</v>
      </c>
      <c r="H620" s="61" t="s">
        <v>39</v>
      </c>
      <c r="I620" s="61"/>
      <c r="J620" s="61" t="s">
        <v>919</v>
      </c>
      <c r="K620" s="61" t="s">
        <v>126</v>
      </c>
      <c r="L620" s="159"/>
      <c r="M620" s="48"/>
      <c r="N620" s="123"/>
    </row>
    <row r="621" spans="1:14" customFormat="1" x14ac:dyDescent="0.55000000000000004">
      <c r="A621" s="105" t="s">
        <v>3316</v>
      </c>
      <c r="B621" s="61" t="s">
        <v>153</v>
      </c>
      <c r="C621" s="61" t="s">
        <v>127</v>
      </c>
      <c r="D621" s="61" t="s">
        <v>2994</v>
      </c>
      <c r="E621" s="119">
        <v>1.0253441299999999</v>
      </c>
      <c r="F621" s="148" t="s">
        <v>138</v>
      </c>
      <c r="G621" s="148">
        <v>1</v>
      </c>
      <c r="H621" s="61" t="s">
        <v>39</v>
      </c>
      <c r="I621" s="61"/>
      <c r="J621" s="61" t="s">
        <v>919</v>
      </c>
      <c r="K621" s="61" t="s">
        <v>126</v>
      </c>
      <c r="L621" s="159"/>
      <c r="M621" s="48"/>
      <c r="N621" s="123"/>
    </row>
    <row r="622" spans="1:14" customFormat="1" x14ac:dyDescent="0.55000000000000004">
      <c r="A622" s="105" t="s">
        <v>3316</v>
      </c>
      <c r="B622" s="61" t="s">
        <v>153</v>
      </c>
      <c r="C622" s="61" t="s">
        <v>127</v>
      </c>
      <c r="D622" s="61" t="s">
        <v>2994</v>
      </c>
      <c r="E622" s="119">
        <v>1.5591093119999999</v>
      </c>
      <c r="F622" s="148" t="s">
        <v>138</v>
      </c>
      <c r="G622" s="148">
        <v>1</v>
      </c>
      <c r="H622" s="61" t="s">
        <v>39</v>
      </c>
      <c r="I622" s="61"/>
      <c r="J622" s="61" t="s">
        <v>919</v>
      </c>
      <c r="K622" s="61" t="s">
        <v>126</v>
      </c>
      <c r="L622" s="159"/>
      <c r="M622" s="48"/>
      <c r="N622" s="123"/>
    </row>
    <row r="623" spans="1:14" customFormat="1" x14ac:dyDescent="0.55000000000000004">
      <c r="A623" s="105" t="s">
        <v>3316</v>
      </c>
      <c r="B623" s="61" t="s">
        <v>153</v>
      </c>
      <c r="C623" s="61" t="s">
        <v>127</v>
      </c>
      <c r="D623" s="61" t="s">
        <v>2994</v>
      </c>
      <c r="E623" s="119">
        <v>2.584453441</v>
      </c>
      <c r="F623" s="148" t="s">
        <v>138</v>
      </c>
      <c r="G623" s="148">
        <v>1</v>
      </c>
      <c r="H623" s="61" t="s">
        <v>39</v>
      </c>
      <c r="I623" s="61"/>
      <c r="J623" s="61" t="s">
        <v>919</v>
      </c>
      <c r="K623" s="61" t="s">
        <v>126</v>
      </c>
      <c r="L623" s="159"/>
      <c r="M623" s="48"/>
      <c r="N623" s="123"/>
    </row>
    <row r="624" spans="1:14" customFormat="1" x14ac:dyDescent="0.55000000000000004">
      <c r="A624" s="105" t="s">
        <v>3316</v>
      </c>
      <c r="B624" s="61" t="s">
        <v>334</v>
      </c>
      <c r="C624" s="61" t="s">
        <v>125</v>
      </c>
      <c r="D624" s="61" t="s">
        <v>3288</v>
      </c>
      <c r="E624" s="119">
        <v>1.9190282999999999E-2</v>
      </c>
      <c r="F624" s="148" t="s">
        <v>135</v>
      </c>
      <c r="G624" s="148">
        <v>1</v>
      </c>
      <c r="H624" s="61" t="s">
        <v>39</v>
      </c>
      <c r="I624" s="61"/>
      <c r="J624" s="61" t="s">
        <v>919</v>
      </c>
      <c r="K624" s="61" t="s">
        <v>126</v>
      </c>
      <c r="L624" s="159"/>
      <c r="M624" s="48"/>
      <c r="N624" s="123"/>
    </row>
    <row r="625" spans="1:14" customFormat="1" x14ac:dyDescent="0.55000000000000004">
      <c r="A625" s="105" t="s">
        <v>3317</v>
      </c>
      <c r="B625" s="61" t="s">
        <v>948</v>
      </c>
      <c r="C625" s="61" t="s">
        <v>121</v>
      </c>
      <c r="D625" s="61" t="s">
        <v>3288</v>
      </c>
      <c r="E625" s="119">
        <v>1</v>
      </c>
      <c r="F625" s="148" t="s">
        <v>135</v>
      </c>
      <c r="G625" s="148">
        <v>1</v>
      </c>
      <c r="H625" s="61" t="s">
        <v>39</v>
      </c>
      <c r="I625" s="61"/>
      <c r="J625" s="61"/>
      <c r="K625" s="61"/>
      <c r="L625" s="159">
        <v>271114</v>
      </c>
      <c r="M625" s="48"/>
      <c r="N625" s="123"/>
    </row>
    <row r="626" spans="1:14" customFormat="1" x14ac:dyDescent="0.55000000000000004">
      <c r="A626" s="105" t="s">
        <v>3317</v>
      </c>
      <c r="B626" s="61" t="s">
        <v>939</v>
      </c>
      <c r="C626" s="61" t="s">
        <v>125</v>
      </c>
      <c r="D626" s="61" t="s">
        <v>3288</v>
      </c>
      <c r="E626" s="119">
        <v>1.5870445339999999</v>
      </c>
      <c r="F626" s="148" t="s">
        <v>135</v>
      </c>
      <c r="G626" s="148">
        <v>1</v>
      </c>
      <c r="H626" s="61" t="s">
        <v>39</v>
      </c>
      <c r="I626" s="61" t="s">
        <v>947</v>
      </c>
      <c r="J626" s="61" t="s">
        <v>919</v>
      </c>
      <c r="K626" s="61" t="s">
        <v>126</v>
      </c>
      <c r="L626" s="159"/>
      <c r="M626" s="48"/>
      <c r="N626" s="123"/>
    </row>
    <row r="627" spans="1:14" customFormat="1" x14ac:dyDescent="0.55000000000000004">
      <c r="A627" s="105" t="s">
        <v>3317</v>
      </c>
      <c r="B627" s="61" t="s">
        <v>923</v>
      </c>
      <c r="C627" s="61" t="s">
        <v>127</v>
      </c>
      <c r="D627" s="61" t="s">
        <v>2994</v>
      </c>
      <c r="E627" s="119">
        <v>8.8663967610000007</v>
      </c>
      <c r="F627" s="148" t="s">
        <v>138</v>
      </c>
      <c r="G627" s="148">
        <v>1</v>
      </c>
      <c r="H627" s="61" t="s">
        <v>39</v>
      </c>
      <c r="I627" s="61" t="s">
        <v>947</v>
      </c>
      <c r="J627" s="61" t="s">
        <v>919</v>
      </c>
      <c r="K627" s="61" t="s">
        <v>126</v>
      </c>
      <c r="L627" s="159"/>
      <c r="M627" s="48"/>
      <c r="N627" s="123"/>
    </row>
    <row r="628" spans="1:14" customFormat="1" x14ac:dyDescent="0.55000000000000004">
      <c r="A628" s="105" t="s">
        <v>3317</v>
      </c>
      <c r="B628" s="61" t="s">
        <v>153</v>
      </c>
      <c r="C628" s="61" t="s">
        <v>127</v>
      </c>
      <c r="D628" s="61" t="s">
        <v>2994</v>
      </c>
      <c r="E628" s="119">
        <v>1.0253441299999999</v>
      </c>
      <c r="F628" s="148" t="s">
        <v>138</v>
      </c>
      <c r="G628" s="148">
        <v>1</v>
      </c>
      <c r="H628" s="61" t="s">
        <v>39</v>
      </c>
      <c r="I628" s="61" t="s">
        <v>947</v>
      </c>
      <c r="J628" s="61" t="s">
        <v>919</v>
      </c>
      <c r="K628" s="61" t="s">
        <v>126</v>
      </c>
      <c r="L628" s="159"/>
      <c r="M628" s="48"/>
      <c r="N628" s="123"/>
    </row>
    <row r="629" spans="1:14" customFormat="1" x14ac:dyDescent="0.55000000000000004">
      <c r="A629" s="105" t="s">
        <v>3317</v>
      </c>
      <c r="B629" s="61" t="s">
        <v>160</v>
      </c>
      <c r="C629" s="61" t="s">
        <v>497</v>
      </c>
      <c r="D629" s="61" t="s">
        <v>3288</v>
      </c>
      <c r="E629" s="119">
        <v>0.59404858299999996</v>
      </c>
      <c r="F629" s="148" t="s">
        <v>135</v>
      </c>
      <c r="G629" s="148">
        <v>1</v>
      </c>
      <c r="H629" s="61" t="s">
        <v>39</v>
      </c>
      <c r="I629" s="61" t="s">
        <v>959</v>
      </c>
      <c r="J629" s="61" t="s">
        <v>924</v>
      </c>
      <c r="K629" s="61" t="s">
        <v>126</v>
      </c>
      <c r="L629" s="159"/>
      <c r="M629" s="48"/>
      <c r="N629" s="123"/>
    </row>
    <row r="630" spans="1:14" customFormat="1" x14ac:dyDescent="0.55000000000000004">
      <c r="A630" s="105" t="s">
        <v>3318</v>
      </c>
      <c r="B630" s="61" t="s">
        <v>948</v>
      </c>
      <c r="C630" s="61" t="s">
        <v>121</v>
      </c>
      <c r="D630" s="61" t="s">
        <v>3288</v>
      </c>
      <c r="E630" s="119">
        <v>1</v>
      </c>
      <c r="F630" s="148" t="s">
        <v>135</v>
      </c>
      <c r="G630" s="148">
        <v>1</v>
      </c>
      <c r="H630" s="61" t="s">
        <v>39</v>
      </c>
      <c r="I630" s="61"/>
      <c r="J630" s="61"/>
      <c r="K630" s="61"/>
      <c r="L630" s="159">
        <v>271114</v>
      </c>
      <c r="M630" s="48"/>
      <c r="N630" s="123"/>
    </row>
    <row r="631" spans="1:14" customFormat="1" x14ac:dyDescent="0.55000000000000004">
      <c r="A631" s="105" t="s">
        <v>3318</v>
      </c>
      <c r="B631" s="61" t="s">
        <v>939</v>
      </c>
      <c r="C631" s="61" t="s">
        <v>125</v>
      </c>
      <c r="D631" s="61" t="s">
        <v>3288</v>
      </c>
      <c r="E631" s="119">
        <v>1.5870445339999999</v>
      </c>
      <c r="F631" s="148" t="s">
        <v>135</v>
      </c>
      <c r="G631" s="148">
        <v>1</v>
      </c>
      <c r="H631" s="61" t="s">
        <v>39</v>
      </c>
      <c r="I631" s="61" t="s">
        <v>990</v>
      </c>
      <c r="J631" s="61" t="s">
        <v>919</v>
      </c>
      <c r="K631" s="61" t="s">
        <v>126</v>
      </c>
      <c r="L631" s="159"/>
      <c r="M631" s="48"/>
      <c r="N631" s="123"/>
    </row>
    <row r="632" spans="1:14" customFormat="1" x14ac:dyDescent="0.55000000000000004">
      <c r="A632" s="105" t="s">
        <v>3318</v>
      </c>
      <c r="B632" s="61" t="s">
        <v>213</v>
      </c>
      <c r="C632" s="61" t="s">
        <v>125</v>
      </c>
      <c r="D632" s="61" t="s">
        <v>3288</v>
      </c>
      <c r="E632" s="119">
        <v>6.4777327999999995E-2</v>
      </c>
      <c r="F632" s="148" t="s">
        <v>135</v>
      </c>
      <c r="G632" s="148">
        <v>1</v>
      </c>
      <c r="H632" s="61" t="s">
        <v>39</v>
      </c>
      <c r="I632" s="61" t="s">
        <v>991</v>
      </c>
      <c r="J632" s="61" t="s">
        <v>919</v>
      </c>
      <c r="K632" s="61" t="s">
        <v>126</v>
      </c>
      <c r="L632" s="159"/>
      <c r="M632" s="48"/>
      <c r="N632" s="123"/>
    </row>
    <row r="633" spans="1:14" customFormat="1" x14ac:dyDescent="0.55000000000000004">
      <c r="A633" s="105" t="s">
        <v>3318</v>
      </c>
      <c r="B633" s="61" t="s">
        <v>153</v>
      </c>
      <c r="C633" s="61" t="s">
        <v>127</v>
      </c>
      <c r="D633" s="61" t="s">
        <v>2994</v>
      </c>
      <c r="E633" s="119">
        <v>1.0253441299999999</v>
      </c>
      <c r="F633" s="148" t="s">
        <v>138</v>
      </c>
      <c r="G633" s="148">
        <v>1</v>
      </c>
      <c r="H633" s="61" t="s">
        <v>39</v>
      </c>
      <c r="I633" s="61" t="s">
        <v>990</v>
      </c>
      <c r="J633" s="61" t="s">
        <v>919</v>
      </c>
      <c r="K633" s="61" t="s">
        <v>126</v>
      </c>
      <c r="L633" s="159"/>
      <c r="M633" s="48"/>
      <c r="N633" s="123"/>
    </row>
    <row r="634" spans="1:14" customFormat="1" x14ac:dyDescent="0.55000000000000004">
      <c r="A634" s="105" t="s">
        <v>3318</v>
      </c>
      <c r="B634" s="61" t="s">
        <v>153</v>
      </c>
      <c r="C634" s="61" t="s">
        <v>127</v>
      </c>
      <c r="D634" s="61" t="s">
        <v>2994</v>
      </c>
      <c r="E634" s="119">
        <v>0.44048583000000002</v>
      </c>
      <c r="F634" s="148" t="s">
        <v>138</v>
      </c>
      <c r="G634" s="148">
        <v>1</v>
      </c>
      <c r="H634" s="61" t="s">
        <v>39</v>
      </c>
      <c r="I634" s="61" t="s">
        <v>987</v>
      </c>
      <c r="J634" s="61" t="s">
        <v>919</v>
      </c>
      <c r="K634" s="61" t="s">
        <v>126</v>
      </c>
      <c r="L634" s="159"/>
      <c r="M634" s="48"/>
      <c r="N634" s="123"/>
    </row>
    <row r="635" spans="1:14" customFormat="1" x14ac:dyDescent="0.55000000000000004">
      <c r="A635" s="105" t="s">
        <v>3318</v>
      </c>
      <c r="B635" s="61" t="s">
        <v>153</v>
      </c>
      <c r="C635" s="61" t="s">
        <v>127</v>
      </c>
      <c r="D635" s="61" t="s">
        <v>2994</v>
      </c>
      <c r="E635" s="119">
        <v>1.46582996</v>
      </c>
      <c r="F635" s="148" t="s">
        <v>138</v>
      </c>
      <c r="G635" s="148">
        <v>1</v>
      </c>
      <c r="H635" s="61" t="s">
        <v>39</v>
      </c>
      <c r="I635" s="61"/>
      <c r="J635" s="61" t="s">
        <v>919</v>
      </c>
      <c r="K635" s="61" t="s">
        <v>126</v>
      </c>
      <c r="L635" s="159"/>
      <c r="M635" s="48"/>
      <c r="N635" s="123"/>
    </row>
    <row r="636" spans="1:14" customFormat="1" x14ac:dyDescent="0.55000000000000004">
      <c r="A636" s="105" t="s">
        <v>3319</v>
      </c>
      <c r="B636" s="61" t="s">
        <v>948</v>
      </c>
      <c r="C636" s="61" t="s">
        <v>121</v>
      </c>
      <c r="D636" s="61" t="s">
        <v>3288</v>
      </c>
      <c r="E636" s="119">
        <v>1</v>
      </c>
      <c r="F636" s="148" t="s">
        <v>135</v>
      </c>
      <c r="G636" s="148">
        <v>1</v>
      </c>
      <c r="H636" s="61" t="s">
        <v>39</v>
      </c>
      <c r="I636" s="61"/>
      <c r="J636" s="61"/>
      <c r="K636" s="61"/>
      <c r="L636" s="159">
        <v>271114</v>
      </c>
      <c r="M636" s="48"/>
      <c r="N636" s="123"/>
    </row>
    <row r="637" spans="1:14" customFormat="1" x14ac:dyDescent="0.55000000000000004">
      <c r="A637" s="105" t="s">
        <v>3319</v>
      </c>
      <c r="B637" s="61" t="s">
        <v>625</v>
      </c>
      <c r="C637" s="61" t="s">
        <v>125</v>
      </c>
      <c r="D637" s="61" t="s">
        <v>3288</v>
      </c>
      <c r="E637" s="119">
        <v>0.69454000000000005</v>
      </c>
      <c r="F637" s="148" t="s">
        <v>135</v>
      </c>
      <c r="G637" s="148">
        <v>1</v>
      </c>
      <c r="H637" s="61" t="s">
        <v>39</v>
      </c>
      <c r="I637" s="61" t="s">
        <v>956</v>
      </c>
      <c r="J637" s="61" t="s">
        <v>919</v>
      </c>
      <c r="K637" s="61" t="s">
        <v>126</v>
      </c>
      <c r="L637" s="159"/>
      <c r="M637" s="48"/>
      <c r="N637" s="123"/>
    </row>
    <row r="638" spans="1:14" customFormat="1" x14ac:dyDescent="0.55000000000000004">
      <c r="A638" s="105" t="s">
        <v>3319</v>
      </c>
      <c r="B638" s="61" t="s">
        <v>706</v>
      </c>
      <c r="C638" s="61" t="s">
        <v>125</v>
      </c>
      <c r="D638" s="61" t="s">
        <v>3288</v>
      </c>
      <c r="E638" s="119">
        <v>5.9450000000000003E-2</v>
      </c>
      <c r="F638" s="148" t="s">
        <v>135</v>
      </c>
      <c r="G638" s="148">
        <v>1</v>
      </c>
      <c r="H638" s="61" t="s">
        <v>39</v>
      </c>
      <c r="I638" s="61" t="s">
        <v>947</v>
      </c>
      <c r="J638" s="61" t="s">
        <v>919</v>
      </c>
      <c r="K638" s="61" t="s">
        <v>126</v>
      </c>
      <c r="L638" s="159"/>
      <c r="M638" s="48"/>
      <c r="N638" s="123"/>
    </row>
    <row r="639" spans="1:14" customFormat="1" x14ac:dyDescent="0.55000000000000004">
      <c r="A639" s="105" t="s">
        <v>3319</v>
      </c>
      <c r="B639" s="61" t="s">
        <v>925</v>
      </c>
      <c r="C639" s="61" t="s">
        <v>125</v>
      </c>
      <c r="D639" s="61" t="s">
        <v>3288</v>
      </c>
      <c r="E639" s="119">
        <v>0.27388000000000001</v>
      </c>
      <c r="F639" s="148" t="s">
        <v>135</v>
      </c>
      <c r="G639" s="148">
        <v>1</v>
      </c>
      <c r="H639" s="61" t="s">
        <v>39</v>
      </c>
      <c r="I639" s="61" t="s">
        <v>947</v>
      </c>
      <c r="J639" s="61" t="s">
        <v>919</v>
      </c>
      <c r="K639" s="61" t="s">
        <v>126</v>
      </c>
      <c r="L639" s="159"/>
      <c r="M639" s="48"/>
      <c r="N639" s="123"/>
    </row>
    <row r="640" spans="1:14" customFormat="1" x14ac:dyDescent="0.55000000000000004">
      <c r="A640" s="105" t="s">
        <v>3319</v>
      </c>
      <c r="B640" s="61" t="s">
        <v>923</v>
      </c>
      <c r="C640" s="61" t="s">
        <v>127</v>
      </c>
      <c r="D640" s="61" t="s">
        <v>2994</v>
      </c>
      <c r="E640" s="119">
        <v>7.5381556850000004</v>
      </c>
      <c r="F640" s="148" t="s">
        <v>138</v>
      </c>
      <c r="G640" s="148">
        <v>1</v>
      </c>
      <c r="H640" s="61" t="s">
        <v>39</v>
      </c>
      <c r="I640" s="61" t="s">
        <v>968</v>
      </c>
      <c r="J640" s="61" t="s">
        <v>919</v>
      </c>
      <c r="K640" s="61" t="s">
        <v>126</v>
      </c>
      <c r="L640" s="159"/>
      <c r="M640" s="48"/>
      <c r="N640" s="123"/>
    </row>
    <row r="641" spans="1:14" customFormat="1" x14ac:dyDescent="0.55000000000000004">
      <c r="A641" s="105" t="s">
        <v>3319</v>
      </c>
      <c r="B641" s="61" t="s">
        <v>153</v>
      </c>
      <c r="C641" s="61" t="s">
        <v>127</v>
      </c>
      <c r="D641" s="61" t="s">
        <v>2994</v>
      </c>
      <c r="E641" s="119">
        <v>2.1527099999999999</v>
      </c>
      <c r="F641" s="148" t="s">
        <v>138</v>
      </c>
      <c r="G641" s="148">
        <v>1</v>
      </c>
      <c r="H641" s="61" t="s">
        <v>39</v>
      </c>
      <c r="I641" s="61" t="s">
        <v>968</v>
      </c>
      <c r="J641" s="61" t="s">
        <v>919</v>
      </c>
      <c r="K641" s="61" t="s">
        <v>126</v>
      </c>
      <c r="L641" s="159"/>
      <c r="M641" s="48"/>
      <c r="N641" s="123"/>
    </row>
    <row r="642" spans="1:14" customFormat="1" x14ac:dyDescent="0.55000000000000004">
      <c r="A642" s="105" t="s">
        <v>3319</v>
      </c>
      <c r="B642" s="61" t="s">
        <v>160</v>
      </c>
      <c r="C642" s="61" t="s">
        <v>497</v>
      </c>
      <c r="D642" s="61" t="s">
        <v>3288</v>
      </c>
      <c r="E642" s="119">
        <v>0.50505643099999997</v>
      </c>
      <c r="F642" s="148" t="s">
        <v>135</v>
      </c>
      <c r="G642" s="148">
        <v>1</v>
      </c>
      <c r="H642" s="61" t="s">
        <v>39</v>
      </c>
      <c r="I642" s="61" t="s">
        <v>959</v>
      </c>
      <c r="J642" s="61" t="s">
        <v>924</v>
      </c>
      <c r="K642" s="61" t="s">
        <v>126</v>
      </c>
      <c r="L642" s="159"/>
      <c r="M642" s="48"/>
      <c r="N642" s="123"/>
    </row>
    <row r="643" spans="1:14" customFormat="1" x14ac:dyDescent="0.55000000000000004">
      <c r="A643" s="105" t="s">
        <v>3320</v>
      </c>
      <c r="B643" s="61" t="s">
        <v>948</v>
      </c>
      <c r="C643" s="61" t="s">
        <v>121</v>
      </c>
      <c r="D643" s="61" t="s">
        <v>3288</v>
      </c>
      <c r="E643" s="119">
        <v>1</v>
      </c>
      <c r="F643" s="148" t="s">
        <v>135</v>
      </c>
      <c r="G643" s="148">
        <v>1</v>
      </c>
      <c r="H643" s="61" t="s">
        <v>39</v>
      </c>
      <c r="I643" s="61"/>
      <c r="J643" s="61"/>
      <c r="K643" s="61"/>
      <c r="L643" s="159">
        <v>271114</v>
      </c>
      <c r="M643" s="48"/>
      <c r="N643" s="123"/>
    </row>
    <row r="644" spans="1:14" customFormat="1" x14ac:dyDescent="0.55000000000000004">
      <c r="A644" s="105" t="s">
        <v>3320</v>
      </c>
      <c r="B644" s="61" t="s">
        <v>625</v>
      </c>
      <c r="C644" s="61" t="s">
        <v>125</v>
      </c>
      <c r="D644" s="61" t="s">
        <v>3288</v>
      </c>
      <c r="E644" s="119">
        <v>0.98744939300000001</v>
      </c>
      <c r="F644" s="148" t="s">
        <v>135</v>
      </c>
      <c r="G644" s="148">
        <v>1</v>
      </c>
      <c r="H644" s="61" t="s">
        <v>39</v>
      </c>
      <c r="I644" s="61" t="s">
        <v>947</v>
      </c>
      <c r="J644" s="61" t="s">
        <v>919</v>
      </c>
      <c r="K644" s="61" t="s">
        <v>126</v>
      </c>
      <c r="L644" s="159"/>
      <c r="M644" s="48"/>
      <c r="N644" s="123"/>
    </row>
    <row r="645" spans="1:14" customFormat="1" x14ac:dyDescent="0.55000000000000004">
      <c r="A645" s="105" t="s">
        <v>3320</v>
      </c>
      <c r="B645" s="61" t="s">
        <v>706</v>
      </c>
      <c r="C645" s="61" t="s">
        <v>125</v>
      </c>
      <c r="D645" s="61" t="s">
        <v>3288</v>
      </c>
      <c r="E645" s="119">
        <v>0</v>
      </c>
      <c r="F645" s="148" t="s">
        <v>135</v>
      </c>
      <c r="G645" s="148">
        <v>1</v>
      </c>
      <c r="H645" s="61" t="s">
        <v>39</v>
      </c>
      <c r="I645" s="61" t="s">
        <v>947</v>
      </c>
      <c r="J645" s="61" t="s">
        <v>919</v>
      </c>
      <c r="K645" s="61" t="s">
        <v>126</v>
      </c>
      <c r="L645" s="159"/>
      <c r="M645" s="48"/>
      <c r="N645" s="123"/>
    </row>
    <row r="646" spans="1:14" customFormat="1" x14ac:dyDescent="0.55000000000000004">
      <c r="A646" s="105" t="s">
        <v>3320</v>
      </c>
      <c r="B646" s="61" t="s">
        <v>925</v>
      </c>
      <c r="C646" s="61" t="s">
        <v>125</v>
      </c>
      <c r="D646" s="61" t="s">
        <v>3288</v>
      </c>
      <c r="E646" s="119">
        <v>2.4696355999999999E-2</v>
      </c>
      <c r="F646" s="148" t="s">
        <v>135</v>
      </c>
      <c r="G646" s="148">
        <v>1</v>
      </c>
      <c r="H646" s="61" t="s">
        <v>39</v>
      </c>
      <c r="I646" s="61" t="s">
        <v>947</v>
      </c>
      <c r="J646" s="61" t="s">
        <v>919</v>
      </c>
      <c r="K646" s="61" t="s">
        <v>126</v>
      </c>
      <c r="L646" s="159"/>
      <c r="M646" s="48"/>
      <c r="N646" s="123"/>
    </row>
    <row r="647" spans="1:14" customFormat="1" x14ac:dyDescent="0.55000000000000004">
      <c r="A647" s="105" t="s">
        <v>3320</v>
      </c>
      <c r="B647" s="61" t="s">
        <v>923</v>
      </c>
      <c r="C647" s="61" t="s">
        <v>127</v>
      </c>
      <c r="D647" s="61" t="s">
        <v>2994</v>
      </c>
      <c r="E647" s="119">
        <v>7.5364372470000003</v>
      </c>
      <c r="F647" s="148" t="s">
        <v>138</v>
      </c>
      <c r="G647" s="148">
        <v>1</v>
      </c>
      <c r="H647" s="61" t="s">
        <v>39</v>
      </c>
      <c r="I647" s="61" t="s">
        <v>947</v>
      </c>
      <c r="J647" s="61" t="s">
        <v>919</v>
      </c>
      <c r="K647" s="61" t="s">
        <v>126</v>
      </c>
      <c r="L647" s="159"/>
      <c r="M647" s="48"/>
      <c r="N647" s="123"/>
    </row>
    <row r="648" spans="1:14" customFormat="1" x14ac:dyDescent="0.55000000000000004">
      <c r="A648" s="105" t="s">
        <v>3320</v>
      </c>
      <c r="B648" s="61" t="s">
        <v>153</v>
      </c>
      <c r="C648" s="61" t="s">
        <v>127</v>
      </c>
      <c r="D648" s="61" t="s">
        <v>2994</v>
      </c>
      <c r="E648" s="119">
        <v>0.87154251000000005</v>
      </c>
      <c r="F648" s="148" t="s">
        <v>138</v>
      </c>
      <c r="G648" s="148">
        <v>1</v>
      </c>
      <c r="H648" s="61" t="s">
        <v>39</v>
      </c>
      <c r="I648" s="61" t="s">
        <v>970</v>
      </c>
      <c r="J648" s="61" t="s">
        <v>919</v>
      </c>
      <c r="K648" s="61" t="s">
        <v>126</v>
      </c>
      <c r="L648" s="159"/>
      <c r="M648" s="48"/>
      <c r="N648" s="123"/>
    </row>
    <row r="649" spans="1:14" customFormat="1" x14ac:dyDescent="0.55000000000000004">
      <c r="A649" s="105" t="s">
        <v>3320</v>
      </c>
      <c r="B649" s="61" t="s">
        <v>153</v>
      </c>
      <c r="C649" s="61" t="s">
        <v>127</v>
      </c>
      <c r="D649" s="61" t="s">
        <v>2994</v>
      </c>
      <c r="E649" s="119">
        <v>2.2222727999999998</v>
      </c>
      <c r="F649" s="148" t="s">
        <v>138</v>
      </c>
      <c r="G649" s="148">
        <v>1</v>
      </c>
      <c r="H649" s="61" t="s">
        <v>39</v>
      </c>
      <c r="I649" s="61" t="s">
        <v>950</v>
      </c>
      <c r="J649" s="61" t="s">
        <v>919</v>
      </c>
      <c r="K649" s="61" t="s">
        <v>126</v>
      </c>
      <c r="L649" s="159"/>
      <c r="M649" s="48"/>
      <c r="N649" s="123"/>
    </row>
    <row r="650" spans="1:14" customFormat="1" x14ac:dyDescent="0.55000000000000004">
      <c r="A650" s="105" t="s">
        <v>3320</v>
      </c>
      <c r="B650" s="61" t="s">
        <v>153</v>
      </c>
      <c r="C650" s="61" t="s">
        <v>127</v>
      </c>
      <c r="D650" s="61" t="s">
        <v>2994</v>
      </c>
      <c r="E650" s="119">
        <v>3.0938153100000001</v>
      </c>
      <c r="F650" s="148" t="s">
        <v>138</v>
      </c>
      <c r="G650" s="148">
        <v>1</v>
      </c>
      <c r="H650" s="61" t="s">
        <v>39</v>
      </c>
      <c r="I650" s="61" t="s">
        <v>971</v>
      </c>
      <c r="J650" s="61" t="s">
        <v>919</v>
      </c>
      <c r="K650" s="61" t="s">
        <v>126</v>
      </c>
      <c r="L650" s="159"/>
      <c r="M650" s="48"/>
      <c r="N650" s="123"/>
    </row>
    <row r="651" spans="1:14" customFormat="1" x14ac:dyDescent="0.55000000000000004">
      <c r="A651" s="105" t="s">
        <v>3320</v>
      </c>
      <c r="B651" s="61" t="s">
        <v>160</v>
      </c>
      <c r="C651" s="61" t="s">
        <v>497</v>
      </c>
      <c r="D651" s="61" t="s">
        <v>3288</v>
      </c>
      <c r="E651" s="119">
        <v>2.5247064999999999E-2</v>
      </c>
      <c r="F651" s="148" t="s">
        <v>135</v>
      </c>
      <c r="G651" s="148">
        <v>1</v>
      </c>
      <c r="H651" s="61" t="s">
        <v>39</v>
      </c>
      <c r="I651" s="61" t="s">
        <v>959</v>
      </c>
      <c r="J651" s="61" t="s">
        <v>924</v>
      </c>
      <c r="K651" s="61" t="s">
        <v>126</v>
      </c>
      <c r="L651" s="159"/>
      <c r="M651" s="48"/>
      <c r="N651" s="123"/>
    </row>
    <row r="652" spans="1:14" customFormat="1" x14ac:dyDescent="0.55000000000000004">
      <c r="A652" s="105" t="s">
        <v>3321</v>
      </c>
      <c r="B652" s="61" t="s">
        <v>948</v>
      </c>
      <c r="C652" s="61" t="s">
        <v>121</v>
      </c>
      <c r="D652" s="61" t="s">
        <v>3288</v>
      </c>
      <c r="E652" s="119">
        <v>1</v>
      </c>
      <c r="F652" s="148" t="s">
        <v>135</v>
      </c>
      <c r="G652" s="148">
        <v>1</v>
      </c>
      <c r="H652" s="61" t="s">
        <v>39</v>
      </c>
      <c r="I652" s="61"/>
      <c r="J652" s="61"/>
      <c r="K652" s="61"/>
      <c r="L652" s="159">
        <v>271114</v>
      </c>
      <c r="M652" s="48"/>
      <c r="N652" s="123"/>
    </row>
    <row r="653" spans="1:14" customFormat="1" x14ac:dyDescent="0.55000000000000004">
      <c r="A653" s="105" t="s">
        <v>3321</v>
      </c>
      <c r="B653" s="61" t="s">
        <v>625</v>
      </c>
      <c r="C653" s="61" t="s">
        <v>125</v>
      </c>
      <c r="D653" s="61" t="s">
        <v>3288</v>
      </c>
      <c r="E653" s="119">
        <v>0.69289999999999996</v>
      </c>
      <c r="F653" s="148" t="s">
        <v>135</v>
      </c>
      <c r="G653" s="148">
        <v>1</v>
      </c>
      <c r="H653" s="61" t="s">
        <v>39</v>
      </c>
      <c r="I653" s="61" t="s">
        <v>947</v>
      </c>
      <c r="J653" s="61" t="s">
        <v>919</v>
      </c>
      <c r="K653" s="61" t="s">
        <v>126</v>
      </c>
      <c r="L653" s="159"/>
      <c r="M653" s="48"/>
      <c r="N653" s="123"/>
    </row>
    <row r="654" spans="1:14" customFormat="1" x14ac:dyDescent="0.55000000000000004">
      <c r="A654" s="105" t="s">
        <v>3321</v>
      </c>
      <c r="B654" s="61" t="s">
        <v>706</v>
      </c>
      <c r="C654" s="61" t="s">
        <v>125</v>
      </c>
      <c r="D654" s="61" t="s">
        <v>3288</v>
      </c>
      <c r="E654" s="119">
        <v>5.9450000000000003E-2</v>
      </c>
      <c r="F654" s="148" t="s">
        <v>135</v>
      </c>
      <c r="G654" s="148">
        <v>1</v>
      </c>
      <c r="H654" s="61" t="s">
        <v>39</v>
      </c>
      <c r="I654" s="61" t="s">
        <v>947</v>
      </c>
      <c r="J654" s="61" t="s">
        <v>919</v>
      </c>
      <c r="K654" s="61" t="s">
        <v>126</v>
      </c>
      <c r="L654" s="159"/>
      <c r="M654" s="48"/>
      <c r="N654" s="123"/>
    </row>
    <row r="655" spans="1:14" customFormat="1" x14ac:dyDescent="0.55000000000000004">
      <c r="A655" s="105" t="s">
        <v>3321</v>
      </c>
      <c r="B655" s="61" t="s">
        <v>925</v>
      </c>
      <c r="C655" s="61" t="s">
        <v>125</v>
      </c>
      <c r="D655" s="61" t="s">
        <v>3288</v>
      </c>
      <c r="E655" s="119">
        <v>0.27388000000000001</v>
      </c>
      <c r="F655" s="148" t="s">
        <v>135</v>
      </c>
      <c r="G655" s="148">
        <v>1</v>
      </c>
      <c r="H655" s="61" t="s">
        <v>39</v>
      </c>
      <c r="I655" s="61" t="s">
        <v>947</v>
      </c>
      <c r="J655" s="61" t="s">
        <v>919</v>
      </c>
      <c r="K655" s="61" t="s">
        <v>126</v>
      </c>
      <c r="L655" s="159"/>
      <c r="M655" s="48"/>
      <c r="N655" s="123"/>
    </row>
    <row r="656" spans="1:14" customFormat="1" x14ac:dyDescent="0.55000000000000004">
      <c r="A656" s="105" t="s">
        <v>3321</v>
      </c>
      <c r="B656" s="61" t="s">
        <v>153</v>
      </c>
      <c r="C656" s="61" t="s">
        <v>127</v>
      </c>
      <c r="D656" s="61" t="s">
        <v>2994</v>
      </c>
      <c r="E656" s="119">
        <v>6.9897529799999996</v>
      </c>
      <c r="F656" s="148" t="s">
        <v>138</v>
      </c>
      <c r="G656" s="148">
        <v>1</v>
      </c>
      <c r="H656" s="61" t="s">
        <v>39</v>
      </c>
      <c r="I656" s="61" t="s">
        <v>969</v>
      </c>
      <c r="J656" s="61" t="s">
        <v>919</v>
      </c>
      <c r="K656" s="61" t="s">
        <v>126</v>
      </c>
      <c r="L656" s="159"/>
      <c r="M656" s="48"/>
      <c r="N656" s="123"/>
    </row>
    <row r="657" spans="1:14" customFormat="1" x14ac:dyDescent="0.55000000000000004">
      <c r="A657" s="105" t="s">
        <v>3322</v>
      </c>
      <c r="B657" s="61" t="s">
        <v>948</v>
      </c>
      <c r="C657" s="61" t="s">
        <v>121</v>
      </c>
      <c r="D657" s="61" t="s">
        <v>3288</v>
      </c>
      <c r="E657" s="119">
        <v>1</v>
      </c>
      <c r="F657" s="148" t="s">
        <v>135</v>
      </c>
      <c r="G657" s="148">
        <v>1</v>
      </c>
      <c r="H657" s="61" t="s">
        <v>39</v>
      </c>
      <c r="I657" s="61"/>
      <c r="J657" s="61"/>
      <c r="K657" s="61"/>
      <c r="L657" s="159">
        <v>271114</v>
      </c>
      <c r="M657" s="48"/>
      <c r="N657" s="123"/>
    </row>
    <row r="658" spans="1:14" customFormat="1" x14ac:dyDescent="0.55000000000000004">
      <c r="A658" s="105" t="s">
        <v>3322</v>
      </c>
      <c r="B658" s="61" t="s">
        <v>625</v>
      </c>
      <c r="C658" s="61" t="s">
        <v>125</v>
      </c>
      <c r="D658" s="61" t="s">
        <v>3288</v>
      </c>
      <c r="E658" s="119">
        <v>0.98744939300000001</v>
      </c>
      <c r="F658" s="148" t="s">
        <v>135</v>
      </c>
      <c r="G658" s="148">
        <v>1</v>
      </c>
      <c r="H658" s="61" t="s">
        <v>39</v>
      </c>
      <c r="I658" s="61" t="s">
        <v>947</v>
      </c>
      <c r="J658" s="61" t="s">
        <v>919</v>
      </c>
      <c r="K658" s="61" t="s">
        <v>126</v>
      </c>
      <c r="L658" s="159"/>
      <c r="M658" s="48"/>
      <c r="N658" s="123"/>
    </row>
    <row r="659" spans="1:14" customFormat="1" x14ac:dyDescent="0.55000000000000004">
      <c r="A659" s="105" t="s">
        <v>3322</v>
      </c>
      <c r="B659" s="61" t="s">
        <v>706</v>
      </c>
      <c r="C659" s="61" t="s">
        <v>125</v>
      </c>
      <c r="D659" s="61" t="s">
        <v>3288</v>
      </c>
      <c r="E659" s="119">
        <v>0</v>
      </c>
      <c r="F659" s="148" t="s">
        <v>135</v>
      </c>
      <c r="G659" s="148">
        <v>1</v>
      </c>
      <c r="H659" s="61" t="s">
        <v>39</v>
      </c>
      <c r="I659" s="61" t="s">
        <v>947</v>
      </c>
      <c r="J659" s="61" t="s">
        <v>919</v>
      </c>
      <c r="K659" s="61" t="s">
        <v>126</v>
      </c>
      <c r="L659" s="159"/>
      <c r="M659" s="48"/>
      <c r="N659" s="123"/>
    </row>
    <row r="660" spans="1:14" customFormat="1" x14ac:dyDescent="0.55000000000000004">
      <c r="A660" s="105" t="s">
        <v>3322</v>
      </c>
      <c r="B660" s="61" t="s">
        <v>925</v>
      </c>
      <c r="C660" s="61" t="s">
        <v>125</v>
      </c>
      <c r="D660" s="61" t="s">
        <v>3288</v>
      </c>
      <c r="E660" s="119">
        <v>2.4696355999999999E-2</v>
      </c>
      <c r="F660" s="148" t="s">
        <v>135</v>
      </c>
      <c r="G660" s="148">
        <v>1</v>
      </c>
      <c r="H660" s="61" t="s">
        <v>39</v>
      </c>
      <c r="I660" s="61" t="s">
        <v>947</v>
      </c>
      <c r="J660" s="61" t="s">
        <v>919</v>
      </c>
      <c r="K660" s="61" t="s">
        <v>126</v>
      </c>
      <c r="L660" s="159"/>
      <c r="M660" s="48"/>
      <c r="N660" s="123"/>
    </row>
    <row r="661" spans="1:14" customFormat="1" x14ac:dyDescent="0.55000000000000004">
      <c r="A661" s="105" t="s">
        <v>3322</v>
      </c>
      <c r="B661" s="61" t="s">
        <v>334</v>
      </c>
      <c r="C661" s="61" t="s">
        <v>125</v>
      </c>
      <c r="D661" s="61" t="s">
        <v>3288</v>
      </c>
      <c r="E661" s="119">
        <v>7.3886640000000003E-2</v>
      </c>
      <c r="F661" s="148" t="s">
        <v>135</v>
      </c>
      <c r="G661" s="148">
        <v>1</v>
      </c>
      <c r="H661" s="61" t="s">
        <v>39</v>
      </c>
      <c r="I661" s="61" t="s">
        <v>947</v>
      </c>
      <c r="J661" s="61" t="s">
        <v>919</v>
      </c>
      <c r="K661" s="61" t="s">
        <v>126</v>
      </c>
      <c r="L661" s="159"/>
      <c r="M661" s="48"/>
      <c r="N661" s="123"/>
    </row>
    <row r="662" spans="1:14" customFormat="1" x14ac:dyDescent="0.55000000000000004">
      <c r="A662" s="105" t="s">
        <v>3322</v>
      </c>
      <c r="B662" s="61" t="s">
        <v>153</v>
      </c>
      <c r="C662" s="61" t="s">
        <v>127</v>
      </c>
      <c r="D662" s="61" t="s">
        <v>2994</v>
      </c>
      <c r="E662" s="119">
        <v>0.87154251000000005</v>
      </c>
      <c r="F662" s="148" t="s">
        <v>138</v>
      </c>
      <c r="G662" s="148">
        <v>1</v>
      </c>
      <c r="H662" s="61" t="s">
        <v>39</v>
      </c>
      <c r="I662" s="61" t="s">
        <v>972</v>
      </c>
      <c r="J662" s="61" t="s">
        <v>919</v>
      </c>
      <c r="K662" s="61" t="s">
        <v>126</v>
      </c>
      <c r="L662" s="159"/>
      <c r="M662" s="48"/>
      <c r="N662" s="123"/>
    </row>
    <row r="663" spans="1:14" customFormat="1" x14ac:dyDescent="0.55000000000000004">
      <c r="A663" s="105" t="s">
        <v>3323</v>
      </c>
      <c r="B663" s="61" t="s">
        <v>948</v>
      </c>
      <c r="C663" s="61" t="s">
        <v>121</v>
      </c>
      <c r="D663" s="61" t="s">
        <v>3288</v>
      </c>
      <c r="E663" s="119">
        <v>1</v>
      </c>
      <c r="F663" s="148" t="s">
        <v>135</v>
      </c>
      <c r="G663" s="148">
        <v>1</v>
      </c>
      <c r="H663" s="61" t="s">
        <v>39</v>
      </c>
      <c r="I663" s="61"/>
      <c r="J663" s="61"/>
      <c r="K663" s="61"/>
      <c r="L663" s="159">
        <v>271114</v>
      </c>
      <c r="M663" s="48"/>
      <c r="N663" s="123"/>
    </row>
    <row r="664" spans="1:14" customFormat="1" x14ac:dyDescent="0.55000000000000004">
      <c r="A664" s="105" t="s">
        <v>3323</v>
      </c>
      <c r="B664" s="61" t="s">
        <v>706</v>
      </c>
      <c r="C664" s="61" t="s">
        <v>125</v>
      </c>
      <c r="D664" s="61" t="s">
        <v>3288</v>
      </c>
      <c r="E664" s="119">
        <v>1.25</v>
      </c>
      <c r="F664" s="148" t="s">
        <v>135</v>
      </c>
      <c r="G664" s="148">
        <v>1</v>
      </c>
      <c r="H664" s="61" t="s">
        <v>39</v>
      </c>
      <c r="I664" s="61" t="s">
        <v>981</v>
      </c>
      <c r="J664" s="61" t="s">
        <v>919</v>
      </c>
      <c r="K664" s="61" t="s">
        <v>126</v>
      </c>
      <c r="L664" s="159"/>
      <c r="M664" s="48"/>
      <c r="N664" s="123"/>
    </row>
    <row r="665" spans="1:14" customFormat="1" x14ac:dyDescent="0.55000000000000004">
      <c r="A665" s="105" t="s">
        <v>3323</v>
      </c>
      <c r="B665" s="61" t="s">
        <v>153</v>
      </c>
      <c r="C665" s="61" t="s">
        <v>125</v>
      </c>
      <c r="D665" s="61" t="s">
        <v>3288</v>
      </c>
      <c r="E665" s="119">
        <v>2.977374899</v>
      </c>
      <c r="F665" s="148" t="s">
        <v>135</v>
      </c>
      <c r="G665" s="148">
        <v>1</v>
      </c>
      <c r="H665" s="61" t="s">
        <v>39</v>
      </c>
      <c r="I665" s="61" t="s">
        <v>982</v>
      </c>
      <c r="J665" s="61" t="s">
        <v>919</v>
      </c>
      <c r="K665" s="61" t="s">
        <v>126</v>
      </c>
      <c r="L665" s="159"/>
      <c r="M665" s="48"/>
      <c r="N665" s="123"/>
    </row>
    <row r="666" spans="1:14" customFormat="1" x14ac:dyDescent="0.55000000000000004">
      <c r="A666" s="105" t="s">
        <v>3324</v>
      </c>
      <c r="B666" s="61" t="s">
        <v>948</v>
      </c>
      <c r="C666" s="61" t="s">
        <v>121</v>
      </c>
      <c r="D666" s="61" t="s">
        <v>3288</v>
      </c>
      <c r="E666" s="119">
        <v>1</v>
      </c>
      <c r="F666" s="148" t="s">
        <v>135</v>
      </c>
      <c r="G666" s="148">
        <v>1</v>
      </c>
      <c r="H666" s="61" t="s">
        <v>39</v>
      </c>
      <c r="I666" s="61"/>
      <c r="J666" s="61"/>
      <c r="K666" s="61"/>
      <c r="L666" s="159">
        <v>271114</v>
      </c>
      <c r="M666" s="48"/>
      <c r="N666" s="123"/>
    </row>
    <row r="667" spans="1:14" customFormat="1" x14ac:dyDescent="0.55000000000000004">
      <c r="A667" s="105" t="s">
        <v>3324</v>
      </c>
      <c r="B667" s="61" t="s">
        <v>706</v>
      </c>
      <c r="C667" s="61" t="s">
        <v>125</v>
      </c>
      <c r="D667" s="61" t="s">
        <v>3288</v>
      </c>
      <c r="E667" s="119">
        <v>1.25</v>
      </c>
      <c r="F667" s="148" t="s">
        <v>135</v>
      </c>
      <c r="G667" s="148">
        <v>1</v>
      </c>
      <c r="H667" s="61" t="s">
        <v>39</v>
      </c>
      <c r="I667" s="61"/>
      <c r="J667" s="61" t="s">
        <v>919</v>
      </c>
      <c r="K667" s="61" t="s">
        <v>126</v>
      </c>
      <c r="L667" s="159"/>
      <c r="M667" s="48"/>
      <c r="N667" s="123"/>
    </row>
    <row r="668" spans="1:14" customFormat="1" x14ac:dyDescent="0.55000000000000004">
      <c r="A668" s="105" t="s">
        <v>3324</v>
      </c>
      <c r="B668" s="61" t="s">
        <v>334</v>
      </c>
      <c r="C668" s="61" t="s">
        <v>125</v>
      </c>
      <c r="D668" s="61" t="s">
        <v>3288</v>
      </c>
      <c r="E668" s="119">
        <v>2.7091767999999999E-2</v>
      </c>
      <c r="F668" s="148" t="s">
        <v>135</v>
      </c>
      <c r="G668" s="148">
        <v>1</v>
      </c>
      <c r="H668" s="61" t="s">
        <v>39</v>
      </c>
      <c r="I668" s="61" t="s">
        <v>983</v>
      </c>
      <c r="J668" s="61" t="s">
        <v>919</v>
      </c>
      <c r="K668" s="61" t="s">
        <v>126</v>
      </c>
      <c r="L668" s="159"/>
      <c r="M668" s="48"/>
      <c r="N668" s="123"/>
    </row>
    <row r="669" spans="1:14" customFormat="1" x14ac:dyDescent="0.55000000000000004">
      <c r="A669" s="105" t="s">
        <v>3324</v>
      </c>
      <c r="B669" s="61" t="s">
        <v>153</v>
      </c>
      <c r="C669" s="61" t="s">
        <v>127</v>
      </c>
      <c r="D669" s="61" t="s">
        <v>2994</v>
      </c>
      <c r="E669" s="119">
        <v>0.2</v>
      </c>
      <c r="F669" s="148" t="s">
        <v>138</v>
      </c>
      <c r="G669" s="148">
        <v>1</v>
      </c>
      <c r="H669" s="61" t="s">
        <v>39</v>
      </c>
      <c r="I669" s="61"/>
      <c r="J669" s="61" t="s">
        <v>919</v>
      </c>
      <c r="K669" s="61" t="s">
        <v>126</v>
      </c>
      <c r="L669" s="159"/>
      <c r="M669" s="48"/>
      <c r="N669" s="123"/>
    </row>
    <row r="670" spans="1:14" customFormat="1" x14ac:dyDescent="0.55000000000000004">
      <c r="A670" s="105" t="s">
        <v>3325</v>
      </c>
      <c r="B670" s="61" t="s">
        <v>948</v>
      </c>
      <c r="C670" s="61" t="s">
        <v>121</v>
      </c>
      <c r="D670" s="61" t="s">
        <v>3288</v>
      </c>
      <c r="E670" s="119">
        <v>1</v>
      </c>
      <c r="F670" s="148" t="s">
        <v>135</v>
      </c>
      <c r="G670" s="148">
        <v>1</v>
      </c>
      <c r="H670" s="61" t="s">
        <v>39</v>
      </c>
      <c r="I670" s="61"/>
      <c r="J670" s="61"/>
      <c r="K670" s="61"/>
      <c r="L670" s="159">
        <v>271114</v>
      </c>
      <c r="M670" s="48"/>
      <c r="N670" s="123"/>
    </row>
    <row r="671" spans="1:14" customFormat="1" x14ac:dyDescent="0.55000000000000004">
      <c r="A671" s="105" t="s">
        <v>3325</v>
      </c>
      <c r="B671" s="61" t="s">
        <v>706</v>
      </c>
      <c r="C671" s="61" t="s">
        <v>125</v>
      </c>
      <c r="D671" s="61" t="s">
        <v>3288</v>
      </c>
      <c r="E671" s="119">
        <v>1.25</v>
      </c>
      <c r="F671" s="148" t="s">
        <v>135</v>
      </c>
      <c r="G671" s="148">
        <v>1</v>
      </c>
      <c r="H671" s="61" t="s">
        <v>39</v>
      </c>
      <c r="I671" s="61" t="s">
        <v>943</v>
      </c>
      <c r="J671" s="61" t="s">
        <v>919</v>
      </c>
      <c r="K671" s="61" t="s">
        <v>126</v>
      </c>
      <c r="L671" s="159"/>
      <c r="M671" s="48"/>
      <c r="N671" s="123"/>
    </row>
    <row r="672" spans="1:14" customFormat="1" x14ac:dyDescent="0.55000000000000004">
      <c r="A672" s="105" t="s">
        <v>3325</v>
      </c>
      <c r="B672" s="61" t="s">
        <v>171</v>
      </c>
      <c r="C672" s="61" t="s">
        <v>125</v>
      </c>
      <c r="D672" s="61" t="s">
        <v>3288</v>
      </c>
      <c r="E672" s="119">
        <v>13.7</v>
      </c>
      <c r="F672" s="148" t="s">
        <v>138</v>
      </c>
      <c r="G672" s="148">
        <v>1</v>
      </c>
      <c r="H672" s="61" t="s">
        <v>39</v>
      </c>
      <c r="I672" s="61" t="s">
        <v>944</v>
      </c>
      <c r="J672" s="61" t="s">
        <v>919</v>
      </c>
      <c r="K672" s="61" t="s">
        <v>126</v>
      </c>
      <c r="L672" s="159"/>
      <c r="M672" s="48"/>
      <c r="N672" s="123"/>
    </row>
    <row r="673" spans="1:14" customFormat="1" x14ac:dyDescent="0.55000000000000004">
      <c r="A673" s="105" t="s">
        <v>3325</v>
      </c>
      <c r="B673" s="61" t="s">
        <v>153</v>
      </c>
      <c r="C673" s="61" t="s">
        <v>127</v>
      </c>
      <c r="D673" s="61" t="s">
        <v>2994</v>
      </c>
      <c r="E673" s="119">
        <v>0.2</v>
      </c>
      <c r="F673" s="148" t="s">
        <v>138</v>
      </c>
      <c r="G673" s="148">
        <v>1</v>
      </c>
      <c r="H673" s="61" t="s">
        <v>39</v>
      </c>
      <c r="I673" s="61" t="s">
        <v>945</v>
      </c>
      <c r="J673" s="61" t="s">
        <v>919</v>
      </c>
      <c r="K673" s="61" t="s">
        <v>126</v>
      </c>
      <c r="L673" s="159"/>
      <c r="M673" s="48"/>
      <c r="N673" s="123"/>
    </row>
    <row r="674" spans="1:14" customFormat="1" x14ac:dyDescent="0.55000000000000004">
      <c r="A674" s="105" t="s">
        <v>3325</v>
      </c>
      <c r="B674" s="61" t="s">
        <v>160</v>
      </c>
      <c r="C674" s="61" t="s">
        <v>497</v>
      </c>
      <c r="D674" s="61" t="s">
        <v>3288</v>
      </c>
      <c r="E674" s="119">
        <v>0.91790000000000005</v>
      </c>
      <c r="F674" s="148" t="s">
        <v>135</v>
      </c>
      <c r="G674" s="148">
        <v>1</v>
      </c>
      <c r="H674" s="61" t="s">
        <v>39</v>
      </c>
      <c r="I674" s="61" t="s">
        <v>946</v>
      </c>
      <c r="J674" s="61" t="s">
        <v>924</v>
      </c>
      <c r="K674" s="61" t="s">
        <v>126</v>
      </c>
      <c r="L674" s="159"/>
      <c r="M674" s="48"/>
      <c r="N674" s="123"/>
    </row>
    <row r="675" spans="1:14" customFormat="1" x14ac:dyDescent="0.55000000000000004">
      <c r="A675" s="105" t="s">
        <v>3326</v>
      </c>
      <c r="B675" s="61" t="s">
        <v>948</v>
      </c>
      <c r="C675" s="61" t="s">
        <v>121</v>
      </c>
      <c r="D675" s="61" t="s">
        <v>3288</v>
      </c>
      <c r="E675" s="119">
        <v>1</v>
      </c>
      <c r="F675" s="148" t="s">
        <v>135</v>
      </c>
      <c r="G675" s="148">
        <v>1</v>
      </c>
      <c r="H675" s="61" t="s">
        <v>39</v>
      </c>
      <c r="I675" s="61"/>
      <c r="J675" s="61"/>
      <c r="K675" s="61"/>
      <c r="L675" s="159">
        <v>271114</v>
      </c>
      <c r="M675" s="48"/>
      <c r="N675" s="123"/>
    </row>
    <row r="676" spans="1:14" customFormat="1" x14ac:dyDescent="0.55000000000000004">
      <c r="A676" s="105" t="s">
        <v>3326</v>
      </c>
      <c r="B676" s="61" t="s">
        <v>706</v>
      </c>
      <c r="C676" s="61" t="s">
        <v>125</v>
      </c>
      <c r="D676" s="61" t="s">
        <v>3288</v>
      </c>
      <c r="E676" s="119">
        <v>1.25</v>
      </c>
      <c r="F676" s="148" t="s">
        <v>135</v>
      </c>
      <c r="G676" s="148">
        <v>1</v>
      </c>
      <c r="H676" s="61" t="s">
        <v>39</v>
      </c>
      <c r="I676" s="61" t="s">
        <v>976</v>
      </c>
      <c r="J676" s="61" t="s">
        <v>919</v>
      </c>
      <c r="K676" s="61" t="s">
        <v>126</v>
      </c>
      <c r="L676" s="159"/>
      <c r="M676" s="48"/>
      <c r="N676" s="123"/>
    </row>
    <row r="677" spans="1:14" customFormat="1" x14ac:dyDescent="0.55000000000000004">
      <c r="A677" s="105" t="s">
        <v>3326</v>
      </c>
      <c r="B677" s="61" t="s">
        <v>171</v>
      </c>
      <c r="C677" s="61" t="s">
        <v>127</v>
      </c>
      <c r="D677" s="61" t="s">
        <v>2994</v>
      </c>
      <c r="E677" s="119">
        <v>13.7</v>
      </c>
      <c r="F677" s="148" t="s">
        <v>138</v>
      </c>
      <c r="G677" s="148">
        <v>1</v>
      </c>
      <c r="H677" s="61" t="s">
        <v>39</v>
      </c>
      <c r="I677" s="61" t="s">
        <v>977</v>
      </c>
      <c r="J677" s="61" t="s">
        <v>919</v>
      </c>
      <c r="K677" s="61" t="s">
        <v>126</v>
      </c>
      <c r="L677" s="159"/>
      <c r="M677" s="48"/>
      <c r="N677" s="123"/>
    </row>
    <row r="678" spans="1:14" customFormat="1" x14ac:dyDescent="0.55000000000000004">
      <c r="A678" s="105" t="s">
        <v>3326</v>
      </c>
      <c r="B678" s="61" t="s">
        <v>153</v>
      </c>
      <c r="C678" s="61" t="s">
        <v>127</v>
      </c>
      <c r="D678" s="61" t="s">
        <v>2994</v>
      </c>
      <c r="E678" s="119">
        <v>0.2</v>
      </c>
      <c r="F678" s="148" t="s">
        <v>138</v>
      </c>
      <c r="G678" s="148">
        <v>1</v>
      </c>
      <c r="H678" s="61" t="s">
        <v>39</v>
      </c>
      <c r="I678" s="61" t="s">
        <v>978</v>
      </c>
      <c r="J678" s="61" t="s">
        <v>919</v>
      </c>
      <c r="K678" s="61" t="s">
        <v>126</v>
      </c>
      <c r="L678" s="159"/>
      <c r="M678" s="48"/>
      <c r="N678" s="123"/>
    </row>
    <row r="679" spans="1:14" customFormat="1" x14ac:dyDescent="0.55000000000000004">
      <c r="A679" s="105" t="s">
        <v>3326</v>
      </c>
      <c r="B679" s="61" t="s">
        <v>153</v>
      </c>
      <c r="C679" s="61" t="s">
        <v>127</v>
      </c>
      <c r="D679" s="61" t="s">
        <v>2994</v>
      </c>
      <c r="E679" s="119">
        <v>1.363190283</v>
      </c>
      <c r="F679" s="148" t="s">
        <v>138</v>
      </c>
      <c r="G679" s="148">
        <v>1</v>
      </c>
      <c r="H679" s="61" t="s">
        <v>39</v>
      </c>
      <c r="I679" s="61" t="s">
        <v>979</v>
      </c>
      <c r="J679" s="61" t="s">
        <v>919</v>
      </c>
      <c r="K679" s="61" t="s">
        <v>126</v>
      </c>
      <c r="L679" s="159"/>
      <c r="M679" s="48"/>
      <c r="N679" s="123"/>
    </row>
    <row r="680" spans="1:14" customFormat="1" x14ac:dyDescent="0.55000000000000004">
      <c r="A680" s="105" t="s">
        <v>3326</v>
      </c>
      <c r="B680" s="61" t="s">
        <v>153</v>
      </c>
      <c r="C680" s="61" t="s">
        <v>127</v>
      </c>
      <c r="D680" s="61" t="s">
        <v>2994</v>
      </c>
      <c r="E680" s="119">
        <v>1.563190283</v>
      </c>
      <c r="F680" s="148" t="s">
        <v>138</v>
      </c>
      <c r="G680" s="148">
        <v>1</v>
      </c>
      <c r="H680" s="61" t="s">
        <v>39</v>
      </c>
      <c r="I680" s="61" t="s">
        <v>980</v>
      </c>
      <c r="J680" s="61" t="s">
        <v>919</v>
      </c>
      <c r="K680" s="61" t="s">
        <v>126</v>
      </c>
      <c r="L680" s="159"/>
      <c r="M680" s="48"/>
      <c r="N680" s="123"/>
    </row>
    <row r="681" spans="1:14" customFormat="1" x14ac:dyDescent="0.55000000000000004">
      <c r="A681" s="105" t="s">
        <v>3326</v>
      </c>
      <c r="B681" s="61" t="s">
        <v>160</v>
      </c>
      <c r="C681" s="61" t="s">
        <v>497</v>
      </c>
      <c r="D681" s="61" t="s">
        <v>3288</v>
      </c>
      <c r="E681" s="119">
        <v>4.5894999999999998E-2</v>
      </c>
      <c r="F681" s="148" t="s">
        <v>135</v>
      </c>
      <c r="G681" s="148">
        <v>1</v>
      </c>
      <c r="H681" s="61" t="s">
        <v>39</v>
      </c>
      <c r="I681" s="61" t="s">
        <v>946</v>
      </c>
      <c r="J681" s="61" t="s">
        <v>924</v>
      </c>
      <c r="K681" s="61" t="s">
        <v>126</v>
      </c>
      <c r="L681" s="159"/>
      <c r="M681" s="48"/>
      <c r="N681" s="123"/>
    </row>
    <row r="682" spans="1:14" customFormat="1" x14ac:dyDescent="0.55000000000000004">
      <c r="A682" s="105" t="s">
        <v>3327</v>
      </c>
      <c r="B682" s="61" t="s">
        <v>948</v>
      </c>
      <c r="C682" s="61" t="s">
        <v>121</v>
      </c>
      <c r="D682" s="61" t="s">
        <v>3288</v>
      </c>
      <c r="E682" s="119">
        <v>1</v>
      </c>
      <c r="F682" s="148" t="s">
        <v>135</v>
      </c>
      <c r="G682" s="148">
        <v>1</v>
      </c>
      <c r="H682" s="61" t="s">
        <v>39</v>
      </c>
      <c r="I682" s="61"/>
      <c r="J682" s="61"/>
      <c r="K682" s="61"/>
      <c r="L682" s="159">
        <v>271114</v>
      </c>
      <c r="M682" s="48"/>
      <c r="N682" s="123"/>
    </row>
    <row r="683" spans="1:14" customFormat="1" x14ac:dyDescent="0.55000000000000004">
      <c r="A683" s="105" t="s">
        <v>3327</v>
      </c>
      <c r="B683" s="61" t="s">
        <v>929</v>
      </c>
      <c r="C683" s="61" t="s">
        <v>125</v>
      </c>
      <c r="D683" s="61" t="s">
        <v>3288</v>
      </c>
      <c r="E683" s="119">
        <v>2.56</v>
      </c>
      <c r="F683" s="148" t="s">
        <v>135</v>
      </c>
      <c r="G683" s="148">
        <v>1</v>
      </c>
      <c r="H683" s="61" t="s">
        <v>39</v>
      </c>
      <c r="I683" s="61" t="s">
        <v>973</v>
      </c>
      <c r="J683" s="61" t="s">
        <v>919</v>
      </c>
      <c r="K683" s="61" t="s">
        <v>126</v>
      </c>
      <c r="L683" s="159"/>
      <c r="M683" s="48"/>
      <c r="N683" s="123"/>
    </row>
    <row r="684" spans="1:14" customFormat="1" x14ac:dyDescent="0.55000000000000004">
      <c r="A684" s="105" t="s">
        <v>3327</v>
      </c>
      <c r="B684" s="61" t="s">
        <v>153</v>
      </c>
      <c r="C684" s="61" t="s">
        <v>127</v>
      </c>
      <c r="D684" s="61" t="s">
        <v>2994</v>
      </c>
      <c r="E684" s="119">
        <v>5</v>
      </c>
      <c r="F684" s="148" t="s">
        <v>138</v>
      </c>
      <c r="G684" s="148">
        <v>1</v>
      </c>
      <c r="H684" s="61" t="s">
        <v>39</v>
      </c>
      <c r="I684" s="61" t="s">
        <v>974</v>
      </c>
      <c r="J684" s="61" t="s">
        <v>919</v>
      </c>
      <c r="K684" s="61" t="s">
        <v>126</v>
      </c>
      <c r="L684" s="159"/>
      <c r="M684" s="48"/>
      <c r="N684" s="123"/>
    </row>
    <row r="685" spans="1:14" customFormat="1" x14ac:dyDescent="0.55000000000000004">
      <c r="A685" s="105" t="s">
        <v>3328</v>
      </c>
      <c r="B685" s="61" t="s">
        <v>948</v>
      </c>
      <c r="C685" s="61" t="s">
        <v>121</v>
      </c>
      <c r="D685" s="61" t="s">
        <v>3288</v>
      </c>
      <c r="E685" s="119">
        <v>1</v>
      </c>
      <c r="F685" s="148" t="s">
        <v>135</v>
      </c>
      <c r="G685" s="148">
        <v>1</v>
      </c>
      <c r="H685" s="61" t="s">
        <v>39</v>
      </c>
      <c r="I685" s="61"/>
      <c r="J685" s="61"/>
      <c r="K685" s="61"/>
      <c r="L685" s="159">
        <v>271114</v>
      </c>
      <c r="M685" s="48"/>
      <c r="N685" s="123"/>
    </row>
    <row r="686" spans="1:14" customFormat="1" x14ac:dyDescent="0.55000000000000004">
      <c r="A686" s="105" t="s">
        <v>3328</v>
      </c>
      <c r="B686" s="61" t="s">
        <v>928</v>
      </c>
      <c r="C686" s="61" t="s">
        <v>125</v>
      </c>
      <c r="D686" s="61" t="s">
        <v>3288</v>
      </c>
      <c r="E686" s="119">
        <v>2.56</v>
      </c>
      <c r="F686" s="148" t="s">
        <v>135</v>
      </c>
      <c r="G686" s="148">
        <v>1</v>
      </c>
      <c r="H686" s="61" t="s">
        <v>39</v>
      </c>
      <c r="I686" s="61" t="s">
        <v>975</v>
      </c>
      <c r="J686" s="61" t="s">
        <v>919</v>
      </c>
      <c r="K686" s="61" t="s">
        <v>126</v>
      </c>
      <c r="L686" s="159"/>
      <c r="M686" s="48"/>
      <c r="N686" s="123"/>
    </row>
    <row r="687" spans="1:14" customFormat="1" x14ac:dyDescent="0.55000000000000004">
      <c r="A687" s="105" t="s">
        <v>3328</v>
      </c>
      <c r="B687" s="61" t="s">
        <v>153</v>
      </c>
      <c r="C687" s="61" t="s">
        <v>127</v>
      </c>
      <c r="D687" s="61" t="s">
        <v>2994</v>
      </c>
      <c r="E687" s="119">
        <v>5</v>
      </c>
      <c r="F687" s="148" t="s">
        <v>138</v>
      </c>
      <c r="G687" s="148">
        <v>1</v>
      </c>
      <c r="H687" s="61" t="s">
        <v>39</v>
      </c>
      <c r="I687" s="61" t="s">
        <v>975</v>
      </c>
      <c r="J687" s="61" t="s">
        <v>919</v>
      </c>
      <c r="K687" s="61" t="s">
        <v>126</v>
      </c>
      <c r="L687" s="159"/>
      <c r="M687" s="48"/>
      <c r="N687" s="123"/>
    </row>
    <row r="688" spans="1:14" customFormat="1" x14ac:dyDescent="0.55000000000000004">
      <c r="A688" s="105" t="s">
        <v>3329</v>
      </c>
      <c r="B688" s="61" t="s">
        <v>948</v>
      </c>
      <c r="C688" s="61" t="s">
        <v>121</v>
      </c>
      <c r="D688" s="61" t="s">
        <v>3288</v>
      </c>
      <c r="E688" s="119">
        <v>1</v>
      </c>
      <c r="F688" s="148" t="s">
        <v>135</v>
      </c>
      <c r="G688" s="148">
        <v>1</v>
      </c>
      <c r="H688" s="61" t="s">
        <v>39</v>
      </c>
      <c r="I688" s="61"/>
      <c r="J688" s="61"/>
      <c r="K688" s="61"/>
      <c r="L688" s="159">
        <v>271114</v>
      </c>
      <c r="M688" s="48"/>
      <c r="N688" s="123"/>
    </row>
    <row r="689" spans="1:14" customFormat="1" x14ac:dyDescent="0.55000000000000004">
      <c r="A689" s="105" t="s">
        <v>3329</v>
      </c>
      <c r="B689" s="61" t="s">
        <v>625</v>
      </c>
      <c r="C689" s="61" t="s">
        <v>125</v>
      </c>
      <c r="D689" s="61" t="s">
        <v>3288</v>
      </c>
      <c r="E689" s="119">
        <v>0.98744939300000001</v>
      </c>
      <c r="F689" s="148" t="s">
        <v>135</v>
      </c>
      <c r="G689" s="148">
        <v>1</v>
      </c>
      <c r="H689" s="61" t="s">
        <v>39</v>
      </c>
      <c r="I689" s="61" t="s">
        <v>947</v>
      </c>
      <c r="J689" s="61" t="s">
        <v>919</v>
      </c>
      <c r="K689" s="61" t="s">
        <v>126</v>
      </c>
      <c r="L689" s="159"/>
      <c r="M689" s="48"/>
      <c r="N689" s="123"/>
    </row>
    <row r="690" spans="1:14" customFormat="1" x14ac:dyDescent="0.55000000000000004">
      <c r="A690" s="105" t="s">
        <v>3329</v>
      </c>
      <c r="B690" s="61" t="s">
        <v>706</v>
      </c>
      <c r="C690" s="61" t="s">
        <v>125</v>
      </c>
      <c r="D690" s="61" t="s">
        <v>3288</v>
      </c>
      <c r="E690" s="119">
        <v>0</v>
      </c>
      <c r="F690" s="148" t="s">
        <v>135</v>
      </c>
      <c r="G690" s="148">
        <v>1</v>
      </c>
      <c r="H690" s="61" t="s">
        <v>39</v>
      </c>
      <c r="I690" s="61" t="s">
        <v>947</v>
      </c>
      <c r="J690" s="61" t="s">
        <v>919</v>
      </c>
      <c r="K690" s="61" t="s">
        <v>126</v>
      </c>
      <c r="L690" s="159"/>
      <c r="M690" s="48"/>
      <c r="N690" s="123"/>
    </row>
    <row r="691" spans="1:14" customFormat="1" x14ac:dyDescent="0.55000000000000004">
      <c r="A691" s="105" t="s">
        <v>3329</v>
      </c>
      <c r="B691" s="61" t="s">
        <v>925</v>
      </c>
      <c r="C691" s="61" t="s">
        <v>125</v>
      </c>
      <c r="D691" s="61" t="s">
        <v>3288</v>
      </c>
      <c r="E691" s="119">
        <v>2.4696355999999999E-2</v>
      </c>
      <c r="F691" s="148" t="s">
        <v>135</v>
      </c>
      <c r="G691" s="148">
        <v>1</v>
      </c>
      <c r="H691" s="61" t="s">
        <v>39</v>
      </c>
      <c r="I691" s="61" t="s">
        <v>947</v>
      </c>
      <c r="J691" s="61" t="s">
        <v>919</v>
      </c>
      <c r="K691" s="61" t="s">
        <v>126</v>
      </c>
      <c r="L691" s="159"/>
      <c r="M691" s="48"/>
      <c r="N691" s="123"/>
    </row>
    <row r="692" spans="1:14" customFormat="1" x14ac:dyDescent="0.55000000000000004">
      <c r="A692" s="105" t="s">
        <v>3329</v>
      </c>
      <c r="B692" s="61" t="s">
        <v>153</v>
      </c>
      <c r="C692" s="61" t="s">
        <v>127</v>
      </c>
      <c r="D692" s="61" t="s">
        <v>2994</v>
      </c>
      <c r="E692" s="119">
        <v>8.1201133599999995</v>
      </c>
      <c r="F692" s="148" t="s">
        <v>138</v>
      </c>
      <c r="G692" s="148">
        <v>1</v>
      </c>
      <c r="H692" s="61" t="s">
        <v>39</v>
      </c>
      <c r="I692" s="61" t="s">
        <v>952</v>
      </c>
      <c r="J692" s="61" t="s">
        <v>919</v>
      </c>
      <c r="K692" s="61" t="s">
        <v>126</v>
      </c>
      <c r="L692" s="159"/>
      <c r="M692" s="48"/>
      <c r="N692" s="123"/>
    </row>
    <row r="693" spans="1:14" customFormat="1" x14ac:dyDescent="0.55000000000000004">
      <c r="A693" s="105" t="s">
        <v>3330</v>
      </c>
      <c r="B693" s="61" t="s">
        <v>948</v>
      </c>
      <c r="C693" s="61" t="s">
        <v>121</v>
      </c>
      <c r="D693" s="61" t="s">
        <v>3288</v>
      </c>
      <c r="E693" s="119">
        <v>1</v>
      </c>
      <c r="F693" s="148" t="s">
        <v>135</v>
      </c>
      <c r="G693" s="148">
        <v>1</v>
      </c>
      <c r="H693" s="61" t="s">
        <v>39</v>
      </c>
      <c r="I693" s="61"/>
      <c r="J693" s="61"/>
      <c r="K693" s="61"/>
      <c r="L693" s="159">
        <v>271114</v>
      </c>
      <c r="M693" s="48"/>
      <c r="N693" s="123"/>
    </row>
    <row r="694" spans="1:14" customFormat="1" x14ac:dyDescent="0.55000000000000004">
      <c r="A694" s="105" t="s">
        <v>3330</v>
      </c>
      <c r="B694" s="61" t="s">
        <v>625</v>
      </c>
      <c r="C694" s="61" t="s">
        <v>125</v>
      </c>
      <c r="D694" s="61" t="s">
        <v>3288</v>
      </c>
      <c r="E694" s="119">
        <v>0.84939271299999997</v>
      </c>
      <c r="F694" s="148" t="s">
        <v>135</v>
      </c>
      <c r="G694" s="148">
        <v>1</v>
      </c>
      <c r="H694" s="61" t="s">
        <v>39</v>
      </c>
      <c r="I694" s="61" t="s">
        <v>947</v>
      </c>
      <c r="J694" s="61" t="s">
        <v>919</v>
      </c>
      <c r="K694" s="61" t="s">
        <v>126</v>
      </c>
      <c r="L694" s="159"/>
      <c r="M694" s="48"/>
      <c r="N694" s="123"/>
    </row>
    <row r="695" spans="1:14" customFormat="1" x14ac:dyDescent="0.55000000000000004">
      <c r="A695" s="105" t="s">
        <v>3330</v>
      </c>
      <c r="B695" s="61" t="s">
        <v>706</v>
      </c>
      <c r="C695" s="61" t="s">
        <v>125</v>
      </c>
      <c r="D695" s="61" t="s">
        <v>3288</v>
      </c>
      <c r="E695" s="119">
        <v>0</v>
      </c>
      <c r="F695" s="148" t="s">
        <v>135</v>
      </c>
      <c r="G695" s="148">
        <v>1</v>
      </c>
      <c r="H695" s="61" t="s">
        <v>39</v>
      </c>
      <c r="I695" s="61" t="s">
        <v>947</v>
      </c>
      <c r="J695" s="61" t="s">
        <v>919</v>
      </c>
      <c r="K695" s="61" t="s">
        <v>126</v>
      </c>
      <c r="L695" s="159"/>
      <c r="M695" s="48"/>
      <c r="N695" s="123"/>
    </row>
    <row r="696" spans="1:14" customFormat="1" x14ac:dyDescent="0.55000000000000004">
      <c r="A696" s="105" t="s">
        <v>3330</v>
      </c>
      <c r="B696" s="61" t="s">
        <v>925</v>
      </c>
      <c r="C696" s="61" t="s">
        <v>125</v>
      </c>
      <c r="D696" s="61" t="s">
        <v>3288</v>
      </c>
      <c r="E696" s="119">
        <v>2.1052632000000002E-2</v>
      </c>
      <c r="F696" s="148" t="s">
        <v>135</v>
      </c>
      <c r="G696" s="148">
        <v>1</v>
      </c>
      <c r="H696" s="61" t="s">
        <v>39</v>
      </c>
      <c r="I696" s="61" t="s">
        <v>947</v>
      </c>
      <c r="J696" s="61" t="s">
        <v>919</v>
      </c>
      <c r="K696" s="61" t="s">
        <v>126</v>
      </c>
      <c r="L696" s="159"/>
      <c r="M696" s="48"/>
      <c r="N696" s="123"/>
    </row>
    <row r="697" spans="1:14" customFormat="1" x14ac:dyDescent="0.55000000000000004">
      <c r="A697" s="105" t="s">
        <v>3330</v>
      </c>
      <c r="B697" s="61" t="s">
        <v>213</v>
      </c>
      <c r="C697" s="61" t="s">
        <v>125</v>
      </c>
      <c r="D697" s="61" t="s">
        <v>3288</v>
      </c>
      <c r="E697" s="119">
        <v>6.4777327999999995E-2</v>
      </c>
      <c r="F697" s="148" t="s">
        <v>135</v>
      </c>
      <c r="G697" s="148">
        <v>1</v>
      </c>
      <c r="H697" s="61" t="s">
        <v>39</v>
      </c>
      <c r="I697" s="61" t="s">
        <v>947</v>
      </c>
      <c r="J697" s="61" t="s">
        <v>919</v>
      </c>
      <c r="K697" s="61" t="s">
        <v>126</v>
      </c>
      <c r="L697" s="159"/>
      <c r="M697" s="48"/>
      <c r="N697" s="123"/>
    </row>
    <row r="698" spans="1:14" customFormat="1" x14ac:dyDescent="0.55000000000000004">
      <c r="A698" s="105" t="s">
        <v>3330</v>
      </c>
      <c r="B698" s="61" t="s">
        <v>153</v>
      </c>
      <c r="C698" s="61" t="s">
        <v>127</v>
      </c>
      <c r="D698" s="61" t="s">
        <v>2994</v>
      </c>
      <c r="E698" s="119">
        <v>8.1201133599999995</v>
      </c>
      <c r="F698" s="148" t="s">
        <v>138</v>
      </c>
      <c r="G698" s="148">
        <v>1</v>
      </c>
      <c r="H698" s="61" t="s">
        <v>39</v>
      </c>
      <c r="I698" s="61" t="s">
        <v>953</v>
      </c>
      <c r="J698" s="61" t="s">
        <v>919</v>
      </c>
      <c r="K698" s="61" t="s">
        <v>126</v>
      </c>
      <c r="L698" s="159"/>
      <c r="M698" s="48"/>
      <c r="N698" s="123"/>
    </row>
    <row r="699" spans="1:14" customFormat="1" x14ac:dyDescent="0.55000000000000004">
      <c r="A699" s="105" t="s">
        <v>3330</v>
      </c>
      <c r="B699" s="61" t="s">
        <v>153</v>
      </c>
      <c r="C699" s="61" t="s">
        <v>127</v>
      </c>
      <c r="D699" s="61" t="s">
        <v>2994</v>
      </c>
      <c r="E699" s="119">
        <v>1.5591093119999999</v>
      </c>
      <c r="F699" s="148" t="s">
        <v>138</v>
      </c>
      <c r="G699" s="148">
        <v>1</v>
      </c>
      <c r="H699" s="61" t="s">
        <v>39</v>
      </c>
      <c r="I699" s="61"/>
      <c r="J699" s="61" t="s">
        <v>919</v>
      </c>
      <c r="K699" s="61" t="s">
        <v>126</v>
      </c>
      <c r="L699" s="159"/>
      <c r="M699" s="48"/>
      <c r="N699" s="123"/>
    </row>
    <row r="700" spans="1:14" customFormat="1" x14ac:dyDescent="0.55000000000000004">
      <c r="A700" s="105" t="s">
        <v>3330</v>
      </c>
      <c r="B700" s="61" t="s">
        <v>153</v>
      </c>
      <c r="C700" s="61" t="s">
        <v>127</v>
      </c>
      <c r="D700" s="61" t="s">
        <v>2994</v>
      </c>
      <c r="E700" s="119">
        <v>9.6792226719999999</v>
      </c>
      <c r="F700" s="148" t="s">
        <v>138</v>
      </c>
      <c r="G700" s="148">
        <v>1</v>
      </c>
      <c r="H700" s="61" t="s">
        <v>39</v>
      </c>
      <c r="I700" s="61"/>
      <c r="J700" s="61" t="s">
        <v>919</v>
      </c>
      <c r="K700" s="61" t="s">
        <v>126</v>
      </c>
      <c r="L700" s="159"/>
      <c r="M700" s="48"/>
      <c r="N700" s="123"/>
    </row>
    <row r="701" spans="1:14" customFormat="1" x14ac:dyDescent="0.55000000000000004">
      <c r="A701" s="105" t="s">
        <v>3330</v>
      </c>
      <c r="B701" s="61" t="s">
        <v>334</v>
      </c>
      <c r="C701" s="61" t="s">
        <v>125</v>
      </c>
      <c r="D701" s="61" t="s">
        <v>3288</v>
      </c>
      <c r="E701" s="119">
        <v>1.9190282999999999E-2</v>
      </c>
      <c r="F701" s="148" t="s">
        <v>135</v>
      </c>
      <c r="G701" s="148">
        <v>1</v>
      </c>
      <c r="H701" s="61" t="s">
        <v>39</v>
      </c>
      <c r="I701" s="61" t="s">
        <v>954</v>
      </c>
      <c r="J701" s="61" t="s">
        <v>919</v>
      </c>
      <c r="K701" s="61" t="s">
        <v>126</v>
      </c>
      <c r="L701" s="159"/>
      <c r="M701" s="48"/>
      <c r="N701" s="123"/>
    </row>
    <row r="702" spans="1:14" customFormat="1" x14ac:dyDescent="0.55000000000000004">
      <c r="A702" s="105" t="s">
        <v>3331</v>
      </c>
      <c r="B702" s="61" t="s">
        <v>948</v>
      </c>
      <c r="C702" s="61" t="s">
        <v>121</v>
      </c>
      <c r="D702" s="61" t="s">
        <v>3288</v>
      </c>
      <c r="E702" s="119">
        <v>1</v>
      </c>
      <c r="F702" s="148" t="s">
        <v>135</v>
      </c>
      <c r="G702" s="148">
        <v>1</v>
      </c>
      <c r="H702" s="61" t="s">
        <v>39</v>
      </c>
      <c r="I702" s="61"/>
      <c r="J702" s="61"/>
      <c r="K702" s="61"/>
      <c r="L702" s="159">
        <v>271114</v>
      </c>
      <c r="M702" s="48"/>
      <c r="N702" s="123"/>
    </row>
    <row r="703" spans="1:14" customFormat="1" x14ac:dyDescent="0.55000000000000004">
      <c r="A703" s="105" t="s">
        <v>3331</v>
      </c>
      <c r="B703" s="61" t="s">
        <v>625</v>
      </c>
      <c r="C703" s="61" t="s">
        <v>125</v>
      </c>
      <c r="D703" s="61" t="s">
        <v>3288</v>
      </c>
      <c r="E703" s="119">
        <v>0.98744939300000001</v>
      </c>
      <c r="F703" s="148" t="s">
        <v>135</v>
      </c>
      <c r="G703" s="148">
        <v>1</v>
      </c>
      <c r="H703" s="61" t="s">
        <v>39</v>
      </c>
      <c r="I703" s="61" t="s">
        <v>947</v>
      </c>
      <c r="J703" s="61" t="s">
        <v>919</v>
      </c>
      <c r="K703" s="61" t="s">
        <v>126</v>
      </c>
      <c r="L703" s="159"/>
      <c r="M703" s="48"/>
      <c r="N703" s="123"/>
    </row>
    <row r="704" spans="1:14" customFormat="1" x14ac:dyDescent="0.55000000000000004">
      <c r="A704" s="105" t="s">
        <v>3331</v>
      </c>
      <c r="B704" s="61" t="s">
        <v>706</v>
      </c>
      <c r="C704" s="61" t="s">
        <v>125</v>
      </c>
      <c r="D704" s="61" t="s">
        <v>3288</v>
      </c>
      <c r="E704" s="119">
        <v>0</v>
      </c>
      <c r="F704" s="148" t="s">
        <v>135</v>
      </c>
      <c r="G704" s="148">
        <v>1</v>
      </c>
      <c r="H704" s="61" t="s">
        <v>39</v>
      </c>
      <c r="I704" s="61" t="s">
        <v>947</v>
      </c>
      <c r="J704" s="61" t="s">
        <v>919</v>
      </c>
      <c r="K704" s="61" t="s">
        <v>126</v>
      </c>
      <c r="L704" s="159"/>
      <c r="M704" s="48"/>
      <c r="N704" s="123"/>
    </row>
    <row r="705" spans="1:14" customFormat="1" x14ac:dyDescent="0.55000000000000004">
      <c r="A705" s="105" t="s">
        <v>3331</v>
      </c>
      <c r="B705" s="61" t="s">
        <v>925</v>
      </c>
      <c r="C705" s="61" t="s">
        <v>125</v>
      </c>
      <c r="D705" s="61" t="s">
        <v>3288</v>
      </c>
      <c r="E705" s="119">
        <v>2.4696355999999999E-2</v>
      </c>
      <c r="F705" s="148" t="s">
        <v>135</v>
      </c>
      <c r="G705" s="148">
        <v>1</v>
      </c>
      <c r="H705" s="61" t="s">
        <v>39</v>
      </c>
      <c r="I705" s="61" t="s">
        <v>947</v>
      </c>
      <c r="J705" s="61" t="s">
        <v>919</v>
      </c>
      <c r="K705" s="61" t="s">
        <v>126</v>
      </c>
      <c r="L705" s="159"/>
      <c r="M705" s="48"/>
      <c r="N705" s="123"/>
    </row>
    <row r="706" spans="1:14" customFormat="1" x14ac:dyDescent="0.55000000000000004">
      <c r="A706" s="105" t="s">
        <v>3331</v>
      </c>
      <c r="B706" s="61" t="s">
        <v>334</v>
      </c>
      <c r="C706" s="61" t="s">
        <v>125</v>
      </c>
      <c r="D706" s="61" t="s">
        <v>3288</v>
      </c>
      <c r="E706" s="119">
        <v>7.3886640000000003E-2</v>
      </c>
      <c r="F706" s="148" t="s">
        <v>135</v>
      </c>
      <c r="G706" s="148">
        <v>1</v>
      </c>
      <c r="H706" s="61" t="s">
        <v>39</v>
      </c>
      <c r="I706" s="61" t="s">
        <v>947</v>
      </c>
      <c r="J706" s="61" t="s">
        <v>919</v>
      </c>
      <c r="K706" s="61" t="s">
        <v>126</v>
      </c>
      <c r="L706" s="159"/>
      <c r="M706" s="48"/>
      <c r="N706" s="123"/>
    </row>
    <row r="707" spans="1:14" customFormat="1" x14ac:dyDescent="0.55000000000000004">
      <c r="A707" s="105" t="s">
        <v>3331</v>
      </c>
      <c r="B707" s="61" t="s">
        <v>153</v>
      </c>
      <c r="C707" s="61" t="s">
        <v>127</v>
      </c>
      <c r="D707" s="61" t="s">
        <v>2994</v>
      </c>
      <c r="E707" s="119">
        <v>1.0253441299999999</v>
      </c>
      <c r="F707" s="148" t="s">
        <v>138</v>
      </c>
      <c r="G707" s="148">
        <v>1</v>
      </c>
      <c r="H707" s="61" t="s">
        <v>39</v>
      </c>
      <c r="I707" s="61" t="s">
        <v>947</v>
      </c>
      <c r="J707" s="61" t="s">
        <v>919</v>
      </c>
      <c r="K707" s="61" t="s">
        <v>126</v>
      </c>
      <c r="L707" s="159"/>
      <c r="M707" s="48"/>
      <c r="N707" s="123"/>
    </row>
    <row r="708" spans="1:14" customFormat="1" x14ac:dyDescent="0.55000000000000004">
      <c r="A708" s="105" t="s">
        <v>3332</v>
      </c>
      <c r="B708" s="61" t="s">
        <v>948</v>
      </c>
      <c r="C708" s="61" t="s">
        <v>121</v>
      </c>
      <c r="D708" s="61" t="s">
        <v>3288</v>
      </c>
      <c r="E708" s="119">
        <v>1</v>
      </c>
      <c r="F708" s="148" t="s">
        <v>135</v>
      </c>
      <c r="G708" s="148">
        <v>1</v>
      </c>
      <c r="H708" s="61" t="s">
        <v>39</v>
      </c>
      <c r="I708" s="61"/>
      <c r="J708" s="61"/>
      <c r="K708" s="61"/>
      <c r="L708" s="159">
        <v>271114</v>
      </c>
      <c r="M708" s="48"/>
      <c r="N708" s="123"/>
    </row>
    <row r="709" spans="1:14" customFormat="1" x14ac:dyDescent="0.55000000000000004">
      <c r="A709" s="105" t="s">
        <v>3332</v>
      </c>
      <c r="B709" s="61" t="s">
        <v>625</v>
      </c>
      <c r="C709" s="61" t="s">
        <v>125</v>
      </c>
      <c r="D709" s="61" t="s">
        <v>3288</v>
      </c>
      <c r="E709" s="119">
        <v>0.84939271299999997</v>
      </c>
      <c r="F709" s="148" t="s">
        <v>135</v>
      </c>
      <c r="G709" s="148">
        <v>1</v>
      </c>
      <c r="H709" s="61" t="s">
        <v>39</v>
      </c>
      <c r="I709" s="61" t="s">
        <v>947</v>
      </c>
      <c r="J709" s="61" t="s">
        <v>919</v>
      </c>
      <c r="K709" s="61" t="s">
        <v>126</v>
      </c>
      <c r="L709" s="159"/>
      <c r="M709" s="48"/>
      <c r="N709" s="123"/>
    </row>
    <row r="710" spans="1:14" customFormat="1" x14ac:dyDescent="0.55000000000000004">
      <c r="A710" s="105" t="s">
        <v>3332</v>
      </c>
      <c r="B710" s="61" t="s">
        <v>706</v>
      </c>
      <c r="C710" s="61" t="s">
        <v>125</v>
      </c>
      <c r="D710" s="61" t="s">
        <v>3288</v>
      </c>
      <c r="E710" s="119">
        <v>0</v>
      </c>
      <c r="F710" s="148" t="s">
        <v>135</v>
      </c>
      <c r="G710" s="148">
        <v>1</v>
      </c>
      <c r="H710" s="61" t="s">
        <v>39</v>
      </c>
      <c r="I710" s="61" t="s">
        <v>947</v>
      </c>
      <c r="J710" s="61" t="s">
        <v>919</v>
      </c>
      <c r="K710" s="61" t="s">
        <v>126</v>
      </c>
      <c r="L710" s="159"/>
      <c r="M710" s="48"/>
      <c r="N710" s="123"/>
    </row>
    <row r="711" spans="1:14" customFormat="1" x14ac:dyDescent="0.55000000000000004">
      <c r="A711" s="105" t="s">
        <v>3332</v>
      </c>
      <c r="B711" s="61" t="s">
        <v>925</v>
      </c>
      <c r="C711" s="61" t="s">
        <v>125</v>
      </c>
      <c r="D711" s="61" t="s">
        <v>3288</v>
      </c>
      <c r="E711" s="119">
        <v>2.1052632000000002E-2</v>
      </c>
      <c r="F711" s="148" t="s">
        <v>135</v>
      </c>
      <c r="G711" s="148">
        <v>1</v>
      </c>
      <c r="H711" s="61" t="s">
        <v>39</v>
      </c>
      <c r="I711" s="61" t="s">
        <v>947</v>
      </c>
      <c r="J711" s="61" t="s">
        <v>919</v>
      </c>
      <c r="K711" s="61" t="s">
        <v>126</v>
      </c>
      <c r="L711" s="159"/>
      <c r="M711" s="48"/>
      <c r="N711" s="123"/>
    </row>
    <row r="712" spans="1:14" customFormat="1" x14ac:dyDescent="0.55000000000000004">
      <c r="A712" s="105" t="s">
        <v>3332</v>
      </c>
      <c r="B712" s="61" t="s">
        <v>213</v>
      </c>
      <c r="C712" s="61" t="s">
        <v>125</v>
      </c>
      <c r="D712" s="61" t="s">
        <v>3288</v>
      </c>
      <c r="E712" s="119">
        <v>6.4736842000000003E-2</v>
      </c>
      <c r="F712" s="148" t="s">
        <v>135</v>
      </c>
      <c r="G712" s="148">
        <v>1</v>
      </c>
      <c r="H712" s="61" t="s">
        <v>39</v>
      </c>
      <c r="I712" s="61" t="s">
        <v>947</v>
      </c>
      <c r="J712" s="61" t="s">
        <v>919</v>
      </c>
      <c r="K712" s="61" t="s">
        <v>126</v>
      </c>
      <c r="L712" s="159"/>
      <c r="M712" s="48"/>
      <c r="N712" s="123"/>
    </row>
    <row r="713" spans="1:14" customFormat="1" x14ac:dyDescent="0.55000000000000004">
      <c r="A713" s="105" t="s">
        <v>3332</v>
      </c>
      <c r="B713" s="61" t="s">
        <v>334</v>
      </c>
      <c r="C713" s="61" t="s">
        <v>125</v>
      </c>
      <c r="D713" s="61" t="s">
        <v>3288</v>
      </c>
      <c r="E713" s="119">
        <v>6.4736842000000003E-2</v>
      </c>
      <c r="F713" s="148" t="s">
        <v>135</v>
      </c>
      <c r="G713" s="148">
        <v>1</v>
      </c>
      <c r="H713" s="61" t="s">
        <v>39</v>
      </c>
      <c r="I713" s="61" t="s">
        <v>947</v>
      </c>
      <c r="J713" s="61" t="s">
        <v>919</v>
      </c>
      <c r="K713" s="61" t="s">
        <v>126</v>
      </c>
      <c r="L713" s="159"/>
      <c r="M713" s="48"/>
      <c r="N713" s="123"/>
    </row>
    <row r="714" spans="1:14" customFormat="1" x14ac:dyDescent="0.55000000000000004">
      <c r="A714" s="105" t="s">
        <v>3332</v>
      </c>
      <c r="B714" s="61" t="s">
        <v>153</v>
      </c>
      <c r="C714" s="61" t="s">
        <v>127</v>
      </c>
      <c r="D714" s="61" t="s">
        <v>2994</v>
      </c>
      <c r="E714" s="119">
        <v>1.0253441299999999</v>
      </c>
      <c r="F714" s="148" t="s">
        <v>138</v>
      </c>
      <c r="G714" s="148">
        <v>1</v>
      </c>
      <c r="H714" s="61" t="s">
        <v>39</v>
      </c>
      <c r="I714" s="61" t="s">
        <v>955</v>
      </c>
      <c r="J714" s="61" t="s">
        <v>919</v>
      </c>
      <c r="K714" s="61" t="s">
        <v>126</v>
      </c>
      <c r="L714" s="159"/>
      <c r="M714" s="48"/>
      <c r="N714" s="123"/>
    </row>
    <row r="715" spans="1:14" customFormat="1" x14ac:dyDescent="0.55000000000000004">
      <c r="A715" s="105" t="s">
        <v>3332</v>
      </c>
      <c r="B715" s="61" t="s">
        <v>153</v>
      </c>
      <c r="C715" s="61" t="s">
        <v>127</v>
      </c>
      <c r="D715" s="61" t="s">
        <v>2994</v>
      </c>
      <c r="E715" s="119">
        <v>1.5591093119999999</v>
      </c>
      <c r="F715" s="148" t="s">
        <v>138</v>
      </c>
      <c r="G715" s="148">
        <v>1</v>
      </c>
      <c r="H715" s="61" t="s">
        <v>39</v>
      </c>
      <c r="I715" s="61"/>
      <c r="J715" s="61" t="s">
        <v>919</v>
      </c>
      <c r="K715" s="61" t="s">
        <v>126</v>
      </c>
      <c r="L715" s="159"/>
      <c r="M715" s="48"/>
      <c r="N715" s="123"/>
    </row>
    <row r="716" spans="1:14" customFormat="1" x14ac:dyDescent="0.55000000000000004">
      <c r="A716" s="105" t="s">
        <v>3332</v>
      </c>
      <c r="B716" s="61" t="s">
        <v>153</v>
      </c>
      <c r="C716" s="61" t="s">
        <v>127</v>
      </c>
      <c r="D716" s="61" t="s">
        <v>2994</v>
      </c>
      <c r="E716" s="119">
        <v>2.584453441</v>
      </c>
      <c r="F716" s="148" t="s">
        <v>138</v>
      </c>
      <c r="G716" s="148">
        <v>1</v>
      </c>
      <c r="H716" s="61" t="s">
        <v>39</v>
      </c>
      <c r="I716" s="61"/>
      <c r="J716" s="61" t="s">
        <v>919</v>
      </c>
      <c r="K716" s="61" t="s">
        <v>126</v>
      </c>
      <c r="L716" s="159"/>
      <c r="M716" s="48"/>
      <c r="N716" s="123"/>
    </row>
    <row r="717" spans="1:14" customFormat="1" x14ac:dyDescent="0.55000000000000004">
      <c r="A717" s="105" t="s">
        <v>3332</v>
      </c>
      <c r="B717" s="61" t="s">
        <v>334</v>
      </c>
      <c r="C717" s="61" t="s">
        <v>125</v>
      </c>
      <c r="D717" s="61" t="s">
        <v>3288</v>
      </c>
      <c r="E717" s="119">
        <v>1.9190282999999999E-2</v>
      </c>
      <c r="F717" s="148" t="s">
        <v>135</v>
      </c>
      <c r="G717" s="148">
        <v>1</v>
      </c>
      <c r="H717" s="61" t="s">
        <v>39</v>
      </c>
      <c r="I717" s="61"/>
      <c r="J717" s="61" t="s">
        <v>919</v>
      </c>
      <c r="K717" s="61" t="s">
        <v>126</v>
      </c>
      <c r="L717" s="159"/>
      <c r="M717" s="48"/>
      <c r="N717" s="123"/>
    </row>
    <row r="718" spans="1:14" customFormat="1" x14ac:dyDescent="0.55000000000000004">
      <c r="A718" s="105" t="s">
        <v>3333</v>
      </c>
      <c r="B718" s="61" t="s">
        <v>948</v>
      </c>
      <c r="C718" s="61" t="s">
        <v>121</v>
      </c>
      <c r="D718" s="61" t="s">
        <v>3288</v>
      </c>
      <c r="E718" s="119">
        <v>1</v>
      </c>
      <c r="F718" s="148" t="s">
        <v>135</v>
      </c>
      <c r="G718" s="148">
        <v>1</v>
      </c>
      <c r="H718" s="61" t="s">
        <v>39</v>
      </c>
      <c r="I718" s="61"/>
      <c r="J718" s="61"/>
      <c r="K718" s="61"/>
      <c r="L718" s="159">
        <v>271114</v>
      </c>
      <c r="M718" s="48"/>
      <c r="N718" s="123"/>
    </row>
    <row r="719" spans="1:14" customFormat="1" x14ac:dyDescent="0.55000000000000004">
      <c r="A719" s="105" t="s">
        <v>3333</v>
      </c>
      <c r="B719" s="61" t="s">
        <v>625</v>
      </c>
      <c r="C719" s="61" t="s">
        <v>125</v>
      </c>
      <c r="D719" s="61" t="s">
        <v>3288</v>
      </c>
      <c r="E719" s="119">
        <v>0.98744939300000001</v>
      </c>
      <c r="F719" s="148" t="s">
        <v>135</v>
      </c>
      <c r="G719" s="148">
        <v>1</v>
      </c>
      <c r="H719" s="61" t="s">
        <v>39</v>
      </c>
      <c r="I719" s="61" t="s">
        <v>956</v>
      </c>
      <c r="J719" s="61" t="s">
        <v>919</v>
      </c>
      <c r="K719" s="61" t="s">
        <v>126</v>
      </c>
      <c r="L719" s="159"/>
      <c r="M719" s="48"/>
      <c r="N719" s="123"/>
    </row>
    <row r="720" spans="1:14" customFormat="1" x14ac:dyDescent="0.55000000000000004">
      <c r="A720" s="105" t="s">
        <v>3333</v>
      </c>
      <c r="B720" s="61" t="s">
        <v>706</v>
      </c>
      <c r="C720" s="61" t="s">
        <v>125</v>
      </c>
      <c r="D720" s="61" t="s">
        <v>3288</v>
      </c>
      <c r="E720" s="119">
        <v>0</v>
      </c>
      <c r="F720" s="148" t="s">
        <v>135</v>
      </c>
      <c r="G720" s="148">
        <v>1</v>
      </c>
      <c r="H720" s="61" t="s">
        <v>39</v>
      </c>
      <c r="I720" s="61" t="s">
        <v>947</v>
      </c>
      <c r="J720" s="61" t="s">
        <v>919</v>
      </c>
      <c r="K720" s="61" t="s">
        <v>126</v>
      </c>
      <c r="L720" s="159"/>
      <c r="M720" s="48"/>
      <c r="N720" s="123"/>
    </row>
    <row r="721" spans="1:14" customFormat="1" x14ac:dyDescent="0.55000000000000004">
      <c r="A721" s="105" t="s">
        <v>3333</v>
      </c>
      <c r="B721" s="61" t="s">
        <v>925</v>
      </c>
      <c r="C721" s="61" t="s">
        <v>125</v>
      </c>
      <c r="D721" s="61" t="s">
        <v>3288</v>
      </c>
      <c r="E721" s="119">
        <v>2.4696355999999999E-2</v>
      </c>
      <c r="F721" s="148" t="s">
        <v>135</v>
      </c>
      <c r="G721" s="148">
        <v>1</v>
      </c>
      <c r="H721" s="61" t="s">
        <v>39</v>
      </c>
      <c r="I721" s="61" t="s">
        <v>947</v>
      </c>
      <c r="J721" s="61" t="s">
        <v>919</v>
      </c>
      <c r="K721" s="61" t="s">
        <v>126</v>
      </c>
      <c r="L721" s="159"/>
      <c r="M721" s="48"/>
      <c r="N721" s="123"/>
    </row>
    <row r="722" spans="1:14" customFormat="1" x14ac:dyDescent="0.55000000000000004">
      <c r="A722" s="105" t="s">
        <v>3333</v>
      </c>
      <c r="B722" s="61" t="s">
        <v>923</v>
      </c>
      <c r="C722" s="61" t="s">
        <v>127</v>
      </c>
      <c r="D722" s="61" t="s">
        <v>2994</v>
      </c>
      <c r="E722" s="119">
        <v>8.8684184530000003</v>
      </c>
      <c r="F722" s="148" t="s">
        <v>138</v>
      </c>
      <c r="G722" s="148">
        <v>1</v>
      </c>
      <c r="H722" s="61" t="s">
        <v>39</v>
      </c>
      <c r="I722" s="61" t="s">
        <v>957</v>
      </c>
      <c r="J722" s="61" t="s">
        <v>919</v>
      </c>
      <c r="K722" s="61" t="s">
        <v>126</v>
      </c>
      <c r="L722" s="159"/>
      <c r="M722" s="48"/>
      <c r="N722" s="123"/>
    </row>
    <row r="723" spans="1:14" customFormat="1" x14ac:dyDescent="0.55000000000000004">
      <c r="A723" s="105" t="s">
        <v>3333</v>
      </c>
      <c r="B723" s="61" t="s">
        <v>153</v>
      </c>
      <c r="C723" s="61" t="s">
        <v>127</v>
      </c>
      <c r="D723" s="61" t="s">
        <v>2994</v>
      </c>
      <c r="E723" s="119">
        <v>1.0253441299999999</v>
      </c>
      <c r="F723" s="148" t="s">
        <v>138</v>
      </c>
      <c r="G723" s="148">
        <v>1</v>
      </c>
      <c r="H723" s="61" t="s">
        <v>39</v>
      </c>
      <c r="I723" s="61" t="s">
        <v>958</v>
      </c>
      <c r="J723" s="61" t="s">
        <v>919</v>
      </c>
      <c r="K723" s="61" t="s">
        <v>126</v>
      </c>
      <c r="L723" s="159"/>
      <c r="M723" s="48"/>
      <c r="N723" s="123"/>
    </row>
    <row r="724" spans="1:14" customFormat="1" x14ac:dyDescent="0.55000000000000004">
      <c r="A724" s="105" t="s">
        <v>3333</v>
      </c>
      <c r="B724" s="61" t="s">
        <v>160</v>
      </c>
      <c r="C724" s="61" t="s">
        <v>497</v>
      </c>
      <c r="D724" s="61" t="s">
        <v>3288</v>
      </c>
      <c r="E724" s="119">
        <v>0.59418403600000003</v>
      </c>
      <c r="F724" s="148" t="s">
        <v>135</v>
      </c>
      <c r="G724" s="148">
        <v>1</v>
      </c>
      <c r="H724" s="61" t="s">
        <v>39</v>
      </c>
      <c r="I724" s="61" t="s">
        <v>959</v>
      </c>
      <c r="J724" s="61" t="s">
        <v>924</v>
      </c>
      <c r="K724" s="61" t="s">
        <v>126</v>
      </c>
      <c r="L724" s="159"/>
      <c r="M724" s="48"/>
      <c r="N724" s="123"/>
    </row>
    <row r="725" spans="1:14" customFormat="1" x14ac:dyDescent="0.55000000000000004">
      <c r="A725" s="105" t="s">
        <v>3334</v>
      </c>
      <c r="B725" s="61" t="s">
        <v>948</v>
      </c>
      <c r="C725" s="61" t="s">
        <v>121</v>
      </c>
      <c r="D725" s="61" t="s">
        <v>3288</v>
      </c>
      <c r="E725" s="119">
        <v>1</v>
      </c>
      <c r="F725" s="148" t="s">
        <v>135</v>
      </c>
      <c r="G725" s="148">
        <v>1</v>
      </c>
      <c r="H725" s="61" t="s">
        <v>39</v>
      </c>
      <c r="I725" s="61"/>
      <c r="J725" s="61"/>
      <c r="K725" s="61"/>
      <c r="L725" s="159">
        <v>271114</v>
      </c>
      <c r="M725" s="48"/>
      <c r="N725" s="123"/>
    </row>
    <row r="726" spans="1:14" customFormat="1" x14ac:dyDescent="0.55000000000000004">
      <c r="A726" s="105" t="s">
        <v>3334</v>
      </c>
      <c r="B726" s="61" t="s">
        <v>923</v>
      </c>
      <c r="C726" s="61" t="s">
        <v>127</v>
      </c>
      <c r="D726" s="61" t="s">
        <v>2994</v>
      </c>
      <c r="E726" s="119">
        <v>8.461538462</v>
      </c>
      <c r="F726" s="148" t="s">
        <v>138</v>
      </c>
      <c r="G726" s="148">
        <v>1</v>
      </c>
      <c r="H726" s="61" t="s">
        <v>39</v>
      </c>
      <c r="I726" s="61" t="s">
        <v>947</v>
      </c>
      <c r="J726" s="61" t="s">
        <v>919</v>
      </c>
      <c r="K726" s="61" t="s">
        <v>126</v>
      </c>
      <c r="L726" s="159"/>
      <c r="M726" s="48"/>
      <c r="N726" s="123"/>
    </row>
    <row r="727" spans="1:14" customFormat="1" x14ac:dyDescent="0.55000000000000004">
      <c r="A727" s="105" t="s">
        <v>3334</v>
      </c>
      <c r="B727" s="61" t="s">
        <v>625</v>
      </c>
      <c r="C727" s="61" t="s">
        <v>125</v>
      </c>
      <c r="D727" s="61" t="s">
        <v>3288</v>
      </c>
      <c r="E727" s="119">
        <v>0.91821862300000001</v>
      </c>
      <c r="F727" s="148" t="s">
        <v>135</v>
      </c>
      <c r="G727" s="148">
        <v>1</v>
      </c>
      <c r="H727" s="61" t="s">
        <v>39</v>
      </c>
      <c r="I727" s="61" t="s">
        <v>947</v>
      </c>
      <c r="J727" s="61" t="s">
        <v>919</v>
      </c>
      <c r="K727" s="61" t="s">
        <v>126</v>
      </c>
      <c r="L727" s="159"/>
      <c r="M727" s="48"/>
      <c r="N727" s="123"/>
    </row>
    <row r="728" spans="1:14" customFormat="1" x14ac:dyDescent="0.55000000000000004">
      <c r="A728" s="105" t="s">
        <v>3334</v>
      </c>
      <c r="B728" s="61" t="s">
        <v>706</v>
      </c>
      <c r="C728" s="61" t="s">
        <v>125</v>
      </c>
      <c r="D728" s="61" t="s">
        <v>3288</v>
      </c>
      <c r="E728" s="119">
        <v>0</v>
      </c>
      <c r="F728" s="148" t="s">
        <v>135</v>
      </c>
      <c r="G728" s="148">
        <v>1</v>
      </c>
      <c r="H728" s="61" t="s">
        <v>39</v>
      </c>
      <c r="I728" s="61" t="s">
        <v>947</v>
      </c>
      <c r="J728" s="61" t="s">
        <v>919</v>
      </c>
      <c r="K728" s="61" t="s">
        <v>126</v>
      </c>
      <c r="L728" s="159"/>
      <c r="M728" s="48"/>
      <c r="N728" s="123"/>
    </row>
    <row r="729" spans="1:14" customFormat="1" x14ac:dyDescent="0.55000000000000004">
      <c r="A729" s="105" t="s">
        <v>3334</v>
      </c>
      <c r="B729" s="61" t="s">
        <v>925</v>
      </c>
      <c r="C729" s="61" t="s">
        <v>125</v>
      </c>
      <c r="D729" s="61" t="s">
        <v>3288</v>
      </c>
      <c r="E729" s="119">
        <v>2.3076922999999999E-2</v>
      </c>
      <c r="F729" s="148" t="s">
        <v>135</v>
      </c>
      <c r="G729" s="148">
        <v>1</v>
      </c>
      <c r="H729" s="61" t="s">
        <v>39</v>
      </c>
      <c r="I729" s="61" t="s">
        <v>947</v>
      </c>
      <c r="J729" s="61" t="s">
        <v>919</v>
      </c>
      <c r="K729" s="61" t="s">
        <v>126</v>
      </c>
      <c r="L729" s="159"/>
      <c r="M729" s="48"/>
      <c r="N729" s="123"/>
    </row>
    <row r="730" spans="1:14" customFormat="1" x14ac:dyDescent="0.55000000000000004">
      <c r="A730" s="105" t="s">
        <v>3334</v>
      </c>
      <c r="B730" s="61" t="s">
        <v>213</v>
      </c>
      <c r="C730" s="61" t="s">
        <v>125</v>
      </c>
      <c r="D730" s="61" t="s">
        <v>3288</v>
      </c>
      <c r="E730" s="119">
        <v>6.4777327999999995E-2</v>
      </c>
      <c r="F730" s="148" t="s">
        <v>135</v>
      </c>
      <c r="G730" s="148">
        <v>1</v>
      </c>
      <c r="H730" s="61" t="s">
        <v>39</v>
      </c>
      <c r="I730" s="61" t="s">
        <v>960</v>
      </c>
      <c r="J730" s="61" t="s">
        <v>919</v>
      </c>
      <c r="K730" s="61" t="s">
        <v>126</v>
      </c>
      <c r="L730" s="159"/>
      <c r="M730" s="48"/>
      <c r="N730" s="123"/>
    </row>
    <row r="731" spans="1:14" customFormat="1" x14ac:dyDescent="0.55000000000000004">
      <c r="A731" s="105" t="s">
        <v>3334</v>
      </c>
      <c r="B731" s="61" t="s">
        <v>153</v>
      </c>
      <c r="C731" s="61" t="s">
        <v>127</v>
      </c>
      <c r="D731" s="61" t="s">
        <v>2994</v>
      </c>
      <c r="E731" s="119">
        <v>1.0253441299999999</v>
      </c>
      <c r="F731" s="148" t="s">
        <v>138</v>
      </c>
      <c r="G731" s="148">
        <v>1</v>
      </c>
      <c r="H731" s="61" t="s">
        <v>39</v>
      </c>
      <c r="I731" s="61" t="s">
        <v>961</v>
      </c>
      <c r="J731" s="61" t="s">
        <v>919</v>
      </c>
      <c r="K731" s="61" t="s">
        <v>126</v>
      </c>
      <c r="L731" s="159"/>
      <c r="M731" s="48"/>
      <c r="N731" s="123"/>
    </row>
    <row r="732" spans="1:14" customFormat="1" x14ac:dyDescent="0.55000000000000004">
      <c r="A732" s="105" t="s">
        <v>3334</v>
      </c>
      <c r="B732" s="61" t="s">
        <v>153</v>
      </c>
      <c r="C732" s="61" t="s">
        <v>127</v>
      </c>
      <c r="D732" s="61" t="s">
        <v>2994</v>
      </c>
      <c r="E732" s="119">
        <v>0.44048583000000002</v>
      </c>
      <c r="F732" s="148" t="s">
        <v>138</v>
      </c>
      <c r="G732" s="148">
        <v>1</v>
      </c>
      <c r="H732" s="61" t="s">
        <v>39</v>
      </c>
      <c r="I732" s="61"/>
      <c r="J732" s="61" t="s">
        <v>919</v>
      </c>
      <c r="K732" s="61" t="s">
        <v>126</v>
      </c>
      <c r="L732" s="159"/>
      <c r="M732" s="48"/>
      <c r="N732" s="123"/>
    </row>
    <row r="733" spans="1:14" customFormat="1" x14ac:dyDescent="0.55000000000000004">
      <c r="A733" s="105" t="s">
        <v>3334</v>
      </c>
      <c r="B733" s="61" t="s">
        <v>153</v>
      </c>
      <c r="C733" s="61" t="s">
        <v>127</v>
      </c>
      <c r="D733" s="61" t="s">
        <v>2994</v>
      </c>
      <c r="E733" s="119">
        <v>1.46582996</v>
      </c>
      <c r="F733" s="148" t="s">
        <v>138</v>
      </c>
      <c r="G733" s="148">
        <v>1</v>
      </c>
      <c r="H733" s="61" t="s">
        <v>39</v>
      </c>
      <c r="I733" s="61" t="s">
        <v>962</v>
      </c>
      <c r="J733" s="61" t="s">
        <v>919</v>
      </c>
      <c r="K733" s="61" t="s">
        <v>126</v>
      </c>
      <c r="L733" s="159"/>
      <c r="M733" s="48"/>
      <c r="N733" s="123"/>
    </row>
    <row r="734" spans="1:14" customFormat="1" x14ac:dyDescent="0.55000000000000004">
      <c r="A734" s="105" t="s">
        <v>3334</v>
      </c>
      <c r="B734" s="61" t="s">
        <v>160</v>
      </c>
      <c r="C734" s="61" t="s">
        <v>497</v>
      </c>
      <c r="D734" s="61" t="s">
        <v>3288</v>
      </c>
      <c r="E734" s="119">
        <v>2.9512551000000001E-2</v>
      </c>
      <c r="F734" s="148" t="s">
        <v>135</v>
      </c>
      <c r="G734" s="148">
        <v>1</v>
      </c>
      <c r="H734" s="61" t="s">
        <v>39</v>
      </c>
      <c r="I734" s="61" t="s">
        <v>959</v>
      </c>
      <c r="J734" s="61" t="s">
        <v>924</v>
      </c>
      <c r="K734" s="61" t="s">
        <v>126</v>
      </c>
      <c r="L734" s="159"/>
      <c r="M734" s="48"/>
      <c r="N734" s="123"/>
    </row>
    <row r="735" spans="1:14" customFormat="1" x14ac:dyDescent="0.55000000000000004">
      <c r="A735" s="105" t="s">
        <v>3335</v>
      </c>
      <c r="B735" s="61" t="s">
        <v>948</v>
      </c>
      <c r="C735" s="61" t="s">
        <v>121</v>
      </c>
      <c r="D735" s="61" t="s">
        <v>3288</v>
      </c>
      <c r="E735" s="119">
        <v>1</v>
      </c>
      <c r="F735" s="148" t="s">
        <v>135</v>
      </c>
      <c r="G735" s="148">
        <v>1</v>
      </c>
      <c r="H735" s="61" t="s">
        <v>39</v>
      </c>
      <c r="I735" s="61"/>
      <c r="J735" s="61"/>
      <c r="K735" s="61"/>
      <c r="L735" s="159">
        <v>271114</v>
      </c>
      <c r="M735" s="48"/>
      <c r="N735" s="123"/>
    </row>
    <row r="736" spans="1:14" customFormat="1" x14ac:dyDescent="0.55000000000000004">
      <c r="A736" s="105" t="s">
        <v>3335</v>
      </c>
      <c r="B736" s="61" t="s">
        <v>625</v>
      </c>
      <c r="C736" s="61" t="s">
        <v>125</v>
      </c>
      <c r="D736" s="61" t="s">
        <v>3288</v>
      </c>
      <c r="E736" s="119">
        <v>0.98744939300000001</v>
      </c>
      <c r="F736" s="148" t="s">
        <v>135</v>
      </c>
      <c r="G736" s="148">
        <v>1</v>
      </c>
      <c r="H736" s="61" t="s">
        <v>39</v>
      </c>
      <c r="I736" s="61" t="s">
        <v>947</v>
      </c>
      <c r="J736" s="61" t="s">
        <v>919</v>
      </c>
      <c r="K736" s="61" t="s">
        <v>126</v>
      </c>
      <c r="L736" s="159"/>
      <c r="M736" s="48"/>
      <c r="N736" s="123"/>
    </row>
    <row r="737" spans="1:14" customFormat="1" x14ac:dyDescent="0.55000000000000004">
      <c r="A737" s="105" t="s">
        <v>3335</v>
      </c>
      <c r="B737" s="61" t="s">
        <v>706</v>
      </c>
      <c r="C737" s="61" t="s">
        <v>125</v>
      </c>
      <c r="D737" s="61" t="s">
        <v>3288</v>
      </c>
      <c r="E737" s="119">
        <v>0</v>
      </c>
      <c r="F737" s="148" t="s">
        <v>135</v>
      </c>
      <c r="G737" s="148">
        <v>1</v>
      </c>
      <c r="H737" s="61" t="s">
        <v>39</v>
      </c>
      <c r="I737" s="61" t="s">
        <v>947</v>
      </c>
      <c r="J737" s="61" t="s">
        <v>919</v>
      </c>
      <c r="K737" s="61" t="s">
        <v>126</v>
      </c>
      <c r="L737" s="159"/>
      <c r="M737" s="48"/>
      <c r="N737" s="123"/>
    </row>
    <row r="738" spans="1:14" customFormat="1" x14ac:dyDescent="0.55000000000000004">
      <c r="A738" s="105" t="s">
        <v>3335</v>
      </c>
      <c r="B738" s="61" t="s">
        <v>925</v>
      </c>
      <c r="C738" s="61" t="s">
        <v>125</v>
      </c>
      <c r="D738" s="61" t="s">
        <v>3288</v>
      </c>
      <c r="E738" s="119">
        <v>2.4696355999999999E-2</v>
      </c>
      <c r="F738" s="148" t="s">
        <v>135</v>
      </c>
      <c r="G738" s="148">
        <v>1</v>
      </c>
      <c r="H738" s="61" t="s">
        <v>39</v>
      </c>
      <c r="I738" s="61" t="s">
        <v>947</v>
      </c>
      <c r="J738" s="61" t="s">
        <v>919</v>
      </c>
      <c r="K738" s="61" t="s">
        <v>126</v>
      </c>
      <c r="L738" s="159"/>
      <c r="M738" s="48"/>
      <c r="N738" s="123"/>
    </row>
    <row r="739" spans="1:14" customFormat="1" x14ac:dyDescent="0.55000000000000004">
      <c r="A739" s="105" t="s">
        <v>3335</v>
      </c>
      <c r="B739" s="61" t="s">
        <v>923</v>
      </c>
      <c r="C739" s="61" t="s">
        <v>127</v>
      </c>
      <c r="D739" s="61" t="s">
        <v>2994</v>
      </c>
      <c r="E739" s="119">
        <v>8.8663967610000007</v>
      </c>
      <c r="F739" s="148" t="s">
        <v>138</v>
      </c>
      <c r="G739" s="148">
        <v>1</v>
      </c>
      <c r="H739" s="61" t="s">
        <v>39</v>
      </c>
      <c r="I739" s="61" t="s">
        <v>947</v>
      </c>
      <c r="J739" s="61" t="s">
        <v>919</v>
      </c>
      <c r="K739" s="61" t="s">
        <v>126</v>
      </c>
      <c r="L739" s="159"/>
      <c r="M739" s="48"/>
      <c r="N739" s="123"/>
    </row>
    <row r="740" spans="1:14" customFormat="1" x14ac:dyDescent="0.55000000000000004">
      <c r="A740" s="105" t="s">
        <v>3335</v>
      </c>
      <c r="B740" s="61" t="s">
        <v>153</v>
      </c>
      <c r="C740" s="61" t="s">
        <v>127</v>
      </c>
      <c r="D740" s="61" t="s">
        <v>2994</v>
      </c>
      <c r="E740" s="119">
        <v>0.415119081</v>
      </c>
      <c r="F740" s="148" t="s">
        <v>138</v>
      </c>
      <c r="G740" s="148">
        <v>1</v>
      </c>
      <c r="H740" s="61" t="s">
        <v>39</v>
      </c>
      <c r="I740" s="61" t="s">
        <v>949</v>
      </c>
      <c r="J740" s="61" t="s">
        <v>919</v>
      </c>
      <c r="K740" s="61" t="s">
        <v>126</v>
      </c>
      <c r="L740" s="159"/>
      <c r="M740" s="48"/>
      <c r="N740" s="123"/>
    </row>
    <row r="741" spans="1:14" customFormat="1" x14ac:dyDescent="0.55000000000000004">
      <c r="A741" s="105" t="s">
        <v>3335</v>
      </c>
      <c r="B741" s="61" t="s">
        <v>153</v>
      </c>
      <c r="C741" s="61" t="s">
        <v>127</v>
      </c>
      <c r="D741" s="61" t="s">
        <v>2994</v>
      </c>
      <c r="E741" s="119">
        <v>1.363190283</v>
      </c>
      <c r="F741" s="148" t="s">
        <v>138</v>
      </c>
      <c r="G741" s="148">
        <v>1</v>
      </c>
      <c r="H741" s="61" t="s">
        <v>39</v>
      </c>
      <c r="I741" s="61" t="s">
        <v>950</v>
      </c>
      <c r="J741" s="61" t="s">
        <v>919</v>
      </c>
      <c r="K741" s="61" t="s">
        <v>126</v>
      </c>
      <c r="L741" s="159"/>
      <c r="M741" s="48"/>
      <c r="N741" s="123"/>
    </row>
    <row r="742" spans="1:14" customFormat="1" x14ac:dyDescent="0.55000000000000004">
      <c r="A742" s="105" t="s">
        <v>3335</v>
      </c>
      <c r="B742" s="61" t="s">
        <v>153</v>
      </c>
      <c r="C742" s="61" t="s">
        <v>127</v>
      </c>
      <c r="D742" s="61" t="s">
        <v>2994</v>
      </c>
      <c r="E742" s="119">
        <v>1.7783093640000001</v>
      </c>
      <c r="F742" s="148" t="s">
        <v>138</v>
      </c>
      <c r="G742" s="148">
        <v>1</v>
      </c>
      <c r="H742" s="61" t="s">
        <v>39</v>
      </c>
      <c r="I742" s="61" t="s">
        <v>947</v>
      </c>
      <c r="J742" s="61" t="s">
        <v>919</v>
      </c>
      <c r="K742" s="61" t="s">
        <v>126</v>
      </c>
      <c r="L742" s="159"/>
      <c r="M742" s="48"/>
      <c r="N742" s="123"/>
    </row>
    <row r="743" spans="1:14" customFormat="1" x14ac:dyDescent="0.55000000000000004">
      <c r="A743" s="105" t="s">
        <v>3335</v>
      </c>
      <c r="B743" s="61" t="s">
        <v>160</v>
      </c>
      <c r="C743" s="61" t="s">
        <v>497</v>
      </c>
      <c r="D743" s="61" t="s">
        <v>3288</v>
      </c>
      <c r="E743" s="119">
        <v>2.9702428999999999E-2</v>
      </c>
      <c r="F743" s="148" t="s">
        <v>135</v>
      </c>
      <c r="G743" s="148">
        <v>1</v>
      </c>
      <c r="H743" s="61" t="s">
        <v>39</v>
      </c>
      <c r="I743" s="61" t="s">
        <v>951</v>
      </c>
      <c r="J743" s="61" t="s">
        <v>924</v>
      </c>
      <c r="K743" s="61" t="s">
        <v>126</v>
      </c>
      <c r="L743" s="159"/>
      <c r="M743" s="48"/>
      <c r="N743" s="123"/>
    </row>
    <row r="744" spans="1:14" customFormat="1" x14ac:dyDescent="0.55000000000000004">
      <c r="A744" s="105" t="s">
        <v>3336</v>
      </c>
      <c r="B744" s="61" t="s">
        <v>948</v>
      </c>
      <c r="C744" s="61" t="s">
        <v>121</v>
      </c>
      <c r="D744" s="61" t="s">
        <v>3288</v>
      </c>
      <c r="E744" s="119">
        <v>1</v>
      </c>
      <c r="F744" s="148" t="s">
        <v>135</v>
      </c>
      <c r="G744" s="148">
        <v>1</v>
      </c>
      <c r="H744" s="61" t="s">
        <v>39</v>
      </c>
      <c r="I744" s="61"/>
      <c r="J744" s="61"/>
      <c r="K744" s="61"/>
      <c r="L744" s="159">
        <v>271114</v>
      </c>
      <c r="M744" s="48"/>
      <c r="N744" s="123"/>
    </row>
    <row r="745" spans="1:14" customFormat="1" x14ac:dyDescent="0.55000000000000004">
      <c r="A745" s="105" t="s">
        <v>3336</v>
      </c>
      <c r="B745" s="61" t="s">
        <v>923</v>
      </c>
      <c r="C745" s="61" t="s">
        <v>127</v>
      </c>
      <c r="D745" s="61" t="s">
        <v>2994</v>
      </c>
      <c r="E745" s="119">
        <v>8.461538462</v>
      </c>
      <c r="F745" s="148" t="s">
        <v>138</v>
      </c>
      <c r="G745" s="148">
        <v>1</v>
      </c>
      <c r="H745" s="61" t="s">
        <v>39</v>
      </c>
      <c r="I745" s="61" t="s">
        <v>984</v>
      </c>
      <c r="J745" s="61" t="s">
        <v>919</v>
      </c>
      <c r="K745" s="61" t="s">
        <v>126</v>
      </c>
      <c r="L745" s="159"/>
      <c r="M745" s="48"/>
      <c r="N745" s="123"/>
    </row>
    <row r="746" spans="1:14" customFormat="1" x14ac:dyDescent="0.55000000000000004">
      <c r="A746" s="105" t="s">
        <v>3336</v>
      </c>
      <c r="B746" s="61" t="s">
        <v>625</v>
      </c>
      <c r="C746" s="61" t="s">
        <v>125</v>
      </c>
      <c r="D746" s="61" t="s">
        <v>3288</v>
      </c>
      <c r="E746" s="119">
        <v>0.91821862300000001</v>
      </c>
      <c r="F746" s="148" t="s">
        <v>135</v>
      </c>
      <c r="G746" s="148">
        <v>1</v>
      </c>
      <c r="H746" s="61" t="s">
        <v>39</v>
      </c>
      <c r="I746" s="61" t="s">
        <v>984</v>
      </c>
      <c r="J746" s="61" t="s">
        <v>919</v>
      </c>
      <c r="K746" s="61" t="s">
        <v>126</v>
      </c>
      <c r="L746" s="159"/>
      <c r="M746" s="48"/>
      <c r="N746" s="123"/>
    </row>
    <row r="747" spans="1:14" customFormat="1" x14ac:dyDescent="0.55000000000000004">
      <c r="A747" s="105" t="s">
        <v>3336</v>
      </c>
      <c r="B747" s="61" t="s">
        <v>706</v>
      </c>
      <c r="C747" s="61" t="s">
        <v>125</v>
      </c>
      <c r="D747" s="61" t="s">
        <v>3288</v>
      </c>
      <c r="E747" s="119">
        <v>0</v>
      </c>
      <c r="F747" s="148" t="s">
        <v>135</v>
      </c>
      <c r="G747" s="148">
        <v>1</v>
      </c>
      <c r="H747" s="61" t="s">
        <v>39</v>
      </c>
      <c r="I747" s="61" t="s">
        <v>984</v>
      </c>
      <c r="J747" s="61" t="s">
        <v>919</v>
      </c>
      <c r="K747" s="61" t="s">
        <v>126</v>
      </c>
      <c r="L747" s="159"/>
      <c r="M747" s="48"/>
      <c r="N747" s="123"/>
    </row>
    <row r="748" spans="1:14" customFormat="1" x14ac:dyDescent="0.55000000000000004">
      <c r="A748" s="105" t="s">
        <v>3336</v>
      </c>
      <c r="B748" s="61" t="s">
        <v>925</v>
      </c>
      <c r="C748" s="61" t="s">
        <v>125</v>
      </c>
      <c r="D748" s="61" t="s">
        <v>3288</v>
      </c>
      <c r="E748" s="119">
        <v>2.3076922999999999E-2</v>
      </c>
      <c r="F748" s="148" t="s">
        <v>135</v>
      </c>
      <c r="G748" s="148">
        <v>1</v>
      </c>
      <c r="H748" s="61" t="s">
        <v>39</v>
      </c>
      <c r="I748" s="61" t="s">
        <v>984</v>
      </c>
      <c r="J748" s="61" t="s">
        <v>919</v>
      </c>
      <c r="K748" s="61" t="s">
        <v>126</v>
      </c>
      <c r="L748" s="159"/>
      <c r="M748" s="48"/>
      <c r="N748" s="123"/>
    </row>
    <row r="749" spans="1:14" customFormat="1" x14ac:dyDescent="0.55000000000000004">
      <c r="A749" s="105" t="s">
        <v>3336</v>
      </c>
      <c r="B749" s="61" t="s">
        <v>213</v>
      </c>
      <c r="C749" s="61" t="s">
        <v>125</v>
      </c>
      <c r="D749" s="61" t="s">
        <v>3288</v>
      </c>
      <c r="E749" s="119">
        <v>6.4777327999999995E-2</v>
      </c>
      <c r="F749" s="148" t="s">
        <v>135</v>
      </c>
      <c r="G749" s="148">
        <v>1</v>
      </c>
      <c r="H749" s="61" t="s">
        <v>39</v>
      </c>
      <c r="I749" s="61" t="s">
        <v>984</v>
      </c>
      <c r="J749" s="61" t="s">
        <v>919</v>
      </c>
      <c r="K749" s="61" t="s">
        <v>126</v>
      </c>
      <c r="L749" s="159"/>
      <c r="M749" s="48"/>
      <c r="N749" s="123"/>
    </row>
    <row r="750" spans="1:14" customFormat="1" x14ac:dyDescent="0.55000000000000004">
      <c r="A750" s="105" t="s">
        <v>3336</v>
      </c>
      <c r="B750" s="61" t="s">
        <v>153</v>
      </c>
      <c r="C750" s="61" t="s">
        <v>127</v>
      </c>
      <c r="D750" s="61" t="s">
        <v>2994</v>
      </c>
      <c r="E750" s="119">
        <v>1.0253441299999999</v>
      </c>
      <c r="F750" s="148" t="s">
        <v>138</v>
      </c>
      <c r="G750" s="148">
        <v>1</v>
      </c>
      <c r="H750" s="61" t="s">
        <v>39</v>
      </c>
      <c r="I750" s="61" t="s">
        <v>984</v>
      </c>
      <c r="J750" s="61" t="s">
        <v>919</v>
      </c>
      <c r="K750" s="61" t="s">
        <v>126</v>
      </c>
      <c r="L750" s="159"/>
      <c r="M750" s="48"/>
      <c r="N750" s="123"/>
    </row>
    <row r="751" spans="1:14" customFormat="1" x14ac:dyDescent="0.55000000000000004">
      <c r="A751" s="105" t="s">
        <v>3336</v>
      </c>
      <c r="B751" s="61" t="s">
        <v>153</v>
      </c>
      <c r="C751" s="61" t="s">
        <v>127</v>
      </c>
      <c r="D751" s="61" t="s">
        <v>2994</v>
      </c>
      <c r="E751" s="119">
        <v>1.363190283</v>
      </c>
      <c r="F751" s="148" t="s">
        <v>138</v>
      </c>
      <c r="G751" s="148">
        <v>1</v>
      </c>
      <c r="H751" s="61" t="s">
        <v>39</v>
      </c>
      <c r="I751" s="61" t="s">
        <v>985</v>
      </c>
      <c r="J751" s="61" t="s">
        <v>919</v>
      </c>
      <c r="K751" s="61" t="s">
        <v>126</v>
      </c>
      <c r="L751" s="159"/>
      <c r="M751" s="48"/>
      <c r="N751" s="123"/>
    </row>
    <row r="752" spans="1:14" customFormat="1" x14ac:dyDescent="0.55000000000000004">
      <c r="A752" s="105" t="s">
        <v>3336</v>
      </c>
      <c r="B752" s="61" t="s">
        <v>153</v>
      </c>
      <c r="C752" s="61" t="s">
        <v>127</v>
      </c>
      <c r="D752" s="61" t="s">
        <v>2994</v>
      </c>
      <c r="E752" s="119">
        <v>0.44048583000000002</v>
      </c>
      <c r="F752" s="148" t="s">
        <v>138</v>
      </c>
      <c r="G752" s="148">
        <v>1</v>
      </c>
      <c r="H752" s="61" t="s">
        <v>39</v>
      </c>
      <c r="I752" s="61" t="s">
        <v>984</v>
      </c>
      <c r="J752" s="61" t="s">
        <v>919</v>
      </c>
      <c r="K752" s="61" t="s">
        <v>126</v>
      </c>
      <c r="L752" s="159"/>
      <c r="M752" s="48"/>
      <c r="N752" s="123"/>
    </row>
    <row r="753" spans="1:14" customFormat="1" x14ac:dyDescent="0.55000000000000004">
      <c r="A753" s="105" t="s">
        <v>3336</v>
      </c>
      <c r="B753" s="61" t="s">
        <v>153</v>
      </c>
      <c r="C753" s="61" t="s">
        <v>127</v>
      </c>
      <c r="D753" s="61" t="s">
        <v>2994</v>
      </c>
      <c r="E753" s="119">
        <v>2.829020243</v>
      </c>
      <c r="F753" s="148" t="s">
        <v>138</v>
      </c>
      <c r="G753" s="148">
        <v>1</v>
      </c>
      <c r="H753" s="61" t="s">
        <v>39</v>
      </c>
      <c r="I753" s="61"/>
      <c r="J753" s="61" t="s">
        <v>919</v>
      </c>
      <c r="K753" s="61" t="s">
        <v>126</v>
      </c>
      <c r="L753" s="159"/>
      <c r="M753" s="48"/>
      <c r="N753" s="123"/>
    </row>
    <row r="754" spans="1:14" customFormat="1" x14ac:dyDescent="0.55000000000000004">
      <c r="A754" s="105" t="s">
        <v>3336</v>
      </c>
      <c r="B754" s="61" t="s">
        <v>160</v>
      </c>
      <c r="C754" s="61" t="s">
        <v>497</v>
      </c>
      <c r="D754" s="61" t="s">
        <v>3288</v>
      </c>
      <c r="E754" s="119">
        <v>2.8346153999999998E-2</v>
      </c>
      <c r="F754" s="148" t="s">
        <v>135</v>
      </c>
      <c r="G754" s="148">
        <v>1</v>
      </c>
      <c r="H754" s="61" t="s">
        <v>39</v>
      </c>
      <c r="I754" s="61" t="s">
        <v>959</v>
      </c>
      <c r="J754" s="61" t="s">
        <v>924</v>
      </c>
      <c r="K754" s="61" t="s">
        <v>126</v>
      </c>
      <c r="L754" s="159"/>
      <c r="M754" s="48"/>
      <c r="N754" s="123"/>
    </row>
    <row r="755" spans="1:14" customFormat="1" x14ac:dyDescent="0.55000000000000004">
      <c r="A755" s="105" t="s">
        <v>3337</v>
      </c>
      <c r="B755" s="61" t="s">
        <v>948</v>
      </c>
      <c r="C755" s="61" t="s">
        <v>121</v>
      </c>
      <c r="D755" s="61" t="s">
        <v>3288</v>
      </c>
      <c r="E755" s="119">
        <v>1</v>
      </c>
      <c r="F755" s="148" t="s">
        <v>135</v>
      </c>
      <c r="G755" s="148">
        <v>1</v>
      </c>
      <c r="H755" s="61" t="s">
        <v>39</v>
      </c>
      <c r="I755" s="61"/>
      <c r="J755" s="61"/>
      <c r="K755" s="61"/>
      <c r="L755" s="159">
        <v>271114</v>
      </c>
      <c r="M755" s="48"/>
      <c r="N755" s="123"/>
    </row>
    <row r="756" spans="1:14" customFormat="1" x14ac:dyDescent="0.55000000000000004">
      <c r="A756" s="105" t="s">
        <v>3337</v>
      </c>
      <c r="B756" s="61" t="s">
        <v>921</v>
      </c>
      <c r="C756" s="61" t="s">
        <v>125</v>
      </c>
      <c r="D756" s="61" t="s">
        <v>3288</v>
      </c>
      <c r="E756" s="119">
        <v>1.3220141700000001</v>
      </c>
      <c r="F756" s="148" t="s">
        <v>135</v>
      </c>
      <c r="G756" s="148">
        <v>1</v>
      </c>
      <c r="H756" s="61" t="s">
        <v>39</v>
      </c>
      <c r="I756" s="61" t="s">
        <v>988</v>
      </c>
      <c r="J756" s="61" t="s">
        <v>919</v>
      </c>
      <c r="K756" s="61" t="s">
        <v>126</v>
      </c>
      <c r="L756" s="159"/>
      <c r="M756" s="48"/>
      <c r="N756" s="123"/>
    </row>
    <row r="757" spans="1:14" customFormat="1" x14ac:dyDescent="0.55000000000000004">
      <c r="A757" s="105" t="s">
        <v>3337</v>
      </c>
      <c r="B757" s="61" t="s">
        <v>922</v>
      </c>
      <c r="C757" s="61" t="s">
        <v>125</v>
      </c>
      <c r="D757" s="61" t="s">
        <v>3288</v>
      </c>
      <c r="E757" s="119">
        <v>1.0576113359999999</v>
      </c>
      <c r="F757" s="148" t="s">
        <v>135</v>
      </c>
      <c r="G757" s="148">
        <v>1</v>
      </c>
      <c r="H757" s="61" t="s">
        <v>39</v>
      </c>
      <c r="I757" s="61" t="s">
        <v>988</v>
      </c>
      <c r="J757" s="61" t="s">
        <v>919</v>
      </c>
      <c r="K757" s="61" t="s">
        <v>126</v>
      </c>
      <c r="L757" s="159"/>
      <c r="M757" s="48"/>
      <c r="N757" s="123"/>
    </row>
    <row r="758" spans="1:14" customFormat="1" x14ac:dyDescent="0.55000000000000004">
      <c r="A758" s="105" t="s">
        <v>3337</v>
      </c>
      <c r="B758" s="61" t="s">
        <v>213</v>
      </c>
      <c r="C758" s="61" t="s">
        <v>125</v>
      </c>
      <c r="D758" s="61" t="s">
        <v>3288</v>
      </c>
      <c r="E758" s="119">
        <v>6.4777327999999995E-2</v>
      </c>
      <c r="F758" s="148" t="s">
        <v>135</v>
      </c>
      <c r="G758" s="148">
        <v>1</v>
      </c>
      <c r="H758" s="61" t="s">
        <v>39</v>
      </c>
      <c r="I758" s="61" t="s">
        <v>987</v>
      </c>
      <c r="J758" s="61" t="s">
        <v>919</v>
      </c>
      <c r="K758" s="61" t="s">
        <v>126</v>
      </c>
      <c r="L758" s="159"/>
      <c r="M758" s="48"/>
      <c r="N758" s="123"/>
    </row>
    <row r="759" spans="1:14" customFormat="1" x14ac:dyDescent="0.55000000000000004">
      <c r="A759" s="105" t="s">
        <v>3337</v>
      </c>
      <c r="B759" s="61" t="s">
        <v>153</v>
      </c>
      <c r="C759" s="61" t="s">
        <v>127</v>
      </c>
      <c r="D759" s="61" t="s">
        <v>2994</v>
      </c>
      <c r="E759" s="119">
        <v>0.46537651800000002</v>
      </c>
      <c r="F759" s="148" t="s">
        <v>138</v>
      </c>
      <c r="G759" s="148">
        <v>1</v>
      </c>
      <c r="H759" s="61" t="s">
        <v>39</v>
      </c>
      <c r="I759" s="61" t="s">
        <v>988</v>
      </c>
      <c r="J759" s="61" t="s">
        <v>919</v>
      </c>
      <c r="K759" s="61" t="s">
        <v>126</v>
      </c>
      <c r="L759" s="159"/>
      <c r="M759" s="48"/>
      <c r="N759" s="123"/>
    </row>
    <row r="760" spans="1:14" customFormat="1" x14ac:dyDescent="0.55000000000000004">
      <c r="A760" s="105" t="s">
        <v>3337</v>
      </c>
      <c r="B760" s="61" t="s">
        <v>153</v>
      </c>
      <c r="C760" s="61" t="s">
        <v>127</v>
      </c>
      <c r="D760" s="61" t="s">
        <v>2994</v>
      </c>
      <c r="E760" s="119">
        <v>8.1201133599999995</v>
      </c>
      <c r="F760" s="148" t="s">
        <v>138</v>
      </c>
      <c r="G760" s="148">
        <v>1</v>
      </c>
      <c r="H760" s="61" t="s">
        <v>39</v>
      </c>
      <c r="I760" s="61" t="s">
        <v>953</v>
      </c>
      <c r="J760" s="61" t="s">
        <v>919</v>
      </c>
      <c r="K760" s="61" t="s">
        <v>126</v>
      </c>
      <c r="L760" s="159"/>
      <c r="M760" s="48"/>
      <c r="N760" s="123"/>
    </row>
    <row r="761" spans="1:14" customFormat="1" x14ac:dyDescent="0.55000000000000004">
      <c r="A761" s="105" t="s">
        <v>3337</v>
      </c>
      <c r="B761" s="61" t="s">
        <v>153</v>
      </c>
      <c r="C761" s="61" t="s">
        <v>127</v>
      </c>
      <c r="D761" s="61" t="s">
        <v>2994</v>
      </c>
      <c r="E761" s="119">
        <v>1.5591093119999999</v>
      </c>
      <c r="F761" s="148" t="s">
        <v>138</v>
      </c>
      <c r="G761" s="148">
        <v>1</v>
      </c>
      <c r="H761" s="61" t="s">
        <v>39</v>
      </c>
      <c r="I761" s="61" t="s">
        <v>987</v>
      </c>
      <c r="J761" s="61" t="s">
        <v>919</v>
      </c>
      <c r="K761" s="61" t="s">
        <v>126</v>
      </c>
      <c r="L761" s="159"/>
      <c r="M761" s="48"/>
      <c r="N761" s="123"/>
    </row>
    <row r="762" spans="1:14" customFormat="1" x14ac:dyDescent="0.55000000000000004">
      <c r="A762" s="105" t="s">
        <v>3337</v>
      </c>
      <c r="B762" s="61" t="s">
        <v>153</v>
      </c>
      <c r="C762" s="61" t="s">
        <v>127</v>
      </c>
      <c r="D762" s="61" t="s">
        <v>2994</v>
      </c>
      <c r="E762" s="119">
        <v>10.144599189999999</v>
      </c>
      <c r="F762" s="148" t="s">
        <v>138</v>
      </c>
      <c r="G762" s="148">
        <v>1</v>
      </c>
      <c r="H762" s="61" t="s">
        <v>39</v>
      </c>
      <c r="I762" s="61"/>
      <c r="J762" s="61" t="s">
        <v>919</v>
      </c>
      <c r="K762" s="61" t="s">
        <v>126</v>
      </c>
      <c r="L762" s="159"/>
      <c r="M762" s="48"/>
      <c r="N762" s="123"/>
    </row>
    <row r="763" spans="1:14" customFormat="1" x14ac:dyDescent="0.55000000000000004">
      <c r="A763" s="105" t="s">
        <v>3337</v>
      </c>
      <c r="B763" s="61" t="s">
        <v>334</v>
      </c>
      <c r="C763" s="61" t="s">
        <v>125</v>
      </c>
      <c r="D763" s="61" t="s">
        <v>3288</v>
      </c>
      <c r="E763" s="119">
        <v>1.9190282999999999E-2</v>
      </c>
      <c r="F763" s="148" t="s">
        <v>135</v>
      </c>
      <c r="G763" s="148">
        <v>1</v>
      </c>
      <c r="H763" s="61" t="s">
        <v>39</v>
      </c>
      <c r="I763" s="61"/>
      <c r="J763" s="61" t="s">
        <v>919</v>
      </c>
      <c r="K763" s="61" t="s">
        <v>126</v>
      </c>
      <c r="L763" s="159"/>
      <c r="M763" s="48"/>
      <c r="N763" s="123"/>
    </row>
    <row r="764" spans="1:14" customFormat="1" x14ac:dyDescent="0.55000000000000004">
      <c r="A764" s="105" t="s">
        <v>3338</v>
      </c>
      <c r="B764" s="61" t="s">
        <v>948</v>
      </c>
      <c r="C764" s="61" t="s">
        <v>121</v>
      </c>
      <c r="D764" s="61" t="s">
        <v>3288</v>
      </c>
      <c r="E764" s="119">
        <v>1</v>
      </c>
      <c r="F764" s="148" t="s">
        <v>135</v>
      </c>
      <c r="G764" s="148">
        <v>1</v>
      </c>
      <c r="H764" s="61" t="s">
        <v>39</v>
      </c>
      <c r="I764" s="61"/>
      <c r="J764" s="61"/>
      <c r="K764" s="61"/>
      <c r="L764" s="159">
        <v>271114</v>
      </c>
      <c r="M764" s="48"/>
      <c r="N764" s="123"/>
    </row>
    <row r="765" spans="1:14" customFormat="1" x14ac:dyDescent="0.55000000000000004">
      <c r="A765" s="105" t="s">
        <v>3338</v>
      </c>
      <c r="B765" s="61" t="s">
        <v>921</v>
      </c>
      <c r="C765" s="61" t="s">
        <v>125</v>
      </c>
      <c r="D765" s="61" t="s">
        <v>3288</v>
      </c>
      <c r="E765" s="119">
        <v>1.3220141700000001</v>
      </c>
      <c r="F765" s="148" t="s">
        <v>135</v>
      </c>
      <c r="G765" s="148">
        <v>1</v>
      </c>
      <c r="H765" s="61" t="s">
        <v>39</v>
      </c>
      <c r="I765" s="61" t="s">
        <v>994</v>
      </c>
      <c r="J765" s="61" t="s">
        <v>919</v>
      </c>
      <c r="K765" s="61" t="s">
        <v>126</v>
      </c>
      <c r="L765" s="159"/>
      <c r="M765" s="48"/>
      <c r="N765" s="123"/>
    </row>
    <row r="766" spans="1:14" customFormat="1" x14ac:dyDescent="0.55000000000000004">
      <c r="A766" s="105" t="s">
        <v>3338</v>
      </c>
      <c r="B766" s="61" t="s">
        <v>922</v>
      </c>
      <c r="C766" s="61" t="s">
        <v>125</v>
      </c>
      <c r="D766" s="61" t="s">
        <v>3288</v>
      </c>
      <c r="E766" s="119">
        <v>1.0576113359999999</v>
      </c>
      <c r="F766" s="148" t="s">
        <v>135</v>
      </c>
      <c r="G766" s="148">
        <v>1</v>
      </c>
      <c r="H766" s="61" t="s">
        <v>39</v>
      </c>
      <c r="I766" s="61" t="s">
        <v>994</v>
      </c>
      <c r="J766" s="61" t="s">
        <v>919</v>
      </c>
      <c r="K766" s="61" t="s">
        <v>126</v>
      </c>
      <c r="L766" s="159"/>
      <c r="M766" s="48"/>
      <c r="N766" s="123"/>
    </row>
    <row r="767" spans="1:14" customFormat="1" x14ac:dyDescent="0.55000000000000004">
      <c r="A767" s="105" t="s">
        <v>3338</v>
      </c>
      <c r="B767" s="61" t="s">
        <v>213</v>
      </c>
      <c r="C767" s="61" t="s">
        <v>125</v>
      </c>
      <c r="D767" s="61" t="s">
        <v>3288</v>
      </c>
      <c r="E767" s="119">
        <v>6.4777327999999995E-2</v>
      </c>
      <c r="F767" s="148" t="s">
        <v>135</v>
      </c>
      <c r="G767" s="148">
        <v>1</v>
      </c>
      <c r="H767" s="61" t="s">
        <v>39</v>
      </c>
      <c r="I767" s="61" t="s">
        <v>994</v>
      </c>
      <c r="J767" s="61" t="s">
        <v>919</v>
      </c>
      <c r="K767" s="61" t="s">
        <v>126</v>
      </c>
      <c r="L767" s="159"/>
      <c r="M767" s="48"/>
      <c r="N767" s="123"/>
    </row>
    <row r="768" spans="1:14" customFormat="1" x14ac:dyDescent="0.55000000000000004">
      <c r="A768" s="105" t="s">
        <v>3338</v>
      </c>
      <c r="B768" s="61" t="s">
        <v>153</v>
      </c>
      <c r="C768" s="61" t="s">
        <v>127</v>
      </c>
      <c r="D768" s="61" t="s">
        <v>2994</v>
      </c>
      <c r="E768" s="119">
        <v>0.46537651800000002</v>
      </c>
      <c r="F768" s="148" t="s">
        <v>138</v>
      </c>
      <c r="G768" s="148">
        <v>1</v>
      </c>
      <c r="H768" s="61" t="s">
        <v>39</v>
      </c>
      <c r="I768" s="61" t="s">
        <v>994</v>
      </c>
      <c r="J768" s="61" t="s">
        <v>919</v>
      </c>
      <c r="K768" s="61" t="s">
        <v>126</v>
      </c>
      <c r="L768" s="159"/>
      <c r="M768" s="48"/>
      <c r="N768" s="123"/>
    </row>
    <row r="769" spans="1:14" customFormat="1" x14ac:dyDescent="0.55000000000000004">
      <c r="A769" s="105" t="s">
        <v>3338</v>
      </c>
      <c r="B769" s="61" t="s">
        <v>153</v>
      </c>
      <c r="C769" s="61" t="s">
        <v>127</v>
      </c>
      <c r="D769" s="61" t="s">
        <v>2994</v>
      </c>
      <c r="E769" s="119">
        <v>8.1201133599999995</v>
      </c>
      <c r="F769" s="148" t="s">
        <v>138</v>
      </c>
      <c r="G769" s="148">
        <v>1</v>
      </c>
      <c r="H769" s="61" t="s">
        <v>39</v>
      </c>
      <c r="I769" s="61" t="s">
        <v>994</v>
      </c>
      <c r="J769" s="61" t="s">
        <v>919</v>
      </c>
      <c r="K769" s="61" t="s">
        <v>126</v>
      </c>
      <c r="L769" s="159"/>
      <c r="M769" s="48"/>
      <c r="N769" s="123"/>
    </row>
    <row r="770" spans="1:14" customFormat="1" x14ac:dyDescent="0.55000000000000004">
      <c r="A770" s="105" t="s">
        <v>3338</v>
      </c>
      <c r="B770" s="61" t="s">
        <v>153</v>
      </c>
      <c r="C770" s="61" t="s">
        <v>127</v>
      </c>
      <c r="D770" s="61" t="s">
        <v>2994</v>
      </c>
      <c r="E770" s="119">
        <v>1.5591093119999999</v>
      </c>
      <c r="F770" s="148" t="s">
        <v>138</v>
      </c>
      <c r="G770" s="148">
        <v>1</v>
      </c>
      <c r="H770" s="61" t="s">
        <v>39</v>
      </c>
      <c r="I770" s="61" t="s">
        <v>994</v>
      </c>
      <c r="J770" s="61" t="s">
        <v>919</v>
      </c>
      <c r="K770" s="61" t="s">
        <v>126</v>
      </c>
      <c r="L770" s="159"/>
      <c r="M770" s="48"/>
      <c r="N770" s="123"/>
    </row>
    <row r="771" spans="1:14" customFormat="1" x14ac:dyDescent="0.55000000000000004">
      <c r="A771" s="105" t="s">
        <v>3338</v>
      </c>
      <c r="B771" s="61" t="s">
        <v>153</v>
      </c>
      <c r="C771" s="61" t="s">
        <v>127</v>
      </c>
      <c r="D771" s="61" t="s">
        <v>2994</v>
      </c>
      <c r="E771" s="119">
        <v>1.363190283</v>
      </c>
      <c r="F771" s="148" t="s">
        <v>138</v>
      </c>
      <c r="G771" s="148">
        <v>1</v>
      </c>
      <c r="H771" s="61" t="s">
        <v>39</v>
      </c>
      <c r="I771" s="61" t="s">
        <v>989</v>
      </c>
      <c r="J771" s="61" t="s">
        <v>919</v>
      </c>
      <c r="K771" s="61" t="s">
        <v>126</v>
      </c>
      <c r="L771" s="159"/>
      <c r="M771" s="48"/>
      <c r="N771" s="123"/>
    </row>
    <row r="772" spans="1:14" customFormat="1" x14ac:dyDescent="0.55000000000000004">
      <c r="A772" s="105" t="s">
        <v>3338</v>
      </c>
      <c r="B772" s="61" t="s">
        <v>153</v>
      </c>
      <c r="C772" s="61" t="s">
        <v>127</v>
      </c>
      <c r="D772" s="61" t="s">
        <v>2994</v>
      </c>
      <c r="E772" s="119">
        <v>11.507789470000001</v>
      </c>
      <c r="F772" s="148" t="s">
        <v>138</v>
      </c>
      <c r="G772" s="148">
        <v>1</v>
      </c>
      <c r="H772" s="61" t="s">
        <v>39</v>
      </c>
      <c r="I772" s="61"/>
      <c r="J772" s="61" t="s">
        <v>919</v>
      </c>
      <c r="K772" s="61" t="s">
        <v>126</v>
      </c>
      <c r="L772" s="159"/>
      <c r="M772" s="48"/>
      <c r="N772" s="123"/>
    </row>
    <row r="773" spans="1:14" customFormat="1" x14ac:dyDescent="0.55000000000000004">
      <c r="A773" s="105" t="s">
        <v>3339</v>
      </c>
      <c r="B773" s="61" t="s">
        <v>948</v>
      </c>
      <c r="C773" s="61" t="s">
        <v>121</v>
      </c>
      <c r="D773" s="61" t="s">
        <v>3288</v>
      </c>
      <c r="E773" s="119">
        <v>1</v>
      </c>
      <c r="F773" s="148" t="s">
        <v>135</v>
      </c>
      <c r="G773" s="148">
        <v>1</v>
      </c>
      <c r="H773" s="61" t="s">
        <v>39</v>
      </c>
      <c r="I773" s="61"/>
      <c r="J773" s="61"/>
      <c r="K773" s="61"/>
      <c r="L773" s="159">
        <v>271114</v>
      </c>
      <c r="M773" s="48"/>
      <c r="N773" s="123"/>
    </row>
    <row r="774" spans="1:14" customFormat="1" x14ac:dyDescent="0.55000000000000004">
      <c r="A774" s="105" t="s">
        <v>3339</v>
      </c>
      <c r="B774" s="61" t="s">
        <v>921</v>
      </c>
      <c r="C774" s="61" t="s">
        <v>125</v>
      </c>
      <c r="D774" s="61" t="s">
        <v>3288</v>
      </c>
      <c r="E774" s="119">
        <v>1.3220141700000001</v>
      </c>
      <c r="F774" s="148" t="s">
        <v>135</v>
      </c>
      <c r="G774" s="148">
        <v>1</v>
      </c>
      <c r="H774" s="61" t="s">
        <v>39</v>
      </c>
      <c r="I774" s="61" t="s">
        <v>992</v>
      </c>
      <c r="J774" s="61" t="s">
        <v>919</v>
      </c>
      <c r="K774" s="61" t="s">
        <v>126</v>
      </c>
      <c r="L774" s="159"/>
      <c r="M774" s="48"/>
      <c r="N774" s="123"/>
    </row>
    <row r="775" spans="1:14" customFormat="1" x14ac:dyDescent="0.55000000000000004">
      <c r="A775" s="105" t="s">
        <v>3339</v>
      </c>
      <c r="B775" s="61" t="s">
        <v>922</v>
      </c>
      <c r="C775" s="61" t="s">
        <v>125</v>
      </c>
      <c r="D775" s="61" t="s">
        <v>3288</v>
      </c>
      <c r="E775" s="119">
        <v>1.0576113359999999</v>
      </c>
      <c r="F775" s="148" t="s">
        <v>135</v>
      </c>
      <c r="G775" s="148">
        <v>1</v>
      </c>
      <c r="H775" s="61" t="s">
        <v>39</v>
      </c>
      <c r="I775" s="61" t="s">
        <v>992</v>
      </c>
      <c r="J775" s="61" t="s">
        <v>919</v>
      </c>
      <c r="K775" s="61" t="s">
        <v>126</v>
      </c>
      <c r="L775" s="159"/>
      <c r="M775" s="48"/>
      <c r="N775" s="123"/>
    </row>
    <row r="776" spans="1:14" customFormat="1" x14ac:dyDescent="0.55000000000000004">
      <c r="A776" s="105" t="s">
        <v>3339</v>
      </c>
      <c r="B776" s="61" t="s">
        <v>213</v>
      </c>
      <c r="C776" s="61" t="s">
        <v>125</v>
      </c>
      <c r="D776" s="61" t="s">
        <v>3288</v>
      </c>
      <c r="E776" s="119">
        <v>6.4777327999999995E-2</v>
      </c>
      <c r="F776" s="148" t="s">
        <v>135</v>
      </c>
      <c r="G776" s="148">
        <v>1</v>
      </c>
      <c r="H776" s="61" t="s">
        <v>39</v>
      </c>
      <c r="I776" s="61" t="s">
        <v>987</v>
      </c>
      <c r="J776" s="61" t="s">
        <v>919</v>
      </c>
      <c r="K776" s="61" t="s">
        <v>126</v>
      </c>
      <c r="L776" s="159"/>
      <c r="M776" s="48"/>
      <c r="N776" s="123"/>
    </row>
    <row r="777" spans="1:14" customFormat="1" x14ac:dyDescent="0.55000000000000004">
      <c r="A777" s="105" t="s">
        <v>3339</v>
      </c>
      <c r="B777" s="61" t="s">
        <v>334</v>
      </c>
      <c r="C777" s="61" t="s">
        <v>125</v>
      </c>
      <c r="D777" s="61" t="s">
        <v>3288</v>
      </c>
      <c r="E777" s="119">
        <v>6.4736842000000003E-2</v>
      </c>
      <c r="F777" s="148" t="s">
        <v>135</v>
      </c>
      <c r="G777" s="148">
        <v>1</v>
      </c>
      <c r="H777" s="61" t="s">
        <v>39</v>
      </c>
      <c r="I777" s="61" t="s">
        <v>955</v>
      </c>
      <c r="J777" s="61" t="s">
        <v>919</v>
      </c>
      <c r="K777" s="61" t="s">
        <v>126</v>
      </c>
      <c r="L777" s="159"/>
      <c r="M777" s="48"/>
      <c r="N777" s="123"/>
    </row>
    <row r="778" spans="1:14" customFormat="1" x14ac:dyDescent="0.55000000000000004">
      <c r="A778" s="105" t="s">
        <v>3339</v>
      </c>
      <c r="B778" s="61" t="s">
        <v>153</v>
      </c>
      <c r="C778" s="61" t="s">
        <v>127</v>
      </c>
      <c r="D778" s="61" t="s">
        <v>2994</v>
      </c>
      <c r="E778" s="119">
        <v>0.46537651800000002</v>
      </c>
      <c r="F778" s="148" t="s">
        <v>138</v>
      </c>
      <c r="G778" s="148">
        <v>1</v>
      </c>
      <c r="H778" s="61" t="s">
        <v>39</v>
      </c>
      <c r="I778" s="61" t="s">
        <v>988</v>
      </c>
      <c r="J778" s="61" t="s">
        <v>919</v>
      </c>
      <c r="K778" s="61" t="s">
        <v>126</v>
      </c>
      <c r="L778" s="159"/>
      <c r="M778" s="48"/>
      <c r="N778" s="123"/>
    </row>
    <row r="779" spans="1:14" customFormat="1" x14ac:dyDescent="0.55000000000000004">
      <c r="A779" s="105" t="s">
        <v>3339</v>
      </c>
      <c r="B779" s="61" t="s">
        <v>153</v>
      </c>
      <c r="C779" s="61" t="s">
        <v>127</v>
      </c>
      <c r="D779" s="61" t="s">
        <v>2994</v>
      </c>
      <c r="E779" s="119">
        <v>1.0253441299999999</v>
      </c>
      <c r="F779" s="148" t="s">
        <v>138</v>
      </c>
      <c r="G779" s="148">
        <v>1</v>
      </c>
      <c r="H779" s="61" t="s">
        <v>39</v>
      </c>
      <c r="I779" s="61" t="s">
        <v>988</v>
      </c>
      <c r="J779" s="61" t="s">
        <v>919</v>
      </c>
      <c r="K779" s="61" t="s">
        <v>126</v>
      </c>
      <c r="L779" s="159"/>
      <c r="M779" s="48"/>
      <c r="N779" s="123"/>
    </row>
    <row r="780" spans="1:14" customFormat="1" x14ac:dyDescent="0.55000000000000004">
      <c r="A780" s="105" t="s">
        <v>3339</v>
      </c>
      <c r="B780" s="61" t="s">
        <v>153</v>
      </c>
      <c r="C780" s="61" t="s">
        <v>127</v>
      </c>
      <c r="D780" s="61" t="s">
        <v>2994</v>
      </c>
      <c r="E780" s="119">
        <v>1.5591093119999999</v>
      </c>
      <c r="F780" s="148" t="s">
        <v>138</v>
      </c>
      <c r="G780" s="148">
        <v>1</v>
      </c>
      <c r="H780" s="61" t="s">
        <v>39</v>
      </c>
      <c r="I780" s="61" t="s">
        <v>987</v>
      </c>
      <c r="J780" s="61" t="s">
        <v>919</v>
      </c>
      <c r="K780" s="61" t="s">
        <v>126</v>
      </c>
      <c r="L780" s="159"/>
      <c r="M780" s="48"/>
      <c r="N780" s="123"/>
    </row>
    <row r="781" spans="1:14" customFormat="1" x14ac:dyDescent="0.55000000000000004">
      <c r="A781" s="105" t="s">
        <v>3339</v>
      </c>
      <c r="B781" s="61" t="s">
        <v>153</v>
      </c>
      <c r="C781" s="61" t="s">
        <v>127</v>
      </c>
      <c r="D781" s="61" t="s">
        <v>2994</v>
      </c>
      <c r="E781" s="119">
        <v>3.0498299599999998</v>
      </c>
      <c r="F781" s="148" t="s">
        <v>138</v>
      </c>
      <c r="G781" s="148">
        <v>1</v>
      </c>
      <c r="H781" s="61" t="s">
        <v>39</v>
      </c>
      <c r="I781" s="61"/>
      <c r="J781" s="61" t="s">
        <v>919</v>
      </c>
      <c r="K781" s="61" t="s">
        <v>126</v>
      </c>
      <c r="L781" s="159"/>
      <c r="M781" s="48"/>
      <c r="N781" s="123"/>
    </row>
    <row r="782" spans="1:14" customFormat="1" x14ac:dyDescent="0.55000000000000004">
      <c r="A782" s="105" t="s">
        <v>3339</v>
      </c>
      <c r="B782" s="61" t="s">
        <v>334</v>
      </c>
      <c r="C782" s="61" t="s">
        <v>125</v>
      </c>
      <c r="D782" s="61" t="s">
        <v>3288</v>
      </c>
      <c r="E782" s="119">
        <v>1.9190282999999999E-2</v>
      </c>
      <c r="F782" s="148" t="s">
        <v>135</v>
      </c>
      <c r="G782" s="148">
        <v>1</v>
      </c>
      <c r="H782" s="61" t="s">
        <v>39</v>
      </c>
      <c r="I782" s="61"/>
      <c r="J782" s="61" t="s">
        <v>919</v>
      </c>
      <c r="K782" s="61" t="s">
        <v>126</v>
      </c>
      <c r="L782" s="159"/>
      <c r="M782" s="48"/>
      <c r="N782" s="123"/>
    </row>
    <row r="783" spans="1:14" customFormat="1" x14ac:dyDescent="0.55000000000000004">
      <c r="A783" s="105" t="s">
        <v>3340</v>
      </c>
      <c r="B783" s="61" t="s">
        <v>948</v>
      </c>
      <c r="C783" s="61" t="s">
        <v>121</v>
      </c>
      <c r="D783" s="61" t="s">
        <v>3288</v>
      </c>
      <c r="E783" s="119">
        <v>1</v>
      </c>
      <c r="F783" s="148" t="s">
        <v>135</v>
      </c>
      <c r="G783" s="148">
        <v>1</v>
      </c>
      <c r="H783" s="61" t="s">
        <v>39</v>
      </c>
      <c r="I783" s="61"/>
      <c r="J783" s="61"/>
      <c r="K783" s="61"/>
      <c r="L783" s="159">
        <v>271114</v>
      </c>
      <c r="M783" s="48"/>
      <c r="N783" s="123"/>
    </row>
    <row r="784" spans="1:14" customFormat="1" x14ac:dyDescent="0.55000000000000004">
      <c r="A784" s="105" t="s">
        <v>3340</v>
      </c>
      <c r="B784" s="61" t="s">
        <v>921</v>
      </c>
      <c r="C784" s="61" t="s">
        <v>125</v>
      </c>
      <c r="D784" s="61" t="s">
        <v>3288</v>
      </c>
      <c r="E784" s="119">
        <v>1.3220141700000001</v>
      </c>
      <c r="F784" s="148" t="s">
        <v>135</v>
      </c>
      <c r="G784" s="148">
        <v>1</v>
      </c>
      <c r="H784" s="61" t="s">
        <v>39</v>
      </c>
      <c r="I784" s="61" t="s">
        <v>993</v>
      </c>
      <c r="J784" s="61" t="s">
        <v>919</v>
      </c>
      <c r="K784" s="61" t="s">
        <v>126</v>
      </c>
      <c r="L784" s="159"/>
      <c r="M784" s="48"/>
      <c r="N784" s="123"/>
    </row>
    <row r="785" spans="1:14" customFormat="1" x14ac:dyDescent="0.55000000000000004">
      <c r="A785" s="105" t="s">
        <v>3340</v>
      </c>
      <c r="B785" s="61" t="s">
        <v>922</v>
      </c>
      <c r="C785" s="61" t="s">
        <v>125</v>
      </c>
      <c r="D785" s="61" t="s">
        <v>3288</v>
      </c>
      <c r="E785" s="119">
        <v>1.0576113359999999</v>
      </c>
      <c r="F785" s="148" t="s">
        <v>135</v>
      </c>
      <c r="G785" s="148">
        <v>1</v>
      </c>
      <c r="H785" s="61" t="s">
        <v>39</v>
      </c>
      <c r="I785" s="61" t="s">
        <v>993</v>
      </c>
      <c r="J785" s="61" t="s">
        <v>919</v>
      </c>
      <c r="K785" s="61" t="s">
        <v>126</v>
      </c>
      <c r="L785" s="159"/>
      <c r="M785" s="48"/>
      <c r="N785" s="123"/>
    </row>
    <row r="786" spans="1:14" customFormat="1" x14ac:dyDescent="0.55000000000000004">
      <c r="A786" s="105" t="s">
        <v>3340</v>
      </c>
      <c r="B786" s="61" t="s">
        <v>213</v>
      </c>
      <c r="C786" s="61" t="s">
        <v>125</v>
      </c>
      <c r="D786" s="61" t="s">
        <v>3288</v>
      </c>
      <c r="E786" s="119">
        <v>6.4777327999999995E-2</v>
      </c>
      <c r="F786" s="148" t="s">
        <v>135</v>
      </c>
      <c r="G786" s="148">
        <v>1</v>
      </c>
      <c r="H786" s="61" t="s">
        <v>39</v>
      </c>
      <c r="I786" s="61" t="s">
        <v>993</v>
      </c>
      <c r="J786" s="61" t="s">
        <v>919</v>
      </c>
      <c r="K786" s="61" t="s">
        <v>126</v>
      </c>
      <c r="L786" s="159"/>
      <c r="M786" s="48"/>
      <c r="N786" s="123"/>
    </row>
    <row r="787" spans="1:14" customFormat="1" x14ac:dyDescent="0.55000000000000004">
      <c r="A787" s="105" t="s">
        <v>3340</v>
      </c>
      <c r="B787" s="61" t="s">
        <v>334</v>
      </c>
      <c r="C787" s="61" t="s">
        <v>125</v>
      </c>
      <c r="D787" s="61" t="s">
        <v>3288</v>
      </c>
      <c r="E787" s="119">
        <v>6.4736842000000003E-2</v>
      </c>
      <c r="F787" s="148" t="s">
        <v>135</v>
      </c>
      <c r="G787" s="148">
        <v>1</v>
      </c>
      <c r="H787" s="61" t="s">
        <v>39</v>
      </c>
      <c r="I787" s="61" t="s">
        <v>993</v>
      </c>
      <c r="J787" s="61" t="s">
        <v>919</v>
      </c>
      <c r="K787" s="61" t="s">
        <v>126</v>
      </c>
      <c r="L787" s="159"/>
      <c r="M787" s="48"/>
      <c r="N787" s="123"/>
    </row>
    <row r="788" spans="1:14" customFormat="1" x14ac:dyDescent="0.55000000000000004">
      <c r="A788" s="105" t="s">
        <v>3340</v>
      </c>
      <c r="B788" s="61" t="s">
        <v>153</v>
      </c>
      <c r="C788" s="61" t="s">
        <v>127</v>
      </c>
      <c r="D788" s="61" t="s">
        <v>2994</v>
      </c>
      <c r="E788" s="119">
        <v>0.46537651800000002</v>
      </c>
      <c r="F788" s="148" t="s">
        <v>138</v>
      </c>
      <c r="G788" s="148">
        <v>1</v>
      </c>
      <c r="H788" s="61" t="s">
        <v>39</v>
      </c>
      <c r="I788" s="61" t="s">
        <v>993</v>
      </c>
      <c r="J788" s="61" t="s">
        <v>919</v>
      </c>
      <c r="K788" s="61" t="s">
        <v>126</v>
      </c>
      <c r="L788" s="159"/>
      <c r="M788" s="48"/>
      <c r="N788" s="123"/>
    </row>
    <row r="789" spans="1:14" customFormat="1" x14ac:dyDescent="0.55000000000000004">
      <c r="A789" s="105" t="s">
        <v>3340</v>
      </c>
      <c r="B789" s="61" t="s">
        <v>153</v>
      </c>
      <c r="C789" s="61" t="s">
        <v>127</v>
      </c>
      <c r="D789" s="61" t="s">
        <v>2994</v>
      </c>
      <c r="E789" s="119">
        <v>1.0253441299999999</v>
      </c>
      <c r="F789" s="148" t="s">
        <v>138</v>
      </c>
      <c r="G789" s="148">
        <v>1</v>
      </c>
      <c r="H789" s="61" t="s">
        <v>39</v>
      </c>
      <c r="I789" s="61" t="s">
        <v>993</v>
      </c>
      <c r="J789" s="61" t="s">
        <v>919</v>
      </c>
      <c r="K789" s="61" t="s">
        <v>126</v>
      </c>
      <c r="L789" s="159"/>
      <c r="M789" s="48"/>
      <c r="N789" s="123"/>
    </row>
    <row r="790" spans="1:14" customFormat="1" x14ac:dyDescent="0.55000000000000004">
      <c r="A790" s="105" t="s">
        <v>3340</v>
      </c>
      <c r="B790" s="61" t="s">
        <v>153</v>
      </c>
      <c r="C790" s="61" t="s">
        <v>127</v>
      </c>
      <c r="D790" s="61" t="s">
        <v>2994</v>
      </c>
      <c r="E790" s="119">
        <v>1.5591093119999999</v>
      </c>
      <c r="F790" s="148" t="s">
        <v>138</v>
      </c>
      <c r="G790" s="148">
        <v>1</v>
      </c>
      <c r="H790" s="61" t="s">
        <v>39</v>
      </c>
      <c r="I790" s="61" t="s">
        <v>993</v>
      </c>
      <c r="J790" s="61" t="s">
        <v>919</v>
      </c>
      <c r="K790" s="61" t="s">
        <v>126</v>
      </c>
      <c r="L790" s="159"/>
      <c r="M790" s="48"/>
      <c r="N790" s="123"/>
    </row>
    <row r="791" spans="1:14" customFormat="1" x14ac:dyDescent="0.55000000000000004">
      <c r="A791" s="105" t="s">
        <v>3340</v>
      </c>
      <c r="B791" s="61" t="s">
        <v>153</v>
      </c>
      <c r="C791" s="61" t="s">
        <v>127</v>
      </c>
      <c r="D791" s="61" t="s">
        <v>2994</v>
      </c>
      <c r="E791" s="119">
        <v>1.363190283</v>
      </c>
      <c r="F791" s="148" t="s">
        <v>138</v>
      </c>
      <c r="G791" s="148">
        <v>1</v>
      </c>
      <c r="H791" s="61" t="s">
        <v>39</v>
      </c>
      <c r="I791" s="61" t="s">
        <v>989</v>
      </c>
      <c r="J791" s="61" t="s">
        <v>919</v>
      </c>
      <c r="K791" s="61" t="s">
        <v>126</v>
      </c>
      <c r="L791" s="159"/>
      <c r="M791" s="48"/>
      <c r="N791" s="123"/>
    </row>
    <row r="792" spans="1:14" customFormat="1" x14ac:dyDescent="0.55000000000000004">
      <c r="A792" s="105" t="s">
        <v>3340</v>
      </c>
      <c r="B792" s="61" t="s">
        <v>153</v>
      </c>
      <c r="C792" s="61" t="s">
        <v>127</v>
      </c>
      <c r="D792" s="61" t="s">
        <v>2994</v>
      </c>
      <c r="E792" s="119">
        <v>4.4130202430000001</v>
      </c>
      <c r="F792" s="148" t="s">
        <v>138</v>
      </c>
      <c r="G792" s="148">
        <v>1</v>
      </c>
      <c r="H792" s="61" t="s">
        <v>39</v>
      </c>
      <c r="I792" s="61"/>
      <c r="J792" s="61" t="s">
        <v>919</v>
      </c>
      <c r="K792" s="61" t="s">
        <v>126</v>
      </c>
      <c r="L792" s="159"/>
      <c r="M792" s="48"/>
      <c r="N792" s="123"/>
    </row>
    <row r="793" spans="1:14" customFormat="1" x14ac:dyDescent="0.55000000000000004">
      <c r="A793" s="105" t="s">
        <v>3341</v>
      </c>
      <c r="B793" s="61" t="s">
        <v>948</v>
      </c>
      <c r="C793" s="61" t="s">
        <v>121</v>
      </c>
      <c r="D793" s="61" t="s">
        <v>3288</v>
      </c>
      <c r="E793" s="119">
        <v>1</v>
      </c>
      <c r="F793" s="148" t="s">
        <v>135</v>
      </c>
      <c r="G793" s="148">
        <v>1</v>
      </c>
      <c r="H793" s="61" t="s">
        <v>39</v>
      </c>
      <c r="I793" s="61"/>
      <c r="J793" s="61"/>
      <c r="K793" s="61"/>
      <c r="L793" s="159">
        <v>271114</v>
      </c>
      <c r="M793" s="48"/>
      <c r="N793" s="123"/>
    </row>
    <row r="794" spans="1:14" customFormat="1" x14ac:dyDescent="0.55000000000000004">
      <c r="A794" s="105" t="s">
        <v>3341</v>
      </c>
      <c r="B794" s="61" t="s">
        <v>921</v>
      </c>
      <c r="C794" s="61" t="s">
        <v>125</v>
      </c>
      <c r="D794" s="61" t="s">
        <v>3288</v>
      </c>
      <c r="E794" s="119">
        <v>1.5283400810000001</v>
      </c>
      <c r="F794" s="148" t="s">
        <v>135</v>
      </c>
      <c r="G794" s="148">
        <v>1</v>
      </c>
      <c r="H794" s="61" t="s">
        <v>39</v>
      </c>
      <c r="I794" s="61" t="s">
        <v>963</v>
      </c>
      <c r="J794" s="61" t="s">
        <v>919</v>
      </c>
      <c r="K794" s="61" t="s">
        <v>126</v>
      </c>
      <c r="L794" s="159"/>
      <c r="M794" s="48"/>
      <c r="N794" s="123"/>
    </row>
    <row r="795" spans="1:14" customFormat="1" x14ac:dyDescent="0.55000000000000004">
      <c r="A795" s="105" t="s">
        <v>3341</v>
      </c>
      <c r="B795" s="61" t="s">
        <v>922</v>
      </c>
      <c r="C795" s="61" t="s">
        <v>125</v>
      </c>
      <c r="D795" s="61" t="s">
        <v>3288</v>
      </c>
      <c r="E795" s="119">
        <v>1.222672065</v>
      </c>
      <c r="F795" s="148" t="s">
        <v>135</v>
      </c>
      <c r="G795" s="148">
        <v>1</v>
      </c>
      <c r="H795" s="61" t="s">
        <v>39</v>
      </c>
      <c r="I795" s="61" t="s">
        <v>964</v>
      </c>
      <c r="J795" s="61" t="s">
        <v>919</v>
      </c>
      <c r="K795" s="61" t="s">
        <v>126</v>
      </c>
      <c r="L795" s="159"/>
      <c r="M795" s="48"/>
      <c r="N795" s="123"/>
    </row>
    <row r="796" spans="1:14" customFormat="1" x14ac:dyDescent="0.55000000000000004">
      <c r="A796" s="105" t="s">
        <v>3341</v>
      </c>
      <c r="B796" s="61" t="s">
        <v>923</v>
      </c>
      <c r="C796" s="61" t="s">
        <v>127</v>
      </c>
      <c r="D796" s="61" t="s">
        <v>2994</v>
      </c>
      <c r="E796" s="119">
        <v>8.8663967610000007</v>
      </c>
      <c r="F796" s="148" t="s">
        <v>138</v>
      </c>
      <c r="G796" s="148">
        <v>1</v>
      </c>
      <c r="H796" s="61" t="s">
        <v>39</v>
      </c>
      <c r="I796" s="61" t="s">
        <v>947</v>
      </c>
      <c r="J796" s="61" t="s">
        <v>919</v>
      </c>
      <c r="K796" s="61" t="s">
        <v>126</v>
      </c>
      <c r="L796" s="159"/>
      <c r="M796" s="48"/>
      <c r="N796" s="123"/>
    </row>
    <row r="797" spans="1:14" customFormat="1" x14ac:dyDescent="0.55000000000000004">
      <c r="A797" s="105" t="s">
        <v>3341</v>
      </c>
      <c r="B797" s="61" t="s">
        <v>153</v>
      </c>
      <c r="C797" s="61" t="s">
        <v>127</v>
      </c>
      <c r="D797" s="61" t="s">
        <v>2994</v>
      </c>
      <c r="E797" s="119">
        <v>0.46537651800000002</v>
      </c>
      <c r="F797" s="148" t="s">
        <v>138</v>
      </c>
      <c r="G797" s="148">
        <v>1</v>
      </c>
      <c r="H797" s="61" t="s">
        <v>39</v>
      </c>
      <c r="I797" s="61" t="s">
        <v>965</v>
      </c>
      <c r="J797" s="61" t="s">
        <v>919</v>
      </c>
      <c r="K797" s="61" t="s">
        <v>126</v>
      </c>
      <c r="L797" s="159"/>
      <c r="M797" s="48"/>
      <c r="N797" s="123"/>
    </row>
    <row r="798" spans="1:14" customFormat="1" x14ac:dyDescent="0.55000000000000004">
      <c r="A798" s="105" t="s">
        <v>3341</v>
      </c>
      <c r="B798" s="61" t="s">
        <v>153</v>
      </c>
      <c r="C798" s="61" t="s">
        <v>127</v>
      </c>
      <c r="D798" s="61" t="s">
        <v>2994</v>
      </c>
      <c r="E798" s="119">
        <v>1.0253441299999999</v>
      </c>
      <c r="F798" s="148" t="s">
        <v>138</v>
      </c>
      <c r="G798" s="148">
        <v>1</v>
      </c>
      <c r="H798" s="61" t="s">
        <v>39</v>
      </c>
      <c r="I798" s="61" t="s">
        <v>966</v>
      </c>
      <c r="J798" s="61" t="s">
        <v>919</v>
      </c>
      <c r="K798" s="61" t="s">
        <v>126</v>
      </c>
      <c r="L798" s="159"/>
      <c r="M798" s="48"/>
      <c r="N798" s="123"/>
    </row>
    <row r="799" spans="1:14" customFormat="1" x14ac:dyDescent="0.55000000000000004">
      <c r="A799" s="105" t="s">
        <v>3341</v>
      </c>
      <c r="B799" s="61" t="s">
        <v>153</v>
      </c>
      <c r="C799" s="61" t="s">
        <v>127</v>
      </c>
      <c r="D799" s="61" t="s">
        <v>2994</v>
      </c>
      <c r="E799" s="119">
        <v>1.4907206479999999</v>
      </c>
      <c r="F799" s="148" t="s">
        <v>138</v>
      </c>
      <c r="G799" s="148">
        <v>1</v>
      </c>
      <c r="H799" s="61" t="s">
        <v>39</v>
      </c>
      <c r="I799" s="61" t="s">
        <v>967</v>
      </c>
      <c r="J799" s="61" t="s">
        <v>919</v>
      </c>
      <c r="K799" s="61" t="s">
        <v>126</v>
      </c>
      <c r="L799" s="159"/>
      <c r="M799" s="48"/>
      <c r="N799" s="123"/>
    </row>
    <row r="800" spans="1:14" customFormat="1" x14ac:dyDescent="0.55000000000000004">
      <c r="A800" s="105" t="s">
        <v>3341</v>
      </c>
      <c r="B800" s="61" t="s">
        <v>160</v>
      </c>
      <c r="C800" s="61" t="s">
        <v>497</v>
      </c>
      <c r="D800" s="61" t="s">
        <v>3288</v>
      </c>
      <c r="E800" s="119">
        <v>0.59404858299999996</v>
      </c>
      <c r="F800" s="148" t="s">
        <v>135</v>
      </c>
      <c r="G800" s="148">
        <v>1</v>
      </c>
      <c r="H800" s="61" t="s">
        <v>39</v>
      </c>
      <c r="I800" s="61" t="s">
        <v>959</v>
      </c>
      <c r="J800" s="61" t="s">
        <v>924</v>
      </c>
      <c r="K800" s="61" t="s">
        <v>126</v>
      </c>
      <c r="L800" s="159"/>
      <c r="M800" s="48"/>
      <c r="N800" s="123"/>
    </row>
    <row r="801" spans="1:14" customFormat="1" x14ac:dyDescent="0.55000000000000004">
      <c r="A801" s="105" t="s">
        <v>3342</v>
      </c>
      <c r="B801" s="61" t="s">
        <v>948</v>
      </c>
      <c r="C801" s="61" t="s">
        <v>121</v>
      </c>
      <c r="D801" s="61" t="s">
        <v>3288</v>
      </c>
      <c r="E801" s="119">
        <v>1</v>
      </c>
      <c r="F801" s="148" t="s">
        <v>135</v>
      </c>
      <c r="G801" s="148">
        <v>1</v>
      </c>
      <c r="H801" s="61" t="s">
        <v>39</v>
      </c>
      <c r="I801" s="61"/>
      <c r="J801" s="61"/>
      <c r="K801" s="61"/>
      <c r="L801" s="159">
        <v>271114</v>
      </c>
      <c r="M801" s="48"/>
      <c r="N801" s="123"/>
    </row>
    <row r="802" spans="1:14" customFormat="1" x14ac:dyDescent="0.55000000000000004">
      <c r="A802" s="105" t="s">
        <v>3342</v>
      </c>
      <c r="B802" s="61" t="s">
        <v>921</v>
      </c>
      <c r="C802" s="61" t="s">
        <v>125</v>
      </c>
      <c r="D802" s="61" t="s">
        <v>3288</v>
      </c>
      <c r="E802" s="119">
        <v>1.4213562749999999</v>
      </c>
      <c r="F802" s="148" t="s">
        <v>135</v>
      </c>
      <c r="G802" s="148">
        <v>1</v>
      </c>
      <c r="H802" s="61" t="s">
        <v>39</v>
      </c>
      <c r="I802" s="61" t="s">
        <v>986</v>
      </c>
      <c r="J802" s="61" t="s">
        <v>919</v>
      </c>
      <c r="K802" s="61" t="s">
        <v>126</v>
      </c>
      <c r="L802" s="159"/>
      <c r="M802" s="48"/>
      <c r="N802" s="123"/>
    </row>
    <row r="803" spans="1:14" customFormat="1" x14ac:dyDescent="0.55000000000000004">
      <c r="A803" s="105" t="s">
        <v>3342</v>
      </c>
      <c r="B803" s="61" t="s">
        <v>922</v>
      </c>
      <c r="C803" s="61" t="s">
        <v>125</v>
      </c>
      <c r="D803" s="61" t="s">
        <v>3288</v>
      </c>
      <c r="E803" s="119">
        <v>1.13708502</v>
      </c>
      <c r="F803" s="148" t="s">
        <v>135</v>
      </c>
      <c r="G803" s="148">
        <v>1</v>
      </c>
      <c r="H803" s="61" t="s">
        <v>39</v>
      </c>
      <c r="I803" s="61" t="s">
        <v>986</v>
      </c>
      <c r="J803" s="61" t="s">
        <v>919</v>
      </c>
      <c r="K803" s="61" t="s">
        <v>126</v>
      </c>
      <c r="L803" s="159"/>
      <c r="M803" s="48"/>
      <c r="N803" s="123"/>
    </row>
    <row r="804" spans="1:14" customFormat="1" x14ac:dyDescent="0.55000000000000004">
      <c r="A804" s="105" t="s">
        <v>3342</v>
      </c>
      <c r="B804" s="61" t="s">
        <v>213</v>
      </c>
      <c r="C804" s="61" t="s">
        <v>125</v>
      </c>
      <c r="D804" s="61" t="s">
        <v>3288</v>
      </c>
      <c r="E804" s="119">
        <v>6.4777327999999995E-2</v>
      </c>
      <c r="F804" s="148" t="s">
        <v>135</v>
      </c>
      <c r="G804" s="148">
        <v>1</v>
      </c>
      <c r="H804" s="61" t="s">
        <v>39</v>
      </c>
      <c r="I804" s="61" t="s">
        <v>987</v>
      </c>
      <c r="J804" s="61" t="s">
        <v>919</v>
      </c>
      <c r="K804" s="61" t="s">
        <v>126</v>
      </c>
      <c r="L804" s="159"/>
      <c r="M804" s="48"/>
      <c r="N804" s="123"/>
    </row>
    <row r="805" spans="1:14" customFormat="1" x14ac:dyDescent="0.55000000000000004">
      <c r="A805" s="105" t="s">
        <v>3342</v>
      </c>
      <c r="B805" s="61" t="s">
        <v>923</v>
      </c>
      <c r="C805" s="61" t="s">
        <v>127</v>
      </c>
      <c r="D805" s="61" t="s">
        <v>2994</v>
      </c>
      <c r="E805" s="119">
        <v>8.461538462</v>
      </c>
      <c r="F805" s="148" t="s">
        <v>138</v>
      </c>
      <c r="G805" s="148">
        <v>1</v>
      </c>
      <c r="H805" s="61" t="s">
        <v>39</v>
      </c>
      <c r="I805" s="61" t="s">
        <v>988</v>
      </c>
      <c r="J805" s="61" t="s">
        <v>919</v>
      </c>
      <c r="K805" s="61" t="s">
        <v>126</v>
      </c>
      <c r="L805" s="159"/>
      <c r="M805" s="48"/>
      <c r="N805" s="123"/>
    </row>
    <row r="806" spans="1:14" customFormat="1" x14ac:dyDescent="0.55000000000000004">
      <c r="A806" s="105" t="s">
        <v>3342</v>
      </c>
      <c r="B806" s="61" t="s">
        <v>153</v>
      </c>
      <c r="C806" s="61" t="s">
        <v>127</v>
      </c>
      <c r="D806" s="61" t="s">
        <v>2994</v>
      </c>
      <c r="E806" s="119">
        <v>0.46537651800000002</v>
      </c>
      <c r="F806" s="148" t="s">
        <v>138</v>
      </c>
      <c r="G806" s="148">
        <v>1</v>
      </c>
      <c r="H806" s="61" t="s">
        <v>39</v>
      </c>
      <c r="I806" s="61" t="s">
        <v>988</v>
      </c>
      <c r="J806" s="61" t="s">
        <v>919</v>
      </c>
      <c r="K806" s="61" t="s">
        <v>126</v>
      </c>
      <c r="L806" s="159"/>
      <c r="M806" s="48"/>
      <c r="N806" s="123"/>
    </row>
    <row r="807" spans="1:14" customFormat="1" x14ac:dyDescent="0.55000000000000004">
      <c r="A807" s="105" t="s">
        <v>3342</v>
      </c>
      <c r="B807" s="61" t="s">
        <v>153</v>
      </c>
      <c r="C807" s="61" t="s">
        <v>127</v>
      </c>
      <c r="D807" s="61" t="s">
        <v>2994</v>
      </c>
      <c r="E807" s="119">
        <v>1.0253441299999999</v>
      </c>
      <c r="F807" s="148" t="s">
        <v>138</v>
      </c>
      <c r="G807" s="148">
        <v>1</v>
      </c>
      <c r="H807" s="61" t="s">
        <v>39</v>
      </c>
      <c r="I807" s="61" t="s">
        <v>988</v>
      </c>
      <c r="J807" s="61" t="s">
        <v>919</v>
      </c>
      <c r="K807" s="61" t="s">
        <v>126</v>
      </c>
      <c r="L807" s="159"/>
      <c r="M807" s="48"/>
      <c r="N807" s="123"/>
    </row>
    <row r="808" spans="1:14" customFormat="1" x14ac:dyDescent="0.55000000000000004">
      <c r="A808" s="105" t="s">
        <v>3342</v>
      </c>
      <c r="B808" s="61" t="s">
        <v>153</v>
      </c>
      <c r="C808" s="61" t="s">
        <v>127</v>
      </c>
      <c r="D808" s="61" t="s">
        <v>2994</v>
      </c>
      <c r="E808" s="119">
        <v>1.363190283</v>
      </c>
      <c r="F808" s="148" t="s">
        <v>138</v>
      </c>
      <c r="G808" s="148">
        <v>1</v>
      </c>
      <c r="H808" s="61" t="s">
        <v>39</v>
      </c>
      <c r="I808" s="61" t="s">
        <v>989</v>
      </c>
      <c r="J808" s="61" t="s">
        <v>919</v>
      </c>
      <c r="K808" s="61" t="s">
        <v>126</v>
      </c>
      <c r="L808" s="159"/>
      <c r="M808" s="48"/>
      <c r="N808" s="123"/>
    </row>
    <row r="809" spans="1:14" customFormat="1" x14ac:dyDescent="0.55000000000000004">
      <c r="A809" s="105" t="s">
        <v>3342</v>
      </c>
      <c r="B809" s="61" t="s">
        <v>153</v>
      </c>
      <c r="C809" s="61" t="s">
        <v>127</v>
      </c>
      <c r="D809" s="61" t="s">
        <v>2994</v>
      </c>
      <c r="E809" s="119">
        <v>0.44048583000000002</v>
      </c>
      <c r="F809" s="148" t="s">
        <v>138</v>
      </c>
      <c r="G809" s="148">
        <v>1</v>
      </c>
      <c r="H809" s="61" t="s">
        <v>39</v>
      </c>
      <c r="I809" s="61" t="s">
        <v>987</v>
      </c>
      <c r="J809" s="61" t="s">
        <v>919</v>
      </c>
      <c r="K809" s="61" t="s">
        <v>126</v>
      </c>
      <c r="L809" s="159"/>
      <c r="M809" s="48"/>
      <c r="N809" s="123"/>
    </row>
    <row r="810" spans="1:14" customFormat="1" x14ac:dyDescent="0.55000000000000004">
      <c r="A810" s="105" t="s">
        <v>3342</v>
      </c>
      <c r="B810" s="61" t="s">
        <v>153</v>
      </c>
      <c r="C810" s="61" t="s">
        <v>127</v>
      </c>
      <c r="D810" s="61" t="s">
        <v>2994</v>
      </c>
      <c r="E810" s="119">
        <v>3.2943967609999998</v>
      </c>
      <c r="F810" s="148" t="s">
        <v>138</v>
      </c>
      <c r="G810" s="148">
        <v>1</v>
      </c>
      <c r="H810" s="61" t="s">
        <v>39</v>
      </c>
      <c r="I810" s="61"/>
      <c r="J810" s="61" t="s">
        <v>919</v>
      </c>
      <c r="K810" s="61" t="s">
        <v>126</v>
      </c>
      <c r="L810" s="159"/>
      <c r="M810" s="48"/>
      <c r="N810" s="123"/>
    </row>
    <row r="811" spans="1:14" customFormat="1" x14ac:dyDescent="0.55000000000000004">
      <c r="A811" s="105" t="s">
        <v>3342</v>
      </c>
      <c r="B811" s="61" t="s">
        <v>160</v>
      </c>
      <c r="C811" s="61" t="s">
        <v>497</v>
      </c>
      <c r="D811" s="61" t="s">
        <v>3288</v>
      </c>
      <c r="E811" s="119">
        <v>2.8346153999999998E-2</v>
      </c>
      <c r="F811" s="148" t="s">
        <v>135</v>
      </c>
      <c r="G811" s="148">
        <v>1</v>
      </c>
      <c r="H811" s="61" t="s">
        <v>39</v>
      </c>
      <c r="I811" s="61" t="s">
        <v>959</v>
      </c>
      <c r="J811" s="61" t="s">
        <v>924</v>
      </c>
      <c r="K811" s="61" t="s">
        <v>126</v>
      </c>
      <c r="L811" s="159"/>
      <c r="M811" s="48"/>
      <c r="N811" s="123"/>
    </row>
    <row r="812" spans="1:14" customFormat="1" x14ac:dyDescent="0.55000000000000004">
      <c r="A812" s="105" t="s">
        <v>3343</v>
      </c>
      <c r="B812" s="61" t="s">
        <v>920</v>
      </c>
      <c r="C812" s="61" t="s">
        <v>121</v>
      </c>
      <c r="D812" s="61" t="s">
        <v>3288</v>
      </c>
      <c r="E812" s="119">
        <v>1</v>
      </c>
      <c r="F812" s="148" t="s">
        <v>135</v>
      </c>
      <c r="G812" s="148">
        <v>1</v>
      </c>
      <c r="H812" s="61" t="s">
        <v>39</v>
      </c>
      <c r="I812" s="61"/>
      <c r="J812" s="61"/>
      <c r="K812" s="61"/>
      <c r="L812" s="159">
        <v>271114</v>
      </c>
      <c r="M812" s="48"/>
      <c r="N812" s="123"/>
    </row>
    <row r="813" spans="1:14" customFormat="1" x14ac:dyDescent="0.55000000000000004">
      <c r="A813" s="105" t="s">
        <v>3343</v>
      </c>
      <c r="B813" s="61" t="s">
        <v>939</v>
      </c>
      <c r="C813" s="61" t="s">
        <v>125</v>
      </c>
      <c r="D813" s="61" t="s">
        <v>3288</v>
      </c>
      <c r="E813" s="119">
        <v>1.5870445339999999</v>
      </c>
      <c r="F813" s="148" t="s">
        <v>135</v>
      </c>
      <c r="G813" s="148">
        <v>1</v>
      </c>
      <c r="H813" s="61" t="s">
        <v>39</v>
      </c>
      <c r="I813" s="61"/>
      <c r="J813" s="61" t="s">
        <v>919</v>
      </c>
      <c r="K813" s="61" t="s">
        <v>126</v>
      </c>
      <c r="L813" s="159"/>
      <c r="M813" s="48"/>
      <c r="N813" s="123"/>
    </row>
    <row r="814" spans="1:14" customFormat="1" x14ac:dyDescent="0.55000000000000004">
      <c r="A814" s="105" t="s">
        <v>3343</v>
      </c>
      <c r="B814" s="61" t="s">
        <v>213</v>
      </c>
      <c r="C814" s="61" t="s">
        <v>125</v>
      </c>
      <c r="D814" s="61" t="s">
        <v>3288</v>
      </c>
      <c r="E814" s="119">
        <v>6.4777327999999995E-2</v>
      </c>
      <c r="F814" s="148" t="s">
        <v>135</v>
      </c>
      <c r="G814" s="148">
        <v>1</v>
      </c>
      <c r="H814" s="61" t="s">
        <v>39</v>
      </c>
      <c r="I814" s="61"/>
      <c r="J814" s="61" t="s">
        <v>919</v>
      </c>
      <c r="K814" s="61" t="s">
        <v>126</v>
      </c>
      <c r="L814" s="159"/>
      <c r="M814" s="48"/>
      <c r="N814" s="123"/>
    </row>
    <row r="815" spans="1:14" customFormat="1" x14ac:dyDescent="0.55000000000000004">
      <c r="A815" s="105" t="s">
        <v>3343</v>
      </c>
      <c r="B815" s="61" t="s">
        <v>153</v>
      </c>
      <c r="C815" s="61" t="s">
        <v>127</v>
      </c>
      <c r="D815" s="61" t="s">
        <v>2994</v>
      </c>
      <c r="E815" s="119">
        <v>8.1201133599999995</v>
      </c>
      <c r="F815" s="148" t="s">
        <v>138</v>
      </c>
      <c r="G815" s="148">
        <v>1</v>
      </c>
      <c r="H815" s="61" t="s">
        <v>39</v>
      </c>
      <c r="I815" s="61"/>
      <c r="J815" s="61" t="s">
        <v>919</v>
      </c>
      <c r="K815" s="61" t="s">
        <v>126</v>
      </c>
      <c r="L815" s="159"/>
      <c r="M815" s="48"/>
      <c r="N815" s="123"/>
    </row>
    <row r="816" spans="1:14" customFormat="1" x14ac:dyDescent="0.55000000000000004">
      <c r="A816" s="105" t="s">
        <v>3343</v>
      </c>
      <c r="B816" s="61" t="s">
        <v>153</v>
      </c>
      <c r="C816" s="61" t="s">
        <v>127</v>
      </c>
      <c r="D816" s="61" t="s">
        <v>2994</v>
      </c>
      <c r="E816" s="119">
        <v>1.5591093119999999</v>
      </c>
      <c r="F816" s="148" t="s">
        <v>138</v>
      </c>
      <c r="G816" s="148">
        <v>1</v>
      </c>
      <c r="H816" s="61" t="s">
        <v>39</v>
      </c>
      <c r="I816" s="61"/>
      <c r="J816" s="61" t="s">
        <v>919</v>
      </c>
      <c r="K816" s="61" t="s">
        <v>126</v>
      </c>
      <c r="L816" s="159"/>
      <c r="M816" s="48"/>
      <c r="N816" s="123"/>
    </row>
    <row r="817" spans="1:14" customFormat="1" x14ac:dyDescent="0.55000000000000004">
      <c r="A817" s="105" t="s">
        <v>3343</v>
      </c>
      <c r="B817" s="61" t="s">
        <v>153</v>
      </c>
      <c r="C817" s="61" t="s">
        <v>127</v>
      </c>
      <c r="D817" s="61" t="s">
        <v>2994</v>
      </c>
      <c r="E817" s="119">
        <v>9.6792226719999999</v>
      </c>
      <c r="F817" s="148" t="s">
        <v>138</v>
      </c>
      <c r="G817" s="148">
        <v>1</v>
      </c>
      <c r="H817" s="61" t="s">
        <v>39</v>
      </c>
      <c r="I817" s="61"/>
      <c r="J817" s="61" t="s">
        <v>919</v>
      </c>
      <c r="K817" s="61" t="s">
        <v>126</v>
      </c>
      <c r="L817" s="159"/>
      <c r="M817" s="48"/>
      <c r="N817" s="123"/>
    </row>
    <row r="818" spans="1:14" customFormat="1" x14ac:dyDescent="0.55000000000000004">
      <c r="A818" s="105" t="s">
        <v>3343</v>
      </c>
      <c r="B818" s="61" t="s">
        <v>334</v>
      </c>
      <c r="C818" s="61" t="s">
        <v>125</v>
      </c>
      <c r="D818" s="61" t="s">
        <v>3288</v>
      </c>
      <c r="E818" s="119">
        <v>1.9190282999999999E-2</v>
      </c>
      <c r="F818" s="148" t="s">
        <v>135</v>
      </c>
      <c r="G818" s="148">
        <v>1</v>
      </c>
      <c r="H818" s="61" t="s">
        <v>39</v>
      </c>
      <c r="I818" s="61"/>
      <c r="J818" s="61" t="s">
        <v>919</v>
      </c>
      <c r="K818" s="61" t="s">
        <v>126</v>
      </c>
      <c r="L818" s="159"/>
      <c r="M818" s="48"/>
      <c r="N818" s="123"/>
    </row>
    <row r="819" spans="1:14" customFormat="1" x14ac:dyDescent="0.55000000000000004">
      <c r="A819" s="105" t="s">
        <v>3344</v>
      </c>
      <c r="B819" s="61" t="s">
        <v>920</v>
      </c>
      <c r="C819" s="61" t="s">
        <v>121</v>
      </c>
      <c r="D819" s="61" t="s">
        <v>3288</v>
      </c>
      <c r="E819" s="119">
        <v>1</v>
      </c>
      <c r="F819" s="148" t="s">
        <v>135</v>
      </c>
      <c r="G819" s="148">
        <v>1</v>
      </c>
      <c r="H819" s="61" t="s">
        <v>39</v>
      </c>
      <c r="J819" s="61"/>
      <c r="L819" s="159">
        <v>271114</v>
      </c>
      <c r="M819" s="48"/>
      <c r="N819" s="123"/>
    </row>
    <row r="820" spans="1:14" customFormat="1" x14ac:dyDescent="0.55000000000000004">
      <c r="A820" s="105" t="s">
        <v>3344</v>
      </c>
      <c r="B820" s="61" t="s">
        <v>939</v>
      </c>
      <c r="C820" s="61" t="s">
        <v>125</v>
      </c>
      <c r="D820" s="61" t="s">
        <v>3288</v>
      </c>
      <c r="E820" s="119">
        <v>1.5870445339999999</v>
      </c>
      <c r="F820" s="148" t="s">
        <v>135</v>
      </c>
      <c r="G820" s="148">
        <v>1</v>
      </c>
      <c r="H820" s="61" t="s">
        <v>39</v>
      </c>
      <c r="I820" s="61"/>
      <c r="J820" s="61" t="s">
        <v>919</v>
      </c>
      <c r="K820" s="61" t="s">
        <v>126</v>
      </c>
      <c r="L820" s="159"/>
      <c r="M820" s="48"/>
      <c r="N820" s="123"/>
    </row>
    <row r="821" spans="1:14" customFormat="1" x14ac:dyDescent="0.55000000000000004">
      <c r="A821" s="105" t="s">
        <v>3344</v>
      </c>
      <c r="B821" s="61" t="s">
        <v>213</v>
      </c>
      <c r="C821" s="61" t="s">
        <v>125</v>
      </c>
      <c r="D821" s="61" t="s">
        <v>3288</v>
      </c>
      <c r="E821" s="119">
        <v>6.4777327999999995E-2</v>
      </c>
      <c r="F821" s="148" t="s">
        <v>135</v>
      </c>
      <c r="G821" s="148">
        <v>1</v>
      </c>
      <c r="H821" s="61" t="s">
        <v>39</v>
      </c>
      <c r="I821" s="61"/>
      <c r="J821" s="61" t="s">
        <v>919</v>
      </c>
      <c r="K821" s="61" t="s">
        <v>126</v>
      </c>
      <c r="L821" s="159"/>
      <c r="M821" s="48"/>
      <c r="N821" s="123"/>
    </row>
    <row r="822" spans="1:14" customFormat="1" x14ac:dyDescent="0.55000000000000004">
      <c r="A822" s="105" t="s">
        <v>3344</v>
      </c>
      <c r="B822" s="61" t="s">
        <v>334</v>
      </c>
      <c r="C822" s="61" t="s">
        <v>125</v>
      </c>
      <c r="D822" s="61" t="s">
        <v>3288</v>
      </c>
      <c r="E822" s="119">
        <v>6.4736842000000003E-2</v>
      </c>
      <c r="F822" s="148" t="s">
        <v>135</v>
      </c>
      <c r="G822" s="148">
        <v>1</v>
      </c>
      <c r="H822" s="61" t="s">
        <v>39</v>
      </c>
      <c r="I822" s="61"/>
      <c r="J822" s="61" t="s">
        <v>919</v>
      </c>
      <c r="K822" s="61" t="s">
        <v>126</v>
      </c>
      <c r="L822" s="159"/>
      <c r="M822" s="48"/>
      <c r="N822" s="123"/>
    </row>
    <row r="823" spans="1:14" customFormat="1" x14ac:dyDescent="0.55000000000000004">
      <c r="A823" s="105" t="s">
        <v>3344</v>
      </c>
      <c r="B823" s="61" t="s">
        <v>153</v>
      </c>
      <c r="C823" s="61" t="s">
        <v>127</v>
      </c>
      <c r="D823" s="61" t="s">
        <v>2994</v>
      </c>
      <c r="E823" s="119">
        <v>1.0253441299999999</v>
      </c>
      <c r="F823" s="148" t="s">
        <v>138</v>
      </c>
      <c r="G823" s="148">
        <v>1</v>
      </c>
      <c r="H823" s="61" t="s">
        <v>39</v>
      </c>
      <c r="I823" s="61"/>
      <c r="J823" s="61" t="s">
        <v>919</v>
      </c>
      <c r="K823" s="61" t="s">
        <v>126</v>
      </c>
      <c r="L823" s="159"/>
      <c r="M823" s="48"/>
      <c r="N823" s="123"/>
    </row>
    <row r="824" spans="1:14" customFormat="1" x14ac:dyDescent="0.55000000000000004">
      <c r="A824" s="105" t="s">
        <v>3344</v>
      </c>
      <c r="B824" s="61" t="s">
        <v>153</v>
      </c>
      <c r="C824" s="61" t="s">
        <v>127</v>
      </c>
      <c r="D824" s="61" t="s">
        <v>2994</v>
      </c>
      <c r="E824" s="119">
        <v>1.5591093119999999</v>
      </c>
      <c r="F824" s="148" t="s">
        <v>138</v>
      </c>
      <c r="G824" s="148">
        <v>1</v>
      </c>
      <c r="H824" s="61" t="s">
        <v>39</v>
      </c>
      <c r="I824" s="61"/>
      <c r="J824" s="61" t="s">
        <v>919</v>
      </c>
      <c r="K824" s="61" t="s">
        <v>126</v>
      </c>
      <c r="L824" s="159"/>
      <c r="M824" s="48"/>
      <c r="N824" s="123"/>
    </row>
    <row r="825" spans="1:14" customFormat="1" x14ac:dyDescent="0.55000000000000004">
      <c r="A825" s="105" t="s">
        <v>3344</v>
      </c>
      <c r="B825" s="61" t="s">
        <v>153</v>
      </c>
      <c r="C825" s="61" t="s">
        <v>127</v>
      </c>
      <c r="D825" s="61" t="s">
        <v>2994</v>
      </c>
      <c r="E825" s="119">
        <v>2.584453441</v>
      </c>
      <c r="F825" s="148" t="s">
        <v>138</v>
      </c>
      <c r="G825" s="148">
        <v>1</v>
      </c>
      <c r="H825" s="61" t="s">
        <v>39</v>
      </c>
      <c r="I825" s="61"/>
      <c r="J825" s="61" t="s">
        <v>919</v>
      </c>
      <c r="K825" s="61" t="s">
        <v>126</v>
      </c>
      <c r="L825" s="159"/>
      <c r="M825" s="48"/>
      <c r="N825" s="123"/>
    </row>
    <row r="826" spans="1:14" customFormat="1" x14ac:dyDescent="0.55000000000000004">
      <c r="A826" s="105" t="s">
        <v>3344</v>
      </c>
      <c r="B826" s="61" t="s">
        <v>334</v>
      </c>
      <c r="C826" s="61" t="s">
        <v>125</v>
      </c>
      <c r="D826" s="61" t="s">
        <v>3288</v>
      </c>
      <c r="E826" s="119">
        <v>1.9190282999999999E-2</v>
      </c>
      <c r="F826" s="148" t="s">
        <v>135</v>
      </c>
      <c r="G826" s="148">
        <v>1</v>
      </c>
      <c r="H826" s="61" t="s">
        <v>39</v>
      </c>
      <c r="I826" s="61"/>
      <c r="J826" s="61" t="s">
        <v>919</v>
      </c>
      <c r="K826" s="61" t="s">
        <v>126</v>
      </c>
      <c r="L826" s="159"/>
      <c r="M826" s="48"/>
      <c r="N826" s="123"/>
    </row>
    <row r="827" spans="1:14" customFormat="1" x14ac:dyDescent="0.55000000000000004">
      <c r="A827" s="105" t="s">
        <v>3345</v>
      </c>
      <c r="B827" s="61" t="s">
        <v>920</v>
      </c>
      <c r="C827" s="61" t="s">
        <v>121</v>
      </c>
      <c r="D827" s="61" t="s">
        <v>3288</v>
      </c>
      <c r="E827" s="119">
        <v>1</v>
      </c>
      <c r="F827" s="148" t="s">
        <v>135</v>
      </c>
      <c r="G827" s="148">
        <v>1</v>
      </c>
      <c r="H827" s="61" t="s">
        <v>39</v>
      </c>
      <c r="I827" s="61"/>
      <c r="J827" s="61"/>
      <c r="K827" s="61"/>
      <c r="L827" s="159">
        <v>271114</v>
      </c>
      <c r="M827" s="48"/>
      <c r="N827" s="123"/>
    </row>
    <row r="828" spans="1:14" customFormat="1" x14ac:dyDescent="0.55000000000000004">
      <c r="A828" s="105" t="s">
        <v>3345</v>
      </c>
      <c r="B828" s="61" t="s">
        <v>939</v>
      </c>
      <c r="C828" s="61" t="s">
        <v>125</v>
      </c>
      <c r="D828" s="61" t="s">
        <v>3288</v>
      </c>
      <c r="E828" s="119">
        <v>1.5870445339999999</v>
      </c>
      <c r="F828" s="148" t="s">
        <v>135</v>
      </c>
      <c r="G828" s="148">
        <v>1</v>
      </c>
      <c r="H828" s="61" t="s">
        <v>39</v>
      </c>
      <c r="I828" s="61"/>
      <c r="J828" s="61" t="s">
        <v>919</v>
      </c>
      <c r="K828" s="61" t="s">
        <v>126</v>
      </c>
      <c r="L828" s="159"/>
      <c r="M828" s="48"/>
      <c r="N828" s="123"/>
    </row>
    <row r="829" spans="1:14" customFormat="1" x14ac:dyDescent="0.55000000000000004">
      <c r="A829" s="105" t="s">
        <v>3345</v>
      </c>
      <c r="B829" s="61" t="s">
        <v>923</v>
      </c>
      <c r="C829" s="61" t="s">
        <v>127</v>
      </c>
      <c r="D829" s="61" t="s">
        <v>2994</v>
      </c>
      <c r="E829" s="119">
        <v>8.8663967610000007</v>
      </c>
      <c r="F829" s="148" t="s">
        <v>138</v>
      </c>
      <c r="G829" s="148">
        <v>1</v>
      </c>
      <c r="H829" s="61" t="s">
        <v>39</v>
      </c>
      <c r="I829" s="61"/>
      <c r="J829" s="61" t="s">
        <v>919</v>
      </c>
      <c r="K829" s="61" t="s">
        <v>126</v>
      </c>
      <c r="L829" s="159"/>
      <c r="M829" s="48"/>
      <c r="N829" s="123"/>
    </row>
    <row r="830" spans="1:14" customFormat="1" x14ac:dyDescent="0.55000000000000004">
      <c r="A830" s="105" t="s">
        <v>3345</v>
      </c>
      <c r="B830" s="61" t="s">
        <v>153</v>
      </c>
      <c r="C830" s="61" t="s">
        <v>127</v>
      </c>
      <c r="D830" s="61" t="s">
        <v>2994</v>
      </c>
      <c r="E830" s="119">
        <v>1.0253441299999999</v>
      </c>
      <c r="F830" s="148" t="s">
        <v>138</v>
      </c>
      <c r="G830" s="148">
        <v>1</v>
      </c>
      <c r="H830" s="61" t="s">
        <v>39</v>
      </c>
      <c r="I830" s="61"/>
      <c r="J830" s="61" t="s">
        <v>919</v>
      </c>
      <c r="K830" s="61" t="s">
        <v>126</v>
      </c>
      <c r="L830" s="159"/>
      <c r="M830" s="48"/>
      <c r="N830" s="123"/>
    </row>
    <row r="831" spans="1:14" customFormat="1" x14ac:dyDescent="0.55000000000000004">
      <c r="A831" s="105" t="s">
        <v>3345</v>
      </c>
      <c r="B831" s="61" t="s">
        <v>160</v>
      </c>
      <c r="C831" s="61" t="s">
        <v>497</v>
      </c>
      <c r="D831" s="61" t="s">
        <v>3288</v>
      </c>
      <c r="E831" s="119">
        <v>0.59404858299999996</v>
      </c>
      <c r="F831" s="148" t="s">
        <v>135</v>
      </c>
      <c r="G831" s="148">
        <v>1</v>
      </c>
      <c r="H831" s="61" t="s">
        <v>39</v>
      </c>
      <c r="I831" s="61" t="s">
        <v>959</v>
      </c>
      <c r="J831" s="61" t="s">
        <v>924</v>
      </c>
      <c r="K831" s="61" t="s">
        <v>126</v>
      </c>
      <c r="L831" s="159"/>
      <c r="M831" s="48"/>
      <c r="N831" s="123"/>
    </row>
    <row r="832" spans="1:14" customFormat="1" x14ac:dyDescent="0.55000000000000004">
      <c r="A832" s="105" t="s">
        <v>3346</v>
      </c>
      <c r="B832" s="61" t="s">
        <v>920</v>
      </c>
      <c r="C832" s="61" t="s">
        <v>121</v>
      </c>
      <c r="D832" s="61" t="s">
        <v>3288</v>
      </c>
      <c r="E832" s="119">
        <v>1</v>
      </c>
      <c r="F832" s="148" t="s">
        <v>135</v>
      </c>
      <c r="G832" s="148">
        <v>1</v>
      </c>
      <c r="H832" s="61" t="s">
        <v>39</v>
      </c>
      <c r="I832" s="61"/>
      <c r="J832" s="61"/>
      <c r="K832" s="61"/>
      <c r="L832" s="159">
        <v>271114</v>
      </c>
      <c r="M832" s="48"/>
      <c r="N832" s="123"/>
    </row>
    <row r="833" spans="1:14" customFormat="1" x14ac:dyDescent="0.55000000000000004">
      <c r="A833" s="105" t="s">
        <v>3346</v>
      </c>
      <c r="B833" s="61" t="s">
        <v>939</v>
      </c>
      <c r="C833" s="61" t="s">
        <v>125</v>
      </c>
      <c r="D833" s="61" t="s">
        <v>3288</v>
      </c>
      <c r="E833" s="119">
        <v>1.5870445339999999</v>
      </c>
      <c r="F833" s="148" t="s">
        <v>135</v>
      </c>
      <c r="G833" s="148">
        <v>1</v>
      </c>
      <c r="H833" s="61" t="s">
        <v>39</v>
      </c>
      <c r="I833" s="61"/>
      <c r="J833" s="61" t="s">
        <v>919</v>
      </c>
      <c r="K833" s="61" t="s">
        <v>126</v>
      </c>
      <c r="L833" s="159"/>
      <c r="M833" s="48"/>
      <c r="N833" s="123"/>
    </row>
    <row r="834" spans="1:14" customFormat="1" x14ac:dyDescent="0.55000000000000004">
      <c r="A834" s="105" t="s">
        <v>3346</v>
      </c>
      <c r="B834" s="61" t="s">
        <v>213</v>
      </c>
      <c r="C834" s="61" t="s">
        <v>125</v>
      </c>
      <c r="D834" s="61" t="s">
        <v>3288</v>
      </c>
      <c r="E834" s="119">
        <v>6.4777327999999995E-2</v>
      </c>
      <c r="F834" s="148" t="s">
        <v>135</v>
      </c>
      <c r="G834" s="148">
        <v>1</v>
      </c>
      <c r="H834" s="61" t="s">
        <v>39</v>
      </c>
      <c r="I834" s="61"/>
      <c r="J834" s="61" t="s">
        <v>919</v>
      </c>
      <c r="K834" s="61" t="s">
        <v>126</v>
      </c>
      <c r="L834" s="159"/>
      <c r="M834" s="48"/>
      <c r="N834" s="123"/>
    </row>
    <row r="835" spans="1:14" customFormat="1" x14ac:dyDescent="0.55000000000000004">
      <c r="A835" s="105" t="s">
        <v>3346</v>
      </c>
      <c r="B835" s="61" t="s">
        <v>153</v>
      </c>
      <c r="C835" s="61" t="s">
        <v>127</v>
      </c>
      <c r="D835" s="61" t="s">
        <v>2994</v>
      </c>
      <c r="E835" s="119">
        <v>1.46582996</v>
      </c>
      <c r="F835" s="148" t="s">
        <v>138</v>
      </c>
      <c r="G835" s="148">
        <v>1</v>
      </c>
      <c r="H835" s="61" t="s">
        <v>39</v>
      </c>
      <c r="I835" s="61"/>
      <c r="J835" s="61" t="s">
        <v>919</v>
      </c>
      <c r="K835" s="61" t="s">
        <v>126</v>
      </c>
      <c r="L835" s="159"/>
      <c r="M835" s="48"/>
      <c r="N835" s="123"/>
    </row>
    <row r="836" spans="1:14" customFormat="1" x14ac:dyDescent="0.55000000000000004">
      <c r="A836" s="105" t="s">
        <v>3347</v>
      </c>
      <c r="B836" s="61" t="s">
        <v>920</v>
      </c>
      <c r="C836" s="61" t="s">
        <v>121</v>
      </c>
      <c r="D836" s="61" t="s">
        <v>3288</v>
      </c>
      <c r="E836" s="119">
        <v>1</v>
      </c>
      <c r="F836" s="148" t="s">
        <v>135</v>
      </c>
      <c r="G836" s="148">
        <v>1</v>
      </c>
      <c r="H836" s="61" t="s">
        <v>39</v>
      </c>
      <c r="I836" s="61"/>
      <c r="J836" s="61"/>
      <c r="K836" s="61"/>
      <c r="L836" s="159">
        <v>271114</v>
      </c>
      <c r="M836" s="48"/>
      <c r="N836" s="123"/>
    </row>
    <row r="837" spans="1:14" customFormat="1" x14ac:dyDescent="0.55000000000000004">
      <c r="A837" s="105" t="s">
        <v>3347</v>
      </c>
      <c r="B837" s="61" t="s">
        <v>625</v>
      </c>
      <c r="C837" s="61" t="s">
        <v>125</v>
      </c>
      <c r="D837" s="61" t="s">
        <v>3288</v>
      </c>
      <c r="E837" s="119">
        <v>0.69454000000000005</v>
      </c>
      <c r="F837" s="148" t="s">
        <v>135</v>
      </c>
      <c r="G837" s="148">
        <v>1</v>
      </c>
      <c r="H837" s="61" t="s">
        <v>39</v>
      </c>
      <c r="I837" s="61" t="s">
        <v>956</v>
      </c>
      <c r="J837" s="61" t="s">
        <v>919</v>
      </c>
      <c r="K837" s="61" t="s">
        <v>126</v>
      </c>
      <c r="L837" s="159"/>
      <c r="M837" s="48"/>
      <c r="N837" s="123"/>
    </row>
    <row r="838" spans="1:14" customFormat="1" x14ac:dyDescent="0.55000000000000004">
      <c r="A838" s="105" t="s">
        <v>3347</v>
      </c>
      <c r="B838" s="61" t="s">
        <v>706</v>
      </c>
      <c r="C838" s="61" t="s">
        <v>125</v>
      </c>
      <c r="D838" s="61" t="s">
        <v>3288</v>
      </c>
      <c r="E838" s="119">
        <v>5.9450000000000003E-2</v>
      </c>
      <c r="F838" s="148" t="s">
        <v>135</v>
      </c>
      <c r="G838" s="148">
        <v>1</v>
      </c>
      <c r="H838" s="61" t="s">
        <v>39</v>
      </c>
      <c r="I838" s="61" t="s">
        <v>947</v>
      </c>
      <c r="J838" s="61" t="s">
        <v>919</v>
      </c>
      <c r="K838" s="61" t="s">
        <v>126</v>
      </c>
      <c r="L838" s="159"/>
      <c r="M838" s="48"/>
      <c r="N838" s="123"/>
    </row>
    <row r="839" spans="1:14" customFormat="1" x14ac:dyDescent="0.55000000000000004">
      <c r="A839" s="105" t="s">
        <v>3347</v>
      </c>
      <c r="B839" s="61" t="s">
        <v>925</v>
      </c>
      <c r="C839" s="61" t="s">
        <v>125</v>
      </c>
      <c r="D839" s="61" t="s">
        <v>3288</v>
      </c>
      <c r="E839" s="119">
        <v>0.27388000000000001</v>
      </c>
      <c r="F839" s="148" t="s">
        <v>135</v>
      </c>
      <c r="G839" s="148">
        <v>1</v>
      </c>
      <c r="H839" s="61" t="s">
        <v>39</v>
      </c>
      <c r="I839" s="61" t="s">
        <v>947</v>
      </c>
      <c r="J839" s="61" t="s">
        <v>919</v>
      </c>
      <c r="K839" s="61" t="s">
        <v>126</v>
      </c>
      <c r="L839" s="159"/>
      <c r="M839" s="48"/>
      <c r="N839" s="123"/>
    </row>
    <row r="840" spans="1:14" customFormat="1" x14ac:dyDescent="0.55000000000000004">
      <c r="A840" s="105" t="s">
        <v>3347</v>
      </c>
      <c r="B840" s="61" t="s">
        <v>923</v>
      </c>
      <c r="C840" s="61" t="s">
        <v>127</v>
      </c>
      <c r="D840" s="61" t="s">
        <v>2994</v>
      </c>
      <c r="E840" s="119">
        <v>7.5381556850000004</v>
      </c>
      <c r="F840" s="148" t="s">
        <v>138</v>
      </c>
      <c r="G840" s="148">
        <v>1</v>
      </c>
      <c r="H840" s="61" t="s">
        <v>39</v>
      </c>
      <c r="I840" s="61" t="s">
        <v>968</v>
      </c>
      <c r="J840" s="61" t="s">
        <v>919</v>
      </c>
      <c r="K840" s="61" t="s">
        <v>126</v>
      </c>
      <c r="L840" s="159"/>
      <c r="M840" s="48"/>
      <c r="N840" s="123"/>
    </row>
    <row r="841" spans="1:14" customFormat="1" x14ac:dyDescent="0.55000000000000004">
      <c r="A841" s="105" t="s">
        <v>3347</v>
      </c>
      <c r="B841" s="61" t="s">
        <v>153</v>
      </c>
      <c r="C841" s="61" t="s">
        <v>127</v>
      </c>
      <c r="D841" s="61" t="s">
        <v>2994</v>
      </c>
      <c r="E841" s="119">
        <v>2.1527099999999999</v>
      </c>
      <c r="F841" s="148" t="s">
        <v>138</v>
      </c>
      <c r="G841" s="148">
        <v>1</v>
      </c>
      <c r="H841" s="61" t="s">
        <v>39</v>
      </c>
      <c r="I841" s="61" t="s">
        <v>968</v>
      </c>
      <c r="J841" s="61" t="s">
        <v>919</v>
      </c>
      <c r="K841" s="61" t="s">
        <v>126</v>
      </c>
      <c r="L841" s="159"/>
      <c r="M841" s="48"/>
      <c r="N841" s="123"/>
    </row>
    <row r="842" spans="1:14" customFormat="1" x14ac:dyDescent="0.55000000000000004">
      <c r="A842" s="105" t="s">
        <v>3347</v>
      </c>
      <c r="B842" s="61" t="s">
        <v>160</v>
      </c>
      <c r="C842" s="61" t="s">
        <v>497</v>
      </c>
      <c r="D842" s="61" t="s">
        <v>3288</v>
      </c>
      <c r="E842" s="119">
        <v>0.50505643099999997</v>
      </c>
      <c r="F842" s="148" t="s">
        <v>135</v>
      </c>
      <c r="G842" s="148">
        <v>1</v>
      </c>
      <c r="H842" s="61" t="s">
        <v>39</v>
      </c>
      <c r="I842" s="61" t="s">
        <v>959</v>
      </c>
      <c r="J842" s="61" t="s">
        <v>924</v>
      </c>
      <c r="K842" s="61" t="s">
        <v>126</v>
      </c>
      <c r="L842" s="159"/>
      <c r="M842" s="48"/>
      <c r="N842" s="123"/>
    </row>
    <row r="843" spans="1:14" customFormat="1" x14ac:dyDescent="0.55000000000000004">
      <c r="A843" s="105" t="s">
        <v>3348</v>
      </c>
      <c r="B843" s="61" t="s">
        <v>920</v>
      </c>
      <c r="C843" s="61" t="s">
        <v>121</v>
      </c>
      <c r="D843" s="61" t="s">
        <v>3288</v>
      </c>
      <c r="E843" s="119">
        <v>1</v>
      </c>
      <c r="F843" s="148" t="s">
        <v>135</v>
      </c>
      <c r="G843" s="148">
        <v>1</v>
      </c>
      <c r="H843" s="61" t="s">
        <v>39</v>
      </c>
      <c r="I843" s="61"/>
      <c r="J843" s="61"/>
      <c r="K843" s="61"/>
      <c r="L843" s="159">
        <v>271114</v>
      </c>
      <c r="M843" s="48"/>
      <c r="N843" s="123"/>
    </row>
    <row r="844" spans="1:14" customFormat="1" x14ac:dyDescent="0.55000000000000004">
      <c r="A844" s="105" t="s">
        <v>3348</v>
      </c>
      <c r="B844" s="61" t="s">
        <v>625</v>
      </c>
      <c r="C844" s="61" t="s">
        <v>125</v>
      </c>
      <c r="D844" s="61" t="s">
        <v>3288</v>
      </c>
      <c r="E844" s="119">
        <v>0.98744939300000001</v>
      </c>
      <c r="F844" s="148" t="s">
        <v>135</v>
      </c>
      <c r="G844" s="148">
        <v>1</v>
      </c>
      <c r="H844" s="61" t="s">
        <v>39</v>
      </c>
      <c r="I844" s="61" t="s">
        <v>947</v>
      </c>
      <c r="J844" s="61" t="s">
        <v>919</v>
      </c>
      <c r="K844" s="61" t="s">
        <v>126</v>
      </c>
      <c r="L844" s="159"/>
      <c r="M844" s="48"/>
      <c r="N844" s="123"/>
    </row>
    <row r="845" spans="1:14" customFormat="1" x14ac:dyDescent="0.55000000000000004">
      <c r="A845" s="105" t="s">
        <v>3348</v>
      </c>
      <c r="B845" s="61" t="s">
        <v>706</v>
      </c>
      <c r="C845" s="61" t="s">
        <v>125</v>
      </c>
      <c r="D845" s="61" t="s">
        <v>3288</v>
      </c>
      <c r="E845" s="119">
        <v>0</v>
      </c>
      <c r="F845" s="148" t="s">
        <v>135</v>
      </c>
      <c r="G845" s="148">
        <v>1</v>
      </c>
      <c r="H845" s="61" t="s">
        <v>39</v>
      </c>
      <c r="I845" s="61" t="s">
        <v>947</v>
      </c>
      <c r="J845" s="61" t="s">
        <v>919</v>
      </c>
      <c r="K845" s="61" t="s">
        <v>126</v>
      </c>
      <c r="L845" s="159"/>
      <c r="M845" s="48"/>
      <c r="N845" s="123"/>
    </row>
    <row r="846" spans="1:14" customFormat="1" x14ac:dyDescent="0.55000000000000004">
      <c r="A846" s="105" t="s">
        <v>3348</v>
      </c>
      <c r="B846" s="61" t="s">
        <v>925</v>
      </c>
      <c r="C846" s="61" t="s">
        <v>125</v>
      </c>
      <c r="D846" s="61" t="s">
        <v>3288</v>
      </c>
      <c r="E846" s="119">
        <v>2.4696355999999999E-2</v>
      </c>
      <c r="F846" s="148" t="s">
        <v>135</v>
      </c>
      <c r="G846" s="148">
        <v>1</v>
      </c>
      <c r="H846" s="61" t="s">
        <v>39</v>
      </c>
      <c r="I846" s="61" t="s">
        <v>947</v>
      </c>
      <c r="J846" s="61" t="s">
        <v>919</v>
      </c>
      <c r="K846" s="61" t="s">
        <v>126</v>
      </c>
      <c r="L846" s="159"/>
      <c r="M846" s="48"/>
      <c r="N846" s="123"/>
    </row>
    <row r="847" spans="1:14" customFormat="1" x14ac:dyDescent="0.55000000000000004">
      <c r="A847" s="105" t="s">
        <v>3348</v>
      </c>
      <c r="B847" s="61" t="s">
        <v>923</v>
      </c>
      <c r="C847" s="61" t="s">
        <v>127</v>
      </c>
      <c r="D847" s="61" t="s">
        <v>2994</v>
      </c>
      <c r="E847" s="119">
        <v>7.5364372470000003</v>
      </c>
      <c r="F847" s="148" t="s">
        <v>138</v>
      </c>
      <c r="G847" s="148">
        <v>1</v>
      </c>
      <c r="H847" s="61" t="s">
        <v>39</v>
      </c>
      <c r="I847" s="61" t="s">
        <v>947</v>
      </c>
      <c r="J847" s="61" t="s">
        <v>919</v>
      </c>
      <c r="K847" s="61" t="s">
        <v>126</v>
      </c>
      <c r="L847" s="159"/>
      <c r="M847" s="48"/>
      <c r="N847" s="123"/>
    </row>
    <row r="848" spans="1:14" customFormat="1" x14ac:dyDescent="0.55000000000000004">
      <c r="A848" s="105" t="s">
        <v>3348</v>
      </c>
      <c r="B848" s="61" t="s">
        <v>153</v>
      </c>
      <c r="C848" s="61" t="s">
        <v>127</v>
      </c>
      <c r="D848" s="61" t="s">
        <v>2994</v>
      </c>
      <c r="E848" s="119">
        <v>0.87154251000000005</v>
      </c>
      <c r="F848" s="148" t="s">
        <v>138</v>
      </c>
      <c r="G848" s="148">
        <v>1</v>
      </c>
      <c r="H848" s="61" t="s">
        <v>39</v>
      </c>
      <c r="I848" s="61" t="s">
        <v>970</v>
      </c>
      <c r="J848" s="61" t="s">
        <v>919</v>
      </c>
      <c r="K848" s="61" t="s">
        <v>126</v>
      </c>
      <c r="L848" s="159"/>
      <c r="M848" s="48"/>
      <c r="N848" s="123"/>
    </row>
    <row r="849" spans="1:14" customFormat="1" x14ac:dyDescent="0.55000000000000004">
      <c r="A849" s="105" t="s">
        <v>3348</v>
      </c>
      <c r="B849" s="61" t="s">
        <v>153</v>
      </c>
      <c r="C849" s="61" t="s">
        <v>127</v>
      </c>
      <c r="D849" s="61" t="s">
        <v>2994</v>
      </c>
      <c r="E849" s="119">
        <v>2.2222727999999998</v>
      </c>
      <c r="F849" s="148" t="s">
        <v>138</v>
      </c>
      <c r="G849" s="148">
        <v>1</v>
      </c>
      <c r="H849" s="61" t="s">
        <v>39</v>
      </c>
      <c r="I849" s="61" t="s">
        <v>950</v>
      </c>
      <c r="J849" s="61" t="s">
        <v>919</v>
      </c>
      <c r="K849" s="61" t="s">
        <v>126</v>
      </c>
      <c r="L849" s="159"/>
      <c r="M849" s="48"/>
      <c r="N849" s="123"/>
    </row>
    <row r="850" spans="1:14" customFormat="1" x14ac:dyDescent="0.55000000000000004">
      <c r="A850" s="105" t="s">
        <v>3348</v>
      </c>
      <c r="B850" s="61" t="s">
        <v>153</v>
      </c>
      <c r="C850" s="61" t="s">
        <v>127</v>
      </c>
      <c r="D850" s="61" t="s">
        <v>2994</v>
      </c>
      <c r="E850" s="119">
        <v>3.0938153100000001</v>
      </c>
      <c r="F850" s="148" t="s">
        <v>138</v>
      </c>
      <c r="G850" s="148">
        <v>1</v>
      </c>
      <c r="H850" s="61" t="s">
        <v>39</v>
      </c>
      <c r="I850" s="61" t="s">
        <v>971</v>
      </c>
      <c r="J850" s="61" t="s">
        <v>919</v>
      </c>
      <c r="K850" s="61" t="s">
        <v>126</v>
      </c>
      <c r="L850" s="159"/>
      <c r="M850" s="48"/>
      <c r="N850" s="123"/>
    </row>
    <row r="851" spans="1:14" customFormat="1" x14ac:dyDescent="0.55000000000000004">
      <c r="A851" s="105" t="s">
        <v>3348</v>
      </c>
      <c r="B851" s="61" t="s">
        <v>160</v>
      </c>
      <c r="C851" s="61" t="s">
        <v>497</v>
      </c>
      <c r="D851" s="61" t="s">
        <v>3288</v>
      </c>
      <c r="E851" s="119">
        <v>2.5247064999999999E-2</v>
      </c>
      <c r="F851" s="148" t="s">
        <v>135</v>
      </c>
      <c r="G851" s="148">
        <v>1</v>
      </c>
      <c r="H851" s="61" t="s">
        <v>39</v>
      </c>
      <c r="I851" s="61" t="s">
        <v>959</v>
      </c>
      <c r="J851" s="61" t="s">
        <v>924</v>
      </c>
      <c r="K851" s="61" t="s">
        <v>126</v>
      </c>
      <c r="L851" s="159"/>
      <c r="M851" s="48"/>
      <c r="N851" s="123"/>
    </row>
    <row r="852" spans="1:14" customFormat="1" x14ac:dyDescent="0.55000000000000004">
      <c r="A852" s="105" t="s">
        <v>3349</v>
      </c>
      <c r="B852" s="61" t="s">
        <v>920</v>
      </c>
      <c r="C852" s="61" t="s">
        <v>121</v>
      </c>
      <c r="D852" s="61" t="s">
        <v>3288</v>
      </c>
      <c r="E852" s="119">
        <v>1</v>
      </c>
      <c r="F852" s="148" t="s">
        <v>135</v>
      </c>
      <c r="G852" s="148">
        <v>1</v>
      </c>
      <c r="H852" s="61" t="s">
        <v>39</v>
      </c>
      <c r="I852" s="61"/>
      <c r="J852" s="61"/>
      <c r="K852" s="61"/>
      <c r="L852" s="159">
        <v>271114</v>
      </c>
      <c r="M852" s="48"/>
      <c r="N852" s="123"/>
    </row>
    <row r="853" spans="1:14" customFormat="1" x14ac:dyDescent="0.55000000000000004">
      <c r="A853" s="105" t="s">
        <v>3349</v>
      </c>
      <c r="B853" s="61" t="s">
        <v>625</v>
      </c>
      <c r="C853" s="61" t="s">
        <v>125</v>
      </c>
      <c r="D853" s="61" t="s">
        <v>3288</v>
      </c>
      <c r="E853" s="119">
        <v>0.69289999999999996</v>
      </c>
      <c r="F853" s="148" t="s">
        <v>135</v>
      </c>
      <c r="G853" s="148">
        <v>1</v>
      </c>
      <c r="H853" s="61" t="s">
        <v>39</v>
      </c>
      <c r="I853" s="61" t="s">
        <v>947</v>
      </c>
      <c r="J853" s="61" t="s">
        <v>919</v>
      </c>
      <c r="K853" s="61" t="s">
        <v>126</v>
      </c>
      <c r="L853" s="159"/>
      <c r="M853" s="48"/>
      <c r="N853" s="123"/>
    </row>
    <row r="854" spans="1:14" customFormat="1" x14ac:dyDescent="0.55000000000000004">
      <c r="A854" s="105" t="s">
        <v>3349</v>
      </c>
      <c r="B854" s="61" t="s">
        <v>706</v>
      </c>
      <c r="C854" s="61" t="s">
        <v>125</v>
      </c>
      <c r="D854" s="61" t="s">
        <v>3288</v>
      </c>
      <c r="E854" s="119">
        <v>5.9450000000000003E-2</v>
      </c>
      <c r="F854" s="148" t="s">
        <v>135</v>
      </c>
      <c r="G854" s="148">
        <v>1</v>
      </c>
      <c r="H854" s="61" t="s">
        <v>39</v>
      </c>
      <c r="I854" s="61" t="s">
        <v>947</v>
      </c>
      <c r="J854" s="61" t="s">
        <v>919</v>
      </c>
      <c r="K854" s="61" t="s">
        <v>126</v>
      </c>
      <c r="L854" s="159"/>
      <c r="M854" s="48"/>
      <c r="N854" s="123"/>
    </row>
    <row r="855" spans="1:14" customFormat="1" x14ac:dyDescent="0.55000000000000004">
      <c r="A855" s="105" t="s">
        <v>3349</v>
      </c>
      <c r="B855" s="61" t="s">
        <v>925</v>
      </c>
      <c r="C855" s="61" t="s">
        <v>125</v>
      </c>
      <c r="D855" s="61" t="s">
        <v>3288</v>
      </c>
      <c r="E855" s="119">
        <v>0.27388000000000001</v>
      </c>
      <c r="F855" s="148" t="s">
        <v>135</v>
      </c>
      <c r="G855" s="148">
        <v>1</v>
      </c>
      <c r="H855" s="61" t="s">
        <v>39</v>
      </c>
      <c r="I855" s="61" t="s">
        <v>947</v>
      </c>
      <c r="J855" s="61" t="s">
        <v>919</v>
      </c>
      <c r="K855" s="61" t="s">
        <v>126</v>
      </c>
      <c r="L855" s="159"/>
      <c r="M855" s="48"/>
      <c r="N855" s="123"/>
    </row>
    <row r="856" spans="1:14" customFormat="1" x14ac:dyDescent="0.55000000000000004">
      <c r="A856" s="105" t="s">
        <v>3349</v>
      </c>
      <c r="B856" s="61" t="s">
        <v>153</v>
      </c>
      <c r="C856" s="61" t="s">
        <v>127</v>
      </c>
      <c r="D856" s="61" t="s">
        <v>2994</v>
      </c>
      <c r="E856" s="119">
        <v>6.9897529799999996</v>
      </c>
      <c r="F856" s="148" t="s">
        <v>138</v>
      </c>
      <c r="G856" s="148">
        <v>1</v>
      </c>
      <c r="H856" s="61" t="s">
        <v>39</v>
      </c>
      <c r="I856" s="61" t="s">
        <v>1005</v>
      </c>
      <c r="J856" s="61" t="s">
        <v>919</v>
      </c>
      <c r="K856" s="61" t="s">
        <v>126</v>
      </c>
      <c r="L856" s="159"/>
      <c r="M856" s="48"/>
      <c r="N856" s="123"/>
    </row>
    <row r="857" spans="1:14" customFormat="1" x14ac:dyDescent="0.55000000000000004">
      <c r="A857" s="105" t="s">
        <v>3350</v>
      </c>
      <c r="B857" s="61" t="s">
        <v>920</v>
      </c>
      <c r="C857" s="61" t="s">
        <v>121</v>
      </c>
      <c r="D857" s="61" t="s">
        <v>3288</v>
      </c>
      <c r="E857" s="119">
        <v>1</v>
      </c>
      <c r="F857" s="148" t="s">
        <v>135</v>
      </c>
      <c r="G857" s="148">
        <v>1</v>
      </c>
      <c r="H857" s="61" t="s">
        <v>39</v>
      </c>
      <c r="I857" s="61"/>
      <c r="J857" s="61"/>
      <c r="K857" s="61"/>
      <c r="L857" s="159">
        <v>271114</v>
      </c>
      <c r="M857" s="48"/>
      <c r="N857" s="123"/>
    </row>
    <row r="858" spans="1:14" customFormat="1" x14ac:dyDescent="0.55000000000000004">
      <c r="A858" s="105" t="s">
        <v>3350</v>
      </c>
      <c r="B858" s="61" t="s">
        <v>625</v>
      </c>
      <c r="C858" s="61" t="s">
        <v>125</v>
      </c>
      <c r="D858" s="61" t="s">
        <v>3288</v>
      </c>
      <c r="E858" s="119">
        <v>0.98744939300000001</v>
      </c>
      <c r="F858" s="148" t="s">
        <v>135</v>
      </c>
      <c r="G858" s="148">
        <v>1</v>
      </c>
      <c r="H858" s="61" t="s">
        <v>39</v>
      </c>
      <c r="I858" s="61" t="s">
        <v>947</v>
      </c>
      <c r="J858" s="61" t="s">
        <v>919</v>
      </c>
      <c r="K858" s="61" t="s">
        <v>126</v>
      </c>
      <c r="L858" s="159"/>
      <c r="M858" s="48"/>
      <c r="N858" s="123"/>
    </row>
    <row r="859" spans="1:14" customFormat="1" x14ac:dyDescent="0.55000000000000004">
      <c r="A859" s="105" t="s">
        <v>3350</v>
      </c>
      <c r="B859" s="61" t="s">
        <v>706</v>
      </c>
      <c r="C859" s="61" t="s">
        <v>125</v>
      </c>
      <c r="D859" s="61" t="s">
        <v>3288</v>
      </c>
      <c r="E859" s="119">
        <v>0</v>
      </c>
      <c r="F859" s="148" t="s">
        <v>135</v>
      </c>
      <c r="G859" s="148">
        <v>1</v>
      </c>
      <c r="H859" s="61" t="s">
        <v>39</v>
      </c>
      <c r="I859" s="61" t="s">
        <v>947</v>
      </c>
      <c r="J859" s="61" t="s">
        <v>919</v>
      </c>
      <c r="K859" s="61" t="s">
        <v>126</v>
      </c>
      <c r="L859" s="159"/>
      <c r="M859" s="48"/>
      <c r="N859" s="123"/>
    </row>
    <row r="860" spans="1:14" customFormat="1" x14ac:dyDescent="0.55000000000000004">
      <c r="A860" s="105" t="s">
        <v>3350</v>
      </c>
      <c r="B860" s="61" t="s">
        <v>925</v>
      </c>
      <c r="C860" s="61" t="s">
        <v>125</v>
      </c>
      <c r="D860" s="61" t="s">
        <v>3288</v>
      </c>
      <c r="E860" s="119">
        <v>2.4696355999999999E-2</v>
      </c>
      <c r="F860" s="148" t="s">
        <v>135</v>
      </c>
      <c r="G860" s="148">
        <v>1</v>
      </c>
      <c r="H860" s="61" t="s">
        <v>39</v>
      </c>
      <c r="I860" s="61" t="s">
        <v>947</v>
      </c>
      <c r="J860" s="61" t="s">
        <v>919</v>
      </c>
      <c r="K860" s="61" t="s">
        <v>126</v>
      </c>
      <c r="L860" s="159"/>
      <c r="M860" s="48"/>
      <c r="N860" s="123"/>
    </row>
    <row r="861" spans="1:14" customFormat="1" x14ac:dyDescent="0.55000000000000004">
      <c r="A861" s="105" t="s">
        <v>3350</v>
      </c>
      <c r="B861" s="61" t="s">
        <v>334</v>
      </c>
      <c r="C861" s="61" t="s">
        <v>125</v>
      </c>
      <c r="D861" s="61" t="s">
        <v>3288</v>
      </c>
      <c r="E861" s="119">
        <v>7.3886640000000003E-2</v>
      </c>
      <c r="F861" s="148" t="s">
        <v>135</v>
      </c>
      <c r="G861" s="148">
        <v>1</v>
      </c>
      <c r="H861" s="61" t="s">
        <v>39</v>
      </c>
      <c r="I861" s="61" t="s">
        <v>947</v>
      </c>
      <c r="J861" s="61" t="s">
        <v>919</v>
      </c>
      <c r="K861" s="61" t="s">
        <v>126</v>
      </c>
      <c r="L861" s="159"/>
      <c r="M861" s="48"/>
      <c r="N861" s="123"/>
    </row>
    <row r="862" spans="1:14" customFormat="1" x14ac:dyDescent="0.55000000000000004">
      <c r="A862" s="105" t="s">
        <v>3350</v>
      </c>
      <c r="B862" s="61" t="s">
        <v>153</v>
      </c>
      <c r="C862" s="61" t="s">
        <v>127</v>
      </c>
      <c r="D862" s="61" t="s">
        <v>2994</v>
      </c>
      <c r="E862" s="119">
        <v>0.87154251000000005</v>
      </c>
      <c r="F862" s="148" t="s">
        <v>138</v>
      </c>
      <c r="G862" s="148">
        <v>1</v>
      </c>
      <c r="H862" s="61" t="s">
        <v>39</v>
      </c>
      <c r="I862" s="61" t="s">
        <v>972</v>
      </c>
      <c r="J862" s="61" t="s">
        <v>919</v>
      </c>
      <c r="K862" s="61" t="s">
        <v>126</v>
      </c>
      <c r="L862" s="159"/>
      <c r="M862" s="48"/>
      <c r="N862" s="123"/>
    </row>
    <row r="863" spans="1:14" customFormat="1" x14ac:dyDescent="0.55000000000000004">
      <c r="A863" s="105" t="s">
        <v>3351</v>
      </c>
      <c r="B863" s="61" t="s">
        <v>920</v>
      </c>
      <c r="C863" s="61" t="s">
        <v>121</v>
      </c>
      <c r="D863" s="61" t="s">
        <v>3288</v>
      </c>
      <c r="E863" s="119">
        <v>1</v>
      </c>
      <c r="F863" s="148" t="s">
        <v>135</v>
      </c>
      <c r="G863" s="148">
        <v>1</v>
      </c>
      <c r="H863" s="61" t="s">
        <v>39</v>
      </c>
      <c r="J863" s="61"/>
      <c r="L863" s="159">
        <v>271114</v>
      </c>
      <c r="M863" s="48"/>
      <c r="N863" s="123"/>
    </row>
    <row r="864" spans="1:14" customFormat="1" x14ac:dyDescent="0.55000000000000004">
      <c r="A864" s="105" t="s">
        <v>3351</v>
      </c>
      <c r="B864" s="61" t="s">
        <v>929</v>
      </c>
      <c r="C864" s="61" t="s">
        <v>125</v>
      </c>
      <c r="D864" s="61" t="s">
        <v>3288</v>
      </c>
      <c r="E864" s="119">
        <v>2.56</v>
      </c>
      <c r="F864" s="148" t="s">
        <v>135</v>
      </c>
      <c r="G864" s="148">
        <v>1</v>
      </c>
      <c r="H864" s="61" t="s">
        <v>39</v>
      </c>
      <c r="I864" s="61" t="s">
        <v>1006</v>
      </c>
      <c r="J864" s="61" t="s">
        <v>919</v>
      </c>
      <c r="K864" s="61" t="s">
        <v>126</v>
      </c>
      <c r="L864" s="159"/>
      <c r="M864" s="48"/>
      <c r="N864" s="123"/>
    </row>
    <row r="865" spans="1:14" customFormat="1" x14ac:dyDescent="0.55000000000000004">
      <c r="A865" s="105" t="s">
        <v>3351</v>
      </c>
      <c r="B865" s="61" t="s">
        <v>153</v>
      </c>
      <c r="C865" s="61" t="s">
        <v>127</v>
      </c>
      <c r="D865" s="61" t="s">
        <v>2994</v>
      </c>
      <c r="E865" s="119">
        <v>5</v>
      </c>
      <c r="F865" s="148" t="s">
        <v>138</v>
      </c>
      <c r="G865" s="148">
        <v>1</v>
      </c>
      <c r="H865" s="61" t="s">
        <v>39</v>
      </c>
      <c r="I865" s="61" t="s">
        <v>1007</v>
      </c>
      <c r="J865" s="61" t="s">
        <v>919</v>
      </c>
      <c r="K865" s="61" t="s">
        <v>126</v>
      </c>
      <c r="L865" s="159"/>
      <c r="M865" s="48"/>
      <c r="N865" s="123"/>
    </row>
    <row r="866" spans="1:14" customFormat="1" x14ac:dyDescent="0.55000000000000004">
      <c r="A866" s="105" t="s">
        <v>3352</v>
      </c>
      <c r="B866" s="61" t="s">
        <v>920</v>
      </c>
      <c r="C866" s="61" t="s">
        <v>121</v>
      </c>
      <c r="D866" s="61" t="s">
        <v>3288</v>
      </c>
      <c r="E866" s="119">
        <v>1</v>
      </c>
      <c r="F866" s="148" t="s">
        <v>135</v>
      </c>
      <c r="G866" s="148">
        <v>1</v>
      </c>
      <c r="H866" s="61" t="s">
        <v>39</v>
      </c>
      <c r="I866" s="61"/>
      <c r="J866" s="61"/>
      <c r="K866" s="61"/>
      <c r="L866" s="159">
        <v>271114</v>
      </c>
      <c r="M866" s="48"/>
      <c r="N866" s="123"/>
    </row>
    <row r="867" spans="1:14" customFormat="1" x14ac:dyDescent="0.55000000000000004">
      <c r="A867" s="105" t="s">
        <v>3352</v>
      </c>
      <c r="B867" s="61" t="s">
        <v>928</v>
      </c>
      <c r="C867" s="61" t="s">
        <v>125</v>
      </c>
      <c r="D867" s="61" t="s">
        <v>3288</v>
      </c>
      <c r="E867" s="119">
        <v>2.56</v>
      </c>
      <c r="F867" s="148" t="s">
        <v>135</v>
      </c>
      <c r="G867" s="148">
        <v>1</v>
      </c>
      <c r="H867" s="61" t="s">
        <v>39</v>
      </c>
      <c r="I867" s="61"/>
      <c r="J867" s="61" t="s">
        <v>919</v>
      </c>
      <c r="K867" s="61" t="s">
        <v>126</v>
      </c>
      <c r="L867" s="159"/>
      <c r="M867" s="48"/>
      <c r="N867" s="123"/>
    </row>
    <row r="868" spans="1:14" customFormat="1" x14ac:dyDescent="0.55000000000000004">
      <c r="A868" s="105" t="s">
        <v>3352</v>
      </c>
      <c r="B868" s="61" t="s">
        <v>153</v>
      </c>
      <c r="C868" s="61" t="s">
        <v>127</v>
      </c>
      <c r="D868" s="61" t="s">
        <v>2994</v>
      </c>
      <c r="E868" s="119">
        <v>5</v>
      </c>
      <c r="F868" s="148" t="s">
        <v>138</v>
      </c>
      <c r="G868" s="148">
        <v>1</v>
      </c>
      <c r="H868" s="61" t="s">
        <v>39</v>
      </c>
      <c r="I868" s="61"/>
      <c r="J868" s="61" t="s">
        <v>919</v>
      </c>
      <c r="K868" s="61" t="s">
        <v>126</v>
      </c>
      <c r="L868" s="159"/>
      <c r="M868" s="48"/>
      <c r="N868" s="123"/>
    </row>
    <row r="869" spans="1:14" customFormat="1" x14ac:dyDescent="0.55000000000000004">
      <c r="A869" s="105" t="s">
        <v>3353</v>
      </c>
      <c r="B869" s="61" t="s">
        <v>920</v>
      </c>
      <c r="C869" s="61" t="s">
        <v>121</v>
      </c>
      <c r="D869" s="61" t="s">
        <v>3288</v>
      </c>
      <c r="E869" s="119">
        <v>1</v>
      </c>
      <c r="F869" s="148" t="s">
        <v>135</v>
      </c>
      <c r="G869" s="148">
        <v>1</v>
      </c>
      <c r="H869" s="61" t="s">
        <v>39</v>
      </c>
      <c r="I869" s="61" t="s">
        <v>1012</v>
      </c>
      <c r="J869" s="61"/>
      <c r="K869" s="61" t="s">
        <v>126</v>
      </c>
      <c r="L869" s="159">
        <v>271114</v>
      </c>
      <c r="M869" s="48"/>
      <c r="N869" s="123"/>
    </row>
    <row r="870" spans="1:14" customFormat="1" x14ac:dyDescent="0.55000000000000004">
      <c r="A870" s="105" t="s">
        <v>3353</v>
      </c>
      <c r="B870" s="61" t="s">
        <v>929</v>
      </c>
      <c r="C870" s="61" t="s">
        <v>125</v>
      </c>
      <c r="D870" s="61" t="s">
        <v>3288</v>
      </c>
      <c r="E870" s="119">
        <v>3.5</v>
      </c>
      <c r="F870" s="148" t="s">
        <v>135</v>
      </c>
      <c r="G870" s="148">
        <v>1</v>
      </c>
      <c r="H870" s="61" t="s">
        <v>39</v>
      </c>
      <c r="I870" s="61"/>
      <c r="J870" s="61" t="s">
        <v>919</v>
      </c>
      <c r="K870" s="61" t="s">
        <v>126</v>
      </c>
      <c r="L870" s="159"/>
      <c r="M870" s="48"/>
      <c r="N870" s="123"/>
    </row>
    <row r="871" spans="1:14" customFormat="1" x14ac:dyDescent="0.55000000000000004">
      <c r="A871" s="105" t="s">
        <v>3353</v>
      </c>
      <c r="B871" s="61" t="s">
        <v>171</v>
      </c>
      <c r="C871" s="61" t="s">
        <v>125</v>
      </c>
      <c r="D871" s="61" t="s">
        <v>3288</v>
      </c>
      <c r="E871" s="119">
        <v>0</v>
      </c>
      <c r="F871" s="148" t="s">
        <v>135</v>
      </c>
      <c r="G871" s="148">
        <v>1</v>
      </c>
      <c r="H871" s="61" t="s">
        <v>39</v>
      </c>
      <c r="I871" s="61" t="s">
        <v>1013</v>
      </c>
      <c r="J871" s="61" t="s">
        <v>919</v>
      </c>
      <c r="K871" s="61" t="s">
        <v>126</v>
      </c>
      <c r="L871" s="159"/>
      <c r="M871" s="48"/>
      <c r="N871" s="123"/>
    </row>
    <row r="872" spans="1:14" customFormat="1" x14ac:dyDescent="0.55000000000000004">
      <c r="A872" s="105" t="s">
        <v>3353</v>
      </c>
      <c r="B872" s="61" t="s">
        <v>153</v>
      </c>
      <c r="C872" s="61" t="s">
        <v>127</v>
      </c>
      <c r="D872" s="61" t="s">
        <v>2994</v>
      </c>
      <c r="E872" s="119">
        <v>0</v>
      </c>
      <c r="F872" s="148" t="s">
        <v>138</v>
      </c>
      <c r="G872" s="148">
        <v>1</v>
      </c>
      <c r="H872" s="61" t="s">
        <v>39</v>
      </c>
      <c r="I872" s="61" t="s">
        <v>946</v>
      </c>
      <c r="J872" s="61" t="s">
        <v>919</v>
      </c>
      <c r="K872" s="61" t="s">
        <v>126</v>
      </c>
      <c r="L872" s="159"/>
      <c r="M872" s="48"/>
      <c r="N872" s="123"/>
    </row>
    <row r="873" spans="1:14" customFormat="1" x14ac:dyDescent="0.55000000000000004">
      <c r="A873" s="105" t="s">
        <v>3353</v>
      </c>
      <c r="B873" s="61" t="s">
        <v>160</v>
      </c>
      <c r="C873" s="61" t="s">
        <v>497</v>
      </c>
      <c r="D873" s="61" t="s">
        <v>3288</v>
      </c>
      <c r="E873" s="119">
        <v>0</v>
      </c>
      <c r="F873" s="148" t="s">
        <v>135</v>
      </c>
      <c r="G873" s="148">
        <v>1</v>
      </c>
      <c r="H873" s="61" t="s">
        <v>39</v>
      </c>
      <c r="I873" s="61"/>
      <c r="J873" s="61" t="s">
        <v>924</v>
      </c>
      <c r="K873" s="61"/>
      <c r="L873" s="159"/>
      <c r="M873" s="48"/>
      <c r="N873" s="123"/>
    </row>
    <row r="874" spans="1:14" customFormat="1" x14ac:dyDescent="0.55000000000000004">
      <c r="A874" s="105" t="s">
        <v>3354</v>
      </c>
      <c r="B874" s="61" t="s">
        <v>920</v>
      </c>
      <c r="C874" s="61" t="s">
        <v>121</v>
      </c>
      <c r="D874" s="61" t="s">
        <v>3288</v>
      </c>
      <c r="E874" s="119">
        <v>1</v>
      </c>
      <c r="F874" s="148" t="s">
        <v>135</v>
      </c>
      <c r="G874" s="148">
        <v>1</v>
      </c>
      <c r="H874" s="61" t="s">
        <v>39</v>
      </c>
      <c r="I874" t="s">
        <v>1012</v>
      </c>
      <c r="J874" s="61"/>
      <c r="K874" t="s">
        <v>126</v>
      </c>
      <c r="L874" s="159">
        <v>271114</v>
      </c>
      <c r="M874" s="48"/>
      <c r="N874" s="123"/>
    </row>
    <row r="875" spans="1:14" customFormat="1" x14ac:dyDescent="0.55000000000000004">
      <c r="A875" s="105" t="s">
        <v>3354</v>
      </c>
      <c r="B875" s="61" t="s">
        <v>928</v>
      </c>
      <c r="C875" s="61" t="s">
        <v>125</v>
      </c>
      <c r="D875" s="61" t="s">
        <v>3288</v>
      </c>
      <c r="E875" s="119">
        <v>3.5</v>
      </c>
      <c r="F875" s="148" t="s">
        <v>135</v>
      </c>
      <c r="G875" s="148">
        <v>1</v>
      </c>
      <c r="H875" s="61" t="s">
        <v>39</v>
      </c>
      <c r="I875" s="61"/>
      <c r="J875" s="61" t="s">
        <v>919</v>
      </c>
      <c r="K875" s="61" t="s">
        <v>126</v>
      </c>
      <c r="L875" s="159"/>
      <c r="M875" s="48"/>
      <c r="N875" s="123"/>
    </row>
    <row r="876" spans="1:14" customFormat="1" x14ac:dyDescent="0.55000000000000004">
      <c r="A876" s="105" t="s">
        <v>3354</v>
      </c>
      <c r="B876" s="61" t="s">
        <v>171</v>
      </c>
      <c r="C876" s="61" t="s">
        <v>125</v>
      </c>
      <c r="D876" s="61" t="s">
        <v>3288</v>
      </c>
      <c r="E876" s="119">
        <v>0</v>
      </c>
      <c r="F876" s="148" t="s">
        <v>135</v>
      </c>
      <c r="G876" s="148">
        <v>1</v>
      </c>
      <c r="H876" s="61" t="s">
        <v>39</v>
      </c>
      <c r="I876" s="61" t="s">
        <v>1013</v>
      </c>
      <c r="J876" s="61" t="s">
        <v>919</v>
      </c>
      <c r="K876" s="61" t="s">
        <v>126</v>
      </c>
      <c r="L876" s="159"/>
      <c r="M876" s="48"/>
      <c r="N876" s="123"/>
    </row>
    <row r="877" spans="1:14" customFormat="1" x14ac:dyDescent="0.55000000000000004">
      <c r="A877" s="105" t="s">
        <v>3354</v>
      </c>
      <c r="B877" s="61" t="s">
        <v>153</v>
      </c>
      <c r="C877" s="61" t="s">
        <v>127</v>
      </c>
      <c r="D877" s="61" t="s">
        <v>2994</v>
      </c>
      <c r="E877" s="119">
        <v>0</v>
      </c>
      <c r="F877" s="148" t="s">
        <v>138</v>
      </c>
      <c r="G877" s="148">
        <v>1</v>
      </c>
      <c r="H877" s="61" t="s">
        <v>39</v>
      </c>
      <c r="I877" s="61" t="s">
        <v>946</v>
      </c>
      <c r="J877" s="61" t="s">
        <v>919</v>
      </c>
      <c r="K877" s="61" t="s">
        <v>126</v>
      </c>
      <c r="L877" s="159"/>
      <c r="M877" s="48"/>
      <c r="N877" s="123"/>
    </row>
    <row r="878" spans="1:14" customFormat="1" x14ac:dyDescent="0.55000000000000004">
      <c r="A878" s="105" t="s">
        <v>3354</v>
      </c>
      <c r="B878" s="61" t="s">
        <v>160</v>
      </c>
      <c r="C878" s="61" t="s">
        <v>497</v>
      </c>
      <c r="D878" s="61" t="s">
        <v>3288</v>
      </c>
      <c r="E878" s="119">
        <v>0</v>
      </c>
      <c r="F878" s="148" t="s">
        <v>135</v>
      </c>
      <c r="G878" s="148">
        <v>1</v>
      </c>
      <c r="H878" s="61" t="s">
        <v>39</v>
      </c>
      <c r="I878" s="61"/>
      <c r="J878" s="61" t="s">
        <v>924</v>
      </c>
      <c r="K878" s="61"/>
      <c r="L878" s="159"/>
      <c r="M878" s="48"/>
      <c r="N878" s="123"/>
    </row>
    <row r="879" spans="1:14" customFormat="1" x14ac:dyDescent="0.55000000000000004">
      <c r="A879" s="105" t="s">
        <v>3355</v>
      </c>
      <c r="B879" s="61" t="s">
        <v>920</v>
      </c>
      <c r="C879" s="61" t="s">
        <v>121</v>
      </c>
      <c r="D879" s="61" t="s">
        <v>3288</v>
      </c>
      <c r="E879" s="119">
        <v>1</v>
      </c>
      <c r="F879" s="148" t="s">
        <v>135</v>
      </c>
      <c r="G879" s="148">
        <v>1</v>
      </c>
      <c r="H879" s="61" t="s">
        <v>39</v>
      </c>
      <c r="I879" s="61"/>
      <c r="J879" s="61"/>
      <c r="K879" s="61"/>
      <c r="L879" s="159">
        <v>271114</v>
      </c>
      <c r="M879" s="48"/>
      <c r="N879" s="123"/>
    </row>
    <row r="880" spans="1:14" customFormat="1" x14ac:dyDescent="0.55000000000000004">
      <c r="A880" s="105" t="s">
        <v>3355</v>
      </c>
      <c r="B880" s="61" t="s">
        <v>625</v>
      </c>
      <c r="C880" s="61" t="s">
        <v>125</v>
      </c>
      <c r="D880" s="61" t="s">
        <v>3288</v>
      </c>
      <c r="E880" s="119">
        <v>0.98744939300000001</v>
      </c>
      <c r="F880" s="148" t="s">
        <v>135</v>
      </c>
      <c r="G880" s="148">
        <v>1</v>
      </c>
      <c r="H880" s="61" t="s">
        <v>39</v>
      </c>
      <c r="I880" s="61" t="s">
        <v>947</v>
      </c>
      <c r="J880" s="61" t="s">
        <v>919</v>
      </c>
      <c r="K880" s="61" t="s">
        <v>126</v>
      </c>
      <c r="L880" s="159"/>
      <c r="M880" s="48"/>
      <c r="N880" s="123"/>
    </row>
    <row r="881" spans="1:14" customFormat="1" x14ac:dyDescent="0.55000000000000004">
      <c r="A881" s="105" t="s">
        <v>3355</v>
      </c>
      <c r="B881" s="61" t="s">
        <v>706</v>
      </c>
      <c r="C881" s="61" t="s">
        <v>125</v>
      </c>
      <c r="D881" s="61" t="s">
        <v>3288</v>
      </c>
      <c r="E881" s="119">
        <v>0</v>
      </c>
      <c r="F881" s="148" t="s">
        <v>135</v>
      </c>
      <c r="G881" s="148">
        <v>1</v>
      </c>
      <c r="H881" s="61" t="s">
        <v>39</v>
      </c>
      <c r="I881" s="61" t="s">
        <v>947</v>
      </c>
      <c r="J881" s="61" t="s">
        <v>919</v>
      </c>
      <c r="K881" s="61" t="s">
        <v>126</v>
      </c>
      <c r="L881" s="159"/>
      <c r="M881" s="48"/>
      <c r="N881" s="123"/>
    </row>
    <row r="882" spans="1:14" customFormat="1" x14ac:dyDescent="0.55000000000000004">
      <c r="A882" s="105" t="s">
        <v>3355</v>
      </c>
      <c r="B882" s="61" t="s">
        <v>925</v>
      </c>
      <c r="C882" s="61" t="s">
        <v>125</v>
      </c>
      <c r="D882" s="61" t="s">
        <v>3288</v>
      </c>
      <c r="E882" s="119">
        <v>2.4696355999999999E-2</v>
      </c>
      <c r="F882" s="148" t="s">
        <v>135</v>
      </c>
      <c r="G882" s="148">
        <v>1</v>
      </c>
      <c r="H882" s="61" t="s">
        <v>39</v>
      </c>
      <c r="I882" s="61" t="s">
        <v>947</v>
      </c>
      <c r="J882" s="61" t="s">
        <v>919</v>
      </c>
      <c r="K882" s="61" t="s">
        <v>126</v>
      </c>
      <c r="L882" s="159"/>
      <c r="M882" s="48"/>
      <c r="N882" s="123"/>
    </row>
    <row r="883" spans="1:14" customFormat="1" x14ac:dyDescent="0.55000000000000004">
      <c r="A883" s="105" t="s">
        <v>3355</v>
      </c>
      <c r="B883" s="61" t="s">
        <v>153</v>
      </c>
      <c r="C883" s="61" t="s">
        <v>127</v>
      </c>
      <c r="D883" s="61" t="s">
        <v>2994</v>
      </c>
      <c r="E883" s="119">
        <v>8.1201133599999995</v>
      </c>
      <c r="F883" s="148" t="s">
        <v>138</v>
      </c>
      <c r="G883" s="148">
        <v>1</v>
      </c>
      <c r="H883" s="61" t="s">
        <v>39</v>
      </c>
      <c r="I883" s="61" t="s">
        <v>999</v>
      </c>
      <c r="J883" s="61" t="s">
        <v>919</v>
      </c>
      <c r="K883" s="61" t="s">
        <v>126</v>
      </c>
      <c r="L883" s="159"/>
      <c r="M883" s="48"/>
      <c r="N883" s="123"/>
    </row>
    <row r="884" spans="1:14" customFormat="1" x14ac:dyDescent="0.55000000000000004">
      <c r="A884" s="105" t="s">
        <v>3356</v>
      </c>
      <c r="B884" s="61" t="s">
        <v>920</v>
      </c>
      <c r="C884" s="61" t="s">
        <v>121</v>
      </c>
      <c r="D884" s="61" t="s">
        <v>3288</v>
      </c>
      <c r="E884" s="119">
        <v>1</v>
      </c>
      <c r="F884" s="148" t="s">
        <v>135</v>
      </c>
      <c r="G884" s="148">
        <v>1</v>
      </c>
      <c r="H884" s="61" t="s">
        <v>39</v>
      </c>
      <c r="J884" s="61"/>
      <c r="L884" s="159">
        <v>271114</v>
      </c>
      <c r="M884" s="48"/>
      <c r="N884" s="123"/>
    </row>
    <row r="885" spans="1:14" customFormat="1" x14ac:dyDescent="0.55000000000000004">
      <c r="A885" s="105" t="s">
        <v>3356</v>
      </c>
      <c r="B885" s="61" t="s">
        <v>625</v>
      </c>
      <c r="C885" s="61" t="s">
        <v>125</v>
      </c>
      <c r="D885" s="61" t="s">
        <v>3288</v>
      </c>
      <c r="E885" s="119">
        <v>0.84939271299999997</v>
      </c>
      <c r="F885" s="148" t="s">
        <v>135</v>
      </c>
      <c r="G885" s="148">
        <v>1</v>
      </c>
      <c r="H885" s="61" t="s">
        <v>39</v>
      </c>
      <c r="I885" s="61" t="s">
        <v>947</v>
      </c>
      <c r="J885" s="61" t="s">
        <v>919</v>
      </c>
      <c r="K885" s="61" t="s">
        <v>126</v>
      </c>
      <c r="L885" s="159"/>
      <c r="M885" s="48"/>
      <c r="N885" s="123"/>
    </row>
    <row r="886" spans="1:14" customFormat="1" x14ac:dyDescent="0.55000000000000004">
      <c r="A886" s="105" t="s">
        <v>3356</v>
      </c>
      <c r="B886" s="61" t="s">
        <v>706</v>
      </c>
      <c r="C886" s="61" t="s">
        <v>125</v>
      </c>
      <c r="D886" s="61" t="s">
        <v>3288</v>
      </c>
      <c r="E886" s="119">
        <v>0</v>
      </c>
      <c r="F886" s="148" t="s">
        <v>135</v>
      </c>
      <c r="G886" s="148">
        <v>1</v>
      </c>
      <c r="H886" s="61" t="s">
        <v>39</v>
      </c>
      <c r="I886" s="61" t="s">
        <v>947</v>
      </c>
      <c r="J886" s="61" t="s">
        <v>919</v>
      </c>
      <c r="K886" s="61" t="s">
        <v>126</v>
      </c>
      <c r="L886" s="159"/>
      <c r="M886" s="48"/>
      <c r="N886" s="123"/>
    </row>
    <row r="887" spans="1:14" customFormat="1" x14ac:dyDescent="0.55000000000000004">
      <c r="A887" s="105" t="s">
        <v>3356</v>
      </c>
      <c r="B887" s="61" t="s">
        <v>925</v>
      </c>
      <c r="C887" s="61" t="s">
        <v>125</v>
      </c>
      <c r="D887" s="61" t="s">
        <v>3288</v>
      </c>
      <c r="E887" s="119">
        <v>2.1052632000000002E-2</v>
      </c>
      <c r="F887" s="148" t="s">
        <v>135</v>
      </c>
      <c r="G887" s="148">
        <v>1</v>
      </c>
      <c r="H887" s="61" t="s">
        <v>39</v>
      </c>
      <c r="I887" s="61" t="s">
        <v>947</v>
      </c>
      <c r="J887" s="61" t="s">
        <v>919</v>
      </c>
      <c r="K887" s="61" t="s">
        <v>126</v>
      </c>
      <c r="L887" s="159"/>
      <c r="M887" s="48"/>
      <c r="N887" s="123"/>
    </row>
    <row r="888" spans="1:14" customFormat="1" x14ac:dyDescent="0.55000000000000004">
      <c r="A888" s="105" t="s">
        <v>3356</v>
      </c>
      <c r="B888" s="61" t="s">
        <v>213</v>
      </c>
      <c r="C888" s="61" t="s">
        <v>125</v>
      </c>
      <c r="D888" s="61" t="s">
        <v>3288</v>
      </c>
      <c r="E888" s="119">
        <v>6.4777327999999995E-2</v>
      </c>
      <c r="F888" s="148" t="s">
        <v>135</v>
      </c>
      <c r="G888" s="148">
        <v>1</v>
      </c>
      <c r="H888" s="61" t="s">
        <v>39</v>
      </c>
      <c r="I888" s="61" t="s">
        <v>947</v>
      </c>
      <c r="J888" s="61" t="s">
        <v>919</v>
      </c>
      <c r="K888" s="61" t="s">
        <v>126</v>
      </c>
      <c r="L888" s="159"/>
      <c r="M888" s="48"/>
      <c r="N888" s="123"/>
    </row>
    <row r="889" spans="1:14" customFormat="1" x14ac:dyDescent="0.55000000000000004">
      <c r="A889" s="105" t="s">
        <v>3356</v>
      </c>
      <c r="B889" s="61" t="s">
        <v>153</v>
      </c>
      <c r="C889" s="61" t="s">
        <v>127</v>
      </c>
      <c r="D889" s="61" t="s">
        <v>2994</v>
      </c>
      <c r="E889" s="119">
        <v>9.6792226719999999</v>
      </c>
      <c r="F889" s="148" t="s">
        <v>138</v>
      </c>
      <c r="G889" s="148">
        <v>1</v>
      </c>
      <c r="H889" s="61" t="s">
        <v>39</v>
      </c>
      <c r="I889" s="61" t="s">
        <v>947</v>
      </c>
      <c r="J889" s="61" t="s">
        <v>919</v>
      </c>
      <c r="K889" s="61" t="s">
        <v>126</v>
      </c>
      <c r="L889" s="159"/>
      <c r="M889" s="48"/>
      <c r="N889" s="123"/>
    </row>
    <row r="890" spans="1:14" customFormat="1" x14ac:dyDescent="0.55000000000000004">
      <c r="A890" s="105" t="s">
        <v>3356</v>
      </c>
      <c r="B890" s="61" t="s">
        <v>334</v>
      </c>
      <c r="C890" s="61" t="s">
        <v>125</v>
      </c>
      <c r="D890" s="61" t="s">
        <v>3288</v>
      </c>
      <c r="E890" s="119">
        <v>1.9190282999999999E-2</v>
      </c>
      <c r="F890" s="148" t="s">
        <v>135</v>
      </c>
      <c r="G890" s="148">
        <v>1</v>
      </c>
      <c r="H890" s="61" t="s">
        <v>39</v>
      </c>
      <c r="I890" s="61"/>
      <c r="J890" s="61" t="s">
        <v>919</v>
      </c>
      <c r="K890" s="61" t="s">
        <v>126</v>
      </c>
      <c r="L890" s="159"/>
      <c r="M890" s="48"/>
      <c r="N890" s="123"/>
    </row>
    <row r="891" spans="1:14" customFormat="1" x14ac:dyDescent="0.55000000000000004">
      <c r="A891" s="105" t="s">
        <v>3357</v>
      </c>
      <c r="B891" s="61" t="s">
        <v>920</v>
      </c>
      <c r="C891" s="61" t="s">
        <v>121</v>
      </c>
      <c r="D891" s="61" t="s">
        <v>3288</v>
      </c>
      <c r="E891" s="119">
        <v>1</v>
      </c>
      <c r="F891" s="148" t="s">
        <v>135</v>
      </c>
      <c r="G891" s="148">
        <v>1</v>
      </c>
      <c r="H891" s="61" t="s">
        <v>39</v>
      </c>
      <c r="J891" s="61"/>
      <c r="L891" s="159">
        <v>271114</v>
      </c>
      <c r="M891" s="48"/>
      <c r="N891" s="123"/>
    </row>
    <row r="892" spans="1:14" customFormat="1" x14ac:dyDescent="0.55000000000000004">
      <c r="A892" s="105" t="s">
        <v>3357</v>
      </c>
      <c r="B892" s="61" t="s">
        <v>625</v>
      </c>
      <c r="C892" s="61" t="s">
        <v>125</v>
      </c>
      <c r="D892" s="61" t="s">
        <v>3288</v>
      </c>
      <c r="E892" s="119">
        <v>0.98744939300000001</v>
      </c>
      <c r="F892" s="148" t="s">
        <v>135</v>
      </c>
      <c r="G892" s="148">
        <v>1</v>
      </c>
      <c r="H892" s="61" t="s">
        <v>39</v>
      </c>
      <c r="I892" s="61" t="s">
        <v>947</v>
      </c>
      <c r="J892" s="61" t="s">
        <v>919</v>
      </c>
      <c r="K892" s="61" t="s">
        <v>126</v>
      </c>
      <c r="L892" s="159"/>
      <c r="M892" s="48"/>
      <c r="N892" s="123"/>
    </row>
    <row r="893" spans="1:14" customFormat="1" x14ac:dyDescent="0.55000000000000004">
      <c r="A893" s="105" t="s">
        <v>3357</v>
      </c>
      <c r="B893" s="61" t="s">
        <v>706</v>
      </c>
      <c r="C893" s="61" t="s">
        <v>125</v>
      </c>
      <c r="D893" s="61" t="s">
        <v>3288</v>
      </c>
      <c r="E893" s="119">
        <v>0</v>
      </c>
      <c r="F893" s="148" t="s">
        <v>135</v>
      </c>
      <c r="G893" s="148">
        <v>1</v>
      </c>
      <c r="H893" s="61" t="s">
        <v>39</v>
      </c>
      <c r="I893" s="61" t="s">
        <v>947</v>
      </c>
      <c r="J893" s="61" t="s">
        <v>919</v>
      </c>
      <c r="K893" s="61" t="s">
        <v>126</v>
      </c>
      <c r="L893" s="159"/>
      <c r="M893" s="48"/>
      <c r="N893" s="123"/>
    </row>
    <row r="894" spans="1:14" customFormat="1" x14ac:dyDescent="0.55000000000000004">
      <c r="A894" s="105" t="s">
        <v>3357</v>
      </c>
      <c r="B894" s="61" t="s">
        <v>925</v>
      </c>
      <c r="C894" s="61" t="s">
        <v>125</v>
      </c>
      <c r="D894" s="61" t="s">
        <v>3288</v>
      </c>
      <c r="E894" s="119">
        <v>2.4696355999999999E-2</v>
      </c>
      <c r="F894" s="148" t="s">
        <v>135</v>
      </c>
      <c r="G894" s="148">
        <v>1</v>
      </c>
      <c r="H894" s="61" t="s">
        <v>39</v>
      </c>
      <c r="I894" s="61" t="s">
        <v>947</v>
      </c>
      <c r="J894" s="61" t="s">
        <v>919</v>
      </c>
      <c r="K894" s="61" t="s">
        <v>126</v>
      </c>
      <c r="L894" s="159"/>
      <c r="M894" s="48"/>
      <c r="N894" s="123"/>
    </row>
    <row r="895" spans="1:14" customFormat="1" x14ac:dyDescent="0.55000000000000004">
      <c r="A895" s="105" t="s">
        <v>3357</v>
      </c>
      <c r="B895" s="61" t="s">
        <v>334</v>
      </c>
      <c r="C895" s="61" t="s">
        <v>125</v>
      </c>
      <c r="D895" s="61" t="s">
        <v>3288</v>
      </c>
      <c r="E895" s="119">
        <v>7.3886640000000003E-2</v>
      </c>
      <c r="F895" s="148" t="s">
        <v>135</v>
      </c>
      <c r="G895" s="148">
        <v>1</v>
      </c>
      <c r="H895" s="61" t="s">
        <v>39</v>
      </c>
      <c r="I895" s="61" t="s">
        <v>947</v>
      </c>
      <c r="J895" s="61" t="s">
        <v>919</v>
      </c>
      <c r="K895" s="61" t="s">
        <v>126</v>
      </c>
      <c r="L895" s="159"/>
      <c r="M895" s="48"/>
      <c r="N895" s="123"/>
    </row>
    <row r="896" spans="1:14" customFormat="1" x14ac:dyDescent="0.55000000000000004">
      <c r="A896" s="105" t="s">
        <v>3357</v>
      </c>
      <c r="B896" s="61" t="s">
        <v>153</v>
      </c>
      <c r="C896" s="61" t="s">
        <v>127</v>
      </c>
      <c r="D896" s="61" t="s">
        <v>2994</v>
      </c>
      <c r="E896" s="119">
        <v>1.0253441299999999</v>
      </c>
      <c r="F896" s="148" t="s">
        <v>138</v>
      </c>
      <c r="G896" s="148">
        <v>1</v>
      </c>
      <c r="H896" s="61" t="s">
        <v>39</v>
      </c>
      <c r="I896" s="61" t="s">
        <v>947</v>
      </c>
      <c r="J896" s="61" t="s">
        <v>919</v>
      </c>
      <c r="K896" s="61" t="s">
        <v>126</v>
      </c>
      <c r="L896" s="159"/>
      <c r="M896" s="48"/>
      <c r="N896" s="123"/>
    </row>
    <row r="897" spans="1:14" customFormat="1" x14ac:dyDescent="0.55000000000000004">
      <c r="A897" s="105" t="s">
        <v>3358</v>
      </c>
      <c r="B897" s="61" t="s">
        <v>920</v>
      </c>
      <c r="C897" s="61" t="s">
        <v>121</v>
      </c>
      <c r="D897" s="61" t="s">
        <v>3288</v>
      </c>
      <c r="E897" s="119">
        <v>1</v>
      </c>
      <c r="F897" s="148" t="s">
        <v>135</v>
      </c>
      <c r="G897" s="148">
        <v>1</v>
      </c>
      <c r="H897" s="61" t="s">
        <v>39</v>
      </c>
      <c r="J897" s="61"/>
      <c r="L897" s="159">
        <v>271114</v>
      </c>
      <c r="M897" s="48"/>
      <c r="N897" s="123"/>
    </row>
    <row r="898" spans="1:14" customFormat="1" x14ac:dyDescent="0.55000000000000004">
      <c r="A898" s="105" t="s">
        <v>3358</v>
      </c>
      <c r="B898" s="61" t="s">
        <v>625</v>
      </c>
      <c r="C898" s="61" t="s">
        <v>125</v>
      </c>
      <c r="D898" s="61" t="s">
        <v>3288</v>
      </c>
      <c r="E898" s="119">
        <v>0.84939271299999997</v>
      </c>
      <c r="F898" s="148" t="s">
        <v>135</v>
      </c>
      <c r="G898" s="148">
        <v>1</v>
      </c>
      <c r="H898" s="61" t="s">
        <v>39</v>
      </c>
      <c r="I898" t="s">
        <v>947</v>
      </c>
      <c r="J898" s="61" t="s">
        <v>919</v>
      </c>
      <c r="K898" t="s">
        <v>126</v>
      </c>
      <c r="L898" s="159"/>
      <c r="M898" s="48"/>
      <c r="N898" s="123"/>
    </row>
    <row r="899" spans="1:14" customFormat="1" x14ac:dyDescent="0.55000000000000004">
      <c r="A899" s="105" t="s">
        <v>3358</v>
      </c>
      <c r="B899" s="61" t="s">
        <v>706</v>
      </c>
      <c r="C899" s="61" t="s">
        <v>125</v>
      </c>
      <c r="D899" s="61" t="s">
        <v>3288</v>
      </c>
      <c r="E899" s="119">
        <v>0</v>
      </c>
      <c r="F899" s="148" t="s">
        <v>135</v>
      </c>
      <c r="G899" s="148">
        <v>1</v>
      </c>
      <c r="H899" s="61" t="s">
        <v>39</v>
      </c>
      <c r="I899" t="s">
        <v>947</v>
      </c>
      <c r="J899" s="61" t="s">
        <v>919</v>
      </c>
      <c r="K899" t="s">
        <v>126</v>
      </c>
      <c r="L899" s="159"/>
      <c r="M899" s="48"/>
      <c r="N899" s="123"/>
    </row>
    <row r="900" spans="1:14" customFormat="1" x14ac:dyDescent="0.55000000000000004">
      <c r="A900" s="105" t="s">
        <v>3358</v>
      </c>
      <c r="B900" s="61" t="s">
        <v>925</v>
      </c>
      <c r="C900" s="61" t="s">
        <v>125</v>
      </c>
      <c r="D900" s="61" t="s">
        <v>3288</v>
      </c>
      <c r="E900" s="119">
        <v>2.1052632000000002E-2</v>
      </c>
      <c r="F900" s="148" t="s">
        <v>135</v>
      </c>
      <c r="G900" s="148">
        <v>1</v>
      </c>
      <c r="H900" s="61" t="s">
        <v>39</v>
      </c>
      <c r="I900" t="s">
        <v>947</v>
      </c>
      <c r="J900" s="61" t="s">
        <v>919</v>
      </c>
      <c r="K900" t="s">
        <v>126</v>
      </c>
      <c r="L900" s="159"/>
      <c r="M900" s="48"/>
      <c r="N900" s="123"/>
    </row>
    <row r="901" spans="1:14" customFormat="1" x14ac:dyDescent="0.55000000000000004">
      <c r="A901" s="105" t="s">
        <v>3358</v>
      </c>
      <c r="B901" s="61" t="s">
        <v>213</v>
      </c>
      <c r="C901" s="61" t="s">
        <v>125</v>
      </c>
      <c r="D901" s="61" t="s">
        <v>3288</v>
      </c>
      <c r="E901" s="119">
        <v>6.4736842000000003E-2</v>
      </c>
      <c r="F901" s="148" t="s">
        <v>135</v>
      </c>
      <c r="G901" s="148">
        <v>1</v>
      </c>
      <c r="H901" s="61" t="s">
        <v>39</v>
      </c>
      <c r="I901" t="s">
        <v>947</v>
      </c>
      <c r="J901" s="61" t="s">
        <v>919</v>
      </c>
      <c r="K901" t="s">
        <v>126</v>
      </c>
      <c r="L901" s="159"/>
      <c r="M901" s="48"/>
      <c r="N901" s="123"/>
    </row>
    <row r="902" spans="1:14" customFormat="1" x14ac:dyDescent="0.55000000000000004">
      <c r="A902" s="105" t="s">
        <v>3358</v>
      </c>
      <c r="B902" s="61" t="s">
        <v>334</v>
      </c>
      <c r="C902" s="61" t="s">
        <v>125</v>
      </c>
      <c r="D902" s="61" t="s">
        <v>3288</v>
      </c>
      <c r="E902" s="119">
        <v>6.4736842000000003E-2</v>
      </c>
      <c r="F902" s="148" t="s">
        <v>135</v>
      </c>
      <c r="G902" s="148">
        <v>1</v>
      </c>
      <c r="H902" s="61" t="s">
        <v>39</v>
      </c>
      <c r="I902" t="s">
        <v>947</v>
      </c>
      <c r="J902" s="61" t="s">
        <v>919</v>
      </c>
      <c r="K902" t="s">
        <v>126</v>
      </c>
      <c r="L902" s="159"/>
      <c r="M902" s="48"/>
      <c r="N902" s="123"/>
    </row>
    <row r="903" spans="1:14" customFormat="1" x14ac:dyDescent="0.55000000000000004">
      <c r="A903" s="105" t="s">
        <v>3358</v>
      </c>
      <c r="B903" s="61" t="s">
        <v>153</v>
      </c>
      <c r="C903" s="61" t="s">
        <v>127</v>
      </c>
      <c r="D903" s="61" t="s">
        <v>2994</v>
      </c>
      <c r="E903" s="119">
        <v>2.584453441</v>
      </c>
      <c r="F903" s="148" t="s">
        <v>138</v>
      </c>
      <c r="G903" s="148">
        <v>1</v>
      </c>
      <c r="H903" s="61" t="s">
        <v>39</v>
      </c>
      <c r="I903" t="s">
        <v>947</v>
      </c>
      <c r="J903" s="61" t="s">
        <v>919</v>
      </c>
      <c r="K903" t="s">
        <v>126</v>
      </c>
      <c r="L903" s="159"/>
      <c r="M903" s="48"/>
      <c r="N903" s="123"/>
    </row>
    <row r="904" spans="1:14" customFormat="1" x14ac:dyDescent="0.55000000000000004">
      <c r="A904" s="105" t="s">
        <v>3358</v>
      </c>
      <c r="B904" s="61" t="s">
        <v>334</v>
      </c>
      <c r="C904" s="61" t="s">
        <v>125</v>
      </c>
      <c r="D904" s="61" t="s">
        <v>3288</v>
      </c>
      <c r="E904" s="119">
        <v>1.9190282999999999E-2</v>
      </c>
      <c r="F904" s="148" t="s">
        <v>135</v>
      </c>
      <c r="G904" s="148">
        <v>1</v>
      </c>
      <c r="H904" s="61" t="s">
        <v>39</v>
      </c>
      <c r="J904" s="61" t="s">
        <v>919</v>
      </c>
      <c r="K904" t="s">
        <v>126</v>
      </c>
      <c r="L904" s="159"/>
      <c r="M904" s="48"/>
      <c r="N904" s="123"/>
    </row>
    <row r="905" spans="1:14" customFormat="1" x14ac:dyDescent="0.55000000000000004">
      <c r="A905" s="105" t="s">
        <v>3359</v>
      </c>
      <c r="B905" s="61" t="s">
        <v>920</v>
      </c>
      <c r="C905" s="61" t="s">
        <v>121</v>
      </c>
      <c r="D905" s="61" t="s">
        <v>3288</v>
      </c>
      <c r="E905" s="119">
        <v>1</v>
      </c>
      <c r="F905" s="148" t="s">
        <v>135</v>
      </c>
      <c r="G905" s="148">
        <v>1</v>
      </c>
      <c r="H905" s="61" t="s">
        <v>39</v>
      </c>
      <c r="J905" s="61"/>
      <c r="L905" s="159">
        <v>271114</v>
      </c>
      <c r="M905" s="48"/>
      <c r="N905" s="123"/>
    </row>
    <row r="906" spans="1:14" customFormat="1" x14ac:dyDescent="0.55000000000000004">
      <c r="A906" s="105" t="s">
        <v>3359</v>
      </c>
      <c r="B906" s="61" t="s">
        <v>625</v>
      </c>
      <c r="C906" s="61" t="s">
        <v>125</v>
      </c>
      <c r="D906" s="61" t="s">
        <v>3288</v>
      </c>
      <c r="E906" s="119">
        <v>0.98744939300000001</v>
      </c>
      <c r="F906" s="148" t="s">
        <v>135</v>
      </c>
      <c r="G906" s="148">
        <v>1</v>
      </c>
      <c r="H906" s="61" t="s">
        <v>39</v>
      </c>
      <c r="I906" s="61" t="s">
        <v>956</v>
      </c>
      <c r="J906" s="61" t="s">
        <v>919</v>
      </c>
      <c r="K906" s="61" t="s">
        <v>126</v>
      </c>
      <c r="L906" s="159"/>
      <c r="M906" s="48"/>
      <c r="N906" s="123"/>
    </row>
    <row r="907" spans="1:14" customFormat="1" x14ac:dyDescent="0.55000000000000004">
      <c r="A907" s="105" t="s">
        <v>3359</v>
      </c>
      <c r="B907" s="61" t="s">
        <v>706</v>
      </c>
      <c r="C907" s="61" t="s">
        <v>125</v>
      </c>
      <c r="D907" s="61" t="s">
        <v>3288</v>
      </c>
      <c r="E907" s="119">
        <v>0</v>
      </c>
      <c r="F907" s="148" t="s">
        <v>135</v>
      </c>
      <c r="G907" s="148">
        <v>1</v>
      </c>
      <c r="H907" s="61" t="s">
        <v>39</v>
      </c>
      <c r="I907" s="61" t="s">
        <v>947</v>
      </c>
      <c r="J907" s="61" t="s">
        <v>919</v>
      </c>
      <c r="K907" s="61" t="s">
        <v>126</v>
      </c>
      <c r="L907" s="159"/>
      <c r="M907" s="48"/>
      <c r="N907" s="123"/>
    </row>
    <row r="908" spans="1:14" customFormat="1" x14ac:dyDescent="0.55000000000000004">
      <c r="A908" s="105" t="s">
        <v>3359</v>
      </c>
      <c r="B908" s="61" t="s">
        <v>925</v>
      </c>
      <c r="C908" s="61" t="s">
        <v>125</v>
      </c>
      <c r="D908" s="61" t="s">
        <v>3288</v>
      </c>
      <c r="E908" s="119">
        <v>2.4696355999999999E-2</v>
      </c>
      <c r="F908" s="148" t="s">
        <v>135</v>
      </c>
      <c r="G908" s="148">
        <v>1</v>
      </c>
      <c r="H908" s="61" t="s">
        <v>39</v>
      </c>
      <c r="I908" s="61" t="s">
        <v>947</v>
      </c>
      <c r="J908" s="61" t="s">
        <v>919</v>
      </c>
      <c r="K908" s="61" t="s">
        <v>126</v>
      </c>
      <c r="L908" s="159"/>
      <c r="M908" s="48"/>
      <c r="N908" s="123"/>
    </row>
    <row r="909" spans="1:14" customFormat="1" x14ac:dyDescent="0.55000000000000004">
      <c r="A909" s="105" t="s">
        <v>3359</v>
      </c>
      <c r="B909" s="61" t="s">
        <v>923</v>
      </c>
      <c r="C909" s="61" t="s">
        <v>127</v>
      </c>
      <c r="D909" s="61" t="s">
        <v>2994</v>
      </c>
      <c r="E909" s="119">
        <v>8.8684184530000003</v>
      </c>
      <c r="F909" s="148" t="s">
        <v>138</v>
      </c>
      <c r="G909" s="148">
        <v>1</v>
      </c>
      <c r="H909" s="61" t="s">
        <v>39</v>
      </c>
      <c r="I909" s="61" t="s">
        <v>957</v>
      </c>
      <c r="J909" s="61" t="s">
        <v>919</v>
      </c>
      <c r="K909" s="61" t="s">
        <v>126</v>
      </c>
      <c r="L909" s="159"/>
      <c r="M909" s="48"/>
      <c r="N909" s="123"/>
    </row>
    <row r="910" spans="1:14" customFormat="1" x14ac:dyDescent="0.55000000000000004">
      <c r="A910" s="105" t="s">
        <v>3359</v>
      </c>
      <c r="B910" s="61" t="s">
        <v>153</v>
      </c>
      <c r="C910" s="61" t="s">
        <v>127</v>
      </c>
      <c r="D910" s="61" t="s">
        <v>2994</v>
      </c>
      <c r="E910" s="119">
        <v>1.0253441299999999</v>
      </c>
      <c r="F910" s="148" t="s">
        <v>138</v>
      </c>
      <c r="G910" s="148">
        <v>1</v>
      </c>
      <c r="H910" s="61" t="s">
        <v>39</v>
      </c>
      <c r="I910" s="61" t="s">
        <v>958</v>
      </c>
      <c r="J910" s="61" t="s">
        <v>919</v>
      </c>
      <c r="K910" s="61" t="s">
        <v>126</v>
      </c>
      <c r="L910" s="159"/>
      <c r="M910" s="48"/>
      <c r="N910" s="123"/>
    </row>
    <row r="911" spans="1:14" customFormat="1" x14ac:dyDescent="0.55000000000000004">
      <c r="A911" s="105" t="s">
        <v>3359</v>
      </c>
      <c r="B911" s="61" t="s">
        <v>160</v>
      </c>
      <c r="C911" s="61" t="s">
        <v>497</v>
      </c>
      <c r="D911" s="61" t="s">
        <v>3288</v>
      </c>
      <c r="E911" s="119">
        <v>0.59418403600000003</v>
      </c>
      <c r="F911" s="148" t="s">
        <v>135</v>
      </c>
      <c r="G911" s="148">
        <v>1</v>
      </c>
      <c r="H911" s="61" t="s">
        <v>39</v>
      </c>
      <c r="I911" s="61" t="s">
        <v>959</v>
      </c>
      <c r="J911" s="61" t="s">
        <v>924</v>
      </c>
      <c r="K911" s="61" t="s">
        <v>126</v>
      </c>
      <c r="L911" s="159"/>
      <c r="M911" s="48"/>
      <c r="N911" s="123"/>
    </row>
    <row r="912" spans="1:14" customFormat="1" x14ac:dyDescent="0.55000000000000004">
      <c r="A912" s="105" t="s">
        <v>3360</v>
      </c>
      <c r="B912" s="61" t="s">
        <v>920</v>
      </c>
      <c r="C912" s="61" t="s">
        <v>121</v>
      </c>
      <c r="D912" s="61" t="s">
        <v>3288</v>
      </c>
      <c r="E912" s="119">
        <v>1</v>
      </c>
      <c r="F912" s="148" t="s">
        <v>135</v>
      </c>
      <c r="G912" s="148">
        <v>1</v>
      </c>
      <c r="H912" s="61" t="s">
        <v>39</v>
      </c>
      <c r="J912" s="61"/>
      <c r="L912" s="159">
        <v>271114</v>
      </c>
      <c r="M912" s="48"/>
      <c r="N912" s="123"/>
    </row>
    <row r="913" spans="1:14" customFormat="1" x14ac:dyDescent="0.55000000000000004">
      <c r="A913" s="105" t="s">
        <v>3360</v>
      </c>
      <c r="B913" s="61" t="s">
        <v>923</v>
      </c>
      <c r="C913" s="61" t="s">
        <v>127</v>
      </c>
      <c r="D913" s="61" t="s">
        <v>2994</v>
      </c>
      <c r="E913" s="119">
        <v>8.461538462</v>
      </c>
      <c r="F913" s="148" t="s">
        <v>138</v>
      </c>
      <c r="G913" s="148">
        <v>1</v>
      </c>
      <c r="H913" s="61" t="s">
        <v>39</v>
      </c>
      <c r="I913" s="61" t="s">
        <v>947</v>
      </c>
      <c r="J913" s="61" t="s">
        <v>919</v>
      </c>
      <c r="K913" s="61" t="s">
        <v>126</v>
      </c>
      <c r="L913" s="159"/>
      <c r="M913" s="48"/>
      <c r="N913" s="123"/>
    </row>
    <row r="914" spans="1:14" customFormat="1" x14ac:dyDescent="0.55000000000000004">
      <c r="A914" s="105" t="s">
        <v>3360</v>
      </c>
      <c r="B914" s="61" t="s">
        <v>625</v>
      </c>
      <c r="C914" s="61" t="s">
        <v>125</v>
      </c>
      <c r="D914" s="61" t="s">
        <v>3288</v>
      </c>
      <c r="E914" s="119">
        <v>0.91821862300000001</v>
      </c>
      <c r="F914" s="148" t="s">
        <v>135</v>
      </c>
      <c r="G914" s="148">
        <v>1</v>
      </c>
      <c r="H914" s="61" t="s">
        <v>39</v>
      </c>
      <c r="I914" s="61" t="s">
        <v>947</v>
      </c>
      <c r="J914" s="61" t="s">
        <v>919</v>
      </c>
      <c r="K914" s="61" t="s">
        <v>126</v>
      </c>
      <c r="L914" s="159"/>
      <c r="M914" s="48"/>
      <c r="N914" s="123"/>
    </row>
    <row r="915" spans="1:14" customFormat="1" x14ac:dyDescent="0.55000000000000004">
      <c r="A915" s="105" t="s">
        <v>3360</v>
      </c>
      <c r="B915" s="61" t="s">
        <v>706</v>
      </c>
      <c r="C915" s="61" t="s">
        <v>125</v>
      </c>
      <c r="D915" s="61" t="s">
        <v>3288</v>
      </c>
      <c r="E915" s="119">
        <v>0</v>
      </c>
      <c r="F915" s="148" t="s">
        <v>135</v>
      </c>
      <c r="G915" s="148">
        <v>1</v>
      </c>
      <c r="H915" s="61" t="s">
        <v>39</v>
      </c>
      <c r="I915" s="61" t="s">
        <v>947</v>
      </c>
      <c r="J915" s="61" t="s">
        <v>919</v>
      </c>
      <c r="K915" s="61" t="s">
        <v>126</v>
      </c>
      <c r="L915" s="159"/>
      <c r="M915" s="48"/>
      <c r="N915" s="123"/>
    </row>
    <row r="916" spans="1:14" customFormat="1" x14ac:dyDescent="0.55000000000000004">
      <c r="A916" s="105" t="s">
        <v>3360</v>
      </c>
      <c r="B916" s="61" t="s">
        <v>925</v>
      </c>
      <c r="C916" s="61" t="s">
        <v>125</v>
      </c>
      <c r="D916" s="61" t="s">
        <v>3288</v>
      </c>
      <c r="E916" s="119">
        <v>2.3076922999999999E-2</v>
      </c>
      <c r="F916" s="148" t="s">
        <v>135</v>
      </c>
      <c r="G916" s="148">
        <v>1</v>
      </c>
      <c r="H916" s="61" t="s">
        <v>39</v>
      </c>
      <c r="I916" s="61" t="s">
        <v>947</v>
      </c>
      <c r="J916" s="61" t="s">
        <v>919</v>
      </c>
      <c r="K916" s="61" t="s">
        <v>126</v>
      </c>
      <c r="L916" s="159"/>
      <c r="M916" s="48"/>
      <c r="N916" s="123"/>
    </row>
    <row r="917" spans="1:14" customFormat="1" x14ac:dyDescent="0.55000000000000004">
      <c r="A917" s="105" t="s">
        <v>3360</v>
      </c>
      <c r="B917" s="61" t="s">
        <v>213</v>
      </c>
      <c r="C917" s="61" t="s">
        <v>125</v>
      </c>
      <c r="D917" s="61" t="s">
        <v>3288</v>
      </c>
      <c r="E917" s="119">
        <v>6.4777327999999995E-2</v>
      </c>
      <c r="F917" s="148" t="s">
        <v>135</v>
      </c>
      <c r="G917" s="148">
        <v>1</v>
      </c>
      <c r="H917" s="61" t="s">
        <v>39</v>
      </c>
      <c r="I917" s="61" t="s">
        <v>960</v>
      </c>
      <c r="J917" s="61" t="s">
        <v>919</v>
      </c>
      <c r="K917" s="61" t="s">
        <v>126</v>
      </c>
      <c r="L917" s="159"/>
      <c r="M917" s="48"/>
      <c r="N917" s="123"/>
    </row>
    <row r="918" spans="1:14" customFormat="1" x14ac:dyDescent="0.55000000000000004">
      <c r="A918" s="105" t="s">
        <v>3360</v>
      </c>
      <c r="B918" s="61" t="s">
        <v>153</v>
      </c>
      <c r="C918" s="61" t="s">
        <v>127</v>
      </c>
      <c r="D918" s="61" t="s">
        <v>2994</v>
      </c>
      <c r="E918" s="119">
        <v>1.0253441299999999</v>
      </c>
      <c r="F918" s="148" t="s">
        <v>138</v>
      </c>
      <c r="G918" s="148">
        <v>1</v>
      </c>
      <c r="H918" s="61" t="s">
        <v>39</v>
      </c>
      <c r="I918" s="61" t="s">
        <v>961</v>
      </c>
      <c r="J918" s="61" t="s">
        <v>919</v>
      </c>
      <c r="K918" s="61" t="s">
        <v>126</v>
      </c>
      <c r="L918" s="159"/>
      <c r="M918" s="48"/>
      <c r="N918" s="123"/>
    </row>
    <row r="919" spans="1:14" customFormat="1" x14ac:dyDescent="0.55000000000000004">
      <c r="A919" s="105" t="s">
        <v>3360</v>
      </c>
      <c r="B919" s="61" t="s">
        <v>153</v>
      </c>
      <c r="C919" s="61" t="s">
        <v>127</v>
      </c>
      <c r="D919" s="61" t="s">
        <v>2994</v>
      </c>
      <c r="E919" s="119">
        <v>0.44048583000000002</v>
      </c>
      <c r="F919" s="148" t="s">
        <v>138</v>
      </c>
      <c r="G919" s="148">
        <v>1</v>
      </c>
      <c r="H919" s="61" t="s">
        <v>39</v>
      </c>
      <c r="I919" s="61" t="s">
        <v>1000</v>
      </c>
      <c r="J919" s="61" t="s">
        <v>919</v>
      </c>
      <c r="K919" s="61" t="s">
        <v>126</v>
      </c>
      <c r="L919" s="159"/>
      <c r="M919" s="48"/>
      <c r="N919" s="123"/>
    </row>
    <row r="920" spans="1:14" customFormat="1" x14ac:dyDescent="0.55000000000000004">
      <c r="A920" s="105" t="s">
        <v>3360</v>
      </c>
      <c r="B920" s="61" t="s">
        <v>153</v>
      </c>
      <c r="C920" s="61" t="s">
        <v>127</v>
      </c>
      <c r="D920" s="61" t="s">
        <v>2994</v>
      </c>
      <c r="E920" s="119">
        <v>1.46582996</v>
      </c>
      <c r="F920" s="148" t="s">
        <v>138</v>
      </c>
      <c r="G920" s="148">
        <v>1</v>
      </c>
      <c r="H920" s="61" t="s">
        <v>39</v>
      </c>
      <c r="I920" s="61" t="s">
        <v>962</v>
      </c>
      <c r="J920" s="61" t="s">
        <v>919</v>
      </c>
      <c r="K920" s="61" t="s">
        <v>126</v>
      </c>
      <c r="L920" s="159"/>
      <c r="M920" s="48"/>
      <c r="N920" s="123"/>
    </row>
    <row r="921" spans="1:14" customFormat="1" x14ac:dyDescent="0.55000000000000004">
      <c r="A921" s="105" t="s">
        <v>3360</v>
      </c>
      <c r="B921" s="61" t="s">
        <v>160</v>
      </c>
      <c r="C921" s="61" t="s">
        <v>497</v>
      </c>
      <c r="D921" s="61" t="s">
        <v>3288</v>
      </c>
      <c r="E921" s="119">
        <v>0.566923077</v>
      </c>
      <c r="F921" s="148" t="s">
        <v>135</v>
      </c>
      <c r="G921" s="148">
        <v>1</v>
      </c>
      <c r="H921" s="61" t="s">
        <v>39</v>
      </c>
      <c r="I921" s="61" t="s">
        <v>959</v>
      </c>
      <c r="J921" s="61" t="s">
        <v>924</v>
      </c>
      <c r="K921" s="61" t="s">
        <v>126</v>
      </c>
      <c r="L921" s="159"/>
      <c r="M921" s="48"/>
      <c r="N921" s="123"/>
    </row>
    <row r="922" spans="1:14" customFormat="1" x14ac:dyDescent="0.55000000000000004">
      <c r="A922" s="105" t="s">
        <v>3361</v>
      </c>
      <c r="B922" s="61" t="s">
        <v>920</v>
      </c>
      <c r="C922" s="61" t="s">
        <v>121</v>
      </c>
      <c r="D922" s="61" t="s">
        <v>3288</v>
      </c>
      <c r="E922" s="119">
        <v>1</v>
      </c>
      <c r="F922" s="148" t="s">
        <v>135</v>
      </c>
      <c r="G922" s="148">
        <v>1</v>
      </c>
      <c r="H922" s="61" t="s">
        <v>39</v>
      </c>
      <c r="I922" s="61"/>
      <c r="J922" s="61"/>
      <c r="K922" s="61"/>
      <c r="L922" s="159">
        <v>271114</v>
      </c>
      <c r="M922" s="48"/>
      <c r="N922" s="123"/>
    </row>
    <row r="923" spans="1:14" customFormat="1" x14ac:dyDescent="0.55000000000000004">
      <c r="A923" s="105" t="s">
        <v>3361</v>
      </c>
      <c r="B923" s="61" t="s">
        <v>625</v>
      </c>
      <c r="C923" s="61" t="s">
        <v>125</v>
      </c>
      <c r="D923" s="61" t="s">
        <v>3288</v>
      </c>
      <c r="E923" s="119">
        <v>0.98744939300000001</v>
      </c>
      <c r="F923" s="148" t="s">
        <v>135</v>
      </c>
      <c r="G923" s="148">
        <v>1</v>
      </c>
      <c r="H923" s="61" t="s">
        <v>39</v>
      </c>
      <c r="I923" s="61" t="s">
        <v>947</v>
      </c>
      <c r="J923" s="61" t="s">
        <v>919</v>
      </c>
      <c r="K923" s="61" t="s">
        <v>126</v>
      </c>
      <c r="L923" s="159"/>
      <c r="M923" s="48"/>
      <c r="N923" s="123"/>
    </row>
    <row r="924" spans="1:14" customFormat="1" x14ac:dyDescent="0.55000000000000004">
      <c r="A924" s="105" t="s">
        <v>3361</v>
      </c>
      <c r="B924" s="61" t="s">
        <v>706</v>
      </c>
      <c r="C924" s="61" t="s">
        <v>125</v>
      </c>
      <c r="D924" s="61" t="s">
        <v>3288</v>
      </c>
      <c r="E924" s="119">
        <v>0</v>
      </c>
      <c r="F924" s="148" t="s">
        <v>135</v>
      </c>
      <c r="G924" s="148">
        <v>1</v>
      </c>
      <c r="H924" s="61" t="s">
        <v>39</v>
      </c>
      <c r="I924" s="61" t="s">
        <v>947</v>
      </c>
      <c r="J924" s="61" t="s">
        <v>919</v>
      </c>
      <c r="K924" s="61" t="s">
        <v>126</v>
      </c>
      <c r="L924" s="159"/>
      <c r="M924" s="48"/>
      <c r="N924" s="123"/>
    </row>
    <row r="925" spans="1:14" customFormat="1" x14ac:dyDescent="0.55000000000000004">
      <c r="A925" s="105" t="s">
        <v>3361</v>
      </c>
      <c r="B925" s="61" t="s">
        <v>925</v>
      </c>
      <c r="C925" s="61" t="s">
        <v>125</v>
      </c>
      <c r="D925" s="61" t="s">
        <v>3288</v>
      </c>
      <c r="E925" s="119">
        <v>2.4696355999999999E-2</v>
      </c>
      <c r="F925" s="148" t="s">
        <v>135</v>
      </c>
      <c r="G925" s="148">
        <v>1</v>
      </c>
      <c r="H925" s="61" t="s">
        <v>39</v>
      </c>
      <c r="I925" s="61" t="s">
        <v>947</v>
      </c>
      <c r="J925" s="61" t="s">
        <v>919</v>
      </c>
      <c r="K925" s="61" t="s">
        <v>126</v>
      </c>
      <c r="L925" s="159"/>
      <c r="M925" s="48"/>
      <c r="N925" s="123"/>
    </row>
    <row r="926" spans="1:14" customFormat="1" x14ac:dyDescent="0.55000000000000004">
      <c r="A926" s="105" t="s">
        <v>3361</v>
      </c>
      <c r="B926" s="61" t="s">
        <v>923</v>
      </c>
      <c r="C926" s="61" t="s">
        <v>127</v>
      </c>
      <c r="D926" s="61" t="s">
        <v>2994</v>
      </c>
      <c r="E926" s="119">
        <v>8.8663967610000007</v>
      </c>
      <c r="F926" s="148" t="s">
        <v>138</v>
      </c>
      <c r="G926" s="148">
        <v>1</v>
      </c>
      <c r="H926" s="61" t="s">
        <v>39</v>
      </c>
      <c r="I926" s="61" t="s">
        <v>947</v>
      </c>
      <c r="J926" s="61" t="s">
        <v>919</v>
      </c>
      <c r="K926" s="61" t="s">
        <v>126</v>
      </c>
      <c r="L926" s="159"/>
      <c r="M926" s="48"/>
      <c r="N926" s="123"/>
    </row>
    <row r="927" spans="1:14" customFormat="1" x14ac:dyDescent="0.55000000000000004">
      <c r="A927" s="105" t="s">
        <v>3361</v>
      </c>
      <c r="B927" s="61" t="s">
        <v>153</v>
      </c>
      <c r="C927" s="61" t="s">
        <v>127</v>
      </c>
      <c r="D927" s="61" t="s">
        <v>2994</v>
      </c>
      <c r="E927" s="119">
        <v>0.415119081</v>
      </c>
      <c r="F927" s="148" t="s">
        <v>138</v>
      </c>
      <c r="G927" s="148">
        <v>1</v>
      </c>
      <c r="H927" s="61" t="s">
        <v>39</v>
      </c>
      <c r="I927" s="61" t="s">
        <v>949</v>
      </c>
      <c r="J927" s="61" t="s">
        <v>919</v>
      </c>
      <c r="K927" s="61" t="s">
        <v>126</v>
      </c>
      <c r="L927" s="159"/>
      <c r="M927" s="48"/>
      <c r="N927" s="123"/>
    </row>
    <row r="928" spans="1:14" customFormat="1" x14ac:dyDescent="0.55000000000000004">
      <c r="A928" s="105" t="s">
        <v>3361</v>
      </c>
      <c r="B928" s="61" t="s">
        <v>153</v>
      </c>
      <c r="C928" s="61" t="s">
        <v>127</v>
      </c>
      <c r="D928" s="61" t="s">
        <v>2994</v>
      </c>
      <c r="E928" s="119">
        <v>1.363190283</v>
      </c>
      <c r="F928" s="148" t="s">
        <v>138</v>
      </c>
      <c r="G928" s="148">
        <v>1</v>
      </c>
      <c r="H928" s="61" t="s">
        <v>39</v>
      </c>
      <c r="I928" s="61" t="s">
        <v>950</v>
      </c>
      <c r="J928" s="61" t="s">
        <v>919</v>
      </c>
      <c r="K928" s="61" t="s">
        <v>126</v>
      </c>
      <c r="L928" s="159"/>
      <c r="M928" s="48"/>
      <c r="N928" s="123"/>
    </row>
    <row r="929" spans="1:14" customFormat="1" x14ac:dyDescent="0.55000000000000004">
      <c r="A929" s="105" t="s">
        <v>3361</v>
      </c>
      <c r="B929" s="61" t="s">
        <v>153</v>
      </c>
      <c r="C929" s="61" t="s">
        <v>127</v>
      </c>
      <c r="D929" s="61" t="s">
        <v>2994</v>
      </c>
      <c r="E929" s="119">
        <v>1.7783093640000001</v>
      </c>
      <c r="F929" s="148" t="s">
        <v>138</v>
      </c>
      <c r="G929" s="148">
        <v>1</v>
      </c>
      <c r="H929" s="61" t="s">
        <v>39</v>
      </c>
      <c r="I929" s="61" t="s">
        <v>947</v>
      </c>
      <c r="J929" s="61" t="s">
        <v>919</v>
      </c>
      <c r="K929" s="61" t="s">
        <v>126</v>
      </c>
      <c r="L929" s="159"/>
      <c r="M929" s="48"/>
      <c r="N929" s="123"/>
    </row>
    <row r="930" spans="1:14" customFormat="1" x14ac:dyDescent="0.55000000000000004">
      <c r="A930" s="105" t="s">
        <v>3361</v>
      </c>
      <c r="B930" s="61" t="s">
        <v>160</v>
      </c>
      <c r="C930" s="61" t="s">
        <v>497</v>
      </c>
      <c r="D930" s="61" t="s">
        <v>3288</v>
      </c>
      <c r="E930" s="119">
        <v>2.9702428999999999E-2</v>
      </c>
      <c r="F930" s="148" t="s">
        <v>135</v>
      </c>
      <c r="G930" s="148">
        <v>1</v>
      </c>
      <c r="H930" s="61" t="s">
        <v>39</v>
      </c>
      <c r="I930" s="61" t="s">
        <v>959</v>
      </c>
      <c r="J930" s="61" t="s">
        <v>924</v>
      </c>
      <c r="K930" s="61" t="s">
        <v>126</v>
      </c>
      <c r="L930" s="159"/>
      <c r="M930" s="48"/>
      <c r="N930" s="123"/>
    </row>
    <row r="931" spans="1:14" customFormat="1" x14ac:dyDescent="0.55000000000000004">
      <c r="A931" s="105" t="s">
        <v>3362</v>
      </c>
      <c r="B931" s="61" t="s">
        <v>920</v>
      </c>
      <c r="C931" s="61" t="s">
        <v>121</v>
      </c>
      <c r="D931" s="61" t="s">
        <v>3288</v>
      </c>
      <c r="E931" s="119">
        <v>1</v>
      </c>
      <c r="F931" s="148" t="s">
        <v>135</v>
      </c>
      <c r="G931" s="148">
        <v>1</v>
      </c>
      <c r="H931" s="61" t="s">
        <v>39</v>
      </c>
      <c r="I931" t="s">
        <v>984</v>
      </c>
      <c r="J931" s="61"/>
      <c r="K931" t="s">
        <v>126</v>
      </c>
      <c r="L931" s="159">
        <v>271114</v>
      </c>
      <c r="M931" s="48"/>
      <c r="N931" s="123"/>
    </row>
    <row r="932" spans="1:14" customFormat="1" x14ac:dyDescent="0.55000000000000004">
      <c r="A932" s="105" t="s">
        <v>3362</v>
      </c>
      <c r="B932" s="61" t="s">
        <v>923</v>
      </c>
      <c r="C932" s="61" t="s">
        <v>127</v>
      </c>
      <c r="D932" s="61" t="s">
        <v>2994</v>
      </c>
      <c r="E932" s="119">
        <v>8.461538462</v>
      </c>
      <c r="F932" s="148" t="s">
        <v>138</v>
      </c>
      <c r="G932" s="148">
        <v>1</v>
      </c>
      <c r="H932" s="61" t="s">
        <v>39</v>
      </c>
      <c r="I932" s="61" t="s">
        <v>984</v>
      </c>
      <c r="J932" s="61" t="s">
        <v>919</v>
      </c>
      <c r="K932" s="61" t="s">
        <v>126</v>
      </c>
      <c r="L932" s="159"/>
      <c r="M932" s="48"/>
      <c r="N932" s="123"/>
    </row>
    <row r="933" spans="1:14" customFormat="1" x14ac:dyDescent="0.55000000000000004">
      <c r="A933" s="105" t="s">
        <v>3362</v>
      </c>
      <c r="B933" s="61" t="s">
        <v>625</v>
      </c>
      <c r="C933" s="61" t="s">
        <v>125</v>
      </c>
      <c r="D933" s="61" t="s">
        <v>3288</v>
      </c>
      <c r="E933" s="119">
        <v>0.91821862300000001</v>
      </c>
      <c r="F933" s="148" t="s">
        <v>135</v>
      </c>
      <c r="G933" s="148">
        <v>1</v>
      </c>
      <c r="H933" s="61" t="s">
        <v>39</v>
      </c>
      <c r="I933" s="61" t="s">
        <v>984</v>
      </c>
      <c r="J933" s="61" t="s">
        <v>919</v>
      </c>
      <c r="K933" s="61" t="s">
        <v>126</v>
      </c>
      <c r="L933" s="159"/>
      <c r="M933" s="48"/>
      <c r="N933" s="123"/>
    </row>
    <row r="934" spans="1:14" customFormat="1" x14ac:dyDescent="0.55000000000000004">
      <c r="A934" s="105" t="s">
        <v>3362</v>
      </c>
      <c r="B934" s="61" t="s">
        <v>706</v>
      </c>
      <c r="C934" s="61" t="s">
        <v>125</v>
      </c>
      <c r="D934" s="61" t="s">
        <v>3288</v>
      </c>
      <c r="E934" s="119">
        <v>0</v>
      </c>
      <c r="F934" s="148" t="s">
        <v>135</v>
      </c>
      <c r="G934" s="148">
        <v>1</v>
      </c>
      <c r="H934" s="61" t="s">
        <v>39</v>
      </c>
      <c r="I934" t="s">
        <v>984</v>
      </c>
      <c r="J934" s="61" t="s">
        <v>919</v>
      </c>
      <c r="K934" s="61" t="s">
        <v>126</v>
      </c>
      <c r="L934" s="159"/>
      <c r="M934" s="48"/>
      <c r="N934" s="123"/>
    </row>
    <row r="935" spans="1:14" customFormat="1" x14ac:dyDescent="0.55000000000000004">
      <c r="A935" s="105" t="s">
        <v>3362</v>
      </c>
      <c r="B935" s="61" t="s">
        <v>925</v>
      </c>
      <c r="C935" s="61" t="s">
        <v>125</v>
      </c>
      <c r="D935" s="61" t="s">
        <v>3288</v>
      </c>
      <c r="E935" s="119">
        <v>2.3076922999999999E-2</v>
      </c>
      <c r="F935" s="148" t="s">
        <v>135</v>
      </c>
      <c r="G935" s="148">
        <v>1</v>
      </c>
      <c r="H935" s="61" t="s">
        <v>39</v>
      </c>
      <c r="I935" s="61" t="s">
        <v>984</v>
      </c>
      <c r="J935" s="61" t="s">
        <v>919</v>
      </c>
      <c r="K935" s="61" t="s">
        <v>126</v>
      </c>
      <c r="L935" s="159"/>
      <c r="M935" s="48"/>
      <c r="N935" s="123"/>
    </row>
    <row r="936" spans="1:14" customFormat="1" x14ac:dyDescent="0.55000000000000004">
      <c r="A936" s="105" t="s">
        <v>3362</v>
      </c>
      <c r="B936" s="61" t="s">
        <v>213</v>
      </c>
      <c r="C936" s="61" t="s">
        <v>125</v>
      </c>
      <c r="D936" s="61" t="s">
        <v>3288</v>
      </c>
      <c r="E936" s="119">
        <v>6.4777327999999995E-2</v>
      </c>
      <c r="F936" s="148" t="s">
        <v>135</v>
      </c>
      <c r="G936" s="148">
        <v>1</v>
      </c>
      <c r="H936" s="61" t="s">
        <v>39</v>
      </c>
      <c r="I936" s="61" t="s">
        <v>984</v>
      </c>
      <c r="J936" s="61" t="s">
        <v>919</v>
      </c>
      <c r="K936" s="61" t="s">
        <v>126</v>
      </c>
      <c r="L936" s="159"/>
      <c r="M936" s="48"/>
      <c r="N936" s="123"/>
    </row>
    <row r="937" spans="1:14" customFormat="1" x14ac:dyDescent="0.55000000000000004">
      <c r="A937" s="105" t="s">
        <v>3362</v>
      </c>
      <c r="B937" s="61" t="s">
        <v>153</v>
      </c>
      <c r="C937" s="61" t="s">
        <v>127</v>
      </c>
      <c r="D937" s="61" t="s">
        <v>2994</v>
      </c>
      <c r="E937" s="119">
        <v>1.0253441299999999</v>
      </c>
      <c r="F937" s="148" t="s">
        <v>138</v>
      </c>
      <c r="G937" s="148">
        <v>1</v>
      </c>
      <c r="H937" s="61" t="s">
        <v>39</v>
      </c>
      <c r="I937" s="61" t="s">
        <v>985</v>
      </c>
      <c r="J937" s="61" t="s">
        <v>919</v>
      </c>
      <c r="K937" s="61" t="s">
        <v>126</v>
      </c>
      <c r="L937" s="159"/>
      <c r="M937" s="48"/>
      <c r="N937" s="123"/>
    </row>
    <row r="938" spans="1:14" customFormat="1" x14ac:dyDescent="0.55000000000000004">
      <c r="A938" s="105" t="s">
        <v>3362</v>
      </c>
      <c r="B938" s="61" t="s">
        <v>153</v>
      </c>
      <c r="C938" s="61" t="s">
        <v>127</v>
      </c>
      <c r="D938" s="61" t="s">
        <v>2994</v>
      </c>
      <c r="E938" s="119">
        <v>1.363190283</v>
      </c>
      <c r="F938" s="148" t="s">
        <v>138</v>
      </c>
      <c r="G938" s="148">
        <v>1</v>
      </c>
      <c r="H938" s="61" t="s">
        <v>39</v>
      </c>
      <c r="I938" s="61" t="s">
        <v>984</v>
      </c>
      <c r="J938" s="61" t="s">
        <v>919</v>
      </c>
      <c r="K938" s="61" t="s">
        <v>126</v>
      </c>
      <c r="L938" s="159"/>
      <c r="M938" s="48"/>
      <c r="N938" s="123"/>
    </row>
    <row r="939" spans="1:14" customFormat="1" x14ac:dyDescent="0.55000000000000004">
      <c r="A939" s="105" t="s">
        <v>3362</v>
      </c>
      <c r="B939" s="61" t="s">
        <v>153</v>
      </c>
      <c r="C939" s="61" t="s">
        <v>127</v>
      </c>
      <c r="D939" s="61" t="s">
        <v>2994</v>
      </c>
      <c r="E939" s="119">
        <v>0.44048583000000002</v>
      </c>
      <c r="F939" s="148" t="s">
        <v>138</v>
      </c>
      <c r="G939" s="148">
        <v>1</v>
      </c>
      <c r="H939" s="61" t="s">
        <v>39</v>
      </c>
      <c r="I939" s="61"/>
      <c r="J939" s="61" t="s">
        <v>919</v>
      </c>
      <c r="K939" s="61" t="s">
        <v>126</v>
      </c>
      <c r="L939" s="159"/>
      <c r="M939" s="48"/>
      <c r="N939" s="123"/>
    </row>
    <row r="940" spans="1:14" customFormat="1" x14ac:dyDescent="0.55000000000000004">
      <c r="A940" s="105" t="s">
        <v>3362</v>
      </c>
      <c r="B940" s="61" t="s">
        <v>153</v>
      </c>
      <c r="C940" s="61" t="s">
        <v>127</v>
      </c>
      <c r="D940" s="61" t="s">
        <v>2994</v>
      </c>
      <c r="E940" s="119">
        <v>2.829020243</v>
      </c>
      <c r="F940" s="148" t="s">
        <v>138</v>
      </c>
      <c r="G940" s="148">
        <v>1</v>
      </c>
      <c r="H940" s="61" t="s">
        <v>39</v>
      </c>
      <c r="I940" s="61" t="s">
        <v>959</v>
      </c>
      <c r="J940" s="61" t="s">
        <v>919</v>
      </c>
      <c r="K940" s="61" t="s">
        <v>126</v>
      </c>
      <c r="L940" s="159"/>
      <c r="M940" s="48"/>
      <c r="N940" s="123"/>
    </row>
    <row r="941" spans="1:14" customFormat="1" x14ac:dyDescent="0.55000000000000004">
      <c r="A941" s="105" t="s">
        <v>3362</v>
      </c>
      <c r="B941" s="61" t="s">
        <v>160</v>
      </c>
      <c r="C941" s="61" t="s">
        <v>497</v>
      </c>
      <c r="D941" s="61" t="s">
        <v>3288</v>
      </c>
      <c r="E941" s="119">
        <v>2.8346153999999998E-2</v>
      </c>
      <c r="F941" s="148" t="s">
        <v>135</v>
      </c>
      <c r="G941" s="148">
        <v>1</v>
      </c>
      <c r="H941" s="61" t="s">
        <v>39</v>
      </c>
      <c r="I941" s="61"/>
      <c r="J941" s="61" t="s">
        <v>924</v>
      </c>
      <c r="K941" s="61"/>
      <c r="L941" s="159"/>
      <c r="M941" s="48"/>
      <c r="N941" s="123"/>
    </row>
    <row r="942" spans="1:14" customFormat="1" x14ac:dyDescent="0.55000000000000004">
      <c r="A942" s="105" t="s">
        <v>3363</v>
      </c>
      <c r="B942" s="61" t="s">
        <v>920</v>
      </c>
      <c r="C942" s="61" t="s">
        <v>121</v>
      </c>
      <c r="D942" s="61" t="s">
        <v>3288</v>
      </c>
      <c r="E942" s="119">
        <v>1</v>
      </c>
      <c r="F942" s="148" t="s">
        <v>135</v>
      </c>
      <c r="G942" s="148">
        <v>1</v>
      </c>
      <c r="H942" s="61" t="s">
        <v>39</v>
      </c>
      <c r="I942" t="s">
        <v>1008</v>
      </c>
      <c r="J942" s="61"/>
      <c r="K942" t="s">
        <v>126</v>
      </c>
      <c r="L942" s="159">
        <v>271114</v>
      </c>
      <c r="M942" s="48"/>
      <c r="N942" s="123"/>
    </row>
    <row r="943" spans="1:14" customFormat="1" x14ac:dyDescent="0.55000000000000004">
      <c r="A943" s="105" t="s">
        <v>3363</v>
      </c>
      <c r="B943" s="61" t="s">
        <v>925</v>
      </c>
      <c r="C943" s="61" t="s">
        <v>125</v>
      </c>
      <c r="D943" s="61" t="s">
        <v>3288</v>
      </c>
      <c r="E943" s="119">
        <v>1.17</v>
      </c>
      <c r="F943" s="148" t="s">
        <v>135</v>
      </c>
      <c r="G943" s="148">
        <v>1</v>
      </c>
      <c r="H943" s="61" t="s">
        <v>39</v>
      </c>
      <c r="I943" s="61" t="s">
        <v>1009</v>
      </c>
      <c r="J943" s="61" t="s">
        <v>919</v>
      </c>
      <c r="K943" s="61" t="s">
        <v>126</v>
      </c>
      <c r="L943" s="159"/>
      <c r="M943" s="48"/>
      <c r="N943" s="123"/>
    </row>
    <row r="944" spans="1:14" customFormat="1" x14ac:dyDescent="0.55000000000000004">
      <c r="A944" s="105" t="s">
        <v>3363</v>
      </c>
      <c r="B944" s="61" t="s">
        <v>160</v>
      </c>
      <c r="C944" s="61" t="s">
        <v>125</v>
      </c>
      <c r="D944" s="61" t="s">
        <v>3288</v>
      </c>
      <c r="E944" s="119">
        <v>0.88</v>
      </c>
      <c r="F944" s="148" t="s">
        <v>135</v>
      </c>
      <c r="G944" s="148">
        <v>1</v>
      </c>
      <c r="H944" s="61" t="s">
        <v>39</v>
      </c>
      <c r="I944" s="61" t="s">
        <v>1010</v>
      </c>
      <c r="J944" s="61" t="s">
        <v>919</v>
      </c>
      <c r="K944" s="61" t="s">
        <v>126</v>
      </c>
      <c r="L944" s="159"/>
      <c r="M944" s="48"/>
      <c r="N944" s="123"/>
    </row>
    <row r="945" spans="1:14" customFormat="1" x14ac:dyDescent="0.55000000000000004">
      <c r="A945" s="105" t="s">
        <v>3363</v>
      </c>
      <c r="B945" s="61" t="s">
        <v>926</v>
      </c>
      <c r="C945" s="61" t="s">
        <v>125</v>
      </c>
      <c r="D945" s="61" t="s">
        <v>3288</v>
      </c>
      <c r="E945" s="119">
        <v>0.09</v>
      </c>
      <c r="F945" s="148" t="s">
        <v>135</v>
      </c>
      <c r="G945" s="148">
        <v>1</v>
      </c>
      <c r="H945" s="61" t="s">
        <v>39</v>
      </c>
      <c r="I945" s="61" t="s">
        <v>1010</v>
      </c>
      <c r="J945" s="61" t="s">
        <v>919</v>
      </c>
      <c r="K945" s="61" t="s">
        <v>126</v>
      </c>
      <c r="L945" s="159"/>
      <c r="M945" s="48"/>
      <c r="N945" s="123"/>
    </row>
    <row r="946" spans="1:14" customFormat="1" x14ac:dyDescent="0.55000000000000004">
      <c r="A946" s="105" t="s">
        <v>3363</v>
      </c>
      <c r="B946" s="61" t="s">
        <v>334</v>
      </c>
      <c r="C946" s="61" t="s">
        <v>125</v>
      </c>
      <c r="D946" s="61" t="s">
        <v>3288</v>
      </c>
      <c r="E946" s="119">
        <v>0.04</v>
      </c>
      <c r="F946" s="148" t="s">
        <v>135</v>
      </c>
      <c r="G946" s="148">
        <v>1</v>
      </c>
      <c r="H946" s="61" t="s">
        <v>39</v>
      </c>
      <c r="I946" s="61" t="s">
        <v>1011</v>
      </c>
      <c r="J946" s="61" t="s">
        <v>919</v>
      </c>
      <c r="K946" s="61" t="s">
        <v>126</v>
      </c>
      <c r="L946" s="159"/>
      <c r="M946" s="48"/>
      <c r="N946" s="123"/>
    </row>
    <row r="947" spans="1:14" customFormat="1" x14ac:dyDescent="0.55000000000000004">
      <c r="A947" s="105" t="s">
        <v>3363</v>
      </c>
      <c r="B947" s="61" t="s">
        <v>153</v>
      </c>
      <c r="C947" s="61" t="s">
        <v>127</v>
      </c>
      <c r="D947" s="61" t="s">
        <v>2994</v>
      </c>
      <c r="E947" s="119">
        <v>2.5019999999999998</v>
      </c>
      <c r="F947" s="148" t="s">
        <v>138</v>
      </c>
      <c r="G947" s="148">
        <v>1</v>
      </c>
      <c r="H947" s="61" t="s">
        <v>39</v>
      </c>
      <c r="I947" s="61" t="s">
        <v>1011</v>
      </c>
      <c r="J947" s="61" t="s">
        <v>919</v>
      </c>
      <c r="K947" s="61" t="s">
        <v>126</v>
      </c>
      <c r="L947" s="159"/>
      <c r="M947" s="48"/>
      <c r="N947" s="123"/>
    </row>
    <row r="948" spans="1:14" customFormat="1" x14ac:dyDescent="0.55000000000000004">
      <c r="A948" s="105" t="s">
        <v>3363</v>
      </c>
      <c r="B948" s="61" t="s">
        <v>188</v>
      </c>
      <c r="C948" s="61" t="s">
        <v>127</v>
      </c>
      <c r="D948" s="61" t="s">
        <v>2994</v>
      </c>
      <c r="E948" s="119">
        <v>1.3699999999999999E-3</v>
      </c>
      <c r="F948" s="148" t="s">
        <v>138</v>
      </c>
      <c r="G948" s="148">
        <v>1</v>
      </c>
      <c r="H948" s="61" t="s">
        <v>39</v>
      </c>
      <c r="I948" s="61" t="s">
        <v>1011</v>
      </c>
      <c r="J948" s="61" t="s">
        <v>919</v>
      </c>
      <c r="K948" s="61" t="s">
        <v>126</v>
      </c>
      <c r="L948" s="159"/>
      <c r="M948" s="48"/>
      <c r="N948" s="123"/>
    </row>
    <row r="949" spans="1:14" customFormat="1" x14ac:dyDescent="0.55000000000000004">
      <c r="A949" s="105" t="s">
        <v>3363</v>
      </c>
      <c r="B949" s="61" t="s">
        <v>927</v>
      </c>
      <c r="C949" s="61" t="s">
        <v>127</v>
      </c>
      <c r="D949" s="61" t="s">
        <v>2994</v>
      </c>
      <c r="E949" s="119">
        <v>3.63</v>
      </c>
      <c r="F949" s="148" t="s">
        <v>138</v>
      </c>
      <c r="G949" s="148">
        <v>1</v>
      </c>
      <c r="H949" s="61" t="s">
        <v>39</v>
      </c>
      <c r="I949" s="61" t="s">
        <v>1011</v>
      </c>
      <c r="J949" s="61" t="s">
        <v>919</v>
      </c>
      <c r="K949" s="61" t="s">
        <v>126</v>
      </c>
      <c r="L949" s="159"/>
      <c r="M949" s="48"/>
      <c r="N949" s="123"/>
    </row>
    <row r="950" spans="1:14" customFormat="1" x14ac:dyDescent="0.55000000000000004">
      <c r="A950" s="105" t="s">
        <v>3363</v>
      </c>
      <c r="B950" s="61" t="s">
        <v>171</v>
      </c>
      <c r="C950" s="61" t="s">
        <v>127</v>
      </c>
      <c r="D950" s="61" t="s">
        <v>2994</v>
      </c>
      <c r="E950" s="119">
        <v>4.218</v>
      </c>
      <c r="F950" s="148" t="s">
        <v>138</v>
      </c>
      <c r="G950" s="148">
        <v>1</v>
      </c>
      <c r="H950" s="61" t="s">
        <v>39</v>
      </c>
      <c r="I950" s="61" t="s">
        <v>946</v>
      </c>
      <c r="J950" s="61" t="s">
        <v>919</v>
      </c>
      <c r="K950" s="61" t="s">
        <v>126</v>
      </c>
      <c r="L950" s="159"/>
      <c r="M950" s="48"/>
      <c r="N950" s="123"/>
    </row>
    <row r="951" spans="1:14" customFormat="1" x14ac:dyDescent="0.55000000000000004">
      <c r="A951" s="105" t="s">
        <v>3363</v>
      </c>
      <c r="B951" s="61" t="s">
        <v>160</v>
      </c>
      <c r="C951" s="61" t="s">
        <v>497</v>
      </c>
      <c r="D951" s="61" t="s">
        <v>3288</v>
      </c>
      <c r="E951" s="119">
        <v>0.28260600000000002</v>
      </c>
      <c r="F951" s="148" t="s">
        <v>135</v>
      </c>
      <c r="G951" s="148">
        <v>1</v>
      </c>
      <c r="H951" s="61" t="s">
        <v>39</v>
      </c>
      <c r="I951" s="61"/>
      <c r="J951" s="61" t="s">
        <v>924</v>
      </c>
      <c r="K951" s="61"/>
      <c r="L951" s="159"/>
      <c r="M951" s="48"/>
      <c r="N951" s="123"/>
    </row>
    <row r="952" spans="1:14" customFormat="1" x14ac:dyDescent="0.55000000000000004">
      <c r="A952" s="105" t="s">
        <v>3364</v>
      </c>
      <c r="B952" s="61" t="s">
        <v>920</v>
      </c>
      <c r="C952" s="61" t="s">
        <v>121</v>
      </c>
      <c r="D952" s="61" t="s">
        <v>3288</v>
      </c>
      <c r="E952" s="119">
        <v>1</v>
      </c>
      <c r="F952" s="148" t="s">
        <v>135</v>
      </c>
      <c r="G952" s="148">
        <v>1</v>
      </c>
      <c r="H952" s="61" t="s">
        <v>39</v>
      </c>
      <c r="I952" t="s">
        <v>1008</v>
      </c>
      <c r="J952" s="61"/>
      <c r="K952" t="s">
        <v>126</v>
      </c>
      <c r="L952" s="159">
        <v>271114</v>
      </c>
      <c r="M952" s="48"/>
      <c r="N952" s="123"/>
    </row>
    <row r="953" spans="1:14" customFormat="1" x14ac:dyDescent="0.55000000000000004">
      <c r="A953" s="105" t="s">
        <v>3364</v>
      </c>
      <c r="B953" s="61" t="s">
        <v>925</v>
      </c>
      <c r="C953" s="61" t="s">
        <v>125</v>
      </c>
      <c r="D953" s="61" t="s">
        <v>3288</v>
      </c>
      <c r="E953" s="119">
        <v>1.17</v>
      </c>
      <c r="F953" s="148" t="s">
        <v>135</v>
      </c>
      <c r="G953" s="148">
        <v>1</v>
      </c>
      <c r="H953" s="61" t="s">
        <v>39</v>
      </c>
      <c r="I953" s="61" t="s">
        <v>1011</v>
      </c>
      <c r="J953" s="61" t="s">
        <v>919</v>
      </c>
      <c r="K953" s="61" t="s">
        <v>126</v>
      </c>
      <c r="L953" s="159"/>
      <c r="M953" s="48"/>
      <c r="N953" s="123"/>
    </row>
    <row r="954" spans="1:14" customFormat="1" x14ac:dyDescent="0.55000000000000004">
      <c r="A954" s="105" t="s">
        <v>3364</v>
      </c>
      <c r="B954" s="61" t="s">
        <v>153</v>
      </c>
      <c r="C954" s="61" t="s">
        <v>127</v>
      </c>
      <c r="D954" s="61" t="s">
        <v>2994</v>
      </c>
      <c r="E954" s="119">
        <v>2.5019999999999998</v>
      </c>
      <c r="F954" s="148" t="s">
        <v>138</v>
      </c>
      <c r="G954" s="148">
        <v>1</v>
      </c>
      <c r="H954" s="61" t="s">
        <v>39</v>
      </c>
      <c r="I954" s="61"/>
      <c r="J954" s="61" t="s">
        <v>919</v>
      </c>
      <c r="K954" s="61" t="s">
        <v>126</v>
      </c>
      <c r="L954" s="159"/>
      <c r="M954" s="48"/>
      <c r="N954" s="123"/>
    </row>
    <row r="955" spans="1:14" customFormat="1" x14ac:dyDescent="0.55000000000000004">
      <c r="A955" s="105" t="s">
        <v>3364</v>
      </c>
      <c r="B955" s="61" t="s">
        <v>153</v>
      </c>
      <c r="C955" s="61" t="s">
        <v>127</v>
      </c>
      <c r="D955" s="61" t="s">
        <v>2994</v>
      </c>
      <c r="E955" s="119">
        <v>0.3</v>
      </c>
      <c r="F955" s="148" t="s">
        <v>138</v>
      </c>
      <c r="G955" s="148">
        <v>1</v>
      </c>
      <c r="H955" s="61" t="s">
        <v>39</v>
      </c>
      <c r="I955" s="61"/>
      <c r="J955" s="61" t="s">
        <v>919</v>
      </c>
      <c r="K955" s="61" t="s">
        <v>126</v>
      </c>
      <c r="L955" s="159"/>
      <c r="M955" s="48"/>
      <c r="N955" s="123"/>
    </row>
    <row r="956" spans="1:14" customFormat="1" x14ac:dyDescent="0.55000000000000004">
      <c r="A956" s="105" t="s">
        <v>3364</v>
      </c>
      <c r="B956" s="61" t="s">
        <v>153</v>
      </c>
      <c r="C956" s="61" t="s">
        <v>127</v>
      </c>
      <c r="D956" s="61" t="s">
        <v>2994</v>
      </c>
      <c r="E956" s="119">
        <v>2.802</v>
      </c>
      <c r="F956" s="148" t="s">
        <v>138</v>
      </c>
      <c r="G956" s="148">
        <v>1</v>
      </c>
      <c r="H956" s="61" t="s">
        <v>39</v>
      </c>
      <c r="I956" s="61" t="s">
        <v>1011</v>
      </c>
      <c r="J956" s="61" t="s">
        <v>919</v>
      </c>
      <c r="K956" s="61" t="s">
        <v>126</v>
      </c>
      <c r="L956" s="159"/>
      <c r="M956" s="48"/>
      <c r="N956" s="123"/>
    </row>
    <row r="957" spans="1:14" customFormat="1" x14ac:dyDescent="0.55000000000000004">
      <c r="A957" s="105" t="s">
        <v>3364</v>
      </c>
      <c r="B957" s="61" t="s">
        <v>171</v>
      </c>
      <c r="C957" s="61" t="s">
        <v>127</v>
      </c>
      <c r="D957" s="61" t="s">
        <v>2994</v>
      </c>
      <c r="E957" s="119">
        <v>4.218</v>
      </c>
      <c r="F957" s="148" t="s">
        <v>138</v>
      </c>
      <c r="G957" s="148">
        <v>1</v>
      </c>
      <c r="H957" s="61" t="s">
        <v>39</v>
      </c>
      <c r="I957" s="61" t="s">
        <v>946</v>
      </c>
      <c r="J957" s="61" t="s">
        <v>919</v>
      </c>
      <c r="K957" s="61" t="s">
        <v>126</v>
      </c>
      <c r="L957" s="159"/>
      <c r="M957" s="48"/>
      <c r="N957" s="123"/>
    </row>
    <row r="958" spans="1:14" customFormat="1" x14ac:dyDescent="0.55000000000000004">
      <c r="A958" s="105" t="s">
        <v>3364</v>
      </c>
      <c r="B958" s="61" t="s">
        <v>160</v>
      </c>
      <c r="C958" s="61" t="s">
        <v>497</v>
      </c>
      <c r="D958" s="61" t="s">
        <v>3288</v>
      </c>
      <c r="E958" s="119">
        <v>1.41303E-2</v>
      </c>
      <c r="F958" s="148" t="s">
        <v>135</v>
      </c>
      <c r="G958" s="148">
        <v>1</v>
      </c>
      <c r="H958" s="61" t="s">
        <v>39</v>
      </c>
      <c r="I958" s="61"/>
      <c r="J958" s="61" t="s">
        <v>924</v>
      </c>
      <c r="K958" s="61"/>
      <c r="L958" s="159"/>
      <c r="M958" s="48"/>
      <c r="N958" s="123"/>
    </row>
    <row r="959" spans="1:14" customFormat="1" x14ac:dyDescent="0.55000000000000004">
      <c r="A959" s="105" t="s">
        <v>3365</v>
      </c>
      <c r="B959" s="61" t="s">
        <v>920</v>
      </c>
      <c r="C959" s="61" t="s">
        <v>121</v>
      </c>
      <c r="D959" s="61" t="s">
        <v>3288</v>
      </c>
      <c r="E959" s="119">
        <v>1</v>
      </c>
      <c r="F959" s="148" t="s">
        <v>135</v>
      </c>
      <c r="G959" s="148">
        <v>1</v>
      </c>
      <c r="H959" s="61" t="s">
        <v>39</v>
      </c>
      <c r="I959" t="s">
        <v>988</v>
      </c>
      <c r="J959" s="61"/>
      <c r="K959" t="s">
        <v>126</v>
      </c>
      <c r="L959" s="159">
        <v>271114</v>
      </c>
      <c r="M959" s="48"/>
      <c r="N959" s="123"/>
    </row>
    <row r="960" spans="1:14" customFormat="1" x14ac:dyDescent="0.55000000000000004">
      <c r="A960" s="105" t="s">
        <v>3365</v>
      </c>
      <c r="B960" s="61" t="s">
        <v>921</v>
      </c>
      <c r="C960" s="61" t="s">
        <v>125</v>
      </c>
      <c r="D960" s="61" t="s">
        <v>3288</v>
      </c>
      <c r="E960" s="119">
        <v>1.3220141700000001</v>
      </c>
      <c r="F960" s="148" t="s">
        <v>135</v>
      </c>
      <c r="G960" s="148">
        <v>1</v>
      </c>
      <c r="H960" s="61" t="s">
        <v>39</v>
      </c>
      <c r="I960" s="61" t="s">
        <v>988</v>
      </c>
      <c r="J960" s="61" t="s">
        <v>919</v>
      </c>
      <c r="K960" s="61" t="s">
        <v>126</v>
      </c>
      <c r="L960" s="159"/>
      <c r="M960" s="48"/>
      <c r="N960" s="123"/>
    </row>
    <row r="961" spans="1:14" customFormat="1" x14ac:dyDescent="0.55000000000000004">
      <c r="A961" s="105" t="s">
        <v>3365</v>
      </c>
      <c r="B961" s="61" t="s">
        <v>922</v>
      </c>
      <c r="C961" s="61" t="s">
        <v>125</v>
      </c>
      <c r="D961" s="61" t="s">
        <v>3288</v>
      </c>
      <c r="E961" s="119">
        <v>1.0576113359999999</v>
      </c>
      <c r="F961" s="148" t="s">
        <v>135</v>
      </c>
      <c r="G961" s="148">
        <v>1</v>
      </c>
      <c r="H961" s="61" t="s">
        <v>39</v>
      </c>
      <c r="I961" s="61" t="s">
        <v>987</v>
      </c>
      <c r="J961" s="61" t="s">
        <v>919</v>
      </c>
      <c r="K961" s="61" t="s">
        <v>126</v>
      </c>
      <c r="L961" s="159"/>
      <c r="M961" s="48"/>
      <c r="N961" s="123"/>
    </row>
    <row r="962" spans="1:14" customFormat="1" x14ac:dyDescent="0.55000000000000004">
      <c r="A962" s="105" t="s">
        <v>3365</v>
      </c>
      <c r="B962" s="61" t="s">
        <v>213</v>
      </c>
      <c r="C962" s="61" t="s">
        <v>125</v>
      </c>
      <c r="D962" s="61" t="s">
        <v>3288</v>
      </c>
      <c r="E962" s="119">
        <v>6.4777327999999995E-2</v>
      </c>
      <c r="F962" s="148" t="s">
        <v>135</v>
      </c>
      <c r="G962" s="148">
        <v>1</v>
      </c>
      <c r="H962" s="61" t="s">
        <v>39</v>
      </c>
      <c r="I962" s="61" t="s">
        <v>988</v>
      </c>
      <c r="J962" s="61" t="s">
        <v>919</v>
      </c>
      <c r="K962" s="61" t="s">
        <v>126</v>
      </c>
      <c r="L962" s="159"/>
      <c r="M962" s="48"/>
      <c r="N962" s="123"/>
    </row>
    <row r="963" spans="1:14" customFormat="1" x14ac:dyDescent="0.55000000000000004">
      <c r="A963" s="105" t="s">
        <v>3365</v>
      </c>
      <c r="B963" s="61" t="s">
        <v>153</v>
      </c>
      <c r="C963" s="61" t="s">
        <v>127</v>
      </c>
      <c r="D963" s="61" t="s">
        <v>2994</v>
      </c>
      <c r="E963" s="119">
        <v>0.46537651800000002</v>
      </c>
      <c r="F963" s="148" t="s">
        <v>138</v>
      </c>
      <c r="G963" s="148">
        <v>1</v>
      </c>
      <c r="H963" s="61" t="s">
        <v>39</v>
      </c>
      <c r="I963" s="61" t="s">
        <v>953</v>
      </c>
      <c r="J963" s="61" t="s">
        <v>919</v>
      </c>
      <c r="K963" s="61" t="s">
        <v>126</v>
      </c>
      <c r="L963" s="159"/>
      <c r="M963" s="48"/>
      <c r="N963" s="123"/>
    </row>
    <row r="964" spans="1:14" customFormat="1" x14ac:dyDescent="0.55000000000000004">
      <c r="A964" s="105" t="s">
        <v>3365</v>
      </c>
      <c r="B964" s="61" t="s">
        <v>153</v>
      </c>
      <c r="C964" s="61" t="s">
        <v>127</v>
      </c>
      <c r="D964" s="61" t="s">
        <v>2994</v>
      </c>
      <c r="E964" s="119">
        <v>8.1201133599999995</v>
      </c>
      <c r="F964" s="148" t="s">
        <v>138</v>
      </c>
      <c r="G964" s="148">
        <v>1</v>
      </c>
      <c r="H964" s="61" t="s">
        <v>39</v>
      </c>
      <c r="I964" s="61" t="s">
        <v>987</v>
      </c>
      <c r="J964" s="61" t="s">
        <v>919</v>
      </c>
      <c r="K964" s="61" t="s">
        <v>126</v>
      </c>
      <c r="L964" s="159"/>
      <c r="M964" s="48"/>
      <c r="N964" s="123"/>
    </row>
    <row r="965" spans="1:14" customFormat="1" x14ac:dyDescent="0.55000000000000004">
      <c r="A965" s="105" t="s">
        <v>3365</v>
      </c>
      <c r="B965" s="61" t="s">
        <v>153</v>
      </c>
      <c r="C965" s="61" t="s">
        <v>127</v>
      </c>
      <c r="D965" s="61" t="s">
        <v>2994</v>
      </c>
      <c r="E965" s="119">
        <v>1.5591093119999999</v>
      </c>
      <c r="F965" s="148" t="s">
        <v>138</v>
      </c>
      <c r="G965" s="148">
        <v>1</v>
      </c>
      <c r="H965" s="61" t="s">
        <v>39</v>
      </c>
      <c r="I965" s="61"/>
      <c r="J965" s="61" t="s">
        <v>919</v>
      </c>
      <c r="K965" s="61" t="s">
        <v>126</v>
      </c>
      <c r="L965" s="159"/>
      <c r="M965" s="48"/>
      <c r="N965" s="123"/>
    </row>
    <row r="966" spans="1:14" customFormat="1" x14ac:dyDescent="0.55000000000000004">
      <c r="A966" s="105" t="s">
        <v>3365</v>
      </c>
      <c r="B966" s="61" t="s">
        <v>153</v>
      </c>
      <c r="C966" s="61" t="s">
        <v>127</v>
      </c>
      <c r="D966" s="61" t="s">
        <v>2994</v>
      </c>
      <c r="E966" s="119">
        <v>9.6792226719999999</v>
      </c>
      <c r="F966" s="148" t="s">
        <v>138</v>
      </c>
      <c r="G966" s="148">
        <v>1</v>
      </c>
      <c r="H966" s="61" t="s">
        <v>39</v>
      </c>
      <c r="I966" s="61"/>
      <c r="J966" s="61" t="s">
        <v>919</v>
      </c>
      <c r="K966" s="61" t="s">
        <v>126</v>
      </c>
      <c r="L966" s="159"/>
      <c r="M966" s="48"/>
      <c r="N966" s="123"/>
    </row>
    <row r="967" spans="1:14" customFormat="1" x14ac:dyDescent="0.55000000000000004">
      <c r="A967" s="105" t="s">
        <v>3365</v>
      </c>
      <c r="B967" s="61" t="s">
        <v>334</v>
      </c>
      <c r="C967" s="61" t="s">
        <v>125</v>
      </c>
      <c r="D967" s="61" t="s">
        <v>3288</v>
      </c>
      <c r="E967" s="119">
        <v>1.9190282999999999E-2</v>
      </c>
      <c r="F967" s="148" t="s">
        <v>135</v>
      </c>
      <c r="G967" s="148">
        <v>1</v>
      </c>
      <c r="H967" s="61" t="s">
        <v>39</v>
      </c>
      <c r="I967" s="61"/>
      <c r="J967" s="61" t="s">
        <v>919</v>
      </c>
      <c r="K967" s="61"/>
      <c r="L967" s="159"/>
      <c r="M967" s="48"/>
      <c r="N967" s="123"/>
    </row>
    <row r="968" spans="1:14" customFormat="1" x14ac:dyDescent="0.55000000000000004">
      <c r="A968" s="105" t="s">
        <v>3366</v>
      </c>
      <c r="B968" s="61" t="s">
        <v>920</v>
      </c>
      <c r="C968" s="61" t="s">
        <v>121</v>
      </c>
      <c r="D968" s="61" t="s">
        <v>3288</v>
      </c>
      <c r="E968" s="119">
        <v>1</v>
      </c>
      <c r="F968" s="148" t="s">
        <v>135</v>
      </c>
      <c r="G968" s="148">
        <v>1</v>
      </c>
      <c r="H968" s="61" t="s">
        <v>39</v>
      </c>
      <c r="J968" s="61"/>
      <c r="K968" t="s">
        <v>126</v>
      </c>
      <c r="L968" s="159">
        <v>271114</v>
      </c>
      <c r="M968" s="48"/>
      <c r="N968" s="123"/>
    </row>
    <row r="969" spans="1:14" customFormat="1" x14ac:dyDescent="0.55000000000000004">
      <c r="A969" s="105" t="s">
        <v>3366</v>
      </c>
      <c r="B969" s="61" t="s">
        <v>921</v>
      </c>
      <c r="C969" s="61" t="s">
        <v>125</v>
      </c>
      <c r="D969" s="61" t="s">
        <v>3288</v>
      </c>
      <c r="E969" s="119">
        <v>1.3220141700000001</v>
      </c>
      <c r="F969" s="148" t="s">
        <v>135</v>
      </c>
      <c r="G969" s="148">
        <v>1</v>
      </c>
      <c r="H969" s="61" t="s">
        <v>39</v>
      </c>
      <c r="I969" s="61"/>
      <c r="J969" s="61" t="s">
        <v>919</v>
      </c>
      <c r="K969" s="61" t="s">
        <v>126</v>
      </c>
      <c r="L969" s="159"/>
      <c r="M969" s="48"/>
      <c r="N969" s="123"/>
    </row>
    <row r="970" spans="1:14" customFormat="1" x14ac:dyDescent="0.55000000000000004">
      <c r="A970" s="105" t="s">
        <v>3366</v>
      </c>
      <c r="B970" s="61" t="s">
        <v>922</v>
      </c>
      <c r="C970" s="61" t="s">
        <v>125</v>
      </c>
      <c r="D970" s="61" t="s">
        <v>3288</v>
      </c>
      <c r="E970" s="119">
        <v>1.0576113359999999</v>
      </c>
      <c r="F970" s="148" t="s">
        <v>135</v>
      </c>
      <c r="G970" s="148">
        <v>1</v>
      </c>
      <c r="H970" s="61" t="s">
        <v>39</v>
      </c>
      <c r="I970" s="61"/>
      <c r="J970" s="61" t="s">
        <v>919</v>
      </c>
      <c r="K970" s="61" t="s">
        <v>126</v>
      </c>
      <c r="L970" s="159"/>
      <c r="M970" s="48"/>
      <c r="N970" s="123"/>
    </row>
    <row r="971" spans="1:14" customFormat="1" x14ac:dyDescent="0.55000000000000004">
      <c r="A971" s="105" t="s">
        <v>3366</v>
      </c>
      <c r="B971" s="61" t="s">
        <v>213</v>
      </c>
      <c r="C971" s="61" t="s">
        <v>125</v>
      </c>
      <c r="D971" s="61" t="s">
        <v>3288</v>
      </c>
      <c r="E971" s="119">
        <v>6.4777327999999995E-2</v>
      </c>
      <c r="F971" s="148" t="s">
        <v>135</v>
      </c>
      <c r="G971" s="148">
        <v>1</v>
      </c>
      <c r="H971" s="61" t="s">
        <v>39</v>
      </c>
      <c r="I971" s="61"/>
      <c r="J971" s="61" t="s">
        <v>919</v>
      </c>
      <c r="K971" s="61" t="s">
        <v>126</v>
      </c>
      <c r="L971" s="159"/>
      <c r="M971" s="48"/>
      <c r="N971" s="123"/>
    </row>
    <row r="972" spans="1:14" customFormat="1" x14ac:dyDescent="0.55000000000000004">
      <c r="A972" s="105" t="s">
        <v>3366</v>
      </c>
      <c r="B972" s="61" t="s">
        <v>153</v>
      </c>
      <c r="C972" s="61" t="s">
        <v>127</v>
      </c>
      <c r="D972" s="61" t="s">
        <v>2994</v>
      </c>
      <c r="E972" s="119">
        <v>0.46537651800000002</v>
      </c>
      <c r="F972" s="148" t="s">
        <v>138</v>
      </c>
      <c r="G972" s="148">
        <v>1</v>
      </c>
      <c r="H972" s="61" t="s">
        <v>39</v>
      </c>
      <c r="I972" s="61"/>
      <c r="J972" s="61" t="s">
        <v>919</v>
      </c>
      <c r="K972" s="61" t="s">
        <v>126</v>
      </c>
      <c r="L972" s="159"/>
      <c r="M972" s="48"/>
      <c r="N972" s="123"/>
    </row>
    <row r="973" spans="1:14" customFormat="1" x14ac:dyDescent="0.55000000000000004">
      <c r="A973" s="105" t="s">
        <v>3366</v>
      </c>
      <c r="B973" s="61" t="s">
        <v>153</v>
      </c>
      <c r="C973" s="61" t="s">
        <v>127</v>
      </c>
      <c r="D973" s="61" t="s">
        <v>2994</v>
      </c>
      <c r="E973" s="119">
        <v>8.1201133599999995</v>
      </c>
      <c r="F973" s="148" t="s">
        <v>138</v>
      </c>
      <c r="G973" s="148">
        <v>1</v>
      </c>
      <c r="H973" s="61" t="s">
        <v>39</v>
      </c>
      <c r="I973" s="61"/>
      <c r="J973" s="61" t="s">
        <v>919</v>
      </c>
      <c r="K973" s="61" t="s">
        <v>126</v>
      </c>
      <c r="L973" s="159"/>
      <c r="M973" s="48"/>
      <c r="N973" s="123"/>
    </row>
    <row r="974" spans="1:14" customFormat="1" x14ac:dyDescent="0.55000000000000004">
      <c r="A974" s="105" t="s">
        <v>3366</v>
      </c>
      <c r="B974" s="61" t="s">
        <v>153</v>
      </c>
      <c r="C974" s="61" t="s">
        <v>127</v>
      </c>
      <c r="D974" s="61" t="s">
        <v>2994</v>
      </c>
      <c r="E974" s="119">
        <v>1.5591093119999999</v>
      </c>
      <c r="F974" s="148" t="s">
        <v>138</v>
      </c>
      <c r="G974" s="148">
        <v>1</v>
      </c>
      <c r="H974" s="61" t="s">
        <v>39</v>
      </c>
      <c r="I974" s="61"/>
      <c r="J974" s="61" t="s">
        <v>919</v>
      </c>
      <c r="K974" s="61" t="s">
        <v>126</v>
      </c>
      <c r="L974" s="159"/>
      <c r="M974" s="48"/>
      <c r="N974" s="123"/>
    </row>
    <row r="975" spans="1:14" customFormat="1" x14ac:dyDescent="0.55000000000000004">
      <c r="A975" s="105" t="s">
        <v>3366</v>
      </c>
      <c r="B975" s="61" t="s">
        <v>153</v>
      </c>
      <c r="C975" s="61" t="s">
        <v>127</v>
      </c>
      <c r="D975" s="61" t="s">
        <v>2994</v>
      </c>
      <c r="E975" s="119">
        <v>1.363190283</v>
      </c>
      <c r="F975" s="148" t="s">
        <v>138</v>
      </c>
      <c r="G975" s="148">
        <v>1</v>
      </c>
      <c r="H975" s="61" t="s">
        <v>39</v>
      </c>
      <c r="I975" s="61"/>
      <c r="J975" s="61" t="s">
        <v>919</v>
      </c>
      <c r="K975" s="61" t="s">
        <v>126</v>
      </c>
      <c r="L975" s="159"/>
      <c r="M975" s="48"/>
      <c r="N975" s="123"/>
    </row>
    <row r="976" spans="1:14" customFormat="1" x14ac:dyDescent="0.55000000000000004">
      <c r="A976" s="105" t="s">
        <v>3366</v>
      </c>
      <c r="B976" s="61" t="s">
        <v>153</v>
      </c>
      <c r="C976" s="61" t="s">
        <v>127</v>
      </c>
      <c r="D976" s="61" t="s">
        <v>2994</v>
      </c>
      <c r="E976" s="119">
        <v>11.507789470000001</v>
      </c>
      <c r="F976" s="148" t="s">
        <v>138</v>
      </c>
      <c r="G976" s="148">
        <v>1</v>
      </c>
      <c r="H976" s="61" t="s">
        <v>39</v>
      </c>
      <c r="I976" s="61"/>
      <c r="J976" s="61" t="s">
        <v>919</v>
      </c>
      <c r="K976" s="61"/>
      <c r="L976" s="159"/>
      <c r="M976" s="48"/>
      <c r="N976" s="123"/>
    </row>
    <row r="977" spans="1:14" customFormat="1" x14ac:dyDescent="0.55000000000000004">
      <c r="A977" s="105" t="s">
        <v>3367</v>
      </c>
      <c r="B977" s="61" t="s">
        <v>920</v>
      </c>
      <c r="C977" s="61" t="s">
        <v>121</v>
      </c>
      <c r="D977" s="61" t="s">
        <v>3288</v>
      </c>
      <c r="E977" s="119">
        <v>1</v>
      </c>
      <c r="F977" s="148" t="s">
        <v>135</v>
      </c>
      <c r="G977" s="148">
        <v>1</v>
      </c>
      <c r="H977" s="61" t="s">
        <v>39</v>
      </c>
      <c r="I977" t="s">
        <v>988</v>
      </c>
      <c r="J977" s="61"/>
      <c r="K977" t="s">
        <v>126</v>
      </c>
      <c r="L977" s="159">
        <v>271114</v>
      </c>
      <c r="M977" s="48"/>
      <c r="N977" s="123"/>
    </row>
    <row r="978" spans="1:14" customFormat="1" x14ac:dyDescent="0.55000000000000004">
      <c r="A978" s="105" t="s">
        <v>3367</v>
      </c>
      <c r="B978" s="61" t="s">
        <v>921</v>
      </c>
      <c r="C978" s="61" t="s">
        <v>125</v>
      </c>
      <c r="D978" s="61" t="s">
        <v>3288</v>
      </c>
      <c r="E978" s="119">
        <v>1.3220141700000001</v>
      </c>
      <c r="F978" s="148" t="s">
        <v>135</v>
      </c>
      <c r="G978" s="148">
        <v>1</v>
      </c>
      <c r="H978" s="61" t="s">
        <v>39</v>
      </c>
      <c r="I978" s="61" t="s">
        <v>988</v>
      </c>
      <c r="J978" s="61" t="s">
        <v>919</v>
      </c>
      <c r="K978" s="61" t="s">
        <v>126</v>
      </c>
      <c r="L978" s="159"/>
      <c r="M978" s="48"/>
      <c r="N978" s="123"/>
    </row>
    <row r="979" spans="1:14" customFormat="1" x14ac:dyDescent="0.55000000000000004">
      <c r="A979" s="105" t="s">
        <v>3367</v>
      </c>
      <c r="B979" s="61" t="s">
        <v>922</v>
      </c>
      <c r="C979" s="61" t="s">
        <v>125</v>
      </c>
      <c r="D979" s="61" t="s">
        <v>3288</v>
      </c>
      <c r="E979" s="119">
        <v>1.0576113359999999</v>
      </c>
      <c r="F979" s="148" t="s">
        <v>135</v>
      </c>
      <c r="G979" s="148">
        <v>1</v>
      </c>
      <c r="H979" s="61" t="s">
        <v>39</v>
      </c>
      <c r="I979" s="61" t="s">
        <v>987</v>
      </c>
      <c r="J979" s="61" t="s">
        <v>919</v>
      </c>
      <c r="K979" s="61" t="s">
        <v>126</v>
      </c>
      <c r="L979" s="159"/>
      <c r="M979" s="48"/>
      <c r="N979" s="123"/>
    </row>
    <row r="980" spans="1:14" customFormat="1" x14ac:dyDescent="0.55000000000000004">
      <c r="A980" s="105" t="s">
        <v>3367</v>
      </c>
      <c r="B980" s="61" t="s">
        <v>213</v>
      </c>
      <c r="C980" s="61" t="s">
        <v>125</v>
      </c>
      <c r="D980" s="61" t="s">
        <v>3288</v>
      </c>
      <c r="E980" s="119">
        <v>6.4777327999999995E-2</v>
      </c>
      <c r="F980" s="148" t="s">
        <v>135</v>
      </c>
      <c r="G980" s="148">
        <v>1</v>
      </c>
      <c r="H980" s="61" t="s">
        <v>39</v>
      </c>
      <c r="I980" s="61" t="s">
        <v>955</v>
      </c>
      <c r="J980" s="61" t="s">
        <v>919</v>
      </c>
      <c r="K980" s="61" t="s">
        <v>126</v>
      </c>
      <c r="L980" s="159"/>
      <c r="M980" s="48"/>
      <c r="N980" s="123"/>
    </row>
    <row r="981" spans="1:14" customFormat="1" x14ac:dyDescent="0.55000000000000004">
      <c r="A981" s="105" t="s">
        <v>3367</v>
      </c>
      <c r="B981" s="61" t="s">
        <v>334</v>
      </c>
      <c r="C981" s="61" t="s">
        <v>125</v>
      </c>
      <c r="D981" s="61" t="s">
        <v>3288</v>
      </c>
      <c r="E981" s="119">
        <v>6.4736842000000003E-2</v>
      </c>
      <c r="F981" s="148" t="s">
        <v>135</v>
      </c>
      <c r="G981" s="148">
        <v>1</v>
      </c>
      <c r="H981" s="61" t="s">
        <v>39</v>
      </c>
      <c r="I981" s="61" t="s">
        <v>988</v>
      </c>
      <c r="J981" s="61" t="s">
        <v>919</v>
      </c>
      <c r="K981" s="61" t="s">
        <v>126</v>
      </c>
      <c r="L981" s="159"/>
      <c r="M981" s="48"/>
      <c r="N981" s="123"/>
    </row>
    <row r="982" spans="1:14" customFormat="1" x14ac:dyDescent="0.55000000000000004">
      <c r="A982" s="105" t="s">
        <v>3367</v>
      </c>
      <c r="B982" s="61" t="s">
        <v>153</v>
      </c>
      <c r="C982" s="61" t="s">
        <v>127</v>
      </c>
      <c r="D982" s="61" t="s">
        <v>2994</v>
      </c>
      <c r="E982" s="119">
        <v>0.46537651800000002</v>
      </c>
      <c r="F982" s="148" t="s">
        <v>138</v>
      </c>
      <c r="G982" s="148">
        <v>1</v>
      </c>
      <c r="H982" s="61" t="s">
        <v>39</v>
      </c>
      <c r="I982" s="61" t="s">
        <v>988</v>
      </c>
      <c r="J982" s="61" t="s">
        <v>919</v>
      </c>
      <c r="K982" s="61" t="s">
        <v>126</v>
      </c>
      <c r="L982" s="159"/>
      <c r="M982" s="48"/>
      <c r="N982" s="123"/>
    </row>
    <row r="983" spans="1:14" customFormat="1" x14ac:dyDescent="0.55000000000000004">
      <c r="A983" s="105" t="s">
        <v>3367</v>
      </c>
      <c r="B983" s="61" t="s">
        <v>153</v>
      </c>
      <c r="C983" s="61" t="s">
        <v>127</v>
      </c>
      <c r="D983" s="61" t="s">
        <v>2994</v>
      </c>
      <c r="E983" s="119">
        <v>1.0253441299999999</v>
      </c>
      <c r="F983" s="148" t="s">
        <v>138</v>
      </c>
      <c r="G983" s="148">
        <v>1</v>
      </c>
      <c r="H983" s="61" t="s">
        <v>39</v>
      </c>
      <c r="I983" s="61" t="s">
        <v>987</v>
      </c>
      <c r="J983" s="61" t="s">
        <v>919</v>
      </c>
      <c r="K983" s="61" t="s">
        <v>126</v>
      </c>
      <c r="L983" s="159"/>
      <c r="M983" s="48"/>
      <c r="N983" s="123"/>
    </row>
    <row r="984" spans="1:14" customFormat="1" x14ac:dyDescent="0.55000000000000004">
      <c r="A984" s="105" t="s">
        <v>3367</v>
      </c>
      <c r="B984" s="61" t="s">
        <v>153</v>
      </c>
      <c r="C984" s="61" t="s">
        <v>127</v>
      </c>
      <c r="D984" s="61" t="s">
        <v>2994</v>
      </c>
      <c r="E984" s="119">
        <v>1.5591093119999999</v>
      </c>
      <c r="F984" s="148" t="s">
        <v>138</v>
      </c>
      <c r="G984" s="148">
        <v>1</v>
      </c>
      <c r="H984" s="61" t="s">
        <v>39</v>
      </c>
      <c r="I984" s="61"/>
      <c r="J984" s="61" t="s">
        <v>919</v>
      </c>
      <c r="K984" s="61" t="s">
        <v>126</v>
      </c>
      <c r="L984" s="159"/>
      <c r="M984" s="48"/>
      <c r="N984" s="123"/>
    </row>
    <row r="985" spans="1:14" customFormat="1" x14ac:dyDescent="0.55000000000000004">
      <c r="A985" s="105" t="s">
        <v>3367</v>
      </c>
      <c r="B985" s="61" t="s">
        <v>153</v>
      </c>
      <c r="C985" s="61" t="s">
        <v>127</v>
      </c>
      <c r="D985" s="61" t="s">
        <v>2994</v>
      </c>
      <c r="E985" s="119">
        <v>2.584453441</v>
      </c>
      <c r="F985" s="148" t="s">
        <v>138</v>
      </c>
      <c r="G985" s="148">
        <v>1</v>
      </c>
      <c r="H985" s="61" t="s">
        <v>39</v>
      </c>
      <c r="I985" s="61"/>
      <c r="J985" s="61" t="s">
        <v>919</v>
      </c>
      <c r="K985" s="61" t="s">
        <v>126</v>
      </c>
      <c r="L985" s="159"/>
      <c r="M985" s="48"/>
      <c r="N985" s="123"/>
    </row>
    <row r="986" spans="1:14" customFormat="1" x14ac:dyDescent="0.55000000000000004">
      <c r="A986" s="105" t="s">
        <v>3367</v>
      </c>
      <c r="B986" s="61" t="s">
        <v>334</v>
      </c>
      <c r="C986" s="61" t="s">
        <v>125</v>
      </c>
      <c r="D986" s="61" t="s">
        <v>3288</v>
      </c>
      <c r="E986" s="119">
        <v>1.9190282999999999E-2</v>
      </c>
      <c r="F986" s="148" t="s">
        <v>135</v>
      </c>
      <c r="G986" s="148">
        <v>1</v>
      </c>
      <c r="H986" s="61" t="s">
        <v>39</v>
      </c>
      <c r="I986" s="61"/>
      <c r="J986" s="61" t="s">
        <v>919</v>
      </c>
      <c r="K986" s="61"/>
      <c r="L986" s="159"/>
      <c r="M986" s="48"/>
      <c r="N986" s="123"/>
    </row>
    <row r="987" spans="1:14" customFormat="1" x14ac:dyDescent="0.55000000000000004">
      <c r="A987" s="105" t="s">
        <v>3368</v>
      </c>
      <c r="B987" s="61" t="s">
        <v>920</v>
      </c>
      <c r="C987" s="61" t="s">
        <v>121</v>
      </c>
      <c r="D987" s="61" t="s">
        <v>3288</v>
      </c>
      <c r="E987" s="119">
        <v>1</v>
      </c>
      <c r="F987" s="148" t="s">
        <v>135</v>
      </c>
      <c r="G987" s="148">
        <v>1</v>
      </c>
      <c r="H987" s="61" t="s">
        <v>39</v>
      </c>
      <c r="J987" s="61"/>
      <c r="K987" t="s">
        <v>126</v>
      </c>
      <c r="L987" s="159">
        <v>271114</v>
      </c>
      <c r="M987" s="48"/>
      <c r="N987" s="123"/>
    </row>
    <row r="988" spans="1:14" customFormat="1" x14ac:dyDescent="0.55000000000000004">
      <c r="A988" s="105" t="s">
        <v>3368</v>
      </c>
      <c r="B988" s="61" t="s">
        <v>921</v>
      </c>
      <c r="C988" s="61" t="s">
        <v>125</v>
      </c>
      <c r="D988" s="61" t="s">
        <v>3288</v>
      </c>
      <c r="E988" s="119">
        <v>1.3220141700000001</v>
      </c>
      <c r="F988" s="148" t="s">
        <v>135</v>
      </c>
      <c r="G988" s="148">
        <v>1</v>
      </c>
      <c r="H988" s="61" t="s">
        <v>39</v>
      </c>
      <c r="I988" s="61"/>
      <c r="J988" s="61" t="s">
        <v>919</v>
      </c>
      <c r="K988" s="61" t="s">
        <v>126</v>
      </c>
      <c r="L988" s="159"/>
      <c r="M988" s="48"/>
      <c r="N988" s="123"/>
    </row>
    <row r="989" spans="1:14" customFormat="1" x14ac:dyDescent="0.55000000000000004">
      <c r="A989" s="105" t="s">
        <v>3368</v>
      </c>
      <c r="B989" s="61" t="s">
        <v>922</v>
      </c>
      <c r="C989" s="61" t="s">
        <v>125</v>
      </c>
      <c r="D989" s="61" t="s">
        <v>3288</v>
      </c>
      <c r="E989" s="119">
        <v>1.0576113359999999</v>
      </c>
      <c r="F989" s="148" t="s">
        <v>135</v>
      </c>
      <c r="G989" s="148">
        <v>1</v>
      </c>
      <c r="H989" s="61" t="s">
        <v>39</v>
      </c>
      <c r="I989" s="61"/>
      <c r="J989" s="61" t="s">
        <v>919</v>
      </c>
      <c r="K989" s="61" t="s">
        <v>126</v>
      </c>
      <c r="L989" s="159"/>
      <c r="M989" s="48"/>
      <c r="N989" s="123"/>
    </row>
    <row r="990" spans="1:14" customFormat="1" x14ac:dyDescent="0.55000000000000004">
      <c r="A990" s="105" t="s">
        <v>3368</v>
      </c>
      <c r="B990" s="61" t="s">
        <v>213</v>
      </c>
      <c r="C990" s="61" t="s">
        <v>125</v>
      </c>
      <c r="D990" s="61" t="s">
        <v>3288</v>
      </c>
      <c r="E990" s="119">
        <v>6.4777327999999995E-2</v>
      </c>
      <c r="F990" s="148" t="s">
        <v>135</v>
      </c>
      <c r="G990" s="148">
        <v>1</v>
      </c>
      <c r="H990" s="61" t="s">
        <v>39</v>
      </c>
      <c r="I990" s="61"/>
      <c r="J990" s="61" t="s">
        <v>919</v>
      </c>
      <c r="K990" s="61" t="s">
        <v>126</v>
      </c>
      <c r="L990" s="159"/>
      <c r="M990" s="48"/>
      <c r="N990" s="123"/>
    </row>
    <row r="991" spans="1:14" customFormat="1" x14ac:dyDescent="0.55000000000000004">
      <c r="A991" s="105" t="s">
        <v>3368</v>
      </c>
      <c r="B991" s="61" t="s">
        <v>334</v>
      </c>
      <c r="C991" s="61" t="s">
        <v>125</v>
      </c>
      <c r="D991" s="61" t="s">
        <v>3288</v>
      </c>
      <c r="E991" s="119">
        <v>6.4736842000000003E-2</v>
      </c>
      <c r="F991" s="148" t="s">
        <v>135</v>
      </c>
      <c r="G991" s="148">
        <v>1</v>
      </c>
      <c r="H991" s="61" t="s">
        <v>39</v>
      </c>
      <c r="I991" s="61"/>
      <c r="J991" s="61" t="s">
        <v>919</v>
      </c>
      <c r="K991" s="61" t="s">
        <v>126</v>
      </c>
      <c r="L991" s="159"/>
      <c r="M991" s="48"/>
      <c r="N991" s="123"/>
    </row>
    <row r="992" spans="1:14" customFormat="1" x14ac:dyDescent="0.55000000000000004">
      <c r="A992" s="105" t="s">
        <v>3368</v>
      </c>
      <c r="B992" s="61" t="s">
        <v>153</v>
      </c>
      <c r="C992" s="61" t="s">
        <v>127</v>
      </c>
      <c r="D992" s="61" t="s">
        <v>2994</v>
      </c>
      <c r="E992" s="119">
        <v>0.46537651800000002</v>
      </c>
      <c r="F992" s="148" t="s">
        <v>138</v>
      </c>
      <c r="G992" s="148">
        <v>1</v>
      </c>
      <c r="H992" s="61" t="s">
        <v>39</v>
      </c>
      <c r="I992" s="61"/>
      <c r="J992" s="61" t="s">
        <v>919</v>
      </c>
      <c r="K992" s="61" t="s">
        <v>126</v>
      </c>
      <c r="L992" s="159"/>
      <c r="M992" s="48"/>
      <c r="N992" s="123"/>
    </row>
    <row r="993" spans="1:14" customFormat="1" x14ac:dyDescent="0.55000000000000004">
      <c r="A993" s="105" t="s">
        <v>3368</v>
      </c>
      <c r="B993" s="61" t="s">
        <v>153</v>
      </c>
      <c r="C993" s="61" t="s">
        <v>127</v>
      </c>
      <c r="D993" s="61" t="s">
        <v>2994</v>
      </c>
      <c r="E993" s="119">
        <v>1.0253441299999999</v>
      </c>
      <c r="F993" s="148" t="s">
        <v>138</v>
      </c>
      <c r="G993" s="148">
        <v>1</v>
      </c>
      <c r="H993" s="61" t="s">
        <v>39</v>
      </c>
      <c r="I993" s="61"/>
      <c r="J993" s="61" t="s">
        <v>919</v>
      </c>
      <c r="K993" s="61" t="s">
        <v>126</v>
      </c>
      <c r="L993" s="159"/>
      <c r="M993" s="48"/>
      <c r="N993" s="123"/>
    </row>
    <row r="994" spans="1:14" customFormat="1" x14ac:dyDescent="0.55000000000000004">
      <c r="A994" s="105" t="s">
        <v>3368</v>
      </c>
      <c r="B994" s="61" t="s">
        <v>153</v>
      </c>
      <c r="C994" s="61" t="s">
        <v>127</v>
      </c>
      <c r="D994" s="61" t="s">
        <v>2994</v>
      </c>
      <c r="E994" s="119">
        <v>1.5591093119999999</v>
      </c>
      <c r="F994" s="148" t="s">
        <v>138</v>
      </c>
      <c r="G994" s="148">
        <v>1</v>
      </c>
      <c r="H994" s="61" t="s">
        <v>39</v>
      </c>
      <c r="I994" s="61"/>
      <c r="J994" s="61" t="s">
        <v>919</v>
      </c>
      <c r="K994" s="61" t="s">
        <v>126</v>
      </c>
      <c r="L994" s="159"/>
      <c r="M994" s="48"/>
      <c r="N994" s="123"/>
    </row>
    <row r="995" spans="1:14" customFormat="1" x14ac:dyDescent="0.55000000000000004">
      <c r="A995" s="105" t="s">
        <v>3368</v>
      </c>
      <c r="B995" s="61" t="s">
        <v>153</v>
      </c>
      <c r="C995" s="61" t="s">
        <v>127</v>
      </c>
      <c r="D995" s="61" t="s">
        <v>2994</v>
      </c>
      <c r="E995" s="119">
        <v>1.363190283</v>
      </c>
      <c r="F995" s="148" t="s">
        <v>138</v>
      </c>
      <c r="G995" s="148">
        <v>1</v>
      </c>
      <c r="H995" s="61" t="s">
        <v>39</v>
      </c>
      <c r="I995" s="61"/>
      <c r="J995" s="61" t="s">
        <v>919</v>
      </c>
      <c r="K995" s="61" t="s">
        <v>126</v>
      </c>
      <c r="L995" s="159"/>
      <c r="M995" s="48"/>
      <c r="N995" s="123"/>
    </row>
    <row r="996" spans="1:14" customFormat="1" x14ac:dyDescent="0.55000000000000004">
      <c r="A996" s="105" t="s">
        <v>3368</v>
      </c>
      <c r="B996" s="61" t="s">
        <v>153</v>
      </c>
      <c r="C996" s="61" t="s">
        <v>127</v>
      </c>
      <c r="D996" s="61" t="s">
        <v>2994</v>
      </c>
      <c r="E996" s="119">
        <v>4.4130202430000001</v>
      </c>
      <c r="F996" s="148" t="s">
        <v>138</v>
      </c>
      <c r="G996" s="148">
        <v>1</v>
      </c>
      <c r="H996" s="61" t="s">
        <v>39</v>
      </c>
      <c r="I996" s="61"/>
      <c r="J996" s="61" t="s">
        <v>919</v>
      </c>
      <c r="K996" s="61"/>
      <c r="L996" s="159"/>
      <c r="M996" s="48"/>
      <c r="N996" s="123"/>
    </row>
    <row r="997" spans="1:14" customFormat="1" x14ac:dyDescent="0.55000000000000004">
      <c r="A997" s="105" t="s">
        <v>3369</v>
      </c>
      <c r="B997" s="61" t="s">
        <v>920</v>
      </c>
      <c r="C997" s="61" t="s">
        <v>121</v>
      </c>
      <c r="D997" s="61" t="s">
        <v>3288</v>
      </c>
      <c r="E997" s="119">
        <v>1</v>
      </c>
      <c r="F997" s="148" t="s">
        <v>135</v>
      </c>
      <c r="G997" s="148">
        <v>1</v>
      </c>
      <c r="H997" s="61" t="s">
        <v>39</v>
      </c>
      <c r="I997" t="s">
        <v>1001</v>
      </c>
      <c r="J997" s="61"/>
      <c r="K997" t="s">
        <v>126</v>
      </c>
      <c r="L997" s="159">
        <v>271114</v>
      </c>
      <c r="M997" s="48"/>
      <c r="N997" s="123"/>
    </row>
    <row r="998" spans="1:14" customFormat="1" x14ac:dyDescent="0.55000000000000004">
      <c r="A998" s="105" t="s">
        <v>3369</v>
      </c>
      <c r="B998" s="61" t="s">
        <v>921</v>
      </c>
      <c r="C998" s="61" t="s">
        <v>125</v>
      </c>
      <c r="D998" s="61" t="s">
        <v>3288</v>
      </c>
      <c r="E998" s="119">
        <v>1.5283400810000001</v>
      </c>
      <c r="F998" s="148" t="s">
        <v>135</v>
      </c>
      <c r="G998" s="148">
        <v>1</v>
      </c>
      <c r="H998" s="61" t="s">
        <v>39</v>
      </c>
      <c r="I998" s="61" t="s">
        <v>1002</v>
      </c>
      <c r="J998" s="61" t="s">
        <v>919</v>
      </c>
      <c r="K998" s="61" t="s">
        <v>126</v>
      </c>
      <c r="L998" s="159"/>
      <c r="M998" s="48"/>
      <c r="N998" s="123"/>
    </row>
    <row r="999" spans="1:14" customFormat="1" x14ac:dyDescent="0.55000000000000004">
      <c r="A999" s="105" t="s">
        <v>3369</v>
      </c>
      <c r="B999" s="61" t="s">
        <v>922</v>
      </c>
      <c r="C999" s="61" t="s">
        <v>125</v>
      </c>
      <c r="D999" s="61" t="s">
        <v>3288</v>
      </c>
      <c r="E999" s="119">
        <v>1.222672065</v>
      </c>
      <c r="F999" s="148" t="s">
        <v>135</v>
      </c>
      <c r="G999" s="148">
        <v>1</v>
      </c>
      <c r="H999" s="61" t="s">
        <v>39</v>
      </c>
      <c r="I999" s="61" t="s">
        <v>947</v>
      </c>
      <c r="J999" s="61" t="s">
        <v>919</v>
      </c>
      <c r="K999" s="61" t="s">
        <v>126</v>
      </c>
      <c r="L999" s="159"/>
      <c r="M999" s="48"/>
      <c r="N999" s="123"/>
    </row>
    <row r="1000" spans="1:14" customFormat="1" x14ac:dyDescent="0.55000000000000004">
      <c r="A1000" s="105" t="s">
        <v>3369</v>
      </c>
      <c r="B1000" s="61" t="s">
        <v>923</v>
      </c>
      <c r="C1000" s="61" t="s">
        <v>127</v>
      </c>
      <c r="D1000" s="61" t="s">
        <v>2994</v>
      </c>
      <c r="E1000" s="119">
        <v>8.8663967610000007</v>
      </c>
      <c r="F1000" s="148" t="s">
        <v>138</v>
      </c>
      <c r="G1000" s="148">
        <v>1</v>
      </c>
      <c r="H1000" s="61" t="s">
        <v>39</v>
      </c>
      <c r="I1000" s="61" t="s">
        <v>1003</v>
      </c>
      <c r="J1000" s="61" t="s">
        <v>919</v>
      </c>
      <c r="K1000" s="61" t="s">
        <v>126</v>
      </c>
      <c r="L1000" s="159"/>
      <c r="M1000" s="48"/>
      <c r="N1000" s="123"/>
    </row>
    <row r="1001" spans="1:14" customFormat="1" x14ac:dyDescent="0.55000000000000004">
      <c r="A1001" s="105" t="s">
        <v>3369</v>
      </c>
      <c r="B1001" s="61" t="s">
        <v>153</v>
      </c>
      <c r="C1001" s="61" t="s">
        <v>127</v>
      </c>
      <c r="D1001" s="61" t="s">
        <v>2994</v>
      </c>
      <c r="E1001" s="119">
        <v>0.46537651800000002</v>
      </c>
      <c r="F1001" s="148" t="s">
        <v>138</v>
      </c>
      <c r="G1001" s="148">
        <v>1</v>
      </c>
      <c r="H1001" s="61" t="s">
        <v>39</v>
      </c>
      <c r="I1001" s="61" t="s">
        <v>966</v>
      </c>
      <c r="J1001" s="61" t="s">
        <v>919</v>
      </c>
      <c r="K1001" s="61" t="s">
        <v>126</v>
      </c>
      <c r="L1001" s="159"/>
      <c r="M1001" s="48"/>
      <c r="N1001" s="123"/>
    </row>
    <row r="1002" spans="1:14" customFormat="1" x14ac:dyDescent="0.55000000000000004">
      <c r="A1002" s="105" t="s">
        <v>3369</v>
      </c>
      <c r="B1002" s="61" t="s">
        <v>153</v>
      </c>
      <c r="C1002" s="61" t="s">
        <v>127</v>
      </c>
      <c r="D1002" s="61" t="s">
        <v>2994</v>
      </c>
      <c r="E1002" s="119">
        <v>1.0253441299999999</v>
      </c>
      <c r="F1002" s="148" t="s">
        <v>138</v>
      </c>
      <c r="G1002" s="148">
        <v>1</v>
      </c>
      <c r="H1002" s="61" t="s">
        <v>39</v>
      </c>
      <c r="I1002" s="61" t="s">
        <v>1004</v>
      </c>
      <c r="J1002" s="61" t="s">
        <v>919</v>
      </c>
      <c r="K1002" s="61" t="s">
        <v>126</v>
      </c>
      <c r="L1002" s="159"/>
      <c r="M1002" s="48"/>
      <c r="N1002" s="123"/>
    </row>
    <row r="1003" spans="1:14" customFormat="1" x14ac:dyDescent="0.55000000000000004">
      <c r="A1003" s="105" t="s">
        <v>3369</v>
      </c>
      <c r="B1003" s="61" t="s">
        <v>153</v>
      </c>
      <c r="C1003" s="61" t="s">
        <v>127</v>
      </c>
      <c r="D1003" s="61" t="s">
        <v>2994</v>
      </c>
      <c r="E1003" s="119">
        <v>1.0253441299999999</v>
      </c>
      <c r="F1003" s="148" t="s">
        <v>138</v>
      </c>
      <c r="G1003" s="148">
        <v>1</v>
      </c>
      <c r="H1003" s="61" t="s">
        <v>39</v>
      </c>
      <c r="I1003" s="61" t="s">
        <v>959</v>
      </c>
      <c r="J1003" s="61" t="s">
        <v>919</v>
      </c>
      <c r="K1003" s="61" t="s">
        <v>126</v>
      </c>
      <c r="L1003" s="159"/>
      <c r="M1003" s="48"/>
      <c r="N1003" s="123"/>
    </row>
    <row r="1004" spans="1:14" customFormat="1" x14ac:dyDescent="0.55000000000000004">
      <c r="A1004" s="105" t="s">
        <v>3369</v>
      </c>
      <c r="B1004" s="61" t="s">
        <v>160</v>
      </c>
      <c r="C1004" s="61" t="s">
        <v>497</v>
      </c>
      <c r="D1004" s="61" t="s">
        <v>3288</v>
      </c>
      <c r="E1004" s="119">
        <v>0.59404858299999996</v>
      </c>
      <c r="F1004" s="148" t="s">
        <v>135</v>
      </c>
      <c r="G1004" s="148">
        <v>1</v>
      </c>
      <c r="H1004" s="61" t="s">
        <v>39</v>
      </c>
      <c r="I1004" s="61"/>
      <c r="J1004" s="61" t="s">
        <v>924</v>
      </c>
      <c r="K1004" s="61"/>
      <c r="L1004" s="159"/>
      <c r="M1004" s="48"/>
      <c r="N1004" s="123"/>
    </row>
    <row r="1005" spans="1:14" customFormat="1" x14ac:dyDescent="0.55000000000000004">
      <c r="A1005" s="105" t="s">
        <v>3370</v>
      </c>
      <c r="B1005" s="61" t="s">
        <v>920</v>
      </c>
      <c r="C1005" s="61" t="s">
        <v>121</v>
      </c>
      <c r="D1005" s="61" t="s">
        <v>3288</v>
      </c>
      <c r="E1005" s="119">
        <v>1</v>
      </c>
      <c r="F1005" s="148" t="s">
        <v>135</v>
      </c>
      <c r="G1005" s="148">
        <v>1</v>
      </c>
      <c r="H1005" s="61" t="s">
        <v>39</v>
      </c>
      <c r="I1005" t="s">
        <v>988</v>
      </c>
      <c r="J1005" s="61"/>
      <c r="K1005" t="s">
        <v>126</v>
      </c>
      <c r="L1005" s="159">
        <v>271114</v>
      </c>
      <c r="M1005" s="48"/>
      <c r="N1005" s="123"/>
    </row>
    <row r="1006" spans="1:14" customFormat="1" x14ac:dyDescent="0.55000000000000004">
      <c r="A1006" s="105" t="s">
        <v>3370</v>
      </c>
      <c r="B1006" s="61" t="s">
        <v>921</v>
      </c>
      <c r="C1006" s="61" t="s">
        <v>125</v>
      </c>
      <c r="D1006" s="61" t="s">
        <v>3288</v>
      </c>
      <c r="E1006" s="119">
        <v>1.4213562749999999</v>
      </c>
      <c r="F1006" s="148" t="s">
        <v>135</v>
      </c>
      <c r="G1006" s="148">
        <v>1</v>
      </c>
      <c r="H1006" s="61" t="s">
        <v>39</v>
      </c>
      <c r="I1006" s="61" t="s">
        <v>988</v>
      </c>
      <c r="J1006" s="61" t="s">
        <v>919</v>
      </c>
      <c r="K1006" s="61" t="s">
        <v>126</v>
      </c>
      <c r="L1006" s="159"/>
      <c r="M1006" s="48"/>
      <c r="N1006" s="123"/>
    </row>
    <row r="1007" spans="1:14" customFormat="1" x14ac:dyDescent="0.55000000000000004">
      <c r="A1007" s="105" t="s">
        <v>3370</v>
      </c>
      <c r="B1007" s="61" t="s">
        <v>922</v>
      </c>
      <c r="C1007" s="61" t="s">
        <v>125</v>
      </c>
      <c r="D1007" s="61" t="s">
        <v>3288</v>
      </c>
      <c r="E1007" s="119">
        <v>1.13708502</v>
      </c>
      <c r="F1007" s="148" t="s">
        <v>135</v>
      </c>
      <c r="G1007" s="148">
        <v>1</v>
      </c>
      <c r="H1007" s="61" t="s">
        <v>39</v>
      </c>
      <c r="I1007" s="61" t="s">
        <v>987</v>
      </c>
      <c r="J1007" s="61" t="s">
        <v>919</v>
      </c>
      <c r="K1007" s="61" t="s">
        <v>126</v>
      </c>
      <c r="L1007" s="159"/>
      <c r="M1007" s="48"/>
      <c r="N1007" s="123"/>
    </row>
    <row r="1008" spans="1:14" customFormat="1" x14ac:dyDescent="0.55000000000000004">
      <c r="A1008" s="105" t="s">
        <v>3370</v>
      </c>
      <c r="B1008" s="61" t="s">
        <v>213</v>
      </c>
      <c r="C1008" s="61" t="s">
        <v>125</v>
      </c>
      <c r="D1008" s="61" t="s">
        <v>3288</v>
      </c>
      <c r="E1008" s="119">
        <v>6.4777327999999995E-2</v>
      </c>
      <c r="F1008" s="148" t="s">
        <v>135</v>
      </c>
      <c r="G1008" s="148">
        <v>1</v>
      </c>
      <c r="H1008" s="61" t="s">
        <v>39</v>
      </c>
      <c r="I1008" s="61" t="s">
        <v>988</v>
      </c>
      <c r="J1008" s="61" t="s">
        <v>919</v>
      </c>
      <c r="K1008" s="61" t="s">
        <v>126</v>
      </c>
      <c r="L1008" s="159"/>
      <c r="M1008" s="48"/>
      <c r="N1008" s="123"/>
    </row>
    <row r="1009" spans="1:14" customFormat="1" x14ac:dyDescent="0.55000000000000004">
      <c r="A1009" s="105" t="s">
        <v>3370</v>
      </c>
      <c r="B1009" s="61" t="s">
        <v>923</v>
      </c>
      <c r="C1009" s="61" t="s">
        <v>127</v>
      </c>
      <c r="D1009" s="61" t="s">
        <v>2994</v>
      </c>
      <c r="E1009" s="119">
        <v>8.461538462</v>
      </c>
      <c r="F1009" s="148" t="s">
        <v>138</v>
      </c>
      <c r="G1009" s="148">
        <v>1</v>
      </c>
      <c r="H1009" s="61" t="s">
        <v>39</v>
      </c>
      <c r="I1009" s="61" t="s">
        <v>988</v>
      </c>
      <c r="J1009" s="61" t="s">
        <v>919</v>
      </c>
      <c r="K1009" s="61" t="s">
        <v>126</v>
      </c>
      <c r="L1009" s="159"/>
      <c r="M1009" s="48"/>
      <c r="N1009" s="123"/>
    </row>
    <row r="1010" spans="1:14" customFormat="1" x14ac:dyDescent="0.55000000000000004">
      <c r="A1010" s="105" t="s">
        <v>3370</v>
      </c>
      <c r="B1010" s="61" t="s">
        <v>153</v>
      </c>
      <c r="C1010" s="61" t="s">
        <v>127</v>
      </c>
      <c r="D1010" s="61" t="s">
        <v>2994</v>
      </c>
      <c r="E1010" s="119">
        <v>0.46537651800000002</v>
      </c>
      <c r="F1010" s="148" t="s">
        <v>138</v>
      </c>
      <c r="G1010" s="148">
        <v>1</v>
      </c>
      <c r="H1010" s="61" t="s">
        <v>39</v>
      </c>
      <c r="I1010" s="61" t="s">
        <v>988</v>
      </c>
      <c r="J1010" s="61" t="s">
        <v>919</v>
      </c>
      <c r="K1010" s="61" t="s">
        <v>126</v>
      </c>
      <c r="L1010" s="159"/>
      <c r="M1010" s="48"/>
      <c r="N1010" s="123"/>
    </row>
    <row r="1011" spans="1:14" customFormat="1" x14ac:dyDescent="0.55000000000000004">
      <c r="A1011" s="105" t="s">
        <v>3370</v>
      </c>
      <c r="B1011" s="61" t="s">
        <v>153</v>
      </c>
      <c r="C1011" s="61" t="s">
        <v>127</v>
      </c>
      <c r="D1011" s="61" t="s">
        <v>2994</v>
      </c>
      <c r="E1011" s="119">
        <v>1.0253441299999999</v>
      </c>
      <c r="F1011" s="148" t="s">
        <v>138</v>
      </c>
      <c r="G1011" s="148">
        <v>1</v>
      </c>
      <c r="H1011" s="61" t="s">
        <v>39</v>
      </c>
      <c r="I1011" s="61" t="s">
        <v>989</v>
      </c>
      <c r="J1011" s="61" t="s">
        <v>919</v>
      </c>
      <c r="K1011" s="61" t="s">
        <v>126</v>
      </c>
      <c r="L1011" s="159"/>
      <c r="M1011" s="48"/>
      <c r="N1011" s="123"/>
    </row>
    <row r="1012" spans="1:14" customFormat="1" x14ac:dyDescent="0.55000000000000004">
      <c r="A1012" s="105" t="s">
        <v>3370</v>
      </c>
      <c r="B1012" s="61" t="s">
        <v>153</v>
      </c>
      <c r="C1012" s="61" t="s">
        <v>127</v>
      </c>
      <c r="D1012" s="61" t="s">
        <v>2994</v>
      </c>
      <c r="E1012" s="119">
        <v>1.363190283</v>
      </c>
      <c r="F1012" s="148" t="s">
        <v>138</v>
      </c>
      <c r="G1012" s="148">
        <v>1</v>
      </c>
      <c r="H1012" s="61" t="s">
        <v>39</v>
      </c>
      <c r="I1012" s="61" t="s">
        <v>987</v>
      </c>
      <c r="J1012" s="61" t="s">
        <v>919</v>
      </c>
      <c r="K1012" s="61" t="s">
        <v>126</v>
      </c>
      <c r="L1012" s="159"/>
      <c r="M1012" s="48"/>
      <c r="N1012" s="123"/>
    </row>
    <row r="1013" spans="1:14" customFormat="1" x14ac:dyDescent="0.55000000000000004">
      <c r="A1013" s="105" t="s">
        <v>3370</v>
      </c>
      <c r="B1013" s="61" t="s">
        <v>153</v>
      </c>
      <c r="C1013" s="61" t="s">
        <v>127</v>
      </c>
      <c r="D1013" s="61" t="s">
        <v>2994</v>
      </c>
      <c r="E1013" s="119">
        <v>0.44048583000000002</v>
      </c>
      <c r="F1013" s="148" t="s">
        <v>138</v>
      </c>
      <c r="G1013" s="148">
        <v>1</v>
      </c>
      <c r="H1013" s="61" t="s">
        <v>39</v>
      </c>
      <c r="I1013" s="61"/>
      <c r="J1013" s="61" t="s">
        <v>919</v>
      </c>
      <c r="K1013" s="61" t="s">
        <v>126</v>
      </c>
      <c r="L1013" s="159"/>
      <c r="M1013" s="48"/>
      <c r="N1013" s="123"/>
    </row>
    <row r="1014" spans="1:14" customFormat="1" x14ac:dyDescent="0.55000000000000004">
      <c r="A1014" s="105" t="s">
        <v>3370</v>
      </c>
      <c r="B1014" s="61" t="s">
        <v>153</v>
      </c>
      <c r="C1014" s="61" t="s">
        <v>127</v>
      </c>
      <c r="D1014" s="61" t="s">
        <v>2994</v>
      </c>
      <c r="E1014" s="119">
        <v>2.829020243</v>
      </c>
      <c r="F1014" s="148" t="s">
        <v>138</v>
      </c>
      <c r="G1014" s="148">
        <v>1</v>
      </c>
      <c r="H1014" s="61" t="s">
        <v>39</v>
      </c>
      <c r="I1014" s="61" t="s">
        <v>959</v>
      </c>
      <c r="J1014" s="61" t="s">
        <v>919</v>
      </c>
      <c r="K1014" s="61" t="s">
        <v>126</v>
      </c>
      <c r="L1014" s="159"/>
      <c r="M1014" s="48"/>
      <c r="N1014" s="123"/>
    </row>
    <row r="1015" spans="1:14" customFormat="1" x14ac:dyDescent="0.55000000000000004">
      <c r="A1015" s="105" t="s">
        <v>3370</v>
      </c>
      <c r="B1015" s="61" t="s">
        <v>160</v>
      </c>
      <c r="C1015" s="61" t="s">
        <v>497</v>
      </c>
      <c r="D1015" s="61" t="s">
        <v>3288</v>
      </c>
      <c r="E1015" s="119">
        <v>2.8346153999999998E-2</v>
      </c>
      <c r="F1015" s="148" t="s">
        <v>135</v>
      </c>
      <c r="G1015" s="148">
        <v>1</v>
      </c>
      <c r="H1015" s="61" t="s">
        <v>39</v>
      </c>
      <c r="I1015" s="61"/>
      <c r="J1015" s="61" t="s">
        <v>924</v>
      </c>
      <c r="K1015" s="61"/>
      <c r="L1015" s="159"/>
      <c r="M1015" s="48"/>
      <c r="N1015" s="123"/>
    </row>
    <row r="1016" spans="1:14" customFormat="1" x14ac:dyDescent="0.55000000000000004">
      <c r="A1016" s="105" t="s">
        <v>3371</v>
      </c>
      <c r="B1016" s="61" t="s">
        <v>153</v>
      </c>
      <c r="C1016" s="61" t="s">
        <v>127</v>
      </c>
      <c r="D1016" s="61" t="s">
        <v>2994</v>
      </c>
      <c r="E1016" s="119">
        <v>0.60119999999999996</v>
      </c>
      <c r="F1016" s="148" t="s">
        <v>138</v>
      </c>
      <c r="G1016" s="148">
        <v>1</v>
      </c>
      <c r="H1016" s="61" t="s">
        <v>39</v>
      </c>
      <c r="I1016" s="61"/>
      <c r="J1016" s="61" t="s">
        <v>919</v>
      </c>
      <c r="K1016" s="61" t="s">
        <v>126</v>
      </c>
      <c r="L1016" s="159"/>
      <c r="M1016" s="48"/>
      <c r="N1016" s="123"/>
    </row>
    <row r="1017" spans="1:14" customFormat="1" x14ac:dyDescent="0.55000000000000004">
      <c r="A1017" s="102" t="s">
        <v>917</v>
      </c>
      <c r="B1017" s="61" t="s">
        <v>918</v>
      </c>
      <c r="C1017" s="61" t="s">
        <v>121</v>
      </c>
      <c r="D1017" s="61" t="s">
        <v>3288</v>
      </c>
      <c r="E1017" s="119">
        <v>1</v>
      </c>
      <c r="F1017" s="148" t="s">
        <v>135</v>
      </c>
      <c r="G1017" s="148">
        <v>1</v>
      </c>
      <c r="H1017" s="61" t="s">
        <v>39</v>
      </c>
      <c r="J1017" t="s">
        <v>879</v>
      </c>
      <c r="L1017" s="159"/>
      <c r="M1017" s="48"/>
      <c r="N1017" s="123"/>
    </row>
    <row r="1018" spans="1:14" customFormat="1" x14ac:dyDescent="0.55000000000000004">
      <c r="A1018" s="102" t="s">
        <v>917</v>
      </c>
      <c r="B1018" s="61" t="s">
        <v>880</v>
      </c>
      <c r="C1018" s="61" t="s">
        <v>127</v>
      </c>
      <c r="D1018" s="61" t="s">
        <v>3289</v>
      </c>
      <c r="E1018" s="119">
        <v>7.28</v>
      </c>
      <c r="F1018" s="148" t="s">
        <v>133</v>
      </c>
      <c r="G1018" s="148">
        <v>1</v>
      </c>
      <c r="H1018" s="61" t="s">
        <v>39</v>
      </c>
      <c r="J1018" t="s">
        <v>879</v>
      </c>
      <c r="L1018" s="159"/>
      <c r="M1018" s="48"/>
      <c r="N1018" s="123"/>
    </row>
    <row r="1019" spans="1:14" customFormat="1" x14ac:dyDescent="0.55000000000000004">
      <c r="A1019" s="102" t="s">
        <v>917</v>
      </c>
      <c r="B1019" s="61" t="s">
        <v>881</v>
      </c>
      <c r="C1019" s="61" t="s">
        <v>127</v>
      </c>
      <c r="D1019" s="61" t="s">
        <v>3289</v>
      </c>
      <c r="E1019" s="119">
        <v>0</v>
      </c>
      <c r="F1019" s="148" t="s">
        <v>133</v>
      </c>
      <c r="G1019" s="148">
        <v>1</v>
      </c>
      <c r="H1019" s="61" t="s">
        <v>39</v>
      </c>
      <c r="J1019" t="s">
        <v>879</v>
      </c>
      <c r="L1019" s="159"/>
      <c r="M1019" s="48"/>
      <c r="N1019" s="123"/>
    </row>
    <row r="1020" spans="1:14" customFormat="1" x14ac:dyDescent="0.55000000000000004">
      <c r="A1020" s="102" t="s">
        <v>917</v>
      </c>
      <c r="B1020" s="61" t="s">
        <v>882</v>
      </c>
      <c r="C1020" s="61" t="s">
        <v>127</v>
      </c>
      <c r="D1020" s="61" t="s">
        <v>3289</v>
      </c>
      <c r="E1020" s="119">
        <v>0.47</v>
      </c>
      <c r="F1020" s="148" t="s">
        <v>133</v>
      </c>
      <c r="G1020" s="148">
        <v>1</v>
      </c>
      <c r="H1020" s="61" t="s">
        <v>39</v>
      </c>
      <c r="J1020" t="s">
        <v>879</v>
      </c>
      <c r="L1020" s="159"/>
      <c r="M1020" s="48"/>
      <c r="N1020" s="123"/>
    </row>
    <row r="1021" spans="1:14" customFormat="1" x14ac:dyDescent="0.55000000000000004">
      <c r="A1021" s="102" t="s">
        <v>917</v>
      </c>
      <c r="B1021" s="61" t="s">
        <v>883</v>
      </c>
      <c r="C1021" s="61" t="s">
        <v>127</v>
      </c>
      <c r="D1021" s="61" t="s">
        <v>3289</v>
      </c>
      <c r="E1021" s="119">
        <v>0.25</v>
      </c>
      <c r="F1021" s="148" t="s">
        <v>133</v>
      </c>
      <c r="G1021" s="148">
        <v>1</v>
      </c>
      <c r="H1021" s="61" t="s">
        <v>39</v>
      </c>
      <c r="J1021" t="s">
        <v>879</v>
      </c>
      <c r="L1021" s="159"/>
      <c r="M1021" s="48"/>
      <c r="N1021" s="123"/>
    </row>
    <row r="1022" spans="1:14" customFormat="1" x14ac:dyDescent="0.55000000000000004">
      <c r="A1022" s="102" t="s">
        <v>917</v>
      </c>
      <c r="B1022" s="61" t="s">
        <v>884</v>
      </c>
      <c r="C1022" s="61" t="s">
        <v>127</v>
      </c>
      <c r="D1022" s="61" t="s">
        <v>2994</v>
      </c>
      <c r="E1022" s="119">
        <v>5.13</v>
      </c>
      <c r="F1022" s="148" t="s">
        <v>130</v>
      </c>
      <c r="G1022" s="148">
        <v>1</v>
      </c>
      <c r="H1022" s="61" t="s">
        <v>39</v>
      </c>
      <c r="J1022" t="s">
        <v>879</v>
      </c>
      <c r="L1022" s="159"/>
      <c r="M1022" s="48"/>
      <c r="N1022" s="123"/>
    </row>
    <row r="1023" spans="1:14" customFormat="1" x14ac:dyDescent="0.55000000000000004">
      <c r="A1023" s="102" t="s">
        <v>917</v>
      </c>
      <c r="B1023" s="61" t="s">
        <v>885</v>
      </c>
      <c r="C1023" s="61" t="s">
        <v>127</v>
      </c>
      <c r="D1023" s="61" t="s">
        <v>2994</v>
      </c>
      <c r="E1023" s="119">
        <v>11.27</v>
      </c>
      <c r="F1023" s="148" t="s">
        <v>130</v>
      </c>
      <c r="G1023" s="148">
        <v>1</v>
      </c>
      <c r="H1023" s="61" t="s">
        <v>39</v>
      </c>
      <c r="J1023" t="s">
        <v>879</v>
      </c>
      <c r="L1023" s="159"/>
      <c r="M1023" s="48"/>
      <c r="N1023" s="123"/>
    </row>
    <row r="1024" spans="1:14" customFormat="1" x14ac:dyDescent="0.55000000000000004">
      <c r="A1024" s="102" t="s">
        <v>917</v>
      </c>
      <c r="B1024" s="61" t="s">
        <v>886</v>
      </c>
      <c r="C1024" s="61" t="s">
        <v>887</v>
      </c>
      <c r="D1024" s="61" t="s">
        <v>3288</v>
      </c>
      <c r="E1024" s="119">
        <v>0</v>
      </c>
      <c r="F1024" s="148" t="s">
        <v>135</v>
      </c>
      <c r="G1024" s="148">
        <v>1</v>
      </c>
      <c r="H1024" s="61" t="s">
        <v>39</v>
      </c>
      <c r="J1024" t="s">
        <v>879</v>
      </c>
      <c r="L1024" s="159"/>
      <c r="M1024" s="48"/>
      <c r="N1024" s="123"/>
    </row>
    <row r="1025" spans="1:14" customFormat="1" x14ac:dyDescent="0.55000000000000004">
      <c r="A1025" s="102" t="s">
        <v>917</v>
      </c>
      <c r="B1025" s="61" t="s">
        <v>888</v>
      </c>
      <c r="C1025" s="61" t="s">
        <v>125</v>
      </c>
      <c r="D1025" s="61" t="s">
        <v>3288</v>
      </c>
      <c r="E1025" s="119">
        <v>0.11</v>
      </c>
      <c r="F1025" s="148" t="s">
        <v>135</v>
      </c>
      <c r="G1025" s="148">
        <v>1</v>
      </c>
      <c r="H1025" s="61" t="s">
        <v>39</v>
      </c>
      <c r="J1025" t="s">
        <v>879</v>
      </c>
      <c r="L1025" s="159"/>
      <c r="M1025" s="48"/>
      <c r="N1025" s="123"/>
    </row>
    <row r="1026" spans="1:14" customFormat="1" x14ac:dyDescent="0.55000000000000004">
      <c r="A1026" s="102" t="s">
        <v>917</v>
      </c>
      <c r="B1026" s="61" t="s">
        <v>889</v>
      </c>
      <c r="C1026" s="61" t="s">
        <v>125</v>
      </c>
      <c r="D1026" s="61" t="s">
        <v>3288</v>
      </c>
      <c r="E1026" s="119">
        <v>0.82</v>
      </c>
      <c r="F1026" s="148" t="s">
        <v>135</v>
      </c>
      <c r="G1026" s="148">
        <v>1</v>
      </c>
      <c r="H1026" s="61" t="s">
        <v>39</v>
      </c>
      <c r="J1026" t="s">
        <v>879</v>
      </c>
      <c r="L1026" s="159"/>
      <c r="M1026" s="48"/>
      <c r="N1026" s="123"/>
    </row>
    <row r="1027" spans="1:14" customFormat="1" x14ac:dyDescent="0.55000000000000004">
      <c r="A1027" s="102" t="s">
        <v>917</v>
      </c>
      <c r="B1027" s="61" t="s">
        <v>890</v>
      </c>
      <c r="C1027" s="61" t="s">
        <v>125</v>
      </c>
      <c r="D1027" s="61" t="s">
        <v>3288</v>
      </c>
      <c r="E1027" s="119">
        <v>0.08</v>
      </c>
      <c r="F1027" s="148" t="s">
        <v>135</v>
      </c>
      <c r="G1027" s="148">
        <v>1</v>
      </c>
      <c r="H1027" s="61" t="s">
        <v>39</v>
      </c>
      <c r="J1027" t="s">
        <v>879</v>
      </c>
      <c r="L1027" s="159"/>
      <c r="M1027" s="48"/>
      <c r="N1027" s="123"/>
    </row>
    <row r="1028" spans="1:14" customFormat="1" x14ac:dyDescent="0.55000000000000004">
      <c r="A1028" s="102" t="s">
        <v>917</v>
      </c>
      <c r="B1028" s="61" t="s">
        <v>160</v>
      </c>
      <c r="C1028" s="61" t="s">
        <v>497</v>
      </c>
      <c r="D1028" s="61" t="s">
        <v>3288</v>
      </c>
      <c r="E1028" s="119">
        <v>14.3</v>
      </c>
      <c r="F1028" s="148" t="s">
        <v>122</v>
      </c>
      <c r="G1028" s="148">
        <v>1</v>
      </c>
      <c r="H1028" s="61" t="s">
        <v>39</v>
      </c>
      <c r="I1028" t="str">
        <f>"-35kgCO2 (indirect emissions reduction)"</f>
        <v>-35kgCO2 (indirect emissions reduction)</v>
      </c>
      <c r="J1028" t="s">
        <v>879</v>
      </c>
      <c r="L1028" s="159"/>
      <c r="M1028" s="48"/>
      <c r="N1028" s="123"/>
    </row>
    <row r="1029" spans="1:14" customFormat="1" x14ac:dyDescent="0.55000000000000004">
      <c r="A1029" s="102" t="s">
        <v>917</v>
      </c>
      <c r="B1029" s="61" t="s">
        <v>891</v>
      </c>
      <c r="C1029" s="122" t="s">
        <v>124</v>
      </c>
      <c r="D1029" s="61" t="s">
        <v>3288</v>
      </c>
      <c r="E1029" s="119">
        <v>1.1599999999999999</v>
      </c>
      <c r="F1029" s="148" t="s">
        <v>892</v>
      </c>
      <c r="G1029" s="148">
        <v>1</v>
      </c>
      <c r="H1029" s="61" t="s">
        <v>893</v>
      </c>
      <c r="J1029" t="s">
        <v>879</v>
      </c>
      <c r="L1029" s="164"/>
      <c r="M1029" s="48"/>
      <c r="N1029" s="123"/>
    </row>
    <row r="1030" spans="1:14" customFormat="1" x14ac:dyDescent="0.55000000000000004">
      <c r="A1030" s="102" t="s">
        <v>915</v>
      </c>
      <c r="B1030" s="61" t="s">
        <v>916</v>
      </c>
      <c r="C1030" s="61" t="s">
        <v>121</v>
      </c>
      <c r="D1030" s="61" t="s">
        <v>3288</v>
      </c>
      <c r="E1030" s="119">
        <v>1</v>
      </c>
      <c r="F1030" s="148" t="s">
        <v>135</v>
      </c>
      <c r="G1030" s="148">
        <v>1</v>
      </c>
      <c r="H1030" s="61" t="s">
        <v>39</v>
      </c>
      <c r="J1030" s="68" t="s">
        <v>904</v>
      </c>
      <c r="L1030" s="159"/>
      <c r="M1030" s="48"/>
      <c r="N1030" s="123"/>
    </row>
    <row r="1031" spans="1:14" customFormat="1" x14ac:dyDescent="0.55000000000000004">
      <c r="A1031" s="102" t="s">
        <v>915</v>
      </c>
      <c r="B1031" s="61" t="s">
        <v>880</v>
      </c>
      <c r="C1031" s="61" t="s">
        <v>127</v>
      </c>
      <c r="D1031" s="61" t="s">
        <v>3289</v>
      </c>
      <c r="E1031" s="119">
        <v>0</v>
      </c>
      <c r="F1031" s="148" t="s">
        <v>133</v>
      </c>
      <c r="G1031" s="148">
        <v>1</v>
      </c>
      <c r="H1031" s="61" t="s">
        <v>39</v>
      </c>
      <c r="J1031" s="68" t="s">
        <v>904</v>
      </c>
      <c r="L1031" s="159"/>
      <c r="M1031" s="48"/>
      <c r="N1031" s="123"/>
    </row>
    <row r="1032" spans="1:14" customFormat="1" x14ac:dyDescent="0.55000000000000004">
      <c r="A1032" s="102" t="s">
        <v>915</v>
      </c>
      <c r="B1032" s="61" t="s">
        <v>881</v>
      </c>
      <c r="C1032" s="61" t="s">
        <v>127</v>
      </c>
      <c r="D1032" s="61" t="s">
        <v>3289</v>
      </c>
      <c r="E1032" s="119">
        <v>0</v>
      </c>
      <c r="F1032" s="148" t="s">
        <v>133</v>
      </c>
      <c r="G1032" s="148">
        <v>1</v>
      </c>
      <c r="H1032" s="61" t="s">
        <v>39</v>
      </c>
      <c r="J1032" s="68" t="s">
        <v>904</v>
      </c>
      <c r="L1032" s="159"/>
      <c r="M1032" s="48"/>
      <c r="N1032" s="123"/>
    </row>
    <row r="1033" spans="1:14" customFormat="1" x14ac:dyDescent="0.55000000000000004">
      <c r="A1033" s="102" t="s">
        <v>915</v>
      </c>
      <c r="B1033" s="61" t="s">
        <v>882</v>
      </c>
      <c r="C1033" s="61" t="s">
        <v>127</v>
      </c>
      <c r="D1033" s="61" t="s">
        <v>3289</v>
      </c>
      <c r="E1033" s="119">
        <v>0.47</v>
      </c>
      <c r="F1033" s="148" t="s">
        <v>133</v>
      </c>
      <c r="G1033" s="148">
        <v>1</v>
      </c>
      <c r="H1033" s="61" t="s">
        <v>39</v>
      </c>
      <c r="J1033" s="68" t="s">
        <v>904</v>
      </c>
      <c r="L1033" s="159"/>
      <c r="M1033" s="48"/>
      <c r="N1033" s="123"/>
    </row>
    <row r="1034" spans="1:14" customFormat="1" x14ac:dyDescent="0.55000000000000004">
      <c r="A1034" s="102" t="s">
        <v>915</v>
      </c>
      <c r="B1034" s="61" t="s">
        <v>883</v>
      </c>
      <c r="C1034" s="61" t="s">
        <v>127</v>
      </c>
      <c r="D1034" s="61" t="s">
        <v>3289</v>
      </c>
      <c r="E1034" s="119">
        <v>0.25</v>
      </c>
      <c r="F1034" s="148" t="s">
        <v>133</v>
      </c>
      <c r="G1034" s="148">
        <v>1</v>
      </c>
      <c r="H1034" s="61" t="s">
        <v>39</v>
      </c>
      <c r="J1034" s="68" t="s">
        <v>904</v>
      </c>
      <c r="L1034" s="159"/>
      <c r="M1034" s="48"/>
      <c r="N1034" s="123"/>
    </row>
    <row r="1035" spans="1:14" customFormat="1" x14ac:dyDescent="0.55000000000000004">
      <c r="A1035" s="102" t="s">
        <v>915</v>
      </c>
      <c r="B1035" s="61" t="s">
        <v>884</v>
      </c>
      <c r="C1035" s="61" t="s">
        <v>127</v>
      </c>
      <c r="D1035" s="61" t="s">
        <v>2994</v>
      </c>
      <c r="E1035" s="119">
        <v>1.38</v>
      </c>
      <c r="F1035" s="148" t="s">
        <v>130</v>
      </c>
      <c r="G1035" s="148">
        <v>1</v>
      </c>
      <c r="H1035" s="61" t="s">
        <v>39</v>
      </c>
      <c r="J1035" s="68" t="s">
        <v>904</v>
      </c>
      <c r="L1035" s="159"/>
      <c r="M1035" s="48"/>
      <c r="N1035" s="123"/>
    </row>
    <row r="1036" spans="1:14" customFormat="1" x14ac:dyDescent="0.55000000000000004">
      <c r="A1036" s="102" t="s">
        <v>915</v>
      </c>
      <c r="B1036" s="61" t="s">
        <v>885</v>
      </c>
      <c r="C1036" s="61" t="s">
        <v>127</v>
      </c>
      <c r="D1036" s="61" t="s">
        <v>2994</v>
      </c>
      <c r="E1036" s="119">
        <v>10.51</v>
      </c>
      <c r="F1036" s="148" t="s">
        <v>130</v>
      </c>
      <c r="G1036" s="148">
        <v>1</v>
      </c>
      <c r="H1036" s="61" t="s">
        <v>39</v>
      </c>
      <c r="J1036" s="68" t="s">
        <v>904</v>
      </c>
      <c r="L1036" s="159"/>
      <c r="M1036" s="48"/>
      <c r="N1036" s="123"/>
    </row>
    <row r="1037" spans="1:14" customFormat="1" x14ac:dyDescent="0.55000000000000004">
      <c r="A1037" s="102" t="s">
        <v>915</v>
      </c>
      <c r="B1037" s="61" t="s">
        <v>905</v>
      </c>
      <c r="C1037" s="61" t="s">
        <v>127</v>
      </c>
      <c r="D1037" s="61" t="s">
        <v>2994</v>
      </c>
      <c r="E1037" s="119">
        <v>79.3</v>
      </c>
      <c r="F1037" s="148" t="s">
        <v>167</v>
      </c>
      <c r="G1037" s="148">
        <v>1</v>
      </c>
      <c r="H1037" s="61" t="s">
        <v>39</v>
      </c>
      <c r="J1037" s="68" t="s">
        <v>904</v>
      </c>
      <c r="L1037" s="159"/>
      <c r="M1037" s="48"/>
      <c r="N1037" s="123"/>
    </row>
    <row r="1038" spans="1:14" customFormat="1" x14ac:dyDescent="0.55000000000000004">
      <c r="A1038" s="102" t="s">
        <v>915</v>
      </c>
      <c r="B1038" s="61" t="s">
        <v>886</v>
      </c>
      <c r="C1038" s="61" t="s">
        <v>887</v>
      </c>
      <c r="D1038" s="61" t="s">
        <v>3288</v>
      </c>
      <c r="E1038" s="119">
        <v>0.36</v>
      </c>
      <c r="F1038" s="148" t="s">
        <v>135</v>
      </c>
      <c r="G1038" s="148">
        <v>1</v>
      </c>
      <c r="H1038" s="61" t="s">
        <v>39</v>
      </c>
      <c r="J1038" s="68" t="s">
        <v>904</v>
      </c>
      <c r="L1038" s="159"/>
      <c r="M1038" s="48"/>
      <c r="N1038" s="123"/>
    </row>
    <row r="1039" spans="1:14" customFormat="1" x14ac:dyDescent="0.55000000000000004">
      <c r="A1039" s="102" t="s">
        <v>915</v>
      </c>
      <c r="B1039" s="61" t="s">
        <v>888</v>
      </c>
      <c r="C1039" s="61" t="s">
        <v>125</v>
      </c>
      <c r="D1039" s="61" t="s">
        <v>3288</v>
      </c>
      <c r="E1039" s="119">
        <v>0.04</v>
      </c>
      <c r="F1039" s="148" t="s">
        <v>135</v>
      </c>
      <c r="G1039" s="148">
        <v>1</v>
      </c>
      <c r="H1039" s="61" t="s">
        <v>39</v>
      </c>
      <c r="J1039" s="68" t="s">
        <v>904</v>
      </c>
      <c r="L1039" s="159"/>
      <c r="M1039" s="48"/>
      <c r="N1039" s="123"/>
    </row>
    <row r="1040" spans="1:14" customFormat="1" x14ac:dyDescent="0.55000000000000004">
      <c r="A1040" s="102" t="s">
        <v>915</v>
      </c>
      <c r="B1040" s="61" t="s">
        <v>889</v>
      </c>
      <c r="C1040" s="61" t="s">
        <v>125</v>
      </c>
      <c r="D1040" s="61" t="s">
        <v>3288</v>
      </c>
      <c r="E1040" s="119">
        <v>0.57999999999999996</v>
      </c>
      <c r="F1040" s="148" t="s">
        <v>135</v>
      </c>
      <c r="G1040" s="148">
        <v>1</v>
      </c>
      <c r="H1040" s="61" t="s">
        <v>39</v>
      </c>
      <c r="J1040" s="68" t="s">
        <v>904</v>
      </c>
      <c r="L1040" s="159"/>
      <c r="M1040" s="48"/>
      <c r="N1040" s="123"/>
    </row>
    <row r="1041" spans="1:14" customFormat="1" x14ac:dyDescent="0.55000000000000004">
      <c r="A1041" s="102" t="s">
        <v>915</v>
      </c>
      <c r="B1041" s="61" t="s">
        <v>890</v>
      </c>
      <c r="C1041" s="61" t="s">
        <v>125</v>
      </c>
      <c r="D1041" s="61" t="s">
        <v>3288</v>
      </c>
      <c r="E1041" s="119">
        <v>0.02</v>
      </c>
      <c r="F1041" s="148" t="s">
        <v>135</v>
      </c>
      <c r="G1041" s="148">
        <v>1</v>
      </c>
      <c r="H1041" s="61" t="s">
        <v>39</v>
      </c>
      <c r="I1041" t="str">
        <f>"-27.7 kgCO2 (indirect emissions reduction)"</f>
        <v>-27.7 kgCO2 (indirect emissions reduction)</v>
      </c>
      <c r="J1041" s="68" t="s">
        <v>904</v>
      </c>
      <c r="L1041" s="159"/>
      <c r="M1041" s="48"/>
      <c r="N1041" s="123"/>
    </row>
    <row r="1042" spans="1:14" customFormat="1" x14ac:dyDescent="0.55000000000000004">
      <c r="A1042" s="102" t="s">
        <v>915</v>
      </c>
      <c r="B1042" s="61" t="s">
        <v>160</v>
      </c>
      <c r="C1042" s="61" t="s">
        <v>497</v>
      </c>
      <c r="D1042" s="61" t="s">
        <v>3288</v>
      </c>
      <c r="E1042" s="119">
        <v>0</v>
      </c>
      <c r="F1042" s="148" t="s">
        <v>122</v>
      </c>
      <c r="G1042" s="148">
        <v>1</v>
      </c>
      <c r="H1042" s="61" t="s">
        <v>39</v>
      </c>
      <c r="J1042" s="68" t="s">
        <v>904</v>
      </c>
      <c r="L1042" s="159"/>
      <c r="M1042" s="48"/>
      <c r="N1042" s="123"/>
    </row>
    <row r="1043" spans="1:14" customFormat="1" x14ac:dyDescent="0.55000000000000004">
      <c r="A1043" s="102" t="s">
        <v>915</v>
      </c>
      <c r="B1043" s="61" t="s">
        <v>891</v>
      </c>
      <c r="C1043" s="61" t="s">
        <v>124</v>
      </c>
      <c r="D1043" s="61" t="s">
        <v>3288</v>
      </c>
      <c r="E1043" s="119">
        <v>1.4</v>
      </c>
      <c r="F1043" s="148" t="s">
        <v>122</v>
      </c>
      <c r="G1043" s="148">
        <v>1</v>
      </c>
      <c r="H1043" s="61" t="s">
        <v>39</v>
      </c>
      <c r="J1043" s="68" t="s">
        <v>904</v>
      </c>
      <c r="L1043" s="159"/>
      <c r="M1043" s="48"/>
      <c r="N1043" s="123"/>
    </row>
    <row r="1044" spans="1:14" customFormat="1" x14ac:dyDescent="0.55000000000000004">
      <c r="A1044" s="102" t="s">
        <v>913</v>
      </c>
      <c r="B1044" s="61" t="s">
        <v>914</v>
      </c>
      <c r="C1044" s="61" t="s">
        <v>121</v>
      </c>
      <c r="D1044" s="61" t="s">
        <v>3288</v>
      </c>
      <c r="E1044" s="119">
        <v>1</v>
      </c>
      <c r="F1044" s="148" t="s">
        <v>135</v>
      </c>
      <c r="G1044" s="148">
        <v>1</v>
      </c>
      <c r="H1044" s="61" t="s">
        <v>39</v>
      </c>
      <c r="J1044" t="s">
        <v>900</v>
      </c>
      <c r="L1044" s="159"/>
      <c r="M1044" s="48"/>
      <c r="N1044" s="123"/>
    </row>
    <row r="1045" spans="1:14" customFormat="1" x14ac:dyDescent="0.55000000000000004">
      <c r="A1045" s="102" t="s">
        <v>913</v>
      </c>
      <c r="B1045" s="61" t="s">
        <v>880</v>
      </c>
      <c r="C1045" s="61" t="s">
        <v>127</v>
      </c>
      <c r="D1045" s="61" t="s">
        <v>3289</v>
      </c>
      <c r="E1045" s="119">
        <v>0</v>
      </c>
      <c r="F1045" s="148" t="s">
        <v>133</v>
      </c>
      <c r="G1045" s="148">
        <v>1</v>
      </c>
      <c r="H1045" s="61" t="s">
        <v>39</v>
      </c>
      <c r="J1045" t="s">
        <v>900</v>
      </c>
      <c r="L1045" s="159"/>
      <c r="M1045" s="48"/>
      <c r="N1045" s="123"/>
    </row>
    <row r="1046" spans="1:14" customFormat="1" x14ac:dyDescent="0.55000000000000004">
      <c r="A1046" s="102" t="s">
        <v>913</v>
      </c>
      <c r="B1046" s="61" t="s">
        <v>881</v>
      </c>
      <c r="C1046" s="61" t="s">
        <v>127</v>
      </c>
      <c r="D1046" s="61" t="s">
        <v>3289</v>
      </c>
      <c r="E1046" s="119">
        <v>0</v>
      </c>
      <c r="F1046" s="148" t="s">
        <v>133</v>
      </c>
      <c r="G1046" s="148">
        <v>1</v>
      </c>
      <c r="H1046" s="61" t="s">
        <v>39</v>
      </c>
      <c r="J1046" t="s">
        <v>900</v>
      </c>
      <c r="L1046" s="159"/>
      <c r="M1046" s="48"/>
      <c r="N1046" s="123"/>
    </row>
    <row r="1047" spans="1:14" customFormat="1" x14ac:dyDescent="0.55000000000000004">
      <c r="A1047" s="102" t="s">
        <v>913</v>
      </c>
      <c r="B1047" s="61" t="s">
        <v>882</v>
      </c>
      <c r="C1047" s="61" t="s">
        <v>127</v>
      </c>
      <c r="D1047" s="61" t="s">
        <v>3289</v>
      </c>
      <c r="E1047" s="119">
        <v>0.47</v>
      </c>
      <c r="F1047" s="148" t="s">
        <v>133</v>
      </c>
      <c r="G1047" s="148">
        <v>1</v>
      </c>
      <c r="H1047" s="61" t="s">
        <v>39</v>
      </c>
      <c r="J1047" t="s">
        <v>900</v>
      </c>
      <c r="L1047" s="159"/>
      <c r="M1047" s="48"/>
      <c r="N1047" s="123"/>
    </row>
    <row r="1048" spans="1:14" customFormat="1" x14ac:dyDescent="0.55000000000000004">
      <c r="A1048" s="102" t="s">
        <v>913</v>
      </c>
      <c r="B1048" s="61" t="s">
        <v>883</v>
      </c>
      <c r="C1048" s="61" t="s">
        <v>127</v>
      </c>
      <c r="D1048" s="61" t="s">
        <v>3289</v>
      </c>
      <c r="E1048" s="119">
        <v>0.25</v>
      </c>
      <c r="F1048" s="148" t="s">
        <v>133</v>
      </c>
      <c r="G1048" s="148">
        <v>1</v>
      </c>
      <c r="H1048" s="61" t="s">
        <v>39</v>
      </c>
      <c r="J1048" t="s">
        <v>900</v>
      </c>
      <c r="L1048" s="159"/>
      <c r="M1048" s="48"/>
      <c r="N1048" s="123"/>
    </row>
    <row r="1049" spans="1:14" customFormat="1" x14ac:dyDescent="0.55000000000000004">
      <c r="A1049" s="102" t="s">
        <v>913</v>
      </c>
      <c r="B1049" s="61" t="s">
        <v>884</v>
      </c>
      <c r="C1049" s="61" t="s">
        <v>127</v>
      </c>
      <c r="D1049" s="61" t="s">
        <v>2994</v>
      </c>
      <c r="E1049" s="119">
        <v>1.38</v>
      </c>
      <c r="F1049" s="148" t="s">
        <v>130</v>
      </c>
      <c r="G1049" s="148">
        <v>1</v>
      </c>
      <c r="H1049" s="61" t="s">
        <v>39</v>
      </c>
      <c r="J1049" t="s">
        <v>900</v>
      </c>
      <c r="L1049" s="159"/>
      <c r="M1049" s="48"/>
      <c r="N1049" s="123"/>
    </row>
    <row r="1050" spans="1:14" customFormat="1" x14ac:dyDescent="0.55000000000000004">
      <c r="A1050" s="102" t="s">
        <v>913</v>
      </c>
      <c r="B1050" s="61" t="s">
        <v>885</v>
      </c>
      <c r="C1050" s="61" t="s">
        <v>127</v>
      </c>
      <c r="D1050" s="61" t="s">
        <v>2994</v>
      </c>
      <c r="E1050" s="119">
        <v>10.51</v>
      </c>
      <c r="F1050" s="148" t="s">
        <v>130</v>
      </c>
      <c r="G1050" s="148">
        <v>1</v>
      </c>
      <c r="H1050" s="61" t="s">
        <v>39</v>
      </c>
      <c r="J1050" t="s">
        <v>900</v>
      </c>
      <c r="L1050" s="159"/>
      <c r="M1050" s="48"/>
      <c r="N1050" s="123"/>
    </row>
    <row r="1051" spans="1:14" customFormat="1" x14ac:dyDescent="0.55000000000000004">
      <c r="A1051" s="102" t="s">
        <v>913</v>
      </c>
      <c r="B1051" s="61" t="s">
        <v>901</v>
      </c>
      <c r="C1051" s="61" t="s">
        <v>127</v>
      </c>
      <c r="D1051" s="61" t="s">
        <v>3289</v>
      </c>
      <c r="E1051" s="119">
        <v>27.2</v>
      </c>
      <c r="F1051" s="148" t="s">
        <v>133</v>
      </c>
      <c r="G1051" s="148">
        <v>1</v>
      </c>
      <c r="H1051" s="61" t="s">
        <v>39</v>
      </c>
      <c r="J1051" t="s">
        <v>900</v>
      </c>
      <c r="L1051" s="159"/>
      <c r="M1051" s="48"/>
      <c r="N1051" s="123"/>
    </row>
    <row r="1052" spans="1:14" customFormat="1" x14ac:dyDescent="0.55000000000000004">
      <c r="A1052" s="102" t="s">
        <v>913</v>
      </c>
      <c r="B1052" s="61" t="s">
        <v>886</v>
      </c>
      <c r="C1052" s="61" t="s">
        <v>887</v>
      </c>
      <c r="D1052" s="61" t="s">
        <v>3288</v>
      </c>
      <c r="E1052" s="119">
        <v>0.36</v>
      </c>
      <c r="F1052" s="148" t="s">
        <v>135</v>
      </c>
      <c r="G1052" s="148">
        <v>1</v>
      </c>
      <c r="H1052" s="61" t="s">
        <v>39</v>
      </c>
      <c r="J1052" t="s">
        <v>900</v>
      </c>
      <c r="L1052" s="159"/>
      <c r="M1052" s="48"/>
      <c r="N1052" s="123"/>
    </row>
    <row r="1053" spans="1:14" customFormat="1" x14ac:dyDescent="0.55000000000000004">
      <c r="A1053" s="102" t="s">
        <v>913</v>
      </c>
      <c r="B1053" s="61" t="s">
        <v>888</v>
      </c>
      <c r="C1053" s="61" t="s">
        <v>125</v>
      </c>
      <c r="D1053" s="61" t="s">
        <v>3288</v>
      </c>
      <c r="E1053" s="119">
        <v>0.04</v>
      </c>
      <c r="F1053" s="148" t="s">
        <v>135</v>
      </c>
      <c r="G1053" s="148">
        <v>1</v>
      </c>
      <c r="H1053" s="61" t="s">
        <v>39</v>
      </c>
      <c r="J1053" t="s">
        <v>900</v>
      </c>
      <c r="L1053" s="159"/>
      <c r="M1053" s="48"/>
      <c r="N1053" s="123"/>
    </row>
    <row r="1054" spans="1:14" customFormat="1" x14ac:dyDescent="0.55000000000000004">
      <c r="A1054" s="102" t="s">
        <v>913</v>
      </c>
      <c r="B1054" s="61" t="s">
        <v>889</v>
      </c>
      <c r="C1054" s="61" t="s">
        <v>125</v>
      </c>
      <c r="D1054" s="61" t="s">
        <v>3288</v>
      </c>
      <c r="E1054" s="119">
        <v>0.57999999999999996</v>
      </c>
      <c r="F1054" s="148" t="s">
        <v>135</v>
      </c>
      <c r="G1054" s="148">
        <v>1</v>
      </c>
      <c r="H1054" s="61" t="s">
        <v>39</v>
      </c>
      <c r="J1054" t="s">
        <v>900</v>
      </c>
      <c r="L1054" s="159"/>
      <c r="M1054" s="48"/>
      <c r="N1054" s="123"/>
    </row>
    <row r="1055" spans="1:14" customFormat="1" x14ac:dyDescent="0.55000000000000004">
      <c r="A1055" s="102" t="s">
        <v>913</v>
      </c>
      <c r="B1055" s="61" t="s">
        <v>890</v>
      </c>
      <c r="C1055" s="61" t="s">
        <v>125</v>
      </c>
      <c r="D1055" s="61" t="s">
        <v>3288</v>
      </c>
      <c r="E1055" s="119">
        <v>0.02</v>
      </c>
      <c r="F1055" s="148" t="s">
        <v>135</v>
      </c>
      <c r="G1055" s="148">
        <v>1</v>
      </c>
      <c r="H1055" s="61" t="s">
        <v>39</v>
      </c>
      <c r="J1055" t="s">
        <v>900</v>
      </c>
      <c r="L1055" s="159"/>
      <c r="M1055" s="48"/>
      <c r="N1055" s="123"/>
    </row>
    <row r="1056" spans="1:14" customFormat="1" x14ac:dyDescent="0.55000000000000004">
      <c r="A1056" s="102" t="s">
        <v>913</v>
      </c>
      <c r="B1056" s="61" t="s">
        <v>160</v>
      </c>
      <c r="C1056" s="61" t="s">
        <v>497</v>
      </c>
      <c r="D1056" s="61" t="s">
        <v>3288</v>
      </c>
      <c r="E1056" s="119">
        <v>0</v>
      </c>
      <c r="F1056" s="148" t="s">
        <v>122</v>
      </c>
      <c r="G1056" s="148">
        <v>1</v>
      </c>
      <c r="H1056" s="61" t="s">
        <v>39</v>
      </c>
      <c r="J1056" t="s">
        <v>900</v>
      </c>
      <c r="L1056" s="159"/>
      <c r="M1056" s="48"/>
      <c r="N1056" s="123"/>
    </row>
    <row r="1057" spans="1:14" customFormat="1" x14ac:dyDescent="0.55000000000000004">
      <c r="A1057" s="102" t="s">
        <v>913</v>
      </c>
      <c r="B1057" s="61" t="s">
        <v>891</v>
      </c>
      <c r="C1057" s="61" t="s">
        <v>124</v>
      </c>
      <c r="D1057" s="61" t="s">
        <v>3288</v>
      </c>
      <c r="E1057" s="119">
        <v>5.07</v>
      </c>
      <c r="F1057" s="148" t="s">
        <v>892</v>
      </c>
      <c r="G1057" s="148">
        <v>1</v>
      </c>
      <c r="H1057" s="61" t="s">
        <v>39</v>
      </c>
      <c r="J1057" t="s">
        <v>900</v>
      </c>
      <c r="L1057" s="159"/>
      <c r="M1057" s="48"/>
      <c r="N1057" s="123"/>
    </row>
    <row r="1058" spans="1:14" customFormat="1" x14ac:dyDescent="0.55000000000000004">
      <c r="A1058" s="102" t="s">
        <v>911</v>
      </c>
      <c r="B1058" s="61" t="s">
        <v>912</v>
      </c>
      <c r="C1058" s="61" t="s">
        <v>121</v>
      </c>
      <c r="D1058" s="61" t="s">
        <v>3288</v>
      </c>
      <c r="E1058" s="119">
        <v>1</v>
      </c>
      <c r="F1058" s="148" t="s">
        <v>135</v>
      </c>
      <c r="G1058" s="148">
        <v>1</v>
      </c>
      <c r="H1058" s="61" t="s">
        <v>39</v>
      </c>
      <c r="I1058" s="61"/>
      <c r="J1058" t="s">
        <v>896</v>
      </c>
      <c r="K1058" s="61"/>
      <c r="L1058" s="159"/>
      <c r="M1058" s="48"/>
      <c r="N1058" s="123"/>
    </row>
    <row r="1059" spans="1:14" customFormat="1" x14ac:dyDescent="0.55000000000000004">
      <c r="A1059" s="102" t="s">
        <v>911</v>
      </c>
      <c r="B1059" s="61" t="s">
        <v>880</v>
      </c>
      <c r="C1059" s="61" t="s">
        <v>127</v>
      </c>
      <c r="D1059" s="61" t="s">
        <v>3289</v>
      </c>
      <c r="E1059" s="119">
        <v>6.25</v>
      </c>
      <c r="F1059" s="148" t="s">
        <v>133</v>
      </c>
      <c r="G1059" s="148">
        <v>1</v>
      </c>
      <c r="H1059" s="61" t="s">
        <v>39</v>
      </c>
      <c r="I1059" s="61"/>
      <c r="J1059" t="s">
        <v>896</v>
      </c>
      <c r="K1059" s="61"/>
      <c r="L1059" s="159"/>
      <c r="M1059" s="48"/>
      <c r="N1059" s="123"/>
    </row>
    <row r="1060" spans="1:14" customFormat="1" x14ac:dyDescent="0.55000000000000004">
      <c r="A1060" s="102" t="s">
        <v>911</v>
      </c>
      <c r="B1060" s="61" t="s">
        <v>881</v>
      </c>
      <c r="C1060" s="61" t="s">
        <v>127</v>
      </c>
      <c r="D1060" s="61" t="s">
        <v>3289</v>
      </c>
      <c r="E1060" s="119">
        <v>2.31</v>
      </c>
      <c r="F1060" s="148" t="s">
        <v>133</v>
      </c>
      <c r="G1060" s="148">
        <v>1</v>
      </c>
      <c r="H1060" s="61" t="s">
        <v>39</v>
      </c>
      <c r="I1060" s="61"/>
      <c r="J1060" t="s">
        <v>896</v>
      </c>
      <c r="K1060" s="61"/>
      <c r="L1060" s="159"/>
      <c r="M1060" s="48"/>
      <c r="N1060" s="123"/>
    </row>
    <row r="1061" spans="1:14" customFormat="1" x14ac:dyDescent="0.55000000000000004">
      <c r="A1061" s="102" t="s">
        <v>911</v>
      </c>
      <c r="B1061" s="61" t="s">
        <v>882</v>
      </c>
      <c r="C1061" s="61" t="s">
        <v>127</v>
      </c>
      <c r="D1061" s="61" t="s">
        <v>3289</v>
      </c>
      <c r="E1061" s="119">
        <v>0.47</v>
      </c>
      <c r="F1061" s="148" t="s">
        <v>133</v>
      </c>
      <c r="G1061" s="148">
        <v>1</v>
      </c>
      <c r="H1061" s="61" t="s">
        <v>39</v>
      </c>
      <c r="I1061" s="61"/>
      <c r="J1061" t="s">
        <v>896</v>
      </c>
      <c r="K1061" s="61"/>
      <c r="L1061" s="159"/>
      <c r="M1061" s="48"/>
      <c r="N1061" s="123"/>
    </row>
    <row r="1062" spans="1:14" customFormat="1" x14ac:dyDescent="0.55000000000000004">
      <c r="A1062" s="102" t="s">
        <v>911</v>
      </c>
      <c r="B1062" s="61" t="s">
        <v>883</v>
      </c>
      <c r="C1062" s="61" t="s">
        <v>127</v>
      </c>
      <c r="D1062" s="61" t="s">
        <v>3289</v>
      </c>
      <c r="E1062" s="119">
        <v>0.25</v>
      </c>
      <c r="F1062" s="148" t="s">
        <v>133</v>
      </c>
      <c r="G1062" s="148">
        <v>1</v>
      </c>
      <c r="H1062" s="61" t="s">
        <v>39</v>
      </c>
      <c r="I1062" s="61"/>
      <c r="J1062" t="s">
        <v>896</v>
      </c>
      <c r="K1062" s="61"/>
      <c r="L1062" s="159"/>
      <c r="M1062" s="48"/>
      <c r="N1062" s="123"/>
    </row>
    <row r="1063" spans="1:14" customFormat="1" x14ac:dyDescent="0.55000000000000004">
      <c r="A1063" s="102" t="s">
        <v>911</v>
      </c>
      <c r="B1063" s="61" t="s">
        <v>884</v>
      </c>
      <c r="C1063" s="61" t="s">
        <v>127</v>
      </c>
      <c r="D1063" s="61" t="s">
        <v>2994</v>
      </c>
      <c r="E1063" s="119">
        <v>1.38</v>
      </c>
      <c r="F1063" s="148" t="s">
        <v>130</v>
      </c>
      <c r="G1063" s="148">
        <v>1</v>
      </c>
      <c r="H1063" s="61" t="s">
        <v>39</v>
      </c>
      <c r="I1063" s="61"/>
      <c r="J1063" t="s">
        <v>896</v>
      </c>
      <c r="K1063" s="61"/>
      <c r="L1063" s="159"/>
      <c r="M1063" s="48"/>
      <c r="N1063" s="123"/>
    </row>
    <row r="1064" spans="1:14" customFormat="1" x14ac:dyDescent="0.55000000000000004">
      <c r="A1064" s="102" t="s">
        <v>911</v>
      </c>
      <c r="B1064" s="61" t="s">
        <v>885</v>
      </c>
      <c r="C1064" s="61" t="s">
        <v>127</v>
      </c>
      <c r="D1064" s="61" t="s">
        <v>2994</v>
      </c>
      <c r="E1064" s="119">
        <v>10.51</v>
      </c>
      <c r="F1064" s="148" t="s">
        <v>130</v>
      </c>
      <c r="G1064" s="148">
        <v>1</v>
      </c>
      <c r="H1064" s="61" t="s">
        <v>39</v>
      </c>
      <c r="I1064" s="61"/>
      <c r="J1064" t="s">
        <v>896</v>
      </c>
      <c r="K1064" s="61"/>
      <c r="L1064" s="159"/>
      <c r="M1064" s="48"/>
      <c r="N1064" s="123"/>
    </row>
    <row r="1065" spans="1:14" customFormat="1" x14ac:dyDescent="0.55000000000000004">
      <c r="A1065" s="102" t="s">
        <v>911</v>
      </c>
      <c r="B1065" s="61" t="s">
        <v>886</v>
      </c>
      <c r="C1065" s="61" t="s">
        <v>887</v>
      </c>
      <c r="D1065" s="61" t="s">
        <v>3288</v>
      </c>
      <c r="E1065" s="119">
        <v>0.36</v>
      </c>
      <c r="F1065" s="148" t="s">
        <v>135</v>
      </c>
      <c r="G1065" s="148">
        <v>1</v>
      </c>
      <c r="H1065" s="61" t="s">
        <v>39</v>
      </c>
      <c r="I1065" s="61"/>
      <c r="J1065" t="s">
        <v>896</v>
      </c>
      <c r="K1065" s="61"/>
      <c r="L1065" s="159"/>
      <c r="M1065" s="48"/>
      <c r="N1065" s="123"/>
    </row>
    <row r="1066" spans="1:14" customFormat="1" x14ac:dyDescent="0.55000000000000004">
      <c r="A1066" s="102" t="s">
        <v>911</v>
      </c>
      <c r="B1066" s="61" t="s">
        <v>888</v>
      </c>
      <c r="C1066" s="61" t="s">
        <v>125</v>
      </c>
      <c r="D1066" s="61" t="s">
        <v>3288</v>
      </c>
      <c r="E1066" s="119">
        <v>0.03</v>
      </c>
      <c r="F1066" s="148" t="s">
        <v>135</v>
      </c>
      <c r="G1066" s="148">
        <v>1</v>
      </c>
      <c r="H1066" s="61" t="s">
        <v>39</v>
      </c>
      <c r="I1066" s="61"/>
      <c r="J1066" t="s">
        <v>896</v>
      </c>
      <c r="K1066" s="61"/>
      <c r="L1066" s="159"/>
      <c r="M1066" s="48"/>
      <c r="N1066" s="123"/>
    </row>
    <row r="1067" spans="1:14" customFormat="1" x14ac:dyDescent="0.55000000000000004">
      <c r="A1067" s="102" t="s">
        <v>911</v>
      </c>
      <c r="B1067" s="61" t="s">
        <v>897</v>
      </c>
      <c r="C1067" s="61" t="s">
        <v>125</v>
      </c>
      <c r="D1067" s="61" t="s">
        <v>3288</v>
      </c>
      <c r="E1067" s="119">
        <v>0.03</v>
      </c>
      <c r="F1067" s="148" t="s">
        <v>135</v>
      </c>
      <c r="G1067" s="148">
        <v>1</v>
      </c>
      <c r="H1067" s="61" t="s">
        <v>39</v>
      </c>
      <c r="I1067" s="61"/>
      <c r="J1067" t="s">
        <v>896</v>
      </c>
      <c r="K1067" s="61"/>
      <c r="L1067" s="159"/>
      <c r="M1067" s="48"/>
      <c r="N1067" s="123"/>
    </row>
    <row r="1068" spans="1:14" customFormat="1" x14ac:dyDescent="0.55000000000000004">
      <c r="A1068" s="102" t="s">
        <v>911</v>
      </c>
      <c r="B1068" s="61" t="s">
        <v>889</v>
      </c>
      <c r="C1068" s="61" t="s">
        <v>125</v>
      </c>
      <c r="D1068" s="61" t="s">
        <v>3288</v>
      </c>
      <c r="E1068" s="119">
        <v>0.57999999999999996</v>
      </c>
      <c r="F1068" s="148" t="s">
        <v>135</v>
      </c>
      <c r="G1068" s="148">
        <v>1</v>
      </c>
      <c r="H1068" s="61" t="s">
        <v>39</v>
      </c>
      <c r="I1068" s="61"/>
      <c r="J1068" t="s">
        <v>896</v>
      </c>
      <c r="K1068" s="61"/>
      <c r="L1068" s="159"/>
      <c r="M1068" s="48"/>
      <c r="N1068" s="123"/>
    </row>
    <row r="1069" spans="1:14" customFormat="1" x14ac:dyDescent="0.55000000000000004">
      <c r="A1069" s="102" t="s">
        <v>911</v>
      </c>
      <c r="B1069" s="61" t="s">
        <v>890</v>
      </c>
      <c r="C1069" s="61" t="s">
        <v>125</v>
      </c>
      <c r="D1069" s="61" t="s">
        <v>3288</v>
      </c>
      <c r="E1069" s="119">
        <v>0.02</v>
      </c>
      <c r="F1069" s="148" t="s">
        <v>135</v>
      </c>
      <c r="G1069" s="148">
        <v>1</v>
      </c>
      <c r="H1069" s="61" t="s">
        <v>39</v>
      </c>
      <c r="I1069" s="61"/>
      <c r="J1069" t="s">
        <v>896</v>
      </c>
      <c r="K1069" s="61"/>
      <c r="L1069" s="159"/>
      <c r="M1069" s="48"/>
      <c r="N1069" s="123"/>
    </row>
    <row r="1070" spans="1:14" customFormat="1" x14ac:dyDescent="0.55000000000000004">
      <c r="A1070" s="102" t="s">
        <v>911</v>
      </c>
      <c r="B1070" s="61" t="s">
        <v>160</v>
      </c>
      <c r="C1070" s="61" t="s">
        <v>497</v>
      </c>
      <c r="D1070" s="61" t="s">
        <v>3288</v>
      </c>
      <c r="E1070" s="119">
        <v>16.600000000000001</v>
      </c>
      <c r="F1070" s="148" t="s">
        <v>122</v>
      </c>
      <c r="G1070" s="148">
        <v>1</v>
      </c>
      <c r="H1070" s="61" t="s">
        <v>39</v>
      </c>
      <c r="I1070" s="61"/>
      <c r="J1070" t="s">
        <v>896</v>
      </c>
      <c r="K1070" s="61"/>
      <c r="L1070" s="159"/>
      <c r="M1070" s="48"/>
      <c r="N1070" s="123"/>
    </row>
    <row r="1071" spans="1:14" customFormat="1" x14ac:dyDescent="0.55000000000000004">
      <c r="A1071" s="102" t="s">
        <v>911</v>
      </c>
      <c r="B1071" s="61" t="s">
        <v>891</v>
      </c>
      <c r="C1071" s="61" t="s">
        <v>124</v>
      </c>
      <c r="D1071" s="61" t="s">
        <v>3288</v>
      </c>
      <c r="E1071" s="119">
        <v>1.4</v>
      </c>
      <c r="F1071" s="148" t="s">
        <v>892</v>
      </c>
      <c r="G1071" s="148">
        <v>1</v>
      </c>
      <c r="H1071" s="61" t="s">
        <v>39</v>
      </c>
      <c r="I1071" s="61"/>
      <c r="J1071" t="s">
        <v>896</v>
      </c>
      <c r="K1071" s="61"/>
      <c r="L1071" s="159"/>
      <c r="M1071" s="48"/>
      <c r="N1071" s="123"/>
    </row>
    <row r="1072" spans="1:14" customFormat="1" x14ac:dyDescent="0.55000000000000004">
      <c r="A1072" s="102" t="s">
        <v>908</v>
      </c>
      <c r="B1072" s="61" t="s">
        <v>909</v>
      </c>
      <c r="C1072" s="61" t="s">
        <v>121</v>
      </c>
      <c r="D1072" s="61" t="s">
        <v>3288</v>
      </c>
      <c r="E1072" s="119">
        <v>1</v>
      </c>
      <c r="F1072" s="148" t="s">
        <v>135</v>
      </c>
      <c r="G1072" s="148">
        <v>1</v>
      </c>
      <c r="H1072" s="61" t="s">
        <v>39</v>
      </c>
      <c r="I1072" s="61"/>
      <c r="J1072" t="s">
        <v>910</v>
      </c>
      <c r="K1072" s="61"/>
      <c r="L1072" s="159"/>
      <c r="M1072" s="48"/>
      <c r="N1072" s="123"/>
    </row>
    <row r="1073" spans="1:14" customFormat="1" x14ac:dyDescent="0.55000000000000004">
      <c r="A1073" s="102" t="s">
        <v>908</v>
      </c>
      <c r="B1073" s="61" t="s">
        <v>880</v>
      </c>
      <c r="C1073" s="61" t="s">
        <v>127</v>
      </c>
      <c r="D1073" s="61" t="s">
        <v>3289</v>
      </c>
      <c r="E1073" s="119">
        <v>6.25</v>
      </c>
      <c r="F1073" s="148" t="s">
        <v>133</v>
      </c>
      <c r="G1073" s="148">
        <v>1</v>
      </c>
      <c r="H1073" s="61" t="s">
        <v>39</v>
      </c>
      <c r="I1073" s="61"/>
      <c r="J1073" t="s">
        <v>910</v>
      </c>
      <c r="K1073" s="61"/>
      <c r="L1073" s="159"/>
      <c r="M1073" s="48"/>
      <c r="N1073" s="123"/>
    </row>
    <row r="1074" spans="1:14" customFormat="1" x14ac:dyDescent="0.55000000000000004">
      <c r="A1074" s="102" t="s">
        <v>908</v>
      </c>
      <c r="B1074" s="61" t="s">
        <v>881</v>
      </c>
      <c r="C1074" s="61" t="s">
        <v>127</v>
      </c>
      <c r="D1074" s="61" t="s">
        <v>3289</v>
      </c>
      <c r="E1074" s="119">
        <v>2.31</v>
      </c>
      <c r="F1074" s="148" t="s">
        <v>133</v>
      </c>
      <c r="G1074" s="148">
        <v>1</v>
      </c>
      <c r="H1074" s="61" t="s">
        <v>39</v>
      </c>
      <c r="I1074" s="61"/>
      <c r="J1074" t="s">
        <v>910</v>
      </c>
      <c r="K1074" s="61"/>
      <c r="L1074" s="159"/>
      <c r="M1074" s="48"/>
      <c r="N1074" s="123"/>
    </row>
    <row r="1075" spans="1:14" customFormat="1" x14ac:dyDescent="0.55000000000000004">
      <c r="A1075" s="102" t="s">
        <v>908</v>
      </c>
      <c r="B1075" s="61" t="s">
        <v>882</v>
      </c>
      <c r="C1075" s="61" t="s">
        <v>127</v>
      </c>
      <c r="D1075" s="61" t="s">
        <v>3289</v>
      </c>
      <c r="E1075" s="119">
        <v>0.47</v>
      </c>
      <c r="F1075" s="148" t="s">
        <v>133</v>
      </c>
      <c r="G1075" s="148">
        <v>1</v>
      </c>
      <c r="H1075" s="61" t="s">
        <v>39</v>
      </c>
      <c r="I1075" s="61"/>
      <c r="J1075" t="s">
        <v>910</v>
      </c>
      <c r="K1075" s="61"/>
      <c r="L1075" s="159"/>
      <c r="M1075" s="48"/>
      <c r="N1075" s="123"/>
    </row>
    <row r="1076" spans="1:14" customFormat="1" x14ac:dyDescent="0.55000000000000004">
      <c r="A1076" s="102" t="s">
        <v>908</v>
      </c>
      <c r="B1076" s="61" t="s">
        <v>883</v>
      </c>
      <c r="C1076" s="61" t="s">
        <v>127</v>
      </c>
      <c r="D1076" s="61" t="s">
        <v>3289</v>
      </c>
      <c r="E1076" s="119">
        <v>0.25</v>
      </c>
      <c r="F1076" s="148" t="s">
        <v>133</v>
      </c>
      <c r="G1076" s="148">
        <v>1</v>
      </c>
      <c r="H1076" s="61" t="s">
        <v>39</v>
      </c>
      <c r="I1076" s="61"/>
      <c r="J1076" t="s">
        <v>910</v>
      </c>
      <c r="K1076" s="61"/>
      <c r="L1076" s="159"/>
      <c r="M1076" s="48"/>
      <c r="N1076" s="123"/>
    </row>
    <row r="1077" spans="1:14" customFormat="1" x14ac:dyDescent="0.55000000000000004">
      <c r="A1077" s="102" t="s">
        <v>908</v>
      </c>
      <c r="B1077" s="61" t="s">
        <v>884</v>
      </c>
      <c r="C1077" s="61" t="s">
        <v>127</v>
      </c>
      <c r="D1077" s="61" t="s">
        <v>2994</v>
      </c>
      <c r="E1077" s="119">
        <v>1.38</v>
      </c>
      <c r="F1077" s="148" t="s">
        <v>130</v>
      </c>
      <c r="G1077" s="148">
        <v>1</v>
      </c>
      <c r="H1077" s="61" t="s">
        <v>39</v>
      </c>
      <c r="I1077" s="61"/>
      <c r="J1077" t="s">
        <v>910</v>
      </c>
      <c r="K1077" s="61"/>
      <c r="L1077" s="159"/>
      <c r="M1077" s="48"/>
      <c r="N1077" s="123"/>
    </row>
    <row r="1078" spans="1:14" customFormat="1" x14ac:dyDescent="0.55000000000000004">
      <c r="A1078" s="102" t="s">
        <v>908</v>
      </c>
      <c r="B1078" s="61" t="s">
        <v>885</v>
      </c>
      <c r="C1078" s="61" t="s">
        <v>127</v>
      </c>
      <c r="D1078" s="61" t="s">
        <v>2994</v>
      </c>
      <c r="E1078" s="119">
        <v>10.51</v>
      </c>
      <c r="F1078" s="148" t="s">
        <v>130</v>
      </c>
      <c r="G1078" s="148">
        <v>1</v>
      </c>
      <c r="H1078" s="61" t="s">
        <v>39</v>
      </c>
      <c r="I1078" s="61"/>
      <c r="J1078" t="s">
        <v>910</v>
      </c>
      <c r="K1078" s="61"/>
      <c r="L1078" s="159"/>
      <c r="M1078" s="48"/>
      <c r="N1078" s="123"/>
    </row>
    <row r="1079" spans="1:14" customFormat="1" x14ac:dyDescent="0.55000000000000004">
      <c r="A1079" s="102" t="s">
        <v>908</v>
      </c>
      <c r="B1079" s="61" t="s">
        <v>886</v>
      </c>
      <c r="C1079" s="61" t="s">
        <v>887</v>
      </c>
      <c r="D1079" s="61" t="s">
        <v>3288</v>
      </c>
      <c r="E1079" s="119">
        <v>0.36</v>
      </c>
      <c r="F1079" s="148" t="s">
        <v>135</v>
      </c>
      <c r="G1079" s="148">
        <v>1</v>
      </c>
      <c r="H1079" s="61" t="s">
        <v>39</v>
      </c>
      <c r="I1079" s="61"/>
      <c r="J1079" t="s">
        <v>910</v>
      </c>
      <c r="K1079" s="61"/>
      <c r="L1079" s="159"/>
      <c r="M1079" s="48"/>
      <c r="N1079" s="123"/>
    </row>
    <row r="1080" spans="1:14" customFormat="1" x14ac:dyDescent="0.55000000000000004">
      <c r="A1080" s="102" t="s">
        <v>908</v>
      </c>
      <c r="B1080" s="61" t="s">
        <v>888</v>
      </c>
      <c r="C1080" s="61" t="s">
        <v>125</v>
      </c>
      <c r="D1080" s="61" t="s">
        <v>3288</v>
      </c>
      <c r="E1080" s="119">
        <v>0.04</v>
      </c>
      <c r="F1080" s="148" t="s">
        <v>135</v>
      </c>
      <c r="G1080" s="148">
        <v>1</v>
      </c>
      <c r="H1080" s="61" t="s">
        <v>39</v>
      </c>
      <c r="I1080" s="61"/>
      <c r="J1080" t="s">
        <v>910</v>
      </c>
      <c r="K1080" s="61"/>
      <c r="L1080" s="159"/>
      <c r="M1080" s="48"/>
      <c r="N1080" s="123"/>
    </row>
    <row r="1081" spans="1:14" customFormat="1" x14ac:dyDescent="0.55000000000000004">
      <c r="A1081" s="102" t="s">
        <v>908</v>
      </c>
      <c r="B1081" s="61" t="s">
        <v>889</v>
      </c>
      <c r="C1081" s="61" t="s">
        <v>125</v>
      </c>
      <c r="D1081" s="61" t="s">
        <v>3288</v>
      </c>
      <c r="E1081" s="119">
        <v>0.57999999999999996</v>
      </c>
      <c r="F1081" s="148" t="s">
        <v>135</v>
      </c>
      <c r="G1081" s="148">
        <v>1</v>
      </c>
      <c r="H1081" s="61" t="s">
        <v>39</v>
      </c>
      <c r="I1081" s="61"/>
      <c r="J1081" t="s">
        <v>910</v>
      </c>
      <c r="K1081" s="61"/>
      <c r="L1081" s="159"/>
      <c r="M1081" s="48"/>
      <c r="N1081" s="123"/>
    </row>
    <row r="1082" spans="1:14" customFormat="1" x14ac:dyDescent="0.55000000000000004">
      <c r="A1082" s="102" t="s">
        <v>908</v>
      </c>
      <c r="B1082" s="61" t="s">
        <v>890</v>
      </c>
      <c r="C1082" s="61" t="s">
        <v>125</v>
      </c>
      <c r="D1082" s="61" t="s">
        <v>3288</v>
      </c>
      <c r="E1082" s="119">
        <v>0.02</v>
      </c>
      <c r="F1082" s="148" t="s">
        <v>135</v>
      </c>
      <c r="G1082" s="148">
        <v>1</v>
      </c>
      <c r="H1082" s="61" t="s">
        <v>39</v>
      </c>
      <c r="I1082" s="61"/>
      <c r="J1082" t="s">
        <v>910</v>
      </c>
      <c r="K1082" s="61"/>
      <c r="L1082" s="159"/>
      <c r="M1082" s="48"/>
      <c r="N1082" s="123"/>
    </row>
    <row r="1083" spans="1:14" customFormat="1" x14ac:dyDescent="0.55000000000000004">
      <c r="A1083" s="102" t="s">
        <v>908</v>
      </c>
      <c r="B1083" s="61" t="s">
        <v>160</v>
      </c>
      <c r="C1083" s="61" t="s">
        <v>497</v>
      </c>
      <c r="D1083" s="61" t="s">
        <v>3288</v>
      </c>
      <c r="E1083" s="119">
        <v>16.600000000000001</v>
      </c>
      <c r="F1083" s="148" t="s">
        <v>122</v>
      </c>
      <c r="G1083" s="148">
        <v>1</v>
      </c>
      <c r="H1083" s="61" t="s">
        <v>39</v>
      </c>
      <c r="I1083" s="61"/>
      <c r="J1083" t="s">
        <v>910</v>
      </c>
      <c r="K1083" s="61"/>
      <c r="L1083" s="159"/>
      <c r="M1083" s="48"/>
      <c r="N1083" s="123"/>
    </row>
    <row r="1084" spans="1:14" customFormat="1" x14ac:dyDescent="0.55000000000000004">
      <c r="A1084" s="102" t="s">
        <v>908</v>
      </c>
      <c r="B1084" s="61" t="s">
        <v>891</v>
      </c>
      <c r="C1084" s="122" t="s">
        <v>124</v>
      </c>
      <c r="D1084" s="61" t="s">
        <v>3288</v>
      </c>
      <c r="E1084" s="119">
        <v>1.4</v>
      </c>
      <c r="F1084" s="148" t="s">
        <v>892</v>
      </c>
      <c r="G1084" s="148">
        <v>1</v>
      </c>
      <c r="H1084" s="61" t="s">
        <v>39</v>
      </c>
      <c r="I1084" s="61"/>
      <c r="J1084" t="s">
        <v>910</v>
      </c>
      <c r="K1084" s="61"/>
      <c r="L1084" s="164"/>
      <c r="M1084" s="48"/>
      <c r="N1084" s="123"/>
    </row>
    <row r="1085" spans="1:14" customFormat="1" x14ac:dyDescent="0.55000000000000004">
      <c r="A1085" s="102" t="s">
        <v>906</v>
      </c>
      <c r="B1085" s="61" t="s">
        <v>907</v>
      </c>
      <c r="C1085" s="61" t="s">
        <v>121</v>
      </c>
      <c r="D1085" s="61" t="s">
        <v>3288</v>
      </c>
      <c r="E1085" s="119">
        <v>1</v>
      </c>
      <c r="F1085" s="148" t="s">
        <v>135</v>
      </c>
      <c r="G1085" s="148">
        <v>1</v>
      </c>
      <c r="H1085" s="61" t="s">
        <v>39</v>
      </c>
      <c r="I1085" s="61"/>
      <c r="J1085" t="s">
        <v>879</v>
      </c>
      <c r="K1085" s="61"/>
      <c r="L1085" s="159"/>
      <c r="M1085" s="48"/>
      <c r="N1085" s="123"/>
    </row>
    <row r="1086" spans="1:14" customFormat="1" x14ac:dyDescent="0.55000000000000004">
      <c r="A1086" s="102" t="s">
        <v>906</v>
      </c>
      <c r="B1086" s="61" t="s">
        <v>880</v>
      </c>
      <c r="C1086" s="61" t="s">
        <v>127</v>
      </c>
      <c r="D1086" s="61" t="s">
        <v>3289</v>
      </c>
      <c r="E1086" s="119">
        <v>8.1</v>
      </c>
      <c r="F1086" s="148" t="s">
        <v>133</v>
      </c>
      <c r="G1086" s="148">
        <v>1</v>
      </c>
      <c r="H1086" s="61" t="s">
        <v>39</v>
      </c>
      <c r="I1086" s="61"/>
      <c r="J1086" t="s">
        <v>879</v>
      </c>
      <c r="K1086" s="61"/>
      <c r="L1086" s="159"/>
      <c r="M1086" s="48"/>
      <c r="N1086" s="123"/>
    </row>
    <row r="1087" spans="1:14" customFormat="1" x14ac:dyDescent="0.55000000000000004">
      <c r="A1087" s="102" t="s">
        <v>906</v>
      </c>
      <c r="B1087" s="61" t="s">
        <v>881</v>
      </c>
      <c r="C1087" s="61" t="s">
        <v>127</v>
      </c>
      <c r="D1087" s="61" t="s">
        <v>3289</v>
      </c>
      <c r="E1087" s="119">
        <v>0</v>
      </c>
      <c r="F1087" s="148" t="s">
        <v>133</v>
      </c>
      <c r="G1087" s="148">
        <v>1</v>
      </c>
      <c r="H1087" s="61" t="s">
        <v>39</v>
      </c>
      <c r="I1087" s="61"/>
      <c r="J1087" t="s">
        <v>879</v>
      </c>
      <c r="K1087" s="61"/>
      <c r="L1087" s="159"/>
      <c r="M1087" s="48"/>
      <c r="N1087" s="123"/>
    </row>
    <row r="1088" spans="1:14" customFormat="1" x14ac:dyDescent="0.55000000000000004">
      <c r="A1088" s="102" t="s">
        <v>906</v>
      </c>
      <c r="B1088" s="61" t="s">
        <v>882</v>
      </c>
      <c r="C1088" s="61" t="s">
        <v>127</v>
      </c>
      <c r="D1088" s="61" t="s">
        <v>3289</v>
      </c>
      <c r="E1088" s="119">
        <v>0.47</v>
      </c>
      <c r="F1088" s="148" t="s">
        <v>133</v>
      </c>
      <c r="G1088" s="148">
        <v>1</v>
      </c>
      <c r="H1088" s="61" t="s">
        <v>39</v>
      </c>
      <c r="I1088" s="61"/>
      <c r="J1088" t="s">
        <v>879</v>
      </c>
      <c r="K1088" s="61"/>
      <c r="L1088" s="159"/>
      <c r="M1088" s="48"/>
      <c r="N1088" s="123"/>
    </row>
    <row r="1089" spans="1:14" customFormat="1" x14ac:dyDescent="0.55000000000000004">
      <c r="A1089" s="102" t="s">
        <v>906</v>
      </c>
      <c r="B1089" s="61" t="s">
        <v>883</v>
      </c>
      <c r="C1089" s="61" t="s">
        <v>127</v>
      </c>
      <c r="D1089" s="61" t="s">
        <v>3289</v>
      </c>
      <c r="E1089" s="119">
        <v>0.25</v>
      </c>
      <c r="F1089" s="148" t="s">
        <v>133</v>
      </c>
      <c r="G1089" s="148">
        <v>1</v>
      </c>
      <c r="H1089" s="61" t="s">
        <v>39</v>
      </c>
      <c r="I1089" s="61"/>
      <c r="J1089" t="s">
        <v>879</v>
      </c>
      <c r="K1089" s="61"/>
      <c r="L1089" s="159"/>
      <c r="M1089" s="48"/>
      <c r="N1089" s="123"/>
    </row>
    <row r="1090" spans="1:14" customFormat="1" x14ac:dyDescent="0.55000000000000004">
      <c r="A1090" s="102" t="s">
        <v>906</v>
      </c>
      <c r="B1090" s="61" t="s">
        <v>884</v>
      </c>
      <c r="C1090" s="61" t="s">
        <v>127</v>
      </c>
      <c r="D1090" s="61" t="s">
        <v>2994</v>
      </c>
      <c r="E1090" s="119">
        <v>2.69</v>
      </c>
      <c r="F1090" s="148" t="s">
        <v>130</v>
      </c>
      <c r="G1090" s="148">
        <v>1</v>
      </c>
      <c r="H1090" s="61" t="s">
        <v>39</v>
      </c>
      <c r="I1090" s="61"/>
      <c r="J1090" t="s">
        <v>879</v>
      </c>
      <c r="K1090" s="61"/>
      <c r="L1090" s="159"/>
      <c r="M1090" s="48"/>
      <c r="N1090" s="123"/>
    </row>
    <row r="1091" spans="1:14" customFormat="1" x14ac:dyDescent="0.55000000000000004">
      <c r="A1091" s="102" t="s">
        <v>906</v>
      </c>
      <c r="B1091" s="61" t="s">
        <v>885</v>
      </c>
      <c r="C1091" s="61" t="s">
        <v>127</v>
      </c>
      <c r="D1091" s="61" t="s">
        <v>2994</v>
      </c>
      <c r="E1091" s="119">
        <v>10.78</v>
      </c>
      <c r="F1091" s="148" t="s">
        <v>130</v>
      </c>
      <c r="G1091" s="148">
        <v>1</v>
      </c>
      <c r="H1091" s="61" t="s">
        <v>39</v>
      </c>
      <c r="I1091" s="61"/>
      <c r="J1091" t="s">
        <v>879</v>
      </c>
      <c r="K1091" s="61"/>
      <c r="L1091" s="159"/>
      <c r="M1091" s="48"/>
      <c r="N1091" s="123"/>
    </row>
    <row r="1092" spans="1:14" customFormat="1" x14ac:dyDescent="0.55000000000000004">
      <c r="A1092" s="102" t="s">
        <v>906</v>
      </c>
      <c r="B1092" s="61" t="s">
        <v>886</v>
      </c>
      <c r="C1092" s="61" t="s">
        <v>887</v>
      </c>
      <c r="D1092" s="61" t="s">
        <v>3288</v>
      </c>
      <c r="E1092" s="119">
        <v>0</v>
      </c>
      <c r="F1092" s="148" t="s">
        <v>135</v>
      </c>
      <c r="G1092" s="148">
        <v>1</v>
      </c>
      <c r="H1092" s="61" t="s">
        <v>39</v>
      </c>
      <c r="I1092" s="61"/>
      <c r="J1092" t="s">
        <v>879</v>
      </c>
      <c r="K1092" s="61"/>
      <c r="L1092" s="165"/>
      <c r="M1092" s="48"/>
      <c r="N1092" s="123"/>
    </row>
    <row r="1093" spans="1:14" customFormat="1" x14ac:dyDescent="0.55000000000000004">
      <c r="A1093" s="102" t="s">
        <v>906</v>
      </c>
      <c r="B1093" s="61" t="s">
        <v>888</v>
      </c>
      <c r="C1093" s="61" t="s">
        <v>125</v>
      </c>
      <c r="D1093" s="61" t="s">
        <v>3288</v>
      </c>
      <c r="E1093" s="119">
        <v>0.06</v>
      </c>
      <c r="F1093" s="148" t="s">
        <v>135</v>
      </c>
      <c r="G1093" s="148">
        <v>1</v>
      </c>
      <c r="H1093" s="61" t="s">
        <v>39</v>
      </c>
      <c r="I1093" s="61"/>
      <c r="J1093" t="s">
        <v>879</v>
      </c>
      <c r="K1093" s="61"/>
      <c r="L1093" s="159"/>
      <c r="M1093" s="48"/>
      <c r="N1093" s="123"/>
    </row>
    <row r="1094" spans="1:14" customFormat="1" x14ac:dyDescent="0.55000000000000004">
      <c r="A1094" s="102" t="s">
        <v>906</v>
      </c>
      <c r="B1094" s="61" t="s">
        <v>889</v>
      </c>
      <c r="C1094" s="61" t="s">
        <v>125</v>
      </c>
      <c r="D1094" s="61" t="s">
        <v>3288</v>
      </c>
      <c r="E1094" s="119">
        <v>0.89</v>
      </c>
      <c r="F1094" s="148" t="s">
        <v>135</v>
      </c>
      <c r="G1094" s="148">
        <v>1</v>
      </c>
      <c r="H1094" s="61" t="s">
        <v>39</v>
      </c>
      <c r="I1094" s="61"/>
      <c r="J1094" t="s">
        <v>879</v>
      </c>
      <c r="K1094" s="61"/>
      <c r="L1094" s="159"/>
      <c r="M1094" s="48"/>
      <c r="N1094" s="123"/>
    </row>
    <row r="1095" spans="1:14" customFormat="1" x14ac:dyDescent="0.55000000000000004">
      <c r="A1095" s="102" t="s">
        <v>906</v>
      </c>
      <c r="B1095" s="61" t="s">
        <v>890</v>
      </c>
      <c r="C1095" s="61" t="s">
        <v>125</v>
      </c>
      <c r="D1095" s="61" t="s">
        <v>3288</v>
      </c>
      <c r="E1095" s="119">
        <v>0.05</v>
      </c>
      <c r="F1095" s="148" t="s">
        <v>135</v>
      </c>
      <c r="G1095" s="148">
        <v>1</v>
      </c>
      <c r="H1095" s="61" t="s">
        <v>39</v>
      </c>
      <c r="I1095" s="61"/>
      <c r="J1095" t="s">
        <v>879</v>
      </c>
      <c r="K1095" s="61"/>
      <c r="L1095" s="159"/>
      <c r="M1095" s="48"/>
      <c r="N1095" s="123"/>
    </row>
    <row r="1096" spans="1:14" customFormat="1" x14ac:dyDescent="0.55000000000000004">
      <c r="A1096" s="102" t="s">
        <v>906</v>
      </c>
      <c r="B1096" s="61" t="s">
        <v>160</v>
      </c>
      <c r="C1096" s="61" t="s">
        <v>497</v>
      </c>
      <c r="D1096" s="61" t="s">
        <v>3288</v>
      </c>
      <c r="E1096" s="119">
        <v>15.8</v>
      </c>
      <c r="F1096" s="148" t="s">
        <v>122</v>
      </c>
      <c r="G1096" s="148">
        <v>1</v>
      </c>
      <c r="H1096" s="61" t="s">
        <v>39</v>
      </c>
      <c r="J1096" t="s">
        <v>879</v>
      </c>
      <c r="L1096" s="159"/>
      <c r="M1096" s="48"/>
      <c r="N1096" s="123"/>
    </row>
    <row r="1097" spans="1:14" customFormat="1" x14ac:dyDescent="0.55000000000000004">
      <c r="A1097" s="102" t="s">
        <v>906</v>
      </c>
      <c r="B1097" s="61" t="s">
        <v>891</v>
      </c>
      <c r="C1097" s="61" t="s">
        <v>124</v>
      </c>
      <c r="D1097" s="61" t="s">
        <v>3288</v>
      </c>
      <c r="E1097" s="119">
        <v>1.23</v>
      </c>
      <c r="F1097" s="148" t="s">
        <v>892</v>
      </c>
      <c r="G1097" s="148">
        <v>1</v>
      </c>
      <c r="H1097" s="61" t="s">
        <v>39</v>
      </c>
      <c r="I1097" s="61"/>
      <c r="J1097" t="s">
        <v>879</v>
      </c>
      <c r="K1097" s="61"/>
      <c r="L1097" s="159"/>
      <c r="M1097" s="48"/>
      <c r="N1097" s="123"/>
    </row>
    <row r="1098" spans="1:14" customFormat="1" x14ac:dyDescent="0.55000000000000004">
      <c r="A1098" s="103" t="s">
        <v>902</v>
      </c>
      <c r="B1098" s="61" t="s">
        <v>903</v>
      </c>
      <c r="C1098" s="61" t="s">
        <v>121</v>
      </c>
      <c r="D1098" s="61" t="s">
        <v>3288</v>
      </c>
      <c r="E1098" s="119">
        <v>1</v>
      </c>
      <c r="F1098" s="148" t="s">
        <v>135</v>
      </c>
      <c r="G1098" s="148">
        <v>1</v>
      </c>
      <c r="H1098" s="61" t="s">
        <v>39</v>
      </c>
      <c r="I1098" s="61"/>
      <c r="J1098" t="s">
        <v>904</v>
      </c>
      <c r="K1098" s="61"/>
      <c r="L1098" s="159"/>
      <c r="M1098" s="48"/>
      <c r="N1098" s="123"/>
    </row>
    <row r="1099" spans="1:14" customFormat="1" x14ac:dyDescent="0.55000000000000004">
      <c r="A1099" s="103" t="s">
        <v>902</v>
      </c>
      <c r="B1099" s="61" t="s">
        <v>880</v>
      </c>
      <c r="C1099" s="61" t="s">
        <v>127</v>
      </c>
      <c r="D1099" s="61" t="s">
        <v>3289</v>
      </c>
      <c r="E1099" s="119">
        <v>0</v>
      </c>
      <c r="F1099" s="148" t="s">
        <v>133</v>
      </c>
      <c r="G1099" s="148">
        <v>1</v>
      </c>
      <c r="H1099" s="61" t="s">
        <v>39</v>
      </c>
      <c r="I1099" s="61"/>
      <c r="J1099" t="s">
        <v>904</v>
      </c>
      <c r="K1099" s="61"/>
      <c r="L1099" s="159"/>
      <c r="M1099" s="48"/>
      <c r="N1099" s="123"/>
    </row>
    <row r="1100" spans="1:14" customFormat="1" x14ac:dyDescent="0.55000000000000004">
      <c r="A1100" s="103" t="s">
        <v>902</v>
      </c>
      <c r="B1100" s="61" t="s">
        <v>881</v>
      </c>
      <c r="C1100" s="61" t="s">
        <v>127</v>
      </c>
      <c r="D1100" s="61" t="s">
        <v>3289</v>
      </c>
      <c r="E1100" s="119">
        <v>0</v>
      </c>
      <c r="F1100" s="148" t="s">
        <v>133</v>
      </c>
      <c r="G1100" s="148">
        <v>1</v>
      </c>
      <c r="H1100" s="61" t="s">
        <v>39</v>
      </c>
      <c r="I1100" s="61"/>
      <c r="J1100" t="s">
        <v>904</v>
      </c>
      <c r="K1100" s="61"/>
      <c r="L1100" s="159"/>
      <c r="M1100" s="48"/>
      <c r="N1100" s="123"/>
    </row>
    <row r="1101" spans="1:14" customFormat="1" x14ac:dyDescent="0.55000000000000004">
      <c r="A1101" s="103" t="s">
        <v>902</v>
      </c>
      <c r="B1101" s="61" t="s">
        <v>882</v>
      </c>
      <c r="C1101" s="61" t="s">
        <v>127</v>
      </c>
      <c r="D1101" s="61" t="s">
        <v>3289</v>
      </c>
      <c r="E1101" s="119">
        <v>0.47</v>
      </c>
      <c r="F1101" s="148" t="s">
        <v>133</v>
      </c>
      <c r="G1101" s="148">
        <v>1</v>
      </c>
      <c r="H1101" s="61" t="s">
        <v>39</v>
      </c>
      <c r="I1101" s="61"/>
      <c r="J1101" t="s">
        <v>904</v>
      </c>
      <c r="K1101" s="61"/>
      <c r="L1101" s="159"/>
      <c r="M1101" s="48"/>
      <c r="N1101" s="123"/>
    </row>
    <row r="1102" spans="1:14" customFormat="1" x14ac:dyDescent="0.55000000000000004">
      <c r="A1102" s="103" t="s">
        <v>902</v>
      </c>
      <c r="B1102" s="61" t="s">
        <v>883</v>
      </c>
      <c r="C1102" s="61" t="s">
        <v>127</v>
      </c>
      <c r="D1102" s="61" t="s">
        <v>3289</v>
      </c>
      <c r="E1102" s="119">
        <v>0.25</v>
      </c>
      <c r="F1102" s="148" t="s">
        <v>133</v>
      </c>
      <c r="G1102" s="148">
        <v>1</v>
      </c>
      <c r="H1102" s="61" t="s">
        <v>39</v>
      </c>
      <c r="I1102" s="61"/>
      <c r="J1102" t="s">
        <v>904</v>
      </c>
      <c r="K1102" s="61"/>
      <c r="L1102" s="159"/>
      <c r="M1102" s="48"/>
      <c r="N1102" s="123"/>
    </row>
    <row r="1103" spans="1:14" customFormat="1" x14ac:dyDescent="0.55000000000000004">
      <c r="A1103" s="103" t="s">
        <v>902</v>
      </c>
      <c r="B1103" s="61" t="s">
        <v>884</v>
      </c>
      <c r="C1103" s="61" t="s">
        <v>127</v>
      </c>
      <c r="D1103" s="61" t="s">
        <v>2994</v>
      </c>
      <c r="E1103" s="119">
        <v>2.69</v>
      </c>
      <c r="F1103" s="148" t="s">
        <v>130</v>
      </c>
      <c r="G1103" s="148">
        <v>1</v>
      </c>
      <c r="H1103" s="61" t="s">
        <v>39</v>
      </c>
      <c r="I1103" s="61"/>
      <c r="J1103" t="s">
        <v>904</v>
      </c>
      <c r="K1103" s="61"/>
      <c r="L1103" s="159"/>
      <c r="M1103" s="48"/>
      <c r="N1103" s="123"/>
    </row>
    <row r="1104" spans="1:14" customFormat="1" x14ac:dyDescent="0.55000000000000004">
      <c r="A1104" s="103" t="s">
        <v>902</v>
      </c>
      <c r="B1104" s="61" t="s">
        <v>885</v>
      </c>
      <c r="C1104" s="61" t="s">
        <v>127</v>
      </c>
      <c r="D1104" s="61" t="s">
        <v>2994</v>
      </c>
      <c r="E1104" s="119">
        <v>10.78</v>
      </c>
      <c r="F1104" s="148" t="s">
        <v>130</v>
      </c>
      <c r="G1104" s="148">
        <v>1</v>
      </c>
      <c r="H1104" s="61" t="s">
        <v>39</v>
      </c>
      <c r="I1104" s="61"/>
      <c r="J1104" t="s">
        <v>904</v>
      </c>
      <c r="K1104" s="61"/>
      <c r="L1104" s="159"/>
      <c r="M1104" s="48"/>
      <c r="N1104" s="123"/>
    </row>
    <row r="1105" spans="1:14" customFormat="1" x14ac:dyDescent="0.55000000000000004">
      <c r="A1105" s="103" t="s">
        <v>902</v>
      </c>
      <c r="B1105" s="61" t="s">
        <v>905</v>
      </c>
      <c r="C1105" s="61" t="s">
        <v>127</v>
      </c>
      <c r="D1105" s="61" t="s">
        <v>2994</v>
      </c>
      <c r="E1105" s="119">
        <v>327</v>
      </c>
      <c r="F1105" s="148" t="s">
        <v>167</v>
      </c>
      <c r="G1105" s="148">
        <v>1</v>
      </c>
      <c r="H1105" s="61" t="s">
        <v>39</v>
      </c>
      <c r="I1105" s="61"/>
      <c r="J1105" t="s">
        <v>904</v>
      </c>
      <c r="K1105" s="61"/>
      <c r="L1105" s="159"/>
      <c r="M1105" s="48"/>
      <c r="N1105" s="123"/>
    </row>
    <row r="1106" spans="1:14" customFormat="1" x14ac:dyDescent="0.55000000000000004">
      <c r="A1106" s="103" t="s">
        <v>902</v>
      </c>
      <c r="B1106" s="61" t="s">
        <v>886</v>
      </c>
      <c r="C1106" s="61" t="s">
        <v>887</v>
      </c>
      <c r="D1106" s="61" t="s">
        <v>3288</v>
      </c>
      <c r="E1106" s="119">
        <v>0</v>
      </c>
      <c r="F1106" s="148" t="s">
        <v>135</v>
      </c>
      <c r="G1106" s="148">
        <v>1</v>
      </c>
      <c r="H1106" s="61" t="s">
        <v>39</v>
      </c>
      <c r="I1106" s="61"/>
      <c r="J1106" t="s">
        <v>904</v>
      </c>
      <c r="K1106" s="61"/>
      <c r="L1106" s="159"/>
      <c r="M1106" s="48"/>
      <c r="N1106" s="123"/>
    </row>
    <row r="1107" spans="1:14" customFormat="1" x14ac:dyDescent="0.55000000000000004">
      <c r="A1107" s="103" t="s">
        <v>902</v>
      </c>
      <c r="B1107" s="61" t="s">
        <v>888</v>
      </c>
      <c r="C1107" s="61" t="s">
        <v>125</v>
      </c>
      <c r="D1107" s="61" t="s">
        <v>3288</v>
      </c>
      <c r="E1107" s="119">
        <v>0.06</v>
      </c>
      <c r="F1107" s="148" t="s">
        <v>135</v>
      </c>
      <c r="G1107" s="148">
        <v>1</v>
      </c>
      <c r="H1107" s="61" t="s">
        <v>39</v>
      </c>
      <c r="I1107" s="61"/>
      <c r="J1107" t="s">
        <v>904</v>
      </c>
      <c r="K1107" s="61"/>
      <c r="L1107" s="159"/>
      <c r="M1107" s="48"/>
      <c r="N1107" s="123"/>
    </row>
    <row r="1108" spans="1:14" customFormat="1" x14ac:dyDescent="0.55000000000000004">
      <c r="A1108" s="103" t="s">
        <v>902</v>
      </c>
      <c r="B1108" s="61" t="s">
        <v>889</v>
      </c>
      <c r="C1108" s="61" t="s">
        <v>125</v>
      </c>
      <c r="D1108" s="61" t="s">
        <v>3288</v>
      </c>
      <c r="E1108" s="119">
        <v>0.89</v>
      </c>
      <c r="F1108" s="148" t="s">
        <v>135</v>
      </c>
      <c r="G1108" s="148">
        <v>1</v>
      </c>
      <c r="H1108" s="61" t="s">
        <v>39</v>
      </c>
      <c r="I1108" s="61"/>
      <c r="J1108" t="s">
        <v>904</v>
      </c>
      <c r="K1108" s="61"/>
      <c r="L1108" s="159"/>
      <c r="M1108" s="48"/>
      <c r="N1108" s="123"/>
    </row>
    <row r="1109" spans="1:14" customFormat="1" x14ac:dyDescent="0.55000000000000004">
      <c r="A1109" s="103" t="s">
        <v>902</v>
      </c>
      <c r="B1109" s="61" t="s">
        <v>890</v>
      </c>
      <c r="C1109" s="61" t="s">
        <v>125</v>
      </c>
      <c r="D1109" s="61" t="s">
        <v>3288</v>
      </c>
      <c r="E1109" s="119">
        <v>0.05</v>
      </c>
      <c r="F1109" s="148" t="s">
        <v>135</v>
      </c>
      <c r="G1109" s="148">
        <v>1</v>
      </c>
      <c r="H1109" s="61" t="s">
        <v>39</v>
      </c>
      <c r="I1109" s="61"/>
      <c r="J1109" t="s">
        <v>904</v>
      </c>
      <c r="K1109" s="61"/>
      <c r="L1109" s="159"/>
      <c r="M1109" s="48"/>
      <c r="N1109" s="123"/>
    </row>
    <row r="1110" spans="1:14" customFormat="1" x14ac:dyDescent="0.55000000000000004">
      <c r="A1110" s="103" t="s">
        <v>902</v>
      </c>
      <c r="B1110" s="61" t="s">
        <v>160</v>
      </c>
      <c r="C1110" s="61" t="s">
        <v>497</v>
      </c>
      <c r="D1110" s="61" t="s">
        <v>3288</v>
      </c>
      <c r="E1110" s="119">
        <v>0</v>
      </c>
      <c r="F1110" s="148" t="s">
        <v>122</v>
      </c>
      <c r="G1110" s="148">
        <v>1</v>
      </c>
      <c r="H1110" s="61" t="s">
        <v>39</v>
      </c>
      <c r="I1110" s="61"/>
      <c r="J1110" t="s">
        <v>904</v>
      </c>
      <c r="K1110" s="61"/>
      <c r="L1110" s="159"/>
      <c r="M1110" s="48"/>
      <c r="N1110" s="123"/>
    </row>
    <row r="1111" spans="1:14" customFormat="1" x14ac:dyDescent="0.55000000000000004">
      <c r="A1111" s="103" t="s">
        <v>902</v>
      </c>
      <c r="B1111" s="61" t="s">
        <v>891</v>
      </c>
      <c r="C1111" s="61" t="s">
        <v>124</v>
      </c>
      <c r="D1111" s="61" t="s">
        <v>3288</v>
      </c>
      <c r="E1111" s="119">
        <v>1.23</v>
      </c>
      <c r="F1111" s="148" t="s">
        <v>122</v>
      </c>
      <c r="G1111" s="148">
        <v>1</v>
      </c>
      <c r="H1111" s="61" t="s">
        <v>39</v>
      </c>
      <c r="I1111" s="61"/>
      <c r="J1111" t="s">
        <v>904</v>
      </c>
      <c r="K1111" s="61"/>
      <c r="L1111" s="159"/>
      <c r="M1111" s="48"/>
      <c r="N1111" s="123"/>
    </row>
    <row r="1112" spans="1:14" customFormat="1" x14ac:dyDescent="0.55000000000000004">
      <c r="A1112" s="103" t="s">
        <v>898</v>
      </c>
      <c r="B1112" s="61" t="s">
        <v>899</v>
      </c>
      <c r="C1112" s="61" t="s">
        <v>121</v>
      </c>
      <c r="D1112" s="61" t="s">
        <v>3288</v>
      </c>
      <c r="E1112" s="119">
        <v>1</v>
      </c>
      <c r="F1112" s="148" t="s">
        <v>135</v>
      </c>
      <c r="G1112" s="148">
        <v>1</v>
      </c>
      <c r="H1112" s="61" t="s">
        <v>39</v>
      </c>
      <c r="I1112" s="61"/>
      <c r="J1112" t="s">
        <v>900</v>
      </c>
      <c r="K1112" s="61"/>
      <c r="L1112" s="159"/>
      <c r="M1112" s="48"/>
      <c r="N1112" s="123"/>
    </row>
    <row r="1113" spans="1:14" customFormat="1" x14ac:dyDescent="0.55000000000000004">
      <c r="A1113" s="103" t="s">
        <v>898</v>
      </c>
      <c r="B1113" s="61" t="s">
        <v>880</v>
      </c>
      <c r="C1113" s="61" t="s">
        <v>127</v>
      </c>
      <c r="D1113" s="61" t="s">
        <v>3289</v>
      </c>
      <c r="E1113" s="119">
        <v>0</v>
      </c>
      <c r="F1113" s="148" t="s">
        <v>133</v>
      </c>
      <c r="G1113" s="148">
        <v>1</v>
      </c>
      <c r="H1113" s="61" t="s">
        <v>39</v>
      </c>
      <c r="I1113" s="61"/>
      <c r="J1113" t="s">
        <v>900</v>
      </c>
      <c r="K1113" s="61"/>
      <c r="L1113" s="159"/>
      <c r="M1113" s="48"/>
      <c r="N1113" s="123"/>
    </row>
    <row r="1114" spans="1:14" customFormat="1" x14ac:dyDescent="0.55000000000000004">
      <c r="A1114" s="103" t="s">
        <v>898</v>
      </c>
      <c r="B1114" s="61" t="s">
        <v>881</v>
      </c>
      <c r="C1114" s="61" t="s">
        <v>127</v>
      </c>
      <c r="D1114" s="61" t="s">
        <v>3289</v>
      </c>
      <c r="E1114" s="119">
        <v>0</v>
      </c>
      <c r="F1114" s="148" t="s">
        <v>133</v>
      </c>
      <c r="G1114" s="148">
        <v>1</v>
      </c>
      <c r="H1114" s="61" t="s">
        <v>39</v>
      </c>
      <c r="I1114" s="61"/>
      <c r="J1114" t="s">
        <v>900</v>
      </c>
      <c r="K1114" s="61"/>
      <c r="L1114" s="159"/>
      <c r="M1114" s="48"/>
      <c r="N1114" s="123"/>
    </row>
    <row r="1115" spans="1:14" customFormat="1" x14ac:dyDescent="0.55000000000000004">
      <c r="A1115" s="103" t="s">
        <v>898</v>
      </c>
      <c r="B1115" s="61" t="s">
        <v>882</v>
      </c>
      <c r="C1115" s="61" t="s">
        <v>127</v>
      </c>
      <c r="D1115" s="61" t="s">
        <v>3289</v>
      </c>
      <c r="E1115" s="119">
        <v>0.47</v>
      </c>
      <c r="F1115" s="148" t="s">
        <v>133</v>
      </c>
      <c r="G1115" s="148">
        <v>1</v>
      </c>
      <c r="H1115" s="61" t="s">
        <v>39</v>
      </c>
      <c r="I1115" s="61"/>
      <c r="J1115" t="s">
        <v>900</v>
      </c>
      <c r="K1115" s="61"/>
      <c r="L1115" s="159"/>
      <c r="M1115" s="48"/>
      <c r="N1115" s="123"/>
    </row>
    <row r="1116" spans="1:14" customFormat="1" x14ac:dyDescent="0.55000000000000004">
      <c r="A1116" s="103" t="s">
        <v>898</v>
      </c>
      <c r="B1116" s="61" t="s">
        <v>883</v>
      </c>
      <c r="C1116" s="61" t="s">
        <v>127</v>
      </c>
      <c r="D1116" s="61" t="s">
        <v>3289</v>
      </c>
      <c r="E1116" s="119">
        <v>0.25</v>
      </c>
      <c r="F1116" s="148" t="s">
        <v>133</v>
      </c>
      <c r="G1116" s="148">
        <v>1</v>
      </c>
      <c r="H1116" s="61" t="s">
        <v>39</v>
      </c>
      <c r="I1116" s="61"/>
      <c r="J1116" t="s">
        <v>900</v>
      </c>
      <c r="K1116" s="61"/>
      <c r="L1116" s="159"/>
      <c r="M1116" s="48"/>
      <c r="N1116" s="123"/>
    </row>
    <row r="1117" spans="1:14" customFormat="1" x14ac:dyDescent="0.55000000000000004">
      <c r="A1117" s="103" t="s">
        <v>898</v>
      </c>
      <c r="B1117" s="61" t="s">
        <v>884</v>
      </c>
      <c r="C1117" s="61" t="s">
        <v>127</v>
      </c>
      <c r="D1117" s="61" t="s">
        <v>2994</v>
      </c>
      <c r="E1117" s="119">
        <v>2.69</v>
      </c>
      <c r="F1117" s="148" t="s">
        <v>130</v>
      </c>
      <c r="G1117" s="148">
        <v>1</v>
      </c>
      <c r="H1117" s="61" t="s">
        <v>39</v>
      </c>
      <c r="I1117" s="61"/>
      <c r="J1117" t="s">
        <v>900</v>
      </c>
      <c r="K1117" s="61"/>
      <c r="L1117" s="159"/>
      <c r="M1117" s="48"/>
      <c r="N1117" s="123"/>
    </row>
    <row r="1118" spans="1:14" customFormat="1" x14ac:dyDescent="0.55000000000000004">
      <c r="A1118" s="103" t="s">
        <v>898</v>
      </c>
      <c r="B1118" s="61" t="s">
        <v>885</v>
      </c>
      <c r="C1118" s="61" t="s">
        <v>127</v>
      </c>
      <c r="D1118" s="61" t="s">
        <v>2994</v>
      </c>
      <c r="E1118" s="119">
        <v>10.78</v>
      </c>
      <c r="F1118" s="148" t="s">
        <v>130</v>
      </c>
      <c r="G1118" s="148">
        <v>1</v>
      </c>
      <c r="H1118" s="61" t="s">
        <v>39</v>
      </c>
      <c r="I1118" s="61"/>
      <c r="J1118" t="s">
        <v>900</v>
      </c>
      <c r="K1118" s="61"/>
      <c r="L1118" s="159"/>
      <c r="M1118" s="48"/>
      <c r="N1118" s="123"/>
    </row>
    <row r="1119" spans="1:14" customFormat="1" x14ac:dyDescent="0.55000000000000004">
      <c r="A1119" s="103" t="s">
        <v>898</v>
      </c>
      <c r="B1119" s="61" t="s">
        <v>901</v>
      </c>
      <c r="C1119" s="61" t="s">
        <v>127</v>
      </c>
      <c r="D1119" s="61" t="s">
        <v>3289</v>
      </c>
      <c r="E1119" s="119">
        <v>23.8</v>
      </c>
      <c r="F1119" s="148" t="s">
        <v>133</v>
      </c>
      <c r="G1119" s="148">
        <v>1</v>
      </c>
      <c r="H1119" s="61" t="s">
        <v>39</v>
      </c>
      <c r="I1119" s="61"/>
      <c r="J1119" t="s">
        <v>900</v>
      </c>
      <c r="K1119" s="61"/>
      <c r="L1119" s="159"/>
      <c r="M1119" s="48"/>
      <c r="N1119" s="123"/>
    </row>
    <row r="1120" spans="1:14" customFormat="1" x14ac:dyDescent="0.55000000000000004">
      <c r="A1120" s="103" t="s">
        <v>898</v>
      </c>
      <c r="B1120" s="61" t="s">
        <v>886</v>
      </c>
      <c r="C1120" s="61" t="s">
        <v>887</v>
      </c>
      <c r="D1120" s="61" t="s">
        <v>3288</v>
      </c>
      <c r="E1120" s="119">
        <v>0</v>
      </c>
      <c r="F1120" s="148" t="s">
        <v>135</v>
      </c>
      <c r="G1120" s="148">
        <v>1</v>
      </c>
      <c r="H1120" s="61" t="s">
        <v>39</v>
      </c>
      <c r="I1120" s="61"/>
      <c r="J1120" t="s">
        <v>900</v>
      </c>
      <c r="K1120" s="61"/>
      <c r="L1120" s="159"/>
      <c r="M1120" s="48"/>
      <c r="N1120" s="123"/>
    </row>
    <row r="1121" spans="1:14" customFormat="1" x14ac:dyDescent="0.55000000000000004">
      <c r="A1121" s="103" t="s">
        <v>898</v>
      </c>
      <c r="B1121" s="61" t="s">
        <v>888</v>
      </c>
      <c r="C1121" s="61" t="s">
        <v>125</v>
      </c>
      <c r="D1121" s="61" t="s">
        <v>3288</v>
      </c>
      <c r="E1121" s="119">
        <v>0.06</v>
      </c>
      <c r="F1121" s="148" t="s">
        <v>135</v>
      </c>
      <c r="G1121" s="148">
        <v>1</v>
      </c>
      <c r="H1121" s="61" t="s">
        <v>39</v>
      </c>
      <c r="I1121" s="61"/>
      <c r="J1121" t="s">
        <v>900</v>
      </c>
      <c r="K1121" s="61"/>
      <c r="L1121" s="159"/>
      <c r="M1121" s="48"/>
      <c r="N1121" s="123"/>
    </row>
    <row r="1122" spans="1:14" customFormat="1" x14ac:dyDescent="0.55000000000000004">
      <c r="A1122" s="103" t="s">
        <v>898</v>
      </c>
      <c r="B1122" s="61" t="s">
        <v>889</v>
      </c>
      <c r="C1122" s="61" t="s">
        <v>125</v>
      </c>
      <c r="D1122" s="61" t="s">
        <v>3288</v>
      </c>
      <c r="E1122" s="119">
        <v>0.89</v>
      </c>
      <c r="F1122" s="148" t="s">
        <v>135</v>
      </c>
      <c r="G1122" s="148">
        <v>1</v>
      </c>
      <c r="H1122" s="61" t="s">
        <v>39</v>
      </c>
      <c r="I1122" s="61"/>
      <c r="J1122" t="s">
        <v>900</v>
      </c>
      <c r="K1122" s="61"/>
      <c r="L1122" s="159"/>
      <c r="M1122" s="48"/>
      <c r="N1122" s="123"/>
    </row>
    <row r="1123" spans="1:14" customFormat="1" x14ac:dyDescent="0.55000000000000004">
      <c r="A1123" s="103" t="s">
        <v>898</v>
      </c>
      <c r="B1123" s="61" t="s">
        <v>890</v>
      </c>
      <c r="C1123" s="61" t="s">
        <v>125</v>
      </c>
      <c r="D1123" s="61" t="s">
        <v>3288</v>
      </c>
      <c r="E1123" s="119">
        <v>0.05</v>
      </c>
      <c r="F1123" s="148" t="s">
        <v>135</v>
      </c>
      <c r="G1123" s="148">
        <v>1</v>
      </c>
      <c r="H1123" s="61" t="s">
        <v>39</v>
      </c>
      <c r="I1123" s="61"/>
      <c r="J1123" t="s">
        <v>900</v>
      </c>
      <c r="K1123" s="61"/>
      <c r="L1123" s="159"/>
      <c r="M1123" s="48"/>
      <c r="N1123" s="123"/>
    </row>
    <row r="1124" spans="1:14" customFormat="1" x14ac:dyDescent="0.55000000000000004">
      <c r="A1124" s="103" t="s">
        <v>898</v>
      </c>
      <c r="B1124" s="61" t="s">
        <v>160</v>
      </c>
      <c r="C1124" s="61" t="s">
        <v>497</v>
      </c>
      <c r="D1124" s="61" t="s">
        <v>3288</v>
      </c>
      <c r="E1124" s="119">
        <v>0</v>
      </c>
      <c r="F1124" s="148" t="s">
        <v>122</v>
      </c>
      <c r="G1124" s="148">
        <v>1</v>
      </c>
      <c r="H1124" s="61" t="s">
        <v>39</v>
      </c>
      <c r="I1124" s="61"/>
      <c r="J1124" t="s">
        <v>900</v>
      </c>
      <c r="K1124" s="61"/>
      <c r="L1124" s="159"/>
      <c r="M1124" s="48"/>
      <c r="N1124" s="123"/>
    </row>
    <row r="1125" spans="1:14" customFormat="1" x14ac:dyDescent="0.55000000000000004">
      <c r="A1125" s="103" t="s">
        <v>898</v>
      </c>
      <c r="B1125" s="61" t="s">
        <v>891</v>
      </c>
      <c r="C1125" s="61" t="s">
        <v>124</v>
      </c>
      <c r="D1125" s="61" t="s">
        <v>3288</v>
      </c>
      <c r="E1125" s="119">
        <v>4.43</v>
      </c>
      <c r="F1125" s="148" t="s">
        <v>892</v>
      </c>
      <c r="G1125" s="148">
        <v>1</v>
      </c>
      <c r="H1125" s="61" t="s">
        <v>39</v>
      </c>
      <c r="I1125" s="61"/>
      <c r="J1125" t="s">
        <v>900</v>
      </c>
      <c r="K1125" s="61"/>
      <c r="L1125" s="159"/>
      <c r="M1125" s="48"/>
      <c r="N1125" s="123"/>
    </row>
    <row r="1126" spans="1:14" customFormat="1" x14ac:dyDescent="0.55000000000000004">
      <c r="A1126" s="102" t="s">
        <v>894</v>
      </c>
      <c r="B1126" s="61" t="s">
        <v>895</v>
      </c>
      <c r="C1126" s="61" t="s">
        <v>121</v>
      </c>
      <c r="D1126" s="61" t="s">
        <v>3288</v>
      </c>
      <c r="E1126" s="119">
        <v>1</v>
      </c>
      <c r="F1126" s="148" t="s">
        <v>135</v>
      </c>
      <c r="G1126" s="148">
        <v>1</v>
      </c>
      <c r="H1126" s="61" t="s">
        <v>39</v>
      </c>
      <c r="I1126" s="61"/>
      <c r="J1126" t="s">
        <v>896</v>
      </c>
      <c r="K1126" s="61"/>
      <c r="L1126" s="159"/>
      <c r="M1126" s="48"/>
      <c r="N1126" s="123"/>
    </row>
    <row r="1127" spans="1:14" customFormat="1" x14ac:dyDescent="0.55000000000000004">
      <c r="A1127" s="102" t="s">
        <v>894</v>
      </c>
      <c r="B1127" s="61" t="s">
        <v>880</v>
      </c>
      <c r="C1127" s="61" t="s">
        <v>127</v>
      </c>
      <c r="D1127" s="61" t="s">
        <v>3289</v>
      </c>
      <c r="E1127" s="119">
        <v>8.1</v>
      </c>
      <c r="F1127" s="148" t="s">
        <v>133</v>
      </c>
      <c r="G1127" s="148">
        <v>1</v>
      </c>
      <c r="H1127" s="61" t="s">
        <v>39</v>
      </c>
      <c r="I1127" s="61"/>
      <c r="J1127" t="s">
        <v>896</v>
      </c>
      <c r="K1127" s="61"/>
      <c r="L1127" s="159"/>
      <c r="M1127" s="48"/>
      <c r="N1127" s="123"/>
    </row>
    <row r="1128" spans="1:14" customFormat="1" x14ac:dyDescent="0.55000000000000004">
      <c r="A1128" s="102" t="s">
        <v>894</v>
      </c>
      <c r="B1128" s="61" t="s">
        <v>881</v>
      </c>
      <c r="C1128" s="61" t="s">
        <v>127</v>
      </c>
      <c r="D1128" s="61" t="s">
        <v>3289</v>
      </c>
      <c r="E1128" s="119">
        <v>0</v>
      </c>
      <c r="F1128" s="148" t="s">
        <v>133</v>
      </c>
      <c r="G1128" s="148">
        <v>1</v>
      </c>
      <c r="H1128" s="61" t="s">
        <v>39</v>
      </c>
      <c r="I1128" s="61"/>
      <c r="J1128" t="s">
        <v>896</v>
      </c>
      <c r="K1128" s="61"/>
      <c r="L1128" s="159"/>
      <c r="M1128" s="48"/>
      <c r="N1128" s="123"/>
    </row>
    <row r="1129" spans="1:14" customFormat="1" x14ac:dyDescent="0.55000000000000004">
      <c r="A1129" s="102" t="s">
        <v>894</v>
      </c>
      <c r="B1129" s="61" t="s">
        <v>882</v>
      </c>
      <c r="C1129" s="61" t="s">
        <v>127</v>
      </c>
      <c r="D1129" s="61" t="s">
        <v>3289</v>
      </c>
      <c r="E1129" s="119">
        <v>0.47</v>
      </c>
      <c r="F1129" s="148" t="s">
        <v>133</v>
      </c>
      <c r="G1129" s="148">
        <v>1</v>
      </c>
      <c r="H1129" s="61" t="s">
        <v>39</v>
      </c>
      <c r="I1129" s="61"/>
      <c r="J1129" t="s">
        <v>896</v>
      </c>
      <c r="K1129" s="61"/>
      <c r="L1129" s="159"/>
      <c r="M1129" s="48"/>
      <c r="N1129" s="123"/>
    </row>
    <row r="1130" spans="1:14" customFormat="1" x14ac:dyDescent="0.55000000000000004">
      <c r="A1130" s="102" t="s">
        <v>894</v>
      </c>
      <c r="B1130" s="61" t="s">
        <v>883</v>
      </c>
      <c r="C1130" s="61" t="s">
        <v>127</v>
      </c>
      <c r="D1130" s="61" t="s">
        <v>3289</v>
      </c>
      <c r="E1130" s="119">
        <v>0.25</v>
      </c>
      <c r="F1130" s="148" t="s">
        <v>133</v>
      </c>
      <c r="G1130" s="148">
        <v>1</v>
      </c>
      <c r="H1130" s="61" t="s">
        <v>39</v>
      </c>
      <c r="I1130" s="61"/>
      <c r="J1130" t="s">
        <v>896</v>
      </c>
      <c r="K1130" s="61"/>
      <c r="L1130" s="159"/>
      <c r="M1130" s="48"/>
      <c r="N1130" s="123"/>
    </row>
    <row r="1131" spans="1:14" customFormat="1" x14ac:dyDescent="0.55000000000000004">
      <c r="A1131" s="102" t="s">
        <v>894</v>
      </c>
      <c r="B1131" s="61" t="s">
        <v>884</v>
      </c>
      <c r="C1131" s="61" t="s">
        <v>127</v>
      </c>
      <c r="D1131" s="61" t="s">
        <v>2994</v>
      </c>
      <c r="E1131" s="119">
        <v>2.69</v>
      </c>
      <c r="F1131" s="148" t="s">
        <v>130</v>
      </c>
      <c r="G1131" s="148">
        <v>1</v>
      </c>
      <c r="H1131" s="61" t="s">
        <v>39</v>
      </c>
      <c r="I1131" s="61"/>
      <c r="J1131" t="s">
        <v>896</v>
      </c>
      <c r="K1131" s="61"/>
      <c r="L1131" s="159"/>
      <c r="M1131" s="48"/>
      <c r="N1131" s="123"/>
    </row>
    <row r="1132" spans="1:14" customFormat="1" x14ac:dyDescent="0.55000000000000004">
      <c r="A1132" s="102" t="s">
        <v>894</v>
      </c>
      <c r="B1132" s="61" t="s">
        <v>885</v>
      </c>
      <c r="C1132" s="61" t="s">
        <v>127</v>
      </c>
      <c r="D1132" s="61" t="s">
        <v>2994</v>
      </c>
      <c r="E1132" s="119">
        <v>10.78</v>
      </c>
      <c r="F1132" s="148" t="s">
        <v>130</v>
      </c>
      <c r="G1132" s="148">
        <v>1</v>
      </c>
      <c r="H1132" s="61" t="s">
        <v>39</v>
      </c>
      <c r="I1132" s="61"/>
      <c r="J1132" t="s">
        <v>896</v>
      </c>
      <c r="K1132" s="61"/>
      <c r="L1132" s="159"/>
      <c r="M1132" s="48"/>
      <c r="N1132" s="123"/>
    </row>
    <row r="1133" spans="1:14" customFormat="1" x14ac:dyDescent="0.55000000000000004">
      <c r="A1133" s="102" t="s">
        <v>894</v>
      </c>
      <c r="B1133" s="61" t="s">
        <v>886</v>
      </c>
      <c r="C1133" s="61" t="s">
        <v>887</v>
      </c>
      <c r="D1133" s="61" t="s">
        <v>3288</v>
      </c>
      <c r="E1133" s="119">
        <v>0</v>
      </c>
      <c r="F1133" s="148" t="s">
        <v>135</v>
      </c>
      <c r="G1133" s="148">
        <v>1</v>
      </c>
      <c r="H1133" s="61" t="s">
        <v>39</v>
      </c>
      <c r="I1133" s="61"/>
      <c r="J1133" t="s">
        <v>896</v>
      </c>
      <c r="K1133" s="61"/>
      <c r="L1133" s="159"/>
      <c r="M1133" s="48"/>
      <c r="N1133" s="123"/>
    </row>
    <row r="1134" spans="1:14" customFormat="1" x14ac:dyDescent="0.55000000000000004">
      <c r="A1134" s="102" t="s">
        <v>894</v>
      </c>
      <c r="B1134" s="61" t="s">
        <v>888</v>
      </c>
      <c r="C1134" s="61" t="s">
        <v>125</v>
      </c>
      <c r="D1134" s="61" t="s">
        <v>3288</v>
      </c>
      <c r="E1134" s="119">
        <v>0.04</v>
      </c>
      <c r="F1134" s="148" t="s">
        <v>135</v>
      </c>
      <c r="G1134" s="148">
        <v>1</v>
      </c>
      <c r="H1134" s="61" t="s">
        <v>39</v>
      </c>
      <c r="I1134" s="61"/>
      <c r="J1134" t="s">
        <v>896</v>
      </c>
      <c r="K1134" s="61"/>
      <c r="L1134" s="159"/>
      <c r="M1134" s="48"/>
      <c r="N1134" s="123"/>
    </row>
    <row r="1135" spans="1:14" customFormat="1" x14ac:dyDescent="0.55000000000000004">
      <c r="A1135" s="102" t="s">
        <v>894</v>
      </c>
      <c r="B1135" s="61" t="s">
        <v>897</v>
      </c>
      <c r="C1135" s="61" t="s">
        <v>125</v>
      </c>
      <c r="D1135" s="61" t="s">
        <v>3288</v>
      </c>
      <c r="E1135" s="119">
        <v>0.02</v>
      </c>
      <c r="F1135" s="148" t="s">
        <v>135</v>
      </c>
      <c r="G1135" s="148">
        <v>1</v>
      </c>
      <c r="H1135" s="61" t="s">
        <v>39</v>
      </c>
      <c r="I1135" s="61"/>
      <c r="J1135" t="s">
        <v>896</v>
      </c>
      <c r="K1135" s="61"/>
      <c r="L1135" s="159"/>
      <c r="M1135" s="48"/>
      <c r="N1135" s="123"/>
    </row>
    <row r="1136" spans="1:14" customFormat="1" x14ac:dyDescent="0.55000000000000004">
      <c r="A1136" s="102" t="s">
        <v>894</v>
      </c>
      <c r="B1136" s="61" t="s">
        <v>889</v>
      </c>
      <c r="C1136" s="61" t="s">
        <v>125</v>
      </c>
      <c r="D1136" s="61" t="s">
        <v>3288</v>
      </c>
      <c r="E1136" s="119">
        <v>0.89</v>
      </c>
      <c r="F1136" s="148" t="s">
        <v>135</v>
      </c>
      <c r="G1136" s="148">
        <v>1</v>
      </c>
      <c r="H1136" s="61" t="s">
        <v>39</v>
      </c>
      <c r="I1136" s="61"/>
      <c r="J1136" t="s">
        <v>896</v>
      </c>
      <c r="K1136" s="61"/>
      <c r="L1136" s="159"/>
      <c r="M1136" s="48"/>
      <c r="N1136" s="123"/>
    </row>
    <row r="1137" spans="1:14" customFormat="1" x14ac:dyDescent="0.55000000000000004">
      <c r="A1137" s="102" t="s">
        <v>894</v>
      </c>
      <c r="B1137" s="61" t="s">
        <v>890</v>
      </c>
      <c r="C1137" s="61" t="s">
        <v>125</v>
      </c>
      <c r="D1137" s="61" t="s">
        <v>3288</v>
      </c>
      <c r="E1137" s="119">
        <v>0.05</v>
      </c>
      <c r="F1137" s="148" t="s">
        <v>135</v>
      </c>
      <c r="G1137" s="148">
        <v>1</v>
      </c>
      <c r="H1137" s="61" t="s">
        <v>39</v>
      </c>
      <c r="I1137" s="61"/>
      <c r="J1137" t="s">
        <v>896</v>
      </c>
      <c r="K1137" s="61"/>
      <c r="L1137" s="159"/>
      <c r="M1137" s="48"/>
      <c r="N1137" s="123"/>
    </row>
    <row r="1138" spans="1:14" customFormat="1" x14ac:dyDescent="0.55000000000000004">
      <c r="A1138" s="102" t="s">
        <v>894</v>
      </c>
      <c r="B1138" s="61" t="s">
        <v>160</v>
      </c>
      <c r="C1138" s="61" t="s">
        <v>497</v>
      </c>
      <c r="D1138" s="61" t="s">
        <v>3288</v>
      </c>
      <c r="E1138" s="119">
        <v>15.8</v>
      </c>
      <c r="F1138" s="148" t="s">
        <v>122</v>
      </c>
      <c r="G1138" s="148">
        <v>1</v>
      </c>
      <c r="H1138" s="61" t="s">
        <v>39</v>
      </c>
      <c r="I1138" s="61"/>
      <c r="J1138" t="s">
        <v>896</v>
      </c>
      <c r="K1138" s="61"/>
      <c r="L1138" s="159"/>
      <c r="M1138" s="48"/>
      <c r="N1138" s="123"/>
    </row>
    <row r="1139" spans="1:14" customFormat="1" x14ac:dyDescent="0.55000000000000004">
      <c r="A1139" s="102" t="s">
        <v>894</v>
      </c>
      <c r="B1139" s="61" t="s">
        <v>891</v>
      </c>
      <c r="C1139" s="61" t="s">
        <v>124</v>
      </c>
      <c r="D1139" s="61" t="s">
        <v>3288</v>
      </c>
      <c r="E1139" s="119">
        <v>1.23</v>
      </c>
      <c r="F1139" s="148" t="s">
        <v>892</v>
      </c>
      <c r="G1139" s="148">
        <v>1</v>
      </c>
      <c r="H1139" s="61" t="s">
        <v>39</v>
      </c>
      <c r="I1139" s="61"/>
      <c r="J1139" t="s">
        <v>896</v>
      </c>
      <c r="K1139" s="61"/>
      <c r="L1139" s="159"/>
      <c r="M1139" s="48"/>
      <c r="N1139" s="123"/>
    </row>
    <row r="1140" spans="1:14" customFormat="1" x14ac:dyDescent="0.55000000000000004">
      <c r="A1140" s="102" t="s">
        <v>877</v>
      </c>
      <c r="B1140" s="61" t="s">
        <v>878</v>
      </c>
      <c r="C1140" t="s">
        <v>121</v>
      </c>
      <c r="D1140" s="61" t="s">
        <v>3288</v>
      </c>
      <c r="E1140" s="119">
        <v>1</v>
      </c>
      <c r="F1140" s="148" t="s">
        <v>135</v>
      </c>
      <c r="G1140" s="148">
        <v>1</v>
      </c>
      <c r="H1140" s="61" t="s">
        <v>39</v>
      </c>
      <c r="I1140" s="61"/>
      <c r="J1140" t="s">
        <v>879</v>
      </c>
      <c r="K1140" s="61"/>
      <c r="L1140" s="159"/>
      <c r="M1140" s="48"/>
      <c r="N1140" s="123"/>
    </row>
    <row r="1141" spans="1:14" customFormat="1" x14ac:dyDescent="0.55000000000000004">
      <c r="A1141" s="102" t="s">
        <v>877</v>
      </c>
      <c r="B1141" s="61" t="s">
        <v>880</v>
      </c>
      <c r="C1141" s="61" t="s">
        <v>127</v>
      </c>
      <c r="D1141" s="61" t="s">
        <v>3289</v>
      </c>
      <c r="E1141" s="119">
        <v>6.69</v>
      </c>
      <c r="F1141" s="148" t="s">
        <v>133</v>
      </c>
      <c r="G1141" s="148">
        <v>1</v>
      </c>
      <c r="H1141" s="61" t="s">
        <v>39</v>
      </c>
      <c r="I1141" s="61"/>
      <c r="J1141" t="s">
        <v>879</v>
      </c>
      <c r="K1141" s="61"/>
      <c r="L1141" s="159"/>
      <c r="M1141" s="48"/>
      <c r="N1141" s="123"/>
    </row>
    <row r="1142" spans="1:14" customFormat="1" x14ac:dyDescent="0.55000000000000004">
      <c r="A1142" s="102" t="s">
        <v>877</v>
      </c>
      <c r="B1142" s="61" t="s">
        <v>881</v>
      </c>
      <c r="C1142" s="61" t="s">
        <v>127</v>
      </c>
      <c r="D1142" s="61" t="s">
        <v>3289</v>
      </c>
      <c r="E1142" s="119">
        <v>0</v>
      </c>
      <c r="F1142" s="148" t="s">
        <v>133</v>
      </c>
      <c r="G1142" s="148">
        <v>1</v>
      </c>
      <c r="H1142" s="61" t="s">
        <v>39</v>
      </c>
      <c r="I1142" s="61"/>
      <c r="J1142" t="s">
        <v>879</v>
      </c>
      <c r="K1142" s="61"/>
      <c r="L1142" s="159"/>
      <c r="M1142" s="48"/>
      <c r="N1142" s="123"/>
    </row>
    <row r="1143" spans="1:14" customFormat="1" x14ac:dyDescent="0.55000000000000004">
      <c r="A1143" s="102" t="s">
        <v>877</v>
      </c>
      <c r="B1143" s="61" t="s">
        <v>882</v>
      </c>
      <c r="C1143" s="61" t="s">
        <v>127</v>
      </c>
      <c r="D1143" s="61" t="s">
        <v>3289</v>
      </c>
      <c r="E1143" s="119">
        <v>0.47</v>
      </c>
      <c r="F1143" s="148" t="s">
        <v>133</v>
      </c>
      <c r="G1143" s="148">
        <v>1</v>
      </c>
      <c r="H1143" s="61" t="s">
        <v>39</v>
      </c>
      <c r="I1143" s="61"/>
      <c r="J1143" t="s">
        <v>879</v>
      </c>
      <c r="K1143" s="61"/>
      <c r="L1143" s="159"/>
      <c r="M1143" s="48"/>
      <c r="N1143" s="123"/>
    </row>
    <row r="1144" spans="1:14" customFormat="1" x14ac:dyDescent="0.55000000000000004">
      <c r="A1144" s="102" t="s">
        <v>877</v>
      </c>
      <c r="B1144" s="61" t="s">
        <v>883</v>
      </c>
      <c r="C1144" s="61" t="s">
        <v>127</v>
      </c>
      <c r="D1144" s="61" t="s">
        <v>3289</v>
      </c>
      <c r="E1144" s="119">
        <v>0.25</v>
      </c>
      <c r="F1144" s="148" t="s">
        <v>133</v>
      </c>
      <c r="G1144" s="148">
        <v>1</v>
      </c>
      <c r="H1144" s="61" t="s">
        <v>39</v>
      </c>
      <c r="I1144" s="61"/>
      <c r="J1144" t="s">
        <v>879</v>
      </c>
      <c r="K1144" s="61"/>
      <c r="L1144" s="159"/>
      <c r="M1144" s="48"/>
      <c r="N1144" s="123"/>
    </row>
    <row r="1145" spans="1:14" customFormat="1" x14ac:dyDescent="0.55000000000000004">
      <c r="A1145" s="102" t="s">
        <v>877</v>
      </c>
      <c r="B1145" s="61" t="s">
        <v>884</v>
      </c>
      <c r="C1145" s="61" t="s">
        <v>127</v>
      </c>
      <c r="D1145" s="61" t="s">
        <v>2994</v>
      </c>
      <c r="E1145" s="119">
        <v>2.2599999999999998</v>
      </c>
      <c r="F1145" s="148" t="s">
        <v>130</v>
      </c>
      <c r="G1145" s="148">
        <v>1</v>
      </c>
      <c r="H1145" s="61" t="s">
        <v>39</v>
      </c>
      <c r="I1145" s="61"/>
      <c r="J1145" t="s">
        <v>879</v>
      </c>
      <c r="K1145" s="61"/>
      <c r="L1145" s="159"/>
      <c r="M1145" s="48"/>
      <c r="N1145" s="123"/>
    </row>
    <row r="1146" spans="1:14" customFormat="1" x14ac:dyDescent="0.55000000000000004">
      <c r="A1146" s="102" t="s">
        <v>877</v>
      </c>
      <c r="B1146" s="61" t="s">
        <v>885</v>
      </c>
      <c r="C1146" s="61" t="s">
        <v>127</v>
      </c>
      <c r="D1146" s="61" t="s">
        <v>2994</v>
      </c>
      <c r="E1146" s="119">
        <v>10.69</v>
      </c>
      <c r="F1146" s="148" t="s">
        <v>130</v>
      </c>
      <c r="G1146" s="148">
        <v>1</v>
      </c>
      <c r="H1146" s="61" t="s">
        <v>39</v>
      </c>
      <c r="I1146" s="61"/>
      <c r="J1146" t="s">
        <v>879</v>
      </c>
      <c r="K1146" s="61"/>
      <c r="L1146" s="159"/>
      <c r="M1146" s="48"/>
      <c r="N1146" s="123"/>
    </row>
    <row r="1147" spans="1:14" customFormat="1" x14ac:dyDescent="0.55000000000000004">
      <c r="A1147" s="102" t="s">
        <v>877</v>
      </c>
      <c r="B1147" s="61" t="s">
        <v>886</v>
      </c>
      <c r="C1147" s="61" t="s">
        <v>887</v>
      </c>
      <c r="D1147" s="61" t="s">
        <v>3288</v>
      </c>
      <c r="E1147" s="119">
        <v>0</v>
      </c>
      <c r="F1147" s="148" t="s">
        <v>135</v>
      </c>
      <c r="G1147" s="148">
        <v>1</v>
      </c>
      <c r="H1147" s="61" t="s">
        <v>39</v>
      </c>
      <c r="I1147" s="61"/>
      <c r="J1147" t="s">
        <v>879</v>
      </c>
      <c r="K1147" s="61"/>
      <c r="L1147" s="159"/>
      <c r="M1147" s="48"/>
      <c r="N1147" s="123"/>
    </row>
    <row r="1148" spans="1:14" customFormat="1" x14ac:dyDescent="0.55000000000000004">
      <c r="A1148" s="102" t="s">
        <v>877</v>
      </c>
      <c r="B1148" s="61" t="s">
        <v>888</v>
      </c>
      <c r="C1148" s="61" t="s">
        <v>125</v>
      </c>
      <c r="D1148" s="61" t="s">
        <v>3288</v>
      </c>
      <c r="E1148" s="119">
        <v>0.05</v>
      </c>
      <c r="F1148" s="148" t="s">
        <v>135</v>
      </c>
      <c r="G1148" s="148">
        <v>1</v>
      </c>
      <c r="H1148" s="61" t="s">
        <v>39</v>
      </c>
      <c r="I1148" s="61"/>
      <c r="J1148" t="s">
        <v>879</v>
      </c>
      <c r="K1148" s="61"/>
      <c r="L1148" s="159"/>
      <c r="M1148" s="48"/>
      <c r="N1148" s="123"/>
    </row>
    <row r="1149" spans="1:14" customFormat="1" x14ac:dyDescent="0.55000000000000004">
      <c r="A1149" s="102" t="s">
        <v>877</v>
      </c>
      <c r="B1149" s="61" t="s">
        <v>889</v>
      </c>
      <c r="C1149" s="61" t="s">
        <v>125</v>
      </c>
      <c r="D1149" s="61" t="s">
        <v>3288</v>
      </c>
      <c r="E1149" s="119">
        <v>0.9</v>
      </c>
      <c r="F1149" s="148" t="s">
        <v>135</v>
      </c>
      <c r="G1149" s="148">
        <v>1</v>
      </c>
      <c r="H1149" s="61" t="s">
        <v>39</v>
      </c>
      <c r="I1149" s="61"/>
      <c r="J1149" t="s">
        <v>879</v>
      </c>
      <c r="K1149" s="61"/>
      <c r="L1149" s="159"/>
      <c r="M1149" s="48"/>
      <c r="N1149" s="123"/>
    </row>
    <row r="1150" spans="1:14" customFormat="1" x14ac:dyDescent="0.55000000000000004">
      <c r="A1150" s="102" t="s">
        <v>877</v>
      </c>
      <c r="B1150" s="61" t="s">
        <v>890</v>
      </c>
      <c r="C1150" s="61" t="s">
        <v>125</v>
      </c>
      <c r="D1150" s="61" t="s">
        <v>3288</v>
      </c>
      <c r="E1150" s="119">
        <v>0.05</v>
      </c>
      <c r="F1150" s="148" t="s">
        <v>135</v>
      </c>
      <c r="G1150" s="148">
        <v>1</v>
      </c>
      <c r="H1150" s="61" t="s">
        <v>39</v>
      </c>
      <c r="I1150" s="61"/>
      <c r="J1150" t="s">
        <v>879</v>
      </c>
      <c r="K1150" s="61"/>
      <c r="L1150" s="159"/>
      <c r="M1150" s="48"/>
      <c r="N1150" s="123"/>
    </row>
    <row r="1151" spans="1:14" customFormat="1" x14ac:dyDescent="0.55000000000000004">
      <c r="A1151" s="102" t="s">
        <v>877</v>
      </c>
      <c r="B1151" s="61" t="s">
        <v>160</v>
      </c>
      <c r="C1151" s="61" t="s">
        <v>497</v>
      </c>
      <c r="D1151" s="61" t="s">
        <v>3288</v>
      </c>
      <c r="E1151" s="119">
        <v>13.2</v>
      </c>
      <c r="F1151" s="148" t="s">
        <v>122</v>
      </c>
      <c r="G1151" s="148">
        <v>1</v>
      </c>
      <c r="H1151" s="61" t="s">
        <v>39</v>
      </c>
      <c r="I1151" s="61"/>
      <c r="J1151" t="s">
        <v>879</v>
      </c>
      <c r="K1151" s="61"/>
      <c r="L1151" s="159"/>
      <c r="M1151" s="48"/>
      <c r="N1151" s="123"/>
    </row>
    <row r="1152" spans="1:14" customFormat="1" x14ac:dyDescent="0.55000000000000004">
      <c r="A1152" s="102" t="s">
        <v>877</v>
      </c>
      <c r="B1152" s="61" t="s">
        <v>891</v>
      </c>
      <c r="C1152" s="61" t="s">
        <v>124</v>
      </c>
      <c r="D1152" s="61" t="s">
        <v>3288</v>
      </c>
      <c r="E1152" s="119">
        <v>1.0900000000000001</v>
      </c>
      <c r="F1152" s="148" t="s">
        <v>892</v>
      </c>
      <c r="G1152" s="148">
        <v>1</v>
      </c>
      <c r="H1152" s="61" t="s">
        <v>893</v>
      </c>
      <c r="I1152" s="61"/>
      <c r="J1152" t="s">
        <v>879</v>
      </c>
      <c r="K1152" s="61"/>
      <c r="L1152" s="159"/>
      <c r="M1152" s="48"/>
      <c r="N1152" s="123"/>
    </row>
    <row r="1153" spans="1:14" customFormat="1" x14ac:dyDescent="0.55000000000000004">
      <c r="A1153" s="65" t="s">
        <v>874</v>
      </c>
      <c r="B1153" t="s">
        <v>339</v>
      </c>
      <c r="C1153" t="s">
        <v>121</v>
      </c>
      <c r="D1153" t="s">
        <v>3288</v>
      </c>
      <c r="E1153" s="116">
        <v>1</v>
      </c>
      <c r="F1153" s="149" t="s">
        <v>768</v>
      </c>
      <c r="G1153" s="149">
        <v>1</v>
      </c>
      <c r="H1153" t="s">
        <v>39</v>
      </c>
      <c r="I1153" t="s">
        <v>535</v>
      </c>
      <c r="J1153" t="s">
        <v>875</v>
      </c>
      <c r="K1153">
        <v>67</v>
      </c>
      <c r="L1153" s="160">
        <v>7206</v>
      </c>
      <c r="M1153" s="48"/>
      <c r="N1153" s="123"/>
    </row>
    <row r="1154" spans="1:14" customFormat="1" x14ac:dyDescent="0.55000000000000004">
      <c r="A1154" s="65" t="s">
        <v>874</v>
      </c>
      <c r="B1154" t="s">
        <v>735</v>
      </c>
      <c r="C1154" t="s">
        <v>163</v>
      </c>
      <c r="D1154" t="s">
        <v>3288</v>
      </c>
      <c r="E1154" s="116">
        <v>7.9399999999999998E-2</v>
      </c>
      <c r="F1154" s="149" t="s">
        <v>768</v>
      </c>
      <c r="G1154" s="149" t="s">
        <v>768</v>
      </c>
      <c r="H1154" t="s">
        <v>39</v>
      </c>
      <c r="I1154" t="s">
        <v>703</v>
      </c>
      <c r="J1154" t="s">
        <v>875</v>
      </c>
      <c r="K1154" t="s">
        <v>535</v>
      </c>
      <c r="L1154" s="160"/>
      <c r="M1154" s="48"/>
      <c r="N1154" s="123"/>
    </row>
    <row r="1155" spans="1:14" customFormat="1" x14ac:dyDescent="0.55000000000000004">
      <c r="A1155" s="65" t="s">
        <v>874</v>
      </c>
      <c r="B1155" t="s">
        <v>796</v>
      </c>
      <c r="C1155" t="s">
        <v>156</v>
      </c>
      <c r="D1155" t="s">
        <v>2994</v>
      </c>
      <c r="E1155" s="116">
        <v>0.70899999999999996</v>
      </c>
      <c r="F1155" s="149" t="s">
        <v>765</v>
      </c>
      <c r="G1155" s="149" t="s">
        <v>768</v>
      </c>
      <c r="H1155" t="s">
        <v>39</v>
      </c>
      <c r="I1155" t="s">
        <v>703</v>
      </c>
      <c r="J1155" t="s">
        <v>875</v>
      </c>
      <c r="K1155" t="s">
        <v>535</v>
      </c>
      <c r="L1155" s="160"/>
      <c r="M1155" s="48"/>
      <c r="N1155" s="123"/>
    </row>
    <row r="1156" spans="1:14" customFormat="1" x14ac:dyDescent="0.55000000000000004">
      <c r="A1156" s="65" t="s">
        <v>874</v>
      </c>
      <c r="B1156" t="s">
        <v>847</v>
      </c>
      <c r="C1156" t="s">
        <v>127</v>
      </c>
      <c r="D1156" t="s">
        <v>2994</v>
      </c>
      <c r="E1156" s="116">
        <v>0.23</v>
      </c>
      <c r="F1156" s="149" t="s">
        <v>765</v>
      </c>
      <c r="G1156" s="149" t="s">
        <v>768</v>
      </c>
      <c r="H1156" t="s">
        <v>39</v>
      </c>
      <c r="I1156" t="s">
        <v>705</v>
      </c>
      <c r="J1156" t="s">
        <v>875</v>
      </c>
      <c r="K1156">
        <v>68</v>
      </c>
      <c r="L1156" s="160"/>
      <c r="M1156" s="48"/>
      <c r="N1156" s="123"/>
    </row>
    <row r="1157" spans="1:14" customFormat="1" x14ac:dyDescent="0.55000000000000004">
      <c r="A1157" s="65" t="s">
        <v>874</v>
      </c>
      <c r="B1157" t="s">
        <v>287</v>
      </c>
      <c r="C1157" t="s">
        <v>125</v>
      </c>
      <c r="D1157" t="s">
        <v>3288</v>
      </c>
      <c r="E1157" s="116">
        <v>0.88400000000000001</v>
      </c>
      <c r="F1157" s="149" t="s">
        <v>768</v>
      </c>
      <c r="G1157" s="149" t="s">
        <v>768</v>
      </c>
      <c r="H1157" t="s">
        <v>39</v>
      </c>
      <c r="I1157" t="s">
        <v>535</v>
      </c>
      <c r="J1157" t="s">
        <v>875</v>
      </c>
      <c r="K1157" t="s">
        <v>535</v>
      </c>
      <c r="L1157" s="160"/>
      <c r="M1157" s="48"/>
      <c r="N1157" s="123"/>
    </row>
    <row r="1158" spans="1:14" customFormat="1" x14ac:dyDescent="0.55000000000000004">
      <c r="A1158" s="65" t="s">
        <v>874</v>
      </c>
      <c r="B1158" t="s">
        <v>153</v>
      </c>
      <c r="C1158" t="s">
        <v>127</v>
      </c>
      <c r="D1158" t="s">
        <v>2994</v>
      </c>
      <c r="E1158" s="116">
        <v>9.7199999999999995E-2</v>
      </c>
      <c r="F1158" s="149" t="s">
        <v>765</v>
      </c>
      <c r="G1158" s="149" t="s">
        <v>768</v>
      </c>
      <c r="H1158" t="s">
        <v>39</v>
      </c>
      <c r="I1158" t="s">
        <v>717</v>
      </c>
      <c r="J1158" t="s">
        <v>875</v>
      </c>
      <c r="K1158">
        <v>70</v>
      </c>
      <c r="L1158" s="160"/>
      <c r="M1158" s="48"/>
      <c r="N1158" s="123"/>
    </row>
    <row r="1159" spans="1:14" customFormat="1" x14ac:dyDescent="0.55000000000000004">
      <c r="A1159" s="65" t="s">
        <v>874</v>
      </c>
      <c r="B1159" t="s">
        <v>847</v>
      </c>
      <c r="C1159" t="s">
        <v>127</v>
      </c>
      <c r="D1159" t="s">
        <v>2994</v>
      </c>
      <c r="E1159" s="116">
        <v>8.2000000000000003E-2</v>
      </c>
      <c r="F1159" s="149" t="s">
        <v>765</v>
      </c>
      <c r="G1159" s="149" t="s">
        <v>768</v>
      </c>
      <c r="H1159" t="s">
        <v>39</v>
      </c>
      <c r="I1159" t="s">
        <v>535</v>
      </c>
      <c r="J1159" t="s">
        <v>875</v>
      </c>
      <c r="K1159" t="s">
        <v>535</v>
      </c>
      <c r="L1159" s="160"/>
      <c r="M1159" s="48"/>
      <c r="N1159" s="123"/>
    </row>
    <row r="1160" spans="1:14" customFormat="1" x14ac:dyDescent="0.55000000000000004">
      <c r="A1160" s="65" t="s">
        <v>874</v>
      </c>
      <c r="B1160" t="s">
        <v>341</v>
      </c>
      <c r="C1160" t="s">
        <v>125</v>
      </c>
      <c r="D1160" t="s">
        <v>3288</v>
      </c>
      <c r="E1160" s="116">
        <v>0.17</v>
      </c>
      <c r="F1160" s="149" t="s">
        <v>768</v>
      </c>
      <c r="G1160" s="149" t="s">
        <v>768</v>
      </c>
      <c r="H1160" t="s">
        <v>39</v>
      </c>
      <c r="I1160" t="s">
        <v>535</v>
      </c>
      <c r="J1160" t="s">
        <v>875</v>
      </c>
      <c r="K1160" t="s">
        <v>535</v>
      </c>
      <c r="L1160" s="160"/>
      <c r="M1160" s="48"/>
      <c r="N1160" s="123"/>
    </row>
    <row r="1161" spans="1:14" customFormat="1" x14ac:dyDescent="0.55000000000000004">
      <c r="A1161" s="65" t="s">
        <v>874</v>
      </c>
      <c r="B1161" t="s">
        <v>213</v>
      </c>
      <c r="C1161" t="s">
        <v>125</v>
      </c>
      <c r="D1161" t="s">
        <v>3288</v>
      </c>
      <c r="E1161" s="116">
        <v>70.3</v>
      </c>
      <c r="F1161" s="149" t="s">
        <v>763</v>
      </c>
      <c r="G1161" s="149" t="s">
        <v>768</v>
      </c>
      <c r="H1161" t="s">
        <v>39</v>
      </c>
      <c r="I1161" t="s">
        <v>719</v>
      </c>
      <c r="J1161" t="s">
        <v>875</v>
      </c>
      <c r="K1161">
        <v>67</v>
      </c>
      <c r="L1161" s="160"/>
      <c r="M1161" s="48"/>
      <c r="N1161" s="123"/>
    </row>
    <row r="1162" spans="1:14" customFormat="1" x14ac:dyDescent="0.55000000000000004">
      <c r="A1162" s="65" t="s">
        <v>874</v>
      </c>
      <c r="B1162" t="s">
        <v>323</v>
      </c>
      <c r="C1162" t="s">
        <v>125</v>
      </c>
      <c r="D1162" t="s">
        <v>3288</v>
      </c>
      <c r="E1162" s="116">
        <v>1.6199999999999999E-2</v>
      </c>
      <c r="F1162" s="149" t="s">
        <v>768</v>
      </c>
      <c r="G1162" s="149" t="s">
        <v>768</v>
      </c>
      <c r="H1162" t="s">
        <v>39</v>
      </c>
      <c r="I1162" t="s">
        <v>535</v>
      </c>
      <c r="J1162" t="s">
        <v>875</v>
      </c>
      <c r="K1162">
        <v>67</v>
      </c>
      <c r="L1162" s="160"/>
      <c r="M1162" s="48"/>
      <c r="N1162" s="123"/>
    </row>
    <row r="1163" spans="1:14" customFormat="1" x14ac:dyDescent="0.55000000000000004">
      <c r="A1163" s="65" t="s">
        <v>874</v>
      </c>
      <c r="B1163" t="s">
        <v>170</v>
      </c>
      <c r="C1163" t="s">
        <v>125</v>
      </c>
      <c r="D1163" t="s">
        <v>3288</v>
      </c>
      <c r="E1163" s="116">
        <v>2.41E-2</v>
      </c>
      <c r="F1163" s="149" t="s">
        <v>768</v>
      </c>
      <c r="G1163" s="149" t="s">
        <v>768</v>
      </c>
      <c r="H1163" t="s">
        <v>39</v>
      </c>
      <c r="I1163" t="s">
        <v>703</v>
      </c>
      <c r="J1163" t="s">
        <v>875</v>
      </c>
      <c r="K1163" t="s">
        <v>535</v>
      </c>
      <c r="L1163" s="160"/>
      <c r="M1163" s="48"/>
      <c r="N1163" s="123"/>
    </row>
    <row r="1164" spans="1:14" customFormat="1" x14ac:dyDescent="0.55000000000000004">
      <c r="A1164" s="65" t="s">
        <v>874</v>
      </c>
      <c r="B1164" t="s">
        <v>876</v>
      </c>
      <c r="C1164" t="s">
        <v>125</v>
      </c>
      <c r="D1164" t="s">
        <v>3288</v>
      </c>
      <c r="E1164" s="116">
        <v>8.94E-3</v>
      </c>
      <c r="F1164" s="149" t="s">
        <v>768</v>
      </c>
      <c r="G1164" s="149" t="s">
        <v>768</v>
      </c>
      <c r="H1164" t="s">
        <v>39</v>
      </c>
      <c r="I1164" t="s">
        <v>703</v>
      </c>
      <c r="J1164" t="s">
        <v>875</v>
      </c>
      <c r="K1164" t="s">
        <v>535</v>
      </c>
      <c r="L1164" s="160"/>
      <c r="M1164" s="48"/>
      <c r="N1164" s="123"/>
    </row>
    <row r="1165" spans="1:14" customFormat="1" x14ac:dyDescent="0.55000000000000004">
      <c r="A1165" s="65" t="s">
        <v>874</v>
      </c>
      <c r="B1165" t="s">
        <v>160</v>
      </c>
      <c r="C1165" t="s">
        <v>124</v>
      </c>
      <c r="D1165" t="s">
        <v>3288</v>
      </c>
      <c r="E1165" s="116">
        <v>8.0400000000000003E-3</v>
      </c>
      <c r="F1165" s="149" t="s">
        <v>768</v>
      </c>
      <c r="G1165" s="149" t="s">
        <v>768</v>
      </c>
      <c r="H1165" t="s">
        <v>39</v>
      </c>
      <c r="I1165" t="s">
        <v>705</v>
      </c>
      <c r="J1165" t="s">
        <v>875</v>
      </c>
      <c r="K1165">
        <v>68</v>
      </c>
      <c r="L1165" s="160"/>
      <c r="M1165" s="48"/>
      <c r="N1165" s="123"/>
    </row>
    <row r="1166" spans="1:14" customFormat="1" x14ac:dyDescent="0.55000000000000004">
      <c r="A1166" s="65" t="s">
        <v>872</v>
      </c>
      <c r="B1166" t="s">
        <v>287</v>
      </c>
      <c r="C1166" t="s">
        <v>121</v>
      </c>
      <c r="D1166" t="s">
        <v>3288</v>
      </c>
      <c r="E1166" s="116">
        <v>1</v>
      </c>
      <c r="F1166" s="149" t="s">
        <v>768</v>
      </c>
      <c r="G1166" s="149">
        <v>1</v>
      </c>
      <c r="H1166" t="s">
        <v>39</v>
      </c>
      <c r="I1166" t="s">
        <v>707</v>
      </c>
      <c r="J1166" t="s">
        <v>873</v>
      </c>
      <c r="K1166" t="s">
        <v>535</v>
      </c>
      <c r="L1166" s="160">
        <v>7201</v>
      </c>
      <c r="M1166" s="48"/>
      <c r="N1166" s="123"/>
    </row>
    <row r="1167" spans="1:14" customFormat="1" x14ac:dyDescent="0.55000000000000004">
      <c r="A1167" s="65" t="s">
        <v>872</v>
      </c>
      <c r="B1167" t="s">
        <v>735</v>
      </c>
      <c r="C1167" t="s">
        <v>163</v>
      </c>
      <c r="D1167" t="s">
        <v>3288</v>
      </c>
      <c r="E1167" s="116">
        <v>0.22</v>
      </c>
      <c r="F1167" s="149" t="s">
        <v>768</v>
      </c>
      <c r="G1167" s="149" t="s">
        <v>768</v>
      </c>
      <c r="H1167" t="s">
        <v>39</v>
      </c>
      <c r="I1167" t="s">
        <v>708</v>
      </c>
      <c r="J1167" t="s">
        <v>873</v>
      </c>
      <c r="K1167">
        <v>69</v>
      </c>
      <c r="L1167" s="160"/>
      <c r="M1167" s="48"/>
      <c r="N1167" s="123"/>
    </row>
    <row r="1168" spans="1:14" customFormat="1" x14ac:dyDescent="0.55000000000000004">
      <c r="A1168" s="65" t="s">
        <v>872</v>
      </c>
      <c r="B1168" t="s">
        <v>289</v>
      </c>
      <c r="C1168" t="s">
        <v>156</v>
      </c>
      <c r="D1168" t="s">
        <v>2994</v>
      </c>
      <c r="E1168" s="116">
        <v>5.14</v>
      </c>
      <c r="F1168" s="149" t="s">
        <v>765</v>
      </c>
      <c r="G1168" s="149" t="s">
        <v>768</v>
      </c>
      <c r="H1168" t="s">
        <v>39</v>
      </c>
      <c r="I1168" t="s">
        <v>692</v>
      </c>
      <c r="J1168" t="s">
        <v>873</v>
      </c>
      <c r="K1168">
        <v>67</v>
      </c>
      <c r="L1168" s="160"/>
      <c r="M1168" s="48"/>
      <c r="N1168" s="123"/>
    </row>
    <row r="1169" spans="1:14" customFormat="1" x14ac:dyDescent="0.55000000000000004">
      <c r="A1169" s="65" t="s">
        <v>872</v>
      </c>
      <c r="B1169" t="s">
        <v>262</v>
      </c>
      <c r="C1169" t="s">
        <v>127</v>
      </c>
      <c r="D1169" t="s">
        <v>2994</v>
      </c>
      <c r="E1169" s="116">
        <v>7.54</v>
      </c>
      <c r="F1169" s="149" t="s">
        <v>765</v>
      </c>
      <c r="G1169" s="149" t="s">
        <v>768</v>
      </c>
      <c r="H1169" t="s">
        <v>39</v>
      </c>
      <c r="I1169" t="s">
        <v>710</v>
      </c>
      <c r="J1169" t="s">
        <v>873</v>
      </c>
      <c r="K1169" t="s">
        <v>535</v>
      </c>
      <c r="L1169" s="160"/>
      <c r="M1169" s="48"/>
      <c r="N1169" s="123"/>
    </row>
    <row r="1170" spans="1:14" customFormat="1" x14ac:dyDescent="0.55000000000000004">
      <c r="A1170" s="65" t="s">
        <v>872</v>
      </c>
      <c r="B1170" t="s">
        <v>289</v>
      </c>
      <c r="C1170" t="s">
        <v>156</v>
      </c>
      <c r="D1170" t="s">
        <v>2994</v>
      </c>
      <c r="E1170" s="116">
        <v>1.41</v>
      </c>
      <c r="F1170" s="149" t="s">
        <v>765</v>
      </c>
      <c r="G1170" s="149" t="s">
        <v>768</v>
      </c>
      <c r="H1170" t="s">
        <v>39</v>
      </c>
      <c r="I1170" t="s">
        <v>707</v>
      </c>
      <c r="J1170" t="s">
        <v>873</v>
      </c>
      <c r="K1170" t="s">
        <v>535</v>
      </c>
      <c r="L1170" s="160"/>
      <c r="M1170" s="48"/>
      <c r="N1170" s="123"/>
    </row>
    <row r="1171" spans="1:14" customFormat="1" x14ac:dyDescent="0.55000000000000004">
      <c r="A1171" s="65" t="s">
        <v>872</v>
      </c>
      <c r="B1171" t="s">
        <v>847</v>
      </c>
      <c r="C1171" t="s">
        <v>127</v>
      </c>
      <c r="D1171" t="s">
        <v>2994</v>
      </c>
      <c r="E1171" s="116">
        <v>0.23</v>
      </c>
      <c r="F1171" s="149" t="s">
        <v>765</v>
      </c>
      <c r="G1171" s="149" t="s">
        <v>768</v>
      </c>
      <c r="H1171" t="s">
        <v>39</v>
      </c>
      <c r="I1171" t="s">
        <v>692</v>
      </c>
      <c r="J1171" t="s">
        <v>873</v>
      </c>
      <c r="K1171">
        <v>67</v>
      </c>
      <c r="L1171" s="160"/>
      <c r="M1171" s="48"/>
      <c r="N1171" s="123"/>
    </row>
    <row r="1172" spans="1:14" customFormat="1" x14ac:dyDescent="0.55000000000000004">
      <c r="A1172" s="65" t="s">
        <v>872</v>
      </c>
      <c r="B1172" t="s">
        <v>153</v>
      </c>
      <c r="C1172" t="s">
        <v>127</v>
      </c>
      <c r="D1172" t="s">
        <v>2994</v>
      </c>
      <c r="E1172" s="116">
        <v>0.27</v>
      </c>
      <c r="F1172" s="149" t="s">
        <v>765</v>
      </c>
      <c r="G1172" s="149" t="s">
        <v>768</v>
      </c>
      <c r="H1172" t="s">
        <v>39</v>
      </c>
      <c r="I1172" t="s">
        <v>712</v>
      </c>
      <c r="J1172" t="s">
        <v>873</v>
      </c>
      <c r="K1172" t="s">
        <v>535</v>
      </c>
      <c r="L1172" s="160"/>
      <c r="M1172" s="48"/>
      <c r="N1172" s="123"/>
    </row>
    <row r="1173" spans="1:14" customFormat="1" x14ac:dyDescent="0.55000000000000004">
      <c r="A1173" s="65" t="s">
        <v>872</v>
      </c>
      <c r="B1173" t="s">
        <v>171</v>
      </c>
      <c r="C1173" t="s">
        <v>127</v>
      </c>
      <c r="D1173" t="s">
        <v>2994</v>
      </c>
      <c r="E1173" s="116">
        <v>0.16</v>
      </c>
      <c r="F1173" s="149" t="s">
        <v>765</v>
      </c>
      <c r="G1173" s="149" t="s">
        <v>768</v>
      </c>
      <c r="H1173" t="s">
        <v>39</v>
      </c>
      <c r="I1173" t="s">
        <v>707</v>
      </c>
      <c r="J1173" t="s">
        <v>873</v>
      </c>
      <c r="K1173" t="s">
        <v>535</v>
      </c>
      <c r="L1173" s="160"/>
      <c r="M1173" s="48"/>
      <c r="N1173" s="123"/>
    </row>
    <row r="1174" spans="1:14" customFormat="1" x14ac:dyDescent="0.55000000000000004">
      <c r="A1174" s="65" t="s">
        <v>872</v>
      </c>
      <c r="B1174" t="s">
        <v>298</v>
      </c>
      <c r="C1174" t="s">
        <v>156</v>
      </c>
      <c r="D1174" t="s">
        <v>2994</v>
      </c>
      <c r="E1174" s="116">
        <v>0.27</v>
      </c>
      <c r="F1174" s="149" t="s">
        <v>765</v>
      </c>
      <c r="G1174" s="149" t="s">
        <v>768</v>
      </c>
      <c r="H1174" t="s">
        <v>39</v>
      </c>
      <c r="I1174" t="s">
        <v>535</v>
      </c>
      <c r="J1174" t="s">
        <v>873</v>
      </c>
      <c r="K1174" t="s">
        <v>535</v>
      </c>
      <c r="L1174" s="160"/>
      <c r="M1174" s="48"/>
      <c r="N1174" s="123"/>
    </row>
    <row r="1175" spans="1:14" customFormat="1" x14ac:dyDescent="0.55000000000000004">
      <c r="A1175" s="65" t="s">
        <v>872</v>
      </c>
      <c r="B1175" t="s">
        <v>213</v>
      </c>
      <c r="C1175" t="s">
        <v>125</v>
      </c>
      <c r="D1175" t="s">
        <v>3288</v>
      </c>
      <c r="E1175" s="116">
        <v>52.6</v>
      </c>
      <c r="F1175" s="149" t="s">
        <v>763</v>
      </c>
      <c r="G1175" s="149" t="s">
        <v>768</v>
      </c>
      <c r="H1175" t="s">
        <v>39</v>
      </c>
      <c r="I1175" t="s">
        <v>535</v>
      </c>
      <c r="J1175" t="s">
        <v>873</v>
      </c>
      <c r="K1175">
        <v>67</v>
      </c>
      <c r="L1175" s="160"/>
      <c r="M1175" s="48"/>
      <c r="N1175" s="123"/>
    </row>
    <row r="1176" spans="1:14" customFormat="1" x14ac:dyDescent="0.55000000000000004">
      <c r="A1176" s="65" t="s">
        <v>872</v>
      </c>
      <c r="B1176" t="s">
        <v>691</v>
      </c>
      <c r="C1176" t="s">
        <v>127</v>
      </c>
      <c r="D1176" t="s">
        <v>2994</v>
      </c>
      <c r="E1176" s="116">
        <v>0.03</v>
      </c>
      <c r="F1176" s="149" t="s">
        <v>765</v>
      </c>
      <c r="G1176" s="149" t="s">
        <v>768</v>
      </c>
      <c r="H1176" t="s">
        <v>39</v>
      </c>
      <c r="I1176" t="s">
        <v>535</v>
      </c>
      <c r="J1176" t="s">
        <v>873</v>
      </c>
      <c r="K1176">
        <v>67</v>
      </c>
      <c r="L1176" s="160"/>
      <c r="M1176" s="48"/>
      <c r="N1176" s="123"/>
    </row>
    <row r="1177" spans="1:14" customFormat="1" x14ac:dyDescent="0.55000000000000004">
      <c r="A1177" s="65" t="s">
        <v>872</v>
      </c>
      <c r="B1177" t="s">
        <v>290</v>
      </c>
      <c r="C1177" t="s">
        <v>125</v>
      </c>
      <c r="D1177" t="s">
        <v>3288</v>
      </c>
      <c r="E1177" s="116">
        <v>0.6</v>
      </c>
      <c r="F1177" s="149" t="s">
        <v>768</v>
      </c>
      <c r="G1177" s="149" t="s">
        <v>768</v>
      </c>
      <c r="H1177" t="s">
        <v>39</v>
      </c>
      <c r="I1177" t="s">
        <v>703</v>
      </c>
      <c r="J1177" t="s">
        <v>873</v>
      </c>
      <c r="K1177" t="s">
        <v>535</v>
      </c>
      <c r="L1177" s="160"/>
      <c r="M1177" s="48"/>
      <c r="N1177" s="123"/>
    </row>
    <row r="1178" spans="1:14" customFormat="1" x14ac:dyDescent="0.55000000000000004">
      <c r="A1178" s="65" t="s">
        <v>872</v>
      </c>
      <c r="B1178" t="s">
        <v>323</v>
      </c>
      <c r="C1178" t="s">
        <v>125</v>
      </c>
      <c r="D1178" t="s">
        <v>3288</v>
      </c>
      <c r="E1178" s="116">
        <v>0.75</v>
      </c>
      <c r="F1178" s="149" t="s">
        <v>768</v>
      </c>
      <c r="G1178" s="149" t="s">
        <v>768</v>
      </c>
      <c r="H1178" t="s">
        <v>39</v>
      </c>
      <c r="I1178" t="s">
        <v>703</v>
      </c>
      <c r="J1178" t="s">
        <v>873</v>
      </c>
      <c r="K1178" t="s">
        <v>535</v>
      </c>
      <c r="L1178" s="160"/>
      <c r="M1178" s="48"/>
      <c r="N1178" s="123"/>
    </row>
    <row r="1179" spans="1:14" customFormat="1" x14ac:dyDescent="0.55000000000000004">
      <c r="A1179" s="65" t="s">
        <v>872</v>
      </c>
      <c r="B1179" t="s">
        <v>316</v>
      </c>
      <c r="C1179" t="s">
        <v>132</v>
      </c>
      <c r="D1179" t="s">
        <v>3288</v>
      </c>
      <c r="E1179" s="116">
        <v>0.04</v>
      </c>
      <c r="F1179" s="149" t="s">
        <v>768</v>
      </c>
      <c r="G1179" s="149" t="s">
        <v>768</v>
      </c>
      <c r="H1179" t="s">
        <v>39</v>
      </c>
      <c r="I1179" t="s">
        <v>705</v>
      </c>
      <c r="J1179" t="s">
        <v>873</v>
      </c>
      <c r="K1179">
        <v>68</v>
      </c>
      <c r="L1179" s="160"/>
      <c r="M1179" s="48"/>
      <c r="N1179" s="123"/>
    </row>
    <row r="1180" spans="1:14" customFormat="1" x14ac:dyDescent="0.55000000000000004">
      <c r="A1180" s="65" t="s">
        <v>872</v>
      </c>
      <c r="B1180" t="s">
        <v>293</v>
      </c>
      <c r="C1180" t="s">
        <v>348</v>
      </c>
      <c r="D1180" t="s">
        <v>3288</v>
      </c>
      <c r="E1180" s="116">
        <v>0.32</v>
      </c>
      <c r="F1180" s="149" t="s">
        <v>768</v>
      </c>
      <c r="G1180" s="149" t="s">
        <v>768</v>
      </c>
      <c r="H1180" t="s">
        <v>39</v>
      </c>
      <c r="I1180" t="s">
        <v>535</v>
      </c>
      <c r="J1180" t="s">
        <v>873</v>
      </c>
      <c r="K1180" t="s">
        <v>535</v>
      </c>
      <c r="L1180" s="160"/>
      <c r="M1180" s="48"/>
      <c r="N1180" s="123"/>
    </row>
    <row r="1181" spans="1:14" customFormat="1" x14ac:dyDescent="0.55000000000000004">
      <c r="A1181" s="65" t="s">
        <v>872</v>
      </c>
      <c r="B1181" t="s">
        <v>160</v>
      </c>
      <c r="C1181" t="s">
        <v>124</v>
      </c>
      <c r="D1181" t="s">
        <v>3288</v>
      </c>
      <c r="E1181" s="116">
        <v>0.54</v>
      </c>
      <c r="F1181" s="149" t="s">
        <v>768</v>
      </c>
      <c r="G1181" s="149" t="s">
        <v>768</v>
      </c>
      <c r="H1181" t="s">
        <v>39</v>
      </c>
      <c r="I1181" t="s">
        <v>535</v>
      </c>
      <c r="J1181" t="s">
        <v>873</v>
      </c>
      <c r="K1181">
        <v>67</v>
      </c>
      <c r="L1181" s="160"/>
      <c r="M1181" s="48"/>
      <c r="N1181" s="123"/>
    </row>
    <row r="1182" spans="1:14" customFormat="1" x14ac:dyDescent="0.55000000000000004">
      <c r="A1182" s="97" t="s">
        <v>870</v>
      </c>
      <c r="B1182" t="s">
        <v>781</v>
      </c>
      <c r="C1182" t="s">
        <v>121</v>
      </c>
      <c r="D1182" t="s">
        <v>3288</v>
      </c>
      <c r="E1182" s="116">
        <v>1</v>
      </c>
      <c r="F1182" s="149" t="s">
        <v>135</v>
      </c>
      <c r="G1182" s="149">
        <v>1</v>
      </c>
      <c r="H1182" t="s">
        <v>39</v>
      </c>
      <c r="I1182" t="s">
        <v>697</v>
      </c>
      <c r="J1182" t="s">
        <v>871</v>
      </c>
      <c r="K1182" t="s">
        <v>535</v>
      </c>
      <c r="L1182" s="160">
        <v>7601</v>
      </c>
      <c r="M1182" s="48"/>
      <c r="N1182" s="123"/>
    </row>
    <row r="1183" spans="1:14" customFormat="1" x14ac:dyDescent="0.55000000000000004">
      <c r="A1183" s="97" t="s">
        <v>870</v>
      </c>
      <c r="B1183" t="s">
        <v>757</v>
      </c>
      <c r="C1183" t="s">
        <v>125</v>
      </c>
      <c r="D1183" t="s">
        <v>3288</v>
      </c>
      <c r="E1183" s="116">
        <v>667</v>
      </c>
      <c r="F1183" s="149" t="s">
        <v>122</v>
      </c>
      <c r="G1183" s="149" t="s">
        <v>135</v>
      </c>
      <c r="H1183" t="s">
        <v>39</v>
      </c>
      <c r="I1183" t="s">
        <v>535</v>
      </c>
      <c r="J1183" t="s">
        <v>871</v>
      </c>
      <c r="K1183" t="s">
        <v>535</v>
      </c>
      <c r="L1183" s="160"/>
      <c r="M1183" s="48"/>
      <c r="N1183" s="123"/>
    </row>
    <row r="1184" spans="1:14" customFormat="1" x14ac:dyDescent="0.55000000000000004">
      <c r="A1184" s="97" t="s">
        <v>870</v>
      </c>
      <c r="B1184" t="s">
        <v>829</v>
      </c>
      <c r="C1184" t="s">
        <v>125</v>
      </c>
      <c r="D1184" t="s">
        <v>3288</v>
      </c>
      <c r="E1184" s="116">
        <v>127</v>
      </c>
      <c r="F1184" s="149" t="s">
        <v>122</v>
      </c>
      <c r="G1184" s="149" t="s">
        <v>135</v>
      </c>
      <c r="H1184" t="s">
        <v>39</v>
      </c>
      <c r="I1184" t="s">
        <v>701</v>
      </c>
      <c r="J1184" t="s">
        <v>871</v>
      </c>
      <c r="K1184">
        <v>67</v>
      </c>
      <c r="L1184" s="160"/>
      <c r="M1184" s="48"/>
      <c r="N1184" s="123"/>
    </row>
    <row r="1185" spans="1:14" customFormat="1" x14ac:dyDescent="0.55000000000000004">
      <c r="A1185" s="97" t="s">
        <v>870</v>
      </c>
      <c r="B1185" t="s">
        <v>830</v>
      </c>
      <c r="C1185" t="s">
        <v>125</v>
      </c>
      <c r="D1185" t="s">
        <v>3288</v>
      </c>
      <c r="E1185" s="116">
        <v>202</v>
      </c>
      <c r="F1185" s="149" t="s">
        <v>122</v>
      </c>
      <c r="G1185" s="149" t="s">
        <v>135</v>
      </c>
      <c r="H1185" t="s">
        <v>39</v>
      </c>
      <c r="I1185" t="s">
        <v>702</v>
      </c>
      <c r="J1185" t="s">
        <v>871</v>
      </c>
      <c r="K1185">
        <v>67</v>
      </c>
      <c r="L1185" s="160"/>
      <c r="M1185" s="48"/>
      <c r="N1185" s="123"/>
    </row>
    <row r="1186" spans="1:14" customFormat="1" x14ac:dyDescent="0.55000000000000004">
      <c r="A1186" s="97" t="s">
        <v>870</v>
      </c>
      <c r="B1186" t="s">
        <v>785</v>
      </c>
      <c r="C1186" t="s">
        <v>125</v>
      </c>
      <c r="D1186" t="s">
        <v>3288</v>
      </c>
      <c r="E1186" s="116">
        <v>20</v>
      </c>
      <c r="F1186" s="149" t="s">
        <v>122</v>
      </c>
      <c r="G1186" s="149" t="s">
        <v>135</v>
      </c>
      <c r="H1186" t="s">
        <v>39</v>
      </c>
      <c r="I1186" t="s">
        <v>703</v>
      </c>
      <c r="J1186" t="s">
        <v>871</v>
      </c>
      <c r="K1186" t="s">
        <v>535</v>
      </c>
      <c r="L1186" s="160"/>
      <c r="M1186" s="48"/>
      <c r="N1186" s="123"/>
    </row>
    <row r="1187" spans="1:14" customFormat="1" x14ac:dyDescent="0.55000000000000004">
      <c r="A1187" s="97" t="s">
        <v>870</v>
      </c>
      <c r="B1187" t="s">
        <v>153</v>
      </c>
      <c r="C1187" t="s">
        <v>127</v>
      </c>
      <c r="D1187" t="s">
        <v>2994</v>
      </c>
      <c r="E1187" s="116">
        <v>0.24099999999999999</v>
      </c>
      <c r="F1187" s="149" t="s">
        <v>138</v>
      </c>
      <c r="G1187" s="149" t="s">
        <v>135</v>
      </c>
      <c r="H1187" t="s">
        <v>39</v>
      </c>
      <c r="I1187" t="s">
        <v>703</v>
      </c>
      <c r="J1187" t="s">
        <v>871</v>
      </c>
      <c r="K1187" t="s">
        <v>535</v>
      </c>
      <c r="L1187" s="160"/>
      <c r="M1187" s="48"/>
      <c r="N1187" s="123"/>
    </row>
    <row r="1188" spans="1:14" customFormat="1" x14ac:dyDescent="0.55000000000000004">
      <c r="A1188" s="97" t="s">
        <v>870</v>
      </c>
      <c r="B1188" t="s">
        <v>171</v>
      </c>
      <c r="C1188" t="s">
        <v>127</v>
      </c>
      <c r="D1188" t="s">
        <v>2994</v>
      </c>
      <c r="E1188" s="116">
        <v>2.63</v>
      </c>
      <c r="F1188" s="149" t="s">
        <v>138</v>
      </c>
      <c r="G1188" s="149" t="s">
        <v>135</v>
      </c>
      <c r="H1188" t="s">
        <v>39</v>
      </c>
      <c r="I1188" t="s">
        <v>705</v>
      </c>
      <c r="J1188" t="s">
        <v>871</v>
      </c>
      <c r="K1188">
        <v>68</v>
      </c>
      <c r="L1188" s="160"/>
      <c r="M1188" s="48"/>
      <c r="N1188" s="123"/>
    </row>
    <row r="1189" spans="1:14" customFormat="1" x14ac:dyDescent="0.55000000000000004">
      <c r="A1189" s="97" t="s">
        <v>870</v>
      </c>
      <c r="B1189" t="s">
        <v>160</v>
      </c>
      <c r="C1189" t="s">
        <v>124</v>
      </c>
      <c r="D1189" t="s">
        <v>3288</v>
      </c>
      <c r="E1189" s="116">
        <v>0.14799999999999999</v>
      </c>
      <c r="F1189" s="149" t="s">
        <v>135</v>
      </c>
      <c r="G1189" s="149" t="s">
        <v>135</v>
      </c>
      <c r="H1189" t="s">
        <v>39</v>
      </c>
      <c r="I1189" t="s">
        <v>692</v>
      </c>
      <c r="J1189" t="s">
        <v>871</v>
      </c>
      <c r="K1189">
        <v>67</v>
      </c>
      <c r="L1189" s="160"/>
      <c r="M1189" s="48"/>
      <c r="N1189" s="123"/>
    </row>
    <row r="1190" spans="1:14" customFormat="1" x14ac:dyDescent="0.55000000000000004">
      <c r="A1190" s="65" t="s">
        <v>868</v>
      </c>
      <c r="B1190" t="s">
        <v>153</v>
      </c>
      <c r="C1190" t="s">
        <v>121</v>
      </c>
      <c r="D1190" t="s">
        <v>2994</v>
      </c>
      <c r="E1190" s="116">
        <v>3.15E-2</v>
      </c>
      <c r="F1190" s="149" t="s">
        <v>765</v>
      </c>
      <c r="G1190" s="149">
        <v>1</v>
      </c>
      <c r="H1190" t="s">
        <v>39</v>
      </c>
      <c r="I1190" t="s">
        <v>659</v>
      </c>
      <c r="J1190" t="s">
        <v>869</v>
      </c>
      <c r="K1190">
        <v>66</v>
      </c>
      <c r="L1190" s="160" t="s">
        <v>851</v>
      </c>
      <c r="M1190" s="48"/>
      <c r="N1190" s="123"/>
    </row>
    <row r="1191" spans="1:14" customFormat="1" x14ac:dyDescent="0.55000000000000004">
      <c r="A1191" s="65" t="s">
        <v>868</v>
      </c>
      <c r="B1191" t="s">
        <v>289</v>
      </c>
      <c r="C1191" t="s">
        <v>156</v>
      </c>
      <c r="D1191" t="s">
        <v>2994</v>
      </c>
      <c r="E1191" s="116">
        <v>5.3100000000000001E-2</v>
      </c>
      <c r="F1191" s="149" t="s">
        <v>765</v>
      </c>
      <c r="G1191" s="149" t="s">
        <v>765</v>
      </c>
      <c r="H1191" t="s">
        <v>39</v>
      </c>
      <c r="I1191" t="s">
        <v>689</v>
      </c>
      <c r="J1191" t="s">
        <v>869</v>
      </c>
      <c r="K1191">
        <v>66</v>
      </c>
      <c r="L1191" s="160"/>
      <c r="M1191" s="48"/>
      <c r="N1191" s="123"/>
    </row>
    <row r="1192" spans="1:14" customFormat="1" x14ac:dyDescent="0.55000000000000004">
      <c r="A1192" s="65" t="s">
        <v>868</v>
      </c>
      <c r="B1192" t="s">
        <v>796</v>
      </c>
      <c r="C1192" t="s">
        <v>156</v>
      </c>
      <c r="D1192" t="s">
        <v>2994</v>
      </c>
      <c r="E1192" s="116">
        <v>1.3899999999999999E-2</v>
      </c>
      <c r="F1192" s="149" t="s">
        <v>765</v>
      </c>
      <c r="G1192" s="149" t="s">
        <v>765</v>
      </c>
      <c r="H1192" t="s">
        <v>39</v>
      </c>
      <c r="I1192" t="s">
        <v>690</v>
      </c>
      <c r="J1192" t="s">
        <v>869</v>
      </c>
      <c r="K1192" t="s">
        <v>535</v>
      </c>
      <c r="L1192" s="160"/>
      <c r="M1192" s="48"/>
      <c r="N1192" s="123"/>
    </row>
    <row r="1193" spans="1:14" customFormat="1" x14ac:dyDescent="0.55000000000000004">
      <c r="A1193" s="65" t="s">
        <v>868</v>
      </c>
      <c r="B1193" t="s">
        <v>298</v>
      </c>
      <c r="C1193" t="s">
        <v>156</v>
      </c>
      <c r="D1193" t="s">
        <v>2994</v>
      </c>
      <c r="E1193" s="116">
        <v>6.4400000000000004E-3</v>
      </c>
      <c r="F1193" s="149" t="s">
        <v>765</v>
      </c>
      <c r="G1193" s="149" t="s">
        <v>765</v>
      </c>
      <c r="H1193" t="s">
        <v>39</v>
      </c>
      <c r="I1193" t="s">
        <v>692</v>
      </c>
      <c r="J1193" t="s">
        <v>869</v>
      </c>
      <c r="K1193">
        <v>67</v>
      </c>
      <c r="L1193" s="160"/>
      <c r="M1193" s="48"/>
      <c r="N1193" s="123"/>
    </row>
    <row r="1194" spans="1:14" customFormat="1" x14ac:dyDescent="0.55000000000000004">
      <c r="A1194" s="65" t="s">
        <v>868</v>
      </c>
      <c r="B1194" t="s">
        <v>171</v>
      </c>
      <c r="C1194" t="s">
        <v>127</v>
      </c>
      <c r="D1194" t="s">
        <v>2994</v>
      </c>
      <c r="E1194" s="116">
        <v>1.35E-2</v>
      </c>
      <c r="F1194" s="149" t="s">
        <v>765</v>
      </c>
      <c r="G1194" s="149" t="s">
        <v>765</v>
      </c>
      <c r="H1194" t="s">
        <v>39</v>
      </c>
      <c r="I1194" t="s">
        <v>693</v>
      </c>
      <c r="J1194" t="s">
        <v>869</v>
      </c>
      <c r="K1194" t="s">
        <v>535</v>
      </c>
      <c r="L1194" s="160"/>
      <c r="M1194" s="48"/>
      <c r="N1194" s="123"/>
    </row>
    <row r="1195" spans="1:14" customFormat="1" x14ac:dyDescent="0.55000000000000004">
      <c r="A1195" s="65" t="s">
        <v>868</v>
      </c>
      <c r="B1195" t="s">
        <v>160</v>
      </c>
      <c r="C1195" t="s">
        <v>124</v>
      </c>
      <c r="D1195" t="s">
        <v>3288</v>
      </c>
      <c r="E1195" s="116">
        <v>1.6799999999999999E-2</v>
      </c>
      <c r="F1195" s="149" t="s">
        <v>768</v>
      </c>
      <c r="G1195" s="149" t="s">
        <v>765</v>
      </c>
      <c r="H1195" t="s">
        <v>39</v>
      </c>
      <c r="I1195" t="s">
        <v>696</v>
      </c>
      <c r="J1195" t="s">
        <v>869</v>
      </c>
      <c r="K1195" t="s">
        <v>535</v>
      </c>
      <c r="L1195" s="160"/>
      <c r="M1195" s="48"/>
      <c r="N1195" s="123"/>
    </row>
    <row r="1196" spans="1:14" customFormat="1" x14ac:dyDescent="0.55000000000000004">
      <c r="A1196" s="65" t="s">
        <v>866</v>
      </c>
      <c r="B1196" t="s">
        <v>153</v>
      </c>
      <c r="C1196" t="s">
        <v>121</v>
      </c>
      <c r="D1196" t="s">
        <v>2994</v>
      </c>
      <c r="E1196" s="116">
        <v>3.1399999999999997E-2</v>
      </c>
      <c r="F1196" s="149" t="s">
        <v>765</v>
      </c>
      <c r="G1196" s="149">
        <v>1</v>
      </c>
      <c r="H1196" t="s">
        <v>39</v>
      </c>
      <c r="I1196" t="s">
        <v>685</v>
      </c>
      <c r="J1196" t="s">
        <v>867</v>
      </c>
      <c r="K1196">
        <v>66</v>
      </c>
      <c r="L1196" s="160" t="s">
        <v>851</v>
      </c>
      <c r="M1196" s="48"/>
      <c r="N1196" s="123"/>
    </row>
    <row r="1197" spans="1:14" customFormat="1" x14ac:dyDescent="0.55000000000000004">
      <c r="A1197" s="65" t="s">
        <v>866</v>
      </c>
      <c r="B1197" t="s">
        <v>289</v>
      </c>
      <c r="C1197" t="s">
        <v>156</v>
      </c>
      <c r="D1197" t="s">
        <v>2994</v>
      </c>
      <c r="E1197" s="116">
        <v>5.2499999999999998E-2</v>
      </c>
      <c r="F1197" s="149" t="s">
        <v>765</v>
      </c>
      <c r="G1197" s="149" t="s">
        <v>765</v>
      </c>
      <c r="H1197" t="s">
        <v>39</v>
      </c>
      <c r="I1197" t="s">
        <v>535</v>
      </c>
      <c r="J1197" t="s">
        <v>867</v>
      </c>
      <c r="K1197" t="s">
        <v>535</v>
      </c>
      <c r="L1197" s="160"/>
      <c r="M1197" s="48"/>
      <c r="N1197" s="123"/>
    </row>
    <row r="1198" spans="1:14" customFormat="1" x14ac:dyDescent="0.55000000000000004">
      <c r="A1198" s="65" t="s">
        <v>866</v>
      </c>
      <c r="B1198" t="s">
        <v>796</v>
      </c>
      <c r="C1198" t="s">
        <v>156</v>
      </c>
      <c r="D1198" t="s">
        <v>2994</v>
      </c>
      <c r="E1198" s="116">
        <v>1.1299999999999999E-2</v>
      </c>
      <c r="F1198" s="149" t="s">
        <v>765</v>
      </c>
      <c r="G1198" s="149" t="s">
        <v>765</v>
      </c>
      <c r="H1198" t="s">
        <v>39</v>
      </c>
      <c r="I1198" t="s">
        <v>659</v>
      </c>
      <c r="J1198" t="s">
        <v>867</v>
      </c>
      <c r="K1198" t="s">
        <v>535</v>
      </c>
      <c r="L1198" s="160"/>
      <c r="M1198" s="48"/>
      <c r="N1198" s="123"/>
    </row>
    <row r="1199" spans="1:14" customFormat="1" x14ac:dyDescent="0.55000000000000004">
      <c r="A1199" s="65" t="s">
        <v>866</v>
      </c>
      <c r="B1199" t="s">
        <v>298</v>
      </c>
      <c r="C1199" t="s">
        <v>156</v>
      </c>
      <c r="D1199" t="s">
        <v>2994</v>
      </c>
      <c r="E1199" s="116">
        <v>7.6600000000000001E-3</v>
      </c>
      <c r="F1199" s="149" t="s">
        <v>765</v>
      </c>
      <c r="G1199" s="149" t="s">
        <v>765</v>
      </c>
      <c r="H1199" t="s">
        <v>39</v>
      </c>
      <c r="I1199" t="s">
        <v>659</v>
      </c>
      <c r="J1199" t="s">
        <v>867</v>
      </c>
      <c r="K1199" t="s">
        <v>535</v>
      </c>
      <c r="L1199" s="160"/>
      <c r="M1199" s="48"/>
      <c r="N1199" s="123"/>
    </row>
    <row r="1200" spans="1:14" customFormat="1" x14ac:dyDescent="0.55000000000000004">
      <c r="A1200" s="65" t="s">
        <v>866</v>
      </c>
      <c r="B1200" t="s">
        <v>171</v>
      </c>
      <c r="C1200" t="s">
        <v>127</v>
      </c>
      <c r="D1200" t="s">
        <v>2994</v>
      </c>
      <c r="E1200" s="116">
        <v>1.0999999999999999E-2</v>
      </c>
      <c r="F1200" s="149" t="s">
        <v>765</v>
      </c>
      <c r="G1200" s="149" t="s">
        <v>765</v>
      </c>
      <c r="H1200" t="s">
        <v>39</v>
      </c>
      <c r="I1200" t="s">
        <v>659</v>
      </c>
      <c r="J1200" t="s">
        <v>867</v>
      </c>
      <c r="K1200" t="s">
        <v>535</v>
      </c>
      <c r="L1200" s="160"/>
      <c r="M1200" s="48"/>
      <c r="N1200" s="123"/>
    </row>
    <row r="1201" spans="1:14" customFormat="1" x14ac:dyDescent="0.55000000000000004">
      <c r="A1201" s="65" t="s">
        <v>866</v>
      </c>
      <c r="B1201" t="s">
        <v>160</v>
      </c>
      <c r="C1201" t="s">
        <v>124</v>
      </c>
      <c r="D1201" t="s">
        <v>3288</v>
      </c>
      <c r="E1201" s="116">
        <v>1.5599999999999999E-2</v>
      </c>
      <c r="F1201" s="149" t="s">
        <v>768</v>
      </c>
      <c r="G1201" s="149" t="s">
        <v>765</v>
      </c>
      <c r="H1201" t="s">
        <v>39</v>
      </c>
      <c r="I1201" t="s">
        <v>659</v>
      </c>
      <c r="J1201" t="s">
        <v>867</v>
      </c>
      <c r="K1201">
        <v>66</v>
      </c>
      <c r="L1201" s="160"/>
      <c r="M1201" s="48"/>
      <c r="N1201" s="123"/>
    </row>
    <row r="1202" spans="1:14" customFormat="1" x14ac:dyDescent="0.55000000000000004">
      <c r="A1202" s="54" t="s">
        <v>864</v>
      </c>
      <c r="B1202" t="s">
        <v>236</v>
      </c>
      <c r="C1202" t="s">
        <v>121</v>
      </c>
      <c r="D1202" t="s">
        <v>3288</v>
      </c>
      <c r="E1202" s="116">
        <v>1</v>
      </c>
      <c r="F1202" s="149" t="s">
        <v>135</v>
      </c>
      <c r="G1202" s="149">
        <v>1</v>
      </c>
      <c r="H1202" t="s">
        <v>39</v>
      </c>
      <c r="I1202" t="s">
        <v>678</v>
      </c>
      <c r="J1202" t="s">
        <v>865</v>
      </c>
      <c r="K1202" t="s">
        <v>535</v>
      </c>
      <c r="L1202" s="160">
        <v>2523</v>
      </c>
      <c r="M1202" s="48"/>
      <c r="N1202" s="123"/>
    </row>
    <row r="1203" spans="1:14" customFormat="1" x14ac:dyDescent="0.55000000000000004">
      <c r="A1203" s="54" t="s">
        <v>864</v>
      </c>
      <c r="B1203" t="s">
        <v>134</v>
      </c>
      <c r="C1203" t="s">
        <v>125</v>
      </c>
      <c r="D1203" t="s">
        <v>3288</v>
      </c>
      <c r="E1203" s="116">
        <v>0.46700000000000003</v>
      </c>
      <c r="F1203" s="149" t="s">
        <v>135</v>
      </c>
      <c r="G1203" s="149" t="s">
        <v>135</v>
      </c>
      <c r="H1203" t="s">
        <v>39</v>
      </c>
      <c r="I1203" t="s">
        <v>679</v>
      </c>
      <c r="J1203" t="s">
        <v>865</v>
      </c>
      <c r="K1203" t="s">
        <v>535</v>
      </c>
      <c r="L1203" s="160"/>
      <c r="M1203" s="48"/>
      <c r="N1203" s="123"/>
    </row>
    <row r="1204" spans="1:14" customFormat="1" x14ac:dyDescent="0.55000000000000004">
      <c r="A1204" s="54" t="s">
        <v>864</v>
      </c>
      <c r="B1204" t="s">
        <v>805</v>
      </c>
      <c r="C1204" t="s">
        <v>125</v>
      </c>
      <c r="D1204" t="s">
        <v>3288</v>
      </c>
      <c r="E1204" s="116">
        <v>0.36799999999999999</v>
      </c>
      <c r="F1204" s="149" t="s">
        <v>135</v>
      </c>
      <c r="G1204" s="149" t="s">
        <v>135</v>
      </c>
      <c r="H1204" t="s">
        <v>39</v>
      </c>
      <c r="I1204" t="s">
        <v>680</v>
      </c>
      <c r="J1204" t="s">
        <v>865</v>
      </c>
      <c r="K1204" t="s">
        <v>535</v>
      </c>
      <c r="L1204" s="160"/>
      <c r="M1204" s="48"/>
      <c r="N1204" s="123"/>
    </row>
    <row r="1205" spans="1:14" customFormat="1" x14ac:dyDescent="0.55000000000000004">
      <c r="A1205" s="54" t="s">
        <v>864</v>
      </c>
      <c r="B1205" t="s">
        <v>859</v>
      </c>
      <c r="C1205" t="s">
        <v>125</v>
      </c>
      <c r="D1205" t="s">
        <v>3288</v>
      </c>
      <c r="E1205" s="116">
        <v>4.1700000000000001E-2</v>
      </c>
      <c r="F1205" s="149" t="s">
        <v>135</v>
      </c>
      <c r="G1205" s="149" t="s">
        <v>135</v>
      </c>
      <c r="H1205" t="s">
        <v>39</v>
      </c>
      <c r="I1205" t="s">
        <v>682</v>
      </c>
      <c r="J1205" t="s">
        <v>865</v>
      </c>
      <c r="K1205">
        <v>66</v>
      </c>
      <c r="L1205" s="160"/>
      <c r="M1205" s="48"/>
      <c r="N1205" s="123"/>
    </row>
    <row r="1206" spans="1:14" customFormat="1" x14ac:dyDescent="0.55000000000000004">
      <c r="A1206" s="54" t="s">
        <v>864</v>
      </c>
      <c r="B1206" t="s">
        <v>131</v>
      </c>
      <c r="C1206" t="s">
        <v>132</v>
      </c>
      <c r="D1206" t="s">
        <v>3288</v>
      </c>
      <c r="E1206" s="116">
        <v>0.123</v>
      </c>
      <c r="F1206" s="149" t="s">
        <v>135</v>
      </c>
      <c r="G1206" s="149" t="s">
        <v>135</v>
      </c>
      <c r="H1206" t="s">
        <v>39</v>
      </c>
      <c r="I1206" t="s">
        <v>683</v>
      </c>
      <c r="J1206" t="s">
        <v>865</v>
      </c>
      <c r="K1206">
        <v>66</v>
      </c>
      <c r="L1206" s="160"/>
      <c r="M1206" s="48"/>
      <c r="N1206" s="123"/>
    </row>
    <row r="1207" spans="1:14" customFormat="1" x14ac:dyDescent="0.55000000000000004">
      <c r="A1207" s="54" t="s">
        <v>864</v>
      </c>
      <c r="B1207" t="s">
        <v>153</v>
      </c>
      <c r="C1207" t="s">
        <v>127</v>
      </c>
      <c r="D1207" t="s">
        <v>2994</v>
      </c>
      <c r="E1207" s="116">
        <v>0.3</v>
      </c>
      <c r="F1207" s="149" t="s">
        <v>138</v>
      </c>
      <c r="G1207" s="149" t="s">
        <v>135</v>
      </c>
      <c r="H1207" t="s">
        <v>39</v>
      </c>
      <c r="I1207" t="s">
        <v>684</v>
      </c>
      <c r="J1207" t="s">
        <v>865</v>
      </c>
      <c r="K1207">
        <v>66</v>
      </c>
      <c r="L1207" s="160"/>
      <c r="M1207" s="48"/>
      <c r="N1207" s="123"/>
    </row>
    <row r="1208" spans="1:14" customFormat="1" x14ac:dyDescent="0.55000000000000004">
      <c r="A1208" s="54" t="s">
        <v>862</v>
      </c>
      <c r="B1208" t="s">
        <v>236</v>
      </c>
      <c r="C1208" t="s">
        <v>121</v>
      </c>
      <c r="D1208" t="s">
        <v>3288</v>
      </c>
      <c r="E1208" s="116">
        <v>1</v>
      </c>
      <c r="F1208" s="149" t="s">
        <v>135</v>
      </c>
      <c r="G1208" s="149">
        <v>1</v>
      </c>
      <c r="H1208" t="s">
        <v>39</v>
      </c>
      <c r="I1208" t="s">
        <v>659</v>
      </c>
      <c r="J1208" t="s">
        <v>863</v>
      </c>
      <c r="K1208" t="s">
        <v>535</v>
      </c>
      <c r="L1208" s="160">
        <v>2523</v>
      </c>
      <c r="M1208" s="48"/>
      <c r="N1208" s="123"/>
    </row>
    <row r="1209" spans="1:14" customFormat="1" x14ac:dyDescent="0.55000000000000004">
      <c r="A1209" s="54" t="s">
        <v>862</v>
      </c>
      <c r="B1209" t="s">
        <v>134</v>
      </c>
      <c r="C1209" t="s">
        <v>125</v>
      </c>
      <c r="D1209" t="s">
        <v>3288</v>
      </c>
      <c r="E1209" s="116">
        <v>0.312</v>
      </c>
      <c r="F1209" s="149" t="s">
        <v>135</v>
      </c>
      <c r="G1209" s="149" t="s">
        <v>135</v>
      </c>
      <c r="H1209" t="s">
        <v>39</v>
      </c>
      <c r="I1209" t="s">
        <v>659</v>
      </c>
      <c r="J1209" t="s">
        <v>863</v>
      </c>
      <c r="K1209" t="s">
        <v>535</v>
      </c>
      <c r="L1209" s="160"/>
      <c r="M1209" s="48"/>
      <c r="N1209" s="123"/>
    </row>
    <row r="1210" spans="1:14" customFormat="1" x14ac:dyDescent="0.55000000000000004">
      <c r="A1210" s="54" t="s">
        <v>862</v>
      </c>
      <c r="B1210" t="s">
        <v>805</v>
      </c>
      <c r="C1210" t="s">
        <v>125</v>
      </c>
      <c r="D1210" t="s">
        <v>3288</v>
      </c>
      <c r="E1210" s="116">
        <v>0.60399999999999998</v>
      </c>
      <c r="F1210" s="149" t="s">
        <v>135</v>
      </c>
      <c r="G1210" s="149" t="s">
        <v>135</v>
      </c>
      <c r="H1210" t="s">
        <v>39</v>
      </c>
      <c r="I1210" t="s">
        <v>659</v>
      </c>
      <c r="J1210" t="s">
        <v>863</v>
      </c>
      <c r="K1210">
        <v>64</v>
      </c>
      <c r="L1210" s="160"/>
      <c r="M1210" s="48"/>
      <c r="N1210" s="123"/>
    </row>
    <row r="1211" spans="1:14" customFormat="1" x14ac:dyDescent="0.55000000000000004">
      <c r="A1211" s="54" t="s">
        <v>862</v>
      </c>
      <c r="B1211" t="s">
        <v>859</v>
      </c>
      <c r="C1211" t="s">
        <v>125</v>
      </c>
      <c r="D1211" t="s">
        <v>3288</v>
      </c>
      <c r="E1211" s="116">
        <v>2.1000000000000001E-2</v>
      </c>
      <c r="F1211" s="149" t="s">
        <v>135</v>
      </c>
      <c r="G1211" s="149" t="s">
        <v>135</v>
      </c>
      <c r="H1211" t="s">
        <v>39</v>
      </c>
      <c r="I1211" t="s">
        <v>676</v>
      </c>
      <c r="J1211" t="s">
        <v>863</v>
      </c>
      <c r="K1211">
        <v>64</v>
      </c>
      <c r="L1211" s="160"/>
      <c r="M1211" s="48"/>
      <c r="N1211" s="123"/>
    </row>
    <row r="1212" spans="1:14" customFormat="1" x14ac:dyDescent="0.55000000000000004">
      <c r="A1212" s="54" t="s">
        <v>862</v>
      </c>
      <c r="B1212" t="s">
        <v>131</v>
      </c>
      <c r="C1212" t="s">
        <v>132</v>
      </c>
      <c r="D1212" t="s">
        <v>3288</v>
      </c>
      <c r="E1212" s="116">
        <v>6.3E-2</v>
      </c>
      <c r="F1212" s="149" t="s">
        <v>135</v>
      </c>
      <c r="G1212" s="149" t="s">
        <v>135</v>
      </c>
      <c r="H1212" t="s">
        <v>39</v>
      </c>
      <c r="I1212" t="s">
        <v>677</v>
      </c>
      <c r="J1212" t="s">
        <v>863</v>
      </c>
      <c r="K1212" t="s">
        <v>535</v>
      </c>
      <c r="L1212" s="160"/>
      <c r="M1212" s="48"/>
      <c r="N1212" s="123"/>
    </row>
    <row r="1213" spans="1:14" customFormat="1" x14ac:dyDescent="0.55000000000000004">
      <c r="A1213" s="54" t="s">
        <v>862</v>
      </c>
      <c r="B1213" t="s">
        <v>153</v>
      </c>
      <c r="C1213" t="s">
        <v>127</v>
      </c>
      <c r="D1213" t="s">
        <v>2994</v>
      </c>
      <c r="E1213" s="116">
        <v>0.27500000000000002</v>
      </c>
      <c r="F1213" s="149" t="s">
        <v>138</v>
      </c>
      <c r="G1213" s="149" t="s">
        <v>135</v>
      </c>
      <c r="H1213" t="s">
        <v>39</v>
      </c>
      <c r="I1213" t="s">
        <v>535</v>
      </c>
      <c r="J1213" t="s">
        <v>863</v>
      </c>
      <c r="K1213" t="s">
        <v>535</v>
      </c>
      <c r="L1213" s="160"/>
      <c r="M1213" s="48"/>
      <c r="N1213" s="123"/>
    </row>
    <row r="1214" spans="1:14" customFormat="1" x14ac:dyDescent="0.55000000000000004">
      <c r="A1214" s="54" t="s">
        <v>860</v>
      </c>
      <c r="B1214" t="s">
        <v>236</v>
      </c>
      <c r="C1214" t="s">
        <v>121</v>
      </c>
      <c r="D1214" t="s">
        <v>3288</v>
      </c>
      <c r="E1214" s="116">
        <v>1</v>
      </c>
      <c r="F1214" s="149" t="s">
        <v>135</v>
      </c>
      <c r="G1214" s="149">
        <v>1</v>
      </c>
      <c r="H1214" t="s">
        <v>39</v>
      </c>
      <c r="I1214" t="s">
        <v>670</v>
      </c>
      <c r="J1214" t="s">
        <v>861</v>
      </c>
      <c r="K1214" t="s">
        <v>535</v>
      </c>
      <c r="L1214" s="160">
        <v>2523</v>
      </c>
      <c r="M1214" s="48"/>
      <c r="N1214" s="123"/>
    </row>
    <row r="1215" spans="1:14" customFormat="1" x14ac:dyDescent="0.55000000000000004">
      <c r="A1215" s="54" t="s">
        <v>860</v>
      </c>
      <c r="B1215" t="s">
        <v>134</v>
      </c>
      <c r="C1215" t="s">
        <v>125</v>
      </c>
      <c r="D1215" t="s">
        <v>3288</v>
      </c>
      <c r="E1215" s="116">
        <v>0.312</v>
      </c>
      <c r="F1215" s="149" t="s">
        <v>135</v>
      </c>
      <c r="G1215" s="149" t="s">
        <v>135</v>
      </c>
      <c r="H1215" t="s">
        <v>39</v>
      </c>
      <c r="I1215" t="s">
        <v>671</v>
      </c>
      <c r="J1215" t="s">
        <v>861</v>
      </c>
      <c r="K1215">
        <v>64</v>
      </c>
      <c r="L1215" s="160"/>
      <c r="M1215" s="48"/>
      <c r="N1215" s="123"/>
    </row>
    <row r="1216" spans="1:14" customFormat="1" x14ac:dyDescent="0.55000000000000004">
      <c r="A1216" s="54" t="s">
        <v>860</v>
      </c>
      <c r="B1216" t="s">
        <v>805</v>
      </c>
      <c r="C1216" t="s">
        <v>125</v>
      </c>
      <c r="D1216" t="s">
        <v>3288</v>
      </c>
      <c r="E1216" s="116">
        <v>0.60399999999999998</v>
      </c>
      <c r="F1216" s="149" t="s">
        <v>135</v>
      </c>
      <c r="G1216" s="149" t="s">
        <v>135</v>
      </c>
      <c r="H1216" t="s">
        <v>39</v>
      </c>
      <c r="I1216" t="s">
        <v>673</v>
      </c>
      <c r="J1216" t="s">
        <v>861</v>
      </c>
      <c r="K1216">
        <v>64</v>
      </c>
      <c r="L1216" s="160"/>
      <c r="M1216" s="48"/>
      <c r="N1216" s="123"/>
    </row>
    <row r="1217" spans="1:14" customFormat="1" x14ac:dyDescent="0.55000000000000004">
      <c r="A1217" s="54" t="s">
        <v>860</v>
      </c>
      <c r="B1217" t="s">
        <v>859</v>
      </c>
      <c r="C1217" t="s">
        <v>125</v>
      </c>
      <c r="D1217" t="s">
        <v>3288</v>
      </c>
      <c r="E1217" s="116">
        <v>2.1000000000000001E-2</v>
      </c>
      <c r="F1217" s="149" t="s">
        <v>135</v>
      </c>
      <c r="G1217" s="149" t="s">
        <v>135</v>
      </c>
      <c r="H1217" t="s">
        <v>39</v>
      </c>
      <c r="I1217" t="s">
        <v>674</v>
      </c>
      <c r="J1217" t="s">
        <v>861</v>
      </c>
      <c r="K1217" t="s">
        <v>535</v>
      </c>
      <c r="L1217" s="160"/>
      <c r="M1217" s="48"/>
      <c r="N1217" s="123"/>
    </row>
    <row r="1218" spans="1:14" customFormat="1" x14ac:dyDescent="0.55000000000000004">
      <c r="A1218" s="54" t="s">
        <v>860</v>
      </c>
      <c r="B1218" t="s">
        <v>131</v>
      </c>
      <c r="C1218" t="s">
        <v>132</v>
      </c>
      <c r="D1218" t="s">
        <v>3288</v>
      </c>
      <c r="E1218" s="116">
        <v>6.3E-2</v>
      </c>
      <c r="F1218" s="149" t="s">
        <v>135</v>
      </c>
      <c r="G1218" s="149" t="s">
        <v>135</v>
      </c>
      <c r="H1218" t="s">
        <v>39</v>
      </c>
      <c r="I1218" t="s">
        <v>535</v>
      </c>
      <c r="J1218" t="s">
        <v>861</v>
      </c>
      <c r="K1218" t="s">
        <v>535</v>
      </c>
      <c r="L1218" s="160"/>
      <c r="M1218" s="48"/>
      <c r="N1218" s="123"/>
    </row>
    <row r="1219" spans="1:14" customFormat="1" x14ac:dyDescent="0.55000000000000004">
      <c r="A1219" s="54" t="s">
        <v>860</v>
      </c>
      <c r="B1219" t="s">
        <v>153</v>
      </c>
      <c r="C1219" t="s">
        <v>127</v>
      </c>
      <c r="D1219" t="s">
        <v>2994</v>
      </c>
      <c r="E1219" s="116">
        <v>0.187</v>
      </c>
      <c r="F1219" s="149" t="s">
        <v>138</v>
      </c>
      <c r="G1219" s="149" t="s">
        <v>135</v>
      </c>
      <c r="H1219" t="s">
        <v>39</v>
      </c>
      <c r="I1219" t="s">
        <v>659</v>
      </c>
      <c r="J1219" t="s">
        <v>861</v>
      </c>
      <c r="K1219" t="s">
        <v>535</v>
      </c>
      <c r="L1219" s="160"/>
      <c r="M1219" s="48"/>
      <c r="N1219" s="123"/>
    </row>
    <row r="1220" spans="1:14" customFormat="1" x14ac:dyDescent="0.55000000000000004">
      <c r="A1220" s="54" t="s">
        <v>857</v>
      </c>
      <c r="B1220" t="s">
        <v>236</v>
      </c>
      <c r="C1220" t="s">
        <v>121</v>
      </c>
      <c r="D1220" t="s">
        <v>3288</v>
      </c>
      <c r="E1220" s="116">
        <v>1</v>
      </c>
      <c r="F1220" s="149" t="s">
        <v>135</v>
      </c>
      <c r="G1220" s="149">
        <v>1</v>
      </c>
      <c r="H1220" t="s">
        <v>39</v>
      </c>
      <c r="I1220" t="s">
        <v>659</v>
      </c>
      <c r="J1220" t="s">
        <v>858</v>
      </c>
      <c r="K1220" t="s">
        <v>535</v>
      </c>
      <c r="L1220" s="160">
        <v>2523</v>
      </c>
      <c r="M1220" s="48"/>
      <c r="N1220" s="123"/>
    </row>
    <row r="1221" spans="1:14" customFormat="1" x14ac:dyDescent="0.55000000000000004">
      <c r="A1221" s="54" t="s">
        <v>857</v>
      </c>
      <c r="B1221" t="s">
        <v>134</v>
      </c>
      <c r="C1221" t="s">
        <v>125</v>
      </c>
      <c r="D1221" t="s">
        <v>3288</v>
      </c>
      <c r="E1221" s="116">
        <v>0.312</v>
      </c>
      <c r="F1221" s="149" t="s">
        <v>135</v>
      </c>
      <c r="G1221" s="149" t="s">
        <v>135</v>
      </c>
      <c r="H1221" t="s">
        <v>39</v>
      </c>
      <c r="I1221" t="s">
        <v>659</v>
      </c>
      <c r="J1221" t="s">
        <v>858</v>
      </c>
      <c r="K1221">
        <v>58</v>
      </c>
      <c r="L1221" s="160"/>
      <c r="M1221" s="48"/>
      <c r="N1221" s="123"/>
    </row>
    <row r="1222" spans="1:14" customFormat="1" x14ac:dyDescent="0.55000000000000004">
      <c r="A1222" s="54" t="s">
        <v>857</v>
      </c>
      <c r="B1222" t="s">
        <v>805</v>
      </c>
      <c r="C1222" t="s">
        <v>125</v>
      </c>
      <c r="D1222" t="s">
        <v>3288</v>
      </c>
      <c r="E1222" s="116">
        <v>0.60399999999999998</v>
      </c>
      <c r="F1222" s="149" t="s">
        <v>135</v>
      </c>
      <c r="G1222" s="149" t="s">
        <v>135</v>
      </c>
      <c r="H1222" t="s">
        <v>39</v>
      </c>
      <c r="I1222" t="s">
        <v>667</v>
      </c>
      <c r="J1222" t="s">
        <v>858</v>
      </c>
      <c r="K1222">
        <v>58</v>
      </c>
      <c r="L1222" s="160"/>
      <c r="M1222" s="48"/>
      <c r="N1222" s="123"/>
    </row>
    <row r="1223" spans="1:14" customFormat="1" x14ac:dyDescent="0.55000000000000004">
      <c r="A1223" s="54" t="s">
        <v>857</v>
      </c>
      <c r="B1223" t="s">
        <v>859</v>
      </c>
      <c r="C1223" t="s">
        <v>125</v>
      </c>
      <c r="D1223" t="s">
        <v>3288</v>
      </c>
      <c r="E1223" s="116">
        <v>2.1000000000000001E-2</v>
      </c>
      <c r="F1223" s="149" t="s">
        <v>135</v>
      </c>
      <c r="G1223" s="149" t="s">
        <v>135</v>
      </c>
      <c r="H1223" t="s">
        <v>39</v>
      </c>
      <c r="I1223" t="s">
        <v>535</v>
      </c>
      <c r="J1223" t="s">
        <v>858</v>
      </c>
      <c r="K1223" t="s">
        <v>535</v>
      </c>
      <c r="L1223" s="160"/>
      <c r="M1223" s="48"/>
      <c r="N1223" s="123"/>
    </row>
    <row r="1224" spans="1:14" customFormat="1" x14ac:dyDescent="0.55000000000000004">
      <c r="A1224" s="54" t="s">
        <v>857</v>
      </c>
      <c r="B1224" t="s">
        <v>131</v>
      </c>
      <c r="C1224" t="s">
        <v>132</v>
      </c>
      <c r="D1224" t="s">
        <v>3288</v>
      </c>
      <c r="E1224" s="116">
        <v>6.3E-2</v>
      </c>
      <c r="F1224" s="149" t="s">
        <v>135</v>
      </c>
      <c r="G1224" s="149" t="s">
        <v>135</v>
      </c>
      <c r="H1224" t="s">
        <v>39</v>
      </c>
      <c r="I1224" t="s">
        <v>668</v>
      </c>
      <c r="J1224" t="s">
        <v>858</v>
      </c>
      <c r="K1224" t="s">
        <v>535</v>
      </c>
      <c r="L1224" s="160"/>
      <c r="M1224" s="48"/>
      <c r="N1224" s="123"/>
    </row>
    <row r="1225" spans="1:14" customFormat="1" x14ac:dyDescent="0.55000000000000004">
      <c r="A1225" s="54" t="s">
        <v>857</v>
      </c>
      <c r="B1225" t="s">
        <v>153</v>
      </c>
      <c r="C1225" t="s">
        <v>127</v>
      </c>
      <c r="D1225" t="s">
        <v>2994</v>
      </c>
      <c r="E1225" s="116">
        <v>0.20899999999999999</v>
      </c>
      <c r="F1225" s="149" t="s">
        <v>138</v>
      </c>
      <c r="G1225" s="149" t="s">
        <v>135</v>
      </c>
      <c r="H1225" t="s">
        <v>39</v>
      </c>
      <c r="I1225" t="s">
        <v>669</v>
      </c>
      <c r="J1225" t="s">
        <v>858</v>
      </c>
      <c r="K1225" t="s">
        <v>535</v>
      </c>
      <c r="L1225" s="160"/>
      <c r="M1225" s="48"/>
      <c r="N1225" s="123"/>
    </row>
    <row r="1226" spans="1:14" customFormat="1" x14ac:dyDescent="0.55000000000000004">
      <c r="A1226" s="65" t="s">
        <v>855</v>
      </c>
      <c r="B1226" t="s">
        <v>153</v>
      </c>
      <c r="C1226" t="s">
        <v>121</v>
      </c>
      <c r="D1226" t="s">
        <v>2994</v>
      </c>
      <c r="E1226" s="116">
        <v>3.15E-2</v>
      </c>
      <c r="F1226" s="149" t="s">
        <v>765</v>
      </c>
      <c r="G1226" s="149">
        <v>1</v>
      </c>
      <c r="H1226" t="s">
        <v>39</v>
      </c>
      <c r="I1226" t="s">
        <v>535</v>
      </c>
      <c r="J1226" t="s">
        <v>856</v>
      </c>
      <c r="K1226" t="s">
        <v>535</v>
      </c>
      <c r="L1226" s="160" t="s">
        <v>851</v>
      </c>
      <c r="M1226" s="48"/>
      <c r="N1226" s="123"/>
    </row>
    <row r="1227" spans="1:14" customFormat="1" x14ac:dyDescent="0.55000000000000004">
      <c r="A1227" s="65" t="s">
        <v>855</v>
      </c>
      <c r="B1227" t="s">
        <v>847</v>
      </c>
      <c r="C1227" t="s">
        <v>127</v>
      </c>
      <c r="D1227" t="s">
        <v>2994</v>
      </c>
      <c r="E1227" s="116">
        <v>2.3E-2</v>
      </c>
      <c r="F1227" s="149" t="s">
        <v>765</v>
      </c>
      <c r="G1227" s="149" t="s">
        <v>765</v>
      </c>
      <c r="H1227" t="s">
        <v>39</v>
      </c>
      <c r="I1227" t="s">
        <v>659</v>
      </c>
      <c r="J1227" t="s">
        <v>856</v>
      </c>
      <c r="K1227">
        <v>58</v>
      </c>
      <c r="L1227" s="160"/>
      <c r="M1227" s="48"/>
      <c r="N1227" s="123"/>
    </row>
    <row r="1228" spans="1:14" customFormat="1" x14ac:dyDescent="0.55000000000000004">
      <c r="A1228" s="65" t="s">
        <v>855</v>
      </c>
      <c r="B1228" t="s">
        <v>796</v>
      </c>
      <c r="C1228" t="s">
        <v>156</v>
      </c>
      <c r="D1228" t="s">
        <v>2994</v>
      </c>
      <c r="E1228" s="116">
        <v>7.8899999999999998E-2</v>
      </c>
      <c r="F1228" s="149" t="s">
        <v>765</v>
      </c>
      <c r="G1228" s="149" t="s">
        <v>765</v>
      </c>
      <c r="H1228" t="s">
        <v>39</v>
      </c>
      <c r="I1228" t="s">
        <v>659</v>
      </c>
      <c r="J1228" t="s">
        <v>856</v>
      </c>
      <c r="K1228">
        <v>58</v>
      </c>
      <c r="L1228" s="160"/>
      <c r="M1228" s="48"/>
      <c r="N1228" s="123"/>
    </row>
    <row r="1229" spans="1:14" customFormat="1" x14ac:dyDescent="0.55000000000000004">
      <c r="A1229" s="65" t="s">
        <v>855</v>
      </c>
      <c r="B1229" t="s">
        <v>160</v>
      </c>
      <c r="C1229" t="s">
        <v>124</v>
      </c>
      <c r="D1229" t="s">
        <v>3288</v>
      </c>
      <c r="E1229" s="116">
        <v>1.5100000000000001E-2</v>
      </c>
      <c r="F1229" s="149" t="s">
        <v>768</v>
      </c>
      <c r="G1229" s="149" t="s">
        <v>765</v>
      </c>
      <c r="H1229" t="s">
        <v>39</v>
      </c>
      <c r="I1229" t="s">
        <v>659</v>
      </c>
      <c r="J1229" t="s">
        <v>856</v>
      </c>
      <c r="K1229">
        <v>58</v>
      </c>
      <c r="L1229" s="160"/>
      <c r="M1229" s="48"/>
      <c r="N1229" s="123"/>
    </row>
    <row r="1230" spans="1:14" customFormat="1" x14ac:dyDescent="0.55000000000000004">
      <c r="A1230" s="65" t="s">
        <v>853</v>
      </c>
      <c r="B1230" t="s">
        <v>153</v>
      </c>
      <c r="C1230" t="s">
        <v>121</v>
      </c>
      <c r="D1230" t="s">
        <v>2994</v>
      </c>
      <c r="E1230" s="116">
        <v>3.15E-2</v>
      </c>
      <c r="F1230" s="149" t="s">
        <v>765</v>
      </c>
      <c r="G1230" s="149">
        <v>1</v>
      </c>
      <c r="H1230" t="s">
        <v>39</v>
      </c>
      <c r="I1230" t="s">
        <v>659</v>
      </c>
      <c r="J1230" t="s">
        <v>854</v>
      </c>
      <c r="K1230" t="s">
        <v>535</v>
      </c>
      <c r="L1230" s="160" t="s">
        <v>851</v>
      </c>
      <c r="M1230" s="48"/>
      <c r="N1230" s="123"/>
    </row>
    <row r="1231" spans="1:14" customFormat="1" x14ac:dyDescent="0.55000000000000004">
      <c r="A1231" s="65" t="s">
        <v>853</v>
      </c>
      <c r="B1231" t="s">
        <v>847</v>
      </c>
      <c r="C1231" t="s">
        <v>127</v>
      </c>
      <c r="D1231" t="s">
        <v>2994</v>
      </c>
      <c r="E1231" s="116">
        <v>2.3E-2</v>
      </c>
      <c r="F1231" s="149" t="s">
        <v>765</v>
      </c>
      <c r="G1231" s="149" t="s">
        <v>765</v>
      </c>
      <c r="H1231" t="s">
        <v>39</v>
      </c>
      <c r="I1231" t="s">
        <v>662</v>
      </c>
      <c r="J1231" t="s">
        <v>854</v>
      </c>
      <c r="K1231">
        <v>62</v>
      </c>
      <c r="L1231" s="160"/>
      <c r="M1231" s="48"/>
      <c r="N1231" s="123"/>
    </row>
    <row r="1232" spans="1:14" customFormat="1" x14ac:dyDescent="0.55000000000000004">
      <c r="A1232" s="65" t="s">
        <v>853</v>
      </c>
      <c r="B1232" t="s">
        <v>289</v>
      </c>
      <c r="C1232" t="s">
        <v>156</v>
      </c>
      <c r="D1232" t="s">
        <v>2994</v>
      </c>
      <c r="E1232" s="116">
        <v>7.6899999999999996E-2</v>
      </c>
      <c r="F1232" s="149" t="s">
        <v>765</v>
      </c>
      <c r="G1232" s="149" t="s">
        <v>765</v>
      </c>
      <c r="H1232" t="s">
        <v>39</v>
      </c>
      <c r="I1232" t="s">
        <v>659</v>
      </c>
      <c r="J1232" t="s">
        <v>854</v>
      </c>
      <c r="K1232" t="s">
        <v>535</v>
      </c>
      <c r="L1232" s="160"/>
      <c r="M1232" s="48"/>
      <c r="N1232" s="123"/>
    </row>
    <row r="1233" spans="1:14" customFormat="1" x14ac:dyDescent="0.55000000000000004">
      <c r="A1233" s="65" t="s">
        <v>853</v>
      </c>
      <c r="B1233" t="s">
        <v>160</v>
      </c>
      <c r="C1233" t="s">
        <v>124</v>
      </c>
      <c r="D1233" t="s">
        <v>3288</v>
      </c>
      <c r="E1233" s="116">
        <v>1.9E-2</v>
      </c>
      <c r="F1233" s="149" t="s">
        <v>768</v>
      </c>
      <c r="G1233" s="149" t="s">
        <v>765</v>
      </c>
      <c r="H1233" t="s">
        <v>39</v>
      </c>
      <c r="I1233" t="s">
        <v>664</v>
      </c>
      <c r="J1233" t="s">
        <v>854</v>
      </c>
      <c r="K1233" t="s">
        <v>535</v>
      </c>
      <c r="L1233" s="160"/>
      <c r="M1233" s="48"/>
      <c r="N1233" s="123"/>
    </row>
    <row r="1234" spans="1:14" customFormat="1" x14ac:dyDescent="0.55000000000000004">
      <c r="A1234" s="65" t="s">
        <v>850</v>
      </c>
      <c r="B1234" t="s">
        <v>153</v>
      </c>
      <c r="C1234" t="s">
        <v>121</v>
      </c>
      <c r="D1234" t="s">
        <v>2994</v>
      </c>
      <c r="E1234" s="116">
        <v>3.1300000000000001E-2</v>
      </c>
      <c r="F1234" s="149" t="s">
        <v>765</v>
      </c>
      <c r="G1234" s="149">
        <v>1</v>
      </c>
      <c r="H1234" t="s">
        <v>39</v>
      </c>
      <c r="I1234" t="s">
        <v>535</v>
      </c>
      <c r="J1234" t="s">
        <v>852</v>
      </c>
      <c r="K1234" t="s">
        <v>535</v>
      </c>
      <c r="L1234" s="160" t="s">
        <v>851</v>
      </c>
      <c r="M1234" s="48"/>
      <c r="N1234" s="123"/>
    </row>
    <row r="1235" spans="1:14" customFormat="1" x14ac:dyDescent="0.55000000000000004">
      <c r="A1235" s="65" t="s">
        <v>850</v>
      </c>
      <c r="B1235" t="s">
        <v>847</v>
      </c>
      <c r="C1235" t="s">
        <v>127</v>
      </c>
      <c r="D1235" t="s">
        <v>2994</v>
      </c>
      <c r="E1235" s="116">
        <v>0.17499999999999999</v>
      </c>
      <c r="F1235" s="149" t="s">
        <v>765</v>
      </c>
      <c r="G1235" s="149" t="s">
        <v>765</v>
      </c>
      <c r="H1235" t="s">
        <v>39</v>
      </c>
      <c r="I1235" t="s">
        <v>659</v>
      </c>
      <c r="J1235" t="s">
        <v>852</v>
      </c>
      <c r="K1235">
        <v>58</v>
      </c>
      <c r="L1235" s="160"/>
      <c r="M1235" s="48"/>
      <c r="N1235" s="123"/>
    </row>
    <row r="1236" spans="1:14" customFormat="1" x14ac:dyDescent="0.55000000000000004">
      <c r="A1236" s="65" t="s">
        <v>850</v>
      </c>
      <c r="B1236" t="s">
        <v>171</v>
      </c>
      <c r="C1236" t="s">
        <v>127</v>
      </c>
      <c r="D1236" t="s">
        <v>2994</v>
      </c>
      <c r="E1236" s="116">
        <v>8.1299999999999997E-2</v>
      </c>
      <c r="F1236" s="149" t="s">
        <v>765</v>
      </c>
      <c r="G1236" s="149" t="s">
        <v>765</v>
      </c>
      <c r="H1236" t="s">
        <v>39</v>
      </c>
      <c r="I1236" t="s">
        <v>659</v>
      </c>
      <c r="J1236" t="s">
        <v>852</v>
      </c>
      <c r="K1236" t="s">
        <v>535</v>
      </c>
      <c r="L1236" s="160"/>
      <c r="M1236" s="48"/>
      <c r="N1236" s="123"/>
    </row>
    <row r="1237" spans="1:14" customFormat="1" x14ac:dyDescent="0.55000000000000004">
      <c r="A1237" s="65" t="s">
        <v>850</v>
      </c>
      <c r="B1237" t="s">
        <v>796</v>
      </c>
      <c r="C1237" t="s">
        <v>156</v>
      </c>
      <c r="D1237" t="s">
        <v>2994</v>
      </c>
      <c r="E1237" s="116">
        <v>8.5000000000000006E-2</v>
      </c>
      <c r="F1237" s="149" t="s">
        <v>765</v>
      </c>
      <c r="G1237" s="149" t="s">
        <v>765</v>
      </c>
      <c r="H1237" t="s">
        <v>39</v>
      </c>
      <c r="I1237" t="s">
        <v>660</v>
      </c>
      <c r="J1237" t="s">
        <v>852</v>
      </c>
      <c r="K1237" t="s">
        <v>535</v>
      </c>
      <c r="L1237" s="160"/>
      <c r="M1237" s="48"/>
      <c r="N1237" s="123"/>
    </row>
    <row r="1238" spans="1:14" customFormat="1" x14ac:dyDescent="0.55000000000000004">
      <c r="A1238" s="65" t="s">
        <v>850</v>
      </c>
      <c r="B1238" t="s">
        <v>289</v>
      </c>
      <c r="C1238" t="s">
        <v>156</v>
      </c>
      <c r="D1238" t="s">
        <v>2994</v>
      </c>
      <c r="E1238" s="116">
        <v>4.6199999999999998E-2</v>
      </c>
      <c r="F1238" s="149" t="s">
        <v>765</v>
      </c>
      <c r="G1238" s="149" t="s">
        <v>765</v>
      </c>
      <c r="H1238" t="s">
        <v>39</v>
      </c>
      <c r="I1238" t="s">
        <v>535</v>
      </c>
      <c r="J1238" t="s">
        <v>852</v>
      </c>
      <c r="K1238" t="s">
        <v>535</v>
      </c>
      <c r="L1238" s="160"/>
      <c r="M1238" s="48"/>
      <c r="N1238" s="123"/>
    </row>
    <row r="1239" spans="1:14" customFormat="1" x14ac:dyDescent="0.55000000000000004">
      <c r="A1239" s="65" t="s">
        <v>850</v>
      </c>
      <c r="B1239" t="s">
        <v>298</v>
      </c>
      <c r="C1239" t="s">
        <v>156</v>
      </c>
      <c r="D1239" t="s">
        <v>2994</v>
      </c>
      <c r="E1239" s="116">
        <v>2.5000000000000001E-2</v>
      </c>
      <c r="F1239" s="149" t="s">
        <v>765</v>
      </c>
      <c r="G1239" s="149" t="s">
        <v>765</v>
      </c>
      <c r="H1239" t="s">
        <v>39</v>
      </c>
      <c r="I1239" t="s">
        <v>659</v>
      </c>
      <c r="J1239" t="s">
        <v>852</v>
      </c>
      <c r="K1239">
        <v>58</v>
      </c>
      <c r="L1239" s="160"/>
      <c r="M1239" s="48"/>
      <c r="N1239" s="123"/>
    </row>
    <row r="1240" spans="1:14" customFormat="1" x14ac:dyDescent="0.55000000000000004">
      <c r="A1240" s="65" t="s">
        <v>850</v>
      </c>
      <c r="B1240" t="s">
        <v>160</v>
      </c>
      <c r="C1240" t="s">
        <v>124</v>
      </c>
      <c r="D1240" t="s">
        <v>3288</v>
      </c>
      <c r="E1240" s="116">
        <v>3.3399999999999999E-2</v>
      </c>
      <c r="F1240" s="149" t="s">
        <v>768</v>
      </c>
      <c r="G1240" s="149" t="s">
        <v>765</v>
      </c>
      <c r="H1240" t="s">
        <v>39</v>
      </c>
      <c r="I1240" t="s">
        <v>659</v>
      </c>
      <c r="J1240" t="s">
        <v>852</v>
      </c>
      <c r="K1240" t="s">
        <v>535</v>
      </c>
      <c r="L1240" s="160"/>
      <c r="M1240" s="48"/>
      <c r="N1240" s="123"/>
    </row>
    <row r="1241" spans="1:14" customFormat="1" x14ac:dyDescent="0.55000000000000004">
      <c r="A1241" s="65" t="s">
        <v>848</v>
      </c>
      <c r="B1241" t="s">
        <v>293</v>
      </c>
      <c r="C1241" t="s">
        <v>121</v>
      </c>
      <c r="D1241" t="s">
        <v>3288</v>
      </c>
      <c r="E1241" s="116">
        <v>1</v>
      </c>
      <c r="F1241" s="149" t="s">
        <v>768</v>
      </c>
      <c r="G1241" s="149">
        <v>1</v>
      </c>
      <c r="H1241" t="s">
        <v>39</v>
      </c>
      <c r="I1241" t="s">
        <v>644</v>
      </c>
      <c r="J1241" t="s">
        <v>849</v>
      </c>
      <c r="K1241">
        <v>58</v>
      </c>
      <c r="L1241" s="160">
        <v>2704</v>
      </c>
      <c r="M1241" s="48"/>
      <c r="N1241" s="123"/>
    </row>
    <row r="1242" spans="1:14" customFormat="1" x14ac:dyDescent="0.55000000000000004">
      <c r="A1242" s="65" t="s">
        <v>848</v>
      </c>
      <c r="B1242" t="s">
        <v>298</v>
      </c>
      <c r="C1242" t="s">
        <v>156</v>
      </c>
      <c r="D1242" t="s">
        <v>2994</v>
      </c>
      <c r="E1242" s="116">
        <v>7.23</v>
      </c>
      <c r="F1242" s="149" t="s">
        <v>765</v>
      </c>
      <c r="G1242" s="149" t="s">
        <v>768</v>
      </c>
      <c r="H1242" t="s">
        <v>39</v>
      </c>
      <c r="I1242" t="s">
        <v>645</v>
      </c>
      <c r="J1242" t="s">
        <v>849</v>
      </c>
      <c r="K1242" t="s">
        <v>535</v>
      </c>
      <c r="L1242" s="160"/>
      <c r="M1242" s="48"/>
      <c r="N1242" s="123"/>
    </row>
    <row r="1243" spans="1:14" customFormat="1" x14ac:dyDescent="0.55000000000000004">
      <c r="A1243" s="65" t="s">
        <v>848</v>
      </c>
      <c r="B1243" t="s">
        <v>845</v>
      </c>
      <c r="C1243" t="s">
        <v>156</v>
      </c>
      <c r="D1243" t="s">
        <v>3288</v>
      </c>
      <c r="E1243" s="116">
        <v>35.9</v>
      </c>
      <c r="F1243" s="149" t="s">
        <v>763</v>
      </c>
      <c r="G1243" s="149" t="s">
        <v>768</v>
      </c>
      <c r="H1243" t="s">
        <v>39</v>
      </c>
      <c r="I1243" t="s">
        <v>646</v>
      </c>
      <c r="J1243" t="s">
        <v>849</v>
      </c>
      <c r="K1243" t="s">
        <v>535</v>
      </c>
      <c r="L1243" s="160"/>
      <c r="M1243" s="48"/>
      <c r="N1243" s="123"/>
    </row>
    <row r="1244" spans="1:14" customFormat="1" x14ac:dyDescent="0.55000000000000004">
      <c r="A1244" s="65" t="s">
        <v>848</v>
      </c>
      <c r="B1244" t="s">
        <v>846</v>
      </c>
      <c r="C1244" t="s">
        <v>156</v>
      </c>
      <c r="D1244" t="s">
        <v>3288</v>
      </c>
      <c r="E1244" s="116">
        <v>11.8</v>
      </c>
      <c r="F1244" s="149" t="s">
        <v>763</v>
      </c>
      <c r="G1244" s="149" t="s">
        <v>768</v>
      </c>
      <c r="H1244" t="s">
        <v>39</v>
      </c>
      <c r="I1244" t="s">
        <v>535</v>
      </c>
      <c r="J1244" t="s">
        <v>849</v>
      </c>
      <c r="K1244" t="s">
        <v>535</v>
      </c>
      <c r="L1244" s="160"/>
      <c r="M1244" s="48"/>
      <c r="N1244" s="123"/>
    </row>
    <row r="1245" spans="1:14" customFormat="1" x14ac:dyDescent="0.55000000000000004">
      <c r="A1245" s="65" t="s">
        <v>848</v>
      </c>
      <c r="B1245" t="s">
        <v>847</v>
      </c>
      <c r="C1245" t="s">
        <v>127</v>
      </c>
      <c r="D1245" t="s">
        <v>2994</v>
      </c>
      <c r="E1245" s="116">
        <v>1.5</v>
      </c>
      <c r="F1245" s="149" t="s">
        <v>765</v>
      </c>
      <c r="G1245" s="149" t="s">
        <v>768</v>
      </c>
      <c r="H1245" t="s">
        <v>39</v>
      </c>
      <c r="I1245" t="s">
        <v>647</v>
      </c>
      <c r="J1245" t="s">
        <v>849</v>
      </c>
      <c r="K1245">
        <v>58</v>
      </c>
      <c r="L1245" s="160"/>
      <c r="M1245" s="48"/>
      <c r="N1245" s="123"/>
    </row>
    <row r="1246" spans="1:14" customFormat="1" x14ac:dyDescent="0.55000000000000004">
      <c r="A1246" s="65" t="s">
        <v>848</v>
      </c>
      <c r="B1246" t="s">
        <v>262</v>
      </c>
      <c r="C1246" t="s">
        <v>127</v>
      </c>
      <c r="D1246" t="s">
        <v>2994</v>
      </c>
      <c r="E1246" s="116">
        <v>36.700000000000003</v>
      </c>
      <c r="F1246" s="149" t="s">
        <v>765</v>
      </c>
      <c r="G1246" s="149" t="s">
        <v>768</v>
      </c>
      <c r="H1246" t="s">
        <v>39</v>
      </c>
      <c r="I1246" t="s">
        <v>652</v>
      </c>
      <c r="J1246" t="s">
        <v>849</v>
      </c>
      <c r="K1246">
        <v>58</v>
      </c>
      <c r="L1246" s="160"/>
      <c r="M1246" s="48"/>
      <c r="N1246" s="123"/>
    </row>
    <row r="1247" spans="1:14" customFormat="1" x14ac:dyDescent="0.55000000000000004">
      <c r="A1247" s="65" t="s">
        <v>848</v>
      </c>
      <c r="B1247" t="s">
        <v>298</v>
      </c>
      <c r="C1247" t="s">
        <v>156</v>
      </c>
      <c r="D1247" t="s">
        <v>2994</v>
      </c>
      <c r="E1247" s="116">
        <v>2.68</v>
      </c>
      <c r="F1247" s="149" t="s">
        <v>765</v>
      </c>
      <c r="G1247" s="149" t="s">
        <v>768</v>
      </c>
      <c r="H1247" t="s">
        <v>39</v>
      </c>
      <c r="I1247" t="s">
        <v>653</v>
      </c>
      <c r="J1247" t="s">
        <v>849</v>
      </c>
      <c r="K1247">
        <v>58</v>
      </c>
      <c r="L1247" s="160"/>
      <c r="M1247" s="48"/>
      <c r="N1247" s="123"/>
    </row>
    <row r="1248" spans="1:14" customFormat="1" x14ac:dyDescent="0.55000000000000004">
      <c r="A1248" s="65" t="s">
        <v>848</v>
      </c>
      <c r="B1248" t="s">
        <v>289</v>
      </c>
      <c r="C1248" t="s">
        <v>156</v>
      </c>
      <c r="D1248" t="s">
        <v>2994</v>
      </c>
      <c r="E1248" s="116">
        <v>0.81799999999999995</v>
      </c>
      <c r="F1248" s="149" t="s">
        <v>765</v>
      </c>
      <c r="G1248" s="149" t="s">
        <v>768</v>
      </c>
      <c r="H1248" t="s">
        <v>39</v>
      </c>
      <c r="I1248" t="s">
        <v>654</v>
      </c>
      <c r="J1248" t="s">
        <v>849</v>
      </c>
      <c r="K1248" t="s">
        <v>535</v>
      </c>
      <c r="L1248" s="160"/>
      <c r="M1248" s="48"/>
      <c r="N1248" s="123"/>
    </row>
    <row r="1249" spans="1:14" customFormat="1" x14ac:dyDescent="0.55000000000000004">
      <c r="A1249" s="65" t="s">
        <v>848</v>
      </c>
      <c r="B1249" t="s">
        <v>153</v>
      </c>
      <c r="C1249" t="s">
        <v>127</v>
      </c>
      <c r="D1249" t="s">
        <v>2994</v>
      </c>
      <c r="E1249" s="116">
        <v>0.13600000000000001</v>
      </c>
      <c r="F1249" s="149" t="s">
        <v>765</v>
      </c>
      <c r="G1249" s="149" t="s">
        <v>768</v>
      </c>
      <c r="H1249" t="s">
        <v>39</v>
      </c>
      <c r="I1249" t="s">
        <v>655</v>
      </c>
      <c r="J1249" t="s">
        <v>849</v>
      </c>
      <c r="K1249">
        <v>58</v>
      </c>
      <c r="L1249" s="160"/>
      <c r="M1249" s="48"/>
      <c r="N1249" s="123"/>
    </row>
    <row r="1250" spans="1:14" customFormat="1" x14ac:dyDescent="0.55000000000000004">
      <c r="A1250" s="65" t="s">
        <v>848</v>
      </c>
      <c r="B1250" t="s">
        <v>847</v>
      </c>
      <c r="C1250" t="s">
        <v>127</v>
      </c>
      <c r="D1250" t="s">
        <v>2994</v>
      </c>
      <c r="E1250" s="116">
        <v>0.43</v>
      </c>
      <c r="F1250" s="149" t="s">
        <v>765</v>
      </c>
      <c r="G1250" s="149" t="s">
        <v>768</v>
      </c>
      <c r="H1250" t="s">
        <v>39</v>
      </c>
      <c r="I1250" t="s">
        <v>656</v>
      </c>
      <c r="J1250" t="s">
        <v>849</v>
      </c>
      <c r="K1250">
        <v>58</v>
      </c>
      <c r="L1250" s="160"/>
      <c r="M1250" s="48"/>
      <c r="N1250" s="123"/>
    </row>
    <row r="1251" spans="1:14" customFormat="1" x14ac:dyDescent="0.55000000000000004">
      <c r="A1251" s="65" t="s">
        <v>848</v>
      </c>
      <c r="B1251" t="s">
        <v>160</v>
      </c>
      <c r="C1251" t="s">
        <v>124</v>
      </c>
      <c r="D1251" t="s">
        <v>3288</v>
      </c>
      <c r="E1251" s="116">
        <v>0.77500000000000002</v>
      </c>
      <c r="F1251" s="149" t="s">
        <v>768</v>
      </c>
      <c r="G1251" s="149" t="s">
        <v>768</v>
      </c>
      <c r="H1251" t="s">
        <v>39</v>
      </c>
      <c r="I1251" t="s">
        <v>657</v>
      </c>
      <c r="J1251" t="s">
        <v>849</v>
      </c>
      <c r="K1251">
        <v>58</v>
      </c>
      <c r="L1251" s="160"/>
      <c r="M1251" s="48"/>
      <c r="N1251" s="123"/>
    </row>
    <row r="1252" spans="1:14" customFormat="1" x14ac:dyDescent="0.55000000000000004">
      <c r="A1252" s="65" t="s">
        <v>843</v>
      </c>
      <c r="B1252" t="s">
        <v>293</v>
      </c>
      <c r="C1252" t="s">
        <v>121</v>
      </c>
      <c r="D1252" t="s">
        <v>3288</v>
      </c>
      <c r="E1252" s="116">
        <v>1</v>
      </c>
      <c r="F1252" s="149" t="s">
        <v>768</v>
      </c>
      <c r="G1252" s="149">
        <v>1</v>
      </c>
      <c r="H1252" t="s">
        <v>39</v>
      </c>
      <c r="I1252" t="s">
        <v>535</v>
      </c>
      <c r="J1252" t="s">
        <v>844</v>
      </c>
      <c r="K1252">
        <v>49</v>
      </c>
      <c r="L1252" s="160">
        <v>2704</v>
      </c>
      <c r="M1252" s="48"/>
      <c r="N1252" s="123"/>
    </row>
    <row r="1253" spans="1:14" customFormat="1" x14ac:dyDescent="0.55000000000000004">
      <c r="A1253" s="65" t="s">
        <v>843</v>
      </c>
      <c r="B1253" t="s">
        <v>298</v>
      </c>
      <c r="C1253" t="s">
        <v>156</v>
      </c>
      <c r="D1253" t="s">
        <v>2994</v>
      </c>
      <c r="E1253" s="116">
        <v>7.23</v>
      </c>
      <c r="F1253" s="149" t="s">
        <v>765</v>
      </c>
      <c r="G1253" s="149" t="s">
        <v>768</v>
      </c>
      <c r="H1253" t="s">
        <v>39</v>
      </c>
      <c r="I1253" t="s">
        <v>540</v>
      </c>
      <c r="J1253" t="s">
        <v>844</v>
      </c>
      <c r="K1253">
        <v>48</v>
      </c>
      <c r="L1253" s="160"/>
      <c r="M1253" s="48"/>
      <c r="N1253" s="123"/>
    </row>
    <row r="1254" spans="1:14" customFormat="1" x14ac:dyDescent="0.55000000000000004">
      <c r="A1254" s="65" t="s">
        <v>843</v>
      </c>
      <c r="B1254" t="s">
        <v>845</v>
      </c>
      <c r="C1254" t="s">
        <v>156</v>
      </c>
      <c r="D1254" t="s">
        <v>3288</v>
      </c>
      <c r="E1254" s="116">
        <v>35.9</v>
      </c>
      <c r="F1254" s="149" t="s">
        <v>763</v>
      </c>
      <c r="G1254" s="149" t="s">
        <v>768</v>
      </c>
      <c r="H1254" t="s">
        <v>39</v>
      </c>
      <c r="I1254" t="s">
        <v>594</v>
      </c>
      <c r="J1254" t="s">
        <v>844</v>
      </c>
      <c r="K1254" t="s">
        <v>535</v>
      </c>
      <c r="L1254" s="160"/>
      <c r="M1254" s="48"/>
      <c r="N1254" s="123"/>
    </row>
    <row r="1255" spans="1:14" customFormat="1" x14ac:dyDescent="0.55000000000000004">
      <c r="A1255" s="65" t="s">
        <v>843</v>
      </c>
      <c r="B1255" t="s">
        <v>846</v>
      </c>
      <c r="C1255" t="s">
        <v>156</v>
      </c>
      <c r="D1255" t="s">
        <v>3288</v>
      </c>
      <c r="E1255" s="116">
        <v>11.8</v>
      </c>
      <c r="F1255" s="149" t="s">
        <v>763</v>
      </c>
      <c r="G1255" s="149" t="s">
        <v>768</v>
      </c>
      <c r="H1255" t="s">
        <v>39</v>
      </c>
      <c r="I1255" t="s">
        <v>535</v>
      </c>
      <c r="J1255" t="s">
        <v>844</v>
      </c>
      <c r="K1255">
        <v>49</v>
      </c>
      <c r="L1255" s="160"/>
      <c r="M1255" s="48"/>
      <c r="N1255" s="123"/>
    </row>
    <row r="1256" spans="1:14" customFormat="1" x14ac:dyDescent="0.55000000000000004">
      <c r="A1256" s="65" t="s">
        <v>843</v>
      </c>
      <c r="B1256" t="s">
        <v>847</v>
      </c>
      <c r="C1256" t="s">
        <v>127</v>
      </c>
      <c r="D1256" t="s">
        <v>2994</v>
      </c>
      <c r="E1256" s="116">
        <v>1.5</v>
      </c>
      <c r="F1256" s="149" t="s">
        <v>765</v>
      </c>
      <c r="G1256" s="149" t="s">
        <v>768</v>
      </c>
      <c r="H1256" t="s">
        <v>39</v>
      </c>
      <c r="I1256" t="s">
        <v>638</v>
      </c>
      <c r="J1256" t="s">
        <v>844</v>
      </c>
      <c r="K1256">
        <v>49</v>
      </c>
      <c r="L1256" s="160"/>
      <c r="M1256" s="48"/>
      <c r="N1256" s="123"/>
    </row>
    <row r="1257" spans="1:14" customFormat="1" x14ac:dyDescent="0.55000000000000004">
      <c r="A1257" s="65" t="s">
        <v>843</v>
      </c>
      <c r="B1257" t="s">
        <v>262</v>
      </c>
      <c r="C1257" t="s">
        <v>127</v>
      </c>
      <c r="D1257" t="s">
        <v>2994</v>
      </c>
      <c r="E1257" s="116">
        <v>36.700000000000003</v>
      </c>
      <c r="F1257" s="149" t="s">
        <v>765</v>
      </c>
      <c r="G1257" s="149" t="s">
        <v>768</v>
      </c>
      <c r="H1257" t="s">
        <v>39</v>
      </c>
      <c r="I1257" t="s">
        <v>535</v>
      </c>
      <c r="J1257" t="s">
        <v>844</v>
      </c>
      <c r="K1257">
        <v>49</v>
      </c>
      <c r="L1257" s="160"/>
      <c r="M1257" s="48"/>
      <c r="N1257" s="123"/>
    </row>
    <row r="1258" spans="1:14" customFormat="1" x14ac:dyDescent="0.55000000000000004">
      <c r="A1258" s="65" t="s">
        <v>843</v>
      </c>
      <c r="B1258" t="s">
        <v>298</v>
      </c>
      <c r="C1258" t="s">
        <v>156</v>
      </c>
      <c r="D1258" t="s">
        <v>2994</v>
      </c>
      <c r="E1258" s="116">
        <v>2.68</v>
      </c>
      <c r="F1258" s="149" t="s">
        <v>765</v>
      </c>
      <c r="G1258" s="149" t="s">
        <v>768</v>
      </c>
      <c r="H1258" t="s">
        <v>39</v>
      </c>
      <c r="I1258" t="s">
        <v>535</v>
      </c>
      <c r="J1258" t="s">
        <v>844</v>
      </c>
      <c r="K1258">
        <v>49</v>
      </c>
      <c r="L1258" s="160"/>
      <c r="M1258" s="48"/>
      <c r="N1258" s="123"/>
    </row>
    <row r="1259" spans="1:14" customFormat="1" x14ac:dyDescent="0.55000000000000004">
      <c r="A1259" s="65" t="s">
        <v>843</v>
      </c>
      <c r="B1259" t="s">
        <v>171</v>
      </c>
      <c r="C1259" t="s">
        <v>127</v>
      </c>
      <c r="D1259" t="s">
        <v>2994</v>
      </c>
      <c r="E1259" s="116">
        <v>0.81799999999999995</v>
      </c>
      <c r="F1259" s="149" t="s">
        <v>765</v>
      </c>
      <c r="G1259" s="149" t="s">
        <v>768</v>
      </c>
      <c r="H1259" t="s">
        <v>39</v>
      </c>
      <c r="I1259" t="s">
        <v>535</v>
      </c>
      <c r="J1259" t="s">
        <v>844</v>
      </c>
      <c r="K1259" t="s">
        <v>535</v>
      </c>
      <c r="L1259" s="160"/>
      <c r="M1259" s="48"/>
      <c r="N1259" s="123"/>
    </row>
    <row r="1260" spans="1:14" customFormat="1" x14ac:dyDescent="0.55000000000000004">
      <c r="A1260" s="65" t="s">
        <v>843</v>
      </c>
      <c r="B1260" t="s">
        <v>153</v>
      </c>
      <c r="C1260" t="s">
        <v>127</v>
      </c>
      <c r="D1260" t="s">
        <v>2994</v>
      </c>
      <c r="E1260" s="116">
        <v>0.13600000000000001</v>
      </c>
      <c r="F1260" s="149" t="s">
        <v>765</v>
      </c>
      <c r="G1260" s="149" t="s">
        <v>768</v>
      </c>
      <c r="H1260" t="s">
        <v>39</v>
      </c>
      <c r="I1260" t="s">
        <v>640</v>
      </c>
      <c r="J1260" t="s">
        <v>844</v>
      </c>
      <c r="K1260">
        <v>58</v>
      </c>
      <c r="L1260" s="160"/>
      <c r="M1260" s="48"/>
      <c r="N1260" s="123"/>
    </row>
    <row r="1261" spans="1:14" customFormat="1" x14ac:dyDescent="0.55000000000000004">
      <c r="A1261" s="65" t="s">
        <v>843</v>
      </c>
      <c r="B1261" t="s">
        <v>847</v>
      </c>
      <c r="C1261" t="s">
        <v>127</v>
      </c>
      <c r="D1261" t="s">
        <v>2994</v>
      </c>
      <c r="E1261" s="116">
        <v>0.43</v>
      </c>
      <c r="F1261" s="149" t="s">
        <v>765</v>
      </c>
      <c r="G1261" s="149" t="s">
        <v>768</v>
      </c>
      <c r="H1261" t="s">
        <v>39</v>
      </c>
      <c r="I1261" t="s">
        <v>641</v>
      </c>
      <c r="J1261" t="s">
        <v>844</v>
      </c>
      <c r="K1261" t="s">
        <v>535</v>
      </c>
      <c r="L1261" s="160"/>
      <c r="M1261" s="48"/>
      <c r="N1261" s="123"/>
    </row>
    <row r="1262" spans="1:14" customFormat="1" x14ac:dyDescent="0.55000000000000004">
      <c r="A1262" s="65" t="s">
        <v>843</v>
      </c>
      <c r="B1262" t="s">
        <v>160</v>
      </c>
      <c r="C1262" t="s">
        <v>124</v>
      </c>
      <c r="D1262" t="s">
        <v>3288</v>
      </c>
      <c r="E1262" s="116">
        <v>0.63200000000000001</v>
      </c>
      <c r="F1262" s="149" t="s">
        <v>768</v>
      </c>
      <c r="G1262" s="149" t="s">
        <v>768</v>
      </c>
      <c r="H1262" t="s">
        <v>39</v>
      </c>
      <c r="I1262" t="s">
        <v>643</v>
      </c>
      <c r="J1262" t="s">
        <v>844</v>
      </c>
      <c r="K1262" t="s">
        <v>535</v>
      </c>
      <c r="L1262" s="160"/>
      <c r="M1262" s="48"/>
      <c r="N1262" s="123"/>
    </row>
    <row r="1263" spans="1:14" customFormat="1" x14ac:dyDescent="0.55000000000000004">
      <c r="A1263" s="65" t="s">
        <v>840</v>
      </c>
      <c r="B1263" t="s">
        <v>339</v>
      </c>
      <c r="C1263" t="s">
        <v>121</v>
      </c>
      <c r="D1263" t="s">
        <v>3288</v>
      </c>
      <c r="E1263" s="116">
        <v>1</v>
      </c>
      <c r="F1263" s="149" t="s">
        <v>768</v>
      </c>
      <c r="G1263" s="149">
        <v>1</v>
      </c>
      <c r="H1263" t="s">
        <v>39</v>
      </c>
      <c r="I1263" t="s">
        <v>535</v>
      </c>
      <c r="J1263" t="s">
        <v>841</v>
      </c>
      <c r="K1263">
        <v>49</v>
      </c>
      <c r="L1263" s="160">
        <v>7206</v>
      </c>
      <c r="M1263" s="48"/>
      <c r="N1263" s="123"/>
    </row>
    <row r="1264" spans="1:14" customFormat="1" x14ac:dyDescent="0.55000000000000004">
      <c r="A1264" s="65" t="s">
        <v>840</v>
      </c>
      <c r="B1264" t="s">
        <v>735</v>
      </c>
      <c r="C1264" t="s">
        <v>163</v>
      </c>
      <c r="D1264" t="s">
        <v>3288</v>
      </c>
      <c r="E1264" s="116">
        <v>9.9900000000000003E-2</v>
      </c>
      <c r="F1264" s="149" t="s">
        <v>768</v>
      </c>
      <c r="G1264" s="149" t="s">
        <v>768</v>
      </c>
      <c r="H1264" t="s">
        <v>39</v>
      </c>
      <c r="I1264" t="s">
        <v>540</v>
      </c>
      <c r="J1264" t="s">
        <v>841</v>
      </c>
      <c r="K1264">
        <v>48</v>
      </c>
      <c r="L1264" s="160"/>
      <c r="M1264" s="48"/>
      <c r="N1264" s="123"/>
    </row>
    <row r="1265" spans="1:14" customFormat="1" x14ac:dyDescent="0.55000000000000004">
      <c r="A1265" s="65" t="s">
        <v>840</v>
      </c>
      <c r="B1265" t="s">
        <v>842</v>
      </c>
      <c r="C1265" t="s">
        <v>125</v>
      </c>
      <c r="D1265" t="s">
        <v>3288</v>
      </c>
      <c r="E1265" s="116">
        <v>1.06</v>
      </c>
      <c r="F1265" s="149" t="s">
        <v>768</v>
      </c>
      <c r="G1265" s="149" t="s">
        <v>768</v>
      </c>
      <c r="H1265" t="s">
        <v>39</v>
      </c>
      <c r="I1265" t="s">
        <v>594</v>
      </c>
      <c r="J1265" t="s">
        <v>841</v>
      </c>
      <c r="K1265" t="s">
        <v>535</v>
      </c>
      <c r="L1265" s="160"/>
      <c r="M1265" s="48"/>
      <c r="N1265" s="123"/>
    </row>
    <row r="1266" spans="1:14" customFormat="1" x14ac:dyDescent="0.55000000000000004">
      <c r="A1266" s="65" t="s">
        <v>840</v>
      </c>
      <c r="B1266" t="s">
        <v>262</v>
      </c>
      <c r="C1266" t="s">
        <v>127</v>
      </c>
      <c r="D1266" t="s">
        <v>2994</v>
      </c>
      <c r="E1266" s="116">
        <v>0.78400000000000003</v>
      </c>
      <c r="F1266" s="149" t="s">
        <v>765</v>
      </c>
      <c r="G1266" s="149" t="s">
        <v>768</v>
      </c>
      <c r="H1266" t="s">
        <v>39</v>
      </c>
      <c r="I1266" t="s">
        <v>535</v>
      </c>
      <c r="J1266" t="s">
        <v>841</v>
      </c>
      <c r="K1266">
        <v>49</v>
      </c>
      <c r="L1266" s="160"/>
      <c r="M1266" s="48"/>
      <c r="N1266" s="123"/>
    </row>
    <row r="1267" spans="1:14" customFormat="1" x14ac:dyDescent="0.55000000000000004">
      <c r="A1267" s="65" t="s">
        <v>840</v>
      </c>
      <c r="B1267" t="s">
        <v>171</v>
      </c>
      <c r="C1267" t="s">
        <v>127</v>
      </c>
      <c r="D1267" t="s">
        <v>2994</v>
      </c>
      <c r="E1267" s="116">
        <v>0.46500000000000002</v>
      </c>
      <c r="F1267" s="149" t="s">
        <v>765</v>
      </c>
      <c r="G1267" s="149" t="s">
        <v>768</v>
      </c>
      <c r="H1267" t="s">
        <v>39</v>
      </c>
      <c r="I1267" t="s">
        <v>535</v>
      </c>
      <c r="J1267" t="s">
        <v>841</v>
      </c>
      <c r="K1267">
        <v>49</v>
      </c>
      <c r="L1267" s="160"/>
      <c r="M1267" s="48"/>
      <c r="N1267" s="123"/>
    </row>
    <row r="1268" spans="1:14" customFormat="1" x14ac:dyDescent="0.55000000000000004">
      <c r="A1268" s="65" t="s">
        <v>840</v>
      </c>
      <c r="B1268" t="s">
        <v>213</v>
      </c>
      <c r="C1268" t="s">
        <v>125</v>
      </c>
      <c r="D1268" t="s">
        <v>3288</v>
      </c>
      <c r="E1268" s="116">
        <v>59.7</v>
      </c>
      <c r="F1268" s="149" t="s">
        <v>763</v>
      </c>
      <c r="G1268" s="149" t="s">
        <v>768</v>
      </c>
      <c r="H1268" t="s">
        <v>39</v>
      </c>
      <c r="I1268" t="s">
        <v>535</v>
      </c>
      <c r="J1268" t="s">
        <v>841</v>
      </c>
      <c r="K1268">
        <v>49</v>
      </c>
      <c r="L1268" s="160"/>
      <c r="M1268" s="48"/>
      <c r="N1268" s="123"/>
    </row>
    <row r="1269" spans="1:14" customFormat="1" x14ac:dyDescent="0.55000000000000004">
      <c r="A1269" s="65" t="s">
        <v>840</v>
      </c>
      <c r="B1269" t="s">
        <v>316</v>
      </c>
      <c r="C1269" t="s">
        <v>132</v>
      </c>
      <c r="D1269" t="s">
        <v>3288</v>
      </c>
      <c r="E1269" s="116">
        <v>4.8999999999999998E-3</v>
      </c>
      <c r="F1269" s="149" t="s">
        <v>768</v>
      </c>
      <c r="G1269" s="149" t="s">
        <v>768</v>
      </c>
      <c r="H1269" t="s">
        <v>39</v>
      </c>
      <c r="I1269" t="s">
        <v>535</v>
      </c>
      <c r="J1269" t="s">
        <v>841</v>
      </c>
      <c r="K1269">
        <v>49</v>
      </c>
      <c r="L1269" s="160"/>
      <c r="M1269" s="48"/>
      <c r="N1269" s="123"/>
    </row>
    <row r="1270" spans="1:14" customFormat="1" x14ac:dyDescent="0.55000000000000004">
      <c r="A1270" s="65" t="s">
        <v>840</v>
      </c>
      <c r="B1270" t="s">
        <v>153</v>
      </c>
      <c r="C1270" t="s">
        <v>127</v>
      </c>
      <c r="D1270" t="s">
        <v>2994</v>
      </c>
      <c r="E1270" s="116">
        <v>1.8</v>
      </c>
      <c r="F1270" s="149" t="s">
        <v>765</v>
      </c>
      <c r="G1270" s="149" t="s">
        <v>768</v>
      </c>
      <c r="H1270" t="s">
        <v>39</v>
      </c>
      <c r="I1270" t="s">
        <v>636</v>
      </c>
      <c r="J1270" t="s">
        <v>841</v>
      </c>
      <c r="K1270">
        <v>49</v>
      </c>
      <c r="L1270" s="160"/>
      <c r="M1270" s="48"/>
      <c r="N1270" s="123"/>
    </row>
    <row r="1271" spans="1:14" customFormat="1" x14ac:dyDescent="0.55000000000000004">
      <c r="A1271" s="65" t="s">
        <v>840</v>
      </c>
      <c r="B1271" t="s">
        <v>131</v>
      </c>
      <c r="C1271" t="s">
        <v>125</v>
      </c>
      <c r="D1271" t="s">
        <v>3288</v>
      </c>
      <c r="E1271" s="116">
        <v>2.9399999999999999E-3</v>
      </c>
      <c r="F1271" s="149" t="s">
        <v>768</v>
      </c>
      <c r="G1271" s="149" t="s">
        <v>768</v>
      </c>
      <c r="H1271" t="s">
        <v>39</v>
      </c>
      <c r="I1271" t="s">
        <v>535</v>
      </c>
      <c r="J1271" t="s">
        <v>841</v>
      </c>
      <c r="K1271">
        <v>49</v>
      </c>
      <c r="L1271" s="160"/>
      <c r="M1271" s="48"/>
      <c r="N1271" s="123"/>
    </row>
    <row r="1272" spans="1:14" customFormat="1" x14ac:dyDescent="0.55000000000000004">
      <c r="A1272" s="65" t="s">
        <v>840</v>
      </c>
      <c r="B1272" t="s">
        <v>160</v>
      </c>
      <c r="C1272" t="s">
        <v>124</v>
      </c>
      <c r="D1272" t="s">
        <v>3288</v>
      </c>
      <c r="E1272" s="116">
        <v>0.10100000000000001</v>
      </c>
      <c r="F1272" s="149" t="s">
        <v>768</v>
      </c>
      <c r="G1272" s="149" t="s">
        <v>768</v>
      </c>
      <c r="H1272" t="s">
        <v>39</v>
      </c>
      <c r="I1272" t="s">
        <v>535</v>
      </c>
      <c r="J1272" t="s">
        <v>841</v>
      </c>
      <c r="K1272">
        <v>49</v>
      </c>
      <c r="L1272" s="160"/>
      <c r="M1272" s="48"/>
      <c r="N1272" s="123"/>
    </row>
    <row r="1273" spans="1:14" customFormat="1" x14ac:dyDescent="0.55000000000000004">
      <c r="A1273" s="65" t="s">
        <v>836</v>
      </c>
      <c r="B1273" t="s">
        <v>339</v>
      </c>
      <c r="C1273" t="s">
        <v>121</v>
      </c>
      <c r="D1273" t="s">
        <v>3288</v>
      </c>
      <c r="E1273" s="116">
        <v>1</v>
      </c>
      <c r="F1273" s="149" t="s">
        <v>768</v>
      </c>
      <c r="G1273" s="149">
        <v>1</v>
      </c>
      <c r="H1273" t="s">
        <v>39</v>
      </c>
      <c r="I1273" t="s">
        <v>535</v>
      </c>
      <c r="J1273" t="s">
        <v>837</v>
      </c>
      <c r="K1273">
        <v>49</v>
      </c>
      <c r="L1273" s="160">
        <v>7207</v>
      </c>
      <c r="M1273" s="48"/>
      <c r="N1273" s="123"/>
    </row>
    <row r="1274" spans="1:14" customFormat="1" x14ac:dyDescent="0.55000000000000004">
      <c r="A1274" s="65" t="s">
        <v>836</v>
      </c>
      <c r="B1274" t="s">
        <v>735</v>
      </c>
      <c r="C1274" t="s">
        <v>163</v>
      </c>
      <c r="D1274" t="s">
        <v>3288</v>
      </c>
      <c r="E1274" s="116">
        <v>0.21</v>
      </c>
      <c r="F1274" s="149" t="s">
        <v>768</v>
      </c>
      <c r="G1274" s="149" t="s">
        <v>768</v>
      </c>
      <c r="H1274" t="s">
        <v>39</v>
      </c>
      <c r="I1274" t="s">
        <v>540</v>
      </c>
      <c r="J1274" t="s">
        <v>837</v>
      </c>
      <c r="K1274">
        <v>48</v>
      </c>
      <c r="L1274" s="160"/>
      <c r="M1274" s="48"/>
      <c r="N1274" s="123"/>
    </row>
    <row r="1275" spans="1:14" customFormat="1" x14ac:dyDescent="0.55000000000000004">
      <c r="A1275" s="65" t="s">
        <v>836</v>
      </c>
      <c r="B1275" t="s">
        <v>315</v>
      </c>
      <c r="C1275" t="s">
        <v>125</v>
      </c>
      <c r="D1275" t="s">
        <v>3288</v>
      </c>
      <c r="E1275" s="116">
        <v>0.98</v>
      </c>
      <c r="F1275" s="149" t="s">
        <v>768</v>
      </c>
      <c r="G1275" s="149" t="s">
        <v>768</v>
      </c>
      <c r="H1275" t="s">
        <v>39</v>
      </c>
      <c r="I1275" t="s">
        <v>535</v>
      </c>
      <c r="J1275" t="s">
        <v>837</v>
      </c>
      <c r="K1275">
        <v>57</v>
      </c>
      <c r="L1275" s="160"/>
      <c r="M1275" s="48"/>
      <c r="N1275" s="123"/>
    </row>
    <row r="1276" spans="1:14" customFormat="1" x14ac:dyDescent="0.55000000000000004">
      <c r="A1276" s="65" t="s">
        <v>836</v>
      </c>
      <c r="B1276" t="s">
        <v>341</v>
      </c>
      <c r="C1276" t="s">
        <v>125</v>
      </c>
      <c r="D1276" t="s">
        <v>3288</v>
      </c>
      <c r="E1276" s="116">
        <v>0.12</v>
      </c>
      <c r="F1276" s="149" t="s">
        <v>768</v>
      </c>
      <c r="G1276" s="149" t="s">
        <v>768</v>
      </c>
      <c r="H1276" t="s">
        <v>39</v>
      </c>
      <c r="I1276" t="s">
        <v>535</v>
      </c>
      <c r="J1276" t="s">
        <v>837</v>
      </c>
      <c r="K1276">
        <v>57</v>
      </c>
      <c r="L1276" s="160"/>
      <c r="M1276" s="48"/>
      <c r="N1276" s="123"/>
    </row>
    <row r="1277" spans="1:14" customFormat="1" x14ac:dyDescent="0.55000000000000004">
      <c r="A1277" s="65" t="s">
        <v>836</v>
      </c>
      <c r="B1277" t="s">
        <v>213</v>
      </c>
      <c r="C1277" t="s">
        <v>125</v>
      </c>
      <c r="D1277" t="s">
        <v>3288</v>
      </c>
      <c r="E1277" s="116">
        <v>6.6400000000000001E-3</v>
      </c>
      <c r="F1277" s="149" t="s">
        <v>763</v>
      </c>
      <c r="G1277" s="149" t="s">
        <v>768</v>
      </c>
      <c r="H1277" t="s">
        <v>39</v>
      </c>
      <c r="I1277" t="s">
        <v>628</v>
      </c>
      <c r="J1277" t="s">
        <v>837</v>
      </c>
      <c r="K1277">
        <v>57</v>
      </c>
      <c r="L1277" s="160"/>
      <c r="M1277" s="48"/>
      <c r="N1277" s="123"/>
    </row>
    <row r="1278" spans="1:14" customFormat="1" x14ac:dyDescent="0.55000000000000004">
      <c r="A1278" s="65" t="s">
        <v>836</v>
      </c>
      <c r="B1278" t="s">
        <v>171</v>
      </c>
      <c r="C1278" t="s">
        <v>127</v>
      </c>
      <c r="D1278" t="s">
        <v>2994</v>
      </c>
      <c r="E1278" s="116">
        <v>0.77500000000000002</v>
      </c>
      <c r="F1278" s="149" t="s">
        <v>765</v>
      </c>
      <c r="G1278" s="149" t="s">
        <v>768</v>
      </c>
      <c r="H1278" t="s">
        <v>39</v>
      </c>
      <c r="I1278" t="s">
        <v>535</v>
      </c>
      <c r="J1278" t="s">
        <v>837</v>
      </c>
      <c r="K1278">
        <v>57</v>
      </c>
      <c r="L1278" s="160"/>
      <c r="M1278" s="48"/>
      <c r="N1278" s="123"/>
    </row>
    <row r="1279" spans="1:14" customFormat="1" x14ac:dyDescent="0.55000000000000004">
      <c r="A1279" s="65" t="s">
        <v>836</v>
      </c>
      <c r="B1279" t="s">
        <v>262</v>
      </c>
      <c r="C1279" t="s">
        <v>127</v>
      </c>
      <c r="D1279" t="s">
        <v>2994</v>
      </c>
      <c r="E1279" s="116">
        <v>0.75800000000000001</v>
      </c>
      <c r="F1279" s="149" t="s">
        <v>765</v>
      </c>
      <c r="G1279" s="149" t="s">
        <v>768</v>
      </c>
      <c r="H1279" t="s">
        <v>39</v>
      </c>
      <c r="I1279" t="s">
        <v>535</v>
      </c>
      <c r="J1279" t="s">
        <v>837</v>
      </c>
      <c r="K1279">
        <v>57</v>
      </c>
      <c r="L1279" s="160"/>
      <c r="M1279" s="48"/>
      <c r="N1279" s="123"/>
    </row>
    <row r="1280" spans="1:14" customFormat="1" x14ac:dyDescent="0.55000000000000004">
      <c r="A1280" s="65" t="s">
        <v>836</v>
      </c>
      <c r="B1280" t="s">
        <v>153</v>
      </c>
      <c r="C1280" t="s">
        <v>127</v>
      </c>
      <c r="D1280" t="s">
        <v>2994</v>
      </c>
      <c r="E1280" s="116">
        <v>2.0699999999999998</v>
      </c>
      <c r="F1280" s="149" t="s">
        <v>765</v>
      </c>
      <c r="G1280" s="149" t="s">
        <v>768</v>
      </c>
      <c r="H1280" t="s">
        <v>39</v>
      </c>
      <c r="I1280" t="s">
        <v>535</v>
      </c>
      <c r="J1280" t="s">
        <v>837</v>
      </c>
      <c r="K1280">
        <v>57</v>
      </c>
      <c r="L1280" s="160"/>
      <c r="M1280" s="48"/>
      <c r="N1280" s="123"/>
    </row>
    <row r="1281" spans="1:14" customFormat="1" x14ac:dyDescent="0.55000000000000004">
      <c r="A1281" s="65" t="s">
        <v>836</v>
      </c>
      <c r="B1281" t="s">
        <v>838</v>
      </c>
      <c r="C1281" t="s">
        <v>125</v>
      </c>
      <c r="D1281" t="s">
        <v>3288</v>
      </c>
      <c r="E1281" s="116">
        <v>0.19</v>
      </c>
      <c r="F1281" s="149" t="s">
        <v>768</v>
      </c>
      <c r="G1281" s="149" t="s">
        <v>768</v>
      </c>
      <c r="H1281" t="s">
        <v>39</v>
      </c>
      <c r="I1281" t="s">
        <v>535</v>
      </c>
      <c r="J1281" t="s">
        <v>837</v>
      </c>
      <c r="K1281">
        <v>49</v>
      </c>
      <c r="L1281" s="160"/>
      <c r="M1281" s="48"/>
      <c r="N1281" s="123"/>
    </row>
    <row r="1282" spans="1:14" customFormat="1" x14ac:dyDescent="0.55000000000000004">
      <c r="A1282" s="65" t="s">
        <v>836</v>
      </c>
      <c r="B1282" t="s">
        <v>131</v>
      </c>
      <c r="C1282" t="s">
        <v>125</v>
      </c>
      <c r="D1282" t="s">
        <v>3288</v>
      </c>
      <c r="E1282" s="116">
        <v>7.1499999999999994E-2</v>
      </c>
      <c r="F1282" s="149" t="s">
        <v>768</v>
      </c>
      <c r="G1282" s="149" t="s">
        <v>768</v>
      </c>
      <c r="H1282" t="s">
        <v>39</v>
      </c>
      <c r="I1282" t="s">
        <v>535</v>
      </c>
      <c r="J1282" t="s">
        <v>837</v>
      </c>
      <c r="K1282">
        <v>49</v>
      </c>
      <c r="L1282" s="160"/>
      <c r="M1282" s="48"/>
      <c r="N1282" s="123"/>
    </row>
    <row r="1283" spans="1:14" customFormat="1" x14ac:dyDescent="0.55000000000000004">
      <c r="A1283" s="65" t="s">
        <v>836</v>
      </c>
      <c r="B1283" t="s">
        <v>839</v>
      </c>
      <c r="C1283" t="s">
        <v>125</v>
      </c>
      <c r="D1283" t="s">
        <v>3288</v>
      </c>
      <c r="E1283" s="116">
        <v>2.5499999999999998E-2</v>
      </c>
      <c r="F1283" s="149" t="s">
        <v>768</v>
      </c>
      <c r="G1283" s="149" t="s">
        <v>768</v>
      </c>
      <c r="H1283" t="s">
        <v>39</v>
      </c>
      <c r="I1283" t="s">
        <v>630</v>
      </c>
      <c r="J1283" t="s">
        <v>837</v>
      </c>
      <c r="K1283">
        <v>49</v>
      </c>
      <c r="L1283" s="160"/>
      <c r="M1283" s="48"/>
      <c r="N1283" s="123"/>
    </row>
    <row r="1284" spans="1:14" customFormat="1" x14ac:dyDescent="0.55000000000000004">
      <c r="A1284" s="65" t="s">
        <v>836</v>
      </c>
      <c r="B1284" t="s">
        <v>154</v>
      </c>
      <c r="C1284" t="s">
        <v>132</v>
      </c>
      <c r="D1284" t="s">
        <v>3288</v>
      </c>
      <c r="E1284" s="116">
        <v>0.193</v>
      </c>
      <c r="F1284" s="149" t="s">
        <v>763</v>
      </c>
      <c r="G1284" s="149" t="s">
        <v>768</v>
      </c>
      <c r="H1284" t="s">
        <v>39</v>
      </c>
      <c r="I1284" t="s">
        <v>535</v>
      </c>
      <c r="J1284" t="s">
        <v>837</v>
      </c>
      <c r="K1284">
        <v>49</v>
      </c>
      <c r="L1284" s="160"/>
      <c r="M1284" s="48"/>
      <c r="N1284" s="123"/>
    </row>
    <row r="1285" spans="1:14" customFormat="1" x14ac:dyDescent="0.55000000000000004">
      <c r="A1285" s="65" t="s">
        <v>836</v>
      </c>
      <c r="B1285" t="s">
        <v>160</v>
      </c>
      <c r="C1285" t="s">
        <v>124</v>
      </c>
      <c r="D1285" t="s">
        <v>3288</v>
      </c>
      <c r="E1285" s="116">
        <v>0.12</v>
      </c>
      <c r="F1285" s="149" t="s">
        <v>768</v>
      </c>
      <c r="G1285" s="149" t="s">
        <v>768</v>
      </c>
      <c r="H1285" t="s">
        <v>39</v>
      </c>
      <c r="I1285" t="s">
        <v>633</v>
      </c>
      <c r="J1285" t="s">
        <v>837</v>
      </c>
      <c r="K1285">
        <v>49</v>
      </c>
      <c r="L1285" s="160"/>
      <c r="M1285" s="48"/>
      <c r="N1285" s="123"/>
    </row>
    <row r="1286" spans="1:14" customFormat="1" x14ac:dyDescent="0.55000000000000004">
      <c r="A1286" s="65" t="s">
        <v>834</v>
      </c>
      <c r="B1286" t="s">
        <v>805</v>
      </c>
      <c r="C1286" t="s">
        <v>121</v>
      </c>
      <c r="D1286" t="s">
        <v>3288</v>
      </c>
      <c r="E1286" s="116">
        <v>1</v>
      </c>
      <c r="F1286" s="149" t="s">
        <v>135</v>
      </c>
      <c r="G1286" s="149">
        <v>1</v>
      </c>
      <c r="H1286" t="s">
        <v>39</v>
      </c>
      <c r="I1286" t="s">
        <v>535</v>
      </c>
      <c r="J1286" t="s">
        <v>835</v>
      </c>
      <c r="K1286">
        <v>49</v>
      </c>
      <c r="L1286" s="160">
        <v>2619</v>
      </c>
      <c r="M1286" s="48"/>
      <c r="N1286" s="123"/>
    </row>
    <row r="1287" spans="1:14" customFormat="1" x14ac:dyDescent="0.55000000000000004">
      <c r="A1287" s="65" t="s">
        <v>834</v>
      </c>
      <c r="B1287" t="s">
        <v>826</v>
      </c>
      <c r="C1287" t="s">
        <v>127</v>
      </c>
      <c r="D1287" t="s">
        <v>2994</v>
      </c>
      <c r="E1287" s="116">
        <v>0.41399999999999998</v>
      </c>
      <c r="F1287" s="149" t="s">
        <v>138</v>
      </c>
      <c r="G1287" s="149" t="s">
        <v>135</v>
      </c>
      <c r="H1287" t="s">
        <v>39</v>
      </c>
      <c r="I1287" t="s">
        <v>535</v>
      </c>
      <c r="J1287" t="s">
        <v>835</v>
      </c>
      <c r="K1287" t="s">
        <v>535</v>
      </c>
      <c r="L1287" s="160"/>
      <c r="M1287" s="48"/>
      <c r="N1287" s="123"/>
    </row>
    <row r="1288" spans="1:14" customFormat="1" x14ac:dyDescent="0.55000000000000004">
      <c r="A1288" s="65" t="s">
        <v>834</v>
      </c>
      <c r="B1288" t="s">
        <v>807</v>
      </c>
      <c r="C1288" t="s">
        <v>163</v>
      </c>
      <c r="D1288" t="s">
        <v>3288</v>
      </c>
      <c r="E1288" s="116">
        <v>1.2</v>
      </c>
      <c r="F1288" s="149" t="s">
        <v>135</v>
      </c>
      <c r="G1288" s="149" t="s">
        <v>135</v>
      </c>
      <c r="H1288" t="s">
        <v>39</v>
      </c>
      <c r="I1288" t="s">
        <v>535</v>
      </c>
      <c r="J1288" t="s">
        <v>835</v>
      </c>
      <c r="K1288">
        <v>49</v>
      </c>
      <c r="L1288" s="160"/>
      <c r="M1288" s="48"/>
      <c r="N1288" s="123"/>
    </row>
    <row r="1289" spans="1:14" customFormat="1" x14ac:dyDescent="0.55000000000000004">
      <c r="A1289" s="97" t="s">
        <v>832</v>
      </c>
      <c r="B1289" t="s">
        <v>760</v>
      </c>
      <c r="C1289" t="s">
        <v>121</v>
      </c>
      <c r="D1289" t="s">
        <v>3288</v>
      </c>
      <c r="E1289" s="116">
        <v>1</v>
      </c>
      <c r="F1289" s="149" t="s">
        <v>135</v>
      </c>
      <c r="G1289" s="149">
        <v>1</v>
      </c>
      <c r="H1289" t="s">
        <v>39</v>
      </c>
      <c r="I1289" t="s">
        <v>535</v>
      </c>
      <c r="J1289" t="s">
        <v>833</v>
      </c>
      <c r="K1289">
        <v>49</v>
      </c>
      <c r="L1289" s="160">
        <v>8545</v>
      </c>
      <c r="M1289" s="48"/>
      <c r="N1289" s="123"/>
    </row>
    <row r="1290" spans="1:14" customFormat="1" x14ac:dyDescent="0.55000000000000004">
      <c r="A1290" s="97" t="s">
        <v>832</v>
      </c>
      <c r="B1290" t="s">
        <v>788</v>
      </c>
      <c r="C1290" t="s">
        <v>125</v>
      </c>
      <c r="D1290" t="s">
        <v>3288</v>
      </c>
      <c r="E1290" s="116">
        <v>696</v>
      </c>
      <c r="F1290" s="149" t="s">
        <v>122</v>
      </c>
      <c r="G1290" s="149" t="s">
        <v>135</v>
      </c>
      <c r="H1290" t="s">
        <v>39</v>
      </c>
      <c r="I1290" t="s">
        <v>535</v>
      </c>
      <c r="J1290" t="s">
        <v>833</v>
      </c>
      <c r="K1290">
        <v>56</v>
      </c>
      <c r="L1290" s="160"/>
      <c r="M1290" s="48"/>
      <c r="N1290" s="123"/>
    </row>
    <row r="1291" spans="1:14" customFormat="1" x14ac:dyDescent="0.55000000000000004">
      <c r="A1291" s="97" t="s">
        <v>832</v>
      </c>
      <c r="B1291" t="s">
        <v>789</v>
      </c>
      <c r="C1291" t="s">
        <v>156</v>
      </c>
      <c r="D1291" t="s">
        <v>3288</v>
      </c>
      <c r="E1291" s="116">
        <v>194</v>
      </c>
      <c r="F1291" s="149" t="s">
        <v>122</v>
      </c>
      <c r="G1291" s="149" t="s">
        <v>135</v>
      </c>
      <c r="H1291" t="s">
        <v>39</v>
      </c>
      <c r="I1291" t="s">
        <v>535</v>
      </c>
      <c r="J1291" t="s">
        <v>833</v>
      </c>
      <c r="K1291">
        <v>56</v>
      </c>
      <c r="L1291" s="160"/>
      <c r="M1291" s="48"/>
      <c r="N1291" s="123"/>
    </row>
    <row r="1292" spans="1:14" customFormat="1" x14ac:dyDescent="0.55000000000000004">
      <c r="A1292" s="97" t="s">
        <v>832</v>
      </c>
      <c r="B1292" t="s">
        <v>790</v>
      </c>
      <c r="C1292" t="s">
        <v>125</v>
      </c>
      <c r="D1292" t="s">
        <v>3288</v>
      </c>
      <c r="E1292" s="116">
        <v>147</v>
      </c>
      <c r="F1292" s="149" t="s">
        <v>122</v>
      </c>
      <c r="G1292" s="149" t="s">
        <v>135</v>
      </c>
      <c r="H1292" t="s">
        <v>39</v>
      </c>
      <c r="I1292" t="s">
        <v>624</v>
      </c>
      <c r="J1292" t="s">
        <v>833</v>
      </c>
      <c r="K1292">
        <v>49</v>
      </c>
      <c r="L1292" s="160"/>
      <c r="M1292" s="48"/>
      <c r="N1292" s="123"/>
    </row>
    <row r="1293" spans="1:14" customFormat="1" x14ac:dyDescent="0.55000000000000004">
      <c r="A1293" s="97" t="s">
        <v>832</v>
      </c>
      <c r="B1293" t="s">
        <v>153</v>
      </c>
      <c r="C1293" t="s">
        <v>127</v>
      </c>
      <c r="D1293" t="s">
        <v>2994</v>
      </c>
      <c r="E1293" s="116">
        <v>0.497</v>
      </c>
      <c r="F1293" s="149" t="s">
        <v>138</v>
      </c>
      <c r="G1293" s="149" t="s">
        <v>135</v>
      </c>
      <c r="H1293" t="s">
        <v>39</v>
      </c>
      <c r="I1293" t="s">
        <v>535</v>
      </c>
      <c r="J1293" t="s">
        <v>833</v>
      </c>
      <c r="K1293">
        <v>49</v>
      </c>
      <c r="L1293" s="160"/>
      <c r="M1293" s="48"/>
      <c r="N1293" s="123"/>
    </row>
    <row r="1294" spans="1:14" customFormat="1" x14ac:dyDescent="0.55000000000000004">
      <c r="A1294" s="97" t="s">
        <v>832</v>
      </c>
      <c r="B1294" t="s">
        <v>826</v>
      </c>
      <c r="C1294" t="s">
        <v>127</v>
      </c>
      <c r="D1294" t="s">
        <v>2994</v>
      </c>
      <c r="E1294" s="116">
        <v>3.67</v>
      </c>
      <c r="F1294" s="149" t="s">
        <v>138</v>
      </c>
      <c r="G1294" s="149" t="s">
        <v>135</v>
      </c>
      <c r="H1294" t="s">
        <v>39</v>
      </c>
      <c r="I1294" t="s">
        <v>535</v>
      </c>
      <c r="J1294" t="s">
        <v>833</v>
      </c>
      <c r="K1294">
        <v>49</v>
      </c>
      <c r="L1294" s="160"/>
      <c r="M1294" s="48"/>
      <c r="N1294" s="123"/>
    </row>
    <row r="1295" spans="1:14" customFormat="1" x14ac:dyDescent="0.55000000000000004">
      <c r="A1295" s="97" t="s">
        <v>832</v>
      </c>
      <c r="B1295" t="s">
        <v>160</v>
      </c>
      <c r="C1295" t="s">
        <v>124</v>
      </c>
      <c r="D1295" t="s">
        <v>3288</v>
      </c>
      <c r="E1295" s="116">
        <v>0.28599999999999998</v>
      </c>
      <c r="F1295" s="149" t="s">
        <v>135</v>
      </c>
      <c r="G1295" s="149" t="s">
        <v>135</v>
      </c>
      <c r="H1295" t="s">
        <v>39</v>
      </c>
      <c r="I1295" t="s">
        <v>535</v>
      </c>
      <c r="J1295" t="s">
        <v>833</v>
      </c>
      <c r="K1295">
        <v>49</v>
      </c>
      <c r="L1295" s="160"/>
      <c r="M1295" s="48"/>
      <c r="N1295" s="123"/>
    </row>
    <row r="1296" spans="1:14" customFormat="1" x14ac:dyDescent="0.55000000000000004">
      <c r="A1296" s="97" t="s">
        <v>827</v>
      </c>
      <c r="B1296" t="s">
        <v>781</v>
      </c>
      <c r="C1296" t="s">
        <v>121</v>
      </c>
      <c r="D1296" t="s">
        <v>3288</v>
      </c>
      <c r="E1296" s="116">
        <v>1</v>
      </c>
      <c r="F1296" s="149" t="s">
        <v>135</v>
      </c>
      <c r="G1296" s="149">
        <v>1</v>
      </c>
      <c r="H1296" t="s">
        <v>39</v>
      </c>
      <c r="I1296" t="s">
        <v>535</v>
      </c>
      <c r="J1296" t="s">
        <v>828</v>
      </c>
      <c r="K1296" t="s">
        <v>535</v>
      </c>
      <c r="L1296" s="160">
        <v>7601</v>
      </c>
      <c r="M1296" s="48"/>
      <c r="N1296" s="123"/>
    </row>
    <row r="1297" spans="1:14" customFormat="1" x14ac:dyDescent="0.55000000000000004">
      <c r="A1297" s="97" t="s">
        <v>827</v>
      </c>
      <c r="B1297" t="s">
        <v>757</v>
      </c>
      <c r="C1297" t="s">
        <v>125</v>
      </c>
      <c r="D1297" t="s">
        <v>3288</v>
      </c>
      <c r="E1297" s="116">
        <v>667</v>
      </c>
      <c r="F1297" s="149" t="s">
        <v>122</v>
      </c>
      <c r="G1297" s="149" t="s">
        <v>135</v>
      </c>
      <c r="H1297" t="s">
        <v>39</v>
      </c>
      <c r="I1297" t="s">
        <v>535</v>
      </c>
      <c r="J1297" t="s">
        <v>828</v>
      </c>
      <c r="K1297">
        <v>55</v>
      </c>
      <c r="L1297" s="160"/>
      <c r="M1297" s="48"/>
      <c r="N1297" s="123"/>
    </row>
    <row r="1298" spans="1:14" customFormat="1" x14ac:dyDescent="0.55000000000000004">
      <c r="A1298" s="97" t="s">
        <v>827</v>
      </c>
      <c r="B1298" t="s">
        <v>829</v>
      </c>
      <c r="C1298" t="s">
        <v>125</v>
      </c>
      <c r="D1298" t="s">
        <v>3288</v>
      </c>
      <c r="E1298" s="116">
        <v>127</v>
      </c>
      <c r="F1298" s="149" t="s">
        <v>122</v>
      </c>
      <c r="G1298" s="149" t="s">
        <v>135</v>
      </c>
      <c r="H1298" t="s">
        <v>39</v>
      </c>
      <c r="I1298" t="s">
        <v>535</v>
      </c>
      <c r="J1298" t="s">
        <v>828</v>
      </c>
      <c r="K1298">
        <v>55</v>
      </c>
      <c r="L1298" s="160"/>
      <c r="M1298" s="48"/>
      <c r="N1298" s="123"/>
    </row>
    <row r="1299" spans="1:14" customFormat="1" x14ac:dyDescent="0.55000000000000004">
      <c r="A1299" s="97" t="s">
        <v>827</v>
      </c>
      <c r="B1299" t="s">
        <v>830</v>
      </c>
      <c r="C1299" t="s">
        <v>125</v>
      </c>
      <c r="D1299" t="s">
        <v>3288</v>
      </c>
      <c r="E1299" s="116">
        <v>202</v>
      </c>
      <c r="F1299" s="149" t="s">
        <v>122</v>
      </c>
      <c r="G1299" s="149" t="s">
        <v>135</v>
      </c>
      <c r="H1299" t="s">
        <v>39</v>
      </c>
      <c r="I1299" t="s">
        <v>535</v>
      </c>
      <c r="J1299" t="s">
        <v>828</v>
      </c>
      <c r="K1299">
        <v>55</v>
      </c>
      <c r="L1299" s="160"/>
      <c r="M1299" s="48"/>
      <c r="N1299" s="123"/>
    </row>
    <row r="1300" spans="1:14" customFormat="1" x14ac:dyDescent="0.55000000000000004">
      <c r="A1300" s="97" t="s">
        <v>827</v>
      </c>
      <c r="B1300" t="s">
        <v>785</v>
      </c>
      <c r="C1300" t="s">
        <v>125</v>
      </c>
      <c r="D1300" t="s">
        <v>3288</v>
      </c>
      <c r="E1300" s="116">
        <v>20</v>
      </c>
      <c r="F1300" s="149" t="s">
        <v>122</v>
      </c>
      <c r="G1300" s="149" t="s">
        <v>135</v>
      </c>
      <c r="H1300" t="s">
        <v>39</v>
      </c>
      <c r="I1300" t="s">
        <v>622</v>
      </c>
      <c r="J1300" t="s">
        <v>828</v>
      </c>
      <c r="K1300">
        <v>55</v>
      </c>
      <c r="L1300" s="160"/>
      <c r="M1300" s="48"/>
      <c r="N1300" s="123"/>
    </row>
    <row r="1301" spans="1:14" customFormat="1" x14ac:dyDescent="0.55000000000000004">
      <c r="A1301" s="97" t="s">
        <v>827</v>
      </c>
      <c r="B1301" t="s">
        <v>153</v>
      </c>
      <c r="C1301" t="s">
        <v>127</v>
      </c>
      <c r="D1301" t="s">
        <v>2994</v>
      </c>
      <c r="E1301" s="116">
        <v>0.24099999999999999</v>
      </c>
      <c r="F1301" s="149" t="s">
        <v>138</v>
      </c>
      <c r="G1301" s="149" t="s">
        <v>135</v>
      </c>
      <c r="H1301" t="s">
        <v>39</v>
      </c>
      <c r="I1301" t="s">
        <v>540</v>
      </c>
      <c r="J1301" t="s">
        <v>828</v>
      </c>
      <c r="K1301">
        <v>48</v>
      </c>
      <c r="L1301" s="160"/>
      <c r="M1301" s="48"/>
      <c r="N1301" s="123"/>
    </row>
    <row r="1302" spans="1:14" customFormat="1" x14ac:dyDescent="0.55000000000000004">
      <c r="A1302" s="97" t="s">
        <v>827</v>
      </c>
      <c r="B1302" t="s">
        <v>826</v>
      </c>
      <c r="C1302" t="s">
        <v>127</v>
      </c>
      <c r="D1302" t="s">
        <v>2994</v>
      </c>
      <c r="E1302" s="116">
        <v>2.63</v>
      </c>
      <c r="F1302" s="149" t="s">
        <v>138</v>
      </c>
      <c r="G1302" s="149" t="s">
        <v>135</v>
      </c>
      <c r="H1302" t="s">
        <v>39</v>
      </c>
      <c r="I1302" t="s">
        <v>536</v>
      </c>
      <c r="J1302" t="s">
        <v>828</v>
      </c>
      <c r="K1302" t="s">
        <v>535</v>
      </c>
      <c r="L1302" s="160"/>
      <c r="M1302" s="48"/>
      <c r="N1302" s="123"/>
    </row>
    <row r="1303" spans="1:14" customFormat="1" x14ac:dyDescent="0.55000000000000004">
      <c r="A1303" s="97" t="s">
        <v>824</v>
      </c>
      <c r="B1303" t="s">
        <v>781</v>
      </c>
      <c r="C1303" t="s">
        <v>121</v>
      </c>
      <c r="D1303" t="s">
        <v>3288</v>
      </c>
      <c r="E1303" s="116">
        <v>1</v>
      </c>
      <c r="F1303" s="149" t="s">
        <v>135</v>
      </c>
      <c r="G1303" s="149">
        <v>1</v>
      </c>
      <c r="H1303" t="s">
        <v>39</v>
      </c>
      <c r="I1303" t="s">
        <v>535</v>
      </c>
      <c r="J1303" t="s">
        <v>825</v>
      </c>
      <c r="K1303">
        <v>48</v>
      </c>
      <c r="L1303" s="160">
        <v>7601</v>
      </c>
      <c r="M1303" s="48"/>
      <c r="N1303" s="123"/>
    </row>
    <row r="1304" spans="1:14" customFormat="1" x14ac:dyDescent="0.55000000000000004">
      <c r="A1304" s="97" t="s">
        <v>824</v>
      </c>
      <c r="B1304" t="s">
        <v>783</v>
      </c>
      <c r="C1304" t="s">
        <v>125</v>
      </c>
      <c r="D1304" t="s">
        <v>3288</v>
      </c>
      <c r="E1304" s="116">
        <v>600</v>
      </c>
      <c r="F1304" s="149" t="s">
        <v>122</v>
      </c>
      <c r="G1304" s="149" t="s">
        <v>135</v>
      </c>
      <c r="H1304" t="s">
        <v>39</v>
      </c>
      <c r="I1304" t="s">
        <v>613</v>
      </c>
      <c r="J1304" t="s">
        <v>825</v>
      </c>
      <c r="K1304">
        <v>48</v>
      </c>
      <c r="L1304" s="160"/>
      <c r="M1304" s="48"/>
      <c r="N1304" s="123"/>
    </row>
    <row r="1305" spans="1:14" customFormat="1" x14ac:dyDescent="0.55000000000000004">
      <c r="A1305" s="97" t="s">
        <v>824</v>
      </c>
      <c r="B1305" t="s">
        <v>784</v>
      </c>
      <c r="C1305" t="s">
        <v>125</v>
      </c>
      <c r="D1305" t="s">
        <v>3288</v>
      </c>
      <c r="E1305" s="116">
        <v>150</v>
      </c>
      <c r="F1305" s="149" t="s">
        <v>122</v>
      </c>
      <c r="G1305" s="149" t="s">
        <v>135</v>
      </c>
      <c r="H1305" t="s">
        <v>39</v>
      </c>
      <c r="I1305" t="s">
        <v>616</v>
      </c>
      <c r="J1305" t="s">
        <v>825</v>
      </c>
      <c r="K1305">
        <v>48</v>
      </c>
      <c r="L1305" s="160"/>
      <c r="M1305" s="48"/>
      <c r="N1305" s="123"/>
    </row>
    <row r="1306" spans="1:14" customFormat="1" x14ac:dyDescent="0.55000000000000004">
      <c r="A1306" s="97" t="s">
        <v>824</v>
      </c>
      <c r="B1306" t="s">
        <v>270</v>
      </c>
      <c r="C1306" t="s">
        <v>125</v>
      </c>
      <c r="D1306" t="s">
        <v>3288</v>
      </c>
      <c r="E1306" s="116">
        <v>250</v>
      </c>
      <c r="F1306" s="149" t="s">
        <v>122</v>
      </c>
      <c r="G1306" s="149" t="s">
        <v>135</v>
      </c>
      <c r="H1306" t="s">
        <v>39</v>
      </c>
      <c r="I1306" t="s">
        <v>535</v>
      </c>
      <c r="J1306" t="s">
        <v>825</v>
      </c>
      <c r="K1306">
        <v>49</v>
      </c>
      <c r="L1306" s="160"/>
      <c r="M1306" s="48"/>
      <c r="N1306" s="123"/>
    </row>
    <row r="1307" spans="1:14" customFormat="1" x14ac:dyDescent="0.55000000000000004">
      <c r="A1307" s="97" t="s">
        <v>824</v>
      </c>
      <c r="B1307" t="s">
        <v>785</v>
      </c>
      <c r="C1307" t="s">
        <v>125</v>
      </c>
      <c r="D1307" t="s">
        <v>3288</v>
      </c>
      <c r="E1307" s="116">
        <v>12.5</v>
      </c>
      <c r="F1307" s="149" t="s">
        <v>122</v>
      </c>
      <c r="G1307" s="149" t="s">
        <v>135</v>
      </c>
      <c r="H1307" t="s">
        <v>39</v>
      </c>
      <c r="I1307" t="s">
        <v>617</v>
      </c>
      <c r="J1307" t="s">
        <v>825</v>
      </c>
      <c r="K1307">
        <v>48</v>
      </c>
      <c r="L1307" s="160"/>
      <c r="M1307" s="48"/>
      <c r="N1307" s="123"/>
    </row>
    <row r="1308" spans="1:14" customFormat="1" x14ac:dyDescent="0.55000000000000004">
      <c r="A1308" s="97" t="s">
        <v>824</v>
      </c>
      <c r="B1308" t="s">
        <v>153</v>
      </c>
      <c r="C1308" t="s">
        <v>127</v>
      </c>
      <c r="D1308" t="s">
        <v>2994</v>
      </c>
      <c r="E1308" s="116">
        <v>0.57599999999999996</v>
      </c>
      <c r="F1308" s="149" t="s">
        <v>138</v>
      </c>
      <c r="G1308" s="149" t="s">
        <v>135</v>
      </c>
      <c r="H1308" t="s">
        <v>39</v>
      </c>
      <c r="I1308" t="s">
        <v>618</v>
      </c>
      <c r="J1308" t="s">
        <v>825</v>
      </c>
      <c r="K1308">
        <v>54</v>
      </c>
      <c r="L1308" s="160"/>
      <c r="M1308" s="48"/>
      <c r="N1308" s="123"/>
    </row>
    <row r="1309" spans="1:14" customFormat="1" x14ac:dyDescent="0.55000000000000004">
      <c r="A1309" s="97" t="s">
        <v>824</v>
      </c>
      <c r="B1309" t="s">
        <v>826</v>
      </c>
      <c r="C1309" t="s">
        <v>127</v>
      </c>
      <c r="D1309" t="s">
        <v>2994</v>
      </c>
      <c r="E1309" s="116">
        <v>6.33</v>
      </c>
      <c r="F1309" s="149" t="s">
        <v>138</v>
      </c>
      <c r="G1309" s="149" t="s">
        <v>135</v>
      </c>
      <c r="H1309" t="s">
        <v>39</v>
      </c>
      <c r="I1309" t="s">
        <v>619</v>
      </c>
      <c r="J1309" t="s">
        <v>825</v>
      </c>
      <c r="K1309">
        <v>48</v>
      </c>
      <c r="L1309" s="160"/>
      <c r="M1309" s="48"/>
      <c r="N1309" s="123"/>
    </row>
    <row r="1310" spans="1:14" customFormat="1" x14ac:dyDescent="0.55000000000000004">
      <c r="A1310" s="97" t="s">
        <v>824</v>
      </c>
      <c r="B1310" t="s">
        <v>160</v>
      </c>
      <c r="C1310" t="s">
        <v>124</v>
      </c>
      <c r="D1310" t="s">
        <v>3288</v>
      </c>
      <c r="E1310" s="116">
        <v>2.9499999999999998E-2</v>
      </c>
      <c r="F1310" s="149" t="s">
        <v>135</v>
      </c>
      <c r="G1310" s="149" t="s">
        <v>135</v>
      </c>
      <c r="H1310" t="s">
        <v>39</v>
      </c>
      <c r="I1310" t="s">
        <v>535</v>
      </c>
      <c r="J1310" t="s">
        <v>825</v>
      </c>
      <c r="K1310">
        <v>55</v>
      </c>
      <c r="L1310" s="160"/>
      <c r="M1310" s="48"/>
      <c r="N1310" s="123"/>
    </row>
    <row r="1311" spans="1:14" customFormat="1" x14ac:dyDescent="0.55000000000000004">
      <c r="A1311" s="97" t="s">
        <v>821</v>
      </c>
      <c r="B1311" t="s">
        <v>757</v>
      </c>
      <c r="C1311" t="s">
        <v>121</v>
      </c>
      <c r="D1311" t="s">
        <v>3288</v>
      </c>
      <c r="E1311" s="116">
        <v>1</v>
      </c>
      <c r="F1311" s="149" t="s">
        <v>135</v>
      </c>
      <c r="G1311" s="149">
        <v>1</v>
      </c>
      <c r="H1311" t="s">
        <v>39</v>
      </c>
      <c r="I1311" t="s">
        <v>536</v>
      </c>
      <c r="J1311" t="s">
        <v>822</v>
      </c>
      <c r="K1311">
        <v>48</v>
      </c>
      <c r="L1311" s="160">
        <v>7601</v>
      </c>
      <c r="M1311" s="48"/>
      <c r="N1311" s="123"/>
    </row>
    <row r="1312" spans="1:14" customFormat="1" x14ac:dyDescent="0.55000000000000004">
      <c r="A1312" s="97" t="s">
        <v>821</v>
      </c>
      <c r="B1312" t="s">
        <v>759</v>
      </c>
      <c r="C1312" t="s">
        <v>125</v>
      </c>
      <c r="D1312" t="s">
        <v>3288</v>
      </c>
      <c r="E1312" s="116">
        <v>16.5</v>
      </c>
      <c r="F1312" s="149" t="s">
        <v>122</v>
      </c>
      <c r="G1312" s="149" t="s">
        <v>135</v>
      </c>
      <c r="H1312" t="s">
        <v>39</v>
      </c>
      <c r="I1312" t="s">
        <v>535</v>
      </c>
      <c r="J1312" t="s">
        <v>822</v>
      </c>
      <c r="K1312">
        <v>48</v>
      </c>
      <c r="L1312" s="160"/>
      <c r="M1312" s="48"/>
      <c r="N1312" s="123"/>
    </row>
    <row r="1313" spans="1:14" customFormat="1" x14ac:dyDescent="0.55000000000000004">
      <c r="A1313" s="97" t="s">
        <v>821</v>
      </c>
      <c r="B1313" t="s">
        <v>261</v>
      </c>
      <c r="C1313" t="s">
        <v>125</v>
      </c>
      <c r="D1313" t="s">
        <v>3288</v>
      </c>
      <c r="E1313" s="116">
        <v>1.93</v>
      </c>
      <c r="F1313" s="149" t="s">
        <v>135</v>
      </c>
      <c r="G1313" s="149" t="s">
        <v>135</v>
      </c>
      <c r="H1313" t="s">
        <v>39</v>
      </c>
      <c r="I1313" t="s">
        <v>607</v>
      </c>
      <c r="J1313" t="s">
        <v>822</v>
      </c>
      <c r="K1313" t="s">
        <v>535</v>
      </c>
      <c r="L1313" s="160"/>
      <c r="M1313" s="48"/>
      <c r="N1313" s="123"/>
    </row>
    <row r="1314" spans="1:14" customFormat="1" x14ac:dyDescent="0.55000000000000004">
      <c r="A1314" s="97" t="s">
        <v>821</v>
      </c>
      <c r="B1314" t="s">
        <v>760</v>
      </c>
      <c r="C1314" t="s">
        <v>207</v>
      </c>
      <c r="D1314" t="s">
        <v>3288</v>
      </c>
      <c r="E1314" s="116">
        <v>0.43</v>
      </c>
      <c r="F1314" s="149" t="s">
        <v>135</v>
      </c>
      <c r="G1314" s="149" t="s">
        <v>135</v>
      </c>
      <c r="H1314" t="s">
        <v>39</v>
      </c>
      <c r="I1314" t="s">
        <v>608</v>
      </c>
      <c r="J1314" t="s">
        <v>822</v>
      </c>
      <c r="K1314" t="s">
        <v>535</v>
      </c>
      <c r="L1314" s="160"/>
      <c r="M1314" s="48"/>
      <c r="N1314" s="123"/>
    </row>
    <row r="1315" spans="1:14" customFormat="1" x14ac:dyDescent="0.55000000000000004">
      <c r="A1315" s="97" t="s">
        <v>821</v>
      </c>
      <c r="B1315" t="s">
        <v>153</v>
      </c>
      <c r="C1315" t="s">
        <v>127</v>
      </c>
      <c r="D1315" t="s">
        <v>2994</v>
      </c>
      <c r="E1315" s="116">
        <v>54.8</v>
      </c>
      <c r="F1315" s="149" t="s">
        <v>138</v>
      </c>
      <c r="G1315" s="149" t="s">
        <v>135</v>
      </c>
      <c r="H1315" t="s">
        <v>39</v>
      </c>
      <c r="I1315" t="s">
        <v>612</v>
      </c>
      <c r="J1315" t="s">
        <v>822</v>
      </c>
      <c r="K1315">
        <v>48</v>
      </c>
      <c r="L1315" s="160"/>
      <c r="M1315" s="48"/>
      <c r="N1315" s="123"/>
    </row>
    <row r="1316" spans="1:14" customFormat="1" x14ac:dyDescent="0.55000000000000004">
      <c r="A1316" s="97" t="s">
        <v>821</v>
      </c>
      <c r="B1316" t="s">
        <v>160</v>
      </c>
      <c r="C1316" t="s">
        <v>124</v>
      </c>
      <c r="D1316" t="s">
        <v>3288</v>
      </c>
      <c r="E1316" s="116">
        <v>1.58</v>
      </c>
      <c r="F1316" s="149" t="s">
        <v>135</v>
      </c>
      <c r="G1316" s="149" t="s">
        <v>135</v>
      </c>
      <c r="H1316" t="s">
        <v>39</v>
      </c>
      <c r="I1316" t="s">
        <v>540</v>
      </c>
      <c r="J1316" t="s">
        <v>822</v>
      </c>
      <c r="K1316">
        <v>48</v>
      </c>
      <c r="L1316" s="160"/>
      <c r="M1316" s="48"/>
      <c r="N1316" s="123"/>
    </row>
    <row r="1317" spans="1:14" customFormat="1" x14ac:dyDescent="0.55000000000000004">
      <c r="A1317" s="97" t="s">
        <v>821</v>
      </c>
      <c r="B1317" t="s">
        <v>761</v>
      </c>
      <c r="C1317" t="s">
        <v>124</v>
      </c>
      <c r="D1317" t="s">
        <v>535</v>
      </c>
      <c r="E1317" s="116">
        <v>5.5099999999999995E-4</v>
      </c>
      <c r="F1317" s="149" t="s">
        <v>3287</v>
      </c>
      <c r="G1317" s="149" t="s">
        <v>135</v>
      </c>
      <c r="H1317" t="s">
        <v>39</v>
      </c>
      <c r="I1317" t="s">
        <v>536</v>
      </c>
      <c r="J1317" t="s">
        <v>822</v>
      </c>
      <c r="K1317">
        <v>48</v>
      </c>
      <c r="L1317" s="160"/>
      <c r="M1317" s="48"/>
      <c r="N1317" s="123"/>
    </row>
    <row r="1318" spans="1:14" customFormat="1" x14ac:dyDescent="0.55000000000000004">
      <c r="A1318" s="65" t="s">
        <v>819</v>
      </c>
      <c r="B1318" t="s">
        <v>315</v>
      </c>
      <c r="C1318" t="s">
        <v>121</v>
      </c>
      <c r="D1318" t="s">
        <v>3288</v>
      </c>
      <c r="E1318" s="116">
        <v>1</v>
      </c>
      <c r="F1318" s="149" t="s">
        <v>768</v>
      </c>
      <c r="G1318" s="149">
        <v>1</v>
      </c>
      <c r="H1318" t="s">
        <v>39</v>
      </c>
      <c r="I1318" t="s">
        <v>535</v>
      </c>
      <c r="J1318" t="s">
        <v>820</v>
      </c>
      <c r="K1318">
        <v>48</v>
      </c>
      <c r="L1318" s="160">
        <v>7203</v>
      </c>
      <c r="M1318" s="48"/>
      <c r="N1318" s="123"/>
    </row>
    <row r="1319" spans="1:14" customFormat="1" x14ac:dyDescent="0.55000000000000004">
      <c r="A1319" s="65" t="s">
        <v>819</v>
      </c>
      <c r="B1319" t="s">
        <v>323</v>
      </c>
      <c r="C1319" t="s">
        <v>125</v>
      </c>
      <c r="D1319" t="s">
        <v>3288</v>
      </c>
      <c r="E1319" s="116">
        <v>1.43</v>
      </c>
      <c r="F1319" s="149" t="s">
        <v>768</v>
      </c>
      <c r="G1319" s="149" t="s">
        <v>768</v>
      </c>
      <c r="H1319" t="s">
        <v>39</v>
      </c>
      <c r="I1319" t="s">
        <v>535</v>
      </c>
      <c r="J1319" t="s">
        <v>820</v>
      </c>
      <c r="K1319" t="s">
        <v>535</v>
      </c>
      <c r="L1319" s="160"/>
      <c r="M1319" s="48"/>
      <c r="N1319" s="123"/>
    </row>
    <row r="1320" spans="1:14" customFormat="1" x14ac:dyDescent="0.55000000000000004">
      <c r="A1320" s="65" t="s">
        <v>819</v>
      </c>
      <c r="B1320" t="s">
        <v>334</v>
      </c>
      <c r="C1320" t="s">
        <v>348</v>
      </c>
      <c r="D1320" t="s">
        <v>3288</v>
      </c>
      <c r="E1320" s="116">
        <v>44.2</v>
      </c>
      <c r="F1320" s="149" t="s">
        <v>763</v>
      </c>
      <c r="G1320" s="149" t="s">
        <v>768</v>
      </c>
      <c r="H1320" t="s">
        <v>39</v>
      </c>
      <c r="I1320" t="s">
        <v>604</v>
      </c>
      <c r="J1320" t="s">
        <v>820</v>
      </c>
      <c r="K1320">
        <v>48</v>
      </c>
      <c r="L1320" s="160"/>
      <c r="M1320" s="48"/>
      <c r="N1320" s="123"/>
    </row>
    <row r="1321" spans="1:14" customFormat="1" x14ac:dyDescent="0.55000000000000004">
      <c r="A1321" s="65" t="s">
        <v>817</v>
      </c>
      <c r="B1321" t="s">
        <v>805</v>
      </c>
      <c r="C1321" t="s">
        <v>121</v>
      </c>
      <c r="D1321" t="s">
        <v>3288</v>
      </c>
      <c r="E1321" s="116">
        <v>1</v>
      </c>
      <c r="F1321" s="149" t="s">
        <v>135</v>
      </c>
      <c r="G1321" s="149">
        <v>1</v>
      </c>
      <c r="H1321" t="s">
        <v>39</v>
      </c>
      <c r="I1321" t="s">
        <v>601</v>
      </c>
      <c r="J1321" t="s">
        <v>818</v>
      </c>
      <c r="K1321">
        <v>48</v>
      </c>
      <c r="L1321" s="160">
        <v>2619</v>
      </c>
      <c r="M1321" s="48"/>
      <c r="N1321" s="123"/>
    </row>
    <row r="1322" spans="1:14" customFormat="1" x14ac:dyDescent="0.55000000000000004">
      <c r="A1322" s="65" t="s">
        <v>817</v>
      </c>
      <c r="B1322" t="s">
        <v>807</v>
      </c>
      <c r="C1322" t="s">
        <v>163</v>
      </c>
      <c r="D1322" t="s">
        <v>3288</v>
      </c>
      <c r="E1322" s="116">
        <v>1.2</v>
      </c>
      <c r="F1322" s="149" t="s">
        <v>135</v>
      </c>
      <c r="G1322" s="149" t="s">
        <v>135</v>
      </c>
      <c r="H1322" t="s">
        <v>39</v>
      </c>
      <c r="I1322" t="s">
        <v>536</v>
      </c>
      <c r="J1322" t="s">
        <v>818</v>
      </c>
      <c r="K1322">
        <v>48</v>
      </c>
      <c r="L1322" s="160"/>
      <c r="M1322" s="48"/>
      <c r="N1322" s="123"/>
    </row>
    <row r="1323" spans="1:14" customFormat="1" x14ac:dyDescent="0.55000000000000004">
      <c r="A1323" s="65" t="s">
        <v>817</v>
      </c>
      <c r="B1323" t="s">
        <v>153</v>
      </c>
      <c r="C1323" t="s">
        <v>127</v>
      </c>
      <c r="D1323" t="s">
        <v>2994</v>
      </c>
      <c r="E1323" s="116">
        <v>0.104</v>
      </c>
      <c r="F1323" s="149" t="s">
        <v>138</v>
      </c>
      <c r="G1323" s="149" t="s">
        <v>135</v>
      </c>
      <c r="H1323" t="s">
        <v>39</v>
      </c>
      <c r="I1323" t="s">
        <v>535</v>
      </c>
      <c r="J1323" t="s">
        <v>818</v>
      </c>
      <c r="K1323">
        <v>48</v>
      </c>
      <c r="L1323" s="160"/>
      <c r="M1323" s="48"/>
      <c r="N1323" s="123"/>
    </row>
    <row r="1324" spans="1:14" customFormat="1" x14ac:dyDescent="0.55000000000000004">
      <c r="A1324" s="54" t="s">
        <v>815</v>
      </c>
      <c r="B1324" t="s">
        <v>236</v>
      </c>
      <c r="C1324" t="s">
        <v>121</v>
      </c>
      <c r="D1324" t="s">
        <v>3288</v>
      </c>
      <c r="E1324" s="116">
        <v>1</v>
      </c>
      <c r="F1324" s="149" t="s">
        <v>135</v>
      </c>
      <c r="G1324" s="149">
        <v>1</v>
      </c>
      <c r="H1324" t="s">
        <v>39</v>
      </c>
      <c r="I1324" t="s">
        <v>535</v>
      </c>
      <c r="J1324" t="s">
        <v>816</v>
      </c>
      <c r="K1324">
        <v>49</v>
      </c>
      <c r="L1324" s="160">
        <v>2523</v>
      </c>
      <c r="M1324" s="48"/>
      <c r="N1324" s="123"/>
    </row>
    <row r="1325" spans="1:14" customFormat="1" x14ac:dyDescent="0.55000000000000004">
      <c r="A1325" s="54" t="s">
        <v>815</v>
      </c>
      <c r="B1325" t="s">
        <v>153</v>
      </c>
      <c r="C1325" t="s">
        <v>127</v>
      </c>
      <c r="D1325" t="s">
        <v>2994</v>
      </c>
      <c r="E1325" s="116">
        <v>-1.7999999999999999E-2</v>
      </c>
      <c r="F1325" s="149" t="s">
        <v>138</v>
      </c>
      <c r="G1325" s="149" t="s">
        <v>135</v>
      </c>
      <c r="H1325" t="s">
        <v>39</v>
      </c>
      <c r="I1325" t="s">
        <v>540</v>
      </c>
      <c r="J1325" t="s">
        <v>816</v>
      </c>
      <c r="K1325">
        <v>48</v>
      </c>
      <c r="L1325" s="160"/>
      <c r="M1325" s="48"/>
      <c r="N1325" s="123"/>
    </row>
    <row r="1326" spans="1:14" customFormat="1" x14ac:dyDescent="0.55000000000000004">
      <c r="A1326" s="54" t="s">
        <v>815</v>
      </c>
      <c r="B1326" t="s">
        <v>236</v>
      </c>
      <c r="C1326" t="s">
        <v>125</v>
      </c>
      <c r="D1326" t="s">
        <v>3288</v>
      </c>
      <c r="E1326" s="116">
        <v>1</v>
      </c>
      <c r="F1326" s="149" t="s">
        <v>135</v>
      </c>
      <c r="G1326" s="149" t="s">
        <v>135</v>
      </c>
      <c r="H1326" t="s">
        <v>39</v>
      </c>
      <c r="I1326" t="s">
        <v>535</v>
      </c>
      <c r="J1326" t="s">
        <v>816</v>
      </c>
      <c r="K1326" t="s">
        <v>535</v>
      </c>
      <c r="L1326" s="160"/>
      <c r="M1326" s="48"/>
      <c r="N1326" s="123"/>
    </row>
    <row r="1327" spans="1:14" customFormat="1" x14ac:dyDescent="0.55000000000000004">
      <c r="A1327" s="65" t="s">
        <v>812</v>
      </c>
      <c r="B1327" t="s">
        <v>287</v>
      </c>
      <c r="C1327" t="s">
        <v>121</v>
      </c>
      <c r="D1327" t="s">
        <v>3288</v>
      </c>
      <c r="E1327" s="116">
        <v>1</v>
      </c>
      <c r="F1327" s="149" t="s">
        <v>768</v>
      </c>
      <c r="G1327" s="149">
        <v>1</v>
      </c>
      <c r="H1327" t="s">
        <v>39</v>
      </c>
      <c r="I1327" t="s">
        <v>535</v>
      </c>
      <c r="J1327" t="s">
        <v>813</v>
      </c>
      <c r="K1327">
        <v>50</v>
      </c>
      <c r="L1327" s="160">
        <v>7201</v>
      </c>
      <c r="M1327" s="61"/>
      <c r="N1327" s="123"/>
    </row>
    <row r="1328" spans="1:14" customFormat="1" x14ac:dyDescent="0.55000000000000004">
      <c r="A1328" s="65" t="s">
        <v>812</v>
      </c>
      <c r="B1328" t="s">
        <v>735</v>
      </c>
      <c r="C1328" t="s">
        <v>163</v>
      </c>
      <c r="D1328" t="s">
        <v>3288</v>
      </c>
      <c r="E1328" s="116">
        <v>0.26</v>
      </c>
      <c r="F1328" s="149" t="s">
        <v>768</v>
      </c>
      <c r="G1328" s="149" t="s">
        <v>768</v>
      </c>
      <c r="H1328" t="s">
        <v>39</v>
      </c>
      <c r="I1328" t="s">
        <v>594</v>
      </c>
      <c r="J1328" t="s">
        <v>813</v>
      </c>
      <c r="L1328" s="160"/>
      <c r="M1328" s="61"/>
      <c r="N1328" s="123"/>
    </row>
    <row r="1329" spans="1:14" customFormat="1" x14ac:dyDescent="0.55000000000000004">
      <c r="A1329" s="65" t="s">
        <v>812</v>
      </c>
      <c r="B1329" t="s">
        <v>772</v>
      </c>
      <c r="C1329" t="s">
        <v>156</v>
      </c>
      <c r="D1329" t="s">
        <v>3288</v>
      </c>
      <c r="E1329" s="116">
        <v>1.1299999999999999</v>
      </c>
      <c r="F1329" s="149" t="s">
        <v>768</v>
      </c>
      <c r="G1329" s="149" t="s">
        <v>768</v>
      </c>
      <c r="H1329" t="s">
        <v>39</v>
      </c>
      <c r="I1329" t="s">
        <v>543</v>
      </c>
      <c r="J1329" t="s">
        <v>813</v>
      </c>
      <c r="K1329">
        <v>48</v>
      </c>
      <c r="L1329" s="160"/>
      <c r="M1329" s="61"/>
      <c r="N1329" s="123"/>
    </row>
    <row r="1330" spans="1:14" customFormat="1" x14ac:dyDescent="0.55000000000000004">
      <c r="A1330" s="65" t="s">
        <v>812</v>
      </c>
      <c r="B1330" t="s">
        <v>814</v>
      </c>
      <c r="C1330" t="s">
        <v>132</v>
      </c>
      <c r="D1330" t="s">
        <v>3288</v>
      </c>
      <c r="E1330" s="116">
        <v>1.61</v>
      </c>
      <c r="F1330" s="149" t="s">
        <v>768</v>
      </c>
      <c r="G1330" s="149" t="s">
        <v>768</v>
      </c>
      <c r="H1330" t="s">
        <v>39</v>
      </c>
      <c r="I1330" t="s">
        <v>549</v>
      </c>
      <c r="J1330" t="s">
        <v>813</v>
      </c>
      <c r="K1330">
        <v>49</v>
      </c>
      <c r="L1330" s="160"/>
      <c r="M1330" s="61"/>
      <c r="N1330" s="123"/>
    </row>
    <row r="1331" spans="1:14" customFormat="1" x14ac:dyDescent="0.55000000000000004">
      <c r="A1331" s="65" t="s">
        <v>812</v>
      </c>
      <c r="B1331" t="s">
        <v>262</v>
      </c>
      <c r="C1331" t="s">
        <v>127</v>
      </c>
      <c r="D1331" t="s">
        <v>2994</v>
      </c>
      <c r="E1331" s="116">
        <v>14.7</v>
      </c>
      <c r="F1331" s="149" t="s">
        <v>765</v>
      </c>
      <c r="G1331" s="149" t="s">
        <v>768</v>
      </c>
      <c r="H1331" t="s">
        <v>39</v>
      </c>
      <c r="I1331" t="s">
        <v>536</v>
      </c>
      <c r="J1331" t="s">
        <v>813</v>
      </c>
      <c r="K1331">
        <v>48</v>
      </c>
      <c r="L1331" s="160"/>
      <c r="M1331" s="61"/>
      <c r="N1331" s="123"/>
    </row>
    <row r="1332" spans="1:14" customFormat="1" x14ac:dyDescent="0.55000000000000004">
      <c r="A1332" s="65" t="s">
        <v>812</v>
      </c>
      <c r="B1332" t="s">
        <v>213</v>
      </c>
      <c r="C1332" t="s">
        <v>125</v>
      </c>
      <c r="D1332" t="s">
        <v>3288</v>
      </c>
      <c r="E1332" s="116">
        <v>1070</v>
      </c>
      <c r="F1332" s="149" t="s">
        <v>763</v>
      </c>
      <c r="G1332" s="149" t="s">
        <v>768</v>
      </c>
      <c r="H1332" t="s">
        <v>39</v>
      </c>
      <c r="I1332" t="s">
        <v>552</v>
      </c>
      <c r="J1332" t="s">
        <v>813</v>
      </c>
      <c r="K1332">
        <v>50</v>
      </c>
      <c r="L1332" s="160"/>
      <c r="M1332" s="48"/>
      <c r="N1332" s="123"/>
    </row>
    <row r="1333" spans="1:14" customFormat="1" x14ac:dyDescent="0.55000000000000004">
      <c r="A1333" s="65" t="s">
        <v>812</v>
      </c>
      <c r="B1333" t="s">
        <v>153</v>
      </c>
      <c r="C1333" t="s">
        <v>127</v>
      </c>
      <c r="D1333" t="s">
        <v>2994</v>
      </c>
      <c r="E1333" s="116">
        <v>1.25</v>
      </c>
      <c r="F1333" s="149" t="s">
        <v>765</v>
      </c>
      <c r="G1333" s="149" t="s">
        <v>768</v>
      </c>
      <c r="H1333" t="s">
        <v>39</v>
      </c>
      <c r="I1333" t="s">
        <v>600</v>
      </c>
      <c r="J1333" t="s">
        <v>813</v>
      </c>
      <c r="K1333" t="s">
        <v>535</v>
      </c>
      <c r="L1333" s="160"/>
      <c r="M1333" s="48"/>
      <c r="N1333" s="123"/>
    </row>
    <row r="1334" spans="1:14" customFormat="1" x14ac:dyDescent="0.55000000000000004">
      <c r="A1334" s="65" t="s">
        <v>812</v>
      </c>
      <c r="B1334" t="s">
        <v>160</v>
      </c>
      <c r="C1334" t="s">
        <v>124</v>
      </c>
      <c r="D1334" t="s">
        <v>3288</v>
      </c>
      <c r="E1334" s="116">
        <v>0.125</v>
      </c>
      <c r="F1334" s="149" t="s">
        <v>768</v>
      </c>
      <c r="G1334" s="149" t="s">
        <v>768</v>
      </c>
      <c r="H1334" t="s">
        <v>39</v>
      </c>
      <c r="I1334" t="s">
        <v>535</v>
      </c>
      <c r="J1334" t="s">
        <v>813</v>
      </c>
      <c r="K1334">
        <v>50</v>
      </c>
      <c r="L1334" s="160"/>
      <c r="M1334" s="48"/>
      <c r="N1334" s="123"/>
    </row>
    <row r="1335" spans="1:14" customFormat="1" x14ac:dyDescent="0.55000000000000004">
      <c r="A1335" s="65" t="s">
        <v>810</v>
      </c>
      <c r="B1335" t="s">
        <v>805</v>
      </c>
      <c r="C1335" t="s">
        <v>121</v>
      </c>
      <c r="D1335" t="s">
        <v>3288</v>
      </c>
      <c r="E1335" s="116">
        <v>1</v>
      </c>
      <c r="F1335" s="149" t="s">
        <v>135</v>
      </c>
      <c r="G1335" s="149">
        <v>1</v>
      </c>
      <c r="H1335" t="s">
        <v>39</v>
      </c>
      <c r="I1335" t="s">
        <v>535</v>
      </c>
      <c r="J1335" t="s">
        <v>811</v>
      </c>
      <c r="K1335">
        <v>53</v>
      </c>
      <c r="L1335" s="160">
        <v>2619</v>
      </c>
      <c r="M1335" s="61"/>
      <c r="N1335" s="123"/>
    </row>
    <row r="1336" spans="1:14" customFormat="1" x14ac:dyDescent="0.55000000000000004">
      <c r="A1336" s="65" t="s">
        <v>810</v>
      </c>
      <c r="B1336" t="s">
        <v>334</v>
      </c>
      <c r="C1336" t="s">
        <v>348</v>
      </c>
      <c r="D1336" t="s">
        <v>2994</v>
      </c>
      <c r="E1336" s="116">
        <v>0.41399999999999998</v>
      </c>
      <c r="F1336" s="149" t="s">
        <v>138</v>
      </c>
      <c r="G1336" s="149" t="s">
        <v>135</v>
      </c>
      <c r="H1336" t="s">
        <v>39</v>
      </c>
      <c r="I1336" t="s">
        <v>540</v>
      </c>
      <c r="J1336" t="s">
        <v>811</v>
      </c>
      <c r="K1336">
        <v>48</v>
      </c>
      <c r="L1336" s="160"/>
      <c r="M1336" s="61"/>
      <c r="N1336" s="123"/>
    </row>
    <row r="1337" spans="1:14" customFormat="1" x14ac:dyDescent="0.55000000000000004">
      <c r="A1337" s="65" t="s">
        <v>810</v>
      </c>
      <c r="B1337" t="s">
        <v>807</v>
      </c>
      <c r="C1337" t="s">
        <v>163</v>
      </c>
      <c r="D1337" t="s">
        <v>3288</v>
      </c>
      <c r="E1337" s="116">
        <v>1.2</v>
      </c>
      <c r="F1337" s="149" t="s">
        <v>135</v>
      </c>
      <c r="G1337" s="149" t="s">
        <v>135</v>
      </c>
      <c r="H1337" t="s">
        <v>39</v>
      </c>
      <c r="I1337" t="s">
        <v>593</v>
      </c>
      <c r="J1337" t="s">
        <v>811</v>
      </c>
      <c r="K1337">
        <v>48</v>
      </c>
      <c r="L1337" s="160"/>
      <c r="M1337" s="61"/>
      <c r="N1337" s="123"/>
    </row>
    <row r="1338" spans="1:14" customFormat="1" x14ac:dyDescent="0.55000000000000004">
      <c r="A1338" s="97" t="s">
        <v>808</v>
      </c>
      <c r="B1338" t="s">
        <v>757</v>
      </c>
      <c r="C1338" t="s">
        <v>121</v>
      </c>
      <c r="D1338" t="s">
        <v>3288</v>
      </c>
      <c r="E1338" s="116">
        <v>1</v>
      </c>
      <c r="F1338" s="149" t="s">
        <v>135</v>
      </c>
      <c r="G1338" s="149">
        <v>1</v>
      </c>
      <c r="H1338" t="s">
        <v>39</v>
      </c>
      <c r="I1338" t="s">
        <v>588</v>
      </c>
      <c r="J1338" t="s">
        <v>809</v>
      </c>
      <c r="K1338">
        <v>53</v>
      </c>
      <c r="L1338" s="160">
        <v>7601</v>
      </c>
      <c r="M1338" s="61"/>
      <c r="N1338" s="123"/>
    </row>
    <row r="1339" spans="1:14" customFormat="1" x14ac:dyDescent="0.55000000000000004">
      <c r="A1339" s="97" t="s">
        <v>808</v>
      </c>
      <c r="B1339" t="s">
        <v>759</v>
      </c>
      <c r="C1339" t="s">
        <v>125</v>
      </c>
      <c r="D1339" t="s">
        <v>3288</v>
      </c>
      <c r="E1339" s="116">
        <v>16.5</v>
      </c>
      <c r="F1339" s="149" t="s">
        <v>122</v>
      </c>
      <c r="G1339" s="149" t="s">
        <v>135</v>
      </c>
      <c r="H1339" t="s">
        <v>39</v>
      </c>
      <c r="I1339" t="s">
        <v>535</v>
      </c>
      <c r="J1339" t="s">
        <v>809</v>
      </c>
      <c r="K1339">
        <v>53</v>
      </c>
      <c r="L1339" s="160"/>
      <c r="M1339" s="61"/>
      <c r="N1339" s="123"/>
    </row>
    <row r="1340" spans="1:14" customFormat="1" x14ac:dyDescent="0.55000000000000004">
      <c r="A1340" s="97" t="s">
        <v>808</v>
      </c>
      <c r="B1340" t="s">
        <v>261</v>
      </c>
      <c r="C1340" t="s">
        <v>125</v>
      </c>
      <c r="D1340" t="s">
        <v>3288</v>
      </c>
      <c r="E1340" s="116">
        <v>1.93</v>
      </c>
      <c r="F1340" s="149" t="s">
        <v>135</v>
      </c>
      <c r="G1340" s="149" t="s">
        <v>135</v>
      </c>
      <c r="H1340" t="s">
        <v>39</v>
      </c>
      <c r="I1340" t="s">
        <v>535</v>
      </c>
      <c r="J1340" t="s">
        <v>809</v>
      </c>
      <c r="K1340">
        <v>53</v>
      </c>
      <c r="L1340" s="160"/>
      <c r="M1340" s="61"/>
      <c r="N1340" s="123"/>
    </row>
    <row r="1341" spans="1:14" customFormat="1" x14ac:dyDescent="0.55000000000000004">
      <c r="A1341" s="97" t="s">
        <v>808</v>
      </c>
      <c r="B1341" t="s">
        <v>153</v>
      </c>
      <c r="C1341" t="s">
        <v>127</v>
      </c>
      <c r="D1341" t="s">
        <v>2994</v>
      </c>
      <c r="E1341" s="116">
        <v>65.599999999999994</v>
      </c>
      <c r="F1341" s="149" t="s">
        <v>138</v>
      </c>
      <c r="G1341" s="149" t="s">
        <v>135</v>
      </c>
      <c r="H1341" t="s">
        <v>39</v>
      </c>
      <c r="I1341" t="s">
        <v>535</v>
      </c>
      <c r="J1341" t="s">
        <v>809</v>
      </c>
      <c r="K1341">
        <v>53</v>
      </c>
      <c r="L1341" s="160"/>
      <c r="M1341" s="61"/>
      <c r="N1341" s="123"/>
    </row>
    <row r="1342" spans="1:14" customFormat="1" x14ac:dyDescent="0.55000000000000004">
      <c r="A1342" s="65" t="s">
        <v>804</v>
      </c>
      <c r="B1342" t="s">
        <v>805</v>
      </c>
      <c r="C1342" t="s">
        <v>121</v>
      </c>
      <c r="D1342" t="s">
        <v>3288</v>
      </c>
      <c r="E1342" s="116">
        <v>1</v>
      </c>
      <c r="F1342" s="149" t="s">
        <v>135</v>
      </c>
      <c r="G1342" s="149">
        <v>1</v>
      </c>
      <c r="H1342" t="s">
        <v>39</v>
      </c>
      <c r="I1342" t="s">
        <v>587</v>
      </c>
      <c r="J1342" t="s">
        <v>806</v>
      </c>
      <c r="K1342">
        <v>53</v>
      </c>
      <c r="L1342" s="160">
        <v>2619</v>
      </c>
      <c r="M1342" s="61"/>
      <c r="N1342" s="123"/>
    </row>
    <row r="1343" spans="1:14" customFormat="1" x14ac:dyDescent="0.55000000000000004">
      <c r="A1343" s="65" t="s">
        <v>804</v>
      </c>
      <c r="B1343" t="s">
        <v>171</v>
      </c>
      <c r="C1343" t="s">
        <v>127</v>
      </c>
      <c r="D1343" t="s">
        <v>2994</v>
      </c>
      <c r="E1343" s="116">
        <v>0.41399999999999998</v>
      </c>
      <c r="F1343" s="149" t="s">
        <v>138</v>
      </c>
      <c r="G1343" s="149" t="s">
        <v>135</v>
      </c>
      <c r="H1343" t="s">
        <v>39</v>
      </c>
      <c r="I1343" t="s">
        <v>535</v>
      </c>
      <c r="J1343" t="s">
        <v>806</v>
      </c>
      <c r="K1343" t="s">
        <v>535</v>
      </c>
      <c r="L1343" s="160"/>
      <c r="M1343" s="61"/>
      <c r="N1343" s="123"/>
    </row>
    <row r="1344" spans="1:14" customFormat="1" x14ac:dyDescent="0.55000000000000004">
      <c r="A1344" s="65" t="s">
        <v>804</v>
      </c>
      <c r="B1344" t="s">
        <v>807</v>
      </c>
      <c r="C1344" t="s">
        <v>163</v>
      </c>
      <c r="D1344" t="s">
        <v>3288</v>
      </c>
      <c r="E1344" s="116">
        <v>1.2</v>
      </c>
      <c r="F1344" s="149" t="s">
        <v>135</v>
      </c>
      <c r="G1344" s="149" t="s">
        <v>135</v>
      </c>
      <c r="H1344" t="s">
        <v>39</v>
      </c>
      <c r="I1344" t="s">
        <v>535</v>
      </c>
      <c r="J1344" t="s">
        <v>806</v>
      </c>
      <c r="K1344">
        <v>48</v>
      </c>
      <c r="L1344" s="160"/>
      <c r="M1344" s="61"/>
      <c r="N1344" s="123"/>
    </row>
    <row r="1345" spans="1:14" customFormat="1" x14ac:dyDescent="0.55000000000000004">
      <c r="A1345" s="65" t="s">
        <v>804</v>
      </c>
      <c r="B1345" t="s">
        <v>160</v>
      </c>
      <c r="C1345" t="s">
        <v>124</v>
      </c>
      <c r="D1345" t="s">
        <v>3288</v>
      </c>
      <c r="E1345" s="116">
        <v>2.35E-2</v>
      </c>
      <c r="F1345" s="149" t="s">
        <v>135</v>
      </c>
      <c r="G1345" s="149" t="s">
        <v>135</v>
      </c>
      <c r="H1345" t="s">
        <v>39</v>
      </c>
      <c r="I1345" t="s">
        <v>535</v>
      </c>
      <c r="J1345" t="s">
        <v>806</v>
      </c>
      <c r="K1345">
        <v>53</v>
      </c>
      <c r="L1345" s="160"/>
      <c r="M1345" s="61"/>
      <c r="N1345" s="123"/>
    </row>
    <row r="1346" spans="1:14" customFormat="1" x14ac:dyDescent="0.55000000000000004">
      <c r="A1346" s="65" t="s">
        <v>802</v>
      </c>
      <c r="B1346" t="s">
        <v>798</v>
      </c>
      <c r="C1346" t="s">
        <v>121</v>
      </c>
      <c r="D1346" t="s">
        <v>3288</v>
      </c>
      <c r="E1346" s="116">
        <v>1</v>
      </c>
      <c r="F1346" s="149" t="s">
        <v>768</v>
      </c>
      <c r="G1346" s="149">
        <v>1</v>
      </c>
      <c r="H1346" t="s">
        <v>39</v>
      </c>
      <c r="I1346" t="s">
        <v>535</v>
      </c>
      <c r="J1346" t="s">
        <v>803</v>
      </c>
      <c r="K1346" t="s">
        <v>535</v>
      </c>
      <c r="L1346" s="160">
        <v>7208</v>
      </c>
      <c r="M1346" s="61"/>
      <c r="N1346" s="123"/>
    </row>
    <row r="1347" spans="1:14" customFormat="1" x14ac:dyDescent="0.55000000000000004">
      <c r="A1347" s="65" t="s">
        <v>802</v>
      </c>
      <c r="B1347" t="s">
        <v>171</v>
      </c>
      <c r="C1347" t="s">
        <v>127</v>
      </c>
      <c r="D1347" t="s">
        <v>2994</v>
      </c>
      <c r="E1347" s="116">
        <v>1.1399999999999999</v>
      </c>
      <c r="F1347" s="149" t="s">
        <v>765</v>
      </c>
      <c r="G1347" s="149" t="s">
        <v>768</v>
      </c>
      <c r="H1347" t="s">
        <v>39</v>
      </c>
      <c r="I1347" t="s">
        <v>535</v>
      </c>
      <c r="J1347" t="s">
        <v>803</v>
      </c>
      <c r="K1347" t="s">
        <v>535</v>
      </c>
      <c r="L1347" s="160"/>
      <c r="M1347" s="61"/>
      <c r="N1347" s="123"/>
    </row>
    <row r="1348" spans="1:14" customFormat="1" x14ac:dyDescent="0.55000000000000004">
      <c r="A1348" s="65" t="s">
        <v>802</v>
      </c>
      <c r="B1348" t="s">
        <v>298</v>
      </c>
      <c r="C1348" t="s">
        <v>156</v>
      </c>
      <c r="D1348" t="s">
        <v>2994</v>
      </c>
      <c r="E1348" s="116">
        <v>0.88</v>
      </c>
      <c r="F1348" s="149" t="s">
        <v>765</v>
      </c>
      <c r="G1348" s="149" t="s">
        <v>768</v>
      </c>
      <c r="H1348" t="s">
        <v>39</v>
      </c>
      <c r="I1348" t="s">
        <v>535</v>
      </c>
      <c r="J1348" t="s">
        <v>803</v>
      </c>
      <c r="K1348" t="s">
        <v>535</v>
      </c>
      <c r="L1348" s="160"/>
      <c r="M1348" s="61"/>
      <c r="N1348" s="123"/>
    </row>
    <row r="1349" spans="1:14" customFormat="1" x14ac:dyDescent="0.55000000000000004">
      <c r="A1349" s="65" t="s">
        <v>802</v>
      </c>
      <c r="B1349" t="s">
        <v>153</v>
      </c>
      <c r="C1349" t="s">
        <v>127</v>
      </c>
      <c r="D1349" t="s">
        <v>2994</v>
      </c>
      <c r="E1349" s="116">
        <v>0.56299999999999994</v>
      </c>
      <c r="F1349" s="149" t="s">
        <v>765</v>
      </c>
      <c r="G1349" s="149" t="s">
        <v>768</v>
      </c>
      <c r="H1349" t="s">
        <v>39</v>
      </c>
      <c r="I1349" t="s">
        <v>536</v>
      </c>
      <c r="J1349" t="s">
        <v>803</v>
      </c>
      <c r="K1349">
        <v>48</v>
      </c>
      <c r="L1349" s="160"/>
      <c r="M1349" s="61"/>
      <c r="N1349" s="123"/>
    </row>
    <row r="1350" spans="1:14" customFormat="1" x14ac:dyDescent="0.55000000000000004">
      <c r="A1350" s="65" t="s">
        <v>802</v>
      </c>
      <c r="B1350" t="s">
        <v>160</v>
      </c>
      <c r="C1350" t="s">
        <v>124</v>
      </c>
      <c r="D1350" t="s">
        <v>3288</v>
      </c>
      <c r="E1350" s="116">
        <v>0.10199999999999999</v>
      </c>
      <c r="F1350" s="149" t="s">
        <v>768</v>
      </c>
      <c r="G1350" s="149" t="s">
        <v>768</v>
      </c>
      <c r="H1350" t="s">
        <v>39</v>
      </c>
      <c r="I1350" t="s">
        <v>535</v>
      </c>
      <c r="J1350" t="s">
        <v>803</v>
      </c>
      <c r="K1350">
        <v>53</v>
      </c>
      <c r="L1350" s="160"/>
      <c r="M1350" s="61"/>
      <c r="N1350" s="123"/>
    </row>
    <row r="1351" spans="1:14" customFormat="1" x14ac:dyDescent="0.55000000000000004">
      <c r="A1351" s="65" t="s">
        <v>800</v>
      </c>
      <c r="B1351" t="s">
        <v>798</v>
      </c>
      <c r="C1351" t="s">
        <v>121</v>
      </c>
      <c r="D1351" t="s">
        <v>3288</v>
      </c>
      <c r="E1351" s="116">
        <v>1</v>
      </c>
      <c r="F1351" s="149" t="s">
        <v>768</v>
      </c>
      <c r="G1351" s="149">
        <v>1</v>
      </c>
      <c r="H1351" t="s">
        <v>39</v>
      </c>
      <c r="I1351" t="s">
        <v>579</v>
      </c>
      <c r="J1351" t="s">
        <v>801</v>
      </c>
      <c r="K1351">
        <v>52</v>
      </c>
      <c r="L1351" s="160">
        <v>7208</v>
      </c>
      <c r="M1351" s="61"/>
      <c r="N1351" s="123"/>
    </row>
    <row r="1352" spans="1:14" customFormat="1" x14ac:dyDescent="0.55000000000000004">
      <c r="A1352" s="65" t="s">
        <v>800</v>
      </c>
      <c r="B1352" t="s">
        <v>171</v>
      </c>
      <c r="C1352" t="s">
        <v>127</v>
      </c>
      <c r="D1352" t="s">
        <v>2994</v>
      </c>
      <c r="E1352" s="116">
        <v>1.52</v>
      </c>
      <c r="F1352" s="149" t="s">
        <v>765</v>
      </c>
      <c r="G1352" s="149" t="s">
        <v>768</v>
      </c>
      <c r="H1352" t="s">
        <v>39</v>
      </c>
      <c r="I1352" t="s">
        <v>571</v>
      </c>
      <c r="J1352" t="s">
        <v>801</v>
      </c>
      <c r="L1352" s="160"/>
      <c r="M1352" s="61"/>
      <c r="N1352" s="123"/>
    </row>
    <row r="1353" spans="1:14" customFormat="1" x14ac:dyDescent="0.55000000000000004">
      <c r="A1353" s="65" t="s">
        <v>800</v>
      </c>
      <c r="B1353" t="s">
        <v>298</v>
      </c>
      <c r="C1353" t="s">
        <v>156</v>
      </c>
      <c r="D1353" t="s">
        <v>2994</v>
      </c>
      <c r="E1353" s="116">
        <v>0.498</v>
      </c>
      <c r="F1353" s="149" t="s">
        <v>765</v>
      </c>
      <c r="G1353" s="149" t="s">
        <v>768</v>
      </c>
      <c r="H1353" t="s">
        <v>39</v>
      </c>
      <c r="I1353" t="s">
        <v>540</v>
      </c>
      <c r="J1353" t="s">
        <v>801</v>
      </c>
      <c r="K1353">
        <v>48</v>
      </c>
      <c r="L1353" s="160"/>
      <c r="M1353" s="61"/>
      <c r="N1353" s="123"/>
    </row>
    <row r="1354" spans="1:14" customFormat="1" x14ac:dyDescent="0.55000000000000004">
      <c r="A1354" s="65" t="s">
        <v>800</v>
      </c>
      <c r="B1354" t="s">
        <v>153</v>
      </c>
      <c r="C1354" t="s">
        <v>127</v>
      </c>
      <c r="D1354" t="s">
        <v>2994</v>
      </c>
      <c r="E1354" s="116">
        <v>0.56299999999999994</v>
      </c>
      <c r="F1354" s="149" t="s">
        <v>765</v>
      </c>
      <c r="G1354" s="149" t="s">
        <v>768</v>
      </c>
      <c r="H1354" t="s">
        <v>39</v>
      </c>
      <c r="I1354" t="s">
        <v>535</v>
      </c>
      <c r="J1354" t="s">
        <v>801</v>
      </c>
      <c r="K1354" t="s">
        <v>535</v>
      </c>
      <c r="L1354" s="160"/>
      <c r="M1354" s="61"/>
      <c r="N1354" s="123"/>
    </row>
    <row r="1355" spans="1:14" customFormat="1" x14ac:dyDescent="0.55000000000000004">
      <c r="A1355" s="65" t="s">
        <v>800</v>
      </c>
      <c r="B1355" t="s">
        <v>160</v>
      </c>
      <c r="C1355" t="s">
        <v>124</v>
      </c>
      <c r="D1355" t="s">
        <v>3288</v>
      </c>
      <c r="E1355" s="116">
        <v>0.10199999999999999</v>
      </c>
      <c r="F1355" s="149" t="s">
        <v>768</v>
      </c>
      <c r="G1355" s="149" t="s">
        <v>768</v>
      </c>
      <c r="H1355" t="s">
        <v>39</v>
      </c>
      <c r="I1355" t="s">
        <v>584</v>
      </c>
      <c r="J1355" t="s">
        <v>801</v>
      </c>
      <c r="K1355">
        <v>50</v>
      </c>
      <c r="L1355" s="160"/>
      <c r="M1355" s="61"/>
      <c r="N1355" s="123"/>
    </row>
    <row r="1356" spans="1:14" customFormat="1" x14ac:dyDescent="0.55000000000000004">
      <c r="A1356" s="65" t="s">
        <v>797</v>
      </c>
      <c r="B1356" t="s">
        <v>798</v>
      </c>
      <c r="C1356" t="s">
        <v>121</v>
      </c>
      <c r="D1356" t="s">
        <v>3288</v>
      </c>
      <c r="E1356" s="116">
        <v>1</v>
      </c>
      <c r="F1356" s="149" t="s">
        <v>768</v>
      </c>
      <c r="G1356" s="149">
        <v>1</v>
      </c>
      <c r="H1356" t="s">
        <v>39</v>
      </c>
      <c r="I1356" t="s">
        <v>571</v>
      </c>
      <c r="J1356" t="s">
        <v>799</v>
      </c>
      <c r="L1356" s="160">
        <v>7208</v>
      </c>
      <c r="M1356" s="61"/>
      <c r="N1356" s="123"/>
    </row>
    <row r="1357" spans="1:14" customFormat="1" x14ac:dyDescent="0.55000000000000004">
      <c r="A1357" s="65" t="s">
        <v>797</v>
      </c>
      <c r="B1357" t="s">
        <v>171</v>
      </c>
      <c r="C1357" t="s">
        <v>127</v>
      </c>
      <c r="D1357" t="s">
        <v>2994</v>
      </c>
      <c r="E1357" s="116">
        <v>2.0099999999999998</v>
      </c>
      <c r="F1357" s="149" t="s">
        <v>765</v>
      </c>
      <c r="G1357" s="149" t="s">
        <v>768</v>
      </c>
      <c r="H1357" t="s">
        <v>39</v>
      </c>
      <c r="I1357" t="s">
        <v>571</v>
      </c>
      <c r="J1357" t="s">
        <v>799</v>
      </c>
      <c r="L1357" s="160"/>
      <c r="M1357" s="61"/>
      <c r="N1357" s="123"/>
    </row>
    <row r="1358" spans="1:14" customFormat="1" x14ac:dyDescent="0.55000000000000004">
      <c r="A1358" s="65" t="s">
        <v>797</v>
      </c>
      <c r="B1358" t="s">
        <v>153</v>
      </c>
      <c r="C1358" t="s">
        <v>127</v>
      </c>
      <c r="D1358" t="s">
        <v>2994</v>
      </c>
      <c r="E1358" s="116">
        <v>0.56299999999999994</v>
      </c>
      <c r="F1358" s="149" t="s">
        <v>765</v>
      </c>
      <c r="G1358" s="149" t="s">
        <v>768</v>
      </c>
      <c r="H1358" t="s">
        <v>39</v>
      </c>
      <c r="I1358" t="s">
        <v>540</v>
      </c>
      <c r="J1358" t="s">
        <v>799</v>
      </c>
      <c r="K1358">
        <v>48</v>
      </c>
      <c r="L1358" s="160"/>
      <c r="M1358" s="61"/>
      <c r="N1358" s="123"/>
    </row>
    <row r="1359" spans="1:14" customFormat="1" x14ac:dyDescent="0.55000000000000004">
      <c r="A1359" s="65" t="s">
        <v>797</v>
      </c>
      <c r="B1359" t="s">
        <v>160</v>
      </c>
      <c r="C1359" t="s">
        <v>124</v>
      </c>
      <c r="D1359" t="s">
        <v>3288</v>
      </c>
      <c r="E1359" s="116">
        <v>0.114</v>
      </c>
      <c r="F1359" s="149" t="s">
        <v>768</v>
      </c>
      <c r="G1359" s="149" t="s">
        <v>768</v>
      </c>
      <c r="H1359" t="s">
        <v>39</v>
      </c>
      <c r="I1359" t="s">
        <v>578</v>
      </c>
      <c r="J1359" t="s">
        <v>799</v>
      </c>
      <c r="L1359" s="160"/>
      <c r="M1359" s="61"/>
      <c r="N1359" s="123"/>
    </row>
    <row r="1360" spans="1:14" customFormat="1" x14ac:dyDescent="0.55000000000000004">
      <c r="A1360" s="65" t="s">
        <v>794</v>
      </c>
      <c r="B1360" t="s">
        <v>323</v>
      </c>
      <c r="C1360" t="s">
        <v>121</v>
      </c>
      <c r="D1360" t="s">
        <v>3288</v>
      </c>
      <c r="E1360" s="116">
        <v>1</v>
      </c>
      <c r="F1360" s="149" t="s">
        <v>768</v>
      </c>
      <c r="G1360" s="149">
        <v>1</v>
      </c>
      <c r="H1360" t="s">
        <v>39</v>
      </c>
      <c r="I1360" t="s">
        <v>570</v>
      </c>
      <c r="J1360" t="s">
        <v>795</v>
      </c>
      <c r="L1360" s="160">
        <v>2601</v>
      </c>
      <c r="M1360" s="61"/>
      <c r="N1360" s="123"/>
    </row>
    <row r="1361" spans="1:14" customFormat="1" x14ac:dyDescent="0.55000000000000004">
      <c r="A1361" s="65" t="s">
        <v>794</v>
      </c>
      <c r="B1361" t="s">
        <v>316</v>
      </c>
      <c r="C1361" t="s">
        <v>132</v>
      </c>
      <c r="D1361" t="s">
        <v>3288</v>
      </c>
      <c r="E1361" s="116">
        <v>1.08</v>
      </c>
      <c r="F1361" s="149" t="s">
        <v>768</v>
      </c>
      <c r="G1361" s="149" t="s">
        <v>768</v>
      </c>
      <c r="H1361" t="s">
        <v>39</v>
      </c>
      <c r="I1361" t="s">
        <v>571</v>
      </c>
      <c r="J1361" t="s">
        <v>795</v>
      </c>
      <c r="L1361" s="160"/>
      <c r="M1361" s="61"/>
      <c r="N1361" s="123"/>
    </row>
    <row r="1362" spans="1:14" customFormat="1" x14ac:dyDescent="0.55000000000000004">
      <c r="A1362" s="65" t="s">
        <v>794</v>
      </c>
      <c r="B1362" t="s">
        <v>293</v>
      </c>
      <c r="C1362" t="s">
        <v>348</v>
      </c>
      <c r="D1362" t="s">
        <v>3288</v>
      </c>
      <c r="E1362" s="116">
        <v>8.3899999999999999E-3</v>
      </c>
      <c r="F1362" s="149" t="s">
        <v>768</v>
      </c>
      <c r="G1362" s="149" t="s">
        <v>768</v>
      </c>
      <c r="H1362" t="s">
        <v>39</v>
      </c>
      <c r="I1362" t="s">
        <v>571</v>
      </c>
      <c r="J1362" t="s">
        <v>795</v>
      </c>
      <c r="L1362" s="160"/>
      <c r="M1362" s="61"/>
      <c r="N1362" s="123"/>
    </row>
    <row r="1363" spans="1:14" customFormat="1" x14ac:dyDescent="0.55000000000000004">
      <c r="A1363" s="65" t="s">
        <v>794</v>
      </c>
      <c r="B1363" t="s">
        <v>796</v>
      </c>
      <c r="C1363" t="s">
        <v>156</v>
      </c>
      <c r="D1363" t="s">
        <v>2994</v>
      </c>
      <c r="E1363" s="116">
        <v>0.23100000000000001</v>
      </c>
      <c r="F1363" s="149" t="s">
        <v>765</v>
      </c>
      <c r="G1363" s="149" t="s">
        <v>768</v>
      </c>
      <c r="H1363" t="s">
        <v>39</v>
      </c>
      <c r="I1363" t="s">
        <v>571</v>
      </c>
      <c r="J1363" t="s">
        <v>795</v>
      </c>
      <c r="L1363" s="160"/>
      <c r="M1363" s="61"/>
      <c r="N1363" s="123"/>
    </row>
    <row r="1364" spans="1:14" customFormat="1" x14ac:dyDescent="0.55000000000000004">
      <c r="A1364" s="65" t="s">
        <v>794</v>
      </c>
      <c r="B1364" t="s">
        <v>171</v>
      </c>
      <c r="C1364" t="s">
        <v>127</v>
      </c>
      <c r="D1364" t="s">
        <v>2994</v>
      </c>
      <c r="E1364" s="116">
        <v>8.3899999999999999E-3</v>
      </c>
      <c r="F1364" s="149" t="s">
        <v>765</v>
      </c>
      <c r="G1364" s="149" t="s">
        <v>768</v>
      </c>
      <c r="H1364" t="s">
        <v>39</v>
      </c>
      <c r="I1364" t="s">
        <v>571</v>
      </c>
      <c r="J1364" t="s">
        <v>795</v>
      </c>
      <c r="L1364" s="160"/>
      <c r="M1364" s="61"/>
      <c r="N1364" s="123"/>
    </row>
    <row r="1365" spans="1:14" customFormat="1" x14ac:dyDescent="0.55000000000000004">
      <c r="A1365" s="65" t="s">
        <v>794</v>
      </c>
      <c r="B1365" t="s">
        <v>153</v>
      </c>
      <c r="C1365" t="s">
        <v>127</v>
      </c>
      <c r="D1365" t="s">
        <v>2994</v>
      </c>
      <c r="E1365" s="116">
        <v>7.6499999999999999E-2</v>
      </c>
      <c r="F1365" s="149" t="s">
        <v>765</v>
      </c>
      <c r="G1365" s="149" t="s">
        <v>768</v>
      </c>
      <c r="H1365" t="s">
        <v>39</v>
      </c>
      <c r="I1365" t="s">
        <v>540</v>
      </c>
      <c r="J1365" t="s">
        <v>795</v>
      </c>
      <c r="K1365">
        <v>48</v>
      </c>
      <c r="L1365" s="160"/>
      <c r="M1365" s="61"/>
      <c r="N1365" s="123"/>
    </row>
    <row r="1366" spans="1:14" customFormat="1" x14ac:dyDescent="0.55000000000000004">
      <c r="A1366" s="65" t="s">
        <v>794</v>
      </c>
      <c r="B1366" t="s">
        <v>793</v>
      </c>
      <c r="C1366" t="s">
        <v>125</v>
      </c>
      <c r="D1366" t="s">
        <v>3288</v>
      </c>
      <c r="E1366" s="116">
        <v>2.3099999999999999E-2</v>
      </c>
      <c r="F1366" s="149" t="s">
        <v>763</v>
      </c>
      <c r="G1366" s="149" t="s">
        <v>768</v>
      </c>
      <c r="H1366" t="s">
        <v>39</v>
      </c>
      <c r="I1366" t="s">
        <v>574</v>
      </c>
      <c r="J1366" t="s">
        <v>795</v>
      </c>
      <c r="L1366" s="160"/>
      <c r="M1366" s="61"/>
      <c r="N1366" s="123"/>
    </row>
    <row r="1367" spans="1:14" customFormat="1" x14ac:dyDescent="0.55000000000000004">
      <c r="A1367" s="65" t="s">
        <v>794</v>
      </c>
      <c r="B1367" t="s">
        <v>131</v>
      </c>
      <c r="C1367" t="s">
        <v>125</v>
      </c>
      <c r="D1367" t="s">
        <v>3288</v>
      </c>
      <c r="E1367" s="116">
        <v>1.47E-2</v>
      </c>
      <c r="F1367" s="149" t="s">
        <v>763</v>
      </c>
      <c r="G1367" s="149" t="s">
        <v>768</v>
      </c>
      <c r="H1367" t="s">
        <v>39</v>
      </c>
      <c r="I1367" t="s">
        <v>571</v>
      </c>
      <c r="J1367" t="s">
        <v>795</v>
      </c>
      <c r="L1367" s="160"/>
      <c r="M1367" s="61"/>
      <c r="N1367" s="123"/>
    </row>
    <row r="1368" spans="1:14" customFormat="1" x14ac:dyDescent="0.55000000000000004">
      <c r="A1368" s="65" t="s">
        <v>794</v>
      </c>
      <c r="B1368" t="s">
        <v>160</v>
      </c>
      <c r="C1368" t="s">
        <v>124</v>
      </c>
      <c r="D1368" t="s">
        <v>3288</v>
      </c>
      <c r="E1368" s="116">
        <v>6.6199999999999995E-2</v>
      </c>
      <c r="F1368" s="149" t="s">
        <v>768</v>
      </c>
      <c r="G1368" s="149" t="s">
        <v>768</v>
      </c>
      <c r="H1368" t="s">
        <v>39</v>
      </c>
      <c r="I1368" t="s">
        <v>571</v>
      </c>
      <c r="J1368" t="s">
        <v>795</v>
      </c>
      <c r="L1368" s="160"/>
      <c r="M1368" s="61"/>
      <c r="N1368" s="123"/>
    </row>
    <row r="1369" spans="1:14" customFormat="1" x14ac:dyDescent="0.55000000000000004">
      <c r="A1369" s="65" t="s">
        <v>791</v>
      </c>
      <c r="B1369" t="s">
        <v>323</v>
      </c>
      <c r="C1369" t="s">
        <v>121</v>
      </c>
      <c r="D1369" t="s">
        <v>3288</v>
      </c>
      <c r="E1369" s="116">
        <v>1</v>
      </c>
      <c r="F1369" s="149" t="s">
        <v>768</v>
      </c>
      <c r="G1369" s="149">
        <v>1</v>
      </c>
      <c r="H1369" t="s">
        <v>39</v>
      </c>
      <c r="I1369" t="s">
        <v>540</v>
      </c>
      <c r="J1369" t="s">
        <v>792</v>
      </c>
      <c r="K1369">
        <v>48</v>
      </c>
      <c r="L1369" s="160">
        <v>2601</v>
      </c>
      <c r="M1369" s="61"/>
      <c r="N1369" s="123"/>
    </row>
    <row r="1370" spans="1:14" customFormat="1" x14ac:dyDescent="0.55000000000000004">
      <c r="A1370" s="65" t="s">
        <v>791</v>
      </c>
      <c r="B1370" t="s">
        <v>316</v>
      </c>
      <c r="C1370" t="s">
        <v>132</v>
      </c>
      <c r="D1370" t="s">
        <v>3288</v>
      </c>
      <c r="E1370" s="116">
        <v>1.08</v>
      </c>
      <c r="F1370" s="149" t="s">
        <v>768</v>
      </c>
      <c r="G1370" s="149" t="s">
        <v>768</v>
      </c>
      <c r="H1370" t="s">
        <v>39</v>
      </c>
      <c r="I1370" t="s">
        <v>535</v>
      </c>
      <c r="J1370" t="s">
        <v>792</v>
      </c>
      <c r="K1370">
        <v>50</v>
      </c>
      <c r="L1370" s="160"/>
      <c r="M1370" s="61"/>
      <c r="N1370" s="123"/>
    </row>
    <row r="1371" spans="1:14" customFormat="1" x14ac:dyDescent="0.55000000000000004">
      <c r="A1371" s="65" t="s">
        <v>791</v>
      </c>
      <c r="B1371" t="s">
        <v>262</v>
      </c>
      <c r="C1371" t="s">
        <v>127</v>
      </c>
      <c r="D1371" t="s">
        <v>3288</v>
      </c>
      <c r="E1371" s="116">
        <v>8.3899999999999999E-3</v>
      </c>
      <c r="F1371" s="149" t="s">
        <v>768</v>
      </c>
      <c r="G1371" s="149" t="s">
        <v>768</v>
      </c>
      <c r="H1371" t="s">
        <v>39</v>
      </c>
      <c r="I1371" t="s">
        <v>535</v>
      </c>
      <c r="J1371" t="s">
        <v>792</v>
      </c>
      <c r="K1371">
        <v>50</v>
      </c>
      <c r="L1371" s="160"/>
      <c r="M1371" s="61"/>
      <c r="N1371" s="123"/>
    </row>
    <row r="1372" spans="1:14" customFormat="1" x14ac:dyDescent="0.55000000000000004">
      <c r="A1372" s="65" t="s">
        <v>791</v>
      </c>
      <c r="B1372" t="s">
        <v>171</v>
      </c>
      <c r="C1372" t="s">
        <v>127</v>
      </c>
      <c r="D1372" t="s">
        <v>2994</v>
      </c>
      <c r="E1372" s="116">
        <v>0.23899999999999999</v>
      </c>
      <c r="F1372" s="149" t="s">
        <v>765</v>
      </c>
      <c r="G1372" s="149" t="s">
        <v>768</v>
      </c>
      <c r="H1372" t="s">
        <v>39</v>
      </c>
      <c r="I1372" t="s">
        <v>535</v>
      </c>
      <c r="J1372" t="s">
        <v>792</v>
      </c>
      <c r="K1372">
        <v>50</v>
      </c>
      <c r="L1372" s="160"/>
      <c r="M1372" s="61"/>
      <c r="N1372" s="123"/>
    </row>
    <row r="1373" spans="1:14" customFormat="1" x14ac:dyDescent="0.55000000000000004">
      <c r="A1373" s="65" t="s">
        <v>791</v>
      </c>
      <c r="B1373" t="s">
        <v>153</v>
      </c>
      <c r="C1373" t="s">
        <v>127</v>
      </c>
      <c r="D1373" t="s">
        <v>2994</v>
      </c>
      <c r="E1373" s="116">
        <v>7.6499999999999999E-2</v>
      </c>
      <c r="F1373" s="149" t="s">
        <v>765</v>
      </c>
      <c r="G1373" s="149" t="s">
        <v>768</v>
      </c>
      <c r="H1373" t="s">
        <v>39</v>
      </c>
      <c r="I1373" t="s">
        <v>536</v>
      </c>
      <c r="J1373" t="s">
        <v>792</v>
      </c>
      <c r="K1373" t="s">
        <v>535</v>
      </c>
      <c r="L1373" s="160"/>
      <c r="M1373" s="61"/>
      <c r="N1373" s="123"/>
    </row>
    <row r="1374" spans="1:14" customFormat="1" x14ac:dyDescent="0.55000000000000004">
      <c r="A1374" s="65" t="s">
        <v>791</v>
      </c>
      <c r="B1374" t="s">
        <v>793</v>
      </c>
      <c r="C1374" t="s">
        <v>125</v>
      </c>
      <c r="D1374" t="s">
        <v>3288</v>
      </c>
      <c r="E1374" s="116">
        <v>2.3099999999999999E-2</v>
      </c>
      <c r="F1374" s="149" t="s">
        <v>763</v>
      </c>
      <c r="G1374" s="149" t="s">
        <v>768</v>
      </c>
      <c r="H1374" t="s">
        <v>39</v>
      </c>
      <c r="I1374" t="s">
        <v>535</v>
      </c>
      <c r="J1374" t="s">
        <v>792</v>
      </c>
      <c r="K1374">
        <v>50</v>
      </c>
      <c r="L1374" s="160"/>
      <c r="M1374" s="61"/>
      <c r="N1374" s="123"/>
    </row>
    <row r="1375" spans="1:14" customFormat="1" x14ac:dyDescent="0.55000000000000004">
      <c r="A1375" s="65" t="s">
        <v>791</v>
      </c>
      <c r="B1375" t="s">
        <v>131</v>
      </c>
      <c r="C1375" t="s">
        <v>125</v>
      </c>
      <c r="D1375" t="s">
        <v>3288</v>
      </c>
      <c r="E1375" s="116">
        <v>1.47E-2</v>
      </c>
      <c r="F1375" s="149" t="s">
        <v>763</v>
      </c>
      <c r="G1375" s="149" t="s">
        <v>768</v>
      </c>
      <c r="H1375" t="s">
        <v>39</v>
      </c>
      <c r="I1375" t="s">
        <v>535</v>
      </c>
      <c r="J1375" t="s">
        <v>792</v>
      </c>
      <c r="K1375" t="s">
        <v>535</v>
      </c>
      <c r="L1375" s="160"/>
      <c r="M1375" s="61"/>
      <c r="N1375" s="123"/>
    </row>
    <row r="1376" spans="1:14" customFormat="1" x14ac:dyDescent="0.55000000000000004">
      <c r="A1376" s="65" t="s">
        <v>791</v>
      </c>
      <c r="B1376" t="s">
        <v>160</v>
      </c>
      <c r="C1376" t="s">
        <v>124</v>
      </c>
      <c r="D1376" t="s">
        <v>3288</v>
      </c>
      <c r="E1376" s="116">
        <v>4.8099999999999997E-2</v>
      </c>
      <c r="F1376" s="149" t="s">
        <v>768</v>
      </c>
      <c r="G1376" s="149" t="s">
        <v>768</v>
      </c>
      <c r="H1376" t="s">
        <v>39</v>
      </c>
      <c r="I1376" t="s">
        <v>540</v>
      </c>
      <c r="J1376" t="s">
        <v>792</v>
      </c>
      <c r="K1376">
        <v>48</v>
      </c>
      <c r="L1376" s="160"/>
      <c r="M1376" s="61"/>
      <c r="N1376" s="123"/>
    </row>
    <row r="1377" spans="1:14" customFormat="1" x14ac:dyDescent="0.55000000000000004">
      <c r="A1377" s="97" t="s">
        <v>786</v>
      </c>
      <c r="B1377" t="s">
        <v>760</v>
      </c>
      <c r="C1377" t="s">
        <v>121</v>
      </c>
      <c r="D1377" t="s">
        <v>3288</v>
      </c>
      <c r="E1377" s="116">
        <v>1</v>
      </c>
      <c r="F1377" s="149" t="s">
        <v>135</v>
      </c>
      <c r="G1377" s="149">
        <v>1</v>
      </c>
      <c r="H1377" t="s">
        <v>39</v>
      </c>
      <c r="I1377" t="s">
        <v>535</v>
      </c>
      <c r="J1377" t="s">
        <v>787</v>
      </c>
      <c r="K1377">
        <v>51</v>
      </c>
      <c r="L1377" s="160">
        <v>8545</v>
      </c>
      <c r="M1377" s="61"/>
      <c r="N1377" s="123"/>
    </row>
    <row r="1378" spans="1:14" customFormat="1" x14ac:dyDescent="0.55000000000000004">
      <c r="A1378" s="97" t="s">
        <v>786</v>
      </c>
      <c r="B1378" t="s">
        <v>788</v>
      </c>
      <c r="C1378" t="s">
        <v>125</v>
      </c>
      <c r="D1378" t="s">
        <v>3288</v>
      </c>
      <c r="E1378" s="116">
        <v>696</v>
      </c>
      <c r="F1378" s="149" t="s">
        <v>122</v>
      </c>
      <c r="G1378" s="149" t="s">
        <v>135</v>
      </c>
      <c r="H1378" t="s">
        <v>39</v>
      </c>
      <c r="I1378" t="s">
        <v>542</v>
      </c>
      <c r="J1378" t="s">
        <v>787</v>
      </c>
      <c r="K1378">
        <v>49</v>
      </c>
      <c r="L1378" s="160"/>
      <c r="M1378" s="61"/>
      <c r="N1378" s="123"/>
    </row>
    <row r="1379" spans="1:14" customFormat="1" x14ac:dyDescent="0.55000000000000004">
      <c r="A1379" s="97" t="s">
        <v>786</v>
      </c>
      <c r="B1379" t="s">
        <v>789</v>
      </c>
      <c r="C1379" t="s">
        <v>156</v>
      </c>
      <c r="D1379" t="s">
        <v>3288</v>
      </c>
      <c r="E1379" s="116">
        <v>194</v>
      </c>
      <c r="F1379" s="149" t="s">
        <v>122</v>
      </c>
      <c r="G1379" s="149" t="s">
        <v>135</v>
      </c>
      <c r="H1379" t="s">
        <v>39</v>
      </c>
      <c r="I1379" t="s">
        <v>543</v>
      </c>
      <c r="J1379" t="s">
        <v>787</v>
      </c>
      <c r="K1379">
        <v>48</v>
      </c>
      <c r="L1379" s="160"/>
      <c r="M1379" s="61"/>
      <c r="N1379" s="123"/>
    </row>
    <row r="1380" spans="1:14" customFormat="1" x14ac:dyDescent="0.55000000000000004">
      <c r="A1380" s="97" t="s">
        <v>786</v>
      </c>
      <c r="B1380" t="s">
        <v>790</v>
      </c>
      <c r="C1380" t="s">
        <v>125</v>
      </c>
      <c r="D1380" t="s">
        <v>3288</v>
      </c>
      <c r="E1380" s="116">
        <v>147</v>
      </c>
      <c r="F1380" s="149" t="s">
        <v>122</v>
      </c>
      <c r="G1380" s="149" t="s">
        <v>135</v>
      </c>
      <c r="H1380" t="s">
        <v>39</v>
      </c>
      <c r="I1380" t="s">
        <v>562</v>
      </c>
      <c r="J1380" t="s">
        <v>787</v>
      </c>
      <c r="K1380">
        <v>48</v>
      </c>
      <c r="L1380" s="160"/>
      <c r="M1380" s="61"/>
      <c r="N1380" s="123"/>
    </row>
    <row r="1381" spans="1:14" customFormat="1" x14ac:dyDescent="0.55000000000000004">
      <c r="A1381" s="97" t="s">
        <v>786</v>
      </c>
      <c r="B1381" t="s">
        <v>153</v>
      </c>
      <c r="C1381" t="s">
        <v>127</v>
      </c>
      <c r="D1381" t="s">
        <v>2994</v>
      </c>
      <c r="E1381" s="116">
        <v>0.497</v>
      </c>
      <c r="F1381" s="149" t="s">
        <v>138</v>
      </c>
      <c r="G1381" s="149" t="s">
        <v>135</v>
      </c>
      <c r="H1381" t="s">
        <v>39</v>
      </c>
      <c r="I1381" t="s">
        <v>535</v>
      </c>
      <c r="J1381" t="s">
        <v>787</v>
      </c>
      <c r="K1381" t="s">
        <v>535</v>
      </c>
      <c r="L1381" s="160"/>
      <c r="M1381" s="61"/>
      <c r="N1381" s="123"/>
    </row>
    <row r="1382" spans="1:14" customFormat="1" x14ac:dyDescent="0.55000000000000004">
      <c r="A1382" s="97" t="s">
        <v>786</v>
      </c>
      <c r="B1382" t="s">
        <v>171</v>
      </c>
      <c r="C1382" t="s">
        <v>127</v>
      </c>
      <c r="D1382" t="s">
        <v>2994</v>
      </c>
      <c r="E1382" s="116">
        <v>3.67</v>
      </c>
      <c r="F1382" s="149" t="s">
        <v>138</v>
      </c>
      <c r="G1382" s="149" t="s">
        <v>135</v>
      </c>
      <c r="H1382" t="s">
        <v>39</v>
      </c>
      <c r="I1382" t="s">
        <v>543</v>
      </c>
      <c r="J1382" t="s">
        <v>787</v>
      </c>
      <c r="K1382">
        <v>48</v>
      </c>
      <c r="L1382" s="160"/>
      <c r="M1382" s="61"/>
      <c r="N1382" s="123"/>
    </row>
    <row r="1383" spans="1:14" customFormat="1" x14ac:dyDescent="0.55000000000000004">
      <c r="A1383" s="97" t="s">
        <v>786</v>
      </c>
      <c r="B1383" t="s">
        <v>160</v>
      </c>
      <c r="C1383" t="s">
        <v>124</v>
      </c>
      <c r="D1383" t="s">
        <v>3288</v>
      </c>
      <c r="E1383" s="116">
        <v>0.495</v>
      </c>
      <c r="F1383" s="149" t="s">
        <v>135</v>
      </c>
      <c r="G1383" s="149" t="s">
        <v>135</v>
      </c>
      <c r="H1383" t="s">
        <v>39</v>
      </c>
      <c r="I1383" t="s">
        <v>543</v>
      </c>
      <c r="J1383" t="s">
        <v>787</v>
      </c>
      <c r="K1383">
        <v>48</v>
      </c>
      <c r="L1383" s="160"/>
      <c r="M1383" s="61"/>
      <c r="N1383" s="123"/>
    </row>
    <row r="1384" spans="1:14" customFormat="1" x14ac:dyDescent="0.55000000000000004">
      <c r="A1384" s="97" t="s">
        <v>780</v>
      </c>
      <c r="B1384" t="s">
        <v>781</v>
      </c>
      <c r="C1384" t="s">
        <v>121</v>
      </c>
      <c r="D1384" t="s">
        <v>3288</v>
      </c>
      <c r="E1384" s="116">
        <v>1</v>
      </c>
      <c r="F1384" s="149" t="s">
        <v>135</v>
      </c>
      <c r="G1384" s="149">
        <v>1</v>
      </c>
      <c r="H1384" t="s">
        <v>39</v>
      </c>
      <c r="I1384" t="s">
        <v>543</v>
      </c>
      <c r="J1384" t="s">
        <v>782</v>
      </c>
      <c r="K1384">
        <v>48</v>
      </c>
      <c r="L1384" s="160">
        <v>7601</v>
      </c>
      <c r="M1384" s="61"/>
      <c r="N1384" s="123"/>
    </row>
    <row r="1385" spans="1:14" customFormat="1" x14ac:dyDescent="0.55000000000000004">
      <c r="A1385" s="97" t="s">
        <v>780</v>
      </c>
      <c r="B1385" t="s">
        <v>783</v>
      </c>
      <c r="C1385" t="s">
        <v>125</v>
      </c>
      <c r="D1385" t="s">
        <v>3288</v>
      </c>
      <c r="E1385" s="116">
        <v>600</v>
      </c>
      <c r="F1385" s="149" t="s">
        <v>122</v>
      </c>
      <c r="G1385" s="149" t="s">
        <v>135</v>
      </c>
      <c r="H1385" t="s">
        <v>39</v>
      </c>
      <c r="I1385" t="s">
        <v>543</v>
      </c>
      <c r="J1385" t="s">
        <v>782</v>
      </c>
      <c r="K1385">
        <v>48</v>
      </c>
      <c r="L1385" s="160"/>
      <c r="M1385" s="61"/>
      <c r="N1385" s="123"/>
    </row>
    <row r="1386" spans="1:14" customFormat="1" x14ac:dyDescent="0.55000000000000004">
      <c r="A1386" s="97" t="s">
        <v>780</v>
      </c>
      <c r="B1386" t="s">
        <v>784</v>
      </c>
      <c r="C1386" t="s">
        <v>125</v>
      </c>
      <c r="D1386" t="s">
        <v>3288</v>
      </c>
      <c r="E1386" s="116">
        <v>150</v>
      </c>
      <c r="F1386" s="149" t="s">
        <v>122</v>
      </c>
      <c r="G1386" s="149" t="s">
        <v>135</v>
      </c>
      <c r="H1386" t="s">
        <v>39</v>
      </c>
      <c r="I1386" t="s">
        <v>540</v>
      </c>
      <c r="J1386" t="s">
        <v>782</v>
      </c>
      <c r="K1386">
        <v>48</v>
      </c>
      <c r="L1386" s="160"/>
      <c r="M1386" s="61"/>
      <c r="N1386" s="123"/>
    </row>
    <row r="1387" spans="1:14" customFormat="1" x14ac:dyDescent="0.55000000000000004">
      <c r="A1387" s="97" t="s">
        <v>780</v>
      </c>
      <c r="B1387" t="s">
        <v>270</v>
      </c>
      <c r="C1387" t="s">
        <v>125</v>
      </c>
      <c r="D1387" t="s">
        <v>3288</v>
      </c>
      <c r="E1387" s="116">
        <v>250</v>
      </c>
      <c r="F1387" s="149" t="s">
        <v>122</v>
      </c>
      <c r="G1387" s="149" t="s">
        <v>135</v>
      </c>
      <c r="H1387" t="s">
        <v>39</v>
      </c>
      <c r="I1387" t="s">
        <v>535</v>
      </c>
      <c r="J1387" t="s">
        <v>782</v>
      </c>
      <c r="K1387" t="s">
        <v>535</v>
      </c>
      <c r="L1387" s="160"/>
      <c r="M1387" s="61"/>
      <c r="N1387" s="123"/>
    </row>
    <row r="1388" spans="1:14" customFormat="1" x14ac:dyDescent="0.55000000000000004">
      <c r="A1388" s="97" t="s">
        <v>780</v>
      </c>
      <c r="B1388" t="s">
        <v>785</v>
      </c>
      <c r="C1388" t="s">
        <v>125</v>
      </c>
      <c r="D1388" t="s">
        <v>3288</v>
      </c>
      <c r="E1388" s="116">
        <v>12.5</v>
      </c>
      <c r="F1388" s="149" t="s">
        <v>122</v>
      </c>
      <c r="G1388" s="149" t="s">
        <v>135</v>
      </c>
      <c r="H1388" t="s">
        <v>39</v>
      </c>
      <c r="I1388" t="s">
        <v>543</v>
      </c>
      <c r="J1388" t="s">
        <v>782</v>
      </c>
      <c r="K1388">
        <v>48</v>
      </c>
      <c r="L1388" s="160"/>
      <c r="M1388" s="61"/>
      <c r="N1388" s="123"/>
    </row>
    <row r="1389" spans="1:14" customFormat="1" x14ac:dyDescent="0.55000000000000004">
      <c r="A1389" s="97" t="s">
        <v>780</v>
      </c>
      <c r="B1389" t="s">
        <v>153</v>
      </c>
      <c r="C1389" t="s">
        <v>127</v>
      </c>
      <c r="D1389" t="s">
        <v>2994</v>
      </c>
      <c r="E1389" s="116">
        <v>0.57599999999999996</v>
      </c>
      <c r="F1389" s="149" t="s">
        <v>138</v>
      </c>
      <c r="G1389" s="149" t="s">
        <v>135</v>
      </c>
      <c r="H1389" t="s">
        <v>39</v>
      </c>
      <c r="I1389" t="s">
        <v>535</v>
      </c>
      <c r="J1389" t="s">
        <v>782</v>
      </c>
      <c r="K1389">
        <v>48</v>
      </c>
      <c r="L1389" s="160"/>
      <c r="M1389" s="61"/>
      <c r="N1389" s="123"/>
    </row>
    <row r="1390" spans="1:14" customFormat="1" x14ac:dyDescent="0.55000000000000004">
      <c r="A1390" s="97" t="s">
        <v>780</v>
      </c>
      <c r="B1390" t="s">
        <v>171</v>
      </c>
      <c r="C1390" t="s">
        <v>127</v>
      </c>
      <c r="D1390" t="s">
        <v>2994</v>
      </c>
      <c r="E1390" s="116">
        <v>6.33</v>
      </c>
      <c r="F1390" s="149" t="s">
        <v>138</v>
      </c>
      <c r="G1390" s="149" t="s">
        <v>135</v>
      </c>
      <c r="H1390" t="s">
        <v>39</v>
      </c>
      <c r="I1390" t="s">
        <v>535</v>
      </c>
      <c r="J1390" t="s">
        <v>782</v>
      </c>
      <c r="K1390">
        <v>49</v>
      </c>
      <c r="L1390" s="160"/>
      <c r="M1390" s="61"/>
      <c r="N1390" s="123"/>
    </row>
    <row r="1391" spans="1:14" customFormat="1" x14ac:dyDescent="0.55000000000000004">
      <c r="A1391" s="97" t="s">
        <v>780</v>
      </c>
      <c r="B1391" t="s">
        <v>160</v>
      </c>
      <c r="C1391" t="s">
        <v>124</v>
      </c>
      <c r="D1391" t="s">
        <v>3288</v>
      </c>
      <c r="E1391" s="116">
        <v>0.36499999999999999</v>
      </c>
      <c r="F1391" s="149" t="s">
        <v>135</v>
      </c>
      <c r="G1391" s="149" t="s">
        <v>135</v>
      </c>
      <c r="H1391" t="s">
        <v>39</v>
      </c>
      <c r="I1391" t="s">
        <v>536</v>
      </c>
      <c r="J1391" t="s">
        <v>782</v>
      </c>
      <c r="K1391">
        <v>48</v>
      </c>
      <c r="L1391" s="160"/>
      <c r="M1391" s="61"/>
      <c r="N1391" s="123"/>
    </row>
    <row r="1392" spans="1:14" customFormat="1" x14ac:dyDescent="0.55000000000000004">
      <c r="A1392" s="65" t="s">
        <v>778</v>
      </c>
      <c r="B1392" t="s">
        <v>290</v>
      </c>
      <c r="C1392" t="s">
        <v>121</v>
      </c>
      <c r="D1392" t="s">
        <v>3288</v>
      </c>
      <c r="E1392" s="116">
        <v>1</v>
      </c>
      <c r="F1392" s="149" t="s">
        <v>768</v>
      </c>
      <c r="G1392" s="149">
        <v>1</v>
      </c>
      <c r="H1392" t="s">
        <v>39</v>
      </c>
      <c r="I1392" t="s">
        <v>542</v>
      </c>
      <c r="J1392" t="s">
        <v>779</v>
      </c>
      <c r="K1392">
        <v>49</v>
      </c>
      <c r="L1392" s="160">
        <v>2601</v>
      </c>
      <c r="M1392" s="61"/>
      <c r="N1392" s="123"/>
    </row>
    <row r="1393" spans="1:14" customFormat="1" x14ac:dyDescent="0.55000000000000004">
      <c r="A1393" s="65" t="s">
        <v>778</v>
      </c>
      <c r="B1393" t="s">
        <v>316</v>
      </c>
      <c r="C1393" t="s">
        <v>132</v>
      </c>
      <c r="D1393" t="s">
        <v>3288</v>
      </c>
      <c r="E1393" s="116">
        <v>0.8</v>
      </c>
      <c r="F1393" s="149" t="s">
        <v>768</v>
      </c>
      <c r="G1393" s="149" t="s">
        <v>768</v>
      </c>
      <c r="H1393" t="s">
        <v>39</v>
      </c>
      <c r="I1393" t="s">
        <v>535</v>
      </c>
      <c r="J1393" t="s">
        <v>779</v>
      </c>
      <c r="K1393">
        <v>50</v>
      </c>
      <c r="L1393" s="160"/>
      <c r="M1393" s="61"/>
      <c r="N1393" s="123"/>
    </row>
    <row r="1394" spans="1:14" customFormat="1" x14ac:dyDescent="0.55000000000000004">
      <c r="A1394" s="65" t="s">
        <v>778</v>
      </c>
      <c r="B1394" t="s">
        <v>131</v>
      </c>
      <c r="C1394" t="s">
        <v>125</v>
      </c>
      <c r="D1394" t="s">
        <v>3288</v>
      </c>
      <c r="E1394" s="116">
        <v>0.18</v>
      </c>
      <c r="F1394" s="149" t="s">
        <v>768</v>
      </c>
      <c r="G1394" s="149" t="s">
        <v>768</v>
      </c>
      <c r="H1394" t="s">
        <v>39</v>
      </c>
      <c r="I1394" t="s">
        <v>535</v>
      </c>
      <c r="J1394" t="s">
        <v>779</v>
      </c>
      <c r="K1394">
        <v>50</v>
      </c>
      <c r="L1394" s="160"/>
      <c r="M1394" s="61"/>
      <c r="N1394" s="123"/>
    </row>
    <row r="1395" spans="1:14" customFormat="1" x14ac:dyDescent="0.55000000000000004">
      <c r="A1395" s="65" t="s">
        <v>778</v>
      </c>
      <c r="B1395" t="s">
        <v>293</v>
      </c>
      <c r="C1395" t="s">
        <v>348</v>
      </c>
      <c r="D1395" t="s">
        <v>3288</v>
      </c>
      <c r="E1395" s="116">
        <v>0.04</v>
      </c>
      <c r="F1395" s="149" t="s">
        <v>768</v>
      </c>
      <c r="G1395" s="149" t="s">
        <v>768</v>
      </c>
      <c r="H1395" t="s">
        <v>39</v>
      </c>
      <c r="I1395" t="s">
        <v>554</v>
      </c>
      <c r="J1395" t="s">
        <v>779</v>
      </c>
      <c r="L1395" s="160"/>
      <c r="M1395" s="61"/>
      <c r="N1395" s="123"/>
    </row>
    <row r="1396" spans="1:14" customFormat="1" x14ac:dyDescent="0.55000000000000004">
      <c r="A1396" s="65" t="s">
        <v>778</v>
      </c>
      <c r="B1396" t="s">
        <v>153</v>
      </c>
      <c r="C1396" t="s">
        <v>127</v>
      </c>
      <c r="D1396" t="s">
        <v>2994</v>
      </c>
      <c r="E1396" s="116">
        <v>0.124</v>
      </c>
      <c r="F1396" s="149" t="s">
        <v>765</v>
      </c>
      <c r="G1396" s="149" t="s">
        <v>768</v>
      </c>
      <c r="H1396" t="s">
        <v>39</v>
      </c>
      <c r="I1396" t="s">
        <v>535</v>
      </c>
      <c r="J1396" t="s">
        <v>779</v>
      </c>
      <c r="K1396">
        <v>50</v>
      </c>
      <c r="L1396" s="160"/>
      <c r="M1396" s="61"/>
      <c r="N1396" s="123"/>
    </row>
    <row r="1397" spans="1:14" customFormat="1" x14ac:dyDescent="0.55000000000000004">
      <c r="A1397" s="65" t="s">
        <v>778</v>
      </c>
      <c r="B1397" t="s">
        <v>171</v>
      </c>
      <c r="C1397" t="s">
        <v>127</v>
      </c>
      <c r="D1397" t="s">
        <v>2994</v>
      </c>
      <c r="E1397" s="116">
        <v>0.04</v>
      </c>
      <c r="F1397" s="149" t="s">
        <v>765</v>
      </c>
      <c r="G1397" s="149" t="s">
        <v>768</v>
      </c>
      <c r="H1397" t="s">
        <v>39</v>
      </c>
      <c r="I1397" t="s">
        <v>543</v>
      </c>
      <c r="J1397" t="s">
        <v>779</v>
      </c>
      <c r="K1397">
        <v>48</v>
      </c>
      <c r="L1397" s="160"/>
      <c r="M1397" s="61"/>
      <c r="N1397" s="123"/>
    </row>
    <row r="1398" spans="1:14" customFormat="1" x14ac:dyDescent="0.55000000000000004">
      <c r="A1398" s="65" t="s">
        <v>778</v>
      </c>
      <c r="B1398" t="s">
        <v>160</v>
      </c>
      <c r="C1398" t="s">
        <v>124</v>
      </c>
      <c r="D1398" t="s">
        <v>3288</v>
      </c>
      <c r="E1398" s="116">
        <v>7.0000000000000007E-2</v>
      </c>
      <c r="F1398" s="149" t="s">
        <v>768</v>
      </c>
      <c r="G1398" s="149" t="s">
        <v>768</v>
      </c>
      <c r="H1398" t="s">
        <v>39</v>
      </c>
      <c r="I1398" t="s">
        <v>543</v>
      </c>
      <c r="J1398" t="s">
        <v>779</v>
      </c>
      <c r="K1398">
        <v>48</v>
      </c>
      <c r="L1398" s="160"/>
      <c r="M1398" s="61"/>
      <c r="N1398" s="123"/>
    </row>
    <row r="1399" spans="1:14" customFormat="1" x14ac:dyDescent="0.55000000000000004">
      <c r="A1399" s="65" t="s">
        <v>775</v>
      </c>
      <c r="B1399" t="s">
        <v>287</v>
      </c>
      <c r="C1399" t="s">
        <v>121</v>
      </c>
      <c r="D1399" t="s">
        <v>3288</v>
      </c>
      <c r="E1399" s="116">
        <v>1</v>
      </c>
      <c r="F1399" s="149" t="s">
        <v>768</v>
      </c>
      <c r="G1399" s="149">
        <v>1</v>
      </c>
      <c r="H1399" t="s">
        <v>39</v>
      </c>
      <c r="I1399" t="s">
        <v>536</v>
      </c>
      <c r="J1399" t="s">
        <v>776</v>
      </c>
      <c r="K1399">
        <v>48</v>
      </c>
      <c r="L1399" s="160">
        <v>7201</v>
      </c>
      <c r="M1399" s="61"/>
      <c r="N1399" s="123"/>
    </row>
    <row r="1400" spans="1:14" customFormat="1" x14ac:dyDescent="0.55000000000000004">
      <c r="A1400" s="65" t="s">
        <v>775</v>
      </c>
      <c r="B1400" t="s">
        <v>735</v>
      </c>
      <c r="C1400" t="s">
        <v>163</v>
      </c>
      <c r="D1400" t="s">
        <v>3288</v>
      </c>
      <c r="E1400" s="116">
        <v>0.26</v>
      </c>
      <c r="F1400" s="149" t="s">
        <v>768</v>
      </c>
      <c r="G1400" s="149" t="s">
        <v>768</v>
      </c>
      <c r="H1400" t="s">
        <v>39</v>
      </c>
      <c r="I1400" t="s">
        <v>552</v>
      </c>
      <c r="J1400" t="s">
        <v>776</v>
      </c>
      <c r="K1400">
        <v>50</v>
      </c>
      <c r="L1400" s="160"/>
      <c r="M1400" s="61"/>
      <c r="N1400" s="123"/>
    </row>
    <row r="1401" spans="1:14" customFormat="1" x14ac:dyDescent="0.55000000000000004">
      <c r="A1401" s="65" t="s">
        <v>775</v>
      </c>
      <c r="B1401" t="s">
        <v>777</v>
      </c>
      <c r="C1401" t="s">
        <v>156</v>
      </c>
      <c r="D1401" t="s">
        <v>2994</v>
      </c>
      <c r="E1401" s="116">
        <v>0.7</v>
      </c>
      <c r="F1401" s="149" t="s">
        <v>765</v>
      </c>
      <c r="G1401" s="149" t="s">
        <v>768</v>
      </c>
      <c r="H1401" t="s">
        <v>39</v>
      </c>
      <c r="I1401" t="s">
        <v>553</v>
      </c>
      <c r="J1401" t="s">
        <v>776</v>
      </c>
      <c r="K1401">
        <v>48</v>
      </c>
      <c r="L1401" s="160"/>
      <c r="M1401" s="61"/>
      <c r="N1401" s="123"/>
    </row>
    <row r="1402" spans="1:14" customFormat="1" x14ac:dyDescent="0.55000000000000004">
      <c r="A1402" s="65" t="s">
        <v>775</v>
      </c>
      <c r="B1402" t="s">
        <v>772</v>
      </c>
      <c r="C1402" t="s">
        <v>156</v>
      </c>
      <c r="D1402" t="s">
        <v>3288</v>
      </c>
      <c r="E1402" s="116">
        <v>0.78600000000000003</v>
      </c>
      <c r="F1402" s="149" t="s">
        <v>768</v>
      </c>
      <c r="G1402" s="149" t="s">
        <v>768</v>
      </c>
      <c r="H1402" t="s">
        <v>39</v>
      </c>
      <c r="I1402" t="s">
        <v>535</v>
      </c>
      <c r="J1402" t="s">
        <v>776</v>
      </c>
      <c r="K1402">
        <v>50</v>
      </c>
      <c r="L1402" s="160"/>
      <c r="M1402" s="61"/>
      <c r="N1402" s="123"/>
    </row>
    <row r="1403" spans="1:14" customFormat="1" x14ac:dyDescent="0.55000000000000004">
      <c r="A1403" s="65" t="s">
        <v>775</v>
      </c>
      <c r="B1403" t="s">
        <v>262</v>
      </c>
      <c r="C1403" t="s">
        <v>127</v>
      </c>
      <c r="D1403" t="s">
        <v>2994</v>
      </c>
      <c r="E1403" s="116">
        <v>5.15</v>
      </c>
      <c r="F1403" s="149" t="s">
        <v>765</v>
      </c>
      <c r="G1403" s="149" t="s">
        <v>768</v>
      </c>
      <c r="H1403" t="s">
        <v>39</v>
      </c>
      <c r="I1403" t="s">
        <v>542</v>
      </c>
      <c r="J1403" t="s">
        <v>776</v>
      </c>
      <c r="K1403">
        <v>49</v>
      </c>
      <c r="L1403" s="160"/>
      <c r="M1403" s="61"/>
      <c r="N1403" s="123"/>
    </row>
    <row r="1404" spans="1:14" customFormat="1" x14ac:dyDescent="0.55000000000000004">
      <c r="A1404" s="65" t="s">
        <v>775</v>
      </c>
      <c r="B1404" t="s">
        <v>153</v>
      </c>
      <c r="C1404" t="s">
        <v>127</v>
      </c>
      <c r="D1404" t="s">
        <v>2994</v>
      </c>
      <c r="E1404" s="116">
        <v>0.30099999999999999</v>
      </c>
      <c r="F1404" s="149" t="s">
        <v>765</v>
      </c>
      <c r="G1404" s="149" t="s">
        <v>768</v>
      </c>
      <c r="H1404" t="s">
        <v>39</v>
      </c>
      <c r="I1404" t="s">
        <v>540</v>
      </c>
      <c r="J1404" t="s">
        <v>776</v>
      </c>
      <c r="K1404">
        <v>48</v>
      </c>
      <c r="L1404" s="160"/>
      <c r="M1404" s="61"/>
      <c r="N1404" s="123"/>
    </row>
    <row r="1405" spans="1:14" customFormat="1" x14ac:dyDescent="0.55000000000000004">
      <c r="A1405" s="65" t="s">
        <v>775</v>
      </c>
      <c r="B1405" t="s">
        <v>213</v>
      </c>
      <c r="C1405" t="s">
        <v>125</v>
      </c>
      <c r="D1405" t="s">
        <v>3288</v>
      </c>
      <c r="E1405" s="116">
        <v>266</v>
      </c>
      <c r="F1405" s="149" t="s">
        <v>763</v>
      </c>
      <c r="G1405" s="149" t="s">
        <v>768</v>
      </c>
      <c r="H1405" t="s">
        <v>39</v>
      </c>
      <c r="I1405" t="s">
        <v>535</v>
      </c>
      <c r="J1405" t="s">
        <v>776</v>
      </c>
      <c r="K1405" t="s">
        <v>535</v>
      </c>
      <c r="L1405" s="160"/>
      <c r="M1405" s="61"/>
      <c r="N1405" s="123"/>
    </row>
    <row r="1406" spans="1:14" customFormat="1" x14ac:dyDescent="0.55000000000000004">
      <c r="A1406" s="65" t="s">
        <v>775</v>
      </c>
      <c r="B1406" t="s">
        <v>290</v>
      </c>
      <c r="C1406" t="s">
        <v>125</v>
      </c>
      <c r="D1406" t="s">
        <v>3288</v>
      </c>
      <c r="E1406" s="116">
        <v>0.79200000000000004</v>
      </c>
      <c r="F1406" s="149" t="s">
        <v>768</v>
      </c>
      <c r="G1406" s="149" t="s">
        <v>768</v>
      </c>
      <c r="H1406" t="s">
        <v>39</v>
      </c>
      <c r="I1406" t="s">
        <v>543</v>
      </c>
      <c r="J1406" t="s">
        <v>776</v>
      </c>
      <c r="K1406">
        <v>48</v>
      </c>
      <c r="L1406" s="160"/>
      <c r="M1406" s="61"/>
      <c r="N1406" s="123"/>
    </row>
    <row r="1407" spans="1:14" customFormat="1" x14ac:dyDescent="0.55000000000000004">
      <c r="A1407" s="65" t="s">
        <v>775</v>
      </c>
      <c r="B1407" t="s">
        <v>323</v>
      </c>
      <c r="C1407" t="s">
        <v>125</v>
      </c>
      <c r="D1407" t="s">
        <v>3288</v>
      </c>
      <c r="E1407" s="116">
        <v>0.79200000000000004</v>
      </c>
      <c r="F1407" s="149" t="s">
        <v>768</v>
      </c>
      <c r="G1407" s="149" t="s">
        <v>768</v>
      </c>
      <c r="H1407" t="s">
        <v>39</v>
      </c>
      <c r="I1407" t="s">
        <v>535</v>
      </c>
      <c r="J1407" t="s">
        <v>776</v>
      </c>
      <c r="K1407">
        <v>50</v>
      </c>
      <c r="L1407" s="160"/>
      <c r="M1407" s="61"/>
      <c r="N1407" s="123"/>
    </row>
    <row r="1408" spans="1:14" customFormat="1" x14ac:dyDescent="0.55000000000000004">
      <c r="A1408" s="65" t="s">
        <v>775</v>
      </c>
      <c r="B1408" t="s">
        <v>298</v>
      </c>
      <c r="C1408" t="s">
        <v>156</v>
      </c>
      <c r="D1408" t="s">
        <v>2994</v>
      </c>
      <c r="E1408" s="116">
        <v>0.28999999999999998</v>
      </c>
      <c r="F1408" s="149" t="s">
        <v>765</v>
      </c>
      <c r="G1408" s="149" t="s">
        <v>768</v>
      </c>
      <c r="H1408" t="s">
        <v>39</v>
      </c>
      <c r="I1408" t="s">
        <v>535</v>
      </c>
      <c r="J1408" t="s">
        <v>776</v>
      </c>
      <c r="K1408">
        <v>50</v>
      </c>
      <c r="L1408" s="160"/>
      <c r="M1408" s="61"/>
      <c r="N1408" s="123"/>
    </row>
    <row r="1409" spans="1:14" customFormat="1" x14ac:dyDescent="0.55000000000000004">
      <c r="A1409" s="65" t="s">
        <v>775</v>
      </c>
      <c r="B1409" t="s">
        <v>293</v>
      </c>
      <c r="C1409" t="s">
        <v>348</v>
      </c>
      <c r="D1409" t="s">
        <v>3288</v>
      </c>
      <c r="E1409" s="116">
        <v>0.187</v>
      </c>
      <c r="F1409" s="149" t="s">
        <v>768</v>
      </c>
      <c r="G1409" s="149" t="s">
        <v>768</v>
      </c>
      <c r="H1409" t="s">
        <v>39</v>
      </c>
      <c r="I1409" t="s">
        <v>535</v>
      </c>
      <c r="J1409" t="s">
        <v>776</v>
      </c>
      <c r="K1409">
        <v>50</v>
      </c>
      <c r="L1409" s="160"/>
      <c r="M1409" s="61"/>
      <c r="N1409" s="123"/>
    </row>
    <row r="1410" spans="1:14" customFormat="1" x14ac:dyDescent="0.55000000000000004">
      <c r="A1410" s="65" t="s">
        <v>775</v>
      </c>
      <c r="B1410" t="s">
        <v>160</v>
      </c>
      <c r="C1410" t="s">
        <v>124</v>
      </c>
      <c r="D1410" t="s">
        <v>3288</v>
      </c>
      <c r="E1410" s="116">
        <v>4.8899999999999999E-2</v>
      </c>
      <c r="F1410" s="149" t="s">
        <v>768</v>
      </c>
      <c r="G1410" s="149" t="s">
        <v>768</v>
      </c>
      <c r="H1410" t="s">
        <v>39</v>
      </c>
      <c r="I1410" t="s">
        <v>542</v>
      </c>
      <c r="J1410" t="s">
        <v>776</v>
      </c>
      <c r="K1410">
        <v>49</v>
      </c>
      <c r="L1410" s="160"/>
      <c r="M1410" s="61"/>
      <c r="N1410" s="123"/>
    </row>
    <row r="1411" spans="1:14" customFormat="1" x14ac:dyDescent="0.55000000000000004">
      <c r="A1411" s="65" t="s">
        <v>773</v>
      </c>
      <c r="B1411" t="s">
        <v>339</v>
      </c>
      <c r="C1411" t="s">
        <v>121</v>
      </c>
      <c r="D1411" t="s">
        <v>3288</v>
      </c>
      <c r="E1411" s="116">
        <v>1</v>
      </c>
      <c r="F1411" s="149" t="s">
        <v>768</v>
      </c>
      <c r="G1411" s="149">
        <v>1</v>
      </c>
      <c r="H1411" t="s">
        <v>39</v>
      </c>
      <c r="I1411" t="s">
        <v>548</v>
      </c>
      <c r="J1411" t="s">
        <v>774</v>
      </c>
      <c r="K1411" t="s">
        <v>535</v>
      </c>
      <c r="L1411" s="160">
        <v>7206</v>
      </c>
      <c r="M1411" s="61"/>
      <c r="N1411" s="123"/>
    </row>
    <row r="1412" spans="1:14" customFormat="1" x14ac:dyDescent="0.55000000000000004">
      <c r="A1412" s="65" t="s">
        <v>773</v>
      </c>
      <c r="B1412" t="s">
        <v>735</v>
      </c>
      <c r="C1412" t="s">
        <v>163</v>
      </c>
      <c r="D1412" t="s">
        <v>3288</v>
      </c>
      <c r="E1412" s="116">
        <v>5.2900000000000003E-2</v>
      </c>
      <c r="F1412" s="149" t="s">
        <v>768</v>
      </c>
      <c r="G1412" s="149" t="s">
        <v>768</v>
      </c>
      <c r="H1412" t="s">
        <v>39</v>
      </c>
      <c r="I1412" t="s">
        <v>535</v>
      </c>
      <c r="J1412" t="s">
        <v>774</v>
      </c>
      <c r="K1412">
        <v>50</v>
      </c>
      <c r="L1412" s="160"/>
      <c r="M1412" s="61"/>
      <c r="N1412" s="123"/>
    </row>
    <row r="1413" spans="1:14" customFormat="1" x14ac:dyDescent="0.55000000000000004">
      <c r="A1413" s="65" t="s">
        <v>773</v>
      </c>
      <c r="B1413" t="s">
        <v>213</v>
      </c>
      <c r="C1413" t="s">
        <v>125</v>
      </c>
      <c r="D1413" t="s">
        <v>3288</v>
      </c>
      <c r="E1413" s="116">
        <v>399</v>
      </c>
      <c r="F1413" s="149" t="s">
        <v>763</v>
      </c>
      <c r="G1413" s="149" t="s">
        <v>768</v>
      </c>
      <c r="H1413" t="s">
        <v>39</v>
      </c>
      <c r="I1413" t="s">
        <v>535</v>
      </c>
      <c r="J1413" t="s">
        <v>774</v>
      </c>
      <c r="K1413">
        <v>48</v>
      </c>
      <c r="L1413" s="160"/>
      <c r="M1413" s="61"/>
      <c r="N1413" s="123"/>
    </row>
    <row r="1414" spans="1:14" customFormat="1" x14ac:dyDescent="0.55000000000000004">
      <c r="A1414" s="65" t="s">
        <v>773</v>
      </c>
      <c r="B1414" t="s">
        <v>316</v>
      </c>
      <c r="C1414" t="s">
        <v>132</v>
      </c>
      <c r="D1414" t="s">
        <v>3288</v>
      </c>
      <c r="E1414" s="116">
        <v>1.48</v>
      </c>
      <c r="F1414" s="149" t="s">
        <v>768</v>
      </c>
      <c r="G1414" s="149" t="s">
        <v>768</v>
      </c>
      <c r="H1414" t="s">
        <v>39</v>
      </c>
      <c r="I1414" t="s">
        <v>543</v>
      </c>
      <c r="J1414" t="s">
        <v>774</v>
      </c>
      <c r="K1414">
        <v>48</v>
      </c>
      <c r="L1414" s="160"/>
      <c r="M1414" s="61"/>
      <c r="N1414" s="123"/>
    </row>
    <row r="1415" spans="1:14" customFormat="1" x14ac:dyDescent="0.55000000000000004">
      <c r="A1415" s="65" t="s">
        <v>773</v>
      </c>
      <c r="B1415" t="s">
        <v>153</v>
      </c>
      <c r="C1415" t="s">
        <v>127</v>
      </c>
      <c r="D1415" t="s">
        <v>2994</v>
      </c>
      <c r="E1415" s="116">
        <v>14.2</v>
      </c>
      <c r="F1415" s="149" t="s">
        <v>765</v>
      </c>
      <c r="G1415" s="149" t="s">
        <v>768</v>
      </c>
      <c r="H1415" t="s">
        <v>39</v>
      </c>
      <c r="I1415" t="s">
        <v>549</v>
      </c>
      <c r="J1415" t="s">
        <v>774</v>
      </c>
      <c r="K1415">
        <v>49</v>
      </c>
      <c r="L1415" s="160"/>
      <c r="M1415" s="61"/>
      <c r="N1415" s="123"/>
    </row>
    <row r="1416" spans="1:14" customFormat="1" x14ac:dyDescent="0.55000000000000004">
      <c r="A1416" s="65" t="s">
        <v>770</v>
      </c>
      <c r="B1416" t="s">
        <v>315</v>
      </c>
      <c r="C1416" t="s">
        <v>121</v>
      </c>
      <c r="D1416" t="s">
        <v>3288</v>
      </c>
      <c r="E1416" s="116">
        <v>1</v>
      </c>
      <c r="F1416" s="149" t="s">
        <v>768</v>
      </c>
      <c r="G1416" s="149">
        <v>1</v>
      </c>
      <c r="H1416" t="s">
        <v>39</v>
      </c>
      <c r="I1416" t="s">
        <v>536</v>
      </c>
      <c r="J1416" t="s">
        <v>771</v>
      </c>
      <c r="K1416">
        <v>48</v>
      </c>
      <c r="L1416" s="160">
        <v>7203</v>
      </c>
      <c r="M1416" s="61"/>
      <c r="N1416" s="123"/>
    </row>
    <row r="1417" spans="1:14" customFormat="1" x14ac:dyDescent="0.55000000000000004">
      <c r="A1417" s="65" t="s">
        <v>770</v>
      </c>
      <c r="B1417" t="s">
        <v>772</v>
      </c>
      <c r="C1417" t="s">
        <v>156</v>
      </c>
      <c r="D1417" t="s">
        <v>3288</v>
      </c>
      <c r="E1417" s="116">
        <v>0.39600000000000002</v>
      </c>
      <c r="F1417" s="149" t="s">
        <v>768</v>
      </c>
      <c r="G1417" s="149" t="s">
        <v>768</v>
      </c>
      <c r="H1417" t="s">
        <v>39</v>
      </c>
      <c r="I1417" t="s">
        <v>546</v>
      </c>
      <c r="J1417" t="s">
        <v>771</v>
      </c>
      <c r="K1417">
        <v>49</v>
      </c>
      <c r="L1417" s="160"/>
      <c r="M1417" s="61"/>
      <c r="N1417" s="123"/>
    </row>
    <row r="1418" spans="1:14" customFormat="1" x14ac:dyDescent="0.55000000000000004">
      <c r="A1418" s="65" t="s">
        <v>770</v>
      </c>
      <c r="B1418" t="s">
        <v>323</v>
      </c>
      <c r="C1418" t="s">
        <v>125</v>
      </c>
      <c r="D1418" t="s">
        <v>3288</v>
      </c>
      <c r="E1418" s="116">
        <v>1.33</v>
      </c>
      <c r="F1418" s="149" t="s">
        <v>768</v>
      </c>
      <c r="G1418" s="149" t="s">
        <v>768</v>
      </c>
      <c r="H1418" t="s">
        <v>39</v>
      </c>
      <c r="I1418" t="s">
        <v>547</v>
      </c>
      <c r="J1418" t="s">
        <v>771</v>
      </c>
      <c r="L1418" s="160"/>
      <c r="M1418" s="61"/>
      <c r="N1418" s="123"/>
    </row>
    <row r="1419" spans="1:14" customFormat="1" x14ac:dyDescent="0.55000000000000004">
      <c r="A1419" s="65" t="s">
        <v>770</v>
      </c>
      <c r="B1419" t="s">
        <v>171</v>
      </c>
      <c r="C1419" t="s">
        <v>127</v>
      </c>
      <c r="D1419" t="s">
        <v>2994</v>
      </c>
      <c r="E1419" s="116">
        <v>7.95</v>
      </c>
      <c r="F1419" s="149" t="s">
        <v>765</v>
      </c>
      <c r="G1419" s="149" t="s">
        <v>768</v>
      </c>
      <c r="H1419" t="s">
        <v>39</v>
      </c>
      <c r="I1419" t="s">
        <v>542</v>
      </c>
      <c r="J1419" t="s">
        <v>771</v>
      </c>
      <c r="K1419">
        <v>49</v>
      </c>
      <c r="L1419" s="160"/>
      <c r="M1419" s="61"/>
      <c r="N1419" s="123"/>
    </row>
    <row r="1420" spans="1:14" customFormat="1" x14ac:dyDescent="0.55000000000000004">
      <c r="A1420" s="65" t="s">
        <v>770</v>
      </c>
      <c r="B1420" t="s">
        <v>213</v>
      </c>
      <c r="C1420" t="s">
        <v>125</v>
      </c>
      <c r="D1420" t="s">
        <v>3288</v>
      </c>
      <c r="E1420" s="116">
        <v>212</v>
      </c>
      <c r="F1420" s="149" t="s">
        <v>763</v>
      </c>
      <c r="G1420" s="149" t="s">
        <v>768</v>
      </c>
      <c r="H1420" t="s">
        <v>39</v>
      </c>
      <c r="I1420" t="s">
        <v>535</v>
      </c>
      <c r="J1420" t="s">
        <v>771</v>
      </c>
      <c r="K1420" t="s">
        <v>535</v>
      </c>
      <c r="L1420" s="160"/>
      <c r="M1420" s="61"/>
      <c r="N1420" s="123"/>
    </row>
    <row r="1421" spans="1:14" customFormat="1" x14ac:dyDescent="0.55000000000000004">
      <c r="A1421" s="65" t="s">
        <v>770</v>
      </c>
      <c r="B1421" t="s">
        <v>153</v>
      </c>
      <c r="C1421" t="s">
        <v>127</v>
      </c>
      <c r="D1421" t="s">
        <v>2994</v>
      </c>
      <c r="E1421" s="116">
        <v>0.63200000000000001</v>
      </c>
      <c r="F1421" s="149" t="s">
        <v>765</v>
      </c>
      <c r="G1421" s="149" t="s">
        <v>768</v>
      </c>
      <c r="H1421" t="s">
        <v>39</v>
      </c>
      <c r="I1421" t="s">
        <v>543</v>
      </c>
      <c r="J1421" t="s">
        <v>771</v>
      </c>
      <c r="K1421">
        <v>48</v>
      </c>
      <c r="L1421" s="160"/>
      <c r="M1421" s="61"/>
      <c r="N1421" s="123"/>
    </row>
    <row r="1422" spans="1:14" customFormat="1" x14ac:dyDescent="0.55000000000000004">
      <c r="A1422" s="65" t="s">
        <v>770</v>
      </c>
      <c r="B1422" t="s">
        <v>160</v>
      </c>
      <c r="C1422" t="s">
        <v>124</v>
      </c>
      <c r="D1422" t="s">
        <v>3288</v>
      </c>
      <c r="E1422" s="116">
        <v>2.7799999999999998E-2</v>
      </c>
      <c r="F1422" s="149" t="s">
        <v>768</v>
      </c>
      <c r="G1422" s="149" t="s">
        <v>768</v>
      </c>
      <c r="H1422" t="s">
        <v>39</v>
      </c>
      <c r="I1422" t="s">
        <v>540</v>
      </c>
      <c r="J1422" t="s">
        <v>771</v>
      </c>
      <c r="K1422">
        <v>48</v>
      </c>
      <c r="L1422" s="160"/>
      <c r="M1422" s="61"/>
      <c r="N1422" s="123"/>
    </row>
    <row r="1423" spans="1:14" customFormat="1" x14ac:dyDescent="0.55000000000000004">
      <c r="A1423" s="65" t="s">
        <v>766</v>
      </c>
      <c r="B1423" t="s">
        <v>767</v>
      </c>
      <c r="C1423" t="s">
        <v>121</v>
      </c>
      <c r="D1423" t="s">
        <v>3288</v>
      </c>
      <c r="E1423" s="116">
        <v>1</v>
      </c>
      <c r="F1423" s="149" t="s">
        <v>768</v>
      </c>
      <c r="G1423" s="149">
        <v>1</v>
      </c>
      <c r="H1423" t="s">
        <v>39</v>
      </c>
      <c r="I1423" t="s">
        <v>541</v>
      </c>
      <c r="J1423" t="s">
        <v>769</v>
      </c>
      <c r="L1423" s="160">
        <v>7208</v>
      </c>
      <c r="M1423" s="61"/>
      <c r="N1423" s="123"/>
    </row>
    <row r="1424" spans="1:14" customFormat="1" x14ac:dyDescent="0.55000000000000004">
      <c r="A1424" s="65" t="s">
        <v>766</v>
      </c>
      <c r="B1424" t="s">
        <v>735</v>
      </c>
      <c r="C1424" t="s">
        <v>163</v>
      </c>
      <c r="D1424" t="s">
        <v>3288</v>
      </c>
      <c r="E1424" s="116">
        <v>0.05</v>
      </c>
      <c r="F1424" s="149" t="s">
        <v>768</v>
      </c>
      <c r="G1424" s="149" t="s">
        <v>768</v>
      </c>
      <c r="H1424" t="s">
        <v>39</v>
      </c>
      <c r="I1424" t="s">
        <v>539</v>
      </c>
      <c r="J1424" t="s">
        <v>769</v>
      </c>
      <c r="K1424">
        <v>50</v>
      </c>
      <c r="L1424" s="160"/>
      <c r="M1424" s="61"/>
      <c r="N1424" s="123"/>
    </row>
    <row r="1425" spans="1:14" customFormat="1" x14ac:dyDescent="0.55000000000000004">
      <c r="A1425" s="65" t="s">
        <v>766</v>
      </c>
      <c r="B1425" t="s">
        <v>213</v>
      </c>
      <c r="C1425" t="s">
        <v>125</v>
      </c>
      <c r="D1425" t="s">
        <v>3288</v>
      </c>
      <c r="E1425" s="116">
        <v>390</v>
      </c>
      <c r="F1425" s="149" t="s">
        <v>763</v>
      </c>
      <c r="G1425" s="149" t="s">
        <v>768</v>
      </c>
      <c r="H1425" t="s">
        <v>39</v>
      </c>
      <c r="I1425" t="s">
        <v>542</v>
      </c>
      <c r="J1425" t="s">
        <v>769</v>
      </c>
      <c r="K1425">
        <v>49</v>
      </c>
      <c r="L1425" s="160"/>
      <c r="M1425" s="61"/>
      <c r="N1425" s="123"/>
    </row>
    <row r="1426" spans="1:14" customFormat="1" x14ac:dyDescent="0.55000000000000004">
      <c r="A1426" s="65" t="s">
        <v>766</v>
      </c>
      <c r="B1426" t="s">
        <v>316</v>
      </c>
      <c r="C1426" t="s">
        <v>132</v>
      </c>
      <c r="D1426" t="s">
        <v>3288</v>
      </c>
      <c r="E1426" s="116">
        <v>1.46</v>
      </c>
      <c r="F1426" s="149" t="s">
        <v>768</v>
      </c>
      <c r="G1426" s="149" t="s">
        <v>768</v>
      </c>
      <c r="H1426" t="s">
        <v>39</v>
      </c>
      <c r="I1426" t="s">
        <v>543</v>
      </c>
      <c r="J1426" t="s">
        <v>769</v>
      </c>
      <c r="K1426">
        <v>48</v>
      </c>
      <c r="L1426" s="160"/>
      <c r="M1426" s="61"/>
      <c r="N1426" s="123"/>
    </row>
    <row r="1427" spans="1:14" customFormat="1" x14ac:dyDescent="0.55000000000000004">
      <c r="A1427" s="65" t="s">
        <v>766</v>
      </c>
      <c r="B1427" t="s">
        <v>153</v>
      </c>
      <c r="C1427" t="s">
        <v>127</v>
      </c>
      <c r="D1427" t="s">
        <v>2994</v>
      </c>
      <c r="E1427" s="116">
        <v>9.61</v>
      </c>
      <c r="F1427" s="149" t="s">
        <v>765</v>
      </c>
      <c r="G1427" s="149" t="s">
        <v>768</v>
      </c>
      <c r="H1427" t="s">
        <v>39</v>
      </c>
      <c r="I1427" t="s">
        <v>543</v>
      </c>
      <c r="J1427" t="s">
        <v>769</v>
      </c>
      <c r="K1427">
        <v>48</v>
      </c>
      <c r="L1427" s="160"/>
      <c r="M1427" s="61"/>
      <c r="N1427" s="123"/>
    </row>
    <row r="1428" spans="1:14" customFormat="1" x14ac:dyDescent="0.55000000000000004">
      <c r="A1428" s="65" t="s">
        <v>766</v>
      </c>
      <c r="B1428" t="s">
        <v>131</v>
      </c>
      <c r="C1428" t="s">
        <v>125</v>
      </c>
      <c r="D1428" t="s">
        <v>3288</v>
      </c>
      <c r="E1428" s="116">
        <v>2.76E-2</v>
      </c>
      <c r="F1428" s="149" t="s">
        <v>768</v>
      </c>
      <c r="G1428" s="149" t="s">
        <v>768</v>
      </c>
      <c r="H1428" t="s">
        <v>39</v>
      </c>
      <c r="I1428" t="s">
        <v>540</v>
      </c>
      <c r="J1428" t="s">
        <v>769</v>
      </c>
      <c r="K1428">
        <v>48</v>
      </c>
      <c r="L1428" s="160"/>
      <c r="M1428" s="61"/>
      <c r="N1428" s="123"/>
    </row>
    <row r="1429" spans="1:14" customFormat="1" x14ac:dyDescent="0.55000000000000004">
      <c r="A1429" s="65" t="s">
        <v>766</v>
      </c>
      <c r="B1429" t="s">
        <v>160</v>
      </c>
      <c r="C1429" t="s">
        <v>124</v>
      </c>
      <c r="D1429" t="s">
        <v>3288</v>
      </c>
      <c r="E1429" s="116">
        <v>1.2200000000000001E-2</v>
      </c>
      <c r="F1429" s="149" t="s">
        <v>768</v>
      </c>
      <c r="G1429" s="149" t="s">
        <v>768</v>
      </c>
      <c r="H1429" t="s">
        <v>39</v>
      </c>
      <c r="I1429" t="s">
        <v>535</v>
      </c>
      <c r="J1429" t="s">
        <v>769</v>
      </c>
      <c r="K1429" t="s">
        <v>535</v>
      </c>
      <c r="L1429" s="160"/>
      <c r="M1429" s="61"/>
      <c r="N1429" s="123"/>
    </row>
    <row r="1430" spans="1:14" customFormat="1" x14ac:dyDescent="0.55000000000000004">
      <c r="A1430" s="65" t="s">
        <v>762</v>
      </c>
      <c r="B1430" t="s">
        <v>334</v>
      </c>
      <c r="C1430" t="s">
        <v>121</v>
      </c>
      <c r="D1430" t="s">
        <v>3288</v>
      </c>
      <c r="E1430" s="116">
        <v>1</v>
      </c>
      <c r="F1430" s="149" t="s">
        <v>763</v>
      </c>
      <c r="G1430" s="149">
        <v>1</v>
      </c>
      <c r="H1430" t="s">
        <v>39</v>
      </c>
      <c r="I1430" t="s">
        <v>535</v>
      </c>
      <c r="J1430" t="s">
        <v>764</v>
      </c>
      <c r="K1430" t="s">
        <v>535</v>
      </c>
      <c r="L1430" s="160">
        <v>2804</v>
      </c>
      <c r="M1430" s="61"/>
      <c r="N1430" s="123"/>
    </row>
    <row r="1431" spans="1:14" customFormat="1" x14ac:dyDescent="0.55000000000000004">
      <c r="A1431" s="65" t="s">
        <v>762</v>
      </c>
      <c r="B1431" t="s">
        <v>213</v>
      </c>
      <c r="C1431" t="s">
        <v>125</v>
      </c>
      <c r="D1431" t="s">
        <v>3288</v>
      </c>
      <c r="E1431" s="116">
        <v>7.91</v>
      </c>
      <c r="F1431" s="149" t="s">
        <v>763</v>
      </c>
      <c r="G1431" s="149" t="s">
        <v>763</v>
      </c>
      <c r="H1431" t="s">
        <v>39</v>
      </c>
      <c r="I1431" t="s">
        <v>536</v>
      </c>
      <c r="J1431" t="s">
        <v>764</v>
      </c>
      <c r="K1431">
        <v>48</v>
      </c>
      <c r="L1431" s="160"/>
      <c r="M1431" s="61"/>
      <c r="N1431" s="123"/>
    </row>
    <row r="1432" spans="1:14" customFormat="1" x14ac:dyDescent="0.55000000000000004">
      <c r="A1432" s="65" t="s">
        <v>762</v>
      </c>
      <c r="B1432" t="s">
        <v>153</v>
      </c>
      <c r="C1432" t="s">
        <v>127</v>
      </c>
      <c r="D1432" t="s">
        <v>2994</v>
      </c>
      <c r="E1432" s="116">
        <v>0.24399999999999999</v>
      </c>
      <c r="F1432" s="149" t="s">
        <v>765</v>
      </c>
      <c r="G1432" s="149" t="s">
        <v>763</v>
      </c>
      <c r="H1432" t="s">
        <v>39</v>
      </c>
      <c r="I1432" t="s">
        <v>535</v>
      </c>
      <c r="J1432" t="s">
        <v>764</v>
      </c>
      <c r="K1432">
        <v>49</v>
      </c>
      <c r="L1432" s="160"/>
      <c r="M1432" s="61"/>
      <c r="N1432" s="123"/>
    </row>
    <row r="1433" spans="1:14" customFormat="1" x14ac:dyDescent="0.55000000000000004">
      <c r="A1433" s="97" t="s">
        <v>756</v>
      </c>
      <c r="B1433" t="s">
        <v>757</v>
      </c>
      <c r="C1433" t="s">
        <v>121</v>
      </c>
      <c r="D1433" t="s">
        <v>3288</v>
      </c>
      <c r="E1433" s="116">
        <v>1</v>
      </c>
      <c r="F1433" s="149" t="s">
        <v>135</v>
      </c>
      <c r="G1433" s="149">
        <v>1</v>
      </c>
      <c r="H1433" t="s">
        <v>39</v>
      </c>
      <c r="I1433" t="s">
        <v>535</v>
      </c>
      <c r="J1433" t="s">
        <v>758</v>
      </c>
      <c r="L1433" s="160">
        <v>7601</v>
      </c>
      <c r="M1433" s="61"/>
      <c r="N1433" s="123"/>
    </row>
    <row r="1434" spans="1:14" customFormat="1" x14ac:dyDescent="0.55000000000000004">
      <c r="A1434" s="97" t="s">
        <v>756</v>
      </c>
      <c r="B1434" t="s">
        <v>759</v>
      </c>
      <c r="C1434" t="s">
        <v>125</v>
      </c>
      <c r="D1434" t="s">
        <v>3288</v>
      </c>
      <c r="E1434" s="116">
        <v>16.5</v>
      </c>
      <c r="F1434" s="149" t="s">
        <v>122</v>
      </c>
      <c r="G1434" s="149" t="s">
        <v>135</v>
      </c>
      <c r="H1434" t="s">
        <v>39</v>
      </c>
      <c r="I1434" t="s">
        <v>536</v>
      </c>
      <c r="J1434" t="s">
        <v>758</v>
      </c>
      <c r="K1434">
        <v>48</v>
      </c>
      <c r="L1434" s="160"/>
      <c r="M1434" s="61"/>
      <c r="N1434" s="123"/>
    </row>
    <row r="1435" spans="1:14" customFormat="1" x14ac:dyDescent="0.55000000000000004">
      <c r="A1435" s="97" t="s">
        <v>756</v>
      </c>
      <c r="B1435" t="s">
        <v>261</v>
      </c>
      <c r="C1435" t="s">
        <v>125</v>
      </c>
      <c r="D1435" t="s">
        <v>3288</v>
      </c>
      <c r="E1435" s="116">
        <v>1.93</v>
      </c>
      <c r="F1435" s="149" t="s">
        <v>135</v>
      </c>
      <c r="G1435" s="149" t="s">
        <v>135</v>
      </c>
      <c r="H1435" t="s">
        <v>39</v>
      </c>
      <c r="I1435" t="s">
        <v>536</v>
      </c>
      <c r="J1435" t="s">
        <v>758</v>
      </c>
      <c r="K1435">
        <v>48</v>
      </c>
      <c r="L1435" s="160"/>
      <c r="M1435" s="61"/>
      <c r="N1435" s="123"/>
    </row>
    <row r="1436" spans="1:14" customFormat="1" x14ac:dyDescent="0.55000000000000004">
      <c r="A1436" s="97" t="s">
        <v>756</v>
      </c>
      <c r="B1436" t="s">
        <v>760</v>
      </c>
      <c r="C1436" t="s">
        <v>207</v>
      </c>
      <c r="D1436" t="s">
        <v>3288</v>
      </c>
      <c r="E1436" s="116">
        <v>0.43</v>
      </c>
      <c r="F1436" s="149" t="s">
        <v>135</v>
      </c>
      <c r="G1436" s="149" t="s">
        <v>135</v>
      </c>
      <c r="H1436" t="s">
        <v>39</v>
      </c>
      <c r="I1436" t="s">
        <v>537</v>
      </c>
      <c r="J1436" t="s">
        <v>758</v>
      </c>
      <c r="K1436">
        <v>49</v>
      </c>
      <c r="L1436" s="160"/>
      <c r="M1436" s="61"/>
      <c r="N1436" s="123"/>
    </row>
    <row r="1437" spans="1:14" customFormat="1" x14ac:dyDescent="0.55000000000000004">
      <c r="A1437" s="97" t="s">
        <v>756</v>
      </c>
      <c r="B1437" t="s">
        <v>153</v>
      </c>
      <c r="C1437" t="s">
        <v>127</v>
      </c>
      <c r="D1437" t="s">
        <v>2994</v>
      </c>
      <c r="E1437" s="116">
        <v>44.4</v>
      </c>
      <c r="F1437" s="149" t="s">
        <v>138</v>
      </c>
      <c r="G1437" s="149" t="s">
        <v>135</v>
      </c>
      <c r="H1437" t="s">
        <v>39</v>
      </c>
      <c r="I1437" t="s">
        <v>538</v>
      </c>
      <c r="J1437" t="s">
        <v>758</v>
      </c>
      <c r="K1437">
        <v>49</v>
      </c>
      <c r="L1437" s="160"/>
      <c r="M1437" s="61"/>
      <c r="N1437" s="123"/>
    </row>
    <row r="1438" spans="1:14" customFormat="1" x14ac:dyDescent="0.55000000000000004">
      <c r="A1438" s="97" t="s">
        <v>756</v>
      </c>
      <c r="B1438" t="s">
        <v>160</v>
      </c>
      <c r="C1438" t="s">
        <v>124</v>
      </c>
      <c r="D1438" t="s">
        <v>3288</v>
      </c>
      <c r="E1438" s="116">
        <v>1.58</v>
      </c>
      <c r="F1438" s="149" t="s">
        <v>135</v>
      </c>
      <c r="G1438" s="149" t="s">
        <v>135</v>
      </c>
      <c r="H1438" t="s">
        <v>39</v>
      </c>
      <c r="I1438" t="s">
        <v>539</v>
      </c>
      <c r="J1438" t="s">
        <v>758</v>
      </c>
      <c r="K1438">
        <v>50</v>
      </c>
      <c r="L1438" s="160"/>
      <c r="M1438" s="61"/>
      <c r="N1438" s="123"/>
    </row>
    <row r="1439" spans="1:14" customFormat="1" x14ac:dyDescent="0.55000000000000004">
      <c r="A1439" s="97" t="s">
        <v>756</v>
      </c>
      <c r="B1439" t="s">
        <v>761</v>
      </c>
      <c r="C1439" t="s">
        <v>124</v>
      </c>
      <c r="D1439" t="s">
        <v>535</v>
      </c>
      <c r="E1439" s="116">
        <v>1.3799999999999999E-4</v>
      </c>
      <c r="F1439" s="149" t="s">
        <v>3287</v>
      </c>
      <c r="G1439" s="149" t="s">
        <v>135</v>
      </c>
      <c r="H1439" t="s">
        <v>39</v>
      </c>
      <c r="I1439" t="s">
        <v>540</v>
      </c>
      <c r="J1439" t="s">
        <v>758</v>
      </c>
      <c r="K1439">
        <v>48</v>
      </c>
      <c r="L1439" s="160"/>
      <c r="M1439" s="61"/>
      <c r="N1439" s="123"/>
    </row>
    <row r="1440" spans="1:14" customFormat="1" x14ac:dyDescent="0.55000000000000004">
      <c r="A1440" s="93" t="s">
        <v>754</v>
      </c>
      <c r="B1440" t="s">
        <v>268</v>
      </c>
      <c r="C1440" t="s">
        <v>121</v>
      </c>
      <c r="D1440" t="s">
        <v>3288</v>
      </c>
      <c r="E1440" s="116">
        <v>1</v>
      </c>
      <c r="F1440" s="149" t="s">
        <v>135</v>
      </c>
      <c r="G1440" s="149">
        <v>1</v>
      </c>
      <c r="H1440" t="s">
        <v>39</v>
      </c>
      <c r="J1440" t="s">
        <v>754</v>
      </c>
      <c r="L1440" s="160">
        <v>7601</v>
      </c>
      <c r="M1440" s="48"/>
      <c r="N1440" s="123"/>
    </row>
    <row r="1441" spans="1:14" customFormat="1" x14ac:dyDescent="0.55000000000000004">
      <c r="A1441" s="93" t="s">
        <v>754</v>
      </c>
      <c r="B1441" s="61" t="s">
        <v>261</v>
      </c>
      <c r="C1441" t="s">
        <v>125</v>
      </c>
      <c r="D1441" t="s">
        <v>3288</v>
      </c>
      <c r="E1441" s="116">
        <v>1.9350000000000001</v>
      </c>
      <c r="F1441" s="149" t="s">
        <v>122</v>
      </c>
      <c r="G1441" s="149" t="s">
        <v>135</v>
      </c>
      <c r="H1441" t="s">
        <v>39</v>
      </c>
      <c r="I1441" s="61"/>
      <c r="J1441" t="s">
        <v>754</v>
      </c>
      <c r="K1441">
        <v>25</v>
      </c>
      <c r="L1441" s="160"/>
      <c r="M1441" s="61"/>
      <c r="N1441" s="123"/>
    </row>
    <row r="1442" spans="1:14" customFormat="1" x14ac:dyDescent="0.55000000000000004">
      <c r="A1442" s="93" t="s">
        <v>754</v>
      </c>
      <c r="B1442" t="s">
        <v>153</v>
      </c>
      <c r="C1442" t="s">
        <v>127</v>
      </c>
      <c r="D1442" t="s">
        <v>2994</v>
      </c>
      <c r="E1442" s="116">
        <v>55.98</v>
      </c>
      <c r="F1442" s="149" t="s">
        <v>138</v>
      </c>
      <c r="G1442" s="149" t="s">
        <v>135</v>
      </c>
      <c r="H1442" s="123" t="s">
        <v>749</v>
      </c>
      <c r="I1442" s="61"/>
      <c r="J1442" t="s">
        <v>754</v>
      </c>
      <c r="K1442" s="61"/>
      <c r="L1442" s="160"/>
      <c r="M1442" s="61"/>
      <c r="N1442" s="123"/>
    </row>
    <row r="1443" spans="1:14" customFormat="1" x14ac:dyDescent="0.55000000000000004">
      <c r="A1443" s="93" t="s">
        <v>754</v>
      </c>
      <c r="B1443" t="s">
        <v>752</v>
      </c>
      <c r="C1443" t="s">
        <v>124</v>
      </c>
      <c r="D1443" t="s">
        <v>3288</v>
      </c>
      <c r="E1443" s="116">
        <v>0.38</v>
      </c>
      <c r="F1443" s="149" t="s">
        <v>3286</v>
      </c>
      <c r="G1443" s="149" t="s">
        <v>135</v>
      </c>
      <c r="H1443" t="s">
        <v>39</v>
      </c>
      <c r="I1443" s="61"/>
      <c r="J1443" t="s">
        <v>754</v>
      </c>
      <c r="K1443" s="61"/>
      <c r="L1443" s="160"/>
      <c r="M1443" s="61"/>
      <c r="N1443" s="123"/>
    </row>
    <row r="1444" spans="1:14" customFormat="1" x14ac:dyDescent="0.55000000000000004">
      <c r="A1444" s="93" t="s">
        <v>754</v>
      </c>
      <c r="B1444" t="s">
        <v>160</v>
      </c>
      <c r="C1444" t="s">
        <v>560</v>
      </c>
      <c r="D1444" t="s">
        <v>3288</v>
      </c>
      <c r="E1444" s="116">
        <v>0.16</v>
      </c>
      <c r="F1444" s="149" t="s">
        <v>135</v>
      </c>
      <c r="G1444" s="149" t="s">
        <v>135</v>
      </c>
      <c r="H1444" t="s">
        <v>39</v>
      </c>
      <c r="I1444" s="61"/>
      <c r="J1444" t="s">
        <v>754</v>
      </c>
      <c r="K1444" s="61"/>
      <c r="L1444" s="160"/>
      <c r="M1444" s="61"/>
      <c r="N1444" s="123"/>
    </row>
    <row r="1445" spans="1:14" customFormat="1" x14ac:dyDescent="0.55000000000000004">
      <c r="A1445" s="93" t="s">
        <v>754</v>
      </c>
      <c r="B1445" t="s">
        <v>160</v>
      </c>
      <c r="C1445" t="s">
        <v>560</v>
      </c>
      <c r="D1445" t="s">
        <v>3288</v>
      </c>
      <c r="E1445" s="116">
        <v>0.2</v>
      </c>
      <c r="F1445" s="149" t="s">
        <v>135</v>
      </c>
      <c r="G1445" s="149" t="s">
        <v>135</v>
      </c>
      <c r="H1445" t="s">
        <v>39</v>
      </c>
      <c r="I1445" t="s">
        <v>753</v>
      </c>
      <c r="J1445" t="s">
        <v>754</v>
      </c>
      <c r="K1445" s="61"/>
      <c r="L1445" s="160"/>
      <c r="M1445" s="61"/>
      <c r="N1445" s="123"/>
    </row>
    <row r="1446" spans="1:14" customFormat="1" x14ac:dyDescent="0.55000000000000004">
      <c r="A1446" s="93" t="s">
        <v>754</v>
      </c>
      <c r="B1446" t="s">
        <v>160</v>
      </c>
      <c r="C1446" t="s">
        <v>560</v>
      </c>
      <c r="D1446" t="s">
        <v>3288</v>
      </c>
      <c r="E1446" s="116">
        <v>0.43</v>
      </c>
      <c r="F1446" s="149" t="s">
        <v>135</v>
      </c>
      <c r="G1446" s="149" t="s">
        <v>135</v>
      </c>
      <c r="H1446" t="s">
        <v>39</v>
      </c>
      <c r="I1446" t="s">
        <v>755</v>
      </c>
      <c r="J1446" t="s">
        <v>754</v>
      </c>
      <c r="K1446" s="61"/>
      <c r="L1446" s="160"/>
      <c r="M1446" s="61"/>
      <c r="N1446" s="123"/>
    </row>
    <row r="1447" spans="1:14" customFormat="1" x14ac:dyDescent="0.55000000000000004">
      <c r="A1447" s="93" t="s">
        <v>750</v>
      </c>
      <c r="B1447" t="s">
        <v>268</v>
      </c>
      <c r="C1447" t="s">
        <v>121</v>
      </c>
      <c r="D1447" t="s">
        <v>3288</v>
      </c>
      <c r="E1447" s="116">
        <v>1</v>
      </c>
      <c r="F1447" s="149" t="s">
        <v>135</v>
      </c>
      <c r="G1447" s="149">
        <v>1</v>
      </c>
      <c r="H1447" t="s">
        <v>39</v>
      </c>
      <c r="I1447" s="68"/>
      <c r="J1447" t="s">
        <v>751</v>
      </c>
      <c r="K1447" s="68"/>
      <c r="L1447" s="160">
        <v>7601</v>
      </c>
      <c r="M1447" s="68"/>
      <c r="N1447" s="123"/>
    </row>
    <row r="1448" spans="1:14" customFormat="1" x14ac:dyDescent="0.55000000000000004">
      <c r="A1448" s="93" t="s">
        <v>750</v>
      </c>
      <c r="B1448" s="61" t="s">
        <v>261</v>
      </c>
      <c r="C1448" t="s">
        <v>125</v>
      </c>
      <c r="D1448" t="s">
        <v>3288</v>
      </c>
      <c r="E1448" s="116">
        <v>1.9350000000000001</v>
      </c>
      <c r="F1448" s="149" t="s">
        <v>122</v>
      </c>
      <c r="G1448" s="149" t="s">
        <v>135</v>
      </c>
      <c r="H1448" t="s">
        <v>39</v>
      </c>
      <c r="I1448" s="68"/>
      <c r="J1448" t="s">
        <v>751</v>
      </c>
      <c r="K1448">
        <v>25</v>
      </c>
      <c r="L1448" s="160"/>
      <c r="M1448" s="68"/>
      <c r="N1448" s="123"/>
    </row>
    <row r="1449" spans="1:14" customFormat="1" x14ac:dyDescent="0.55000000000000004">
      <c r="A1449" s="93" t="s">
        <v>750</v>
      </c>
      <c r="B1449" t="s">
        <v>153</v>
      </c>
      <c r="C1449" t="s">
        <v>127</v>
      </c>
      <c r="D1449" t="s">
        <v>2994</v>
      </c>
      <c r="E1449" s="116">
        <v>55.26</v>
      </c>
      <c r="F1449" s="149" t="s">
        <v>138</v>
      </c>
      <c r="G1449" s="149" t="s">
        <v>135</v>
      </c>
      <c r="H1449" s="123" t="s">
        <v>749</v>
      </c>
      <c r="I1449" s="68"/>
      <c r="J1449" t="s">
        <v>751</v>
      </c>
      <c r="K1449" s="68"/>
      <c r="L1449" s="160"/>
      <c r="M1449" s="68"/>
      <c r="N1449" s="123"/>
    </row>
    <row r="1450" spans="1:14" customFormat="1" x14ac:dyDescent="0.55000000000000004">
      <c r="A1450" s="93" t="s">
        <v>750</v>
      </c>
      <c r="B1450" t="s">
        <v>752</v>
      </c>
      <c r="C1450" t="s">
        <v>124</v>
      </c>
      <c r="D1450" t="s">
        <v>3288</v>
      </c>
      <c r="E1450" s="116">
        <v>0.38</v>
      </c>
      <c r="F1450" s="149" t="s">
        <v>3286</v>
      </c>
      <c r="G1450" s="149" t="s">
        <v>135</v>
      </c>
      <c r="H1450" t="s">
        <v>39</v>
      </c>
      <c r="I1450" s="68"/>
      <c r="J1450" t="s">
        <v>751</v>
      </c>
      <c r="K1450" s="68"/>
      <c r="L1450" s="160"/>
      <c r="M1450" s="68"/>
      <c r="N1450" s="123"/>
    </row>
    <row r="1451" spans="1:14" customFormat="1" x14ac:dyDescent="0.55000000000000004">
      <c r="A1451" s="93" t="s">
        <v>750</v>
      </c>
      <c r="B1451" s="68" t="s">
        <v>160</v>
      </c>
      <c r="C1451" t="s">
        <v>560</v>
      </c>
      <c r="D1451" t="s">
        <v>3288</v>
      </c>
      <c r="E1451" s="116">
        <v>1.55</v>
      </c>
      <c r="F1451" s="149" t="s">
        <v>135</v>
      </c>
      <c r="G1451" s="149" t="s">
        <v>135</v>
      </c>
      <c r="H1451" t="s">
        <v>39</v>
      </c>
      <c r="I1451" s="68"/>
      <c r="J1451" t="s">
        <v>751</v>
      </c>
      <c r="K1451" s="68"/>
      <c r="L1451" s="160"/>
      <c r="M1451" s="68"/>
      <c r="N1451" s="123"/>
    </row>
    <row r="1452" spans="1:14" customFormat="1" x14ac:dyDescent="0.55000000000000004">
      <c r="A1452" s="93" t="s">
        <v>750</v>
      </c>
      <c r="B1452" s="68" t="s">
        <v>160</v>
      </c>
      <c r="C1452" t="s">
        <v>753</v>
      </c>
      <c r="D1452" t="s">
        <v>3288</v>
      </c>
      <c r="E1452" s="116">
        <v>0.2</v>
      </c>
      <c r="F1452" s="149" t="s">
        <v>135</v>
      </c>
      <c r="G1452" s="149" t="s">
        <v>135</v>
      </c>
      <c r="H1452" t="s">
        <v>39</v>
      </c>
      <c r="I1452" s="68"/>
      <c r="J1452" t="s">
        <v>751</v>
      </c>
      <c r="K1452" s="68"/>
      <c r="L1452" s="160"/>
      <c r="M1452" s="68"/>
      <c r="N1452" s="123"/>
    </row>
    <row r="1453" spans="1:14" customFormat="1" x14ac:dyDescent="0.55000000000000004">
      <c r="A1453" s="93" t="s">
        <v>748</v>
      </c>
      <c r="B1453" t="s">
        <v>268</v>
      </c>
      <c r="C1453" t="s">
        <v>121</v>
      </c>
      <c r="D1453" t="s">
        <v>3288</v>
      </c>
      <c r="E1453" s="116">
        <v>1</v>
      </c>
      <c r="F1453" s="149" t="s">
        <v>135</v>
      </c>
      <c r="G1453" s="149">
        <v>1</v>
      </c>
      <c r="H1453" t="s">
        <v>39</v>
      </c>
      <c r="I1453" s="68"/>
      <c r="J1453" t="s">
        <v>748</v>
      </c>
      <c r="K1453" s="68"/>
      <c r="L1453" s="160">
        <v>7601</v>
      </c>
      <c r="M1453" s="68"/>
      <c r="N1453" s="123"/>
    </row>
    <row r="1454" spans="1:14" customFormat="1" x14ac:dyDescent="0.55000000000000004">
      <c r="A1454" s="93" t="s">
        <v>748</v>
      </c>
      <c r="B1454" s="61" t="s">
        <v>261</v>
      </c>
      <c r="C1454" t="s">
        <v>125</v>
      </c>
      <c r="D1454" t="s">
        <v>3288</v>
      </c>
      <c r="E1454" s="116">
        <v>1.9350000000000001</v>
      </c>
      <c r="F1454" s="149" t="s">
        <v>122</v>
      </c>
      <c r="G1454" s="149" t="s">
        <v>135</v>
      </c>
      <c r="H1454" t="s">
        <v>39</v>
      </c>
      <c r="I1454" s="68"/>
      <c r="J1454" t="s">
        <v>748</v>
      </c>
      <c r="K1454">
        <v>25</v>
      </c>
      <c r="L1454" s="160"/>
      <c r="M1454" s="68"/>
      <c r="N1454" s="123"/>
    </row>
    <row r="1455" spans="1:14" customFormat="1" x14ac:dyDescent="0.55000000000000004">
      <c r="A1455" s="93" t="s">
        <v>748</v>
      </c>
      <c r="B1455" t="s">
        <v>153</v>
      </c>
      <c r="C1455" t="s">
        <v>127</v>
      </c>
      <c r="D1455" t="s">
        <v>2994</v>
      </c>
      <c r="E1455" s="116">
        <v>55.26</v>
      </c>
      <c r="F1455" s="149" t="s">
        <v>138</v>
      </c>
      <c r="G1455" s="149" t="s">
        <v>135</v>
      </c>
      <c r="H1455" s="123" t="s">
        <v>749</v>
      </c>
      <c r="I1455" t="s">
        <v>823</v>
      </c>
      <c r="J1455" t="s">
        <v>748</v>
      </c>
      <c r="K1455" s="68"/>
      <c r="L1455" s="160"/>
      <c r="M1455" s="68"/>
      <c r="N1455" s="123"/>
    </row>
    <row r="1456" spans="1:14" customFormat="1" x14ac:dyDescent="0.55000000000000004">
      <c r="A1456" s="93" t="s">
        <v>748</v>
      </c>
      <c r="B1456" t="s">
        <v>160</v>
      </c>
      <c r="C1456" t="s">
        <v>753</v>
      </c>
      <c r="D1456" t="s">
        <v>3288</v>
      </c>
      <c r="E1456" s="116">
        <v>0.1</v>
      </c>
      <c r="F1456" s="149" t="s">
        <v>3286</v>
      </c>
      <c r="G1456" s="149" t="s">
        <v>135</v>
      </c>
      <c r="H1456" t="s">
        <v>39</v>
      </c>
      <c r="I1456" s="68"/>
      <c r="J1456" t="s">
        <v>748</v>
      </c>
      <c r="K1456" s="68"/>
      <c r="L1456" s="160"/>
      <c r="M1456" s="68"/>
      <c r="N1456" s="123"/>
    </row>
    <row r="1457" spans="1:14" customFormat="1" x14ac:dyDescent="0.55000000000000004">
      <c r="A1457" s="54" t="s">
        <v>746</v>
      </c>
      <c r="B1457" t="s">
        <v>236</v>
      </c>
      <c r="C1457" t="s">
        <v>121</v>
      </c>
      <c r="D1457" t="s">
        <v>3288</v>
      </c>
      <c r="E1457" s="116">
        <v>1</v>
      </c>
      <c r="F1457" s="149" t="s">
        <v>135</v>
      </c>
      <c r="G1457" s="149">
        <v>1</v>
      </c>
      <c r="H1457" t="s">
        <v>39</v>
      </c>
      <c r="I1457" s="68"/>
      <c r="J1457" t="s">
        <v>747</v>
      </c>
      <c r="K1457" s="68"/>
      <c r="L1457" s="160">
        <v>2523</v>
      </c>
      <c r="M1457" s="68"/>
      <c r="N1457" s="123"/>
    </row>
    <row r="1458" spans="1:14" customFormat="1" x14ac:dyDescent="0.55000000000000004">
      <c r="A1458" s="54" t="s">
        <v>746</v>
      </c>
      <c r="B1458" t="s">
        <v>230</v>
      </c>
      <c r="C1458" t="s">
        <v>127</v>
      </c>
      <c r="D1458" t="s">
        <v>2994</v>
      </c>
      <c r="E1458" s="116">
        <v>0.06</v>
      </c>
      <c r="F1458" s="149" t="s">
        <v>138</v>
      </c>
      <c r="G1458" s="149" t="s">
        <v>135</v>
      </c>
      <c r="H1458" t="s">
        <v>39</v>
      </c>
      <c r="I1458" s="68"/>
      <c r="J1458" t="s">
        <v>747</v>
      </c>
      <c r="K1458" s="68"/>
      <c r="L1458" s="160"/>
      <c r="M1458" s="68"/>
      <c r="N1458" s="123"/>
    </row>
    <row r="1459" spans="1:14" customFormat="1" x14ac:dyDescent="0.55000000000000004">
      <c r="A1459" s="54" t="s">
        <v>746</v>
      </c>
      <c r="B1459" t="s">
        <v>262</v>
      </c>
      <c r="C1459" t="s">
        <v>127</v>
      </c>
      <c r="D1459" t="s">
        <v>2994</v>
      </c>
      <c r="E1459" s="116">
        <v>0.74</v>
      </c>
      <c r="F1459" s="149" t="s">
        <v>138</v>
      </c>
      <c r="G1459" s="149" t="s">
        <v>135</v>
      </c>
      <c r="H1459" t="s">
        <v>39</v>
      </c>
      <c r="I1459" s="68"/>
      <c r="J1459" t="s">
        <v>747</v>
      </c>
      <c r="K1459" s="68"/>
      <c r="L1459" s="160"/>
      <c r="M1459" s="68"/>
      <c r="N1459" s="123"/>
    </row>
    <row r="1460" spans="1:14" customFormat="1" x14ac:dyDescent="0.55000000000000004">
      <c r="A1460" s="54" t="s">
        <v>746</v>
      </c>
      <c r="B1460" t="s">
        <v>153</v>
      </c>
      <c r="C1460" t="s">
        <v>127</v>
      </c>
      <c r="D1460" t="s">
        <v>2994</v>
      </c>
      <c r="E1460" s="116">
        <v>0.11</v>
      </c>
      <c r="F1460" s="149" t="s">
        <v>138</v>
      </c>
      <c r="G1460" s="149" t="s">
        <v>135</v>
      </c>
      <c r="H1460" t="s">
        <v>39</v>
      </c>
      <c r="I1460" s="68"/>
      <c r="J1460" t="s">
        <v>747</v>
      </c>
      <c r="K1460" s="68"/>
      <c r="L1460" s="160"/>
      <c r="M1460" s="68"/>
      <c r="N1460" s="123"/>
    </row>
    <row r="1461" spans="1:14" customFormat="1" x14ac:dyDescent="0.55000000000000004">
      <c r="A1461" s="54" t="s">
        <v>746</v>
      </c>
      <c r="B1461" t="s">
        <v>445</v>
      </c>
      <c r="C1461" t="s">
        <v>127</v>
      </c>
      <c r="D1461" t="s">
        <v>2994</v>
      </c>
      <c r="E1461" s="116">
        <v>0.19</v>
      </c>
      <c r="F1461" s="149" t="s">
        <v>138</v>
      </c>
      <c r="G1461" s="149" t="s">
        <v>135</v>
      </c>
      <c r="H1461" t="s">
        <v>39</v>
      </c>
      <c r="I1461" s="68"/>
      <c r="J1461" t="s">
        <v>747</v>
      </c>
      <c r="K1461" s="68"/>
      <c r="L1461" s="160"/>
      <c r="M1461" s="68"/>
      <c r="N1461" s="123"/>
    </row>
    <row r="1462" spans="1:14" customFormat="1" x14ac:dyDescent="0.55000000000000004">
      <c r="A1462" s="54" t="s">
        <v>746</v>
      </c>
      <c r="B1462" t="s">
        <v>171</v>
      </c>
      <c r="C1462" t="s">
        <v>127</v>
      </c>
      <c r="D1462" t="s">
        <v>2994</v>
      </c>
      <c r="E1462" s="116">
        <v>0.09</v>
      </c>
      <c r="F1462" s="149" t="s">
        <v>138</v>
      </c>
      <c r="G1462" s="149" t="s">
        <v>135</v>
      </c>
      <c r="H1462" t="s">
        <v>39</v>
      </c>
      <c r="I1462" s="68"/>
      <c r="J1462" t="s">
        <v>747</v>
      </c>
      <c r="K1462" s="68"/>
      <c r="L1462" s="160"/>
      <c r="M1462" s="68"/>
      <c r="N1462" s="123"/>
    </row>
    <row r="1463" spans="1:14" customFormat="1" x14ac:dyDescent="0.55000000000000004">
      <c r="A1463" s="54" t="s">
        <v>746</v>
      </c>
      <c r="B1463" t="s">
        <v>160</v>
      </c>
      <c r="C1463" t="s">
        <v>247</v>
      </c>
      <c r="D1463" t="s">
        <v>3288</v>
      </c>
      <c r="E1463" s="116">
        <v>91.579101204260311</v>
      </c>
      <c r="F1463" s="149" t="s">
        <v>122</v>
      </c>
      <c r="G1463" s="149" t="s">
        <v>135</v>
      </c>
      <c r="H1463" t="s">
        <v>39</v>
      </c>
      <c r="I1463" s="68"/>
      <c r="J1463" t="s">
        <v>747</v>
      </c>
      <c r="K1463" s="68"/>
      <c r="L1463" s="160"/>
      <c r="M1463" s="68"/>
      <c r="N1463" s="123"/>
    </row>
    <row r="1464" spans="1:14" customFormat="1" x14ac:dyDescent="0.55000000000000004">
      <c r="A1464" s="54" t="s">
        <v>745</v>
      </c>
      <c r="B1464" t="s">
        <v>688</v>
      </c>
      <c r="C1464" t="s">
        <v>121</v>
      </c>
      <c r="D1464" t="s">
        <v>3288</v>
      </c>
      <c r="E1464" s="116">
        <v>1</v>
      </c>
      <c r="F1464" s="149" t="s">
        <v>135</v>
      </c>
      <c r="G1464" s="149">
        <v>1</v>
      </c>
      <c r="H1464" t="s">
        <v>39</v>
      </c>
      <c r="I1464" s="68"/>
      <c r="J1464" t="s">
        <v>745</v>
      </c>
      <c r="K1464" s="68"/>
      <c r="L1464" s="160">
        <v>7003</v>
      </c>
      <c r="M1464" s="68"/>
      <c r="N1464" s="123"/>
    </row>
    <row r="1465" spans="1:14" customFormat="1" x14ac:dyDescent="0.55000000000000004">
      <c r="A1465" s="54" t="s">
        <v>745</v>
      </c>
      <c r="B1465" t="s">
        <v>153</v>
      </c>
      <c r="C1465" t="s">
        <v>127</v>
      </c>
      <c r="D1465" t="s">
        <v>2994</v>
      </c>
      <c r="E1465" s="116">
        <v>3.3</v>
      </c>
      <c r="F1465" s="149" t="s">
        <v>138</v>
      </c>
      <c r="G1465" s="149" t="s">
        <v>135</v>
      </c>
      <c r="H1465" t="s">
        <v>39</v>
      </c>
      <c r="I1465" s="68"/>
      <c r="J1465" t="s">
        <v>745</v>
      </c>
      <c r="K1465" s="68"/>
      <c r="L1465" s="160"/>
      <c r="M1465" s="68"/>
      <c r="N1465" s="123"/>
    </row>
    <row r="1466" spans="1:14" customFormat="1" x14ac:dyDescent="0.55000000000000004">
      <c r="A1466" s="54" t="s">
        <v>745</v>
      </c>
      <c r="B1466" t="s">
        <v>691</v>
      </c>
      <c r="C1466" t="s">
        <v>127</v>
      </c>
      <c r="D1466" t="s">
        <v>2994</v>
      </c>
      <c r="E1466" s="116">
        <v>7.5</v>
      </c>
      <c r="F1466" s="149" t="s">
        <v>138</v>
      </c>
      <c r="G1466" s="149" t="s">
        <v>135</v>
      </c>
      <c r="H1466" t="s">
        <v>39</v>
      </c>
      <c r="I1466" s="68"/>
      <c r="J1466" t="s">
        <v>745</v>
      </c>
      <c r="K1466" s="68"/>
      <c r="L1466" s="160"/>
      <c r="M1466" s="68"/>
      <c r="N1466" s="123"/>
    </row>
    <row r="1467" spans="1:14" customFormat="1" x14ac:dyDescent="0.55000000000000004">
      <c r="A1467" s="54" t="s">
        <v>745</v>
      </c>
      <c r="B1467" t="s">
        <v>160</v>
      </c>
      <c r="C1467" t="s">
        <v>247</v>
      </c>
      <c r="D1467" t="s">
        <v>3288</v>
      </c>
      <c r="E1467" s="116">
        <v>553.26038186372705</v>
      </c>
      <c r="F1467" s="149" t="s">
        <v>122</v>
      </c>
      <c r="G1467" s="149" t="s">
        <v>135</v>
      </c>
      <c r="H1467" t="s">
        <v>39</v>
      </c>
      <c r="I1467" s="68"/>
      <c r="J1467" t="s">
        <v>745</v>
      </c>
      <c r="K1467" s="68"/>
      <c r="L1467" s="160"/>
      <c r="M1467" s="68"/>
      <c r="N1467" s="123"/>
    </row>
    <row r="1468" spans="1:14" customFormat="1" x14ac:dyDescent="0.55000000000000004">
      <c r="A1468" s="93" t="s">
        <v>744</v>
      </c>
      <c r="B1468" t="s">
        <v>261</v>
      </c>
      <c r="C1468" t="s">
        <v>121</v>
      </c>
      <c r="D1468" t="s">
        <v>3288</v>
      </c>
      <c r="E1468" s="116">
        <v>1</v>
      </c>
      <c r="F1468" s="149" t="s">
        <v>135</v>
      </c>
      <c r="G1468" s="149">
        <v>1</v>
      </c>
      <c r="H1468" t="s">
        <v>39</v>
      </c>
      <c r="I1468" s="68"/>
      <c r="J1468" t="s">
        <v>744</v>
      </c>
      <c r="K1468" s="68"/>
      <c r="L1468" s="160">
        <v>281820</v>
      </c>
      <c r="M1468" s="68"/>
      <c r="N1468" s="123"/>
    </row>
    <row r="1469" spans="1:14" customFormat="1" x14ac:dyDescent="0.55000000000000004">
      <c r="A1469" s="93" t="s">
        <v>744</v>
      </c>
      <c r="B1469" t="s">
        <v>262</v>
      </c>
      <c r="C1469" t="s">
        <v>127</v>
      </c>
      <c r="D1469" t="s">
        <v>2994</v>
      </c>
      <c r="E1469" s="116">
        <v>8.4700000000000006</v>
      </c>
      <c r="F1469" s="149" t="s">
        <v>138</v>
      </c>
      <c r="G1469" s="149" t="s">
        <v>135</v>
      </c>
      <c r="H1469" t="s">
        <v>39</v>
      </c>
      <c r="I1469" s="68"/>
      <c r="J1469" t="s">
        <v>744</v>
      </c>
      <c r="K1469" s="68"/>
      <c r="L1469" s="160"/>
      <c r="M1469" s="68"/>
      <c r="N1469" s="123"/>
    </row>
    <row r="1470" spans="1:14" customFormat="1" x14ac:dyDescent="0.55000000000000004">
      <c r="A1470" s="93" t="s">
        <v>744</v>
      </c>
      <c r="B1470" t="s">
        <v>153</v>
      </c>
      <c r="C1470" t="s">
        <v>127</v>
      </c>
      <c r="D1470" t="s">
        <v>2994</v>
      </c>
      <c r="E1470" s="116">
        <v>1.07</v>
      </c>
      <c r="F1470" s="149" t="s">
        <v>138</v>
      </c>
      <c r="G1470" s="149" t="s">
        <v>135</v>
      </c>
      <c r="H1470" t="s">
        <v>39</v>
      </c>
      <c r="I1470" s="68"/>
      <c r="J1470" t="s">
        <v>744</v>
      </c>
      <c r="K1470" s="68"/>
      <c r="L1470" s="160"/>
      <c r="M1470" s="68"/>
      <c r="N1470" s="123"/>
    </row>
    <row r="1471" spans="1:14" customFormat="1" x14ac:dyDescent="0.55000000000000004">
      <c r="A1471" s="93" t="s">
        <v>744</v>
      </c>
      <c r="B1471" t="s">
        <v>445</v>
      </c>
      <c r="C1471" t="s">
        <v>127</v>
      </c>
      <c r="D1471" t="s">
        <v>2994</v>
      </c>
      <c r="E1471" s="116">
        <v>1.1299999999999999</v>
      </c>
      <c r="F1471" s="149" t="s">
        <v>138</v>
      </c>
      <c r="G1471" s="149" t="s">
        <v>135</v>
      </c>
      <c r="H1471" t="s">
        <v>39</v>
      </c>
      <c r="I1471" s="68"/>
      <c r="J1471" t="s">
        <v>744</v>
      </c>
      <c r="K1471" s="68"/>
      <c r="L1471" s="160"/>
      <c r="M1471" s="68"/>
      <c r="N1471" s="123"/>
    </row>
    <row r="1472" spans="1:14" customFormat="1" x14ac:dyDescent="0.55000000000000004">
      <c r="A1472" s="93" t="s">
        <v>744</v>
      </c>
      <c r="B1472" t="s">
        <v>171</v>
      </c>
      <c r="C1472" t="s">
        <v>127</v>
      </c>
      <c r="D1472" t="s">
        <v>2994</v>
      </c>
      <c r="E1472" s="116">
        <v>4.03</v>
      </c>
      <c r="F1472" s="149" t="s">
        <v>138</v>
      </c>
      <c r="G1472" s="149" t="s">
        <v>135</v>
      </c>
      <c r="H1472" t="s">
        <v>39</v>
      </c>
      <c r="I1472" s="68"/>
      <c r="J1472" t="s">
        <v>744</v>
      </c>
      <c r="K1472" s="68"/>
      <c r="L1472" s="160"/>
      <c r="M1472" s="68"/>
      <c r="N1472" s="123"/>
    </row>
    <row r="1473" spans="1:14" customFormat="1" x14ac:dyDescent="0.55000000000000004">
      <c r="A1473" s="93" t="s">
        <v>744</v>
      </c>
      <c r="B1473" t="s">
        <v>160</v>
      </c>
      <c r="C1473" t="s">
        <v>247</v>
      </c>
      <c r="D1473" t="s">
        <v>3288</v>
      </c>
      <c r="E1473" s="116">
        <v>1126.3257896425721</v>
      </c>
      <c r="F1473" s="149" t="s">
        <v>122</v>
      </c>
      <c r="G1473" s="149" t="s">
        <v>135</v>
      </c>
      <c r="H1473" t="s">
        <v>39</v>
      </c>
      <c r="I1473" s="68"/>
      <c r="J1473" t="s">
        <v>744</v>
      </c>
      <c r="K1473" s="68"/>
      <c r="L1473" s="160"/>
      <c r="M1473" s="68"/>
      <c r="N1473" s="123"/>
    </row>
    <row r="1474" spans="1:14" customFormat="1" x14ac:dyDescent="0.55000000000000004">
      <c r="A1474" s="54" t="s">
        <v>743</v>
      </c>
      <c r="B1474" t="s">
        <v>236</v>
      </c>
      <c r="C1474" t="s">
        <v>121</v>
      </c>
      <c r="D1474" t="s">
        <v>3288</v>
      </c>
      <c r="E1474" s="116">
        <v>1</v>
      </c>
      <c r="F1474" s="149" t="s">
        <v>135</v>
      </c>
      <c r="G1474" s="149">
        <v>1</v>
      </c>
      <c r="H1474" t="s">
        <v>39</v>
      </c>
      <c r="I1474" s="68"/>
      <c r="J1474" t="s">
        <v>743</v>
      </c>
      <c r="K1474" s="68"/>
      <c r="L1474" s="160">
        <v>2523</v>
      </c>
      <c r="M1474" s="68"/>
      <c r="N1474" s="123"/>
    </row>
    <row r="1475" spans="1:14" customFormat="1" x14ac:dyDescent="0.55000000000000004">
      <c r="A1475" s="54" t="s">
        <v>743</v>
      </c>
      <c r="B1475" t="s">
        <v>230</v>
      </c>
      <c r="C1475" t="s">
        <v>127</v>
      </c>
      <c r="D1475" t="s">
        <v>2994</v>
      </c>
      <c r="E1475" s="116">
        <v>0.2</v>
      </c>
      <c r="F1475" s="149" t="s">
        <v>138</v>
      </c>
      <c r="G1475" s="149" t="s">
        <v>135</v>
      </c>
      <c r="H1475" t="s">
        <v>39</v>
      </c>
      <c r="I1475" s="68"/>
      <c r="J1475" t="s">
        <v>743</v>
      </c>
      <c r="K1475" s="68"/>
      <c r="L1475" s="160"/>
      <c r="M1475" s="68"/>
      <c r="N1475" s="123"/>
    </row>
    <row r="1476" spans="1:14" customFormat="1" x14ac:dyDescent="0.55000000000000004">
      <c r="A1476" s="54" t="s">
        <v>743</v>
      </c>
      <c r="B1476" t="s">
        <v>262</v>
      </c>
      <c r="C1476" t="s">
        <v>127</v>
      </c>
      <c r="D1476" t="s">
        <v>2994</v>
      </c>
      <c r="E1476" s="116">
        <v>2.4</v>
      </c>
      <c r="F1476" s="149" t="s">
        <v>138</v>
      </c>
      <c r="G1476" s="149" t="s">
        <v>135</v>
      </c>
      <c r="H1476" t="s">
        <v>39</v>
      </c>
      <c r="I1476" s="68"/>
      <c r="J1476" t="s">
        <v>743</v>
      </c>
      <c r="K1476" s="68"/>
      <c r="L1476" s="160"/>
      <c r="M1476" s="68"/>
      <c r="N1476" s="123"/>
    </row>
    <row r="1477" spans="1:14" customFormat="1" x14ac:dyDescent="0.55000000000000004">
      <c r="A1477" s="54" t="s">
        <v>743</v>
      </c>
      <c r="B1477" t="s">
        <v>153</v>
      </c>
      <c r="C1477" t="s">
        <v>127</v>
      </c>
      <c r="D1477" t="s">
        <v>2994</v>
      </c>
      <c r="E1477" s="116">
        <v>0.43</v>
      </c>
      <c r="F1477" s="149" t="s">
        <v>138</v>
      </c>
      <c r="G1477" s="149" t="s">
        <v>135</v>
      </c>
      <c r="H1477" t="s">
        <v>39</v>
      </c>
      <c r="I1477" s="68"/>
      <c r="J1477" t="s">
        <v>743</v>
      </c>
      <c r="K1477" s="68"/>
      <c r="L1477" s="160"/>
      <c r="M1477" s="68"/>
      <c r="N1477" s="123"/>
    </row>
    <row r="1478" spans="1:14" customFormat="1" x14ac:dyDescent="0.55000000000000004">
      <c r="A1478" s="54" t="s">
        <v>743</v>
      </c>
      <c r="B1478" t="s">
        <v>445</v>
      </c>
      <c r="C1478" t="s">
        <v>127</v>
      </c>
      <c r="D1478" t="s">
        <v>2994</v>
      </c>
      <c r="E1478" s="116">
        <v>0.6</v>
      </c>
      <c r="F1478" s="149" t="s">
        <v>138</v>
      </c>
      <c r="G1478" s="149" t="s">
        <v>135</v>
      </c>
      <c r="H1478" t="s">
        <v>39</v>
      </c>
      <c r="I1478" s="68"/>
      <c r="J1478" t="s">
        <v>743</v>
      </c>
      <c r="K1478" s="68"/>
      <c r="L1478" s="160"/>
      <c r="M1478" s="68"/>
      <c r="N1478" s="123"/>
    </row>
    <row r="1479" spans="1:14" customFormat="1" x14ac:dyDescent="0.55000000000000004">
      <c r="A1479" s="54" t="s">
        <v>743</v>
      </c>
      <c r="B1479" t="s">
        <v>171</v>
      </c>
      <c r="C1479" t="s">
        <v>127</v>
      </c>
      <c r="D1479" t="s">
        <v>2994</v>
      </c>
      <c r="E1479" s="116">
        <v>0.31</v>
      </c>
      <c r="F1479" s="149" t="s">
        <v>138</v>
      </c>
      <c r="G1479" s="149" t="s">
        <v>135</v>
      </c>
      <c r="H1479" t="s">
        <v>39</v>
      </c>
      <c r="I1479" s="68"/>
      <c r="J1479" t="s">
        <v>743</v>
      </c>
      <c r="K1479" s="68"/>
      <c r="L1479" s="160"/>
      <c r="M1479" s="68"/>
      <c r="N1479" s="123"/>
    </row>
    <row r="1480" spans="1:14" customFormat="1" x14ac:dyDescent="0.55000000000000004">
      <c r="A1480" s="54" t="s">
        <v>743</v>
      </c>
      <c r="B1480" t="s">
        <v>160</v>
      </c>
      <c r="C1480" t="s">
        <v>247</v>
      </c>
      <c r="D1480" t="s">
        <v>3288</v>
      </c>
      <c r="E1480" s="116">
        <v>296.85377063590079</v>
      </c>
      <c r="F1480" s="149" t="s">
        <v>122</v>
      </c>
      <c r="G1480" s="149" t="s">
        <v>135</v>
      </c>
      <c r="H1480" t="s">
        <v>39</v>
      </c>
      <c r="I1480" s="68"/>
      <c r="J1480" t="s">
        <v>743</v>
      </c>
      <c r="K1480" s="68"/>
      <c r="L1480" s="160"/>
      <c r="M1480" s="68"/>
      <c r="N1480" s="123"/>
    </row>
    <row r="1481" spans="1:14" customFormat="1" x14ac:dyDescent="0.55000000000000004">
      <c r="A1481" s="94" t="s">
        <v>742</v>
      </c>
      <c r="B1481" t="s">
        <v>598</v>
      </c>
      <c r="C1481" t="s">
        <v>121</v>
      </c>
      <c r="D1481" t="s">
        <v>3288</v>
      </c>
      <c r="E1481" s="116">
        <v>1</v>
      </c>
      <c r="F1481" s="149" t="s">
        <v>135</v>
      </c>
      <c r="G1481" s="149">
        <v>1</v>
      </c>
      <c r="H1481" t="s">
        <v>39</v>
      </c>
      <c r="I1481" s="68"/>
      <c r="J1481" t="s">
        <v>742</v>
      </c>
      <c r="K1481" s="68"/>
      <c r="L1481" s="160" t="s">
        <v>599</v>
      </c>
      <c r="M1481" s="68"/>
      <c r="N1481" s="123"/>
    </row>
    <row r="1482" spans="1:14" customFormat="1" x14ac:dyDescent="0.55000000000000004">
      <c r="A1482" s="94" t="s">
        <v>742</v>
      </c>
      <c r="B1482" t="s">
        <v>230</v>
      </c>
      <c r="C1482" t="s">
        <v>127</v>
      </c>
      <c r="D1482" t="s">
        <v>2994</v>
      </c>
      <c r="E1482" s="116">
        <v>1.6</v>
      </c>
      <c r="F1482" s="149" t="s">
        <v>138</v>
      </c>
      <c r="G1482" s="149" t="s">
        <v>135</v>
      </c>
      <c r="H1482" t="s">
        <v>39</v>
      </c>
      <c r="I1482" s="68"/>
      <c r="J1482" t="s">
        <v>742</v>
      </c>
      <c r="K1482" s="68"/>
      <c r="L1482" s="160"/>
      <c r="M1482" s="68"/>
      <c r="N1482" s="123"/>
    </row>
    <row r="1483" spans="1:14" customFormat="1" x14ac:dyDescent="0.55000000000000004">
      <c r="A1483" s="94" t="s">
        <v>742</v>
      </c>
      <c r="B1483" t="s">
        <v>564</v>
      </c>
      <c r="C1483" t="s">
        <v>127</v>
      </c>
      <c r="D1483" t="s">
        <v>2994</v>
      </c>
      <c r="E1483" s="116">
        <v>1.9</v>
      </c>
      <c r="F1483" s="149" t="s">
        <v>138</v>
      </c>
      <c r="G1483" s="149" t="s">
        <v>135</v>
      </c>
      <c r="H1483" t="s">
        <v>39</v>
      </c>
      <c r="I1483" s="68"/>
      <c r="J1483" t="s">
        <v>742</v>
      </c>
      <c r="K1483" s="68"/>
      <c r="L1483" s="160"/>
      <c r="M1483" s="68"/>
      <c r="N1483" s="123"/>
    </row>
    <row r="1484" spans="1:14" customFormat="1" x14ac:dyDescent="0.55000000000000004">
      <c r="A1484" s="94" t="s">
        <v>742</v>
      </c>
      <c r="B1484" t="s">
        <v>188</v>
      </c>
      <c r="C1484" t="s">
        <v>127</v>
      </c>
      <c r="D1484" t="s">
        <v>2994</v>
      </c>
      <c r="E1484" s="116">
        <v>45.5</v>
      </c>
      <c r="F1484" s="149" t="s">
        <v>138</v>
      </c>
      <c r="G1484" s="149" t="s">
        <v>135</v>
      </c>
      <c r="H1484" t="s">
        <v>39</v>
      </c>
      <c r="I1484" s="68"/>
      <c r="J1484" t="s">
        <v>742</v>
      </c>
      <c r="K1484" s="68"/>
      <c r="L1484" s="160"/>
      <c r="M1484" s="68"/>
      <c r="N1484" s="123"/>
    </row>
    <row r="1485" spans="1:14" customFormat="1" x14ac:dyDescent="0.55000000000000004">
      <c r="A1485" s="94" t="s">
        <v>742</v>
      </c>
      <c r="B1485" t="s">
        <v>230</v>
      </c>
      <c r="C1485" t="s">
        <v>231</v>
      </c>
      <c r="D1485" t="s">
        <v>2994</v>
      </c>
      <c r="E1485" s="116">
        <v>45.9</v>
      </c>
      <c r="F1485" s="149" t="s">
        <v>138</v>
      </c>
      <c r="G1485" s="149" t="s">
        <v>135</v>
      </c>
      <c r="H1485" t="s">
        <v>39</v>
      </c>
      <c r="I1485" s="68"/>
      <c r="J1485" t="s">
        <v>742</v>
      </c>
      <c r="K1485" s="68"/>
      <c r="L1485" s="160"/>
      <c r="M1485" s="68"/>
      <c r="N1485" s="123"/>
    </row>
    <row r="1486" spans="1:14" customFormat="1" x14ac:dyDescent="0.55000000000000004">
      <c r="A1486" s="94" t="s">
        <v>742</v>
      </c>
      <c r="B1486" t="s">
        <v>160</v>
      </c>
      <c r="C1486" t="s">
        <v>247</v>
      </c>
      <c r="D1486" t="s">
        <v>3288</v>
      </c>
      <c r="E1486" s="116">
        <v>22.256825421375218</v>
      </c>
      <c r="F1486" s="149" t="s">
        <v>122</v>
      </c>
      <c r="G1486" s="149" t="s">
        <v>135</v>
      </c>
      <c r="H1486" t="s">
        <v>39</v>
      </c>
      <c r="I1486" s="68"/>
      <c r="J1486" t="s">
        <v>742</v>
      </c>
      <c r="K1486" s="68"/>
      <c r="L1486" s="160"/>
      <c r="M1486" s="68"/>
      <c r="N1486" s="123"/>
    </row>
    <row r="1487" spans="1:14" customFormat="1" x14ac:dyDescent="0.55000000000000004">
      <c r="A1487" s="94" t="s">
        <v>741</v>
      </c>
      <c r="B1487" t="s">
        <v>469</v>
      </c>
      <c r="C1487" t="s">
        <v>121</v>
      </c>
      <c r="D1487" t="s">
        <v>3288</v>
      </c>
      <c r="E1487" s="116">
        <v>1</v>
      </c>
      <c r="F1487" s="149" t="s">
        <v>135</v>
      </c>
      <c r="G1487" s="149">
        <v>1</v>
      </c>
      <c r="H1487" t="s">
        <v>39</v>
      </c>
      <c r="I1487" s="68"/>
      <c r="J1487" t="s">
        <v>741</v>
      </c>
      <c r="K1487" s="68"/>
      <c r="L1487" s="160">
        <v>290513</v>
      </c>
      <c r="M1487" s="68"/>
      <c r="N1487" s="123"/>
    </row>
    <row r="1488" spans="1:14" customFormat="1" x14ac:dyDescent="0.55000000000000004">
      <c r="A1488" s="94" t="s">
        <v>741</v>
      </c>
      <c r="B1488" t="s">
        <v>230</v>
      </c>
      <c r="C1488" t="s">
        <v>127</v>
      </c>
      <c r="D1488" t="s">
        <v>2994</v>
      </c>
      <c r="E1488" s="116">
        <v>28</v>
      </c>
      <c r="F1488" s="149" t="s">
        <v>138</v>
      </c>
      <c r="G1488" s="149" t="s">
        <v>135</v>
      </c>
      <c r="H1488" t="s">
        <v>39</v>
      </c>
      <c r="I1488" s="68"/>
      <c r="J1488" t="s">
        <v>741</v>
      </c>
      <c r="K1488" s="68"/>
      <c r="L1488" s="160"/>
      <c r="M1488" s="68"/>
      <c r="N1488" s="123"/>
    </row>
    <row r="1489" spans="1:14" customFormat="1" x14ac:dyDescent="0.55000000000000004">
      <c r="A1489" s="94" t="s">
        <v>741</v>
      </c>
      <c r="B1489" t="s">
        <v>564</v>
      </c>
      <c r="C1489" t="s">
        <v>127</v>
      </c>
      <c r="D1489" t="s">
        <v>2994</v>
      </c>
      <c r="E1489" s="116">
        <v>5</v>
      </c>
      <c r="F1489" s="149" t="s">
        <v>138</v>
      </c>
      <c r="G1489" s="149" t="s">
        <v>135</v>
      </c>
      <c r="H1489" t="s">
        <v>39</v>
      </c>
      <c r="I1489" s="68"/>
      <c r="J1489" t="s">
        <v>741</v>
      </c>
      <c r="K1489" s="68"/>
      <c r="L1489" s="160"/>
      <c r="M1489" s="68"/>
      <c r="N1489" s="123"/>
    </row>
    <row r="1490" spans="1:14" customFormat="1" x14ac:dyDescent="0.55000000000000004">
      <c r="A1490" s="94" t="s">
        <v>741</v>
      </c>
      <c r="B1490" t="s">
        <v>230</v>
      </c>
      <c r="C1490" t="s">
        <v>231</v>
      </c>
      <c r="D1490" t="s">
        <v>2994</v>
      </c>
      <c r="E1490" s="116">
        <v>28.4</v>
      </c>
      <c r="F1490" s="149" t="s">
        <v>138</v>
      </c>
      <c r="G1490" s="149" t="s">
        <v>135</v>
      </c>
      <c r="H1490" t="s">
        <v>39</v>
      </c>
      <c r="I1490" s="68"/>
      <c r="J1490" t="s">
        <v>741</v>
      </c>
      <c r="K1490" s="68"/>
      <c r="L1490" s="160"/>
      <c r="M1490" s="68"/>
      <c r="N1490" s="123"/>
    </row>
    <row r="1491" spans="1:14" customFormat="1" x14ac:dyDescent="0.55000000000000004">
      <c r="A1491" s="94" t="s">
        <v>741</v>
      </c>
      <c r="B1491" t="s">
        <v>160</v>
      </c>
      <c r="C1491" t="s">
        <v>247</v>
      </c>
      <c r="D1491" t="s">
        <v>3288</v>
      </c>
      <c r="E1491" s="116">
        <v>389.49444487406629</v>
      </c>
      <c r="F1491" s="149" t="s">
        <v>122</v>
      </c>
      <c r="G1491" s="149" t="s">
        <v>135</v>
      </c>
      <c r="H1491" t="s">
        <v>39</v>
      </c>
      <c r="I1491" s="68"/>
      <c r="J1491" t="s">
        <v>741</v>
      </c>
      <c r="K1491" s="68"/>
      <c r="L1491" s="160"/>
      <c r="M1491" s="68"/>
      <c r="N1491" s="123"/>
    </row>
    <row r="1492" spans="1:14" customFormat="1" x14ac:dyDescent="0.55000000000000004">
      <c r="A1492" s="94" t="s">
        <v>740</v>
      </c>
      <c r="B1492" t="s">
        <v>615</v>
      </c>
      <c r="C1492" t="s">
        <v>121</v>
      </c>
      <c r="D1492" t="s">
        <v>3288</v>
      </c>
      <c r="E1492" s="116">
        <v>1</v>
      </c>
      <c r="F1492" s="149" t="s">
        <v>135</v>
      </c>
      <c r="G1492" s="149">
        <v>1</v>
      </c>
      <c r="H1492" t="s">
        <v>39</v>
      </c>
      <c r="I1492" s="68"/>
      <c r="J1492" t="s">
        <v>740</v>
      </c>
      <c r="K1492" s="68"/>
      <c r="L1492" s="160">
        <v>281410</v>
      </c>
      <c r="M1492" s="68"/>
      <c r="N1492" s="123"/>
    </row>
    <row r="1493" spans="1:14" customFormat="1" x14ac:dyDescent="0.55000000000000004">
      <c r="A1493" s="94" t="s">
        <v>740</v>
      </c>
      <c r="B1493" t="s">
        <v>230</v>
      </c>
      <c r="C1493" t="s">
        <v>127</v>
      </c>
      <c r="D1493" t="s">
        <v>2994</v>
      </c>
      <c r="E1493" s="116">
        <v>26.3</v>
      </c>
      <c r="F1493" s="149" t="s">
        <v>138</v>
      </c>
      <c r="G1493" s="149" t="s">
        <v>135</v>
      </c>
      <c r="H1493" t="s">
        <v>39</v>
      </c>
      <c r="I1493" s="68"/>
      <c r="J1493" t="s">
        <v>740</v>
      </c>
      <c r="K1493" s="68"/>
      <c r="L1493" s="160"/>
      <c r="M1493" s="68"/>
      <c r="N1493" s="123"/>
    </row>
    <row r="1494" spans="1:14" customFormat="1" x14ac:dyDescent="0.55000000000000004">
      <c r="A1494" s="94" t="s">
        <v>740</v>
      </c>
      <c r="B1494" t="s">
        <v>153</v>
      </c>
      <c r="C1494" t="s">
        <v>127</v>
      </c>
      <c r="D1494" t="s">
        <v>2994</v>
      </c>
      <c r="E1494" s="116">
        <v>5</v>
      </c>
      <c r="F1494" s="149" t="s">
        <v>138</v>
      </c>
      <c r="G1494" s="149" t="s">
        <v>135</v>
      </c>
      <c r="H1494" t="s">
        <v>39</v>
      </c>
      <c r="I1494" s="68"/>
      <c r="J1494" t="s">
        <v>740</v>
      </c>
      <c r="K1494" s="68"/>
      <c r="L1494" s="160"/>
      <c r="M1494" s="68"/>
      <c r="N1494" s="123"/>
    </row>
    <row r="1495" spans="1:14" customFormat="1" x14ac:dyDescent="0.55000000000000004">
      <c r="A1495" s="94" t="s">
        <v>740</v>
      </c>
      <c r="B1495" t="s">
        <v>230</v>
      </c>
      <c r="C1495" t="s">
        <v>231</v>
      </c>
      <c r="D1495" t="s">
        <v>2994</v>
      </c>
      <c r="E1495" s="116">
        <v>27</v>
      </c>
      <c r="F1495" s="149" t="s">
        <v>138</v>
      </c>
      <c r="G1495" s="149" t="s">
        <v>135</v>
      </c>
      <c r="H1495" t="s">
        <v>39</v>
      </c>
      <c r="I1495" s="68"/>
      <c r="J1495" t="s">
        <v>740</v>
      </c>
      <c r="K1495" s="68"/>
      <c r="L1495" s="160"/>
      <c r="M1495" s="68"/>
      <c r="N1495" s="123"/>
    </row>
    <row r="1496" spans="1:14" customFormat="1" x14ac:dyDescent="0.55000000000000004">
      <c r="A1496" s="94" t="s">
        <v>740</v>
      </c>
      <c r="B1496" t="s">
        <v>160</v>
      </c>
      <c r="C1496" t="s">
        <v>247</v>
      </c>
      <c r="D1496" t="s">
        <v>3288</v>
      </c>
      <c r="E1496" s="116">
        <v>365.84656786385511</v>
      </c>
      <c r="F1496" s="149" t="s">
        <v>122</v>
      </c>
      <c r="G1496" s="149" t="s">
        <v>135</v>
      </c>
      <c r="H1496" t="s">
        <v>39</v>
      </c>
      <c r="I1496" s="68"/>
      <c r="J1496" t="s">
        <v>740</v>
      </c>
      <c r="K1496" s="68"/>
      <c r="L1496" s="160"/>
      <c r="M1496" s="68"/>
      <c r="N1496" s="123"/>
    </row>
    <row r="1497" spans="1:14" customFormat="1" x14ac:dyDescent="0.55000000000000004">
      <c r="A1497" s="60" t="s">
        <v>738</v>
      </c>
      <c r="B1497" t="s">
        <v>140</v>
      </c>
      <c r="C1497" t="s">
        <v>121</v>
      </c>
      <c r="D1497" t="s">
        <v>3288</v>
      </c>
      <c r="E1497" s="116">
        <v>1</v>
      </c>
      <c r="F1497" s="149" t="s">
        <v>135</v>
      </c>
      <c r="G1497" s="149">
        <v>1</v>
      </c>
      <c r="H1497" t="s">
        <v>39</v>
      </c>
      <c r="I1497" s="68"/>
      <c r="J1497" t="s">
        <v>739</v>
      </c>
      <c r="K1497" s="68"/>
      <c r="L1497" s="160">
        <v>7206</v>
      </c>
      <c r="M1497" s="68"/>
      <c r="N1497" s="123"/>
    </row>
    <row r="1498" spans="1:14" customFormat="1" x14ac:dyDescent="0.55000000000000004">
      <c r="A1498" s="60" t="s">
        <v>738</v>
      </c>
      <c r="B1498" t="s">
        <v>568</v>
      </c>
      <c r="C1498" t="s">
        <v>127</v>
      </c>
      <c r="D1498" t="s">
        <v>2994</v>
      </c>
      <c r="E1498" s="116">
        <v>3.06</v>
      </c>
      <c r="F1498" s="149" t="s">
        <v>138</v>
      </c>
      <c r="G1498" s="149" t="s">
        <v>135</v>
      </c>
      <c r="H1498" t="s">
        <v>39</v>
      </c>
      <c r="I1498" s="68"/>
      <c r="J1498" t="s">
        <v>739</v>
      </c>
      <c r="K1498" s="68"/>
      <c r="L1498" s="160"/>
      <c r="M1498" s="68"/>
      <c r="N1498" s="123"/>
    </row>
    <row r="1499" spans="1:14" customFormat="1" x14ac:dyDescent="0.55000000000000004">
      <c r="A1499" s="60" t="s">
        <v>738</v>
      </c>
      <c r="B1499" t="s">
        <v>569</v>
      </c>
      <c r="C1499" t="s">
        <v>127</v>
      </c>
      <c r="D1499" t="s">
        <v>2994</v>
      </c>
      <c r="E1499" s="116">
        <v>13.3</v>
      </c>
      <c r="F1499" s="149" t="s">
        <v>138</v>
      </c>
      <c r="G1499" s="149" t="s">
        <v>135</v>
      </c>
      <c r="H1499" t="s">
        <v>39</v>
      </c>
      <c r="I1499" s="68"/>
      <c r="J1499" t="s">
        <v>739</v>
      </c>
      <c r="K1499" s="68"/>
      <c r="L1499" s="160"/>
      <c r="M1499" s="68"/>
      <c r="N1499" s="123"/>
    </row>
    <row r="1500" spans="1:14" customFormat="1" x14ac:dyDescent="0.55000000000000004">
      <c r="A1500" s="60" t="s">
        <v>738</v>
      </c>
      <c r="B1500" t="s">
        <v>298</v>
      </c>
      <c r="C1500" t="s">
        <v>127</v>
      </c>
      <c r="D1500" t="s">
        <v>2994</v>
      </c>
      <c r="E1500" s="116">
        <v>0.89</v>
      </c>
      <c r="F1500" s="149" t="s">
        <v>138</v>
      </c>
      <c r="G1500" s="149" t="s">
        <v>135</v>
      </c>
      <c r="H1500" t="s">
        <v>39</v>
      </c>
      <c r="I1500" s="68"/>
      <c r="J1500" t="s">
        <v>739</v>
      </c>
      <c r="K1500" s="68"/>
      <c r="L1500" s="160"/>
      <c r="M1500" s="68"/>
      <c r="N1500" s="123"/>
    </row>
    <row r="1501" spans="1:14" customFormat="1" x14ac:dyDescent="0.55000000000000004">
      <c r="A1501" s="60" t="s">
        <v>738</v>
      </c>
      <c r="B1501" t="s">
        <v>564</v>
      </c>
      <c r="C1501" t="s">
        <v>127</v>
      </c>
      <c r="D1501" t="s">
        <v>2994</v>
      </c>
      <c r="E1501" s="116">
        <v>0.6</v>
      </c>
      <c r="F1501" s="149" t="s">
        <v>138</v>
      </c>
      <c r="G1501" s="149" t="s">
        <v>135</v>
      </c>
      <c r="H1501" t="s">
        <v>39</v>
      </c>
      <c r="I1501" s="68"/>
      <c r="J1501" t="s">
        <v>739</v>
      </c>
      <c r="K1501" s="68"/>
      <c r="L1501" s="160"/>
      <c r="M1501" s="68"/>
      <c r="N1501" s="123"/>
    </row>
    <row r="1502" spans="1:14" customFormat="1" x14ac:dyDescent="0.55000000000000004">
      <c r="A1502" s="60" t="s">
        <v>738</v>
      </c>
      <c r="B1502" t="s">
        <v>171</v>
      </c>
      <c r="C1502" t="s">
        <v>127</v>
      </c>
      <c r="D1502" t="s">
        <v>2994</v>
      </c>
      <c r="E1502" s="116">
        <v>0.69</v>
      </c>
      <c r="F1502" s="149" t="s">
        <v>138</v>
      </c>
      <c r="G1502" s="149" t="s">
        <v>135</v>
      </c>
      <c r="H1502" t="s">
        <v>39</v>
      </c>
      <c r="I1502" s="68"/>
      <c r="J1502" t="s">
        <v>739</v>
      </c>
      <c r="K1502" s="68"/>
      <c r="L1502" s="160"/>
      <c r="M1502" s="68"/>
      <c r="N1502" s="123"/>
    </row>
    <row r="1503" spans="1:14" customFormat="1" x14ac:dyDescent="0.55000000000000004">
      <c r="A1503" s="60" t="s">
        <v>738</v>
      </c>
      <c r="B1503" t="s">
        <v>188</v>
      </c>
      <c r="C1503" t="s">
        <v>127</v>
      </c>
      <c r="D1503" t="s">
        <v>2994</v>
      </c>
      <c r="E1503" s="116">
        <v>0.17</v>
      </c>
      <c r="F1503" s="149" t="s">
        <v>138</v>
      </c>
      <c r="G1503" s="149" t="s">
        <v>135</v>
      </c>
      <c r="H1503" t="s">
        <v>39</v>
      </c>
      <c r="I1503" s="68"/>
      <c r="J1503" t="s">
        <v>739</v>
      </c>
      <c r="K1503" s="68"/>
      <c r="L1503" s="160"/>
      <c r="M1503" s="68"/>
      <c r="N1503" s="123"/>
    </row>
    <row r="1504" spans="1:14" customFormat="1" x14ac:dyDescent="0.55000000000000004">
      <c r="A1504" s="60" t="s">
        <v>738</v>
      </c>
      <c r="B1504" t="s">
        <v>160</v>
      </c>
      <c r="C1504" t="s">
        <v>247</v>
      </c>
      <c r="D1504" t="s">
        <v>3288</v>
      </c>
      <c r="E1504" s="116">
        <v>1472.842736869093</v>
      </c>
      <c r="F1504" s="149" t="s">
        <v>122</v>
      </c>
      <c r="G1504" s="149" t="s">
        <v>135</v>
      </c>
      <c r="H1504" t="s">
        <v>39</v>
      </c>
      <c r="I1504" s="68"/>
      <c r="J1504" t="s">
        <v>739</v>
      </c>
      <c r="K1504" s="68"/>
      <c r="L1504" s="160"/>
      <c r="M1504" s="68"/>
      <c r="N1504" s="123"/>
    </row>
    <row r="1505" spans="1:14" customFormat="1" x14ac:dyDescent="0.55000000000000004">
      <c r="A1505" s="60" t="s">
        <v>736</v>
      </c>
      <c r="B1505" t="s">
        <v>140</v>
      </c>
      <c r="C1505" t="s">
        <v>121</v>
      </c>
      <c r="D1505" t="s">
        <v>3288</v>
      </c>
      <c r="E1505" s="116">
        <v>1</v>
      </c>
      <c r="F1505" s="149" t="s">
        <v>135</v>
      </c>
      <c r="G1505" s="149">
        <v>1</v>
      </c>
      <c r="H1505" t="s">
        <v>39</v>
      </c>
      <c r="I1505" s="68"/>
      <c r="J1505" t="s">
        <v>737</v>
      </c>
      <c r="K1505" s="68"/>
      <c r="L1505" s="160">
        <v>7206</v>
      </c>
      <c r="M1505" s="68"/>
      <c r="N1505" s="123"/>
    </row>
    <row r="1506" spans="1:14" customFormat="1" x14ac:dyDescent="0.55000000000000004">
      <c r="A1506" s="60" t="s">
        <v>736</v>
      </c>
      <c r="B1506" t="s">
        <v>568</v>
      </c>
      <c r="C1506" t="s">
        <v>127</v>
      </c>
      <c r="D1506" t="s">
        <v>2994</v>
      </c>
      <c r="E1506" s="116">
        <v>3.06</v>
      </c>
      <c r="F1506" s="149" t="s">
        <v>138</v>
      </c>
      <c r="G1506" s="149" t="s">
        <v>135</v>
      </c>
      <c r="H1506" t="s">
        <v>39</v>
      </c>
      <c r="I1506" s="68"/>
      <c r="J1506" t="s">
        <v>737</v>
      </c>
      <c r="K1506" s="68"/>
      <c r="L1506" s="160"/>
      <c r="M1506" s="68"/>
      <c r="N1506" s="123"/>
    </row>
    <row r="1507" spans="1:14" customFormat="1" x14ac:dyDescent="0.55000000000000004">
      <c r="A1507" s="60" t="s">
        <v>736</v>
      </c>
      <c r="B1507" t="s">
        <v>569</v>
      </c>
      <c r="C1507" t="s">
        <v>127</v>
      </c>
      <c r="D1507" t="s">
        <v>2994</v>
      </c>
      <c r="E1507" s="116">
        <v>13.3</v>
      </c>
      <c r="F1507" s="149" t="s">
        <v>138</v>
      </c>
      <c r="G1507" s="149" t="s">
        <v>135</v>
      </c>
      <c r="H1507" t="s">
        <v>39</v>
      </c>
      <c r="I1507" s="68"/>
      <c r="J1507" t="s">
        <v>737</v>
      </c>
      <c r="K1507" s="68"/>
      <c r="L1507" s="160"/>
      <c r="M1507" s="68"/>
      <c r="N1507" s="123"/>
    </row>
    <row r="1508" spans="1:14" customFormat="1" x14ac:dyDescent="0.55000000000000004">
      <c r="A1508" s="60" t="s">
        <v>736</v>
      </c>
      <c r="B1508" t="s">
        <v>298</v>
      </c>
      <c r="C1508" t="s">
        <v>127</v>
      </c>
      <c r="D1508" t="s">
        <v>2994</v>
      </c>
      <c r="E1508" s="116">
        <v>0.89</v>
      </c>
      <c r="F1508" s="149" t="s">
        <v>138</v>
      </c>
      <c r="G1508" s="149" t="s">
        <v>135</v>
      </c>
      <c r="H1508" t="s">
        <v>39</v>
      </c>
      <c r="I1508" s="68"/>
      <c r="J1508" t="s">
        <v>737</v>
      </c>
      <c r="K1508" s="68"/>
      <c r="L1508" s="160"/>
      <c r="M1508" s="68"/>
      <c r="N1508" s="123"/>
    </row>
    <row r="1509" spans="1:14" customFormat="1" x14ac:dyDescent="0.55000000000000004">
      <c r="A1509" s="60" t="s">
        <v>736</v>
      </c>
      <c r="B1509" t="s">
        <v>564</v>
      </c>
      <c r="C1509" t="s">
        <v>127</v>
      </c>
      <c r="D1509" t="s">
        <v>2994</v>
      </c>
      <c r="E1509" s="116">
        <v>0.94</v>
      </c>
      <c r="F1509" s="149" t="s">
        <v>138</v>
      </c>
      <c r="G1509" s="149" t="s">
        <v>135</v>
      </c>
      <c r="H1509" t="s">
        <v>39</v>
      </c>
      <c r="I1509" s="68"/>
      <c r="J1509" t="s">
        <v>737</v>
      </c>
      <c r="K1509" s="68"/>
      <c r="L1509" s="160"/>
      <c r="M1509" s="68"/>
      <c r="N1509" s="123"/>
    </row>
    <row r="1510" spans="1:14" customFormat="1" x14ac:dyDescent="0.55000000000000004">
      <c r="A1510" s="60" t="s">
        <v>736</v>
      </c>
      <c r="B1510" t="s">
        <v>171</v>
      </c>
      <c r="C1510" t="s">
        <v>127</v>
      </c>
      <c r="D1510" t="s">
        <v>2994</v>
      </c>
      <c r="E1510" s="116">
        <v>0.69</v>
      </c>
      <c r="F1510" s="149" t="s">
        <v>138</v>
      </c>
      <c r="G1510" s="149" t="s">
        <v>135</v>
      </c>
      <c r="H1510" t="s">
        <v>39</v>
      </c>
      <c r="I1510" s="68"/>
      <c r="J1510" t="s">
        <v>737</v>
      </c>
      <c r="K1510" s="68"/>
      <c r="L1510" s="160"/>
      <c r="M1510" s="68"/>
      <c r="N1510" s="123"/>
    </row>
    <row r="1511" spans="1:14" customFormat="1" x14ac:dyDescent="0.55000000000000004">
      <c r="A1511" s="60" t="s">
        <v>736</v>
      </c>
      <c r="B1511" t="s">
        <v>188</v>
      </c>
      <c r="C1511" t="s">
        <v>127</v>
      </c>
      <c r="D1511" t="s">
        <v>2994</v>
      </c>
      <c r="E1511" s="116">
        <v>0.17</v>
      </c>
      <c r="F1511" s="149" t="s">
        <v>138</v>
      </c>
      <c r="G1511" s="149" t="s">
        <v>135</v>
      </c>
      <c r="H1511" t="s">
        <v>39</v>
      </c>
      <c r="I1511" s="68"/>
      <c r="J1511" t="s">
        <v>737</v>
      </c>
      <c r="K1511" s="68"/>
      <c r="L1511" s="160"/>
      <c r="M1511" s="68"/>
      <c r="N1511" s="123"/>
    </row>
    <row r="1512" spans="1:14" customFormat="1" x14ac:dyDescent="0.55000000000000004">
      <c r="A1512" s="60" t="s">
        <v>736</v>
      </c>
      <c r="B1512" t="s">
        <v>188</v>
      </c>
      <c r="C1512" t="s">
        <v>156</v>
      </c>
      <c r="D1512" t="s">
        <v>2994</v>
      </c>
      <c r="E1512" s="116">
        <v>3.1</v>
      </c>
      <c r="F1512" s="149" t="s">
        <v>138</v>
      </c>
      <c r="G1512" s="149" t="s">
        <v>135</v>
      </c>
      <c r="H1512" t="s">
        <v>39</v>
      </c>
      <c r="I1512" s="68"/>
      <c r="J1512" t="s">
        <v>737</v>
      </c>
      <c r="K1512" s="68"/>
      <c r="L1512" s="160"/>
      <c r="M1512" s="68"/>
      <c r="N1512" s="123"/>
    </row>
    <row r="1513" spans="1:14" customFormat="1" x14ac:dyDescent="0.55000000000000004">
      <c r="A1513" s="60" t="s">
        <v>736</v>
      </c>
      <c r="B1513" t="s">
        <v>160</v>
      </c>
      <c r="C1513" t="s">
        <v>247</v>
      </c>
      <c r="D1513" t="s">
        <v>3288</v>
      </c>
      <c r="E1513" s="116">
        <v>1472.842736869093</v>
      </c>
      <c r="F1513" s="149" t="s">
        <v>122</v>
      </c>
      <c r="G1513" s="149" t="s">
        <v>135</v>
      </c>
      <c r="H1513" t="s">
        <v>39</v>
      </c>
      <c r="I1513" s="68"/>
      <c r="J1513" t="s">
        <v>737</v>
      </c>
      <c r="K1513" s="68"/>
      <c r="L1513" s="160"/>
      <c r="M1513" s="68"/>
      <c r="N1513" s="123"/>
    </row>
    <row r="1514" spans="1:14" customFormat="1" x14ac:dyDescent="0.55000000000000004">
      <c r="A1514" s="60" t="s">
        <v>736</v>
      </c>
      <c r="B1514" t="s">
        <v>160</v>
      </c>
      <c r="C1514" t="s">
        <v>156</v>
      </c>
      <c r="D1514" t="s">
        <v>3288</v>
      </c>
      <c r="E1514" s="116">
        <v>1146.848729</v>
      </c>
      <c r="F1514" s="149" t="s">
        <v>122</v>
      </c>
      <c r="G1514" s="149" t="s">
        <v>135</v>
      </c>
      <c r="H1514" t="s">
        <v>39</v>
      </c>
      <c r="I1514" s="68"/>
      <c r="J1514" t="s">
        <v>737</v>
      </c>
      <c r="K1514" s="68"/>
      <c r="L1514" s="160"/>
      <c r="M1514" s="68"/>
      <c r="N1514" s="123"/>
    </row>
    <row r="1515" spans="1:14" customFormat="1" x14ac:dyDescent="0.55000000000000004">
      <c r="A1515" s="54" t="s">
        <v>734</v>
      </c>
      <c r="B1515" t="s">
        <v>236</v>
      </c>
      <c r="C1515" t="s">
        <v>121</v>
      </c>
      <c r="D1515" t="s">
        <v>3288</v>
      </c>
      <c r="E1515" s="116">
        <v>1</v>
      </c>
      <c r="F1515" s="149" t="s">
        <v>135</v>
      </c>
      <c r="G1515" s="149">
        <v>1</v>
      </c>
      <c r="H1515" t="s">
        <v>39</v>
      </c>
      <c r="I1515" s="68"/>
      <c r="J1515" t="s">
        <v>734</v>
      </c>
      <c r="K1515" s="68"/>
      <c r="L1515" s="160">
        <v>2523</v>
      </c>
      <c r="M1515" s="68"/>
      <c r="N1515" s="123"/>
    </row>
    <row r="1516" spans="1:14" customFormat="1" x14ac:dyDescent="0.55000000000000004">
      <c r="A1516" s="54" t="s">
        <v>734</v>
      </c>
      <c r="B1516" t="s">
        <v>134</v>
      </c>
      <c r="C1516" t="s">
        <v>125</v>
      </c>
      <c r="D1516" t="s">
        <v>3288</v>
      </c>
      <c r="E1516" s="116">
        <v>0.7</v>
      </c>
      <c r="F1516" s="149" t="s">
        <v>135</v>
      </c>
      <c r="G1516" s="149">
        <v>1</v>
      </c>
      <c r="H1516" t="s">
        <v>39</v>
      </c>
      <c r="I1516" s="68"/>
      <c r="J1516" t="s">
        <v>734</v>
      </c>
      <c r="K1516" s="68"/>
      <c r="L1516" s="160"/>
      <c r="M1516" s="68"/>
      <c r="N1516" s="123"/>
    </row>
    <row r="1517" spans="1:14" customFormat="1" x14ac:dyDescent="0.55000000000000004">
      <c r="A1517" s="54" t="s">
        <v>734</v>
      </c>
      <c r="B1517" t="s">
        <v>735</v>
      </c>
      <c r="C1517" t="s">
        <v>125</v>
      </c>
      <c r="D1517" t="s">
        <v>3288</v>
      </c>
      <c r="E1517" s="116">
        <v>0.3</v>
      </c>
      <c r="F1517" s="149" t="s">
        <v>135</v>
      </c>
      <c r="G1517" s="149">
        <v>1</v>
      </c>
      <c r="H1517" t="s">
        <v>39</v>
      </c>
      <c r="I1517" s="68"/>
      <c r="J1517" t="s">
        <v>734</v>
      </c>
      <c r="K1517" s="68"/>
      <c r="L1517" s="160"/>
      <c r="M1517" s="68"/>
      <c r="N1517" s="123"/>
    </row>
    <row r="1518" spans="1:14" customFormat="1" x14ac:dyDescent="0.55000000000000004">
      <c r="A1518" s="93" t="s">
        <v>733</v>
      </c>
      <c r="B1518" t="s">
        <v>268</v>
      </c>
      <c r="C1518" t="s">
        <v>121</v>
      </c>
      <c r="D1518" t="s">
        <v>3288</v>
      </c>
      <c r="E1518" s="116">
        <v>1</v>
      </c>
      <c r="F1518" s="149" t="s">
        <v>135</v>
      </c>
      <c r="G1518" s="149">
        <v>1</v>
      </c>
      <c r="H1518" t="s">
        <v>39</v>
      </c>
      <c r="I1518" s="68"/>
      <c r="J1518" t="s">
        <v>733</v>
      </c>
      <c r="K1518" s="68"/>
      <c r="L1518" s="160">
        <v>7601</v>
      </c>
      <c r="M1518" s="68"/>
      <c r="N1518" s="123"/>
    </row>
    <row r="1519" spans="1:14" customFormat="1" x14ac:dyDescent="0.55000000000000004">
      <c r="A1519" s="93" t="s">
        <v>733</v>
      </c>
      <c r="B1519" t="s">
        <v>261</v>
      </c>
      <c r="C1519" t="s">
        <v>125</v>
      </c>
      <c r="D1519" t="s">
        <v>3288</v>
      </c>
      <c r="E1519" s="116">
        <v>1.9</v>
      </c>
      <c r="F1519" s="149" t="s">
        <v>135</v>
      </c>
      <c r="G1519" s="149" t="s">
        <v>135</v>
      </c>
      <c r="H1519" t="s">
        <v>39</v>
      </c>
      <c r="I1519" s="68"/>
      <c r="J1519" t="s">
        <v>733</v>
      </c>
      <c r="K1519" s="68"/>
      <c r="L1519" s="160"/>
      <c r="M1519" s="68"/>
      <c r="N1519" s="123"/>
    </row>
    <row r="1520" spans="1:14" customFormat="1" x14ac:dyDescent="0.55000000000000004">
      <c r="A1520" s="93" t="s">
        <v>733</v>
      </c>
      <c r="B1520" t="s">
        <v>153</v>
      </c>
      <c r="C1520" t="s">
        <v>127</v>
      </c>
      <c r="D1520" t="s">
        <v>2994</v>
      </c>
      <c r="E1520" s="116">
        <v>34.08</v>
      </c>
      <c r="F1520" s="149" t="s">
        <v>138</v>
      </c>
      <c r="G1520" s="149" t="s">
        <v>135</v>
      </c>
      <c r="H1520" t="s">
        <v>39</v>
      </c>
      <c r="I1520" s="68"/>
      <c r="J1520" t="s">
        <v>733</v>
      </c>
      <c r="K1520" s="68"/>
      <c r="L1520" s="160"/>
      <c r="M1520" s="68"/>
      <c r="N1520" s="123"/>
    </row>
    <row r="1521" spans="1:14" customFormat="1" x14ac:dyDescent="0.55000000000000004">
      <c r="A1521" s="93" t="s">
        <v>733</v>
      </c>
      <c r="B1521" t="s">
        <v>171</v>
      </c>
      <c r="C1521" t="s">
        <v>127</v>
      </c>
      <c r="D1521" t="s">
        <v>2994</v>
      </c>
      <c r="E1521" s="116">
        <v>1.96</v>
      </c>
      <c r="F1521" s="149" t="s">
        <v>138</v>
      </c>
      <c r="G1521" s="149" t="s">
        <v>135</v>
      </c>
      <c r="H1521" t="s">
        <v>39</v>
      </c>
      <c r="I1521" s="68"/>
      <c r="J1521" t="s">
        <v>733</v>
      </c>
      <c r="K1521" s="68"/>
      <c r="L1521" s="160"/>
      <c r="M1521" s="68"/>
      <c r="N1521" s="123"/>
    </row>
    <row r="1522" spans="1:14" customFormat="1" x14ac:dyDescent="0.55000000000000004">
      <c r="A1522" s="93" t="s">
        <v>733</v>
      </c>
      <c r="B1522" t="s">
        <v>160</v>
      </c>
      <c r="C1522" t="s">
        <v>247</v>
      </c>
      <c r="D1522" t="s">
        <v>3288</v>
      </c>
      <c r="E1522" s="116">
        <v>109.8984409614804</v>
      </c>
      <c r="F1522" s="149" t="s">
        <v>122</v>
      </c>
      <c r="G1522" s="149" t="s">
        <v>135</v>
      </c>
      <c r="H1522" t="s">
        <v>39</v>
      </c>
      <c r="I1522" s="68"/>
      <c r="J1522" t="s">
        <v>733</v>
      </c>
      <c r="K1522" s="68"/>
      <c r="L1522" s="160"/>
      <c r="M1522" s="68"/>
      <c r="N1522" s="123"/>
    </row>
    <row r="1523" spans="1:14" customFormat="1" x14ac:dyDescent="0.55000000000000004">
      <c r="A1523" s="54" t="s">
        <v>731</v>
      </c>
      <c r="B1523" t="s">
        <v>732</v>
      </c>
      <c r="C1523" t="s">
        <v>121</v>
      </c>
      <c r="D1523" t="s">
        <v>3288</v>
      </c>
      <c r="E1523" s="116">
        <v>1</v>
      </c>
      <c r="F1523" s="149" t="s">
        <v>135</v>
      </c>
      <c r="G1523" s="149">
        <v>1</v>
      </c>
      <c r="H1523" t="s">
        <v>39</v>
      </c>
      <c r="I1523" s="68"/>
      <c r="J1523" t="s">
        <v>731</v>
      </c>
      <c r="K1523" s="68"/>
      <c r="L1523" s="160">
        <v>6901</v>
      </c>
      <c r="M1523" s="68"/>
      <c r="N1523" s="123"/>
    </row>
    <row r="1524" spans="1:14" customFormat="1" x14ac:dyDescent="0.55000000000000004">
      <c r="A1524" s="54" t="s">
        <v>731</v>
      </c>
      <c r="B1524" t="s">
        <v>153</v>
      </c>
      <c r="C1524" t="s">
        <v>127</v>
      </c>
      <c r="D1524" t="s">
        <v>2994</v>
      </c>
      <c r="E1524" s="116">
        <v>0.32</v>
      </c>
      <c r="F1524" s="149" t="s">
        <v>138</v>
      </c>
      <c r="G1524" s="149" t="s">
        <v>135</v>
      </c>
      <c r="H1524" t="s">
        <v>39</v>
      </c>
      <c r="I1524" s="68"/>
      <c r="J1524" t="s">
        <v>731</v>
      </c>
      <c r="K1524" s="68"/>
      <c r="L1524" s="160"/>
      <c r="M1524" s="68"/>
      <c r="N1524" s="123"/>
    </row>
    <row r="1525" spans="1:14" customFormat="1" x14ac:dyDescent="0.55000000000000004">
      <c r="A1525" s="54" t="s">
        <v>731</v>
      </c>
      <c r="B1525" t="s">
        <v>171</v>
      </c>
      <c r="C1525" t="s">
        <v>127</v>
      </c>
      <c r="D1525" t="s">
        <v>2994</v>
      </c>
      <c r="E1525" s="116">
        <v>2.2999999999999998</v>
      </c>
      <c r="F1525" s="149" t="s">
        <v>138</v>
      </c>
      <c r="G1525" s="149" t="s">
        <v>135</v>
      </c>
      <c r="H1525" t="s">
        <v>39</v>
      </c>
      <c r="I1525" s="68"/>
      <c r="J1525" t="s">
        <v>731</v>
      </c>
      <c r="K1525" s="68"/>
      <c r="L1525" s="160"/>
      <c r="M1525" s="68"/>
      <c r="N1525" s="123"/>
    </row>
    <row r="1526" spans="1:14" customFormat="1" x14ac:dyDescent="0.55000000000000004">
      <c r="A1526" s="54" t="s">
        <v>731</v>
      </c>
      <c r="B1526" t="s">
        <v>160</v>
      </c>
      <c r="C1526" t="s">
        <v>247</v>
      </c>
      <c r="D1526" t="s">
        <v>3288</v>
      </c>
      <c r="E1526" s="116">
        <v>128.96245623030859</v>
      </c>
      <c r="F1526" s="149" t="s">
        <v>122</v>
      </c>
      <c r="G1526" s="149" t="s">
        <v>135</v>
      </c>
      <c r="H1526" t="s">
        <v>39</v>
      </c>
      <c r="I1526" s="68"/>
      <c r="J1526" t="s">
        <v>731</v>
      </c>
      <c r="K1526" s="68"/>
      <c r="L1526" s="160"/>
      <c r="M1526" s="68"/>
      <c r="N1526" s="123"/>
    </row>
    <row r="1527" spans="1:14" customFormat="1" x14ac:dyDescent="0.55000000000000004">
      <c r="A1527" s="94" t="s">
        <v>730</v>
      </c>
      <c r="B1527" t="s">
        <v>469</v>
      </c>
      <c r="C1527" t="s">
        <v>121</v>
      </c>
      <c r="D1527" t="s">
        <v>3288</v>
      </c>
      <c r="E1527" s="116">
        <v>1</v>
      </c>
      <c r="F1527" s="149" t="s">
        <v>135</v>
      </c>
      <c r="G1527" s="149">
        <v>1</v>
      </c>
      <c r="H1527" t="s">
        <v>39</v>
      </c>
      <c r="I1527" s="68"/>
      <c r="J1527" t="s">
        <v>730</v>
      </c>
      <c r="K1527" s="68"/>
      <c r="L1527" s="160">
        <v>290513</v>
      </c>
      <c r="M1527" s="68"/>
      <c r="N1527" s="123"/>
    </row>
    <row r="1528" spans="1:14" customFormat="1" x14ac:dyDescent="0.55000000000000004">
      <c r="A1528" s="94" t="s">
        <v>730</v>
      </c>
      <c r="B1528" t="s">
        <v>262</v>
      </c>
      <c r="C1528" t="s">
        <v>127</v>
      </c>
      <c r="D1528" t="s">
        <v>2994</v>
      </c>
      <c r="E1528" s="116">
        <v>26.9</v>
      </c>
      <c r="F1528" s="149" t="s">
        <v>138</v>
      </c>
      <c r="G1528" s="149" t="s">
        <v>135</v>
      </c>
      <c r="H1528" t="s">
        <v>39</v>
      </c>
      <c r="I1528" s="68"/>
      <c r="J1528" t="s">
        <v>730</v>
      </c>
      <c r="K1528" s="68"/>
      <c r="L1528" s="160"/>
      <c r="M1528" s="68"/>
      <c r="N1528" s="123"/>
    </row>
    <row r="1529" spans="1:14" customFormat="1" x14ac:dyDescent="0.55000000000000004">
      <c r="A1529" s="94" t="s">
        <v>730</v>
      </c>
      <c r="B1529" t="s">
        <v>564</v>
      </c>
      <c r="C1529" t="s">
        <v>127</v>
      </c>
      <c r="D1529" t="s">
        <v>2994</v>
      </c>
      <c r="E1529" s="116">
        <v>3.7</v>
      </c>
      <c r="F1529" s="149" t="s">
        <v>138</v>
      </c>
      <c r="G1529" s="149" t="s">
        <v>135</v>
      </c>
      <c r="H1529" t="s">
        <v>39</v>
      </c>
      <c r="I1529" s="68"/>
      <c r="J1529" t="s">
        <v>730</v>
      </c>
      <c r="K1529" s="68"/>
      <c r="L1529" s="160"/>
      <c r="M1529" s="68"/>
      <c r="N1529" s="123"/>
    </row>
    <row r="1530" spans="1:14" customFormat="1" x14ac:dyDescent="0.55000000000000004">
      <c r="A1530" s="94" t="s">
        <v>730</v>
      </c>
      <c r="B1530" t="s">
        <v>262</v>
      </c>
      <c r="C1530" t="s">
        <v>231</v>
      </c>
      <c r="D1530" t="s">
        <v>2994</v>
      </c>
      <c r="E1530" s="116">
        <v>19.5</v>
      </c>
      <c r="F1530" s="149" t="s">
        <v>138</v>
      </c>
      <c r="G1530" s="149" t="s">
        <v>135</v>
      </c>
      <c r="H1530" t="s">
        <v>39</v>
      </c>
      <c r="I1530" s="68"/>
      <c r="J1530" t="s">
        <v>730</v>
      </c>
      <c r="K1530" s="68"/>
      <c r="L1530" s="160"/>
      <c r="M1530" s="68"/>
      <c r="N1530" s="123"/>
    </row>
    <row r="1531" spans="1:14" customFormat="1" x14ac:dyDescent="0.55000000000000004">
      <c r="A1531" s="94" t="s">
        <v>730</v>
      </c>
      <c r="B1531" t="s">
        <v>188</v>
      </c>
      <c r="C1531" t="s">
        <v>156</v>
      </c>
      <c r="D1531" t="s">
        <v>2994</v>
      </c>
      <c r="E1531" s="116">
        <v>5.5</v>
      </c>
      <c r="F1531" s="149" t="s">
        <v>138</v>
      </c>
      <c r="G1531" s="149" t="s">
        <v>135</v>
      </c>
      <c r="H1531" t="s">
        <v>39</v>
      </c>
      <c r="I1531" s="68"/>
      <c r="J1531" t="s">
        <v>730</v>
      </c>
      <c r="K1531" s="68"/>
      <c r="L1531" s="160"/>
      <c r="M1531" s="68"/>
      <c r="N1531" s="123"/>
    </row>
    <row r="1532" spans="1:14" customFormat="1" x14ac:dyDescent="0.55000000000000004">
      <c r="A1532" s="94" t="s">
        <v>730</v>
      </c>
      <c r="B1532" t="s">
        <v>160</v>
      </c>
      <c r="C1532" t="s">
        <v>247</v>
      </c>
      <c r="D1532" t="s">
        <v>3288</v>
      </c>
      <c r="E1532" s="116">
        <v>2582.8226978228472</v>
      </c>
      <c r="F1532" s="149" t="s">
        <v>122</v>
      </c>
      <c r="G1532" s="149" t="s">
        <v>135</v>
      </c>
      <c r="H1532" t="s">
        <v>39</v>
      </c>
      <c r="I1532" s="68"/>
      <c r="J1532" t="s">
        <v>730</v>
      </c>
      <c r="K1532" s="68"/>
      <c r="L1532" s="160"/>
      <c r="M1532" s="68"/>
      <c r="N1532" s="123"/>
    </row>
    <row r="1533" spans="1:14" customFormat="1" x14ac:dyDescent="0.55000000000000004">
      <c r="A1533" s="94" t="s">
        <v>729</v>
      </c>
      <c r="B1533" t="s">
        <v>615</v>
      </c>
      <c r="C1533" t="s">
        <v>121</v>
      </c>
      <c r="D1533" t="s">
        <v>3288</v>
      </c>
      <c r="E1533" s="116">
        <v>1</v>
      </c>
      <c r="F1533" s="149" t="s">
        <v>135</v>
      </c>
      <c r="G1533" s="149">
        <v>1</v>
      </c>
      <c r="H1533" t="s">
        <v>39</v>
      </c>
      <c r="J1533" t="s">
        <v>729</v>
      </c>
      <c r="L1533" s="160">
        <v>281410</v>
      </c>
      <c r="M1533" s="48"/>
      <c r="N1533" s="123"/>
    </row>
    <row r="1534" spans="1:14" customFormat="1" x14ac:dyDescent="0.55000000000000004">
      <c r="A1534" s="94" t="s">
        <v>729</v>
      </c>
      <c r="B1534" t="s">
        <v>262</v>
      </c>
      <c r="C1534" t="s">
        <v>127</v>
      </c>
      <c r="D1534" t="s">
        <v>2994</v>
      </c>
      <c r="E1534" s="116">
        <v>23.6</v>
      </c>
      <c r="F1534" s="149" t="s">
        <v>138</v>
      </c>
      <c r="G1534" s="149" t="s">
        <v>135</v>
      </c>
      <c r="H1534" t="s">
        <v>39</v>
      </c>
      <c r="J1534" t="s">
        <v>729</v>
      </c>
      <c r="L1534" s="160"/>
      <c r="M1534" s="48"/>
      <c r="N1534" s="123"/>
    </row>
    <row r="1535" spans="1:14" customFormat="1" x14ac:dyDescent="0.55000000000000004">
      <c r="A1535" s="94" t="s">
        <v>729</v>
      </c>
      <c r="B1535" t="s">
        <v>153</v>
      </c>
      <c r="C1535" t="s">
        <v>127</v>
      </c>
      <c r="D1535" t="s">
        <v>2994</v>
      </c>
      <c r="E1535" s="116">
        <v>3.7</v>
      </c>
      <c r="F1535" s="149" t="s">
        <v>138</v>
      </c>
      <c r="G1535" s="149" t="s">
        <v>135</v>
      </c>
      <c r="H1535" t="s">
        <v>39</v>
      </c>
      <c r="J1535" t="s">
        <v>729</v>
      </c>
      <c r="L1535" s="160"/>
      <c r="M1535" s="48"/>
      <c r="N1535" s="123"/>
    </row>
    <row r="1536" spans="1:14" customFormat="1" x14ac:dyDescent="0.55000000000000004">
      <c r="A1536" s="94" t="s">
        <v>729</v>
      </c>
      <c r="B1536" t="s">
        <v>262</v>
      </c>
      <c r="C1536" t="s">
        <v>231</v>
      </c>
      <c r="D1536" t="s">
        <v>2994</v>
      </c>
      <c r="E1536" s="116">
        <v>19.5</v>
      </c>
      <c r="F1536" s="149" t="s">
        <v>138</v>
      </c>
      <c r="G1536" s="149" t="s">
        <v>135</v>
      </c>
      <c r="H1536" t="s">
        <v>39</v>
      </c>
      <c r="I1536" s="68"/>
      <c r="J1536" t="s">
        <v>729</v>
      </c>
      <c r="K1536" s="68"/>
      <c r="L1536" s="160"/>
      <c r="M1536" s="68"/>
      <c r="N1536" s="123"/>
    </row>
    <row r="1537" spans="1:14" customFormat="1" x14ac:dyDescent="0.55000000000000004">
      <c r="A1537" s="94" t="s">
        <v>729</v>
      </c>
      <c r="B1537" t="s">
        <v>188</v>
      </c>
      <c r="C1537" t="s">
        <v>156</v>
      </c>
      <c r="D1537" t="s">
        <v>2994</v>
      </c>
      <c r="E1537" s="116">
        <v>1.5</v>
      </c>
      <c r="F1537" s="149" t="s">
        <v>138</v>
      </c>
      <c r="G1537" s="149" t="s">
        <v>135</v>
      </c>
      <c r="H1537" t="s">
        <v>39</v>
      </c>
      <c r="I1537" s="68"/>
      <c r="J1537" t="s">
        <v>729</v>
      </c>
      <c r="K1537" s="68"/>
      <c r="L1537" s="160"/>
      <c r="M1537" s="68"/>
      <c r="N1537" s="123"/>
    </row>
    <row r="1538" spans="1:14" customFormat="1" x14ac:dyDescent="0.55000000000000004">
      <c r="A1538" s="94" t="s">
        <v>729</v>
      </c>
      <c r="B1538" t="s">
        <v>160</v>
      </c>
      <c r="C1538" t="s">
        <v>247</v>
      </c>
      <c r="D1538" t="s">
        <v>3288</v>
      </c>
      <c r="E1538" s="116">
        <v>2265.9708426995985</v>
      </c>
      <c r="F1538" s="149" t="s">
        <v>122</v>
      </c>
      <c r="G1538" s="149" t="s">
        <v>135</v>
      </c>
      <c r="H1538" t="s">
        <v>39</v>
      </c>
      <c r="I1538" s="68"/>
      <c r="J1538" t="s">
        <v>729</v>
      </c>
      <c r="K1538" s="68"/>
      <c r="L1538" s="160"/>
      <c r="M1538" s="68"/>
      <c r="N1538" s="123"/>
    </row>
    <row r="1539" spans="1:14" customFormat="1" x14ac:dyDescent="0.55000000000000004">
      <c r="A1539" s="94" t="s">
        <v>728</v>
      </c>
      <c r="B1539" t="s">
        <v>469</v>
      </c>
      <c r="C1539" t="s">
        <v>121</v>
      </c>
      <c r="D1539" t="s">
        <v>3288</v>
      </c>
      <c r="E1539" s="116">
        <v>1</v>
      </c>
      <c r="F1539" s="149" t="s">
        <v>135</v>
      </c>
      <c r="G1539" s="149">
        <v>1</v>
      </c>
      <c r="H1539" t="s">
        <v>39</v>
      </c>
      <c r="J1539" t="s">
        <v>728</v>
      </c>
      <c r="L1539" s="160">
        <v>290513</v>
      </c>
      <c r="M1539" s="48"/>
      <c r="N1539" s="123"/>
    </row>
    <row r="1540" spans="1:14" customFormat="1" x14ac:dyDescent="0.55000000000000004">
      <c r="A1540" s="94" t="s">
        <v>728</v>
      </c>
      <c r="B1540" t="s">
        <v>298</v>
      </c>
      <c r="C1540" t="s">
        <v>127</v>
      </c>
      <c r="D1540" t="s">
        <v>2994</v>
      </c>
      <c r="E1540" s="116">
        <v>26.9</v>
      </c>
      <c r="F1540" s="149" t="s">
        <v>138</v>
      </c>
      <c r="G1540" s="149" t="s">
        <v>135</v>
      </c>
      <c r="H1540" t="s">
        <v>39</v>
      </c>
      <c r="J1540" t="s">
        <v>728</v>
      </c>
      <c r="L1540" s="160"/>
      <c r="M1540" s="48"/>
      <c r="N1540" s="123"/>
    </row>
    <row r="1541" spans="1:14" customFormat="1" x14ac:dyDescent="0.55000000000000004">
      <c r="A1541" s="94" t="s">
        <v>728</v>
      </c>
      <c r="B1541" t="s">
        <v>564</v>
      </c>
      <c r="C1541" t="s">
        <v>127</v>
      </c>
      <c r="D1541" t="s">
        <v>2994</v>
      </c>
      <c r="E1541" s="116">
        <v>3.7</v>
      </c>
      <c r="F1541" s="149" t="s">
        <v>138</v>
      </c>
      <c r="G1541" s="149" t="s">
        <v>135</v>
      </c>
      <c r="H1541" t="s">
        <v>39</v>
      </c>
      <c r="J1541" t="s">
        <v>728</v>
      </c>
      <c r="L1541" s="160"/>
      <c r="M1541" s="48"/>
      <c r="N1541" s="123"/>
    </row>
    <row r="1542" spans="1:14" customFormat="1" x14ac:dyDescent="0.55000000000000004">
      <c r="A1542" s="94" t="s">
        <v>728</v>
      </c>
      <c r="B1542" t="s">
        <v>171</v>
      </c>
      <c r="C1542" t="s">
        <v>231</v>
      </c>
      <c r="D1542" t="s">
        <v>2994</v>
      </c>
      <c r="E1542" s="116">
        <v>21.9</v>
      </c>
      <c r="F1542" s="149" t="s">
        <v>138</v>
      </c>
      <c r="G1542" s="149" t="s">
        <v>135</v>
      </c>
      <c r="H1542" t="s">
        <v>39</v>
      </c>
      <c r="J1542" t="s">
        <v>728</v>
      </c>
      <c r="L1542" s="160"/>
      <c r="M1542" s="48"/>
      <c r="N1542" s="123"/>
    </row>
    <row r="1543" spans="1:14" customFormat="1" x14ac:dyDescent="0.55000000000000004">
      <c r="A1543" s="94" t="s">
        <v>728</v>
      </c>
      <c r="B1543" t="s">
        <v>188</v>
      </c>
      <c r="C1543" t="s">
        <v>156</v>
      </c>
      <c r="D1543" t="s">
        <v>2994</v>
      </c>
      <c r="E1543" s="116">
        <v>5.5</v>
      </c>
      <c r="F1543" s="149" t="s">
        <v>138</v>
      </c>
      <c r="G1543" s="149" t="s">
        <v>135</v>
      </c>
      <c r="H1543" t="s">
        <v>39</v>
      </c>
      <c r="J1543" t="s">
        <v>728</v>
      </c>
      <c r="L1543" s="160"/>
      <c r="M1543" s="48"/>
      <c r="N1543" s="123"/>
    </row>
    <row r="1544" spans="1:14" customFormat="1" x14ac:dyDescent="0.55000000000000004">
      <c r="A1544" s="94" t="s">
        <v>728</v>
      </c>
      <c r="B1544" t="s">
        <v>160</v>
      </c>
      <c r="C1544" t="s">
        <v>247</v>
      </c>
      <c r="D1544" t="s">
        <v>3288</v>
      </c>
      <c r="E1544" s="116">
        <v>1194.3599999999999</v>
      </c>
      <c r="F1544" s="149" t="s">
        <v>122</v>
      </c>
      <c r="G1544" s="149" t="s">
        <v>135</v>
      </c>
      <c r="H1544" t="s">
        <v>39</v>
      </c>
      <c r="J1544" t="s">
        <v>728</v>
      </c>
      <c r="L1544" s="160"/>
      <c r="M1544" s="48"/>
      <c r="N1544" s="123"/>
    </row>
    <row r="1545" spans="1:14" customFormat="1" x14ac:dyDescent="0.55000000000000004">
      <c r="A1545" s="93" t="s">
        <v>725</v>
      </c>
      <c r="B1545" t="s">
        <v>726</v>
      </c>
      <c r="C1545" t="s">
        <v>121</v>
      </c>
      <c r="D1545" t="s">
        <v>3288</v>
      </c>
      <c r="E1545" s="116">
        <v>1</v>
      </c>
      <c r="F1545" s="149" t="s">
        <v>135</v>
      </c>
      <c r="G1545" s="149">
        <v>1</v>
      </c>
      <c r="H1545" t="s">
        <v>39</v>
      </c>
      <c r="J1545" t="s">
        <v>727</v>
      </c>
      <c r="L1545" s="160">
        <v>7402</v>
      </c>
      <c r="M1545" s="48"/>
      <c r="N1545" s="123"/>
    </row>
    <row r="1546" spans="1:14" customFormat="1" x14ac:dyDescent="0.55000000000000004">
      <c r="A1546" s="93" t="s">
        <v>725</v>
      </c>
      <c r="B1546" t="s">
        <v>262</v>
      </c>
      <c r="C1546" t="s">
        <v>127</v>
      </c>
      <c r="D1546" t="s">
        <v>2994</v>
      </c>
      <c r="E1546" s="116">
        <v>0.26</v>
      </c>
      <c r="F1546" s="149" t="s">
        <v>138</v>
      </c>
      <c r="G1546" s="149" t="s">
        <v>135</v>
      </c>
      <c r="H1546" t="s">
        <v>39</v>
      </c>
      <c r="J1546" t="s">
        <v>727</v>
      </c>
      <c r="L1546" s="160"/>
      <c r="M1546" s="48"/>
      <c r="N1546" s="123"/>
    </row>
    <row r="1547" spans="1:14" customFormat="1" x14ac:dyDescent="0.55000000000000004">
      <c r="A1547" s="93" t="s">
        <v>725</v>
      </c>
      <c r="B1547" t="s">
        <v>153</v>
      </c>
      <c r="C1547" t="s">
        <v>127</v>
      </c>
      <c r="D1547" t="s">
        <v>2994</v>
      </c>
      <c r="E1547" s="116">
        <v>11.01</v>
      </c>
      <c r="F1547" s="149" t="s">
        <v>138</v>
      </c>
      <c r="G1547" s="149" t="s">
        <v>135</v>
      </c>
      <c r="H1547" t="s">
        <v>39</v>
      </c>
      <c r="J1547" t="s">
        <v>727</v>
      </c>
      <c r="L1547" s="160"/>
      <c r="M1547" s="48"/>
      <c r="N1547" s="123"/>
    </row>
    <row r="1548" spans="1:14" customFormat="1" x14ac:dyDescent="0.55000000000000004">
      <c r="A1548" s="93" t="s">
        <v>725</v>
      </c>
      <c r="B1548" t="s">
        <v>445</v>
      </c>
      <c r="C1548" t="s">
        <v>127</v>
      </c>
      <c r="D1548" t="s">
        <v>2994</v>
      </c>
      <c r="E1548" s="116">
        <v>0.45</v>
      </c>
      <c r="F1548" s="149" t="s">
        <v>138</v>
      </c>
      <c r="G1548" s="149" t="s">
        <v>135</v>
      </c>
      <c r="H1548" t="s">
        <v>39</v>
      </c>
      <c r="J1548" t="s">
        <v>727</v>
      </c>
      <c r="L1548" s="160"/>
      <c r="M1548" s="48"/>
      <c r="N1548" s="123"/>
    </row>
    <row r="1549" spans="1:14" customFormat="1" x14ac:dyDescent="0.55000000000000004">
      <c r="A1549" s="93" t="s">
        <v>725</v>
      </c>
      <c r="B1549" t="s">
        <v>564</v>
      </c>
      <c r="C1549" t="s">
        <v>127</v>
      </c>
      <c r="D1549" t="s">
        <v>2994</v>
      </c>
      <c r="E1549" s="116">
        <v>11.26</v>
      </c>
      <c r="F1549" s="149" t="s">
        <v>138</v>
      </c>
      <c r="G1549" s="149" t="s">
        <v>135</v>
      </c>
      <c r="H1549" t="s">
        <v>39</v>
      </c>
      <c r="J1549" t="s">
        <v>727</v>
      </c>
      <c r="L1549" s="160"/>
      <c r="M1549" s="48"/>
      <c r="N1549" s="123"/>
    </row>
    <row r="1550" spans="1:14" customFormat="1" x14ac:dyDescent="0.55000000000000004">
      <c r="A1550" s="93" t="s">
        <v>725</v>
      </c>
      <c r="B1550" t="s">
        <v>171</v>
      </c>
      <c r="C1550" t="s">
        <v>127</v>
      </c>
      <c r="D1550" t="s">
        <v>2994</v>
      </c>
      <c r="E1550" s="116">
        <v>3.33</v>
      </c>
      <c r="F1550" s="149" t="s">
        <v>138</v>
      </c>
      <c r="G1550" s="149" t="s">
        <v>135</v>
      </c>
      <c r="H1550" t="s">
        <v>39</v>
      </c>
      <c r="J1550" t="s">
        <v>727</v>
      </c>
      <c r="L1550" s="160"/>
      <c r="M1550" s="48"/>
      <c r="N1550" s="123"/>
    </row>
    <row r="1551" spans="1:14" customFormat="1" x14ac:dyDescent="0.55000000000000004">
      <c r="A1551" s="94" t="s">
        <v>724</v>
      </c>
      <c r="B1551" t="s">
        <v>632</v>
      </c>
      <c r="C1551" t="s">
        <v>121</v>
      </c>
      <c r="D1551" t="s">
        <v>3288</v>
      </c>
      <c r="E1551" s="116">
        <v>1</v>
      </c>
      <c r="F1551" s="149" t="s">
        <v>135</v>
      </c>
      <c r="G1551" s="149">
        <v>1</v>
      </c>
      <c r="H1551" t="s">
        <v>39</v>
      </c>
      <c r="J1551" t="s">
        <v>724</v>
      </c>
      <c r="L1551" s="160">
        <v>28011</v>
      </c>
      <c r="M1551" s="48"/>
      <c r="N1551" s="123"/>
    </row>
    <row r="1552" spans="1:14" customFormat="1" x14ac:dyDescent="0.55000000000000004">
      <c r="A1552" s="94" t="s">
        <v>724</v>
      </c>
      <c r="B1552" t="s">
        <v>153</v>
      </c>
      <c r="C1552" t="s">
        <v>127</v>
      </c>
      <c r="D1552" t="s">
        <v>2994</v>
      </c>
      <c r="E1552" s="116">
        <v>10.26</v>
      </c>
      <c r="F1552" s="149" t="s">
        <v>138</v>
      </c>
      <c r="G1552" s="149" t="s">
        <v>135</v>
      </c>
      <c r="H1552" t="s">
        <v>39</v>
      </c>
      <c r="J1552" t="s">
        <v>724</v>
      </c>
      <c r="L1552" s="160"/>
      <c r="M1552" s="48"/>
      <c r="N1552" s="123"/>
    </row>
    <row r="1553" spans="1:14" customFormat="1" x14ac:dyDescent="0.55000000000000004">
      <c r="A1553" s="94" t="s">
        <v>724</v>
      </c>
      <c r="B1553" t="s">
        <v>564</v>
      </c>
      <c r="C1553" t="s">
        <v>127</v>
      </c>
      <c r="D1553" t="s">
        <v>2994</v>
      </c>
      <c r="E1553" s="116">
        <v>0.93</v>
      </c>
      <c r="F1553" s="149" t="s">
        <v>138</v>
      </c>
      <c r="G1553" s="149" t="s">
        <v>135</v>
      </c>
      <c r="H1553" t="s">
        <v>39</v>
      </c>
      <c r="J1553" t="s">
        <v>724</v>
      </c>
      <c r="L1553" s="160"/>
      <c r="M1553" s="48"/>
      <c r="N1553" s="123"/>
    </row>
    <row r="1554" spans="1:14" customFormat="1" x14ac:dyDescent="0.55000000000000004">
      <c r="A1554" s="94" t="s">
        <v>724</v>
      </c>
      <c r="B1554" t="s">
        <v>188</v>
      </c>
      <c r="C1554" t="s">
        <v>127</v>
      </c>
      <c r="D1554" t="s">
        <v>2994</v>
      </c>
      <c r="E1554" s="116">
        <v>1.44</v>
      </c>
      <c r="F1554" s="149" t="s">
        <v>138</v>
      </c>
      <c r="G1554" s="149" t="s">
        <v>135</v>
      </c>
      <c r="H1554" t="s">
        <v>39</v>
      </c>
      <c r="J1554" t="s">
        <v>724</v>
      </c>
      <c r="L1554" s="160"/>
      <c r="M1554" s="48"/>
      <c r="N1554" s="123"/>
    </row>
    <row r="1555" spans="1:14" customFormat="1" x14ac:dyDescent="0.55000000000000004">
      <c r="A1555" s="60" t="s">
        <v>722</v>
      </c>
      <c r="B1555" t="s">
        <v>140</v>
      </c>
      <c r="C1555" t="s">
        <v>121</v>
      </c>
      <c r="D1555" t="s">
        <v>3288</v>
      </c>
      <c r="E1555" s="116">
        <v>1</v>
      </c>
      <c r="F1555" s="149" t="s">
        <v>135</v>
      </c>
      <c r="G1555" s="149">
        <v>1</v>
      </c>
      <c r="H1555" t="s">
        <v>39</v>
      </c>
      <c r="J1555" t="s">
        <v>723</v>
      </c>
      <c r="L1555" s="160">
        <v>7203</v>
      </c>
      <c r="M1555" s="48"/>
      <c r="N1555" s="123"/>
    </row>
    <row r="1556" spans="1:14" customFormat="1" x14ac:dyDescent="0.55000000000000004">
      <c r="A1556" s="60" t="s">
        <v>722</v>
      </c>
      <c r="B1556" t="s">
        <v>153</v>
      </c>
      <c r="C1556" t="s">
        <v>127</v>
      </c>
      <c r="D1556" t="s">
        <v>2994</v>
      </c>
      <c r="E1556" s="116">
        <v>1.21</v>
      </c>
      <c r="F1556" s="149" t="s">
        <v>138</v>
      </c>
      <c r="G1556" s="149" t="s">
        <v>135</v>
      </c>
      <c r="H1556" t="s">
        <v>39</v>
      </c>
      <c r="J1556" t="s">
        <v>723</v>
      </c>
      <c r="L1556" s="160"/>
      <c r="M1556" s="48"/>
      <c r="N1556" s="123"/>
    </row>
    <row r="1557" spans="1:14" customFormat="1" x14ac:dyDescent="0.55000000000000004">
      <c r="A1557" s="60" t="s">
        <v>722</v>
      </c>
      <c r="B1557" t="s">
        <v>171</v>
      </c>
      <c r="C1557" t="s">
        <v>127</v>
      </c>
      <c r="D1557" t="s">
        <v>2994</v>
      </c>
      <c r="E1557" s="116">
        <v>21.19</v>
      </c>
      <c r="F1557" s="149" t="s">
        <v>138</v>
      </c>
      <c r="G1557" s="149" t="s">
        <v>135</v>
      </c>
      <c r="H1557" t="s">
        <v>39</v>
      </c>
      <c r="J1557" t="s">
        <v>723</v>
      </c>
      <c r="L1557" s="160"/>
      <c r="M1557" s="48"/>
      <c r="N1557" s="123"/>
    </row>
    <row r="1558" spans="1:14" customFormat="1" x14ac:dyDescent="0.55000000000000004">
      <c r="A1558" s="60" t="s">
        <v>722</v>
      </c>
      <c r="B1558" t="s">
        <v>188</v>
      </c>
      <c r="C1558" t="s">
        <v>156</v>
      </c>
      <c r="D1558" t="s">
        <v>2994</v>
      </c>
      <c r="E1558" s="116">
        <v>0.2</v>
      </c>
      <c r="F1558" s="149" t="s">
        <v>138</v>
      </c>
      <c r="G1558" s="149" t="s">
        <v>135</v>
      </c>
      <c r="H1558" t="s">
        <v>39</v>
      </c>
      <c r="J1558" t="s">
        <v>723</v>
      </c>
      <c r="L1558" s="160"/>
      <c r="M1558" s="48"/>
      <c r="N1558" s="123"/>
    </row>
    <row r="1559" spans="1:14" customFormat="1" x14ac:dyDescent="0.55000000000000004">
      <c r="A1559" s="60" t="s">
        <v>722</v>
      </c>
      <c r="B1559" t="s">
        <v>160</v>
      </c>
      <c r="C1559" t="s">
        <v>247</v>
      </c>
      <c r="D1559" t="s">
        <v>3288</v>
      </c>
      <c r="E1559" s="116">
        <v>1188.1367163131481</v>
      </c>
      <c r="F1559" s="149" t="s">
        <v>122</v>
      </c>
      <c r="G1559" s="149" t="s">
        <v>135</v>
      </c>
      <c r="H1559" t="s">
        <v>39</v>
      </c>
      <c r="J1559" t="s">
        <v>723</v>
      </c>
      <c r="L1559" s="160"/>
      <c r="M1559" s="48"/>
      <c r="N1559" s="123"/>
    </row>
    <row r="1560" spans="1:14" customFormat="1" x14ac:dyDescent="0.55000000000000004">
      <c r="A1560" s="60" t="s">
        <v>720</v>
      </c>
      <c r="B1560" t="s">
        <v>140</v>
      </c>
      <c r="C1560" t="s">
        <v>121</v>
      </c>
      <c r="D1560" t="s">
        <v>3288</v>
      </c>
      <c r="E1560" s="116">
        <v>1</v>
      </c>
      <c r="F1560" s="149" t="s">
        <v>135</v>
      </c>
      <c r="G1560" s="149">
        <v>1</v>
      </c>
      <c r="H1560" t="s">
        <v>39</v>
      </c>
      <c r="J1560" t="s">
        <v>721</v>
      </c>
      <c r="L1560" s="160">
        <v>7203</v>
      </c>
      <c r="M1560" s="48"/>
      <c r="N1560" s="123"/>
    </row>
    <row r="1561" spans="1:14" customFormat="1" x14ac:dyDescent="0.55000000000000004">
      <c r="A1561" s="60" t="s">
        <v>720</v>
      </c>
      <c r="B1561" t="s">
        <v>153</v>
      </c>
      <c r="C1561" t="s">
        <v>127</v>
      </c>
      <c r="D1561" t="s">
        <v>2994</v>
      </c>
      <c r="E1561" s="116">
        <v>1</v>
      </c>
      <c r="F1561" s="149" t="s">
        <v>138</v>
      </c>
      <c r="G1561" s="149" t="s">
        <v>135</v>
      </c>
      <c r="H1561" t="s">
        <v>39</v>
      </c>
      <c r="J1561" t="s">
        <v>721</v>
      </c>
      <c r="L1561" s="160"/>
      <c r="M1561" s="48"/>
      <c r="N1561" s="123"/>
    </row>
    <row r="1562" spans="1:14" customFormat="1" x14ac:dyDescent="0.55000000000000004">
      <c r="A1562" s="60" t="s">
        <v>720</v>
      </c>
      <c r="B1562" t="s">
        <v>564</v>
      </c>
      <c r="C1562" t="s">
        <v>127</v>
      </c>
      <c r="D1562" t="s">
        <v>2994</v>
      </c>
      <c r="E1562" s="116">
        <v>0.35</v>
      </c>
      <c r="F1562" s="149" t="s">
        <v>138</v>
      </c>
      <c r="G1562" s="149" t="s">
        <v>135</v>
      </c>
      <c r="H1562" t="s">
        <v>39</v>
      </c>
      <c r="J1562" t="s">
        <v>721</v>
      </c>
      <c r="L1562" s="160"/>
      <c r="M1562" s="48"/>
      <c r="N1562" s="123"/>
    </row>
    <row r="1563" spans="1:14" customFormat="1" x14ac:dyDescent="0.55000000000000004">
      <c r="A1563" s="60" t="s">
        <v>720</v>
      </c>
      <c r="B1563" t="s">
        <v>171</v>
      </c>
      <c r="C1563" t="s">
        <v>127</v>
      </c>
      <c r="D1563" t="s">
        <v>2994</v>
      </c>
      <c r="E1563" s="116">
        <v>17.5</v>
      </c>
      <c r="F1563" s="149" t="s">
        <v>138</v>
      </c>
      <c r="G1563" s="149" t="s">
        <v>135</v>
      </c>
      <c r="H1563" t="s">
        <v>39</v>
      </c>
      <c r="J1563" t="s">
        <v>721</v>
      </c>
      <c r="L1563" s="160"/>
      <c r="M1563" s="48"/>
      <c r="N1563" s="123"/>
    </row>
    <row r="1564" spans="1:14" customFormat="1" x14ac:dyDescent="0.55000000000000004">
      <c r="A1564" s="60" t="s">
        <v>720</v>
      </c>
      <c r="B1564" t="s">
        <v>188</v>
      </c>
      <c r="C1564" t="s">
        <v>156</v>
      </c>
      <c r="D1564" t="s">
        <v>2994</v>
      </c>
      <c r="E1564" s="116">
        <v>0.2</v>
      </c>
      <c r="F1564" s="149" t="s">
        <v>138</v>
      </c>
      <c r="G1564" s="149" t="s">
        <v>135</v>
      </c>
      <c r="H1564" t="s">
        <v>39</v>
      </c>
      <c r="J1564" t="s">
        <v>721</v>
      </c>
      <c r="L1564" s="160"/>
      <c r="M1564" s="48"/>
      <c r="N1564" s="123"/>
    </row>
    <row r="1565" spans="1:14" customFormat="1" x14ac:dyDescent="0.55000000000000004">
      <c r="A1565" s="60" t="s">
        <v>720</v>
      </c>
      <c r="B1565" t="s">
        <v>160</v>
      </c>
      <c r="C1565" t="s">
        <v>247</v>
      </c>
      <c r="D1565" t="s">
        <v>3288</v>
      </c>
      <c r="E1565" s="116">
        <v>981.23608001321782</v>
      </c>
      <c r="F1565" s="149" t="s">
        <v>122</v>
      </c>
      <c r="G1565" s="149" t="s">
        <v>135</v>
      </c>
      <c r="H1565" t="s">
        <v>39</v>
      </c>
      <c r="J1565" t="s">
        <v>721</v>
      </c>
      <c r="L1565" s="160"/>
      <c r="M1565" s="48"/>
      <c r="N1565" s="123"/>
    </row>
    <row r="1566" spans="1:14" customFormat="1" x14ac:dyDescent="0.55000000000000004">
      <c r="A1566" s="60" t="s">
        <v>720</v>
      </c>
      <c r="B1566" t="s">
        <v>160</v>
      </c>
      <c r="C1566" t="s">
        <v>156</v>
      </c>
      <c r="D1566" t="s">
        <v>3288</v>
      </c>
      <c r="E1566" s="116">
        <v>782.45474999999999</v>
      </c>
      <c r="F1566" s="149" t="s">
        <v>122</v>
      </c>
      <c r="G1566" s="149" t="s">
        <v>135</v>
      </c>
      <c r="H1566" t="s">
        <v>39</v>
      </c>
      <c r="J1566" t="s">
        <v>721</v>
      </c>
      <c r="L1566" s="160"/>
      <c r="M1566" s="48"/>
      <c r="N1566" s="123"/>
    </row>
    <row r="1567" spans="1:14" customFormat="1" x14ac:dyDescent="0.55000000000000004">
      <c r="A1567" s="54" t="s">
        <v>718</v>
      </c>
      <c r="B1567" t="s">
        <v>134</v>
      </c>
      <c r="C1567" t="s">
        <v>121</v>
      </c>
      <c r="D1567" t="s">
        <v>3288</v>
      </c>
      <c r="E1567" s="116">
        <v>1</v>
      </c>
      <c r="F1567" s="149" t="s">
        <v>135</v>
      </c>
      <c r="G1567" s="149">
        <v>1</v>
      </c>
      <c r="H1567" t="s">
        <v>39</v>
      </c>
      <c r="J1567" t="s">
        <v>718</v>
      </c>
      <c r="L1567" s="160">
        <v>2523</v>
      </c>
      <c r="M1567" s="48"/>
      <c r="N1567" s="123"/>
    </row>
    <row r="1568" spans="1:14" customFormat="1" x14ac:dyDescent="0.55000000000000004">
      <c r="A1568" s="54" t="s">
        <v>718</v>
      </c>
      <c r="B1568" t="s">
        <v>230</v>
      </c>
      <c r="C1568" t="s">
        <v>127</v>
      </c>
      <c r="D1568" t="s">
        <v>2994</v>
      </c>
      <c r="E1568" s="116">
        <v>0.22</v>
      </c>
      <c r="F1568" s="149" t="s">
        <v>138</v>
      </c>
      <c r="G1568" s="149" t="s">
        <v>135</v>
      </c>
      <c r="H1568" t="s">
        <v>39</v>
      </c>
      <c r="J1568" t="s">
        <v>718</v>
      </c>
      <c r="L1568" s="160"/>
      <c r="M1568" s="48"/>
      <c r="N1568" s="123"/>
    </row>
    <row r="1569" spans="1:14" customFormat="1" x14ac:dyDescent="0.55000000000000004">
      <c r="A1569" s="54" t="s">
        <v>718</v>
      </c>
      <c r="B1569" t="s">
        <v>262</v>
      </c>
      <c r="C1569" t="s">
        <v>127</v>
      </c>
      <c r="D1569" t="s">
        <v>2994</v>
      </c>
      <c r="E1569" s="116">
        <v>2.67</v>
      </c>
      <c r="F1569" s="149" t="s">
        <v>138</v>
      </c>
      <c r="G1569" s="149" t="s">
        <v>135</v>
      </c>
      <c r="H1569" t="s">
        <v>39</v>
      </c>
      <c r="J1569" t="s">
        <v>718</v>
      </c>
      <c r="L1569" s="160"/>
      <c r="M1569" s="48"/>
      <c r="N1569" s="123"/>
    </row>
    <row r="1570" spans="1:14" customFormat="1" x14ac:dyDescent="0.55000000000000004">
      <c r="A1570" s="54" t="s">
        <v>718</v>
      </c>
      <c r="B1570" t="s">
        <v>153</v>
      </c>
      <c r="C1570" t="s">
        <v>127</v>
      </c>
      <c r="D1570" t="s">
        <v>2994</v>
      </c>
      <c r="E1570" s="116">
        <v>0.41</v>
      </c>
      <c r="F1570" s="149" t="s">
        <v>138</v>
      </c>
      <c r="G1570" s="149" t="s">
        <v>135</v>
      </c>
      <c r="H1570" t="s">
        <v>39</v>
      </c>
      <c r="J1570" t="s">
        <v>718</v>
      </c>
      <c r="L1570" s="160"/>
      <c r="M1570" s="48"/>
      <c r="N1570" s="123"/>
    </row>
    <row r="1571" spans="1:14" customFormat="1" x14ac:dyDescent="0.55000000000000004">
      <c r="A1571" s="54" t="s">
        <v>718</v>
      </c>
      <c r="B1571" t="s">
        <v>445</v>
      </c>
      <c r="C1571" t="s">
        <v>127</v>
      </c>
      <c r="D1571" t="s">
        <v>2994</v>
      </c>
      <c r="E1571" s="116">
        <v>0.67</v>
      </c>
      <c r="F1571" s="149" t="s">
        <v>138</v>
      </c>
      <c r="G1571" s="149" t="s">
        <v>135</v>
      </c>
      <c r="H1571" t="s">
        <v>39</v>
      </c>
      <c r="J1571" t="s">
        <v>718</v>
      </c>
      <c r="L1571" s="160"/>
      <c r="M1571" s="48"/>
      <c r="N1571" s="123"/>
    </row>
    <row r="1572" spans="1:14" customFormat="1" x14ac:dyDescent="0.55000000000000004">
      <c r="A1572" s="54" t="s">
        <v>718</v>
      </c>
      <c r="B1572" t="s">
        <v>171</v>
      </c>
      <c r="C1572" t="s">
        <v>127</v>
      </c>
      <c r="D1572" t="s">
        <v>2994</v>
      </c>
      <c r="E1572" s="116">
        <v>0.34</v>
      </c>
      <c r="F1572" s="149" t="s">
        <v>138</v>
      </c>
      <c r="G1572" s="149" t="s">
        <v>135</v>
      </c>
      <c r="H1572" t="s">
        <v>39</v>
      </c>
      <c r="J1572" t="s">
        <v>718</v>
      </c>
      <c r="L1572" s="160"/>
      <c r="M1572" s="48"/>
      <c r="N1572" s="123"/>
    </row>
    <row r="1573" spans="1:14" customFormat="1" x14ac:dyDescent="0.55000000000000004">
      <c r="A1573" s="54" t="s">
        <v>718</v>
      </c>
      <c r="B1573" t="s">
        <v>160</v>
      </c>
      <c r="C1573" t="s">
        <v>247</v>
      </c>
      <c r="D1573" t="s">
        <v>3288</v>
      </c>
      <c r="E1573" s="116">
        <v>330.13441611600541</v>
      </c>
      <c r="F1573" s="149" t="s">
        <v>122</v>
      </c>
      <c r="G1573" s="149" t="s">
        <v>135</v>
      </c>
      <c r="H1573" t="s">
        <v>39</v>
      </c>
      <c r="J1573" t="s">
        <v>718</v>
      </c>
      <c r="L1573" s="160"/>
      <c r="M1573" s="48"/>
      <c r="N1573" s="123"/>
    </row>
    <row r="1574" spans="1:14" customFormat="1" x14ac:dyDescent="0.55000000000000004">
      <c r="A1574" s="54" t="s">
        <v>718</v>
      </c>
      <c r="B1574" t="s">
        <v>160</v>
      </c>
      <c r="C1574" t="s">
        <v>560</v>
      </c>
      <c r="D1574" t="s">
        <v>3288</v>
      </c>
      <c r="E1574" s="116">
        <v>505.2</v>
      </c>
      <c r="F1574" s="149" t="s">
        <v>122</v>
      </c>
      <c r="G1574" s="149" t="s">
        <v>135</v>
      </c>
      <c r="H1574" t="s">
        <v>39</v>
      </c>
      <c r="J1574" t="s">
        <v>718</v>
      </c>
      <c r="L1574" s="160"/>
      <c r="M1574" s="48"/>
      <c r="N1574" s="123"/>
    </row>
    <row r="1575" spans="1:14" customFormat="1" x14ac:dyDescent="0.55000000000000004">
      <c r="A1575" s="62" t="s">
        <v>715</v>
      </c>
      <c r="B1575" t="s">
        <v>134</v>
      </c>
      <c r="C1575" t="s">
        <v>121</v>
      </c>
      <c r="D1575" t="s">
        <v>3288</v>
      </c>
      <c r="E1575" s="116">
        <v>1</v>
      </c>
      <c r="F1575" s="149" t="s">
        <v>135</v>
      </c>
      <c r="G1575" s="149">
        <v>1</v>
      </c>
      <c r="H1575" t="s">
        <v>39</v>
      </c>
      <c r="J1575" t="s">
        <v>716</v>
      </c>
      <c r="L1575" s="160">
        <v>2523</v>
      </c>
      <c r="M1575" s="48"/>
      <c r="N1575" s="123"/>
    </row>
    <row r="1576" spans="1:14" customFormat="1" x14ac:dyDescent="0.55000000000000004">
      <c r="A1576" s="62" t="s">
        <v>715</v>
      </c>
      <c r="B1576" t="s">
        <v>230</v>
      </c>
      <c r="C1576" t="s">
        <v>127</v>
      </c>
      <c r="D1576" t="s">
        <v>2994</v>
      </c>
      <c r="E1576" s="116">
        <v>0.22</v>
      </c>
      <c r="F1576" s="149" t="s">
        <v>138</v>
      </c>
      <c r="G1576" s="149" t="s">
        <v>135</v>
      </c>
      <c r="H1576" t="s">
        <v>39</v>
      </c>
      <c r="J1576" t="s">
        <v>716</v>
      </c>
      <c r="L1576" s="160"/>
      <c r="M1576" s="48"/>
      <c r="N1576" s="123"/>
    </row>
    <row r="1577" spans="1:14" customFormat="1" x14ac:dyDescent="0.55000000000000004">
      <c r="A1577" s="62" t="s">
        <v>715</v>
      </c>
      <c r="B1577" t="s">
        <v>262</v>
      </c>
      <c r="C1577" t="s">
        <v>127</v>
      </c>
      <c r="D1577" t="s">
        <v>2994</v>
      </c>
      <c r="E1577" s="116">
        <v>2.67</v>
      </c>
      <c r="F1577" s="149" t="s">
        <v>138</v>
      </c>
      <c r="G1577" s="149" t="s">
        <v>135</v>
      </c>
      <c r="H1577" t="s">
        <v>39</v>
      </c>
      <c r="J1577" t="s">
        <v>716</v>
      </c>
      <c r="L1577" s="160"/>
      <c r="M1577" s="48"/>
      <c r="N1577" s="123"/>
    </row>
    <row r="1578" spans="1:14" customFormat="1" x14ac:dyDescent="0.55000000000000004">
      <c r="A1578" s="62" t="s">
        <v>715</v>
      </c>
      <c r="B1578" t="s">
        <v>153</v>
      </c>
      <c r="C1578" t="s">
        <v>127</v>
      </c>
      <c r="D1578" t="s">
        <v>2994</v>
      </c>
      <c r="E1578" s="116">
        <v>0.41</v>
      </c>
      <c r="F1578" s="149" t="s">
        <v>138</v>
      </c>
      <c r="G1578" s="149" t="s">
        <v>135</v>
      </c>
      <c r="H1578" t="s">
        <v>39</v>
      </c>
      <c r="J1578" t="s">
        <v>716</v>
      </c>
      <c r="L1578" s="160"/>
      <c r="M1578" s="48"/>
      <c r="N1578" s="123"/>
    </row>
    <row r="1579" spans="1:14" customFormat="1" x14ac:dyDescent="0.55000000000000004">
      <c r="A1579" s="62" t="s">
        <v>715</v>
      </c>
      <c r="B1579" t="s">
        <v>445</v>
      </c>
      <c r="C1579" t="s">
        <v>127</v>
      </c>
      <c r="D1579" t="s">
        <v>2994</v>
      </c>
      <c r="E1579" s="116">
        <v>0.67</v>
      </c>
      <c r="F1579" s="149" t="s">
        <v>138</v>
      </c>
      <c r="G1579" s="149" t="s">
        <v>135</v>
      </c>
      <c r="H1579" t="s">
        <v>39</v>
      </c>
      <c r="J1579" t="s">
        <v>716</v>
      </c>
      <c r="L1579" s="160"/>
      <c r="M1579" s="48"/>
      <c r="N1579" s="123"/>
    </row>
    <row r="1580" spans="1:14" customFormat="1" x14ac:dyDescent="0.55000000000000004">
      <c r="A1580" s="62" t="s">
        <v>715</v>
      </c>
      <c r="B1580" t="s">
        <v>564</v>
      </c>
      <c r="C1580" t="s">
        <v>127</v>
      </c>
      <c r="D1580" t="s">
        <v>2994</v>
      </c>
      <c r="E1580" s="116">
        <v>0.51</v>
      </c>
      <c r="F1580" s="149" t="s">
        <v>138</v>
      </c>
      <c r="G1580" s="149" t="s">
        <v>135</v>
      </c>
      <c r="H1580" t="s">
        <v>39</v>
      </c>
      <c r="J1580" t="s">
        <v>716</v>
      </c>
      <c r="L1580" s="160"/>
      <c r="M1580" s="48"/>
      <c r="N1580" s="123"/>
    </row>
    <row r="1581" spans="1:14" customFormat="1" x14ac:dyDescent="0.55000000000000004">
      <c r="A1581" s="62" t="s">
        <v>715</v>
      </c>
      <c r="B1581" t="s">
        <v>171</v>
      </c>
      <c r="C1581" t="s">
        <v>127</v>
      </c>
      <c r="D1581" t="s">
        <v>2994</v>
      </c>
      <c r="E1581" s="116">
        <v>0.34</v>
      </c>
      <c r="F1581" s="149" t="s">
        <v>138</v>
      </c>
      <c r="G1581" s="149" t="s">
        <v>135</v>
      </c>
      <c r="H1581" t="s">
        <v>39</v>
      </c>
      <c r="J1581" t="s">
        <v>716</v>
      </c>
      <c r="L1581" s="160"/>
      <c r="M1581" s="48"/>
      <c r="N1581" s="123"/>
    </row>
    <row r="1582" spans="1:14" customFormat="1" x14ac:dyDescent="0.55000000000000004">
      <c r="A1582" s="62" t="s">
        <v>715</v>
      </c>
      <c r="B1582" t="s">
        <v>188</v>
      </c>
      <c r="C1582" t="s">
        <v>127</v>
      </c>
      <c r="D1582" t="s">
        <v>2994</v>
      </c>
      <c r="E1582" s="116">
        <v>2.66</v>
      </c>
      <c r="F1582" s="149" t="s">
        <v>138</v>
      </c>
      <c r="G1582" s="149" t="s">
        <v>135</v>
      </c>
      <c r="H1582" t="s">
        <v>39</v>
      </c>
      <c r="J1582" t="s">
        <v>716</v>
      </c>
      <c r="L1582" s="160"/>
      <c r="M1582" s="48"/>
      <c r="N1582" s="123"/>
    </row>
    <row r="1583" spans="1:14" customFormat="1" x14ac:dyDescent="0.55000000000000004">
      <c r="A1583" s="62" t="s">
        <v>715</v>
      </c>
      <c r="B1583" t="s">
        <v>160</v>
      </c>
      <c r="C1583" t="s">
        <v>247</v>
      </c>
      <c r="D1583" t="s">
        <v>3288</v>
      </c>
      <c r="E1583" s="116">
        <v>330.13441611600541</v>
      </c>
      <c r="F1583" s="149" t="s">
        <v>122</v>
      </c>
      <c r="G1583" s="149" t="s">
        <v>135</v>
      </c>
      <c r="H1583" t="s">
        <v>39</v>
      </c>
      <c r="J1583" t="s">
        <v>716</v>
      </c>
      <c r="L1583" s="160"/>
      <c r="M1583" s="48"/>
      <c r="N1583" s="123"/>
    </row>
    <row r="1584" spans="1:14" customFormat="1" x14ac:dyDescent="0.55000000000000004">
      <c r="A1584" s="62" t="s">
        <v>715</v>
      </c>
      <c r="B1584" t="s">
        <v>160</v>
      </c>
      <c r="C1584" t="s">
        <v>560</v>
      </c>
      <c r="D1584" t="s">
        <v>3288</v>
      </c>
      <c r="E1584" s="116">
        <v>505.2</v>
      </c>
      <c r="F1584" s="149" t="s">
        <v>122</v>
      </c>
      <c r="G1584" s="149" t="s">
        <v>135</v>
      </c>
      <c r="H1584" t="s">
        <v>39</v>
      </c>
      <c r="J1584" t="s">
        <v>716</v>
      </c>
      <c r="L1584" s="160"/>
      <c r="M1584" s="48"/>
      <c r="N1584" s="123"/>
    </row>
    <row r="1585" spans="1:14" customFormat="1" x14ac:dyDescent="0.55000000000000004">
      <c r="A1585" s="62" t="s">
        <v>715</v>
      </c>
      <c r="B1585" t="s">
        <v>160</v>
      </c>
      <c r="C1585" t="s">
        <v>156</v>
      </c>
      <c r="D1585" t="s">
        <v>3288</v>
      </c>
      <c r="E1585" s="116">
        <v>835.12580000000003</v>
      </c>
      <c r="F1585" s="149" t="s">
        <v>122</v>
      </c>
      <c r="G1585" s="149" t="s">
        <v>135</v>
      </c>
      <c r="H1585" t="s">
        <v>39</v>
      </c>
      <c r="J1585" t="s">
        <v>716</v>
      </c>
      <c r="L1585" s="160"/>
      <c r="M1585" s="48"/>
      <c r="N1585" s="123"/>
    </row>
    <row r="1586" spans="1:14" customFormat="1" x14ac:dyDescent="0.55000000000000004">
      <c r="A1586" s="62" t="s">
        <v>713</v>
      </c>
      <c r="B1586" t="s">
        <v>134</v>
      </c>
      <c r="C1586" t="s">
        <v>121</v>
      </c>
      <c r="D1586" t="s">
        <v>3288</v>
      </c>
      <c r="E1586" s="116">
        <v>1</v>
      </c>
      <c r="F1586" s="149" t="s">
        <v>135</v>
      </c>
      <c r="G1586" s="149">
        <v>1</v>
      </c>
      <c r="H1586" t="s">
        <v>39</v>
      </c>
      <c r="J1586" t="s">
        <v>714</v>
      </c>
      <c r="L1586" s="160">
        <v>2523</v>
      </c>
      <c r="M1586" s="48"/>
      <c r="N1586" s="123"/>
    </row>
    <row r="1587" spans="1:14" customFormat="1" x14ac:dyDescent="0.55000000000000004">
      <c r="A1587" s="62" t="s">
        <v>713</v>
      </c>
      <c r="B1587" t="s">
        <v>230</v>
      </c>
      <c r="C1587" t="s">
        <v>127</v>
      </c>
      <c r="D1587" t="s">
        <v>2994</v>
      </c>
      <c r="E1587" s="116">
        <v>0.22</v>
      </c>
      <c r="F1587" s="149" t="s">
        <v>138</v>
      </c>
      <c r="G1587" s="149" t="s">
        <v>135</v>
      </c>
      <c r="H1587" t="s">
        <v>39</v>
      </c>
      <c r="J1587" t="s">
        <v>714</v>
      </c>
      <c r="L1587" s="160"/>
      <c r="M1587" s="48"/>
      <c r="N1587" s="123"/>
    </row>
    <row r="1588" spans="1:14" customFormat="1" x14ac:dyDescent="0.55000000000000004">
      <c r="A1588" s="62" t="s">
        <v>713</v>
      </c>
      <c r="B1588" t="s">
        <v>262</v>
      </c>
      <c r="C1588" t="s">
        <v>127</v>
      </c>
      <c r="D1588" t="s">
        <v>2994</v>
      </c>
      <c r="E1588" s="116">
        <v>2.67</v>
      </c>
      <c r="F1588" s="149" t="s">
        <v>138</v>
      </c>
      <c r="G1588" s="149" t="s">
        <v>135</v>
      </c>
      <c r="H1588" t="s">
        <v>39</v>
      </c>
      <c r="J1588" t="s">
        <v>714</v>
      </c>
      <c r="L1588" s="160"/>
      <c r="M1588" s="48"/>
      <c r="N1588" s="123"/>
    </row>
    <row r="1589" spans="1:14" customFormat="1" x14ac:dyDescent="0.55000000000000004">
      <c r="A1589" s="62" t="s">
        <v>713</v>
      </c>
      <c r="B1589" t="s">
        <v>153</v>
      </c>
      <c r="C1589" t="s">
        <v>127</v>
      </c>
      <c r="D1589" t="s">
        <v>2994</v>
      </c>
      <c r="E1589" s="116">
        <v>0.82</v>
      </c>
      <c r="F1589" s="149" t="s">
        <v>138</v>
      </c>
      <c r="G1589" s="149" t="s">
        <v>135</v>
      </c>
      <c r="H1589" t="s">
        <v>39</v>
      </c>
      <c r="J1589" t="s">
        <v>714</v>
      </c>
      <c r="L1589" s="160"/>
      <c r="M1589" s="48"/>
      <c r="N1589" s="123"/>
    </row>
    <row r="1590" spans="1:14" customFormat="1" x14ac:dyDescent="0.55000000000000004">
      <c r="A1590" s="62" t="s">
        <v>713</v>
      </c>
      <c r="B1590" t="s">
        <v>445</v>
      </c>
      <c r="C1590" t="s">
        <v>127</v>
      </c>
      <c r="D1590" t="s">
        <v>2994</v>
      </c>
      <c r="E1590" s="116">
        <v>0.67</v>
      </c>
      <c r="F1590" s="149" t="s">
        <v>138</v>
      </c>
      <c r="G1590" s="149" t="s">
        <v>135</v>
      </c>
      <c r="H1590" t="s">
        <v>39</v>
      </c>
      <c r="J1590" t="s">
        <v>714</v>
      </c>
      <c r="L1590" s="160"/>
      <c r="M1590" s="48"/>
      <c r="N1590" s="123"/>
    </row>
    <row r="1591" spans="1:14" customFormat="1" x14ac:dyDescent="0.55000000000000004">
      <c r="A1591" s="62" t="s">
        <v>713</v>
      </c>
      <c r="B1591" t="s">
        <v>171</v>
      </c>
      <c r="C1591" t="s">
        <v>127</v>
      </c>
      <c r="D1591" t="s">
        <v>2994</v>
      </c>
      <c r="E1591" s="116">
        <v>0.34</v>
      </c>
      <c r="F1591" s="149" t="s">
        <v>138</v>
      </c>
      <c r="G1591" s="149" t="s">
        <v>135</v>
      </c>
      <c r="H1591" t="s">
        <v>39</v>
      </c>
      <c r="J1591" t="s">
        <v>714</v>
      </c>
      <c r="L1591" s="160"/>
      <c r="M1591" s="48"/>
      <c r="N1591" s="123"/>
    </row>
    <row r="1592" spans="1:14" customFormat="1" x14ac:dyDescent="0.55000000000000004">
      <c r="A1592" s="62" t="s">
        <v>713</v>
      </c>
      <c r="B1592" t="s">
        <v>160</v>
      </c>
      <c r="C1592" t="s">
        <v>247</v>
      </c>
      <c r="D1592" t="s">
        <v>3288</v>
      </c>
      <c r="E1592" s="116">
        <v>330.13441611600541</v>
      </c>
      <c r="F1592" s="149" t="s">
        <v>122</v>
      </c>
      <c r="G1592" s="149" t="s">
        <v>135</v>
      </c>
      <c r="H1592" t="s">
        <v>39</v>
      </c>
      <c r="J1592" t="s">
        <v>714</v>
      </c>
      <c r="L1592" s="160"/>
      <c r="M1592" s="48"/>
      <c r="N1592" s="123"/>
    </row>
    <row r="1593" spans="1:14" customFormat="1" x14ac:dyDescent="0.55000000000000004">
      <c r="A1593" s="62" t="s">
        <v>713</v>
      </c>
      <c r="B1593" t="s">
        <v>160</v>
      </c>
      <c r="C1593" t="s">
        <v>560</v>
      </c>
      <c r="D1593" t="s">
        <v>3288</v>
      </c>
      <c r="E1593" s="116">
        <v>505.2</v>
      </c>
      <c r="F1593" s="149" t="s">
        <v>122</v>
      </c>
      <c r="G1593" s="149" t="s">
        <v>135</v>
      </c>
      <c r="H1593" t="s">
        <v>39</v>
      </c>
      <c r="J1593" t="s">
        <v>714</v>
      </c>
      <c r="L1593" s="160"/>
      <c r="M1593" s="48"/>
      <c r="N1593" s="123"/>
    </row>
    <row r="1594" spans="1:14" customFormat="1" x14ac:dyDescent="0.55000000000000004">
      <c r="A1594" s="62" t="s">
        <v>713</v>
      </c>
      <c r="B1594" t="s">
        <v>160</v>
      </c>
      <c r="C1594" t="s">
        <v>156</v>
      </c>
      <c r="D1594" t="s">
        <v>3288</v>
      </c>
      <c r="E1594" s="116">
        <v>835.12580000000003</v>
      </c>
      <c r="F1594" s="149" t="s">
        <v>122</v>
      </c>
      <c r="G1594" s="149" t="s">
        <v>135</v>
      </c>
      <c r="H1594" t="s">
        <v>39</v>
      </c>
      <c r="J1594" t="s">
        <v>714</v>
      </c>
      <c r="L1594" s="160"/>
      <c r="M1594" s="48"/>
      <c r="N1594" s="123"/>
    </row>
    <row r="1595" spans="1:14" customFormat="1" x14ac:dyDescent="0.55000000000000004">
      <c r="A1595" s="94" t="s">
        <v>711</v>
      </c>
      <c r="B1595" t="s">
        <v>469</v>
      </c>
      <c r="C1595" t="s">
        <v>121</v>
      </c>
      <c r="D1595" t="s">
        <v>3288</v>
      </c>
      <c r="E1595" s="116">
        <v>1</v>
      </c>
      <c r="F1595" s="149" t="s">
        <v>135</v>
      </c>
      <c r="G1595" s="149">
        <v>1</v>
      </c>
      <c r="H1595" t="s">
        <v>39</v>
      </c>
      <c r="J1595" t="s">
        <v>711</v>
      </c>
      <c r="L1595" s="160">
        <v>290513</v>
      </c>
      <c r="M1595" s="48"/>
      <c r="N1595" s="123"/>
    </row>
    <row r="1596" spans="1:14" customFormat="1" x14ac:dyDescent="0.55000000000000004">
      <c r="A1596" s="94" t="s">
        <v>711</v>
      </c>
      <c r="B1596" t="s">
        <v>334</v>
      </c>
      <c r="C1596" t="s">
        <v>127</v>
      </c>
      <c r="D1596" t="s">
        <v>2994</v>
      </c>
      <c r="E1596" s="116">
        <v>22.5</v>
      </c>
      <c r="F1596" s="149" t="s">
        <v>138</v>
      </c>
      <c r="G1596" s="149" t="s">
        <v>135</v>
      </c>
      <c r="H1596" t="s">
        <v>39</v>
      </c>
      <c r="J1596" t="s">
        <v>711</v>
      </c>
      <c r="L1596" s="160"/>
      <c r="M1596" s="48"/>
      <c r="N1596" s="123"/>
    </row>
    <row r="1597" spans="1:14" customFormat="1" x14ac:dyDescent="0.55000000000000004">
      <c r="A1597" s="94" t="s">
        <v>711</v>
      </c>
      <c r="B1597" t="s">
        <v>564</v>
      </c>
      <c r="C1597" t="s">
        <v>127</v>
      </c>
      <c r="D1597" t="s">
        <v>2994</v>
      </c>
      <c r="E1597" s="116">
        <v>1.4</v>
      </c>
      <c r="F1597" s="149" t="s">
        <v>138</v>
      </c>
      <c r="G1597" s="149" t="s">
        <v>135</v>
      </c>
      <c r="H1597" t="s">
        <v>39</v>
      </c>
      <c r="J1597" t="s">
        <v>711</v>
      </c>
      <c r="L1597" s="160"/>
      <c r="M1597" s="48"/>
      <c r="N1597" s="123"/>
    </row>
    <row r="1598" spans="1:14" customFormat="1" x14ac:dyDescent="0.55000000000000004">
      <c r="A1598" s="94" t="s">
        <v>709</v>
      </c>
      <c r="B1598" t="s">
        <v>615</v>
      </c>
      <c r="C1598" t="s">
        <v>121</v>
      </c>
      <c r="D1598" t="s">
        <v>3288</v>
      </c>
      <c r="E1598" s="116">
        <v>1</v>
      </c>
      <c r="F1598" s="149" t="s">
        <v>135</v>
      </c>
      <c r="G1598" s="149">
        <v>1</v>
      </c>
      <c r="H1598" t="s">
        <v>39</v>
      </c>
      <c r="J1598" t="s">
        <v>709</v>
      </c>
      <c r="L1598" s="160">
        <v>281410</v>
      </c>
      <c r="M1598" s="48"/>
      <c r="N1598" s="123"/>
    </row>
    <row r="1599" spans="1:14" customFormat="1" x14ac:dyDescent="0.55000000000000004">
      <c r="A1599" s="94" t="s">
        <v>709</v>
      </c>
      <c r="B1599" t="s">
        <v>334</v>
      </c>
      <c r="C1599" t="s">
        <v>127</v>
      </c>
      <c r="D1599" t="s">
        <v>2994</v>
      </c>
      <c r="E1599" s="116">
        <v>36</v>
      </c>
      <c r="F1599" s="149" t="s">
        <v>138</v>
      </c>
      <c r="G1599" s="149" t="s">
        <v>135</v>
      </c>
      <c r="H1599" t="s">
        <v>39</v>
      </c>
      <c r="J1599" t="s">
        <v>709</v>
      </c>
      <c r="L1599" s="160"/>
      <c r="M1599" s="48"/>
      <c r="N1599" s="123"/>
    </row>
    <row r="1600" spans="1:14" customFormat="1" x14ac:dyDescent="0.55000000000000004">
      <c r="A1600" s="94" t="s">
        <v>709</v>
      </c>
      <c r="B1600" t="s">
        <v>564</v>
      </c>
      <c r="C1600" t="s">
        <v>127</v>
      </c>
      <c r="D1600" t="s">
        <v>2994</v>
      </c>
      <c r="E1600" s="116">
        <v>5.74</v>
      </c>
      <c r="F1600" s="149" t="s">
        <v>138</v>
      </c>
      <c r="G1600" s="149" t="s">
        <v>135</v>
      </c>
      <c r="H1600" t="s">
        <v>39</v>
      </c>
      <c r="J1600" t="s">
        <v>709</v>
      </c>
      <c r="L1600" s="160"/>
      <c r="M1600" s="48"/>
      <c r="N1600" s="123"/>
    </row>
    <row r="1601" spans="1:14" customFormat="1" x14ac:dyDescent="0.55000000000000004">
      <c r="A1601" s="94" t="s">
        <v>704</v>
      </c>
      <c r="B1601" t="s">
        <v>598</v>
      </c>
      <c r="C1601" t="s">
        <v>121</v>
      </c>
      <c r="D1601" t="s">
        <v>3288</v>
      </c>
      <c r="E1601" s="116">
        <v>1</v>
      </c>
      <c r="F1601" s="149" t="s">
        <v>135</v>
      </c>
      <c r="G1601" s="149">
        <v>1</v>
      </c>
      <c r="H1601" t="s">
        <v>39</v>
      </c>
      <c r="J1601" t="s">
        <v>704</v>
      </c>
      <c r="L1601" s="160" t="s">
        <v>599</v>
      </c>
      <c r="M1601" s="48"/>
      <c r="N1601" s="123"/>
    </row>
    <row r="1602" spans="1:14" customFormat="1" x14ac:dyDescent="0.55000000000000004">
      <c r="A1602" s="94" t="s">
        <v>704</v>
      </c>
      <c r="B1602" t="s">
        <v>706</v>
      </c>
      <c r="C1602" t="s">
        <v>127</v>
      </c>
      <c r="D1602" t="s">
        <v>2994</v>
      </c>
      <c r="E1602" s="116">
        <v>17.100000000000001</v>
      </c>
      <c r="F1602" s="149" t="s">
        <v>138</v>
      </c>
      <c r="G1602" s="149" t="s">
        <v>135</v>
      </c>
      <c r="H1602" t="s">
        <v>39</v>
      </c>
      <c r="J1602" t="s">
        <v>704</v>
      </c>
      <c r="L1602" s="160"/>
      <c r="M1602" s="48"/>
      <c r="N1602" s="123"/>
    </row>
    <row r="1603" spans="1:14" customFormat="1" x14ac:dyDescent="0.55000000000000004">
      <c r="A1603" s="94" t="s">
        <v>704</v>
      </c>
      <c r="B1603" t="s">
        <v>564</v>
      </c>
      <c r="C1603" t="s">
        <v>127</v>
      </c>
      <c r="D1603" t="s">
        <v>2994</v>
      </c>
      <c r="E1603" s="116">
        <v>0.8</v>
      </c>
      <c r="F1603" s="149" t="s">
        <v>138</v>
      </c>
      <c r="G1603" s="149" t="s">
        <v>135</v>
      </c>
      <c r="H1603" t="s">
        <v>39</v>
      </c>
      <c r="J1603" t="s">
        <v>704</v>
      </c>
      <c r="L1603" s="160"/>
      <c r="M1603" s="48"/>
      <c r="N1603" s="123"/>
    </row>
    <row r="1604" spans="1:14" customFormat="1" x14ac:dyDescent="0.55000000000000004">
      <c r="A1604" s="94" t="s">
        <v>704</v>
      </c>
      <c r="B1604" t="s">
        <v>706</v>
      </c>
      <c r="C1604" t="s">
        <v>231</v>
      </c>
      <c r="D1604" t="s">
        <v>2994</v>
      </c>
      <c r="E1604" s="116">
        <v>56.7</v>
      </c>
      <c r="F1604" s="149" t="s">
        <v>138</v>
      </c>
      <c r="G1604" s="149" t="s">
        <v>135</v>
      </c>
      <c r="H1604" t="s">
        <v>39</v>
      </c>
      <c r="J1604" t="s">
        <v>704</v>
      </c>
      <c r="L1604" s="160"/>
      <c r="M1604" s="48"/>
      <c r="N1604" s="123"/>
    </row>
    <row r="1605" spans="1:14" customFormat="1" x14ac:dyDescent="0.55000000000000004">
      <c r="A1605" s="94" t="s">
        <v>704</v>
      </c>
      <c r="B1605" t="s">
        <v>188</v>
      </c>
      <c r="C1605" t="s">
        <v>156</v>
      </c>
      <c r="D1605" t="s">
        <v>2994</v>
      </c>
      <c r="E1605" s="116">
        <v>0.1</v>
      </c>
      <c r="F1605" s="149" t="s">
        <v>138</v>
      </c>
      <c r="G1605" s="149" t="s">
        <v>135</v>
      </c>
      <c r="H1605" t="s">
        <v>39</v>
      </c>
      <c r="J1605" t="s">
        <v>704</v>
      </c>
      <c r="L1605" s="160"/>
      <c r="M1605" s="48"/>
      <c r="N1605" s="123"/>
    </row>
    <row r="1606" spans="1:14" customFormat="1" x14ac:dyDescent="0.55000000000000004">
      <c r="A1606" s="94" t="s">
        <v>704</v>
      </c>
      <c r="B1606" t="s">
        <v>160</v>
      </c>
      <c r="C1606" t="s">
        <v>247</v>
      </c>
      <c r="D1606" t="s">
        <v>3288</v>
      </c>
      <c r="E1606" s="116">
        <v>990.52479915971173</v>
      </c>
      <c r="F1606" s="149" t="s">
        <v>122</v>
      </c>
      <c r="G1606" s="149" t="s">
        <v>135</v>
      </c>
      <c r="H1606" t="s">
        <v>39</v>
      </c>
      <c r="J1606" t="s">
        <v>704</v>
      </c>
      <c r="L1606" s="160"/>
      <c r="M1606" s="48"/>
      <c r="N1606" s="123"/>
    </row>
    <row r="1607" spans="1:14" customFormat="1" x14ac:dyDescent="0.55000000000000004">
      <c r="A1607" s="65" t="s">
        <v>694</v>
      </c>
      <c r="B1607" t="s">
        <v>695</v>
      </c>
      <c r="C1607" t="s">
        <v>121</v>
      </c>
      <c r="D1607" t="s">
        <v>3288</v>
      </c>
      <c r="E1607" s="116">
        <v>1</v>
      </c>
      <c r="F1607" s="149" t="s">
        <v>135</v>
      </c>
      <c r="G1607" s="149">
        <v>1</v>
      </c>
      <c r="H1607" t="s">
        <v>39</v>
      </c>
      <c r="J1607" t="s">
        <v>694</v>
      </c>
      <c r="L1607" s="160">
        <v>7202</v>
      </c>
      <c r="M1607" s="48"/>
      <c r="N1607" s="123"/>
    </row>
    <row r="1608" spans="1:14" customFormat="1" x14ac:dyDescent="0.55000000000000004">
      <c r="A1608" s="65" t="s">
        <v>694</v>
      </c>
      <c r="B1608" t="s">
        <v>354</v>
      </c>
      <c r="C1608" t="s">
        <v>125</v>
      </c>
      <c r="D1608" t="s">
        <v>3288</v>
      </c>
      <c r="E1608" s="116">
        <v>0.3</v>
      </c>
      <c r="F1608" s="149" t="s">
        <v>135</v>
      </c>
      <c r="G1608" s="149" t="s">
        <v>135</v>
      </c>
      <c r="H1608" t="s">
        <v>39</v>
      </c>
      <c r="J1608" t="s">
        <v>694</v>
      </c>
      <c r="L1608" s="160"/>
      <c r="M1608" s="48"/>
      <c r="N1608" s="123"/>
    </row>
    <row r="1609" spans="1:14" customFormat="1" x14ac:dyDescent="0.55000000000000004">
      <c r="A1609" s="65" t="s">
        <v>694</v>
      </c>
      <c r="B1609" t="s">
        <v>698</v>
      </c>
      <c r="C1609" t="s">
        <v>125</v>
      </c>
      <c r="D1609" t="s">
        <v>3288</v>
      </c>
      <c r="E1609" s="116">
        <v>0.22</v>
      </c>
      <c r="F1609" s="149" t="s">
        <v>135</v>
      </c>
      <c r="G1609" s="149" t="s">
        <v>135</v>
      </c>
      <c r="H1609" t="s">
        <v>39</v>
      </c>
      <c r="J1609" t="s">
        <v>694</v>
      </c>
      <c r="L1609" s="160"/>
      <c r="M1609" s="48"/>
      <c r="N1609" s="123"/>
    </row>
    <row r="1610" spans="1:14" customFormat="1" x14ac:dyDescent="0.55000000000000004">
      <c r="A1610" s="65" t="s">
        <v>694</v>
      </c>
      <c r="B1610" t="s">
        <v>699</v>
      </c>
      <c r="C1610" t="s">
        <v>125</v>
      </c>
      <c r="D1610" t="s">
        <v>3288</v>
      </c>
      <c r="E1610" s="116">
        <v>0.32</v>
      </c>
      <c r="F1610" s="149" t="s">
        <v>135</v>
      </c>
      <c r="G1610" s="149" t="s">
        <v>135</v>
      </c>
      <c r="H1610" t="s">
        <v>39</v>
      </c>
      <c r="J1610" t="s">
        <v>694</v>
      </c>
      <c r="L1610" s="160"/>
      <c r="M1610" s="48"/>
      <c r="N1610" s="123"/>
    </row>
    <row r="1611" spans="1:14" customFormat="1" x14ac:dyDescent="0.55000000000000004">
      <c r="A1611" s="65" t="s">
        <v>694</v>
      </c>
      <c r="B1611" t="s">
        <v>700</v>
      </c>
      <c r="C1611" t="s">
        <v>125</v>
      </c>
      <c r="D1611" t="s">
        <v>3288</v>
      </c>
      <c r="E1611" s="116">
        <v>0.16</v>
      </c>
      <c r="F1611" s="149" t="s">
        <v>135</v>
      </c>
      <c r="G1611" s="149" t="s">
        <v>135</v>
      </c>
      <c r="H1611" t="s">
        <v>39</v>
      </c>
      <c r="J1611" t="s">
        <v>694</v>
      </c>
      <c r="L1611" s="160"/>
      <c r="M1611" s="48"/>
      <c r="N1611" s="123"/>
    </row>
    <row r="1612" spans="1:14" customFormat="1" x14ac:dyDescent="0.55000000000000004">
      <c r="A1612" s="65" t="s">
        <v>694</v>
      </c>
      <c r="B1612" t="s">
        <v>293</v>
      </c>
      <c r="C1612" t="s">
        <v>127</v>
      </c>
      <c r="D1612" t="s">
        <v>2994</v>
      </c>
      <c r="E1612" s="116">
        <v>16.989999999999998</v>
      </c>
      <c r="F1612" s="149" t="s">
        <v>138</v>
      </c>
      <c r="G1612" s="149" t="s">
        <v>135</v>
      </c>
      <c r="H1612" t="s">
        <v>39</v>
      </c>
      <c r="J1612" t="s">
        <v>694</v>
      </c>
      <c r="L1612" s="160"/>
      <c r="M1612" s="48"/>
      <c r="N1612" s="123"/>
    </row>
    <row r="1613" spans="1:14" customFormat="1" x14ac:dyDescent="0.55000000000000004">
      <c r="A1613" s="65" t="s">
        <v>694</v>
      </c>
      <c r="B1613" t="s">
        <v>153</v>
      </c>
      <c r="C1613" t="s">
        <v>127</v>
      </c>
      <c r="D1613" t="s">
        <v>2994</v>
      </c>
      <c r="E1613" s="116">
        <v>15.59</v>
      </c>
      <c r="F1613" s="149" t="s">
        <v>138</v>
      </c>
      <c r="G1613" s="149" t="s">
        <v>135</v>
      </c>
      <c r="H1613" t="s">
        <v>39</v>
      </c>
      <c r="J1613" t="s">
        <v>694</v>
      </c>
      <c r="L1613" s="160"/>
      <c r="M1613" s="48"/>
      <c r="N1613" s="123"/>
    </row>
    <row r="1614" spans="1:14" customFormat="1" x14ac:dyDescent="0.55000000000000004">
      <c r="A1614" s="65" t="s">
        <v>694</v>
      </c>
      <c r="B1614" t="s">
        <v>160</v>
      </c>
      <c r="C1614" t="s">
        <v>247</v>
      </c>
      <c r="D1614" t="s">
        <v>3288</v>
      </c>
      <c r="E1614" s="116">
        <v>1781.5714</v>
      </c>
      <c r="F1614" s="149" t="s">
        <v>122</v>
      </c>
      <c r="G1614" s="149" t="s">
        <v>135</v>
      </c>
      <c r="H1614" t="s">
        <v>39</v>
      </c>
      <c r="J1614" t="s">
        <v>694</v>
      </c>
      <c r="L1614" s="160"/>
      <c r="M1614" s="48"/>
      <c r="N1614" s="123"/>
    </row>
    <row r="1615" spans="1:14" customFormat="1" x14ac:dyDescent="0.55000000000000004">
      <c r="A1615" s="54" t="s">
        <v>687</v>
      </c>
      <c r="B1615" t="s">
        <v>688</v>
      </c>
      <c r="C1615" t="s">
        <v>121</v>
      </c>
      <c r="D1615" t="s">
        <v>3288</v>
      </c>
      <c r="E1615" s="116">
        <v>1</v>
      </c>
      <c r="F1615" s="149" t="s">
        <v>135</v>
      </c>
      <c r="G1615" s="149">
        <v>1</v>
      </c>
      <c r="H1615" t="s">
        <v>39</v>
      </c>
      <c r="J1615" t="s">
        <v>687</v>
      </c>
      <c r="L1615" s="160">
        <v>7003</v>
      </c>
      <c r="M1615" s="48"/>
      <c r="N1615" s="123"/>
    </row>
    <row r="1616" spans="1:14" customFormat="1" x14ac:dyDescent="0.55000000000000004">
      <c r="A1616" s="54" t="s">
        <v>687</v>
      </c>
      <c r="B1616" t="s">
        <v>153</v>
      </c>
      <c r="C1616" t="s">
        <v>127</v>
      </c>
      <c r="D1616" t="s">
        <v>2994</v>
      </c>
      <c r="E1616" s="116">
        <v>0.8</v>
      </c>
      <c r="F1616" s="149" t="s">
        <v>138</v>
      </c>
      <c r="G1616" s="149" t="s">
        <v>135</v>
      </c>
      <c r="H1616" t="s">
        <v>39</v>
      </c>
      <c r="J1616" t="s">
        <v>687</v>
      </c>
      <c r="L1616" s="160"/>
      <c r="M1616" s="48"/>
      <c r="N1616" s="123"/>
    </row>
    <row r="1617" spans="1:14" customFormat="1" x14ac:dyDescent="0.55000000000000004">
      <c r="A1617" s="54" t="s">
        <v>687</v>
      </c>
      <c r="B1617" t="s">
        <v>171</v>
      </c>
      <c r="C1617" t="s">
        <v>127</v>
      </c>
      <c r="D1617" t="s">
        <v>2994</v>
      </c>
      <c r="E1617" s="116">
        <v>4.29</v>
      </c>
      <c r="F1617" s="149" t="s">
        <v>138</v>
      </c>
      <c r="G1617" s="149" t="s">
        <v>135</v>
      </c>
      <c r="H1617" t="s">
        <v>39</v>
      </c>
      <c r="J1617" t="s">
        <v>687</v>
      </c>
      <c r="L1617" s="160"/>
      <c r="M1617" s="48"/>
      <c r="N1617" s="123"/>
    </row>
    <row r="1618" spans="1:14" customFormat="1" x14ac:dyDescent="0.55000000000000004">
      <c r="A1618" s="54" t="s">
        <v>687</v>
      </c>
      <c r="B1618" t="s">
        <v>691</v>
      </c>
      <c r="C1618" t="s">
        <v>127</v>
      </c>
      <c r="D1618" t="s">
        <v>2994</v>
      </c>
      <c r="E1618" s="116">
        <v>10.119999999999999</v>
      </c>
      <c r="F1618" s="149" t="s">
        <v>138</v>
      </c>
      <c r="G1618" s="149" t="s">
        <v>135</v>
      </c>
      <c r="H1618" t="s">
        <v>39</v>
      </c>
      <c r="J1618" t="s">
        <v>687</v>
      </c>
      <c r="L1618" s="160"/>
      <c r="M1618" s="48"/>
      <c r="N1618" s="123"/>
    </row>
    <row r="1619" spans="1:14" customFormat="1" x14ac:dyDescent="0.55000000000000004">
      <c r="A1619" s="54" t="s">
        <v>687</v>
      </c>
      <c r="B1619" t="s">
        <v>160</v>
      </c>
      <c r="C1619" t="s">
        <v>247</v>
      </c>
      <c r="D1619" t="s">
        <v>3288</v>
      </c>
      <c r="E1619" s="116">
        <v>987.07569144755303</v>
      </c>
      <c r="F1619" s="149" t="s">
        <v>122</v>
      </c>
      <c r="G1619" s="149" t="s">
        <v>135</v>
      </c>
      <c r="H1619" t="s">
        <v>39</v>
      </c>
      <c r="J1619" t="s">
        <v>687</v>
      </c>
      <c r="L1619" s="160"/>
      <c r="M1619" s="48"/>
      <c r="N1619" s="123"/>
    </row>
    <row r="1620" spans="1:14" customFormat="1" x14ac:dyDescent="0.55000000000000004">
      <c r="A1620" s="94" t="s">
        <v>686</v>
      </c>
      <c r="B1620" t="s">
        <v>598</v>
      </c>
      <c r="C1620" t="s">
        <v>121</v>
      </c>
      <c r="D1620" t="s">
        <v>3288</v>
      </c>
      <c r="E1620" s="116">
        <v>1</v>
      </c>
      <c r="F1620" s="149" t="s">
        <v>135</v>
      </c>
      <c r="G1620" s="149">
        <v>1</v>
      </c>
      <c r="H1620" t="s">
        <v>39</v>
      </c>
      <c r="J1620" t="s">
        <v>686</v>
      </c>
      <c r="L1620" s="160" t="s">
        <v>599</v>
      </c>
      <c r="M1620" s="48"/>
      <c r="N1620" s="123"/>
    </row>
    <row r="1621" spans="1:14" customFormat="1" x14ac:dyDescent="0.55000000000000004">
      <c r="A1621" s="94" t="s">
        <v>686</v>
      </c>
      <c r="B1621" t="s">
        <v>575</v>
      </c>
      <c r="C1621" t="s">
        <v>127</v>
      </c>
      <c r="D1621" t="s">
        <v>2994</v>
      </c>
      <c r="E1621" s="116">
        <v>17.8</v>
      </c>
      <c r="F1621" s="149" t="s">
        <v>138</v>
      </c>
      <c r="G1621" s="149" t="s">
        <v>135</v>
      </c>
      <c r="H1621" t="s">
        <v>39</v>
      </c>
      <c r="J1621" t="s">
        <v>686</v>
      </c>
      <c r="L1621" s="160"/>
      <c r="M1621" s="48"/>
      <c r="N1621" s="123"/>
    </row>
    <row r="1622" spans="1:14" customFormat="1" x14ac:dyDescent="0.55000000000000004">
      <c r="A1622" s="94" t="s">
        <v>686</v>
      </c>
      <c r="B1622" t="s">
        <v>564</v>
      </c>
      <c r="C1622" t="s">
        <v>127</v>
      </c>
      <c r="D1622" t="s">
        <v>2994</v>
      </c>
      <c r="E1622" s="116">
        <v>0.3</v>
      </c>
      <c r="F1622" s="149" t="s">
        <v>138</v>
      </c>
      <c r="G1622" s="149" t="s">
        <v>135</v>
      </c>
      <c r="H1622" t="s">
        <v>39</v>
      </c>
      <c r="J1622" t="s">
        <v>686</v>
      </c>
      <c r="L1622" s="160"/>
      <c r="M1622" s="48"/>
      <c r="N1622" s="123"/>
    </row>
    <row r="1623" spans="1:14" customFormat="1" x14ac:dyDescent="0.55000000000000004">
      <c r="A1623" s="94" t="s">
        <v>686</v>
      </c>
      <c r="B1623" t="s">
        <v>575</v>
      </c>
      <c r="C1623" t="s">
        <v>231</v>
      </c>
      <c r="D1623" t="s">
        <v>2994</v>
      </c>
      <c r="E1623" s="116">
        <v>89.9</v>
      </c>
      <c r="F1623" s="149" t="s">
        <v>138</v>
      </c>
      <c r="G1623" s="149" t="s">
        <v>135</v>
      </c>
      <c r="H1623" t="s">
        <v>39</v>
      </c>
      <c r="J1623" t="s">
        <v>686</v>
      </c>
      <c r="L1623" s="160"/>
      <c r="M1623" s="48"/>
      <c r="N1623" s="123"/>
    </row>
    <row r="1624" spans="1:14" customFormat="1" x14ac:dyDescent="0.55000000000000004">
      <c r="A1624" s="94" t="s">
        <v>686</v>
      </c>
      <c r="B1624" t="s">
        <v>188</v>
      </c>
      <c r="C1624" t="s">
        <v>156</v>
      </c>
      <c r="D1624" t="s">
        <v>2994</v>
      </c>
      <c r="E1624" s="116">
        <v>2.1</v>
      </c>
      <c r="F1624" s="149" t="s">
        <v>138</v>
      </c>
      <c r="G1624" s="149" t="s">
        <v>135</v>
      </c>
      <c r="H1624" t="s">
        <v>39</v>
      </c>
      <c r="J1624" t="s">
        <v>686</v>
      </c>
      <c r="L1624" s="160"/>
      <c r="M1624" s="48"/>
      <c r="N1624" s="123"/>
    </row>
    <row r="1625" spans="1:14" customFormat="1" x14ac:dyDescent="0.55000000000000004">
      <c r="A1625" s="94" t="s">
        <v>686</v>
      </c>
      <c r="B1625" t="s">
        <v>160</v>
      </c>
      <c r="C1625" t="s">
        <v>247</v>
      </c>
      <c r="D1625" t="s">
        <v>3288</v>
      </c>
      <c r="E1625" s="116">
        <v>1318.98</v>
      </c>
      <c r="F1625" s="149" t="s">
        <v>122</v>
      </c>
      <c r="G1625" s="149" t="s">
        <v>135</v>
      </c>
      <c r="H1625" t="s">
        <v>39</v>
      </c>
      <c r="J1625" t="s">
        <v>686</v>
      </c>
      <c r="L1625" s="160"/>
      <c r="M1625" s="48"/>
      <c r="N1625" s="123"/>
    </row>
    <row r="1626" spans="1:14" customFormat="1" x14ac:dyDescent="0.55000000000000004">
      <c r="A1626" s="93" t="s">
        <v>681</v>
      </c>
      <c r="B1626" t="s">
        <v>268</v>
      </c>
      <c r="C1626" t="s">
        <v>121</v>
      </c>
      <c r="D1626" t="s">
        <v>3288</v>
      </c>
      <c r="E1626" s="116">
        <v>1</v>
      </c>
      <c r="F1626" s="149" t="s">
        <v>135</v>
      </c>
      <c r="G1626" s="149">
        <v>1</v>
      </c>
      <c r="H1626" t="s">
        <v>39</v>
      </c>
      <c r="J1626" t="s">
        <v>681</v>
      </c>
      <c r="L1626" s="160">
        <v>7601</v>
      </c>
      <c r="M1626" s="48"/>
      <c r="N1626" s="123"/>
    </row>
    <row r="1627" spans="1:14" customFormat="1" x14ac:dyDescent="0.55000000000000004">
      <c r="A1627" s="93" t="s">
        <v>681</v>
      </c>
      <c r="B1627" t="s">
        <v>261</v>
      </c>
      <c r="C1627" t="s">
        <v>125</v>
      </c>
      <c r="D1627" t="s">
        <v>3288</v>
      </c>
      <c r="E1627" s="116">
        <v>1.9</v>
      </c>
      <c r="F1627" s="149" t="s">
        <v>135</v>
      </c>
      <c r="G1627" s="149" t="s">
        <v>135</v>
      </c>
      <c r="H1627" t="s">
        <v>39</v>
      </c>
      <c r="J1627" t="s">
        <v>681</v>
      </c>
      <c r="L1627" s="160"/>
      <c r="M1627" s="48"/>
      <c r="N1627" s="123"/>
    </row>
    <row r="1628" spans="1:14" customFormat="1" x14ac:dyDescent="0.55000000000000004">
      <c r="A1628" s="93" t="s">
        <v>681</v>
      </c>
      <c r="B1628" t="s">
        <v>153</v>
      </c>
      <c r="C1628" t="s">
        <v>127</v>
      </c>
      <c r="D1628" t="s">
        <v>2994</v>
      </c>
      <c r="E1628" s="116">
        <v>48.68</v>
      </c>
      <c r="F1628" s="149" t="s">
        <v>138</v>
      </c>
      <c r="G1628" s="149" t="s">
        <v>135</v>
      </c>
      <c r="H1628" t="s">
        <v>39</v>
      </c>
      <c r="J1628" t="s">
        <v>681</v>
      </c>
      <c r="L1628" s="160"/>
      <c r="M1628" s="48"/>
      <c r="N1628" s="123"/>
    </row>
    <row r="1629" spans="1:14" customFormat="1" x14ac:dyDescent="0.55000000000000004">
      <c r="A1629" s="93" t="s">
        <v>681</v>
      </c>
      <c r="B1629" t="s">
        <v>171</v>
      </c>
      <c r="C1629" t="s">
        <v>127</v>
      </c>
      <c r="D1629" t="s">
        <v>2994</v>
      </c>
      <c r="E1629" s="116">
        <v>2.8</v>
      </c>
      <c r="F1629" s="149" t="s">
        <v>138</v>
      </c>
      <c r="G1629" s="149" t="s">
        <v>135</v>
      </c>
      <c r="H1629" t="s">
        <v>39</v>
      </c>
      <c r="J1629" t="s">
        <v>681</v>
      </c>
      <c r="L1629" s="160"/>
      <c r="M1629" s="48"/>
      <c r="N1629" s="123"/>
    </row>
    <row r="1630" spans="1:14" customFormat="1" x14ac:dyDescent="0.55000000000000004">
      <c r="A1630" s="93" t="s">
        <v>681</v>
      </c>
      <c r="B1630" t="s">
        <v>160</v>
      </c>
      <c r="C1630" t="s">
        <v>247</v>
      </c>
      <c r="D1630" t="s">
        <v>3288</v>
      </c>
      <c r="E1630" s="116">
        <v>156.99777280211481</v>
      </c>
      <c r="F1630" s="149" t="s">
        <v>122</v>
      </c>
      <c r="G1630" s="149" t="s">
        <v>135</v>
      </c>
      <c r="H1630" t="s">
        <v>39</v>
      </c>
      <c r="J1630" t="s">
        <v>681</v>
      </c>
      <c r="L1630" s="160"/>
      <c r="M1630" s="48"/>
      <c r="N1630" s="123"/>
    </row>
    <row r="1631" spans="1:14" customFormat="1" x14ac:dyDescent="0.55000000000000004">
      <c r="A1631" s="65" t="s">
        <v>675</v>
      </c>
      <c r="B1631" t="s">
        <v>140</v>
      </c>
      <c r="C1631" t="s">
        <v>121</v>
      </c>
      <c r="D1631" t="s">
        <v>3288</v>
      </c>
      <c r="E1631" s="116">
        <v>1</v>
      </c>
      <c r="F1631" s="149" t="s">
        <v>135</v>
      </c>
      <c r="G1631" s="149">
        <v>1</v>
      </c>
      <c r="H1631" t="s">
        <v>39</v>
      </c>
      <c r="J1631" t="s">
        <v>675</v>
      </c>
      <c r="L1631" s="160">
        <v>7203</v>
      </c>
      <c r="M1631" s="48"/>
      <c r="N1631" s="123"/>
    </row>
    <row r="1632" spans="1:14" customFormat="1" x14ac:dyDescent="0.55000000000000004">
      <c r="A1632" s="65" t="s">
        <v>675</v>
      </c>
      <c r="B1632" t="s">
        <v>153</v>
      </c>
      <c r="C1632" t="s">
        <v>127</v>
      </c>
      <c r="D1632" t="s">
        <v>2994</v>
      </c>
      <c r="E1632" s="116">
        <v>1.8</v>
      </c>
      <c r="F1632" s="149" t="s">
        <v>138</v>
      </c>
      <c r="G1632" s="149" t="s">
        <v>135</v>
      </c>
      <c r="H1632" t="s">
        <v>39</v>
      </c>
      <c r="J1632" t="s">
        <v>675</v>
      </c>
      <c r="L1632" s="160"/>
      <c r="M1632" s="48"/>
      <c r="N1632" s="123"/>
    </row>
    <row r="1633" spans="1:14" customFormat="1" x14ac:dyDescent="0.55000000000000004">
      <c r="A1633" s="65" t="s">
        <v>675</v>
      </c>
      <c r="B1633" t="s">
        <v>334</v>
      </c>
      <c r="C1633" t="s">
        <v>127</v>
      </c>
      <c r="D1633" t="s">
        <v>2994</v>
      </c>
      <c r="E1633" s="116">
        <v>6.12</v>
      </c>
      <c r="F1633" s="149" t="s">
        <v>138</v>
      </c>
      <c r="G1633" s="149" t="s">
        <v>135</v>
      </c>
      <c r="H1633" t="s">
        <v>39</v>
      </c>
      <c r="J1633" t="s">
        <v>675</v>
      </c>
      <c r="L1633" s="160"/>
      <c r="M1633" s="48"/>
      <c r="N1633" s="123"/>
    </row>
    <row r="1634" spans="1:14" customFormat="1" x14ac:dyDescent="0.55000000000000004">
      <c r="A1634" s="65" t="s">
        <v>675</v>
      </c>
      <c r="B1634" t="s">
        <v>564</v>
      </c>
      <c r="C1634" t="s">
        <v>127</v>
      </c>
      <c r="D1634" t="s">
        <v>2994</v>
      </c>
      <c r="E1634" s="116">
        <v>1.28</v>
      </c>
      <c r="F1634" s="149" t="s">
        <v>138</v>
      </c>
      <c r="G1634" s="149" t="s">
        <v>135</v>
      </c>
      <c r="H1634" t="s">
        <v>39</v>
      </c>
      <c r="J1634" t="s">
        <v>675</v>
      </c>
      <c r="L1634" s="160"/>
      <c r="M1634" s="48"/>
      <c r="N1634" s="123"/>
    </row>
    <row r="1635" spans="1:14" customFormat="1" x14ac:dyDescent="0.55000000000000004">
      <c r="A1635" s="65" t="s">
        <v>675</v>
      </c>
      <c r="B1635" t="s">
        <v>171</v>
      </c>
      <c r="C1635" t="s">
        <v>127</v>
      </c>
      <c r="D1635" t="s">
        <v>2994</v>
      </c>
      <c r="E1635" s="116">
        <v>2.2000000000000002</v>
      </c>
      <c r="F1635" s="149" t="s">
        <v>138</v>
      </c>
      <c r="G1635" s="149" t="s">
        <v>135</v>
      </c>
      <c r="H1635" t="s">
        <v>39</v>
      </c>
      <c r="J1635" t="s">
        <v>675</v>
      </c>
      <c r="L1635" s="160"/>
      <c r="M1635" s="48"/>
      <c r="N1635" s="123"/>
    </row>
    <row r="1636" spans="1:14" customFormat="1" x14ac:dyDescent="0.55000000000000004">
      <c r="A1636" s="65" t="s">
        <v>675</v>
      </c>
      <c r="B1636" t="s">
        <v>188</v>
      </c>
      <c r="C1636" t="s">
        <v>156</v>
      </c>
      <c r="D1636" t="s">
        <v>2994</v>
      </c>
      <c r="E1636" s="116">
        <v>0.2</v>
      </c>
      <c r="F1636" s="149" t="s">
        <v>138</v>
      </c>
      <c r="G1636" s="149" t="s">
        <v>135</v>
      </c>
      <c r="H1636" t="s">
        <v>39</v>
      </c>
      <c r="J1636" t="s">
        <v>675</v>
      </c>
      <c r="L1636" s="160"/>
      <c r="M1636" s="48"/>
      <c r="N1636" s="123"/>
    </row>
    <row r="1637" spans="1:14" customFormat="1" x14ac:dyDescent="0.55000000000000004">
      <c r="A1637" s="65" t="s">
        <v>675</v>
      </c>
      <c r="B1637" t="s">
        <v>160</v>
      </c>
      <c r="C1637" t="s">
        <v>247</v>
      </c>
      <c r="D1637" t="s">
        <v>3288</v>
      </c>
      <c r="E1637" s="116">
        <v>123.35539291594741</v>
      </c>
      <c r="F1637" s="149" t="s">
        <v>122</v>
      </c>
      <c r="G1637" s="149" t="s">
        <v>135</v>
      </c>
      <c r="H1637" t="s">
        <v>39</v>
      </c>
      <c r="J1637" t="s">
        <v>675</v>
      </c>
      <c r="L1637" s="160"/>
      <c r="M1637" s="48"/>
      <c r="N1637" s="123"/>
    </row>
    <row r="1638" spans="1:14" customFormat="1" x14ac:dyDescent="0.55000000000000004">
      <c r="A1638" s="65" t="s">
        <v>672</v>
      </c>
      <c r="B1638" t="s">
        <v>140</v>
      </c>
      <c r="C1638" t="s">
        <v>121</v>
      </c>
      <c r="D1638" t="s">
        <v>3288</v>
      </c>
      <c r="E1638" s="116">
        <v>1</v>
      </c>
      <c r="F1638" s="149" t="s">
        <v>135</v>
      </c>
      <c r="G1638" s="149">
        <v>1</v>
      </c>
      <c r="H1638" t="s">
        <v>39</v>
      </c>
      <c r="J1638" t="s">
        <v>672</v>
      </c>
      <c r="L1638" s="160">
        <v>7206</v>
      </c>
      <c r="M1638" s="48"/>
      <c r="N1638" s="123"/>
    </row>
    <row r="1639" spans="1:14" customFormat="1" x14ac:dyDescent="0.55000000000000004">
      <c r="A1639" s="65" t="s">
        <v>672</v>
      </c>
      <c r="B1639" t="s">
        <v>262</v>
      </c>
      <c r="C1639" t="s">
        <v>127</v>
      </c>
      <c r="D1639" t="s">
        <v>2994</v>
      </c>
      <c r="E1639" s="116">
        <v>13.08</v>
      </c>
      <c r="F1639" s="149" t="s">
        <v>138</v>
      </c>
      <c r="G1639" s="149" t="s">
        <v>135</v>
      </c>
      <c r="H1639" t="s">
        <v>39</v>
      </c>
      <c r="J1639" t="s">
        <v>672</v>
      </c>
      <c r="L1639" s="160"/>
      <c r="M1639" s="48"/>
      <c r="N1639" s="123"/>
    </row>
    <row r="1640" spans="1:14" customFormat="1" x14ac:dyDescent="0.55000000000000004">
      <c r="A1640" s="65" t="s">
        <v>672</v>
      </c>
      <c r="B1640" t="s">
        <v>298</v>
      </c>
      <c r="C1640" t="s">
        <v>127</v>
      </c>
      <c r="D1640" t="s">
        <v>2994</v>
      </c>
      <c r="E1640" s="116">
        <v>0.79</v>
      </c>
      <c r="F1640" s="149" t="s">
        <v>138</v>
      </c>
      <c r="G1640" s="149" t="s">
        <v>135</v>
      </c>
      <c r="H1640" t="s">
        <v>39</v>
      </c>
      <c r="J1640" t="s">
        <v>672</v>
      </c>
      <c r="L1640" s="160"/>
      <c r="M1640" s="48"/>
      <c r="N1640" s="123"/>
    </row>
    <row r="1641" spans="1:14" customFormat="1" x14ac:dyDescent="0.55000000000000004">
      <c r="A1641" s="65" t="s">
        <v>672</v>
      </c>
      <c r="B1641" t="s">
        <v>564</v>
      </c>
      <c r="C1641" t="s">
        <v>127</v>
      </c>
      <c r="D1641" t="s">
        <v>2994</v>
      </c>
      <c r="E1641" s="116">
        <v>0.6</v>
      </c>
      <c r="F1641" s="149" t="s">
        <v>138</v>
      </c>
      <c r="G1641" s="149" t="s">
        <v>135</v>
      </c>
      <c r="H1641" t="s">
        <v>39</v>
      </c>
      <c r="J1641" t="s">
        <v>672</v>
      </c>
      <c r="L1641" s="160"/>
      <c r="M1641" s="48"/>
      <c r="N1641" s="123"/>
    </row>
    <row r="1642" spans="1:14" customFormat="1" x14ac:dyDescent="0.55000000000000004">
      <c r="A1642" s="65" t="s">
        <v>672</v>
      </c>
      <c r="B1642" t="s">
        <v>171</v>
      </c>
      <c r="C1642" t="s">
        <v>127</v>
      </c>
      <c r="D1642" t="s">
        <v>2994</v>
      </c>
      <c r="E1642" s="116">
        <v>0.63</v>
      </c>
      <c r="F1642" s="149" t="s">
        <v>138</v>
      </c>
      <c r="G1642" s="149" t="s">
        <v>135</v>
      </c>
      <c r="H1642" t="s">
        <v>39</v>
      </c>
      <c r="J1642" t="s">
        <v>672</v>
      </c>
      <c r="L1642" s="160"/>
      <c r="M1642" s="48"/>
      <c r="N1642" s="123"/>
    </row>
    <row r="1643" spans="1:14" customFormat="1" x14ac:dyDescent="0.55000000000000004">
      <c r="A1643" s="65" t="s">
        <v>672</v>
      </c>
      <c r="B1643" t="s">
        <v>188</v>
      </c>
      <c r="C1643" t="s">
        <v>127</v>
      </c>
      <c r="D1643" t="s">
        <v>2994</v>
      </c>
      <c r="E1643" s="116">
        <v>0.17</v>
      </c>
      <c r="F1643" s="149" t="s">
        <v>138</v>
      </c>
      <c r="G1643" s="149" t="s">
        <v>135</v>
      </c>
      <c r="H1643" t="s">
        <v>39</v>
      </c>
      <c r="J1643" t="s">
        <v>672</v>
      </c>
      <c r="L1643" s="160"/>
      <c r="M1643" s="48"/>
      <c r="N1643" s="123"/>
    </row>
    <row r="1644" spans="1:14" customFormat="1" x14ac:dyDescent="0.55000000000000004">
      <c r="A1644" s="65" t="s">
        <v>672</v>
      </c>
      <c r="B1644" t="s">
        <v>308</v>
      </c>
      <c r="C1644" t="s">
        <v>156</v>
      </c>
      <c r="D1644" t="s">
        <v>2994</v>
      </c>
      <c r="E1644" s="116">
        <v>0.7</v>
      </c>
      <c r="F1644" s="149" t="s">
        <v>138</v>
      </c>
      <c r="G1644" s="149" t="s">
        <v>135</v>
      </c>
      <c r="H1644" t="s">
        <v>39</v>
      </c>
      <c r="J1644" t="s">
        <v>672</v>
      </c>
      <c r="L1644" s="160"/>
      <c r="M1644" s="48"/>
      <c r="N1644" s="123"/>
    </row>
    <row r="1645" spans="1:14" customFormat="1" x14ac:dyDescent="0.55000000000000004">
      <c r="A1645" s="65" t="s">
        <v>672</v>
      </c>
      <c r="B1645" t="s">
        <v>160</v>
      </c>
      <c r="C1645" t="s">
        <v>247</v>
      </c>
      <c r="D1645" t="s">
        <v>3288</v>
      </c>
      <c r="E1645" s="116">
        <v>1326.286033732626</v>
      </c>
      <c r="F1645" s="149" t="s">
        <v>122</v>
      </c>
      <c r="G1645" s="149" t="s">
        <v>135</v>
      </c>
      <c r="H1645" t="s">
        <v>39</v>
      </c>
      <c r="J1645" t="s">
        <v>672</v>
      </c>
      <c r="L1645" s="160"/>
      <c r="M1645" s="48"/>
      <c r="N1645" s="123"/>
    </row>
    <row r="1646" spans="1:14" customFormat="1" x14ac:dyDescent="0.55000000000000004">
      <c r="A1646" s="65" t="s">
        <v>666</v>
      </c>
      <c r="B1646" t="s">
        <v>140</v>
      </c>
      <c r="C1646" t="s">
        <v>121</v>
      </c>
      <c r="D1646" t="s">
        <v>3288</v>
      </c>
      <c r="E1646" s="116">
        <v>1</v>
      </c>
      <c r="F1646" s="149" t="s">
        <v>135</v>
      </c>
      <c r="G1646" s="149">
        <v>1</v>
      </c>
      <c r="H1646" t="s">
        <v>39</v>
      </c>
      <c r="J1646" t="s">
        <v>666</v>
      </c>
      <c r="L1646" s="160">
        <v>7206</v>
      </c>
      <c r="M1646" s="48"/>
      <c r="N1646" s="123"/>
    </row>
    <row r="1647" spans="1:14" customFormat="1" x14ac:dyDescent="0.55000000000000004">
      <c r="A1647" s="65" t="s">
        <v>666</v>
      </c>
      <c r="B1647" t="s">
        <v>262</v>
      </c>
      <c r="C1647" t="s">
        <v>127</v>
      </c>
      <c r="D1647" t="s">
        <v>2994</v>
      </c>
      <c r="E1647" s="116">
        <v>13.08</v>
      </c>
      <c r="F1647" s="149" t="s">
        <v>138</v>
      </c>
      <c r="G1647" s="149" t="s">
        <v>135</v>
      </c>
      <c r="H1647" t="s">
        <v>39</v>
      </c>
      <c r="J1647" t="s">
        <v>666</v>
      </c>
      <c r="L1647" s="160"/>
      <c r="M1647" s="48"/>
      <c r="N1647" s="123"/>
    </row>
    <row r="1648" spans="1:14" customFormat="1" x14ac:dyDescent="0.55000000000000004">
      <c r="A1648" s="65" t="s">
        <v>666</v>
      </c>
      <c r="B1648" t="s">
        <v>298</v>
      </c>
      <c r="C1648" t="s">
        <v>127</v>
      </c>
      <c r="D1648" t="s">
        <v>2994</v>
      </c>
      <c r="E1648" s="116">
        <v>0.79</v>
      </c>
      <c r="F1648" s="149" t="s">
        <v>138</v>
      </c>
      <c r="G1648" s="149" t="s">
        <v>135</v>
      </c>
      <c r="H1648" t="s">
        <v>39</v>
      </c>
      <c r="J1648" t="s">
        <v>666</v>
      </c>
      <c r="L1648" s="160"/>
      <c r="M1648" s="48"/>
      <c r="N1648" s="123"/>
    </row>
    <row r="1649" spans="1:14" customFormat="1" x14ac:dyDescent="0.55000000000000004">
      <c r="A1649" s="65" t="s">
        <v>666</v>
      </c>
      <c r="B1649" t="s">
        <v>564</v>
      </c>
      <c r="C1649" t="s">
        <v>127</v>
      </c>
      <c r="D1649" t="s">
        <v>2994</v>
      </c>
      <c r="E1649" s="116">
        <v>0.96</v>
      </c>
      <c r="F1649" s="149" t="s">
        <v>138</v>
      </c>
      <c r="G1649" s="149" t="s">
        <v>135</v>
      </c>
      <c r="H1649" t="s">
        <v>39</v>
      </c>
      <c r="J1649" t="s">
        <v>666</v>
      </c>
      <c r="L1649" s="160"/>
      <c r="M1649" s="48"/>
      <c r="N1649" s="123"/>
    </row>
    <row r="1650" spans="1:14" customFormat="1" x14ac:dyDescent="0.55000000000000004">
      <c r="A1650" s="65" t="s">
        <v>666</v>
      </c>
      <c r="B1650" t="s">
        <v>171</v>
      </c>
      <c r="C1650" t="s">
        <v>127</v>
      </c>
      <c r="D1650" t="s">
        <v>2994</v>
      </c>
      <c r="E1650" s="116">
        <v>0.63</v>
      </c>
      <c r="F1650" s="149" t="s">
        <v>138</v>
      </c>
      <c r="G1650" s="149" t="s">
        <v>135</v>
      </c>
      <c r="H1650" t="s">
        <v>39</v>
      </c>
      <c r="J1650" t="s">
        <v>666</v>
      </c>
      <c r="L1650" s="160"/>
      <c r="M1650" s="48"/>
      <c r="N1650" s="123"/>
    </row>
    <row r="1651" spans="1:14" customFormat="1" x14ac:dyDescent="0.55000000000000004">
      <c r="A1651" s="65" t="s">
        <v>666</v>
      </c>
      <c r="B1651" t="s">
        <v>188</v>
      </c>
      <c r="C1651" t="s">
        <v>127</v>
      </c>
      <c r="D1651" t="s">
        <v>2994</v>
      </c>
      <c r="E1651" s="116">
        <v>0.17</v>
      </c>
      <c r="F1651" s="149" t="s">
        <v>138</v>
      </c>
      <c r="G1651" s="149" t="s">
        <v>135</v>
      </c>
      <c r="H1651" t="s">
        <v>39</v>
      </c>
      <c r="J1651" t="s">
        <v>666</v>
      </c>
      <c r="L1651" s="160"/>
      <c r="M1651" s="48"/>
      <c r="N1651" s="123"/>
    </row>
    <row r="1652" spans="1:14" customFormat="1" x14ac:dyDescent="0.55000000000000004">
      <c r="A1652" s="65" t="s">
        <v>666</v>
      </c>
      <c r="B1652" t="s">
        <v>308</v>
      </c>
      <c r="C1652" t="s">
        <v>156</v>
      </c>
      <c r="D1652" t="s">
        <v>2994</v>
      </c>
      <c r="E1652" s="116">
        <v>0.7</v>
      </c>
      <c r="F1652" s="149" t="s">
        <v>138</v>
      </c>
      <c r="G1652" s="149" t="s">
        <v>135</v>
      </c>
      <c r="H1652" t="s">
        <v>39</v>
      </c>
      <c r="J1652" t="s">
        <v>666</v>
      </c>
      <c r="L1652" s="160"/>
      <c r="M1652" s="48"/>
      <c r="N1652" s="123"/>
    </row>
    <row r="1653" spans="1:14" customFormat="1" x14ac:dyDescent="0.55000000000000004">
      <c r="A1653" s="65" t="s">
        <v>666</v>
      </c>
      <c r="B1653" t="s">
        <v>160</v>
      </c>
      <c r="C1653" t="s">
        <v>247</v>
      </c>
      <c r="D1653" t="s">
        <v>3288</v>
      </c>
      <c r="E1653" s="116">
        <v>1326.286033732626</v>
      </c>
      <c r="F1653" s="149" t="s">
        <v>122</v>
      </c>
      <c r="G1653" s="149" t="s">
        <v>135</v>
      </c>
      <c r="H1653" t="s">
        <v>39</v>
      </c>
      <c r="J1653" t="s">
        <v>666</v>
      </c>
      <c r="L1653" s="160"/>
      <c r="M1653" s="48"/>
      <c r="N1653" s="123"/>
    </row>
    <row r="1654" spans="1:14" customFormat="1" x14ac:dyDescent="0.55000000000000004">
      <c r="A1654" s="65" t="s">
        <v>666</v>
      </c>
      <c r="B1654" t="s">
        <v>160</v>
      </c>
      <c r="C1654" t="s">
        <v>156</v>
      </c>
      <c r="D1654" t="s">
        <v>3288</v>
      </c>
      <c r="E1654" s="116">
        <v>1012.011688271822</v>
      </c>
      <c r="F1654" s="149" t="s">
        <v>122</v>
      </c>
      <c r="G1654" s="149" t="s">
        <v>135</v>
      </c>
      <c r="H1654" t="s">
        <v>39</v>
      </c>
      <c r="J1654" t="s">
        <v>666</v>
      </c>
      <c r="L1654" s="160"/>
      <c r="M1654" s="48"/>
      <c r="N1654" s="123"/>
    </row>
    <row r="1655" spans="1:14" customFormat="1" x14ac:dyDescent="0.55000000000000004">
      <c r="A1655" s="93" t="s">
        <v>665</v>
      </c>
      <c r="B1655" t="s">
        <v>268</v>
      </c>
      <c r="C1655" t="s">
        <v>121</v>
      </c>
      <c r="D1655" t="s">
        <v>3288</v>
      </c>
      <c r="E1655" s="116">
        <v>1</v>
      </c>
      <c r="F1655" s="149" t="s">
        <v>135</v>
      </c>
      <c r="G1655" s="149">
        <v>1</v>
      </c>
      <c r="H1655" t="s">
        <v>39</v>
      </c>
      <c r="J1655" t="s">
        <v>665</v>
      </c>
      <c r="L1655" s="160">
        <v>7601</v>
      </c>
      <c r="M1655" s="48"/>
      <c r="N1655" s="123"/>
    </row>
    <row r="1656" spans="1:14" customFormat="1" x14ac:dyDescent="0.55000000000000004">
      <c r="A1656" s="93" t="s">
        <v>665</v>
      </c>
      <c r="B1656" t="s">
        <v>261</v>
      </c>
      <c r="C1656" t="s">
        <v>125</v>
      </c>
      <c r="D1656" t="s">
        <v>3288</v>
      </c>
      <c r="E1656" s="116">
        <v>1.9</v>
      </c>
      <c r="F1656" s="149" t="s">
        <v>135</v>
      </c>
      <c r="G1656" s="149" t="s">
        <v>135</v>
      </c>
      <c r="H1656" t="s">
        <v>39</v>
      </c>
      <c r="J1656" t="s">
        <v>665</v>
      </c>
      <c r="L1656" s="160"/>
      <c r="M1656" s="48"/>
      <c r="N1656" s="123"/>
    </row>
    <row r="1657" spans="1:14" customFormat="1" x14ac:dyDescent="0.55000000000000004">
      <c r="A1657" s="93" t="s">
        <v>665</v>
      </c>
      <c r="B1657" t="s">
        <v>153</v>
      </c>
      <c r="C1657" t="s">
        <v>127</v>
      </c>
      <c r="D1657" t="s">
        <v>2994</v>
      </c>
      <c r="E1657" s="116">
        <v>38.28</v>
      </c>
      <c r="F1657" s="149" t="s">
        <v>138</v>
      </c>
      <c r="G1657" s="149" t="s">
        <v>135</v>
      </c>
      <c r="H1657" t="s">
        <v>39</v>
      </c>
      <c r="J1657" t="s">
        <v>665</v>
      </c>
      <c r="L1657" s="160"/>
      <c r="M1657" s="48"/>
      <c r="N1657" s="123"/>
    </row>
    <row r="1658" spans="1:14" customFormat="1" x14ac:dyDescent="0.55000000000000004">
      <c r="A1658" s="93" t="s">
        <v>665</v>
      </c>
      <c r="B1658" t="s">
        <v>171</v>
      </c>
      <c r="C1658" t="s">
        <v>127</v>
      </c>
      <c r="D1658" t="s">
        <v>2994</v>
      </c>
      <c r="E1658" s="116">
        <v>2.2000000000000002</v>
      </c>
      <c r="F1658" s="149" t="s">
        <v>138</v>
      </c>
      <c r="G1658" s="149" t="s">
        <v>135</v>
      </c>
      <c r="H1658" t="s">
        <v>39</v>
      </c>
      <c r="J1658" t="s">
        <v>665</v>
      </c>
      <c r="L1658" s="160"/>
      <c r="M1658" s="48"/>
      <c r="N1658" s="123"/>
    </row>
    <row r="1659" spans="1:14" customFormat="1" x14ac:dyDescent="0.55000000000000004">
      <c r="A1659" s="93" t="s">
        <v>665</v>
      </c>
      <c r="B1659" t="s">
        <v>160</v>
      </c>
      <c r="C1659" t="s">
        <v>247</v>
      </c>
      <c r="D1659" t="s">
        <v>3288</v>
      </c>
      <c r="E1659" s="116">
        <v>123.35539291594741</v>
      </c>
      <c r="F1659" s="149" t="s">
        <v>122</v>
      </c>
      <c r="G1659" s="149" t="s">
        <v>135</v>
      </c>
      <c r="H1659" t="s">
        <v>39</v>
      </c>
      <c r="J1659" t="s">
        <v>665</v>
      </c>
      <c r="L1659" s="160"/>
      <c r="M1659" s="48"/>
      <c r="N1659" s="123"/>
    </row>
    <row r="1660" spans="1:14" customFormat="1" x14ac:dyDescent="0.55000000000000004">
      <c r="A1660" s="93" t="s">
        <v>663</v>
      </c>
      <c r="B1660" t="s">
        <v>268</v>
      </c>
      <c r="C1660" t="s">
        <v>121</v>
      </c>
      <c r="D1660" t="s">
        <v>3288</v>
      </c>
      <c r="E1660" s="116">
        <v>1</v>
      </c>
      <c r="F1660" s="149" t="s">
        <v>135</v>
      </c>
      <c r="G1660" s="149">
        <v>1</v>
      </c>
      <c r="H1660" t="s">
        <v>39</v>
      </c>
      <c r="J1660" t="s">
        <v>663</v>
      </c>
      <c r="L1660" s="160">
        <v>7601</v>
      </c>
      <c r="M1660" s="48"/>
      <c r="N1660" s="123"/>
    </row>
    <row r="1661" spans="1:14" customFormat="1" x14ac:dyDescent="0.55000000000000004">
      <c r="A1661" s="93" t="s">
        <v>663</v>
      </c>
      <c r="B1661" t="s">
        <v>153</v>
      </c>
      <c r="C1661" t="s">
        <v>127</v>
      </c>
      <c r="D1661" t="s">
        <v>2994</v>
      </c>
      <c r="E1661" s="116">
        <v>50.39</v>
      </c>
      <c r="F1661" s="149" t="s">
        <v>138</v>
      </c>
      <c r="G1661" s="149" t="s">
        <v>135</v>
      </c>
      <c r="H1661" t="s">
        <v>39</v>
      </c>
      <c r="J1661" t="s">
        <v>663</v>
      </c>
      <c r="L1661" s="160"/>
      <c r="M1661" s="48"/>
      <c r="N1661" s="123"/>
    </row>
    <row r="1662" spans="1:14" customFormat="1" x14ac:dyDescent="0.55000000000000004">
      <c r="A1662" s="95" t="s">
        <v>661</v>
      </c>
      <c r="B1662" t="s">
        <v>216</v>
      </c>
      <c r="C1662" t="s">
        <v>121</v>
      </c>
      <c r="D1662" t="s">
        <v>3288</v>
      </c>
      <c r="E1662" s="116">
        <v>1</v>
      </c>
      <c r="F1662" s="149" t="s">
        <v>135</v>
      </c>
      <c r="G1662" s="149">
        <v>1</v>
      </c>
      <c r="H1662" t="s">
        <v>39</v>
      </c>
      <c r="J1662" t="s">
        <v>661</v>
      </c>
      <c r="L1662" s="160">
        <v>4703</v>
      </c>
      <c r="M1662" s="48"/>
      <c r="N1662" s="123"/>
    </row>
    <row r="1663" spans="1:14" customFormat="1" x14ac:dyDescent="0.55000000000000004">
      <c r="A1663" s="95" t="s">
        <v>661</v>
      </c>
      <c r="B1663" t="s">
        <v>230</v>
      </c>
      <c r="C1663" t="s">
        <v>231</v>
      </c>
      <c r="D1663" t="s">
        <v>3288</v>
      </c>
      <c r="E1663" s="116">
        <v>2.2000000000000002</v>
      </c>
      <c r="F1663" s="149" t="s">
        <v>135</v>
      </c>
      <c r="G1663" s="149" t="s">
        <v>135</v>
      </c>
      <c r="H1663" t="s">
        <v>39</v>
      </c>
      <c r="J1663" t="s">
        <v>661</v>
      </c>
      <c r="L1663" s="160"/>
      <c r="M1663" s="48"/>
      <c r="N1663" s="123"/>
    </row>
    <row r="1664" spans="1:14" customFormat="1" x14ac:dyDescent="0.55000000000000004">
      <c r="A1664" s="95" t="s">
        <v>661</v>
      </c>
      <c r="B1664" t="s">
        <v>564</v>
      </c>
      <c r="C1664" t="s">
        <v>127</v>
      </c>
      <c r="D1664" t="s">
        <v>2994</v>
      </c>
      <c r="E1664" s="116">
        <v>2.52</v>
      </c>
      <c r="F1664" s="149" t="s">
        <v>138</v>
      </c>
      <c r="G1664" s="149" t="s">
        <v>135</v>
      </c>
      <c r="H1664" t="s">
        <v>39</v>
      </c>
      <c r="J1664" t="s">
        <v>661</v>
      </c>
      <c r="L1664" s="160"/>
      <c r="M1664" s="48"/>
      <c r="N1664" s="123"/>
    </row>
    <row r="1665" spans="1:14" customFormat="1" x14ac:dyDescent="0.55000000000000004">
      <c r="A1665" s="95" t="s">
        <v>661</v>
      </c>
      <c r="B1665" t="s">
        <v>208</v>
      </c>
      <c r="C1665" t="s">
        <v>127</v>
      </c>
      <c r="D1665" t="s">
        <v>2994</v>
      </c>
      <c r="E1665" s="116">
        <v>11</v>
      </c>
      <c r="F1665" s="149" t="s">
        <v>138</v>
      </c>
      <c r="G1665" s="149" t="s">
        <v>135</v>
      </c>
      <c r="H1665" t="s">
        <v>39</v>
      </c>
      <c r="J1665" t="s">
        <v>661</v>
      </c>
      <c r="L1665" s="160"/>
      <c r="M1665" s="48"/>
      <c r="N1665" s="123"/>
    </row>
    <row r="1666" spans="1:14" customFormat="1" x14ac:dyDescent="0.55000000000000004">
      <c r="A1666" s="95" t="s">
        <v>661</v>
      </c>
      <c r="B1666" t="s">
        <v>188</v>
      </c>
      <c r="C1666" t="s">
        <v>127</v>
      </c>
      <c r="D1666" t="s">
        <v>2994</v>
      </c>
      <c r="E1666" s="116">
        <v>11.2</v>
      </c>
      <c r="F1666" s="149" t="s">
        <v>138</v>
      </c>
      <c r="G1666" s="149" t="s">
        <v>135</v>
      </c>
      <c r="H1666" t="s">
        <v>39</v>
      </c>
      <c r="J1666" t="s">
        <v>661</v>
      </c>
      <c r="L1666" s="160"/>
      <c r="M1666" s="48"/>
      <c r="N1666" s="123"/>
    </row>
    <row r="1667" spans="1:14" customFormat="1" x14ac:dyDescent="0.55000000000000004">
      <c r="A1667" s="95" t="s">
        <v>661</v>
      </c>
      <c r="B1667" t="s">
        <v>580</v>
      </c>
      <c r="C1667" t="s">
        <v>156</v>
      </c>
      <c r="D1667" t="s">
        <v>3288</v>
      </c>
      <c r="E1667" s="116">
        <v>22.2</v>
      </c>
      <c r="F1667" s="149" t="s">
        <v>135</v>
      </c>
      <c r="G1667" s="149" t="s">
        <v>135</v>
      </c>
      <c r="H1667" t="s">
        <v>39</v>
      </c>
      <c r="J1667" t="s">
        <v>661</v>
      </c>
      <c r="L1667" s="160"/>
      <c r="M1667" s="48"/>
      <c r="N1667" s="123"/>
    </row>
    <row r="1668" spans="1:14" customFormat="1" x14ac:dyDescent="0.55000000000000004">
      <c r="A1668" s="95" t="s">
        <v>658</v>
      </c>
      <c r="B1668" t="s">
        <v>216</v>
      </c>
      <c r="C1668" t="s">
        <v>121</v>
      </c>
      <c r="D1668" t="s">
        <v>3288</v>
      </c>
      <c r="E1668" s="116">
        <v>1</v>
      </c>
      <c r="F1668" s="149" t="s">
        <v>135</v>
      </c>
      <c r="G1668" s="149">
        <v>1</v>
      </c>
      <c r="H1668" t="s">
        <v>39</v>
      </c>
      <c r="J1668" t="s">
        <v>658</v>
      </c>
      <c r="L1668" s="160">
        <v>4703</v>
      </c>
      <c r="M1668" s="48"/>
      <c r="N1668" s="123"/>
    </row>
    <row r="1669" spans="1:14" customFormat="1" x14ac:dyDescent="0.55000000000000004">
      <c r="A1669" s="95" t="s">
        <v>658</v>
      </c>
      <c r="B1669" t="s">
        <v>564</v>
      </c>
      <c r="C1669" t="s">
        <v>127</v>
      </c>
      <c r="D1669" t="s">
        <v>2994</v>
      </c>
      <c r="E1669" s="116">
        <v>2.52</v>
      </c>
      <c r="F1669" s="149" t="s">
        <v>138</v>
      </c>
      <c r="G1669" s="149" t="s">
        <v>135</v>
      </c>
      <c r="H1669" t="s">
        <v>39</v>
      </c>
      <c r="J1669" t="s">
        <v>658</v>
      </c>
      <c r="L1669" s="160"/>
      <c r="M1669" s="48"/>
      <c r="N1669" s="123"/>
    </row>
    <row r="1670" spans="1:14" customFormat="1" x14ac:dyDescent="0.55000000000000004">
      <c r="A1670" s="95" t="s">
        <v>658</v>
      </c>
      <c r="B1670" t="s">
        <v>208</v>
      </c>
      <c r="C1670" t="s">
        <v>127</v>
      </c>
      <c r="D1670" t="s">
        <v>2994</v>
      </c>
      <c r="E1670" s="116">
        <v>11</v>
      </c>
      <c r="F1670" s="149" t="s">
        <v>138</v>
      </c>
      <c r="G1670" s="149" t="s">
        <v>135</v>
      </c>
      <c r="H1670" t="s">
        <v>39</v>
      </c>
      <c r="J1670" t="s">
        <v>658</v>
      </c>
      <c r="L1670" s="160"/>
      <c r="M1670" s="48"/>
      <c r="N1670" s="123"/>
    </row>
    <row r="1671" spans="1:14" customFormat="1" x14ac:dyDescent="0.55000000000000004">
      <c r="A1671" s="95" t="s">
        <v>658</v>
      </c>
      <c r="B1671" t="s">
        <v>188</v>
      </c>
      <c r="C1671" t="s">
        <v>127</v>
      </c>
      <c r="D1671" t="s">
        <v>2994</v>
      </c>
      <c r="E1671" s="116">
        <v>11.2</v>
      </c>
      <c r="F1671" s="149" t="s">
        <v>138</v>
      </c>
      <c r="G1671" s="149" t="s">
        <v>135</v>
      </c>
      <c r="H1671" t="s">
        <v>39</v>
      </c>
      <c r="J1671" t="s">
        <v>658</v>
      </c>
      <c r="L1671" s="160"/>
      <c r="M1671" s="48"/>
      <c r="N1671" s="123"/>
    </row>
    <row r="1672" spans="1:14" customFormat="1" x14ac:dyDescent="0.55000000000000004">
      <c r="A1672" s="93" t="s">
        <v>648</v>
      </c>
      <c r="B1672" t="s">
        <v>649</v>
      </c>
      <c r="C1672" t="s">
        <v>121</v>
      </c>
      <c r="D1672" t="s">
        <v>3288</v>
      </c>
      <c r="E1672" s="116">
        <v>1</v>
      </c>
      <c r="F1672" s="149" t="s">
        <v>135</v>
      </c>
      <c r="G1672" s="149">
        <v>1</v>
      </c>
      <c r="H1672" t="s">
        <v>39</v>
      </c>
      <c r="J1672" t="s">
        <v>651</v>
      </c>
      <c r="L1672" s="160" t="s">
        <v>650</v>
      </c>
      <c r="M1672" s="48"/>
      <c r="N1672" s="123"/>
    </row>
    <row r="1673" spans="1:14" customFormat="1" x14ac:dyDescent="0.55000000000000004">
      <c r="A1673" s="93" t="s">
        <v>648</v>
      </c>
      <c r="B1673" t="s">
        <v>262</v>
      </c>
      <c r="C1673" t="s">
        <v>127</v>
      </c>
      <c r="D1673" t="s">
        <v>2994</v>
      </c>
      <c r="E1673" s="116">
        <v>92.02</v>
      </c>
      <c r="F1673" s="149" t="s">
        <v>138</v>
      </c>
      <c r="G1673" s="149" t="s">
        <v>135</v>
      </c>
      <c r="H1673" t="s">
        <v>39</v>
      </c>
      <c r="J1673" t="s">
        <v>651</v>
      </c>
      <c r="L1673" s="160"/>
      <c r="M1673" s="48"/>
      <c r="N1673" s="123"/>
    </row>
    <row r="1674" spans="1:14" customFormat="1" x14ac:dyDescent="0.55000000000000004">
      <c r="A1674" s="93" t="s">
        <v>648</v>
      </c>
      <c r="B1674" t="s">
        <v>293</v>
      </c>
      <c r="C1674" t="s">
        <v>127</v>
      </c>
      <c r="D1674" t="s">
        <v>2994</v>
      </c>
      <c r="E1674" s="116">
        <v>36</v>
      </c>
      <c r="F1674" s="149" t="s">
        <v>138</v>
      </c>
      <c r="G1674" s="149" t="s">
        <v>135</v>
      </c>
      <c r="H1674" t="s">
        <v>39</v>
      </c>
      <c r="J1674" t="s">
        <v>651</v>
      </c>
      <c r="L1674" s="160"/>
      <c r="M1674" s="48"/>
      <c r="N1674" s="123"/>
    </row>
    <row r="1675" spans="1:14" customFormat="1" x14ac:dyDescent="0.55000000000000004">
      <c r="A1675" s="93" t="s">
        <v>648</v>
      </c>
      <c r="B1675" t="s">
        <v>153</v>
      </c>
      <c r="C1675" t="s">
        <v>127</v>
      </c>
      <c r="D1675" t="s">
        <v>2994</v>
      </c>
      <c r="E1675" s="116">
        <v>95.76</v>
      </c>
      <c r="F1675" s="149" t="s">
        <v>138</v>
      </c>
      <c r="G1675" s="149" t="s">
        <v>135</v>
      </c>
      <c r="H1675" t="s">
        <v>39</v>
      </c>
      <c r="J1675" t="s">
        <v>651</v>
      </c>
      <c r="L1675" s="160"/>
      <c r="M1675" s="48"/>
      <c r="N1675" s="123"/>
    </row>
    <row r="1676" spans="1:14" customFormat="1" x14ac:dyDescent="0.55000000000000004">
      <c r="A1676" s="93" t="s">
        <v>648</v>
      </c>
      <c r="B1676" t="s">
        <v>575</v>
      </c>
      <c r="C1676" t="s">
        <v>127</v>
      </c>
      <c r="D1676" t="s">
        <v>2994</v>
      </c>
      <c r="E1676" s="116">
        <v>64.61</v>
      </c>
      <c r="F1676" s="149" t="s">
        <v>138</v>
      </c>
      <c r="G1676" s="149" t="s">
        <v>135</v>
      </c>
      <c r="H1676" t="s">
        <v>39</v>
      </c>
      <c r="J1676" t="s">
        <v>651</v>
      </c>
      <c r="L1676" s="160"/>
      <c r="M1676" s="48"/>
      <c r="N1676" s="123"/>
    </row>
    <row r="1677" spans="1:14" customFormat="1" x14ac:dyDescent="0.55000000000000004">
      <c r="A1677" s="93" t="s">
        <v>648</v>
      </c>
      <c r="B1677" t="s">
        <v>217</v>
      </c>
      <c r="C1677" t="s">
        <v>127</v>
      </c>
      <c r="D1677" t="s">
        <v>2994</v>
      </c>
      <c r="E1677" s="116">
        <v>3.3</v>
      </c>
      <c r="F1677" s="149" t="s">
        <v>138</v>
      </c>
      <c r="G1677" s="149" t="s">
        <v>135</v>
      </c>
      <c r="H1677" t="s">
        <v>39</v>
      </c>
      <c r="J1677" t="s">
        <v>651</v>
      </c>
      <c r="L1677" s="160"/>
      <c r="M1677" s="48"/>
      <c r="N1677" s="123"/>
    </row>
    <row r="1678" spans="1:14" customFormat="1" x14ac:dyDescent="0.55000000000000004">
      <c r="A1678" s="93" t="s">
        <v>648</v>
      </c>
      <c r="B1678" t="s">
        <v>171</v>
      </c>
      <c r="C1678" t="s">
        <v>127</v>
      </c>
      <c r="D1678" t="s">
        <v>2994</v>
      </c>
      <c r="E1678" s="116">
        <v>5.92</v>
      </c>
      <c r="F1678" s="149" t="s">
        <v>138</v>
      </c>
      <c r="G1678" s="149" t="s">
        <v>135</v>
      </c>
      <c r="H1678" t="s">
        <v>39</v>
      </c>
      <c r="J1678" t="s">
        <v>651</v>
      </c>
      <c r="L1678" s="160"/>
      <c r="M1678" s="48"/>
      <c r="N1678" s="123"/>
    </row>
    <row r="1679" spans="1:14" customFormat="1" x14ac:dyDescent="0.55000000000000004">
      <c r="A1679" s="54" t="s">
        <v>642</v>
      </c>
      <c r="B1679" t="s">
        <v>603</v>
      </c>
      <c r="C1679" t="s">
        <v>121</v>
      </c>
      <c r="D1679" t="s">
        <v>3288</v>
      </c>
      <c r="E1679" s="116">
        <v>1</v>
      </c>
      <c r="F1679" s="149" t="s">
        <v>135</v>
      </c>
      <c r="G1679" s="149">
        <v>1</v>
      </c>
      <c r="H1679" t="s">
        <v>39</v>
      </c>
      <c r="J1679" t="s">
        <v>642</v>
      </c>
      <c r="L1679" s="160">
        <v>2522</v>
      </c>
      <c r="M1679" s="48"/>
      <c r="N1679" s="123"/>
    </row>
    <row r="1680" spans="1:14" customFormat="1" x14ac:dyDescent="0.55000000000000004">
      <c r="A1680" s="54" t="s">
        <v>642</v>
      </c>
      <c r="B1680" t="s">
        <v>230</v>
      </c>
      <c r="C1680" t="s">
        <v>127</v>
      </c>
      <c r="D1680" t="s">
        <v>2994</v>
      </c>
      <c r="E1680" s="116">
        <v>1.06</v>
      </c>
      <c r="F1680" s="149" t="s">
        <v>138</v>
      </c>
      <c r="G1680" s="149" t="s">
        <v>135</v>
      </c>
      <c r="H1680" t="s">
        <v>39</v>
      </c>
      <c r="J1680" t="s">
        <v>642</v>
      </c>
      <c r="L1680" s="160"/>
      <c r="M1680" s="48"/>
      <c r="N1680" s="123"/>
    </row>
    <row r="1681" spans="1:14" customFormat="1" x14ac:dyDescent="0.55000000000000004">
      <c r="A1681" s="54" t="s">
        <v>642</v>
      </c>
      <c r="B1681" t="s">
        <v>262</v>
      </c>
      <c r="C1681" t="s">
        <v>127</v>
      </c>
      <c r="D1681" t="s">
        <v>2994</v>
      </c>
      <c r="E1681" s="116">
        <v>6.16</v>
      </c>
      <c r="F1681" s="149" t="s">
        <v>138</v>
      </c>
      <c r="G1681" s="149" t="s">
        <v>135</v>
      </c>
      <c r="H1681" t="s">
        <v>39</v>
      </c>
      <c r="J1681" t="s">
        <v>642</v>
      </c>
      <c r="L1681" s="160"/>
      <c r="M1681" s="48"/>
      <c r="N1681" s="123"/>
    </row>
    <row r="1682" spans="1:14" customFormat="1" x14ac:dyDescent="0.55000000000000004">
      <c r="A1682" s="54" t="s">
        <v>642</v>
      </c>
      <c r="B1682" t="s">
        <v>153</v>
      </c>
      <c r="C1682" t="s">
        <v>127</v>
      </c>
      <c r="D1682" t="s">
        <v>2994</v>
      </c>
      <c r="E1682" s="116">
        <v>0.08</v>
      </c>
      <c r="F1682" s="149" t="s">
        <v>138</v>
      </c>
      <c r="G1682" s="149" t="s">
        <v>135</v>
      </c>
      <c r="H1682" t="s">
        <v>39</v>
      </c>
      <c r="J1682" t="s">
        <v>642</v>
      </c>
      <c r="L1682" s="160"/>
      <c r="M1682" s="48"/>
      <c r="N1682" s="123"/>
    </row>
    <row r="1683" spans="1:14" customFormat="1" x14ac:dyDescent="0.55000000000000004">
      <c r="A1683" s="54" t="s">
        <v>642</v>
      </c>
      <c r="B1683" t="s">
        <v>445</v>
      </c>
      <c r="C1683" t="s">
        <v>127</v>
      </c>
      <c r="D1683" t="s">
        <v>2994</v>
      </c>
      <c r="E1683" s="116">
        <v>0.08</v>
      </c>
      <c r="F1683" s="149" t="s">
        <v>138</v>
      </c>
      <c r="G1683" s="149" t="s">
        <v>135</v>
      </c>
      <c r="H1683" t="s">
        <v>39</v>
      </c>
      <c r="J1683" t="s">
        <v>642</v>
      </c>
      <c r="L1683" s="160"/>
      <c r="M1683" s="48"/>
      <c r="N1683" s="123"/>
    </row>
    <row r="1684" spans="1:14" customFormat="1" x14ac:dyDescent="0.55000000000000004">
      <c r="A1684" s="54" t="s">
        <v>642</v>
      </c>
      <c r="B1684" t="s">
        <v>171</v>
      </c>
      <c r="C1684" t="s">
        <v>127</v>
      </c>
      <c r="D1684" t="s">
        <v>2994</v>
      </c>
      <c r="E1684" s="116">
        <v>0.23</v>
      </c>
      <c r="F1684" s="149" t="s">
        <v>138</v>
      </c>
      <c r="G1684" s="149" t="s">
        <v>135</v>
      </c>
      <c r="H1684" t="s">
        <v>39</v>
      </c>
      <c r="J1684" t="s">
        <v>642</v>
      </c>
      <c r="L1684" s="160"/>
      <c r="M1684" s="48"/>
      <c r="N1684" s="123"/>
    </row>
    <row r="1685" spans="1:14" customFormat="1" x14ac:dyDescent="0.55000000000000004">
      <c r="A1685" s="54" t="s">
        <v>642</v>
      </c>
      <c r="B1685" t="s">
        <v>160</v>
      </c>
      <c r="C1685" t="s">
        <v>247</v>
      </c>
      <c r="D1685" t="s">
        <v>3288</v>
      </c>
      <c r="E1685" s="116">
        <v>625.26512981032988</v>
      </c>
      <c r="F1685" s="149" t="s">
        <v>122</v>
      </c>
      <c r="G1685" s="149" t="s">
        <v>135</v>
      </c>
      <c r="H1685" t="s">
        <v>39</v>
      </c>
      <c r="J1685" t="s">
        <v>642</v>
      </c>
      <c r="L1685" s="160"/>
      <c r="M1685" s="48"/>
      <c r="N1685" s="123"/>
    </row>
    <row r="1686" spans="1:14" customFormat="1" x14ac:dyDescent="0.55000000000000004">
      <c r="A1686" s="94" t="s">
        <v>639</v>
      </c>
      <c r="B1686" t="s">
        <v>469</v>
      </c>
      <c r="C1686" t="s">
        <v>121</v>
      </c>
      <c r="D1686" t="s">
        <v>3288</v>
      </c>
      <c r="E1686" s="116">
        <v>1</v>
      </c>
      <c r="F1686" s="149" t="s">
        <v>135</v>
      </c>
      <c r="G1686" s="149">
        <v>1</v>
      </c>
      <c r="H1686" t="s">
        <v>39</v>
      </c>
      <c r="J1686" t="s">
        <v>639</v>
      </c>
      <c r="L1686" s="160">
        <v>290513</v>
      </c>
      <c r="M1686" s="48"/>
      <c r="N1686" s="123"/>
    </row>
    <row r="1687" spans="1:14" customFormat="1" x14ac:dyDescent="0.55000000000000004">
      <c r="A1687" s="94" t="s">
        <v>639</v>
      </c>
      <c r="B1687" t="s">
        <v>217</v>
      </c>
      <c r="C1687" t="s">
        <v>127</v>
      </c>
      <c r="D1687" t="s">
        <v>2994</v>
      </c>
      <c r="E1687" s="116">
        <v>14.8</v>
      </c>
      <c r="F1687" s="149" t="s">
        <v>138</v>
      </c>
      <c r="G1687" s="149" t="s">
        <v>135</v>
      </c>
      <c r="H1687" t="s">
        <v>39</v>
      </c>
      <c r="J1687" t="s">
        <v>639</v>
      </c>
      <c r="L1687" s="160"/>
      <c r="M1687" s="48"/>
      <c r="N1687" s="123"/>
    </row>
    <row r="1688" spans="1:14" customFormat="1" x14ac:dyDescent="0.55000000000000004">
      <c r="A1688" s="94" t="s">
        <v>639</v>
      </c>
      <c r="B1688" t="s">
        <v>564</v>
      </c>
      <c r="C1688" t="s">
        <v>127</v>
      </c>
      <c r="D1688" t="s">
        <v>2994</v>
      </c>
      <c r="E1688" s="116">
        <v>2</v>
      </c>
      <c r="F1688" s="149" t="s">
        <v>138</v>
      </c>
      <c r="G1688" s="149" t="s">
        <v>135</v>
      </c>
      <c r="H1688" t="s">
        <v>39</v>
      </c>
      <c r="J1688" t="s">
        <v>639</v>
      </c>
      <c r="L1688" s="160"/>
      <c r="M1688" s="48"/>
      <c r="N1688" s="123"/>
    </row>
    <row r="1689" spans="1:14" customFormat="1" x14ac:dyDescent="0.55000000000000004">
      <c r="A1689" s="94" t="s">
        <v>639</v>
      </c>
      <c r="B1689" t="s">
        <v>217</v>
      </c>
      <c r="C1689" t="s">
        <v>231</v>
      </c>
      <c r="D1689" t="s">
        <v>2994</v>
      </c>
      <c r="E1689" s="116">
        <v>21</v>
      </c>
      <c r="F1689" s="149" t="s">
        <v>138</v>
      </c>
      <c r="G1689" s="149" t="s">
        <v>135</v>
      </c>
      <c r="H1689" t="s">
        <v>39</v>
      </c>
      <c r="J1689" t="s">
        <v>639</v>
      </c>
      <c r="L1689" s="160"/>
      <c r="M1689" s="48"/>
      <c r="N1689" s="123"/>
    </row>
    <row r="1690" spans="1:14" customFormat="1" x14ac:dyDescent="0.55000000000000004">
      <c r="A1690" s="94" t="s">
        <v>639</v>
      </c>
      <c r="B1690" t="s">
        <v>188</v>
      </c>
      <c r="C1690" t="s">
        <v>156</v>
      </c>
      <c r="D1690" t="s">
        <v>2994</v>
      </c>
      <c r="E1690" s="116">
        <v>2.9</v>
      </c>
      <c r="F1690" s="149" t="s">
        <v>138</v>
      </c>
      <c r="G1690" s="149" t="s">
        <v>135</v>
      </c>
      <c r="H1690" t="s">
        <v>39</v>
      </c>
      <c r="J1690" t="s">
        <v>639</v>
      </c>
      <c r="L1690" s="160"/>
      <c r="M1690" s="48"/>
      <c r="N1690" s="123"/>
    </row>
    <row r="1691" spans="1:14" customFormat="1" x14ac:dyDescent="0.55000000000000004">
      <c r="A1691" s="94" t="s">
        <v>639</v>
      </c>
      <c r="B1691" t="s">
        <v>160</v>
      </c>
      <c r="C1691" t="s">
        <v>247</v>
      </c>
      <c r="D1691" t="s">
        <v>3288</v>
      </c>
      <c r="E1691" s="116">
        <v>933.88000000000011</v>
      </c>
      <c r="F1691" s="149" t="s">
        <v>122</v>
      </c>
      <c r="G1691" s="149" t="s">
        <v>135</v>
      </c>
      <c r="H1691" t="s">
        <v>39</v>
      </c>
      <c r="J1691" t="s">
        <v>639</v>
      </c>
      <c r="L1691" s="160"/>
      <c r="M1691" s="48"/>
      <c r="N1691" s="123"/>
    </row>
    <row r="1692" spans="1:14" customFormat="1" x14ac:dyDescent="0.55000000000000004">
      <c r="A1692" s="94" t="s">
        <v>637</v>
      </c>
      <c r="B1692" t="s">
        <v>598</v>
      </c>
      <c r="C1692" t="s">
        <v>121</v>
      </c>
      <c r="D1692" t="s">
        <v>3288</v>
      </c>
      <c r="E1692" s="116">
        <v>1</v>
      </c>
      <c r="F1692" s="149" t="s">
        <v>135</v>
      </c>
      <c r="G1692" s="149">
        <v>1</v>
      </c>
      <c r="H1692" t="s">
        <v>39</v>
      </c>
      <c r="J1692" t="s">
        <v>637</v>
      </c>
      <c r="L1692" s="160" t="s">
        <v>599</v>
      </c>
      <c r="M1692" s="48"/>
      <c r="N1692" s="123"/>
    </row>
    <row r="1693" spans="1:14" customFormat="1" x14ac:dyDescent="0.55000000000000004">
      <c r="A1693" s="94" t="s">
        <v>637</v>
      </c>
      <c r="B1693" t="s">
        <v>217</v>
      </c>
      <c r="C1693" t="s">
        <v>127</v>
      </c>
      <c r="D1693" t="s">
        <v>2994</v>
      </c>
      <c r="E1693" s="116">
        <v>18.600000000000001</v>
      </c>
      <c r="F1693" s="149" t="s">
        <v>138</v>
      </c>
      <c r="G1693" s="149" t="s">
        <v>135</v>
      </c>
      <c r="H1693" t="s">
        <v>39</v>
      </c>
      <c r="J1693" t="s">
        <v>637</v>
      </c>
      <c r="L1693" s="160"/>
      <c r="M1693" s="48"/>
      <c r="N1693" s="123"/>
    </row>
    <row r="1694" spans="1:14" customFormat="1" x14ac:dyDescent="0.55000000000000004">
      <c r="A1694" s="94" t="s">
        <v>637</v>
      </c>
      <c r="B1694" t="s">
        <v>564</v>
      </c>
      <c r="C1694" t="s">
        <v>127</v>
      </c>
      <c r="D1694" t="s">
        <v>2994</v>
      </c>
      <c r="E1694" s="116">
        <v>0.4</v>
      </c>
      <c r="F1694" s="149" t="s">
        <v>138</v>
      </c>
      <c r="G1694" s="149" t="s">
        <v>135</v>
      </c>
      <c r="H1694" t="s">
        <v>39</v>
      </c>
      <c r="J1694" t="s">
        <v>637</v>
      </c>
      <c r="L1694" s="160"/>
      <c r="M1694" s="48"/>
      <c r="N1694" s="123"/>
    </row>
    <row r="1695" spans="1:14" customFormat="1" x14ac:dyDescent="0.55000000000000004">
      <c r="A1695" s="94" t="s">
        <v>637</v>
      </c>
      <c r="B1695" t="s">
        <v>217</v>
      </c>
      <c r="C1695" t="s">
        <v>231</v>
      </c>
      <c r="D1695" t="s">
        <v>2994</v>
      </c>
      <c r="E1695" s="116">
        <v>79.2</v>
      </c>
      <c r="F1695" s="149" t="s">
        <v>138</v>
      </c>
      <c r="G1695" s="149" t="s">
        <v>135</v>
      </c>
      <c r="H1695" t="s">
        <v>39</v>
      </c>
      <c r="J1695" t="s">
        <v>637</v>
      </c>
      <c r="L1695" s="160"/>
      <c r="M1695" s="48"/>
      <c r="N1695" s="123"/>
    </row>
    <row r="1696" spans="1:14" customFormat="1" x14ac:dyDescent="0.55000000000000004">
      <c r="A1696" s="94" t="s">
        <v>637</v>
      </c>
      <c r="B1696" t="s">
        <v>188</v>
      </c>
      <c r="C1696" t="s">
        <v>156</v>
      </c>
      <c r="D1696" t="s">
        <v>2994</v>
      </c>
      <c r="E1696" s="116">
        <v>1.7</v>
      </c>
      <c r="F1696" s="149" t="s">
        <v>138</v>
      </c>
      <c r="G1696" s="149" t="s">
        <v>135</v>
      </c>
      <c r="H1696" t="s">
        <v>39</v>
      </c>
      <c r="J1696" t="s">
        <v>637</v>
      </c>
      <c r="L1696" s="160"/>
      <c r="M1696" s="48"/>
      <c r="N1696" s="123"/>
    </row>
    <row r="1697" spans="1:14" customFormat="1" x14ac:dyDescent="0.55000000000000004">
      <c r="A1697" s="94" t="s">
        <v>637</v>
      </c>
      <c r="B1697" t="s">
        <v>160</v>
      </c>
      <c r="C1697" t="s">
        <v>247</v>
      </c>
      <c r="D1697" t="s">
        <v>3288</v>
      </c>
      <c r="E1697" s="116">
        <v>1173.6600000000001</v>
      </c>
      <c r="F1697" s="149" t="s">
        <v>122</v>
      </c>
      <c r="G1697" s="149" t="s">
        <v>135</v>
      </c>
      <c r="H1697" t="s">
        <v>39</v>
      </c>
      <c r="J1697" t="s">
        <v>637</v>
      </c>
      <c r="L1697" s="160"/>
      <c r="M1697" s="48"/>
      <c r="N1697" s="123"/>
    </row>
    <row r="1698" spans="1:14" customFormat="1" x14ac:dyDescent="0.55000000000000004">
      <c r="A1698" s="95" t="s">
        <v>635</v>
      </c>
      <c r="B1698" t="s">
        <v>229</v>
      </c>
      <c r="C1698" t="s">
        <v>121</v>
      </c>
      <c r="D1698" t="s">
        <v>3288</v>
      </c>
      <c r="E1698" s="116">
        <v>1</v>
      </c>
      <c r="F1698" s="149" t="s">
        <v>135</v>
      </c>
      <c r="G1698" s="149">
        <v>1</v>
      </c>
      <c r="H1698" t="s">
        <v>39</v>
      </c>
      <c r="J1698" t="s">
        <v>635</v>
      </c>
      <c r="L1698" s="160">
        <v>4705</v>
      </c>
      <c r="M1698" s="48"/>
      <c r="N1698" s="123"/>
    </row>
    <row r="1699" spans="1:14" customFormat="1" x14ac:dyDescent="0.55000000000000004">
      <c r="A1699" s="95" t="s">
        <v>635</v>
      </c>
      <c r="B1699" t="s">
        <v>230</v>
      </c>
      <c r="C1699" t="s">
        <v>231</v>
      </c>
      <c r="D1699" t="s">
        <v>3288</v>
      </c>
      <c r="E1699" s="116">
        <v>1.2</v>
      </c>
      <c r="F1699" s="149" t="s">
        <v>135</v>
      </c>
      <c r="G1699" s="149" t="s">
        <v>135</v>
      </c>
      <c r="H1699" t="s">
        <v>39</v>
      </c>
      <c r="J1699" t="s">
        <v>635</v>
      </c>
      <c r="L1699" s="160"/>
      <c r="M1699" s="48"/>
      <c r="N1699" s="123"/>
    </row>
    <row r="1700" spans="1:14" customFormat="1" x14ac:dyDescent="0.55000000000000004">
      <c r="A1700" s="95" t="s">
        <v>635</v>
      </c>
      <c r="B1700" t="s">
        <v>564</v>
      </c>
      <c r="C1700" t="s">
        <v>127</v>
      </c>
      <c r="D1700" t="s">
        <v>2994</v>
      </c>
      <c r="E1700" s="116">
        <v>7.35</v>
      </c>
      <c r="F1700" s="149" t="s">
        <v>138</v>
      </c>
      <c r="G1700" s="149" t="s">
        <v>135</v>
      </c>
      <c r="H1700" t="s">
        <v>39</v>
      </c>
      <c r="J1700" t="s">
        <v>635</v>
      </c>
      <c r="L1700" s="160"/>
      <c r="M1700" s="48"/>
      <c r="N1700" s="123"/>
    </row>
    <row r="1701" spans="1:14" customFormat="1" x14ac:dyDescent="0.55000000000000004">
      <c r="A1701" s="95" t="s">
        <v>635</v>
      </c>
      <c r="B1701" t="s">
        <v>188</v>
      </c>
      <c r="C1701" t="s">
        <v>127</v>
      </c>
      <c r="D1701" t="s">
        <v>2994</v>
      </c>
      <c r="E1701" s="116">
        <v>0.9</v>
      </c>
      <c r="F1701" s="149" t="s">
        <v>138</v>
      </c>
      <c r="G1701" s="149" t="s">
        <v>135</v>
      </c>
      <c r="H1701" t="s">
        <v>39</v>
      </c>
      <c r="J1701" t="s">
        <v>635</v>
      </c>
      <c r="L1701" s="160"/>
      <c r="M1701" s="48"/>
      <c r="N1701" s="123"/>
    </row>
    <row r="1702" spans="1:14" customFormat="1" x14ac:dyDescent="0.55000000000000004">
      <c r="A1702" s="94" t="s">
        <v>634</v>
      </c>
      <c r="B1702" t="s">
        <v>632</v>
      </c>
      <c r="C1702" t="s">
        <v>121</v>
      </c>
      <c r="D1702" t="s">
        <v>3288</v>
      </c>
      <c r="E1702" s="116">
        <v>1</v>
      </c>
      <c r="F1702" s="149" t="s">
        <v>135</v>
      </c>
      <c r="G1702" s="149">
        <v>1</v>
      </c>
      <c r="H1702" t="s">
        <v>39</v>
      </c>
      <c r="J1702" t="s">
        <v>634</v>
      </c>
      <c r="L1702" s="160">
        <v>28011</v>
      </c>
      <c r="M1702" s="48"/>
      <c r="N1702" s="123"/>
    </row>
    <row r="1703" spans="1:14" customFormat="1" x14ac:dyDescent="0.55000000000000004">
      <c r="A1703" s="94" t="s">
        <v>634</v>
      </c>
      <c r="B1703" t="s">
        <v>153</v>
      </c>
      <c r="C1703" t="s">
        <v>127</v>
      </c>
      <c r="D1703" t="s">
        <v>2994</v>
      </c>
      <c r="E1703" s="116">
        <v>1000</v>
      </c>
      <c r="F1703" s="149" t="s">
        <v>138</v>
      </c>
      <c r="G1703" s="149" t="s">
        <v>135</v>
      </c>
      <c r="H1703" t="s">
        <v>39</v>
      </c>
      <c r="J1703" t="s">
        <v>634</v>
      </c>
      <c r="L1703" s="160"/>
      <c r="M1703" s="48"/>
      <c r="N1703" s="123"/>
    </row>
    <row r="1704" spans="1:14" customFormat="1" x14ac:dyDescent="0.55000000000000004">
      <c r="A1704" s="94" t="s">
        <v>634</v>
      </c>
      <c r="B1704" t="s">
        <v>564</v>
      </c>
      <c r="C1704" t="s">
        <v>127</v>
      </c>
      <c r="D1704" t="s">
        <v>2994</v>
      </c>
      <c r="E1704" s="116">
        <v>0.93</v>
      </c>
      <c r="F1704" s="149" t="s">
        <v>138</v>
      </c>
      <c r="G1704" s="149" t="s">
        <v>135</v>
      </c>
      <c r="H1704" t="s">
        <v>39</v>
      </c>
      <c r="J1704" t="s">
        <v>634</v>
      </c>
      <c r="L1704" s="160"/>
      <c r="M1704" s="48"/>
      <c r="N1704" s="123"/>
    </row>
    <row r="1705" spans="1:14" customFormat="1" x14ac:dyDescent="0.55000000000000004">
      <c r="A1705" s="94" t="s">
        <v>634</v>
      </c>
      <c r="B1705" t="s">
        <v>188</v>
      </c>
      <c r="C1705" t="s">
        <v>127</v>
      </c>
      <c r="D1705" t="s">
        <v>2994</v>
      </c>
      <c r="E1705" s="116">
        <v>1.44</v>
      </c>
      <c r="F1705" s="149" t="s">
        <v>138</v>
      </c>
      <c r="G1705" s="149" t="s">
        <v>135</v>
      </c>
      <c r="H1705" t="s">
        <v>39</v>
      </c>
      <c r="J1705" t="s">
        <v>634</v>
      </c>
      <c r="L1705" s="160"/>
      <c r="M1705" s="48"/>
      <c r="N1705" s="123"/>
    </row>
    <row r="1706" spans="1:14" customFormat="1" x14ac:dyDescent="0.55000000000000004">
      <c r="A1706" s="94" t="s">
        <v>631</v>
      </c>
      <c r="B1706" t="s">
        <v>632</v>
      </c>
      <c r="C1706" t="s">
        <v>121</v>
      </c>
      <c r="D1706" t="s">
        <v>3288</v>
      </c>
      <c r="E1706" s="116">
        <v>1</v>
      </c>
      <c r="F1706" s="149" t="s">
        <v>135</v>
      </c>
      <c r="G1706" s="149">
        <v>1</v>
      </c>
      <c r="H1706" t="s">
        <v>39</v>
      </c>
      <c r="J1706" t="s">
        <v>631</v>
      </c>
      <c r="L1706" s="160">
        <v>28011</v>
      </c>
      <c r="M1706" s="48"/>
      <c r="N1706" s="123"/>
    </row>
    <row r="1707" spans="1:14" customFormat="1" x14ac:dyDescent="0.55000000000000004">
      <c r="A1707" s="94" t="s">
        <v>631</v>
      </c>
      <c r="B1707" t="s">
        <v>153</v>
      </c>
      <c r="C1707" t="s">
        <v>127</v>
      </c>
      <c r="D1707" t="s">
        <v>2994</v>
      </c>
      <c r="E1707" s="116">
        <v>13.32</v>
      </c>
      <c r="F1707" s="149" t="s">
        <v>138</v>
      </c>
      <c r="G1707" s="149" t="s">
        <v>135</v>
      </c>
      <c r="H1707" t="s">
        <v>39</v>
      </c>
      <c r="J1707" t="s">
        <v>631</v>
      </c>
      <c r="L1707" s="160"/>
      <c r="M1707" s="48"/>
      <c r="N1707" s="123"/>
    </row>
    <row r="1708" spans="1:14" customFormat="1" x14ac:dyDescent="0.55000000000000004">
      <c r="A1708" s="94" t="s">
        <v>631</v>
      </c>
      <c r="B1708" t="s">
        <v>564</v>
      </c>
      <c r="C1708" t="s">
        <v>127</v>
      </c>
      <c r="D1708" t="s">
        <v>2994</v>
      </c>
      <c r="E1708" s="116">
        <v>0.93</v>
      </c>
      <c r="F1708" s="149" t="s">
        <v>138</v>
      </c>
      <c r="G1708" s="149" t="s">
        <v>135</v>
      </c>
      <c r="H1708" t="s">
        <v>39</v>
      </c>
      <c r="J1708" t="s">
        <v>631</v>
      </c>
      <c r="L1708" s="160"/>
      <c r="M1708" s="48"/>
      <c r="N1708" s="123"/>
    </row>
    <row r="1709" spans="1:14" customFormat="1" x14ac:dyDescent="0.55000000000000004">
      <c r="A1709" s="94" t="s">
        <v>631</v>
      </c>
      <c r="B1709" t="s">
        <v>188</v>
      </c>
      <c r="C1709" t="s">
        <v>127</v>
      </c>
      <c r="D1709" t="s">
        <v>2994</v>
      </c>
      <c r="E1709" s="116">
        <v>1.44</v>
      </c>
      <c r="F1709" s="149" t="s">
        <v>138</v>
      </c>
      <c r="G1709" s="149" t="s">
        <v>135</v>
      </c>
      <c r="H1709" t="s">
        <v>39</v>
      </c>
      <c r="J1709" t="s">
        <v>631</v>
      </c>
      <c r="L1709" s="160"/>
      <c r="M1709" s="48"/>
      <c r="N1709" s="123"/>
    </row>
    <row r="1710" spans="1:14" customFormat="1" x14ac:dyDescent="0.55000000000000004">
      <c r="A1710" s="94" t="s">
        <v>629</v>
      </c>
      <c r="B1710" t="s">
        <v>598</v>
      </c>
      <c r="C1710" t="s">
        <v>121</v>
      </c>
      <c r="D1710" t="s">
        <v>3288</v>
      </c>
      <c r="E1710" s="116">
        <v>1</v>
      </c>
      <c r="F1710" s="149" t="s">
        <v>135</v>
      </c>
      <c r="G1710" s="149">
        <v>1</v>
      </c>
      <c r="H1710" t="s">
        <v>39</v>
      </c>
      <c r="J1710" t="s">
        <v>629</v>
      </c>
      <c r="L1710" s="160" t="s">
        <v>599</v>
      </c>
      <c r="M1710" s="48"/>
      <c r="N1710" s="123"/>
    </row>
    <row r="1711" spans="1:14" customFormat="1" x14ac:dyDescent="0.55000000000000004">
      <c r="A1711" s="94" t="s">
        <v>629</v>
      </c>
      <c r="B1711" t="s">
        <v>564</v>
      </c>
      <c r="C1711" t="s">
        <v>127</v>
      </c>
      <c r="D1711" t="s">
        <v>2994</v>
      </c>
      <c r="E1711" s="116">
        <v>0.2</v>
      </c>
      <c r="F1711" s="149" t="s">
        <v>138</v>
      </c>
      <c r="G1711" s="149" t="s">
        <v>135</v>
      </c>
      <c r="H1711" t="s">
        <v>39</v>
      </c>
      <c r="J1711" t="s">
        <v>629</v>
      </c>
      <c r="L1711" s="160"/>
      <c r="M1711" s="48"/>
      <c r="N1711" s="123"/>
    </row>
    <row r="1712" spans="1:14" customFormat="1" x14ac:dyDescent="0.55000000000000004">
      <c r="A1712" s="94" t="s">
        <v>629</v>
      </c>
      <c r="B1712" t="s">
        <v>171</v>
      </c>
      <c r="C1712" t="s">
        <v>127</v>
      </c>
      <c r="D1712" t="s">
        <v>2994</v>
      </c>
      <c r="E1712" s="116">
        <v>11.4</v>
      </c>
      <c r="F1712" s="149" t="s">
        <v>138</v>
      </c>
      <c r="G1712" s="149" t="s">
        <v>135</v>
      </c>
      <c r="H1712" t="s">
        <v>39</v>
      </c>
      <c r="J1712" t="s">
        <v>629</v>
      </c>
      <c r="L1712" s="160"/>
      <c r="M1712" s="48"/>
      <c r="N1712" s="123"/>
    </row>
    <row r="1713" spans="1:14" customFormat="1" x14ac:dyDescent="0.55000000000000004">
      <c r="A1713" s="94" t="s">
        <v>629</v>
      </c>
      <c r="B1713" t="s">
        <v>469</v>
      </c>
      <c r="C1713" t="s">
        <v>231</v>
      </c>
      <c r="D1713" t="s">
        <v>2994</v>
      </c>
      <c r="E1713" s="116">
        <v>59.67</v>
      </c>
      <c r="F1713" s="149" t="s">
        <v>138</v>
      </c>
      <c r="G1713" s="149" t="s">
        <v>135</v>
      </c>
      <c r="H1713" t="s">
        <v>39</v>
      </c>
      <c r="J1713" t="s">
        <v>629</v>
      </c>
      <c r="L1713" s="160"/>
      <c r="M1713" s="48"/>
      <c r="N1713" s="123"/>
    </row>
    <row r="1714" spans="1:14" customFormat="1" x14ac:dyDescent="0.55000000000000004">
      <c r="A1714" s="94" t="s">
        <v>629</v>
      </c>
      <c r="B1714" t="s">
        <v>188</v>
      </c>
      <c r="C1714" t="s">
        <v>156</v>
      </c>
      <c r="D1714" t="s">
        <v>2994</v>
      </c>
      <c r="E1714" s="116">
        <v>2.1</v>
      </c>
      <c r="F1714" s="149" t="s">
        <v>138</v>
      </c>
      <c r="G1714" s="149" t="s">
        <v>135</v>
      </c>
      <c r="H1714" t="s">
        <v>39</v>
      </c>
      <c r="J1714" t="s">
        <v>629</v>
      </c>
      <c r="L1714" s="160"/>
      <c r="M1714" s="48"/>
      <c r="N1714" s="123"/>
    </row>
    <row r="1715" spans="1:14" customFormat="1" x14ac:dyDescent="0.55000000000000004">
      <c r="A1715" s="94" t="s">
        <v>629</v>
      </c>
      <c r="B1715" t="s">
        <v>160</v>
      </c>
      <c r="C1715" t="s">
        <v>247</v>
      </c>
      <c r="D1715" t="s">
        <v>3288</v>
      </c>
      <c r="E1715" s="116">
        <v>639.20521783718186</v>
      </c>
      <c r="F1715" s="149" t="s">
        <v>122</v>
      </c>
      <c r="G1715" s="149" t="s">
        <v>135</v>
      </c>
      <c r="H1715" t="s">
        <v>39</v>
      </c>
      <c r="J1715" t="s">
        <v>629</v>
      </c>
      <c r="L1715" s="160"/>
      <c r="M1715" s="48"/>
      <c r="N1715" s="123"/>
    </row>
    <row r="1716" spans="1:14" customFormat="1" x14ac:dyDescent="0.55000000000000004">
      <c r="A1716" s="94" t="s">
        <v>627</v>
      </c>
      <c r="B1716" t="s">
        <v>598</v>
      </c>
      <c r="C1716" t="s">
        <v>121</v>
      </c>
      <c r="D1716" t="s">
        <v>3288</v>
      </c>
      <c r="E1716" s="116">
        <v>1</v>
      </c>
      <c r="F1716" s="149" t="s">
        <v>135</v>
      </c>
      <c r="G1716" s="149">
        <v>1</v>
      </c>
      <c r="H1716" t="s">
        <v>39</v>
      </c>
      <c r="J1716" t="s">
        <v>627</v>
      </c>
      <c r="L1716" s="160" t="s">
        <v>599</v>
      </c>
      <c r="M1716" s="48"/>
      <c r="N1716" s="123"/>
    </row>
    <row r="1717" spans="1:14" customFormat="1" x14ac:dyDescent="0.55000000000000004">
      <c r="A1717" s="94" t="s">
        <v>627</v>
      </c>
      <c r="B1717" t="s">
        <v>564</v>
      </c>
      <c r="C1717" t="s">
        <v>127</v>
      </c>
      <c r="D1717" t="s">
        <v>2994</v>
      </c>
      <c r="E1717" s="116">
        <v>0.3</v>
      </c>
      <c r="F1717" s="149" t="s">
        <v>138</v>
      </c>
      <c r="G1717" s="149" t="s">
        <v>135</v>
      </c>
      <c r="H1717" t="s">
        <v>39</v>
      </c>
      <c r="J1717" t="s">
        <v>627</v>
      </c>
      <c r="L1717" s="160"/>
      <c r="M1717" s="48"/>
      <c r="N1717" s="123"/>
    </row>
    <row r="1718" spans="1:14" customFormat="1" x14ac:dyDescent="0.55000000000000004">
      <c r="A1718" s="94" t="s">
        <v>627</v>
      </c>
      <c r="B1718" t="s">
        <v>625</v>
      </c>
      <c r="C1718" t="s">
        <v>127</v>
      </c>
      <c r="D1718" t="s">
        <v>2994</v>
      </c>
      <c r="E1718" s="116">
        <v>10.9</v>
      </c>
      <c r="F1718" s="149" t="s">
        <v>138</v>
      </c>
      <c r="G1718" s="149" t="s">
        <v>135</v>
      </c>
      <c r="H1718" t="s">
        <v>39</v>
      </c>
      <c r="J1718" t="s">
        <v>627</v>
      </c>
      <c r="L1718" s="160"/>
      <c r="M1718" s="48"/>
      <c r="N1718" s="123"/>
    </row>
    <row r="1719" spans="1:14" customFormat="1" x14ac:dyDescent="0.55000000000000004">
      <c r="A1719" s="94" t="s">
        <v>627</v>
      </c>
      <c r="B1719" t="s">
        <v>625</v>
      </c>
      <c r="C1719" t="s">
        <v>231</v>
      </c>
      <c r="D1719" t="s">
        <v>2994</v>
      </c>
      <c r="E1719" s="116">
        <v>62.9</v>
      </c>
      <c r="F1719" s="149" t="s">
        <v>138</v>
      </c>
      <c r="G1719" s="149" t="s">
        <v>135</v>
      </c>
      <c r="H1719" t="s">
        <v>39</v>
      </c>
      <c r="J1719" t="s">
        <v>627</v>
      </c>
      <c r="L1719" s="160"/>
      <c r="M1719" s="48"/>
      <c r="N1719" s="123"/>
    </row>
    <row r="1720" spans="1:14" customFormat="1" x14ac:dyDescent="0.55000000000000004">
      <c r="A1720" s="94" t="s">
        <v>627</v>
      </c>
      <c r="B1720" t="s">
        <v>188</v>
      </c>
      <c r="C1720" t="s">
        <v>156</v>
      </c>
      <c r="D1720" t="s">
        <v>2994</v>
      </c>
      <c r="E1720" s="116">
        <v>1.2</v>
      </c>
      <c r="F1720" s="149" t="s">
        <v>138</v>
      </c>
      <c r="G1720" s="149" t="s">
        <v>135</v>
      </c>
      <c r="H1720" t="s">
        <v>39</v>
      </c>
      <c r="J1720" t="s">
        <v>627</v>
      </c>
      <c r="L1720" s="160"/>
      <c r="M1720" s="48"/>
      <c r="N1720" s="123"/>
    </row>
    <row r="1721" spans="1:14" customFormat="1" x14ac:dyDescent="0.55000000000000004">
      <c r="A1721" s="94" t="s">
        <v>627</v>
      </c>
      <c r="B1721" t="s">
        <v>160</v>
      </c>
      <c r="C1721" t="s">
        <v>247</v>
      </c>
      <c r="D1721" t="s">
        <v>3288</v>
      </c>
      <c r="E1721" s="116">
        <v>798.97</v>
      </c>
      <c r="F1721" s="149" t="s">
        <v>122</v>
      </c>
      <c r="G1721" s="149" t="s">
        <v>135</v>
      </c>
      <c r="H1721" t="s">
        <v>39</v>
      </c>
      <c r="J1721" t="s">
        <v>627</v>
      </c>
      <c r="L1721" s="160"/>
      <c r="M1721" s="48"/>
      <c r="N1721" s="123"/>
    </row>
    <row r="1722" spans="1:14" customFormat="1" x14ac:dyDescent="0.55000000000000004">
      <c r="A1722" s="94" t="s">
        <v>626</v>
      </c>
      <c r="B1722" t="s">
        <v>615</v>
      </c>
      <c r="C1722" t="s">
        <v>121</v>
      </c>
      <c r="D1722" t="s">
        <v>3288</v>
      </c>
      <c r="E1722" s="116">
        <v>1</v>
      </c>
      <c r="F1722" s="149" t="s">
        <v>135</v>
      </c>
      <c r="G1722" s="149">
        <v>1</v>
      </c>
      <c r="H1722" t="s">
        <v>39</v>
      </c>
      <c r="J1722" t="s">
        <v>626</v>
      </c>
      <c r="L1722" s="160">
        <v>281410</v>
      </c>
      <c r="M1722" s="48"/>
      <c r="N1722" s="123"/>
    </row>
    <row r="1723" spans="1:14" customFormat="1" x14ac:dyDescent="0.55000000000000004">
      <c r="A1723" s="94" t="s">
        <v>626</v>
      </c>
      <c r="B1723" t="s">
        <v>153</v>
      </c>
      <c r="C1723" t="s">
        <v>127</v>
      </c>
      <c r="D1723" t="s">
        <v>2994</v>
      </c>
      <c r="E1723" s="116">
        <v>2</v>
      </c>
      <c r="F1723" s="149" t="s">
        <v>138</v>
      </c>
      <c r="G1723" s="149" t="s">
        <v>135</v>
      </c>
      <c r="H1723" t="s">
        <v>39</v>
      </c>
      <c r="J1723" t="s">
        <v>626</v>
      </c>
      <c r="L1723" s="160"/>
      <c r="M1723" s="48"/>
      <c r="N1723" s="123"/>
    </row>
    <row r="1724" spans="1:14" customFormat="1" x14ac:dyDescent="0.55000000000000004">
      <c r="A1724" s="94" t="s">
        <v>626</v>
      </c>
      <c r="B1724" t="s">
        <v>625</v>
      </c>
      <c r="C1724" t="s">
        <v>127</v>
      </c>
      <c r="D1724" t="s">
        <v>2994</v>
      </c>
      <c r="E1724" s="116">
        <v>27.9</v>
      </c>
      <c r="F1724" s="149" t="s">
        <v>138</v>
      </c>
      <c r="G1724" s="149" t="s">
        <v>135</v>
      </c>
      <c r="H1724" t="s">
        <v>39</v>
      </c>
      <c r="J1724" t="s">
        <v>626</v>
      </c>
      <c r="L1724" s="160"/>
      <c r="M1724" s="48"/>
      <c r="N1724" s="123"/>
    </row>
    <row r="1725" spans="1:14" customFormat="1" x14ac:dyDescent="0.55000000000000004">
      <c r="A1725" s="94" t="s">
        <v>626</v>
      </c>
      <c r="B1725" t="s">
        <v>625</v>
      </c>
      <c r="C1725" t="s">
        <v>231</v>
      </c>
      <c r="D1725" t="s">
        <v>2994</v>
      </c>
      <c r="E1725" s="116">
        <v>18.41</v>
      </c>
      <c r="F1725" s="149" t="s">
        <v>138</v>
      </c>
      <c r="G1725" s="149" t="s">
        <v>135</v>
      </c>
      <c r="H1725" t="s">
        <v>39</v>
      </c>
      <c r="J1725" t="s">
        <v>626</v>
      </c>
      <c r="L1725" s="160"/>
      <c r="M1725" s="48"/>
      <c r="N1725" s="123"/>
    </row>
    <row r="1726" spans="1:14" customFormat="1" x14ac:dyDescent="0.55000000000000004">
      <c r="A1726" s="94" t="s">
        <v>626</v>
      </c>
      <c r="B1726" t="s">
        <v>160</v>
      </c>
      <c r="C1726" t="s">
        <v>247</v>
      </c>
      <c r="D1726" t="s">
        <v>3288</v>
      </c>
      <c r="E1726" s="116">
        <v>2045.07</v>
      </c>
      <c r="F1726" s="149" t="s">
        <v>122</v>
      </c>
      <c r="G1726" s="149" t="s">
        <v>135</v>
      </c>
      <c r="H1726" t="s">
        <v>39</v>
      </c>
      <c r="J1726" t="s">
        <v>626</v>
      </c>
      <c r="L1726" s="160"/>
      <c r="M1726" s="48"/>
      <c r="N1726" s="123"/>
    </row>
    <row r="1727" spans="1:14" customFormat="1" x14ac:dyDescent="0.55000000000000004">
      <c r="A1727" s="94" t="s">
        <v>623</v>
      </c>
      <c r="B1727" t="s">
        <v>598</v>
      </c>
      <c r="C1727" t="s">
        <v>121</v>
      </c>
      <c r="D1727" t="s">
        <v>3288</v>
      </c>
      <c r="E1727" s="116">
        <v>1</v>
      </c>
      <c r="F1727" s="149" t="s">
        <v>135</v>
      </c>
      <c r="G1727" s="149">
        <v>1</v>
      </c>
      <c r="H1727" t="s">
        <v>39</v>
      </c>
      <c r="J1727" t="s">
        <v>623</v>
      </c>
      <c r="L1727" s="160" t="s">
        <v>599</v>
      </c>
      <c r="M1727" s="48"/>
      <c r="N1727" s="123"/>
    </row>
    <row r="1728" spans="1:14" customFormat="1" x14ac:dyDescent="0.55000000000000004">
      <c r="A1728" s="94" t="s">
        <v>623</v>
      </c>
      <c r="B1728" t="s">
        <v>564</v>
      </c>
      <c r="C1728" t="s">
        <v>127</v>
      </c>
      <c r="D1728" t="s">
        <v>2994</v>
      </c>
      <c r="E1728" s="116">
        <v>0.9</v>
      </c>
      <c r="F1728" s="149" t="s">
        <v>138</v>
      </c>
      <c r="G1728" s="149" t="s">
        <v>135</v>
      </c>
      <c r="H1728" t="s">
        <v>39</v>
      </c>
      <c r="J1728" t="s">
        <v>623</v>
      </c>
      <c r="L1728" s="160"/>
      <c r="M1728" s="48"/>
      <c r="N1728" s="123"/>
    </row>
    <row r="1729" spans="1:14" customFormat="1" x14ac:dyDescent="0.55000000000000004">
      <c r="A1729" s="94" t="s">
        <v>623</v>
      </c>
      <c r="B1729" t="s">
        <v>625</v>
      </c>
      <c r="C1729" t="s">
        <v>127</v>
      </c>
      <c r="D1729" t="s">
        <v>2994</v>
      </c>
      <c r="E1729" s="116">
        <v>14.5</v>
      </c>
      <c r="F1729" s="149" t="s">
        <v>138</v>
      </c>
      <c r="G1729" s="149" t="s">
        <v>135</v>
      </c>
      <c r="H1729" t="s">
        <v>39</v>
      </c>
      <c r="J1729" t="s">
        <v>623</v>
      </c>
      <c r="L1729" s="160"/>
      <c r="M1729" s="48"/>
      <c r="N1729" s="123"/>
    </row>
    <row r="1730" spans="1:14" customFormat="1" x14ac:dyDescent="0.55000000000000004">
      <c r="A1730" s="94" t="s">
        <v>623</v>
      </c>
      <c r="B1730" t="s">
        <v>625</v>
      </c>
      <c r="C1730" t="s">
        <v>231</v>
      </c>
      <c r="D1730" t="s">
        <v>2994</v>
      </c>
      <c r="E1730" s="116">
        <v>80.8</v>
      </c>
      <c r="F1730" s="149" t="s">
        <v>138</v>
      </c>
      <c r="G1730" s="149" t="s">
        <v>135</v>
      </c>
      <c r="H1730" t="s">
        <v>39</v>
      </c>
      <c r="J1730" t="s">
        <v>623</v>
      </c>
      <c r="L1730" s="160"/>
      <c r="M1730" s="48"/>
      <c r="N1730" s="123"/>
    </row>
    <row r="1731" spans="1:14" customFormat="1" x14ac:dyDescent="0.55000000000000004">
      <c r="A1731" s="94" t="s">
        <v>623</v>
      </c>
      <c r="B1731" t="s">
        <v>188</v>
      </c>
      <c r="C1731" t="s">
        <v>156</v>
      </c>
      <c r="D1731" t="s">
        <v>2994</v>
      </c>
      <c r="E1731" s="116">
        <v>0.3</v>
      </c>
      <c r="F1731" s="149" t="s">
        <v>138</v>
      </c>
      <c r="G1731" s="149" t="s">
        <v>135</v>
      </c>
      <c r="H1731" t="s">
        <v>39</v>
      </c>
      <c r="J1731" t="s">
        <v>623</v>
      </c>
      <c r="L1731" s="160"/>
      <c r="M1731" s="48"/>
      <c r="N1731" s="123"/>
    </row>
    <row r="1732" spans="1:14" customFormat="1" x14ac:dyDescent="0.55000000000000004">
      <c r="A1732" s="94" t="s">
        <v>623</v>
      </c>
      <c r="B1732" t="s">
        <v>160</v>
      </c>
      <c r="C1732" t="s">
        <v>247</v>
      </c>
      <c r="D1732" t="s">
        <v>3288</v>
      </c>
      <c r="E1732" s="116">
        <v>1062.8499999999999</v>
      </c>
      <c r="F1732" s="149" t="s">
        <v>122</v>
      </c>
      <c r="G1732" s="149" t="s">
        <v>135</v>
      </c>
      <c r="H1732" t="s">
        <v>39</v>
      </c>
      <c r="J1732" t="s">
        <v>623</v>
      </c>
      <c r="L1732" s="160"/>
      <c r="M1732" s="48"/>
      <c r="N1732" s="123"/>
    </row>
    <row r="1733" spans="1:14" customFormat="1" x14ac:dyDescent="0.55000000000000004">
      <c r="A1733" s="94" t="s">
        <v>621</v>
      </c>
      <c r="B1733" t="s">
        <v>615</v>
      </c>
      <c r="C1733" t="s">
        <v>121</v>
      </c>
      <c r="D1733" t="s">
        <v>3288</v>
      </c>
      <c r="E1733" s="116">
        <v>1</v>
      </c>
      <c r="F1733" s="149" t="s">
        <v>135</v>
      </c>
      <c r="G1733" s="149">
        <v>1</v>
      </c>
      <c r="H1733" t="s">
        <v>39</v>
      </c>
      <c r="J1733" t="s">
        <v>621</v>
      </c>
      <c r="L1733" s="160">
        <v>281410</v>
      </c>
      <c r="M1733" s="48"/>
      <c r="N1733" s="123"/>
    </row>
    <row r="1734" spans="1:14" customFormat="1" x14ac:dyDescent="0.55000000000000004">
      <c r="A1734" s="94" t="s">
        <v>621</v>
      </c>
      <c r="B1734" t="s">
        <v>153</v>
      </c>
      <c r="C1734" t="s">
        <v>127</v>
      </c>
      <c r="D1734" t="s">
        <v>2994</v>
      </c>
      <c r="E1734" s="116">
        <v>0.3</v>
      </c>
      <c r="F1734" s="149" t="s">
        <v>138</v>
      </c>
      <c r="G1734" s="149" t="s">
        <v>135</v>
      </c>
      <c r="H1734" t="s">
        <v>39</v>
      </c>
      <c r="J1734" t="s">
        <v>621</v>
      </c>
      <c r="L1734" s="160"/>
      <c r="M1734" s="48"/>
      <c r="N1734" s="123"/>
    </row>
    <row r="1735" spans="1:14" customFormat="1" x14ac:dyDescent="0.55000000000000004">
      <c r="A1735" s="94" t="s">
        <v>621</v>
      </c>
      <c r="B1735" t="s">
        <v>171</v>
      </c>
      <c r="C1735" t="s">
        <v>127</v>
      </c>
      <c r="D1735" t="s">
        <v>2994</v>
      </c>
      <c r="E1735" s="116">
        <v>26.3</v>
      </c>
      <c r="F1735" s="149" t="s">
        <v>138</v>
      </c>
      <c r="G1735" s="149" t="s">
        <v>135</v>
      </c>
      <c r="H1735" t="s">
        <v>39</v>
      </c>
      <c r="J1735" t="s">
        <v>621</v>
      </c>
      <c r="L1735" s="160"/>
      <c r="M1735" s="48"/>
      <c r="N1735" s="123"/>
    </row>
    <row r="1736" spans="1:14" customFormat="1" x14ac:dyDescent="0.55000000000000004">
      <c r="A1736" s="94" t="s">
        <v>621</v>
      </c>
      <c r="B1736" t="s">
        <v>171</v>
      </c>
      <c r="C1736" t="s">
        <v>231</v>
      </c>
      <c r="D1736" t="s">
        <v>2994</v>
      </c>
      <c r="E1736" s="116">
        <v>19.48</v>
      </c>
      <c r="F1736" s="149" t="s">
        <v>138</v>
      </c>
      <c r="G1736" s="149" t="s">
        <v>135</v>
      </c>
      <c r="H1736" t="s">
        <v>39</v>
      </c>
      <c r="J1736" t="s">
        <v>621</v>
      </c>
      <c r="L1736" s="160"/>
      <c r="M1736" s="48"/>
      <c r="N1736" s="123"/>
    </row>
    <row r="1737" spans="1:14" customFormat="1" x14ac:dyDescent="0.55000000000000004">
      <c r="A1737" s="94" t="s">
        <v>621</v>
      </c>
      <c r="B1737" t="s">
        <v>160</v>
      </c>
      <c r="C1737" t="s">
        <v>247</v>
      </c>
      <c r="D1737" t="s">
        <v>3288</v>
      </c>
      <c r="E1737" s="116">
        <v>1474.6576516770069</v>
      </c>
      <c r="F1737" s="149" t="s">
        <v>122</v>
      </c>
      <c r="G1737" s="149" t="s">
        <v>135</v>
      </c>
      <c r="H1737" t="s">
        <v>39</v>
      </c>
      <c r="J1737" t="s">
        <v>621</v>
      </c>
      <c r="L1737" s="160"/>
      <c r="M1737" s="48"/>
      <c r="N1737" s="123"/>
    </row>
    <row r="1738" spans="1:14" customFormat="1" x14ac:dyDescent="0.55000000000000004">
      <c r="A1738" s="94" t="s">
        <v>621</v>
      </c>
      <c r="B1738" t="s">
        <v>188</v>
      </c>
      <c r="C1738" t="s">
        <v>156</v>
      </c>
      <c r="D1738" t="s">
        <v>2994</v>
      </c>
      <c r="E1738" s="116">
        <v>9.3000000000000007</v>
      </c>
      <c r="F1738" s="149" t="s">
        <v>138</v>
      </c>
      <c r="G1738" s="149" t="s">
        <v>135</v>
      </c>
      <c r="H1738" t="s">
        <v>39</v>
      </c>
      <c r="J1738" t="s">
        <v>621</v>
      </c>
      <c r="L1738" s="160"/>
      <c r="M1738" s="48"/>
      <c r="N1738" s="123"/>
    </row>
    <row r="1739" spans="1:14" customFormat="1" x14ac:dyDescent="0.55000000000000004">
      <c r="A1739" s="94" t="s">
        <v>621</v>
      </c>
      <c r="B1739" t="s">
        <v>160</v>
      </c>
      <c r="C1739" t="s">
        <v>156</v>
      </c>
      <c r="D1739" t="s">
        <v>3288</v>
      </c>
      <c r="E1739" s="116">
        <v>1327.89</v>
      </c>
      <c r="F1739" s="149" t="s">
        <v>122</v>
      </c>
      <c r="G1739" s="149" t="s">
        <v>135</v>
      </c>
      <c r="H1739" t="s">
        <v>39</v>
      </c>
      <c r="J1739" t="s">
        <v>621</v>
      </c>
      <c r="L1739" s="160"/>
      <c r="M1739" s="48"/>
      <c r="N1739" s="123"/>
    </row>
    <row r="1740" spans="1:14" customFormat="1" x14ac:dyDescent="0.55000000000000004">
      <c r="A1740" s="94" t="s">
        <v>620</v>
      </c>
      <c r="B1740" t="s">
        <v>469</v>
      </c>
      <c r="C1740" t="s">
        <v>121</v>
      </c>
      <c r="D1740" t="s">
        <v>3288</v>
      </c>
      <c r="E1740" s="116">
        <v>1</v>
      </c>
      <c r="F1740" s="149" t="s">
        <v>135</v>
      </c>
      <c r="G1740" s="149">
        <v>1</v>
      </c>
      <c r="H1740" t="s">
        <v>39</v>
      </c>
      <c r="J1740" t="s">
        <v>620</v>
      </c>
      <c r="L1740" s="160">
        <v>290513</v>
      </c>
      <c r="M1740" s="48"/>
      <c r="N1740" s="123"/>
    </row>
    <row r="1741" spans="1:14" customFormat="1" x14ac:dyDescent="0.55000000000000004">
      <c r="A1741" s="94" t="s">
        <v>620</v>
      </c>
      <c r="B1741" t="s">
        <v>564</v>
      </c>
      <c r="C1741" t="s">
        <v>127</v>
      </c>
      <c r="D1741" t="s">
        <v>2994</v>
      </c>
      <c r="E1741" s="116">
        <v>0.3</v>
      </c>
      <c r="F1741" s="149" t="s">
        <v>138</v>
      </c>
      <c r="G1741" s="149" t="s">
        <v>135</v>
      </c>
      <c r="H1741" t="s">
        <v>39</v>
      </c>
      <c r="J1741" t="s">
        <v>620</v>
      </c>
      <c r="L1741" s="160"/>
      <c r="M1741" s="48"/>
      <c r="N1741" s="123"/>
    </row>
    <row r="1742" spans="1:14" customFormat="1" x14ac:dyDescent="0.55000000000000004">
      <c r="A1742" s="94" t="s">
        <v>620</v>
      </c>
      <c r="B1742" t="s">
        <v>171</v>
      </c>
      <c r="C1742" t="s">
        <v>127</v>
      </c>
      <c r="D1742" t="s">
        <v>2994</v>
      </c>
      <c r="E1742" s="116">
        <v>15.7</v>
      </c>
      <c r="F1742" s="149" t="s">
        <v>138</v>
      </c>
      <c r="G1742" s="149" t="s">
        <v>135</v>
      </c>
      <c r="H1742" t="s">
        <v>39</v>
      </c>
      <c r="J1742" t="s">
        <v>620</v>
      </c>
      <c r="L1742" s="160"/>
      <c r="M1742" s="48"/>
      <c r="N1742" s="123"/>
    </row>
    <row r="1743" spans="1:14" customFormat="1" x14ac:dyDescent="0.55000000000000004">
      <c r="A1743" s="94" t="s">
        <v>620</v>
      </c>
      <c r="B1743" t="s">
        <v>171</v>
      </c>
      <c r="C1743" t="s">
        <v>231</v>
      </c>
      <c r="D1743" t="s">
        <v>2994</v>
      </c>
      <c r="E1743" s="116">
        <v>21.9</v>
      </c>
      <c r="F1743" s="149" t="s">
        <v>138</v>
      </c>
      <c r="G1743" s="149" t="s">
        <v>135</v>
      </c>
      <c r="H1743" t="s">
        <v>39</v>
      </c>
      <c r="J1743" t="s">
        <v>620</v>
      </c>
      <c r="L1743" s="160"/>
      <c r="M1743" s="48"/>
      <c r="N1743" s="123"/>
    </row>
    <row r="1744" spans="1:14" customFormat="1" x14ac:dyDescent="0.55000000000000004">
      <c r="A1744" s="94" t="s">
        <v>620</v>
      </c>
      <c r="B1744" t="s">
        <v>160</v>
      </c>
      <c r="C1744" t="s">
        <v>247</v>
      </c>
      <c r="D1744" t="s">
        <v>3288</v>
      </c>
      <c r="E1744" s="116">
        <v>880.30894035471533</v>
      </c>
      <c r="F1744" s="149" t="s">
        <v>122</v>
      </c>
      <c r="G1744" s="149" t="s">
        <v>135</v>
      </c>
      <c r="H1744" t="s">
        <v>39</v>
      </c>
      <c r="J1744" t="s">
        <v>620</v>
      </c>
      <c r="L1744" s="160"/>
      <c r="M1744" s="48"/>
      <c r="N1744" s="123"/>
    </row>
    <row r="1745" spans="1:14" customFormat="1" x14ac:dyDescent="0.55000000000000004">
      <c r="A1745" s="94" t="s">
        <v>614</v>
      </c>
      <c r="B1745" t="s">
        <v>615</v>
      </c>
      <c r="C1745" t="s">
        <v>121</v>
      </c>
      <c r="D1745" t="s">
        <v>3288</v>
      </c>
      <c r="E1745" s="116">
        <v>1</v>
      </c>
      <c r="F1745" s="149" t="s">
        <v>135</v>
      </c>
      <c r="G1745" s="149">
        <v>1</v>
      </c>
      <c r="H1745" t="s">
        <v>39</v>
      </c>
      <c r="J1745" t="s">
        <v>614</v>
      </c>
      <c r="L1745" s="160">
        <v>281410</v>
      </c>
      <c r="M1745" s="48"/>
      <c r="N1745" s="123"/>
    </row>
    <row r="1746" spans="1:14" customFormat="1" x14ac:dyDescent="0.55000000000000004">
      <c r="A1746" s="94" t="s">
        <v>614</v>
      </c>
      <c r="B1746" t="s">
        <v>153</v>
      </c>
      <c r="C1746" t="s">
        <v>127</v>
      </c>
      <c r="D1746" t="s">
        <v>2994</v>
      </c>
      <c r="E1746" s="116">
        <v>0.3</v>
      </c>
      <c r="F1746" s="149" t="s">
        <v>138</v>
      </c>
      <c r="G1746" s="149" t="s">
        <v>135</v>
      </c>
      <c r="H1746" t="s">
        <v>39</v>
      </c>
      <c r="J1746" t="s">
        <v>614</v>
      </c>
      <c r="L1746" s="160"/>
      <c r="M1746" s="48"/>
      <c r="N1746" s="123"/>
    </row>
    <row r="1747" spans="1:14" customFormat="1" x14ac:dyDescent="0.55000000000000004">
      <c r="A1747" s="94" t="s">
        <v>614</v>
      </c>
      <c r="B1747" t="s">
        <v>171</v>
      </c>
      <c r="C1747" t="s">
        <v>127</v>
      </c>
      <c r="D1747" t="s">
        <v>2994</v>
      </c>
      <c r="E1747" s="116">
        <v>26.3</v>
      </c>
      <c r="F1747" s="149" t="s">
        <v>138</v>
      </c>
      <c r="G1747" s="149" t="s">
        <v>135</v>
      </c>
      <c r="H1747" t="s">
        <v>39</v>
      </c>
      <c r="J1747" t="s">
        <v>614</v>
      </c>
      <c r="L1747" s="160"/>
      <c r="M1747" s="48"/>
      <c r="N1747" s="123"/>
    </row>
    <row r="1748" spans="1:14" customFormat="1" x14ac:dyDescent="0.55000000000000004">
      <c r="A1748" s="94" t="s">
        <v>614</v>
      </c>
      <c r="B1748" t="s">
        <v>171</v>
      </c>
      <c r="C1748" t="s">
        <v>231</v>
      </c>
      <c r="D1748" t="s">
        <v>2994</v>
      </c>
      <c r="E1748" s="116">
        <v>19.48</v>
      </c>
      <c r="F1748" s="149" t="s">
        <v>138</v>
      </c>
      <c r="G1748" s="149" t="s">
        <v>135</v>
      </c>
      <c r="H1748" t="s">
        <v>39</v>
      </c>
      <c r="J1748" t="s">
        <v>614</v>
      </c>
      <c r="L1748" s="160"/>
      <c r="M1748" s="48"/>
      <c r="N1748" s="123"/>
    </row>
    <row r="1749" spans="1:14" customFormat="1" x14ac:dyDescent="0.55000000000000004">
      <c r="A1749" s="94" t="s">
        <v>614</v>
      </c>
      <c r="B1749" t="s">
        <v>160</v>
      </c>
      <c r="C1749" t="s">
        <v>247</v>
      </c>
      <c r="D1749" t="s">
        <v>3288</v>
      </c>
      <c r="E1749" s="116">
        <v>1474.6576516770074</v>
      </c>
      <c r="F1749" s="149" t="s">
        <v>122</v>
      </c>
      <c r="G1749" s="149" t="s">
        <v>135</v>
      </c>
      <c r="H1749" t="s">
        <v>39</v>
      </c>
      <c r="J1749" t="s">
        <v>614</v>
      </c>
      <c r="L1749" s="160"/>
      <c r="M1749" s="48"/>
      <c r="N1749" s="123"/>
    </row>
    <row r="1750" spans="1:14" customFormat="1" x14ac:dyDescent="0.55000000000000004">
      <c r="A1750" s="93" t="s">
        <v>609</v>
      </c>
      <c r="B1750" t="s">
        <v>610</v>
      </c>
      <c r="C1750" t="s">
        <v>121</v>
      </c>
      <c r="D1750" t="s">
        <v>3288</v>
      </c>
      <c r="E1750" s="116">
        <v>1</v>
      </c>
      <c r="F1750" s="149" t="s">
        <v>135</v>
      </c>
      <c r="G1750" s="149">
        <v>1</v>
      </c>
      <c r="H1750" t="s">
        <v>39</v>
      </c>
      <c r="J1750" t="s">
        <v>611</v>
      </c>
      <c r="L1750" s="160">
        <v>2615</v>
      </c>
      <c r="M1750" s="48"/>
      <c r="N1750" s="123"/>
    </row>
    <row r="1751" spans="1:14" customFormat="1" x14ac:dyDescent="0.55000000000000004">
      <c r="A1751" s="93" t="s">
        <v>609</v>
      </c>
      <c r="B1751" t="s">
        <v>230</v>
      </c>
      <c r="C1751" t="s">
        <v>127</v>
      </c>
      <c r="D1751" t="s">
        <v>2994</v>
      </c>
      <c r="E1751" s="116">
        <v>0.16</v>
      </c>
      <c r="F1751" s="149" t="s">
        <v>138</v>
      </c>
      <c r="G1751" s="149" t="s">
        <v>135</v>
      </c>
      <c r="H1751" t="s">
        <v>39</v>
      </c>
      <c r="J1751" t="s">
        <v>611</v>
      </c>
      <c r="L1751" s="160"/>
      <c r="M1751" s="48"/>
      <c r="N1751" s="123"/>
    </row>
    <row r="1752" spans="1:14" customFormat="1" x14ac:dyDescent="0.55000000000000004">
      <c r="A1752" s="93" t="s">
        <v>609</v>
      </c>
      <c r="B1752" t="s">
        <v>262</v>
      </c>
      <c r="C1752" t="s">
        <v>127</v>
      </c>
      <c r="D1752" t="s">
        <v>2994</v>
      </c>
      <c r="E1752" s="116">
        <v>2.14</v>
      </c>
      <c r="F1752" s="149" t="s">
        <v>138</v>
      </c>
      <c r="G1752" s="149" t="s">
        <v>135</v>
      </c>
      <c r="H1752" t="s">
        <v>39</v>
      </c>
      <c r="J1752" t="s">
        <v>611</v>
      </c>
      <c r="L1752" s="160"/>
      <c r="M1752" s="48"/>
      <c r="N1752" s="123"/>
    </row>
    <row r="1753" spans="1:14" customFormat="1" x14ac:dyDescent="0.55000000000000004">
      <c r="A1753" s="93" t="s">
        <v>609</v>
      </c>
      <c r="B1753" t="s">
        <v>293</v>
      </c>
      <c r="C1753" t="s">
        <v>127</v>
      </c>
      <c r="D1753" t="s">
        <v>2994</v>
      </c>
      <c r="E1753" s="116">
        <v>1.02</v>
      </c>
      <c r="F1753" s="149" t="s">
        <v>138</v>
      </c>
      <c r="G1753" s="149" t="s">
        <v>135</v>
      </c>
      <c r="H1753" t="s">
        <v>39</v>
      </c>
      <c r="J1753" t="s">
        <v>611</v>
      </c>
      <c r="L1753" s="160"/>
      <c r="M1753" s="48"/>
      <c r="N1753" s="123"/>
    </row>
    <row r="1754" spans="1:14" customFormat="1" x14ac:dyDescent="0.55000000000000004">
      <c r="A1754" s="93" t="s">
        <v>609</v>
      </c>
      <c r="B1754" t="s">
        <v>153</v>
      </c>
      <c r="C1754" t="s">
        <v>127</v>
      </c>
      <c r="D1754" t="s">
        <v>2994</v>
      </c>
      <c r="E1754" s="116">
        <v>12.4</v>
      </c>
      <c r="F1754" s="149" t="s">
        <v>138</v>
      </c>
      <c r="G1754" s="149" t="s">
        <v>135</v>
      </c>
      <c r="H1754" t="s">
        <v>39</v>
      </c>
      <c r="J1754" t="s">
        <v>611</v>
      </c>
      <c r="L1754" s="160"/>
      <c r="M1754" s="48"/>
      <c r="N1754" s="123"/>
    </row>
    <row r="1755" spans="1:14" customFormat="1" x14ac:dyDescent="0.55000000000000004">
      <c r="A1755" s="93" t="s">
        <v>609</v>
      </c>
      <c r="B1755" t="s">
        <v>575</v>
      </c>
      <c r="C1755" t="s">
        <v>127</v>
      </c>
      <c r="D1755" t="s">
        <v>2994</v>
      </c>
      <c r="E1755" s="116">
        <v>1.55</v>
      </c>
      <c r="F1755" s="149" t="s">
        <v>138</v>
      </c>
      <c r="G1755" s="149" t="s">
        <v>135</v>
      </c>
      <c r="H1755" t="s">
        <v>39</v>
      </c>
      <c r="J1755" t="s">
        <v>611</v>
      </c>
      <c r="L1755" s="160"/>
      <c r="M1755" s="48"/>
      <c r="N1755" s="123"/>
    </row>
    <row r="1756" spans="1:14" customFormat="1" x14ac:dyDescent="0.55000000000000004">
      <c r="A1756" s="95" t="s">
        <v>605</v>
      </c>
      <c r="B1756" t="s">
        <v>606</v>
      </c>
      <c r="C1756" t="s">
        <v>121</v>
      </c>
      <c r="D1756" t="s">
        <v>3288</v>
      </c>
      <c r="E1756" s="116">
        <v>1</v>
      </c>
      <c r="F1756" s="149" t="s">
        <v>135</v>
      </c>
      <c r="G1756" s="149">
        <v>1</v>
      </c>
      <c r="H1756" t="s">
        <v>39</v>
      </c>
      <c r="J1756" t="s">
        <v>605</v>
      </c>
      <c r="L1756" s="160">
        <v>4704</v>
      </c>
      <c r="M1756" s="48"/>
      <c r="N1756" s="123"/>
    </row>
    <row r="1757" spans="1:14" customFormat="1" x14ac:dyDescent="0.55000000000000004">
      <c r="A1757" s="95" t="s">
        <v>605</v>
      </c>
      <c r="B1757" t="s">
        <v>393</v>
      </c>
      <c r="C1757" t="s">
        <v>125</v>
      </c>
      <c r="D1757" t="s">
        <v>3288</v>
      </c>
      <c r="E1757" s="116">
        <v>0.57999999999999996</v>
      </c>
      <c r="F1757" s="149" t="s">
        <v>135</v>
      </c>
      <c r="G1757" s="149" t="s">
        <v>135</v>
      </c>
      <c r="H1757" t="s">
        <v>39</v>
      </c>
      <c r="J1757" t="s">
        <v>605</v>
      </c>
      <c r="L1757" s="160"/>
      <c r="M1757" s="48"/>
      <c r="N1757" s="123"/>
    </row>
    <row r="1758" spans="1:14" customFormat="1" x14ac:dyDescent="0.55000000000000004">
      <c r="A1758" s="95" t="s">
        <v>605</v>
      </c>
      <c r="B1758" t="s">
        <v>564</v>
      </c>
      <c r="C1758" t="s">
        <v>127</v>
      </c>
      <c r="D1758" t="s">
        <v>2994</v>
      </c>
      <c r="E1758" s="116">
        <v>2.48</v>
      </c>
      <c r="F1758" s="149" t="s">
        <v>138</v>
      </c>
      <c r="G1758" s="149" t="s">
        <v>135</v>
      </c>
      <c r="H1758" t="s">
        <v>39</v>
      </c>
      <c r="J1758" t="s">
        <v>605</v>
      </c>
      <c r="L1758" s="160"/>
      <c r="M1758" s="48"/>
      <c r="N1758" s="123"/>
    </row>
    <row r="1759" spans="1:14" customFormat="1" x14ac:dyDescent="0.55000000000000004">
      <c r="A1759" s="95" t="s">
        <v>605</v>
      </c>
      <c r="B1759" t="s">
        <v>188</v>
      </c>
      <c r="C1759" t="s">
        <v>127</v>
      </c>
      <c r="D1759" t="s">
        <v>2994</v>
      </c>
      <c r="E1759" s="116">
        <v>4.13</v>
      </c>
      <c r="F1759" s="149" t="s">
        <v>138</v>
      </c>
      <c r="G1759" s="149" t="s">
        <v>135</v>
      </c>
      <c r="H1759" t="s">
        <v>39</v>
      </c>
      <c r="J1759" t="s">
        <v>605</v>
      </c>
      <c r="L1759" s="160"/>
      <c r="M1759" s="48"/>
      <c r="N1759" s="123"/>
    </row>
    <row r="1760" spans="1:14" customFormat="1" x14ac:dyDescent="0.55000000000000004">
      <c r="A1760" s="54" t="s">
        <v>602</v>
      </c>
      <c r="B1760" t="s">
        <v>603</v>
      </c>
      <c r="C1760" t="s">
        <v>121</v>
      </c>
      <c r="D1760" t="s">
        <v>3288</v>
      </c>
      <c r="E1760" s="116">
        <v>1</v>
      </c>
      <c r="F1760" s="149" t="s">
        <v>135</v>
      </c>
      <c r="G1760" s="149">
        <v>1</v>
      </c>
      <c r="H1760" t="s">
        <v>39</v>
      </c>
      <c r="J1760" t="s">
        <v>602</v>
      </c>
      <c r="L1760" s="160">
        <v>2522</v>
      </c>
      <c r="M1760" s="48"/>
      <c r="N1760" s="123"/>
    </row>
    <row r="1761" spans="1:14" customFormat="1" x14ac:dyDescent="0.55000000000000004">
      <c r="A1761" s="54" t="s">
        <v>602</v>
      </c>
      <c r="B1761" t="s">
        <v>230</v>
      </c>
      <c r="C1761" t="s">
        <v>127</v>
      </c>
      <c r="D1761" t="s">
        <v>2994</v>
      </c>
      <c r="E1761" s="116">
        <v>0.22</v>
      </c>
      <c r="F1761" s="149" t="s">
        <v>138</v>
      </c>
      <c r="G1761" s="149" t="s">
        <v>135</v>
      </c>
      <c r="H1761" t="s">
        <v>39</v>
      </c>
      <c r="J1761" t="s">
        <v>602</v>
      </c>
      <c r="L1761" s="160"/>
      <c r="M1761" s="48"/>
      <c r="N1761" s="123"/>
    </row>
    <row r="1762" spans="1:14" customFormat="1" x14ac:dyDescent="0.55000000000000004">
      <c r="A1762" s="54" t="s">
        <v>602</v>
      </c>
      <c r="B1762" t="s">
        <v>262</v>
      </c>
      <c r="C1762" t="s">
        <v>127</v>
      </c>
      <c r="D1762" t="s">
        <v>2994</v>
      </c>
      <c r="E1762" s="116">
        <v>0.74</v>
      </c>
      <c r="F1762" s="149" t="s">
        <v>138</v>
      </c>
      <c r="G1762" s="149" t="s">
        <v>135</v>
      </c>
      <c r="H1762" t="s">
        <v>39</v>
      </c>
      <c r="J1762" t="s">
        <v>602</v>
      </c>
      <c r="L1762" s="160"/>
      <c r="M1762" s="48"/>
      <c r="N1762" s="123"/>
    </row>
    <row r="1763" spans="1:14" customFormat="1" x14ac:dyDescent="0.55000000000000004">
      <c r="A1763" s="54" t="s">
        <v>602</v>
      </c>
      <c r="B1763" t="s">
        <v>153</v>
      </c>
      <c r="C1763" t="s">
        <v>127</v>
      </c>
      <c r="D1763" t="s">
        <v>2994</v>
      </c>
      <c r="E1763" s="116">
        <v>0.08</v>
      </c>
      <c r="F1763" s="149" t="s">
        <v>138</v>
      </c>
      <c r="G1763" s="149" t="s">
        <v>135</v>
      </c>
      <c r="H1763" t="s">
        <v>39</v>
      </c>
      <c r="J1763" t="s">
        <v>602</v>
      </c>
      <c r="L1763" s="160"/>
      <c r="M1763" s="48"/>
      <c r="N1763" s="123"/>
    </row>
    <row r="1764" spans="1:14" customFormat="1" x14ac:dyDescent="0.55000000000000004">
      <c r="A1764" s="54" t="s">
        <v>602</v>
      </c>
      <c r="B1764" t="s">
        <v>445</v>
      </c>
      <c r="C1764" t="s">
        <v>127</v>
      </c>
      <c r="D1764" t="s">
        <v>2994</v>
      </c>
      <c r="E1764" s="116">
        <v>0.37</v>
      </c>
      <c r="F1764" s="149" t="s">
        <v>138</v>
      </c>
      <c r="G1764" s="149" t="s">
        <v>135</v>
      </c>
      <c r="H1764" t="s">
        <v>39</v>
      </c>
      <c r="J1764" t="s">
        <v>602</v>
      </c>
      <c r="L1764" s="160"/>
      <c r="M1764" s="48"/>
      <c r="N1764" s="123"/>
    </row>
    <row r="1765" spans="1:14" customFormat="1" x14ac:dyDescent="0.55000000000000004">
      <c r="A1765" s="54" t="s">
        <v>602</v>
      </c>
      <c r="B1765" t="s">
        <v>171</v>
      </c>
      <c r="C1765" t="s">
        <v>127</v>
      </c>
      <c r="D1765" t="s">
        <v>2994</v>
      </c>
      <c r="E1765" s="116">
        <v>2.37</v>
      </c>
      <c r="F1765" s="149" t="s">
        <v>138</v>
      </c>
      <c r="G1765" s="149" t="s">
        <v>135</v>
      </c>
      <c r="H1765" t="s">
        <v>39</v>
      </c>
      <c r="J1765" t="s">
        <v>602</v>
      </c>
      <c r="L1765" s="160"/>
      <c r="M1765" s="48"/>
      <c r="N1765" s="123"/>
    </row>
    <row r="1766" spans="1:14" customFormat="1" x14ac:dyDescent="0.55000000000000004">
      <c r="A1766" s="54" t="s">
        <v>602</v>
      </c>
      <c r="B1766" t="s">
        <v>160</v>
      </c>
      <c r="C1766" t="s">
        <v>247</v>
      </c>
      <c r="D1766" t="s">
        <v>3288</v>
      </c>
      <c r="E1766" s="116">
        <v>235.5214448238745</v>
      </c>
      <c r="F1766" s="149" t="s">
        <v>122</v>
      </c>
      <c r="G1766" s="149" t="s">
        <v>135</v>
      </c>
      <c r="H1766" t="s">
        <v>39</v>
      </c>
      <c r="J1766" t="s">
        <v>602</v>
      </c>
      <c r="L1766" s="160"/>
      <c r="M1766" s="48"/>
      <c r="N1766" s="123"/>
    </row>
    <row r="1767" spans="1:14" customFormat="1" x14ac:dyDescent="0.55000000000000004">
      <c r="A1767" s="94" t="s">
        <v>597</v>
      </c>
      <c r="B1767" t="s">
        <v>598</v>
      </c>
      <c r="C1767" t="s">
        <v>121</v>
      </c>
      <c r="D1767" t="s">
        <v>3288</v>
      </c>
      <c r="E1767" s="116">
        <v>1</v>
      </c>
      <c r="F1767" s="149" t="s">
        <v>135</v>
      </c>
      <c r="G1767" s="149">
        <v>1</v>
      </c>
      <c r="H1767" t="s">
        <v>39</v>
      </c>
      <c r="J1767" t="s">
        <v>597</v>
      </c>
      <c r="L1767" s="160" t="s">
        <v>599</v>
      </c>
      <c r="M1767" s="48"/>
      <c r="N1767" s="123"/>
    </row>
    <row r="1768" spans="1:14" customFormat="1" x14ac:dyDescent="0.55000000000000004">
      <c r="A1768" s="94" t="s">
        <v>597</v>
      </c>
      <c r="B1768" t="s">
        <v>217</v>
      </c>
      <c r="C1768" t="s">
        <v>127</v>
      </c>
      <c r="D1768" t="s">
        <v>2994</v>
      </c>
      <c r="E1768" s="116">
        <v>10.7</v>
      </c>
      <c r="F1768" s="149" t="s">
        <v>138</v>
      </c>
      <c r="G1768" s="149" t="s">
        <v>135</v>
      </c>
      <c r="H1768" t="s">
        <v>39</v>
      </c>
      <c r="J1768" t="s">
        <v>597</v>
      </c>
      <c r="L1768" s="160"/>
      <c r="M1768" s="48"/>
      <c r="N1768" s="123"/>
    </row>
    <row r="1769" spans="1:14" customFormat="1" x14ac:dyDescent="0.55000000000000004">
      <c r="A1769" s="94" t="s">
        <v>597</v>
      </c>
      <c r="B1769" t="s">
        <v>564</v>
      </c>
      <c r="C1769" t="s">
        <v>127</v>
      </c>
      <c r="D1769" t="s">
        <v>2994</v>
      </c>
      <c r="E1769" s="116">
        <v>0.1</v>
      </c>
      <c r="F1769" s="149" t="s">
        <v>138</v>
      </c>
      <c r="G1769" s="149" t="s">
        <v>135</v>
      </c>
      <c r="H1769" t="s">
        <v>39</v>
      </c>
      <c r="J1769" t="s">
        <v>597</v>
      </c>
      <c r="L1769" s="160"/>
      <c r="M1769" s="48"/>
      <c r="N1769" s="123"/>
    </row>
    <row r="1770" spans="1:14" customFormat="1" x14ac:dyDescent="0.55000000000000004">
      <c r="A1770" s="94" t="s">
        <v>597</v>
      </c>
      <c r="B1770" t="s">
        <v>188</v>
      </c>
      <c r="C1770" t="s">
        <v>127</v>
      </c>
      <c r="D1770" t="s">
        <v>2994</v>
      </c>
      <c r="E1770" s="116">
        <v>2.7</v>
      </c>
      <c r="F1770" s="149" t="s">
        <v>138</v>
      </c>
      <c r="G1770" s="149" t="s">
        <v>135</v>
      </c>
      <c r="H1770" t="s">
        <v>39</v>
      </c>
      <c r="J1770" t="s">
        <v>597</v>
      </c>
      <c r="L1770" s="160"/>
      <c r="M1770" s="48"/>
      <c r="N1770" s="123"/>
    </row>
    <row r="1771" spans="1:14" customFormat="1" x14ac:dyDescent="0.55000000000000004">
      <c r="A1771" s="94" t="s">
        <v>597</v>
      </c>
      <c r="B1771" t="s">
        <v>217</v>
      </c>
      <c r="C1771" t="s">
        <v>231</v>
      </c>
      <c r="D1771" t="s">
        <v>2994</v>
      </c>
      <c r="E1771" s="116">
        <v>55.9</v>
      </c>
      <c r="F1771" s="149" t="s">
        <v>138</v>
      </c>
      <c r="G1771" s="149" t="s">
        <v>135</v>
      </c>
      <c r="H1771" t="s">
        <v>39</v>
      </c>
      <c r="J1771" t="s">
        <v>597</v>
      </c>
      <c r="L1771" s="160"/>
      <c r="M1771" s="48"/>
      <c r="N1771" s="123"/>
    </row>
    <row r="1772" spans="1:14" customFormat="1" x14ac:dyDescent="0.55000000000000004">
      <c r="A1772" s="94" t="s">
        <v>597</v>
      </c>
      <c r="B1772" t="s">
        <v>188</v>
      </c>
      <c r="C1772" t="s">
        <v>156</v>
      </c>
      <c r="D1772" t="s">
        <v>2994</v>
      </c>
      <c r="E1772" s="116">
        <v>0.1</v>
      </c>
      <c r="F1772" s="149" t="s">
        <v>138</v>
      </c>
      <c r="G1772" s="149" t="s">
        <v>135</v>
      </c>
      <c r="H1772" t="s">
        <v>39</v>
      </c>
      <c r="J1772" t="s">
        <v>597</v>
      </c>
      <c r="L1772" s="160"/>
      <c r="M1772" s="48"/>
      <c r="N1772" s="123"/>
    </row>
    <row r="1773" spans="1:14" customFormat="1" x14ac:dyDescent="0.55000000000000004">
      <c r="A1773" s="94" t="s">
        <v>597</v>
      </c>
      <c r="B1773" t="s">
        <v>160</v>
      </c>
      <c r="C1773" t="s">
        <v>247</v>
      </c>
      <c r="D1773" t="s">
        <v>3288</v>
      </c>
      <c r="E1773" s="116">
        <v>675.17</v>
      </c>
      <c r="F1773" s="149" t="s">
        <v>122</v>
      </c>
      <c r="G1773" s="149" t="s">
        <v>135</v>
      </c>
      <c r="H1773" t="s">
        <v>39</v>
      </c>
      <c r="J1773" t="s">
        <v>597</v>
      </c>
      <c r="L1773" s="160"/>
      <c r="M1773" s="48"/>
      <c r="N1773" s="123"/>
    </row>
    <row r="1774" spans="1:14" customFormat="1" x14ac:dyDescent="0.55000000000000004">
      <c r="A1774" s="95" t="s">
        <v>595</v>
      </c>
      <c r="B1774" t="s">
        <v>596</v>
      </c>
      <c r="C1774" t="s">
        <v>121</v>
      </c>
      <c r="D1774" t="s">
        <v>3288</v>
      </c>
      <c r="E1774" s="116">
        <v>1</v>
      </c>
      <c r="F1774" s="149" t="s">
        <v>135</v>
      </c>
      <c r="G1774" s="149">
        <v>1</v>
      </c>
      <c r="H1774" t="s">
        <v>39</v>
      </c>
      <c r="J1774" t="s">
        <v>595</v>
      </c>
      <c r="L1774" s="160">
        <v>4707</v>
      </c>
      <c r="M1774" s="48"/>
      <c r="N1774" s="123"/>
    </row>
    <row r="1775" spans="1:14" customFormat="1" x14ac:dyDescent="0.55000000000000004">
      <c r="A1775" s="95" t="s">
        <v>595</v>
      </c>
      <c r="B1775" t="s">
        <v>564</v>
      </c>
      <c r="C1775" t="s">
        <v>127</v>
      </c>
      <c r="D1775" t="s">
        <v>2994</v>
      </c>
      <c r="E1775" s="116">
        <v>0.5</v>
      </c>
      <c r="F1775" s="149" t="s">
        <v>138</v>
      </c>
      <c r="G1775" s="149" t="s">
        <v>135</v>
      </c>
      <c r="H1775" t="s">
        <v>39</v>
      </c>
      <c r="J1775" t="s">
        <v>595</v>
      </c>
      <c r="L1775" s="160"/>
      <c r="M1775" s="48"/>
      <c r="N1775" s="123"/>
    </row>
    <row r="1776" spans="1:14" customFormat="1" x14ac:dyDescent="0.55000000000000004">
      <c r="A1776" s="95" t="s">
        <v>595</v>
      </c>
      <c r="B1776" t="s">
        <v>188</v>
      </c>
      <c r="C1776" t="s">
        <v>127</v>
      </c>
      <c r="D1776" t="s">
        <v>2994</v>
      </c>
      <c r="E1776" s="116">
        <v>0.8</v>
      </c>
      <c r="F1776" s="149" t="s">
        <v>138</v>
      </c>
      <c r="G1776" s="149" t="s">
        <v>135</v>
      </c>
      <c r="H1776" t="s">
        <v>39</v>
      </c>
      <c r="J1776" t="s">
        <v>595</v>
      </c>
      <c r="L1776" s="160"/>
      <c r="M1776" s="48"/>
      <c r="N1776" s="123"/>
    </row>
    <row r="1777" spans="1:14" customFormat="1" x14ac:dyDescent="0.55000000000000004">
      <c r="A1777" s="93" t="s">
        <v>591</v>
      </c>
      <c r="B1777" t="s">
        <v>592</v>
      </c>
      <c r="C1777" t="s">
        <v>121</v>
      </c>
      <c r="D1777" t="s">
        <v>3288</v>
      </c>
      <c r="E1777" s="116">
        <v>1</v>
      </c>
      <c r="F1777" s="149" t="s">
        <v>135</v>
      </c>
      <c r="G1777" s="149">
        <v>1</v>
      </c>
      <c r="H1777" t="s">
        <v>39</v>
      </c>
      <c r="J1777" t="s">
        <v>591</v>
      </c>
      <c r="L1777" s="160">
        <v>7601</v>
      </c>
      <c r="M1777" s="48"/>
      <c r="N1777" s="123"/>
    </row>
    <row r="1778" spans="1:14" customFormat="1" x14ac:dyDescent="0.55000000000000004">
      <c r="A1778" s="93" t="s">
        <v>591</v>
      </c>
      <c r="B1778" t="s">
        <v>153</v>
      </c>
      <c r="C1778" t="s">
        <v>127</v>
      </c>
      <c r="D1778" t="s">
        <v>2994</v>
      </c>
      <c r="E1778" s="116">
        <v>0.46</v>
      </c>
      <c r="F1778" s="149" t="s">
        <v>138</v>
      </c>
      <c r="G1778" s="149" t="s">
        <v>135</v>
      </c>
      <c r="H1778" t="s">
        <v>39</v>
      </c>
      <c r="J1778" t="s">
        <v>591</v>
      </c>
      <c r="L1778" s="160"/>
      <c r="M1778" s="48"/>
      <c r="N1778" s="123"/>
    </row>
    <row r="1779" spans="1:14" customFormat="1" x14ac:dyDescent="0.55000000000000004">
      <c r="A1779" s="93" t="s">
        <v>591</v>
      </c>
      <c r="B1779" t="s">
        <v>445</v>
      </c>
      <c r="C1779" t="s">
        <v>127</v>
      </c>
      <c r="D1779" t="s">
        <v>2994</v>
      </c>
      <c r="E1779" s="116">
        <v>0.14000000000000001</v>
      </c>
      <c r="F1779" s="149" t="s">
        <v>138</v>
      </c>
      <c r="G1779" s="149" t="s">
        <v>135</v>
      </c>
      <c r="H1779" t="s">
        <v>39</v>
      </c>
      <c r="J1779" t="s">
        <v>591</v>
      </c>
      <c r="L1779" s="160"/>
      <c r="M1779" s="48"/>
      <c r="N1779" s="123"/>
    </row>
    <row r="1780" spans="1:14" customFormat="1" x14ac:dyDescent="0.55000000000000004">
      <c r="A1780" s="93" t="s">
        <v>591</v>
      </c>
      <c r="B1780" t="s">
        <v>171</v>
      </c>
      <c r="C1780" t="s">
        <v>127</v>
      </c>
      <c r="D1780" t="s">
        <v>2994</v>
      </c>
      <c r="E1780" s="116">
        <v>3.7</v>
      </c>
      <c r="F1780" s="149" t="s">
        <v>138</v>
      </c>
      <c r="G1780" s="149" t="s">
        <v>135</v>
      </c>
      <c r="H1780" t="s">
        <v>39</v>
      </c>
      <c r="J1780" t="s">
        <v>591</v>
      </c>
      <c r="L1780" s="160"/>
      <c r="M1780" s="48"/>
      <c r="N1780" s="123"/>
    </row>
    <row r="1781" spans="1:14" customFormat="1" x14ac:dyDescent="0.55000000000000004">
      <c r="A1781" s="93" t="s">
        <v>591</v>
      </c>
      <c r="B1781" t="s">
        <v>160</v>
      </c>
      <c r="C1781" t="s">
        <v>247</v>
      </c>
      <c r="D1781" t="s">
        <v>3288</v>
      </c>
      <c r="E1781" s="116">
        <v>218.2534895836196</v>
      </c>
      <c r="F1781" s="149" t="s">
        <v>122</v>
      </c>
      <c r="G1781" s="149" t="s">
        <v>135</v>
      </c>
      <c r="H1781" t="s">
        <v>39</v>
      </c>
      <c r="J1781" t="s">
        <v>591</v>
      </c>
      <c r="L1781" s="160"/>
      <c r="M1781" s="48"/>
      <c r="N1781" s="123"/>
    </row>
    <row r="1782" spans="1:14" customFormat="1" x14ac:dyDescent="0.55000000000000004">
      <c r="A1782" s="95" t="s">
        <v>589</v>
      </c>
      <c r="B1782" t="s">
        <v>590</v>
      </c>
      <c r="C1782" t="s">
        <v>121</v>
      </c>
      <c r="D1782" t="s">
        <v>3288</v>
      </c>
      <c r="E1782" s="116">
        <v>1</v>
      </c>
      <c r="F1782" s="149" t="s">
        <v>135</v>
      </c>
      <c r="G1782" s="149">
        <v>1</v>
      </c>
      <c r="H1782" t="s">
        <v>39</v>
      </c>
      <c r="J1782" t="s">
        <v>589</v>
      </c>
      <c r="L1782" s="160">
        <v>4706</v>
      </c>
      <c r="M1782" s="48"/>
      <c r="N1782" s="123"/>
    </row>
    <row r="1783" spans="1:14" customFormat="1" x14ac:dyDescent="0.55000000000000004">
      <c r="A1783" s="95" t="s">
        <v>589</v>
      </c>
      <c r="B1783" t="s">
        <v>230</v>
      </c>
      <c r="C1783" t="s">
        <v>231</v>
      </c>
      <c r="D1783" t="s">
        <v>3288</v>
      </c>
      <c r="E1783" s="116">
        <v>1.3</v>
      </c>
      <c r="F1783" s="149" t="s">
        <v>135</v>
      </c>
      <c r="G1783" s="149" t="s">
        <v>135</v>
      </c>
      <c r="H1783" t="s">
        <v>39</v>
      </c>
      <c r="J1783" t="s">
        <v>589</v>
      </c>
      <c r="L1783" s="160"/>
      <c r="M1783" s="48"/>
      <c r="N1783" s="123"/>
    </row>
    <row r="1784" spans="1:14" customFormat="1" x14ac:dyDescent="0.55000000000000004">
      <c r="A1784" s="95" t="s">
        <v>589</v>
      </c>
      <c r="B1784" t="s">
        <v>564</v>
      </c>
      <c r="C1784" t="s">
        <v>127</v>
      </c>
      <c r="D1784" t="s">
        <v>2994</v>
      </c>
      <c r="E1784" s="116">
        <v>1.56</v>
      </c>
      <c r="F1784" s="149" t="s">
        <v>138</v>
      </c>
      <c r="G1784" s="149" t="s">
        <v>135</v>
      </c>
      <c r="H1784" t="s">
        <v>39</v>
      </c>
      <c r="J1784" t="s">
        <v>589</v>
      </c>
      <c r="L1784" s="160"/>
      <c r="M1784" s="48"/>
      <c r="N1784" s="123"/>
    </row>
    <row r="1785" spans="1:14" customFormat="1" x14ac:dyDescent="0.55000000000000004">
      <c r="A1785" s="95" t="s">
        <v>589</v>
      </c>
      <c r="B1785" t="s">
        <v>188</v>
      </c>
      <c r="C1785" t="s">
        <v>127</v>
      </c>
      <c r="D1785" t="s">
        <v>2994</v>
      </c>
      <c r="E1785" s="116">
        <v>2.2999999999999998</v>
      </c>
      <c r="F1785" s="149" t="s">
        <v>138</v>
      </c>
      <c r="G1785" s="149" t="s">
        <v>135</v>
      </c>
      <c r="H1785" t="s">
        <v>39</v>
      </c>
      <c r="J1785" t="s">
        <v>589</v>
      </c>
      <c r="L1785" s="160"/>
      <c r="M1785" s="48"/>
      <c r="N1785" s="123"/>
    </row>
    <row r="1786" spans="1:14" customFormat="1" x14ac:dyDescent="0.55000000000000004">
      <c r="A1786" s="60" t="s">
        <v>585</v>
      </c>
      <c r="B1786" t="s">
        <v>140</v>
      </c>
      <c r="C1786" t="s">
        <v>121</v>
      </c>
      <c r="D1786" t="s">
        <v>3288</v>
      </c>
      <c r="E1786" s="116">
        <v>1</v>
      </c>
      <c r="F1786" s="149" t="s">
        <v>135</v>
      </c>
      <c r="G1786" s="149">
        <v>1</v>
      </c>
      <c r="H1786" t="s">
        <v>39</v>
      </c>
      <c r="J1786" t="s">
        <v>586</v>
      </c>
      <c r="L1786" s="160">
        <v>7206</v>
      </c>
      <c r="M1786" s="48"/>
      <c r="N1786" s="123"/>
    </row>
    <row r="1787" spans="1:14" customFormat="1" x14ac:dyDescent="0.55000000000000004">
      <c r="A1787" s="60" t="s">
        <v>585</v>
      </c>
      <c r="B1787" t="s">
        <v>262</v>
      </c>
      <c r="C1787" t="s">
        <v>127</v>
      </c>
      <c r="D1787" t="s">
        <v>2994</v>
      </c>
      <c r="E1787" s="116">
        <v>15.9</v>
      </c>
      <c r="F1787" s="149" t="s">
        <v>138</v>
      </c>
      <c r="G1787" s="149" t="s">
        <v>135</v>
      </c>
      <c r="H1787" t="s">
        <v>39</v>
      </c>
      <c r="J1787" t="s">
        <v>586</v>
      </c>
      <c r="L1787" s="160"/>
      <c r="M1787" s="48"/>
      <c r="N1787" s="123"/>
    </row>
    <row r="1788" spans="1:14" customFormat="1" x14ac:dyDescent="0.55000000000000004">
      <c r="A1788" s="60" t="s">
        <v>585</v>
      </c>
      <c r="B1788" t="s">
        <v>298</v>
      </c>
      <c r="C1788" t="s">
        <v>127</v>
      </c>
      <c r="D1788" t="s">
        <v>2994</v>
      </c>
      <c r="E1788" s="116">
        <v>0.4</v>
      </c>
      <c r="F1788" s="149" t="s">
        <v>138</v>
      </c>
      <c r="G1788" s="149" t="s">
        <v>135</v>
      </c>
      <c r="H1788" t="s">
        <v>39</v>
      </c>
      <c r="J1788" t="s">
        <v>586</v>
      </c>
      <c r="L1788" s="160"/>
      <c r="M1788" s="48"/>
      <c r="N1788" s="123"/>
    </row>
    <row r="1789" spans="1:14" customFormat="1" x14ac:dyDescent="0.55000000000000004">
      <c r="A1789" s="60" t="s">
        <v>585</v>
      </c>
      <c r="B1789" t="s">
        <v>153</v>
      </c>
      <c r="C1789" t="s">
        <v>127</v>
      </c>
      <c r="D1789" t="s">
        <v>2994</v>
      </c>
      <c r="E1789" s="116">
        <v>0.43</v>
      </c>
      <c r="F1789" s="149" t="s">
        <v>138</v>
      </c>
      <c r="G1789" s="149" t="s">
        <v>135</v>
      </c>
      <c r="H1789" t="s">
        <v>39</v>
      </c>
      <c r="J1789" t="s">
        <v>586</v>
      </c>
      <c r="L1789" s="160"/>
      <c r="M1789" s="48"/>
      <c r="N1789" s="123"/>
    </row>
    <row r="1790" spans="1:14" customFormat="1" x14ac:dyDescent="0.55000000000000004">
      <c r="A1790" s="60" t="s">
        <v>585</v>
      </c>
      <c r="B1790" t="s">
        <v>171</v>
      </c>
      <c r="C1790" t="s">
        <v>127</v>
      </c>
      <c r="D1790" t="s">
        <v>2994</v>
      </c>
      <c r="E1790" s="116">
        <v>0.39</v>
      </c>
      <c r="F1790" s="149" t="s">
        <v>138</v>
      </c>
      <c r="G1790" s="149" t="s">
        <v>135</v>
      </c>
      <c r="H1790" t="s">
        <v>39</v>
      </c>
      <c r="J1790" t="s">
        <v>586</v>
      </c>
      <c r="L1790" s="160"/>
      <c r="M1790" s="48"/>
      <c r="N1790" s="123"/>
    </row>
    <row r="1791" spans="1:14" customFormat="1" x14ac:dyDescent="0.55000000000000004">
      <c r="A1791" s="60" t="s">
        <v>585</v>
      </c>
      <c r="B1791" t="s">
        <v>213</v>
      </c>
      <c r="C1791" t="s">
        <v>127</v>
      </c>
      <c r="D1791" t="s">
        <v>2994</v>
      </c>
      <c r="E1791" s="116">
        <v>1.2</v>
      </c>
      <c r="F1791" s="149" t="s">
        <v>138</v>
      </c>
      <c r="G1791" s="149" t="s">
        <v>135</v>
      </c>
      <c r="H1791" t="s">
        <v>39</v>
      </c>
      <c r="J1791" t="s">
        <v>586</v>
      </c>
      <c r="L1791" s="160"/>
      <c r="M1791" s="48"/>
      <c r="N1791" s="123"/>
    </row>
    <row r="1792" spans="1:14" customFormat="1" x14ac:dyDescent="0.55000000000000004">
      <c r="A1792" s="60" t="s">
        <v>585</v>
      </c>
      <c r="B1792" t="s">
        <v>188</v>
      </c>
      <c r="C1792" t="s">
        <v>127</v>
      </c>
      <c r="D1792" t="s">
        <v>2994</v>
      </c>
      <c r="E1792" s="116">
        <v>0.08</v>
      </c>
      <c r="F1792" s="149" t="s">
        <v>138</v>
      </c>
      <c r="G1792" s="149" t="s">
        <v>135</v>
      </c>
      <c r="H1792" t="s">
        <v>39</v>
      </c>
      <c r="J1792" t="s">
        <v>586</v>
      </c>
      <c r="L1792" s="160"/>
      <c r="M1792" s="48"/>
      <c r="N1792" s="123"/>
    </row>
    <row r="1793" spans="1:14" customFormat="1" x14ac:dyDescent="0.55000000000000004">
      <c r="A1793" s="60" t="s">
        <v>585</v>
      </c>
      <c r="B1793" t="s">
        <v>308</v>
      </c>
      <c r="C1793" t="s">
        <v>156</v>
      </c>
      <c r="D1793" t="s">
        <v>2994</v>
      </c>
      <c r="E1793" s="116">
        <v>0.4</v>
      </c>
      <c r="F1793" s="149" t="s">
        <v>138</v>
      </c>
      <c r="G1793" s="149" t="s">
        <v>135</v>
      </c>
      <c r="H1793" t="s">
        <v>39</v>
      </c>
      <c r="J1793" t="s">
        <v>586</v>
      </c>
      <c r="L1793" s="160"/>
      <c r="M1793" s="48"/>
      <c r="N1793" s="123"/>
    </row>
    <row r="1794" spans="1:14" customFormat="1" x14ac:dyDescent="0.55000000000000004">
      <c r="A1794" s="60" t="s">
        <v>585</v>
      </c>
      <c r="B1794" t="s">
        <v>160</v>
      </c>
      <c r="C1794" t="s">
        <v>247</v>
      </c>
      <c r="D1794" t="s">
        <v>3288</v>
      </c>
      <c r="E1794" s="116">
        <v>1566.2773943380259</v>
      </c>
      <c r="F1794" s="149" t="s">
        <v>122</v>
      </c>
      <c r="G1794" s="149" t="s">
        <v>135</v>
      </c>
      <c r="H1794" t="s">
        <v>39</v>
      </c>
      <c r="J1794" t="s">
        <v>586</v>
      </c>
      <c r="L1794" s="160"/>
      <c r="M1794" s="48"/>
      <c r="N1794" s="123"/>
    </row>
    <row r="1795" spans="1:14" customFormat="1" x14ac:dyDescent="0.55000000000000004">
      <c r="A1795" s="60" t="s">
        <v>581</v>
      </c>
      <c r="B1795" t="s">
        <v>582</v>
      </c>
      <c r="C1795" t="s">
        <v>121</v>
      </c>
      <c r="D1795" t="s">
        <v>3288</v>
      </c>
      <c r="E1795" s="116">
        <v>1</v>
      </c>
      <c r="F1795" s="149" t="s">
        <v>135</v>
      </c>
      <c r="G1795" s="149">
        <v>1</v>
      </c>
      <c r="H1795" t="s">
        <v>39</v>
      </c>
      <c r="J1795" t="s">
        <v>583</v>
      </c>
      <c r="L1795" s="160">
        <v>7204</v>
      </c>
      <c r="M1795" s="48"/>
      <c r="N1795" s="123"/>
    </row>
    <row r="1796" spans="1:14" customFormat="1" x14ac:dyDescent="0.55000000000000004">
      <c r="A1796" s="60" t="s">
        <v>581</v>
      </c>
      <c r="B1796" t="s">
        <v>153</v>
      </c>
      <c r="C1796" t="s">
        <v>127</v>
      </c>
      <c r="D1796" t="s">
        <v>2994</v>
      </c>
      <c r="E1796" s="116">
        <v>2.8</v>
      </c>
      <c r="F1796" s="149" t="s">
        <v>138</v>
      </c>
      <c r="G1796" s="149" t="s">
        <v>135</v>
      </c>
      <c r="H1796" t="s">
        <v>39</v>
      </c>
      <c r="J1796" t="s">
        <v>583</v>
      </c>
      <c r="L1796" s="160"/>
      <c r="M1796" s="48"/>
      <c r="N1796" s="123"/>
    </row>
    <row r="1797" spans="1:14" customFormat="1" x14ac:dyDescent="0.55000000000000004">
      <c r="A1797" s="60" t="s">
        <v>581</v>
      </c>
      <c r="B1797" t="s">
        <v>171</v>
      </c>
      <c r="C1797" t="s">
        <v>127</v>
      </c>
      <c r="D1797" t="s">
        <v>2994</v>
      </c>
      <c r="E1797" s="116">
        <v>3.43</v>
      </c>
      <c r="F1797" s="149" t="s">
        <v>138</v>
      </c>
      <c r="G1797" s="149" t="s">
        <v>135</v>
      </c>
      <c r="H1797" t="s">
        <v>39</v>
      </c>
      <c r="J1797" t="s">
        <v>583</v>
      </c>
      <c r="L1797" s="160"/>
      <c r="M1797" s="48"/>
      <c r="N1797" s="123"/>
    </row>
    <row r="1798" spans="1:14" customFormat="1" x14ac:dyDescent="0.55000000000000004">
      <c r="A1798" s="60" t="s">
        <v>581</v>
      </c>
      <c r="B1798" t="s">
        <v>213</v>
      </c>
      <c r="C1798" t="s">
        <v>127</v>
      </c>
      <c r="D1798" t="s">
        <v>2994</v>
      </c>
      <c r="E1798" s="116">
        <v>0.47</v>
      </c>
      <c r="F1798" s="149" t="s">
        <v>138</v>
      </c>
      <c r="G1798" s="149" t="s">
        <v>135</v>
      </c>
      <c r="H1798" t="s">
        <v>39</v>
      </c>
      <c r="J1798" t="s">
        <v>583</v>
      </c>
      <c r="L1798" s="160"/>
      <c r="M1798" s="48"/>
      <c r="N1798" s="123"/>
    </row>
    <row r="1799" spans="1:14" customFormat="1" x14ac:dyDescent="0.55000000000000004">
      <c r="A1799" s="95" t="s">
        <v>576</v>
      </c>
      <c r="B1799" t="s">
        <v>577</v>
      </c>
      <c r="C1799" t="s">
        <v>121</v>
      </c>
      <c r="D1799" t="s">
        <v>3288</v>
      </c>
      <c r="E1799" s="116">
        <v>1</v>
      </c>
      <c r="F1799" s="149" t="s">
        <v>135</v>
      </c>
      <c r="G1799" s="149">
        <v>1</v>
      </c>
      <c r="H1799" t="s">
        <v>39</v>
      </c>
      <c r="J1799" t="s">
        <v>576</v>
      </c>
      <c r="L1799" s="160">
        <v>4702</v>
      </c>
      <c r="M1799" s="48"/>
      <c r="N1799" s="123"/>
    </row>
    <row r="1800" spans="1:14" customFormat="1" x14ac:dyDescent="0.55000000000000004">
      <c r="A1800" s="95" t="s">
        <v>576</v>
      </c>
      <c r="B1800" t="s">
        <v>230</v>
      </c>
      <c r="C1800" t="s">
        <v>231</v>
      </c>
      <c r="D1800" t="s">
        <v>3288</v>
      </c>
      <c r="E1800" s="116">
        <v>2</v>
      </c>
      <c r="F1800" s="149" t="s">
        <v>135</v>
      </c>
      <c r="G1800" s="149" t="s">
        <v>135</v>
      </c>
      <c r="H1800" t="s">
        <v>39</v>
      </c>
      <c r="J1800" t="s">
        <v>576</v>
      </c>
      <c r="L1800" s="160"/>
      <c r="M1800" s="48"/>
      <c r="N1800" s="123"/>
    </row>
    <row r="1801" spans="1:14" customFormat="1" x14ac:dyDescent="0.55000000000000004">
      <c r="A1801" s="95" t="s">
        <v>576</v>
      </c>
      <c r="B1801" t="s">
        <v>564</v>
      </c>
      <c r="C1801" t="s">
        <v>127</v>
      </c>
      <c r="D1801" t="s">
        <v>2994</v>
      </c>
      <c r="E1801" s="116">
        <v>3.17</v>
      </c>
      <c r="F1801" s="149" t="s">
        <v>138</v>
      </c>
      <c r="G1801" s="149" t="s">
        <v>135</v>
      </c>
      <c r="H1801" t="s">
        <v>39</v>
      </c>
      <c r="J1801" t="s">
        <v>576</v>
      </c>
      <c r="L1801" s="160"/>
      <c r="M1801" s="48"/>
      <c r="N1801" s="123"/>
    </row>
    <row r="1802" spans="1:14" customFormat="1" x14ac:dyDescent="0.55000000000000004">
      <c r="A1802" s="95" t="s">
        <v>576</v>
      </c>
      <c r="B1802" t="s">
        <v>208</v>
      </c>
      <c r="C1802" t="s">
        <v>127</v>
      </c>
      <c r="D1802" t="s">
        <v>2994</v>
      </c>
      <c r="E1802" s="116">
        <v>7.14</v>
      </c>
      <c r="F1802" s="149" t="s">
        <v>138</v>
      </c>
      <c r="G1802" s="149" t="s">
        <v>135</v>
      </c>
      <c r="H1802" t="s">
        <v>39</v>
      </c>
      <c r="J1802" t="s">
        <v>576</v>
      </c>
      <c r="L1802" s="160"/>
      <c r="M1802" s="48"/>
      <c r="N1802" s="123"/>
    </row>
    <row r="1803" spans="1:14" customFormat="1" x14ac:dyDescent="0.55000000000000004">
      <c r="A1803" s="95" t="s">
        <v>576</v>
      </c>
      <c r="B1803" t="s">
        <v>188</v>
      </c>
      <c r="C1803" t="s">
        <v>127</v>
      </c>
      <c r="D1803" t="s">
        <v>2994</v>
      </c>
      <c r="E1803" s="116">
        <v>6.51</v>
      </c>
      <c r="F1803" s="149" t="s">
        <v>138</v>
      </c>
      <c r="G1803" s="149" t="s">
        <v>135</v>
      </c>
      <c r="H1803" t="s">
        <v>39</v>
      </c>
      <c r="J1803" t="s">
        <v>576</v>
      </c>
      <c r="L1803" s="160"/>
      <c r="M1803" s="48"/>
      <c r="N1803" s="123"/>
    </row>
    <row r="1804" spans="1:14" customFormat="1" x14ac:dyDescent="0.55000000000000004">
      <c r="A1804" s="95" t="s">
        <v>576</v>
      </c>
      <c r="B1804" t="s">
        <v>580</v>
      </c>
      <c r="C1804" t="s">
        <v>156</v>
      </c>
      <c r="D1804" t="s">
        <v>3288</v>
      </c>
      <c r="E1804" s="116">
        <v>12.3</v>
      </c>
      <c r="F1804" s="149" t="s">
        <v>135</v>
      </c>
      <c r="G1804" s="149" t="s">
        <v>135</v>
      </c>
      <c r="H1804" t="s">
        <v>39</v>
      </c>
      <c r="J1804" t="s">
        <v>576</v>
      </c>
      <c r="L1804" s="160"/>
      <c r="M1804" s="48"/>
      <c r="N1804" s="123"/>
    </row>
    <row r="1805" spans="1:14" customFormat="1" x14ac:dyDescent="0.55000000000000004">
      <c r="A1805" s="93" t="s">
        <v>572</v>
      </c>
      <c r="B1805" t="s">
        <v>573</v>
      </c>
      <c r="C1805" t="s">
        <v>121</v>
      </c>
      <c r="D1805" t="s">
        <v>3288</v>
      </c>
      <c r="E1805" s="116">
        <v>1</v>
      </c>
      <c r="F1805" s="149" t="s">
        <v>135</v>
      </c>
      <c r="G1805" s="149">
        <v>1</v>
      </c>
      <c r="H1805" t="s">
        <v>39</v>
      </c>
      <c r="J1805" t="s">
        <v>558</v>
      </c>
      <c r="L1805" s="160" t="s">
        <v>557</v>
      </c>
      <c r="M1805" s="48"/>
      <c r="N1805" s="123"/>
    </row>
    <row r="1806" spans="1:14" customFormat="1" x14ac:dyDescent="0.55000000000000004">
      <c r="A1806" s="93" t="s">
        <v>572</v>
      </c>
      <c r="B1806" t="s">
        <v>262</v>
      </c>
      <c r="C1806" t="s">
        <v>127</v>
      </c>
      <c r="D1806" t="s">
        <v>2994</v>
      </c>
      <c r="E1806" s="116">
        <v>0.18</v>
      </c>
      <c r="F1806" s="149" t="s">
        <v>138</v>
      </c>
      <c r="G1806" s="149" t="s">
        <v>135</v>
      </c>
      <c r="H1806" t="s">
        <v>39</v>
      </c>
      <c r="J1806" t="s">
        <v>558</v>
      </c>
      <c r="L1806" s="160"/>
      <c r="M1806" s="48"/>
      <c r="N1806" s="123"/>
    </row>
    <row r="1807" spans="1:14" customFormat="1" x14ac:dyDescent="0.55000000000000004">
      <c r="A1807" s="93" t="s">
        <v>572</v>
      </c>
      <c r="B1807" t="s">
        <v>153</v>
      </c>
      <c r="C1807" t="s">
        <v>127</v>
      </c>
      <c r="D1807" t="s">
        <v>2994</v>
      </c>
      <c r="E1807" s="116">
        <v>7.83</v>
      </c>
      <c r="F1807" s="149" t="s">
        <v>138</v>
      </c>
      <c r="G1807" s="149" t="s">
        <v>135</v>
      </c>
      <c r="H1807" t="s">
        <v>39</v>
      </c>
      <c r="J1807" t="s">
        <v>558</v>
      </c>
      <c r="L1807" s="160"/>
      <c r="M1807" s="48"/>
      <c r="N1807" s="123"/>
    </row>
    <row r="1808" spans="1:14" customFormat="1" x14ac:dyDescent="0.55000000000000004">
      <c r="A1808" s="93" t="s">
        <v>572</v>
      </c>
      <c r="B1808" t="s">
        <v>575</v>
      </c>
      <c r="C1808" t="s">
        <v>127</v>
      </c>
      <c r="D1808" t="s">
        <v>2994</v>
      </c>
      <c r="E1808" s="116">
        <v>0.9</v>
      </c>
      <c r="F1808" s="149" t="s">
        <v>138</v>
      </c>
      <c r="G1808" s="149" t="s">
        <v>135</v>
      </c>
      <c r="H1808" t="s">
        <v>39</v>
      </c>
      <c r="J1808" t="s">
        <v>558</v>
      </c>
      <c r="L1808" s="160"/>
      <c r="M1808" s="48"/>
      <c r="N1808" s="123"/>
    </row>
    <row r="1809" spans="1:14" customFormat="1" x14ac:dyDescent="0.55000000000000004">
      <c r="A1809" s="93" t="s">
        <v>572</v>
      </c>
      <c r="B1809" t="s">
        <v>445</v>
      </c>
      <c r="C1809" t="s">
        <v>127</v>
      </c>
      <c r="D1809" t="s">
        <v>2994</v>
      </c>
      <c r="E1809" s="116">
        <v>0.32</v>
      </c>
      <c r="F1809" s="149" t="s">
        <v>138</v>
      </c>
      <c r="G1809" s="149" t="s">
        <v>135</v>
      </c>
      <c r="H1809" t="s">
        <v>39</v>
      </c>
      <c r="J1809" t="s">
        <v>558</v>
      </c>
      <c r="L1809" s="160"/>
      <c r="M1809" s="48"/>
      <c r="N1809" s="123"/>
    </row>
    <row r="1810" spans="1:14" customFormat="1" x14ac:dyDescent="0.55000000000000004">
      <c r="A1810" s="93" t="s">
        <v>572</v>
      </c>
      <c r="B1810" t="s">
        <v>564</v>
      </c>
      <c r="C1810" t="s">
        <v>127</v>
      </c>
      <c r="D1810" t="s">
        <v>2994</v>
      </c>
      <c r="E1810" s="116">
        <v>8</v>
      </c>
      <c r="F1810" s="149" t="s">
        <v>138</v>
      </c>
      <c r="G1810" s="149" t="s">
        <v>135</v>
      </c>
      <c r="H1810" t="s">
        <v>39</v>
      </c>
      <c r="J1810" t="s">
        <v>558</v>
      </c>
      <c r="L1810" s="160"/>
      <c r="M1810" s="48"/>
      <c r="N1810" s="123"/>
    </row>
    <row r="1811" spans="1:14" customFormat="1" x14ac:dyDescent="0.55000000000000004">
      <c r="A1811" s="93" t="s">
        <v>572</v>
      </c>
      <c r="B1811" t="s">
        <v>171</v>
      </c>
      <c r="C1811" t="s">
        <v>127</v>
      </c>
      <c r="D1811" t="s">
        <v>2994</v>
      </c>
      <c r="E1811" s="116">
        <v>2.37</v>
      </c>
      <c r="F1811" s="149" t="s">
        <v>138</v>
      </c>
      <c r="G1811" s="149" t="s">
        <v>135</v>
      </c>
      <c r="H1811" t="s">
        <v>39</v>
      </c>
      <c r="J1811" t="s">
        <v>558</v>
      </c>
      <c r="L1811" s="160"/>
      <c r="M1811" s="48"/>
      <c r="N1811" s="123"/>
    </row>
    <row r="1812" spans="1:14" customFormat="1" x14ac:dyDescent="0.55000000000000004">
      <c r="A1812" s="60" t="s">
        <v>566</v>
      </c>
      <c r="B1812" t="s">
        <v>140</v>
      </c>
      <c r="C1812" t="s">
        <v>121</v>
      </c>
      <c r="D1812" t="s">
        <v>3288</v>
      </c>
      <c r="E1812" s="116">
        <v>1</v>
      </c>
      <c r="F1812" s="149" t="s">
        <v>135</v>
      </c>
      <c r="G1812" s="149">
        <v>1</v>
      </c>
      <c r="H1812" t="s">
        <v>39</v>
      </c>
      <c r="J1812" t="s">
        <v>567</v>
      </c>
      <c r="L1812" s="160">
        <v>7206</v>
      </c>
      <c r="M1812" s="48"/>
      <c r="N1812" s="123"/>
    </row>
    <row r="1813" spans="1:14" customFormat="1" x14ac:dyDescent="0.55000000000000004">
      <c r="A1813" s="60" t="s">
        <v>566</v>
      </c>
      <c r="B1813" t="s">
        <v>568</v>
      </c>
      <c r="C1813" t="s">
        <v>127</v>
      </c>
      <c r="D1813" t="s">
        <v>2994</v>
      </c>
      <c r="E1813" s="116">
        <v>3.0555555555555558</v>
      </c>
      <c r="F1813" s="149" t="s">
        <v>138</v>
      </c>
      <c r="G1813" s="149" t="s">
        <v>135</v>
      </c>
      <c r="H1813" t="s">
        <v>39</v>
      </c>
      <c r="J1813" t="s">
        <v>567</v>
      </c>
      <c r="L1813" s="160"/>
      <c r="M1813" s="48"/>
      <c r="N1813" s="123"/>
    </row>
    <row r="1814" spans="1:14" customFormat="1" x14ac:dyDescent="0.55000000000000004">
      <c r="A1814" s="60" t="s">
        <v>566</v>
      </c>
      <c r="B1814" t="s">
        <v>569</v>
      </c>
      <c r="C1814" t="s">
        <v>127</v>
      </c>
      <c r="D1814" t="s">
        <v>2994</v>
      </c>
      <c r="E1814" s="116">
        <v>10.906000000000001</v>
      </c>
      <c r="F1814" s="149" t="s">
        <v>138</v>
      </c>
      <c r="G1814" s="149" t="s">
        <v>135</v>
      </c>
      <c r="H1814" t="s">
        <v>39</v>
      </c>
      <c r="J1814" t="s">
        <v>567</v>
      </c>
      <c r="L1814" s="160"/>
      <c r="M1814" s="48"/>
      <c r="N1814" s="123"/>
    </row>
    <row r="1815" spans="1:14" customFormat="1" x14ac:dyDescent="0.55000000000000004">
      <c r="A1815" s="60" t="s">
        <v>566</v>
      </c>
      <c r="B1815" t="s">
        <v>298</v>
      </c>
      <c r="C1815" t="s">
        <v>127</v>
      </c>
      <c r="D1815" t="s">
        <v>2994</v>
      </c>
      <c r="E1815" s="116">
        <v>0.89</v>
      </c>
      <c r="F1815" s="149" t="s">
        <v>138</v>
      </c>
      <c r="G1815" s="149" t="s">
        <v>135</v>
      </c>
      <c r="H1815" t="s">
        <v>39</v>
      </c>
      <c r="J1815" t="s">
        <v>567</v>
      </c>
      <c r="L1815" s="160"/>
      <c r="M1815" s="48"/>
      <c r="N1815" s="123"/>
    </row>
    <row r="1816" spans="1:14" customFormat="1" x14ac:dyDescent="0.55000000000000004">
      <c r="A1816" s="60" t="s">
        <v>566</v>
      </c>
      <c r="B1816" t="s">
        <v>564</v>
      </c>
      <c r="C1816" t="s">
        <v>127</v>
      </c>
      <c r="D1816" t="s">
        <v>2994</v>
      </c>
      <c r="E1816" s="116">
        <v>0.48511087324643198</v>
      </c>
      <c r="F1816" s="149" t="s">
        <v>138</v>
      </c>
      <c r="G1816" s="149" t="s">
        <v>135</v>
      </c>
      <c r="H1816" t="s">
        <v>39</v>
      </c>
      <c r="J1816" t="s">
        <v>567</v>
      </c>
      <c r="L1816" s="160"/>
      <c r="M1816" s="48"/>
      <c r="N1816" s="123"/>
    </row>
    <row r="1817" spans="1:14" customFormat="1" x14ac:dyDescent="0.55000000000000004">
      <c r="A1817" s="60" t="s">
        <v>566</v>
      </c>
      <c r="B1817" t="s">
        <v>171</v>
      </c>
      <c r="C1817" t="s">
        <v>127</v>
      </c>
      <c r="D1817" t="s">
        <v>2994</v>
      </c>
      <c r="E1817" s="116">
        <v>1.75</v>
      </c>
      <c r="F1817" s="149" t="s">
        <v>138</v>
      </c>
      <c r="G1817" s="149" t="s">
        <v>135</v>
      </c>
      <c r="H1817" t="s">
        <v>39</v>
      </c>
      <c r="J1817" t="s">
        <v>567</v>
      </c>
      <c r="L1817" s="160"/>
      <c r="M1817" s="48"/>
      <c r="N1817" s="123"/>
    </row>
    <row r="1818" spans="1:14" customFormat="1" x14ac:dyDescent="0.55000000000000004">
      <c r="A1818" s="60" t="s">
        <v>566</v>
      </c>
      <c r="B1818" t="s">
        <v>188</v>
      </c>
      <c r="C1818" t="s">
        <v>127</v>
      </c>
      <c r="D1818" t="s">
        <v>2994</v>
      </c>
      <c r="E1818" s="116">
        <v>0.16</v>
      </c>
      <c r="F1818" s="149" t="s">
        <v>138</v>
      </c>
      <c r="G1818" s="149" t="s">
        <v>135</v>
      </c>
      <c r="H1818" t="s">
        <v>39</v>
      </c>
      <c r="J1818" t="s">
        <v>567</v>
      </c>
      <c r="L1818" s="160"/>
      <c r="M1818" s="48"/>
      <c r="N1818" s="123"/>
    </row>
    <row r="1819" spans="1:14" customFormat="1" x14ac:dyDescent="0.55000000000000004">
      <c r="A1819" s="60" t="s">
        <v>566</v>
      </c>
      <c r="B1819" t="s">
        <v>160</v>
      </c>
      <c r="C1819" t="s">
        <v>247</v>
      </c>
      <c r="D1819" t="s">
        <v>3288</v>
      </c>
      <c r="E1819" s="116">
        <v>1281.242768001322</v>
      </c>
      <c r="F1819" s="149" t="s">
        <v>122</v>
      </c>
      <c r="G1819" s="149" t="s">
        <v>135</v>
      </c>
      <c r="H1819" t="s">
        <v>39</v>
      </c>
      <c r="J1819" t="s">
        <v>567</v>
      </c>
      <c r="L1819" s="160"/>
      <c r="M1819" s="48"/>
      <c r="N1819" s="123"/>
    </row>
    <row r="1820" spans="1:14" customFormat="1" x14ac:dyDescent="0.55000000000000004">
      <c r="A1820" s="60" t="s">
        <v>566</v>
      </c>
      <c r="B1820" t="s">
        <v>160</v>
      </c>
      <c r="C1820" t="s">
        <v>156</v>
      </c>
      <c r="D1820" t="s">
        <v>3288</v>
      </c>
      <c r="E1820" s="116">
        <v>986.41909235119999</v>
      </c>
      <c r="F1820" s="149" t="s">
        <v>122</v>
      </c>
      <c r="G1820" s="149" t="s">
        <v>135</v>
      </c>
      <c r="H1820" t="s">
        <v>39</v>
      </c>
      <c r="J1820" t="s">
        <v>567</v>
      </c>
      <c r="L1820" s="160"/>
      <c r="M1820" s="48"/>
      <c r="N1820" s="123"/>
    </row>
    <row r="1821" spans="1:14" customFormat="1" x14ac:dyDescent="0.55000000000000004">
      <c r="A1821" s="65" t="s">
        <v>565</v>
      </c>
      <c r="B1821" t="s">
        <v>140</v>
      </c>
      <c r="C1821" t="s">
        <v>121</v>
      </c>
      <c r="D1821" t="s">
        <v>3288</v>
      </c>
      <c r="E1821" s="116">
        <v>1</v>
      </c>
      <c r="F1821" s="149" t="s">
        <v>135</v>
      </c>
      <c r="G1821" s="149">
        <v>1</v>
      </c>
      <c r="H1821" t="s">
        <v>39</v>
      </c>
      <c r="J1821" t="s">
        <v>565</v>
      </c>
      <c r="L1821" s="160">
        <v>7206</v>
      </c>
      <c r="M1821" s="48"/>
      <c r="N1821" s="123"/>
    </row>
    <row r="1822" spans="1:14" customFormat="1" x14ac:dyDescent="0.55000000000000004">
      <c r="A1822" s="65" t="s">
        <v>565</v>
      </c>
      <c r="B1822" t="s">
        <v>153</v>
      </c>
      <c r="C1822" t="s">
        <v>127</v>
      </c>
      <c r="D1822" t="s">
        <v>2994</v>
      </c>
      <c r="E1822" s="116">
        <v>14.5</v>
      </c>
      <c r="F1822" s="149" t="s">
        <v>138</v>
      </c>
      <c r="G1822" s="149" t="s">
        <v>135</v>
      </c>
      <c r="H1822" t="s">
        <v>39</v>
      </c>
      <c r="J1822" t="s">
        <v>565</v>
      </c>
      <c r="L1822" s="160"/>
      <c r="M1822" s="48"/>
      <c r="N1822" s="123"/>
    </row>
    <row r="1823" spans="1:14" customFormat="1" x14ac:dyDescent="0.55000000000000004">
      <c r="A1823" s="65" t="s">
        <v>565</v>
      </c>
      <c r="B1823" t="s">
        <v>171</v>
      </c>
      <c r="C1823" t="s">
        <v>127</v>
      </c>
      <c r="D1823" t="s">
        <v>2994</v>
      </c>
      <c r="E1823" s="116">
        <v>1.24</v>
      </c>
      <c r="F1823" s="149" t="s">
        <v>138</v>
      </c>
      <c r="G1823" s="149" t="s">
        <v>135</v>
      </c>
      <c r="H1823" t="s">
        <v>39</v>
      </c>
      <c r="J1823" t="s">
        <v>565</v>
      </c>
      <c r="L1823" s="160"/>
      <c r="M1823" s="48"/>
      <c r="N1823" s="123"/>
    </row>
    <row r="1824" spans="1:14" customFormat="1" x14ac:dyDescent="0.55000000000000004">
      <c r="A1824" s="65" t="s">
        <v>565</v>
      </c>
      <c r="B1824" t="s">
        <v>160</v>
      </c>
      <c r="C1824" t="s">
        <v>247</v>
      </c>
      <c r="D1824" t="s">
        <v>3288</v>
      </c>
      <c r="E1824" s="116">
        <v>69.527585098079427</v>
      </c>
      <c r="F1824" s="149" t="s">
        <v>122</v>
      </c>
      <c r="G1824" s="149" t="s">
        <v>135</v>
      </c>
      <c r="H1824" t="s">
        <v>39</v>
      </c>
      <c r="J1824" t="s">
        <v>565</v>
      </c>
      <c r="L1824" s="160"/>
      <c r="M1824" s="48"/>
      <c r="N1824" s="123"/>
    </row>
    <row r="1825" spans="1:14" customFormat="1" x14ac:dyDescent="0.55000000000000004">
      <c r="A1825" s="65" t="s">
        <v>563</v>
      </c>
      <c r="B1825" t="s">
        <v>140</v>
      </c>
      <c r="C1825" t="s">
        <v>121</v>
      </c>
      <c r="D1825" t="s">
        <v>3288</v>
      </c>
      <c r="E1825" s="116">
        <v>1</v>
      </c>
      <c r="F1825" s="149" t="s">
        <v>135</v>
      </c>
      <c r="G1825" s="149">
        <v>1</v>
      </c>
      <c r="H1825" t="s">
        <v>39</v>
      </c>
      <c r="J1825" t="s">
        <v>563</v>
      </c>
      <c r="L1825" s="160">
        <v>7206</v>
      </c>
      <c r="M1825" s="48"/>
      <c r="N1825" s="123"/>
    </row>
    <row r="1826" spans="1:14" customFormat="1" x14ac:dyDescent="0.55000000000000004">
      <c r="A1826" s="65" t="s">
        <v>563</v>
      </c>
      <c r="B1826" t="s">
        <v>153</v>
      </c>
      <c r="C1826" t="s">
        <v>127</v>
      </c>
      <c r="D1826" t="s">
        <v>2994</v>
      </c>
      <c r="E1826" s="116">
        <v>1</v>
      </c>
      <c r="F1826" s="149" t="s">
        <v>138</v>
      </c>
      <c r="G1826" s="149" t="s">
        <v>135</v>
      </c>
      <c r="H1826" t="s">
        <v>39</v>
      </c>
      <c r="J1826" t="s">
        <v>563</v>
      </c>
      <c r="L1826" s="160"/>
      <c r="M1826" s="48"/>
      <c r="N1826" s="123"/>
    </row>
    <row r="1827" spans="1:14" customFormat="1" x14ac:dyDescent="0.55000000000000004">
      <c r="A1827" s="65" t="s">
        <v>563</v>
      </c>
      <c r="B1827" t="s">
        <v>564</v>
      </c>
      <c r="C1827" t="s">
        <v>127</v>
      </c>
      <c r="D1827" t="s">
        <v>2994</v>
      </c>
      <c r="E1827" s="116">
        <v>0.67</v>
      </c>
      <c r="F1827" s="149" t="s">
        <v>138</v>
      </c>
      <c r="G1827" s="149" t="s">
        <v>135</v>
      </c>
      <c r="H1827" t="s">
        <v>39</v>
      </c>
      <c r="J1827" t="s">
        <v>563</v>
      </c>
      <c r="L1827" s="160"/>
      <c r="M1827" s="48"/>
      <c r="N1827" s="123"/>
    </row>
    <row r="1828" spans="1:14" customFormat="1" x14ac:dyDescent="0.55000000000000004">
      <c r="A1828" s="65" t="s">
        <v>563</v>
      </c>
      <c r="B1828" t="s">
        <v>171</v>
      </c>
      <c r="C1828" t="s">
        <v>127</v>
      </c>
      <c r="D1828" t="s">
        <v>2994</v>
      </c>
      <c r="E1828" s="116">
        <v>17.5</v>
      </c>
      <c r="F1828" s="149" t="s">
        <v>138</v>
      </c>
      <c r="G1828" s="149" t="s">
        <v>135</v>
      </c>
      <c r="H1828" t="s">
        <v>39</v>
      </c>
      <c r="J1828" t="s">
        <v>563</v>
      </c>
      <c r="L1828" s="160"/>
      <c r="M1828" s="48"/>
      <c r="N1828" s="123"/>
    </row>
    <row r="1829" spans="1:14" customFormat="1" x14ac:dyDescent="0.55000000000000004">
      <c r="A1829" s="65" t="s">
        <v>563</v>
      </c>
      <c r="B1829" t="s">
        <v>160</v>
      </c>
      <c r="C1829" t="s">
        <v>247</v>
      </c>
      <c r="D1829" t="s">
        <v>3288</v>
      </c>
      <c r="E1829" s="116">
        <v>981.23608001321782</v>
      </c>
      <c r="F1829" s="149" t="s">
        <v>122</v>
      </c>
      <c r="G1829" s="149" t="s">
        <v>135</v>
      </c>
      <c r="H1829" t="s">
        <v>39</v>
      </c>
      <c r="J1829" t="s">
        <v>563</v>
      </c>
      <c r="L1829" s="160"/>
      <c r="M1829" s="48"/>
      <c r="N1829" s="123"/>
    </row>
    <row r="1830" spans="1:14" customFormat="1" x14ac:dyDescent="0.55000000000000004">
      <c r="A1830" s="65" t="s">
        <v>563</v>
      </c>
      <c r="B1830" t="s">
        <v>160</v>
      </c>
      <c r="C1830" t="s">
        <v>156</v>
      </c>
      <c r="D1830" t="s">
        <v>3288</v>
      </c>
      <c r="E1830" s="116">
        <v>856.08600000000001</v>
      </c>
      <c r="F1830" s="149" t="s">
        <v>122</v>
      </c>
      <c r="G1830" s="149" t="s">
        <v>135</v>
      </c>
      <c r="H1830" t="s">
        <v>39</v>
      </c>
      <c r="J1830" t="s">
        <v>563</v>
      </c>
      <c r="L1830" s="160"/>
      <c r="M1830" s="48"/>
      <c r="N1830" s="123"/>
    </row>
    <row r="1831" spans="1:14" customFormat="1" x14ac:dyDescent="0.55000000000000004">
      <c r="A1831" s="65" t="s">
        <v>561</v>
      </c>
      <c r="B1831" t="s">
        <v>140</v>
      </c>
      <c r="C1831" t="s">
        <v>121</v>
      </c>
      <c r="D1831" t="s">
        <v>3288</v>
      </c>
      <c r="E1831" s="116">
        <v>1</v>
      </c>
      <c r="F1831" s="149" t="s">
        <v>135</v>
      </c>
      <c r="G1831" s="149">
        <v>1</v>
      </c>
      <c r="H1831" t="s">
        <v>39</v>
      </c>
      <c r="J1831" t="s">
        <v>561</v>
      </c>
      <c r="L1831" s="160">
        <v>7206</v>
      </c>
      <c r="M1831" s="48"/>
      <c r="N1831" s="123"/>
    </row>
    <row r="1832" spans="1:14" customFormat="1" x14ac:dyDescent="0.55000000000000004">
      <c r="A1832" s="65" t="s">
        <v>561</v>
      </c>
      <c r="B1832" t="s">
        <v>262</v>
      </c>
      <c r="C1832" t="s">
        <v>127</v>
      </c>
      <c r="D1832" t="s">
        <v>2994</v>
      </c>
      <c r="E1832" s="116">
        <v>0.9</v>
      </c>
      <c r="F1832" s="149" t="s">
        <v>138</v>
      </c>
      <c r="G1832" s="149" t="s">
        <v>135</v>
      </c>
      <c r="H1832" t="s">
        <v>39</v>
      </c>
      <c r="J1832" t="s">
        <v>561</v>
      </c>
      <c r="L1832" s="160"/>
      <c r="M1832" s="48"/>
      <c r="N1832" s="123"/>
    </row>
    <row r="1833" spans="1:14" customFormat="1" x14ac:dyDescent="0.55000000000000004">
      <c r="A1833" s="65" t="s">
        <v>561</v>
      </c>
      <c r="B1833" t="s">
        <v>153</v>
      </c>
      <c r="C1833" t="s">
        <v>127</v>
      </c>
      <c r="D1833" t="s">
        <v>2994</v>
      </c>
      <c r="E1833" s="116">
        <v>12.56</v>
      </c>
      <c r="F1833" s="149" t="s">
        <v>138</v>
      </c>
      <c r="G1833" s="149" t="s">
        <v>135</v>
      </c>
      <c r="H1833" t="s">
        <v>39</v>
      </c>
      <c r="J1833" t="s">
        <v>561</v>
      </c>
      <c r="L1833" s="160"/>
      <c r="M1833" s="48"/>
      <c r="N1833" s="123"/>
    </row>
    <row r="1834" spans="1:14" customFormat="1" x14ac:dyDescent="0.55000000000000004">
      <c r="A1834" s="65" t="s">
        <v>561</v>
      </c>
      <c r="B1834" t="s">
        <v>171</v>
      </c>
      <c r="C1834" t="s">
        <v>127</v>
      </c>
      <c r="D1834" t="s">
        <v>2994</v>
      </c>
      <c r="E1834" s="116">
        <v>2.17</v>
      </c>
      <c r="F1834" s="149" t="s">
        <v>138</v>
      </c>
      <c r="G1834" s="149" t="s">
        <v>135</v>
      </c>
      <c r="H1834" t="s">
        <v>39</v>
      </c>
      <c r="J1834" t="s">
        <v>561</v>
      </c>
      <c r="L1834" s="160"/>
      <c r="M1834" s="48"/>
      <c r="N1834" s="123"/>
    </row>
    <row r="1835" spans="1:14" customFormat="1" x14ac:dyDescent="0.55000000000000004">
      <c r="A1835" s="65" t="s">
        <v>561</v>
      </c>
      <c r="B1835" t="s">
        <v>160</v>
      </c>
      <c r="C1835" t="s">
        <v>247</v>
      </c>
      <c r="D1835" t="s">
        <v>3288</v>
      </c>
      <c r="E1835" s="116">
        <v>208.08741622797959</v>
      </c>
      <c r="F1835" s="149" t="s">
        <v>122</v>
      </c>
      <c r="G1835" s="149" t="s">
        <v>135</v>
      </c>
      <c r="H1835" t="s">
        <v>39</v>
      </c>
      <c r="J1835" t="s">
        <v>561</v>
      </c>
      <c r="L1835" s="160"/>
      <c r="M1835" s="48"/>
      <c r="N1835" s="123"/>
    </row>
    <row r="1836" spans="1:14" customFormat="1" x14ac:dyDescent="0.55000000000000004">
      <c r="A1836" s="54" t="s">
        <v>559</v>
      </c>
      <c r="B1836" t="s">
        <v>134</v>
      </c>
      <c r="C1836" t="s">
        <v>121</v>
      </c>
      <c r="D1836" t="s">
        <v>3288</v>
      </c>
      <c r="E1836" s="116">
        <v>1</v>
      </c>
      <c r="F1836" s="149" t="s">
        <v>135</v>
      </c>
      <c r="G1836" s="149">
        <v>1</v>
      </c>
      <c r="H1836" t="s">
        <v>39</v>
      </c>
      <c r="J1836" t="s">
        <v>559</v>
      </c>
      <c r="L1836" s="160">
        <v>2523</v>
      </c>
      <c r="M1836" s="48"/>
      <c r="N1836" s="123"/>
    </row>
    <row r="1837" spans="1:14" customFormat="1" x14ac:dyDescent="0.55000000000000004">
      <c r="A1837" s="54" t="s">
        <v>559</v>
      </c>
      <c r="B1837" t="s">
        <v>230</v>
      </c>
      <c r="C1837" t="s">
        <v>127</v>
      </c>
      <c r="D1837" t="s">
        <v>2994</v>
      </c>
      <c r="E1837" s="116">
        <v>0.35</v>
      </c>
      <c r="F1837" s="149" t="s">
        <v>138</v>
      </c>
      <c r="G1837" s="149" t="s">
        <v>135</v>
      </c>
      <c r="H1837" t="s">
        <v>39</v>
      </c>
      <c r="J1837" t="s">
        <v>559</v>
      </c>
      <c r="L1837" s="160"/>
      <c r="M1837" s="48"/>
      <c r="N1837" s="123"/>
    </row>
    <row r="1838" spans="1:14" customFormat="1" x14ac:dyDescent="0.55000000000000004">
      <c r="A1838" s="54" t="s">
        <v>559</v>
      </c>
      <c r="B1838" t="s">
        <v>262</v>
      </c>
      <c r="C1838" t="s">
        <v>127</v>
      </c>
      <c r="D1838" t="s">
        <v>2994</v>
      </c>
      <c r="E1838" s="116">
        <v>4.16</v>
      </c>
      <c r="F1838" s="149" t="s">
        <v>138</v>
      </c>
      <c r="G1838" s="149" t="s">
        <v>135</v>
      </c>
      <c r="H1838" t="s">
        <v>39</v>
      </c>
      <c r="J1838" t="s">
        <v>559</v>
      </c>
      <c r="L1838" s="160"/>
      <c r="M1838" s="48"/>
      <c r="N1838" s="123"/>
    </row>
    <row r="1839" spans="1:14" customFormat="1" x14ac:dyDescent="0.55000000000000004">
      <c r="A1839" s="54" t="s">
        <v>559</v>
      </c>
      <c r="B1839" t="s">
        <v>153</v>
      </c>
      <c r="C1839" t="s">
        <v>127</v>
      </c>
      <c r="D1839" t="s">
        <v>2994</v>
      </c>
      <c r="E1839" s="116">
        <v>0.41</v>
      </c>
      <c r="F1839" s="149" t="s">
        <v>138</v>
      </c>
      <c r="G1839" s="149" t="s">
        <v>135</v>
      </c>
      <c r="H1839" t="s">
        <v>39</v>
      </c>
      <c r="J1839" t="s">
        <v>559</v>
      </c>
      <c r="L1839" s="160"/>
      <c r="M1839" s="48"/>
      <c r="N1839" s="123"/>
    </row>
    <row r="1840" spans="1:14" customFormat="1" x14ac:dyDescent="0.55000000000000004">
      <c r="A1840" s="54" t="s">
        <v>559</v>
      </c>
      <c r="B1840" t="s">
        <v>445</v>
      </c>
      <c r="C1840" t="s">
        <v>127</v>
      </c>
      <c r="D1840" t="s">
        <v>2994</v>
      </c>
      <c r="E1840" s="116">
        <v>1.04</v>
      </c>
      <c r="F1840" s="149" t="s">
        <v>138</v>
      </c>
      <c r="G1840" s="149" t="s">
        <v>135</v>
      </c>
      <c r="H1840" t="s">
        <v>39</v>
      </c>
      <c r="J1840" t="s">
        <v>559</v>
      </c>
      <c r="L1840" s="160"/>
      <c r="M1840" s="48"/>
      <c r="N1840" s="123"/>
    </row>
    <row r="1841" spans="1:14" customFormat="1" x14ac:dyDescent="0.55000000000000004">
      <c r="A1841" s="54" t="s">
        <v>559</v>
      </c>
      <c r="B1841" t="s">
        <v>171</v>
      </c>
      <c r="C1841" t="s">
        <v>127</v>
      </c>
      <c r="D1841" t="s">
        <v>2994</v>
      </c>
      <c r="E1841" s="116">
        <v>0.52</v>
      </c>
      <c r="F1841" s="149" t="s">
        <v>138</v>
      </c>
      <c r="G1841" s="149" t="s">
        <v>135</v>
      </c>
      <c r="H1841" t="s">
        <v>39</v>
      </c>
      <c r="J1841" t="s">
        <v>559</v>
      </c>
      <c r="L1841" s="160"/>
      <c r="M1841" s="48"/>
      <c r="N1841" s="123"/>
    </row>
    <row r="1842" spans="1:14" customFormat="1" x14ac:dyDescent="0.55000000000000004">
      <c r="A1842" s="54" t="s">
        <v>559</v>
      </c>
      <c r="B1842" t="s">
        <v>160</v>
      </c>
      <c r="C1842" t="s">
        <v>247</v>
      </c>
      <c r="D1842" t="s">
        <v>3288</v>
      </c>
      <c r="E1842" s="116">
        <v>513.62101318070006</v>
      </c>
      <c r="F1842" s="149" t="s">
        <v>122</v>
      </c>
      <c r="G1842" s="149" t="s">
        <v>135</v>
      </c>
      <c r="H1842" t="s">
        <v>39</v>
      </c>
      <c r="J1842" t="s">
        <v>559</v>
      </c>
      <c r="L1842" s="160"/>
      <c r="M1842" s="48"/>
      <c r="N1842" s="123"/>
    </row>
    <row r="1843" spans="1:14" customFormat="1" x14ac:dyDescent="0.55000000000000004">
      <c r="A1843" s="54" t="s">
        <v>559</v>
      </c>
      <c r="B1843" t="s">
        <v>160</v>
      </c>
      <c r="C1843" t="s">
        <v>560</v>
      </c>
      <c r="D1843" t="s">
        <v>3288</v>
      </c>
      <c r="E1843" s="116">
        <v>505.2</v>
      </c>
      <c r="F1843" s="149" t="s">
        <v>122</v>
      </c>
      <c r="G1843" s="149" t="s">
        <v>135</v>
      </c>
      <c r="H1843" t="s">
        <v>39</v>
      </c>
      <c r="J1843" t="s">
        <v>559</v>
      </c>
      <c r="L1843" s="160"/>
      <c r="M1843" s="48"/>
      <c r="N1843" s="123"/>
    </row>
    <row r="1844" spans="1:14" customFormat="1" x14ac:dyDescent="0.55000000000000004">
      <c r="A1844" s="93" t="s">
        <v>555</v>
      </c>
      <c r="B1844" t="s">
        <v>556</v>
      </c>
      <c r="C1844" t="s">
        <v>121</v>
      </c>
      <c r="D1844" t="s">
        <v>3288</v>
      </c>
      <c r="E1844" s="116">
        <v>1</v>
      </c>
      <c r="F1844" s="149" t="s">
        <v>135</v>
      </c>
      <c r="G1844" s="149">
        <v>1</v>
      </c>
      <c r="H1844" t="s">
        <v>39</v>
      </c>
      <c r="J1844" t="s">
        <v>558</v>
      </c>
      <c r="L1844" s="160" t="s">
        <v>557</v>
      </c>
      <c r="M1844" s="48"/>
      <c r="N1844" s="123"/>
    </row>
    <row r="1845" spans="1:14" customFormat="1" x14ac:dyDescent="0.55000000000000004">
      <c r="A1845" s="93" t="s">
        <v>555</v>
      </c>
      <c r="B1845" t="s">
        <v>188</v>
      </c>
      <c r="C1845" t="s">
        <v>127</v>
      </c>
      <c r="D1845" t="s">
        <v>2994</v>
      </c>
      <c r="E1845" s="116">
        <v>4.7300000000000004</v>
      </c>
      <c r="F1845" s="149" t="s">
        <v>138</v>
      </c>
      <c r="G1845" s="149" t="s">
        <v>135</v>
      </c>
      <c r="H1845" t="s">
        <v>39</v>
      </c>
      <c r="J1845" t="s">
        <v>558</v>
      </c>
      <c r="L1845" s="160"/>
      <c r="M1845" s="48"/>
      <c r="N1845" s="123"/>
    </row>
    <row r="1846" spans="1:14" customFormat="1" x14ac:dyDescent="0.55000000000000004">
      <c r="A1846" s="93" t="s">
        <v>555</v>
      </c>
      <c r="B1846" t="s">
        <v>153</v>
      </c>
      <c r="C1846" t="s">
        <v>127</v>
      </c>
      <c r="D1846" t="s">
        <v>2994</v>
      </c>
      <c r="E1846" s="116">
        <v>15.55</v>
      </c>
      <c r="F1846" s="149" t="s">
        <v>138</v>
      </c>
      <c r="G1846" s="149" t="s">
        <v>135</v>
      </c>
      <c r="H1846" t="s">
        <v>39</v>
      </c>
      <c r="J1846" t="s">
        <v>558</v>
      </c>
      <c r="L1846" s="160"/>
      <c r="M1846" s="48"/>
      <c r="N1846" s="123"/>
    </row>
    <row r="1847" spans="1:14" customFormat="1" x14ac:dyDescent="0.55000000000000004">
      <c r="A1847" s="106" t="s">
        <v>550</v>
      </c>
      <c r="B1847" s="61" t="s">
        <v>551</v>
      </c>
      <c r="C1847" s="61" t="s">
        <v>121</v>
      </c>
      <c r="D1847" s="61" t="s">
        <v>3288</v>
      </c>
      <c r="E1847" s="119">
        <v>1</v>
      </c>
      <c r="F1847" s="148" t="s">
        <v>133</v>
      </c>
      <c r="G1847" s="148">
        <v>1</v>
      </c>
      <c r="H1847" s="61" t="s">
        <v>39</v>
      </c>
      <c r="J1847" s="86" t="s">
        <v>501</v>
      </c>
      <c r="K1847" s="61" t="s">
        <v>1193</v>
      </c>
      <c r="L1847" s="159">
        <v>4412</v>
      </c>
      <c r="M1847" s="48"/>
      <c r="N1847" s="123"/>
    </row>
    <row r="1848" spans="1:14" customFormat="1" x14ac:dyDescent="0.55000000000000004">
      <c r="A1848" s="106" t="s">
        <v>550</v>
      </c>
      <c r="B1848" s="61" t="s">
        <v>502</v>
      </c>
      <c r="C1848" s="61" t="s">
        <v>156</v>
      </c>
      <c r="D1848" s="61" t="s">
        <v>3288</v>
      </c>
      <c r="E1848" s="119">
        <v>0.58799999999999997</v>
      </c>
      <c r="F1848" s="148" t="s">
        <v>133</v>
      </c>
      <c r="G1848" s="148">
        <v>1</v>
      </c>
      <c r="H1848" s="61" t="s">
        <v>39</v>
      </c>
      <c r="J1848" s="86" t="s">
        <v>501</v>
      </c>
      <c r="K1848" s="61" t="s">
        <v>1193</v>
      </c>
      <c r="L1848" s="159"/>
      <c r="M1848" s="48"/>
      <c r="N1848" s="123"/>
    </row>
    <row r="1849" spans="1:14" customFormat="1" x14ac:dyDescent="0.55000000000000004">
      <c r="A1849" s="106" t="s">
        <v>550</v>
      </c>
      <c r="B1849" s="61" t="s">
        <v>503</v>
      </c>
      <c r="C1849" s="61" t="s">
        <v>125</v>
      </c>
      <c r="D1849" s="61" t="s">
        <v>3288</v>
      </c>
      <c r="E1849" s="119">
        <v>0.63300000000000001</v>
      </c>
      <c r="F1849" s="148" t="s">
        <v>133</v>
      </c>
      <c r="G1849" s="148">
        <v>1</v>
      </c>
      <c r="H1849" s="61" t="s">
        <v>39</v>
      </c>
      <c r="J1849" s="86" t="s">
        <v>501</v>
      </c>
      <c r="K1849" s="61" t="s">
        <v>1193</v>
      </c>
      <c r="L1849" s="159"/>
      <c r="M1849" s="48"/>
      <c r="N1849" s="123"/>
    </row>
    <row r="1850" spans="1:14" customFormat="1" x14ac:dyDescent="0.55000000000000004">
      <c r="A1850" s="106" t="s">
        <v>550</v>
      </c>
      <c r="B1850" s="61" t="s">
        <v>515</v>
      </c>
      <c r="C1850" s="61" t="s">
        <v>125</v>
      </c>
      <c r="D1850" s="61" t="s">
        <v>3288</v>
      </c>
      <c r="E1850" s="119">
        <v>0</v>
      </c>
      <c r="F1850" s="148" t="s">
        <v>133</v>
      </c>
      <c r="G1850" s="148">
        <v>1</v>
      </c>
      <c r="H1850" s="61" t="s">
        <v>39</v>
      </c>
      <c r="J1850" s="86" t="s">
        <v>501</v>
      </c>
      <c r="K1850" s="61" t="s">
        <v>1193</v>
      </c>
      <c r="L1850" s="159"/>
      <c r="M1850" s="48"/>
      <c r="N1850" s="123"/>
    </row>
    <row r="1851" spans="1:14" customFormat="1" x14ac:dyDescent="0.55000000000000004">
      <c r="A1851" s="106" t="s">
        <v>550</v>
      </c>
      <c r="B1851" s="61" t="s">
        <v>516</v>
      </c>
      <c r="C1851" s="61" t="s">
        <v>125</v>
      </c>
      <c r="D1851" s="61" t="s">
        <v>3288</v>
      </c>
      <c r="E1851" s="119">
        <v>0.95499999999999996</v>
      </c>
      <c r="F1851" s="148" t="s">
        <v>133</v>
      </c>
      <c r="G1851" s="148">
        <v>1</v>
      </c>
      <c r="H1851" s="61" t="s">
        <v>39</v>
      </c>
      <c r="J1851" s="86" t="s">
        <v>501</v>
      </c>
      <c r="K1851" s="61" t="s">
        <v>1193</v>
      </c>
      <c r="L1851" s="159"/>
      <c r="M1851" s="48"/>
      <c r="N1851" s="123"/>
    </row>
    <row r="1852" spans="1:14" customFormat="1" x14ac:dyDescent="0.55000000000000004">
      <c r="A1852" s="106" t="s">
        <v>550</v>
      </c>
      <c r="B1852" s="61" t="s">
        <v>153</v>
      </c>
      <c r="C1852" s="61" t="s">
        <v>127</v>
      </c>
      <c r="D1852" s="61" t="s">
        <v>2994</v>
      </c>
      <c r="E1852" s="119">
        <v>101.776</v>
      </c>
      <c r="F1852" s="148" t="s">
        <v>130</v>
      </c>
      <c r="G1852" s="148">
        <v>1</v>
      </c>
      <c r="H1852" s="61" t="s">
        <v>39</v>
      </c>
      <c r="J1852" s="86" t="s">
        <v>501</v>
      </c>
      <c r="K1852" s="61" t="s">
        <v>1193</v>
      </c>
      <c r="L1852" s="159"/>
      <c r="M1852" s="48"/>
      <c r="N1852" s="123"/>
    </row>
    <row r="1853" spans="1:14" customFormat="1" x14ac:dyDescent="0.55000000000000004">
      <c r="A1853" s="106" t="s">
        <v>550</v>
      </c>
      <c r="B1853" s="61" t="s">
        <v>171</v>
      </c>
      <c r="C1853" s="61" t="s">
        <v>127</v>
      </c>
      <c r="D1853" s="61" t="s">
        <v>2994</v>
      </c>
      <c r="E1853" s="119">
        <v>0</v>
      </c>
      <c r="F1853" s="148" t="s">
        <v>167</v>
      </c>
      <c r="G1853" s="148">
        <v>1</v>
      </c>
      <c r="H1853" s="61" t="s">
        <v>39</v>
      </c>
      <c r="J1853" s="86" t="s">
        <v>501</v>
      </c>
      <c r="K1853" s="61" t="s">
        <v>1193</v>
      </c>
      <c r="L1853" s="159"/>
      <c r="M1853" s="48"/>
      <c r="N1853" s="123"/>
    </row>
    <row r="1854" spans="1:14" customFormat="1" x14ac:dyDescent="0.55000000000000004">
      <c r="A1854" s="106" t="s">
        <v>550</v>
      </c>
      <c r="B1854" s="61" t="s">
        <v>505</v>
      </c>
      <c r="C1854" s="61" t="s">
        <v>127</v>
      </c>
      <c r="D1854" s="61" t="s">
        <v>2994</v>
      </c>
      <c r="E1854" s="119">
        <v>1.167</v>
      </c>
      <c r="F1854" s="148" t="s">
        <v>167</v>
      </c>
      <c r="G1854" s="148">
        <v>1</v>
      </c>
      <c r="H1854" s="61" t="s">
        <v>39</v>
      </c>
      <c r="J1854" s="86" t="s">
        <v>501</v>
      </c>
      <c r="K1854" s="61" t="s">
        <v>1176</v>
      </c>
      <c r="L1854" s="159"/>
      <c r="M1854" s="48"/>
      <c r="N1854" s="123"/>
    </row>
    <row r="1855" spans="1:14" customFormat="1" x14ac:dyDescent="0.55000000000000004">
      <c r="A1855" s="106" t="s">
        <v>550</v>
      </c>
      <c r="B1855" s="61" t="s">
        <v>504</v>
      </c>
      <c r="C1855" s="61" t="s">
        <v>127</v>
      </c>
      <c r="D1855" s="61" t="s">
        <v>2994</v>
      </c>
      <c r="E1855" s="119">
        <v>0</v>
      </c>
      <c r="F1855" s="148" t="s">
        <v>167</v>
      </c>
      <c r="G1855" s="148">
        <v>1</v>
      </c>
      <c r="H1855" s="61" t="s">
        <v>39</v>
      </c>
      <c r="J1855" s="86" t="s">
        <v>501</v>
      </c>
      <c r="K1855" s="61" t="s">
        <v>1176</v>
      </c>
      <c r="L1855" s="159"/>
      <c r="M1855" s="48"/>
      <c r="N1855" s="123"/>
    </row>
    <row r="1856" spans="1:14" customFormat="1" x14ac:dyDescent="0.55000000000000004">
      <c r="A1856" s="106" t="s">
        <v>550</v>
      </c>
      <c r="B1856" s="61" t="s">
        <v>506</v>
      </c>
      <c r="C1856" s="61" t="s">
        <v>127</v>
      </c>
      <c r="D1856" s="61" t="s">
        <v>2994</v>
      </c>
      <c r="E1856" s="119">
        <v>0</v>
      </c>
      <c r="F1856" s="148" t="s">
        <v>167</v>
      </c>
      <c r="G1856" s="148">
        <v>1</v>
      </c>
      <c r="H1856" s="61" t="s">
        <v>39</v>
      </c>
      <c r="J1856" s="86" t="s">
        <v>501</v>
      </c>
      <c r="K1856" s="61" t="s">
        <v>1176</v>
      </c>
      <c r="L1856" s="159"/>
      <c r="M1856" s="48"/>
      <c r="N1856" s="123"/>
    </row>
    <row r="1857" spans="1:14" customFormat="1" x14ac:dyDescent="0.55000000000000004">
      <c r="A1857" s="106" t="s">
        <v>550</v>
      </c>
      <c r="B1857" s="61" t="s">
        <v>504</v>
      </c>
      <c r="C1857" s="61" t="s">
        <v>507</v>
      </c>
      <c r="D1857" s="61" t="s">
        <v>2994</v>
      </c>
      <c r="E1857" s="119">
        <v>844.88</v>
      </c>
      <c r="F1857" s="148" t="s">
        <v>167</v>
      </c>
      <c r="G1857" s="148">
        <v>1</v>
      </c>
      <c r="H1857" s="61" t="s">
        <v>39</v>
      </c>
      <c r="J1857" s="86" t="s">
        <v>501</v>
      </c>
      <c r="K1857" s="61" t="s">
        <v>1176</v>
      </c>
      <c r="L1857" s="159"/>
      <c r="M1857" s="48"/>
      <c r="N1857" s="123"/>
    </row>
    <row r="1858" spans="1:14" customFormat="1" x14ac:dyDescent="0.55000000000000004">
      <c r="A1858" s="106" t="s">
        <v>550</v>
      </c>
      <c r="B1858" s="61" t="s">
        <v>508</v>
      </c>
      <c r="C1858" s="61" t="s">
        <v>127</v>
      </c>
      <c r="D1858" s="61" t="s">
        <v>2994</v>
      </c>
      <c r="E1858" s="119">
        <v>86.831999999999994</v>
      </c>
      <c r="F1858" s="148" t="s">
        <v>167</v>
      </c>
      <c r="G1858" s="148">
        <v>1</v>
      </c>
      <c r="H1858" s="61" t="s">
        <v>39</v>
      </c>
      <c r="J1858" s="86" t="s">
        <v>501</v>
      </c>
      <c r="K1858" s="61" t="s">
        <v>1176</v>
      </c>
      <c r="L1858" s="159"/>
      <c r="M1858" s="48"/>
      <c r="N1858" s="123"/>
    </row>
    <row r="1859" spans="1:14" customFormat="1" x14ac:dyDescent="0.55000000000000004">
      <c r="A1859" s="106" t="s">
        <v>550</v>
      </c>
      <c r="B1859" s="61" t="s">
        <v>510</v>
      </c>
      <c r="C1859" s="61" t="s">
        <v>125</v>
      </c>
      <c r="D1859" s="61" t="s">
        <v>3288</v>
      </c>
      <c r="E1859" s="119">
        <v>3.9830000000000001</v>
      </c>
      <c r="F1859" s="148" t="s">
        <v>122</v>
      </c>
      <c r="G1859" s="148">
        <v>1</v>
      </c>
      <c r="H1859" s="61" t="s">
        <v>39</v>
      </c>
      <c r="J1859" s="86" t="s">
        <v>501</v>
      </c>
      <c r="K1859" s="61" t="s">
        <v>1176</v>
      </c>
      <c r="L1859" s="159"/>
      <c r="M1859" s="48"/>
      <c r="N1859" s="123"/>
    </row>
    <row r="1860" spans="1:14" customFormat="1" x14ac:dyDescent="0.55000000000000004">
      <c r="A1860" s="106" t="s">
        <v>550</v>
      </c>
      <c r="B1860" s="61" t="s">
        <v>530</v>
      </c>
      <c r="C1860" s="61" t="s">
        <v>125</v>
      </c>
      <c r="D1860" s="61" t="s">
        <v>3288</v>
      </c>
      <c r="E1860" s="119">
        <v>0.189</v>
      </c>
      <c r="F1860" s="148" t="s">
        <v>122</v>
      </c>
      <c r="G1860" s="148">
        <v>1</v>
      </c>
      <c r="H1860" s="61" t="s">
        <v>39</v>
      </c>
      <c r="J1860" s="86" t="s">
        <v>501</v>
      </c>
      <c r="K1860" s="61" t="s">
        <v>1176</v>
      </c>
      <c r="L1860" s="159"/>
      <c r="M1860" s="48"/>
      <c r="N1860" s="123"/>
    </row>
    <row r="1861" spans="1:14" customFormat="1" x14ac:dyDescent="0.55000000000000004">
      <c r="A1861" s="106" t="s">
        <v>550</v>
      </c>
      <c r="B1861" s="61" t="s">
        <v>517</v>
      </c>
      <c r="C1861" s="61" t="s">
        <v>125</v>
      </c>
      <c r="D1861" s="61" t="s">
        <v>3288</v>
      </c>
      <c r="E1861" s="119">
        <v>3.3820000000000001</v>
      </c>
      <c r="F1861" s="148" t="s">
        <v>122</v>
      </c>
      <c r="G1861" s="148">
        <v>1</v>
      </c>
      <c r="H1861" s="61" t="s">
        <v>39</v>
      </c>
      <c r="J1861" s="86" t="s">
        <v>501</v>
      </c>
      <c r="K1861" s="61" t="s">
        <v>1176</v>
      </c>
      <c r="L1861" s="159"/>
      <c r="M1861" s="48"/>
      <c r="N1861" s="123"/>
    </row>
    <row r="1862" spans="1:14" customFormat="1" x14ac:dyDescent="0.55000000000000004">
      <c r="A1862" s="106" t="s">
        <v>550</v>
      </c>
      <c r="B1862" s="61" t="s">
        <v>160</v>
      </c>
      <c r="C1862" s="61" t="s">
        <v>497</v>
      </c>
      <c r="D1862" s="61" t="s">
        <v>3288</v>
      </c>
      <c r="E1862" s="119">
        <v>6.285642857</v>
      </c>
      <c r="F1862" s="148" t="s">
        <v>122</v>
      </c>
      <c r="G1862" s="148">
        <v>1</v>
      </c>
      <c r="H1862" s="61" t="s">
        <v>39</v>
      </c>
      <c r="J1862" s="86" t="s">
        <v>501</v>
      </c>
      <c r="K1862" s="61" t="s">
        <v>1176</v>
      </c>
      <c r="L1862" s="159"/>
      <c r="M1862" s="48"/>
      <c r="N1862" s="123"/>
    </row>
    <row r="1863" spans="1:14" customFormat="1" x14ac:dyDescent="0.55000000000000004">
      <c r="A1863" s="106" t="s">
        <v>550</v>
      </c>
      <c r="B1863" s="61" t="s">
        <v>160</v>
      </c>
      <c r="C1863" s="61" t="s">
        <v>512</v>
      </c>
      <c r="D1863" s="61" t="s">
        <v>3288</v>
      </c>
      <c r="E1863" s="119">
        <v>84.488</v>
      </c>
      <c r="F1863" s="148" t="s">
        <v>122</v>
      </c>
      <c r="G1863" s="148">
        <v>1</v>
      </c>
      <c r="H1863" s="61" t="s">
        <v>39</v>
      </c>
      <c r="J1863" s="86" t="s">
        <v>501</v>
      </c>
      <c r="K1863" s="61" t="s">
        <v>1176</v>
      </c>
      <c r="L1863" s="159"/>
      <c r="M1863" s="48"/>
      <c r="N1863" s="123"/>
    </row>
    <row r="1864" spans="1:14" customFormat="1" x14ac:dyDescent="0.55000000000000004">
      <c r="A1864" s="106" t="s">
        <v>544</v>
      </c>
      <c r="B1864" s="61" t="s">
        <v>545</v>
      </c>
      <c r="C1864" s="61" t="s">
        <v>121</v>
      </c>
      <c r="D1864" s="61" t="s">
        <v>3288</v>
      </c>
      <c r="E1864" s="119">
        <v>1</v>
      </c>
      <c r="F1864" s="148" t="s">
        <v>133</v>
      </c>
      <c r="G1864" s="148">
        <v>1</v>
      </c>
      <c r="H1864" s="61" t="s">
        <v>39</v>
      </c>
      <c r="I1864" t="s">
        <v>535</v>
      </c>
      <c r="J1864" s="86" t="s">
        <v>501</v>
      </c>
      <c r="K1864" s="61" t="s">
        <v>1176</v>
      </c>
      <c r="L1864" s="159">
        <v>441192</v>
      </c>
      <c r="M1864" s="48"/>
      <c r="N1864" s="123"/>
    </row>
    <row r="1865" spans="1:14" customFormat="1" x14ac:dyDescent="0.55000000000000004">
      <c r="A1865" s="106" t="s">
        <v>544</v>
      </c>
      <c r="B1865" s="61" t="s">
        <v>502</v>
      </c>
      <c r="C1865" s="61" t="s">
        <v>156</v>
      </c>
      <c r="D1865" s="61" t="s">
        <v>3290</v>
      </c>
      <c r="E1865" s="119">
        <v>0.19900000000000001</v>
      </c>
      <c r="F1865" s="148" t="s">
        <v>135</v>
      </c>
      <c r="G1865" s="148">
        <v>1</v>
      </c>
      <c r="H1865" s="61" t="s">
        <v>39</v>
      </c>
      <c r="I1865" t="s">
        <v>535</v>
      </c>
      <c r="J1865" s="86" t="s">
        <v>501</v>
      </c>
      <c r="K1865" s="61" t="s">
        <v>1176</v>
      </c>
      <c r="L1865" s="159"/>
      <c r="M1865" s="48"/>
      <c r="N1865" s="123"/>
    </row>
    <row r="1866" spans="1:14" customFormat="1" x14ac:dyDescent="0.55000000000000004">
      <c r="A1866" s="106" t="s">
        <v>544</v>
      </c>
      <c r="B1866" s="61" t="s">
        <v>503</v>
      </c>
      <c r="C1866" s="61" t="s">
        <v>125</v>
      </c>
      <c r="D1866" s="61" t="s">
        <v>3290</v>
      </c>
      <c r="E1866" s="119">
        <v>0.254</v>
      </c>
      <c r="F1866" s="148" t="s">
        <v>135</v>
      </c>
      <c r="G1866" s="148">
        <v>1</v>
      </c>
      <c r="H1866" s="61" t="s">
        <v>39</v>
      </c>
      <c r="I1866" t="s">
        <v>535</v>
      </c>
      <c r="J1866" s="86" t="s">
        <v>501</v>
      </c>
      <c r="K1866" s="61" t="s">
        <v>1176</v>
      </c>
      <c r="L1866" s="159"/>
      <c r="M1866" s="48"/>
      <c r="N1866" s="123"/>
    </row>
    <row r="1867" spans="1:14" customFormat="1" x14ac:dyDescent="0.55000000000000004">
      <c r="A1867" s="106" t="s">
        <v>544</v>
      </c>
      <c r="B1867" s="61" t="s">
        <v>502</v>
      </c>
      <c r="C1867" s="61" t="s">
        <v>125</v>
      </c>
      <c r="D1867" s="61" t="s">
        <v>3290</v>
      </c>
      <c r="E1867" s="119">
        <v>0.61399999999999999</v>
      </c>
      <c r="F1867" s="148" t="s">
        <v>135</v>
      </c>
      <c r="G1867" s="148">
        <v>1</v>
      </c>
      <c r="H1867" s="61" t="s">
        <v>39</v>
      </c>
      <c r="I1867" t="s">
        <v>535</v>
      </c>
      <c r="J1867" s="86" t="s">
        <v>501</v>
      </c>
      <c r="K1867" s="61" t="s">
        <v>1187</v>
      </c>
      <c r="L1867" s="159"/>
      <c r="M1867" s="48"/>
      <c r="N1867" s="123"/>
    </row>
    <row r="1868" spans="1:14" customFormat="1" x14ac:dyDescent="0.55000000000000004">
      <c r="A1868" s="106" t="s">
        <v>544</v>
      </c>
      <c r="B1868" s="61" t="s">
        <v>504</v>
      </c>
      <c r="C1868" s="61" t="s">
        <v>125</v>
      </c>
      <c r="D1868" s="61" t="s">
        <v>3290</v>
      </c>
      <c r="E1868" s="119">
        <v>0</v>
      </c>
      <c r="F1868" s="148" t="s">
        <v>135</v>
      </c>
      <c r="G1868" s="148">
        <v>1</v>
      </c>
      <c r="H1868" s="61" t="s">
        <v>39</v>
      </c>
      <c r="I1868" t="s">
        <v>535</v>
      </c>
      <c r="J1868" s="86" t="s">
        <v>501</v>
      </c>
      <c r="K1868" s="61" t="s">
        <v>1187</v>
      </c>
      <c r="L1868" s="159"/>
      <c r="M1868" s="48"/>
      <c r="N1868" s="123"/>
    </row>
    <row r="1869" spans="1:14" customFormat="1" x14ac:dyDescent="0.55000000000000004">
      <c r="A1869" s="106" t="s">
        <v>544</v>
      </c>
      <c r="B1869" s="61" t="s">
        <v>153</v>
      </c>
      <c r="C1869" s="61" t="s">
        <v>127</v>
      </c>
      <c r="D1869" s="61" t="s">
        <v>2994</v>
      </c>
      <c r="E1869" s="119">
        <v>301.06200000000001</v>
      </c>
      <c r="F1869" s="148" t="s">
        <v>130</v>
      </c>
      <c r="G1869" s="148">
        <v>1</v>
      </c>
      <c r="H1869" s="61" t="s">
        <v>39</v>
      </c>
      <c r="I1869" t="s">
        <v>535</v>
      </c>
      <c r="J1869" s="86" t="s">
        <v>501</v>
      </c>
      <c r="K1869" s="61" t="s">
        <v>1188</v>
      </c>
      <c r="L1869" s="159"/>
      <c r="M1869" s="48"/>
      <c r="N1869" s="123"/>
    </row>
    <row r="1870" spans="1:14" customFormat="1" x14ac:dyDescent="0.55000000000000004">
      <c r="A1870" s="106" t="s">
        <v>544</v>
      </c>
      <c r="B1870" s="61" t="s">
        <v>171</v>
      </c>
      <c r="C1870" s="61" t="s">
        <v>127</v>
      </c>
      <c r="D1870" s="61" t="s">
        <v>2994</v>
      </c>
      <c r="E1870" s="119">
        <v>2.464</v>
      </c>
      <c r="F1870" s="148" t="s">
        <v>167</v>
      </c>
      <c r="G1870" s="148">
        <v>1</v>
      </c>
      <c r="H1870" s="61" t="s">
        <v>39</v>
      </c>
      <c r="I1870" t="s">
        <v>535</v>
      </c>
      <c r="J1870" s="86" t="s">
        <v>501</v>
      </c>
      <c r="K1870" s="61" t="s">
        <v>1188</v>
      </c>
      <c r="L1870" s="159"/>
      <c r="M1870" s="48"/>
      <c r="N1870" s="123"/>
    </row>
    <row r="1871" spans="1:14" customFormat="1" x14ac:dyDescent="0.55000000000000004">
      <c r="A1871" s="106" t="s">
        <v>544</v>
      </c>
      <c r="B1871" s="61" t="s">
        <v>505</v>
      </c>
      <c r="C1871" s="61" t="s">
        <v>127</v>
      </c>
      <c r="D1871" s="61" t="s">
        <v>2994</v>
      </c>
      <c r="E1871" s="119">
        <v>34.683</v>
      </c>
      <c r="F1871" s="148" t="s">
        <v>167</v>
      </c>
      <c r="G1871" s="148">
        <v>1</v>
      </c>
      <c r="H1871" s="61" t="s">
        <v>39</v>
      </c>
      <c r="I1871" t="s">
        <v>535</v>
      </c>
      <c r="J1871" s="86" t="s">
        <v>501</v>
      </c>
      <c r="K1871" s="61" t="s">
        <v>1188</v>
      </c>
      <c r="L1871" s="159"/>
      <c r="M1871" s="48"/>
      <c r="N1871" s="123"/>
    </row>
    <row r="1872" spans="1:14" customFormat="1" x14ac:dyDescent="0.55000000000000004">
      <c r="A1872" s="106" t="s">
        <v>544</v>
      </c>
      <c r="B1872" s="61" t="s">
        <v>504</v>
      </c>
      <c r="C1872" s="61" t="s">
        <v>127</v>
      </c>
      <c r="D1872" s="61" t="s">
        <v>2994</v>
      </c>
      <c r="E1872" s="119">
        <v>5883.4</v>
      </c>
      <c r="F1872" s="148" t="s">
        <v>167</v>
      </c>
      <c r="G1872" s="148">
        <v>1</v>
      </c>
      <c r="H1872" s="61" t="s">
        <v>39</v>
      </c>
      <c r="I1872" t="s">
        <v>535</v>
      </c>
      <c r="J1872" s="86" t="s">
        <v>501</v>
      </c>
      <c r="K1872" s="61" t="s">
        <v>1188</v>
      </c>
      <c r="L1872" s="159"/>
      <c r="M1872" s="48"/>
      <c r="N1872" s="123"/>
    </row>
    <row r="1873" spans="1:14" customFormat="1" x14ac:dyDescent="0.55000000000000004">
      <c r="A1873" s="106" t="s">
        <v>544</v>
      </c>
      <c r="B1873" s="61" t="s">
        <v>506</v>
      </c>
      <c r="C1873" s="61" t="s">
        <v>127</v>
      </c>
      <c r="D1873" s="61" t="s">
        <v>2994</v>
      </c>
      <c r="E1873" s="119">
        <v>0</v>
      </c>
      <c r="F1873" s="148" t="s">
        <v>167</v>
      </c>
      <c r="G1873" s="148">
        <v>1</v>
      </c>
      <c r="H1873" s="61" t="s">
        <v>39</v>
      </c>
      <c r="I1873" t="s">
        <v>535</v>
      </c>
      <c r="J1873" s="86" t="s">
        <v>501</v>
      </c>
      <c r="K1873" s="61" t="s">
        <v>1188</v>
      </c>
      <c r="L1873" s="159"/>
      <c r="M1873" s="48"/>
      <c r="N1873" s="123"/>
    </row>
    <row r="1874" spans="1:14" customFormat="1" x14ac:dyDescent="0.55000000000000004">
      <c r="A1874" s="106" t="s">
        <v>544</v>
      </c>
      <c r="B1874" s="61" t="s">
        <v>504</v>
      </c>
      <c r="C1874" s="61" t="s">
        <v>507</v>
      </c>
      <c r="D1874" s="61" t="s">
        <v>2994</v>
      </c>
      <c r="E1874" s="119">
        <v>3701</v>
      </c>
      <c r="F1874" s="148" t="s">
        <v>167</v>
      </c>
      <c r="G1874" s="148">
        <v>1</v>
      </c>
      <c r="H1874" s="61" t="s">
        <v>39</v>
      </c>
      <c r="I1874" t="s">
        <v>535</v>
      </c>
      <c r="J1874" s="86" t="s">
        <v>501</v>
      </c>
      <c r="K1874" s="61" t="s">
        <v>1188</v>
      </c>
      <c r="L1874" s="159"/>
      <c r="M1874" s="48"/>
      <c r="N1874" s="123"/>
    </row>
    <row r="1875" spans="1:14" customFormat="1" x14ac:dyDescent="0.55000000000000004">
      <c r="A1875" s="106" t="s">
        <v>544</v>
      </c>
      <c r="B1875" s="61" t="s">
        <v>508</v>
      </c>
      <c r="C1875" s="61" t="s">
        <v>127</v>
      </c>
      <c r="D1875" s="61" t="s">
        <v>2994</v>
      </c>
      <c r="E1875" s="119">
        <v>32.4</v>
      </c>
      <c r="F1875" s="148" t="s">
        <v>167</v>
      </c>
      <c r="G1875" s="148">
        <v>1</v>
      </c>
      <c r="H1875" s="61" t="s">
        <v>39</v>
      </c>
      <c r="I1875" t="s">
        <v>535</v>
      </c>
      <c r="J1875" s="86" t="s">
        <v>501</v>
      </c>
      <c r="K1875" s="61" t="s">
        <v>1188</v>
      </c>
      <c r="L1875" s="159"/>
      <c r="M1875" s="48"/>
      <c r="N1875" s="123"/>
    </row>
    <row r="1876" spans="1:14" customFormat="1" x14ac:dyDescent="0.55000000000000004">
      <c r="A1876" s="106" t="s">
        <v>544</v>
      </c>
      <c r="B1876" s="61" t="s">
        <v>509</v>
      </c>
      <c r="C1876" s="61" t="s">
        <v>125</v>
      </c>
      <c r="D1876" s="61" t="s">
        <v>3288</v>
      </c>
      <c r="E1876" s="119">
        <v>113.27800000000001</v>
      </c>
      <c r="F1876" s="148" t="s">
        <v>122</v>
      </c>
      <c r="G1876" s="148">
        <v>1</v>
      </c>
      <c r="H1876" s="61" t="s">
        <v>39</v>
      </c>
      <c r="I1876" t="s">
        <v>535</v>
      </c>
      <c r="J1876" s="86" t="s">
        <v>501</v>
      </c>
      <c r="K1876" s="61" t="s">
        <v>1188</v>
      </c>
      <c r="L1876" s="159"/>
      <c r="M1876" s="48"/>
      <c r="N1876" s="123"/>
    </row>
    <row r="1877" spans="1:14" customFormat="1" x14ac:dyDescent="0.55000000000000004">
      <c r="A1877" s="106" t="s">
        <v>544</v>
      </c>
      <c r="B1877" s="61" t="s">
        <v>527</v>
      </c>
      <c r="C1877" s="61" t="s">
        <v>125</v>
      </c>
      <c r="D1877" s="61" t="s">
        <v>3288</v>
      </c>
      <c r="E1877" s="119">
        <v>0</v>
      </c>
      <c r="F1877" s="148" t="s">
        <v>122</v>
      </c>
      <c r="G1877" s="148">
        <v>1</v>
      </c>
      <c r="H1877" s="61" t="s">
        <v>39</v>
      </c>
      <c r="I1877" t="s">
        <v>535</v>
      </c>
      <c r="J1877" s="86" t="s">
        <v>501</v>
      </c>
      <c r="K1877" s="61" t="s">
        <v>1188</v>
      </c>
      <c r="L1877" s="159"/>
      <c r="M1877" s="48"/>
      <c r="N1877" s="123"/>
    </row>
    <row r="1878" spans="1:14" customFormat="1" x14ac:dyDescent="0.55000000000000004">
      <c r="A1878" s="106" t="s">
        <v>544</v>
      </c>
      <c r="B1878" s="61" t="s">
        <v>517</v>
      </c>
      <c r="C1878" s="61" t="s">
        <v>125</v>
      </c>
      <c r="D1878" s="61" t="s">
        <v>3288</v>
      </c>
      <c r="E1878" s="119">
        <v>0</v>
      </c>
      <c r="F1878" s="148" t="s">
        <v>122</v>
      </c>
      <c r="G1878" s="148">
        <v>1</v>
      </c>
      <c r="H1878" s="61" t="s">
        <v>39</v>
      </c>
      <c r="I1878" t="s">
        <v>535</v>
      </c>
      <c r="J1878" s="86" t="s">
        <v>501</v>
      </c>
      <c r="K1878" s="61" t="s">
        <v>1188</v>
      </c>
      <c r="L1878" s="159"/>
      <c r="M1878" s="48"/>
      <c r="N1878" s="123"/>
    </row>
    <row r="1879" spans="1:14" customFormat="1" x14ac:dyDescent="0.55000000000000004">
      <c r="A1879" s="106" t="s">
        <v>544</v>
      </c>
      <c r="B1879" s="61" t="s">
        <v>160</v>
      </c>
      <c r="C1879" s="61" t="s">
        <v>497</v>
      </c>
      <c r="D1879" s="61" t="s">
        <v>3288</v>
      </c>
      <c r="E1879" s="119">
        <v>4.9676428570000004</v>
      </c>
      <c r="F1879" s="148" t="s">
        <v>122</v>
      </c>
      <c r="G1879" s="148">
        <v>1</v>
      </c>
      <c r="H1879" s="61" t="s">
        <v>39</v>
      </c>
      <c r="I1879" t="s">
        <v>535</v>
      </c>
      <c r="J1879" s="86" t="s">
        <v>501</v>
      </c>
      <c r="K1879" s="61" t="s">
        <v>1188</v>
      </c>
      <c r="L1879" s="159"/>
      <c r="M1879" s="48"/>
      <c r="N1879" s="123"/>
    </row>
    <row r="1880" spans="1:14" customFormat="1" x14ac:dyDescent="0.55000000000000004">
      <c r="A1880" s="106" t="s">
        <v>544</v>
      </c>
      <c r="B1880" s="61" t="s">
        <v>160</v>
      </c>
      <c r="C1880" s="61" t="s">
        <v>512</v>
      </c>
      <c r="D1880" s="61" t="s">
        <v>3288</v>
      </c>
      <c r="E1880" s="119">
        <v>958.44</v>
      </c>
      <c r="F1880" s="148" t="s">
        <v>122</v>
      </c>
      <c r="G1880" s="148">
        <v>1</v>
      </c>
      <c r="H1880" s="61" t="s">
        <v>39</v>
      </c>
      <c r="I1880" t="s">
        <v>535</v>
      </c>
      <c r="J1880" s="86" t="s">
        <v>501</v>
      </c>
      <c r="K1880" s="61" t="s">
        <v>1188</v>
      </c>
      <c r="L1880" s="159"/>
      <c r="M1880" s="48"/>
      <c r="N1880" s="123"/>
    </row>
    <row r="1881" spans="1:14" customFormat="1" x14ac:dyDescent="0.55000000000000004">
      <c r="A1881" s="106" t="s">
        <v>533</v>
      </c>
      <c r="B1881" s="61" t="s">
        <v>534</v>
      </c>
      <c r="C1881" s="61" t="s">
        <v>121</v>
      </c>
      <c r="D1881" s="61" t="s">
        <v>3288</v>
      </c>
      <c r="E1881" s="119">
        <v>1</v>
      </c>
      <c r="F1881" s="148" t="s">
        <v>133</v>
      </c>
      <c r="G1881" s="148">
        <v>1</v>
      </c>
      <c r="H1881" s="61" t="s">
        <v>39</v>
      </c>
      <c r="I1881" t="s">
        <v>535</v>
      </c>
      <c r="J1881" s="86" t="s">
        <v>501</v>
      </c>
      <c r="K1881" s="61" t="s">
        <v>1188</v>
      </c>
      <c r="L1881" s="159">
        <v>441193</v>
      </c>
      <c r="M1881" s="48"/>
      <c r="N1881" s="123"/>
    </row>
    <row r="1882" spans="1:14" customFormat="1" x14ac:dyDescent="0.55000000000000004">
      <c r="A1882" s="106" t="s">
        <v>533</v>
      </c>
      <c r="B1882" s="61" t="s">
        <v>502</v>
      </c>
      <c r="C1882" s="61" t="s">
        <v>156</v>
      </c>
      <c r="D1882" s="61" t="s">
        <v>3288</v>
      </c>
      <c r="E1882" s="119">
        <v>0.222</v>
      </c>
      <c r="F1882" s="148" t="s">
        <v>133</v>
      </c>
      <c r="G1882" s="148">
        <v>1</v>
      </c>
      <c r="H1882" s="61" t="s">
        <v>39</v>
      </c>
      <c r="I1882" t="s">
        <v>535</v>
      </c>
      <c r="J1882" s="86" t="s">
        <v>501</v>
      </c>
      <c r="K1882" s="61" t="s">
        <v>1188</v>
      </c>
      <c r="L1882" s="159"/>
      <c r="M1882" s="48"/>
      <c r="N1882" s="123"/>
    </row>
    <row r="1883" spans="1:14" customFormat="1" x14ac:dyDescent="0.55000000000000004">
      <c r="A1883" s="106" t="s">
        <v>533</v>
      </c>
      <c r="B1883" s="61" t="s">
        <v>503</v>
      </c>
      <c r="C1883" s="61" t="s">
        <v>125</v>
      </c>
      <c r="D1883" s="61" t="s">
        <v>3290</v>
      </c>
      <c r="E1883" s="119">
        <v>0.41399999999999998</v>
      </c>
      <c r="F1883" s="148" t="s">
        <v>135</v>
      </c>
      <c r="G1883" s="148">
        <v>1</v>
      </c>
      <c r="H1883" s="61" t="s">
        <v>39</v>
      </c>
      <c r="I1883" t="s">
        <v>535</v>
      </c>
      <c r="J1883" s="86" t="s">
        <v>501</v>
      </c>
      <c r="K1883" s="61" t="s">
        <v>1188</v>
      </c>
      <c r="L1883" s="159"/>
      <c r="M1883" s="48"/>
      <c r="N1883" s="123"/>
    </row>
    <row r="1884" spans="1:14" customFormat="1" x14ac:dyDescent="0.55000000000000004">
      <c r="A1884" s="106" t="s">
        <v>533</v>
      </c>
      <c r="B1884" s="61" t="s">
        <v>502</v>
      </c>
      <c r="C1884" s="61" t="s">
        <v>125</v>
      </c>
      <c r="D1884" s="61" t="s">
        <v>3290</v>
      </c>
      <c r="E1884" s="119">
        <v>0.39900000000000002</v>
      </c>
      <c r="F1884" s="148" t="s">
        <v>135</v>
      </c>
      <c r="G1884" s="148">
        <v>1</v>
      </c>
      <c r="H1884" s="61" t="s">
        <v>39</v>
      </c>
      <c r="I1884" t="s">
        <v>535</v>
      </c>
      <c r="J1884" s="86" t="s">
        <v>501</v>
      </c>
      <c r="K1884" s="61" t="s">
        <v>1187</v>
      </c>
      <c r="L1884" s="159"/>
      <c r="M1884" s="48"/>
      <c r="N1884" s="123"/>
    </row>
    <row r="1885" spans="1:14" customFormat="1" x14ac:dyDescent="0.55000000000000004">
      <c r="A1885" s="106" t="s">
        <v>533</v>
      </c>
      <c r="B1885" s="61" t="s">
        <v>504</v>
      </c>
      <c r="C1885" s="61" t="s">
        <v>125</v>
      </c>
      <c r="D1885" s="61" t="s">
        <v>3290</v>
      </c>
      <c r="E1885" s="119">
        <v>0</v>
      </c>
      <c r="F1885" s="148" t="s">
        <v>135</v>
      </c>
      <c r="G1885" s="148">
        <v>1</v>
      </c>
      <c r="H1885" s="61" t="s">
        <v>39</v>
      </c>
      <c r="I1885" t="s">
        <v>535</v>
      </c>
      <c r="J1885" s="86" t="s">
        <v>501</v>
      </c>
      <c r="K1885" s="61" t="s">
        <v>1187</v>
      </c>
      <c r="L1885" s="159"/>
      <c r="M1885" s="48"/>
      <c r="N1885" s="123"/>
    </row>
    <row r="1886" spans="1:14" customFormat="1" x14ac:dyDescent="0.55000000000000004">
      <c r="A1886" s="106" t="s">
        <v>533</v>
      </c>
      <c r="B1886" s="61" t="s">
        <v>153</v>
      </c>
      <c r="C1886" s="61" t="s">
        <v>127</v>
      </c>
      <c r="D1886" s="61" t="s">
        <v>2994</v>
      </c>
      <c r="E1886" s="119">
        <v>297.637</v>
      </c>
      <c r="F1886" s="148" t="s">
        <v>130</v>
      </c>
      <c r="G1886" s="148">
        <v>1</v>
      </c>
      <c r="H1886" s="61" t="s">
        <v>39</v>
      </c>
      <c r="I1886" t="s">
        <v>535</v>
      </c>
      <c r="J1886" s="86" t="s">
        <v>501</v>
      </c>
      <c r="K1886" s="61" t="s">
        <v>1193</v>
      </c>
      <c r="L1886" s="159"/>
      <c r="M1886" s="48"/>
      <c r="N1886" s="123"/>
    </row>
    <row r="1887" spans="1:14" customFormat="1" x14ac:dyDescent="0.55000000000000004">
      <c r="A1887" s="106" t="s">
        <v>533</v>
      </c>
      <c r="B1887" s="61" t="s">
        <v>171</v>
      </c>
      <c r="C1887" s="61" t="s">
        <v>127</v>
      </c>
      <c r="D1887" s="61" t="s">
        <v>2994</v>
      </c>
      <c r="E1887" s="119">
        <v>1.9419999999999999</v>
      </c>
      <c r="F1887" s="148" t="s">
        <v>167</v>
      </c>
      <c r="G1887" s="148">
        <v>1</v>
      </c>
      <c r="H1887" s="61" t="s">
        <v>39</v>
      </c>
      <c r="I1887" t="s">
        <v>535</v>
      </c>
      <c r="J1887" s="86" t="s">
        <v>501</v>
      </c>
      <c r="K1887" s="61" t="s">
        <v>1193</v>
      </c>
      <c r="L1887" s="159"/>
      <c r="M1887" s="48"/>
      <c r="N1887" s="123"/>
    </row>
    <row r="1888" spans="1:14" customFormat="1" x14ac:dyDescent="0.55000000000000004">
      <c r="A1888" s="106" t="s">
        <v>533</v>
      </c>
      <c r="B1888" s="61" t="s">
        <v>505</v>
      </c>
      <c r="C1888" s="61" t="s">
        <v>127</v>
      </c>
      <c r="D1888" s="61" t="s">
        <v>2994</v>
      </c>
      <c r="E1888" s="119">
        <v>70.298000000000002</v>
      </c>
      <c r="F1888" s="148" t="s">
        <v>167</v>
      </c>
      <c r="G1888" s="148">
        <v>1</v>
      </c>
      <c r="H1888" s="61" t="s">
        <v>39</v>
      </c>
      <c r="I1888" t="s">
        <v>535</v>
      </c>
      <c r="J1888" s="86" t="s">
        <v>501</v>
      </c>
      <c r="K1888" s="61" t="s">
        <v>1193</v>
      </c>
      <c r="L1888" s="159"/>
      <c r="M1888" s="48"/>
      <c r="N1888" s="123"/>
    </row>
    <row r="1889" spans="1:14" customFormat="1" x14ac:dyDescent="0.55000000000000004">
      <c r="A1889" s="106" t="s">
        <v>533</v>
      </c>
      <c r="B1889" s="61" t="s">
        <v>504</v>
      </c>
      <c r="C1889" s="61" t="s">
        <v>127</v>
      </c>
      <c r="D1889" s="61" t="s">
        <v>2994</v>
      </c>
      <c r="E1889" s="119">
        <v>3843</v>
      </c>
      <c r="F1889" s="148" t="s">
        <v>167</v>
      </c>
      <c r="G1889" s="148">
        <v>1</v>
      </c>
      <c r="H1889" s="61" t="s">
        <v>39</v>
      </c>
      <c r="I1889" t="s">
        <v>535</v>
      </c>
      <c r="J1889" s="86" t="s">
        <v>501</v>
      </c>
      <c r="K1889" s="61" t="s">
        <v>1193</v>
      </c>
      <c r="L1889" s="159"/>
      <c r="M1889" s="48"/>
      <c r="N1889" s="123"/>
    </row>
    <row r="1890" spans="1:14" customFormat="1" x14ac:dyDescent="0.55000000000000004">
      <c r="A1890" s="106" t="s">
        <v>533</v>
      </c>
      <c r="B1890" s="61" t="s">
        <v>506</v>
      </c>
      <c r="C1890" s="61" t="s">
        <v>127</v>
      </c>
      <c r="D1890" s="61" t="s">
        <v>2994</v>
      </c>
      <c r="E1890" s="119">
        <v>0</v>
      </c>
      <c r="F1890" s="148" t="s">
        <v>167</v>
      </c>
      <c r="G1890" s="148">
        <v>1</v>
      </c>
      <c r="H1890" s="61" t="s">
        <v>39</v>
      </c>
      <c r="I1890" t="s">
        <v>535</v>
      </c>
      <c r="J1890" s="86" t="s">
        <v>501</v>
      </c>
      <c r="K1890" s="61" t="s">
        <v>1193</v>
      </c>
      <c r="L1890" s="159"/>
      <c r="M1890" s="48"/>
      <c r="N1890" s="123"/>
    </row>
    <row r="1891" spans="1:14" customFormat="1" x14ac:dyDescent="0.55000000000000004">
      <c r="A1891" s="106" t="s">
        <v>533</v>
      </c>
      <c r="B1891" s="61" t="s">
        <v>504</v>
      </c>
      <c r="C1891" s="61" t="s">
        <v>507</v>
      </c>
      <c r="D1891" s="61" t="s">
        <v>2994</v>
      </c>
      <c r="E1891" s="119">
        <v>3462.3</v>
      </c>
      <c r="F1891" s="148" t="s">
        <v>167</v>
      </c>
      <c r="G1891" s="148">
        <v>1</v>
      </c>
      <c r="H1891" s="61" t="s">
        <v>39</v>
      </c>
      <c r="I1891" t="s">
        <v>535</v>
      </c>
      <c r="J1891" s="86" t="s">
        <v>501</v>
      </c>
      <c r="K1891" s="61" t="s">
        <v>1193</v>
      </c>
      <c r="L1891" s="159"/>
      <c r="M1891" s="48"/>
      <c r="N1891" s="123"/>
    </row>
    <row r="1892" spans="1:14" customFormat="1" x14ac:dyDescent="0.55000000000000004">
      <c r="A1892" s="106" t="s">
        <v>533</v>
      </c>
      <c r="B1892" s="61" t="s">
        <v>508</v>
      </c>
      <c r="C1892" s="61" t="s">
        <v>127</v>
      </c>
      <c r="D1892" s="61" t="s">
        <v>2994</v>
      </c>
      <c r="E1892" s="119">
        <v>37.968000000000004</v>
      </c>
      <c r="F1892" s="148" t="s">
        <v>167</v>
      </c>
      <c r="G1892" s="148">
        <v>1</v>
      </c>
      <c r="H1892" s="61" t="s">
        <v>39</v>
      </c>
      <c r="I1892" t="s">
        <v>535</v>
      </c>
      <c r="J1892" s="86" t="s">
        <v>501</v>
      </c>
      <c r="K1892" s="61" t="s">
        <v>1193</v>
      </c>
      <c r="L1892" s="159"/>
      <c r="M1892" s="48"/>
      <c r="N1892" s="123"/>
    </row>
    <row r="1893" spans="1:14" customFormat="1" x14ac:dyDescent="0.55000000000000004">
      <c r="A1893" s="106" t="s">
        <v>533</v>
      </c>
      <c r="B1893" s="61" t="s">
        <v>509</v>
      </c>
      <c r="C1893" s="61" t="s">
        <v>125</v>
      </c>
      <c r="D1893" s="61" t="s">
        <v>3288</v>
      </c>
      <c r="E1893" s="119">
        <v>95.590999999999994</v>
      </c>
      <c r="F1893" s="148" t="s">
        <v>122</v>
      </c>
      <c r="G1893" s="148">
        <v>1</v>
      </c>
      <c r="H1893" s="61" t="s">
        <v>39</v>
      </c>
      <c r="I1893" t="s">
        <v>535</v>
      </c>
      <c r="J1893" s="86" t="s">
        <v>501</v>
      </c>
      <c r="K1893" s="61" t="s">
        <v>1193</v>
      </c>
      <c r="L1893" s="159"/>
      <c r="M1893" s="48"/>
      <c r="N1893" s="123"/>
    </row>
    <row r="1894" spans="1:14" customFormat="1" x14ac:dyDescent="0.55000000000000004">
      <c r="A1894" s="106" t="s">
        <v>533</v>
      </c>
      <c r="B1894" s="61" t="s">
        <v>527</v>
      </c>
      <c r="C1894" s="61" t="s">
        <v>125</v>
      </c>
      <c r="D1894" s="61" t="s">
        <v>3288</v>
      </c>
      <c r="E1894" s="119">
        <v>0</v>
      </c>
      <c r="F1894" s="148" t="s">
        <v>122</v>
      </c>
      <c r="G1894" s="148">
        <v>1</v>
      </c>
      <c r="H1894" s="61" t="s">
        <v>39</v>
      </c>
      <c r="I1894" t="s">
        <v>535</v>
      </c>
      <c r="J1894" s="86" t="s">
        <v>501</v>
      </c>
      <c r="K1894" s="61" t="s">
        <v>1193</v>
      </c>
      <c r="L1894" s="159"/>
      <c r="M1894" s="48"/>
      <c r="N1894" s="123"/>
    </row>
    <row r="1895" spans="1:14" customFormat="1" x14ac:dyDescent="0.55000000000000004">
      <c r="A1895" s="106" t="s">
        <v>533</v>
      </c>
      <c r="B1895" s="61" t="s">
        <v>517</v>
      </c>
      <c r="C1895" s="61" t="s">
        <v>125</v>
      </c>
      <c r="D1895" s="61" t="s">
        <v>3288</v>
      </c>
      <c r="E1895" s="119">
        <v>0</v>
      </c>
      <c r="F1895" s="148" t="s">
        <v>122</v>
      </c>
      <c r="G1895" s="148">
        <v>1</v>
      </c>
      <c r="H1895" s="61" t="s">
        <v>39</v>
      </c>
      <c r="I1895" t="s">
        <v>535</v>
      </c>
      <c r="J1895" s="86" t="s">
        <v>501</v>
      </c>
      <c r="K1895" s="61" t="s">
        <v>1193</v>
      </c>
      <c r="L1895" s="159"/>
      <c r="M1895" s="48"/>
      <c r="N1895" s="123"/>
    </row>
    <row r="1896" spans="1:14" customFormat="1" x14ac:dyDescent="0.55000000000000004">
      <c r="A1896" s="106" t="s">
        <v>533</v>
      </c>
      <c r="B1896" s="61" t="s">
        <v>160</v>
      </c>
      <c r="C1896" s="61" t="s">
        <v>497</v>
      </c>
      <c r="D1896" s="61" t="s">
        <v>3288</v>
      </c>
      <c r="E1896" s="119">
        <v>7.8719999999999999</v>
      </c>
      <c r="F1896" s="148" t="s">
        <v>122</v>
      </c>
      <c r="G1896" s="148">
        <v>1</v>
      </c>
      <c r="H1896" s="61" t="s">
        <v>39</v>
      </c>
      <c r="I1896" t="s">
        <v>535</v>
      </c>
      <c r="J1896" s="86" t="s">
        <v>501</v>
      </c>
      <c r="K1896" s="61" t="s">
        <v>1193</v>
      </c>
      <c r="L1896" s="159"/>
      <c r="M1896" s="48"/>
      <c r="N1896" s="123"/>
    </row>
    <row r="1897" spans="1:14" customFormat="1" x14ac:dyDescent="0.55000000000000004">
      <c r="A1897" s="106" t="s">
        <v>533</v>
      </c>
      <c r="B1897" s="61" t="s">
        <v>160</v>
      </c>
      <c r="C1897" s="61" t="s">
        <v>512</v>
      </c>
      <c r="D1897" s="61" t="s">
        <v>3288</v>
      </c>
      <c r="E1897" s="119">
        <v>730.53</v>
      </c>
      <c r="F1897" s="148" t="s">
        <v>122</v>
      </c>
      <c r="G1897" s="148">
        <v>1</v>
      </c>
      <c r="H1897" s="61" t="s">
        <v>39</v>
      </c>
      <c r="I1897" t="s">
        <v>535</v>
      </c>
      <c r="J1897" s="86" t="s">
        <v>501</v>
      </c>
      <c r="K1897" s="61" t="s">
        <v>1193</v>
      </c>
      <c r="L1897" s="159"/>
      <c r="M1897" s="48"/>
      <c r="N1897" s="123"/>
    </row>
    <row r="1898" spans="1:14" customFormat="1" x14ac:dyDescent="0.55000000000000004">
      <c r="A1898" s="106" t="s">
        <v>531</v>
      </c>
      <c r="B1898" s="61" t="s">
        <v>532</v>
      </c>
      <c r="C1898" s="61" t="s">
        <v>121</v>
      </c>
      <c r="D1898" s="61" t="s">
        <v>3288</v>
      </c>
      <c r="E1898" s="119">
        <v>1</v>
      </c>
      <c r="F1898" s="148" t="s">
        <v>133</v>
      </c>
      <c r="G1898" s="148">
        <v>1</v>
      </c>
      <c r="H1898" s="61" t="s">
        <v>39</v>
      </c>
      <c r="I1898" t="s">
        <v>535</v>
      </c>
      <c r="J1898" s="86" t="s">
        <v>501</v>
      </c>
      <c r="K1898" s="61" t="s">
        <v>1193</v>
      </c>
      <c r="L1898" s="159">
        <v>4412</v>
      </c>
      <c r="M1898" s="48"/>
      <c r="N1898" s="123"/>
    </row>
    <row r="1899" spans="1:14" customFormat="1" x14ac:dyDescent="0.55000000000000004">
      <c r="A1899" s="106" t="s">
        <v>531</v>
      </c>
      <c r="B1899" s="61" t="s">
        <v>502</v>
      </c>
      <c r="C1899" s="61" t="s">
        <v>156</v>
      </c>
      <c r="D1899" s="61" t="s">
        <v>3288</v>
      </c>
      <c r="E1899" s="119">
        <v>0.40300000000000002</v>
      </c>
      <c r="F1899" s="148" t="s">
        <v>133</v>
      </c>
      <c r="G1899" s="148">
        <v>1</v>
      </c>
      <c r="H1899" s="61" t="s">
        <v>39</v>
      </c>
      <c r="I1899" t="s">
        <v>535</v>
      </c>
      <c r="J1899" s="86" t="s">
        <v>501</v>
      </c>
      <c r="K1899" s="61" t="s">
        <v>1193</v>
      </c>
      <c r="L1899" s="159"/>
      <c r="M1899" s="48"/>
      <c r="N1899" s="123"/>
    </row>
    <row r="1900" spans="1:14" customFormat="1" x14ac:dyDescent="0.55000000000000004">
      <c r="A1900" s="106" t="s">
        <v>531</v>
      </c>
      <c r="B1900" s="61" t="s">
        <v>503</v>
      </c>
      <c r="C1900" s="61" t="s">
        <v>125</v>
      </c>
      <c r="D1900" s="61" t="s">
        <v>3288</v>
      </c>
      <c r="E1900" s="119">
        <v>0.30599999999999999</v>
      </c>
      <c r="F1900" s="148" t="s">
        <v>133</v>
      </c>
      <c r="G1900" s="148">
        <v>1</v>
      </c>
      <c r="H1900" s="61" t="s">
        <v>39</v>
      </c>
      <c r="I1900" t="s">
        <v>535</v>
      </c>
      <c r="J1900" s="86" t="s">
        <v>501</v>
      </c>
      <c r="K1900" s="61" t="s">
        <v>1193</v>
      </c>
      <c r="L1900" s="159"/>
      <c r="M1900" s="48"/>
      <c r="N1900" s="123"/>
    </row>
    <row r="1901" spans="1:14" customFormat="1" x14ac:dyDescent="0.55000000000000004">
      <c r="A1901" s="106" t="s">
        <v>531</v>
      </c>
      <c r="B1901" s="61" t="s">
        <v>515</v>
      </c>
      <c r="C1901" s="61" t="s">
        <v>125</v>
      </c>
      <c r="D1901" s="61" t="s">
        <v>3288</v>
      </c>
      <c r="E1901" s="119">
        <v>0.65900000000000003</v>
      </c>
      <c r="F1901" s="148" t="s">
        <v>133</v>
      </c>
      <c r="G1901" s="148">
        <v>1</v>
      </c>
      <c r="H1901" s="61" t="s">
        <v>39</v>
      </c>
      <c r="I1901" t="s">
        <v>535</v>
      </c>
      <c r="J1901" s="86" t="s">
        <v>501</v>
      </c>
      <c r="K1901" s="61" t="s">
        <v>1187</v>
      </c>
      <c r="L1901" s="159"/>
      <c r="M1901" s="48"/>
      <c r="N1901" s="123"/>
    </row>
    <row r="1902" spans="1:14" customFormat="1" x14ac:dyDescent="0.55000000000000004">
      <c r="A1902" s="106" t="s">
        <v>531</v>
      </c>
      <c r="B1902" s="61" t="s">
        <v>516</v>
      </c>
      <c r="C1902" s="61" t="s">
        <v>125</v>
      </c>
      <c r="D1902" s="61" t="s">
        <v>3288</v>
      </c>
      <c r="E1902" s="119">
        <v>0.438</v>
      </c>
      <c r="F1902" s="148" t="s">
        <v>133</v>
      </c>
      <c r="G1902" s="148">
        <v>1</v>
      </c>
      <c r="H1902" s="61" t="s">
        <v>39</v>
      </c>
      <c r="I1902" t="s">
        <v>535</v>
      </c>
      <c r="J1902" s="86" t="s">
        <v>501</v>
      </c>
      <c r="K1902" s="61" t="s">
        <v>1187</v>
      </c>
      <c r="L1902" s="159"/>
      <c r="M1902" s="48"/>
      <c r="N1902" s="123"/>
    </row>
    <row r="1903" spans="1:14" customFormat="1" x14ac:dyDescent="0.55000000000000004">
      <c r="A1903" s="106" t="s">
        <v>531</v>
      </c>
      <c r="B1903" s="61" t="s">
        <v>153</v>
      </c>
      <c r="C1903" s="61" t="s">
        <v>127</v>
      </c>
      <c r="D1903" s="61" t="s">
        <v>2994</v>
      </c>
      <c r="E1903" s="119">
        <v>88.619</v>
      </c>
      <c r="F1903" s="148" t="s">
        <v>130</v>
      </c>
      <c r="G1903" s="148">
        <v>1</v>
      </c>
      <c r="H1903" s="61" t="s">
        <v>39</v>
      </c>
      <c r="I1903" t="s">
        <v>535</v>
      </c>
      <c r="J1903" s="86" t="s">
        <v>501</v>
      </c>
      <c r="K1903" s="61" t="s">
        <v>1198</v>
      </c>
      <c r="L1903" s="159"/>
      <c r="M1903" s="48"/>
      <c r="N1903" s="123"/>
    </row>
    <row r="1904" spans="1:14" customFormat="1" x14ac:dyDescent="0.55000000000000004">
      <c r="A1904" s="106" t="s">
        <v>531</v>
      </c>
      <c r="B1904" s="61" t="s">
        <v>171</v>
      </c>
      <c r="C1904" s="61" t="s">
        <v>127</v>
      </c>
      <c r="D1904" s="61" t="s">
        <v>2994</v>
      </c>
      <c r="E1904" s="119">
        <v>6.6630000000000003</v>
      </c>
      <c r="F1904" s="148" t="s">
        <v>167</v>
      </c>
      <c r="G1904" s="148">
        <v>1</v>
      </c>
      <c r="H1904" s="61" t="s">
        <v>39</v>
      </c>
      <c r="I1904" t="s">
        <v>535</v>
      </c>
      <c r="J1904" s="86" t="s">
        <v>501</v>
      </c>
      <c r="K1904" s="61" t="s">
        <v>1198</v>
      </c>
      <c r="L1904" s="159"/>
      <c r="M1904" s="48"/>
      <c r="N1904" s="123"/>
    </row>
    <row r="1905" spans="1:14" customFormat="1" x14ac:dyDescent="0.55000000000000004">
      <c r="A1905" s="106" t="s">
        <v>531</v>
      </c>
      <c r="B1905" s="61" t="s">
        <v>505</v>
      </c>
      <c r="C1905" s="61" t="s">
        <v>127</v>
      </c>
      <c r="D1905" s="61" t="s">
        <v>2994</v>
      </c>
      <c r="E1905" s="119">
        <v>114.39700000000001</v>
      </c>
      <c r="F1905" s="148" t="s">
        <v>167</v>
      </c>
      <c r="G1905" s="148">
        <v>1</v>
      </c>
      <c r="H1905" s="61" t="s">
        <v>39</v>
      </c>
      <c r="I1905" t="s">
        <v>535</v>
      </c>
      <c r="J1905" s="86" t="s">
        <v>501</v>
      </c>
      <c r="K1905" s="61" t="s">
        <v>1198</v>
      </c>
      <c r="L1905" s="159"/>
      <c r="M1905" s="48"/>
      <c r="N1905" s="123"/>
    </row>
    <row r="1906" spans="1:14" customFormat="1" x14ac:dyDescent="0.55000000000000004">
      <c r="A1906" s="106" t="s">
        <v>531</v>
      </c>
      <c r="B1906" s="61" t="s">
        <v>504</v>
      </c>
      <c r="C1906" s="61" t="s">
        <v>127</v>
      </c>
      <c r="D1906" s="61" t="s">
        <v>2994</v>
      </c>
      <c r="E1906" s="119">
        <v>19.78</v>
      </c>
      <c r="F1906" s="148" t="s">
        <v>167</v>
      </c>
      <c r="G1906" s="148">
        <v>1</v>
      </c>
      <c r="H1906" s="61" t="s">
        <v>39</v>
      </c>
      <c r="I1906" t="s">
        <v>535</v>
      </c>
      <c r="J1906" s="86" t="s">
        <v>501</v>
      </c>
      <c r="K1906" s="61" t="s">
        <v>1198</v>
      </c>
      <c r="L1906" s="159"/>
      <c r="M1906" s="48"/>
      <c r="N1906" s="123"/>
    </row>
    <row r="1907" spans="1:14" customFormat="1" x14ac:dyDescent="0.55000000000000004">
      <c r="A1907" s="106" t="s">
        <v>531</v>
      </c>
      <c r="B1907" s="61" t="s">
        <v>506</v>
      </c>
      <c r="C1907" s="61" t="s">
        <v>127</v>
      </c>
      <c r="D1907" s="61" t="s">
        <v>2994</v>
      </c>
      <c r="E1907" s="119">
        <v>58.198</v>
      </c>
      <c r="F1907" s="148" t="s">
        <v>167</v>
      </c>
      <c r="G1907" s="148">
        <v>1</v>
      </c>
      <c r="H1907" s="61" t="s">
        <v>39</v>
      </c>
      <c r="I1907" t="s">
        <v>535</v>
      </c>
      <c r="J1907" s="86" t="s">
        <v>501</v>
      </c>
      <c r="K1907" s="61" t="s">
        <v>1198</v>
      </c>
      <c r="L1907" s="159"/>
      <c r="M1907" s="48"/>
      <c r="N1907" s="123"/>
    </row>
    <row r="1908" spans="1:14" customFormat="1" x14ac:dyDescent="0.55000000000000004">
      <c r="A1908" s="106" t="s">
        <v>531</v>
      </c>
      <c r="B1908" s="61" t="s">
        <v>504</v>
      </c>
      <c r="C1908" s="61" t="s">
        <v>507</v>
      </c>
      <c r="D1908" s="61" t="s">
        <v>2994</v>
      </c>
      <c r="E1908" s="119">
        <v>1228.4690000000001</v>
      </c>
      <c r="F1908" s="148" t="s">
        <v>167</v>
      </c>
      <c r="G1908" s="148">
        <v>1</v>
      </c>
      <c r="H1908" s="61" t="s">
        <v>39</v>
      </c>
      <c r="I1908" t="s">
        <v>535</v>
      </c>
      <c r="J1908" s="86" t="s">
        <v>501</v>
      </c>
      <c r="K1908" s="61" t="s">
        <v>1198</v>
      </c>
      <c r="L1908" s="159"/>
      <c r="M1908" s="48"/>
      <c r="N1908" s="123"/>
    </row>
    <row r="1909" spans="1:14" customFormat="1" x14ac:dyDescent="0.55000000000000004">
      <c r="A1909" s="106" t="s">
        <v>531</v>
      </c>
      <c r="B1909" s="61" t="s">
        <v>508</v>
      </c>
      <c r="C1909" s="61" t="s">
        <v>127</v>
      </c>
      <c r="D1909" s="61" t="s">
        <v>2994</v>
      </c>
      <c r="E1909" s="119">
        <v>53.04</v>
      </c>
      <c r="F1909" s="148" t="s">
        <v>167</v>
      </c>
      <c r="G1909" s="148">
        <v>1</v>
      </c>
      <c r="H1909" s="61" t="s">
        <v>39</v>
      </c>
      <c r="I1909" t="s">
        <v>535</v>
      </c>
      <c r="J1909" s="86" t="s">
        <v>501</v>
      </c>
      <c r="K1909" s="61" t="s">
        <v>1198</v>
      </c>
      <c r="L1909" s="159"/>
      <c r="M1909" s="48"/>
      <c r="N1909" s="123"/>
    </row>
    <row r="1910" spans="1:14" customFormat="1" x14ac:dyDescent="0.55000000000000004">
      <c r="A1910" s="106" t="s">
        <v>531</v>
      </c>
      <c r="B1910" s="61" t="s">
        <v>510</v>
      </c>
      <c r="C1910" s="61" t="s">
        <v>125</v>
      </c>
      <c r="D1910" s="61" t="s">
        <v>3288</v>
      </c>
      <c r="E1910" s="119">
        <v>8.7219999999999995</v>
      </c>
      <c r="F1910" s="148" t="s">
        <v>122</v>
      </c>
      <c r="G1910" s="148">
        <v>1</v>
      </c>
      <c r="H1910" s="61" t="s">
        <v>39</v>
      </c>
      <c r="I1910" t="s">
        <v>535</v>
      </c>
      <c r="J1910" s="86" t="s">
        <v>501</v>
      </c>
      <c r="K1910" s="61" t="s">
        <v>1198</v>
      </c>
      <c r="L1910" s="159"/>
      <c r="M1910" s="48"/>
      <c r="N1910" s="123"/>
    </row>
    <row r="1911" spans="1:14" customFormat="1" x14ac:dyDescent="0.55000000000000004">
      <c r="A1911" s="106" t="s">
        <v>531</v>
      </c>
      <c r="B1911" s="61" t="s">
        <v>511</v>
      </c>
      <c r="C1911" s="61" t="s">
        <v>125</v>
      </c>
      <c r="D1911" s="61" t="s">
        <v>3288</v>
      </c>
      <c r="E1911" s="119">
        <v>0.32500000000000001</v>
      </c>
      <c r="F1911" s="148" t="s">
        <v>122</v>
      </c>
      <c r="G1911" s="148">
        <v>1</v>
      </c>
      <c r="H1911" s="61" t="s">
        <v>39</v>
      </c>
      <c r="I1911" t="s">
        <v>535</v>
      </c>
      <c r="J1911" s="86" t="s">
        <v>501</v>
      </c>
      <c r="K1911" s="61" t="s">
        <v>1198</v>
      </c>
      <c r="L1911" s="159"/>
      <c r="M1911" s="48"/>
      <c r="N1911" s="123"/>
    </row>
    <row r="1912" spans="1:14" customFormat="1" x14ac:dyDescent="0.55000000000000004">
      <c r="A1912" s="106" t="s">
        <v>531</v>
      </c>
      <c r="B1912" s="61" t="s">
        <v>517</v>
      </c>
      <c r="C1912" s="61" t="s">
        <v>125</v>
      </c>
      <c r="D1912" s="61" t="s">
        <v>3288</v>
      </c>
      <c r="E1912" s="119">
        <v>0.41499999999999998</v>
      </c>
      <c r="F1912" s="148" t="s">
        <v>122</v>
      </c>
      <c r="G1912" s="148">
        <v>1</v>
      </c>
      <c r="H1912" s="61" t="s">
        <v>39</v>
      </c>
      <c r="I1912" t="s">
        <v>535</v>
      </c>
      <c r="J1912" s="86" t="s">
        <v>501</v>
      </c>
      <c r="K1912" s="61" t="s">
        <v>1198</v>
      </c>
      <c r="L1912" s="159"/>
      <c r="M1912" s="48"/>
      <c r="N1912" s="123"/>
    </row>
    <row r="1913" spans="1:14" customFormat="1" x14ac:dyDescent="0.55000000000000004">
      <c r="A1913" s="106" t="s">
        <v>531</v>
      </c>
      <c r="B1913" s="61" t="s">
        <v>160</v>
      </c>
      <c r="C1913" s="61" t="s">
        <v>497</v>
      </c>
      <c r="D1913" s="61" t="s">
        <v>3288</v>
      </c>
      <c r="E1913" s="119">
        <v>12.43571429</v>
      </c>
      <c r="F1913" s="148" t="s">
        <v>122</v>
      </c>
      <c r="G1913" s="148">
        <v>1</v>
      </c>
      <c r="H1913" s="61" t="s">
        <v>39</v>
      </c>
      <c r="I1913" t="s">
        <v>535</v>
      </c>
      <c r="J1913" s="86" t="s">
        <v>501</v>
      </c>
      <c r="K1913" s="61" t="s">
        <v>1198</v>
      </c>
      <c r="L1913" s="159"/>
      <c r="M1913" s="48"/>
      <c r="N1913" s="123"/>
    </row>
    <row r="1914" spans="1:14" customFormat="1" x14ac:dyDescent="0.55000000000000004">
      <c r="A1914" s="106" t="s">
        <v>531</v>
      </c>
      <c r="B1914" s="61" t="s">
        <v>160</v>
      </c>
      <c r="C1914" s="61" t="s">
        <v>512</v>
      </c>
      <c r="D1914" s="61" t="s">
        <v>3288</v>
      </c>
      <c r="E1914" s="119">
        <v>130.6447</v>
      </c>
      <c r="F1914" s="148" t="s">
        <v>122</v>
      </c>
      <c r="G1914" s="148">
        <v>1</v>
      </c>
      <c r="H1914" s="61" t="s">
        <v>39</v>
      </c>
      <c r="I1914" t="s">
        <v>535</v>
      </c>
      <c r="J1914" s="86" t="s">
        <v>501</v>
      </c>
      <c r="K1914" s="61" t="s">
        <v>1198</v>
      </c>
      <c r="L1914" s="159"/>
      <c r="M1914" s="48"/>
      <c r="N1914" s="123"/>
    </row>
    <row r="1915" spans="1:14" customFormat="1" x14ac:dyDescent="0.55000000000000004">
      <c r="A1915" s="106" t="s">
        <v>528</v>
      </c>
      <c r="B1915" s="61" t="s">
        <v>529</v>
      </c>
      <c r="C1915" s="61" t="s">
        <v>121</v>
      </c>
      <c r="D1915" s="61" t="s">
        <v>3288</v>
      </c>
      <c r="E1915" s="119">
        <v>1</v>
      </c>
      <c r="F1915" s="148" t="s">
        <v>133</v>
      </c>
      <c r="G1915" s="148">
        <v>1</v>
      </c>
      <c r="H1915" s="61" t="s">
        <v>39</v>
      </c>
      <c r="I1915" t="s">
        <v>535</v>
      </c>
      <c r="J1915" s="86" t="s">
        <v>501</v>
      </c>
      <c r="K1915" s="61" t="s">
        <v>1198</v>
      </c>
      <c r="L1915" s="159">
        <v>4412</v>
      </c>
      <c r="M1915" s="48"/>
      <c r="N1915" s="123"/>
    </row>
    <row r="1916" spans="1:14" customFormat="1" x14ac:dyDescent="0.55000000000000004">
      <c r="A1916" s="106" t="s">
        <v>528</v>
      </c>
      <c r="B1916" s="61" t="s">
        <v>502</v>
      </c>
      <c r="C1916" s="61" t="s">
        <v>156</v>
      </c>
      <c r="D1916" s="61" t="s">
        <v>3288</v>
      </c>
      <c r="E1916" s="119">
        <v>1.26</v>
      </c>
      <c r="F1916" s="148" t="s">
        <v>133</v>
      </c>
      <c r="G1916" s="148">
        <v>1</v>
      </c>
      <c r="H1916" s="61" t="s">
        <v>39</v>
      </c>
      <c r="I1916" t="s">
        <v>535</v>
      </c>
      <c r="J1916" s="86" t="s">
        <v>501</v>
      </c>
      <c r="K1916" s="61" t="s">
        <v>1198</v>
      </c>
      <c r="L1916" s="159"/>
      <c r="M1916" s="48"/>
      <c r="N1916" s="123"/>
    </row>
    <row r="1917" spans="1:14" customFormat="1" x14ac:dyDescent="0.55000000000000004">
      <c r="A1917" s="106" t="s">
        <v>528</v>
      </c>
      <c r="B1917" s="61" t="s">
        <v>503</v>
      </c>
      <c r="C1917" s="61" t="s">
        <v>125</v>
      </c>
      <c r="D1917" s="61" t="s">
        <v>3288</v>
      </c>
      <c r="E1917" s="119">
        <v>2.2679999999999998</v>
      </c>
      <c r="F1917" s="148" t="s">
        <v>133</v>
      </c>
      <c r="G1917" s="148">
        <v>1</v>
      </c>
      <c r="H1917" s="61" t="s">
        <v>39</v>
      </c>
      <c r="I1917" t="s">
        <v>535</v>
      </c>
      <c r="J1917" s="86" t="s">
        <v>501</v>
      </c>
      <c r="K1917" s="61" t="s">
        <v>1198</v>
      </c>
      <c r="L1917" s="159"/>
      <c r="M1917" s="48"/>
      <c r="N1917" s="123"/>
    </row>
    <row r="1918" spans="1:14" customFormat="1" x14ac:dyDescent="0.55000000000000004">
      <c r="A1918" s="106" t="s">
        <v>528</v>
      </c>
      <c r="B1918" s="61" t="s">
        <v>515</v>
      </c>
      <c r="C1918" s="61" t="s">
        <v>125</v>
      </c>
      <c r="D1918" s="61" t="s">
        <v>3288</v>
      </c>
      <c r="E1918" s="119">
        <v>0</v>
      </c>
      <c r="F1918" s="148" t="s">
        <v>133</v>
      </c>
      <c r="G1918" s="148">
        <v>1</v>
      </c>
      <c r="H1918" s="61" t="s">
        <v>39</v>
      </c>
      <c r="I1918" t="s">
        <v>535</v>
      </c>
      <c r="J1918" s="86" t="s">
        <v>501</v>
      </c>
      <c r="K1918" s="61" t="s">
        <v>1187</v>
      </c>
      <c r="L1918" s="159"/>
      <c r="M1918" s="48"/>
      <c r="N1918" s="123"/>
    </row>
    <row r="1919" spans="1:14" customFormat="1" x14ac:dyDescent="0.55000000000000004">
      <c r="A1919" s="106" t="s">
        <v>528</v>
      </c>
      <c r="B1919" s="61" t="s">
        <v>516</v>
      </c>
      <c r="C1919" s="61" t="s">
        <v>125</v>
      </c>
      <c r="D1919" s="61" t="s">
        <v>3288</v>
      </c>
      <c r="E1919" s="119">
        <v>0</v>
      </c>
      <c r="F1919" s="148" t="s">
        <v>133</v>
      </c>
      <c r="G1919" s="148">
        <v>1</v>
      </c>
      <c r="H1919" s="61" t="s">
        <v>39</v>
      </c>
      <c r="I1919" t="s">
        <v>535</v>
      </c>
      <c r="J1919" s="86" t="s">
        <v>501</v>
      </c>
      <c r="K1919" s="61" t="s">
        <v>1187</v>
      </c>
      <c r="L1919" s="159"/>
      <c r="M1919" s="48"/>
      <c r="N1919" s="123"/>
    </row>
    <row r="1920" spans="1:14" customFormat="1" x14ac:dyDescent="0.55000000000000004">
      <c r="A1920" s="106" t="s">
        <v>528</v>
      </c>
      <c r="B1920" s="61" t="s">
        <v>153</v>
      </c>
      <c r="C1920" s="61" t="s">
        <v>127</v>
      </c>
      <c r="D1920" s="61" t="s">
        <v>2994</v>
      </c>
      <c r="E1920" s="119">
        <v>533.995</v>
      </c>
      <c r="F1920" s="148" t="s">
        <v>130</v>
      </c>
      <c r="G1920" s="148">
        <v>1</v>
      </c>
      <c r="H1920" s="61" t="s">
        <v>39</v>
      </c>
      <c r="I1920" t="s">
        <v>535</v>
      </c>
      <c r="J1920" s="86" t="s">
        <v>501</v>
      </c>
      <c r="K1920" s="61" t="s">
        <v>1207</v>
      </c>
      <c r="L1920" s="159"/>
      <c r="M1920" s="48"/>
      <c r="N1920" s="123"/>
    </row>
    <row r="1921" spans="1:14" customFormat="1" x14ac:dyDescent="0.55000000000000004">
      <c r="A1921" s="106" t="s">
        <v>528</v>
      </c>
      <c r="B1921" s="61" t="s">
        <v>171</v>
      </c>
      <c r="C1921" s="61" t="s">
        <v>127</v>
      </c>
      <c r="D1921" s="61" t="s">
        <v>2994</v>
      </c>
      <c r="E1921" s="119">
        <v>0</v>
      </c>
      <c r="F1921" s="148" t="s">
        <v>167</v>
      </c>
      <c r="G1921" s="148">
        <v>1</v>
      </c>
      <c r="H1921" s="61" t="s">
        <v>39</v>
      </c>
      <c r="I1921" t="s">
        <v>535</v>
      </c>
      <c r="J1921" s="86" t="s">
        <v>501</v>
      </c>
      <c r="K1921" s="61" t="s">
        <v>1207</v>
      </c>
      <c r="L1921" s="159"/>
      <c r="M1921" s="48"/>
      <c r="N1921" s="123"/>
    </row>
    <row r="1922" spans="1:14" customFormat="1" x14ac:dyDescent="0.55000000000000004">
      <c r="A1922" s="106" t="s">
        <v>528</v>
      </c>
      <c r="B1922" s="61" t="s">
        <v>505</v>
      </c>
      <c r="C1922" s="61" t="s">
        <v>127</v>
      </c>
      <c r="D1922" s="61" t="s">
        <v>2994</v>
      </c>
      <c r="E1922" s="119">
        <v>73.016999999999996</v>
      </c>
      <c r="F1922" s="148" t="s">
        <v>167</v>
      </c>
      <c r="G1922" s="148">
        <v>1</v>
      </c>
      <c r="H1922" s="61" t="s">
        <v>39</v>
      </c>
      <c r="I1922" t="s">
        <v>535</v>
      </c>
      <c r="J1922" s="86" t="s">
        <v>501</v>
      </c>
      <c r="K1922" s="61" t="s">
        <v>1207</v>
      </c>
      <c r="L1922" s="159"/>
      <c r="M1922" s="48"/>
      <c r="N1922" s="123"/>
    </row>
    <row r="1923" spans="1:14" customFormat="1" x14ac:dyDescent="0.55000000000000004">
      <c r="A1923" s="106" t="s">
        <v>528</v>
      </c>
      <c r="B1923" s="61" t="s">
        <v>504</v>
      </c>
      <c r="C1923" s="61" t="s">
        <v>127</v>
      </c>
      <c r="D1923" s="61" t="s">
        <v>2994</v>
      </c>
      <c r="E1923" s="119">
        <v>0</v>
      </c>
      <c r="F1923" s="148" t="s">
        <v>167</v>
      </c>
      <c r="G1923" s="148">
        <v>1</v>
      </c>
      <c r="H1923" s="61" t="s">
        <v>39</v>
      </c>
      <c r="I1923" t="s">
        <v>535</v>
      </c>
      <c r="J1923" s="86" t="s">
        <v>501</v>
      </c>
      <c r="K1923" s="61" t="s">
        <v>1207</v>
      </c>
      <c r="L1923" s="159"/>
      <c r="M1923" s="48"/>
      <c r="N1923" s="123"/>
    </row>
    <row r="1924" spans="1:14" customFormat="1" x14ac:dyDescent="0.55000000000000004">
      <c r="A1924" s="106" t="s">
        <v>528</v>
      </c>
      <c r="B1924" s="61" t="s">
        <v>506</v>
      </c>
      <c r="C1924" s="61" t="s">
        <v>127</v>
      </c>
      <c r="D1924" s="61" t="s">
        <v>2994</v>
      </c>
      <c r="E1924" s="119">
        <v>0</v>
      </c>
      <c r="F1924" s="148" t="s">
        <v>167</v>
      </c>
      <c r="G1924" s="148">
        <v>1</v>
      </c>
      <c r="H1924" s="61" t="s">
        <v>39</v>
      </c>
      <c r="I1924" t="s">
        <v>535</v>
      </c>
      <c r="J1924" s="86" t="s">
        <v>501</v>
      </c>
      <c r="K1924" s="61" t="s">
        <v>1207</v>
      </c>
      <c r="L1924" s="159"/>
      <c r="M1924" s="48"/>
      <c r="N1924" s="123"/>
    </row>
    <row r="1925" spans="1:14" customFormat="1" x14ac:dyDescent="0.55000000000000004">
      <c r="A1925" s="106" t="s">
        <v>528</v>
      </c>
      <c r="B1925" s="61" t="s">
        <v>504</v>
      </c>
      <c r="C1925" s="61" t="s">
        <v>507</v>
      </c>
      <c r="D1925" s="61" t="s">
        <v>2994</v>
      </c>
      <c r="E1925" s="119">
        <v>11573</v>
      </c>
      <c r="F1925" s="148" t="s">
        <v>167</v>
      </c>
      <c r="G1925" s="148">
        <v>1</v>
      </c>
      <c r="H1925" s="61" t="s">
        <v>39</v>
      </c>
      <c r="I1925" t="s">
        <v>535</v>
      </c>
      <c r="J1925" s="86" t="s">
        <v>501</v>
      </c>
      <c r="K1925" s="61" t="s">
        <v>1207</v>
      </c>
      <c r="L1925" s="159"/>
      <c r="M1925" s="48"/>
      <c r="N1925" s="123"/>
    </row>
    <row r="1926" spans="1:14" customFormat="1" x14ac:dyDescent="0.55000000000000004">
      <c r="A1926" s="106" t="s">
        <v>528</v>
      </c>
      <c r="B1926" s="61" t="s">
        <v>508</v>
      </c>
      <c r="C1926" s="61" t="s">
        <v>127</v>
      </c>
      <c r="D1926" s="61" t="s">
        <v>2994</v>
      </c>
      <c r="E1926" s="119">
        <v>4.032</v>
      </c>
      <c r="F1926" s="148" t="s">
        <v>167</v>
      </c>
      <c r="G1926" s="148">
        <v>1</v>
      </c>
      <c r="H1926" s="61" t="s">
        <v>39</v>
      </c>
      <c r="I1926" t="s">
        <v>535</v>
      </c>
      <c r="J1926" s="86" t="s">
        <v>501</v>
      </c>
      <c r="K1926" s="61" t="s">
        <v>1207</v>
      </c>
      <c r="L1926" s="159"/>
      <c r="M1926" s="48"/>
      <c r="N1926" s="123"/>
    </row>
    <row r="1927" spans="1:14" customFormat="1" x14ac:dyDescent="0.55000000000000004">
      <c r="A1927" s="106" t="s">
        <v>528</v>
      </c>
      <c r="B1927" s="61" t="s">
        <v>509</v>
      </c>
      <c r="C1927" s="61" t="s">
        <v>125</v>
      </c>
      <c r="D1927" s="61" t="s">
        <v>3288</v>
      </c>
      <c r="E1927" s="119">
        <v>89.53</v>
      </c>
      <c r="F1927" s="148" t="s">
        <v>122</v>
      </c>
      <c r="G1927" s="148">
        <v>1</v>
      </c>
      <c r="H1927" s="61" t="s">
        <v>39</v>
      </c>
      <c r="I1927" t="s">
        <v>535</v>
      </c>
      <c r="J1927" s="86" t="s">
        <v>501</v>
      </c>
      <c r="K1927" s="61" t="s">
        <v>1207</v>
      </c>
      <c r="L1927" s="159"/>
      <c r="M1927" s="48"/>
      <c r="N1927" s="123"/>
    </row>
    <row r="1928" spans="1:14" customFormat="1" x14ac:dyDescent="0.55000000000000004">
      <c r="A1928" s="106" t="s">
        <v>528</v>
      </c>
      <c r="B1928" s="61" t="s">
        <v>530</v>
      </c>
      <c r="C1928" s="61" t="s">
        <v>125</v>
      </c>
      <c r="D1928" s="61" t="s">
        <v>3288</v>
      </c>
      <c r="E1928" s="119">
        <v>0</v>
      </c>
      <c r="F1928" s="148" t="s">
        <v>122</v>
      </c>
      <c r="G1928" s="148">
        <v>1</v>
      </c>
      <c r="H1928" s="61" t="s">
        <v>39</v>
      </c>
      <c r="I1928" t="s">
        <v>535</v>
      </c>
      <c r="J1928" s="86" t="s">
        <v>501</v>
      </c>
      <c r="K1928" s="61" t="s">
        <v>1207</v>
      </c>
      <c r="L1928" s="159"/>
      <c r="M1928" s="48"/>
      <c r="N1928" s="123"/>
    </row>
    <row r="1929" spans="1:14" customFormat="1" x14ac:dyDescent="0.55000000000000004">
      <c r="A1929" s="106" t="s">
        <v>528</v>
      </c>
      <c r="B1929" s="61" t="s">
        <v>517</v>
      </c>
      <c r="C1929" s="61" t="s">
        <v>125</v>
      </c>
      <c r="D1929" s="61" t="s">
        <v>3288</v>
      </c>
      <c r="E1929" s="119">
        <v>0</v>
      </c>
      <c r="F1929" s="148" t="s">
        <v>122</v>
      </c>
      <c r="G1929" s="148">
        <v>1</v>
      </c>
      <c r="H1929" s="61" t="s">
        <v>39</v>
      </c>
      <c r="I1929" t="s">
        <v>535</v>
      </c>
      <c r="J1929" s="86" t="s">
        <v>501</v>
      </c>
      <c r="K1929" s="61" t="s">
        <v>1207</v>
      </c>
      <c r="L1929" s="159"/>
      <c r="M1929" s="48"/>
      <c r="N1929" s="123"/>
    </row>
    <row r="1930" spans="1:14" customFormat="1" x14ac:dyDescent="0.55000000000000004">
      <c r="A1930" s="106" t="s">
        <v>528</v>
      </c>
      <c r="B1930" s="61" t="s">
        <v>160</v>
      </c>
      <c r="C1930" s="61" t="s">
        <v>497</v>
      </c>
      <c r="D1930" s="61" t="s">
        <v>3288</v>
      </c>
      <c r="E1930" s="119">
        <v>5.5034999999999998</v>
      </c>
      <c r="F1930" s="148" t="s">
        <v>122</v>
      </c>
      <c r="G1930" s="148">
        <v>1</v>
      </c>
      <c r="H1930" s="61" t="s">
        <v>39</v>
      </c>
      <c r="I1930" t="s">
        <v>535</v>
      </c>
      <c r="J1930" s="86" t="s">
        <v>501</v>
      </c>
      <c r="K1930" s="61" t="s">
        <v>1207</v>
      </c>
      <c r="L1930" s="159"/>
      <c r="M1930" s="48"/>
      <c r="N1930" s="123"/>
    </row>
    <row r="1931" spans="1:14" customFormat="1" x14ac:dyDescent="0.55000000000000004">
      <c r="A1931" s="106" t="s">
        <v>528</v>
      </c>
      <c r="B1931" s="61" t="s">
        <v>160</v>
      </c>
      <c r="C1931" s="61" t="s">
        <v>512</v>
      </c>
      <c r="D1931" s="61" t="s">
        <v>3288</v>
      </c>
      <c r="E1931" s="119">
        <v>1157.3</v>
      </c>
      <c r="F1931" s="148" t="s">
        <v>122</v>
      </c>
      <c r="G1931" s="148">
        <v>1</v>
      </c>
      <c r="H1931" s="61" t="s">
        <v>39</v>
      </c>
      <c r="I1931" t="s">
        <v>535</v>
      </c>
      <c r="J1931" s="86" t="s">
        <v>501</v>
      </c>
      <c r="K1931" s="61" t="s">
        <v>1207</v>
      </c>
      <c r="L1931" s="159"/>
      <c r="M1931" s="48"/>
      <c r="N1931" s="123"/>
    </row>
    <row r="1932" spans="1:14" customFormat="1" x14ac:dyDescent="0.55000000000000004">
      <c r="A1932" s="106" t="s">
        <v>525</v>
      </c>
      <c r="B1932" s="61" t="s">
        <v>526</v>
      </c>
      <c r="C1932" s="61" t="s">
        <v>121</v>
      </c>
      <c r="D1932" s="61" t="s">
        <v>3288</v>
      </c>
      <c r="E1932" s="119">
        <v>1</v>
      </c>
      <c r="F1932" s="148" t="s">
        <v>133</v>
      </c>
      <c r="G1932" s="148">
        <v>1</v>
      </c>
      <c r="H1932" s="61" t="s">
        <v>39</v>
      </c>
      <c r="I1932" t="s">
        <v>535</v>
      </c>
      <c r="J1932" s="86" t="s">
        <v>501</v>
      </c>
      <c r="K1932" s="61" t="s">
        <v>1207</v>
      </c>
      <c r="L1932" s="159">
        <v>441012</v>
      </c>
      <c r="M1932" s="48"/>
      <c r="N1932" s="123"/>
    </row>
    <row r="1933" spans="1:14" customFormat="1" x14ac:dyDescent="0.55000000000000004">
      <c r="A1933" s="106" t="s">
        <v>525</v>
      </c>
      <c r="B1933" s="61" t="s">
        <v>502</v>
      </c>
      <c r="C1933" s="61" t="s">
        <v>156</v>
      </c>
      <c r="D1933" s="61" t="s">
        <v>3290</v>
      </c>
      <c r="E1933" s="119">
        <v>0.17799999999999999</v>
      </c>
      <c r="F1933" s="148" t="s">
        <v>135</v>
      </c>
      <c r="G1933" s="148">
        <v>1</v>
      </c>
      <c r="H1933" s="61" t="s">
        <v>39</v>
      </c>
      <c r="I1933" t="s">
        <v>535</v>
      </c>
      <c r="J1933" s="86" t="s">
        <v>501</v>
      </c>
      <c r="K1933" s="61" t="s">
        <v>1207</v>
      </c>
      <c r="L1933" s="159"/>
      <c r="M1933" s="48"/>
      <c r="N1933" s="123"/>
    </row>
    <row r="1934" spans="1:14" customFormat="1" x14ac:dyDescent="0.55000000000000004">
      <c r="A1934" s="106" t="s">
        <v>525</v>
      </c>
      <c r="B1934" s="61" t="s">
        <v>503</v>
      </c>
      <c r="C1934" s="61" t="s">
        <v>125</v>
      </c>
      <c r="D1934" s="61" t="s">
        <v>3290</v>
      </c>
      <c r="E1934" s="119">
        <v>0.70799999999999996</v>
      </c>
      <c r="F1934" s="148" t="s">
        <v>135</v>
      </c>
      <c r="G1934" s="148">
        <v>1</v>
      </c>
      <c r="H1934" s="61" t="s">
        <v>39</v>
      </c>
      <c r="I1934" t="s">
        <v>535</v>
      </c>
      <c r="J1934" s="86" t="s">
        <v>501</v>
      </c>
      <c r="K1934" s="61" t="s">
        <v>1207</v>
      </c>
      <c r="L1934" s="159"/>
      <c r="M1934" s="48"/>
      <c r="N1934" s="123"/>
    </row>
    <row r="1935" spans="1:14" customFormat="1" x14ac:dyDescent="0.55000000000000004">
      <c r="A1935" s="106" t="s">
        <v>525</v>
      </c>
      <c r="B1935" s="61" t="s">
        <v>515</v>
      </c>
      <c r="C1935" s="61" t="s">
        <v>125</v>
      </c>
      <c r="D1935" s="61" t="s">
        <v>3290</v>
      </c>
      <c r="E1935" s="119">
        <v>0</v>
      </c>
      <c r="F1935" s="148" t="s">
        <v>135</v>
      </c>
      <c r="G1935" s="148">
        <v>1</v>
      </c>
      <c r="H1935" s="61" t="s">
        <v>39</v>
      </c>
      <c r="I1935" t="s">
        <v>535</v>
      </c>
      <c r="J1935" s="86" t="s">
        <v>501</v>
      </c>
      <c r="K1935" s="61" t="s">
        <v>1187</v>
      </c>
      <c r="L1935" s="159"/>
      <c r="M1935" s="48"/>
      <c r="N1935" s="123"/>
    </row>
    <row r="1936" spans="1:14" customFormat="1" x14ac:dyDescent="0.55000000000000004">
      <c r="A1936" s="106" t="s">
        <v>525</v>
      </c>
      <c r="B1936" s="61" t="s">
        <v>516</v>
      </c>
      <c r="C1936" s="61" t="s">
        <v>125</v>
      </c>
      <c r="D1936" s="61" t="s">
        <v>3290</v>
      </c>
      <c r="E1936" s="119">
        <v>0</v>
      </c>
      <c r="F1936" s="148" t="s">
        <v>135</v>
      </c>
      <c r="G1936" s="148">
        <v>1</v>
      </c>
      <c r="H1936" s="61" t="s">
        <v>39</v>
      </c>
      <c r="I1936" t="s">
        <v>535</v>
      </c>
      <c r="J1936" s="86" t="s">
        <v>501</v>
      </c>
      <c r="K1936" s="61" t="s">
        <v>1187</v>
      </c>
      <c r="L1936" s="159"/>
      <c r="M1936" s="48"/>
      <c r="N1936" s="123"/>
    </row>
    <row r="1937" spans="1:14" customFormat="1" x14ac:dyDescent="0.55000000000000004">
      <c r="A1937" s="106" t="s">
        <v>525</v>
      </c>
      <c r="B1937" s="61" t="s">
        <v>153</v>
      </c>
      <c r="C1937" s="61" t="s">
        <v>127</v>
      </c>
      <c r="D1937" s="61" t="s">
        <v>2994</v>
      </c>
      <c r="E1937" s="119">
        <v>120.923</v>
      </c>
      <c r="F1937" s="148" t="s">
        <v>130</v>
      </c>
      <c r="G1937" s="148">
        <v>1</v>
      </c>
      <c r="H1937" s="61" t="s">
        <v>39</v>
      </c>
      <c r="I1937" t="s">
        <v>535</v>
      </c>
      <c r="J1937" s="86" t="s">
        <v>501</v>
      </c>
      <c r="K1937" s="61" t="s">
        <v>1214</v>
      </c>
      <c r="L1937" s="159"/>
      <c r="M1937" s="48"/>
      <c r="N1937" s="123"/>
    </row>
    <row r="1938" spans="1:14" customFormat="1" x14ac:dyDescent="0.55000000000000004">
      <c r="A1938" s="106" t="s">
        <v>525</v>
      </c>
      <c r="B1938" s="61" t="s">
        <v>171</v>
      </c>
      <c r="C1938" s="61" t="s">
        <v>127</v>
      </c>
      <c r="D1938" s="61" t="s">
        <v>2994</v>
      </c>
      <c r="E1938" s="119">
        <v>404.14600000000002</v>
      </c>
      <c r="F1938" s="148" t="s">
        <v>167</v>
      </c>
      <c r="G1938" s="148">
        <v>1</v>
      </c>
      <c r="H1938" s="61" t="s">
        <v>39</v>
      </c>
      <c r="I1938" t="s">
        <v>535</v>
      </c>
      <c r="J1938" s="86" t="s">
        <v>501</v>
      </c>
      <c r="K1938" s="61" t="s">
        <v>1214</v>
      </c>
      <c r="L1938" s="159"/>
      <c r="M1938" s="48"/>
      <c r="N1938" s="123"/>
    </row>
    <row r="1939" spans="1:14" customFormat="1" x14ac:dyDescent="0.55000000000000004">
      <c r="A1939" s="106" t="s">
        <v>525</v>
      </c>
      <c r="B1939" s="61" t="s">
        <v>505</v>
      </c>
      <c r="C1939" s="61" t="s">
        <v>127</v>
      </c>
      <c r="D1939" s="61" t="s">
        <v>2994</v>
      </c>
      <c r="E1939" s="119">
        <v>5.2279999999999998</v>
      </c>
      <c r="F1939" s="148" t="s">
        <v>167</v>
      </c>
      <c r="G1939" s="148">
        <v>1</v>
      </c>
      <c r="H1939" s="61" t="s">
        <v>39</v>
      </c>
      <c r="I1939" t="s">
        <v>535</v>
      </c>
      <c r="J1939" s="86" t="s">
        <v>501</v>
      </c>
      <c r="K1939" s="61" t="s">
        <v>1214</v>
      </c>
      <c r="L1939" s="159"/>
      <c r="M1939" s="48"/>
      <c r="N1939" s="123"/>
    </row>
    <row r="1940" spans="1:14" customFormat="1" x14ac:dyDescent="0.55000000000000004">
      <c r="A1940" s="106" t="s">
        <v>525</v>
      </c>
      <c r="B1940" s="61" t="s">
        <v>504</v>
      </c>
      <c r="C1940" s="61" t="s">
        <v>127</v>
      </c>
      <c r="D1940" s="61" t="s">
        <v>2994</v>
      </c>
      <c r="E1940" s="119">
        <v>0</v>
      </c>
      <c r="F1940" s="148" t="s">
        <v>167</v>
      </c>
      <c r="G1940" s="148">
        <v>1</v>
      </c>
      <c r="H1940" s="61" t="s">
        <v>39</v>
      </c>
      <c r="I1940" t="s">
        <v>535</v>
      </c>
      <c r="J1940" s="86" t="s">
        <v>501</v>
      </c>
      <c r="K1940" s="61" t="s">
        <v>1214</v>
      </c>
      <c r="L1940" s="159"/>
      <c r="M1940" s="48"/>
      <c r="N1940" s="123"/>
    </row>
    <row r="1941" spans="1:14" customFormat="1" x14ac:dyDescent="0.55000000000000004">
      <c r="A1941" s="106" t="s">
        <v>525</v>
      </c>
      <c r="B1941" s="61" t="s">
        <v>506</v>
      </c>
      <c r="C1941" s="61" t="s">
        <v>127</v>
      </c>
      <c r="D1941" s="61" t="s">
        <v>2994</v>
      </c>
      <c r="E1941" s="119">
        <v>0</v>
      </c>
      <c r="F1941" s="148" t="s">
        <v>167</v>
      </c>
      <c r="G1941" s="148">
        <v>1</v>
      </c>
      <c r="H1941" s="61" t="s">
        <v>39</v>
      </c>
      <c r="I1941" t="s">
        <v>535</v>
      </c>
      <c r="J1941" s="86" t="s">
        <v>501</v>
      </c>
      <c r="K1941" s="61" t="s">
        <v>1214</v>
      </c>
      <c r="L1941" s="159"/>
      <c r="M1941" s="48"/>
      <c r="N1941" s="123"/>
    </row>
    <row r="1942" spans="1:14" customFormat="1" x14ac:dyDescent="0.55000000000000004">
      <c r="A1942" s="106" t="s">
        <v>525</v>
      </c>
      <c r="B1942" s="61" t="s">
        <v>504</v>
      </c>
      <c r="C1942" s="61" t="s">
        <v>507</v>
      </c>
      <c r="D1942" s="61" t="s">
        <v>2994</v>
      </c>
      <c r="E1942" s="119">
        <v>1683</v>
      </c>
      <c r="F1942" s="148" t="s">
        <v>167</v>
      </c>
      <c r="G1942" s="148">
        <v>1</v>
      </c>
      <c r="H1942" s="61" t="s">
        <v>39</v>
      </c>
      <c r="I1942" t="s">
        <v>535</v>
      </c>
      <c r="J1942" s="86" t="s">
        <v>501</v>
      </c>
      <c r="K1942" s="61" t="s">
        <v>1214</v>
      </c>
      <c r="L1942" s="159"/>
      <c r="M1942" s="48"/>
      <c r="N1942" s="123"/>
    </row>
    <row r="1943" spans="1:14" customFormat="1" x14ac:dyDescent="0.55000000000000004">
      <c r="A1943" s="106" t="s">
        <v>525</v>
      </c>
      <c r="B1943" s="61" t="s">
        <v>508</v>
      </c>
      <c r="C1943" s="61" t="s">
        <v>127</v>
      </c>
      <c r="D1943" s="61" t="s">
        <v>2994</v>
      </c>
      <c r="E1943" s="119">
        <v>28.992000000000001</v>
      </c>
      <c r="F1943" s="148" t="s">
        <v>167</v>
      </c>
      <c r="G1943" s="148">
        <v>1</v>
      </c>
      <c r="H1943" s="61" t="s">
        <v>39</v>
      </c>
      <c r="I1943" t="s">
        <v>535</v>
      </c>
      <c r="J1943" s="86" t="s">
        <v>501</v>
      </c>
      <c r="K1943" s="61" t="s">
        <v>1214</v>
      </c>
      <c r="L1943" s="159"/>
      <c r="M1943" s="48"/>
      <c r="N1943" s="123"/>
    </row>
    <row r="1944" spans="1:14" customFormat="1" x14ac:dyDescent="0.55000000000000004">
      <c r="A1944" s="106" t="s">
        <v>525</v>
      </c>
      <c r="B1944" s="61" t="s">
        <v>510</v>
      </c>
      <c r="C1944" s="61" t="s">
        <v>125</v>
      </c>
      <c r="D1944" s="61" t="s">
        <v>3288</v>
      </c>
      <c r="E1944" s="119">
        <v>9.68</v>
      </c>
      <c r="F1944" s="148" t="s">
        <v>122</v>
      </c>
      <c r="G1944" s="148">
        <v>1</v>
      </c>
      <c r="H1944" s="61" t="s">
        <v>39</v>
      </c>
      <c r="I1944" t="s">
        <v>535</v>
      </c>
      <c r="J1944" s="86" t="s">
        <v>501</v>
      </c>
      <c r="K1944" s="61" t="s">
        <v>1214</v>
      </c>
      <c r="L1944" s="159"/>
      <c r="M1944" s="48"/>
      <c r="N1944" s="123"/>
    </row>
    <row r="1945" spans="1:14" customFormat="1" x14ac:dyDescent="0.55000000000000004">
      <c r="A1945" s="106" t="s">
        <v>525</v>
      </c>
      <c r="B1945" s="61" t="s">
        <v>527</v>
      </c>
      <c r="C1945" s="61" t="s">
        <v>125</v>
      </c>
      <c r="D1945" s="61" t="s">
        <v>3288</v>
      </c>
      <c r="E1945" s="119">
        <v>21.14</v>
      </c>
      <c r="F1945" s="148" t="s">
        <v>122</v>
      </c>
      <c r="G1945" s="148">
        <v>1</v>
      </c>
      <c r="H1945" s="61" t="s">
        <v>39</v>
      </c>
      <c r="I1945" t="s">
        <v>535</v>
      </c>
      <c r="J1945" s="86" t="s">
        <v>501</v>
      </c>
      <c r="K1945" s="61" t="s">
        <v>1214</v>
      </c>
      <c r="L1945" s="159"/>
      <c r="M1945" s="48"/>
      <c r="N1945" s="123"/>
    </row>
    <row r="1946" spans="1:14" customFormat="1" x14ac:dyDescent="0.55000000000000004">
      <c r="A1946" s="106" t="s">
        <v>525</v>
      </c>
      <c r="B1946" s="61" t="s">
        <v>517</v>
      </c>
      <c r="C1946" s="61" t="s">
        <v>125</v>
      </c>
      <c r="D1946" s="61" t="s">
        <v>3288</v>
      </c>
      <c r="E1946" s="119">
        <v>0</v>
      </c>
      <c r="F1946" s="148" t="s">
        <v>122</v>
      </c>
      <c r="G1946" s="148">
        <v>1</v>
      </c>
      <c r="H1946" s="61" t="s">
        <v>39</v>
      </c>
      <c r="I1946" t="s">
        <v>535</v>
      </c>
      <c r="J1946" s="86" t="s">
        <v>501</v>
      </c>
      <c r="K1946" s="61" t="s">
        <v>1214</v>
      </c>
      <c r="L1946" s="159"/>
      <c r="M1946" s="48"/>
      <c r="N1946" s="123"/>
    </row>
    <row r="1947" spans="1:14" customFormat="1" x14ac:dyDescent="0.55000000000000004">
      <c r="A1947" s="106" t="s">
        <v>525</v>
      </c>
      <c r="B1947" s="61" t="s">
        <v>160</v>
      </c>
      <c r="C1947" s="61" t="s">
        <v>497</v>
      </c>
      <c r="D1947" s="61" t="s">
        <v>3288</v>
      </c>
      <c r="E1947" s="119">
        <v>31.311857140000001</v>
      </c>
      <c r="F1947" s="148" t="s">
        <v>122</v>
      </c>
      <c r="G1947" s="148">
        <v>1</v>
      </c>
      <c r="H1947" s="61" t="s">
        <v>39</v>
      </c>
      <c r="I1947" t="s">
        <v>535</v>
      </c>
      <c r="J1947" s="86" t="s">
        <v>501</v>
      </c>
      <c r="K1947" s="61" t="s">
        <v>1214</v>
      </c>
      <c r="L1947" s="159"/>
      <c r="M1947" s="48"/>
      <c r="N1947" s="123"/>
    </row>
    <row r="1948" spans="1:14" customFormat="1" x14ac:dyDescent="0.55000000000000004">
      <c r="A1948" s="106" t="s">
        <v>525</v>
      </c>
      <c r="B1948" s="61" t="s">
        <v>160</v>
      </c>
      <c r="C1948" s="61" t="s">
        <v>512</v>
      </c>
      <c r="D1948" s="61" t="s">
        <v>3288</v>
      </c>
      <c r="E1948" s="119">
        <v>168.3</v>
      </c>
      <c r="F1948" s="148" t="s">
        <v>122</v>
      </c>
      <c r="G1948" s="148">
        <v>1</v>
      </c>
      <c r="H1948" s="61" t="s">
        <v>39</v>
      </c>
      <c r="I1948" t="s">
        <v>535</v>
      </c>
      <c r="J1948" s="86" t="s">
        <v>501</v>
      </c>
      <c r="K1948" s="61" t="s">
        <v>1214</v>
      </c>
      <c r="L1948" s="159"/>
      <c r="M1948" s="48"/>
      <c r="N1948" s="123"/>
    </row>
    <row r="1949" spans="1:14" customFormat="1" x14ac:dyDescent="0.55000000000000004">
      <c r="A1949" s="106" t="s">
        <v>523</v>
      </c>
      <c r="B1949" s="61" t="s">
        <v>524</v>
      </c>
      <c r="C1949" s="61" t="s">
        <v>121</v>
      </c>
      <c r="D1949" s="61" t="s">
        <v>3288</v>
      </c>
      <c r="E1949" s="119">
        <v>1</v>
      </c>
      <c r="F1949" s="148" t="s">
        <v>133</v>
      </c>
      <c r="G1949" s="148">
        <v>1</v>
      </c>
      <c r="H1949" s="61" t="s">
        <v>39</v>
      </c>
      <c r="I1949" t="s">
        <v>535</v>
      </c>
      <c r="J1949" s="86" t="s">
        <v>501</v>
      </c>
      <c r="K1949" s="61" t="s">
        <v>1214</v>
      </c>
      <c r="L1949" s="159">
        <v>4407</v>
      </c>
      <c r="M1949" s="48"/>
      <c r="N1949" s="123"/>
    </row>
    <row r="1950" spans="1:14" customFormat="1" x14ac:dyDescent="0.55000000000000004">
      <c r="A1950" s="106" t="s">
        <v>523</v>
      </c>
      <c r="B1950" s="61" t="s">
        <v>502</v>
      </c>
      <c r="C1950" s="61" t="s">
        <v>156</v>
      </c>
      <c r="D1950" s="61" t="s">
        <v>3288</v>
      </c>
      <c r="E1950" s="119">
        <v>1.06</v>
      </c>
      <c r="F1950" s="148" t="s">
        <v>133</v>
      </c>
      <c r="G1950" s="148">
        <v>1</v>
      </c>
      <c r="H1950" s="61" t="s">
        <v>39</v>
      </c>
      <c r="I1950" t="s">
        <v>535</v>
      </c>
      <c r="J1950" s="86" t="s">
        <v>501</v>
      </c>
      <c r="K1950" s="61" t="s">
        <v>1214</v>
      </c>
      <c r="L1950" s="159"/>
      <c r="M1950" s="48"/>
      <c r="N1950" s="123"/>
    </row>
    <row r="1951" spans="1:14" customFormat="1" x14ac:dyDescent="0.55000000000000004">
      <c r="A1951" s="106" t="s">
        <v>523</v>
      </c>
      <c r="B1951" s="61" t="s">
        <v>503</v>
      </c>
      <c r="C1951" s="61" t="s">
        <v>125</v>
      </c>
      <c r="D1951" s="61" t="s">
        <v>3288</v>
      </c>
      <c r="E1951" s="119">
        <v>2.06</v>
      </c>
      <c r="F1951" s="148" t="s">
        <v>133</v>
      </c>
      <c r="G1951" s="148">
        <v>1</v>
      </c>
      <c r="H1951" s="61" t="s">
        <v>39</v>
      </c>
      <c r="I1951" t="s">
        <v>535</v>
      </c>
      <c r="J1951" s="86" t="s">
        <v>501</v>
      </c>
      <c r="K1951" s="61" t="s">
        <v>1214</v>
      </c>
      <c r="L1951" s="159"/>
      <c r="M1951" s="48"/>
      <c r="N1951" s="123"/>
    </row>
    <row r="1952" spans="1:14" customFormat="1" x14ac:dyDescent="0.55000000000000004">
      <c r="A1952" s="106" t="s">
        <v>523</v>
      </c>
      <c r="B1952" s="61" t="s">
        <v>520</v>
      </c>
      <c r="C1952" s="61" t="s">
        <v>125</v>
      </c>
      <c r="D1952" s="61" t="s">
        <v>3288</v>
      </c>
      <c r="E1952" s="119">
        <v>0</v>
      </c>
      <c r="F1952" s="148" t="s">
        <v>133</v>
      </c>
      <c r="G1952" s="148">
        <v>1</v>
      </c>
      <c r="H1952" s="61" t="s">
        <v>39</v>
      </c>
      <c r="I1952" t="s">
        <v>535</v>
      </c>
      <c r="J1952" s="86" t="s">
        <v>501</v>
      </c>
      <c r="K1952" s="61" t="s">
        <v>1187</v>
      </c>
      <c r="L1952" s="159"/>
      <c r="M1952" s="48"/>
      <c r="N1952" s="123"/>
    </row>
    <row r="1953" spans="1:14" customFormat="1" x14ac:dyDescent="0.55000000000000004">
      <c r="A1953" s="106" t="s">
        <v>523</v>
      </c>
      <c r="B1953" s="61" t="s">
        <v>153</v>
      </c>
      <c r="C1953" s="61" t="s">
        <v>127</v>
      </c>
      <c r="D1953" s="61" t="s">
        <v>2994</v>
      </c>
      <c r="E1953" s="119">
        <v>118.762</v>
      </c>
      <c r="F1953" s="148" t="s">
        <v>130</v>
      </c>
      <c r="G1953" s="148">
        <v>1</v>
      </c>
      <c r="H1953" s="61" t="s">
        <v>39</v>
      </c>
      <c r="I1953" t="s">
        <v>535</v>
      </c>
      <c r="J1953" s="86" t="s">
        <v>501</v>
      </c>
      <c r="K1953" s="61" t="s">
        <v>1187</v>
      </c>
      <c r="L1953" s="159"/>
      <c r="M1953" s="48"/>
      <c r="N1953" s="123"/>
    </row>
    <row r="1954" spans="1:14" customFormat="1" x14ac:dyDescent="0.55000000000000004">
      <c r="A1954" s="106" t="s">
        <v>523</v>
      </c>
      <c r="B1954" s="61" t="s">
        <v>171</v>
      </c>
      <c r="C1954" s="61" t="s">
        <v>127</v>
      </c>
      <c r="D1954" s="61" t="s">
        <v>2994</v>
      </c>
      <c r="E1954" s="119">
        <v>0</v>
      </c>
      <c r="F1954" s="148" t="s">
        <v>167</v>
      </c>
      <c r="G1954" s="148">
        <v>1</v>
      </c>
      <c r="H1954" s="61" t="s">
        <v>39</v>
      </c>
      <c r="I1954" t="s">
        <v>535</v>
      </c>
      <c r="J1954" s="86" t="s">
        <v>501</v>
      </c>
      <c r="K1954" s="61" t="s">
        <v>1218</v>
      </c>
      <c r="L1954" s="159"/>
      <c r="M1954" s="48"/>
      <c r="N1954" s="123"/>
    </row>
    <row r="1955" spans="1:14" customFormat="1" x14ac:dyDescent="0.55000000000000004">
      <c r="A1955" s="106" t="s">
        <v>523</v>
      </c>
      <c r="B1955" s="61" t="s">
        <v>505</v>
      </c>
      <c r="C1955" s="61" t="s">
        <v>127</v>
      </c>
      <c r="D1955" s="61" t="s">
        <v>2994</v>
      </c>
      <c r="E1955" s="119">
        <v>0</v>
      </c>
      <c r="F1955" s="148" t="s">
        <v>167</v>
      </c>
      <c r="G1955" s="148">
        <v>1</v>
      </c>
      <c r="H1955" s="61" t="s">
        <v>39</v>
      </c>
      <c r="I1955" t="s">
        <v>535</v>
      </c>
      <c r="J1955" s="86" t="s">
        <v>501</v>
      </c>
      <c r="K1955" s="61" t="s">
        <v>1218</v>
      </c>
      <c r="L1955" s="159"/>
      <c r="M1955" s="48"/>
      <c r="N1955" s="123"/>
    </row>
    <row r="1956" spans="1:14" customFormat="1" x14ac:dyDescent="0.55000000000000004">
      <c r="A1956" s="106" t="s">
        <v>523</v>
      </c>
      <c r="B1956" s="61" t="s">
        <v>504</v>
      </c>
      <c r="C1956" s="61" t="s">
        <v>127</v>
      </c>
      <c r="D1956" s="61" t="s">
        <v>2994</v>
      </c>
      <c r="E1956" s="119">
        <v>0</v>
      </c>
      <c r="F1956" s="148" t="s">
        <v>167</v>
      </c>
      <c r="G1956" s="148">
        <v>1</v>
      </c>
      <c r="H1956" s="61" t="s">
        <v>39</v>
      </c>
      <c r="I1956" t="s">
        <v>535</v>
      </c>
      <c r="J1956" s="86" t="s">
        <v>501</v>
      </c>
      <c r="K1956" s="61" t="s">
        <v>1218</v>
      </c>
      <c r="L1956" s="159"/>
      <c r="M1956" s="48"/>
      <c r="N1956" s="123"/>
    </row>
    <row r="1957" spans="1:14" customFormat="1" x14ac:dyDescent="0.55000000000000004">
      <c r="A1957" s="106" t="s">
        <v>523</v>
      </c>
      <c r="B1957" s="61" t="s">
        <v>506</v>
      </c>
      <c r="C1957" s="61" t="s">
        <v>127</v>
      </c>
      <c r="D1957" s="61" t="s">
        <v>2994</v>
      </c>
      <c r="E1957" s="119">
        <v>497.16699999999997</v>
      </c>
      <c r="F1957" s="148" t="s">
        <v>167</v>
      </c>
      <c r="G1957" s="148">
        <v>1</v>
      </c>
      <c r="H1957" s="61" t="s">
        <v>39</v>
      </c>
      <c r="I1957" t="s">
        <v>535</v>
      </c>
      <c r="J1957" s="86" t="s">
        <v>501</v>
      </c>
      <c r="K1957" s="61" t="s">
        <v>1218</v>
      </c>
      <c r="L1957" s="159"/>
      <c r="M1957" s="48"/>
      <c r="N1957" s="123"/>
    </row>
    <row r="1958" spans="1:14" customFormat="1" x14ac:dyDescent="0.55000000000000004">
      <c r="A1958" s="106" t="s">
        <v>523</v>
      </c>
      <c r="B1958" s="61" t="s">
        <v>504</v>
      </c>
      <c r="C1958" s="61" t="s">
        <v>507</v>
      </c>
      <c r="D1958" s="61" t="s">
        <v>2994</v>
      </c>
      <c r="E1958" s="119">
        <v>1900.691</v>
      </c>
      <c r="F1958" s="148" t="s">
        <v>167</v>
      </c>
      <c r="G1958" s="148">
        <v>1</v>
      </c>
      <c r="H1958" s="61" t="s">
        <v>39</v>
      </c>
      <c r="I1958" t="s">
        <v>535</v>
      </c>
      <c r="J1958" s="86" t="s">
        <v>501</v>
      </c>
      <c r="K1958" s="61" t="s">
        <v>1218</v>
      </c>
      <c r="L1958" s="159"/>
      <c r="M1958" s="48"/>
      <c r="N1958" s="123"/>
    </row>
    <row r="1959" spans="1:14" customFormat="1" x14ac:dyDescent="0.55000000000000004">
      <c r="A1959" s="106" t="s">
        <v>523</v>
      </c>
      <c r="B1959" s="61" t="s">
        <v>508</v>
      </c>
      <c r="C1959" s="61" t="s">
        <v>127</v>
      </c>
      <c r="D1959" s="61" t="s">
        <v>2994</v>
      </c>
      <c r="E1959" s="119">
        <v>75.408000000000001</v>
      </c>
      <c r="F1959" s="148" t="s">
        <v>167</v>
      </c>
      <c r="G1959" s="148">
        <v>1</v>
      </c>
      <c r="H1959" s="61" t="s">
        <v>39</v>
      </c>
      <c r="I1959" t="s">
        <v>535</v>
      </c>
      <c r="J1959" s="86" t="s">
        <v>501</v>
      </c>
      <c r="K1959" s="61" t="s">
        <v>1218</v>
      </c>
      <c r="L1959" s="159"/>
      <c r="M1959" s="48"/>
      <c r="N1959" s="123"/>
    </row>
    <row r="1960" spans="1:14" customFormat="1" x14ac:dyDescent="0.55000000000000004">
      <c r="A1960" s="106" t="s">
        <v>523</v>
      </c>
      <c r="B1960" s="61" t="s">
        <v>160</v>
      </c>
      <c r="C1960" s="61" t="s">
        <v>497</v>
      </c>
      <c r="D1960" s="61" t="s">
        <v>3288</v>
      </c>
      <c r="E1960" s="119">
        <v>5.3862857139999996</v>
      </c>
      <c r="F1960" s="148" t="s">
        <v>122</v>
      </c>
      <c r="G1960" s="148">
        <v>1</v>
      </c>
      <c r="H1960" s="61" t="s">
        <v>39</v>
      </c>
      <c r="I1960" t="s">
        <v>535</v>
      </c>
      <c r="J1960" s="86" t="s">
        <v>501</v>
      </c>
      <c r="K1960" s="61" t="s">
        <v>1218</v>
      </c>
      <c r="L1960" s="159"/>
      <c r="M1960" s="48"/>
      <c r="N1960" s="123"/>
    </row>
    <row r="1961" spans="1:14" customFormat="1" x14ac:dyDescent="0.55000000000000004">
      <c r="A1961" s="106" t="s">
        <v>523</v>
      </c>
      <c r="B1961" s="61" t="s">
        <v>160</v>
      </c>
      <c r="C1961" s="61" t="s">
        <v>512</v>
      </c>
      <c r="D1961" s="61" t="s">
        <v>3288</v>
      </c>
      <c r="E1961" s="119">
        <v>239.78579999999999</v>
      </c>
      <c r="F1961" s="148" t="s">
        <v>122</v>
      </c>
      <c r="G1961" s="148">
        <v>1</v>
      </c>
      <c r="H1961" s="61" t="s">
        <v>39</v>
      </c>
      <c r="I1961" t="s">
        <v>535</v>
      </c>
      <c r="J1961" s="86" t="s">
        <v>501</v>
      </c>
      <c r="K1961" s="61" t="s">
        <v>1218</v>
      </c>
      <c r="L1961" s="159"/>
      <c r="M1961" s="48"/>
      <c r="N1961" s="123"/>
    </row>
    <row r="1962" spans="1:14" customFormat="1" x14ac:dyDescent="0.55000000000000004">
      <c r="A1962" s="106" t="s">
        <v>521</v>
      </c>
      <c r="B1962" s="61" t="s">
        <v>522</v>
      </c>
      <c r="C1962" s="61" t="s">
        <v>121</v>
      </c>
      <c r="D1962" s="61" t="s">
        <v>3288</v>
      </c>
      <c r="E1962" s="119">
        <v>1</v>
      </c>
      <c r="F1962" s="148" t="s">
        <v>133</v>
      </c>
      <c r="G1962" s="148">
        <v>1</v>
      </c>
      <c r="H1962" s="61" t="s">
        <v>39</v>
      </c>
      <c r="I1962" t="s">
        <v>535</v>
      </c>
      <c r="J1962" s="86" t="s">
        <v>501</v>
      </c>
      <c r="K1962" s="61" t="s">
        <v>1218</v>
      </c>
      <c r="L1962" s="159">
        <v>4407</v>
      </c>
      <c r="M1962" s="48"/>
      <c r="N1962" s="123"/>
    </row>
    <row r="1963" spans="1:14" customFormat="1" x14ac:dyDescent="0.55000000000000004">
      <c r="A1963" s="106" t="s">
        <v>521</v>
      </c>
      <c r="B1963" s="61" t="s">
        <v>502</v>
      </c>
      <c r="C1963" s="61" t="s">
        <v>156</v>
      </c>
      <c r="D1963" s="61" t="s">
        <v>3288</v>
      </c>
      <c r="E1963" s="119">
        <v>0.82</v>
      </c>
      <c r="F1963" s="148" t="s">
        <v>133</v>
      </c>
      <c r="G1963" s="148">
        <v>1</v>
      </c>
      <c r="H1963" s="61" t="s">
        <v>39</v>
      </c>
      <c r="I1963" t="s">
        <v>535</v>
      </c>
      <c r="J1963" s="86" t="s">
        <v>501</v>
      </c>
      <c r="K1963" s="61" t="s">
        <v>1218</v>
      </c>
      <c r="L1963" s="159"/>
      <c r="M1963" s="48"/>
      <c r="N1963" s="123"/>
    </row>
    <row r="1964" spans="1:14" customFormat="1" x14ac:dyDescent="0.55000000000000004">
      <c r="A1964" s="106" t="s">
        <v>521</v>
      </c>
      <c r="B1964" s="61" t="s">
        <v>503</v>
      </c>
      <c r="C1964" s="61" t="s">
        <v>125</v>
      </c>
      <c r="D1964" s="61" t="s">
        <v>3288</v>
      </c>
      <c r="E1964" s="119">
        <v>1.7549999999999999</v>
      </c>
      <c r="F1964" s="148" t="s">
        <v>133</v>
      </c>
      <c r="G1964" s="148">
        <v>1</v>
      </c>
      <c r="H1964" s="61" t="s">
        <v>39</v>
      </c>
      <c r="I1964" t="s">
        <v>535</v>
      </c>
      <c r="J1964" s="86" t="s">
        <v>501</v>
      </c>
      <c r="K1964" s="61" t="s">
        <v>1218</v>
      </c>
      <c r="L1964" s="159"/>
      <c r="M1964" s="48"/>
      <c r="N1964" s="123"/>
    </row>
    <row r="1965" spans="1:14" customFormat="1" x14ac:dyDescent="0.55000000000000004">
      <c r="A1965" s="106" t="s">
        <v>521</v>
      </c>
      <c r="B1965" s="61" t="s">
        <v>520</v>
      </c>
      <c r="C1965" s="61" t="s">
        <v>125</v>
      </c>
      <c r="D1965" s="61" t="s">
        <v>3288</v>
      </c>
      <c r="E1965" s="119">
        <v>6.5000000000000002E-2</v>
      </c>
      <c r="F1965" s="148" t="s">
        <v>133</v>
      </c>
      <c r="G1965" s="148">
        <v>1</v>
      </c>
      <c r="H1965" s="61" t="s">
        <v>39</v>
      </c>
      <c r="I1965" t="s">
        <v>535</v>
      </c>
      <c r="J1965" s="86" t="s">
        <v>501</v>
      </c>
      <c r="K1965" s="61" t="s">
        <v>1218</v>
      </c>
      <c r="L1965" s="159"/>
      <c r="M1965" s="48"/>
      <c r="N1965" s="123"/>
    </row>
    <row r="1966" spans="1:14" customFormat="1" x14ac:dyDescent="0.55000000000000004">
      <c r="A1966" s="106" t="s">
        <v>521</v>
      </c>
      <c r="B1966" s="61" t="s">
        <v>153</v>
      </c>
      <c r="C1966" s="61" t="s">
        <v>127</v>
      </c>
      <c r="D1966" s="61" t="s">
        <v>2994</v>
      </c>
      <c r="E1966" s="119">
        <v>21.77</v>
      </c>
      <c r="F1966" s="148" t="s">
        <v>130</v>
      </c>
      <c r="G1966" s="148">
        <v>1</v>
      </c>
      <c r="H1966" s="61" t="s">
        <v>39</v>
      </c>
      <c r="I1966" t="s">
        <v>535</v>
      </c>
      <c r="J1966" s="86" t="s">
        <v>501</v>
      </c>
      <c r="K1966" s="61" t="s">
        <v>1218</v>
      </c>
      <c r="L1966" s="159"/>
      <c r="M1966" s="48"/>
      <c r="N1966" s="123"/>
    </row>
    <row r="1967" spans="1:14" customFormat="1" x14ac:dyDescent="0.55000000000000004">
      <c r="A1967" s="106" t="s">
        <v>521</v>
      </c>
      <c r="B1967" s="61" t="s">
        <v>171</v>
      </c>
      <c r="C1967" s="61" t="s">
        <v>127</v>
      </c>
      <c r="D1967" s="61" t="s">
        <v>2994</v>
      </c>
      <c r="E1967" s="119">
        <v>0</v>
      </c>
      <c r="F1967" s="148" t="s">
        <v>167</v>
      </c>
      <c r="G1967" s="148">
        <v>1</v>
      </c>
      <c r="H1967" s="61" t="s">
        <v>39</v>
      </c>
      <c r="I1967" t="s">
        <v>535</v>
      </c>
      <c r="J1967" s="86" t="s">
        <v>501</v>
      </c>
      <c r="K1967" s="61" t="s">
        <v>1218</v>
      </c>
      <c r="L1967" s="159"/>
      <c r="M1967" s="48"/>
      <c r="N1967" s="123"/>
    </row>
    <row r="1968" spans="1:14" customFormat="1" x14ac:dyDescent="0.55000000000000004">
      <c r="A1968" s="106" t="s">
        <v>521</v>
      </c>
      <c r="B1968" s="61" t="s">
        <v>508</v>
      </c>
      <c r="C1968" s="61" t="s">
        <v>127</v>
      </c>
      <c r="D1968" s="61" t="s">
        <v>2994</v>
      </c>
      <c r="E1968" s="119">
        <v>39.456000000000003</v>
      </c>
      <c r="F1968" s="148" t="s">
        <v>167</v>
      </c>
      <c r="G1968" s="148">
        <v>1</v>
      </c>
      <c r="H1968" s="61" t="s">
        <v>39</v>
      </c>
      <c r="I1968" t="s">
        <v>535</v>
      </c>
      <c r="J1968" s="86" t="s">
        <v>501</v>
      </c>
      <c r="K1968" s="61" t="s">
        <v>1218</v>
      </c>
      <c r="L1968" s="159"/>
      <c r="M1968" s="48"/>
      <c r="N1968" s="123"/>
    </row>
    <row r="1969" spans="1:14" customFormat="1" x14ac:dyDescent="0.55000000000000004">
      <c r="A1969" s="106" t="s">
        <v>521</v>
      </c>
      <c r="B1969" s="61" t="s">
        <v>160</v>
      </c>
      <c r="C1969" s="61" t="s">
        <v>497</v>
      </c>
      <c r="D1969" s="61" t="s">
        <v>3288</v>
      </c>
      <c r="E1969" s="119">
        <v>2.8182857139999999</v>
      </c>
      <c r="F1969" s="148" t="s">
        <v>122</v>
      </c>
      <c r="G1969" s="148">
        <v>1</v>
      </c>
      <c r="H1969" s="61" t="s">
        <v>39</v>
      </c>
      <c r="I1969" t="s">
        <v>535</v>
      </c>
      <c r="J1969" s="86" t="s">
        <v>501</v>
      </c>
      <c r="K1969" s="61" t="s">
        <v>1187</v>
      </c>
      <c r="L1969" s="159"/>
      <c r="M1969" s="48"/>
      <c r="N1969" s="123"/>
    </row>
    <row r="1970" spans="1:14" customFormat="1" x14ac:dyDescent="0.55000000000000004">
      <c r="A1970" s="106" t="s">
        <v>521</v>
      </c>
      <c r="B1970" s="61" t="s">
        <v>160</v>
      </c>
      <c r="C1970" s="61" t="s">
        <v>512</v>
      </c>
      <c r="D1970" s="61" t="s">
        <v>3288</v>
      </c>
      <c r="E1970" s="119">
        <v>0</v>
      </c>
      <c r="F1970" s="148" t="s">
        <v>122</v>
      </c>
      <c r="G1970" s="148">
        <v>1</v>
      </c>
      <c r="H1970" s="61" t="s">
        <v>39</v>
      </c>
      <c r="I1970" t="s">
        <v>535</v>
      </c>
      <c r="J1970" s="86" t="s">
        <v>501</v>
      </c>
      <c r="K1970" s="61" t="s">
        <v>1187</v>
      </c>
      <c r="L1970" s="159"/>
      <c r="M1970" s="48"/>
      <c r="N1970" s="123"/>
    </row>
    <row r="1971" spans="1:14" customFormat="1" x14ac:dyDescent="0.55000000000000004">
      <c r="A1971" s="106" t="s">
        <v>518</v>
      </c>
      <c r="B1971" s="61" t="s">
        <v>519</v>
      </c>
      <c r="C1971" s="61" t="s">
        <v>121</v>
      </c>
      <c r="D1971" s="61" t="s">
        <v>3288</v>
      </c>
      <c r="E1971" s="119">
        <v>1</v>
      </c>
      <c r="F1971" s="148" t="s">
        <v>133</v>
      </c>
      <c r="G1971" s="148">
        <v>1</v>
      </c>
      <c r="H1971" s="61" t="s">
        <v>39</v>
      </c>
      <c r="I1971" t="s">
        <v>535</v>
      </c>
      <c r="J1971" s="86" t="s">
        <v>501</v>
      </c>
      <c r="K1971" s="61" t="s">
        <v>1221</v>
      </c>
      <c r="L1971" s="159">
        <v>4407</v>
      </c>
      <c r="M1971" s="48"/>
      <c r="N1971" s="123"/>
    </row>
    <row r="1972" spans="1:14" customFormat="1" x14ac:dyDescent="0.55000000000000004">
      <c r="A1972" s="106" t="s">
        <v>518</v>
      </c>
      <c r="B1972" s="61" t="s">
        <v>502</v>
      </c>
      <c r="C1972" s="61" t="s">
        <v>156</v>
      </c>
      <c r="D1972" s="61" t="s">
        <v>3288</v>
      </c>
      <c r="E1972" s="119">
        <v>1.04</v>
      </c>
      <c r="F1972" s="148" t="s">
        <v>133</v>
      </c>
      <c r="G1972" s="148">
        <v>1</v>
      </c>
      <c r="H1972" s="61" t="s">
        <v>39</v>
      </c>
      <c r="I1972" t="s">
        <v>535</v>
      </c>
      <c r="J1972" s="86" t="s">
        <v>501</v>
      </c>
      <c r="K1972" s="61" t="s">
        <v>1221</v>
      </c>
      <c r="L1972" s="159"/>
      <c r="M1972" s="48"/>
      <c r="N1972" s="123"/>
    </row>
    <row r="1973" spans="1:14" customFormat="1" x14ac:dyDescent="0.55000000000000004">
      <c r="A1973" s="106" t="s">
        <v>518</v>
      </c>
      <c r="B1973" s="61" t="s">
        <v>503</v>
      </c>
      <c r="C1973" s="61" t="s">
        <v>125</v>
      </c>
      <c r="D1973" s="61" t="s">
        <v>3288</v>
      </c>
      <c r="E1973" s="119">
        <v>1.9910000000000001</v>
      </c>
      <c r="F1973" s="148" t="s">
        <v>133</v>
      </c>
      <c r="G1973" s="148">
        <v>1</v>
      </c>
      <c r="H1973" s="61" t="s">
        <v>39</v>
      </c>
      <c r="I1973" t="s">
        <v>535</v>
      </c>
      <c r="J1973" s="86" t="s">
        <v>501</v>
      </c>
      <c r="K1973" s="61" t="s">
        <v>1221</v>
      </c>
      <c r="L1973" s="159"/>
      <c r="M1973" s="48"/>
      <c r="N1973" s="123"/>
    </row>
    <row r="1974" spans="1:14" customFormat="1" x14ac:dyDescent="0.55000000000000004">
      <c r="A1974" s="106" t="s">
        <v>518</v>
      </c>
      <c r="B1974" s="61" t="s">
        <v>520</v>
      </c>
      <c r="C1974" s="61" t="s">
        <v>125</v>
      </c>
      <c r="D1974" s="61" t="s">
        <v>3288</v>
      </c>
      <c r="E1974" s="119">
        <v>0.05</v>
      </c>
      <c r="F1974" s="148" t="s">
        <v>133</v>
      </c>
      <c r="G1974" s="148">
        <v>1</v>
      </c>
      <c r="H1974" s="61" t="s">
        <v>39</v>
      </c>
      <c r="I1974" t="s">
        <v>535</v>
      </c>
      <c r="J1974" s="86" t="s">
        <v>501</v>
      </c>
      <c r="K1974" s="61" t="s">
        <v>1221</v>
      </c>
      <c r="L1974" s="159"/>
      <c r="M1974" s="48"/>
      <c r="N1974" s="123"/>
    </row>
    <row r="1975" spans="1:14" customFormat="1" x14ac:dyDescent="0.55000000000000004">
      <c r="A1975" s="106" t="s">
        <v>518</v>
      </c>
      <c r="B1975" s="61" t="s">
        <v>153</v>
      </c>
      <c r="C1975" s="61" t="s">
        <v>127</v>
      </c>
      <c r="D1975" s="61" t="s">
        <v>2994</v>
      </c>
      <c r="E1975" s="119">
        <v>43.411000000000001</v>
      </c>
      <c r="F1975" s="148" t="s">
        <v>130</v>
      </c>
      <c r="G1975" s="148">
        <v>1</v>
      </c>
      <c r="H1975" s="61" t="s">
        <v>39</v>
      </c>
      <c r="I1975" t="s">
        <v>535</v>
      </c>
      <c r="J1975" s="86" t="s">
        <v>501</v>
      </c>
      <c r="K1975" s="61" t="s">
        <v>1221</v>
      </c>
      <c r="L1975" s="159"/>
      <c r="M1975" s="48"/>
      <c r="N1975" s="123"/>
    </row>
    <row r="1976" spans="1:14" customFormat="1" x14ac:dyDescent="0.55000000000000004">
      <c r="A1976" s="106" t="s">
        <v>518</v>
      </c>
      <c r="B1976" s="61" t="s">
        <v>171</v>
      </c>
      <c r="C1976" s="61" t="s">
        <v>127</v>
      </c>
      <c r="D1976" s="61" t="s">
        <v>2994</v>
      </c>
      <c r="E1976" s="119">
        <v>3.4000000000000002E-2</v>
      </c>
      <c r="F1976" s="148" t="s">
        <v>167</v>
      </c>
      <c r="G1976" s="148">
        <v>1</v>
      </c>
      <c r="H1976" s="61" t="s">
        <v>39</v>
      </c>
      <c r="I1976" t="s">
        <v>535</v>
      </c>
      <c r="J1976" s="86" t="s">
        <v>501</v>
      </c>
      <c r="K1976" s="61" t="s">
        <v>1221</v>
      </c>
      <c r="L1976" s="159"/>
      <c r="M1976" s="48"/>
      <c r="N1976" s="123"/>
    </row>
    <row r="1977" spans="1:14" customFormat="1" x14ac:dyDescent="0.55000000000000004">
      <c r="A1977" s="106" t="s">
        <v>518</v>
      </c>
      <c r="B1977" s="61" t="s">
        <v>505</v>
      </c>
      <c r="C1977" s="61" t="s">
        <v>127</v>
      </c>
      <c r="D1977" s="61" t="s">
        <v>2994</v>
      </c>
      <c r="E1977" s="119">
        <v>5.3810000000000002</v>
      </c>
      <c r="F1977" s="148" t="s">
        <v>167</v>
      </c>
      <c r="G1977" s="148">
        <v>1</v>
      </c>
      <c r="H1977" s="61" t="s">
        <v>39</v>
      </c>
      <c r="I1977" t="s">
        <v>535</v>
      </c>
      <c r="J1977" s="86" t="s">
        <v>501</v>
      </c>
      <c r="K1977" s="61" t="s">
        <v>1221</v>
      </c>
      <c r="L1977" s="159"/>
      <c r="M1977" s="48"/>
      <c r="N1977" s="123"/>
    </row>
    <row r="1978" spans="1:14" customFormat="1" x14ac:dyDescent="0.55000000000000004">
      <c r="A1978" s="106" t="s">
        <v>518</v>
      </c>
      <c r="B1978" s="61" t="s">
        <v>504</v>
      </c>
      <c r="C1978" s="61" t="s">
        <v>127</v>
      </c>
      <c r="D1978" s="61" t="s">
        <v>2994</v>
      </c>
      <c r="E1978" s="119">
        <v>161.09700000000001</v>
      </c>
      <c r="F1978" s="148" t="s">
        <v>167</v>
      </c>
      <c r="G1978" s="148">
        <v>1</v>
      </c>
      <c r="H1978" s="61" t="s">
        <v>39</v>
      </c>
      <c r="I1978" t="s">
        <v>535</v>
      </c>
      <c r="J1978" s="86" t="s">
        <v>501</v>
      </c>
      <c r="K1978" s="61" t="s">
        <v>1221</v>
      </c>
      <c r="L1978" s="159"/>
      <c r="M1978" s="48"/>
      <c r="N1978" s="123"/>
    </row>
    <row r="1979" spans="1:14" customFormat="1" x14ac:dyDescent="0.55000000000000004">
      <c r="A1979" s="106" t="s">
        <v>518</v>
      </c>
      <c r="B1979" s="61" t="s">
        <v>506</v>
      </c>
      <c r="C1979" s="61" t="s">
        <v>127</v>
      </c>
      <c r="D1979" s="61" t="s">
        <v>2994</v>
      </c>
      <c r="E1979" s="119">
        <v>47.854999999999997</v>
      </c>
      <c r="F1979" s="148" t="s">
        <v>167</v>
      </c>
      <c r="G1979" s="148">
        <v>1</v>
      </c>
      <c r="H1979" s="61" t="s">
        <v>39</v>
      </c>
      <c r="I1979" t="s">
        <v>535</v>
      </c>
      <c r="J1979" s="86" t="s">
        <v>501</v>
      </c>
      <c r="K1979" s="61" t="s">
        <v>1221</v>
      </c>
      <c r="L1979" s="159"/>
      <c r="M1979" s="48"/>
      <c r="N1979" s="123"/>
    </row>
    <row r="1980" spans="1:14" customFormat="1" x14ac:dyDescent="0.55000000000000004">
      <c r="A1980" s="106" t="s">
        <v>518</v>
      </c>
      <c r="B1980" s="61" t="s">
        <v>504</v>
      </c>
      <c r="C1980" s="61" t="s">
        <v>507</v>
      </c>
      <c r="D1980" s="61" t="s">
        <v>2994</v>
      </c>
      <c r="E1980" s="119">
        <v>1087.5999999999999</v>
      </c>
      <c r="F1980" s="148" t="s">
        <v>167</v>
      </c>
      <c r="G1980" s="148">
        <v>1</v>
      </c>
      <c r="H1980" s="61" t="s">
        <v>39</v>
      </c>
      <c r="I1980" t="s">
        <v>535</v>
      </c>
      <c r="J1980" s="86" t="s">
        <v>501</v>
      </c>
      <c r="K1980" s="61" t="s">
        <v>1221</v>
      </c>
      <c r="L1980" s="159"/>
      <c r="M1980" s="48"/>
      <c r="N1980" s="123"/>
    </row>
    <row r="1981" spans="1:14" customFormat="1" x14ac:dyDescent="0.55000000000000004">
      <c r="A1981" s="106" t="s">
        <v>518</v>
      </c>
      <c r="B1981" s="61" t="s">
        <v>508</v>
      </c>
      <c r="C1981" s="61" t="s">
        <v>127</v>
      </c>
      <c r="D1981" s="61" t="s">
        <v>2994</v>
      </c>
      <c r="E1981" s="119">
        <v>62.064</v>
      </c>
      <c r="F1981" s="148" t="s">
        <v>167</v>
      </c>
      <c r="G1981" s="148">
        <v>1</v>
      </c>
      <c r="H1981" s="61" t="s">
        <v>39</v>
      </c>
      <c r="I1981" t="s">
        <v>535</v>
      </c>
      <c r="J1981" s="86" t="s">
        <v>501</v>
      </c>
      <c r="K1981" s="61" t="s">
        <v>1221</v>
      </c>
      <c r="L1981" s="159"/>
      <c r="M1981" s="48"/>
      <c r="N1981" s="123"/>
    </row>
    <row r="1982" spans="1:14" customFormat="1" x14ac:dyDescent="0.55000000000000004">
      <c r="A1982" s="106" t="s">
        <v>518</v>
      </c>
      <c r="B1982" s="61" t="s">
        <v>160</v>
      </c>
      <c r="C1982" s="61" t="s">
        <v>497</v>
      </c>
      <c r="D1982" s="61" t="s">
        <v>3288</v>
      </c>
      <c r="E1982" s="119">
        <v>4.8199285710000002</v>
      </c>
      <c r="F1982" s="148" t="s">
        <v>122</v>
      </c>
      <c r="G1982" s="148">
        <v>1</v>
      </c>
      <c r="H1982" s="61" t="s">
        <v>39</v>
      </c>
      <c r="I1982" t="s">
        <v>535</v>
      </c>
      <c r="J1982" s="86" t="s">
        <v>501</v>
      </c>
      <c r="K1982" s="61" t="s">
        <v>1221</v>
      </c>
      <c r="L1982" s="159"/>
      <c r="M1982" s="48"/>
      <c r="N1982" s="123"/>
    </row>
    <row r="1983" spans="1:14" customFormat="1" x14ac:dyDescent="0.55000000000000004">
      <c r="A1983" s="106" t="s">
        <v>518</v>
      </c>
      <c r="B1983" s="61" t="s">
        <v>160</v>
      </c>
      <c r="C1983" s="61" t="s">
        <v>512</v>
      </c>
      <c r="D1983" s="61" t="s">
        <v>3288</v>
      </c>
      <c r="E1983" s="119">
        <v>129.65520000000001</v>
      </c>
      <c r="F1983" s="148" t="s">
        <v>122</v>
      </c>
      <c r="G1983" s="148">
        <v>1</v>
      </c>
      <c r="H1983" s="61" t="s">
        <v>39</v>
      </c>
      <c r="I1983" t="s">
        <v>535</v>
      </c>
      <c r="J1983" s="86" t="s">
        <v>501</v>
      </c>
      <c r="K1983" s="61" t="s">
        <v>1221</v>
      </c>
      <c r="L1983" s="159"/>
      <c r="M1983" s="48"/>
      <c r="N1983" s="123"/>
    </row>
    <row r="1984" spans="1:14" customFormat="1" x14ac:dyDescent="0.55000000000000004">
      <c r="A1984" s="106" t="s">
        <v>513</v>
      </c>
      <c r="B1984" s="61" t="s">
        <v>514</v>
      </c>
      <c r="C1984" s="61" t="s">
        <v>121</v>
      </c>
      <c r="D1984" s="61" t="s">
        <v>3288</v>
      </c>
      <c r="E1984" s="119">
        <v>1</v>
      </c>
      <c r="F1984" s="148" t="s">
        <v>133</v>
      </c>
      <c r="G1984" s="148">
        <v>1</v>
      </c>
      <c r="H1984" s="61" t="s">
        <v>39</v>
      </c>
      <c r="I1984" t="s">
        <v>535</v>
      </c>
      <c r="J1984" s="86" t="s">
        <v>501</v>
      </c>
      <c r="K1984" s="61" t="s">
        <v>1221</v>
      </c>
      <c r="L1984" s="159">
        <v>4407</v>
      </c>
      <c r="M1984" s="48"/>
      <c r="N1984" s="123"/>
    </row>
    <row r="1985" spans="1:14" customFormat="1" x14ac:dyDescent="0.55000000000000004">
      <c r="A1985" s="106" t="s">
        <v>513</v>
      </c>
      <c r="B1985" s="61" t="s">
        <v>502</v>
      </c>
      <c r="C1985" s="61" t="s">
        <v>156</v>
      </c>
      <c r="D1985" s="61" t="s">
        <v>3288</v>
      </c>
      <c r="E1985" s="119">
        <v>0.45600000000000002</v>
      </c>
      <c r="F1985" s="148" t="s">
        <v>133</v>
      </c>
      <c r="G1985" s="148">
        <v>1</v>
      </c>
      <c r="H1985" s="61" t="s">
        <v>39</v>
      </c>
      <c r="I1985" t="s">
        <v>535</v>
      </c>
      <c r="J1985" s="86" t="s">
        <v>501</v>
      </c>
      <c r="K1985" s="61" t="s">
        <v>1221</v>
      </c>
      <c r="L1985" s="159"/>
      <c r="M1985" s="48"/>
      <c r="N1985" s="123"/>
    </row>
    <row r="1986" spans="1:14" customFormat="1" x14ac:dyDescent="0.55000000000000004">
      <c r="A1986" s="106" t="s">
        <v>513</v>
      </c>
      <c r="B1986" s="61" t="s">
        <v>503</v>
      </c>
      <c r="C1986" s="61" t="s">
        <v>125</v>
      </c>
      <c r="D1986" s="61" t="s">
        <v>3288</v>
      </c>
      <c r="E1986" s="119">
        <v>0.52900000000000003</v>
      </c>
      <c r="F1986" s="148" t="s">
        <v>133</v>
      </c>
      <c r="G1986" s="148">
        <v>1</v>
      </c>
      <c r="H1986" s="61" t="s">
        <v>39</v>
      </c>
      <c r="I1986" t="s">
        <v>535</v>
      </c>
      <c r="J1986" s="86" t="s">
        <v>501</v>
      </c>
      <c r="K1986" s="61" t="s">
        <v>1187</v>
      </c>
      <c r="L1986" s="159"/>
      <c r="M1986" s="48"/>
      <c r="N1986" s="123"/>
    </row>
    <row r="1987" spans="1:14" customFormat="1" x14ac:dyDescent="0.55000000000000004">
      <c r="A1987" s="106" t="s">
        <v>513</v>
      </c>
      <c r="B1987" s="61" t="s">
        <v>515</v>
      </c>
      <c r="C1987" s="61" t="s">
        <v>125</v>
      </c>
      <c r="D1987" s="61" t="s">
        <v>3288</v>
      </c>
      <c r="E1987" s="119">
        <v>0.379</v>
      </c>
      <c r="F1987" s="148" t="s">
        <v>133</v>
      </c>
      <c r="G1987" s="148">
        <v>1</v>
      </c>
      <c r="H1987" s="61" t="s">
        <v>39</v>
      </c>
      <c r="I1987" t="s">
        <v>535</v>
      </c>
      <c r="J1987" s="86" t="s">
        <v>501</v>
      </c>
      <c r="K1987" s="61" t="s">
        <v>1187</v>
      </c>
      <c r="L1987" s="159"/>
      <c r="M1987" s="48"/>
      <c r="N1987" s="123"/>
    </row>
    <row r="1988" spans="1:14" customFormat="1" x14ac:dyDescent="0.55000000000000004">
      <c r="A1988" s="106" t="s">
        <v>513</v>
      </c>
      <c r="B1988" s="61" t="s">
        <v>516</v>
      </c>
      <c r="C1988" s="61" t="s">
        <v>125</v>
      </c>
      <c r="D1988" s="61" t="s">
        <v>3288</v>
      </c>
      <c r="E1988" s="119">
        <v>0.54900000000000004</v>
      </c>
      <c r="F1988" s="148" t="s">
        <v>133</v>
      </c>
      <c r="G1988" s="148">
        <v>1</v>
      </c>
      <c r="H1988" s="61" t="s">
        <v>39</v>
      </c>
      <c r="I1988" t="s">
        <v>535</v>
      </c>
      <c r="J1988" s="86" t="s">
        <v>501</v>
      </c>
      <c r="K1988" s="61" t="s">
        <v>1226</v>
      </c>
      <c r="L1988" s="159"/>
      <c r="M1988" s="48"/>
      <c r="N1988" s="123"/>
    </row>
    <row r="1989" spans="1:14" customFormat="1" x14ac:dyDescent="0.55000000000000004">
      <c r="A1989" s="106" t="s">
        <v>513</v>
      </c>
      <c r="B1989" s="61" t="s">
        <v>153</v>
      </c>
      <c r="C1989" s="61" t="s">
        <v>127</v>
      </c>
      <c r="D1989" s="61" t="s">
        <v>2994</v>
      </c>
      <c r="E1989" s="119">
        <v>58.662999999999997</v>
      </c>
      <c r="F1989" s="148" t="s">
        <v>130</v>
      </c>
      <c r="G1989" s="148">
        <v>1</v>
      </c>
      <c r="H1989" s="61" t="s">
        <v>39</v>
      </c>
      <c r="I1989" t="s">
        <v>535</v>
      </c>
      <c r="J1989" s="86" t="s">
        <v>501</v>
      </c>
      <c r="K1989" s="61" t="s">
        <v>1226</v>
      </c>
      <c r="L1989" s="159"/>
      <c r="M1989" s="48"/>
      <c r="N1989" s="123"/>
    </row>
    <row r="1990" spans="1:14" customFormat="1" x14ac:dyDescent="0.55000000000000004">
      <c r="A1990" s="106" t="s">
        <v>513</v>
      </c>
      <c r="B1990" s="61" t="s">
        <v>171</v>
      </c>
      <c r="C1990" s="61" t="s">
        <v>127</v>
      </c>
      <c r="D1990" s="61" t="s">
        <v>2994</v>
      </c>
      <c r="E1990" s="119">
        <v>6.23</v>
      </c>
      <c r="F1990" s="148" t="s">
        <v>167</v>
      </c>
      <c r="G1990" s="148">
        <v>1</v>
      </c>
      <c r="H1990" s="61" t="s">
        <v>39</v>
      </c>
      <c r="I1990" t="s">
        <v>535</v>
      </c>
      <c r="J1990" s="86" t="s">
        <v>501</v>
      </c>
      <c r="K1990" s="61" t="s">
        <v>1226</v>
      </c>
      <c r="L1990" s="159"/>
      <c r="M1990" s="48"/>
      <c r="N1990" s="123"/>
    </row>
    <row r="1991" spans="1:14" customFormat="1" x14ac:dyDescent="0.55000000000000004">
      <c r="A1991" s="106" t="s">
        <v>513</v>
      </c>
      <c r="B1991" s="61" t="s">
        <v>505</v>
      </c>
      <c r="C1991" s="61" t="s">
        <v>127</v>
      </c>
      <c r="D1991" s="61" t="s">
        <v>2994</v>
      </c>
      <c r="E1991" s="119">
        <v>41.506</v>
      </c>
      <c r="F1991" s="148" t="s">
        <v>167</v>
      </c>
      <c r="G1991" s="148">
        <v>1</v>
      </c>
      <c r="H1991" s="61" t="s">
        <v>39</v>
      </c>
      <c r="I1991" t="s">
        <v>535</v>
      </c>
      <c r="J1991" s="86" t="s">
        <v>501</v>
      </c>
      <c r="K1991" s="61" t="s">
        <v>1226</v>
      </c>
      <c r="L1991" s="159"/>
      <c r="M1991" s="48"/>
      <c r="N1991" s="123"/>
    </row>
    <row r="1992" spans="1:14" customFormat="1" x14ac:dyDescent="0.55000000000000004">
      <c r="A1992" s="106" t="s">
        <v>513</v>
      </c>
      <c r="B1992" s="61" t="s">
        <v>504</v>
      </c>
      <c r="C1992" s="61" t="s">
        <v>127</v>
      </c>
      <c r="D1992" s="61" t="s">
        <v>2994</v>
      </c>
      <c r="E1992" s="119">
        <v>115.961</v>
      </c>
      <c r="F1992" s="148" t="s">
        <v>167</v>
      </c>
      <c r="G1992" s="148">
        <v>1</v>
      </c>
      <c r="H1992" s="61" t="s">
        <v>39</v>
      </c>
      <c r="I1992" t="s">
        <v>535</v>
      </c>
      <c r="J1992" s="86" t="s">
        <v>501</v>
      </c>
      <c r="K1992" s="61" t="s">
        <v>1226</v>
      </c>
      <c r="L1992" s="159"/>
      <c r="M1992" s="48"/>
      <c r="N1992" s="123"/>
    </row>
    <row r="1993" spans="1:14" customFormat="1" x14ac:dyDescent="0.55000000000000004">
      <c r="A1993" s="106" t="s">
        <v>513</v>
      </c>
      <c r="B1993" s="61" t="s">
        <v>504</v>
      </c>
      <c r="C1993" s="61" t="s">
        <v>507</v>
      </c>
      <c r="D1993" s="61" t="s">
        <v>2994</v>
      </c>
      <c r="E1993" s="119">
        <v>1186.3399999999999</v>
      </c>
      <c r="F1993" s="148" t="s">
        <v>167</v>
      </c>
      <c r="G1993" s="148">
        <v>1</v>
      </c>
      <c r="H1993" s="61" t="s">
        <v>39</v>
      </c>
      <c r="I1993" t="s">
        <v>535</v>
      </c>
      <c r="J1993" s="86" t="s">
        <v>501</v>
      </c>
      <c r="K1993" s="61" t="s">
        <v>1226</v>
      </c>
      <c r="L1993" s="159"/>
      <c r="M1993" s="48"/>
      <c r="N1993" s="123"/>
    </row>
    <row r="1994" spans="1:14" customFormat="1" x14ac:dyDescent="0.55000000000000004">
      <c r="A1994" s="106" t="s">
        <v>513</v>
      </c>
      <c r="B1994" s="61" t="s">
        <v>508</v>
      </c>
      <c r="C1994" s="61" t="s">
        <v>127</v>
      </c>
      <c r="D1994" s="61" t="s">
        <v>2994</v>
      </c>
      <c r="E1994" s="119">
        <v>56.64</v>
      </c>
      <c r="F1994" s="148" t="s">
        <v>167</v>
      </c>
      <c r="G1994" s="148">
        <v>1</v>
      </c>
      <c r="H1994" s="61" t="s">
        <v>39</v>
      </c>
      <c r="I1994" t="s">
        <v>535</v>
      </c>
      <c r="J1994" s="86" t="s">
        <v>501</v>
      </c>
      <c r="K1994" s="61" t="s">
        <v>1226</v>
      </c>
      <c r="L1994" s="159"/>
      <c r="M1994" s="48"/>
      <c r="N1994" s="123"/>
    </row>
    <row r="1995" spans="1:14" customFormat="1" x14ac:dyDescent="0.55000000000000004">
      <c r="A1995" s="106" t="s">
        <v>513</v>
      </c>
      <c r="B1995" s="61" t="s">
        <v>510</v>
      </c>
      <c r="C1995" s="61" t="s">
        <v>125</v>
      </c>
      <c r="D1995" s="61" t="s">
        <v>3288</v>
      </c>
      <c r="E1995" s="119">
        <v>0.21199999999999999</v>
      </c>
      <c r="F1995" s="148" t="s">
        <v>122</v>
      </c>
      <c r="G1995" s="148">
        <v>1</v>
      </c>
      <c r="H1995" s="61" t="s">
        <v>39</v>
      </c>
      <c r="I1995" t="s">
        <v>535</v>
      </c>
      <c r="J1995" s="86" t="s">
        <v>501</v>
      </c>
      <c r="K1995" s="61" t="s">
        <v>1187</v>
      </c>
      <c r="L1995" s="159"/>
      <c r="M1995" s="48"/>
      <c r="N1995" s="123"/>
    </row>
    <row r="1996" spans="1:14" customFormat="1" x14ac:dyDescent="0.55000000000000004">
      <c r="A1996" s="106" t="s">
        <v>513</v>
      </c>
      <c r="B1996" s="61" t="s">
        <v>517</v>
      </c>
      <c r="C1996" s="61" t="s">
        <v>125</v>
      </c>
      <c r="D1996" s="61" t="s">
        <v>3288</v>
      </c>
      <c r="E1996" s="119">
        <v>0.29099999999999998</v>
      </c>
      <c r="F1996" s="148" t="s">
        <v>122</v>
      </c>
      <c r="G1996" s="148">
        <v>1</v>
      </c>
      <c r="H1996" s="61" t="s">
        <v>39</v>
      </c>
      <c r="I1996" t="s">
        <v>535</v>
      </c>
      <c r="J1996" s="86" t="s">
        <v>501</v>
      </c>
      <c r="K1996" s="61" t="s">
        <v>1187</v>
      </c>
      <c r="L1996" s="159"/>
      <c r="M1996" s="48"/>
      <c r="N1996" s="123"/>
    </row>
    <row r="1997" spans="1:14" customFormat="1" x14ac:dyDescent="0.55000000000000004">
      <c r="A1997" s="106" t="s">
        <v>513</v>
      </c>
      <c r="B1997" s="61" t="s">
        <v>160</v>
      </c>
      <c r="C1997" s="61" t="s">
        <v>497</v>
      </c>
      <c r="D1997" s="61" t="s">
        <v>3288</v>
      </c>
      <c r="E1997" s="119">
        <v>7.4554285709999997</v>
      </c>
      <c r="F1997" s="148" t="s">
        <v>122</v>
      </c>
      <c r="G1997" s="148">
        <v>1</v>
      </c>
      <c r="H1997" s="61" t="s">
        <v>39</v>
      </c>
      <c r="I1997" t="s">
        <v>535</v>
      </c>
      <c r="J1997" s="86" t="s">
        <v>501</v>
      </c>
      <c r="K1997" s="61" t="s">
        <v>1232</v>
      </c>
      <c r="L1997" s="159"/>
      <c r="M1997" s="48"/>
      <c r="N1997" s="123"/>
    </row>
    <row r="1998" spans="1:14" customFormat="1" x14ac:dyDescent="0.55000000000000004">
      <c r="A1998" s="106" t="s">
        <v>513</v>
      </c>
      <c r="B1998" s="61" t="s">
        <v>160</v>
      </c>
      <c r="C1998" s="61" t="s">
        <v>512</v>
      </c>
      <c r="D1998" s="61" t="s">
        <v>3288</v>
      </c>
      <c r="E1998" s="119">
        <v>130.23009999999999</v>
      </c>
      <c r="F1998" s="148" t="s">
        <v>122</v>
      </c>
      <c r="G1998" s="148">
        <v>1</v>
      </c>
      <c r="H1998" s="61" t="s">
        <v>39</v>
      </c>
      <c r="I1998" t="s">
        <v>535</v>
      </c>
      <c r="J1998" s="86" t="s">
        <v>501</v>
      </c>
      <c r="K1998" s="61" t="s">
        <v>1232</v>
      </c>
      <c r="L1998" s="159"/>
      <c r="M1998" s="48"/>
      <c r="N1998" s="123"/>
    </row>
    <row r="1999" spans="1:14" customFormat="1" x14ac:dyDescent="0.55000000000000004">
      <c r="A1999" s="106" t="s">
        <v>499</v>
      </c>
      <c r="B1999" s="61" t="s">
        <v>500</v>
      </c>
      <c r="C1999" s="61" t="s">
        <v>121</v>
      </c>
      <c r="D1999" s="61" t="s">
        <v>3288</v>
      </c>
      <c r="E1999" s="119">
        <v>1</v>
      </c>
      <c r="F1999" s="148" t="s">
        <v>133</v>
      </c>
      <c r="G1999" s="148">
        <v>1</v>
      </c>
      <c r="H1999" s="61" t="s">
        <v>39</v>
      </c>
      <c r="I1999" t="s">
        <v>535</v>
      </c>
      <c r="J1999" s="86" t="s">
        <v>501</v>
      </c>
      <c r="K1999" s="61" t="s">
        <v>1232</v>
      </c>
      <c r="L1999" s="159">
        <v>441011</v>
      </c>
      <c r="M1999" s="48"/>
      <c r="N1999" s="123"/>
    </row>
    <row r="2000" spans="1:14" customFormat="1" x14ac:dyDescent="0.55000000000000004">
      <c r="A2000" s="106" t="s">
        <v>499</v>
      </c>
      <c r="B2000" s="61" t="s">
        <v>502</v>
      </c>
      <c r="C2000" s="61" t="s">
        <v>156</v>
      </c>
      <c r="D2000" s="61" t="s">
        <v>3288</v>
      </c>
      <c r="E2000" s="119">
        <v>0.08</v>
      </c>
      <c r="F2000" s="148" t="s">
        <v>133</v>
      </c>
      <c r="G2000" s="148">
        <v>1</v>
      </c>
      <c r="H2000" s="61" t="s">
        <v>39</v>
      </c>
      <c r="I2000" t="s">
        <v>535</v>
      </c>
      <c r="J2000" s="86" t="s">
        <v>501</v>
      </c>
      <c r="K2000" s="61" t="s">
        <v>1232</v>
      </c>
      <c r="L2000" s="159"/>
      <c r="M2000" s="48"/>
      <c r="N2000" s="123"/>
    </row>
    <row r="2001" spans="1:14" customFormat="1" x14ac:dyDescent="0.55000000000000004">
      <c r="A2001" s="106" t="s">
        <v>499</v>
      </c>
      <c r="B2001" s="61" t="s">
        <v>503</v>
      </c>
      <c r="C2001" s="61" t="s">
        <v>125</v>
      </c>
      <c r="D2001" s="61" t="s">
        <v>3290</v>
      </c>
      <c r="E2001" s="119">
        <v>0.23599999999999999</v>
      </c>
      <c r="F2001" s="148" t="s">
        <v>135</v>
      </c>
      <c r="G2001" s="148">
        <v>1</v>
      </c>
      <c r="H2001" s="61" t="s">
        <v>39</v>
      </c>
      <c r="I2001" t="s">
        <v>535</v>
      </c>
      <c r="J2001" s="86" t="s">
        <v>501</v>
      </c>
      <c r="K2001" s="61" t="s">
        <v>1232</v>
      </c>
      <c r="L2001" s="159"/>
      <c r="M2001" s="48"/>
      <c r="N2001" s="123"/>
    </row>
    <row r="2002" spans="1:14" customFormat="1" x14ac:dyDescent="0.55000000000000004">
      <c r="A2002" s="106" t="s">
        <v>499</v>
      </c>
      <c r="B2002" s="61" t="s">
        <v>502</v>
      </c>
      <c r="C2002" s="61" t="s">
        <v>125</v>
      </c>
      <c r="D2002" s="61" t="s">
        <v>3290</v>
      </c>
      <c r="E2002" s="119">
        <v>0.25700000000000001</v>
      </c>
      <c r="F2002" s="148" t="s">
        <v>135</v>
      </c>
      <c r="G2002" s="148">
        <v>1</v>
      </c>
      <c r="H2002" s="61" t="s">
        <v>39</v>
      </c>
      <c r="I2002" t="s">
        <v>535</v>
      </c>
      <c r="J2002" s="86" t="s">
        <v>501</v>
      </c>
      <c r="K2002" s="61" t="s">
        <v>1232</v>
      </c>
      <c r="L2002" s="159"/>
      <c r="M2002" s="48"/>
      <c r="N2002" s="123"/>
    </row>
    <row r="2003" spans="1:14" customFormat="1" x14ac:dyDescent="0.55000000000000004">
      <c r="A2003" s="106" t="s">
        <v>499</v>
      </c>
      <c r="B2003" s="61" t="s">
        <v>504</v>
      </c>
      <c r="C2003" s="61" t="s">
        <v>125</v>
      </c>
      <c r="D2003" s="61" t="s">
        <v>3290</v>
      </c>
      <c r="E2003" s="119">
        <v>0.126</v>
      </c>
      <c r="F2003" s="148" t="s">
        <v>135</v>
      </c>
      <c r="G2003" s="148">
        <v>1</v>
      </c>
      <c r="H2003" s="61" t="s">
        <v>39</v>
      </c>
      <c r="I2003" t="s">
        <v>535</v>
      </c>
      <c r="J2003" s="86" t="s">
        <v>501</v>
      </c>
      <c r="K2003" s="61" t="s">
        <v>1232</v>
      </c>
      <c r="L2003" s="159"/>
      <c r="M2003" s="48"/>
      <c r="N2003" s="123"/>
    </row>
    <row r="2004" spans="1:14" customFormat="1" x14ac:dyDescent="0.55000000000000004">
      <c r="A2004" s="106" t="s">
        <v>499</v>
      </c>
      <c r="B2004" s="61" t="s">
        <v>153</v>
      </c>
      <c r="C2004" s="61" t="s">
        <v>127</v>
      </c>
      <c r="D2004" s="61" t="s">
        <v>2994</v>
      </c>
      <c r="E2004" s="119">
        <v>102.4</v>
      </c>
      <c r="F2004" s="148" t="s">
        <v>130</v>
      </c>
      <c r="G2004" s="148">
        <v>1</v>
      </c>
      <c r="H2004" s="61" t="s">
        <v>39</v>
      </c>
      <c r="I2004" t="s">
        <v>535</v>
      </c>
      <c r="J2004" s="86" t="s">
        <v>501</v>
      </c>
      <c r="K2004" s="61" t="s">
        <v>1232</v>
      </c>
      <c r="L2004" s="159"/>
      <c r="M2004" s="48"/>
      <c r="N2004" s="123"/>
    </row>
    <row r="2005" spans="1:14" customFormat="1" x14ac:dyDescent="0.55000000000000004">
      <c r="A2005" s="106" t="s">
        <v>499</v>
      </c>
      <c r="B2005" s="61" t="s">
        <v>171</v>
      </c>
      <c r="C2005" s="61" t="s">
        <v>127</v>
      </c>
      <c r="D2005" s="61" t="s">
        <v>2994</v>
      </c>
      <c r="E2005" s="119">
        <v>69.05</v>
      </c>
      <c r="F2005" s="148" t="s">
        <v>167</v>
      </c>
      <c r="G2005" s="148">
        <v>1</v>
      </c>
      <c r="H2005" s="61" t="s">
        <v>39</v>
      </c>
      <c r="I2005" t="s">
        <v>535</v>
      </c>
      <c r="J2005" s="86" t="s">
        <v>501</v>
      </c>
      <c r="K2005" s="61" t="s">
        <v>1232</v>
      </c>
      <c r="L2005" s="159"/>
      <c r="M2005" s="48"/>
      <c r="N2005" s="123"/>
    </row>
    <row r="2006" spans="1:14" customFormat="1" x14ac:dyDescent="0.55000000000000004">
      <c r="A2006" s="106" t="s">
        <v>499</v>
      </c>
      <c r="B2006" s="61" t="s">
        <v>505</v>
      </c>
      <c r="C2006" s="61" t="s">
        <v>127</v>
      </c>
      <c r="D2006" s="61" t="s">
        <v>2994</v>
      </c>
      <c r="E2006" s="119">
        <v>17.22</v>
      </c>
      <c r="F2006" s="148" t="s">
        <v>167</v>
      </c>
      <c r="G2006" s="148">
        <v>1</v>
      </c>
      <c r="H2006" s="61" t="s">
        <v>39</v>
      </c>
      <c r="I2006" t="s">
        <v>535</v>
      </c>
      <c r="J2006" s="86" t="s">
        <v>501</v>
      </c>
      <c r="K2006" s="61" t="s">
        <v>1232</v>
      </c>
      <c r="L2006" s="159"/>
      <c r="M2006" s="48"/>
      <c r="N2006" s="123"/>
    </row>
    <row r="2007" spans="1:14" customFormat="1" x14ac:dyDescent="0.55000000000000004">
      <c r="A2007" s="106" t="s">
        <v>499</v>
      </c>
      <c r="B2007" s="61" t="s">
        <v>504</v>
      </c>
      <c r="C2007" s="61" t="s">
        <v>127</v>
      </c>
      <c r="D2007" s="61" t="s">
        <v>2994</v>
      </c>
      <c r="E2007" s="119">
        <v>1934.3</v>
      </c>
      <c r="F2007" s="148" t="s">
        <v>167</v>
      </c>
      <c r="G2007" s="148">
        <v>1</v>
      </c>
      <c r="H2007" s="61" t="s">
        <v>39</v>
      </c>
      <c r="I2007" t="s">
        <v>535</v>
      </c>
      <c r="J2007" s="86" t="s">
        <v>501</v>
      </c>
      <c r="K2007" s="61" t="s">
        <v>1232</v>
      </c>
      <c r="L2007" s="159"/>
      <c r="M2007" s="48"/>
      <c r="N2007" s="123"/>
    </row>
    <row r="2008" spans="1:14" customFormat="1" x14ac:dyDescent="0.55000000000000004">
      <c r="A2008" s="106" t="s">
        <v>499</v>
      </c>
      <c r="B2008" s="61" t="s">
        <v>506</v>
      </c>
      <c r="C2008" s="61" t="s">
        <v>127</v>
      </c>
      <c r="D2008" s="61" t="s">
        <v>2994</v>
      </c>
      <c r="E2008" s="119">
        <v>0</v>
      </c>
      <c r="F2008" s="148" t="s">
        <v>167</v>
      </c>
      <c r="G2008" s="148">
        <v>1</v>
      </c>
      <c r="H2008" s="61" t="s">
        <v>39</v>
      </c>
      <c r="I2008" t="s">
        <v>535</v>
      </c>
      <c r="J2008" s="86" t="s">
        <v>501</v>
      </c>
      <c r="K2008" s="61" t="s">
        <v>1187</v>
      </c>
      <c r="L2008" s="159"/>
      <c r="M2008" s="48"/>
      <c r="N2008" s="123"/>
    </row>
    <row r="2009" spans="1:14" customFormat="1" x14ac:dyDescent="0.55000000000000004">
      <c r="A2009" s="106" t="s">
        <v>499</v>
      </c>
      <c r="B2009" s="61" t="s">
        <v>504</v>
      </c>
      <c r="C2009" s="61" t="s">
        <v>507</v>
      </c>
      <c r="D2009" s="61" t="s">
        <v>2994</v>
      </c>
      <c r="E2009" s="119">
        <v>1279.3900000000001</v>
      </c>
      <c r="F2009" s="148" t="s">
        <v>167</v>
      </c>
      <c r="G2009" s="148">
        <v>1</v>
      </c>
      <c r="H2009" s="61" t="s">
        <v>39</v>
      </c>
      <c r="I2009" t="s">
        <v>535</v>
      </c>
      <c r="J2009" s="86" t="s">
        <v>501</v>
      </c>
      <c r="K2009" s="61" t="s">
        <v>1187</v>
      </c>
      <c r="L2009" s="159"/>
      <c r="M2009" s="48"/>
      <c r="N2009" s="123"/>
    </row>
    <row r="2010" spans="1:14" customFormat="1" x14ac:dyDescent="0.55000000000000004">
      <c r="A2010" s="106" t="s">
        <v>499</v>
      </c>
      <c r="B2010" s="61" t="s">
        <v>508</v>
      </c>
      <c r="C2010" s="61" t="s">
        <v>127</v>
      </c>
      <c r="D2010" s="61" t="s">
        <v>2994</v>
      </c>
      <c r="E2010" s="119">
        <v>28.992000000000001</v>
      </c>
      <c r="F2010" s="148" t="s">
        <v>167</v>
      </c>
      <c r="G2010" s="148">
        <v>1</v>
      </c>
      <c r="H2010" s="61" t="s">
        <v>39</v>
      </c>
      <c r="I2010" t="s">
        <v>535</v>
      </c>
      <c r="J2010" s="86" t="s">
        <v>501</v>
      </c>
      <c r="K2010" s="61" t="s">
        <v>1235</v>
      </c>
      <c r="L2010" s="159"/>
      <c r="M2010" s="48"/>
      <c r="N2010" s="123"/>
    </row>
    <row r="2011" spans="1:14" customFormat="1" x14ac:dyDescent="0.55000000000000004">
      <c r="A2011" s="106" t="s">
        <v>499</v>
      </c>
      <c r="B2011" s="61" t="s">
        <v>509</v>
      </c>
      <c r="C2011" s="61" t="s">
        <v>125</v>
      </c>
      <c r="D2011" s="61" t="s">
        <v>3288</v>
      </c>
      <c r="E2011" s="119">
        <v>42.847999999999999</v>
      </c>
      <c r="F2011" s="148" t="s">
        <v>122</v>
      </c>
      <c r="G2011" s="148">
        <v>1</v>
      </c>
      <c r="H2011" s="61" t="s">
        <v>39</v>
      </c>
      <c r="I2011" t="s">
        <v>535</v>
      </c>
      <c r="J2011" s="86" t="s">
        <v>501</v>
      </c>
      <c r="K2011" s="61" t="s">
        <v>1235</v>
      </c>
      <c r="L2011" s="159"/>
      <c r="M2011" s="48"/>
      <c r="N2011" s="123"/>
    </row>
    <row r="2012" spans="1:14" customFormat="1" x14ac:dyDescent="0.55000000000000004">
      <c r="A2012" s="106" t="s">
        <v>499</v>
      </c>
      <c r="B2012" s="61" t="s">
        <v>510</v>
      </c>
      <c r="C2012" s="61" t="s">
        <v>125</v>
      </c>
      <c r="D2012" s="61" t="s">
        <v>3288</v>
      </c>
      <c r="E2012" s="119">
        <v>3.7429999999999999</v>
      </c>
      <c r="F2012" s="148" t="s">
        <v>122</v>
      </c>
      <c r="G2012" s="148">
        <v>1</v>
      </c>
      <c r="H2012" s="61" t="s">
        <v>39</v>
      </c>
      <c r="I2012" t="s">
        <v>535</v>
      </c>
      <c r="J2012" s="86" t="s">
        <v>501</v>
      </c>
      <c r="K2012" s="61" t="s">
        <v>1235</v>
      </c>
      <c r="L2012" s="159"/>
      <c r="M2012" s="48"/>
      <c r="N2012" s="123"/>
    </row>
    <row r="2013" spans="1:14" customFormat="1" x14ac:dyDescent="0.55000000000000004">
      <c r="A2013" s="106" t="s">
        <v>499</v>
      </c>
      <c r="B2013" s="61" t="s">
        <v>511</v>
      </c>
      <c r="C2013" s="61" t="s">
        <v>125</v>
      </c>
      <c r="D2013" s="61" t="s">
        <v>3288</v>
      </c>
      <c r="E2013" s="119">
        <v>1.5189999999999999</v>
      </c>
      <c r="F2013" s="148" t="s">
        <v>122</v>
      </c>
      <c r="G2013" s="148">
        <v>1</v>
      </c>
      <c r="H2013" s="61" t="s">
        <v>39</v>
      </c>
      <c r="I2013" t="s">
        <v>535</v>
      </c>
      <c r="J2013" s="86" t="s">
        <v>501</v>
      </c>
      <c r="K2013" s="61" t="s">
        <v>1235</v>
      </c>
      <c r="L2013" s="159"/>
      <c r="M2013" s="48"/>
      <c r="N2013" s="123"/>
    </row>
    <row r="2014" spans="1:14" customFormat="1" x14ac:dyDescent="0.55000000000000004">
      <c r="A2014" s="106" t="s">
        <v>499</v>
      </c>
      <c r="B2014" s="61" t="s">
        <v>160</v>
      </c>
      <c r="C2014" s="61" t="s">
        <v>497</v>
      </c>
      <c r="D2014" s="61" t="s">
        <v>3288</v>
      </c>
      <c r="E2014" s="119">
        <v>8.2330000000000005</v>
      </c>
      <c r="F2014" s="148" t="s">
        <v>122</v>
      </c>
      <c r="G2014" s="148">
        <v>1</v>
      </c>
      <c r="H2014" s="61" t="s">
        <v>39</v>
      </c>
      <c r="I2014" t="s">
        <v>535</v>
      </c>
      <c r="J2014" s="86" t="s">
        <v>501</v>
      </c>
      <c r="K2014" s="61" t="s">
        <v>1235</v>
      </c>
      <c r="L2014" s="159"/>
      <c r="M2014" s="48"/>
      <c r="N2014" s="123"/>
    </row>
    <row r="2015" spans="1:14" customFormat="1" x14ac:dyDescent="0.55000000000000004">
      <c r="A2015" s="106" t="s">
        <v>499</v>
      </c>
      <c r="B2015" s="61" t="s">
        <v>160</v>
      </c>
      <c r="C2015" s="61" t="s">
        <v>512</v>
      </c>
      <c r="D2015" s="61" t="s">
        <v>3288</v>
      </c>
      <c r="E2015" s="119">
        <v>321.36900000000003</v>
      </c>
      <c r="F2015" s="148" t="s">
        <v>122</v>
      </c>
      <c r="G2015" s="148">
        <v>1</v>
      </c>
      <c r="H2015" s="61" t="s">
        <v>39</v>
      </c>
      <c r="I2015" t="s">
        <v>535</v>
      </c>
      <c r="J2015" s="86" t="s">
        <v>501</v>
      </c>
      <c r="K2015" s="61" t="s">
        <v>1235</v>
      </c>
      <c r="L2015" s="159"/>
      <c r="M2015" s="48"/>
      <c r="N2015" s="123"/>
    </row>
    <row r="2016" spans="1:14" customFormat="1" x14ac:dyDescent="0.55000000000000004">
      <c r="A2016" s="105" t="s">
        <v>493</v>
      </c>
      <c r="B2016" s="61" t="s">
        <v>494</v>
      </c>
      <c r="C2016" s="61" t="s">
        <v>121</v>
      </c>
      <c r="D2016" s="61" t="s">
        <v>3288</v>
      </c>
      <c r="E2016" s="119">
        <v>1</v>
      </c>
      <c r="F2016" s="148" t="s">
        <v>135</v>
      </c>
      <c r="G2016" s="148">
        <v>1</v>
      </c>
      <c r="H2016" s="61" t="s">
        <v>39</v>
      </c>
      <c r="I2016" t="s">
        <v>535</v>
      </c>
      <c r="J2016" s="61" t="s">
        <v>495</v>
      </c>
      <c r="K2016" t="s">
        <v>1235</v>
      </c>
      <c r="L2016" s="159">
        <v>271114</v>
      </c>
      <c r="M2016" s="48"/>
      <c r="N2016" s="123"/>
    </row>
    <row r="2017" spans="1:14" customFormat="1" x14ac:dyDescent="0.55000000000000004">
      <c r="A2017" s="105" t="s">
        <v>493</v>
      </c>
      <c r="B2017" s="61" t="s">
        <v>171</v>
      </c>
      <c r="C2017" s="61" t="s">
        <v>127</v>
      </c>
      <c r="D2017" s="61" t="s">
        <v>2994</v>
      </c>
      <c r="E2017" s="119">
        <v>1.826923077</v>
      </c>
      <c r="F2017" s="148" t="s">
        <v>138</v>
      </c>
      <c r="G2017" s="148">
        <v>1</v>
      </c>
      <c r="H2017" s="61" t="s">
        <v>39</v>
      </c>
      <c r="I2017" t="s">
        <v>535</v>
      </c>
      <c r="J2017" s="61" t="s">
        <v>495</v>
      </c>
      <c r="K2017" t="s">
        <v>1235</v>
      </c>
      <c r="L2017" s="159"/>
      <c r="M2017" s="48"/>
      <c r="N2017" s="123"/>
    </row>
    <row r="2018" spans="1:14" customFormat="1" x14ac:dyDescent="0.55000000000000004">
      <c r="A2018" s="105" t="s">
        <v>493</v>
      </c>
      <c r="B2018" s="61" t="s">
        <v>153</v>
      </c>
      <c r="C2018" s="61" t="s">
        <v>127</v>
      </c>
      <c r="D2018" s="61" t="s">
        <v>2994</v>
      </c>
      <c r="E2018" s="119">
        <v>1.9</v>
      </c>
      <c r="F2018" s="148" t="s">
        <v>138</v>
      </c>
      <c r="G2018" s="148">
        <v>1</v>
      </c>
      <c r="H2018" s="61" t="s">
        <v>39</v>
      </c>
      <c r="I2018" t="s">
        <v>535</v>
      </c>
      <c r="J2018" s="61" t="s">
        <v>495</v>
      </c>
      <c r="K2018" t="s">
        <v>1235</v>
      </c>
      <c r="L2018" s="159"/>
      <c r="M2018" s="48"/>
      <c r="N2018" s="123"/>
    </row>
    <row r="2019" spans="1:14" customFormat="1" x14ac:dyDescent="0.55000000000000004">
      <c r="A2019" s="105" t="s">
        <v>493</v>
      </c>
      <c r="B2019" s="61" t="s">
        <v>496</v>
      </c>
      <c r="C2019" s="61" t="s">
        <v>127</v>
      </c>
      <c r="D2019" s="61" t="s">
        <v>2994</v>
      </c>
      <c r="E2019" s="119">
        <v>9.75</v>
      </c>
      <c r="F2019" s="148" t="s">
        <v>138</v>
      </c>
      <c r="G2019" s="148">
        <v>1</v>
      </c>
      <c r="H2019" s="61" t="s">
        <v>39</v>
      </c>
      <c r="I2019" t="s">
        <v>535</v>
      </c>
      <c r="J2019" s="61" t="s">
        <v>495</v>
      </c>
      <c r="K2019" t="s">
        <v>1235</v>
      </c>
      <c r="L2019" s="159"/>
      <c r="M2019" s="48"/>
      <c r="N2019" s="123"/>
    </row>
    <row r="2020" spans="1:14" customFormat="1" x14ac:dyDescent="0.55000000000000004">
      <c r="A2020" s="105" t="s">
        <v>493</v>
      </c>
      <c r="B2020" s="61" t="s">
        <v>160</v>
      </c>
      <c r="C2020" s="61" t="s">
        <v>497</v>
      </c>
      <c r="D2020" s="61" t="s">
        <v>3288</v>
      </c>
      <c r="E2020" s="119">
        <v>0.122403846</v>
      </c>
      <c r="F2020" s="148" t="s">
        <v>135</v>
      </c>
      <c r="G2020" s="148">
        <v>1</v>
      </c>
      <c r="H2020" s="61" t="s">
        <v>39</v>
      </c>
      <c r="I2020" t="s">
        <v>535</v>
      </c>
      <c r="J2020" s="61" t="s">
        <v>498</v>
      </c>
      <c r="K2020" t="s">
        <v>126</v>
      </c>
      <c r="L2020" s="159"/>
      <c r="M2020" s="48"/>
      <c r="N2020" s="123"/>
    </row>
    <row r="2021" spans="1:14" customFormat="1" x14ac:dyDescent="0.55000000000000004">
      <c r="A2021" s="104" t="s">
        <v>491</v>
      </c>
      <c r="B2021" t="s">
        <v>134</v>
      </c>
      <c r="C2021" s="61" t="s">
        <v>121</v>
      </c>
      <c r="D2021" s="61" t="s">
        <v>3288</v>
      </c>
      <c r="E2021" s="119">
        <v>1</v>
      </c>
      <c r="F2021" s="148" t="s">
        <v>135</v>
      </c>
      <c r="G2021" s="148">
        <v>1</v>
      </c>
      <c r="H2021" s="61" t="s">
        <v>39</v>
      </c>
      <c r="I2021" s="61" t="s">
        <v>938</v>
      </c>
      <c r="J2021" s="61" t="s">
        <v>488</v>
      </c>
      <c r="L2021" s="159">
        <v>252310</v>
      </c>
      <c r="M2021" s="48"/>
      <c r="N2021" s="123"/>
    </row>
    <row r="2022" spans="1:14" customFormat="1" x14ac:dyDescent="0.55000000000000004">
      <c r="A2022" s="104" t="s">
        <v>491</v>
      </c>
      <c r="B2022" s="61" t="s">
        <v>131</v>
      </c>
      <c r="C2022" s="61" t="s">
        <v>132</v>
      </c>
      <c r="D2022" s="61" t="s">
        <v>3288</v>
      </c>
      <c r="E2022" s="119">
        <v>1.22</v>
      </c>
      <c r="F2022" s="148" t="s">
        <v>135</v>
      </c>
      <c r="G2022" s="148">
        <v>1</v>
      </c>
      <c r="H2022" s="64" t="s">
        <v>489</v>
      </c>
      <c r="I2022" s="61"/>
      <c r="J2022" s="61" t="s">
        <v>488</v>
      </c>
      <c r="L2022" s="159"/>
      <c r="M2022" s="48"/>
      <c r="N2022" s="123"/>
    </row>
    <row r="2023" spans="1:14" customFormat="1" x14ac:dyDescent="0.55000000000000004">
      <c r="A2023" s="104" t="s">
        <v>491</v>
      </c>
      <c r="B2023" s="61" t="s">
        <v>492</v>
      </c>
      <c r="C2023" s="61" t="s">
        <v>132</v>
      </c>
      <c r="D2023" s="61" t="s">
        <v>3288</v>
      </c>
      <c r="E2023" s="119">
        <v>0.2</v>
      </c>
      <c r="F2023" s="148" t="s">
        <v>135</v>
      </c>
      <c r="G2023" s="148">
        <v>1</v>
      </c>
      <c r="H2023" s="64" t="s">
        <v>489</v>
      </c>
      <c r="I2023" s="61"/>
      <c r="J2023" s="61" t="s">
        <v>488</v>
      </c>
      <c r="L2023" s="159"/>
      <c r="M2023" s="48"/>
      <c r="N2023" s="123"/>
    </row>
    <row r="2024" spans="1:14" customFormat="1" x14ac:dyDescent="0.55000000000000004">
      <c r="A2024" s="104" t="s">
        <v>487</v>
      </c>
      <c r="B2024" t="s">
        <v>134</v>
      </c>
      <c r="C2024" s="61" t="s">
        <v>121</v>
      </c>
      <c r="D2024" s="61" t="s">
        <v>3288</v>
      </c>
      <c r="E2024" s="119">
        <v>1</v>
      </c>
      <c r="F2024" s="148" t="s">
        <v>135</v>
      </c>
      <c r="G2024" s="148">
        <v>1</v>
      </c>
      <c r="H2024" s="61" t="s">
        <v>39</v>
      </c>
      <c r="I2024" s="61" t="s">
        <v>938</v>
      </c>
      <c r="J2024" s="61" t="s">
        <v>488</v>
      </c>
      <c r="L2024" s="159">
        <v>252310</v>
      </c>
      <c r="M2024" s="48"/>
      <c r="N2024" s="123"/>
    </row>
    <row r="2025" spans="1:14" customFormat="1" x14ac:dyDescent="0.55000000000000004">
      <c r="A2025" s="104" t="s">
        <v>487</v>
      </c>
      <c r="B2025" s="61" t="s">
        <v>131</v>
      </c>
      <c r="C2025" s="61" t="s">
        <v>132</v>
      </c>
      <c r="D2025" s="61" t="s">
        <v>3288</v>
      </c>
      <c r="E2025" s="119">
        <v>1.22</v>
      </c>
      <c r="F2025" s="148" t="s">
        <v>135</v>
      </c>
      <c r="G2025" s="148">
        <v>1</v>
      </c>
      <c r="H2025" s="64" t="s">
        <v>489</v>
      </c>
      <c r="I2025" s="61"/>
      <c r="J2025" s="61" t="s">
        <v>488</v>
      </c>
      <c r="L2025" s="159"/>
      <c r="M2025" s="48"/>
      <c r="N2025" s="123"/>
    </row>
    <row r="2026" spans="1:14" customFormat="1" x14ac:dyDescent="0.55000000000000004">
      <c r="A2026" s="104" t="s">
        <v>487</v>
      </c>
      <c r="B2026" s="61" t="s">
        <v>490</v>
      </c>
      <c r="C2026" s="61" t="s">
        <v>132</v>
      </c>
      <c r="D2026" s="61" t="s">
        <v>3288</v>
      </c>
      <c r="E2026" s="119">
        <v>0.2</v>
      </c>
      <c r="F2026" s="148" t="s">
        <v>135</v>
      </c>
      <c r="G2026" s="148">
        <v>1</v>
      </c>
      <c r="H2026" s="64" t="s">
        <v>489</v>
      </c>
      <c r="I2026" s="61"/>
      <c r="J2026" s="61" t="s">
        <v>488</v>
      </c>
      <c r="L2026" s="159"/>
      <c r="M2026" s="48"/>
      <c r="N2026" s="123"/>
    </row>
    <row r="2027" spans="1:14" customFormat="1" x14ac:dyDescent="0.55000000000000004">
      <c r="A2027" s="101" t="s">
        <v>485</v>
      </c>
      <c r="B2027" s="61" t="s">
        <v>486</v>
      </c>
      <c r="C2027" s="61" t="s">
        <v>121</v>
      </c>
      <c r="D2027" s="61" t="s">
        <v>3288</v>
      </c>
      <c r="E2027" s="119">
        <v>1</v>
      </c>
      <c r="F2027" s="148" t="s">
        <v>135</v>
      </c>
      <c r="G2027" s="151">
        <v>1</v>
      </c>
      <c r="H2027" s="68" t="s">
        <v>39</v>
      </c>
      <c r="J2027" s="74" t="str">
        <f t="shared" ref="J2027:J2056" si="1">A2027</f>
        <v>[TIMES] Aluminium Finishing Processes</v>
      </c>
      <c r="L2027" s="159"/>
      <c r="M2027" s="48"/>
      <c r="N2027" s="123"/>
    </row>
    <row r="2028" spans="1:14" customFormat="1" x14ac:dyDescent="0.55000000000000004">
      <c r="A2028" s="101" t="s">
        <v>485</v>
      </c>
      <c r="B2028" t="s">
        <v>210</v>
      </c>
      <c r="C2028" s="61" t="s">
        <v>125</v>
      </c>
      <c r="D2028" s="61" t="s">
        <v>3288</v>
      </c>
      <c r="E2028" s="119">
        <v>1</v>
      </c>
      <c r="F2028" s="148" t="s">
        <v>135</v>
      </c>
      <c r="G2028" s="148" t="s">
        <v>135</v>
      </c>
      <c r="H2028" s="68" t="s">
        <v>39</v>
      </c>
      <c r="J2028" s="74" t="str">
        <f t="shared" si="1"/>
        <v>[TIMES] Aluminium Finishing Processes</v>
      </c>
      <c r="L2028" s="159"/>
      <c r="M2028" s="48"/>
      <c r="N2028" s="123"/>
    </row>
    <row r="2029" spans="1:14" customFormat="1" x14ac:dyDescent="0.55000000000000004">
      <c r="A2029" s="101" t="s">
        <v>485</v>
      </c>
      <c r="B2029" s="76" t="s">
        <v>153</v>
      </c>
      <c r="C2029" s="61" t="s">
        <v>127</v>
      </c>
      <c r="D2029" s="61" t="s">
        <v>2994</v>
      </c>
      <c r="E2029" s="119">
        <v>9.11</v>
      </c>
      <c r="F2029" s="148" t="s">
        <v>138</v>
      </c>
      <c r="G2029" s="148" t="s">
        <v>135</v>
      </c>
      <c r="H2029" s="68" t="s">
        <v>39</v>
      </c>
      <c r="J2029" s="74" t="str">
        <f t="shared" si="1"/>
        <v>[TIMES] Aluminium Finishing Processes</v>
      </c>
      <c r="L2029" s="159"/>
      <c r="M2029" s="48"/>
      <c r="N2029" s="123"/>
    </row>
    <row r="2030" spans="1:14" customFormat="1" x14ac:dyDescent="0.55000000000000004">
      <c r="A2030" s="101" t="s">
        <v>485</v>
      </c>
      <c r="B2030" s="76" t="s">
        <v>171</v>
      </c>
      <c r="C2030" s="61" t="s">
        <v>127</v>
      </c>
      <c r="D2030" s="61" t="s">
        <v>2994</v>
      </c>
      <c r="E2030" s="119">
        <v>4.0599999999999996</v>
      </c>
      <c r="F2030" s="148" t="s">
        <v>138</v>
      </c>
      <c r="G2030" s="148" t="s">
        <v>135</v>
      </c>
      <c r="H2030" s="68" t="s">
        <v>39</v>
      </c>
      <c r="J2030" s="74" t="str">
        <f t="shared" si="1"/>
        <v>[TIMES] Aluminium Finishing Processes</v>
      </c>
      <c r="L2030" s="159"/>
      <c r="M2030" s="48"/>
      <c r="N2030" s="123"/>
    </row>
    <row r="2031" spans="1:14" customFormat="1" x14ac:dyDescent="0.55000000000000004">
      <c r="A2031" s="101" t="s">
        <v>485</v>
      </c>
      <c r="B2031" s="76" t="s">
        <v>422</v>
      </c>
      <c r="C2031" s="61" t="s">
        <v>127</v>
      </c>
      <c r="D2031" s="61" t="s">
        <v>2994</v>
      </c>
      <c r="E2031" s="119">
        <v>0.03</v>
      </c>
      <c r="F2031" s="148" t="s">
        <v>138</v>
      </c>
      <c r="G2031" s="148" t="s">
        <v>135</v>
      </c>
      <c r="H2031" s="68" t="s">
        <v>39</v>
      </c>
      <c r="J2031" s="74" t="str">
        <f t="shared" si="1"/>
        <v>[TIMES] Aluminium Finishing Processes</v>
      </c>
      <c r="L2031" s="159"/>
      <c r="M2031" s="48"/>
      <c r="N2031" s="123"/>
    </row>
    <row r="2032" spans="1:14" customFormat="1" x14ac:dyDescent="0.55000000000000004">
      <c r="A2032" s="101" t="s">
        <v>485</v>
      </c>
      <c r="B2032" t="s">
        <v>137</v>
      </c>
      <c r="C2032" s="61" t="s">
        <v>127</v>
      </c>
      <c r="D2032" s="61" t="s">
        <v>2994</v>
      </c>
      <c r="E2032" s="119">
        <v>0.14000000000000001</v>
      </c>
      <c r="F2032" s="148" t="s">
        <v>138</v>
      </c>
      <c r="G2032" s="148" t="s">
        <v>135</v>
      </c>
      <c r="H2032" s="68" t="s">
        <v>39</v>
      </c>
      <c r="J2032" s="74" t="str">
        <f t="shared" si="1"/>
        <v>[TIMES] Aluminium Finishing Processes</v>
      </c>
      <c r="L2032" s="159"/>
      <c r="M2032" s="48"/>
      <c r="N2032" s="123"/>
    </row>
    <row r="2033" spans="1:14" customFormat="1" x14ac:dyDescent="0.55000000000000004">
      <c r="A2033" s="101" t="s">
        <v>485</v>
      </c>
      <c r="B2033" t="s">
        <v>160</v>
      </c>
      <c r="C2033" t="s">
        <v>247</v>
      </c>
      <c r="D2033" t="s">
        <v>3288</v>
      </c>
      <c r="E2033" s="119">
        <v>0.23726900000000001</v>
      </c>
      <c r="F2033" s="151" t="s">
        <v>135</v>
      </c>
      <c r="G2033" s="148" t="s">
        <v>135</v>
      </c>
      <c r="H2033" s="68" t="s">
        <v>376</v>
      </c>
      <c r="I2033" t="s">
        <v>1251</v>
      </c>
      <c r="J2033" s="74" t="str">
        <f t="shared" si="1"/>
        <v>[TIMES] Aluminium Finishing Processes</v>
      </c>
      <c r="L2033" s="131"/>
      <c r="M2033" s="48"/>
      <c r="N2033" s="123"/>
    </row>
    <row r="2034" spans="1:14" customFormat="1" x14ac:dyDescent="0.55000000000000004">
      <c r="A2034" s="101" t="s">
        <v>484</v>
      </c>
      <c r="B2034" t="s">
        <v>210</v>
      </c>
      <c r="C2034" s="61" t="s">
        <v>121</v>
      </c>
      <c r="D2034" s="61" t="s">
        <v>3288</v>
      </c>
      <c r="E2034" s="119">
        <v>1</v>
      </c>
      <c r="F2034" s="148" t="s">
        <v>135</v>
      </c>
      <c r="G2034" s="148">
        <v>1</v>
      </c>
      <c r="H2034" s="68" t="s">
        <v>39</v>
      </c>
      <c r="J2034" s="74" t="str">
        <f t="shared" si="1"/>
        <v>[TIMES] Aluminium Inert Anodes</v>
      </c>
      <c r="L2034" s="159"/>
      <c r="M2034" s="48"/>
      <c r="N2034" s="123"/>
    </row>
    <row r="2035" spans="1:14" customFormat="1" x14ac:dyDescent="0.55000000000000004">
      <c r="A2035" s="101" t="s">
        <v>484</v>
      </c>
      <c r="B2035" s="61" t="s">
        <v>421</v>
      </c>
      <c r="C2035" s="61" t="s">
        <v>132</v>
      </c>
      <c r="D2035" s="61" t="s">
        <v>3288</v>
      </c>
      <c r="E2035" s="119">
        <v>1.9</v>
      </c>
      <c r="F2035" s="148" t="s">
        <v>135</v>
      </c>
      <c r="G2035" s="151" t="s">
        <v>135</v>
      </c>
      <c r="H2035" s="68" t="s">
        <v>39</v>
      </c>
      <c r="J2035" s="74" t="str">
        <f t="shared" si="1"/>
        <v>[TIMES] Aluminium Inert Anodes</v>
      </c>
      <c r="L2035" s="159"/>
      <c r="M2035" s="48"/>
      <c r="N2035" s="123"/>
    </row>
    <row r="2036" spans="1:14" customFormat="1" x14ac:dyDescent="0.55000000000000004">
      <c r="A2036" s="101" t="s">
        <v>484</v>
      </c>
      <c r="B2036" s="61" t="s">
        <v>153</v>
      </c>
      <c r="C2036" s="61" t="s">
        <v>127</v>
      </c>
      <c r="D2036" s="61" t="s">
        <v>2994</v>
      </c>
      <c r="E2036" s="119">
        <v>44</v>
      </c>
      <c r="F2036" s="148" t="s">
        <v>138</v>
      </c>
      <c r="G2036" s="151" t="s">
        <v>135</v>
      </c>
      <c r="H2036" s="68" t="s">
        <v>39</v>
      </c>
      <c r="J2036" s="74" t="str">
        <f t="shared" si="1"/>
        <v>[TIMES] Aluminium Inert Anodes</v>
      </c>
      <c r="L2036" s="159"/>
      <c r="M2036" s="48"/>
      <c r="N2036" s="123"/>
    </row>
    <row r="2037" spans="1:14" customFormat="1" x14ac:dyDescent="0.55000000000000004">
      <c r="A2037" s="101" t="s">
        <v>484</v>
      </c>
      <c r="B2037" s="61" t="s">
        <v>171</v>
      </c>
      <c r="C2037" s="61" t="s">
        <v>127</v>
      </c>
      <c r="D2037" s="61" t="s">
        <v>2994</v>
      </c>
      <c r="E2037" s="119">
        <v>1.5</v>
      </c>
      <c r="F2037" s="148" t="s">
        <v>138</v>
      </c>
      <c r="G2037" s="151" t="s">
        <v>135</v>
      </c>
      <c r="H2037" s="68" t="s">
        <v>39</v>
      </c>
      <c r="J2037" s="74" t="str">
        <f t="shared" si="1"/>
        <v>[TIMES] Aluminium Inert Anodes</v>
      </c>
      <c r="L2037" s="159"/>
      <c r="M2037" s="48"/>
      <c r="N2037" s="123"/>
    </row>
    <row r="2038" spans="1:14" customFormat="1" x14ac:dyDescent="0.55000000000000004">
      <c r="A2038" s="101" t="s">
        <v>484</v>
      </c>
      <c r="B2038" t="s">
        <v>160</v>
      </c>
      <c r="C2038" t="s">
        <v>247</v>
      </c>
      <c r="D2038" t="s">
        <v>3288</v>
      </c>
      <c r="E2038" s="119">
        <v>8.4150000000000003E-2</v>
      </c>
      <c r="F2038" s="151" t="s">
        <v>135</v>
      </c>
      <c r="G2038" s="151" t="s">
        <v>135</v>
      </c>
      <c r="H2038" s="68" t="s">
        <v>376</v>
      </c>
      <c r="J2038" s="74" t="str">
        <f t="shared" si="1"/>
        <v>[TIMES] Aluminium Inert Anodes</v>
      </c>
      <c r="L2038" s="131"/>
      <c r="M2038" s="48"/>
      <c r="N2038" s="123"/>
    </row>
    <row r="2039" spans="1:14" customFormat="1" x14ac:dyDescent="0.55000000000000004">
      <c r="A2039" s="101" t="s">
        <v>483</v>
      </c>
      <c r="B2039" t="s">
        <v>210</v>
      </c>
      <c r="C2039" s="61" t="s">
        <v>121</v>
      </c>
      <c r="D2039" s="61" t="s">
        <v>3288</v>
      </c>
      <c r="E2039" s="119">
        <v>1</v>
      </c>
      <c r="F2039" s="148" t="s">
        <v>135</v>
      </c>
      <c r="G2039" s="148">
        <v>1</v>
      </c>
      <c r="H2039" s="68" t="s">
        <v>39</v>
      </c>
      <c r="J2039" s="74" t="str">
        <f t="shared" si="1"/>
        <v>[TIMES] Aluminium Recycled Production</v>
      </c>
      <c r="L2039" s="159"/>
      <c r="M2039" s="48"/>
      <c r="N2039" s="123"/>
    </row>
    <row r="2040" spans="1:14" customFormat="1" x14ac:dyDescent="0.55000000000000004">
      <c r="A2040" s="101" t="s">
        <v>483</v>
      </c>
      <c r="B2040" s="61" t="s">
        <v>421</v>
      </c>
      <c r="C2040" s="61" t="s">
        <v>132</v>
      </c>
      <c r="D2040" s="61" t="s">
        <v>3288</v>
      </c>
      <c r="E2040" s="119">
        <v>2</v>
      </c>
      <c r="F2040" s="148" t="s">
        <v>135</v>
      </c>
      <c r="G2040" s="151" t="s">
        <v>135</v>
      </c>
      <c r="H2040" s="68" t="s">
        <v>39</v>
      </c>
      <c r="J2040" s="74" t="str">
        <f t="shared" si="1"/>
        <v>[TIMES] Aluminium Recycled Production</v>
      </c>
      <c r="L2040" s="159"/>
      <c r="M2040" s="48"/>
      <c r="N2040" s="123"/>
    </row>
    <row r="2041" spans="1:14" customFormat="1" x14ac:dyDescent="0.55000000000000004">
      <c r="A2041" s="101" t="s">
        <v>483</v>
      </c>
      <c r="B2041" t="s">
        <v>211</v>
      </c>
      <c r="C2041" s="61" t="s">
        <v>125</v>
      </c>
      <c r="D2041" s="61" t="s">
        <v>3288</v>
      </c>
      <c r="E2041" s="119">
        <v>1.04</v>
      </c>
      <c r="F2041" s="148" t="s">
        <v>135</v>
      </c>
      <c r="G2041" s="151" t="s">
        <v>135</v>
      </c>
      <c r="H2041" s="68" t="s">
        <v>480</v>
      </c>
      <c r="I2041" s="76" t="s">
        <v>481</v>
      </c>
      <c r="J2041" s="74" t="str">
        <f t="shared" si="1"/>
        <v>[TIMES] Aluminium Recycled Production</v>
      </c>
      <c r="L2041" s="159"/>
      <c r="M2041" s="48"/>
      <c r="N2041" s="123"/>
    </row>
    <row r="2042" spans="1:14" customFormat="1" x14ac:dyDescent="0.55000000000000004">
      <c r="A2042" s="101" t="s">
        <v>483</v>
      </c>
      <c r="B2042" s="61" t="s">
        <v>153</v>
      </c>
      <c r="C2042" s="61" t="s">
        <v>127</v>
      </c>
      <c r="D2042" s="61" t="s">
        <v>2994</v>
      </c>
      <c r="E2042" s="119">
        <v>1.38</v>
      </c>
      <c r="F2042" s="148" t="s">
        <v>138</v>
      </c>
      <c r="G2042" s="151" t="s">
        <v>135</v>
      </c>
      <c r="H2042" s="68" t="s">
        <v>39</v>
      </c>
      <c r="J2042" s="74" t="str">
        <f t="shared" si="1"/>
        <v>[TIMES] Aluminium Recycled Production</v>
      </c>
      <c r="L2042" s="159"/>
      <c r="M2042" s="48"/>
      <c r="N2042" s="123"/>
    </row>
    <row r="2043" spans="1:14" customFormat="1" x14ac:dyDescent="0.55000000000000004">
      <c r="A2043" s="101" t="s">
        <v>483</v>
      </c>
      <c r="B2043" s="61" t="s">
        <v>171</v>
      </c>
      <c r="C2043" s="61" t="s">
        <v>127</v>
      </c>
      <c r="D2043" s="61" t="s">
        <v>2994</v>
      </c>
      <c r="E2043" s="119">
        <v>4</v>
      </c>
      <c r="F2043" s="148" t="s">
        <v>138</v>
      </c>
      <c r="G2043" s="151" t="s">
        <v>135</v>
      </c>
      <c r="H2043" s="68" t="s">
        <v>39</v>
      </c>
      <c r="J2043" s="74" t="str">
        <f t="shared" si="1"/>
        <v>[TIMES] Aluminium Recycled Production</v>
      </c>
      <c r="L2043" s="159"/>
      <c r="M2043" s="48"/>
      <c r="N2043" s="123"/>
    </row>
    <row r="2044" spans="1:14" customFormat="1" x14ac:dyDescent="0.55000000000000004">
      <c r="A2044" s="101" t="s">
        <v>483</v>
      </c>
      <c r="B2044" t="s">
        <v>160</v>
      </c>
      <c r="C2044" t="s">
        <v>247</v>
      </c>
      <c r="D2044" t="s">
        <v>3288</v>
      </c>
      <c r="E2044" s="119">
        <v>0.22439999999999999</v>
      </c>
      <c r="F2044" s="151" t="s">
        <v>135</v>
      </c>
      <c r="G2044" s="151" t="s">
        <v>135</v>
      </c>
      <c r="H2044" s="68" t="s">
        <v>376</v>
      </c>
      <c r="J2044" s="74" t="str">
        <f t="shared" si="1"/>
        <v>[TIMES] Aluminium Recycled Production</v>
      </c>
      <c r="L2044" s="131"/>
      <c r="M2044" s="48"/>
      <c r="N2044" s="123"/>
    </row>
    <row r="2045" spans="1:14" customFormat="1" x14ac:dyDescent="0.55000000000000004">
      <c r="A2045" s="101" t="s">
        <v>482</v>
      </c>
      <c r="B2045" t="s">
        <v>210</v>
      </c>
      <c r="C2045" s="61" t="s">
        <v>121</v>
      </c>
      <c r="D2045" s="61" t="s">
        <v>3288</v>
      </c>
      <c r="E2045" s="119">
        <v>1</v>
      </c>
      <c r="F2045" s="148" t="s">
        <v>135</v>
      </c>
      <c r="G2045" s="148">
        <v>1</v>
      </c>
      <c r="H2045" s="68" t="s">
        <v>39</v>
      </c>
      <c r="J2045" s="74" t="str">
        <f t="shared" si="1"/>
        <v>[TIMES] Aluminium Recycled Production Enhanced Furnaces</v>
      </c>
      <c r="L2045" s="159"/>
      <c r="M2045" s="48"/>
      <c r="N2045" s="123"/>
    </row>
    <row r="2046" spans="1:14" customFormat="1" x14ac:dyDescent="0.55000000000000004">
      <c r="A2046" s="101" t="s">
        <v>482</v>
      </c>
      <c r="B2046" s="61" t="s">
        <v>421</v>
      </c>
      <c r="C2046" s="61" t="s">
        <v>132</v>
      </c>
      <c r="D2046" s="61" t="s">
        <v>3288</v>
      </c>
      <c r="E2046" s="119">
        <v>2</v>
      </c>
      <c r="F2046" s="148" t="s">
        <v>135</v>
      </c>
      <c r="G2046" s="151" t="s">
        <v>135</v>
      </c>
      <c r="H2046" s="68" t="s">
        <v>39</v>
      </c>
      <c r="J2046" s="74" t="str">
        <f t="shared" si="1"/>
        <v>[TIMES] Aluminium Recycled Production Enhanced Furnaces</v>
      </c>
      <c r="L2046" s="159"/>
      <c r="M2046" s="48"/>
      <c r="N2046" s="123"/>
    </row>
    <row r="2047" spans="1:14" customFormat="1" x14ac:dyDescent="0.55000000000000004">
      <c r="A2047" s="101" t="s">
        <v>482</v>
      </c>
      <c r="B2047" t="s">
        <v>211</v>
      </c>
      <c r="C2047" s="61" t="s">
        <v>125</v>
      </c>
      <c r="D2047" s="61" t="s">
        <v>3288</v>
      </c>
      <c r="E2047" s="119">
        <v>1.04</v>
      </c>
      <c r="F2047" s="148" t="s">
        <v>135</v>
      </c>
      <c r="G2047" s="151" t="s">
        <v>135</v>
      </c>
      <c r="H2047" s="68" t="s">
        <v>480</v>
      </c>
      <c r="I2047" s="76" t="s">
        <v>481</v>
      </c>
      <c r="J2047" s="74" t="str">
        <f t="shared" si="1"/>
        <v>[TIMES] Aluminium Recycled Production Enhanced Furnaces</v>
      </c>
      <c r="L2047" s="159"/>
      <c r="M2047" s="48"/>
      <c r="N2047" s="123"/>
    </row>
    <row r="2048" spans="1:14" customFormat="1" x14ac:dyDescent="0.55000000000000004">
      <c r="A2048" s="101" t="s">
        <v>482</v>
      </c>
      <c r="B2048" s="61" t="s">
        <v>153</v>
      </c>
      <c r="C2048" s="61" t="s">
        <v>127</v>
      </c>
      <c r="D2048" s="61" t="s">
        <v>2994</v>
      </c>
      <c r="E2048" s="119">
        <v>1.38</v>
      </c>
      <c r="F2048" s="148" t="s">
        <v>138</v>
      </c>
      <c r="G2048" s="151" t="s">
        <v>135</v>
      </c>
      <c r="H2048" s="68" t="s">
        <v>39</v>
      </c>
      <c r="J2048" s="74" t="str">
        <f t="shared" si="1"/>
        <v>[TIMES] Aluminium Recycled Production Enhanced Furnaces</v>
      </c>
      <c r="L2048" s="159"/>
      <c r="M2048" s="48"/>
      <c r="N2048" s="123"/>
    </row>
    <row r="2049" spans="1:14" customFormat="1" x14ac:dyDescent="0.55000000000000004">
      <c r="A2049" s="101" t="s">
        <v>482</v>
      </c>
      <c r="B2049" s="61" t="s">
        <v>171</v>
      </c>
      <c r="C2049" s="61" t="s">
        <v>127</v>
      </c>
      <c r="D2049" s="61" t="s">
        <v>2994</v>
      </c>
      <c r="E2049" s="119">
        <v>2</v>
      </c>
      <c r="F2049" s="148" t="s">
        <v>138</v>
      </c>
      <c r="G2049" s="151" t="s">
        <v>135</v>
      </c>
      <c r="H2049" s="68" t="s">
        <v>39</v>
      </c>
      <c r="J2049" s="74" t="str">
        <f t="shared" si="1"/>
        <v>[TIMES] Aluminium Recycled Production Enhanced Furnaces</v>
      </c>
      <c r="L2049" s="159"/>
      <c r="M2049" s="48"/>
      <c r="N2049" s="123"/>
    </row>
    <row r="2050" spans="1:14" customFormat="1" x14ac:dyDescent="0.55000000000000004">
      <c r="A2050" s="101" t="s">
        <v>482</v>
      </c>
      <c r="B2050" t="s">
        <v>160</v>
      </c>
      <c r="C2050" t="s">
        <v>247</v>
      </c>
      <c r="D2050" t="s">
        <v>3288</v>
      </c>
      <c r="E2050" s="119">
        <v>0.11219999999999999</v>
      </c>
      <c r="F2050" s="151" t="s">
        <v>135</v>
      </c>
      <c r="G2050" s="151" t="s">
        <v>135</v>
      </c>
      <c r="H2050" s="68" t="s">
        <v>376</v>
      </c>
      <c r="J2050" s="74" t="str">
        <f t="shared" si="1"/>
        <v>[TIMES] Aluminium Recycled Production Enhanced Furnaces</v>
      </c>
      <c r="L2050" s="131"/>
      <c r="M2050" s="48"/>
      <c r="N2050" s="123"/>
    </row>
    <row r="2051" spans="1:14" customFormat="1" x14ac:dyDescent="0.55000000000000004">
      <c r="A2051" s="101" t="s">
        <v>479</v>
      </c>
      <c r="B2051" t="s">
        <v>210</v>
      </c>
      <c r="C2051" s="61" t="s">
        <v>121</v>
      </c>
      <c r="D2051" s="61" t="s">
        <v>3288</v>
      </c>
      <c r="E2051" s="119">
        <v>1</v>
      </c>
      <c r="F2051" s="148" t="s">
        <v>135</v>
      </c>
      <c r="G2051" s="148">
        <v>1</v>
      </c>
      <c r="H2051" s="68" t="s">
        <v>39</v>
      </c>
      <c r="J2051" s="74" t="str">
        <f t="shared" si="1"/>
        <v>[TIMES] Aluminium Recycled Production Scrap Pre-heat</v>
      </c>
      <c r="L2051" s="159"/>
      <c r="M2051" s="48"/>
      <c r="N2051" s="123"/>
    </row>
    <row r="2052" spans="1:14" customFormat="1" x14ac:dyDescent="0.55000000000000004">
      <c r="A2052" s="101" t="s">
        <v>479</v>
      </c>
      <c r="B2052" s="61" t="s">
        <v>421</v>
      </c>
      <c r="C2052" s="61" t="s">
        <v>132</v>
      </c>
      <c r="D2052" s="61" t="s">
        <v>3288</v>
      </c>
      <c r="E2052" s="119">
        <v>2</v>
      </c>
      <c r="F2052" s="148" t="s">
        <v>135</v>
      </c>
      <c r="G2052" s="151" t="s">
        <v>135</v>
      </c>
      <c r="H2052" s="68" t="s">
        <v>39</v>
      </c>
      <c r="J2052" s="74" t="str">
        <f t="shared" si="1"/>
        <v>[TIMES] Aluminium Recycled Production Scrap Pre-heat</v>
      </c>
      <c r="L2052" s="159"/>
      <c r="M2052" s="48"/>
      <c r="N2052" s="123"/>
    </row>
    <row r="2053" spans="1:14" customFormat="1" x14ac:dyDescent="0.55000000000000004">
      <c r="A2053" s="101" t="s">
        <v>479</v>
      </c>
      <c r="B2053" t="s">
        <v>211</v>
      </c>
      <c r="C2053" s="61" t="s">
        <v>125</v>
      </c>
      <c r="D2053" s="61" t="s">
        <v>3288</v>
      </c>
      <c r="E2053" s="119">
        <v>1.04</v>
      </c>
      <c r="F2053" s="148" t="s">
        <v>135</v>
      </c>
      <c r="G2053" s="151" t="s">
        <v>135</v>
      </c>
      <c r="H2053" s="68" t="s">
        <v>480</v>
      </c>
      <c r="I2053" s="76" t="s">
        <v>481</v>
      </c>
      <c r="J2053" s="74" t="str">
        <f t="shared" si="1"/>
        <v>[TIMES] Aluminium Recycled Production Scrap Pre-heat</v>
      </c>
      <c r="L2053" s="159"/>
      <c r="M2053" s="48"/>
      <c r="N2053" s="123"/>
    </row>
    <row r="2054" spans="1:14" customFormat="1" x14ac:dyDescent="0.55000000000000004">
      <c r="A2054" s="101" t="s">
        <v>479</v>
      </c>
      <c r="B2054" s="61" t="s">
        <v>153</v>
      </c>
      <c r="C2054" s="61" t="s">
        <v>127</v>
      </c>
      <c r="D2054" s="61" t="s">
        <v>2994</v>
      </c>
      <c r="E2054" s="119">
        <v>1.38</v>
      </c>
      <c r="F2054" s="148" t="s">
        <v>138</v>
      </c>
      <c r="G2054" s="151" t="s">
        <v>135</v>
      </c>
      <c r="H2054" s="68" t="s">
        <v>39</v>
      </c>
      <c r="J2054" s="74" t="str">
        <f t="shared" si="1"/>
        <v>[TIMES] Aluminium Recycled Production Scrap Pre-heat</v>
      </c>
      <c r="L2054" s="159"/>
      <c r="M2054" s="48"/>
      <c r="N2054" s="123"/>
    </row>
    <row r="2055" spans="1:14" customFormat="1" x14ac:dyDescent="0.55000000000000004">
      <c r="A2055" s="101" t="s">
        <v>479</v>
      </c>
      <c r="B2055" s="61" t="s">
        <v>171</v>
      </c>
      <c r="C2055" s="61" t="s">
        <v>127</v>
      </c>
      <c r="D2055" s="61" t="s">
        <v>2994</v>
      </c>
      <c r="E2055" s="119">
        <v>3.6</v>
      </c>
      <c r="F2055" s="148" t="s">
        <v>138</v>
      </c>
      <c r="G2055" s="151" t="s">
        <v>135</v>
      </c>
      <c r="H2055" s="68" t="s">
        <v>39</v>
      </c>
      <c r="J2055" s="74" t="str">
        <f t="shared" si="1"/>
        <v>[TIMES] Aluminium Recycled Production Scrap Pre-heat</v>
      </c>
      <c r="L2055" s="159"/>
      <c r="M2055" s="48"/>
      <c r="N2055" s="123"/>
    </row>
    <row r="2056" spans="1:14" customFormat="1" x14ac:dyDescent="0.55000000000000004">
      <c r="A2056" s="101" t="s">
        <v>479</v>
      </c>
      <c r="B2056" t="s">
        <v>160</v>
      </c>
      <c r="C2056" t="s">
        <v>247</v>
      </c>
      <c r="D2056" t="s">
        <v>3288</v>
      </c>
      <c r="E2056" s="119">
        <v>0.20196</v>
      </c>
      <c r="F2056" s="151" t="s">
        <v>135</v>
      </c>
      <c r="G2056" s="151" t="s">
        <v>135</v>
      </c>
      <c r="H2056" s="68" t="s">
        <v>376</v>
      </c>
      <c r="J2056" s="74" t="str">
        <f t="shared" si="1"/>
        <v>[TIMES] Aluminium Recycled Production Scrap Pre-heat</v>
      </c>
      <c r="L2056" s="131"/>
      <c r="M2056" s="48"/>
      <c r="N2056" s="123"/>
    </row>
    <row r="2057" spans="1:14" customFormat="1" x14ac:dyDescent="0.55000000000000004">
      <c r="A2057" s="92" t="s">
        <v>2007</v>
      </c>
      <c r="B2057" t="s">
        <v>339</v>
      </c>
      <c r="C2057" s="68" t="s">
        <v>121</v>
      </c>
      <c r="D2057" s="68" t="s">
        <v>3288</v>
      </c>
      <c r="E2057" s="120">
        <v>1</v>
      </c>
      <c r="F2057" s="149" t="s">
        <v>135</v>
      </c>
      <c r="G2057" s="149">
        <v>1</v>
      </c>
      <c r="H2057" s="68" t="s">
        <v>39</v>
      </c>
      <c r="J2057" s="77" t="s">
        <v>478</v>
      </c>
      <c r="L2057" s="163"/>
      <c r="M2057" s="48"/>
      <c r="N2057" s="123"/>
    </row>
    <row r="2058" spans="1:14" customFormat="1" x14ac:dyDescent="0.55000000000000004">
      <c r="A2058" s="92" t="s">
        <v>2007</v>
      </c>
      <c r="B2058" t="s">
        <v>796</v>
      </c>
      <c r="C2058" s="68" t="s">
        <v>156</v>
      </c>
      <c r="D2058" s="68" t="s">
        <v>2994</v>
      </c>
      <c r="E2058" s="120">
        <v>0.65</v>
      </c>
      <c r="F2058" s="149" t="s">
        <v>138</v>
      </c>
      <c r="G2058" s="149" t="s">
        <v>135</v>
      </c>
      <c r="H2058" s="68" t="s">
        <v>39</v>
      </c>
      <c r="J2058" s="77" t="s">
        <v>478</v>
      </c>
      <c r="L2058" s="163"/>
      <c r="M2058" s="48"/>
      <c r="N2058" s="123"/>
    </row>
    <row r="2059" spans="1:14" customFormat="1" x14ac:dyDescent="0.55000000000000004">
      <c r="A2059" s="92" t="s">
        <v>2007</v>
      </c>
      <c r="B2059" t="s">
        <v>213</v>
      </c>
      <c r="C2059" s="68" t="s">
        <v>125</v>
      </c>
      <c r="D2059" s="68" t="s">
        <v>3288</v>
      </c>
      <c r="E2059" s="120">
        <v>0.05</v>
      </c>
      <c r="F2059" s="149" t="s">
        <v>135</v>
      </c>
      <c r="G2059" s="149" t="s">
        <v>135</v>
      </c>
      <c r="H2059" s="68" t="s">
        <v>39</v>
      </c>
      <c r="J2059" s="77" t="s">
        <v>478</v>
      </c>
      <c r="L2059" s="163"/>
      <c r="M2059" s="48"/>
      <c r="N2059" s="123"/>
    </row>
    <row r="2060" spans="1:14" customFormat="1" x14ac:dyDescent="0.55000000000000004">
      <c r="A2060" s="92" t="s">
        <v>2007</v>
      </c>
      <c r="B2060" t="s">
        <v>287</v>
      </c>
      <c r="C2060" s="68" t="s">
        <v>207</v>
      </c>
      <c r="D2060" s="68" t="s">
        <v>3288</v>
      </c>
      <c r="E2060" s="120">
        <v>0.9</v>
      </c>
      <c r="F2060" s="149" t="s">
        <v>135</v>
      </c>
      <c r="G2060" s="149" t="s">
        <v>135</v>
      </c>
      <c r="H2060" s="68" t="s">
        <v>39</v>
      </c>
      <c r="J2060" s="77" t="s">
        <v>478</v>
      </c>
      <c r="L2060" s="163"/>
      <c r="M2060" s="48"/>
      <c r="N2060" s="123"/>
    </row>
    <row r="2061" spans="1:14" customFormat="1" x14ac:dyDescent="0.55000000000000004">
      <c r="A2061" s="92" t="s">
        <v>2007</v>
      </c>
      <c r="B2061" t="s">
        <v>341</v>
      </c>
      <c r="C2061" s="68" t="s">
        <v>125</v>
      </c>
      <c r="D2061" s="68" t="s">
        <v>3288</v>
      </c>
      <c r="E2061" s="120">
        <v>0.18</v>
      </c>
      <c r="F2061" s="149" t="s">
        <v>135</v>
      </c>
      <c r="G2061" s="149" t="s">
        <v>135</v>
      </c>
      <c r="H2061" s="68" t="s">
        <v>39</v>
      </c>
      <c r="J2061" s="77" t="s">
        <v>478</v>
      </c>
      <c r="L2061" s="163"/>
      <c r="M2061" s="48"/>
      <c r="N2061" s="123"/>
    </row>
    <row r="2062" spans="1:14" customFormat="1" x14ac:dyDescent="0.55000000000000004">
      <c r="A2062" s="92" t="s">
        <v>2007</v>
      </c>
      <c r="B2062" t="s">
        <v>170</v>
      </c>
      <c r="C2062" s="68" t="s">
        <v>125</v>
      </c>
      <c r="D2062" s="68" t="s">
        <v>3288</v>
      </c>
      <c r="E2062" s="120">
        <v>0.05</v>
      </c>
      <c r="F2062" s="151" t="s">
        <v>135</v>
      </c>
      <c r="G2062" s="151" t="s">
        <v>135</v>
      </c>
      <c r="H2062" s="68" t="s">
        <v>39</v>
      </c>
      <c r="J2062" s="77" t="s">
        <v>478</v>
      </c>
      <c r="L2062" s="163"/>
      <c r="M2062" s="48"/>
      <c r="N2062" s="123"/>
    </row>
    <row r="2063" spans="1:14" customFormat="1" x14ac:dyDescent="0.55000000000000004">
      <c r="A2063" s="92" t="s">
        <v>2007</v>
      </c>
      <c r="B2063" t="s">
        <v>153</v>
      </c>
      <c r="C2063" s="68" t="s">
        <v>127</v>
      </c>
      <c r="D2063" s="68" t="s">
        <v>2994</v>
      </c>
      <c r="E2063" s="120">
        <v>0.1</v>
      </c>
      <c r="F2063" s="151" t="s">
        <v>138</v>
      </c>
      <c r="G2063" s="151" t="s">
        <v>135</v>
      </c>
      <c r="H2063" s="68" t="s">
        <v>39</v>
      </c>
      <c r="J2063" s="77" t="s">
        <v>478</v>
      </c>
      <c r="L2063" s="163"/>
      <c r="M2063" s="48"/>
      <c r="N2063" s="123"/>
    </row>
    <row r="2064" spans="1:14" customFormat="1" x14ac:dyDescent="0.55000000000000004">
      <c r="A2064" s="92" t="s">
        <v>2006</v>
      </c>
      <c r="B2064" t="s">
        <v>339</v>
      </c>
      <c r="C2064" s="68" t="s">
        <v>121</v>
      </c>
      <c r="D2064" s="68" t="s">
        <v>3288</v>
      </c>
      <c r="E2064" s="120">
        <v>1</v>
      </c>
      <c r="F2064" s="149" t="s">
        <v>135</v>
      </c>
      <c r="G2064" s="149">
        <v>1</v>
      </c>
      <c r="H2064" s="68" t="s">
        <v>39</v>
      </c>
      <c r="J2064" s="77" t="s">
        <v>477</v>
      </c>
      <c r="L2064" s="163"/>
      <c r="M2064" s="48"/>
      <c r="N2064" s="123"/>
    </row>
    <row r="2065" spans="1:14" customFormat="1" x14ac:dyDescent="0.55000000000000004">
      <c r="A2065" s="92" t="s">
        <v>2006</v>
      </c>
      <c r="B2065" t="s">
        <v>796</v>
      </c>
      <c r="C2065" s="68" t="s">
        <v>156</v>
      </c>
      <c r="D2065" s="68" t="s">
        <v>2994</v>
      </c>
      <c r="E2065" s="120">
        <v>0.65</v>
      </c>
      <c r="F2065" s="149" t="s">
        <v>138</v>
      </c>
      <c r="G2065" s="149" t="s">
        <v>135</v>
      </c>
      <c r="H2065" s="68" t="s">
        <v>39</v>
      </c>
      <c r="J2065" s="77" t="s">
        <v>477</v>
      </c>
      <c r="L2065" s="163"/>
      <c r="M2065" s="48"/>
      <c r="N2065" s="123"/>
    </row>
    <row r="2066" spans="1:14" customFormat="1" x14ac:dyDescent="0.55000000000000004">
      <c r="A2066" s="92" t="s">
        <v>2006</v>
      </c>
      <c r="B2066" t="s">
        <v>213</v>
      </c>
      <c r="C2066" s="68" t="s">
        <v>125</v>
      </c>
      <c r="D2066" s="68" t="s">
        <v>3288</v>
      </c>
      <c r="E2066" s="120">
        <v>0.05</v>
      </c>
      <c r="F2066" s="149" t="s">
        <v>135</v>
      </c>
      <c r="G2066" s="149" t="s">
        <v>135</v>
      </c>
      <c r="H2066" s="68" t="s">
        <v>39</v>
      </c>
      <c r="J2066" s="77" t="s">
        <v>477</v>
      </c>
      <c r="L2066" s="163"/>
      <c r="M2066" s="48"/>
      <c r="N2066" s="123"/>
    </row>
    <row r="2067" spans="1:14" customFormat="1" x14ac:dyDescent="0.55000000000000004">
      <c r="A2067" s="92" t="s">
        <v>2006</v>
      </c>
      <c r="B2067" t="s">
        <v>287</v>
      </c>
      <c r="C2067" s="68" t="s">
        <v>207</v>
      </c>
      <c r="D2067" s="68" t="s">
        <v>3288</v>
      </c>
      <c r="E2067" s="120">
        <v>0.495</v>
      </c>
      <c r="F2067" s="149" t="s">
        <v>135</v>
      </c>
      <c r="G2067" s="149" t="s">
        <v>135</v>
      </c>
      <c r="H2067" s="68" t="s">
        <v>39</v>
      </c>
      <c r="J2067" s="77" t="s">
        <v>477</v>
      </c>
      <c r="L2067" s="163"/>
      <c r="M2067" s="48"/>
      <c r="N2067" s="123"/>
    </row>
    <row r="2068" spans="1:14" customFormat="1" x14ac:dyDescent="0.55000000000000004">
      <c r="A2068" s="92" t="s">
        <v>2006</v>
      </c>
      <c r="B2068" t="s">
        <v>341</v>
      </c>
      <c r="C2068" s="68" t="s">
        <v>125</v>
      </c>
      <c r="D2068" s="68" t="s">
        <v>3288</v>
      </c>
      <c r="E2068" s="120">
        <v>0.59499999999999997</v>
      </c>
      <c r="F2068" s="149" t="s">
        <v>135</v>
      </c>
      <c r="G2068" s="149" t="s">
        <v>135</v>
      </c>
      <c r="H2068" s="68" t="s">
        <v>39</v>
      </c>
      <c r="J2068" s="77" t="s">
        <v>477</v>
      </c>
      <c r="L2068" s="163"/>
      <c r="M2068" s="48"/>
      <c r="N2068" s="123"/>
    </row>
    <row r="2069" spans="1:14" customFormat="1" x14ac:dyDescent="0.55000000000000004">
      <c r="A2069" s="92" t="s">
        <v>2006</v>
      </c>
      <c r="B2069" t="s">
        <v>170</v>
      </c>
      <c r="C2069" s="68" t="s">
        <v>125</v>
      </c>
      <c r="D2069" s="68" t="s">
        <v>3288</v>
      </c>
      <c r="E2069" s="120">
        <v>0.05</v>
      </c>
      <c r="F2069" s="149" t="s">
        <v>135</v>
      </c>
      <c r="G2069" s="149" t="s">
        <v>135</v>
      </c>
      <c r="H2069" s="68" t="s">
        <v>39</v>
      </c>
      <c r="J2069" s="77" t="s">
        <v>477</v>
      </c>
      <c r="L2069" s="163"/>
      <c r="M2069" s="48"/>
      <c r="N2069" s="123"/>
    </row>
    <row r="2070" spans="1:14" customFormat="1" x14ac:dyDescent="0.55000000000000004">
      <c r="A2070" s="92" t="s">
        <v>2006</v>
      </c>
      <c r="B2070" t="s">
        <v>153</v>
      </c>
      <c r="C2070" s="68" t="s">
        <v>127</v>
      </c>
      <c r="D2070" s="68" t="s">
        <v>2994</v>
      </c>
      <c r="E2070" s="120">
        <v>0.1</v>
      </c>
      <c r="F2070" s="149" t="s">
        <v>138</v>
      </c>
      <c r="G2070" s="149" t="s">
        <v>135</v>
      </c>
      <c r="H2070" s="68" t="s">
        <v>39</v>
      </c>
      <c r="J2070" s="77" t="s">
        <v>477</v>
      </c>
      <c r="L2070" s="163"/>
      <c r="M2070" s="48"/>
      <c r="N2070" s="123"/>
    </row>
    <row r="2071" spans="1:14" customFormat="1" x14ac:dyDescent="0.55000000000000004">
      <c r="A2071" s="105" t="s">
        <v>475</v>
      </c>
      <c r="B2071" s="68" t="s">
        <v>476</v>
      </c>
      <c r="C2071" s="68" t="s">
        <v>121</v>
      </c>
      <c r="D2071" s="68" t="s">
        <v>2994</v>
      </c>
      <c r="E2071" s="120">
        <v>1</v>
      </c>
      <c r="F2071" s="151" t="s">
        <v>138</v>
      </c>
      <c r="G2071" s="151">
        <v>1</v>
      </c>
      <c r="H2071" s="68" t="s">
        <v>39</v>
      </c>
      <c r="J2071" s="75" t="s">
        <v>475</v>
      </c>
      <c r="L2071" s="163"/>
      <c r="M2071" s="48"/>
      <c r="N2071" s="123"/>
    </row>
    <row r="2072" spans="1:14" customFormat="1" x14ac:dyDescent="0.55000000000000004">
      <c r="A2072" s="105" t="s">
        <v>475</v>
      </c>
      <c r="B2072" s="68" t="s">
        <v>208</v>
      </c>
      <c r="C2072" s="61" t="s">
        <v>156</v>
      </c>
      <c r="D2072" s="68" t="s">
        <v>2994</v>
      </c>
      <c r="E2072" s="120">
        <v>0.2</v>
      </c>
      <c r="F2072" s="151" t="s">
        <v>138</v>
      </c>
      <c r="G2072" s="151" t="s">
        <v>138</v>
      </c>
      <c r="H2072" s="68" t="s">
        <v>39</v>
      </c>
      <c r="J2072" s="75" t="s">
        <v>475</v>
      </c>
      <c r="L2072" s="163"/>
      <c r="M2072" s="48"/>
      <c r="N2072" s="123"/>
    </row>
    <row r="2073" spans="1:14" customFormat="1" x14ac:dyDescent="0.55000000000000004">
      <c r="A2073" s="105" t="s">
        <v>475</v>
      </c>
      <c r="B2073" s="68" t="s">
        <v>233</v>
      </c>
      <c r="C2073" s="68" t="s">
        <v>207</v>
      </c>
      <c r="D2073" s="68" t="s">
        <v>2994</v>
      </c>
      <c r="E2073" s="120">
        <v>1.77</v>
      </c>
      <c r="F2073" s="151" t="s">
        <v>138</v>
      </c>
      <c r="G2073" s="151" t="s">
        <v>138</v>
      </c>
      <c r="H2073" s="68" t="s">
        <v>39</v>
      </c>
      <c r="J2073" s="75" t="s">
        <v>475</v>
      </c>
      <c r="L2073" s="163"/>
      <c r="M2073" s="48"/>
      <c r="N2073" s="123"/>
    </row>
    <row r="2074" spans="1:14" customFormat="1" x14ac:dyDescent="0.55000000000000004">
      <c r="A2074" s="105" t="s">
        <v>475</v>
      </c>
      <c r="B2074" t="s">
        <v>160</v>
      </c>
      <c r="C2074" s="68" t="s">
        <v>247</v>
      </c>
      <c r="D2074" s="68" t="s">
        <v>3288</v>
      </c>
      <c r="E2074" s="119">
        <v>1.04E-2</v>
      </c>
      <c r="F2074" s="151" t="s">
        <v>135</v>
      </c>
      <c r="G2074" s="151" t="s">
        <v>135</v>
      </c>
      <c r="H2074" s="68" t="s">
        <v>373</v>
      </c>
      <c r="J2074" s="75" t="s">
        <v>475</v>
      </c>
      <c r="L2074" s="163"/>
      <c r="M2074" s="48"/>
      <c r="N2074" s="123"/>
    </row>
    <row r="2075" spans="1:14" customFormat="1" x14ac:dyDescent="0.55000000000000004">
      <c r="A2075" s="105" t="s">
        <v>473</v>
      </c>
      <c r="B2075" s="68" t="s">
        <v>474</v>
      </c>
      <c r="C2075" s="68" t="s">
        <v>121</v>
      </c>
      <c r="D2075" s="68" t="s">
        <v>2994</v>
      </c>
      <c r="E2075" s="120">
        <v>1</v>
      </c>
      <c r="F2075" s="151" t="s">
        <v>138</v>
      </c>
      <c r="G2075" s="151">
        <v>1</v>
      </c>
      <c r="H2075" s="68" t="s">
        <v>39</v>
      </c>
      <c r="J2075" s="75" t="s">
        <v>473</v>
      </c>
      <c r="L2075" s="163"/>
      <c r="M2075" s="48"/>
      <c r="N2075" s="123"/>
    </row>
    <row r="2076" spans="1:14" customFormat="1" x14ac:dyDescent="0.55000000000000004">
      <c r="A2076" s="105" t="s">
        <v>473</v>
      </c>
      <c r="B2076" s="68" t="s">
        <v>208</v>
      </c>
      <c r="C2076" s="61" t="s">
        <v>156</v>
      </c>
      <c r="D2076" s="68" t="s">
        <v>2994</v>
      </c>
      <c r="E2076" s="120">
        <v>0.2</v>
      </c>
      <c r="F2076" s="151" t="s">
        <v>138</v>
      </c>
      <c r="G2076" s="151" t="s">
        <v>138</v>
      </c>
      <c r="H2076" s="68" t="s">
        <v>39</v>
      </c>
      <c r="J2076" s="75" t="s">
        <v>473</v>
      </c>
      <c r="L2076" s="163"/>
      <c r="M2076" s="48"/>
      <c r="N2076" s="123"/>
    </row>
    <row r="2077" spans="1:14" customFormat="1" x14ac:dyDescent="0.55000000000000004">
      <c r="A2077" s="105" t="s">
        <v>473</v>
      </c>
      <c r="B2077" s="68" t="s">
        <v>233</v>
      </c>
      <c r="C2077" s="68" t="s">
        <v>207</v>
      </c>
      <c r="D2077" s="68" t="s">
        <v>2994</v>
      </c>
      <c r="E2077" s="120">
        <v>2.13</v>
      </c>
      <c r="F2077" s="151" t="s">
        <v>138</v>
      </c>
      <c r="G2077" s="151" t="s">
        <v>138</v>
      </c>
      <c r="H2077" s="68" t="s">
        <v>39</v>
      </c>
      <c r="J2077" s="75" t="s">
        <v>473</v>
      </c>
      <c r="L2077" s="163"/>
      <c r="M2077" s="48"/>
      <c r="N2077" s="123"/>
    </row>
    <row r="2078" spans="1:14" customFormat="1" x14ac:dyDescent="0.55000000000000004">
      <c r="A2078" s="105" t="s">
        <v>473</v>
      </c>
      <c r="B2078" t="s">
        <v>160</v>
      </c>
      <c r="C2078" t="s">
        <v>247</v>
      </c>
      <c r="D2078" t="s">
        <v>3288</v>
      </c>
      <c r="E2078" s="119">
        <v>1.04E-2</v>
      </c>
      <c r="F2078" s="151" t="s">
        <v>135</v>
      </c>
      <c r="G2078" s="151" t="s">
        <v>135</v>
      </c>
      <c r="H2078" s="68" t="s">
        <v>373</v>
      </c>
      <c r="J2078" s="75" t="s">
        <v>473</v>
      </c>
      <c r="L2078" s="131"/>
      <c r="M2078" s="48"/>
      <c r="N2078" s="123"/>
    </row>
    <row r="2079" spans="1:14" customFormat="1" x14ac:dyDescent="0.55000000000000004">
      <c r="A2079" s="105" t="s">
        <v>472</v>
      </c>
      <c r="B2079" s="68" t="s">
        <v>469</v>
      </c>
      <c r="C2079" s="68" t="s">
        <v>121</v>
      </c>
      <c r="D2079" s="68" t="s">
        <v>2994</v>
      </c>
      <c r="E2079" s="120">
        <v>1</v>
      </c>
      <c r="F2079" s="151" t="s">
        <v>138</v>
      </c>
      <c r="G2079" s="151">
        <v>1</v>
      </c>
      <c r="H2079" s="68" t="s">
        <v>39</v>
      </c>
      <c r="J2079" s="75" t="s">
        <v>468</v>
      </c>
      <c r="L2079" s="163"/>
      <c r="M2079" s="48"/>
      <c r="N2079" s="123"/>
    </row>
    <row r="2080" spans="1:14" customFormat="1" x14ac:dyDescent="0.55000000000000004">
      <c r="A2080" s="105" t="s">
        <v>472</v>
      </c>
      <c r="B2080" s="68" t="s">
        <v>208</v>
      </c>
      <c r="C2080" s="61" t="s">
        <v>156</v>
      </c>
      <c r="D2080" s="68" t="s">
        <v>2994</v>
      </c>
      <c r="E2080" s="120">
        <v>0.2</v>
      </c>
      <c r="F2080" s="151" t="s">
        <v>138</v>
      </c>
      <c r="G2080" s="151" t="s">
        <v>138</v>
      </c>
      <c r="H2080" s="68" t="s">
        <v>39</v>
      </c>
      <c r="J2080" s="75" t="s">
        <v>468</v>
      </c>
      <c r="L2080" s="163"/>
      <c r="M2080" s="48"/>
      <c r="N2080" s="123"/>
    </row>
    <row r="2081" spans="1:14" customFormat="1" x14ac:dyDescent="0.55000000000000004">
      <c r="A2081" s="105" t="s">
        <v>472</v>
      </c>
      <c r="B2081" s="68" t="s">
        <v>233</v>
      </c>
      <c r="C2081" s="68" t="s">
        <v>207</v>
      </c>
      <c r="D2081" s="68" t="s">
        <v>2994</v>
      </c>
      <c r="E2081" s="120">
        <v>1.79</v>
      </c>
      <c r="F2081" s="151" t="s">
        <v>138</v>
      </c>
      <c r="G2081" s="151" t="s">
        <v>138</v>
      </c>
      <c r="H2081" s="68" t="s">
        <v>39</v>
      </c>
      <c r="J2081" s="75" t="s">
        <v>468</v>
      </c>
      <c r="L2081" s="163"/>
      <c r="M2081" s="48"/>
      <c r="N2081" s="123"/>
    </row>
    <row r="2082" spans="1:14" customFormat="1" x14ac:dyDescent="0.55000000000000004">
      <c r="A2082" s="105" t="s">
        <v>472</v>
      </c>
      <c r="B2082" t="s">
        <v>160</v>
      </c>
      <c r="C2082" t="s">
        <v>247</v>
      </c>
      <c r="D2082" t="s">
        <v>3288</v>
      </c>
      <c r="E2082" s="119">
        <v>1.04E-2</v>
      </c>
      <c r="F2082" s="151" t="s">
        <v>135</v>
      </c>
      <c r="G2082" s="151" t="s">
        <v>135</v>
      </c>
      <c r="H2082" s="68" t="s">
        <v>373</v>
      </c>
      <c r="J2082" s="75" t="s">
        <v>468</v>
      </c>
      <c r="L2082" s="131"/>
      <c r="M2082" s="48"/>
      <c r="N2082" s="123"/>
    </row>
    <row r="2083" spans="1:14" customFormat="1" x14ac:dyDescent="0.55000000000000004">
      <c r="A2083" s="105" t="s">
        <v>470</v>
      </c>
      <c r="B2083" s="68" t="s">
        <v>471</v>
      </c>
      <c r="C2083" s="68" t="s">
        <v>121</v>
      </c>
      <c r="D2083" s="68" t="s">
        <v>2994</v>
      </c>
      <c r="E2083" s="120">
        <v>1</v>
      </c>
      <c r="F2083" s="151" t="s">
        <v>138</v>
      </c>
      <c r="G2083" s="151">
        <v>1</v>
      </c>
      <c r="H2083" s="68" t="s">
        <v>39</v>
      </c>
      <c r="J2083" s="75" t="s">
        <v>470</v>
      </c>
      <c r="L2083" s="163"/>
      <c r="M2083" s="48"/>
      <c r="N2083" s="123"/>
    </row>
    <row r="2084" spans="1:14" customFormat="1" x14ac:dyDescent="0.55000000000000004">
      <c r="A2084" s="105" t="s">
        <v>470</v>
      </c>
      <c r="B2084" s="68" t="s">
        <v>208</v>
      </c>
      <c r="C2084" s="61" t="s">
        <v>156</v>
      </c>
      <c r="D2084" s="68" t="s">
        <v>2994</v>
      </c>
      <c r="E2084" s="120">
        <v>0.2</v>
      </c>
      <c r="F2084" s="151" t="s">
        <v>138</v>
      </c>
      <c r="G2084" s="151" t="s">
        <v>138</v>
      </c>
      <c r="H2084" s="68" t="s">
        <v>39</v>
      </c>
      <c r="J2084" s="75" t="s">
        <v>470</v>
      </c>
      <c r="L2084" s="163"/>
      <c r="M2084" s="48"/>
      <c r="N2084" s="123"/>
    </row>
    <row r="2085" spans="1:14" customFormat="1" x14ac:dyDescent="0.55000000000000004">
      <c r="A2085" s="105" t="s">
        <v>470</v>
      </c>
      <c r="B2085" s="68" t="s">
        <v>233</v>
      </c>
      <c r="C2085" s="68" t="s">
        <v>207</v>
      </c>
      <c r="D2085" s="68" t="s">
        <v>2994</v>
      </c>
      <c r="E2085" s="120">
        <v>1.92</v>
      </c>
      <c r="F2085" s="151" t="s">
        <v>138</v>
      </c>
      <c r="G2085" s="151" t="s">
        <v>138</v>
      </c>
      <c r="H2085" s="68" t="s">
        <v>39</v>
      </c>
      <c r="J2085" s="75" t="s">
        <v>470</v>
      </c>
      <c r="L2085" s="163"/>
      <c r="M2085" s="48"/>
      <c r="N2085" s="123"/>
    </row>
    <row r="2086" spans="1:14" customFormat="1" x14ac:dyDescent="0.55000000000000004">
      <c r="A2086" s="105" t="s">
        <v>470</v>
      </c>
      <c r="B2086" t="s">
        <v>160</v>
      </c>
      <c r="C2086" t="s">
        <v>247</v>
      </c>
      <c r="D2086" t="s">
        <v>3288</v>
      </c>
      <c r="E2086" s="119">
        <v>1.04E-2</v>
      </c>
      <c r="F2086" s="151" t="s">
        <v>135</v>
      </c>
      <c r="G2086" s="151" t="s">
        <v>135</v>
      </c>
      <c r="H2086" s="68" t="s">
        <v>373</v>
      </c>
      <c r="J2086" s="75" t="s">
        <v>470</v>
      </c>
      <c r="L2086" s="131"/>
      <c r="M2086" s="48"/>
      <c r="N2086" s="123"/>
    </row>
    <row r="2087" spans="1:14" customFormat="1" x14ac:dyDescent="0.55000000000000004">
      <c r="A2087" s="105" t="s">
        <v>468</v>
      </c>
      <c r="B2087" s="68" t="s">
        <v>469</v>
      </c>
      <c r="C2087" s="68" t="s">
        <v>121</v>
      </c>
      <c r="D2087" s="68" t="s">
        <v>2994</v>
      </c>
      <c r="E2087" s="120">
        <v>1</v>
      </c>
      <c r="F2087" s="151" t="s">
        <v>138</v>
      </c>
      <c r="G2087" s="151">
        <v>1</v>
      </c>
      <c r="H2087" s="68" t="s">
        <v>39</v>
      </c>
      <c r="J2087" s="75" t="s">
        <v>468</v>
      </c>
      <c r="L2087" s="163"/>
      <c r="M2087" s="48"/>
      <c r="N2087" s="123"/>
    </row>
    <row r="2088" spans="1:14" customFormat="1" x14ac:dyDescent="0.55000000000000004">
      <c r="A2088" s="105" t="s">
        <v>468</v>
      </c>
      <c r="B2088" s="68" t="s">
        <v>208</v>
      </c>
      <c r="C2088" s="61" t="s">
        <v>156</v>
      </c>
      <c r="D2088" s="68" t="s">
        <v>2994</v>
      </c>
      <c r="E2088" s="120">
        <v>0.2</v>
      </c>
      <c r="F2088" s="151" t="s">
        <v>138</v>
      </c>
      <c r="G2088" s="151" t="s">
        <v>138</v>
      </c>
      <c r="H2088" s="68" t="s">
        <v>39</v>
      </c>
      <c r="J2088" s="75" t="s">
        <v>468</v>
      </c>
      <c r="L2088" s="163"/>
      <c r="M2088" s="48"/>
      <c r="N2088" s="123"/>
    </row>
    <row r="2089" spans="1:14" customFormat="1" x14ac:dyDescent="0.55000000000000004">
      <c r="A2089" s="105" t="s">
        <v>468</v>
      </c>
      <c r="B2089" s="68" t="s">
        <v>233</v>
      </c>
      <c r="C2089" s="68" t="s">
        <v>207</v>
      </c>
      <c r="D2089" s="68" t="s">
        <v>2994</v>
      </c>
      <c r="E2089" s="120">
        <v>1.79</v>
      </c>
      <c r="F2089" s="151" t="s">
        <v>138</v>
      </c>
      <c r="G2089" s="151" t="s">
        <v>138</v>
      </c>
      <c r="H2089" s="68" t="s">
        <v>39</v>
      </c>
      <c r="J2089" s="75" t="s">
        <v>468</v>
      </c>
      <c r="L2089" s="163"/>
      <c r="M2089" s="48"/>
      <c r="N2089" s="123"/>
    </row>
    <row r="2090" spans="1:14" customFormat="1" x14ac:dyDescent="0.55000000000000004">
      <c r="A2090" s="105" t="s">
        <v>468</v>
      </c>
      <c r="B2090" t="s">
        <v>160</v>
      </c>
      <c r="C2090" t="s">
        <v>247</v>
      </c>
      <c r="D2090" t="s">
        <v>3288</v>
      </c>
      <c r="E2090" s="119">
        <v>1.04E-2</v>
      </c>
      <c r="F2090" s="151" t="s">
        <v>135</v>
      </c>
      <c r="G2090" s="151" t="s">
        <v>135</v>
      </c>
      <c r="H2090" s="68" t="s">
        <v>373</v>
      </c>
      <c r="J2090" s="75" t="s">
        <v>468</v>
      </c>
      <c r="L2090" s="131"/>
      <c r="M2090" s="48"/>
      <c r="N2090" s="123"/>
    </row>
    <row r="2091" spans="1:14" customFormat="1" x14ac:dyDescent="0.55000000000000004">
      <c r="A2091" s="92" t="s">
        <v>466</v>
      </c>
      <c r="B2091" t="s">
        <v>287</v>
      </c>
      <c r="C2091" t="s">
        <v>121</v>
      </c>
      <c r="D2091" t="s">
        <v>3288</v>
      </c>
      <c r="E2091" s="116">
        <v>1</v>
      </c>
      <c r="F2091" s="149" t="s">
        <v>135</v>
      </c>
      <c r="G2091" s="149">
        <v>1</v>
      </c>
      <c r="H2091" s="68" t="s">
        <v>39</v>
      </c>
      <c r="J2091" s="77" t="s">
        <v>467</v>
      </c>
      <c r="L2091" s="131"/>
      <c r="M2091" s="48"/>
      <c r="N2091" s="123"/>
    </row>
    <row r="2092" spans="1:14" customFormat="1" x14ac:dyDescent="0.55000000000000004">
      <c r="A2092" s="92" t="s">
        <v>466</v>
      </c>
      <c r="B2092" t="s">
        <v>288</v>
      </c>
      <c r="C2092" t="s">
        <v>156</v>
      </c>
      <c r="D2092" t="s">
        <v>3288</v>
      </c>
      <c r="E2092" s="116">
        <v>0.25</v>
      </c>
      <c r="F2092" s="149" t="s">
        <v>135</v>
      </c>
      <c r="G2092" s="149" t="s">
        <v>135</v>
      </c>
      <c r="H2092" s="68" t="s">
        <v>39</v>
      </c>
      <c r="J2092" s="77" t="s">
        <v>467</v>
      </c>
      <c r="L2092" s="131"/>
      <c r="M2092" s="48"/>
      <c r="N2092" s="123"/>
    </row>
    <row r="2093" spans="1:14" customFormat="1" x14ac:dyDescent="0.55000000000000004">
      <c r="A2093" s="92" t="s">
        <v>466</v>
      </c>
      <c r="B2093" t="s">
        <v>289</v>
      </c>
      <c r="C2093" t="s">
        <v>156</v>
      </c>
      <c r="D2093" t="s">
        <v>2994</v>
      </c>
      <c r="E2093" s="116">
        <v>3.25</v>
      </c>
      <c r="F2093" s="149" t="s">
        <v>138</v>
      </c>
      <c r="G2093" s="149" t="s">
        <v>135</v>
      </c>
      <c r="H2093" s="68" t="s">
        <v>39</v>
      </c>
      <c r="J2093" s="77" t="s">
        <v>467</v>
      </c>
      <c r="L2093" s="131"/>
      <c r="M2093" s="48"/>
      <c r="N2093" s="123"/>
    </row>
    <row r="2094" spans="1:14" customFormat="1" x14ac:dyDescent="0.55000000000000004">
      <c r="A2094" s="92" t="s">
        <v>466</v>
      </c>
      <c r="B2094" t="s">
        <v>323</v>
      </c>
      <c r="C2094" s="21" t="s">
        <v>125</v>
      </c>
      <c r="D2094" t="s">
        <v>3288</v>
      </c>
      <c r="E2094" s="116">
        <v>0.155</v>
      </c>
      <c r="F2094" s="149" t="s">
        <v>135</v>
      </c>
      <c r="G2094" s="149" t="s">
        <v>135</v>
      </c>
      <c r="H2094" s="68" t="s">
        <v>39</v>
      </c>
      <c r="J2094" s="77" t="s">
        <v>467</v>
      </c>
      <c r="L2094" s="131"/>
      <c r="M2094" s="48"/>
      <c r="N2094" s="123"/>
    </row>
    <row r="2095" spans="1:14" customFormat="1" x14ac:dyDescent="0.55000000000000004">
      <c r="A2095" s="92" t="s">
        <v>466</v>
      </c>
      <c r="B2095" t="s">
        <v>290</v>
      </c>
      <c r="C2095" s="21" t="s">
        <v>125</v>
      </c>
      <c r="D2095" t="s">
        <v>3288</v>
      </c>
      <c r="E2095" s="116">
        <v>1.34</v>
      </c>
      <c r="F2095" s="149" t="s">
        <v>135</v>
      </c>
      <c r="G2095" s="149" t="s">
        <v>135</v>
      </c>
      <c r="H2095" s="68" t="s">
        <v>39</v>
      </c>
      <c r="J2095" s="77" t="s">
        <v>467</v>
      </c>
      <c r="L2095" s="131"/>
      <c r="M2095" s="48"/>
      <c r="N2095" s="123"/>
    </row>
    <row r="2096" spans="1:14" customFormat="1" x14ac:dyDescent="0.55000000000000004">
      <c r="A2096" s="92" t="s">
        <v>466</v>
      </c>
      <c r="B2096" t="s">
        <v>213</v>
      </c>
      <c r="C2096" t="s">
        <v>125</v>
      </c>
      <c r="D2096" t="s">
        <v>3288</v>
      </c>
      <c r="E2096" s="116">
        <v>0.05</v>
      </c>
      <c r="F2096" s="149" t="s">
        <v>135</v>
      </c>
      <c r="G2096" s="149" t="s">
        <v>135</v>
      </c>
      <c r="H2096" s="68" t="s">
        <v>39</v>
      </c>
      <c r="J2096" s="77" t="s">
        <v>467</v>
      </c>
      <c r="L2096" s="131"/>
      <c r="M2096" s="48"/>
      <c r="N2096" s="123"/>
    </row>
    <row r="2097" spans="1:14" customFormat="1" x14ac:dyDescent="0.55000000000000004">
      <c r="A2097" s="92" t="s">
        <v>466</v>
      </c>
      <c r="B2097" t="s">
        <v>230</v>
      </c>
      <c r="C2097" t="s">
        <v>127</v>
      </c>
      <c r="D2097" t="s">
        <v>2994</v>
      </c>
      <c r="E2097" s="116">
        <v>18</v>
      </c>
      <c r="F2097" s="149" t="s">
        <v>138</v>
      </c>
      <c r="G2097" s="149" t="s">
        <v>135</v>
      </c>
      <c r="H2097" s="68" t="s">
        <v>39</v>
      </c>
      <c r="J2097" s="77" t="s">
        <v>467</v>
      </c>
      <c r="L2097" s="131"/>
      <c r="M2097" s="48"/>
      <c r="N2097" s="123"/>
    </row>
    <row r="2098" spans="1:14" customFormat="1" x14ac:dyDescent="0.55000000000000004">
      <c r="A2098" s="92" t="s">
        <v>466</v>
      </c>
      <c r="B2098" t="s">
        <v>153</v>
      </c>
      <c r="C2098" t="s">
        <v>127</v>
      </c>
      <c r="D2098" t="s">
        <v>2994</v>
      </c>
      <c r="E2098" s="116">
        <v>0.5</v>
      </c>
      <c r="F2098" s="149" t="s">
        <v>138</v>
      </c>
      <c r="G2098" s="149" t="s">
        <v>135</v>
      </c>
      <c r="H2098" s="68" t="s">
        <v>39</v>
      </c>
      <c r="J2098" s="77" t="s">
        <v>467</v>
      </c>
      <c r="L2098" s="131"/>
      <c r="M2098" s="48"/>
      <c r="N2098" s="123"/>
    </row>
    <row r="2099" spans="1:14" customFormat="1" x14ac:dyDescent="0.55000000000000004">
      <c r="A2099" s="92" t="s">
        <v>464</v>
      </c>
      <c r="B2099" t="s">
        <v>287</v>
      </c>
      <c r="C2099" t="s">
        <v>121</v>
      </c>
      <c r="D2099" t="s">
        <v>3288</v>
      </c>
      <c r="E2099" s="116">
        <v>1</v>
      </c>
      <c r="F2099" s="149" t="s">
        <v>135</v>
      </c>
      <c r="G2099" s="149">
        <v>1</v>
      </c>
      <c r="H2099" s="68" t="s">
        <v>39</v>
      </c>
      <c r="J2099" s="77" t="s">
        <v>465</v>
      </c>
      <c r="L2099" s="131"/>
      <c r="M2099" s="48"/>
      <c r="N2099" s="123"/>
    </row>
    <row r="2100" spans="1:14" customFormat="1" x14ac:dyDescent="0.55000000000000004">
      <c r="A2100" s="92" t="s">
        <v>464</v>
      </c>
      <c r="B2100" t="s">
        <v>288</v>
      </c>
      <c r="C2100" t="s">
        <v>156</v>
      </c>
      <c r="D2100" t="s">
        <v>3288</v>
      </c>
      <c r="E2100" s="116">
        <v>0.25</v>
      </c>
      <c r="F2100" s="149" t="s">
        <v>135</v>
      </c>
      <c r="G2100" s="149" t="s">
        <v>135</v>
      </c>
      <c r="H2100" s="68" t="s">
        <v>39</v>
      </c>
      <c r="J2100" s="77" t="s">
        <v>465</v>
      </c>
      <c r="L2100" s="131"/>
      <c r="M2100" s="48"/>
      <c r="N2100" s="123"/>
    </row>
    <row r="2101" spans="1:14" customFormat="1" x14ac:dyDescent="0.55000000000000004">
      <c r="A2101" s="92" t="s">
        <v>464</v>
      </c>
      <c r="B2101" t="s">
        <v>289</v>
      </c>
      <c r="C2101" t="s">
        <v>156</v>
      </c>
      <c r="D2101" t="s">
        <v>2994</v>
      </c>
      <c r="E2101" s="116">
        <v>3.25</v>
      </c>
      <c r="F2101" s="149" t="s">
        <v>138</v>
      </c>
      <c r="G2101" s="149" t="s">
        <v>135</v>
      </c>
      <c r="H2101" s="68" t="s">
        <v>39</v>
      </c>
      <c r="J2101" s="77" t="s">
        <v>465</v>
      </c>
      <c r="L2101" s="131"/>
      <c r="M2101" s="48"/>
      <c r="N2101" s="123"/>
    </row>
    <row r="2102" spans="1:14" customFormat="1" x14ac:dyDescent="0.55000000000000004">
      <c r="A2102" s="92" t="s">
        <v>464</v>
      </c>
      <c r="B2102" t="s">
        <v>323</v>
      </c>
      <c r="C2102" s="21" t="s">
        <v>125</v>
      </c>
      <c r="D2102" t="s">
        <v>3288</v>
      </c>
      <c r="E2102" s="116">
        <v>0.155</v>
      </c>
      <c r="F2102" s="149" t="s">
        <v>135</v>
      </c>
      <c r="G2102" s="149" t="s">
        <v>135</v>
      </c>
      <c r="H2102" s="68" t="s">
        <v>39</v>
      </c>
      <c r="J2102" s="77" t="s">
        <v>465</v>
      </c>
      <c r="L2102" s="131"/>
      <c r="M2102" s="48"/>
      <c r="N2102" s="123"/>
    </row>
    <row r="2103" spans="1:14" customFormat="1" x14ac:dyDescent="0.55000000000000004">
      <c r="A2103" s="92" t="s">
        <v>464</v>
      </c>
      <c r="B2103" t="s">
        <v>290</v>
      </c>
      <c r="C2103" s="21" t="s">
        <v>125</v>
      </c>
      <c r="D2103" t="s">
        <v>3288</v>
      </c>
      <c r="E2103" s="116">
        <v>1.34</v>
      </c>
      <c r="F2103" s="149" t="s">
        <v>135</v>
      </c>
      <c r="G2103" s="149" t="s">
        <v>135</v>
      </c>
      <c r="H2103" s="68" t="s">
        <v>39</v>
      </c>
      <c r="J2103" s="77" t="s">
        <v>465</v>
      </c>
      <c r="L2103" s="131"/>
      <c r="M2103" s="48"/>
      <c r="N2103" s="123"/>
    </row>
    <row r="2104" spans="1:14" customFormat="1" x14ac:dyDescent="0.55000000000000004">
      <c r="A2104" s="92" t="s">
        <v>464</v>
      </c>
      <c r="B2104" t="s">
        <v>213</v>
      </c>
      <c r="C2104" t="s">
        <v>125</v>
      </c>
      <c r="D2104" t="s">
        <v>3288</v>
      </c>
      <c r="E2104" s="116">
        <v>0.05</v>
      </c>
      <c r="F2104" s="149" t="s">
        <v>135</v>
      </c>
      <c r="G2104" s="149" t="s">
        <v>135</v>
      </c>
      <c r="H2104" s="68" t="s">
        <v>39</v>
      </c>
      <c r="J2104" s="77" t="s">
        <v>465</v>
      </c>
      <c r="L2104" s="131"/>
      <c r="M2104" s="48"/>
      <c r="N2104" s="123"/>
    </row>
    <row r="2105" spans="1:14" customFormat="1" x14ac:dyDescent="0.55000000000000004">
      <c r="A2105" s="92" t="s">
        <v>464</v>
      </c>
      <c r="B2105" t="s">
        <v>293</v>
      </c>
      <c r="C2105" t="s">
        <v>127</v>
      </c>
      <c r="D2105" t="s">
        <v>2994</v>
      </c>
      <c r="E2105" s="116">
        <v>9.3000000000000007</v>
      </c>
      <c r="F2105" s="149" t="s">
        <v>138</v>
      </c>
      <c r="G2105" s="149" t="s">
        <v>135</v>
      </c>
      <c r="H2105" s="68" t="s">
        <v>39</v>
      </c>
      <c r="J2105" s="77" t="s">
        <v>465</v>
      </c>
      <c r="L2105" s="131"/>
      <c r="M2105" s="48"/>
      <c r="N2105" s="123"/>
    </row>
    <row r="2106" spans="1:14" customFormat="1" x14ac:dyDescent="0.55000000000000004">
      <c r="A2106" s="92" t="s">
        <v>464</v>
      </c>
      <c r="B2106" t="s">
        <v>153</v>
      </c>
      <c r="C2106" t="s">
        <v>127</v>
      </c>
      <c r="D2106" t="s">
        <v>2994</v>
      </c>
      <c r="E2106" s="116">
        <v>0.5</v>
      </c>
      <c r="F2106" s="149" t="s">
        <v>138</v>
      </c>
      <c r="G2106" s="149" t="s">
        <v>135</v>
      </c>
      <c r="H2106" s="68" t="s">
        <v>39</v>
      </c>
      <c r="J2106" s="77" t="s">
        <v>465</v>
      </c>
      <c r="L2106" s="131"/>
      <c r="M2106" s="48"/>
      <c r="N2106" s="123"/>
    </row>
    <row r="2107" spans="1:14" customFormat="1" x14ac:dyDescent="0.55000000000000004">
      <c r="A2107" s="92" t="s">
        <v>464</v>
      </c>
      <c r="B2107" t="s">
        <v>244</v>
      </c>
      <c r="C2107" t="s">
        <v>127</v>
      </c>
      <c r="D2107" t="s">
        <v>2994</v>
      </c>
      <c r="E2107" s="116">
        <v>6.2</v>
      </c>
      <c r="F2107" s="149" t="s">
        <v>138</v>
      </c>
      <c r="G2107" s="149" t="s">
        <v>135</v>
      </c>
      <c r="H2107" s="68" t="s">
        <v>39</v>
      </c>
      <c r="J2107" s="77" t="s">
        <v>465</v>
      </c>
      <c r="L2107" s="131"/>
      <c r="M2107" s="48"/>
      <c r="N2107" s="123"/>
    </row>
    <row r="2108" spans="1:14" customFormat="1" x14ac:dyDescent="0.55000000000000004">
      <c r="A2108" s="92" t="s">
        <v>464</v>
      </c>
      <c r="B2108" t="s">
        <v>160</v>
      </c>
      <c r="C2108" t="s">
        <v>247</v>
      </c>
      <c r="D2108" t="s">
        <v>3288</v>
      </c>
      <c r="E2108" s="119">
        <v>1.6073500000000001</v>
      </c>
      <c r="F2108" s="156" t="s">
        <v>135</v>
      </c>
      <c r="G2108" s="149" t="s">
        <v>135</v>
      </c>
      <c r="H2108" s="68" t="s">
        <v>413</v>
      </c>
      <c r="I2108" t="s">
        <v>454</v>
      </c>
      <c r="J2108" s="77" t="s">
        <v>465</v>
      </c>
      <c r="L2108" s="131"/>
      <c r="M2108" s="48"/>
      <c r="N2108" s="123"/>
    </row>
    <row r="2109" spans="1:14" customFormat="1" x14ac:dyDescent="0.55000000000000004">
      <c r="A2109" s="92" t="s">
        <v>461</v>
      </c>
      <c r="B2109" t="s">
        <v>287</v>
      </c>
      <c r="C2109" t="s">
        <v>121</v>
      </c>
      <c r="D2109" t="s">
        <v>3288</v>
      </c>
      <c r="E2109" s="116">
        <v>1</v>
      </c>
      <c r="F2109" s="149" t="s">
        <v>135</v>
      </c>
      <c r="G2109" s="149">
        <v>1</v>
      </c>
      <c r="H2109" s="68" t="s">
        <v>39</v>
      </c>
      <c r="J2109" s="77" t="s">
        <v>462</v>
      </c>
      <c r="L2109" s="131"/>
      <c r="M2109" s="48"/>
      <c r="N2109" s="123"/>
    </row>
    <row r="2110" spans="1:14" customFormat="1" x14ac:dyDescent="0.55000000000000004">
      <c r="A2110" s="92" t="s">
        <v>461</v>
      </c>
      <c r="B2110" t="s">
        <v>288</v>
      </c>
      <c r="C2110" t="s">
        <v>156</v>
      </c>
      <c r="D2110" t="s">
        <v>3288</v>
      </c>
      <c r="E2110" s="116">
        <v>0.25</v>
      </c>
      <c r="F2110" s="149" t="s">
        <v>135</v>
      </c>
      <c r="G2110" s="149" t="s">
        <v>135</v>
      </c>
      <c r="H2110" s="68" t="s">
        <v>39</v>
      </c>
      <c r="J2110" s="77" t="s">
        <v>462</v>
      </c>
      <c r="L2110" s="131"/>
      <c r="M2110" s="48"/>
      <c r="N2110" s="123"/>
    </row>
    <row r="2111" spans="1:14" customFormat="1" x14ac:dyDescent="0.55000000000000004">
      <c r="A2111" s="92" t="s">
        <v>461</v>
      </c>
      <c r="B2111" t="s">
        <v>463</v>
      </c>
      <c r="C2111" t="s">
        <v>156</v>
      </c>
      <c r="D2111" t="s">
        <v>2994</v>
      </c>
      <c r="E2111" s="116">
        <v>0.7</v>
      </c>
      <c r="F2111" s="149" t="s">
        <v>138</v>
      </c>
      <c r="G2111" s="149" t="s">
        <v>135</v>
      </c>
      <c r="H2111" s="68" t="s">
        <v>39</v>
      </c>
      <c r="J2111" s="77" t="s">
        <v>462</v>
      </c>
      <c r="L2111" s="131"/>
      <c r="M2111" s="48"/>
      <c r="N2111" s="123"/>
    </row>
    <row r="2112" spans="1:14" customFormat="1" x14ac:dyDescent="0.55000000000000004">
      <c r="A2112" s="92" t="s">
        <v>461</v>
      </c>
      <c r="B2112" t="s">
        <v>323</v>
      </c>
      <c r="C2112" s="21" t="s">
        <v>125</v>
      </c>
      <c r="D2112" t="s">
        <v>3288</v>
      </c>
      <c r="E2112" s="116">
        <v>0.04</v>
      </c>
      <c r="F2112" s="149" t="s">
        <v>135</v>
      </c>
      <c r="G2112" s="149" t="s">
        <v>135</v>
      </c>
      <c r="H2112" s="68" t="s">
        <v>39</v>
      </c>
      <c r="J2112" s="77" t="s">
        <v>462</v>
      </c>
      <c r="L2112" s="131"/>
      <c r="M2112" s="48"/>
      <c r="N2112" s="123"/>
    </row>
    <row r="2113" spans="1:14" customFormat="1" x14ac:dyDescent="0.55000000000000004">
      <c r="A2113" s="92" t="s">
        <v>461</v>
      </c>
      <c r="B2113" t="s">
        <v>290</v>
      </c>
      <c r="C2113" s="21" t="s">
        <v>125</v>
      </c>
      <c r="D2113" t="s">
        <v>3288</v>
      </c>
      <c r="E2113" s="116">
        <v>1.54</v>
      </c>
      <c r="F2113" s="149" t="s">
        <v>135</v>
      </c>
      <c r="G2113" s="149" t="s">
        <v>135</v>
      </c>
      <c r="H2113" s="68" t="s">
        <v>39</v>
      </c>
      <c r="J2113" s="77" t="s">
        <v>462</v>
      </c>
      <c r="L2113" s="131"/>
      <c r="M2113" s="48"/>
      <c r="N2113" s="123"/>
    </row>
    <row r="2114" spans="1:14" customFormat="1" x14ac:dyDescent="0.55000000000000004">
      <c r="A2114" s="92" t="s">
        <v>461</v>
      </c>
      <c r="B2114" t="s">
        <v>213</v>
      </c>
      <c r="C2114" t="s">
        <v>125</v>
      </c>
      <c r="D2114" t="s">
        <v>3288</v>
      </c>
      <c r="E2114" s="116">
        <v>0.45</v>
      </c>
      <c r="F2114" s="149" t="s">
        <v>135</v>
      </c>
      <c r="G2114" s="149" t="s">
        <v>135</v>
      </c>
      <c r="H2114" s="68" t="s">
        <v>39</v>
      </c>
      <c r="J2114" s="77" t="s">
        <v>462</v>
      </c>
      <c r="L2114" s="131"/>
      <c r="M2114" s="48"/>
      <c r="N2114" s="123"/>
    </row>
    <row r="2115" spans="1:14" customFormat="1" x14ac:dyDescent="0.55000000000000004">
      <c r="A2115" s="92" t="s">
        <v>461</v>
      </c>
      <c r="B2115" t="s">
        <v>293</v>
      </c>
      <c r="C2115" t="s">
        <v>127</v>
      </c>
      <c r="D2115" t="s">
        <v>2994</v>
      </c>
      <c r="E2115" s="116">
        <v>5.9160000000000004</v>
      </c>
      <c r="F2115" s="149" t="s">
        <v>138</v>
      </c>
      <c r="G2115" s="149" t="s">
        <v>135</v>
      </c>
      <c r="H2115" s="68" t="s">
        <v>39</v>
      </c>
      <c r="J2115" s="77" t="s">
        <v>462</v>
      </c>
      <c r="L2115" s="131"/>
      <c r="M2115" s="48"/>
      <c r="N2115" s="123"/>
    </row>
    <row r="2116" spans="1:14" customFormat="1" x14ac:dyDescent="0.55000000000000004">
      <c r="A2116" s="92" t="s">
        <v>461</v>
      </c>
      <c r="B2116" t="s">
        <v>153</v>
      </c>
      <c r="C2116" t="s">
        <v>127</v>
      </c>
      <c r="D2116" t="s">
        <v>2994</v>
      </c>
      <c r="E2116" s="116">
        <v>0.17</v>
      </c>
      <c r="F2116" s="149" t="s">
        <v>138</v>
      </c>
      <c r="G2116" s="149" t="s">
        <v>135</v>
      </c>
      <c r="H2116" s="68" t="s">
        <v>39</v>
      </c>
      <c r="J2116" s="77" t="s">
        <v>462</v>
      </c>
      <c r="L2116" s="131"/>
      <c r="M2116" s="48"/>
      <c r="N2116" s="123"/>
    </row>
    <row r="2117" spans="1:14" customFormat="1" x14ac:dyDescent="0.55000000000000004">
      <c r="A2117" s="92" t="s">
        <v>461</v>
      </c>
      <c r="B2117" t="s">
        <v>244</v>
      </c>
      <c r="C2117" t="s">
        <v>127</v>
      </c>
      <c r="D2117" t="s">
        <v>2994</v>
      </c>
      <c r="E2117" s="116">
        <v>5.22</v>
      </c>
      <c r="F2117" s="149" t="s">
        <v>138</v>
      </c>
      <c r="G2117" s="149" t="s">
        <v>135</v>
      </c>
      <c r="H2117" s="68" t="s">
        <v>39</v>
      </c>
      <c r="J2117" s="77" t="s">
        <v>462</v>
      </c>
      <c r="L2117" s="131"/>
      <c r="M2117" s="48"/>
      <c r="N2117" s="123"/>
    </row>
    <row r="2118" spans="1:14" customFormat="1" x14ac:dyDescent="0.55000000000000004">
      <c r="A2118" s="92" t="s">
        <v>461</v>
      </c>
      <c r="B2118" t="s">
        <v>160</v>
      </c>
      <c r="C2118" t="s">
        <v>247</v>
      </c>
      <c r="D2118" t="s">
        <v>3288</v>
      </c>
      <c r="E2118" s="119">
        <v>1.1479600000000001</v>
      </c>
      <c r="F2118" s="149" t="s">
        <v>135</v>
      </c>
      <c r="G2118" s="149" t="s">
        <v>135</v>
      </c>
      <c r="H2118" s="68" t="s">
        <v>413</v>
      </c>
      <c r="I2118" t="s">
        <v>454</v>
      </c>
      <c r="J2118" s="77" t="s">
        <v>462</v>
      </c>
      <c r="L2118" s="131"/>
      <c r="M2118" s="48"/>
      <c r="N2118" s="123"/>
    </row>
    <row r="2119" spans="1:14" customFormat="1" x14ac:dyDescent="0.55000000000000004">
      <c r="A2119" s="92" t="s">
        <v>459</v>
      </c>
      <c r="B2119" t="s">
        <v>287</v>
      </c>
      <c r="C2119" t="s">
        <v>121</v>
      </c>
      <c r="D2119" t="s">
        <v>3288</v>
      </c>
      <c r="E2119" s="116">
        <v>1</v>
      </c>
      <c r="F2119" s="149" t="s">
        <v>135</v>
      </c>
      <c r="G2119" s="149">
        <v>1</v>
      </c>
      <c r="H2119" s="68" t="s">
        <v>39</v>
      </c>
      <c r="J2119" s="77" t="s">
        <v>460</v>
      </c>
      <c r="L2119" s="131"/>
      <c r="M2119" s="48"/>
      <c r="N2119" s="123"/>
    </row>
    <row r="2120" spans="1:14" customFormat="1" x14ac:dyDescent="0.55000000000000004">
      <c r="A2120" s="92" t="s">
        <v>459</v>
      </c>
      <c r="B2120" t="s">
        <v>288</v>
      </c>
      <c r="C2120" t="s">
        <v>156</v>
      </c>
      <c r="D2120" t="s">
        <v>3288</v>
      </c>
      <c r="E2120" s="116">
        <v>0.25</v>
      </c>
      <c r="F2120" s="149" t="s">
        <v>135</v>
      </c>
      <c r="G2120" s="149" t="s">
        <v>135</v>
      </c>
      <c r="H2120" s="68" t="s">
        <v>39</v>
      </c>
      <c r="J2120" s="77" t="s">
        <v>460</v>
      </c>
      <c r="L2120" s="131"/>
      <c r="M2120" s="48"/>
      <c r="N2120" s="123"/>
    </row>
    <row r="2121" spans="1:14" customFormat="1" x14ac:dyDescent="0.55000000000000004">
      <c r="A2121" s="92" t="s">
        <v>459</v>
      </c>
      <c r="B2121" t="s">
        <v>289</v>
      </c>
      <c r="C2121" t="s">
        <v>156</v>
      </c>
      <c r="D2121" t="s">
        <v>2994</v>
      </c>
      <c r="E2121" s="116">
        <v>0.7</v>
      </c>
      <c r="F2121" s="149" t="s">
        <v>138</v>
      </c>
      <c r="G2121" s="149" t="s">
        <v>135</v>
      </c>
      <c r="H2121" s="68" t="s">
        <v>39</v>
      </c>
      <c r="J2121" s="77" t="s">
        <v>460</v>
      </c>
      <c r="L2121" s="131"/>
      <c r="M2121" s="48"/>
      <c r="N2121" s="123"/>
    </row>
    <row r="2122" spans="1:14" customFormat="1" x14ac:dyDescent="0.55000000000000004">
      <c r="A2122" s="92" t="s">
        <v>459</v>
      </c>
      <c r="B2122" t="s">
        <v>323</v>
      </c>
      <c r="C2122" s="21" t="s">
        <v>125</v>
      </c>
      <c r="D2122" t="s">
        <v>3288</v>
      </c>
      <c r="E2122" s="116">
        <v>0.04</v>
      </c>
      <c r="F2122" s="149" t="s">
        <v>135</v>
      </c>
      <c r="G2122" s="149" t="s">
        <v>135</v>
      </c>
      <c r="H2122" s="68" t="s">
        <v>39</v>
      </c>
      <c r="J2122" s="77" t="s">
        <v>460</v>
      </c>
      <c r="L2122" s="131"/>
      <c r="M2122" s="48"/>
      <c r="N2122" s="123"/>
    </row>
    <row r="2123" spans="1:14" customFormat="1" x14ac:dyDescent="0.55000000000000004">
      <c r="A2123" s="92" t="s">
        <v>459</v>
      </c>
      <c r="B2123" t="s">
        <v>290</v>
      </c>
      <c r="C2123" s="21" t="s">
        <v>125</v>
      </c>
      <c r="D2123" t="s">
        <v>3288</v>
      </c>
      <c r="E2123" s="116">
        <v>1.54</v>
      </c>
      <c r="F2123" s="149" t="s">
        <v>135</v>
      </c>
      <c r="G2123" s="149" t="s">
        <v>135</v>
      </c>
      <c r="H2123" s="68" t="s">
        <v>39</v>
      </c>
      <c r="J2123" s="77" t="s">
        <v>460</v>
      </c>
      <c r="L2123" s="131"/>
      <c r="M2123" s="48"/>
      <c r="N2123" s="123"/>
    </row>
    <row r="2124" spans="1:14" customFormat="1" x14ac:dyDescent="0.55000000000000004">
      <c r="A2124" s="92" t="s">
        <v>459</v>
      </c>
      <c r="B2124" t="s">
        <v>213</v>
      </c>
      <c r="C2124" t="s">
        <v>125</v>
      </c>
      <c r="D2124" t="s">
        <v>3288</v>
      </c>
      <c r="E2124" s="116">
        <v>0.45</v>
      </c>
      <c r="F2124" s="149" t="s">
        <v>135</v>
      </c>
      <c r="G2124" s="149" t="s">
        <v>135</v>
      </c>
      <c r="H2124" s="68" t="s">
        <v>39</v>
      </c>
      <c r="J2124" s="77" t="s">
        <v>460</v>
      </c>
      <c r="L2124" s="131"/>
      <c r="M2124" s="48"/>
      <c r="N2124" s="123"/>
    </row>
    <row r="2125" spans="1:14" customFormat="1" x14ac:dyDescent="0.55000000000000004">
      <c r="A2125" s="92" t="s">
        <v>459</v>
      </c>
      <c r="B2125" t="s">
        <v>293</v>
      </c>
      <c r="C2125" t="s">
        <v>127</v>
      </c>
      <c r="D2125" t="s">
        <v>2994</v>
      </c>
      <c r="E2125" s="116">
        <v>5.9160000000000004</v>
      </c>
      <c r="F2125" s="149" t="s">
        <v>138</v>
      </c>
      <c r="G2125" s="149" t="s">
        <v>135</v>
      </c>
      <c r="H2125" s="68" t="s">
        <v>39</v>
      </c>
      <c r="J2125" s="77" t="s">
        <v>460</v>
      </c>
      <c r="L2125" s="131"/>
      <c r="M2125" s="48"/>
      <c r="N2125" s="123"/>
    </row>
    <row r="2126" spans="1:14" customFormat="1" x14ac:dyDescent="0.55000000000000004">
      <c r="A2126" s="92" t="s">
        <v>459</v>
      </c>
      <c r="B2126" t="s">
        <v>153</v>
      </c>
      <c r="C2126" t="s">
        <v>127</v>
      </c>
      <c r="D2126" t="s">
        <v>2994</v>
      </c>
      <c r="E2126" s="116">
        <v>0.27</v>
      </c>
      <c r="F2126" s="149" t="s">
        <v>138</v>
      </c>
      <c r="G2126" s="149" t="s">
        <v>135</v>
      </c>
      <c r="H2126" s="68" t="s">
        <v>39</v>
      </c>
      <c r="J2126" s="77" t="s">
        <v>460</v>
      </c>
      <c r="L2126" s="131"/>
      <c r="M2126" s="48"/>
      <c r="N2126" s="123"/>
    </row>
    <row r="2127" spans="1:14" customFormat="1" x14ac:dyDescent="0.55000000000000004">
      <c r="A2127" s="92" t="s">
        <v>459</v>
      </c>
      <c r="B2127" t="s">
        <v>244</v>
      </c>
      <c r="C2127" t="s">
        <v>127</v>
      </c>
      <c r="D2127" t="s">
        <v>2994</v>
      </c>
      <c r="E2127" s="116">
        <v>5.22</v>
      </c>
      <c r="F2127" s="149" t="s">
        <v>138</v>
      </c>
      <c r="G2127" s="149" t="s">
        <v>135</v>
      </c>
      <c r="H2127" s="68" t="s">
        <v>39</v>
      </c>
      <c r="J2127" s="77" t="s">
        <v>460</v>
      </c>
      <c r="L2127" s="131"/>
      <c r="M2127" s="48"/>
      <c r="N2127" s="123"/>
    </row>
    <row r="2128" spans="1:14" customFormat="1" x14ac:dyDescent="0.55000000000000004">
      <c r="A2128" s="92" t="s">
        <v>459</v>
      </c>
      <c r="B2128" t="s">
        <v>160</v>
      </c>
      <c r="C2128" t="s">
        <v>247</v>
      </c>
      <c r="D2128" t="s">
        <v>3288</v>
      </c>
      <c r="E2128" s="119">
        <f>1.14796-E2129</f>
        <v>0.1147959999999999</v>
      </c>
      <c r="F2128" s="149" t="s">
        <v>135</v>
      </c>
      <c r="G2128" s="149" t="s">
        <v>135</v>
      </c>
      <c r="H2128" s="68" t="s">
        <v>413</v>
      </c>
      <c r="I2128" t="s">
        <v>454</v>
      </c>
      <c r="J2128" s="77" t="s">
        <v>460</v>
      </c>
      <c r="L2128" s="131"/>
      <c r="M2128" s="48"/>
      <c r="N2128" s="123"/>
    </row>
    <row r="2129" spans="1:14" customFormat="1" x14ac:dyDescent="0.55000000000000004">
      <c r="A2129" s="92" t="s">
        <v>459</v>
      </c>
      <c r="B2129" t="s">
        <v>160</v>
      </c>
      <c r="C2129" t="s">
        <v>156</v>
      </c>
      <c r="D2129" t="s">
        <v>3288</v>
      </c>
      <c r="E2129" s="119">
        <f>1.14796*0.9</f>
        <v>1.0331640000000002</v>
      </c>
      <c r="F2129" s="149" t="s">
        <v>135</v>
      </c>
      <c r="G2129" s="149" t="s">
        <v>135</v>
      </c>
      <c r="H2129" s="68" t="s">
        <v>413</v>
      </c>
      <c r="I2129" t="s">
        <v>454</v>
      </c>
      <c r="J2129" s="77" t="s">
        <v>460</v>
      </c>
      <c r="L2129" s="131"/>
      <c r="M2129" s="48"/>
      <c r="N2129" s="123"/>
    </row>
    <row r="2130" spans="1:14" customFormat="1" x14ac:dyDescent="0.55000000000000004">
      <c r="A2130" s="92" t="s">
        <v>457</v>
      </c>
      <c r="B2130" t="s">
        <v>287</v>
      </c>
      <c r="C2130" t="s">
        <v>121</v>
      </c>
      <c r="D2130" t="s">
        <v>3288</v>
      </c>
      <c r="E2130" s="116">
        <v>1</v>
      </c>
      <c r="F2130" s="149" t="s">
        <v>135</v>
      </c>
      <c r="G2130" s="149">
        <v>1</v>
      </c>
      <c r="H2130" s="68" t="s">
        <v>39</v>
      </c>
      <c r="J2130" s="77" t="s">
        <v>458</v>
      </c>
      <c r="L2130" s="131"/>
      <c r="M2130" s="48"/>
      <c r="N2130" s="123"/>
    </row>
    <row r="2131" spans="1:14" customFormat="1" x14ac:dyDescent="0.55000000000000004">
      <c r="A2131" s="92" t="s">
        <v>457</v>
      </c>
      <c r="B2131" t="s">
        <v>288</v>
      </c>
      <c r="C2131" t="s">
        <v>156</v>
      </c>
      <c r="D2131" t="s">
        <v>3288</v>
      </c>
      <c r="E2131" s="116">
        <v>0.25</v>
      </c>
      <c r="F2131" s="149" t="s">
        <v>135</v>
      </c>
      <c r="G2131" s="149" t="s">
        <v>135</v>
      </c>
      <c r="H2131" s="68" t="s">
        <v>39</v>
      </c>
      <c r="J2131" s="77" t="s">
        <v>458</v>
      </c>
      <c r="L2131" s="131"/>
      <c r="M2131" s="48"/>
      <c r="N2131" s="123"/>
    </row>
    <row r="2132" spans="1:14" customFormat="1" x14ac:dyDescent="0.55000000000000004">
      <c r="A2132" s="92" t="s">
        <v>457</v>
      </c>
      <c r="B2132" t="s">
        <v>334</v>
      </c>
      <c r="C2132" t="s">
        <v>156</v>
      </c>
      <c r="D2132" t="s">
        <v>2994</v>
      </c>
      <c r="E2132" s="116">
        <v>3.0139999999999998</v>
      </c>
      <c r="F2132" s="149" t="s">
        <v>138</v>
      </c>
      <c r="G2132" s="149" t="s">
        <v>135</v>
      </c>
      <c r="H2132" s="68" t="s">
        <v>39</v>
      </c>
      <c r="J2132" s="77" t="s">
        <v>458</v>
      </c>
      <c r="L2132" s="131"/>
      <c r="M2132" s="48"/>
      <c r="N2132" s="123"/>
    </row>
    <row r="2133" spans="1:14" customFormat="1" x14ac:dyDescent="0.55000000000000004">
      <c r="A2133" s="92" t="s">
        <v>457</v>
      </c>
      <c r="B2133" t="s">
        <v>323</v>
      </c>
      <c r="C2133" s="21" t="s">
        <v>125</v>
      </c>
      <c r="D2133" t="s">
        <v>3288</v>
      </c>
      <c r="E2133" s="116">
        <v>0.155</v>
      </c>
      <c r="F2133" s="149" t="s">
        <v>135</v>
      </c>
      <c r="G2133" s="149" t="s">
        <v>135</v>
      </c>
      <c r="H2133" s="68" t="s">
        <v>39</v>
      </c>
      <c r="J2133" s="77" t="s">
        <v>458</v>
      </c>
      <c r="L2133" s="131"/>
      <c r="M2133" s="48"/>
      <c r="N2133" s="123"/>
    </row>
    <row r="2134" spans="1:14" customFormat="1" x14ac:dyDescent="0.55000000000000004">
      <c r="A2134" s="92" t="s">
        <v>457</v>
      </c>
      <c r="B2134" t="s">
        <v>290</v>
      </c>
      <c r="C2134" s="21" t="s">
        <v>125</v>
      </c>
      <c r="D2134" t="s">
        <v>3288</v>
      </c>
      <c r="E2134" s="116">
        <v>1.34</v>
      </c>
      <c r="F2134" s="149" t="s">
        <v>135</v>
      </c>
      <c r="G2134" s="149" t="s">
        <v>135</v>
      </c>
      <c r="H2134" s="68" t="s">
        <v>39</v>
      </c>
      <c r="J2134" s="77" t="s">
        <v>458</v>
      </c>
      <c r="L2134" s="131"/>
      <c r="M2134" s="48"/>
      <c r="N2134" s="123"/>
    </row>
    <row r="2135" spans="1:14" customFormat="1" x14ac:dyDescent="0.55000000000000004">
      <c r="A2135" s="92" t="s">
        <v>457</v>
      </c>
      <c r="B2135" t="s">
        <v>213</v>
      </c>
      <c r="C2135" t="s">
        <v>125</v>
      </c>
      <c r="D2135" t="s">
        <v>3288</v>
      </c>
      <c r="E2135" s="116">
        <v>0.05</v>
      </c>
      <c r="F2135" s="149" t="s">
        <v>135</v>
      </c>
      <c r="G2135" s="149" t="s">
        <v>135</v>
      </c>
      <c r="H2135" s="68" t="s">
        <v>39</v>
      </c>
      <c r="J2135" s="77" t="s">
        <v>458</v>
      </c>
      <c r="L2135" s="131"/>
      <c r="M2135" s="48"/>
      <c r="N2135" s="123"/>
    </row>
    <row r="2136" spans="1:14" customFormat="1" x14ac:dyDescent="0.55000000000000004">
      <c r="A2136" s="92" t="s">
        <v>457</v>
      </c>
      <c r="B2136" t="s">
        <v>293</v>
      </c>
      <c r="C2136" t="s">
        <v>127</v>
      </c>
      <c r="D2136" t="s">
        <v>2994</v>
      </c>
      <c r="E2136" s="116">
        <v>9.3000000000000007</v>
      </c>
      <c r="F2136" s="149" t="s">
        <v>138</v>
      </c>
      <c r="G2136" s="149" t="s">
        <v>135</v>
      </c>
      <c r="H2136" s="68" t="s">
        <v>39</v>
      </c>
      <c r="J2136" s="77" t="s">
        <v>458</v>
      </c>
      <c r="L2136" s="131"/>
      <c r="M2136" s="48"/>
      <c r="N2136" s="123"/>
    </row>
    <row r="2137" spans="1:14" customFormat="1" x14ac:dyDescent="0.55000000000000004">
      <c r="A2137" s="92" t="s">
        <v>457</v>
      </c>
      <c r="B2137" t="s">
        <v>153</v>
      </c>
      <c r="C2137" t="s">
        <v>127</v>
      </c>
      <c r="D2137" t="s">
        <v>2994</v>
      </c>
      <c r="E2137" s="116">
        <v>1.1120000000000001</v>
      </c>
      <c r="F2137" s="149" t="s">
        <v>138</v>
      </c>
      <c r="G2137" s="149" t="s">
        <v>135</v>
      </c>
      <c r="H2137" s="68" t="s">
        <v>39</v>
      </c>
      <c r="J2137" s="77" t="s">
        <v>458</v>
      </c>
      <c r="L2137" s="131"/>
      <c r="M2137" s="48"/>
      <c r="N2137" s="123"/>
    </row>
    <row r="2138" spans="1:14" customFormat="1" x14ac:dyDescent="0.55000000000000004">
      <c r="A2138" s="92" t="s">
        <v>457</v>
      </c>
      <c r="B2138" t="s">
        <v>244</v>
      </c>
      <c r="C2138" t="s">
        <v>127</v>
      </c>
      <c r="D2138" t="s">
        <v>2994</v>
      </c>
      <c r="E2138" s="116">
        <v>6.2</v>
      </c>
      <c r="F2138" s="149" t="s">
        <v>138</v>
      </c>
      <c r="G2138" s="149" t="s">
        <v>135</v>
      </c>
      <c r="H2138" s="68" t="s">
        <v>39</v>
      </c>
      <c r="J2138" s="77" t="s">
        <v>458</v>
      </c>
      <c r="L2138" s="131"/>
      <c r="M2138" s="48"/>
      <c r="N2138" s="123"/>
    </row>
    <row r="2139" spans="1:14" customFormat="1" x14ac:dyDescent="0.55000000000000004">
      <c r="A2139" s="92" t="s">
        <v>457</v>
      </c>
      <c r="B2139" t="s">
        <v>160</v>
      </c>
      <c r="C2139" t="s">
        <v>247</v>
      </c>
      <c r="D2139" t="s">
        <v>3288</v>
      </c>
      <c r="E2139" s="119">
        <f>1.60735-E2140</f>
        <v>0.16073500000000007</v>
      </c>
      <c r="F2139" s="45" t="s">
        <v>135</v>
      </c>
      <c r="G2139" s="149" t="s">
        <v>135</v>
      </c>
      <c r="H2139" s="68" t="s">
        <v>39</v>
      </c>
      <c r="J2139" s="77" t="s">
        <v>458</v>
      </c>
      <c r="L2139" s="131"/>
      <c r="M2139" s="48"/>
      <c r="N2139" s="123"/>
    </row>
    <row r="2140" spans="1:14" customFormat="1" x14ac:dyDescent="0.55000000000000004">
      <c r="A2140" s="92" t="s">
        <v>457</v>
      </c>
      <c r="B2140" t="s">
        <v>160</v>
      </c>
      <c r="C2140" t="s">
        <v>156</v>
      </c>
      <c r="D2140" t="s">
        <v>3288</v>
      </c>
      <c r="E2140" s="119">
        <f>1.60735*0.9</f>
        <v>1.446615</v>
      </c>
      <c r="F2140" s="45" t="s">
        <v>135</v>
      </c>
      <c r="G2140" s="149" t="s">
        <v>135</v>
      </c>
      <c r="H2140" s="68" t="s">
        <v>413</v>
      </c>
      <c r="I2140" t="s">
        <v>454</v>
      </c>
      <c r="J2140" s="77" t="s">
        <v>458</v>
      </c>
      <c r="L2140" s="131"/>
      <c r="M2140" s="48"/>
      <c r="N2140" s="123"/>
    </row>
    <row r="2141" spans="1:14" customFormat="1" x14ac:dyDescent="0.55000000000000004">
      <c r="A2141" s="92" t="s">
        <v>455</v>
      </c>
      <c r="B2141" t="s">
        <v>339</v>
      </c>
      <c r="C2141" t="s">
        <v>121</v>
      </c>
      <c r="D2141" t="s">
        <v>3288</v>
      </c>
      <c r="E2141" s="116">
        <v>1</v>
      </c>
      <c r="F2141" s="149" t="s">
        <v>135</v>
      </c>
      <c r="G2141" s="149">
        <v>1</v>
      </c>
      <c r="H2141" s="68" t="s">
        <v>39</v>
      </c>
      <c r="J2141" s="77" t="s">
        <v>456</v>
      </c>
      <c r="L2141" s="131"/>
      <c r="M2141" s="48"/>
      <c r="N2141" s="123"/>
    </row>
    <row r="2142" spans="1:14" customFormat="1" x14ac:dyDescent="0.55000000000000004">
      <c r="A2142" s="92" t="s">
        <v>455</v>
      </c>
      <c r="B2142" t="s">
        <v>341</v>
      </c>
      <c r="C2142" t="s">
        <v>125</v>
      </c>
      <c r="D2142" t="s">
        <v>3288</v>
      </c>
      <c r="E2142" s="116">
        <v>1.3</v>
      </c>
      <c r="F2142" s="149" t="s">
        <v>135</v>
      </c>
      <c r="G2142" s="149" t="s">
        <v>135</v>
      </c>
      <c r="H2142" s="68" t="s">
        <v>39</v>
      </c>
      <c r="J2142" s="77" t="s">
        <v>456</v>
      </c>
      <c r="L2142" s="131"/>
      <c r="M2142" s="48"/>
      <c r="N2142" s="123"/>
    </row>
    <row r="2143" spans="1:14" customFormat="1" x14ac:dyDescent="0.55000000000000004">
      <c r="A2143" s="92" t="s">
        <v>455</v>
      </c>
      <c r="B2143" t="s">
        <v>153</v>
      </c>
      <c r="C2143" t="s">
        <v>127</v>
      </c>
      <c r="D2143" t="s">
        <v>2994</v>
      </c>
      <c r="E2143" s="116">
        <v>4.5999999999999996</v>
      </c>
      <c r="F2143" s="149" t="s">
        <v>138</v>
      </c>
      <c r="G2143" s="149" t="s">
        <v>135</v>
      </c>
      <c r="H2143" s="68" t="s">
        <v>39</v>
      </c>
      <c r="J2143" s="77" t="s">
        <v>456</v>
      </c>
      <c r="L2143" s="131"/>
      <c r="M2143" s="48"/>
      <c r="N2143" s="123"/>
    </row>
    <row r="2144" spans="1:14" customFormat="1" x14ac:dyDescent="0.55000000000000004">
      <c r="A2144" s="92" t="s">
        <v>455</v>
      </c>
      <c r="B2144" s="68" t="s">
        <v>171</v>
      </c>
      <c r="C2144" t="s">
        <v>127</v>
      </c>
      <c r="D2144" t="s">
        <v>2994</v>
      </c>
      <c r="E2144" s="116">
        <v>11.4</v>
      </c>
      <c r="F2144" s="149" t="s">
        <v>138</v>
      </c>
      <c r="G2144" s="149" t="s">
        <v>135</v>
      </c>
      <c r="H2144" s="68" t="s">
        <v>39</v>
      </c>
      <c r="J2144" s="77" t="s">
        <v>456</v>
      </c>
      <c r="L2144" s="131"/>
      <c r="M2144" s="48"/>
      <c r="N2144" s="123"/>
    </row>
    <row r="2145" spans="1:14" customFormat="1" x14ac:dyDescent="0.55000000000000004">
      <c r="A2145" s="92" t="s">
        <v>455</v>
      </c>
      <c r="B2145" t="s">
        <v>160</v>
      </c>
      <c r="C2145" t="s">
        <v>247</v>
      </c>
      <c r="D2145" t="s">
        <v>3288</v>
      </c>
      <c r="E2145" s="119">
        <v>0.63954</v>
      </c>
      <c r="F2145" s="149" t="s">
        <v>135</v>
      </c>
      <c r="G2145" s="149" t="s">
        <v>135</v>
      </c>
      <c r="H2145" s="68" t="s">
        <v>376</v>
      </c>
      <c r="J2145" s="77" t="s">
        <v>456</v>
      </c>
      <c r="L2145" s="131"/>
      <c r="M2145" s="48"/>
      <c r="N2145" s="123"/>
    </row>
    <row r="2146" spans="1:14" customFormat="1" x14ac:dyDescent="0.55000000000000004">
      <c r="A2146" s="96" t="s">
        <v>1074</v>
      </c>
      <c r="B2146" t="s">
        <v>236</v>
      </c>
      <c r="C2146" t="s">
        <v>121</v>
      </c>
      <c r="D2146" t="s">
        <v>3288</v>
      </c>
      <c r="E2146" s="116">
        <v>1</v>
      </c>
      <c r="F2146" s="149" t="s">
        <v>135</v>
      </c>
      <c r="G2146" s="149">
        <v>1</v>
      </c>
      <c r="H2146" t="s">
        <v>39</v>
      </c>
      <c r="I2146" s="61"/>
      <c r="J2146" s="91" t="s">
        <v>1075</v>
      </c>
      <c r="K2146" s="61"/>
      <c r="L2146" s="160"/>
      <c r="M2146" s="48"/>
      <c r="N2146" s="123"/>
    </row>
    <row r="2147" spans="1:14" customFormat="1" x14ac:dyDescent="0.55000000000000004">
      <c r="A2147" s="96" t="s">
        <v>1074</v>
      </c>
      <c r="B2147" t="s">
        <v>134</v>
      </c>
      <c r="C2147" t="s">
        <v>125</v>
      </c>
      <c r="D2147" t="s">
        <v>3288</v>
      </c>
      <c r="E2147" s="116">
        <v>0.74</v>
      </c>
      <c r="F2147" s="149" t="s">
        <v>135</v>
      </c>
      <c r="G2147" s="149" t="s">
        <v>135</v>
      </c>
      <c r="H2147" t="s">
        <v>1076</v>
      </c>
      <c r="I2147" s="61"/>
      <c r="J2147" s="91" t="s">
        <v>1075</v>
      </c>
      <c r="K2147" s="61"/>
      <c r="L2147" s="160"/>
      <c r="M2147" s="48"/>
      <c r="N2147" s="123"/>
    </row>
    <row r="2148" spans="1:14" customFormat="1" x14ac:dyDescent="0.55000000000000004">
      <c r="A2148" s="96" t="s">
        <v>1074</v>
      </c>
      <c r="B2148" t="s">
        <v>1077</v>
      </c>
      <c r="C2148" s="68" t="s">
        <v>156</v>
      </c>
      <c r="D2148" t="s">
        <v>3288</v>
      </c>
      <c r="E2148" s="116">
        <f>1-E2147</f>
        <v>0.26</v>
      </c>
      <c r="F2148" s="149" t="s">
        <v>135</v>
      </c>
      <c r="G2148" s="149" t="s">
        <v>135</v>
      </c>
      <c r="I2148" s="61"/>
      <c r="J2148" s="91" t="s">
        <v>1075</v>
      </c>
      <c r="K2148" s="61"/>
      <c r="L2148" s="160"/>
      <c r="M2148" s="48"/>
      <c r="N2148" s="123"/>
    </row>
    <row r="2149" spans="1:14" customFormat="1" x14ac:dyDescent="0.55000000000000004">
      <c r="A2149" s="96" t="s">
        <v>1074</v>
      </c>
      <c r="B2149" s="124" t="s">
        <v>153</v>
      </c>
      <c r="C2149" t="s">
        <v>127</v>
      </c>
      <c r="D2149" t="s">
        <v>2994</v>
      </c>
      <c r="E2149" s="116">
        <v>0.61</v>
      </c>
      <c r="F2149" s="148" t="s">
        <v>138</v>
      </c>
      <c r="G2149" s="148" t="s">
        <v>135</v>
      </c>
      <c r="H2149" t="s">
        <v>1078</v>
      </c>
      <c r="I2149" s="61"/>
      <c r="J2149" s="91" t="s">
        <v>1075</v>
      </c>
      <c r="K2149" s="61"/>
      <c r="L2149" s="160"/>
      <c r="M2149" s="48"/>
      <c r="N2149" s="123"/>
    </row>
    <row r="2150" spans="1:14" customFormat="1" x14ac:dyDescent="0.55000000000000004">
      <c r="A2150" s="96" t="s">
        <v>1074</v>
      </c>
      <c r="B2150" s="124" t="s">
        <v>422</v>
      </c>
      <c r="C2150" t="s">
        <v>127</v>
      </c>
      <c r="D2150" t="s">
        <v>2994</v>
      </c>
      <c r="E2150" s="116">
        <v>0.05</v>
      </c>
      <c r="F2150" s="148" t="s">
        <v>138</v>
      </c>
      <c r="G2150" s="148" t="s">
        <v>135</v>
      </c>
      <c r="H2150" t="s">
        <v>1078</v>
      </c>
      <c r="I2150" s="61"/>
      <c r="J2150" s="91" t="s">
        <v>1075</v>
      </c>
      <c r="K2150" s="61"/>
      <c r="L2150" s="160"/>
      <c r="M2150" s="48"/>
      <c r="N2150" s="123"/>
    </row>
    <row r="2151" spans="1:14" customFormat="1" x14ac:dyDescent="0.55000000000000004">
      <c r="A2151" s="96" t="str">
        <f>A2150</f>
        <v>[TIMES] Cement Production</v>
      </c>
      <c r="B2151" t="s">
        <v>160</v>
      </c>
      <c r="C2151" t="s">
        <v>560</v>
      </c>
      <c r="D2151" t="s">
        <v>3288</v>
      </c>
      <c r="E2151" s="116"/>
      <c r="F2151" s="149" t="s">
        <v>122</v>
      </c>
      <c r="G2151" s="149" t="s">
        <v>135</v>
      </c>
      <c r="H2151" t="s">
        <v>39</v>
      </c>
      <c r="I2151" s="61"/>
      <c r="J2151" s="91" t="s">
        <v>1079</v>
      </c>
      <c r="K2151" s="61"/>
      <c r="L2151" s="160"/>
      <c r="M2151" s="48"/>
      <c r="N2151" s="123"/>
    </row>
    <row r="2152" spans="1:14" customFormat="1" x14ac:dyDescent="0.55000000000000004">
      <c r="A2152" s="54" t="s">
        <v>1081</v>
      </c>
      <c r="B2152" t="s">
        <v>134</v>
      </c>
      <c r="C2152" t="s">
        <v>121</v>
      </c>
      <c r="D2152" t="s">
        <v>3288</v>
      </c>
      <c r="E2152" s="116">
        <v>1</v>
      </c>
      <c r="F2152" s="149" t="s">
        <v>135</v>
      </c>
      <c r="G2152" s="149">
        <v>1</v>
      </c>
      <c r="H2152" t="s">
        <v>39</v>
      </c>
      <c r="I2152" s="61"/>
      <c r="J2152" s="91" t="s">
        <v>1082</v>
      </c>
      <c r="K2152" s="61"/>
      <c r="L2152" s="160"/>
      <c r="M2152" s="48"/>
      <c r="N2152" s="123"/>
    </row>
    <row r="2153" spans="1:14" customFormat="1" x14ac:dyDescent="0.55000000000000004">
      <c r="A2153" s="54" t="s">
        <v>1081</v>
      </c>
      <c r="B2153" s="124" t="s">
        <v>208</v>
      </c>
      <c r="C2153" t="s">
        <v>127</v>
      </c>
      <c r="D2153" t="s">
        <v>2994</v>
      </c>
      <c r="E2153" s="116">
        <v>3.3</v>
      </c>
      <c r="F2153" s="149" t="s">
        <v>138</v>
      </c>
      <c r="G2153" s="149" t="s">
        <v>135</v>
      </c>
      <c r="H2153" t="s">
        <v>39</v>
      </c>
      <c r="I2153" s="61"/>
      <c r="J2153" s="91" t="s">
        <v>1082</v>
      </c>
      <c r="K2153" s="61"/>
      <c r="L2153" s="160"/>
      <c r="M2153" s="48"/>
      <c r="N2153" s="123"/>
    </row>
    <row r="2154" spans="1:14" customFormat="1" x14ac:dyDescent="0.55000000000000004">
      <c r="A2154" s="54" t="s">
        <v>1081</v>
      </c>
      <c r="B2154" s="124" t="s">
        <v>153</v>
      </c>
      <c r="C2154" t="s">
        <v>127</v>
      </c>
      <c r="D2154" t="s">
        <v>2994</v>
      </c>
      <c r="E2154" s="116">
        <v>0.06</v>
      </c>
      <c r="F2154" s="149" t="s">
        <v>138</v>
      </c>
      <c r="G2154" s="149" t="s">
        <v>135</v>
      </c>
      <c r="H2154" t="s">
        <v>39</v>
      </c>
      <c r="I2154" s="61"/>
      <c r="J2154" s="91" t="s">
        <v>1082</v>
      </c>
      <c r="K2154" s="61"/>
      <c r="L2154" s="160"/>
      <c r="M2154" s="48"/>
      <c r="N2154" s="123"/>
    </row>
    <row r="2155" spans="1:14" customFormat="1" x14ac:dyDescent="0.55000000000000004">
      <c r="A2155" s="54" t="s">
        <v>1081</v>
      </c>
      <c r="B2155" t="s">
        <v>160</v>
      </c>
      <c r="C2155" t="s">
        <v>560</v>
      </c>
      <c r="D2155" t="s">
        <v>3288</v>
      </c>
      <c r="E2155" s="116">
        <v>510</v>
      </c>
      <c r="F2155" s="149" t="s">
        <v>122</v>
      </c>
      <c r="G2155" s="149" t="s">
        <v>135</v>
      </c>
      <c r="H2155" t="s">
        <v>39</v>
      </c>
      <c r="I2155" s="61"/>
      <c r="J2155" s="91" t="s">
        <v>1082</v>
      </c>
      <c r="K2155" s="61"/>
      <c r="L2155" s="160"/>
      <c r="M2155" s="48"/>
      <c r="N2155" s="123"/>
    </row>
    <row r="2156" spans="1:14" customFormat="1" x14ac:dyDescent="0.55000000000000004">
      <c r="A2156" s="54" t="s">
        <v>1083</v>
      </c>
      <c r="B2156" t="s">
        <v>134</v>
      </c>
      <c r="C2156" t="s">
        <v>121</v>
      </c>
      <c r="D2156" t="s">
        <v>3288</v>
      </c>
      <c r="E2156" s="116">
        <v>1</v>
      </c>
      <c r="F2156" s="149" t="s">
        <v>135</v>
      </c>
      <c r="G2156" s="149">
        <v>1</v>
      </c>
      <c r="H2156" t="s">
        <v>39</v>
      </c>
      <c r="I2156" s="61"/>
      <c r="J2156" s="91" t="s">
        <v>1084</v>
      </c>
      <c r="K2156" s="61"/>
      <c r="L2156" s="160"/>
      <c r="M2156" s="48"/>
      <c r="N2156" s="123"/>
    </row>
    <row r="2157" spans="1:14" customFormat="1" x14ac:dyDescent="0.55000000000000004">
      <c r="A2157" s="54" t="s">
        <v>1083</v>
      </c>
      <c r="B2157" s="124" t="s">
        <v>208</v>
      </c>
      <c r="C2157" t="s">
        <v>127</v>
      </c>
      <c r="D2157" t="s">
        <v>2994</v>
      </c>
      <c r="E2157" s="116">
        <v>5.6429999999999998</v>
      </c>
      <c r="F2157" s="149" t="s">
        <v>135</v>
      </c>
      <c r="G2157" s="149">
        <v>1</v>
      </c>
      <c r="H2157" t="s">
        <v>39</v>
      </c>
      <c r="I2157" s="61"/>
      <c r="J2157" s="91" t="s">
        <v>1084</v>
      </c>
      <c r="K2157" s="61"/>
      <c r="L2157" s="160"/>
      <c r="M2157" s="48"/>
      <c r="N2157" s="123"/>
    </row>
    <row r="2158" spans="1:14" customFormat="1" x14ac:dyDescent="0.55000000000000004">
      <c r="A2158" s="54" t="s">
        <v>1083</v>
      </c>
      <c r="B2158" s="124" t="s">
        <v>153</v>
      </c>
      <c r="C2158" t="s">
        <v>127</v>
      </c>
      <c r="D2158" t="s">
        <v>2994</v>
      </c>
      <c r="E2158" s="116">
        <v>0.1026</v>
      </c>
      <c r="F2158" s="149" t="s">
        <v>135</v>
      </c>
      <c r="G2158" s="149">
        <v>1</v>
      </c>
      <c r="H2158" t="s">
        <v>39</v>
      </c>
      <c r="I2158" s="61"/>
      <c r="J2158" s="91" t="s">
        <v>1084</v>
      </c>
      <c r="K2158" s="61"/>
      <c r="L2158" s="160"/>
      <c r="M2158" s="48"/>
      <c r="N2158" s="123"/>
    </row>
    <row r="2159" spans="1:14" customFormat="1" x14ac:dyDescent="0.55000000000000004">
      <c r="A2159" s="54" t="s">
        <v>1083</v>
      </c>
      <c r="B2159" t="s">
        <v>160</v>
      </c>
      <c r="C2159" t="s">
        <v>560</v>
      </c>
      <c r="D2159" t="s">
        <v>3288</v>
      </c>
      <c r="E2159" s="116">
        <v>510</v>
      </c>
      <c r="F2159" s="149" t="s">
        <v>122</v>
      </c>
      <c r="G2159" s="149" t="s">
        <v>135</v>
      </c>
      <c r="H2159" t="s">
        <v>39</v>
      </c>
      <c r="I2159" s="61"/>
      <c r="J2159" s="91" t="s">
        <v>1084</v>
      </c>
      <c r="K2159" s="61"/>
      <c r="L2159" s="160"/>
      <c r="M2159" s="48"/>
      <c r="N2159" s="123"/>
    </row>
    <row r="2160" spans="1:14" customFormat="1" x14ac:dyDescent="0.55000000000000004">
      <c r="A2160" s="54" t="s">
        <v>1083</v>
      </c>
      <c r="B2160" t="s">
        <v>160</v>
      </c>
      <c r="C2160" t="s">
        <v>156</v>
      </c>
      <c r="D2160" t="s">
        <v>3288</v>
      </c>
      <c r="E2160" s="116">
        <v>484.5</v>
      </c>
      <c r="F2160" s="149" t="s">
        <v>122</v>
      </c>
      <c r="G2160" s="149" t="s">
        <v>135</v>
      </c>
      <c r="H2160" t="s">
        <v>39</v>
      </c>
      <c r="I2160" s="61"/>
      <c r="J2160" s="91" t="s">
        <v>1084</v>
      </c>
      <c r="K2160" s="61"/>
      <c r="L2160" s="160"/>
      <c r="M2160" s="48"/>
      <c r="N2160" s="123"/>
    </row>
    <row r="2161" spans="1:14" customFormat="1" x14ac:dyDescent="0.55000000000000004">
      <c r="A2161" s="54" t="s">
        <v>1080</v>
      </c>
      <c r="B2161" t="s">
        <v>134</v>
      </c>
      <c r="C2161" t="s">
        <v>121</v>
      </c>
      <c r="D2161" t="s">
        <v>3288</v>
      </c>
      <c r="E2161" s="116">
        <v>1</v>
      </c>
      <c r="F2161" s="149" t="s">
        <v>135</v>
      </c>
      <c r="G2161" s="149">
        <v>1</v>
      </c>
      <c r="H2161" t="s">
        <v>39</v>
      </c>
      <c r="I2161" s="61"/>
      <c r="J2161" s="91" t="s">
        <v>1079</v>
      </c>
      <c r="K2161" s="61"/>
      <c r="L2161" s="160"/>
      <c r="M2161" s="48"/>
      <c r="N2161" s="123"/>
    </row>
    <row r="2162" spans="1:14" customFormat="1" x14ac:dyDescent="0.55000000000000004">
      <c r="A2162" s="54" t="s">
        <v>1080</v>
      </c>
      <c r="B2162" s="124" t="s">
        <v>445</v>
      </c>
      <c r="C2162" t="s">
        <v>127</v>
      </c>
      <c r="D2162" t="s">
        <v>2994</v>
      </c>
      <c r="E2162" s="116">
        <v>6</v>
      </c>
      <c r="F2162" s="148" t="s">
        <v>138</v>
      </c>
      <c r="G2162" s="148" t="s">
        <v>135</v>
      </c>
      <c r="H2162" t="s">
        <v>39</v>
      </c>
      <c r="I2162" s="61"/>
      <c r="J2162" s="91" t="s">
        <v>1079</v>
      </c>
      <c r="K2162" s="61"/>
      <c r="L2162" s="160"/>
      <c r="M2162" s="48"/>
      <c r="N2162" s="123"/>
    </row>
    <row r="2163" spans="1:14" customFormat="1" x14ac:dyDescent="0.55000000000000004">
      <c r="A2163" s="54" t="s">
        <v>1080</v>
      </c>
      <c r="B2163" s="124" t="s">
        <v>422</v>
      </c>
      <c r="C2163" t="s">
        <v>127</v>
      </c>
      <c r="D2163" t="s">
        <v>2994</v>
      </c>
      <c r="E2163" s="116">
        <v>0.1</v>
      </c>
      <c r="F2163" s="148" t="s">
        <v>138</v>
      </c>
      <c r="G2163" s="148" t="s">
        <v>135</v>
      </c>
      <c r="H2163" t="s">
        <v>39</v>
      </c>
      <c r="I2163" s="61"/>
      <c r="J2163" s="91" t="s">
        <v>1079</v>
      </c>
      <c r="K2163" s="61"/>
      <c r="L2163" s="160"/>
      <c r="M2163" s="48"/>
      <c r="N2163" s="123"/>
    </row>
    <row r="2164" spans="1:14" customFormat="1" x14ac:dyDescent="0.55000000000000004">
      <c r="A2164" s="54" t="s">
        <v>1080</v>
      </c>
      <c r="B2164" s="124" t="s">
        <v>153</v>
      </c>
      <c r="C2164" t="s">
        <v>127</v>
      </c>
      <c r="D2164" t="s">
        <v>2994</v>
      </c>
      <c r="E2164" s="116">
        <v>0.28999999999999998</v>
      </c>
      <c r="F2164" s="148" t="s">
        <v>138</v>
      </c>
      <c r="G2164" s="148" t="s">
        <v>135</v>
      </c>
      <c r="H2164" t="s">
        <v>39</v>
      </c>
      <c r="I2164" s="61"/>
      <c r="J2164" s="91" t="s">
        <v>1079</v>
      </c>
      <c r="K2164" s="61"/>
      <c r="L2164" s="160"/>
      <c r="M2164" s="48"/>
      <c r="N2164" s="123"/>
    </row>
    <row r="2165" spans="1:14" customFormat="1" x14ac:dyDescent="0.55000000000000004">
      <c r="A2165" s="54" t="s">
        <v>1080</v>
      </c>
      <c r="B2165" t="s">
        <v>160</v>
      </c>
      <c r="C2165" t="s">
        <v>560</v>
      </c>
      <c r="D2165" t="s">
        <v>3288</v>
      </c>
      <c r="E2165" s="116">
        <v>510</v>
      </c>
      <c r="F2165" s="149" t="s">
        <v>122</v>
      </c>
      <c r="G2165" s="149" t="s">
        <v>135</v>
      </c>
      <c r="H2165" t="s">
        <v>39</v>
      </c>
      <c r="I2165" s="61"/>
      <c r="J2165" s="91" t="s">
        <v>1079</v>
      </c>
      <c r="K2165" s="61"/>
      <c r="L2165" s="160"/>
      <c r="M2165" s="48"/>
      <c r="N2165" s="123"/>
    </row>
    <row r="2166" spans="1:14" customFormat="1" x14ac:dyDescent="0.55000000000000004">
      <c r="A2166" s="92" t="s">
        <v>452</v>
      </c>
      <c r="B2166" t="s">
        <v>287</v>
      </c>
      <c r="C2166" t="s">
        <v>121</v>
      </c>
      <c r="D2166" t="s">
        <v>3288</v>
      </c>
      <c r="E2166" s="116">
        <v>1</v>
      </c>
      <c r="F2166" s="149" t="s">
        <v>135</v>
      </c>
      <c r="G2166" s="149">
        <v>1</v>
      </c>
      <c r="H2166" s="68" t="s">
        <v>39</v>
      </c>
      <c r="J2166" s="77" t="s">
        <v>453</v>
      </c>
      <c r="L2166" s="131"/>
      <c r="M2166" s="48"/>
      <c r="N2166" s="123"/>
    </row>
    <row r="2167" spans="1:14" customFormat="1" x14ac:dyDescent="0.55000000000000004">
      <c r="A2167" s="92" t="s">
        <v>452</v>
      </c>
      <c r="B2167" t="s">
        <v>288</v>
      </c>
      <c r="C2167" t="s">
        <v>156</v>
      </c>
      <c r="D2167" t="s">
        <v>3288</v>
      </c>
      <c r="E2167" s="116">
        <v>0.35</v>
      </c>
      <c r="F2167" s="149" t="s">
        <v>135</v>
      </c>
      <c r="G2167" s="149" t="s">
        <v>135</v>
      </c>
      <c r="H2167" s="68" t="s">
        <v>39</v>
      </c>
      <c r="J2167" s="77" t="s">
        <v>453</v>
      </c>
      <c r="L2167" s="131"/>
      <c r="M2167" s="48"/>
      <c r="N2167" s="123"/>
    </row>
    <row r="2168" spans="1:14" customFormat="1" x14ac:dyDescent="0.55000000000000004">
      <c r="A2168" s="92" t="s">
        <v>452</v>
      </c>
      <c r="B2168" t="s">
        <v>2008</v>
      </c>
      <c r="C2168" t="s">
        <v>156</v>
      </c>
      <c r="D2168" t="s">
        <v>2994</v>
      </c>
      <c r="E2168" s="116">
        <v>10.9</v>
      </c>
      <c r="F2168" s="149" t="s">
        <v>138</v>
      </c>
      <c r="G2168" s="149" t="s">
        <v>135</v>
      </c>
      <c r="H2168" s="68" t="s">
        <v>39</v>
      </c>
      <c r="J2168" s="77" t="s">
        <v>453</v>
      </c>
      <c r="L2168" s="131"/>
      <c r="M2168" s="48"/>
      <c r="N2168" s="123"/>
    </row>
    <row r="2169" spans="1:14" customFormat="1" x14ac:dyDescent="0.55000000000000004">
      <c r="A2169" s="92" t="s">
        <v>452</v>
      </c>
      <c r="B2169" t="s">
        <v>323</v>
      </c>
      <c r="C2169" s="21" t="s">
        <v>125</v>
      </c>
      <c r="D2169" t="s">
        <v>3288</v>
      </c>
      <c r="E2169" s="116">
        <v>0.75</v>
      </c>
      <c r="F2169" s="149" t="s">
        <v>135</v>
      </c>
      <c r="G2169" s="149" t="s">
        <v>135</v>
      </c>
      <c r="H2169" s="68" t="s">
        <v>39</v>
      </c>
      <c r="J2169" s="77" t="s">
        <v>453</v>
      </c>
      <c r="L2169" s="131"/>
      <c r="M2169" s="48"/>
      <c r="N2169" s="123"/>
    </row>
    <row r="2170" spans="1:14" customFormat="1" x14ac:dyDescent="0.55000000000000004">
      <c r="A2170" s="92" t="s">
        <v>452</v>
      </c>
      <c r="B2170" t="s">
        <v>316</v>
      </c>
      <c r="C2170" t="s">
        <v>132</v>
      </c>
      <c r="D2170" t="s">
        <v>3288</v>
      </c>
      <c r="E2170" s="116">
        <v>0.75</v>
      </c>
      <c r="F2170" s="149" t="s">
        <v>135</v>
      </c>
      <c r="G2170" s="149" t="s">
        <v>135</v>
      </c>
      <c r="H2170" s="68" t="s">
        <v>39</v>
      </c>
      <c r="J2170" s="77" t="s">
        <v>453</v>
      </c>
      <c r="L2170" s="131"/>
      <c r="M2170" s="48"/>
      <c r="N2170" s="123"/>
    </row>
    <row r="2171" spans="1:14" customFormat="1" x14ac:dyDescent="0.55000000000000004">
      <c r="A2171" s="92" t="s">
        <v>452</v>
      </c>
      <c r="B2171" t="s">
        <v>244</v>
      </c>
      <c r="C2171" t="s">
        <v>127</v>
      </c>
      <c r="D2171" t="s">
        <v>2994</v>
      </c>
      <c r="E2171" s="116">
        <v>27</v>
      </c>
      <c r="F2171" s="149" t="s">
        <v>138</v>
      </c>
      <c r="G2171" s="149" t="s">
        <v>135</v>
      </c>
      <c r="H2171" s="68" t="s">
        <v>39</v>
      </c>
      <c r="J2171" s="77" t="s">
        <v>453</v>
      </c>
      <c r="L2171" s="131"/>
      <c r="M2171" s="48"/>
      <c r="N2171" s="123"/>
    </row>
    <row r="2172" spans="1:14" customFormat="1" x14ac:dyDescent="0.55000000000000004">
      <c r="A2172" s="92" t="s">
        <v>452</v>
      </c>
      <c r="B2172" t="s">
        <v>293</v>
      </c>
      <c r="C2172" t="s">
        <v>127</v>
      </c>
      <c r="D2172" t="s">
        <v>2994</v>
      </c>
      <c r="E2172" s="116">
        <v>3.1</v>
      </c>
      <c r="F2172" s="149" t="s">
        <v>138</v>
      </c>
      <c r="G2172" s="149" t="s">
        <v>135</v>
      </c>
      <c r="H2172" s="68" t="s">
        <v>39</v>
      </c>
      <c r="J2172" s="77" t="s">
        <v>453</v>
      </c>
      <c r="L2172" s="131"/>
      <c r="M2172" s="48"/>
      <c r="N2172" s="123"/>
    </row>
    <row r="2173" spans="1:14" customFormat="1" x14ac:dyDescent="0.55000000000000004">
      <c r="A2173" s="92" t="s">
        <v>452</v>
      </c>
      <c r="B2173" t="s">
        <v>153</v>
      </c>
      <c r="C2173" t="s">
        <v>127</v>
      </c>
      <c r="D2173" t="s">
        <v>2994</v>
      </c>
      <c r="E2173" s="116">
        <v>1.075</v>
      </c>
      <c r="F2173" s="149" t="s">
        <v>138</v>
      </c>
      <c r="G2173" s="149" t="s">
        <v>135</v>
      </c>
      <c r="H2173" s="68" t="s">
        <v>39</v>
      </c>
      <c r="J2173" s="77" t="s">
        <v>453</v>
      </c>
      <c r="L2173" s="131"/>
      <c r="M2173" s="48"/>
      <c r="N2173" s="123"/>
    </row>
    <row r="2174" spans="1:14" customFormat="1" x14ac:dyDescent="0.55000000000000004">
      <c r="A2174" s="92" t="s">
        <v>452</v>
      </c>
      <c r="B2174" t="s">
        <v>213</v>
      </c>
      <c r="C2174" t="s">
        <v>125</v>
      </c>
      <c r="D2174" t="s">
        <v>3288</v>
      </c>
      <c r="E2174" s="116">
        <v>0.68899999999999995</v>
      </c>
      <c r="F2174" s="149" t="s">
        <v>135</v>
      </c>
      <c r="G2174" s="149" t="s">
        <v>135</v>
      </c>
      <c r="H2174" s="68" t="s">
        <v>39</v>
      </c>
      <c r="J2174" s="77" t="s">
        <v>453</v>
      </c>
      <c r="L2174" s="131"/>
      <c r="M2174" s="48"/>
      <c r="N2174" s="123"/>
    </row>
    <row r="2175" spans="1:14" customFormat="1" x14ac:dyDescent="0.55000000000000004">
      <c r="A2175" s="92" t="s">
        <v>452</v>
      </c>
      <c r="B2175" t="s">
        <v>160</v>
      </c>
      <c r="C2175" t="s">
        <v>156</v>
      </c>
      <c r="D2175" t="s">
        <v>3288</v>
      </c>
      <c r="E2175" s="119">
        <f>2.97925-E2176</f>
        <v>0.29792499999999977</v>
      </c>
      <c r="F2175" s="151" t="s">
        <v>122</v>
      </c>
      <c r="G2175" s="149" t="s">
        <v>135</v>
      </c>
      <c r="H2175" s="68" t="s">
        <v>413</v>
      </c>
      <c r="I2175" t="s">
        <v>454</v>
      </c>
      <c r="J2175" s="77" t="s">
        <v>453</v>
      </c>
      <c r="L2175" s="131"/>
      <c r="M2175" s="48"/>
      <c r="N2175" s="123"/>
    </row>
    <row r="2176" spans="1:14" customFormat="1" x14ac:dyDescent="0.55000000000000004">
      <c r="A2176" s="92" t="s">
        <v>452</v>
      </c>
      <c r="B2176" s="68" t="s">
        <v>160</v>
      </c>
      <c r="C2176" s="68" t="s">
        <v>156</v>
      </c>
      <c r="D2176" s="61" t="s">
        <v>3288</v>
      </c>
      <c r="E2176" s="119">
        <f>2.97925*0.9</f>
        <v>2.6813250000000002</v>
      </c>
      <c r="F2176" s="151" t="s">
        <v>122</v>
      </c>
      <c r="G2176" s="149" t="s">
        <v>135</v>
      </c>
      <c r="H2176" s="68" t="s">
        <v>413</v>
      </c>
      <c r="I2176" t="s">
        <v>454</v>
      </c>
      <c r="J2176" s="77" t="s">
        <v>453</v>
      </c>
      <c r="L2176" s="159"/>
      <c r="M2176" s="48"/>
      <c r="N2176" s="123"/>
    </row>
    <row r="2177" spans="1:14" customFormat="1" x14ac:dyDescent="0.55000000000000004">
      <c r="A2177" s="92" t="s">
        <v>449</v>
      </c>
      <c r="B2177" t="s">
        <v>339</v>
      </c>
      <c r="C2177" t="s">
        <v>121</v>
      </c>
      <c r="D2177" t="s">
        <v>3288</v>
      </c>
      <c r="E2177" s="116">
        <v>1</v>
      </c>
      <c r="F2177" s="149" t="s">
        <v>135</v>
      </c>
      <c r="G2177" s="149">
        <v>1</v>
      </c>
      <c r="H2177" s="68" t="s">
        <v>39</v>
      </c>
      <c r="J2177" s="77" t="s">
        <v>450</v>
      </c>
      <c r="L2177" s="131"/>
      <c r="M2177" s="48"/>
      <c r="N2177" s="123"/>
    </row>
    <row r="2178" spans="1:14" customFormat="1" x14ac:dyDescent="0.55000000000000004">
      <c r="A2178" s="92" t="s">
        <v>449</v>
      </c>
      <c r="B2178" t="s">
        <v>315</v>
      </c>
      <c r="C2178" s="21" t="s">
        <v>207</v>
      </c>
      <c r="D2178" t="s">
        <v>3288</v>
      </c>
      <c r="E2178" s="116">
        <v>1.05</v>
      </c>
      <c r="F2178" s="149" t="s">
        <v>135</v>
      </c>
      <c r="G2178" s="149" t="s">
        <v>135</v>
      </c>
      <c r="H2178" s="68" t="s">
        <v>39</v>
      </c>
      <c r="J2178" s="77" t="s">
        <v>450</v>
      </c>
      <c r="L2178" s="131"/>
      <c r="M2178" s="48"/>
      <c r="N2178" s="123"/>
    </row>
    <row r="2179" spans="1:14" customFormat="1" x14ac:dyDescent="0.55000000000000004">
      <c r="A2179" s="92" t="s">
        <v>449</v>
      </c>
      <c r="B2179" t="s">
        <v>341</v>
      </c>
      <c r="C2179" t="s">
        <v>125</v>
      </c>
      <c r="D2179" t="s">
        <v>3288</v>
      </c>
      <c r="E2179" s="116">
        <v>0.03</v>
      </c>
      <c r="F2179" s="149" t="s">
        <v>135</v>
      </c>
      <c r="G2179" s="149" t="s">
        <v>135</v>
      </c>
      <c r="H2179" s="68" t="s">
        <v>39</v>
      </c>
      <c r="J2179" s="77" t="s">
        <v>450</v>
      </c>
      <c r="L2179" s="131"/>
      <c r="M2179" s="48"/>
      <c r="N2179" s="123"/>
    </row>
    <row r="2180" spans="1:14" customFormat="1" x14ac:dyDescent="0.55000000000000004">
      <c r="A2180" s="92" t="s">
        <v>449</v>
      </c>
      <c r="B2180" t="s">
        <v>213</v>
      </c>
      <c r="C2180" t="s">
        <v>125</v>
      </c>
      <c r="D2180" t="s">
        <v>3288</v>
      </c>
      <c r="E2180" s="116">
        <v>0.5</v>
      </c>
      <c r="F2180" s="149" t="s">
        <v>135</v>
      </c>
      <c r="G2180" s="149" t="s">
        <v>135</v>
      </c>
      <c r="H2180" s="68" t="s">
        <v>39</v>
      </c>
      <c r="J2180" s="77" t="s">
        <v>450</v>
      </c>
      <c r="L2180" s="131"/>
      <c r="M2180" s="48"/>
      <c r="N2180" s="123"/>
    </row>
    <row r="2181" spans="1:14" customFormat="1" x14ac:dyDescent="0.55000000000000004">
      <c r="A2181" s="92" t="s">
        <v>449</v>
      </c>
      <c r="B2181" t="s">
        <v>153</v>
      </c>
      <c r="C2181" t="s">
        <v>127</v>
      </c>
      <c r="D2181" t="s">
        <v>2994</v>
      </c>
      <c r="E2181" s="116">
        <v>2.25</v>
      </c>
      <c r="F2181" s="149" t="s">
        <v>138</v>
      </c>
      <c r="G2181" s="149" t="s">
        <v>135</v>
      </c>
      <c r="H2181" s="68" t="s">
        <v>39</v>
      </c>
      <c r="J2181" s="77" t="s">
        <v>450</v>
      </c>
      <c r="L2181" s="131"/>
      <c r="M2181" s="48"/>
      <c r="N2181" s="123"/>
    </row>
    <row r="2182" spans="1:14" customFormat="1" x14ac:dyDescent="0.55000000000000004">
      <c r="A2182" s="92" t="s">
        <v>449</v>
      </c>
      <c r="B2182" s="21" t="s">
        <v>171</v>
      </c>
      <c r="C2182" t="s">
        <v>127</v>
      </c>
      <c r="D2182" t="s">
        <v>2994</v>
      </c>
      <c r="E2182" s="117">
        <v>3.03</v>
      </c>
      <c r="F2182" s="149" t="s">
        <v>138</v>
      </c>
      <c r="G2182" s="149" t="s">
        <v>135</v>
      </c>
      <c r="H2182" s="68" t="s">
        <v>39</v>
      </c>
      <c r="I2182" t="s">
        <v>451</v>
      </c>
      <c r="J2182" s="77" t="s">
        <v>450</v>
      </c>
      <c r="L2182" s="131"/>
      <c r="M2182" s="48"/>
      <c r="N2182" s="123"/>
    </row>
    <row r="2183" spans="1:14" customFormat="1" x14ac:dyDescent="0.55000000000000004">
      <c r="A2183" s="92" t="s">
        <v>449</v>
      </c>
      <c r="B2183" t="s">
        <v>160</v>
      </c>
      <c r="C2183" t="s">
        <v>247</v>
      </c>
      <c r="D2183" t="s">
        <v>3288</v>
      </c>
      <c r="E2183" s="119">
        <v>0.169983</v>
      </c>
      <c r="F2183" s="149" t="s">
        <v>135</v>
      </c>
      <c r="G2183" s="149" t="s">
        <v>135</v>
      </c>
      <c r="H2183" s="68" t="s">
        <v>376</v>
      </c>
      <c r="J2183" s="77" t="s">
        <v>450</v>
      </c>
      <c r="L2183" s="131"/>
      <c r="M2183" s="48"/>
      <c r="N2183" s="123"/>
    </row>
    <row r="2184" spans="1:14" customFormat="1" x14ac:dyDescent="0.55000000000000004">
      <c r="A2184" s="92" t="s">
        <v>447</v>
      </c>
      <c r="B2184" s="21" t="s">
        <v>339</v>
      </c>
      <c r="C2184" t="s">
        <v>121</v>
      </c>
      <c r="D2184" t="s">
        <v>3288</v>
      </c>
      <c r="E2184" s="116">
        <v>1</v>
      </c>
      <c r="F2184" s="149" t="s">
        <v>135</v>
      </c>
      <c r="G2184" s="149">
        <v>1</v>
      </c>
      <c r="H2184" s="68" t="s">
        <v>39</v>
      </c>
      <c r="J2184" s="77" t="s">
        <v>448</v>
      </c>
      <c r="L2184" s="131"/>
      <c r="M2184" s="48"/>
      <c r="N2184" s="123"/>
    </row>
    <row r="2185" spans="1:14" customFormat="1" x14ac:dyDescent="0.55000000000000004">
      <c r="A2185" s="92" t="s">
        <v>447</v>
      </c>
      <c r="B2185" t="s">
        <v>341</v>
      </c>
      <c r="C2185" t="s">
        <v>125</v>
      </c>
      <c r="D2185" t="s">
        <v>3288</v>
      </c>
      <c r="E2185" s="116">
        <v>1.1000000000000001</v>
      </c>
      <c r="F2185" s="149" t="s">
        <v>135</v>
      </c>
      <c r="G2185" s="149" t="s">
        <v>135</v>
      </c>
      <c r="H2185" s="68" t="s">
        <v>39</v>
      </c>
      <c r="J2185" s="77" t="s">
        <v>448</v>
      </c>
      <c r="L2185" s="131"/>
      <c r="M2185" s="48"/>
      <c r="N2185" s="123"/>
    </row>
    <row r="2186" spans="1:14" customFormat="1" x14ac:dyDescent="0.55000000000000004">
      <c r="A2186" s="92" t="s">
        <v>447</v>
      </c>
      <c r="B2186" t="s">
        <v>213</v>
      </c>
      <c r="C2186" t="s">
        <v>125</v>
      </c>
      <c r="D2186" t="s">
        <v>3288</v>
      </c>
      <c r="E2186" s="116">
        <v>0.05</v>
      </c>
      <c r="F2186" s="149" t="s">
        <v>135</v>
      </c>
      <c r="G2186" s="149" t="s">
        <v>135</v>
      </c>
      <c r="H2186" s="68" t="s">
        <v>39</v>
      </c>
      <c r="J2186" s="77" t="s">
        <v>448</v>
      </c>
      <c r="L2186" s="131"/>
      <c r="M2186" s="48"/>
      <c r="N2186" s="123"/>
    </row>
    <row r="2187" spans="1:14" customFormat="1" x14ac:dyDescent="0.55000000000000004">
      <c r="A2187" s="92" t="s">
        <v>447</v>
      </c>
      <c r="B2187" t="s">
        <v>153</v>
      </c>
      <c r="C2187" t="s">
        <v>127</v>
      </c>
      <c r="D2187" t="s">
        <v>2994</v>
      </c>
      <c r="E2187" s="116">
        <v>5.5</v>
      </c>
      <c r="F2187" s="149" t="s">
        <v>138</v>
      </c>
      <c r="G2187" s="149" t="s">
        <v>135</v>
      </c>
      <c r="H2187" s="68" t="s">
        <v>39</v>
      </c>
      <c r="J2187" s="77" t="s">
        <v>448</v>
      </c>
      <c r="L2187" s="131"/>
      <c r="M2187" s="48"/>
      <c r="N2187" s="123"/>
    </row>
    <row r="2188" spans="1:14" customFormat="1" x14ac:dyDescent="0.55000000000000004">
      <c r="A2188" s="92" t="s">
        <v>444</v>
      </c>
      <c r="B2188" t="s">
        <v>354</v>
      </c>
      <c r="C2188" t="s">
        <v>121</v>
      </c>
      <c r="D2188" t="s">
        <v>3288</v>
      </c>
      <c r="E2188" s="116">
        <v>1</v>
      </c>
      <c r="F2188" s="149" t="s">
        <v>135</v>
      </c>
      <c r="G2188" s="149">
        <v>1</v>
      </c>
      <c r="H2188" s="68" t="s">
        <v>39</v>
      </c>
      <c r="J2188" s="77" t="s">
        <v>444</v>
      </c>
      <c r="L2188" s="131"/>
      <c r="M2188" s="48"/>
      <c r="N2188" s="123"/>
    </row>
    <row r="2189" spans="1:14" customFormat="1" x14ac:dyDescent="0.55000000000000004">
      <c r="A2189" s="92" t="s">
        <v>444</v>
      </c>
      <c r="B2189" t="s">
        <v>288</v>
      </c>
      <c r="C2189" t="s">
        <v>156</v>
      </c>
      <c r="D2189" t="s">
        <v>3288</v>
      </c>
      <c r="E2189" s="116">
        <v>1.2</v>
      </c>
      <c r="F2189" s="149" t="s">
        <v>135</v>
      </c>
      <c r="G2189" s="149" t="s">
        <v>135</v>
      </c>
      <c r="H2189" s="68" t="s">
        <v>39</v>
      </c>
      <c r="J2189" s="77" t="s">
        <v>444</v>
      </c>
      <c r="L2189" s="131"/>
      <c r="M2189" s="48"/>
      <c r="N2189" s="123"/>
    </row>
    <row r="2190" spans="1:14" customFormat="1" x14ac:dyDescent="0.55000000000000004">
      <c r="A2190" s="92" t="s">
        <v>444</v>
      </c>
      <c r="B2190" t="s">
        <v>289</v>
      </c>
      <c r="C2190" t="s">
        <v>156</v>
      </c>
      <c r="D2190" t="s">
        <v>2994</v>
      </c>
      <c r="E2190" s="116">
        <v>8.1</v>
      </c>
      <c r="F2190" s="149" t="s">
        <v>138</v>
      </c>
      <c r="G2190" s="149" t="s">
        <v>135</v>
      </c>
      <c r="H2190" s="68" t="s">
        <v>39</v>
      </c>
      <c r="J2190" s="77" t="s">
        <v>444</v>
      </c>
      <c r="L2190" s="131"/>
      <c r="M2190" s="48"/>
      <c r="N2190" s="123"/>
    </row>
    <row r="2191" spans="1:14" customFormat="1" x14ac:dyDescent="0.55000000000000004">
      <c r="A2191" s="92" t="s">
        <v>444</v>
      </c>
      <c r="B2191" t="s">
        <v>316</v>
      </c>
      <c r="C2191" t="s">
        <v>132</v>
      </c>
      <c r="D2191" t="s">
        <v>3288</v>
      </c>
      <c r="E2191" s="116">
        <v>2.2999999999999998</v>
      </c>
      <c r="F2191" s="149" t="s">
        <v>135</v>
      </c>
      <c r="G2191" s="149" t="s">
        <v>135</v>
      </c>
      <c r="H2191" s="68" t="s">
        <v>39</v>
      </c>
      <c r="J2191" s="77" t="s">
        <v>444</v>
      </c>
      <c r="L2191" s="131"/>
      <c r="M2191" s="48"/>
      <c r="N2191" s="123"/>
    </row>
    <row r="2192" spans="1:14" customFormat="1" x14ac:dyDescent="0.55000000000000004">
      <c r="A2192" s="92" t="s">
        <v>444</v>
      </c>
      <c r="B2192" t="s">
        <v>445</v>
      </c>
      <c r="C2192" t="s">
        <v>127</v>
      </c>
      <c r="D2192" t="s">
        <v>2994</v>
      </c>
      <c r="E2192" s="116">
        <v>0.8</v>
      </c>
      <c r="F2192" s="149" t="s">
        <v>138</v>
      </c>
      <c r="G2192" s="149" t="s">
        <v>135</v>
      </c>
      <c r="H2192" s="68" t="s">
        <v>39</v>
      </c>
      <c r="J2192" s="77" t="s">
        <v>444</v>
      </c>
      <c r="L2192" s="131"/>
      <c r="M2192" s="48"/>
      <c r="N2192" s="123"/>
    </row>
    <row r="2193" spans="1:14" customFormat="1" x14ac:dyDescent="0.55000000000000004">
      <c r="A2193" s="92" t="s">
        <v>444</v>
      </c>
      <c r="B2193" t="s">
        <v>293</v>
      </c>
      <c r="C2193" t="s">
        <v>127</v>
      </c>
      <c r="D2193" t="s">
        <v>2994</v>
      </c>
      <c r="E2193" s="116">
        <v>15.4</v>
      </c>
      <c r="F2193" s="149" t="s">
        <v>138</v>
      </c>
      <c r="G2193" s="149" t="s">
        <v>135</v>
      </c>
      <c r="H2193" s="68" t="s">
        <v>39</v>
      </c>
      <c r="J2193" s="77" t="s">
        <v>444</v>
      </c>
      <c r="L2193" s="131"/>
      <c r="M2193" s="48"/>
      <c r="N2193" s="123"/>
    </row>
    <row r="2194" spans="1:14" customFormat="1" x14ac:dyDescent="0.55000000000000004">
      <c r="A2194" s="92" t="s">
        <v>444</v>
      </c>
      <c r="B2194" t="s">
        <v>289</v>
      </c>
      <c r="C2194" t="s">
        <v>127</v>
      </c>
      <c r="D2194" t="s">
        <v>2994</v>
      </c>
      <c r="E2194" s="116">
        <v>0.6</v>
      </c>
      <c r="F2194" s="149" t="s">
        <v>138</v>
      </c>
      <c r="G2194" s="149" t="s">
        <v>135</v>
      </c>
      <c r="H2194" s="68" t="s">
        <v>39</v>
      </c>
      <c r="J2194" s="77" t="s">
        <v>444</v>
      </c>
      <c r="L2194" s="131"/>
      <c r="M2194" s="48"/>
      <c r="N2194" s="123"/>
    </row>
    <row r="2195" spans="1:14" customFormat="1" x14ac:dyDescent="0.55000000000000004">
      <c r="A2195" s="92" t="s">
        <v>444</v>
      </c>
      <c r="B2195" t="s">
        <v>153</v>
      </c>
      <c r="C2195" t="s">
        <v>127</v>
      </c>
      <c r="D2195" t="s">
        <v>2994</v>
      </c>
      <c r="E2195" s="116">
        <v>11.3</v>
      </c>
      <c r="F2195" s="149" t="s">
        <v>138</v>
      </c>
      <c r="G2195" s="149" t="s">
        <v>135</v>
      </c>
      <c r="H2195" s="68" t="s">
        <v>39</v>
      </c>
      <c r="J2195" s="77" t="s">
        <v>444</v>
      </c>
      <c r="L2195" s="131"/>
      <c r="M2195" s="48"/>
      <c r="N2195" s="123"/>
    </row>
    <row r="2196" spans="1:14" customFormat="1" x14ac:dyDescent="0.55000000000000004">
      <c r="A2196" s="92" t="s">
        <v>444</v>
      </c>
      <c r="B2196" t="s">
        <v>137</v>
      </c>
      <c r="C2196" t="s">
        <v>127</v>
      </c>
      <c r="D2196" t="s">
        <v>2994</v>
      </c>
      <c r="E2196" s="116">
        <v>0.9</v>
      </c>
      <c r="F2196" s="149" t="s">
        <v>138</v>
      </c>
      <c r="G2196" s="149" t="s">
        <v>135</v>
      </c>
      <c r="H2196" s="68" t="s">
        <v>39</v>
      </c>
      <c r="J2196" s="77" t="s">
        <v>444</v>
      </c>
      <c r="L2196" s="131"/>
      <c r="M2196" s="48"/>
      <c r="N2196" s="123"/>
    </row>
    <row r="2197" spans="1:14" customFormat="1" x14ac:dyDescent="0.55000000000000004">
      <c r="A2197" s="92" t="s">
        <v>444</v>
      </c>
      <c r="B2197" t="s">
        <v>160</v>
      </c>
      <c r="C2197" t="s">
        <v>247</v>
      </c>
      <c r="D2197" t="s">
        <v>3288</v>
      </c>
      <c r="E2197" s="119">
        <v>1.8812199999999999</v>
      </c>
      <c r="F2197" s="149" t="s">
        <v>135</v>
      </c>
      <c r="G2197" s="149" t="s">
        <v>135</v>
      </c>
      <c r="H2197" s="68" t="s">
        <v>376</v>
      </c>
      <c r="I2197" t="s">
        <v>446</v>
      </c>
      <c r="J2197" s="77" t="s">
        <v>444</v>
      </c>
      <c r="L2197" s="131"/>
      <c r="M2197" s="48"/>
      <c r="N2197" s="123"/>
    </row>
    <row r="2198" spans="1:14" customFormat="1" x14ac:dyDescent="0.55000000000000004">
      <c r="A2198" s="96" t="s">
        <v>443</v>
      </c>
      <c r="B2198" s="61" t="s">
        <v>440</v>
      </c>
      <c r="C2198" s="61" t="s">
        <v>121</v>
      </c>
      <c r="D2198" s="61" t="s">
        <v>3288</v>
      </c>
      <c r="E2198" s="119">
        <v>1</v>
      </c>
      <c r="F2198" s="148" t="s">
        <v>135</v>
      </c>
      <c r="G2198" s="148" t="s">
        <v>135</v>
      </c>
      <c r="H2198" s="68" t="s">
        <v>39</v>
      </c>
      <c r="J2198" s="74" t="str">
        <f t="shared" ref="J2198:J2229" si="2">A2198</f>
        <v>[TIMES] Glass Flat Production</v>
      </c>
      <c r="L2198" s="159"/>
      <c r="M2198" s="48"/>
      <c r="N2198" s="123"/>
    </row>
    <row r="2199" spans="1:14" customFormat="1" x14ac:dyDescent="0.55000000000000004">
      <c r="A2199" s="96" t="s">
        <v>443</v>
      </c>
      <c r="B2199" s="61" t="s">
        <v>153</v>
      </c>
      <c r="C2199" s="61" t="s">
        <v>127</v>
      </c>
      <c r="D2199" s="61" t="s">
        <v>2994</v>
      </c>
      <c r="E2199" s="119">
        <v>5</v>
      </c>
      <c r="F2199" s="148" t="s">
        <v>138</v>
      </c>
      <c r="G2199" s="148" t="s">
        <v>135</v>
      </c>
      <c r="H2199" s="68" t="s">
        <v>39</v>
      </c>
      <c r="J2199" s="74" t="str">
        <f t="shared" si="2"/>
        <v>[TIMES] Glass Flat Production</v>
      </c>
      <c r="L2199" s="159"/>
      <c r="M2199" s="48"/>
      <c r="N2199" s="123"/>
    </row>
    <row r="2200" spans="1:14" customFormat="1" x14ac:dyDescent="0.55000000000000004">
      <c r="A2200" s="96" t="s">
        <v>443</v>
      </c>
      <c r="B2200" s="61" t="s">
        <v>171</v>
      </c>
      <c r="C2200" s="61" t="s">
        <v>127</v>
      </c>
      <c r="D2200" s="61" t="s">
        <v>2994</v>
      </c>
      <c r="E2200" s="119">
        <v>3</v>
      </c>
      <c r="F2200" s="148" t="s">
        <v>138</v>
      </c>
      <c r="G2200" s="148" t="s">
        <v>135</v>
      </c>
      <c r="H2200" s="68" t="s">
        <v>39</v>
      </c>
      <c r="J2200" s="74" t="str">
        <f t="shared" si="2"/>
        <v>[TIMES] Glass Flat Production</v>
      </c>
      <c r="L2200" s="159"/>
      <c r="M2200" s="48"/>
      <c r="N2200" s="123"/>
    </row>
    <row r="2201" spans="1:14" customFormat="1" x14ac:dyDescent="0.55000000000000004">
      <c r="A2201" s="96" t="s">
        <v>443</v>
      </c>
      <c r="B2201" s="68" t="s">
        <v>160</v>
      </c>
      <c r="C2201" t="s">
        <v>247</v>
      </c>
      <c r="D2201" t="s">
        <v>3288</v>
      </c>
      <c r="E2201" s="119">
        <v>0.16830000000000001</v>
      </c>
      <c r="F2201" s="148" t="s">
        <v>135</v>
      </c>
      <c r="G2201" s="148" t="s">
        <v>135</v>
      </c>
      <c r="H2201" s="68" t="s">
        <v>376</v>
      </c>
      <c r="J2201" s="74" t="str">
        <f t="shared" si="2"/>
        <v>[TIMES] Glass Flat Production</v>
      </c>
      <c r="L2201" s="159"/>
      <c r="M2201" s="48"/>
      <c r="N2201" s="123"/>
    </row>
    <row r="2202" spans="1:14" customFormat="1" x14ac:dyDescent="0.55000000000000004">
      <c r="A2202" s="96" t="s">
        <v>442</v>
      </c>
      <c r="B2202" s="61" t="s">
        <v>440</v>
      </c>
      <c r="C2202" s="61" t="s">
        <v>121</v>
      </c>
      <c r="D2202" s="61" t="s">
        <v>3288</v>
      </c>
      <c r="E2202" s="119">
        <v>1</v>
      </c>
      <c r="F2202" s="148" t="s">
        <v>135</v>
      </c>
      <c r="G2202" s="148">
        <v>1</v>
      </c>
      <c r="H2202" s="68" t="s">
        <v>39</v>
      </c>
      <c r="J2202" s="74" t="str">
        <f t="shared" si="2"/>
        <v>[TIMES] Glass Flat Production Heat Recovery / Improved Burners</v>
      </c>
      <c r="L2202" s="159"/>
      <c r="M2202" s="48"/>
      <c r="N2202" s="123"/>
    </row>
    <row r="2203" spans="1:14" customFormat="1" x14ac:dyDescent="0.55000000000000004">
      <c r="A2203" s="96" t="s">
        <v>442</v>
      </c>
      <c r="B2203" s="61" t="s">
        <v>153</v>
      </c>
      <c r="C2203" s="61" t="s">
        <v>127</v>
      </c>
      <c r="D2203" s="61" t="s">
        <v>2994</v>
      </c>
      <c r="E2203" s="119">
        <v>4.125</v>
      </c>
      <c r="F2203" s="148" t="s">
        <v>138</v>
      </c>
      <c r="G2203" s="148" t="s">
        <v>135</v>
      </c>
      <c r="H2203" s="68" t="s">
        <v>39</v>
      </c>
      <c r="J2203" s="74" t="str">
        <f t="shared" si="2"/>
        <v>[TIMES] Glass Flat Production Heat Recovery / Improved Burners</v>
      </c>
      <c r="L2203" s="159"/>
      <c r="M2203" s="48"/>
      <c r="N2203" s="123"/>
    </row>
    <row r="2204" spans="1:14" customFormat="1" x14ac:dyDescent="0.55000000000000004">
      <c r="A2204" s="96" t="s">
        <v>442</v>
      </c>
      <c r="B2204" s="61" t="s">
        <v>171</v>
      </c>
      <c r="C2204" s="61" t="s">
        <v>127</v>
      </c>
      <c r="D2204" s="61" t="s">
        <v>2994</v>
      </c>
      <c r="E2204" s="119">
        <v>2.25</v>
      </c>
      <c r="F2204" s="148" t="s">
        <v>138</v>
      </c>
      <c r="G2204" s="148" t="s">
        <v>135</v>
      </c>
      <c r="H2204" s="68" t="s">
        <v>39</v>
      </c>
      <c r="J2204" s="74" t="str">
        <f t="shared" si="2"/>
        <v>[TIMES] Glass Flat Production Heat Recovery / Improved Burners</v>
      </c>
      <c r="L2204" s="159"/>
      <c r="M2204" s="48"/>
      <c r="N2204" s="123"/>
    </row>
    <row r="2205" spans="1:14" customFormat="1" x14ac:dyDescent="0.55000000000000004">
      <c r="A2205" s="96" t="s">
        <v>442</v>
      </c>
      <c r="B2205" s="68" t="s">
        <v>160</v>
      </c>
      <c r="C2205" t="s">
        <v>247</v>
      </c>
      <c r="D2205" t="s">
        <v>3288</v>
      </c>
      <c r="E2205" s="119">
        <v>0.126225</v>
      </c>
      <c r="F2205" s="148" t="s">
        <v>135</v>
      </c>
      <c r="G2205" s="148">
        <v>1</v>
      </c>
      <c r="H2205" s="68" t="s">
        <v>376</v>
      </c>
      <c r="J2205" s="74" t="str">
        <f t="shared" si="2"/>
        <v>[TIMES] Glass Flat Production Heat Recovery / Improved Burners</v>
      </c>
      <c r="L2205" s="159"/>
      <c r="M2205" s="48"/>
      <c r="N2205" s="123"/>
    </row>
    <row r="2206" spans="1:14" customFormat="1" x14ac:dyDescent="0.55000000000000004">
      <c r="A2206" s="96" t="s">
        <v>439</v>
      </c>
      <c r="B2206" s="61" t="s">
        <v>440</v>
      </c>
      <c r="C2206" s="61" t="s">
        <v>121</v>
      </c>
      <c r="D2206" s="61" t="s">
        <v>3288</v>
      </c>
      <c r="E2206" s="119">
        <v>1</v>
      </c>
      <c r="F2206" s="148" t="s">
        <v>135</v>
      </c>
      <c r="G2206" s="148">
        <v>1</v>
      </c>
      <c r="H2206" s="68" t="s">
        <v>39</v>
      </c>
      <c r="J2206" s="74" t="str">
        <f t="shared" si="2"/>
        <v>[TIMES] Glass Flat Production Heat Recovery / Improved Burners CCS</v>
      </c>
      <c r="L2206" s="159"/>
      <c r="M2206" s="48"/>
      <c r="N2206" s="123"/>
    </row>
    <row r="2207" spans="1:14" customFormat="1" x14ac:dyDescent="0.55000000000000004">
      <c r="A2207" s="96" t="s">
        <v>439</v>
      </c>
      <c r="B2207" s="61" t="s">
        <v>153</v>
      </c>
      <c r="C2207" s="61" t="s">
        <v>127</v>
      </c>
      <c r="D2207" s="61" t="s">
        <v>2994</v>
      </c>
      <c r="E2207" s="119">
        <v>4.53</v>
      </c>
      <c r="F2207" s="148" t="s">
        <v>138</v>
      </c>
      <c r="G2207" s="148" t="s">
        <v>135</v>
      </c>
      <c r="H2207" s="68" t="s">
        <v>39</v>
      </c>
      <c r="J2207" s="74" t="str">
        <f t="shared" si="2"/>
        <v>[TIMES] Glass Flat Production Heat Recovery / Improved Burners CCS</v>
      </c>
      <c r="L2207" s="159"/>
      <c r="M2207" s="48"/>
      <c r="N2207" s="123"/>
    </row>
    <row r="2208" spans="1:14" customFormat="1" x14ac:dyDescent="0.55000000000000004">
      <c r="A2208" s="96" t="s">
        <v>439</v>
      </c>
      <c r="B2208" s="61" t="s">
        <v>171</v>
      </c>
      <c r="C2208" s="61" t="s">
        <v>127</v>
      </c>
      <c r="D2208" s="61" t="s">
        <v>2994</v>
      </c>
      <c r="E2208" s="119">
        <v>2.2799999999999998</v>
      </c>
      <c r="F2208" s="148" t="s">
        <v>138</v>
      </c>
      <c r="G2208" s="148" t="s">
        <v>135</v>
      </c>
      <c r="H2208" s="68" t="s">
        <v>39</v>
      </c>
      <c r="J2208" s="74" t="str">
        <f t="shared" si="2"/>
        <v>[TIMES] Glass Flat Production Heat Recovery / Improved Burners CCS</v>
      </c>
      <c r="L2208" s="159"/>
      <c r="M2208" s="48"/>
      <c r="N2208" s="123"/>
    </row>
    <row r="2209" spans="1:14" customFormat="1" x14ac:dyDescent="0.55000000000000004">
      <c r="A2209" s="96" t="s">
        <v>439</v>
      </c>
      <c r="B2209" s="68" t="s">
        <v>160</v>
      </c>
      <c r="C2209" t="s">
        <v>247</v>
      </c>
      <c r="D2209" s="61" t="s">
        <v>3288</v>
      </c>
      <c r="E2209" s="119">
        <f>0.127908-E2210</f>
        <v>1.2790799999999991E-2</v>
      </c>
      <c r="F2209" s="148" t="s">
        <v>135</v>
      </c>
      <c r="G2209" s="148" t="s">
        <v>135</v>
      </c>
      <c r="H2209" s="68" t="s">
        <v>376</v>
      </c>
      <c r="J2209" s="74" t="str">
        <f t="shared" si="2"/>
        <v>[TIMES] Glass Flat Production Heat Recovery / Improved Burners CCS</v>
      </c>
      <c r="L2209" s="159"/>
      <c r="M2209" s="48"/>
      <c r="N2209" s="123"/>
    </row>
    <row r="2210" spans="1:14" customFormat="1" x14ac:dyDescent="0.55000000000000004">
      <c r="A2210" s="96" t="s">
        <v>439</v>
      </c>
      <c r="B2210" s="68" t="s">
        <v>160</v>
      </c>
      <c r="C2210" s="68" t="s">
        <v>156</v>
      </c>
      <c r="D2210" s="61" t="s">
        <v>3288</v>
      </c>
      <c r="E2210" s="119">
        <f>0.127908*0.9</f>
        <v>0.1151172</v>
      </c>
      <c r="F2210" s="148" t="s">
        <v>135</v>
      </c>
      <c r="G2210" s="148" t="s">
        <v>135</v>
      </c>
      <c r="H2210" s="68" t="s">
        <v>376</v>
      </c>
      <c r="I2210" t="s">
        <v>441</v>
      </c>
      <c r="J2210" s="74" t="str">
        <f t="shared" si="2"/>
        <v>[TIMES] Glass Flat Production Heat Recovery / Improved Burners CCS</v>
      </c>
      <c r="L2210" s="159"/>
      <c r="M2210" s="48"/>
      <c r="N2210" s="123"/>
    </row>
    <row r="2211" spans="1:14" customFormat="1" x14ac:dyDescent="0.55000000000000004">
      <c r="A2211" s="96" t="s">
        <v>438</v>
      </c>
      <c r="B2211" s="61" t="s">
        <v>429</v>
      </c>
      <c r="C2211" s="61" t="s">
        <v>121</v>
      </c>
      <c r="D2211" s="61" t="s">
        <v>3288</v>
      </c>
      <c r="E2211" s="119">
        <v>1</v>
      </c>
      <c r="F2211" s="148" t="s">
        <v>135</v>
      </c>
      <c r="G2211" s="148">
        <v>1</v>
      </c>
      <c r="H2211" s="68" t="s">
        <v>39</v>
      </c>
      <c r="J2211" s="74" t="str">
        <f t="shared" si="2"/>
        <v>[TIMES] Glass Hollow Production</v>
      </c>
      <c r="L2211" s="159"/>
      <c r="M2211" s="48"/>
      <c r="N2211" s="123"/>
    </row>
    <row r="2212" spans="1:14" customFormat="1" x14ac:dyDescent="0.55000000000000004">
      <c r="A2212" s="96" t="s">
        <v>438</v>
      </c>
      <c r="B2212" s="61" t="s">
        <v>153</v>
      </c>
      <c r="C2212" s="61" t="s">
        <v>127</v>
      </c>
      <c r="D2212" s="61" t="s">
        <v>2994</v>
      </c>
      <c r="E2212" s="119">
        <v>0.52</v>
      </c>
      <c r="F2212" s="148" t="s">
        <v>138</v>
      </c>
      <c r="G2212" s="148" t="s">
        <v>135</v>
      </c>
      <c r="H2212" s="68" t="s">
        <v>39</v>
      </c>
      <c r="J2212" s="74" t="str">
        <f t="shared" si="2"/>
        <v>[TIMES] Glass Hollow Production</v>
      </c>
      <c r="L2212" s="159"/>
      <c r="M2212" s="48"/>
      <c r="N2212" s="123"/>
    </row>
    <row r="2213" spans="1:14" customFormat="1" x14ac:dyDescent="0.55000000000000004">
      <c r="A2213" s="96" t="s">
        <v>438</v>
      </c>
      <c r="B2213" s="61" t="s">
        <v>171</v>
      </c>
      <c r="C2213" s="61" t="s">
        <v>127</v>
      </c>
      <c r="D2213" s="61" t="s">
        <v>2994</v>
      </c>
      <c r="E2213" s="119">
        <v>5.9</v>
      </c>
      <c r="F2213" s="148" t="s">
        <v>138</v>
      </c>
      <c r="G2213" s="148" t="s">
        <v>135</v>
      </c>
      <c r="H2213" s="68" t="s">
        <v>39</v>
      </c>
      <c r="J2213" s="74" t="str">
        <f t="shared" si="2"/>
        <v>[TIMES] Glass Hollow Production</v>
      </c>
      <c r="L2213" s="159"/>
      <c r="M2213" s="48"/>
      <c r="N2213" s="123"/>
    </row>
    <row r="2214" spans="1:14" customFormat="1" x14ac:dyDescent="0.55000000000000004">
      <c r="A2214" s="96" t="s">
        <v>438</v>
      </c>
      <c r="B2214" s="61" t="s">
        <v>433</v>
      </c>
      <c r="C2214" s="61" t="s">
        <v>127</v>
      </c>
      <c r="D2214" s="61" t="s">
        <v>2994</v>
      </c>
      <c r="E2214" s="119">
        <v>2</v>
      </c>
      <c r="F2214" s="148" t="s">
        <v>138</v>
      </c>
      <c r="G2214" s="148" t="s">
        <v>135</v>
      </c>
      <c r="H2214" s="68" t="s">
        <v>39</v>
      </c>
      <c r="J2214" s="74" t="str">
        <f t="shared" si="2"/>
        <v>[TIMES] Glass Hollow Production</v>
      </c>
      <c r="L2214" s="159"/>
      <c r="M2214" s="48"/>
      <c r="N2214" s="123"/>
    </row>
    <row r="2215" spans="1:14" customFormat="1" x14ac:dyDescent="0.55000000000000004">
      <c r="A2215" s="96" t="s">
        <v>438</v>
      </c>
      <c r="B2215" s="68" t="s">
        <v>160</v>
      </c>
      <c r="C2215" t="s">
        <v>247</v>
      </c>
      <c r="D2215" t="s">
        <v>3288</v>
      </c>
      <c r="E2215" s="119">
        <v>0.48579</v>
      </c>
      <c r="F2215" s="148" t="s">
        <v>135</v>
      </c>
      <c r="G2215" s="148" t="s">
        <v>135</v>
      </c>
      <c r="H2215" s="68" t="s">
        <v>376</v>
      </c>
      <c r="I2215" t="s">
        <v>434</v>
      </c>
      <c r="J2215" s="74" t="str">
        <f t="shared" si="2"/>
        <v>[TIMES] Glass Hollow Production</v>
      </c>
      <c r="L2215" s="159"/>
      <c r="M2215" s="48"/>
      <c r="N2215" s="123"/>
    </row>
    <row r="2216" spans="1:14" customFormat="1" x14ac:dyDescent="0.55000000000000004">
      <c r="A2216" s="96" t="s">
        <v>437</v>
      </c>
      <c r="B2216" s="61" t="s">
        <v>429</v>
      </c>
      <c r="C2216" s="61" t="s">
        <v>121</v>
      </c>
      <c r="D2216" s="61" t="s">
        <v>3288</v>
      </c>
      <c r="E2216" s="119">
        <v>1</v>
      </c>
      <c r="F2216" s="148" t="s">
        <v>135</v>
      </c>
      <c r="G2216" s="148">
        <v>1</v>
      </c>
      <c r="H2216" s="68" t="s">
        <v>39</v>
      </c>
      <c r="J2216" s="74" t="str">
        <f t="shared" si="2"/>
        <v>[TIMES] Glass Hollow Production Heat Recovery / Improved Burners</v>
      </c>
      <c r="L2216" s="159"/>
      <c r="M2216" s="48"/>
      <c r="N2216" s="123"/>
    </row>
    <row r="2217" spans="1:14" customFormat="1" x14ac:dyDescent="0.55000000000000004">
      <c r="A2217" s="96" t="s">
        <v>437</v>
      </c>
      <c r="B2217" s="61" t="s">
        <v>153</v>
      </c>
      <c r="C2217" s="61" t="s">
        <v>127</v>
      </c>
      <c r="D2217" s="61" t="s">
        <v>2994</v>
      </c>
      <c r="E2217" s="119">
        <v>4.8899999999999997</v>
      </c>
      <c r="F2217" s="148" t="s">
        <v>138</v>
      </c>
      <c r="G2217" s="148" t="s">
        <v>135</v>
      </c>
      <c r="H2217" s="68" t="s">
        <v>39</v>
      </c>
      <c r="J2217" s="74" t="str">
        <f t="shared" si="2"/>
        <v>[TIMES] Glass Hollow Production Heat Recovery / Improved Burners</v>
      </c>
      <c r="L2217" s="159"/>
      <c r="M2217" s="48"/>
      <c r="N2217" s="123"/>
    </row>
    <row r="2218" spans="1:14" customFormat="1" x14ac:dyDescent="0.55000000000000004">
      <c r="A2218" s="96" t="s">
        <v>437</v>
      </c>
      <c r="B2218" s="61" t="s">
        <v>171</v>
      </c>
      <c r="C2218" s="61" t="s">
        <v>127</v>
      </c>
      <c r="D2218" s="61" t="s">
        <v>2994</v>
      </c>
      <c r="E2218" s="119">
        <v>3.75</v>
      </c>
      <c r="F2218" s="148" t="s">
        <v>138</v>
      </c>
      <c r="G2218" s="148" t="s">
        <v>135</v>
      </c>
      <c r="H2218" s="68" t="s">
        <v>39</v>
      </c>
      <c r="J2218" s="74" t="str">
        <f t="shared" si="2"/>
        <v>[TIMES] Glass Hollow Production Heat Recovery / Improved Burners</v>
      </c>
      <c r="L2218" s="159"/>
      <c r="M2218" s="48"/>
      <c r="N2218" s="123"/>
    </row>
    <row r="2219" spans="1:14" customFormat="1" x14ac:dyDescent="0.55000000000000004">
      <c r="A2219" s="96" t="s">
        <v>437</v>
      </c>
      <c r="B2219" s="61" t="s">
        <v>433</v>
      </c>
      <c r="C2219" s="61" t="s">
        <v>127</v>
      </c>
      <c r="D2219" s="61" t="s">
        <v>2994</v>
      </c>
      <c r="E2219" s="119">
        <v>0.75</v>
      </c>
      <c r="F2219" s="148" t="s">
        <v>138</v>
      </c>
      <c r="G2219" s="148" t="s">
        <v>135</v>
      </c>
      <c r="H2219" s="68" t="s">
        <v>39</v>
      </c>
      <c r="J2219" s="74" t="str">
        <f t="shared" si="2"/>
        <v>[TIMES] Glass Hollow Production Heat Recovery / Improved Burners</v>
      </c>
      <c r="L2219" s="159"/>
      <c r="M2219" s="48"/>
      <c r="N2219" s="123"/>
    </row>
    <row r="2220" spans="1:14" customFormat="1" x14ac:dyDescent="0.55000000000000004">
      <c r="A2220" s="96" t="s">
        <v>437</v>
      </c>
      <c r="B2220" s="68" t="s">
        <v>160</v>
      </c>
      <c r="C2220" t="s">
        <v>247</v>
      </c>
      <c r="D2220" t="s">
        <v>3288</v>
      </c>
      <c r="E2220" s="119">
        <v>0.26842500000000002</v>
      </c>
      <c r="F2220" s="148" t="s">
        <v>135</v>
      </c>
      <c r="G2220" s="148" t="s">
        <v>135</v>
      </c>
      <c r="H2220" s="68" t="s">
        <v>376</v>
      </c>
      <c r="I2220" t="s">
        <v>434</v>
      </c>
      <c r="J2220" s="74" t="str">
        <f t="shared" si="2"/>
        <v>[TIMES] Glass Hollow Production Heat Recovery / Improved Burners</v>
      </c>
      <c r="L2220" s="159"/>
      <c r="M2220" s="48"/>
      <c r="N2220" s="123"/>
    </row>
    <row r="2221" spans="1:14" customFormat="1" x14ac:dyDescent="0.55000000000000004">
      <c r="A2221" s="96" t="s">
        <v>435</v>
      </c>
      <c r="B2221" s="61" t="s">
        <v>429</v>
      </c>
      <c r="C2221" s="61" t="s">
        <v>121</v>
      </c>
      <c r="D2221" s="61" t="s">
        <v>3288</v>
      </c>
      <c r="E2221" s="119">
        <v>1</v>
      </c>
      <c r="F2221" s="148" t="s">
        <v>135</v>
      </c>
      <c r="G2221" s="148">
        <v>1</v>
      </c>
      <c r="H2221" s="68" t="s">
        <v>39</v>
      </c>
      <c r="J2221" s="74" t="str">
        <f t="shared" si="2"/>
        <v>[TIMES] Glass Hollow Production Heat Recovery / Improved Burners CCS</v>
      </c>
      <c r="L2221" s="159"/>
      <c r="M2221" s="48"/>
      <c r="N2221" s="123"/>
    </row>
    <row r="2222" spans="1:14" customFormat="1" x14ac:dyDescent="0.55000000000000004">
      <c r="A2222" s="96" t="s">
        <v>435</v>
      </c>
      <c r="B2222" s="61" t="s">
        <v>153</v>
      </c>
      <c r="C2222" s="61" t="s">
        <v>127</v>
      </c>
      <c r="D2222" s="61" t="s">
        <v>2994</v>
      </c>
      <c r="E2222" s="119">
        <v>5.367</v>
      </c>
      <c r="F2222" s="148" t="s">
        <v>138</v>
      </c>
      <c r="G2222" s="148" t="s">
        <v>135</v>
      </c>
      <c r="H2222" s="68" t="s">
        <v>39</v>
      </c>
      <c r="J2222" s="74" t="str">
        <f t="shared" si="2"/>
        <v>[TIMES] Glass Hollow Production Heat Recovery / Improved Burners CCS</v>
      </c>
      <c r="L2222" s="159"/>
      <c r="M2222" s="48"/>
      <c r="N2222" s="123"/>
    </row>
    <row r="2223" spans="1:14" customFormat="1" x14ac:dyDescent="0.55000000000000004">
      <c r="A2223" s="96" t="s">
        <v>435</v>
      </c>
      <c r="B2223" s="61" t="s">
        <v>171</v>
      </c>
      <c r="C2223" s="61" t="s">
        <v>127</v>
      </c>
      <c r="D2223" s="61" t="s">
        <v>2994</v>
      </c>
      <c r="E2223" s="119">
        <v>3.79</v>
      </c>
      <c r="F2223" s="148" t="s">
        <v>138</v>
      </c>
      <c r="G2223" s="148" t="s">
        <v>135</v>
      </c>
      <c r="H2223" s="68" t="s">
        <v>39</v>
      </c>
      <c r="J2223" s="74" t="str">
        <f t="shared" si="2"/>
        <v>[TIMES] Glass Hollow Production Heat Recovery / Improved Burners CCS</v>
      </c>
      <c r="L2223" s="159"/>
      <c r="M2223" s="48"/>
      <c r="N2223" s="123"/>
    </row>
    <row r="2224" spans="1:14" customFormat="1" x14ac:dyDescent="0.55000000000000004">
      <c r="A2224" s="96" t="s">
        <v>435</v>
      </c>
      <c r="B2224" s="68" t="s">
        <v>160</v>
      </c>
      <c r="C2224" t="s">
        <v>247</v>
      </c>
      <c r="D2224" s="61" t="s">
        <v>3288</v>
      </c>
      <c r="E2224" s="119">
        <f>0.270669-E2225</f>
        <v>2.7066900000000005E-2</v>
      </c>
      <c r="F2224" s="148" t="s">
        <v>135</v>
      </c>
      <c r="G2224" s="148" t="s">
        <v>135</v>
      </c>
      <c r="H2224" s="68" t="s">
        <v>376</v>
      </c>
      <c r="J2224" s="74" t="str">
        <f t="shared" si="2"/>
        <v>[TIMES] Glass Hollow Production Heat Recovery / Improved Burners CCS</v>
      </c>
      <c r="L2224" s="159"/>
      <c r="M2224" s="48"/>
      <c r="N2224" s="123"/>
    </row>
    <row r="2225" spans="1:14" customFormat="1" x14ac:dyDescent="0.55000000000000004">
      <c r="A2225" s="96" t="s">
        <v>435</v>
      </c>
      <c r="B2225" s="68" t="s">
        <v>160</v>
      </c>
      <c r="C2225" s="68" t="s">
        <v>156</v>
      </c>
      <c r="D2225" s="61" t="s">
        <v>3288</v>
      </c>
      <c r="E2225" s="119">
        <f>0.270669*0.9</f>
        <v>0.24360209999999999</v>
      </c>
      <c r="F2225" s="148" t="s">
        <v>135</v>
      </c>
      <c r="G2225" s="148" t="s">
        <v>135</v>
      </c>
      <c r="H2225" s="68" t="s">
        <v>376</v>
      </c>
      <c r="I2225" t="s">
        <v>436</v>
      </c>
      <c r="J2225" s="74" t="str">
        <f t="shared" si="2"/>
        <v>[TIMES] Glass Hollow Production Heat Recovery / Improved Burners CCS</v>
      </c>
      <c r="L2225" s="159"/>
      <c r="M2225" s="48"/>
      <c r="N2225" s="123"/>
    </row>
    <row r="2226" spans="1:14" customFormat="1" x14ac:dyDescent="0.55000000000000004">
      <c r="A2226" s="96" t="s">
        <v>432</v>
      </c>
      <c r="B2226" s="61" t="s">
        <v>429</v>
      </c>
      <c r="C2226" s="61" t="s">
        <v>121</v>
      </c>
      <c r="D2226" s="61" t="s">
        <v>3288</v>
      </c>
      <c r="E2226" s="119">
        <v>1</v>
      </c>
      <c r="F2226" s="148" t="s">
        <v>135</v>
      </c>
      <c r="G2226" s="148">
        <v>1</v>
      </c>
      <c r="H2226" s="68" t="s">
        <v>39</v>
      </c>
      <c r="J2226" s="74" t="str">
        <f t="shared" si="2"/>
        <v>[TIMES] Glass Hollow Recycling</v>
      </c>
      <c r="L2226" s="159"/>
      <c r="M2226" s="48"/>
      <c r="N2226" s="123"/>
    </row>
    <row r="2227" spans="1:14" customFormat="1" x14ac:dyDescent="0.55000000000000004">
      <c r="A2227" s="96" t="s">
        <v>432</v>
      </c>
      <c r="B2227" s="61" t="s">
        <v>153</v>
      </c>
      <c r="C2227" s="61" t="s">
        <v>127</v>
      </c>
      <c r="D2227" s="61" t="s">
        <v>2994</v>
      </c>
      <c r="E2227" s="119">
        <v>0.52</v>
      </c>
      <c r="F2227" s="148" t="s">
        <v>138</v>
      </c>
      <c r="G2227" s="148" t="s">
        <v>135</v>
      </c>
      <c r="H2227" s="68" t="s">
        <v>39</v>
      </c>
      <c r="J2227" s="74" t="str">
        <f t="shared" si="2"/>
        <v>[TIMES] Glass Hollow Recycling</v>
      </c>
      <c r="L2227" s="159"/>
      <c r="M2227" s="48"/>
      <c r="N2227" s="123"/>
    </row>
    <row r="2228" spans="1:14" customFormat="1" x14ac:dyDescent="0.55000000000000004">
      <c r="A2228" s="96" t="s">
        <v>432</v>
      </c>
      <c r="B2228" s="61" t="s">
        <v>171</v>
      </c>
      <c r="C2228" s="61" t="s">
        <v>127</v>
      </c>
      <c r="D2228" s="61" t="s">
        <v>2994</v>
      </c>
      <c r="E2228" s="119">
        <v>3.9</v>
      </c>
      <c r="F2228" s="148" t="s">
        <v>138</v>
      </c>
      <c r="G2228" s="148" t="s">
        <v>135</v>
      </c>
      <c r="H2228" s="68" t="s">
        <v>39</v>
      </c>
      <c r="J2228" s="74" t="str">
        <f t="shared" si="2"/>
        <v>[TIMES] Glass Hollow Recycling</v>
      </c>
      <c r="L2228" s="159"/>
      <c r="M2228" s="48"/>
      <c r="N2228" s="123"/>
    </row>
    <row r="2229" spans="1:14" customFormat="1" x14ac:dyDescent="0.55000000000000004">
      <c r="A2229" s="96" t="s">
        <v>432</v>
      </c>
      <c r="B2229" s="61" t="s">
        <v>433</v>
      </c>
      <c r="C2229" s="61" t="s">
        <v>127</v>
      </c>
      <c r="D2229" s="61" t="s">
        <v>2994</v>
      </c>
      <c r="E2229" s="119">
        <v>1.5</v>
      </c>
      <c r="F2229" s="148" t="s">
        <v>138</v>
      </c>
      <c r="G2229" s="148" t="s">
        <v>135</v>
      </c>
      <c r="H2229" s="68" t="s">
        <v>39</v>
      </c>
      <c r="J2229" s="74" t="str">
        <f t="shared" si="2"/>
        <v>[TIMES] Glass Hollow Recycling</v>
      </c>
      <c r="L2229" s="159"/>
      <c r="M2229" s="48"/>
      <c r="N2229" s="123"/>
    </row>
    <row r="2230" spans="1:14" customFormat="1" x14ac:dyDescent="0.55000000000000004">
      <c r="A2230" s="96" t="s">
        <v>432</v>
      </c>
      <c r="B2230" t="s">
        <v>131</v>
      </c>
      <c r="C2230" s="61" t="s">
        <v>132</v>
      </c>
      <c r="D2230" s="61" t="s">
        <v>3288</v>
      </c>
      <c r="E2230" s="119">
        <v>1.79</v>
      </c>
      <c r="F2230" s="148" t="s">
        <v>135</v>
      </c>
      <c r="G2230" s="148" t="s">
        <v>135</v>
      </c>
      <c r="H2230" s="68" t="s">
        <v>39</v>
      </c>
      <c r="J2230" s="74" t="str">
        <f t="shared" ref="J2230:J2261" si="3">A2230</f>
        <v>[TIMES] Glass Hollow Recycling</v>
      </c>
      <c r="L2230" s="159"/>
      <c r="M2230" s="48"/>
      <c r="N2230" s="123"/>
    </row>
    <row r="2231" spans="1:14" customFormat="1" x14ac:dyDescent="0.55000000000000004">
      <c r="A2231" s="96" t="s">
        <v>432</v>
      </c>
      <c r="B2231" s="61" t="s">
        <v>430</v>
      </c>
      <c r="C2231" s="61" t="s">
        <v>125</v>
      </c>
      <c r="D2231" s="61" t="s">
        <v>3288</v>
      </c>
      <c r="E2231" s="119">
        <v>1.05</v>
      </c>
      <c r="F2231" s="148" t="s">
        <v>135</v>
      </c>
      <c r="G2231" s="148" t="s">
        <v>135</v>
      </c>
      <c r="H2231" s="68" t="s">
        <v>39</v>
      </c>
      <c r="J2231" s="74" t="str">
        <f t="shared" si="3"/>
        <v>[TIMES] Glass Hollow Recycling</v>
      </c>
      <c r="L2231" s="159"/>
      <c r="M2231" s="48"/>
      <c r="N2231" s="123"/>
    </row>
    <row r="2232" spans="1:14" customFormat="1" x14ac:dyDescent="0.55000000000000004">
      <c r="A2232" s="96" t="s">
        <v>432</v>
      </c>
      <c r="B2232" s="68" t="s">
        <v>160</v>
      </c>
      <c r="C2232" t="s">
        <v>247</v>
      </c>
      <c r="D2232" s="61" t="s">
        <v>3288</v>
      </c>
      <c r="E2232" s="119">
        <v>0.33489000000000002</v>
      </c>
      <c r="F2232" s="148" t="s">
        <v>135</v>
      </c>
      <c r="G2232" s="148" t="s">
        <v>135</v>
      </c>
      <c r="H2232" s="68" t="s">
        <v>376</v>
      </c>
      <c r="I2232" t="s">
        <v>434</v>
      </c>
      <c r="J2232" s="74" t="str">
        <f t="shared" si="3"/>
        <v>[TIMES] Glass Hollow Recycling</v>
      </c>
      <c r="L2232" s="159"/>
      <c r="M2232" s="48"/>
      <c r="N2232" s="123"/>
    </row>
    <row r="2233" spans="1:14" customFormat="1" x14ac:dyDescent="0.55000000000000004">
      <c r="A2233" s="96" t="s">
        <v>431</v>
      </c>
      <c r="B2233" s="61" t="s">
        <v>429</v>
      </c>
      <c r="C2233" s="61" t="s">
        <v>121</v>
      </c>
      <c r="D2233" s="61" t="s">
        <v>3288</v>
      </c>
      <c r="E2233" s="119">
        <v>1</v>
      </c>
      <c r="F2233" s="148" t="s">
        <v>135</v>
      </c>
      <c r="G2233" s="148">
        <v>1</v>
      </c>
      <c r="H2233" s="68" t="s">
        <v>39</v>
      </c>
      <c r="J2233" s="74" t="str">
        <f t="shared" si="3"/>
        <v>[TIMES] Glass Hollow Recycling Improved Melting</v>
      </c>
      <c r="L2233" s="159"/>
      <c r="M2233" s="48"/>
      <c r="N2233" s="123"/>
    </row>
    <row r="2234" spans="1:14" customFormat="1" x14ac:dyDescent="0.55000000000000004">
      <c r="A2234" s="96" t="s">
        <v>431</v>
      </c>
      <c r="B2234" s="61" t="s">
        <v>153</v>
      </c>
      <c r="C2234" s="61" t="s">
        <v>127</v>
      </c>
      <c r="D2234" s="61" t="s">
        <v>2994</v>
      </c>
      <c r="E2234" s="119">
        <f>E2251/E2256*E2239</f>
        <v>17.297871175211483</v>
      </c>
      <c r="F2234" s="148" t="s">
        <v>138</v>
      </c>
      <c r="G2234" s="148" t="s">
        <v>135</v>
      </c>
      <c r="H2234" s="68" t="s">
        <v>39</v>
      </c>
      <c r="J2234" s="74" t="str">
        <f t="shared" si="3"/>
        <v>[TIMES] Glass Hollow Recycling Improved Melting</v>
      </c>
      <c r="L2234" s="159"/>
      <c r="M2234" s="48"/>
      <c r="N2234" s="123"/>
    </row>
    <row r="2235" spans="1:14" customFormat="1" x14ac:dyDescent="0.55000000000000004">
      <c r="A2235" s="96" t="s">
        <v>431</v>
      </c>
      <c r="B2235" s="61" t="s">
        <v>171</v>
      </c>
      <c r="C2235" s="61" t="s">
        <v>127</v>
      </c>
      <c r="D2235" s="61" t="s">
        <v>2994</v>
      </c>
      <c r="E2235" s="119">
        <f>E2252/E2257*E2240</f>
        <v>93.440000000000012</v>
      </c>
      <c r="F2235" s="148" t="s">
        <v>138</v>
      </c>
      <c r="G2235" s="148" t="s">
        <v>135</v>
      </c>
      <c r="H2235" s="68" t="s">
        <v>39</v>
      </c>
      <c r="J2235" s="74" t="str">
        <f t="shared" si="3"/>
        <v>[TIMES] Glass Hollow Recycling Improved Melting</v>
      </c>
      <c r="L2235" s="159"/>
      <c r="M2235" s="48"/>
      <c r="N2235" s="123"/>
    </row>
    <row r="2236" spans="1:14" customFormat="1" x14ac:dyDescent="0.55000000000000004">
      <c r="A2236" s="96" t="s">
        <v>431</v>
      </c>
      <c r="B2236" t="s">
        <v>131</v>
      </c>
      <c r="C2236" s="61" t="s">
        <v>132</v>
      </c>
      <c r="D2236" s="61" t="s">
        <v>3288</v>
      </c>
      <c r="E2236" s="119">
        <v>1.786</v>
      </c>
      <c r="F2236" s="148" t="s">
        <v>135</v>
      </c>
      <c r="G2236" s="148" t="s">
        <v>135</v>
      </c>
      <c r="H2236" s="68" t="s">
        <v>39</v>
      </c>
      <c r="J2236" s="74" t="str">
        <f t="shared" si="3"/>
        <v>[TIMES] Glass Hollow Recycling Improved Melting</v>
      </c>
      <c r="L2236" s="159"/>
      <c r="M2236" s="48"/>
      <c r="N2236" s="123"/>
    </row>
    <row r="2237" spans="1:14" customFormat="1" x14ac:dyDescent="0.55000000000000004">
      <c r="A2237" s="96" t="s">
        <v>431</v>
      </c>
      <c r="B2237" s="68" t="s">
        <v>160</v>
      </c>
      <c r="C2237" t="s">
        <v>247</v>
      </c>
      <c r="D2237" s="61" t="s">
        <v>3288</v>
      </c>
      <c r="E2237" s="119">
        <v>0.13906144100000001</v>
      </c>
      <c r="F2237" s="148" t="s">
        <v>135</v>
      </c>
      <c r="G2237" s="148" t="s">
        <v>135</v>
      </c>
      <c r="H2237" s="68" t="s">
        <v>376</v>
      </c>
      <c r="J2237" s="74" t="str">
        <f t="shared" si="3"/>
        <v>[TIMES] Glass Hollow Recycling Improved Melting</v>
      </c>
      <c r="L2237" s="159"/>
      <c r="M2237" s="48"/>
      <c r="N2237" s="123"/>
    </row>
    <row r="2238" spans="1:14" customFormat="1" x14ac:dyDescent="0.55000000000000004">
      <c r="A2238" s="96" t="s">
        <v>428</v>
      </c>
      <c r="B2238" s="61" t="s">
        <v>429</v>
      </c>
      <c r="C2238" s="61" t="s">
        <v>121</v>
      </c>
      <c r="D2238" s="61" t="s">
        <v>3288</v>
      </c>
      <c r="E2238" s="119">
        <v>1</v>
      </c>
      <c r="F2238" s="148" t="s">
        <v>135</v>
      </c>
      <c r="G2238" s="148">
        <v>1</v>
      </c>
      <c r="H2238" s="61"/>
      <c r="J2238" s="74" t="str">
        <f t="shared" si="3"/>
        <v>[TIMES] Glass Hollow Recycling Improved Melting CCS</v>
      </c>
      <c r="L2238" s="159"/>
      <c r="M2238" s="48"/>
      <c r="N2238" s="123"/>
    </row>
    <row r="2239" spans="1:14" customFormat="1" x14ac:dyDescent="0.55000000000000004">
      <c r="A2239" s="96" t="s">
        <v>428</v>
      </c>
      <c r="B2239" s="61" t="s">
        <v>153</v>
      </c>
      <c r="C2239" s="61" t="s">
        <v>127</v>
      </c>
      <c r="D2239" s="61" t="s">
        <v>2994</v>
      </c>
      <c r="E2239" s="119">
        <f>E2258/E2268*E2251</f>
        <v>2.0965019864356322</v>
      </c>
      <c r="F2239" s="148" t="s">
        <v>138</v>
      </c>
      <c r="G2239" s="148" t="s">
        <v>135</v>
      </c>
      <c r="H2239" s="68" t="s">
        <v>39</v>
      </c>
      <c r="J2239" s="74" t="str">
        <f t="shared" si="3"/>
        <v>[TIMES] Glass Hollow Recycling Improved Melting CCS</v>
      </c>
      <c r="L2239" s="159"/>
      <c r="M2239" s="48"/>
      <c r="N2239" s="123"/>
    </row>
    <row r="2240" spans="1:14" customFormat="1" x14ac:dyDescent="0.55000000000000004">
      <c r="A2240" s="96" t="s">
        <v>428</v>
      </c>
      <c r="B2240" s="61" t="s">
        <v>171</v>
      </c>
      <c r="C2240" s="61" t="s">
        <v>127</v>
      </c>
      <c r="D2240" s="61" t="s">
        <v>2994</v>
      </c>
      <c r="E2240" s="119">
        <f>E2259/E2269*E2252</f>
        <v>58.400000000000006</v>
      </c>
      <c r="F2240" s="148" t="s">
        <v>138</v>
      </c>
      <c r="G2240" s="148" t="s">
        <v>135</v>
      </c>
      <c r="H2240" s="68" t="s">
        <v>39</v>
      </c>
      <c r="J2240" s="74" t="str">
        <f t="shared" si="3"/>
        <v>[TIMES] Glass Hollow Recycling Improved Melting CCS</v>
      </c>
      <c r="L2240" s="159"/>
      <c r="M2240" s="48"/>
      <c r="N2240" s="123"/>
    </row>
    <row r="2241" spans="1:14" customFormat="1" x14ac:dyDescent="0.55000000000000004">
      <c r="A2241" s="96" t="s">
        <v>428</v>
      </c>
      <c r="B2241" t="s">
        <v>131</v>
      </c>
      <c r="C2241" s="61" t="s">
        <v>132</v>
      </c>
      <c r="D2241" s="61" t="s">
        <v>3288</v>
      </c>
      <c r="E2241" s="119">
        <v>1.786</v>
      </c>
      <c r="F2241" s="148" t="s">
        <v>135</v>
      </c>
      <c r="G2241" s="148" t="s">
        <v>135</v>
      </c>
      <c r="H2241" s="68" t="s">
        <v>39</v>
      </c>
      <c r="J2241" s="74" t="str">
        <f t="shared" si="3"/>
        <v>[TIMES] Glass Hollow Recycling Improved Melting CCS</v>
      </c>
      <c r="L2241" s="159"/>
      <c r="M2241" s="48"/>
      <c r="N2241" s="123"/>
    </row>
    <row r="2242" spans="1:14" customFormat="1" x14ac:dyDescent="0.55000000000000004">
      <c r="A2242" s="96" t="s">
        <v>428</v>
      </c>
      <c r="B2242" s="61" t="s">
        <v>430</v>
      </c>
      <c r="C2242" s="61" t="s">
        <v>125</v>
      </c>
      <c r="D2242" s="61" t="s">
        <v>3288</v>
      </c>
      <c r="E2242" s="119">
        <v>1.2</v>
      </c>
      <c r="F2242" s="148" t="s">
        <v>135</v>
      </c>
      <c r="G2242" s="148" t="s">
        <v>135</v>
      </c>
      <c r="H2242" s="68" t="s">
        <v>39</v>
      </c>
      <c r="J2242" s="74" t="str">
        <f t="shared" si="3"/>
        <v>[TIMES] Glass Hollow Recycling Improved Melting CCS</v>
      </c>
      <c r="L2242" s="159"/>
      <c r="M2242" s="48"/>
      <c r="N2242" s="123"/>
    </row>
    <row r="2243" spans="1:14" customFormat="1" x14ac:dyDescent="0.55000000000000004">
      <c r="A2243" s="96" t="s">
        <v>428</v>
      </c>
      <c r="B2243" s="68" t="s">
        <v>160</v>
      </c>
      <c r="C2243" t="s">
        <v>247</v>
      </c>
      <c r="D2243" s="61" t="s">
        <v>3288</v>
      </c>
      <c r="E2243" s="119">
        <f>0.38709-E2244</f>
        <v>0.26059971329999998</v>
      </c>
      <c r="F2243" s="148" t="s">
        <v>135</v>
      </c>
      <c r="G2243" s="148" t="s">
        <v>135</v>
      </c>
      <c r="H2243" s="68" t="s">
        <v>376</v>
      </c>
      <c r="J2243" s="74" t="str">
        <f t="shared" si="3"/>
        <v>[TIMES] Glass Hollow Recycling Improved Melting CCS</v>
      </c>
      <c r="L2243" s="159"/>
      <c r="M2243" s="48"/>
      <c r="N2243" s="123"/>
    </row>
    <row r="2244" spans="1:14" customFormat="1" x14ac:dyDescent="0.55000000000000004">
      <c r="A2244" s="96" t="s">
        <v>428</v>
      </c>
      <c r="B2244" s="68" t="s">
        <v>160</v>
      </c>
      <c r="C2244" s="68" t="s">
        <v>156</v>
      </c>
      <c r="D2244" s="61" t="s">
        <v>3288</v>
      </c>
      <c r="E2244" s="119">
        <f>0.140544763*0.9</f>
        <v>0.12649028669999998</v>
      </c>
      <c r="F2244" s="148" t="s">
        <v>135</v>
      </c>
      <c r="G2244" s="148" t="s">
        <v>135</v>
      </c>
      <c r="H2244" s="68" t="s">
        <v>376</v>
      </c>
      <c r="J2244" s="74" t="str">
        <f t="shared" si="3"/>
        <v>[TIMES] Glass Hollow Recycling Improved Melting CCS</v>
      </c>
      <c r="L2244" s="159"/>
      <c r="M2244" s="48"/>
      <c r="N2244" s="123"/>
    </row>
    <row r="2245" spans="1:14" customFormat="1" x14ac:dyDescent="0.55000000000000004">
      <c r="A2245" s="101" t="s">
        <v>427</v>
      </c>
      <c r="B2245" t="s">
        <v>210</v>
      </c>
      <c r="C2245" s="61" t="s">
        <v>121</v>
      </c>
      <c r="D2245" s="61" t="s">
        <v>3288</v>
      </c>
      <c r="E2245" s="119">
        <v>1</v>
      </c>
      <c r="F2245" s="148" t="s">
        <v>135</v>
      </c>
      <c r="G2245" s="148" t="s">
        <v>135</v>
      </c>
      <c r="H2245" s="68" t="s">
        <v>39</v>
      </c>
      <c r="J2245" s="74" t="str">
        <f t="shared" si="3"/>
        <v>[TIMES] Hall Heroult Optimal Electrolysis</v>
      </c>
      <c r="L2245" s="159"/>
      <c r="M2245" s="48"/>
      <c r="N2245" s="123"/>
    </row>
    <row r="2246" spans="1:14" customFormat="1" x14ac:dyDescent="0.55000000000000004">
      <c r="A2246" s="101" t="s">
        <v>427</v>
      </c>
      <c r="B2246" s="61" t="s">
        <v>421</v>
      </c>
      <c r="C2246" s="61" t="s">
        <v>132</v>
      </c>
      <c r="D2246" s="61" t="s">
        <v>3288</v>
      </c>
      <c r="E2246" s="119">
        <v>1.6</v>
      </c>
      <c r="F2246" s="148" t="s">
        <v>135</v>
      </c>
      <c r="G2246" s="148" t="s">
        <v>135</v>
      </c>
      <c r="H2246" s="68" t="s">
        <v>39</v>
      </c>
      <c r="J2246" s="74" t="str">
        <f t="shared" si="3"/>
        <v>[TIMES] Hall Heroult Optimal Electrolysis</v>
      </c>
      <c r="L2246" s="159"/>
      <c r="M2246" s="48"/>
      <c r="N2246" s="123"/>
    </row>
    <row r="2247" spans="1:14" customFormat="1" x14ac:dyDescent="0.55000000000000004">
      <c r="A2247" s="101" t="s">
        <v>427</v>
      </c>
      <c r="B2247" s="61" t="s">
        <v>153</v>
      </c>
      <c r="C2247" s="61" t="s">
        <v>127</v>
      </c>
      <c r="D2247" s="61" t="s">
        <v>2994</v>
      </c>
      <c r="E2247" s="119">
        <v>38</v>
      </c>
      <c r="F2247" s="148" t="s">
        <v>138</v>
      </c>
      <c r="G2247" s="148" t="s">
        <v>135</v>
      </c>
      <c r="H2247" s="68" t="s">
        <v>39</v>
      </c>
      <c r="J2247" s="74" t="str">
        <f t="shared" si="3"/>
        <v>[TIMES] Hall Heroult Optimal Electrolysis</v>
      </c>
      <c r="L2247" s="159"/>
      <c r="M2247" s="48"/>
      <c r="N2247" s="123"/>
    </row>
    <row r="2248" spans="1:14" customFormat="1" x14ac:dyDescent="0.55000000000000004">
      <c r="A2248" s="101" t="s">
        <v>427</v>
      </c>
      <c r="B2248" s="61" t="s">
        <v>171</v>
      </c>
      <c r="C2248" s="61" t="s">
        <v>127</v>
      </c>
      <c r="D2248" s="61" t="s">
        <v>2994</v>
      </c>
      <c r="E2248" s="119">
        <v>1.5</v>
      </c>
      <c r="F2248" s="148" t="s">
        <v>138</v>
      </c>
      <c r="G2248" s="148" t="s">
        <v>135</v>
      </c>
      <c r="H2248" s="68" t="s">
        <v>39</v>
      </c>
      <c r="J2248" s="74" t="str">
        <f t="shared" si="3"/>
        <v>[TIMES] Hall Heroult Optimal Electrolysis</v>
      </c>
      <c r="L2248" s="159"/>
      <c r="M2248" s="48"/>
      <c r="N2248" s="123"/>
    </row>
    <row r="2249" spans="1:14" customFormat="1" x14ac:dyDescent="0.55000000000000004">
      <c r="A2249" s="101" t="s">
        <v>427</v>
      </c>
      <c r="B2249" s="61" t="s">
        <v>422</v>
      </c>
      <c r="C2249" s="61" t="s">
        <v>127</v>
      </c>
      <c r="D2249" s="61" t="s">
        <v>2994</v>
      </c>
      <c r="E2249" s="119">
        <v>0.5</v>
      </c>
      <c r="F2249" s="148" t="s">
        <v>138</v>
      </c>
      <c r="G2249" s="148" t="s">
        <v>135</v>
      </c>
      <c r="H2249" s="68" t="s">
        <v>39</v>
      </c>
      <c r="J2249" s="74" t="str">
        <f t="shared" si="3"/>
        <v>[TIMES] Hall Heroult Optimal Electrolysis</v>
      </c>
      <c r="L2249" s="159"/>
      <c r="M2249" s="48"/>
      <c r="N2249" s="123"/>
    </row>
    <row r="2250" spans="1:14" customFormat="1" x14ac:dyDescent="0.55000000000000004">
      <c r="A2250" s="101" t="s">
        <v>427</v>
      </c>
      <c r="B2250" t="s">
        <v>160</v>
      </c>
      <c r="C2250" t="s">
        <v>247</v>
      </c>
      <c r="D2250" s="61" t="s">
        <v>3288</v>
      </c>
      <c r="E2250" s="119">
        <v>0.1212</v>
      </c>
      <c r="F2250" s="148" t="s">
        <v>135</v>
      </c>
      <c r="G2250" s="148" t="s">
        <v>135</v>
      </c>
      <c r="H2250" s="68" t="s">
        <v>376</v>
      </c>
      <c r="I2250" t="s">
        <v>424</v>
      </c>
      <c r="J2250" s="74" t="str">
        <f t="shared" si="3"/>
        <v>[TIMES] Hall Heroult Optimal Electrolysis</v>
      </c>
      <c r="L2250" s="159"/>
      <c r="M2250" s="48"/>
      <c r="N2250" s="123"/>
    </row>
    <row r="2251" spans="1:14" customFormat="1" x14ac:dyDescent="0.55000000000000004">
      <c r="A2251" s="101" t="s">
        <v>426</v>
      </c>
      <c r="B2251" t="s">
        <v>210</v>
      </c>
      <c r="C2251" s="61" t="s">
        <v>121</v>
      </c>
      <c r="D2251" s="61" t="s">
        <v>3288</v>
      </c>
      <c r="E2251" s="119">
        <v>1</v>
      </c>
      <c r="F2251" s="148" t="s">
        <v>135</v>
      </c>
      <c r="G2251" s="148">
        <v>1</v>
      </c>
      <c r="H2251" s="68" t="s">
        <v>39</v>
      </c>
      <c r="J2251" s="74" t="str">
        <f t="shared" si="3"/>
        <v>[TIMES] Hall Heroult Point Feeders</v>
      </c>
      <c r="L2251" s="159"/>
      <c r="M2251" s="48"/>
      <c r="N2251" s="123"/>
    </row>
    <row r="2252" spans="1:14" customFormat="1" x14ac:dyDescent="0.55000000000000004">
      <c r="A2252" s="101" t="s">
        <v>426</v>
      </c>
      <c r="B2252" s="61" t="s">
        <v>421</v>
      </c>
      <c r="C2252" s="61" t="s">
        <v>132</v>
      </c>
      <c r="D2252" s="61" t="s">
        <v>3288</v>
      </c>
      <c r="E2252" s="119">
        <v>1.6</v>
      </c>
      <c r="F2252" s="148" t="s">
        <v>135</v>
      </c>
      <c r="G2252" s="148" t="s">
        <v>135</v>
      </c>
      <c r="H2252" s="68" t="s">
        <v>39</v>
      </c>
      <c r="J2252" s="74" t="str">
        <f t="shared" si="3"/>
        <v>[TIMES] Hall Heroult Point Feeders</v>
      </c>
      <c r="L2252" s="159"/>
      <c r="M2252" s="48"/>
      <c r="N2252" s="123"/>
    </row>
    <row r="2253" spans="1:14" customFormat="1" x14ac:dyDescent="0.55000000000000004">
      <c r="A2253" s="101" t="s">
        <v>426</v>
      </c>
      <c r="B2253" s="61" t="s">
        <v>153</v>
      </c>
      <c r="C2253" s="61" t="s">
        <v>127</v>
      </c>
      <c r="D2253" s="61" t="s">
        <v>2994</v>
      </c>
      <c r="E2253" s="119">
        <v>35.200000000000003</v>
      </c>
      <c r="F2253" s="148" t="s">
        <v>138</v>
      </c>
      <c r="G2253" s="148" t="s">
        <v>135</v>
      </c>
      <c r="H2253" s="68" t="s">
        <v>39</v>
      </c>
      <c r="J2253" s="74" t="str">
        <f t="shared" si="3"/>
        <v>[TIMES] Hall Heroult Point Feeders</v>
      </c>
      <c r="L2253" s="159"/>
      <c r="M2253" s="48"/>
      <c r="N2253" s="123"/>
    </row>
    <row r="2254" spans="1:14" customFormat="1" x14ac:dyDescent="0.55000000000000004">
      <c r="A2254" s="101" t="s">
        <v>426</v>
      </c>
      <c r="B2254" s="61" t="s">
        <v>171</v>
      </c>
      <c r="C2254" s="61" t="s">
        <v>127</v>
      </c>
      <c r="D2254" s="61" t="s">
        <v>2994</v>
      </c>
      <c r="E2254" s="119">
        <v>1.5</v>
      </c>
      <c r="F2254" s="148" t="s">
        <v>138</v>
      </c>
      <c r="G2254" s="148" t="s">
        <v>135</v>
      </c>
      <c r="H2254" s="68" t="s">
        <v>39</v>
      </c>
      <c r="J2254" s="74" t="str">
        <f t="shared" si="3"/>
        <v>[TIMES] Hall Heroult Point Feeders</v>
      </c>
      <c r="L2254" s="159"/>
      <c r="M2254" s="48"/>
      <c r="N2254" s="123"/>
    </row>
    <row r="2255" spans="1:14" customFormat="1" x14ac:dyDescent="0.55000000000000004">
      <c r="A2255" s="101" t="s">
        <v>426</v>
      </c>
      <c r="B2255" s="61" t="s">
        <v>422</v>
      </c>
      <c r="C2255" s="61" t="s">
        <v>127</v>
      </c>
      <c r="D2255" s="61" t="s">
        <v>2994</v>
      </c>
      <c r="E2255" s="119">
        <v>0.5</v>
      </c>
      <c r="F2255" s="148" t="s">
        <v>138</v>
      </c>
      <c r="G2255" s="148" t="s">
        <v>135</v>
      </c>
      <c r="H2255" s="68" t="s">
        <v>39</v>
      </c>
      <c r="J2255" s="74" t="str">
        <f t="shared" si="3"/>
        <v>[TIMES] Hall Heroult Point Feeders</v>
      </c>
      <c r="L2255" s="159"/>
      <c r="M2255" s="48"/>
      <c r="N2255" s="123"/>
    </row>
    <row r="2256" spans="1:14" customFormat="1" x14ac:dyDescent="0.55000000000000004">
      <c r="A2256" s="101" t="s">
        <v>426</v>
      </c>
      <c r="B2256" t="s">
        <v>160</v>
      </c>
      <c r="C2256" t="s">
        <v>247</v>
      </c>
      <c r="D2256" s="61" t="s">
        <v>3288</v>
      </c>
      <c r="E2256" s="119">
        <v>0.1212</v>
      </c>
      <c r="F2256" s="148" t="s">
        <v>135</v>
      </c>
      <c r="G2256" s="148" t="s">
        <v>135</v>
      </c>
      <c r="H2256" s="68" t="s">
        <v>376</v>
      </c>
      <c r="I2256" t="s">
        <v>424</v>
      </c>
      <c r="J2256" s="74" t="str">
        <f t="shared" si="3"/>
        <v>[TIMES] Hall Heroult Point Feeders</v>
      </c>
      <c r="L2256" s="159"/>
      <c r="M2256" s="48"/>
      <c r="N2256" s="123"/>
    </row>
    <row r="2257" spans="1:14" customFormat="1" x14ac:dyDescent="0.55000000000000004">
      <c r="A2257" s="101" t="s">
        <v>425</v>
      </c>
      <c r="B2257" t="s">
        <v>210</v>
      </c>
      <c r="C2257" s="61" t="s">
        <v>121</v>
      </c>
      <c r="D2257" s="61" t="s">
        <v>3288</v>
      </c>
      <c r="E2257" s="119">
        <v>1</v>
      </c>
      <c r="F2257" s="148" t="s">
        <v>135</v>
      </c>
      <c r="G2257" s="148">
        <v>1</v>
      </c>
      <c r="H2257" s="68" t="s">
        <v>39</v>
      </c>
      <c r="J2257" s="74" t="str">
        <f t="shared" si="3"/>
        <v>[TIMES] Hall Heroult Reduced Electrolyte Temperature</v>
      </c>
      <c r="L2257" s="159"/>
      <c r="M2257" s="48"/>
      <c r="N2257" s="123"/>
    </row>
    <row r="2258" spans="1:14" customFormat="1" x14ac:dyDescent="0.55000000000000004">
      <c r="A2258" s="101" t="s">
        <v>425</v>
      </c>
      <c r="B2258" s="61" t="s">
        <v>421</v>
      </c>
      <c r="C2258" s="61" t="s">
        <v>132</v>
      </c>
      <c r="D2258" s="61" t="s">
        <v>3288</v>
      </c>
      <c r="E2258" s="119">
        <v>2</v>
      </c>
      <c r="F2258" s="148" t="s">
        <v>135</v>
      </c>
      <c r="G2258" s="148" t="s">
        <v>135</v>
      </c>
      <c r="H2258" s="68" t="s">
        <v>39</v>
      </c>
      <c r="J2258" s="74" t="str">
        <f t="shared" si="3"/>
        <v>[TIMES] Hall Heroult Reduced Electrolyte Temperature</v>
      </c>
      <c r="L2258" s="159"/>
      <c r="M2258" s="48"/>
      <c r="N2258" s="123"/>
    </row>
    <row r="2259" spans="1:14" customFormat="1" x14ac:dyDescent="0.55000000000000004">
      <c r="A2259" s="101" t="s">
        <v>425</v>
      </c>
      <c r="B2259" s="61" t="s">
        <v>153</v>
      </c>
      <c r="C2259" s="61" t="s">
        <v>127</v>
      </c>
      <c r="D2259" s="61" t="s">
        <v>2994</v>
      </c>
      <c r="E2259" s="119">
        <v>36.5</v>
      </c>
      <c r="F2259" s="148" t="s">
        <v>138</v>
      </c>
      <c r="G2259" s="148" t="s">
        <v>135</v>
      </c>
      <c r="H2259" s="68" t="s">
        <v>39</v>
      </c>
      <c r="J2259" s="74" t="str">
        <f t="shared" si="3"/>
        <v>[TIMES] Hall Heroult Reduced Electrolyte Temperature</v>
      </c>
      <c r="L2259" s="159"/>
      <c r="M2259" s="48"/>
      <c r="N2259" s="123"/>
    </row>
    <row r="2260" spans="1:14" customFormat="1" x14ac:dyDescent="0.55000000000000004">
      <c r="A2260" s="101" t="s">
        <v>425</v>
      </c>
      <c r="B2260" s="61" t="s">
        <v>171</v>
      </c>
      <c r="C2260" s="61" t="s">
        <v>127</v>
      </c>
      <c r="D2260" s="61" t="s">
        <v>2994</v>
      </c>
      <c r="E2260" s="119">
        <v>1.5</v>
      </c>
      <c r="F2260" s="148" t="s">
        <v>138</v>
      </c>
      <c r="G2260" s="148" t="s">
        <v>135</v>
      </c>
      <c r="H2260" s="68" t="s">
        <v>39</v>
      </c>
      <c r="J2260" s="74" t="str">
        <f t="shared" si="3"/>
        <v>[TIMES] Hall Heroult Reduced Electrolyte Temperature</v>
      </c>
      <c r="L2260" s="159"/>
      <c r="M2260" s="48"/>
      <c r="N2260" s="123"/>
    </row>
    <row r="2261" spans="1:14" customFormat="1" x14ac:dyDescent="0.55000000000000004">
      <c r="A2261" s="101" t="s">
        <v>425</v>
      </c>
      <c r="B2261" s="61" t="s">
        <v>422</v>
      </c>
      <c r="C2261" s="61" t="s">
        <v>127</v>
      </c>
      <c r="D2261" s="61" t="s">
        <v>2994</v>
      </c>
      <c r="E2261" s="119">
        <v>0.5</v>
      </c>
      <c r="F2261" s="148" t="s">
        <v>138</v>
      </c>
      <c r="G2261" s="148" t="s">
        <v>135</v>
      </c>
      <c r="H2261" s="68" t="s">
        <v>39</v>
      </c>
      <c r="J2261" s="74" t="str">
        <f t="shared" si="3"/>
        <v>[TIMES] Hall Heroult Reduced Electrolyte Temperature</v>
      </c>
      <c r="L2261" s="159"/>
      <c r="M2261" s="48"/>
      <c r="N2261" s="123"/>
    </row>
    <row r="2262" spans="1:14" customFormat="1" x14ac:dyDescent="0.55000000000000004">
      <c r="A2262" s="101" t="s">
        <v>425</v>
      </c>
      <c r="B2262" t="s">
        <v>160</v>
      </c>
      <c r="C2262" t="s">
        <v>247</v>
      </c>
      <c r="D2262" s="61" t="s">
        <v>3288</v>
      </c>
      <c r="E2262" s="119">
        <v>0.1212</v>
      </c>
      <c r="F2262" s="148" t="s">
        <v>135</v>
      </c>
      <c r="G2262" s="148" t="s">
        <v>135</v>
      </c>
      <c r="H2262" s="68" t="s">
        <v>376</v>
      </c>
      <c r="I2262" t="s">
        <v>424</v>
      </c>
      <c r="J2262" s="74" t="str">
        <f t="shared" ref="J2262:J2268" si="4">A2262</f>
        <v>[TIMES] Hall Heroult Reduced Electrolyte Temperature</v>
      </c>
      <c r="L2262" s="159"/>
      <c r="M2262" s="48"/>
      <c r="N2262" s="123"/>
    </row>
    <row r="2263" spans="1:14" customFormat="1" x14ac:dyDescent="0.55000000000000004">
      <c r="A2263" s="101" t="s">
        <v>420</v>
      </c>
      <c r="B2263" t="s">
        <v>210</v>
      </c>
      <c r="C2263" s="61" t="s">
        <v>121</v>
      </c>
      <c r="D2263" s="61" t="s">
        <v>3288</v>
      </c>
      <c r="E2263" s="119">
        <v>1</v>
      </c>
      <c r="F2263" s="148" t="s">
        <v>135</v>
      </c>
      <c r="G2263" s="148">
        <v>1</v>
      </c>
      <c r="H2263" s="68" t="s">
        <v>39</v>
      </c>
      <c r="J2263" s="74" t="str">
        <f t="shared" si="4"/>
        <v>[TIMES] Hall Heroult Regular</v>
      </c>
      <c r="L2263" s="159"/>
      <c r="M2263" s="48"/>
      <c r="N2263" s="123"/>
    </row>
    <row r="2264" spans="1:14" customFormat="1" x14ac:dyDescent="0.55000000000000004">
      <c r="A2264" s="101" t="s">
        <v>420</v>
      </c>
      <c r="B2264" s="61" t="s">
        <v>421</v>
      </c>
      <c r="C2264" s="61" t="s">
        <v>132</v>
      </c>
      <c r="D2264" s="61" t="s">
        <v>3288</v>
      </c>
      <c r="E2264" s="119">
        <v>1.6</v>
      </c>
      <c r="F2264" s="148" t="s">
        <v>135</v>
      </c>
      <c r="G2264" s="148" t="s">
        <v>135</v>
      </c>
      <c r="H2264" s="68" t="s">
        <v>39</v>
      </c>
      <c r="J2264" s="74" t="str">
        <f t="shared" si="4"/>
        <v>[TIMES] Hall Heroult Regular</v>
      </c>
      <c r="L2264" s="159"/>
      <c r="M2264" s="48"/>
      <c r="N2264" s="123"/>
    </row>
    <row r="2265" spans="1:14" customFormat="1" x14ac:dyDescent="0.55000000000000004">
      <c r="A2265" s="101" t="s">
        <v>420</v>
      </c>
      <c r="B2265" s="61" t="s">
        <v>153</v>
      </c>
      <c r="C2265" s="61" t="s">
        <v>127</v>
      </c>
      <c r="D2265" s="61" t="s">
        <v>2994</v>
      </c>
      <c r="E2265" s="119">
        <v>39.799999999999997</v>
      </c>
      <c r="F2265" s="148" t="s">
        <v>138</v>
      </c>
      <c r="G2265" s="148" t="s">
        <v>135</v>
      </c>
      <c r="H2265" s="68" t="s">
        <v>39</v>
      </c>
      <c r="J2265" s="74" t="str">
        <f t="shared" si="4"/>
        <v>[TIMES] Hall Heroult Regular</v>
      </c>
      <c r="L2265" s="159"/>
      <c r="M2265" s="48"/>
      <c r="N2265" s="123"/>
    </row>
    <row r="2266" spans="1:14" customFormat="1" x14ac:dyDescent="0.55000000000000004">
      <c r="A2266" s="101" t="s">
        <v>420</v>
      </c>
      <c r="B2266" s="61" t="s">
        <v>171</v>
      </c>
      <c r="C2266" s="61" t="s">
        <v>127</v>
      </c>
      <c r="D2266" s="61" t="s">
        <v>2994</v>
      </c>
      <c r="E2266" s="119">
        <v>3.4</v>
      </c>
      <c r="F2266" s="148" t="s">
        <v>138</v>
      </c>
      <c r="G2266" s="148" t="s">
        <v>135</v>
      </c>
      <c r="H2266" s="68" t="s">
        <v>39</v>
      </c>
      <c r="J2266" s="74" t="str">
        <f t="shared" si="4"/>
        <v>[TIMES] Hall Heroult Regular</v>
      </c>
      <c r="L2266" s="159"/>
      <c r="M2266" s="48"/>
      <c r="N2266" s="123"/>
    </row>
    <row r="2267" spans="1:14" customFormat="1" x14ac:dyDescent="0.55000000000000004">
      <c r="A2267" s="101" t="s">
        <v>420</v>
      </c>
      <c r="B2267" s="61" t="s">
        <v>422</v>
      </c>
      <c r="C2267" s="61" t="s">
        <v>127</v>
      </c>
      <c r="D2267" s="61" t="s">
        <v>2994</v>
      </c>
      <c r="E2267" s="119">
        <v>10.3</v>
      </c>
      <c r="F2267" s="148" t="s">
        <v>138</v>
      </c>
      <c r="G2267" s="148" t="s">
        <v>135</v>
      </c>
      <c r="H2267" s="68" t="s">
        <v>39</v>
      </c>
      <c r="J2267" s="74" t="str">
        <f t="shared" si="4"/>
        <v>[TIMES] Hall Heroult Regular</v>
      </c>
      <c r="L2267" s="159"/>
      <c r="M2267" s="48"/>
      <c r="N2267" s="123"/>
    </row>
    <row r="2268" spans="1:14" customFormat="1" x14ac:dyDescent="0.55000000000000004">
      <c r="A2268" s="101" t="s">
        <v>420</v>
      </c>
      <c r="B2268" s="61" t="s">
        <v>423</v>
      </c>
      <c r="C2268" s="61" t="s">
        <v>124</v>
      </c>
      <c r="D2268" s="61" t="s">
        <v>3288</v>
      </c>
      <c r="E2268" s="119">
        <v>0.95396999999999998</v>
      </c>
      <c r="F2268" s="148" t="s">
        <v>135</v>
      </c>
      <c r="G2268" s="148" t="s">
        <v>135</v>
      </c>
      <c r="H2268" s="68" t="s">
        <v>376</v>
      </c>
      <c r="I2268" t="s">
        <v>424</v>
      </c>
      <c r="J2268" s="74" t="str">
        <f t="shared" si="4"/>
        <v>[TIMES] Hall Heroult Regular</v>
      </c>
      <c r="L2268" s="159"/>
      <c r="M2268" s="48"/>
      <c r="N2268" s="123"/>
    </row>
    <row r="2269" spans="1:14" customFormat="1" x14ac:dyDescent="0.55000000000000004">
      <c r="A2269" s="92" t="s">
        <v>418</v>
      </c>
      <c r="B2269" s="21" t="s">
        <v>339</v>
      </c>
      <c r="C2269" t="s">
        <v>121</v>
      </c>
      <c r="D2269" t="s">
        <v>3288</v>
      </c>
      <c r="E2269" s="116">
        <v>1</v>
      </c>
      <c r="F2269" s="149" t="s">
        <v>135</v>
      </c>
      <c r="G2269" s="149">
        <v>1</v>
      </c>
      <c r="H2269" s="68" t="s">
        <v>39</v>
      </c>
      <c r="J2269" s="77" t="s">
        <v>419</v>
      </c>
      <c r="L2269" s="131"/>
      <c r="M2269" s="48"/>
      <c r="N2269" s="123"/>
    </row>
    <row r="2270" spans="1:14" customFormat="1" x14ac:dyDescent="0.55000000000000004">
      <c r="A2270" s="92" t="s">
        <v>418</v>
      </c>
      <c r="B2270" t="s">
        <v>288</v>
      </c>
      <c r="C2270" t="s">
        <v>156</v>
      </c>
      <c r="D2270" t="s">
        <v>3288</v>
      </c>
      <c r="E2270" s="116">
        <v>0.25</v>
      </c>
      <c r="F2270" s="149" t="s">
        <v>135</v>
      </c>
      <c r="G2270" s="149" t="s">
        <v>135</v>
      </c>
      <c r="H2270" s="68" t="s">
        <v>39</v>
      </c>
      <c r="J2270" s="77" t="s">
        <v>419</v>
      </c>
      <c r="L2270" s="131"/>
      <c r="M2270" s="48"/>
      <c r="N2270" s="123"/>
    </row>
    <row r="2271" spans="1:14" customFormat="1" x14ac:dyDescent="0.55000000000000004">
      <c r="A2271" s="92" t="s">
        <v>418</v>
      </c>
      <c r="B2271" t="s">
        <v>316</v>
      </c>
      <c r="C2271" t="s">
        <v>132</v>
      </c>
      <c r="D2271" t="s">
        <v>3288</v>
      </c>
      <c r="E2271" s="116">
        <v>1.5</v>
      </c>
      <c r="F2271" s="149" t="s">
        <v>135</v>
      </c>
      <c r="G2271" s="149" t="s">
        <v>135</v>
      </c>
      <c r="H2271" s="68" t="s">
        <v>39</v>
      </c>
      <c r="J2271" s="77" t="s">
        <v>419</v>
      </c>
      <c r="L2271" s="131"/>
      <c r="M2271" s="48"/>
      <c r="N2271" s="123"/>
    </row>
    <row r="2272" spans="1:14" customFormat="1" x14ac:dyDescent="0.55000000000000004">
      <c r="A2272" s="92" t="s">
        <v>418</v>
      </c>
      <c r="B2272" t="s">
        <v>153</v>
      </c>
      <c r="C2272" t="s">
        <v>127</v>
      </c>
      <c r="D2272" t="s">
        <v>2994</v>
      </c>
      <c r="E2272" s="116">
        <v>0.7</v>
      </c>
      <c r="F2272" s="149" t="s">
        <v>138</v>
      </c>
      <c r="G2272" s="149" t="s">
        <v>135</v>
      </c>
      <c r="H2272" s="68" t="s">
        <v>39</v>
      </c>
      <c r="J2272" s="77" t="s">
        <v>419</v>
      </c>
      <c r="L2272" s="131"/>
      <c r="M2272" s="48"/>
      <c r="N2272" s="123"/>
    </row>
    <row r="2273" spans="1:14" customFormat="1" x14ac:dyDescent="0.55000000000000004">
      <c r="A2273" s="92" t="s">
        <v>418</v>
      </c>
      <c r="B2273" t="s">
        <v>334</v>
      </c>
      <c r="C2273" t="s">
        <v>127</v>
      </c>
      <c r="D2273" t="s">
        <v>2994</v>
      </c>
      <c r="E2273" s="116">
        <v>17</v>
      </c>
      <c r="F2273" s="149" t="s">
        <v>138</v>
      </c>
      <c r="G2273" s="149" t="s">
        <v>135</v>
      </c>
      <c r="H2273" s="68" t="s">
        <v>39</v>
      </c>
      <c r="J2273" s="77" t="s">
        <v>419</v>
      </c>
      <c r="L2273" s="131"/>
      <c r="M2273" s="48"/>
      <c r="N2273" s="123"/>
    </row>
    <row r="2274" spans="1:14" customFormat="1" x14ac:dyDescent="0.55000000000000004">
      <c r="A2274" s="92" t="s">
        <v>415</v>
      </c>
      <c r="B2274" t="s">
        <v>287</v>
      </c>
      <c r="C2274" t="s">
        <v>121</v>
      </c>
      <c r="D2274" t="s">
        <v>3288</v>
      </c>
      <c r="E2274" s="116">
        <v>1</v>
      </c>
      <c r="F2274" s="149" t="s">
        <v>135</v>
      </c>
      <c r="G2274" s="149">
        <v>1</v>
      </c>
      <c r="H2274" s="68" t="s">
        <v>39</v>
      </c>
      <c r="J2274" s="77" t="s">
        <v>416</v>
      </c>
      <c r="L2274" s="131"/>
      <c r="M2274" s="48"/>
      <c r="N2274" s="123"/>
    </row>
    <row r="2275" spans="1:14" customFormat="1" x14ac:dyDescent="0.55000000000000004">
      <c r="A2275" s="92" t="s">
        <v>415</v>
      </c>
      <c r="B2275" t="s">
        <v>288</v>
      </c>
      <c r="C2275" t="s">
        <v>156</v>
      </c>
      <c r="D2275" t="s">
        <v>3288</v>
      </c>
      <c r="E2275" s="116">
        <v>0.35</v>
      </c>
      <c r="F2275" s="149" t="s">
        <v>135</v>
      </c>
      <c r="G2275" s="149" t="s">
        <v>135</v>
      </c>
      <c r="H2275" s="68" t="s">
        <v>39</v>
      </c>
      <c r="J2275" s="77" t="s">
        <v>416</v>
      </c>
      <c r="L2275" s="131"/>
      <c r="M2275" s="48"/>
      <c r="N2275" s="123"/>
    </row>
    <row r="2276" spans="1:14" customFormat="1" x14ac:dyDescent="0.55000000000000004">
      <c r="A2276" s="92" t="s">
        <v>415</v>
      </c>
      <c r="B2276" t="s">
        <v>2008</v>
      </c>
      <c r="C2276" t="s">
        <v>156</v>
      </c>
      <c r="D2276" t="s">
        <v>2994</v>
      </c>
      <c r="E2276" s="116">
        <v>10.9</v>
      </c>
      <c r="F2276" s="149" t="s">
        <v>138</v>
      </c>
      <c r="G2276" s="149" t="s">
        <v>135</v>
      </c>
      <c r="H2276" s="68" t="s">
        <v>39</v>
      </c>
      <c r="J2276" s="77" t="s">
        <v>416</v>
      </c>
      <c r="L2276" s="131"/>
      <c r="M2276" s="48"/>
      <c r="N2276" s="123"/>
    </row>
    <row r="2277" spans="1:14" customFormat="1" x14ac:dyDescent="0.55000000000000004">
      <c r="A2277" s="92" t="s">
        <v>415</v>
      </c>
      <c r="B2277" t="s">
        <v>323</v>
      </c>
      <c r="C2277" s="21" t="s">
        <v>125</v>
      </c>
      <c r="D2277" t="s">
        <v>3288</v>
      </c>
      <c r="E2277" s="116">
        <v>0.75</v>
      </c>
      <c r="F2277" s="149" t="s">
        <v>135</v>
      </c>
      <c r="G2277" s="149" t="s">
        <v>135</v>
      </c>
      <c r="H2277" s="68" t="s">
        <v>39</v>
      </c>
      <c r="J2277" s="77" t="s">
        <v>416</v>
      </c>
      <c r="L2277" s="131"/>
      <c r="M2277" s="48"/>
      <c r="N2277" s="123"/>
    </row>
    <row r="2278" spans="1:14" customFormat="1" x14ac:dyDescent="0.55000000000000004">
      <c r="A2278" s="92" t="s">
        <v>415</v>
      </c>
      <c r="B2278" t="s">
        <v>316</v>
      </c>
      <c r="C2278" t="s">
        <v>132</v>
      </c>
      <c r="D2278" t="s">
        <v>3288</v>
      </c>
      <c r="E2278" s="116">
        <v>0.75</v>
      </c>
      <c r="F2278" s="149" t="s">
        <v>135</v>
      </c>
      <c r="G2278" s="149" t="s">
        <v>135</v>
      </c>
      <c r="H2278" s="68" t="s">
        <v>39</v>
      </c>
      <c r="J2278" s="77" t="s">
        <v>416</v>
      </c>
      <c r="L2278" s="131"/>
      <c r="M2278" s="48"/>
      <c r="N2278" s="123"/>
    </row>
    <row r="2279" spans="1:14" customFormat="1" x14ac:dyDescent="0.55000000000000004">
      <c r="A2279" s="92" t="s">
        <v>415</v>
      </c>
      <c r="B2279" t="s">
        <v>244</v>
      </c>
      <c r="C2279" t="s">
        <v>127</v>
      </c>
      <c r="D2279" t="s">
        <v>2994</v>
      </c>
      <c r="E2279" s="116">
        <v>27</v>
      </c>
      <c r="F2279" s="149" t="s">
        <v>138</v>
      </c>
      <c r="G2279" s="149" t="s">
        <v>135</v>
      </c>
      <c r="H2279" s="68" t="s">
        <v>39</v>
      </c>
      <c r="J2279" s="77" t="s">
        <v>416</v>
      </c>
      <c r="L2279" s="131"/>
      <c r="N2279" s="123"/>
    </row>
    <row r="2280" spans="1:14" customFormat="1" x14ac:dyDescent="0.55000000000000004">
      <c r="A2280" s="92" t="s">
        <v>415</v>
      </c>
      <c r="B2280" t="s">
        <v>293</v>
      </c>
      <c r="C2280" t="s">
        <v>127</v>
      </c>
      <c r="D2280" t="s">
        <v>2994</v>
      </c>
      <c r="E2280" s="116">
        <v>3.1</v>
      </c>
      <c r="F2280" s="149" t="s">
        <v>138</v>
      </c>
      <c r="G2280" s="149" t="s">
        <v>135</v>
      </c>
      <c r="H2280" s="68" t="s">
        <v>39</v>
      </c>
      <c r="J2280" s="77" t="s">
        <v>416</v>
      </c>
      <c r="L2280" s="131"/>
      <c r="M2280" s="48"/>
      <c r="N2280" s="123"/>
    </row>
    <row r="2281" spans="1:14" customFormat="1" x14ac:dyDescent="0.55000000000000004">
      <c r="A2281" s="92" t="s">
        <v>415</v>
      </c>
      <c r="B2281" t="s">
        <v>153</v>
      </c>
      <c r="C2281" t="s">
        <v>127</v>
      </c>
      <c r="D2281" t="s">
        <v>2994</v>
      </c>
      <c r="E2281" s="116">
        <v>0.32400000000000001</v>
      </c>
      <c r="F2281" s="149" t="s">
        <v>138</v>
      </c>
      <c r="G2281" s="149" t="s">
        <v>135</v>
      </c>
      <c r="H2281" s="68" t="s">
        <v>39</v>
      </c>
      <c r="J2281" s="77" t="s">
        <v>416</v>
      </c>
      <c r="L2281" s="131"/>
      <c r="M2281" s="48"/>
      <c r="N2281" s="123"/>
    </row>
    <row r="2282" spans="1:14" customFormat="1" x14ac:dyDescent="0.55000000000000004">
      <c r="A2282" s="92" t="s">
        <v>415</v>
      </c>
      <c r="B2282" t="s">
        <v>213</v>
      </c>
      <c r="C2282" t="s">
        <v>125</v>
      </c>
      <c r="D2282" t="s">
        <v>3288</v>
      </c>
      <c r="E2282" s="116">
        <v>0.68899999999999995</v>
      </c>
      <c r="F2282" s="149" t="s">
        <v>135</v>
      </c>
      <c r="G2282" s="149" t="s">
        <v>135</v>
      </c>
      <c r="H2282" s="68" t="s">
        <v>39</v>
      </c>
      <c r="J2282" s="77" t="s">
        <v>416</v>
      </c>
      <c r="L2282" s="131"/>
      <c r="M2282" s="48"/>
      <c r="N2282" s="123"/>
    </row>
    <row r="2283" spans="1:14" customFormat="1" x14ac:dyDescent="0.55000000000000004">
      <c r="A2283" s="92" t="s">
        <v>415</v>
      </c>
      <c r="B2283" t="s">
        <v>160</v>
      </c>
      <c r="C2283" t="s">
        <v>247</v>
      </c>
      <c r="D2283" t="s">
        <v>3288</v>
      </c>
      <c r="E2283" s="119">
        <v>2.97925</v>
      </c>
      <c r="F2283" s="149" t="s">
        <v>135</v>
      </c>
      <c r="G2283" s="149" t="s">
        <v>135</v>
      </c>
      <c r="H2283" s="68" t="s">
        <v>413</v>
      </c>
      <c r="I2283" t="s">
        <v>417</v>
      </c>
      <c r="J2283" s="77" t="s">
        <v>416</v>
      </c>
      <c r="L2283" s="131"/>
      <c r="M2283" s="48"/>
      <c r="N2283" s="123"/>
    </row>
    <row r="2284" spans="1:14" customFormat="1" x14ac:dyDescent="0.55000000000000004">
      <c r="A2284" s="92" t="s">
        <v>411</v>
      </c>
      <c r="B2284" t="s">
        <v>287</v>
      </c>
      <c r="C2284" t="s">
        <v>121</v>
      </c>
      <c r="D2284" t="s">
        <v>3288</v>
      </c>
      <c r="E2284" s="116">
        <v>1</v>
      </c>
      <c r="F2284" s="149" t="s">
        <v>135</v>
      </c>
      <c r="G2284" s="149">
        <v>1</v>
      </c>
      <c r="H2284" s="68" t="s">
        <v>39</v>
      </c>
      <c r="J2284" s="77" t="s">
        <v>412</v>
      </c>
      <c r="L2284" s="131"/>
      <c r="M2284" s="48"/>
      <c r="N2284" s="123"/>
    </row>
    <row r="2285" spans="1:14" customFormat="1" x14ac:dyDescent="0.55000000000000004">
      <c r="A2285" s="92" t="s">
        <v>411</v>
      </c>
      <c r="B2285" t="s">
        <v>288</v>
      </c>
      <c r="C2285" t="s">
        <v>156</v>
      </c>
      <c r="D2285" t="s">
        <v>3288</v>
      </c>
      <c r="E2285" s="116">
        <v>0.27</v>
      </c>
      <c r="F2285" s="149" t="s">
        <v>135</v>
      </c>
      <c r="G2285" s="149" t="s">
        <v>135</v>
      </c>
      <c r="H2285" s="68" t="s">
        <v>39</v>
      </c>
      <c r="J2285" s="77" t="s">
        <v>412</v>
      </c>
      <c r="L2285" s="131"/>
      <c r="M2285" s="48"/>
      <c r="N2285" s="123"/>
    </row>
    <row r="2286" spans="1:14" customFormat="1" x14ac:dyDescent="0.55000000000000004">
      <c r="A2286" s="92" t="s">
        <v>411</v>
      </c>
      <c r="B2286" t="s">
        <v>289</v>
      </c>
      <c r="C2286" t="s">
        <v>156</v>
      </c>
      <c r="D2286" t="s">
        <v>2994</v>
      </c>
      <c r="E2286" s="116">
        <v>4</v>
      </c>
      <c r="F2286" s="149" t="s">
        <v>138</v>
      </c>
      <c r="G2286" s="149" t="s">
        <v>135</v>
      </c>
      <c r="H2286" s="68" t="s">
        <v>39</v>
      </c>
      <c r="J2286" s="77" t="s">
        <v>412</v>
      </c>
      <c r="L2286" s="131"/>
      <c r="M2286" s="48"/>
      <c r="N2286" s="123"/>
    </row>
    <row r="2287" spans="1:14" customFormat="1" x14ac:dyDescent="0.55000000000000004">
      <c r="A2287" s="92" t="s">
        <v>411</v>
      </c>
      <c r="B2287" t="s">
        <v>137</v>
      </c>
      <c r="C2287" t="s">
        <v>156</v>
      </c>
      <c r="D2287" t="s">
        <v>2994</v>
      </c>
      <c r="E2287" s="116">
        <v>4.3</v>
      </c>
      <c r="F2287" s="149" t="s">
        <v>138</v>
      </c>
      <c r="G2287" s="149" t="s">
        <v>135</v>
      </c>
      <c r="H2287" s="68" t="s">
        <v>39</v>
      </c>
      <c r="J2287" s="77" t="s">
        <v>412</v>
      </c>
      <c r="L2287" s="131"/>
      <c r="M2287" s="48"/>
      <c r="N2287" s="123"/>
    </row>
    <row r="2288" spans="1:14" customFormat="1" x14ac:dyDescent="0.55000000000000004">
      <c r="A2288" s="92" t="s">
        <v>411</v>
      </c>
      <c r="B2288" t="s">
        <v>290</v>
      </c>
      <c r="C2288" s="21" t="s">
        <v>125</v>
      </c>
      <c r="D2288" t="s">
        <v>3288</v>
      </c>
      <c r="E2288" s="116">
        <v>1.5</v>
      </c>
      <c r="F2288" s="149" t="s">
        <v>135</v>
      </c>
      <c r="G2288" s="149" t="s">
        <v>135</v>
      </c>
      <c r="H2288" s="68" t="s">
        <v>39</v>
      </c>
      <c r="J2288" s="77" t="s">
        <v>412</v>
      </c>
      <c r="L2288" s="131"/>
      <c r="M2288" s="48"/>
      <c r="N2288" s="123"/>
    </row>
    <row r="2289" spans="1:14" customFormat="1" x14ac:dyDescent="0.55000000000000004">
      <c r="A2289" s="92" t="s">
        <v>411</v>
      </c>
      <c r="B2289" t="s">
        <v>213</v>
      </c>
      <c r="C2289" t="s">
        <v>125</v>
      </c>
      <c r="D2289" t="s">
        <v>3288</v>
      </c>
      <c r="E2289" s="116">
        <v>0.73</v>
      </c>
      <c r="F2289" s="149" t="s">
        <v>135</v>
      </c>
      <c r="G2289" s="149" t="s">
        <v>135</v>
      </c>
      <c r="H2289" s="68" t="s">
        <v>39</v>
      </c>
      <c r="J2289" s="77" t="s">
        <v>412</v>
      </c>
      <c r="L2289" s="131"/>
      <c r="M2289" s="48"/>
      <c r="N2289" s="123"/>
    </row>
    <row r="2290" spans="1:14" customFormat="1" x14ac:dyDescent="0.55000000000000004">
      <c r="A2290" s="92" t="s">
        <v>411</v>
      </c>
      <c r="B2290" t="s">
        <v>289</v>
      </c>
      <c r="C2290" t="s">
        <v>127</v>
      </c>
      <c r="D2290" t="s">
        <v>2994</v>
      </c>
      <c r="E2290" s="116">
        <v>2</v>
      </c>
      <c r="F2290" s="149" t="s">
        <v>138</v>
      </c>
      <c r="G2290" s="149" t="s">
        <v>135</v>
      </c>
      <c r="H2290" s="68" t="s">
        <v>39</v>
      </c>
      <c r="J2290" s="77" t="s">
        <v>412</v>
      </c>
      <c r="L2290" s="131"/>
      <c r="M2290" s="48"/>
      <c r="N2290" s="123"/>
    </row>
    <row r="2291" spans="1:14" customFormat="1" x14ac:dyDescent="0.55000000000000004">
      <c r="A2291" s="92" t="s">
        <v>411</v>
      </c>
      <c r="B2291" t="s">
        <v>153</v>
      </c>
      <c r="C2291" t="s">
        <v>127</v>
      </c>
      <c r="D2291" t="s">
        <v>2994</v>
      </c>
      <c r="E2291" s="116">
        <v>1.3</v>
      </c>
      <c r="F2291" s="149" t="s">
        <v>138</v>
      </c>
      <c r="G2291" s="149" t="s">
        <v>135</v>
      </c>
      <c r="H2291" s="68" t="s">
        <v>39</v>
      </c>
      <c r="J2291" s="77" t="s">
        <v>412</v>
      </c>
      <c r="L2291" s="131"/>
      <c r="M2291" s="48"/>
      <c r="N2291" s="123"/>
    </row>
    <row r="2292" spans="1:14" customFormat="1" x14ac:dyDescent="0.55000000000000004">
      <c r="A2292" s="92" t="s">
        <v>411</v>
      </c>
      <c r="B2292" t="s">
        <v>244</v>
      </c>
      <c r="C2292" t="s">
        <v>127</v>
      </c>
      <c r="D2292" t="s">
        <v>2994</v>
      </c>
      <c r="E2292" s="116">
        <v>20.100000000000001</v>
      </c>
      <c r="F2292" s="149" t="s">
        <v>138</v>
      </c>
      <c r="G2292" s="149" t="s">
        <v>135</v>
      </c>
      <c r="H2292" s="68" t="s">
        <v>39</v>
      </c>
      <c r="I2292" s="110"/>
      <c r="J2292" s="77" t="s">
        <v>412</v>
      </c>
      <c r="L2292" s="131"/>
      <c r="M2292" s="48"/>
      <c r="N2292" s="123"/>
    </row>
    <row r="2293" spans="1:14" customFormat="1" x14ac:dyDescent="0.55000000000000004">
      <c r="A2293" s="92" t="s">
        <v>411</v>
      </c>
      <c r="B2293" t="s">
        <v>160</v>
      </c>
      <c r="C2293" t="s">
        <v>247</v>
      </c>
      <c r="D2293" t="s">
        <v>3288</v>
      </c>
      <c r="E2293" s="116">
        <v>2.3597999999999999</v>
      </c>
      <c r="F2293" s="149" t="s">
        <v>135</v>
      </c>
      <c r="G2293" s="149" t="s">
        <v>135</v>
      </c>
      <c r="H2293" s="68" t="s">
        <v>413</v>
      </c>
      <c r="I2293" t="s">
        <v>414</v>
      </c>
      <c r="J2293" s="77" t="s">
        <v>412</v>
      </c>
      <c r="L2293" s="131"/>
      <c r="N2293" s="123"/>
    </row>
    <row r="2294" spans="1:14" customFormat="1" x14ac:dyDescent="0.55000000000000004">
      <c r="A2294" s="98" t="s">
        <v>410</v>
      </c>
      <c r="B2294" s="68" t="s">
        <v>216</v>
      </c>
      <c r="C2294" s="68" t="s">
        <v>121</v>
      </c>
      <c r="D2294" s="68" t="s">
        <v>3288</v>
      </c>
      <c r="E2294" s="120">
        <v>1</v>
      </c>
      <c r="F2294" s="151" t="s">
        <v>135</v>
      </c>
      <c r="G2294" s="151">
        <v>1</v>
      </c>
      <c r="H2294" s="68" t="s">
        <v>39</v>
      </c>
      <c r="J2294" s="74" t="str">
        <f t="shared" ref="J2294:J2325" si="5">A2294</f>
        <v>[TIMES] Kraft process</v>
      </c>
      <c r="L2294" s="163"/>
      <c r="M2294" s="48"/>
      <c r="N2294" s="123"/>
    </row>
    <row r="2295" spans="1:14" customFormat="1" x14ac:dyDescent="0.55000000000000004">
      <c r="A2295" s="98" t="s">
        <v>410</v>
      </c>
      <c r="B2295" s="68" t="s">
        <v>233</v>
      </c>
      <c r="C2295" s="68" t="s">
        <v>156</v>
      </c>
      <c r="D2295" s="68" t="s">
        <v>2994</v>
      </c>
      <c r="E2295" s="120">
        <v>17.8</v>
      </c>
      <c r="F2295" s="151" t="s">
        <v>138</v>
      </c>
      <c r="G2295" s="151" t="s">
        <v>135</v>
      </c>
      <c r="H2295" s="68" t="s">
        <v>39</v>
      </c>
      <c r="J2295" s="74" t="str">
        <f t="shared" si="5"/>
        <v>[TIMES] Kraft process</v>
      </c>
      <c r="L2295" s="163"/>
      <c r="M2295" s="48"/>
      <c r="N2295" s="123"/>
    </row>
    <row r="2296" spans="1:14" customFormat="1" x14ac:dyDescent="0.55000000000000004">
      <c r="A2296" s="98" t="s">
        <v>410</v>
      </c>
      <c r="B2296" s="68" t="s">
        <v>230</v>
      </c>
      <c r="C2296" s="68" t="s">
        <v>156</v>
      </c>
      <c r="D2296" s="68" t="s">
        <v>2994</v>
      </c>
      <c r="E2296" s="120">
        <v>4.5999999999999996</v>
      </c>
      <c r="F2296" s="151" t="s">
        <v>138</v>
      </c>
      <c r="G2296" s="151" t="s">
        <v>135</v>
      </c>
      <c r="H2296" s="68" t="s">
        <v>39</v>
      </c>
      <c r="J2296" s="74" t="str">
        <f t="shared" si="5"/>
        <v>[TIMES] Kraft process</v>
      </c>
      <c r="L2296" s="163"/>
      <c r="M2296" s="48"/>
      <c r="N2296" s="123"/>
    </row>
    <row r="2297" spans="1:14" customFormat="1" x14ac:dyDescent="0.55000000000000004">
      <c r="A2297" s="98" t="s">
        <v>410</v>
      </c>
      <c r="B2297" s="68" t="s">
        <v>230</v>
      </c>
      <c r="C2297" t="s">
        <v>231</v>
      </c>
      <c r="D2297" s="68" t="s">
        <v>3288</v>
      </c>
      <c r="E2297" s="120">
        <v>2.2999999999999998</v>
      </c>
      <c r="F2297" s="151" t="s">
        <v>135</v>
      </c>
      <c r="G2297" s="151" t="s">
        <v>135</v>
      </c>
      <c r="H2297" s="68" t="s">
        <v>39</v>
      </c>
      <c r="J2297" s="74" t="str">
        <f t="shared" si="5"/>
        <v>[TIMES] Kraft process</v>
      </c>
      <c r="L2297" s="163"/>
      <c r="M2297" s="48"/>
      <c r="N2297" s="123"/>
    </row>
    <row r="2298" spans="1:14" customFormat="1" x14ac:dyDescent="0.55000000000000004">
      <c r="A2298" s="98" t="s">
        <v>410</v>
      </c>
      <c r="B2298" s="68" t="s">
        <v>208</v>
      </c>
      <c r="C2298" s="68" t="s">
        <v>127</v>
      </c>
      <c r="D2298" s="68" t="s">
        <v>3288</v>
      </c>
      <c r="E2298" s="120">
        <v>8.1999999999999993</v>
      </c>
      <c r="F2298" s="151" t="s">
        <v>135</v>
      </c>
      <c r="G2298" s="151" t="s">
        <v>135</v>
      </c>
      <c r="H2298" s="68" t="s">
        <v>39</v>
      </c>
      <c r="J2298" s="74" t="str">
        <f t="shared" si="5"/>
        <v>[TIMES] Kraft process</v>
      </c>
      <c r="L2298" s="163"/>
      <c r="M2298" s="48"/>
      <c r="N2298" s="123"/>
    </row>
    <row r="2299" spans="1:14" customFormat="1" x14ac:dyDescent="0.55000000000000004">
      <c r="A2299" s="98" t="s">
        <v>410</v>
      </c>
      <c r="B2299" s="68" t="s">
        <v>148</v>
      </c>
      <c r="C2299" t="s">
        <v>207</v>
      </c>
      <c r="D2299" s="68" t="s">
        <v>3288</v>
      </c>
      <c r="E2299" s="120">
        <v>1.6E-2</v>
      </c>
      <c r="F2299" s="151" t="s">
        <v>135</v>
      </c>
      <c r="G2299" s="151" t="s">
        <v>135</v>
      </c>
      <c r="H2299" s="68" t="s">
        <v>39</v>
      </c>
      <c r="J2299" s="74" t="str">
        <f t="shared" si="5"/>
        <v>[TIMES] Kraft process</v>
      </c>
      <c r="L2299" s="163"/>
      <c r="N2299" s="123"/>
    </row>
    <row r="2300" spans="1:14" customFormat="1" x14ac:dyDescent="0.55000000000000004">
      <c r="A2300" s="98" t="s">
        <v>410</v>
      </c>
      <c r="B2300" s="68" t="s">
        <v>213</v>
      </c>
      <c r="C2300" t="s">
        <v>125</v>
      </c>
      <c r="D2300" s="68" t="s">
        <v>3288</v>
      </c>
      <c r="E2300" s="120">
        <v>0.02</v>
      </c>
      <c r="F2300" s="151" t="s">
        <v>135</v>
      </c>
      <c r="G2300" s="151" t="s">
        <v>135</v>
      </c>
      <c r="H2300" s="68" t="s">
        <v>39</v>
      </c>
      <c r="J2300" s="74" t="str">
        <f t="shared" si="5"/>
        <v>[TIMES] Kraft process</v>
      </c>
      <c r="L2300" s="163"/>
      <c r="M2300" s="48"/>
      <c r="N2300" s="123"/>
    </row>
    <row r="2301" spans="1:14" customFormat="1" x14ac:dyDescent="0.55000000000000004">
      <c r="A2301" s="98" t="s">
        <v>410</v>
      </c>
      <c r="B2301" s="68" t="s">
        <v>153</v>
      </c>
      <c r="C2301" s="68" t="s">
        <v>127</v>
      </c>
      <c r="D2301" s="68" t="s">
        <v>2994</v>
      </c>
      <c r="E2301" s="120">
        <v>2.5</v>
      </c>
      <c r="F2301" s="151" t="s">
        <v>138</v>
      </c>
      <c r="G2301" s="151" t="s">
        <v>135</v>
      </c>
      <c r="H2301" s="68" t="s">
        <v>39</v>
      </c>
      <c r="J2301" s="74" t="str">
        <f t="shared" si="5"/>
        <v>[TIMES] Kraft process</v>
      </c>
      <c r="L2301" s="163"/>
      <c r="M2301" s="48"/>
      <c r="N2301" s="123"/>
    </row>
    <row r="2302" spans="1:14" customFormat="1" x14ac:dyDescent="0.55000000000000004">
      <c r="A2302" s="98" t="s">
        <v>410</v>
      </c>
      <c r="B2302" s="68" t="s">
        <v>160</v>
      </c>
      <c r="C2302" t="s">
        <v>247</v>
      </c>
      <c r="D2302" s="68" t="s">
        <v>3288</v>
      </c>
      <c r="E2302" s="119">
        <v>0.4264</v>
      </c>
      <c r="F2302" s="151" t="s">
        <v>138</v>
      </c>
      <c r="G2302" s="151" t="s">
        <v>135</v>
      </c>
      <c r="H2302" s="68" t="s">
        <v>373</v>
      </c>
      <c r="J2302" s="74" t="str">
        <f t="shared" si="5"/>
        <v>[TIMES] Kraft process</v>
      </c>
      <c r="L2302" s="163"/>
      <c r="M2302" s="48"/>
      <c r="N2302" s="123"/>
    </row>
    <row r="2303" spans="1:14" customFormat="1" x14ac:dyDescent="0.55000000000000004">
      <c r="A2303" s="98" t="s">
        <v>409</v>
      </c>
      <c r="B2303" s="68" t="s">
        <v>229</v>
      </c>
      <c r="C2303" s="68" t="s">
        <v>121</v>
      </c>
      <c r="D2303" s="68" t="s">
        <v>3288</v>
      </c>
      <c r="E2303" s="120">
        <v>1</v>
      </c>
      <c r="F2303" s="151" t="s">
        <v>135</v>
      </c>
      <c r="G2303" s="151">
        <v>1</v>
      </c>
      <c r="H2303" s="68" t="s">
        <v>39</v>
      </c>
      <c r="J2303" s="74" t="str">
        <f t="shared" si="5"/>
        <v>[TIMES] Mechanical pulping</v>
      </c>
      <c r="L2303" s="163"/>
      <c r="M2303" s="48"/>
      <c r="N2303" s="123"/>
    </row>
    <row r="2304" spans="1:14" customFormat="1" x14ac:dyDescent="0.55000000000000004">
      <c r="A2304" s="98" t="s">
        <v>409</v>
      </c>
      <c r="B2304" s="21" t="s">
        <v>208</v>
      </c>
      <c r="C2304" s="68" t="s">
        <v>156</v>
      </c>
      <c r="D2304" s="68" t="s">
        <v>2994</v>
      </c>
      <c r="E2304" s="120">
        <v>2.5299999999999998</v>
      </c>
      <c r="F2304" s="151" t="s">
        <v>138</v>
      </c>
      <c r="G2304" s="151" t="s">
        <v>135</v>
      </c>
      <c r="H2304" s="68" t="s">
        <v>39</v>
      </c>
      <c r="J2304" s="74" t="str">
        <f t="shared" si="5"/>
        <v>[TIMES] Mechanical pulping</v>
      </c>
      <c r="L2304" s="163"/>
      <c r="M2304" s="48"/>
      <c r="N2304" s="123"/>
    </row>
    <row r="2305" spans="1:14" customFormat="1" x14ac:dyDescent="0.55000000000000004">
      <c r="A2305" s="98" t="s">
        <v>409</v>
      </c>
      <c r="B2305" s="68" t="s">
        <v>230</v>
      </c>
      <c r="C2305" t="s">
        <v>231</v>
      </c>
      <c r="D2305" s="68" t="s">
        <v>3288</v>
      </c>
      <c r="E2305" s="120">
        <v>1.1000000000000001</v>
      </c>
      <c r="F2305" s="151" t="s">
        <v>135</v>
      </c>
      <c r="G2305" s="151" t="s">
        <v>135</v>
      </c>
      <c r="H2305" s="68" t="s">
        <v>39</v>
      </c>
      <c r="J2305" s="74" t="str">
        <f t="shared" si="5"/>
        <v>[TIMES] Mechanical pulping</v>
      </c>
      <c r="L2305" s="163"/>
      <c r="M2305" s="48"/>
      <c r="N2305" s="123"/>
    </row>
    <row r="2306" spans="1:14" customFormat="1" x14ac:dyDescent="0.55000000000000004">
      <c r="A2306" s="98" t="s">
        <v>409</v>
      </c>
      <c r="B2306" s="68" t="s">
        <v>153</v>
      </c>
      <c r="C2306" s="68" t="s">
        <v>127</v>
      </c>
      <c r="D2306" s="68" t="s">
        <v>2994</v>
      </c>
      <c r="E2306" s="120">
        <v>7.93</v>
      </c>
      <c r="F2306" s="151" t="s">
        <v>138</v>
      </c>
      <c r="G2306" s="151" t="s">
        <v>135</v>
      </c>
      <c r="H2306" s="68" t="s">
        <v>39</v>
      </c>
      <c r="J2306" s="74" t="str">
        <f t="shared" si="5"/>
        <v>[TIMES] Mechanical pulping</v>
      </c>
      <c r="L2306" s="163"/>
      <c r="M2306" s="48"/>
      <c r="N2306" s="123"/>
    </row>
    <row r="2307" spans="1:14" customFormat="1" x14ac:dyDescent="0.55000000000000004">
      <c r="A2307" s="98" t="s">
        <v>409</v>
      </c>
      <c r="B2307" s="68" t="s">
        <v>171</v>
      </c>
      <c r="C2307" s="68" t="s">
        <v>127</v>
      </c>
      <c r="D2307" s="68" t="s">
        <v>2994</v>
      </c>
      <c r="E2307" s="120">
        <v>10.8</v>
      </c>
      <c r="F2307" s="151" t="s">
        <v>138</v>
      </c>
      <c r="G2307" s="151" t="s">
        <v>135</v>
      </c>
      <c r="H2307" s="68" t="s">
        <v>39</v>
      </c>
      <c r="J2307" s="74" t="str">
        <f t="shared" si="5"/>
        <v>[TIMES] Mechanical pulping</v>
      </c>
      <c r="L2307" s="163"/>
      <c r="M2307" s="48"/>
      <c r="N2307" s="123"/>
    </row>
    <row r="2308" spans="1:14" customFormat="1" x14ac:dyDescent="0.55000000000000004">
      <c r="A2308" s="98" t="s">
        <v>409</v>
      </c>
      <c r="B2308" s="68" t="s">
        <v>160</v>
      </c>
      <c r="C2308" t="s">
        <v>247</v>
      </c>
      <c r="D2308" s="68" t="s">
        <v>3288</v>
      </c>
      <c r="E2308" s="119">
        <v>0.60587999999999997</v>
      </c>
      <c r="F2308" s="151" t="s">
        <v>135</v>
      </c>
      <c r="G2308" s="151" t="s">
        <v>135</v>
      </c>
      <c r="H2308" s="68" t="s">
        <v>376</v>
      </c>
      <c r="J2308" s="74" t="str">
        <f t="shared" si="5"/>
        <v>[TIMES] Mechanical pulping</v>
      </c>
      <c r="L2308" s="163"/>
      <c r="M2308" s="48"/>
      <c r="N2308" s="123"/>
    </row>
    <row r="2309" spans="1:14" customFormat="1" x14ac:dyDescent="0.55000000000000004">
      <c r="A2309" s="98" t="s">
        <v>407</v>
      </c>
      <c r="B2309" s="68" t="s">
        <v>229</v>
      </c>
      <c r="C2309" s="68" t="s">
        <v>121</v>
      </c>
      <c r="D2309" s="68" t="s">
        <v>3288</v>
      </c>
      <c r="E2309" s="120">
        <v>1</v>
      </c>
      <c r="F2309" s="151" t="s">
        <v>135</v>
      </c>
      <c r="G2309" s="151">
        <v>1</v>
      </c>
      <c r="H2309" s="68" t="s">
        <v>39</v>
      </c>
      <c r="J2309" s="74" t="str">
        <f t="shared" si="5"/>
        <v>[TIMES] Mechanical pulping, airless drying</v>
      </c>
      <c r="L2309" s="163"/>
      <c r="M2309" s="48"/>
      <c r="N2309" s="123"/>
    </row>
    <row r="2310" spans="1:14" customFormat="1" x14ac:dyDescent="0.55000000000000004">
      <c r="A2310" s="98" t="s">
        <v>407</v>
      </c>
      <c r="B2310" s="21" t="s">
        <v>208</v>
      </c>
      <c r="C2310" s="68" t="s">
        <v>156</v>
      </c>
      <c r="D2310" s="68" t="s">
        <v>2994</v>
      </c>
      <c r="E2310" s="120">
        <v>1.7709999999999999</v>
      </c>
      <c r="F2310" s="151" t="s">
        <v>138</v>
      </c>
      <c r="G2310" s="151" t="s">
        <v>135</v>
      </c>
      <c r="H2310" s="68" t="s">
        <v>39</v>
      </c>
      <c r="J2310" s="74" t="str">
        <f t="shared" si="5"/>
        <v>[TIMES] Mechanical pulping, airless drying</v>
      </c>
      <c r="L2310" s="163"/>
      <c r="M2310" s="48"/>
      <c r="N2310" s="123"/>
    </row>
    <row r="2311" spans="1:14" customFormat="1" x14ac:dyDescent="0.55000000000000004">
      <c r="A2311" s="98" t="s">
        <v>407</v>
      </c>
      <c r="B2311" s="68" t="s">
        <v>230</v>
      </c>
      <c r="C2311" t="s">
        <v>231</v>
      </c>
      <c r="D2311" s="68" t="s">
        <v>3288</v>
      </c>
      <c r="E2311" s="120">
        <v>1.1000000000000001</v>
      </c>
      <c r="F2311" s="151" t="s">
        <v>135</v>
      </c>
      <c r="G2311" s="151" t="s">
        <v>135</v>
      </c>
      <c r="H2311" s="68" t="s">
        <v>39</v>
      </c>
      <c r="J2311" s="74" t="str">
        <f t="shared" si="5"/>
        <v>[TIMES] Mechanical pulping, airless drying</v>
      </c>
      <c r="L2311" s="163"/>
      <c r="M2311" s="48"/>
      <c r="N2311" s="123"/>
    </row>
    <row r="2312" spans="1:14" customFormat="1" x14ac:dyDescent="0.55000000000000004">
      <c r="A2312" s="98" t="s">
        <v>407</v>
      </c>
      <c r="B2312" s="68" t="s">
        <v>153</v>
      </c>
      <c r="C2312" s="68" t="s">
        <v>127</v>
      </c>
      <c r="D2312" s="68" t="s">
        <v>2994</v>
      </c>
      <c r="E2312" s="120">
        <v>14.84</v>
      </c>
      <c r="F2312" s="151" t="s">
        <v>138</v>
      </c>
      <c r="G2312" s="151" t="s">
        <v>135</v>
      </c>
      <c r="H2312" s="68" t="s">
        <v>39</v>
      </c>
      <c r="J2312" s="74" t="str">
        <f t="shared" si="5"/>
        <v>[TIMES] Mechanical pulping, airless drying</v>
      </c>
      <c r="L2312" s="163"/>
      <c r="M2312" s="48"/>
      <c r="N2312" s="123"/>
    </row>
    <row r="2313" spans="1:14" customFormat="1" x14ac:dyDescent="0.55000000000000004">
      <c r="A2313" s="98" t="s">
        <v>407</v>
      </c>
      <c r="B2313" s="68" t="s">
        <v>171</v>
      </c>
      <c r="C2313" s="68" t="s">
        <v>127</v>
      </c>
      <c r="D2313" s="68" t="s">
        <v>2994</v>
      </c>
      <c r="E2313" s="120">
        <v>7.56</v>
      </c>
      <c r="F2313" s="151" t="s">
        <v>138</v>
      </c>
      <c r="G2313" s="151" t="s">
        <v>135</v>
      </c>
      <c r="H2313" s="68" t="s">
        <v>39</v>
      </c>
      <c r="J2313" s="74" t="str">
        <f t="shared" si="5"/>
        <v>[TIMES] Mechanical pulping, airless drying</v>
      </c>
      <c r="L2313" s="163"/>
      <c r="M2313" s="48"/>
      <c r="N2313" s="123"/>
    </row>
    <row r="2314" spans="1:14" customFormat="1" x14ac:dyDescent="0.55000000000000004">
      <c r="A2314" s="98" t="s">
        <v>407</v>
      </c>
      <c r="B2314" s="68" t="s">
        <v>160</v>
      </c>
      <c r="C2314" t="s">
        <v>247</v>
      </c>
      <c r="D2314" s="68" t="s">
        <v>3288</v>
      </c>
      <c r="E2314" s="119">
        <v>0.42411599999999999</v>
      </c>
      <c r="F2314" s="151" t="s">
        <v>135</v>
      </c>
      <c r="G2314" s="151" t="s">
        <v>135</v>
      </c>
      <c r="H2314" s="68" t="s">
        <v>408</v>
      </c>
      <c r="J2314" s="74" t="str">
        <f t="shared" si="5"/>
        <v>[TIMES] Mechanical pulping, airless drying</v>
      </c>
      <c r="L2314" s="163"/>
      <c r="M2314" s="48"/>
      <c r="N2314" s="123"/>
    </row>
    <row r="2315" spans="1:14" customFormat="1" x14ac:dyDescent="0.55000000000000004">
      <c r="A2315" s="99" t="s">
        <v>406</v>
      </c>
      <c r="B2315" s="68" t="s">
        <v>229</v>
      </c>
      <c r="C2315" s="68" t="s">
        <v>121</v>
      </c>
      <c r="D2315" s="68" t="s">
        <v>3288</v>
      </c>
      <c r="E2315" s="120">
        <v>1</v>
      </c>
      <c r="F2315" s="151" t="s">
        <v>135</v>
      </c>
      <c r="G2315" s="151">
        <v>1</v>
      </c>
      <c r="H2315" s="68" t="s">
        <v>39</v>
      </c>
      <c r="J2315" s="74" t="str">
        <f t="shared" si="5"/>
        <v>[TIMES] Mechanical pulping, airless drying w/ CO2 capture</v>
      </c>
      <c r="L2315" s="163"/>
      <c r="M2315" s="48"/>
      <c r="N2315" s="123"/>
    </row>
    <row r="2316" spans="1:14" customFormat="1" x14ac:dyDescent="0.55000000000000004">
      <c r="A2316" s="99" t="s">
        <v>406</v>
      </c>
      <c r="B2316" s="21" t="s">
        <v>208</v>
      </c>
      <c r="C2316" s="68" t="s">
        <v>156</v>
      </c>
      <c r="D2316" s="68" t="s">
        <v>2994</v>
      </c>
      <c r="E2316" s="120">
        <v>1.7709999999999999</v>
      </c>
      <c r="F2316" s="151" t="s">
        <v>138</v>
      </c>
      <c r="G2316" s="151" t="s">
        <v>135</v>
      </c>
      <c r="H2316" s="68" t="s">
        <v>39</v>
      </c>
      <c r="J2316" s="74" t="str">
        <f t="shared" si="5"/>
        <v>[TIMES] Mechanical pulping, airless drying w/ CO2 capture</v>
      </c>
      <c r="L2316" s="163"/>
      <c r="M2316" s="48"/>
      <c r="N2316" s="123"/>
    </row>
    <row r="2317" spans="1:14" customFormat="1" x14ac:dyDescent="0.55000000000000004">
      <c r="A2317" s="99" t="s">
        <v>406</v>
      </c>
      <c r="B2317" s="68" t="s">
        <v>230</v>
      </c>
      <c r="C2317" t="s">
        <v>231</v>
      </c>
      <c r="D2317" s="68" t="s">
        <v>3288</v>
      </c>
      <c r="E2317" s="120">
        <v>1.1000000000000001</v>
      </c>
      <c r="F2317" s="151" t="s">
        <v>135</v>
      </c>
      <c r="G2317" s="151" t="s">
        <v>135</v>
      </c>
      <c r="H2317" s="68" t="s">
        <v>39</v>
      </c>
      <c r="J2317" s="74" t="str">
        <f t="shared" si="5"/>
        <v>[TIMES] Mechanical pulping, airless drying w/ CO2 capture</v>
      </c>
      <c r="L2317" s="163"/>
      <c r="M2317" s="48"/>
      <c r="N2317" s="123"/>
    </row>
    <row r="2318" spans="1:14" customFormat="1" x14ac:dyDescent="0.55000000000000004">
      <c r="A2318" s="99" t="s">
        <v>406</v>
      </c>
      <c r="B2318" s="68" t="s">
        <v>153</v>
      </c>
      <c r="C2318" s="68" t="s">
        <v>127</v>
      </c>
      <c r="D2318" s="68" t="s">
        <v>2994</v>
      </c>
      <c r="E2318" s="120">
        <v>16.29</v>
      </c>
      <c r="F2318" s="151" t="s">
        <v>138</v>
      </c>
      <c r="G2318" s="151" t="s">
        <v>135</v>
      </c>
      <c r="H2318" s="68" t="s">
        <v>39</v>
      </c>
      <c r="J2318" s="74" t="str">
        <f t="shared" si="5"/>
        <v>[TIMES] Mechanical pulping, airless drying w/ CO2 capture</v>
      </c>
      <c r="L2318" s="163"/>
      <c r="M2318" s="48"/>
      <c r="N2318" s="123"/>
    </row>
    <row r="2319" spans="1:14" customFormat="1" x14ac:dyDescent="0.55000000000000004">
      <c r="A2319" s="99" t="s">
        <v>406</v>
      </c>
      <c r="B2319" s="68" t="s">
        <v>171</v>
      </c>
      <c r="C2319" s="68" t="s">
        <v>127</v>
      </c>
      <c r="D2319" s="68" t="s">
        <v>2994</v>
      </c>
      <c r="E2319" s="120">
        <v>7.65</v>
      </c>
      <c r="F2319" s="151" t="s">
        <v>138</v>
      </c>
      <c r="G2319" s="151" t="s">
        <v>135</v>
      </c>
      <c r="H2319" s="68" t="s">
        <v>39</v>
      </c>
      <c r="J2319" s="74" t="str">
        <f t="shared" si="5"/>
        <v>[TIMES] Mechanical pulping, airless drying w/ CO2 capture</v>
      </c>
      <c r="L2319" s="163"/>
      <c r="M2319" s="48"/>
      <c r="N2319" s="123"/>
    </row>
    <row r="2320" spans="1:14" customFormat="1" x14ac:dyDescent="0.55000000000000004">
      <c r="A2320" s="99" t="s">
        <v>406</v>
      </c>
      <c r="B2320" s="68" t="s">
        <v>160</v>
      </c>
      <c r="C2320" t="s">
        <v>247</v>
      </c>
      <c r="D2320" s="68" t="s">
        <v>3288</v>
      </c>
      <c r="E2320" s="119">
        <f>0.429165-E2321</f>
        <v>4.2916499999999969E-2</v>
      </c>
      <c r="F2320" s="151" t="s">
        <v>135</v>
      </c>
      <c r="G2320" s="151" t="s">
        <v>135</v>
      </c>
      <c r="H2320" s="68" t="s">
        <v>376</v>
      </c>
      <c r="J2320" s="74" t="str">
        <f t="shared" si="5"/>
        <v>[TIMES] Mechanical pulping, airless drying w/ CO2 capture</v>
      </c>
      <c r="L2320" s="163"/>
      <c r="M2320" s="48"/>
      <c r="N2320" s="123"/>
    </row>
    <row r="2321" spans="1:14" customFormat="1" x14ac:dyDescent="0.55000000000000004">
      <c r="A2321" s="99" t="s">
        <v>406</v>
      </c>
      <c r="B2321" s="68" t="s">
        <v>160</v>
      </c>
      <c r="C2321" s="68" t="s">
        <v>156</v>
      </c>
      <c r="D2321" s="68" t="s">
        <v>3288</v>
      </c>
      <c r="E2321" s="119">
        <f>0.429165*0.9</f>
        <v>0.38624850000000005</v>
      </c>
      <c r="F2321" s="151" t="s">
        <v>135</v>
      </c>
      <c r="G2321" s="151" t="s">
        <v>135</v>
      </c>
      <c r="H2321" s="68" t="s">
        <v>376</v>
      </c>
      <c r="J2321" s="74" t="str">
        <f t="shared" si="5"/>
        <v>[TIMES] Mechanical pulping, airless drying w/ CO2 capture</v>
      </c>
      <c r="L2321" s="163"/>
      <c r="M2321" s="48"/>
      <c r="N2321" s="123"/>
    </row>
    <row r="2322" spans="1:14" customFormat="1" x14ac:dyDescent="0.55000000000000004">
      <c r="A2322" s="98" t="s">
        <v>405</v>
      </c>
      <c r="B2322" s="68" t="s">
        <v>402</v>
      </c>
      <c r="C2322" s="68" t="s">
        <v>121</v>
      </c>
      <c r="D2322" s="68" t="s">
        <v>3288</v>
      </c>
      <c r="E2322" s="120">
        <v>1</v>
      </c>
      <c r="F2322" s="151" t="s">
        <v>135</v>
      </c>
      <c r="G2322" s="151">
        <v>1</v>
      </c>
      <c r="H2322" s="68" t="s">
        <v>39</v>
      </c>
      <c r="J2322" s="74" t="str">
        <f t="shared" si="5"/>
        <v>[TIMES] Paper mill, high quality</v>
      </c>
      <c r="L2322" s="163"/>
      <c r="M2322" s="48"/>
      <c r="N2322" s="123"/>
    </row>
    <row r="2323" spans="1:14" customFormat="1" x14ac:dyDescent="0.55000000000000004">
      <c r="A2323" s="98" t="s">
        <v>405</v>
      </c>
      <c r="B2323" s="68" t="s">
        <v>393</v>
      </c>
      <c r="C2323" t="s">
        <v>207</v>
      </c>
      <c r="D2323" s="68" t="s">
        <v>3288</v>
      </c>
      <c r="E2323" s="120">
        <v>1</v>
      </c>
      <c r="F2323" s="151" t="s">
        <v>135</v>
      </c>
      <c r="G2323" s="151" t="s">
        <v>135</v>
      </c>
      <c r="H2323" s="68" t="s">
        <v>39</v>
      </c>
      <c r="J2323" s="74" t="str">
        <f t="shared" si="5"/>
        <v>[TIMES] Paper mill, high quality</v>
      </c>
      <c r="L2323" s="163"/>
      <c r="M2323" s="48"/>
      <c r="N2323" s="123"/>
    </row>
    <row r="2324" spans="1:14" customFormat="1" x14ac:dyDescent="0.55000000000000004">
      <c r="A2324" s="98" t="s">
        <v>405</v>
      </c>
      <c r="B2324" s="68" t="s">
        <v>153</v>
      </c>
      <c r="C2324" s="68" t="s">
        <v>127</v>
      </c>
      <c r="D2324" s="68" t="s">
        <v>2994</v>
      </c>
      <c r="E2324" s="120">
        <v>2.5</v>
      </c>
      <c r="F2324" s="151" t="s">
        <v>138</v>
      </c>
      <c r="G2324" s="151" t="s">
        <v>135</v>
      </c>
      <c r="H2324" s="68" t="s">
        <v>39</v>
      </c>
      <c r="J2324" s="74" t="str">
        <f t="shared" si="5"/>
        <v>[TIMES] Paper mill, high quality</v>
      </c>
      <c r="L2324" s="163"/>
      <c r="M2324" s="48"/>
      <c r="N2324" s="123"/>
    </row>
    <row r="2325" spans="1:14" customFormat="1" x14ac:dyDescent="0.55000000000000004">
      <c r="A2325" s="98" t="s">
        <v>405</v>
      </c>
      <c r="B2325" s="68" t="s">
        <v>208</v>
      </c>
      <c r="C2325" s="68" t="s">
        <v>127</v>
      </c>
      <c r="D2325" s="68" t="s">
        <v>2994</v>
      </c>
      <c r="E2325" s="120">
        <v>8.5</v>
      </c>
      <c r="F2325" s="151" t="s">
        <v>138</v>
      </c>
      <c r="G2325" s="151" t="s">
        <v>135</v>
      </c>
      <c r="H2325" s="68" t="s">
        <v>39</v>
      </c>
      <c r="J2325" s="74" t="str">
        <f t="shared" si="5"/>
        <v>[TIMES] Paper mill, high quality</v>
      </c>
      <c r="L2325" s="163"/>
      <c r="M2325" s="48"/>
      <c r="N2325" s="123"/>
    </row>
    <row r="2326" spans="1:14" customFormat="1" x14ac:dyDescent="0.55000000000000004">
      <c r="A2326" s="98" t="s">
        <v>405</v>
      </c>
      <c r="B2326" s="68" t="s">
        <v>160</v>
      </c>
      <c r="C2326" t="s">
        <v>247</v>
      </c>
      <c r="D2326" s="68" t="s">
        <v>3288</v>
      </c>
      <c r="E2326" s="119">
        <v>0.442</v>
      </c>
      <c r="F2326" s="151" t="s">
        <v>135</v>
      </c>
      <c r="G2326" s="151" t="s">
        <v>135</v>
      </c>
      <c r="H2326" s="68" t="s">
        <v>373</v>
      </c>
      <c r="J2326" s="74" t="str">
        <f t="shared" ref="J2326:J2357" si="6">A2326</f>
        <v>[TIMES] Paper mill, high quality</v>
      </c>
      <c r="L2326" s="163"/>
      <c r="M2326" s="48"/>
      <c r="N2326" s="123"/>
    </row>
    <row r="2327" spans="1:14" customFormat="1" x14ac:dyDescent="0.55000000000000004">
      <c r="A2327" s="98" t="s">
        <v>404</v>
      </c>
      <c r="B2327" s="68" t="s">
        <v>402</v>
      </c>
      <c r="C2327" s="68" t="s">
        <v>121</v>
      </c>
      <c r="D2327" s="68" t="s">
        <v>3288</v>
      </c>
      <c r="E2327" s="120">
        <v>1</v>
      </c>
      <c r="F2327" s="151" t="s">
        <v>135</v>
      </c>
      <c r="G2327" s="151">
        <v>1</v>
      </c>
      <c r="H2327" s="68" t="s">
        <v>39</v>
      </c>
      <c r="J2327" s="74" t="str">
        <f t="shared" si="6"/>
        <v>[TIMES] Paper mill, high quality + advanced drives</v>
      </c>
      <c r="L2327" s="163"/>
      <c r="M2327" s="48"/>
      <c r="N2327" s="123"/>
    </row>
    <row r="2328" spans="1:14" customFormat="1" x14ac:dyDescent="0.55000000000000004">
      <c r="A2328" s="98" t="s">
        <v>404</v>
      </c>
      <c r="B2328" s="68" t="s">
        <v>393</v>
      </c>
      <c r="C2328" s="68" t="s">
        <v>207</v>
      </c>
      <c r="D2328" s="68" t="s">
        <v>3288</v>
      </c>
      <c r="E2328" s="120">
        <v>1</v>
      </c>
      <c r="F2328" s="151" t="s">
        <v>135</v>
      </c>
      <c r="G2328" s="151" t="s">
        <v>135</v>
      </c>
      <c r="H2328" s="68" t="s">
        <v>39</v>
      </c>
      <c r="J2328" s="74" t="str">
        <f t="shared" si="6"/>
        <v>[TIMES] Paper mill, high quality + advanced drives</v>
      </c>
      <c r="L2328" s="163"/>
      <c r="M2328" s="48"/>
      <c r="N2328" s="123"/>
    </row>
    <row r="2329" spans="1:14" customFormat="1" x14ac:dyDescent="0.55000000000000004">
      <c r="A2329" s="98" t="s">
        <v>404</v>
      </c>
      <c r="B2329" t="s">
        <v>171</v>
      </c>
      <c r="C2329" s="68" t="s">
        <v>127</v>
      </c>
      <c r="D2329" s="68" t="s">
        <v>2994</v>
      </c>
      <c r="E2329" s="120">
        <v>1</v>
      </c>
      <c r="F2329" s="151" t="s">
        <v>138</v>
      </c>
      <c r="G2329" s="151" t="s">
        <v>135</v>
      </c>
      <c r="H2329" s="68" t="s">
        <v>39</v>
      </c>
      <c r="J2329" s="74" t="str">
        <f t="shared" si="6"/>
        <v>[TIMES] Paper mill, high quality + advanced drives</v>
      </c>
      <c r="L2329" s="163"/>
      <c r="M2329" s="48"/>
      <c r="N2329" s="123"/>
    </row>
    <row r="2330" spans="1:14" customFormat="1" x14ac:dyDescent="0.55000000000000004">
      <c r="A2330" s="98" t="s">
        <v>404</v>
      </c>
      <c r="B2330" t="s">
        <v>153</v>
      </c>
      <c r="C2330" s="68" t="s">
        <v>127</v>
      </c>
      <c r="D2330" s="68" t="s">
        <v>2994</v>
      </c>
      <c r="E2330" s="120">
        <v>3.6</v>
      </c>
      <c r="F2330" s="151" t="s">
        <v>138</v>
      </c>
      <c r="G2330" s="151" t="s">
        <v>135</v>
      </c>
      <c r="H2330" s="68" t="s">
        <v>39</v>
      </c>
      <c r="J2330" s="74" t="str">
        <f t="shared" si="6"/>
        <v>[TIMES] Paper mill, high quality + advanced drives</v>
      </c>
      <c r="L2330" s="163"/>
      <c r="M2330" s="48"/>
      <c r="N2330" s="123"/>
    </row>
    <row r="2331" spans="1:14" customFormat="1" x14ac:dyDescent="0.55000000000000004">
      <c r="A2331" s="98" t="s">
        <v>404</v>
      </c>
      <c r="B2331" s="68" t="s">
        <v>208</v>
      </c>
      <c r="C2331" s="68" t="s">
        <v>127</v>
      </c>
      <c r="D2331" s="68" t="s">
        <v>2994</v>
      </c>
      <c r="E2331" s="120">
        <v>5.8</v>
      </c>
      <c r="F2331" s="151" t="s">
        <v>138</v>
      </c>
      <c r="G2331" s="151" t="s">
        <v>135</v>
      </c>
      <c r="H2331" s="68" t="s">
        <v>39</v>
      </c>
      <c r="J2331" s="74" t="str">
        <f t="shared" si="6"/>
        <v>[TIMES] Paper mill, high quality + advanced drives</v>
      </c>
      <c r="L2331" s="163"/>
      <c r="M2331" s="48"/>
      <c r="N2331" s="123"/>
    </row>
    <row r="2332" spans="1:14" customFormat="1" x14ac:dyDescent="0.55000000000000004">
      <c r="A2332" s="98" t="s">
        <v>404</v>
      </c>
      <c r="B2332" s="68" t="s">
        <v>160</v>
      </c>
      <c r="C2332" t="s">
        <v>247</v>
      </c>
      <c r="D2332" s="68" t="s">
        <v>3288</v>
      </c>
      <c r="E2332" s="119">
        <v>0.35770000000000002</v>
      </c>
      <c r="F2332" s="151" t="s">
        <v>135</v>
      </c>
      <c r="G2332" s="151" t="s">
        <v>135</v>
      </c>
      <c r="H2332" s="68" t="s">
        <v>376</v>
      </c>
      <c r="I2332" t="s">
        <v>388</v>
      </c>
      <c r="J2332" s="74" t="str">
        <f t="shared" si="6"/>
        <v>[TIMES] Paper mill, high quality + advanced drives</v>
      </c>
      <c r="L2332" s="163"/>
      <c r="M2332" s="48"/>
      <c r="N2332" s="123"/>
    </row>
    <row r="2333" spans="1:14" customFormat="1" x14ac:dyDescent="0.55000000000000004">
      <c r="A2333" s="99" t="s">
        <v>401</v>
      </c>
      <c r="B2333" s="68" t="s">
        <v>402</v>
      </c>
      <c r="C2333" s="68" t="s">
        <v>121</v>
      </c>
      <c r="D2333" s="68" t="s">
        <v>3288</v>
      </c>
      <c r="E2333" s="120">
        <v>1</v>
      </c>
      <c r="F2333" s="151" t="s">
        <v>135</v>
      </c>
      <c r="G2333" s="151">
        <v>1</v>
      </c>
      <c r="H2333" s="68" t="s">
        <v>39</v>
      </c>
      <c r="J2333" s="74" t="str">
        <f t="shared" si="6"/>
        <v>[TIMES] Paper mill, high quality + advanced drives w/ CO2 capture</v>
      </c>
      <c r="L2333" s="163"/>
      <c r="M2333" s="48"/>
      <c r="N2333" s="123"/>
    </row>
    <row r="2334" spans="1:14" customFormat="1" x14ac:dyDescent="0.55000000000000004">
      <c r="A2334" s="98" t="s">
        <v>401</v>
      </c>
      <c r="B2334" s="68" t="s">
        <v>393</v>
      </c>
      <c r="C2334" s="68" t="s">
        <v>207</v>
      </c>
      <c r="D2334" s="68" t="s">
        <v>3288</v>
      </c>
      <c r="E2334" s="120">
        <v>1</v>
      </c>
      <c r="F2334" s="151" t="s">
        <v>135</v>
      </c>
      <c r="G2334" s="151" t="s">
        <v>135</v>
      </c>
      <c r="H2334" s="68" t="s">
        <v>39</v>
      </c>
      <c r="J2334" s="74" t="str">
        <f t="shared" si="6"/>
        <v>[TIMES] Paper mill, high quality + advanced drives w/ CO2 capture</v>
      </c>
      <c r="L2334" s="163"/>
      <c r="M2334" s="48"/>
      <c r="N2334" s="123"/>
    </row>
    <row r="2335" spans="1:14" customFormat="1" x14ac:dyDescent="0.55000000000000004">
      <c r="A2335" s="98" t="s">
        <v>401</v>
      </c>
      <c r="B2335" t="s">
        <v>171</v>
      </c>
      <c r="C2335" s="68" t="s">
        <v>127</v>
      </c>
      <c r="D2335" s="68" t="s">
        <v>2994</v>
      </c>
      <c r="E2335" s="120">
        <f>E2342</f>
        <v>0.19</v>
      </c>
      <c r="F2335" s="151" t="s">
        <v>138</v>
      </c>
      <c r="G2335" s="151" t="s">
        <v>135</v>
      </c>
      <c r="H2335" s="68" t="s">
        <v>39</v>
      </c>
      <c r="J2335" s="74" t="str">
        <f t="shared" si="6"/>
        <v>[TIMES] Paper mill, high quality + advanced drives w/ CO2 capture</v>
      </c>
      <c r="L2335" s="163"/>
      <c r="M2335" s="48"/>
      <c r="N2335" s="123"/>
    </row>
    <row r="2336" spans="1:14" customFormat="1" x14ac:dyDescent="0.55000000000000004">
      <c r="A2336" s="98" t="s">
        <v>401</v>
      </c>
      <c r="B2336" t="s">
        <v>153</v>
      </c>
      <c r="C2336" s="68" t="s">
        <v>127</v>
      </c>
      <c r="D2336" s="68" t="s">
        <v>2994</v>
      </c>
      <c r="E2336" s="120">
        <f>E2343*1.065</f>
        <v>3.1949999999999999E-2</v>
      </c>
      <c r="F2336" s="151" t="s">
        <v>138</v>
      </c>
      <c r="G2336" s="151" t="s">
        <v>135</v>
      </c>
      <c r="H2336" s="68" t="s">
        <v>39</v>
      </c>
      <c r="J2336" s="74" t="str">
        <f t="shared" si="6"/>
        <v>[TIMES] Paper mill, high quality + advanced drives w/ CO2 capture</v>
      </c>
      <c r="L2336" s="163"/>
      <c r="M2336" s="48"/>
      <c r="N2336" s="123"/>
    </row>
    <row r="2337" spans="1:14" customFormat="1" x14ac:dyDescent="0.55000000000000004">
      <c r="A2337" s="98" t="s">
        <v>401</v>
      </c>
      <c r="B2337" s="68" t="s">
        <v>208</v>
      </c>
      <c r="C2337" s="68" t="s">
        <v>127</v>
      </c>
      <c r="D2337" s="68" t="s">
        <v>2994</v>
      </c>
      <c r="E2337" s="120">
        <f>E2344</f>
        <v>7.0000000000000007E-2</v>
      </c>
      <c r="F2337" s="151" t="s">
        <v>138</v>
      </c>
      <c r="G2337" s="151" t="s">
        <v>135</v>
      </c>
      <c r="H2337" s="68" t="s">
        <v>39</v>
      </c>
      <c r="J2337" s="74" t="str">
        <f t="shared" si="6"/>
        <v>[TIMES] Paper mill, high quality + advanced drives w/ CO2 capture</v>
      </c>
      <c r="L2337" s="163"/>
      <c r="M2337" s="48"/>
      <c r="N2337" s="123"/>
    </row>
    <row r="2338" spans="1:14" customFormat="1" x14ac:dyDescent="0.55000000000000004">
      <c r="A2338" s="98" t="s">
        <v>401</v>
      </c>
      <c r="B2338" s="68" t="s">
        <v>160</v>
      </c>
      <c r="C2338" t="s">
        <v>247</v>
      </c>
      <c r="D2338" s="68" t="s">
        <v>3288</v>
      </c>
      <c r="E2338" s="120">
        <f>0.3577-E2339</f>
        <v>3.5769999999999968E-2</v>
      </c>
      <c r="F2338" s="151" t="s">
        <v>135</v>
      </c>
      <c r="G2338" s="151" t="s">
        <v>135</v>
      </c>
      <c r="H2338" s="68" t="s">
        <v>376</v>
      </c>
      <c r="I2338" t="s">
        <v>388</v>
      </c>
      <c r="J2338" s="74" t="str">
        <f t="shared" si="6"/>
        <v>[TIMES] Paper mill, high quality + advanced drives w/ CO2 capture</v>
      </c>
      <c r="L2338" s="163"/>
      <c r="M2338" s="48"/>
      <c r="N2338" s="123"/>
    </row>
    <row r="2339" spans="1:14" customFormat="1" x14ac:dyDescent="0.55000000000000004">
      <c r="A2339" s="98" t="s">
        <v>401</v>
      </c>
      <c r="B2339" s="68" t="s">
        <v>160</v>
      </c>
      <c r="C2339" s="68" t="s">
        <v>156</v>
      </c>
      <c r="D2339" s="68" t="s">
        <v>3288</v>
      </c>
      <c r="E2339" s="119">
        <f>0.3577*0.9</f>
        <v>0.32193000000000005</v>
      </c>
      <c r="F2339" s="151" t="s">
        <v>135</v>
      </c>
      <c r="G2339" s="151" t="s">
        <v>135</v>
      </c>
      <c r="H2339" s="68" t="s">
        <v>376</v>
      </c>
      <c r="I2339" t="s">
        <v>403</v>
      </c>
      <c r="J2339" s="74" t="str">
        <f t="shared" si="6"/>
        <v>[TIMES] Paper mill, high quality + advanced drives w/ CO2 capture</v>
      </c>
      <c r="L2339" s="163"/>
      <c r="M2339" s="48"/>
      <c r="N2339" s="123"/>
    </row>
    <row r="2340" spans="1:14" customFormat="1" x14ac:dyDescent="0.55000000000000004">
      <c r="A2340" s="98" t="s">
        <v>399</v>
      </c>
      <c r="B2340" s="68" t="s">
        <v>392</v>
      </c>
      <c r="C2340" s="68" t="s">
        <v>121</v>
      </c>
      <c r="D2340" s="68" t="s">
        <v>3288</v>
      </c>
      <c r="E2340" s="120">
        <v>1</v>
      </c>
      <c r="F2340" s="151" t="s">
        <v>135</v>
      </c>
      <c r="G2340" s="151">
        <v>1</v>
      </c>
      <c r="H2340" s="68" t="s">
        <v>39</v>
      </c>
      <c r="J2340" s="74" t="str">
        <f t="shared" si="6"/>
        <v>[TIMES] Paper mill, low quality</v>
      </c>
      <c r="L2340" s="163"/>
      <c r="M2340" s="48"/>
      <c r="N2340" s="123"/>
    </row>
    <row r="2341" spans="1:14" customFormat="1" x14ac:dyDescent="0.55000000000000004">
      <c r="A2341" s="98" t="s">
        <v>399</v>
      </c>
      <c r="B2341" s="68" t="s">
        <v>393</v>
      </c>
      <c r="C2341" s="68" t="s">
        <v>207</v>
      </c>
      <c r="D2341" s="68" t="s">
        <v>3288</v>
      </c>
      <c r="E2341" s="120">
        <v>0.67</v>
      </c>
      <c r="F2341" s="151" t="s">
        <v>135</v>
      </c>
      <c r="G2341" s="151" t="s">
        <v>135</v>
      </c>
      <c r="H2341" s="68" t="s">
        <v>39</v>
      </c>
      <c r="J2341" s="74" t="str">
        <f t="shared" si="6"/>
        <v>[TIMES] Paper mill, low quality</v>
      </c>
      <c r="L2341" s="163"/>
      <c r="M2341" s="48"/>
      <c r="N2341" s="123"/>
    </row>
    <row r="2342" spans="1:14" customFormat="1" x14ac:dyDescent="0.55000000000000004">
      <c r="A2342" s="98" t="s">
        <v>399</v>
      </c>
      <c r="B2342" s="68" t="s">
        <v>394</v>
      </c>
      <c r="C2342" t="s">
        <v>132</v>
      </c>
      <c r="D2342" s="68" t="s">
        <v>3288</v>
      </c>
      <c r="E2342" s="120">
        <v>0.19</v>
      </c>
      <c r="F2342" s="151" t="s">
        <v>135</v>
      </c>
      <c r="G2342" s="151" t="s">
        <v>135</v>
      </c>
      <c r="H2342" s="68" t="s">
        <v>39</v>
      </c>
      <c r="J2342" s="74" t="str">
        <f t="shared" si="6"/>
        <v>[TIMES] Paper mill, low quality</v>
      </c>
      <c r="L2342" s="163"/>
      <c r="M2342" s="48"/>
      <c r="N2342" s="123"/>
    </row>
    <row r="2343" spans="1:14" customFormat="1" x14ac:dyDescent="0.55000000000000004">
      <c r="A2343" s="98" t="s">
        <v>399</v>
      </c>
      <c r="B2343" s="68" t="s">
        <v>395</v>
      </c>
      <c r="C2343" t="s">
        <v>132</v>
      </c>
      <c r="D2343" s="68" t="s">
        <v>3288</v>
      </c>
      <c r="E2343" s="120">
        <v>0.03</v>
      </c>
      <c r="F2343" s="151" t="s">
        <v>135</v>
      </c>
      <c r="G2343" s="151" t="s">
        <v>135</v>
      </c>
      <c r="H2343" s="68" t="s">
        <v>39</v>
      </c>
      <c r="J2343" s="74" t="str">
        <f t="shared" si="6"/>
        <v>[TIMES] Paper mill, low quality</v>
      </c>
      <c r="L2343" s="163"/>
      <c r="M2343" s="48"/>
      <c r="N2343" s="123"/>
    </row>
    <row r="2344" spans="1:14" customFormat="1" x14ac:dyDescent="0.55000000000000004">
      <c r="A2344" s="98" t="s">
        <v>399</v>
      </c>
      <c r="B2344" s="68" t="s">
        <v>206</v>
      </c>
      <c r="C2344" t="s">
        <v>207</v>
      </c>
      <c r="D2344" s="68" t="s">
        <v>3288</v>
      </c>
      <c r="E2344" s="120">
        <v>7.0000000000000007E-2</v>
      </c>
      <c r="F2344" s="151" t="s">
        <v>135</v>
      </c>
      <c r="G2344" s="151" t="s">
        <v>135</v>
      </c>
      <c r="H2344" s="68" t="s">
        <v>39</v>
      </c>
      <c r="J2344" s="74" t="str">
        <f t="shared" si="6"/>
        <v>[TIMES] Paper mill, low quality</v>
      </c>
      <c r="L2344" s="163"/>
      <c r="M2344" s="48"/>
      <c r="N2344" s="123"/>
    </row>
    <row r="2345" spans="1:14" customFormat="1" x14ac:dyDescent="0.55000000000000004">
      <c r="A2345" s="98" t="s">
        <v>399</v>
      </c>
      <c r="B2345" s="68" t="s">
        <v>171</v>
      </c>
      <c r="C2345" s="68" t="s">
        <v>127</v>
      </c>
      <c r="D2345" s="68" t="s">
        <v>2994</v>
      </c>
      <c r="E2345" s="120">
        <v>7.0000000000000007E-2</v>
      </c>
      <c r="F2345" s="151" t="s">
        <v>138</v>
      </c>
      <c r="G2345" s="151" t="s">
        <v>135</v>
      </c>
      <c r="H2345" s="68" t="s">
        <v>39</v>
      </c>
      <c r="J2345" s="74" t="str">
        <f t="shared" si="6"/>
        <v>[TIMES] Paper mill, low quality</v>
      </c>
      <c r="L2345" s="163"/>
      <c r="M2345" s="48"/>
      <c r="N2345" s="123"/>
    </row>
    <row r="2346" spans="1:14" customFormat="1" x14ac:dyDescent="0.55000000000000004">
      <c r="A2346" s="98" t="s">
        <v>399</v>
      </c>
      <c r="B2346" s="68" t="s">
        <v>153</v>
      </c>
      <c r="C2346" s="68" t="s">
        <v>127</v>
      </c>
      <c r="D2346" s="68" t="s">
        <v>2994</v>
      </c>
      <c r="E2346" s="120">
        <v>2.2400000000000002</v>
      </c>
      <c r="F2346" s="151" t="s">
        <v>138</v>
      </c>
      <c r="G2346" s="151" t="s">
        <v>135</v>
      </c>
      <c r="H2346" s="68" t="s">
        <v>39</v>
      </c>
      <c r="I2346" t="s">
        <v>400</v>
      </c>
      <c r="J2346" s="74" t="str">
        <f t="shared" si="6"/>
        <v>[TIMES] Paper mill, low quality</v>
      </c>
      <c r="L2346" s="163"/>
      <c r="M2346" s="48"/>
      <c r="N2346" s="123"/>
    </row>
    <row r="2347" spans="1:14" customFormat="1" x14ac:dyDescent="0.55000000000000004">
      <c r="A2347" s="98" t="s">
        <v>399</v>
      </c>
      <c r="B2347" s="68" t="s">
        <v>208</v>
      </c>
      <c r="C2347" s="68" t="s">
        <v>127</v>
      </c>
      <c r="D2347" s="68" t="s">
        <v>2994</v>
      </c>
      <c r="E2347" s="120">
        <v>7.4</v>
      </c>
      <c r="F2347" s="151" t="s">
        <v>138</v>
      </c>
      <c r="G2347" s="151" t="s">
        <v>135</v>
      </c>
      <c r="H2347" s="68" t="s">
        <v>39</v>
      </c>
      <c r="J2347" s="74" t="str">
        <f t="shared" si="6"/>
        <v>[TIMES] Paper mill, low quality</v>
      </c>
      <c r="L2347" s="163"/>
      <c r="M2347" s="48"/>
      <c r="N2347" s="123"/>
    </row>
    <row r="2348" spans="1:14" customFormat="1" x14ac:dyDescent="0.55000000000000004">
      <c r="A2348" s="98" t="s">
        <v>399</v>
      </c>
      <c r="B2348" s="68" t="s">
        <v>160</v>
      </c>
      <c r="C2348" t="s">
        <v>247</v>
      </c>
      <c r="D2348" s="68" t="s">
        <v>3288</v>
      </c>
      <c r="E2348" s="119">
        <v>0.38872699999999999</v>
      </c>
      <c r="F2348" s="151" t="s">
        <v>135</v>
      </c>
      <c r="G2348" s="151" t="s">
        <v>135</v>
      </c>
      <c r="H2348" s="68" t="s">
        <v>376</v>
      </c>
      <c r="I2348" t="s">
        <v>388</v>
      </c>
      <c r="J2348" s="74" t="str">
        <f t="shared" si="6"/>
        <v>[TIMES] Paper mill, low quality</v>
      </c>
      <c r="L2348" s="163"/>
      <c r="M2348" s="48"/>
      <c r="N2348" s="123"/>
    </row>
    <row r="2349" spans="1:14" customFormat="1" x14ac:dyDescent="0.55000000000000004">
      <c r="A2349" s="100" t="s">
        <v>398</v>
      </c>
      <c r="B2349" s="68" t="s">
        <v>392</v>
      </c>
      <c r="C2349" s="21" t="s">
        <v>121</v>
      </c>
      <c r="D2349" s="21" t="s">
        <v>3288</v>
      </c>
      <c r="E2349" s="117">
        <v>1</v>
      </c>
      <c r="F2349" s="151" t="s">
        <v>135</v>
      </c>
      <c r="G2349" s="151">
        <v>1</v>
      </c>
      <c r="H2349" s="68" t="s">
        <v>39</v>
      </c>
      <c r="J2349" s="74" t="str">
        <f t="shared" si="6"/>
        <v>[TIMES] Paper mill, low quality + advanced drives</v>
      </c>
      <c r="L2349" s="166"/>
      <c r="M2349" s="48"/>
      <c r="N2349" s="123"/>
    </row>
    <row r="2350" spans="1:14" customFormat="1" x14ac:dyDescent="0.55000000000000004">
      <c r="A2350" s="100" t="s">
        <v>398</v>
      </c>
      <c r="B2350" s="21" t="s">
        <v>393</v>
      </c>
      <c r="C2350" s="21" t="s">
        <v>207</v>
      </c>
      <c r="D2350" s="21" t="s">
        <v>3288</v>
      </c>
      <c r="E2350" s="117">
        <v>0.68</v>
      </c>
      <c r="F2350" s="151" t="s">
        <v>135</v>
      </c>
      <c r="G2350" s="151" t="s">
        <v>135</v>
      </c>
      <c r="H2350" s="68" t="s">
        <v>39</v>
      </c>
      <c r="J2350" s="74" t="str">
        <f t="shared" si="6"/>
        <v>[TIMES] Paper mill, low quality + advanced drives</v>
      </c>
      <c r="L2350" s="166"/>
      <c r="M2350" s="48"/>
      <c r="N2350" s="123"/>
    </row>
    <row r="2351" spans="1:14" customFormat="1" x14ac:dyDescent="0.55000000000000004">
      <c r="A2351" s="100" t="s">
        <v>398</v>
      </c>
      <c r="B2351" s="21" t="s">
        <v>394</v>
      </c>
      <c r="C2351" s="21" t="s">
        <v>132</v>
      </c>
      <c r="D2351" s="21" t="s">
        <v>3288</v>
      </c>
      <c r="E2351" s="117">
        <v>0.22</v>
      </c>
      <c r="F2351" s="151" t="s">
        <v>135</v>
      </c>
      <c r="G2351" s="151" t="s">
        <v>135</v>
      </c>
      <c r="H2351" s="68" t="s">
        <v>39</v>
      </c>
      <c r="J2351" s="74" t="str">
        <f t="shared" si="6"/>
        <v>[TIMES] Paper mill, low quality + advanced drives</v>
      </c>
      <c r="L2351" s="166"/>
      <c r="M2351" s="48"/>
      <c r="N2351" s="123"/>
    </row>
    <row r="2352" spans="1:14" customFormat="1" x14ac:dyDescent="0.55000000000000004">
      <c r="A2352" s="100" t="s">
        <v>398</v>
      </c>
      <c r="B2352" s="21" t="s">
        <v>395</v>
      </c>
      <c r="C2352" s="21" t="s">
        <v>125</v>
      </c>
      <c r="D2352" s="21" t="s">
        <v>3288</v>
      </c>
      <c r="E2352" s="117">
        <v>0.05</v>
      </c>
      <c r="F2352" s="151" t="s">
        <v>135</v>
      </c>
      <c r="G2352" s="151" t="s">
        <v>135</v>
      </c>
      <c r="H2352" s="68" t="s">
        <v>39</v>
      </c>
      <c r="J2352" s="74" t="str">
        <f t="shared" si="6"/>
        <v>[TIMES] Paper mill, low quality + advanced drives</v>
      </c>
      <c r="L2352" s="166"/>
      <c r="M2352" s="48"/>
      <c r="N2352" s="123"/>
    </row>
    <row r="2353" spans="1:14" customFormat="1" x14ac:dyDescent="0.55000000000000004">
      <c r="A2353" s="100" t="s">
        <v>398</v>
      </c>
      <c r="B2353" s="21" t="s">
        <v>206</v>
      </c>
      <c r="C2353" s="21" t="s">
        <v>207</v>
      </c>
      <c r="D2353" s="21" t="s">
        <v>3288</v>
      </c>
      <c r="E2353" s="117">
        <v>0.09</v>
      </c>
      <c r="F2353" s="151" t="s">
        <v>135</v>
      </c>
      <c r="G2353" s="151" t="s">
        <v>135</v>
      </c>
      <c r="H2353" s="68" t="s">
        <v>39</v>
      </c>
      <c r="J2353" s="74" t="str">
        <f t="shared" si="6"/>
        <v>[TIMES] Paper mill, low quality + advanced drives</v>
      </c>
      <c r="L2353" s="166"/>
      <c r="M2353" s="48"/>
      <c r="N2353" s="123"/>
    </row>
    <row r="2354" spans="1:14" customFormat="1" x14ac:dyDescent="0.55000000000000004">
      <c r="A2354" s="100" t="s">
        <v>398</v>
      </c>
      <c r="B2354" s="21" t="s">
        <v>171</v>
      </c>
      <c r="C2354" s="21" t="s">
        <v>127</v>
      </c>
      <c r="D2354" s="21" t="s">
        <v>2994</v>
      </c>
      <c r="E2354" s="117">
        <v>3.5</v>
      </c>
      <c r="F2354" s="151" t="s">
        <v>138</v>
      </c>
      <c r="G2354" s="151" t="s">
        <v>135</v>
      </c>
      <c r="H2354" s="68" t="s">
        <v>39</v>
      </c>
      <c r="J2354" s="74" t="str">
        <f t="shared" si="6"/>
        <v>[TIMES] Paper mill, low quality + advanced drives</v>
      </c>
      <c r="L2354" s="166"/>
      <c r="M2354" s="48"/>
      <c r="N2354" s="123"/>
    </row>
    <row r="2355" spans="1:14" customFormat="1" x14ac:dyDescent="0.55000000000000004">
      <c r="A2355" s="100" t="s">
        <v>398</v>
      </c>
      <c r="B2355" s="21" t="s">
        <v>153</v>
      </c>
      <c r="C2355" s="21" t="s">
        <v>127</v>
      </c>
      <c r="D2355" s="21" t="s">
        <v>2994</v>
      </c>
      <c r="E2355" s="117">
        <v>6.74</v>
      </c>
      <c r="F2355" s="151" t="s">
        <v>138</v>
      </c>
      <c r="G2355" s="151" t="s">
        <v>135</v>
      </c>
      <c r="H2355" s="68" t="s">
        <v>39</v>
      </c>
      <c r="J2355" s="74" t="str">
        <f t="shared" si="6"/>
        <v>[TIMES] Paper mill, low quality + advanced drives</v>
      </c>
      <c r="L2355" s="166"/>
      <c r="M2355" s="48"/>
      <c r="N2355" s="123"/>
    </row>
    <row r="2356" spans="1:14" customFormat="1" x14ac:dyDescent="0.55000000000000004">
      <c r="A2356" s="100" t="s">
        <v>398</v>
      </c>
      <c r="B2356" s="21" t="s">
        <v>208</v>
      </c>
      <c r="C2356" s="21" t="s">
        <v>127</v>
      </c>
      <c r="D2356" s="21" t="s">
        <v>2994</v>
      </c>
      <c r="E2356" s="117">
        <v>8</v>
      </c>
      <c r="F2356" s="151" t="s">
        <v>138</v>
      </c>
      <c r="G2356" s="151" t="s">
        <v>135</v>
      </c>
      <c r="H2356" s="68" t="s">
        <v>39</v>
      </c>
      <c r="J2356" s="74" t="str">
        <f t="shared" si="6"/>
        <v>[TIMES] Paper mill, low quality + advanced drives</v>
      </c>
      <c r="L2356" s="166"/>
      <c r="M2356" s="48"/>
      <c r="N2356" s="123"/>
    </row>
    <row r="2357" spans="1:14" customFormat="1" x14ac:dyDescent="0.55000000000000004">
      <c r="A2357" s="100" t="s">
        <v>398</v>
      </c>
      <c r="B2357" s="68" t="s">
        <v>160</v>
      </c>
      <c r="C2357" t="s">
        <v>247</v>
      </c>
      <c r="D2357" s="68" t="s">
        <v>3288</v>
      </c>
      <c r="E2357" s="119">
        <v>0.61234999999999995</v>
      </c>
      <c r="F2357" s="151" t="s">
        <v>135</v>
      </c>
      <c r="G2357" s="151" t="s">
        <v>135</v>
      </c>
      <c r="H2357" s="68" t="s">
        <v>376</v>
      </c>
      <c r="I2357" t="s">
        <v>388</v>
      </c>
      <c r="J2357" s="74" t="str">
        <f t="shared" si="6"/>
        <v>[TIMES] Paper mill, low quality + advanced drives</v>
      </c>
      <c r="L2357" s="163"/>
      <c r="M2357" s="48"/>
      <c r="N2357" s="123"/>
    </row>
    <row r="2358" spans="1:14" customFormat="1" x14ac:dyDescent="0.55000000000000004">
      <c r="A2358" s="100" t="s">
        <v>391</v>
      </c>
      <c r="B2358" s="68" t="s">
        <v>392</v>
      </c>
      <c r="C2358" s="21" t="s">
        <v>121</v>
      </c>
      <c r="D2358" s="21" t="s">
        <v>3288</v>
      </c>
      <c r="E2358" s="117">
        <v>1</v>
      </c>
      <c r="F2358" s="151" t="s">
        <v>135</v>
      </c>
      <c r="G2358" s="151">
        <v>1</v>
      </c>
      <c r="H2358" t="s">
        <v>39</v>
      </c>
      <c r="J2358" s="74" t="str">
        <f t="shared" ref="J2358:J2367" si="7">A2358</f>
        <v>[TIMES] Paper mill, low quality + advanced drives w/ CO2 capture</v>
      </c>
      <c r="L2358" s="166"/>
      <c r="M2358" s="48"/>
      <c r="N2358" s="123"/>
    </row>
    <row r="2359" spans="1:14" customFormat="1" x14ac:dyDescent="0.55000000000000004">
      <c r="A2359" s="100" t="s">
        <v>391</v>
      </c>
      <c r="B2359" s="21" t="s">
        <v>393</v>
      </c>
      <c r="C2359" s="21" t="s">
        <v>207</v>
      </c>
      <c r="D2359" s="21" t="s">
        <v>3288</v>
      </c>
      <c r="E2359" s="117">
        <v>0.68</v>
      </c>
      <c r="F2359" s="151" t="s">
        <v>135</v>
      </c>
      <c r="G2359" s="151" t="s">
        <v>135</v>
      </c>
      <c r="H2359" t="s">
        <v>39</v>
      </c>
      <c r="J2359" s="74" t="str">
        <f t="shared" si="7"/>
        <v>[TIMES] Paper mill, low quality + advanced drives w/ CO2 capture</v>
      </c>
      <c r="L2359" s="166"/>
      <c r="M2359" s="48"/>
      <c r="N2359" s="123"/>
    </row>
    <row r="2360" spans="1:14" customFormat="1" x14ac:dyDescent="0.55000000000000004">
      <c r="A2360" s="100" t="s">
        <v>391</v>
      </c>
      <c r="B2360" s="21" t="s">
        <v>394</v>
      </c>
      <c r="C2360" s="21" t="s">
        <v>132</v>
      </c>
      <c r="D2360" s="21" t="s">
        <v>3288</v>
      </c>
      <c r="E2360" s="117">
        <v>0.22</v>
      </c>
      <c r="F2360" s="151" t="s">
        <v>135</v>
      </c>
      <c r="G2360" s="151" t="s">
        <v>135</v>
      </c>
      <c r="H2360" t="s">
        <v>39</v>
      </c>
      <c r="J2360" s="74" t="str">
        <f t="shared" si="7"/>
        <v>[TIMES] Paper mill, low quality + advanced drives w/ CO2 capture</v>
      </c>
      <c r="L2360" s="166"/>
      <c r="M2360" s="48"/>
      <c r="N2360" s="123"/>
    </row>
    <row r="2361" spans="1:14" customFormat="1" x14ac:dyDescent="0.55000000000000004">
      <c r="A2361" s="100" t="s">
        <v>391</v>
      </c>
      <c r="B2361" s="21" t="s">
        <v>395</v>
      </c>
      <c r="C2361" s="21" t="s">
        <v>125</v>
      </c>
      <c r="D2361" s="21" t="s">
        <v>3288</v>
      </c>
      <c r="E2361" s="117">
        <v>0.05</v>
      </c>
      <c r="F2361" s="151" t="s">
        <v>135</v>
      </c>
      <c r="G2361" s="151" t="s">
        <v>135</v>
      </c>
      <c r="H2361" t="s">
        <v>39</v>
      </c>
      <c r="J2361" s="74" t="str">
        <f t="shared" si="7"/>
        <v>[TIMES] Paper mill, low quality + advanced drives w/ CO2 capture</v>
      </c>
      <c r="L2361" s="166"/>
      <c r="M2361" s="48"/>
      <c r="N2361" s="123"/>
    </row>
    <row r="2362" spans="1:14" customFormat="1" x14ac:dyDescent="0.55000000000000004">
      <c r="A2362" s="100" t="s">
        <v>391</v>
      </c>
      <c r="B2362" s="21" t="s">
        <v>206</v>
      </c>
      <c r="C2362" s="21" t="s">
        <v>207</v>
      </c>
      <c r="D2362" s="21" t="s">
        <v>3288</v>
      </c>
      <c r="E2362" s="117">
        <v>0.09</v>
      </c>
      <c r="F2362" s="151" t="s">
        <v>135</v>
      </c>
      <c r="G2362" s="151" t="s">
        <v>135</v>
      </c>
      <c r="H2362" t="s">
        <v>39</v>
      </c>
      <c r="J2362" s="74" t="str">
        <f t="shared" si="7"/>
        <v>[TIMES] Paper mill, low quality + advanced drives w/ CO2 capture</v>
      </c>
      <c r="L2362" s="166"/>
      <c r="M2362" s="48"/>
      <c r="N2362" s="123"/>
    </row>
    <row r="2363" spans="1:14" customFormat="1" x14ac:dyDescent="0.55000000000000004">
      <c r="A2363" s="100" t="s">
        <v>391</v>
      </c>
      <c r="B2363" s="21" t="s">
        <v>171</v>
      </c>
      <c r="C2363" s="21" t="s">
        <v>127</v>
      </c>
      <c r="D2363" s="21" t="s">
        <v>2994</v>
      </c>
      <c r="E2363" s="117">
        <v>3.54</v>
      </c>
      <c r="F2363" s="151" t="s">
        <v>138</v>
      </c>
      <c r="G2363" s="151" t="s">
        <v>135</v>
      </c>
      <c r="H2363" t="s">
        <v>39</v>
      </c>
      <c r="J2363" s="74" t="str">
        <f t="shared" si="7"/>
        <v>[TIMES] Paper mill, low quality + advanced drives w/ CO2 capture</v>
      </c>
      <c r="L2363" s="166"/>
      <c r="M2363" s="48"/>
      <c r="N2363" s="123"/>
    </row>
    <row r="2364" spans="1:14" customFormat="1" x14ac:dyDescent="0.55000000000000004">
      <c r="A2364" s="100" t="s">
        <v>391</v>
      </c>
      <c r="B2364" s="21" t="s">
        <v>153</v>
      </c>
      <c r="C2364" s="21" t="s">
        <v>127</v>
      </c>
      <c r="D2364" s="21" t="s">
        <v>2994</v>
      </c>
      <c r="E2364" s="117">
        <v>7.4</v>
      </c>
      <c r="F2364" s="151" t="s">
        <v>138</v>
      </c>
      <c r="G2364" s="151" t="s">
        <v>135</v>
      </c>
      <c r="H2364" t="s">
        <v>39</v>
      </c>
      <c r="J2364" s="74" t="str">
        <f t="shared" si="7"/>
        <v>[TIMES] Paper mill, low quality + advanced drives w/ CO2 capture</v>
      </c>
      <c r="L2364" s="166"/>
      <c r="M2364" s="48"/>
      <c r="N2364" s="123"/>
    </row>
    <row r="2365" spans="1:14" customFormat="1" x14ac:dyDescent="0.55000000000000004">
      <c r="A2365" s="100" t="s">
        <v>391</v>
      </c>
      <c r="B2365" s="21" t="s">
        <v>208</v>
      </c>
      <c r="C2365" s="21" t="s">
        <v>127</v>
      </c>
      <c r="D2365" s="21" t="s">
        <v>2994</v>
      </c>
      <c r="E2365" s="117">
        <v>8</v>
      </c>
      <c r="F2365" s="151" t="s">
        <v>138</v>
      </c>
      <c r="G2365" s="151" t="s">
        <v>135</v>
      </c>
      <c r="H2365" t="s">
        <v>39</v>
      </c>
      <c r="J2365" s="74" t="str">
        <f t="shared" si="7"/>
        <v>[TIMES] Paper mill, low quality + advanced drives w/ CO2 capture</v>
      </c>
      <c r="L2365" s="166"/>
      <c r="M2365" s="48"/>
      <c r="N2365" s="123"/>
    </row>
    <row r="2366" spans="1:14" customFormat="1" x14ac:dyDescent="0.55000000000000004">
      <c r="A2366" s="100" t="s">
        <v>391</v>
      </c>
      <c r="B2366" s="68" t="s">
        <v>160</v>
      </c>
      <c r="C2366" t="s">
        <v>247</v>
      </c>
      <c r="D2366" s="68" t="s">
        <v>3288</v>
      </c>
      <c r="E2366" s="120">
        <f>0.614594-E2367</f>
        <v>6.1459399999999942E-2</v>
      </c>
      <c r="F2366" s="151" t="s">
        <v>135</v>
      </c>
      <c r="G2366" s="151" t="s">
        <v>135</v>
      </c>
      <c r="H2366" s="68" t="s">
        <v>376</v>
      </c>
      <c r="I2366" t="s">
        <v>396</v>
      </c>
      <c r="J2366" s="74" t="str">
        <f t="shared" si="7"/>
        <v>[TIMES] Paper mill, low quality + advanced drives w/ CO2 capture</v>
      </c>
      <c r="L2366" s="163"/>
      <c r="M2366" s="48"/>
      <c r="N2366" s="123"/>
    </row>
    <row r="2367" spans="1:14" customFormat="1" x14ac:dyDescent="0.55000000000000004">
      <c r="A2367" s="100" t="s">
        <v>391</v>
      </c>
      <c r="B2367" s="68" t="s">
        <v>160</v>
      </c>
      <c r="C2367" s="68" t="s">
        <v>156</v>
      </c>
      <c r="D2367" s="68" t="s">
        <v>3288</v>
      </c>
      <c r="E2367" s="119">
        <f>0.614594*0.9</f>
        <v>0.55313460000000003</v>
      </c>
      <c r="F2367" s="151" t="s">
        <v>135</v>
      </c>
      <c r="G2367" s="151" t="s">
        <v>135</v>
      </c>
      <c r="H2367" s="68" t="s">
        <v>376</v>
      </c>
      <c r="I2367" t="s">
        <v>397</v>
      </c>
      <c r="J2367" s="74" t="str">
        <f t="shared" si="7"/>
        <v>[TIMES] Paper mill, low quality + advanced drives w/ CO2 capture</v>
      </c>
      <c r="L2367" s="163"/>
      <c r="M2367" s="48"/>
      <c r="N2367" s="123"/>
    </row>
    <row r="2368" spans="1:14" customFormat="1" x14ac:dyDescent="0.55000000000000004">
      <c r="A2368" s="92" t="s">
        <v>389</v>
      </c>
      <c r="B2368" t="s">
        <v>323</v>
      </c>
      <c r="C2368" t="s">
        <v>121</v>
      </c>
      <c r="D2368" t="s">
        <v>3288</v>
      </c>
      <c r="E2368" s="116">
        <v>1</v>
      </c>
      <c r="F2368" s="149" t="s">
        <v>135</v>
      </c>
      <c r="G2368" s="149">
        <v>1</v>
      </c>
      <c r="H2368" t="s">
        <v>39</v>
      </c>
      <c r="J2368" s="77" t="s">
        <v>390</v>
      </c>
      <c r="L2368" s="131"/>
      <c r="M2368" s="48"/>
      <c r="N2368" s="123"/>
    </row>
    <row r="2369" spans="1:14" customFormat="1" x14ac:dyDescent="0.55000000000000004">
      <c r="A2369" s="92" t="s">
        <v>389</v>
      </c>
      <c r="B2369" t="s">
        <v>153</v>
      </c>
      <c r="C2369" t="s">
        <v>127</v>
      </c>
      <c r="D2369" t="s">
        <v>2994</v>
      </c>
      <c r="E2369" s="116">
        <v>1.1399999999999999</v>
      </c>
      <c r="F2369" s="149" t="s">
        <v>138</v>
      </c>
      <c r="G2369" s="149" t="s">
        <v>135</v>
      </c>
      <c r="H2369" t="s">
        <v>39</v>
      </c>
      <c r="J2369" s="77" t="s">
        <v>390</v>
      </c>
      <c r="L2369" s="131"/>
      <c r="M2369" s="48"/>
      <c r="N2369" s="123"/>
    </row>
    <row r="2370" spans="1:14" customFormat="1" x14ac:dyDescent="0.55000000000000004">
      <c r="A2370" s="92" t="s">
        <v>389</v>
      </c>
      <c r="B2370" t="s">
        <v>293</v>
      </c>
      <c r="C2370" t="s">
        <v>127</v>
      </c>
      <c r="D2370" t="s">
        <v>2994</v>
      </c>
      <c r="E2370" s="116">
        <v>1.01</v>
      </c>
      <c r="F2370" s="149" t="s">
        <v>138</v>
      </c>
      <c r="G2370" s="149" t="s">
        <v>135</v>
      </c>
      <c r="H2370" t="s">
        <v>39</v>
      </c>
      <c r="J2370" s="77" t="s">
        <v>390</v>
      </c>
      <c r="L2370" s="131"/>
      <c r="M2370" s="48"/>
      <c r="N2370" s="123"/>
    </row>
    <row r="2371" spans="1:14" customFormat="1" x14ac:dyDescent="0.55000000000000004">
      <c r="A2371" s="92" t="s">
        <v>389</v>
      </c>
      <c r="B2371" t="s">
        <v>316</v>
      </c>
      <c r="C2371" t="s">
        <v>132</v>
      </c>
      <c r="D2371" t="s">
        <v>3288</v>
      </c>
      <c r="E2371" s="116">
        <v>1</v>
      </c>
      <c r="F2371" s="149" t="s">
        <v>135</v>
      </c>
      <c r="G2371" s="149" t="s">
        <v>135</v>
      </c>
      <c r="H2371" t="s">
        <v>39</v>
      </c>
      <c r="J2371" s="77" t="s">
        <v>390</v>
      </c>
      <c r="L2371" s="131"/>
      <c r="M2371" s="48"/>
      <c r="N2371" s="123"/>
    </row>
    <row r="2372" spans="1:14" customFormat="1" x14ac:dyDescent="0.55000000000000004">
      <c r="A2372" s="92" t="s">
        <v>389</v>
      </c>
      <c r="B2372" t="s">
        <v>160</v>
      </c>
      <c r="C2372" t="s">
        <v>247</v>
      </c>
      <c r="D2372" t="s">
        <v>3288</v>
      </c>
      <c r="E2372" s="119">
        <v>0.108575</v>
      </c>
      <c r="F2372" s="156" t="s">
        <v>135</v>
      </c>
      <c r="G2372" s="152" t="s">
        <v>135</v>
      </c>
      <c r="H2372" t="s">
        <v>376</v>
      </c>
      <c r="J2372" s="77" t="s">
        <v>390</v>
      </c>
      <c r="L2372" s="131"/>
      <c r="M2372" s="48"/>
      <c r="N2372" s="123"/>
    </row>
    <row r="2373" spans="1:14" customFormat="1" x14ac:dyDescent="0.55000000000000004">
      <c r="A2373" s="96" t="s">
        <v>2005</v>
      </c>
      <c r="B2373" s="61" t="s">
        <v>170</v>
      </c>
      <c r="C2373" s="61" t="s">
        <v>121</v>
      </c>
      <c r="D2373" s="61" t="s">
        <v>3288</v>
      </c>
      <c r="E2373" s="119">
        <v>1</v>
      </c>
      <c r="F2373" s="148" t="s">
        <v>135</v>
      </c>
      <c r="G2373" s="148">
        <v>1</v>
      </c>
      <c r="H2373" t="s">
        <v>39</v>
      </c>
      <c r="J2373" s="74" t="str">
        <f t="shared" ref="J2373:J2383" si="8">A2373</f>
        <v>[TIMES] Quicklime Production</v>
      </c>
      <c r="L2373" s="159"/>
      <c r="M2373" s="48"/>
      <c r="N2373" s="123"/>
    </row>
    <row r="2374" spans="1:14" customFormat="1" x14ac:dyDescent="0.55000000000000004">
      <c r="A2374" s="96" t="s">
        <v>2005</v>
      </c>
      <c r="B2374" t="s">
        <v>131</v>
      </c>
      <c r="C2374" s="61" t="s">
        <v>132</v>
      </c>
      <c r="D2374" s="61" t="s">
        <v>3288</v>
      </c>
      <c r="E2374" s="119">
        <v>1.786</v>
      </c>
      <c r="F2374" s="148" t="s">
        <v>135</v>
      </c>
      <c r="G2374" s="148" t="s">
        <v>135</v>
      </c>
      <c r="H2374" t="s">
        <v>39</v>
      </c>
      <c r="J2374" s="74" t="str">
        <f t="shared" si="8"/>
        <v>[TIMES] Quicklime Production</v>
      </c>
      <c r="L2374" s="159"/>
      <c r="M2374" s="48"/>
      <c r="N2374" s="123"/>
    </row>
    <row r="2375" spans="1:14" customFormat="1" x14ac:dyDescent="0.55000000000000004">
      <c r="A2375" s="96" t="s">
        <v>2005</v>
      </c>
      <c r="B2375" s="61" t="s">
        <v>153</v>
      </c>
      <c r="C2375" s="61" t="s">
        <v>127</v>
      </c>
      <c r="D2375" s="61" t="s">
        <v>2994</v>
      </c>
      <c r="E2375" s="119">
        <f>60*0.0036</f>
        <v>0.216</v>
      </c>
      <c r="F2375" s="148" t="s">
        <v>138</v>
      </c>
      <c r="G2375" s="148" t="s">
        <v>135</v>
      </c>
      <c r="H2375" t="s">
        <v>39</v>
      </c>
      <c r="J2375" s="74" t="str">
        <f t="shared" si="8"/>
        <v>[TIMES] Quicklime Production</v>
      </c>
      <c r="L2375" s="159"/>
      <c r="M2375" s="48"/>
      <c r="N2375" s="123"/>
    </row>
    <row r="2376" spans="1:14" customFormat="1" x14ac:dyDescent="0.55000000000000004">
      <c r="A2376" s="96" t="s">
        <v>2005</v>
      </c>
      <c r="B2376" s="61" t="s">
        <v>208</v>
      </c>
      <c r="C2376" s="61" t="s">
        <v>127</v>
      </c>
      <c r="D2376" s="61" t="s">
        <v>2994</v>
      </c>
      <c r="E2376" s="119">
        <v>3.03</v>
      </c>
      <c r="F2376" s="148" t="s">
        <v>138</v>
      </c>
      <c r="G2376" s="148" t="s">
        <v>135</v>
      </c>
      <c r="H2376" t="s">
        <v>39</v>
      </c>
      <c r="J2376" s="74" t="str">
        <f t="shared" si="8"/>
        <v>[TIMES] Quicklime Production</v>
      </c>
      <c r="L2376" s="159"/>
      <c r="M2376" s="48"/>
      <c r="N2376" s="123"/>
    </row>
    <row r="2377" spans="1:14" customFormat="1" x14ac:dyDescent="0.55000000000000004">
      <c r="A2377" s="96" t="s">
        <v>2005</v>
      </c>
      <c r="B2377" s="68" t="s">
        <v>160</v>
      </c>
      <c r="C2377" t="s">
        <v>247</v>
      </c>
      <c r="D2377" s="68" t="s">
        <v>3288</v>
      </c>
      <c r="E2377" s="119">
        <v>0.15756000000000001</v>
      </c>
      <c r="F2377" s="151" t="s">
        <v>135</v>
      </c>
      <c r="G2377" s="151" t="s">
        <v>135</v>
      </c>
      <c r="H2377" s="68" t="s">
        <v>373</v>
      </c>
      <c r="J2377" s="74" t="str">
        <f t="shared" si="8"/>
        <v>[TIMES] Quicklime Production</v>
      </c>
      <c r="L2377" s="163"/>
      <c r="M2377" s="48"/>
      <c r="N2377" s="123"/>
    </row>
    <row r="2378" spans="1:14" customFormat="1" x14ac:dyDescent="0.55000000000000004">
      <c r="A2378" s="98" t="s">
        <v>387</v>
      </c>
      <c r="B2378" s="68" t="s">
        <v>205</v>
      </c>
      <c r="C2378" s="68" t="s">
        <v>121</v>
      </c>
      <c r="D2378" s="68" t="s">
        <v>3288</v>
      </c>
      <c r="E2378" s="120">
        <v>1</v>
      </c>
      <c r="F2378" s="151" t="s">
        <v>135</v>
      </c>
      <c r="G2378" s="151">
        <v>1</v>
      </c>
      <c r="H2378" t="s">
        <v>39</v>
      </c>
      <c r="J2378" s="74" t="str">
        <f t="shared" si="8"/>
        <v>[TIMES] Recycled fiber pulping</v>
      </c>
      <c r="L2378" s="163"/>
      <c r="M2378" s="48"/>
      <c r="N2378" s="123"/>
    </row>
    <row r="2379" spans="1:14" customFormat="1" x14ac:dyDescent="0.55000000000000004">
      <c r="A2379" s="98" t="s">
        <v>387</v>
      </c>
      <c r="B2379" s="21" t="s">
        <v>206</v>
      </c>
      <c r="C2379" s="68" t="s">
        <v>207</v>
      </c>
      <c r="D2379" s="68" t="s">
        <v>3288</v>
      </c>
      <c r="E2379" s="120">
        <v>1.1499999999999999</v>
      </c>
      <c r="F2379" s="151" t="s">
        <v>135</v>
      </c>
      <c r="G2379" s="151" t="s">
        <v>135</v>
      </c>
      <c r="H2379" t="s">
        <v>39</v>
      </c>
      <c r="J2379" s="74" t="str">
        <f t="shared" si="8"/>
        <v>[TIMES] Recycled fiber pulping</v>
      </c>
      <c r="L2379" s="163"/>
      <c r="M2379" s="48"/>
      <c r="N2379" s="123"/>
    </row>
    <row r="2380" spans="1:14" customFormat="1" x14ac:dyDescent="0.55000000000000004">
      <c r="A2380" s="98" t="s">
        <v>387</v>
      </c>
      <c r="B2380" s="68" t="s">
        <v>153</v>
      </c>
      <c r="C2380" s="68" t="s">
        <v>127</v>
      </c>
      <c r="D2380" s="68" t="s">
        <v>2994</v>
      </c>
      <c r="E2380" s="120">
        <v>2</v>
      </c>
      <c r="F2380" s="151" t="s">
        <v>138</v>
      </c>
      <c r="G2380" s="151" t="s">
        <v>135</v>
      </c>
      <c r="H2380" t="s">
        <v>39</v>
      </c>
      <c r="J2380" s="74" t="str">
        <f t="shared" si="8"/>
        <v>[TIMES] Recycled fiber pulping</v>
      </c>
      <c r="L2380" s="163"/>
      <c r="M2380" s="48"/>
      <c r="N2380" s="123"/>
    </row>
    <row r="2381" spans="1:14" customFormat="1" x14ac:dyDescent="0.55000000000000004">
      <c r="A2381" s="98" t="s">
        <v>387</v>
      </c>
      <c r="B2381" s="68" t="s">
        <v>171</v>
      </c>
      <c r="C2381" s="68" t="s">
        <v>127</v>
      </c>
      <c r="D2381" s="68" t="s">
        <v>2994</v>
      </c>
      <c r="E2381" s="120">
        <v>1</v>
      </c>
      <c r="F2381" s="151" t="s">
        <v>138</v>
      </c>
      <c r="G2381" s="151" t="s">
        <v>135</v>
      </c>
      <c r="H2381" t="s">
        <v>39</v>
      </c>
      <c r="J2381" s="74" t="str">
        <f t="shared" si="8"/>
        <v>[TIMES] Recycled fiber pulping</v>
      </c>
      <c r="L2381" s="163"/>
      <c r="M2381" s="48"/>
      <c r="N2381" s="123"/>
    </row>
    <row r="2382" spans="1:14" customFormat="1" x14ac:dyDescent="0.55000000000000004">
      <c r="A2382" s="98" t="s">
        <v>387</v>
      </c>
      <c r="B2382" s="21" t="s">
        <v>208</v>
      </c>
      <c r="C2382" s="68" t="s">
        <v>127</v>
      </c>
      <c r="D2382" s="68" t="s">
        <v>2994</v>
      </c>
      <c r="E2382" s="120">
        <v>1.1000000000000001</v>
      </c>
      <c r="F2382" s="151" t="s">
        <v>138</v>
      </c>
      <c r="G2382" s="151" t="s">
        <v>135</v>
      </c>
      <c r="H2382" t="s">
        <v>39</v>
      </c>
      <c r="J2382" s="74" t="str">
        <f t="shared" si="8"/>
        <v>[TIMES] Recycled fiber pulping</v>
      </c>
      <c r="L2382" s="163"/>
      <c r="M2382" s="48"/>
      <c r="N2382" s="123"/>
    </row>
    <row r="2383" spans="1:14" customFormat="1" x14ac:dyDescent="0.55000000000000004">
      <c r="A2383" s="98" t="s">
        <v>387</v>
      </c>
      <c r="B2383" s="68" t="s">
        <v>160</v>
      </c>
      <c r="C2383" t="s">
        <v>247</v>
      </c>
      <c r="D2383" s="68" t="s">
        <v>3288</v>
      </c>
      <c r="E2383" s="119">
        <v>0.1133</v>
      </c>
      <c r="F2383" s="151" t="s">
        <v>135</v>
      </c>
      <c r="G2383" s="151" t="s">
        <v>135</v>
      </c>
      <c r="H2383" s="68" t="s">
        <v>376</v>
      </c>
      <c r="I2383" t="s">
        <v>388</v>
      </c>
      <c r="J2383" s="74" t="str">
        <f t="shared" si="8"/>
        <v>[TIMES] Recycled fiber pulping</v>
      </c>
      <c r="L2383" s="163"/>
      <c r="M2383" s="48"/>
      <c r="N2383" s="123"/>
    </row>
    <row r="2384" spans="1:14" customFormat="1" x14ac:dyDescent="0.55000000000000004">
      <c r="A2384" s="92" t="s">
        <v>383</v>
      </c>
      <c r="B2384" t="s">
        <v>290</v>
      </c>
      <c r="C2384" t="s">
        <v>121</v>
      </c>
      <c r="D2384" t="s">
        <v>3288</v>
      </c>
      <c r="E2384" s="116">
        <v>1</v>
      </c>
      <c r="F2384" s="149" t="s">
        <v>135</v>
      </c>
      <c r="G2384" s="149">
        <v>1</v>
      </c>
      <c r="H2384" t="s">
        <v>39</v>
      </c>
      <c r="J2384" s="77" t="s">
        <v>384</v>
      </c>
      <c r="L2384" s="131"/>
      <c r="M2384" s="48"/>
      <c r="N2384" s="123"/>
    </row>
    <row r="2385" spans="1:14" customFormat="1" x14ac:dyDescent="0.55000000000000004">
      <c r="A2385" s="92" t="s">
        <v>383</v>
      </c>
      <c r="B2385" t="s">
        <v>316</v>
      </c>
      <c r="C2385" t="s">
        <v>132</v>
      </c>
      <c r="D2385" t="s">
        <v>3288</v>
      </c>
      <c r="E2385" s="116">
        <v>1</v>
      </c>
      <c r="F2385" s="149" t="s">
        <v>135</v>
      </c>
      <c r="G2385" s="149" t="s">
        <v>135</v>
      </c>
      <c r="H2385" t="s">
        <v>39</v>
      </c>
      <c r="J2385" s="77" t="s">
        <v>384</v>
      </c>
      <c r="L2385" s="131"/>
      <c r="M2385" s="48"/>
      <c r="N2385" s="123"/>
    </row>
    <row r="2386" spans="1:14" customFormat="1" x14ac:dyDescent="0.55000000000000004">
      <c r="A2386" s="92" t="s">
        <v>383</v>
      </c>
      <c r="B2386" t="s">
        <v>153</v>
      </c>
      <c r="C2386" t="s">
        <v>127</v>
      </c>
      <c r="D2386" t="s">
        <v>2994</v>
      </c>
      <c r="E2386" s="116">
        <v>0.1</v>
      </c>
      <c r="F2386" s="149" t="s">
        <v>138</v>
      </c>
      <c r="G2386" s="149" t="s">
        <v>135</v>
      </c>
      <c r="H2386" t="s">
        <v>39</v>
      </c>
      <c r="J2386" s="77" t="s">
        <v>384</v>
      </c>
      <c r="L2386" s="131"/>
      <c r="M2386" s="48"/>
      <c r="N2386" s="123"/>
    </row>
    <row r="2387" spans="1:14" customFormat="1" x14ac:dyDescent="0.55000000000000004">
      <c r="A2387" s="92" t="s">
        <v>383</v>
      </c>
      <c r="B2387" t="s">
        <v>293</v>
      </c>
      <c r="C2387" t="s">
        <v>127</v>
      </c>
      <c r="D2387" t="s">
        <v>2994</v>
      </c>
      <c r="E2387" s="116">
        <v>1.1599999999999999</v>
      </c>
      <c r="F2387" s="149" t="s">
        <v>138</v>
      </c>
      <c r="G2387" s="149" t="s">
        <v>135</v>
      </c>
      <c r="H2387" t="s">
        <v>39</v>
      </c>
      <c r="J2387" s="77" t="s">
        <v>384</v>
      </c>
      <c r="L2387" s="131"/>
      <c r="M2387" s="48"/>
      <c r="N2387" s="123"/>
    </row>
    <row r="2388" spans="1:14" customFormat="1" x14ac:dyDescent="0.55000000000000004">
      <c r="A2388" s="92" t="s">
        <v>383</v>
      </c>
      <c r="B2388" s="21" t="s">
        <v>171</v>
      </c>
      <c r="C2388" t="s">
        <v>127</v>
      </c>
      <c r="D2388" t="s">
        <v>2994</v>
      </c>
      <c r="E2388" s="117">
        <v>0.5</v>
      </c>
      <c r="F2388" s="149" t="s">
        <v>138</v>
      </c>
      <c r="G2388" s="149" t="s">
        <v>135</v>
      </c>
      <c r="H2388" t="s">
        <v>39</v>
      </c>
      <c r="I2388" t="s">
        <v>385</v>
      </c>
      <c r="J2388" s="77" t="s">
        <v>384</v>
      </c>
      <c r="L2388" s="131"/>
      <c r="M2388" s="48"/>
      <c r="N2388" s="123"/>
    </row>
    <row r="2389" spans="1:14" customFormat="1" x14ac:dyDescent="0.55000000000000004">
      <c r="A2389" s="92" t="s">
        <v>383</v>
      </c>
      <c r="B2389" t="s">
        <v>160</v>
      </c>
      <c r="C2389" t="s">
        <v>247</v>
      </c>
      <c r="D2389" t="s">
        <v>3288</v>
      </c>
      <c r="E2389" s="117">
        <v>0.15275</v>
      </c>
      <c r="F2389" s="149" t="s">
        <v>135</v>
      </c>
      <c r="G2389" s="149" t="s">
        <v>135</v>
      </c>
      <c r="H2389" t="s">
        <v>376</v>
      </c>
      <c r="I2389" t="s">
        <v>386</v>
      </c>
      <c r="J2389" s="77" t="s">
        <v>384</v>
      </c>
      <c r="L2389" s="131"/>
      <c r="M2389" s="48"/>
      <c r="N2389" s="123"/>
    </row>
    <row r="2390" spans="1:14" customFormat="1" x14ac:dyDescent="0.55000000000000004">
      <c r="A2390" s="92" t="s">
        <v>381</v>
      </c>
      <c r="B2390" t="s">
        <v>290</v>
      </c>
      <c r="C2390" t="s">
        <v>121</v>
      </c>
      <c r="D2390" t="s">
        <v>3288</v>
      </c>
      <c r="E2390" s="116">
        <v>1</v>
      </c>
      <c r="F2390" s="149" t="s">
        <v>135</v>
      </c>
      <c r="G2390" s="149">
        <v>1</v>
      </c>
      <c r="H2390" t="s">
        <v>39</v>
      </c>
      <c r="J2390" s="77" t="s">
        <v>382</v>
      </c>
      <c r="L2390" s="131"/>
      <c r="M2390" s="48"/>
      <c r="N2390" s="123"/>
    </row>
    <row r="2391" spans="1:14" customFormat="1" x14ac:dyDescent="0.55000000000000004">
      <c r="A2391" s="92" t="s">
        <v>381</v>
      </c>
      <c r="B2391" t="s">
        <v>316</v>
      </c>
      <c r="C2391" t="s">
        <v>132</v>
      </c>
      <c r="D2391" t="s">
        <v>3288</v>
      </c>
      <c r="E2391" s="116">
        <v>1</v>
      </c>
      <c r="F2391" s="149" t="s">
        <v>135</v>
      </c>
      <c r="G2391" s="149" t="s">
        <v>135</v>
      </c>
      <c r="H2391" t="s">
        <v>39</v>
      </c>
      <c r="J2391" s="77" t="s">
        <v>382</v>
      </c>
      <c r="L2391" s="131"/>
      <c r="M2391" s="48"/>
      <c r="N2391" s="123"/>
    </row>
    <row r="2392" spans="1:14" customFormat="1" x14ac:dyDescent="0.55000000000000004">
      <c r="A2392" s="92" t="s">
        <v>381</v>
      </c>
      <c r="B2392" t="s">
        <v>153</v>
      </c>
      <c r="C2392" t="s">
        <v>127</v>
      </c>
      <c r="D2392" t="s">
        <v>2994</v>
      </c>
      <c r="E2392" s="116">
        <v>0.1</v>
      </c>
      <c r="F2392" s="149" t="s">
        <v>138</v>
      </c>
      <c r="G2392" s="149" t="s">
        <v>135</v>
      </c>
      <c r="H2392" t="s">
        <v>39</v>
      </c>
      <c r="J2392" s="77" t="s">
        <v>382</v>
      </c>
      <c r="L2392" s="131"/>
      <c r="M2392" s="48"/>
      <c r="N2392" s="123"/>
    </row>
    <row r="2393" spans="1:14" customFormat="1" x14ac:dyDescent="0.55000000000000004">
      <c r="A2393" s="92" t="s">
        <v>381</v>
      </c>
      <c r="B2393" t="s">
        <v>230</v>
      </c>
      <c r="C2393" t="s">
        <v>127</v>
      </c>
      <c r="D2393" t="s">
        <v>2994</v>
      </c>
      <c r="E2393" s="116">
        <v>1.86</v>
      </c>
      <c r="F2393" s="149" t="s">
        <v>138</v>
      </c>
      <c r="G2393" s="149" t="s">
        <v>135</v>
      </c>
      <c r="H2393" t="s">
        <v>39</v>
      </c>
      <c r="J2393" s="77" t="s">
        <v>382</v>
      </c>
      <c r="L2393" s="131"/>
      <c r="M2393" s="48"/>
      <c r="N2393" s="123"/>
    </row>
    <row r="2394" spans="1:14" customFormat="1" x14ac:dyDescent="0.55000000000000004">
      <c r="A2394" s="92" t="s">
        <v>378</v>
      </c>
      <c r="B2394" t="s">
        <v>315</v>
      </c>
      <c r="C2394" t="s">
        <v>121</v>
      </c>
      <c r="D2394" t="s">
        <v>3288</v>
      </c>
      <c r="E2394" s="117">
        <v>1</v>
      </c>
      <c r="F2394" s="149" t="s">
        <v>135</v>
      </c>
      <c r="G2394" s="149">
        <v>1</v>
      </c>
      <c r="H2394" t="s">
        <v>39</v>
      </c>
      <c r="J2394" s="77" t="s">
        <v>379</v>
      </c>
      <c r="L2394" s="131"/>
      <c r="M2394" s="48"/>
      <c r="N2394" s="123"/>
    </row>
    <row r="2395" spans="1:14" customFormat="1" x14ac:dyDescent="0.55000000000000004">
      <c r="A2395" s="92" t="s">
        <v>378</v>
      </c>
      <c r="B2395" t="s">
        <v>323</v>
      </c>
      <c r="C2395" s="21" t="s">
        <v>125</v>
      </c>
      <c r="D2395" t="s">
        <v>3288</v>
      </c>
      <c r="E2395" s="117">
        <v>1.5</v>
      </c>
      <c r="F2395" s="149" t="s">
        <v>135</v>
      </c>
      <c r="G2395" s="149" t="s">
        <v>135</v>
      </c>
      <c r="H2395" t="s">
        <v>39</v>
      </c>
      <c r="J2395" s="77" t="s">
        <v>379</v>
      </c>
      <c r="L2395" s="131"/>
      <c r="M2395" s="48"/>
      <c r="N2395" s="123"/>
    </row>
    <row r="2396" spans="1:14" customFormat="1" x14ac:dyDescent="0.55000000000000004">
      <c r="A2396" s="92" t="s">
        <v>378</v>
      </c>
      <c r="B2396" t="s">
        <v>153</v>
      </c>
      <c r="C2396" t="s">
        <v>127</v>
      </c>
      <c r="D2396" t="s">
        <v>2994</v>
      </c>
      <c r="E2396" s="117">
        <v>0.7</v>
      </c>
      <c r="F2396" s="149" t="s">
        <v>138</v>
      </c>
      <c r="G2396" s="149" t="s">
        <v>135</v>
      </c>
      <c r="H2396" t="s">
        <v>39</v>
      </c>
      <c r="J2396" s="77" t="s">
        <v>379</v>
      </c>
      <c r="L2396" s="131"/>
      <c r="M2396" s="48"/>
      <c r="N2396" s="123"/>
    </row>
    <row r="2397" spans="1:14" customFormat="1" x14ac:dyDescent="0.55000000000000004">
      <c r="A2397" s="92" t="s">
        <v>378</v>
      </c>
      <c r="B2397" s="21" t="s">
        <v>171</v>
      </c>
      <c r="C2397" t="s">
        <v>127</v>
      </c>
      <c r="D2397" t="s">
        <v>2994</v>
      </c>
      <c r="E2397" s="117">
        <v>11</v>
      </c>
      <c r="F2397" s="149" t="s">
        <v>138</v>
      </c>
      <c r="G2397" s="149" t="s">
        <v>135</v>
      </c>
      <c r="H2397" t="s">
        <v>39</v>
      </c>
      <c r="I2397" t="s">
        <v>380</v>
      </c>
      <c r="J2397" s="77" t="s">
        <v>379</v>
      </c>
      <c r="L2397" s="131"/>
      <c r="M2397" s="48"/>
      <c r="N2397" s="123"/>
    </row>
    <row r="2398" spans="1:14" customFormat="1" x14ac:dyDescent="0.55000000000000004">
      <c r="A2398" s="92" t="s">
        <v>378</v>
      </c>
      <c r="B2398" t="s">
        <v>160</v>
      </c>
      <c r="C2398" t="s">
        <v>247</v>
      </c>
      <c r="D2398" t="s">
        <v>3288</v>
      </c>
      <c r="E2398" s="116">
        <f>0.6171</f>
        <v>0.61709999999999998</v>
      </c>
      <c r="F2398" s="149" t="s">
        <v>135</v>
      </c>
      <c r="G2398" s="149" t="s">
        <v>135</v>
      </c>
      <c r="H2398" s="68" t="s">
        <v>376</v>
      </c>
      <c r="J2398" s="77" t="s">
        <v>379</v>
      </c>
      <c r="L2398" s="131"/>
      <c r="M2398" s="48"/>
      <c r="N2398" s="123"/>
    </row>
    <row r="2399" spans="1:14" customFormat="1" x14ac:dyDescent="0.55000000000000004">
      <c r="A2399" s="92" t="s">
        <v>374</v>
      </c>
      <c r="B2399" t="s">
        <v>315</v>
      </c>
      <c r="C2399" t="s">
        <v>121</v>
      </c>
      <c r="D2399" t="s">
        <v>3288</v>
      </c>
      <c r="E2399" s="117">
        <v>1</v>
      </c>
      <c r="F2399" s="149" t="s">
        <v>135</v>
      </c>
      <c r="G2399" s="149">
        <v>1</v>
      </c>
      <c r="H2399" t="s">
        <v>39</v>
      </c>
      <c r="J2399" s="77" t="s">
        <v>375</v>
      </c>
      <c r="L2399" s="131"/>
      <c r="M2399" s="48"/>
      <c r="N2399" s="123"/>
    </row>
    <row r="2400" spans="1:14" customFormat="1" x14ac:dyDescent="0.55000000000000004">
      <c r="A2400" s="92" t="s">
        <v>374</v>
      </c>
      <c r="B2400" t="s">
        <v>323</v>
      </c>
      <c r="C2400" s="21" t="s">
        <v>125</v>
      </c>
      <c r="D2400" t="s">
        <v>3288</v>
      </c>
      <c r="E2400" s="117">
        <v>1.5</v>
      </c>
      <c r="F2400" s="149" t="s">
        <v>135</v>
      </c>
      <c r="G2400" s="149" t="s">
        <v>135</v>
      </c>
      <c r="H2400" t="s">
        <v>39</v>
      </c>
      <c r="J2400" s="77" t="s">
        <v>375</v>
      </c>
      <c r="L2400" s="131"/>
      <c r="M2400" s="48"/>
      <c r="N2400" s="123"/>
    </row>
    <row r="2401" spans="1:14" customFormat="1" x14ac:dyDescent="0.55000000000000004">
      <c r="A2401" s="92" t="s">
        <v>374</v>
      </c>
      <c r="B2401" t="s">
        <v>153</v>
      </c>
      <c r="C2401" t="s">
        <v>127</v>
      </c>
      <c r="D2401" t="s">
        <v>2994</v>
      </c>
      <c r="E2401" s="117">
        <v>0.75</v>
      </c>
      <c r="F2401" s="149" t="s">
        <v>135</v>
      </c>
      <c r="G2401" s="149" t="s">
        <v>135</v>
      </c>
      <c r="H2401" t="s">
        <v>39</v>
      </c>
      <c r="J2401" s="77" t="s">
        <v>375</v>
      </c>
      <c r="L2401" s="131"/>
      <c r="M2401" s="48"/>
      <c r="N2401" s="123"/>
    </row>
    <row r="2402" spans="1:14" customFormat="1" x14ac:dyDescent="0.55000000000000004">
      <c r="A2402" s="92" t="s">
        <v>374</v>
      </c>
      <c r="B2402" s="21" t="s">
        <v>171</v>
      </c>
      <c r="C2402" t="s">
        <v>127</v>
      </c>
      <c r="D2402" t="s">
        <v>2994</v>
      </c>
      <c r="E2402" s="117">
        <v>11</v>
      </c>
      <c r="F2402" s="149" t="s">
        <v>138</v>
      </c>
      <c r="G2402" s="149" t="s">
        <v>135</v>
      </c>
      <c r="H2402" t="s">
        <v>39</v>
      </c>
      <c r="J2402" s="77" t="s">
        <v>375</v>
      </c>
      <c r="L2402" s="131"/>
      <c r="M2402" s="48"/>
      <c r="N2402" s="123"/>
    </row>
    <row r="2403" spans="1:14" customFormat="1" x14ac:dyDescent="0.55000000000000004">
      <c r="A2403" s="92" t="s">
        <v>374</v>
      </c>
      <c r="B2403" t="s">
        <v>160</v>
      </c>
      <c r="C2403" t="s">
        <v>247</v>
      </c>
      <c r="D2403" t="s">
        <v>3288</v>
      </c>
      <c r="E2403" s="117">
        <f>0.6171-E2404</f>
        <v>6.1709999999999932E-2</v>
      </c>
      <c r="F2403" s="149" t="s">
        <v>135</v>
      </c>
      <c r="G2403" s="149" t="s">
        <v>135</v>
      </c>
      <c r="H2403" s="68" t="s">
        <v>376</v>
      </c>
      <c r="J2403" s="77" t="s">
        <v>375</v>
      </c>
      <c r="L2403" s="131"/>
      <c r="M2403" s="48"/>
      <c r="N2403" s="123"/>
    </row>
    <row r="2404" spans="1:14" customFormat="1" x14ac:dyDescent="0.55000000000000004">
      <c r="A2404" s="92" t="s">
        <v>374</v>
      </c>
      <c r="B2404" t="s">
        <v>160</v>
      </c>
      <c r="C2404" t="s">
        <v>156</v>
      </c>
      <c r="D2404" t="s">
        <v>3288</v>
      </c>
      <c r="E2404" s="117">
        <f>0.6171*0.9</f>
        <v>0.55539000000000005</v>
      </c>
      <c r="F2404" s="45" t="s">
        <v>135</v>
      </c>
      <c r="G2404" s="149" t="s">
        <v>135</v>
      </c>
      <c r="H2404" s="68" t="s">
        <v>376</v>
      </c>
      <c r="I2404" t="s">
        <v>377</v>
      </c>
      <c r="J2404" s="77" t="s">
        <v>375</v>
      </c>
      <c r="L2404" s="131"/>
      <c r="M2404" s="48"/>
      <c r="N2404" s="123"/>
    </row>
    <row r="2405" spans="1:14" customFormat="1" x14ac:dyDescent="0.55000000000000004">
      <c r="A2405" s="65" t="s">
        <v>370</v>
      </c>
      <c r="B2405" t="s">
        <v>371</v>
      </c>
      <c r="C2405" t="s">
        <v>121</v>
      </c>
      <c r="D2405" t="s">
        <v>3288</v>
      </c>
      <c r="E2405" s="116">
        <v>1</v>
      </c>
      <c r="F2405" s="149" t="s">
        <v>135</v>
      </c>
      <c r="G2405" s="149">
        <v>1</v>
      </c>
      <c r="H2405" t="s">
        <v>39</v>
      </c>
      <c r="J2405" s="77" t="s">
        <v>370</v>
      </c>
      <c r="L2405" s="131"/>
      <c r="M2405" s="48"/>
      <c r="N2405" s="123"/>
    </row>
    <row r="2406" spans="1:14" customFormat="1" x14ac:dyDescent="0.55000000000000004">
      <c r="A2406" s="65" t="s">
        <v>370</v>
      </c>
      <c r="B2406" t="s">
        <v>140</v>
      </c>
      <c r="C2406" t="s">
        <v>207</v>
      </c>
      <c r="D2406" t="s">
        <v>3288</v>
      </c>
      <c r="E2406" s="116">
        <v>1</v>
      </c>
      <c r="F2406" s="149" t="s">
        <v>135</v>
      </c>
      <c r="G2406" s="149" t="s">
        <v>135</v>
      </c>
      <c r="H2406" t="s">
        <v>39</v>
      </c>
      <c r="J2406" s="77" t="s">
        <v>370</v>
      </c>
      <c r="L2406" s="131"/>
      <c r="M2406" s="48"/>
      <c r="N2406" s="123"/>
    </row>
    <row r="2407" spans="1:14" customFormat="1" x14ac:dyDescent="0.55000000000000004">
      <c r="A2407" s="65" t="s">
        <v>370</v>
      </c>
      <c r="B2407" t="s">
        <v>208</v>
      </c>
      <c r="C2407" t="s">
        <v>127</v>
      </c>
      <c r="D2407" t="s">
        <v>2994</v>
      </c>
      <c r="E2407" s="117">
        <v>1.7</v>
      </c>
      <c r="F2407" s="149" t="s">
        <v>138</v>
      </c>
      <c r="G2407" s="149" t="s">
        <v>135</v>
      </c>
      <c r="H2407" t="s">
        <v>39</v>
      </c>
      <c r="I2407" t="s">
        <v>372</v>
      </c>
      <c r="J2407" s="77" t="s">
        <v>370</v>
      </c>
      <c r="L2407" s="131"/>
      <c r="M2407" s="48"/>
      <c r="N2407" s="123"/>
    </row>
    <row r="2408" spans="1:14" customFormat="1" x14ac:dyDescent="0.55000000000000004">
      <c r="A2408" s="65" t="s">
        <v>370</v>
      </c>
      <c r="B2408" t="s">
        <v>160</v>
      </c>
      <c r="C2408" t="s">
        <v>247</v>
      </c>
      <c r="D2408" t="s">
        <v>3288</v>
      </c>
      <c r="E2408" s="117">
        <v>8.8400000000000006E-2</v>
      </c>
      <c r="F2408" s="149" t="s">
        <v>135</v>
      </c>
      <c r="G2408" s="149" t="s">
        <v>135</v>
      </c>
      <c r="H2408" s="125" t="s">
        <v>373</v>
      </c>
      <c r="J2408" s="77" t="s">
        <v>370</v>
      </c>
      <c r="L2408" s="131"/>
      <c r="M2408" s="48"/>
      <c r="N2408" s="123"/>
    </row>
    <row r="2409" spans="1:14" customFormat="1" x14ac:dyDescent="0.55000000000000004">
      <c r="A2409" s="108" t="s">
        <v>269</v>
      </c>
      <c r="B2409" s="68" t="s">
        <v>270</v>
      </c>
      <c r="C2409" s="68" t="s">
        <v>121</v>
      </c>
      <c r="D2409" s="68" t="s">
        <v>3288</v>
      </c>
      <c r="E2409" s="120">
        <v>1</v>
      </c>
      <c r="F2409" s="151" t="s">
        <v>135</v>
      </c>
      <c r="G2409" s="151">
        <v>1</v>
      </c>
      <c r="H2409" s="68"/>
      <c r="J2409" s="74" t="str">
        <f t="shared" ref="J2409:J2472" si="9">A2409</f>
        <v>[TIMES_SE] Aluminium casting</v>
      </c>
      <c r="L2409" s="163"/>
      <c r="M2409" s="48"/>
      <c r="N2409" s="123"/>
    </row>
    <row r="2410" spans="1:14" customFormat="1" x14ac:dyDescent="0.55000000000000004">
      <c r="A2410" s="108" t="s">
        <v>269</v>
      </c>
      <c r="B2410" s="68" t="s">
        <v>260</v>
      </c>
      <c r="C2410" t="s">
        <v>125</v>
      </c>
      <c r="D2410" s="68" t="s">
        <v>3288</v>
      </c>
      <c r="E2410" s="120">
        <f>1/0.98</f>
        <v>1.0204081632653061</v>
      </c>
      <c r="F2410" s="151" t="s">
        <v>135</v>
      </c>
      <c r="G2410" s="151" t="s">
        <v>135</v>
      </c>
      <c r="H2410" s="68" t="s">
        <v>39</v>
      </c>
      <c r="I2410" t="s">
        <v>271</v>
      </c>
      <c r="J2410" s="74" t="str">
        <f t="shared" si="9"/>
        <v>[TIMES_SE] Aluminium casting</v>
      </c>
      <c r="L2410" s="163"/>
      <c r="M2410" s="48"/>
      <c r="N2410" s="123"/>
    </row>
    <row r="2411" spans="1:14" customFormat="1" x14ac:dyDescent="0.55000000000000004">
      <c r="A2411" s="108" t="s">
        <v>269</v>
      </c>
      <c r="B2411" s="68" t="s">
        <v>171</v>
      </c>
      <c r="C2411" s="68" t="s">
        <v>127</v>
      </c>
      <c r="D2411" s="68" t="s">
        <v>2994</v>
      </c>
      <c r="E2411" s="120">
        <v>0.27</v>
      </c>
      <c r="F2411" s="151" t="s">
        <v>138</v>
      </c>
      <c r="G2411" s="151" t="s">
        <v>135</v>
      </c>
      <c r="H2411" s="68" t="s">
        <v>39</v>
      </c>
      <c r="I2411" t="s">
        <v>212</v>
      </c>
      <c r="J2411" s="74" t="str">
        <f t="shared" si="9"/>
        <v>[TIMES_SE] Aluminium casting</v>
      </c>
      <c r="L2411" s="163"/>
      <c r="M2411" s="48"/>
      <c r="N2411" s="123"/>
    </row>
    <row r="2412" spans="1:14" customFormat="1" x14ac:dyDescent="0.55000000000000004">
      <c r="A2412" s="108" t="s">
        <v>269</v>
      </c>
      <c r="B2412" s="68" t="s">
        <v>153</v>
      </c>
      <c r="C2412" s="68" t="s">
        <v>127</v>
      </c>
      <c r="D2412" s="68" t="s">
        <v>2994</v>
      </c>
      <c r="E2412" s="120">
        <v>0.44</v>
      </c>
      <c r="F2412" s="151" t="s">
        <v>138</v>
      </c>
      <c r="G2412" s="151" t="s">
        <v>135</v>
      </c>
      <c r="H2412" s="68" t="s">
        <v>39</v>
      </c>
      <c r="J2412" s="74" t="str">
        <f t="shared" si="9"/>
        <v>[TIMES_SE] Aluminium casting</v>
      </c>
      <c r="L2412" s="163"/>
      <c r="M2412" s="48"/>
      <c r="N2412" s="123"/>
    </row>
    <row r="2413" spans="1:14" customFormat="1" x14ac:dyDescent="0.55000000000000004">
      <c r="A2413" s="108" t="s">
        <v>269</v>
      </c>
      <c r="B2413" s="68" t="s">
        <v>160</v>
      </c>
      <c r="C2413" t="s">
        <v>247</v>
      </c>
      <c r="D2413" s="68" t="s">
        <v>3288</v>
      </c>
      <c r="E2413" s="119">
        <v>1.5147000000000002E-2</v>
      </c>
      <c r="F2413" s="151" t="s">
        <v>135</v>
      </c>
      <c r="G2413" s="151" t="s">
        <v>135</v>
      </c>
      <c r="H2413" s="68" t="s">
        <v>376</v>
      </c>
      <c r="I2413" t="s">
        <v>2013</v>
      </c>
      <c r="J2413" s="74" t="str">
        <f t="shared" si="9"/>
        <v>[TIMES_SE] Aluminium casting</v>
      </c>
      <c r="L2413" s="163"/>
      <c r="M2413" s="48"/>
      <c r="N2413" s="123"/>
    </row>
    <row r="2414" spans="1:14" customFormat="1" x14ac:dyDescent="0.55000000000000004">
      <c r="A2414" s="108" t="s">
        <v>264</v>
      </c>
      <c r="B2414" s="68" t="s">
        <v>260</v>
      </c>
      <c r="C2414" s="68" t="s">
        <v>121</v>
      </c>
      <c r="D2414" s="68" t="s">
        <v>3288</v>
      </c>
      <c r="E2414" s="120">
        <v>1</v>
      </c>
      <c r="F2414" s="151" t="s">
        <v>135</v>
      </c>
      <c r="G2414" s="151">
        <v>1</v>
      </c>
      <c r="H2414" s="68"/>
      <c r="J2414" s="74" t="str">
        <f t="shared" si="9"/>
        <v>[TIMES_SE] Aluminium electrolysis</v>
      </c>
      <c r="L2414" s="163"/>
      <c r="M2414" s="48"/>
      <c r="N2414" s="123"/>
    </row>
    <row r="2415" spans="1:14" customFormat="1" x14ac:dyDescent="0.55000000000000004">
      <c r="A2415" s="108" t="s">
        <v>264</v>
      </c>
      <c r="B2415" s="68" t="s">
        <v>261</v>
      </c>
      <c r="C2415" t="s">
        <v>125</v>
      </c>
      <c r="D2415" s="68" t="s">
        <v>3288</v>
      </c>
      <c r="E2415" s="120">
        <f>1/0.52</f>
        <v>1.9230769230769229</v>
      </c>
      <c r="F2415" s="151" t="s">
        <v>135</v>
      </c>
      <c r="G2415" s="151" t="s">
        <v>135</v>
      </c>
      <c r="H2415" s="68" t="s">
        <v>39</v>
      </c>
      <c r="I2415" t="s">
        <v>1242</v>
      </c>
      <c r="J2415" s="74" t="str">
        <f t="shared" si="9"/>
        <v>[TIMES_SE] Aluminium electrolysis</v>
      </c>
      <c r="L2415" s="163"/>
      <c r="M2415" s="48"/>
      <c r="N2415" s="123"/>
    </row>
    <row r="2416" spans="1:14" customFormat="1" x14ac:dyDescent="0.55000000000000004">
      <c r="A2416" s="108" t="s">
        <v>264</v>
      </c>
      <c r="B2416" s="68" t="s">
        <v>262</v>
      </c>
      <c r="C2416" s="68" t="s">
        <v>127</v>
      </c>
      <c r="D2416" s="68" t="s">
        <v>2994</v>
      </c>
      <c r="E2416" s="120">
        <v>10.4</v>
      </c>
      <c r="F2416" s="151" t="s">
        <v>138</v>
      </c>
      <c r="G2416" s="151" t="s">
        <v>135</v>
      </c>
      <c r="H2416" s="68" t="s">
        <v>39</v>
      </c>
      <c r="J2416" s="74" t="str">
        <f t="shared" si="9"/>
        <v>[TIMES_SE] Aluminium electrolysis</v>
      </c>
      <c r="L2416" s="163"/>
      <c r="M2416" s="48"/>
      <c r="N2416" s="123"/>
    </row>
    <row r="2417" spans="1:14" customFormat="1" x14ac:dyDescent="0.55000000000000004">
      <c r="A2417" s="108" t="s">
        <v>264</v>
      </c>
      <c r="B2417" s="68" t="s">
        <v>153</v>
      </c>
      <c r="C2417" s="68" t="s">
        <v>127</v>
      </c>
      <c r="D2417" s="68" t="s">
        <v>2994</v>
      </c>
      <c r="E2417" s="120">
        <v>49</v>
      </c>
      <c r="F2417" s="151" t="s">
        <v>138</v>
      </c>
      <c r="G2417" s="151" t="s">
        <v>135</v>
      </c>
      <c r="H2417" s="68" t="s">
        <v>39</v>
      </c>
      <c r="J2417" s="74" t="str">
        <f t="shared" si="9"/>
        <v>[TIMES_SE] Aluminium electrolysis</v>
      </c>
      <c r="L2417" s="163"/>
      <c r="M2417" s="48"/>
      <c r="N2417" s="123"/>
    </row>
    <row r="2418" spans="1:14" customFormat="1" x14ac:dyDescent="0.55000000000000004">
      <c r="A2418" s="108" t="s">
        <v>264</v>
      </c>
      <c r="B2418" t="s">
        <v>160</v>
      </c>
      <c r="C2418" t="s">
        <v>247</v>
      </c>
      <c r="D2418" t="s">
        <v>3288</v>
      </c>
      <c r="E2418" s="119">
        <v>1.0192000000000001</v>
      </c>
      <c r="F2418" s="149" t="s">
        <v>135</v>
      </c>
      <c r="G2418" s="149" t="s">
        <v>135</v>
      </c>
      <c r="H2418" s="68" t="s">
        <v>413</v>
      </c>
      <c r="I2418" t="s">
        <v>2046</v>
      </c>
      <c r="J2418" s="74" t="str">
        <f t="shared" si="9"/>
        <v>[TIMES_SE] Aluminium electrolysis</v>
      </c>
      <c r="L2418" s="160"/>
      <c r="M2418" s="48"/>
      <c r="N2418" s="123"/>
    </row>
    <row r="2419" spans="1:14" customFormat="1" x14ac:dyDescent="0.55000000000000004">
      <c r="A2419" s="108" t="s">
        <v>263</v>
      </c>
      <c r="B2419" s="68" t="s">
        <v>260</v>
      </c>
      <c r="C2419" s="68" t="s">
        <v>121</v>
      </c>
      <c r="D2419" s="68" t="s">
        <v>3288</v>
      </c>
      <c r="E2419" s="120">
        <v>1</v>
      </c>
      <c r="F2419" s="151" t="s">
        <v>135</v>
      </c>
      <c r="G2419" s="151">
        <v>1</v>
      </c>
      <c r="H2419" s="68"/>
      <c r="J2419" s="74" t="str">
        <f t="shared" si="9"/>
        <v>[TIMES_SE] Aluminium electrolysis inert</v>
      </c>
      <c r="L2419" s="163"/>
      <c r="M2419" s="48"/>
      <c r="N2419" s="123"/>
    </row>
    <row r="2420" spans="1:14" customFormat="1" x14ac:dyDescent="0.55000000000000004">
      <c r="A2420" s="108" t="s">
        <v>263</v>
      </c>
      <c r="B2420" s="68" t="s">
        <v>261</v>
      </c>
      <c r="C2420" t="s">
        <v>125</v>
      </c>
      <c r="D2420" s="68" t="s">
        <v>3288</v>
      </c>
      <c r="E2420" s="120">
        <f>1/0.52</f>
        <v>1.9230769230769229</v>
      </c>
      <c r="F2420" s="151" t="s">
        <v>135</v>
      </c>
      <c r="G2420" s="151" t="s">
        <v>135</v>
      </c>
      <c r="H2420" s="68" t="s">
        <v>39</v>
      </c>
      <c r="J2420" s="74" t="str">
        <f t="shared" si="9"/>
        <v>[TIMES_SE] Aluminium electrolysis inert</v>
      </c>
      <c r="L2420" s="163"/>
      <c r="M2420" s="48"/>
      <c r="N2420" s="123"/>
    </row>
    <row r="2421" spans="1:14" customFormat="1" x14ac:dyDescent="0.55000000000000004">
      <c r="A2421" s="108" t="s">
        <v>263</v>
      </c>
      <c r="B2421" s="68" t="s">
        <v>153</v>
      </c>
      <c r="C2421" s="68" t="s">
        <v>127</v>
      </c>
      <c r="D2421" s="68" t="s">
        <v>2994</v>
      </c>
      <c r="E2421" s="120">
        <v>44.52</v>
      </c>
      <c r="F2421" s="151" t="s">
        <v>138</v>
      </c>
      <c r="G2421" s="151" t="s">
        <v>135</v>
      </c>
      <c r="H2421" s="68" t="s">
        <v>39</v>
      </c>
      <c r="J2421" s="74" t="str">
        <f t="shared" si="9"/>
        <v>[TIMES_SE] Aluminium electrolysis inert</v>
      </c>
      <c r="L2421" s="163"/>
      <c r="M2421" s="48"/>
      <c r="N2421" s="123"/>
    </row>
    <row r="2422" spans="1:14" customFormat="1" x14ac:dyDescent="0.55000000000000004">
      <c r="A2422" s="108" t="s">
        <v>263</v>
      </c>
      <c r="B2422" s="68" t="s">
        <v>160</v>
      </c>
      <c r="C2422" t="s">
        <v>247</v>
      </c>
      <c r="D2422" s="68" t="s">
        <v>3288</v>
      </c>
      <c r="E2422" s="119">
        <v>0</v>
      </c>
      <c r="F2422" s="151" t="s">
        <v>135</v>
      </c>
      <c r="G2422" s="151" t="s">
        <v>135</v>
      </c>
      <c r="H2422" s="68" t="s">
        <v>39</v>
      </c>
      <c r="J2422" s="74" t="str">
        <f t="shared" si="9"/>
        <v>[TIMES_SE] Aluminium electrolysis inert</v>
      </c>
      <c r="L2422" s="163"/>
      <c r="M2422" s="48"/>
      <c r="N2422" s="123"/>
    </row>
    <row r="2423" spans="1:14" customFormat="1" x14ac:dyDescent="0.55000000000000004">
      <c r="A2423" s="108" t="s">
        <v>259</v>
      </c>
      <c r="B2423" s="68" t="s">
        <v>260</v>
      </c>
      <c r="C2423" s="68" t="s">
        <v>121</v>
      </c>
      <c r="D2423" s="68" t="s">
        <v>3288</v>
      </c>
      <c r="E2423" s="120">
        <v>1</v>
      </c>
      <c r="F2423" s="151" t="s">
        <v>135</v>
      </c>
      <c r="G2423" s="151">
        <v>1</v>
      </c>
      <c r="H2423" s="68"/>
      <c r="J2423" s="74" t="str">
        <f t="shared" si="9"/>
        <v>[TIMES_SE] Aluminium electrolysis w. CCS (PCC MEA)</v>
      </c>
      <c r="L2423" s="163"/>
      <c r="M2423" s="48"/>
      <c r="N2423" s="123"/>
    </row>
    <row r="2424" spans="1:14" customFormat="1" x14ac:dyDescent="0.55000000000000004">
      <c r="A2424" s="108" t="s">
        <v>259</v>
      </c>
      <c r="B2424" s="68" t="s">
        <v>261</v>
      </c>
      <c r="C2424" t="s">
        <v>125</v>
      </c>
      <c r="D2424" s="68" t="s">
        <v>3288</v>
      </c>
      <c r="E2424" s="120">
        <f>1/0.52</f>
        <v>1.9230769230769229</v>
      </c>
      <c r="F2424" s="151" t="s">
        <v>135</v>
      </c>
      <c r="G2424" s="151" t="s">
        <v>135</v>
      </c>
      <c r="H2424" s="68" t="s">
        <v>39</v>
      </c>
      <c r="J2424" s="74" t="str">
        <f t="shared" si="9"/>
        <v>[TIMES_SE] Aluminium electrolysis w. CCS (PCC MEA)</v>
      </c>
      <c r="L2424" s="163"/>
      <c r="M2424" s="48"/>
      <c r="N2424" s="123"/>
    </row>
    <row r="2425" spans="1:14" customFormat="1" x14ac:dyDescent="0.55000000000000004">
      <c r="A2425" s="108" t="s">
        <v>259</v>
      </c>
      <c r="B2425" s="68" t="s">
        <v>262</v>
      </c>
      <c r="C2425" s="68" t="s">
        <v>127</v>
      </c>
      <c r="D2425" s="68" t="s">
        <v>3288</v>
      </c>
      <c r="E2425" s="120">
        <v>10.4</v>
      </c>
      <c r="F2425" s="151" t="s">
        <v>138</v>
      </c>
      <c r="G2425" s="151" t="s">
        <v>135</v>
      </c>
      <c r="H2425" s="68" t="s">
        <v>39</v>
      </c>
      <c r="J2425" s="74" t="str">
        <f t="shared" si="9"/>
        <v>[TIMES_SE] Aluminium electrolysis w. CCS (PCC MEA)</v>
      </c>
      <c r="L2425" s="163"/>
      <c r="M2425" s="48"/>
      <c r="N2425" s="123"/>
    </row>
    <row r="2426" spans="1:14" customFormat="1" x14ac:dyDescent="0.55000000000000004">
      <c r="A2426" s="108" t="s">
        <v>259</v>
      </c>
      <c r="B2426" s="68" t="s">
        <v>153</v>
      </c>
      <c r="C2426" s="68" t="s">
        <v>127</v>
      </c>
      <c r="D2426" s="68" t="s">
        <v>2994</v>
      </c>
      <c r="E2426" s="120">
        <v>49.47</v>
      </c>
      <c r="F2426" s="151" t="s">
        <v>138</v>
      </c>
      <c r="G2426" s="151" t="s">
        <v>135</v>
      </c>
      <c r="H2426" s="68" t="s">
        <v>39</v>
      </c>
      <c r="J2426" s="74" t="str">
        <f t="shared" si="9"/>
        <v>[TIMES_SE] Aluminium electrolysis w. CCS (PCC MEA)</v>
      </c>
      <c r="L2426" s="163"/>
      <c r="M2426" s="48"/>
      <c r="N2426" s="123"/>
    </row>
    <row r="2427" spans="1:14" customFormat="1" x14ac:dyDescent="0.55000000000000004">
      <c r="A2427" s="108" t="s">
        <v>259</v>
      </c>
      <c r="B2427" s="21" t="s">
        <v>137</v>
      </c>
      <c r="C2427" s="68" t="s">
        <v>127</v>
      </c>
      <c r="D2427" s="68" t="s">
        <v>2994</v>
      </c>
      <c r="E2427" s="120">
        <v>4.79</v>
      </c>
      <c r="F2427" s="151" t="s">
        <v>138</v>
      </c>
      <c r="G2427" s="151" t="s">
        <v>135</v>
      </c>
      <c r="H2427" s="68" t="s">
        <v>39</v>
      </c>
      <c r="J2427" s="74" t="str">
        <f t="shared" si="9"/>
        <v>[TIMES_SE] Aluminium electrolysis w. CCS (PCC MEA)</v>
      </c>
      <c r="L2427" s="163"/>
      <c r="M2427" s="48"/>
      <c r="N2427" s="123"/>
    </row>
    <row r="2428" spans="1:14" customFormat="1" x14ac:dyDescent="0.55000000000000004">
      <c r="A2428" s="108" t="s">
        <v>259</v>
      </c>
      <c r="B2428" t="s">
        <v>160</v>
      </c>
      <c r="C2428" t="s">
        <v>247</v>
      </c>
      <c r="D2428" t="s">
        <v>3288</v>
      </c>
      <c r="E2428" s="119">
        <f>1.0192*0.1</f>
        <v>0.10192000000000001</v>
      </c>
      <c r="F2428" s="151" t="s">
        <v>135</v>
      </c>
      <c r="G2428" s="149" t="s">
        <v>135</v>
      </c>
      <c r="H2428" s="68" t="s">
        <v>413</v>
      </c>
      <c r="I2428" t="s">
        <v>2044</v>
      </c>
      <c r="J2428" s="74" t="str">
        <f t="shared" si="9"/>
        <v>[TIMES_SE] Aluminium electrolysis w. CCS (PCC MEA)</v>
      </c>
      <c r="L2428" s="160"/>
      <c r="M2428" s="48"/>
      <c r="N2428" s="123"/>
    </row>
    <row r="2429" spans="1:14" customFormat="1" x14ac:dyDescent="0.55000000000000004">
      <c r="A2429" s="108" t="s">
        <v>259</v>
      </c>
      <c r="B2429" t="s">
        <v>160</v>
      </c>
      <c r="C2429" t="s">
        <v>247</v>
      </c>
      <c r="D2429" t="s">
        <v>3288</v>
      </c>
      <c r="E2429" s="119">
        <f>0.24908*0.1</f>
        <v>2.4908E-2</v>
      </c>
      <c r="F2429" s="151" t="s">
        <v>135</v>
      </c>
      <c r="G2429" s="149" t="s">
        <v>135</v>
      </c>
      <c r="H2429" s="68" t="s">
        <v>373</v>
      </c>
      <c r="I2429" t="s">
        <v>2045</v>
      </c>
      <c r="J2429" s="74" t="str">
        <f t="shared" si="9"/>
        <v>[TIMES_SE] Aluminium electrolysis w. CCS (PCC MEA)</v>
      </c>
      <c r="L2429" s="160"/>
      <c r="M2429" s="48"/>
      <c r="N2429" s="123"/>
    </row>
    <row r="2430" spans="1:14" customFormat="1" x14ac:dyDescent="0.55000000000000004">
      <c r="A2430" s="108" t="s">
        <v>259</v>
      </c>
      <c r="B2430" t="s">
        <v>160</v>
      </c>
      <c r="C2430" t="s">
        <v>156</v>
      </c>
      <c r="D2430" t="s">
        <v>3288</v>
      </c>
      <c r="E2430" s="119">
        <f>1.0192*0.9</f>
        <v>0.9172800000000001</v>
      </c>
      <c r="F2430" s="151" t="s">
        <v>135</v>
      </c>
      <c r="G2430" s="149" t="s">
        <v>135</v>
      </c>
      <c r="H2430" s="68" t="s">
        <v>413</v>
      </c>
      <c r="I2430" t="s">
        <v>2044</v>
      </c>
      <c r="J2430" s="74" t="str">
        <f t="shared" si="9"/>
        <v>[TIMES_SE] Aluminium electrolysis w. CCS (PCC MEA)</v>
      </c>
      <c r="L2430" s="160"/>
      <c r="M2430" s="48"/>
      <c r="N2430" s="123"/>
    </row>
    <row r="2431" spans="1:14" customFormat="1" x14ac:dyDescent="0.55000000000000004">
      <c r="A2431" s="108" t="s">
        <v>259</v>
      </c>
      <c r="B2431" t="s">
        <v>160</v>
      </c>
      <c r="C2431" t="s">
        <v>156</v>
      </c>
      <c r="D2431" t="s">
        <v>3288</v>
      </c>
      <c r="E2431" s="119">
        <f>0.24908*0.9</f>
        <v>0.22417200000000001</v>
      </c>
      <c r="F2431" s="151" t="s">
        <v>135</v>
      </c>
      <c r="G2431" s="149" t="s">
        <v>135</v>
      </c>
      <c r="H2431" s="68" t="s">
        <v>373</v>
      </c>
      <c r="I2431" t="s">
        <v>2045</v>
      </c>
      <c r="J2431" s="74" t="str">
        <f t="shared" si="9"/>
        <v>[TIMES_SE] Aluminium electrolysis w. CCS (PCC MEA)</v>
      </c>
      <c r="L2431" s="160"/>
      <c r="M2431" s="48"/>
      <c r="N2431" s="123"/>
    </row>
    <row r="2432" spans="1:14" customFormat="1" x14ac:dyDescent="0.55000000000000004">
      <c r="A2432" s="108" t="s">
        <v>283</v>
      </c>
      <c r="B2432" s="68" t="s">
        <v>281</v>
      </c>
      <c r="C2432" s="68" t="s">
        <v>121</v>
      </c>
      <c r="D2432" s="68" t="s">
        <v>3288</v>
      </c>
      <c r="E2432" s="120">
        <v>1</v>
      </c>
      <c r="F2432" s="151" t="s">
        <v>135</v>
      </c>
      <c r="G2432" s="151">
        <v>1</v>
      </c>
      <c r="H2432" s="68"/>
      <c r="J2432" s="74" t="str">
        <f t="shared" si="9"/>
        <v>[TIMES_SE] Aluminium finishing, cast, electricity</v>
      </c>
      <c r="L2432" s="163"/>
      <c r="M2432" s="48"/>
      <c r="N2432" s="123"/>
    </row>
    <row r="2433" spans="1:14" customFormat="1" x14ac:dyDescent="0.55000000000000004">
      <c r="A2433" s="108" t="s">
        <v>283</v>
      </c>
      <c r="B2433" s="68" t="s">
        <v>270</v>
      </c>
      <c r="C2433" t="s">
        <v>125</v>
      </c>
      <c r="D2433" s="68" t="s">
        <v>3288</v>
      </c>
      <c r="E2433" s="120">
        <f>1/0.6</f>
        <v>1.6666666666666667</v>
      </c>
      <c r="F2433" s="151" t="s">
        <v>135</v>
      </c>
      <c r="G2433" s="151" t="s">
        <v>135</v>
      </c>
      <c r="H2433" s="68" t="s">
        <v>39</v>
      </c>
      <c r="I2433" t="s">
        <v>282</v>
      </c>
      <c r="J2433" s="74" t="str">
        <f t="shared" si="9"/>
        <v>[TIMES_SE] Aluminium finishing, cast, electricity</v>
      </c>
      <c r="L2433" s="163"/>
      <c r="M2433" s="48"/>
      <c r="N2433" s="123"/>
    </row>
    <row r="2434" spans="1:14" customFormat="1" x14ac:dyDescent="0.55000000000000004">
      <c r="A2434" s="108" t="s">
        <v>283</v>
      </c>
      <c r="B2434" s="68" t="s">
        <v>153</v>
      </c>
      <c r="C2434" s="68" t="s">
        <v>127</v>
      </c>
      <c r="D2434" s="68" t="s">
        <v>2994</v>
      </c>
      <c r="E2434" s="120">
        <v>19.82</v>
      </c>
      <c r="F2434" s="151" t="s">
        <v>138</v>
      </c>
      <c r="G2434" s="151" t="s">
        <v>135</v>
      </c>
      <c r="H2434" s="68" t="s">
        <v>39</v>
      </c>
      <c r="J2434" s="74" t="str">
        <f t="shared" si="9"/>
        <v>[TIMES_SE] Aluminium finishing, cast, electricity</v>
      </c>
      <c r="L2434" s="163"/>
      <c r="M2434" s="48"/>
      <c r="N2434" s="123"/>
    </row>
    <row r="2435" spans="1:14" customFormat="1" x14ac:dyDescent="0.55000000000000004">
      <c r="A2435" s="108" t="s">
        <v>283</v>
      </c>
      <c r="B2435" s="68" t="s">
        <v>160</v>
      </c>
      <c r="C2435" t="s">
        <v>247</v>
      </c>
      <c r="D2435" s="68" t="s">
        <v>3288</v>
      </c>
      <c r="E2435" s="119">
        <v>0</v>
      </c>
      <c r="F2435" s="151" t="s">
        <v>135</v>
      </c>
      <c r="G2435" s="151" t="s">
        <v>135</v>
      </c>
      <c r="H2435" s="68" t="s">
        <v>39</v>
      </c>
      <c r="J2435" s="74" t="str">
        <f t="shared" si="9"/>
        <v>[TIMES_SE] Aluminium finishing, cast, electricity</v>
      </c>
      <c r="L2435" s="163"/>
      <c r="M2435" s="48"/>
      <c r="N2435" s="123"/>
    </row>
    <row r="2436" spans="1:14" customFormat="1" x14ac:dyDescent="0.55000000000000004">
      <c r="A2436" s="108" t="s">
        <v>280</v>
      </c>
      <c r="B2436" s="68" t="s">
        <v>281</v>
      </c>
      <c r="C2436" s="68" t="s">
        <v>121</v>
      </c>
      <c r="D2436" s="68" t="s">
        <v>3288</v>
      </c>
      <c r="E2436" s="120">
        <v>1</v>
      </c>
      <c r="F2436" s="151" t="s">
        <v>135</v>
      </c>
      <c r="G2436" s="151">
        <v>1</v>
      </c>
      <c r="H2436" s="68"/>
      <c r="J2436" s="74" t="str">
        <f t="shared" si="9"/>
        <v>[TIMES_SE] Aluminium finishing, cast, fuel</v>
      </c>
      <c r="L2436" s="163"/>
      <c r="M2436" s="48"/>
      <c r="N2436" s="123"/>
    </row>
    <row r="2437" spans="1:14" customFormat="1" x14ac:dyDescent="0.55000000000000004">
      <c r="A2437" s="108" t="s">
        <v>280</v>
      </c>
      <c r="B2437" s="68" t="s">
        <v>270</v>
      </c>
      <c r="C2437" t="s">
        <v>125</v>
      </c>
      <c r="D2437" s="68" t="s">
        <v>3288</v>
      </c>
      <c r="E2437" s="120">
        <f>1/0.6</f>
        <v>1.6666666666666667</v>
      </c>
      <c r="F2437" s="151" t="s">
        <v>135</v>
      </c>
      <c r="G2437" s="151" t="s">
        <v>135</v>
      </c>
      <c r="H2437" s="68" t="s">
        <v>39</v>
      </c>
      <c r="I2437" t="s">
        <v>282</v>
      </c>
      <c r="J2437" s="74" t="str">
        <f t="shared" si="9"/>
        <v>[TIMES_SE] Aluminium finishing, cast, fuel</v>
      </c>
      <c r="L2437" s="163"/>
      <c r="M2437" s="48"/>
      <c r="N2437" s="123"/>
    </row>
    <row r="2438" spans="1:14" customFormat="1" x14ac:dyDescent="0.55000000000000004">
      <c r="A2438" s="108" t="s">
        <v>280</v>
      </c>
      <c r="B2438" s="68" t="s">
        <v>171</v>
      </c>
      <c r="C2438" s="68" t="s">
        <v>127</v>
      </c>
      <c r="D2438" s="68" t="s">
        <v>2994</v>
      </c>
      <c r="E2438" s="120">
        <v>4.68</v>
      </c>
      <c r="F2438" s="151" t="s">
        <v>138</v>
      </c>
      <c r="G2438" s="151" t="s">
        <v>135</v>
      </c>
      <c r="H2438" s="68" t="s">
        <v>39</v>
      </c>
      <c r="I2438" t="s">
        <v>212</v>
      </c>
      <c r="J2438" s="74" t="str">
        <f t="shared" si="9"/>
        <v>[TIMES_SE] Aluminium finishing, cast, fuel</v>
      </c>
      <c r="L2438" s="163"/>
      <c r="M2438" s="48"/>
      <c r="N2438" s="123"/>
    </row>
    <row r="2439" spans="1:14" customFormat="1" x14ac:dyDescent="0.55000000000000004">
      <c r="A2439" s="108" t="s">
        <v>280</v>
      </c>
      <c r="B2439" s="68" t="s">
        <v>153</v>
      </c>
      <c r="C2439" s="68" t="s">
        <v>127</v>
      </c>
      <c r="D2439" s="68" t="s">
        <v>2994</v>
      </c>
      <c r="E2439" s="120">
        <v>15.84</v>
      </c>
      <c r="F2439" s="151" t="s">
        <v>138</v>
      </c>
      <c r="G2439" s="151" t="s">
        <v>135</v>
      </c>
      <c r="H2439" s="68" t="s">
        <v>39</v>
      </c>
      <c r="J2439" s="74" t="str">
        <f t="shared" si="9"/>
        <v>[TIMES_SE] Aluminium finishing, cast, fuel</v>
      </c>
      <c r="L2439" s="163"/>
      <c r="M2439" s="48"/>
      <c r="N2439" s="123"/>
    </row>
    <row r="2440" spans="1:14" customFormat="1" x14ac:dyDescent="0.55000000000000004">
      <c r="A2440" s="108" t="s">
        <v>275</v>
      </c>
      <c r="B2440" s="68" t="s">
        <v>273</v>
      </c>
      <c r="C2440" s="68" t="s">
        <v>121</v>
      </c>
      <c r="D2440" s="68" t="s">
        <v>3288</v>
      </c>
      <c r="E2440" s="120">
        <v>1</v>
      </c>
      <c r="F2440" s="151" t="s">
        <v>135</v>
      </c>
      <c r="G2440" s="151">
        <v>1</v>
      </c>
      <c r="H2440" s="68"/>
      <c r="J2440" s="74" t="str">
        <f t="shared" si="9"/>
        <v>[TIMES_SE] Aluminium finishing, long, electricity</v>
      </c>
      <c r="L2440" s="163"/>
      <c r="M2440" s="48"/>
      <c r="N2440" s="123"/>
    </row>
    <row r="2441" spans="1:14" customFormat="1" x14ac:dyDescent="0.55000000000000004">
      <c r="A2441" s="108" t="s">
        <v>275</v>
      </c>
      <c r="B2441" s="68" t="s">
        <v>270</v>
      </c>
      <c r="C2441" t="s">
        <v>125</v>
      </c>
      <c r="D2441" s="68" t="s">
        <v>3288</v>
      </c>
      <c r="E2441" s="120">
        <f>1/0.83</f>
        <v>1.2048192771084338</v>
      </c>
      <c r="F2441" s="151" t="s">
        <v>135</v>
      </c>
      <c r="G2441" s="151" t="s">
        <v>135</v>
      </c>
      <c r="H2441" s="68" t="s">
        <v>39</v>
      </c>
      <c r="I2441" t="s">
        <v>274</v>
      </c>
      <c r="J2441" s="74" t="str">
        <f t="shared" si="9"/>
        <v>[TIMES_SE] Aluminium finishing, long, electricity</v>
      </c>
      <c r="L2441" s="163"/>
      <c r="M2441" s="48"/>
      <c r="N2441" s="123"/>
    </row>
    <row r="2442" spans="1:14" customFormat="1" x14ac:dyDescent="0.55000000000000004">
      <c r="A2442" s="108" t="s">
        <v>275</v>
      </c>
      <c r="B2442" s="68" t="s">
        <v>153</v>
      </c>
      <c r="C2442" s="68" t="s">
        <v>127</v>
      </c>
      <c r="D2442" s="68" t="s">
        <v>2994</v>
      </c>
      <c r="E2442" s="120">
        <v>2.39</v>
      </c>
      <c r="F2442" s="151" t="s">
        <v>138</v>
      </c>
      <c r="G2442" s="151" t="s">
        <v>135</v>
      </c>
      <c r="H2442" s="68" t="s">
        <v>39</v>
      </c>
      <c r="J2442" s="74" t="str">
        <f t="shared" si="9"/>
        <v>[TIMES_SE] Aluminium finishing, long, electricity</v>
      </c>
      <c r="L2442" s="163"/>
      <c r="M2442" s="48"/>
      <c r="N2442" s="123"/>
    </row>
    <row r="2443" spans="1:14" customFormat="1" x14ac:dyDescent="0.55000000000000004">
      <c r="A2443" s="108" t="s">
        <v>275</v>
      </c>
      <c r="B2443" s="68" t="s">
        <v>160</v>
      </c>
      <c r="C2443" t="s">
        <v>247</v>
      </c>
      <c r="D2443" s="68" t="s">
        <v>3288</v>
      </c>
      <c r="E2443" s="119">
        <v>0</v>
      </c>
      <c r="F2443" s="151" t="s">
        <v>135</v>
      </c>
      <c r="G2443" s="151" t="s">
        <v>135</v>
      </c>
      <c r="H2443" s="68" t="s">
        <v>39</v>
      </c>
      <c r="J2443" s="74" t="str">
        <f t="shared" si="9"/>
        <v>[TIMES_SE] Aluminium finishing, long, electricity</v>
      </c>
      <c r="L2443" s="163"/>
      <c r="M2443" s="48"/>
      <c r="N2443" s="123"/>
    </row>
    <row r="2444" spans="1:14" customFormat="1" x14ac:dyDescent="0.55000000000000004">
      <c r="A2444" s="108" t="s">
        <v>272</v>
      </c>
      <c r="B2444" s="68" t="s">
        <v>273</v>
      </c>
      <c r="C2444" s="68" t="s">
        <v>121</v>
      </c>
      <c r="D2444" s="68" t="s">
        <v>3288</v>
      </c>
      <c r="E2444" s="120">
        <v>1</v>
      </c>
      <c r="F2444" s="151" t="s">
        <v>135</v>
      </c>
      <c r="G2444" s="151">
        <v>1</v>
      </c>
      <c r="H2444" s="68"/>
      <c r="J2444" s="74" t="str">
        <f t="shared" si="9"/>
        <v>[TIMES_SE] Aluminium finishing, long, fuel</v>
      </c>
      <c r="L2444" s="163"/>
      <c r="M2444" s="48"/>
      <c r="N2444" s="123"/>
    </row>
    <row r="2445" spans="1:14" customFormat="1" x14ac:dyDescent="0.55000000000000004">
      <c r="A2445" s="108" t="s">
        <v>272</v>
      </c>
      <c r="B2445" s="68" t="s">
        <v>270</v>
      </c>
      <c r="C2445" t="s">
        <v>125</v>
      </c>
      <c r="D2445" s="68" t="s">
        <v>3288</v>
      </c>
      <c r="E2445" s="120">
        <f>1/0.83</f>
        <v>1.2048192771084338</v>
      </c>
      <c r="F2445" s="151" t="s">
        <v>135</v>
      </c>
      <c r="G2445" s="151" t="s">
        <v>135</v>
      </c>
      <c r="H2445" s="68" t="s">
        <v>39</v>
      </c>
      <c r="I2445" t="s">
        <v>274</v>
      </c>
      <c r="J2445" s="74" t="str">
        <f t="shared" si="9"/>
        <v>[TIMES_SE] Aluminium finishing, long, fuel</v>
      </c>
      <c r="L2445" s="163"/>
      <c r="M2445" s="48"/>
      <c r="N2445" s="123"/>
    </row>
    <row r="2446" spans="1:14" customFormat="1" x14ac:dyDescent="0.55000000000000004">
      <c r="A2446" s="108" t="s">
        <v>272</v>
      </c>
      <c r="B2446" s="68" t="s">
        <v>171</v>
      </c>
      <c r="C2446" s="68" t="s">
        <v>127</v>
      </c>
      <c r="D2446" s="68" t="s">
        <v>2994</v>
      </c>
      <c r="E2446" s="120">
        <v>1.08</v>
      </c>
      <c r="F2446" s="151" t="s">
        <v>138</v>
      </c>
      <c r="G2446" s="151" t="s">
        <v>135</v>
      </c>
      <c r="H2446" s="68" t="s">
        <v>39</v>
      </c>
      <c r="I2446" t="s">
        <v>212</v>
      </c>
      <c r="J2446" s="74" t="str">
        <f t="shared" si="9"/>
        <v>[TIMES_SE] Aluminium finishing, long, fuel</v>
      </c>
      <c r="L2446" s="163"/>
      <c r="M2446" s="48"/>
      <c r="N2446" s="123"/>
    </row>
    <row r="2447" spans="1:14" customFormat="1" x14ac:dyDescent="0.55000000000000004">
      <c r="A2447" s="108" t="s">
        <v>272</v>
      </c>
      <c r="B2447" s="68" t="s">
        <v>153</v>
      </c>
      <c r="C2447" s="68" t="s">
        <v>127</v>
      </c>
      <c r="D2447" s="68" t="s">
        <v>2994</v>
      </c>
      <c r="E2447" s="120">
        <v>2.2999999999999998</v>
      </c>
      <c r="F2447" s="151" t="s">
        <v>138</v>
      </c>
      <c r="G2447" s="151" t="s">
        <v>135</v>
      </c>
      <c r="H2447" s="68" t="s">
        <v>39</v>
      </c>
      <c r="J2447" s="74" t="str">
        <f t="shared" si="9"/>
        <v>[TIMES_SE] Aluminium finishing, long, fuel</v>
      </c>
      <c r="L2447" s="163"/>
      <c r="M2447" s="48"/>
      <c r="N2447" s="123"/>
    </row>
    <row r="2448" spans="1:14" customFormat="1" x14ac:dyDescent="0.55000000000000004">
      <c r="A2448" s="108" t="s">
        <v>272</v>
      </c>
      <c r="B2448" s="68" t="s">
        <v>160</v>
      </c>
      <c r="C2448" t="s">
        <v>247</v>
      </c>
      <c r="D2448" s="68" t="s">
        <v>3288</v>
      </c>
      <c r="E2448" s="119">
        <v>6.058800000000001E-2</v>
      </c>
      <c r="F2448" s="151" t="s">
        <v>135</v>
      </c>
      <c r="G2448" s="151" t="s">
        <v>135</v>
      </c>
      <c r="H2448" s="68" t="s">
        <v>376</v>
      </c>
      <c r="I2448" t="s">
        <v>2013</v>
      </c>
      <c r="J2448" s="74" t="str">
        <f t="shared" si="9"/>
        <v>[TIMES_SE] Aluminium finishing, long, fuel</v>
      </c>
      <c r="L2448" s="163"/>
      <c r="M2448" s="48"/>
      <c r="N2448" s="123"/>
    </row>
    <row r="2449" spans="1:14" customFormat="1" x14ac:dyDescent="0.55000000000000004">
      <c r="A2449" s="108" t="s">
        <v>279</v>
      </c>
      <c r="B2449" s="68" t="s">
        <v>277</v>
      </c>
      <c r="C2449" s="68" t="s">
        <v>121</v>
      </c>
      <c r="D2449" s="68" t="s">
        <v>3288</v>
      </c>
      <c r="E2449" s="120">
        <v>1</v>
      </c>
      <c r="F2449" s="151" t="s">
        <v>135</v>
      </c>
      <c r="G2449" s="151">
        <v>1</v>
      </c>
      <c r="H2449" s="68"/>
      <c r="J2449" s="74" t="str">
        <f t="shared" si="9"/>
        <v>[TIMES_SE] Aluminium finishing, sheet, electricity</v>
      </c>
      <c r="L2449" s="163"/>
      <c r="M2449" s="48"/>
      <c r="N2449" s="123"/>
    </row>
    <row r="2450" spans="1:14" customFormat="1" x14ac:dyDescent="0.55000000000000004">
      <c r="A2450" s="108" t="s">
        <v>279</v>
      </c>
      <c r="B2450" s="68" t="s">
        <v>270</v>
      </c>
      <c r="C2450" t="s">
        <v>125</v>
      </c>
      <c r="D2450" s="68" t="s">
        <v>3288</v>
      </c>
      <c r="E2450" s="120">
        <f>1/0.52</f>
        <v>1.9230769230769229</v>
      </c>
      <c r="F2450" s="151" t="s">
        <v>135</v>
      </c>
      <c r="G2450" s="151" t="s">
        <v>135</v>
      </c>
      <c r="H2450" s="68" t="s">
        <v>39</v>
      </c>
      <c r="I2450" t="s">
        <v>278</v>
      </c>
      <c r="J2450" s="74" t="str">
        <f t="shared" si="9"/>
        <v>[TIMES_SE] Aluminium finishing, sheet, electricity</v>
      </c>
      <c r="L2450" s="163"/>
      <c r="M2450" s="48"/>
      <c r="N2450" s="123"/>
    </row>
    <row r="2451" spans="1:14" customFormat="1" x14ac:dyDescent="0.55000000000000004">
      <c r="A2451" s="108" t="s">
        <v>279</v>
      </c>
      <c r="B2451" s="68" t="s">
        <v>153</v>
      </c>
      <c r="C2451" s="68" t="s">
        <v>127</v>
      </c>
      <c r="D2451" s="68" t="s">
        <v>2994</v>
      </c>
      <c r="E2451" s="120">
        <v>3.51</v>
      </c>
      <c r="F2451" s="151" t="s">
        <v>138</v>
      </c>
      <c r="G2451" s="151" t="s">
        <v>135</v>
      </c>
      <c r="H2451" s="68" t="s">
        <v>39</v>
      </c>
      <c r="J2451" s="74" t="str">
        <f t="shared" si="9"/>
        <v>[TIMES_SE] Aluminium finishing, sheet, electricity</v>
      </c>
      <c r="L2451" s="163"/>
      <c r="M2451" s="48"/>
      <c r="N2451" s="123"/>
    </row>
    <row r="2452" spans="1:14" customFormat="1" x14ac:dyDescent="0.55000000000000004">
      <c r="A2452" s="108" t="s">
        <v>279</v>
      </c>
      <c r="B2452" s="68" t="s">
        <v>160</v>
      </c>
      <c r="C2452" t="s">
        <v>247</v>
      </c>
      <c r="D2452" s="68" t="s">
        <v>3288</v>
      </c>
      <c r="E2452" s="119">
        <v>0</v>
      </c>
      <c r="F2452" s="151" t="s">
        <v>135</v>
      </c>
      <c r="G2452" s="151" t="s">
        <v>135</v>
      </c>
      <c r="H2452" s="68" t="s">
        <v>39</v>
      </c>
      <c r="J2452" s="74" t="str">
        <f t="shared" si="9"/>
        <v>[TIMES_SE] Aluminium finishing, sheet, electricity</v>
      </c>
      <c r="L2452" s="163"/>
      <c r="M2452" s="48"/>
      <c r="N2452" s="123"/>
    </row>
    <row r="2453" spans="1:14" customFormat="1" x14ac:dyDescent="0.55000000000000004">
      <c r="A2453" s="108" t="s">
        <v>276</v>
      </c>
      <c r="B2453" s="68" t="s">
        <v>277</v>
      </c>
      <c r="C2453" s="68" t="s">
        <v>121</v>
      </c>
      <c r="D2453" s="68" t="s">
        <v>3288</v>
      </c>
      <c r="E2453" s="120">
        <v>1</v>
      </c>
      <c r="F2453" s="151" t="s">
        <v>135</v>
      </c>
      <c r="G2453" s="151">
        <v>1</v>
      </c>
      <c r="H2453" s="68"/>
      <c r="J2453" s="74" t="str">
        <f t="shared" si="9"/>
        <v>[TIMES_SE] Aluminium finishing, sheet, fuel</v>
      </c>
      <c r="L2453" s="163"/>
      <c r="M2453" s="48"/>
      <c r="N2453" s="123"/>
    </row>
    <row r="2454" spans="1:14" customFormat="1" x14ac:dyDescent="0.55000000000000004">
      <c r="A2454" s="108" t="s">
        <v>276</v>
      </c>
      <c r="B2454" s="68" t="s">
        <v>270</v>
      </c>
      <c r="C2454" t="s">
        <v>125</v>
      </c>
      <c r="D2454" s="68" t="s">
        <v>3288</v>
      </c>
      <c r="E2454" s="120">
        <f>1/0.52</f>
        <v>1.9230769230769229</v>
      </c>
      <c r="F2454" s="151" t="s">
        <v>135</v>
      </c>
      <c r="G2454" s="151" t="s">
        <v>135</v>
      </c>
      <c r="H2454" s="68" t="s">
        <v>39</v>
      </c>
      <c r="I2454" t="s">
        <v>278</v>
      </c>
      <c r="J2454" s="74" t="str">
        <f t="shared" si="9"/>
        <v>[TIMES_SE] Aluminium finishing, sheet, fuel</v>
      </c>
      <c r="L2454" s="163"/>
      <c r="M2454" s="48"/>
      <c r="N2454" s="123"/>
    </row>
    <row r="2455" spans="1:14" customFormat="1" x14ac:dyDescent="0.55000000000000004">
      <c r="A2455" s="108" t="s">
        <v>276</v>
      </c>
      <c r="B2455" s="68" t="s">
        <v>171</v>
      </c>
      <c r="C2455" s="68" t="s">
        <v>127</v>
      </c>
      <c r="D2455" s="68" t="s">
        <v>2994</v>
      </c>
      <c r="E2455" s="120">
        <v>1.46</v>
      </c>
      <c r="F2455" s="151" t="s">
        <v>138</v>
      </c>
      <c r="G2455" s="151" t="s">
        <v>135</v>
      </c>
      <c r="H2455" s="68" t="s">
        <v>39</v>
      </c>
      <c r="I2455" t="s">
        <v>212</v>
      </c>
      <c r="J2455" s="74" t="str">
        <f t="shared" si="9"/>
        <v>[TIMES_SE] Aluminium finishing, sheet, fuel</v>
      </c>
      <c r="L2455" s="163"/>
      <c r="M2455" s="48"/>
      <c r="N2455" s="123"/>
    </row>
    <row r="2456" spans="1:14" customFormat="1" x14ac:dyDescent="0.55000000000000004">
      <c r="A2456" s="108" t="s">
        <v>276</v>
      </c>
      <c r="B2456" s="68" t="s">
        <v>153</v>
      </c>
      <c r="C2456" s="68" t="s">
        <v>127</v>
      </c>
      <c r="D2456" s="68" t="s">
        <v>2994</v>
      </c>
      <c r="E2456" s="120">
        <v>2.27</v>
      </c>
      <c r="F2456" s="151" t="s">
        <v>138</v>
      </c>
      <c r="G2456" s="151" t="s">
        <v>135</v>
      </c>
      <c r="H2456" s="68" t="s">
        <v>39</v>
      </c>
      <c r="J2456" s="74" t="str">
        <f t="shared" si="9"/>
        <v>[TIMES_SE] Aluminium finishing, sheet, fuel</v>
      </c>
      <c r="L2456" s="163"/>
      <c r="M2456" s="48"/>
      <c r="N2456" s="123"/>
    </row>
    <row r="2457" spans="1:14" customFormat="1" x14ac:dyDescent="0.55000000000000004">
      <c r="A2457" s="108" t="s">
        <v>276</v>
      </c>
      <c r="B2457" s="68" t="s">
        <v>160</v>
      </c>
      <c r="C2457" t="s">
        <v>247</v>
      </c>
      <c r="D2457" s="68" t="s">
        <v>3288</v>
      </c>
      <c r="E2457" s="119">
        <v>8.1906000000000007E-2</v>
      </c>
      <c r="F2457" s="151" t="s">
        <v>135</v>
      </c>
      <c r="G2457" s="151" t="s">
        <v>135</v>
      </c>
      <c r="H2457" s="68" t="s">
        <v>376</v>
      </c>
      <c r="I2457" t="s">
        <v>2013</v>
      </c>
      <c r="J2457" s="74" t="str">
        <f t="shared" si="9"/>
        <v>[TIMES_SE] Aluminium finishing, sheet, fuel</v>
      </c>
      <c r="L2457" s="163"/>
      <c r="M2457" s="48"/>
      <c r="N2457" s="123"/>
    </row>
    <row r="2458" spans="1:14" customFormat="1" x14ac:dyDescent="0.55000000000000004">
      <c r="A2458" s="108" t="s">
        <v>276</v>
      </c>
      <c r="B2458" s="68" t="s">
        <v>160</v>
      </c>
      <c r="C2458" t="s">
        <v>247</v>
      </c>
      <c r="D2458" s="68" t="s">
        <v>3288</v>
      </c>
      <c r="E2458" s="119">
        <v>0.262548</v>
      </c>
      <c r="F2458" s="151" t="s">
        <v>135</v>
      </c>
      <c r="G2458" s="151" t="s">
        <v>135</v>
      </c>
      <c r="H2458" s="68" t="s">
        <v>376</v>
      </c>
      <c r="I2458" t="s">
        <v>2013</v>
      </c>
      <c r="J2458" s="74" t="str">
        <f t="shared" si="9"/>
        <v>[TIMES_SE] Aluminium finishing, sheet, fuel</v>
      </c>
      <c r="L2458" s="163"/>
      <c r="M2458" s="48"/>
      <c r="N2458" s="123"/>
    </row>
    <row r="2459" spans="1:14" customFormat="1" x14ac:dyDescent="0.55000000000000004">
      <c r="A2459" s="108" t="s">
        <v>267</v>
      </c>
      <c r="B2459" s="68" t="s">
        <v>268</v>
      </c>
      <c r="C2459" s="68" t="s">
        <v>121</v>
      </c>
      <c r="D2459" s="68" t="s">
        <v>3288</v>
      </c>
      <c r="E2459" s="120">
        <v>1</v>
      </c>
      <c r="F2459" s="151" t="s">
        <v>135</v>
      </c>
      <c r="G2459" s="151">
        <v>1</v>
      </c>
      <c r="H2459" s="68"/>
      <c r="J2459" s="74" t="str">
        <f t="shared" si="9"/>
        <v>[TIMES_SE] Aluminium remelting, electricity</v>
      </c>
      <c r="L2459" s="163"/>
      <c r="M2459" s="48"/>
      <c r="N2459" s="123"/>
    </row>
    <row r="2460" spans="1:14" customFormat="1" x14ac:dyDescent="0.55000000000000004">
      <c r="A2460" s="108" t="s">
        <v>267</v>
      </c>
      <c r="B2460" s="68" t="s">
        <v>211</v>
      </c>
      <c r="C2460" t="s">
        <v>125</v>
      </c>
      <c r="D2460" s="68" t="s">
        <v>3288</v>
      </c>
      <c r="E2460" s="120">
        <f>(1/0.969)*0.78</f>
        <v>0.80495356037151711</v>
      </c>
      <c r="F2460" s="151" t="s">
        <v>135</v>
      </c>
      <c r="G2460" s="151" t="s">
        <v>135</v>
      </c>
      <c r="H2460" s="68" t="s">
        <v>39</v>
      </c>
      <c r="I2460" t="s">
        <v>266</v>
      </c>
      <c r="J2460" s="74" t="str">
        <f t="shared" si="9"/>
        <v>[TIMES_SE] Aluminium remelting, electricity</v>
      </c>
      <c r="L2460" s="163"/>
      <c r="M2460" s="48"/>
      <c r="N2460" s="123"/>
    </row>
    <row r="2461" spans="1:14" customFormat="1" x14ac:dyDescent="0.55000000000000004">
      <c r="A2461" s="108" t="s">
        <v>267</v>
      </c>
      <c r="B2461" s="68" t="s">
        <v>210</v>
      </c>
      <c r="C2461" t="s">
        <v>125</v>
      </c>
      <c r="D2461" s="68" t="s">
        <v>3288</v>
      </c>
      <c r="E2461" s="120">
        <f>(1/0.969)*0.22</f>
        <v>0.22703818369453047</v>
      </c>
      <c r="F2461" s="151" t="s">
        <v>135</v>
      </c>
      <c r="G2461" s="151" t="s">
        <v>135</v>
      </c>
      <c r="H2461" s="68" t="s">
        <v>39</v>
      </c>
      <c r="I2461" t="s">
        <v>266</v>
      </c>
      <c r="J2461" s="74" t="str">
        <f t="shared" si="9"/>
        <v>[TIMES_SE] Aluminium remelting, electricity</v>
      </c>
      <c r="L2461" s="163"/>
      <c r="M2461" s="48"/>
      <c r="N2461" s="123"/>
    </row>
    <row r="2462" spans="1:14" customFormat="1" x14ac:dyDescent="0.55000000000000004">
      <c r="A2462" s="108" t="s">
        <v>267</v>
      </c>
      <c r="B2462" s="68" t="s">
        <v>153</v>
      </c>
      <c r="C2462" s="68" t="s">
        <v>127</v>
      </c>
      <c r="D2462" s="68" t="s">
        <v>2994</v>
      </c>
      <c r="E2462" s="120">
        <v>3.17</v>
      </c>
      <c r="F2462" s="151" t="s">
        <v>138</v>
      </c>
      <c r="G2462" s="151" t="s">
        <v>135</v>
      </c>
      <c r="H2462" s="68" t="s">
        <v>39</v>
      </c>
      <c r="J2462" s="74" t="str">
        <f t="shared" si="9"/>
        <v>[TIMES_SE] Aluminium remelting, electricity</v>
      </c>
      <c r="L2462" s="163"/>
      <c r="M2462" s="48"/>
      <c r="N2462" s="123"/>
    </row>
    <row r="2463" spans="1:14" customFormat="1" x14ac:dyDescent="0.55000000000000004">
      <c r="A2463" s="108" t="s">
        <v>267</v>
      </c>
      <c r="B2463" s="68" t="s">
        <v>160</v>
      </c>
      <c r="C2463" t="s">
        <v>247</v>
      </c>
      <c r="D2463" s="68" t="s">
        <v>3288</v>
      </c>
      <c r="E2463" s="119">
        <v>0</v>
      </c>
      <c r="F2463" s="151" t="s">
        <v>135</v>
      </c>
      <c r="G2463" s="151" t="s">
        <v>135</v>
      </c>
      <c r="H2463" s="68" t="s">
        <v>39</v>
      </c>
      <c r="J2463" s="74" t="str">
        <f t="shared" si="9"/>
        <v>[TIMES_SE] Aluminium remelting, electricity</v>
      </c>
      <c r="L2463" s="163"/>
      <c r="M2463" s="48"/>
      <c r="N2463" s="123"/>
    </row>
    <row r="2464" spans="1:14" customFormat="1" x14ac:dyDescent="0.55000000000000004">
      <c r="A2464" s="108" t="s">
        <v>265</v>
      </c>
      <c r="B2464" s="68" t="s">
        <v>260</v>
      </c>
      <c r="C2464" s="68" t="s">
        <v>121</v>
      </c>
      <c r="D2464" s="68" t="s">
        <v>3288</v>
      </c>
      <c r="E2464" s="120">
        <v>1</v>
      </c>
      <c r="F2464" s="151" t="s">
        <v>135</v>
      </c>
      <c r="G2464" s="151">
        <v>1</v>
      </c>
      <c r="H2464" s="68"/>
      <c r="J2464" s="74" t="str">
        <f t="shared" si="9"/>
        <v>[TIMES_SE] Aluminium remelting, fuel</v>
      </c>
      <c r="L2464" s="163"/>
      <c r="M2464" s="48"/>
      <c r="N2464" s="123"/>
    </row>
    <row r="2465" spans="1:14" customFormat="1" x14ac:dyDescent="0.55000000000000004">
      <c r="A2465" s="108" t="s">
        <v>265</v>
      </c>
      <c r="B2465" s="68" t="s">
        <v>211</v>
      </c>
      <c r="C2465" t="s">
        <v>125</v>
      </c>
      <c r="D2465" s="68" t="s">
        <v>3288</v>
      </c>
      <c r="E2465" s="120">
        <f>(1/0.969)*0.78</f>
        <v>0.80495356037151711</v>
      </c>
      <c r="F2465" s="151" t="s">
        <v>135</v>
      </c>
      <c r="G2465" s="151" t="s">
        <v>135</v>
      </c>
      <c r="H2465" s="68" t="s">
        <v>39</v>
      </c>
      <c r="I2465" t="s">
        <v>266</v>
      </c>
      <c r="J2465" s="74" t="str">
        <f t="shared" si="9"/>
        <v>[TIMES_SE] Aluminium remelting, fuel</v>
      </c>
      <c r="L2465" s="163"/>
      <c r="M2465" s="48"/>
      <c r="N2465" s="123"/>
    </row>
    <row r="2466" spans="1:14" customFormat="1" x14ac:dyDescent="0.55000000000000004">
      <c r="A2466" s="108" t="s">
        <v>265</v>
      </c>
      <c r="B2466" s="68" t="s">
        <v>210</v>
      </c>
      <c r="C2466" t="s">
        <v>125</v>
      </c>
      <c r="D2466" s="68" t="s">
        <v>3288</v>
      </c>
      <c r="E2466" s="120">
        <f>(1/0.969)*0.22</f>
        <v>0.22703818369453047</v>
      </c>
      <c r="F2466" s="151" t="s">
        <v>135</v>
      </c>
      <c r="G2466" s="151" t="s">
        <v>135</v>
      </c>
      <c r="H2466" s="68" t="s">
        <v>39</v>
      </c>
      <c r="I2466" t="s">
        <v>266</v>
      </c>
      <c r="J2466" s="74" t="str">
        <f t="shared" si="9"/>
        <v>[TIMES_SE] Aluminium remelting, fuel</v>
      </c>
      <c r="L2466" s="163"/>
      <c r="M2466" s="48"/>
      <c r="N2466" s="123"/>
    </row>
    <row r="2467" spans="1:14" customFormat="1" x14ac:dyDescent="0.55000000000000004">
      <c r="A2467" s="108" t="s">
        <v>265</v>
      </c>
      <c r="B2467" s="68" t="s">
        <v>171</v>
      </c>
      <c r="C2467" s="68" t="s">
        <v>127</v>
      </c>
      <c r="D2467" s="68" t="s">
        <v>2994</v>
      </c>
      <c r="E2467" s="120">
        <v>3.64</v>
      </c>
      <c r="F2467" s="151" t="s">
        <v>138</v>
      </c>
      <c r="G2467" s="151" t="s">
        <v>135</v>
      </c>
      <c r="H2467" s="68" t="s">
        <v>39</v>
      </c>
      <c r="I2467" t="s">
        <v>212</v>
      </c>
      <c r="J2467" s="74" t="str">
        <f t="shared" si="9"/>
        <v>[TIMES_SE] Aluminium remelting, fuel</v>
      </c>
      <c r="L2467" s="163"/>
      <c r="M2467" s="48"/>
      <c r="N2467" s="123"/>
    </row>
    <row r="2468" spans="1:14" customFormat="1" x14ac:dyDescent="0.55000000000000004">
      <c r="A2468" s="108" t="s">
        <v>265</v>
      </c>
      <c r="B2468" s="68" t="s">
        <v>153</v>
      </c>
      <c r="C2468" s="68" t="s">
        <v>127</v>
      </c>
      <c r="D2468" s="68" t="s">
        <v>2994</v>
      </c>
      <c r="E2468" s="120">
        <v>0.08</v>
      </c>
      <c r="F2468" s="151" t="s">
        <v>138</v>
      </c>
      <c r="G2468" s="151" t="s">
        <v>135</v>
      </c>
      <c r="H2468" s="68" t="s">
        <v>39</v>
      </c>
      <c r="J2468" s="74" t="str">
        <f t="shared" si="9"/>
        <v>[TIMES_SE] Aluminium remelting, fuel</v>
      </c>
      <c r="L2468" s="163"/>
      <c r="M2468" s="48"/>
      <c r="N2468" s="123"/>
    </row>
    <row r="2469" spans="1:14" customFormat="1" x14ac:dyDescent="0.55000000000000004">
      <c r="A2469" s="108" t="s">
        <v>265</v>
      </c>
      <c r="B2469" s="68" t="s">
        <v>160</v>
      </c>
      <c r="C2469" t="s">
        <v>247</v>
      </c>
      <c r="D2469" s="68" t="s">
        <v>3288</v>
      </c>
      <c r="E2469" s="119">
        <v>0.204204</v>
      </c>
      <c r="F2469" s="151" t="s">
        <v>135</v>
      </c>
      <c r="G2469" s="151" t="s">
        <v>135</v>
      </c>
      <c r="H2469" s="68" t="s">
        <v>376</v>
      </c>
      <c r="I2469" t="s">
        <v>2013</v>
      </c>
      <c r="J2469" s="74" t="str">
        <f t="shared" si="9"/>
        <v>[TIMES_SE] Aluminium remelting, fuel</v>
      </c>
      <c r="L2469" s="163"/>
      <c r="M2469" s="48"/>
      <c r="N2469" s="123"/>
    </row>
    <row r="2470" spans="1:14" customFormat="1" x14ac:dyDescent="0.55000000000000004">
      <c r="A2470" s="111" t="s">
        <v>338</v>
      </c>
      <c r="B2470" t="s">
        <v>339</v>
      </c>
      <c r="C2470" t="s">
        <v>121</v>
      </c>
      <c r="D2470" t="s">
        <v>3288</v>
      </c>
      <c r="E2470" s="116">
        <v>1</v>
      </c>
      <c r="F2470" s="149" t="s">
        <v>135</v>
      </c>
      <c r="G2470" s="149">
        <v>1</v>
      </c>
      <c r="H2470" s="68" t="s">
        <v>39</v>
      </c>
      <c r="J2470" s="77" t="str">
        <f t="shared" si="9"/>
        <v>[TIMES_SE] Basic Oxygen Furnace</v>
      </c>
      <c r="L2470" s="131"/>
      <c r="M2470" s="48"/>
      <c r="N2470" s="123"/>
    </row>
    <row r="2471" spans="1:14" customFormat="1" x14ac:dyDescent="0.55000000000000004">
      <c r="A2471" s="111" t="s">
        <v>338</v>
      </c>
      <c r="B2471" t="s">
        <v>287</v>
      </c>
      <c r="C2471" s="21" t="s">
        <v>125</v>
      </c>
      <c r="D2471" t="s">
        <v>3288</v>
      </c>
      <c r="E2471" s="116">
        <f>(1/0.917)*(1-0.167)</f>
        <v>0.90839694656488545</v>
      </c>
      <c r="F2471" s="149" t="s">
        <v>135</v>
      </c>
      <c r="G2471" s="149" t="s">
        <v>135</v>
      </c>
      <c r="H2471" s="68" t="s">
        <v>39</v>
      </c>
      <c r="I2471" t="s">
        <v>340</v>
      </c>
      <c r="J2471" s="77" t="str">
        <f t="shared" si="9"/>
        <v>[TIMES_SE] Basic Oxygen Furnace</v>
      </c>
      <c r="L2471" s="131"/>
      <c r="M2471" s="48"/>
      <c r="N2471" s="123"/>
    </row>
    <row r="2472" spans="1:14" customFormat="1" x14ac:dyDescent="0.55000000000000004">
      <c r="A2472" s="111" t="s">
        <v>338</v>
      </c>
      <c r="B2472" t="s">
        <v>341</v>
      </c>
      <c r="C2472" s="21" t="s">
        <v>125</v>
      </c>
      <c r="D2472" t="s">
        <v>3288</v>
      </c>
      <c r="E2472" s="116">
        <f>(1/0.917)*(0.167)</f>
        <v>0.1821155943293348</v>
      </c>
      <c r="F2472" s="149" t="s">
        <v>135</v>
      </c>
      <c r="G2472" s="149" t="s">
        <v>135</v>
      </c>
      <c r="H2472" s="68" t="s">
        <v>39</v>
      </c>
      <c r="I2472" t="s">
        <v>342</v>
      </c>
      <c r="J2472" s="77" t="str">
        <f t="shared" si="9"/>
        <v>[TIMES_SE] Basic Oxygen Furnace</v>
      </c>
      <c r="L2472" s="131"/>
      <c r="M2472" s="48"/>
      <c r="N2472" s="123"/>
    </row>
    <row r="2473" spans="1:14" customFormat="1" x14ac:dyDescent="0.55000000000000004">
      <c r="A2473" s="111" t="s">
        <v>338</v>
      </c>
      <c r="B2473" t="s">
        <v>298</v>
      </c>
      <c r="C2473" t="s">
        <v>127</v>
      </c>
      <c r="D2473" t="s">
        <v>2994</v>
      </c>
      <c r="E2473" s="116">
        <v>1.4999999999999999E-2</v>
      </c>
      <c r="F2473" s="149" t="s">
        <v>138</v>
      </c>
      <c r="G2473" s="149" t="s">
        <v>135</v>
      </c>
      <c r="H2473" s="68" t="s">
        <v>39</v>
      </c>
      <c r="I2473" t="s">
        <v>343</v>
      </c>
      <c r="J2473" s="77" t="str">
        <f t="shared" ref="J2473:J2536" si="10">A2473</f>
        <v>[TIMES_SE] Basic Oxygen Furnace</v>
      </c>
      <c r="L2473" s="131"/>
      <c r="M2473" s="48"/>
      <c r="N2473" s="123"/>
    </row>
    <row r="2474" spans="1:14" customFormat="1" x14ac:dyDescent="0.55000000000000004">
      <c r="A2474" s="111" t="s">
        <v>338</v>
      </c>
      <c r="B2474" t="s">
        <v>213</v>
      </c>
      <c r="C2474" t="s">
        <v>125</v>
      </c>
      <c r="D2474" t="s">
        <v>3289</v>
      </c>
      <c r="E2474" s="116">
        <v>54</v>
      </c>
      <c r="F2474" s="149" t="s">
        <v>133</v>
      </c>
      <c r="G2474" s="149" t="s">
        <v>135</v>
      </c>
      <c r="H2474" s="68" t="s">
        <v>39</v>
      </c>
      <c r="J2474" s="77" t="str">
        <f t="shared" si="10"/>
        <v>[TIMES_SE] Basic Oxygen Furnace</v>
      </c>
      <c r="L2474" s="131"/>
      <c r="M2474" s="48"/>
      <c r="N2474" s="123"/>
    </row>
    <row r="2475" spans="1:14" customFormat="1" x14ac:dyDescent="0.55000000000000004">
      <c r="A2475" s="111" t="s">
        <v>338</v>
      </c>
      <c r="B2475" t="s">
        <v>131</v>
      </c>
      <c r="C2475" t="s">
        <v>125</v>
      </c>
      <c r="D2475" t="s">
        <v>3288</v>
      </c>
      <c r="E2475" s="116">
        <v>6.5000000000000002E-2</v>
      </c>
      <c r="F2475" s="149" t="s">
        <v>135</v>
      </c>
      <c r="G2475" s="149" t="s">
        <v>135</v>
      </c>
      <c r="H2475" s="68" t="s">
        <v>39</v>
      </c>
      <c r="J2475" s="77" t="str">
        <f t="shared" si="10"/>
        <v>[TIMES_SE] Basic Oxygen Furnace</v>
      </c>
      <c r="L2475" s="131"/>
      <c r="M2475" s="48"/>
      <c r="N2475" s="123"/>
    </row>
    <row r="2476" spans="1:14" customFormat="1" x14ac:dyDescent="0.55000000000000004">
      <c r="A2476" s="111" t="s">
        <v>338</v>
      </c>
      <c r="B2476" t="s">
        <v>170</v>
      </c>
      <c r="C2476" t="s">
        <v>125</v>
      </c>
      <c r="D2476" t="s">
        <v>3288</v>
      </c>
      <c r="E2476" s="116">
        <v>1.6E-2</v>
      </c>
      <c r="F2476" s="149" t="s">
        <v>135</v>
      </c>
      <c r="G2476" s="149" t="s">
        <v>135</v>
      </c>
      <c r="H2476" s="68" t="s">
        <v>39</v>
      </c>
      <c r="J2476" s="77" t="str">
        <f t="shared" si="10"/>
        <v>[TIMES_SE] Basic Oxygen Furnace</v>
      </c>
      <c r="L2476" s="131"/>
      <c r="M2476" s="48"/>
      <c r="N2476" s="123"/>
    </row>
    <row r="2477" spans="1:14" customFormat="1" x14ac:dyDescent="0.55000000000000004">
      <c r="A2477" s="111" t="s">
        <v>338</v>
      </c>
      <c r="B2477" t="s">
        <v>153</v>
      </c>
      <c r="C2477" t="s">
        <v>127</v>
      </c>
      <c r="D2477" t="s">
        <v>2994</v>
      </c>
      <c r="E2477" s="116">
        <v>0.16200000000000001</v>
      </c>
      <c r="F2477" s="149" t="s">
        <v>138</v>
      </c>
      <c r="G2477" s="149" t="s">
        <v>135</v>
      </c>
      <c r="H2477" s="68" t="s">
        <v>39</v>
      </c>
      <c r="J2477" s="77" t="str">
        <f t="shared" si="10"/>
        <v>[TIMES_SE] Basic Oxygen Furnace</v>
      </c>
      <c r="L2477" s="131"/>
      <c r="M2477" s="48"/>
      <c r="N2477" s="123"/>
    </row>
    <row r="2478" spans="1:14" customFormat="1" x14ac:dyDescent="0.55000000000000004">
      <c r="A2478" s="111" t="s">
        <v>338</v>
      </c>
      <c r="B2478" t="s">
        <v>160</v>
      </c>
      <c r="C2478" t="s">
        <v>247</v>
      </c>
      <c r="D2478" t="s">
        <v>3288</v>
      </c>
      <c r="E2478" s="116">
        <v>1.0394999999999998E-3</v>
      </c>
      <c r="F2478" s="149" t="s">
        <v>135</v>
      </c>
      <c r="G2478" s="149" t="s">
        <v>135</v>
      </c>
      <c r="H2478" t="s">
        <v>376</v>
      </c>
      <c r="J2478" s="77" t="str">
        <f t="shared" si="10"/>
        <v>[TIMES_SE] Basic Oxygen Furnace</v>
      </c>
      <c r="L2478" s="131"/>
      <c r="M2478" s="48"/>
      <c r="N2478" s="123"/>
    </row>
    <row r="2479" spans="1:14" customFormat="1" x14ac:dyDescent="0.55000000000000004">
      <c r="A2479" s="92" t="s">
        <v>286</v>
      </c>
      <c r="B2479" t="s">
        <v>287</v>
      </c>
      <c r="C2479" t="s">
        <v>121</v>
      </c>
      <c r="D2479" t="s">
        <v>3288</v>
      </c>
      <c r="E2479" s="116">
        <v>1</v>
      </c>
      <c r="F2479" s="149" t="s">
        <v>135</v>
      </c>
      <c r="G2479" s="149">
        <v>1</v>
      </c>
      <c r="H2479" s="68" t="s">
        <v>39</v>
      </c>
      <c r="J2479" s="77" t="str">
        <f t="shared" si="10"/>
        <v>[TIMES_SE] Blast Furnace</v>
      </c>
      <c r="L2479" s="131"/>
      <c r="M2479" s="48"/>
      <c r="N2479" s="123"/>
    </row>
    <row r="2480" spans="1:14" customFormat="1" x14ac:dyDescent="0.55000000000000004">
      <c r="A2480" s="92" t="s">
        <v>286</v>
      </c>
      <c r="B2480" s="21" t="s">
        <v>288</v>
      </c>
      <c r="C2480" t="s">
        <v>156</v>
      </c>
      <c r="D2480" t="s">
        <v>3288</v>
      </c>
      <c r="E2480" s="116">
        <v>0.28000000000000003</v>
      </c>
      <c r="F2480" s="149" t="s">
        <v>135</v>
      </c>
      <c r="G2480" s="149" t="s">
        <v>135</v>
      </c>
      <c r="H2480" s="68" t="s">
        <v>39</v>
      </c>
      <c r="J2480" s="77" t="str">
        <f t="shared" si="10"/>
        <v>[TIMES_SE] Blast Furnace</v>
      </c>
      <c r="L2480" s="131"/>
      <c r="M2480" s="48"/>
      <c r="N2480" s="123"/>
    </row>
    <row r="2481" spans="1:14" customFormat="1" x14ac:dyDescent="0.55000000000000004">
      <c r="A2481" s="92" t="s">
        <v>286</v>
      </c>
      <c r="B2481" s="21" t="s">
        <v>289</v>
      </c>
      <c r="C2481" t="s">
        <v>156</v>
      </c>
      <c r="D2481" t="s">
        <v>2994</v>
      </c>
      <c r="E2481" s="116">
        <f>4.29+0.59</f>
        <v>4.88</v>
      </c>
      <c r="F2481" s="149" t="s">
        <v>138</v>
      </c>
      <c r="G2481" s="149" t="s">
        <v>135</v>
      </c>
      <c r="H2481" s="68" t="s">
        <v>39</v>
      </c>
      <c r="J2481" s="77" t="str">
        <f t="shared" si="10"/>
        <v>[TIMES_SE] Blast Furnace</v>
      </c>
      <c r="L2481" s="131"/>
      <c r="M2481" s="48"/>
      <c r="N2481" s="123"/>
    </row>
    <row r="2482" spans="1:14" customFormat="1" x14ac:dyDescent="0.55000000000000004">
      <c r="A2482" s="92" t="s">
        <v>286</v>
      </c>
      <c r="B2482" t="s">
        <v>290</v>
      </c>
      <c r="C2482" s="21" t="s">
        <v>125</v>
      </c>
      <c r="D2482" t="s">
        <v>3288</v>
      </c>
      <c r="E2482" s="116">
        <f>1/0.6</f>
        <v>1.6666666666666667</v>
      </c>
      <c r="F2482" s="149" t="s">
        <v>135</v>
      </c>
      <c r="G2482" s="149" t="s">
        <v>135</v>
      </c>
      <c r="H2482" s="68" t="s">
        <v>291</v>
      </c>
      <c r="I2482" t="s">
        <v>292</v>
      </c>
      <c r="J2482" s="77" t="str">
        <f t="shared" si="10"/>
        <v>[TIMES_SE] Blast Furnace</v>
      </c>
      <c r="L2482" s="131"/>
      <c r="M2482" s="48"/>
      <c r="N2482" s="123"/>
    </row>
    <row r="2483" spans="1:14" customFormat="1" x14ac:dyDescent="0.55000000000000004">
      <c r="A2483" s="92" t="s">
        <v>286</v>
      </c>
      <c r="B2483" t="s">
        <v>293</v>
      </c>
      <c r="C2483" t="s">
        <v>294</v>
      </c>
      <c r="D2483" t="s">
        <v>2994</v>
      </c>
      <c r="E2483" s="116">
        <v>13.7</v>
      </c>
      <c r="F2483" s="149" t="s">
        <v>138</v>
      </c>
      <c r="G2483" s="149" t="s">
        <v>135</v>
      </c>
      <c r="H2483" s="68" t="s">
        <v>291</v>
      </c>
      <c r="I2483" t="s">
        <v>295</v>
      </c>
      <c r="J2483" s="77" t="str">
        <f t="shared" si="10"/>
        <v>[TIMES_SE] Blast Furnace</v>
      </c>
      <c r="L2483" s="131"/>
      <c r="M2483" s="48"/>
      <c r="N2483" s="123"/>
    </row>
    <row r="2484" spans="1:14" customFormat="1" x14ac:dyDescent="0.55000000000000004">
      <c r="A2484" s="92" t="s">
        <v>286</v>
      </c>
      <c r="B2484" t="s">
        <v>262</v>
      </c>
      <c r="C2484" t="s">
        <v>294</v>
      </c>
      <c r="D2484" t="s">
        <v>2994</v>
      </c>
      <c r="E2484" s="116">
        <v>0</v>
      </c>
      <c r="F2484" s="149" t="s">
        <v>138</v>
      </c>
      <c r="G2484" s="149" t="s">
        <v>135</v>
      </c>
      <c r="H2484" s="68" t="s">
        <v>296</v>
      </c>
      <c r="I2484" t="s">
        <v>295</v>
      </c>
      <c r="J2484" s="77" t="str">
        <f t="shared" si="10"/>
        <v>[TIMES_SE] Blast Furnace</v>
      </c>
      <c r="L2484" s="131"/>
      <c r="M2484" s="48"/>
      <c r="N2484" s="123"/>
    </row>
    <row r="2485" spans="1:14" customFormat="1" x14ac:dyDescent="0.55000000000000004">
      <c r="A2485" s="92" t="s">
        <v>286</v>
      </c>
      <c r="B2485" t="s">
        <v>297</v>
      </c>
      <c r="C2485" t="s">
        <v>294</v>
      </c>
      <c r="D2485" t="s">
        <v>2994</v>
      </c>
      <c r="E2485" s="116">
        <v>0</v>
      </c>
      <c r="F2485" s="149" t="s">
        <v>138</v>
      </c>
      <c r="G2485" s="149" t="s">
        <v>135</v>
      </c>
      <c r="H2485" s="68" t="s">
        <v>296</v>
      </c>
      <c r="I2485" t="s">
        <v>295</v>
      </c>
      <c r="J2485" s="77" t="str">
        <f t="shared" si="10"/>
        <v>[TIMES_SE] Blast Furnace</v>
      </c>
      <c r="L2485" s="131"/>
      <c r="M2485" s="48"/>
      <c r="N2485" s="123"/>
    </row>
    <row r="2486" spans="1:14" customFormat="1" x14ac:dyDescent="0.55000000000000004">
      <c r="A2486" s="92" t="s">
        <v>286</v>
      </c>
      <c r="B2486" t="s">
        <v>213</v>
      </c>
      <c r="C2486" t="s">
        <v>125</v>
      </c>
      <c r="D2486" t="s">
        <v>3289</v>
      </c>
      <c r="E2486" s="116">
        <v>48</v>
      </c>
      <c r="F2486" s="149" t="s">
        <v>133</v>
      </c>
      <c r="G2486" s="149" t="s">
        <v>135</v>
      </c>
      <c r="H2486" s="68" t="s">
        <v>39</v>
      </c>
      <c r="J2486" s="77" t="str">
        <f t="shared" si="10"/>
        <v>[TIMES_SE] Blast Furnace</v>
      </c>
      <c r="L2486" s="131"/>
      <c r="M2486" s="48"/>
      <c r="N2486" s="123"/>
    </row>
    <row r="2487" spans="1:14" customFormat="1" x14ac:dyDescent="0.55000000000000004">
      <c r="A2487" s="92" t="s">
        <v>286</v>
      </c>
      <c r="B2487" t="s">
        <v>131</v>
      </c>
      <c r="C2487" t="s">
        <v>125</v>
      </c>
      <c r="D2487" t="s">
        <v>3288</v>
      </c>
      <c r="E2487" s="116">
        <v>1.2999999999999999E-2</v>
      </c>
      <c r="F2487" s="149" t="s">
        <v>135</v>
      </c>
      <c r="G2487" s="149" t="s">
        <v>135</v>
      </c>
      <c r="H2487" s="68" t="s">
        <v>39</v>
      </c>
      <c r="J2487" s="77" t="str">
        <f t="shared" si="10"/>
        <v>[TIMES_SE] Blast Furnace</v>
      </c>
      <c r="L2487" s="131"/>
      <c r="M2487" s="48"/>
      <c r="N2487" s="123"/>
    </row>
    <row r="2488" spans="1:14" customFormat="1" x14ac:dyDescent="0.55000000000000004">
      <c r="A2488" s="92" t="s">
        <v>286</v>
      </c>
      <c r="B2488" t="s">
        <v>298</v>
      </c>
      <c r="C2488" t="s">
        <v>127</v>
      </c>
      <c r="D2488" t="s">
        <v>2994</v>
      </c>
      <c r="E2488" s="116">
        <v>1.64</v>
      </c>
      <c r="F2488" s="149" t="s">
        <v>138</v>
      </c>
      <c r="G2488" s="149" t="s">
        <v>135</v>
      </c>
      <c r="H2488" s="68" t="s">
        <v>39</v>
      </c>
      <c r="I2488" t="s">
        <v>299</v>
      </c>
      <c r="J2488" s="77" t="str">
        <f t="shared" si="10"/>
        <v>[TIMES_SE] Blast Furnace</v>
      </c>
      <c r="L2488" s="131"/>
      <c r="M2488" s="48"/>
      <c r="N2488" s="123"/>
    </row>
    <row r="2489" spans="1:14" customFormat="1" x14ac:dyDescent="0.55000000000000004">
      <c r="A2489" s="92" t="s">
        <v>286</v>
      </c>
      <c r="B2489" t="s">
        <v>153</v>
      </c>
      <c r="C2489" t="s">
        <v>127</v>
      </c>
      <c r="D2489" t="s">
        <v>2994</v>
      </c>
      <c r="E2489" s="116">
        <v>0.37</v>
      </c>
      <c r="F2489" s="149" t="s">
        <v>138</v>
      </c>
      <c r="G2489" s="149" t="s">
        <v>135</v>
      </c>
      <c r="H2489" s="68" t="s">
        <v>39</v>
      </c>
      <c r="J2489" s="77" t="str">
        <f t="shared" si="10"/>
        <v>[TIMES_SE] Blast Furnace</v>
      </c>
      <c r="L2489" s="131"/>
      <c r="M2489" s="48"/>
      <c r="N2489" s="123"/>
    </row>
    <row r="2490" spans="1:14" customFormat="1" x14ac:dyDescent="0.55000000000000004">
      <c r="A2490" s="92" t="s">
        <v>286</v>
      </c>
      <c r="B2490" t="s">
        <v>160</v>
      </c>
      <c r="C2490" t="s">
        <v>247</v>
      </c>
      <c r="D2490" t="s">
        <v>3288</v>
      </c>
      <c r="E2490" s="116">
        <v>1.47275</v>
      </c>
      <c r="F2490" s="149">
        <v>1</v>
      </c>
      <c r="G2490" s="149" t="s">
        <v>135</v>
      </c>
      <c r="H2490" t="s">
        <v>376</v>
      </c>
      <c r="I2490" t="s">
        <v>2048</v>
      </c>
      <c r="J2490" s="77" t="str">
        <f t="shared" si="10"/>
        <v>[TIMES_SE] Blast Furnace</v>
      </c>
      <c r="L2490" s="131"/>
      <c r="M2490" s="48"/>
      <c r="N2490" s="123"/>
    </row>
    <row r="2491" spans="1:14" customFormat="1" x14ac:dyDescent="0.55000000000000004">
      <c r="A2491" s="92" t="s">
        <v>286</v>
      </c>
      <c r="B2491" t="s">
        <v>160</v>
      </c>
      <c r="C2491" t="s">
        <v>247</v>
      </c>
      <c r="D2491" t="s">
        <v>3288</v>
      </c>
      <c r="E2491" s="116">
        <v>0.11365199999999999</v>
      </c>
      <c r="F2491" s="149">
        <v>1</v>
      </c>
      <c r="G2491" s="149" t="s">
        <v>135</v>
      </c>
      <c r="H2491" t="s">
        <v>376</v>
      </c>
      <c r="I2491" t="s">
        <v>2047</v>
      </c>
      <c r="J2491" s="77" t="str">
        <f t="shared" si="10"/>
        <v>[TIMES_SE] Blast Furnace</v>
      </c>
      <c r="L2491" s="131"/>
      <c r="M2491" s="48"/>
      <c r="N2491" s="123"/>
    </row>
    <row r="2492" spans="1:14" customFormat="1" x14ac:dyDescent="0.55000000000000004">
      <c r="A2492" s="92" t="s">
        <v>300</v>
      </c>
      <c r="B2492" t="s">
        <v>287</v>
      </c>
      <c r="C2492" t="s">
        <v>121</v>
      </c>
      <c r="D2492" t="s">
        <v>3288</v>
      </c>
      <c r="E2492" s="116">
        <v>1</v>
      </c>
      <c r="F2492" s="149" t="s">
        <v>135</v>
      </c>
      <c r="G2492" s="149">
        <v>1</v>
      </c>
      <c r="H2492" s="68"/>
      <c r="J2492" s="77" t="str">
        <f t="shared" si="10"/>
        <v>[TIMES_SE] Blast furnace, w. CCS (PCC MEA)</v>
      </c>
      <c r="L2492" s="131"/>
      <c r="M2492" s="48"/>
      <c r="N2492" s="123"/>
    </row>
    <row r="2493" spans="1:14" customFormat="1" x14ac:dyDescent="0.55000000000000004">
      <c r="A2493" s="92" t="s">
        <v>300</v>
      </c>
      <c r="B2493" s="21" t="s">
        <v>288</v>
      </c>
      <c r="C2493" t="s">
        <v>156</v>
      </c>
      <c r="D2493" t="s">
        <v>3288</v>
      </c>
      <c r="E2493" s="116">
        <v>0.28000000000000003</v>
      </c>
      <c r="F2493" s="149" t="s">
        <v>135</v>
      </c>
      <c r="G2493" s="149" t="s">
        <v>135</v>
      </c>
      <c r="H2493" s="68" t="s">
        <v>39</v>
      </c>
      <c r="J2493" s="77" t="str">
        <f t="shared" si="10"/>
        <v>[TIMES_SE] Blast furnace, w. CCS (PCC MEA)</v>
      </c>
      <c r="L2493" s="131"/>
      <c r="M2493" s="48"/>
      <c r="N2493" s="123"/>
    </row>
    <row r="2494" spans="1:14" customFormat="1" x14ac:dyDescent="0.55000000000000004">
      <c r="A2494" s="92" t="s">
        <v>300</v>
      </c>
      <c r="B2494" s="21" t="s">
        <v>289</v>
      </c>
      <c r="C2494" t="s">
        <v>156</v>
      </c>
      <c r="D2494" t="s">
        <v>2994</v>
      </c>
      <c r="E2494" s="116">
        <f>4.29+0.59</f>
        <v>4.88</v>
      </c>
      <c r="F2494" s="149" t="s">
        <v>138</v>
      </c>
      <c r="G2494" s="149" t="s">
        <v>135</v>
      </c>
      <c r="H2494" s="68" t="s">
        <v>39</v>
      </c>
      <c r="J2494" s="77" t="str">
        <f t="shared" si="10"/>
        <v>[TIMES_SE] Blast furnace, w. CCS (PCC MEA)</v>
      </c>
      <c r="L2494" s="131"/>
      <c r="M2494" s="48"/>
      <c r="N2494" s="123"/>
    </row>
    <row r="2495" spans="1:14" customFormat="1" x14ac:dyDescent="0.55000000000000004">
      <c r="A2495" s="92" t="s">
        <v>300</v>
      </c>
      <c r="B2495" t="s">
        <v>290</v>
      </c>
      <c r="C2495" s="21" t="s">
        <v>125</v>
      </c>
      <c r="D2495" t="s">
        <v>3288</v>
      </c>
      <c r="E2495" s="116">
        <f>1/0.6</f>
        <v>1.6666666666666667</v>
      </c>
      <c r="F2495" s="149" t="s">
        <v>135</v>
      </c>
      <c r="G2495" s="149" t="s">
        <v>135</v>
      </c>
      <c r="H2495" s="68" t="s">
        <v>39</v>
      </c>
      <c r="I2495" t="s">
        <v>292</v>
      </c>
      <c r="J2495" s="77" t="str">
        <f t="shared" si="10"/>
        <v>[TIMES_SE] Blast furnace, w. CCS (PCC MEA)</v>
      </c>
      <c r="L2495" s="131"/>
      <c r="M2495" s="48"/>
      <c r="N2495" s="123"/>
    </row>
    <row r="2496" spans="1:14" customFormat="1" x14ac:dyDescent="0.55000000000000004">
      <c r="A2496" s="92" t="s">
        <v>300</v>
      </c>
      <c r="B2496" t="s">
        <v>293</v>
      </c>
      <c r="C2496" t="s">
        <v>294</v>
      </c>
      <c r="D2496" t="s">
        <v>2994</v>
      </c>
      <c r="E2496" s="116">
        <v>13.7</v>
      </c>
      <c r="F2496" s="149" t="s">
        <v>138</v>
      </c>
      <c r="G2496" s="149" t="s">
        <v>135</v>
      </c>
      <c r="H2496" s="68" t="s">
        <v>301</v>
      </c>
      <c r="I2496" t="s">
        <v>295</v>
      </c>
      <c r="J2496" s="77" t="str">
        <f t="shared" si="10"/>
        <v>[TIMES_SE] Blast furnace, w. CCS (PCC MEA)</v>
      </c>
      <c r="L2496" s="131"/>
      <c r="M2496" s="48"/>
      <c r="N2496" s="123"/>
    </row>
    <row r="2497" spans="1:14" customFormat="1" x14ac:dyDescent="0.55000000000000004">
      <c r="A2497" s="92" t="s">
        <v>300</v>
      </c>
      <c r="B2497" t="s">
        <v>262</v>
      </c>
      <c r="C2497" t="s">
        <v>294</v>
      </c>
      <c r="D2497" t="s">
        <v>2994</v>
      </c>
      <c r="E2497" s="116">
        <v>0</v>
      </c>
      <c r="F2497" s="149" t="s">
        <v>138</v>
      </c>
      <c r="G2497" s="149" t="s">
        <v>135</v>
      </c>
      <c r="H2497" s="68" t="s">
        <v>296</v>
      </c>
      <c r="I2497" t="s">
        <v>295</v>
      </c>
      <c r="J2497" s="77" t="str">
        <f t="shared" si="10"/>
        <v>[TIMES_SE] Blast furnace, w. CCS (PCC MEA)</v>
      </c>
      <c r="L2497" s="131"/>
      <c r="M2497" s="48"/>
      <c r="N2497" s="123"/>
    </row>
    <row r="2498" spans="1:14" customFormat="1" x14ac:dyDescent="0.55000000000000004">
      <c r="A2498" s="92" t="s">
        <v>300</v>
      </c>
      <c r="B2498" t="s">
        <v>297</v>
      </c>
      <c r="C2498" t="s">
        <v>294</v>
      </c>
      <c r="D2498" t="s">
        <v>2994</v>
      </c>
      <c r="E2498" s="116">
        <v>0</v>
      </c>
      <c r="F2498" s="149" t="s">
        <v>138</v>
      </c>
      <c r="G2498" s="149" t="s">
        <v>135</v>
      </c>
      <c r="H2498" s="68" t="s">
        <v>296</v>
      </c>
      <c r="I2498" t="s">
        <v>295</v>
      </c>
      <c r="J2498" s="77" t="str">
        <f t="shared" si="10"/>
        <v>[TIMES_SE] Blast furnace, w. CCS (PCC MEA)</v>
      </c>
      <c r="L2498" s="131"/>
      <c r="M2498" s="48"/>
      <c r="N2498" s="123"/>
    </row>
    <row r="2499" spans="1:14" customFormat="1" x14ac:dyDescent="0.55000000000000004">
      <c r="A2499" s="92" t="s">
        <v>300</v>
      </c>
      <c r="B2499" t="s">
        <v>213</v>
      </c>
      <c r="C2499" t="s">
        <v>125</v>
      </c>
      <c r="D2499" t="s">
        <v>3289</v>
      </c>
      <c r="E2499" s="116">
        <v>48</v>
      </c>
      <c r="F2499" s="149" t="s">
        <v>133</v>
      </c>
      <c r="G2499" s="149" t="s">
        <v>135</v>
      </c>
      <c r="H2499" s="68" t="s">
        <v>39</v>
      </c>
      <c r="J2499" s="77" t="str">
        <f t="shared" si="10"/>
        <v>[TIMES_SE] Blast furnace, w. CCS (PCC MEA)</v>
      </c>
      <c r="L2499" s="131"/>
      <c r="M2499" s="48"/>
      <c r="N2499" s="123"/>
    </row>
    <row r="2500" spans="1:14" customFormat="1" x14ac:dyDescent="0.55000000000000004">
      <c r="A2500" s="92" t="s">
        <v>300</v>
      </c>
      <c r="B2500" t="s">
        <v>131</v>
      </c>
      <c r="C2500" t="s">
        <v>125</v>
      </c>
      <c r="D2500" t="s">
        <v>3288</v>
      </c>
      <c r="E2500" s="116">
        <v>1.2999999999999999E-2</v>
      </c>
      <c r="F2500" s="149" t="s">
        <v>135</v>
      </c>
      <c r="G2500" s="149" t="s">
        <v>135</v>
      </c>
      <c r="H2500" s="68" t="s">
        <v>39</v>
      </c>
      <c r="J2500" s="77" t="str">
        <f t="shared" si="10"/>
        <v>[TIMES_SE] Blast furnace, w. CCS (PCC MEA)</v>
      </c>
      <c r="L2500" s="131"/>
      <c r="M2500" s="48"/>
      <c r="N2500" s="123"/>
    </row>
    <row r="2501" spans="1:14" customFormat="1" x14ac:dyDescent="0.55000000000000004">
      <c r="A2501" s="92" t="s">
        <v>300</v>
      </c>
      <c r="B2501" t="s">
        <v>298</v>
      </c>
      <c r="C2501" t="s">
        <v>127</v>
      </c>
      <c r="D2501" t="s">
        <v>2994</v>
      </c>
      <c r="E2501" s="116">
        <v>1.64</v>
      </c>
      <c r="F2501" s="149" t="s">
        <v>138</v>
      </c>
      <c r="G2501" s="149" t="s">
        <v>135</v>
      </c>
      <c r="H2501" s="68" t="s">
        <v>39</v>
      </c>
      <c r="I2501" t="s">
        <v>299</v>
      </c>
      <c r="J2501" s="77" t="str">
        <f t="shared" si="10"/>
        <v>[TIMES_SE] Blast furnace, w. CCS (PCC MEA)</v>
      </c>
      <c r="L2501" s="131"/>
      <c r="M2501" s="48"/>
      <c r="N2501" s="123"/>
    </row>
    <row r="2502" spans="1:14" customFormat="1" x14ac:dyDescent="0.55000000000000004">
      <c r="A2502" s="92" t="s">
        <v>300</v>
      </c>
      <c r="B2502" t="s">
        <v>188</v>
      </c>
      <c r="C2502" t="s">
        <v>127</v>
      </c>
      <c r="D2502" t="s">
        <v>2994</v>
      </c>
      <c r="E2502" s="116">
        <v>1.3759999999999999</v>
      </c>
      <c r="F2502" s="149" t="s">
        <v>138</v>
      </c>
      <c r="G2502" s="149" t="s">
        <v>135</v>
      </c>
      <c r="H2502" s="68" t="s">
        <v>39</v>
      </c>
      <c r="J2502" s="77" t="str">
        <f t="shared" si="10"/>
        <v>[TIMES_SE] Blast furnace, w. CCS (PCC MEA)</v>
      </c>
      <c r="L2502" s="131"/>
      <c r="M2502" s="48"/>
      <c r="N2502" s="123"/>
    </row>
    <row r="2503" spans="1:14" customFormat="1" x14ac:dyDescent="0.55000000000000004">
      <c r="A2503" s="92" t="s">
        <v>300</v>
      </c>
      <c r="B2503" t="s">
        <v>153</v>
      </c>
      <c r="C2503" t="s">
        <v>127</v>
      </c>
      <c r="D2503" t="s">
        <v>2994</v>
      </c>
      <c r="E2503" s="116">
        <v>0.56999999999999995</v>
      </c>
      <c r="F2503" s="149" t="s">
        <v>138</v>
      </c>
      <c r="G2503" s="149" t="s">
        <v>135</v>
      </c>
      <c r="H2503" s="68" t="s">
        <v>39</v>
      </c>
      <c r="J2503" s="77" t="str">
        <f t="shared" si="10"/>
        <v>[TIMES_SE] Blast furnace, w. CCS (PCC MEA)</v>
      </c>
      <c r="L2503" s="131"/>
      <c r="M2503" s="48"/>
      <c r="N2503" s="123"/>
    </row>
    <row r="2504" spans="1:14" customFormat="1" x14ac:dyDescent="0.55000000000000004">
      <c r="A2504" s="92" t="s">
        <v>300</v>
      </c>
      <c r="B2504" t="s">
        <v>160</v>
      </c>
      <c r="C2504" t="s">
        <v>247</v>
      </c>
      <c r="D2504" t="s">
        <v>3288</v>
      </c>
      <c r="E2504" s="119">
        <f>1.47275*0.1</f>
        <v>0.14727500000000002</v>
      </c>
      <c r="F2504" s="151" t="s">
        <v>135</v>
      </c>
      <c r="G2504" s="149" t="s">
        <v>135</v>
      </c>
      <c r="H2504" s="68" t="s">
        <v>376</v>
      </c>
      <c r="I2504" t="s">
        <v>2049</v>
      </c>
      <c r="J2504" s="74" t="str">
        <f t="shared" si="10"/>
        <v>[TIMES_SE] Blast furnace, w. CCS (PCC MEA)</v>
      </c>
      <c r="L2504" s="160"/>
      <c r="M2504" s="48"/>
      <c r="N2504" s="123"/>
    </row>
    <row r="2505" spans="1:14" customFormat="1" x14ac:dyDescent="0.55000000000000004">
      <c r="A2505" s="92" t="s">
        <v>300</v>
      </c>
      <c r="B2505" t="s">
        <v>160</v>
      </c>
      <c r="C2505" t="s">
        <v>247</v>
      </c>
      <c r="D2505" t="s">
        <v>3288</v>
      </c>
      <c r="E2505" s="119">
        <f>0.113652*0.1</f>
        <v>1.1365200000000001E-2</v>
      </c>
      <c r="F2505" s="151" t="s">
        <v>135</v>
      </c>
      <c r="G2505" s="149" t="s">
        <v>135</v>
      </c>
      <c r="H2505" s="68" t="s">
        <v>376</v>
      </c>
      <c r="I2505" t="s">
        <v>2050</v>
      </c>
      <c r="J2505" s="74" t="str">
        <f t="shared" si="10"/>
        <v>[TIMES_SE] Blast furnace, w. CCS (PCC MEA)</v>
      </c>
      <c r="L2505" s="160"/>
      <c r="M2505" s="48"/>
      <c r="N2505" s="123"/>
    </row>
    <row r="2506" spans="1:14" customFormat="1" x14ac:dyDescent="0.55000000000000004">
      <c r="A2506" s="92" t="s">
        <v>300</v>
      </c>
      <c r="B2506" t="s">
        <v>160</v>
      </c>
      <c r="C2506" t="s">
        <v>247</v>
      </c>
      <c r="D2506" t="s">
        <v>3288</v>
      </c>
      <c r="E2506" s="119">
        <f>0.071552*0.1</f>
        <v>7.1552000000000004E-3</v>
      </c>
      <c r="F2506" s="151" t="s">
        <v>135</v>
      </c>
      <c r="G2506" s="149" t="s">
        <v>135</v>
      </c>
      <c r="H2506" s="68" t="s">
        <v>373</v>
      </c>
      <c r="I2506" t="s">
        <v>2051</v>
      </c>
      <c r="J2506" s="74" t="str">
        <f t="shared" si="10"/>
        <v>[TIMES_SE] Blast furnace, w. CCS (PCC MEA)</v>
      </c>
      <c r="L2506" s="160"/>
      <c r="M2506" s="48"/>
      <c r="N2506" s="123"/>
    </row>
    <row r="2507" spans="1:14" customFormat="1" x14ac:dyDescent="0.55000000000000004">
      <c r="A2507" s="92" t="s">
        <v>300</v>
      </c>
      <c r="B2507" t="s">
        <v>160</v>
      </c>
      <c r="C2507" t="s">
        <v>156</v>
      </c>
      <c r="D2507" t="s">
        <v>3288</v>
      </c>
      <c r="E2507" s="119">
        <f>1.47275*0.9</f>
        <v>1.325475</v>
      </c>
      <c r="F2507" s="151" t="s">
        <v>135</v>
      </c>
      <c r="G2507" s="149" t="s">
        <v>135</v>
      </c>
      <c r="H2507" s="68" t="s">
        <v>376</v>
      </c>
      <c r="I2507" t="s">
        <v>2049</v>
      </c>
      <c r="J2507" s="74" t="str">
        <f t="shared" si="10"/>
        <v>[TIMES_SE] Blast furnace, w. CCS (PCC MEA)</v>
      </c>
      <c r="L2507" s="160"/>
      <c r="M2507" s="48"/>
      <c r="N2507" s="123"/>
    </row>
    <row r="2508" spans="1:14" customFormat="1" x14ac:dyDescent="0.55000000000000004">
      <c r="A2508" s="92" t="s">
        <v>300</v>
      </c>
      <c r="B2508" t="s">
        <v>160</v>
      </c>
      <c r="C2508" t="s">
        <v>156</v>
      </c>
      <c r="D2508" t="s">
        <v>3288</v>
      </c>
      <c r="E2508" s="119">
        <f>0.113652*0.9</f>
        <v>0.10228680000000001</v>
      </c>
      <c r="F2508" s="151" t="s">
        <v>135</v>
      </c>
      <c r="G2508" s="149" t="s">
        <v>135</v>
      </c>
      <c r="H2508" s="68" t="s">
        <v>376</v>
      </c>
      <c r="I2508" t="s">
        <v>2050</v>
      </c>
      <c r="J2508" s="74" t="str">
        <f t="shared" si="10"/>
        <v>[TIMES_SE] Blast furnace, w. CCS (PCC MEA)</v>
      </c>
      <c r="L2508" s="160"/>
      <c r="M2508" s="48"/>
      <c r="N2508" s="123"/>
    </row>
    <row r="2509" spans="1:14" customFormat="1" x14ac:dyDescent="0.55000000000000004">
      <c r="A2509" s="92" t="s">
        <v>300</v>
      </c>
      <c r="B2509" t="s">
        <v>160</v>
      </c>
      <c r="C2509" t="s">
        <v>156</v>
      </c>
      <c r="D2509" t="s">
        <v>3288</v>
      </c>
      <c r="E2509" s="119">
        <f>0.071552*0.9</f>
        <v>6.4396800000000004E-2</v>
      </c>
      <c r="F2509" s="151" t="s">
        <v>135</v>
      </c>
      <c r="G2509" s="149" t="s">
        <v>135</v>
      </c>
      <c r="H2509" s="68" t="s">
        <v>373</v>
      </c>
      <c r="I2509" t="s">
        <v>2051</v>
      </c>
      <c r="J2509" s="74" t="str">
        <f t="shared" si="10"/>
        <v>[TIMES_SE] Blast furnace, w. CCS (PCC MEA)</v>
      </c>
      <c r="L2509" s="160"/>
      <c r="M2509" s="48"/>
      <c r="N2509" s="123"/>
    </row>
    <row r="2510" spans="1:14" customFormat="1" x14ac:dyDescent="0.55000000000000004">
      <c r="A2510" s="92" t="s">
        <v>302</v>
      </c>
      <c r="B2510" t="s">
        <v>287</v>
      </c>
      <c r="C2510" t="s">
        <v>121</v>
      </c>
      <c r="D2510" t="s">
        <v>3288</v>
      </c>
      <c r="E2510" s="116">
        <v>1</v>
      </c>
      <c r="F2510" s="149" t="s">
        <v>135</v>
      </c>
      <c r="G2510" s="149">
        <v>1</v>
      </c>
      <c r="H2510" s="68"/>
      <c r="J2510" s="77" t="str">
        <f t="shared" si="10"/>
        <v>[TIMES_SE] Blast furnace, w. CCS (PCC VPSA)</v>
      </c>
      <c r="L2510" s="131"/>
      <c r="M2510" s="48"/>
      <c r="N2510" s="123"/>
    </row>
    <row r="2511" spans="1:14" customFormat="1" x14ac:dyDescent="0.55000000000000004">
      <c r="A2511" s="92" t="s">
        <v>302</v>
      </c>
      <c r="B2511" s="21" t="s">
        <v>288</v>
      </c>
      <c r="C2511" t="s">
        <v>156</v>
      </c>
      <c r="D2511" t="s">
        <v>3288</v>
      </c>
      <c r="E2511" s="116">
        <v>0.28000000000000003</v>
      </c>
      <c r="F2511" s="149" t="s">
        <v>135</v>
      </c>
      <c r="G2511" s="149" t="s">
        <v>135</v>
      </c>
      <c r="H2511" s="68" t="s">
        <v>39</v>
      </c>
      <c r="J2511" s="77" t="str">
        <f t="shared" si="10"/>
        <v>[TIMES_SE] Blast furnace, w. CCS (PCC VPSA)</v>
      </c>
      <c r="L2511" s="131"/>
      <c r="M2511" s="48"/>
      <c r="N2511" s="123"/>
    </row>
    <row r="2512" spans="1:14" customFormat="1" x14ac:dyDescent="0.55000000000000004">
      <c r="A2512" s="92" t="s">
        <v>302</v>
      </c>
      <c r="B2512" s="21" t="s">
        <v>289</v>
      </c>
      <c r="C2512" t="s">
        <v>156</v>
      </c>
      <c r="D2512" t="s">
        <v>2994</v>
      </c>
      <c r="E2512" s="116">
        <f>4.29+0.59</f>
        <v>4.88</v>
      </c>
      <c r="F2512" s="149" t="s">
        <v>138</v>
      </c>
      <c r="G2512" s="149" t="s">
        <v>135</v>
      </c>
      <c r="H2512" s="68" t="s">
        <v>39</v>
      </c>
      <c r="J2512" s="77" t="str">
        <f t="shared" si="10"/>
        <v>[TIMES_SE] Blast furnace, w. CCS (PCC VPSA)</v>
      </c>
      <c r="L2512" s="131"/>
      <c r="M2512" s="48"/>
      <c r="N2512" s="123"/>
    </row>
    <row r="2513" spans="1:14" customFormat="1" x14ac:dyDescent="0.55000000000000004">
      <c r="A2513" s="92" t="s">
        <v>302</v>
      </c>
      <c r="B2513" t="s">
        <v>290</v>
      </c>
      <c r="C2513" s="21" t="s">
        <v>125</v>
      </c>
      <c r="D2513" t="s">
        <v>3288</v>
      </c>
      <c r="E2513" s="116">
        <f>1/0.6</f>
        <v>1.6666666666666667</v>
      </c>
      <c r="F2513" s="149" t="s">
        <v>135</v>
      </c>
      <c r="G2513" s="149" t="s">
        <v>135</v>
      </c>
      <c r="H2513" s="68" t="s">
        <v>39</v>
      </c>
      <c r="I2513" t="s">
        <v>292</v>
      </c>
      <c r="J2513" s="77" t="str">
        <f t="shared" si="10"/>
        <v>[TIMES_SE] Blast furnace, w. CCS (PCC VPSA)</v>
      </c>
      <c r="L2513" s="131"/>
      <c r="M2513" s="48"/>
      <c r="N2513" s="123"/>
    </row>
    <row r="2514" spans="1:14" customFormat="1" x14ac:dyDescent="0.55000000000000004">
      <c r="A2514" s="92" t="s">
        <v>302</v>
      </c>
      <c r="B2514" t="s">
        <v>293</v>
      </c>
      <c r="C2514" t="s">
        <v>294</v>
      </c>
      <c r="D2514" t="s">
        <v>2994</v>
      </c>
      <c r="E2514" s="116">
        <v>13.7</v>
      </c>
      <c r="F2514" s="149" t="s">
        <v>138</v>
      </c>
      <c r="G2514" s="149" t="s">
        <v>135</v>
      </c>
      <c r="H2514" s="68" t="s">
        <v>301</v>
      </c>
      <c r="I2514" t="s">
        <v>295</v>
      </c>
      <c r="J2514" s="77" t="str">
        <f t="shared" si="10"/>
        <v>[TIMES_SE] Blast furnace, w. CCS (PCC VPSA)</v>
      </c>
      <c r="L2514" s="131"/>
      <c r="M2514" s="48"/>
      <c r="N2514" s="123"/>
    </row>
    <row r="2515" spans="1:14" customFormat="1" x14ac:dyDescent="0.55000000000000004">
      <c r="A2515" s="92" t="s">
        <v>302</v>
      </c>
      <c r="B2515" t="s">
        <v>262</v>
      </c>
      <c r="C2515" t="s">
        <v>294</v>
      </c>
      <c r="D2515" t="s">
        <v>2994</v>
      </c>
      <c r="E2515" s="116">
        <v>0</v>
      </c>
      <c r="F2515" s="149" t="s">
        <v>138</v>
      </c>
      <c r="G2515" s="149" t="s">
        <v>135</v>
      </c>
      <c r="H2515" s="68" t="s">
        <v>296</v>
      </c>
      <c r="I2515" t="s">
        <v>295</v>
      </c>
      <c r="J2515" s="77" t="str">
        <f t="shared" si="10"/>
        <v>[TIMES_SE] Blast furnace, w. CCS (PCC VPSA)</v>
      </c>
      <c r="L2515" s="131"/>
      <c r="M2515" s="48"/>
      <c r="N2515" s="123"/>
    </row>
    <row r="2516" spans="1:14" customFormat="1" x14ac:dyDescent="0.55000000000000004">
      <c r="A2516" s="92" t="s">
        <v>302</v>
      </c>
      <c r="B2516" t="s">
        <v>297</v>
      </c>
      <c r="C2516" t="s">
        <v>294</v>
      </c>
      <c r="D2516" t="s">
        <v>2994</v>
      </c>
      <c r="E2516" s="116">
        <v>0</v>
      </c>
      <c r="F2516" s="149" t="s">
        <v>138</v>
      </c>
      <c r="G2516" s="149" t="s">
        <v>135</v>
      </c>
      <c r="H2516" s="68" t="s">
        <v>296</v>
      </c>
      <c r="I2516" t="s">
        <v>295</v>
      </c>
      <c r="J2516" s="77" t="str">
        <f t="shared" si="10"/>
        <v>[TIMES_SE] Blast furnace, w. CCS (PCC VPSA)</v>
      </c>
      <c r="L2516" s="131"/>
      <c r="M2516" s="48"/>
      <c r="N2516" s="123"/>
    </row>
    <row r="2517" spans="1:14" customFormat="1" x14ac:dyDescent="0.55000000000000004">
      <c r="A2517" s="92" t="s">
        <v>302</v>
      </c>
      <c r="B2517" t="s">
        <v>213</v>
      </c>
      <c r="C2517" t="s">
        <v>125</v>
      </c>
      <c r="D2517" t="s">
        <v>3289</v>
      </c>
      <c r="E2517" s="116">
        <v>48</v>
      </c>
      <c r="F2517" s="149" t="s">
        <v>133</v>
      </c>
      <c r="G2517" s="149" t="s">
        <v>135</v>
      </c>
      <c r="H2517" s="68" t="s">
        <v>39</v>
      </c>
      <c r="J2517" s="77" t="str">
        <f t="shared" si="10"/>
        <v>[TIMES_SE] Blast furnace, w. CCS (PCC VPSA)</v>
      </c>
      <c r="L2517" s="131"/>
      <c r="M2517" s="48"/>
      <c r="N2517" s="123"/>
    </row>
    <row r="2518" spans="1:14" customFormat="1" x14ac:dyDescent="0.55000000000000004">
      <c r="A2518" s="92" t="s">
        <v>302</v>
      </c>
      <c r="B2518" t="s">
        <v>131</v>
      </c>
      <c r="C2518" t="s">
        <v>125</v>
      </c>
      <c r="D2518" t="s">
        <v>3288</v>
      </c>
      <c r="E2518" s="116">
        <v>1.2999999999999999E-2</v>
      </c>
      <c r="F2518" s="149" t="s">
        <v>135</v>
      </c>
      <c r="G2518" s="149" t="s">
        <v>135</v>
      </c>
      <c r="H2518" s="68" t="s">
        <v>39</v>
      </c>
      <c r="J2518" s="77" t="str">
        <f t="shared" si="10"/>
        <v>[TIMES_SE] Blast furnace, w. CCS (PCC VPSA)</v>
      </c>
      <c r="L2518" s="131"/>
      <c r="M2518" s="48"/>
      <c r="N2518" s="123"/>
    </row>
    <row r="2519" spans="1:14" customFormat="1" x14ac:dyDescent="0.55000000000000004">
      <c r="A2519" s="92" t="s">
        <v>302</v>
      </c>
      <c r="B2519" t="s">
        <v>298</v>
      </c>
      <c r="C2519" t="s">
        <v>127</v>
      </c>
      <c r="D2519" t="s">
        <v>2994</v>
      </c>
      <c r="E2519" s="116">
        <v>1.64</v>
      </c>
      <c r="F2519" s="149" t="s">
        <v>138</v>
      </c>
      <c r="G2519" s="149" t="s">
        <v>135</v>
      </c>
      <c r="H2519" s="68" t="s">
        <v>39</v>
      </c>
      <c r="I2519" t="s">
        <v>299</v>
      </c>
      <c r="J2519" s="77" t="str">
        <f t="shared" si="10"/>
        <v>[TIMES_SE] Blast furnace, w. CCS (PCC VPSA)</v>
      </c>
      <c r="L2519" s="131"/>
      <c r="M2519" s="48"/>
      <c r="N2519" s="123"/>
    </row>
    <row r="2520" spans="1:14" customFormat="1" x14ac:dyDescent="0.55000000000000004">
      <c r="A2520" s="92" t="s">
        <v>302</v>
      </c>
      <c r="B2520" t="s">
        <v>153</v>
      </c>
      <c r="C2520" t="s">
        <v>127</v>
      </c>
      <c r="D2520" t="s">
        <v>2994</v>
      </c>
      <c r="E2520" s="116">
        <v>0.79200000000000004</v>
      </c>
      <c r="F2520" s="149" t="s">
        <v>138</v>
      </c>
      <c r="G2520" s="149" t="s">
        <v>135</v>
      </c>
      <c r="H2520" s="68" t="s">
        <v>39</v>
      </c>
      <c r="J2520" s="77" t="str">
        <f t="shared" si="10"/>
        <v>[TIMES_SE] Blast furnace, w. CCS (PCC VPSA)</v>
      </c>
      <c r="L2520" s="131"/>
      <c r="M2520" s="48"/>
      <c r="N2520" s="123"/>
    </row>
    <row r="2521" spans="1:14" customFormat="1" x14ac:dyDescent="0.55000000000000004">
      <c r="A2521" s="92" t="s">
        <v>302</v>
      </c>
      <c r="B2521" t="s">
        <v>160</v>
      </c>
      <c r="C2521" t="s">
        <v>247</v>
      </c>
      <c r="D2521" t="s">
        <v>3288</v>
      </c>
      <c r="E2521" s="119">
        <f>1.47275*(1-0.9)</f>
        <v>0.14727499999999996</v>
      </c>
      <c r="F2521" s="151" t="s">
        <v>135</v>
      </c>
      <c r="G2521" s="149" t="s">
        <v>135</v>
      </c>
      <c r="H2521" s="68" t="s">
        <v>376</v>
      </c>
      <c r="I2521" t="s">
        <v>2049</v>
      </c>
      <c r="J2521" s="74" t="str">
        <f t="shared" si="10"/>
        <v>[TIMES_SE] Blast furnace, w. CCS (PCC VPSA)</v>
      </c>
      <c r="L2521" s="160"/>
      <c r="M2521" s="48"/>
      <c r="N2521" s="123"/>
    </row>
    <row r="2522" spans="1:14" customFormat="1" x14ac:dyDescent="0.55000000000000004">
      <c r="A2522" s="92" t="s">
        <v>302</v>
      </c>
      <c r="B2522" t="s">
        <v>160</v>
      </c>
      <c r="C2522" t="s">
        <v>247</v>
      </c>
      <c r="D2522" t="s">
        <v>3288</v>
      </c>
      <c r="E2522" s="119">
        <f>0.113652*(1-0.9)</f>
        <v>1.1365199999999997E-2</v>
      </c>
      <c r="F2522" s="151" t="s">
        <v>135</v>
      </c>
      <c r="G2522" s="149" t="s">
        <v>135</v>
      </c>
      <c r="H2522" s="68" t="s">
        <v>376</v>
      </c>
      <c r="I2522" t="s">
        <v>2050</v>
      </c>
      <c r="J2522" s="74" t="str">
        <f t="shared" si="10"/>
        <v>[TIMES_SE] Blast furnace, w. CCS (PCC VPSA)</v>
      </c>
      <c r="L2522" s="160"/>
      <c r="M2522" s="48"/>
      <c r="N2522" s="123"/>
    </row>
    <row r="2523" spans="1:14" customFormat="1" x14ac:dyDescent="0.55000000000000004">
      <c r="A2523" s="92" t="s">
        <v>302</v>
      </c>
      <c r="B2523" t="s">
        <v>160</v>
      </c>
      <c r="C2523" t="s">
        <v>156</v>
      </c>
      <c r="D2523" t="s">
        <v>3288</v>
      </c>
      <c r="E2523" s="119">
        <f>1.47275*0.9</f>
        <v>1.325475</v>
      </c>
      <c r="F2523" s="151" t="s">
        <v>135</v>
      </c>
      <c r="G2523" s="149" t="s">
        <v>135</v>
      </c>
      <c r="H2523" s="68" t="s">
        <v>376</v>
      </c>
      <c r="I2523" t="s">
        <v>2049</v>
      </c>
      <c r="J2523" s="74" t="str">
        <f t="shared" si="10"/>
        <v>[TIMES_SE] Blast furnace, w. CCS (PCC VPSA)</v>
      </c>
      <c r="L2523" s="160"/>
      <c r="M2523" s="48"/>
      <c r="N2523" s="123"/>
    </row>
    <row r="2524" spans="1:14" customFormat="1" x14ac:dyDescent="0.55000000000000004">
      <c r="A2524" s="92" t="s">
        <v>302</v>
      </c>
      <c r="B2524" t="s">
        <v>160</v>
      </c>
      <c r="C2524" t="s">
        <v>156</v>
      </c>
      <c r="D2524" t="s">
        <v>3288</v>
      </c>
      <c r="E2524" s="119">
        <f>0.113652*0.9</f>
        <v>0.10228680000000001</v>
      </c>
      <c r="F2524" s="151" t="s">
        <v>135</v>
      </c>
      <c r="G2524" s="149" t="s">
        <v>135</v>
      </c>
      <c r="H2524" s="68" t="s">
        <v>376</v>
      </c>
      <c r="I2524" t="s">
        <v>2050</v>
      </c>
      <c r="J2524" s="74" t="str">
        <f t="shared" si="10"/>
        <v>[TIMES_SE] Blast furnace, w. CCS (PCC VPSA)</v>
      </c>
      <c r="L2524" s="160"/>
      <c r="M2524" s="48"/>
      <c r="N2524" s="123"/>
    </row>
    <row r="2525" spans="1:14" customFormat="1" x14ac:dyDescent="0.55000000000000004">
      <c r="A2525" s="107" t="s">
        <v>258</v>
      </c>
      <c r="B2525" s="68" t="s">
        <v>134</v>
      </c>
      <c r="C2525" s="68" t="s">
        <v>121</v>
      </c>
      <c r="D2525" s="68" t="s">
        <v>3288</v>
      </c>
      <c r="E2525" s="120">
        <v>1</v>
      </c>
      <c r="F2525" s="151" t="s">
        <v>135</v>
      </c>
      <c r="G2525" s="151">
        <v>1</v>
      </c>
      <c r="H2525" s="68"/>
      <c r="J2525" s="74" t="str">
        <f t="shared" si="10"/>
        <v>[TIMES_SE] Cement clinker kiln</v>
      </c>
      <c r="L2525" s="160" t="s">
        <v>241</v>
      </c>
      <c r="M2525" s="48"/>
      <c r="N2525" s="123"/>
    </row>
    <row r="2526" spans="1:14" customFormat="1" x14ac:dyDescent="0.55000000000000004">
      <c r="A2526" s="107" t="s">
        <v>258</v>
      </c>
      <c r="B2526" s="68" t="s">
        <v>131</v>
      </c>
      <c r="C2526" t="s">
        <v>207</v>
      </c>
      <c r="D2526" s="68" t="s">
        <v>3288</v>
      </c>
      <c r="E2526" s="120">
        <f>AVERAGE(0.8,1.6)</f>
        <v>1.2000000000000002</v>
      </c>
      <c r="F2526" s="151" t="s">
        <v>135</v>
      </c>
      <c r="G2526" s="151" t="s">
        <v>135</v>
      </c>
      <c r="H2526" s="68" t="s">
        <v>242</v>
      </c>
      <c r="I2526" t="s">
        <v>1244</v>
      </c>
      <c r="J2526" s="74" t="str">
        <f t="shared" si="10"/>
        <v>[TIMES_SE] Cement clinker kiln</v>
      </c>
      <c r="L2526" s="163"/>
      <c r="M2526" s="48"/>
      <c r="N2526" s="123"/>
    </row>
    <row r="2527" spans="1:14" customFormat="1" x14ac:dyDescent="0.55000000000000004">
      <c r="A2527" s="107" t="s">
        <v>258</v>
      </c>
      <c r="B2527" s="68" t="s">
        <v>238</v>
      </c>
      <c r="C2527" t="s">
        <v>207</v>
      </c>
      <c r="D2527" s="68" t="s">
        <v>3288</v>
      </c>
      <c r="E2527" s="120">
        <f>1.6-E2526</f>
        <v>0.39999999999999991</v>
      </c>
      <c r="F2527" s="151" t="s">
        <v>135</v>
      </c>
      <c r="G2527" s="151" t="s">
        <v>135</v>
      </c>
      <c r="H2527" s="68" t="s">
        <v>243</v>
      </c>
      <c r="I2527" t="s">
        <v>535</v>
      </c>
      <c r="J2527" s="74" t="str">
        <f t="shared" si="10"/>
        <v>[TIMES_SE] Cement clinker kiln</v>
      </c>
      <c r="L2527" s="163"/>
      <c r="M2527" s="48"/>
      <c r="N2527" s="123"/>
    </row>
    <row r="2528" spans="1:14" customFormat="1" x14ac:dyDescent="0.55000000000000004">
      <c r="A2528" s="107" t="s">
        <v>258</v>
      </c>
      <c r="B2528" s="68" t="s">
        <v>244</v>
      </c>
      <c r="C2528" s="68" t="s">
        <v>127</v>
      </c>
      <c r="D2528" s="68" t="s">
        <v>2994</v>
      </c>
      <c r="E2528" s="120">
        <f>3.28*0.65</f>
        <v>2.1320000000000001</v>
      </c>
      <c r="F2528" s="151" t="s">
        <v>138</v>
      </c>
      <c r="G2528" s="151" t="s">
        <v>135</v>
      </c>
      <c r="H2528" s="68" t="s">
        <v>250</v>
      </c>
      <c r="I2528" t="s">
        <v>1245</v>
      </c>
      <c r="J2528" s="74" t="str">
        <f t="shared" si="10"/>
        <v>[TIMES_SE] Cement clinker kiln</v>
      </c>
      <c r="L2528" s="163"/>
      <c r="M2528" s="48"/>
      <c r="N2528" s="123"/>
    </row>
    <row r="2529" spans="1:14" customFormat="1" x14ac:dyDescent="0.55000000000000004">
      <c r="A2529" s="107" t="s">
        <v>258</v>
      </c>
      <c r="B2529" s="68" t="s">
        <v>137</v>
      </c>
      <c r="C2529" s="68" t="s">
        <v>127</v>
      </c>
      <c r="D2529" s="68" t="s">
        <v>2994</v>
      </c>
      <c r="E2529" s="120">
        <f>3.28-E2528</f>
        <v>1.1479999999999997</v>
      </c>
      <c r="F2529" s="151" t="s">
        <v>138</v>
      </c>
      <c r="G2529" s="151" t="s">
        <v>135</v>
      </c>
      <c r="H2529" s="68" t="s">
        <v>246</v>
      </c>
      <c r="I2529" t="s">
        <v>1246</v>
      </c>
      <c r="J2529" s="74" t="str">
        <f t="shared" si="10"/>
        <v>[TIMES_SE] Cement clinker kiln</v>
      </c>
      <c r="L2529" s="163"/>
      <c r="M2529" s="48"/>
      <c r="N2529" s="123"/>
    </row>
    <row r="2530" spans="1:14" customFormat="1" x14ac:dyDescent="0.55000000000000004">
      <c r="A2530" s="107" t="s">
        <v>258</v>
      </c>
      <c r="B2530" s="68" t="s">
        <v>153</v>
      </c>
      <c r="C2530" s="68" t="s">
        <v>127</v>
      </c>
      <c r="D2530" s="68" t="s">
        <v>2994</v>
      </c>
      <c r="E2530" s="120">
        <v>0.23</v>
      </c>
      <c r="F2530" s="151" t="s">
        <v>138</v>
      </c>
      <c r="G2530" s="151" t="s">
        <v>135</v>
      </c>
      <c r="H2530" s="68" t="s">
        <v>39</v>
      </c>
      <c r="J2530" s="74" t="str">
        <f t="shared" si="10"/>
        <v>[TIMES_SE] Cement clinker kiln</v>
      </c>
      <c r="L2530" s="163"/>
      <c r="M2530" s="48"/>
      <c r="N2530" s="123"/>
    </row>
    <row r="2531" spans="1:14" customFormat="1" x14ac:dyDescent="0.55000000000000004">
      <c r="A2531" s="107" t="s">
        <v>258</v>
      </c>
      <c r="B2531" s="68" t="s">
        <v>160</v>
      </c>
      <c r="C2531" t="s">
        <v>247</v>
      </c>
      <c r="D2531" s="68" t="s">
        <v>3288</v>
      </c>
      <c r="E2531" s="119">
        <v>0.20893600000000001</v>
      </c>
      <c r="F2531" s="151" t="s">
        <v>135</v>
      </c>
      <c r="G2531" s="151" t="s">
        <v>135</v>
      </c>
      <c r="H2531" s="68" t="s">
        <v>413</v>
      </c>
      <c r="I2531" t="s">
        <v>2043</v>
      </c>
      <c r="J2531" s="74" t="str">
        <f t="shared" si="10"/>
        <v>[TIMES_SE] Cement clinker kiln</v>
      </c>
      <c r="L2531" s="163"/>
      <c r="M2531" s="48"/>
      <c r="N2531" s="123"/>
    </row>
    <row r="2532" spans="1:14" customFormat="1" x14ac:dyDescent="0.55000000000000004">
      <c r="A2532" s="107" t="s">
        <v>258</v>
      </c>
      <c r="B2532" s="68" t="s">
        <v>160</v>
      </c>
      <c r="C2532" t="s">
        <v>247</v>
      </c>
      <c r="D2532" s="68" t="s">
        <v>3288</v>
      </c>
      <c r="E2532" s="119">
        <v>5.9695999999999985E-2</v>
      </c>
      <c r="F2532" s="151" t="s">
        <v>135</v>
      </c>
      <c r="G2532" s="151" t="s">
        <v>135</v>
      </c>
      <c r="H2532" s="68" t="s">
        <v>373</v>
      </c>
      <c r="I2532" t="s">
        <v>2012</v>
      </c>
      <c r="J2532" s="74" t="str">
        <f t="shared" si="10"/>
        <v>[TIMES_SE] Cement clinker kiln</v>
      </c>
      <c r="L2532" s="163"/>
      <c r="M2532" s="48"/>
      <c r="N2532" s="123"/>
    </row>
    <row r="2533" spans="1:14" customFormat="1" x14ac:dyDescent="0.55000000000000004">
      <c r="A2533" s="107" t="s">
        <v>257</v>
      </c>
      <c r="B2533" s="68" t="s">
        <v>134</v>
      </c>
      <c r="C2533" s="68" t="s">
        <v>121</v>
      </c>
      <c r="D2533" s="68" t="s">
        <v>3288</v>
      </c>
      <c r="E2533" s="120">
        <v>1</v>
      </c>
      <c r="F2533" s="151" t="s">
        <v>135</v>
      </c>
      <c r="G2533" s="151">
        <v>1</v>
      </c>
      <c r="H2533" s="68"/>
      <c r="J2533" s="74" t="str">
        <f t="shared" si="10"/>
        <v>[TIMES_SE] Cement clinker kiln plasma</v>
      </c>
      <c r="L2533" s="160" t="s">
        <v>241</v>
      </c>
      <c r="M2533" s="48"/>
      <c r="N2533" s="123"/>
    </row>
    <row r="2534" spans="1:14" customFormat="1" x14ac:dyDescent="0.55000000000000004">
      <c r="A2534" s="107" t="s">
        <v>257</v>
      </c>
      <c r="B2534" s="68" t="s">
        <v>131</v>
      </c>
      <c r="C2534" t="s">
        <v>207</v>
      </c>
      <c r="D2534" s="68" t="s">
        <v>3288</v>
      </c>
      <c r="E2534" s="120">
        <f>AVERAGE(0.8,1.6)</f>
        <v>1.2000000000000002</v>
      </c>
      <c r="F2534" s="151" t="s">
        <v>135</v>
      </c>
      <c r="G2534" s="151" t="s">
        <v>135</v>
      </c>
      <c r="H2534" s="68" t="s">
        <v>242</v>
      </c>
      <c r="I2534" t="s">
        <v>1244</v>
      </c>
      <c r="J2534" s="74" t="str">
        <f t="shared" si="10"/>
        <v>[TIMES_SE] Cement clinker kiln plasma</v>
      </c>
      <c r="L2534" s="163"/>
      <c r="M2534" s="48"/>
      <c r="N2534" s="123"/>
    </row>
    <row r="2535" spans="1:14" customFormat="1" x14ac:dyDescent="0.55000000000000004">
      <c r="A2535" s="107" t="s">
        <v>257</v>
      </c>
      <c r="B2535" s="68" t="s">
        <v>238</v>
      </c>
      <c r="C2535" t="s">
        <v>207</v>
      </c>
      <c r="D2535" s="68" t="s">
        <v>3288</v>
      </c>
      <c r="E2535" s="120">
        <f>1.6-E2534</f>
        <v>0.39999999999999991</v>
      </c>
      <c r="F2535" s="151" t="s">
        <v>135</v>
      </c>
      <c r="G2535" s="151" t="s">
        <v>135</v>
      </c>
      <c r="H2535" s="68" t="s">
        <v>243</v>
      </c>
      <c r="J2535" s="74" t="str">
        <f t="shared" si="10"/>
        <v>[TIMES_SE] Cement clinker kiln plasma</v>
      </c>
      <c r="L2535" s="163"/>
      <c r="M2535" s="48"/>
      <c r="N2535" s="123"/>
    </row>
    <row r="2536" spans="1:14" customFormat="1" x14ac:dyDescent="0.55000000000000004">
      <c r="A2536" s="107" t="s">
        <v>257</v>
      </c>
      <c r="B2536" s="68" t="s">
        <v>153</v>
      </c>
      <c r="C2536" s="68" t="s">
        <v>127</v>
      </c>
      <c r="D2536" s="68" t="s">
        <v>2994</v>
      </c>
      <c r="E2536" s="120">
        <v>4.8959999999999999</v>
      </c>
      <c r="F2536" s="151" t="s">
        <v>138</v>
      </c>
      <c r="G2536" s="151" t="s">
        <v>135</v>
      </c>
      <c r="H2536" s="68" t="s">
        <v>39</v>
      </c>
      <c r="J2536" s="74" t="str">
        <f t="shared" si="10"/>
        <v>[TIMES_SE] Cement clinker kiln plasma</v>
      </c>
      <c r="L2536" s="163"/>
      <c r="M2536" s="48"/>
      <c r="N2536" s="123"/>
    </row>
    <row r="2537" spans="1:14" customFormat="1" x14ac:dyDescent="0.55000000000000004">
      <c r="A2537" s="107" t="s">
        <v>257</v>
      </c>
      <c r="B2537" s="68" t="s">
        <v>160</v>
      </c>
      <c r="C2537" t="s">
        <v>247</v>
      </c>
      <c r="D2537" s="68" t="s">
        <v>3288</v>
      </c>
      <c r="E2537" s="119">
        <v>0</v>
      </c>
      <c r="F2537" s="151" t="s">
        <v>135</v>
      </c>
      <c r="G2537" s="151" t="s">
        <v>135</v>
      </c>
      <c r="H2537" s="68" t="s">
        <v>39</v>
      </c>
      <c r="J2537" s="74" t="str">
        <f t="shared" ref="J2537:J2600" si="11">A2537</f>
        <v>[TIMES_SE] Cement clinker kiln plasma</v>
      </c>
      <c r="L2537" s="163"/>
      <c r="M2537" s="48"/>
      <c r="N2537" s="123"/>
    </row>
    <row r="2538" spans="1:14" customFormat="1" x14ac:dyDescent="0.55000000000000004">
      <c r="A2538" s="107" t="s">
        <v>256</v>
      </c>
      <c r="B2538" s="68" t="s">
        <v>134</v>
      </c>
      <c r="C2538" s="68" t="s">
        <v>121</v>
      </c>
      <c r="D2538" s="68" t="s">
        <v>3288</v>
      </c>
      <c r="E2538" s="120">
        <v>1</v>
      </c>
      <c r="F2538" s="151" t="s">
        <v>135</v>
      </c>
      <c r="G2538" s="151">
        <v>1</v>
      </c>
      <c r="H2538" s="68" t="s">
        <v>39</v>
      </c>
      <c r="J2538" s="74" t="str">
        <f t="shared" si="11"/>
        <v>[TIMES_SE] Cement clinker kiln, chilled NH3 CCS</v>
      </c>
      <c r="L2538" s="160" t="s">
        <v>241</v>
      </c>
      <c r="M2538" s="48"/>
      <c r="N2538" s="123"/>
    </row>
    <row r="2539" spans="1:14" customFormat="1" x14ac:dyDescent="0.55000000000000004">
      <c r="A2539" s="107" t="s">
        <v>256</v>
      </c>
      <c r="B2539" s="68" t="s">
        <v>131</v>
      </c>
      <c r="C2539" t="s">
        <v>207</v>
      </c>
      <c r="D2539" s="68" t="s">
        <v>3288</v>
      </c>
      <c r="E2539" s="120">
        <f>AVERAGE(0.8,1.6)</f>
        <v>1.2000000000000002</v>
      </c>
      <c r="F2539" s="151" t="s">
        <v>135</v>
      </c>
      <c r="G2539" s="151">
        <v>1</v>
      </c>
      <c r="H2539" s="68" t="s">
        <v>242</v>
      </c>
      <c r="I2539" t="s">
        <v>1244</v>
      </c>
      <c r="J2539" s="74" t="str">
        <f t="shared" si="11"/>
        <v>[TIMES_SE] Cement clinker kiln, chilled NH3 CCS</v>
      </c>
      <c r="L2539" s="163"/>
      <c r="M2539" s="48"/>
      <c r="N2539" s="123"/>
    </row>
    <row r="2540" spans="1:14" customFormat="1" x14ac:dyDescent="0.55000000000000004">
      <c r="A2540" s="107" t="s">
        <v>256</v>
      </c>
      <c r="B2540" s="68" t="s">
        <v>238</v>
      </c>
      <c r="C2540" t="s">
        <v>207</v>
      </c>
      <c r="D2540" s="68" t="s">
        <v>3288</v>
      </c>
      <c r="E2540" s="120">
        <f>1.6-E2539</f>
        <v>0.39999999999999991</v>
      </c>
      <c r="F2540" s="151" t="s">
        <v>135</v>
      </c>
      <c r="G2540" s="151">
        <v>1</v>
      </c>
      <c r="H2540" s="68" t="s">
        <v>243</v>
      </c>
      <c r="I2540" t="s">
        <v>535</v>
      </c>
      <c r="J2540" s="74" t="str">
        <f t="shared" si="11"/>
        <v>[TIMES_SE] Cement clinker kiln, chilled NH3 CCS</v>
      </c>
      <c r="L2540" s="163"/>
      <c r="M2540" s="48"/>
      <c r="N2540" s="123"/>
    </row>
    <row r="2541" spans="1:14" customFormat="1" x14ac:dyDescent="0.55000000000000004">
      <c r="A2541" s="107" t="s">
        <v>256</v>
      </c>
      <c r="B2541" s="68" t="s">
        <v>244</v>
      </c>
      <c r="C2541" s="68" t="s">
        <v>127</v>
      </c>
      <c r="D2541" s="68" t="s">
        <v>2994</v>
      </c>
      <c r="E2541" s="120">
        <f>3.28*0.65</f>
        <v>2.1320000000000001</v>
      </c>
      <c r="F2541" s="151" t="s">
        <v>138</v>
      </c>
      <c r="G2541" s="151">
        <v>1</v>
      </c>
      <c r="H2541" s="68" t="s">
        <v>250</v>
      </c>
      <c r="I2541" t="s">
        <v>1245</v>
      </c>
      <c r="J2541" s="74" t="str">
        <f t="shared" si="11"/>
        <v>[TIMES_SE] Cement clinker kiln, chilled NH3 CCS</v>
      </c>
      <c r="L2541" s="163"/>
      <c r="M2541" s="48"/>
      <c r="N2541" s="123"/>
    </row>
    <row r="2542" spans="1:14" customFormat="1" x14ac:dyDescent="0.55000000000000004">
      <c r="A2542" s="107" t="s">
        <v>256</v>
      </c>
      <c r="B2542" s="68" t="s">
        <v>137</v>
      </c>
      <c r="C2542" s="68" t="s">
        <v>127</v>
      </c>
      <c r="D2542" s="68" t="s">
        <v>2994</v>
      </c>
      <c r="E2542" s="120">
        <f>3.28-E2541</f>
        <v>1.1479999999999997</v>
      </c>
      <c r="F2542" s="151" t="s">
        <v>138</v>
      </c>
      <c r="G2542" s="151">
        <v>1</v>
      </c>
      <c r="H2542" s="68" t="s">
        <v>246</v>
      </c>
      <c r="I2542" t="s">
        <v>1246</v>
      </c>
      <c r="J2542" s="74" t="str">
        <f t="shared" si="11"/>
        <v>[TIMES_SE] Cement clinker kiln, chilled NH3 CCS</v>
      </c>
      <c r="L2542" s="163"/>
      <c r="M2542" s="48"/>
      <c r="N2542" s="123"/>
    </row>
    <row r="2543" spans="1:14" customFormat="1" x14ac:dyDescent="0.55000000000000004">
      <c r="A2543" s="107" t="s">
        <v>256</v>
      </c>
      <c r="B2543" s="68" t="s">
        <v>188</v>
      </c>
      <c r="C2543" s="68" t="s">
        <v>127</v>
      </c>
      <c r="D2543" s="68" t="s">
        <v>2994</v>
      </c>
      <c r="E2543" s="120">
        <v>1.61</v>
      </c>
      <c r="F2543" s="151" t="s">
        <v>138</v>
      </c>
      <c r="G2543" s="151">
        <v>1</v>
      </c>
      <c r="H2543" s="68" t="s">
        <v>39</v>
      </c>
      <c r="I2543" t="s">
        <v>535</v>
      </c>
      <c r="J2543" s="74" t="str">
        <f t="shared" si="11"/>
        <v>[TIMES_SE] Cement clinker kiln, chilled NH3 CCS</v>
      </c>
      <c r="L2543" s="163"/>
      <c r="M2543" s="48"/>
      <c r="N2543" s="123"/>
    </row>
    <row r="2544" spans="1:14" customFormat="1" x14ac:dyDescent="0.55000000000000004">
      <c r="A2544" s="107" t="s">
        <v>256</v>
      </c>
      <c r="B2544" s="68" t="s">
        <v>153</v>
      </c>
      <c r="C2544" s="68" t="s">
        <v>127</v>
      </c>
      <c r="D2544" s="68" t="s">
        <v>2994</v>
      </c>
      <c r="E2544" s="120">
        <v>0.47</v>
      </c>
      <c r="F2544" s="151" t="s">
        <v>138</v>
      </c>
      <c r="G2544" s="151">
        <v>1</v>
      </c>
      <c r="H2544" s="68" t="s">
        <v>39</v>
      </c>
      <c r="I2544" t="s">
        <v>535</v>
      </c>
      <c r="J2544" s="74" t="str">
        <f t="shared" si="11"/>
        <v>[TIMES_SE] Cement clinker kiln, chilled NH3 CCS</v>
      </c>
      <c r="L2544" s="163"/>
      <c r="M2544" s="48"/>
      <c r="N2544" s="123"/>
    </row>
    <row r="2545" spans="1:14" customFormat="1" x14ac:dyDescent="0.55000000000000004">
      <c r="A2545" s="107" t="s">
        <v>256</v>
      </c>
      <c r="B2545" t="s">
        <v>160</v>
      </c>
      <c r="C2545" t="s">
        <v>247</v>
      </c>
      <c r="D2545" t="s">
        <v>3288</v>
      </c>
      <c r="E2545" s="116">
        <f>E2546*0.1/0.9</f>
        <v>84.666666666666671</v>
      </c>
      <c r="F2545" s="149" t="s">
        <v>122</v>
      </c>
      <c r="G2545" s="149" t="s">
        <v>135</v>
      </c>
      <c r="H2545" t="s">
        <v>39</v>
      </c>
      <c r="I2545" t="s">
        <v>1247</v>
      </c>
      <c r="J2545" s="74" t="str">
        <f t="shared" si="11"/>
        <v>[TIMES_SE] Cement clinker kiln, chilled NH3 CCS</v>
      </c>
      <c r="L2545" s="160"/>
      <c r="M2545" s="48"/>
      <c r="N2545" s="123"/>
    </row>
    <row r="2546" spans="1:14" customFormat="1" x14ac:dyDescent="0.55000000000000004">
      <c r="A2546" s="107" t="s">
        <v>256</v>
      </c>
      <c r="B2546" t="s">
        <v>160</v>
      </c>
      <c r="C2546" t="s">
        <v>156</v>
      </c>
      <c r="D2546" t="s">
        <v>3288</v>
      </c>
      <c r="E2546" s="116">
        <v>762</v>
      </c>
      <c r="F2546" s="149" t="s">
        <v>122</v>
      </c>
      <c r="G2546" s="149" t="s">
        <v>135</v>
      </c>
      <c r="H2546" t="s">
        <v>39</v>
      </c>
      <c r="I2546" t="s">
        <v>1248</v>
      </c>
      <c r="J2546" s="74" t="str">
        <f t="shared" si="11"/>
        <v>[TIMES_SE] Cement clinker kiln, chilled NH3 CCS</v>
      </c>
      <c r="L2546" s="160"/>
      <c r="M2546" s="48"/>
      <c r="N2546" s="123"/>
    </row>
    <row r="2547" spans="1:14" customFormat="1" x14ac:dyDescent="0.55000000000000004">
      <c r="A2547" s="107" t="s">
        <v>256</v>
      </c>
      <c r="B2547" t="s">
        <v>160</v>
      </c>
      <c r="C2547" t="s">
        <v>247</v>
      </c>
      <c r="D2547" t="s">
        <v>3288</v>
      </c>
      <c r="E2547" s="119">
        <f>0.208936*(1-0.9)</f>
        <v>2.0893599999999995E-2</v>
      </c>
      <c r="F2547" s="151" t="s">
        <v>135</v>
      </c>
      <c r="G2547" s="149" t="s">
        <v>135</v>
      </c>
      <c r="H2547" s="68" t="s">
        <v>413</v>
      </c>
      <c r="I2547" t="s">
        <v>2038</v>
      </c>
      <c r="J2547" s="74" t="str">
        <f t="shared" si="11"/>
        <v>[TIMES_SE] Cement clinker kiln, chilled NH3 CCS</v>
      </c>
      <c r="L2547" s="160"/>
      <c r="M2547" s="48"/>
      <c r="N2547" s="123"/>
    </row>
    <row r="2548" spans="1:14" customFormat="1" x14ac:dyDescent="0.55000000000000004">
      <c r="A2548" s="107" t="s">
        <v>256</v>
      </c>
      <c r="B2548" t="s">
        <v>160</v>
      </c>
      <c r="C2548" t="s">
        <v>247</v>
      </c>
      <c r="D2548" t="s">
        <v>3288</v>
      </c>
      <c r="E2548" s="119">
        <f>0.143416*(1-0.9)</f>
        <v>1.4341599999999996E-2</v>
      </c>
      <c r="F2548" s="151" t="s">
        <v>135</v>
      </c>
      <c r="G2548" s="149" t="s">
        <v>135</v>
      </c>
      <c r="H2548" s="68" t="s">
        <v>373</v>
      </c>
      <c r="I2548" t="s">
        <v>2042</v>
      </c>
      <c r="J2548" s="74" t="str">
        <f t="shared" si="11"/>
        <v>[TIMES_SE] Cement clinker kiln, chilled NH3 CCS</v>
      </c>
      <c r="L2548" s="160"/>
      <c r="M2548" s="48"/>
      <c r="N2548" s="123"/>
    </row>
    <row r="2549" spans="1:14" customFormat="1" x14ac:dyDescent="0.55000000000000004">
      <c r="A2549" s="107" t="s">
        <v>256</v>
      </c>
      <c r="B2549" t="s">
        <v>160</v>
      </c>
      <c r="C2549" t="s">
        <v>156</v>
      </c>
      <c r="D2549" t="s">
        <v>3288</v>
      </c>
      <c r="E2549" s="119">
        <f>0.208936*0.9</f>
        <v>0.18804240000000003</v>
      </c>
      <c r="F2549" s="151" t="s">
        <v>135</v>
      </c>
      <c r="G2549" s="149" t="s">
        <v>135</v>
      </c>
      <c r="H2549" s="68" t="s">
        <v>413</v>
      </c>
      <c r="I2549" t="s">
        <v>2038</v>
      </c>
      <c r="J2549" s="74" t="str">
        <f t="shared" si="11"/>
        <v>[TIMES_SE] Cement clinker kiln, chilled NH3 CCS</v>
      </c>
      <c r="L2549" s="160"/>
      <c r="M2549" s="48"/>
      <c r="N2549" s="123"/>
    </row>
    <row r="2550" spans="1:14" customFormat="1" x14ac:dyDescent="0.55000000000000004">
      <c r="A2550" s="107" t="s">
        <v>256</v>
      </c>
      <c r="B2550" t="s">
        <v>160</v>
      </c>
      <c r="C2550" t="s">
        <v>156</v>
      </c>
      <c r="D2550" t="s">
        <v>3288</v>
      </c>
      <c r="E2550" s="119">
        <f>0.143416*0.9</f>
        <v>0.12907440000000001</v>
      </c>
      <c r="F2550" s="151" t="s">
        <v>135</v>
      </c>
      <c r="G2550" s="149" t="s">
        <v>135</v>
      </c>
      <c r="H2550" s="68" t="s">
        <v>373</v>
      </c>
      <c r="I2550" t="s">
        <v>2042</v>
      </c>
      <c r="J2550" s="74" t="str">
        <f t="shared" si="11"/>
        <v>[TIMES_SE] Cement clinker kiln, chilled NH3 CCS</v>
      </c>
      <c r="L2550" s="160"/>
      <c r="M2550" s="48"/>
      <c r="N2550" s="123"/>
    </row>
    <row r="2551" spans="1:14" customFormat="1" x14ac:dyDescent="0.55000000000000004">
      <c r="A2551" s="107" t="s">
        <v>254</v>
      </c>
      <c r="B2551" s="68" t="s">
        <v>134</v>
      </c>
      <c r="C2551" s="68" t="s">
        <v>121</v>
      </c>
      <c r="D2551" s="68" t="s">
        <v>3288</v>
      </c>
      <c r="E2551" s="120">
        <v>1</v>
      </c>
      <c r="F2551" s="151" t="s">
        <v>135</v>
      </c>
      <c r="G2551" s="151">
        <v>1</v>
      </c>
      <c r="H2551" s="68"/>
      <c r="J2551" s="74" t="str">
        <f t="shared" si="11"/>
        <v>[TIMES_SE] Cement clinker kiln, integrated Ca. loop CCS</v>
      </c>
      <c r="L2551" s="160" t="s">
        <v>241</v>
      </c>
      <c r="M2551" s="48"/>
      <c r="N2551" s="123"/>
    </row>
    <row r="2552" spans="1:14" customFormat="1" x14ac:dyDescent="0.55000000000000004">
      <c r="A2552" s="107" t="s">
        <v>254</v>
      </c>
      <c r="B2552" s="68" t="s">
        <v>131</v>
      </c>
      <c r="C2552" t="s">
        <v>207</v>
      </c>
      <c r="D2552" s="68" t="s">
        <v>3288</v>
      </c>
      <c r="E2552" s="120">
        <f>AVERAGE(0.8,1.6)</f>
        <v>1.2000000000000002</v>
      </c>
      <c r="F2552" s="151" t="s">
        <v>135</v>
      </c>
      <c r="G2552" s="151" t="s">
        <v>135</v>
      </c>
      <c r="H2552" s="68" t="s">
        <v>242</v>
      </c>
      <c r="I2552" t="s">
        <v>1244</v>
      </c>
      <c r="J2552" s="74" t="str">
        <f t="shared" si="11"/>
        <v>[TIMES_SE] Cement clinker kiln, integrated Ca. loop CCS</v>
      </c>
      <c r="L2552" s="163"/>
      <c r="M2552" s="48"/>
      <c r="N2552" s="123"/>
    </row>
    <row r="2553" spans="1:14" customFormat="1" x14ac:dyDescent="0.55000000000000004">
      <c r="A2553" s="107" t="s">
        <v>254</v>
      </c>
      <c r="B2553" s="68" t="s">
        <v>238</v>
      </c>
      <c r="C2553" t="s">
        <v>207</v>
      </c>
      <c r="D2553" s="68" t="s">
        <v>3288</v>
      </c>
      <c r="E2553" s="120">
        <f>1.6-E2552</f>
        <v>0.39999999999999991</v>
      </c>
      <c r="F2553" s="151" t="s">
        <v>135</v>
      </c>
      <c r="G2553" s="151" t="s">
        <v>135</v>
      </c>
      <c r="H2553" s="68" t="s">
        <v>243</v>
      </c>
      <c r="I2553" t="s">
        <v>535</v>
      </c>
      <c r="J2553" s="74" t="str">
        <f t="shared" si="11"/>
        <v>[TIMES_SE] Cement clinker kiln, integrated Ca. loop CCS</v>
      </c>
      <c r="L2553" s="163"/>
      <c r="M2553" s="48"/>
      <c r="N2553" s="123"/>
    </row>
    <row r="2554" spans="1:14" customFormat="1" x14ac:dyDescent="0.55000000000000004">
      <c r="A2554" s="107" t="s">
        <v>254</v>
      </c>
      <c r="B2554" s="68" t="s">
        <v>244</v>
      </c>
      <c r="C2554" s="68" t="s">
        <v>127</v>
      </c>
      <c r="D2554" s="68" t="s">
        <v>2994</v>
      </c>
      <c r="E2554" s="120">
        <f>5.44*0.65</f>
        <v>3.5360000000000005</v>
      </c>
      <c r="F2554" s="151" t="s">
        <v>138</v>
      </c>
      <c r="G2554" s="151" t="s">
        <v>135</v>
      </c>
      <c r="H2554" s="68" t="s">
        <v>255</v>
      </c>
      <c r="I2554" t="s">
        <v>1245</v>
      </c>
      <c r="J2554" s="74" t="str">
        <f t="shared" si="11"/>
        <v>[TIMES_SE] Cement clinker kiln, integrated Ca. loop CCS</v>
      </c>
      <c r="L2554" s="163"/>
      <c r="M2554" s="48"/>
      <c r="N2554" s="123"/>
    </row>
    <row r="2555" spans="1:14" customFormat="1" x14ac:dyDescent="0.55000000000000004">
      <c r="A2555" s="107" t="s">
        <v>254</v>
      </c>
      <c r="B2555" s="68" t="s">
        <v>137</v>
      </c>
      <c r="C2555" s="68" t="s">
        <v>127</v>
      </c>
      <c r="D2555" s="68" t="s">
        <v>2994</v>
      </c>
      <c r="E2555" s="120">
        <f>5.44-E2554</f>
        <v>1.9039999999999999</v>
      </c>
      <c r="F2555" s="151" t="s">
        <v>138</v>
      </c>
      <c r="G2555" s="151" t="s">
        <v>135</v>
      </c>
      <c r="H2555" s="68" t="s">
        <v>246</v>
      </c>
      <c r="I2555" t="s">
        <v>1246</v>
      </c>
      <c r="J2555" s="74" t="str">
        <f t="shared" si="11"/>
        <v>[TIMES_SE] Cement clinker kiln, integrated Ca. loop CCS</v>
      </c>
      <c r="L2555" s="163"/>
      <c r="M2555" s="48"/>
      <c r="N2555" s="123"/>
    </row>
    <row r="2556" spans="1:14" customFormat="1" x14ac:dyDescent="0.55000000000000004">
      <c r="A2556" s="107" t="s">
        <v>254</v>
      </c>
      <c r="B2556" s="68" t="s">
        <v>153</v>
      </c>
      <c r="C2556" s="68" t="s">
        <v>127</v>
      </c>
      <c r="D2556" s="68" t="s">
        <v>2994</v>
      </c>
      <c r="E2556" s="120">
        <v>1.3</v>
      </c>
      <c r="F2556" s="151" t="s">
        <v>138</v>
      </c>
      <c r="G2556" s="151" t="s">
        <v>135</v>
      </c>
      <c r="H2556" s="68" t="s">
        <v>39</v>
      </c>
      <c r="J2556" s="74" t="str">
        <f t="shared" si="11"/>
        <v>[TIMES_SE] Cement clinker kiln, integrated Ca. loop CCS</v>
      </c>
      <c r="L2556" s="163"/>
      <c r="M2556" s="48"/>
      <c r="N2556" s="123"/>
    </row>
    <row r="2557" spans="1:14" customFormat="1" x14ac:dyDescent="0.55000000000000004">
      <c r="A2557" s="107" t="s">
        <v>254</v>
      </c>
      <c r="B2557" s="68" t="s">
        <v>153</v>
      </c>
      <c r="C2557" t="s">
        <v>156</v>
      </c>
      <c r="D2557" s="68" t="s">
        <v>2994</v>
      </c>
      <c r="E2557" s="120">
        <v>0.67400000000000004</v>
      </c>
      <c r="F2557" s="151" t="s">
        <v>138</v>
      </c>
      <c r="G2557" s="151" t="s">
        <v>135</v>
      </c>
      <c r="H2557" s="68" t="s">
        <v>39</v>
      </c>
      <c r="J2557" s="74" t="str">
        <f t="shared" si="11"/>
        <v>[TIMES_SE] Cement clinker kiln, integrated Ca. loop CCS</v>
      </c>
      <c r="L2557" s="163"/>
      <c r="M2557" s="48"/>
      <c r="N2557" s="123"/>
    </row>
    <row r="2558" spans="1:14" customFormat="1" x14ac:dyDescent="0.55000000000000004">
      <c r="A2558" s="107" t="s">
        <v>254</v>
      </c>
      <c r="B2558" t="s">
        <v>160</v>
      </c>
      <c r="C2558" t="s">
        <v>247</v>
      </c>
      <c r="D2558" t="s">
        <v>3288</v>
      </c>
      <c r="E2558" s="119">
        <f>0.346528*(1-0.943)</f>
        <v>1.9752096000000018E-2</v>
      </c>
      <c r="F2558" s="151" t="s">
        <v>135</v>
      </c>
      <c r="G2558" s="149" t="s">
        <v>135</v>
      </c>
      <c r="H2558" s="68" t="s">
        <v>413</v>
      </c>
      <c r="I2558" t="s">
        <v>2040</v>
      </c>
      <c r="J2558" s="74" t="str">
        <f t="shared" si="11"/>
        <v>[TIMES_SE] Cement clinker kiln, integrated Ca. loop CCS</v>
      </c>
      <c r="L2558" s="160"/>
      <c r="M2558" s="48"/>
      <c r="N2558" s="123"/>
    </row>
    <row r="2559" spans="1:14" customFormat="1" x14ac:dyDescent="0.55000000000000004">
      <c r="A2559" s="107" t="s">
        <v>254</v>
      </c>
      <c r="B2559" t="s">
        <v>160</v>
      </c>
      <c r="C2559" t="s">
        <v>247</v>
      </c>
      <c r="D2559" t="s">
        <v>3288</v>
      </c>
      <c r="E2559" s="119">
        <f>0.099008*(1-0.943)</f>
        <v>5.643456000000005E-3</v>
      </c>
      <c r="F2559" s="151" t="s">
        <v>135</v>
      </c>
      <c r="G2559" s="149" t="s">
        <v>135</v>
      </c>
      <c r="H2559" s="68" t="s">
        <v>373</v>
      </c>
      <c r="I2559" t="s">
        <v>2041</v>
      </c>
      <c r="J2559" s="74" t="str">
        <f t="shared" si="11"/>
        <v>[TIMES_SE] Cement clinker kiln, integrated Ca. loop CCS</v>
      </c>
      <c r="L2559" s="160"/>
      <c r="M2559" s="48"/>
      <c r="N2559" s="123"/>
    </row>
    <row r="2560" spans="1:14" customFormat="1" x14ac:dyDescent="0.55000000000000004">
      <c r="A2560" s="107" t="s">
        <v>254</v>
      </c>
      <c r="B2560" t="s">
        <v>160</v>
      </c>
      <c r="C2560" t="s">
        <v>156</v>
      </c>
      <c r="D2560" t="s">
        <v>3288</v>
      </c>
      <c r="E2560" s="119">
        <f>0.346528*0.943</f>
        <v>0.32677590400000001</v>
      </c>
      <c r="F2560" s="151" t="s">
        <v>135</v>
      </c>
      <c r="G2560" s="149" t="s">
        <v>135</v>
      </c>
      <c r="H2560" s="68" t="s">
        <v>413</v>
      </c>
      <c r="I2560" t="s">
        <v>2040</v>
      </c>
      <c r="J2560" s="74" t="str">
        <f t="shared" si="11"/>
        <v>[TIMES_SE] Cement clinker kiln, integrated Ca. loop CCS</v>
      </c>
      <c r="L2560" s="160"/>
      <c r="M2560" s="48"/>
      <c r="N2560" s="123"/>
    </row>
    <row r="2561" spans="1:14" customFormat="1" x14ac:dyDescent="0.55000000000000004">
      <c r="A2561" s="107" t="s">
        <v>254</v>
      </c>
      <c r="B2561" t="s">
        <v>160</v>
      </c>
      <c r="C2561" t="s">
        <v>156</v>
      </c>
      <c r="D2561" t="s">
        <v>3288</v>
      </c>
      <c r="E2561" s="119">
        <f>0.099008*0.943</f>
        <v>9.3364543999999994E-2</v>
      </c>
      <c r="F2561" s="151" t="s">
        <v>135</v>
      </c>
      <c r="G2561" s="149" t="s">
        <v>135</v>
      </c>
      <c r="H2561" s="68" t="s">
        <v>373</v>
      </c>
      <c r="I2561" t="s">
        <v>2041</v>
      </c>
      <c r="J2561" s="74" t="str">
        <f t="shared" si="11"/>
        <v>[TIMES_SE] Cement clinker kiln, integrated Ca. loop CCS</v>
      </c>
      <c r="L2561" s="160"/>
      <c r="M2561" s="48"/>
      <c r="N2561" s="123"/>
    </row>
    <row r="2562" spans="1:14" customFormat="1" x14ac:dyDescent="0.55000000000000004">
      <c r="A2562" s="107" t="s">
        <v>253</v>
      </c>
      <c r="B2562" s="68" t="s">
        <v>134</v>
      </c>
      <c r="C2562" s="68" t="s">
        <v>121</v>
      </c>
      <c r="D2562" s="68" t="s">
        <v>3288</v>
      </c>
      <c r="E2562" s="120">
        <v>1</v>
      </c>
      <c r="F2562" s="151" t="s">
        <v>135</v>
      </c>
      <c r="G2562" s="151">
        <v>1</v>
      </c>
      <c r="H2562" s="68"/>
      <c r="J2562" s="74" t="str">
        <f t="shared" si="11"/>
        <v>[TIMES_SE] Cement clinker kiln, membrane CCS</v>
      </c>
      <c r="L2562" s="160" t="s">
        <v>241</v>
      </c>
      <c r="M2562" s="48"/>
      <c r="N2562" s="123"/>
    </row>
    <row r="2563" spans="1:14" customFormat="1" x14ac:dyDescent="0.55000000000000004">
      <c r="A2563" s="107" t="s">
        <v>253</v>
      </c>
      <c r="B2563" s="68" t="s">
        <v>131</v>
      </c>
      <c r="C2563" t="s">
        <v>207</v>
      </c>
      <c r="D2563" s="68" t="s">
        <v>3288</v>
      </c>
      <c r="E2563" s="120">
        <f>AVERAGE(0.8,1.6)</f>
        <v>1.2000000000000002</v>
      </c>
      <c r="F2563" s="151" t="s">
        <v>135</v>
      </c>
      <c r="G2563" s="151" t="s">
        <v>135</v>
      </c>
      <c r="H2563" s="68" t="s">
        <v>242</v>
      </c>
      <c r="I2563" t="s">
        <v>1244</v>
      </c>
      <c r="J2563" s="74" t="str">
        <f t="shared" si="11"/>
        <v>[TIMES_SE] Cement clinker kiln, membrane CCS</v>
      </c>
      <c r="L2563" s="163"/>
      <c r="M2563" s="48"/>
      <c r="N2563" s="123"/>
    </row>
    <row r="2564" spans="1:14" customFormat="1" x14ac:dyDescent="0.55000000000000004">
      <c r="A2564" s="107" t="s">
        <v>253</v>
      </c>
      <c r="B2564" s="68" t="s">
        <v>238</v>
      </c>
      <c r="C2564" t="s">
        <v>207</v>
      </c>
      <c r="D2564" s="68" t="s">
        <v>3288</v>
      </c>
      <c r="E2564" s="120">
        <f>1.6-E2563</f>
        <v>0.39999999999999991</v>
      </c>
      <c r="F2564" s="151" t="s">
        <v>135</v>
      </c>
      <c r="G2564" s="151" t="s">
        <v>135</v>
      </c>
      <c r="H2564" s="68" t="s">
        <v>243</v>
      </c>
      <c r="I2564" t="s">
        <v>535</v>
      </c>
      <c r="J2564" s="74" t="str">
        <f t="shared" si="11"/>
        <v>[TIMES_SE] Cement clinker kiln, membrane CCS</v>
      </c>
      <c r="L2564" s="163"/>
      <c r="M2564" s="48"/>
      <c r="N2564" s="123"/>
    </row>
    <row r="2565" spans="1:14" customFormat="1" x14ac:dyDescent="0.55000000000000004">
      <c r="A2565" s="107" t="s">
        <v>253</v>
      </c>
      <c r="B2565" s="68" t="s">
        <v>244</v>
      </c>
      <c r="C2565" s="68" t="s">
        <v>127</v>
      </c>
      <c r="D2565" s="68" t="s">
        <v>2994</v>
      </c>
      <c r="E2565" s="120">
        <f>3.28*0.65</f>
        <v>2.1320000000000001</v>
      </c>
      <c r="F2565" s="151" t="s">
        <v>138</v>
      </c>
      <c r="G2565" s="151" t="s">
        <v>135</v>
      </c>
      <c r="H2565" s="68" t="s">
        <v>250</v>
      </c>
      <c r="I2565" t="s">
        <v>1245</v>
      </c>
      <c r="J2565" s="74" t="str">
        <f t="shared" si="11"/>
        <v>[TIMES_SE] Cement clinker kiln, membrane CCS</v>
      </c>
      <c r="L2565" s="163"/>
      <c r="M2565" s="48"/>
      <c r="N2565" s="123"/>
    </row>
    <row r="2566" spans="1:14" customFormat="1" x14ac:dyDescent="0.55000000000000004">
      <c r="A2566" s="107" t="s">
        <v>253</v>
      </c>
      <c r="B2566" s="68" t="s">
        <v>137</v>
      </c>
      <c r="C2566" s="68" t="s">
        <v>127</v>
      </c>
      <c r="D2566" s="68" t="s">
        <v>2994</v>
      </c>
      <c r="E2566" s="120">
        <f>3.28-E2565</f>
        <v>1.1479999999999997</v>
      </c>
      <c r="F2566" s="151" t="s">
        <v>138</v>
      </c>
      <c r="G2566" s="151" t="s">
        <v>135</v>
      </c>
      <c r="H2566" s="68" t="s">
        <v>246</v>
      </c>
      <c r="I2566" t="s">
        <v>1246</v>
      </c>
      <c r="J2566" s="74" t="str">
        <f t="shared" si="11"/>
        <v>[TIMES_SE] Cement clinker kiln, membrane CCS</v>
      </c>
      <c r="L2566" s="163"/>
      <c r="M2566" s="48"/>
      <c r="N2566" s="123"/>
    </row>
    <row r="2567" spans="1:14" customFormat="1" x14ac:dyDescent="0.55000000000000004">
      <c r="A2567" s="107" t="s">
        <v>253</v>
      </c>
      <c r="B2567" s="68" t="s">
        <v>153</v>
      </c>
      <c r="C2567" s="68" t="s">
        <v>127</v>
      </c>
      <c r="D2567" s="68" t="s">
        <v>2994</v>
      </c>
      <c r="E2567" s="120">
        <v>1.33</v>
      </c>
      <c r="F2567" s="151" t="s">
        <v>138</v>
      </c>
      <c r="G2567" s="151" t="s">
        <v>135</v>
      </c>
      <c r="H2567" s="68" t="s">
        <v>39</v>
      </c>
      <c r="J2567" s="74" t="str">
        <f t="shared" si="11"/>
        <v>[TIMES_SE] Cement clinker kiln, membrane CCS</v>
      </c>
      <c r="L2567" s="163"/>
      <c r="M2567" s="48"/>
      <c r="N2567" s="123"/>
    </row>
    <row r="2568" spans="1:14" customFormat="1" x14ac:dyDescent="0.55000000000000004">
      <c r="A2568" s="107" t="s">
        <v>253</v>
      </c>
      <c r="B2568" t="s">
        <v>160</v>
      </c>
      <c r="C2568" t="s">
        <v>247</v>
      </c>
      <c r="D2568" t="s">
        <v>3288</v>
      </c>
      <c r="E2568" s="119">
        <f>0.208936*0.1</f>
        <v>2.0893600000000002E-2</v>
      </c>
      <c r="F2568" s="151" t="s">
        <v>135</v>
      </c>
      <c r="G2568" s="149" t="s">
        <v>135</v>
      </c>
      <c r="H2568" s="68" t="s">
        <v>413</v>
      </c>
      <c r="I2568" t="s">
        <v>2038</v>
      </c>
      <c r="J2568" s="74" t="str">
        <f t="shared" si="11"/>
        <v>[TIMES_SE] Cement clinker kiln, membrane CCS</v>
      </c>
      <c r="L2568" s="160"/>
      <c r="M2568" s="48"/>
      <c r="N2568" s="123"/>
    </row>
    <row r="2569" spans="1:14" customFormat="1" x14ac:dyDescent="0.55000000000000004">
      <c r="A2569" s="107" t="s">
        <v>253</v>
      </c>
      <c r="B2569" t="s">
        <v>160</v>
      </c>
      <c r="C2569" t="s">
        <v>247</v>
      </c>
      <c r="D2569" t="s">
        <v>3288</v>
      </c>
      <c r="E2569" s="119">
        <f>0.059696*0.1</f>
        <v>5.9696000000000003E-3</v>
      </c>
      <c r="F2569" s="151" t="s">
        <v>135</v>
      </c>
      <c r="G2569" s="149" t="s">
        <v>135</v>
      </c>
      <c r="H2569" s="68" t="s">
        <v>373</v>
      </c>
      <c r="I2569" t="s">
        <v>2039</v>
      </c>
      <c r="J2569" s="74" t="str">
        <f t="shared" si="11"/>
        <v>[TIMES_SE] Cement clinker kiln, membrane CCS</v>
      </c>
      <c r="L2569" s="160"/>
      <c r="M2569" s="48"/>
      <c r="N2569" s="123"/>
    </row>
    <row r="2570" spans="1:14" customFormat="1" x14ac:dyDescent="0.55000000000000004">
      <c r="A2570" s="107" t="s">
        <v>253</v>
      </c>
      <c r="B2570" t="s">
        <v>160</v>
      </c>
      <c r="C2570" t="s">
        <v>156</v>
      </c>
      <c r="D2570" t="s">
        <v>3288</v>
      </c>
      <c r="E2570" s="119">
        <f>0.208936*0.9</f>
        <v>0.18804240000000003</v>
      </c>
      <c r="F2570" s="151" t="s">
        <v>135</v>
      </c>
      <c r="G2570" s="149" t="s">
        <v>135</v>
      </c>
      <c r="H2570" s="68" t="s">
        <v>413</v>
      </c>
      <c r="I2570" t="s">
        <v>2038</v>
      </c>
      <c r="J2570" s="74" t="str">
        <f t="shared" si="11"/>
        <v>[TIMES_SE] Cement clinker kiln, membrane CCS</v>
      </c>
      <c r="L2570" s="160"/>
      <c r="M2570" s="48"/>
      <c r="N2570" s="123"/>
    </row>
    <row r="2571" spans="1:14" customFormat="1" x14ac:dyDescent="0.55000000000000004">
      <c r="A2571" s="107" t="s">
        <v>253</v>
      </c>
      <c r="B2571" t="s">
        <v>160</v>
      </c>
      <c r="C2571" t="s">
        <v>156</v>
      </c>
      <c r="D2571" t="s">
        <v>3288</v>
      </c>
      <c r="E2571" s="119">
        <f>0.059696*0.9</f>
        <v>5.3726400000000001E-2</v>
      </c>
      <c r="F2571" s="151" t="s">
        <v>135</v>
      </c>
      <c r="G2571" s="149" t="s">
        <v>135</v>
      </c>
      <c r="H2571" s="68" t="s">
        <v>373</v>
      </c>
      <c r="I2571" t="s">
        <v>2039</v>
      </c>
      <c r="J2571" s="74" t="str">
        <f t="shared" si="11"/>
        <v>[TIMES_SE] Cement clinker kiln, membrane CCS</v>
      </c>
      <c r="L2571" s="160"/>
      <c r="M2571" s="48"/>
      <c r="N2571" s="123"/>
    </row>
    <row r="2572" spans="1:14" customFormat="1" x14ac:dyDescent="0.55000000000000004">
      <c r="A2572" s="107" t="s">
        <v>251</v>
      </c>
      <c r="B2572" s="68" t="s">
        <v>134</v>
      </c>
      <c r="C2572" s="68" t="s">
        <v>121</v>
      </c>
      <c r="D2572" s="68" t="s">
        <v>3288</v>
      </c>
      <c r="E2572" s="120">
        <v>1</v>
      </c>
      <c r="F2572" s="151" t="s">
        <v>135</v>
      </c>
      <c r="G2572" s="151">
        <v>1</v>
      </c>
      <c r="H2572" s="68"/>
      <c r="J2572" s="74" t="str">
        <f t="shared" si="11"/>
        <v>[TIMES_SE] Cement clinker kiln, oxyfuel CCS</v>
      </c>
      <c r="L2572" s="160" t="s">
        <v>241</v>
      </c>
      <c r="M2572" s="48"/>
      <c r="N2572" s="123"/>
    </row>
    <row r="2573" spans="1:14" customFormat="1" x14ac:dyDescent="0.55000000000000004">
      <c r="A2573" s="107" t="s">
        <v>251</v>
      </c>
      <c r="B2573" s="68" t="s">
        <v>131</v>
      </c>
      <c r="C2573" t="s">
        <v>207</v>
      </c>
      <c r="D2573" s="68" t="s">
        <v>3288</v>
      </c>
      <c r="E2573" s="120">
        <f>AVERAGE(0.8,1.6)</f>
        <v>1.2000000000000002</v>
      </c>
      <c r="F2573" s="151" t="s">
        <v>135</v>
      </c>
      <c r="G2573" s="151" t="s">
        <v>135</v>
      </c>
      <c r="H2573" s="68" t="s">
        <v>242</v>
      </c>
      <c r="I2573" t="s">
        <v>1244</v>
      </c>
      <c r="J2573" s="74" t="str">
        <f t="shared" si="11"/>
        <v>[TIMES_SE] Cement clinker kiln, oxyfuel CCS</v>
      </c>
      <c r="L2573" s="163"/>
      <c r="M2573" s="48"/>
      <c r="N2573" s="123"/>
    </row>
    <row r="2574" spans="1:14" customFormat="1" x14ac:dyDescent="0.55000000000000004">
      <c r="A2574" s="107" t="s">
        <v>251</v>
      </c>
      <c r="B2574" s="68" t="s">
        <v>238</v>
      </c>
      <c r="C2574" t="s">
        <v>207</v>
      </c>
      <c r="D2574" s="68" t="s">
        <v>3288</v>
      </c>
      <c r="E2574" s="120">
        <f>1.6-E2573</f>
        <v>0.39999999999999991</v>
      </c>
      <c r="F2574" s="151" t="s">
        <v>135</v>
      </c>
      <c r="G2574" s="151" t="s">
        <v>135</v>
      </c>
      <c r="H2574" s="68" t="s">
        <v>243</v>
      </c>
      <c r="I2574" t="s">
        <v>535</v>
      </c>
      <c r="J2574" s="74" t="str">
        <f t="shared" si="11"/>
        <v>[TIMES_SE] Cement clinker kiln, oxyfuel CCS</v>
      </c>
      <c r="L2574" s="163"/>
      <c r="M2574" s="48"/>
      <c r="N2574" s="123"/>
    </row>
    <row r="2575" spans="1:14" customFormat="1" x14ac:dyDescent="0.55000000000000004">
      <c r="A2575" s="107" t="s">
        <v>251</v>
      </c>
      <c r="B2575" s="68" t="s">
        <v>244</v>
      </c>
      <c r="C2575" s="68" t="s">
        <v>127</v>
      </c>
      <c r="D2575" s="68" t="s">
        <v>2994</v>
      </c>
      <c r="E2575" s="120">
        <f>3.14*0.65</f>
        <v>2.0410000000000004</v>
      </c>
      <c r="F2575" s="151" t="s">
        <v>138</v>
      </c>
      <c r="G2575" s="151" t="s">
        <v>135</v>
      </c>
      <c r="H2575" s="68" t="s">
        <v>252</v>
      </c>
      <c r="I2575" t="s">
        <v>1245</v>
      </c>
      <c r="J2575" s="74" t="str">
        <f t="shared" si="11"/>
        <v>[TIMES_SE] Cement clinker kiln, oxyfuel CCS</v>
      </c>
      <c r="L2575" s="163"/>
      <c r="M2575" s="48"/>
      <c r="N2575" s="123"/>
    </row>
    <row r="2576" spans="1:14" customFormat="1" x14ac:dyDescent="0.55000000000000004">
      <c r="A2576" s="107" t="s">
        <v>251</v>
      </c>
      <c r="B2576" s="68" t="s">
        <v>137</v>
      </c>
      <c r="C2576" s="68" t="s">
        <v>127</v>
      </c>
      <c r="D2576" s="68" t="s">
        <v>2994</v>
      </c>
      <c r="E2576" s="120">
        <f>3.14-E2575</f>
        <v>1.0989999999999998</v>
      </c>
      <c r="F2576" s="151" t="s">
        <v>138</v>
      </c>
      <c r="G2576" s="151" t="s">
        <v>135</v>
      </c>
      <c r="H2576" s="68" t="s">
        <v>246</v>
      </c>
      <c r="I2576" t="s">
        <v>1246</v>
      </c>
      <c r="J2576" s="74" t="str">
        <f t="shared" si="11"/>
        <v>[TIMES_SE] Cement clinker kiln, oxyfuel CCS</v>
      </c>
      <c r="L2576" s="163"/>
      <c r="M2576" s="48"/>
      <c r="N2576" s="123"/>
    </row>
    <row r="2577" spans="1:14" customFormat="1" x14ac:dyDescent="0.55000000000000004">
      <c r="A2577" s="107" t="s">
        <v>251</v>
      </c>
      <c r="B2577" s="68" t="s">
        <v>153</v>
      </c>
      <c r="C2577" s="68" t="s">
        <v>127</v>
      </c>
      <c r="D2577" s="68" t="s">
        <v>2994</v>
      </c>
      <c r="E2577" s="120">
        <v>0.82</v>
      </c>
      <c r="F2577" s="151" t="s">
        <v>138</v>
      </c>
      <c r="G2577" s="151" t="s">
        <v>135</v>
      </c>
      <c r="H2577" s="68" t="s">
        <v>39</v>
      </c>
      <c r="J2577" s="74" t="str">
        <f t="shared" si="11"/>
        <v>[TIMES_SE] Cement clinker kiln, oxyfuel CCS</v>
      </c>
      <c r="L2577" s="163"/>
      <c r="M2577" s="48"/>
      <c r="N2577" s="123"/>
    </row>
    <row r="2578" spans="1:14" customFormat="1" x14ac:dyDescent="0.55000000000000004">
      <c r="A2578" s="107" t="s">
        <v>251</v>
      </c>
      <c r="B2578" s="68" t="s">
        <v>153</v>
      </c>
      <c r="C2578" t="s">
        <v>156</v>
      </c>
      <c r="D2578" s="68" t="s">
        <v>2994</v>
      </c>
      <c r="E2578" s="120">
        <v>8.4000000000000005E-2</v>
      </c>
      <c r="F2578" s="151" t="s">
        <v>138</v>
      </c>
      <c r="G2578" s="151" t="s">
        <v>135</v>
      </c>
      <c r="H2578" s="68" t="s">
        <v>39</v>
      </c>
      <c r="J2578" s="74" t="str">
        <f t="shared" si="11"/>
        <v>[TIMES_SE] Cement clinker kiln, oxyfuel CCS</v>
      </c>
      <c r="L2578" s="163"/>
      <c r="M2578" s="48"/>
      <c r="N2578" s="123"/>
    </row>
    <row r="2579" spans="1:14" customFormat="1" x14ac:dyDescent="0.55000000000000004">
      <c r="A2579" s="107" t="s">
        <v>251</v>
      </c>
      <c r="B2579" t="s">
        <v>160</v>
      </c>
      <c r="C2579" t="s">
        <v>247</v>
      </c>
      <c r="D2579" t="s">
        <v>3288</v>
      </c>
      <c r="E2579" s="119">
        <f>0.200018*0.1</f>
        <v>2.00018E-2</v>
      </c>
      <c r="F2579" s="151" t="s">
        <v>135</v>
      </c>
      <c r="G2579" s="149" t="s">
        <v>135</v>
      </c>
      <c r="H2579" s="68" t="s">
        <v>413</v>
      </c>
      <c r="I2579" t="s">
        <v>2036</v>
      </c>
      <c r="J2579" s="74" t="str">
        <f t="shared" si="11"/>
        <v>[TIMES_SE] Cement clinker kiln, oxyfuel CCS</v>
      </c>
      <c r="L2579" s="160"/>
      <c r="M2579" s="48"/>
      <c r="N2579" s="123"/>
    </row>
    <row r="2580" spans="1:14" customFormat="1" x14ac:dyDescent="0.55000000000000004">
      <c r="A2580" s="107" t="s">
        <v>251</v>
      </c>
      <c r="B2580" t="s">
        <v>160</v>
      </c>
      <c r="C2580" t="s">
        <v>247</v>
      </c>
      <c r="D2580" t="s">
        <v>3288</v>
      </c>
      <c r="E2580" s="119">
        <f>0.057148*0.1</f>
        <v>5.7147999999999999E-3</v>
      </c>
      <c r="F2580" s="151" t="s">
        <v>135</v>
      </c>
      <c r="G2580" s="149" t="s">
        <v>135</v>
      </c>
      <c r="H2580" s="68" t="s">
        <v>373</v>
      </c>
      <c r="I2580" t="s">
        <v>2037</v>
      </c>
      <c r="J2580" s="74" t="str">
        <f t="shared" si="11"/>
        <v>[TIMES_SE] Cement clinker kiln, oxyfuel CCS</v>
      </c>
      <c r="L2580" s="160"/>
      <c r="M2580" s="48"/>
      <c r="N2580" s="123"/>
    </row>
    <row r="2581" spans="1:14" customFormat="1" x14ac:dyDescent="0.55000000000000004">
      <c r="A2581" s="107" t="s">
        <v>251</v>
      </c>
      <c r="B2581" t="s">
        <v>160</v>
      </c>
      <c r="C2581" t="s">
        <v>156</v>
      </c>
      <c r="D2581" t="s">
        <v>3288</v>
      </c>
      <c r="E2581" s="119">
        <f>0.200018*0.9</f>
        <v>0.18001620000000002</v>
      </c>
      <c r="F2581" s="151" t="s">
        <v>135</v>
      </c>
      <c r="G2581" s="149" t="s">
        <v>135</v>
      </c>
      <c r="H2581" s="68" t="s">
        <v>413</v>
      </c>
      <c r="I2581" t="s">
        <v>2036</v>
      </c>
      <c r="J2581" s="74" t="str">
        <f t="shared" si="11"/>
        <v>[TIMES_SE] Cement clinker kiln, oxyfuel CCS</v>
      </c>
      <c r="L2581" s="160"/>
      <c r="M2581" s="48"/>
      <c r="N2581" s="123"/>
    </row>
    <row r="2582" spans="1:14" customFormat="1" x14ac:dyDescent="0.55000000000000004">
      <c r="A2582" s="107" t="s">
        <v>251</v>
      </c>
      <c r="B2582" t="s">
        <v>160</v>
      </c>
      <c r="C2582" t="s">
        <v>156</v>
      </c>
      <c r="D2582" t="s">
        <v>3288</v>
      </c>
      <c r="E2582" s="119">
        <f>0.057148*0.9</f>
        <v>5.1433199999999998E-2</v>
      </c>
      <c r="F2582" s="151" t="s">
        <v>135</v>
      </c>
      <c r="G2582" s="149" t="s">
        <v>135</v>
      </c>
      <c r="H2582" s="68" t="s">
        <v>373</v>
      </c>
      <c r="I2582" t="s">
        <v>2037</v>
      </c>
      <c r="J2582" s="74" t="str">
        <f t="shared" si="11"/>
        <v>[TIMES_SE] Cement clinker kiln, oxyfuel CCS</v>
      </c>
      <c r="L2582" s="160"/>
      <c r="M2582" s="48"/>
      <c r="N2582" s="123"/>
    </row>
    <row r="2583" spans="1:14" customFormat="1" x14ac:dyDescent="0.55000000000000004">
      <c r="A2583" s="107" t="s">
        <v>249</v>
      </c>
      <c r="B2583" s="68" t="s">
        <v>134</v>
      </c>
      <c r="C2583" s="68" t="s">
        <v>121</v>
      </c>
      <c r="D2583" s="68" t="s">
        <v>3288</v>
      </c>
      <c r="E2583" s="120">
        <v>1</v>
      </c>
      <c r="F2583" s="151" t="s">
        <v>135</v>
      </c>
      <c r="G2583" s="151">
        <v>1</v>
      </c>
      <c r="H2583" s="68"/>
      <c r="J2583" s="74" t="str">
        <f t="shared" si="11"/>
        <v>[TIMES_SE] Cement clinker kiln, PCC CCS</v>
      </c>
      <c r="L2583" s="160" t="s">
        <v>241</v>
      </c>
      <c r="M2583" s="48"/>
      <c r="N2583" s="123"/>
    </row>
    <row r="2584" spans="1:14" customFormat="1" x14ac:dyDescent="0.55000000000000004">
      <c r="A2584" s="107" t="s">
        <v>249</v>
      </c>
      <c r="B2584" s="68" t="s">
        <v>131</v>
      </c>
      <c r="C2584" t="s">
        <v>207</v>
      </c>
      <c r="D2584" s="68" t="s">
        <v>3288</v>
      </c>
      <c r="E2584" s="120">
        <f>AVERAGE(0.8,1.6)</f>
        <v>1.2000000000000002</v>
      </c>
      <c r="F2584" s="151" t="s">
        <v>135</v>
      </c>
      <c r="G2584" s="151" t="s">
        <v>135</v>
      </c>
      <c r="H2584" s="68" t="s">
        <v>242</v>
      </c>
      <c r="I2584" t="s">
        <v>1244</v>
      </c>
      <c r="J2584" s="74" t="str">
        <f t="shared" si="11"/>
        <v>[TIMES_SE] Cement clinker kiln, PCC CCS</v>
      </c>
      <c r="L2584" s="163"/>
      <c r="M2584" s="48"/>
      <c r="N2584" s="123"/>
    </row>
    <row r="2585" spans="1:14" customFormat="1" x14ac:dyDescent="0.55000000000000004">
      <c r="A2585" s="107" t="s">
        <v>249</v>
      </c>
      <c r="B2585" s="68" t="s">
        <v>238</v>
      </c>
      <c r="C2585" t="s">
        <v>207</v>
      </c>
      <c r="D2585" s="68" t="s">
        <v>3288</v>
      </c>
      <c r="E2585" s="120">
        <f>1.6-E2584</f>
        <v>0.39999999999999991</v>
      </c>
      <c r="F2585" s="151" t="s">
        <v>135</v>
      </c>
      <c r="G2585" s="151" t="s">
        <v>135</v>
      </c>
      <c r="H2585" s="68" t="s">
        <v>243</v>
      </c>
      <c r="I2585" t="s">
        <v>535</v>
      </c>
      <c r="J2585" s="74" t="str">
        <f t="shared" si="11"/>
        <v>[TIMES_SE] Cement clinker kiln, PCC CCS</v>
      </c>
      <c r="L2585" s="163"/>
      <c r="M2585" s="48"/>
      <c r="N2585" s="123"/>
    </row>
    <row r="2586" spans="1:14" customFormat="1" x14ac:dyDescent="0.55000000000000004">
      <c r="A2586" s="107" t="s">
        <v>249</v>
      </c>
      <c r="B2586" s="68" t="s">
        <v>244</v>
      </c>
      <c r="C2586" s="68" t="s">
        <v>127</v>
      </c>
      <c r="D2586" s="68" t="s">
        <v>2994</v>
      </c>
      <c r="E2586" s="120">
        <f>3.28*0.65</f>
        <v>2.1320000000000001</v>
      </c>
      <c r="F2586" s="151" t="s">
        <v>138</v>
      </c>
      <c r="G2586" s="151" t="s">
        <v>135</v>
      </c>
      <c r="H2586" s="68" t="s">
        <v>250</v>
      </c>
      <c r="I2586" t="s">
        <v>1245</v>
      </c>
      <c r="J2586" s="74" t="str">
        <f t="shared" si="11"/>
        <v>[TIMES_SE] Cement clinker kiln, PCC CCS</v>
      </c>
      <c r="L2586" s="163"/>
      <c r="M2586" s="48"/>
      <c r="N2586" s="123"/>
    </row>
    <row r="2587" spans="1:14" customFormat="1" x14ac:dyDescent="0.55000000000000004">
      <c r="A2587" s="107" t="s">
        <v>249</v>
      </c>
      <c r="B2587" s="68" t="s">
        <v>137</v>
      </c>
      <c r="C2587" s="68" t="s">
        <v>127</v>
      </c>
      <c r="D2587" s="68" t="s">
        <v>2994</v>
      </c>
      <c r="E2587" s="120">
        <f>3.28-E2586</f>
        <v>1.1479999999999997</v>
      </c>
      <c r="F2587" s="151" t="s">
        <v>138</v>
      </c>
      <c r="G2587" s="151" t="s">
        <v>135</v>
      </c>
      <c r="H2587" s="68" t="s">
        <v>246</v>
      </c>
      <c r="I2587" t="s">
        <v>1246</v>
      </c>
      <c r="J2587" s="74" t="str">
        <f t="shared" si="11"/>
        <v>[TIMES_SE] Cement clinker kiln, PCC CCS</v>
      </c>
      <c r="L2587" s="163"/>
      <c r="M2587" s="48"/>
      <c r="N2587" s="123"/>
    </row>
    <row r="2588" spans="1:14" customFormat="1" x14ac:dyDescent="0.55000000000000004">
      <c r="A2588" s="107" t="s">
        <v>249</v>
      </c>
      <c r="B2588" s="68" t="s">
        <v>188</v>
      </c>
      <c r="C2588" s="68" t="s">
        <v>127</v>
      </c>
      <c r="D2588" s="68" t="s">
        <v>2994</v>
      </c>
      <c r="E2588" s="120">
        <v>2.77</v>
      </c>
      <c r="F2588" s="151" t="s">
        <v>138</v>
      </c>
      <c r="G2588" s="151" t="s">
        <v>135</v>
      </c>
      <c r="H2588" s="68" t="s">
        <v>39</v>
      </c>
      <c r="J2588" s="74" t="str">
        <f t="shared" si="11"/>
        <v>[TIMES_SE] Cement clinker kiln, PCC CCS</v>
      </c>
      <c r="L2588" s="163"/>
      <c r="M2588" s="48"/>
      <c r="N2588" s="123"/>
    </row>
    <row r="2589" spans="1:14" customFormat="1" x14ac:dyDescent="0.55000000000000004">
      <c r="A2589" s="107" t="s">
        <v>249</v>
      </c>
      <c r="B2589" s="68" t="s">
        <v>153</v>
      </c>
      <c r="C2589" s="68" t="s">
        <v>127</v>
      </c>
      <c r="D2589" s="68" t="s">
        <v>2994</v>
      </c>
      <c r="E2589" s="120">
        <v>0.65</v>
      </c>
      <c r="F2589" s="151" t="s">
        <v>138</v>
      </c>
      <c r="G2589" s="151" t="s">
        <v>135</v>
      </c>
      <c r="H2589" s="68" t="s">
        <v>39</v>
      </c>
      <c r="J2589" s="74" t="str">
        <f t="shared" si="11"/>
        <v>[TIMES_SE] Cement clinker kiln, PCC CCS</v>
      </c>
      <c r="L2589" s="163"/>
      <c r="M2589" s="48"/>
      <c r="N2589" s="123"/>
    </row>
    <row r="2590" spans="1:14" customFormat="1" x14ac:dyDescent="0.55000000000000004">
      <c r="A2590" s="107" t="s">
        <v>249</v>
      </c>
      <c r="B2590" t="s">
        <v>160</v>
      </c>
      <c r="C2590" t="s">
        <v>247</v>
      </c>
      <c r="D2590" t="s">
        <v>3288</v>
      </c>
      <c r="E2590" s="119">
        <f>0.203736*0.1</f>
        <v>2.0373600000000002E-2</v>
      </c>
      <c r="F2590" s="149" t="s">
        <v>135</v>
      </c>
      <c r="G2590" s="149" t="s">
        <v>135</v>
      </c>
      <c r="H2590" s="68" t="s">
        <v>413</v>
      </c>
      <c r="I2590" t="s">
        <v>2034</v>
      </c>
      <c r="J2590" s="74" t="str">
        <f t="shared" si="11"/>
        <v>[TIMES_SE] Cement clinker kiln, PCC CCS</v>
      </c>
      <c r="L2590" s="160"/>
      <c r="M2590" s="48"/>
      <c r="N2590" s="123"/>
    </row>
    <row r="2591" spans="1:14" customFormat="1" x14ac:dyDescent="0.55000000000000004">
      <c r="A2591" s="107" t="s">
        <v>249</v>
      </c>
      <c r="B2591" t="s">
        <v>160</v>
      </c>
      <c r="C2591" t="s">
        <v>247</v>
      </c>
      <c r="D2591" t="s">
        <v>3288</v>
      </c>
      <c r="E2591" s="119">
        <f>0.208936*0.1</f>
        <v>2.0893600000000002E-2</v>
      </c>
      <c r="F2591" s="149" t="s">
        <v>135</v>
      </c>
      <c r="G2591" s="149" t="s">
        <v>135</v>
      </c>
      <c r="H2591" s="68" t="s">
        <v>373</v>
      </c>
      <c r="I2591" t="s">
        <v>2035</v>
      </c>
      <c r="J2591" s="74" t="str">
        <f t="shared" si="11"/>
        <v>[TIMES_SE] Cement clinker kiln, PCC CCS</v>
      </c>
      <c r="L2591" s="160"/>
      <c r="M2591" s="48"/>
      <c r="N2591" s="123"/>
    </row>
    <row r="2592" spans="1:14" customFormat="1" x14ac:dyDescent="0.55000000000000004">
      <c r="A2592" s="107" t="s">
        <v>249</v>
      </c>
      <c r="B2592" t="s">
        <v>160</v>
      </c>
      <c r="C2592" t="s">
        <v>156</v>
      </c>
      <c r="D2592" t="s">
        <v>3288</v>
      </c>
      <c r="E2592" s="119">
        <f>0.203736*0.9</f>
        <v>0.18336240000000001</v>
      </c>
      <c r="F2592" s="149" t="s">
        <v>135</v>
      </c>
      <c r="G2592" s="149" t="s">
        <v>135</v>
      </c>
      <c r="H2592" s="68" t="s">
        <v>413</v>
      </c>
      <c r="I2592" t="s">
        <v>2034</v>
      </c>
      <c r="J2592" s="74" t="str">
        <f t="shared" si="11"/>
        <v>[TIMES_SE] Cement clinker kiln, PCC CCS</v>
      </c>
      <c r="L2592" s="160"/>
      <c r="M2592" s="48"/>
      <c r="N2592" s="123"/>
    </row>
    <row r="2593" spans="1:14" customFormat="1" x14ac:dyDescent="0.55000000000000004">
      <c r="A2593" s="107" t="s">
        <v>249</v>
      </c>
      <c r="B2593" t="s">
        <v>160</v>
      </c>
      <c r="C2593" t="s">
        <v>156</v>
      </c>
      <c r="D2593" t="s">
        <v>3288</v>
      </c>
      <c r="E2593" s="119">
        <f>0.208936*0.9</f>
        <v>0.18804240000000003</v>
      </c>
      <c r="F2593" s="149" t="s">
        <v>135</v>
      </c>
      <c r="G2593" s="149" t="s">
        <v>135</v>
      </c>
      <c r="H2593" s="68" t="s">
        <v>373</v>
      </c>
      <c r="I2593" t="s">
        <v>2035</v>
      </c>
      <c r="J2593" s="74" t="str">
        <f t="shared" si="11"/>
        <v>[TIMES_SE] Cement clinker kiln, PCC CCS</v>
      </c>
      <c r="L2593" s="160"/>
      <c r="M2593" s="48"/>
      <c r="N2593" s="123"/>
    </row>
    <row r="2594" spans="1:14" customFormat="1" x14ac:dyDescent="0.55000000000000004">
      <c r="A2594" s="107" t="s">
        <v>248</v>
      </c>
      <c r="B2594" s="68" t="s">
        <v>134</v>
      </c>
      <c r="C2594" s="68" t="s">
        <v>121</v>
      </c>
      <c r="D2594" s="68" t="s">
        <v>3288</v>
      </c>
      <c r="E2594" s="120">
        <v>1</v>
      </c>
      <c r="F2594" s="151" t="s">
        <v>135</v>
      </c>
      <c r="G2594" s="151">
        <v>1</v>
      </c>
      <c r="H2594" s="68"/>
      <c r="J2594" s="74" t="str">
        <f t="shared" si="11"/>
        <v>[TIMES_SE] Cement clinker kiln, plasma CCS</v>
      </c>
      <c r="L2594" s="160" t="s">
        <v>241</v>
      </c>
      <c r="M2594" s="48"/>
      <c r="N2594" s="123"/>
    </row>
    <row r="2595" spans="1:14" customFormat="1" x14ac:dyDescent="0.55000000000000004">
      <c r="A2595" s="107" t="s">
        <v>248</v>
      </c>
      <c r="B2595" s="68" t="s">
        <v>131</v>
      </c>
      <c r="C2595" t="s">
        <v>207</v>
      </c>
      <c r="D2595" s="68" t="s">
        <v>3288</v>
      </c>
      <c r="E2595" s="120">
        <f>AVERAGE(0.8,1.6)</f>
        <v>1.2000000000000002</v>
      </c>
      <c r="F2595" s="151" t="s">
        <v>135</v>
      </c>
      <c r="G2595" s="151" t="s">
        <v>135</v>
      </c>
      <c r="H2595" s="68" t="s">
        <v>242</v>
      </c>
      <c r="I2595" t="s">
        <v>1244</v>
      </c>
      <c r="J2595" s="74" t="str">
        <f t="shared" si="11"/>
        <v>[TIMES_SE] Cement clinker kiln, plasma CCS</v>
      </c>
      <c r="L2595" s="163"/>
      <c r="M2595" s="48"/>
      <c r="N2595" s="123"/>
    </row>
    <row r="2596" spans="1:14" customFormat="1" x14ac:dyDescent="0.55000000000000004">
      <c r="A2596" s="107" t="s">
        <v>248</v>
      </c>
      <c r="B2596" s="68" t="s">
        <v>238</v>
      </c>
      <c r="C2596" t="s">
        <v>207</v>
      </c>
      <c r="D2596" s="68" t="s">
        <v>3288</v>
      </c>
      <c r="E2596" s="120">
        <f>1.6-E2595</f>
        <v>0.39999999999999991</v>
      </c>
      <c r="F2596" s="151" t="s">
        <v>135</v>
      </c>
      <c r="G2596" s="151" t="s">
        <v>135</v>
      </c>
      <c r="H2596" s="68" t="s">
        <v>243</v>
      </c>
      <c r="J2596" s="74" t="str">
        <f t="shared" si="11"/>
        <v>[TIMES_SE] Cement clinker kiln, plasma CCS</v>
      </c>
      <c r="L2596" s="163"/>
      <c r="M2596" s="48"/>
      <c r="N2596" s="123"/>
    </row>
    <row r="2597" spans="1:14" customFormat="1" x14ac:dyDescent="0.55000000000000004">
      <c r="A2597" s="107" t="s">
        <v>248</v>
      </c>
      <c r="B2597" s="68" t="s">
        <v>153</v>
      </c>
      <c r="C2597" s="68" t="s">
        <v>127</v>
      </c>
      <c r="D2597" s="68" t="s">
        <v>2994</v>
      </c>
      <c r="E2597" s="120">
        <v>5.13</v>
      </c>
      <c r="F2597" s="151" t="s">
        <v>138</v>
      </c>
      <c r="G2597" s="151" t="s">
        <v>135</v>
      </c>
      <c r="H2597" s="68" t="s">
        <v>39</v>
      </c>
      <c r="J2597" s="74" t="str">
        <f t="shared" si="11"/>
        <v>[TIMES_SE] Cement clinker kiln, plasma CCS</v>
      </c>
      <c r="L2597" s="163"/>
      <c r="M2597" s="48"/>
      <c r="N2597" s="123"/>
    </row>
    <row r="2598" spans="1:14" customFormat="1" x14ac:dyDescent="0.55000000000000004">
      <c r="A2598" s="107" t="s">
        <v>248</v>
      </c>
      <c r="B2598" s="68" t="s">
        <v>160</v>
      </c>
      <c r="C2598" t="s">
        <v>247</v>
      </c>
      <c r="D2598" s="68" t="s">
        <v>3288</v>
      </c>
      <c r="E2598" s="119">
        <v>0</v>
      </c>
      <c r="F2598" s="151" t="s">
        <v>135</v>
      </c>
      <c r="G2598" s="151" t="s">
        <v>135</v>
      </c>
      <c r="H2598" s="68" t="s">
        <v>39</v>
      </c>
      <c r="J2598" s="74" t="str">
        <f t="shared" si="11"/>
        <v>[TIMES_SE] Cement clinker kiln, plasma CCS</v>
      </c>
      <c r="L2598" s="163"/>
      <c r="M2598" s="48"/>
      <c r="N2598" s="123"/>
    </row>
    <row r="2599" spans="1:14" customFormat="1" x14ac:dyDescent="0.55000000000000004">
      <c r="A2599" s="107" t="s">
        <v>248</v>
      </c>
      <c r="B2599" t="s">
        <v>160</v>
      </c>
      <c r="C2599" t="s">
        <v>156</v>
      </c>
      <c r="D2599" t="s">
        <v>3288</v>
      </c>
      <c r="E2599" s="119"/>
      <c r="F2599" s="151" t="s">
        <v>135</v>
      </c>
      <c r="G2599" s="149" t="s">
        <v>135</v>
      </c>
      <c r="H2599" t="s">
        <v>39</v>
      </c>
      <c r="I2599" t="s">
        <v>2033</v>
      </c>
      <c r="J2599" s="74" t="str">
        <f t="shared" si="11"/>
        <v>[TIMES_SE] Cement clinker kiln, plasma CCS</v>
      </c>
      <c r="L2599" s="160"/>
      <c r="M2599" s="48"/>
      <c r="N2599" s="123"/>
    </row>
    <row r="2600" spans="1:14" customFormat="1" x14ac:dyDescent="0.55000000000000004">
      <c r="A2600" s="107" t="s">
        <v>240</v>
      </c>
      <c r="B2600" s="68" t="s">
        <v>134</v>
      </c>
      <c r="C2600" s="68" t="s">
        <v>121</v>
      </c>
      <c r="D2600" s="68" t="s">
        <v>3288</v>
      </c>
      <c r="E2600" s="120">
        <v>1</v>
      </c>
      <c r="F2600" s="151" t="s">
        <v>135</v>
      </c>
      <c r="G2600" s="151">
        <v>1</v>
      </c>
      <c r="H2600" s="68"/>
      <c r="J2600" s="74" t="str">
        <f t="shared" si="11"/>
        <v>[TIMES_SE] Cement clinker kiln, tail end Ca loop CCS</v>
      </c>
      <c r="L2600" s="160" t="s">
        <v>241</v>
      </c>
      <c r="M2600" s="48"/>
      <c r="N2600" s="123"/>
    </row>
    <row r="2601" spans="1:14" customFormat="1" x14ac:dyDescent="0.55000000000000004">
      <c r="A2601" s="107" t="s">
        <v>240</v>
      </c>
      <c r="B2601" s="68" t="s">
        <v>131</v>
      </c>
      <c r="C2601" t="s">
        <v>207</v>
      </c>
      <c r="D2601" s="68" t="s">
        <v>3288</v>
      </c>
      <c r="E2601" s="120">
        <f>AVERAGE(0.8,1.6)</f>
        <v>1.2000000000000002</v>
      </c>
      <c r="F2601" s="151" t="s">
        <v>135</v>
      </c>
      <c r="G2601" s="151" t="s">
        <v>135</v>
      </c>
      <c r="H2601" s="68" t="s">
        <v>242</v>
      </c>
      <c r="I2601" t="s">
        <v>1244</v>
      </c>
      <c r="J2601" s="74" t="str">
        <f t="shared" ref="J2601:J2664" si="12">A2601</f>
        <v>[TIMES_SE] Cement clinker kiln, tail end Ca loop CCS</v>
      </c>
      <c r="L2601" s="163"/>
      <c r="M2601" s="48"/>
      <c r="N2601" s="123"/>
    </row>
    <row r="2602" spans="1:14" customFormat="1" x14ac:dyDescent="0.55000000000000004">
      <c r="A2602" s="107" t="s">
        <v>240</v>
      </c>
      <c r="B2602" s="68" t="s">
        <v>238</v>
      </c>
      <c r="C2602" t="s">
        <v>207</v>
      </c>
      <c r="D2602" s="68" t="s">
        <v>3288</v>
      </c>
      <c r="E2602" s="120">
        <f>1.6-E2601</f>
        <v>0.39999999999999991</v>
      </c>
      <c r="F2602" s="151" t="s">
        <v>135</v>
      </c>
      <c r="G2602" s="151" t="s">
        <v>135</v>
      </c>
      <c r="H2602" s="68" t="s">
        <v>243</v>
      </c>
      <c r="I2602" t="s">
        <v>535</v>
      </c>
      <c r="J2602" s="74" t="str">
        <f t="shared" si="12"/>
        <v>[TIMES_SE] Cement clinker kiln, tail end Ca loop CCS</v>
      </c>
      <c r="L2602" s="163"/>
      <c r="M2602" s="48"/>
      <c r="N2602" s="123"/>
    </row>
    <row r="2603" spans="1:14" customFormat="1" x14ac:dyDescent="0.55000000000000004">
      <c r="A2603" s="107" t="s">
        <v>240</v>
      </c>
      <c r="B2603" s="68" t="s">
        <v>244</v>
      </c>
      <c r="C2603" s="68" t="s">
        <v>127</v>
      </c>
      <c r="D2603" s="68" t="s">
        <v>2994</v>
      </c>
      <c r="E2603" s="120">
        <f>7.1*0.65</f>
        <v>4.6150000000000002</v>
      </c>
      <c r="F2603" s="151" t="s">
        <v>138</v>
      </c>
      <c r="G2603" s="151" t="s">
        <v>135</v>
      </c>
      <c r="H2603" s="68" t="s">
        <v>245</v>
      </c>
      <c r="I2603" t="s">
        <v>1245</v>
      </c>
      <c r="J2603" s="74" t="str">
        <f t="shared" si="12"/>
        <v>[TIMES_SE] Cement clinker kiln, tail end Ca loop CCS</v>
      </c>
      <c r="L2603" s="163"/>
      <c r="M2603" s="48"/>
      <c r="N2603" s="123"/>
    </row>
    <row r="2604" spans="1:14" customFormat="1" x14ac:dyDescent="0.55000000000000004">
      <c r="A2604" s="107" t="s">
        <v>240</v>
      </c>
      <c r="B2604" s="68" t="s">
        <v>137</v>
      </c>
      <c r="C2604" s="68" t="s">
        <v>127</v>
      </c>
      <c r="D2604" s="68" t="s">
        <v>2994</v>
      </c>
      <c r="E2604" s="120">
        <f>7.1-E2603</f>
        <v>2.4849999999999994</v>
      </c>
      <c r="F2604" s="151" t="s">
        <v>138</v>
      </c>
      <c r="G2604" s="151" t="s">
        <v>135</v>
      </c>
      <c r="H2604" s="68" t="s">
        <v>246</v>
      </c>
      <c r="I2604" t="s">
        <v>1246</v>
      </c>
      <c r="J2604" s="74" t="str">
        <f t="shared" si="12"/>
        <v>[TIMES_SE] Cement clinker kiln, tail end Ca loop CCS</v>
      </c>
      <c r="L2604" s="163"/>
      <c r="M2604" s="48"/>
      <c r="N2604" s="123"/>
    </row>
    <row r="2605" spans="1:14" customFormat="1" x14ac:dyDescent="0.55000000000000004">
      <c r="A2605" s="107" t="s">
        <v>240</v>
      </c>
      <c r="B2605" s="68" t="s">
        <v>153</v>
      </c>
      <c r="C2605" s="68" t="s">
        <v>127</v>
      </c>
      <c r="D2605" s="68" t="s">
        <v>2994</v>
      </c>
      <c r="E2605" s="120">
        <v>1.24</v>
      </c>
      <c r="F2605" s="151" t="s">
        <v>138</v>
      </c>
      <c r="G2605" s="151" t="s">
        <v>135</v>
      </c>
      <c r="H2605" s="68" t="s">
        <v>39</v>
      </c>
      <c r="J2605" s="74" t="str">
        <f t="shared" si="12"/>
        <v>[TIMES_SE] Cement clinker kiln, tail end Ca loop CCS</v>
      </c>
      <c r="L2605" s="163"/>
      <c r="M2605" s="48"/>
      <c r="N2605" s="123"/>
    </row>
    <row r="2606" spans="1:14" customFormat="1" x14ac:dyDescent="0.55000000000000004">
      <c r="A2606" s="107" t="s">
        <v>240</v>
      </c>
      <c r="B2606" s="68" t="s">
        <v>153</v>
      </c>
      <c r="C2606" t="s">
        <v>156</v>
      </c>
      <c r="D2606" s="68" t="s">
        <v>2994</v>
      </c>
      <c r="E2606" s="120">
        <v>1.2709999999999999</v>
      </c>
      <c r="F2606" s="151" t="s">
        <v>138</v>
      </c>
      <c r="G2606" s="151" t="s">
        <v>135</v>
      </c>
      <c r="H2606" s="68" t="s">
        <v>39</v>
      </c>
      <c r="J2606" s="74" t="str">
        <f t="shared" si="12"/>
        <v>[TIMES_SE] Cement clinker kiln, tail end Ca loop CCS</v>
      </c>
      <c r="L2606" s="163"/>
      <c r="M2606" s="48"/>
      <c r="N2606" s="123"/>
    </row>
    <row r="2607" spans="1:14" customFormat="1" x14ac:dyDescent="0.55000000000000004">
      <c r="A2607" s="107" t="s">
        <v>240</v>
      </c>
      <c r="B2607" t="s">
        <v>160</v>
      </c>
      <c r="C2607" t="s">
        <v>247</v>
      </c>
      <c r="D2607" t="s">
        <v>3288</v>
      </c>
      <c r="E2607" s="119">
        <f>0.45227*(1-0.936)</f>
        <v>2.8945279999999976E-2</v>
      </c>
      <c r="F2607" s="149" t="s">
        <v>135</v>
      </c>
      <c r="G2607" s="149" t="s">
        <v>135</v>
      </c>
      <c r="H2607" s="68" t="s">
        <v>413</v>
      </c>
      <c r="I2607" t="s">
        <v>2031</v>
      </c>
      <c r="J2607" s="74" t="str">
        <f t="shared" si="12"/>
        <v>[TIMES_SE] Cement clinker kiln, tail end Ca loop CCS</v>
      </c>
      <c r="L2607" s="160"/>
      <c r="M2607" s="48"/>
      <c r="N2607" s="123"/>
    </row>
    <row r="2608" spans="1:14" customFormat="1" x14ac:dyDescent="0.55000000000000004">
      <c r="A2608" s="107" t="s">
        <v>240</v>
      </c>
      <c r="B2608" t="s">
        <v>160</v>
      </c>
      <c r="C2608" t="s">
        <v>247</v>
      </c>
      <c r="D2608" t="s">
        <v>3288</v>
      </c>
      <c r="E2608" s="119">
        <f>0.12922*(1-0.936)</f>
        <v>8.2700799999999939E-3</v>
      </c>
      <c r="F2608" s="149" t="s">
        <v>135</v>
      </c>
      <c r="G2608" s="149" t="s">
        <v>135</v>
      </c>
      <c r="H2608" s="68" t="s">
        <v>373</v>
      </c>
      <c r="I2608" t="s">
        <v>2032</v>
      </c>
      <c r="J2608" s="74" t="str">
        <f t="shared" si="12"/>
        <v>[TIMES_SE] Cement clinker kiln, tail end Ca loop CCS</v>
      </c>
      <c r="L2608" s="160"/>
      <c r="M2608" s="48"/>
      <c r="N2608" s="123"/>
    </row>
    <row r="2609" spans="1:14" customFormat="1" x14ac:dyDescent="0.55000000000000004">
      <c r="A2609" s="107" t="s">
        <v>240</v>
      </c>
      <c r="B2609" t="s">
        <v>160</v>
      </c>
      <c r="C2609" t="s">
        <v>156</v>
      </c>
      <c r="D2609" t="s">
        <v>3288</v>
      </c>
      <c r="E2609" s="119">
        <f>0.45227*0.936</f>
        <v>0.42332472000000004</v>
      </c>
      <c r="F2609" s="149" t="s">
        <v>135</v>
      </c>
      <c r="G2609" s="149" t="s">
        <v>135</v>
      </c>
      <c r="H2609" s="68" t="s">
        <v>413</v>
      </c>
      <c r="I2609" t="s">
        <v>2031</v>
      </c>
      <c r="J2609" s="74" t="str">
        <f t="shared" si="12"/>
        <v>[TIMES_SE] Cement clinker kiln, tail end Ca loop CCS</v>
      </c>
      <c r="L2609" s="160"/>
      <c r="M2609" s="48"/>
      <c r="N2609" s="123"/>
    </row>
    <row r="2610" spans="1:14" customFormat="1" x14ac:dyDescent="0.55000000000000004">
      <c r="A2610" s="107" t="s">
        <v>240</v>
      </c>
      <c r="B2610" t="s">
        <v>160</v>
      </c>
      <c r="C2610" t="s">
        <v>156</v>
      </c>
      <c r="D2610" t="s">
        <v>3288</v>
      </c>
      <c r="E2610" s="119">
        <f>0.12922*0.936</f>
        <v>0.12094992</v>
      </c>
      <c r="F2610" s="149" t="s">
        <v>135</v>
      </c>
      <c r="G2610" s="149" t="s">
        <v>135</v>
      </c>
      <c r="H2610" s="68" t="s">
        <v>373</v>
      </c>
      <c r="I2610" t="s">
        <v>2032</v>
      </c>
      <c r="J2610" s="74" t="str">
        <f t="shared" si="12"/>
        <v>[TIMES_SE] Cement clinker kiln, tail end Ca loop CCS</v>
      </c>
      <c r="L2610" s="160"/>
      <c r="M2610" s="48"/>
      <c r="N2610" s="123"/>
    </row>
    <row r="2611" spans="1:14" customFormat="1" x14ac:dyDescent="0.55000000000000004">
      <c r="A2611" s="107" t="s">
        <v>235</v>
      </c>
      <c r="B2611" s="68" t="s">
        <v>236</v>
      </c>
      <c r="C2611" s="68" t="s">
        <v>121</v>
      </c>
      <c r="D2611" s="68" t="s">
        <v>3288</v>
      </c>
      <c r="E2611" s="120">
        <v>1</v>
      </c>
      <c r="F2611" s="151" t="s">
        <v>135</v>
      </c>
      <c r="G2611" s="151">
        <v>1</v>
      </c>
      <c r="H2611" s="68"/>
      <c r="J2611" s="74" t="str">
        <f t="shared" si="12"/>
        <v>[TIMES_SE] Cement grinder</v>
      </c>
      <c r="L2611" s="163"/>
      <c r="M2611" s="48"/>
      <c r="N2611" s="123"/>
    </row>
    <row r="2612" spans="1:14" customFormat="1" x14ac:dyDescent="0.55000000000000004">
      <c r="A2612" s="107" t="s">
        <v>235</v>
      </c>
      <c r="B2612" s="68" t="s">
        <v>134</v>
      </c>
      <c r="C2612" t="s">
        <v>207</v>
      </c>
      <c r="D2612" s="68" t="s">
        <v>3288</v>
      </c>
      <c r="E2612" s="120">
        <v>0.84</v>
      </c>
      <c r="F2612" s="151" t="s">
        <v>135</v>
      </c>
      <c r="G2612" s="151" t="s">
        <v>135</v>
      </c>
      <c r="H2612" s="68" t="s">
        <v>237</v>
      </c>
      <c r="J2612" s="74" t="str">
        <f t="shared" si="12"/>
        <v>[TIMES_SE] Cement grinder</v>
      </c>
      <c r="L2612" s="163"/>
      <c r="M2612" s="48"/>
      <c r="N2612" s="123"/>
    </row>
    <row r="2613" spans="1:14" customFormat="1" x14ac:dyDescent="0.55000000000000004">
      <c r="A2613" s="107" t="s">
        <v>235</v>
      </c>
      <c r="B2613" s="68" t="s">
        <v>238</v>
      </c>
      <c r="C2613" t="s">
        <v>207</v>
      </c>
      <c r="D2613" s="68" t="s">
        <v>3288</v>
      </c>
      <c r="E2613" s="120">
        <f>1-E2612</f>
        <v>0.16000000000000003</v>
      </c>
      <c r="F2613" s="151" t="s">
        <v>135</v>
      </c>
      <c r="G2613" s="151" t="s">
        <v>135</v>
      </c>
      <c r="H2613" s="68" t="s">
        <v>239</v>
      </c>
      <c r="J2613" s="74" t="str">
        <f t="shared" si="12"/>
        <v>[TIMES_SE] Cement grinder</v>
      </c>
      <c r="L2613" s="163"/>
      <c r="M2613" s="48"/>
      <c r="N2613" s="123"/>
    </row>
    <row r="2614" spans="1:14" customFormat="1" x14ac:dyDescent="0.55000000000000004">
      <c r="A2614" s="107" t="s">
        <v>235</v>
      </c>
      <c r="B2614" s="68" t="s">
        <v>153</v>
      </c>
      <c r="C2614" s="68" t="s">
        <v>127</v>
      </c>
      <c r="D2614" s="68" t="s">
        <v>2994</v>
      </c>
      <c r="E2614" s="120">
        <v>0.17</v>
      </c>
      <c r="F2614" s="151" t="s">
        <v>138</v>
      </c>
      <c r="G2614" s="151" t="s">
        <v>135</v>
      </c>
      <c r="H2614" s="68" t="s">
        <v>39</v>
      </c>
      <c r="J2614" s="74" t="str">
        <f t="shared" si="12"/>
        <v>[TIMES_SE] Cement grinder</v>
      </c>
      <c r="L2614" s="163"/>
      <c r="M2614" s="48"/>
      <c r="N2614" s="123"/>
    </row>
    <row r="2615" spans="1:14" customFormat="1" x14ac:dyDescent="0.55000000000000004">
      <c r="A2615" s="107" t="s">
        <v>235</v>
      </c>
      <c r="B2615" s="68" t="s">
        <v>160</v>
      </c>
      <c r="C2615" t="s">
        <v>247</v>
      </c>
      <c r="D2615" s="68" t="s">
        <v>3288</v>
      </c>
      <c r="E2615" s="119">
        <v>0</v>
      </c>
      <c r="F2615" s="151" t="s">
        <v>135</v>
      </c>
      <c r="G2615" s="151" t="s">
        <v>135</v>
      </c>
      <c r="H2615" s="68" t="s">
        <v>39</v>
      </c>
      <c r="J2615" s="74" t="str">
        <f t="shared" si="12"/>
        <v>[TIMES_SE] Cement grinder</v>
      </c>
      <c r="L2615" s="163"/>
      <c r="M2615" s="48"/>
      <c r="N2615" s="123"/>
    </row>
    <row r="2616" spans="1:14" customFormat="1" x14ac:dyDescent="0.55000000000000004">
      <c r="A2616" s="111" t="s">
        <v>361</v>
      </c>
      <c r="B2616" t="s">
        <v>362</v>
      </c>
      <c r="C2616" t="s">
        <v>121</v>
      </c>
      <c r="D2616" t="s">
        <v>3288</v>
      </c>
      <c r="E2616" s="116">
        <v>1</v>
      </c>
      <c r="F2616" s="149" t="s">
        <v>135</v>
      </c>
      <c r="G2616" s="149">
        <v>1</v>
      </c>
      <c r="H2616" s="68"/>
      <c r="J2616" s="77" t="str">
        <f t="shared" si="12"/>
        <v>[TIMES_SE] Continuos casting</v>
      </c>
      <c r="L2616" s="131"/>
      <c r="M2616" s="48"/>
      <c r="N2616" s="123"/>
    </row>
    <row r="2617" spans="1:14" customFormat="1" x14ac:dyDescent="0.55000000000000004">
      <c r="A2617" s="111" t="s">
        <v>361</v>
      </c>
      <c r="B2617" t="s">
        <v>339</v>
      </c>
      <c r="C2617" s="21" t="s">
        <v>125</v>
      </c>
      <c r="D2617" t="s">
        <v>3288</v>
      </c>
      <c r="E2617" s="116">
        <f>1/0.965</f>
        <v>1.0362694300518136</v>
      </c>
      <c r="F2617" s="149" t="s">
        <v>135</v>
      </c>
      <c r="G2617" s="149" t="s">
        <v>135</v>
      </c>
      <c r="H2617" s="68" t="s">
        <v>39</v>
      </c>
      <c r="I2617" t="s">
        <v>363</v>
      </c>
      <c r="J2617" s="77" t="str">
        <f t="shared" si="12"/>
        <v>[TIMES_SE] Continuos casting</v>
      </c>
      <c r="L2617" s="131"/>
      <c r="M2617" s="48"/>
      <c r="N2617" s="123"/>
    </row>
    <row r="2618" spans="1:14" customFormat="1" x14ac:dyDescent="0.55000000000000004">
      <c r="A2618" s="111" t="s">
        <v>361</v>
      </c>
      <c r="B2618" t="s">
        <v>171</v>
      </c>
      <c r="C2618" t="s">
        <v>127</v>
      </c>
      <c r="D2618" t="s">
        <v>2994</v>
      </c>
      <c r="E2618" s="116">
        <v>0.01</v>
      </c>
      <c r="F2618" s="149" t="s">
        <v>138</v>
      </c>
      <c r="G2618" s="149" t="s">
        <v>135</v>
      </c>
      <c r="H2618" s="68" t="s">
        <v>39</v>
      </c>
      <c r="I2618" t="s">
        <v>364</v>
      </c>
      <c r="J2618" s="77" t="str">
        <f t="shared" si="12"/>
        <v>[TIMES_SE] Continuos casting</v>
      </c>
      <c r="L2618" s="131"/>
      <c r="M2618" s="48"/>
      <c r="N2618" s="123"/>
    </row>
    <row r="2619" spans="1:14" customFormat="1" x14ac:dyDescent="0.55000000000000004">
      <c r="A2619" s="111" t="s">
        <v>361</v>
      </c>
      <c r="B2619" t="s">
        <v>153</v>
      </c>
      <c r="C2619" t="s">
        <v>127</v>
      </c>
      <c r="D2619" t="s">
        <v>2994</v>
      </c>
      <c r="E2619" s="116">
        <v>3.6999999999999998E-2</v>
      </c>
      <c r="F2619" s="149" t="s">
        <v>138</v>
      </c>
      <c r="G2619" s="149" t="s">
        <v>135</v>
      </c>
      <c r="H2619" s="68" t="s">
        <v>39</v>
      </c>
      <c r="J2619" s="77" t="str">
        <f t="shared" si="12"/>
        <v>[TIMES_SE] Continuos casting</v>
      </c>
      <c r="L2619" s="131"/>
      <c r="M2619" s="48"/>
      <c r="N2619" s="123"/>
    </row>
    <row r="2620" spans="1:14" customFormat="1" x14ac:dyDescent="0.55000000000000004">
      <c r="A2620" s="111" t="s">
        <v>361</v>
      </c>
      <c r="B2620" t="s">
        <v>213</v>
      </c>
      <c r="C2620" t="s">
        <v>125</v>
      </c>
      <c r="D2620" t="s">
        <v>3289</v>
      </c>
      <c r="E2620" s="116">
        <v>2.1</v>
      </c>
      <c r="F2620" s="149" t="s">
        <v>133</v>
      </c>
      <c r="G2620" s="149" t="s">
        <v>135</v>
      </c>
      <c r="H2620" s="68" t="s">
        <v>39</v>
      </c>
      <c r="J2620" s="77" t="str">
        <f t="shared" si="12"/>
        <v>[TIMES_SE] Continuos casting</v>
      </c>
      <c r="L2620" s="131"/>
      <c r="M2620" s="48"/>
      <c r="N2620" s="123"/>
    </row>
    <row r="2621" spans="1:14" customFormat="1" x14ac:dyDescent="0.55000000000000004">
      <c r="A2621" s="111" t="s">
        <v>361</v>
      </c>
      <c r="B2621" t="s">
        <v>160</v>
      </c>
      <c r="C2621" t="s">
        <v>247</v>
      </c>
      <c r="D2621" t="s">
        <v>3288</v>
      </c>
      <c r="E2621" s="116">
        <v>5.6100000000000008E-4</v>
      </c>
      <c r="F2621" s="149" t="s">
        <v>135</v>
      </c>
      <c r="G2621" s="149" t="s">
        <v>135</v>
      </c>
      <c r="H2621" t="s">
        <v>376</v>
      </c>
      <c r="J2621" s="77" t="str">
        <f t="shared" si="12"/>
        <v>[TIMES_SE] Continuos casting</v>
      </c>
      <c r="L2621" s="131"/>
      <c r="M2621" s="48"/>
      <c r="N2621" s="123"/>
    </row>
    <row r="2622" spans="1:14" customFormat="1" x14ac:dyDescent="0.55000000000000004">
      <c r="A2622" s="92" t="s">
        <v>330</v>
      </c>
      <c r="B2622" t="s">
        <v>323</v>
      </c>
      <c r="C2622" s="21" t="s">
        <v>125</v>
      </c>
      <c r="D2622" t="s">
        <v>3288</v>
      </c>
      <c r="E2622" s="117">
        <f>1/0.753</f>
        <v>1.3280212483399734</v>
      </c>
      <c r="F2622" s="149" t="s">
        <v>135</v>
      </c>
      <c r="G2622" s="149" t="s">
        <v>135</v>
      </c>
      <c r="H2622" t="s">
        <v>39</v>
      </c>
      <c r="I2622" t="s">
        <v>327</v>
      </c>
      <c r="J2622" s="77" t="str">
        <f t="shared" si="12"/>
        <v>[TIMES_SE] Direct Reduced Iron shaft kiln, syngas</v>
      </c>
      <c r="L2622" s="131"/>
      <c r="M2622" s="48"/>
      <c r="N2622" s="123"/>
    </row>
    <row r="2623" spans="1:14" customFormat="1" x14ac:dyDescent="0.55000000000000004">
      <c r="A2623" s="92" t="s">
        <v>330</v>
      </c>
      <c r="B2623" t="s">
        <v>153</v>
      </c>
      <c r="C2623" t="s">
        <v>127</v>
      </c>
      <c r="D2623" t="s">
        <v>2994</v>
      </c>
      <c r="E2623" s="117">
        <v>0.28799999999999998</v>
      </c>
      <c r="F2623" s="149" t="s">
        <v>138</v>
      </c>
      <c r="G2623" s="149" t="s">
        <v>135</v>
      </c>
      <c r="H2623" t="s">
        <v>39</v>
      </c>
      <c r="J2623" s="77" t="str">
        <f t="shared" si="12"/>
        <v>[TIMES_SE] Direct Reduced Iron shaft kiln, syngas</v>
      </c>
      <c r="L2623" s="131"/>
      <c r="M2623" s="48"/>
      <c r="N2623" s="123"/>
    </row>
    <row r="2624" spans="1:14" customFormat="1" x14ac:dyDescent="0.55000000000000004">
      <c r="A2624" s="92" t="s">
        <v>330</v>
      </c>
      <c r="B2624" s="21" t="s">
        <v>331</v>
      </c>
      <c r="C2624" t="s">
        <v>294</v>
      </c>
      <c r="D2624" t="s">
        <v>2994</v>
      </c>
      <c r="E2624" s="117">
        <v>6.58</v>
      </c>
      <c r="F2624" s="149" t="s">
        <v>138</v>
      </c>
      <c r="G2624" s="149" t="s">
        <v>135</v>
      </c>
      <c r="H2624" t="s">
        <v>39</v>
      </c>
      <c r="J2624" s="77" t="str">
        <f t="shared" si="12"/>
        <v>[TIMES_SE] Direct Reduced Iron shaft kiln, syngas</v>
      </c>
      <c r="L2624" s="131"/>
      <c r="M2624" s="48"/>
      <c r="N2624" s="123"/>
    </row>
    <row r="2625" spans="1:14" customFormat="1" x14ac:dyDescent="0.55000000000000004">
      <c r="A2625" s="92" t="s">
        <v>330</v>
      </c>
      <c r="B2625" s="21" t="s">
        <v>331</v>
      </c>
      <c r="C2625" t="s">
        <v>127</v>
      </c>
      <c r="D2625" t="s">
        <v>2994</v>
      </c>
      <c r="E2625" s="117">
        <v>2.82</v>
      </c>
      <c r="F2625" s="149" t="s">
        <v>138</v>
      </c>
      <c r="G2625" s="149" t="s">
        <v>135</v>
      </c>
      <c r="H2625" t="s">
        <v>39</v>
      </c>
      <c r="J2625" s="77" t="str">
        <f t="shared" si="12"/>
        <v>[TIMES_SE] Direct Reduced Iron shaft kiln, syngas</v>
      </c>
      <c r="L2625" s="131"/>
      <c r="M2625" s="48"/>
      <c r="N2625" s="123"/>
    </row>
    <row r="2626" spans="1:14" customFormat="1" x14ac:dyDescent="0.55000000000000004">
      <c r="A2626" s="92" t="s">
        <v>330</v>
      </c>
      <c r="B2626" t="s">
        <v>160</v>
      </c>
      <c r="C2626" t="s">
        <v>247</v>
      </c>
      <c r="D2626" t="s">
        <v>3288</v>
      </c>
      <c r="E2626" s="119">
        <v>0</v>
      </c>
      <c r="F2626" s="149" t="s">
        <v>135</v>
      </c>
      <c r="G2626" s="149" t="s">
        <v>135</v>
      </c>
      <c r="H2626" s="126" t="s">
        <v>39</v>
      </c>
      <c r="I2626" t="s">
        <v>2069</v>
      </c>
      <c r="J2626" s="77" t="str">
        <f t="shared" si="12"/>
        <v>[TIMES_SE] Direct Reduced Iron shaft kiln, syngas</v>
      </c>
      <c r="L2626" s="131"/>
      <c r="M2626" s="48"/>
      <c r="N2626" s="123"/>
    </row>
    <row r="2627" spans="1:14" customFormat="1" x14ac:dyDescent="0.55000000000000004">
      <c r="A2627" s="92" t="s">
        <v>319</v>
      </c>
      <c r="B2627" t="s">
        <v>315</v>
      </c>
      <c r="C2627" t="s">
        <v>121</v>
      </c>
      <c r="D2627" t="s">
        <v>3288</v>
      </c>
      <c r="E2627" s="117">
        <v>1</v>
      </c>
      <c r="F2627" s="149" t="s">
        <v>135</v>
      </c>
      <c r="G2627" s="149">
        <v>1</v>
      </c>
      <c r="J2627" s="77" t="str">
        <f t="shared" si="12"/>
        <v>[TIMES_SE] Direct Reduced Iron, Rotating Hearth</v>
      </c>
      <c r="L2627" s="131"/>
      <c r="M2627" s="48"/>
      <c r="N2627" s="123"/>
    </row>
    <row r="2628" spans="1:14" customFormat="1" x14ac:dyDescent="0.55000000000000004">
      <c r="A2628" s="92" t="s">
        <v>319</v>
      </c>
      <c r="B2628" t="s">
        <v>316</v>
      </c>
      <c r="C2628" s="21" t="s">
        <v>125</v>
      </c>
      <c r="D2628" t="s">
        <v>3288</v>
      </c>
      <c r="E2628" s="117">
        <f>1/0.7</f>
        <v>1.4285714285714286</v>
      </c>
      <c r="F2628" s="149" t="s">
        <v>135</v>
      </c>
      <c r="G2628" s="149" t="s">
        <v>135</v>
      </c>
      <c r="H2628" t="s">
        <v>39</v>
      </c>
      <c r="I2628" t="s">
        <v>320</v>
      </c>
      <c r="J2628" s="77" t="str">
        <f t="shared" si="12"/>
        <v>[TIMES_SE] Direct Reduced Iron, Rotating Hearth</v>
      </c>
      <c r="L2628" s="131"/>
      <c r="M2628" s="48"/>
      <c r="N2628" s="123"/>
    </row>
    <row r="2629" spans="1:14" customFormat="1" x14ac:dyDescent="0.55000000000000004">
      <c r="A2629" s="92" t="s">
        <v>319</v>
      </c>
      <c r="B2629" t="s">
        <v>153</v>
      </c>
      <c r="C2629" t="s">
        <v>127</v>
      </c>
      <c r="D2629" t="s">
        <v>2994</v>
      </c>
      <c r="E2629" s="117">
        <v>0.31</v>
      </c>
      <c r="F2629" s="149" t="s">
        <v>138</v>
      </c>
      <c r="G2629" s="149" t="s">
        <v>135</v>
      </c>
      <c r="H2629" t="s">
        <v>39</v>
      </c>
      <c r="J2629" s="77" t="str">
        <f t="shared" si="12"/>
        <v>[TIMES_SE] Direct Reduced Iron, Rotating Hearth</v>
      </c>
      <c r="L2629" s="131"/>
      <c r="M2629" s="48"/>
      <c r="N2629" s="123"/>
    </row>
    <row r="2630" spans="1:14" customFormat="1" x14ac:dyDescent="0.55000000000000004">
      <c r="A2630" s="92" t="s">
        <v>319</v>
      </c>
      <c r="B2630" s="21" t="s">
        <v>171</v>
      </c>
      <c r="C2630" t="s">
        <v>127</v>
      </c>
      <c r="D2630" t="s">
        <v>2994</v>
      </c>
      <c r="E2630" s="117">
        <v>4.1500000000000004</v>
      </c>
      <c r="F2630" s="149" t="s">
        <v>138</v>
      </c>
      <c r="G2630" s="149" t="s">
        <v>135</v>
      </c>
      <c r="H2630" t="s">
        <v>39</v>
      </c>
      <c r="J2630" s="77" t="str">
        <f t="shared" si="12"/>
        <v>[TIMES_SE] Direct Reduced Iron, Rotating Hearth</v>
      </c>
      <c r="L2630" s="131"/>
      <c r="M2630" s="48"/>
      <c r="N2630" s="123"/>
    </row>
    <row r="2631" spans="1:14" customFormat="1" x14ac:dyDescent="0.55000000000000004">
      <c r="A2631" s="92" t="s">
        <v>319</v>
      </c>
      <c r="B2631" t="s">
        <v>262</v>
      </c>
      <c r="C2631" t="s">
        <v>294</v>
      </c>
      <c r="D2631" t="s">
        <v>2994</v>
      </c>
      <c r="E2631" s="116">
        <v>10.220000000000001</v>
      </c>
      <c r="F2631" s="149" t="s">
        <v>138</v>
      </c>
      <c r="G2631" s="149" t="s">
        <v>135</v>
      </c>
      <c r="H2631" s="68" t="s">
        <v>321</v>
      </c>
      <c r="I2631" t="s">
        <v>310</v>
      </c>
      <c r="J2631" s="77" t="str">
        <f t="shared" si="12"/>
        <v>[TIMES_SE] Direct Reduced Iron, Rotating Hearth</v>
      </c>
      <c r="L2631" s="131"/>
      <c r="M2631" s="48"/>
      <c r="N2631" s="123"/>
    </row>
    <row r="2632" spans="1:14" customFormat="1" x14ac:dyDescent="0.55000000000000004">
      <c r="A2632" s="92" t="s">
        <v>319</v>
      </c>
      <c r="B2632" t="s">
        <v>297</v>
      </c>
      <c r="C2632" t="s">
        <v>294</v>
      </c>
      <c r="D2632" t="s">
        <v>2994</v>
      </c>
      <c r="E2632" s="116">
        <v>0</v>
      </c>
      <c r="F2632" s="149" t="s">
        <v>138</v>
      </c>
      <c r="G2632" s="149" t="s">
        <v>135</v>
      </c>
      <c r="H2632" s="68" t="s">
        <v>321</v>
      </c>
      <c r="I2632" t="s">
        <v>310</v>
      </c>
      <c r="J2632" s="77" t="str">
        <f t="shared" si="12"/>
        <v>[TIMES_SE] Direct Reduced Iron, Rotating Hearth</v>
      </c>
      <c r="L2632" s="131"/>
      <c r="M2632" s="48"/>
      <c r="N2632" s="123"/>
    </row>
    <row r="2633" spans="1:14" customFormat="1" x14ac:dyDescent="0.55000000000000004">
      <c r="A2633" s="92" t="s">
        <v>319</v>
      </c>
      <c r="B2633" t="s">
        <v>131</v>
      </c>
      <c r="C2633" t="s">
        <v>125</v>
      </c>
      <c r="D2633" t="s">
        <v>3288</v>
      </c>
      <c r="E2633" s="116">
        <v>6.3500000000000001E-2</v>
      </c>
      <c r="F2633" s="149" t="s">
        <v>135</v>
      </c>
      <c r="G2633" s="149" t="s">
        <v>135</v>
      </c>
      <c r="H2633" s="68" t="s">
        <v>39</v>
      </c>
      <c r="J2633" s="77" t="str">
        <f t="shared" si="12"/>
        <v>[TIMES_SE] Direct Reduced Iron, Rotating Hearth</v>
      </c>
      <c r="L2633" s="131"/>
      <c r="M2633" s="48"/>
      <c r="N2633" s="123"/>
    </row>
    <row r="2634" spans="1:14" customFormat="1" x14ac:dyDescent="0.55000000000000004">
      <c r="A2634" s="92" t="s">
        <v>319</v>
      </c>
      <c r="B2634" t="s">
        <v>160</v>
      </c>
      <c r="C2634" t="s">
        <v>247</v>
      </c>
      <c r="D2634" t="s">
        <v>3288</v>
      </c>
      <c r="E2634" s="119">
        <v>0.23281500000000002</v>
      </c>
      <c r="F2634" s="149" t="s">
        <v>135</v>
      </c>
      <c r="G2634" s="149" t="s">
        <v>135</v>
      </c>
      <c r="H2634" s="68" t="s">
        <v>376</v>
      </c>
      <c r="I2634" t="s">
        <v>2062</v>
      </c>
      <c r="J2634" s="77" t="str">
        <f t="shared" si="12"/>
        <v>[TIMES_SE] Direct Reduced Iron, Rotating Hearth</v>
      </c>
      <c r="L2634" s="131"/>
      <c r="M2634" s="48"/>
      <c r="N2634" s="123"/>
    </row>
    <row r="2635" spans="1:14" customFormat="1" x14ac:dyDescent="0.55000000000000004">
      <c r="A2635" s="92" t="s">
        <v>319</v>
      </c>
      <c r="B2635" t="s">
        <v>160</v>
      </c>
      <c r="C2635" t="s">
        <v>247</v>
      </c>
      <c r="D2635" t="s">
        <v>3288</v>
      </c>
      <c r="E2635" s="119">
        <v>1.00156</v>
      </c>
      <c r="F2635" s="149" t="s">
        <v>135</v>
      </c>
      <c r="G2635" s="149" t="s">
        <v>135</v>
      </c>
      <c r="H2635" s="68" t="s">
        <v>413</v>
      </c>
      <c r="I2635" t="s">
        <v>2063</v>
      </c>
      <c r="J2635" s="77" t="str">
        <f t="shared" si="12"/>
        <v>[TIMES_SE] Direct Reduced Iron, Rotating Hearth</v>
      </c>
      <c r="L2635" s="131"/>
      <c r="M2635" s="48"/>
      <c r="N2635" s="123"/>
    </row>
    <row r="2636" spans="1:14" customFormat="1" x14ac:dyDescent="0.55000000000000004">
      <c r="A2636" s="92" t="s">
        <v>314</v>
      </c>
      <c r="B2636" t="s">
        <v>315</v>
      </c>
      <c r="C2636" t="s">
        <v>121</v>
      </c>
      <c r="D2636" t="s">
        <v>3288</v>
      </c>
      <c r="E2636" s="117">
        <v>1</v>
      </c>
      <c r="F2636" s="149" t="s">
        <v>135</v>
      </c>
      <c r="G2636" s="149">
        <v>1</v>
      </c>
      <c r="J2636" s="77" t="str">
        <f t="shared" si="12"/>
        <v>[TIMES_SE] Direct Reduced Iron, Rotating Kiln</v>
      </c>
      <c r="L2636" s="131"/>
      <c r="M2636" s="48"/>
      <c r="N2636" s="123"/>
    </row>
    <row r="2637" spans="1:14" customFormat="1" x14ac:dyDescent="0.55000000000000004">
      <c r="A2637" s="92" t="s">
        <v>314</v>
      </c>
      <c r="B2637" t="s">
        <v>316</v>
      </c>
      <c r="C2637" s="21" t="s">
        <v>125</v>
      </c>
      <c r="D2637" t="s">
        <v>3288</v>
      </c>
      <c r="E2637" s="117">
        <f>1/0.68</f>
        <v>1.4705882352941175</v>
      </c>
      <c r="F2637" s="149" t="s">
        <v>135</v>
      </c>
      <c r="G2637" s="149" t="s">
        <v>135</v>
      </c>
      <c r="H2637" t="s">
        <v>39</v>
      </c>
      <c r="I2637" t="s">
        <v>317</v>
      </c>
      <c r="J2637" s="77" t="str">
        <f t="shared" si="12"/>
        <v>[TIMES_SE] Direct Reduced Iron, Rotating Kiln</v>
      </c>
      <c r="L2637" s="131"/>
      <c r="M2637" s="48"/>
      <c r="N2637" s="123"/>
    </row>
    <row r="2638" spans="1:14" customFormat="1" x14ac:dyDescent="0.55000000000000004">
      <c r="A2638" s="92" t="s">
        <v>314</v>
      </c>
      <c r="B2638" t="s">
        <v>153</v>
      </c>
      <c r="C2638" t="s">
        <v>127</v>
      </c>
      <c r="D2638" t="s">
        <v>2994</v>
      </c>
      <c r="E2638" s="117">
        <v>0.25</v>
      </c>
      <c r="F2638" s="149" t="s">
        <v>138</v>
      </c>
      <c r="G2638" s="149" t="s">
        <v>135</v>
      </c>
      <c r="H2638" t="s">
        <v>39</v>
      </c>
      <c r="J2638" s="77" t="str">
        <f t="shared" si="12"/>
        <v>[TIMES_SE] Direct Reduced Iron, Rotating Kiln</v>
      </c>
      <c r="L2638" s="131"/>
      <c r="M2638" s="48"/>
      <c r="N2638" s="123"/>
    </row>
    <row r="2639" spans="1:14" customFormat="1" x14ac:dyDescent="0.55000000000000004">
      <c r="A2639" s="92" t="s">
        <v>314</v>
      </c>
      <c r="B2639" t="s">
        <v>262</v>
      </c>
      <c r="C2639" t="s">
        <v>294</v>
      </c>
      <c r="D2639" t="s">
        <v>2994</v>
      </c>
      <c r="E2639" s="116">
        <v>22.5</v>
      </c>
      <c r="F2639" s="149" t="s">
        <v>138</v>
      </c>
      <c r="G2639" s="149" t="s">
        <v>135</v>
      </c>
      <c r="H2639" s="68" t="s">
        <v>318</v>
      </c>
      <c r="I2639" t="s">
        <v>310</v>
      </c>
      <c r="J2639" s="77" t="str">
        <f t="shared" si="12"/>
        <v>[TIMES_SE] Direct Reduced Iron, Rotating Kiln</v>
      </c>
      <c r="L2639" s="131"/>
      <c r="M2639" s="48"/>
      <c r="N2639" s="123"/>
    </row>
    <row r="2640" spans="1:14" customFormat="1" x14ac:dyDescent="0.55000000000000004">
      <c r="A2640" s="92" t="s">
        <v>314</v>
      </c>
      <c r="B2640" t="s">
        <v>297</v>
      </c>
      <c r="C2640" t="s">
        <v>294</v>
      </c>
      <c r="D2640" t="s">
        <v>2994</v>
      </c>
      <c r="E2640" s="116">
        <v>0</v>
      </c>
      <c r="F2640" s="149" t="s">
        <v>138</v>
      </c>
      <c r="G2640" s="149" t="s">
        <v>135</v>
      </c>
      <c r="H2640" s="68" t="s">
        <v>318</v>
      </c>
      <c r="I2640" t="s">
        <v>310</v>
      </c>
      <c r="J2640" s="77" t="str">
        <f t="shared" si="12"/>
        <v>[TIMES_SE] Direct Reduced Iron, Rotating Kiln</v>
      </c>
      <c r="L2640" s="131"/>
      <c r="M2640" s="48"/>
      <c r="N2640" s="123"/>
    </row>
    <row r="2641" spans="1:14" customFormat="1" x14ac:dyDescent="0.55000000000000004">
      <c r="A2641" s="92" t="s">
        <v>314</v>
      </c>
      <c r="B2641" t="s">
        <v>131</v>
      </c>
      <c r="C2641" t="s">
        <v>125</v>
      </c>
      <c r="D2641" t="s">
        <v>3288</v>
      </c>
      <c r="E2641" s="116">
        <v>2.5000000000000001E-2</v>
      </c>
      <c r="F2641" s="149" t="s">
        <v>135</v>
      </c>
      <c r="G2641" s="149" t="s">
        <v>135</v>
      </c>
      <c r="H2641" s="68" t="s">
        <v>39</v>
      </c>
      <c r="J2641" s="77" t="str">
        <f t="shared" si="12"/>
        <v>[TIMES_SE] Direct Reduced Iron, Rotating Kiln</v>
      </c>
      <c r="L2641" s="131"/>
      <c r="M2641" s="48"/>
      <c r="N2641" s="123"/>
    </row>
    <row r="2642" spans="1:14" customFormat="1" x14ac:dyDescent="0.55000000000000004">
      <c r="A2642" s="92" t="s">
        <v>314</v>
      </c>
      <c r="B2642" t="s">
        <v>160</v>
      </c>
      <c r="C2642" t="s">
        <v>247</v>
      </c>
      <c r="D2642" t="s">
        <v>3288</v>
      </c>
      <c r="E2642" s="119">
        <v>2.2050000000000001</v>
      </c>
      <c r="F2642" s="149" t="s">
        <v>135</v>
      </c>
      <c r="G2642" s="149" t="s">
        <v>135</v>
      </c>
      <c r="H2642" s="68" t="s">
        <v>413</v>
      </c>
      <c r="I2642" t="s">
        <v>2061</v>
      </c>
      <c r="J2642" s="77" t="str">
        <f t="shared" si="12"/>
        <v>[TIMES_SE] Direct Reduced Iron, Rotating Kiln</v>
      </c>
      <c r="L2642" s="131"/>
      <c r="M2642" s="48"/>
      <c r="N2642" s="123"/>
    </row>
    <row r="2643" spans="1:14" customFormat="1" x14ac:dyDescent="0.55000000000000004">
      <c r="A2643" s="92" t="s">
        <v>335</v>
      </c>
      <c r="B2643" t="s">
        <v>315</v>
      </c>
      <c r="C2643" t="s">
        <v>121</v>
      </c>
      <c r="D2643" t="s">
        <v>3288</v>
      </c>
      <c r="E2643" s="117">
        <v>1</v>
      </c>
      <c r="F2643" s="149" t="s">
        <v>135</v>
      </c>
      <c r="G2643" s="149">
        <v>1</v>
      </c>
      <c r="H2643" t="s">
        <v>39</v>
      </c>
      <c r="J2643" s="77" t="str">
        <f t="shared" si="12"/>
        <v>[TIMES_SE] Direct Reduced Iron, shaft kiln, hydrogen, electric heating</v>
      </c>
      <c r="L2643" s="131"/>
      <c r="M2643" s="48"/>
      <c r="N2643" s="123"/>
    </row>
    <row r="2644" spans="1:14" customFormat="1" x14ac:dyDescent="0.55000000000000004">
      <c r="A2644" s="92" t="s">
        <v>335</v>
      </c>
      <c r="B2644" t="s">
        <v>323</v>
      </c>
      <c r="C2644" s="21" t="s">
        <v>125</v>
      </c>
      <c r="D2644" t="s">
        <v>3288</v>
      </c>
      <c r="E2644" s="117">
        <f>1/0.753</f>
        <v>1.3280212483399734</v>
      </c>
      <c r="F2644" s="149" t="s">
        <v>135</v>
      </c>
      <c r="G2644" s="149" t="s">
        <v>135</v>
      </c>
      <c r="H2644" t="s">
        <v>39</v>
      </c>
      <c r="I2644" t="s">
        <v>327</v>
      </c>
      <c r="J2644" s="77" t="str">
        <f t="shared" si="12"/>
        <v>[TIMES_SE] Direct Reduced Iron, shaft kiln, hydrogen, electric heating</v>
      </c>
      <c r="L2644" s="131"/>
      <c r="M2644" s="48"/>
      <c r="N2644" s="123"/>
    </row>
    <row r="2645" spans="1:14" customFormat="1" x14ac:dyDescent="0.55000000000000004">
      <c r="A2645" s="92" t="s">
        <v>335</v>
      </c>
      <c r="B2645" t="s">
        <v>153</v>
      </c>
      <c r="C2645" t="s">
        <v>127</v>
      </c>
      <c r="D2645" t="s">
        <v>2994</v>
      </c>
      <c r="E2645" s="117">
        <v>1.6579999999999999</v>
      </c>
      <c r="F2645" s="149" t="s">
        <v>138</v>
      </c>
      <c r="G2645" s="149" t="s">
        <v>135</v>
      </c>
      <c r="H2645" t="s">
        <v>39</v>
      </c>
      <c r="J2645" s="77" t="str">
        <f t="shared" si="12"/>
        <v>[TIMES_SE] Direct Reduced Iron, shaft kiln, hydrogen, electric heating</v>
      </c>
      <c r="L2645" s="131"/>
      <c r="M2645" s="48"/>
      <c r="N2645" s="123"/>
    </row>
    <row r="2646" spans="1:14" customFormat="1" x14ac:dyDescent="0.55000000000000004">
      <c r="A2646" s="92" t="s">
        <v>335</v>
      </c>
      <c r="B2646" s="21" t="s">
        <v>334</v>
      </c>
      <c r="C2646" t="s">
        <v>294</v>
      </c>
      <c r="D2646" t="s">
        <v>2994</v>
      </c>
      <c r="E2646" s="117">
        <v>6.42</v>
      </c>
      <c r="F2646" s="149" t="s">
        <v>138</v>
      </c>
      <c r="G2646" s="149" t="s">
        <v>135</v>
      </c>
      <c r="H2646" t="s">
        <v>39</v>
      </c>
      <c r="J2646" s="77" t="str">
        <f t="shared" si="12"/>
        <v>[TIMES_SE] Direct Reduced Iron, shaft kiln, hydrogen, electric heating</v>
      </c>
      <c r="L2646" s="131"/>
      <c r="M2646" s="48"/>
      <c r="N2646" s="123"/>
    </row>
    <row r="2647" spans="1:14" customFormat="1" x14ac:dyDescent="0.55000000000000004">
      <c r="A2647" s="92" t="s">
        <v>335</v>
      </c>
      <c r="B2647" t="s">
        <v>160</v>
      </c>
      <c r="C2647" t="s">
        <v>247</v>
      </c>
      <c r="D2647" t="s">
        <v>3288</v>
      </c>
      <c r="E2647" s="119">
        <v>0</v>
      </c>
      <c r="F2647" s="149" t="s">
        <v>135</v>
      </c>
      <c r="G2647" s="149" t="s">
        <v>135</v>
      </c>
      <c r="H2647" s="126" t="s">
        <v>39</v>
      </c>
      <c r="J2647" s="77" t="str">
        <f t="shared" si="12"/>
        <v>[TIMES_SE] Direct Reduced Iron, shaft kiln, hydrogen, electric heating</v>
      </c>
      <c r="L2647" s="131"/>
      <c r="M2647" s="48"/>
      <c r="N2647" s="123"/>
    </row>
    <row r="2648" spans="1:14" customFormat="1" x14ac:dyDescent="0.55000000000000004">
      <c r="A2648" s="92" t="s">
        <v>333</v>
      </c>
      <c r="B2648" t="s">
        <v>315</v>
      </c>
      <c r="C2648" t="s">
        <v>121</v>
      </c>
      <c r="D2648" t="s">
        <v>3288</v>
      </c>
      <c r="E2648" s="117">
        <v>1</v>
      </c>
      <c r="F2648" s="149" t="s">
        <v>135</v>
      </c>
      <c r="G2648" s="149">
        <v>1</v>
      </c>
      <c r="J2648" s="77" t="str">
        <f t="shared" si="12"/>
        <v>[TIMES_SE] Direct Reduced Iron, shaft kiln, hydrogen, fuel heating</v>
      </c>
      <c r="L2648" s="131"/>
      <c r="M2648" s="48"/>
      <c r="N2648" s="123"/>
    </row>
    <row r="2649" spans="1:14" customFormat="1" x14ac:dyDescent="0.55000000000000004">
      <c r="A2649" s="92" t="s">
        <v>333</v>
      </c>
      <c r="B2649" t="s">
        <v>323</v>
      </c>
      <c r="C2649" s="21" t="s">
        <v>125</v>
      </c>
      <c r="D2649" t="s">
        <v>3288</v>
      </c>
      <c r="E2649" s="117">
        <f>1/0.753</f>
        <v>1.3280212483399734</v>
      </c>
      <c r="F2649" s="149" t="s">
        <v>135</v>
      </c>
      <c r="G2649" s="149" t="s">
        <v>135</v>
      </c>
      <c r="H2649" t="s">
        <v>39</v>
      </c>
      <c r="I2649" t="s">
        <v>327</v>
      </c>
      <c r="J2649" s="77" t="str">
        <f t="shared" si="12"/>
        <v>[TIMES_SE] Direct Reduced Iron, shaft kiln, hydrogen, fuel heating</v>
      </c>
      <c r="L2649" s="131"/>
      <c r="M2649" s="48"/>
      <c r="N2649" s="123"/>
    </row>
    <row r="2650" spans="1:14" customFormat="1" x14ac:dyDescent="0.55000000000000004">
      <c r="A2650" s="92" t="s">
        <v>333</v>
      </c>
      <c r="B2650" t="s">
        <v>153</v>
      </c>
      <c r="C2650" t="s">
        <v>127</v>
      </c>
      <c r="D2650" t="s">
        <v>2994</v>
      </c>
      <c r="E2650" s="117">
        <v>0.28799999999999998</v>
      </c>
      <c r="F2650" s="149" t="s">
        <v>138</v>
      </c>
      <c r="G2650" s="149" t="s">
        <v>135</v>
      </c>
      <c r="H2650" t="s">
        <v>39</v>
      </c>
      <c r="J2650" s="77" t="str">
        <f t="shared" si="12"/>
        <v>[TIMES_SE] Direct Reduced Iron, shaft kiln, hydrogen, fuel heating</v>
      </c>
      <c r="L2650" s="131"/>
      <c r="M2650" s="48"/>
      <c r="N2650" s="123"/>
    </row>
    <row r="2651" spans="1:14" customFormat="1" x14ac:dyDescent="0.55000000000000004">
      <c r="A2651" s="92" t="s">
        <v>333</v>
      </c>
      <c r="B2651" s="21" t="s">
        <v>334</v>
      </c>
      <c r="C2651" t="s">
        <v>294</v>
      </c>
      <c r="D2651" t="s">
        <v>2994</v>
      </c>
      <c r="E2651" s="117">
        <v>6.42</v>
      </c>
      <c r="F2651" s="149" t="s">
        <v>138</v>
      </c>
      <c r="G2651" s="149" t="s">
        <v>135</v>
      </c>
      <c r="H2651" t="s">
        <v>39</v>
      </c>
      <c r="J2651" s="77" t="str">
        <f t="shared" si="12"/>
        <v>[TIMES_SE] Direct Reduced Iron, shaft kiln, hydrogen, fuel heating</v>
      </c>
      <c r="L2651" s="131"/>
      <c r="M2651" s="48"/>
      <c r="N2651" s="123"/>
    </row>
    <row r="2652" spans="1:14" customFormat="1" x14ac:dyDescent="0.55000000000000004">
      <c r="A2652" s="92" t="s">
        <v>333</v>
      </c>
      <c r="B2652" s="21" t="s">
        <v>334</v>
      </c>
      <c r="C2652" t="s">
        <v>127</v>
      </c>
      <c r="D2652" t="s">
        <v>2994</v>
      </c>
      <c r="E2652" s="117">
        <v>1.61</v>
      </c>
      <c r="F2652" s="149" t="s">
        <v>138</v>
      </c>
      <c r="G2652" s="149" t="s">
        <v>135</v>
      </c>
      <c r="H2652" t="s">
        <v>39</v>
      </c>
      <c r="J2652" s="77" t="str">
        <f t="shared" si="12"/>
        <v>[TIMES_SE] Direct Reduced Iron, shaft kiln, hydrogen, fuel heating</v>
      </c>
      <c r="L2652" s="131"/>
      <c r="M2652" s="48"/>
      <c r="N2652" s="123"/>
    </row>
    <row r="2653" spans="1:14" customFormat="1" x14ac:dyDescent="0.55000000000000004">
      <c r="A2653" s="92" t="s">
        <v>333</v>
      </c>
      <c r="B2653" t="s">
        <v>160</v>
      </c>
      <c r="C2653" t="s">
        <v>247</v>
      </c>
      <c r="D2653" t="s">
        <v>3288</v>
      </c>
      <c r="E2653" s="119">
        <v>0</v>
      </c>
      <c r="F2653" s="149" t="s">
        <v>135</v>
      </c>
      <c r="G2653" s="149" t="s">
        <v>135</v>
      </c>
      <c r="H2653" s="126" t="s">
        <v>39</v>
      </c>
      <c r="J2653" s="77" t="str">
        <f t="shared" si="12"/>
        <v>[TIMES_SE] Direct Reduced Iron, shaft kiln, hydrogen, fuel heating</v>
      </c>
      <c r="L2653" s="131"/>
      <c r="M2653" s="48"/>
      <c r="N2653" s="123"/>
    </row>
    <row r="2654" spans="1:14" customFormat="1" x14ac:dyDescent="0.55000000000000004">
      <c r="A2654" s="92" t="s">
        <v>326</v>
      </c>
      <c r="B2654" t="s">
        <v>315</v>
      </c>
      <c r="C2654" t="s">
        <v>121</v>
      </c>
      <c r="D2654" t="s">
        <v>3288</v>
      </c>
      <c r="E2654" s="117">
        <v>1</v>
      </c>
      <c r="F2654" s="149" t="s">
        <v>135</v>
      </c>
      <c r="G2654" s="149">
        <v>1</v>
      </c>
      <c r="J2654" s="77" t="str">
        <f t="shared" si="12"/>
        <v>[TIMES_SE] Direct Reduced Iron, shaft kiln, natural gas</v>
      </c>
      <c r="L2654" s="131"/>
      <c r="M2654" s="48"/>
      <c r="N2654" s="123"/>
    </row>
    <row r="2655" spans="1:14" customFormat="1" x14ac:dyDescent="0.55000000000000004">
      <c r="A2655" s="92" t="s">
        <v>326</v>
      </c>
      <c r="B2655" t="s">
        <v>323</v>
      </c>
      <c r="C2655" s="21" t="s">
        <v>125</v>
      </c>
      <c r="D2655" t="s">
        <v>3288</v>
      </c>
      <c r="E2655" s="117">
        <f>1/0.753</f>
        <v>1.3280212483399734</v>
      </c>
      <c r="F2655" s="149" t="s">
        <v>135</v>
      </c>
      <c r="G2655" s="149" t="s">
        <v>135</v>
      </c>
      <c r="H2655" t="s">
        <v>39</v>
      </c>
      <c r="I2655" t="s">
        <v>327</v>
      </c>
      <c r="J2655" s="77" t="str">
        <f t="shared" si="12"/>
        <v>[TIMES_SE] Direct Reduced Iron, shaft kiln, natural gas</v>
      </c>
      <c r="L2655" s="131"/>
      <c r="M2655" s="48"/>
      <c r="N2655" s="123"/>
    </row>
    <row r="2656" spans="1:14" customFormat="1" x14ac:dyDescent="0.55000000000000004">
      <c r="A2656" s="92" t="s">
        <v>326</v>
      </c>
      <c r="B2656" t="s">
        <v>153</v>
      </c>
      <c r="C2656" t="s">
        <v>127</v>
      </c>
      <c r="D2656" t="s">
        <v>2994</v>
      </c>
      <c r="E2656" s="117">
        <v>0.25</v>
      </c>
      <c r="F2656" s="149" t="s">
        <v>138</v>
      </c>
      <c r="G2656" s="149" t="s">
        <v>135</v>
      </c>
      <c r="H2656" t="s">
        <v>39</v>
      </c>
      <c r="J2656" s="77" t="str">
        <f t="shared" si="12"/>
        <v>[TIMES_SE] Direct Reduced Iron, shaft kiln, natural gas</v>
      </c>
      <c r="L2656" s="131"/>
      <c r="M2656" s="48"/>
      <c r="N2656" s="123"/>
    </row>
    <row r="2657" spans="1:14" customFormat="1" x14ac:dyDescent="0.55000000000000004">
      <c r="A2657" s="92" t="s">
        <v>326</v>
      </c>
      <c r="B2657" s="21" t="s">
        <v>171</v>
      </c>
      <c r="C2657" t="s">
        <v>294</v>
      </c>
      <c r="D2657" t="s">
        <v>2994</v>
      </c>
      <c r="E2657" s="117">
        <f>6.72</f>
        <v>6.72</v>
      </c>
      <c r="F2657" s="149" t="s">
        <v>138</v>
      </c>
      <c r="G2657" s="149" t="s">
        <v>135</v>
      </c>
      <c r="H2657" t="s">
        <v>39</v>
      </c>
      <c r="J2657" s="77" t="str">
        <f t="shared" si="12"/>
        <v>[TIMES_SE] Direct Reduced Iron, shaft kiln, natural gas</v>
      </c>
      <c r="L2657" s="131"/>
      <c r="M2657" s="48"/>
      <c r="N2657" s="123"/>
    </row>
    <row r="2658" spans="1:14" customFormat="1" x14ac:dyDescent="0.55000000000000004">
      <c r="A2658" s="92" t="s">
        <v>326</v>
      </c>
      <c r="B2658" s="21" t="s">
        <v>171</v>
      </c>
      <c r="C2658" t="s">
        <v>127</v>
      </c>
      <c r="D2658" t="s">
        <v>2994</v>
      </c>
      <c r="E2658" s="117">
        <f>2.88</f>
        <v>2.88</v>
      </c>
      <c r="F2658" s="149" t="s">
        <v>138</v>
      </c>
      <c r="G2658" s="149" t="s">
        <v>135</v>
      </c>
      <c r="H2658" t="s">
        <v>39</v>
      </c>
      <c r="J2658" s="77" t="str">
        <f t="shared" si="12"/>
        <v>[TIMES_SE] Direct Reduced Iron, shaft kiln, natural gas</v>
      </c>
      <c r="L2658" s="131"/>
      <c r="M2658" s="48"/>
      <c r="N2658" s="123"/>
    </row>
    <row r="2659" spans="1:14" customFormat="1" x14ac:dyDescent="0.55000000000000004">
      <c r="A2659" s="92" t="s">
        <v>326</v>
      </c>
      <c r="B2659" t="s">
        <v>160</v>
      </c>
      <c r="C2659" t="s">
        <v>247</v>
      </c>
      <c r="D2659" t="s">
        <v>3288</v>
      </c>
      <c r="E2659" s="119">
        <v>0.37699199999999999</v>
      </c>
      <c r="F2659" s="149" t="s">
        <v>135</v>
      </c>
      <c r="G2659" s="149" t="s">
        <v>135</v>
      </c>
      <c r="H2659" s="68" t="s">
        <v>376</v>
      </c>
      <c r="I2659" t="s">
        <v>2066</v>
      </c>
      <c r="J2659" s="77" t="str">
        <f t="shared" si="12"/>
        <v>[TIMES_SE] Direct Reduced Iron, shaft kiln, natural gas</v>
      </c>
      <c r="L2659" s="131"/>
      <c r="M2659" s="48"/>
      <c r="N2659" s="123"/>
    </row>
    <row r="2660" spans="1:14" customFormat="1" x14ac:dyDescent="0.55000000000000004">
      <c r="A2660" s="92" t="s">
        <v>326</v>
      </c>
      <c r="B2660" t="s">
        <v>160</v>
      </c>
      <c r="C2660" t="s">
        <v>247</v>
      </c>
      <c r="D2660" t="s">
        <v>3288</v>
      </c>
      <c r="E2660" s="119">
        <v>0.16156800000000002</v>
      </c>
      <c r="F2660" s="149" t="s">
        <v>135</v>
      </c>
      <c r="G2660" s="149" t="s">
        <v>135</v>
      </c>
      <c r="H2660" s="68" t="s">
        <v>376</v>
      </c>
      <c r="I2660" t="s">
        <v>2065</v>
      </c>
      <c r="J2660" s="77" t="str">
        <f t="shared" si="12"/>
        <v>[TIMES_SE] Direct Reduced Iron, shaft kiln, natural gas</v>
      </c>
      <c r="L2660" s="131"/>
      <c r="M2660" s="48"/>
      <c r="N2660" s="123"/>
    </row>
    <row r="2661" spans="1:14" customFormat="1" x14ac:dyDescent="0.55000000000000004">
      <c r="A2661" s="92" t="s">
        <v>328</v>
      </c>
      <c r="B2661" t="s">
        <v>315</v>
      </c>
      <c r="C2661" t="s">
        <v>121</v>
      </c>
      <c r="D2661" t="s">
        <v>3288</v>
      </c>
      <c r="E2661" s="117">
        <v>1</v>
      </c>
      <c r="F2661" s="149" t="s">
        <v>135</v>
      </c>
      <c r="G2661" s="149">
        <v>1</v>
      </c>
      <c r="J2661" s="77" t="str">
        <f t="shared" si="12"/>
        <v>[TIMES_SE] Direct Reduced Iron, shaft kiln, natural gas w. CCS</v>
      </c>
      <c r="L2661" s="131"/>
      <c r="M2661" s="48"/>
      <c r="N2661" s="123"/>
    </row>
    <row r="2662" spans="1:14" customFormat="1" x14ac:dyDescent="0.55000000000000004">
      <c r="A2662" s="92" t="s">
        <v>328</v>
      </c>
      <c r="B2662" t="s">
        <v>323</v>
      </c>
      <c r="C2662" s="21" t="s">
        <v>125</v>
      </c>
      <c r="D2662" t="s">
        <v>3288</v>
      </c>
      <c r="E2662" s="117">
        <f>1/0.753</f>
        <v>1.3280212483399734</v>
      </c>
      <c r="F2662" s="149" t="s">
        <v>135</v>
      </c>
      <c r="G2662" s="149" t="s">
        <v>135</v>
      </c>
      <c r="H2662" t="s">
        <v>39</v>
      </c>
      <c r="I2662" t="s">
        <v>327</v>
      </c>
      <c r="J2662" s="77" t="str">
        <f t="shared" si="12"/>
        <v>[TIMES_SE] Direct Reduced Iron, shaft kiln, natural gas w. CCS</v>
      </c>
      <c r="L2662" s="131"/>
      <c r="M2662" s="48"/>
      <c r="N2662" s="123"/>
    </row>
    <row r="2663" spans="1:14" customFormat="1" x14ac:dyDescent="0.55000000000000004">
      <c r="A2663" s="92" t="s">
        <v>328</v>
      </c>
      <c r="B2663" t="s">
        <v>153</v>
      </c>
      <c r="C2663" t="s">
        <v>127</v>
      </c>
      <c r="D2663" t="s">
        <v>2994</v>
      </c>
      <c r="E2663" s="117">
        <v>0.39</v>
      </c>
      <c r="F2663" s="149" t="s">
        <v>138</v>
      </c>
      <c r="G2663" s="149" t="s">
        <v>135</v>
      </c>
      <c r="H2663" t="s">
        <v>39</v>
      </c>
      <c r="J2663" s="77" t="str">
        <f t="shared" si="12"/>
        <v>[TIMES_SE] Direct Reduced Iron, shaft kiln, natural gas w. CCS</v>
      </c>
      <c r="L2663" s="131"/>
      <c r="M2663" s="48"/>
      <c r="N2663" s="123"/>
    </row>
    <row r="2664" spans="1:14" customFormat="1" x14ac:dyDescent="0.55000000000000004">
      <c r="A2664" s="92" t="s">
        <v>328</v>
      </c>
      <c r="B2664" s="21" t="s">
        <v>171</v>
      </c>
      <c r="C2664" t="s">
        <v>294</v>
      </c>
      <c r="D2664" t="s">
        <v>2994</v>
      </c>
      <c r="E2664" s="117">
        <f>6.72</f>
        <v>6.72</v>
      </c>
      <c r="F2664" s="149" t="s">
        <v>138</v>
      </c>
      <c r="G2664" s="149" t="s">
        <v>135</v>
      </c>
      <c r="H2664" t="s">
        <v>39</v>
      </c>
      <c r="J2664" s="77" t="str">
        <f t="shared" si="12"/>
        <v>[TIMES_SE] Direct Reduced Iron, shaft kiln, natural gas w. CCS</v>
      </c>
      <c r="L2664" s="131"/>
      <c r="M2664" s="48"/>
      <c r="N2664" s="123"/>
    </row>
    <row r="2665" spans="1:14" customFormat="1" x14ac:dyDescent="0.55000000000000004">
      <c r="A2665" s="92" t="s">
        <v>328</v>
      </c>
      <c r="B2665" s="21" t="s">
        <v>171</v>
      </c>
      <c r="C2665" t="s">
        <v>127</v>
      </c>
      <c r="D2665" t="s">
        <v>2994</v>
      </c>
      <c r="E2665" s="117">
        <f>2.88</f>
        <v>2.88</v>
      </c>
      <c r="F2665" s="149" t="s">
        <v>138</v>
      </c>
      <c r="G2665" s="149" t="s">
        <v>135</v>
      </c>
      <c r="H2665" t="s">
        <v>39</v>
      </c>
      <c r="J2665" s="77" t="str">
        <f t="shared" ref="J2665:J2728" si="13">A2665</f>
        <v>[TIMES_SE] Direct Reduced Iron, shaft kiln, natural gas w. CCS</v>
      </c>
      <c r="L2665" s="131"/>
      <c r="M2665" s="48"/>
      <c r="N2665" s="123"/>
    </row>
    <row r="2666" spans="1:14" customFormat="1" x14ac:dyDescent="0.55000000000000004">
      <c r="A2666" s="92" t="s">
        <v>328</v>
      </c>
      <c r="B2666" t="s">
        <v>160</v>
      </c>
      <c r="C2666" t="s">
        <v>247</v>
      </c>
      <c r="D2666" t="s">
        <v>3288</v>
      </c>
      <c r="E2666" s="119">
        <f>0.376992*(1-0.95)</f>
        <v>1.8849600000000015E-2</v>
      </c>
      <c r="F2666" s="149" t="s">
        <v>135</v>
      </c>
      <c r="G2666" s="149" t="s">
        <v>135</v>
      </c>
      <c r="H2666" s="68" t="s">
        <v>376</v>
      </c>
      <c r="I2666" t="s">
        <v>2067</v>
      </c>
      <c r="J2666" s="77" t="str">
        <f t="shared" si="13"/>
        <v>[TIMES_SE] Direct Reduced Iron, shaft kiln, natural gas w. CCS</v>
      </c>
      <c r="L2666" s="131"/>
      <c r="M2666" s="48"/>
      <c r="N2666" s="123"/>
    </row>
    <row r="2667" spans="1:14" customFormat="1" x14ac:dyDescent="0.55000000000000004">
      <c r="A2667" s="92" t="s">
        <v>328</v>
      </c>
      <c r="B2667" t="s">
        <v>160</v>
      </c>
      <c r="C2667" t="s">
        <v>247</v>
      </c>
      <c r="D2667" t="s">
        <v>3288</v>
      </c>
      <c r="E2667" s="119">
        <f>0.161568*(1-0.95)</f>
        <v>8.0784000000000064E-3</v>
      </c>
      <c r="F2667" s="149" t="s">
        <v>135</v>
      </c>
      <c r="G2667" s="149" t="s">
        <v>135</v>
      </c>
      <c r="H2667" s="68" t="s">
        <v>376</v>
      </c>
      <c r="I2667" t="s">
        <v>2068</v>
      </c>
      <c r="J2667" s="77" t="str">
        <f t="shared" si="13"/>
        <v>[TIMES_SE] Direct Reduced Iron, shaft kiln, natural gas w. CCS</v>
      </c>
      <c r="L2667" s="131"/>
      <c r="M2667" s="48"/>
      <c r="N2667" s="123"/>
    </row>
    <row r="2668" spans="1:14" customFormat="1" x14ac:dyDescent="0.55000000000000004">
      <c r="A2668" s="92" t="s">
        <v>328</v>
      </c>
      <c r="B2668" t="s">
        <v>160</v>
      </c>
      <c r="C2668" t="s">
        <v>156</v>
      </c>
      <c r="D2668" t="s">
        <v>3288</v>
      </c>
      <c r="E2668" s="119">
        <f>0.376992*(0.95)</f>
        <v>0.35814239999999997</v>
      </c>
      <c r="F2668" s="149" t="s">
        <v>135</v>
      </c>
      <c r="G2668" s="149" t="s">
        <v>135</v>
      </c>
      <c r="H2668" s="68" t="s">
        <v>376</v>
      </c>
      <c r="I2668" t="s">
        <v>2067</v>
      </c>
      <c r="J2668" s="77" t="str">
        <f t="shared" si="13"/>
        <v>[TIMES_SE] Direct Reduced Iron, shaft kiln, natural gas w. CCS</v>
      </c>
      <c r="L2668" s="160"/>
      <c r="M2668" s="48"/>
      <c r="N2668" s="123"/>
    </row>
    <row r="2669" spans="1:14" customFormat="1" x14ac:dyDescent="0.55000000000000004">
      <c r="A2669" s="92" t="s">
        <v>328</v>
      </c>
      <c r="B2669" t="s">
        <v>160</v>
      </c>
      <c r="C2669" t="s">
        <v>156</v>
      </c>
      <c r="D2669" t="s">
        <v>3288</v>
      </c>
      <c r="E2669" s="119">
        <f>0.161568*(0.95)</f>
        <v>0.15348959999999998</v>
      </c>
      <c r="F2669" s="149" t="s">
        <v>135</v>
      </c>
      <c r="G2669" s="149" t="s">
        <v>135</v>
      </c>
      <c r="H2669" s="68" t="s">
        <v>376</v>
      </c>
      <c r="I2669" t="s">
        <v>2068</v>
      </c>
      <c r="J2669" s="77" t="str">
        <f t="shared" si="13"/>
        <v>[TIMES_SE] Direct Reduced Iron, shaft kiln, natural gas w. CCS</v>
      </c>
      <c r="L2669" s="160"/>
      <c r="M2669" s="48"/>
      <c r="N2669" s="123"/>
    </row>
    <row r="2670" spans="1:14" customFormat="1" x14ac:dyDescent="0.55000000000000004">
      <c r="A2670" s="92" t="s">
        <v>329</v>
      </c>
      <c r="B2670" t="s">
        <v>315</v>
      </c>
      <c r="C2670" t="s">
        <v>121</v>
      </c>
      <c r="D2670" t="s">
        <v>3288</v>
      </c>
      <c r="E2670" s="117">
        <v>1</v>
      </c>
      <c r="F2670" s="149" t="s">
        <v>135</v>
      </c>
      <c r="G2670" s="149">
        <v>1</v>
      </c>
      <c r="J2670" s="77" t="str">
        <f t="shared" si="13"/>
        <v>[TIMES_SE] Direct Reduced Iron, shaft kiln, syngas</v>
      </c>
      <c r="L2670" s="131"/>
      <c r="M2670" s="48"/>
      <c r="N2670" s="123"/>
    </row>
    <row r="2671" spans="1:14" customFormat="1" x14ac:dyDescent="0.55000000000000004">
      <c r="A2671" s="92" t="s">
        <v>332</v>
      </c>
      <c r="B2671" t="s">
        <v>315</v>
      </c>
      <c r="C2671" t="s">
        <v>121</v>
      </c>
      <c r="D2671" t="s">
        <v>3288</v>
      </c>
      <c r="E2671" s="117">
        <v>1</v>
      </c>
      <c r="F2671" s="149" t="s">
        <v>135</v>
      </c>
      <c r="G2671" s="149">
        <v>1</v>
      </c>
      <c r="J2671" s="77" t="str">
        <f t="shared" si="13"/>
        <v>[TIMES_SE] Direct Reduced Iron, shaft kiln, syngas w. CCS</v>
      </c>
      <c r="L2671" s="131"/>
      <c r="M2671" s="48"/>
      <c r="N2671" s="123"/>
    </row>
    <row r="2672" spans="1:14" customFormat="1" x14ac:dyDescent="0.55000000000000004">
      <c r="A2672" s="92" t="s">
        <v>332</v>
      </c>
      <c r="B2672" t="s">
        <v>323</v>
      </c>
      <c r="C2672" s="21" t="s">
        <v>125</v>
      </c>
      <c r="D2672" t="s">
        <v>3288</v>
      </c>
      <c r="E2672" s="117">
        <f>1/0.753</f>
        <v>1.3280212483399734</v>
      </c>
      <c r="F2672" s="149" t="s">
        <v>135</v>
      </c>
      <c r="G2672" s="149" t="s">
        <v>135</v>
      </c>
      <c r="H2672" t="s">
        <v>39</v>
      </c>
      <c r="I2672" t="s">
        <v>327</v>
      </c>
      <c r="J2672" s="77" t="str">
        <f t="shared" si="13"/>
        <v>[TIMES_SE] Direct Reduced Iron, shaft kiln, syngas w. CCS</v>
      </c>
      <c r="L2672" s="131"/>
      <c r="M2672" s="48"/>
      <c r="N2672" s="123"/>
    </row>
    <row r="2673" spans="1:14" customFormat="1" x14ac:dyDescent="0.55000000000000004">
      <c r="A2673" s="92" t="s">
        <v>332</v>
      </c>
      <c r="B2673" t="s">
        <v>153</v>
      </c>
      <c r="C2673" t="s">
        <v>127</v>
      </c>
      <c r="D2673" t="s">
        <v>2994</v>
      </c>
      <c r="E2673" s="117">
        <v>0.42</v>
      </c>
      <c r="F2673" s="149" t="s">
        <v>138</v>
      </c>
      <c r="G2673" s="149" t="s">
        <v>135</v>
      </c>
      <c r="H2673" t="s">
        <v>39</v>
      </c>
      <c r="J2673" s="77" t="str">
        <f t="shared" si="13"/>
        <v>[TIMES_SE] Direct Reduced Iron, shaft kiln, syngas w. CCS</v>
      </c>
      <c r="L2673" s="131"/>
      <c r="M2673" s="48"/>
      <c r="N2673" s="123"/>
    </row>
    <row r="2674" spans="1:14" customFormat="1" x14ac:dyDescent="0.55000000000000004">
      <c r="A2674" s="92" t="s">
        <v>332</v>
      </c>
      <c r="B2674" s="21" t="s">
        <v>331</v>
      </c>
      <c r="C2674" t="s">
        <v>294</v>
      </c>
      <c r="D2674" t="s">
        <v>2994</v>
      </c>
      <c r="E2674" s="117">
        <v>6.58</v>
      </c>
      <c r="F2674" s="149" t="s">
        <v>138</v>
      </c>
      <c r="G2674" s="149" t="s">
        <v>135</v>
      </c>
      <c r="H2674" t="s">
        <v>39</v>
      </c>
      <c r="J2674" s="77" t="str">
        <f t="shared" si="13"/>
        <v>[TIMES_SE] Direct Reduced Iron, shaft kiln, syngas w. CCS</v>
      </c>
      <c r="L2674" s="131"/>
      <c r="M2674" s="48"/>
      <c r="N2674" s="123"/>
    </row>
    <row r="2675" spans="1:14" customFormat="1" x14ac:dyDescent="0.55000000000000004">
      <c r="A2675" s="92" t="s">
        <v>332</v>
      </c>
      <c r="B2675" s="21" t="s">
        <v>331</v>
      </c>
      <c r="C2675" t="s">
        <v>127</v>
      </c>
      <c r="D2675" t="s">
        <v>2994</v>
      </c>
      <c r="E2675" s="117">
        <v>2.82</v>
      </c>
      <c r="F2675" s="149" t="s">
        <v>138</v>
      </c>
      <c r="G2675" s="149" t="s">
        <v>135</v>
      </c>
      <c r="H2675" t="s">
        <v>39</v>
      </c>
      <c r="J2675" s="77" t="str">
        <f t="shared" si="13"/>
        <v>[TIMES_SE] Direct Reduced Iron, shaft kiln, syngas w. CCS</v>
      </c>
      <c r="L2675" s="131"/>
      <c r="M2675" s="48"/>
      <c r="N2675" s="123"/>
    </row>
    <row r="2676" spans="1:14" customFormat="1" x14ac:dyDescent="0.55000000000000004">
      <c r="A2676" s="92" t="s">
        <v>332</v>
      </c>
      <c r="B2676" t="s">
        <v>160</v>
      </c>
      <c r="C2676" t="s">
        <v>247</v>
      </c>
      <c r="D2676" t="s">
        <v>3288</v>
      </c>
      <c r="E2676" s="119">
        <f>-0.64*(1-0.95)*0</f>
        <v>0</v>
      </c>
      <c r="F2676" s="149" t="s">
        <v>135</v>
      </c>
      <c r="G2676" s="149" t="s">
        <v>135</v>
      </c>
      <c r="H2676" s="126" t="s">
        <v>39</v>
      </c>
      <c r="I2676" t="s">
        <v>2070</v>
      </c>
      <c r="J2676" s="77" t="str">
        <f t="shared" si="13"/>
        <v>[TIMES_SE] Direct Reduced Iron, shaft kiln, syngas w. CCS</v>
      </c>
      <c r="L2676" s="131"/>
      <c r="M2676" s="48"/>
      <c r="N2676" s="123"/>
    </row>
    <row r="2677" spans="1:14" customFormat="1" x14ac:dyDescent="0.55000000000000004">
      <c r="A2677" s="92" t="s">
        <v>332</v>
      </c>
      <c r="B2677" t="s">
        <v>160</v>
      </c>
      <c r="C2677" t="s">
        <v>156</v>
      </c>
      <c r="D2677" t="s">
        <v>3288</v>
      </c>
      <c r="E2677" s="119">
        <f>-0.64*0.95</f>
        <v>-0.60799999999999998</v>
      </c>
      <c r="F2677" s="149" t="s">
        <v>135</v>
      </c>
      <c r="G2677" s="149" t="s">
        <v>135</v>
      </c>
      <c r="H2677" s="126" t="s">
        <v>39</v>
      </c>
      <c r="I2677" t="s">
        <v>2070</v>
      </c>
      <c r="J2677" s="77" t="str">
        <f t="shared" si="13"/>
        <v>[TIMES_SE] Direct Reduced Iron, shaft kiln, syngas w. CCS</v>
      </c>
      <c r="L2677" s="160"/>
      <c r="M2677" s="48"/>
      <c r="N2677" s="123"/>
    </row>
    <row r="2678" spans="1:14" customFormat="1" x14ac:dyDescent="0.55000000000000004">
      <c r="A2678" s="92" t="s">
        <v>322</v>
      </c>
      <c r="B2678" t="s">
        <v>315</v>
      </c>
      <c r="C2678" t="s">
        <v>121</v>
      </c>
      <c r="D2678" t="s">
        <v>3288</v>
      </c>
      <c r="E2678" s="117">
        <v>1</v>
      </c>
      <c r="F2678" s="149" t="s">
        <v>135</v>
      </c>
      <c r="G2678" s="149">
        <v>1</v>
      </c>
      <c r="J2678" s="77" t="str">
        <f t="shared" si="13"/>
        <v>[TIMES_SE] Direct Reduced Iron, tunnel kiln</v>
      </c>
      <c r="L2678" s="131"/>
      <c r="M2678" s="48"/>
      <c r="N2678" s="123"/>
    </row>
    <row r="2679" spans="1:14" customFormat="1" x14ac:dyDescent="0.55000000000000004">
      <c r="A2679" s="92" t="s">
        <v>322</v>
      </c>
      <c r="B2679" t="s">
        <v>323</v>
      </c>
      <c r="C2679" s="21" t="s">
        <v>125</v>
      </c>
      <c r="D2679" t="s">
        <v>3288</v>
      </c>
      <c r="E2679" s="117">
        <f>1/0.7</f>
        <v>1.4285714285714286</v>
      </c>
      <c r="F2679" s="149" t="s">
        <v>135</v>
      </c>
      <c r="G2679" s="149" t="s">
        <v>135</v>
      </c>
      <c r="H2679" t="s">
        <v>39</v>
      </c>
      <c r="I2679" t="s">
        <v>324</v>
      </c>
      <c r="J2679" s="77" t="str">
        <f t="shared" si="13"/>
        <v>[TIMES_SE] Direct Reduced Iron, tunnel kiln</v>
      </c>
      <c r="L2679" s="131"/>
      <c r="M2679" s="48"/>
      <c r="N2679" s="123"/>
    </row>
    <row r="2680" spans="1:14" customFormat="1" x14ac:dyDescent="0.55000000000000004">
      <c r="A2680" s="92" t="s">
        <v>322</v>
      </c>
      <c r="B2680" t="s">
        <v>153</v>
      </c>
      <c r="C2680" t="s">
        <v>127</v>
      </c>
      <c r="D2680" t="s">
        <v>2994</v>
      </c>
      <c r="E2680" s="117">
        <v>0.31</v>
      </c>
      <c r="F2680" s="149" t="s">
        <v>138</v>
      </c>
      <c r="G2680" s="149" t="s">
        <v>135</v>
      </c>
      <c r="H2680" t="s">
        <v>39</v>
      </c>
      <c r="J2680" s="77" t="str">
        <f t="shared" si="13"/>
        <v>[TIMES_SE] Direct Reduced Iron, tunnel kiln</v>
      </c>
      <c r="L2680" s="131"/>
      <c r="M2680" s="48"/>
      <c r="N2680" s="123"/>
    </row>
    <row r="2681" spans="1:14" customFormat="1" x14ac:dyDescent="0.55000000000000004">
      <c r="A2681" s="92" t="s">
        <v>322</v>
      </c>
      <c r="B2681" s="21" t="s">
        <v>171</v>
      </c>
      <c r="C2681" t="s">
        <v>127</v>
      </c>
      <c r="D2681" t="s">
        <v>2994</v>
      </c>
      <c r="E2681" s="117">
        <v>4.1500000000000004</v>
      </c>
      <c r="F2681" s="149" t="s">
        <v>138</v>
      </c>
      <c r="G2681" s="149" t="s">
        <v>135</v>
      </c>
      <c r="H2681" t="s">
        <v>39</v>
      </c>
      <c r="J2681" s="77" t="str">
        <f t="shared" si="13"/>
        <v>[TIMES_SE] Direct Reduced Iron, tunnel kiln</v>
      </c>
      <c r="L2681" s="131"/>
      <c r="M2681" s="48"/>
      <c r="N2681" s="123"/>
    </row>
    <row r="2682" spans="1:14" customFormat="1" x14ac:dyDescent="0.55000000000000004">
      <c r="A2682" s="92" t="s">
        <v>322</v>
      </c>
      <c r="B2682" t="s">
        <v>293</v>
      </c>
      <c r="C2682" t="s">
        <v>294</v>
      </c>
      <c r="D2682" t="s">
        <v>2994</v>
      </c>
      <c r="E2682" s="116">
        <v>10.220000000000001</v>
      </c>
      <c r="F2682" s="149" t="s">
        <v>138</v>
      </c>
      <c r="G2682" s="149" t="s">
        <v>135</v>
      </c>
      <c r="H2682" s="68" t="s">
        <v>321</v>
      </c>
      <c r="I2682" t="s">
        <v>325</v>
      </c>
      <c r="J2682" s="77" t="str">
        <f t="shared" si="13"/>
        <v>[TIMES_SE] Direct Reduced Iron, tunnel kiln</v>
      </c>
      <c r="L2682" s="131"/>
      <c r="M2682" s="48"/>
      <c r="N2682" s="123"/>
    </row>
    <row r="2683" spans="1:14" customFormat="1" x14ac:dyDescent="0.55000000000000004">
      <c r="A2683" s="92" t="s">
        <v>322</v>
      </c>
      <c r="B2683" t="s">
        <v>297</v>
      </c>
      <c r="C2683" t="s">
        <v>294</v>
      </c>
      <c r="D2683" t="s">
        <v>2994</v>
      </c>
      <c r="E2683" s="116">
        <v>0</v>
      </c>
      <c r="F2683" s="149" t="s">
        <v>138</v>
      </c>
      <c r="G2683" s="149" t="s">
        <v>135</v>
      </c>
      <c r="H2683" s="68" t="s">
        <v>321</v>
      </c>
      <c r="I2683" t="s">
        <v>325</v>
      </c>
      <c r="J2683" s="77" t="str">
        <f t="shared" si="13"/>
        <v>[TIMES_SE] Direct Reduced Iron, tunnel kiln</v>
      </c>
      <c r="L2683" s="131"/>
      <c r="M2683" s="48"/>
      <c r="N2683" s="123"/>
    </row>
    <row r="2684" spans="1:14" customFormat="1" x14ac:dyDescent="0.55000000000000004">
      <c r="A2684" s="92" t="s">
        <v>322</v>
      </c>
      <c r="B2684" t="s">
        <v>131</v>
      </c>
      <c r="C2684" t="s">
        <v>125</v>
      </c>
      <c r="D2684" t="s">
        <v>3288</v>
      </c>
      <c r="E2684" s="116">
        <v>6.3500000000000001E-2</v>
      </c>
      <c r="F2684" s="149" t="s">
        <v>135</v>
      </c>
      <c r="G2684" s="149" t="s">
        <v>135</v>
      </c>
      <c r="H2684" s="68" t="s">
        <v>39</v>
      </c>
      <c r="J2684" s="77" t="str">
        <f t="shared" si="13"/>
        <v>[TIMES_SE] Direct Reduced Iron, tunnel kiln</v>
      </c>
      <c r="L2684" s="131"/>
      <c r="M2684" s="48"/>
      <c r="N2684" s="123"/>
    </row>
    <row r="2685" spans="1:14" customFormat="1" x14ac:dyDescent="0.55000000000000004">
      <c r="A2685" s="92" t="s">
        <v>322</v>
      </c>
      <c r="B2685" t="s">
        <v>160</v>
      </c>
      <c r="C2685" t="s">
        <v>247</v>
      </c>
      <c r="D2685" t="s">
        <v>3288</v>
      </c>
      <c r="E2685" s="119">
        <v>0.23281500000000002</v>
      </c>
      <c r="F2685" s="149" t="s">
        <v>135</v>
      </c>
      <c r="G2685" s="149" t="s">
        <v>135</v>
      </c>
      <c r="H2685" s="68" t="s">
        <v>376</v>
      </c>
      <c r="I2685" t="s">
        <v>2062</v>
      </c>
      <c r="J2685" s="77" t="str">
        <f t="shared" si="13"/>
        <v>[TIMES_SE] Direct Reduced Iron, tunnel kiln</v>
      </c>
      <c r="L2685" s="131"/>
      <c r="M2685" s="48"/>
      <c r="N2685" s="123"/>
    </row>
    <row r="2686" spans="1:14" customFormat="1" x14ac:dyDescent="0.55000000000000004">
      <c r="A2686" s="92" t="s">
        <v>322</v>
      </c>
      <c r="B2686" t="s">
        <v>160</v>
      </c>
      <c r="C2686" t="s">
        <v>247</v>
      </c>
      <c r="D2686" t="s">
        <v>3288</v>
      </c>
      <c r="E2686" s="119">
        <v>1.0986500000000001</v>
      </c>
      <c r="F2686" s="149" t="s">
        <v>135</v>
      </c>
      <c r="G2686" s="149" t="s">
        <v>135</v>
      </c>
      <c r="H2686" s="68" t="s">
        <v>376</v>
      </c>
      <c r="I2686" t="s">
        <v>2064</v>
      </c>
      <c r="J2686" s="77" t="str">
        <f t="shared" si="13"/>
        <v>[TIMES_SE] Direct Reduced Iron, tunnel kiln</v>
      </c>
      <c r="L2686" s="131"/>
      <c r="M2686" s="48"/>
      <c r="N2686" s="123"/>
    </row>
    <row r="2687" spans="1:14" customFormat="1" x14ac:dyDescent="0.55000000000000004">
      <c r="A2687" s="111" t="s">
        <v>344</v>
      </c>
      <c r="B2687" t="s">
        <v>339</v>
      </c>
      <c r="C2687" t="s">
        <v>121</v>
      </c>
      <c r="D2687" t="s">
        <v>3288</v>
      </c>
      <c r="E2687" s="116">
        <v>1</v>
      </c>
      <c r="F2687" s="149" t="s">
        <v>135</v>
      </c>
      <c r="G2687" s="149">
        <v>1</v>
      </c>
      <c r="H2687" s="68"/>
      <c r="J2687" s="77" t="str">
        <f t="shared" si="13"/>
        <v>[TIMES_SE] Electric Arc Furnace</v>
      </c>
      <c r="L2687" s="131"/>
      <c r="M2687" s="48"/>
      <c r="N2687" s="123"/>
    </row>
    <row r="2688" spans="1:14" customFormat="1" x14ac:dyDescent="0.55000000000000004">
      <c r="A2688" s="111" t="s">
        <v>344</v>
      </c>
      <c r="B2688" t="s">
        <v>341</v>
      </c>
      <c r="C2688" s="21" t="s">
        <v>125</v>
      </c>
      <c r="D2688" t="s">
        <v>3288</v>
      </c>
      <c r="E2688" s="116">
        <f>(1/0.917)</f>
        <v>1.0905125408942202</v>
      </c>
      <c r="F2688" s="149" t="s">
        <v>135</v>
      </c>
      <c r="G2688" s="149" t="s">
        <v>135</v>
      </c>
      <c r="H2688" s="68" t="s">
        <v>39</v>
      </c>
      <c r="I2688" t="s">
        <v>345</v>
      </c>
      <c r="J2688" s="77" t="str">
        <f t="shared" si="13"/>
        <v>[TIMES_SE] Electric Arc Furnace</v>
      </c>
      <c r="L2688" s="131"/>
      <c r="M2688" s="48"/>
      <c r="N2688" s="123"/>
    </row>
    <row r="2689" spans="1:14" customFormat="1" x14ac:dyDescent="0.55000000000000004">
      <c r="A2689" s="111" t="s">
        <v>344</v>
      </c>
      <c r="B2689" t="s">
        <v>153</v>
      </c>
      <c r="C2689" t="s">
        <v>127</v>
      </c>
      <c r="D2689" t="s">
        <v>2994</v>
      </c>
      <c r="E2689" s="116">
        <v>2.1309999999999998</v>
      </c>
      <c r="F2689" s="149" t="s">
        <v>138</v>
      </c>
      <c r="G2689" s="149" t="s">
        <v>135</v>
      </c>
      <c r="H2689" s="68" t="s">
        <v>39</v>
      </c>
      <c r="I2689" t="s">
        <v>346</v>
      </c>
      <c r="J2689" s="77" t="str">
        <f t="shared" si="13"/>
        <v>[TIMES_SE] Electric Arc Furnace</v>
      </c>
      <c r="L2689" s="131"/>
      <c r="M2689" s="48"/>
      <c r="N2689" s="123"/>
    </row>
    <row r="2690" spans="1:14" customFormat="1" x14ac:dyDescent="0.55000000000000004">
      <c r="A2690" s="111" t="s">
        <v>344</v>
      </c>
      <c r="B2690" t="s">
        <v>171</v>
      </c>
      <c r="C2690" t="s">
        <v>127</v>
      </c>
      <c r="D2690" t="s">
        <v>2994</v>
      </c>
      <c r="E2690" s="116">
        <v>0.11</v>
      </c>
      <c r="F2690" s="149" t="s">
        <v>138</v>
      </c>
      <c r="G2690" s="149" t="s">
        <v>135</v>
      </c>
      <c r="H2690" s="68" t="s">
        <v>39</v>
      </c>
      <c r="I2690" t="s">
        <v>347</v>
      </c>
      <c r="J2690" s="77" t="str">
        <f t="shared" si="13"/>
        <v>[TIMES_SE] Electric Arc Furnace</v>
      </c>
      <c r="L2690" s="131"/>
      <c r="M2690" s="48"/>
      <c r="N2690" s="123"/>
    </row>
    <row r="2691" spans="1:14" customFormat="1" x14ac:dyDescent="0.55000000000000004">
      <c r="A2691" s="111" t="s">
        <v>344</v>
      </c>
      <c r="B2691" t="s">
        <v>262</v>
      </c>
      <c r="C2691" t="s">
        <v>127</v>
      </c>
      <c r="D2691" t="s">
        <v>2994</v>
      </c>
      <c r="E2691" s="116">
        <v>0.03</v>
      </c>
      <c r="F2691" s="149" t="s">
        <v>138</v>
      </c>
      <c r="G2691" s="149" t="s">
        <v>135</v>
      </c>
      <c r="H2691" s="68" t="s">
        <v>39</v>
      </c>
      <c r="J2691" s="77" t="str">
        <f t="shared" si="13"/>
        <v>[TIMES_SE] Electric Arc Furnace</v>
      </c>
      <c r="L2691" s="131"/>
      <c r="M2691" s="48"/>
      <c r="N2691" s="123"/>
    </row>
    <row r="2692" spans="1:14" customFormat="1" x14ac:dyDescent="0.55000000000000004">
      <c r="A2692" s="111" t="s">
        <v>344</v>
      </c>
      <c r="B2692" t="s">
        <v>262</v>
      </c>
      <c r="C2692" t="s">
        <v>348</v>
      </c>
      <c r="D2692" t="s">
        <v>2994</v>
      </c>
      <c r="E2692" s="116">
        <v>0.13500000000000001</v>
      </c>
      <c r="F2692" s="149" t="s">
        <v>138</v>
      </c>
      <c r="G2692" s="149" t="s">
        <v>135</v>
      </c>
      <c r="H2692" s="68" t="s">
        <v>39</v>
      </c>
      <c r="I2692" t="s">
        <v>349</v>
      </c>
      <c r="J2692" s="77" t="str">
        <f t="shared" si="13"/>
        <v>[TIMES_SE] Electric Arc Furnace</v>
      </c>
      <c r="L2692" s="131"/>
      <c r="M2692" s="48"/>
      <c r="N2692" s="123"/>
    </row>
    <row r="2693" spans="1:14" customFormat="1" x14ac:dyDescent="0.55000000000000004">
      <c r="A2693" s="111" t="s">
        <v>344</v>
      </c>
      <c r="B2693" t="s">
        <v>213</v>
      </c>
      <c r="C2693" t="s">
        <v>125</v>
      </c>
      <c r="D2693" t="s">
        <v>3289</v>
      </c>
      <c r="E2693" s="116">
        <v>11.16</v>
      </c>
      <c r="F2693" s="149" t="s">
        <v>133</v>
      </c>
      <c r="G2693" s="149" t="s">
        <v>135</v>
      </c>
      <c r="H2693" s="68" t="s">
        <v>39</v>
      </c>
      <c r="I2693" t="s">
        <v>350</v>
      </c>
      <c r="J2693" s="77" t="str">
        <f t="shared" si="13"/>
        <v>[TIMES_SE] Electric Arc Furnace</v>
      </c>
      <c r="L2693" s="131"/>
      <c r="M2693" s="48"/>
      <c r="N2693" s="123"/>
    </row>
    <row r="2694" spans="1:14" customFormat="1" x14ac:dyDescent="0.55000000000000004">
      <c r="A2694" s="111" t="s">
        <v>344</v>
      </c>
      <c r="B2694" t="s">
        <v>131</v>
      </c>
      <c r="C2694" t="s">
        <v>125</v>
      </c>
      <c r="D2694" t="s">
        <v>3288</v>
      </c>
      <c r="E2694" s="116">
        <v>1.2999999999999999E-2</v>
      </c>
      <c r="F2694" s="149" t="s">
        <v>135</v>
      </c>
      <c r="G2694" s="149" t="s">
        <v>135</v>
      </c>
      <c r="H2694" s="68" t="s">
        <v>39</v>
      </c>
      <c r="J2694" s="77" t="str">
        <f t="shared" si="13"/>
        <v>[TIMES_SE] Electric Arc Furnace</v>
      </c>
      <c r="L2694" s="131"/>
      <c r="M2694" s="48"/>
      <c r="N2694" s="123"/>
    </row>
    <row r="2695" spans="1:14" customFormat="1" x14ac:dyDescent="0.55000000000000004">
      <c r="A2695" s="111" t="s">
        <v>344</v>
      </c>
      <c r="B2695" t="s">
        <v>170</v>
      </c>
      <c r="C2695" t="s">
        <v>125</v>
      </c>
      <c r="D2695" t="s">
        <v>3288</v>
      </c>
      <c r="E2695" s="116">
        <v>5.0000000000000001E-3</v>
      </c>
      <c r="F2695" s="149" t="s">
        <v>135</v>
      </c>
      <c r="G2695" s="149" t="s">
        <v>135</v>
      </c>
      <c r="H2695" s="68" t="s">
        <v>39</v>
      </c>
      <c r="J2695" s="77" t="str">
        <f t="shared" si="13"/>
        <v>[TIMES_SE] Electric Arc Furnace</v>
      </c>
      <c r="L2695" s="131"/>
      <c r="M2695" s="48"/>
      <c r="N2695" s="123"/>
    </row>
    <row r="2696" spans="1:14" customFormat="1" x14ac:dyDescent="0.55000000000000004">
      <c r="A2696" s="111" t="s">
        <v>344</v>
      </c>
      <c r="B2696" t="s">
        <v>160</v>
      </c>
      <c r="C2696" t="s">
        <v>247</v>
      </c>
      <c r="D2696" t="s">
        <v>3288</v>
      </c>
      <c r="E2696" s="116">
        <v>6.1710000000000003E-3</v>
      </c>
      <c r="F2696" s="149" t="s">
        <v>135</v>
      </c>
      <c r="G2696" s="149" t="s">
        <v>135</v>
      </c>
      <c r="H2696" t="s">
        <v>376</v>
      </c>
      <c r="I2696" t="s">
        <v>2013</v>
      </c>
      <c r="J2696" s="77" t="str">
        <f t="shared" si="13"/>
        <v>[TIMES_SE] Electric Arc Furnace</v>
      </c>
      <c r="L2696" s="131"/>
      <c r="M2696" s="48"/>
      <c r="N2696" s="123"/>
    </row>
    <row r="2697" spans="1:14" customFormat="1" x14ac:dyDescent="0.55000000000000004">
      <c r="A2697" s="111" t="s">
        <v>344</v>
      </c>
      <c r="B2697" t="s">
        <v>160</v>
      </c>
      <c r="C2697" t="s">
        <v>247</v>
      </c>
      <c r="D2697" t="s">
        <v>3288</v>
      </c>
      <c r="E2697" s="116">
        <f>0.00294+0.01323</f>
        <v>1.617E-2</v>
      </c>
      <c r="F2697" s="149" t="s">
        <v>135</v>
      </c>
      <c r="G2697" s="149" t="s">
        <v>135</v>
      </c>
      <c r="H2697" t="s">
        <v>413</v>
      </c>
      <c r="I2697" t="s">
        <v>2071</v>
      </c>
      <c r="J2697" s="77" t="str">
        <f t="shared" si="13"/>
        <v>[TIMES_SE] Electric Arc Furnace</v>
      </c>
      <c r="L2697" s="131"/>
      <c r="M2697" s="48"/>
      <c r="N2697" s="123"/>
    </row>
    <row r="2698" spans="1:14" customFormat="1" x14ac:dyDescent="0.55000000000000004">
      <c r="A2698" s="111" t="s">
        <v>351</v>
      </c>
      <c r="B2698" t="s">
        <v>352</v>
      </c>
      <c r="C2698" t="s">
        <v>121</v>
      </c>
      <c r="D2698" t="s">
        <v>3288</v>
      </c>
      <c r="E2698" s="116">
        <v>1</v>
      </c>
      <c r="F2698" s="149" t="s">
        <v>135</v>
      </c>
      <c r="G2698" s="149">
        <v>1</v>
      </c>
      <c r="H2698" s="68"/>
      <c r="J2698" s="77" t="str">
        <f t="shared" si="13"/>
        <v>[TIMES_SE] Electric Arc Furnace, stainless steel</v>
      </c>
      <c r="L2698" s="131"/>
      <c r="M2698" s="48"/>
      <c r="N2698" s="123"/>
    </row>
    <row r="2699" spans="1:14" customFormat="1" x14ac:dyDescent="0.55000000000000004">
      <c r="A2699" s="111" t="s">
        <v>351</v>
      </c>
      <c r="B2699" t="s">
        <v>341</v>
      </c>
      <c r="C2699" s="21" t="s">
        <v>125</v>
      </c>
      <c r="D2699" t="s">
        <v>3288</v>
      </c>
      <c r="E2699" s="116">
        <f>(1/0.9)*(1-0.203)</f>
        <v>0.88555555555555554</v>
      </c>
      <c r="F2699" s="149" t="s">
        <v>135</v>
      </c>
      <c r="G2699" s="149" t="s">
        <v>135</v>
      </c>
      <c r="H2699" s="68" t="s">
        <v>39</v>
      </c>
      <c r="I2699" t="s">
        <v>353</v>
      </c>
      <c r="J2699" s="77" t="str">
        <f t="shared" si="13"/>
        <v>[TIMES_SE] Electric Arc Furnace, stainless steel</v>
      </c>
      <c r="L2699" s="131"/>
      <c r="M2699" s="48"/>
      <c r="N2699" s="123"/>
    </row>
    <row r="2700" spans="1:14" customFormat="1" x14ac:dyDescent="0.55000000000000004">
      <c r="A2700" s="111" t="s">
        <v>351</v>
      </c>
      <c r="B2700" t="s">
        <v>354</v>
      </c>
      <c r="C2700" s="21" t="s">
        <v>125</v>
      </c>
      <c r="D2700" t="s">
        <v>3288</v>
      </c>
      <c r="E2700" s="116">
        <f>(1/0.9)*0.203</f>
        <v>0.22555555555555559</v>
      </c>
      <c r="F2700" s="149" t="s">
        <v>135</v>
      </c>
      <c r="G2700" s="149" t="s">
        <v>135</v>
      </c>
      <c r="H2700" s="68" t="s">
        <v>39</v>
      </c>
      <c r="I2700" t="s">
        <v>355</v>
      </c>
      <c r="J2700" s="77" t="str">
        <f t="shared" si="13"/>
        <v>[TIMES_SE] Electric Arc Furnace, stainless steel</v>
      </c>
      <c r="L2700" s="131"/>
      <c r="M2700" s="48"/>
      <c r="N2700" s="123"/>
    </row>
    <row r="2701" spans="1:14" customFormat="1" x14ac:dyDescent="0.55000000000000004">
      <c r="A2701" s="111" t="s">
        <v>351</v>
      </c>
      <c r="B2701" t="s">
        <v>153</v>
      </c>
      <c r="C2701" t="s">
        <v>127</v>
      </c>
      <c r="D2701" t="s">
        <v>2994</v>
      </c>
      <c r="E2701" s="116">
        <v>2.1309999999999998</v>
      </c>
      <c r="F2701" s="149" t="s">
        <v>138</v>
      </c>
      <c r="G2701" s="149" t="s">
        <v>135</v>
      </c>
      <c r="H2701" s="68" t="s">
        <v>39</v>
      </c>
      <c r="I2701" t="s">
        <v>346</v>
      </c>
      <c r="J2701" s="77" t="str">
        <f t="shared" si="13"/>
        <v>[TIMES_SE] Electric Arc Furnace, stainless steel</v>
      </c>
      <c r="L2701" s="131"/>
      <c r="M2701" s="48"/>
      <c r="N2701" s="123"/>
    </row>
    <row r="2702" spans="1:14" customFormat="1" x14ac:dyDescent="0.55000000000000004">
      <c r="A2702" s="111" t="s">
        <v>351</v>
      </c>
      <c r="B2702" t="s">
        <v>171</v>
      </c>
      <c r="C2702" t="s">
        <v>127</v>
      </c>
      <c r="D2702" t="s">
        <v>2994</v>
      </c>
      <c r="E2702" s="116">
        <v>0.11</v>
      </c>
      <c r="F2702" s="149" t="s">
        <v>138</v>
      </c>
      <c r="G2702" s="149" t="s">
        <v>135</v>
      </c>
      <c r="H2702" s="68" t="s">
        <v>39</v>
      </c>
      <c r="I2702" t="s">
        <v>347</v>
      </c>
      <c r="J2702" s="77" t="str">
        <f t="shared" si="13"/>
        <v>[TIMES_SE] Electric Arc Furnace, stainless steel</v>
      </c>
      <c r="L2702" s="131"/>
      <c r="M2702" s="48"/>
      <c r="N2702" s="123"/>
    </row>
    <row r="2703" spans="1:14" customFormat="1" x14ac:dyDescent="0.55000000000000004">
      <c r="A2703" s="111" t="s">
        <v>351</v>
      </c>
      <c r="B2703" t="s">
        <v>262</v>
      </c>
      <c r="C2703" t="s">
        <v>127</v>
      </c>
      <c r="D2703" t="s">
        <v>2994</v>
      </c>
      <c r="E2703" s="116">
        <v>0.03</v>
      </c>
      <c r="F2703" s="149" t="s">
        <v>138</v>
      </c>
      <c r="G2703" s="149" t="s">
        <v>135</v>
      </c>
      <c r="H2703" s="68" t="s">
        <v>39</v>
      </c>
      <c r="J2703" s="77" t="str">
        <f t="shared" si="13"/>
        <v>[TIMES_SE] Electric Arc Furnace, stainless steel</v>
      </c>
      <c r="L2703" s="131"/>
      <c r="M2703" s="48"/>
      <c r="N2703" s="123"/>
    </row>
    <row r="2704" spans="1:14" customFormat="1" x14ac:dyDescent="0.55000000000000004">
      <c r="A2704" s="111" t="s">
        <v>351</v>
      </c>
      <c r="B2704" t="s">
        <v>262</v>
      </c>
      <c r="C2704" t="s">
        <v>348</v>
      </c>
      <c r="D2704" t="s">
        <v>2994</v>
      </c>
      <c r="E2704" s="116">
        <v>0.13500000000000001</v>
      </c>
      <c r="F2704" s="149" t="s">
        <v>138</v>
      </c>
      <c r="G2704" s="149" t="s">
        <v>135</v>
      </c>
      <c r="H2704" s="68" t="s">
        <v>39</v>
      </c>
      <c r="I2704" t="s">
        <v>349</v>
      </c>
      <c r="J2704" s="77" t="str">
        <f t="shared" si="13"/>
        <v>[TIMES_SE] Electric Arc Furnace, stainless steel</v>
      </c>
      <c r="L2704" s="131"/>
      <c r="M2704" s="48"/>
      <c r="N2704" s="123"/>
    </row>
    <row r="2705" spans="1:14" customFormat="1" x14ac:dyDescent="0.55000000000000004">
      <c r="A2705" s="111" t="s">
        <v>351</v>
      </c>
      <c r="B2705" t="s">
        <v>213</v>
      </c>
      <c r="C2705" t="s">
        <v>125</v>
      </c>
      <c r="D2705" t="s">
        <v>3289</v>
      </c>
      <c r="E2705" s="116">
        <v>11.16</v>
      </c>
      <c r="F2705" s="149" t="s">
        <v>133</v>
      </c>
      <c r="G2705" s="149" t="s">
        <v>135</v>
      </c>
      <c r="H2705" s="68" t="s">
        <v>39</v>
      </c>
      <c r="I2705" t="s">
        <v>350</v>
      </c>
      <c r="J2705" s="77" t="str">
        <f t="shared" si="13"/>
        <v>[TIMES_SE] Electric Arc Furnace, stainless steel</v>
      </c>
      <c r="L2705" s="131"/>
      <c r="M2705" s="48"/>
      <c r="N2705" s="123"/>
    </row>
    <row r="2706" spans="1:14" customFormat="1" x14ac:dyDescent="0.55000000000000004">
      <c r="A2706" s="111" t="s">
        <v>351</v>
      </c>
      <c r="B2706" t="s">
        <v>131</v>
      </c>
      <c r="C2706" t="s">
        <v>125</v>
      </c>
      <c r="D2706" t="s">
        <v>3288</v>
      </c>
      <c r="E2706" s="116">
        <v>1.2999999999999999E-2</v>
      </c>
      <c r="F2706" s="149" t="s">
        <v>135</v>
      </c>
      <c r="G2706" s="149" t="s">
        <v>135</v>
      </c>
      <c r="H2706" s="68" t="s">
        <v>39</v>
      </c>
      <c r="J2706" s="77" t="str">
        <f t="shared" si="13"/>
        <v>[TIMES_SE] Electric Arc Furnace, stainless steel</v>
      </c>
      <c r="L2706" s="131"/>
      <c r="M2706" s="48"/>
      <c r="N2706" s="123"/>
    </row>
    <row r="2707" spans="1:14" customFormat="1" x14ac:dyDescent="0.55000000000000004">
      <c r="A2707" s="111" t="s">
        <v>351</v>
      </c>
      <c r="B2707" t="s">
        <v>170</v>
      </c>
      <c r="C2707" t="s">
        <v>125</v>
      </c>
      <c r="D2707" t="s">
        <v>3288</v>
      </c>
      <c r="E2707" s="116">
        <v>5.0000000000000001E-3</v>
      </c>
      <c r="F2707" s="149" t="s">
        <v>135</v>
      </c>
      <c r="G2707" s="149" t="s">
        <v>135</v>
      </c>
      <c r="H2707" s="68" t="s">
        <v>39</v>
      </c>
      <c r="J2707" s="77" t="str">
        <f t="shared" si="13"/>
        <v>[TIMES_SE] Electric Arc Furnace, stainless steel</v>
      </c>
      <c r="L2707" s="131"/>
      <c r="M2707" s="48"/>
      <c r="N2707" s="123"/>
    </row>
    <row r="2708" spans="1:14" customFormat="1" x14ac:dyDescent="0.55000000000000004">
      <c r="A2708" s="111" t="s">
        <v>351</v>
      </c>
      <c r="B2708" t="s">
        <v>160</v>
      </c>
      <c r="C2708" t="s">
        <v>247</v>
      </c>
      <c r="D2708" t="s">
        <v>3288</v>
      </c>
      <c r="E2708" s="116">
        <v>6.1710000000000003E-3</v>
      </c>
      <c r="F2708" s="149" t="s">
        <v>135</v>
      </c>
      <c r="G2708" s="149" t="s">
        <v>135</v>
      </c>
      <c r="H2708" t="s">
        <v>376</v>
      </c>
      <c r="I2708" t="s">
        <v>2013</v>
      </c>
      <c r="J2708" s="77" t="str">
        <f t="shared" si="13"/>
        <v>[TIMES_SE] Electric Arc Furnace, stainless steel</v>
      </c>
      <c r="L2708" s="131"/>
      <c r="M2708" s="48"/>
      <c r="N2708" s="123"/>
    </row>
    <row r="2709" spans="1:14" customFormat="1" x14ac:dyDescent="0.55000000000000004">
      <c r="A2709" s="111" t="s">
        <v>351</v>
      </c>
      <c r="B2709" t="s">
        <v>160</v>
      </c>
      <c r="C2709" t="s">
        <v>247</v>
      </c>
      <c r="D2709" t="s">
        <v>3288</v>
      </c>
      <c r="E2709" s="116">
        <f>0.00294+0.01323</f>
        <v>1.617E-2</v>
      </c>
      <c r="F2709" s="149" t="s">
        <v>135</v>
      </c>
      <c r="G2709" s="149" t="s">
        <v>135</v>
      </c>
      <c r="H2709" t="s">
        <v>413</v>
      </c>
      <c r="I2709" t="s">
        <v>2071</v>
      </c>
      <c r="J2709" s="77" t="str">
        <f t="shared" si="13"/>
        <v>[TIMES_SE] Electric Arc Furnace, stainless steel</v>
      </c>
      <c r="L2709" s="131"/>
      <c r="M2709" s="48"/>
      <c r="N2709" s="123"/>
    </row>
    <row r="2710" spans="1:14" customFormat="1" x14ac:dyDescent="0.55000000000000004">
      <c r="A2710" s="111" t="s">
        <v>336</v>
      </c>
      <c r="B2710" t="s">
        <v>315</v>
      </c>
      <c r="C2710" t="s">
        <v>121</v>
      </c>
      <c r="D2710" t="s">
        <v>3288</v>
      </c>
      <c r="E2710" s="117">
        <v>1</v>
      </c>
      <c r="F2710" s="149" t="s">
        <v>135</v>
      </c>
      <c r="G2710" s="149">
        <v>1</v>
      </c>
      <c r="H2710" t="s">
        <v>39</v>
      </c>
      <c r="J2710" s="77" t="str">
        <f t="shared" si="13"/>
        <v>[TIMES_SE] Electrowinning</v>
      </c>
      <c r="L2710" s="131"/>
      <c r="M2710" s="48"/>
      <c r="N2710" s="123"/>
    </row>
    <row r="2711" spans="1:14" customFormat="1" x14ac:dyDescent="0.55000000000000004">
      <c r="A2711" s="111" t="s">
        <v>336</v>
      </c>
      <c r="B2711" t="s">
        <v>316</v>
      </c>
      <c r="C2711" s="21" t="s">
        <v>125</v>
      </c>
      <c r="D2711" t="s">
        <v>3288</v>
      </c>
      <c r="E2711" s="117">
        <f>1/0.72</f>
        <v>1.3888888888888888</v>
      </c>
      <c r="F2711" s="149" t="s">
        <v>135</v>
      </c>
      <c r="G2711" s="149" t="s">
        <v>135</v>
      </c>
      <c r="H2711" t="s">
        <v>39</v>
      </c>
      <c r="I2711" t="s">
        <v>337</v>
      </c>
      <c r="J2711" s="77" t="str">
        <f t="shared" si="13"/>
        <v>[TIMES_SE] Electrowinning</v>
      </c>
      <c r="L2711" s="131"/>
      <c r="M2711" s="48"/>
      <c r="N2711" s="123"/>
    </row>
    <row r="2712" spans="1:14" customFormat="1" x14ac:dyDescent="0.55000000000000004">
      <c r="A2712" s="111" t="s">
        <v>336</v>
      </c>
      <c r="B2712" t="s">
        <v>153</v>
      </c>
      <c r="C2712" t="s">
        <v>127</v>
      </c>
      <c r="D2712" t="s">
        <v>2994</v>
      </c>
      <c r="E2712" s="117">
        <v>7.24</v>
      </c>
      <c r="F2712" s="149" t="s">
        <v>138</v>
      </c>
      <c r="G2712" s="149" t="s">
        <v>135</v>
      </c>
      <c r="H2712" t="s">
        <v>39</v>
      </c>
      <c r="J2712" s="77" t="str">
        <f t="shared" si="13"/>
        <v>[TIMES_SE] Electrowinning</v>
      </c>
      <c r="L2712" s="131"/>
      <c r="M2712" s="48"/>
      <c r="N2712" s="123"/>
    </row>
    <row r="2713" spans="1:14" customFormat="1" x14ac:dyDescent="0.55000000000000004">
      <c r="A2713" s="111" t="s">
        <v>336</v>
      </c>
      <c r="B2713" t="s">
        <v>160</v>
      </c>
      <c r="C2713" t="s">
        <v>247</v>
      </c>
      <c r="D2713" t="s">
        <v>3288</v>
      </c>
      <c r="E2713" s="119">
        <v>0</v>
      </c>
      <c r="F2713" s="149" t="s">
        <v>135</v>
      </c>
      <c r="G2713" s="149" t="s">
        <v>135</v>
      </c>
      <c r="H2713" s="126" t="s">
        <v>39</v>
      </c>
      <c r="J2713" s="77" t="str">
        <f t="shared" si="13"/>
        <v>[TIMES_SE] Electrowinning</v>
      </c>
      <c r="L2713" s="131"/>
      <c r="M2713" s="48"/>
      <c r="N2713" s="123"/>
    </row>
    <row r="2714" spans="1:14" customFormat="1" x14ac:dyDescent="0.55000000000000004">
      <c r="A2714" s="111" t="s">
        <v>356</v>
      </c>
      <c r="B2714" t="s">
        <v>354</v>
      </c>
      <c r="C2714" t="s">
        <v>121</v>
      </c>
      <c r="D2714" t="s">
        <v>3288</v>
      </c>
      <c r="E2714" s="116">
        <v>1</v>
      </c>
      <c r="F2714" s="149" t="s">
        <v>135</v>
      </c>
      <c r="G2714" s="149">
        <v>1</v>
      </c>
      <c r="H2714" s="68" t="s">
        <v>39</v>
      </c>
      <c r="J2714" s="77" t="str">
        <f t="shared" si="13"/>
        <v>[TIMES_SE] Ferrochrome Arc Furnace</v>
      </c>
      <c r="L2714" s="131"/>
      <c r="M2714" s="48"/>
      <c r="N2714" s="123"/>
    </row>
    <row r="2715" spans="1:14" customFormat="1" x14ac:dyDescent="0.55000000000000004">
      <c r="A2715" s="111" t="s">
        <v>356</v>
      </c>
      <c r="B2715" t="s">
        <v>357</v>
      </c>
      <c r="C2715" s="21" t="s">
        <v>125</v>
      </c>
      <c r="D2715" t="s">
        <v>3288</v>
      </c>
      <c r="E2715" s="116">
        <f>1/0.435</f>
        <v>2.2988505747126435</v>
      </c>
      <c r="F2715" s="149" t="s">
        <v>135</v>
      </c>
      <c r="G2715" s="149" t="s">
        <v>135</v>
      </c>
      <c r="H2715" s="68" t="s">
        <v>39</v>
      </c>
      <c r="I2715" t="s">
        <v>358</v>
      </c>
      <c r="J2715" s="77" t="str">
        <f t="shared" si="13"/>
        <v>[TIMES_SE] Ferrochrome Arc Furnace</v>
      </c>
      <c r="L2715" s="131"/>
      <c r="M2715" s="48"/>
      <c r="N2715" s="123"/>
    </row>
    <row r="2716" spans="1:14" customFormat="1" x14ac:dyDescent="0.55000000000000004">
      <c r="A2716" s="111" t="s">
        <v>356</v>
      </c>
      <c r="B2716" t="s">
        <v>293</v>
      </c>
      <c r="C2716" t="s">
        <v>294</v>
      </c>
      <c r="D2716" t="s">
        <v>2994</v>
      </c>
      <c r="E2716" s="116">
        <v>18.8</v>
      </c>
      <c r="F2716" s="149" t="s">
        <v>138</v>
      </c>
      <c r="G2716" s="149" t="s">
        <v>135</v>
      </c>
      <c r="H2716" s="68" t="s">
        <v>359</v>
      </c>
      <c r="I2716" t="s">
        <v>360</v>
      </c>
      <c r="J2716" s="77" t="str">
        <f t="shared" si="13"/>
        <v>[TIMES_SE] Ferrochrome Arc Furnace</v>
      </c>
      <c r="L2716" s="131"/>
      <c r="M2716" s="48"/>
      <c r="N2716" s="123"/>
    </row>
    <row r="2717" spans="1:14" customFormat="1" x14ac:dyDescent="0.55000000000000004">
      <c r="A2717" s="111" t="s">
        <v>356</v>
      </c>
      <c r="B2717" t="s">
        <v>297</v>
      </c>
      <c r="C2717" t="s">
        <v>294</v>
      </c>
      <c r="D2717" t="s">
        <v>2994</v>
      </c>
      <c r="E2717" s="116">
        <v>0</v>
      </c>
      <c r="F2717" s="149" t="s">
        <v>138</v>
      </c>
      <c r="G2717" s="149" t="s">
        <v>135</v>
      </c>
      <c r="H2717" s="68" t="s">
        <v>359</v>
      </c>
      <c r="I2717" t="s">
        <v>360</v>
      </c>
      <c r="J2717" s="77" t="str">
        <f t="shared" si="13"/>
        <v>[TIMES_SE] Ferrochrome Arc Furnace</v>
      </c>
      <c r="L2717" s="131"/>
      <c r="M2717" s="48"/>
      <c r="N2717" s="123"/>
    </row>
    <row r="2718" spans="1:14" customFormat="1" x14ac:dyDescent="0.55000000000000004">
      <c r="A2718" s="111" t="s">
        <v>356</v>
      </c>
      <c r="B2718" t="s">
        <v>153</v>
      </c>
      <c r="C2718" t="s">
        <v>127</v>
      </c>
      <c r="D2718" t="s">
        <v>2994</v>
      </c>
      <c r="E2718" s="116">
        <v>14.4</v>
      </c>
      <c r="F2718" s="149" t="s">
        <v>138</v>
      </c>
      <c r="G2718" s="149" t="s">
        <v>135</v>
      </c>
      <c r="H2718" s="68" t="s">
        <v>39</v>
      </c>
      <c r="I2718" t="s">
        <v>346</v>
      </c>
      <c r="J2718" s="77" t="str">
        <f t="shared" si="13"/>
        <v>[TIMES_SE] Ferrochrome Arc Furnace</v>
      </c>
      <c r="L2718" s="131"/>
      <c r="M2718" s="48"/>
      <c r="N2718" s="123"/>
    </row>
    <row r="2719" spans="1:14" customFormat="1" x14ac:dyDescent="0.55000000000000004">
      <c r="A2719" s="111" t="s">
        <v>356</v>
      </c>
      <c r="B2719" t="s">
        <v>262</v>
      </c>
      <c r="C2719" t="s">
        <v>348</v>
      </c>
      <c r="D2719" t="s">
        <v>2994</v>
      </c>
      <c r="E2719" s="116">
        <v>0.8</v>
      </c>
      <c r="F2719" s="149" t="s">
        <v>138</v>
      </c>
      <c r="G2719" s="149" t="s">
        <v>135</v>
      </c>
      <c r="H2719" s="68" t="s">
        <v>39</v>
      </c>
      <c r="I2719" t="s">
        <v>349</v>
      </c>
      <c r="J2719" s="77" t="str">
        <f t="shared" si="13"/>
        <v>[TIMES_SE] Ferrochrome Arc Furnace</v>
      </c>
      <c r="L2719" s="131"/>
      <c r="M2719" s="48"/>
      <c r="N2719" s="123"/>
    </row>
    <row r="2720" spans="1:14" customFormat="1" x14ac:dyDescent="0.55000000000000004">
      <c r="A2720" s="111" t="s">
        <v>356</v>
      </c>
      <c r="B2720" t="s">
        <v>160</v>
      </c>
      <c r="C2720" t="s">
        <v>247</v>
      </c>
      <c r="D2720" t="s">
        <v>3288</v>
      </c>
      <c r="E2720" s="116">
        <v>2.0209999999999999</v>
      </c>
      <c r="F2720" s="149" t="s">
        <v>135</v>
      </c>
      <c r="G2720" s="149" t="s">
        <v>135</v>
      </c>
      <c r="H2720" t="s">
        <v>376</v>
      </c>
      <c r="I2720" t="s">
        <v>2073</v>
      </c>
      <c r="J2720" s="77" t="str">
        <f t="shared" si="13"/>
        <v>[TIMES_SE] Ferrochrome Arc Furnace</v>
      </c>
      <c r="L2720" s="131"/>
      <c r="M2720" s="48"/>
      <c r="N2720" s="123"/>
    </row>
    <row r="2721" spans="1:14" customFormat="1" x14ac:dyDescent="0.55000000000000004">
      <c r="A2721" s="111" t="s">
        <v>356</v>
      </c>
      <c r="B2721" t="s">
        <v>160</v>
      </c>
      <c r="C2721" t="s">
        <v>247</v>
      </c>
      <c r="D2721" t="s">
        <v>3288</v>
      </c>
      <c r="E2721" s="116">
        <v>7.8400000000000011E-2</v>
      </c>
      <c r="F2721" s="149" t="s">
        <v>135</v>
      </c>
      <c r="G2721" s="149" t="s">
        <v>135</v>
      </c>
      <c r="H2721" t="s">
        <v>413</v>
      </c>
      <c r="I2721" t="s">
        <v>2072</v>
      </c>
      <c r="J2721" s="77" t="str">
        <f t="shared" si="13"/>
        <v>[TIMES_SE] Ferrochrome Arc Furnace</v>
      </c>
      <c r="L2721" s="131"/>
      <c r="M2721" s="48"/>
      <c r="N2721" s="123"/>
    </row>
    <row r="2722" spans="1:14" customFormat="1" x14ac:dyDescent="0.55000000000000004">
      <c r="A2722" s="98" t="s">
        <v>232</v>
      </c>
      <c r="B2722" s="68" t="s">
        <v>216</v>
      </c>
      <c r="C2722" s="68" t="s">
        <v>121</v>
      </c>
      <c r="D2722" s="68" t="s">
        <v>3288</v>
      </c>
      <c r="E2722" s="120">
        <v>1</v>
      </c>
      <c r="F2722" s="151" t="s">
        <v>135</v>
      </c>
      <c r="G2722" s="151">
        <v>1</v>
      </c>
      <c r="H2722" s="68"/>
      <c r="J2722" s="74" t="str">
        <f t="shared" si="13"/>
        <v>[TIMES_SE] Kraft process</v>
      </c>
      <c r="L2722" s="163"/>
      <c r="M2722" s="48"/>
      <c r="N2722" s="123"/>
    </row>
    <row r="2723" spans="1:14" customFormat="1" x14ac:dyDescent="0.55000000000000004">
      <c r="A2723" s="98" t="s">
        <v>232</v>
      </c>
      <c r="B2723" s="68" t="s">
        <v>233</v>
      </c>
      <c r="C2723" s="68" t="s">
        <v>156</v>
      </c>
      <c r="D2723" s="68" t="s">
        <v>2994</v>
      </c>
      <c r="E2723" s="120">
        <v>17.8</v>
      </c>
      <c r="F2723" s="151" t="s">
        <v>138</v>
      </c>
      <c r="G2723" s="151" t="s">
        <v>135</v>
      </c>
      <c r="H2723" s="68" t="s">
        <v>39</v>
      </c>
      <c r="J2723" s="74" t="str">
        <f t="shared" si="13"/>
        <v>[TIMES_SE] Kraft process</v>
      </c>
      <c r="L2723" s="163"/>
      <c r="M2723" s="48"/>
      <c r="N2723" s="123"/>
    </row>
    <row r="2724" spans="1:14" customFormat="1" x14ac:dyDescent="0.55000000000000004">
      <c r="A2724" s="98" t="s">
        <v>232</v>
      </c>
      <c r="B2724" s="68" t="s">
        <v>234</v>
      </c>
      <c r="C2724" s="68" t="s">
        <v>156</v>
      </c>
      <c r="D2724" s="68" t="s">
        <v>2994</v>
      </c>
      <c r="E2724" s="120">
        <v>1.5</v>
      </c>
      <c r="F2724" s="151" t="s">
        <v>138</v>
      </c>
      <c r="G2724" s="151" t="s">
        <v>135</v>
      </c>
      <c r="H2724" s="68" t="s">
        <v>39</v>
      </c>
      <c r="J2724" s="74" t="str">
        <f t="shared" si="13"/>
        <v>[TIMES_SE] Kraft process</v>
      </c>
      <c r="L2724" s="163"/>
      <c r="M2724" s="48"/>
      <c r="N2724" s="123"/>
    </row>
    <row r="2725" spans="1:14" customFormat="1" x14ac:dyDescent="0.55000000000000004">
      <c r="A2725" s="98" t="s">
        <v>232</v>
      </c>
      <c r="B2725" s="68" t="s">
        <v>230</v>
      </c>
      <c r="C2725" t="s">
        <v>231</v>
      </c>
      <c r="D2725" s="68" t="s">
        <v>3288</v>
      </c>
      <c r="E2725" s="120">
        <f>1/0.52</f>
        <v>1.9230769230769229</v>
      </c>
      <c r="F2725" s="151" t="s">
        <v>135</v>
      </c>
      <c r="G2725" s="151" t="s">
        <v>135</v>
      </c>
      <c r="H2725" s="68" t="s">
        <v>39</v>
      </c>
      <c r="J2725" s="74" t="str">
        <f t="shared" si="13"/>
        <v>[TIMES_SE] Kraft process</v>
      </c>
      <c r="L2725" s="163"/>
      <c r="M2725" s="48"/>
      <c r="N2725" s="123"/>
    </row>
    <row r="2726" spans="1:14" customFormat="1" x14ac:dyDescent="0.55000000000000004">
      <c r="A2726" s="98" t="s">
        <v>232</v>
      </c>
      <c r="B2726" s="68" t="s">
        <v>170</v>
      </c>
      <c r="C2726" t="s">
        <v>207</v>
      </c>
      <c r="D2726" s="68" t="s">
        <v>3288</v>
      </c>
      <c r="E2726" s="120">
        <v>0.28399999999999997</v>
      </c>
      <c r="F2726" s="151" t="s">
        <v>135</v>
      </c>
      <c r="G2726" s="151" t="s">
        <v>135</v>
      </c>
      <c r="H2726" s="68" t="s">
        <v>39</v>
      </c>
      <c r="J2726" s="74" t="str">
        <f t="shared" si="13"/>
        <v>[TIMES_SE] Kraft process</v>
      </c>
      <c r="L2726" s="163"/>
      <c r="M2726" s="48"/>
      <c r="N2726" s="123"/>
    </row>
    <row r="2727" spans="1:14" customFormat="1" x14ac:dyDescent="0.55000000000000004">
      <c r="A2727" s="98" t="s">
        <v>232</v>
      </c>
      <c r="B2727" s="68" t="s">
        <v>208</v>
      </c>
      <c r="C2727" s="68" t="s">
        <v>127</v>
      </c>
      <c r="D2727" s="68" t="s">
        <v>2994</v>
      </c>
      <c r="E2727" s="120">
        <v>6.8</v>
      </c>
      <c r="F2727" s="151" t="s">
        <v>138</v>
      </c>
      <c r="G2727" s="151" t="s">
        <v>135</v>
      </c>
      <c r="H2727" s="68" t="s">
        <v>39</v>
      </c>
      <c r="J2727" s="74" t="str">
        <f t="shared" si="13"/>
        <v>[TIMES_SE] Kraft process</v>
      </c>
      <c r="L2727" s="163"/>
      <c r="M2727" s="48"/>
      <c r="N2727" s="123"/>
    </row>
    <row r="2728" spans="1:14" customFormat="1" x14ac:dyDescent="0.55000000000000004">
      <c r="A2728" s="98" t="s">
        <v>232</v>
      </c>
      <c r="B2728" s="68" t="s">
        <v>153</v>
      </c>
      <c r="C2728" s="68" t="s">
        <v>127</v>
      </c>
      <c r="D2728" s="68" t="s">
        <v>2994</v>
      </c>
      <c r="E2728" s="120">
        <v>1.7</v>
      </c>
      <c r="F2728" s="151" t="s">
        <v>138</v>
      </c>
      <c r="G2728" s="151" t="s">
        <v>135</v>
      </c>
      <c r="H2728" s="68" t="s">
        <v>39</v>
      </c>
      <c r="J2728" s="74" t="str">
        <f t="shared" si="13"/>
        <v>[TIMES_SE] Kraft process</v>
      </c>
      <c r="L2728" s="163"/>
      <c r="M2728" s="48"/>
      <c r="N2728" s="123"/>
    </row>
    <row r="2729" spans="1:14" customFormat="1" x14ac:dyDescent="0.55000000000000004">
      <c r="A2729" s="98" t="s">
        <v>232</v>
      </c>
      <c r="B2729" s="68" t="s">
        <v>160</v>
      </c>
      <c r="C2729" t="s">
        <v>247</v>
      </c>
      <c r="D2729" s="68" t="s">
        <v>3288</v>
      </c>
      <c r="E2729" s="119">
        <v>0.35359999999999997</v>
      </c>
      <c r="F2729" s="151" t="s">
        <v>135</v>
      </c>
      <c r="G2729" s="151" t="s">
        <v>135</v>
      </c>
      <c r="H2729" s="68" t="s">
        <v>373</v>
      </c>
      <c r="I2729" t="s">
        <v>2012</v>
      </c>
      <c r="J2729" s="74" t="str">
        <f t="shared" ref="J2729:J2792" si="14">A2729</f>
        <v>[TIMES_SE] Kraft process</v>
      </c>
      <c r="L2729" s="163"/>
      <c r="M2729" s="48"/>
      <c r="N2729" s="123"/>
    </row>
    <row r="2730" spans="1:14" customFormat="1" x14ac:dyDescent="0.55000000000000004">
      <c r="A2730" s="98" t="s">
        <v>228</v>
      </c>
      <c r="B2730" s="68" t="s">
        <v>229</v>
      </c>
      <c r="C2730" s="68" t="s">
        <v>121</v>
      </c>
      <c r="D2730" s="68" t="s">
        <v>3288</v>
      </c>
      <c r="E2730" s="120">
        <v>1</v>
      </c>
      <c r="F2730" s="151" t="s">
        <v>135</v>
      </c>
      <c r="G2730" s="151">
        <v>1</v>
      </c>
      <c r="H2730" s="68"/>
      <c r="J2730" s="74" t="str">
        <f t="shared" si="14"/>
        <v>[TIMES_SE] Mechanical pulping</v>
      </c>
      <c r="L2730" s="163"/>
      <c r="M2730" s="48"/>
      <c r="N2730" s="123"/>
    </row>
    <row r="2731" spans="1:14" customFormat="1" x14ac:dyDescent="0.55000000000000004">
      <c r="A2731" s="98" t="s">
        <v>228</v>
      </c>
      <c r="B2731" s="21" t="s">
        <v>208</v>
      </c>
      <c r="C2731" s="68" t="s">
        <v>156</v>
      </c>
      <c r="D2731" s="68" t="s">
        <v>2994</v>
      </c>
      <c r="E2731" s="120">
        <v>2.7</v>
      </c>
      <c r="F2731" s="151" t="s">
        <v>138</v>
      </c>
      <c r="G2731" s="151" t="s">
        <v>135</v>
      </c>
      <c r="H2731" s="68" t="s">
        <v>39</v>
      </c>
      <c r="J2731" s="74" t="str">
        <f t="shared" si="14"/>
        <v>[TIMES_SE] Mechanical pulping</v>
      </c>
      <c r="L2731" s="163"/>
      <c r="M2731" s="48"/>
      <c r="N2731" s="123"/>
    </row>
    <row r="2732" spans="1:14" customFormat="1" x14ac:dyDescent="0.55000000000000004">
      <c r="A2732" s="98" t="s">
        <v>228</v>
      </c>
      <c r="B2732" s="68" t="s">
        <v>230</v>
      </c>
      <c r="C2732" t="s">
        <v>231</v>
      </c>
      <c r="D2732" s="68" t="s">
        <v>3288</v>
      </c>
      <c r="E2732" s="120">
        <f>1/0.94</f>
        <v>1.0638297872340425</v>
      </c>
      <c r="F2732" s="151" t="s">
        <v>135</v>
      </c>
      <c r="G2732" s="151" t="s">
        <v>135</v>
      </c>
      <c r="H2732" s="68" t="s">
        <v>39</v>
      </c>
      <c r="J2732" s="74" t="str">
        <f t="shared" si="14"/>
        <v>[TIMES_SE] Mechanical pulping</v>
      </c>
      <c r="L2732" s="163"/>
      <c r="M2732" s="48"/>
      <c r="N2732" s="123"/>
    </row>
    <row r="2733" spans="1:14" customFormat="1" x14ac:dyDescent="0.55000000000000004">
      <c r="A2733" s="98" t="s">
        <v>228</v>
      </c>
      <c r="B2733" s="68" t="s">
        <v>153</v>
      </c>
      <c r="C2733" s="68" t="s">
        <v>127</v>
      </c>
      <c r="D2733" s="68" t="s">
        <v>2994</v>
      </c>
      <c r="E2733" s="120">
        <v>8.5</v>
      </c>
      <c r="F2733" s="151" t="s">
        <v>138</v>
      </c>
      <c r="G2733" s="151" t="s">
        <v>135</v>
      </c>
      <c r="H2733" s="68" t="s">
        <v>39</v>
      </c>
      <c r="J2733" s="74" t="str">
        <f t="shared" si="14"/>
        <v>[TIMES_SE] Mechanical pulping</v>
      </c>
      <c r="L2733" s="163"/>
      <c r="M2733" s="48"/>
      <c r="N2733" s="123"/>
    </row>
    <row r="2734" spans="1:14" customFormat="1" x14ac:dyDescent="0.55000000000000004">
      <c r="A2734" s="98" t="s">
        <v>228</v>
      </c>
      <c r="B2734" s="68" t="s">
        <v>160</v>
      </c>
      <c r="C2734" t="s">
        <v>247</v>
      </c>
      <c r="D2734" s="68" t="s">
        <v>3288</v>
      </c>
      <c r="E2734" s="119">
        <v>0</v>
      </c>
      <c r="F2734" s="151" t="s">
        <v>135</v>
      </c>
      <c r="G2734" s="151" t="s">
        <v>135</v>
      </c>
      <c r="H2734" s="68" t="s">
        <v>39</v>
      </c>
      <c r="J2734" s="74" t="str">
        <f t="shared" si="14"/>
        <v>[TIMES_SE] Mechanical pulping</v>
      </c>
      <c r="L2734" s="163"/>
      <c r="M2734" s="48"/>
      <c r="N2734" s="123"/>
    </row>
    <row r="2735" spans="1:14" customFormat="1" x14ac:dyDescent="0.55000000000000004">
      <c r="A2735" s="94" t="s">
        <v>284</v>
      </c>
      <c r="B2735" s="68" t="s">
        <v>213</v>
      </c>
      <c r="C2735" s="68" t="s">
        <v>121</v>
      </c>
      <c r="D2735" s="68" t="s">
        <v>3289</v>
      </c>
      <c r="E2735" s="120">
        <v>1</v>
      </c>
      <c r="F2735" s="151" t="s">
        <v>133</v>
      </c>
      <c r="G2735" s="151">
        <v>1</v>
      </c>
      <c r="H2735" s="68" t="s">
        <v>39</v>
      </c>
      <c r="I2735" t="s">
        <v>285</v>
      </c>
      <c r="J2735" s="74" t="str">
        <f t="shared" si="14"/>
        <v>[TIMES_SE] oxygen supply</v>
      </c>
      <c r="L2735" s="163"/>
      <c r="M2735" s="48"/>
      <c r="N2735" s="123"/>
    </row>
    <row r="2736" spans="1:14" customFormat="1" x14ac:dyDescent="0.55000000000000004">
      <c r="A2736" s="94" t="s">
        <v>284</v>
      </c>
      <c r="B2736" s="68" t="s">
        <v>153</v>
      </c>
      <c r="C2736" s="68" t="s">
        <v>127</v>
      </c>
      <c r="D2736" s="68" t="s">
        <v>2994</v>
      </c>
      <c r="E2736" s="120">
        <v>2E-3</v>
      </c>
      <c r="F2736" s="151" t="s">
        <v>138</v>
      </c>
      <c r="G2736" s="151">
        <v>1</v>
      </c>
      <c r="H2736" s="68" t="s">
        <v>39</v>
      </c>
      <c r="J2736" s="74" t="str">
        <f t="shared" si="14"/>
        <v>[TIMES_SE] oxygen supply</v>
      </c>
      <c r="L2736" s="163"/>
      <c r="M2736" s="48"/>
      <c r="N2736" s="123"/>
    </row>
    <row r="2737" spans="1:14" customFormat="1" x14ac:dyDescent="0.55000000000000004">
      <c r="A2737" s="94" t="s">
        <v>284</v>
      </c>
      <c r="B2737" s="68" t="s">
        <v>160</v>
      </c>
      <c r="C2737" t="s">
        <v>247</v>
      </c>
      <c r="D2737" s="68" t="s">
        <v>3288</v>
      </c>
      <c r="E2737" s="119">
        <v>0</v>
      </c>
      <c r="F2737" s="151" t="s">
        <v>135</v>
      </c>
      <c r="G2737" s="151" t="s">
        <v>135</v>
      </c>
      <c r="H2737" s="68" t="s">
        <v>39</v>
      </c>
      <c r="J2737" s="74" t="str">
        <f t="shared" si="14"/>
        <v>[TIMES_SE] oxygen supply</v>
      </c>
      <c r="L2737" s="163"/>
      <c r="M2737" s="48"/>
      <c r="N2737" s="123"/>
    </row>
    <row r="2738" spans="1:14" customFormat="1" x14ac:dyDescent="0.55000000000000004">
      <c r="A2738" s="98" t="s">
        <v>227</v>
      </c>
      <c r="B2738" s="68" t="s">
        <v>215</v>
      </c>
      <c r="C2738" s="68" t="s">
        <v>121</v>
      </c>
      <c r="D2738" s="68" t="s">
        <v>3288</v>
      </c>
      <c r="E2738" s="120">
        <v>1</v>
      </c>
      <c r="F2738" s="151" t="s">
        <v>135</v>
      </c>
      <c r="G2738" s="151">
        <v>1</v>
      </c>
      <c r="H2738" s="68"/>
      <c r="J2738" s="74" t="str">
        <f t="shared" si="14"/>
        <v>[TIMES_SE] Paper mill, graphical - air impingement</v>
      </c>
      <c r="L2738" s="163"/>
      <c r="M2738" s="48"/>
      <c r="N2738" s="123"/>
    </row>
    <row r="2739" spans="1:14" customFormat="1" x14ac:dyDescent="0.55000000000000004">
      <c r="A2739" s="98" t="s">
        <v>227</v>
      </c>
      <c r="B2739" s="68" t="s">
        <v>216</v>
      </c>
      <c r="C2739" t="s">
        <v>207</v>
      </c>
      <c r="D2739" s="68" t="s">
        <v>3288</v>
      </c>
      <c r="E2739" s="120">
        <v>0.7</v>
      </c>
      <c r="F2739" s="151" t="s">
        <v>135</v>
      </c>
      <c r="G2739" s="151" t="s">
        <v>135</v>
      </c>
      <c r="H2739" s="68" t="s">
        <v>39</v>
      </c>
      <c r="J2739" s="74" t="str">
        <f t="shared" si="14"/>
        <v>[TIMES_SE] Paper mill, graphical - air impingement</v>
      </c>
      <c r="L2739" s="163"/>
      <c r="M2739" s="48"/>
      <c r="N2739" s="123"/>
    </row>
    <row r="2740" spans="1:14" customFormat="1" x14ac:dyDescent="0.55000000000000004">
      <c r="A2740" s="98" t="s">
        <v>227</v>
      </c>
      <c r="B2740" s="68" t="s">
        <v>222</v>
      </c>
      <c r="C2740" t="s">
        <v>207</v>
      </c>
      <c r="D2740" s="68" t="s">
        <v>3288</v>
      </c>
      <c r="E2740" s="120">
        <v>0.3</v>
      </c>
      <c r="F2740" s="151" t="s">
        <v>135</v>
      </c>
      <c r="G2740" s="151" t="s">
        <v>135</v>
      </c>
      <c r="H2740" s="68" t="s">
        <v>39</v>
      </c>
      <c r="J2740" s="74" t="str">
        <f t="shared" si="14"/>
        <v>[TIMES_SE] Paper mill, graphical - air impingement</v>
      </c>
      <c r="L2740" s="163"/>
      <c r="M2740" s="48"/>
      <c r="N2740" s="123"/>
    </row>
    <row r="2741" spans="1:14" customFormat="1" x14ac:dyDescent="0.55000000000000004">
      <c r="A2741" s="98" t="s">
        <v>227</v>
      </c>
      <c r="B2741" s="68" t="s">
        <v>171</v>
      </c>
      <c r="C2741" s="68" t="s">
        <v>127</v>
      </c>
      <c r="D2741" s="68" t="s">
        <v>2994</v>
      </c>
      <c r="E2741" s="120">
        <v>1.994</v>
      </c>
      <c r="F2741" s="151" t="s">
        <v>138</v>
      </c>
      <c r="G2741" s="151" t="s">
        <v>135</v>
      </c>
      <c r="H2741" s="68" t="s">
        <v>2029</v>
      </c>
      <c r="I2741" t="s">
        <v>2028</v>
      </c>
      <c r="J2741" s="74" t="str">
        <f t="shared" si="14"/>
        <v>[TIMES_SE] Paper mill, graphical - air impingement</v>
      </c>
      <c r="L2741" s="163"/>
      <c r="M2741" s="48"/>
      <c r="N2741" s="123"/>
    </row>
    <row r="2742" spans="1:14" customFormat="1" x14ac:dyDescent="0.55000000000000004">
      <c r="A2742" s="98" t="s">
        <v>227</v>
      </c>
      <c r="B2742" s="68" t="s">
        <v>153</v>
      </c>
      <c r="C2742" s="68" t="s">
        <v>127</v>
      </c>
      <c r="D2742" s="68" t="s">
        <v>2994</v>
      </c>
      <c r="E2742" s="120">
        <v>2.27</v>
      </c>
      <c r="F2742" s="151" t="s">
        <v>138</v>
      </c>
      <c r="G2742" s="151" t="s">
        <v>135</v>
      </c>
      <c r="H2742" s="68" t="s">
        <v>2030</v>
      </c>
      <c r="I2742" t="s">
        <v>2028</v>
      </c>
      <c r="J2742" s="74" t="str">
        <f t="shared" si="14"/>
        <v>[TIMES_SE] Paper mill, graphical - air impingement</v>
      </c>
      <c r="L2742" s="163"/>
      <c r="M2742" s="48"/>
      <c r="N2742" s="123"/>
    </row>
    <row r="2743" spans="1:14" customFormat="1" x14ac:dyDescent="0.55000000000000004">
      <c r="A2743" s="98" t="s">
        <v>227</v>
      </c>
      <c r="B2743" s="68" t="s">
        <v>208</v>
      </c>
      <c r="C2743" s="68" t="s">
        <v>127</v>
      </c>
      <c r="D2743" s="68" t="s">
        <v>2994</v>
      </c>
      <c r="E2743" s="120">
        <v>2.95</v>
      </c>
      <c r="F2743" s="151" t="s">
        <v>138</v>
      </c>
      <c r="G2743" s="151" t="s">
        <v>135</v>
      </c>
      <c r="H2743" s="68" t="s">
        <v>39</v>
      </c>
      <c r="J2743" s="74" t="str">
        <f t="shared" si="14"/>
        <v>[TIMES_SE] Paper mill, graphical - air impingement</v>
      </c>
      <c r="L2743" s="163"/>
      <c r="M2743" s="48"/>
      <c r="N2743" s="123"/>
    </row>
    <row r="2744" spans="1:14" customFormat="1" x14ac:dyDescent="0.55000000000000004">
      <c r="A2744" s="98" t="s">
        <v>227</v>
      </c>
      <c r="B2744" s="68" t="s">
        <v>1183</v>
      </c>
      <c r="C2744" s="61" t="s">
        <v>156</v>
      </c>
      <c r="D2744" s="68" t="s">
        <v>2994</v>
      </c>
      <c r="E2744" s="120">
        <v>1.78</v>
      </c>
      <c r="F2744" s="151" t="s">
        <v>138</v>
      </c>
      <c r="G2744" s="151" t="s">
        <v>135</v>
      </c>
      <c r="H2744" s="68" t="s">
        <v>39</v>
      </c>
      <c r="J2744" s="74" t="str">
        <f t="shared" si="14"/>
        <v>[TIMES_SE] Paper mill, graphical - air impingement</v>
      </c>
      <c r="L2744" s="163"/>
      <c r="M2744" s="48"/>
      <c r="N2744" s="123"/>
    </row>
    <row r="2745" spans="1:14" customFormat="1" x14ac:dyDescent="0.55000000000000004">
      <c r="A2745" s="98" t="s">
        <v>227</v>
      </c>
      <c r="B2745" s="68" t="s">
        <v>160</v>
      </c>
      <c r="C2745" t="s">
        <v>247</v>
      </c>
      <c r="D2745" s="68" t="s">
        <v>3288</v>
      </c>
      <c r="E2745" s="119">
        <v>0.1118634</v>
      </c>
      <c r="F2745" s="151" t="s">
        <v>135</v>
      </c>
      <c r="G2745" s="151" t="s">
        <v>135</v>
      </c>
      <c r="H2745" s="68" t="s">
        <v>376</v>
      </c>
      <c r="I2745" t="s">
        <v>2013</v>
      </c>
      <c r="J2745" s="74" t="str">
        <f t="shared" si="14"/>
        <v>[TIMES_SE] Paper mill, graphical - air impingement</v>
      </c>
      <c r="L2745" s="163"/>
      <c r="M2745" s="48"/>
      <c r="N2745" s="123"/>
    </row>
    <row r="2746" spans="1:14" customFormat="1" x14ac:dyDescent="0.55000000000000004">
      <c r="A2746" s="98" t="s">
        <v>227</v>
      </c>
      <c r="B2746" s="68" t="s">
        <v>160</v>
      </c>
      <c r="C2746" t="s">
        <v>247</v>
      </c>
      <c r="D2746" s="68" t="s">
        <v>3288</v>
      </c>
      <c r="E2746" s="119">
        <v>0.15340000000000001</v>
      </c>
      <c r="F2746" s="151" t="s">
        <v>135</v>
      </c>
      <c r="G2746" s="151" t="s">
        <v>135</v>
      </c>
      <c r="H2746" s="68" t="s">
        <v>373</v>
      </c>
      <c r="I2746" t="s">
        <v>2012</v>
      </c>
      <c r="J2746" s="74" t="str">
        <f t="shared" si="14"/>
        <v>[TIMES_SE] Paper mill, graphical - air impingement</v>
      </c>
      <c r="L2746" s="163"/>
      <c r="M2746" s="48"/>
      <c r="N2746" s="123"/>
    </row>
    <row r="2747" spans="1:14" customFormat="1" x14ac:dyDescent="0.55000000000000004">
      <c r="A2747" s="98" t="s">
        <v>226</v>
      </c>
      <c r="B2747" s="68" t="s">
        <v>215</v>
      </c>
      <c r="C2747" s="68" t="s">
        <v>121</v>
      </c>
      <c r="D2747" s="68" t="s">
        <v>3288</v>
      </c>
      <c r="E2747" s="120">
        <v>1</v>
      </c>
      <c r="F2747" s="151" t="s">
        <v>135</v>
      </c>
      <c r="G2747" s="151">
        <v>1</v>
      </c>
      <c r="H2747" s="68"/>
      <c r="J2747" s="74" t="str">
        <f t="shared" si="14"/>
        <v>[TIMES_SE] Paper mill, graphical - airless</v>
      </c>
      <c r="L2747" s="163"/>
      <c r="M2747" s="48"/>
      <c r="N2747" s="123"/>
    </row>
    <row r="2748" spans="1:14" customFormat="1" x14ac:dyDescent="0.55000000000000004">
      <c r="A2748" s="98" t="s">
        <v>226</v>
      </c>
      <c r="B2748" s="68" t="s">
        <v>216</v>
      </c>
      <c r="C2748" t="s">
        <v>207</v>
      </c>
      <c r="D2748" s="68" t="s">
        <v>3288</v>
      </c>
      <c r="E2748" s="120">
        <v>0.7</v>
      </c>
      <c r="F2748" s="151" t="s">
        <v>135</v>
      </c>
      <c r="G2748" s="151" t="s">
        <v>135</v>
      </c>
      <c r="H2748" s="68" t="s">
        <v>39</v>
      </c>
      <c r="J2748" s="74" t="str">
        <f t="shared" si="14"/>
        <v>[TIMES_SE] Paper mill, graphical - airless</v>
      </c>
      <c r="L2748" s="163"/>
      <c r="M2748" s="48"/>
      <c r="N2748" s="123"/>
    </row>
    <row r="2749" spans="1:14" customFormat="1" x14ac:dyDescent="0.55000000000000004">
      <c r="A2749" s="98" t="s">
        <v>226</v>
      </c>
      <c r="B2749" s="68" t="s">
        <v>222</v>
      </c>
      <c r="C2749" t="s">
        <v>207</v>
      </c>
      <c r="D2749" s="68" t="s">
        <v>3288</v>
      </c>
      <c r="E2749" s="120">
        <v>0.3</v>
      </c>
      <c r="F2749" s="151" t="s">
        <v>135</v>
      </c>
      <c r="G2749" s="151" t="s">
        <v>135</v>
      </c>
      <c r="H2749" s="68" t="s">
        <v>39</v>
      </c>
      <c r="J2749" s="74" t="str">
        <f t="shared" si="14"/>
        <v>[TIMES_SE] Paper mill, graphical - airless</v>
      </c>
      <c r="L2749" s="163"/>
      <c r="M2749" s="48"/>
      <c r="N2749" s="123"/>
    </row>
    <row r="2750" spans="1:14" customFormat="1" x14ac:dyDescent="0.55000000000000004">
      <c r="A2750" s="98" t="s">
        <v>226</v>
      </c>
      <c r="B2750" s="68" t="s">
        <v>171</v>
      </c>
      <c r="C2750" s="68" t="s">
        <v>127</v>
      </c>
      <c r="D2750" s="68" t="s">
        <v>2994</v>
      </c>
      <c r="E2750" s="120">
        <v>0.23</v>
      </c>
      <c r="F2750" s="151" t="s">
        <v>138</v>
      </c>
      <c r="G2750" s="151" t="s">
        <v>135</v>
      </c>
      <c r="H2750" s="68" t="s">
        <v>2020</v>
      </c>
      <c r="I2750" t="s">
        <v>2026</v>
      </c>
      <c r="J2750" s="74" t="str">
        <f t="shared" si="14"/>
        <v>[TIMES_SE] Paper mill, graphical - airless</v>
      </c>
      <c r="L2750" s="163"/>
      <c r="M2750" s="48"/>
      <c r="N2750" s="123"/>
    </row>
    <row r="2751" spans="1:14" customFormat="1" x14ac:dyDescent="0.55000000000000004">
      <c r="A2751" s="98" t="s">
        <v>226</v>
      </c>
      <c r="B2751" s="68" t="s">
        <v>153</v>
      </c>
      <c r="C2751" s="68" t="s">
        <v>127</v>
      </c>
      <c r="D2751" s="68" t="s">
        <v>2994</v>
      </c>
      <c r="E2751" s="120">
        <v>2.59</v>
      </c>
      <c r="F2751" s="151" t="s">
        <v>138</v>
      </c>
      <c r="G2751" s="151" t="s">
        <v>135</v>
      </c>
      <c r="H2751" s="68" t="s">
        <v>2027</v>
      </c>
      <c r="I2751" t="s">
        <v>2026</v>
      </c>
      <c r="J2751" s="74" t="str">
        <f t="shared" si="14"/>
        <v>[TIMES_SE] Paper mill, graphical - airless</v>
      </c>
      <c r="L2751" s="163"/>
      <c r="M2751" s="48"/>
      <c r="N2751" s="123"/>
    </row>
    <row r="2752" spans="1:14" customFormat="1" x14ac:dyDescent="0.55000000000000004">
      <c r="A2752" s="98" t="s">
        <v>226</v>
      </c>
      <c r="B2752" s="68" t="s">
        <v>208</v>
      </c>
      <c r="C2752" s="68" t="s">
        <v>127</v>
      </c>
      <c r="D2752" s="68" t="s">
        <v>2994</v>
      </c>
      <c r="E2752" s="120">
        <v>0.96</v>
      </c>
      <c r="F2752" s="151" t="s">
        <v>138</v>
      </c>
      <c r="G2752" s="151" t="s">
        <v>135</v>
      </c>
      <c r="H2752" s="68" t="s">
        <v>39</v>
      </c>
      <c r="J2752" s="74" t="str">
        <f t="shared" si="14"/>
        <v>[TIMES_SE] Paper mill, graphical - airless</v>
      </c>
      <c r="L2752" s="163"/>
      <c r="M2752" s="48"/>
      <c r="N2752" s="123"/>
    </row>
    <row r="2753" spans="1:14" customFormat="1" x14ac:dyDescent="0.55000000000000004">
      <c r="A2753" s="98" t="s">
        <v>226</v>
      </c>
      <c r="B2753" s="68" t="s">
        <v>1183</v>
      </c>
      <c r="C2753" s="61" t="s">
        <v>156</v>
      </c>
      <c r="D2753" s="68" t="s">
        <v>2994</v>
      </c>
      <c r="E2753" s="120">
        <v>0</v>
      </c>
      <c r="F2753" s="151" t="s">
        <v>138</v>
      </c>
      <c r="G2753" s="151" t="s">
        <v>135</v>
      </c>
      <c r="H2753" s="68" t="s">
        <v>39</v>
      </c>
      <c r="J2753" s="74" t="str">
        <f t="shared" si="14"/>
        <v>[TIMES_SE] Paper mill, graphical - airless</v>
      </c>
      <c r="L2753" s="163"/>
      <c r="M2753" s="48"/>
      <c r="N2753" s="123"/>
    </row>
    <row r="2754" spans="1:14" customFormat="1" x14ac:dyDescent="0.55000000000000004">
      <c r="A2754" s="98" t="s">
        <v>226</v>
      </c>
      <c r="B2754" s="68" t="s">
        <v>160</v>
      </c>
      <c r="C2754" t="s">
        <v>247</v>
      </c>
      <c r="D2754" s="68" t="s">
        <v>3288</v>
      </c>
      <c r="E2754" s="119">
        <v>1.2903000000000001E-2</v>
      </c>
      <c r="F2754" s="151" t="s">
        <v>135</v>
      </c>
      <c r="G2754" s="151" t="s">
        <v>135</v>
      </c>
      <c r="H2754" s="127" t="s">
        <v>376</v>
      </c>
      <c r="I2754" t="s">
        <v>2013</v>
      </c>
      <c r="J2754" s="74" t="str">
        <f t="shared" si="14"/>
        <v>[TIMES_SE] Paper mill, graphical - airless</v>
      </c>
      <c r="L2754" s="163"/>
      <c r="M2754" s="48"/>
      <c r="N2754" s="123"/>
    </row>
    <row r="2755" spans="1:14" customFormat="1" x14ac:dyDescent="0.55000000000000004">
      <c r="A2755" s="98" t="s">
        <v>226</v>
      </c>
      <c r="B2755" s="68" t="s">
        <v>160</v>
      </c>
      <c r="C2755" t="s">
        <v>247</v>
      </c>
      <c r="D2755" s="68" t="s">
        <v>3288</v>
      </c>
      <c r="E2755" s="119">
        <v>4.9919999999999999E-2</v>
      </c>
      <c r="F2755" s="151" t="s">
        <v>135</v>
      </c>
      <c r="G2755" s="151" t="s">
        <v>135</v>
      </c>
      <c r="H2755" s="127" t="s">
        <v>373</v>
      </c>
      <c r="I2755" t="s">
        <v>2012</v>
      </c>
      <c r="J2755" s="74" t="str">
        <f t="shared" si="14"/>
        <v>[TIMES_SE] Paper mill, graphical - airless</v>
      </c>
      <c r="L2755" s="163"/>
      <c r="M2755" s="48"/>
      <c r="N2755" s="123"/>
    </row>
    <row r="2756" spans="1:14" customFormat="1" x14ac:dyDescent="0.55000000000000004">
      <c r="A2756" s="98" t="s">
        <v>225</v>
      </c>
      <c r="B2756" s="68" t="s">
        <v>215</v>
      </c>
      <c r="C2756" s="68" t="s">
        <v>121</v>
      </c>
      <c r="D2756" s="68" t="s">
        <v>3288</v>
      </c>
      <c r="E2756" s="120">
        <v>1</v>
      </c>
      <c r="F2756" s="151" t="s">
        <v>135</v>
      </c>
      <c r="G2756" s="151">
        <v>1</v>
      </c>
      <c r="H2756" s="68"/>
      <c r="J2756" s="74" t="str">
        <f t="shared" si="14"/>
        <v>[TIMES_SE] Paper mill, graphical - condebelt</v>
      </c>
      <c r="L2756" s="163"/>
      <c r="M2756" s="48"/>
      <c r="N2756" s="123"/>
    </row>
    <row r="2757" spans="1:14" customFormat="1" x14ac:dyDescent="0.55000000000000004">
      <c r="A2757" s="98" t="s">
        <v>225</v>
      </c>
      <c r="B2757" s="68" t="s">
        <v>216</v>
      </c>
      <c r="C2757" t="s">
        <v>207</v>
      </c>
      <c r="D2757" s="68" t="s">
        <v>3288</v>
      </c>
      <c r="E2757" s="120">
        <v>0.7</v>
      </c>
      <c r="F2757" s="151" t="s">
        <v>135</v>
      </c>
      <c r="G2757" s="151" t="s">
        <v>135</v>
      </c>
      <c r="H2757" s="68" t="s">
        <v>39</v>
      </c>
      <c r="J2757" s="74" t="str">
        <f t="shared" si="14"/>
        <v>[TIMES_SE] Paper mill, graphical - condebelt</v>
      </c>
      <c r="L2757" s="163"/>
      <c r="M2757" s="48"/>
      <c r="N2757" s="123"/>
    </row>
    <row r="2758" spans="1:14" customFormat="1" x14ac:dyDescent="0.55000000000000004">
      <c r="A2758" s="98" t="s">
        <v>225</v>
      </c>
      <c r="B2758" s="68" t="s">
        <v>222</v>
      </c>
      <c r="C2758" t="s">
        <v>207</v>
      </c>
      <c r="D2758" s="68" t="s">
        <v>3288</v>
      </c>
      <c r="E2758" s="120">
        <v>0.3</v>
      </c>
      <c r="F2758" s="151" t="s">
        <v>135</v>
      </c>
      <c r="G2758" s="151" t="s">
        <v>135</v>
      </c>
      <c r="H2758" s="68" t="s">
        <v>39</v>
      </c>
      <c r="J2758" s="74" t="str">
        <f t="shared" si="14"/>
        <v>[TIMES_SE] Paper mill, graphical - condebelt</v>
      </c>
      <c r="L2758" s="163"/>
      <c r="M2758" s="48"/>
      <c r="N2758" s="123"/>
    </row>
    <row r="2759" spans="1:14" customFormat="1" x14ac:dyDescent="0.55000000000000004">
      <c r="A2759" s="98" t="s">
        <v>225</v>
      </c>
      <c r="B2759" s="68" t="s">
        <v>171</v>
      </c>
      <c r="C2759" s="68" t="s">
        <v>127</v>
      </c>
      <c r="D2759" s="68" t="s">
        <v>2994</v>
      </c>
      <c r="E2759" s="120">
        <v>0.23</v>
      </c>
      <c r="F2759" s="151" t="s">
        <v>138</v>
      </c>
      <c r="G2759" s="151" t="s">
        <v>135</v>
      </c>
      <c r="H2759" s="68" t="s">
        <v>2020</v>
      </c>
      <c r="I2759" t="s">
        <v>2024</v>
      </c>
      <c r="J2759" s="74" t="str">
        <f t="shared" si="14"/>
        <v>[TIMES_SE] Paper mill, graphical - condebelt</v>
      </c>
      <c r="L2759" s="163"/>
      <c r="M2759" s="48"/>
      <c r="N2759" s="123"/>
    </row>
    <row r="2760" spans="1:14" customFormat="1" x14ac:dyDescent="0.55000000000000004">
      <c r="A2760" s="98" t="s">
        <v>225</v>
      </c>
      <c r="B2760" s="68" t="s">
        <v>153</v>
      </c>
      <c r="C2760" s="68" t="s">
        <v>127</v>
      </c>
      <c r="D2760" s="68" t="s">
        <v>2994</v>
      </c>
      <c r="E2760" s="120">
        <v>2.16</v>
      </c>
      <c r="F2760" s="151" t="s">
        <v>138</v>
      </c>
      <c r="G2760" s="151" t="s">
        <v>135</v>
      </c>
      <c r="H2760" s="68" t="s">
        <v>2025</v>
      </c>
      <c r="I2760" t="s">
        <v>2024</v>
      </c>
      <c r="J2760" s="74" t="str">
        <f t="shared" si="14"/>
        <v>[TIMES_SE] Paper mill, graphical - condebelt</v>
      </c>
      <c r="L2760" s="163"/>
      <c r="M2760" s="48"/>
      <c r="N2760" s="123"/>
    </row>
    <row r="2761" spans="1:14" customFormat="1" x14ac:dyDescent="0.55000000000000004">
      <c r="A2761" s="98" t="s">
        <v>225</v>
      </c>
      <c r="B2761" s="68" t="s">
        <v>208</v>
      </c>
      <c r="C2761" s="68" t="s">
        <v>127</v>
      </c>
      <c r="D2761" s="68" t="s">
        <v>2994</v>
      </c>
      <c r="E2761" s="120">
        <v>4.08</v>
      </c>
      <c r="F2761" s="151" t="s">
        <v>138</v>
      </c>
      <c r="G2761" s="151" t="s">
        <v>135</v>
      </c>
      <c r="H2761" s="68" t="s">
        <v>39</v>
      </c>
      <c r="J2761" s="74" t="str">
        <f t="shared" si="14"/>
        <v>[TIMES_SE] Paper mill, graphical - condebelt</v>
      </c>
      <c r="L2761" s="163"/>
      <c r="M2761" s="48"/>
      <c r="N2761" s="123"/>
    </row>
    <row r="2762" spans="1:14" customFormat="1" x14ac:dyDescent="0.55000000000000004">
      <c r="A2762" s="98" t="s">
        <v>225</v>
      </c>
      <c r="B2762" s="68" t="s">
        <v>1183</v>
      </c>
      <c r="C2762" s="61" t="s">
        <v>156</v>
      </c>
      <c r="D2762" s="68" t="s">
        <v>2994</v>
      </c>
      <c r="E2762" s="120">
        <v>2.31</v>
      </c>
      <c r="F2762" s="151" t="s">
        <v>138</v>
      </c>
      <c r="G2762" s="151" t="s">
        <v>135</v>
      </c>
      <c r="H2762" s="68" t="s">
        <v>39</v>
      </c>
      <c r="J2762" s="74" t="str">
        <f t="shared" si="14"/>
        <v>[TIMES_SE] Paper mill, graphical - condebelt</v>
      </c>
      <c r="L2762" s="163"/>
      <c r="M2762" s="48"/>
      <c r="N2762" s="123"/>
    </row>
    <row r="2763" spans="1:14" customFormat="1" x14ac:dyDescent="0.55000000000000004">
      <c r="A2763" s="98" t="s">
        <v>225</v>
      </c>
      <c r="B2763" s="68" t="s">
        <v>160</v>
      </c>
      <c r="C2763" t="s">
        <v>247</v>
      </c>
      <c r="D2763" s="68" t="s">
        <v>3288</v>
      </c>
      <c r="E2763" s="119">
        <v>1.2903000000000001E-2</v>
      </c>
      <c r="F2763" s="151" t="s">
        <v>135</v>
      </c>
      <c r="G2763" s="151" t="s">
        <v>135</v>
      </c>
      <c r="H2763" s="127" t="s">
        <v>376</v>
      </c>
      <c r="I2763" t="s">
        <v>2013</v>
      </c>
      <c r="J2763" s="74" t="str">
        <f t="shared" si="14"/>
        <v>[TIMES_SE] Paper mill, graphical - condebelt</v>
      </c>
      <c r="L2763" s="163"/>
      <c r="M2763" s="48"/>
      <c r="N2763" s="123"/>
    </row>
    <row r="2764" spans="1:14" customFormat="1" x14ac:dyDescent="0.55000000000000004">
      <c r="A2764" s="98" t="s">
        <v>225</v>
      </c>
      <c r="B2764" s="68" t="s">
        <v>160</v>
      </c>
      <c r="C2764" t="s">
        <v>247</v>
      </c>
      <c r="D2764" s="68" t="s">
        <v>3288</v>
      </c>
      <c r="E2764" s="119">
        <v>0.21215999999999999</v>
      </c>
      <c r="F2764" s="151" t="s">
        <v>135</v>
      </c>
      <c r="G2764" s="151" t="s">
        <v>135</v>
      </c>
      <c r="H2764" s="127" t="s">
        <v>373</v>
      </c>
      <c r="I2764" t="s">
        <v>2012</v>
      </c>
      <c r="J2764" s="74" t="str">
        <f t="shared" si="14"/>
        <v>[TIMES_SE] Paper mill, graphical - condebelt</v>
      </c>
      <c r="L2764" s="163"/>
      <c r="M2764" s="48"/>
      <c r="N2764" s="123"/>
    </row>
    <row r="2765" spans="1:14" customFormat="1" x14ac:dyDescent="0.55000000000000004">
      <c r="A2765" s="98" t="s">
        <v>224</v>
      </c>
      <c r="B2765" s="68" t="s">
        <v>215</v>
      </c>
      <c r="C2765" s="68" t="s">
        <v>121</v>
      </c>
      <c r="D2765" s="68" t="s">
        <v>3288</v>
      </c>
      <c r="E2765" s="120">
        <v>1</v>
      </c>
      <c r="F2765" s="151" t="s">
        <v>135</v>
      </c>
      <c r="G2765" s="151">
        <v>1</v>
      </c>
      <c r="H2765" s="68"/>
      <c r="J2765" s="74" t="str">
        <f t="shared" si="14"/>
        <v>[TIMES_SE] Paper mill, graphical - conventional</v>
      </c>
      <c r="L2765" s="163"/>
      <c r="M2765" s="48"/>
      <c r="N2765" s="123"/>
    </row>
    <row r="2766" spans="1:14" customFormat="1" x14ac:dyDescent="0.55000000000000004">
      <c r="A2766" s="98" t="s">
        <v>224</v>
      </c>
      <c r="B2766" s="68" t="s">
        <v>216</v>
      </c>
      <c r="C2766" t="s">
        <v>207</v>
      </c>
      <c r="D2766" s="68" t="s">
        <v>3288</v>
      </c>
      <c r="E2766" s="120">
        <v>0.7</v>
      </c>
      <c r="F2766" s="151" t="s">
        <v>135</v>
      </c>
      <c r="G2766" s="151" t="s">
        <v>135</v>
      </c>
      <c r="H2766" s="68" t="s">
        <v>39</v>
      </c>
      <c r="J2766" s="74" t="str">
        <f t="shared" si="14"/>
        <v>[TIMES_SE] Paper mill, graphical - conventional</v>
      </c>
      <c r="L2766" s="163"/>
      <c r="M2766" s="48"/>
      <c r="N2766" s="123"/>
    </row>
    <row r="2767" spans="1:14" customFormat="1" x14ac:dyDescent="0.55000000000000004">
      <c r="A2767" s="98" t="s">
        <v>224</v>
      </c>
      <c r="B2767" s="68" t="s">
        <v>222</v>
      </c>
      <c r="C2767" t="s">
        <v>207</v>
      </c>
      <c r="D2767" s="68" t="s">
        <v>3288</v>
      </c>
      <c r="E2767" s="120">
        <v>0.3</v>
      </c>
      <c r="F2767" s="151" t="s">
        <v>135</v>
      </c>
      <c r="G2767" s="151" t="s">
        <v>135</v>
      </c>
      <c r="H2767" s="68" t="s">
        <v>39</v>
      </c>
      <c r="J2767" s="74" t="str">
        <f t="shared" si="14"/>
        <v>[TIMES_SE] Paper mill, graphical - conventional</v>
      </c>
      <c r="L2767" s="163"/>
      <c r="M2767" s="48"/>
      <c r="N2767" s="123"/>
    </row>
    <row r="2768" spans="1:14" customFormat="1" x14ac:dyDescent="0.55000000000000004">
      <c r="A2768" s="98" t="s">
        <v>224</v>
      </c>
      <c r="B2768" s="68" t="s">
        <v>171</v>
      </c>
      <c r="C2768" s="68" t="s">
        <v>127</v>
      </c>
      <c r="D2768" s="68" t="s">
        <v>2994</v>
      </c>
      <c r="E2768" s="120">
        <v>0.23</v>
      </c>
      <c r="F2768" s="151" t="s">
        <v>138</v>
      </c>
      <c r="G2768" s="151" t="s">
        <v>135</v>
      </c>
      <c r="H2768" s="68" t="s">
        <v>2020</v>
      </c>
      <c r="I2768" t="s">
        <v>2024</v>
      </c>
      <c r="J2768" s="74" t="str">
        <f t="shared" si="14"/>
        <v>[TIMES_SE] Paper mill, graphical - conventional</v>
      </c>
      <c r="L2768" s="163"/>
      <c r="M2768" s="48"/>
      <c r="N2768" s="123"/>
    </row>
    <row r="2769" spans="1:14" customFormat="1" x14ac:dyDescent="0.55000000000000004">
      <c r="A2769" s="98" t="s">
        <v>224</v>
      </c>
      <c r="B2769" s="68" t="s">
        <v>153</v>
      </c>
      <c r="C2769" s="68" t="s">
        <v>127</v>
      </c>
      <c r="D2769" s="68" t="s">
        <v>2994</v>
      </c>
      <c r="E2769" s="120">
        <v>2.16</v>
      </c>
      <c r="F2769" s="151" t="s">
        <v>138</v>
      </c>
      <c r="G2769" s="151" t="s">
        <v>135</v>
      </c>
      <c r="H2769" s="68" t="s">
        <v>2025</v>
      </c>
      <c r="I2769" t="s">
        <v>2024</v>
      </c>
      <c r="J2769" s="74" t="str">
        <f t="shared" si="14"/>
        <v>[TIMES_SE] Paper mill, graphical - conventional</v>
      </c>
      <c r="L2769" s="163"/>
      <c r="M2769" s="48"/>
      <c r="N2769" s="123"/>
    </row>
    <row r="2770" spans="1:14" customFormat="1" x14ac:dyDescent="0.55000000000000004">
      <c r="A2770" s="98" t="s">
        <v>224</v>
      </c>
      <c r="B2770" s="68" t="s">
        <v>208</v>
      </c>
      <c r="C2770" s="68" t="s">
        <v>127</v>
      </c>
      <c r="D2770" s="68" t="s">
        <v>2994</v>
      </c>
      <c r="E2770" s="120">
        <v>4.8</v>
      </c>
      <c r="F2770" s="151" t="s">
        <v>138</v>
      </c>
      <c r="G2770" s="151" t="s">
        <v>135</v>
      </c>
      <c r="H2770" s="68" t="s">
        <v>39</v>
      </c>
      <c r="J2770" s="74" t="str">
        <f t="shared" si="14"/>
        <v>[TIMES_SE] Paper mill, graphical - conventional</v>
      </c>
      <c r="L2770" s="163"/>
      <c r="M2770" s="48"/>
      <c r="N2770" s="123"/>
    </row>
    <row r="2771" spans="1:14" customFormat="1" x14ac:dyDescent="0.55000000000000004">
      <c r="A2771" s="98" t="s">
        <v>224</v>
      </c>
      <c r="B2771" s="68" t="s">
        <v>1183</v>
      </c>
      <c r="C2771" s="61" t="s">
        <v>156</v>
      </c>
      <c r="D2771" s="68" t="s">
        <v>2994</v>
      </c>
      <c r="E2771" s="120">
        <v>1.78</v>
      </c>
      <c r="F2771" s="151" t="s">
        <v>138</v>
      </c>
      <c r="G2771" s="151" t="s">
        <v>135</v>
      </c>
      <c r="H2771" s="68" t="s">
        <v>39</v>
      </c>
      <c r="J2771" s="74" t="str">
        <f t="shared" si="14"/>
        <v>[TIMES_SE] Paper mill, graphical - conventional</v>
      </c>
      <c r="L2771" s="163"/>
      <c r="M2771" s="48"/>
      <c r="N2771" s="123"/>
    </row>
    <row r="2772" spans="1:14" customFormat="1" x14ac:dyDescent="0.55000000000000004">
      <c r="A2772" s="98" t="s">
        <v>224</v>
      </c>
      <c r="B2772" s="68" t="s">
        <v>160</v>
      </c>
      <c r="C2772" t="s">
        <v>247</v>
      </c>
      <c r="D2772" s="68" t="s">
        <v>3288</v>
      </c>
      <c r="E2772" s="119">
        <v>1.2903000000000001E-2</v>
      </c>
      <c r="F2772" s="151" t="s">
        <v>135</v>
      </c>
      <c r="G2772" s="151" t="s">
        <v>135</v>
      </c>
      <c r="H2772" s="127" t="s">
        <v>376</v>
      </c>
      <c r="I2772" t="s">
        <v>2013</v>
      </c>
      <c r="J2772" s="74" t="str">
        <f t="shared" si="14"/>
        <v>[TIMES_SE] Paper mill, graphical - conventional</v>
      </c>
      <c r="L2772" s="163"/>
      <c r="M2772" s="48"/>
      <c r="N2772" s="123"/>
    </row>
    <row r="2773" spans="1:14" customFormat="1" x14ac:dyDescent="0.55000000000000004">
      <c r="A2773" s="98" t="s">
        <v>224</v>
      </c>
      <c r="B2773" s="68" t="s">
        <v>160</v>
      </c>
      <c r="C2773" t="s">
        <v>247</v>
      </c>
      <c r="D2773" s="68" t="s">
        <v>3288</v>
      </c>
      <c r="E2773" s="119">
        <v>0.24959999999999999</v>
      </c>
      <c r="F2773" s="151" t="s">
        <v>135</v>
      </c>
      <c r="G2773" s="151" t="s">
        <v>135</v>
      </c>
      <c r="H2773" s="127" t="s">
        <v>373</v>
      </c>
      <c r="I2773" t="s">
        <v>2012</v>
      </c>
      <c r="J2773" s="74" t="str">
        <f t="shared" si="14"/>
        <v>[TIMES_SE] Paper mill, graphical - conventional</v>
      </c>
      <c r="L2773" s="163"/>
      <c r="M2773" s="48"/>
      <c r="N2773" s="123"/>
    </row>
    <row r="2774" spans="1:14" customFormat="1" x14ac:dyDescent="0.55000000000000004">
      <c r="A2774" s="98" t="s">
        <v>223</v>
      </c>
      <c r="B2774" s="68" t="s">
        <v>215</v>
      </c>
      <c r="C2774" s="68" t="s">
        <v>121</v>
      </c>
      <c r="D2774" s="68" t="s">
        <v>3288</v>
      </c>
      <c r="E2774" s="120">
        <v>1</v>
      </c>
      <c r="F2774" s="151" t="s">
        <v>135</v>
      </c>
      <c r="G2774" s="151">
        <v>1</v>
      </c>
      <c r="H2774" s="68"/>
      <c r="J2774" s="74" t="str">
        <f t="shared" si="14"/>
        <v>[TIMES_SE] Paper mill, graphical - impulse</v>
      </c>
      <c r="L2774" s="163"/>
      <c r="M2774" s="48"/>
      <c r="N2774" s="123"/>
    </row>
    <row r="2775" spans="1:14" customFormat="1" x14ac:dyDescent="0.55000000000000004">
      <c r="A2775" s="98" t="s">
        <v>223</v>
      </c>
      <c r="B2775" s="68" t="s">
        <v>216</v>
      </c>
      <c r="C2775" t="s">
        <v>207</v>
      </c>
      <c r="D2775" s="68" t="s">
        <v>3288</v>
      </c>
      <c r="E2775" s="120">
        <v>0.7</v>
      </c>
      <c r="F2775" s="151" t="s">
        <v>135</v>
      </c>
      <c r="G2775" s="151" t="s">
        <v>135</v>
      </c>
      <c r="H2775" s="68" t="s">
        <v>39</v>
      </c>
      <c r="J2775" s="74" t="str">
        <f t="shared" si="14"/>
        <v>[TIMES_SE] Paper mill, graphical - impulse</v>
      </c>
      <c r="L2775" s="163"/>
      <c r="M2775" s="48"/>
      <c r="N2775" s="123"/>
    </row>
    <row r="2776" spans="1:14" customFormat="1" x14ac:dyDescent="0.55000000000000004">
      <c r="A2776" s="98" t="s">
        <v>223</v>
      </c>
      <c r="B2776" s="68" t="s">
        <v>222</v>
      </c>
      <c r="C2776" t="s">
        <v>207</v>
      </c>
      <c r="D2776" s="68" t="s">
        <v>3288</v>
      </c>
      <c r="E2776" s="120">
        <v>0.3</v>
      </c>
      <c r="F2776" s="151" t="s">
        <v>135</v>
      </c>
      <c r="G2776" s="151" t="s">
        <v>135</v>
      </c>
      <c r="H2776" s="68" t="s">
        <v>39</v>
      </c>
      <c r="J2776" s="74" t="str">
        <f t="shared" si="14"/>
        <v>[TIMES_SE] Paper mill, graphical - impulse</v>
      </c>
      <c r="L2776" s="163"/>
      <c r="M2776" s="48"/>
      <c r="N2776" s="123"/>
    </row>
    <row r="2777" spans="1:14" customFormat="1" x14ac:dyDescent="0.55000000000000004">
      <c r="A2777" s="98" t="s">
        <v>223</v>
      </c>
      <c r="B2777" s="68" t="s">
        <v>171</v>
      </c>
      <c r="C2777" s="68" t="s">
        <v>127</v>
      </c>
      <c r="D2777" s="68" t="s">
        <v>2994</v>
      </c>
      <c r="E2777" s="120">
        <v>0.23</v>
      </c>
      <c r="F2777" s="151" t="s">
        <v>138</v>
      </c>
      <c r="G2777" s="151" t="s">
        <v>135</v>
      </c>
      <c r="H2777" s="68" t="s">
        <v>2020</v>
      </c>
      <c r="I2777" t="s">
        <v>2022</v>
      </c>
      <c r="J2777" s="74" t="str">
        <f t="shared" si="14"/>
        <v>[TIMES_SE] Paper mill, graphical - impulse</v>
      </c>
      <c r="L2777" s="163"/>
      <c r="M2777" s="48"/>
      <c r="N2777" s="123"/>
    </row>
    <row r="2778" spans="1:14" customFormat="1" x14ac:dyDescent="0.55000000000000004">
      <c r="A2778" s="98" t="s">
        <v>223</v>
      </c>
      <c r="B2778" s="68" t="s">
        <v>153</v>
      </c>
      <c r="C2778" s="68" t="s">
        <v>127</v>
      </c>
      <c r="D2778" s="68" t="s">
        <v>2994</v>
      </c>
      <c r="E2778" s="120">
        <v>2.38</v>
      </c>
      <c r="F2778" s="151" t="s">
        <v>138</v>
      </c>
      <c r="G2778" s="151" t="s">
        <v>135</v>
      </c>
      <c r="H2778" s="68" t="s">
        <v>2023</v>
      </c>
      <c r="I2778" t="s">
        <v>2022</v>
      </c>
      <c r="J2778" s="74" t="str">
        <f t="shared" si="14"/>
        <v>[TIMES_SE] Paper mill, graphical - impulse</v>
      </c>
      <c r="L2778" s="163"/>
      <c r="M2778" s="48"/>
      <c r="N2778" s="123"/>
    </row>
    <row r="2779" spans="1:14" customFormat="1" x14ac:dyDescent="0.55000000000000004">
      <c r="A2779" s="98" t="s">
        <v>223</v>
      </c>
      <c r="B2779" s="68" t="s">
        <v>208</v>
      </c>
      <c r="C2779" s="68" t="s">
        <v>127</v>
      </c>
      <c r="D2779" s="68" t="s">
        <v>2994</v>
      </c>
      <c r="E2779" s="120">
        <v>1.68</v>
      </c>
      <c r="F2779" s="151" t="s">
        <v>138</v>
      </c>
      <c r="G2779" s="151" t="s">
        <v>135</v>
      </c>
      <c r="H2779" s="68" t="s">
        <v>39</v>
      </c>
      <c r="J2779" s="74" t="str">
        <f t="shared" si="14"/>
        <v>[TIMES_SE] Paper mill, graphical - impulse</v>
      </c>
      <c r="L2779" s="163"/>
      <c r="M2779" s="48"/>
      <c r="N2779" s="123"/>
    </row>
    <row r="2780" spans="1:14" customFormat="1" x14ac:dyDescent="0.55000000000000004">
      <c r="A2780" s="98" t="s">
        <v>223</v>
      </c>
      <c r="B2780" s="68" t="s">
        <v>1183</v>
      </c>
      <c r="C2780" s="61" t="s">
        <v>156</v>
      </c>
      <c r="D2780" s="68" t="s">
        <v>2994</v>
      </c>
      <c r="E2780" s="120">
        <v>0</v>
      </c>
      <c r="F2780" s="151" t="s">
        <v>138</v>
      </c>
      <c r="G2780" s="151" t="s">
        <v>135</v>
      </c>
      <c r="H2780" s="68" t="s">
        <v>39</v>
      </c>
      <c r="J2780" s="74" t="str">
        <f t="shared" si="14"/>
        <v>[TIMES_SE] Paper mill, graphical - impulse</v>
      </c>
      <c r="L2780" s="163"/>
      <c r="M2780" s="48"/>
      <c r="N2780" s="123"/>
    </row>
    <row r="2781" spans="1:14" customFormat="1" x14ac:dyDescent="0.55000000000000004">
      <c r="A2781" s="98" t="s">
        <v>223</v>
      </c>
      <c r="B2781" s="68" t="s">
        <v>160</v>
      </c>
      <c r="C2781" t="s">
        <v>247</v>
      </c>
      <c r="D2781" s="68" t="s">
        <v>3288</v>
      </c>
      <c r="E2781" s="119">
        <v>1.2903000000000001E-2</v>
      </c>
      <c r="F2781" s="151" t="s">
        <v>135</v>
      </c>
      <c r="G2781" s="151" t="s">
        <v>135</v>
      </c>
      <c r="H2781" s="127" t="s">
        <v>376</v>
      </c>
      <c r="I2781" t="s">
        <v>2013</v>
      </c>
      <c r="J2781" s="74" t="str">
        <f t="shared" si="14"/>
        <v>[TIMES_SE] Paper mill, graphical - impulse</v>
      </c>
      <c r="L2781" s="163"/>
      <c r="M2781" s="48"/>
      <c r="N2781" s="123"/>
    </row>
    <row r="2782" spans="1:14" customFormat="1" x14ac:dyDescent="0.55000000000000004">
      <c r="A2782" s="98" t="s">
        <v>223</v>
      </c>
      <c r="B2782" s="68" t="s">
        <v>160</v>
      </c>
      <c r="C2782" t="s">
        <v>247</v>
      </c>
      <c r="D2782" s="68" t="s">
        <v>3288</v>
      </c>
      <c r="E2782" s="119">
        <v>8.7359999999999993E-2</v>
      </c>
      <c r="F2782" s="151" t="s">
        <v>135</v>
      </c>
      <c r="G2782" s="151" t="s">
        <v>135</v>
      </c>
      <c r="H2782" s="127" t="s">
        <v>373</v>
      </c>
      <c r="I2782" t="s">
        <v>2012</v>
      </c>
      <c r="J2782" s="74" t="str">
        <f t="shared" si="14"/>
        <v>[TIMES_SE] Paper mill, graphical - impulse</v>
      </c>
      <c r="L2782" s="163"/>
      <c r="M2782" s="48"/>
      <c r="N2782" s="123"/>
    </row>
    <row r="2783" spans="1:14" customFormat="1" x14ac:dyDescent="0.55000000000000004">
      <c r="A2783" s="98" t="s">
        <v>221</v>
      </c>
      <c r="B2783" s="68" t="s">
        <v>215</v>
      </c>
      <c r="C2783" s="68" t="s">
        <v>121</v>
      </c>
      <c r="D2783" s="68" t="s">
        <v>3288</v>
      </c>
      <c r="E2783" s="120">
        <v>1</v>
      </c>
      <c r="F2783" s="151" t="s">
        <v>135</v>
      </c>
      <c r="G2783" s="151">
        <v>1</v>
      </c>
      <c r="H2783" s="68"/>
      <c r="J2783" s="74" t="str">
        <f t="shared" si="14"/>
        <v>[TIMES_SE] Paper mill, graphical - press dryer</v>
      </c>
      <c r="L2783" s="163"/>
      <c r="M2783" s="48"/>
      <c r="N2783" s="123"/>
    </row>
    <row r="2784" spans="1:14" customFormat="1" x14ac:dyDescent="0.55000000000000004">
      <c r="A2784" s="98" t="s">
        <v>221</v>
      </c>
      <c r="B2784" s="68" t="s">
        <v>216</v>
      </c>
      <c r="C2784" t="s">
        <v>207</v>
      </c>
      <c r="D2784" s="68" t="s">
        <v>3288</v>
      </c>
      <c r="E2784" s="120">
        <v>0.7</v>
      </c>
      <c r="F2784" s="151" t="s">
        <v>135</v>
      </c>
      <c r="G2784" s="151" t="s">
        <v>135</v>
      </c>
      <c r="H2784" s="68" t="s">
        <v>39</v>
      </c>
      <c r="J2784" s="74" t="str">
        <f t="shared" si="14"/>
        <v>[TIMES_SE] Paper mill, graphical - press dryer</v>
      </c>
      <c r="L2784" s="163"/>
      <c r="M2784" s="48"/>
      <c r="N2784" s="123"/>
    </row>
    <row r="2785" spans="1:14" customFormat="1" x14ac:dyDescent="0.55000000000000004">
      <c r="A2785" s="98" t="s">
        <v>221</v>
      </c>
      <c r="B2785" s="68" t="s">
        <v>222</v>
      </c>
      <c r="C2785" t="s">
        <v>207</v>
      </c>
      <c r="D2785" s="68" t="s">
        <v>3288</v>
      </c>
      <c r="E2785" s="120">
        <v>0.3</v>
      </c>
      <c r="F2785" s="151" t="s">
        <v>135</v>
      </c>
      <c r="G2785" s="151" t="s">
        <v>135</v>
      </c>
      <c r="H2785" s="68" t="s">
        <v>39</v>
      </c>
      <c r="J2785" s="74" t="str">
        <f t="shared" si="14"/>
        <v>[TIMES_SE] Paper mill, graphical - press dryer</v>
      </c>
      <c r="L2785" s="163"/>
      <c r="M2785" s="48"/>
      <c r="N2785" s="123"/>
    </row>
    <row r="2786" spans="1:14" customFormat="1" x14ac:dyDescent="0.55000000000000004">
      <c r="A2786" s="98" t="s">
        <v>221</v>
      </c>
      <c r="B2786" s="68" t="s">
        <v>171</v>
      </c>
      <c r="C2786" s="68" t="s">
        <v>127</v>
      </c>
      <c r="D2786" s="68" t="s">
        <v>2994</v>
      </c>
      <c r="E2786" s="120">
        <v>0.23</v>
      </c>
      <c r="F2786" s="151" t="s">
        <v>138</v>
      </c>
      <c r="G2786" s="151" t="s">
        <v>135</v>
      </c>
      <c r="H2786" s="68" t="s">
        <v>2020</v>
      </c>
      <c r="I2786" t="s">
        <v>2019</v>
      </c>
      <c r="J2786" s="74" t="str">
        <f t="shared" si="14"/>
        <v>[TIMES_SE] Paper mill, graphical - press dryer</v>
      </c>
      <c r="L2786" s="163"/>
      <c r="M2786" s="48"/>
      <c r="N2786" s="123"/>
    </row>
    <row r="2787" spans="1:14" customFormat="1" x14ac:dyDescent="0.55000000000000004">
      <c r="A2787" s="98" t="s">
        <v>221</v>
      </c>
      <c r="B2787" s="68" t="s">
        <v>153</v>
      </c>
      <c r="C2787" s="68" t="s">
        <v>127</v>
      </c>
      <c r="D2787" s="68" t="s">
        <v>2994</v>
      </c>
      <c r="E2787" s="120">
        <v>1.94</v>
      </c>
      <c r="F2787" s="151" t="s">
        <v>138</v>
      </c>
      <c r="G2787" s="151" t="s">
        <v>135</v>
      </c>
      <c r="H2787" s="68" t="s">
        <v>2021</v>
      </c>
      <c r="I2787" t="s">
        <v>2019</v>
      </c>
      <c r="J2787" s="74" t="str">
        <f t="shared" si="14"/>
        <v>[TIMES_SE] Paper mill, graphical - press dryer</v>
      </c>
      <c r="L2787" s="163"/>
      <c r="M2787" s="48"/>
      <c r="N2787" s="123"/>
    </row>
    <row r="2788" spans="1:14" customFormat="1" x14ac:dyDescent="0.55000000000000004">
      <c r="A2788" s="98" t="s">
        <v>221</v>
      </c>
      <c r="B2788" s="68" t="s">
        <v>208</v>
      </c>
      <c r="C2788" s="68" t="s">
        <v>127</v>
      </c>
      <c r="D2788" s="68" t="s">
        <v>2994</v>
      </c>
      <c r="E2788" s="120">
        <v>4.08</v>
      </c>
      <c r="F2788" s="151" t="s">
        <v>138</v>
      </c>
      <c r="G2788" s="151" t="s">
        <v>135</v>
      </c>
      <c r="H2788" s="68" t="s">
        <v>39</v>
      </c>
      <c r="J2788" s="74" t="str">
        <f t="shared" si="14"/>
        <v>[TIMES_SE] Paper mill, graphical - press dryer</v>
      </c>
      <c r="L2788" s="163"/>
      <c r="M2788" s="48"/>
      <c r="N2788" s="123"/>
    </row>
    <row r="2789" spans="1:14" customFormat="1" x14ac:dyDescent="0.55000000000000004">
      <c r="A2789" s="98" t="s">
        <v>221</v>
      </c>
      <c r="B2789" s="68" t="s">
        <v>1183</v>
      </c>
      <c r="C2789" s="61" t="s">
        <v>156</v>
      </c>
      <c r="D2789" s="68" t="s">
        <v>2994</v>
      </c>
      <c r="E2789" s="120">
        <v>1.78</v>
      </c>
      <c r="F2789" s="151" t="s">
        <v>138</v>
      </c>
      <c r="G2789" s="151" t="s">
        <v>135</v>
      </c>
      <c r="H2789" s="68" t="s">
        <v>39</v>
      </c>
      <c r="J2789" s="74" t="str">
        <f t="shared" si="14"/>
        <v>[TIMES_SE] Paper mill, graphical - press dryer</v>
      </c>
      <c r="L2789" s="163"/>
      <c r="M2789" s="48"/>
      <c r="N2789" s="123"/>
    </row>
    <row r="2790" spans="1:14" customFormat="1" x14ac:dyDescent="0.55000000000000004">
      <c r="A2790" s="98" t="s">
        <v>221</v>
      </c>
      <c r="B2790" s="68" t="s">
        <v>160</v>
      </c>
      <c r="C2790" t="s">
        <v>247</v>
      </c>
      <c r="D2790" s="68" t="s">
        <v>3288</v>
      </c>
      <c r="E2790" s="119">
        <v>1.2903000000000001E-2</v>
      </c>
      <c r="F2790" s="151" t="s">
        <v>135</v>
      </c>
      <c r="G2790" s="151" t="s">
        <v>135</v>
      </c>
      <c r="H2790" s="127" t="s">
        <v>376</v>
      </c>
      <c r="I2790" t="s">
        <v>2013</v>
      </c>
      <c r="J2790" s="74" t="str">
        <f t="shared" si="14"/>
        <v>[TIMES_SE] Paper mill, graphical - press dryer</v>
      </c>
      <c r="L2790" s="163"/>
      <c r="M2790" s="48"/>
      <c r="N2790" s="123"/>
    </row>
    <row r="2791" spans="1:14" customFormat="1" x14ac:dyDescent="0.55000000000000004">
      <c r="A2791" s="98" t="s">
        <v>221</v>
      </c>
      <c r="B2791" s="68" t="s">
        <v>160</v>
      </c>
      <c r="C2791" t="s">
        <v>247</v>
      </c>
      <c r="D2791" s="68" t="s">
        <v>3288</v>
      </c>
      <c r="E2791" s="119">
        <v>0.21215999999999999</v>
      </c>
      <c r="F2791" s="151" t="s">
        <v>135</v>
      </c>
      <c r="G2791" s="151" t="s">
        <v>135</v>
      </c>
      <c r="H2791" s="127" t="s">
        <v>373</v>
      </c>
      <c r="I2791" t="s">
        <v>2012</v>
      </c>
      <c r="J2791" s="74" t="str">
        <f t="shared" si="14"/>
        <v>[TIMES_SE] Paper mill, graphical - press dryer</v>
      </c>
      <c r="L2791" s="163"/>
      <c r="M2791" s="48"/>
      <c r="N2791" s="123"/>
    </row>
    <row r="2792" spans="1:14" customFormat="1" x14ac:dyDescent="0.55000000000000004">
      <c r="A2792" s="98" t="s">
        <v>220</v>
      </c>
      <c r="B2792" s="68" t="s">
        <v>215</v>
      </c>
      <c r="C2792" s="68" t="s">
        <v>121</v>
      </c>
      <c r="D2792" s="68" t="s">
        <v>3288</v>
      </c>
      <c r="E2792" s="120">
        <v>1</v>
      </c>
      <c r="F2792" s="151" t="s">
        <v>135</v>
      </c>
      <c r="G2792" s="151">
        <v>1</v>
      </c>
      <c r="H2792" s="68"/>
      <c r="J2792" s="74" t="str">
        <f t="shared" si="14"/>
        <v>[TIMES_SE] Paper mill, soft - air impingement</v>
      </c>
      <c r="L2792" s="163"/>
      <c r="M2792" s="48"/>
      <c r="N2792" s="123"/>
    </row>
    <row r="2793" spans="1:14" customFormat="1" x14ac:dyDescent="0.55000000000000004">
      <c r="A2793" s="98" t="s">
        <v>220</v>
      </c>
      <c r="B2793" s="68" t="s">
        <v>216</v>
      </c>
      <c r="C2793" t="s">
        <v>207</v>
      </c>
      <c r="D2793" s="68" t="s">
        <v>3288</v>
      </c>
      <c r="E2793" s="120">
        <v>0.3</v>
      </c>
      <c r="F2793" s="151" t="s">
        <v>135</v>
      </c>
      <c r="G2793" s="151" t="s">
        <v>135</v>
      </c>
      <c r="H2793" s="68" t="s">
        <v>39</v>
      </c>
      <c r="J2793" s="74" t="str">
        <f t="shared" ref="J2793:J2856" si="15">A2793</f>
        <v>[TIMES_SE] Paper mill, soft - air impingement</v>
      </c>
      <c r="L2793" s="163"/>
      <c r="M2793" s="48"/>
      <c r="N2793" s="123"/>
    </row>
    <row r="2794" spans="1:14" customFormat="1" x14ac:dyDescent="0.55000000000000004">
      <c r="A2794" s="98" t="s">
        <v>220</v>
      </c>
      <c r="B2794" s="68" t="s">
        <v>205</v>
      </c>
      <c r="C2794" t="s">
        <v>207</v>
      </c>
      <c r="D2794" s="68" t="s">
        <v>3288</v>
      </c>
      <c r="E2794" s="120">
        <v>0.7</v>
      </c>
      <c r="F2794" s="151" t="s">
        <v>135</v>
      </c>
      <c r="G2794" s="151" t="s">
        <v>135</v>
      </c>
      <c r="H2794" s="68" t="s">
        <v>39</v>
      </c>
      <c r="J2794" s="74" t="str">
        <f t="shared" si="15"/>
        <v>[TIMES_SE] Paper mill, soft - air impingement</v>
      </c>
      <c r="L2794" s="163"/>
      <c r="M2794" s="48"/>
      <c r="N2794" s="123"/>
    </row>
    <row r="2795" spans="1:14" customFormat="1" x14ac:dyDescent="0.55000000000000004">
      <c r="A2795" s="98" t="s">
        <v>220</v>
      </c>
      <c r="B2795" s="68" t="s">
        <v>171</v>
      </c>
      <c r="C2795" s="68" t="s">
        <v>127</v>
      </c>
      <c r="D2795" s="68" t="s">
        <v>2994</v>
      </c>
      <c r="E2795" s="120">
        <v>4.2220000000000004</v>
      </c>
      <c r="F2795" s="151" t="s">
        <v>138</v>
      </c>
      <c r="G2795" s="151" t="s">
        <v>135</v>
      </c>
      <c r="H2795" s="68" t="s">
        <v>2017</v>
      </c>
      <c r="I2795" t="s">
        <v>2016</v>
      </c>
      <c r="J2795" s="74" t="str">
        <f t="shared" si="15"/>
        <v>[TIMES_SE] Paper mill, soft - air impingement</v>
      </c>
      <c r="L2795" s="163"/>
      <c r="M2795" s="48"/>
      <c r="N2795" s="123"/>
    </row>
    <row r="2796" spans="1:14" customFormat="1" x14ac:dyDescent="0.55000000000000004">
      <c r="A2796" s="98" t="s">
        <v>220</v>
      </c>
      <c r="B2796" s="68" t="s">
        <v>153</v>
      </c>
      <c r="C2796" s="68" t="s">
        <v>127</v>
      </c>
      <c r="D2796" s="68" t="s">
        <v>2994</v>
      </c>
      <c r="E2796" s="120">
        <v>3.54</v>
      </c>
      <c r="F2796" s="151" t="s">
        <v>138</v>
      </c>
      <c r="G2796" s="151" t="s">
        <v>135</v>
      </c>
      <c r="H2796" s="68" t="s">
        <v>2018</v>
      </c>
      <c r="I2796" t="s">
        <v>2016</v>
      </c>
      <c r="J2796" s="74" t="str">
        <f t="shared" si="15"/>
        <v>[TIMES_SE] Paper mill, soft - air impingement</v>
      </c>
      <c r="L2796" s="163"/>
      <c r="M2796" s="48"/>
      <c r="N2796" s="123"/>
    </row>
    <row r="2797" spans="1:14" customFormat="1" x14ac:dyDescent="0.55000000000000004">
      <c r="A2797" s="98" t="s">
        <v>220</v>
      </c>
      <c r="B2797" s="68" t="s">
        <v>208</v>
      </c>
      <c r="C2797" s="68" t="s">
        <v>127</v>
      </c>
      <c r="D2797" s="68" t="s">
        <v>2994</v>
      </c>
      <c r="E2797" s="120">
        <v>2.46</v>
      </c>
      <c r="F2797" s="151" t="s">
        <v>138</v>
      </c>
      <c r="G2797" s="151" t="s">
        <v>135</v>
      </c>
      <c r="H2797" s="68" t="s">
        <v>39</v>
      </c>
      <c r="J2797" s="74" t="str">
        <f t="shared" si="15"/>
        <v>[TIMES_SE] Paper mill, soft - air impingement</v>
      </c>
      <c r="L2797" s="163"/>
      <c r="M2797" s="48"/>
      <c r="N2797" s="123"/>
    </row>
    <row r="2798" spans="1:14" customFormat="1" x14ac:dyDescent="0.55000000000000004">
      <c r="A2798" s="98" t="s">
        <v>220</v>
      </c>
      <c r="B2798" s="68" t="s">
        <v>1183</v>
      </c>
      <c r="C2798" s="61" t="s">
        <v>156</v>
      </c>
      <c r="D2798" s="68" t="s">
        <v>2994</v>
      </c>
      <c r="E2798" s="120">
        <v>1.48</v>
      </c>
      <c r="F2798" s="151" t="s">
        <v>138</v>
      </c>
      <c r="G2798" s="151" t="s">
        <v>135</v>
      </c>
      <c r="H2798" s="68" t="s">
        <v>39</v>
      </c>
      <c r="J2798" s="74" t="str">
        <f t="shared" si="15"/>
        <v>[TIMES_SE] Paper mill, soft - air impingement</v>
      </c>
      <c r="L2798" s="163"/>
      <c r="M2798" s="48"/>
      <c r="N2798" s="123"/>
    </row>
    <row r="2799" spans="1:14" customFormat="1" x14ac:dyDescent="0.55000000000000004">
      <c r="A2799" s="98" t="s">
        <v>220</v>
      </c>
      <c r="B2799" s="68" t="s">
        <v>160</v>
      </c>
      <c r="C2799" t="s">
        <v>247</v>
      </c>
      <c r="D2799" s="68" t="s">
        <v>3288</v>
      </c>
      <c r="E2799" s="119">
        <v>0.23685420000000001</v>
      </c>
      <c r="F2799" s="151" t="s">
        <v>135</v>
      </c>
      <c r="G2799" s="151" t="s">
        <v>135</v>
      </c>
      <c r="H2799" s="127" t="s">
        <v>376</v>
      </c>
      <c r="I2799" t="s">
        <v>2013</v>
      </c>
      <c r="J2799" s="74" t="str">
        <f t="shared" si="15"/>
        <v>[TIMES_SE] Paper mill, soft - air impingement</v>
      </c>
      <c r="L2799" s="163"/>
      <c r="M2799" s="48"/>
      <c r="N2799" s="123"/>
    </row>
    <row r="2800" spans="1:14" customFormat="1" x14ac:dyDescent="0.55000000000000004">
      <c r="A2800" s="98" t="s">
        <v>220</v>
      </c>
      <c r="B2800" s="68" t="s">
        <v>160</v>
      </c>
      <c r="C2800" t="s">
        <v>247</v>
      </c>
      <c r="D2800" s="68" t="s">
        <v>3288</v>
      </c>
      <c r="E2800" s="119">
        <v>0.12792000000000001</v>
      </c>
      <c r="F2800" s="151" t="s">
        <v>135</v>
      </c>
      <c r="G2800" s="151" t="s">
        <v>135</v>
      </c>
      <c r="H2800" s="127" t="s">
        <v>373</v>
      </c>
      <c r="I2800" t="s">
        <v>2012</v>
      </c>
      <c r="J2800" s="74" t="str">
        <f t="shared" si="15"/>
        <v>[TIMES_SE] Paper mill, soft - air impingement</v>
      </c>
      <c r="L2800" s="163"/>
      <c r="M2800" s="48"/>
      <c r="N2800" s="123"/>
    </row>
    <row r="2801" spans="1:14" customFormat="1" x14ac:dyDescent="0.55000000000000004">
      <c r="A2801" s="98" t="s">
        <v>218</v>
      </c>
      <c r="B2801" s="68" t="s">
        <v>219</v>
      </c>
      <c r="C2801" s="68" t="s">
        <v>121</v>
      </c>
      <c r="D2801" s="68" t="s">
        <v>3288</v>
      </c>
      <c r="E2801" s="120">
        <v>1</v>
      </c>
      <c r="F2801" s="151" t="s">
        <v>135</v>
      </c>
      <c r="G2801" s="151">
        <v>1</v>
      </c>
      <c r="H2801" s="68"/>
      <c r="J2801" s="74" t="str">
        <f t="shared" si="15"/>
        <v>[TIMES_SE] Paper mill, soft - conventional</v>
      </c>
      <c r="L2801" s="163"/>
      <c r="M2801" s="48"/>
      <c r="N2801" s="123"/>
    </row>
    <row r="2802" spans="1:14" customFormat="1" x14ac:dyDescent="0.55000000000000004">
      <c r="A2802" s="98" t="s">
        <v>218</v>
      </c>
      <c r="B2802" s="68" t="s">
        <v>216</v>
      </c>
      <c r="C2802" t="s">
        <v>207</v>
      </c>
      <c r="D2802" s="68" t="s">
        <v>3288</v>
      </c>
      <c r="E2802" s="120">
        <v>0.3</v>
      </c>
      <c r="F2802" s="151" t="s">
        <v>135</v>
      </c>
      <c r="G2802" s="151" t="s">
        <v>135</v>
      </c>
      <c r="H2802" s="68" t="s">
        <v>39</v>
      </c>
      <c r="J2802" s="74" t="str">
        <f t="shared" si="15"/>
        <v>[TIMES_SE] Paper mill, soft - conventional</v>
      </c>
      <c r="L2802" s="163"/>
      <c r="M2802" s="48"/>
      <c r="N2802" s="123"/>
    </row>
    <row r="2803" spans="1:14" customFormat="1" x14ac:dyDescent="0.55000000000000004">
      <c r="A2803" s="98" t="s">
        <v>218</v>
      </c>
      <c r="B2803" s="68" t="s">
        <v>205</v>
      </c>
      <c r="C2803" t="s">
        <v>207</v>
      </c>
      <c r="D2803" s="68" t="s">
        <v>3288</v>
      </c>
      <c r="E2803" s="120">
        <v>0.7</v>
      </c>
      <c r="F2803" s="151" t="s">
        <v>135</v>
      </c>
      <c r="G2803" s="151" t="s">
        <v>135</v>
      </c>
      <c r="H2803" s="68" t="s">
        <v>39</v>
      </c>
      <c r="J2803" s="74" t="str">
        <f t="shared" si="15"/>
        <v>[TIMES_SE] Paper mill, soft - conventional</v>
      </c>
      <c r="L2803" s="163"/>
      <c r="M2803" s="48"/>
      <c r="N2803" s="123"/>
    </row>
    <row r="2804" spans="1:14" customFormat="1" x14ac:dyDescent="0.55000000000000004">
      <c r="A2804" s="98" t="s">
        <v>218</v>
      </c>
      <c r="B2804" s="68" t="s">
        <v>171</v>
      </c>
      <c r="C2804" s="68" t="s">
        <v>127</v>
      </c>
      <c r="D2804" s="68" t="s">
        <v>2994</v>
      </c>
      <c r="E2804" s="120">
        <v>2.56</v>
      </c>
      <c r="F2804" s="151" t="s">
        <v>138</v>
      </c>
      <c r="G2804" s="151" t="s">
        <v>135</v>
      </c>
      <c r="H2804" s="68" t="s">
        <v>2011</v>
      </c>
      <c r="I2804" t="s">
        <v>2014</v>
      </c>
      <c r="J2804" s="74" t="str">
        <f t="shared" si="15"/>
        <v>[TIMES_SE] Paper mill, soft - conventional</v>
      </c>
      <c r="L2804" s="163"/>
      <c r="M2804" s="48"/>
      <c r="N2804" s="123"/>
    </row>
    <row r="2805" spans="1:14" customFormat="1" x14ac:dyDescent="0.55000000000000004">
      <c r="A2805" s="98" t="s">
        <v>218</v>
      </c>
      <c r="B2805" s="68" t="s">
        <v>153</v>
      </c>
      <c r="C2805" s="68" t="s">
        <v>127</v>
      </c>
      <c r="D2805" s="68" t="s">
        <v>2994</v>
      </c>
      <c r="E2805" s="120">
        <v>3.37</v>
      </c>
      <c r="F2805" s="151" t="s">
        <v>138</v>
      </c>
      <c r="G2805" s="151" t="s">
        <v>135</v>
      </c>
      <c r="H2805" s="68" t="s">
        <v>2015</v>
      </c>
      <c r="I2805" t="s">
        <v>2014</v>
      </c>
      <c r="J2805" s="74" t="str">
        <f t="shared" si="15"/>
        <v>[TIMES_SE] Paper mill, soft - conventional</v>
      </c>
      <c r="L2805" s="163"/>
      <c r="M2805" s="48"/>
      <c r="N2805" s="123"/>
    </row>
    <row r="2806" spans="1:14" customFormat="1" x14ac:dyDescent="0.55000000000000004">
      <c r="A2806" s="98" t="s">
        <v>218</v>
      </c>
      <c r="B2806" s="68" t="s">
        <v>208</v>
      </c>
      <c r="C2806" s="68" t="s">
        <v>127</v>
      </c>
      <c r="D2806" s="68" t="s">
        <v>2994</v>
      </c>
      <c r="E2806" s="120">
        <v>4</v>
      </c>
      <c r="F2806" s="151" t="s">
        <v>138</v>
      </c>
      <c r="G2806" s="151" t="s">
        <v>135</v>
      </c>
      <c r="H2806" s="68" t="s">
        <v>39</v>
      </c>
      <c r="J2806" s="74" t="str">
        <f t="shared" si="15"/>
        <v>[TIMES_SE] Paper mill, soft - conventional</v>
      </c>
      <c r="L2806" s="163"/>
      <c r="M2806" s="48"/>
      <c r="N2806" s="123"/>
    </row>
    <row r="2807" spans="1:14" customFormat="1" x14ac:dyDescent="0.55000000000000004">
      <c r="A2807" s="98" t="s">
        <v>218</v>
      </c>
      <c r="B2807" s="68" t="s">
        <v>1183</v>
      </c>
      <c r="C2807" s="61" t="s">
        <v>156</v>
      </c>
      <c r="D2807" s="68" t="s">
        <v>2994</v>
      </c>
      <c r="E2807" s="120">
        <v>1.48</v>
      </c>
      <c r="F2807" s="151" t="s">
        <v>138</v>
      </c>
      <c r="G2807" s="151" t="s">
        <v>135</v>
      </c>
      <c r="H2807" s="68" t="s">
        <v>39</v>
      </c>
      <c r="J2807" s="74" t="str">
        <f t="shared" si="15"/>
        <v>[TIMES_SE] Paper mill, soft - conventional</v>
      </c>
      <c r="L2807" s="163"/>
      <c r="M2807" s="48"/>
      <c r="N2807" s="123"/>
    </row>
    <row r="2808" spans="1:14" customFormat="1" x14ac:dyDescent="0.55000000000000004">
      <c r="A2808" s="98" t="s">
        <v>218</v>
      </c>
      <c r="B2808" s="68" t="s">
        <v>160</v>
      </c>
      <c r="C2808" t="s">
        <v>247</v>
      </c>
      <c r="D2808" s="68" t="s">
        <v>3288</v>
      </c>
      <c r="E2808" s="119">
        <v>0.14361600000000002</v>
      </c>
      <c r="F2808" s="151" t="s">
        <v>135</v>
      </c>
      <c r="G2808" s="151" t="s">
        <v>135</v>
      </c>
      <c r="H2808" s="127" t="s">
        <v>376</v>
      </c>
      <c r="I2808" t="s">
        <v>2013</v>
      </c>
      <c r="J2808" s="74" t="str">
        <f t="shared" si="15"/>
        <v>[TIMES_SE] Paper mill, soft - conventional</v>
      </c>
      <c r="L2808" s="163"/>
      <c r="M2808" s="48"/>
      <c r="N2808" s="123"/>
    </row>
    <row r="2809" spans="1:14" customFormat="1" x14ac:dyDescent="0.55000000000000004">
      <c r="A2809" s="98" t="s">
        <v>218</v>
      </c>
      <c r="B2809" s="68" t="s">
        <v>160</v>
      </c>
      <c r="C2809" t="s">
        <v>247</v>
      </c>
      <c r="D2809" s="68" t="s">
        <v>3288</v>
      </c>
      <c r="E2809" s="119">
        <v>0.20799999999999999</v>
      </c>
      <c r="F2809" s="151" t="s">
        <v>135</v>
      </c>
      <c r="G2809" s="151" t="s">
        <v>135</v>
      </c>
      <c r="H2809" s="127" t="s">
        <v>373</v>
      </c>
      <c r="I2809" t="s">
        <v>2012</v>
      </c>
      <c r="J2809" s="74" t="str">
        <f t="shared" si="15"/>
        <v>[TIMES_SE] Paper mill, soft - conventional</v>
      </c>
      <c r="L2809" s="163"/>
      <c r="M2809" s="48"/>
      <c r="N2809" s="123"/>
    </row>
    <row r="2810" spans="1:14" customFormat="1" x14ac:dyDescent="0.55000000000000004">
      <c r="A2810" s="98" t="s">
        <v>214</v>
      </c>
      <c r="B2810" s="68" t="s">
        <v>215</v>
      </c>
      <c r="C2810" s="68" t="s">
        <v>121</v>
      </c>
      <c r="D2810" s="68" t="s">
        <v>3288</v>
      </c>
      <c r="E2810" s="120">
        <v>1</v>
      </c>
      <c r="F2810" s="151" t="s">
        <v>135</v>
      </c>
      <c r="G2810" s="151">
        <v>1</v>
      </c>
      <c r="H2810" s="68"/>
      <c r="J2810" s="74" t="str">
        <f t="shared" si="15"/>
        <v>[TIMES_SE] Paper mill, soft - steam impingement</v>
      </c>
      <c r="L2810" s="163"/>
      <c r="M2810" s="48"/>
      <c r="N2810" s="123"/>
    </row>
    <row r="2811" spans="1:14" customFormat="1" x14ac:dyDescent="0.55000000000000004">
      <c r="A2811" s="98" t="s">
        <v>214</v>
      </c>
      <c r="B2811" s="68" t="s">
        <v>216</v>
      </c>
      <c r="C2811" t="s">
        <v>207</v>
      </c>
      <c r="D2811" s="68" t="s">
        <v>3288</v>
      </c>
      <c r="E2811" s="120">
        <v>0.3</v>
      </c>
      <c r="F2811" s="151" t="s">
        <v>135</v>
      </c>
      <c r="G2811" s="151" t="s">
        <v>135</v>
      </c>
      <c r="H2811" s="68" t="s">
        <v>39</v>
      </c>
      <c r="J2811" s="74" t="str">
        <f t="shared" si="15"/>
        <v>[TIMES_SE] Paper mill, soft - steam impingement</v>
      </c>
      <c r="L2811" s="163"/>
      <c r="M2811" s="48"/>
      <c r="N2811" s="123"/>
    </row>
    <row r="2812" spans="1:14" customFormat="1" x14ac:dyDescent="0.55000000000000004">
      <c r="A2812" s="98" t="s">
        <v>214</v>
      </c>
      <c r="B2812" s="68" t="s">
        <v>205</v>
      </c>
      <c r="C2812" t="s">
        <v>207</v>
      </c>
      <c r="D2812" s="68" t="s">
        <v>3288</v>
      </c>
      <c r="E2812" s="120">
        <v>0.7</v>
      </c>
      <c r="F2812" s="151" t="s">
        <v>135</v>
      </c>
      <c r="G2812" s="151" t="s">
        <v>135</v>
      </c>
      <c r="H2812" s="68" t="s">
        <v>39</v>
      </c>
      <c r="J2812" s="74" t="str">
        <f t="shared" si="15"/>
        <v>[TIMES_SE] Paper mill, soft - steam impingement</v>
      </c>
      <c r="L2812" s="163"/>
      <c r="M2812" s="48"/>
      <c r="N2812" s="123"/>
    </row>
    <row r="2813" spans="1:14" customFormat="1" x14ac:dyDescent="0.55000000000000004">
      <c r="A2813" s="98" t="s">
        <v>214</v>
      </c>
      <c r="B2813" s="68" t="s">
        <v>171</v>
      </c>
      <c r="C2813" s="68" t="s">
        <v>127</v>
      </c>
      <c r="D2813" s="68" t="s">
        <v>2994</v>
      </c>
      <c r="E2813" s="120">
        <v>2.56</v>
      </c>
      <c r="F2813" s="151" t="s">
        <v>138</v>
      </c>
      <c r="G2813" s="151" t="s">
        <v>135</v>
      </c>
      <c r="H2813" s="68" t="s">
        <v>2011</v>
      </c>
      <c r="I2813" t="s">
        <v>2009</v>
      </c>
      <c r="J2813" s="74" t="str">
        <f t="shared" si="15"/>
        <v>[TIMES_SE] Paper mill, soft - steam impingement</v>
      </c>
      <c r="L2813" s="163"/>
      <c r="M2813" s="48"/>
      <c r="N2813" s="123"/>
    </row>
    <row r="2814" spans="1:14" customFormat="1" x14ac:dyDescent="0.55000000000000004">
      <c r="A2814" s="98" t="s">
        <v>214</v>
      </c>
      <c r="B2814" s="68" t="s">
        <v>153</v>
      </c>
      <c r="C2814" s="68" t="s">
        <v>127</v>
      </c>
      <c r="D2814" s="68" t="s">
        <v>2994</v>
      </c>
      <c r="E2814" s="120">
        <v>3.03</v>
      </c>
      <c r="F2814" s="151" t="s">
        <v>138</v>
      </c>
      <c r="G2814" s="151" t="s">
        <v>135</v>
      </c>
      <c r="H2814" s="68" t="s">
        <v>2010</v>
      </c>
      <c r="I2814" t="s">
        <v>2009</v>
      </c>
      <c r="J2814" s="74" t="str">
        <f t="shared" si="15"/>
        <v>[TIMES_SE] Paper mill, soft - steam impingement</v>
      </c>
      <c r="L2814" s="163"/>
      <c r="M2814" s="48"/>
      <c r="N2814" s="123"/>
    </row>
    <row r="2815" spans="1:14" customFormat="1" x14ac:dyDescent="0.55000000000000004">
      <c r="A2815" s="98" t="s">
        <v>214</v>
      </c>
      <c r="B2815" s="68" t="s">
        <v>208</v>
      </c>
      <c r="C2815" s="68" t="s">
        <v>127</v>
      </c>
      <c r="D2815" s="68" t="s">
        <v>2994</v>
      </c>
      <c r="E2815" s="120">
        <v>3.4</v>
      </c>
      <c r="F2815" s="151" t="s">
        <v>138</v>
      </c>
      <c r="G2815" s="151" t="s">
        <v>135</v>
      </c>
      <c r="H2815" s="68" t="s">
        <v>39</v>
      </c>
      <c r="J2815" s="74" t="str">
        <f t="shared" si="15"/>
        <v>[TIMES_SE] Paper mill, soft - steam impingement</v>
      </c>
      <c r="L2815" s="163"/>
      <c r="M2815" s="48"/>
      <c r="N2815" s="123"/>
    </row>
    <row r="2816" spans="1:14" customFormat="1" x14ac:dyDescent="0.55000000000000004">
      <c r="A2816" s="98" t="s">
        <v>214</v>
      </c>
      <c r="B2816" s="68" t="s">
        <v>1183</v>
      </c>
      <c r="C2816" s="61" t="s">
        <v>156</v>
      </c>
      <c r="D2816" s="68" t="s">
        <v>2994</v>
      </c>
      <c r="E2816" s="120">
        <v>1.48</v>
      </c>
      <c r="F2816" s="151" t="s">
        <v>138</v>
      </c>
      <c r="G2816" s="151" t="s">
        <v>135</v>
      </c>
      <c r="H2816" s="68" t="s">
        <v>39</v>
      </c>
      <c r="J2816" s="74" t="str">
        <f t="shared" si="15"/>
        <v>[TIMES_SE] Paper mill, soft - steam impingement</v>
      </c>
      <c r="L2816" s="163"/>
      <c r="M2816" s="48"/>
      <c r="N2816" s="123"/>
    </row>
    <row r="2817" spans="1:14" customFormat="1" x14ac:dyDescent="0.55000000000000004">
      <c r="A2817" s="98" t="s">
        <v>214</v>
      </c>
      <c r="B2817" s="68" t="s">
        <v>160</v>
      </c>
      <c r="C2817" t="s">
        <v>247</v>
      </c>
      <c r="D2817" s="68" t="s">
        <v>3288</v>
      </c>
      <c r="E2817" s="119">
        <v>0.14361600000000002</v>
      </c>
      <c r="F2817" s="151" t="s">
        <v>135</v>
      </c>
      <c r="G2817" s="151" t="s">
        <v>135</v>
      </c>
      <c r="H2817" s="127" t="s">
        <v>376</v>
      </c>
      <c r="I2817" t="s">
        <v>2013</v>
      </c>
      <c r="J2817" s="74" t="str">
        <f t="shared" si="15"/>
        <v>[TIMES_SE] Paper mill, soft - steam impingement</v>
      </c>
      <c r="L2817" s="163"/>
      <c r="M2817" s="48"/>
      <c r="N2817" s="123"/>
    </row>
    <row r="2818" spans="1:14" customFormat="1" x14ac:dyDescent="0.55000000000000004">
      <c r="A2818" s="98" t="s">
        <v>214</v>
      </c>
      <c r="B2818" s="68" t="s">
        <v>160</v>
      </c>
      <c r="C2818" t="s">
        <v>247</v>
      </c>
      <c r="D2818" s="68" t="s">
        <v>3288</v>
      </c>
      <c r="E2818" s="119">
        <v>0.17679999999999998</v>
      </c>
      <c r="F2818" s="151" t="s">
        <v>135</v>
      </c>
      <c r="G2818" s="151" t="s">
        <v>135</v>
      </c>
      <c r="H2818" s="127" t="s">
        <v>373</v>
      </c>
      <c r="I2818" t="s">
        <v>2012</v>
      </c>
      <c r="J2818" s="74" t="str">
        <f t="shared" si="15"/>
        <v>[TIMES_SE] Paper mill, soft - steam impingement</v>
      </c>
      <c r="L2818" s="163"/>
      <c r="M2818" s="48"/>
      <c r="N2818" s="123"/>
    </row>
    <row r="2819" spans="1:14" customFormat="1" x14ac:dyDescent="0.55000000000000004">
      <c r="A2819" s="111" t="s">
        <v>365</v>
      </c>
      <c r="B2819" t="s">
        <v>366</v>
      </c>
      <c r="C2819" t="s">
        <v>121</v>
      </c>
      <c r="D2819" t="s">
        <v>3288</v>
      </c>
      <c r="E2819" s="117">
        <v>1</v>
      </c>
      <c r="F2819" s="149" t="s">
        <v>135</v>
      </c>
      <c r="G2819" s="149">
        <v>1</v>
      </c>
      <c r="J2819" s="77" t="str">
        <f t="shared" si="15"/>
        <v>[TIMES_SE] Powder atomisation</v>
      </c>
      <c r="L2819" s="131"/>
      <c r="M2819" s="48"/>
      <c r="N2819" s="123"/>
    </row>
    <row r="2820" spans="1:14" customFormat="1" x14ac:dyDescent="0.55000000000000004">
      <c r="A2820" s="111" t="s">
        <v>365</v>
      </c>
      <c r="B2820" t="s">
        <v>339</v>
      </c>
      <c r="C2820" s="21" t="s">
        <v>125</v>
      </c>
      <c r="D2820" t="s">
        <v>3288</v>
      </c>
      <c r="E2820" s="117">
        <f>1/0.97</f>
        <v>1.0309278350515465</v>
      </c>
      <c r="F2820" s="149" t="s">
        <v>135</v>
      </c>
      <c r="G2820" s="149" t="s">
        <v>135</v>
      </c>
      <c r="H2820" t="s">
        <v>39</v>
      </c>
      <c r="I2820" t="s">
        <v>367</v>
      </c>
      <c r="J2820" s="77" t="str">
        <f t="shared" si="15"/>
        <v>[TIMES_SE] Powder atomisation</v>
      </c>
      <c r="L2820" s="131"/>
      <c r="M2820" s="48"/>
      <c r="N2820" s="123"/>
    </row>
    <row r="2821" spans="1:14" customFormat="1" x14ac:dyDescent="0.55000000000000004">
      <c r="A2821" s="111" t="s">
        <v>365</v>
      </c>
      <c r="B2821" t="s">
        <v>153</v>
      </c>
      <c r="C2821" t="s">
        <v>127</v>
      </c>
      <c r="D2821" t="s">
        <v>2994</v>
      </c>
      <c r="E2821" s="117">
        <v>1.83</v>
      </c>
      <c r="F2821" s="149" t="s">
        <v>138</v>
      </c>
      <c r="G2821" s="149" t="s">
        <v>135</v>
      </c>
      <c r="H2821" t="s">
        <v>39</v>
      </c>
      <c r="I2821" t="s">
        <v>367</v>
      </c>
      <c r="J2821" s="77" t="str">
        <f t="shared" si="15"/>
        <v>[TIMES_SE] Powder atomisation</v>
      </c>
      <c r="L2821" s="131"/>
      <c r="M2821" s="48"/>
      <c r="N2821" s="123"/>
    </row>
    <row r="2822" spans="1:14" customFormat="1" x14ac:dyDescent="0.55000000000000004">
      <c r="A2822" s="111" t="s">
        <v>365</v>
      </c>
      <c r="B2822" t="s">
        <v>160</v>
      </c>
      <c r="C2822" t="s">
        <v>247</v>
      </c>
      <c r="D2822" t="s">
        <v>3288</v>
      </c>
      <c r="E2822" s="116">
        <v>0</v>
      </c>
      <c r="F2822" s="149" t="s">
        <v>135</v>
      </c>
      <c r="G2822" s="149" t="s">
        <v>135</v>
      </c>
      <c r="H2822" t="s">
        <v>39</v>
      </c>
      <c r="J2822" s="77" t="str">
        <f t="shared" si="15"/>
        <v>[TIMES_SE] Powder atomisation</v>
      </c>
      <c r="L2822" s="131"/>
      <c r="M2822" s="48"/>
      <c r="N2822" s="123"/>
    </row>
    <row r="2823" spans="1:14" customFormat="1" x14ac:dyDescent="0.55000000000000004">
      <c r="A2823" s="111" t="s">
        <v>368</v>
      </c>
      <c r="B2823" t="s">
        <v>366</v>
      </c>
      <c r="C2823" t="s">
        <v>121</v>
      </c>
      <c r="D2823" t="s">
        <v>3288</v>
      </c>
      <c r="E2823" s="117">
        <v>1</v>
      </c>
      <c r="F2823" s="149" t="s">
        <v>135</v>
      </c>
      <c r="G2823" s="149">
        <v>1</v>
      </c>
      <c r="J2823" s="77" t="str">
        <f t="shared" si="15"/>
        <v>[TIMES_SE] Powder grinding</v>
      </c>
      <c r="L2823" s="131"/>
      <c r="M2823" s="48"/>
      <c r="N2823" s="123"/>
    </row>
    <row r="2824" spans="1:14" customFormat="1" x14ac:dyDescent="0.55000000000000004">
      <c r="A2824" s="111" t="s">
        <v>368</v>
      </c>
      <c r="B2824" t="s">
        <v>369</v>
      </c>
      <c r="C2824" s="21" t="s">
        <v>125</v>
      </c>
      <c r="D2824" t="s">
        <v>3288</v>
      </c>
      <c r="E2824" s="117">
        <v>1</v>
      </c>
      <c r="F2824" s="149" t="s">
        <v>135</v>
      </c>
      <c r="G2824" s="149" t="s">
        <v>135</v>
      </c>
      <c r="H2824" t="s">
        <v>39</v>
      </c>
      <c r="I2824" t="s">
        <v>367</v>
      </c>
      <c r="J2824" s="77" t="str">
        <f t="shared" si="15"/>
        <v>[TIMES_SE] Powder grinding</v>
      </c>
      <c r="L2824" s="131"/>
      <c r="M2824" s="48"/>
      <c r="N2824" s="123"/>
    </row>
    <row r="2825" spans="1:14" customFormat="1" x14ac:dyDescent="0.55000000000000004">
      <c r="A2825" s="111" t="s">
        <v>368</v>
      </c>
      <c r="B2825" t="s">
        <v>153</v>
      </c>
      <c r="C2825" t="s">
        <v>127</v>
      </c>
      <c r="D2825" t="s">
        <v>2994</v>
      </c>
      <c r="E2825" s="117">
        <v>0.05</v>
      </c>
      <c r="F2825" s="149" t="s">
        <v>138</v>
      </c>
      <c r="G2825" s="149" t="s">
        <v>135</v>
      </c>
      <c r="H2825" t="s">
        <v>39</v>
      </c>
      <c r="I2825" t="s">
        <v>367</v>
      </c>
      <c r="J2825" s="77" t="str">
        <f t="shared" si="15"/>
        <v>[TIMES_SE] Powder grinding</v>
      </c>
      <c r="L2825" s="131"/>
      <c r="M2825" s="48"/>
      <c r="N2825" s="123"/>
    </row>
    <row r="2826" spans="1:14" customFormat="1" x14ac:dyDescent="0.55000000000000004">
      <c r="A2826" s="111" t="s">
        <v>368</v>
      </c>
      <c r="B2826" t="s">
        <v>160</v>
      </c>
      <c r="C2826" t="s">
        <v>247</v>
      </c>
      <c r="D2826" t="s">
        <v>3288</v>
      </c>
      <c r="E2826" s="116">
        <v>0</v>
      </c>
      <c r="F2826" s="149" t="s">
        <v>135</v>
      </c>
      <c r="G2826" s="149" t="s">
        <v>135</v>
      </c>
      <c r="H2826" t="s">
        <v>39</v>
      </c>
      <c r="J2826" s="77" t="str">
        <f t="shared" si="15"/>
        <v>[TIMES_SE] Powder grinding</v>
      </c>
      <c r="L2826" s="131"/>
      <c r="M2826" s="48"/>
      <c r="N2826" s="123"/>
    </row>
    <row r="2827" spans="1:14" customFormat="1" x14ac:dyDescent="0.55000000000000004">
      <c r="A2827" s="108" t="s">
        <v>209</v>
      </c>
      <c r="B2827" s="68" t="s">
        <v>210</v>
      </c>
      <c r="C2827" s="68" t="s">
        <v>121</v>
      </c>
      <c r="D2827" s="68" t="s">
        <v>3288</v>
      </c>
      <c r="E2827" s="120">
        <v>1</v>
      </c>
      <c r="F2827" s="151" t="s">
        <v>135</v>
      </c>
      <c r="G2827" s="151">
        <v>1</v>
      </c>
      <c r="H2827" s="68" t="s">
        <v>39</v>
      </c>
      <c r="I2827" t="s">
        <v>1249</v>
      </c>
      <c r="J2827" s="74" t="str">
        <f t="shared" si="15"/>
        <v xml:space="preserve">[TIMES_SE] Recycled aluminium </v>
      </c>
      <c r="L2827" s="163"/>
      <c r="M2827" s="48"/>
      <c r="N2827" s="123"/>
    </row>
    <row r="2828" spans="1:14" customFormat="1" x14ac:dyDescent="0.55000000000000004">
      <c r="A2828" s="108" t="s">
        <v>209</v>
      </c>
      <c r="B2828" s="68" t="s">
        <v>211</v>
      </c>
      <c r="C2828" t="s">
        <v>125</v>
      </c>
      <c r="D2828" s="68" t="s">
        <v>3288</v>
      </c>
      <c r="E2828" s="120">
        <f>1/0.87</f>
        <v>1.1494252873563218</v>
      </c>
      <c r="F2828" s="151" t="s">
        <v>135</v>
      </c>
      <c r="G2828" s="151" t="s">
        <v>135</v>
      </c>
      <c r="H2828" s="68" t="s">
        <v>39</v>
      </c>
      <c r="I2828" t="s">
        <v>1250</v>
      </c>
      <c r="J2828" s="74" t="str">
        <f t="shared" si="15"/>
        <v xml:space="preserve">[TIMES_SE] Recycled aluminium </v>
      </c>
      <c r="L2828" s="163"/>
      <c r="M2828" s="48"/>
      <c r="N2828" s="123"/>
    </row>
    <row r="2829" spans="1:14" customFormat="1" x14ac:dyDescent="0.55000000000000004">
      <c r="A2829" s="108" t="s">
        <v>209</v>
      </c>
      <c r="B2829" s="68" t="s">
        <v>171</v>
      </c>
      <c r="C2829" s="68" t="s">
        <v>127</v>
      </c>
      <c r="D2829" s="68" t="s">
        <v>2994</v>
      </c>
      <c r="E2829" s="120">
        <v>2.34</v>
      </c>
      <c r="F2829" s="151" t="s">
        <v>138</v>
      </c>
      <c r="G2829" s="151" t="s">
        <v>135</v>
      </c>
      <c r="H2829" s="68" t="s">
        <v>39</v>
      </c>
      <c r="I2829" t="s">
        <v>1249</v>
      </c>
      <c r="J2829" s="74" t="str">
        <f t="shared" si="15"/>
        <v xml:space="preserve">[TIMES_SE] Recycled aluminium </v>
      </c>
      <c r="L2829" s="163"/>
      <c r="M2829" s="48"/>
      <c r="N2829" s="123"/>
    </row>
    <row r="2830" spans="1:14" customFormat="1" x14ac:dyDescent="0.55000000000000004">
      <c r="A2830" s="108" t="s">
        <v>209</v>
      </c>
      <c r="B2830" s="68" t="s">
        <v>153</v>
      </c>
      <c r="C2830" s="68" t="s">
        <v>127</v>
      </c>
      <c r="D2830" s="68" t="s">
        <v>2994</v>
      </c>
      <c r="E2830" s="120">
        <v>0.5</v>
      </c>
      <c r="F2830" s="151" t="s">
        <v>138</v>
      </c>
      <c r="G2830" s="151" t="s">
        <v>135</v>
      </c>
      <c r="H2830" s="68" t="s">
        <v>39</v>
      </c>
      <c r="I2830" t="s">
        <v>1249</v>
      </c>
      <c r="J2830" s="74" t="str">
        <f t="shared" si="15"/>
        <v xml:space="preserve">[TIMES_SE] Recycled aluminium </v>
      </c>
      <c r="L2830" s="163"/>
      <c r="M2830" s="48"/>
      <c r="N2830" s="123"/>
    </row>
    <row r="2831" spans="1:14" customFormat="1" x14ac:dyDescent="0.55000000000000004">
      <c r="A2831" s="108" t="s">
        <v>209</v>
      </c>
      <c r="B2831" t="s">
        <v>213</v>
      </c>
      <c r="C2831" t="s">
        <v>125</v>
      </c>
      <c r="D2831" t="s">
        <v>3289</v>
      </c>
      <c r="E2831" s="116">
        <v>88</v>
      </c>
      <c r="F2831" s="149" t="s">
        <v>133</v>
      </c>
      <c r="G2831" s="149" t="s">
        <v>135</v>
      </c>
      <c r="H2831" s="68" t="s">
        <v>39</v>
      </c>
      <c r="I2831" t="s">
        <v>1249</v>
      </c>
      <c r="J2831" s="74" t="str">
        <f t="shared" si="15"/>
        <v xml:space="preserve">[TIMES_SE] Recycled aluminium </v>
      </c>
      <c r="L2831" s="131"/>
      <c r="M2831" s="48"/>
      <c r="N2831" s="123"/>
    </row>
    <row r="2832" spans="1:14" customFormat="1" x14ac:dyDescent="0.55000000000000004">
      <c r="A2832" s="108" t="s">
        <v>209</v>
      </c>
      <c r="B2832" s="68" t="s">
        <v>160</v>
      </c>
      <c r="C2832" t="s">
        <v>247</v>
      </c>
      <c r="D2832" s="68" t="s">
        <v>3288</v>
      </c>
      <c r="E2832" s="119">
        <v>0.131274</v>
      </c>
      <c r="F2832" s="151" t="s">
        <v>135</v>
      </c>
      <c r="G2832" s="151" t="s">
        <v>135</v>
      </c>
      <c r="H2832" s="127" t="s">
        <v>376</v>
      </c>
      <c r="I2832" t="s">
        <v>1249</v>
      </c>
      <c r="J2832" s="74" t="str">
        <f t="shared" si="15"/>
        <v xml:space="preserve">[TIMES_SE] Recycled aluminium </v>
      </c>
      <c r="L2832" s="163"/>
      <c r="M2832" s="48"/>
      <c r="N2832" s="123"/>
    </row>
    <row r="2833" spans="1:14" customFormat="1" x14ac:dyDescent="0.55000000000000004">
      <c r="A2833" s="98" t="s">
        <v>204</v>
      </c>
      <c r="B2833" s="68" t="s">
        <v>205</v>
      </c>
      <c r="C2833" s="68" t="s">
        <v>121</v>
      </c>
      <c r="D2833" s="68" t="s">
        <v>3288</v>
      </c>
      <c r="E2833" s="120">
        <v>1</v>
      </c>
      <c r="F2833" s="151" t="s">
        <v>135</v>
      </c>
      <c r="G2833" s="151">
        <v>1</v>
      </c>
      <c r="H2833" s="68"/>
      <c r="J2833" s="74" t="str">
        <f t="shared" si="15"/>
        <v>[TIMES_SE] Recycled fiber pulping</v>
      </c>
      <c r="L2833" s="163"/>
      <c r="M2833" s="48"/>
      <c r="N2833" s="123"/>
    </row>
    <row r="2834" spans="1:14" customFormat="1" x14ac:dyDescent="0.55000000000000004">
      <c r="A2834" s="98" t="s">
        <v>204</v>
      </c>
      <c r="B2834" s="21" t="s">
        <v>206</v>
      </c>
      <c r="C2834" s="68" t="s">
        <v>207</v>
      </c>
      <c r="D2834" s="68" t="s">
        <v>3288</v>
      </c>
      <c r="E2834" s="120">
        <f>1/0.94</f>
        <v>1.0638297872340425</v>
      </c>
      <c r="F2834" s="151" t="s">
        <v>135</v>
      </c>
      <c r="G2834" s="151" t="s">
        <v>135</v>
      </c>
      <c r="H2834" s="68" t="s">
        <v>39</v>
      </c>
      <c r="I2834" t="s">
        <v>1243</v>
      </c>
      <c r="J2834" s="74" t="str">
        <f t="shared" si="15"/>
        <v>[TIMES_SE] Recycled fiber pulping</v>
      </c>
      <c r="L2834" s="163"/>
      <c r="M2834" s="48"/>
      <c r="N2834" s="123"/>
    </row>
    <row r="2835" spans="1:14" customFormat="1" x14ac:dyDescent="0.55000000000000004">
      <c r="A2835" s="98" t="s">
        <v>204</v>
      </c>
      <c r="B2835" s="68" t="s">
        <v>153</v>
      </c>
      <c r="C2835" s="68" t="s">
        <v>127</v>
      </c>
      <c r="D2835" s="68" t="s">
        <v>2994</v>
      </c>
      <c r="E2835" s="120">
        <v>0.8</v>
      </c>
      <c r="F2835" s="151" t="s">
        <v>138</v>
      </c>
      <c r="G2835" s="151" t="s">
        <v>135</v>
      </c>
      <c r="H2835" s="68" t="s">
        <v>39</v>
      </c>
      <c r="J2835" s="74" t="str">
        <f t="shared" si="15"/>
        <v>[TIMES_SE] Recycled fiber pulping</v>
      </c>
      <c r="L2835" s="163"/>
      <c r="M2835" s="48"/>
      <c r="N2835" s="123"/>
    </row>
    <row r="2836" spans="1:14" customFormat="1" x14ac:dyDescent="0.55000000000000004">
      <c r="A2836" s="98" t="s">
        <v>204</v>
      </c>
      <c r="B2836" s="21" t="s">
        <v>208</v>
      </c>
      <c r="C2836" s="68" t="s">
        <v>127</v>
      </c>
      <c r="D2836" s="68" t="s">
        <v>2994</v>
      </c>
      <c r="E2836" s="120">
        <v>0.35</v>
      </c>
      <c r="F2836" s="151" t="s">
        <v>138</v>
      </c>
      <c r="G2836" s="151" t="s">
        <v>135</v>
      </c>
      <c r="H2836" s="68" t="s">
        <v>39</v>
      </c>
      <c r="J2836" s="74" t="str">
        <f t="shared" si="15"/>
        <v>[TIMES_SE] Recycled fiber pulping</v>
      </c>
      <c r="L2836" s="163"/>
      <c r="M2836" s="48"/>
      <c r="N2836" s="123"/>
    </row>
    <row r="2837" spans="1:14" customFormat="1" x14ac:dyDescent="0.55000000000000004">
      <c r="A2837" s="98" t="s">
        <v>204</v>
      </c>
      <c r="B2837" s="68" t="s">
        <v>160</v>
      </c>
      <c r="C2837" t="s">
        <v>247</v>
      </c>
      <c r="D2837" s="68" t="s">
        <v>3288</v>
      </c>
      <c r="E2837" s="119">
        <v>1.8200000000000001E-2</v>
      </c>
      <c r="F2837" s="151" t="s">
        <v>135</v>
      </c>
      <c r="G2837" s="151" t="s">
        <v>135</v>
      </c>
      <c r="H2837" s="127" t="s">
        <v>373</v>
      </c>
      <c r="J2837" s="74" t="str">
        <f t="shared" si="15"/>
        <v>[TIMES_SE] Recycled fiber pulping</v>
      </c>
      <c r="L2837" s="163"/>
      <c r="M2837" s="48"/>
      <c r="N2837" s="123"/>
    </row>
    <row r="2838" spans="1:14" customFormat="1" x14ac:dyDescent="0.55000000000000004">
      <c r="A2838" s="92" t="s">
        <v>311</v>
      </c>
      <c r="B2838" t="s">
        <v>287</v>
      </c>
      <c r="C2838" t="s">
        <v>121</v>
      </c>
      <c r="D2838" t="s">
        <v>3288</v>
      </c>
      <c r="E2838" s="116">
        <v>1</v>
      </c>
      <c r="F2838" s="149" t="s">
        <v>135</v>
      </c>
      <c r="G2838" s="149">
        <v>1</v>
      </c>
      <c r="H2838" s="68"/>
      <c r="J2838" s="77" t="str">
        <f t="shared" si="15"/>
        <v>[TIMES_SE] Smelting furnace, advanced</v>
      </c>
      <c r="L2838" s="131"/>
      <c r="M2838" s="48"/>
      <c r="N2838" s="123"/>
    </row>
    <row r="2839" spans="1:14" customFormat="1" x14ac:dyDescent="0.55000000000000004">
      <c r="A2839" s="92" t="s">
        <v>311</v>
      </c>
      <c r="B2839" s="21" t="s">
        <v>196</v>
      </c>
      <c r="C2839" t="s">
        <v>156</v>
      </c>
      <c r="D2839" t="s">
        <v>3288</v>
      </c>
      <c r="E2839" s="116">
        <v>0.27500000000000002</v>
      </c>
      <c r="F2839" s="149" t="s">
        <v>135</v>
      </c>
      <c r="G2839" s="149" t="s">
        <v>135</v>
      </c>
      <c r="H2839" s="68" t="s">
        <v>39</v>
      </c>
      <c r="J2839" s="77" t="str">
        <f t="shared" si="15"/>
        <v>[TIMES_SE] Smelting furnace, advanced</v>
      </c>
      <c r="L2839" s="131"/>
      <c r="M2839" s="48"/>
      <c r="N2839" s="123"/>
    </row>
    <row r="2840" spans="1:14" customFormat="1" x14ac:dyDescent="0.55000000000000004">
      <c r="A2840" s="92" t="s">
        <v>311</v>
      </c>
      <c r="B2840" s="21" t="s">
        <v>308</v>
      </c>
      <c r="C2840" t="s">
        <v>156</v>
      </c>
      <c r="D2840" t="s">
        <v>2994</v>
      </c>
      <c r="E2840" s="116">
        <v>0.59</v>
      </c>
      <c r="F2840" s="149" t="s">
        <v>138</v>
      </c>
      <c r="G2840" s="149" t="s">
        <v>135</v>
      </c>
      <c r="H2840" s="68" t="s">
        <v>39</v>
      </c>
      <c r="J2840" s="77" t="str">
        <f t="shared" si="15"/>
        <v>[TIMES_SE] Smelting furnace, advanced</v>
      </c>
      <c r="L2840" s="131"/>
      <c r="M2840" s="48"/>
      <c r="N2840" s="123"/>
    </row>
    <row r="2841" spans="1:14" customFormat="1" x14ac:dyDescent="0.55000000000000004">
      <c r="A2841" s="92" t="s">
        <v>311</v>
      </c>
      <c r="B2841" t="s">
        <v>290</v>
      </c>
      <c r="C2841" s="21" t="s">
        <v>125</v>
      </c>
      <c r="D2841" t="s">
        <v>3288</v>
      </c>
      <c r="E2841" s="116">
        <f>1/0.6</f>
        <v>1.6666666666666667</v>
      </c>
      <c r="F2841" s="149" t="s">
        <v>135</v>
      </c>
      <c r="G2841" s="149" t="s">
        <v>135</v>
      </c>
      <c r="H2841" s="68" t="s">
        <v>39</v>
      </c>
      <c r="I2841" t="s">
        <v>292</v>
      </c>
      <c r="J2841" s="77" t="str">
        <f t="shared" si="15"/>
        <v>[TIMES_SE] Smelting furnace, advanced</v>
      </c>
      <c r="L2841" s="131"/>
      <c r="M2841" s="48"/>
      <c r="N2841" s="123"/>
    </row>
    <row r="2842" spans="1:14" customFormat="1" x14ac:dyDescent="0.55000000000000004">
      <c r="A2842" s="92" t="s">
        <v>311</v>
      </c>
      <c r="B2842" t="s">
        <v>262</v>
      </c>
      <c r="C2842" t="s">
        <v>294</v>
      </c>
      <c r="D2842" t="s">
        <v>2994</v>
      </c>
      <c r="E2842" s="116">
        <v>20.25</v>
      </c>
      <c r="F2842" s="149" t="s">
        <v>138</v>
      </c>
      <c r="G2842" s="149" t="s">
        <v>135</v>
      </c>
      <c r="H2842" s="68" t="s">
        <v>312</v>
      </c>
      <c r="I2842" t="s">
        <v>310</v>
      </c>
      <c r="J2842" s="77" t="str">
        <f t="shared" si="15"/>
        <v>[TIMES_SE] Smelting furnace, advanced</v>
      </c>
      <c r="L2842" s="131"/>
      <c r="M2842" s="48"/>
      <c r="N2842" s="123"/>
    </row>
    <row r="2843" spans="1:14" customFormat="1" x14ac:dyDescent="0.55000000000000004">
      <c r="A2843" s="92" t="s">
        <v>311</v>
      </c>
      <c r="B2843" t="s">
        <v>297</v>
      </c>
      <c r="C2843" t="s">
        <v>294</v>
      </c>
      <c r="D2843" t="s">
        <v>2994</v>
      </c>
      <c r="E2843" s="116">
        <v>0</v>
      </c>
      <c r="F2843" s="149" t="s">
        <v>138</v>
      </c>
      <c r="G2843" s="149" t="s">
        <v>135</v>
      </c>
      <c r="H2843" s="68" t="s">
        <v>312</v>
      </c>
      <c r="I2843" t="s">
        <v>310</v>
      </c>
      <c r="J2843" s="77" t="str">
        <f t="shared" si="15"/>
        <v>[TIMES_SE] Smelting furnace, advanced</v>
      </c>
      <c r="L2843" s="131"/>
      <c r="M2843" s="48"/>
      <c r="N2843" s="123"/>
    </row>
    <row r="2844" spans="1:14" customFormat="1" x14ac:dyDescent="0.55000000000000004">
      <c r="A2844" s="92" t="s">
        <v>311</v>
      </c>
      <c r="B2844" t="s">
        <v>213</v>
      </c>
      <c r="C2844" t="s">
        <v>125</v>
      </c>
      <c r="D2844" t="s">
        <v>3289</v>
      </c>
      <c r="E2844" s="116">
        <v>530</v>
      </c>
      <c r="F2844" s="149" t="s">
        <v>133</v>
      </c>
      <c r="G2844" s="149" t="s">
        <v>135</v>
      </c>
      <c r="H2844" s="68" t="s">
        <v>39</v>
      </c>
      <c r="J2844" s="77" t="str">
        <f t="shared" si="15"/>
        <v>[TIMES_SE] Smelting furnace, advanced</v>
      </c>
      <c r="L2844" s="131"/>
      <c r="M2844" s="48"/>
      <c r="N2844" s="123"/>
    </row>
    <row r="2845" spans="1:14" customFormat="1" x14ac:dyDescent="0.55000000000000004">
      <c r="A2845" s="92" t="s">
        <v>311</v>
      </c>
      <c r="B2845" t="s">
        <v>131</v>
      </c>
      <c r="C2845" t="s">
        <v>125</v>
      </c>
      <c r="D2845" t="s">
        <v>3288</v>
      </c>
      <c r="E2845" s="116">
        <v>0.22</v>
      </c>
      <c r="F2845" s="149" t="s">
        <v>135</v>
      </c>
      <c r="G2845" s="149" t="s">
        <v>135</v>
      </c>
      <c r="H2845" s="68" t="s">
        <v>39</v>
      </c>
      <c r="J2845" s="77" t="str">
        <f t="shared" si="15"/>
        <v>[TIMES_SE] Smelting furnace, advanced</v>
      </c>
      <c r="L2845" s="131"/>
      <c r="M2845" s="48"/>
      <c r="N2845" s="123"/>
    </row>
    <row r="2846" spans="1:14" customFormat="1" x14ac:dyDescent="0.55000000000000004">
      <c r="A2846" s="92" t="s">
        <v>311</v>
      </c>
      <c r="B2846" t="s">
        <v>153</v>
      </c>
      <c r="C2846" t="s">
        <v>127</v>
      </c>
      <c r="D2846" t="s">
        <v>2994</v>
      </c>
      <c r="E2846" s="116">
        <v>0.15</v>
      </c>
      <c r="F2846" s="149" t="s">
        <v>138</v>
      </c>
      <c r="G2846" s="149" t="s">
        <v>135</v>
      </c>
      <c r="H2846" s="68" t="s">
        <v>39</v>
      </c>
      <c r="J2846" s="77" t="str">
        <f t="shared" si="15"/>
        <v>[TIMES_SE] Smelting furnace, advanced</v>
      </c>
      <c r="L2846" s="131"/>
      <c r="M2846" s="48"/>
      <c r="N2846" s="123"/>
    </row>
    <row r="2847" spans="1:14" customFormat="1" x14ac:dyDescent="0.55000000000000004">
      <c r="A2847" s="92" t="s">
        <v>311</v>
      </c>
      <c r="B2847" t="s">
        <v>160</v>
      </c>
      <c r="C2847" t="s">
        <v>247</v>
      </c>
      <c r="D2847" t="s">
        <v>3288</v>
      </c>
      <c r="E2847" s="119">
        <v>1.9844999999999999</v>
      </c>
      <c r="F2847" s="149" t="s">
        <v>135</v>
      </c>
      <c r="G2847" s="149" t="s">
        <v>135</v>
      </c>
      <c r="H2847" s="68" t="s">
        <v>413</v>
      </c>
      <c r="I2847" t="s">
        <v>2059</v>
      </c>
      <c r="J2847" s="77" t="str">
        <f t="shared" si="15"/>
        <v>[TIMES_SE] Smelting furnace, advanced</v>
      </c>
      <c r="L2847" s="160"/>
      <c r="M2847" s="48"/>
      <c r="N2847" s="123"/>
    </row>
    <row r="2848" spans="1:14" customFormat="1" x14ac:dyDescent="0.55000000000000004">
      <c r="A2848" s="92" t="s">
        <v>313</v>
      </c>
      <c r="B2848" t="s">
        <v>287</v>
      </c>
      <c r="C2848" t="s">
        <v>121</v>
      </c>
      <c r="D2848" t="s">
        <v>3288</v>
      </c>
      <c r="E2848" s="116">
        <v>1</v>
      </c>
      <c r="F2848" s="149" t="s">
        <v>135</v>
      </c>
      <c r="G2848" s="149">
        <v>1</v>
      </c>
      <c r="H2848" s="68"/>
      <c r="J2848" s="77" t="str">
        <f t="shared" si="15"/>
        <v>[TIMES_SE] Smelting furnace, advanced w. CCS</v>
      </c>
      <c r="L2848" s="131"/>
      <c r="M2848" s="48"/>
      <c r="N2848" s="123"/>
    </row>
    <row r="2849" spans="1:14" customFormat="1" x14ac:dyDescent="0.55000000000000004">
      <c r="A2849" s="92" t="s">
        <v>313</v>
      </c>
      <c r="B2849" s="21" t="s">
        <v>196</v>
      </c>
      <c r="C2849" t="s">
        <v>156</v>
      </c>
      <c r="D2849" t="s">
        <v>3288</v>
      </c>
      <c r="E2849" s="116">
        <v>0.27500000000000002</v>
      </c>
      <c r="F2849" s="149" t="s">
        <v>135</v>
      </c>
      <c r="G2849" s="149" t="s">
        <v>135</v>
      </c>
      <c r="H2849" s="68" t="s">
        <v>39</v>
      </c>
      <c r="J2849" s="77" t="str">
        <f t="shared" si="15"/>
        <v>[TIMES_SE] Smelting furnace, advanced w. CCS</v>
      </c>
      <c r="L2849" s="131"/>
      <c r="M2849" s="48"/>
      <c r="N2849" s="123"/>
    </row>
    <row r="2850" spans="1:14" customFormat="1" x14ac:dyDescent="0.55000000000000004">
      <c r="A2850" s="92" t="s">
        <v>313</v>
      </c>
      <c r="B2850" s="21" t="s">
        <v>308</v>
      </c>
      <c r="C2850" t="s">
        <v>156</v>
      </c>
      <c r="D2850" t="s">
        <v>2994</v>
      </c>
      <c r="E2850" s="116">
        <v>0.59</v>
      </c>
      <c r="F2850" s="149" t="s">
        <v>138</v>
      </c>
      <c r="G2850" s="149" t="s">
        <v>135</v>
      </c>
      <c r="H2850" s="68" t="s">
        <v>39</v>
      </c>
      <c r="J2850" s="77" t="str">
        <f t="shared" si="15"/>
        <v>[TIMES_SE] Smelting furnace, advanced w. CCS</v>
      </c>
      <c r="L2850" s="131"/>
      <c r="M2850" s="48"/>
      <c r="N2850" s="123"/>
    </row>
    <row r="2851" spans="1:14" customFormat="1" x14ac:dyDescent="0.55000000000000004">
      <c r="A2851" s="92" t="s">
        <v>313</v>
      </c>
      <c r="B2851" t="s">
        <v>290</v>
      </c>
      <c r="C2851" s="21" t="s">
        <v>125</v>
      </c>
      <c r="D2851" t="s">
        <v>3288</v>
      </c>
      <c r="E2851" s="116">
        <f>1/0.6</f>
        <v>1.6666666666666667</v>
      </c>
      <c r="F2851" s="149" t="s">
        <v>135</v>
      </c>
      <c r="G2851" s="149" t="s">
        <v>135</v>
      </c>
      <c r="H2851" s="68" t="s">
        <v>39</v>
      </c>
      <c r="I2851" t="s">
        <v>292</v>
      </c>
      <c r="J2851" s="77" t="str">
        <f t="shared" si="15"/>
        <v>[TIMES_SE] Smelting furnace, advanced w. CCS</v>
      </c>
      <c r="L2851" s="131"/>
      <c r="M2851" s="48"/>
      <c r="N2851" s="123"/>
    </row>
    <row r="2852" spans="1:14" customFormat="1" x14ac:dyDescent="0.55000000000000004">
      <c r="A2852" s="92" t="s">
        <v>313</v>
      </c>
      <c r="B2852" t="s">
        <v>262</v>
      </c>
      <c r="C2852" t="s">
        <v>294</v>
      </c>
      <c r="D2852" t="s">
        <v>2994</v>
      </c>
      <c r="E2852" s="116">
        <v>20.25</v>
      </c>
      <c r="F2852" s="149" t="s">
        <v>138</v>
      </c>
      <c r="G2852" s="149" t="s">
        <v>135</v>
      </c>
      <c r="H2852" s="68" t="s">
        <v>312</v>
      </c>
      <c r="I2852" t="s">
        <v>310</v>
      </c>
      <c r="J2852" s="77" t="str">
        <f t="shared" si="15"/>
        <v>[TIMES_SE] Smelting furnace, advanced w. CCS</v>
      </c>
      <c r="L2852" s="131"/>
      <c r="M2852" s="48"/>
      <c r="N2852" s="123"/>
    </row>
    <row r="2853" spans="1:14" customFormat="1" x14ac:dyDescent="0.55000000000000004">
      <c r="A2853" s="92" t="s">
        <v>313</v>
      </c>
      <c r="B2853" t="s">
        <v>297</v>
      </c>
      <c r="C2853" t="s">
        <v>294</v>
      </c>
      <c r="D2853" t="s">
        <v>2994</v>
      </c>
      <c r="E2853" s="116">
        <v>0</v>
      </c>
      <c r="F2853" s="149" t="s">
        <v>138</v>
      </c>
      <c r="G2853" s="149" t="s">
        <v>135</v>
      </c>
      <c r="H2853" s="68" t="s">
        <v>312</v>
      </c>
      <c r="I2853" t="s">
        <v>310</v>
      </c>
      <c r="J2853" s="77" t="str">
        <f t="shared" si="15"/>
        <v>[TIMES_SE] Smelting furnace, advanced w. CCS</v>
      </c>
      <c r="L2853" s="131"/>
      <c r="M2853" s="48"/>
      <c r="N2853" s="123"/>
    </row>
    <row r="2854" spans="1:14" customFormat="1" x14ac:dyDescent="0.55000000000000004">
      <c r="A2854" s="92" t="s">
        <v>313</v>
      </c>
      <c r="B2854" t="s">
        <v>213</v>
      </c>
      <c r="C2854" t="s">
        <v>125</v>
      </c>
      <c r="D2854" t="s">
        <v>3289</v>
      </c>
      <c r="E2854" s="116">
        <v>530</v>
      </c>
      <c r="F2854" s="149" t="s">
        <v>133</v>
      </c>
      <c r="G2854" s="149" t="s">
        <v>135</v>
      </c>
      <c r="H2854" s="68" t="s">
        <v>39</v>
      </c>
      <c r="J2854" s="77" t="str">
        <f t="shared" si="15"/>
        <v>[TIMES_SE] Smelting furnace, advanced w. CCS</v>
      </c>
      <c r="L2854" s="131"/>
      <c r="M2854" s="48"/>
      <c r="N2854" s="123"/>
    </row>
    <row r="2855" spans="1:14" customFormat="1" x14ac:dyDescent="0.55000000000000004">
      <c r="A2855" s="92" t="s">
        <v>313</v>
      </c>
      <c r="B2855" t="s">
        <v>131</v>
      </c>
      <c r="C2855" t="s">
        <v>125</v>
      </c>
      <c r="D2855" t="s">
        <v>3288</v>
      </c>
      <c r="E2855" s="116">
        <v>0.22</v>
      </c>
      <c r="F2855" s="149" t="s">
        <v>135</v>
      </c>
      <c r="G2855" s="149" t="s">
        <v>135</v>
      </c>
      <c r="H2855" s="68" t="s">
        <v>39</v>
      </c>
      <c r="J2855" s="77" t="str">
        <f t="shared" si="15"/>
        <v>[TIMES_SE] Smelting furnace, advanced w. CCS</v>
      </c>
      <c r="L2855" s="131"/>
      <c r="M2855" s="48"/>
      <c r="N2855" s="123"/>
    </row>
    <row r="2856" spans="1:14" customFormat="1" x14ac:dyDescent="0.55000000000000004">
      <c r="A2856" s="92" t="s">
        <v>313</v>
      </c>
      <c r="B2856" t="s">
        <v>153</v>
      </c>
      <c r="C2856" t="s">
        <v>127</v>
      </c>
      <c r="D2856" t="s">
        <v>2994</v>
      </c>
      <c r="E2856" s="116">
        <v>1.726</v>
      </c>
      <c r="F2856" s="149" t="s">
        <v>138</v>
      </c>
      <c r="G2856" s="149" t="s">
        <v>135</v>
      </c>
      <c r="H2856" s="68" t="s">
        <v>39</v>
      </c>
      <c r="J2856" s="77" t="str">
        <f t="shared" si="15"/>
        <v>[TIMES_SE] Smelting furnace, advanced w. CCS</v>
      </c>
      <c r="L2856" s="131"/>
      <c r="M2856" s="48"/>
      <c r="N2856" s="123"/>
    </row>
    <row r="2857" spans="1:14" customFormat="1" x14ac:dyDescent="0.55000000000000004">
      <c r="A2857" s="92" t="s">
        <v>313</v>
      </c>
      <c r="B2857" t="s">
        <v>160</v>
      </c>
      <c r="C2857" t="s">
        <v>247</v>
      </c>
      <c r="D2857" t="s">
        <v>3288</v>
      </c>
      <c r="E2857" s="119">
        <f>1.9845*(1-0.9)</f>
        <v>0.19844999999999996</v>
      </c>
      <c r="F2857" s="149" t="s">
        <v>135</v>
      </c>
      <c r="G2857" s="149" t="s">
        <v>135</v>
      </c>
      <c r="H2857" s="68" t="s">
        <v>413</v>
      </c>
      <c r="I2857" t="s">
        <v>2060</v>
      </c>
      <c r="J2857" s="77" t="str">
        <f t="shared" ref="J2857:J2916" si="16">A2857</f>
        <v>[TIMES_SE] Smelting furnace, advanced w. CCS</v>
      </c>
      <c r="L2857" s="160"/>
      <c r="M2857" s="48"/>
      <c r="N2857" s="123"/>
    </row>
    <row r="2858" spans="1:14" customFormat="1" x14ac:dyDescent="0.55000000000000004">
      <c r="A2858" s="92" t="s">
        <v>313</v>
      </c>
      <c r="B2858" t="s">
        <v>160</v>
      </c>
      <c r="C2858" t="s">
        <v>156</v>
      </c>
      <c r="D2858" t="s">
        <v>3288</v>
      </c>
      <c r="E2858" s="119">
        <f>1.9845*(0.9)</f>
        <v>1.7860499999999999</v>
      </c>
      <c r="F2858" s="149" t="s">
        <v>135</v>
      </c>
      <c r="G2858" s="149" t="s">
        <v>135</v>
      </c>
      <c r="H2858" s="68" t="s">
        <v>413</v>
      </c>
      <c r="I2858" t="s">
        <v>2060</v>
      </c>
      <c r="J2858" s="77" t="str">
        <f t="shared" si="16"/>
        <v>[TIMES_SE] Smelting furnace, advanced w. CCS</v>
      </c>
      <c r="L2858" s="160"/>
      <c r="M2858" s="48"/>
      <c r="N2858" s="123"/>
    </row>
    <row r="2859" spans="1:14" customFormat="1" x14ac:dyDescent="0.55000000000000004">
      <c r="A2859" s="92" t="s">
        <v>307</v>
      </c>
      <c r="B2859" t="s">
        <v>287</v>
      </c>
      <c r="C2859" t="s">
        <v>121</v>
      </c>
      <c r="D2859" t="s">
        <v>3288</v>
      </c>
      <c r="E2859" s="116">
        <v>1</v>
      </c>
      <c r="F2859" s="149" t="s">
        <v>135</v>
      </c>
      <c r="G2859" s="149">
        <v>1</v>
      </c>
      <c r="H2859" s="68"/>
      <c r="J2859" s="77" t="str">
        <f t="shared" si="16"/>
        <v>[TIMES_SE] Smelting furnace, conventional</v>
      </c>
      <c r="L2859" s="131"/>
      <c r="M2859" s="48"/>
      <c r="N2859" s="123"/>
    </row>
    <row r="2860" spans="1:14" customFormat="1" x14ac:dyDescent="0.55000000000000004">
      <c r="A2860" s="92" t="s">
        <v>307</v>
      </c>
      <c r="B2860" s="21" t="s">
        <v>196</v>
      </c>
      <c r="C2860" t="s">
        <v>156</v>
      </c>
      <c r="D2860" t="s">
        <v>3288</v>
      </c>
      <c r="E2860" s="116">
        <v>0.35</v>
      </c>
      <c r="F2860" s="149" t="s">
        <v>135</v>
      </c>
      <c r="G2860" s="149" t="s">
        <v>135</v>
      </c>
      <c r="H2860" s="68" t="s">
        <v>39</v>
      </c>
      <c r="J2860" s="77" t="str">
        <f t="shared" si="16"/>
        <v>[TIMES_SE] Smelting furnace, conventional</v>
      </c>
      <c r="L2860" s="131"/>
      <c r="M2860" s="48"/>
      <c r="N2860" s="123"/>
    </row>
    <row r="2861" spans="1:14" customFormat="1" x14ac:dyDescent="0.55000000000000004">
      <c r="A2861" s="92" t="s">
        <v>307</v>
      </c>
      <c r="B2861" s="21" t="s">
        <v>308</v>
      </c>
      <c r="C2861" t="s">
        <v>156</v>
      </c>
      <c r="D2861" t="s">
        <v>2994</v>
      </c>
      <c r="E2861" s="116">
        <v>13.25</v>
      </c>
      <c r="F2861" s="149" t="s">
        <v>138</v>
      </c>
      <c r="G2861" s="149" t="s">
        <v>135</v>
      </c>
      <c r="H2861" s="68" t="s">
        <v>39</v>
      </c>
      <c r="J2861" s="77" t="str">
        <f t="shared" si="16"/>
        <v>[TIMES_SE] Smelting furnace, conventional</v>
      </c>
      <c r="L2861" s="131"/>
      <c r="M2861" s="48"/>
      <c r="N2861" s="123"/>
    </row>
    <row r="2862" spans="1:14" customFormat="1" x14ac:dyDescent="0.55000000000000004">
      <c r="A2862" s="92" t="s">
        <v>307</v>
      </c>
      <c r="B2862" t="s">
        <v>290</v>
      </c>
      <c r="C2862" s="21" t="s">
        <v>125</v>
      </c>
      <c r="D2862" t="s">
        <v>3288</v>
      </c>
      <c r="E2862" s="116">
        <f>1/0.6</f>
        <v>1.6666666666666667</v>
      </c>
      <c r="F2862" s="149" t="s">
        <v>135</v>
      </c>
      <c r="G2862" s="149" t="s">
        <v>135</v>
      </c>
      <c r="H2862" s="68" t="s">
        <v>39</v>
      </c>
      <c r="I2862" t="s">
        <v>292</v>
      </c>
      <c r="J2862" s="77" t="str">
        <f t="shared" si="16"/>
        <v>[TIMES_SE] Smelting furnace, conventional</v>
      </c>
      <c r="L2862" s="131"/>
      <c r="M2862" s="48"/>
      <c r="N2862" s="123"/>
    </row>
    <row r="2863" spans="1:14" customFormat="1" x14ac:dyDescent="0.55000000000000004">
      <c r="A2863" s="92" t="s">
        <v>307</v>
      </c>
      <c r="B2863" t="s">
        <v>262</v>
      </c>
      <c r="C2863" t="s">
        <v>294</v>
      </c>
      <c r="D2863" t="s">
        <v>2994</v>
      </c>
      <c r="E2863" s="116">
        <v>29.64</v>
      </c>
      <c r="F2863" s="149" t="s">
        <v>138</v>
      </c>
      <c r="G2863" s="149" t="s">
        <v>135</v>
      </c>
      <c r="H2863" s="68" t="s">
        <v>309</v>
      </c>
      <c r="I2863" t="s">
        <v>310</v>
      </c>
      <c r="J2863" s="77" t="str">
        <f t="shared" si="16"/>
        <v>[TIMES_SE] Smelting furnace, conventional</v>
      </c>
      <c r="L2863" s="131"/>
      <c r="M2863" s="48"/>
      <c r="N2863" s="123"/>
    </row>
    <row r="2864" spans="1:14" customFormat="1" x14ac:dyDescent="0.55000000000000004">
      <c r="A2864" s="92" t="s">
        <v>307</v>
      </c>
      <c r="B2864" t="s">
        <v>297</v>
      </c>
      <c r="C2864" t="s">
        <v>294</v>
      </c>
      <c r="D2864" t="s">
        <v>2994</v>
      </c>
      <c r="E2864" s="116">
        <v>0</v>
      </c>
      <c r="F2864" s="149" t="s">
        <v>138</v>
      </c>
      <c r="G2864" s="149" t="s">
        <v>135</v>
      </c>
      <c r="H2864" s="68" t="s">
        <v>309</v>
      </c>
      <c r="I2864" t="s">
        <v>310</v>
      </c>
      <c r="J2864" s="77" t="str">
        <f t="shared" si="16"/>
        <v>[TIMES_SE] Smelting furnace, conventional</v>
      </c>
      <c r="L2864" s="131"/>
      <c r="M2864" s="48"/>
      <c r="N2864" s="123"/>
    </row>
    <row r="2865" spans="1:14" customFormat="1" x14ac:dyDescent="0.55000000000000004">
      <c r="A2865" s="92" t="s">
        <v>307</v>
      </c>
      <c r="B2865" t="s">
        <v>213</v>
      </c>
      <c r="C2865" t="s">
        <v>125</v>
      </c>
      <c r="D2865" t="s">
        <v>3289</v>
      </c>
      <c r="E2865" s="116">
        <v>506</v>
      </c>
      <c r="F2865" s="149" t="s">
        <v>133</v>
      </c>
      <c r="G2865" s="149" t="s">
        <v>135</v>
      </c>
      <c r="H2865" s="68" t="s">
        <v>39</v>
      </c>
      <c r="J2865" s="77" t="str">
        <f t="shared" si="16"/>
        <v>[TIMES_SE] Smelting furnace, conventional</v>
      </c>
      <c r="L2865" s="131"/>
      <c r="M2865" s="48"/>
      <c r="N2865" s="123"/>
    </row>
    <row r="2866" spans="1:14" customFormat="1" x14ac:dyDescent="0.55000000000000004">
      <c r="A2866" s="92" t="s">
        <v>307</v>
      </c>
      <c r="B2866" t="s">
        <v>131</v>
      </c>
      <c r="C2866" t="s">
        <v>125</v>
      </c>
      <c r="D2866" t="s">
        <v>3288</v>
      </c>
      <c r="E2866" s="116">
        <v>0.28000000000000003</v>
      </c>
      <c r="F2866" s="149" t="s">
        <v>135</v>
      </c>
      <c r="G2866" s="149" t="s">
        <v>135</v>
      </c>
      <c r="H2866" s="68" t="s">
        <v>39</v>
      </c>
      <c r="J2866" s="77" t="str">
        <f t="shared" si="16"/>
        <v>[TIMES_SE] Smelting furnace, conventional</v>
      </c>
      <c r="L2866" s="131"/>
      <c r="M2866" s="48"/>
      <c r="N2866" s="123"/>
    </row>
    <row r="2867" spans="1:14" customFormat="1" x14ac:dyDescent="0.55000000000000004">
      <c r="A2867" s="92" t="s">
        <v>307</v>
      </c>
      <c r="B2867" t="s">
        <v>153</v>
      </c>
      <c r="C2867" t="s">
        <v>127</v>
      </c>
      <c r="D2867" t="s">
        <v>2994</v>
      </c>
      <c r="E2867" s="116">
        <v>0.15</v>
      </c>
      <c r="F2867" s="149" t="s">
        <v>138</v>
      </c>
      <c r="G2867" s="149" t="s">
        <v>135</v>
      </c>
      <c r="H2867" s="68" t="s">
        <v>39</v>
      </c>
      <c r="J2867" s="77" t="str">
        <f t="shared" si="16"/>
        <v>[TIMES_SE] Smelting furnace, conventional</v>
      </c>
      <c r="L2867" s="131"/>
      <c r="M2867" s="48"/>
      <c r="N2867" s="123"/>
    </row>
    <row r="2868" spans="1:14" customFormat="1" x14ac:dyDescent="0.55000000000000004">
      <c r="A2868" s="92" t="s">
        <v>307</v>
      </c>
      <c r="B2868" t="s">
        <v>160</v>
      </c>
      <c r="C2868" t="s">
        <v>247</v>
      </c>
      <c r="D2868" t="s">
        <v>3288</v>
      </c>
      <c r="E2868" s="119">
        <v>2.9047200000000002</v>
      </c>
      <c r="F2868" s="149" t="s">
        <v>135</v>
      </c>
      <c r="G2868" s="149" t="s">
        <v>135</v>
      </c>
      <c r="H2868" s="68" t="s">
        <v>413</v>
      </c>
      <c r="I2868" t="s">
        <v>2058</v>
      </c>
      <c r="J2868" s="77" t="str">
        <f t="shared" si="16"/>
        <v>[TIMES_SE] Smelting furnace, conventional</v>
      </c>
      <c r="L2868" s="160"/>
      <c r="M2868" s="48"/>
      <c r="N2868" s="123"/>
    </row>
    <row r="2869" spans="1:14" customFormat="1" x14ac:dyDescent="0.55000000000000004">
      <c r="A2869" s="111" t="s">
        <v>303</v>
      </c>
      <c r="B2869" t="s">
        <v>287</v>
      </c>
      <c r="C2869" t="s">
        <v>121</v>
      </c>
      <c r="D2869" t="s">
        <v>3288</v>
      </c>
      <c r="E2869" s="116">
        <v>1</v>
      </c>
      <c r="F2869" s="149" t="s">
        <v>135</v>
      </c>
      <c r="G2869" s="149">
        <v>1</v>
      </c>
      <c r="H2869" s="68"/>
      <c r="J2869" s="77" t="str">
        <f t="shared" si="16"/>
        <v>[TIMES_SE] Top gas recycling blast furnace</v>
      </c>
      <c r="L2869" s="131"/>
      <c r="M2869" s="48"/>
      <c r="N2869" s="123"/>
    </row>
    <row r="2870" spans="1:14" customFormat="1" x14ac:dyDescent="0.55000000000000004">
      <c r="A2870" s="111" t="s">
        <v>303</v>
      </c>
      <c r="B2870" s="21" t="s">
        <v>288</v>
      </c>
      <c r="C2870" t="s">
        <v>156</v>
      </c>
      <c r="D2870" t="s">
        <v>3288</v>
      </c>
      <c r="E2870" s="116">
        <v>0.28000000000000003</v>
      </c>
      <c r="F2870" s="149" t="s">
        <v>135</v>
      </c>
      <c r="G2870" s="149" t="s">
        <v>135</v>
      </c>
      <c r="H2870" s="68" t="s">
        <v>39</v>
      </c>
      <c r="J2870" s="77" t="str">
        <f t="shared" si="16"/>
        <v>[TIMES_SE] Top gas recycling blast furnace</v>
      </c>
      <c r="L2870" s="131"/>
      <c r="M2870" s="48"/>
      <c r="N2870" s="123"/>
    </row>
    <row r="2871" spans="1:14" customFormat="1" x14ac:dyDescent="0.55000000000000004">
      <c r="A2871" s="111" t="s">
        <v>303</v>
      </c>
      <c r="B2871" s="21" t="s">
        <v>289</v>
      </c>
      <c r="C2871" t="s">
        <v>156</v>
      </c>
      <c r="D2871" t="s">
        <v>2994</v>
      </c>
      <c r="E2871" s="116">
        <f>1.69+0.59</f>
        <v>2.2799999999999998</v>
      </c>
      <c r="F2871" s="149" t="s">
        <v>138</v>
      </c>
      <c r="G2871" s="149" t="s">
        <v>135</v>
      </c>
      <c r="H2871" s="68" t="s">
        <v>39</v>
      </c>
      <c r="J2871" s="77" t="str">
        <f t="shared" si="16"/>
        <v>[TIMES_SE] Top gas recycling blast furnace</v>
      </c>
      <c r="L2871" s="131"/>
      <c r="M2871" s="48"/>
      <c r="N2871" s="123"/>
    </row>
    <row r="2872" spans="1:14" customFormat="1" x14ac:dyDescent="0.55000000000000004">
      <c r="A2872" s="111" t="s">
        <v>303</v>
      </c>
      <c r="B2872" t="s">
        <v>290</v>
      </c>
      <c r="C2872" s="21" t="s">
        <v>125</v>
      </c>
      <c r="D2872" t="s">
        <v>3288</v>
      </c>
      <c r="E2872" s="116">
        <f>1/0.6</f>
        <v>1.6666666666666667</v>
      </c>
      <c r="F2872" s="149" t="s">
        <v>135</v>
      </c>
      <c r="G2872" s="149" t="s">
        <v>135</v>
      </c>
      <c r="H2872" s="68" t="s">
        <v>39</v>
      </c>
      <c r="I2872" t="s">
        <v>292</v>
      </c>
      <c r="J2872" s="77" t="str">
        <f t="shared" si="16"/>
        <v>[TIMES_SE] Top gas recycling blast furnace</v>
      </c>
      <c r="L2872" s="131"/>
      <c r="M2872" s="48"/>
      <c r="N2872" s="123"/>
    </row>
    <row r="2873" spans="1:14" customFormat="1" x14ac:dyDescent="0.55000000000000004">
      <c r="A2873" s="111" t="s">
        <v>303</v>
      </c>
      <c r="B2873" t="s">
        <v>293</v>
      </c>
      <c r="C2873" t="s">
        <v>294</v>
      </c>
      <c r="D2873" t="s">
        <v>2994</v>
      </c>
      <c r="E2873" s="116">
        <v>12.4</v>
      </c>
      <c r="F2873" s="149" t="s">
        <v>138</v>
      </c>
      <c r="G2873" s="149" t="s">
        <v>135</v>
      </c>
      <c r="H2873" s="68" t="s">
        <v>301</v>
      </c>
      <c r="I2873" t="s">
        <v>295</v>
      </c>
      <c r="J2873" s="77" t="str">
        <f t="shared" si="16"/>
        <v>[TIMES_SE] Top gas recycling blast furnace</v>
      </c>
      <c r="L2873" s="131"/>
      <c r="M2873" s="48"/>
      <c r="N2873" s="123"/>
    </row>
    <row r="2874" spans="1:14" customFormat="1" x14ac:dyDescent="0.55000000000000004">
      <c r="A2874" s="111" t="s">
        <v>303</v>
      </c>
      <c r="B2874" t="s">
        <v>262</v>
      </c>
      <c r="C2874" t="s">
        <v>294</v>
      </c>
      <c r="D2874" t="s">
        <v>2994</v>
      </c>
      <c r="E2874" s="116">
        <v>0</v>
      </c>
      <c r="F2874" s="149" t="s">
        <v>138</v>
      </c>
      <c r="G2874" s="149" t="s">
        <v>135</v>
      </c>
      <c r="H2874" s="68" t="s">
        <v>304</v>
      </c>
      <c r="I2874" t="s">
        <v>295</v>
      </c>
      <c r="J2874" s="77" t="str">
        <f t="shared" si="16"/>
        <v>[TIMES_SE] Top gas recycling blast furnace</v>
      </c>
      <c r="L2874" s="131"/>
      <c r="M2874" s="48"/>
      <c r="N2874" s="123"/>
    </row>
    <row r="2875" spans="1:14" customFormat="1" x14ac:dyDescent="0.55000000000000004">
      <c r="A2875" s="111" t="s">
        <v>303</v>
      </c>
      <c r="B2875" t="s">
        <v>297</v>
      </c>
      <c r="C2875" t="s">
        <v>294</v>
      </c>
      <c r="D2875" t="s">
        <v>2994</v>
      </c>
      <c r="E2875" s="116">
        <v>0</v>
      </c>
      <c r="F2875" s="149" t="s">
        <v>138</v>
      </c>
      <c r="G2875" s="149" t="s">
        <v>135</v>
      </c>
      <c r="H2875" s="68" t="s">
        <v>304</v>
      </c>
      <c r="I2875" t="s">
        <v>295</v>
      </c>
      <c r="J2875" s="77" t="str">
        <f t="shared" si="16"/>
        <v>[TIMES_SE] Top gas recycling blast furnace</v>
      </c>
      <c r="L2875" s="131"/>
      <c r="M2875" s="48"/>
      <c r="N2875" s="123"/>
    </row>
    <row r="2876" spans="1:14" customFormat="1" x14ac:dyDescent="0.55000000000000004">
      <c r="A2876" s="111" t="s">
        <v>303</v>
      </c>
      <c r="B2876" t="s">
        <v>213</v>
      </c>
      <c r="C2876" t="s">
        <v>125</v>
      </c>
      <c r="D2876" t="s">
        <v>3289</v>
      </c>
      <c r="E2876" s="116">
        <v>253</v>
      </c>
      <c r="F2876" s="149" t="s">
        <v>133</v>
      </c>
      <c r="G2876" s="149" t="s">
        <v>135</v>
      </c>
      <c r="H2876" s="68" t="s">
        <v>39</v>
      </c>
      <c r="J2876" s="77" t="str">
        <f t="shared" si="16"/>
        <v>[TIMES_SE] Top gas recycling blast furnace</v>
      </c>
      <c r="L2876" s="131"/>
      <c r="M2876" s="48"/>
      <c r="N2876" s="123"/>
    </row>
    <row r="2877" spans="1:14" customFormat="1" x14ac:dyDescent="0.55000000000000004">
      <c r="A2877" s="111" t="s">
        <v>303</v>
      </c>
      <c r="B2877" t="s">
        <v>131</v>
      </c>
      <c r="C2877" t="s">
        <v>125</v>
      </c>
      <c r="D2877" t="s">
        <v>3288</v>
      </c>
      <c r="E2877" s="116">
        <v>6.0000000000000001E-3</v>
      </c>
      <c r="F2877" s="149" t="s">
        <v>135</v>
      </c>
      <c r="G2877" s="149" t="s">
        <v>135</v>
      </c>
      <c r="H2877" s="68" t="s">
        <v>39</v>
      </c>
      <c r="J2877" s="77" t="str">
        <f t="shared" si="16"/>
        <v>[TIMES_SE] Top gas recycling blast furnace</v>
      </c>
      <c r="L2877" s="131"/>
      <c r="M2877" s="48"/>
      <c r="N2877" s="123"/>
    </row>
    <row r="2878" spans="1:14" customFormat="1" x14ac:dyDescent="0.55000000000000004">
      <c r="A2878" s="111" t="s">
        <v>303</v>
      </c>
      <c r="B2878" t="s">
        <v>298</v>
      </c>
      <c r="C2878" t="s">
        <v>127</v>
      </c>
      <c r="D2878" t="s">
        <v>2994</v>
      </c>
      <c r="E2878" s="116">
        <v>0.73</v>
      </c>
      <c r="F2878" s="149" t="s">
        <v>138</v>
      </c>
      <c r="G2878" s="149" t="s">
        <v>135</v>
      </c>
      <c r="H2878" s="68" t="s">
        <v>39</v>
      </c>
      <c r="I2878" t="s">
        <v>299</v>
      </c>
      <c r="J2878" s="77" t="str">
        <f t="shared" si="16"/>
        <v>[TIMES_SE] Top gas recycling blast furnace</v>
      </c>
      <c r="L2878" s="131"/>
      <c r="M2878" s="48"/>
      <c r="N2878" s="123"/>
    </row>
    <row r="2879" spans="1:14" customFormat="1" x14ac:dyDescent="0.55000000000000004">
      <c r="A2879" s="111" t="s">
        <v>303</v>
      </c>
      <c r="B2879" t="s">
        <v>188</v>
      </c>
      <c r="C2879" t="s">
        <v>127</v>
      </c>
      <c r="D2879" t="s">
        <v>2994</v>
      </c>
      <c r="E2879" s="116">
        <v>2.0369999999999999</v>
      </c>
      <c r="F2879" s="149" t="s">
        <v>138</v>
      </c>
      <c r="G2879" s="149" t="s">
        <v>135</v>
      </c>
      <c r="H2879" s="68" t="s">
        <v>39</v>
      </c>
      <c r="J2879" s="77" t="str">
        <f t="shared" si="16"/>
        <v>[TIMES_SE] Top gas recycling blast furnace</v>
      </c>
      <c r="L2879" s="131"/>
      <c r="M2879" s="48"/>
      <c r="N2879" s="123"/>
    </row>
    <row r="2880" spans="1:14" customFormat="1" x14ac:dyDescent="0.55000000000000004">
      <c r="A2880" s="111" t="s">
        <v>303</v>
      </c>
      <c r="B2880" t="s">
        <v>153</v>
      </c>
      <c r="C2880" t="s">
        <v>127</v>
      </c>
      <c r="D2880" t="s">
        <v>2994</v>
      </c>
      <c r="E2880" s="116">
        <v>0.371</v>
      </c>
      <c r="F2880" s="149" t="s">
        <v>138</v>
      </c>
      <c r="G2880" s="149" t="s">
        <v>135</v>
      </c>
      <c r="H2880" s="68" t="s">
        <v>39</v>
      </c>
      <c r="J2880" s="77" t="str">
        <f t="shared" si="16"/>
        <v>[TIMES_SE] Top gas recycling blast furnace</v>
      </c>
      <c r="L2880" s="131"/>
      <c r="M2880" s="48"/>
      <c r="N2880" s="123"/>
    </row>
    <row r="2881" spans="1:14" customFormat="1" x14ac:dyDescent="0.55000000000000004">
      <c r="A2881" s="111" t="s">
        <v>303</v>
      </c>
      <c r="B2881" t="s">
        <v>160</v>
      </c>
      <c r="C2881" t="s">
        <v>247</v>
      </c>
      <c r="D2881" t="s">
        <v>3288</v>
      </c>
      <c r="E2881" s="119">
        <v>1.333</v>
      </c>
      <c r="F2881" s="151" t="s">
        <v>135</v>
      </c>
      <c r="G2881" s="149" t="s">
        <v>135</v>
      </c>
      <c r="H2881" s="68" t="s">
        <v>376</v>
      </c>
      <c r="I2881" t="s">
        <v>2052</v>
      </c>
      <c r="J2881" s="74" t="str">
        <f t="shared" si="16"/>
        <v>[TIMES_SE] Top gas recycling blast furnace</v>
      </c>
      <c r="L2881" s="160"/>
      <c r="M2881" s="48"/>
      <c r="N2881" s="123"/>
    </row>
    <row r="2882" spans="1:14" customFormat="1" x14ac:dyDescent="0.55000000000000004">
      <c r="A2882" s="111" t="s">
        <v>303</v>
      </c>
      <c r="B2882" t="s">
        <v>160</v>
      </c>
      <c r="C2882" t="s">
        <v>247</v>
      </c>
      <c r="D2882" t="s">
        <v>3288</v>
      </c>
      <c r="E2882" s="119">
        <v>5.0589000000000002E-2</v>
      </c>
      <c r="F2882" s="151" t="s">
        <v>135</v>
      </c>
      <c r="G2882" s="149" t="s">
        <v>135</v>
      </c>
      <c r="H2882" s="68" t="s">
        <v>376</v>
      </c>
      <c r="I2882" t="s">
        <v>2053</v>
      </c>
      <c r="J2882" s="74" t="str">
        <f t="shared" si="16"/>
        <v>[TIMES_SE] Top gas recycling blast furnace</v>
      </c>
      <c r="L2882" s="160"/>
      <c r="M2882" s="48"/>
      <c r="N2882" s="123"/>
    </row>
    <row r="2883" spans="1:14" customFormat="1" x14ac:dyDescent="0.55000000000000004">
      <c r="A2883" s="111" t="s">
        <v>303</v>
      </c>
      <c r="B2883" t="s">
        <v>160</v>
      </c>
      <c r="C2883" t="s">
        <v>247</v>
      </c>
      <c r="D2883" t="s">
        <v>3288</v>
      </c>
      <c r="E2883" s="119">
        <v>0.10592399999999999</v>
      </c>
      <c r="F2883" s="151" t="s">
        <v>135</v>
      </c>
      <c r="G2883" s="149" t="s">
        <v>135</v>
      </c>
      <c r="H2883" s="68" t="s">
        <v>373</v>
      </c>
      <c r="I2883" t="s">
        <v>2054</v>
      </c>
      <c r="J2883" s="74" t="str">
        <f t="shared" si="16"/>
        <v>[TIMES_SE] Top gas recycling blast furnace</v>
      </c>
      <c r="L2883" s="160"/>
      <c r="M2883" s="48"/>
      <c r="N2883" s="123"/>
    </row>
    <row r="2884" spans="1:14" customFormat="1" x14ac:dyDescent="0.55000000000000004">
      <c r="A2884" s="92" t="s">
        <v>305</v>
      </c>
      <c r="B2884" t="s">
        <v>287</v>
      </c>
      <c r="C2884" t="s">
        <v>121</v>
      </c>
      <c r="D2884" t="s">
        <v>3288</v>
      </c>
      <c r="E2884" s="116">
        <v>1</v>
      </c>
      <c r="F2884" s="149" t="s">
        <v>135</v>
      </c>
      <c r="G2884" s="149">
        <v>1</v>
      </c>
      <c r="H2884" s="68"/>
      <c r="J2884" s="77" t="str">
        <f t="shared" si="16"/>
        <v>[TIMES_SE] Top gas recycling blast furnace w. CCS (MDEA)</v>
      </c>
      <c r="L2884" s="131"/>
      <c r="M2884" s="48"/>
      <c r="N2884" s="123"/>
    </row>
    <row r="2885" spans="1:14" customFormat="1" x14ac:dyDescent="0.55000000000000004">
      <c r="A2885" s="92" t="s">
        <v>305</v>
      </c>
      <c r="B2885" s="21" t="s">
        <v>288</v>
      </c>
      <c r="C2885" t="s">
        <v>156</v>
      </c>
      <c r="D2885" t="s">
        <v>3288</v>
      </c>
      <c r="E2885" s="116">
        <v>0.28000000000000003</v>
      </c>
      <c r="F2885" s="149" t="s">
        <v>135</v>
      </c>
      <c r="G2885" s="149" t="s">
        <v>135</v>
      </c>
      <c r="H2885" s="68" t="s">
        <v>39</v>
      </c>
      <c r="J2885" s="77" t="str">
        <f t="shared" si="16"/>
        <v>[TIMES_SE] Top gas recycling blast furnace w. CCS (MDEA)</v>
      </c>
      <c r="L2885" s="131"/>
      <c r="M2885" s="48"/>
      <c r="N2885" s="123"/>
    </row>
    <row r="2886" spans="1:14" customFormat="1" x14ac:dyDescent="0.55000000000000004">
      <c r="A2886" s="92" t="s">
        <v>305</v>
      </c>
      <c r="B2886" s="21" t="s">
        <v>289</v>
      </c>
      <c r="C2886" t="s">
        <v>156</v>
      </c>
      <c r="D2886" t="s">
        <v>2994</v>
      </c>
      <c r="E2886" s="116">
        <f>1.69+0.59</f>
        <v>2.2799999999999998</v>
      </c>
      <c r="F2886" s="149" t="s">
        <v>138</v>
      </c>
      <c r="G2886" s="149" t="s">
        <v>135</v>
      </c>
      <c r="H2886" s="68" t="s">
        <v>39</v>
      </c>
      <c r="J2886" s="77" t="str">
        <f t="shared" si="16"/>
        <v>[TIMES_SE] Top gas recycling blast furnace w. CCS (MDEA)</v>
      </c>
      <c r="L2886" s="131"/>
      <c r="M2886" s="48"/>
      <c r="N2886" s="123"/>
    </row>
    <row r="2887" spans="1:14" customFormat="1" x14ac:dyDescent="0.55000000000000004">
      <c r="A2887" s="92" t="s">
        <v>305</v>
      </c>
      <c r="B2887" t="s">
        <v>290</v>
      </c>
      <c r="C2887" s="21" t="s">
        <v>125</v>
      </c>
      <c r="D2887" t="s">
        <v>3288</v>
      </c>
      <c r="E2887" s="116">
        <f>1/0.6</f>
        <v>1.6666666666666667</v>
      </c>
      <c r="F2887" s="149" t="s">
        <v>135</v>
      </c>
      <c r="G2887" s="149" t="s">
        <v>135</v>
      </c>
      <c r="H2887" s="68" t="s">
        <v>39</v>
      </c>
      <c r="I2887" t="s">
        <v>292</v>
      </c>
      <c r="J2887" s="77" t="str">
        <f t="shared" si="16"/>
        <v>[TIMES_SE] Top gas recycling blast furnace w. CCS (MDEA)</v>
      </c>
      <c r="L2887" s="131"/>
      <c r="M2887" s="48"/>
      <c r="N2887" s="123"/>
    </row>
    <row r="2888" spans="1:14" customFormat="1" x14ac:dyDescent="0.55000000000000004">
      <c r="A2888" s="92" t="s">
        <v>305</v>
      </c>
      <c r="B2888" t="s">
        <v>293</v>
      </c>
      <c r="C2888" t="s">
        <v>294</v>
      </c>
      <c r="D2888" t="s">
        <v>2994</v>
      </c>
      <c r="E2888" s="116">
        <v>12.4</v>
      </c>
      <c r="F2888" s="149" t="s">
        <v>138</v>
      </c>
      <c r="G2888" s="149" t="s">
        <v>135</v>
      </c>
      <c r="H2888" s="68" t="s">
        <v>301</v>
      </c>
      <c r="I2888" t="s">
        <v>295</v>
      </c>
      <c r="J2888" s="77" t="str">
        <f t="shared" si="16"/>
        <v>[TIMES_SE] Top gas recycling blast furnace w. CCS (MDEA)</v>
      </c>
      <c r="L2888" s="131"/>
      <c r="M2888" s="48"/>
      <c r="N2888" s="123"/>
    </row>
    <row r="2889" spans="1:14" customFormat="1" x14ac:dyDescent="0.55000000000000004">
      <c r="A2889" s="92" t="s">
        <v>305</v>
      </c>
      <c r="B2889" t="s">
        <v>262</v>
      </c>
      <c r="C2889" t="s">
        <v>294</v>
      </c>
      <c r="D2889" t="s">
        <v>2994</v>
      </c>
      <c r="E2889" s="116">
        <v>0</v>
      </c>
      <c r="F2889" s="149" t="s">
        <v>138</v>
      </c>
      <c r="G2889" s="149" t="s">
        <v>135</v>
      </c>
      <c r="H2889" s="68" t="s">
        <v>304</v>
      </c>
      <c r="I2889" t="s">
        <v>295</v>
      </c>
      <c r="J2889" s="77" t="str">
        <f t="shared" si="16"/>
        <v>[TIMES_SE] Top gas recycling blast furnace w. CCS (MDEA)</v>
      </c>
      <c r="L2889" s="131"/>
      <c r="M2889" s="48"/>
      <c r="N2889" s="123"/>
    </row>
    <row r="2890" spans="1:14" customFormat="1" x14ac:dyDescent="0.55000000000000004">
      <c r="A2890" s="92" t="s">
        <v>305</v>
      </c>
      <c r="B2890" t="s">
        <v>297</v>
      </c>
      <c r="C2890" t="s">
        <v>294</v>
      </c>
      <c r="D2890" t="s">
        <v>2994</v>
      </c>
      <c r="E2890" s="116">
        <v>0</v>
      </c>
      <c r="F2890" s="149" t="s">
        <v>138</v>
      </c>
      <c r="G2890" s="149" t="s">
        <v>135</v>
      </c>
      <c r="H2890" s="68" t="s">
        <v>304</v>
      </c>
      <c r="I2890" t="s">
        <v>295</v>
      </c>
      <c r="J2890" s="77" t="str">
        <f t="shared" si="16"/>
        <v>[TIMES_SE] Top gas recycling blast furnace w. CCS (MDEA)</v>
      </c>
      <c r="L2890" s="131"/>
      <c r="M2890" s="48"/>
      <c r="N2890" s="123"/>
    </row>
    <row r="2891" spans="1:14" customFormat="1" x14ac:dyDescent="0.55000000000000004">
      <c r="A2891" s="92" t="s">
        <v>305</v>
      </c>
      <c r="B2891" t="s">
        <v>213</v>
      </c>
      <c r="C2891" t="s">
        <v>125</v>
      </c>
      <c r="D2891" t="s">
        <v>3289</v>
      </c>
      <c r="E2891" s="116">
        <v>253</v>
      </c>
      <c r="F2891" s="149" t="s">
        <v>133</v>
      </c>
      <c r="G2891" s="149" t="s">
        <v>135</v>
      </c>
      <c r="H2891" s="68" t="s">
        <v>39</v>
      </c>
      <c r="J2891" s="77" t="str">
        <f t="shared" si="16"/>
        <v>[TIMES_SE] Top gas recycling blast furnace w. CCS (MDEA)</v>
      </c>
      <c r="L2891" s="131"/>
      <c r="M2891" s="48"/>
      <c r="N2891" s="123"/>
    </row>
    <row r="2892" spans="1:14" customFormat="1" x14ac:dyDescent="0.55000000000000004">
      <c r="A2892" s="92" t="s">
        <v>305</v>
      </c>
      <c r="B2892" t="s">
        <v>131</v>
      </c>
      <c r="C2892" t="s">
        <v>125</v>
      </c>
      <c r="D2892" t="s">
        <v>3288</v>
      </c>
      <c r="E2892" s="116">
        <v>6.0000000000000001E-3</v>
      </c>
      <c r="F2892" s="149" t="s">
        <v>135</v>
      </c>
      <c r="G2892" s="149" t="s">
        <v>135</v>
      </c>
      <c r="H2892" s="68" t="s">
        <v>39</v>
      </c>
      <c r="J2892" s="77" t="str">
        <f t="shared" si="16"/>
        <v>[TIMES_SE] Top gas recycling blast furnace w. CCS (MDEA)</v>
      </c>
      <c r="L2892" s="131"/>
      <c r="M2892" s="48"/>
      <c r="N2892" s="123"/>
    </row>
    <row r="2893" spans="1:14" customFormat="1" x14ac:dyDescent="0.55000000000000004">
      <c r="A2893" s="92" t="s">
        <v>305</v>
      </c>
      <c r="B2893" t="s">
        <v>298</v>
      </c>
      <c r="C2893" t="s">
        <v>127</v>
      </c>
      <c r="D2893" t="s">
        <v>2994</v>
      </c>
      <c r="E2893" s="116">
        <v>0.73</v>
      </c>
      <c r="F2893" s="149" t="s">
        <v>138</v>
      </c>
      <c r="G2893" s="149" t="s">
        <v>135</v>
      </c>
      <c r="H2893" s="68" t="s">
        <v>39</v>
      </c>
      <c r="I2893" t="s">
        <v>299</v>
      </c>
      <c r="J2893" s="77" t="str">
        <f t="shared" si="16"/>
        <v>[TIMES_SE] Top gas recycling blast furnace w. CCS (MDEA)</v>
      </c>
      <c r="L2893" s="131"/>
      <c r="M2893" s="48"/>
      <c r="N2893" s="123"/>
    </row>
    <row r="2894" spans="1:14" customFormat="1" x14ac:dyDescent="0.55000000000000004">
      <c r="A2894" s="92" t="s">
        <v>305</v>
      </c>
      <c r="B2894" t="s">
        <v>188</v>
      </c>
      <c r="C2894" t="s">
        <v>127</v>
      </c>
      <c r="D2894" t="s">
        <v>2994</v>
      </c>
      <c r="E2894" s="116">
        <v>2.0369999999999999</v>
      </c>
      <c r="F2894" s="149" t="s">
        <v>138</v>
      </c>
      <c r="G2894" s="149" t="s">
        <v>135</v>
      </c>
      <c r="H2894" s="68" t="s">
        <v>39</v>
      </c>
      <c r="J2894" s="77" t="str">
        <f t="shared" si="16"/>
        <v>[TIMES_SE] Top gas recycling blast furnace w. CCS (MDEA)</v>
      </c>
      <c r="L2894" s="131"/>
      <c r="M2894" s="48"/>
      <c r="N2894" s="123"/>
    </row>
    <row r="2895" spans="1:14" customFormat="1" x14ac:dyDescent="0.55000000000000004">
      <c r="A2895" s="92" t="s">
        <v>305</v>
      </c>
      <c r="B2895" t="s">
        <v>153</v>
      </c>
      <c r="C2895" t="s">
        <v>127</v>
      </c>
      <c r="D2895" t="s">
        <v>2994</v>
      </c>
      <c r="E2895" s="116">
        <v>0.89</v>
      </c>
      <c r="F2895" s="149" t="s">
        <v>138</v>
      </c>
      <c r="G2895" s="149" t="s">
        <v>135</v>
      </c>
      <c r="H2895" s="68" t="s">
        <v>39</v>
      </c>
      <c r="J2895" s="77" t="str">
        <f t="shared" si="16"/>
        <v>[TIMES_SE] Top gas recycling blast furnace w. CCS (MDEA)</v>
      </c>
      <c r="L2895" s="131"/>
      <c r="M2895" s="48"/>
      <c r="N2895" s="123"/>
    </row>
    <row r="2896" spans="1:14" customFormat="1" x14ac:dyDescent="0.55000000000000004">
      <c r="A2896" s="92" t="s">
        <v>305</v>
      </c>
      <c r="B2896" t="s">
        <v>160</v>
      </c>
      <c r="C2896" t="s">
        <v>247</v>
      </c>
      <c r="D2896" t="s">
        <v>3288</v>
      </c>
      <c r="E2896" s="119">
        <f>1.333*(1-0.9)</f>
        <v>0.13329999999999997</v>
      </c>
      <c r="F2896" s="151" t="s">
        <v>135</v>
      </c>
      <c r="G2896" s="149" t="s">
        <v>135</v>
      </c>
      <c r="H2896" s="68" t="s">
        <v>376</v>
      </c>
      <c r="I2896" t="s">
        <v>2055</v>
      </c>
      <c r="J2896" s="74" t="str">
        <f t="shared" si="16"/>
        <v>[TIMES_SE] Top gas recycling blast furnace w. CCS (MDEA)</v>
      </c>
      <c r="L2896" s="160"/>
      <c r="M2896" s="48"/>
      <c r="N2896" s="123"/>
    </row>
    <row r="2897" spans="1:14" customFormat="1" x14ac:dyDescent="0.55000000000000004">
      <c r="A2897" s="92" t="s">
        <v>305</v>
      </c>
      <c r="B2897" t="s">
        <v>160</v>
      </c>
      <c r="C2897" t="s">
        <v>247</v>
      </c>
      <c r="D2897" t="s">
        <v>3288</v>
      </c>
      <c r="E2897" s="119">
        <f>0.050589*(1-0.9)</f>
        <v>5.058899999999999E-3</v>
      </c>
      <c r="F2897" s="151" t="s">
        <v>135</v>
      </c>
      <c r="G2897" s="149" t="s">
        <v>135</v>
      </c>
      <c r="H2897" s="68" t="s">
        <v>376</v>
      </c>
      <c r="I2897" t="s">
        <v>2056</v>
      </c>
      <c r="J2897" s="74" t="str">
        <f t="shared" si="16"/>
        <v>[TIMES_SE] Top gas recycling blast furnace w. CCS (MDEA)</v>
      </c>
      <c r="L2897" s="160"/>
      <c r="M2897" s="48"/>
      <c r="N2897" s="123"/>
    </row>
    <row r="2898" spans="1:14" customFormat="1" x14ac:dyDescent="0.55000000000000004">
      <c r="A2898" s="92" t="s">
        <v>305</v>
      </c>
      <c r="B2898" t="s">
        <v>160</v>
      </c>
      <c r="C2898" t="s">
        <v>247</v>
      </c>
      <c r="D2898" t="s">
        <v>3288</v>
      </c>
      <c r="E2898" s="119">
        <f>0.105924*(1-0.9)</f>
        <v>1.0592399999999998E-2</v>
      </c>
      <c r="F2898" s="151" t="s">
        <v>135</v>
      </c>
      <c r="G2898" s="149" t="s">
        <v>135</v>
      </c>
      <c r="H2898" s="68" t="s">
        <v>373</v>
      </c>
      <c r="I2898" t="s">
        <v>2057</v>
      </c>
      <c r="J2898" s="74" t="str">
        <f t="shared" si="16"/>
        <v>[TIMES_SE] Top gas recycling blast furnace w. CCS (MDEA)</v>
      </c>
      <c r="L2898" s="160"/>
      <c r="M2898" s="48"/>
      <c r="N2898" s="123"/>
    </row>
    <row r="2899" spans="1:14" customFormat="1" x14ac:dyDescent="0.55000000000000004">
      <c r="A2899" s="92" t="s">
        <v>305</v>
      </c>
      <c r="B2899" t="s">
        <v>160</v>
      </c>
      <c r="C2899" t="s">
        <v>156</v>
      </c>
      <c r="D2899" t="s">
        <v>3288</v>
      </c>
      <c r="E2899" s="119">
        <f>1.333*(0.9)</f>
        <v>1.1997</v>
      </c>
      <c r="F2899" s="151" t="s">
        <v>135</v>
      </c>
      <c r="G2899" s="149" t="s">
        <v>135</v>
      </c>
      <c r="H2899" s="68" t="s">
        <v>376</v>
      </c>
      <c r="I2899" t="s">
        <v>2055</v>
      </c>
      <c r="J2899" s="74" t="str">
        <f t="shared" si="16"/>
        <v>[TIMES_SE] Top gas recycling blast furnace w. CCS (MDEA)</v>
      </c>
      <c r="L2899" s="160"/>
      <c r="M2899" s="48"/>
      <c r="N2899" s="123"/>
    </row>
    <row r="2900" spans="1:14" customFormat="1" x14ac:dyDescent="0.55000000000000004">
      <c r="A2900" s="92" t="s">
        <v>305</v>
      </c>
      <c r="B2900" t="s">
        <v>160</v>
      </c>
      <c r="C2900" t="s">
        <v>156</v>
      </c>
      <c r="D2900" t="s">
        <v>3288</v>
      </c>
      <c r="E2900" s="119">
        <f>0.050589*(0.9)</f>
        <v>4.5530100000000004E-2</v>
      </c>
      <c r="F2900" s="151" t="s">
        <v>135</v>
      </c>
      <c r="G2900" s="149" t="s">
        <v>135</v>
      </c>
      <c r="H2900" s="68" t="s">
        <v>376</v>
      </c>
      <c r="I2900" t="s">
        <v>2056</v>
      </c>
      <c r="J2900" s="74" t="str">
        <f t="shared" si="16"/>
        <v>[TIMES_SE] Top gas recycling blast furnace w. CCS (MDEA)</v>
      </c>
      <c r="L2900" s="160"/>
      <c r="M2900" s="48"/>
      <c r="N2900" s="123"/>
    </row>
    <row r="2901" spans="1:14" customFormat="1" x14ac:dyDescent="0.55000000000000004">
      <c r="A2901" s="92" t="s">
        <v>305</v>
      </c>
      <c r="B2901" t="s">
        <v>160</v>
      </c>
      <c r="C2901" t="s">
        <v>156</v>
      </c>
      <c r="D2901" t="s">
        <v>3288</v>
      </c>
      <c r="E2901" s="119">
        <f>0.105924*(0.9)</f>
        <v>9.5331600000000002E-2</v>
      </c>
      <c r="F2901" s="151" t="s">
        <v>135</v>
      </c>
      <c r="G2901" s="149" t="s">
        <v>135</v>
      </c>
      <c r="H2901" s="68" t="s">
        <v>373</v>
      </c>
      <c r="I2901" t="s">
        <v>2057</v>
      </c>
      <c r="J2901" s="74" t="str">
        <f t="shared" si="16"/>
        <v>[TIMES_SE] Top gas recycling blast furnace w. CCS (MDEA)</v>
      </c>
      <c r="L2901" s="160"/>
      <c r="M2901" s="48"/>
      <c r="N2901" s="123"/>
    </row>
    <row r="2902" spans="1:14" customFormat="1" x14ac:dyDescent="0.55000000000000004">
      <c r="A2902" s="92" t="s">
        <v>306</v>
      </c>
      <c r="B2902" t="s">
        <v>287</v>
      </c>
      <c r="C2902" t="s">
        <v>121</v>
      </c>
      <c r="D2902" t="s">
        <v>3288</v>
      </c>
      <c r="E2902" s="116">
        <v>1</v>
      </c>
      <c r="F2902" s="149" t="s">
        <v>135</v>
      </c>
      <c r="G2902" s="149">
        <v>1</v>
      </c>
      <c r="H2902" s="68"/>
      <c r="J2902" s="77" t="str">
        <f t="shared" si="16"/>
        <v>[TIMES_SE] Top gas recycling blast furnace w. CCS (VPSA)</v>
      </c>
      <c r="L2902" s="131"/>
      <c r="M2902" s="48"/>
      <c r="N2902" s="123"/>
    </row>
    <row r="2903" spans="1:14" customFormat="1" x14ac:dyDescent="0.55000000000000004">
      <c r="A2903" s="92" t="s">
        <v>306</v>
      </c>
      <c r="B2903" s="21" t="s">
        <v>288</v>
      </c>
      <c r="C2903" t="s">
        <v>156</v>
      </c>
      <c r="D2903" t="s">
        <v>3288</v>
      </c>
      <c r="E2903" s="116">
        <v>0.28000000000000003</v>
      </c>
      <c r="F2903" s="149" t="s">
        <v>135</v>
      </c>
      <c r="G2903" s="149" t="s">
        <v>135</v>
      </c>
      <c r="H2903" s="68" t="s">
        <v>39</v>
      </c>
      <c r="J2903" s="77" t="str">
        <f t="shared" si="16"/>
        <v>[TIMES_SE] Top gas recycling blast furnace w. CCS (VPSA)</v>
      </c>
      <c r="L2903" s="131"/>
      <c r="M2903" s="48"/>
      <c r="N2903" s="123"/>
    </row>
    <row r="2904" spans="1:14" customFormat="1" x14ac:dyDescent="0.55000000000000004">
      <c r="A2904" s="92" t="s">
        <v>306</v>
      </c>
      <c r="B2904" s="21" t="s">
        <v>289</v>
      </c>
      <c r="C2904" t="s">
        <v>156</v>
      </c>
      <c r="D2904" t="s">
        <v>2994</v>
      </c>
      <c r="E2904" s="116">
        <f>1.69+0.59</f>
        <v>2.2799999999999998</v>
      </c>
      <c r="F2904" s="149" t="s">
        <v>138</v>
      </c>
      <c r="G2904" s="149" t="s">
        <v>135</v>
      </c>
      <c r="H2904" s="68" t="s">
        <v>39</v>
      </c>
      <c r="J2904" s="77" t="str">
        <f t="shared" si="16"/>
        <v>[TIMES_SE] Top gas recycling blast furnace w. CCS (VPSA)</v>
      </c>
      <c r="L2904" s="131"/>
      <c r="M2904" s="48"/>
      <c r="N2904" s="123"/>
    </row>
    <row r="2905" spans="1:14" customFormat="1" x14ac:dyDescent="0.55000000000000004">
      <c r="A2905" s="92" t="s">
        <v>306</v>
      </c>
      <c r="B2905" t="s">
        <v>290</v>
      </c>
      <c r="C2905" s="21" t="s">
        <v>125</v>
      </c>
      <c r="D2905" t="s">
        <v>3288</v>
      </c>
      <c r="E2905" s="116">
        <f>1/0.6</f>
        <v>1.6666666666666667</v>
      </c>
      <c r="F2905" s="149" t="s">
        <v>135</v>
      </c>
      <c r="G2905" s="149" t="s">
        <v>135</v>
      </c>
      <c r="H2905" s="68" t="s">
        <v>39</v>
      </c>
      <c r="I2905" t="s">
        <v>292</v>
      </c>
      <c r="J2905" s="77" t="str">
        <f t="shared" si="16"/>
        <v>[TIMES_SE] Top gas recycling blast furnace w. CCS (VPSA)</v>
      </c>
      <c r="L2905" s="131"/>
      <c r="M2905" s="48"/>
      <c r="N2905" s="123"/>
    </row>
    <row r="2906" spans="1:14" customFormat="1" x14ac:dyDescent="0.55000000000000004">
      <c r="A2906" s="92" t="s">
        <v>306</v>
      </c>
      <c r="B2906" t="s">
        <v>293</v>
      </c>
      <c r="C2906" t="s">
        <v>294</v>
      </c>
      <c r="D2906" t="s">
        <v>2994</v>
      </c>
      <c r="E2906" s="116">
        <v>12.4</v>
      </c>
      <c r="F2906" s="149" t="s">
        <v>138</v>
      </c>
      <c r="G2906" s="149" t="s">
        <v>135</v>
      </c>
      <c r="H2906" s="68" t="s">
        <v>301</v>
      </c>
      <c r="I2906" t="s">
        <v>295</v>
      </c>
      <c r="J2906" s="77" t="str">
        <f t="shared" si="16"/>
        <v>[TIMES_SE] Top gas recycling blast furnace w. CCS (VPSA)</v>
      </c>
      <c r="L2906" s="131"/>
      <c r="M2906" s="48"/>
      <c r="N2906" s="123"/>
    </row>
    <row r="2907" spans="1:14" customFormat="1" x14ac:dyDescent="0.55000000000000004">
      <c r="A2907" s="92" t="s">
        <v>306</v>
      </c>
      <c r="B2907" t="s">
        <v>262</v>
      </c>
      <c r="C2907" t="s">
        <v>294</v>
      </c>
      <c r="D2907" t="s">
        <v>2994</v>
      </c>
      <c r="E2907" s="116">
        <v>0</v>
      </c>
      <c r="F2907" s="149" t="s">
        <v>138</v>
      </c>
      <c r="G2907" s="149" t="s">
        <v>135</v>
      </c>
      <c r="H2907" s="68" t="s">
        <v>304</v>
      </c>
      <c r="I2907" t="s">
        <v>295</v>
      </c>
      <c r="J2907" s="77" t="str">
        <f t="shared" si="16"/>
        <v>[TIMES_SE] Top gas recycling blast furnace w. CCS (VPSA)</v>
      </c>
      <c r="L2907" s="131"/>
      <c r="M2907" s="48"/>
      <c r="N2907" s="123"/>
    </row>
    <row r="2908" spans="1:14" customFormat="1" x14ac:dyDescent="0.55000000000000004">
      <c r="A2908" s="92" t="s">
        <v>306</v>
      </c>
      <c r="B2908" t="s">
        <v>297</v>
      </c>
      <c r="C2908" t="s">
        <v>294</v>
      </c>
      <c r="D2908" t="s">
        <v>2994</v>
      </c>
      <c r="E2908" s="116">
        <v>0</v>
      </c>
      <c r="F2908" s="149" t="s">
        <v>138</v>
      </c>
      <c r="G2908" s="149" t="s">
        <v>135</v>
      </c>
      <c r="H2908" s="68" t="s">
        <v>304</v>
      </c>
      <c r="I2908" t="s">
        <v>295</v>
      </c>
      <c r="J2908" s="77" t="str">
        <f t="shared" si="16"/>
        <v>[TIMES_SE] Top gas recycling blast furnace w. CCS (VPSA)</v>
      </c>
      <c r="L2908" s="131"/>
      <c r="M2908" s="48"/>
      <c r="N2908" s="123"/>
    </row>
    <row r="2909" spans="1:14" customFormat="1" x14ac:dyDescent="0.55000000000000004">
      <c r="A2909" s="92" t="s">
        <v>306</v>
      </c>
      <c r="B2909" t="s">
        <v>213</v>
      </c>
      <c r="C2909" t="s">
        <v>125</v>
      </c>
      <c r="D2909" t="s">
        <v>3289</v>
      </c>
      <c r="E2909" s="116">
        <v>253</v>
      </c>
      <c r="F2909" s="149" t="s">
        <v>133</v>
      </c>
      <c r="G2909" s="149" t="s">
        <v>135</v>
      </c>
      <c r="H2909" s="68" t="s">
        <v>39</v>
      </c>
      <c r="J2909" s="77" t="str">
        <f t="shared" si="16"/>
        <v>[TIMES_SE] Top gas recycling blast furnace w. CCS (VPSA)</v>
      </c>
      <c r="L2909" s="131"/>
      <c r="M2909" s="48"/>
      <c r="N2909" s="123"/>
    </row>
    <row r="2910" spans="1:14" customFormat="1" x14ac:dyDescent="0.55000000000000004">
      <c r="A2910" s="92" t="s">
        <v>306</v>
      </c>
      <c r="B2910" t="s">
        <v>131</v>
      </c>
      <c r="C2910" t="s">
        <v>125</v>
      </c>
      <c r="D2910" t="s">
        <v>3288</v>
      </c>
      <c r="E2910" s="116">
        <v>6.0000000000000001E-3</v>
      </c>
      <c r="F2910" s="149" t="s">
        <v>135</v>
      </c>
      <c r="G2910" s="149" t="s">
        <v>135</v>
      </c>
      <c r="H2910" s="68" t="s">
        <v>39</v>
      </c>
      <c r="J2910" s="77" t="str">
        <f t="shared" si="16"/>
        <v>[TIMES_SE] Top gas recycling blast furnace w. CCS (VPSA)</v>
      </c>
      <c r="L2910" s="131"/>
      <c r="M2910" s="48"/>
      <c r="N2910" s="123"/>
    </row>
    <row r="2911" spans="1:14" customFormat="1" x14ac:dyDescent="0.55000000000000004">
      <c r="A2911" s="92" t="s">
        <v>306</v>
      </c>
      <c r="B2911" t="s">
        <v>298</v>
      </c>
      <c r="C2911" t="s">
        <v>127</v>
      </c>
      <c r="D2911" t="s">
        <v>2994</v>
      </c>
      <c r="E2911" s="116">
        <v>0.73</v>
      </c>
      <c r="F2911" s="149" t="s">
        <v>138</v>
      </c>
      <c r="G2911" s="149" t="s">
        <v>135</v>
      </c>
      <c r="H2911" s="68" t="s">
        <v>39</v>
      </c>
      <c r="I2911" t="s">
        <v>299</v>
      </c>
      <c r="J2911" s="77" t="str">
        <f t="shared" si="16"/>
        <v>[TIMES_SE] Top gas recycling blast furnace w. CCS (VPSA)</v>
      </c>
      <c r="L2911" s="131"/>
      <c r="M2911" s="48"/>
      <c r="N2911" s="123"/>
    </row>
    <row r="2912" spans="1:14" customFormat="1" x14ac:dyDescent="0.55000000000000004">
      <c r="A2912" s="92" t="s">
        <v>306</v>
      </c>
      <c r="B2912" t="s">
        <v>153</v>
      </c>
      <c r="C2912" t="s">
        <v>127</v>
      </c>
      <c r="D2912" t="s">
        <v>2994</v>
      </c>
      <c r="E2912" s="116">
        <v>1.1100000000000001</v>
      </c>
      <c r="F2912" s="149" t="s">
        <v>138</v>
      </c>
      <c r="G2912" s="149" t="s">
        <v>135</v>
      </c>
      <c r="H2912" s="68" t="s">
        <v>39</v>
      </c>
      <c r="J2912" s="77" t="str">
        <f t="shared" si="16"/>
        <v>[TIMES_SE] Top gas recycling blast furnace w. CCS (VPSA)</v>
      </c>
      <c r="L2912" s="131"/>
      <c r="M2912" s="48"/>
      <c r="N2912" s="123"/>
    </row>
    <row r="2913" spans="1:14" customFormat="1" x14ac:dyDescent="0.55000000000000004">
      <c r="A2913" s="92" t="s">
        <v>306</v>
      </c>
      <c r="B2913" t="s">
        <v>160</v>
      </c>
      <c r="C2913" t="s">
        <v>247</v>
      </c>
      <c r="D2913" t="s">
        <v>3288</v>
      </c>
      <c r="E2913" s="119">
        <f>1.333*(1-0.9)</f>
        <v>0.13329999999999997</v>
      </c>
      <c r="F2913" s="151" t="s">
        <v>135</v>
      </c>
      <c r="G2913" s="149" t="s">
        <v>135</v>
      </c>
      <c r="H2913" s="68" t="s">
        <v>376</v>
      </c>
      <c r="I2913" t="s">
        <v>2055</v>
      </c>
      <c r="J2913" s="74" t="str">
        <f t="shared" si="16"/>
        <v>[TIMES_SE] Top gas recycling blast furnace w. CCS (VPSA)</v>
      </c>
      <c r="L2913" s="160"/>
      <c r="M2913" s="48"/>
      <c r="N2913" s="123"/>
    </row>
    <row r="2914" spans="1:14" customFormat="1" x14ac:dyDescent="0.55000000000000004">
      <c r="A2914" s="92" t="s">
        <v>306</v>
      </c>
      <c r="B2914" t="s">
        <v>160</v>
      </c>
      <c r="C2914" t="s">
        <v>247</v>
      </c>
      <c r="D2914" t="s">
        <v>3288</v>
      </c>
      <c r="E2914" s="119">
        <f>0.050589*(1-0.9)</f>
        <v>5.058899999999999E-3</v>
      </c>
      <c r="F2914" s="151" t="s">
        <v>135</v>
      </c>
      <c r="G2914" s="149" t="s">
        <v>135</v>
      </c>
      <c r="H2914" s="68" t="s">
        <v>376</v>
      </c>
      <c r="I2914" t="s">
        <v>2056</v>
      </c>
      <c r="J2914" s="74" t="str">
        <f t="shared" si="16"/>
        <v>[TIMES_SE] Top gas recycling blast furnace w. CCS (VPSA)</v>
      </c>
      <c r="L2914" s="160"/>
      <c r="M2914" s="48"/>
      <c r="N2914" s="123"/>
    </row>
    <row r="2915" spans="1:14" customFormat="1" x14ac:dyDescent="0.55000000000000004">
      <c r="A2915" s="92" t="s">
        <v>306</v>
      </c>
      <c r="B2915" t="s">
        <v>160</v>
      </c>
      <c r="C2915" t="s">
        <v>156</v>
      </c>
      <c r="D2915" t="s">
        <v>3288</v>
      </c>
      <c r="E2915" s="119">
        <f>1.333*(0.9)</f>
        <v>1.1997</v>
      </c>
      <c r="F2915" s="151" t="s">
        <v>135</v>
      </c>
      <c r="G2915" s="149" t="s">
        <v>135</v>
      </c>
      <c r="H2915" s="68" t="s">
        <v>376</v>
      </c>
      <c r="I2915" t="s">
        <v>2055</v>
      </c>
      <c r="J2915" s="74" t="str">
        <f t="shared" si="16"/>
        <v>[TIMES_SE] Top gas recycling blast furnace w. CCS (VPSA)</v>
      </c>
      <c r="L2915" s="160"/>
      <c r="M2915" s="48"/>
      <c r="N2915" s="123"/>
    </row>
    <row r="2916" spans="1:14" customFormat="1" x14ac:dyDescent="0.55000000000000004">
      <c r="A2916" s="92" t="s">
        <v>306</v>
      </c>
      <c r="B2916" t="s">
        <v>160</v>
      </c>
      <c r="C2916" t="s">
        <v>156</v>
      </c>
      <c r="D2916" t="s">
        <v>3288</v>
      </c>
      <c r="E2916" s="119">
        <f>0.050589*(0.9)</f>
        <v>4.5530100000000004E-2</v>
      </c>
      <c r="F2916" s="151" t="s">
        <v>135</v>
      </c>
      <c r="G2916" s="149" t="s">
        <v>135</v>
      </c>
      <c r="H2916" s="68" t="s">
        <v>376</v>
      </c>
      <c r="I2916" t="s">
        <v>2056</v>
      </c>
      <c r="J2916" s="74" t="str">
        <f t="shared" si="16"/>
        <v>[TIMES_SE] Top gas recycling blast furnace w. CCS (VPSA)</v>
      </c>
      <c r="L2916" s="160"/>
      <c r="M2916" s="48"/>
      <c r="N2916" s="123"/>
    </row>
    <row r="2917" spans="1:14" customFormat="1" x14ac:dyDescent="0.55000000000000004">
      <c r="A2917" s="104" t="s">
        <v>200</v>
      </c>
      <c r="B2917" t="s">
        <v>134</v>
      </c>
      <c r="C2917" s="61" t="s">
        <v>121</v>
      </c>
      <c r="D2917" s="61" t="s">
        <v>3288</v>
      </c>
      <c r="E2917" s="119">
        <v>1</v>
      </c>
      <c r="F2917" s="148" t="s">
        <v>135</v>
      </c>
      <c r="G2917" s="148">
        <v>1</v>
      </c>
      <c r="H2917" s="61" t="s">
        <v>39</v>
      </c>
      <c r="I2917" s="61" t="s">
        <v>940</v>
      </c>
      <c r="J2917" s="61" t="s">
        <v>200</v>
      </c>
      <c r="K2917" s="61"/>
      <c r="L2917" s="159">
        <v>252310</v>
      </c>
      <c r="M2917" s="48"/>
      <c r="N2917" s="123"/>
    </row>
    <row r="2918" spans="1:14" customFormat="1" x14ac:dyDescent="0.55000000000000004">
      <c r="A2918" s="104" t="s">
        <v>200</v>
      </c>
      <c r="B2918" s="61" t="s">
        <v>131</v>
      </c>
      <c r="C2918" s="61" t="s">
        <v>132</v>
      </c>
      <c r="D2918" s="61" t="s">
        <v>3288</v>
      </c>
      <c r="E2918" s="119">
        <v>1.3</v>
      </c>
      <c r="F2918" s="148" t="s">
        <v>135</v>
      </c>
      <c r="G2918" s="148">
        <v>1</v>
      </c>
      <c r="H2918" s="61" t="s">
        <v>201</v>
      </c>
      <c r="I2918" s="61"/>
      <c r="J2918" s="61" t="s">
        <v>200</v>
      </c>
      <c r="K2918" s="61"/>
      <c r="L2918" s="159"/>
      <c r="M2918" s="48"/>
      <c r="N2918" s="123"/>
    </row>
    <row r="2919" spans="1:14" customFormat="1" x14ac:dyDescent="0.55000000000000004">
      <c r="A2919" s="104" t="s">
        <v>200</v>
      </c>
      <c r="B2919" s="61" t="s">
        <v>202</v>
      </c>
      <c r="C2919" s="61" t="s">
        <v>132</v>
      </c>
      <c r="D2919" s="61" t="s">
        <v>3288</v>
      </c>
      <c r="E2919" s="119">
        <v>0.245</v>
      </c>
      <c r="F2919" s="148" t="s">
        <v>135</v>
      </c>
      <c r="G2919" s="148">
        <v>1</v>
      </c>
      <c r="H2919" s="61" t="s">
        <v>203</v>
      </c>
      <c r="I2919" s="61" t="s">
        <v>941</v>
      </c>
      <c r="J2919" s="61" t="s">
        <v>200</v>
      </c>
      <c r="L2919" s="159"/>
      <c r="M2919" s="48"/>
      <c r="N2919" s="123"/>
    </row>
    <row r="2920" spans="1:14" customFormat="1" x14ac:dyDescent="0.55000000000000004">
      <c r="A2920" s="101" t="s">
        <v>193</v>
      </c>
      <c r="B2920" s="61" t="s">
        <v>194</v>
      </c>
      <c r="C2920" s="61" t="s">
        <v>121</v>
      </c>
      <c r="D2920" s="61" t="s">
        <v>3288</v>
      </c>
      <c r="E2920" s="119">
        <v>1</v>
      </c>
      <c r="F2920" s="148" t="s">
        <v>122</v>
      </c>
      <c r="G2920" s="148">
        <v>1</v>
      </c>
      <c r="H2920" s="61" t="s">
        <v>39</v>
      </c>
      <c r="J2920" s="62" t="s">
        <v>195</v>
      </c>
      <c r="K2920" t="s">
        <v>831</v>
      </c>
      <c r="L2920" s="159">
        <v>260300</v>
      </c>
      <c r="M2920" s="48"/>
      <c r="N2920" s="123"/>
    </row>
    <row r="2921" spans="1:14" customFormat="1" x14ac:dyDescent="0.55000000000000004">
      <c r="A2921" s="101" t="s">
        <v>193</v>
      </c>
      <c r="B2921" s="61" t="s">
        <v>196</v>
      </c>
      <c r="C2921" s="61" t="s">
        <v>125</v>
      </c>
      <c r="D2921" s="61" t="s">
        <v>3288</v>
      </c>
      <c r="E2921" s="119">
        <v>11</v>
      </c>
      <c r="F2921" s="148" t="s">
        <v>122</v>
      </c>
      <c r="G2921" s="148" t="s">
        <v>122</v>
      </c>
      <c r="H2921" s="61" t="s">
        <v>39</v>
      </c>
      <c r="J2921" s="62" t="s">
        <v>195</v>
      </c>
      <c r="K2921" t="s">
        <v>831</v>
      </c>
      <c r="L2921" s="159">
        <v>262030</v>
      </c>
      <c r="M2921" s="48"/>
      <c r="N2921" s="123"/>
    </row>
    <row r="2922" spans="1:14" customFormat="1" x14ac:dyDescent="0.55000000000000004">
      <c r="A2922" s="101" t="s">
        <v>193</v>
      </c>
      <c r="B2922" s="61" t="s">
        <v>197</v>
      </c>
      <c r="C2922" s="61" t="s">
        <v>125</v>
      </c>
      <c r="D2922" s="61" t="s">
        <v>3288</v>
      </c>
      <c r="E2922" s="119">
        <v>2.7399999999999998E-3</v>
      </c>
      <c r="F2922" s="148" t="s">
        <v>122</v>
      </c>
      <c r="G2922" s="148" t="s">
        <v>122</v>
      </c>
      <c r="H2922" s="61" t="s">
        <v>39</v>
      </c>
      <c r="J2922" s="62" t="s">
        <v>195</v>
      </c>
      <c r="K2922" t="s">
        <v>831</v>
      </c>
      <c r="L2922" s="159"/>
      <c r="M2922" s="48"/>
      <c r="N2922" s="123"/>
    </row>
    <row r="2923" spans="1:14" customFormat="1" x14ac:dyDescent="0.55000000000000004">
      <c r="A2923" s="101" t="s">
        <v>193</v>
      </c>
      <c r="B2923" s="61" t="s">
        <v>198</v>
      </c>
      <c r="C2923" s="61" t="s">
        <v>125</v>
      </c>
      <c r="D2923" s="61" t="s">
        <v>3288</v>
      </c>
      <c r="E2923" s="119">
        <v>7.3499999999999998E-3</v>
      </c>
      <c r="F2923" s="148" t="s">
        <v>122</v>
      </c>
      <c r="G2923" s="148" t="s">
        <v>122</v>
      </c>
      <c r="H2923" s="61" t="s">
        <v>39</v>
      </c>
      <c r="J2923" s="62" t="s">
        <v>195</v>
      </c>
      <c r="K2923" t="s">
        <v>831</v>
      </c>
      <c r="L2923" s="159"/>
      <c r="M2923" s="48"/>
      <c r="N2923" s="123"/>
    </row>
    <row r="2924" spans="1:14" customFormat="1" x14ac:dyDescent="0.55000000000000004">
      <c r="A2924" s="101" t="s">
        <v>193</v>
      </c>
      <c r="B2924" s="61" t="s">
        <v>153</v>
      </c>
      <c r="C2924" s="61" t="s">
        <v>127</v>
      </c>
      <c r="D2924" s="61" t="s">
        <v>2994</v>
      </c>
      <c r="E2924" s="119">
        <v>0.96199999999999997</v>
      </c>
      <c r="F2924" s="148" t="s">
        <v>130</v>
      </c>
      <c r="G2924" s="148" t="s">
        <v>122</v>
      </c>
      <c r="H2924" s="61" t="s">
        <v>39</v>
      </c>
      <c r="J2924" s="62" t="s">
        <v>195</v>
      </c>
      <c r="K2924" t="s">
        <v>831</v>
      </c>
      <c r="L2924" s="159"/>
      <c r="M2924" s="48"/>
      <c r="N2924" s="123"/>
    </row>
    <row r="2925" spans="1:14" customFormat="1" x14ac:dyDescent="0.55000000000000004">
      <c r="A2925" s="101" t="s">
        <v>193</v>
      </c>
      <c r="B2925" s="61" t="s">
        <v>199</v>
      </c>
      <c r="C2925" s="61" t="s">
        <v>124</v>
      </c>
      <c r="D2925" s="61" t="s">
        <v>3288</v>
      </c>
      <c r="E2925" s="119">
        <v>9.66</v>
      </c>
      <c r="F2925" s="148" t="s">
        <v>122</v>
      </c>
      <c r="G2925" s="148" t="s">
        <v>122</v>
      </c>
      <c r="H2925" s="61" t="s">
        <v>39</v>
      </c>
      <c r="J2925" s="62" t="s">
        <v>195</v>
      </c>
      <c r="K2925" t="s">
        <v>831</v>
      </c>
      <c r="L2925" s="159"/>
      <c r="M2925" s="48"/>
      <c r="N2925" s="123"/>
    </row>
    <row r="2926" spans="1:14" customFormat="1" x14ac:dyDescent="0.55000000000000004">
      <c r="A2926" s="101" t="s">
        <v>183</v>
      </c>
      <c r="B2926" s="61" t="s">
        <v>184</v>
      </c>
      <c r="C2926" s="61" t="s">
        <v>121</v>
      </c>
      <c r="D2926" s="61" t="s">
        <v>2682</v>
      </c>
      <c r="E2926" s="119">
        <v>1</v>
      </c>
      <c r="F2926" s="148">
        <v>1</v>
      </c>
      <c r="G2926" s="148">
        <v>1</v>
      </c>
      <c r="H2926" s="61" t="s">
        <v>39</v>
      </c>
      <c r="J2926" s="62" t="s">
        <v>185</v>
      </c>
      <c r="K2926" t="s">
        <v>831</v>
      </c>
      <c r="L2926" s="159"/>
      <c r="N2926" s="123"/>
    </row>
    <row r="2927" spans="1:14" customFormat="1" x14ac:dyDescent="0.55000000000000004">
      <c r="A2927" s="101" t="s">
        <v>183</v>
      </c>
      <c r="B2927" s="61" t="s">
        <v>186</v>
      </c>
      <c r="C2927" s="61" t="s">
        <v>125</v>
      </c>
      <c r="D2927" s="61" t="s">
        <v>3288</v>
      </c>
      <c r="E2927" s="119">
        <v>1</v>
      </c>
      <c r="F2927" s="148" t="s">
        <v>122</v>
      </c>
      <c r="G2927" s="148">
        <v>1</v>
      </c>
      <c r="H2927" s="61" t="s">
        <v>39</v>
      </c>
      <c r="J2927" s="62" t="s">
        <v>185</v>
      </c>
      <c r="K2927" t="s">
        <v>831</v>
      </c>
      <c r="L2927" s="159">
        <v>262030</v>
      </c>
      <c r="N2927" s="123"/>
    </row>
    <row r="2928" spans="1:14" customFormat="1" x14ac:dyDescent="0.55000000000000004">
      <c r="A2928" s="101" t="s">
        <v>183</v>
      </c>
      <c r="B2928" s="61" t="s">
        <v>145</v>
      </c>
      <c r="C2928" s="61" t="s">
        <v>125</v>
      </c>
      <c r="D2928" s="61" t="s">
        <v>3288</v>
      </c>
      <c r="E2928" s="119">
        <v>4.3200000000000002E-2</v>
      </c>
      <c r="F2928" s="148" t="s">
        <v>122</v>
      </c>
      <c r="G2928" s="148">
        <v>1</v>
      </c>
      <c r="H2928" s="61" t="s">
        <v>39</v>
      </c>
      <c r="J2928" s="62" t="s">
        <v>185</v>
      </c>
      <c r="K2928" t="s">
        <v>831</v>
      </c>
      <c r="L2928" s="159"/>
      <c r="N2928" s="123"/>
    </row>
    <row r="2929" spans="1:14" customFormat="1" x14ac:dyDescent="0.55000000000000004">
      <c r="A2929" s="101" t="s">
        <v>183</v>
      </c>
      <c r="B2929" t="s">
        <v>131</v>
      </c>
      <c r="C2929" s="61" t="s">
        <v>125</v>
      </c>
      <c r="D2929" s="61" t="s">
        <v>3288</v>
      </c>
      <c r="E2929" s="119">
        <v>8.7800000000000003E-2</v>
      </c>
      <c r="F2929" s="148" t="s">
        <v>122</v>
      </c>
      <c r="G2929" s="148">
        <v>1</v>
      </c>
      <c r="H2929" s="61" t="s">
        <v>39</v>
      </c>
      <c r="J2929" s="62" t="s">
        <v>185</v>
      </c>
      <c r="K2929" t="s">
        <v>831</v>
      </c>
      <c r="L2929" s="159"/>
      <c r="N2929" s="123"/>
    </row>
    <row r="2930" spans="1:14" customFormat="1" x14ac:dyDescent="0.55000000000000004">
      <c r="A2930" s="101" t="s">
        <v>183</v>
      </c>
      <c r="B2930" s="61" t="s">
        <v>187</v>
      </c>
      <c r="C2930" s="61" t="s">
        <v>125</v>
      </c>
      <c r="D2930" s="61" t="s">
        <v>3288</v>
      </c>
      <c r="E2930" s="119">
        <v>1.0699999999999999E-2</v>
      </c>
      <c r="F2930" s="148" t="s">
        <v>122</v>
      </c>
      <c r="G2930" s="148">
        <v>1</v>
      </c>
      <c r="H2930" s="61" t="s">
        <v>39</v>
      </c>
      <c r="J2930" s="62" t="s">
        <v>185</v>
      </c>
      <c r="K2930" t="s">
        <v>831</v>
      </c>
      <c r="L2930" s="159"/>
      <c r="N2930" s="123"/>
    </row>
    <row r="2931" spans="1:14" customFormat="1" x14ac:dyDescent="0.55000000000000004">
      <c r="A2931" s="101" t="s">
        <v>183</v>
      </c>
      <c r="B2931" s="61" t="s">
        <v>153</v>
      </c>
      <c r="C2931" s="61" t="s">
        <v>127</v>
      </c>
      <c r="D2931" s="61" t="s">
        <v>2994</v>
      </c>
      <c r="E2931" s="119">
        <v>0.78500000000000003</v>
      </c>
      <c r="F2931" s="148" t="s">
        <v>130</v>
      </c>
      <c r="G2931" s="148">
        <v>1</v>
      </c>
      <c r="H2931" s="61" t="s">
        <v>39</v>
      </c>
      <c r="J2931" s="62" t="s">
        <v>185</v>
      </c>
      <c r="K2931" t="s">
        <v>831</v>
      </c>
      <c r="L2931" s="159"/>
      <c r="N2931" s="123"/>
    </row>
    <row r="2932" spans="1:14" customFormat="1" x14ac:dyDescent="0.55000000000000004">
      <c r="A2932" s="101" t="s">
        <v>183</v>
      </c>
      <c r="B2932" s="61" t="s">
        <v>188</v>
      </c>
      <c r="C2932" s="61" t="s">
        <v>127</v>
      </c>
      <c r="D2932" s="61" t="s">
        <v>3288</v>
      </c>
      <c r="E2932" s="119">
        <v>3.45</v>
      </c>
      <c r="F2932" s="148" t="s">
        <v>122</v>
      </c>
      <c r="G2932" s="148">
        <v>1</v>
      </c>
      <c r="H2932" s="61" t="s">
        <v>39</v>
      </c>
      <c r="J2932" s="62" t="s">
        <v>185</v>
      </c>
      <c r="K2932" t="s">
        <v>831</v>
      </c>
      <c r="L2932" s="159"/>
      <c r="M2932" s="48"/>
      <c r="N2932" s="123"/>
    </row>
    <row r="2933" spans="1:14" customFormat="1" x14ac:dyDescent="0.55000000000000004">
      <c r="A2933" s="101" t="s">
        <v>183</v>
      </c>
      <c r="B2933" s="61" t="s">
        <v>154</v>
      </c>
      <c r="C2933" s="61" t="s">
        <v>125</v>
      </c>
      <c r="D2933" s="61" t="s">
        <v>3288</v>
      </c>
      <c r="E2933" s="119">
        <v>1.1299999999999999</v>
      </c>
      <c r="F2933" s="148" t="s">
        <v>122</v>
      </c>
      <c r="G2933" s="148">
        <v>1</v>
      </c>
      <c r="H2933" s="61" t="s">
        <v>39</v>
      </c>
      <c r="J2933" s="62" t="s">
        <v>185</v>
      </c>
      <c r="K2933" t="s">
        <v>831</v>
      </c>
      <c r="L2933" s="159"/>
      <c r="M2933" s="48"/>
      <c r="N2933" s="123"/>
    </row>
    <row r="2934" spans="1:14" customFormat="1" x14ac:dyDescent="0.55000000000000004">
      <c r="A2934" s="101" t="s">
        <v>183</v>
      </c>
      <c r="B2934" s="61" t="s">
        <v>189</v>
      </c>
      <c r="C2934" s="61" t="s">
        <v>156</v>
      </c>
      <c r="D2934" s="61" t="s">
        <v>3288</v>
      </c>
      <c r="E2934" s="119">
        <v>2.0400000000000001E-2</v>
      </c>
      <c r="F2934" s="148" t="s">
        <v>122</v>
      </c>
      <c r="G2934" s="148">
        <v>1</v>
      </c>
      <c r="H2934" s="61" t="s">
        <v>39</v>
      </c>
      <c r="J2934" s="62" t="s">
        <v>185</v>
      </c>
      <c r="K2934" t="s">
        <v>831</v>
      </c>
      <c r="L2934" s="159">
        <v>7403</v>
      </c>
      <c r="M2934" s="48"/>
      <c r="N2934" s="123"/>
    </row>
    <row r="2935" spans="1:14" customFormat="1" x14ac:dyDescent="0.55000000000000004">
      <c r="A2935" s="101" t="s">
        <v>183</v>
      </c>
      <c r="B2935" s="61" t="s">
        <v>190</v>
      </c>
      <c r="C2935" s="61" t="s">
        <v>156</v>
      </c>
      <c r="D2935" s="61" t="s">
        <v>3288</v>
      </c>
      <c r="E2935" s="119">
        <v>3.8999999999999999E-4</v>
      </c>
      <c r="F2935" s="148" t="s">
        <v>122</v>
      </c>
      <c r="G2935" s="148">
        <v>1</v>
      </c>
      <c r="H2935" s="61" t="s">
        <v>39</v>
      </c>
      <c r="J2935" s="62" t="s">
        <v>185</v>
      </c>
      <c r="K2935" t="s">
        <v>831</v>
      </c>
      <c r="L2935" s="159">
        <v>8107</v>
      </c>
      <c r="M2935" s="48"/>
      <c r="N2935" s="123"/>
    </row>
    <row r="2936" spans="1:14" customFormat="1" x14ac:dyDescent="0.55000000000000004">
      <c r="A2936" s="101" t="s">
        <v>183</v>
      </c>
      <c r="B2936" s="61" t="s">
        <v>191</v>
      </c>
      <c r="C2936" s="61" t="s">
        <v>156</v>
      </c>
      <c r="D2936" s="61" t="s">
        <v>3288</v>
      </c>
      <c r="E2936" s="119">
        <v>0.25800000000000001</v>
      </c>
      <c r="F2936" s="148" t="s">
        <v>122</v>
      </c>
      <c r="G2936" s="148">
        <v>1</v>
      </c>
      <c r="H2936" s="61" t="s">
        <v>39</v>
      </c>
      <c r="J2936" s="62" t="s">
        <v>185</v>
      </c>
      <c r="K2936" t="s">
        <v>831</v>
      </c>
      <c r="L2936" s="159">
        <v>2817</v>
      </c>
      <c r="M2936" s="48"/>
      <c r="N2936" s="123"/>
    </row>
    <row r="2937" spans="1:14" customFormat="1" x14ac:dyDescent="0.55000000000000004">
      <c r="A2937" s="101" t="s">
        <v>183</v>
      </c>
      <c r="B2937" s="61" t="s">
        <v>192</v>
      </c>
      <c r="C2937" s="61" t="s">
        <v>124</v>
      </c>
      <c r="D2937" s="61" t="s">
        <v>3288</v>
      </c>
      <c r="E2937" s="119">
        <v>0.56499999999999995</v>
      </c>
      <c r="F2937" s="148" t="s">
        <v>122</v>
      </c>
      <c r="G2937" s="148">
        <v>1</v>
      </c>
      <c r="H2937" s="61" t="s">
        <v>39</v>
      </c>
      <c r="J2937" s="62" t="s">
        <v>185</v>
      </c>
      <c r="K2937" t="s">
        <v>831</v>
      </c>
      <c r="L2937" s="159"/>
      <c r="M2937" s="48"/>
      <c r="N2937" s="123"/>
    </row>
    <row r="2938" spans="1:14" customFormat="1" x14ac:dyDescent="0.55000000000000004">
      <c r="A2938" s="101" t="s">
        <v>164</v>
      </c>
      <c r="B2938" s="61" t="s">
        <v>143</v>
      </c>
      <c r="C2938" s="61" t="s">
        <v>121</v>
      </c>
      <c r="D2938" s="61" t="s">
        <v>2682</v>
      </c>
      <c r="E2938" s="119">
        <v>1</v>
      </c>
      <c r="F2938" s="148">
        <v>1</v>
      </c>
      <c r="G2938" s="148">
        <v>1</v>
      </c>
      <c r="H2938" s="61" t="s">
        <v>39</v>
      </c>
      <c r="J2938" s="62" t="s">
        <v>165</v>
      </c>
      <c r="K2938" t="s">
        <v>831</v>
      </c>
      <c r="L2938" s="159"/>
      <c r="N2938" s="123"/>
    </row>
    <row r="2939" spans="1:14" customFormat="1" x14ac:dyDescent="0.55000000000000004">
      <c r="A2939" s="101" t="s">
        <v>164</v>
      </c>
      <c r="B2939" s="61" t="s">
        <v>166</v>
      </c>
      <c r="C2939" s="61" t="s">
        <v>125</v>
      </c>
      <c r="D2939" s="61" t="s">
        <v>3288</v>
      </c>
      <c r="E2939" s="119">
        <v>0.23</v>
      </c>
      <c r="F2939" s="148" t="s">
        <v>122</v>
      </c>
      <c r="G2939" s="148">
        <v>1</v>
      </c>
      <c r="H2939" s="61" t="s">
        <v>39</v>
      </c>
      <c r="J2939" s="62" t="s">
        <v>165</v>
      </c>
      <c r="K2939" t="s">
        <v>831</v>
      </c>
      <c r="L2939" s="159"/>
      <c r="N2939" s="123"/>
    </row>
    <row r="2940" spans="1:14" customFormat="1" x14ac:dyDescent="0.55000000000000004">
      <c r="A2940" s="101" t="s">
        <v>164</v>
      </c>
      <c r="B2940" s="61" t="s">
        <v>161</v>
      </c>
      <c r="C2940" s="61" t="s">
        <v>125</v>
      </c>
      <c r="D2940" s="61" t="s">
        <v>3288</v>
      </c>
      <c r="E2940" s="119">
        <v>1</v>
      </c>
      <c r="F2940" s="148" t="s">
        <v>122</v>
      </c>
      <c r="G2940" s="148">
        <v>1</v>
      </c>
      <c r="H2940" s="61" t="s">
        <v>39</v>
      </c>
      <c r="J2940" s="62" t="s">
        <v>165</v>
      </c>
      <c r="K2940" t="s">
        <v>831</v>
      </c>
      <c r="L2940" s="159"/>
      <c r="N2940" s="123"/>
    </row>
    <row r="2941" spans="1:14" customFormat="1" x14ac:dyDescent="0.55000000000000004">
      <c r="A2941" s="101" t="s">
        <v>164</v>
      </c>
      <c r="B2941" s="61" t="s">
        <v>153</v>
      </c>
      <c r="C2941" s="61" t="s">
        <v>127</v>
      </c>
      <c r="D2941" s="61" t="s">
        <v>2994</v>
      </c>
      <c r="E2941" s="119">
        <v>4.8</v>
      </c>
      <c r="F2941" s="148" t="s">
        <v>167</v>
      </c>
      <c r="G2941" s="148">
        <v>1</v>
      </c>
      <c r="H2941" s="61" t="s">
        <v>39</v>
      </c>
      <c r="J2941" s="62" t="s">
        <v>165</v>
      </c>
      <c r="K2941" t="s">
        <v>831</v>
      </c>
      <c r="L2941" s="159"/>
      <c r="N2941" s="123"/>
    </row>
    <row r="2942" spans="1:14" customFormat="1" x14ac:dyDescent="0.55000000000000004">
      <c r="A2942" s="101" t="s">
        <v>164</v>
      </c>
      <c r="B2942" s="61" t="s">
        <v>168</v>
      </c>
      <c r="C2942" s="61" t="s">
        <v>127</v>
      </c>
      <c r="D2942" s="61" t="s">
        <v>3288</v>
      </c>
      <c r="E2942" s="119">
        <v>0.747</v>
      </c>
      <c r="F2942" s="148" t="s">
        <v>122</v>
      </c>
      <c r="G2942" s="148">
        <v>1</v>
      </c>
      <c r="H2942" s="61" t="s">
        <v>39</v>
      </c>
      <c r="J2942" s="62" t="s">
        <v>165</v>
      </c>
      <c r="K2942" t="s">
        <v>831</v>
      </c>
      <c r="L2942" s="159"/>
      <c r="N2942" s="123"/>
    </row>
    <row r="2943" spans="1:14" customFormat="1" x14ac:dyDescent="0.55000000000000004">
      <c r="A2943" s="101" t="s">
        <v>164</v>
      </c>
      <c r="B2943" s="61" t="s">
        <v>169</v>
      </c>
      <c r="C2943" s="61" t="s">
        <v>125</v>
      </c>
      <c r="D2943" s="61" t="s">
        <v>3288</v>
      </c>
      <c r="E2943" s="119">
        <v>6.6699999999999995E-4</v>
      </c>
      <c r="F2943" s="148" t="s">
        <v>122</v>
      </c>
      <c r="G2943" s="148">
        <v>1</v>
      </c>
      <c r="H2943" s="61" t="s">
        <v>39</v>
      </c>
      <c r="J2943" s="62" t="s">
        <v>165</v>
      </c>
      <c r="K2943" t="s">
        <v>831</v>
      </c>
      <c r="L2943" s="159"/>
      <c r="N2943" s="123"/>
    </row>
    <row r="2944" spans="1:14" customFormat="1" x14ac:dyDescent="0.55000000000000004">
      <c r="A2944" s="101" t="s">
        <v>164</v>
      </c>
      <c r="B2944" s="61" t="s">
        <v>149</v>
      </c>
      <c r="C2944" s="61" t="s">
        <v>125</v>
      </c>
      <c r="D2944" s="61" t="s">
        <v>3288</v>
      </c>
      <c r="E2944" s="119">
        <v>6.4000000000000003E-3</v>
      </c>
      <c r="F2944" s="148" t="s">
        <v>122</v>
      </c>
      <c r="G2944" s="148">
        <v>1</v>
      </c>
      <c r="H2944" s="61" t="s">
        <v>39</v>
      </c>
      <c r="J2944" s="62" t="s">
        <v>165</v>
      </c>
      <c r="K2944" t="s">
        <v>831</v>
      </c>
      <c r="L2944" s="159"/>
      <c r="N2944" s="123"/>
    </row>
    <row r="2945" spans="1:14" customFormat="1" x14ac:dyDescent="0.55000000000000004">
      <c r="A2945" s="101" t="s">
        <v>164</v>
      </c>
      <c r="B2945" t="s">
        <v>170</v>
      </c>
      <c r="C2945" s="61" t="s">
        <v>125</v>
      </c>
      <c r="D2945" s="61" t="s">
        <v>3288</v>
      </c>
      <c r="E2945" s="119">
        <v>0.5</v>
      </c>
      <c r="F2945" s="148" t="s">
        <v>122</v>
      </c>
      <c r="G2945" s="148">
        <v>1</v>
      </c>
      <c r="H2945" s="61" t="s">
        <v>39</v>
      </c>
      <c r="J2945" s="62" t="s">
        <v>165</v>
      </c>
      <c r="K2945" t="s">
        <v>831</v>
      </c>
      <c r="L2945" s="159"/>
      <c r="N2945" s="123"/>
    </row>
    <row r="2946" spans="1:14" customFormat="1" x14ac:dyDescent="0.55000000000000004">
      <c r="A2946" s="101" t="s">
        <v>164</v>
      </c>
      <c r="B2946" s="61" t="s">
        <v>171</v>
      </c>
      <c r="C2946" s="61" t="s">
        <v>127</v>
      </c>
      <c r="D2946" s="61" t="s">
        <v>3288</v>
      </c>
      <c r="E2946" s="119">
        <v>0.12</v>
      </c>
      <c r="F2946" s="148" t="s">
        <v>122</v>
      </c>
      <c r="G2946" s="148">
        <v>1</v>
      </c>
      <c r="H2946" s="61" t="s">
        <v>39</v>
      </c>
      <c r="J2946" s="62" t="s">
        <v>165</v>
      </c>
      <c r="K2946" t="s">
        <v>831</v>
      </c>
      <c r="L2946" s="159"/>
      <c r="N2946" s="123"/>
    </row>
    <row r="2947" spans="1:14" customFormat="1" x14ac:dyDescent="0.55000000000000004">
      <c r="A2947" s="101" t="s">
        <v>164</v>
      </c>
      <c r="B2947" s="61" t="s">
        <v>150</v>
      </c>
      <c r="C2947" s="61" t="s">
        <v>125</v>
      </c>
      <c r="D2947" s="61" t="s">
        <v>3288</v>
      </c>
      <c r="E2947" s="119">
        <v>4.0000000000000001E-3</v>
      </c>
      <c r="F2947" s="148" t="s">
        <v>122</v>
      </c>
      <c r="G2947" s="148">
        <v>1</v>
      </c>
      <c r="H2947" s="61" t="s">
        <v>39</v>
      </c>
      <c r="J2947" s="62" t="s">
        <v>165</v>
      </c>
      <c r="K2947" t="s">
        <v>831</v>
      </c>
      <c r="L2947" s="159"/>
      <c r="N2947" s="123"/>
    </row>
    <row r="2948" spans="1:14" customFormat="1" x14ac:dyDescent="0.55000000000000004">
      <c r="A2948" s="101" t="s">
        <v>164</v>
      </c>
      <c r="B2948" s="61" t="s">
        <v>172</v>
      </c>
      <c r="C2948" s="61" t="s">
        <v>125</v>
      </c>
      <c r="D2948" s="61" t="s">
        <v>3288</v>
      </c>
      <c r="E2948" s="119">
        <v>1.3299999999999999E-2</v>
      </c>
      <c r="F2948" s="148" t="s">
        <v>122</v>
      </c>
      <c r="G2948" s="148">
        <v>1</v>
      </c>
      <c r="H2948" s="61" t="s">
        <v>39</v>
      </c>
      <c r="J2948" s="62" t="s">
        <v>165</v>
      </c>
      <c r="K2948" t="s">
        <v>831</v>
      </c>
      <c r="L2948" s="159"/>
      <c r="N2948" s="123"/>
    </row>
    <row r="2949" spans="1:14" customFormat="1" x14ac:dyDescent="0.55000000000000004">
      <c r="A2949" s="101" t="s">
        <v>164</v>
      </c>
      <c r="B2949" s="61" t="s">
        <v>173</v>
      </c>
      <c r="C2949" s="61" t="s">
        <v>125</v>
      </c>
      <c r="D2949" s="61" t="s">
        <v>3288</v>
      </c>
      <c r="E2949" s="119">
        <v>1.4</v>
      </c>
      <c r="F2949" s="148" t="s">
        <v>122</v>
      </c>
      <c r="G2949" s="148">
        <v>1</v>
      </c>
      <c r="H2949" s="61" t="s">
        <v>39</v>
      </c>
      <c r="J2949" s="62" t="s">
        <v>165</v>
      </c>
      <c r="K2949" t="s">
        <v>831</v>
      </c>
      <c r="L2949" s="159"/>
      <c r="N2949" s="123"/>
    </row>
    <row r="2950" spans="1:14" customFormat="1" x14ac:dyDescent="0.55000000000000004">
      <c r="A2950" s="101" t="s">
        <v>164</v>
      </c>
      <c r="B2950" s="61" t="s">
        <v>147</v>
      </c>
      <c r="C2950" s="61" t="s">
        <v>125</v>
      </c>
      <c r="D2950" s="61" t="s">
        <v>3288</v>
      </c>
      <c r="E2950" s="119">
        <v>0.4</v>
      </c>
      <c r="F2950" s="148" t="s">
        <v>122</v>
      </c>
      <c r="G2950" s="148">
        <v>1</v>
      </c>
      <c r="H2950" s="61" t="s">
        <v>39</v>
      </c>
      <c r="J2950" s="62" t="s">
        <v>165</v>
      </c>
      <c r="K2950" t="s">
        <v>831</v>
      </c>
      <c r="L2950" s="159"/>
      <c r="N2950" s="123"/>
    </row>
    <row r="2951" spans="1:14" customFormat="1" x14ac:dyDescent="0.55000000000000004">
      <c r="A2951" s="101" t="s">
        <v>164</v>
      </c>
      <c r="B2951" s="61" t="s">
        <v>151</v>
      </c>
      <c r="C2951" s="61" t="s">
        <v>125</v>
      </c>
      <c r="D2951" s="61" t="s">
        <v>3288</v>
      </c>
      <c r="E2951" s="119">
        <v>0.4</v>
      </c>
      <c r="F2951" s="148" t="s">
        <v>122</v>
      </c>
      <c r="G2951" s="148">
        <v>1</v>
      </c>
      <c r="H2951" s="61" t="s">
        <v>39</v>
      </c>
      <c r="J2951" s="62" t="s">
        <v>165</v>
      </c>
      <c r="K2951" t="s">
        <v>831</v>
      </c>
      <c r="L2951" s="159"/>
      <c r="N2951" s="123"/>
    </row>
    <row r="2952" spans="1:14" customFormat="1" x14ac:dyDescent="0.55000000000000004">
      <c r="A2952" s="101" t="s">
        <v>164</v>
      </c>
      <c r="B2952" s="61" t="s">
        <v>174</v>
      </c>
      <c r="C2952" s="61" t="s">
        <v>125</v>
      </c>
      <c r="D2952" s="61" t="s">
        <v>3288</v>
      </c>
      <c r="E2952" s="119">
        <v>0.2</v>
      </c>
      <c r="F2952" s="148" t="s">
        <v>122</v>
      </c>
      <c r="G2952" s="148">
        <v>1</v>
      </c>
      <c r="H2952" s="61" t="s">
        <v>39</v>
      </c>
      <c r="J2952" s="62" t="s">
        <v>165</v>
      </c>
      <c r="K2952" t="s">
        <v>831</v>
      </c>
      <c r="L2952" s="159"/>
      <c r="N2952" s="123"/>
    </row>
    <row r="2953" spans="1:14" customFormat="1" x14ac:dyDescent="0.55000000000000004">
      <c r="A2953" s="101" t="s">
        <v>164</v>
      </c>
      <c r="B2953" s="61" t="s">
        <v>175</v>
      </c>
      <c r="C2953" s="61" t="s">
        <v>125</v>
      </c>
      <c r="D2953" s="61" t="s">
        <v>3288</v>
      </c>
      <c r="E2953" s="119">
        <v>0.1</v>
      </c>
      <c r="F2953" s="148" t="s">
        <v>122</v>
      </c>
      <c r="G2953" s="148">
        <v>1</v>
      </c>
      <c r="H2953" s="61" t="s">
        <v>39</v>
      </c>
      <c r="J2953" s="62" t="s">
        <v>165</v>
      </c>
      <c r="K2953" t="s">
        <v>831</v>
      </c>
      <c r="L2953" s="159"/>
      <c r="N2953" s="123"/>
    </row>
    <row r="2954" spans="1:14" customFormat="1" x14ac:dyDescent="0.55000000000000004">
      <c r="A2954" s="101" t="s">
        <v>164</v>
      </c>
      <c r="B2954" s="61" t="s">
        <v>176</v>
      </c>
      <c r="C2954" s="61" t="s">
        <v>125</v>
      </c>
      <c r="D2954" s="61" t="s">
        <v>3288</v>
      </c>
      <c r="E2954" s="119">
        <v>0.2</v>
      </c>
      <c r="F2954" s="148" t="s">
        <v>122</v>
      </c>
      <c r="G2954" s="148">
        <v>1</v>
      </c>
      <c r="H2954" s="61" t="s">
        <v>39</v>
      </c>
      <c r="J2954" s="62" t="s">
        <v>165</v>
      </c>
      <c r="K2954" t="s">
        <v>831</v>
      </c>
      <c r="L2954" s="159"/>
      <c r="N2954" s="123"/>
    </row>
    <row r="2955" spans="1:14" customFormat="1" x14ac:dyDescent="0.55000000000000004">
      <c r="A2955" s="101" t="s">
        <v>164</v>
      </c>
      <c r="B2955" s="61" t="s">
        <v>145</v>
      </c>
      <c r="C2955" s="61" t="s">
        <v>125</v>
      </c>
      <c r="D2955" s="61" t="s">
        <v>3288</v>
      </c>
      <c r="E2955" s="119">
        <v>1.18</v>
      </c>
      <c r="F2955" s="148" t="s">
        <v>122</v>
      </c>
      <c r="G2955" s="148">
        <v>1</v>
      </c>
      <c r="H2955" s="61" t="s">
        <v>39</v>
      </c>
      <c r="J2955" s="62" t="s">
        <v>165</v>
      </c>
      <c r="K2955" t="s">
        <v>831</v>
      </c>
      <c r="L2955" s="159"/>
      <c r="N2955" s="123"/>
    </row>
    <row r="2956" spans="1:14" customFormat="1" x14ac:dyDescent="0.55000000000000004">
      <c r="A2956" s="101" t="s">
        <v>164</v>
      </c>
      <c r="B2956" s="61" t="s">
        <v>154</v>
      </c>
      <c r="C2956" s="61" t="s">
        <v>132</v>
      </c>
      <c r="D2956" s="61" t="s">
        <v>3288</v>
      </c>
      <c r="E2956" s="119">
        <v>0.28000000000000003</v>
      </c>
      <c r="F2956" s="148" t="s">
        <v>122</v>
      </c>
      <c r="G2956" s="148">
        <v>1</v>
      </c>
      <c r="H2956" s="61" t="s">
        <v>39</v>
      </c>
      <c r="J2956" s="62" t="s">
        <v>165</v>
      </c>
      <c r="K2956" t="s">
        <v>831</v>
      </c>
      <c r="L2956" s="159"/>
      <c r="N2956" s="123"/>
    </row>
    <row r="2957" spans="1:14" customFormat="1" x14ac:dyDescent="0.55000000000000004">
      <c r="A2957" s="101" t="s">
        <v>164</v>
      </c>
      <c r="B2957" s="61" t="s">
        <v>177</v>
      </c>
      <c r="C2957" s="61" t="s">
        <v>156</v>
      </c>
      <c r="D2957" s="61" t="s">
        <v>3288</v>
      </c>
      <c r="E2957" s="119">
        <v>0.02</v>
      </c>
      <c r="F2957" s="148" t="s">
        <v>122</v>
      </c>
      <c r="G2957" s="148">
        <v>1</v>
      </c>
      <c r="H2957" s="61" t="s">
        <v>39</v>
      </c>
      <c r="J2957" s="62" t="s">
        <v>165</v>
      </c>
      <c r="K2957" t="s">
        <v>831</v>
      </c>
      <c r="L2957" s="159"/>
      <c r="N2957" s="123"/>
    </row>
    <row r="2958" spans="1:14" customFormat="1" x14ac:dyDescent="0.55000000000000004">
      <c r="A2958" s="101" t="s">
        <v>164</v>
      </c>
      <c r="B2958" s="61" t="s">
        <v>178</v>
      </c>
      <c r="C2958" s="61" t="s">
        <v>156</v>
      </c>
      <c r="D2958" s="61" t="s">
        <v>3288</v>
      </c>
      <c r="E2958" s="119">
        <v>0.2</v>
      </c>
      <c r="F2958" s="148" t="s">
        <v>122</v>
      </c>
      <c r="G2958" s="148">
        <v>1</v>
      </c>
      <c r="H2958" s="61" t="s">
        <v>39</v>
      </c>
      <c r="J2958" s="62" t="s">
        <v>165</v>
      </c>
      <c r="K2958" t="s">
        <v>831</v>
      </c>
      <c r="L2958" s="159"/>
      <c r="N2958" s="123"/>
    </row>
    <row r="2959" spans="1:14" customFormat="1" x14ac:dyDescent="0.55000000000000004">
      <c r="A2959" s="101" t="s">
        <v>164</v>
      </c>
      <c r="B2959" s="61" t="s">
        <v>160</v>
      </c>
      <c r="C2959" s="61" t="s">
        <v>124</v>
      </c>
      <c r="D2959" s="61" t="s">
        <v>3288</v>
      </c>
      <c r="E2959" s="119">
        <v>1</v>
      </c>
      <c r="F2959" s="148" t="s">
        <v>122</v>
      </c>
      <c r="G2959" s="148">
        <v>1</v>
      </c>
      <c r="H2959" s="61" t="s">
        <v>39</v>
      </c>
      <c r="J2959" s="62" t="s">
        <v>165</v>
      </c>
      <c r="K2959" t="s">
        <v>831</v>
      </c>
      <c r="L2959" s="159"/>
      <c r="N2959" s="123"/>
    </row>
    <row r="2960" spans="1:14" customFormat="1" x14ac:dyDescent="0.55000000000000004">
      <c r="A2960" s="101" t="s">
        <v>164</v>
      </c>
      <c r="B2960" s="61" t="s">
        <v>179</v>
      </c>
      <c r="C2960" s="61" t="s">
        <v>124</v>
      </c>
      <c r="D2960" s="61" t="s">
        <v>3288</v>
      </c>
      <c r="E2960" s="119">
        <v>4.71</v>
      </c>
      <c r="F2960" s="148" t="s">
        <v>122</v>
      </c>
      <c r="G2960" s="148">
        <v>1</v>
      </c>
      <c r="H2960" s="61" t="s">
        <v>39</v>
      </c>
      <c r="J2960" s="62" t="s">
        <v>165</v>
      </c>
      <c r="K2960" t="s">
        <v>831</v>
      </c>
      <c r="L2960" s="159"/>
      <c r="N2960" s="123"/>
    </row>
    <row r="2961" spans="1:15" customFormat="1" x14ac:dyDescent="0.55000000000000004">
      <c r="A2961" s="101" t="s">
        <v>164</v>
      </c>
      <c r="B2961" s="61" t="s">
        <v>180</v>
      </c>
      <c r="C2961" s="61" t="s">
        <v>163</v>
      </c>
      <c r="D2961" s="61" t="s">
        <v>3288</v>
      </c>
      <c r="E2961" s="119">
        <v>0.53300000000000003</v>
      </c>
      <c r="F2961" s="148" t="s">
        <v>122</v>
      </c>
      <c r="G2961" s="148">
        <v>1</v>
      </c>
      <c r="H2961" s="61" t="s">
        <v>39</v>
      </c>
      <c r="J2961" s="62" t="s">
        <v>165</v>
      </c>
      <c r="K2961" t="s">
        <v>831</v>
      </c>
      <c r="L2961" s="159"/>
      <c r="N2961" s="123"/>
    </row>
    <row r="2962" spans="1:15" customFormat="1" x14ac:dyDescent="0.55000000000000004">
      <c r="A2962" s="101" t="s">
        <v>164</v>
      </c>
      <c r="B2962" s="61" t="s">
        <v>181</v>
      </c>
      <c r="C2962" s="61" t="s">
        <v>163</v>
      </c>
      <c r="D2962" s="61" t="s">
        <v>3288</v>
      </c>
      <c r="E2962" s="119">
        <v>0.22700000000000001</v>
      </c>
      <c r="F2962" s="148" t="s">
        <v>122</v>
      </c>
      <c r="G2962" s="148">
        <v>1</v>
      </c>
      <c r="H2962" s="61" t="s">
        <v>39</v>
      </c>
      <c r="J2962" s="62" t="s">
        <v>165</v>
      </c>
      <c r="K2962" t="s">
        <v>831</v>
      </c>
      <c r="L2962" s="159"/>
      <c r="N2962" s="123"/>
    </row>
    <row r="2963" spans="1:15" customFormat="1" x14ac:dyDescent="0.55000000000000004">
      <c r="A2963" s="101" t="s">
        <v>164</v>
      </c>
      <c r="B2963" s="61" t="s">
        <v>155</v>
      </c>
      <c r="C2963" s="61" t="s">
        <v>156</v>
      </c>
      <c r="D2963" s="61" t="s">
        <v>3288</v>
      </c>
      <c r="E2963" s="119">
        <v>1E-3</v>
      </c>
      <c r="F2963" s="148" t="s">
        <v>122</v>
      </c>
      <c r="G2963" s="148">
        <v>1</v>
      </c>
      <c r="H2963" s="61" t="s">
        <v>39</v>
      </c>
      <c r="J2963" s="62" t="s">
        <v>165</v>
      </c>
      <c r="K2963" t="s">
        <v>831</v>
      </c>
      <c r="L2963" s="159">
        <v>7108</v>
      </c>
      <c r="N2963" s="123"/>
    </row>
    <row r="2964" spans="1:15" customFormat="1" x14ac:dyDescent="0.55000000000000004">
      <c r="A2964" s="101" t="s">
        <v>164</v>
      </c>
      <c r="B2964" s="61" t="s">
        <v>182</v>
      </c>
      <c r="C2964" s="61" t="s">
        <v>156</v>
      </c>
      <c r="D2964" s="61" t="s">
        <v>3288</v>
      </c>
      <c r="E2964" s="119">
        <v>9.3299999999999994E-2</v>
      </c>
      <c r="F2964" s="148" t="s">
        <v>122</v>
      </c>
      <c r="G2964" s="148">
        <v>1</v>
      </c>
      <c r="H2964" s="61" t="s">
        <v>39</v>
      </c>
      <c r="J2964" s="62" t="s">
        <v>165</v>
      </c>
      <c r="K2964" t="s">
        <v>831</v>
      </c>
      <c r="L2964" s="159">
        <v>282540</v>
      </c>
      <c r="N2964" s="123"/>
    </row>
    <row r="2965" spans="1:15" customFormat="1" x14ac:dyDescent="0.55000000000000004">
      <c r="A2965" s="101" t="s">
        <v>164</v>
      </c>
      <c r="B2965" s="61" t="s">
        <v>159</v>
      </c>
      <c r="C2965" s="61" t="s">
        <v>156</v>
      </c>
      <c r="D2965" s="61" t="s">
        <v>3288</v>
      </c>
      <c r="E2965" s="119">
        <v>3.3300000000000003E-2</v>
      </c>
      <c r="F2965" s="148" t="s">
        <v>122</v>
      </c>
      <c r="G2965" s="148">
        <v>1</v>
      </c>
      <c r="H2965" s="61" t="s">
        <v>39</v>
      </c>
      <c r="J2965" s="62" t="s">
        <v>165</v>
      </c>
      <c r="K2965" t="s">
        <v>831</v>
      </c>
      <c r="L2965" s="159">
        <v>280490</v>
      </c>
      <c r="N2965" s="123"/>
    </row>
    <row r="2966" spans="1:15" customFormat="1" x14ac:dyDescent="0.55000000000000004">
      <c r="A2966" s="101" t="s">
        <v>164</v>
      </c>
      <c r="B2966" s="61" t="s">
        <v>157</v>
      </c>
      <c r="C2966" s="61" t="s">
        <v>156</v>
      </c>
      <c r="D2966" s="61" t="s">
        <v>3288</v>
      </c>
      <c r="E2966" s="119">
        <v>0.06</v>
      </c>
      <c r="F2966" s="148" t="s">
        <v>122</v>
      </c>
      <c r="G2966" s="148">
        <v>1</v>
      </c>
      <c r="H2966" s="61" t="s">
        <v>39</v>
      </c>
      <c r="J2966" s="62" t="s">
        <v>165</v>
      </c>
      <c r="K2966" t="s">
        <v>831</v>
      </c>
      <c r="L2966" s="159">
        <v>7106</v>
      </c>
      <c r="N2966" s="123"/>
    </row>
    <row r="2967" spans="1:15" customFormat="1" x14ac:dyDescent="0.55000000000000004">
      <c r="A2967" s="101" t="s">
        <v>142</v>
      </c>
      <c r="B2967" s="61" t="s">
        <v>143</v>
      </c>
      <c r="C2967" s="61" t="s">
        <v>121</v>
      </c>
      <c r="D2967" s="61" t="s">
        <v>2682</v>
      </c>
      <c r="E2967" s="119">
        <v>1</v>
      </c>
      <c r="F2967" s="148">
        <v>1</v>
      </c>
      <c r="G2967" s="148">
        <v>1</v>
      </c>
      <c r="H2967" s="61" t="s">
        <v>39</v>
      </c>
      <c r="J2967" s="62" t="s">
        <v>144</v>
      </c>
      <c r="K2967" t="s">
        <v>831</v>
      </c>
      <c r="L2967" s="159"/>
      <c r="M2967" s="48"/>
      <c r="N2967" s="123"/>
      <c r="O2967" t="str" cm="1">
        <f t="array" ref="O2967">IF(INDEX([1]Data!$A:$L,MATCH($A2967&amp;$B2967&amp;$E2967,[1]Data!$A:$A&amp;[1]Data!$B:$B&amp;[1]Data!$F:$F,0),11)=0,"",INDEX([1]Data!$A:$L,MATCH($A2967&amp;$B2967&amp;$E2967,[1]Data!$A:$A&amp;[1]Data!$B:$B&amp;[1]Data!$F:$F,0),11))</f>
        <v/>
      </c>
    </row>
    <row r="2968" spans="1:15" customFormat="1" x14ac:dyDescent="0.55000000000000004">
      <c r="A2968" s="101" t="s">
        <v>142</v>
      </c>
      <c r="B2968" s="61" t="s">
        <v>145</v>
      </c>
      <c r="C2968" s="61" t="s">
        <v>125</v>
      </c>
      <c r="D2968" s="61" t="s">
        <v>3288</v>
      </c>
      <c r="E2968" s="119">
        <v>3.9600000000000003E-2</v>
      </c>
      <c r="F2968" s="148" t="s">
        <v>122</v>
      </c>
      <c r="G2968" s="148">
        <v>1</v>
      </c>
      <c r="H2968" s="61" t="s">
        <v>39</v>
      </c>
      <c r="J2968" s="62" t="s">
        <v>144</v>
      </c>
      <c r="K2968" t="s">
        <v>831</v>
      </c>
      <c r="L2968" s="159"/>
      <c r="M2968" s="48"/>
      <c r="N2968" s="123"/>
    </row>
    <row r="2969" spans="1:15" customFormat="1" x14ac:dyDescent="0.55000000000000004">
      <c r="A2969" s="101" t="s">
        <v>142</v>
      </c>
      <c r="B2969" s="61" t="s">
        <v>146</v>
      </c>
      <c r="C2969" s="61" t="s">
        <v>132</v>
      </c>
      <c r="D2969" s="61" t="s">
        <v>3288</v>
      </c>
      <c r="E2969" s="119">
        <v>4.9000000000000002E-2</v>
      </c>
      <c r="F2969" s="148" t="s">
        <v>122</v>
      </c>
      <c r="G2969" s="148">
        <v>1</v>
      </c>
      <c r="H2969" s="61" t="s">
        <v>39</v>
      </c>
      <c r="J2969" s="62" t="s">
        <v>144</v>
      </c>
      <c r="K2969" t="s">
        <v>831</v>
      </c>
      <c r="L2969" s="159"/>
      <c r="M2969" s="48"/>
      <c r="N2969" s="123"/>
    </row>
    <row r="2970" spans="1:15" customFormat="1" x14ac:dyDescent="0.55000000000000004">
      <c r="A2970" s="101" t="s">
        <v>142</v>
      </c>
      <c r="B2970" s="61" t="s">
        <v>147</v>
      </c>
      <c r="C2970" s="61" t="s">
        <v>125</v>
      </c>
      <c r="D2970" s="61" t="s">
        <v>3288</v>
      </c>
      <c r="E2970" s="119">
        <v>5.6000000000000001E-2</v>
      </c>
      <c r="F2970" s="148" t="s">
        <v>122</v>
      </c>
      <c r="G2970" s="148">
        <v>1</v>
      </c>
      <c r="H2970" s="61" t="s">
        <v>39</v>
      </c>
      <c r="J2970" s="62" t="s">
        <v>144</v>
      </c>
      <c r="K2970" t="s">
        <v>831</v>
      </c>
      <c r="L2970" s="159"/>
      <c r="M2970" s="48"/>
      <c r="N2970" s="123"/>
    </row>
    <row r="2971" spans="1:15" customFormat="1" x14ac:dyDescent="0.55000000000000004">
      <c r="A2971" s="101" t="s">
        <v>142</v>
      </c>
      <c r="B2971" s="61" t="s">
        <v>148</v>
      </c>
      <c r="C2971" s="61" t="s">
        <v>125</v>
      </c>
      <c r="D2971" s="61" t="s">
        <v>3288</v>
      </c>
      <c r="E2971" s="119">
        <v>0.71699999999999997</v>
      </c>
      <c r="F2971" s="148" t="s">
        <v>122</v>
      </c>
      <c r="G2971" s="148">
        <v>1</v>
      </c>
      <c r="H2971" s="61" t="s">
        <v>39</v>
      </c>
      <c r="J2971" s="62" t="s">
        <v>144</v>
      </c>
      <c r="K2971" t="s">
        <v>831</v>
      </c>
      <c r="L2971" s="159"/>
      <c r="N2971" s="123"/>
    </row>
    <row r="2972" spans="1:15" customFormat="1" x14ac:dyDescent="0.55000000000000004">
      <c r="A2972" s="101" t="s">
        <v>142</v>
      </c>
      <c r="B2972" s="61" t="s">
        <v>149</v>
      </c>
      <c r="C2972" s="61" t="s">
        <v>125</v>
      </c>
      <c r="D2972" s="61" t="s">
        <v>3288</v>
      </c>
      <c r="E2972" s="119">
        <v>3.2300000000000002E-2</v>
      </c>
      <c r="F2972" s="148" t="s">
        <v>122</v>
      </c>
      <c r="G2972" s="148">
        <v>1</v>
      </c>
      <c r="H2972" s="61" t="s">
        <v>39</v>
      </c>
      <c r="J2972" s="62" t="s">
        <v>144</v>
      </c>
      <c r="K2972" t="s">
        <v>831</v>
      </c>
      <c r="L2972" s="159"/>
      <c r="N2972" s="123"/>
    </row>
    <row r="2973" spans="1:15" customFormat="1" x14ac:dyDescent="0.55000000000000004">
      <c r="A2973" s="101" t="s">
        <v>142</v>
      </c>
      <c r="B2973" s="61" t="s">
        <v>150</v>
      </c>
      <c r="C2973" s="61" t="s">
        <v>125</v>
      </c>
      <c r="D2973" s="61" t="s">
        <v>3288</v>
      </c>
      <c r="E2973" s="119">
        <v>8.5100000000000002E-3</v>
      </c>
      <c r="F2973" s="148" t="s">
        <v>122</v>
      </c>
      <c r="G2973" s="148">
        <v>1</v>
      </c>
      <c r="H2973" s="61" t="s">
        <v>39</v>
      </c>
      <c r="J2973" s="62" t="s">
        <v>144</v>
      </c>
      <c r="K2973" t="s">
        <v>831</v>
      </c>
      <c r="L2973" s="159"/>
      <c r="N2973" s="123"/>
    </row>
    <row r="2974" spans="1:15" customFormat="1" x14ac:dyDescent="0.55000000000000004">
      <c r="A2974" s="101" t="s">
        <v>142</v>
      </c>
      <c r="B2974" s="61" t="s">
        <v>151</v>
      </c>
      <c r="C2974" s="61" t="s">
        <v>125</v>
      </c>
      <c r="D2974" s="61" t="s">
        <v>3288</v>
      </c>
      <c r="E2974" s="119">
        <v>1.6999999999999999E-3</v>
      </c>
      <c r="F2974" s="148" t="s">
        <v>122</v>
      </c>
      <c r="G2974" s="148">
        <v>1</v>
      </c>
      <c r="H2974" s="61" t="s">
        <v>39</v>
      </c>
      <c r="J2974" s="62" t="s">
        <v>144</v>
      </c>
      <c r="K2974" t="s">
        <v>831</v>
      </c>
      <c r="L2974" s="159"/>
      <c r="N2974" s="123"/>
    </row>
    <row r="2975" spans="1:15" customFormat="1" x14ac:dyDescent="0.55000000000000004">
      <c r="A2975" s="101" t="s">
        <v>142</v>
      </c>
      <c r="B2975" s="61" t="s">
        <v>152</v>
      </c>
      <c r="C2975" s="61" t="s">
        <v>125</v>
      </c>
      <c r="D2975" s="61" t="s">
        <v>3288</v>
      </c>
      <c r="E2975" s="119">
        <v>6.0000000000000002E-5</v>
      </c>
      <c r="F2975" s="148" t="s">
        <v>122</v>
      </c>
      <c r="G2975" s="148">
        <v>1</v>
      </c>
      <c r="H2975" s="61" t="s">
        <v>39</v>
      </c>
      <c r="J2975" s="62" t="s">
        <v>144</v>
      </c>
      <c r="K2975" t="s">
        <v>831</v>
      </c>
      <c r="L2975" s="159"/>
      <c r="N2975" s="123"/>
    </row>
    <row r="2976" spans="1:15" customFormat="1" x14ac:dyDescent="0.55000000000000004">
      <c r="A2976" s="101" t="s">
        <v>142</v>
      </c>
      <c r="B2976" s="61" t="s">
        <v>153</v>
      </c>
      <c r="C2976" s="61" t="s">
        <v>127</v>
      </c>
      <c r="D2976" s="61" t="s">
        <v>2994</v>
      </c>
      <c r="E2976" s="119">
        <v>3.15</v>
      </c>
      <c r="F2976" s="148" t="s">
        <v>130</v>
      </c>
      <c r="G2976" s="148">
        <v>1</v>
      </c>
      <c r="H2976" s="61" t="s">
        <v>39</v>
      </c>
      <c r="J2976" s="62" t="s">
        <v>144</v>
      </c>
      <c r="K2976" t="s">
        <v>831</v>
      </c>
      <c r="L2976" s="159"/>
      <c r="N2976" s="123"/>
    </row>
    <row r="2977" spans="1:15" customFormat="1" x14ac:dyDescent="0.55000000000000004">
      <c r="A2977" s="101" t="s">
        <v>142</v>
      </c>
      <c r="B2977" s="61" t="s">
        <v>154</v>
      </c>
      <c r="C2977" s="61" t="s">
        <v>132</v>
      </c>
      <c r="D2977" s="61" t="s">
        <v>3288</v>
      </c>
      <c r="E2977" s="119">
        <v>1.1499999999999999</v>
      </c>
      <c r="F2977" s="148" t="s">
        <v>122</v>
      </c>
      <c r="G2977" s="148">
        <v>1</v>
      </c>
      <c r="H2977" s="61" t="s">
        <v>39</v>
      </c>
      <c r="J2977" s="62" t="s">
        <v>144</v>
      </c>
      <c r="K2977" t="s">
        <v>831</v>
      </c>
      <c r="L2977" s="159"/>
      <c r="N2977" s="123"/>
    </row>
    <row r="2978" spans="1:15" customFormat="1" x14ac:dyDescent="0.55000000000000004">
      <c r="A2978" s="101" t="s">
        <v>142</v>
      </c>
      <c r="B2978" s="61" t="s">
        <v>155</v>
      </c>
      <c r="C2978" s="61" t="s">
        <v>156</v>
      </c>
      <c r="D2978" s="61" t="s">
        <v>3288</v>
      </c>
      <c r="E2978" s="119">
        <v>1.67E-3</v>
      </c>
      <c r="F2978" s="148" t="s">
        <v>122</v>
      </c>
      <c r="G2978" s="148">
        <v>1</v>
      </c>
      <c r="H2978" s="61" t="s">
        <v>39</v>
      </c>
      <c r="J2978" s="62" t="s">
        <v>144</v>
      </c>
      <c r="K2978" t="s">
        <v>831</v>
      </c>
      <c r="L2978" s="159">
        <v>7108</v>
      </c>
      <c r="N2978" s="123"/>
    </row>
    <row r="2979" spans="1:15" customFormat="1" x14ac:dyDescent="0.55000000000000004">
      <c r="A2979" s="101" t="s">
        <v>142</v>
      </c>
      <c r="B2979" s="61" t="s">
        <v>157</v>
      </c>
      <c r="C2979" s="61" t="s">
        <v>156</v>
      </c>
      <c r="D2979" s="61" t="s">
        <v>3288</v>
      </c>
      <c r="E2979" s="119">
        <v>3.7900000000000003E-2</v>
      </c>
      <c r="F2979" s="148" t="s">
        <v>122</v>
      </c>
      <c r="G2979" s="148">
        <v>1</v>
      </c>
      <c r="H2979" s="61" t="s">
        <v>39</v>
      </c>
      <c r="J2979" s="62" t="s">
        <v>144</v>
      </c>
      <c r="K2979" t="s">
        <v>831</v>
      </c>
      <c r="L2979" s="159">
        <v>7106</v>
      </c>
      <c r="N2979" s="123"/>
    </row>
    <row r="2980" spans="1:15" customFormat="1" x14ac:dyDescent="0.55000000000000004">
      <c r="A2980" s="101" t="s">
        <v>142</v>
      </c>
      <c r="B2980" s="61" t="s">
        <v>158</v>
      </c>
      <c r="C2980" s="61" t="s">
        <v>156</v>
      </c>
      <c r="D2980" s="61" t="s">
        <v>3288</v>
      </c>
      <c r="E2980" s="119">
        <v>2.3E-2</v>
      </c>
      <c r="F2980" s="148" t="s">
        <v>122</v>
      </c>
      <c r="G2980" s="148">
        <v>1</v>
      </c>
      <c r="H2980" s="61" t="s">
        <v>39</v>
      </c>
      <c r="J2980" s="62" t="s">
        <v>144</v>
      </c>
      <c r="K2980" t="s">
        <v>831</v>
      </c>
      <c r="L2980" s="159">
        <v>7406</v>
      </c>
      <c r="N2980" s="123"/>
    </row>
    <row r="2981" spans="1:15" customFormat="1" x14ac:dyDescent="0.55000000000000004">
      <c r="A2981" s="101" t="s">
        <v>142</v>
      </c>
      <c r="B2981" s="61" t="s">
        <v>159</v>
      </c>
      <c r="C2981" s="61" t="s">
        <v>156</v>
      </c>
      <c r="D2981" s="61" t="s">
        <v>3288</v>
      </c>
      <c r="E2981" s="119">
        <v>4.5499999999999999E-2</v>
      </c>
      <c r="F2981" s="148" t="s">
        <v>122</v>
      </c>
      <c r="G2981" s="148">
        <v>1</v>
      </c>
      <c r="H2981" s="61" t="s">
        <v>39</v>
      </c>
      <c r="J2981" s="62" t="s">
        <v>144</v>
      </c>
      <c r="K2981" t="s">
        <v>831</v>
      </c>
      <c r="L2981" s="159">
        <v>280490</v>
      </c>
      <c r="N2981" s="123"/>
    </row>
    <row r="2982" spans="1:15" customFormat="1" x14ac:dyDescent="0.55000000000000004">
      <c r="A2982" s="101" t="s">
        <v>142</v>
      </c>
      <c r="B2982" s="61" t="s">
        <v>160</v>
      </c>
      <c r="C2982" s="61" t="s">
        <v>124</v>
      </c>
      <c r="D2982" s="61" t="s">
        <v>3288</v>
      </c>
      <c r="E2982" s="119">
        <v>1.1200000000000001</v>
      </c>
      <c r="F2982" s="148" t="s">
        <v>122</v>
      </c>
      <c r="G2982" s="148">
        <v>1</v>
      </c>
      <c r="H2982" s="61" t="s">
        <v>39</v>
      </c>
      <c r="J2982" s="62" t="s">
        <v>144</v>
      </c>
      <c r="K2982" t="s">
        <v>831</v>
      </c>
      <c r="L2982" s="159"/>
      <c r="N2982" s="123"/>
    </row>
    <row r="2983" spans="1:15" customFormat="1" x14ac:dyDescent="0.55000000000000004">
      <c r="A2983" s="101" t="s">
        <v>142</v>
      </c>
      <c r="B2983" s="61" t="s">
        <v>161</v>
      </c>
      <c r="C2983" s="61" t="s">
        <v>125</v>
      </c>
      <c r="D2983" s="61" t="s">
        <v>3288</v>
      </c>
      <c r="E2983" s="119">
        <v>1</v>
      </c>
      <c r="F2983" s="148" t="s">
        <v>122</v>
      </c>
      <c r="G2983" s="148">
        <v>1</v>
      </c>
      <c r="H2983" s="61" t="s">
        <v>39</v>
      </c>
      <c r="J2983" s="62" t="s">
        <v>144</v>
      </c>
      <c r="K2983" t="s">
        <v>831</v>
      </c>
      <c r="L2983" s="159"/>
      <c r="N2983" s="123"/>
    </row>
    <row r="2984" spans="1:15" customFormat="1" x14ac:dyDescent="0.55000000000000004">
      <c r="A2984" s="101" t="s">
        <v>142</v>
      </c>
      <c r="B2984" s="61" t="s">
        <v>162</v>
      </c>
      <c r="C2984" s="61" t="s">
        <v>163</v>
      </c>
      <c r="D2984" s="61" t="s">
        <v>3288</v>
      </c>
      <c r="E2984" s="119">
        <v>0.48</v>
      </c>
      <c r="F2984" s="148" t="s">
        <v>122</v>
      </c>
      <c r="G2984" s="148">
        <v>1</v>
      </c>
      <c r="H2984" s="61" t="s">
        <v>39</v>
      </c>
      <c r="J2984" s="62" t="s">
        <v>144</v>
      </c>
      <c r="K2984" t="s">
        <v>831</v>
      </c>
      <c r="L2984" s="159"/>
      <c r="N2984" s="123"/>
    </row>
    <row r="2985" spans="1:15" customFormat="1" x14ac:dyDescent="0.55000000000000004">
      <c r="A2985" s="132" t="s">
        <v>2250</v>
      </c>
      <c r="B2985" s="133" t="s">
        <v>2587</v>
      </c>
      <c r="C2985" s="133" t="s">
        <v>121</v>
      </c>
      <c r="D2985" s="133" t="s">
        <v>2682</v>
      </c>
      <c r="E2985" s="138">
        <v>1</v>
      </c>
      <c r="F2985" s="153">
        <v>1</v>
      </c>
      <c r="G2985" s="153">
        <v>1</v>
      </c>
      <c r="H2985" s="133" t="s">
        <v>39</v>
      </c>
      <c r="I2985" s="133"/>
      <c r="J2985" s="133" t="s">
        <v>2249</v>
      </c>
      <c r="K2985" s="133" t="s">
        <v>831</v>
      </c>
      <c r="L2985" s="167"/>
      <c r="M2985" s="68"/>
      <c r="N2985" s="123"/>
      <c r="O2985" s="68"/>
    </row>
    <row r="2986" spans="1:15" customFormat="1" x14ac:dyDescent="0.55000000000000004">
      <c r="A2986" s="132" t="s">
        <v>2250</v>
      </c>
      <c r="B2986" s="133" t="s">
        <v>2588</v>
      </c>
      <c r="C2986" s="133" t="s">
        <v>156</v>
      </c>
      <c r="D2986" s="133" t="s">
        <v>3288</v>
      </c>
      <c r="E2986" s="138">
        <v>0.996</v>
      </c>
      <c r="F2986" s="153" t="s">
        <v>135</v>
      </c>
      <c r="G2986" s="153">
        <v>1</v>
      </c>
      <c r="H2986" s="134" t="s">
        <v>39</v>
      </c>
      <c r="I2986" s="133"/>
      <c r="J2986" s="133" t="s">
        <v>2249</v>
      </c>
      <c r="K2986" s="133" t="s">
        <v>831</v>
      </c>
      <c r="L2986" s="167"/>
      <c r="M2986" s="48"/>
      <c r="N2986" s="123"/>
    </row>
    <row r="2987" spans="1:15" customFormat="1" x14ac:dyDescent="0.55000000000000004">
      <c r="A2987" s="132" t="s">
        <v>2250</v>
      </c>
      <c r="B2987" s="133" t="s">
        <v>2589</v>
      </c>
      <c r="C2987" s="133" t="s">
        <v>156</v>
      </c>
      <c r="D2987" s="133" t="s">
        <v>3288</v>
      </c>
      <c r="E2987" s="138">
        <v>2.0100000000000001E-5</v>
      </c>
      <c r="F2987" s="153" t="s">
        <v>135</v>
      </c>
      <c r="G2987" s="153">
        <v>1</v>
      </c>
      <c r="H2987" s="134" t="s">
        <v>39</v>
      </c>
      <c r="I2987" s="133"/>
      <c r="J2987" s="133" t="s">
        <v>2249</v>
      </c>
      <c r="K2987" s="135" t="s">
        <v>831</v>
      </c>
      <c r="L2987" s="167"/>
      <c r="M2987" s="48"/>
      <c r="N2987" s="123"/>
    </row>
    <row r="2988" spans="1:15" customFormat="1" x14ac:dyDescent="0.55000000000000004">
      <c r="A2988" s="132" t="s">
        <v>2250</v>
      </c>
      <c r="B2988" s="133" t="s">
        <v>2590</v>
      </c>
      <c r="C2988" s="133" t="s">
        <v>156</v>
      </c>
      <c r="D2988" s="133" t="s">
        <v>3288</v>
      </c>
      <c r="E2988" s="138">
        <v>4.4900000000000001E-3</v>
      </c>
      <c r="F2988" s="153" t="s">
        <v>135</v>
      </c>
      <c r="G2988" s="153">
        <v>1</v>
      </c>
      <c r="H2988" s="134" t="s">
        <v>39</v>
      </c>
      <c r="I2988" s="133"/>
      <c r="J2988" s="133" t="s">
        <v>2249</v>
      </c>
      <c r="K2988" s="133" t="s">
        <v>831</v>
      </c>
      <c r="L2988" s="167"/>
      <c r="M2988" s="48"/>
      <c r="N2988" s="123"/>
    </row>
    <row r="2989" spans="1:15" customFormat="1" x14ac:dyDescent="0.55000000000000004">
      <c r="A2989" s="132" t="s">
        <v>2250</v>
      </c>
      <c r="B2989" s="133" t="s">
        <v>2591</v>
      </c>
      <c r="C2989" s="133" t="s">
        <v>156</v>
      </c>
      <c r="D2989" s="133" t="s">
        <v>3288</v>
      </c>
      <c r="E2989" s="138">
        <v>1.0000000000000001E-5</v>
      </c>
      <c r="F2989" s="153" t="s">
        <v>135</v>
      </c>
      <c r="G2989" s="153">
        <v>1</v>
      </c>
      <c r="H2989" s="134" t="s">
        <v>39</v>
      </c>
      <c r="I2989" s="133"/>
      <c r="J2989" s="133" t="s">
        <v>2249</v>
      </c>
      <c r="K2989" s="133" t="s">
        <v>831</v>
      </c>
      <c r="L2989" s="167"/>
      <c r="M2989" s="48"/>
      <c r="N2989" s="123"/>
    </row>
    <row r="2990" spans="1:15" customFormat="1" x14ac:dyDescent="0.55000000000000004">
      <c r="A2990" s="132" t="s">
        <v>2250</v>
      </c>
      <c r="B2990" s="133" t="s">
        <v>2592</v>
      </c>
      <c r="C2990" s="133" t="s">
        <v>127</v>
      </c>
      <c r="D2990" s="133" t="s">
        <v>2994</v>
      </c>
      <c r="E2990" s="138">
        <v>0.63</v>
      </c>
      <c r="F2990" s="153" t="s">
        <v>130</v>
      </c>
      <c r="G2990" s="153">
        <v>1</v>
      </c>
      <c r="H2990" s="134" t="s">
        <v>39</v>
      </c>
      <c r="I2990" s="133"/>
      <c r="J2990" s="133" t="s">
        <v>2249</v>
      </c>
      <c r="K2990" s="133" t="s">
        <v>831</v>
      </c>
      <c r="L2990" s="167"/>
      <c r="M2990" s="48"/>
      <c r="N2990" s="123"/>
    </row>
    <row r="2991" spans="1:15" customFormat="1" x14ac:dyDescent="0.55000000000000004">
      <c r="A2991" s="132" t="s">
        <v>2250</v>
      </c>
      <c r="B2991" s="133" t="s">
        <v>2593</v>
      </c>
      <c r="C2991" s="133" t="s">
        <v>125</v>
      </c>
      <c r="D2991" s="133" t="s">
        <v>3288</v>
      </c>
      <c r="E2991" s="138">
        <v>7.5300000000000001E-5</v>
      </c>
      <c r="F2991" s="153" t="s">
        <v>135</v>
      </c>
      <c r="G2991" s="153">
        <v>1</v>
      </c>
      <c r="H2991" s="134" t="s">
        <v>39</v>
      </c>
      <c r="I2991" s="133"/>
      <c r="J2991" s="133" t="s">
        <v>2249</v>
      </c>
      <c r="K2991" s="133" t="s">
        <v>831</v>
      </c>
      <c r="L2991" s="167"/>
      <c r="M2991" s="48"/>
      <c r="N2991" s="123"/>
    </row>
    <row r="2992" spans="1:15" customFormat="1" x14ac:dyDescent="0.55000000000000004">
      <c r="A2992" s="132" t="s">
        <v>2250</v>
      </c>
      <c r="B2992" s="133" t="s">
        <v>2594</v>
      </c>
      <c r="C2992" s="133" t="s">
        <v>125</v>
      </c>
      <c r="D2992" s="133" t="s">
        <v>3288</v>
      </c>
      <c r="E2992" s="138">
        <v>3.16E-3</v>
      </c>
      <c r="F2992" s="153" t="s">
        <v>135</v>
      </c>
      <c r="G2992" s="153">
        <v>1</v>
      </c>
      <c r="H2992" s="134" t="s">
        <v>39</v>
      </c>
      <c r="I2992" s="133"/>
      <c r="J2992" s="133" t="s">
        <v>2249</v>
      </c>
      <c r="K2992" s="133" t="s">
        <v>831</v>
      </c>
      <c r="L2992" s="167"/>
      <c r="M2992" s="48"/>
      <c r="N2992" s="123"/>
    </row>
    <row r="2993" spans="1:14" customFormat="1" x14ac:dyDescent="0.55000000000000004">
      <c r="A2993" s="132" t="s">
        <v>2250</v>
      </c>
      <c r="B2993" s="133" t="s">
        <v>2595</v>
      </c>
      <c r="C2993" s="133" t="s">
        <v>156</v>
      </c>
      <c r="D2993" s="133" t="s">
        <v>3288</v>
      </c>
      <c r="E2993" s="138">
        <v>7.7599999999999988E-2</v>
      </c>
      <c r="F2993" s="153" t="s">
        <v>135</v>
      </c>
      <c r="G2993" s="153">
        <v>1</v>
      </c>
      <c r="H2993" s="134" t="s">
        <v>39</v>
      </c>
      <c r="I2993" s="133"/>
      <c r="J2993" s="133" t="s">
        <v>2249</v>
      </c>
      <c r="K2993" s="133" t="s">
        <v>831</v>
      </c>
      <c r="L2993" s="167"/>
      <c r="M2993" s="48"/>
      <c r="N2993" s="123"/>
    </row>
    <row r="2994" spans="1:14" customFormat="1" x14ac:dyDescent="0.55000000000000004">
      <c r="A2994" s="132" t="s">
        <v>2250</v>
      </c>
      <c r="B2994" s="133" t="s">
        <v>2596</v>
      </c>
      <c r="C2994" s="133" t="s">
        <v>156</v>
      </c>
      <c r="D2994" s="133" t="s">
        <v>3288</v>
      </c>
      <c r="E2994" s="138">
        <v>1.64E-3</v>
      </c>
      <c r="F2994" s="153" t="s">
        <v>135</v>
      </c>
      <c r="G2994" s="153">
        <v>1</v>
      </c>
      <c r="H2994" s="134" t="s">
        <v>39</v>
      </c>
      <c r="I2994" s="133"/>
      <c r="J2994" s="133" t="s">
        <v>2249</v>
      </c>
      <c r="K2994" s="133" t="s">
        <v>831</v>
      </c>
      <c r="L2994" s="167"/>
      <c r="M2994" s="48"/>
      <c r="N2994" s="123"/>
    </row>
    <row r="2995" spans="1:14" customFormat="1" x14ac:dyDescent="0.55000000000000004">
      <c r="A2995" s="132" t="s">
        <v>2250</v>
      </c>
      <c r="B2995" s="133" t="s">
        <v>2597</v>
      </c>
      <c r="C2995" s="133" t="s">
        <v>125</v>
      </c>
      <c r="D2995" s="133" t="s">
        <v>3288</v>
      </c>
      <c r="E2995" s="138">
        <v>1</v>
      </c>
      <c r="F2995" s="153" t="s">
        <v>135</v>
      </c>
      <c r="G2995" s="153">
        <v>1</v>
      </c>
      <c r="H2995" s="134" t="s">
        <v>39</v>
      </c>
      <c r="I2995" s="133"/>
      <c r="J2995" s="133" t="s">
        <v>2249</v>
      </c>
      <c r="K2995" s="133" t="s">
        <v>831</v>
      </c>
      <c r="L2995" s="167"/>
      <c r="M2995" s="48"/>
      <c r="N2995" s="123"/>
    </row>
    <row r="2996" spans="1:14" customFormat="1" x14ac:dyDescent="0.55000000000000004">
      <c r="A2996" s="132" t="s">
        <v>2250</v>
      </c>
      <c r="B2996" s="133" t="s">
        <v>154</v>
      </c>
      <c r="C2996" s="133" t="s">
        <v>132</v>
      </c>
      <c r="D2996" s="133" t="s">
        <v>3289</v>
      </c>
      <c r="E2996" s="138">
        <v>1.44</v>
      </c>
      <c r="F2996" s="153" t="s">
        <v>133</v>
      </c>
      <c r="G2996" s="153">
        <v>1</v>
      </c>
      <c r="H2996" s="134" t="s">
        <v>39</v>
      </c>
      <c r="I2996" s="133"/>
      <c r="J2996" s="133" t="s">
        <v>2249</v>
      </c>
      <c r="K2996" s="133" t="s">
        <v>831</v>
      </c>
      <c r="L2996" s="167"/>
      <c r="M2996" s="48"/>
      <c r="N2996" s="123"/>
    </row>
    <row r="2997" spans="1:14" customFormat="1" x14ac:dyDescent="0.55000000000000004">
      <c r="A2997" s="132" t="s">
        <v>2250</v>
      </c>
      <c r="B2997" s="133" t="s">
        <v>2598</v>
      </c>
      <c r="C2997" s="133" t="s">
        <v>124</v>
      </c>
      <c r="D2997" s="133" t="s">
        <v>3288</v>
      </c>
      <c r="E2997" s="138">
        <v>8.7399999999999995E-3</v>
      </c>
      <c r="F2997" s="153" t="s">
        <v>135</v>
      </c>
      <c r="G2997" s="153">
        <v>1</v>
      </c>
      <c r="H2997" s="134" t="s">
        <v>39</v>
      </c>
      <c r="I2997" s="133"/>
      <c r="J2997" s="133" t="s">
        <v>2249</v>
      </c>
      <c r="K2997" s="133" t="s">
        <v>831</v>
      </c>
      <c r="L2997" s="167"/>
      <c r="M2997" s="48"/>
      <c r="N2997" s="123"/>
    </row>
    <row r="2998" spans="1:14" customFormat="1" x14ac:dyDescent="0.55000000000000004">
      <c r="A2998" s="132" t="s">
        <v>2250</v>
      </c>
      <c r="B2998" s="133" t="s">
        <v>2599</v>
      </c>
      <c r="C2998" s="133" t="s">
        <v>124</v>
      </c>
      <c r="D2998" s="133" t="s">
        <v>3288</v>
      </c>
      <c r="E2998" s="138">
        <v>4.9199999999999995E-6</v>
      </c>
      <c r="F2998" s="153" t="s">
        <v>135</v>
      </c>
      <c r="G2998" s="153">
        <v>1</v>
      </c>
      <c r="H2998" s="134" t="s">
        <v>39</v>
      </c>
      <c r="I2998" s="133"/>
      <c r="J2998" s="133" t="s">
        <v>2249</v>
      </c>
      <c r="K2998" s="133" t="s">
        <v>831</v>
      </c>
      <c r="L2998" s="167"/>
      <c r="M2998" s="48"/>
      <c r="N2998" s="123"/>
    </row>
    <row r="2999" spans="1:14" customFormat="1" x14ac:dyDescent="0.55000000000000004">
      <c r="A2999" s="132" t="s">
        <v>2250</v>
      </c>
      <c r="B2999" s="133" t="s">
        <v>891</v>
      </c>
      <c r="C2999" s="133" t="s">
        <v>124</v>
      </c>
      <c r="D2999" s="133" t="s">
        <v>3288</v>
      </c>
      <c r="E2999" s="138">
        <v>2.0000000000000002E-5</v>
      </c>
      <c r="F2999" s="153" t="s">
        <v>135</v>
      </c>
      <c r="G2999" s="153">
        <v>1</v>
      </c>
      <c r="H2999" s="134" t="s">
        <v>39</v>
      </c>
      <c r="I2999" s="133"/>
      <c r="J2999" s="133" t="s">
        <v>2249</v>
      </c>
      <c r="K2999" s="133" t="s">
        <v>831</v>
      </c>
      <c r="L2999" s="167"/>
      <c r="M2999" s="48"/>
      <c r="N2999" s="123"/>
    </row>
    <row r="3000" spans="1:14" customFormat="1" x14ac:dyDescent="0.55000000000000004">
      <c r="A3000" s="132" t="s">
        <v>2250</v>
      </c>
      <c r="B3000" s="133" t="s">
        <v>2600</v>
      </c>
      <c r="C3000" s="133" t="s">
        <v>124</v>
      </c>
      <c r="D3000" s="133" t="s">
        <v>3288</v>
      </c>
      <c r="E3000" s="138">
        <v>2.4899999999999999E-5</v>
      </c>
      <c r="F3000" s="153" t="s">
        <v>135</v>
      </c>
      <c r="G3000" s="153">
        <v>1</v>
      </c>
      <c r="H3000" s="134" t="s">
        <v>39</v>
      </c>
      <c r="I3000" s="133"/>
      <c r="J3000" s="133" t="s">
        <v>2249</v>
      </c>
      <c r="K3000" s="133" t="s">
        <v>831</v>
      </c>
      <c r="L3000" s="167"/>
      <c r="M3000" s="48"/>
      <c r="N3000" s="123"/>
    </row>
    <row r="3001" spans="1:14" customFormat="1" x14ac:dyDescent="0.55000000000000004">
      <c r="A3001" s="132" t="s">
        <v>2250</v>
      </c>
      <c r="B3001" s="133" t="s">
        <v>2601</v>
      </c>
      <c r="C3001" s="133" t="s">
        <v>124</v>
      </c>
      <c r="D3001" s="133" t="s">
        <v>3288</v>
      </c>
      <c r="E3001" s="138">
        <v>1.0499999999999999E-6</v>
      </c>
      <c r="F3001" s="153" t="s">
        <v>135</v>
      </c>
      <c r="G3001" s="153">
        <v>1</v>
      </c>
      <c r="H3001" s="134" t="s">
        <v>39</v>
      </c>
      <c r="I3001" s="133"/>
      <c r="J3001" s="133" t="s">
        <v>2249</v>
      </c>
      <c r="K3001" s="133" t="s">
        <v>831</v>
      </c>
      <c r="L3001" s="167"/>
      <c r="M3001" s="48"/>
      <c r="N3001" s="123"/>
    </row>
    <row r="3002" spans="1:14" customFormat="1" x14ac:dyDescent="0.55000000000000004">
      <c r="A3002" s="132" t="s">
        <v>2250</v>
      </c>
      <c r="B3002" s="133" t="s">
        <v>1172</v>
      </c>
      <c r="C3002" s="133" t="s">
        <v>124</v>
      </c>
      <c r="D3002" s="133" t="s">
        <v>3288</v>
      </c>
      <c r="E3002" s="138">
        <v>1.54E-7</v>
      </c>
      <c r="F3002" s="153" t="s">
        <v>135</v>
      </c>
      <c r="G3002" s="153">
        <v>1</v>
      </c>
      <c r="H3002" s="134" t="s">
        <v>39</v>
      </c>
      <c r="I3002" s="133"/>
      <c r="J3002" s="133" t="s">
        <v>2249</v>
      </c>
      <c r="K3002" s="133" t="s">
        <v>831</v>
      </c>
      <c r="L3002" s="167"/>
      <c r="M3002" s="48"/>
      <c r="N3002" s="123"/>
    </row>
    <row r="3003" spans="1:14" customFormat="1" x14ac:dyDescent="0.55000000000000004">
      <c r="A3003" s="132" t="s">
        <v>2250</v>
      </c>
      <c r="B3003" s="133" t="s">
        <v>2602</v>
      </c>
      <c r="C3003" s="133" t="s">
        <v>124</v>
      </c>
      <c r="D3003" s="133" t="s">
        <v>3288</v>
      </c>
      <c r="E3003" s="138">
        <v>8.4000000000000009E-5</v>
      </c>
      <c r="F3003" s="153" t="s">
        <v>135</v>
      </c>
      <c r="G3003" s="153">
        <v>1</v>
      </c>
      <c r="H3003" s="134" t="s">
        <v>39</v>
      </c>
      <c r="I3003" s="133"/>
      <c r="J3003" s="133" t="s">
        <v>2249</v>
      </c>
      <c r="K3003" s="133" t="s">
        <v>831</v>
      </c>
      <c r="L3003" s="167"/>
      <c r="M3003" s="48"/>
      <c r="N3003" s="123"/>
    </row>
    <row r="3004" spans="1:14" customFormat="1" x14ac:dyDescent="0.55000000000000004">
      <c r="A3004" s="132" t="s">
        <v>2250</v>
      </c>
      <c r="B3004" s="133" t="s">
        <v>2603</v>
      </c>
      <c r="C3004" s="133" t="s">
        <v>124</v>
      </c>
      <c r="D3004" s="133" t="s">
        <v>3288</v>
      </c>
      <c r="E3004" s="138">
        <v>3.7100000000000002E-4</v>
      </c>
      <c r="F3004" s="153" t="s">
        <v>135</v>
      </c>
      <c r="G3004" s="153">
        <v>1</v>
      </c>
      <c r="H3004" s="134" t="s">
        <v>39</v>
      </c>
      <c r="I3004" s="133"/>
      <c r="J3004" s="133" t="s">
        <v>2249</v>
      </c>
      <c r="K3004" s="133" t="s">
        <v>831</v>
      </c>
      <c r="L3004" s="167"/>
      <c r="M3004" s="48"/>
      <c r="N3004" s="123"/>
    </row>
    <row r="3005" spans="1:14" customFormat="1" x14ac:dyDescent="0.55000000000000004">
      <c r="A3005" s="132" t="s">
        <v>2250</v>
      </c>
      <c r="B3005" s="133" t="s">
        <v>2604</v>
      </c>
      <c r="C3005" s="133" t="s">
        <v>124</v>
      </c>
      <c r="D3005" s="133" t="s">
        <v>3288</v>
      </c>
      <c r="E3005" s="138">
        <v>4.7899999999999999E-5</v>
      </c>
      <c r="F3005" s="153" t="s">
        <v>135</v>
      </c>
      <c r="G3005" s="153">
        <v>1</v>
      </c>
      <c r="H3005" s="134" t="s">
        <v>39</v>
      </c>
      <c r="I3005" s="133"/>
      <c r="J3005" s="133" t="s">
        <v>2249</v>
      </c>
      <c r="K3005" s="133" t="s">
        <v>831</v>
      </c>
      <c r="L3005" s="167"/>
      <c r="M3005" s="48"/>
      <c r="N3005" s="123"/>
    </row>
    <row r="3006" spans="1:14" customFormat="1" x14ac:dyDescent="0.55000000000000004">
      <c r="A3006" s="132" t="s">
        <v>2250</v>
      </c>
      <c r="B3006" s="133" t="s">
        <v>2605</v>
      </c>
      <c r="C3006" s="133" t="s">
        <v>124</v>
      </c>
      <c r="D3006" s="133" t="s">
        <v>3288</v>
      </c>
      <c r="E3006" s="138">
        <v>1.06E-4</v>
      </c>
      <c r="F3006" s="153" t="s">
        <v>135</v>
      </c>
      <c r="G3006" s="153">
        <v>1</v>
      </c>
      <c r="H3006" s="134" t="s">
        <v>39</v>
      </c>
      <c r="I3006" s="133"/>
      <c r="J3006" s="133" t="s">
        <v>2249</v>
      </c>
      <c r="K3006" s="133" t="s">
        <v>831</v>
      </c>
      <c r="L3006" s="167"/>
      <c r="M3006" s="48"/>
      <c r="N3006" s="123"/>
    </row>
    <row r="3007" spans="1:14" customFormat="1" x14ac:dyDescent="0.55000000000000004">
      <c r="A3007" s="132" t="s">
        <v>2250</v>
      </c>
      <c r="B3007" s="133" t="s">
        <v>2606</v>
      </c>
      <c r="C3007" s="133" t="s">
        <v>124</v>
      </c>
      <c r="D3007" s="133" t="s">
        <v>3288</v>
      </c>
      <c r="E3007" s="138">
        <v>3.6899999999999997E-4</v>
      </c>
      <c r="F3007" s="153" t="s">
        <v>135</v>
      </c>
      <c r="G3007" s="153">
        <v>1</v>
      </c>
      <c r="H3007" s="134" t="s">
        <v>39</v>
      </c>
      <c r="I3007" s="133"/>
      <c r="J3007" s="133" t="s">
        <v>2249</v>
      </c>
      <c r="K3007" s="133" t="s">
        <v>831</v>
      </c>
      <c r="L3007" s="167"/>
      <c r="M3007" s="48"/>
      <c r="N3007" s="123"/>
    </row>
    <row r="3008" spans="1:14" customFormat="1" x14ac:dyDescent="0.55000000000000004">
      <c r="A3008" s="132" t="s">
        <v>2250</v>
      </c>
      <c r="B3008" s="133" t="s">
        <v>2607</v>
      </c>
      <c r="C3008" s="133" t="s">
        <v>124</v>
      </c>
      <c r="D3008" s="133" t="s">
        <v>3288</v>
      </c>
      <c r="E3008" s="138">
        <v>5.5000000000000002E-5</v>
      </c>
      <c r="F3008" s="153" t="s">
        <v>135</v>
      </c>
      <c r="G3008" s="153">
        <v>1</v>
      </c>
      <c r="H3008" s="134" t="s">
        <v>39</v>
      </c>
      <c r="I3008" s="133"/>
      <c r="J3008" s="133" t="s">
        <v>2249</v>
      </c>
      <c r="K3008" s="133" t="s">
        <v>831</v>
      </c>
      <c r="L3008" s="167"/>
      <c r="M3008" s="48"/>
      <c r="N3008" s="123"/>
    </row>
    <row r="3009" spans="1:14" customFormat="1" x14ac:dyDescent="0.55000000000000004">
      <c r="A3009" s="132" t="s">
        <v>2250</v>
      </c>
      <c r="B3009" s="133" t="s">
        <v>2608</v>
      </c>
      <c r="C3009" s="133" t="s">
        <v>124</v>
      </c>
      <c r="D3009" s="133" t="s">
        <v>3288</v>
      </c>
      <c r="E3009" s="138">
        <v>1.9900000000000003E-5</v>
      </c>
      <c r="F3009" s="153" t="s">
        <v>135</v>
      </c>
      <c r="G3009" s="153">
        <v>1</v>
      </c>
      <c r="H3009" s="134" t="s">
        <v>39</v>
      </c>
      <c r="I3009" s="133"/>
      <c r="J3009" s="133" t="s">
        <v>2249</v>
      </c>
      <c r="K3009" s="133" t="s">
        <v>831</v>
      </c>
      <c r="L3009" s="167"/>
      <c r="M3009" s="48"/>
      <c r="N3009" s="123"/>
    </row>
    <row r="3010" spans="1:14" customFormat="1" x14ac:dyDescent="0.55000000000000004">
      <c r="A3010" s="132" t="s">
        <v>2250</v>
      </c>
      <c r="B3010" s="133" t="s">
        <v>2609</v>
      </c>
      <c r="C3010" s="133" t="s">
        <v>124</v>
      </c>
      <c r="D3010" s="133" t="s">
        <v>3288</v>
      </c>
      <c r="E3010" s="138">
        <v>2.8500000000000002E-6</v>
      </c>
      <c r="F3010" s="153" t="s">
        <v>135</v>
      </c>
      <c r="G3010" s="153">
        <v>1</v>
      </c>
      <c r="H3010" s="134" t="s">
        <v>39</v>
      </c>
      <c r="I3010" s="133"/>
      <c r="J3010" s="133" t="s">
        <v>2249</v>
      </c>
      <c r="K3010" s="133" t="s">
        <v>831</v>
      </c>
      <c r="L3010" s="167"/>
      <c r="M3010" s="48"/>
      <c r="N3010" s="123"/>
    </row>
    <row r="3011" spans="1:14" customFormat="1" x14ac:dyDescent="0.55000000000000004">
      <c r="A3011" s="132" t="s">
        <v>2250</v>
      </c>
      <c r="B3011" s="133" t="s">
        <v>2610</v>
      </c>
      <c r="C3011" s="133" t="s">
        <v>124</v>
      </c>
      <c r="D3011" s="133" t="s">
        <v>3288</v>
      </c>
      <c r="E3011" s="138">
        <v>3.1999999999999999E-5</v>
      </c>
      <c r="F3011" s="153" t="s">
        <v>135</v>
      </c>
      <c r="G3011" s="153">
        <v>1</v>
      </c>
      <c r="H3011" s="134" t="s">
        <v>39</v>
      </c>
      <c r="I3011" s="133"/>
      <c r="J3011" s="133" t="s">
        <v>2249</v>
      </c>
      <c r="K3011" s="133" t="s">
        <v>831</v>
      </c>
      <c r="L3011" s="167"/>
      <c r="M3011" s="48"/>
      <c r="N3011" s="123"/>
    </row>
    <row r="3012" spans="1:14" customFormat="1" x14ac:dyDescent="0.55000000000000004">
      <c r="A3012" s="132" t="s">
        <v>2250</v>
      </c>
      <c r="B3012" s="133" t="s">
        <v>2611</v>
      </c>
      <c r="C3012" s="133" t="s">
        <v>124</v>
      </c>
      <c r="D3012" s="133" t="s">
        <v>3288</v>
      </c>
      <c r="E3012" s="138">
        <v>1.06E-4</v>
      </c>
      <c r="F3012" s="153" t="s">
        <v>135</v>
      </c>
      <c r="G3012" s="153">
        <v>1</v>
      </c>
      <c r="H3012" s="134" t="s">
        <v>39</v>
      </c>
      <c r="I3012" s="133"/>
      <c r="J3012" s="133" t="s">
        <v>2249</v>
      </c>
      <c r="K3012" s="133" t="s">
        <v>831</v>
      </c>
      <c r="L3012" s="167"/>
      <c r="M3012" s="48"/>
      <c r="N3012" s="123"/>
    </row>
    <row r="3013" spans="1:14" customFormat="1" x14ac:dyDescent="0.55000000000000004">
      <c r="A3013" s="132" t="s">
        <v>2250</v>
      </c>
      <c r="B3013" s="133" t="s">
        <v>2612</v>
      </c>
      <c r="C3013" s="133" t="s">
        <v>124</v>
      </c>
      <c r="D3013" s="133" t="s">
        <v>3289</v>
      </c>
      <c r="E3013" s="138">
        <v>1.44</v>
      </c>
      <c r="F3013" s="153" t="s">
        <v>133</v>
      </c>
      <c r="G3013" s="153">
        <v>1</v>
      </c>
      <c r="H3013" s="134" t="s">
        <v>39</v>
      </c>
      <c r="I3013" s="133"/>
      <c r="J3013" s="133" t="s">
        <v>2249</v>
      </c>
      <c r="K3013" s="133" t="s">
        <v>831</v>
      </c>
      <c r="L3013" s="167"/>
      <c r="M3013" s="48"/>
      <c r="N3013" s="123"/>
    </row>
    <row r="3014" spans="1:14" customFormat="1" x14ac:dyDescent="0.55000000000000004">
      <c r="A3014" s="132" t="s">
        <v>2256</v>
      </c>
      <c r="B3014" s="133" t="s">
        <v>2614</v>
      </c>
      <c r="C3014" s="133" t="s">
        <v>121</v>
      </c>
      <c r="D3014" s="133" t="s">
        <v>2682</v>
      </c>
      <c r="E3014" s="138">
        <v>1</v>
      </c>
      <c r="F3014" s="153">
        <v>1</v>
      </c>
      <c r="G3014" s="153">
        <v>1</v>
      </c>
      <c r="H3014" s="133" t="s">
        <v>39</v>
      </c>
      <c r="I3014" s="133"/>
      <c r="J3014" s="133" t="s">
        <v>2255</v>
      </c>
      <c r="K3014" s="133" t="s">
        <v>831</v>
      </c>
      <c r="L3014" s="167"/>
      <c r="M3014" s="48"/>
      <c r="N3014" s="123"/>
    </row>
    <row r="3015" spans="1:14" customFormat="1" x14ac:dyDescent="0.55000000000000004">
      <c r="A3015" s="132" t="s">
        <v>2256</v>
      </c>
      <c r="B3015" s="133" t="s">
        <v>2588</v>
      </c>
      <c r="C3015" s="133" t="s">
        <v>156</v>
      </c>
      <c r="D3015" s="133" t="s">
        <v>3288</v>
      </c>
      <c r="E3015" s="138">
        <v>0.96599999999999997</v>
      </c>
      <c r="F3015" s="153" t="s">
        <v>135</v>
      </c>
      <c r="G3015" s="153">
        <v>1</v>
      </c>
      <c r="H3015" s="133" t="s">
        <v>39</v>
      </c>
      <c r="I3015" s="133"/>
      <c r="J3015" s="133" t="s">
        <v>2255</v>
      </c>
      <c r="K3015" s="133" t="s">
        <v>831</v>
      </c>
      <c r="L3015" s="167"/>
      <c r="M3015" s="48"/>
      <c r="N3015" s="123"/>
    </row>
    <row r="3016" spans="1:14" customFormat="1" x14ac:dyDescent="0.55000000000000004">
      <c r="A3016" s="132" t="s">
        <v>2256</v>
      </c>
      <c r="B3016" s="133" t="s">
        <v>2590</v>
      </c>
      <c r="C3016" s="133" t="s">
        <v>156</v>
      </c>
      <c r="D3016" s="133" t="s">
        <v>3288</v>
      </c>
      <c r="E3016" s="138">
        <v>3.4299999999999997E-2</v>
      </c>
      <c r="F3016" s="153" t="s">
        <v>135</v>
      </c>
      <c r="G3016" s="153">
        <v>1</v>
      </c>
      <c r="H3016" s="133" t="s">
        <v>39</v>
      </c>
      <c r="I3016" s="133"/>
      <c r="J3016" s="133" t="s">
        <v>2255</v>
      </c>
      <c r="K3016" s="133" t="s">
        <v>831</v>
      </c>
      <c r="L3016" s="167"/>
      <c r="M3016" s="48"/>
      <c r="N3016" s="123"/>
    </row>
    <row r="3017" spans="1:14" customFormat="1" x14ac:dyDescent="0.55000000000000004">
      <c r="A3017" s="132" t="s">
        <v>2256</v>
      </c>
      <c r="B3017" s="133" t="s">
        <v>2592</v>
      </c>
      <c r="C3017" s="133" t="s">
        <v>127</v>
      </c>
      <c r="D3017" s="133" t="s">
        <v>2994</v>
      </c>
      <c r="E3017" s="138">
        <v>11.7</v>
      </c>
      <c r="F3017" s="153" t="s">
        <v>130</v>
      </c>
      <c r="G3017" s="153">
        <v>1</v>
      </c>
      <c r="H3017" s="133" t="s">
        <v>39</v>
      </c>
      <c r="I3017" s="133"/>
      <c r="J3017" s="133" t="s">
        <v>2255</v>
      </c>
      <c r="K3017" s="133" t="s">
        <v>831</v>
      </c>
      <c r="L3017" s="167"/>
      <c r="M3017" s="48"/>
      <c r="N3017" s="123"/>
    </row>
    <row r="3018" spans="1:14" customFormat="1" x14ac:dyDescent="0.55000000000000004">
      <c r="A3018" s="132" t="s">
        <v>2256</v>
      </c>
      <c r="B3018" s="133" t="s">
        <v>2595</v>
      </c>
      <c r="C3018" s="133" t="s">
        <v>125</v>
      </c>
      <c r="D3018" s="133" t="s">
        <v>3288</v>
      </c>
      <c r="E3018" s="138">
        <v>3.3300000000000003E-5</v>
      </c>
      <c r="F3018" s="153" t="s">
        <v>135</v>
      </c>
      <c r="G3018" s="153">
        <v>1</v>
      </c>
      <c r="H3018" s="133" t="s">
        <v>39</v>
      </c>
      <c r="I3018" s="133"/>
      <c r="J3018" s="133" t="s">
        <v>2255</v>
      </c>
      <c r="K3018" s="133" t="s">
        <v>831</v>
      </c>
      <c r="L3018" s="167"/>
      <c r="M3018" s="48"/>
      <c r="N3018" s="123"/>
    </row>
    <row r="3019" spans="1:14" customFormat="1" x14ac:dyDescent="0.55000000000000004">
      <c r="A3019" s="132" t="s">
        <v>2256</v>
      </c>
      <c r="B3019" s="133" t="s">
        <v>2596</v>
      </c>
      <c r="C3019" s="133" t="s">
        <v>125</v>
      </c>
      <c r="D3019" s="133" t="s">
        <v>3288</v>
      </c>
      <c r="E3019" s="138">
        <v>8.5000000000000006E-5</v>
      </c>
      <c r="F3019" s="153" t="s">
        <v>135</v>
      </c>
      <c r="G3019" s="153">
        <v>1</v>
      </c>
      <c r="H3019" s="133" t="s">
        <v>39</v>
      </c>
      <c r="I3019" s="133"/>
      <c r="J3019" s="133" t="s">
        <v>2255</v>
      </c>
      <c r="K3019" s="133" t="s">
        <v>831</v>
      </c>
      <c r="L3019" s="167"/>
      <c r="M3019" s="48"/>
      <c r="N3019" s="123"/>
    </row>
    <row r="3020" spans="1:14" customFormat="1" x14ac:dyDescent="0.55000000000000004">
      <c r="A3020" s="132" t="s">
        <v>2256</v>
      </c>
      <c r="B3020" s="133" t="s">
        <v>2597</v>
      </c>
      <c r="C3020" s="133" t="s">
        <v>348</v>
      </c>
      <c r="D3020" s="133" t="s">
        <v>3288</v>
      </c>
      <c r="E3020" s="138">
        <v>1</v>
      </c>
      <c r="F3020" s="153" t="s">
        <v>135</v>
      </c>
      <c r="G3020" s="153">
        <v>1</v>
      </c>
      <c r="H3020" s="133" t="s">
        <v>39</v>
      </c>
      <c r="I3020" s="133"/>
      <c r="J3020" s="133" t="s">
        <v>2255</v>
      </c>
      <c r="K3020" s="133" t="s">
        <v>831</v>
      </c>
      <c r="L3020" s="167"/>
      <c r="M3020" s="48"/>
      <c r="N3020" s="123"/>
    </row>
    <row r="3021" spans="1:14" customFormat="1" x14ac:dyDescent="0.55000000000000004">
      <c r="A3021" s="132" t="s">
        <v>2256</v>
      </c>
      <c r="B3021" s="133" t="s">
        <v>154</v>
      </c>
      <c r="C3021" s="133" t="s">
        <v>132</v>
      </c>
      <c r="D3021" s="133" t="s">
        <v>3289</v>
      </c>
      <c r="E3021" s="138">
        <v>4.9099999999999998E-2</v>
      </c>
      <c r="F3021" s="153" t="s">
        <v>133</v>
      </c>
      <c r="G3021" s="153">
        <v>1</v>
      </c>
      <c r="H3021" s="133" t="s">
        <v>39</v>
      </c>
      <c r="I3021" s="133"/>
      <c r="J3021" s="133" t="s">
        <v>2255</v>
      </c>
      <c r="K3021" s="133" t="s">
        <v>831</v>
      </c>
      <c r="L3021" s="167"/>
      <c r="M3021" s="48"/>
      <c r="N3021" s="123"/>
    </row>
    <row r="3022" spans="1:14" customFormat="1" x14ac:dyDescent="0.55000000000000004">
      <c r="A3022" s="132" t="s">
        <v>2256</v>
      </c>
      <c r="B3022" s="133" t="s">
        <v>2602</v>
      </c>
      <c r="C3022" s="133" t="s">
        <v>124</v>
      </c>
      <c r="D3022" s="133" t="s">
        <v>3288</v>
      </c>
      <c r="E3022" s="138">
        <v>1.77E-5</v>
      </c>
      <c r="F3022" s="153" t="s">
        <v>135</v>
      </c>
      <c r="G3022" s="153">
        <v>1</v>
      </c>
      <c r="H3022" s="133" t="s">
        <v>39</v>
      </c>
      <c r="I3022" s="133"/>
      <c r="J3022" s="133" t="s">
        <v>2255</v>
      </c>
      <c r="K3022" s="133" t="s">
        <v>831</v>
      </c>
      <c r="L3022" s="167"/>
      <c r="M3022" s="48"/>
      <c r="N3022" s="123"/>
    </row>
    <row r="3023" spans="1:14" customFormat="1" x14ac:dyDescent="0.55000000000000004">
      <c r="A3023" s="132" t="s">
        <v>2256</v>
      </c>
      <c r="B3023" s="133" t="s">
        <v>2603</v>
      </c>
      <c r="C3023" s="133" t="s">
        <v>124</v>
      </c>
      <c r="D3023" s="133" t="s">
        <v>3288</v>
      </c>
      <c r="E3023" s="138">
        <v>5.91E-5</v>
      </c>
      <c r="F3023" s="153" t="s">
        <v>135</v>
      </c>
      <c r="G3023" s="153">
        <v>1</v>
      </c>
      <c r="H3023" s="133" t="s">
        <v>39</v>
      </c>
      <c r="I3023" s="133"/>
      <c r="J3023" s="133" t="s">
        <v>2255</v>
      </c>
      <c r="K3023" s="133" t="s">
        <v>831</v>
      </c>
      <c r="L3023" s="167"/>
      <c r="M3023" s="48"/>
      <c r="N3023" s="123"/>
    </row>
    <row r="3024" spans="1:14" customFormat="1" x14ac:dyDescent="0.55000000000000004">
      <c r="A3024" s="132" t="s">
        <v>2256</v>
      </c>
      <c r="B3024" s="133" t="s">
        <v>2615</v>
      </c>
      <c r="C3024" s="133" t="s">
        <v>124</v>
      </c>
      <c r="D3024" s="133" t="s">
        <v>3288</v>
      </c>
      <c r="E3024" s="138">
        <v>2.0599999999999999E-5</v>
      </c>
      <c r="F3024" s="153" t="s">
        <v>135</v>
      </c>
      <c r="G3024" s="153">
        <v>1</v>
      </c>
      <c r="H3024" s="133" t="s">
        <v>39</v>
      </c>
      <c r="I3024" s="133"/>
      <c r="J3024" s="133" t="s">
        <v>2255</v>
      </c>
      <c r="K3024" s="133" t="s">
        <v>831</v>
      </c>
      <c r="L3024" s="167"/>
      <c r="M3024" s="48"/>
      <c r="N3024" s="123"/>
    </row>
    <row r="3025" spans="1:14" customFormat="1" x14ac:dyDescent="0.55000000000000004">
      <c r="A3025" s="132" t="s">
        <v>2256</v>
      </c>
      <c r="B3025" s="133" t="s">
        <v>2605</v>
      </c>
      <c r="C3025" s="133" t="s">
        <v>124</v>
      </c>
      <c r="D3025" s="133" t="s">
        <v>3288</v>
      </c>
      <c r="E3025" s="138">
        <v>1.9699999999999998E-5</v>
      </c>
      <c r="F3025" s="153" t="s">
        <v>135</v>
      </c>
      <c r="G3025" s="153">
        <v>1</v>
      </c>
      <c r="H3025" s="133" t="s">
        <v>39</v>
      </c>
      <c r="I3025" s="133"/>
      <c r="J3025" s="133" t="s">
        <v>2255</v>
      </c>
      <c r="K3025" s="133" t="s">
        <v>831</v>
      </c>
      <c r="L3025" s="167"/>
      <c r="M3025" s="48"/>
      <c r="N3025" s="123"/>
    </row>
    <row r="3026" spans="1:14" customFormat="1" x14ac:dyDescent="0.55000000000000004">
      <c r="A3026" s="132" t="s">
        <v>2256</v>
      </c>
      <c r="B3026" s="133" t="s">
        <v>2606</v>
      </c>
      <c r="C3026" s="133" t="s">
        <v>124</v>
      </c>
      <c r="D3026" s="133" t="s">
        <v>3288</v>
      </c>
      <c r="E3026" s="138">
        <v>1.7100000000000002E-5</v>
      </c>
      <c r="F3026" s="153" t="s">
        <v>135</v>
      </c>
      <c r="G3026" s="153">
        <v>1</v>
      </c>
      <c r="H3026" s="133" t="s">
        <v>39</v>
      </c>
      <c r="I3026" s="133"/>
      <c r="J3026" s="133" t="s">
        <v>2255</v>
      </c>
      <c r="K3026" s="133" t="s">
        <v>831</v>
      </c>
      <c r="L3026" s="167"/>
      <c r="M3026" s="48"/>
      <c r="N3026" s="123"/>
    </row>
    <row r="3027" spans="1:14" customFormat="1" x14ac:dyDescent="0.55000000000000004">
      <c r="A3027" s="132" t="s">
        <v>2256</v>
      </c>
      <c r="B3027" s="133" t="s">
        <v>2607</v>
      </c>
      <c r="C3027" s="133" t="s">
        <v>124</v>
      </c>
      <c r="D3027" s="133" t="s">
        <v>3288</v>
      </c>
      <c r="E3027" s="138">
        <v>6.2199999999999994E-5</v>
      </c>
      <c r="F3027" s="153" t="s">
        <v>135</v>
      </c>
      <c r="G3027" s="153">
        <v>1</v>
      </c>
      <c r="H3027" s="133" t="s">
        <v>39</v>
      </c>
      <c r="I3027" s="133"/>
      <c r="J3027" s="133" t="s">
        <v>2255</v>
      </c>
      <c r="K3027" s="133" t="s">
        <v>831</v>
      </c>
      <c r="L3027" s="167"/>
      <c r="M3027" s="48"/>
      <c r="N3027" s="123"/>
    </row>
    <row r="3028" spans="1:14" customFormat="1" x14ac:dyDescent="0.55000000000000004">
      <c r="A3028" s="132" t="s">
        <v>2256</v>
      </c>
      <c r="B3028" s="133" t="s">
        <v>2610</v>
      </c>
      <c r="C3028" s="133" t="s">
        <v>124</v>
      </c>
      <c r="D3028" s="133" t="s">
        <v>3288</v>
      </c>
      <c r="E3028" s="138">
        <v>1.9699999999999998E-5</v>
      </c>
      <c r="F3028" s="153" t="s">
        <v>135</v>
      </c>
      <c r="G3028" s="153">
        <v>1</v>
      </c>
      <c r="H3028" s="133" t="s">
        <v>39</v>
      </c>
      <c r="I3028" s="133"/>
      <c r="J3028" s="133" t="s">
        <v>2255</v>
      </c>
      <c r="K3028" s="133" t="s">
        <v>831</v>
      </c>
      <c r="L3028" s="167"/>
      <c r="M3028" s="48"/>
      <c r="N3028" s="123"/>
    </row>
    <row r="3029" spans="1:14" customFormat="1" x14ac:dyDescent="0.55000000000000004">
      <c r="A3029" s="132" t="s">
        <v>2256</v>
      </c>
      <c r="B3029" s="133" t="s">
        <v>2612</v>
      </c>
      <c r="C3029" s="133" t="s">
        <v>124</v>
      </c>
      <c r="D3029" s="133" t="s">
        <v>3289</v>
      </c>
      <c r="E3029" s="138">
        <v>4.9099999999999998E-2</v>
      </c>
      <c r="F3029" s="153" t="s">
        <v>133</v>
      </c>
      <c r="G3029" s="153">
        <v>1</v>
      </c>
      <c r="H3029" s="133" t="s">
        <v>39</v>
      </c>
      <c r="I3029" s="133"/>
      <c r="J3029" s="133" t="s">
        <v>2255</v>
      </c>
      <c r="K3029" s="133" t="s">
        <v>831</v>
      </c>
      <c r="L3029" s="167"/>
      <c r="M3029" s="48"/>
      <c r="N3029" s="123"/>
    </row>
    <row r="3030" spans="1:14" customFormat="1" x14ac:dyDescent="0.55000000000000004">
      <c r="A3030" s="132" t="s">
        <v>2260</v>
      </c>
      <c r="B3030" s="133" t="s">
        <v>2616</v>
      </c>
      <c r="C3030" s="133" t="s">
        <v>121</v>
      </c>
      <c r="D3030" s="133" t="s">
        <v>2682</v>
      </c>
      <c r="E3030" s="138">
        <v>1</v>
      </c>
      <c r="F3030" s="153">
        <v>1</v>
      </c>
      <c r="G3030" s="153">
        <v>1</v>
      </c>
      <c r="H3030" s="133" t="s">
        <v>39</v>
      </c>
      <c r="I3030" s="133"/>
      <c r="J3030" s="133" t="s">
        <v>2259</v>
      </c>
      <c r="K3030" s="133" t="s">
        <v>831</v>
      </c>
      <c r="L3030" s="167"/>
      <c r="M3030" s="48"/>
      <c r="N3030" s="123"/>
    </row>
    <row r="3031" spans="1:14" customFormat="1" x14ac:dyDescent="0.55000000000000004">
      <c r="A3031" s="132" t="s">
        <v>2260</v>
      </c>
      <c r="B3031" s="133" t="s">
        <v>2617</v>
      </c>
      <c r="C3031" s="136" t="s">
        <v>348</v>
      </c>
      <c r="D3031" s="133" t="s">
        <v>3288</v>
      </c>
      <c r="E3031" s="138">
        <v>1</v>
      </c>
      <c r="F3031" s="153" t="s">
        <v>135</v>
      </c>
      <c r="G3031" s="153">
        <v>1</v>
      </c>
      <c r="H3031" s="133" t="s">
        <v>39</v>
      </c>
      <c r="I3031" s="133"/>
      <c r="J3031" s="133" t="s">
        <v>2259</v>
      </c>
      <c r="K3031" s="133" t="s">
        <v>831</v>
      </c>
      <c r="L3031" s="167"/>
      <c r="M3031" s="48"/>
      <c r="N3031" s="123"/>
    </row>
    <row r="3032" spans="1:14" customFormat="1" x14ac:dyDescent="0.55000000000000004">
      <c r="A3032" s="132" t="s">
        <v>2260</v>
      </c>
      <c r="B3032" s="133" t="s">
        <v>2618</v>
      </c>
      <c r="C3032" s="136" t="s">
        <v>127</v>
      </c>
      <c r="D3032" s="133" t="s">
        <v>2994</v>
      </c>
      <c r="E3032" s="138">
        <v>3830</v>
      </c>
      <c r="F3032" s="153" t="s">
        <v>167</v>
      </c>
      <c r="G3032" s="153">
        <v>1</v>
      </c>
      <c r="H3032" s="133" t="s">
        <v>39</v>
      </c>
      <c r="I3032" s="133"/>
      <c r="J3032" s="133" t="s">
        <v>2259</v>
      </c>
      <c r="K3032" s="133" t="s">
        <v>831</v>
      </c>
      <c r="L3032" s="167"/>
      <c r="M3032" s="48"/>
      <c r="N3032" s="123"/>
    </row>
    <row r="3033" spans="1:14" customFormat="1" x14ac:dyDescent="0.55000000000000004">
      <c r="A3033" s="132" t="s">
        <v>2260</v>
      </c>
      <c r="B3033" s="133" t="s">
        <v>2619</v>
      </c>
      <c r="C3033" s="133" t="s">
        <v>156</v>
      </c>
      <c r="D3033" s="133" t="s">
        <v>3288</v>
      </c>
      <c r="E3033" s="138">
        <v>0.27400000000000002</v>
      </c>
      <c r="F3033" s="153" t="s">
        <v>135</v>
      </c>
      <c r="G3033" s="153">
        <v>1</v>
      </c>
      <c r="H3033" s="133" t="s">
        <v>39</v>
      </c>
      <c r="I3033" s="133" t="s">
        <v>2620</v>
      </c>
      <c r="J3033" s="133" t="s">
        <v>2259</v>
      </c>
      <c r="K3033" s="133" t="s">
        <v>831</v>
      </c>
      <c r="L3033" s="167"/>
      <c r="M3033" s="48"/>
      <c r="N3033" s="123"/>
    </row>
    <row r="3034" spans="1:14" customFormat="1" x14ac:dyDescent="0.55000000000000004">
      <c r="A3034" s="132" t="s">
        <v>2260</v>
      </c>
      <c r="B3034" s="133" t="s">
        <v>181</v>
      </c>
      <c r="C3034" s="136" t="s">
        <v>163</v>
      </c>
      <c r="D3034" s="133" t="s">
        <v>3288</v>
      </c>
      <c r="E3034" s="138">
        <v>0.35</v>
      </c>
      <c r="F3034" s="153" t="s">
        <v>135</v>
      </c>
      <c r="G3034" s="153">
        <v>1</v>
      </c>
      <c r="H3034" s="133" t="s">
        <v>39</v>
      </c>
      <c r="I3034" s="133"/>
      <c r="J3034" s="133" t="s">
        <v>2259</v>
      </c>
      <c r="K3034" s="133" t="s">
        <v>831</v>
      </c>
      <c r="L3034" s="167"/>
      <c r="M3034" s="48"/>
      <c r="N3034" s="123"/>
    </row>
    <row r="3035" spans="1:14" customFormat="1" x14ac:dyDescent="0.55000000000000004">
      <c r="A3035" s="132" t="s">
        <v>2265</v>
      </c>
      <c r="B3035" s="133" t="s">
        <v>2616</v>
      </c>
      <c r="C3035" s="133" t="s">
        <v>121</v>
      </c>
      <c r="D3035" s="133" t="s">
        <v>2682</v>
      </c>
      <c r="E3035" s="138">
        <v>1</v>
      </c>
      <c r="F3035" s="153">
        <v>1</v>
      </c>
      <c r="G3035" s="153">
        <v>1</v>
      </c>
      <c r="H3035" s="133" t="s">
        <v>39</v>
      </c>
      <c r="I3035" s="133"/>
      <c r="J3035" s="133" t="s">
        <v>2264</v>
      </c>
      <c r="K3035" s="133" t="s">
        <v>831</v>
      </c>
      <c r="L3035" s="167"/>
      <c r="M3035" s="48"/>
      <c r="N3035" s="123"/>
    </row>
    <row r="3036" spans="1:14" customFormat="1" x14ac:dyDescent="0.55000000000000004">
      <c r="A3036" s="132" t="s">
        <v>2265</v>
      </c>
      <c r="B3036" s="133" t="s">
        <v>2617</v>
      </c>
      <c r="C3036" s="136" t="s">
        <v>348</v>
      </c>
      <c r="D3036" s="133" t="s">
        <v>3288</v>
      </c>
      <c r="E3036" s="138">
        <v>1</v>
      </c>
      <c r="F3036" s="153" t="s">
        <v>135</v>
      </c>
      <c r="G3036" s="153">
        <v>1</v>
      </c>
      <c r="H3036" s="133" t="s">
        <v>39</v>
      </c>
      <c r="I3036" s="133"/>
      <c r="J3036" s="133" t="s">
        <v>2264</v>
      </c>
      <c r="K3036" s="133" t="s">
        <v>831</v>
      </c>
      <c r="L3036" s="167"/>
      <c r="M3036" s="48"/>
      <c r="N3036" s="123"/>
    </row>
    <row r="3037" spans="1:14" customFormat="1" x14ac:dyDescent="0.55000000000000004">
      <c r="A3037" s="132" t="s">
        <v>2265</v>
      </c>
      <c r="B3037" s="133" t="s">
        <v>2618</v>
      </c>
      <c r="C3037" s="136" t="s">
        <v>127</v>
      </c>
      <c r="D3037" s="133" t="s">
        <v>2994</v>
      </c>
      <c r="E3037" s="138">
        <v>14510</v>
      </c>
      <c r="F3037" s="153" t="s">
        <v>167</v>
      </c>
      <c r="G3037" s="153">
        <v>1</v>
      </c>
      <c r="H3037" s="133" t="s">
        <v>39</v>
      </c>
      <c r="I3037" s="133"/>
      <c r="J3037" s="133" t="s">
        <v>2264</v>
      </c>
      <c r="K3037" s="133" t="s">
        <v>831</v>
      </c>
      <c r="L3037" s="167"/>
      <c r="M3037" s="48"/>
      <c r="N3037" s="123"/>
    </row>
    <row r="3038" spans="1:14" customFormat="1" x14ac:dyDescent="0.55000000000000004">
      <c r="A3038" s="132" t="s">
        <v>2265</v>
      </c>
      <c r="B3038" s="133" t="s">
        <v>948</v>
      </c>
      <c r="C3038" s="133" t="s">
        <v>156</v>
      </c>
      <c r="D3038" s="133" t="s">
        <v>3288</v>
      </c>
      <c r="E3038" s="138">
        <v>0.41899999999999998</v>
      </c>
      <c r="F3038" s="153" t="s">
        <v>135</v>
      </c>
      <c r="G3038" s="153">
        <v>1</v>
      </c>
      <c r="H3038" s="133" t="s">
        <v>39</v>
      </c>
      <c r="I3038" s="133"/>
      <c r="J3038" s="133" t="s">
        <v>2264</v>
      </c>
      <c r="K3038" s="133" t="s">
        <v>831</v>
      </c>
      <c r="L3038" s="167"/>
      <c r="M3038" s="48"/>
      <c r="N3038" s="123"/>
    </row>
    <row r="3039" spans="1:14" customFormat="1" x14ac:dyDescent="0.55000000000000004">
      <c r="A3039" s="132" t="s">
        <v>2265</v>
      </c>
      <c r="B3039" s="133" t="s">
        <v>181</v>
      </c>
      <c r="C3039" s="136" t="s">
        <v>163</v>
      </c>
      <c r="D3039" s="133" t="s">
        <v>3288</v>
      </c>
      <c r="E3039" s="138">
        <v>0.58099999999999996</v>
      </c>
      <c r="F3039" s="153" t="s">
        <v>135</v>
      </c>
      <c r="G3039" s="153">
        <v>1</v>
      </c>
      <c r="H3039" s="133" t="s">
        <v>39</v>
      </c>
      <c r="I3039" s="133"/>
      <c r="J3039" s="133" t="s">
        <v>2264</v>
      </c>
      <c r="K3039" s="133" t="s">
        <v>831</v>
      </c>
      <c r="L3039" s="167"/>
      <c r="M3039" s="48"/>
      <c r="N3039" s="123"/>
    </row>
    <row r="3040" spans="1:14" customFormat="1" x14ac:dyDescent="0.55000000000000004">
      <c r="A3040" s="132" t="s">
        <v>2268</v>
      </c>
      <c r="B3040" s="133" t="s">
        <v>2621</v>
      </c>
      <c r="C3040" s="136" t="s">
        <v>121</v>
      </c>
      <c r="D3040" s="133" t="s">
        <v>2682</v>
      </c>
      <c r="E3040" s="138">
        <v>1</v>
      </c>
      <c r="F3040" s="153">
        <v>1</v>
      </c>
      <c r="G3040" s="153">
        <v>1</v>
      </c>
      <c r="H3040" s="133" t="s">
        <v>39</v>
      </c>
      <c r="I3040" s="133"/>
      <c r="J3040" s="133" t="s">
        <v>2267</v>
      </c>
      <c r="K3040" s="133" t="s">
        <v>831</v>
      </c>
      <c r="L3040" s="167"/>
      <c r="M3040" s="48"/>
      <c r="N3040" s="123"/>
    </row>
    <row r="3041" spans="1:14" customFormat="1" x14ac:dyDescent="0.55000000000000004">
      <c r="A3041" s="132" t="s">
        <v>2268</v>
      </c>
      <c r="B3041" s="133" t="s">
        <v>153</v>
      </c>
      <c r="C3041" s="136" t="s">
        <v>127</v>
      </c>
      <c r="D3041" s="133" t="s">
        <v>2994</v>
      </c>
      <c r="E3041" s="138">
        <v>2.3179999999999999E-2</v>
      </c>
      <c r="F3041" s="153" t="s">
        <v>130</v>
      </c>
      <c r="G3041" s="153">
        <v>1</v>
      </c>
      <c r="H3041" s="133" t="s">
        <v>39</v>
      </c>
      <c r="I3041" s="133" t="s">
        <v>2622</v>
      </c>
      <c r="J3041" s="133" t="s">
        <v>2267</v>
      </c>
      <c r="K3041" s="133" t="s">
        <v>831</v>
      </c>
      <c r="L3041" s="167"/>
      <c r="M3041" s="48"/>
      <c r="N3041" s="123"/>
    </row>
    <row r="3042" spans="1:14" customFormat="1" x14ac:dyDescent="0.55000000000000004">
      <c r="A3042" s="132" t="s">
        <v>2268</v>
      </c>
      <c r="B3042" s="133" t="s">
        <v>508</v>
      </c>
      <c r="C3042" s="136" t="s">
        <v>127</v>
      </c>
      <c r="D3042" s="133" t="s">
        <v>3288</v>
      </c>
      <c r="E3042" s="138">
        <v>2.1700000000000001E-3</v>
      </c>
      <c r="F3042" s="153" t="s">
        <v>122</v>
      </c>
      <c r="G3042" s="153">
        <v>1</v>
      </c>
      <c r="H3042" s="133" t="s">
        <v>39</v>
      </c>
      <c r="I3042" s="133" t="s">
        <v>2622</v>
      </c>
      <c r="J3042" s="133" t="s">
        <v>2267</v>
      </c>
      <c r="K3042" s="133" t="s">
        <v>831</v>
      </c>
      <c r="L3042" s="167"/>
      <c r="M3042" s="48"/>
      <c r="N3042" s="123"/>
    </row>
    <row r="3043" spans="1:14" customFormat="1" x14ac:dyDescent="0.55000000000000004">
      <c r="A3043" s="132" t="s">
        <v>2268</v>
      </c>
      <c r="B3043" s="133" t="s">
        <v>2623</v>
      </c>
      <c r="C3043" s="136" t="s">
        <v>348</v>
      </c>
      <c r="D3043" s="133" t="s">
        <v>3288</v>
      </c>
      <c r="E3043" s="138">
        <v>1.2999999999999999E-4</v>
      </c>
      <c r="F3043" s="153" t="s">
        <v>122</v>
      </c>
      <c r="G3043" s="153">
        <v>1</v>
      </c>
      <c r="H3043" s="133" t="s">
        <v>39</v>
      </c>
      <c r="I3043" s="133" t="s">
        <v>2622</v>
      </c>
      <c r="J3043" s="133" t="s">
        <v>2267</v>
      </c>
      <c r="K3043" s="133" t="s">
        <v>831</v>
      </c>
      <c r="L3043" s="167"/>
      <c r="M3043" s="48"/>
      <c r="N3043" s="123"/>
    </row>
    <row r="3044" spans="1:14" customFormat="1" x14ac:dyDescent="0.55000000000000004">
      <c r="A3044" s="132" t="s">
        <v>2268</v>
      </c>
      <c r="B3044" s="133" t="s">
        <v>2624</v>
      </c>
      <c r="C3044" s="133" t="s">
        <v>156</v>
      </c>
      <c r="D3044" s="133" t="s">
        <v>3288</v>
      </c>
      <c r="E3044" s="138">
        <v>0.5</v>
      </c>
      <c r="F3044" s="153" t="s">
        <v>122</v>
      </c>
      <c r="G3044" s="153">
        <v>1</v>
      </c>
      <c r="H3044" s="133" t="s">
        <v>39</v>
      </c>
      <c r="I3044" s="133"/>
      <c r="J3044" s="133" t="s">
        <v>2267</v>
      </c>
      <c r="K3044" s="133" t="s">
        <v>831</v>
      </c>
      <c r="L3044" s="167"/>
      <c r="M3044" s="48"/>
      <c r="N3044" s="123"/>
    </row>
    <row r="3045" spans="1:14" customFormat="1" x14ac:dyDescent="0.55000000000000004">
      <c r="A3045" s="132" t="s">
        <v>2268</v>
      </c>
      <c r="B3045" s="133" t="s">
        <v>2625</v>
      </c>
      <c r="C3045" s="136" t="s">
        <v>348</v>
      </c>
      <c r="D3045" s="133" t="s">
        <v>3288</v>
      </c>
      <c r="E3045" s="138">
        <v>1</v>
      </c>
      <c r="F3045" s="153" t="s">
        <v>122</v>
      </c>
      <c r="G3045" s="153">
        <v>1</v>
      </c>
      <c r="H3045" s="133" t="s">
        <v>39</v>
      </c>
      <c r="I3045" s="133"/>
      <c r="J3045" s="133" t="s">
        <v>2267</v>
      </c>
      <c r="K3045" s="133" t="s">
        <v>831</v>
      </c>
      <c r="L3045" s="167"/>
      <c r="M3045" s="48"/>
      <c r="N3045" s="123"/>
    </row>
    <row r="3046" spans="1:14" customFormat="1" x14ac:dyDescent="0.55000000000000004">
      <c r="A3046" s="132" t="s">
        <v>2268</v>
      </c>
      <c r="B3046" s="133" t="s">
        <v>2626</v>
      </c>
      <c r="C3046" s="136" t="s">
        <v>163</v>
      </c>
      <c r="D3046" s="133" t="s">
        <v>3288</v>
      </c>
      <c r="E3046" s="138">
        <v>0.5</v>
      </c>
      <c r="F3046" s="153" t="s">
        <v>122</v>
      </c>
      <c r="G3046" s="153">
        <v>1</v>
      </c>
      <c r="H3046" s="133" t="s">
        <v>39</v>
      </c>
      <c r="I3046" s="133"/>
      <c r="J3046" s="133" t="s">
        <v>2267</v>
      </c>
      <c r="K3046" s="133" t="s">
        <v>831</v>
      </c>
      <c r="L3046" s="167"/>
      <c r="M3046" s="48"/>
      <c r="N3046" s="123"/>
    </row>
    <row r="3047" spans="1:14" customFormat="1" x14ac:dyDescent="0.55000000000000004">
      <c r="A3047" s="132" t="s">
        <v>2272</v>
      </c>
      <c r="B3047" s="133" t="s">
        <v>2627</v>
      </c>
      <c r="C3047" s="136" t="s">
        <v>121</v>
      </c>
      <c r="D3047" s="133" t="s">
        <v>3288</v>
      </c>
      <c r="E3047" s="138">
        <v>1</v>
      </c>
      <c r="F3047" s="153" t="s">
        <v>122</v>
      </c>
      <c r="G3047" s="153">
        <v>1</v>
      </c>
      <c r="H3047" s="133" t="s">
        <v>39</v>
      </c>
      <c r="I3047" s="133"/>
      <c r="J3047" s="133" t="s">
        <v>2271</v>
      </c>
      <c r="K3047" s="133" t="s">
        <v>831</v>
      </c>
      <c r="L3047" s="167"/>
      <c r="M3047" s="48"/>
      <c r="N3047" s="123"/>
    </row>
    <row r="3048" spans="1:14" customFormat="1" x14ac:dyDescent="0.55000000000000004">
      <c r="A3048" s="132" t="s">
        <v>2272</v>
      </c>
      <c r="B3048" s="133" t="s">
        <v>153</v>
      </c>
      <c r="C3048" s="136" t="s">
        <v>127</v>
      </c>
      <c r="D3048" s="133" t="s">
        <v>2994</v>
      </c>
      <c r="E3048" s="138">
        <v>1.197E-2</v>
      </c>
      <c r="F3048" s="153" t="s">
        <v>130</v>
      </c>
      <c r="G3048" s="153">
        <v>1</v>
      </c>
      <c r="H3048" s="133" t="s">
        <v>39</v>
      </c>
      <c r="I3048" s="133" t="s">
        <v>2622</v>
      </c>
      <c r="J3048" s="133" t="s">
        <v>2271</v>
      </c>
      <c r="K3048" s="133" t="s">
        <v>831</v>
      </c>
      <c r="L3048" s="167"/>
      <c r="M3048" s="48"/>
      <c r="N3048" s="123"/>
    </row>
    <row r="3049" spans="1:14" customFormat="1" x14ac:dyDescent="0.55000000000000004">
      <c r="A3049" s="132" t="s">
        <v>2272</v>
      </c>
      <c r="B3049" s="133" t="s">
        <v>508</v>
      </c>
      <c r="C3049" s="136" t="s">
        <v>127</v>
      </c>
      <c r="D3049" s="133" t="s">
        <v>3288</v>
      </c>
      <c r="E3049" s="138">
        <v>9.2000000000000003E-4</v>
      </c>
      <c r="F3049" s="153" t="s">
        <v>122</v>
      </c>
      <c r="G3049" s="153">
        <v>1</v>
      </c>
      <c r="H3049" s="133" t="s">
        <v>39</v>
      </c>
      <c r="I3049" s="133" t="s">
        <v>2622</v>
      </c>
      <c r="J3049" s="133" t="s">
        <v>2271</v>
      </c>
      <c r="K3049" s="133" t="s">
        <v>831</v>
      </c>
      <c r="L3049" s="167"/>
      <c r="M3049" s="48"/>
      <c r="N3049" s="123"/>
    </row>
    <row r="3050" spans="1:14" customFormat="1" x14ac:dyDescent="0.55000000000000004">
      <c r="A3050" s="132" t="s">
        <v>2272</v>
      </c>
      <c r="B3050" s="133" t="s">
        <v>2623</v>
      </c>
      <c r="C3050" s="136" t="s">
        <v>348</v>
      </c>
      <c r="D3050" s="133" t="s">
        <v>3288</v>
      </c>
      <c r="E3050" s="138">
        <v>5.0000000000000002E-5</v>
      </c>
      <c r="F3050" s="153" t="s">
        <v>122</v>
      </c>
      <c r="G3050" s="153">
        <v>1</v>
      </c>
      <c r="H3050" s="133" t="s">
        <v>39</v>
      </c>
      <c r="I3050" s="133" t="s">
        <v>2622</v>
      </c>
      <c r="J3050" s="133" t="s">
        <v>2271</v>
      </c>
      <c r="K3050" s="133" t="s">
        <v>831</v>
      </c>
      <c r="L3050" s="167"/>
      <c r="M3050" s="48"/>
      <c r="N3050" s="123"/>
    </row>
    <row r="3051" spans="1:14" customFormat="1" x14ac:dyDescent="0.55000000000000004">
      <c r="A3051" s="132" t="s">
        <v>2272</v>
      </c>
      <c r="B3051" s="133" t="s">
        <v>2628</v>
      </c>
      <c r="C3051" s="136" t="s">
        <v>125</v>
      </c>
      <c r="D3051" s="133" t="s">
        <v>3288</v>
      </c>
      <c r="E3051" s="138">
        <v>1.1111111111111112</v>
      </c>
      <c r="F3051" s="153" t="s">
        <v>122</v>
      </c>
      <c r="G3051" s="153">
        <v>1</v>
      </c>
      <c r="H3051" s="133" t="s">
        <v>39</v>
      </c>
      <c r="I3051" s="133"/>
      <c r="J3051" s="133" t="s">
        <v>2271</v>
      </c>
      <c r="K3051" s="133" t="s">
        <v>831</v>
      </c>
      <c r="L3051" s="167"/>
      <c r="M3051" s="48"/>
      <c r="N3051" s="123"/>
    </row>
    <row r="3052" spans="1:14" customFormat="1" x14ac:dyDescent="0.55000000000000004">
      <c r="A3052" s="132" t="s">
        <v>2272</v>
      </c>
      <c r="B3052" s="133" t="s">
        <v>2626</v>
      </c>
      <c r="C3052" s="136" t="s">
        <v>163</v>
      </c>
      <c r="D3052" s="133" t="s">
        <v>3288</v>
      </c>
      <c r="E3052" s="138">
        <v>0.11111111111111116</v>
      </c>
      <c r="F3052" s="153" t="s">
        <v>122</v>
      </c>
      <c r="G3052" s="153">
        <v>1</v>
      </c>
      <c r="H3052" s="133" t="s">
        <v>39</v>
      </c>
      <c r="I3052" s="133"/>
      <c r="J3052" s="133" t="s">
        <v>2271</v>
      </c>
      <c r="K3052" s="133" t="s">
        <v>831</v>
      </c>
      <c r="L3052" s="167"/>
      <c r="M3052" s="48"/>
      <c r="N3052" s="123"/>
    </row>
    <row r="3053" spans="1:14" customFormat="1" x14ac:dyDescent="0.55000000000000004">
      <c r="A3053" s="132" t="s">
        <v>2275</v>
      </c>
      <c r="B3053" s="133" t="s">
        <v>2629</v>
      </c>
      <c r="C3053" s="136" t="s">
        <v>121</v>
      </c>
      <c r="D3053" s="133" t="s">
        <v>2682</v>
      </c>
      <c r="E3053" s="138">
        <v>1</v>
      </c>
      <c r="F3053" s="153">
        <v>1</v>
      </c>
      <c r="G3053" s="153">
        <v>1</v>
      </c>
      <c r="H3053" s="133" t="s">
        <v>39</v>
      </c>
      <c r="I3053" s="133"/>
      <c r="J3053" s="133" t="s">
        <v>2274</v>
      </c>
      <c r="K3053" s="133" t="s">
        <v>831</v>
      </c>
      <c r="L3053" s="167"/>
      <c r="M3053" s="48"/>
      <c r="N3053" s="123"/>
    </row>
    <row r="3054" spans="1:14" customFormat="1" x14ac:dyDescent="0.55000000000000004">
      <c r="A3054" s="132" t="s">
        <v>2275</v>
      </c>
      <c r="B3054" s="133" t="s">
        <v>2630</v>
      </c>
      <c r="C3054" s="133" t="s">
        <v>156</v>
      </c>
      <c r="D3054" s="133" t="s">
        <v>3288</v>
      </c>
      <c r="E3054" s="138">
        <v>0.98599999999999999</v>
      </c>
      <c r="F3054" s="153" t="s">
        <v>122</v>
      </c>
      <c r="G3054" s="153">
        <v>1</v>
      </c>
      <c r="H3054" s="133" t="s">
        <v>39</v>
      </c>
      <c r="I3054" s="133"/>
      <c r="J3054" s="133" t="s">
        <v>2274</v>
      </c>
      <c r="K3054" s="133" t="s">
        <v>831</v>
      </c>
      <c r="L3054" s="167"/>
      <c r="M3054" s="48"/>
      <c r="N3054" s="123"/>
    </row>
    <row r="3055" spans="1:14" customFormat="1" x14ac:dyDescent="0.55000000000000004">
      <c r="A3055" s="132" t="s">
        <v>2275</v>
      </c>
      <c r="B3055" s="133" t="s">
        <v>2631</v>
      </c>
      <c r="C3055" s="136" t="s">
        <v>127</v>
      </c>
      <c r="D3055" s="133" t="s">
        <v>2994</v>
      </c>
      <c r="E3055" s="138">
        <v>9.1999999999999998E-3</v>
      </c>
      <c r="F3055" s="153" t="s">
        <v>130</v>
      </c>
      <c r="G3055" s="153">
        <v>1</v>
      </c>
      <c r="H3055" s="133" t="s">
        <v>39</v>
      </c>
      <c r="I3055" s="133"/>
      <c r="J3055" s="133" t="s">
        <v>2274</v>
      </c>
      <c r="K3055" s="133" t="s">
        <v>831</v>
      </c>
      <c r="L3055" s="167"/>
      <c r="M3055" s="48"/>
      <c r="N3055" s="123"/>
    </row>
    <row r="3056" spans="1:14" customFormat="1" x14ac:dyDescent="0.55000000000000004">
      <c r="A3056" s="132" t="s">
        <v>2275</v>
      </c>
      <c r="B3056" s="133" t="s">
        <v>496</v>
      </c>
      <c r="C3056" s="136" t="s">
        <v>127</v>
      </c>
      <c r="D3056" s="133" t="s">
        <v>2994</v>
      </c>
      <c r="E3056" s="138">
        <v>1.4420000000000001E-2</v>
      </c>
      <c r="F3056" s="153" t="s">
        <v>167</v>
      </c>
      <c r="G3056" s="153">
        <v>1</v>
      </c>
      <c r="H3056" s="133" t="s">
        <v>39</v>
      </c>
      <c r="I3056" s="133"/>
      <c r="J3056" s="133" t="s">
        <v>2274</v>
      </c>
      <c r="K3056" s="133" t="s">
        <v>831</v>
      </c>
      <c r="L3056" s="167"/>
      <c r="M3056" s="48"/>
      <c r="N3056" s="123"/>
    </row>
    <row r="3057" spans="1:14" customFormat="1" x14ac:dyDescent="0.55000000000000004">
      <c r="A3057" s="132" t="s">
        <v>2275</v>
      </c>
      <c r="B3057" s="133" t="s">
        <v>2632</v>
      </c>
      <c r="C3057" s="136" t="s">
        <v>348</v>
      </c>
      <c r="D3057" s="133" t="s">
        <v>3288</v>
      </c>
      <c r="E3057" s="138">
        <v>1.1873500000000001E-5</v>
      </c>
      <c r="F3057" s="153" t="s">
        <v>122</v>
      </c>
      <c r="G3057" s="153">
        <v>1</v>
      </c>
      <c r="H3057" s="133" t="s">
        <v>39</v>
      </c>
      <c r="I3057" s="133"/>
      <c r="J3057" s="133" t="s">
        <v>2274</v>
      </c>
      <c r="K3057" s="133" t="s">
        <v>831</v>
      </c>
      <c r="L3057" s="167"/>
      <c r="M3057" s="48"/>
      <c r="N3057" s="123"/>
    </row>
    <row r="3058" spans="1:14" customFormat="1" x14ac:dyDescent="0.55000000000000004">
      <c r="A3058" s="132" t="s">
        <v>2275</v>
      </c>
      <c r="B3058" s="133" t="s">
        <v>2633</v>
      </c>
      <c r="C3058" s="136" t="s">
        <v>125</v>
      </c>
      <c r="D3058" s="133" t="s">
        <v>3288</v>
      </c>
      <c r="E3058" s="138">
        <v>1.1900000000000001E-3</v>
      </c>
      <c r="F3058" s="153" t="s">
        <v>122</v>
      </c>
      <c r="G3058" s="153">
        <v>1</v>
      </c>
      <c r="H3058" s="133" t="s">
        <v>39</v>
      </c>
      <c r="I3058" s="133"/>
      <c r="J3058" s="133" t="s">
        <v>2274</v>
      </c>
      <c r="K3058" s="133" t="s">
        <v>831</v>
      </c>
      <c r="L3058" s="167"/>
      <c r="M3058" s="48"/>
      <c r="N3058" s="123"/>
    </row>
    <row r="3059" spans="1:14" customFormat="1" x14ac:dyDescent="0.55000000000000004">
      <c r="A3059" s="132" t="s">
        <v>2275</v>
      </c>
      <c r="B3059" s="133" t="s">
        <v>2634</v>
      </c>
      <c r="C3059" s="136" t="s">
        <v>125</v>
      </c>
      <c r="D3059" s="133" t="s">
        <v>3288</v>
      </c>
      <c r="E3059" s="138">
        <v>1</v>
      </c>
      <c r="F3059" s="153" t="s">
        <v>122</v>
      </c>
      <c r="G3059" s="153">
        <v>1</v>
      </c>
      <c r="H3059" s="133" t="s">
        <v>39</v>
      </c>
      <c r="I3059" s="133"/>
      <c r="J3059" s="133" t="s">
        <v>2274</v>
      </c>
      <c r="K3059" s="133" t="s">
        <v>831</v>
      </c>
      <c r="L3059" s="167"/>
      <c r="M3059" s="48"/>
      <c r="N3059" s="123"/>
    </row>
    <row r="3060" spans="1:14" customFormat="1" x14ac:dyDescent="0.55000000000000004">
      <c r="A3060" s="132" t="s">
        <v>2275</v>
      </c>
      <c r="B3060" s="133" t="s">
        <v>2589</v>
      </c>
      <c r="C3060" s="133" t="s">
        <v>156</v>
      </c>
      <c r="D3060" s="133" t="s">
        <v>3288</v>
      </c>
      <c r="E3060" s="138">
        <v>7.3999999999999999E-4</v>
      </c>
      <c r="F3060" s="153" t="s">
        <v>122</v>
      </c>
      <c r="G3060" s="153">
        <v>1</v>
      </c>
      <c r="H3060" s="133" t="s">
        <v>39</v>
      </c>
      <c r="I3060" s="133"/>
      <c r="J3060" s="133" t="s">
        <v>2274</v>
      </c>
      <c r="K3060" s="133" t="s">
        <v>831</v>
      </c>
      <c r="L3060" s="167"/>
      <c r="M3060" s="48"/>
      <c r="N3060" s="123"/>
    </row>
    <row r="3061" spans="1:14" customFormat="1" x14ac:dyDescent="0.55000000000000004">
      <c r="A3061" s="132" t="s">
        <v>2275</v>
      </c>
      <c r="B3061" s="133" t="s">
        <v>2635</v>
      </c>
      <c r="C3061" s="133" t="s">
        <v>156</v>
      </c>
      <c r="D3061" s="133" t="s">
        <v>3288</v>
      </c>
      <c r="E3061" s="138">
        <v>8.5299999999999994E-3</v>
      </c>
      <c r="F3061" s="153" t="s">
        <v>122</v>
      </c>
      <c r="G3061" s="153">
        <v>1</v>
      </c>
      <c r="H3061" s="133" t="s">
        <v>39</v>
      </c>
      <c r="I3061" s="133"/>
      <c r="J3061" s="133" t="s">
        <v>2274</v>
      </c>
      <c r="K3061" s="133" t="s">
        <v>831</v>
      </c>
      <c r="L3061" s="167"/>
      <c r="M3061" s="48"/>
      <c r="N3061" s="123"/>
    </row>
    <row r="3062" spans="1:14" customFormat="1" x14ac:dyDescent="0.55000000000000004">
      <c r="A3062" s="132" t="s">
        <v>2275</v>
      </c>
      <c r="B3062" s="133" t="s">
        <v>2636</v>
      </c>
      <c r="C3062" s="133" t="s">
        <v>156</v>
      </c>
      <c r="D3062" s="133" t="s">
        <v>3288</v>
      </c>
      <c r="E3062" s="138">
        <v>4.45E-3</v>
      </c>
      <c r="F3062" s="153" t="s">
        <v>122</v>
      </c>
      <c r="G3062" s="153">
        <v>1</v>
      </c>
      <c r="H3062" s="133" t="s">
        <v>39</v>
      </c>
      <c r="I3062" s="133"/>
      <c r="J3062" s="133" t="s">
        <v>2274</v>
      </c>
      <c r="K3062" s="133" t="s">
        <v>831</v>
      </c>
      <c r="L3062" s="167"/>
      <c r="M3062" s="48"/>
      <c r="N3062" s="123"/>
    </row>
    <row r="3063" spans="1:14" customFormat="1" x14ac:dyDescent="0.55000000000000004">
      <c r="A3063" s="132" t="s">
        <v>2275</v>
      </c>
      <c r="B3063" s="133" t="s">
        <v>2637</v>
      </c>
      <c r="C3063" s="133" t="s">
        <v>156</v>
      </c>
      <c r="D3063" s="133" t="s">
        <v>3288</v>
      </c>
      <c r="E3063" s="138">
        <v>9.5200000000000007E-3</v>
      </c>
      <c r="F3063" s="153" t="s">
        <v>122</v>
      </c>
      <c r="G3063" s="153">
        <v>1</v>
      </c>
      <c r="H3063" s="133" t="s">
        <v>39</v>
      </c>
      <c r="I3063" s="133"/>
      <c r="J3063" s="133" t="s">
        <v>2274</v>
      </c>
      <c r="K3063" s="133" t="s">
        <v>831</v>
      </c>
      <c r="L3063" s="167"/>
      <c r="M3063" s="48"/>
      <c r="N3063" s="123"/>
    </row>
    <row r="3064" spans="1:14" customFormat="1" x14ac:dyDescent="0.55000000000000004">
      <c r="A3064" s="132" t="s">
        <v>2275</v>
      </c>
      <c r="B3064" s="133" t="s">
        <v>2638</v>
      </c>
      <c r="C3064" s="133" t="s">
        <v>156</v>
      </c>
      <c r="D3064" s="133" t="s">
        <v>3288</v>
      </c>
      <c r="E3064" s="138">
        <v>7.3999999999999999E-4</v>
      </c>
      <c r="F3064" s="153" t="s">
        <v>122</v>
      </c>
      <c r="G3064" s="153">
        <v>1</v>
      </c>
      <c r="H3064" s="133" t="s">
        <v>39</v>
      </c>
      <c r="I3064" s="133"/>
      <c r="J3064" s="133" t="s">
        <v>2274</v>
      </c>
      <c r="K3064" s="133" t="s">
        <v>831</v>
      </c>
      <c r="L3064" s="167"/>
      <c r="M3064" s="48"/>
      <c r="N3064" s="123"/>
    </row>
    <row r="3065" spans="1:14" customFormat="1" x14ac:dyDescent="0.55000000000000004">
      <c r="A3065" s="132" t="s">
        <v>2275</v>
      </c>
      <c r="B3065" s="133" t="s">
        <v>2639</v>
      </c>
      <c r="C3065" s="133" t="s">
        <v>156</v>
      </c>
      <c r="D3065" s="133" t="s">
        <v>3288</v>
      </c>
      <c r="E3065" s="138">
        <v>7.3999999999999999E-4</v>
      </c>
      <c r="F3065" s="153" t="s">
        <v>122</v>
      </c>
      <c r="G3065" s="153">
        <v>1</v>
      </c>
      <c r="H3065" s="133" t="s">
        <v>39</v>
      </c>
      <c r="I3065" s="133"/>
      <c r="J3065" s="133" t="s">
        <v>2274</v>
      </c>
      <c r="K3065" s="133" t="s">
        <v>831</v>
      </c>
      <c r="L3065" s="167"/>
      <c r="M3065" s="48"/>
      <c r="N3065" s="123"/>
    </row>
    <row r="3066" spans="1:14" customFormat="1" x14ac:dyDescent="0.55000000000000004">
      <c r="A3066" s="132" t="s">
        <v>2280</v>
      </c>
      <c r="B3066" s="133" t="s">
        <v>2629</v>
      </c>
      <c r="C3066" s="136" t="s">
        <v>121</v>
      </c>
      <c r="D3066" s="133" t="s">
        <v>2682</v>
      </c>
      <c r="E3066" s="138">
        <v>1</v>
      </c>
      <c r="F3066" s="153">
        <v>1</v>
      </c>
      <c r="G3066" s="153">
        <v>1</v>
      </c>
      <c r="H3066" s="133" t="s">
        <v>39</v>
      </c>
      <c r="I3066" s="133"/>
      <c r="J3066" s="133" t="s">
        <v>2279</v>
      </c>
      <c r="K3066" s="133" t="s">
        <v>831</v>
      </c>
      <c r="L3066" s="167"/>
      <c r="M3066" s="48"/>
      <c r="N3066" s="123"/>
    </row>
    <row r="3067" spans="1:14" customFormat="1" x14ac:dyDescent="0.55000000000000004">
      <c r="A3067" s="132" t="s">
        <v>2280</v>
      </c>
      <c r="B3067" s="133" t="s">
        <v>2640</v>
      </c>
      <c r="C3067" s="133" t="s">
        <v>156</v>
      </c>
      <c r="D3067" s="133" t="s">
        <v>3288</v>
      </c>
      <c r="E3067" s="138">
        <v>1</v>
      </c>
      <c r="F3067" s="153" t="s">
        <v>122</v>
      </c>
      <c r="G3067" s="153">
        <v>1</v>
      </c>
      <c r="H3067" s="133" t="s">
        <v>39</v>
      </c>
      <c r="I3067" s="133"/>
      <c r="J3067" s="133" t="s">
        <v>2279</v>
      </c>
      <c r="K3067" s="133" t="s">
        <v>831</v>
      </c>
      <c r="L3067" s="167"/>
      <c r="M3067" s="48"/>
      <c r="N3067" s="123"/>
    </row>
    <row r="3068" spans="1:14" customFormat="1" x14ac:dyDescent="0.55000000000000004">
      <c r="A3068" s="132" t="s">
        <v>2280</v>
      </c>
      <c r="B3068" s="133" t="s">
        <v>2631</v>
      </c>
      <c r="C3068" s="136" t="s">
        <v>127</v>
      </c>
      <c r="D3068" s="133" t="s">
        <v>2994</v>
      </c>
      <c r="E3068" s="138">
        <v>9.2999999999999992E-3</v>
      </c>
      <c r="F3068" s="153" t="s">
        <v>130</v>
      </c>
      <c r="G3068" s="153">
        <v>1</v>
      </c>
      <c r="H3068" s="133" t="s">
        <v>39</v>
      </c>
      <c r="I3068" s="133"/>
      <c r="J3068" s="133" t="s">
        <v>2279</v>
      </c>
      <c r="K3068" s="133" t="s">
        <v>831</v>
      </c>
      <c r="L3068" s="167"/>
      <c r="M3068" s="48"/>
      <c r="N3068" s="123"/>
    </row>
    <row r="3069" spans="1:14" customFormat="1" x14ac:dyDescent="0.55000000000000004">
      <c r="A3069" s="132" t="s">
        <v>2280</v>
      </c>
      <c r="B3069" s="133" t="s">
        <v>496</v>
      </c>
      <c r="C3069" s="136" t="s">
        <v>127</v>
      </c>
      <c r="D3069" s="133" t="s">
        <v>2994</v>
      </c>
      <c r="E3069" s="138">
        <v>1.457E-2</v>
      </c>
      <c r="F3069" s="153" t="s">
        <v>167</v>
      </c>
      <c r="G3069" s="153">
        <v>1</v>
      </c>
      <c r="H3069" s="133" t="s">
        <v>39</v>
      </c>
      <c r="I3069" s="133"/>
      <c r="J3069" s="133" t="s">
        <v>2279</v>
      </c>
      <c r="K3069" s="133" t="s">
        <v>831</v>
      </c>
      <c r="L3069" s="167"/>
      <c r="M3069" s="48"/>
      <c r="N3069" s="123"/>
    </row>
    <row r="3070" spans="1:14" customFormat="1" x14ac:dyDescent="0.55000000000000004">
      <c r="A3070" s="132" t="s">
        <v>2280</v>
      </c>
      <c r="B3070" s="133" t="s">
        <v>2632</v>
      </c>
      <c r="C3070" s="136" t="s">
        <v>348</v>
      </c>
      <c r="D3070" s="133" t="s">
        <v>3288</v>
      </c>
      <c r="E3070" s="138">
        <v>1.2E-5</v>
      </c>
      <c r="F3070" s="153" t="s">
        <v>122</v>
      </c>
      <c r="G3070" s="153">
        <v>1</v>
      </c>
      <c r="H3070" s="133" t="s">
        <v>39</v>
      </c>
      <c r="I3070" s="133"/>
      <c r="J3070" s="133" t="s">
        <v>2279</v>
      </c>
      <c r="K3070" s="133" t="s">
        <v>831</v>
      </c>
      <c r="L3070" s="167"/>
      <c r="M3070" s="48"/>
      <c r="N3070" s="123"/>
    </row>
    <row r="3071" spans="1:14" customFormat="1" x14ac:dyDescent="0.55000000000000004">
      <c r="A3071" s="132" t="s">
        <v>2280</v>
      </c>
      <c r="B3071" s="133" t="s">
        <v>2633</v>
      </c>
      <c r="C3071" s="136" t="s">
        <v>348</v>
      </c>
      <c r="D3071" s="133" t="s">
        <v>3288</v>
      </c>
      <c r="E3071" s="138">
        <v>1.1999999999999999E-3</v>
      </c>
      <c r="F3071" s="153" t="s">
        <v>122</v>
      </c>
      <c r="G3071" s="153">
        <v>1</v>
      </c>
      <c r="H3071" s="133" t="s">
        <v>39</v>
      </c>
      <c r="I3071" s="133"/>
      <c r="J3071" s="133" t="s">
        <v>2279</v>
      </c>
      <c r="K3071" s="133" t="s">
        <v>831</v>
      </c>
      <c r="L3071" s="167"/>
      <c r="M3071" s="48"/>
      <c r="N3071" s="123"/>
    </row>
    <row r="3072" spans="1:14" customFormat="1" x14ac:dyDescent="0.55000000000000004">
      <c r="A3072" s="132" t="s">
        <v>2280</v>
      </c>
      <c r="B3072" s="133" t="s">
        <v>2641</v>
      </c>
      <c r="C3072" s="136" t="s">
        <v>348</v>
      </c>
      <c r="D3072" s="133" t="s">
        <v>3288</v>
      </c>
      <c r="E3072" s="138">
        <v>1.0249999999999999</v>
      </c>
      <c r="F3072" s="153" t="s">
        <v>122</v>
      </c>
      <c r="G3072" s="153">
        <v>1</v>
      </c>
      <c r="H3072" s="133" t="s">
        <v>39</v>
      </c>
      <c r="I3072" s="133"/>
      <c r="J3072" s="133" t="s">
        <v>2279</v>
      </c>
      <c r="K3072" s="133" t="s">
        <v>831</v>
      </c>
      <c r="L3072" s="167"/>
      <c r="M3072" s="48"/>
      <c r="N3072" s="123"/>
    </row>
    <row r="3073" spans="1:14" customFormat="1" x14ac:dyDescent="0.55000000000000004">
      <c r="A3073" s="132" t="s">
        <v>2280</v>
      </c>
      <c r="B3073" s="133" t="s">
        <v>2642</v>
      </c>
      <c r="C3073" s="133" t="s">
        <v>156</v>
      </c>
      <c r="D3073" s="133" t="s">
        <v>3288</v>
      </c>
      <c r="E3073" s="138">
        <v>7.5000000000000002E-4</v>
      </c>
      <c r="F3073" s="153" t="s">
        <v>122</v>
      </c>
      <c r="G3073" s="153">
        <v>1</v>
      </c>
      <c r="H3073" s="133" t="s">
        <v>39</v>
      </c>
      <c r="I3073" s="133"/>
      <c r="J3073" s="133" t="s">
        <v>2279</v>
      </c>
      <c r="K3073" s="133" t="s">
        <v>831</v>
      </c>
      <c r="L3073" s="167"/>
      <c r="M3073" s="48"/>
      <c r="N3073" s="123"/>
    </row>
    <row r="3074" spans="1:14" customFormat="1" x14ac:dyDescent="0.55000000000000004">
      <c r="A3074" s="132" t="s">
        <v>2280</v>
      </c>
      <c r="B3074" s="133" t="s">
        <v>2635</v>
      </c>
      <c r="C3074" s="133" t="s">
        <v>156</v>
      </c>
      <c r="D3074" s="133" t="s">
        <v>3288</v>
      </c>
      <c r="E3074" s="138">
        <v>8.6300000000000005E-3</v>
      </c>
      <c r="F3074" s="153" t="s">
        <v>122</v>
      </c>
      <c r="G3074" s="153">
        <v>1</v>
      </c>
      <c r="H3074" s="133" t="s">
        <v>39</v>
      </c>
      <c r="I3074" s="133"/>
      <c r="J3074" s="133" t="s">
        <v>2279</v>
      </c>
      <c r="K3074" s="133" t="s">
        <v>831</v>
      </c>
      <c r="L3074" s="167"/>
      <c r="M3074" s="48"/>
      <c r="N3074" s="123"/>
    </row>
    <row r="3075" spans="1:14" customFormat="1" x14ac:dyDescent="0.55000000000000004">
      <c r="A3075" s="132" t="s">
        <v>2280</v>
      </c>
      <c r="B3075" s="133" t="s">
        <v>2636</v>
      </c>
      <c r="C3075" s="133" t="s">
        <v>156</v>
      </c>
      <c r="D3075" s="133" t="s">
        <v>3288</v>
      </c>
      <c r="E3075" s="138">
        <v>8.6300000000000005E-3</v>
      </c>
      <c r="F3075" s="153" t="s">
        <v>122</v>
      </c>
      <c r="G3075" s="153">
        <v>1</v>
      </c>
      <c r="H3075" s="133" t="s">
        <v>39</v>
      </c>
      <c r="I3075" s="133"/>
      <c r="J3075" s="133" t="s">
        <v>2279</v>
      </c>
      <c r="K3075" s="133" t="s">
        <v>831</v>
      </c>
      <c r="L3075" s="167"/>
      <c r="M3075" s="48"/>
      <c r="N3075" s="123"/>
    </row>
    <row r="3076" spans="1:14" customFormat="1" x14ac:dyDescent="0.55000000000000004">
      <c r="A3076" s="132" t="s">
        <v>2280</v>
      </c>
      <c r="B3076" s="133" t="s">
        <v>2637</v>
      </c>
      <c r="C3076" s="133" t="s">
        <v>156</v>
      </c>
      <c r="D3076" s="133" t="s">
        <v>3288</v>
      </c>
      <c r="E3076" s="138">
        <v>9.6200000000000001E-3</v>
      </c>
      <c r="F3076" s="153" t="s">
        <v>122</v>
      </c>
      <c r="G3076" s="153">
        <v>1</v>
      </c>
      <c r="H3076" s="133" t="s">
        <v>39</v>
      </c>
      <c r="I3076" s="133"/>
      <c r="J3076" s="133" t="s">
        <v>2279</v>
      </c>
      <c r="K3076" s="133" t="s">
        <v>831</v>
      </c>
      <c r="L3076" s="167"/>
      <c r="M3076" s="48"/>
      <c r="N3076" s="123"/>
    </row>
    <row r="3077" spans="1:14" customFormat="1" x14ac:dyDescent="0.55000000000000004">
      <c r="A3077" s="132" t="s">
        <v>2280</v>
      </c>
      <c r="B3077" s="133" t="s">
        <v>2638</v>
      </c>
      <c r="C3077" s="133" t="s">
        <v>156</v>
      </c>
      <c r="D3077" s="133" t="s">
        <v>3288</v>
      </c>
      <c r="E3077" s="138">
        <v>7.5000000000000002E-4</v>
      </c>
      <c r="F3077" s="153" t="s">
        <v>122</v>
      </c>
      <c r="G3077" s="153">
        <v>1</v>
      </c>
      <c r="H3077" s="133" t="s">
        <v>39</v>
      </c>
      <c r="I3077" s="133"/>
      <c r="J3077" s="133" t="s">
        <v>2279</v>
      </c>
      <c r="K3077" s="133" t="s">
        <v>831</v>
      </c>
      <c r="L3077" s="167"/>
      <c r="M3077" s="48"/>
      <c r="N3077" s="123"/>
    </row>
    <row r="3078" spans="1:14" customFormat="1" x14ac:dyDescent="0.55000000000000004">
      <c r="A3078" s="132" t="s">
        <v>2280</v>
      </c>
      <c r="B3078" s="133" t="s">
        <v>2639</v>
      </c>
      <c r="C3078" s="133" t="s">
        <v>156</v>
      </c>
      <c r="D3078" s="133" t="s">
        <v>3288</v>
      </c>
      <c r="E3078" s="138">
        <v>7.5000000000000002E-4</v>
      </c>
      <c r="F3078" s="153" t="s">
        <v>122</v>
      </c>
      <c r="G3078" s="153">
        <v>1</v>
      </c>
      <c r="H3078" s="133" t="s">
        <v>39</v>
      </c>
      <c r="I3078" s="133"/>
      <c r="J3078" s="133" t="s">
        <v>2279</v>
      </c>
      <c r="K3078" s="133" t="s">
        <v>831</v>
      </c>
      <c r="L3078" s="167"/>
      <c r="M3078" s="48"/>
      <c r="N3078" s="123"/>
    </row>
    <row r="3079" spans="1:14" customFormat="1" x14ac:dyDescent="0.55000000000000004">
      <c r="A3079" s="132" t="s">
        <v>2285</v>
      </c>
      <c r="B3079" s="133" t="s">
        <v>2643</v>
      </c>
      <c r="C3079" s="136" t="s">
        <v>121</v>
      </c>
      <c r="D3079" s="133" t="s">
        <v>3288</v>
      </c>
      <c r="E3079" s="138">
        <v>1</v>
      </c>
      <c r="F3079" s="153" t="s">
        <v>122</v>
      </c>
      <c r="G3079" s="153">
        <v>1</v>
      </c>
      <c r="H3079" s="133" t="s">
        <v>39</v>
      </c>
      <c r="I3079" s="133"/>
      <c r="J3079" s="133" t="s">
        <v>2284</v>
      </c>
      <c r="K3079" s="133" t="s">
        <v>831</v>
      </c>
      <c r="L3079" s="167"/>
      <c r="M3079" s="48"/>
      <c r="N3079" s="123"/>
    </row>
    <row r="3080" spans="1:14" customFormat="1" x14ac:dyDescent="0.55000000000000004">
      <c r="A3080" s="132" t="s">
        <v>2285</v>
      </c>
      <c r="B3080" s="133" t="s">
        <v>1180</v>
      </c>
      <c r="C3080" s="136" t="s">
        <v>127</v>
      </c>
      <c r="D3080" s="133" t="s">
        <v>2994</v>
      </c>
      <c r="E3080" s="138">
        <v>1.8020000000000001E-2</v>
      </c>
      <c r="F3080" s="153" t="s">
        <v>167</v>
      </c>
      <c r="G3080" s="153">
        <v>1</v>
      </c>
      <c r="H3080" s="133" t="s">
        <v>39</v>
      </c>
      <c r="I3080" s="133"/>
      <c r="J3080" s="133" t="s">
        <v>2284</v>
      </c>
      <c r="K3080" s="133" t="s">
        <v>831</v>
      </c>
      <c r="L3080" s="167"/>
      <c r="M3080" s="48"/>
      <c r="N3080" s="123"/>
    </row>
    <row r="3081" spans="1:14" customFormat="1" x14ac:dyDescent="0.55000000000000004">
      <c r="A3081" s="132" t="s">
        <v>2285</v>
      </c>
      <c r="B3081" s="133" t="s">
        <v>2631</v>
      </c>
      <c r="C3081" s="136" t="s">
        <v>127</v>
      </c>
      <c r="D3081" s="133" t="s">
        <v>2994</v>
      </c>
      <c r="E3081" s="138">
        <v>1.042E-2</v>
      </c>
      <c r="F3081" s="153" t="s">
        <v>130</v>
      </c>
      <c r="G3081" s="153">
        <v>1</v>
      </c>
      <c r="H3081" s="133" t="s">
        <v>39</v>
      </c>
      <c r="I3081" s="133"/>
      <c r="J3081" s="133" t="s">
        <v>2284</v>
      </c>
      <c r="K3081" s="133" t="s">
        <v>831</v>
      </c>
      <c r="L3081" s="167"/>
      <c r="M3081" s="48"/>
      <c r="N3081" s="123"/>
    </row>
    <row r="3082" spans="1:14" customFormat="1" x14ac:dyDescent="0.55000000000000004">
      <c r="A3082" s="132" t="s">
        <v>2285</v>
      </c>
      <c r="B3082" s="133" t="s">
        <v>2644</v>
      </c>
      <c r="C3082" s="136" t="s">
        <v>348</v>
      </c>
      <c r="D3082" s="133" t="s">
        <v>3288</v>
      </c>
      <c r="E3082" s="138">
        <v>1.0416700000000001</v>
      </c>
      <c r="F3082" s="153" t="s">
        <v>122</v>
      </c>
      <c r="G3082" s="153">
        <v>1</v>
      </c>
      <c r="H3082" s="133" t="s">
        <v>39</v>
      </c>
      <c r="I3082" s="133"/>
      <c r="J3082" s="133" t="s">
        <v>2284</v>
      </c>
      <c r="K3082" s="133" t="s">
        <v>831</v>
      </c>
      <c r="L3082" s="167"/>
      <c r="M3082" s="48"/>
      <c r="N3082" s="123"/>
    </row>
    <row r="3083" spans="1:14" customFormat="1" x14ac:dyDescent="0.55000000000000004">
      <c r="A3083" s="132" t="s">
        <v>2285</v>
      </c>
      <c r="B3083" s="133" t="s">
        <v>2626</v>
      </c>
      <c r="C3083" s="136" t="s">
        <v>163</v>
      </c>
      <c r="D3083" s="133" t="s">
        <v>3288</v>
      </c>
      <c r="E3083" s="138">
        <v>4.1669999999999999E-2</v>
      </c>
      <c r="F3083" s="153" t="s">
        <v>122</v>
      </c>
      <c r="G3083" s="153">
        <v>1</v>
      </c>
      <c r="H3083" s="133" t="s">
        <v>39</v>
      </c>
      <c r="I3083" s="133"/>
      <c r="J3083" s="133" t="s">
        <v>2284</v>
      </c>
      <c r="K3083" s="133" t="s">
        <v>831</v>
      </c>
      <c r="L3083" s="167"/>
      <c r="M3083" s="48"/>
      <c r="N3083" s="123"/>
    </row>
    <row r="3084" spans="1:14" customFormat="1" x14ac:dyDescent="0.55000000000000004">
      <c r="A3084" s="132" t="s">
        <v>2289</v>
      </c>
      <c r="B3084" s="133" t="s">
        <v>2645</v>
      </c>
      <c r="C3084" s="136" t="s">
        <v>121</v>
      </c>
      <c r="D3084" s="133" t="s">
        <v>3288</v>
      </c>
      <c r="E3084" s="138">
        <v>1</v>
      </c>
      <c r="F3084" s="153" t="s">
        <v>122</v>
      </c>
      <c r="G3084" s="153">
        <v>1</v>
      </c>
      <c r="H3084" s="133" t="s">
        <v>39</v>
      </c>
      <c r="I3084" s="133"/>
      <c r="J3084" s="133" t="s">
        <v>2288</v>
      </c>
      <c r="K3084" s="133" t="s">
        <v>831</v>
      </c>
      <c r="L3084" s="167"/>
      <c r="M3084" s="48"/>
      <c r="N3084" s="123"/>
    </row>
    <row r="3085" spans="1:14" customFormat="1" x14ac:dyDescent="0.55000000000000004">
      <c r="A3085" s="132" t="s">
        <v>2289</v>
      </c>
      <c r="B3085" s="133" t="s">
        <v>1180</v>
      </c>
      <c r="C3085" s="136" t="s">
        <v>127</v>
      </c>
      <c r="D3085" s="133" t="s">
        <v>2994</v>
      </c>
      <c r="E3085" s="138">
        <v>1.763E-2</v>
      </c>
      <c r="F3085" s="153" t="s">
        <v>167</v>
      </c>
      <c r="G3085" s="153">
        <v>1</v>
      </c>
      <c r="H3085" s="133" t="s">
        <v>39</v>
      </c>
      <c r="I3085" s="133"/>
      <c r="J3085" s="133" t="s">
        <v>2288</v>
      </c>
      <c r="K3085" s="133" t="s">
        <v>831</v>
      </c>
      <c r="L3085" s="167"/>
      <c r="M3085" s="48"/>
      <c r="N3085" s="123"/>
    </row>
    <row r="3086" spans="1:14" customFormat="1" x14ac:dyDescent="0.55000000000000004">
      <c r="A3086" s="132" t="s">
        <v>2289</v>
      </c>
      <c r="B3086" s="133" t="s">
        <v>2631</v>
      </c>
      <c r="C3086" s="136" t="s">
        <v>127</v>
      </c>
      <c r="D3086" s="133" t="s">
        <v>2994</v>
      </c>
      <c r="E3086" s="138">
        <v>1.0200000000000001E-2</v>
      </c>
      <c r="F3086" s="153" t="s">
        <v>130</v>
      </c>
      <c r="G3086" s="153">
        <v>1</v>
      </c>
      <c r="H3086" s="133" t="s">
        <v>39</v>
      </c>
      <c r="I3086" s="133"/>
      <c r="J3086" s="133" t="s">
        <v>2288</v>
      </c>
      <c r="K3086" s="133" t="s">
        <v>831</v>
      </c>
      <c r="L3086" s="167"/>
      <c r="M3086" s="48"/>
      <c r="N3086" s="123"/>
    </row>
    <row r="3087" spans="1:14" customFormat="1" x14ac:dyDescent="0.55000000000000004">
      <c r="A3087" s="132" t="s">
        <v>2289</v>
      </c>
      <c r="B3087" s="133" t="s">
        <v>2646</v>
      </c>
      <c r="C3087" s="136" t="s">
        <v>348</v>
      </c>
      <c r="D3087" s="133" t="s">
        <v>3288</v>
      </c>
      <c r="E3087" s="138">
        <v>1.02041</v>
      </c>
      <c r="F3087" s="153" t="s">
        <v>122</v>
      </c>
      <c r="G3087" s="153">
        <v>1</v>
      </c>
      <c r="H3087" s="133" t="s">
        <v>39</v>
      </c>
      <c r="I3087" s="133"/>
      <c r="J3087" s="133" t="s">
        <v>2288</v>
      </c>
      <c r="K3087" s="133" t="s">
        <v>831</v>
      </c>
      <c r="L3087" s="167"/>
      <c r="M3087" s="48"/>
      <c r="N3087" s="123"/>
    </row>
    <row r="3088" spans="1:14" customFormat="1" x14ac:dyDescent="0.55000000000000004">
      <c r="A3088" s="132" t="s">
        <v>2289</v>
      </c>
      <c r="B3088" s="133" t="s">
        <v>2626</v>
      </c>
      <c r="C3088" s="136" t="s">
        <v>163</v>
      </c>
      <c r="D3088" s="133" t="s">
        <v>3288</v>
      </c>
      <c r="E3088" s="138">
        <v>2.0410000000000001E-2</v>
      </c>
      <c r="F3088" s="153" t="s">
        <v>122</v>
      </c>
      <c r="G3088" s="153">
        <v>1</v>
      </c>
      <c r="H3088" s="133" t="s">
        <v>39</v>
      </c>
      <c r="I3088" s="133"/>
      <c r="J3088" s="133" t="s">
        <v>2288</v>
      </c>
      <c r="K3088" s="133" t="s">
        <v>831</v>
      </c>
      <c r="L3088" s="167"/>
      <c r="M3088" s="48"/>
      <c r="N3088" s="123"/>
    </row>
    <row r="3089" spans="1:14" customFormat="1" x14ac:dyDescent="0.55000000000000004">
      <c r="A3089" s="132" t="s">
        <v>2293</v>
      </c>
      <c r="B3089" s="133" t="s">
        <v>2647</v>
      </c>
      <c r="C3089" s="136" t="s">
        <v>121</v>
      </c>
      <c r="D3089" s="133" t="s">
        <v>3288</v>
      </c>
      <c r="E3089" s="138">
        <v>1</v>
      </c>
      <c r="F3089" s="153" t="s">
        <v>122</v>
      </c>
      <c r="G3089" s="153">
        <v>1</v>
      </c>
      <c r="H3089" s="133" t="s">
        <v>39</v>
      </c>
      <c r="I3089" s="133"/>
      <c r="J3089" s="133" t="s">
        <v>2292</v>
      </c>
      <c r="K3089" s="133" t="s">
        <v>831</v>
      </c>
      <c r="L3089" s="167"/>
      <c r="M3089" s="48"/>
      <c r="N3089" s="123"/>
    </row>
    <row r="3090" spans="1:14" customFormat="1" x14ac:dyDescent="0.55000000000000004">
      <c r="A3090" s="132" t="s">
        <v>2293</v>
      </c>
      <c r="B3090" s="133" t="s">
        <v>153</v>
      </c>
      <c r="C3090" s="136" t="s">
        <v>127</v>
      </c>
      <c r="D3090" s="133" t="s">
        <v>2994</v>
      </c>
      <c r="E3090" s="138">
        <v>3.7499999999999999E-3</v>
      </c>
      <c r="F3090" s="153" t="s">
        <v>130</v>
      </c>
      <c r="G3090" s="153">
        <v>1</v>
      </c>
      <c r="H3090" s="133" t="s">
        <v>39</v>
      </c>
      <c r="I3090" s="133"/>
      <c r="J3090" s="133" t="s">
        <v>2292</v>
      </c>
      <c r="K3090" s="133" t="s">
        <v>831</v>
      </c>
      <c r="L3090" s="167"/>
      <c r="M3090" s="48"/>
      <c r="N3090" s="123"/>
    </row>
    <row r="3091" spans="1:14" customFormat="1" x14ac:dyDescent="0.55000000000000004">
      <c r="A3091" s="132" t="s">
        <v>2293</v>
      </c>
      <c r="B3091" s="133" t="s">
        <v>2623</v>
      </c>
      <c r="C3091" s="136" t="s">
        <v>348</v>
      </c>
      <c r="D3091" s="133" t="s">
        <v>3288</v>
      </c>
      <c r="E3091" s="138">
        <v>9.9999999999999995E-7</v>
      </c>
      <c r="F3091" s="153" t="s">
        <v>122</v>
      </c>
      <c r="G3091" s="153">
        <v>1</v>
      </c>
      <c r="H3091" s="133" t="s">
        <v>39</v>
      </c>
      <c r="I3091" s="133"/>
      <c r="J3091" s="133" t="s">
        <v>2292</v>
      </c>
      <c r="K3091" s="133" t="s">
        <v>831</v>
      </c>
      <c r="L3091" s="167"/>
      <c r="M3091" s="48"/>
      <c r="N3091" s="123"/>
    </row>
    <row r="3092" spans="1:14" customFormat="1" x14ac:dyDescent="0.55000000000000004">
      <c r="A3092" s="132" t="s">
        <v>2293</v>
      </c>
      <c r="B3092" s="133" t="s">
        <v>2648</v>
      </c>
      <c r="C3092" s="136" t="s">
        <v>348</v>
      </c>
      <c r="D3092" s="133" t="s">
        <v>3288</v>
      </c>
      <c r="E3092" s="138">
        <v>1.08</v>
      </c>
      <c r="F3092" s="153" t="s">
        <v>122</v>
      </c>
      <c r="G3092" s="153">
        <v>1</v>
      </c>
      <c r="H3092" s="133" t="s">
        <v>39</v>
      </c>
      <c r="I3092" s="133"/>
      <c r="J3092" s="133" t="s">
        <v>2292</v>
      </c>
      <c r="K3092" s="133" t="s">
        <v>831</v>
      </c>
      <c r="L3092" s="167"/>
      <c r="M3092" s="48"/>
      <c r="N3092" s="123"/>
    </row>
    <row r="3093" spans="1:14" customFormat="1" x14ac:dyDescent="0.55000000000000004">
      <c r="A3093" s="132" t="s">
        <v>2293</v>
      </c>
      <c r="B3093" s="133" t="s">
        <v>154</v>
      </c>
      <c r="C3093" s="136" t="s">
        <v>132</v>
      </c>
      <c r="D3093" s="133" t="s">
        <v>3289</v>
      </c>
      <c r="E3093" s="138">
        <v>2.5054E-4</v>
      </c>
      <c r="F3093" s="153" t="s">
        <v>133</v>
      </c>
      <c r="G3093" s="153">
        <v>1</v>
      </c>
      <c r="H3093" s="133" t="s">
        <v>39</v>
      </c>
      <c r="I3093" s="133"/>
      <c r="J3093" s="133" t="s">
        <v>2292</v>
      </c>
      <c r="K3093" s="133" t="s">
        <v>831</v>
      </c>
      <c r="L3093" s="167"/>
      <c r="M3093" s="48"/>
      <c r="N3093" s="123"/>
    </row>
    <row r="3094" spans="1:14" customFormat="1" x14ac:dyDescent="0.55000000000000004">
      <c r="A3094" s="132" t="s">
        <v>2293</v>
      </c>
      <c r="B3094" s="133" t="s">
        <v>154</v>
      </c>
      <c r="C3094" s="136" t="s">
        <v>124</v>
      </c>
      <c r="D3094" s="133" t="s">
        <v>3289</v>
      </c>
      <c r="E3094" s="138">
        <v>2.5054E-4</v>
      </c>
      <c r="F3094" s="153" t="s">
        <v>133</v>
      </c>
      <c r="G3094" s="153">
        <v>1</v>
      </c>
      <c r="H3094" s="133" t="s">
        <v>39</v>
      </c>
      <c r="I3094" s="133"/>
      <c r="J3094" s="133" t="s">
        <v>2292</v>
      </c>
      <c r="K3094" s="133" t="s">
        <v>831</v>
      </c>
      <c r="L3094" s="167"/>
      <c r="M3094" s="48"/>
      <c r="N3094" s="123"/>
    </row>
    <row r="3095" spans="1:14" customFormat="1" x14ac:dyDescent="0.55000000000000004">
      <c r="A3095" s="132" t="s">
        <v>2293</v>
      </c>
      <c r="B3095" s="133" t="s">
        <v>2626</v>
      </c>
      <c r="C3095" s="136" t="s">
        <v>163</v>
      </c>
      <c r="D3095" s="133" t="s">
        <v>3288</v>
      </c>
      <c r="E3095" s="138">
        <v>8.0000000000000071E-2</v>
      </c>
      <c r="F3095" s="153" t="s">
        <v>122</v>
      </c>
      <c r="G3095" s="153">
        <v>1</v>
      </c>
      <c r="H3095" s="133" t="s">
        <v>39</v>
      </c>
      <c r="I3095" s="133"/>
      <c r="J3095" s="133" t="s">
        <v>2292</v>
      </c>
      <c r="K3095" s="133" t="s">
        <v>831</v>
      </c>
      <c r="L3095" s="167"/>
      <c r="M3095" s="48"/>
      <c r="N3095" s="123"/>
    </row>
    <row r="3096" spans="1:14" customFormat="1" x14ac:dyDescent="0.55000000000000004">
      <c r="A3096" t="s">
        <v>2613</v>
      </c>
      <c r="C3096" s="68"/>
      <c r="E3096" s="123"/>
      <c r="F3096" s="149"/>
      <c r="G3096" s="149"/>
      <c r="L3096" s="131"/>
      <c r="M3096" s="48"/>
      <c r="N3096" s="123"/>
    </row>
    <row r="3097" spans="1:14" customFormat="1" x14ac:dyDescent="0.55000000000000004">
      <c r="A3097" s="132" t="s">
        <v>2298</v>
      </c>
      <c r="B3097" s="133" t="s">
        <v>2649</v>
      </c>
      <c r="C3097" s="136" t="s">
        <v>121</v>
      </c>
      <c r="D3097" s="133" t="s">
        <v>3288</v>
      </c>
      <c r="E3097" s="138">
        <v>1</v>
      </c>
      <c r="F3097" s="153" t="s">
        <v>122</v>
      </c>
      <c r="G3097" s="153">
        <v>1</v>
      </c>
      <c r="H3097" s="133" t="s">
        <v>39</v>
      </c>
      <c r="I3097" s="133"/>
      <c r="J3097" s="133" t="s">
        <v>2297</v>
      </c>
      <c r="K3097" s="133" t="s">
        <v>831</v>
      </c>
      <c r="L3097" s="167"/>
      <c r="M3097" s="48"/>
      <c r="N3097" s="123"/>
    </row>
    <row r="3098" spans="1:14" customFormat="1" x14ac:dyDescent="0.55000000000000004">
      <c r="A3098" s="132" t="s">
        <v>2298</v>
      </c>
      <c r="B3098" s="133" t="s">
        <v>154</v>
      </c>
      <c r="C3098" s="136" t="s">
        <v>132</v>
      </c>
      <c r="D3098" s="133" t="s">
        <v>3289</v>
      </c>
      <c r="E3098" s="138">
        <v>2.3093644187398581E-4</v>
      </c>
      <c r="F3098" s="153" t="s">
        <v>133</v>
      </c>
      <c r="G3098" s="153">
        <v>1</v>
      </c>
      <c r="H3098" s="133" t="s">
        <v>39</v>
      </c>
      <c r="I3098" s="133"/>
      <c r="J3098" s="133" t="s">
        <v>2297</v>
      </c>
      <c r="K3098" s="133" t="s">
        <v>831</v>
      </c>
      <c r="L3098" s="167"/>
      <c r="M3098" s="48"/>
      <c r="N3098" s="123"/>
    </row>
    <row r="3099" spans="1:14" customFormat="1" x14ac:dyDescent="0.55000000000000004">
      <c r="A3099" s="132" t="s">
        <v>2298</v>
      </c>
      <c r="B3099" s="133" t="s">
        <v>2650</v>
      </c>
      <c r="C3099" s="136" t="s">
        <v>348</v>
      </c>
      <c r="D3099" s="133" t="s">
        <v>3288</v>
      </c>
      <c r="E3099" s="138">
        <v>1</v>
      </c>
      <c r="F3099" s="153" t="s">
        <v>122</v>
      </c>
      <c r="G3099" s="153">
        <v>1</v>
      </c>
      <c r="H3099" s="133" t="s">
        <v>39</v>
      </c>
      <c r="I3099" s="133"/>
      <c r="J3099" s="133" t="s">
        <v>2297</v>
      </c>
      <c r="K3099" s="133" t="s">
        <v>831</v>
      </c>
      <c r="L3099" s="167"/>
      <c r="M3099" s="48"/>
      <c r="N3099" s="123"/>
    </row>
    <row r="3100" spans="1:14" customFormat="1" x14ac:dyDescent="0.55000000000000004">
      <c r="A3100" s="132" t="s">
        <v>2298</v>
      </c>
      <c r="B3100" s="133" t="s">
        <v>2631</v>
      </c>
      <c r="C3100" s="136" t="s">
        <v>127</v>
      </c>
      <c r="D3100" s="133" t="s">
        <v>2994</v>
      </c>
      <c r="E3100" s="138">
        <v>1.999999999999999E-2</v>
      </c>
      <c r="F3100" s="153" t="s">
        <v>130</v>
      </c>
      <c r="G3100" s="153">
        <v>1</v>
      </c>
      <c r="H3100" s="133" t="s">
        <v>39</v>
      </c>
      <c r="I3100" s="133"/>
      <c r="J3100" s="133" t="s">
        <v>2297</v>
      </c>
      <c r="K3100" s="133" t="s">
        <v>831</v>
      </c>
      <c r="L3100" s="167"/>
      <c r="M3100" s="48"/>
      <c r="N3100" s="123"/>
    </row>
    <row r="3101" spans="1:14" customFormat="1" x14ac:dyDescent="0.55000000000000004">
      <c r="A3101" s="132" t="s">
        <v>2298</v>
      </c>
      <c r="B3101" s="133" t="s">
        <v>2632</v>
      </c>
      <c r="C3101" s="136" t="s">
        <v>348</v>
      </c>
      <c r="D3101" s="133" t="s">
        <v>3288</v>
      </c>
      <c r="E3101" s="138">
        <v>2.04E-6</v>
      </c>
      <c r="F3101" s="153" t="s">
        <v>122</v>
      </c>
      <c r="G3101" s="153">
        <v>1</v>
      </c>
      <c r="H3101" s="133" t="s">
        <v>39</v>
      </c>
      <c r="I3101" s="133"/>
      <c r="J3101" s="133" t="s">
        <v>2297</v>
      </c>
      <c r="K3101" s="133" t="s">
        <v>831</v>
      </c>
      <c r="L3101" s="167"/>
      <c r="M3101" s="48"/>
      <c r="N3101" s="123"/>
    </row>
    <row r="3102" spans="1:14" customFormat="1" x14ac:dyDescent="0.55000000000000004">
      <c r="A3102" s="132" t="s">
        <v>2298</v>
      </c>
      <c r="B3102" s="133" t="s">
        <v>2651</v>
      </c>
      <c r="C3102" s="136" t="s">
        <v>348</v>
      </c>
      <c r="D3102" s="133" t="s">
        <v>3288</v>
      </c>
      <c r="E3102" s="138">
        <v>4.0799999999999999E-6</v>
      </c>
      <c r="F3102" s="153" t="s">
        <v>122</v>
      </c>
      <c r="G3102" s="153">
        <v>1</v>
      </c>
      <c r="H3102" s="133" t="s">
        <v>39</v>
      </c>
      <c r="I3102" s="133"/>
      <c r="J3102" s="133" t="s">
        <v>2297</v>
      </c>
      <c r="K3102" s="133" t="s">
        <v>831</v>
      </c>
      <c r="L3102" s="167"/>
      <c r="M3102" s="48"/>
      <c r="N3102" s="123"/>
    </row>
    <row r="3103" spans="1:14" customFormat="1" x14ac:dyDescent="0.55000000000000004">
      <c r="A3103" t="s">
        <v>2613</v>
      </c>
      <c r="C3103" s="68"/>
      <c r="E3103" s="123"/>
      <c r="F3103" s="149"/>
      <c r="G3103" s="149"/>
      <c r="L3103" s="131"/>
      <c r="M3103" s="48"/>
      <c r="N3103" s="123"/>
    </row>
    <row r="3104" spans="1:14" customFormat="1" x14ac:dyDescent="0.55000000000000004">
      <c r="A3104" s="132" t="s">
        <v>2303</v>
      </c>
      <c r="B3104" s="133" t="s">
        <v>2652</v>
      </c>
      <c r="C3104" s="136" t="s">
        <v>121</v>
      </c>
      <c r="D3104" s="133" t="s">
        <v>3288</v>
      </c>
      <c r="E3104" s="138">
        <v>1</v>
      </c>
      <c r="F3104" s="153" t="s">
        <v>122</v>
      </c>
      <c r="G3104" s="153">
        <v>1</v>
      </c>
      <c r="H3104" s="133" t="s">
        <v>39</v>
      </c>
      <c r="I3104" s="133"/>
      <c r="J3104" s="133" t="s">
        <v>2302</v>
      </c>
      <c r="K3104" s="133" t="s">
        <v>831</v>
      </c>
      <c r="L3104" s="167"/>
      <c r="M3104" s="48"/>
      <c r="N3104" s="123"/>
    </row>
    <row r="3105" spans="1:14" customFormat="1" x14ac:dyDescent="0.55000000000000004">
      <c r="A3105" s="132" t="s">
        <v>2303</v>
      </c>
      <c r="B3105" s="133" t="s">
        <v>153</v>
      </c>
      <c r="C3105" s="136" t="s">
        <v>127</v>
      </c>
      <c r="D3105" s="133" t="s">
        <v>2994</v>
      </c>
      <c r="E3105" s="138">
        <v>0.5</v>
      </c>
      <c r="F3105" s="153" t="s">
        <v>130</v>
      </c>
      <c r="G3105" s="153">
        <v>1</v>
      </c>
      <c r="H3105" s="133" t="s">
        <v>39</v>
      </c>
      <c r="I3105" s="133"/>
      <c r="J3105" s="133" t="s">
        <v>2302</v>
      </c>
      <c r="K3105" s="133" t="s">
        <v>831</v>
      </c>
      <c r="L3105" s="167"/>
      <c r="M3105" s="48"/>
      <c r="N3105" s="123"/>
    </row>
    <row r="3106" spans="1:14" customFormat="1" x14ac:dyDescent="0.55000000000000004">
      <c r="A3106" s="132" t="s">
        <v>2303</v>
      </c>
      <c r="B3106" s="133" t="s">
        <v>154</v>
      </c>
      <c r="C3106" s="136" t="s">
        <v>132</v>
      </c>
      <c r="D3106" s="133" t="s">
        <v>3288</v>
      </c>
      <c r="E3106" s="138">
        <v>2000</v>
      </c>
      <c r="F3106" s="153" t="s">
        <v>122</v>
      </c>
      <c r="G3106" s="153">
        <v>1</v>
      </c>
      <c r="H3106" s="133" t="s">
        <v>39</v>
      </c>
      <c r="I3106" s="133"/>
      <c r="J3106" s="133" t="s">
        <v>2302</v>
      </c>
      <c r="K3106" s="133" t="s">
        <v>831</v>
      </c>
      <c r="L3106" s="167"/>
      <c r="M3106" s="48"/>
      <c r="N3106" s="123"/>
    </row>
    <row r="3107" spans="1:14" customFormat="1" x14ac:dyDescent="0.55000000000000004">
      <c r="A3107" s="132" t="s">
        <v>2303</v>
      </c>
      <c r="B3107" s="133" t="s">
        <v>2653</v>
      </c>
      <c r="C3107" s="136" t="s">
        <v>125</v>
      </c>
      <c r="D3107" s="133" t="s">
        <v>3288</v>
      </c>
      <c r="E3107" s="138">
        <v>0.15</v>
      </c>
      <c r="F3107" s="153" t="s">
        <v>122</v>
      </c>
      <c r="G3107" s="153">
        <v>1</v>
      </c>
      <c r="H3107" s="133" t="s">
        <v>39</v>
      </c>
      <c r="I3107" s="133"/>
      <c r="J3107" s="133" t="s">
        <v>2302</v>
      </c>
      <c r="K3107" s="133" t="s">
        <v>831</v>
      </c>
      <c r="L3107" s="167"/>
      <c r="M3107" s="48"/>
      <c r="N3107" s="123"/>
    </row>
    <row r="3108" spans="1:14" customFormat="1" x14ac:dyDescent="0.55000000000000004">
      <c r="A3108" s="132" t="s">
        <v>2303</v>
      </c>
      <c r="B3108" s="133" t="s">
        <v>2654</v>
      </c>
      <c r="C3108" s="133" t="s">
        <v>124</v>
      </c>
      <c r="D3108" s="133" t="s">
        <v>3288</v>
      </c>
      <c r="E3108" s="138">
        <v>2100</v>
      </c>
      <c r="F3108" s="153" t="s">
        <v>122</v>
      </c>
      <c r="G3108" s="153">
        <v>1</v>
      </c>
      <c r="H3108" s="133" t="s">
        <v>39</v>
      </c>
      <c r="I3108" s="133"/>
      <c r="J3108" s="133" t="s">
        <v>2302</v>
      </c>
      <c r="K3108" s="133" t="s">
        <v>831</v>
      </c>
      <c r="L3108" s="167"/>
      <c r="M3108" s="48"/>
      <c r="N3108" s="123"/>
    </row>
    <row r="3109" spans="1:14" customFormat="1" x14ac:dyDescent="0.55000000000000004">
      <c r="A3109" s="132" t="s">
        <v>2303</v>
      </c>
      <c r="B3109" s="133" t="s">
        <v>2655</v>
      </c>
      <c r="C3109" s="136" t="s">
        <v>125</v>
      </c>
      <c r="D3109" s="133" t="s">
        <v>3288</v>
      </c>
      <c r="E3109" s="138">
        <v>1.25</v>
      </c>
      <c r="F3109" s="153" t="s">
        <v>122</v>
      </c>
      <c r="G3109" s="153">
        <v>1</v>
      </c>
      <c r="H3109" s="133" t="s">
        <v>39</v>
      </c>
      <c r="I3109" s="133"/>
      <c r="J3109" s="133" t="s">
        <v>2302</v>
      </c>
      <c r="K3109" s="133" t="s">
        <v>831</v>
      </c>
      <c r="L3109" s="167"/>
      <c r="M3109" s="48"/>
      <c r="N3109" s="123"/>
    </row>
    <row r="3110" spans="1:14" customFormat="1" x14ac:dyDescent="0.55000000000000004">
      <c r="A3110" s="132" t="s">
        <v>2303</v>
      </c>
      <c r="B3110" s="133" t="s">
        <v>2656</v>
      </c>
      <c r="C3110" s="136" t="s">
        <v>3269</v>
      </c>
      <c r="D3110" s="133" t="s">
        <v>3288</v>
      </c>
      <c r="E3110" s="138">
        <v>0.25</v>
      </c>
      <c r="F3110" s="153" t="s">
        <v>122</v>
      </c>
      <c r="G3110" s="153">
        <v>1</v>
      </c>
      <c r="H3110" s="133" t="s">
        <v>39</v>
      </c>
      <c r="I3110" s="133"/>
      <c r="J3110" s="133" t="s">
        <v>2302</v>
      </c>
      <c r="K3110" s="133" t="s">
        <v>831</v>
      </c>
      <c r="L3110" s="167"/>
      <c r="M3110" s="48"/>
      <c r="N3110" s="123"/>
    </row>
    <row r="3111" spans="1:14" customFormat="1" x14ac:dyDescent="0.55000000000000004">
      <c r="A3111" t="s">
        <v>2613</v>
      </c>
      <c r="C3111" s="68"/>
      <c r="E3111" s="123"/>
      <c r="F3111" s="149"/>
      <c r="G3111" s="149"/>
      <c r="L3111" s="131"/>
      <c r="M3111" s="48"/>
      <c r="N3111" s="123"/>
    </row>
    <row r="3112" spans="1:14" customFormat="1" x14ac:dyDescent="0.55000000000000004">
      <c r="A3112" s="132" t="s">
        <v>2308</v>
      </c>
      <c r="B3112" s="133" t="s">
        <v>2657</v>
      </c>
      <c r="C3112" s="136" t="s">
        <v>121</v>
      </c>
      <c r="D3112" s="133" t="s">
        <v>3288</v>
      </c>
      <c r="E3112" s="138">
        <v>1</v>
      </c>
      <c r="F3112" s="153" t="s">
        <v>122</v>
      </c>
      <c r="G3112" s="153">
        <v>1</v>
      </c>
      <c r="H3112" s="133" t="s">
        <v>39</v>
      </c>
      <c r="I3112" s="133"/>
      <c r="J3112" s="133" t="s">
        <v>2307</v>
      </c>
      <c r="K3112" s="133" t="s">
        <v>831</v>
      </c>
      <c r="L3112" s="167"/>
      <c r="M3112" s="48"/>
      <c r="N3112" s="123"/>
    </row>
    <row r="3113" spans="1:14" customFormat="1" x14ac:dyDescent="0.55000000000000004">
      <c r="A3113" s="132" t="s">
        <v>2308</v>
      </c>
      <c r="B3113" s="133" t="s">
        <v>153</v>
      </c>
      <c r="C3113" s="136" t="s">
        <v>127</v>
      </c>
      <c r="D3113" s="133" t="s">
        <v>2994</v>
      </c>
      <c r="E3113" s="138">
        <v>0.54700000000000004</v>
      </c>
      <c r="F3113" s="153" t="s">
        <v>130</v>
      </c>
      <c r="G3113" s="153">
        <v>1</v>
      </c>
      <c r="H3113" s="133" t="s">
        <v>39</v>
      </c>
      <c r="I3113" s="133"/>
      <c r="J3113" s="133" t="s">
        <v>2307</v>
      </c>
      <c r="K3113" s="133" t="s">
        <v>831</v>
      </c>
      <c r="L3113" s="167"/>
      <c r="M3113" s="48"/>
      <c r="N3113" s="123"/>
    </row>
    <row r="3114" spans="1:14" customFormat="1" x14ac:dyDescent="0.55000000000000004">
      <c r="A3114" s="132" t="s">
        <v>2308</v>
      </c>
      <c r="B3114" s="133" t="s">
        <v>154</v>
      </c>
      <c r="C3114" s="136" t="s">
        <v>132</v>
      </c>
      <c r="D3114" s="133" t="s">
        <v>3288</v>
      </c>
      <c r="E3114" s="138">
        <v>2000</v>
      </c>
      <c r="F3114" s="153" t="s">
        <v>122</v>
      </c>
      <c r="G3114" s="153">
        <v>1</v>
      </c>
      <c r="H3114" s="133" t="s">
        <v>39</v>
      </c>
      <c r="I3114" s="133"/>
      <c r="J3114" s="133" t="s">
        <v>2307</v>
      </c>
      <c r="K3114" s="133" t="s">
        <v>831</v>
      </c>
      <c r="L3114" s="167"/>
      <c r="M3114" s="48"/>
      <c r="N3114" s="123"/>
    </row>
    <row r="3115" spans="1:14" customFormat="1" x14ac:dyDescent="0.55000000000000004">
      <c r="A3115" s="132" t="s">
        <v>2308</v>
      </c>
      <c r="B3115" s="133" t="s">
        <v>2654</v>
      </c>
      <c r="C3115" s="133" t="s">
        <v>124</v>
      </c>
      <c r="D3115" s="133" t="s">
        <v>3288</v>
      </c>
      <c r="E3115" s="138">
        <v>2100</v>
      </c>
      <c r="F3115" s="153" t="s">
        <v>122</v>
      </c>
      <c r="G3115" s="153">
        <v>1</v>
      </c>
      <c r="H3115" s="133" t="s">
        <v>39</v>
      </c>
      <c r="I3115" s="133"/>
      <c r="J3115" s="133" t="s">
        <v>2307</v>
      </c>
      <c r="K3115" s="133" t="s">
        <v>831</v>
      </c>
      <c r="L3115" s="167"/>
      <c r="M3115" s="48"/>
      <c r="N3115" s="123"/>
    </row>
    <row r="3116" spans="1:14" customFormat="1" x14ac:dyDescent="0.55000000000000004">
      <c r="A3116" s="132" t="s">
        <v>2308</v>
      </c>
      <c r="B3116" s="133" t="s">
        <v>2658</v>
      </c>
      <c r="C3116" s="136" t="s">
        <v>125</v>
      </c>
      <c r="D3116" s="133" t="s">
        <v>3288</v>
      </c>
      <c r="E3116" s="138">
        <v>1.3333333333333333</v>
      </c>
      <c r="F3116" s="153" t="s">
        <v>122</v>
      </c>
      <c r="G3116" s="153">
        <v>1</v>
      </c>
      <c r="H3116" s="133" t="s">
        <v>39</v>
      </c>
      <c r="I3116" s="133"/>
      <c r="J3116" s="133" t="s">
        <v>2307</v>
      </c>
      <c r="K3116" s="133" t="s">
        <v>831</v>
      </c>
      <c r="L3116" s="167"/>
      <c r="M3116" s="48"/>
      <c r="N3116" s="123"/>
    </row>
    <row r="3117" spans="1:14" customFormat="1" x14ac:dyDescent="0.55000000000000004">
      <c r="A3117" s="132" t="s">
        <v>2308</v>
      </c>
      <c r="B3117" s="133" t="s">
        <v>2626</v>
      </c>
      <c r="C3117" s="136" t="s">
        <v>3269</v>
      </c>
      <c r="D3117" s="133" t="s">
        <v>3288</v>
      </c>
      <c r="E3117" s="138">
        <v>0.33333333333333326</v>
      </c>
      <c r="F3117" s="153" t="s">
        <v>122</v>
      </c>
      <c r="G3117" s="153">
        <v>1</v>
      </c>
      <c r="H3117" s="133" t="s">
        <v>39</v>
      </c>
      <c r="I3117" s="133"/>
      <c r="J3117" s="133" t="s">
        <v>2307</v>
      </c>
      <c r="K3117" s="133" t="s">
        <v>831</v>
      </c>
      <c r="L3117" s="167"/>
      <c r="M3117" s="48"/>
      <c r="N3117" s="123"/>
    </row>
    <row r="3118" spans="1:14" customFormat="1" x14ac:dyDescent="0.55000000000000004">
      <c r="A3118" t="s">
        <v>2613</v>
      </c>
      <c r="C3118" s="68"/>
      <c r="E3118" s="123"/>
      <c r="F3118" s="149"/>
      <c r="G3118" s="149"/>
      <c r="L3118" s="131"/>
      <c r="M3118" s="48"/>
      <c r="N3118" s="123"/>
    </row>
    <row r="3119" spans="1:14" customFormat="1" x14ac:dyDescent="0.55000000000000004">
      <c r="A3119" s="132" t="s">
        <v>2312</v>
      </c>
      <c r="B3119" s="133" t="s">
        <v>2659</v>
      </c>
      <c r="C3119" s="136" t="s">
        <v>121</v>
      </c>
      <c r="D3119" s="133" t="s">
        <v>3288</v>
      </c>
      <c r="E3119" s="138">
        <v>1</v>
      </c>
      <c r="F3119" s="153" t="s">
        <v>122</v>
      </c>
      <c r="G3119" s="153">
        <v>1</v>
      </c>
      <c r="H3119" s="133" t="s">
        <v>39</v>
      </c>
      <c r="I3119" s="133"/>
      <c r="J3119" s="133" t="s">
        <v>2311</v>
      </c>
      <c r="K3119" s="133" t="s">
        <v>831</v>
      </c>
      <c r="L3119" s="167"/>
      <c r="M3119" s="48"/>
      <c r="N3119" s="123"/>
    </row>
    <row r="3120" spans="1:14" customFormat="1" x14ac:dyDescent="0.55000000000000004">
      <c r="A3120" s="132" t="s">
        <v>2312</v>
      </c>
      <c r="B3120" s="133" t="s">
        <v>153</v>
      </c>
      <c r="C3120" s="136" t="s">
        <v>127</v>
      </c>
      <c r="D3120" s="133" t="s">
        <v>2994</v>
      </c>
      <c r="E3120" s="138">
        <v>0.75600000000000012</v>
      </c>
      <c r="F3120" s="153" t="s">
        <v>130</v>
      </c>
      <c r="G3120" s="153">
        <v>1</v>
      </c>
      <c r="H3120" s="133" t="s">
        <v>39</v>
      </c>
      <c r="I3120" s="133"/>
      <c r="J3120" s="133" t="s">
        <v>2311</v>
      </c>
      <c r="K3120" s="133" t="s">
        <v>831</v>
      </c>
      <c r="L3120" s="167"/>
      <c r="M3120" s="48"/>
      <c r="N3120" s="123"/>
    </row>
    <row r="3121" spans="1:14" customFormat="1" x14ac:dyDescent="0.55000000000000004">
      <c r="A3121" s="132" t="s">
        <v>2312</v>
      </c>
      <c r="B3121" s="133" t="s">
        <v>154</v>
      </c>
      <c r="C3121" s="136" t="s">
        <v>132</v>
      </c>
      <c r="D3121" s="133" t="s">
        <v>3288</v>
      </c>
      <c r="E3121" s="138">
        <v>2000</v>
      </c>
      <c r="F3121" s="153" t="s">
        <v>122</v>
      </c>
      <c r="G3121" s="153">
        <v>1</v>
      </c>
      <c r="H3121" s="133" t="s">
        <v>39</v>
      </c>
      <c r="I3121" s="133"/>
      <c r="J3121" s="133" t="s">
        <v>2311</v>
      </c>
      <c r="K3121" s="133" t="s">
        <v>831</v>
      </c>
      <c r="L3121" s="167"/>
      <c r="M3121" s="48"/>
      <c r="N3121" s="123"/>
    </row>
    <row r="3122" spans="1:14" customFormat="1" x14ac:dyDescent="0.55000000000000004">
      <c r="A3122" s="132" t="s">
        <v>2312</v>
      </c>
      <c r="B3122" s="133" t="s">
        <v>2654</v>
      </c>
      <c r="C3122" s="133" t="s">
        <v>124</v>
      </c>
      <c r="D3122" s="133" t="s">
        <v>3288</v>
      </c>
      <c r="E3122" s="138">
        <v>2100</v>
      </c>
      <c r="F3122" s="153" t="s">
        <v>122</v>
      </c>
      <c r="G3122" s="153">
        <v>1</v>
      </c>
      <c r="H3122" s="133" t="s">
        <v>39</v>
      </c>
      <c r="I3122" s="133"/>
      <c r="J3122" s="133" t="s">
        <v>2311</v>
      </c>
      <c r="K3122" s="133" t="s">
        <v>831</v>
      </c>
      <c r="L3122" s="167"/>
      <c r="M3122" s="48"/>
      <c r="N3122" s="123"/>
    </row>
    <row r="3123" spans="1:14" customFormat="1" x14ac:dyDescent="0.55000000000000004">
      <c r="A3123" s="132" t="s">
        <v>2312</v>
      </c>
      <c r="B3123" s="133" t="s">
        <v>2660</v>
      </c>
      <c r="C3123" s="136" t="s">
        <v>125</v>
      </c>
      <c r="D3123" s="133" t="s">
        <v>3288</v>
      </c>
      <c r="E3123" s="138">
        <v>1.3333333333333333</v>
      </c>
      <c r="F3123" s="153" t="s">
        <v>122</v>
      </c>
      <c r="G3123" s="153">
        <v>1</v>
      </c>
      <c r="H3123" s="133" t="s">
        <v>39</v>
      </c>
      <c r="I3123" s="133"/>
      <c r="J3123" s="133" t="s">
        <v>2311</v>
      </c>
      <c r="K3123" s="133" t="s">
        <v>831</v>
      </c>
      <c r="L3123" s="167"/>
      <c r="M3123" s="48"/>
      <c r="N3123" s="123"/>
    </row>
    <row r="3124" spans="1:14" customFormat="1" x14ac:dyDescent="0.55000000000000004">
      <c r="A3124" s="132" t="s">
        <v>2312</v>
      </c>
      <c r="B3124" s="133" t="s">
        <v>2626</v>
      </c>
      <c r="C3124" s="136" t="s">
        <v>3269</v>
      </c>
      <c r="D3124" s="133" t="s">
        <v>3288</v>
      </c>
      <c r="E3124" s="138">
        <v>0.33333333333333326</v>
      </c>
      <c r="F3124" s="153" t="s">
        <v>122</v>
      </c>
      <c r="G3124" s="153">
        <v>1</v>
      </c>
      <c r="H3124" s="133" t="s">
        <v>39</v>
      </c>
      <c r="I3124" s="133"/>
      <c r="J3124" s="133" t="s">
        <v>2311</v>
      </c>
      <c r="K3124" s="133" t="s">
        <v>831</v>
      </c>
      <c r="L3124" s="167"/>
      <c r="M3124" s="48"/>
      <c r="N3124" s="123"/>
    </row>
    <row r="3125" spans="1:14" customFormat="1" x14ac:dyDescent="0.55000000000000004">
      <c r="A3125" t="s">
        <v>2613</v>
      </c>
      <c r="C3125" s="68"/>
      <c r="E3125" s="123"/>
      <c r="F3125" s="149"/>
      <c r="G3125" s="149"/>
      <c r="L3125" s="131"/>
      <c r="M3125" s="48"/>
      <c r="N3125" s="123"/>
    </row>
    <row r="3126" spans="1:14" customFormat="1" x14ac:dyDescent="0.55000000000000004">
      <c r="A3126" s="132" t="s">
        <v>2315</v>
      </c>
      <c r="B3126" s="133" t="s">
        <v>2661</v>
      </c>
      <c r="C3126" s="136" t="s">
        <v>121</v>
      </c>
      <c r="D3126" s="133" t="s">
        <v>3288</v>
      </c>
      <c r="E3126" s="138">
        <v>1</v>
      </c>
      <c r="F3126" s="153" t="s">
        <v>122</v>
      </c>
      <c r="G3126" s="153">
        <v>1</v>
      </c>
      <c r="H3126" s="133" t="s">
        <v>39</v>
      </c>
      <c r="I3126" s="133"/>
      <c r="J3126" s="133" t="s">
        <v>2314</v>
      </c>
      <c r="K3126" s="133" t="s">
        <v>831</v>
      </c>
      <c r="L3126" s="167"/>
      <c r="M3126" s="48"/>
      <c r="N3126" s="123"/>
    </row>
    <row r="3127" spans="1:14" customFormat="1" x14ac:dyDescent="0.55000000000000004">
      <c r="A3127" s="132" t="s">
        <v>2315</v>
      </c>
      <c r="B3127" s="133" t="s">
        <v>153</v>
      </c>
      <c r="C3127" s="136" t="s">
        <v>127</v>
      </c>
      <c r="D3127" s="133" t="s">
        <v>2994</v>
      </c>
      <c r="E3127" s="138">
        <v>0.54700000000000004</v>
      </c>
      <c r="F3127" s="153" t="s">
        <v>130</v>
      </c>
      <c r="G3127" s="153">
        <v>1</v>
      </c>
      <c r="H3127" s="133" t="s">
        <v>39</v>
      </c>
      <c r="I3127" s="133"/>
      <c r="J3127" s="133" t="s">
        <v>2314</v>
      </c>
      <c r="K3127" s="133" t="s">
        <v>831</v>
      </c>
      <c r="L3127" s="167"/>
      <c r="M3127" s="48"/>
      <c r="N3127" s="123"/>
    </row>
    <row r="3128" spans="1:14" customFormat="1" x14ac:dyDescent="0.55000000000000004">
      <c r="A3128" s="132" t="s">
        <v>2315</v>
      </c>
      <c r="B3128" s="133" t="s">
        <v>154</v>
      </c>
      <c r="C3128" s="136" t="s">
        <v>132</v>
      </c>
      <c r="D3128" s="133" t="s">
        <v>3288</v>
      </c>
      <c r="E3128" s="138">
        <v>2000</v>
      </c>
      <c r="F3128" s="153" t="s">
        <v>122</v>
      </c>
      <c r="G3128" s="153">
        <v>1</v>
      </c>
      <c r="H3128" s="133" t="s">
        <v>39</v>
      </c>
      <c r="I3128" s="133"/>
      <c r="J3128" s="133" t="s">
        <v>2314</v>
      </c>
      <c r="K3128" s="133" t="s">
        <v>831</v>
      </c>
      <c r="L3128" s="167"/>
      <c r="M3128" s="48"/>
      <c r="N3128" s="123"/>
    </row>
    <row r="3129" spans="1:14" customFormat="1" x14ac:dyDescent="0.55000000000000004">
      <c r="A3129" s="132" t="s">
        <v>2315</v>
      </c>
      <c r="B3129" s="133" t="s">
        <v>2654</v>
      </c>
      <c r="C3129" s="133" t="s">
        <v>124</v>
      </c>
      <c r="D3129" s="133" t="s">
        <v>3288</v>
      </c>
      <c r="E3129" s="138">
        <v>2100</v>
      </c>
      <c r="F3129" s="153" t="s">
        <v>122</v>
      </c>
      <c r="G3129" s="153">
        <v>1</v>
      </c>
      <c r="H3129" s="133" t="s">
        <v>39</v>
      </c>
      <c r="I3129" s="133"/>
      <c r="J3129" s="133" t="s">
        <v>2314</v>
      </c>
      <c r="K3129" s="133" t="s">
        <v>831</v>
      </c>
      <c r="L3129" s="167"/>
      <c r="M3129" s="48"/>
      <c r="N3129" s="123"/>
    </row>
    <row r="3130" spans="1:14" customFormat="1" x14ac:dyDescent="0.55000000000000004">
      <c r="A3130" s="132" t="s">
        <v>2315</v>
      </c>
      <c r="B3130" s="133" t="s">
        <v>2662</v>
      </c>
      <c r="C3130" s="136" t="s">
        <v>125</v>
      </c>
      <c r="D3130" s="133" t="s">
        <v>3288</v>
      </c>
      <c r="E3130" s="138">
        <v>1.3333333333333333</v>
      </c>
      <c r="F3130" s="153" t="s">
        <v>122</v>
      </c>
      <c r="G3130" s="153">
        <v>1</v>
      </c>
      <c r="H3130" s="133" t="s">
        <v>39</v>
      </c>
      <c r="I3130" s="133"/>
      <c r="J3130" s="133" t="s">
        <v>2314</v>
      </c>
      <c r="K3130" s="133" t="s">
        <v>831</v>
      </c>
      <c r="L3130" s="167"/>
      <c r="M3130" s="48"/>
      <c r="N3130" s="123"/>
    </row>
    <row r="3131" spans="1:14" customFormat="1" x14ac:dyDescent="0.55000000000000004">
      <c r="A3131" s="132" t="s">
        <v>2315</v>
      </c>
      <c r="B3131" s="133" t="s">
        <v>2626</v>
      </c>
      <c r="C3131" s="136" t="s">
        <v>3269</v>
      </c>
      <c r="D3131" s="133" t="s">
        <v>3288</v>
      </c>
      <c r="E3131" s="138">
        <v>0.33333333333333326</v>
      </c>
      <c r="F3131" s="153" t="s">
        <v>122</v>
      </c>
      <c r="G3131" s="153">
        <v>1</v>
      </c>
      <c r="H3131" s="133" t="s">
        <v>39</v>
      </c>
      <c r="I3131" s="133"/>
      <c r="J3131" s="133" t="s">
        <v>2314</v>
      </c>
      <c r="K3131" s="133" t="s">
        <v>831</v>
      </c>
      <c r="L3131" s="167"/>
      <c r="M3131" s="48"/>
      <c r="N3131" s="123"/>
    </row>
    <row r="3132" spans="1:14" customFormat="1" x14ac:dyDescent="0.55000000000000004">
      <c r="A3132" t="s">
        <v>2613</v>
      </c>
      <c r="C3132" s="68"/>
      <c r="E3132" s="123"/>
      <c r="F3132" s="149"/>
      <c r="G3132" s="149"/>
      <c r="L3132" s="131"/>
      <c r="M3132" s="48"/>
      <c r="N3132" s="123"/>
    </row>
    <row r="3133" spans="1:14" customFormat="1" x14ac:dyDescent="0.55000000000000004">
      <c r="A3133" s="132" t="s">
        <v>2318</v>
      </c>
      <c r="B3133" s="133" t="s">
        <v>2663</v>
      </c>
      <c r="C3133" s="136" t="s">
        <v>121</v>
      </c>
      <c r="D3133" s="133" t="s">
        <v>3288</v>
      </c>
      <c r="E3133" s="138">
        <v>1</v>
      </c>
      <c r="F3133" s="153" t="s">
        <v>122</v>
      </c>
      <c r="G3133" s="153">
        <v>1</v>
      </c>
      <c r="H3133" s="133" t="s">
        <v>39</v>
      </c>
      <c r="I3133" s="133"/>
      <c r="J3133" s="133" t="s">
        <v>2317</v>
      </c>
      <c r="K3133" s="133" t="s">
        <v>831</v>
      </c>
      <c r="L3133" s="167"/>
      <c r="M3133" s="48"/>
      <c r="N3133" s="123"/>
    </row>
    <row r="3134" spans="1:14" customFormat="1" x14ac:dyDescent="0.55000000000000004">
      <c r="A3134" s="132" t="s">
        <v>2318</v>
      </c>
      <c r="B3134" s="133" t="s">
        <v>153</v>
      </c>
      <c r="C3134" s="136" t="s">
        <v>127</v>
      </c>
      <c r="D3134" s="133" t="s">
        <v>2994</v>
      </c>
      <c r="E3134" s="138">
        <v>0.54700000000000004</v>
      </c>
      <c r="F3134" s="153" t="s">
        <v>130</v>
      </c>
      <c r="G3134" s="153">
        <v>1</v>
      </c>
      <c r="H3134" s="133" t="s">
        <v>39</v>
      </c>
      <c r="I3134" s="133"/>
      <c r="J3134" s="133" t="s">
        <v>2317</v>
      </c>
      <c r="K3134" s="133" t="s">
        <v>831</v>
      </c>
      <c r="L3134" s="167"/>
      <c r="M3134" s="48"/>
      <c r="N3134" s="123"/>
    </row>
    <row r="3135" spans="1:14" customFormat="1" x14ac:dyDescent="0.55000000000000004">
      <c r="A3135" s="132" t="s">
        <v>2318</v>
      </c>
      <c r="B3135" s="133" t="s">
        <v>154</v>
      </c>
      <c r="C3135" s="136" t="s">
        <v>132</v>
      </c>
      <c r="D3135" s="133" t="s">
        <v>3288</v>
      </c>
      <c r="E3135" s="138">
        <v>2000</v>
      </c>
      <c r="F3135" s="153" t="s">
        <v>122</v>
      </c>
      <c r="G3135" s="153">
        <v>1</v>
      </c>
      <c r="H3135" s="133" t="s">
        <v>39</v>
      </c>
      <c r="I3135" s="133"/>
      <c r="J3135" s="133" t="s">
        <v>2317</v>
      </c>
      <c r="K3135" s="133" t="s">
        <v>831</v>
      </c>
      <c r="L3135" s="167"/>
      <c r="M3135" s="48"/>
      <c r="N3135" s="123"/>
    </row>
    <row r="3136" spans="1:14" customFormat="1" x14ac:dyDescent="0.55000000000000004">
      <c r="A3136" s="132" t="s">
        <v>2318</v>
      </c>
      <c r="B3136" s="133" t="s">
        <v>2654</v>
      </c>
      <c r="C3136" s="133" t="s">
        <v>124</v>
      </c>
      <c r="D3136" s="133" t="s">
        <v>3288</v>
      </c>
      <c r="E3136" s="138">
        <v>2100</v>
      </c>
      <c r="F3136" s="153" t="s">
        <v>122</v>
      </c>
      <c r="G3136" s="153">
        <v>1</v>
      </c>
      <c r="H3136" s="133" t="s">
        <v>39</v>
      </c>
      <c r="I3136" s="133"/>
      <c r="J3136" s="133" t="s">
        <v>2317</v>
      </c>
      <c r="K3136" s="133" t="s">
        <v>831</v>
      </c>
      <c r="L3136" s="167"/>
      <c r="M3136" s="48"/>
      <c r="N3136" s="123"/>
    </row>
    <row r="3137" spans="1:14" customFormat="1" x14ac:dyDescent="0.55000000000000004">
      <c r="A3137" s="132" t="s">
        <v>2318</v>
      </c>
      <c r="B3137" s="133" t="s">
        <v>2664</v>
      </c>
      <c r="C3137" s="136" t="s">
        <v>125</v>
      </c>
      <c r="D3137" s="133" t="s">
        <v>3288</v>
      </c>
      <c r="E3137" s="138">
        <v>1.3333333333333333</v>
      </c>
      <c r="F3137" s="153" t="s">
        <v>122</v>
      </c>
      <c r="G3137" s="153">
        <v>1</v>
      </c>
      <c r="H3137" s="133" t="s">
        <v>39</v>
      </c>
      <c r="I3137" s="133"/>
      <c r="J3137" s="133" t="s">
        <v>2317</v>
      </c>
      <c r="K3137" s="133" t="s">
        <v>831</v>
      </c>
      <c r="L3137" s="167"/>
      <c r="M3137" s="48"/>
      <c r="N3137" s="123"/>
    </row>
    <row r="3138" spans="1:14" customFormat="1" x14ac:dyDescent="0.55000000000000004">
      <c r="A3138" s="132" t="s">
        <v>2318</v>
      </c>
      <c r="B3138" s="133" t="s">
        <v>2626</v>
      </c>
      <c r="C3138" s="136" t="s">
        <v>3269</v>
      </c>
      <c r="D3138" s="133" t="s">
        <v>3288</v>
      </c>
      <c r="E3138" s="138">
        <v>0.33333333333333326</v>
      </c>
      <c r="F3138" s="153" t="s">
        <v>122</v>
      </c>
      <c r="G3138" s="153">
        <v>1</v>
      </c>
      <c r="H3138" s="133" t="s">
        <v>39</v>
      </c>
      <c r="I3138" s="133"/>
      <c r="J3138" s="133" t="s">
        <v>2317</v>
      </c>
      <c r="K3138" s="133" t="s">
        <v>831</v>
      </c>
      <c r="L3138" s="167"/>
      <c r="M3138" s="48"/>
      <c r="N3138" s="123"/>
    </row>
    <row r="3139" spans="1:14" customFormat="1" x14ac:dyDescent="0.55000000000000004">
      <c r="A3139" t="s">
        <v>2613</v>
      </c>
      <c r="C3139" s="68"/>
      <c r="E3139" s="123"/>
      <c r="F3139" s="149"/>
      <c r="G3139" s="149"/>
      <c r="L3139" s="131"/>
      <c r="M3139" s="48"/>
      <c r="N3139" s="123"/>
    </row>
    <row r="3140" spans="1:14" customFormat="1" x14ac:dyDescent="0.55000000000000004">
      <c r="A3140" s="132" t="s">
        <v>2322</v>
      </c>
      <c r="B3140" s="133" t="s">
        <v>2665</v>
      </c>
      <c r="C3140" s="136" t="s">
        <v>121</v>
      </c>
      <c r="D3140" s="133" t="s">
        <v>3288</v>
      </c>
      <c r="E3140" s="138">
        <v>1</v>
      </c>
      <c r="F3140" s="153" t="s">
        <v>135</v>
      </c>
      <c r="G3140" s="153">
        <v>1</v>
      </c>
      <c r="H3140" s="133" t="s">
        <v>39</v>
      </c>
      <c r="I3140" s="133"/>
      <c r="J3140" s="133" t="s">
        <v>2321</v>
      </c>
      <c r="K3140" s="133" t="s">
        <v>831</v>
      </c>
      <c r="L3140" s="167"/>
      <c r="M3140" s="48"/>
      <c r="N3140" s="123"/>
    </row>
    <row r="3141" spans="1:14" customFormat="1" x14ac:dyDescent="0.55000000000000004">
      <c r="A3141" s="132" t="s">
        <v>2322</v>
      </c>
      <c r="B3141" s="133" t="s">
        <v>2666</v>
      </c>
      <c r="C3141" s="136" t="s">
        <v>348</v>
      </c>
      <c r="D3141" s="133" t="s">
        <v>3288</v>
      </c>
      <c r="E3141" s="138">
        <v>1410</v>
      </c>
      <c r="F3141" s="153" t="s">
        <v>135</v>
      </c>
      <c r="G3141" s="153">
        <v>1</v>
      </c>
      <c r="H3141" s="133" t="s">
        <v>39</v>
      </c>
      <c r="I3141" s="133"/>
      <c r="J3141" s="133" t="s">
        <v>2321</v>
      </c>
      <c r="K3141" s="133" t="s">
        <v>831</v>
      </c>
      <c r="L3141" s="167"/>
      <c r="M3141" s="48"/>
      <c r="N3141" s="123"/>
    </row>
    <row r="3142" spans="1:14" customFormat="1" x14ac:dyDescent="0.55000000000000004">
      <c r="A3142" s="132" t="s">
        <v>2322</v>
      </c>
      <c r="B3142" s="133" t="s">
        <v>153</v>
      </c>
      <c r="C3142" s="136" t="s">
        <v>127</v>
      </c>
      <c r="D3142" s="133" t="s">
        <v>2994</v>
      </c>
      <c r="E3142" s="138">
        <v>3260</v>
      </c>
      <c r="F3142" s="153" t="s">
        <v>167</v>
      </c>
      <c r="G3142" s="153">
        <v>1</v>
      </c>
      <c r="H3142" s="133" t="s">
        <v>39</v>
      </c>
      <c r="I3142" s="133"/>
      <c r="J3142" s="133" t="s">
        <v>2321</v>
      </c>
      <c r="K3142" s="133" t="s">
        <v>831</v>
      </c>
      <c r="L3142" s="167"/>
      <c r="M3142" s="48"/>
      <c r="N3142" s="123"/>
    </row>
    <row r="3143" spans="1:14" customFormat="1" x14ac:dyDescent="0.55000000000000004">
      <c r="A3143" s="132" t="s">
        <v>2322</v>
      </c>
      <c r="B3143" s="133" t="s">
        <v>171</v>
      </c>
      <c r="C3143" s="136" t="s">
        <v>127</v>
      </c>
      <c r="D3143" s="133" t="s">
        <v>3288</v>
      </c>
      <c r="E3143" s="138">
        <v>0.01</v>
      </c>
      <c r="F3143" s="153" t="s">
        <v>135</v>
      </c>
      <c r="G3143" s="153">
        <v>1</v>
      </c>
      <c r="H3143" s="133" t="s">
        <v>39</v>
      </c>
      <c r="I3143" s="133"/>
      <c r="J3143" s="133" t="s">
        <v>2321</v>
      </c>
      <c r="K3143" s="133" t="s">
        <v>831</v>
      </c>
      <c r="L3143" s="167"/>
      <c r="M3143" s="48"/>
      <c r="N3143" s="123"/>
    </row>
    <row r="3144" spans="1:14" customFormat="1" x14ac:dyDescent="0.55000000000000004">
      <c r="A3144" s="132" t="s">
        <v>2322</v>
      </c>
      <c r="B3144" s="133" t="s">
        <v>2667</v>
      </c>
      <c r="C3144" s="133" t="s">
        <v>156</v>
      </c>
      <c r="D3144" s="133" t="s">
        <v>3288</v>
      </c>
      <c r="E3144" s="138">
        <v>0.11</v>
      </c>
      <c r="F3144" s="153" t="s">
        <v>135</v>
      </c>
      <c r="G3144" s="153">
        <v>1</v>
      </c>
      <c r="H3144" s="133" t="s">
        <v>39</v>
      </c>
      <c r="I3144" s="133"/>
      <c r="J3144" s="133" t="s">
        <v>2321</v>
      </c>
      <c r="K3144" s="133" t="s">
        <v>831</v>
      </c>
      <c r="L3144" s="167"/>
      <c r="M3144" s="48"/>
      <c r="N3144" s="123"/>
    </row>
    <row r="3145" spans="1:14" customFormat="1" x14ac:dyDescent="0.55000000000000004">
      <c r="A3145" s="132" t="s">
        <v>2322</v>
      </c>
      <c r="B3145" s="133" t="s">
        <v>181</v>
      </c>
      <c r="C3145" s="136" t="s">
        <v>3269</v>
      </c>
      <c r="D3145" s="133" t="s">
        <v>3288</v>
      </c>
      <c r="E3145" s="138">
        <v>0.16</v>
      </c>
      <c r="F3145" s="153" t="s">
        <v>135</v>
      </c>
      <c r="G3145" s="153">
        <v>1</v>
      </c>
      <c r="H3145" s="133" t="s">
        <v>39</v>
      </c>
      <c r="I3145" s="133"/>
      <c r="J3145" s="133" t="s">
        <v>2321</v>
      </c>
      <c r="K3145" s="133" t="s">
        <v>831</v>
      </c>
      <c r="L3145" s="167"/>
      <c r="M3145" s="48"/>
      <c r="N3145" s="123"/>
    </row>
    <row r="3146" spans="1:14" customFormat="1" x14ac:dyDescent="0.55000000000000004">
      <c r="A3146" s="132" t="s">
        <v>2322</v>
      </c>
      <c r="B3146" s="133" t="s">
        <v>2668</v>
      </c>
      <c r="C3146" s="133" t="s">
        <v>156</v>
      </c>
      <c r="D3146" s="133" t="s">
        <v>3288</v>
      </c>
      <c r="E3146" s="138">
        <v>2.1000000000000001E-2</v>
      </c>
      <c r="F3146" s="153" t="s">
        <v>135</v>
      </c>
      <c r="G3146" s="153">
        <v>1</v>
      </c>
      <c r="H3146" s="133" t="s">
        <v>39</v>
      </c>
      <c r="I3146" s="133"/>
      <c r="J3146" s="133" t="s">
        <v>2321</v>
      </c>
      <c r="K3146" s="133" t="s">
        <v>831</v>
      </c>
      <c r="L3146" s="167"/>
      <c r="M3146" s="48"/>
      <c r="N3146" s="123"/>
    </row>
    <row r="3147" spans="1:14" customFormat="1" x14ac:dyDescent="0.55000000000000004">
      <c r="A3147" t="s">
        <v>2613</v>
      </c>
      <c r="C3147" s="68"/>
      <c r="E3147" s="123"/>
      <c r="F3147" s="149"/>
      <c r="G3147" s="149"/>
      <c r="L3147" s="131"/>
      <c r="M3147" s="48"/>
      <c r="N3147" s="123"/>
    </row>
    <row r="3148" spans="1:14" customFormat="1" x14ac:dyDescent="0.55000000000000004">
      <c r="A3148" s="132" t="s">
        <v>2326</v>
      </c>
      <c r="B3148" s="133" t="s">
        <v>2669</v>
      </c>
      <c r="C3148" s="136" t="s">
        <v>121</v>
      </c>
      <c r="D3148" s="133" t="s">
        <v>2682</v>
      </c>
      <c r="E3148" s="138">
        <v>1</v>
      </c>
      <c r="F3148" s="153">
        <v>1</v>
      </c>
      <c r="G3148" s="153">
        <v>1</v>
      </c>
      <c r="H3148" s="133" t="s">
        <v>39</v>
      </c>
      <c r="I3148" s="133"/>
      <c r="J3148" s="133" t="s">
        <v>2325</v>
      </c>
      <c r="K3148" s="133" t="s">
        <v>831</v>
      </c>
      <c r="L3148" s="167"/>
      <c r="M3148" s="48"/>
      <c r="N3148" s="123"/>
    </row>
    <row r="3149" spans="1:14" customFormat="1" x14ac:dyDescent="0.55000000000000004">
      <c r="A3149" s="132" t="s">
        <v>2326</v>
      </c>
      <c r="B3149" s="133" t="s">
        <v>2670</v>
      </c>
      <c r="C3149" s="133" t="s">
        <v>156</v>
      </c>
      <c r="D3149" s="133" t="s">
        <v>3288</v>
      </c>
      <c r="E3149" s="138">
        <v>1</v>
      </c>
      <c r="F3149" s="153" t="s">
        <v>135</v>
      </c>
      <c r="G3149" s="153">
        <v>1</v>
      </c>
      <c r="H3149" s="133" t="s">
        <v>39</v>
      </c>
      <c r="I3149" s="133"/>
      <c r="J3149" s="133" t="s">
        <v>2325</v>
      </c>
      <c r="K3149" s="133" t="s">
        <v>831</v>
      </c>
      <c r="L3149" s="167"/>
      <c r="M3149" s="48"/>
      <c r="N3149" s="123"/>
    </row>
    <row r="3150" spans="1:14" customFormat="1" x14ac:dyDescent="0.55000000000000004">
      <c r="A3150" s="132" t="s">
        <v>2326</v>
      </c>
      <c r="B3150" s="133" t="s">
        <v>2666</v>
      </c>
      <c r="C3150" s="136" t="s">
        <v>348</v>
      </c>
      <c r="D3150" s="133" t="s">
        <v>3288</v>
      </c>
      <c r="E3150" s="138">
        <v>1.5</v>
      </c>
      <c r="F3150" s="153" t="s">
        <v>135</v>
      </c>
      <c r="G3150" s="153">
        <v>1</v>
      </c>
      <c r="H3150" s="133" t="s">
        <v>39</v>
      </c>
      <c r="I3150" s="133"/>
      <c r="J3150" s="133" t="s">
        <v>2325</v>
      </c>
      <c r="K3150" s="133" t="s">
        <v>831</v>
      </c>
      <c r="L3150" s="167"/>
      <c r="M3150" s="48"/>
      <c r="N3150" s="123"/>
    </row>
    <row r="3151" spans="1:14" customFormat="1" x14ac:dyDescent="0.55000000000000004">
      <c r="A3151" s="132" t="s">
        <v>2326</v>
      </c>
      <c r="B3151" s="133" t="s">
        <v>153</v>
      </c>
      <c r="C3151" s="136" t="s">
        <v>127</v>
      </c>
      <c r="D3151" s="133" t="s">
        <v>2994</v>
      </c>
      <c r="E3151" s="138">
        <v>1.89</v>
      </c>
      <c r="F3151" s="153" t="s">
        <v>138</v>
      </c>
      <c r="G3151" s="153">
        <v>1</v>
      </c>
      <c r="H3151" s="133" t="s">
        <v>39</v>
      </c>
      <c r="I3151" s="133"/>
      <c r="J3151" s="133" t="s">
        <v>2325</v>
      </c>
      <c r="K3151" s="133" t="s">
        <v>831</v>
      </c>
      <c r="L3151" s="167"/>
      <c r="M3151" s="48"/>
      <c r="N3151" s="123"/>
    </row>
    <row r="3152" spans="1:14" customFormat="1" x14ac:dyDescent="0.55000000000000004">
      <c r="A3152" s="132" t="s">
        <v>2326</v>
      </c>
      <c r="B3152" s="133" t="s">
        <v>2671</v>
      </c>
      <c r="C3152" s="133" t="s">
        <v>156</v>
      </c>
      <c r="D3152" s="133" t="s">
        <v>3288</v>
      </c>
      <c r="E3152" s="138">
        <v>0.5</v>
      </c>
      <c r="F3152" s="153" t="s">
        <v>135</v>
      </c>
      <c r="G3152" s="153">
        <v>1</v>
      </c>
      <c r="H3152" s="133" t="s">
        <v>39</v>
      </c>
      <c r="I3152" s="133"/>
      <c r="J3152" s="133" t="s">
        <v>2325</v>
      </c>
      <c r="K3152" s="133" t="s">
        <v>831</v>
      </c>
      <c r="L3152" s="167"/>
      <c r="M3152" s="48"/>
      <c r="N3152" s="123"/>
    </row>
    <row r="3153" spans="1:14" customFormat="1" x14ac:dyDescent="0.55000000000000004">
      <c r="A3153" t="s">
        <v>2613</v>
      </c>
      <c r="C3153" s="68"/>
      <c r="E3153" s="123"/>
      <c r="F3153" s="149"/>
      <c r="G3153" s="149"/>
      <c r="L3153" s="131"/>
      <c r="M3153" s="48"/>
      <c r="N3153" s="123"/>
    </row>
    <row r="3154" spans="1:14" customFormat="1" x14ac:dyDescent="0.55000000000000004">
      <c r="A3154" s="132" t="s">
        <v>2329</v>
      </c>
      <c r="B3154" s="133" t="s">
        <v>948</v>
      </c>
      <c r="C3154" s="136" t="s">
        <v>121</v>
      </c>
      <c r="D3154" s="133" t="s">
        <v>3288</v>
      </c>
      <c r="E3154" s="138">
        <v>1</v>
      </c>
      <c r="F3154" s="154" t="s">
        <v>135</v>
      </c>
      <c r="G3154" s="153">
        <v>1</v>
      </c>
      <c r="H3154" s="133" t="s">
        <v>39</v>
      </c>
      <c r="I3154" s="133"/>
      <c r="J3154" s="133" t="s">
        <v>2328</v>
      </c>
      <c r="K3154" s="133" t="s">
        <v>831</v>
      </c>
      <c r="L3154" s="167"/>
      <c r="M3154" s="48"/>
      <c r="N3154" s="123"/>
    </row>
    <row r="3155" spans="1:14" customFormat="1" x14ac:dyDescent="0.55000000000000004">
      <c r="A3155" s="132" t="s">
        <v>2329</v>
      </c>
      <c r="B3155" s="133" t="s">
        <v>2665</v>
      </c>
      <c r="C3155" s="136" t="s">
        <v>348</v>
      </c>
      <c r="D3155" s="133" t="s">
        <v>3288</v>
      </c>
      <c r="E3155" s="138">
        <v>1.23</v>
      </c>
      <c r="F3155" s="154" t="s">
        <v>135</v>
      </c>
      <c r="G3155" s="153">
        <v>1</v>
      </c>
      <c r="H3155" s="133" t="s">
        <v>39</v>
      </c>
      <c r="I3155" s="133"/>
      <c r="J3155" s="133" t="s">
        <v>2328</v>
      </c>
      <c r="K3155" s="133" t="s">
        <v>831</v>
      </c>
      <c r="L3155" s="167"/>
      <c r="M3155" s="48"/>
      <c r="N3155" s="123"/>
    </row>
    <row r="3156" spans="1:14" customFormat="1" x14ac:dyDescent="0.55000000000000004">
      <c r="A3156" s="132" t="s">
        <v>2329</v>
      </c>
      <c r="B3156" s="133" t="s">
        <v>2607</v>
      </c>
      <c r="C3156" s="136" t="s">
        <v>348</v>
      </c>
      <c r="D3156" s="133" t="s">
        <v>3288</v>
      </c>
      <c r="E3156" s="138">
        <v>5.0799999999999998E-2</v>
      </c>
      <c r="F3156" s="154" t="s">
        <v>135</v>
      </c>
      <c r="G3156" s="153">
        <v>1</v>
      </c>
      <c r="H3156" s="133" t="s">
        <v>39</v>
      </c>
      <c r="I3156" s="133"/>
      <c r="J3156" s="133" t="s">
        <v>2328</v>
      </c>
      <c r="K3156" s="133" t="s">
        <v>831</v>
      </c>
      <c r="L3156" s="167"/>
      <c r="M3156" s="48"/>
      <c r="N3156" s="123"/>
    </row>
    <row r="3157" spans="1:14" customFormat="1" x14ac:dyDescent="0.55000000000000004">
      <c r="A3157" s="132" t="s">
        <v>2329</v>
      </c>
      <c r="B3157" s="133" t="s">
        <v>148</v>
      </c>
      <c r="C3157" s="136" t="s">
        <v>348</v>
      </c>
      <c r="D3157" s="133" t="s">
        <v>3288</v>
      </c>
      <c r="E3157" s="138">
        <v>8.8999999999999995E-4</v>
      </c>
      <c r="F3157" s="154" t="s">
        <v>135</v>
      </c>
      <c r="G3157" s="153">
        <v>1</v>
      </c>
      <c r="H3157" s="133" t="s">
        <v>39</v>
      </c>
      <c r="I3157" s="133"/>
      <c r="J3157" s="133" t="s">
        <v>2328</v>
      </c>
      <c r="K3157" s="133" t="s">
        <v>831</v>
      </c>
      <c r="L3157" s="167"/>
      <c r="M3157" s="48"/>
      <c r="N3157" s="123"/>
    </row>
    <row r="3158" spans="1:14" customFormat="1" x14ac:dyDescent="0.55000000000000004">
      <c r="A3158" s="132" t="s">
        <v>2329</v>
      </c>
      <c r="B3158" s="133" t="s">
        <v>153</v>
      </c>
      <c r="C3158" s="136" t="s">
        <v>127</v>
      </c>
      <c r="D3158" s="133" t="s">
        <v>2994</v>
      </c>
      <c r="E3158" s="138">
        <v>0.41</v>
      </c>
      <c r="F3158" s="154" t="s">
        <v>138</v>
      </c>
      <c r="G3158" s="153">
        <v>1</v>
      </c>
      <c r="H3158" s="133" t="s">
        <v>39</v>
      </c>
      <c r="I3158" s="133"/>
      <c r="J3158" s="133" t="s">
        <v>2328</v>
      </c>
      <c r="K3158" s="133" t="s">
        <v>831</v>
      </c>
      <c r="L3158" s="167"/>
      <c r="M3158" s="48"/>
      <c r="N3158" s="123"/>
    </row>
    <row r="3159" spans="1:14" customFormat="1" x14ac:dyDescent="0.55000000000000004">
      <c r="A3159" s="132" t="s">
        <v>2329</v>
      </c>
      <c r="B3159" s="133" t="s">
        <v>2672</v>
      </c>
      <c r="C3159" s="136" t="s">
        <v>127</v>
      </c>
      <c r="D3159" s="133" t="s">
        <v>2994</v>
      </c>
      <c r="E3159" s="138">
        <v>1.1100000000000001</v>
      </c>
      <c r="F3159" s="154" t="s">
        <v>138</v>
      </c>
      <c r="G3159" s="153">
        <v>1</v>
      </c>
      <c r="H3159" s="133" t="s">
        <v>39</v>
      </c>
      <c r="I3159" s="133"/>
      <c r="J3159" s="133" t="s">
        <v>2328</v>
      </c>
      <c r="K3159" s="133" t="s">
        <v>831</v>
      </c>
      <c r="L3159" s="167"/>
      <c r="M3159" s="48"/>
      <c r="N3159" s="123"/>
    </row>
    <row r="3160" spans="1:14" customFormat="1" x14ac:dyDescent="0.55000000000000004">
      <c r="A3160" t="s">
        <v>2613</v>
      </c>
      <c r="C3160" s="68"/>
      <c r="E3160" s="123"/>
      <c r="F3160" s="157"/>
      <c r="G3160" s="149"/>
      <c r="L3160" s="131"/>
      <c r="M3160" s="48"/>
      <c r="N3160" s="123"/>
    </row>
    <row r="3161" spans="1:14" customFormat="1" x14ac:dyDescent="0.55000000000000004">
      <c r="A3161" s="132" t="s">
        <v>2332</v>
      </c>
      <c r="B3161" s="133" t="s">
        <v>2673</v>
      </c>
      <c r="C3161" s="136" t="s">
        <v>121</v>
      </c>
      <c r="D3161" s="133" t="s">
        <v>2682</v>
      </c>
      <c r="E3161" s="138">
        <v>1</v>
      </c>
      <c r="F3161" s="154">
        <v>1</v>
      </c>
      <c r="G3161" s="153">
        <v>1</v>
      </c>
      <c r="H3161" s="133" t="s">
        <v>39</v>
      </c>
      <c r="I3161" s="133"/>
      <c r="J3161" s="133" t="s">
        <v>2331</v>
      </c>
      <c r="K3161" s="133" t="s">
        <v>831</v>
      </c>
      <c r="L3161" s="167"/>
      <c r="M3161" s="48"/>
      <c r="N3161" s="123"/>
    </row>
    <row r="3162" spans="1:14" customFormat="1" x14ac:dyDescent="0.55000000000000004">
      <c r="A3162" s="132" t="s">
        <v>2332</v>
      </c>
      <c r="B3162" s="133" t="s">
        <v>2666</v>
      </c>
      <c r="C3162" s="136" t="s">
        <v>348</v>
      </c>
      <c r="D3162" s="133" t="s">
        <v>3288</v>
      </c>
      <c r="E3162" s="138">
        <v>1</v>
      </c>
      <c r="F3162" s="154" t="s">
        <v>135</v>
      </c>
      <c r="G3162" s="153">
        <v>1</v>
      </c>
      <c r="H3162" s="133" t="s">
        <v>39</v>
      </c>
      <c r="I3162" s="133"/>
      <c r="J3162" s="133" t="s">
        <v>2331</v>
      </c>
      <c r="K3162" s="133" t="s">
        <v>831</v>
      </c>
      <c r="L3162" s="167"/>
      <c r="M3162" s="48"/>
      <c r="N3162" s="123"/>
    </row>
    <row r="3163" spans="1:14" customFormat="1" x14ac:dyDescent="0.55000000000000004">
      <c r="A3163" s="132" t="s">
        <v>2332</v>
      </c>
      <c r="B3163" s="133" t="s">
        <v>160</v>
      </c>
      <c r="C3163" s="133" t="s">
        <v>124</v>
      </c>
      <c r="D3163" s="133" t="s">
        <v>3288</v>
      </c>
      <c r="E3163" s="138">
        <v>1.9191</v>
      </c>
      <c r="F3163" s="154" t="s">
        <v>3286</v>
      </c>
      <c r="G3163" s="153">
        <v>1</v>
      </c>
      <c r="H3163" s="133" t="s">
        <v>39</v>
      </c>
      <c r="I3163" s="133"/>
      <c r="J3163" s="133" t="s">
        <v>2331</v>
      </c>
      <c r="K3163" s="133" t="s">
        <v>831</v>
      </c>
      <c r="L3163" s="167"/>
      <c r="M3163" s="48"/>
      <c r="N3163" s="123"/>
    </row>
    <row r="3164" spans="1:14" customFormat="1" x14ac:dyDescent="0.55000000000000004">
      <c r="A3164" s="132" t="s">
        <v>2332</v>
      </c>
      <c r="B3164" s="133" t="s">
        <v>153</v>
      </c>
      <c r="C3164" s="133" t="s">
        <v>156</v>
      </c>
      <c r="D3164" s="133" t="s">
        <v>2994</v>
      </c>
      <c r="E3164" s="138">
        <v>4.8666666666666671</v>
      </c>
      <c r="F3164" s="154" t="s">
        <v>138</v>
      </c>
      <c r="G3164" s="153">
        <v>1</v>
      </c>
      <c r="H3164" s="133" t="s">
        <v>39</v>
      </c>
      <c r="I3164" s="133"/>
      <c r="J3164" s="133" t="s">
        <v>2331</v>
      </c>
      <c r="K3164" s="133" t="s">
        <v>831</v>
      </c>
      <c r="L3164" s="167"/>
      <c r="M3164" s="48"/>
      <c r="N3164" s="123"/>
    </row>
    <row r="3165" spans="1:14" customFormat="1" x14ac:dyDescent="0.55000000000000004">
      <c r="A3165" s="132" t="s">
        <v>2332</v>
      </c>
      <c r="B3165" s="133" t="s">
        <v>188</v>
      </c>
      <c r="C3165" s="133" t="s">
        <v>156</v>
      </c>
      <c r="D3165" s="133" t="s">
        <v>2994</v>
      </c>
      <c r="E3165" s="138">
        <v>14.366666666666665</v>
      </c>
      <c r="F3165" s="154" t="s">
        <v>138</v>
      </c>
      <c r="G3165" s="153">
        <v>1</v>
      </c>
      <c r="H3165" s="133" t="s">
        <v>39</v>
      </c>
      <c r="I3165" s="133"/>
      <c r="J3165" s="133" t="s">
        <v>2331</v>
      </c>
      <c r="K3165" s="133" t="s">
        <v>831</v>
      </c>
      <c r="L3165" s="167"/>
      <c r="M3165" s="48"/>
      <c r="N3165" s="123"/>
    </row>
    <row r="3166" spans="1:14" customFormat="1" x14ac:dyDescent="0.55000000000000004">
      <c r="A3166" t="s">
        <v>2613</v>
      </c>
      <c r="C3166" s="68"/>
      <c r="E3166" s="123"/>
      <c r="F3166" s="157"/>
      <c r="G3166" s="149"/>
      <c r="L3166" s="131"/>
      <c r="M3166" s="48"/>
      <c r="N3166" s="123"/>
    </row>
    <row r="3167" spans="1:14" customFormat="1" x14ac:dyDescent="0.55000000000000004">
      <c r="A3167" s="132" t="s">
        <v>2335</v>
      </c>
      <c r="B3167" s="133" t="s">
        <v>2674</v>
      </c>
      <c r="C3167" s="136" t="s">
        <v>121</v>
      </c>
      <c r="D3167" s="133" t="s">
        <v>2682</v>
      </c>
      <c r="E3167" s="138">
        <v>1</v>
      </c>
      <c r="F3167" s="154">
        <v>1</v>
      </c>
      <c r="G3167" s="153">
        <v>1</v>
      </c>
      <c r="H3167" s="133" t="s">
        <v>39</v>
      </c>
      <c r="I3167" s="133"/>
      <c r="J3167" s="133" t="s">
        <v>2334</v>
      </c>
      <c r="K3167" s="133" t="s">
        <v>831</v>
      </c>
      <c r="L3167" s="167"/>
      <c r="M3167" s="48"/>
      <c r="N3167" s="123"/>
    </row>
    <row r="3168" spans="1:14" customFormat="1" x14ac:dyDescent="0.55000000000000004">
      <c r="A3168" s="132" t="s">
        <v>2335</v>
      </c>
      <c r="B3168" s="133" t="s">
        <v>2666</v>
      </c>
      <c r="C3168" s="136" t="s">
        <v>348</v>
      </c>
      <c r="D3168" s="133" t="s">
        <v>3288</v>
      </c>
      <c r="E3168" s="138">
        <v>1</v>
      </c>
      <c r="F3168" s="154" t="s">
        <v>135</v>
      </c>
      <c r="G3168" s="153">
        <v>1</v>
      </c>
      <c r="H3168" s="133" t="s">
        <v>39</v>
      </c>
      <c r="I3168" s="133"/>
      <c r="J3168" s="133" t="s">
        <v>2334</v>
      </c>
      <c r="K3168" s="133" t="s">
        <v>831</v>
      </c>
      <c r="L3168" s="167"/>
      <c r="M3168" s="48"/>
      <c r="N3168" s="123"/>
    </row>
    <row r="3169" spans="1:14" customFormat="1" x14ac:dyDescent="0.55000000000000004">
      <c r="A3169" s="132" t="s">
        <v>2335</v>
      </c>
      <c r="B3169" s="133" t="s">
        <v>160</v>
      </c>
      <c r="C3169" s="133" t="s">
        <v>124</v>
      </c>
      <c r="D3169" s="133" t="s">
        <v>3288</v>
      </c>
      <c r="E3169" s="138">
        <v>1716.2</v>
      </c>
      <c r="F3169" s="154" t="s">
        <v>3286</v>
      </c>
      <c r="G3169" s="153">
        <v>1</v>
      </c>
      <c r="H3169" s="133" t="s">
        <v>39</v>
      </c>
      <c r="I3169" s="133"/>
      <c r="J3169" s="133" t="s">
        <v>2334</v>
      </c>
      <c r="K3169" s="133" t="s">
        <v>831</v>
      </c>
      <c r="L3169" s="167"/>
      <c r="M3169" s="48"/>
      <c r="N3169" s="123"/>
    </row>
    <row r="3170" spans="1:14" customFormat="1" x14ac:dyDescent="0.55000000000000004">
      <c r="A3170" s="132" t="s">
        <v>2335</v>
      </c>
      <c r="B3170" s="133" t="s">
        <v>153</v>
      </c>
      <c r="C3170" s="133" t="s">
        <v>156</v>
      </c>
      <c r="D3170" s="133" t="s">
        <v>2994</v>
      </c>
      <c r="E3170" s="138">
        <v>4.8666666666666671</v>
      </c>
      <c r="F3170" s="154" t="s">
        <v>138</v>
      </c>
      <c r="G3170" s="153">
        <v>1</v>
      </c>
      <c r="H3170" s="133" t="s">
        <v>39</v>
      </c>
      <c r="I3170" s="133"/>
      <c r="J3170" s="133" t="s">
        <v>2334</v>
      </c>
      <c r="K3170" s="133" t="s">
        <v>831</v>
      </c>
      <c r="L3170" s="167"/>
      <c r="M3170" s="48"/>
      <c r="N3170" s="123"/>
    </row>
    <row r="3171" spans="1:14" customFormat="1" x14ac:dyDescent="0.55000000000000004">
      <c r="A3171" s="132" t="s">
        <v>2335</v>
      </c>
      <c r="B3171" s="133" t="s">
        <v>188</v>
      </c>
      <c r="C3171" s="133" t="s">
        <v>156</v>
      </c>
      <c r="D3171" s="133" t="s">
        <v>2994</v>
      </c>
      <c r="E3171" s="138">
        <v>14.366666666666665</v>
      </c>
      <c r="F3171" s="154" t="s">
        <v>138</v>
      </c>
      <c r="G3171" s="153">
        <v>1</v>
      </c>
      <c r="H3171" s="133" t="s">
        <v>39</v>
      </c>
      <c r="I3171" s="133"/>
      <c r="J3171" s="133" t="s">
        <v>2334</v>
      </c>
      <c r="K3171" s="133" t="s">
        <v>831</v>
      </c>
      <c r="L3171" s="167"/>
      <c r="M3171" s="48"/>
      <c r="N3171" s="123"/>
    </row>
    <row r="3172" spans="1:14" customFormat="1" x14ac:dyDescent="0.55000000000000004">
      <c r="A3172" t="s">
        <v>2613</v>
      </c>
      <c r="C3172" s="68"/>
      <c r="E3172" s="123"/>
      <c r="F3172" s="149"/>
      <c r="G3172" s="149"/>
      <c r="L3172" s="131"/>
      <c r="M3172" s="48"/>
      <c r="N3172" s="123"/>
    </row>
    <row r="3173" spans="1:14" customFormat="1" x14ac:dyDescent="0.55000000000000004">
      <c r="A3173" s="132" t="s">
        <v>2338</v>
      </c>
      <c r="B3173" s="133" t="s">
        <v>2675</v>
      </c>
      <c r="C3173" s="136" t="s">
        <v>121</v>
      </c>
      <c r="D3173" s="133" t="s">
        <v>2682</v>
      </c>
      <c r="E3173" s="138">
        <v>1</v>
      </c>
      <c r="F3173" s="154">
        <v>1</v>
      </c>
      <c r="G3173" s="153">
        <v>1</v>
      </c>
      <c r="H3173" s="133" t="s">
        <v>39</v>
      </c>
      <c r="I3173" s="133"/>
      <c r="J3173" s="133" t="s">
        <v>2337</v>
      </c>
      <c r="K3173" s="133" t="s">
        <v>831</v>
      </c>
      <c r="L3173" s="167"/>
      <c r="M3173" s="48"/>
      <c r="N3173" s="123"/>
    </row>
    <row r="3174" spans="1:14" customFormat="1" x14ac:dyDescent="0.55000000000000004">
      <c r="A3174" s="132" t="s">
        <v>2338</v>
      </c>
      <c r="B3174" s="133" t="s">
        <v>2666</v>
      </c>
      <c r="C3174" s="136" t="s">
        <v>348</v>
      </c>
      <c r="D3174" s="133" t="s">
        <v>3288</v>
      </c>
      <c r="E3174" s="138">
        <v>1</v>
      </c>
      <c r="F3174" s="154" t="s">
        <v>135</v>
      </c>
      <c r="G3174" s="153">
        <v>1</v>
      </c>
      <c r="H3174" s="133" t="s">
        <v>39</v>
      </c>
      <c r="I3174" s="133"/>
      <c r="J3174" s="133" t="s">
        <v>2337</v>
      </c>
      <c r="K3174" s="133" t="s">
        <v>831</v>
      </c>
      <c r="L3174" s="167"/>
      <c r="M3174" s="48"/>
      <c r="N3174" s="123"/>
    </row>
    <row r="3175" spans="1:14" customFormat="1" x14ac:dyDescent="0.55000000000000004">
      <c r="A3175" s="132" t="s">
        <v>2338</v>
      </c>
      <c r="B3175" s="133" t="s">
        <v>160</v>
      </c>
      <c r="C3175" s="133" t="s">
        <v>124</v>
      </c>
      <c r="D3175" s="133" t="s">
        <v>3288</v>
      </c>
      <c r="E3175" s="138">
        <v>1.7770999999999999</v>
      </c>
      <c r="F3175" s="154" t="s">
        <v>3286</v>
      </c>
      <c r="G3175" s="153">
        <v>1</v>
      </c>
      <c r="H3175" s="133" t="s">
        <v>39</v>
      </c>
      <c r="I3175" s="133"/>
      <c r="J3175" s="133" t="s">
        <v>2337</v>
      </c>
      <c r="K3175" s="133" t="s">
        <v>831</v>
      </c>
      <c r="L3175" s="167"/>
      <c r="M3175" s="48"/>
      <c r="N3175" s="123"/>
    </row>
    <row r="3176" spans="1:14" customFormat="1" x14ac:dyDescent="0.55000000000000004">
      <c r="A3176" s="132" t="s">
        <v>2338</v>
      </c>
      <c r="B3176" s="133" t="s">
        <v>153</v>
      </c>
      <c r="C3176" s="133" t="s">
        <v>156</v>
      </c>
      <c r="D3176" s="133" t="s">
        <v>2994</v>
      </c>
      <c r="E3176" s="138">
        <v>5.9300000000000006</v>
      </c>
      <c r="F3176" s="154" t="s">
        <v>138</v>
      </c>
      <c r="G3176" s="153">
        <v>1</v>
      </c>
      <c r="H3176" s="133" t="s">
        <v>39</v>
      </c>
      <c r="I3176" s="133"/>
      <c r="J3176" s="133" t="s">
        <v>2337</v>
      </c>
      <c r="K3176" s="133" t="s">
        <v>831</v>
      </c>
      <c r="L3176" s="167"/>
      <c r="M3176" s="48"/>
      <c r="N3176" s="123"/>
    </row>
    <row r="3177" spans="1:14" customFormat="1" x14ac:dyDescent="0.55000000000000004">
      <c r="A3177" s="132" t="s">
        <v>2338</v>
      </c>
      <c r="B3177" s="133" t="s">
        <v>188</v>
      </c>
      <c r="C3177" s="133" t="s">
        <v>156</v>
      </c>
      <c r="D3177" s="133" t="s">
        <v>2994</v>
      </c>
      <c r="E3177" s="138">
        <v>15.379999999999999</v>
      </c>
      <c r="F3177" s="154" t="s">
        <v>138</v>
      </c>
      <c r="G3177" s="153">
        <v>1</v>
      </c>
      <c r="H3177" s="133" t="s">
        <v>39</v>
      </c>
      <c r="I3177" s="133"/>
      <c r="J3177" s="133" t="s">
        <v>2337</v>
      </c>
      <c r="K3177" s="133" t="s">
        <v>831</v>
      </c>
      <c r="L3177" s="167"/>
      <c r="M3177" s="48"/>
      <c r="N3177" s="123"/>
    </row>
    <row r="3178" spans="1:14" customFormat="1" x14ac:dyDescent="0.55000000000000004">
      <c r="A3178" t="s">
        <v>2613</v>
      </c>
      <c r="E3178" s="123"/>
      <c r="F3178" s="149"/>
      <c r="G3178" s="149"/>
      <c r="L3178" s="131"/>
      <c r="M3178" s="48"/>
      <c r="N3178" s="123"/>
    </row>
    <row r="3179" spans="1:14" customFormat="1" x14ac:dyDescent="0.55000000000000004">
      <c r="A3179" s="132" t="s">
        <v>2341</v>
      </c>
      <c r="B3179" s="133" t="s">
        <v>2676</v>
      </c>
      <c r="C3179" s="136" t="s">
        <v>121</v>
      </c>
      <c r="D3179" s="133" t="s">
        <v>2682</v>
      </c>
      <c r="E3179" s="138">
        <v>1</v>
      </c>
      <c r="F3179" s="154">
        <v>1</v>
      </c>
      <c r="G3179" s="153">
        <v>1</v>
      </c>
      <c r="H3179" s="133" t="s">
        <v>39</v>
      </c>
      <c r="I3179" s="133"/>
      <c r="J3179" s="133" t="s">
        <v>2340</v>
      </c>
      <c r="K3179" s="133" t="s">
        <v>831</v>
      </c>
      <c r="L3179" s="167"/>
      <c r="M3179" s="48"/>
      <c r="N3179" s="123"/>
    </row>
    <row r="3180" spans="1:14" customFormat="1" x14ac:dyDescent="0.55000000000000004">
      <c r="A3180" s="132" t="s">
        <v>2341</v>
      </c>
      <c r="B3180" s="133" t="s">
        <v>2677</v>
      </c>
      <c r="C3180" s="136" t="s">
        <v>348</v>
      </c>
      <c r="D3180" s="133" t="s">
        <v>3288</v>
      </c>
      <c r="E3180" s="138">
        <v>1</v>
      </c>
      <c r="F3180" s="154" t="s">
        <v>135</v>
      </c>
      <c r="G3180" s="153">
        <v>1</v>
      </c>
      <c r="H3180" s="133" t="s">
        <v>39</v>
      </c>
      <c r="I3180" s="133"/>
      <c r="J3180" s="133" t="s">
        <v>2340</v>
      </c>
      <c r="K3180" s="133" t="s">
        <v>831</v>
      </c>
      <c r="L3180" s="167"/>
      <c r="M3180" s="48"/>
      <c r="N3180" s="123"/>
    </row>
    <row r="3181" spans="1:14" customFormat="1" x14ac:dyDescent="0.55000000000000004">
      <c r="A3181" s="132" t="s">
        <v>2341</v>
      </c>
      <c r="B3181" s="133" t="s">
        <v>153</v>
      </c>
      <c r="C3181" s="136" t="s">
        <v>127</v>
      </c>
      <c r="D3181" s="133" t="s">
        <v>2994</v>
      </c>
      <c r="E3181" s="138">
        <v>66</v>
      </c>
      <c r="F3181" s="154" t="s">
        <v>130</v>
      </c>
      <c r="G3181" s="153">
        <v>1</v>
      </c>
      <c r="H3181" s="133" t="s">
        <v>39</v>
      </c>
      <c r="I3181" s="133"/>
      <c r="J3181" s="133" t="s">
        <v>2340</v>
      </c>
      <c r="K3181" s="133" t="s">
        <v>831</v>
      </c>
      <c r="L3181" s="167"/>
      <c r="M3181" s="48"/>
      <c r="N3181" s="123"/>
    </row>
    <row r="3182" spans="1:14" customFormat="1" x14ac:dyDescent="0.55000000000000004">
      <c r="A3182" s="132" t="s">
        <v>2341</v>
      </c>
      <c r="B3182" s="133" t="s">
        <v>2678</v>
      </c>
      <c r="C3182" s="133" t="s">
        <v>156</v>
      </c>
      <c r="D3182" s="133" t="s">
        <v>3288</v>
      </c>
      <c r="E3182" s="138">
        <v>0.14121</v>
      </c>
      <c r="F3182" s="154" t="s">
        <v>135</v>
      </c>
      <c r="G3182" s="153">
        <v>1</v>
      </c>
      <c r="H3182" s="133" t="s">
        <v>39</v>
      </c>
      <c r="I3182" s="133"/>
      <c r="J3182" s="133" t="s">
        <v>2340</v>
      </c>
      <c r="K3182" s="133" t="s">
        <v>831</v>
      </c>
      <c r="L3182" s="167"/>
      <c r="M3182" s="48"/>
      <c r="N3182" s="123"/>
    </row>
    <row r="3183" spans="1:14" customFormat="1" x14ac:dyDescent="0.55000000000000004">
      <c r="A3183" s="132" t="s">
        <v>2341</v>
      </c>
      <c r="B3183" s="133" t="s">
        <v>2679</v>
      </c>
      <c r="C3183" s="133" t="s">
        <v>156</v>
      </c>
      <c r="D3183" s="133" t="s">
        <v>3288</v>
      </c>
      <c r="E3183" s="138">
        <v>0.41799999999999998</v>
      </c>
      <c r="F3183" s="154" t="s">
        <v>135</v>
      </c>
      <c r="G3183" s="153">
        <v>1</v>
      </c>
      <c r="H3183" s="133" t="s">
        <v>39</v>
      </c>
      <c r="I3183" s="133"/>
      <c r="J3183" s="133" t="s">
        <v>2340</v>
      </c>
      <c r="K3183" s="133" t="s">
        <v>831</v>
      </c>
      <c r="L3183" s="167"/>
      <c r="M3183" s="48"/>
      <c r="N3183" s="123"/>
    </row>
    <row r="3184" spans="1:14" customFormat="1" x14ac:dyDescent="0.55000000000000004">
      <c r="A3184" s="132" t="s">
        <v>2341</v>
      </c>
      <c r="B3184" s="133" t="s">
        <v>2680</v>
      </c>
      <c r="C3184" s="133" t="s">
        <v>156</v>
      </c>
      <c r="D3184" s="133" t="s">
        <v>3288</v>
      </c>
      <c r="E3184" s="138">
        <v>0.123</v>
      </c>
      <c r="F3184" s="154" t="s">
        <v>135</v>
      </c>
      <c r="G3184" s="153">
        <v>1</v>
      </c>
      <c r="H3184" s="133" t="s">
        <v>39</v>
      </c>
      <c r="I3184" s="133"/>
      <c r="J3184" s="133" t="s">
        <v>2340</v>
      </c>
      <c r="K3184" s="133" t="s">
        <v>831</v>
      </c>
      <c r="L3184" s="167"/>
      <c r="M3184" s="48"/>
      <c r="N3184" s="123"/>
    </row>
    <row r="3185" spans="1:14" customFormat="1" x14ac:dyDescent="0.55000000000000004">
      <c r="A3185" s="132" t="s">
        <v>2341</v>
      </c>
      <c r="B3185" s="133" t="s">
        <v>2637</v>
      </c>
      <c r="C3185" s="133" t="s">
        <v>156</v>
      </c>
      <c r="D3185" s="133" t="s">
        <v>3288</v>
      </c>
      <c r="E3185" s="138">
        <v>0.311</v>
      </c>
      <c r="F3185" s="154" t="s">
        <v>135</v>
      </c>
      <c r="G3185" s="153">
        <v>1</v>
      </c>
      <c r="H3185" s="133" t="s">
        <v>39</v>
      </c>
      <c r="I3185" s="133"/>
      <c r="J3185" s="133" t="s">
        <v>2340</v>
      </c>
      <c r="K3185" s="133" t="s">
        <v>831</v>
      </c>
      <c r="L3185" s="167"/>
      <c r="M3185" s="48"/>
      <c r="N3185" s="123"/>
    </row>
    <row r="3186" spans="1:14" customFormat="1" x14ac:dyDescent="0.55000000000000004">
      <c r="A3186" s="132" t="s">
        <v>2341</v>
      </c>
      <c r="B3186" s="133" t="s">
        <v>1168</v>
      </c>
      <c r="C3186" s="133" t="s">
        <v>156</v>
      </c>
      <c r="D3186" s="133" t="s">
        <v>3288</v>
      </c>
      <c r="E3186" s="138">
        <v>6.6499999999999997E-3</v>
      </c>
      <c r="F3186" s="154" t="s">
        <v>135</v>
      </c>
      <c r="G3186" s="153">
        <v>1</v>
      </c>
      <c r="H3186" s="133" t="s">
        <v>39</v>
      </c>
      <c r="I3186" s="133"/>
      <c r="J3186" s="133" t="s">
        <v>2340</v>
      </c>
      <c r="K3186" s="133" t="s">
        <v>831</v>
      </c>
      <c r="L3186" s="167"/>
      <c r="M3186" s="48"/>
      <c r="N3186" s="123"/>
    </row>
    <row r="3187" spans="1:14" customFormat="1" x14ac:dyDescent="0.55000000000000004">
      <c r="A3187" t="s">
        <v>2613</v>
      </c>
      <c r="E3187" s="123"/>
      <c r="F3187" s="149"/>
      <c r="G3187" s="149"/>
      <c r="L3187" s="131"/>
      <c r="M3187" s="48"/>
      <c r="N3187" s="123"/>
    </row>
    <row r="3188" spans="1:14" customFormat="1" x14ac:dyDescent="0.55000000000000004">
      <c r="A3188" s="132" t="s">
        <v>2345</v>
      </c>
      <c r="B3188" s="133" t="s">
        <v>2681</v>
      </c>
      <c r="C3188" s="133" t="s">
        <v>121</v>
      </c>
      <c r="D3188" s="133" t="s">
        <v>2682</v>
      </c>
      <c r="E3188" s="138">
        <v>1</v>
      </c>
      <c r="F3188" s="153">
        <v>1</v>
      </c>
      <c r="G3188" s="153">
        <v>1</v>
      </c>
      <c r="H3188" s="133" t="s">
        <v>39</v>
      </c>
      <c r="I3188" s="133"/>
      <c r="J3188" s="133" t="s">
        <v>2344</v>
      </c>
      <c r="K3188" s="133" t="s">
        <v>831</v>
      </c>
      <c r="L3188" s="167"/>
      <c r="M3188" s="48"/>
      <c r="N3188" s="123"/>
    </row>
    <row r="3189" spans="1:14" customFormat="1" x14ac:dyDescent="0.55000000000000004">
      <c r="A3189" s="132" t="s">
        <v>2345</v>
      </c>
      <c r="B3189" s="133" t="s">
        <v>2683</v>
      </c>
      <c r="C3189" s="133" t="s">
        <v>348</v>
      </c>
      <c r="D3189" s="133" t="s">
        <v>3288</v>
      </c>
      <c r="E3189" s="138">
        <v>1</v>
      </c>
      <c r="F3189" s="153" t="s">
        <v>135</v>
      </c>
      <c r="G3189" s="153">
        <v>1</v>
      </c>
      <c r="H3189" s="133" t="s">
        <v>39</v>
      </c>
      <c r="I3189" s="133"/>
      <c r="J3189" s="133" t="s">
        <v>2344</v>
      </c>
      <c r="K3189" s="133" t="s">
        <v>831</v>
      </c>
      <c r="L3189" s="167"/>
      <c r="M3189" s="48"/>
      <c r="N3189" s="123"/>
    </row>
    <row r="3190" spans="1:14" customFormat="1" x14ac:dyDescent="0.55000000000000004">
      <c r="A3190" s="132" t="s">
        <v>2345</v>
      </c>
      <c r="B3190" s="133" t="s">
        <v>153</v>
      </c>
      <c r="C3190" s="133" t="s">
        <v>127</v>
      </c>
      <c r="D3190" s="133" t="s">
        <v>2994</v>
      </c>
      <c r="E3190" s="138">
        <v>200</v>
      </c>
      <c r="F3190" s="153" t="s">
        <v>130</v>
      </c>
      <c r="G3190" s="153">
        <v>1</v>
      </c>
      <c r="H3190" s="133" t="s">
        <v>39</v>
      </c>
      <c r="I3190" s="133"/>
      <c r="J3190" s="133" t="s">
        <v>2344</v>
      </c>
      <c r="K3190" s="133" t="s">
        <v>831</v>
      </c>
      <c r="L3190" s="167"/>
      <c r="M3190" s="48"/>
      <c r="N3190" s="123"/>
    </row>
    <row r="3191" spans="1:14" customFormat="1" x14ac:dyDescent="0.55000000000000004">
      <c r="A3191" s="132" t="s">
        <v>2345</v>
      </c>
      <c r="B3191" s="133" t="s">
        <v>2684</v>
      </c>
      <c r="C3191" s="133" t="s">
        <v>156</v>
      </c>
      <c r="D3191" s="133" t="s">
        <v>3288</v>
      </c>
      <c r="E3191" s="138">
        <v>153</v>
      </c>
      <c r="F3191" s="153" t="s">
        <v>122</v>
      </c>
      <c r="G3191" s="153">
        <v>1</v>
      </c>
      <c r="H3191" s="133" t="s">
        <v>39</v>
      </c>
      <c r="I3191" s="133"/>
      <c r="J3191" s="133" t="s">
        <v>2344</v>
      </c>
      <c r="K3191" s="133" t="s">
        <v>831</v>
      </c>
      <c r="L3191" s="167"/>
      <c r="M3191" s="48"/>
      <c r="N3191" s="123"/>
    </row>
    <row r="3192" spans="1:14" customFormat="1" x14ac:dyDescent="0.55000000000000004">
      <c r="A3192" s="132" t="s">
        <v>2345</v>
      </c>
      <c r="B3192" s="133" t="s">
        <v>2685</v>
      </c>
      <c r="C3192" s="133" t="s">
        <v>156</v>
      </c>
      <c r="D3192" s="133" t="s">
        <v>3288</v>
      </c>
      <c r="E3192" s="138">
        <v>473</v>
      </c>
      <c r="F3192" s="153" t="s">
        <v>122</v>
      </c>
      <c r="G3192" s="153">
        <v>1</v>
      </c>
      <c r="H3192" s="133" t="s">
        <v>39</v>
      </c>
      <c r="I3192" s="133"/>
      <c r="J3192" s="133" t="s">
        <v>2344</v>
      </c>
      <c r="K3192" s="133" t="s">
        <v>831</v>
      </c>
      <c r="L3192" s="167"/>
      <c r="M3192" s="48"/>
      <c r="N3192" s="123"/>
    </row>
    <row r="3193" spans="1:14" customFormat="1" x14ac:dyDescent="0.55000000000000004">
      <c r="A3193" s="132" t="s">
        <v>2345</v>
      </c>
      <c r="B3193" s="133" t="s">
        <v>2686</v>
      </c>
      <c r="C3193" s="133" t="s">
        <v>156</v>
      </c>
      <c r="D3193" s="133" t="s">
        <v>3288</v>
      </c>
      <c r="E3193" s="138">
        <v>158</v>
      </c>
      <c r="F3193" s="153" t="s">
        <v>122</v>
      </c>
      <c r="G3193" s="153">
        <v>1</v>
      </c>
      <c r="H3193" s="133" t="s">
        <v>39</v>
      </c>
      <c r="I3193" s="133"/>
      <c r="J3193" s="133" t="s">
        <v>2344</v>
      </c>
      <c r="K3193" s="133" t="s">
        <v>831</v>
      </c>
      <c r="L3193" s="167"/>
      <c r="M3193" s="48"/>
      <c r="N3193" s="123"/>
    </row>
    <row r="3194" spans="1:14" customFormat="1" x14ac:dyDescent="0.55000000000000004">
      <c r="A3194" s="132" t="s">
        <v>2345</v>
      </c>
      <c r="B3194" s="133" t="s">
        <v>2687</v>
      </c>
      <c r="C3194" s="133" t="s">
        <v>163</v>
      </c>
      <c r="D3194" s="133" t="s">
        <v>3288</v>
      </c>
      <c r="E3194" s="138">
        <v>17</v>
      </c>
      <c r="F3194" s="153" t="s">
        <v>122</v>
      </c>
      <c r="G3194" s="153">
        <v>1</v>
      </c>
      <c r="H3194" s="133" t="s">
        <v>39</v>
      </c>
      <c r="I3194" s="133"/>
      <c r="J3194" s="133" t="s">
        <v>2344</v>
      </c>
      <c r="K3194" s="133" t="s">
        <v>831</v>
      </c>
      <c r="L3194" s="167"/>
      <c r="M3194" s="48"/>
      <c r="N3194" s="123"/>
    </row>
    <row r="3195" spans="1:14" customFormat="1" x14ac:dyDescent="0.55000000000000004">
      <c r="A3195" s="132" t="s">
        <v>2345</v>
      </c>
      <c r="B3195" s="133" t="s">
        <v>2688</v>
      </c>
      <c r="C3195" s="133" t="s">
        <v>163</v>
      </c>
      <c r="D3195" s="133" t="s">
        <v>3288</v>
      </c>
      <c r="E3195" s="138">
        <v>70</v>
      </c>
      <c r="F3195" s="153" t="s">
        <v>122</v>
      </c>
      <c r="G3195" s="153">
        <v>1</v>
      </c>
      <c r="H3195" s="133" t="s">
        <v>39</v>
      </c>
      <c r="I3195" s="133"/>
      <c r="J3195" s="133" t="s">
        <v>2344</v>
      </c>
      <c r="K3195" s="133" t="s">
        <v>831</v>
      </c>
      <c r="L3195" s="167"/>
      <c r="M3195" s="48"/>
      <c r="N3195" s="123"/>
    </row>
    <row r="3196" spans="1:14" customFormat="1" x14ac:dyDescent="0.55000000000000004">
      <c r="A3196" s="132" t="s">
        <v>2345</v>
      </c>
      <c r="B3196" s="133" t="s">
        <v>2689</v>
      </c>
      <c r="C3196" s="133" t="s">
        <v>163</v>
      </c>
      <c r="D3196" s="133" t="s">
        <v>3288</v>
      </c>
      <c r="E3196" s="138">
        <v>130</v>
      </c>
      <c r="F3196" s="153" t="s">
        <v>122</v>
      </c>
      <c r="G3196" s="153">
        <v>1</v>
      </c>
      <c r="H3196" s="133" t="s">
        <v>39</v>
      </c>
      <c r="I3196" s="133"/>
      <c r="J3196" s="133" t="s">
        <v>2344</v>
      </c>
      <c r="K3196" s="133" t="s">
        <v>831</v>
      </c>
      <c r="L3196" s="167"/>
      <c r="M3196" s="48"/>
      <c r="N3196" s="123"/>
    </row>
    <row r="3197" spans="1:14" customFormat="1" x14ac:dyDescent="0.55000000000000004">
      <c r="A3197" s="132" t="s">
        <v>2349</v>
      </c>
      <c r="B3197" s="133" t="s">
        <v>2681</v>
      </c>
      <c r="C3197" s="133" t="s">
        <v>121</v>
      </c>
      <c r="D3197" s="133" t="s">
        <v>2682</v>
      </c>
      <c r="E3197" s="138">
        <v>1</v>
      </c>
      <c r="F3197" s="153">
        <v>1</v>
      </c>
      <c r="G3197" s="153">
        <v>1</v>
      </c>
      <c r="H3197" s="133" t="s">
        <v>39</v>
      </c>
      <c r="I3197" s="133"/>
      <c r="J3197" s="133" t="s">
        <v>2348</v>
      </c>
      <c r="K3197" s="133" t="s">
        <v>831</v>
      </c>
      <c r="L3197" s="167"/>
      <c r="M3197" s="48"/>
      <c r="N3197" s="123"/>
    </row>
    <row r="3198" spans="1:14" customFormat="1" x14ac:dyDescent="0.55000000000000004">
      <c r="A3198" s="132" t="s">
        <v>2349</v>
      </c>
      <c r="B3198" s="133" t="s">
        <v>2683</v>
      </c>
      <c r="C3198" s="133" t="s">
        <v>348</v>
      </c>
      <c r="D3198" s="133" t="s">
        <v>3288</v>
      </c>
      <c r="E3198" s="138">
        <v>1</v>
      </c>
      <c r="F3198" s="153" t="s">
        <v>135</v>
      </c>
      <c r="G3198" s="153">
        <v>1</v>
      </c>
      <c r="H3198" s="133" t="s">
        <v>39</v>
      </c>
      <c r="I3198" s="133"/>
      <c r="J3198" s="133" t="s">
        <v>2348</v>
      </c>
      <c r="K3198" s="133" t="s">
        <v>831</v>
      </c>
      <c r="L3198" s="167"/>
      <c r="M3198" s="48"/>
      <c r="N3198" s="123"/>
    </row>
    <row r="3199" spans="1:14" customFormat="1" x14ac:dyDescent="0.55000000000000004">
      <c r="A3199" s="132" t="s">
        <v>2349</v>
      </c>
      <c r="B3199" s="133" t="s">
        <v>153</v>
      </c>
      <c r="C3199" s="133" t="s">
        <v>127</v>
      </c>
      <c r="D3199" s="133" t="s">
        <v>2994</v>
      </c>
      <c r="E3199" s="138">
        <v>200</v>
      </c>
      <c r="F3199" s="153" t="s">
        <v>130</v>
      </c>
      <c r="G3199" s="153">
        <v>1</v>
      </c>
      <c r="H3199" s="133" t="s">
        <v>39</v>
      </c>
      <c r="I3199" s="133"/>
      <c r="J3199" s="133" t="s">
        <v>2348</v>
      </c>
      <c r="K3199" s="133" t="s">
        <v>831</v>
      </c>
      <c r="L3199" s="167"/>
      <c r="M3199" s="48"/>
      <c r="N3199" s="123"/>
    </row>
    <row r="3200" spans="1:14" customFormat="1" x14ac:dyDescent="0.55000000000000004">
      <c r="A3200" s="132" t="s">
        <v>2349</v>
      </c>
      <c r="B3200" s="133" t="s">
        <v>2684</v>
      </c>
      <c r="C3200" s="133" t="s">
        <v>156</v>
      </c>
      <c r="D3200" s="133" t="s">
        <v>3288</v>
      </c>
      <c r="E3200" s="138">
        <v>135</v>
      </c>
      <c r="F3200" s="153" t="s">
        <v>122</v>
      </c>
      <c r="G3200" s="153">
        <v>1</v>
      </c>
      <c r="H3200" s="133" t="s">
        <v>39</v>
      </c>
      <c r="I3200" s="133"/>
      <c r="J3200" s="133" t="s">
        <v>2348</v>
      </c>
      <c r="K3200" s="133" t="s">
        <v>831</v>
      </c>
      <c r="L3200" s="167"/>
      <c r="M3200" s="48"/>
      <c r="N3200" s="123"/>
    </row>
    <row r="3201" spans="1:14" customFormat="1" x14ac:dyDescent="0.55000000000000004">
      <c r="A3201" s="132" t="s">
        <v>2349</v>
      </c>
      <c r="B3201" s="133" t="s">
        <v>2685</v>
      </c>
      <c r="C3201" s="133" t="s">
        <v>156</v>
      </c>
      <c r="D3201" s="133" t="s">
        <v>3288</v>
      </c>
      <c r="E3201" s="138">
        <v>526</v>
      </c>
      <c r="F3201" s="153" t="s">
        <v>122</v>
      </c>
      <c r="G3201" s="153">
        <v>1</v>
      </c>
      <c r="H3201" s="133" t="s">
        <v>39</v>
      </c>
      <c r="I3201" s="133"/>
      <c r="J3201" s="133" t="s">
        <v>2348</v>
      </c>
      <c r="K3201" s="133" t="s">
        <v>831</v>
      </c>
      <c r="L3201" s="167"/>
      <c r="M3201" s="48"/>
      <c r="N3201" s="123"/>
    </row>
    <row r="3202" spans="1:14" customFormat="1" x14ac:dyDescent="0.55000000000000004">
      <c r="A3202" s="132" t="s">
        <v>2349</v>
      </c>
      <c r="B3202" s="133" t="s">
        <v>2686</v>
      </c>
      <c r="C3202" s="133" t="s">
        <v>156</v>
      </c>
      <c r="D3202" s="133" t="s">
        <v>3288</v>
      </c>
      <c r="E3202" s="138">
        <v>176</v>
      </c>
      <c r="F3202" s="153" t="s">
        <v>122</v>
      </c>
      <c r="G3202" s="153">
        <v>1</v>
      </c>
      <c r="H3202" s="133" t="s">
        <v>39</v>
      </c>
      <c r="I3202" s="133"/>
      <c r="J3202" s="133" t="s">
        <v>2348</v>
      </c>
      <c r="K3202" s="133" t="s">
        <v>831</v>
      </c>
      <c r="L3202" s="167"/>
      <c r="M3202" s="48"/>
      <c r="N3202" s="123"/>
    </row>
    <row r="3203" spans="1:14" customFormat="1" x14ac:dyDescent="0.55000000000000004">
      <c r="A3203" s="132" t="s">
        <v>2349</v>
      </c>
      <c r="B3203" s="133" t="s">
        <v>2687</v>
      </c>
      <c r="C3203" s="133" t="s">
        <v>163</v>
      </c>
      <c r="D3203" s="133" t="s">
        <v>3288</v>
      </c>
      <c r="E3203" s="138">
        <v>15</v>
      </c>
      <c r="F3203" s="153" t="s">
        <v>122</v>
      </c>
      <c r="G3203" s="153">
        <v>1</v>
      </c>
      <c r="H3203" s="133" t="s">
        <v>39</v>
      </c>
      <c r="I3203" s="133"/>
      <c r="J3203" s="133" t="s">
        <v>2348</v>
      </c>
      <c r="K3203" s="133" t="s">
        <v>831</v>
      </c>
      <c r="L3203" s="167"/>
      <c r="M3203" s="48"/>
      <c r="N3203" s="123"/>
    </row>
    <row r="3204" spans="1:14" customFormat="1" x14ac:dyDescent="0.55000000000000004">
      <c r="A3204" s="132" t="s">
        <v>2349</v>
      </c>
      <c r="B3204" s="133" t="s">
        <v>2688</v>
      </c>
      <c r="C3204" s="133" t="s">
        <v>163</v>
      </c>
      <c r="D3204" s="133" t="s">
        <v>3288</v>
      </c>
      <c r="E3204" s="138">
        <v>78</v>
      </c>
      <c r="F3204" s="153" t="s">
        <v>122</v>
      </c>
      <c r="G3204" s="153">
        <v>1</v>
      </c>
      <c r="H3204" s="133" t="s">
        <v>39</v>
      </c>
      <c r="I3204" s="133"/>
      <c r="J3204" s="133" t="s">
        <v>2348</v>
      </c>
      <c r="K3204" s="133" t="s">
        <v>831</v>
      </c>
      <c r="L3204" s="167"/>
      <c r="M3204" s="48"/>
      <c r="N3204" s="123"/>
    </row>
    <row r="3205" spans="1:14" customFormat="1" x14ac:dyDescent="0.55000000000000004">
      <c r="A3205" s="132" t="s">
        <v>2349</v>
      </c>
      <c r="B3205" s="133" t="s">
        <v>2689</v>
      </c>
      <c r="C3205" s="133" t="s">
        <v>163</v>
      </c>
      <c r="D3205" s="133" t="s">
        <v>3288</v>
      </c>
      <c r="E3205" s="138">
        <v>70</v>
      </c>
      <c r="F3205" s="153" t="s">
        <v>122</v>
      </c>
      <c r="G3205" s="153">
        <v>1</v>
      </c>
      <c r="H3205" s="133" t="s">
        <v>39</v>
      </c>
      <c r="I3205" s="133"/>
      <c r="J3205" s="133" t="s">
        <v>2348</v>
      </c>
      <c r="K3205" s="133" t="s">
        <v>831</v>
      </c>
      <c r="L3205" s="167"/>
      <c r="M3205" s="48"/>
      <c r="N3205" s="123"/>
    </row>
    <row r="3206" spans="1:14" customFormat="1" x14ac:dyDescent="0.55000000000000004">
      <c r="A3206" s="132" t="s">
        <v>2351</v>
      </c>
      <c r="B3206" s="133" t="s">
        <v>2690</v>
      </c>
      <c r="C3206" s="133" t="s">
        <v>121</v>
      </c>
      <c r="D3206" s="133" t="s">
        <v>2682</v>
      </c>
      <c r="E3206" s="138">
        <v>1</v>
      </c>
      <c r="F3206" s="153">
        <v>1</v>
      </c>
      <c r="G3206" s="153">
        <v>1</v>
      </c>
      <c r="H3206" s="133" t="s">
        <v>39</v>
      </c>
      <c r="I3206" s="133"/>
      <c r="J3206" s="133" t="s">
        <v>2350</v>
      </c>
      <c r="K3206" s="133" t="s">
        <v>831</v>
      </c>
      <c r="L3206" s="167"/>
      <c r="M3206" s="48"/>
      <c r="N3206" s="123"/>
    </row>
    <row r="3207" spans="1:14" customFormat="1" x14ac:dyDescent="0.55000000000000004">
      <c r="A3207" s="132" t="s">
        <v>2351</v>
      </c>
      <c r="B3207" s="133" t="s">
        <v>2691</v>
      </c>
      <c r="C3207" s="133" t="s">
        <v>156</v>
      </c>
      <c r="D3207" s="133" t="s">
        <v>3288</v>
      </c>
      <c r="E3207" s="138">
        <v>1</v>
      </c>
      <c r="F3207" s="153" t="s">
        <v>135</v>
      </c>
      <c r="G3207" s="153">
        <v>1</v>
      </c>
      <c r="H3207" s="133" t="s">
        <v>39</v>
      </c>
      <c r="I3207" s="133" t="s">
        <v>2692</v>
      </c>
      <c r="J3207" s="133" t="s">
        <v>2350</v>
      </c>
      <c r="K3207" s="133" t="s">
        <v>831</v>
      </c>
      <c r="L3207" s="167"/>
      <c r="M3207" s="48"/>
      <c r="N3207" s="123"/>
    </row>
    <row r="3208" spans="1:14" customFormat="1" x14ac:dyDescent="0.55000000000000004">
      <c r="A3208" s="132" t="s">
        <v>2351</v>
      </c>
      <c r="B3208" s="133" t="s">
        <v>2693</v>
      </c>
      <c r="C3208" s="133" t="s">
        <v>348</v>
      </c>
      <c r="D3208" s="133" t="s">
        <v>3288</v>
      </c>
      <c r="E3208" s="138">
        <v>2</v>
      </c>
      <c r="F3208" s="153" t="s">
        <v>135</v>
      </c>
      <c r="G3208" s="153">
        <v>1</v>
      </c>
      <c r="H3208" s="133" t="s">
        <v>39</v>
      </c>
      <c r="I3208" s="133"/>
      <c r="J3208" s="133" t="s">
        <v>2350</v>
      </c>
      <c r="K3208" s="133" t="s">
        <v>831</v>
      </c>
      <c r="L3208" s="167"/>
      <c r="M3208" s="48"/>
      <c r="N3208" s="123"/>
    </row>
    <row r="3209" spans="1:14" customFormat="1" x14ac:dyDescent="0.55000000000000004">
      <c r="A3209" s="132" t="s">
        <v>2351</v>
      </c>
      <c r="B3209" s="133" t="s">
        <v>154</v>
      </c>
      <c r="C3209" s="133" t="s">
        <v>132</v>
      </c>
      <c r="D3209" s="133" t="s">
        <v>3289</v>
      </c>
      <c r="E3209" s="138">
        <v>1.5</v>
      </c>
      <c r="F3209" s="153" t="s">
        <v>133</v>
      </c>
      <c r="G3209" s="153">
        <v>1</v>
      </c>
      <c r="H3209" s="133" t="s">
        <v>39</v>
      </c>
      <c r="I3209" s="133"/>
      <c r="J3209" s="133" t="s">
        <v>2350</v>
      </c>
      <c r="K3209" s="133" t="s">
        <v>831</v>
      </c>
      <c r="L3209" s="167"/>
      <c r="M3209" s="48"/>
      <c r="N3209" s="123"/>
    </row>
    <row r="3210" spans="1:14" customFormat="1" x14ac:dyDescent="0.55000000000000004">
      <c r="A3210" s="132" t="s">
        <v>2351</v>
      </c>
      <c r="B3210" s="133" t="s">
        <v>508</v>
      </c>
      <c r="C3210" s="133" t="s">
        <v>127</v>
      </c>
      <c r="D3210" s="133" t="s">
        <v>3288</v>
      </c>
      <c r="E3210" s="138">
        <v>1.3</v>
      </c>
      <c r="F3210" s="153" t="s">
        <v>122</v>
      </c>
      <c r="G3210" s="153">
        <v>1</v>
      </c>
      <c r="H3210" s="133" t="s">
        <v>39</v>
      </c>
      <c r="I3210" s="133"/>
      <c r="J3210" s="133" t="s">
        <v>2350</v>
      </c>
      <c r="K3210" s="133" t="s">
        <v>831</v>
      </c>
      <c r="L3210" s="167"/>
      <c r="M3210" s="48"/>
      <c r="N3210" s="123"/>
    </row>
    <row r="3211" spans="1:14" customFormat="1" x14ac:dyDescent="0.55000000000000004">
      <c r="A3211" s="132" t="s">
        <v>2351</v>
      </c>
      <c r="B3211" s="133" t="s">
        <v>2694</v>
      </c>
      <c r="C3211" s="133" t="s">
        <v>127</v>
      </c>
      <c r="D3211" s="133" t="s">
        <v>2994</v>
      </c>
      <c r="E3211" s="138">
        <v>4.4000000000000004</v>
      </c>
      <c r="F3211" s="153" t="s">
        <v>138</v>
      </c>
      <c r="G3211" s="153">
        <v>1</v>
      </c>
      <c r="H3211" s="133" t="s">
        <v>39</v>
      </c>
      <c r="I3211" s="133"/>
      <c r="J3211" s="133" t="s">
        <v>2350</v>
      </c>
      <c r="K3211" s="133" t="s">
        <v>831</v>
      </c>
      <c r="L3211" s="167"/>
      <c r="M3211" s="48"/>
      <c r="N3211" s="123"/>
    </row>
    <row r="3212" spans="1:14" customFormat="1" x14ac:dyDescent="0.55000000000000004">
      <c r="A3212" s="132" t="s">
        <v>2351</v>
      </c>
      <c r="B3212" s="133" t="s">
        <v>153</v>
      </c>
      <c r="C3212" s="133" t="s">
        <v>127</v>
      </c>
      <c r="D3212" s="133" t="s">
        <v>2994</v>
      </c>
      <c r="E3212" s="138">
        <v>331</v>
      </c>
      <c r="F3212" s="153" t="s">
        <v>130</v>
      </c>
      <c r="G3212" s="153">
        <v>1</v>
      </c>
      <c r="H3212" s="133" t="s">
        <v>39</v>
      </c>
      <c r="I3212" s="133"/>
      <c r="J3212" s="133" t="s">
        <v>2350</v>
      </c>
      <c r="K3212" s="133" t="s">
        <v>831</v>
      </c>
      <c r="L3212" s="167"/>
      <c r="M3212" s="48"/>
      <c r="N3212" s="123"/>
    </row>
    <row r="3213" spans="1:14" customFormat="1" x14ac:dyDescent="0.55000000000000004">
      <c r="A3213" s="132" t="s">
        <v>2351</v>
      </c>
      <c r="B3213" s="133" t="s">
        <v>2695</v>
      </c>
      <c r="C3213" s="133" t="s">
        <v>163</v>
      </c>
      <c r="D3213" s="133" t="s">
        <v>3288</v>
      </c>
      <c r="E3213" s="138">
        <v>1</v>
      </c>
      <c r="F3213" s="153" t="s">
        <v>135</v>
      </c>
      <c r="G3213" s="153">
        <v>1</v>
      </c>
      <c r="H3213" s="133" t="s">
        <v>39</v>
      </c>
      <c r="I3213" s="133"/>
      <c r="J3213" s="133" t="s">
        <v>2350</v>
      </c>
      <c r="K3213" s="133" t="s">
        <v>831</v>
      </c>
      <c r="L3213" s="167"/>
      <c r="M3213" s="48"/>
      <c r="N3213" s="123"/>
    </row>
    <row r="3214" spans="1:14" customFormat="1" x14ac:dyDescent="0.55000000000000004">
      <c r="A3214" s="132" t="s">
        <v>2351</v>
      </c>
      <c r="B3214" s="133" t="s">
        <v>2696</v>
      </c>
      <c r="C3214" s="133" t="s">
        <v>163</v>
      </c>
      <c r="D3214" s="133" t="s">
        <v>3289</v>
      </c>
      <c r="E3214" s="138">
        <v>1.5</v>
      </c>
      <c r="F3214" s="153" t="s">
        <v>133</v>
      </c>
      <c r="G3214" s="153">
        <v>1</v>
      </c>
      <c r="H3214" s="133" t="s">
        <v>39</v>
      </c>
      <c r="I3214" s="133"/>
      <c r="J3214" s="133" t="s">
        <v>2350</v>
      </c>
      <c r="K3214" s="133" t="s">
        <v>831</v>
      </c>
      <c r="L3214" s="167"/>
      <c r="M3214" s="48"/>
      <c r="N3214" s="123"/>
    </row>
    <row r="3215" spans="1:14" customFormat="1" x14ac:dyDescent="0.55000000000000004">
      <c r="A3215" s="132" t="s">
        <v>2356</v>
      </c>
      <c r="B3215" s="133" t="s">
        <v>2697</v>
      </c>
      <c r="C3215" s="133" t="s">
        <v>121</v>
      </c>
      <c r="D3215" s="133" t="s">
        <v>2682</v>
      </c>
      <c r="E3215" s="138">
        <v>1</v>
      </c>
      <c r="F3215" s="153">
        <v>1</v>
      </c>
      <c r="G3215" s="153">
        <v>1</v>
      </c>
      <c r="H3215" s="137"/>
      <c r="I3215" s="137"/>
      <c r="J3215" s="133" t="s">
        <v>2355</v>
      </c>
      <c r="K3215" s="133" t="s">
        <v>831</v>
      </c>
      <c r="L3215" s="167"/>
      <c r="M3215" s="48"/>
      <c r="N3215" s="123"/>
    </row>
    <row r="3216" spans="1:14" customFormat="1" x14ac:dyDescent="0.55000000000000004">
      <c r="A3216" s="132" t="s">
        <v>2356</v>
      </c>
      <c r="B3216" s="133" t="s">
        <v>2698</v>
      </c>
      <c r="C3216" s="133" t="s">
        <v>348</v>
      </c>
      <c r="D3216" s="133" t="s">
        <v>3288</v>
      </c>
      <c r="E3216" s="138">
        <v>1</v>
      </c>
      <c r="F3216" s="153" t="s">
        <v>135</v>
      </c>
      <c r="G3216" s="153">
        <v>1</v>
      </c>
      <c r="H3216" s="137"/>
      <c r="I3216" s="137"/>
      <c r="J3216" s="133" t="s">
        <v>2355</v>
      </c>
      <c r="K3216" s="133" t="s">
        <v>831</v>
      </c>
      <c r="L3216" s="167"/>
      <c r="M3216" s="48"/>
      <c r="N3216" s="123"/>
    </row>
    <row r="3217" spans="1:14" customFormat="1" x14ac:dyDescent="0.55000000000000004">
      <c r="A3217" s="132" t="s">
        <v>2356</v>
      </c>
      <c r="B3217" s="133" t="s">
        <v>153</v>
      </c>
      <c r="C3217" s="133" t="s">
        <v>127</v>
      </c>
      <c r="D3217" s="133" t="s">
        <v>2994</v>
      </c>
      <c r="E3217" s="138">
        <v>660</v>
      </c>
      <c r="F3217" s="153" t="s">
        <v>130</v>
      </c>
      <c r="G3217" s="153">
        <v>1</v>
      </c>
      <c r="H3217" s="137"/>
      <c r="I3217" s="137"/>
      <c r="J3217" s="133" t="s">
        <v>2355</v>
      </c>
      <c r="K3217" s="133" t="s">
        <v>831</v>
      </c>
      <c r="L3217" s="167"/>
      <c r="M3217" s="48"/>
      <c r="N3217" s="123"/>
    </row>
    <row r="3218" spans="1:14" customFormat="1" x14ac:dyDescent="0.55000000000000004">
      <c r="A3218" s="132" t="s">
        <v>2356</v>
      </c>
      <c r="B3218" s="133" t="s">
        <v>2699</v>
      </c>
      <c r="C3218" s="133" t="s">
        <v>156</v>
      </c>
      <c r="D3218" s="133" t="s">
        <v>3288</v>
      </c>
      <c r="E3218" s="138">
        <v>0.26700000000000002</v>
      </c>
      <c r="F3218" s="153" t="s">
        <v>135</v>
      </c>
      <c r="G3218" s="153">
        <v>1</v>
      </c>
      <c r="H3218" s="137"/>
      <c r="I3218" s="137"/>
      <c r="J3218" s="133" t="s">
        <v>2355</v>
      </c>
      <c r="K3218" s="133" t="s">
        <v>831</v>
      </c>
      <c r="L3218" s="167"/>
      <c r="M3218" s="48"/>
      <c r="N3218" s="123"/>
    </row>
    <row r="3219" spans="1:14" customFormat="1" x14ac:dyDescent="0.55000000000000004">
      <c r="A3219" s="132" t="s">
        <v>2356</v>
      </c>
      <c r="B3219" s="133" t="s">
        <v>2700</v>
      </c>
      <c r="C3219" s="133" t="s">
        <v>156</v>
      </c>
      <c r="D3219" s="133" t="s">
        <v>3288</v>
      </c>
      <c r="E3219" s="138">
        <v>3.2000000000000001E-2</v>
      </c>
      <c r="F3219" s="153" t="s">
        <v>135</v>
      </c>
      <c r="G3219" s="153">
        <v>1</v>
      </c>
      <c r="H3219" s="137"/>
      <c r="I3219" s="137"/>
      <c r="J3219" s="133" t="s">
        <v>2355</v>
      </c>
      <c r="K3219" s="133" t="s">
        <v>831</v>
      </c>
      <c r="L3219" s="167"/>
      <c r="M3219" s="48"/>
      <c r="N3219" s="123"/>
    </row>
    <row r="3220" spans="1:14" customFormat="1" x14ac:dyDescent="0.55000000000000004">
      <c r="A3220" s="132" t="s">
        <v>2356</v>
      </c>
      <c r="B3220" s="133" t="s">
        <v>2701</v>
      </c>
      <c r="C3220" s="133" t="s">
        <v>156</v>
      </c>
      <c r="D3220" s="133" t="s">
        <v>3288</v>
      </c>
      <c r="E3220" s="138">
        <v>1.0999999999999999E-2</v>
      </c>
      <c r="F3220" s="153" t="s">
        <v>135</v>
      </c>
      <c r="G3220" s="153">
        <v>1</v>
      </c>
      <c r="H3220" s="137"/>
      <c r="I3220" s="137"/>
      <c r="J3220" s="133" t="s">
        <v>2355</v>
      </c>
      <c r="K3220" s="133" t="s">
        <v>831</v>
      </c>
      <c r="L3220" s="167"/>
      <c r="M3220" s="48"/>
      <c r="N3220" s="123"/>
    </row>
    <row r="3221" spans="1:14" customFormat="1" x14ac:dyDescent="0.55000000000000004">
      <c r="A3221" s="132" t="s">
        <v>2356</v>
      </c>
      <c r="B3221" s="133" t="s">
        <v>2702</v>
      </c>
      <c r="C3221" s="133" t="s">
        <v>156</v>
      </c>
      <c r="D3221" s="133" t="s">
        <v>3288</v>
      </c>
      <c r="E3221" s="138">
        <v>5.1999999999999995E-4</v>
      </c>
      <c r="F3221" s="153" t="s">
        <v>135</v>
      </c>
      <c r="G3221" s="153">
        <v>1</v>
      </c>
      <c r="H3221" s="137"/>
      <c r="I3221" s="137"/>
      <c r="J3221" s="133" t="s">
        <v>2355</v>
      </c>
      <c r="K3221" s="133" t="s">
        <v>831</v>
      </c>
      <c r="L3221" s="167"/>
      <c r="M3221" s="48"/>
      <c r="N3221" s="123"/>
    </row>
    <row r="3222" spans="1:14" customFormat="1" x14ac:dyDescent="0.55000000000000004">
      <c r="A3222" s="132" t="s">
        <v>2356</v>
      </c>
      <c r="B3222" s="133" t="s">
        <v>2703</v>
      </c>
      <c r="C3222" s="133" t="s">
        <v>163</v>
      </c>
      <c r="D3222" s="133" t="s">
        <v>3288</v>
      </c>
      <c r="E3222" s="138">
        <v>0.13400000000000001</v>
      </c>
      <c r="F3222" s="153" t="s">
        <v>135</v>
      </c>
      <c r="G3222" s="153">
        <v>1</v>
      </c>
      <c r="H3222" s="137"/>
      <c r="I3222" s="137"/>
      <c r="J3222" s="133" t="s">
        <v>2355</v>
      </c>
      <c r="K3222" s="133" t="s">
        <v>831</v>
      </c>
      <c r="L3222" s="167"/>
      <c r="M3222" s="48"/>
      <c r="N3222" s="123"/>
    </row>
    <row r="3223" spans="1:14" customFormat="1" x14ac:dyDescent="0.55000000000000004">
      <c r="A3223" s="132" t="s">
        <v>2356</v>
      </c>
      <c r="B3223" s="133" t="s">
        <v>2704</v>
      </c>
      <c r="C3223" s="133" t="s">
        <v>163</v>
      </c>
      <c r="D3223" s="133" t="s">
        <v>3288</v>
      </c>
      <c r="E3223" s="138">
        <v>0.55547999999999997</v>
      </c>
      <c r="F3223" s="153" t="s">
        <v>135</v>
      </c>
      <c r="G3223" s="153">
        <v>1</v>
      </c>
      <c r="H3223" s="137"/>
      <c r="I3223" s="137"/>
      <c r="J3223" s="133" t="s">
        <v>2355</v>
      </c>
      <c r="K3223" s="133" t="s">
        <v>831</v>
      </c>
      <c r="L3223" s="167"/>
      <c r="M3223" s="48"/>
      <c r="N3223" s="123"/>
    </row>
    <row r="3224" spans="1:14" customFormat="1" x14ac:dyDescent="0.55000000000000004">
      <c r="A3224" s="132" t="s">
        <v>2359</v>
      </c>
      <c r="B3224" s="133" t="s">
        <v>2705</v>
      </c>
      <c r="C3224" s="133" t="s">
        <v>121</v>
      </c>
      <c r="D3224" s="133" t="s">
        <v>2682</v>
      </c>
      <c r="E3224" s="138">
        <v>1</v>
      </c>
      <c r="F3224" s="153">
        <v>1</v>
      </c>
      <c r="G3224" s="153">
        <v>1</v>
      </c>
      <c r="H3224" s="137"/>
      <c r="I3224" s="137"/>
      <c r="J3224" s="133" t="s">
        <v>2358</v>
      </c>
      <c r="K3224" s="133" t="s">
        <v>831</v>
      </c>
      <c r="L3224" s="167"/>
      <c r="M3224" s="48"/>
      <c r="N3224" s="123"/>
    </row>
    <row r="3225" spans="1:14" customFormat="1" x14ac:dyDescent="0.55000000000000004">
      <c r="A3225" s="132" t="s">
        <v>2359</v>
      </c>
      <c r="B3225" s="133" t="s">
        <v>2706</v>
      </c>
      <c r="C3225" s="133" t="s">
        <v>348</v>
      </c>
      <c r="D3225" s="133" t="s">
        <v>3288</v>
      </c>
      <c r="E3225" s="138">
        <v>1</v>
      </c>
      <c r="F3225" s="153" t="s">
        <v>135</v>
      </c>
      <c r="G3225" s="153">
        <v>1</v>
      </c>
      <c r="H3225" s="137"/>
      <c r="I3225" s="137"/>
      <c r="J3225" s="133" t="s">
        <v>2358</v>
      </c>
      <c r="K3225" s="133" t="s">
        <v>831</v>
      </c>
      <c r="L3225" s="167"/>
      <c r="M3225" s="48"/>
      <c r="N3225" s="123"/>
    </row>
    <row r="3226" spans="1:14" customFormat="1" x14ac:dyDescent="0.55000000000000004">
      <c r="A3226" s="132" t="s">
        <v>2359</v>
      </c>
      <c r="B3226" s="133" t="s">
        <v>153</v>
      </c>
      <c r="C3226" s="133" t="s">
        <v>127</v>
      </c>
      <c r="D3226" s="133" t="s">
        <v>2994</v>
      </c>
      <c r="E3226" s="138">
        <v>660</v>
      </c>
      <c r="F3226" s="153" t="s">
        <v>130</v>
      </c>
      <c r="G3226" s="153">
        <v>1</v>
      </c>
      <c r="H3226" s="137"/>
      <c r="I3226" s="137"/>
      <c r="J3226" s="133" t="s">
        <v>2358</v>
      </c>
      <c r="K3226" s="133" t="s">
        <v>831</v>
      </c>
      <c r="L3226" s="167"/>
      <c r="M3226" s="48"/>
      <c r="N3226" s="123"/>
    </row>
    <row r="3227" spans="1:14" customFormat="1" x14ac:dyDescent="0.55000000000000004">
      <c r="A3227" s="132" t="s">
        <v>2359</v>
      </c>
      <c r="B3227" s="133" t="s">
        <v>2699</v>
      </c>
      <c r="C3227" s="133" t="s">
        <v>156</v>
      </c>
      <c r="D3227" s="133" t="s">
        <v>3288</v>
      </c>
      <c r="E3227" s="138">
        <v>0.19942399999999999</v>
      </c>
      <c r="F3227" s="153" t="s">
        <v>135</v>
      </c>
      <c r="G3227" s="153">
        <v>1</v>
      </c>
      <c r="H3227" s="137"/>
      <c r="I3227" s="137"/>
      <c r="J3227" s="133" t="s">
        <v>2358</v>
      </c>
      <c r="K3227" s="133" t="s">
        <v>831</v>
      </c>
      <c r="L3227" s="167"/>
      <c r="M3227" s="48"/>
      <c r="N3227" s="123"/>
    </row>
    <row r="3228" spans="1:14" customFormat="1" x14ac:dyDescent="0.55000000000000004">
      <c r="A3228" s="132" t="s">
        <v>2359</v>
      </c>
      <c r="B3228" s="133" t="s">
        <v>2700</v>
      </c>
      <c r="C3228" s="133" t="s">
        <v>156</v>
      </c>
      <c r="D3228" s="133" t="s">
        <v>3288</v>
      </c>
      <c r="E3228" s="138">
        <v>6.7993600000000001E-2</v>
      </c>
      <c r="F3228" s="153" t="s">
        <v>135</v>
      </c>
      <c r="G3228" s="153">
        <v>1</v>
      </c>
      <c r="H3228" s="137"/>
      <c r="I3228" s="137"/>
      <c r="J3228" s="133" t="s">
        <v>2358</v>
      </c>
      <c r="K3228" s="133" t="s">
        <v>831</v>
      </c>
      <c r="L3228" s="167"/>
      <c r="M3228" s="48"/>
      <c r="N3228" s="123"/>
    </row>
    <row r="3229" spans="1:14" customFormat="1" x14ac:dyDescent="0.55000000000000004">
      <c r="A3229" s="132" t="s">
        <v>2359</v>
      </c>
      <c r="B3229" s="133" t="s">
        <v>2701</v>
      </c>
      <c r="C3229" s="133" t="s">
        <v>156</v>
      </c>
      <c r="D3229" s="133" t="s">
        <v>3288</v>
      </c>
      <c r="E3229" s="138">
        <v>3.2256E-2</v>
      </c>
      <c r="F3229" s="153" t="s">
        <v>135</v>
      </c>
      <c r="G3229" s="153">
        <v>1</v>
      </c>
      <c r="H3229" s="137"/>
      <c r="I3229" s="137"/>
      <c r="J3229" s="133" t="s">
        <v>2358</v>
      </c>
      <c r="K3229" s="133" t="s">
        <v>831</v>
      </c>
      <c r="L3229" s="167"/>
      <c r="M3229" s="48"/>
      <c r="N3229" s="123"/>
    </row>
    <row r="3230" spans="1:14" customFormat="1" x14ac:dyDescent="0.55000000000000004">
      <c r="A3230" s="132" t="s">
        <v>2359</v>
      </c>
      <c r="B3230" s="133" t="s">
        <v>2707</v>
      </c>
      <c r="C3230" s="133" t="s">
        <v>156</v>
      </c>
      <c r="D3230" s="133" t="s">
        <v>3288</v>
      </c>
      <c r="E3230" s="138">
        <v>5.1200000000000004E-3</v>
      </c>
      <c r="F3230" s="153" t="s">
        <v>135</v>
      </c>
      <c r="G3230" s="153">
        <v>1</v>
      </c>
      <c r="H3230" s="137"/>
      <c r="I3230" s="137"/>
      <c r="J3230" s="133" t="s">
        <v>2358</v>
      </c>
      <c r="K3230" s="133" t="s">
        <v>831</v>
      </c>
      <c r="L3230" s="167"/>
      <c r="M3230" s="48"/>
      <c r="N3230" s="123"/>
    </row>
    <row r="3231" spans="1:14" customFormat="1" x14ac:dyDescent="0.55000000000000004">
      <c r="A3231" s="132" t="s">
        <v>2359</v>
      </c>
      <c r="B3231" s="133" t="s">
        <v>2703</v>
      </c>
      <c r="C3231" s="133" t="s">
        <v>163</v>
      </c>
      <c r="D3231" s="133" t="s">
        <v>3288</v>
      </c>
      <c r="E3231" s="138">
        <v>3.5840000000000004E-2</v>
      </c>
      <c r="F3231" s="153" t="s">
        <v>135</v>
      </c>
      <c r="G3231" s="153">
        <v>1</v>
      </c>
      <c r="H3231" s="137"/>
      <c r="I3231" s="137"/>
      <c r="J3231" s="133" t="s">
        <v>2358</v>
      </c>
      <c r="K3231" s="133" t="s">
        <v>831</v>
      </c>
      <c r="L3231" s="167"/>
      <c r="M3231" s="48"/>
      <c r="N3231" s="123"/>
    </row>
    <row r="3232" spans="1:14" customFormat="1" x14ac:dyDescent="0.55000000000000004">
      <c r="A3232" s="132" t="s">
        <v>2359</v>
      </c>
      <c r="B3232" s="133" t="s">
        <v>2704</v>
      </c>
      <c r="C3232" s="133" t="s">
        <v>163</v>
      </c>
      <c r="D3232" s="133" t="s">
        <v>3288</v>
      </c>
      <c r="E3232" s="138">
        <v>0.65936640000000002</v>
      </c>
      <c r="F3232" s="153" t="s">
        <v>135</v>
      </c>
      <c r="G3232" s="153">
        <v>1</v>
      </c>
      <c r="H3232" s="137"/>
      <c r="I3232" s="137"/>
      <c r="J3232" s="133" t="s">
        <v>2358</v>
      </c>
      <c r="K3232" s="133" t="s">
        <v>831</v>
      </c>
      <c r="L3232" s="167"/>
      <c r="M3232" s="48"/>
      <c r="N3232" s="123"/>
    </row>
    <row r="3233" spans="1:14" customFormat="1" x14ac:dyDescent="0.55000000000000004">
      <c r="A3233" s="132" t="s">
        <v>2362</v>
      </c>
      <c r="B3233" s="133" t="s">
        <v>2708</v>
      </c>
      <c r="C3233" s="133" t="s">
        <v>121</v>
      </c>
      <c r="D3233" s="133" t="s">
        <v>2682</v>
      </c>
      <c r="E3233" s="138">
        <v>1</v>
      </c>
      <c r="F3233" s="153">
        <v>1</v>
      </c>
      <c r="G3233" s="153">
        <v>1</v>
      </c>
      <c r="H3233" s="133"/>
      <c r="I3233" s="133"/>
      <c r="J3233" s="133" t="s">
        <v>2361</v>
      </c>
      <c r="K3233" s="133" t="s">
        <v>831</v>
      </c>
      <c r="L3233" s="167"/>
      <c r="M3233" s="48"/>
      <c r="N3233" s="123"/>
    </row>
    <row r="3234" spans="1:14" customFormat="1" x14ac:dyDescent="0.55000000000000004">
      <c r="A3234" s="132" t="s">
        <v>2362</v>
      </c>
      <c r="B3234" s="133" t="s">
        <v>2709</v>
      </c>
      <c r="C3234" s="133" t="s">
        <v>348</v>
      </c>
      <c r="D3234" s="133" t="s">
        <v>3288</v>
      </c>
      <c r="E3234" s="138">
        <v>1</v>
      </c>
      <c r="F3234" s="153" t="s">
        <v>135</v>
      </c>
      <c r="G3234" s="153">
        <v>1</v>
      </c>
      <c r="H3234" s="133"/>
      <c r="I3234" s="133"/>
      <c r="J3234" s="133" t="s">
        <v>2361</v>
      </c>
      <c r="K3234" s="133" t="s">
        <v>831</v>
      </c>
      <c r="L3234" s="167"/>
      <c r="M3234" s="48"/>
      <c r="N3234" s="123"/>
    </row>
    <row r="3235" spans="1:14" customFormat="1" x14ac:dyDescent="0.55000000000000004">
      <c r="A3235" s="132" t="s">
        <v>2362</v>
      </c>
      <c r="B3235" s="133" t="s">
        <v>2642</v>
      </c>
      <c r="C3235" s="133" t="s">
        <v>156</v>
      </c>
      <c r="D3235" s="133" t="s">
        <v>3288</v>
      </c>
      <c r="E3235" s="138">
        <v>0.46</v>
      </c>
      <c r="F3235" s="153" t="s">
        <v>135</v>
      </c>
      <c r="G3235" s="153">
        <v>1</v>
      </c>
      <c r="H3235" s="133"/>
      <c r="I3235" s="133"/>
      <c r="J3235" s="133" t="s">
        <v>2361</v>
      </c>
      <c r="K3235" s="133" t="s">
        <v>831</v>
      </c>
      <c r="L3235" s="167"/>
      <c r="M3235" s="48"/>
      <c r="N3235" s="123"/>
    </row>
    <row r="3236" spans="1:14" customFormat="1" x14ac:dyDescent="0.55000000000000004">
      <c r="A3236" s="132" t="s">
        <v>2362</v>
      </c>
      <c r="B3236" s="133" t="s">
        <v>2710</v>
      </c>
      <c r="C3236" s="133" t="s">
        <v>156</v>
      </c>
      <c r="D3236" s="133" t="s">
        <v>3288</v>
      </c>
      <c r="E3236" s="138">
        <v>0.08</v>
      </c>
      <c r="F3236" s="153" t="s">
        <v>135</v>
      </c>
      <c r="G3236" s="153">
        <v>1</v>
      </c>
      <c r="H3236" s="133"/>
      <c r="I3236" s="133"/>
      <c r="J3236" s="133" t="s">
        <v>2361</v>
      </c>
      <c r="K3236" s="133" t="s">
        <v>831</v>
      </c>
      <c r="L3236" s="167"/>
      <c r="M3236" s="48"/>
      <c r="N3236" s="123"/>
    </row>
    <row r="3237" spans="1:14" customFormat="1" x14ac:dyDescent="0.55000000000000004">
      <c r="A3237" s="132" t="s">
        <v>2362</v>
      </c>
      <c r="B3237" s="133" t="s">
        <v>2711</v>
      </c>
      <c r="C3237" s="133" t="s">
        <v>156</v>
      </c>
      <c r="D3237" s="133" t="s">
        <v>3288</v>
      </c>
      <c r="E3237" s="138">
        <v>0.14000000000000001</v>
      </c>
      <c r="F3237" s="153" t="s">
        <v>135</v>
      </c>
      <c r="G3237" s="153">
        <v>1</v>
      </c>
      <c r="H3237" s="133"/>
      <c r="I3237" s="133"/>
      <c r="J3237" s="133" t="s">
        <v>2361</v>
      </c>
      <c r="K3237" s="133" t="s">
        <v>831</v>
      </c>
      <c r="L3237" s="167"/>
      <c r="M3237" s="48"/>
      <c r="N3237" s="123"/>
    </row>
    <row r="3238" spans="1:14" customFormat="1" x14ac:dyDescent="0.55000000000000004">
      <c r="A3238" s="132" t="s">
        <v>2362</v>
      </c>
      <c r="B3238" s="133" t="s">
        <v>2712</v>
      </c>
      <c r="C3238" s="133" t="s">
        <v>156</v>
      </c>
      <c r="D3238" s="133" t="s">
        <v>3288</v>
      </c>
      <c r="E3238" s="138">
        <v>0.32</v>
      </c>
      <c r="F3238" s="153" t="s">
        <v>135</v>
      </c>
      <c r="G3238" s="153">
        <v>1</v>
      </c>
      <c r="H3238" s="133"/>
      <c r="I3238" s="133"/>
      <c r="J3238" s="133" t="s">
        <v>2361</v>
      </c>
      <c r="K3238" s="133" t="s">
        <v>831</v>
      </c>
      <c r="L3238" s="167"/>
      <c r="M3238" s="48"/>
      <c r="N3238" s="123"/>
    </row>
    <row r="3239" spans="1:14" customFormat="1" x14ac:dyDescent="0.55000000000000004">
      <c r="A3239" s="132" t="s">
        <v>2365</v>
      </c>
      <c r="B3239" s="133" t="s">
        <v>2713</v>
      </c>
      <c r="C3239" s="133" t="s">
        <v>121</v>
      </c>
      <c r="D3239" s="133" t="s">
        <v>2682</v>
      </c>
      <c r="E3239" s="138">
        <v>1</v>
      </c>
      <c r="F3239" s="153">
        <v>1</v>
      </c>
      <c r="G3239" s="153">
        <v>1</v>
      </c>
      <c r="H3239" s="133"/>
      <c r="I3239" s="133"/>
      <c r="J3239" s="133" t="s">
        <v>2364</v>
      </c>
      <c r="K3239" s="133" t="s">
        <v>831</v>
      </c>
      <c r="L3239" s="167"/>
      <c r="M3239" s="48"/>
      <c r="N3239" s="123"/>
    </row>
    <row r="3240" spans="1:14" customFormat="1" x14ac:dyDescent="0.55000000000000004">
      <c r="A3240" s="132" t="s">
        <v>2365</v>
      </c>
      <c r="B3240" s="133" t="s">
        <v>153</v>
      </c>
      <c r="C3240" s="133" t="s">
        <v>127</v>
      </c>
      <c r="D3240" s="133" t="s">
        <v>2994</v>
      </c>
      <c r="E3240" s="138">
        <v>40</v>
      </c>
      <c r="F3240" s="153" t="s">
        <v>130</v>
      </c>
      <c r="G3240" s="153">
        <v>1</v>
      </c>
      <c r="H3240" s="133"/>
      <c r="I3240" s="133"/>
      <c r="J3240" s="133" t="s">
        <v>2364</v>
      </c>
      <c r="K3240" s="133" t="s">
        <v>831</v>
      </c>
      <c r="L3240" s="167"/>
      <c r="M3240" s="48"/>
      <c r="N3240" s="123"/>
    </row>
    <row r="3241" spans="1:14" customFormat="1" x14ac:dyDescent="0.55000000000000004">
      <c r="A3241" s="132" t="s">
        <v>2365</v>
      </c>
      <c r="B3241" s="133" t="s">
        <v>2711</v>
      </c>
      <c r="C3241" s="133" t="s">
        <v>348</v>
      </c>
      <c r="D3241" s="133" t="s">
        <v>3288</v>
      </c>
      <c r="E3241" s="138">
        <v>1</v>
      </c>
      <c r="F3241" s="153" t="s">
        <v>135</v>
      </c>
      <c r="G3241" s="153">
        <v>1</v>
      </c>
      <c r="H3241" s="133"/>
      <c r="I3241" s="133"/>
      <c r="J3241" s="133" t="s">
        <v>2364</v>
      </c>
      <c r="K3241" s="133" t="s">
        <v>831</v>
      </c>
      <c r="L3241" s="167"/>
      <c r="M3241" s="48"/>
      <c r="N3241" s="123"/>
    </row>
    <row r="3242" spans="1:14" customFormat="1" x14ac:dyDescent="0.55000000000000004">
      <c r="A3242" s="132" t="s">
        <v>2365</v>
      </c>
      <c r="B3242" s="133" t="s">
        <v>2714</v>
      </c>
      <c r="C3242" s="133" t="s">
        <v>156</v>
      </c>
      <c r="D3242" s="133" t="s">
        <v>3288</v>
      </c>
      <c r="E3242" s="138">
        <v>1</v>
      </c>
      <c r="F3242" s="153" t="s">
        <v>135</v>
      </c>
      <c r="G3242" s="153">
        <v>1</v>
      </c>
      <c r="H3242" s="133"/>
      <c r="I3242" s="133"/>
      <c r="J3242" s="133" t="s">
        <v>2364</v>
      </c>
      <c r="K3242" s="133" t="s">
        <v>831</v>
      </c>
      <c r="L3242" s="167"/>
      <c r="M3242" s="48"/>
      <c r="N3242" s="123"/>
    </row>
    <row r="3243" spans="1:14" customFormat="1" x14ac:dyDescent="0.55000000000000004">
      <c r="A3243" s="132" t="s">
        <v>2368</v>
      </c>
      <c r="B3243" s="133" t="s">
        <v>2715</v>
      </c>
      <c r="C3243" s="133" t="s">
        <v>121</v>
      </c>
      <c r="D3243" s="133" t="s">
        <v>2682</v>
      </c>
      <c r="E3243" s="138">
        <v>1</v>
      </c>
      <c r="F3243" s="153">
        <v>1</v>
      </c>
      <c r="G3243" s="153">
        <v>1</v>
      </c>
      <c r="H3243" s="133"/>
      <c r="I3243" s="133"/>
      <c r="J3243" s="133" t="s">
        <v>2367</v>
      </c>
      <c r="K3243" s="133" t="s">
        <v>831</v>
      </c>
      <c r="L3243" s="167"/>
      <c r="M3243" s="48"/>
      <c r="N3243" s="123"/>
    </row>
    <row r="3244" spans="1:14" customFormat="1" x14ac:dyDescent="0.55000000000000004">
      <c r="A3244" s="132" t="s">
        <v>2368</v>
      </c>
      <c r="B3244" s="133" t="s">
        <v>2710</v>
      </c>
      <c r="C3244" s="133" t="s">
        <v>348</v>
      </c>
      <c r="D3244" s="133" t="s">
        <v>3288</v>
      </c>
      <c r="E3244" s="138">
        <v>1</v>
      </c>
      <c r="F3244" s="153" t="s">
        <v>135</v>
      </c>
      <c r="G3244" s="153">
        <v>1</v>
      </c>
      <c r="H3244" s="133"/>
      <c r="I3244" s="133"/>
      <c r="J3244" s="133" t="s">
        <v>2367</v>
      </c>
      <c r="K3244" s="133" t="s">
        <v>831</v>
      </c>
      <c r="L3244" s="167"/>
      <c r="M3244" s="48"/>
      <c r="N3244" s="123"/>
    </row>
    <row r="3245" spans="1:14" customFormat="1" x14ac:dyDescent="0.55000000000000004">
      <c r="A3245" s="132" t="s">
        <v>2368</v>
      </c>
      <c r="B3245" s="133" t="s">
        <v>153</v>
      </c>
      <c r="C3245" s="133" t="s">
        <v>127</v>
      </c>
      <c r="D3245" s="133" t="s">
        <v>2994</v>
      </c>
      <c r="E3245" s="138">
        <v>180</v>
      </c>
      <c r="F3245" s="153" t="s">
        <v>130</v>
      </c>
      <c r="G3245" s="153">
        <v>1</v>
      </c>
      <c r="H3245" s="133"/>
      <c r="I3245" s="133"/>
      <c r="J3245" s="133" t="s">
        <v>2367</v>
      </c>
      <c r="K3245" s="133" t="s">
        <v>831</v>
      </c>
      <c r="L3245" s="167"/>
      <c r="M3245" s="48"/>
      <c r="N3245" s="123"/>
    </row>
    <row r="3246" spans="1:14" customFormat="1" x14ac:dyDescent="0.55000000000000004">
      <c r="A3246" s="132" t="s">
        <v>2368</v>
      </c>
      <c r="B3246" s="133" t="s">
        <v>1168</v>
      </c>
      <c r="C3246" s="133" t="s">
        <v>156</v>
      </c>
      <c r="D3246" s="133" t="s">
        <v>3288</v>
      </c>
      <c r="E3246" s="138">
        <v>0.66</v>
      </c>
      <c r="F3246" s="153" t="s">
        <v>135</v>
      </c>
      <c r="G3246" s="153">
        <v>1</v>
      </c>
      <c r="H3246" s="133"/>
      <c r="I3246" s="133"/>
      <c r="J3246" s="133" t="s">
        <v>2367</v>
      </c>
      <c r="K3246" s="133" t="s">
        <v>831</v>
      </c>
      <c r="L3246" s="167"/>
      <c r="M3246" s="48"/>
      <c r="N3246" s="123"/>
    </row>
    <row r="3247" spans="1:14" customFormat="1" x14ac:dyDescent="0.55000000000000004">
      <c r="A3247" s="132" t="s">
        <v>2368</v>
      </c>
      <c r="B3247" s="133" t="s">
        <v>2716</v>
      </c>
      <c r="C3247" s="133" t="s">
        <v>163</v>
      </c>
      <c r="D3247" s="133" t="s">
        <v>3288</v>
      </c>
      <c r="E3247" s="138">
        <v>0.34</v>
      </c>
      <c r="F3247" s="153" t="s">
        <v>135</v>
      </c>
      <c r="G3247" s="153">
        <v>1</v>
      </c>
      <c r="H3247" s="133"/>
      <c r="I3247" s="133"/>
      <c r="J3247" s="133" t="s">
        <v>2367</v>
      </c>
      <c r="K3247" s="133" t="s">
        <v>831</v>
      </c>
      <c r="L3247" s="167"/>
      <c r="M3247" s="48"/>
      <c r="N3247" s="123"/>
    </row>
    <row r="3248" spans="1:14" customFormat="1" x14ac:dyDescent="0.55000000000000004">
      <c r="A3248" s="132" t="s">
        <v>2371</v>
      </c>
      <c r="B3248" s="133" t="s">
        <v>2717</v>
      </c>
      <c r="C3248" s="133" t="s">
        <v>121</v>
      </c>
      <c r="D3248" s="133" t="s">
        <v>2682</v>
      </c>
      <c r="E3248" s="138">
        <v>1</v>
      </c>
      <c r="F3248" s="153">
        <v>1</v>
      </c>
      <c r="G3248" s="153">
        <v>1</v>
      </c>
      <c r="H3248" s="133"/>
      <c r="I3248" s="133"/>
      <c r="J3248" s="133" t="s">
        <v>2370</v>
      </c>
      <c r="K3248" s="133" t="s">
        <v>831</v>
      </c>
      <c r="L3248" s="167"/>
      <c r="M3248" s="48"/>
      <c r="N3248" s="123"/>
    </row>
    <row r="3249" spans="1:14" customFormat="1" x14ac:dyDescent="0.55000000000000004">
      <c r="A3249" s="132" t="s">
        <v>2371</v>
      </c>
      <c r="B3249" s="133" t="s">
        <v>2718</v>
      </c>
      <c r="C3249" s="133" t="s">
        <v>348</v>
      </c>
      <c r="D3249" s="133" t="s">
        <v>3288</v>
      </c>
      <c r="E3249" s="138">
        <v>1</v>
      </c>
      <c r="F3249" s="153" t="s">
        <v>135</v>
      </c>
      <c r="G3249" s="153">
        <v>1</v>
      </c>
      <c r="H3249" s="133"/>
      <c r="I3249" s="133"/>
      <c r="J3249" s="133" t="s">
        <v>2370</v>
      </c>
      <c r="K3249" s="133" t="s">
        <v>831</v>
      </c>
      <c r="L3249" s="167"/>
      <c r="M3249" s="48"/>
      <c r="N3249" s="123"/>
    </row>
    <row r="3250" spans="1:14" customFormat="1" x14ac:dyDescent="0.55000000000000004">
      <c r="A3250" s="132" t="s">
        <v>2371</v>
      </c>
      <c r="B3250" s="133" t="s">
        <v>153</v>
      </c>
      <c r="C3250" s="133" t="s">
        <v>127</v>
      </c>
      <c r="D3250" s="133" t="s">
        <v>2994</v>
      </c>
      <c r="E3250" s="138">
        <v>660</v>
      </c>
      <c r="F3250" s="153" t="s">
        <v>130</v>
      </c>
      <c r="G3250" s="153">
        <v>1</v>
      </c>
      <c r="H3250" s="133"/>
      <c r="I3250" s="133"/>
      <c r="J3250" s="133" t="s">
        <v>2370</v>
      </c>
      <c r="K3250" s="133" t="s">
        <v>831</v>
      </c>
      <c r="L3250" s="167"/>
      <c r="M3250" s="48"/>
      <c r="N3250" s="123"/>
    </row>
    <row r="3251" spans="1:14" customFormat="1" x14ac:dyDescent="0.55000000000000004">
      <c r="A3251" s="132" t="s">
        <v>2371</v>
      </c>
      <c r="B3251" s="133" t="s">
        <v>2719</v>
      </c>
      <c r="C3251" s="133" t="s">
        <v>156</v>
      </c>
      <c r="D3251" s="133" t="s">
        <v>3288</v>
      </c>
      <c r="E3251" s="138">
        <v>0.36279739999999999</v>
      </c>
      <c r="F3251" s="153" t="s">
        <v>135</v>
      </c>
      <c r="G3251" s="153">
        <v>1</v>
      </c>
      <c r="H3251" s="133"/>
      <c r="I3251" s="133"/>
      <c r="J3251" s="133" t="s">
        <v>2370</v>
      </c>
      <c r="K3251" s="133" t="s">
        <v>831</v>
      </c>
      <c r="L3251" s="167"/>
      <c r="M3251" s="48"/>
      <c r="N3251" s="123"/>
    </row>
    <row r="3252" spans="1:14" customFormat="1" x14ac:dyDescent="0.55000000000000004">
      <c r="A3252" s="132" t="s">
        <v>2371</v>
      </c>
      <c r="B3252" s="133" t="s">
        <v>2720</v>
      </c>
      <c r="C3252" s="133" t="s">
        <v>156</v>
      </c>
      <c r="D3252" s="133" t="s">
        <v>3288</v>
      </c>
      <c r="E3252" s="138">
        <v>2.9531399999999999E-2</v>
      </c>
      <c r="F3252" s="153" t="s">
        <v>135</v>
      </c>
      <c r="G3252" s="153">
        <v>1</v>
      </c>
      <c r="H3252" s="133"/>
      <c r="I3252" s="133"/>
      <c r="J3252" s="133" t="s">
        <v>2370</v>
      </c>
      <c r="K3252" s="133" t="s">
        <v>831</v>
      </c>
      <c r="L3252" s="167"/>
      <c r="M3252" s="48"/>
      <c r="N3252" s="123"/>
    </row>
    <row r="3253" spans="1:14" customFormat="1" x14ac:dyDescent="0.55000000000000004">
      <c r="A3253" s="132" t="s">
        <v>2371</v>
      </c>
      <c r="B3253" s="133" t="s">
        <v>2721</v>
      </c>
      <c r="C3253" s="133" t="s">
        <v>156</v>
      </c>
      <c r="D3253" s="133" t="s">
        <v>3288</v>
      </c>
      <c r="E3253" s="138">
        <v>1.3876199999999998E-2</v>
      </c>
      <c r="F3253" s="153" t="s">
        <v>135</v>
      </c>
      <c r="G3253" s="153">
        <v>1</v>
      </c>
      <c r="H3253" s="133"/>
      <c r="I3253" s="133"/>
      <c r="J3253" s="133" t="s">
        <v>2370</v>
      </c>
      <c r="K3253" s="133" t="s">
        <v>831</v>
      </c>
      <c r="L3253" s="167"/>
      <c r="M3253" s="48"/>
      <c r="N3253" s="123"/>
    </row>
    <row r="3254" spans="1:14" customFormat="1" x14ac:dyDescent="0.55000000000000004">
      <c r="A3254" s="132" t="s">
        <v>2371</v>
      </c>
      <c r="B3254" s="133" t="s">
        <v>2722</v>
      </c>
      <c r="C3254" s="133" t="s">
        <v>156</v>
      </c>
      <c r="D3254" s="133" t="s">
        <v>3288</v>
      </c>
      <c r="E3254" s="138">
        <v>8.3019999999999986E-3</v>
      </c>
      <c r="F3254" s="153" t="s">
        <v>135</v>
      </c>
      <c r="G3254" s="153">
        <v>1</v>
      </c>
      <c r="H3254" s="133"/>
      <c r="I3254" s="133"/>
      <c r="J3254" s="133" t="s">
        <v>2370</v>
      </c>
      <c r="K3254" s="133" t="s">
        <v>831</v>
      </c>
      <c r="L3254" s="167"/>
      <c r="M3254" s="48"/>
      <c r="N3254" s="123"/>
    </row>
    <row r="3255" spans="1:14" customFormat="1" x14ac:dyDescent="0.55000000000000004">
      <c r="A3255" s="132" t="s">
        <v>2371</v>
      </c>
      <c r="B3255" s="133" t="s">
        <v>2703</v>
      </c>
      <c r="C3255" s="133" t="s">
        <v>3269</v>
      </c>
      <c r="D3255" s="133" t="s">
        <v>3288</v>
      </c>
      <c r="E3255" s="138">
        <v>8.9542999999999998E-2</v>
      </c>
      <c r="F3255" s="153" t="s">
        <v>135</v>
      </c>
      <c r="G3255" s="153">
        <v>1</v>
      </c>
      <c r="H3255" s="133"/>
      <c r="I3255" s="133"/>
      <c r="J3255" s="133" t="s">
        <v>2370</v>
      </c>
      <c r="K3255" s="133" t="s">
        <v>831</v>
      </c>
      <c r="L3255" s="167"/>
      <c r="M3255" s="48"/>
      <c r="N3255" s="123"/>
    </row>
    <row r="3256" spans="1:14" customFormat="1" x14ac:dyDescent="0.55000000000000004">
      <c r="A3256" s="132" t="s">
        <v>2371</v>
      </c>
      <c r="B3256" s="133" t="s">
        <v>2704</v>
      </c>
      <c r="C3256" s="133" t="s">
        <v>3269</v>
      </c>
      <c r="D3256" s="133" t="s">
        <v>3288</v>
      </c>
      <c r="E3256" s="138">
        <v>0.49595</v>
      </c>
      <c r="F3256" s="153" t="s">
        <v>135</v>
      </c>
      <c r="G3256" s="153">
        <v>1</v>
      </c>
      <c r="H3256" s="133"/>
      <c r="I3256" s="133"/>
      <c r="J3256" s="133" t="s">
        <v>2370</v>
      </c>
      <c r="K3256" s="133" t="s">
        <v>831</v>
      </c>
      <c r="L3256" s="167"/>
      <c r="M3256" s="48"/>
      <c r="N3256" s="123"/>
    </row>
    <row r="3257" spans="1:14" customFormat="1" x14ac:dyDescent="0.55000000000000004">
      <c r="A3257" s="132" t="s">
        <v>2374</v>
      </c>
      <c r="B3257" s="133" t="s">
        <v>2723</v>
      </c>
      <c r="C3257" s="133" t="s">
        <v>121</v>
      </c>
      <c r="D3257" s="133" t="s">
        <v>2682</v>
      </c>
      <c r="E3257" s="138">
        <v>1</v>
      </c>
      <c r="F3257" s="153">
        <v>1</v>
      </c>
      <c r="G3257" s="153">
        <v>1</v>
      </c>
      <c r="H3257" s="133"/>
      <c r="I3257" s="133"/>
      <c r="J3257" s="133" t="s">
        <v>2373</v>
      </c>
      <c r="K3257" s="133" t="s">
        <v>831</v>
      </c>
      <c r="L3257" s="167"/>
      <c r="M3257" s="48"/>
      <c r="N3257" s="123"/>
    </row>
    <row r="3258" spans="1:14" customFormat="1" x14ac:dyDescent="0.55000000000000004">
      <c r="A3258" s="132" t="s">
        <v>2374</v>
      </c>
      <c r="B3258" s="133" t="s">
        <v>2724</v>
      </c>
      <c r="C3258" s="133" t="s">
        <v>348</v>
      </c>
      <c r="D3258" s="133" t="s">
        <v>3288</v>
      </c>
      <c r="E3258" s="138">
        <v>1</v>
      </c>
      <c r="F3258" s="153" t="s">
        <v>135</v>
      </c>
      <c r="G3258" s="153">
        <v>1</v>
      </c>
      <c r="H3258" s="133"/>
      <c r="I3258" s="133"/>
      <c r="J3258" s="133" t="s">
        <v>2373</v>
      </c>
      <c r="K3258" s="133" t="s">
        <v>831</v>
      </c>
      <c r="L3258" s="167"/>
      <c r="M3258" s="48"/>
      <c r="N3258" s="123"/>
    </row>
    <row r="3259" spans="1:14" customFormat="1" x14ac:dyDescent="0.55000000000000004">
      <c r="A3259" s="132" t="s">
        <v>2374</v>
      </c>
      <c r="B3259" s="133" t="s">
        <v>2725</v>
      </c>
      <c r="C3259" s="133" t="s">
        <v>156</v>
      </c>
      <c r="D3259" s="133" t="s">
        <v>3288</v>
      </c>
      <c r="E3259" s="138">
        <v>0.95199999999999996</v>
      </c>
      <c r="F3259" s="153" t="s">
        <v>135</v>
      </c>
      <c r="G3259" s="153">
        <v>1</v>
      </c>
      <c r="H3259" s="133"/>
      <c r="I3259" s="133"/>
      <c r="J3259" s="133" t="s">
        <v>2373</v>
      </c>
      <c r="K3259" s="133" t="s">
        <v>831</v>
      </c>
      <c r="L3259" s="167"/>
      <c r="M3259" s="48"/>
      <c r="N3259" s="123"/>
    </row>
    <row r="3260" spans="1:14" customFormat="1" x14ac:dyDescent="0.55000000000000004">
      <c r="A3260" s="132" t="s">
        <v>2374</v>
      </c>
      <c r="B3260" s="133" t="s">
        <v>153</v>
      </c>
      <c r="C3260" s="133" t="s">
        <v>127</v>
      </c>
      <c r="D3260" s="133" t="s">
        <v>2994</v>
      </c>
      <c r="E3260" s="138">
        <v>190</v>
      </c>
      <c r="F3260" s="153" t="s">
        <v>130</v>
      </c>
      <c r="G3260" s="153">
        <v>1</v>
      </c>
      <c r="H3260" s="133"/>
      <c r="I3260" s="133"/>
      <c r="J3260" s="133" t="s">
        <v>2373</v>
      </c>
      <c r="K3260" s="133" t="s">
        <v>831</v>
      </c>
      <c r="L3260" s="167"/>
      <c r="M3260" s="48"/>
      <c r="N3260" s="123"/>
    </row>
    <row r="3261" spans="1:14" customFormat="1" x14ac:dyDescent="0.55000000000000004">
      <c r="A3261" s="132" t="s">
        <v>2374</v>
      </c>
      <c r="B3261" s="133" t="s">
        <v>2694</v>
      </c>
      <c r="C3261" s="133" t="s">
        <v>127</v>
      </c>
      <c r="D3261" s="133" t="s">
        <v>2994</v>
      </c>
      <c r="E3261" s="138">
        <v>614.29999999999995</v>
      </c>
      <c r="F3261" s="153" t="s">
        <v>167</v>
      </c>
      <c r="G3261" s="153">
        <v>1</v>
      </c>
      <c r="H3261" s="133"/>
      <c r="I3261" s="133"/>
      <c r="J3261" s="133" t="s">
        <v>2373</v>
      </c>
      <c r="K3261" s="133" t="s">
        <v>831</v>
      </c>
      <c r="L3261" s="167"/>
      <c r="M3261" s="48"/>
      <c r="N3261" s="123"/>
    </row>
    <row r="3262" spans="1:14" customFormat="1" x14ac:dyDescent="0.55000000000000004">
      <c r="A3262" s="132" t="s">
        <v>2374</v>
      </c>
      <c r="B3262" s="133" t="s">
        <v>2726</v>
      </c>
      <c r="C3262" s="133" t="s">
        <v>127</v>
      </c>
      <c r="D3262" s="133" t="s">
        <v>2994</v>
      </c>
      <c r="E3262" s="138">
        <v>81.400000000000006</v>
      </c>
      <c r="F3262" s="153" t="s">
        <v>167</v>
      </c>
      <c r="G3262" s="153">
        <v>1</v>
      </c>
      <c r="H3262" s="133"/>
      <c r="I3262" s="133"/>
      <c r="J3262" s="133" t="s">
        <v>2373</v>
      </c>
      <c r="K3262" s="133" t="s">
        <v>831</v>
      </c>
      <c r="L3262" s="167"/>
      <c r="M3262" s="48"/>
      <c r="N3262" s="123"/>
    </row>
    <row r="3263" spans="1:14" customFormat="1" x14ac:dyDescent="0.55000000000000004">
      <c r="A3263" s="132" t="s">
        <v>2374</v>
      </c>
      <c r="B3263" s="133" t="s">
        <v>2727</v>
      </c>
      <c r="C3263" s="133" t="s">
        <v>125</v>
      </c>
      <c r="D3263" s="133" t="s">
        <v>3288</v>
      </c>
      <c r="E3263" s="138">
        <v>1.1000000000000001E-3</v>
      </c>
      <c r="F3263" s="153" t="s">
        <v>135</v>
      </c>
      <c r="G3263" s="153">
        <v>1</v>
      </c>
      <c r="H3263" s="133"/>
      <c r="I3263" s="133"/>
      <c r="J3263" s="133" t="s">
        <v>2373</v>
      </c>
      <c r="K3263" s="133" t="s">
        <v>831</v>
      </c>
      <c r="L3263" s="167"/>
      <c r="M3263" s="48"/>
      <c r="N3263" s="123"/>
    </row>
    <row r="3264" spans="1:14" customFormat="1" x14ac:dyDescent="0.55000000000000004">
      <c r="A3264" s="132" t="s">
        <v>2374</v>
      </c>
      <c r="B3264" s="133" t="s">
        <v>154</v>
      </c>
      <c r="C3264" s="133" t="s">
        <v>132</v>
      </c>
      <c r="D3264" s="133" t="s">
        <v>3288</v>
      </c>
      <c r="E3264" s="138">
        <v>4.2999999999999997E-2</v>
      </c>
      <c r="F3264" s="153" t="s">
        <v>135</v>
      </c>
      <c r="G3264" s="153">
        <v>1</v>
      </c>
      <c r="H3264" s="133"/>
      <c r="I3264" s="133"/>
      <c r="J3264" s="133" t="s">
        <v>2373</v>
      </c>
      <c r="K3264" s="133" t="s">
        <v>831</v>
      </c>
      <c r="L3264" s="167"/>
      <c r="M3264" s="48"/>
      <c r="N3264" s="123"/>
    </row>
    <row r="3265" spans="1:14" customFormat="1" x14ac:dyDescent="0.55000000000000004">
      <c r="A3265" s="132" t="s">
        <v>2374</v>
      </c>
      <c r="B3265" s="133" t="s">
        <v>422</v>
      </c>
      <c r="C3265" s="133" t="s">
        <v>125</v>
      </c>
      <c r="D3265" s="133" t="s">
        <v>3288</v>
      </c>
      <c r="E3265" s="138">
        <v>1.6000000000000001E-4</v>
      </c>
      <c r="F3265" s="153" t="s">
        <v>135</v>
      </c>
      <c r="G3265" s="153">
        <v>1</v>
      </c>
      <c r="H3265" s="133"/>
      <c r="I3265" s="133"/>
      <c r="J3265" s="133" t="s">
        <v>2373</v>
      </c>
      <c r="K3265" s="133" t="s">
        <v>831</v>
      </c>
      <c r="L3265" s="167"/>
      <c r="M3265" s="48"/>
      <c r="N3265" s="123"/>
    </row>
    <row r="3266" spans="1:14" customFormat="1" x14ac:dyDescent="0.55000000000000004">
      <c r="A3266" s="132" t="s">
        <v>2374</v>
      </c>
      <c r="B3266" s="133" t="s">
        <v>2728</v>
      </c>
      <c r="C3266" s="133" t="s">
        <v>125</v>
      </c>
      <c r="D3266" s="133" t="s">
        <v>3288</v>
      </c>
      <c r="E3266" s="138">
        <v>1.0000000000000001E-5</v>
      </c>
      <c r="F3266" s="153" t="s">
        <v>135</v>
      </c>
      <c r="G3266" s="153">
        <v>1</v>
      </c>
      <c r="H3266" s="133"/>
      <c r="I3266" s="133"/>
      <c r="J3266" s="133" t="s">
        <v>2373</v>
      </c>
      <c r="K3266" s="133" t="s">
        <v>831</v>
      </c>
      <c r="L3266" s="167"/>
      <c r="M3266" s="48"/>
      <c r="N3266" s="123"/>
    </row>
    <row r="3267" spans="1:14" customFormat="1" x14ac:dyDescent="0.55000000000000004">
      <c r="A3267" s="132" t="s">
        <v>2374</v>
      </c>
      <c r="B3267" s="133" t="s">
        <v>2729</v>
      </c>
      <c r="C3267" s="133" t="s">
        <v>125</v>
      </c>
      <c r="D3267" s="133" t="s">
        <v>3288</v>
      </c>
      <c r="E3267" s="138">
        <v>1.1E-4</v>
      </c>
      <c r="F3267" s="153" t="s">
        <v>135</v>
      </c>
      <c r="G3267" s="153">
        <v>1</v>
      </c>
      <c r="H3267" s="133"/>
      <c r="I3267" s="133"/>
      <c r="J3267" s="133" t="s">
        <v>2373</v>
      </c>
      <c r="K3267" s="133" t="s">
        <v>831</v>
      </c>
      <c r="L3267" s="167"/>
      <c r="M3267" s="48"/>
      <c r="N3267" s="123"/>
    </row>
    <row r="3268" spans="1:14" customFormat="1" x14ac:dyDescent="0.55000000000000004">
      <c r="A3268" s="132" t="s">
        <v>2374</v>
      </c>
      <c r="B3268" s="133" t="s">
        <v>603</v>
      </c>
      <c r="C3268" s="133" t="s">
        <v>125</v>
      </c>
      <c r="D3268" s="133" t="s">
        <v>3288</v>
      </c>
      <c r="E3268" s="138">
        <v>1.2999999999999999E-4</v>
      </c>
      <c r="F3268" s="153" t="s">
        <v>135</v>
      </c>
      <c r="G3268" s="153">
        <v>1</v>
      </c>
      <c r="H3268" s="133"/>
      <c r="I3268" s="133"/>
      <c r="J3268" s="133" t="s">
        <v>2373</v>
      </c>
      <c r="K3268" s="133" t="s">
        <v>831</v>
      </c>
      <c r="L3268" s="167"/>
      <c r="M3268" s="48"/>
      <c r="N3268" s="123"/>
    </row>
    <row r="3269" spans="1:14" customFormat="1" x14ac:dyDescent="0.55000000000000004">
      <c r="A3269" s="132" t="s">
        <v>2374</v>
      </c>
      <c r="B3269" s="133" t="s">
        <v>2730</v>
      </c>
      <c r="C3269" s="133" t="s">
        <v>348</v>
      </c>
      <c r="D3269" s="133" t="s">
        <v>3288</v>
      </c>
      <c r="E3269" s="138">
        <v>4.4000000000000002E-4</v>
      </c>
      <c r="F3269" s="153" t="s">
        <v>135</v>
      </c>
      <c r="G3269" s="153">
        <v>1</v>
      </c>
      <c r="H3269" s="133"/>
      <c r="I3269" s="133"/>
      <c r="J3269" s="133" t="s">
        <v>2373</v>
      </c>
      <c r="K3269" s="133" t="s">
        <v>831</v>
      </c>
      <c r="L3269" s="167"/>
      <c r="M3269" s="48"/>
      <c r="N3269" s="123"/>
    </row>
    <row r="3270" spans="1:14" customFormat="1" x14ac:dyDescent="0.55000000000000004">
      <c r="A3270" s="132" t="s">
        <v>2374</v>
      </c>
      <c r="B3270" s="133" t="s">
        <v>2731</v>
      </c>
      <c r="C3270" s="133" t="s">
        <v>156</v>
      </c>
      <c r="D3270" s="133" t="s">
        <v>3288</v>
      </c>
      <c r="E3270" s="138">
        <v>1.1900000000000001E-3</v>
      </c>
      <c r="F3270" s="153" t="s">
        <v>135</v>
      </c>
      <c r="G3270" s="153">
        <v>1</v>
      </c>
      <c r="H3270" s="133"/>
      <c r="I3270" s="133"/>
      <c r="J3270" s="133" t="s">
        <v>2373</v>
      </c>
      <c r="K3270" s="133" t="s">
        <v>831</v>
      </c>
      <c r="L3270" s="167"/>
      <c r="M3270" s="48"/>
      <c r="N3270" s="123"/>
    </row>
    <row r="3271" spans="1:14" customFormat="1" x14ac:dyDescent="0.55000000000000004">
      <c r="A3271" s="132" t="s">
        <v>2374</v>
      </c>
      <c r="B3271" s="133" t="s">
        <v>2732</v>
      </c>
      <c r="C3271" s="133" t="s">
        <v>163</v>
      </c>
      <c r="D3271" s="133" t="s">
        <v>3288</v>
      </c>
      <c r="E3271" s="138">
        <v>6.3E-3</v>
      </c>
      <c r="F3271" s="153" t="s">
        <v>135</v>
      </c>
      <c r="G3271" s="153">
        <v>1</v>
      </c>
      <c r="H3271" s="133"/>
      <c r="I3271" s="133"/>
      <c r="J3271" s="133" t="s">
        <v>2373</v>
      </c>
      <c r="K3271" s="133" t="s">
        <v>831</v>
      </c>
      <c r="L3271" s="167"/>
      <c r="M3271" s="48"/>
      <c r="N3271" s="123"/>
    </row>
    <row r="3272" spans="1:14" customFormat="1" x14ac:dyDescent="0.55000000000000004">
      <c r="A3272" s="132" t="s">
        <v>2374</v>
      </c>
      <c r="B3272" s="133" t="s">
        <v>2733</v>
      </c>
      <c r="C3272" s="133" t="s">
        <v>163</v>
      </c>
      <c r="D3272" s="133" t="s">
        <v>3288</v>
      </c>
      <c r="E3272" s="138">
        <v>8.0000000000000002E-3</v>
      </c>
      <c r="F3272" s="153" t="s">
        <v>135</v>
      </c>
      <c r="G3272" s="153">
        <v>1</v>
      </c>
      <c r="H3272" s="133"/>
      <c r="I3272" s="133"/>
      <c r="J3272" s="133" t="s">
        <v>2373</v>
      </c>
      <c r="K3272" s="133" t="s">
        <v>831</v>
      </c>
      <c r="L3272" s="167"/>
      <c r="M3272" s="48"/>
      <c r="N3272" s="123"/>
    </row>
    <row r="3273" spans="1:14" customFormat="1" x14ac:dyDescent="0.55000000000000004">
      <c r="A3273" s="132" t="s">
        <v>2374</v>
      </c>
      <c r="B3273" s="133" t="s">
        <v>2734</v>
      </c>
      <c r="C3273" s="133" t="s">
        <v>163</v>
      </c>
      <c r="D3273" s="133" t="s">
        <v>3288</v>
      </c>
      <c r="E3273" s="138">
        <v>3.3500000000000001E-3</v>
      </c>
      <c r="F3273" s="153" t="s">
        <v>135</v>
      </c>
      <c r="G3273" s="153">
        <v>1</v>
      </c>
      <c r="H3273" s="133"/>
      <c r="I3273" s="133"/>
      <c r="J3273" s="133" t="s">
        <v>2373</v>
      </c>
      <c r="K3273" s="133" t="s">
        <v>831</v>
      </c>
      <c r="L3273" s="167"/>
      <c r="M3273" s="48"/>
      <c r="N3273" s="123"/>
    </row>
    <row r="3274" spans="1:14" customFormat="1" x14ac:dyDescent="0.55000000000000004">
      <c r="A3274" s="132" t="s">
        <v>2377</v>
      </c>
      <c r="B3274" s="133" t="s">
        <v>2735</v>
      </c>
      <c r="C3274" s="133" t="s">
        <v>121</v>
      </c>
      <c r="D3274" s="133" t="s">
        <v>2682</v>
      </c>
      <c r="E3274" s="138">
        <v>1</v>
      </c>
      <c r="F3274" s="153">
        <v>1</v>
      </c>
      <c r="G3274" s="153">
        <v>1</v>
      </c>
      <c r="H3274" s="133"/>
      <c r="I3274" s="133"/>
      <c r="J3274" s="133" t="s">
        <v>2376</v>
      </c>
      <c r="K3274" s="133" t="s">
        <v>831</v>
      </c>
      <c r="L3274" s="167"/>
      <c r="M3274" s="48"/>
      <c r="N3274" s="123"/>
    </row>
    <row r="3275" spans="1:14" customFormat="1" x14ac:dyDescent="0.55000000000000004">
      <c r="A3275" s="132" t="s">
        <v>2377</v>
      </c>
      <c r="B3275" s="133" t="s">
        <v>2736</v>
      </c>
      <c r="C3275" s="133" t="s">
        <v>348</v>
      </c>
      <c r="D3275" s="133" t="s">
        <v>3288</v>
      </c>
      <c r="E3275" s="138">
        <v>1</v>
      </c>
      <c r="F3275" s="153" t="s">
        <v>135</v>
      </c>
      <c r="G3275" s="153">
        <v>1</v>
      </c>
      <c r="H3275" s="133"/>
      <c r="I3275" s="133"/>
      <c r="J3275" s="133" t="s">
        <v>2376</v>
      </c>
      <c r="K3275" s="133" t="s">
        <v>831</v>
      </c>
      <c r="L3275" s="167"/>
      <c r="M3275" s="48"/>
      <c r="N3275" s="123"/>
    </row>
    <row r="3276" spans="1:14" customFormat="1" x14ac:dyDescent="0.55000000000000004">
      <c r="A3276" s="132" t="s">
        <v>2377</v>
      </c>
      <c r="B3276" s="133" t="s">
        <v>2725</v>
      </c>
      <c r="C3276" s="133" t="s">
        <v>156</v>
      </c>
      <c r="D3276" s="133" t="s">
        <v>3288</v>
      </c>
      <c r="E3276" s="138">
        <v>0.4</v>
      </c>
      <c r="F3276" s="153" t="s">
        <v>135</v>
      </c>
      <c r="G3276" s="153">
        <v>1</v>
      </c>
      <c r="H3276" s="133"/>
      <c r="I3276" s="133"/>
      <c r="J3276" s="133" t="s">
        <v>2376</v>
      </c>
      <c r="K3276" s="133" t="s">
        <v>831</v>
      </c>
      <c r="L3276" s="167"/>
      <c r="M3276" s="48"/>
      <c r="N3276" s="123"/>
    </row>
    <row r="3277" spans="1:14" customFormat="1" x14ac:dyDescent="0.55000000000000004">
      <c r="A3277" s="132" t="s">
        <v>2377</v>
      </c>
      <c r="B3277" s="133" t="s">
        <v>2737</v>
      </c>
      <c r="C3277" s="133" t="s">
        <v>156</v>
      </c>
      <c r="D3277" s="133" t="s">
        <v>3288</v>
      </c>
      <c r="E3277" s="138">
        <v>0.55000000000000004</v>
      </c>
      <c r="F3277" s="153" t="s">
        <v>135</v>
      </c>
      <c r="G3277" s="153">
        <v>1</v>
      </c>
      <c r="H3277" s="133"/>
      <c r="I3277" s="133"/>
      <c r="J3277" s="133" t="s">
        <v>2376</v>
      </c>
      <c r="K3277" s="133" t="s">
        <v>831</v>
      </c>
      <c r="L3277" s="167"/>
      <c r="M3277" s="48"/>
      <c r="N3277" s="123"/>
    </row>
    <row r="3278" spans="1:14" customFormat="1" x14ac:dyDescent="0.55000000000000004">
      <c r="A3278" s="132" t="s">
        <v>2377</v>
      </c>
      <c r="B3278" s="133" t="s">
        <v>153</v>
      </c>
      <c r="C3278" s="133" t="s">
        <v>127</v>
      </c>
      <c r="D3278" s="133" t="s">
        <v>2994</v>
      </c>
      <c r="E3278" s="138">
        <v>190</v>
      </c>
      <c r="F3278" s="153" t="s">
        <v>130</v>
      </c>
      <c r="G3278" s="153">
        <v>1</v>
      </c>
      <c r="H3278" s="133"/>
      <c r="I3278" s="133"/>
      <c r="J3278" s="133" t="s">
        <v>2376</v>
      </c>
      <c r="K3278" s="133" t="s">
        <v>831</v>
      </c>
      <c r="L3278" s="167"/>
      <c r="M3278" s="48"/>
      <c r="N3278" s="123"/>
    </row>
    <row r="3279" spans="1:14" customFormat="1" x14ac:dyDescent="0.55000000000000004">
      <c r="A3279" s="132" t="s">
        <v>2377</v>
      </c>
      <c r="B3279" s="133" t="s">
        <v>2694</v>
      </c>
      <c r="C3279" s="133" t="s">
        <v>127</v>
      </c>
      <c r="D3279" s="133" t="s">
        <v>2994</v>
      </c>
      <c r="E3279" s="138">
        <v>614.29999999999995</v>
      </c>
      <c r="F3279" s="153" t="s">
        <v>167</v>
      </c>
      <c r="G3279" s="153">
        <v>1</v>
      </c>
      <c r="H3279" s="133"/>
      <c r="I3279" s="133"/>
      <c r="J3279" s="133" t="s">
        <v>2376</v>
      </c>
      <c r="K3279" s="133" t="s">
        <v>831</v>
      </c>
      <c r="L3279" s="167"/>
      <c r="M3279" s="48"/>
      <c r="N3279" s="123"/>
    </row>
    <row r="3280" spans="1:14" customFormat="1" x14ac:dyDescent="0.55000000000000004">
      <c r="A3280" s="132" t="s">
        <v>2377</v>
      </c>
      <c r="B3280" s="133" t="s">
        <v>2726</v>
      </c>
      <c r="C3280" s="133" t="s">
        <v>127</v>
      </c>
      <c r="D3280" s="133" t="s">
        <v>2994</v>
      </c>
      <c r="E3280" s="138">
        <v>81.400000000000006</v>
      </c>
      <c r="F3280" s="153" t="s">
        <v>167</v>
      </c>
      <c r="G3280" s="153">
        <v>1</v>
      </c>
      <c r="H3280" s="133"/>
      <c r="I3280" s="133"/>
      <c r="J3280" s="133" t="s">
        <v>2376</v>
      </c>
      <c r="K3280" s="133" t="s">
        <v>831</v>
      </c>
      <c r="L3280" s="167"/>
      <c r="M3280" s="48"/>
      <c r="N3280" s="123"/>
    </row>
    <row r="3281" spans="1:14" customFormat="1" x14ac:dyDescent="0.55000000000000004">
      <c r="A3281" s="132" t="s">
        <v>2377</v>
      </c>
      <c r="B3281" s="133" t="s">
        <v>2727</v>
      </c>
      <c r="C3281" s="133" t="s">
        <v>125</v>
      </c>
      <c r="D3281" s="133" t="s">
        <v>3288</v>
      </c>
      <c r="E3281" s="138">
        <v>1.1000000000000001E-3</v>
      </c>
      <c r="F3281" s="153" t="s">
        <v>135</v>
      </c>
      <c r="G3281" s="153">
        <v>1</v>
      </c>
      <c r="H3281" s="133"/>
      <c r="I3281" s="133"/>
      <c r="J3281" s="133" t="s">
        <v>2376</v>
      </c>
      <c r="K3281" s="133" t="s">
        <v>831</v>
      </c>
      <c r="L3281" s="167"/>
      <c r="M3281" s="48"/>
      <c r="N3281" s="123"/>
    </row>
    <row r="3282" spans="1:14" customFormat="1" x14ac:dyDescent="0.55000000000000004">
      <c r="A3282" s="132" t="s">
        <v>2377</v>
      </c>
      <c r="B3282" s="133" t="s">
        <v>154</v>
      </c>
      <c r="C3282" s="133" t="s">
        <v>132</v>
      </c>
      <c r="D3282" s="133" t="s">
        <v>3288</v>
      </c>
      <c r="E3282" s="138">
        <v>4.2999999999999997E-2</v>
      </c>
      <c r="F3282" s="153" t="s">
        <v>135</v>
      </c>
      <c r="G3282" s="153">
        <v>1</v>
      </c>
      <c r="H3282" s="133"/>
      <c r="I3282" s="133"/>
      <c r="J3282" s="133" t="s">
        <v>2376</v>
      </c>
      <c r="K3282" s="133" t="s">
        <v>831</v>
      </c>
      <c r="L3282" s="167"/>
      <c r="M3282" s="48"/>
      <c r="N3282" s="123"/>
    </row>
    <row r="3283" spans="1:14" customFormat="1" x14ac:dyDescent="0.55000000000000004">
      <c r="A3283" s="132" t="s">
        <v>2377</v>
      </c>
      <c r="B3283" s="133" t="s">
        <v>422</v>
      </c>
      <c r="C3283" s="133" t="s">
        <v>125</v>
      </c>
      <c r="D3283" s="133" t="s">
        <v>3288</v>
      </c>
      <c r="E3283" s="138">
        <v>1.6000000000000001E-4</v>
      </c>
      <c r="F3283" s="153" t="s">
        <v>135</v>
      </c>
      <c r="G3283" s="153">
        <v>1</v>
      </c>
      <c r="H3283" s="133"/>
      <c r="I3283" s="133"/>
      <c r="J3283" s="133" t="s">
        <v>2376</v>
      </c>
      <c r="K3283" s="133" t="s">
        <v>831</v>
      </c>
      <c r="L3283" s="167"/>
      <c r="M3283" s="48"/>
      <c r="N3283" s="123"/>
    </row>
    <row r="3284" spans="1:14" customFormat="1" x14ac:dyDescent="0.55000000000000004">
      <c r="A3284" s="132" t="s">
        <v>2377</v>
      </c>
      <c r="B3284" s="133" t="s">
        <v>2728</v>
      </c>
      <c r="C3284" s="133" t="s">
        <v>125</v>
      </c>
      <c r="D3284" s="133" t="s">
        <v>3288</v>
      </c>
      <c r="E3284" s="138">
        <v>1.0000000000000001E-5</v>
      </c>
      <c r="F3284" s="153" t="s">
        <v>135</v>
      </c>
      <c r="G3284" s="153">
        <v>1</v>
      </c>
      <c r="H3284" s="133"/>
      <c r="I3284" s="133"/>
      <c r="J3284" s="133" t="s">
        <v>2376</v>
      </c>
      <c r="K3284" s="133" t="s">
        <v>831</v>
      </c>
      <c r="L3284" s="167"/>
      <c r="M3284" s="48"/>
      <c r="N3284" s="123"/>
    </row>
    <row r="3285" spans="1:14" customFormat="1" x14ac:dyDescent="0.55000000000000004">
      <c r="A3285" s="132" t="s">
        <v>2377</v>
      </c>
      <c r="B3285" s="133" t="s">
        <v>2729</v>
      </c>
      <c r="C3285" s="133" t="s">
        <v>125</v>
      </c>
      <c r="D3285" s="133" t="s">
        <v>3288</v>
      </c>
      <c r="E3285" s="138">
        <v>1.1E-4</v>
      </c>
      <c r="F3285" s="153" t="s">
        <v>135</v>
      </c>
      <c r="G3285" s="153">
        <v>1</v>
      </c>
      <c r="H3285" s="133"/>
      <c r="I3285" s="133"/>
      <c r="J3285" s="133" t="s">
        <v>2376</v>
      </c>
      <c r="K3285" s="133" t="s">
        <v>831</v>
      </c>
      <c r="L3285" s="167"/>
      <c r="M3285" s="48"/>
      <c r="N3285" s="123"/>
    </row>
    <row r="3286" spans="1:14" customFormat="1" x14ac:dyDescent="0.55000000000000004">
      <c r="A3286" s="132" t="s">
        <v>2377</v>
      </c>
      <c r="B3286" s="133" t="s">
        <v>603</v>
      </c>
      <c r="C3286" s="133" t="s">
        <v>125</v>
      </c>
      <c r="D3286" s="133" t="s">
        <v>3288</v>
      </c>
      <c r="E3286" s="138">
        <v>1.2999999999999999E-4</v>
      </c>
      <c r="F3286" s="153" t="s">
        <v>135</v>
      </c>
      <c r="G3286" s="153">
        <v>1</v>
      </c>
      <c r="H3286" s="133"/>
      <c r="I3286" s="133"/>
      <c r="J3286" s="133" t="s">
        <v>2376</v>
      </c>
      <c r="K3286" s="133" t="s">
        <v>831</v>
      </c>
      <c r="L3286" s="167"/>
      <c r="M3286" s="48"/>
      <c r="N3286" s="123"/>
    </row>
    <row r="3287" spans="1:14" customFormat="1" x14ac:dyDescent="0.55000000000000004">
      <c r="A3287" s="132" t="s">
        <v>2377</v>
      </c>
      <c r="B3287" s="133" t="s">
        <v>2730</v>
      </c>
      <c r="C3287" s="133" t="s">
        <v>348</v>
      </c>
      <c r="D3287" s="133" t="s">
        <v>3288</v>
      </c>
      <c r="E3287" s="138">
        <v>4.4000000000000002E-4</v>
      </c>
      <c r="F3287" s="153" t="s">
        <v>135</v>
      </c>
      <c r="G3287" s="153">
        <v>1</v>
      </c>
      <c r="H3287" s="133"/>
      <c r="I3287" s="133"/>
      <c r="J3287" s="133" t="s">
        <v>2376</v>
      </c>
      <c r="K3287" s="133" t="s">
        <v>831</v>
      </c>
      <c r="L3287" s="167"/>
      <c r="M3287" s="48"/>
      <c r="N3287" s="123"/>
    </row>
    <row r="3288" spans="1:14" customFormat="1" x14ac:dyDescent="0.55000000000000004">
      <c r="A3288" s="132" t="s">
        <v>2377</v>
      </c>
      <c r="B3288" s="133" t="s">
        <v>2731</v>
      </c>
      <c r="C3288" s="133" t="s">
        <v>156</v>
      </c>
      <c r="D3288" s="133" t="s">
        <v>3288</v>
      </c>
      <c r="E3288" s="138">
        <v>1.1900000000000001E-3</v>
      </c>
      <c r="F3288" s="153" t="s">
        <v>135</v>
      </c>
      <c r="G3288" s="153">
        <v>1</v>
      </c>
      <c r="H3288" s="133"/>
      <c r="I3288" s="133"/>
      <c r="J3288" s="133" t="s">
        <v>2376</v>
      </c>
      <c r="K3288" s="133" t="s">
        <v>831</v>
      </c>
      <c r="L3288" s="167"/>
      <c r="M3288" s="48"/>
      <c r="N3288" s="123"/>
    </row>
    <row r="3289" spans="1:14" customFormat="1" x14ac:dyDescent="0.55000000000000004">
      <c r="A3289" s="132" t="s">
        <v>2377</v>
      </c>
      <c r="B3289" s="133" t="s">
        <v>2732</v>
      </c>
      <c r="C3289" s="133" t="s">
        <v>163</v>
      </c>
      <c r="D3289" s="133" t="s">
        <v>3288</v>
      </c>
      <c r="E3289" s="138">
        <v>6.3E-3</v>
      </c>
      <c r="F3289" s="153" t="s">
        <v>135</v>
      </c>
      <c r="G3289" s="153">
        <v>1</v>
      </c>
      <c r="H3289" s="133"/>
      <c r="I3289" s="133"/>
      <c r="J3289" s="133" t="s">
        <v>2376</v>
      </c>
      <c r="K3289" s="133" t="s">
        <v>831</v>
      </c>
      <c r="L3289" s="167"/>
      <c r="M3289" s="48"/>
      <c r="N3289" s="123"/>
    </row>
    <row r="3290" spans="1:14" customFormat="1" x14ac:dyDescent="0.55000000000000004">
      <c r="A3290" s="132" t="s">
        <v>2377</v>
      </c>
      <c r="B3290" s="133" t="s">
        <v>2733</v>
      </c>
      <c r="C3290" s="133" t="s">
        <v>163</v>
      </c>
      <c r="D3290" s="133" t="s">
        <v>3288</v>
      </c>
      <c r="E3290" s="138">
        <v>8.0000000000000002E-3</v>
      </c>
      <c r="F3290" s="153" t="s">
        <v>135</v>
      </c>
      <c r="G3290" s="153">
        <v>1</v>
      </c>
      <c r="H3290" s="133"/>
      <c r="I3290" s="133"/>
      <c r="J3290" s="133" t="s">
        <v>2376</v>
      </c>
      <c r="K3290" s="133" t="s">
        <v>831</v>
      </c>
      <c r="L3290" s="167"/>
      <c r="M3290" s="48"/>
      <c r="N3290" s="123"/>
    </row>
    <row r="3291" spans="1:14" customFormat="1" x14ac:dyDescent="0.55000000000000004">
      <c r="A3291" s="132" t="s">
        <v>2377</v>
      </c>
      <c r="B3291" s="133" t="s">
        <v>2734</v>
      </c>
      <c r="C3291" s="133" t="s">
        <v>163</v>
      </c>
      <c r="D3291" s="133" t="s">
        <v>3288</v>
      </c>
      <c r="E3291" s="138">
        <v>3.3500000000000001E-3</v>
      </c>
      <c r="F3291" s="153" t="s">
        <v>135</v>
      </c>
      <c r="G3291" s="153">
        <v>1</v>
      </c>
      <c r="H3291" s="133"/>
      <c r="I3291" s="133"/>
      <c r="J3291" s="133" t="s">
        <v>2376</v>
      </c>
      <c r="K3291" s="133" t="s">
        <v>831</v>
      </c>
      <c r="L3291" s="167"/>
      <c r="M3291" s="48"/>
      <c r="N3291" s="123"/>
    </row>
    <row r="3292" spans="1:14" customFormat="1" x14ac:dyDescent="0.55000000000000004">
      <c r="A3292" s="132" t="s">
        <v>2377</v>
      </c>
      <c r="B3292" s="133" t="s">
        <v>2738</v>
      </c>
      <c r="C3292" s="133" t="s">
        <v>163</v>
      </c>
      <c r="D3292" s="133" t="s">
        <v>3288</v>
      </c>
      <c r="E3292" s="138">
        <v>0.05</v>
      </c>
      <c r="F3292" s="153" t="s">
        <v>135</v>
      </c>
      <c r="G3292" s="153">
        <v>1</v>
      </c>
      <c r="H3292" s="133"/>
      <c r="I3292" s="133"/>
      <c r="J3292" s="133" t="s">
        <v>2376</v>
      </c>
      <c r="K3292" s="133" t="s">
        <v>831</v>
      </c>
      <c r="L3292" s="167"/>
      <c r="M3292" s="48"/>
      <c r="N3292" s="123"/>
    </row>
    <row r="3293" spans="1:14" customFormat="1" x14ac:dyDescent="0.55000000000000004">
      <c r="A3293" s="132" t="s">
        <v>2380</v>
      </c>
      <c r="B3293" s="133" t="s">
        <v>2739</v>
      </c>
      <c r="C3293" s="133" t="s">
        <v>121</v>
      </c>
      <c r="D3293" s="133" t="s">
        <v>2682</v>
      </c>
      <c r="E3293" s="138">
        <v>1</v>
      </c>
      <c r="F3293" s="153">
        <v>1</v>
      </c>
      <c r="G3293" s="153">
        <v>1</v>
      </c>
      <c r="H3293" s="133" t="s">
        <v>39</v>
      </c>
      <c r="I3293" s="133"/>
      <c r="J3293" s="133" t="s">
        <v>2379</v>
      </c>
      <c r="K3293" s="133" t="s">
        <v>831</v>
      </c>
      <c r="L3293" s="167"/>
      <c r="M3293" s="48"/>
      <c r="N3293" s="123"/>
    </row>
    <row r="3294" spans="1:14" customFormat="1" x14ac:dyDescent="0.55000000000000004">
      <c r="A3294" s="132" t="s">
        <v>2380</v>
      </c>
      <c r="B3294" s="133" t="s">
        <v>2740</v>
      </c>
      <c r="C3294" s="133" t="s">
        <v>348</v>
      </c>
      <c r="D3294" s="133" t="s">
        <v>3288</v>
      </c>
      <c r="E3294" s="138">
        <v>1</v>
      </c>
      <c r="F3294" s="153" t="s">
        <v>135</v>
      </c>
      <c r="G3294" s="153">
        <v>1</v>
      </c>
      <c r="H3294" s="133" t="s">
        <v>39</v>
      </c>
      <c r="I3294" s="133"/>
      <c r="J3294" s="133" t="s">
        <v>2379</v>
      </c>
      <c r="K3294" s="133" t="s">
        <v>831</v>
      </c>
      <c r="L3294" s="167"/>
      <c r="M3294" s="48"/>
      <c r="N3294" s="123"/>
    </row>
    <row r="3295" spans="1:14" customFormat="1" x14ac:dyDescent="0.55000000000000004">
      <c r="A3295" s="132" t="s">
        <v>2380</v>
      </c>
      <c r="B3295" s="133" t="s">
        <v>153</v>
      </c>
      <c r="C3295" s="133" t="s">
        <v>127</v>
      </c>
      <c r="D3295" s="133" t="s">
        <v>2994</v>
      </c>
      <c r="E3295" s="138">
        <v>63.2</v>
      </c>
      <c r="F3295" s="153" t="s">
        <v>130</v>
      </c>
      <c r="G3295" s="153">
        <v>1</v>
      </c>
      <c r="H3295" s="133" t="s">
        <v>39</v>
      </c>
      <c r="I3295" s="133" t="s">
        <v>2741</v>
      </c>
      <c r="J3295" s="133" t="s">
        <v>2379</v>
      </c>
      <c r="K3295" s="133" t="s">
        <v>831</v>
      </c>
      <c r="L3295" s="167"/>
      <c r="M3295" s="48"/>
      <c r="N3295" s="123"/>
    </row>
    <row r="3296" spans="1:14" customFormat="1" x14ac:dyDescent="0.55000000000000004">
      <c r="A3296" s="132" t="s">
        <v>2380</v>
      </c>
      <c r="B3296" s="133" t="s">
        <v>2742</v>
      </c>
      <c r="C3296" s="133" t="s">
        <v>156</v>
      </c>
      <c r="D3296" s="133" t="s">
        <v>3288</v>
      </c>
      <c r="E3296" s="138">
        <v>0.187</v>
      </c>
      <c r="F3296" s="153" t="s">
        <v>135</v>
      </c>
      <c r="G3296" s="153">
        <v>1</v>
      </c>
      <c r="H3296" s="133" t="s">
        <v>39</v>
      </c>
      <c r="I3296" s="133"/>
      <c r="J3296" s="133" t="s">
        <v>2379</v>
      </c>
      <c r="K3296" s="133" t="s">
        <v>831</v>
      </c>
      <c r="L3296" s="167"/>
      <c r="M3296" s="48"/>
      <c r="N3296" s="123"/>
    </row>
    <row r="3297" spans="1:14" customFormat="1" x14ac:dyDescent="0.55000000000000004">
      <c r="A3297" s="132" t="s">
        <v>2380</v>
      </c>
      <c r="B3297" s="133" t="s">
        <v>2743</v>
      </c>
      <c r="C3297" s="133" t="s">
        <v>156</v>
      </c>
      <c r="D3297" s="133" t="s">
        <v>3288</v>
      </c>
      <c r="E3297" s="138">
        <v>0.14799999999999999</v>
      </c>
      <c r="F3297" s="153" t="s">
        <v>135</v>
      </c>
      <c r="G3297" s="153">
        <v>1</v>
      </c>
      <c r="H3297" s="133" t="s">
        <v>39</v>
      </c>
      <c r="I3297" s="133"/>
      <c r="J3297" s="133" t="s">
        <v>2379</v>
      </c>
      <c r="K3297" s="133" t="s">
        <v>831</v>
      </c>
      <c r="L3297" s="167"/>
      <c r="M3297" s="48"/>
      <c r="N3297" s="123"/>
    </row>
    <row r="3298" spans="1:14" customFormat="1" x14ac:dyDescent="0.55000000000000004">
      <c r="A3298" s="132" t="s">
        <v>2380</v>
      </c>
      <c r="B3298" s="133" t="s">
        <v>2744</v>
      </c>
      <c r="C3298" s="133" t="s">
        <v>156</v>
      </c>
      <c r="D3298" s="133" t="s">
        <v>3288</v>
      </c>
      <c r="E3298" s="138">
        <v>0.02</v>
      </c>
      <c r="F3298" s="153" t="s">
        <v>135</v>
      </c>
      <c r="G3298" s="153">
        <v>1</v>
      </c>
      <c r="H3298" s="133" t="s">
        <v>39</v>
      </c>
      <c r="I3298" s="133"/>
      <c r="J3298" s="133" t="s">
        <v>2379</v>
      </c>
      <c r="K3298" s="133" t="s">
        <v>831</v>
      </c>
      <c r="L3298" s="167"/>
      <c r="M3298" s="48"/>
      <c r="N3298" s="123"/>
    </row>
    <row r="3299" spans="1:14" customFormat="1" x14ac:dyDescent="0.55000000000000004">
      <c r="A3299" s="132" t="s">
        <v>2380</v>
      </c>
      <c r="B3299" s="133" t="s">
        <v>2745</v>
      </c>
      <c r="C3299" s="133" t="s">
        <v>156</v>
      </c>
      <c r="D3299" s="133" t="s">
        <v>3288</v>
      </c>
      <c r="E3299" s="138">
        <v>0.04</v>
      </c>
      <c r="F3299" s="153" t="s">
        <v>135</v>
      </c>
      <c r="G3299" s="153">
        <v>1</v>
      </c>
      <c r="H3299" s="133" t="s">
        <v>39</v>
      </c>
      <c r="I3299" s="133"/>
      <c r="J3299" s="133" t="s">
        <v>2379</v>
      </c>
      <c r="K3299" s="133" t="s">
        <v>831</v>
      </c>
      <c r="L3299" s="167"/>
      <c r="M3299" s="48"/>
      <c r="N3299" s="123"/>
    </row>
    <row r="3300" spans="1:14" customFormat="1" x14ac:dyDescent="0.55000000000000004">
      <c r="A3300" s="132" t="s">
        <v>2380</v>
      </c>
      <c r="B3300" s="133" t="s">
        <v>2746</v>
      </c>
      <c r="C3300" s="133" t="s">
        <v>163</v>
      </c>
      <c r="D3300" s="133" t="s">
        <v>3288</v>
      </c>
      <c r="E3300" s="138">
        <v>0.60499999999999998</v>
      </c>
      <c r="F3300" s="153" t="s">
        <v>135</v>
      </c>
      <c r="G3300" s="153">
        <v>1</v>
      </c>
      <c r="H3300" s="133" t="s">
        <v>39</v>
      </c>
      <c r="I3300" s="133"/>
      <c r="J3300" s="133" t="s">
        <v>2379</v>
      </c>
      <c r="K3300" s="133" t="s">
        <v>831</v>
      </c>
      <c r="L3300" s="167"/>
      <c r="M3300" s="48"/>
      <c r="N3300" s="123"/>
    </row>
    <row r="3301" spans="1:14" customFormat="1" x14ac:dyDescent="0.55000000000000004">
      <c r="A3301" s="132" t="s">
        <v>2383</v>
      </c>
      <c r="B3301" s="133" t="s">
        <v>2747</v>
      </c>
      <c r="C3301" s="133" t="s">
        <v>121</v>
      </c>
      <c r="D3301" s="133" t="s">
        <v>2682</v>
      </c>
      <c r="E3301" s="138">
        <v>1</v>
      </c>
      <c r="F3301" s="153">
        <v>1</v>
      </c>
      <c r="G3301" s="153">
        <v>1</v>
      </c>
      <c r="H3301" s="133" t="s">
        <v>39</v>
      </c>
      <c r="I3301" s="133"/>
      <c r="J3301" s="133" t="s">
        <v>2382</v>
      </c>
      <c r="K3301" s="133" t="s">
        <v>831</v>
      </c>
      <c r="L3301" s="167"/>
      <c r="M3301" s="48"/>
      <c r="N3301" s="123"/>
    </row>
    <row r="3302" spans="1:14" customFormat="1" x14ac:dyDescent="0.55000000000000004">
      <c r="A3302" s="132" t="s">
        <v>2383</v>
      </c>
      <c r="B3302" s="133" t="s">
        <v>2748</v>
      </c>
      <c r="C3302" s="133" t="s">
        <v>348</v>
      </c>
      <c r="D3302" s="133" t="s">
        <v>3288</v>
      </c>
      <c r="E3302" s="138">
        <v>1</v>
      </c>
      <c r="F3302" s="153" t="s">
        <v>135</v>
      </c>
      <c r="G3302" s="153">
        <v>1</v>
      </c>
      <c r="H3302" s="133" t="s">
        <v>39</v>
      </c>
      <c r="I3302" s="133"/>
      <c r="J3302" s="133" t="s">
        <v>2382</v>
      </c>
      <c r="K3302" s="133" t="s">
        <v>831</v>
      </c>
      <c r="L3302" s="167"/>
      <c r="M3302" s="48"/>
      <c r="N3302" s="123"/>
    </row>
    <row r="3303" spans="1:14" customFormat="1" x14ac:dyDescent="0.55000000000000004">
      <c r="A3303" s="132" t="s">
        <v>2383</v>
      </c>
      <c r="B3303" s="133" t="s">
        <v>2737</v>
      </c>
      <c r="C3303" s="133" t="s">
        <v>156</v>
      </c>
      <c r="D3303" s="133" t="s">
        <v>3288</v>
      </c>
      <c r="E3303" s="138">
        <v>0.95199999999999996</v>
      </c>
      <c r="F3303" s="153" t="s">
        <v>135</v>
      </c>
      <c r="G3303" s="153">
        <v>1</v>
      </c>
      <c r="H3303" s="133" t="s">
        <v>39</v>
      </c>
      <c r="I3303" s="133"/>
      <c r="J3303" s="133" t="s">
        <v>2382</v>
      </c>
      <c r="K3303" s="133" t="s">
        <v>831</v>
      </c>
      <c r="L3303" s="167"/>
      <c r="M3303" s="48"/>
      <c r="N3303" s="123"/>
    </row>
    <row r="3304" spans="1:14" customFormat="1" x14ac:dyDescent="0.55000000000000004">
      <c r="A3304" s="132" t="s">
        <v>2383</v>
      </c>
      <c r="B3304" s="133" t="s">
        <v>2749</v>
      </c>
      <c r="C3304" s="133" t="s">
        <v>156</v>
      </c>
      <c r="D3304" s="133" t="s">
        <v>3288</v>
      </c>
      <c r="E3304" s="138">
        <v>4.8000000000000001E-2</v>
      </c>
      <c r="F3304" s="153" t="s">
        <v>135</v>
      </c>
      <c r="G3304" s="153">
        <v>1</v>
      </c>
      <c r="H3304" s="133" t="s">
        <v>39</v>
      </c>
      <c r="I3304" s="133"/>
      <c r="J3304" s="133" t="s">
        <v>2382</v>
      </c>
      <c r="K3304" s="133" t="s">
        <v>831</v>
      </c>
      <c r="L3304" s="167"/>
      <c r="M3304" s="48"/>
      <c r="N3304" s="123"/>
    </row>
    <row r="3305" spans="1:14" customFormat="1" x14ac:dyDescent="0.55000000000000004">
      <c r="A3305" s="132" t="s">
        <v>2383</v>
      </c>
      <c r="B3305" s="133" t="s">
        <v>153</v>
      </c>
      <c r="C3305" s="133" t="s">
        <v>127</v>
      </c>
      <c r="D3305" s="133" t="s">
        <v>2994</v>
      </c>
      <c r="E3305" s="138">
        <v>190</v>
      </c>
      <c r="F3305" s="153" t="s">
        <v>130</v>
      </c>
      <c r="G3305" s="153">
        <v>1</v>
      </c>
      <c r="H3305" s="133" t="s">
        <v>39</v>
      </c>
      <c r="I3305" s="133"/>
      <c r="J3305" s="133" t="s">
        <v>2382</v>
      </c>
      <c r="K3305" s="133" t="s">
        <v>831</v>
      </c>
      <c r="L3305" s="167"/>
      <c r="M3305" s="48"/>
      <c r="N3305" s="123"/>
    </row>
    <row r="3306" spans="1:14" customFormat="1" x14ac:dyDescent="0.55000000000000004">
      <c r="A3306" s="132" t="s">
        <v>2383</v>
      </c>
      <c r="B3306" s="133" t="s">
        <v>2694</v>
      </c>
      <c r="C3306" s="133" t="s">
        <v>127</v>
      </c>
      <c r="D3306" s="133" t="s">
        <v>2994</v>
      </c>
      <c r="E3306" s="138">
        <v>614.29999999999995</v>
      </c>
      <c r="F3306" s="153" t="s">
        <v>167</v>
      </c>
      <c r="G3306" s="153">
        <v>1</v>
      </c>
      <c r="H3306" s="133" t="s">
        <v>39</v>
      </c>
      <c r="I3306" s="133"/>
      <c r="J3306" s="133" t="s">
        <v>2382</v>
      </c>
      <c r="K3306" s="133" t="s">
        <v>831</v>
      </c>
      <c r="L3306" s="167"/>
      <c r="M3306" s="48"/>
      <c r="N3306" s="123"/>
    </row>
    <row r="3307" spans="1:14" customFormat="1" x14ac:dyDescent="0.55000000000000004">
      <c r="A3307" s="132" t="s">
        <v>2383</v>
      </c>
      <c r="B3307" s="133" t="s">
        <v>2726</v>
      </c>
      <c r="C3307" s="133" t="s">
        <v>127</v>
      </c>
      <c r="D3307" s="133" t="s">
        <v>2994</v>
      </c>
      <c r="E3307" s="138">
        <v>81.400000000000006</v>
      </c>
      <c r="F3307" s="153" t="s">
        <v>167</v>
      </c>
      <c r="G3307" s="153">
        <v>1</v>
      </c>
      <c r="H3307" s="133" t="s">
        <v>39</v>
      </c>
      <c r="I3307" s="133"/>
      <c r="J3307" s="133" t="s">
        <v>2382</v>
      </c>
      <c r="K3307" s="133" t="s">
        <v>831</v>
      </c>
      <c r="L3307" s="167"/>
      <c r="M3307" s="48"/>
      <c r="N3307" s="123"/>
    </row>
    <row r="3308" spans="1:14" customFormat="1" x14ac:dyDescent="0.55000000000000004">
      <c r="A3308" s="132" t="s">
        <v>2383</v>
      </c>
      <c r="B3308" s="133" t="s">
        <v>2727</v>
      </c>
      <c r="C3308" s="133" t="s">
        <v>125</v>
      </c>
      <c r="D3308" s="133" t="s">
        <v>3288</v>
      </c>
      <c r="E3308" s="138">
        <v>1.1000000000000001E-3</v>
      </c>
      <c r="F3308" s="153" t="s">
        <v>135</v>
      </c>
      <c r="G3308" s="153">
        <v>1</v>
      </c>
      <c r="H3308" s="133" t="s">
        <v>39</v>
      </c>
      <c r="I3308" s="133"/>
      <c r="J3308" s="133" t="s">
        <v>2382</v>
      </c>
      <c r="K3308" s="133" t="s">
        <v>831</v>
      </c>
      <c r="L3308" s="167"/>
      <c r="M3308" s="48"/>
      <c r="N3308" s="123"/>
    </row>
    <row r="3309" spans="1:14" customFormat="1" x14ac:dyDescent="0.55000000000000004">
      <c r="A3309" s="132" t="s">
        <v>2383</v>
      </c>
      <c r="B3309" s="133" t="s">
        <v>154</v>
      </c>
      <c r="C3309" s="133" t="s">
        <v>132</v>
      </c>
      <c r="D3309" s="133" t="s">
        <v>3288</v>
      </c>
      <c r="E3309" s="138">
        <v>4.2999999999999997E-2</v>
      </c>
      <c r="F3309" s="153" t="s">
        <v>135</v>
      </c>
      <c r="G3309" s="153">
        <v>1</v>
      </c>
      <c r="H3309" s="133" t="s">
        <v>39</v>
      </c>
      <c r="I3309" s="133"/>
      <c r="J3309" s="133" t="s">
        <v>2382</v>
      </c>
      <c r="K3309" s="133" t="s">
        <v>831</v>
      </c>
      <c r="L3309" s="167"/>
      <c r="M3309" s="48"/>
      <c r="N3309" s="123"/>
    </row>
    <row r="3310" spans="1:14" customFormat="1" x14ac:dyDescent="0.55000000000000004">
      <c r="A3310" s="132" t="s">
        <v>2383</v>
      </c>
      <c r="B3310" s="133" t="s">
        <v>422</v>
      </c>
      <c r="C3310" s="133" t="s">
        <v>125</v>
      </c>
      <c r="D3310" s="133" t="s">
        <v>3288</v>
      </c>
      <c r="E3310" s="138">
        <v>1.6000000000000001E-4</v>
      </c>
      <c r="F3310" s="153" t="s">
        <v>135</v>
      </c>
      <c r="G3310" s="153">
        <v>1</v>
      </c>
      <c r="H3310" s="133" t="s">
        <v>39</v>
      </c>
      <c r="I3310" s="133"/>
      <c r="J3310" s="133" t="s">
        <v>2382</v>
      </c>
      <c r="K3310" s="133" t="s">
        <v>831</v>
      </c>
      <c r="L3310" s="167"/>
      <c r="M3310" s="48"/>
      <c r="N3310" s="123"/>
    </row>
    <row r="3311" spans="1:14" customFormat="1" x14ac:dyDescent="0.55000000000000004">
      <c r="A3311" s="132" t="s">
        <v>2383</v>
      </c>
      <c r="B3311" s="133" t="s">
        <v>2728</v>
      </c>
      <c r="C3311" s="133" t="s">
        <v>125</v>
      </c>
      <c r="D3311" s="133" t="s">
        <v>3288</v>
      </c>
      <c r="E3311" s="138">
        <v>1.0000000000000001E-5</v>
      </c>
      <c r="F3311" s="153" t="s">
        <v>135</v>
      </c>
      <c r="G3311" s="153">
        <v>1</v>
      </c>
      <c r="H3311" s="133" t="s">
        <v>39</v>
      </c>
      <c r="I3311" s="133"/>
      <c r="J3311" s="133" t="s">
        <v>2382</v>
      </c>
      <c r="K3311" s="133" t="s">
        <v>831</v>
      </c>
      <c r="L3311" s="167"/>
      <c r="M3311" s="48"/>
      <c r="N3311" s="123"/>
    </row>
    <row r="3312" spans="1:14" customFormat="1" x14ac:dyDescent="0.55000000000000004">
      <c r="A3312" s="132" t="s">
        <v>2383</v>
      </c>
      <c r="B3312" s="133" t="s">
        <v>2729</v>
      </c>
      <c r="C3312" s="133" t="s">
        <v>125</v>
      </c>
      <c r="D3312" s="133" t="s">
        <v>3288</v>
      </c>
      <c r="E3312" s="138">
        <v>1.1E-4</v>
      </c>
      <c r="F3312" s="153" t="s">
        <v>135</v>
      </c>
      <c r="G3312" s="153">
        <v>1</v>
      </c>
      <c r="H3312" s="133" t="s">
        <v>39</v>
      </c>
      <c r="I3312" s="133"/>
      <c r="J3312" s="133" t="s">
        <v>2382</v>
      </c>
      <c r="K3312" s="133" t="s">
        <v>831</v>
      </c>
      <c r="L3312" s="167"/>
      <c r="M3312" s="48"/>
      <c r="N3312" s="123"/>
    </row>
    <row r="3313" spans="1:14" customFormat="1" x14ac:dyDescent="0.55000000000000004">
      <c r="A3313" s="132" t="s">
        <v>2383</v>
      </c>
      <c r="B3313" s="133" t="s">
        <v>603</v>
      </c>
      <c r="C3313" s="133" t="s">
        <v>125</v>
      </c>
      <c r="D3313" s="133" t="s">
        <v>3288</v>
      </c>
      <c r="E3313" s="138">
        <v>1.2999999999999999E-4</v>
      </c>
      <c r="F3313" s="153" t="s">
        <v>135</v>
      </c>
      <c r="G3313" s="153">
        <v>1</v>
      </c>
      <c r="H3313" s="133" t="s">
        <v>39</v>
      </c>
      <c r="I3313" s="133"/>
      <c r="J3313" s="133" t="s">
        <v>2382</v>
      </c>
      <c r="K3313" s="133" t="s">
        <v>831</v>
      </c>
      <c r="L3313" s="167"/>
      <c r="M3313" s="48"/>
      <c r="N3313" s="123"/>
    </row>
    <row r="3314" spans="1:14" customFormat="1" x14ac:dyDescent="0.55000000000000004">
      <c r="A3314" s="132" t="s">
        <v>2383</v>
      </c>
      <c r="B3314" s="133" t="s">
        <v>2730</v>
      </c>
      <c r="C3314" s="133" t="s">
        <v>348</v>
      </c>
      <c r="D3314" s="133" t="s">
        <v>3288</v>
      </c>
      <c r="E3314" s="138">
        <v>4.4000000000000002E-4</v>
      </c>
      <c r="F3314" s="153" t="s">
        <v>135</v>
      </c>
      <c r="G3314" s="153">
        <v>1</v>
      </c>
      <c r="H3314" s="133" t="s">
        <v>39</v>
      </c>
      <c r="I3314" s="133"/>
      <c r="J3314" s="133" t="s">
        <v>2382</v>
      </c>
      <c r="K3314" s="133" t="s">
        <v>831</v>
      </c>
      <c r="L3314" s="167"/>
      <c r="M3314" s="48"/>
      <c r="N3314" s="123"/>
    </row>
    <row r="3315" spans="1:14" customFormat="1" x14ac:dyDescent="0.55000000000000004">
      <c r="A3315" s="132" t="s">
        <v>2383</v>
      </c>
      <c r="B3315" s="133" t="s">
        <v>2731</v>
      </c>
      <c r="C3315" s="133" t="s">
        <v>156</v>
      </c>
      <c r="D3315" s="133" t="s">
        <v>3288</v>
      </c>
      <c r="E3315" s="138">
        <v>1.1900000000000001E-3</v>
      </c>
      <c r="F3315" s="153" t="s">
        <v>135</v>
      </c>
      <c r="G3315" s="153">
        <v>1</v>
      </c>
      <c r="H3315" s="133" t="s">
        <v>39</v>
      </c>
      <c r="I3315" s="133"/>
      <c r="J3315" s="133" t="s">
        <v>2382</v>
      </c>
      <c r="K3315" s="133" t="s">
        <v>831</v>
      </c>
      <c r="L3315" s="167"/>
      <c r="M3315" s="48"/>
      <c r="N3315" s="123"/>
    </row>
    <row r="3316" spans="1:14" customFormat="1" x14ac:dyDescent="0.55000000000000004">
      <c r="A3316" s="132" t="s">
        <v>2383</v>
      </c>
      <c r="B3316" s="133" t="s">
        <v>2732</v>
      </c>
      <c r="C3316" s="133" t="s">
        <v>163</v>
      </c>
      <c r="D3316" s="133" t="s">
        <v>3288</v>
      </c>
      <c r="E3316" s="138">
        <v>6.3E-3</v>
      </c>
      <c r="F3316" s="153" t="s">
        <v>135</v>
      </c>
      <c r="G3316" s="153">
        <v>1</v>
      </c>
      <c r="H3316" s="133" t="s">
        <v>39</v>
      </c>
      <c r="I3316" s="133"/>
      <c r="J3316" s="133" t="s">
        <v>2382</v>
      </c>
      <c r="K3316" s="133" t="s">
        <v>831</v>
      </c>
      <c r="L3316" s="167"/>
      <c r="M3316" s="48"/>
      <c r="N3316" s="123"/>
    </row>
    <row r="3317" spans="1:14" customFormat="1" x14ac:dyDescent="0.55000000000000004">
      <c r="A3317" s="132" t="s">
        <v>2383</v>
      </c>
      <c r="B3317" s="133" t="s">
        <v>2733</v>
      </c>
      <c r="C3317" s="133" t="s">
        <v>163</v>
      </c>
      <c r="D3317" s="133" t="s">
        <v>3288</v>
      </c>
      <c r="E3317" s="138">
        <v>8.0000000000000002E-3</v>
      </c>
      <c r="F3317" s="153" t="s">
        <v>135</v>
      </c>
      <c r="G3317" s="153">
        <v>1</v>
      </c>
      <c r="H3317" s="133" t="s">
        <v>39</v>
      </c>
      <c r="I3317" s="133"/>
      <c r="J3317" s="133" t="s">
        <v>2382</v>
      </c>
      <c r="K3317" s="133" t="s">
        <v>831</v>
      </c>
      <c r="L3317" s="167"/>
      <c r="M3317" s="48"/>
      <c r="N3317" s="123"/>
    </row>
    <row r="3318" spans="1:14" customFormat="1" x14ac:dyDescent="0.55000000000000004">
      <c r="A3318" s="132" t="s">
        <v>2383</v>
      </c>
      <c r="B3318" s="133" t="s">
        <v>2734</v>
      </c>
      <c r="C3318" s="133" t="s">
        <v>163</v>
      </c>
      <c r="D3318" s="133" t="s">
        <v>3288</v>
      </c>
      <c r="E3318" s="138">
        <v>3.3500000000000001E-3</v>
      </c>
      <c r="F3318" s="153" t="s">
        <v>135</v>
      </c>
      <c r="G3318" s="153">
        <v>1</v>
      </c>
      <c r="H3318" s="133" t="s">
        <v>39</v>
      </c>
      <c r="I3318" s="133"/>
      <c r="J3318" s="133" t="s">
        <v>2382</v>
      </c>
      <c r="K3318" s="133" t="s">
        <v>831</v>
      </c>
      <c r="L3318" s="167"/>
      <c r="M3318" s="48"/>
      <c r="N3318" s="123"/>
    </row>
    <row r="3319" spans="1:14" customFormat="1" x14ac:dyDescent="0.55000000000000004">
      <c r="A3319" s="132" t="s">
        <v>2385</v>
      </c>
      <c r="B3319" s="133" t="s">
        <v>2750</v>
      </c>
      <c r="C3319" s="133" t="s">
        <v>121</v>
      </c>
      <c r="D3319" s="133" t="s">
        <v>2682</v>
      </c>
      <c r="E3319" s="138">
        <v>1</v>
      </c>
      <c r="F3319" s="153">
        <v>1</v>
      </c>
      <c r="G3319" s="153">
        <v>1</v>
      </c>
      <c r="H3319" s="133" t="s">
        <v>39</v>
      </c>
      <c r="I3319" s="133"/>
      <c r="J3319" s="133" t="s">
        <v>2384</v>
      </c>
      <c r="K3319" s="133" t="s">
        <v>831</v>
      </c>
      <c r="L3319" s="167"/>
      <c r="M3319" s="48"/>
      <c r="N3319" s="123"/>
    </row>
    <row r="3320" spans="1:14" customFormat="1" x14ac:dyDescent="0.55000000000000004">
      <c r="A3320" s="132" t="s">
        <v>2385</v>
      </c>
      <c r="B3320" s="133" t="s">
        <v>2751</v>
      </c>
      <c r="C3320" s="133" t="s">
        <v>348</v>
      </c>
      <c r="D3320" s="133" t="s">
        <v>3288</v>
      </c>
      <c r="E3320" s="138">
        <v>1</v>
      </c>
      <c r="F3320" s="153" t="s">
        <v>122</v>
      </c>
      <c r="G3320" s="153">
        <v>1</v>
      </c>
      <c r="H3320" s="133" t="s">
        <v>39</v>
      </c>
      <c r="I3320" s="133"/>
      <c r="J3320" s="133" t="s">
        <v>2384</v>
      </c>
      <c r="K3320" s="133" t="s">
        <v>831</v>
      </c>
      <c r="L3320" s="167"/>
      <c r="M3320" s="48"/>
      <c r="N3320" s="123"/>
    </row>
    <row r="3321" spans="1:14" customFormat="1" x14ac:dyDescent="0.55000000000000004">
      <c r="A3321" s="132" t="s">
        <v>2385</v>
      </c>
      <c r="B3321" s="133" t="s">
        <v>2594</v>
      </c>
      <c r="C3321" s="133" t="s">
        <v>127</v>
      </c>
      <c r="D3321" s="133" t="s">
        <v>2994</v>
      </c>
      <c r="E3321" s="138">
        <v>0.11683999999999999</v>
      </c>
      <c r="F3321" s="153" t="s">
        <v>167</v>
      </c>
      <c r="G3321" s="153">
        <v>1</v>
      </c>
      <c r="H3321" s="133" t="s">
        <v>39</v>
      </c>
      <c r="I3321" s="133"/>
      <c r="J3321" s="133" t="s">
        <v>2384</v>
      </c>
      <c r="K3321" s="133" t="s">
        <v>831</v>
      </c>
      <c r="L3321" s="167"/>
      <c r="M3321" s="48"/>
      <c r="N3321" s="123"/>
    </row>
    <row r="3322" spans="1:14" customFormat="1" x14ac:dyDescent="0.55000000000000004">
      <c r="A3322" s="132" t="s">
        <v>2385</v>
      </c>
      <c r="B3322" s="133" t="s">
        <v>153</v>
      </c>
      <c r="C3322" s="133" t="s">
        <v>127</v>
      </c>
      <c r="D3322" s="133" t="s">
        <v>2994</v>
      </c>
      <c r="E3322" s="138">
        <v>0.140625</v>
      </c>
      <c r="F3322" s="153" t="s">
        <v>130</v>
      </c>
      <c r="G3322" s="153">
        <v>1</v>
      </c>
      <c r="H3322" s="133" t="s">
        <v>39</v>
      </c>
      <c r="I3322" s="133"/>
      <c r="J3322" s="133" t="s">
        <v>2384</v>
      </c>
      <c r="K3322" s="133" t="s">
        <v>831</v>
      </c>
      <c r="L3322" s="167"/>
      <c r="M3322" s="48"/>
      <c r="N3322" s="123"/>
    </row>
    <row r="3323" spans="1:14" customFormat="1" x14ac:dyDescent="0.55000000000000004">
      <c r="A3323" s="132" t="s">
        <v>2385</v>
      </c>
      <c r="B3323" s="133" t="s">
        <v>508</v>
      </c>
      <c r="C3323" s="133" t="s">
        <v>127</v>
      </c>
      <c r="D3323" s="133" t="s">
        <v>2994</v>
      </c>
      <c r="E3323" s="138">
        <v>1.2370312500000001E-2</v>
      </c>
      <c r="F3323" s="153" t="s">
        <v>167</v>
      </c>
      <c r="G3323" s="153">
        <v>1</v>
      </c>
      <c r="H3323" s="133" t="s">
        <v>39</v>
      </c>
      <c r="I3323" s="133"/>
      <c r="J3323" s="133" t="s">
        <v>2384</v>
      </c>
      <c r="K3323" s="133" t="s">
        <v>831</v>
      </c>
      <c r="L3323" s="167"/>
      <c r="M3323" s="48"/>
      <c r="N3323" s="123"/>
    </row>
    <row r="3324" spans="1:14" customFormat="1" x14ac:dyDescent="0.55000000000000004">
      <c r="A3324" s="132" t="s">
        <v>2385</v>
      </c>
      <c r="B3324" s="133" t="s">
        <v>2752</v>
      </c>
      <c r="C3324" s="133" t="s">
        <v>156</v>
      </c>
      <c r="D3324" s="133" t="s">
        <v>3288</v>
      </c>
      <c r="E3324" s="138">
        <v>0.55762500000000004</v>
      </c>
      <c r="F3324" s="153" t="s">
        <v>122</v>
      </c>
      <c r="G3324" s="153">
        <v>1</v>
      </c>
      <c r="H3324" s="133" t="s">
        <v>39</v>
      </c>
      <c r="I3324" s="133"/>
      <c r="J3324" s="133" t="s">
        <v>2384</v>
      </c>
      <c r="K3324" s="133" t="s">
        <v>831</v>
      </c>
      <c r="L3324" s="167"/>
      <c r="M3324" s="48"/>
      <c r="N3324" s="123"/>
    </row>
    <row r="3325" spans="1:14" customFormat="1" x14ac:dyDescent="0.55000000000000004">
      <c r="A3325" s="132" t="s">
        <v>2385</v>
      </c>
      <c r="B3325" s="133" t="s">
        <v>2753</v>
      </c>
      <c r="C3325" s="133" t="s">
        <v>156</v>
      </c>
      <c r="D3325" s="133" t="s">
        <v>3288</v>
      </c>
      <c r="E3325" s="138">
        <v>2.0399999999999998E-2</v>
      </c>
      <c r="F3325" s="153" t="s">
        <v>122</v>
      </c>
      <c r="G3325" s="153">
        <v>1</v>
      </c>
      <c r="H3325" s="133" t="s">
        <v>39</v>
      </c>
      <c r="I3325" s="133"/>
      <c r="J3325" s="133" t="s">
        <v>2384</v>
      </c>
      <c r="K3325" s="133" t="s">
        <v>831</v>
      </c>
      <c r="L3325" s="167"/>
      <c r="M3325" s="48"/>
      <c r="N3325" s="123"/>
    </row>
    <row r="3326" spans="1:14" customFormat="1" x14ac:dyDescent="0.55000000000000004">
      <c r="A3326" s="132" t="s">
        <v>2385</v>
      </c>
      <c r="B3326" s="133" t="s">
        <v>2754</v>
      </c>
      <c r="C3326" s="133" t="s">
        <v>156</v>
      </c>
      <c r="D3326" s="133" t="s">
        <v>3288</v>
      </c>
      <c r="E3326" s="138">
        <v>8.0999999999999996E-3</v>
      </c>
      <c r="F3326" s="153" t="s">
        <v>122</v>
      </c>
      <c r="G3326" s="153">
        <v>1</v>
      </c>
      <c r="H3326" s="133" t="s">
        <v>39</v>
      </c>
      <c r="I3326" s="133"/>
      <c r="J3326" s="133" t="s">
        <v>2384</v>
      </c>
      <c r="K3326" s="133" t="s">
        <v>831</v>
      </c>
      <c r="L3326" s="167"/>
      <c r="M3326" s="48"/>
      <c r="N3326" s="123"/>
    </row>
    <row r="3327" spans="1:14" customFormat="1" x14ac:dyDescent="0.55000000000000004">
      <c r="A3327" s="132" t="s">
        <v>2385</v>
      </c>
      <c r="B3327" s="133" t="s">
        <v>2755</v>
      </c>
      <c r="C3327" s="133" t="s">
        <v>156</v>
      </c>
      <c r="D3327" s="133" t="s">
        <v>3288</v>
      </c>
      <c r="E3327" s="138">
        <v>0.16350000000000001</v>
      </c>
      <c r="F3327" s="153" t="s">
        <v>122</v>
      </c>
      <c r="G3327" s="153">
        <v>1</v>
      </c>
      <c r="H3327" s="133" t="s">
        <v>39</v>
      </c>
      <c r="I3327" s="133"/>
      <c r="J3327" s="133" t="s">
        <v>2384</v>
      </c>
      <c r="K3327" s="133" t="s">
        <v>831</v>
      </c>
      <c r="L3327" s="167"/>
      <c r="M3327" s="48"/>
      <c r="N3327" s="123"/>
    </row>
    <row r="3328" spans="1:14" customFormat="1" x14ac:dyDescent="0.55000000000000004">
      <c r="A3328" s="132" t="s">
        <v>2385</v>
      </c>
      <c r="B3328" s="133" t="s">
        <v>2756</v>
      </c>
      <c r="C3328" s="133" t="s">
        <v>156</v>
      </c>
      <c r="D3328" s="133" t="s">
        <v>3288</v>
      </c>
      <c r="E3328" s="138">
        <v>1.5000000000000001E-4</v>
      </c>
      <c r="F3328" s="153" t="s">
        <v>122</v>
      </c>
      <c r="G3328" s="153">
        <v>1</v>
      </c>
      <c r="H3328" s="133" t="s">
        <v>39</v>
      </c>
      <c r="I3328" s="133"/>
      <c r="J3328" s="133" t="s">
        <v>2384</v>
      </c>
      <c r="K3328" s="133" t="s">
        <v>831</v>
      </c>
      <c r="L3328" s="167"/>
      <c r="M3328" s="48"/>
      <c r="N3328" s="123"/>
    </row>
    <row r="3329" spans="1:14" customFormat="1" x14ac:dyDescent="0.55000000000000004">
      <c r="A3329" s="132" t="s">
        <v>2385</v>
      </c>
      <c r="B3329" s="133" t="s">
        <v>2757</v>
      </c>
      <c r="C3329" s="133" t="s">
        <v>156</v>
      </c>
      <c r="D3329" s="133" t="s">
        <v>3288</v>
      </c>
      <c r="E3329" s="138">
        <v>1.5000000000000001E-4</v>
      </c>
      <c r="F3329" s="153" t="s">
        <v>122</v>
      </c>
      <c r="G3329" s="153">
        <v>1</v>
      </c>
      <c r="H3329" s="133" t="s">
        <v>39</v>
      </c>
      <c r="I3329" s="133"/>
      <c r="J3329" s="133" t="s">
        <v>2384</v>
      </c>
      <c r="K3329" s="133" t="s">
        <v>831</v>
      </c>
      <c r="L3329" s="167"/>
      <c r="M3329" s="48"/>
      <c r="N3329" s="123"/>
    </row>
    <row r="3330" spans="1:14" customFormat="1" x14ac:dyDescent="0.55000000000000004">
      <c r="A3330" s="132" t="s">
        <v>2385</v>
      </c>
      <c r="B3330" s="133" t="s">
        <v>2746</v>
      </c>
      <c r="C3330" s="133" t="s">
        <v>163</v>
      </c>
      <c r="D3330" s="133" t="s">
        <v>3288</v>
      </c>
      <c r="E3330" s="138">
        <v>0.25</v>
      </c>
      <c r="F3330" s="153" t="s">
        <v>122</v>
      </c>
      <c r="G3330" s="153">
        <v>1</v>
      </c>
      <c r="H3330" s="133" t="s">
        <v>39</v>
      </c>
      <c r="I3330" s="133"/>
      <c r="J3330" s="133" t="s">
        <v>2384</v>
      </c>
      <c r="K3330" s="133" t="s">
        <v>831</v>
      </c>
      <c r="L3330" s="167"/>
      <c r="M3330" s="48"/>
      <c r="N3330" s="123"/>
    </row>
    <row r="3331" spans="1:14" customFormat="1" x14ac:dyDescent="0.55000000000000004">
      <c r="A3331" s="132" t="s">
        <v>2389</v>
      </c>
      <c r="B3331" s="133" t="s">
        <v>2758</v>
      </c>
      <c r="C3331" s="133" t="s">
        <v>121</v>
      </c>
      <c r="D3331" s="133" t="s">
        <v>2682</v>
      </c>
      <c r="E3331" s="138">
        <v>1</v>
      </c>
      <c r="F3331" s="153">
        <v>1</v>
      </c>
      <c r="G3331" s="153">
        <v>1</v>
      </c>
      <c r="H3331" s="133" t="s">
        <v>39</v>
      </c>
      <c r="I3331" s="133"/>
      <c r="J3331" s="133" t="s">
        <v>2388</v>
      </c>
      <c r="K3331" s="133" t="s">
        <v>831</v>
      </c>
      <c r="L3331" s="167"/>
      <c r="M3331" s="48"/>
      <c r="N3331" s="123"/>
    </row>
    <row r="3332" spans="1:14" customFormat="1" x14ac:dyDescent="0.55000000000000004">
      <c r="A3332" s="132" t="s">
        <v>2389</v>
      </c>
      <c r="B3332" s="133" t="s">
        <v>2759</v>
      </c>
      <c r="C3332" s="133" t="s">
        <v>348</v>
      </c>
      <c r="D3332" s="133" t="s">
        <v>3288</v>
      </c>
      <c r="E3332" s="138">
        <v>1</v>
      </c>
      <c r="F3332" s="153" t="s">
        <v>122</v>
      </c>
      <c r="G3332" s="153">
        <v>1</v>
      </c>
      <c r="H3332" s="133" t="s">
        <v>39</v>
      </c>
      <c r="I3332" s="133"/>
      <c r="J3332" s="133" t="s">
        <v>2388</v>
      </c>
      <c r="K3332" s="133" t="s">
        <v>831</v>
      </c>
      <c r="L3332" s="167"/>
      <c r="M3332" s="48"/>
      <c r="N3332" s="123"/>
    </row>
    <row r="3333" spans="1:14" customFormat="1" x14ac:dyDescent="0.55000000000000004">
      <c r="A3333" s="132" t="s">
        <v>2389</v>
      </c>
      <c r="B3333" s="133" t="s">
        <v>2594</v>
      </c>
      <c r="C3333" s="133" t="s">
        <v>127</v>
      </c>
      <c r="D3333" s="133" t="s">
        <v>2994</v>
      </c>
      <c r="E3333" s="138">
        <v>0.11908465116279068</v>
      </c>
      <c r="F3333" s="153" t="s">
        <v>167</v>
      </c>
      <c r="G3333" s="153">
        <v>1</v>
      </c>
      <c r="H3333" s="133" t="s">
        <v>39</v>
      </c>
      <c r="I3333" s="133"/>
      <c r="J3333" s="133" t="s">
        <v>2388</v>
      </c>
      <c r="K3333" s="133" t="s">
        <v>831</v>
      </c>
      <c r="L3333" s="167"/>
      <c r="M3333" s="48"/>
      <c r="N3333" s="123"/>
    </row>
    <row r="3334" spans="1:14" customFormat="1" x14ac:dyDescent="0.55000000000000004">
      <c r="A3334" s="132" t="s">
        <v>2389</v>
      </c>
      <c r="B3334" s="133" t="s">
        <v>153</v>
      </c>
      <c r="C3334" s="133" t="s">
        <v>127</v>
      </c>
      <c r="D3334" s="133" t="s">
        <v>2994</v>
      </c>
      <c r="E3334" s="138">
        <v>0.14348837209302326</v>
      </c>
      <c r="F3334" s="153" t="s">
        <v>130</v>
      </c>
      <c r="G3334" s="153">
        <v>1</v>
      </c>
      <c r="H3334" s="133" t="s">
        <v>39</v>
      </c>
      <c r="I3334" s="133"/>
      <c r="J3334" s="133" t="s">
        <v>2388</v>
      </c>
      <c r="K3334" s="133" t="s">
        <v>831</v>
      </c>
      <c r="L3334" s="167"/>
      <c r="M3334" s="48"/>
      <c r="N3334" s="123"/>
    </row>
    <row r="3335" spans="1:14" customFormat="1" x14ac:dyDescent="0.55000000000000004">
      <c r="A3335" s="132" t="s">
        <v>2389</v>
      </c>
      <c r="B3335" s="133" t="s">
        <v>508</v>
      </c>
      <c r="C3335" s="133" t="s">
        <v>127</v>
      </c>
      <c r="D3335" s="133" t="s">
        <v>2994</v>
      </c>
      <c r="E3335" s="138">
        <v>9.360000000000002E-3</v>
      </c>
      <c r="F3335" s="153" t="s">
        <v>167</v>
      </c>
      <c r="G3335" s="153">
        <v>1</v>
      </c>
      <c r="H3335" s="133" t="s">
        <v>39</v>
      </c>
      <c r="I3335" s="133"/>
      <c r="J3335" s="133" t="s">
        <v>2388</v>
      </c>
      <c r="K3335" s="133" t="s">
        <v>831</v>
      </c>
      <c r="L3335" s="167"/>
      <c r="M3335" s="48"/>
      <c r="N3335" s="123"/>
    </row>
    <row r="3336" spans="1:14" customFormat="1" x14ac:dyDescent="0.55000000000000004">
      <c r="A3336" s="132" t="s">
        <v>2389</v>
      </c>
      <c r="B3336" s="133" t="s">
        <v>2752</v>
      </c>
      <c r="C3336" s="133" t="s">
        <v>156</v>
      </c>
      <c r="D3336" s="133" t="s">
        <v>3288</v>
      </c>
      <c r="E3336" s="138">
        <v>0.53407199999999999</v>
      </c>
      <c r="F3336" s="153" t="s">
        <v>122</v>
      </c>
      <c r="G3336" s="153">
        <v>1</v>
      </c>
      <c r="H3336" s="133" t="s">
        <v>39</v>
      </c>
      <c r="I3336" s="133"/>
      <c r="J3336" s="133" t="s">
        <v>2388</v>
      </c>
      <c r="K3336" s="133" t="s">
        <v>831</v>
      </c>
      <c r="L3336" s="167"/>
      <c r="M3336" s="48"/>
      <c r="N3336" s="123"/>
    </row>
    <row r="3337" spans="1:14" customFormat="1" x14ac:dyDescent="0.55000000000000004">
      <c r="A3337" s="132" t="s">
        <v>2389</v>
      </c>
      <c r="B3337" s="133" t="s">
        <v>2753</v>
      </c>
      <c r="C3337" s="133" t="s">
        <v>156</v>
      </c>
      <c r="D3337" s="133" t="s">
        <v>3288</v>
      </c>
      <c r="E3337" s="138">
        <v>0.16648799999999997</v>
      </c>
      <c r="F3337" s="153" t="s">
        <v>122</v>
      </c>
      <c r="G3337" s="153">
        <v>1</v>
      </c>
      <c r="H3337" s="133" t="s">
        <v>39</v>
      </c>
      <c r="I3337" s="133"/>
      <c r="J3337" s="133" t="s">
        <v>2388</v>
      </c>
      <c r="K3337" s="133" t="s">
        <v>831</v>
      </c>
      <c r="L3337" s="167"/>
      <c r="M3337" s="48"/>
      <c r="N3337" s="123"/>
    </row>
    <row r="3338" spans="1:14" customFormat="1" x14ac:dyDescent="0.55000000000000004">
      <c r="A3338" s="132" t="s">
        <v>2389</v>
      </c>
      <c r="B3338" s="133" t="s">
        <v>2754</v>
      </c>
      <c r="C3338" s="133" t="s">
        <v>156</v>
      </c>
      <c r="D3338" s="133" t="s">
        <v>3288</v>
      </c>
      <c r="E3338" s="138">
        <v>7.1316000000000004E-2</v>
      </c>
      <c r="F3338" s="153" t="s">
        <v>122</v>
      </c>
      <c r="G3338" s="153">
        <v>1</v>
      </c>
      <c r="H3338" s="133" t="s">
        <v>39</v>
      </c>
      <c r="I3338" s="133"/>
      <c r="J3338" s="133" t="s">
        <v>2388</v>
      </c>
      <c r="K3338" s="133" t="s">
        <v>831</v>
      </c>
      <c r="L3338" s="167"/>
      <c r="M3338" s="48"/>
      <c r="N3338" s="123"/>
    </row>
    <row r="3339" spans="1:14" customFormat="1" x14ac:dyDescent="0.55000000000000004">
      <c r="A3339" s="132" t="s">
        <v>2389</v>
      </c>
      <c r="B3339" s="133" t="s">
        <v>2755</v>
      </c>
      <c r="C3339" s="133" t="s">
        <v>156</v>
      </c>
      <c r="D3339" s="133" t="s">
        <v>3288</v>
      </c>
      <c r="E3339" s="138">
        <v>5.4851999999999998E-2</v>
      </c>
      <c r="F3339" s="153" t="s">
        <v>122</v>
      </c>
      <c r="G3339" s="153">
        <v>1</v>
      </c>
      <c r="H3339" s="133" t="s">
        <v>39</v>
      </c>
      <c r="I3339" s="133"/>
      <c r="J3339" s="133" t="s">
        <v>2388</v>
      </c>
      <c r="K3339" s="133" t="s">
        <v>831</v>
      </c>
      <c r="L3339" s="167"/>
      <c r="M3339" s="48"/>
      <c r="N3339" s="123"/>
    </row>
    <row r="3340" spans="1:14" customFormat="1" x14ac:dyDescent="0.55000000000000004">
      <c r="A3340" s="132" t="s">
        <v>2389</v>
      </c>
      <c r="B3340" s="133" t="s">
        <v>2756</v>
      </c>
      <c r="C3340" s="133" t="s">
        <v>156</v>
      </c>
      <c r="D3340" s="133" t="s">
        <v>3288</v>
      </c>
      <c r="E3340" s="138">
        <v>6.6360000000000004E-3</v>
      </c>
      <c r="F3340" s="153" t="s">
        <v>122</v>
      </c>
      <c r="G3340" s="153">
        <v>1</v>
      </c>
      <c r="H3340" s="133" t="s">
        <v>39</v>
      </c>
      <c r="I3340" s="133"/>
      <c r="J3340" s="133" t="s">
        <v>2388</v>
      </c>
      <c r="K3340" s="133" t="s">
        <v>831</v>
      </c>
      <c r="L3340" s="167"/>
      <c r="M3340" s="48"/>
      <c r="N3340" s="123"/>
    </row>
    <row r="3341" spans="1:14" customFormat="1" x14ac:dyDescent="0.55000000000000004">
      <c r="A3341" s="132" t="s">
        <v>2389</v>
      </c>
      <c r="B3341" s="133" t="s">
        <v>2757</v>
      </c>
      <c r="C3341" s="133" t="s">
        <v>156</v>
      </c>
      <c r="D3341" s="133" t="s">
        <v>3288</v>
      </c>
      <c r="E3341" s="138">
        <v>6.6360000000000004E-3</v>
      </c>
      <c r="F3341" s="153" t="s">
        <v>122</v>
      </c>
      <c r="G3341" s="153">
        <v>1</v>
      </c>
      <c r="H3341" s="133" t="s">
        <v>39</v>
      </c>
      <c r="I3341" s="133"/>
      <c r="J3341" s="133" t="s">
        <v>2388</v>
      </c>
      <c r="K3341" s="133" t="s">
        <v>831</v>
      </c>
      <c r="L3341" s="167"/>
      <c r="M3341" s="48"/>
      <c r="N3341" s="123"/>
    </row>
    <row r="3342" spans="1:14" customFormat="1" x14ac:dyDescent="0.55000000000000004">
      <c r="A3342" s="132" t="s">
        <v>2389</v>
      </c>
      <c r="B3342" s="133" t="s">
        <v>2746</v>
      </c>
      <c r="C3342" s="133" t="s">
        <v>163</v>
      </c>
      <c r="D3342" s="133" t="s">
        <v>3288</v>
      </c>
      <c r="E3342" s="138">
        <v>0.16</v>
      </c>
      <c r="F3342" s="153" t="s">
        <v>122</v>
      </c>
      <c r="G3342" s="153">
        <v>1</v>
      </c>
      <c r="H3342" s="133" t="s">
        <v>39</v>
      </c>
      <c r="I3342" s="133"/>
      <c r="J3342" s="133" t="s">
        <v>2388</v>
      </c>
      <c r="K3342" s="133" t="s">
        <v>831</v>
      </c>
      <c r="L3342" s="167"/>
      <c r="M3342" s="48"/>
      <c r="N3342" s="123"/>
    </row>
    <row r="3343" spans="1:14" customFormat="1" x14ac:dyDescent="0.55000000000000004">
      <c r="A3343" s="132" t="s">
        <v>2392</v>
      </c>
      <c r="B3343" s="133" t="s">
        <v>2760</v>
      </c>
      <c r="C3343" s="133" t="s">
        <v>121</v>
      </c>
      <c r="D3343" s="133" t="s">
        <v>2682</v>
      </c>
      <c r="E3343" s="138">
        <v>1</v>
      </c>
      <c r="F3343" s="153">
        <v>1</v>
      </c>
      <c r="G3343" s="153">
        <v>1</v>
      </c>
      <c r="H3343" s="133" t="s">
        <v>39</v>
      </c>
      <c r="I3343" s="133"/>
      <c r="J3343" s="133" t="s">
        <v>2391</v>
      </c>
      <c r="K3343" s="133" t="s">
        <v>831</v>
      </c>
      <c r="L3343" s="167"/>
      <c r="M3343" s="48"/>
      <c r="N3343" s="123"/>
    </row>
    <row r="3344" spans="1:14" customFormat="1" x14ac:dyDescent="0.55000000000000004">
      <c r="A3344" s="132" t="s">
        <v>2392</v>
      </c>
      <c r="B3344" s="133" t="s">
        <v>2761</v>
      </c>
      <c r="C3344" s="133" t="s">
        <v>348</v>
      </c>
      <c r="D3344" s="133" t="s">
        <v>3288</v>
      </c>
      <c r="E3344" s="138">
        <v>1</v>
      </c>
      <c r="F3344" s="153" t="s">
        <v>122</v>
      </c>
      <c r="G3344" s="153">
        <v>1</v>
      </c>
      <c r="H3344" s="133" t="s">
        <v>39</v>
      </c>
      <c r="I3344" s="133"/>
      <c r="J3344" s="133" t="s">
        <v>2391</v>
      </c>
      <c r="K3344" s="133" t="s">
        <v>831</v>
      </c>
      <c r="L3344" s="167"/>
      <c r="M3344" s="48"/>
      <c r="N3344" s="123"/>
    </row>
    <row r="3345" spans="1:14" customFormat="1" x14ac:dyDescent="0.55000000000000004">
      <c r="A3345" s="132" t="s">
        <v>2392</v>
      </c>
      <c r="B3345" s="133" t="s">
        <v>2594</v>
      </c>
      <c r="C3345" s="133" t="s">
        <v>127</v>
      </c>
      <c r="D3345" s="133" t="s">
        <v>2994</v>
      </c>
      <c r="E3345" s="138">
        <v>0.13655793103448274</v>
      </c>
      <c r="F3345" s="153" t="s">
        <v>167</v>
      </c>
      <c r="G3345" s="153">
        <v>1</v>
      </c>
      <c r="H3345" s="133" t="s">
        <v>39</v>
      </c>
      <c r="I3345" s="133"/>
      <c r="J3345" s="133" t="s">
        <v>2391</v>
      </c>
      <c r="K3345" s="133" t="s">
        <v>831</v>
      </c>
      <c r="L3345" s="167"/>
      <c r="M3345" s="48"/>
      <c r="N3345" s="123"/>
    </row>
    <row r="3346" spans="1:14" customFormat="1" x14ac:dyDescent="0.55000000000000004">
      <c r="A3346" s="132" t="s">
        <v>2392</v>
      </c>
      <c r="B3346" s="133" t="s">
        <v>153</v>
      </c>
      <c r="C3346" s="133" t="s">
        <v>127</v>
      </c>
      <c r="D3346" s="133" t="s">
        <v>2994</v>
      </c>
      <c r="E3346" s="138">
        <v>0.14189655172413793</v>
      </c>
      <c r="F3346" s="153" t="s">
        <v>130</v>
      </c>
      <c r="G3346" s="153">
        <v>1</v>
      </c>
      <c r="H3346" s="133" t="s">
        <v>39</v>
      </c>
      <c r="I3346" s="133"/>
      <c r="J3346" s="133" t="s">
        <v>2391</v>
      </c>
      <c r="K3346" s="133" t="s">
        <v>831</v>
      </c>
      <c r="L3346" s="167"/>
      <c r="M3346" s="48"/>
      <c r="N3346" s="123"/>
    </row>
    <row r="3347" spans="1:14" customFormat="1" x14ac:dyDescent="0.55000000000000004">
      <c r="A3347" s="132" t="s">
        <v>2392</v>
      </c>
      <c r="B3347" s="133" t="s">
        <v>508</v>
      </c>
      <c r="C3347" s="133" t="s">
        <v>127</v>
      </c>
      <c r="D3347" s="133" t="s">
        <v>2994</v>
      </c>
      <c r="E3347" s="138">
        <v>1.248E-2</v>
      </c>
      <c r="F3347" s="153" t="s">
        <v>167</v>
      </c>
      <c r="G3347" s="153">
        <v>1</v>
      </c>
      <c r="H3347" s="133" t="s">
        <v>39</v>
      </c>
      <c r="I3347" s="133"/>
      <c r="J3347" s="133" t="s">
        <v>2391</v>
      </c>
      <c r="K3347" s="133" t="s">
        <v>831</v>
      </c>
      <c r="L3347" s="167"/>
      <c r="M3347" s="48"/>
      <c r="N3347" s="123"/>
    </row>
    <row r="3348" spans="1:14" customFormat="1" x14ac:dyDescent="0.55000000000000004">
      <c r="A3348" s="132" t="s">
        <v>2392</v>
      </c>
      <c r="B3348" s="133" t="s">
        <v>2752</v>
      </c>
      <c r="C3348" s="133" t="s">
        <v>156</v>
      </c>
      <c r="D3348" s="133" t="s">
        <v>3288</v>
      </c>
      <c r="E3348" s="138">
        <v>0.55489400000000011</v>
      </c>
      <c r="F3348" s="153" t="s">
        <v>122</v>
      </c>
      <c r="G3348" s="153">
        <v>1</v>
      </c>
      <c r="H3348" s="133" t="s">
        <v>39</v>
      </c>
      <c r="I3348" s="133"/>
      <c r="J3348" s="133" t="s">
        <v>2391</v>
      </c>
      <c r="K3348" s="133" t="s">
        <v>831</v>
      </c>
      <c r="L3348" s="167"/>
      <c r="M3348" s="48"/>
      <c r="N3348" s="123"/>
    </row>
    <row r="3349" spans="1:14" customFormat="1" x14ac:dyDescent="0.55000000000000004">
      <c r="A3349" s="132" t="s">
        <v>2392</v>
      </c>
      <c r="B3349" s="133" t="s">
        <v>2753</v>
      </c>
      <c r="C3349" s="133" t="s">
        <v>156</v>
      </c>
      <c r="D3349" s="133" t="s">
        <v>3288</v>
      </c>
      <c r="E3349" s="138">
        <v>1.5209000000000002E-2</v>
      </c>
      <c r="F3349" s="153" t="s">
        <v>122</v>
      </c>
      <c r="G3349" s="153">
        <v>1</v>
      </c>
      <c r="H3349" s="133" t="s">
        <v>39</v>
      </c>
      <c r="I3349" s="133"/>
      <c r="J3349" s="133" t="s">
        <v>2391</v>
      </c>
      <c r="K3349" s="133" t="s">
        <v>831</v>
      </c>
      <c r="L3349" s="167"/>
      <c r="M3349" s="48"/>
      <c r="N3349" s="123"/>
    </row>
    <row r="3350" spans="1:14" customFormat="1" x14ac:dyDescent="0.55000000000000004">
      <c r="A3350" s="132" t="s">
        <v>2392</v>
      </c>
      <c r="B3350" s="133" t="s">
        <v>2754</v>
      </c>
      <c r="C3350" s="133" t="s">
        <v>156</v>
      </c>
      <c r="D3350" s="133" t="s">
        <v>3288</v>
      </c>
      <c r="E3350" s="138">
        <v>4.7570000000000008E-3</v>
      </c>
      <c r="F3350" s="153" t="s">
        <v>122</v>
      </c>
      <c r="G3350" s="153">
        <v>1</v>
      </c>
      <c r="H3350" s="133" t="s">
        <v>39</v>
      </c>
      <c r="I3350" s="133"/>
      <c r="J3350" s="133" t="s">
        <v>2391</v>
      </c>
      <c r="K3350" s="133" t="s">
        <v>831</v>
      </c>
      <c r="L3350" s="167"/>
      <c r="M3350" s="48"/>
      <c r="N3350" s="123"/>
    </row>
    <row r="3351" spans="1:14" customFormat="1" x14ac:dyDescent="0.55000000000000004">
      <c r="A3351" s="132" t="s">
        <v>2392</v>
      </c>
      <c r="B3351" s="133" t="s">
        <v>2755</v>
      </c>
      <c r="C3351" s="133" t="s">
        <v>156</v>
      </c>
      <c r="D3351" s="133" t="s">
        <v>3288</v>
      </c>
      <c r="E3351" s="138">
        <v>9.2795000000000016E-2</v>
      </c>
      <c r="F3351" s="153" t="s">
        <v>122</v>
      </c>
      <c r="G3351" s="153">
        <v>1</v>
      </c>
      <c r="H3351" s="133" t="s">
        <v>39</v>
      </c>
      <c r="I3351" s="133"/>
      <c r="J3351" s="133" t="s">
        <v>2391</v>
      </c>
      <c r="K3351" s="133" t="s">
        <v>831</v>
      </c>
      <c r="L3351" s="167"/>
      <c r="M3351" s="48"/>
      <c r="N3351" s="123"/>
    </row>
    <row r="3352" spans="1:14" customFormat="1" x14ac:dyDescent="0.55000000000000004">
      <c r="A3352" s="132" t="s">
        <v>2392</v>
      </c>
      <c r="B3352" s="133" t="s">
        <v>2756</v>
      </c>
      <c r="C3352" s="133" t="s">
        <v>156</v>
      </c>
      <c r="D3352" s="133" t="s">
        <v>3288</v>
      </c>
      <c r="E3352" s="138">
        <v>1.1725000000000001E-3</v>
      </c>
      <c r="F3352" s="153" t="s">
        <v>122</v>
      </c>
      <c r="G3352" s="153">
        <v>1</v>
      </c>
      <c r="H3352" s="133" t="s">
        <v>39</v>
      </c>
      <c r="I3352" s="133"/>
      <c r="J3352" s="133" t="s">
        <v>2391</v>
      </c>
      <c r="K3352" s="133" t="s">
        <v>831</v>
      </c>
      <c r="L3352" s="167"/>
      <c r="M3352" s="48"/>
      <c r="N3352" s="123"/>
    </row>
    <row r="3353" spans="1:14" customFormat="1" x14ac:dyDescent="0.55000000000000004">
      <c r="A3353" s="132" t="s">
        <v>2392</v>
      </c>
      <c r="B3353" s="133" t="s">
        <v>2757</v>
      </c>
      <c r="C3353" s="133" t="s">
        <v>156</v>
      </c>
      <c r="D3353" s="133" t="s">
        <v>3288</v>
      </c>
      <c r="E3353" s="138">
        <v>1.1725000000000001E-3</v>
      </c>
      <c r="F3353" s="153" t="s">
        <v>122</v>
      </c>
      <c r="G3353" s="153">
        <v>1</v>
      </c>
      <c r="H3353" s="133" t="s">
        <v>39</v>
      </c>
      <c r="I3353" s="133"/>
      <c r="J3353" s="133" t="s">
        <v>2391</v>
      </c>
      <c r="K3353" s="133" t="s">
        <v>831</v>
      </c>
      <c r="L3353" s="167"/>
      <c r="M3353" s="48"/>
      <c r="N3353" s="123"/>
    </row>
    <row r="3354" spans="1:14" customFormat="1" x14ac:dyDescent="0.55000000000000004">
      <c r="A3354" s="132" t="s">
        <v>2392</v>
      </c>
      <c r="B3354" s="133" t="s">
        <v>2746</v>
      </c>
      <c r="C3354" s="133" t="s">
        <v>163</v>
      </c>
      <c r="D3354" s="133" t="s">
        <v>3288</v>
      </c>
      <c r="E3354" s="138">
        <v>0.33</v>
      </c>
      <c r="F3354" s="153" t="s">
        <v>122</v>
      </c>
      <c r="G3354" s="153">
        <v>1</v>
      </c>
      <c r="H3354" s="133" t="s">
        <v>39</v>
      </c>
      <c r="I3354" s="133"/>
      <c r="J3354" s="133" t="s">
        <v>2391</v>
      </c>
      <c r="K3354" s="133" t="s">
        <v>831</v>
      </c>
      <c r="L3354" s="167"/>
      <c r="M3354" s="48"/>
      <c r="N3354" s="123"/>
    </row>
    <row r="3355" spans="1:14" customFormat="1" x14ac:dyDescent="0.55000000000000004">
      <c r="A3355" s="132" t="s">
        <v>2395</v>
      </c>
      <c r="B3355" s="133" t="s">
        <v>2762</v>
      </c>
      <c r="C3355" s="133" t="s">
        <v>121</v>
      </c>
      <c r="D3355" s="133" t="s">
        <v>2682</v>
      </c>
      <c r="E3355" s="138">
        <v>1</v>
      </c>
      <c r="F3355" s="153">
        <v>1</v>
      </c>
      <c r="G3355" s="153">
        <v>1</v>
      </c>
      <c r="H3355" s="133"/>
      <c r="I3355" s="133"/>
      <c r="J3355" s="133" t="s">
        <v>2394</v>
      </c>
      <c r="K3355" s="133" t="s">
        <v>831</v>
      </c>
      <c r="L3355" s="167"/>
      <c r="M3355" s="48"/>
      <c r="N3355" s="123"/>
    </row>
    <row r="3356" spans="1:14" customFormat="1" x14ac:dyDescent="0.55000000000000004">
      <c r="A3356" s="132" t="s">
        <v>2395</v>
      </c>
      <c r="B3356" s="133" t="s">
        <v>2763</v>
      </c>
      <c r="C3356" s="133" t="s">
        <v>348</v>
      </c>
      <c r="D3356" s="133" t="s">
        <v>3288</v>
      </c>
      <c r="E3356" s="138">
        <v>1</v>
      </c>
      <c r="F3356" s="153" t="s">
        <v>122</v>
      </c>
      <c r="G3356" s="153">
        <v>1</v>
      </c>
      <c r="H3356" s="133"/>
      <c r="I3356" s="133"/>
      <c r="J3356" s="133" t="s">
        <v>2394</v>
      </c>
      <c r="K3356" s="133" t="s">
        <v>831</v>
      </c>
      <c r="L3356" s="167"/>
      <c r="M3356" s="48"/>
      <c r="N3356" s="123"/>
    </row>
    <row r="3357" spans="1:14" customFormat="1" x14ac:dyDescent="0.55000000000000004">
      <c r="A3357" s="132" t="s">
        <v>2395</v>
      </c>
      <c r="B3357" s="133" t="s">
        <v>2594</v>
      </c>
      <c r="C3357" s="133" t="s">
        <v>127</v>
      </c>
      <c r="D3357" s="133" t="s">
        <v>2994</v>
      </c>
      <c r="E3357" s="138">
        <v>0.1186542857142857</v>
      </c>
      <c r="F3357" s="153" t="s">
        <v>167</v>
      </c>
      <c r="G3357" s="153">
        <v>1</v>
      </c>
      <c r="H3357" s="133"/>
      <c r="I3357" s="133"/>
      <c r="J3357" s="133" t="s">
        <v>2394</v>
      </c>
      <c r="K3357" s="133" t="s">
        <v>831</v>
      </c>
      <c r="L3357" s="167"/>
      <c r="M3357" s="48"/>
      <c r="N3357" s="123"/>
    </row>
    <row r="3358" spans="1:14" customFormat="1" x14ac:dyDescent="0.55000000000000004">
      <c r="A3358" s="132" t="s">
        <v>2395</v>
      </c>
      <c r="B3358" s="133" t="s">
        <v>153</v>
      </c>
      <c r="C3358" s="133" t="s">
        <v>127</v>
      </c>
      <c r="D3358" s="133" t="s">
        <v>2994</v>
      </c>
      <c r="E3358" s="138">
        <v>0.14285714285714285</v>
      </c>
      <c r="F3358" s="153" t="s">
        <v>130</v>
      </c>
      <c r="G3358" s="153">
        <v>1</v>
      </c>
      <c r="H3358" s="133"/>
      <c r="I3358" s="133"/>
      <c r="J3358" s="133" t="s">
        <v>2394</v>
      </c>
      <c r="K3358" s="133" t="s">
        <v>831</v>
      </c>
      <c r="L3358" s="167"/>
      <c r="M3358" s="48"/>
      <c r="N3358" s="123"/>
    </row>
    <row r="3359" spans="1:14" customFormat="1" x14ac:dyDescent="0.55000000000000004">
      <c r="A3359" s="132" t="s">
        <v>2395</v>
      </c>
      <c r="B3359" s="133" t="s">
        <v>508</v>
      </c>
      <c r="C3359" s="133" t="s">
        <v>127</v>
      </c>
      <c r="D3359" s="133" t="s">
        <v>2994</v>
      </c>
      <c r="E3359" s="138">
        <v>1.2521785714285714E-2</v>
      </c>
      <c r="F3359" s="153" t="s">
        <v>167</v>
      </c>
      <c r="G3359" s="153">
        <v>1</v>
      </c>
      <c r="H3359" s="133"/>
      <c r="I3359" s="133"/>
      <c r="J3359" s="133" t="s">
        <v>2394</v>
      </c>
      <c r="K3359" s="133" t="s">
        <v>831</v>
      </c>
      <c r="L3359" s="167"/>
      <c r="M3359" s="48"/>
      <c r="N3359" s="123"/>
    </row>
    <row r="3360" spans="1:14" customFormat="1" x14ac:dyDescent="0.55000000000000004">
      <c r="A3360" s="132" t="s">
        <v>2395</v>
      </c>
      <c r="B3360" s="133" t="s">
        <v>2752</v>
      </c>
      <c r="C3360" s="133" t="s">
        <v>156</v>
      </c>
      <c r="D3360" s="133" t="s">
        <v>3288</v>
      </c>
      <c r="E3360" s="138">
        <v>8.4931000000000006E-2</v>
      </c>
      <c r="F3360" s="153" t="s">
        <v>122</v>
      </c>
      <c r="G3360" s="153">
        <v>1</v>
      </c>
      <c r="H3360" s="133"/>
      <c r="I3360" s="133"/>
      <c r="J3360" s="133" t="s">
        <v>2394</v>
      </c>
      <c r="K3360" s="133" t="s">
        <v>831</v>
      </c>
      <c r="L3360" s="167"/>
      <c r="M3360" s="48"/>
      <c r="N3360" s="123"/>
    </row>
    <row r="3361" spans="1:14" customFormat="1" x14ac:dyDescent="0.55000000000000004">
      <c r="A3361" s="132" t="s">
        <v>2395</v>
      </c>
      <c r="B3361" s="133" t="s">
        <v>2753</v>
      </c>
      <c r="C3361" s="133" t="s">
        <v>156</v>
      </c>
      <c r="D3361" s="133" t="s">
        <v>3288</v>
      </c>
      <c r="E3361" s="138">
        <v>3.9115999999999998E-2</v>
      </c>
      <c r="F3361" s="153" t="s">
        <v>122</v>
      </c>
      <c r="G3361" s="153">
        <v>1</v>
      </c>
      <c r="H3361" s="133"/>
      <c r="I3361" s="133"/>
      <c r="J3361" s="133" t="s">
        <v>2394</v>
      </c>
      <c r="K3361" s="133" t="s">
        <v>831</v>
      </c>
      <c r="L3361" s="167"/>
      <c r="M3361" s="48"/>
      <c r="N3361" s="123"/>
    </row>
    <row r="3362" spans="1:14" customFormat="1" x14ac:dyDescent="0.55000000000000004">
      <c r="A3362" s="132" t="s">
        <v>2395</v>
      </c>
      <c r="B3362" s="133" t="s">
        <v>2754</v>
      </c>
      <c r="C3362" s="133" t="s">
        <v>156</v>
      </c>
      <c r="D3362" s="133" t="s">
        <v>3288</v>
      </c>
      <c r="E3362" s="138">
        <v>2.5409999999999999E-3</v>
      </c>
      <c r="F3362" s="153" t="s">
        <v>122</v>
      </c>
      <c r="G3362" s="153">
        <v>1</v>
      </c>
      <c r="H3362" s="133"/>
      <c r="I3362" s="133"/>
      <c r="J3362" s="133" t="s">
        <v>2394</v>
      </c>
      <c r="K3362" s="133" t="s">
        <v>831</v>
      </c>
      <c r="L3362" s="167"/>
      <c r="M3362" s="48"/>
      <c r="N3362" s="123"/>
    </row>
    <row r="3363" spans="1:14" customFormat="1" x14ac:dyDescent="0.55000000000000004">
      <c r="A3363" s="132" t="s">
        <v>2395</v>
      </c>
      <c r="B3363" s="133" t="s">
        <v>2764</v>
      </c>
      <c r="C3363" s="133" t="s">
        <v>156</v>
      </c>
      <c r="D3363" s="133" t="s">
        <v>3288</v>
      </c>
      <c r="E3363" s="138">
        <v>0.49526399999999998</v>
      </c>
      <c r="F3363" s="153" t="s">
        <v>122</v>
      </c>
      <c r="G3363" s="153">
        <v>1</v>
      </c>
      <c r="H3363" s="133"/>
      <c r="I3363" s="133"/>
      <c r="J3363" s="133" t="s">
        <v>2394</v>
      </c>
      <c r="K3363" s="133" t="s">
        <v>831</v>
      </c>
      <c r="L3363" s="167"/>
      <c r="M3363" s="48"/>
      <c r="N3363" s="123"/>
    </row>
    <row r="3364" spans="1:14" customFormat="1" x14ac:dyDescent="0.55000000000000004">
      <c r="A3364" s="132" t="s">
        <v>2395</v>
      </c>
      <c r="B3364" s="133" t="s">
        <v>2755</v>
      </c>
      <c r="C3364" s="133" t="s">
        <v>156</v>
      </c>
      <c r="D3364" s="133" t="s">
        <v>3288</v>
      </c>
      <c r="E3364" s="138">
        <v>0.14591500000000002</v>
      </c>
      <c r="F3364" s="153" t="s">
        <v>122</v>
      </c>
      <c r="G3364" s="153">
        <v>1</v>
      </c>
      <c r="H3364" s="133"/>
      <c r="I3364" s="133"/>
      <c r="J3364" s="133" t="s">
        <v>2394</v>
      </c>
      <c r="K3364" s="133" t="s">
        <v>831</v>
      </c>
      <c r="L3364" s="167"/>
      <c r="M3364" s="48"/>
      <c r="N3364" s="123"/>
    </row>
    <row r="3365" spans="1:14" customFormat="1" x14ac:dyDescent="0.55000000000000004">
      <c r="A3365" s="132" t="s">
        <v>2395</v>
      </c>
      <c r="B3365" s="133" t="s">
        <v>2756</v>
      </c>
      <c r="C3365" s="133" t="s">
        <v>156</v>
      </c>
      <c r="D3365" s="133" t="s">
        <v>3288</v>
      </c>
      <c r="E3365" s="138">
        <v>1.1164999999999999E-3</v>
      </c>
      <c r="F3365" s="153" t="s">
        <v>122</v>
      </c>
      <c r="G3365" s="153">
        <v>1</v>
      </c>
      <c r="H3365" s="133"/>
      <c r="I3365" s="133"/>
      <c r="J3365" s="133" t="s">
        <v>2394</v>
      </c>
      <c r="K3365" s="133" t="s">
        <v>831</v>
      </c>
      <c r="L3365" s="167"/>
      <c r="M3365" s="48"/>
      <c r="N3365" s="123"/>
    </row>
    <row r="3366" spans="1:14" customFormat="1" x14ac:dyDescent="0.55000000000000004">
      <c r="A3366" s="132" t="s">
        <v>2395</v>
      </c>
      <c r="B3366" s="133" t="s">
        <v>2757</v>
      </c>
      <c r="C3366" s="133" t="s">
        <v>156</v>
      </c>
      <c r="D3366" s="133" t="s">
        <v>3288</v>
      </c>
      <c r="E3366" s="138">
        <v>1.1164999999999999E-3</v>
      </c>
      <c r="F3366" s="153" t="s">
        <v>122</v>
      </c>
      <c r="G3366" s="153">
        <v>1</v>
      </c>
      <c r="H3366" s="133"/>
      <c r="I3366" s="133"/>
      <c r="J3366" s="133" t="s">
        <v>2394</v>
      </c>
      <c r="K3366" s="133" t="s">
        <v>831</v>
      </c>
      <c r="L3366" s="167"/>
      <c r="M3366" s="48"/>
      <c r="N3366" s="123"/>
    </row>
    <row r="3367" spans="1:14" customFormat="1" x14ac:dyDescent="0.55000000000000004">
      <c r="A3367" s="132" t="s">
        <v>2395</v>
      </c>
      <c r="B3367" s="133" t="s">
        <v>2746</v>
      </c>
      <c r="C3367" s="133" t="s">
        <v>163</v>
      </c>
      <c r="D3367" s="133" t="s">
        <v>3288</v>
      </c>
      <c r="E3367" s="138">
        <v>0.23</v>
      </c>
      <c r="F3367" s="153" t="s">
        <v>122</v>
      </c>
      <c r="G3367" s="153">
        <v>1</v>
      </c>
      <c r="H3367" s="133"/>
      <c r="I3367" s="133"/>
      <c r="J3367" s="133" t="s">
        <v>2394</v>
      </c>
      <c r="K3367" s="133" t="s">
        <v>831</v>
      </c>
      <c r="L3367" s="167"/>
      <c r="M3367" s="48"/>
      <c r="N3367" s="123"/>
    </row>
    <row r="3368" spans="1:14" customFormat="1" x14ac:dyDescent="0.55000000000000004">
      <c r="A3368" s="132" t="s">
        <v>2392</v>
      </c>
      <c r="B3368" s="133" t="s">
        <v>2765</v>
      </c>
      <c r="C3368" s="133" t="s">
        <v>121</v>
      </c>
      <c r="D3368" s="133" t="s">
        <v>2682</v>
      </c>
      <c r="E3368" s="138">
        <v>1</v>
      </c>
      <c r="F3368" s="153">
        <v>1</v>
      </c>
      <c r="G3368" s="153">
        <v>1</v>
      </c>
      <c r="H3368" s="133"/>
      <c r="I3368" s="133"/>
      <c r="J3368" s="133" t="s">
        <v>2397</v>
      </c>
      <c r="K3368" s="133" t="s">
        <v>831</v>
      </c>
      <c r="L3368" s="167"/>
      <c r="M3368" s="48"/>
      <c r="N3368" s="123"/>
    </row>
    <row r="3369" spans="1:14" customFormat="1" x14ac:dyDescent="0.55000000000000004">
      <c r="A3369" s="132" t="s">
        <v>2392</v>
      </c>
      <c r="B3369" s="133" t="s">
        <v>2766</v>
      </c>
      <c r="C3369" s="133" t="s">
        <v>348</v>
      </c>
      <c r="D3369" s="133" t="s">
        <v>3288</v>
      </c>
      <c r="E3369" s="138">
        <v>1</v>
      </c>
      <c r="F3369" s="153" t="s">
        <v>135</v>
      </c>
      <c r="G3369" s="153">
        <v>1</v>
      </c>
      <c r="H3369" s="133"/>
      <c r="I3369" s="133"/>
      <c r="J3369" s="133" t="s">
        <v>2397</v>
      </c>
      <c r="K3369" s="133" t="s">
        <v>831</v>
      </c>
      <c r="L3369" s="167"/>
      <c r="M3369" s="48"/>
      <c r="N3369" s="123"/>
    </row>
    <row r="3370" spans="1:14" customFormat="1" x14ac:dyDescent="0.55000000000000004">
      <c r="A3370" s="132" t="s">
        <v>2392</v>
      </c>
      <c r="B3370" s="133" t="s">
        <v>153</v>
      </c>
      <c r="C3370" s="133" t="s">
        <v>127</v>
      </c>
      <c r="D3370" s="133" t="s">
        <v>2994</v>
      </c>
      <c r="E3370" s="138">
        <v>0.6</v>
      </c>
      <c r="F3370" s="153" t="s">
        <v>130</v>
      </c>
      <c r="G3370" s="153">
        <v>1</v>
      </c>
      <c r="H3370" s="133"/>
      <c r="I3370" s="133" t="s">
        <v>2767</v>
      </c>
      <c r="J3370" s="133" t="s">
        <v>2397</v>
      </c>
      <c r="K3370" s="133" t="s">
        <v>831</v>
      </c>
      <c r="L3370" s="167"/>
      <c r="M3370" s="48"/>
      <c r="N3370" s="123"/>
    </row>
    <row r="3371" spans="1:14" customFormat="1" x14ac:dyDescent="0.55000000000000004">
      <c r="A3371" s="132" t="s">
        <v>2392</v>
      </c>
      <c r="B3371" s="133" t="s">
        <v>153</v>
      </c>
      <c r="C3371" s="133" t="s">
        <v>127</v>
      </c>
      <c r="D3371" s="133" t="s">
        <v>2994</v>
      </c>
      <c r="E3371" s="138">
        <v>1.03</v>
      </c>
      <c r="F3371" s="153" t="s">
        <v>130</v>
      </c>
      <c r="G3371" s="153">
        <v>1</v>
      </c>
      <c r="H3371" s="133"/>
      <c r="I3371" s="133" t="s">
        <v>2768</v>
      </c>
      <c r="J3371" s="133" t="s">
        <v>2397</v>
      </c>
      <c r="K3371" s="133" t="s">
        <v>831</v>
      </c>
      <c r="L3371" s="167"/>
      <c r="M3371" s="48"/>
      <c r="N3371" s="123"/>
    </row>
    <row r="3372" spans="1:14" customFormat="1" x14ac:dyDescent="0.55000000000000004">
      <c r="A3372" s="132" t="s">
        <v>2392</v>
      </c>
      <c r="B3372" s="133" t="s">
        <v>153</v>
      </c>
      <c r="C3372" s="133" t="s">
        <v>127</v>
      </c>
      <c r="D3372" s="133" t="s">
        <v>2994</v>
      </c>
      <c r="E3372" s="138">
        <v>1.7</v>
      </c>
      <c r="F3372" s="153" t="s">
        <v>130</v>
      </c>
      <c r="G3372" s="153">
        <v>1</v>
      </c>
      <c r="H3372" s="133"/>
      <c r="I3372" s="133" t="s">
        <v>2769</v>
      </c>
      <c r="J3372" s="133" t="s">
        <v>2397</v>
      </c>
      <c r="K3372" s="133" t="s">
        <v>831</v>
      </c>
      <c r="L3372" s="167"/>
      <c r="M3372" s="48"/>
      <c r="N3372" s="123"/>
    </row>
    <row r="3373" spans="1:14" customFormat="1" x14ac:dyDescent="0.55000000000000004">
      <c r="A3373" s="132" t="s">
        <v>2392</v>
      </c>
      <c r="B3373" s="133" t="s">
        <v>153</v>
      </c>
      <c r="C3373" s="133" t="s">
        <v>127</v>
      </c>
      <c r="D3373" s="133" t="s">
        <v>2994</v>
      </c>
      <c r="E3373" s="138">
        <v>1.91</v>
      </c>
      <c r="F3373" s="153" t="s">
        <v>130</v>
      </c>
      <c r="G3373" s="153">
        <v>1</v>
      </c>
      <c r="H3373" s="133"/>
      <c r="I3373" s="133" t="s">
        <v>2770</v>
      </c>
      <c r="J3373" s="133" t="s">
        <v>2397</v>
      </c>
      <c r="K3373" s="133" t="s">
        <v>831</v>
      </c>
      <c r="L3373" s="167"/>
      <c r="M3373" s="48"/>
      <c r="N3373" s="123"/>
    </row>
    <row r="3374" spans="1:14" customFormat="1" x14ac:dyDescent="0.55000000000000004">
      <c r="A3374" s="132" t="s">
        <v>2392</v>
      </c>
      <c r="B3374" s="133" t="s">
        <v>153</v>
      </c>
      <c r="C3374" s="133" t="s">
        <v>127</v>
      </c>
      <c r="D3374" s="133" t="s">
        <v>2994</v>
      </c>
      <c r="E3374" s="138">
        <v>3.67</v>
      </c>
      <c r="F3374" s="153" t="s">
        <v>130</v>
      </c>
      <c r="G3374" s="153">
        <v>1</v>
      </c>
      <c r="H3374" s="133"/>
      <c r="I3374" s="133" t="s">
        <v>2771</v>
      </c>
      <c r="J3374" s="133" t="s">
        <v>2397</v>
      </c>
      <c r="K3374" s="133" t="s">
        <v>831</v>
      </c>
      <c r="L3374" s="167"/>
      <c r="M3374" s="48"/>
      <c r="N3374" s="123"/>
    </row>
    <row r="3375" spans="1:14" customFormat="1" x14ac:dyDescent="0.55000000000000004">
      <c r="A3375" s="132" t="s">
        <v>2392</v>
      </c>
      <c r="B3375" s="133" t="s">
        <v>153</v>
      </c>
      <c r="C3375" s="133" t="s">
        <v>127</v>
      </c>
      <c r="D3375" s="133" t="s">
        <v>2994</v>
      </c>
      <c r="E3375" s="138">
        <v>1.6</v>
      </c>
      <c r="F3375" s="153" t="s">
        <v>130</v>
      </c>
      <c r="G3375" s="153">
        <v>1</v>
      </c>
      <c r="H3375" s="133"/>
      <c r="I3375" s="133" t="s">
        <v>2772</v>
      </c>
      <c r="J3375" s="133" t="s">
        <v>2397</v>
      </c>
      <c r="K3375" s="133" t="s">
        <v>831</v>
      </c>
      <c r="L3375" s="167"/>
      <c r="M3375" s="48"/>
      <c r="N3375" s="123"/>
    </row>
    <row r="3376" spans="1:14" customFormat="1" x14ac:dyDescent="0.55000000000000004">
      <c r="A3376" s="132" t="s">
        <v>2392</v>
      </c>
      <c r="B3376" s="133" t="s">
        <v>153</v>
      </c>
      <c r="C3376" s="133" t="s">
        <v>127</v>
      </c>
      <c r="D3376" s="133" t="s">
        <v>2994</v>
      </c>
      <c r="E3376" s="138">
        <v>0.76</v>
      </c>
      <c r="F3376" s="153" t="s">
        <v>130</v>
      </c>
      <c r="G3376" s="153">
        <v>1</v>
      </c>
      <c r="H3376" s="133"/>
      <c r="I3376" s="133" t="s">
        <v>2773</v>
      </c>
      <c r="J3376" s="133" t="s">
        <v>2397</v>
      </c>
      <c r="K3376" s="133" t="s">
        <v>831</v>
      </c>
      <c r="L3376" s="167"/>
      <c r="M3376" s="48"/>
      <c r="N3376" s="123"/>
    </row>
    <row r="3377" spans="1:14" customFormat="1" x14ac:dyDescent="0.55000000000000004">
      <c r="A3377" s="132" t="s">
        <v>2392</v>
      </c>
      <c r="B3377" s="133" t="s">
        <v>2754</v>
      </c>
      <c r="C3377" s="133" t="s">
        <v>156</v>
      </c>
      <c r="D3377" s="133" t="s">
        <v>3288</v>
      </c>
      <c r="E3377" s="138">
        <v>1.7899999999999999E-2</v>
      </c>
      <c r="F3377" s="153" t="s">
        <v>135</v>
      </c>
      <c r="G3377" s="153">
        <v>1</v>
      </c>
      <c r="H3377" s="133"/>
      <c r="I3377" s="133"/>
      <c r="J3377" s="133" t="s">
        <v>2397</v>
      </c>
      <c r="K3377" s="133" t="s">
        <v>831</v>
      </c>
      <c r="L3377" s="167"/>
      <c r="M3377" s="48"/>
      <c r="N3377" s="123"/>
    </row>
    <row r="3378" spans="1:14" customFormat="1" x14ac:dyDescent="0.55000000000000004">
      <c r="A3378" s="132" t="s">
        <v>2392</v>
      </c>
      <c r="B3378" s="133" t="s">
        <v>2753</v>
      </c>
      <c r="C3378" s="133" t="s">
        <v>156</v>
      </c>
      <c r="D3378" s="133" t="s">
        <v>3288</v>
      </c>
      <c r="E3378" s="138">
        <v>8.2000000000000007E-3</v>
      </c>
      <c r="F3378" s="153" t="s">
        <v>135</v>
      </c>
      <c r="G3378" s="153">
        <v>1</v>
      </c>
      <c r="H3378" s="133"/>
      <c r="I3378" s="133"/>
      <c r="J3378" s="133" t="s">
        <v>2397</v>
      </c>
      <c r="K3378" s="133" t="s">
        <v>831</v>
      </c>
      <c r="L3378" s="167"/>
      <c r="M3378" s="48"/>
      <c r="N3378" s="123"/>
    </row>
    <row r="3379" spans="1:14" customFormat="1" x14ac:dyDescent="0.55000000000000004">
      <c r="A3379" s="132" t="s">
        <v>2392</v>
      </c>
      <c r="B3379" s="133" t="s">
        <v>2774</v>
      </c>
      <c r="C3379" s="133" t="s">
        <v>156</v>
      </c>
      <c r="D3379" s="133" t="s">
        <v>3288</v>
      </c>
      <c r="E3379" s="138">
        <v>3.7000000000000002E-3</v>
      </c>
      <c r="F3379" s="153" t="s">
        <v>135</v>
      </c>
      <c r="G3379" s="153">
        <v>1</v>
      </c>
      <c r="H3379" s="133"/>
      <c r="I3379" s="133"/>
      <c r="J3379" s="133" t="s">
        <v>2397</v>
      </c>
      <c r="K3379" s="133" t="s">
        <v>831</v>
      </c>
      <c r="L3379" s="167"/>
      <c r="M3379" s="48"/>
      <c r="N3379" s="123"/>
    </row>
    <row r="3380" spans="1:14" customFormat="1" x14ac:dyDescent="0.55000000000000004">
      <c r="A3380" s="132" t="s">
        <v>2392</v>
      </c>
      <c r="B3380" s="133" t="s">
        <v>2752</v>
      </c>
      <c r="C3380" s="133" t="s">
        <v>156</v>
      </c>
      <c r="D3380" s="133" t="s">
        <v>3288</v>
      </c>
      <c r="E3380" s="138">
        <v>0.72660000000000002</v>
      </c>
      <c r="F3380" s="153" t="s">
        <v>135</v>
      </c>
      <c r="G3380" s="153">
        <v>1</v>
      </c>
      <c r="H3380" s="133"/>
      <c r="I3380" s="133"/>
      <c r="J3380" s="133" t="s">
        <v>2397</v>
      </c>
      <c r="K3380" s="133" t="s">
        <v>831</v>
      </c>
      <c r="L3380" s="167"/>
      <c r="M3380" s="48"/>
      <c r="N3380" s="123"/>
    </row>
    <row r="3381" spans="1:14" customFormat="1" x14ac:dyDescent="0.55000000000000004">
      <c r="A3381" s="132" t="s">
        <v>2392</v>
      </c>
      <c r="B3381" s="133" t="s">
        <v>2775</v>
      </c>
      <c r="C3381" s="133" t="s">
        <v>156</v>
      </c>
      <c r="D3381" s="133" t="s">
        <v>3288</v>
      </c>
      <c r="E3381" s="138">
        <v>4.0000000000000002E-4</v>
      </c>
      <c r="F3381" s="153" t="s">
        <v>135</v>
      </c>
      <c r="G3381" s="153">
        <v>1</v>
      </c>
      <c r="H3381" s="133"/>
      <c r="I3381" s="133"/>
      <c r="J3381" s="133" t="s">
        <v>2397</v>
      </c>
      <c r="K3381" s="133" t="s">
        <v>831</v>
      </c>
      <c r="L3381" s="167"/>
      <c r="M3381" s="48"/>
      <c r="N3381" s="123"/>
    </row>
    <row r="3382" spans="1:14" customFormat="1" x14ac:dyDescent="0.55000000000000004">
      <c r="A3382" s="132" t="s">
        <v>2392</v>
      </c>
      <c r="B3382" s="133" t="s">
        <v>2776</v>
      </c>
      <c r="C3382" s="133" t="s">
        <v>156</v>
      </c>
      <c r="D3382" s="133" t="s">
        <v>3288</v>
      </c>
      <c r="E3382" s="138">
        <v>2.9999999999999997E-4</v>
      </c>
      <c r="F3382" s="153" t="s">
        <v>135</v>
      </c>
      <c r="G3382" s="153">
        <v>1</v>
      </c>
      <c r="H3382" s="133"/>
      <c r="I3382" s="133"/>
      <c r="J3382" s="133" t="s">
        <v>2397</v>
      </c>
      <c r="K3382" s="133" t="s">
        <v>831</v>
      </c>
      <c r="L3382" s="167"/>
      <c r="M3382" s="48"/>
      <c r="N3382" s="123"/>
    </row>
    <row r="3383" spans="1:14" customFormat="1" x14ac:dyDescent="0.55000000000000004">
      <c r="A3383" s="132" t="s">
        <v>2392</v>
      </c>
      <c r="B3383" s="133" t="s">
        <v>2746</v>
      </c>
      <c r="C3383" s="133" t="s">
        <v>163</v>
      </c>
      <c r="D3383" s="133" t="s">
        <v>3288</v>
      </c>
      <c r="E3383" s="138">
        <v>0.2429</v>
      </c>
      <c r="F3383" s="153" t="s">
        <v>135</v>
      </c>
      <c r="G3383" s="153">
        <v>1</v>
      </c>
      <c r="H3383" s="133"/>
      <c r="I3383" s="133"/>
      <c r="J3383" s="133" t="s">
        <v>2397</v>
      </c>
      <c r="K3383" s="133" t="s">
        <v>831</v>
      </c>
      <c r="L3383" s="167"/>
      <c r="M3383" s="48"/>
      <c r="N3383" s="123"/>
    </row>
    <row r="3384" spans="1:14" customFormat="1" x14ac:dyDescent="0.55000000000000004">
      <c r="A3384" s="132" t="s">
        <v>2399</v>
      </c>
      <c r="B3384" s="133" t="s">
        <v>2777</v>
      </c>
      <c r="C3384" s="133" t="s">
        <v>121</v>
      </c>
      <c r="D3384" s="133" t="s">
        <v>2682</v>
      </c>
      <c r="E3384" s="138">
        <v>1</v>
      </c>
      <c r="F3384" s="153">
        <v>1</v>
      </c>
      <c r="G3384" s="153">
        <v>1</v>
      </c>
      <c r="H3384" s="133" t="s">
        <v>39</v>
      </c>
      <c r="I3384" s="133"/>
      <c r="J3384" s="133" t="s">
        <v>2398</v>
      </c>
      <c r="K3384" s="133" t="s">
        <v>831</v>
      </c>
      <c r="L3384" s="167"/>
      <c r="M3384" s="48"/>
      <c r="N3384" s="123"/>
    </row>
    <row r="3385" spans="1:14" customFormat="1" x14ac:dyDescent="0.55000000000000004">
      <c r="A3385" s="132" t="s">
        <v>2399</v>
      </c>
      <c r="B3385" s="133" t="s">
        <v>2778</v>
      </c>
      <c r="C3385" s="133" t="s">
        <v>348</v>
      </c>
      <c r="D3385" s="133" t="s">
        <v>3288</v>
      </c>
      <c r="E3385" s="138">
        <v>1</v>
      </c>
      <c r="F3385" s="153" t="s">
        <v>135</v>
      </c>
      <c r="G3385" s="153">
        <v>1</v>
      </c>
      <c r="H3385" s="133" t="s">
        <v>39</v>
      </c>
      <c r="I3385" s="133"/>
      <c r="J3385" s="133" t="s">
        <v>2398</v>
      </c>
      <c r="K3385" s="133" t="s">
        <v>831</v>
      </c>
      <c r="L3385" s="167"/>
      <c r="M3385" s="48"/>
      <c r="N3385" s="123"/>
    </row>
    <row r="3386" spans="1:14" customFormat="1" x14ac:dyDescent="0.55000000000000004">
      <c r="A3386" s="132" t="s">
        <v>2399</v>
      </c>
      <c r="B3386" s="133" t="s">
        <v>153</v>
      </c>
      <c r="C3386" s="133" t="s">
        <v>127</v>
      </c>
      <c r="D3386" s="133" t="s">
        <v>2994</v>
      </c>
      <c r="E3386" s="138">
        <v>113.55</v>
      </c>
      <c r="F3386" s="153" t="s">
        <v>130</v>
      </c>
      <c r="G3386" s="153">
        <v>1</v>
      </c>
      <c r="H3386" s="133" t="s">
        <v>39</v>
      </c>
      <c r="I3386" s="133"/>
      <c r="J3386" s="133" t="s">
        <v>2398</v>
      </c>
      <c r="K3386" s="133" t="s">
        <v>831</v>
      </c>
      <c r="L3386" s="167"/>
      <c r="M3386" s="48"/>
      <c r="N3386" s="123"/>
    </row>
    <row r="3387" spans="1:14" customFormat="1" x14ac:dyDescent="0.55000000000000004">
      <c r="A3387" s="132" t="s">
        <v>2399</v>
      </c>
      <c r="B3387" s="133" t="s">
        <v>508</v>
      </c>
      <c r="C3387" s="133" t="s">
        <v>127</v>
      </c>
      <c r="D3387" s="133" t="s">
        <v>3288</v>
      </c>
      <c r="E3387" s="138">
        <v>1.1399999999999999</v>
      </c>
      <c r="F3387" s="153" t="s">
        <v>128</v>
      </c>
      <c r="G3387" s="153">
        <v>1</v>
      </c>
      <c r="H3387" s="133" t="s">
        <v>39</v>
      </c>
      <c r="I3387" s="133"/>
      <c r="J3387" s="133" t="s">
        <v>2398</v>
      </c>
      <c r="K3387" s="133" t="s">
        <v>831</v>
      </c>
      <c r="L3387" s="167"/>
      <c r="M3387" s="48"/>
      <c r="N3387" s="123"/>
    </row>
    <row r="3388" spans="1:14" customFormat="1" x14ac:dyDescent="0.55000000000000004">
      <c r="A3388" s="132" t="s">
        <v>2399</v>
      </c>
      <c r="B3388" s="133" t="s">
        <v>2779</v>
      </c>
      <c r="C3388" s="133" t="s">
        <v>348</v>
      </c>
      <c r="D3388" s="133" t="s">
        <v>3288</v>
      </c>
      <c r="E3388" s="138">
        <v>7.0800000000000004E-3</v>
      </c>
      <c r="F3388" s="153" t="s">
        <v>135</v>
      </c>
      <c r="G3388" s="153">
        <v>1</v>
      </c>
      <c r="H3388" s="133" t="s">
        <v>39</v>
      </c>
      <c r="I3388" s="133"/>
      <c r="J3388" s="133" t="s">
        <v>2398</v>
      </c>
      <c r="K3388" s="133" t="s">
        <v>831</v>
      </c>
      <c r="L3388" s="167"/>
      <c r="M3388" s="48"/>
      <c r="N3388" s="123"/>
    </row>
    <row r="3389" spans="1:14" customFormat="1" x14ac:dyDescent="0.55000000000000004">
      <c r="A3389" s="132" t="s">
        <v>2399</v>
      </c>
      <c r="B3389" s="133" t="s">
        <v>2780</v>
      </c>
      <c r="C3389" s="133" t="s">
        <v>348</v>
      </c>
      <c r="D3389" s="133" t="s">
        <v>3288</v>
      </c>
      <c r="E3389" s="138">
        <v>3.6499999999999998E-2</v>
      </c>
      <c r="F3389" s="153" t="s">
        <v>135</v>
      </c>
      <c r="G3389" s="153">
        <v>1</v>
      </c>
      <c r="H3389" s="133" t="s">
        <v>39</v>
      </c>
      <c r="I3389" s="133"/>
      <c r="J3389" s="133" t="s">
        <v>2398</v>
      </c>
      <c r="K3389" s="133" t="s">
        <v>831</v>
      </c>
      <c r="L3389" s="167"/>
      <c r="M3389" s="48"/>
      <c r="N3389" s="123"/>
    </row>
    <row r="3390" spans="1:14" customFormat="1" x14ac:dyDescent="0.55000000000000004">
      <c r="A3390" s="132" t="s">
        <v>2399</v>
      </c>
      <c r="B3390" s="133" t="s">
        <v>154</v>
      </c>
      <c r="C3390" s="133" t="s">
        <v>132</v>
      </c>
      <c r="D3390" s="133" t="s">
        <v>3288</v>
      </c>
      <c r="E3390" s="138">
        <v>0.309</v>
      </c>
      <c r="F3390" s="153" t="s">
        <v>135</v>
      </c>
      <c r="G3390" s="153">
        <v>1</v>
      </c>
      <c r="H3390" s="133" t="s">
        <v>39</v>
      </c>
      <c r="I3390" s="133"/>
      <c r="J3390" s="133" t="s">
        <v>2398</v>
      </c>
      <c r="K3390" s="133" t="s">
        <v>831</v>
      </c>
      <c r="L3390" s="167"/>
      <c r="M3390" s="48"/>
      <c r="N3390" s="123"/>
    </row>
    <row r="3391" spans="1:14" customFormat="1" x14ac:dyDescent="0.55000000000000004">
      <c r="A3391" s="132" t="s">
        <v>2399</v>
      </c>
      <c r="B3391" s="133" t="s">
        <v>2722</v>
      </c>
      <c r="C3391" s="133" t="s">
        <v>156</v>
      </c>
      <c r="D3391" s="133" t="s">
        <v>3288</v>
      </c>
      <c r="E3391" s="138">
        <v>0.68600000000000005</v>
      </c>
      <c r="F3391" s="153" t="s">
        <v>135</v>
      </c>
      <c r="G3391" s="153">
        <v>1</v>
      </c>
      <c r="H3391" s="133" t="s">
        <v>39</v>
      </c>
      <c r="I3391" s="133"/>
      <c r="J3391" s="133" t="s">
        <v>2398</v>
      </c>
      <c r="K3391" s="133" t="s">
        <v>831</v>
      </c>
      <c r="L3391" s="167"/>
      <c r="M3391" s="48"/>
      <c r="N3391" s="123"/>
    </row>
    <row r="3392" spans="1:14" customFormat="1" x14ac:dyDescent="0.55000000000000004">
      <c r="A3392" s="132" t="s">
        <v>2399</v>
      </c>
      <c r="B3392" s="133" t="s">
        <v>2781</v>
      </c>
      <c r="C3392" s="133" t="s">
        <v>156</v>
      </c>
      <c r="D3392" s="133" t="s">
        <v>3288</v>
      </c>
      <c r="E3392" s="138">
        <v>0.18265000000000001</v>
      </c>
      <c r="F3392" s="153" t="s">
        <v>135</v>
      </c>
      <c r="G3392" s="153">
        <v>1</v>
      </c>
      <c r="H3392" s="133" t="s">
        <v>39</v>
      </c>
      <c r="I3392" s="133"/>
      <c r="J3392" s="133" t="s">
        <v>2398</v>
      </c>
      <c r="K3392" s="133" t="s">
        <v>831</v>
      </c>
      <c r="L3392" s="167"/>
      <c r="M3392" s="48"/>
      <c r="N3392" s="123"/>
    </row>
    <row r="3393" spans="1:14" customFormat="1" x14ac:dyDescent="0.55000000000000004">
      <c r="A3393" s="132" t="s">
        <v>2399</v>
      </c>
      <c r="B3393" s="133" t="s">
        <v>2782</v>
      </c>
      <c r="C3393" s="133" t="s">
        <v>156</v>
      </c>
      <c r="D3393" s="133" t="s">
        <v>3288</v>
      </c>
      <c r="E3393" s="138">
        <v>4.3800000000000002E-3</v>
      </c>
      <c r="F3393" s="153" t="s">
        <v>135</v>
      </c>
      <c r="G3393" s="153">
        <v>1</v>
      </c>
      <c r="H3393" s="133" t="s">
        <v>39</v>
      </c>
      <c r="I3393" s="133"/>
      <c r="J3393" s="133" t="s">
        <v>2398</v>
      </c>
      <c r="K3393" s="133" t="s">
        <v>831</v>
      </c>
      <c r="L3393" s="167"/>
      <c r="M3393" s="48"/>
      <c r="N3393" s="123"/>
    </row>
    <row r="3394" spans="1:14" customFormat="1" x14ac:dyDescent="0.55000000000000004">
      <c r="A3394" s="132" t="s">
        <v>2399</v>
      </c>
      <c r="B3394" s="133" t="s">
        <v>1168</v>
      </c>
      <c r="C3394" s="133" t="s">
        <v>156</v>
      </c>
      <c r="D3394" s="133" t="s">
        <v>3288</v>
      </c>
      <c r="E3394" s="138">
        <v>1.2999999999999999E-2</v>
      </c>
      <c r="F3394" s="153" t="s">
        <v>135</v>
      </c>
      <c r="G3394" s="153">
        <v>1</v>
      </c>
      <c r="H3394" s="133" t="s">
        <v>39</v>
      </c>
      <c r="I3394" s="133"/>
      <c r="J3394" s="133" t="s">
        <v>2398</v>
      </c>
      <c r="K3394" s="133" t="s">
        <v>831</v>
      </c>
      <c r="L3394" s="167"/>
      <c r="M3394" s="48"/>
      <c r="N3394" s="123"/>
    </row>
    <row r="3395" spans="1:14" customFormat="1" x14ac:dyDescent="0.55000000000000004">
      <c r="A3395" s="132" t="s">
        <v>2399</v>
      </c>
      <c r="B3395" s="133" t="s">
        <v>2783</v>
      </c>
      <c r="C3395" s="133" t="s">
        <v>156</v>
      </c>
      <c r="D3395" s="133" t="s">
        <v>3288</v>
      </c>
      <c r="E3395" s="138">
        <v>5.0000000000000001E-4</v>
      </c>
      <c r="F3395" s="153" t="s">
        <v>135</v>
      </c>
      <c r="G3395" s="153">
        <v>1</v>
      </c>
      <c r="H3395" s="133" t="s">
        <v>39</v>
      </c>
      <c r="I3395" s="133"/>
      <c r="J3395" s="133" t="s">
        <v>2398</v>
      </c>
      <c r="K3395" s="133" t="s">
        <v>831</v>
      </c>
      <c r="L3395" s="167"/>
      <c r="M3395" s="48"/>
      <c r="N3395" s="123"/>
    </row>
    <row r="3396" spans="1:14" customFormat="1" x14ac:dyDescent="0.55000000000000004">
      <c r="A3396" s="132" t="s">
        <v>2399</v>
      </c>
      <c r="B3396" s="133" t="s">
        <v>2784</v>
      </c>
      <c r="C3396" s="133" t="s">
        <v>156</v>
      </c>
      <c r="D3396" s="133" t="s">
        <v>3288</v>
      </c>
      <c r="E3396" s="138">
        <v>3.4680000000000002E-2</v>
      </c>
      <c r="F3396" s="153" t="s">
        <v>135</v>
      </c>
      <c r="G3396" s="153">
        <v>1</v>
      </c>
      <c r="H3396" s="133" t="s">
        <v>39</v>
      </c>
      <c r="I3396" s="133"/>
      <c r="J3396" s="133" t="s">
        <v>2398</v>
      </c>
      <c r="K3396" s="133" t="s">
        <v>831</v>
      </c>
      <c r="L3396" s="167"/>
      <c r="M3396" s="48"/>
      <c r="N3396" s="123"/>
    </row>
    <row r="3397" spans="1:14" customFormat="1" x14ac:dyDescent="0.55000000000000004">
      <c r="A3397" s="132" t="s">
        <v>2399</v>
      </c>
      <c r="B3397" s="133" t="s">
        <v>153</v>
      </c>
      <c r="C3397" s="133" t="s">
        <v>156</v>
      </c>
      <c r="D3397" s="133" t="s">
        <v>2994</v>
      </c>
      <c r="E3397" s="138">
        <v>248.84</v>
      </c>
      <c r="F3397" s="153" t="s">
        <v>167</v>
      </c>
      <c r="G3397" s="153">
        <v>1</v>
      </c>
      <c r="H3397" s="133" t="s">
        <v>39</v>
      </c>
      <c r="I3397" s="133"/>
      <c r="J3397" s="133" t="s">
        <v>2398</v>
      </c>
      <c r="K3397" s="133" t="s">
        <v>831</v>
      </c>
      <c r="L3397" s="167"/>
      <c r="M3397" s="48"/>
      <c r="N3397" s="123"/>
    </row>
    <row r="3398" spans="1:14" customFormat="1" x14ac:dyDescent="0.55000000000000004">
      <c r="A3398" s="132" t="s">
        <v>2399</v>
      </c>
      <c r="B3398" s="133" t="s">
        <v>2785</v>
      </c>
      <c r="C3398" s="133" t="s">
        <v>156</v>
      </c>
      <c r="D3398" s="133" t="s">
        <v>2994</v>
      </c>
      <c r="E3398" s="138">
        <v>502.84</v>
      </c>
      <c r="F3398" s="153" t="s">
        <v>167</v>
      </c>
      <c r="G3398" s="153">
        <v>1</v>
      </c>
      <c r="H3398" s="133" t="s">
        <v>39</v>
      </c>
      <c r="I3398" s="133"/>
      <c r="J3398" s="133" t="s">
        <v>2398</v>
      </c>
      <c r="K3398" s="133" t="s">
        <v>831</v>
      </c>
      <c r="L3398" s="167"/>
      <c r="M3398" s="48"/>
      <c r="N3398" s="123"/>
    </row>
    <row r="3399" spans="1:14" customFormat="1" x14ac:dyDescent="0.55000000000000004">
      <c r="A3399" s="132" t="s">
        <v>2399</v>
      </c>
      <c r="B3399" s="133" t="s">
        <v>2786</v>
      </c>
      <c r="C3399" s="133" t="s">
        <v>163</v>
      </c>
      <c r="D3399" s="133" t="s">
        <v>3288</v>
      </c>
      <c r="E3399" s="138">
        <v>1.4E-2</v>
      </c>
      <c r="F3399" s="153" t="s">
        <v>135</v>
      </c>
      <c r="G3399" s="153">
        <v>1</v>
      </c>
      <c r="H3399" s="133" t="s">
        <v>39</v>
      </c>
      <c r="I3399" s="133"/>
      <c r="J3399" s="133" t="s">
        <v>2398</v>
      </c>
      <c r="K3399" s="133" t="s">
        <v>831</v>
      </c>
      <c r="L3399" s="167"/>
      <c r="M3399" s="48"/>
      <c r="N3399" s="123"/>
    </row>
    <row r="3400" spans="1:14" customFormat="1" x14ac:dyDescent="0.55000000000000004">
      <c r="A3400" s="132" t="s">
        <v>2399</v>
      </c>
      <c r="B3400" s="133" t="s">
        <v>2787</v>
      </c>
      <c r="C3400" s="133" t="s">
        <v>163</v>
      </c>
      <c r="D3400" s="133" t="s">
        <v>3288</v>
      </c>
      <c r="E3400" s="138">
        <v>2E-3</v>
      </c>
      <c r="F3400" s="153" t="s">
        <v>135</v>
      </c>
      <c r="G3400" s="153">
        <v>1</v>
      </c>
      <c r="H3400" s="133" t="s">
        <v>39</v>
      </c>
      <c r="I3400" s="133"/>
      <c r="J3400" s="133" t="s">
        <v>2398</v>
      </c>
      <c r="K3400" s="133" t="s">
        <v>831</v>
      </c>
      <c r="L3400" s="167"/>
      <c r="M3400" s="48"/>
      <c r="N3400" s="123"/>
    </row>
    <row r="3401" spans="1:14" customFormat="1" x14ac:dyDescent="0.55000000000000004">
      <c r="A3401" s="132" t="s">
        <v>2399</v>
      </c>
      <c r="B3401" s="133" t="s">
        <v>2788</v>
      </c>
      <c r="C3401" s="133" t="s">
        <v>163</v>
      </c>
      <c r="D3401" s="133" t="s">
        <v>3288</v>
      </c>
      <c r="E3401" s="138">
        <v>0.30613000000000001</v>
      </c>
      <c r="F3401" s="153" t="s">
        <v>135</v>
      </c>
      <c r="G3401" s="153">
        <v>1</v>
      </c>
      <c r="H3401" s="133" t="s">
        <v>39</v>
      </c>
      <c r="I3401" s="133"/>
      <c r="J3401" s="133" t="s">
        <v>2398</v>
      </c>
      <c r="K3401" s="133" t="s">
        <v>831</v>
      </c>
      <c r="L3401" s="167"/>
      <c r="M3401" s="48"/>
      <c r="N3401" s="123"/>
    </row>
    <row r="3402" spans="1:14" customFormat="1" x14ac:dyDescent="0.55000000000000004">
      <c r="A3402" s="132" t="s">
        <v>2399</v>
      </c>
      <c r="B3402" s="133" t="s">
        <v>2789</v>
      </c>
      <c r="C3402" s="133" t="s">
        <v>163</v>
      </c>
      <c r="D3402" s="133" t="s">
        <v>3288</v>
      </c>
      <c r="E3402" s="138">
        <v>5.0250000000000003E-2</v>
      </c>
      <c r="F3402" s="153" t="s">
        <v>135</v>
      </c>
      <c r="G3402" s="153">
        <v>1</v>
      </c>
      <c r="H3402" s="133" t="s">
        <v>39</v>
      </c>
      <c r="I3402" s="133"/>
      <c r="J3402" s="133" t="s">
        <v>2398</v>
      </c>
      <c r="K3402" s="133" t="s">
        <v>831</v>
      </c>
      <c r="L3402" s="167"/>
      <c r="M3402" s="48"/>
      <c r="N3402" s="123"/>
    </row>
    <row r="3403" spans="1:14" customFormat="1" x14ac:dyDescent="0.55000000000000004">
      <c r="A3403" s="132" t="s">
        <v>2399</v>
      </c>
      <c r="B3403" s="133" t="s">
        <v>2790</v>
      </c>
      <c r="C3403" s="133" t="s">
        <v>124</v>
      </c>
      <c r="D3403" s="133" t="s">
        <v>3288</v>
      </c>
      <c r="E3403" s="138">
        <v>2E-3</v>
      </c>
      <c r="F3403" s="153" t="s">
        <v>135</v>
      </c>
      <c r="G3403" s="153">
        <v>1</v>
      </c>
      <c r="H3403" s="133" t="s">
        <v>39</v>
      </c>
      <c r="I3403" s="133"/>
      <c r="J3403" s="133" t="s">
        <v>2398</v>
      </c>
      <c r="K3403" s="133" t="s">
        <v>831</v>
      </c>
      <c r="L3403" s="167"/>
      <c r="M3403" s="48"/>
      <c r="N3403" s="123"/>
    </row>
    <row r="3404" spans="1:14" customFormat="1" x14ac:dyDescent="0.55000000000000004">
      <c r="A3404" s="132" t="s">
        <v>2402</v>
      </c>
      <c r="B3404" s="133" t="s">
        <v>2791</v>
      </c>
      <c r="C3404" s="133" t="s">
        <v>121</v>
      </c>
      <c r="D3404" s="133" t="s">
        <v>2682</v>
      </c>
      <c r="E3404" s="138">
        <v>1</v>
      </c>
      <c r="F3404" s="153">
        <v>1</v>
      </c>
      <c r="G3404" s="153">
        <v>1</v>
      </c>
      <c r="H3404" s="133" t="s">
        <v>39</v>
      </c>
      <c r="I3404" s="133"/>
      <c r="J3404" s="133" t="s">
        <v>2401</v>
      </c>
      <c r="K3404" s="133" t="s">
        <v>831</v>
      </c>
      <c r="L3404" s="167"/>
      <c r="M3404" s="48"/>
      <c r="N3404" s="123"/>
    </row>
    <row r="3405" spans="1:14" customFormat="1" x14ac:dyDescent="0.55000000000000004">
      <c r="A3405" s="132" t="s">
        <v>2402</v>
      </c>
      <c r="B3405" s="133" t="s">
        <v>2792</v>
      </c>
      <c r="C3405" s="133" t="s">
        <v>348</v>
      </c>
      <c r="D3405" s="133" t="s">
        <v>3288</v>
      </c>
      <c r="E3405" s="138">
        <v>1</v>
      </c>
      <c r="F3405" s="153" t="s">
        <v>135</v>
      </c>
      <c r="G3405" s="153">
        <v>1</v>
      </c>
      <c r="H3405" s="133" t="s">
        <v>39</v>
      </c>
      <c r="I3405" s="133"/>
      <c r="J3405" s="133" t="s">
        <v>2401</v>
      </c>
      <c r="K3405" s="133" t="s">
        <v>831</v>
      </c>
      <c r="L3405" s="167"/>
      <c r="M3405" s="48"/>
      <c r="N3405" s="123"/>
    </row>
    <row r="3406" spans="1:14" customFormat="1" x14ac:dyDescent="0.55000000000000004">
      <c r="A3406" s="132" t="s">
        <v>2402</v>
      </c>
      <c r="B3406" s="133" t="s">
        <v>153</v>
      </c>
      <c r="C3406" s="133" t="s">
        <v>127</v>
      </c>
      <c r="D3406" s="133" t="s">
        <v>2994</v>
      </c>
      <c r="E3406" s="138">
        <v>196.27</v>
      </c>
      <c r="F3406" s="153" t="s">
        <v>130</v>
      </c>
      <c r="G3406" s="153">
        <v>1</v>
      </c>
      <c r="H3406" s="133" t="s">
        <v>39</v>
      </c>
      <c r="I3406" s="133" t="s">
        <v>2793</v>
      </c>
      <c r="J3406" s="133" t="s">
        <v>2401</v>
      </c>
      <c r="K3406" s="133" t="s">
        <v>831</v>
      </c>
      <c r="L3406" s="167"/>
      <c r="M3406" s="48"/>
      <c r="N3406" s="123"/>
    </row>
    <row r="3407" spans="1:14" customFormat="1" x14ac:dyDescent="0.55000000000000004">
      <c r="A3407" s="132" t="s">
        <v>2402</v>
      </c>
      <c r="B3407" s="133" t="s">
        <v>1168</v>
      </c>
      <c r="C3407" s="133" t="s">
        <v>156</v>
      </c>
      <c r="D3407" s="133" t="s">
        <v>3288</v>
      </c>
      <c r="E3407" s="138">
        <v>0.15032000000000001</v>
      </c>
      <c r="F3407" s="153" t="s">
        <v>135</v>
      </c>
      <c r="G3407" s="153">
        <v>1</v>
      </c>
      <c r="H3407" s="133" t="s">
        <v>39</v>
      </c>
      <c r="I3407" s="133"/>
      <c r="J3407" s="133" t="s">
        <v>2401</v>
      </c>
      <c r="K3407" s="133" t="s">
        <v>831</v>
      </c>
      <c r="L3407" s="167"/>
      <c r="M3407" s="48"/>
      <c r="N3407" s="123"/>
    </row>
    <row r="3408" spans="1:14" customFormat="1" x14ac:dyDescent="0.55000000000000004">
      <c r="A3408" s="132" t="s">
        <v>2402</v>
      </c>
      <c r="B3408" s="133" t="s">
        <v>2794</v>
      </c>
      <c r="C3408" s="133" t="s">
        <v>156</v>
      </c>
      <c r="D3408" s="133" t="s">
        <v>3288</v>
      </c>
      <c r="E3408" s="138">
        <v>4.6100000000000002E-2</v>
      </c>
      <c r="F3408" s="153" t="s">
        <v>135</v>
      </c>
      <c r="G3408" s="153">
        <v>1</v>
      </c>
      <c r="H3408" s="133" t="s">
        <v>39</v>
      </c>
      <c r="I3408" s="133"/>
      <c r="J3408" s="133" t="s">
        <v>2401</v>
      </c>
      <c r="K3408" s="133" t="s">
        <v>831</v>
      </c>
      <c r="L3408" s="167"/>
      <c r="M3408" s="48"/>
      <c r="N3408" s="123"/>
    </row>
    <row r="3409" spans="1:14" customFormat="1" x14ac:dyDescent="0.55000000000000004">
      <c r="A3409" s="132" t="s">
        <v>2402</v>
      </c>
      <c r="B3409" s="133" t="s">
        <v>2795</v>
      </c>
      <c r="C3409" s="133" t="s">
        <v>156</v>
      </c>
      <c r="D3409" s="133" t="s">
        <v>3288</v>
      </c>
      <c r="E3409" s="138">
        <v>3.5069999999999997E-2</v>
      </c>
      <c r="F3409" s="153" t="s">
        <v>135</v>
      </c>
      <c r="G3409" s="153">
        <v>1</v>
      </c>
      <c r="H3409" s="133" t="s">
        <v>39</v>
      </c>
      <c r="I3409" s="133"/>
      <c r="J3409" s="133" t="s">
        <v>2401</v>
      </c>
      <c r="K3409" s="133" t="s">
        <v>831</v>
      </c>
      <c r="L3409" s="167"/>
      <c r="M3409" s="48"/>
      <c r="N3409" s="123"/>
    </row>
    <row r="3410" spans="1:14" customFormat="1" x14ac:dyDescent="0.55000000000000004">
      <c r="A3410" s="132" t="s">
        <v>2402</v>
      </c>
      <c r="B3410" s="133" t="s">
        <v>2796</v>
      </c>
      <c r="C3410" s="133" t="s">
        <v>156</v>
      </c>
      <c r="D3410" s="133" t="s">
        <v>3288</v>
      </c>
      <c r="E3410" s="138">
        <v>3.2070000000000001E-2</v>
      </c>
      <c r="F3410" s="153" t="s">
        <v>135</v>
      </c>
      <c r="G3410" s="153">
        <v>1</v>
      </c>
      <c r="H3410" s="133" t="s">
        <v>39</v>
      </c>
      <c r="I3410" s="133"/>
      <c r="J3410" s="133" t="s">
        <v>2401</v>
      </c>
      <c r="K3410" s="133" t="s">
        <v>831</v>
      </c>
      <c r="L3410" s="167"/>
      <c r="M3410" s="48"/>
      <c r="N3410" s="123"/>
    </row>
    <row r="3411" spans="1:14" customFormat="1" x14ac:dyDescent="0.55000000000000004">
      <c r="A3411" s="132" t="s">
        <v>2402</v>
      </c>
      <c r="B3411" s="133" t="s">
        <v>2797</v>
      </c>
      <c r="C3411" s="133" t="s">
        <v>156</v>
      </c>
      <c r="D3411" s="133" t="s">
        <v>3288</v>
      </c>
      <c r="E3411" s="138">
        <v>2.4049999999999998E-2</v>
      </c>
      <c r="F3411" s="153" t="s">
        <v>135</v>
      </c>
      <c r="G3411" s="153">
        <v>1</v>
      </c>
      <c r="H3411" s="133" t="s">
        <v>39</v>
      </c>
      <c r="I3411" s="133"/>
      <c r="J3411" s="133" t="s">
        <v>2401</v>
      </c>
      <c r="K3411" s="133" t="s">
        <v>831</v>
      </c>
      <c r="L3411" s="167"/>
      <c r="M3411" s="48"/>
      <c r="N3411" s="123"/>
    </row>
    <row r="3412" spans="1:14" customFormat="1" x14ac:dyDescent="0.55000000000000004">
      <c r="A3412" s="132" t="s">
        <v>2402</v>
      </c>
      <c r="B3412" s="133" t="s">
        <v>2798</v>
      </c>
      <c r="C3412" s="133" t="s">
        <v>156</v>
      </c>
      <c r="D3412" s="133" t="s">
        <v>3288</v>
      </c>
      <c r="E3412" s="138">
        <v>4.0099999999999997E-3</v>
      </c>
      <c r="F3412" s="153" t="s">
        <v>135</v>
      </c>
      <c r="G3412" s="153">
        <v>1</v>
      </c>
      <c r="H3412" s="133" t="s">
        <v>39</v>
      </c>
      <c r="I3412" s="133"/>
      <c r="J3412" s="133" t="s">
        <v>2401</v>
      </c>
      <c r="K3412" s="133" t="s">
        <v>831</v>
      </c>
      <c r="L3412" s="167"/>
      <c r="M3412" s="48"/>
      <c r="N3412" s="123"/>
    </row>
    <row r="3413" spans="1:14" customFormat="1" x14ac:dyDescent="0.55000000000000004">
      <c r="A3413" s="132" t="s">
        <v>2402</v>
      </c>
      <c r="B3413" s="133" t="s">
        <v>2799</v>
      </c>
      <c r="C3413" s="133" t="s">
        <v>156</v>
      </c>
      <c r="D3413" s="133" t="s">
        <v>3288</v>
      </c>
      <c r="E3413" s="138">
        <v>3.0100000000000001E-3</v>
      </c>
      <c r="F3413" s="153" t="s">
        <v>135</v>
      </c>
      <c r="G3413" s="153">
        <v>1</v>
      </c>
      <c r="H3413" s="133" t="s">
        <v>39</v>
      </c>
      <c r="I3413" s="133"/>
      <c r="J3413" s="133" t="s">
        <v>2401</v>
      </c>
      <c r="K3413" s="133" t="s">
        <v>831</v>
      </c>
      <c r="L3413" s="167"/>
      <c r="M3413" s="48"/>
      <c r="N3413" s="123"/>
    </row>
    <row r="3414" spans="1:14" customFormat="1" x14ac:dyDescent="0.55000000000000004">
      <c r="A3414" s="132" t="s">
        <v>2402</v>
      </c>
      <c r="B3414" s="133" t="s">
        <v>2800</v>
      </c>
      <c r="C3414" s="133" t="s">
        <v>156</v>
      </c>
      <c r="D3414" s="133" t="s">
        <v>3288</v>
      </c>
      <c r="E3414" s="138">
        <v>1.5900000000000001E-3</v>
      </c>
      <c r="F3414" s="153" t="s">
        <v>135</v>
      </c>
      <c r="G3414" s="153">
        <v>1</v>
      </c>
      <c r="H3414" s="133" t="s">
        <v>39</v>
      </c>
      <c r="I3414" s="133"/>
      <c r="J3414" s="133" t="s">
        <v>2401</v>
      </c>
      <c r="K3414" s="133" t="s">
        <v>831</v>
      </c>
      <c r="L3414" s="167"/>
      <c r="M3414" s="48"/>
      <c r="N3414" s="123"/>
    </row>
    <row r="3415" spans="1:14" customFormat="1" x14ac:dyDescent="0.55000000000000004">
      <c r="A3415" s="132" t="s">
        <v>2402</v>
      </c>
      <c r="B3415" s="133" t="s">
        <v>2801</v>
      </c>
      <c r="C3415" s="133" t="s">
        <v>156</v>
      </c>
      <c r="D3415" s="133" t="s">
        <v>3288</v>
      </c>
      <c r="E3415" s="138">
        <v>3.1E-4</v>
      </c>
      <c r="F3415" s="153" t="s">
        <v>135</v>
      </c>
      <c r="G3415" s="153">
        <v>1</v>
      </c>
      <c r="H3415" s="133" t="s">
        <v>39</v>
      </c>
      <c r="I3415" s="133"/>
      <c r="J3415" s="133" t="s">
        <v>2401</v>
      </c>
      <c r="K3415" s="133" t="s">
        <v>831</v>
      </c>
      <c r="L3415" s="167"/>
      <c r="M3415" s="48"/>
      <c r="N3415" s="123"/>
    </row>
    <row r="3416" spans="1:14" customFormat="1" x14ac:dyDescent="0.55000000000000004">
      <c r="A3416" s="132" t="s">
        <v>2402</v>
      </c>
      <c r="B3416" s="133" t="s">
        <v>2802</v>
      </c>
      <c r="C3416" s="133" t="s">
        <v>156</v>
      </c>
      <c r="D3416" s="133" t="s">
        <v>3288</v>
      </c>
      <c r="E3416" s="138">
        <v>0.28138999999999997</v>
      </c>
      <c r="F3416" s="153" t="s">
        <v>135</v>
      </c>
      <c r="G3416" s="153">
        <v>1</v>
      </c>
      <c r="H3416" s="133" t="s">
        <v>39</v>
      </c>
      <c r="I3416" s="133"/>
      <c r="J3416" s="133" t="s">
        <v>2401</v>
      </c>
      <c r="K3416" s="133" t="s">
        <v>831</v>
      </c>
      <c r="L3416" s="167"/>
      <c r="M3416" s="48"/>
      <c r="N3416" s="123"/>
    </row>
    <row r="3417" spans="1:14" customFormat="1" x14ac:dyDescent="0.55000000000000004">
      <c r="A3417" s="132" t="s">
        <v>2402</v>
      </c>
      <c r="B3417" s="133" t="s">
        <v>2803</v>
      </c>
      <c r="C3417" s="133" t="s">
        <v>156</v>
      </c>
      <c r="D3417" s="133" t="s">
        <v>3288</v>
      </c>
      <c r="E3417" s="138">
        <v>0.42208200000000001</v>
      </c>
      <c r="F3417" s="153" t="s">
        <v>135</v>
      </c>
      <c r="G3417" s="153">
        <v>1</v>
      </c>
      <c r="H3417" s="133" t="s">
        <v>39</v>
      </c>
      <c r="I3417" s="133"/>
      <c r="J3417" s="133" t="s">
        <v>2401</v>
      </c>
      <c r="K3417" s="133" t="s">
        <v>831</v>
      </c>
      <c r="L3417" s="167"/>
      <c r="M3417" s="48"/>
      <c r="N3417" s="123"/>
    </row>
    <row r="3418" spans="1:14" customFormat="1" x14ac:dyDescent="0.55000000000000004">
      <c r="A3418" s="132" t="s">
        <v>2405</v>
      </c>
      <c r="B3418" s="133" t="s">
        <v>2804</v>
      </c>
      <c r="C3418" s="133" t="s">
        <v>121</v>
      </c>
      <c r="D3418" s="133" t="s">
        <v>2682</v>
      </c>
      <c r="E3418" s="138">
        <v>1</v>
      </c>
      <c r="F3418" s="153">
        <v>1</v>
      </c>
      <c r="G3418" s="153">
        <v>1</v>
      </c>
      <c r="H3418" s="133" t="s">
        <v>39</v>
      </c>
      <c r="I3418" s="133"/>
      <c r="J3418" s="133" t="s">
        <v>2404</v>
      </c>
      <c r="K3418" s="133" t="s">
        <v>831</v>
      </c>
      <c r="L3418" s="167"/>
      <c r="M3418" s="48"/>
      <c r="N3418" s="123"/>
    </row>
    <row r="3419" spans="1:14" customFormat="1" x14ac:dyDescent="0.55000000000000004">
      <c r="A3419" s="132" t="s">
        <v>2405</v>
      </c>
      <c r="B3419" s="133" t="s">
        <v>2805</v>
      </c>
      <c r="C3419" s="133" t="s">
        <v>348</v>
      </c>
      <c r="D3419" s="133" t="s">
        <v>3288</v>
      </c>
      <c r="E3419" s="138">
        <v>1</v>
      </c>
      <c r="F3419" s="153" t="s">
        <v>135</v>
      </c>
      <c r="G3419" s="153">
        <v>1</v>
      </c>
      <c r="H3419" s="133" t="s">
        <v>39</v>
      </c>
      <c r="I3419" s="133"/>
      <c r="J3419" s="133" t="s">
        <v>2404</v>
      </c>
      <c r="K3419" s="133" t="s">
        <v>831</v>
      </c>
      <c r="L3419" s="167"/>
      <c r="M3419" s="48"/>
      <c r="N3419" s="123"/>
    </row>
    <row r="3420" spans="1:14" customFormat="1" x14ac:dyDescent="0.55000000000000004">
      <c r="A3420" s="132" t="s">
        <v>2405</v>
      </c>
      <c r="B3420" s="133" t="s">
        <v>153</v>
      </c>
      <c r="C3420" s="133" t="s">
        <v>127</v>
      </c>
      <c r="D3420" s="133" t="s">
        <v>2994</v>
      </c>
      <c r="E3420" s="138">
        <v>9</v>
      </c>
      <c r="F3420" s="153" t="s">
        <v>167</v>
      </c>
      <c r="G3420" s="153">
        <v>1</v>
      </c>
      <c r="H3420" s="133" t="s">
        <v>39</v>
      </c>
      <c r="I3420" s="133"/>
      <c r="J3420" s="133" t="s">
        <v>2404</v>
      </c>
      <c r="K3420" s="133" t="s">
        <v>831</v>
      </c>
      <c r="L3420" s="167"/>
      <c r="M3420" s="48"/>
      <c r="N3420" s="123"/>
    </row>
    <row r="3421" spans="1:14" customFormat="1" x14ac:dyDescent="0.55000000000000004">
      <c r="A3421" s="132" t="s">
        <v>2405</v>
      </c>
      <c r="B3421" s="133" t="s">
        <v>2806</v>
      </c>
      <c r="C3421" s="133" t="s">
        <v>156</v>
      </c>
      <c r="D3421" s="133" t="s">
        <v>3288</v>
      </c>
      <c r="E3421" s="138">
        <v>0.06</v>
      </c>
      <c r="F3421" s="153" t="s">
        <v>135</v>
      </c>
      <c r="G3421" s="153">
        <v>1</v>
      </c>
      <c r="H3421" s="133" t="s">
        <v>39</v>
      </c>
      <c r="I3421" s="133"/>
      <c r="J3421" s="133" t="s">
        <v>2404</v>
      </c>
      <c r="K3421" s="133" t="s">
        <v>831</v>
      </c>
      <c r="L3421" s="167"/>
      <c r="M3421" s="48"/>
      <c r="N3421" s="123"/>
    </row>
    <row r="3422" spans="1:14" customFormat="1" x14ac:dyDescent="0.55000000000000004">
      <c r="A3422" s="132" t="s">
        <v>2405</v>
      </c>
      <c r="B3422" s="133" t="s">
        <v>2807</v>
      </c>
      <c r="C3422" s="133" t="s">
        <v>163</v>
      </c>
      <c r="D3422" s="133" t="s">
        <v>3288</v>
      </c>
      <c r="E3422" s="138">
        <v>0.94</v>
      </c>
      <c r="F3422" s="153" t="s">
        <v>135</v>
      </c>
      <c r="G3422" s="153">
        <v>1</v>
      </c>
      <c r="H3422" s="133" t="s">
        <v>39</v>
      </c>
      <c r="I3422" s="133"/>
      <c r="J3422" s="133" t="s">
        <v>2404</v>
      </c>
      <c r="K3422" s="133" t="s">
        <v>831</v>
      </c>
      <c r="L3422" s="167"/>
      <c r="M3422" s="48"/>
      <c r="N3422" s="123"/>
    </row>
    <row r="3423" spans="1:14" customFormat="1" x14ac:dyDescent="0.55000000000000004">
      <c r="A3423" s="132" t="s">
        <v>2408</v>
      </c>
      <c r="B3423" s="133" t="s">
        <v>2804</v>
      </c>
      <c r="C3423" s="133" t="s">
        <v>121</v>
      </c>
      <c r="D3423" s="133" t="s">
        <v>2682</v>
      </c>
      <c r="E3423" s="138">
        <v>1</v>
      </c>
      <c r="F3423" s="153">
        <v>1</v>
      </c>
      <c r="G3423" s="153">
        <v>1</v>
      </c>
      <c r="H3423" s="133" t="s">
        <v>39</v>
      </c>
      <c r="I3423" s="133"/>
      <c r="J3423" s="133" t="s">
        <v>2407</v>
      </c>
      <c r="K3423" s="133" t="s">
        <v>831</v>
      </c>
      <c r="L3423" s="167"/>
      <c r="M3423" s="48"/>
      <c r="N3423" s="123"/>
    </row>
    <row r="3424" spans="1:14" customFormat="1" x14ac:dyDescent="0.55000000000000004">
      <c r="A3424" s="132" t="s">
        <v>2408</v>
      </c>
      <c r="B3424" s="133" t="s">
        <v>2805</v>
      </c>
      <c r="C3424" s="133" t="s">
        <v>348</v>
      </c>
      <c r="D3424" s="133" t="s">
        <v>3288</v>
      </c>
      <c r="E3424" s="138">
        <v>1</v>
      </c>
      <c r="F3424" s="153" t="s">
        <v>135</v>
      </c>
      <c r="G3424" s="153">
        <v>1</v>
      </c>
      <c r="H3424" s="133" t="s">
        <v>39</v>
      </c>
      <c r="I3424" s="133"/>
      <c r="J3424" s="133" t="s">
        <v>2407</v>
      </c>
      <c r="K3424" s="133" t="s">
        <v>831</v>
      </c>
      <c r="L3424" s="167"/>
      <c r="M3424" s="48"/>
      <c r="N3424" s="123"/>
    </row>
    <row r="3425" spans="1:14" customFormat="1" x14ac:dyDescent="0.55000000000000004">
      <c r="A3425" s="132" t="s">
        <v>2408</v>
      </c>
      <c r="B3425" s="133" t="s">
        <v>153</v>
      </c>
      <c r="C3425" s="133" t="s">
        <v>127</v>
      </c>
      <c r="D3425" s="133" t="s">
        <v>2994</v>
      </c>
      <c r="E3425" s="138">
        <v>97</v>
      </c>
      <c r="F3425" s="153" t="s">
        <v>167</v>
      </c>
      <c r="G3425" s="153">
        <v>1</v>
      </c>
      <c r="H3425" s="133" t="s">
        <v>39</v>
      </c>
      <c r="I3425" s="133"/>
      <c r="J3425" s="133" t="s">
        <v>2407</v>
      </c>
      <c r="K3425" s="133" t="s">
        <v>831</v>
      </c>
      <c r="L3425" s="167"/>
      <c r="M3425" s="48"/>
      <c r="N3425" s="123"/>
    </row>
    <row r="3426" spans="1:14" customFormat="1" x14ac:dyDescent="0.55000000000000004">
      <c r="A3426" s="132" t="s">
        <v>2408</v>
      </c>
      <c r="B3426" s="133" t="s">
        <v>2785</v>
      </c>
      <c r="C3426" s="133" t="s">
        <v>127</v>
      </c>
      <c r="D3426" s="133" t="s">
        <v>2994</v>
      </c>
      <c r="E3426" s="138">
        <v>126.3</v>
      </c>
      <c r="F3426" s="153" t="s">
        <v>167</v>
      </c>
      <c r="G3426" s="153">
        <v>1</v>
      </c>
      <c r="H3426" s="133" t="s">
        <v>39</v>
      </c>
      <c r="I3426" s="133"/>
      <c r="J3426" s="133" t="s">
        <v>2407</v>
      </c>
      <c r="K3426" s="133" t="s">
        <v>831</v>
      </c>
      <c r="L3426" s="167"/>
      <c r="M3426" s="48"/>
      <c r="N3426" s="123"/>
    </row>
    <row r="3427" spans="1:14" customFormat="1" x14ac:dyDescent="0.55000000000000004">
      <c r="A3427" s="132" t="s">
        <v>2408</v>
      </c>
      <c r="B3427" s="133" t="s">
        <v>153</v>
      </c>
      <c r="C3427" s="133" t="s">
        <v>156</v>
      </c>
      <c r="D3427" s="133" t="s">
        <v>2994</v>
      </c>
      <c r="E3427" s="138">
        <v>966</v>
      </c>
      <c r="F3427" s="153" t="s">
        <v>167</v>
      </c>
      <c r="G3427" s="153">
        <v>1</v>
      </c>
      <c r="H3427" s="133" t="s">
        <v>39</v>
      </c>
      <c r="I3427" s="133"/>
      <c r="J3427" s="133" t="s">
        <v>2407</v>
      </c>
      <c r="K3427" s="133" t="s">
        <v>831</v>
      </c>
      <c r="L3427" s="167"/>
      <c r="M3427" s="48"/>
      <c r="N3427" s="123"/>
    </row>
    <row r="3428" spans="1:14" customFormat="1" x14ac:dyDescent="0.55000000000000004">
      <c r="A3428" s="132" t="s">
        <v>2408</v>
      </c>
      <c r="B3428" s="133" t="s">
        <v>2785</v>
      </c>
      <c r="C3428" s="133" t="s">
        <v>156</v>
      </c>
      <c r="D3428" s="133" t="s">
        <v>2994</v>
      </c>
      <c r="E3428" s="138">
        <v>1263</v>
      </c>
      <c r="F3428" s="153" t="s">
        <v>167</v>
      </c>
      <c r="G3428" s="153">
        <v>1</v>
      </c>
      <c r="H3428" s="133" t="s">
        <v>39</v>
      </c>
      <c r="I3428" s="133"/>
      <c r="J3428" s="133" t="s">
        <v>2407</v>
      </c>
      <c r="K3428" s="133" t="s">
        <v>831</v>
      </c>
      <c r="L3428" s="167"/>
      <c r="M3428" s="48"/>
      <c r="N3428" s="123"/>
    </row>
    <row r="3429" spans="1:14" customFormat="1" x14ac:dyDescent="0.55000000000000004">
      <c r="A3429" s="132" t="s">
        <v>2408</v>
      </c>
      <c r="B3429" s="133" t="s">
        <v>2806</v>
      </c>
      <c r="C3429" s="133" t="s">
        <v>156</v>
      </c>
      <c r="D3429" s="133" t="s">
        <v>3288</v>
      </c>
      <c r="E3429" s="138">
        <v>0.06</v>
      </c>
      <c r="F3429" s="153" t="s">
        <v>135</v>
      </c>
      <c r="G3429" s="153">
        <v>1</v>
      </c>
      <c r="H3429" s="133" t="s">
        <v>39</v>
      </c>
      <c r="I3429" s="133"/>
      <c r="J3429" s="133" t="s">
        <v>2407</v>
      </c>
      <c r="K3429" s="133" t="s">
        <v>831</v>
      </c>
      <c r="L3429" s="167"/>
      <c r="M3429" s="48"/>
      <c r="N3429" s="123"/>
    </row>
    <row r="3430" spans="1:14" customFormat="1" x14ac:dyDescent="0.55000000000000004">
      <c r="A3430" s="132" t="s">
        <v>2408</v>
      </c>
      <c r="B3430" s="133" t="s">
        <v>2807</v>
      </c>
      <c r="C3430" s="133" t="s">
        <v>163</v>
      </c>
      <c r="D3430" s="133" t="s">
        <v>3288</v>
      </c>
      <c r="E3430" s="138">
        <v>0.22600000000000001</v>
      </c>
      <c r="F3430" s="153" t="s">
        <v>135</v>
      </c>
      <c r="G3430" s="153">
        <v>1</v>
      </c>
      <c r="H3430" s="133" t="s">
        <v>39</v>
      </c>
      <c r="I3430" s="133"/>
      <c r="J3430" s="133" t="s">
        <v>2407</v>
      </c>
      <c r="K3430" s="133" t="s">
        <v>831</v>
      </c>
      <c r="L3430" s="167"/>
      <c r="M3430" s="48"/>
      <c r="N3430" s="123"/>
    </row>
    <row r="3431" spans="1:14" customFormat="1" x14ac:dyDescent="0.55000000000000004">
      <c r="A3431" s="132" t="s">
        <v>2411</v>
      </c>
      <c r="B3431" s="133" t="s">
        <v>2804</v>
      </c>
      <c r="C3431" s="133" t="s">
        <v>121</v>
      </c>
      <c r="D3431" s="133" t="s">
        <v>2682</v>
      </c>
      <c r="E3431" s="138">
        <v>1</v>
      </c>
      <c r="F3431" s="153">
        <v>1</v>
      </c>
      <c r="G3431" s="153">
        <v>1</v>
      </c>
      <c r="H3431" s="133" t="s">
        <v>39</v>
      </c>
      <c r="I3431" s="133"/>
      <c r="J3431" s="133" t="s">
        <v>2410</v>
      </c>
      <c r="K3431" s="133" t="s">
        <v>831</v>
      </c>
      <c r="L3431" s="167"/>
      <c r="M3431" s="48"/>
      <c r="N3431" s="123"/>
    </row>
    <row r="3432" spans="1:14" customFormat="1" x14ac:dyDescent="0.55000000000000004">
      <c r="A3432" s="132" t="s">
        <v>2411</v>
      </c>
      <c r="B3432" s="133" t="s">
        <v>2805</v>
      </c>
      <c r="C3432" s="133" t="s">
        <v>348</v>
      </c>
      <c r="D3432" s="133" t="s">
        <v>3288</v>
      </c>
      <c r="E3432" s="138">
        <v>1</v>
      </c>
      <c r="F3432" s="153" t="s">
        <v>135</v>
      </c>
      <c r="G3432" s="153">
        <v>1</v>
      </c>
      <c r="H3432" s="133" t="s">
        <v>39</v>
      </c>
      <c r="I3432" s="133"/>
      <c r="J3432" s="133" t="s">
        <v>2410</v>
      </c>
      <c r="K3432" s="133" t="s">
        <v>831</v>
      </c>
      <c r="L3432" s="167"/>
      <c r="M3432" s="48"/>
      <c r="N3432" s="123"/>
    </row>
    <row r="3433" spans="1:14" customFormat="1" x14ac:dyDescent="0.55000000000000004">
      <c r="A3433" s="132" t="s">
        <v>2411</v>
      </c>
      <c r="B3433" s="133" t="s">
        <v>153</v>
      </c>
      <c r="C3433" s="133" t="s">
        <v>127</v>
      </c>
      <c r="D3433" s="133" t="s">
        <v>2994</v>
      </c>
      <c r="E3433" s="138">
        <v>1231</v>
      </c>
      <c r="F3433" s="153" t="s">
        <v>167</v>
      </c>
      <c r="G3433" s="153">
        <v>1</v>
      </c>
      <c r="H3433" s="133" t="s">
        <v>39</v>
      </c>
      <c r="I3433" s="133"/>
      <c r="J3433" s="133" t="s">
        <v>2410</v>
      </c>
      <c r="K3433" s="133" t="s">
        <v>831</v>
      </c>
      <c r="L3433" s="167"/>
      <c r="M3433" s="48"/>
      <c r="N3433" s="123"/>
    </row>
    <row r="3434" spans="1:14" customFormat="1" x14ac:dyDescent="0.55000000000000004">
      <c r="A3434" s="132" t="s">
        <v>2411</v>
      </c>
      <c r="B3434" s="133" t="s">
        <v>2785</v>
      </c>
      <c r="C3434" s="133" t="s">
        <v>127</v>
      </c>
      <c r="D3434" s="133" t="s">
        <v>2994</v>
      </c>
      <c r="E3434" s="138">
        <v>94</v>
      </c>
      <c r="F3434" s="153" t="s">
        <v>167</v>
      </c>
      <c r="G3434" s="153">
        <v>1</v>
      </c>
      <c r="H3434" s="133" t="s">
        <v>39</v>
      </c>
      <c r="I3434" s="133"/>
      <c r="J3434" s="133" t="s">
        <v>2410</v>
      </c>
      <c r="K3434" s="133" t="s">
        <v>831</v>
      </c>
      <c r="L3434" s="167"/>
      <c r="M3434" s="48"/>
      <c r="N3434" s="123"/>
    </row>
    <row r="3435" spans="1:14" customFormat="1" x14ac:dyDescent="0.55000000000000004">
      <c r="A3435" s="132" t="s">
        <v>2411</v>
      </c>
      <c r="B3435" s="133" t="s">
        <v>171</v>
      </c>
      <c r="C3435" s="133" t="s">
        <v>127</v>
      </c>
      <c r="D3435" s="133" t="s">
        <v>2994</v>
      </c>
      <c r="E3435" s="138">
        <v>1450</v>
      </c>
      <c r="F3435" s="153" t="s">
        <v>167</v>
      </c>
      <c r="G3435" s="153">
        <v>1</v>
      </c>
      <c r="H3435" s="133" t="s">
        <v>39</v>
      </c>
      <c r="I3435" s="133"/>
      <c r="J3435" s="133" t="s">
        <v>2410</v>
      </c>
      <c r="K3435" s="133" t="s">
        <v>831</v>
      </c>
      <c r="L3435" s="167"/>
      <c r="M3435" s="48"/>
      <c r="N3435" s="123"/>
    </row>
    <row r="3436" spans="1:14" customFormat="1" x14ac:dyDescent="0.55000000000000004">
      <c r="A3436" s="132" t="s">
        <v>2411</v>
      </c>
      <c r="B3436" s="133" t="s">
        <v>154</v>
      </c>
      <c r="C3436" s="133" t="s">
        <v>132</v>
      </c>
      <c r="D3436" s="133" t="s">
        <v>3288</v>
      </c>
      <c r="E3436" s="138">
        <v>0.4</v>
      </c>
      <c r="F3436" s="153" t="s">
        <v>135</v>
      </c>
      <c r="G3436" s="153">
        <v>1</v>
      </c>
      <c r="H3436" s="133" t="s">
        <v>39</v>
      </c>
      <c r="I3436" s="133"/>
      <c r="J3436" s="133" t="s">
        <v>2410</v>
      </c>
      <c r="K3436" s="133" t="s">
        <v>831</v>
      </c>
      <c r="L3436" s="167"/>
      <c r="M3436" s="48"/>
      <c r="N3436" s="123"/>
    </row>
    <row r="3437" spans="1:14" customFormat="1" x14ac:dyDescent="0.55000000000000004">
      <c r="A3437" s="132" t="s">
        <v>2411</v>
      </c>
      <c r="B3437" s="133" t="s">
        <v>2808</v>
      </c>
      <c r="C3437" s="133" t="s">
        <v>156</v>
      </c>
      <c r="D3437" s="133" t="s">
        <v>3288</v>
      </c>
      <c r="E3437" s="138">
        <v>0.06</v>
      </c>
      <c r="F3437" s="153" t="s">
        <v>135</v>
      </c>
      <c r="G3437" s="153">
        <v>1</v>
      </c>
      <c r="H3437" s="133" t="s">
        <v>39</v>
      </c>
      <c r="I3437" s="133"/>
      <c r="J3437" s="133" t="s">
        <v>2410</v>
      </c>
      <c r="K3437" s="133" t="s">
        <v>831</v>
      </c>
      <c r="L3437" s="167"/>
      <c r="M3437" s="48"/>
      <c r="N3437" s="123"/>
    </row>
    <row r="3438" spans="1:14" customFormat="1" x14ac:dyDescent="0.55000000000000004">
      <c r="A3438" s="132" t="s">
        <v>2411</v>
      </c>
      <c r="B3438" s="133" t="s">
        <v>2807</v>
      </c>
      <c r="C3438" s="133" t="s">
        <v>163</v>
      </c>
      <c r="D3438" s="133" t="s">
        <v>3288</v>
      </c>
      <c r="E3438" s="138">
        <v>0.16900000000000001</v>
      </c>
      <c r="F3438" s="153" t="s">
        <v>135</v>
      </c>
      <c r="G3438" s="153">
        <v>1</v>
      </c>
      <c r="H3438" s="133" t="s">
        <v>39</v>
      </c>
      <c r="I3438" s="133"/>
      <c r="J3438" s="133" t="s">
        <v>2410</v>
      </c>
      <c r="K3438" s="133" t="s">
        <v>831</v>
      </c>
      <c r="L3438" s="167"/>
      <c r="M3438" s="48"/>
      <c r="N3438" s="123"/>
    </row>
    <row r="3439" spans="1:14" customFormat="1" x14ac:dyDescent="0.55000000000000004">
      <c r="A3439" s="132" t="s">
        <v>2411</v>
      </c>
      <c r="B3439" s="133" t="s">
        <v>2721</v>
      </c>
      <c r="C3439" s="133" t="s">
        <v>156</v>
      </c>
      <c r="D3439" s="133" t="s">
        <v>3288</v>
      </c>
      <c r="E3439" s="138">
        <v>0.23699999999999999</v>
      </c>
      <c r="F3439" s="153" t="s">
        <v>135</v>
      </c>
      <c r="G3439" s="153">
        <v>1</v>
      </c>
      <c r="H3439" s="133" t="s">
        <v>39</v>
      </c>
      <c r="I3439" s="133"/>
      <c r="J3439" s="133" t="s">
        <v>2410</v>
      </c>
      <c r="K3439" s="133" t="s">
        <v>831</v>
      </c>
      <c r="L3439" s="167"/>
      <c r="M3439" s="48"/>
      <c r="N3439" s="123"/>
    </row>
    <row r="3440" spans="1:14" customFormat="1" x14ac:dyDescent="0.55000000000000004">
      <c r="A3440" s="132" t="s">
        <v>2411</v>
      </c>
      <c r="B3440" s="133" t="s">
        <v>2809</v>
      </c>
      <c r="C3440" s="133" t="s">
        <v>156</v>
      </c>
      <c r="D3440" s="133" t="s">
        <v>2994</v>
      </c>
      <c r="E3440" s="138">
        <v>723</v>
      </c>
      <c r="F3440" s="153" t="s">
        <v>167</v>
      </c>
      <c r="G3440" s="153">
        <v>1</v>
      </c>
      <c r="H3440" s="133" t="s">
        <v>39</v>
      </c>
      <c r="I3440" s="133"/>
      <c r="J3440" s="133" t="s">
        <v>2410</v>
      </c>
      <c r="K3440" s="133" t="s">
        <v>831</v>
      </c>
      <c r="L3440" s="167"/>
      <c r="M3440" s="48"/>
      <c r="N3440" s="123"/>
    </row>
    <row r="3441" spans="1:14" customFormat="1" x14ac:dyDescent="0.55000000000000004">
      <c r="A3441" s="132" t="s">
        <v>2411</v>
      </c>
      <c r="B3441" s="133" t="s">
        <v>2810</v>
      </c>
      <c r="C3441" s="133" t="s">
        <v>156</v>
      </c>
      <c r="D3441" s="133" t="s">
        <v>2994</v>
      </c>
      <c r="E3441" s="138">
        <v>945</v>
      </c>
      <c r="F3441" s="153" t="s">
        <v>167</v>
      </c>
      <c r="G3441" s="153">
        <v>1</v>
      </c>
      <c r="H3441" s="133" t="s">
        <v>39</v>
      </c>
      <c r="I3441" s="133"/>
      <c r="J3441" s="133" t="s">
        <v>2410</v>
      </c>
      <c r="K3441" s="133" t="s">
        <v>831</v>
      </c>
      <c r="L3441" s="167"/>
      <c r="M3441" s="48"/>
      <c r="N3441" s="123"/>
    </row>
    <row r="3442" spans="1:14" customFormat="1" x14ac:dyDescent="0.55000000000000004">
      <c r="A3442" s="132" t="s">
        <v>2414</v>
      </c>
      <c r="B3442" s="133" t="s">
        <v>2804</v>
      </c>
      <c r="C3442" s="133" t="s">
        <v>121</v>
      </c>
      <c r="D3442" s="133" t="s">
        <v>2682</v>
      </c>
      <c r="E3442" s="138">
        <v>1</v>
      </c>
      <c r="F3442" s="153">
        <v>1</v>
      </c>
      <c r="G3442" s="153">
        <v>1</v>
      </c>
      <c r="H3442" s="133" t="s">
        <v>39</v>
      </c>
      <c r="I3442" s="133"/>
      <c r="J3442" s="133" t="s">
        <v>2413</v>
      </c>
      <c r="K3442" s="133" t="s">
        <v>831</v>
      </c>
      <c r="L3442" s="167"/>
      <c r="M3442" s="48"/>
      <c r="N3442" s="123"/>
    </row>
    <row r="3443" spans="1:14" customFormat="1" x14ac:dyDescent="0.55000000000000004">
      <c r="A3443" s="132" t="s">
        <v>2414</v>
      </c>
      <c r="B3443" s="133" t="s">
        <v>2805</v>
      </c>
      <c r="C3443" s="133" t="s">
        <v>348</v>
      </c>
      <c r="D3443" s="133" t="s">
        <v>3288</v>
      </c>
      <c r="E3443" s="138">
        <v>1</v>
      </c>
      <c r="F3443" s="153" t="s">
        <v>135</v>
      </c>
      <c r="G3443" s="153">
        <v>1</v>
      </c>
      <c r="H3443" s="133" t="s">
        <v>39</v>
      </c>
      <c r="I3443" s="133"/>
      <c r="J3443" s="133" t="s">
        <v>2413</v>
      </c>
      <c r="K3443" s="133" t="s">
        <v>831</v>
      </c>
      <c r="L3443" s="167"/>
      <c r="M3443" s="48"/>
      <c r="N3443" s="123"/>
    </row>
    <row r="3444" spans="1:14" customFormat="1" x14ac:dyDescent="0.55000000000000004">
      <c r="A3444" s="132" t="s">
        <v>2414</v>
      </c>
      <c r="B3444" s="133" t="s">
        <v>153</v>
      </c>
      <c r="C3444" s="133" t="s">
        <v>127</v>
      </c>
      <c r="D3444" s="133" t="s">
        <v>2994</v>
      </c>
      <c r="E3444" s="138">
        <v>431</v>
      </c>
      <c r="F3444" s="153" t="s">
        <v>167</v>
      </c>
      <c r="G3444" s="153">
        <v>1</v>
      </c>
      <c r="H3444" s="133" t="s">
        <v>39</v>
      </c>
      <c r="I3444" s="133"/>
      <c r="J3444" s="133" t="s">
        <v>2413</v>
      </c>
      <c r="K3444" s="133" t="s">
        <v>831</v>
      </c>
      <c r="L3444" s="167"/>
      <c r="M3444" s="48"/>
      <c r="N3444" s="123"/>
    </row>
    <row r="3445" spans="1:14" customFormat="1" x14ac:dyDescent="0.55000000000000004">
      <c r="A3445" s="132" t="s">
        <v>2414</v>
      </c>
      <c r="B3445" s="133" t="s">
        <v>213</v>
      </c>
      <c r="C3445" s="133" t="s">
        <v>127</v>
      </c>
      <c r="D3445" s="133" t="s">
        <v>3288</v>
      </c>
      <c r="E3445" s="138">
        <v>0.51500000000000001</v>
      </c>
      <c r="F3445" s="153" t="s">
        <v>135</v>
      </c>
      <c r="G3445" s="153">
        <v>1</v>
      </c>
      <c r="H3445" s="133" t="s">
        <v>39</v>
      </c>
      <c r="I3445" s="133"/>
      <c r="J3445" s="133" t="s">
        <v>2413</v>
      </c>
      <c r="K3445" s="133" t="s">
        <v>831</v>
      </c>
      <c r="L3445" s="167"/>
      <c r="M3445" s="48"/>
      <c r="N3445" s="123"/>
    </row>
    <row r="3446" spans="1:14" customFormat="1" x14ac:dyDescent="0.55000000000000004">
      <c r="A3446" s="132" t="s">
        <v>2414</v>
      </c>
      <c r="B3446" s="133" t="s">
        <v>2811</v>
      </c>
      <c r="C3446" s="133" t="s">
        <v>348</v>
      </c>
      <c r="D3446" s="133" t="s">
        <v>3288</v>
      </c>
      <c r="E3446" s="138">
        <v>0.35</v>
      </c>
      <c r="F3446" s="153" t="s">
        <v>135</v>
      </c>
      <c r="G3446" s="153">
        <v>1</v>
      </c>
      <c r="H3446" s="133" t="s">
        <v>39</v>
      </c>
      <c r="I3446" s="133"/>
      <c r="J3446" s="133" t="s">
        <v>2413</v>
      </c>
      <c r="K3446" s="133" t="s">
        <v>831</v>
      </c>
      <c r="L3446" s="167"/>
      <c r="M3446" s="48"/>
      <c r="N3446" s="123"/>
    </row>
    <row r="3447" spans="1:14" customFormat="1" x14ac:dyDescent="0.55000000000000004">
      <c r="A3447" s="132" t="s">
        <v>2414</v>
      </c>
      <c r="B3447" s="133" t="s">
        <v>556</v>
      </c>
      <c r="C3447" s="133" t="s">
        <v>348</v>
      </c>
      <c r="D3447" s="133" t="s">
        <v>3288</v>
      </c>
      <c r="E3447" s="138">
        <v>3.0000000000000001E-3</v>
      </c>
      <c r="F3447" s="153" t="s">
        <v>135</v>
      </c>
      <c r="G3447" s="153">
        <v>1</v>
      </c>
      <c r="H3447" s="133" t="s">
        <v>39</v>
      </c>
      <c r="I3447" s="133"/>
      <c r="J3447" s="133" t="s">
        <v>2413</v>
      </c>
      <c r="K3447" s="133" t="s">
        <v>831</v>
      </c>
      <c r="L3447" s="167"/>
      <c r="M3447" s="48"/>
      <c r="N3447" s="123"/>
    </row>
    <row r="3448" spans="1:14" customFormat="1" x14ac:dyDescent="0.55000000000000004">
      <c r="A3448" s="132" t="s">
        <v>2414</v>
      </c>
      <c r="B3448" s="133" t="s">
        <v>2812</v>
      </c>
      <c r="C3448" s="133" t="s">
        <v>348</v>
      </c>
      <c r="D3448" s="133" t="s">
        <v>3288</v>
      </c>
      <c r="E3448" s="138">
        <v>0.01</v>
      </c>
      <c r="F3448" s="153" t="s">
        <v>135</v>
      </c>
      <c r="G3448" s="153">
        <v>1</v>
      </c>
      <c r="H3448" s="133" t="s">
        <v>39</v>
      </c>
      <c r="I3448" s="133"/>
      <c r="J3448" s="133" t="s">
        <v>2413</v>
      </c>
      <c r="K3448" s="133" t="s">
        <v>831</v>
      </c>
      <c r="L3448" s="167"/>
      <c r="M3448" s="48"/>
      <c r="N3448" s="123"/>
    </row>
    <row r="3449" spans="1:14" customFormat="1" x14ac:dyDescent="0.55000000000000004">
      <c r="A3449" s="132" t="s">
        <v>2414</v>
      </c>
      <c r="B3449" s="133" t="s">
        <v>2813</v>
      </c>
      <c r="C3449" s="133" t="s">
        <v>348</v>
      </c>
      <c r="D3449" s="133" t="s">
        <v>3288</v>
      </c>
      <c r="E3449" s="138">
        <v>2E-3</v>
      </c>
      <c r="F3449" s="153" t="s">
        <v>135</v>
      </c>
      <c r="G3449" s="153">
        <v>1</v>
      </c>
      <c r="H3449" s="133" t="s">
        <v>39</v>
      </c>
      <c r="I3449" s="133"/>
      <c r="J3449" s="133" t="s">
        <v>2413</v>
      </c>
      <c r="K3449" s="133" t="s">
        <v>831</v>
      </c>
      <c r="L3449" s="167"/>
      <c r="M3449" s="48"/>
      <c r="N3449" s="123"/>
    </row>
    <row r="3450" spans="1:14" customFormat="1" x14ac:dyDescent="0.55000000000000004">
      <c r="A3450" s="132" t="s">
        <v>2414</v>
      </c>
      <c r="B3450" s="133" t="s">
        <v>2808</v>
      </c>
      <c r="C3450" s="133" t="s">
        <v>156</v>
      </c>
      <c r="D3450" s="133" t="s">
        <v>3288</v>
      </c>
      <c r="E3450" s="138">
        <v>0.09</v>
      </c>
      <c r="F3450" s="153" t="s">
        <v>135</v>
      </c>
      <c r="G3450" s="153">
        <v>1</v>
      </c>
      <c r="H3450" s="133" t="s">
        <v>39</v>
      </c>
      <c r="I3450" s="133"/>
      <c r="J3450" s="133" t="s">
        <v>2413</v>
      </c>
      <c r="K3450" s="133" t="s">
        <v>831</v>
      </c>
      <c r="L3450" s="167"/>
      <c r="M3450" s="48"/>
      <c r="N3450" s="123"/>
    </row>
    <row r="3451" spans="1:14" customFormat="1" x14ac:dyDescent="0.55000000000000004">
      <c r="A3451" s="132" t="s">
        <v>2414</v>
      </c>
      <c r="B3451" s="133" t="s">
        <v>2814</v>
      </c>
      <c r="C3451" s="133" t="s">
        <v>163</v>
      </c>
      <c r="D3451" s="133" t="s">
        <v>3288</v>
      </c>
      <c r="E3451" s="138">
        <v>0.23</v>
      </c>
      <c r="F3451" s="153" t="s">
        <v>135</v>
      </c>
      <c r="G3451" s="153">
        <v>1</v>
      </c>
      <c r="H3451" s="133" t="s">
        <v>39</v>
      </c>
      <c r="I3451" s="133"/>
      <c r="J3451" s="133" t="s">
        <v>2413</v>
      </c>
      <c r="K3451" s="133" t="s">
        <v>831</v>
      </c>
      <c r="L3451" s="167"/>
      <c r="M3451" s="48"/>
      <c r="N3451" s="123"/>
    </row>
    <row r="3452" spans="1:14" customFormat="1" x14ac:dyDescent="0.55000000000000004">
      <c r="A3452" s="132" t="s">
        <v>2414</v>
      </c>
      <c r="B3452" s="133" t="s">
        <v>2815</v>
      </c>
      <c r="C3452" s="133" t="s">
        <v>156</v>
      </c>
      <c r="D3452" s="133" t="s">
        <v>3288</v>
      </c>
      <c r="E3452" s="138">
        <v>0.27</v>
      </c>
      <c r="F3452" s="153" t="s">
        <v>135</v>
      </c>
      <c r="G3452" s="153">
        <v>1</v>
      </c>
      <c r="H3452" s="133" t="s">
        <v>39</v>
      </c>
      <c r="I3452" s="133"/>
      <c r="J3452" s="133" t="s">
        <v>2413</v>
      </c>
      <c r="K3452" s="133" t="s">
        <v>831</v>
      </c>
      <c r="L3452" s="167"/>
      <c r="M3452" s="48"/>
      <c r="N3452" s="123"/>
    </row>
    <row r="3453" spans="1:14" customFormat="1" x14ac:dyDescent="0.55000000000000004">
      <c r="A3453" s="132" t="s">
        <v>2414</v>
      </c>
      <c r="B3453" s="133" t="s">
        <v>2810</v>
      </c>
      <c r="C3453" s="133" t="s">
        <v>156</v>
      </c>
      <c r="D3453" s="133" t="s">
        <v>2994</v>
      </c>
      <c r="E3453" s="138">
        <v>2566</v>
      </c>
      <c r="F3453" s="153" t="s">
        <v>167</v>
      </c>
      <c r="G3453" s="153">
        <v>1</v>
      </c>
      <c r="H3453" s="133" t="s">
        <v>39</v>
      </c>
      <c r="I3453" s="133"/>
      <c r="J3453" s="133" t="s">
        <v>2413</v>
      </c>
      <c r="K3453" s="133" t="s">
        <v>831</v>
      </c>
      <c r="L3453" s="167"/>
      <c r="M3453" s="48"/>
      <c r="N3453" s="123"/>
    </row>
    <row r="3454" spans="1:14" customFormat="1" x14ac:dyDescent="0.55000000000000004">
      <c r="A3454" s="132" t="s">
        <v>2414</v>
      </c>
      <c r="B3454" s="133" t="s">
        <v>469</v>
      </c>
      <c r="C3454" s="133" t="s">
        <v>156</v>
      </c>
      <c r="D3454" s="133" t="s">
        <v>3288</v>
      </c>
      <c r="E3454" s="138">
        <v>0.14799999999999999</v>
      </c>
      <c r="F3454" s="153" t="s">
        <v>135</v>
      </c>
      <c r="G3454" s="153">
        <v>1</v>
      </c>
      <c r="H3454" s="133" t="s">
        <v>39</v>
      </c>
      <c r="I3454" s="133"/>
      <c r="J3454" s="133" t="s">
        <v>2413</v>
      </c>
      <c r="K3454" s="133" t="s">
        <v>831</v>
      </c>
      <c r="L3454" s="167"/>
      <c r="M3454" s="48"/>
      <c r="N3454" s="123"/>
    </row>
    <row r="3455" spans="1:14" customFormat="1" x14ac:dyDescent="0.55000000000000004">
      <c r="A3455" s="132" t="s">
        <v>2417</v>
      </c>
      <c r="B3455" s="133" t="s">
        <v>2816</v>
      </c>
      <c r="C3455" s="133" t="s">
        <v>121</v>
      </c>
      <c r="D3455" s="133" t="s">
        <v>2682</v>
      </c>
      <c r="E3455" s="138">
        <v>1</v>
      </c>
      <c r="F3455" s="153">
        <v>1</v>
      </c>
      <c r="G3455" s="153">
        <v>1</v>
      </c>
      <c r="H3455" s="133" t="s">
        <v>39</v>
      </c>
      <c r="I3455" s="133"/>
      <c r="J3455" s="133" t="s">
        <v>2416</v>
      </c>
      <c r="K3455" s="133" t="s">
        <v>831</v>
      </c>
      <c r="L3455" s="167"/>
      <c r="M3455" s="48"/>
      <c r="N3455" s="123"/>
    </row>
    <row r="3456" spans="1:14" customFormat="1" x14ac:dyDescent="0.55000000000000004">
      <c r="A3456" s="132" t="s">
        <v>2417</v>
      </c>
      <c r="B3456" s="133" t="s">
        <v>2817</v>
      </c>
      <c r="C3456" s="133" t="s">
        <v>348</v>
      </c>
      <c r="D3456" s="133" t="s">
        <v>3288</v>
      </c>
      <c r="E3456" s="138">
        <v>1</v>
      </c>
      <c r="F3456" s="153" t="s">
        <v>135</v>
      </c>
      <c r="G3456" s="153">
        <v>1</v>
      </c>
      <c r="H3456" s="133" t="s">
        <v>39</v>
      </c>
      <c r="I3456" s="133"/>
      <c r="J3456" s="133" t="s">
        <v>2416</v>
      </c>
      <c r="K3456" s="133" t="s">
        <v>831</v>
      </c>
      <c r="L3456" s="167"/>
      <c r="M3456" s="48"/>
      <c r="N3456" s="123"/>
    </row>
    <row r="3457" spans="1:14" customFormat="1" x14ac:dyDescent="0.55000000000000004">
      <c r="A3457" s="132" t="s">
        <v>2417</v>
      </c>
      <c r="B3457" s="133" t="s">
        <v>153</v>
      </c>
      <c r="C3457" s="133" t="s">
        <v>127</v>
      </c>
      <c r="D3457" s="133" t="s">
        <v>2994</v>
      </c>
      <c r="E3457" s="138">
        <v>66</v>
      </c>
      <c r="F3457" s="153" t="s">
        <v>130</v>
      </c>
      <c r="G3457" s="153">
        <v>1</v>
      </c>
      <c r="H3457" s="133" t="s">
        <v>39</v>
      </c>
      <c r="I3457" s="133"/>
      <c r="J3457" s="133" t="s">
        <v>2416</v>
      </c>
      <c r="K3457" s="133" t="s">
        <v>831</v>
      </c>
      <c r="L3457" s="167"/>
      <c r="M3457" s="48"/>
      <c r="N3457" s="123"/>
    </row>
    <row r="3458" spans="1:14" customFormat="1" x14ac:dyDescent="0.55000000000000004">
      <c r="A3458" s="132" t="s">
        <v>2417</v>
      </c>
      <c r="B3458" s="133" t="s">
        <v>2798</v>
      </c>
      <c r="C3458" s="133" t="s">
        <v>156</v>
      </c>
      <c r="D3458" s="133" t="s">
        <v>3288</v>
      </c>
      <c r="E3458" s="138">
        <v>2.1999999999999999E-2</v>
      </c>
      <c r="F3458" s="153" t="s">
        <v>135</v>
      </c>
      <c r="G3458" s="153">
        <v>1</v>
      </c>
      <c r="H3458" s="133" t="s">
        <v>39</v>
      </c>
      <c r="I3458" s="133"/>
      <c r="J3458" s="133" t="s">
        <v>2416</v>
      </c>
      <c r="K3458" s="133" t="s">
        <v>831</v>
      </c>
      <c r="L3458" s="167"/>
      <c r="M3458" s="48"/>
      <c r="N3458" s="123"/>
    </row>
    <row r="3459" spans="1:14" customFormat="1" x14ac:dyDescent="0.55000000000000004">
      <c r="A3459" s="132" t="s">
        <v>2417</v>
      </c>
      <c r="B3459" s="133" t="s">
        <v>2818</v>
      </c>
      <c r="C3459" s="133" t="s">
        <v>156</v>
      </c>
      <c r="D3459" s="133" t="s">
        <v>3288</v>
      </c>
      <c r="E3459" s="138">
        <v>0.38100000000000001</v>
      </c>
      <c r="F3459" s="153" t="s">
        <v>135</v>
      </c>
      <c r="G3459" s="153">
        <v>1</v>
      </c>
      <c r="H3459" s="133" t="s">
        <v>39</v>
      </c>
      <c r="I3459" s="133"/>
      <c r="J3459" s="133" t="s">
        <v>2416</v>
      </c>
      <c r="K3459" s="133" t="s">
        <v>831</v>
      </c>
      <c r="L3459" s="167"/>
      <c r="M3459" s="48"/>
      <c r="N3459" s="123"/>
    </row>
    <row r="3460" spans="1:14" customFormat="1" x14ac:dyDescent="0.55000000000000004">
      <c r="A3460" s="132" t="s">
        <v>2417</v>
      </c>
      <c r="B3460" s="133" t="s">
        <v>2819</v>
      </c>
      <c r="C3460" s="133" t="s">
        <v>156</v>
      </c>
      <c r="D3460" s="133" t="s">
        <v>3288</v>
      </c>
      <c r="E3460" s="138">
        <v>0.16500000000000001</v>
      </c>
      <c r="F3460" s="153" t="s">
        <v>135</v>
      </c>
      <c r="G3460" s="153">
        <v>1</v>
      </c>
      <c r="H3460" s="133" t="s">
        <v>39</v>
      </c>
      <c r="I3460" s="133"/>
      <c r="J3460" s="133" t="s">
        <v>2416</v>
      </c>
      <c r="K3460" s="133" t="s">
        <v>831</v>
      </c>
      <c r="L3460" s="167"/>
      <c r="M3460" s="48"/>
      <c r="N3460" s="123"/>
    </row>
    <row r="3461" spans="1:14" customFormat="1" x14ac:dyDescent="0.55000000000000004">
      <c r="A3461" s="132" t="s">
        <v>2417</v>
      </c>
      <c r="B3461" s="133" t="s">
        <v>2820</v>
      </c>
      <c r="C3461" s="133" t="s">
        <v>156</v>
      </c>
      <c r="D3461" s="133" t="s">
        <v>3288</v>
      </c>
      <c r="E3461" s="138">
        <v>0.114</v>
      </c>
      <c r="F3461" s="153" t="s">
        <v>135</v>
      </c>
      <c r="G3461" s="153">
        <v>1</v>
      </c>
      <c r="H3461" s="133" t="s">
        <v>39</v>
      </c>
      <c r="I3461" s="133"/>
      <c r="J3461" s="133" t="s">
        <v>2416</v>
      </c>
      <c r="K3461" s="133" t="s">
        <v>831</v>
      </c>
      <c r="L3461" s="167"/>
      <c r="M3461" s="48"/>
      <c r="N3461" s="123"/>
    </row>
    <row r="3462" spans="1:14" customFormat="1" x14ac:dyDescent="0.55000000000000004">
      <c r="A3462" s="132" t="s">
        <v>2417</v>
      </c>
      <c r="B3462" s="133" t="s">
        <v>2821</v>
      </c>
      <c r="C3462" s="133" t="s">
        <v>156</v>
      </c>
      <c r="D3462" s="133" t="s">
        <v>3288</v>
      </c>
      <c r="E3462" s="138">
        <v>5.2999999999999999E-2</v>
      </c>
      <c r="F3462" s="153" t="s">
        <v>135</v>
      </c>
      <c r="G3462" s="153">
        <v>1</v>
      </c>
      <c r="H3462" s="133" t="s">
        <v>39</v>
      </c>
      <c r="I3462" s="133"/>
      <c r="J3462" s="133" t="s">
        <v>2416</v>
      </c>
      <c r="K3462" s="133" t="s">
        <v>831</v>
      </c>
      <c r="L3462" s="167"/>
      <c r="M3462" s="48"/>
      <c r="N3462" s="123"/>
    </row>
    <row r="3463" spans="1:14" customFormat="1" x14ac:dyDescent="0.55000000000000004">
      <c r="A3463" s="132" t="s">
        <v>2417</v>
      </c>
      <c r="B3463" s="133" t="s">
        <v>2590</v>
      </c>
      <c r="C3463" s="133" t="s">
        <v>156</v>
      </c>
      <c r="D3463" s="133" t="s">
        <v>3288</v>
      </c>
      <c r="E3463" s="138">
        <v>0.26500000000000001</v>
      </c>
      <c r="F3463" s="153" t="s">
        <v>135</v>
      </c>
      <c r="G3463" s="153">
        <v>1</v>
      </c>
      <c r="H3463" s="133" t="s">
        <v>39</v>
      </c>
      <c r="I3463" s="133"/>
      <c r="J3463" s="133" t="s">
        <v>2416</v>
      </c>
      <c r="K3463" s="133" t="s">
        <v>831</v>
      </c>
      <c r="L3463" s="167"/>
      <c r="M3463" s="48"/>
      <c r="N3463" s="123"/>
    </row>
    <row r="3464" spans="1:14" customFormat="1" x14ac:dyDescent="0.55000000000000004">
      <c r="A3464" s="132" t="s">
        <v>2420</v>
      </c>
      <c r="B3464" s="133" t="s">
        <v>2822</v>
      </c>
      <c r="C3464" s="133" t="s">
        <v>121</v>
      </c>
      <c r="D3464" s="133" t="s">
        <v>2682</v>
      </c>
      <c r="E3464" s="138">
        <v>1</v>
      </c>
      <c r="F3464" s="153">
        <v>1</v>
      </c>
      <c r="G3464" s="153">
        <v>1</v>
      </c>
      <c r="H3464" s="133" t="s">
        <v>39</v>
      </c>
      <c r="I3464" s="133"/>
      <c r="J3464" s="133" t="s">
        <v>2419</v>
      </c>
      <c r="K3464" s="133" t="s">
        <v>831</v>
      </c>
      <c r="L3464" s="167"/>
      <c r="M3464" s="48"/>
      <c r="N3464" s="123"/>
    </row>
    <row r="3465" spans="1:14" customFormat="1" x14ac:dyDescent="0.55000000000000004">
      <c r="A3465" s="132" t="s">
        <v>2420</v>
      </c>
      <c r="B3465" s="133" t="s">
        <v>2823</v>
      </c>
      <c r="C3465" s="133" t="s">
        <v>348</v>
      </c>
      <c r="D3465" s="133" t="s">
        <v>3288</v>
      </c>
      <c r="E3465" s="138">
        <v>1</v>
      </c>
      <c r="F3465" s="153" t="s">
        <v>135</v>
      </c>
      <c r="G3465" s="153">
        <v>1</v>
      </c>
      <c r="H3465" s="133" t="s">
        <v>39</v>
      </c>
      <c r="I3465" s="133"/>
      <c r="J3465" s="133" t="s">
        <v>2419</v>
      </c>
      <c r="K3465" s="133" t="s">
        <v>831</v>
      </c>
      <c r="L3465" s="167"/>
      <c r="M3465" s="48"/>
      <c r="N3465" s="123"/>
    </row>
    <row r="3466" spans="1:14" customFormat="1" x14ac:dyDescent="0.55000000000000004">
      <c r="A3466" s="132" t="s">
        <v>2420</v>
      </c>
      <c r="B3466" s="133" t="s">
        <v>153</v>
      </c>
      <c r="C3466" s="133" t="s">
        <v>127</v>
      </c>
      <c r="D3466" s="133" t="s">
        <v>2994</v>
      </c>
      <c r="E3466" s="138">
        <v>79.86</v>
      </c>
      <c r="F3466" s="153" t="s">
        <v>130</v>
      </c>
      <c r="G3466" s="153">
        <v>1</v>
      </c>
      <c r="H3466" s="133" t="s">
        <v>39</v>
      </c>
      <c r="I3466" s="133"/>
      <c r="J3466" s="133" t="s">
        <v>2419</v>
      </c>
      <c r="K3466" s="133" t="s">
        <v>831</v>
      </c>
      <c r="L3466" s="167"/>
      <c r="M3466" s="48"/>
      <c r="N3466" s="123"/>
    </row>
    <row r="3467" spans="1:14" customFormat="1" x14ac:dyDescent="0.55000000000000004">
      <c r="A3467" s="132" t="s">
        <v>2420</v>
      </c>
      <c r="B3467" s="133" t="s">
        <v>2824</v>
      </c>
      <c r="C3467" s="133" t="s">
        <v>127</v>
      </c>
      <c r="D3467" s="133" t="s">
        <v>2994</v>
      </c>
      <c r="E3467" s="138">
        <v>813.08</v>
      </c>
      <c r="F3467" s="153" t="s">
        <v>167</v>
      </c>
      <c r="G3467" s="153">
        <v>1</v>
      </c>
      <c r="H3467" s="133" t="s">
        <v>39</v>
      </c>
      <c r="I3467" s="133"/>
      <c r="J3467" s="133" t="s">
        <v>2419</v>
      </c>
      <c r="K3467" s="133" t="s">
        <v>831</v>
      </c>
      <c r="L3467" s="167"/>
      <c r="M3467" s="48"/>
      <c r="N3467" s="123"/>
    </row>
    <row r="3468" spans="1:14" customFormat="1" x14ac:dyDescent="0.55000000000000004">
      <c r="A3468" s="132" t="s">
        <v>2420</v>
      </c>
      <c r="B3468" s="133" t="s">
        <v>2825</v>
      </c>
      <c r="C3468" s="133" t="s">
        <v>125</v>
      </c>
      <c r="D3468" s="133" t="s">
        <v>3288</v>
      </c>
      <c r="E3468" s="138">
        <v>6.6900000000000006E-3</v>
      </c>
      <c r="F3468" s="153" t="s">
        <v>135</v>
      </c>
      <c r="G3468" s="153">
        <v>1</v>
      </c>
      <c r="H3468" s="133" t="s">
        <v>39</v>
      </c>
      <c r="I3468" s="133"/>
      <c r="J3468" s="133" t="s">
        <v>2419</v>
      </c>
      <c r="K3468" s="133" t="s">
        <v>831</v>
      </c>
      <c r="L3468" s="167"/>
      <c r="M3468" s="48"/>
      <c r="N3468" s="123"/>
    </row>
    <row r="3469" spans="1:14" customFormat="1" x14ac:dyDescent="0.55000000000000004">
      <c r="A3469" s="132" t="s">
        <v>2420</v>
      </c>
      <c r="B3469" s="133" t="s">
        <v>2826</v>
      </c>
      <c r="C3469" s="133" t="s">
        <v>125</v>
      </c>
      <c r="D3469" s="133" t="s">
        <v>3288</v>
      </c>
      <c r="E3469" s="138">
        <v>1.6299999999999999E-3</v>
      </c>
      <c r="F3469" s="153" t="s">
        <v>135</v>
      </c>
      <c r="G3469" s="153">
        <v>1</v>
      </c>
      <c r="H3469" s="133" t="s">
        <v>39</v>
      </c>
      <c r="I3469" s="133"/>
      <c r="J3469" s="133" t="s">
        <v>2419</v>
      </c>
      <c r="K3469" s="133" t="s">
        <v>831</v>
      </c>
      <c r="L3469" s="167"/>
      <c r="M3469" s="48"/>
      <c r="N3469" s="123"/>
    </row>
    <row r="3470" spans="1:14" customFormat="1" x14ac:dyDescent="0.55000000000000004">
      <c r="A3470" s="132" t="s">
        <v>2420</v>
      </c>
      <c r="B3470" s="133" t="s">
        <v>2827</v>
      </c>
      <c r="C3470" s="133" t="s">
        <v>156</v>
      </c>
      <c r="D3470" s="133" t="s">
        <v>3288</v>
      </c>
      <c r="E3470" s="138">
        <v>0.66665999999999992</v>
      </c>
      <c r="F3470" s="153" t="s">
        <v>135</v>
      </c>
      <c r="G3470" s="153">
        <v>1</v>
      </c>
      <c r="H3470" s="133" t="s">
        <v>39</v>
      </c>
      <c r="I3470" s="133"/>
      <c r="J3470" s="133" t="s">
        <v>2419</v>
      </c>
      <c r="K3470" s="133" t="s">
        <v>831</v>
      </c>
      <c r="L3470" s="167"/>
      <c r="M3470" s="48"/>
      <c r="N3470" s="123"/>
    </row>
    <row r="3471" spans="1:14" customFormat="1" x14ac:dyDescent="0.55000000000000004">
      <c r="A3471" s="132" t="s">
        <v>2420</v>
      </c>
      <c r="B3471" s="133" t="s">
        <v>2828</v>
      </c>
      <c r="C3471" s="133" t="s">
        <v>156</v>
      </c>
      <c r="D3471" s="133" t="s">
        <v>3288</v>
      </c>
      <c r="E3471" s="138">
        <v>3.1899999999999998E-2</v>
      </c>
      <c r="F3471" s="153" t="s">
        <v>135</v>
      </c>
      <c r="G3471" s="153">
        <v>1</v>
      </c>
      <c r="H3471" s="133" t="s">
        <v>39</v>
      </c>
      <c r="I3471" s="133"/>
      <c r="J3471" s="133" t="s">
        <v>2419</v>
      </c>
      <c r="K3471" s="133" t="s">
        <v>831</v>
      </c>
      <c r="L3471" s="167"/>
      <c r="M3471" s="48"/>
      <c r="N3471" s="123"/>
    </row>
    <row r="3472" spans="1:14" customFormat="1" x14ac:dyDescent="0.55000000000000004">
      <c r="A3472" s="132" t="s">
        <v>2420</v>
      </c>
      <c r="B3472" s="133" t="s">
        <v>2781</v>
      </c>
      <c r="C3472" s="133" t="s">
        <v>156</v>
      </c>
      <c r="D3472" s="133" t="s">
        <v>3288</v>
      </c>
      <c r="E3472" s="138">
        <v>4.2500000000000003E-2</v>
      </c>
      <c r="F3472" s="153" t="s">
        <v>135</v>
      </c>
      <c r="G3472" s="153">
        <v>1</v>
      </c>
      <c r="H3472" s="133" t="s">
        <v>39</v>
      </c>
      <c r="I3472" s="133"/>
      <c r="J3472" s="133" t="s">
        <v>2419</v>
      </c>
      <c r="K3472" s="133" t="s">
        <v>831</v>
      </c>
      <c r="L3472" s="167"/>
      <c r="M3472" s="48"/>
      <c r="N3472" s="123"/>
    </row>
    <row r="3473" spans="1:14" customFormat="1" x14ac:dyDescent="0.55000000000000004">
      <c r="A3473" s="132" t="s">
        <v>2420</v>
      </c>
      <c r="B3473" s="133" t="s">
        <v>2829</v>
      </c>
      <c r="C3473" s="133" t="s">
        <v>156</v>
      </c>
      <c r="D3473" s="133" t="s">
        <v>3288</v>
      </c>
      <c r="E3473" s="138">
        <v>4.4000000000000003E-3</v>
      </c>
      <c r="F3473" s="153" t="s">
        <v>135</v>
      </c>
      <c r="G3473" s="153">
        <v>1</v>
      </c>
      <c r="H3473" s="133" t="s">
        <v>39</v>
      </c>
      <c r="I3473" s="133"/>
      <c r="J3473" s="133" t="s">
        <v>2419</v>
      </c>
      <c r="K3473" s="133" t="s">
        <v>831</v>
      </c>
      <c r="L3473" s="167"/>
      <c r="M3473" s="48"/>
      <c r="N3473" s="123"/>
    </row>
    <row r="3474" spans="1:14" customFormat="1" x14ac:dyDescent="0.55000000000000004">
      <c r="A3474" s="132" t="s">
        <v>2420</v>
      </c>
      <c r="B3474" s="133" t="s">
        <v>2825</v>
      </c>
      <c r="C3474" s="133" t="s">
        <v>156</v>
      </c>
      <c r="D3474" s="133" t="s">
        <v>3288</v>
      </c>
      <c r="E3474" s="138">
        <v>1.98E-3</v>
      </c>
      <c r="F3474" s="153" t="s">
        <v>135</v>
      </c>
      <c r="G3474" s="153">
        <v>1</v>
      </c>
      <c r="H3474" s="133" t="s">
        <v>39</v>
      </c>
      <c r="I3474" s="133"/>
      <c r="J3474" s="133" t="s">
        <v>2419</v>
      </c>
      <c r="K3474" s="133" t="s">
        <v>831</v>
      </c>
      <c r="L3474" s="167"/>
      <c r="M3474" s="48"/>
      <c r="N3474" s="123"/>
    </row>
    <row r="3475" spans="1:14" customFormat="1" x14ac:dyDescent="0.55000000000000004">
      <c r="A3475" s="132" t="s">
        <v>2420</v>
      </c>
      <c r="B3475" s="133" t="s">
        <v>2830</v>
      </c>
      <c r="C3475" s="133" t="s">
        <v>156</v>
      </c>
      <c r="D3475" s="133" t="s">
        <v>3288</v>
      </c>
      <c r="E3475" s="138">
        <v>0.10014000000000001</v>
      </c>
      <c r="F3475" s="153" t="s">
        <v>135</v>
      </c>
      <c r="G3475" s="153">
        <v>1</v>
      </c>
      <c r="H3475" s="133" t="s">
        <v>39</v>
      </c>
      <c r="I3475" s="133"/>
      <c r="J3475" s="133" t="s">
        <v>2419</v>
      </c>
      <c r="K3475" s="133" t="s">
        <v>831</v>
      </c>
      <c r="L3475" s="167"/>
      <c r="M3475" s="48"/>
      <c r="N3475" s="123"/>
    </row>
    <row r="3476" spans="1:14" customFormat="1" x14ac:dyDescent="0.55000000000000004">
      <c r="A3476" s="132" t="s">
        <v>2420</v>
      </c>
      <c r="B3476" s="133" t="s">
        <v>153</v>
      </c>
      <c r="C3476" s="133" t="s">
        <v>156</v>
      </c>
      <c r="D3476" s="133" t="s">
        <v>2994</v>
      </c>
      <c r="E3476" s="138">
        <v>323</v>
      </c>
      <c r="F3476" s="153" t="s">
        <v>130</v>
      </c>
      <c r="G3476" s="153">
        <v>1</v>
      </c>
      <c r="H3476" s="133" t="s">
        <v>39</v>
      </c>
      <c r="I3476" s="133"/>
      <c r="J3476" s="133" t="s">
        <v>2419</v>
      </c>
      <c r="K3476" s="133" t="s">
        <v>831</v>
      </c>
      <c r="L3476" s="167"/>
      <c r="M3476" s="48"/>
      <c r="N3476" s="123"/>
    </row>
    <row r="3477" spans="1:14" customFormat="1" x14ac:dyDescent="0.55000000000000004">
      <c r="A3477" s="132" t="s">
        <v>2420</v>
      </c>
      <c r="B3477" s="133" t="s">
        <v>496</v>
      </c>
      <c r="C3477" s="133" t="s">
        <v>156</v>
      </c>
      <c r="D3477" s="133" t="s">
        <v>2994</v>
      </c>
      <c r="E3477" s="138">
        <v>1407.6</v>
      </c>
      <c r="F3477" s="153" t="s">
        <v>167</v>
      </c>
      <c r="G3477" s="153">
        <v>1</v>
      </c>
      <c r="H3477" s="133" t="s">
        <v>39</v>
      </c>
      <c r="I3477" s="133"/>
      <c r="J3477" s="133" t="s">
        <v>2419</v>
      </c>
      <c r="K3477" s="133" t="s">
        <v>831</v>
      </c>
      <c r="L3477" s="167"/>
      <c r="M3477" s="48"/>
      <c r="N3477" s="123"/>
    </row>
    <row r="3478" spans="1:14" customFormat="1" x14ac:dyDescent="0.55000000000000004">
      <c r="A3478" s="132" t="s">
        <v>2420</v>
      </c>
      <c r="B3478" s="133" t="s">
        <v>2831</v>
      </c>
      <c r="C3478" s="133" t="s">
        <v>156</v>
      </c>
      <c r="D3478" s="133" t="s">
        <v>3288</v>
      </c>
      <c r="E3478" s="138">
        <v>3.0589999999999999E-2</v>
      </c>
      <c r="F3478" s="153" t="s">
        <v>135</v>
      </c>
      <c r="G3478" s="153">
        <v>1</v>
      </c>
      <c r="H3478" s="133" t="s">
        <v>39</v>
      </c>
      <c r="I3478" s="133"/>
      <c r="J3478" s="133" t="s">
        <v>2419</v>
      </c>
      <c r="K3478" s="133" t="s">
        <v>831</v>
      </c>
      <c r="L3478" s="167"/>
      <c r="M3478" s="48"/>
      <c r="N3478" s="123"/>
    </row>
    <row r="3479" spans="1:14" customFormat="1" x14ac:dyDescent="0.55000000000000004">
      <c r="A3479" s="132" t="s">
        <v>2420</v>
      </c>
      <c r="B3479" s="133" t="s">
        <v>2832</v>
      </c>
      <c r="C3479" s="133" t="s">
        <v>156</v>
      </c>
      <c r="D3479" s="133" t="s">
        <v>3288</v>
      </c>
      <c r="E3479" s="138">
        <v>7.9000000000000001E-4</v>
      </c>
      <c r="F3479" s="153" t="s">
        <v>135</v>
      </c>
      <c r="G3479" s="153">
        <v>1</v>
      </c>
      <c r="H3479" s="133" t="s">
        <v>39</v>
      </c>
      <c r="I3479" s="133"/>
      <c r="J3479" s="133" t="s">
        <v>2419</v>
      </c>
      <c r="K3479" s="133" t="s">
        <v>831</v>
      </c>
      <c r="L3479" s="167"/>
      <c r="M3479" s="48"/>
      <c r="N3479" s="123"/>
    </row>
    <row r="3480" spans="1:14" customFormat="1" x14ac:dyDescent="0.55000000000000004">
      <c r="A3480" s="132" t="s">
        <v>2420</v>
      </c>
      <c r="B3480" s="133" t="s">
        <v>181</v>
      </c>
      <c r="C3480" s="133" t="s">
        <v>163</v>
      </c>
      <c r="D3480" s="133" t="s">
        <v>3288</v>
      </c>
      <c r="E3480" s="138">
        <v>5.7270000000000001E-2</v>
      </c>
      <c r="F3480" s="153" t="s">
        <v>135</v>
      </c>
      <c r="G3480" s="153">
        <v>1</v>
      </c>
      <c r="H3480" s="133" t="s">
        <v>39</v>
      </c>
      <c r="I3480" s="133"/>
      <c r="J3480" s="133" t="s">
        <v>2419</v>
      </c>
      <c r="K3480" s="133" t="s">
        <v>831</v>
      </c>
      <c r="L3480" s="167"/>
      <c r="M3480" s="48"/>
      <c r="N3480" s="123"/>
    </row>
    <row r="3481" spans="1:14" customFormat="1" x14ac:dyDescent="0.55000000000000004">
      <c r="A3481" s="132" t="s">
        <v>2425</v>
      </c>
      <c r="B3481" s="133" t="s">
        <v>2833</v>
      </c>
      <c r="C3481" s="133" t="s">
        <v>121</v>
      </c>
      <c r="D3481" s="133" t="s">
        <v>2682</v>
      </c>
      <c r="E3481" s="138">
        <v>1</v>
      </c>
      <c r="F3481" s="153">
        <v>1</v>
      </c>
      <c r="G3481" s="153">
        <v>1</v>
      </c>
      <c r="H3481" s="133" t="s">
        <v>39</v>
      </c>
      <c r="I3481" s="133"/>
      <c r="J3481" s="133" t="s">
        <v>2424</v>
      </c>
      <c r="K3481" s="133" t="s">
        <v>831</v>
      </c>
      <c r="L3481" s="167"/>
      <c r="M3481" s="48"/>
      <c r="N3481" s="123"/>
    </row>
    <row r="3482" spans="1:14" customFormat="1" x14ac:dyDescent="0.55000000000000004">
      <c r="A3482" s="132" t="s">
        <v>2425</v>
      </c>
      <c r="B3482" s="133" t="s">
        <v>2823</v>
      </c>
      <c r="C3482" s="133" t="s">
        <v>348</v>
      </c>
      <c r="D3482" s="133" t="s">
        <v>3288</v>
      </c>
      <c r="E3482" s="138">
        <v>1</v>
      </c>
      <c r="F3482" s="153" t="s">
        <v>135</v>
      </c>
      <c r="G3482" s="153">
        <v>1</v>
      </c>
      <c r="H3482" s="133" t="s">
        <v>39</v>
      </c>
      <c r="I3482" s="133"/>
      <c r="J3482" s="133" t="s">
        <v>2424</v>
      </c>
      <c r="K3482" s="133" t="s">
        <v>831</v>
      </c>
      <c r="L3482" s="167"/>
      <c r="M3482" s="48"/>
      <c r="N3482" s="123"/>
    </row>
    <row r="3483" spans="1:14" customFormat="1" x14ac:dyDescent="0.55000000000000004">
      <c r="A3483" s="132" t="s">
        <v>2425</v>
      </c>
      <c r="B3483" s="133" t="s">
        <v>153</v>
      </c>
      <c r="C3483" s="133" t="s">
        <v>127</v>
      </c>
      <c r="D3483" s="133" t="s">
        <v>2994</v>
      </c>
      <c r="E3483" s="138">
        <v>78.28</v>
      </c>
      <c r="F3483" s="153" t="s">
        <v>130</v>
      </c>
      <c r="G3483" s="153">
        <v>1</v>
      </c>
      <c r="H3483" s="133" t="s">
        <v>39</v>
      </c>
      <c r="I3483" s="133"/>
      <c r="J3483" s="133" t="s">
        <v>2424</v>
      </c>
      <c r="K3483" s="133" t="s">
        <v>831</v>
      </c>
      <c r="L3483" s="167"/>
      <c r="M3483" s="48"/>
      <c r="N3483" s="123"/>
    </row>
    <row r="3484" spans="1:14" customFormat="1" x14ac:dyDescent="0.55000000000000004">
      <c r="A3484" s="132" t="s">
        <v>2425</v>
      </c>
      <c r="B3484" s="133" t="s">
        <v>2824</v>
      </c>
      <c r="C3484" s="133" t="s">
        <v>127</v>
      </c>
      <c r="D3484" s="133" t="s">
        <v>2994</v>
      </c>
      <c r="E3484" s="138">
        <v>810.97</v>
      </c>
      <c r="F3484" s="153" t="s">
        <v>167</v>
      </c>
      <c r="G3484" s="153">
        <v>1</v>
      </c>
      <c r="H3484" s="133" t="s">
        <v>39</v>
      </c>
      <c r="I3484" s="133"/>
      <c r="J3484" s="133" t="s">
        <v>2424</v>
      </c>
      <c r="K3484" s="133" t="s">
        <v>831</v>
      </c>
      <c r="L3484" s="167"/>
      <c r="M3484" s="48"/>
      <c r="N3484" s="123"/>
    </row>
    <row r="3485" spans="1:14" customFormat="1" x14ac:dyDescent="0.55000000000000004">
      <c r="A3485" s="132" t="s">
        <v>2425</v>
      </c>
      <c r="B3485" s="133" t="s">
        <v>2825</v>
      </c>
      <c r="C3485" s="133" t="s">
        <v>125</v>
      </c>
      <c r="D3485" s="133" t="s">
        <v>3288</v>
      </c>
      <c r="E3485" s="138">
        <v>6.28E-3</v>
      </c>
      <c r="F3485" s="153" t="s">
        <v>135</v>
      </c>
      <c r="G3485" s="153">
        <v>1</v>
      </c>
      <c r="H3485" s="133" t="s">
        <v>39</v>
      </c>
      <c r="I3485" s="133"/>
      <c r="J3485" s="133" t="s">
        <v>2424</v>
      </c>
      <c r="K3485" s="133" t="s">
        <v>831</v>
      </c>
      <c r="L3485" s="167"/>
      <c r="M3485" s="48"/>
      <c r="N3485" s="123"/>
    </row>
    <row r="3486" spans="1:14" customFormat="1" x14ac:dyDescent="0.55000000000000004">
      <c r="A3486" s="132" t="s">
        <v>2425</v>
      </c>
      <c r="B3486" s="133" t="s">
        <v>2826</v>
      </c>
      <c r="C3486" s="133" t="s">
        <v>125</v>
      </c>
      <c r="D3486" s="133" t="s">
        <v>3288</v>
      </c>
      <c r="E3486" s="138">
        <v>1.34E-3</v>
      </c>
      <c r="F3486" s="153" t="s">
        <v>135</v>
      </c>
      <c r="G3486" s="153">
        <v>1</v>
      </c>
      <c r="H3486" s="133" t="s">
        <v>39</v>
      </c>
      <c r="I3486" s="133"/>
      <c r="J3486" s="133" t="s">
        <v>2424</v>
      </c>
      <c r="K3486" s="133" t="s">
        <v>831</v>
      </c>
      <c r="L3486" s="167"/>
      <c r="M3486" s="48"/>
      <c r="N3486" s="123"/>
    </row>
    <row r="3487" spans="1:14" customFormat="1" x14ac:dyDescent="0.55000000000000004">
      <c r="A3487" s="132" t="s">
        <v>2425</v>
      </c>
      <c r="B3487" s="133" t="s">
        <v>2827</v>
      </c>
      <c r="C3487" s="133" t="s">
        <v>156</v>
      </c>
      <c r="D3487" s="133" t="s">
        <v>3288</v>
      </c>
      <c r="E3487" s="138">
        <v>0.66664000000000001</v>
      </c>
      <c r="F3487" s="153" t="s">
        <v>135</v>
      </c>
      <c r="G3487" s="153">
        <v>1</v>
      </c>
      <c r="H3487" s="133" t="s">
        <v>39</v>
      </c>
      <c r="I3487" s="133"/>
      <c r="J3487" s="133" t="s">
        <v>2424</v>
      </c>
      <c r="K3487" s="133" t="s">
        <v>831</v>
      </c>
      <c r="L3487" s="167"/>
      <c r="M3487" s="48"/>
      <c r="N3487" s="123"/>
    </row>
    <row r="3488" spans="1:14" customFormat="1" x14ac:dyDescent="0.55000000000000004">
      <c r="A3488" s="132" t="s">
        <v>2425</v>
      </c>
      <c r="B3488" s="133" t="s">
        <v>2828</v>
      </c>
      <c r="C3488" s="133" t="s">
        <v>156</v>
      </c>
      <c r="D3488" s="133" t="s">
        <v>3288</v>
      </c>
      <c r="E3488" s="138">
        <v>3.107E-2</v>
      </c>
      <c r="F3488" s="153" t="s">
        <v>135</v>
      </c>
      <c r="G3488" s="153">
        <v>1</v>
      </c>
      <c r="H3488" s="133" t="s">
        <v>39</v>
      </c>
      <c r="I3488" s="133"/>
      <c r="J3488" s="133" t="s">
        <v>2424</v>
      </c>
      <c r="K3488" s="133" t="s">
        <v>831</v>
      </c>
      <c r="L3488" s="167"/>
      <c r="M3488" s="48"/>
      <c r="N3488" s="123"/>
    </row>
    <row r="3489" spans="1:14" customFormat="1" x14ac:dyDescent="0.55000000000000004">
      <c r="A3489" s="132" t="s">
        <v>2425</v>
      </c>
      <c r="B3489" s="133" t="s">
        <v>2781</v>
      </c>
      <c r="C3489" s="133" t="s">
        <v>156</v>
      </c>
      <c r="D3489" s="133" t="s">
        <v>3288</v>
      </c>
      <c r="E3489" s="138">
        <v>4.2009999999999999E-2</v>
      </c>
      <c r="F3489" s="153" t="s">
        <v>135</v>
      </c>
      <c r="G3489" s="153">
        <v>1</v>
      </c>
      <c r="H3489" s="133" t="s">
        <v>39</v>
      </c>
      <c r="I3489" s="133"/>
      <c r="J3489" s="133" t="s">
        <v>2424</v>
      </c>
      <c r="K3489" s="133" t="s">
        <v>831</v>
      </c>
      <c r="L3489" s="167"/>
      <c r="M3489" s="48"/>
      <c r="N3489" s="123"/>
    </row>
    <row r="3490" spans="1:14" customFormat="1" x14ac:dyDescent="0.55000000000000004">
      <c r="A3490" s="132" t="s">
        <v>2425</v>
      </c>
      <c r="B3490" s="133" t="s">
        <v>2829</v>
      </c>
      <c r="C3490" s="133" t="s">
        <v>156</v>
      </c>
      <c r="D3490" s="133" t="s">
        <v>3288</v>
      </c>
      <c r="E3490" s="138">
        <v>4.4000000000000003E-3</v>
      </c>
      <c r="F3490" s="153" t="s">
        <v>135</v>
      </c>
      <c r="G3490" s="153">
        <v>1</v>
      </c>
      <c r="H3490" s="133" t="s">
        <v>39</v>
      </c>
      <c r="I3490" s="133"/>
      <c r="J3490" s="133" t="s">
        <v>2424</v>
      </c>
      <c r="K3490" s="133" t="s">
        <v>831</v>
      </c>
      <c r="L3490" s="167"/>
      <c r="M3490" s="48"/>
      <c r="N3490" s="123"/>
    </row>
    <row r="3491" spans="1:14" customFormat="1" x14ac:dyDescent="0.55000000000000004">
      <c r="A3491" s="132" t="s">
        <v>2425</v>
      </c>
      <c r="B3491" s="133" t="s">
        <v>2825</v>
      </c>
      <c r="C3491" s="133" t="s">
        <v>156</v>
      </c>
      <c r="D3491" s="133" t="s">
        <v>3288</v>
      </c>
      <c r="E3491" s="138">
        <v>1.98E-3</v>
      </c>
      <c r="F3491" s="153" t="s">
        <v>135</v>
      </c>
      <c r="G3491" s="153">
        <v>1</v>
      </c>
      <c r="H3491" s="133" t="s">
        <v>39</v>
      </c>
      <c r="I3491" s="133"/>
      <c r="J3491" s="133" t="s">
        <v>2424</v>
      </c>
      <c r="K3491" s="133" t="s">
        <v>831</v>
      </c>
      <c r="L3491" s="167"/>
      <c r="M3491" s="48"/>
      <c r="N3491" s="123"/>
    </row>
    <row r="3492" spans="1:14" customFormat="1" x14ac:dyDescent="0.55000000000000004">
      <c r="A3492" s="132" t="s">
        <v>2425</v>
      </c>
      <c r="B3492" s="133" t="s">
        <v>2830</v>
      </c>
      <c r="C3492" s="133" t="s">
        <v>156</v>
      </c>
      <c r="D3492" s="133" t="s">
        <v>3288</v>
      </c>
      <c r="E3492" s="138">
        <v>0.84219999999999995</v>
      </c>
      <c r="F3492" s="153" t="s">
        <v>135</v>
      </c>
      <c r="G3492" s="153">
        <v>1</v>
      </c>
      <c r="H3492" s="133" t="s">
        <v>39</v>
      </c>
      <c r="I3492" s="133"/>
      <c r="J3492" s="133" t="s">
        <v>2424</v>
      </c>
      <c r="K3492" s="133" t="s">
        <v>831</v>
      </c>
      <c r="L3492" s="167"/>
      <c r="M3492" s="48"/>
      <c r="N3492" s="123"/>
    </row>
    <row r="3493" spans="1:14" customFormat="1" x14ac:dyDescent="0.55000000000000004">
      <c r="A3493" s="132" t="s">
        <v>2425</v>
      </c>
      <c r="B3493" s="133" t="s">
        <v>153</v>
      </c>
      <c r="C3493" s="133" t="s">
        <v>156</v>
      </c>
      <c r="D3493" s="133" t="s">
        <v>2994</v>
      </c>
      <c r="E3493" s="138">
        <v>323</v>
      </c>
      <c r="F3493" s="153" t="s">
        <v>130</v>
      </c>
      <c r="G3493" s="153">
        <v>1</v>
      </c>
      <c r="H3493" s="133" t="s">
        <v>39</v>
      </c>
      <c r="I3493" s="133"/>
      <c r="J3493" s="133" t="s">
        <v>2424</v>
      </c>
      <c r="K3493" s="133" t="s">
        <v>831</v>
      </c>
      <c r="L3493" s="167"/>
      <c r="M3493" s="48"/>
      <c r="N3493" s="123"/>
    </row>
    <row r="3494" spans="1:14" customFormat="1" x14ac:dyDescent="0.55000000000000004">
      <c r="A3494" s="132" t="s">
        <v>2425</v>
      </c>
      <c r="B3494" s="133" t="s">
        <v>496</v>
      </c>
      <c r="C3494" s="133" t="s">
        <v>156</v>
      </c>
      <c r="D3494" s="133" t="s">
        <v>2994</v>
      </c>
      <c r="E3494" s="138">
        <v>1851.6</v>
      </c>
      <c r="F3494" s="153" t="s">
        <v>167</v>
      </c>
      <c r="G3494" s="153">
        <v>1</v>
      </c>
      <c r="H3494" s="133" t="s">
        <v>39</v>
      </c>
      <c r="I3494" s="133"/>
      <c r="J3494" s="133" t="s">
        <v>2424</v>
      </c>
      <c r="K3494" s="133" t="s">
        <v>831</v>
      </c>
      <c r="L3494" s="167"/>
      <c r="M3494" s="48"/>
      <c r="N3494" s="123"/>
    </row>
    <row r="3495" spans="1:14" customFormat="1" x14ac:dyDescent="0.55000000000000004">
      <c r="A3495" s="132" t="s">
        <v>2425</v>
      </c>
      <c r="B3495" s="133" t="s">
        <v>2831</v>
      </c>
      <c r="C3495" s="133" t="s">
        <v>156</v>
      </c>
      <c r="D3495" s="133" t="s">
        <v>3288</v>
      </c>
      <c r="E3495" s="138">
        <v>3.0589999999999999E-2</v>
      </c>
      <c r="F3495" s="153" t="s">
        <v>135</v>
      </c>
      <c r="G3495" s="153">
        <v>1</v>
      </c>
      <c r="H3495" s="133" t="s">
        <v>39</v>
      </c>
      <c r="I3495" s="133"/>
      <c r="J3495" s="133" t="s">
        <v>2424</v>
      </c>
      <c r="K3495" s="133" t="s">
        <v>831</v>
      </c>
      <c r="L3495" s="167"/>
      <c r="M3495" s="48"/>
      <c r="N3495" s="123"/>
    </row>
    <row r="3496" spans="1:14" customFormat="1" x14ac:dyDescent="0.55000000000000004">
      <c r="A3496" s="132" t="s">
        <v>2425</v>
      </c>
      <c r="B3496" s="133" t="s">
        <v>2832</v>
      </c>
      <c r="C3496" s="133" t="s">
        <v>156</v>
      </c>
      <c r="D3496" s="133" t="s">
        <v>3288</v>
      </c>
      <c r="E3496" s="138">
        <v>1.8320000000000001</v>
      </c>
      <c r="F3496" s="153" t="s">
        <v>135</v>
      </c>
      <c r="G3496" s="153">
        <v>1</v>
      </c>
      <c r="H3496" s="133" t="s">
        <v>39</v>
      </c>
      <c r="I3496" s="133"/>
      <c r="J3496" s="133" t="s">
        <v>2424</v>
      </c>
      <c r="K3496" s="133" t="s">
        <v>831</v>
      </c>
      <c r="L3496" s="167"/>
      <c r="M3496" s="48"/>
      <c r="N3496" s="123"/>
    </row>
    <row r="3497" spans="1:14" customFormat="1" x14ac:dyDescent="0.55000000000000004">
      <c r="A3497" s="132" t="s">
        <v>2425</v>
      </c>
      <c r="B3497" s="133" t="s">
        <v>181</v>
      </c>
      <c r="C3497" s="133" t="s">
        <v>163</v>
      </c>
      <c r="D3497" s="133" t="s">
        <v>3288</v>
      </c>
      <c r="E3497" s="138">
        <v>5.7270000000000001E-2</v>
      </c>
      <c r="F3497" s="153" t="s">
        <v>135</v>
      </c>
      <c r="G3497" s="153">
        <v>1</v>
      </c>
      <c r="H3497" s="133" t="s">
        <v>39</v>
      </c>
      <c r="I3497" s="133"/>
      <c r="J3497" s="133" t="s">
        <v>2424</v>
      </c>
      <c r="K3497" s="133" t="s">
        <v>831</v>
      </c>
      <c r="L3497" s="167"/>
      <c r="M3497" s="48"/>
      <c r="N3497" s="123"/>
    </row>
    <row r="3498" spans="1:14" customFormat="1" x14ac:dyDescent="0.55000000000000004">
      <c r="A3498" s="132" t="s">
        <v>2429</v>
      </c>
      <c r="B3498" s="133" t="s">
        <v>2834</v>
      </c>
      <c r="C3498" s="133" t="s">
        <v>121</v>
      </c>
      <c r="D3498" s="133" t="s">
        <v>2682</v>
      </c>
      <c r="E3498" s="138">
        <v>1</v>
      </c>
      <c r="F3498" s="153">
        <v>1</v>
      </c>
      <c r="G3498" s="153">
        <v>1</v>
      </c>
      <c r="H3498" s="133" t="s">
        <v>39</v>
      </c>
      <c r="I3498" s="133"/>
      <c r="J3498" s="133" t="s">
        <v>2428</v>
      </c>
      <c r="K3498" s="133" t="s">
        <v>831</v>
      </c>
      <c r="L3498" s="167"/>
      <c r="M3498" s="48"/>
      <c r="N3498" s="123"/>
    </row>
    <row r="3499" spans="1:14" customFormat="1" x14ac:dyDescent="0.55000000000000004">
      <c r="A3499" s="132" t="s">
        <v>2429</v>
      </c>
      <c r="B3499" s="133" t="s">
        <v>2835</v>
      </c>
      <c r="C3499" s="133" t="s">
        <v>348</v>
      </c>
      <c r="D3499" s="133" t="s">
        <v>3288</v>
      </c>
      <c r="E3499" s="138">
        <v>1.42</v>
      </c>
      <c r="F3499" s="153" t="s">
        <v>135</v>
      </c>
      <c r="G3499" s="153">
        <v>1</v>
      </c>
      <c r="H3499" s="133" t="s">
        <v>39</v>
      </c>
      <c r="I3499" s="133"/>
      <c r="J3499" s="133" t="s">
        <v>2428</v>
      </c>
      <c r="K3499" s="133" t="s">
        <v>831</v>
      </c>
      <c r="L3499" s="167"/>
      <c r="M3499" s="48"/>
      <c r="N3499" s="123"/>
    </row>
    <row r="3500" spans="1:14" customFormat="1" x14ac:dyDescent="0.55000000000000004">
      <c r="A3500" s="132" t="s">
        <v>2429</v>
      </c>
      <c r="B3500" s="133" t="s">
        <v>153</v>
      </c>
      <c r="C3500" s="133" t="s">
        <v>127</v>
      </c>
      <c r="D3500" s="133" t="s">
        <v>2994</v>
      </c>
      <c r="E3500" s="138">
        <v>46</v>
      </c>
      <c r="F3500" s="153" t="s">
        <v>130</v>
      </c>
      <c r="G3500" s="153">
        <v>1</v>
      </c>
      <c r="H3500" s="133" t="s">
        <v>39</v>
      </c>
      <c r="I3500" s="133"/>
      <c r="J3500" s="133" t="s">
        <v>2428</v>
      </c>
      <c r="K3500" s="133" t="s">
        <v>831</v>
      </c>
      <c r="L3500" s="167"/>
      <c r="M3500" s="48"/>
      <c r="N3500" s="123"/>
    </row>
    <row r="3501" spans="1:14" customFormat="1" x14ac:dyDescent="0.55000000000000004">
      <c r="A3501" s="132" t="s">
        <v>2429</v>
      </c>
      <c r="B3501" s="133" t="s">
        <v>2836</v>
      </c>
      <c r="C3501" s="133" t="s">
        <v>348</v>
      </c>
      <c r="D3501" s="133" t="s">
        <v>3289</v>
      </c>
      <c r="E3501" s="138">
        <v>0.17</v>
      </c>
      <c r="F3501" s="153" t="s">
        <v>133</v>
      </c>
      <c r="G3501" s="153">
        <v>1</v>
      </c>
      <c r="H3501" s="133" t="s">
        <v>39</v>
      </c>
      <c r="I3501" s="133"/>
      <c r="J3501" s="133" t="s">
        <v>2428</v>
      </c>
      <c r="K3501" s="133" t="s">
        <v>831</v>
      </c>
      <c r="L3501" s="167"/>
      <c r="M3501" s="48"/>
      <c r="N3501" s="123"/>
    </row>
    <row r="3502" spans="1:14" customFormat="1" x14ac:dyDescent="0.55000000000000004">
      <c r="A3502" s="132" t="s">
        <v>2429</v>
      </c>
      <c r="B3502" s="133" t="s">
        <v>213</v>
      </c>
      <c r="C3502" s="133" t="s">
        <v>348</v>
      </c>
      <c r="D3502" s="133" t="s">
        <v>3289</v>
      </c>
      <c r="E3502" s="138">
        <v>0.32</v>
      </c>
      <c r="F3502" s="153" t="s">
        <v>133</v>
      </c>
      <c r="G3502" s="153">
        <v>1</v>
      </c>
      <c r="H3502" s="133" t="s">
        <v>39</v>
      </c>
      <c r="I3502" s="133"/>
      <c r="J3502" s="133" t="s">
        <v>2428</v>
      </c>
      <c r="K3502" s="133" t="s">
        <v>831</v>
      </c>
      <c r="L3502" s="167"/>
      <c r="M3502" s="48"/>
      <c r="N3502" s="123"/>
    </row>
    <row r="3503" spans="1:14" customFormat="1" x14ac:dyDescent="0.55000000000000004">
      <c r="A3503" s="132" t="s">
        <v>2429</v>
      </c>
      <c r="B3503" s="133" t="s">
        <v>2837</v>
      </c>
      <c r="C3503" s="133" t="s">
        <v>156</v>
      </c>
      <c r="D3503" s="133" t="s">
        <v>3288</v>
      </c>
      <c r="E3503" s="138">
        <v>1.12E-2</v>
      </c>
      <c r="F3503" s="153" t="s">
        <v>135</v>
      </c>
      <c r="G3503" s="153">
        <v>1</v>
      </c>
      <c r="H3503" s="133" t="s">
        <v>39</v>
      </c>
      <c r="I3503" s="133"/>
      <c r="J3503" s="133" t="s">
        <v>2428</v>
      </c>
      <c r="K3503" s="133" t="s">
        <v>831</v>
      </c>
      <c r="L3503" s="167"/>
      <c r="M3503" s="48"/>
      <c r="N3503" s="123"/>
    </row>
    <row r="3504" spans="1:14" customFormat="1" x14ac:dyDescent="0.55000000000000004">
      <c r="A3504" s="132" t="s">
        <v>2429</v>
      </c>
      <c r="B3504" s="133" t="s">
        <v>2838</v>
      </c>
      <c r="C3504" s="133" t="s">
        <v>156</v>
      </c>
      <c r="D3504" s="133" t="s">
        <v>3288</v>
      </c>
      <c r="E3504" s="138">
        <v>2.9999999999999997E-4</v>
      </c>
      <c r="F3504" s="153" t="s">
        <v>135</v>
      </c>
      <c r="G3504" s="153">
        <v>1</v>
      </c>
      <c r="H3504" s="133" t="s">
        <v>39</v>
      </c>
      <c r="I3504" s="133"/>
      <c r="J3504" s="133" t="s">
        <v>2428</v>
      </c>
      <c r="K3504" s="133" t="s">
        <v>831</v>
      </c>
      <c r="L3504" s="167"/>
      <c r="M3504" s="48"/>
      <c r="N3504" s="123"/>
    </row>
    <row r="3505" spans="1:14" customFormat="1" x14ac:dyDescent="0.55000000000000004">
      <c r="A3505" s="132" t="s">
        <v>2429</v>
      </c>
      <c r="B3505" s="133" t="s">
        <v>2839</v>
      </c>
      <c r="C3505" s="133" t="s">
        <v>156</v>
      </c>
      <c r="D3505" s="133" t="s">
        <v>3288</v>
      </c>
      <c r="E3505" s="138">
        <v>1.2999999999999999E-3</v>
      </c>
      <c r="F3505" s="153" t="s">
        <v>135</v>
      </c>
      <c r="G3505" s="153">
        <v>1</v>
      </c>
      <c r="H3505" s="133" t="s">
        <v>39</v>
      </c>
      <c r="I3505" s="133"/>
      <c r="J3505" s="133" t="s">
        <v>2428</v>
      </c>
      <c r="K3505" s="133" t="s">
        <v>831</v>
      </c>
      <c r="L3505" s="167"/>
      <c r="M3505" s="48"/>
      <c r="N3505" s="123"/>
    </row>
    <row r="3506" spans="1:14" customFormat="1" x14ac:dyDescent="0.55000000000000004">
      <c r="A3506" s="132" t="s">
        <v>2429</v>
      </c>
      <c r="B3506" s="133" t="s">
        <v>2840</v>
      </c>
      <c r="C3506" s="133" t="s">
        <v>156</v>
      </c>
      <c r="D3506" s="133" t="s">
        <v>3288</v>
      </c>
      <c r="E3506" s="138">
        <v>0.12</v>
      </c>
      <c r="F3506" s="153" t="s">
        <v>135</v>
      </c>
      <c r="G3506" s="153">
        <v>1</v>
      </c>
      <c r="H3506" s="133" t="s">
        <v>39</v>
      </c>
      <c r="I3506" s="133"/>
      <c r="J3506" s="133" t="s">
        <v>2428</v>
      </c>
      <c r="K3506" s="133" t="s">
        <v>831</v>
      </c>
      <c r="L3506" s="167"/>
      <c r="M3506" s="48"/>
      <c r="N3506" s="123"/>
    </row>
    <row r="3507" spans="1:14" customFormat="1" x14ac:dyDescent="0.55000000000000004">
      <c r="A3507" s="132" t="s">
        <v>2429</v>
      </c>
      <c r="B3507" s="133" t="s">
        <v>2782</v>
      </c>
      <c r="C3507" s="133" t="s">
        <v>156</v>
      </c>
      <c r="D3507" s="133" t="s">
        <v>3288</v>
      </c>
      <c r="E3507" s="138">
        <v>0.82030000000000003</v>
      </c>
      <c r="F3507" s="153" t="s">
        <v>135</v>
      </c>
      <c r="G3507" s="153">
        <v>1</v>
      </c>
      <c r="H3507" s="133" t="s">
        <v>39</v>
      </c>
      <c r="I3507" s="133"/>
      <c r="J3507" s="133" t="s">
        <v>2428</v>
      </c>
      <c r="K3507" s="133" t="s">
        <v>831</v>
      </c>
      <c r="L3507" s="167"/>
      <c r="M3507" s="48"/>
      <c r="N3507" s="123"/>
    </row>
    <row r="3508" spans="1:14" customFormat="1" x14ac:dyDescent="0.55000000000000004">
      <c r="A3508" s="132" t="s">
        <v>2429</v>
      </c>
      <c r="B3508" s="133" t="s">
        <v>2781</v>
      </c>
      <c r="C3508" s="133" t="s">
        <v>156</v>
      </c>
      <c r="D3508" s="133" t="s">
        <v>3288</v>
      </c>
      <c r="E3508" s="138">
        <v>7.9500000000000001E-2</v>
      </c>
      <c r="F3508" s="153" t="s">
        <v>135</v>
      </c>
      <c r="G3508" s="153">
        <v>1</v>
      </c>
      <c r="H3508" s="133" t="s">
        <v>39</v>
      </c>
      <c r="I3508" s="133"/>
      <c r="J3508" s="133" t="s">
        <v>2428</v>
      </c>
      <c r="K3508" s="133" t="s">
        <v>831</v>
      </c>
      <c r="L3508" s="167"/>
      <c r="M3508" s="48"/>
      <c r="N3508" s="123"/>
    </row>
    <row r="3509" spans="1:14" customFormat="1" x14ac:dyDescent="0.55000000000000004">
      <c r="A3509" s="132" t="s">
        <v>2429</v>
      </c>
      <c r="B3509" s="133" t="s">
        <v>2828</v>
      </c>
      <c r="C3509" s="133" t="s">
        <v>156</v>
      </c>
      <c r="D3509" s="133" t="s">
        <v>3288</v>
      </c>
      <c r="E3509" s="138">
        <v>1.29E-2</v>
      </c>
      <c r="F3509" s="153" t="s">
        <v>135</v>
      </c>
      <c r="G3509" s="153">
        <v>1</v>
      </c>
      <c r="H3509" s="133" t="s">
        <v>39</v>
      </c>
      <c r="I3509" s="133"/>
      <c r="J3509" s="133" t="s">
        <v>2428</v>
      </c>
      <c r="K3509" s="133" t="s">
        <v>831</v>
      </c>
      <c r="L3509" s="167"/>
      <c r="M3509" s="48"/>
      <c r="N3509" s="123"/>
    </row>
    <row r="3510" spans="1:14" customFormat="1" x14ac:dyDescent="0.55000000000000004">
      <c r="A3510" s="132" t="s">
        <v>2429</v>
      </c>
      <c r="B3510" s="133" t="s">
        <v>2841</v>
      </c>
      <c r="C3510" s="133" t="s">
        <v>156</v>
      </c>
      <c r="D3510" s="133" t="s">
        <v>3288</v>
      </c>
      <c r="E3510" s="138">
        <v>3.98E-3</v>
      </c>
      <c r="F3510" s="153" t="s">
        <v>135</v>
      </c>
      <c r="G3510" s="153">
        <v>1</v>
      </c>
      <c r="H3510" s="133" t="s">
        <v>39</v>
      </c>
      <c r="I3510" s="133"/>
      <c r="J3510" s="133" t="s">
        <v>2428</v>
      </c>
      <c r="K3510" s="133" t="s">
        <v>831</v>
      </c>
      <c r="L3510" s="167"/>
      <c r="M3510" s="48"/>
      <c r="N3510" s="123"/>
    </row>
    <row r="3511" spans="1:14" customFormat="1" x14ac:dyDescent="0.55000000000000004">
      <c r="A3511" s="132" t="s">
        <v>2429</v>
      </c>
      <c r="B3511" s="133" t="s">
        <v>2842</v>
      </c>
      <c r="C3511" s="133" t="s">
        <v>156</v>
      </c>
      <c r="D3511" s="133" t="s">
        <v>3288</v>
      </c>
      <c r="E3511" s="138">
        <v>0.1593</v>
      </c>
      <c r="F3511" s="153" t="s">
        <v>135</v>
      </c>
      <c r="G3511" s="153">
        <v>1</v>
      </c>
      <c r="H3511" s="133" t="s">
        <v>39</v>
      </c>
      <c r="I3511" s="133"/>
      <c r="J3511" s="133" t="s">
        <v>2428</v>
      </c>
      <c r="K3511" s="133" t="s">
        <v>831</v>
      </c>
      <c r="L3511" s="167"/>
      <c r="M3511" s="48"/>
      <c r="N3511" s="123"/>
    </row>
    <row r="3512" spans="1:14" customFormat="1" x14ac:dyDescent="0.55000000000000004">
      <c r="A3512" s="132" t="s">
        <v>2429</v>
      </c>
      <c r="B3512" s="133" t="s">
        <v>2843</v>
      </c>
      <c r="C3512" s="133" t="s">
        <v>156</v>
      </c>
      <c r="D3512" s="133" t="s">
        <v>3288</v>
      </c>
      <c r="E3512" s="138">
        <v>6.6900000000000001E-2</v>
      </c>
      <c r="F3512" s="153" t="s">
        <v>135</v>
      </c>
      <c r="G3512" s="153">
        <v>1</v>
      </c>
      <c r="H3512" s="133" t="s">
        <v>39</v>
      </c>
      <c r="I3512" s="133"/>
      <c r="J3512" s="133" t="s">
        <v>2428</v>
      </c>
      <c r="K3512" s="133" t="s">
        <v>831</v>
      </c>
      <c r="L3512" s="167"/>
      <c r="M3512" s="48"/>
      <c r="N3512" s="123"/>
    </row>
    <row r="3513" spans="1:14" customFormat="1" x14ac:dyDescent="0.55000000000000004">
      <c r="A3513" s="132" t="s">
        <v>2429</v>
      </c>
      <c r="B3513" s="133" t="s">
        <v>2844</v>
      </c>
      <c r="C3513" s="133" t="s">
        <v>156</v>
      </c>
      <c r="D3513" s="133" t="s">
        <v>3288</v>
      </c>
      <c r="E3513" s="138">
        <v>0.08</v>
      </c>
      <c r="F3513" s="153" t="s">
        <v>135</v>
      </c>
      <c r="G3513" s="153">
        <v>1</v>
      </c>
      <c r="H3513" s="133" t="s">
        <v>39</v>
      </c>
      <c r="I3513" s="133"/>
      <c r="J3513" s="133" t="s">
        <v>2428</v>
      </c>
      <c r="K3513" s="133" t="s">
        <v>831</v>
      </c>
      <c r="L3513" s="167"/>
      <c r="M3513" s="48"/>
      <c r="N3513" s="123"/>
    </row>
    <row r="3514" spans="1:14" customFormat="1" x14ac:dyDescent="0.55000000000000004">
      <c r="A3514" s="132" t="s">
        <v>2429</v>
      </c>
      <c r="B3514" s="133" t="s">
        <v>2845</v>
      </c>
      <c r="C3514" s="133" t="s">
        <v>156</v>
      </c>
      <c r="D3514" s="133" t="s">
        <v>3288</v>
      </c>
      <c r="E3514" s="138">
        <v>6.9999999999999999E-4</v>
      </c>
      <c r="F3514" s="153" t="s">
        <v>135</v>
      </c>
      <c r="G3514" s="153">
        <v>1</v>
      </c>
      <c r="H3514" s="133" t="s">
        <v>39</v>
      </c>
      <c r="I3514" s="133"/>
      <c r="J3514" s="133" t="s">
        <v>2428</v>
      </c>
      <c r="K3514" s="133" t="s">
        <v>831</v>
      </c>
      <c r="L3514" s="167"/>
      <c r="M3514" s="48"/>
      <c r="N3514" s="123"/>
    </row>
    <row r="3515" spans="1:14" customFormat="1" x14ac:dyDescent="0.55000000000000004">
      <c r="A3515" s="132" t="s">
        <v>2429</v>
      </c>
      <c r="B3515" s="133" t="s">
        <v>2846</v>
      </c>
      <c r="C3515" s="133" t="s">
        <v>156</v>
      </c>
      <c r="D3515" s="133" t="s">
        <v>3288</v>
      </c>
      <c r="E3515" s="138">
        <v>4.0000000000000002E-4</v>
      </c>
      <c r="F3515" s="153" t="s">
        <v>135</v>
      </c>
      <c r="G3515" s="153">
        <v>1</v>
      </c>
      <c r="H3515" s="133" t="s">
        <v>39</v>
      </c>
      <c r="I3515" s="133"/>
      <c r="J3515" s="133" t="s">
        <v>2428</v>
      </c>
      <c r="K3515" s="133" t="s">
        <v>831</v>
      </c>
      <c r="L3515" s="167"/>
      <c r="M3515" s="48"/>
      <c r="N3515" s="123"/>
    </row>
    <row r="3516" spans="1:14" customFormat="1" x14ac:dyDescent="0.55000000000000004">
      <c r="A3516" s="132" t="s">
        <v>2429</v>
      </c>
      <c r="B3516" s="133" t="s">
        <v>2805</v>
      </c>
      <c r="C3516" s="133" t="s">
        <v>163</v>
      </c>
      <c r="D3516" s="133" t="s">
        <v>3288</v>
      </c>
      <c r="E3516" s="138">
        <v>6.1699999999999998E-2</v>
      </c>
      <c r="F3516" s="153" t="s">
        <v>135</v>
      </c>
      <c r="G3516" s="153">
        <v>1</v>
      </c>
      <c r="H3516" s="133" t="s">
        <v>39</v>
      </c>
      <c r="I3516" s="133"/>
      <c r="J3516" s="133" t="s">
        <v>2428</v>
      </c>
      <c r="K3516" s="133" t="s">
        <v>831</v>
      </c>
      <c r="L3516" s="167"/>
      <c r="M3516" s="48"/>
      <c r="N3516" s="123"/>
    </row>
    <row r="3517" spans="1:14" customFormat="1" x14ac:dyDescent="0.55000000000000004">
      <c r="A3517" s="132" t="s">
        <v>2429</v>
      </c>
      <c r="B3517" s="133" t="s">
        <v>2847</v>
      </c>
      <c r="C3517" s="133" t="s">
        <v>163</v>
      </c>
      <c r="D3517" s="133" t="s">
        <v>3288</v>
      </c>
      <c r="E3517" s="138">
        <v>3.9899999999999996E-3</v>
      </c>
      <c r="F3517" s="153" t="s">
        <v>135</v>
      </c>
      <c r="G3517" s="153">
        <v>1</v>
      </c>
      <c r="H3517" s="133" t="s">
        <v>39</v>
      </c>
      <c r="I3517" s="133"/>
      <c r="J3517" s="133" t="s">
        <v>2428</v>
      </c>
      <c r="K3517" s="133" t="s">
        <v>831</v>
      </c>
      <c r="L3517" s="167"/>
      <c r="M3517" s="48"/>
      <c r="N3517" s="123"/>
    </row>
    <row r="3518" spans="1:14" customFormat="1" x14ac:dyDescent="0.55000000000000004">
      <c r="A3518" s="132" t="s">
        <v>2429</v>
      </c>
      <c r="B3518" s="133" t="s">
        <v>2848</v>
      </c>
      <c r="C3518" s="133" t="s">
        <v>124</v>
      </c>
      <c r="D3518" s="133" t="s">
        <v>3288</v>
      </c>
      <c r="E3518" s="138">
        <v>1.1E-5</v>
      </c>
      <c r="F3518" s="153" t="s">
        <v>135</v>
      </c>
      <c r="G3518" s="153">
        <v>1</v>
      </c>
      <c r="H3518" s="133" t="s">
        <v>39</v>
      </c>
      <c r="I3518" s="133"/>
      <c r="J3518" s="133" t="s">
        <v>2428</v>
      </c>
      <c r="K3518" s="133" t="s">
        <v>831</v>
      </c>
      <c r="L3518" s="167"/>
      <c r="M3518" s="48"/>
      <c r="N3518" s="123"/>
    </row>
    <row r="3519" spans="1:14" customFormat="1" x14ac:dyDescent="0.55000000000000004">
      <c r="A3519" s="132" t="s">
        <v>2429</v>
      </c>
      <c r="B3519" s="133" t="s">
        <v>160</v>
      </c>
      <c r="C3519" s="133" t="s">
        <v>124</v>
      </c>
      <c r="D3519" s="133" t="s">
        <v>3288</v>
      </c>
      <c r="E3519" s="138">
        <v>5.4000000000000001E-4</v>
      </c>
      <c r="F3519" s="153" t="s">
        <v>135</v>
      </c>
      <c r="G3519" s="153">
        <v>1</v>
      </c>
      <c r="H3519" s="133" t="s">
        <v>39</v>
      </c>
      <c r="I3519" s="133"/>
      <c r="J3519" s="133" t="s">
        <v>2428</v>
      </c>
      <c r="K3519" s="133" t="s">
        <v>831</v>
      </c>
      <c r="L3519" s="167"/>
      <c r="M3519" s="48"/>
      <c r="N3519" s="123"/>
    </row>
    <row r="3520" spans="1:14" customFormat="1" x14ac:dyDescent="0.55000000000000004">
      <c r="A3520" s="132" t="s">
        <v>2429</v>
      </c>
      <c r="B3520" s="133" t="s">
        <v>2849</v>
      </c>
      <c r="C3520" s="133" t="s">
        <v>124</v>
      </c>
      <c r="D3520" s="133" t="s">
        <v>3288</v>
      </c>
      <c r="E3520" s="138">
        <v>6.7000000000000002E-5</v>
      </c>
      <c r="F3520" s="153" t="s">
        <v>135</v>
      </c>
      <c r="G3520" s="153">
        <v>1</v>
      </c>
      <c r="H3520" s="133" t="s">
        <v>39</v>
      </c>
      <c r="I3520" s="133"/>
      <c r="J3520" s="133" t="s">
        <v>2428</v>
      </c>
      <c r="K3520" s="133" t="s">
        <v>831</v>
      </c>
      <c r="L3520" s="167"/>
      <c r="M3520" s="48"/>
      <c r="N3520" s="123"/>
    </row>
    <row r="3521" spans="1:14" customFormat="1" x14ac:dyDescent="0.55000000000000004">
      <c r="A3521" s="132" t="s">
        <v>2429</v>
      </c>
      <c r="B3521" s="133" t="s">
        <v>2850</v>
      </c>
      <c r="C3521" s="133" t="s">
        <v>124</v>
      </c>
      <c r="D3521" s="133" t="s">
        <v>3288</v>
      </c>
      <c r="E3521" s="138">
        <v>4.3000000000000003E-6</v>
      </c>
      <c r="F3521" s="153" t="s">
        <v>135</v>
      </c>
      <c r="G3521" s="153">
        <v>1</v>
      </c>
      <c r="H3521" s="133" t="s">
        <v>39</v>
      </c>
      <c r="I3521" s="133"/>
      <c r="J3521" s="133" t="s">
        <v>2428</v>
      </c>
      <c r="K3521" s="133" t="s">
        <v>831</v>
      </c>
      <c r="L3521" s="167"/>
      <c r="M3521" s="48"/>
      <c r="N3521" s="123"/>
    </row>
    <row r="3522" spans="1:14" customFormat="1" x14ac:dyDescent="0.55000000000000004">
      <c r="A3522" s="132" t="s">
        <v>2432</v>
      </c>
      <c r="B3522" s="133" t="s">
        <v>2851</v>
      </c>
      <c r="C3522" s="133" t="s">
        <v>121</v>
      </c>
      <c r="D3522" s="133" t="s">
        <v>2682</v>
      </c>
      <c r="E3522" s="138">
        <v>1</v>
      </c>
      <c r="F3522" s="153">
        <v>1</v>
      </c>
      <c r="G3522" s="153">
        <v>1</v>
      </c>
      <c r="H3522" s="133" t="s">
        <v>39</v>
      </c>
      <c r="I3522" s="133"/>
      <c r="J3522" s="133" t="s">
        <v>2431</v>
      </c>
      <c r="K3522" s="133" t="s">
        <v>831</v>
      </c>
      <c r="L3522" s="167"/>
      <c r="M3522" s="48"/>
      <c r="N3522" s="123"/>
    </row>
    <row r="3523" spans="1:14" customFormat="1" x14ac:dyDescent="0.55000000000000004">
      <c r="A3523" s="132" t="s">
        <v>2432</v>
      </c>
      <c r="B3523" s="133" t="s">
        <v>2852</v>
      </c>
      <c r="C3523" s="133" t="s">
        <v>348</v>
      </c>
      <c r="D3523" s="133" t="s">
        <v>3288</v>
      </c>
      <c r="E3523" s="138">
        <v>1</v>
      </c>
      <c r="F3523" s="153" t="s">
        <v>135</v>
      </c>
      <c r="G3523" s="153">
        <v>1</v>
      </c>
      <c r="H3523" s="133" t="s">
        <v>39</v>
      </c>
      <c r="I3523" s="133"/>
      <c r="J3523" s="133" t="s">
        <v>2431</v>
      </c>
      <c r="K3523" s="133" t="s">
        <v>831</v>
      </c>
      <c r="L3523" s="167"/>
      <c r="M3523" s="48"/>
      <c r="N3523" s="123"/>
    </row>
    <row r="3524" spans="1:14" customFormat="1" x14ac:dyDescent="0.55000000000000004">
      <c r="A3524" s="132" t="s">
        <v>2432</v>
      </c>
      <c r="B3524" s="133" t="s">
        <v>2618</v>
      </c>
      <c r="C3524" s="133" t="s">
        <v>127</v>
      </c>
      <c r="D3524" s="133" t="s">
        <v>2994</v>
      </c>
      <c r="E3524" s="138">
        <v>27.02</v>
      </c>
      <c r="F3524" s="153" t="s">
        <v>138</v>
      </c>
      <c r="G3524" s="153">
        <v>1</v>
      </c>
      <c r="H3524" s="133" t="s">
        <v>39</v>
      </c>
      <c r="I3524" s="133"/>
      <c r="J3524" s="133" t="s">
        <v>2431</v>
      </c>
      <c r="K3524" s="133" t="s">
        <v>831</v>
      </c>
      <c r="L3524" s="167"/>
      <c r="M3524" s="48"/>
      <c r="N3524" s="123"/>
    </row>
    <row r="3525" spans="1:14" customFormat="1" x14ac:dyDescent="0.55000000000000004">
      <c r="A3525" s="132" t="s">
        <v>2432</v>
      </c>
      <c r="B3525" s="133" t="s">
        <v>153</v>
      </c>
      <c r="C3525" s="133" t="s">
        <v>156</v>
      </c>
      <c r="D3525" s="133" t="s">
        <v>2994</v>
      </c>
      <c r="E3525" s="138">
        <v>23.93</v>
      </c>
      <c r="F3525" s="153" t="s">
        <v>138</v>
      </c>
      <c r="G3525" s="153">
        <v>1</v>
      </c>
      <c r="H3525" s="133" t="s">
        <v>39</v>
      </c>
      <c r="I3525" s="133"/>
      <c r="J3525" s="133" t="s">
        <v>2431</v>
      </c>
      <c r="K3525" s="133" t="s">
        <v>831</v>
      </c>
      <c r="L3525" s="167"/>
      <c r="M3525" s="48"/>
      <c r="N3525" s="123"/>
    </row>
    <row r="3526" spans="1:14" customFormat="1" x14ac:dyDescent="0.55000000000000004">
      <c r="A3526" s="132" t="s">
        <v>2432</v>
      </c>
      <c r="B3526" s="133" t="s">
        <v>2699</v>
      </c>
      <c r="C3526" s="133" t="s">
        <v>156</v>
      </c>
      <c r="D3526" s="133" t="s">
        <v>3288</v>
      </c>
      <c r="E3526" s="138">
        <v>3.5099999999999999E-2</v>
      </c>
      <c r="F3526" s="153" t="s">
        <v>135</v>
      </c>
      <c r="G3526" s="153">
        <v>1</v>
      </c>
      <c r="H3526" s="133" t="s">
        <v>39</v>
      </c>
      <c r="I3526" s="133"/>
      <c r="J3526" s="133" t="s">
        <v>2431</v>
      </c>
      <c r="K3526" s="133" t="s">
        <v>831</v>
      </c>
      <c r="L3526" s="167"/>
      <c r="M3526" s="48"/>
      <c r="N3526" s="123"/>
    </row>
    <row r="3527" spans="1:14" customFormat="1" x14ac:dyDescent="0.55000000000000004">
      <c r="A3527" s="132" t="s">
        <v>2432</v>
      </c>
      <c r="B3527" s="133" t="s">
        <v>2700</v>
      </c>
      <c r="C3527" s="133" t="s">
        <v>156</v>
      </c>
      <c r="D3527" s="133" t="s">
        <v>3288</v>
      </c>
      <c r="E3527" s="138">
        <v>5.4899999999999997E-2</v>
      </c>
      <c r="F3527" s="153" t="s">
        <v>135</v>
      </c>
      <c r="G3527" s="153">
        <v>1</v>
      </c>
      <c r="H3527" s="133" t="s">
        <v>39</v>
      </c>
      <c r="I3527" s="133"/>
      <c r="J3527" s="133" t="s">
        <v>2431</v>
      </c>
      <c r="K3527" s="133" t="s">
        <v>831</v>
      </c>
      <c r="L3527" s="167"/>
      <c r="M3527" s="48"/>
      <c r="N3527" s="123"/>
    </row>
    <row r="3528" spans="1:14" customFormat="1" x14ac:dyDescent="0.55000000000000004">
      <c r="A3528" s="132" t="s">
        <v>2432</v>
      </c>
      <c r="B3528" s="133" t="s">
        <v>2853</v>
      </c>
      <c r="C3528" s="133" t="s">
        <v>2854</v>
      </c>
      <c r="D3528" s="133" t="s">
        <v>2855</v>
      </c>
      <c r="E3528" s="138">
        <v>120</v>
      </c>
      <c r="F3528" s="153" t="s">
        <v>2856</v>
      </c>
      <c r="G3528" s="153">
        <v>1</v>
      </c>
      <c r="H3528" s="133" t="s">
        <v>39</v>
      </c>
      <c r="I3528" s="133"/>
      <c r="J3528" s="133" t="s">
        <v>2431</v>
      </c>
      <c r="K3528" s="133" t="s">
        <v>831</v>
      </c>
      <c r="L3528" s="167"/>
      <c r="M3528" s="48"/>
      <c r="N3528" s="123"/>
    </row>
    <row r="3529" spans="1:14" customFormat="1" x14ac:dyDescent="0.55000000000000004">
      <c r="A3529" s="132" t="s">
        <v>2435</v>
      </c>
      <c r="B3529" s="133" t="s">
        <v>2851</v>
      </c>
      <c r="C3529" s="133" t="s">
        <v>121</v>
      </c>
      <c r="D3529" s="133" t="s">
        <v>2682</v>
      </c>
      <c r="E3529" s="138">
        <v>1</v>
      </c>
      <c r="F3529" s="153">
        <v>1</v>
      </c>
      <c r="G3529" s="153">
        <v>1</v>
      </c>
      <c r="H3529" s="133" t="s">
        <v>39</v>
      </c>
      <c r="I3529" s="133"/>
      <c r="J3529" s="133" t="s">
        <v>2434</v>
      </c>
      <c r="K3529" s="133" t="s">
        <v>831</v>
      </c>
      <c r="L3529" s="167"/>
      <c r="M3529" s="48"/>
      <c r="N3529" s="123"/>
    </row>
    <row r="3530" spans="1:14" customFormat="1" x14ac:dyDescent="0.55000000000000004">
      <c r="A3530" s="132" t="s">
        <v>2435</v>
      </c>
      <c r="B3530" s="133" t="s">
        <v>2852</v>
      </c>
      <c r="C3530" s="133" t="s">
        <v>348</v>
      </c>
      <c r="D3530" s="133" t="s">
        <v>3288</v>
      </c>
      <c r="E3530" s="138">
        <v>1</v>
      </c>
      <c r="F3530" s="153" t="s">
        <v>135</v>
      </c>
      <c r="G3530" s="153">
        <v>1</v>
      </c>
      <c r="H3530" s="133" t="s">
        <v>39</v>
      </c>
      <c r="I3530" s="133"/>
      <c r="J3530" s="133" t="s">
        <v>2434</v>
      </c>
      <c r="K3530" s="133" t="s">
        <v>831</v>
      </c>
      <c r="L3530" s="167"/>
      <c r="M3530" s="48"/>
      <c r="N3530" s="123"/>
    </row>
    <row r="3531" spans="1:14" customFormat="1" x14ac:dyDescent="0.55000000000000004">
      <c r="A3531" s="132" t="s">
        <v>2435</v>
      </c>
      <c r="B3531" s="133" t="s">
        <v>2618</v>
      </c>
      <c r="C3531" s="133" t="s">
        <v>124</v>
      </c>
      <c r="D3531" s="133" t="s">
        <v>3288</v>
      </c>
      <c r="E3531" s="138">
        <v>27.020000000000003</v>
      </c>
      <c r="F3531" s="153" t="s">
        <v>138</v>
      </c>
      <c r="G3531" s="153">
        <v>1</v>
      </c>
      <c r="H3531" s="133" t="s">
        <v>39</v>
      </c>
      <c r="I3531" s="133"/>
      <c r="J3531" s="133" t="s">
        <v>2434</v>
      </c>
      <c r="K3531" s="133" t="s">
        <v>831</v>
      </c>
      <c r="L3531" s="167"/>
      <c r="M3531" s="48"/>
      <c r="N3531" s="123"/>
    </row>
    <row r="3532" spans="1:14" customFormat="1" x14ac:dyDescent="0.55000000000000004">
      <c r="A3532" s="132" t="s">
        <v>2435</v>
      </c>
      <c r="B3532" s="133" t="s">
        <v>153</v>
      </c>
      <c r="C3532" s="133" t="s">
        <v>156</v>
      </c>
      <c r="D3532" s="133" t="s">
        <v>2994</v>
      </c>
      <c r="E3532" s="138">
        <v>23.93</v>
      </c>
      <c r="F3532" s="153" t="s">
        <v>138</v>
      </c>
      <c r="G3532" s="153">
        <v>1</v>
      </c>
      <c r="H3532" s="133" t="s">
        <v>39</v>
      </c>
      <c r="I3532" s="133"/>
      <c r="J3532" s="133" t="s">
        <v>2434</v>
      </c>
      <c r="K3532" s="133" t="s">
        <v>831</v>
      </c>
      <c r="L3532" s="167"/>
      <c r="M3532" s="48"/>
      <c r="N3532" s="123"/>
    </row>
    <row r="3533" spans="1:14" customFormat="1" x14ac:dyDescent="0.55000000000000004">
      <c r="A3533" s="132" t="s">
        <v>2435</v>
      </c>
      <c r="B3533" s="133" t="s">
        <v>2699</v>
      </c>
      <c r="C3533" s="133" t="s">
        <v>156</v>
      </c>
      <c r="D3533" s="133" t="s">
        <v>3288</v>
      </c>
      <c r="E3533" s="138">
        <v>3.5099999999999999E-2</v>
      </c>
      <c r="F3533" s="153" t="s">
        <v>135</v>
      </c>
      <c r="G3533" s="153">
        <v>1</v>
      </c>
      <c r="H3533" s="133" t="s">
        <v>39</v>
      </c>
      <c r="I3533" s="133"/>
      <c r="J3533" s="133" t="s">
        <v>2434</v>
      </c>
      <c r="K3533" s="133" t="s">
        <v>831</v>
      </c>
      <c r="L3533" s="167"/>
      <c r="M3533" s="48"/>
      <c r="N3533" s="123"/>
    </row>
    <row r="3534" spans="1:14" customFormat="1" x14ac:dyDescent="0.55000000000000004">
      <c r="A3534" s="132" t="s">
        <v>2435</v>
      </c>
      <c r="B3534" s="133" t="s">
        <v>2700</v>
      </c>
      <c r="C3534" s="133" t="s">
        <v>156</v>
      </c>
      <c r="D3534" s="133" t="s">
        <v>3288</v>
      </c>
      <c r="E3534" s="138">
        <v>5.4899999999999997E-2</v>
      </c>
      <c r="F3534" s="153" t="s">
        <v>135</v>
      </c>
      <c r="G3534" s="153">
        <v>1</v>
      </c>
      <c r="H3534" s="133" t="s">
        <v>39</v>
      </c>
      <c r="I3534" s="133"/>
      <c r="J3534" s="133" t="s">
        <v>2434</v>
      </c>
      <c r="K3534" s="133" t="s">
        <v>831</v>
      </c>
      <c r="L3534" s="167"/>
      <c r="M3534" s="48"/>
      <c r="N3534" s="123"/>
    </row>
    <row r="3535" spans="1:14" customFormat="1" x14ac:dyDescent="0.55000000000000004">
      <c r="A3535" s="132" t="s">
        <v>2435</v>
      </c>
      <c r="B3535" s="133" t="s">
        <v>2853</v>
      </c>
      <c r="C3535" s="133" t="s">
        <v>2854</v>
      </c>
      <c r="D3535" s="133" t="s">
        <v>2855</v>
      </c>
      <c r="E3535" s="138">
        <v>120</v>
      </c>
      <c r="F3535" s="153" t="s">
        <v>2856</v>
      </c>
      <c r="G3535" s="153">
        <v>1</v>
      </c>
      <c r="H3535" s="133" t="s">
        <v>39</v>
      </c>
      <c r="I3535" s="133"/>
      <c r="J3535" s="133" t="s">
        <v>2434</v>
      </c>
      <c r="K3535" s="133" t="s">
        <v>831</v>
      </c>
      <c r="L3535" s="167"/>
      <c r="M3535" s="48"/>
      <c r="N3535" s="123"/>
    </row>
    <row r="3536" spans="1:14" customFormat="1" x14ac:dyDescent="0.55000000000000004">
      <c r="A3536" s="132" t="s">
        <v>2438</v>
      </c>
      <c r="B3536" s="133" t="s">
        <v>2851</v>
      </c>
      <c r="C3536" s="133" t="s">
        <v>121</v>
      </c>
      <c r="D3536" s="133" t="s">
        <v>2682</v>
      </c>
      <c r="E3536" s="138">
        <v>1</v>
      </c>
      <c r="F3536" s="153">
        <v>1</v>
      </c>
      <c r="G3536" s="153">
        <v>1</v>
      </c>
      <c r="H3536" s="133" t="s">
        <v>39</v>
      </c>
      <c r="I3536" s="133"/>
      <c r="J3536" s="133" t="s">
        <v>2437</v>
      </c>
      <c r="K3536" s="133" t="s">
        <v>831</v>
      </c>
      <c r="L3536" s="167"/>
      <c r="M3536" s="48"/>
      <c r="N3536" s="123"/>
    </row>
    <row r="3537" spans="1:14" customFormat="1" x14ac:dyDescent="0.55000000000000004">
      <c r="A3537" s="132" t="s">
        <v>2438</v>
      </c>
      <c r="B3537" s="133" t="s">
        <v>2857</v>
      </c>
      <c r="C3537" s="133" t="s">
        <v>348</v>
      </c>
      <c r="D3537" s="133" t="s">
        <v>3288</v>
      </c>
      <c r="E3537" s="138">
        <v>1</v>
      </c>
      <c r="F3537" s="153" t="s">
        <v>135</v>
      </c>
      <c r="G3537" s="153">
        <v>1</v>
      </c>
      <c r="H3537" s="133" t="s">
        <v>39</v>
      </c>
      <c r="I3537" s="133"/>
      <c r="J3537" s="133" t="s">
        <v>2437</v>
      </c>
      <c r="K3537" s="133" t="s">
        <v>831</v>
      </c>
      <c r="L3537" s="167"/>
      <c r="M3537" s="48"/>
      <c r="N3537" s="123"/>
    </row>
    <row r="3538" spans="1:14" customFormat="1" x14ac:dyDescent="0.55000000000000004">
      <c r="A3538" s="132" t="s">
        <v>2438</v>
      </c>
      <c r="B3538" s="133" t="s">
        <v>2618</v>
      </c>
      <c r="C3538" s="133" t="s">
        <v>127</v>
      </c>
      <c r="D3538" s="133" t="s">
        <v>2994</v>
      </c>
      <c r="E3538" s="138">
        <v>5.9799999999999995</v>
      </c>
      <c r="F3538" s="153" t="s">
        <v>138</v>
      </c>
      <c r="G3538" s="153">
        <v>1</v>
      </c>
      <c r="H3538" s="133" t="s">
        <v>39</v>
      </c>
      <c r="I3538" s="133"/>
      <c r="J3538" s="133" t="s">
        <v>2437</v>
      </c>
      <c r="K3538" s="133" t="s">
        <v>831</v>
      </c>
      <c r="L3538" s="167"/>
      <c r="M3538" s="48"/>
      <c r="N3538" s="123"/>
    </row>
    <row r="3539" spans="1:14" customFormat="1" x14ac:dyDescent="0.55000000000000004">
      <c r="A3539" s="132" t="s">
        <v>2438</v>
      </c>
      <c r="B3539" s="133" t="s">
        <v>2699</v>
      </c>
      <c r="C3539" s="133" t="s">
        <v>156</v>
      </c>
      <c r="D3539" s="133" t="s">
        <v>3288</v>
      </c>
      <c r="E3539" s="138">
        <v>3.5099999999999999E-2</v>
      </c>
      <c r="F3539" s="153" t="s">
        <v>135</v>
      </c>
      <c r="G3539" s="153">
        <v>1</v>
      </c>
      <c r="H3539" s="133" t="s">
        <v>39</v>
      </c>
      <c r="I3539" s="133"/>
      <c r="J3539" s="133" t="s">
        <v>2437</v>
      </c>
      <c r="K3539" s="133" t="s">
        <v>831</v>
      </c>
      <c r="L3539" s="167"/>
      <c r="M3539" s="48"/>
      <c r="N3539" s="123"/>
    </row>
    <row r="3540" spans="1:14" customFormat="1" x14ac:dyDescent="0.55000000000000004">
      <c r="A3540" s="132" t="s">
        <v>2438</v>
      </c>
      <c r="B3540" s="133" t="s">
        <v>2700</v>
      </c>
      <c r="C3540" s="133" t="s">
        <v>156</v>
      </c>
      <c r="D3540" s="133" t="s">
        <v>3288</v>
      </c>
      <c r="E3540" s="138">
        <v>5.4899999999999997E-2</v>
      </c>
      <c r="F3540" s="153" t="s">
        <v>135</v>
      </c>
      <c r="G3540" s="153">
        <v>1</v>
      </c>
      <c r="H3540" s="133" t="s">
        <v>39</v>
      </c>
      <c r="I3540" s="133"/>
      <c r="J3540" s="133" t="s">
        <v>2437</v>
      </c>
      <c r="K3540" s="133" t="s">
        <v>831</v>
      </c>
      <c r="L3540" s="167"/>
      <c r="M3540" s="48"/>
      <c r="N3540" s="123"/>
    </row>
    <row r="3541" spans="1:14" customFormat="1" x14ac:dyDescent="0.55000000000000004">
      <c r="A3541" s="132" t="s">
        <v>2438</v>
      </c>
      <c r="B3541" s="133" t="s">
        <v>2858</v>
      </c>
      <c r="C3541" s="133" t="s">
        <v>156</v>
      </c>
      <c r="D3541" s="133" t="s">
        <v>3288</v>
      </c>
      <c r="E3541" s="138">
        <v>1.2999999999999999E-4</v>
      </c>
      <c r="F3541" s="153" t="s">
        <v>135</v>
      </c>
      <c r="G3541" s="153">
        <v>1</v>
      </c>
      <c r="H3541" s="133" t="s">
        <v>39</v>
      </c>
      <c r="I3541" s="133"/>
      <c r="J3541" s="133" t="s">
        <v>2437</v>
      </c>
      <c r="K3541" s="133" t="s">
        <v>831</v>
      </c>
      <c r="L3541" s="167"/>
      <c r="M3541" s="48"/>
      <c r="N3541" s="123"/>
    </row>
    <row r="3542" spans="1:14" customFormat="1" x14ac:dyDescent="0.55000000000000004">
      <c r="A3542" s="132" t="s">
        <v>2438</v>
      </c>
      <c r="B3542" s="133" t="s">
        <v>2859</v>
      </c>
      <c r="C3542" s="133" t="s">
        <v>156</v>
      </c>
      <c r="D3542" s="133" t="s">
        <v>3288</v>
      </c>
      <c r="E3542" s="138">
        <v>6.0000000000000002E-5</v>
      </c>
      <c r="F3542" s="153" t="s">
        <v>135</v>
      </c>
      <c r="G3542" s="153">
        <v>1</v>
      </c>
      <c r="H3542" s="133" t="s">
        <v>39</v>
      </c>
      <c r="I3542" s="133"/>
      <c r="J3542" s="133" t="s">
        <v>2437</v>
      </c>
      <c r="K3542" s="133" t="s">
        <v>831</v>
      </c>
      <c r="L3542" s="167"/>
      <c r="M3542" s="48"/>
      <c r="N3542" s="123"/>
    </row>
    <row r="3543" spans="1:14" customFormat="1" x14ac:dyDescent="0.55000000000000004">
      <c r="A3543" s="132" t="s">
        <v>2438</v>
      </c>
      <c r="B3543" s="133" t="s">
        <v>998</v>
      </c>
      <c r="C3543" s="133" t="s">
        <v>156</v>
      </c>
      <c r="D3543" s="133" t="s">
        <v>3288</v>
      </c>
      <c r="E3543" s="138">
        <v>4.0000000000000003E-5</v>
      </c>
      <c r="F3543" s="153" t="s">
        <v>135</v>
      </c>
      <c r="G3543" s="153">
        <v>1</v>
      </c>
      <c r="H3543" s="133" t="s">
        <v>39</v>
      </c>
      <c r="I3543" s="133"/>
      <c r="J3543" s="133" t="s">
        <v>2437</v>
      </c>
      <c r="K3543" s="133" t="s">
        <v>831</v>
      </c>
      <c r="L3543" s="167"/>
      <c r="M3543" s="48"/>
      <c r="N3543" s="123"/>
    </row>
    <row r="3544" spans="1:14" customFormat="1" x14ac:dyDescent="0.55000000000000004">
      <c r="A3544" s="132" t="s">
        <v>2438</v>
      </c>
      <c r="B3544" s="133" t="s">
        <v>2860</v>
      </c>
      <c r="C3544" s="133" t="s">
        <v>156</v>
      </c>
      <c r="D3544" s="133" t="s">
        <v>3288</v>
      </c>
      <c r="E3544" s="138">
        <v>8.0000000000000007E-5</v>
      </c>
      <c r="F3544" s="153" t="s">
        <v>135</v>
      </c>
      <c r="G3544" s="153">
        <v>1</v>
      </c>
      <c r="H3544" s="133" t="s">
        <v>39</v>
      </c>
      <c r="I3544" s="133"/>
      <c r="J3544" s="133" t="s">
        <v>2437</v>
      </c>
      <c r="K3544" s="133" t="s">
        <v>831</v>
      </c>
      <c r="L3544" s="167"/>
      <c r="M3544" s="48"/>
      <c r="N3544" s="123"/>
    </row>
    <row r="3545" spans="1:14" customFormat="1" x14ac:dyDescent="0.55000000000000004">
      <c r="A3545" s="132" t="s">
        <v>2438</v>
      </c>
      <c r="B3545" s="133" t="s">
        <v>2853</v>
      </c>
      <c r="C3545" s="133" t="s">
        <v>2854</v>
      </c>
      <c r="D3545" s="133" t="s">
        <v>2855</v>
      </c>
      <c r="E3545" s="138">
        <v>160</v>
      </c>
      <c r="F3545" s="153" t="s">
        <v>2856</v>
      </c>
      <c r="G3545" s="153">
        <v>1</v>
      </c>
      <c r="H3545" s="133" t="s">
        <v>39</v>
      </c>
      <c r="I3545" s="133"/>
      <c r="J3545" s="133" t="s">
        <v>2437</v>
      </c>
      <c r="K3545" s="133" t="s">
        <v>831</v>
      </c>
      <c r="L3545" s="167"/>
      <c r="M3545" s="48"/>
      <c r="N3545" s="123"/>
    </row>
    <row r="3546" spans="1:14" customFormat="1" x14ac:dyDescent="0.55000000000000004">
      <c r="A3546" s="132" t="s">
        <v>2441</v>
      </c>
      <c r="B3546" s="133" t="s">
        <v>2861</v>
      </c>
      <c r="C3546" s="133" t="s">
        <v>121</v>
      </c>
      <c r="D3546" s="133" t="s">
        <v>2682</v>
      </c>
      <c r="E3546" s="138">
        <v>1</v>
      </c>
      <c r="F3546" s="153">
        <v>1</v>
      </c>
      <c r="G3546" s="153">
        <v>1</v>
      </c>
      <c r="H3546" s="133" t="s">
        <v>39</v>
      </c>
      <c r="I3546" s="133"/>
      <c r="J3546" s="133" t="s">
        <v>2440</v>
      </c>
      <c r="K3546" s="133" t="s">
        <v>831</v>
      </c>
      <c r="L3546" s="167"/>
      <c r="M3546" s="48"/>
      <c r="N3546" s="123"/>
    </row>
    <row r="3547" spans="1:14" customFormat="1" x14ac:dyDescent="0.55000000000000004">
      <c r="A3547" s="132" t="s">
        <v>2441</v>
      </c>
      <c r="B3547" s="133" t="s">
        <v>2862</v>
      </c>
      <c r="C3547" s="133" t="s">
        <v>348</v>
      </c>
      <c r="D3547" s="133" t="s">
        <v>3288</v>
      </c>
      <c r="E3547" s="138">
        <v>1</v>
      </c>
      <c r="F3547" s="153" t="s">
        <v>135</v>
      </c>
      <c r="G3547" s="153">
        <v>1</v>
      </c>
      <c r="H3547" s="133" t="s">
        <v>39</v>
      </c>
      <c r="I3547" s="133"/>
      <c r="J3547" s="133" t="s">
        <v>2440</v>
      </c>
      <c r="K3547" s="133" t="s">
        <v>831</v>
      </c>
      <c r="L3547" s="167"/>
      <c r="M3547" s="48"/>
      <c r="N3547" s="123"/>
    </row>
    <row r="3548" spans="1:14" customFormat="1" x14ac:dyDescent="0.55000000000000004">
      <c r="A3548" s="132" t="s">
        <v>2441</v>
      </c>
      <c r="B3548" s="133" t="s">
        <v>153</v>
      </c>
      <c r="C3548" s="133" t="s">
        <v>127</v>
      </c>
      <c r="D3548" s="133" t="s">
        <v>2994</v>
      </c>
      <c r="E3548" s="138">
        <v>7.21</v>
      </c>
      <c r="F3548" s="153" t="s">
        <v>130</v>
      </c>
      <c r="G3548" s="153">
        <v>1</v>
      </c>
      <c r="H3548" s="133" t="s">
        <v>39</v>
      </c>
      <c r="I3548" s="133"/>
      <c r="J3548" s="133" t="s">
        <v>2440</v>
      </c>
      <c r="K3548" s="133" t="s">
        <v>831</v>
      </c>
      <c r="L3548" s="167"/>
      <c r="M3548" s="48"/>
      <c r="N3548" s="123"/>
    </row>
    <row r="3549" spans="1:14" customFormat="1" x14ac:dyDescent="0.55000000000000004">
      <c r="A3549" s="132" t="s">
        <v>2441</v>
      </c>
      <c r="B3549" s="133" t="s">
        <v>496</v>
      </c>
      <c r="C3549" s="133" t="s">
        <v>127</v>
      </c>
      <c r="D3549" s="133" t="s">
        <v>2994</v>
      </c>
      <c r="E3549" s="138">
        <v>507</v>
      </c>
      <c r="F3549" s="153" t="s">
        <v>167</v>
      </c>
      <c r="G3549" s="153">
        <v>1</v>
      </c>
      <c r="H3549" s="133" t="s">
        <v>39</v>
      </c>
      <c r="I3549" s="133"/>
      <c r="J3549" s="133" t="s">
        <v>2440</v>
      </c>
      <c r="K3549" s="133" t="s">
        <v>831</v>
      </c>
      <c r="L3549" s="167"/>
      <c r="M3549" s="48"/>
      <c r="N3549" s="123"/>
    </row>
    <row r="3550" spans="1:14" customFormat="1" x14ac:dyDescent="0.55000000000000004">
      <c r="A3550" s="132" t="s">
        <v>2441</v>
      </c>
      <c r="B3550" s="133" t="s">
        <v>2863</v>
      </c>
      <c r="C3550" s="133" t="s">
        <v>348</v>
      </c>
      <c r="D3550" s="133" t="s">
        <v>3288</v>
      </c>
      <c r="E3550" s="138">
        <v>0.05</v>
      </c>
      <c r="F3550" s="153" t="s">
        <v>135</v>
      </c>
      <c r="G3550" s="153">
        <v>1</v>
      </c>
      <c r="H3550" s="133" t="s">
        <v>39</v>
      </c>
      <c r="I3550" s="133"/>
      <c r="J3550" s="133" t="s">
        <v>2440</v>
      </c>
      <c r="K3550" s="133" t="s">
        <v>831</v>
      </c>
      <c r="L3550" s="167"/>
      <c r="M3550" s="48"/>
      <c r="N3550" s="123"/>
    </row>
    <row r="3551" spans="1:14" customFormat="1" x14ac:dyDescent="0.55000000000000004">
      <c r="A3551" s="132" t="s">
        <v>2441</v>
      </c>
      <c r="B3551" s="133" t="s">
        <v>2864</v>
      </c>
      <c r="C3551" s="133" t="s">
        <v>348</v>
      </c>
      <c r="D3551" s="133" t="s">
        <v>3288</v>
      </c>
      <c r="E3551" s="138">
        <v>1E-3</v>
      </c>
      <c r="F3551" s="153" t="s">
        <v>135</v>
      </c>
      <c r="G3551" s="153">
        <v>1</v>
      </c>
      <c r="H3551" s="133" t="s">
        <v>39</v>
      </c>
      <c r="I3551" s="133"/>
      <c r="J3551" s="133" t="s">
        <v>2440</v>
      </c>
      <c r="K3551" s="133" t="s">
        <v>831</v>
      </c>
      <c r="L3551" s="167"/>
      <c r="M3551" s="48"/>
      <c r="N3551" s="123"/>
    </row>
    <row r="3552" spans="1:14" customFormat="1" x14ac:dyDescent="0.55000000000000004">
      <c r="A3552" s="132" t="s">
        <v>2441</v>
      </c>
      <c r="B3552" s="133" t="s">
        <v>2865</v>
      </c>
      <c r="C3552" s="133" t="s">
        <v>163</v>
      </c>
      <c r="D3552" s="133" t="s">
        <v>3288</v>
      </c>
      <c r="E3552" s="138">
        <v>0.317</v>
      </c>
      <c r="F3552" s="153" t="s">
        <v>135</v>
      </c>
      <c r="G3552" s="153">
        <v>1</v>
      </c>
      <c r="H3552" s="133" t="s">
        <v>39</v>
      </c>
      <c r="I3552" s="133"/>
      <c r="J3552" s="133" t="s">
        <v>2440</v>
      </c>
      <c r="K3552" s="133" t="s">
        <v>831</v>
      </c>
      <c r="L3552" s="167"/>
      <c r="M3552" s="48"/>
      <c r="N3552" s="123"/>
    </row>
    <row r="3553" spans="1:14" customFormat="1" x14ac:dyDescent="0.55000000000000004">
      <c r="A3553" s="132" t="s">
        <v>2441</v>
      </c>
      <c r="B3553" s="133" t="s">
        <v>2598</v>
      </c>
      <c r="C3553" s="133" t="s">
        <v>124</v>
      </c>
      <c r="D3553" s="133" t="s">
        <v>3288</v>
      </c>
      <c r="E3553" s="138">
        <v>0.4</v>
      </c>
      <c r="F3553" s="153" t="s">
        <v>135</v>
      </c>
      <c r="G3553" s="153">
        <v>1</v>
      </c>
      <c r="H3553" s="133" t="s">
        <v>39</v>
      </c>
      <c r="I3553" s="133"/>
      <c r="J3553" s="133" t="s">
        <v>2440</v>
      </c>
      <c r="K3553" s="133" t="s">
        <v>831</v>
      </c>
      <c r="L3553" s="167"/>
      <c r="M3553" s="48"/>
      <c r="N3553" s="123"/>
    </row>
    <row r="3554" spans="1:14" customFormat="1" x14ac:dyDescent="0.55000000000000004">
      <c r="A3554" s="132" t="s">
        <v>2441</v>
      </c>
      <c r="B3554" s="133" t="s">
        <v>2866</v>
      </c>
      <c r="C3554" s="133" t="s">
        <v>156</v>
      </c>
      <c r="D3554" s="133" t="s">
        <v>3288</v>
      </c>
      <c r="E3554" s="138">
        <v>0.58399999999999996</v>
      </c>
      <c r="F3554" s="153" t="s">
        <v>135</v>
      </c>
      <c r="G3554" s="153">
        <v>1</v>
      </c>
      <c r="H3554" s="133" t="s">
        <v>39</v>
      </c>
      <c r="I3554" s="133"/>
      <c r="J3554" s="133" t="s">
        <v>2440</v>
      </c>
      <c r="K3554" s="133" t="s">
        <v>831</v>
      </c>
      <c r="L3554" s="167"/>
      <c r="M3554" s="48"/>
      <c r="N3554" s="123"/>
    </row>
    <row r="3555" spans="1:14" customFormat="1" x14ac:dyDescent="0.55000000000000004">
      <c r="A3555" s="132" t="s">
        <v>2444</v>
      </c>
      <c r="B3555" s="133" t="s">
        <v>2867</v>
      </c>
      <c r="C3555" s="133" t="s">
        <v>121</v>
      </c>
      <c r="D3555" s="133" t="s">
        <v>2682</v>
      </c>
      <c r="E3555" s="138">
        <v>1</v>
      </c>
      <c r="F3555" s="153">
        <v>1</v>
      </c>
      <c r="G3555" s="153">
        <v>1</v>
      </c>
      <c r="H3555" s="133" t="s">
        <v>39</v>
      </c>
      <c r="I3555" s="133"/>
      <c r="J3555" s="133" t="s">
        <v>2443</v>
      </c>
      <c r="K3555" s="133" t="s">
        <v>831</v>
      </c>
      <c r="L3555" s="167"/>
      <c r="M3555" s="48"/>
      <c r="N3555" s="123"/>
    </row>
    <row r="3556" spans="1:14" customFormat="1" x14ac:dyDescent="0.55000000000000004">
      <c r="A3556" s="132" t="s">
        <v>2444</v>
      </c>
      <c r="B3556" s="133" t="s">
        <v>2868</v>
      </c>
      <c r="C3556" s="133" t="s">
        <v>348</v>
      </c>
      <c r="D3556" s="133" t="s">
        <v>3288</v>
      </c>
      <c r="E3556" s="138">
        <v>1</v>
      </c>
      <c r="F3556" s="153" t="s">
        <v>135</v>
      </c>
      <c r="G3556" s="153">
        <v>1</v>
      </c>
      <c r="H3556" s="133" t="s">
        <v>39</v>
      </c>
      <c r="I3556" s="133"/>
      <c r="J3556" s="133" t="s">
        <v>2443</v>
      </c>
      <c r="K3556" s="133" t="s">
        <v>831</v>
      </c>
      <c r="L3556" s="167"/>
      <c r="M3556" s="48"/>
      <c r="N3556" s="123"/>
    </row>
    <row r="3557" spans="1:14" customFormat="1" x14ac:dyDescent="0.55000000000000004">
      <c r="A3557" s="132" t="s">
        <v>2444</v>
      </c>
      <c r="B3557" s="133" t="s">
        <v>153</v>
      </c>
      <c r="C3557" s="133" t="s">
        <v>127</v>
      </c>
      <c r="D3557" s="133" t="s">
        <v>2994</v>
      </c>
      <c r="E3557" s="138">
        <v>2</v>
      </c>
      <c r="F3557" s="153" t="s">
        <v>130</v>
      </c>
      <c r="G3557" s="153">
        <v>1</v>
      </c>
      <c r="H3557" s="133" t="s">
        <v>39</v>
      </c>
      <c r="I3557" s="133"/>
      <c r="J3557" s="133" t="s">
        <v>2443</v>
      </c>
      <c r="K3557" s="133" t="s">
        <v>831</v>
      </c>
      <c r="L3557" s="167"/>
      <c r="M3557" s="48"/>
      <c r="N3557" s="123"/>
    </row>
    <row r="3558" spans="1:14" customFormat="1" x14ac:dyDescent="0.55000000000000004">
      <c r="A3558" s="132" t="s">
        <v>2444</v>
      </c>
      <c r="B3558" s="133" t="s">
        <v>496</v>
      </c>
      <c r="C3558" s="133" t="s">
        <v>127</v>
      </c>
      <c r="D3558" s="133" t="s">
        <v>2994</v>
      </c>
      <c r="E3558" s="138">
        <v>2476</v>
      </c>
      <c r="F3558" s="153" t="s">
        <v>167</v>
      </c>
      <c r="G3558" s="153">
        <v>1</v>
      </c>
      <c r="H3558" s="133" t="s">
        <v>39</v>
      </c>
      <c r="I3558" s="133"/>
      <c r="J3558" s="133" t="s">
        <v>2443</v>
      </c>
      <c r="K3558" s="133" t="s">
        <v>831</v>
      </c>
      <c r="L3558" s="167"/>
      <c r="M3558" s="48"/>
      <c r="N3558" s="123"/>
    </row>
    <row r="3559" spans="1:14" customFormat="1" x14ac:dyDescent="0.55000000000000004">
      <c r="A3559" s="132" t="s">
        <v>2444</v>
      </c>
      <c r="B3559" s="133" t="s">
        <v>2863</v>
      </c>
      <c r="C3559" s="133" t="s">
        <v>348</v>
      </c>
      <c r="D3559" s="133" t="s">
        <v>3288</v>
      </c>
      <c r="E3559" s="138">
        <v>0.05</v>
      </c>
      <c r="F3559" s="153" t="s">
        <v>135</v>
      </c>
      <c r="G3559" s="153">
        <v>1</v>
      </c>
      <c r="H3559" s="133" t="s">
        <v>39</v>
      </c>
      <c r="I3559" s="133"/>
      <c r="J3559" s="133" t="s">
        <v>2443</v>
      </c>
      <c r="K3559" s="133" t="s">
        <v>831</v>
      </c>
      <c r="L3559" s="167"/>
      <c r="M3559" s="48"/>
      <c r="N3559" s="123"/>
    </row>
    <row r="3560" spans="1:14" customFormat="1" x14ac:dyDescent="0.55000000000000004">
      <c r="A3560" s="132" t="s">
        <v>2444</v>
      </c>
      <c r="B3560" s="133" t="s">
        <v>2864</v>
      </c>
      <c r="C3560" s="133" t="s">
        <v>348</v>
      </c>
      <c r="D3560" s="133" t="s">
        <v>3288</v>
      </c>
      <c r="E3560" s="138">
        <v>1E-3</v>
      </c>
      <c r="F3560" s="153" t="s">
        <v>135</v>
      </c>
      <c r="G3560" s="153">
        <v>1</v>
      </c>
      <c r="H3560" s="133" t="s">
        <v>39</v>
      </c>
      <c r="I3560" s="133"/>
      <c r="J3560" s="133" t="s">
        <v>2443</v>
      </c>
      <c r="K3560" s="133" t="s">
        <v>831</v>
      </c>
      <c r="L3560" s="167"/>
      <c r="M3560" s="48"/>
      <c r="N3560" s="123"/>
    </row>
    <row r="3561" spans="1:14" customFormat="1" x14ac:dyDescent="0.55000000000000004">
      <c r="A3561" s="132" t="s">
        <v>2444</v>
      </c>
      <c r="B3561" s="133" t="s">
        <v>2865</v>
      </c>
      <c r="C3561" s="133" t="s">
        <v>163</v>
      </c>
      <c r="D3561" s="133" t="s">
        <v>3288</v>
      </c>
      <c r="E3561" s="138">
        <v>0.121</v>
      </c>
      <c r="F3561" s="153" t="s">
        <v>135</v>
      </c>
      <c r="G3561" s="153">
        <v>1</v>
      </c>
      <c r="H3561" s="133" t="s">
        <v>39</v>
      </c>
      <c r="I3561" s="133"/>
      <c r="J3561" s="133" t="s">
        <v>2443</v>
      </c>
      <c r="K3561" s="133" t="s">
        <v>831</v>
      </c>
      <c r="L3561" s="167"/>
      <c r="M3561" s="48"/>
      <c r="N3561" s="123"/>
    </row>
    <row r="3562" spans="1:14" customFormat="1" x14ac:dyDescent="0.55000000000000004">
      <c r="A3562" s="132" t="s">
        <v>2444</v>
      </c>
      <c r="B3562" s="133" t="s">
        <v>2598</v>
      </c>
      <c r="C3562" s="133" t="s">
        <v>124</v>
      </c>
      <c r="D3562" s="133" t="s">
        <v>3288</v>
      </c>
      <c r="E3562" s="138">
        <v>0.38100000000000001</v>
      </c>
      <c r="F3562" s="153" t="s">
        <v>135</v>
      </c>
      <c r="G3562" s="153">
        <v>1</v>
      </c>
      <c r="H3562" s="133" t="s">
        <v>39</v>
      </c>
      <c r="I3562" s="133"/>
      <c r="J3562" s="133" t="s">
        <v>2443</v>
      </c>
      <c r="K3562" s="133" t="s">
        <v>831</v>
      </c>
      <c r="L3562" s="167"/>
      <c r="M3562" s="48"/>
      <c r="N3562" s="123"/>
    </row>
    <row r="3563" spans="1:14" customFormat="1" x14ac:dyDescent="0.55000000000000004">
      <c r="A3563" s="132" t="s">
        <v>2444</v>
      </c>
      <c r="B3563" s="133" t="s">
        <v>2866</v>
      </c>
      <c r="C3563" s="133" t="s">
        <v>156</v>
      </c>
      <c r="D3563" s="133" t="s">
        <v>3288</v>
      </c>
      <c r="E3563" s="138">
        <v>0.78400000000000003</v>
      </c>
      <c r="F3563" s="153" t="s">
        <v>135</v>
      </c>
      <c r="G3563" s="153">
        <v>1</v>
      </c>
      <c r="H3563" s="133" t="s">
        <v>39</v>
      </c>
      <c r="I3563" s="133"/>
      <c r="J3563" s="133" t="s">
        <v>2443</v>
      </c>
      <c r="K3563" s="133" t="s">
        <v>831</v>
      </c>
      <c r="L3563" s="167"/>
      <c r="M3563" s="48"/>
      <c r="N3563" s="123"/>
    </row>
    <row r="3564" spans="1:14" customFormat="1" x14ac:dyDescent="0.55000000000000004">
      <c r="A3564" s="132" t="s">
        <v>2447</v>
      </c>
      <c r="B3564" s="133" t="s">
        <v>2869</v>
      </c>
      <c r="C3564" s="133" t="s">
        <v>121</v>
      </c>
      <c r="D3564" s="133" t="s">
        <v>2682</v>
      </c>
      <c r="E3564" s="138">
        <v>1</v>
      </c>
      <c r="F3564" s="153">
        <v>1</v>
      </c>
      <c r="G3564" s="153">
        <v>1</v>
      </c>
      <c r="H3564" s="133"/>
      <c r="I3564" s="133"/>
      <c r="J3564" s="133" t="s">
        <v>2446</v>
      </c>
      <c r="K3564" s="133" t="s">
        <v>831</v>
      </c>
      <c r="L3564" s="167"/>
      <c r="M3564" s="48"/>
      <c r="N3564" s="123"/>
    </row>
    <row r="3565" spans="1:14" customFormat="1" x14ac:dyDescent="0.55000000000000004">
      <c r="A3565" s="132" t="s">
        <v>2447</v>
      </c>
      <c r="B3565" s="133" t="s">
        <v>2870</v>
      </c>
      <c r="C3565" s="133" t="s">
        <v>348</v>
      </c>
      <c r="D3565" s="133" t="s">
        <v>3288</v>
      </c>
      <c r="E3565" s="138">
        <v>1</v>
      </c>
      <c r="F3565" s="153" t="s">
        <v>135</v>
      </c>
      <c r="G3565" s="153">
        <v>1</v>
      </c>
      <c r="H3565" s="133"/>
      <c r="I3565" s="133"/>
      <c r="J3565" s="133" t="s">
        <v>2446</v>
      </c>
      <c r="K3565" s="133" t="s">
        <v>831</v>
      </c>
      <c r="L3565" s="167"/>
      <c r="M3565" s="48"/>
      <c r="N3565" s="123"/>
    </row>
    <row r="3566" spans="1:14" customFormat="1" x14ac:dyDescent="0.55000000000000004">
      <c r="A3566" s="132" t="s">
        <v>2447</v>
      </c>
      <c r="B3566" s="133" t="s">
        <v>153</v>
      </c>
      <c r="C3566" s="133" t="s">
        <v>127</v>
      </c>
      <c r="D3566" s="133" t="s">
        <v>2994</v>
      </c>
      <c r="E3566" s="138">
        <v>7.526296699310846</v>
      </c>
      <c r="F3566" s="153" t="s">
        <v>130</v>
      </c>
      <c r="G3566" s="153">
        <v>1</v>
      </c>
      <c r="H3566" s="134"/>
      <c r="I3566" s="133"/>
      <c r="J3566" s="133" t="s">
        <v>2446</v>
      </c>
      <c r="K3566" s="133" t="s">
        <v>831</v>
      </c>
      <c r="L3566" s="167"/>
      <c r="M3566" s="48"/>
      <c r="N3566" s="123"/>
    </row>
    <row r="3567" spans="1:14" customFormat="1" x14ac:dyDescent="0.55000000000000004">
      <c r="A3567" s="132" t="s">
        <v>2447</v>
      </c>
      <c r="B3567" s="133" t="s">
        <v>508</v>
      </c>
      <c r="C3567" s="133" t="s">
        <v>127</v>
      </c>
      <c r="D3567" s="133" t="s">
        <v>3288</v>
      </c>
      <c r="E3567" s="138">
        <v>3.1193326079071455E-3</v>
      </c>
      <c r="F3567" s="153" t="s">
        <v>135</v>
      </c>
      <c r="G3567" s="153">
        <v>1</v>
      </c>
      <c r="H3567" s="134"/>
      <c r="I3567" s="133"/>
      <c r="J3567" s="133" t="s">
        <v>2446</v>
      </c>
      <c r="K3567" s="133" t="s">
        <v>831</v>
      </c>
      <c r="L3567" s="167"/>
      <c r="M3567" s="48"/>
      <c r="N3567" s="123"/>
    </row>
    <row r="3568" spans="1:14" customFormat="1" x14ac:dyDescent="0.55000000000000004">
      <c r="A3568" s="132" t="s">
        <v>2447</v>
      </c>
      <c r="B3568" s="133" t="s">
        <v>2871</v>
      </c>
      <c r="C3568" s="133" t="s">
        <v>156</v>
      </c>
      <c r="D3568" s="133" t="s">
        <v>3288</v>
      </c>
      <c r="E3568" s="138">
        <v>0.86167936162495462</v>
      </c>
      <c r="F3568" s="153" t="s">
        <v>135</v>
      </c>
      <c r="G3568" s="153">
        <v>1</v>
      </c>
      <c r="H3568" s="134"/>
      <c r="I3568" s="133"/>
      <c r="J3568" s="133" t="s">
        <v>2446</v>
      </c>
      <c r="K3568" s="133" t="s">
        <v>831</v>
      </c>
      <c r="L3568" s="167"/>
      <c r="M3568" s="48"/>
      <c r="N3568" s="123"/>
    </row>
    <row r="3569" spans="1:14" customFormat="1" x14ac:dyDescent="0.55000000000000004">
      <c r="A3569" s="132" t="s">
        <v>2447</v>
      </c>
      <c r="B3569" s="133" t="s">
        <v>2872</v>
      </c>
      <c r="C3569" s="133" t="s">
        <v>156</v>
      </c>
      <c r="D3569" s="133" t="s">
        <v>3288</v>
      </c>
      <c r="E3569" s="138">
        <v>1.8706927820094303E-2</v>
      </c>
      <c r="F3569" s="153" t="s">
        <v>135</v>
      </c>
      <c r="G3569" s="153">
        <v>1</v>
      </c>
      <c r="H3569" s="134"/>
      <c r="I3569" s="133"/>
      <c r="J3569" s="133" t="s">
        <v>2446</v>
      </c>
      <c r="K3569" s="133" t="s">
        <v>831</v>
      </c>
      <c r="L3569" s="167"/>
      <c r="M3569" s="48"/>
      <c r="N3569" s="123"/>
    </row>
    <row r="3570" spans="1:14" customFormat="1" x14ac:dyDescent="0.55000000000000004">
      <c r="A3570" s="132" t="s">
        <v>2447</v>
      </c>
      <c r="B3570" s="133" t="s">
        <v>2781</v>
      </c>
      <c r="C3570" s="133" t="s">
        <v>156</v>
      </c>
      <c r="D3570" s="133" t="s">
        <v>3288</v>
      </c>
      <c r="E3570" s="138">
        <v>1.3910047152702212E-2</v>
      </c>
      <c r="F3570" s="153" t="s">
        <v>135</v>
      </c>
      <c r="G3570" s="153">
        <v>1</v>
      </c>
      <c r="H3570" s="134"/>
      <c r="I3570" s="133"/>
      <c r="J3570" s="133" t="s">
        <v>2446</v>
      </c>
      <c r="K3570" s="133" t="s">
        <v>831</v>
      </c>
      <c r="L3570" s="167"/>
      <c r="M3570" s="48"/>
      <c r="N3570" s="123"/>
    </row>
    <row r="3571" spans="1:14" customFormat="1" x14ac:dyDescent="0.55000000000000004">
      <c r="A3571" s="132" t="s">
        <v>2447</v>
      </c>
      <c r="B3571" s="133" t="s">
        <v>160</v>
      </c>
      <c r="C3571" s="133" t="s">
        <v>124</v>
      </c>
      <c r="D3571" s="133" t="s">
        <v>3288</v>
      </c>
      <c r="E3571" s="138">
        <v>1.0301051867972434E-2</v>
      </c>
      <c r="F3571" s="153" t="s">
        <v>135</v>
      </c>
      <c r="G3571" s="153">
        <v>1</v>
      </c>
      <c r="H3571" s="134"/>
      <c r="I3571" s="133"/>
      <c r="J3571" s="133" t="s">
        <v>2446</v>
      </c>
      <c r="K3571" s="133" t="s">
        <v>831</v>
      </c>
      <c r="L3571" s="167"/>
      <c r="M3571" s="48"/>
      <c r="N3571" s="123"/>
    </row>
    <row r="3572" spans="1:14" customFormat="1" x14ac:dyDescent="0.55000000000000004">
      <c r="A3572" s="132" t="s">
        <v>2447</v>
      </c>
      <c r="B3572" s="133" t="s">
        <v>2873</v>
      </c>
      <c r="C3572" s="133" t="s">
        <v>124</v>
      </c>
      <c r="D3572" s="133" t="s">
        <v>3288</v>
      </c>
      <c r="E3572" s="138">
        <v>8.3424011606819011E-3</v>
      </c>
      <c r="F3572" s="153" t="s">
        <v>135</v>
      </c>
      <c r="G3572" s="153">
        <v>1</v>
      </c>
      <c r="H3572" s="134"/>
      <c r="I3572" s="133"/>
      <c r="J3572" s="133" t="s">
        <v>2446</v>
      </c>
      <c r="K3572" s="133" t="s">
        <v>831</v>
      </c>
      <c r="L3572" s="167"/>
      <c r="M3572" s="48"/>
      <c r="N3572" s="123"/>
    </row>
    <row r="3573" spans="1:14" customFormat="1" x14ac:dyDescent="0.55000000000000004">
      <c r="A3573" s="132" t="s">
        <v>2447</v>
      </c>
      <c r="B3573" s="133" t="s">
        <v>2874</v>
      </c>
      <c r="C3573" s="133" t="s">
        <v>124</v>
      </c>
      <c r="D3573" s="133" t="s">
        <v>3288</v>
      </c>
      <c r="E3573" s="138">
        <v>3.2825535001813565E-3</v>
      </c>
      <c r="F3573" s="153" t="s">
        <v>135</v>
      </c>
      <c r="G3573" s="153">
        <v>1</v>
      </c>
      <c r="H3573" s="134"/>
      <c r="I3573" s="133"/>
      <c r="J3573" s="133" t="s">
        <v>2446</v>
      </c>
      <c r="K3573" s="133" t="s">
        <v>831</v>
      </c>
      <c r="L3573" s="167"/>
      <c r="M3573" s="48"/>
      <c r="N3573" s="123"/>
    </row>
    <row r="3574" spans="1:14" customFormat="1" x14ac:dyDescent="0.55000000000000004">
      <c r="A3574" s="132" t="s">
        <v>2447</v>
      </c>
      <c r="B3574" s="133" t="s">
        <v>2875</v>
      </c>
      <c r="C3574" s="133" t="s">
        <v>124</v>
      </c>
      <c r="D3574" s="133" t="s">
        <v>3288</v>
      </c>
      <c r="E3574" s="138">
        <v>2.2306855277475513E-6</v>
      </c>
      <c r="F3574" s="153" t="s">
        <v>135</v>
      </c>
      <c r="G3574" s="153">
        <v>1</v>
      </c>
      <c r="H3574" s="134"/>
      <c r="I3574" s="133"/>
      <c r="J3574" s="133" t="s">
        <v>2446</v>
      </c>
      <c r="K3574" s="133" t="s">
        <v>831</v>
      </c>
      <c r="L3574" s="167"/>
      <c r="M3574" s="48"/>
      <c r="N3574" s="123"/>
    </row>
    <row r="3575" spans="1:14" customFormat="1" x14ac:dyDescent="0.55000000000000004">
      <c r="A3575" s="132" t="s">
        <v>2447</v>
      </c>
      <c r="B3575" s="133" t="s">
        <v>2876</v>
      </c>
      <c r="C3575" s="133" t="s">
        <v>124</v>
      </c>
      <c r="D3575" s="133" t="s">
        <v>3288</v>
      </c>
      <c r="E3575" s="138">
        <v>1.2210736307580704E-4</v>
      </c>
      <c r="F3575" s="153" t="s">
        <v>135</v>
      </c>
      <c r="G3575" s="153">
        <v>1</v>
      </c>
      <c r="H3575" s="134"/>
      <c r="I3575" s="133"/>
      <c r="J3575" s="133" t="s">
        <v>2446</v>
      </c>
      <c r="K3575" s="133" t="s">
        <v>831</v>
      </c>
      <c r="L3575" s="167"/>
      <c r="M3575" s="48"/>
      <c r="N3575" s="123"/>
    </row>
    <row r="3576" spans="1:14" customFormat="1" x14ac:dyDescent="0.55000000000000004">
      <c r="A3576" s="132" t="s">
        <v>2447</v>
      </c>
      <c r="B3576" s="133" t="s">
        <v>2877</v>
      </c>
      <c r="C3576" s="133" t="s">
        <v>124</v>
      </c>
      <c r="D3576" s="133" t="s">
        <v>3288</v>
      </c>
      <c r="E3576" s="138">
        <v>9.0768951759158504E-6</v>
      </c>
      <c r="F3576" s="153" t="s">
        <v>135</v>
      </c>
      <c r="G3576" s="153">
        <v>1</v>
      </c>
      <c r="H3576" s="134"/>
      <c r="I3576" s="133"/>
      <c r="J3576" s="133" t="s">
        <v>2446</v>
      </c>
      <c r="K3576" s="133" t="s">
        <v>831</v>
      </c>
      <c r="L3576" s="167"/>
      <c r="M3576" s="48"/>
      <c r="N3576" s="123"/>
    </row>
    <row r="3577" spans="1:14" customFormat="1" x14ac:dyDescent="0.55000000000000004">
      <c r="A3577" s="132" t="s">
        <v>2447</v>
      </c>
      <c r="B3577" s="133" t="s">
        <v>2878</v>
      </c>
      <c r="C3577" s="133" t="s">
        <v>124</v>
      </c>
      <c r="D3577" s="133" t="s">
        <v>3288</v>
      </c>
      <c r="E3577" s="138">
        <v>9.9020674646354722E-6</v>
      </c>
      <c r="F3577" s="153" t="s">
        <v>135</v>
      </c>
      <c r="G3577" s="153">
        <v>1</v>
      </c>
      <c r="H3577" s="134"/>
      <c r="I3577" s="133"/>
      <c r="J3577" s="133" t="s">
        <v>2446</v>
      </c>
      <c r="K3577" s="133" t="s">
        <v>831</v>
      </c>
      <c r="L3577" s="167"/>
      <c r="M3577" s="48"/>
      <c r="N3577" s="123"/>
    </row>
    <row r="3578" spans="1:14" customFormat="1" x14ac:dyDescent="0.55000000000000004">
      <c r="A3578" s="132" t="s">
        <v>2447</v>
      </c>
      <c r="B3578" s="133" t="s">
        <v>2879</v>
      </c>
      <c r="C3578" s="133" t="s">
        <v>124</v>
      </c>
      <c r="D3578" s="133" t="s">
        <v>3288</v>
      </c>
      <c r="E3578" s="138">
        <v>4.5339136742836414E-9</v>
      </c>
      <c r="F3578" s="153" t="s">
        <v>135</v>
      </c>
      <c r="G3578" s="153">
        <v>1</v>
      </c>
      <c r="H3578" s="134"/>
      <c r="I3578" s="133"/>
      <c r="J3578" s="133" t="s">
        <v>2446</v>
      </c>
      <c r="K3578" s="133" t="s">
        <v>831</v>
      </c>
      <c r="L3578" s="167"/>
      <c r="M3578" s="48"/>
      <c r="N3578" s="123"/>
    </row>
    <row r="3579" spans="1:14" customFormat="1" x14ac:dyDescent="0.55000000000000004">
      <c r="A3579" s="132" t="s">
        <v>2447</v>
      </c>
      <c r="B3579" s="133" t="s">
        <v>2880</v>
      </c>
      <c r="C3579" s="133" t="s">
        <v>124</v>
      </c>
      <c r="D3579" s="133" t="s">
        <v>3288</v>
      </c>
      <c r="E3579" s="138">
        <v>6.6004715270221245E-8</v>
      </c>
      <c r="F3579" s="153" t="s">
        <v>135</v>
      </c>
      <c r="G3579" s="153">
        <v>1</v>
      </c>
      <c r="H3579" s="134"/>
      <c r="I3579" s="133"/>
      <c r="J3579" s="133" t="s">
        <v>2446</v>
      </c>
      <c r="K3579" s="133" t="s">
        <v>831</v>
      </c>
      <c r="L3579" s="167"/>
      <c r="M3579" s="48"/>
      <c r="N3579" s="123"/>
    </row>
    <row r="3580" spans="1:14" customFormat="1" x14ac:dyDescent="0.55000000000000004">
      <c r="A3580" s="132" t="s">
        <v>2447</v>
      </c>
      <c r="B3580" s="133" t="s">
        <v>2881</v>
      </c>
      <c r="C3580" s="133" t="s">
        <v>124</v>
      </c>
      <c r="D3580" s="133" t="s">
        <v>3288</v>
      </c>
      <c r="E3580" s="138">
        <v>1.1552412042074719E-5</v>
      </c>
      <c r="F3580" s="153" t="s">
        <v>135</v>
      </c>
      <c r="G3580" s="153">
        <v>1</v>
      </c>
      <c r="H3580" s="134"/>
      <c r="I3580" s="133"/>
      <c r="J3580" s="133" t="s">
        <v>2446</v>
      </c>
      <c r="K3580" s="133" t="s">
        <v>831</v>
      </c>
      <c r="L3580" s="167"/>
      <c r="M3580" s="48"/>
      <c r="N3580" s="123"/>
    </row>
    <row r="3581" spans="1:14" customFormat="1" x14ac:dyDescent="0.55000000000000004">
      <c r="A3581" s="132" t="s">
        <v>2447</v>
      </c>
      <c r="B3581" s="133" t="s">
        <v>2805</v>
      </c>
      <c r="C3581" s="133" t="s">
        <v>156</v>
      </c>
      <c r="D3581" s="133" t="s">
        <v>3288</v>
      </c>
      <c r="E3581" s="138">
        <v>0.10623866521581429</v>
      </c>
      <c r="F3581" s="153" t="s">
        <v>135</v>
      </c>
      <c r="G3581" s="153">
        <v>1</v>
      </c>
      <c r="H3581" s="134"/>
      <c r="I3581" s="133"/>
      <c r="J3581" s="133" t="s">
        <v>2446</v>
      </c>
      <c r="K3581" s="133" t="s">
        <v>831</v>
      </c>
      <c r="L3581" s="167"/>
      <c r="M3581" s="48"/>
      <c r="N3581" s="123"/>
    </row>
    <row r="3582" spans="1:14" customFormat="1" x14ac:dyDescent="0.55000000000000004">
      <c r="A3582" s="132" t="s">
        <v>2452</v>
      </c>
      <c r="B3582" s="133" t="s">
        <v>2882</v>
      </c>
      <c r="C3582" s="133" t="s">
        <v>121</v>
      </c>
      <c r="D3582" s="133" t="s">
        <v>2682</v>
      </c>
      <c r="E3582" s="138">
        <v>1</v>
      </c>
      <c r="F3582" s="153">
        <v>1</v>
      </c>
      <c r="G3582" s="153">
        <v>1</v>
      </c>
      <c r="H3582" s="134"/>
      <c r="I3582" s="133"/>
      <c r="J3582" s="133" t="s">
        <v>2451</v>
      </c>
      <c r="K3582" s="133" t="s">
        <v>831</v>
      </c>
      <c r="L3582" s="167"/>
      <c r="M3582" s="48"/>
      <c r="N3582" s="123"/>
    </row>
    <row r="3583" spans="1:14" customFormat="1" x14ac:dyDescent="0.55000000000000004">
      <c r="A3583" s="132" t="s">
        <v>2452</v>
      </c>
      <c r="B3583" s="133" t="s">
        <v>2870</v>
      </c>
      <c r="C3583" s="133" t="s">
        <v>348</v>
      </c>
      <c r="D3583" s="133" t="s">
        <v>3288</v>
      </c>
      <c r="E3583" s="138">
        <v>1</v>
      </c>
      <c r="F3583" s="153" t="s">
        <v>135</v>
      </c>
      <c r="G3583" s="153">
        <v>1</v>
      </c>
      <c r="H3583" s="134"/>
      <c r="I3583" s="133"/>
      <c r="J3583" s="133" t="s">
        <v>2451</v>
      </c>
      <c r="K3583" s="133" t="s">
        <v>831</v>
      </c>
      <c r="L3583" s="167"/>
      <c r="M3583" s="48"/>
      <c r="N3583" s="123"/>
    </row>
    <row r="3584" spans="1:14" customFormat="1" x14ac:dyDescent="0.55000000000000004">
      <c r="A3584" s="132" t="s">
        <v>2452</v>
      </c>
      <c r="B3584" s="133" t="s">
        <v>153</v>
      </c>
      <c r="C3584" s="133" t="s">
        <v>127</v>
      </c>
      <c r="D3584" s="133" t="s">
        <v>153</v>
      </c>
      <c r="E3584" s="138">
        <v>28.8</v>
      </c>
      <c r="F3584" s="153" t="s">
        <v>130</v>
      </c>
      <c r="G3584" s="153">
        <v>1</v>
      </c>
      <c r="H3584" s="134"/>
      <c r="I3584" s="133"/>
      <c r="J3584" s="133" t="s">
        <v>2451</v>
      </c>
      <c r="K3584" s="133" t="s">
        <v>831</v>
      </c>
      <c r="L3584" s="167"/>
      <c r="M3584" s="48"/>
      <c r="N3584" s="123"/>
    </row>
    <row r="3585" spans="1:14" customFormat="1" x14ac:dyDescent="0.55000000000000004">
      <c r="A3585" s="132" t="s">
        <v>2452</v>
      </c>
      <c r="B3585" s="133" t="s">
        <v>2699</v>
      </c>
      <c r="C3585" s="133" t="s">
        <v>156</v>
      </c>
      <c r="D3585" s="133" t="s">
        <v>3288</v>
      </c>
      <c r="E3585" s="138">
        <v>0.71330000000000005</v>
      </c>
      <c r="F3585" s="153" t="s">
        <v>135</v>
      </c>
      <c r="G3585" s="153">
        <v>1</v>
      </c>
      <c r="H3585" s="134"/>
      <c r="I3585" s="133"/>
      <c r="J3585" s="133" t="s">
        <v>2451</v>
      </c>
      <c r="K3585" s="133" t="s">
        <v>831</v>
      </c>
      <c r="L3585" s="167"/>
      <c r="M3585" s="48"/>
      <c r="N3585" s="123"/>
    </row>
    <row r="3586" spans="1:14" customFormat="1" x14ac:dyDescent="0.55000000000000004">
      <c r="A3586" s="132" t="s">
        <v>2452</v>
      </c>
      <c r="B3586" s="133" t="s">
        <v>2700</v>
      </c>
      <c r="C3586" s="133" t="s">
        <v>156</v>
      </c>
      <c r="D3586" s="133" t="s">
        <v>3288</v>
      </c>
      <c r="E3586" s="138">
        <v>2.6100000000000002E-2</v>
      </c>
      <c r="F3586" s="153" t="s">
        <v>135</v>
      </c>
      <c r="G3586" s="153">
        <v>1</v>
      </c>
      <c r="H3586" s="134"/>
      <c r="I3586" s="133"/>
      <c r="J3586" s="133" t="s">
        <v>2451</v>
      </c>
      <c r="K3586" s="133" t="s">
        <v>831</v>
      </c>
      <c r="L3586" s="167"/>
      <c r="M3586" s="48"/>
      <c r="N3586" s="123"/>
    </row>
    <row r="3587" spans="1:14" customFormat="1" x14ac:dyDescent="0.55000000000000004">
      <c r="A3587" s="132" t="s">
        <v>2452</v>
      </c>
      <c r="B3587" s="133" t="s">
        <v>2884</v>
      </c>
      <c r="C3587" s="133" t="s">
        <v>163</v>
      </c>
      <c r="D3587" s="133" t="s">
        <v>3288</v>
      </c>
      <c r="E3587" s="138">
        <v>6.8600000000000008E-2</v>
      </c>
      <c r="F3587" s="153" t="s">
        <v>135</v>
      </c>
      <c r="G3587" s="153">
        <v>1</v>
      </c>
      <c r="H3587" s="134"/>
      <c r="I3587" s="133"/>
      <c r="J3587" s="133" t="s">
        <v>2451</v>
      </c>
      <c r="K3587" s="133" t="s">
        <v>831</v>
      </c>
      <c r="L3587" s="167"/>
      <c r="M3587" s="48"/>
      <c r="N3587" s="123"/>
    </row>
    <row r="3588" spans="1:14" customFormat="1" x14ac:dyDescent="0.55000000000000004">
      <c r="A3588" s="132" t="s">
        <v>2452</v>
      </c>
      <c r="B3588" s="133" t="s">
        <v>2885</v>
      </c>
      <c r="C3588" s="133" t="s">
        <v>132</v>
      </c>
      <c r="D3588" s="133" t="s">
        <v>3288</v>
      </c>
      <c r="E3588" s="138">
        <v>5.7</v>
      </c>
      <c r="F3588" s="153" t="s">
        <v>128</v>
      </c>
      <c r="G3588" s="153">
        <v>1</v>
      </c>
      <c r="H3588" s="134"/>
      <c r="I3588" s="133"/>
      <c r="J3588" s="133" t="s">
        <v>2451</v>
      </c>
      <c r="K3588" s="133" t="s">
        <v>831</v>
      </c>
      <c r="L3588" s="167"/>
      <c r="M3588" s="48"/>
      <c r="N3588" s="123"/>
    </row>
    <row r="3589" spans="1:14" customFormat="1" x14ac:dyDescent="0.55000000000000004">
      <c r="A3589" s="132" t="s">
        <v>2452</v>
      </c>
      <c r="B3589" s="133" t="s">
        <v>2805</v>
      </c>
      <c r="C3589" s="133" t="s">
        <v>156</v>
      </c>
      <c r="D3589" s="133" t="s">
        <v>3288</v>
      </c>
      <c r="E3589" s="138">
        <v>0.19209999999999999</v>
      </c>
      <c r="F3589" s="153" t="s">
        <v>135</v>
      </c>
      <c r="G3589" s="153">
        <v>1</v>
      </c>
      <c r="H3589" s="134"/>
      <c r="I3589" s="133"/>
      <c r="J3589" s="133" t="s">
        <v>2451</v>
      </c>
      <c r="K3589" s="133" t="s">
        <v>831</v>
      </c>
      <c r="L3589" s="167"/>
      <c r="M3589" s="48"/>
      <c r="N3589" s="123"/>
    </row>
    <row r="3590" spans="1:14" customFormat="1" x14ac:dyDescent="0.55000000000000004">
      <c r="A3590" s="132" t="s">
        <v>2452</v>
      </c>
      <c r="B3590" s="133" t="s">
        <v>160</v>
      </c>
      <c r="C3590" s="133" t="s">
        <v>124</v>
      </c>
      <c r="D3590" s="133" t="s">
        <v>3288</v>
      </c>
      <c r="E3590" s="138">
        <v>8.6E-3</v>
      </c>
      <c r="F3590" s="153" t="s">
        <v>135</v>
      </c>
      <c r="G3590" s="153">
        <v>1</v>
      </c>
      <c r="H3590" s="134"/>
      <c r="I3590" s="133"/>
      <c r="J3590" s="133" t="s">
        <v>2451</v>
      </c>
      <c r="K3590" s="133" t="s">
        <v>831</v>
      </c>
      <c r="L3590" s="167"/>
      <c r="M3590" s="48"/>
      <c r="N3590" s="123"/>
    </row>
    <row r="3591" spans="1:14" customFormat="1" x14ac:dyDescent="0.55000000000000004">
      <c r="A3591" s="132" t="s">
        <v>2452</v>
      </c>
      <c r="B3591" s="133" t="s">
        <v>2880</v>
      </c>
      <c r="C3591" s="133" t="s">
        <v>124</v>
      </c>
      <c r="D3591" s="133" t="s">
        <v>3288</v>
      </c>
      <c r="E3591" s="138">
        <v>3.2299999999999999E-5</v>
      </c>
      <c r="F3591" s="153" t="s">
        <v>135</v>
      </c>
      <c r="G3591" s="153">
        <v>1</v>
      </c>
      <c r="H3591" s="134"/>
      <c r="I3591" s="133"/>
      <c r="J3591" s="133" t="s">
        <v>2451</v>
      </c>
      <c r="K3591" s="133" t="s">
        <v>831</v>
      </c>
      <c r="L3591" s="167"/>
      <c r="M3591" s="48"/>
      <c r="N3591" s="123"/>
    </row>
    <row r="3592" spans="1:14" customFormat="1" x14ac:dyDescent="0.55000000000000004">
      <c r="A3592" s="132" t="s">
        <v>2452</v>
      </c>
      <c r="B3592" s="133" t="s">
        <v>2886</v>
      </c>
      <c r="C3592" s="133" t="s">
        <v>124</v>
      </c>
      <c r="D3592" s="133" t="s">
        <v>3288</v>
      </c>
      <c r="E3592" s="138">
        <v>1.11E-5</v>
      </c>
      <c r="F3592" s="153" t="s">
        <v>135</v>
      </c>
      <c r="G3592" s="153">
        <v>1</v>
      </c>
      <c r="H3592" s="134"/>
      <c r="I3592" s="133"/>
      <c r="J3592" s="133" t="s">
        <v>2451</v>
      </c>
      <c r="K3592" s="133" t="s">
        <v>831</v>
      </c>
      <c r="L3592" s="167"/>
      <c r="M3592" s="48"/>
      <c r="N3592" s="123"/>
    </row>
    <row r="3593" spans="1:14" customFormat="1" x14ac:dyDescent="0.55000000000000004">
      <c r="A3593" s="132" t="s">
        <v>2452</v>
      </c>
      <c r="B3593" s="133" t="s">
        <v>2887</v>
      </c>
      <c r="C3593" s="133" t="s">
        <v>124</v>
      </c>
      <c r="D3593" s="133" t="s">
        <v>3288</v>
      </c>
      <c r="E3593" s="138">
        <v>1.5699999999999999E-5</v>
      </c>
      <c r="F3593" s="153" t="s">
        <v>135</v>
      </c>
      <c r="G3593" s="153">
        <v>1</v>
      </c>
      <c r="H3593" s="134"/>
      <c r="I3593" s="133"/>
      <c r="J3593" s="133" t="s">
        <v>2451</v>
      </c>
      <c r="K3593" s="133" t="s">
        <v>831</v>
      </c>
      <c r="L3593" s="167"/>
      <c r="M3593" s="48"/>
      <c r="N3593" s="123"/>
    </row>
    <row r="3594" spans="1:14" customFormat="1" x14ac:dyDescent="0.55000000000000004">
      <c r="A3594" s="132" t="s">
        <v>2456</v>
      </c>
      <c r="B3594" s="133" t="s">
        <v>2888</v>
      </c>
      <c r="C3594" s="133" t="s">
        <v>121</v>
      </c>
      <c r="D3594" s="133" t="s">
        <v>2682</v>
      </c>
      <c r="E3594" s="138">
        <v>1</v>
      </c>
      <c r="F3594" s="153">
        <v>1</v>
      </c>
      <c r="G3594" s="153">
        <v>1</v>
      </c>
      <c r="H3594" s="133"/>
      <c r="I3594" s="133"/>
      <c r="J3594" s="133" t="s">
        <v>2455</v>
      </c>
      <c r="K3594" s="133" t="s">
        <v>831</v>
      </c>
      <c r="L3594" s="167"/>
      <c r="M3594" s="48"/>
      <c r="N3594" s="123"/>
    </row>
    <row r="3595" spans="1:14" customFormat="1" x14ac:dyDescent="0.55000000000000004">
      <c r="A3595" s="132" t="s">
        <v>2456</v>
      </c>
      <c r="B3595" s="133" t="s">
        <v>2889</v>
      </c>
      <c r="C3595" s="133" t="s">
        <v>348</v>
      </c>
      <c r="D3595" s="133" t="s">
        <v>3288</v>
      </c>
      <c r="E3595" s="138">
        <v>1</v>
      </c>
      <c r="F3595" s="153" t="s">
        <v>135</v>
      </c>
      <c r="G3595" s="153">
        <v>1</v>
      </c>
      <c r="H3595" s="133"/>
      <c r="I3595" s="133"/>
      <c r="J3595" s="133" t="s">
        <v>2455</v>
      </c>
      <c r="K3595" s="133" t="s">
        <v>831</v>
      </c>
      <c r="L3595" s="167"/>
      <c r="M3595" s="48"/>
      <c r="N3595" s="123"/>
    </row>
    <row r="3596" spans="1:14" customFormat="1" x14ac:dyDescent="0.55000000000000004">
      <c r="A3596" s="132" t="s">
        <v>2456</v>
      </c>
      <c r="B3596" s="133" t="s">
        <v>153</v>
      </c>
      <c r="C3596" s="133" t="s">
        <v>127</v>
      </c>
      <c r="D3596" s="133" t="s">
        <v>2994</v>
      </c>
      <c r="E3596" s="138">
        <v>23.1</v>
      </c>
      <c r="F3596" s="153" t="s">
        <v>130</v>
      </c>
      <c r="G3596" s="153">
        <v>1</v>
      </c>
      <c r="H3596" s="133"/>
      <c r="I3596" s="133"/>
      <c r="J3596" s="133" t="s">
        <v>2455</v>
      </c>
      <c r="K3596" s="133" t="s">
        <v>831</v>
      </c>
      <c r="L3596" s="167"/>
      <c r="M3596" s="48"/>
      <c r="N3596" s="123"/>
    </row>
    <row r="3597" spans="1:14" customFormat="1" x14ac:dyDescent="0.55000000000000004">
      <c r="A3597" s="132" t="s">
        <v>2456</v>
      </c>
      <c r="B3597" s="133" t="s">
        <v>2870</v>
      </c>
      <c r="C3597" s="133" t="s">
        <v>156</v>
      </c>
      <c r="D3597" s="133" t="s">
        <v>3288</v>
      </c>
      <c r="E3597" s="138">
        <v>0.88400000000000001</v>
      </c>
      <c r="F3597" s="153" t="s">
        <v>135</v>
      </c>
      <c r="G3597" s="153">
        <v>1</v>
      </c>
      <c r="H3597" s="133"/>
      <c r="I3597" s="133"/>
      <c r="J3597" s="133" t="s">
        <v>2455</v>
      </c>
      <c r="K3597" s="133" t="s">
        <v>831</v>
      </c>
      <c r="L3597" s="167"/>
      <c r="M3597" s="48"/>
      <c r="N3597" s="123"/>
    </row>
    <row r="3598" spans="1:14" customFormat="1" x14ac:dyDescent="0.55000000000000004">
      <c r="A3598" s="132" t="s">
        <v>2456</v>
      </c>
      <c r="B3598" s="133" t="s">
        <v>2890</v>
      </c>
      <c r="C3598" s="133" t="s">
        <v>156</v>
      </c>
      <c r="D3598" s="133" t="s">
        <v>3288</v>
      </c>
      <c r="E3598" s="138">
        <v>5.3E-3</v>
      </c>
      <c r="F3598" s="153" t="s">
        <v>135</v>
      </c>
      <c r="G3598" s="153">
        <v>1</v>
      </c>
      <c r="H3598" s="133"/>
      <c r="I3598" s="133" t="s">
        <v>2891</v>
      </c>
      <c r="J3598" s="133" t="s">
        <v>2455</v>
      </c>
      <c r="K3598" s="133" t="s">
        <v>831</v>
      </c>
      <c r="L3598" s="167"/>
      <c r="M3598" s="48"/>
      <c r="N3598" s="123"/>
    </row>
    <row r="3599" spans="1:14" customFormat="1" x14ac:dyDescent="0.55000000000000004">
      <c r="A3599" s="132" t="s">
        <v>2456</v>
      </c>
      <c r="B3599" s="133" t="s">
        <v>2892</v>
      </c>
      <c r="C3599" s="133" t="s">
        <v>156</v>
      </c>
      <c r="D3599" s="133" t="s">
        <v>3288</v>
      </c>
      <c r="E3599" s="138">
        <v>1.1479372197309417E-2</v>
      </c>
      <c r="F3599" s="153" t="s">
        <v>135</v>
      </c>
      <c r="G3599" s="153">
        <v>1</v>
      </c>
      <c r="H3599" s="133"/>
      <c r="I3599" s="133" t="s">
        <v>2893</v>
      </c>
      <c r="J3599" s="133" t="s">
        <v>2455</v>
      </c>
      <c r="K3599" s="133" t="s">
        <v>831</v>
      </c>
      <c r="L3599" s="167"/>
      <c r="M3599" s="48"/>
      <c r="N3599" s="123"/>
    </row>
    <row r="3600" spans="1:14" customFormat="1" x14ac:dyDescent="0.55000000000000004">
      <c r="A3600" s="132" t="s">
        <v>2456</v>
      </c>
      <c r="B3600" s="133" t="s">
        <v>2894</v>
      </c>
      <c r="C3600" s="133" t="s">
        <v>156</v>
      </c>
      <c r="D3600" s="133" t="s">
        <v>3288</v>
      </c>
      <c r="E3600" s="138">
        <v>2.3206278026905829E-3</v>
      </c>
      <c r="F3600" s="153" t="s">
        <v>135</v>
      </c>
      <c r="G3600" s="153">
        <v>1</v>
      </c>
      <c r="H3600" s="133"/>
      <c r="I3600" s="133" t="s">
        <v>2893</v>
      </c>
      <c r="J3600" s="133" t="s">
        <v>2455</v>
      </c>
      <c r="K3600" s="133" t="s">
        <v>831</v>
      </c>
      <c r="L3600" s="167"/>
      <c r="M3600" s="48"/>
      <c r="N3600" s="123"/>
    </row>
    <row r="3601" spans="1:14" customFormat="1" x14ac:dyDescent="0.55000000000000004">
      <c r="A3601" s="132" t="s">
        <v>2456</v>
      </c>
      <c r="B3601" s="133" t="s">
        <v>2895</v>
      </c>
      <c r="C3601" s="133" t="s">
        <v>156</v>
      </c>
      <c r="D3601" s="133" t="s">
        <v>3288</v>
      </c>
      <c r="E3601" s="138">
        <v>2.3662058023572081E-3</v>
      </c>
      <c r="F3601" s="153" t="s">
        <v>135</v>
      </c>
      <c r="G3601" s="153">
        <v>1</v>
      </c>
      <c r="H3601" s="133"/>
      <c r="I3601" s="133"/>
      <c r="J3601" s="133" t="s">
        <v>2455</v>
      </c>
      <c r="K3601" s="133" t="s">
        <v>831</v>
      </c>
      <c r="L3601" s="167"/>
      <c r="M3601" s="48"/>
      <c r="N3601" s="123"/>
    </row>
    <row r="3602" spans="1:14" customFormat="1" x14ac:dyDescent="0.55000000000000004">
      <c r="A3602" s="132" t="s">
        <v>2456</v>
      </c>
      <c r="B3602" s="133" t="s">
        <v>2896</v>
      </c>
      <c r="C3602" s="133" t="s">
        <v>156</v>
      </c>
      <c r="D3602" s="133" t="s">
        <v>3288</v>
      </c>
      <c r="E3602" s="138">
        <v>9.4825475974614683E-3</v>
      </c>
      <c r="F3602" s="153" t="s">
        <v>135</v>
      </c>
      <c r="G3602" s="153">
        <v>1</v>
      </c>
      <c r="H3602" s="133"/>
      <c r="I3602" s="133"/>
      <c r="J3602" s="133" t="s">
        <v>2455</v>
      </c>
      <c r="K3602" s="133" t="s">
        <v>831</v>
      </c>
      <c r="L3602" s="167"/>
      <c r="M3602" s="48"/>
      <c r="N3602" s="123"/>
    </row>
    <row r="3603" spans="1:14" customFormat="1" x14ac:dyDescent="0.55000000000000004">
      <c r="A3603" s="132" t="s">
        <v>2456</v>
      </c>
      <c r="B3603" s="133" t="s">
        <v>2897</v>
      </c>
      <c r="C3603" s="133" t="s">
        <v>156</v>
      </c>
      <c r="D3603" s="133" t="s">
        <v>3288</v>
      </c>
      <c r="E3603" s="138">
        <v>4.7412737987307342E-3</v>
      </c>
      <c r="F3603" s="153" t="s">
        <v>135</v>
      </c>
      <c r="G3603" s="153">
        <v>1</v>
      </c>
      <c r="H3603" s="133"/>
      <c r="I3603" s="133"/>
      <c r="J3603" s="133" t="s">
        <v>2455</v>
      </c>
      <c r="K3603" s="133" t="s">
        <v>831</v>
      </c>
      <c r="L3603" s="167"/>
      <c r="M3603" s="48"/>
      <c r="N3603" s="123"/>
    </row>
    <row r="3604" spans="1:14" customFormat="1" x14ac:dyDescent="0.55000000000000004">
      <c r="A3604" s="132" t="s">
        <v>2456</v>
      </c>
      <c r="B3604" s="133" t="s">
        <v>2898</v>
      </c>
      <c r="C3604" s="133" t="s">
        <v>156</v>
      </c>
      <c r="D3604" s="133" t="s">
        <v>3288</v>
      </c>
      <c r="E3604" s="138">
        <v>2.3662058023572081E-3</v>
      </c>
      <c r="F3604" s="153" t="s">
        <v>135</v>
      </c>
      <c r="G3604" s="153">
        <v>1</v>
      </c>
      <c r="H3604" s="133"/>
      <c r="I3604" s="133"/>
      <c r="J3604" s="133" t="s">
        <v>2455</v>
      </c>
      <c r="K3604" s="133" t="s">
        <v>831</v>
      </c>
      <c r="L3604" s="167"/>
      <c r="M3604" s="48"/>
      <c r="N3604" s="123"/>
    </row>
    <row r="3605" spans="1:14" customFormat="1" x14ac:dyDescent="0.55000000000000004">
      <c r="A3605" s="132" t="s">
        <v>2456</v>
      </c>
      <c r="B3605" s="133" t="s">
        <v>2899</v>
      </c>
      <c r="C3605" s="133" t="s">
        <v>156</v>
      </c>
      <c r="D3605" s="133" t="s">
        <v>3288</v>
      </c>
      <c r="E3605" s="138">
        <v>4.7412737987307342E-3</v>
      </c>
      <c r="F3605" s="153" t="s">
        <v>135</v>
      </c>
      <c r="G3605" s="153">
        <v>1</v>
      </c>
      <c r="H3605" s="133"/>
      <c r="I3605" s="133"/>
      <c r="J3605" s="133" t="s">
        <v>2455</v>
      </c>
      <c r="K3605" s="133" t="s">
        <v>831</v>
      </c>
      <c r="L3605" s="167"/>
      <c r="M3605" s="48"/>
      <c r="N3605" s="123"/>
    </row>
    <row r="3606" spans="1:14" customFormat="1" x14ac:dyDescent="0.55000000000000004">
      <c r="A3606" s="132" t="s">
        <v>2456</v>
      </c>
      <c r="B3606" s="133" t="s">
        <v>2900</v>
      </c>
      <c r="C3606" s="133" t="s">
        <v>156</v>
      </c>
      <c r="D3606" s="133" t="s">
        <v>3288</v>
      </c>
      <c r="E3606" s="138">
        <v>9.4825475974614683E-3</v>
      </c>
      <c r="F3606" s="153" t="s">
        <v>135</v>
      </c>
      <c r="G3606" s="153">
        <v>1</v>
      </c>
      <c r="H3606" s="133"/>
      <c r="I3606" s="133"/>
      <c r="J3606" s="133" t="s">
        <v>2455</v>
      </c>
      <c r="K3606" s="133" t="s">
        <v>831</v>
      </c>
      <c r="L3606" s="167"/>
      <c r="M3606" s="48"/>
      <c r="N3606" s="123"/>
    </row>
    <row r="3607" spans="1:14" customFormat="1" x14ac:dyDescent="0.55000000000000004">
      <c r="A3607" s="132" t="s">
        <v>2456</v>
      </c>
      <c r="B3607" s="133" t="s">
        <v>2901</v>
      </c>
      <c r="C3607" s="133" t="s">
        <v>156</v>
      </c>
      <c r="D3607" s="133" t="s">
        <v>3288</v>
      </c>
      <c r="E3607" s="138">
        <v>5.9199456029011789E-3</v>
      </c>
      <c r="F3607" s="153" t="s">
        <v>135</v>
      </c>
      <c r="G3607" s="153">
        <v>1</v>
      </c>
      <c r="H3607" s="133"/>
      <c r="I3607" s="133"/>
      <c r="J3607" s="133" t="s">
        <v>2455</v>
      </c>
      <c r="K3607" s="133" t="s">
        <v>831</v>
      </c>
      <c r="L3607" s="167"/>
      <c r="M3607" s="48"/>
      <c r="N3607" s="123"/>
    </row>
    <row r="3608" spans="1:14" customFormat="1" x14ac:dyDescent="0.55000000000000004">
      <c r="A3608" s="132" t="s">
        <v>2456</v>
      </c>
      <c r="B3608" s="133" t="s">
        <v>2902</v>
      </c>
      <c r="C3608" s="133" t="s">
        <v>156</v>
      </c>
      <c r="D3608" s="133" t="s">
        <v>3288</v>
      </c>
      <c r="E3608" s="138">
        <v>3.9999999999999996E-4</v>
      </c>
      <c r="F3608" s="153" t="s">
        <v>135</v>
      </c>
      <c r="G3608" s="153">
        <v>1</v>
      </c>
      <c r="H3608" s="133"/>
      <c r="I3608" s="133"/>
      <c r="J3608" s="133" t="s">
        <v>2455</v>
      </c>
      <c r="K3608" s="133" t="s">
        <v>831</v>
      </c>
      <c r="L3608" s="167"/>
      <c r="M3608" s="48"/>
      <c r="N3608" s="123"/>
    </row>
    <row r="3609" spans="1:14" customFormat="1" x14ac:dyDescent="0.55000000000000004">
      <c r="A3609" s="132" t="s">
        <v>2456</v>
      </c>
      <c r="B3609" s="133" t="s">
        <v>2903</v>
      </c>
      <c r="C3609" s="133" t="s">
        <v>156</v>
      </c>
      <c r="D3609" s="133" t="s">
        <v>3288</v>
      </c>
      <c r="E3609" s="138">
        <v>3.9999999999999996E-4</v>
      </c>
      <c r="F3609" s="153" t="s">
        <v>135</v>
      </c>
      <c r="G3609" s="153">
        <v>1</v>
      </c>
      <c r="H3609" s="133"/>
      <c r="I3609" s="133"/>
      <c r="J3609" s="133" t="s">
        <v>2455</v>
      </c>
      <c r="K3609" s="133" t="s">
        <v>831</v>
      </c>
      <c r="L3609" s="167"/>
      <c r="M3609" s="48"/>
      <c r="N3609" s="123"/>
    </row>
    <row r="3610" spans="1:14" customFormat="1" x14ac:dyDescent="0.55000000000000004">
      <c r="A3610" s="132" t="s">
        <v>2456</v>
      </c>
      <c r="B3610" s="133" t="s">
        <v>2904</v>
      </c>
      <c r="C3610" s="133" t="s">
        <v>156</v>
      </c>
      <c r="D3610" s="133" t="s">
        <v>3288</v>
      </c>
      <c r="E3610" s="138">
        <v>3.9999999999999996E-4</v>
      </c>
      <c r="F3610" s="153" t="s">
        <v>135</v>
      </c>
      <c r="G3610" s="153">
        <v>1</v>
      </c>
      <c r="H3610" s="133"/>
      <c r="I3610" s="133"/>
      <c r="J3610" s="133" t="s">
        <v>2455</v>
      </c>
      <c r="K3610" s="133" t="s">
        <v>831</v>
      </c>
      <c r="L3610" s="167"/>
      <c r="M3610" s="48"/>
      <c r="N3610" s="123"/>
    </row>
    <row r="3611" spans="1:14" customFormat="1" x14ac:dyDescent="0.55000000000000004">
      <c r="A3611" s="132" t="s">
        <v>2456</v>
      </c>
      <c r="B3611" s="133" t="s">
        <v>2905</v>
      </c>
      <c r="C3611" s="133" t="s">
        <v>156</v>
      </c>
      <c r="D3611" s="133" t="s">
        <v>3288</v>
      </c>
      <c r="E3611" s="138">
        <v>5.6027400000000005E-2</v>
      </c>
      <c r="F3611" s="153" t="s">
        <v>135</v>
      </c>
      <c r="G3611" s="153">
        <v>1</v>
      </c>
      <c r="H3611" s="133"/>
      <c r="I3611" s="133"/>
      <c r="J3611" s="133" t="s">
        <v>2455</v>
      </c>
      <c r="K3611" s="133" t="s">
        <v>831</v>
      </c>
      <c r="L3611" s="167"/>
      <c r="M3611" s="48"/>
      <c r="N3611" s="123"/>
    </row>
    <row r="3612" spans="1:14" customFormat="1" x14ac:dyDescent="0.55000000000000004">
      <c r="A3612" s="132" t="s">
        <v>2456</v>
      </c>
      <c r="B3612" s="133" t="s">
        <v>2906</v>
      </c>
      <c r="C3612" s="133" t="s">
        <v>156</v>
      </c>
      <c r="D3612" s="133" t="s">
        <v>3288</v>
      </c>
      <c r="E3612" s="138">
        <v>1.1725999999999959E-3</v>
      </c>
      <c r="F3612" s="153" t="s">
        <v>135</v>
      </c>
      <c r="G3612" s="153">
        <v>1</v>
      </c>
      <c r="H3612" s="133"/>
      <c r="I3612" s="133"/>
      <c r="J3612" s="133" t="s">
        <v>2455</v>
      </c>
      <c r="K3612" s="133" t="s">
        <v>831</v>
      </c>
      <c r="L3612" s="167"/>
      <c r="M3612" s="48"/>
      <c r="N3612" s="123"/>
    </row>
    <row r="3613" spans="1:14" customFormat="1" x14ac:dyDescent="0.55000000000000004">
      <c r="A3613" s="132" t="s">
        <v>2456</v>
      </c>
      <c r="B3613" s="133" t="s">
        <v>160</v>
      </c>
      <c r="C3613" s="133" t="s">
        <v>124</v>
      </c>
      <c r="D3613" s="133" t="s">
        <v>3288</v>
      </c>
      <c r="E3613" s="138">
        <v>6.8999999999999999E-3</v>
      </c>
      <c r="F3613" s="153" t="s">
        <v>135</v>
      </c>
      <c r="G3613" s="153">
        <v>1</v>
      </c>
      <c r="H3613" s="133"/>
      <c r="I3613" s="133"/>
      <c r="J3613" s="133" t="s">
        <v>2455</v>
      </c>
      <c r="K3613" s="133" t="s">
        <v>831</v>
      </c>
      <c r="L3613" s="167"/>
      <c r="M3613" s="48"/>
      <c r="N3613" s="123"/>
    </row>
    <row r="3614" spans="1:14" customFormat="1" x14ac:dyDescent="0.55000000000000004">
      <c r="A3614" s="132" t="s">
        <v>2456</v>
      </c>
      <c r="B3614" s="133" t="s">
        <v>2880</v>
      </c>
      <c r="C3614" s="133" t="s">
        <v>124</v>
      </c>
      <c r="D3614" s="133" t="s">
        <v>3288</v>
      </c>
      <c r="E3614" s="138">
        <v>2.5899999999999999E-5</v>
      </c>
      <c r="F3614" s="153" t="s">
        <v>135</v>
      </c>
      <c r="G3614" s="153">
        <v>1</v>
      </c>
      <c r="H3614" s="133"/>
      <c r="I3614" s="133"/>
      <c r="J3614" s="133" t="s">
        <v>2455</v>
      </c>
      <c r="K3614" s="133" t="s">
        <v>831</v>
      </c>
      <c r="L3614" s="167"/>
      <c r="M3614" s="48"/>
      <c r="N3614" s="123"/>
    </row>
    <row r="3615" spans="1:14" customFormat="1" x14ac:dyDescent="0.55000000000000004">
      <c r="A3615" s="132" t="s">
        <v>2456</v>
      </c>
      <c r="B3615" s="133" t="s">
        <v>2886</v>
      </c>
      <c r="C3615" s="133" t="s">
        <v>124</v>
      </c>
      <c r="D3615" s="133" t="s">
        <v>3288</v>
      </c>
      <c r="E3615" s="138">
        <v>8.9000000000000012E-6</v>
      </c>
      <c r="F3615" s="153" t="s">
        <v>135</v>
      </c>
      <c r="G3615" s="153">
        <v>1</v>
      </c>
      <c r="H3615" s="133"/>
      <c r="I3615" s="133"/>
      <c r="J3615" s="133" t="s">
        <v>2455</v>
      </c>
      <c r="K3615" s="133" t="s">
        <v>831</v>
      </c>
      <c r="L3615" s="167"/>
      <c r="M3615" s="48"/>
      <c r="N3615" s="123"/>
    </row>
    <row r="3616" spans="1:14" customFormat="1" x14ac:dyDescent="0.55000000000000004">
      <c r="A3616" s="132" t="s">
        <v>2460</v>
      </c>
      <c r="B3616" s="133" t="s">
        <v>2907</v>
      </c>
      <c r="C3616" s="133" t="s">
        <v>121</v>
      </c>
      <c r="D3616" s="133" t="s">
        <v>2682</v>
      </c>
      <c r="E3616" s="138">
        <v>1</v>
      </c>
      <c r="F3616" s="153">
        <v>1</v>
      </c>
      <c r="G3616" s="153">
        <v>1</v>
      </c>
      <c r="H3616" s="133"/>
      <c r="I3616" s="133"/>
      <c r="J3616" s="133" t="s">
        <v>2459</v>
      </c>
      <c r="K3616" s="133" t="s">
        <v>831</v>
      </c>
      <c r="L3616" s="167"/>
      <c r="M3616" s="48"/>
      <c r="N3616" s="123"/>
    </row>
    <row r="3617" spans="1:14" customFormat="1" x14ac:dyDescent="0.55000000000000004">
      <c r="A3617" s="132" t="s">
        <v>2460</v>
      </c>
      <c r="B3617" s="133" t="s">
        <v>2908</v>
      </c>
      <c r="C3617" s="133" t="s">
        <v>348</v>
      </c>
      <c r="D3617" s="133" t="s">
        <v>3288</v>
      </c>
      <c r="E3617" s="138">
        <v>1</v>
      </c>
      <c r="F3617" s="153" t="s">
        <v>135</v>
      </c>
      <c r="G3617" s="153">
        <v>1</v>
      </c>
      <c r="H3617" s="133"/>
      <c r="I3617" s="133"/>
      <c r="J3617" s="133" t="s">
        <v>2459</v>
      </c>
      <c r="K3617" s="133" t="s">
        <v>831</v>
      </c>
      <c r="L3617" s="167"/>
      <c r="M3617" s="48"/>
      <c r="N3617" s="123"/>
    </row>
    <row r="3618" spans="1:14" customFormat="1" x14ac:dyDescent="0.55000000000000004">
      <c r="A3618" s="132" t="s">
        <v>2460</v>
      </c>
      <c r="B3618" s="133" t="s">
        <v>153</v>
      </c>
      <c r="C3618" s="133" t="s">
        <v>127</v>
      </c>
      <c r="D3618" s="133" t="s">
        <v>2994</v>
      </c>
      <c r="E3618" s="138">
        <v>439.6</v>
      </c>
      <c r="F3618" s="153" t="s">
        <v>130</v>
      </c>
      <c r="G3618" s="153">
        <v>1</v>
      </c>
      <c r="H3618" s="133"/>
      <c r="I3618" s="133"/>
      <c r="J3618" s="133" t="s">
        <v>2459</v>
      </c>
      <c r="K3618" s="133" t="s">
        <v>831</v>
      </c>
      <c r="L3618" s="167"/>
      <c r="M3618" s="48"/>
      <c r="N3618" s="123"/>
    </row>
    <row r="3619" spans="1:14" customFormat="1" x14ac:dyDescent="0.55000000000000004">
      <c r="A3619" s="132" t="s">
        <v>2460</v>
      </c>
      <c r="B3619" s="133" t="s">
        <v>171</v>
      </c>
      <c r="C3619" s="133" t="s">
        <v>127</v>
      </c>
      <c r="D3619" s="133" t="s">
        <v>3289</v>
      </c>
      <c r="E3619" s="138">
        <v>91.92</v>
      </c>
      <c r="F3619" s="153" t="s">
        <v>133</v>
      </c>
      <c r="G3619" s="153">
        <v>1</v>
      </c>
      <c r="H3619" s="133"/>
      <c r="I3619" s="133"/>
      <c r="J3619" s="133" t="s">
        <v>2459</v>
      </c>
      <c r="K3619" s="133" t="s">
        <v>831</v>
      </c>
      <c r="L3619" s="167"/>
      <c r="M3619" s="48"/>
      <c r="N3619" s="123"/>
    </row>
    <row r="3620" spans="1:14" customFormat="1" x14ac:dyDescent="0.55000000000000004">
      <c r="A3620" s="132" t="s">
        <v>2460</v>
      </c>
      <c r="B3620" s="133" t="s">
        <v>154</v>
      </c>
      <c r="C3620" s="133" t="s">
        <v>132</v>
      </c>
      <c r="D3620" s="133" t="s">
        <v>3289</v>
      </c>
      <c r="E3620" s="138">
        <v>2.77</v>
      </c>
      <c r="F3620" s="153" t="s">
        <v>133</v>
      </c>
      <c r="G3620" s="153">
        <v>1</v>
      </c>
      <c r="H3620" s="133"/>
      <c r="I3620" s="133"/>
      <c r="J3620" s="133" t="s">
        <v>2459</v>
      </c>
      <c r="K3620" s="133" t="s">
        <v>831</v>
      </c>
      <c r="L3620" s="167"/>
      <c r="M3620" s="48"/>
      <c r="N3620" s="123"/>
    </row>
    <row r="3621" spans="1:14" customFormat="1" x14ac:dyDescent="0.55000000000000004">
      <c r="A3621" s="132" t="s">
        <v>2460</v>
      </c>
      <c r="B3621" s="133" t="s">
        <v>173</v>
      </c>
      <c r="C3621" s="133" t="s">
        <v>348</v>
      </c>
      <c r="D3621" s="133" t="s">
        <v>3288</v>
      </c>
      <c r="E3621" s="138">
        <v>7.7999999999999999E-4</v>
      </c>
      <c r="F3621" s="153" t="s">
        <v>135</v>
      </c>
      <c r="G3621" s="153">
        <v>1</v>
      </c>
      <c r="H3621" s="133"/>
      <c r="I3621" s="133"/>
      <c r="J3621" s="133" t="s">
        <v>2459</v>
      </c>
      <c r="K3621" s="133" t="s">
        <v>831</v>
      </c>
      <c r="L3621" s="167"/>
      <c r="M3621" s="48"/>
      <c r="N3621" s="123"/>
    </row>
    <row r="3622" spans="1:14" customFormat="1" x14ac:dyDescent="0.55000000000000004">
      <c r="A3622" s="132" t="s">
        <v>2460</v>
      </c>
      <c r="B3622" s="133" t="s">
        <v>262</v>
      </c>
      <c r="C3622" s="133" t="s">
        <v>127</v>
      </c>
      <c r="D3622" s="133" t="s">
        <v>3288</v>
      </c>
      <c r="E3622" s="138">
        <v>1.8100000000000002E-2</v>
      </c>
      <c r="F3622" s="153" t="s">
        <v>135</v>
      </c>
      <c r="G3622" s="153">
        <v>1</v>
      </c>
      <c r="H3622" s="133"/>
      <c r="I3622" s="133"/>
      <c r="J3622" s="133" t="s">
        <v>2459</v>
      </c>
      <c r="K3622" s="133" t="s">
        <v>831</v>
      </c>
      <c r="L3622" s="167"/>
      <c r="M3622" s="48"/>
      <c r="N3622" s="123"/>
    </row>
    <row r="3623" spans="1:14" customFormat="1" x14ac:dyDescent="0.55000000000000004">
      <c r="A3623" s="132" t="s">
        <v>2460</v>
      </c>
      <c r="B3623" s="133" t="s">
        <v>2909</v>
      </c>
      <c r="C3623" s="133" t="s">
        <v>156</v>
      </c>
      <c r="D3623" s="133" t="s">
        <v>3288</v>
      </c>
      <c r="E3623" s="138">
        <v>0.12</v>
      </c>
      <c r="F3623" s="153" t="s">
        <v>135</v>
      </c>
      <c r="G3623" s="153">
        <v>1</v>
      </c>
      <c r="H3623" s="133"/>
      <c r="I3623" s="133"/>
      <c r="J3623" s="133" t="s">
        <v>2459</v>
      </c>
      <c r="K3623" s="133" t="s">
        <v>831</v>
      </c>
      <c r="L3623" s="167"/>
      <c r="M3623" s="48"/>
      <c r="N3623" s="123"/>
    </row>
    <row r="3624" spans="1:14" customFormat="1" x14ac:dyDescent="0.55000000000000004">
      <c r="A3624" s="132" t="s">
        <v>2460</v>
      </c>
      <c r="B3624" s="133" t="s">
        <v>2910</v>
      </c>
      <c r="C3624" s="133" t="s">
        <v>156</v>
      </c>
      <c r="D3624" s="133" t="s">
        <v>3288</v>
      </c>
      <c r="E3624" s="138">
        <v>0.38</v>
      </c>
      <c r="F3624" s="153" t="s">
        <v>135</v>
      </c>
      <c r="G3624" s="153">
        <v>1</v>
      </c>
      <c r="H3624" s="133"/>
      <c r="I3624" s="133"/>
      <c r="J3624" s="133" t="s">
        <v>2459</v>
      </c>
      <c r="K3624" s="133" t="s">
        <v>831</v>
      </c>
      <c r="L3624" s="167"/>
      <c r="M3624" s="48"/>
      <c r="N3624" s="123"/>
    </row>
    <row r="3625" spans="1:14" customFormat="1" x14ac:dyDescent="0.55000000000000004">
      <c r="A3625" s="132" t="s">
        <v>2460</v>
      </c>
      <c r="B3625" s="133" t="s">
        <v>508</v>
      </c>
      <c r="C3625" s="133" t="s">
        <v>156</v>
      </c>
      <c r="D3625" s="133" t="s">
        <v>3288</v>
      </c>
      <c r="E3625" s="138">
        <v>0.15</v>
      </c>
      <c r="F3625" s="153" t="s">
        <v>135</v>
      </c>
      <c r="G3625" s="153">
        <v>1</v>
      </c>
      <c r="H3625" s="133"/>
      <c r="I3625" s="133"/>
      <c r="J3625" s="133" t="s">
        <v>2459</v>
      </c>
      <c r="K3625" s="133" t="s">
        <v>831</v>
      </c>
      <c r="L3625" s="167"/>
      <c r="M3625" s="48"/>
      <c r="N3625" s="123"/>
    </row>
    <row r="3626" spans="1:14" customFormat="1" x14ac:dyDescent="0.55000000000000004">
      <c r="A3626" s="132" t="s">
        <v>2460</v>
      </c>
      <c r="B3626" s="133" t="s">
        <v>2911</v>
      </c>
      <c r="C3626" s="133" t="s">
        <v>156</v>
      </c>
      <c r="D3626" s="133" t="s">
        <v>3288</v>
      </c>
      <c r="E3626" s="138">
        <v>0.20200000000000001</v>
      </c>
      <c r="F3626" s="153" t="s">
        <v>135</v>
      </c>
      <c r="G3626" s="153">
        <v>1</v>
      </c>
      <c r="H3626" s="133"/>
      <c r="I3626" s="133"/>
      <c r="J3626" s="133" t="s">
        <v>2459</v>
      </c>
      <c r="K3626" s="133" t="s">
        <v>831</v>
      </c>
      <c r="L3626" s="167"/>
      <c r="M3626" s="48"/>
      <c r="N3626" s="123"/>
    </row>
    <row r="3627" spans="1:14" customFormat="1" ht="14.05" customHeight="1" x14ac:dyDescent="0.55000000000000004">
      <c r="A3627" s="132" t="s">
        <v>2460</v>
      </c>
      <c r="B3627" s="133" t="s">
        <v>2912</v>
      </c>
      <c r="C3627" s="133" t="s">
        <v>156</v>
      </c>
      <c r="D3627" s="133" t="s">
        <v>3288</v>
      </c>
      <c r="E3627" s="138">
        <v>6.8000000000000005E-2</v>
      </c>
      <c r="F3627" s="153" t="s">
        <v>135</v>
      </c>
      <c r="G3627" s="153">
        <v>1</v>
      </c>
      <c r="H3627" s="133"/>
      <c r="I3627" s="133"/>
      <c r="J3627" s="133" t="s">
        <v>2459</v>
      </c>
      <c r="K3627" s="133" t="s">
        <v>831</v>
      </c>
      <c r="L3627" s="167"/>
      <c r="M3627" s="48"/>
      <c r="N3627" s="123"/>
    </row>
    <row r="3628" spans="1:14" customFormat="1" x14ac:dyDescent="0.55000000000000004">
      <c r="A3628" s="132" t="s">
        <v>2465</v>
      </c>
      <c r="B3628" s="133" t="s">
        <v>2907</v>
      </c>
      <c r="C3628" s="133" t="s">
        <v>121</v>
      </c>
      <c r="D3628" s="133" t="s">
        <v>2682</v>
      </c>
      <c r="E3628" s="138">
        <v>1</v>
      </c>
      <c r="F3628" s="153">
        <v>1</v>
      </c>
      <c r="G3628" s="153">
        <v>1</v>
      </c>
      <c r="H3628" s="133"/>
      <c r="I3628" s="133"/>
      <c r="J3628" s="133" t="s">
        <v>2464</v>
      </c>
      <c r="K3628" s="133" t="s">
        <v>831</v>
      </c>
      <c r="L3628" s="167"/>
      <c r="M3628" s="48"/>
      <c r="N3628" s="123"/>
    </row>
    <row r="3629" spans="1:14" customFormat="1" x14ac:dyDescent="0.55000000000000004">
      <c r="A3629" s="132" t="s">
        <v>2465</v>
      </c>
      <c r="B3629" s="133" t="s">
        <v>2908</v>
      </c>
      <c r="C3629" s="133" t="s">
        <v>348</v>
      </c>
      <c r="D3629" s="133" t="s">
        <v>3288</v>
      </c>
      <c r="E3629" s="138">
        <v>1</v>
      </c>
      <c r="F3629" s="153" t="s">
        <v>135</v>
      </c>
      <c r="G3629" s="153">
        <v>1</v>
      </c>
      <c r="H3629" s="133"/>
      <c r="I3629" s="133"/>
      <c r="J3629" s="133" t="s">
        <v>2464</v>
      </c>
      <c r="K3629" s="133" t="s">
        <v>831</v>
      </c>
      <c r="L3629" s="167"/>
      <c r="M3629" s="48"/>
      <c r="N3629" s="123"/>
    </row>
    <row r="3630" spans="1:14" customFormat="1" x14ac:dyDescent="0.55000000000000004">
      <c r="A3630" s="132" t="s">
        <v>2465</v>
      </c>
      <c r="B3630" s="133" t="s">
        <v>153</v>
      </c>
      <c r="C3630" s="133" t="s">
        <v>127</v>
      </c>
      <c r="D3630" s="133" t="s">
        <v>2994</v>
      </c>
      <c r="E3630" s="138">
        <v>280</v>
      </c>
      <c r="F3630" s="153" t="s">
        <v>130</v>
      </c>
      <c r="G3630" s="153">
        <v>1</v>
      </c>
      <c r="H3630" s="133"/>
      <c r="I3630" s="133"/>
      <c r="J3630" s="133" t="s">
        <v>2464</v>
      </c>
      <c r="K3630" s="133" t="s">
        <v>831</v>
      </c>
      <c r="L3630" s="167"/>
      <c r="M3630" s="48"/>
      <c r="N3630" s="123"/>
    </row>
    <row r="3631" spans="1:14" customFormat="1" x14ac:dyDescent="0.55000000000000004">
      <c r="A3631" s="132" t="s">
        <v>2465</v>
      </c>
      <c r="B3631" s="133" t="s">
        <v>154</v>
      </c>
      <c r="C3631" s="133" t="s">
        <v>132</v>
      </c>
      <c r="D3631" s="133" t="s">
        <v>3289</v>
      </c>
      <c r="E3631" s="138">
        <v>0.8</v>
      </c>
      <c r="F3631" s="153" t="s">
        <v>133</v>
      </c>
      <c r="G3631" s="153">
        <v>1</v>
      </c>
      <c r="H3631" s="133"/>
      <c r="I3631" s="133"/>
      <c r="J3631" s="133" t="s">
        <v>2464</v>
      </c>
      <c r="K3631" s="133" t="s">
        <v>831</v>
      </c>
      <c r="L3631" s="167"/>
      <c r="M3631" s="48"/>
      <c r="N3631" s="123"/>
    </row>
    <row r="3632" spans="1:14" customFormat="1" x14ac:dyDescent="0.55000000000000004">
      <c r="A3632" s="132" t="s">
        <v>2465</v>
      </c>
      <c r="B3632" s="133" t="s">
        <v>2909</v>
      </c>
      <c r="C3632" s="133" t="s">
        <v>156</v>
      </c>
      <c r="D3632" s="133" t="s">
        <v>3288</v>
      </c>
      <c r="E3632" s="138">
        <v>0.12</v>
      </c>
      <c r="F3632" s="153" t="s">
        <v>135</v>
      </c>
      <c r="G3632" s="153">
        <v>1</v>
      </c>
      <c r="H3632" s="133"/>
      <c r="I3632" s="133"/>
      <c r="J3632" s="133" t="s">
        <v>2464</v>
      </c>
      <c r="K3632" s="133" t="s">
        <v>831</v>
      </c>
      <c r="L3632" s="167"/>
      <c r="M3632" s="48"/>
      <c r="N3632" s="123"/>
    </row>
    <row r="3633" spans="1:14" customFormat="1" x14ac:dyDescent="0.55000000000000004">
      <c r="A3633" s="132" t="s">
        <v>2465</v>
      </c>
      <c r="B3633" s="133" t="s">
        <v>2913</v>
      </c>
      <c r="C3633" s="133" t="s">
        <v>156</v>
      </c>
      <c r="D3633" s="133" t="s">
        <v>3288</v>
      </c>
      <c r="E3633" s="138">
        <v>0.38</v>
      </c>
      <c r="F3633" s="153" t="s">
        <v>135</v>
      </c>
      <c r="G3633" s="153">
        <v>1</v>
      </c>
      <c r="H3633" s="133"/>
      <c r="I3633" s="133"/>
      <c r="J3633" s="133" t="s">
        <v>2464</v>
      </c>
      <c r="K3633" s="133" t="s">
        <v>831</v>
      </c>
      <c r="L3633" s="167"/>
      <c r="M3633" s="48"/>
      <c r="N3633" s="123"/>
    </row>
    <row r="3634" spans="1:14" customFormat="1" x14ac:dyDescent="0.55000000000000004">
      <c r="A3634" s="132" t="s">
        <v>2465</v>
      </c>
      <c r="B3634" s="133" t="s">
        <v>505</v>
      </c>
      <c r="C3634" s="133" t="s">
        <v>156</v>
      </c>
      <c r="D3634" s="133" t="s">
        <v>3288</v>
      </c>
      <c r="E3634" s="138">
        <v>0.42</v>
      </c>
      <c r="F3634" s="153" t="s">
        <v>135</v>
      </c>
      <c r="G3634" s="153">
        <v>1</v>
      </c>
      <c r="H3634" s="133"/>
      <c r="I3634" s="133"/>
      <c r="J3634" s="133" t="s">
        <v>2464</v>
      </c>
      <c r="K3634" s="133" t="s">
        <v>831</v>
      </c>
      <c r="L3634" s="167"/>
      <c r="M3634" s="48"/>
      <c r="N3634" s="123"/>
    </row>
    <row r="3635" spans="1:14" customFormat="1" x14ac:dyDescent="0.55000000000000004">
      <c r="A3635" s="132" t="s">
        <v>2468</v>
      </c>
      <c r="B3635" s="133" t="s">
        <v>2907</v>
      </c>
      <c r="C3635" s="133" t="s">
        <v>121</v>
      </c>
      <c r="D3635" s="133" t="s">
        <v>2682</v>
      </c>
      <c r="E3635" s="138">
        <v>1</v>
      </c>
      <c r="F3635" s="153">
        <v>1</v>
      </c>
      <c r="G3635" s="153">
        <v>1</v>
      </c>
      <c r="H3635" s="133"/>
      <c r="I3635" s="133"/>
      <c r="J3635" s="133" t="s">
        <v>2467</v>
      </c>
      <c r="K3635" s="133" t="s">
        <v>831</v>
      </c>
      <c r="L3635" s="167"/>
      <c r="M3635" s="48"/>
      <c r="N3635" s="123"/>
    </row>
    <row r="3636" spans="1:14" customFormat="1" x14ac:dyDescent="0.55000000000000004">
      <c r="A3636" s="132" t="s">
        <v>2468</v>
      </c>
      <c r="B3636" s="133" t="s">
        <v>2908</v>
      </c>
      <c r="C3636" s="133" t="s">
        <v>348</v>
      </c>
      <c r="D3636" s="133" t="s">
        <v>3288</v>
      </c>
      <c r="E3636" s="138">
        <v>1</v>
      </c>
      <c r="F3636" s="153" t="s">
        <v>135</v>
      </c>
      <c r="G3636" s="153">
        <v>1</v>
      </c>
      <c r="H3636" s="133"/>
      <c r="I3636" s="133"/>
      <c r="J3636" s="133" t="s">
        <v>2467</v>
      </c>
      <c r="K3636" s="133" t="s">
        <v>831</v>
      </c>
      <c r="L3636" s="167"/>
      <c r="M3636" s="48"/>
      <c r="N3636" s="123"/>
    </row>
    <row r="3637" spans="1:14" customFormat="1" x14ac:dyDescent="0.55000000000000004">
      <c r="A3637" s="132" t="s">
        <v>2468</v>
      </c>
      <c r="B3637" s="133" t="s">
        <v>153</v>
      </c>
      <c r="C3637" s="133" t="s">
        <v>127</v>
      </c>
      <c r="D3637" s="133" t="s">
        <v>2994</v>
      </c>
      <c r="E3637" s="138">
        <v>390</v>
      </c>
      <c r="F3637" s="153" t="s">
        <v>130</v>
      </c>
      <c r="G3637" s="153">
        <v>1</v>
      </c>
      <c r="H3637" s="133"/>
      <c r="I3637" s="133"/>
      <c r="J3637" s="133" t="s">
        <v>2467</v>
      </c>
      <c r="K3637" s="133" t="s">
        <v>831</v>
      </c>
      <c r="L3637" s="167"/>
      <c r="M3637" s="48"/>
      <c r="N3637" s="123"/>
    </row>
    <row r="3638" spans="1:14" customFormat="1" x14ac:dyDescent="0.55000000000000004">
      <c r="A3638" s="132" t="s">
        <v>2468</v>
      </c>
      <c r="B3638" s="133" t="s">
        <v>2914</v>
      </c>
      <c r="C3638" s="133" t="s">
        <v>156</v>
      </c>
      <c r="D3638" s="133" t="s">
        <v>3288</v>
      </c>
      <c r="E3638" s="138">
        <v>0.25</v>
      </c>
      <c r="F3638" s="153" t="s">
        <v>135</v>
      </c>
      <c r="G3638" s="153">
        <v>1</v>
      </c>
      <c r="H3638" s="133"/>
      <c r="I3638" s="133" t="s">
        <v>2915</v>
      </c>
      <c r="J3638" s="133" t="s">
        <v>2467</v>
      </c>
      <c r="K3638" s="133" t="s">
        <v>831</v>
      </c>
      <c r="L3638" s="167"/>
      <c r="M3638" s="48"/>
      <c r="N3638" s="123"/>
    </row>
    <row r="3639" spans="1:14" customFormat="1" x14ac:dyDescent="0.55000000000000004">
      <c r="A3639" s="132" t="s">
        <v>2468</v>
      </c>
      <c r="B3639" s="133" t="s">
        <v>2916</v>
      </c>
      <c r="C3639" s="133" t="s">
        <v>156</v>
      </c>
      <c r="D3639" s="133" t="s">
        <v>3288</v>
      </c>
      <c r="E3639" s="138">
        <v>0.65</v>
      </c>
      <c r="F3639" s="153" t="s">
        <v>135</v>
      </c>
      <c r="G3639" s="153">
        <v>1</v>
      </c>
      <c r="H3639" s="133"/>
      <c r="I3639" s="133" t="s">
        <v>2917</v>
      </c>
      <c r="J3639" s="133" t="s">
        <v>2467</v>
      </c>
      <c r="K3639" s="133" t="s">
        <v>831</v>
      </c>
      <c r="L3639" s="167"/>
      <c r="M3639" s="48"/>
      <c r="N3639" s="123"/>
    </row>
    <row r="3640" spans="1:14" customFormat="1" x14ac:dyDescent="0.55000000000000004">
      <c r="A3640" s="132" t="s">
        <v>2472</v>
      </c>
      <c r="B3640" s="133" t="s">
        <v>2907</v>
      </c>
      <c r="C3640" s="133" t="s">
        <v>121</v>
      </c>
      <c r="D3640" s="133" t="s">
        <v>2682</v>
      </c>
      <c r="E3640" s="138">
        <v>1</v>
      </c>
      <c r="F3640" s="153">
        <v>1</v>
      </c>
      <c r="G3640" s="153">
        <v>1</v>
      </c>
      <c r="H3640" s="133" t="s">
        <v>39</v>
      </c>
      <c r="I3640" s="133"/>
      <c r="J3640" s="133" t="s">
        <v>2471</v>
      </c>
      <c r="K3640" s="133" t="s">
        <v>831</v>
      </c>
      <c r="L3640" s="167"/>
      <c r="M3640" s="48"/>
      <c r="N3640" s="123"/>
    </row>
    <row r="3641" spans="1:14" customFormat="1" x14ac:dyDescent="0.55000000000000004">
      <c r="A3641" s="132" t="s">
        <v>2472</v>
      </c>
      <c r="B3641" s="133" t="s">
        <v>2908</v>
      </c>
      <c r="C3641" s="133" t="s">
        <v>348</v>
      </c>
      <c r="D3641" s="133" t="s">
        <v>3288</v>
      </c>
      <c r="E3641" s="138">
        <v>1</v>
      </c>
      <c r="F3641" s="153" t="s">
        <v>135</v>
      </c>
      <c r="G3641" s="153">
        <v>1</v>
      </c>
      <c r="H3641" s="133" t="s">
        <v>39</v>
      </c>
      <c r="I3641" s="133"/>
      <c r="J3641" s="133" t="s">
        <v>2471</v>
      </c>
      <c r="K3641" s="133" t="s">
        <v>831</v>
      </c>
      <c r="L3641" s="167"/>
      <c r="M3641" s="48"/>
      <c r="N3641" s="123"/>
    </row>
    <row r="3642" spans="1:14" customFormat="1" x14ac:dyDescent="0.55000000000000004">
      <c r="A3642" s="132" t="s">
        <v>2472</v>
      </c>
      <c r="B3642" s="133" t="s">
        <v>153</v>
      </c>
      <c r="C3642" s="133" t="s">
        <v>127</v>
      </c>
      <c r="D3642" s="133" t="s">
        <v>2994</v>
      </c>
      <c r="E3642" s="138">
        <v>800</v>
      </c>
      <c r="F3642" s="153" t="s">
        <v>130</v>
      </c>
      <c r="G3642" s="153">
        <v>1</v>
      </c>
      <c r="H3642" s="133" t="s">
        <v>39</v>
      </c>
      <c r="I3642" s="133"/>
      <c r="J3642" s="133" t="s">
        <v>2471</v>
      </c>
      <c r="K3642" s="133" t="s">
        <v>831</v>
      </c>
      <c r="L3642" s="167"/>
      <c r="M3642" s="48"/>
      <c r="N3642" s="123"/>
    </row>
    <row r="3643" spans="1:14" customFormat="1" x14ac:dyDescent="0.55000000000000004">
      <c r="A3643" s="132" t="s">
        <v>2472</v>
      </c>
      <c r="B3643" s="133" t="s">
        <v>262</v>
      </c>
      <c r="C3643" s="133" t="s">
        <v>127</v>
      </c>
      <c r="D3643" s="133" t="s">
        <v>3288</v>
      </c>
      <c r="E3643" s="138">
        <v>0.08</v>
      </c>
      <c r="F3643" s="153" t="s">
        <v>135</v>
      </c>
      <c r="G3643" s="153">
        <v>1</v>
      </c>
      <c r="H3643" s="133" t="s">
        <v>39</v>
      </c>
      <c r="I3643" s="133"/>
      <c r="J3643" s="133" t="s">
        <v>2471</v>
      </c>
      <c r="K3643" s="133" t="s">
        <v>831</v>
      </c>
      <c r="L3643" s="167"/>
      <c r="M3643" s="48"/>
      <c r="N3643" s="123"/>
    </row>
    <row r="3644" spans="1:14" customFormat="1" x14ac:dyDescent="0.55000000000000004">
      <c r="A3644" s="132" t="s">
        <v>2472</v>
      </c>
      <c r="B3644" s="133" t="s">
        <v>2914</v>
      </c>
      <c r="C3644" s="133" t="s">
        <v>156</v>
      </c>
      <c r="D3644" s="133" t="s">
        <v>3288</v>
      </c>
      <c r="E3644" s="138">
        <v>0.23</v>
      </c>
      <c r="F3644" s="153" t="s">
        <v>135</v>
      </c>
      <c r="G3644" s="153">
        <v>1</v>
      </c>
      <c r="H3644" s="133" t="s">
        <v>39</v>
      </c>
      <c r="I3644" s="133" t="s">
        <v>2918</v>
      </c>
      <c r="J3644" s="133" t="s">
        <v>2471</v>
      </c>
      <c r="K3644" s="133" t="s">
        <v>831</v>
      </c>
      <c r="L3644" s="167"/>
      <c r="M3644" s="48"/>
      <c r="N3644" s="123"/>
    </row>
    <row r="3645" spans="1:14" customFormat="1" x14ac:dyDescent="0.55000000000000004">
      <c r="A3645" s="132" t="s">
        <v>2472</v>
      </c>
      <c r="B3645" s="133" t="s">
        <v>2919</v>
      </c>
      <c r="C3645" s="133" t="s">
        <v>156</v>
      </c>
      <c r="D3645" s="133" t="s">
        <v>3288</v>
      </c>
      <c r="E3645" s="138">
        <v>0.65</v>
      </c>
      <c r="F3645" s="153" t="s">
        <v>135</v>
      </c>
      <c r="G3645" s="153">
        <v>1</v>
      </c>
      <c r="H3645" s="133" t="s">
        <v>39</v>
      </c>
      <c r="I3645" s="133" t="s">
        <v>2920</v>
      </c>
      <c r="J3645" s="133" t="s">
        <v>2471</v>
      </c>
      <c r="K3645" s="133" t="s">
        <v>831</v>
      </c>
      <c r="L3645" s="167"/>
      <c r="M3645" s="48"/>
      <c r="N3645" s="123"/>
    </row>
    <row r="3646" spans="1:14" customFormat="1" x14ac:dyDescent="0.55000000000000004">
      <c r="A3646" s="132" t="s">
        <v>2472</v>
      </c>
      <c r="B3646" s="133" t="s">
        <v>160</v>
      </c>
      <c r="C3646" s="133" t="s">
        <v>497</v>
      </c>
      <c r="D3646" s="133" t="s">
        <v>3288</v>
      </c>
      <c r="E3646" s="138">
        <v>0.17</v>
      </c>
      <c r="F3646" s="153" t="s">
        <v>135</v>
      </c>
      <c r="G3646" s="153">
        <v>1</v>
      </c>
      <c r="H3646" s="133" t="s">
        <v>39</v>
      </c>
      <c r="I3646" s="133"/>
      <c r="J3646" s="133" t="s">
        <v>2471</v>
      </c>
      <c r="K3646" s="133" t="s">
        <v>831</v>
      </c>
      <c r="L3646" s="167"/>
      <c r="M3646" s="48"/>
      <c r="N3646" s="123"/>
    </row>
    <row r="3647" spans="1:14" customFormat="1" x14ac:dyDescent="0.55000000000000004">
      <c r="A3647" s="132" t="s">
        <v>2472</v>
      </c>
      <c r="B3647" s="133" t="s">
        <v>2874</v>
      </c>
      <c r="C3647" s="133" t="s">
        <v>497</v>
      </c>
      <c r="D3647" s="133" t="s">
        <v>3288</v>
      </c>
      <c r="E3647" s="138">
        <v>2.0999999999999998E-4</v>
      </c>
      <c r="F3647" s="153" t="s">
        <v>135</v>
      </c>
      <c r="G3647" s="153">
        <v>1</v>
      </c>
      <c r="H3647" s="133" t="s">
        <v>39</v>
      </c>
      <c r="I3647" s="133"/>
      <c r="J3647" s="133" t="s">
        <v>2471</v>
      </c>
      <c r="K3647" s="133" t="s">
        <v>831</v>
      </c>
      <c r="L3647" s="167"/>
      <c r="M3647" s="48"/>
      <c r="N3647" s="123"/>
    </row>
    <row r="3648" spans="1:14" customFormat="1" x14ac:dyDescent="0.55000000000000004">
      <c r="A3648" s="132" t="s">
        <v>2472</v>
      </c>
      <c r="B3648" s="133" t="s">
        <v>2880</v>
      </c>
      <c r="C3648" s="133" t="s">
        <v>497</v>
      </c>
      <c r="D3648" s="133" t="s">
        <v>3288</v>
      </c>
      <c r="E3648" s="138">
        <v>7.1999999999999994E-4</v>
      </c>
      <c r="F3648" s="153" t="s">
        <v>135</v>
      </c>
      <c r="G3648" s="153">
        <v>1</v>
      </c>
      <c r="H3648" s="133" t="s">
        <v>39</v>
      </c>
      <c r="I3648" s="133"/>
      <c r="J3648" s="133" t="s">
        <v>2471</v>
      </c>
      <c r="K3648" s="133" t="s">
        <v>831</v>
      </c>
      <c r="L3648" s="167"/>
      <c r="M3648" s="48"/>
      <c r="N3648" s="123"/>
    </row>
    <row r="3649" spans="1:14" customFormat="1" x14ac:dyDescent="0.55000000000000004">
      <c r="A3649" s="132" t="s">
        <v>2472</v>
      </c>
      <c r="B3649" s="133" t="s">
        <v>2790</v>
      </c>
      <c r="C3649" s="133" t="s">
        <v>497</v>
      </c>
      <c r="D3649" s="133" t="s">
        <v>3288</v>
      </c>
      <c r="E3649" s="138">
        <v>3.8500000000000003E-4</v>
      </c>
      <c r="F3649" s="153" t="s">
        <v>135</v>
      </c>
      <c r="G3649" s="153">
        <v>1</v>
      </c>
      <c r="H3649" s="133" t="s">
        <v>39</v>
      </c>
      <c r="I3649" s="133"/>
      <c r="J3649" s="133" t="s">
        <v>2471</v>
      </c>
      <c r="K3649" s="133" t="s">
        <v>831</v>
      </c>
      <c r="L3649" s="167"/>
      <c r="M3649" s="48"/>
      <c r="N3649" s="123"/>
    </row>
    <row r="3650" spans="1:14" customFormat="1" x14ac:dyDescent="0.55000000000000004">
      <c r="A3650" s="132" t="s">
        <v>2472</v>
      </c>
      <c r="B3650" s="133" t="s">
        <v>1162</v>
      </c>
      <c r="C3650" s="133" t="s">
        <v>497</v>
      </c>
      <c r="D3650" s="133" t="s">
        <v>3288</v>
      </c>
      <c r="E3650" s="138">
        <v>3.5200000000000002E-5</v>
      </c>
      <c r="F3650" s="153" t="s">
        <v>135</v>
      </c>
      <c r="G3650" s="153">
        <v>1</v>
      </c>
      <c r="H3650" s="133" t="s">
        <v>39</v>
      </c>
      <c r="I3650" s="133"/>
      <c r="J3650" s="133" t="s">
        <v>2471</v>
      </c>
      <c r="K3650" s="133" t="s">
        <v>831</v>
      </c>
      <c r="L3650" s="167"/>
      <c r="M3650" s="48"/>
      <c r="N3650" s="123"/>
    </row>
    <row r="3651" spans="1:14" customFormat="1" x14ac:dyDescent="0.55000000000000004">
      <c r="A3651" s="132" t="s">
        <v>2472</v>
      </c>
      <c r="B3651" s="133" t="s">
        <v>2921</v>
      </c>
      <c r="C3651" s="133" t="s">
        <v>497</v>
      </c>
      <c r="D3651" s="133" t="s">
        <v>3288</v>
      </c>
      <c r="E3651" s="138">
        <v>7.7499999999999997E-4</v>
      </c>
      <c r="F3651" s="153" t="s">
        <v>135</v>
      </c>
      <c r="G3651" s="153">
        <v>1</v>
      </c>
      <c r="H3651" s="133" t="s">
        <v>39</v>
      </c>
      <c r="I3651" s="133"/>
      <c r="J3651" s="133" t="s">
        <v>2471</v>
      </c>
      <c r="K3651" s="133" t="s">
        <v>831</v>
      </c>
      <c r="L3651" s="167"/>
      <c r="M3651" s="48"/>
      <c r="N3651" s="123"/>
    </row>
    <row r="3652" spans="1:14" customFormat="1" x14ac:dyDescent="0.55000000000000004">
      <c r="A3652" s="132" t="s">
        <v>2472</v>
      </c>
      <c r="B3652" s="133" t="s">
        <v>2922</v>
      </c>
      <c r="C3652" s="133" t="s">
        <v>497</v>
      </c>
      <c r="D3652" s="133" t="s">
        <v>3288</v>
      </c>
      <c r="E3652" s="138">
        <v>17900</v>
      </c>
      <c r="F3652" s="153" t="s">
        <v>135</v>
      </c>
      <c r="G3652" s="153">
        <v>1</v>
      </c>
      <c r="H3652" s="133" t="s">
        <v>39</v>
      </c>
      <c r="I3652" s="133"/>
      <c r="J3652" s="133" t="s">
        <v>2471</v>
      </c>
      <c r="K3652" s="133" t="s">
        <v>831</v>
      </c>
      <c r="L3652" s="167"/>
      <c r="M3652" s="48"/>
      <c r="N3652" s="123"/>
    </row>
    <row r="3653" spans="1:14" customFormat="1" x14ac:dyDescent="0.55000000000000004">
      <c r="A3653" s="132" t="s">
        <v>2472</v>
      </c>
      <c r="B3653" s="133" t="s">
        <v>2923</v>
      </c>
      <c r="C3653" s="133" t="s">
        <v>497</v>
      </c>
      <c r="D3653" s="133" t="s">
        <v>3288</v>
      </c>
      <c r="E3653" s="138">
        <v>3.5099999999999997E-4</v>
      </c>
      <c r="F3653" s="153" t="s">
        <v>135</v>
      </c>
      <c r="G3653" s="153">
        <v>1</v>
      </c>
      <c r="H3653" s="133" t="s">
        <v>39</v>
      </c>
      <c r="I3653" s="133"/>
      <c r="J3653" s="133" t="s">
        <v>2471</v>
      </c>
      <c r="K3653" s="133" t="s">
        <v>831</v>
      </c>
      <c r="L3653" s="167"/>
      <c r="M3653" s="48"/>
      <c r="N3653" s="123"/>
    </row>
    <row r="3654" spans="1:14" customFormat="1" x14ac:dyDescent="0.55000000000000004">
      <c r="A3654" s="132" t="s">
        <v>2472</v>
      </c>
      <c r="B3654" s="133" t="s">
        <v>2924</v>
      </c>
      <c r="C3654" s="133" t="s">
        <v>497</v>
      </c>
      <c r="D3654" s="133" t="s">
        <v>3288</v>
      </c>
      <c r="E3654" s="138">
        <v>4.4299999999999998E-9</v>
      </c>
      <c r="F3654" s="153" t="s">
        <v>135</v>
      </c>
      <c r="G3654" s="153">
        <v>1</v>
      </c>
      <c r="H3654" s="133" t="s">
        <v>39</v>
      </c>
      <c r="I3654" s="133"/>
      <c r="J3654" s="133" t="s">
        <v>2471</v>
      </c>
      <c r="K3654" s="133" t="s">
        <v>831</v>
      </c>
      <c r="L3654" s="167"/>
      <c r="M3654" s="48"/>
      <c r="N3654" s="123"/>
    </row>
    <row r="3655" spans="1:14" customFormat="1" x14ac:dyDescent="0.55000000000000004">
      <c r="A3655" s="132" t="s">
        <v>2472</v>
      </c>
      <c r="B3655" s="133" t="s">
        <v>2925</v>
      </c>
      <c r="C3655" s="133" t="s">
        <v>497</v>
      </c>
      <c r="D3655" s="133" t="s">
        <v>3288</v>
      </c>
      <c r="E3655" s="138">
        <v>1.15E-10</v>
      </c>
      <c r="F3655" s="153" t="s">
        <v>135</v>
      </c>
      <c r="G3655" s="153">
        <v>1</v>
      </c>
      <c r="H3655" s="133" t="s">
        <v>39</v>
      </c>
      <c r="I3655" s="133"/>
      <c r="J3655" s="133" t="s">
        <v>2471</v>
      </c>
      <c r="K3655" s="133" t="s">
        <v>831</v>
      </c>
      <c r="L3655" s="167"/>
      <c r="M3655" s="48"/>
      <c r="N3655" s="123"/>
    </row>
    <row r="3656" spans="1:14" customFormat="1" x14ac:dyDescent="0.55000000000000004">
      <c r="A3656" s="132" t="s">
        <v>2472</v>
      </c>
      <c r="B3656" s="133" t="s">
        <v>2926</v>
      </c>
      <c r="C3656" s="133" t="s">
        <v>497</v>
      </c>
      <c r="D3656" s="133" t="s">
        <v>3288</v>
      </c>
      <c r="E3656" s="138">
        <v>1.15E-9</v>
      </c>
      <c r="F3656" s="153" t="s">
        <v>135</v>
      </c>
      <c r="G3656" s="153">
        <v>1</v>
      </c>
      <c r="H3656" s="133" t="s">
        <v>39</v>
      </c>
      <c r="I3656" s="133"/>
      <c r="J3656" s="133" t="s">
        <v>2471</v>
      </c>
      <c r="K3656" s="133" t="s">
        <v>831</v>
      </c>
      <c r="L3656" s="167"/>
      <c r="M3656" s="48"/>
      <c r="N3656" s="123"/>
    </row>
    <row r="3657" spans="1:14" customFormat="1" x14ac:dyDescent="0.55000000000000004">
      <c r="A3657" s="132" t="s">
        <v>2472</v>
      </c>
      <c r="B3657" s="133" t="s">
        <v>2927</v>
      </c>
      <c r="C3657" s="133" t="s">
        <v>497</v>
      </c>
      <c r="D3657" s="133" t="s">
        <v>3288</v>
      </c>
      <c r="E3657" s="138">
        <v>4.9899999999999995E-9</v>
      </c>
      <c r="F3657" s="153" t="s">
        <v>135</v>
      </c>
      <c r="G3657" s="153">
        <v>1</v>
      </c>
      <c r="H3657" s="133" t="s">
        <v>39</v>
      </c>
      <c r="I3657" s="133"/>
      <c r="J3657" s="133" t="s">
        <v>2471</v>
      </c>
      <c r="K3657" s="133" t="s">
        <v>831</v>
      </c>
      <c r="L3657" s="167"/>
      <c r="M3657" s="48"/>
      <c r="N3657" s="123"/>
    </row>
    <row r="3658" spans="1:14" customFormat="1" x14ac:dyDescent="0.55000000000000004">
      <c r="A3658" s="132" t="s">
        <v>2472</v>
      </c>
      <c r="B3658" s="133" t="s">
        <v>2928</v>
      </c>
      <c r="C3658" s="133" t="s">
        <v>497</v>
      </c>
      <c r="D3658" s="133" t="s">
        <v>3288</v>
      </c>
      <c r="E3658" s="138">
        <v>1.4599999999999999E-9</v>
      </c>
      <c r="F3658" s="153" t="s">
        <v>135</v>
      </c>
      <c r="G3658" s="153">
        <v>1</v>
      </c>
      <c r="H3658" s="133" t="s">
        <v>39</v>
      </c>
      <c r="I3658" s="133"/>
      <c r="J3658" s="133" t="s">
        <v>2471</v>
      </c>
      <c r="K3658" s="133" t="s">
        <v>831</v>
      </c>
      <c r="L3658" s="167"/>
      <c r="M3658" s="48"/>
      <c r="N3658" s="123"/>
    </row>
    <row r="3659" spans="1:14" customFormat="1" x14ac:dyDescent="0.55000000000000004">
      <c r="A3659" s="132" t="s">
        <v>2472</v>
      </c>
      <c r="B3659" s="133" t="s">
        <v>2929</v>
      </c>
      <c r="C3659" s="133" t="s">
        <v>497</v>
      </c>
      <c r="D3659" s="133" t="s">
        <v>3288</v>
      </c>
      <c r="E3659" s="138">
        <v>2.3400000000000001E-8</v>
      </c>
      <c r="F3659" s="153" t="s">
        <v>135</v>
      </c>
      <c r="G3659" s="153">
        <v>1</v>
      </c>
      <c r="H3659" s="133" t="s">
        <v>39</v>
      </c>
      <c r="I3659" s="133"/>
      <c r="J3659" s="133" t="s">
        <v>2471</v>
      </c>
      <c r="K3659" s="133" t="s">
        <v>831</v>
      </c>
      <c r="L3659" s="167"/>
      <c r="M3659" s="48"/>
      <c r="N3659" s="123"/>
    </row>
    <row r="3660" spans="1:14" customFormat="1" x14ac:dyDescent="0.55000000000000004">
      <c r="A3660" s="132" t="s">
        <v>2472</v>
      </c>
      <c r="B3660" s="133" t="s">
        <v>2930</v>
      </c>
      <c r="C3660" s="133" t="s">
        <v>497</v>
      </c>
      <c r="D3660" s="133" t="s">
        <v>3288</v>
      </c>
      <c r="E3660" s="138">
        <v>3.1499999999999998E-8</v>
      </c>
      <c r="F3660" s="153" t="s">
        <v>135</v>
      </c>
      <c r="G3660" s="153">
        <v>1</v>
      </c>
      <c r="H3660" s="133" t="s">
        <v>39</v>
      </c>
      <c r="I3660" s="133"/>
      <c r="J3660" s="133" t="s">
        <v>2471</v>
      </c>
      <c r="K3660" s="133" t="s">
        <v>831</v>
      </c>
      <c r="L3660" s="167"/>
      <c r="M3660" s="48"/>
      <c r="N3660" s="123"/>
    </row>
    <row r="3661" spans="1:14" customFormat="1" x14ac:dyDescent="0.55000000000000004">
      <c r="A3661" s="132" t="s">
        <v>2475</v>
      </c>
      <c r="B3661" s="133" t="s">
        <v>2907</v>
      </c>
      <c r="C3661" s="133" t="s">
        <v>121</v>
      </c>
      <c r="D3661" s="133" t="s">
        <v>2682</v>
      </c>
      <c r="E3661" s="138">
        <v>1</v>
      </c>
      <c r="F3661" s="153">
        <v>1</v>
      </c>
      <c r="G3661" s="153">
        <v>1</v>
      </c>
      <c r="H3661" s="133" t="s">
        <v>39</v>
      </c>
      <c r="I3661" s="133"/>
      <c r="J3661" s="133" t="s">
        <v>2474</v>
      </c>
      <c r="K3661" s="133" t="s">
        <v>831</v>
      </c>
      <c r="L3661" s="167"/>
      <c r="M3661" s="48"/>
      <c r="N3661" s="123"/>
    </row>
    <row r="3662" spans="1:14" customFormat="1" x14ac:dyDescent="0.55000000000000004">
      <c r="A3662" s="132" t="s">
        <v>2475</v>
      </c>
      <c r="B3662" s="133" t="s">
        <v>2908</v>
      </c>
      <c r="C3662" s="133" t="s">
        <v>348</v>
      </c>
      <c r="D3662" s="133" t="s">
        <v>3288</v>
      </c>
      <c r="E3662" s="138">
        <v>1</v>
      </c>
      <c r="F3662" s="153" t="s">
        <v>135</v>
      </c>
      <c r="G3662" s="153">
        <v>1</v>
      </c>
      <c r="H3662" s="133" t="s">
        <v>39</v>
      </c>
      <c r="I3662" s="133"/>
      <c r="J3662" s="133" t="s">
        <v>2474</v>
      </c>
      <c r="K3662" s="133" t="s">
        <v>831</v>
      </c>
      <c r="L3662" s="167"/>
      <c r="M3662" s="48"/>
      <c r="N3662" s="123"/>
    </row>
    <row r="3663" spans="1:14" customFormat="1" x14ac:dyDescent="0.55000000000000004">
      <c r="A3663" s="132" t="s">
        <v>2475</v>
      </c>
      <c r="B3663" s="133" t="s">
        <v>153</v>
      </c>
      <c r="C3663" s="133" t="s">
        <v>127</v>
      </c>
      <c r="D3663" s="133" t="s">
        <v>2994</v>
      </c>
      <c r="E3663" s="138">
        <v>200</v>
      </c>
      <c r="F3663" s="153" t="s">
        <v>130</v>
      </c>
      <c r="G3663" s="153">
        <v>1</v>
      </c>
      <c r="H3663" s="133" t="s">
        <v>39</v>
      </c>
      <c r="I3663" s="133"/>
      <c r="J3663" s="133" t="s">
        <v>2474</v>
      </c>
      <c r="K3663" s="133" t="s">
        <v>831</v>
      </c>
      <c r="L3663" s="167"/>
      <c r="M3663" s="48"/>
      <c r="N3663" s="123"/>
    </row>
    <row r="3664" spans="1:14" customFormat="1" x14ac:dyDescent="0.55000000000000004">
      <c r="A3664" s="132" t="s">
        <v>2475</v>
      </c>
      <c r="B3664" s="133" t="s">
        <v>2914</v>
      </c>
      <c r="C3664" s="133" t="s">
        <v>156</v>
      </c>
      <c r="D3664" s="133" t="s">
        <v>3288</v>
      </c>
      <c r="E3664" s="138">
        <v>0.22</v>
      </c>
      <c r="F3664" s="153" t="s">
        <v>135</v>
      </c>
      <c r="G3664" s="153">
        <v>1</v>
      </c>
      <c r="H3664" s="133" t="s">
        <v>39</v>
      </c>
      <c r="I3664" s="133" t="s">
        <v>2931</v>
      </c>
      <c r="J3664" s="133" t="s">
        <v>2474</v>
      </c>
      <c r="K3664" s="133" t="s">
        <v>831</v>
      </c>
      <c r="L3664" s="167"/>
      <c r="M3664" s="48"/>
      <c r="N3664" s="123"/>
    </row>
    <row r="3665" spans="1:14" customFormat="1" x14ac:dyDescent="0.55000000000000004">
      <c r="A3665" s="132" t="s">
        <v>2475</v>
      </c>
      <c r="B3665" s="133" t="s">
        <v>505</v>
      </c>
      <c r="C3665" s="133" t="s">
        <v>156</v>
      </c>
      <c r="D3665" s="133" t="s">
        <v>3288</v>
      </c>
      <c r="E3665" s="138">
        <v>0.35</v>
      </c>
      <c r="F3665" s="153" t="s">
        <v>135</v>
      </c>
      <c r="G3665" s="153">
        <v>1</v>
      </c>
      <c r="H3665" s="133" t="s">
        <v>39</v>
      </c>
      <c r="I3665" s="133" t="s">
        <v>2932</v>
      </c>
      <c r="J3665" s="133" t="s">
        <v>2474</v>
      </c>
      <c r="K3665" s="133" t="s">
        <v>831</v>
      </c>
      <c r="L3665" s="167"/>
      <c r="M3665" s="48"/>
      <c r="N3665" s="123"/>
    </row>
    <row r="3666" spans="1:14" customFormat="1" x14ac:dyDescent="0.55000000000000004">
      <c r="A3666" s="132" t="s">
        <v>2475</v>
      </c>
      <c r="B3666" s="133" t="s">
        <v>2831</v>
      </c>
      <c r="C3666" s="133" t="s">
        <v>156</v>
      </c>
      <c r="D3666" s="133" t="s">
        <v>3288</v>
      </c>
      <c r="E3666" s="138">
        <v>0.33</v>
      </c>
      <c r="F3666" s="153" t="s">
        <v>135</v>
      </c>
      <c r="G3666" s="153">
        <v>1</v>
      </c>
      <c r="H3666" s="133" t="s">
        <v>39</v>
      </c>
      <c r="I3666" s="133" t="s">
        <v>2933</v>
      </c>
      <c r="J3666" s="133" t="s">
        <v>2474</v>
      </c>
      <c r="K3666" s="133" t="s">
        <v>831</v>
      </c>
      <c r="L3666" s="167"/>
      <c r="M3666" s="48"/>
      <c r="N3666" s="123"/>
    </row>
    <row r="3667" spans="1:14" customFormat="1" x14ac:dyDescent="0.55000000000000004">
      <c r="A3667" s="132" t="s">
        <v>2475</v>
      </c>
      <c r="B3667" s="133" t="s">
        <v>160</v>
      </c>
      <c r="C3667" s="133" t="s">
        <v>497</v>
      </c>
      <c r="D3667" s="133" t="s">
        <v>3288</v>
      </c>
      <c r="E3667" s="138">
        <v>5.45E-2</v>
      </c>
      <c r="F3667" s="153" t="s">
        <v>135</v>
      </c>
      <c r="G3667" s="153">
        <v>1</v>
      </c>
      <c r="H3667" s="133" t="s">
        <v>39</v>
      </c>
      <c r="I3667" s="133"/>
      <c r="J3667" s="133" t="s">
        <v>2474</v>
      </c>
      <c r="K3667" s="133" t="s">
        <v>831</v>
      </c>
      <c r="L3667" s="167"/>
      <c r="M3667" s="48"/>
      <c r="N3667" s="123"/>
    </row>
    <row r="3668" spans="1:14" customFormat="1" x14ac:dyDescent="0.55000000000000004">
      <c r="A3668" s="132" t="s">
        <v>2475</v>
      </c>
      <c r="B3668" s="133" t="s">
        <v>2874</v>
      </c>
      <c r="C3668" s="133" t="s">
        <v>497</v>
      </c>
      <c r="D3668" s="133" t="s">
        <v>3288</v>
      </c>
      <c r="E3668" s="138">
        <v>0</v>
      </c>
      <c r="F3668" s="153" t="s">
        <v>135</v>
      </c>
      <c r="G3668" s="153">
        <v>1</v>
      </c>
      <c r="H3668" s="133" t="s">
        <v>39</v>
      </c>
      <c r="I3668" s="133"/>
      <c r="J3668" s="133" t="s">
        <v>2474</v>
      </c>
      <c r="K3668" s="133" t="s">
        <v>831</v>
      </c>
      <c r="L3668" s="167"/>
      <c r="M3668" s="48"/>
      <c r="N3668" s="123"/>
    </row>
    <row r="3669" spans="1:14" customFormat="1" x14ac:dyDescent="0.55000000000000004">
      <c r="A3669" s="132" t="s">
        <v>2475</v>
      </c>
      <c r="B3669" s="133" t="s">
        <v>2880</v>
      </c>
      <c r="C3669" s="133" t="s">
        <v>497</v>
      </c>
      <c r="D3669" s="133" t="s">
        <v>3288</v>
      </c>
      <c r="E3669" s="138">
        <v>3.5499999999999998E-3</v>
      </c>
      <c r="F3669" s="153" t="s">
        <v>135</v>
      </c>
      <c r="G3669" s="153">
        <v>1</v>
      </c>
      <c r="H3669" s="133" t="s">
        <v>39</v>
      </c>
      <c r="I3669" s="133"/>
      <c r="J3669" s="133" t="s">
        <v>2474</v>
      </c>
      <c r="K3669" s="133" t="s">
        <v>831</v>
      </c>
      <c r="L3669" s="167"/>
      <c r="M3669" s="48"/>
      <c r="N3669" s="123"/>
    </row>
    <row r="3670" spans="1:14" customFormat="1" x14ac:dyDescent="0.55000000000000004">
      <c r="A3670" s="132" t="s">
        <v>2475</v>
      </c>
      <c r="B3670" s="133" t="s">
        <v>2790</v>
      </c>
      <c r="C3670" s="133" t="s">
        <v>497</v>
      </c>
      <c r="D3670" s="133" t="s">
        <v>3288</v>
      </c>
      <c r="E3670" s="138">
        <v>1.4E-3</v>
      </c>
      <c r="F3670" s="153" t="s">
        <v>135</v>
      </c>
      <c r="G3670" s="153">
        <v>1</v>
      </c>
      <c r="H3670" s="133" t="s">
        <v>39</v>
      </c>
      <c r="I3670" s="133"/>
      <c r="J3670" s="133" t="s">
        <v>2474</v>
      </c>
      <c r="K3670" s="133" t="s">
        <v>831</v>
      </c>
      <c r="L3670" s="167"/>
      <c r="M3670" s="48"/>
      <c r="N3670" s="123"/>
    </row>
    <row r="3671" spans="1:14" customFormat="1" x14ac:dyDescent="0.55000000000000004">
      <c r="A3671" s="132" t="s">
        <v>2475</v>
      </c>
      <c r="B3671" s="133" t="s">
        <v>2934</v>
      </c>
      <c r="C3671" s="133" t="s">
        <v>497</v>
      </c>
      <c r="D3671" s="133" t="s">
        <v>3288</v>
      </c>
      <c r="E3671" s="138">
        <v>5.8E-4</v>
      </c>
      <c r="F3671" s="153" t="s">
        <v>135</v>
      </c>
      <c r="G3671" s="153">
        <v>1</v>
      </c>
      <c r="H3671" s="133" t="s">
        <v>39</v>
      </c>
      <c r="I3671" s="133"/>
      <c r="J3671" s="133" t="s">
        <v>2474</v>
      </c>
      <c r="K3671" s="133" t="s">
        <v>831</v>
      </c>
      <c r="L3671" s="167"/>
      <c r="M3671" s="48"/>
      <c r="N3671" s="123"/>
    </row>
    <row r="3672" spans="1:14" customFormat="1" x14ac:dyDescent="0.55000000000000004">
      <c r="A3672" s="132" t="s">
        <v>2478</v>
      </c>
      <c r="B3672" s="133" t="s">
        <v>2907</v>
      </c>
      <c r="C3672" s="133" t="s">
        <v>121</v>
      </c>
      <c r="D3672" s="133" t="s">
        <v>2682</v>
      </c>
      <c r="E3672" s="138">
        <v>1</v>
      </c>
      <c r="F3672" s="153">
        <v>1</v>
      </c>
      <c r="G3672" s="153">
        <v>1</v>
      </c>
      <c r="H3672" s="133" t="s">
        <v>39</v>
      </c>
      <c r="I3672" s="133"/>
      <c r="J3672" s="133" t="s">
        <v>2477</v>
      </c>
      <c r="K3672" s="133" t="s">
        <v>831</v>
      </c>
      <c r="L3672" s="167"/>
      <c r="M3672" s="48"/>
      <c r="N3672" s="123"/>
    </row>
    <row r="3673" spans="1:14" customFormat="1" x14ac:dyDescent="0.55000000000000004">
      <c r="A3673" s="132" t="s">
        <v>2478</v>
      </c>
      <c r="B3673" s="133" t="s">
        <v>2908</v>
      </c>
      <c r="C3673" s="133" t="s">
        <v>348</v>
      </c>
      <c r="D3673" s="133" t="s">
        <v>3288</v>
      </c>
      <c r="E3673" s="138">
        <v>1</v>
      </c>
      <c r="F3673" s="153" t="s">
        <v>135</v>
      </c>
      <c r="G3673" s="153">
        <v>1</v>
      </c>
      <c r="H3673" s="133" t="s">
        <v>39</v>
      </c>
      <c r="I3673" s="133"/>
      <c r="J3673" s="133" t="s">
        <v>2477</v>
      </c>
      <c r="K3673" s="133" t="s">
        <v>831</v>
      </c>
      <c r="L3673" s="167"/>
      <c r="M3673" s="48"/>
      <c r="N3673" s="123"/>
    </row>
    <row r="3674" spans="1:14" customFormat="1" x14ac:dyDescent="0.55000000000000004">
      <c r="A3674" s="132" t="s">
        <v>2478</v>
      </c>
      <c r="B3674" s="133" t="s">
        <v>262</v>
      </c>
      <c r="C3674" s="133" t="s">
        <v>127</v>
      </c>
      <c r="D3674" s="133" t="s">
        <v>3288</v>
      </c>
      <c r="E3674" s="138">
        <v>0.15</v>
      </c>
      <c r="F3674" s="153" t="s">
        <v>135</v>
      </c>
      <c r="G3674" s="153">
        <v>1</v>
      </c>
      <c r="H3674" s="133" t="s">
        <v>39</v>
      </c>
      <c r="I3674" s="133"/>
      <c r="J3674" s="133" t="s">
        <v>2477</v>
      </c>
      <c r="K3674" s="133" t="s">
        <v>831</v>
      </c>
      <c r="L3674" s="167"/>
      <c r="M3674" s="48"/>
      <c r="N3674" s="123"/>
    </row>
    <row r="3675" spans="1:14" customFormat="1" x14ac:dyDescent="0.55000000000000004">
      <c r="A3675" s="132" t="s">
        <v>2478</v>
      </c>
      <c r="B3675" s="133" t="s">
        <v>2914</v>
      </c>
      <c r="C3675" s="133" t="s">
        <v>156</v>
      </c>
      <c r="D3675" s="133" t="s">
        <v>3288</v>
      </c>
      <c r="E3675" s="138">
        <v>0.2</v>
      </c>
      <c r="F3675" s="153" t="s">
        <v>135</v>
      </c>
      <c r="G3675" s="153">
        <v>1</v>
      </c>
      <c r="H3675" s="133" t="s">
        <v>39</v>
      </c>
      <c r="I3675" s="133" t="s">
        <v>2935</v>
      </c>
      <c r="J3675" s="133" t="s">
        <v>2477</v>
      </c>
      <c r="K3675" s="133" t="s">
        <v>831</v>
      </c>
      <c r="L3675" s="167"/>
      <c r="M3675" s="48"/>
      <c r="N3675" s="123"/>
    </row>
    <row r="3676" spans="1:14" customFormat="1" x14ac:dyDescent="0.55000000000000004">
      <c r="A3676" s="132" t="s">
        <v>2478</v>
      </c>
      <c r="B3676" s="133" t="s">
        <v>2936</v>
      </c>
      <c r="C3676" s="133" t="s">
        <v>156</v>
      </c>
      <c r="D3676" s="133" t="s">
        <v>3288</v>
      </c>
      <c r="E3676" s="138">
        <v>0.33</v>
      </c>
      <c r="F3676" s="153" t="s">
        <v>135</v>
      </c>
      <c r="G3676" s="153">
        <v>1</v>
      </c>
      <c r="H3676" s="133" t="s">
        <v>39</v>
      </c>
      <c r="I3676" s="133" t="s">
        <v>2937</v>
      </c>
      <c r="J3676" s="133" t="s">
        <v>2477</v>
      </c>
      <c r="K3676" s="133" t="s">
        <v>831</v>
      </c>
      <c r="L3676" s="167"/>
      <c r="M3676" s="48"/>
      <c r="N3676" s="123"/>
    </row>
    <row r="3677" spans="1:14" customFormat="1" x14ac:dyDescent="0.55000000000000004">
      <c r="A3677" s="132" t="s">
        <v>2478</v>
      </c>
      <c r="B3677" s="133" t="s">
        <v>160</v>
      </c>
      <c r="C3677" s="133" t="s">
        <v>497</v>
      </c>
      <c r="D3677" s="133" t="s">
        <v>3288</v>
      </c>
      <c r="E3677" s="138">
        <v>0.32900000000000001</v>
      </c>
      <c r="F3677" s="153" t="s">
        <v>135</v>
      </c>
      <c r="G3677" s="153">
        <v>1</v>
      </c>
      <c r="H3677" s="133" t="s">
        <v>39</v>
      </c>
      <c r="I3677" s="133"/>
      <c r="J3677" s="133" t="s">
        <v>2477</v>
      </c>
      <c r="K3677" s="133" t="s">
        <v>831</v>
      </c>
      <c r="L3677" s="167"/>
      <c r="M3677" s="48"/>
      <c r="N3677" s="123"/>
    </row>
    <row r="3678" spans="1:14" customFormat="1" x14ac:dyDescent="0.55000000000000004">
      <c r="A3678" s="132" t="s">
        <v>2478</v>
      </c>
      <c r="B3678" s="133" t="s">
        <v>2874</v>
      </c>
      <c r="C3678" s="133" t="s">
        <v>497</v>
      </c>
      <c r="D3678" s="133" t="s">
        <v>3288</v>
      </c>
      <c r="E3678" s="138">
        <v>4.9199999999999999E-3</v>
      </c>
      <c r="F3678" s="153" t="s">
        <v>135</v>
      </c>
      <c r="G3678" s="153">
        <v>1</v>
      </c>
      <c r="H3678" s="133" t="s">
        <v>39</v>
      </c>
      <c r="I3678" s="133"/>
      <c r="J3678" s="133" t="s">
        <v>2477</v>
      </c>
      <c r="K3678" s="133" t="s">
        <v>831</v>
      </c>
      <c r="L3678" s="167"/>
      <c r="M3678" s="48"/>
      <c r="N3678" s="123"/>
    </row>
    <row r="3679" spans="1:14" customFormat="1" x14ac:dyDescent="0.55000000000000004">
      <c r="A3679" s="132" t="s">
        <v>2478</v>
      </c>
      <c r="B3679" s="133" t="s">
        <v>2880</v>
      </c>
      <c r="C3679" s="133" t="s">
        <v>497</v>
      </c>
      <c r="D3679" s="133" t="s">
        <v>3288</v>
      </c>
      <c r="E3679" s="138">
        <v>1.9199999999999998E-3</v>
      </c>
      <c r="F3679" s="153" t="s">
        <v>135</v>
      </c>
      <c r="G3679" s="153">
        <v>1</v>
      </c>
      <c r="H3679" s="133" t="s">
        <v>39</v>
      </c>
      <c r="I3679" s="133"/>
      <c r="J3679" s="133" t="s">
        <v>2477</v>
      </c>
      <c r="K3679" s="133" t="s">
        <v>831</v>
      </c>
      <c r="L3679" s="167"/>
      <c r="M3679" s="48"/>
      <c r="N3679" s="123"/>
    </row>
    <row r="3680" spans="1:14" customFormat="1" x14ac:dyDescent="0.55000000000000004">
      <c r="A3680" s="132" t="s">
        <v>2478</v>
      </c>
      <c r="B3680" s="133" t="s">
        <v>2790</v>
      </c>
      <c r="C3680" s="133" t="s">
        <v>497</v>
      </c>
      <c r="D3680" s="133" t="s">
        <v>3288</v>
      </c>
      <c r="E3680" s="138">
        <v>7.2199999999999999E-4</v>
      </c>
      <c r="F3680" s="153" t="s">
        <v>135</v>
      </c>
      <c r="G3680" s="153">
        <v>1</v>
      </c>
      <c r="H3680" s="133" t="s">
        <v>39</v>
      </c>
      <c r="I3680" s="133"/>
      <c r="J3680" s="133" t="s">
        <v>2477</v>
      </c>
      <c r="K3680" s="133" t="s">
        <v>831</v>
      </c>
      <c r="L3680" s="167"/>
      <c r="M3680" s="48"/>
      <c r="N3680" s="123"/>
    </row>
    <row r="3681" spans="1:14" customFormat="1" x14ac:dyDescent="0.55000000000000004">
      <c r="A3681" s="132" t="s">
        <v>2478</v>
      </c>
      <c r="B3681" s="133" t="s">
        <v>1162</v>
      </c>
      <c r="C3681" s="133" t="s">
        <v>497</v>
      </c>
      <c r="D3681" s="133" t="s">
        <v>3288</v>
      </c>
      <c r="E3681" s="138">
        <v>9.0200000000000002E-3</v>
      </c>
      <c r="F3681" s="153" t="s">
        <v>135</v>
      </c>
      <c r="G3681" s="153">
        <v>1</v>
      </c>
      <c r="H3681" s="133" t="s">
        <v>39</v>
      </c>
      <c r="I3681" s="133"/>
      <c r="J3681" s="133" t="s">
        <v>2477</v>
      </c>
      <c r="K3681" s="133" t="s">
        <v>831</v>
      </c>
      <c r="L3681" s="167"/>
      <c r="M3681" s="48"/>
      <c r="N3681" s="123"/>
    </row>
    <row r="3682" spans="1:14" customFormat="1" x14ac:dyDescent="0.55000000000000004">
      <c r="A3682" s="132" t="s">
        <v>2478</v>
      </c>
      <c r="B3682" s="133" t="s">
        <v>2921</v>
      </c>
      <c r="C3682" s="133" t="s">
        <v>497</v>
      </c>
      <c r="D3682" s="133" t="s">
        <v>3288</v>
      </c>
      <c r="E3682" s="138">
        <v>7.3900000000000007E-2</v>
      </c>
      <c r="F3682" s="153" t="s">
        <v>135</v>
      </c>
      <c r="G3682" s="153">
        <v>1</v>
      </c>
      <c r="H3682" s="133" t="s">
        <v>39</v>
      </c>
      <c r="I3682" s="133"/>
      <c r="J3682" s="133" t="s">
        <v>2477</v>
      </c>
      <c r="K3682" s="133" t="s">
        <v>831</v>
      </c>
      <c r="L3682" s="167"/>
      <c r="M3682" s="48"/>
      <c r="N3682" s="123"/>
    </row>
    <row r="3683" spans="1:14" customFormat="1" x14ac:dyDescent="0.55000000000000004">
      <c r="A3683" s="132" t="s">
        <v>2478</v>
      </c>
      <c r="B3683" s="133" t="s">
        <v>2922</v>
      </c>
      <c r="C3683" s="133" t="s">
        <v>497</v>
      </c>
      <c r="D3683" s="133" t="s">
        <v>3288</v>
      </c>
      <c r="E3683" s="138">
        <v>3.0400000000000002E-3</v>
      </c>
      <c r="F3683" s="153" t="s">
        <v>135</v>
      </c>
      <c r="G3683" s="153">
        <v>1</v>
      </c>
      <c r="H3683" s="133" t="s">
        <v>39</v>
      </c>
      <c r="I3683" s="133"/>
      <c r="J3683" s="133" t="s">
        <v>2477</v>
      </c>
      <c r="K3683" s="133" t="s">
        <v>831</v>
      </c>
      <c r="L3683" s="167"/>
      <c r="M3683" s="48"/>
      <c r="N3683" s="123"/>
    </row>
    <row r="3684" spans="1:14" customFormat="1" x14ac:dyDescent="0.55000000000000004">
      <c r="A3684" s="132" t="s">
        <v>2478</v>
      </c>
      <c r="B3684" s="133" t="s">
        <v>2934</v>
      </c>
      <c r="C3684" s="133" t="s">
        <v>497</v>
      </c>
      <c r="D3684" s="133" t="s">
        <v>3288</v>
      </c>
      <c r="E3684" s="138">
        <v>1.5E-3</v>
      </c>
      <c r="F3684" s="153" t="s">
        <v>135</v>
      </c>
      <c r="G3684" s="153">
        <v>1</v>
      </c>
      <c r="H3684" s="133" t="s">
        <v>39</v>
      </c>
      <c r="I3684" s="133"/>
      <c r="J3684" s="133" t="s">
        <v>2477</v>
      </c>
      <c r="K3684" s="133" t="s">
        <v>831</v>
      </c>
      <c r="L3684" s="167"/>
      <c r="M3684" s="48"/>
      <c r="N3684" s="123"/>
    </row>
    <row r="3685" spans="1:14" customFormat="1" x14ac:dyDescent="0.55000000000000004">
      <c r="A3685" s="132" t="s">
        <v>2478</v>
      </c>
      <c r="B3685" s="133" t="s">
        <v>2924</v>
      </c>
      <c r="C3685" s="133" t="s">
        <v>497</v>
      </c>
      <c r="D3685" s="133" t="s">
        <v>3288</v>
      </c>
      <c r="E3685" s="138">
        <v>4.1599999999999997E-7</v>
      </c>
      <c r="F3685" s="153" t="s">
        <v>135</v>
      </c>
      <c r="G3685" s="153">
        <v>1</v>
      </c>
      <c r="H3685" s="133" t="s">
        <v>39</v>
      </c>
      <c r="I3685" s="133"/>
      <c r="J3685" s="133" t="s">
        <v>2477</v>
      </c>
      <c r="K3685" s="133" t="s">
        <v>831</v>
      </c>
      <c r="L3685" s="167"/>
      <c r="M3685" s="48"/>
      <c r="N3685" s="123"/>
    </row>
    <row r="3686" spans="1:14" customFormat="1" x14ac:dyDescent="0.55000000000000004">
      <c r="A3686" s="132" t="s">
        <v>2478</v>
      </c>
      <c r="B3686" s="133" t="s">
        <v>2925</v>
      </c>
      <c r="C3686" s="133" t="s">
        <v>497</v>
      </c>
      <c r="D3686" s="133" t="s">
        <v>3288</v>
      </c>
      <c r="E3686" s="138">
        <v>7.2E-9</v>
      </c>
      <c r="F3686" s="153" t="s">
        <v>135</v>
      </c>
      <c r="G3686" s="153">
        <v>1</v>
      </c>
      <c r="H3686" s="133" t="s">
        <v>39</v>
      </c>
      <c r="I3686" s="133"/>
      <c r="J3686" s="133" t="s">
        <v>2477</v>
      </c>
      <c r="K3686" s="133" t="s">
        <v>831</v>
      </c>
      <c r="L3686" s="167"/>
      <c r="M3686" s="48"/>
      <c r="N3686" s="123"/>
    </row>
    <row r="3687" spans="1:14" customFormat="1" x14ac:dyDescent="0.55000000000000004">
      <c r="A3687" s="132" t="s">
        <v>2478</v>
      </c>
      <c r="B3687" s="133" t="s">
        <v>2926</v>
      </c>
      <c r="C3687" s="133" t="s">
        <v>497</v>
      </c>
      <c r="D3687" s="133" t="s">
        <v>3288</v>
      </c>
      <c r="E3687" s="138">
        <v>2.16E-7</v>
      </c>
      <c r="F3687" s="153" t="s">
        <v>135</v>
      </c>
      <c r="G3687" s="153">
        <v>1</v>
      </c>
      <c r="H3687" s="133" t="s">
        <v>39</v>
      </c>
      <c r="I3687" s="133"/>
      <c r="J3687" s="133" t="s">
        <v>2477</v>
      </c>
      <c r="K3687" s="133" t="s">
        <v>831</v>
      </c>
      <c r="L3687" s="167"/>
      <c r="M3687" s="48"/>
      <c r="N3687" s="123"/>
    </row>
    <row r="3688" spans="1:14" customFormat="1" x14ac:dyDescent="0.55000000000000004">
      <c r="A3688" s="132" t="s">
        <v>2478</v>
      </c>
      <c r="B3688" s="133" t="s">
        <v>2927</v>
      </c>
      <c r="C3688" s="133" t="s">
        <v>497</v>
      </c>
      <c r="D3688" s="133" t="s">
        <v>3288</v>
      </c>
      <c r="E3688" s="138">
        <v>2.3400000000000001E-8</v>
      </c>
      <c r="F3688" s="153" t="s">
        <v>135</v>
      </c>
      <c r="G3688" s="153">
        <v>1</v>
      </c>
      <c r="H3688" s="133" t="s">
        <v>39</v>
      </c>
      <c r="I3688" s="133"/>
      <c r="J3688" s="133" t="s">
        <v>2477</v>
      </c>
      <c r="K3688" s="133" t="s">
        <v>831</v>
      </c>
      <c r="L3688" s="167"/>
      <c r="M3688" s="48"/>
      <c r="N3688" s="123"/>
    </row>
    <row r="3689" spans="1:14" customFormat="1" x14ac:dyDescent="0.55000000000000004">
      <c r="A3689" s="132" t="s">
        <v>2478</v>
      </c>
      <c r="B3689" s="133" t="s">
        <v>2928</v>
      </c>
      <c r="C3689" s="133" t="s">
        <v>497</v>
      </c>
      <c r="D3689" s="133" t="s">
        <v>3288</v>
      </c>
      <c r="E3689" s="138">
        <v>2.7500000000000001E-7</v>
      </c>
      <c r="F3689" s="153" t="s">
        <v>135</v>
      </c>
      <c r="G3689" s="153">
        <v>1</v>
      </c>
      <c r="H3689" s="133" t="s">
        <v>39</v>
      </c>
      <c r="I3689" s="133"/>
      <c r="J3689" s="133" t="s">
        <v>2477</v>
      </c>
      <c r="K3689" s="133" t="s">
        <v>831</v>
      </c>
      <c r="L3689" s="167"/>
      <c r="M3689" s="48"/>
      <c r="N3689" s="123"/>
    </row>
    <row r="3690" spans="1:14" customFormat="1" x14ac:dyDescent="0.55000000000000004">
      <c r="A3690" s="132" t="s">
        <v>2478</v>
      </c>
      <c r="B3690" s="133" t="s">
        <v>2929</v>
      </c>
      <c r="C3690" s="133" t="s">
        <v>497</v>
      </c>
      <c r="D3690" s="133" t="s">
        <v>3288</v>
      </c>
      <c r="E3690" s="138">
        <v>2.1900000000000002E-6</v>
      </c>
      <c r="F3690" s="153" t="s">
        <v>135</v>
      </c>
      <c r="G3690" s="153">
        <v>1</v>
      </c>
      <c r="H3690" s="133" t="s">
        <v>39</v>
      </c>
      <c r="I3690" s="133"/>
      <c r="J3690" s="133" t="s">
        <v>2477</v>
      </c>
      <c r="K3690" s="133" t="s">
        <v>831</v>
      </c>
      <c r="L3690" s="167"/>
      <c r="M3690" s="48"/>
      <c r="N3690" s="123"/>
    </row>
    <row r="3691" spans="1:14" customFormat="1" x14ac:dyDescent="0.55000000000000004">
      <c r="A3691" s="132" t="s">
        <v>2478</v>
      </c>
      <c r="B3691" s="133" t="s">
        <v>2930</v>
      </c>
      <c r="C3691" s="133" t="s">
        <v>497</v>
      </c>
      <c r="D3691" s="133" t="s">
        <v>3288</v>
      </c>
      <c r="E3691" s="138">
        <v>2.96E-6</v>
      </c>
      <c r="F3691" s="153" t="s">
        <v>135</v>
      </c>
      <c r="G3691" s="153">
        <v>1</v>
      </c>
      <c r="H3691" s="133" t="s">
        <v>39</v>
      </c>
      <c r="I3691" s="133"/>
      <c r="J3691" s="133" t="s">
        <v>2477</v>
      </c>
      <c r="K3691" s="133" t="s">
        <v>831</v>
      </c>
      <c r="L3691" s="167"/>
      <c r="M3691" s="48"/>
      <c r="N3691" s="123"/>
    </row>
    <row r="3692" spans="1:14" customFormat="1" x14ac:dyDescent="0.55000000000000004">
      <c r="A3692" s="133" t="s">
        <v>2482</v>
      </c>
      <c r="B3692" s="133" t="s">
        <v>2938</v>
      </c>
      <c r="C3692" s="133" t="s">
        <v>121</v>
      </c>
      <c r="D3692" s="133" t="s">
        <v>2682</v>
      </c>
      <c r="E3692" s="138">
        <v>1</v>
      </c>
      <c r="F3692" s="153">
        <v>1</v>
      </c>
      <c r="G3692" s="153">
        <v>1</v>
      </c>
      <c r="H3692" s="133" t="s">
        <v>39</v>
      </c>
      <c r="I3692" s="133"/>
      <c r="J3692" s="133" t="s">
        <v>2481</v>
      </c>
      <c r="K3692" s="133"/>
      <c r="L3692" s="167"/>
      <c r="M3692" s="48"/>
      <c r="N3692" s="123"/>
    </row>
    <row r="3693" spans="1:14" customFormat="1" x14ac:dyDescent="0.55000000000000004">
      <c r="A3693" s="133" t="s">
        <v>2482</v>
      </c>
      <c r="B3693" s="133" t="s">
        <v>2939</v>
      </c>
      <c r="C3693" s="133" t="s">
        <v>207</v>
      </c>
      <c r="D3693" s="133" t="s">
        <v>3288</v>
      </c>
      <c r="E3693" s="138">
        <v>1</v>
      </c>
      <c r="F3693" s="153" t="s">
        <v>122</v>
      </c>
      <c r="G3693" s="153">
        <v>1</v>
      </c>
      <c r="H3693" s="133" t="s">
        <v>39</v>
      </c>
      <c r="I3693" s="133"/>
      <c r="J3693" s="133" t="s">
        <v>2481</v>
      </c>
      <c r="K3693" s="133"/>
      <c r="L3693" s="167"/>
      <c r="M3693" s="48"/>
      <c r="N3693" s="123"/>
    </row>
    <row r="3694" spans="1:14" customFormat="1" x14ac:dyDescent="0.55000000000000004">
      <c r="A3694" s="133" t="s">
        <v>2482</v>
      </c>
      <c r="B3694" s="133" t="s">
        <v>2631</v>
      </c>
      <c r="C3694" s="133" t="s">
        <v>127</v>
      </c>
      <c r="D3694" s="133" t="s">
        <v>2994</v>
      </c>
      <c r="E3694" s="138">
        <v>0.8</v>
      </c>
      <c r="F3694" s="153" t="s">
        <v>130</v>
      </c>
      <c r="G3694" s="153">
        <v>1</v>
      </c>
      <c r="H3694" s="133" t="s">
        <v>39</v>
      </c>
      <c r="I3694" s="133"/>
      <c r="J3694" s="133" t="s">
        <v>2481</v>
      </c>
      <c r="K3694" s="133"/>
      <c r="L3694" s="167"/>
      <c r="M3694" s="48"/>
      <c r="N3694" s="123"/>
    </row>
    <row r="3695" spans="1:14" customFormat="1" x14ac:dyDescent="0.55000000000000004">
      <c r="A3695" s="133" t="s">
        <v>2482</v>
      </c>
      <c r="B3695" s="133" t="s">
        <v>148</v>
      </c>
      <c r="C3695" s="133" t="s">
        <v>125</v>
      </c>
      <c r="D3695" s="133" t="s">
        <v>3288</v>
      </c>
      <c r="E3695" s="138">
        <v>0.35</v>
      </c>
      <c r="F3695" s="153" t="s">
        <v>122</v>
      </c>
      <c r="G3695" s="153">
        <v>1</v>
      </c>
      <c r="H3695" s="133" t="s">
        <v>39</v>
      </c>
      <c r="I3695" s="133"/>
      <c r="J3695" s="133" t="s">
        <v>2481</v>
      </c>
      <c r="K3695" s="133"/>
      <c r="L3695" s="167">
        <v>2815</v>
      </c>
      <c r="M3695" s="48"/>
      <c r="N3695" s="123"/>
    </row>
    <row r="3696" spans="1:14" customFormat="1" x14ac:dyDescent="0.55000000000000004">
      <c r="A3696" s="133" t="s">
        <v>2482</v>
      </c>
      <c r="B3696" s="133" t="s">
        <v>154</v>
      </c>
      <c r="C3696" s="133" t="s">
        <v>132</v>
      </c>
      <c r="D3696" s="133" t="s">
        <v>3289</v>
      </c>
      <c r="E3696" s="138">
        <v>1E-3</v>
      </c>
      <c r="F3696" s="153" t="s">
        <v>133</v>
      </c>
      <c r="G3696" s="153">
        <v>1</v>
      </c>
      <c r="H3696" s="133" t="s">
        <v>39</v>
      </c>
      <c r="I3696" s="133"/>
      <c r="J3696" s="133" t="s">
        <v>2481</v>
      </c>
      <c r="K3696" s="133"/>
      <c r="L3696" s="167"/>
      <c r="M3696" s="48"/>
      <c r="N3696" s="123"/>
    </row>
    <row r="3697" spans="1:14" customFormat="1" x14ac:dyDescent="0.55000000000000004">
      <c r="A3697" s="133" t="s">
        <v>2482</v>
      </c>
      <c r="B3697" s="133" t="s">
        <v>2940</v>
      </c>
      <c r="C3697" s="133" t="s">
        <v>156</v>
      </c>
      <c r="D3697" s="133" t="s">
        <v>3288</v>
      </c>
      <c r="E3697" s="138">
        <v>0.27</v>
      </c>
      <c r="F3697" s="153" t="s">
        <v>122</v>
      </c>
      <c r="G3697" s="153">
        <v>1</v>
      </c>
      <c r="H3697" s="133" t="s">
        <v>39</v>
      </c>
      <c r="I3697" s="133"/>
      <c r="J3697" s="133" t="s">
        <v>2481</v>
      </c>
      <c r="K3697" s="133"/>
      <c r="L3697" s="167">
        <v>7204</v>
      </c>
      <c r="M3697" s="48"/>
      <c r="N3697" s="123"/>
    </row>
    <row r="3698" spans="1:14" customFormat="1" x14ac:dyDescent="0.55000000000000004">
      <c r="A3698" s="133" t="s">
        <v>2482</v>
      </c>
      <c r="B3698" s="133" t="s">
        <v>2941</v>
      </c>
      <c r="C3698" s="133" t="s">
        <v>156</v>
      </c>
      <c r="D3698" s="133" t="s">
        <v>3288</v>
      </c>
      <c r="E3698" s="138">
        <v>0.01</v>
      </c>
      <c r="F3698" s="153" t="s">
        <v>122</v>
      </c>
      <c r="G3698" s="153">
        <v>1</v>
      </c>
      <c r="H3698" s="133" t="s">
        <v>39</v>
      </c>
      <c r="I3698" s="133"/>
      <c r="J3698" s="133" t="s">
        <v>2481</v>
      </c>
      <c r="K3698" s="133"/>
      <c r="L3698" s="167">
        <v>282010</v>
      </c>
      <c r="M3698" s="48"/>
      <c r="N3698" s="123"/>
    </row>
    <row r="3699" spans="1:14" customFormat="1" x14ac:dyDescent="0.55000000000000004">
      <c r="A3699" s="133" t="s">
        <v>2482</v>
      </c>
      <c r="B3699" s="133" t="s">
        <v>2942</v>
      </c>
      <c r="C3699" s="133" t="s">
        <v>156</v>
      </c>
      <c r="D3699" s="133" t="s">
        <v>3288</v>
      </c>
      <c r="E3699" s="138">
        <v>0.192</v>
      </c>
      <c r="F3699" s="153" t="s">
        <v>122</v>
      </c>
      <c r="G3699" s="153">
        <v>1</v>
      </c>
      <c r="H3699" s="133" t="s">
        <v>39</v>
      </c>
      <c r="I3699" s="133"/>
      <c r="J3699" s="133" t="s">
        <v>2481</v>
      </c>
      <c r="K3699" s="133"/>
      <c r="L3699" s="167">
        <v>8105</v>
      </c>
      <c r="M3699" s="48"/>
      <c r="N3699" s="123"/>
    </row>
    <row r="3700" spans="1:14" customFormat="1" x14ac:dyDescent="0.55000000000000004">
      <c r="A3700" s="133" t="s">
        <v>2482</v>
      </c>
      <c r="B3700" s="133" t="s">
        <v>2943</v>
      </c>
      <c r="C3700" s="133" t="s">
        <v>163</v>
      </c>
      <c r="D3700" s="133" t="s">
        <v>3288</v>
      </c>
      <c r="E3700" s="138">
        <v>0.24</v>
      </c>
      <c r="F3700" s="153" t="s">
        <v>122</v>
      </c>
      <c r="G3700" s="153">
        <v>1</v>
      </c>
      <c r="H3700" s="133" t="s">
        <v>39</v>
      </c>
      <c r="I3700" s="133"/>
      <c r="J3700" s="133" t="s">
        <v>2481</v>
      </c>
      <c r="K3700" s="133"/>
      <c r="L3700" s="167"/>
      <c r="M3700" s="48"/>
      <c r="N3700" s="123"/>
    </row>
    <row r="3701" spans="1:14" customFormat="1" x14ac:dyDescent="0.55000000000000004">
      <c r="A3701" s="133" t="s">
        <v>2482</v>
      </c>
      <c r="B3701" s="133" t="s">
        <v>2637</v>
      </c>
      <c r="C3701" s="133" t="s">
        <v>163</v>
      </c>
      <c r="D3701" s="133" t="s">
        <v>3288</v>
      </c>
      <c r="E3701" s="138">
        <v>0.2</v>
      </c>
      <c r="F3701" s="153" t="s">
        <v>122</v>
      </c>
      <c r="G3701" s="153">
        <v>1</v>
      </c>
      <c r="H3701" s="133" t="s">
        <v>39</v>
      </c>
      <c r="I3701" s="133"/>
      <c r="J3701" s="133" t="s">
        <v>2481</v>
      </c>
      <c r="K3701" s="133"/>
      <c r="L3701" s="167">
        <v>3915</v>
      </c>
      <c r="M3701" s="48"/>
      <c r="N3701" s="123"/>
    </row>
    <row r="3702" spans="1:14" customFormat="1" x14ac:dyDescent="0.55000000000000004">
      <c r="A3702" s="133" t="s">
        <v>2482</v>
      </c>
      <c r="B3702" s="133" t="s">
        <v>1097</v>
      </c>
      <c r="C3702" s="133" t="s">
        <v>124</v>
      </c>
      <c r="D3702" s="133" t="s">
        <v>3288</v>
      </c>
      <c r="E3702" s="138">
        <v>1.0399999999999999E-4</v>
      </c>
      <c r="F3702" s="153" t="s">
        <v>122</v>
      </c>
      <c r="G3702" s="153">
        <v>1</v>
      </c>
      <c r="H3702" s="133" t="s">
        <v>39</v>
      </c>
      <c r="I3702" s="133"/>
      <c r="J3702" s="133" t="s">
        <v>2481</v>
      </c>
      <c r="K3702" s="133"/>
      <c r="L3702" s="167"/>
      <c r="M3702" s="48"/>
      <c r="N3702" s="123"/>
    </row>
    <row r="3703" spans="1:14" customFormat="1" x14ac:dyDescent="0.55000000000000004">
      <c r="A3703" s="133" t="s">
        <v>2482</v>
      </c>
      <c r="B3703" s="133" t="s">
        <v>1098</v>
      </c>
      <c r="C3703" s="133" t="s">
        <v>124</v>
      </c>
      <c r="D3703" s="133" t="s">
        <v>3288</v>
      </c>
      <c r="E3703" s="138">
        <v>1.04E-5</v>
      </c>
      <c r="F3703" s="153" t="s">
        <v>122</v>
      </c>
      <c r="G3703" s="153">
        <v>1</v>
      </c>
      <c r="H3703" s="133" t="s">
        <v>39</v>
      </c>
      <c r="I3703" s="133"/>
      <c r="J3703" s="133" t="s">
        <v>2481</v>
      </c>
      <c r="K3703" s="133"/>
      <c r="L3703" s="167"/>
      <c r="M3703" s="48"/>
      <c r="N3703" s="123"/>
    </row>
    <row r="3704" spans="1:14" customFormat="1" x14ac:dyDescent="0.55000000000000004">
      <c r="A3704" s="133" t="s">
        <v>2482</v>
      </c>
      <c r="B3704" s="133" t="s">
        <v>1099</v>
      </c>
      <c r="C3704" s="133" t="s">
        <v>124</v>
      </c>
      <c r="D3704" s="133" t="s">
        <v>3288</v>
      </c>
      <c r="E3704" s="138">
        <v>9.3599999999999998E-5</v>
      </c>
      <c r="F3704" s="153" t="s">
        <v>122</v>
      </c>
      <c r="G3704" s="153">
        <v>1</v>
      </c>
      <c r="H3704" s="133" t="s">
        <v>39</v>
      </c>
      <c r="I3704" s="133"/>
      <c r="J3704" s="133" t="s">
        <v>2481</v>
      </c>
      <c r="K3704" s="133"/>
      <c r="L3704" s="167"/>
      <c r="M3704" s="48"/>
      <c r="N3704" s="123"/>
    </row>
    <row r="3705" spans="1:14" customFormat="1" x14ac:dyDescent="0.55000000000000004">
      <c r="A3705" s="133" t="s">
        <v>2482</v>
      </c>
      <c r="B3705" s="133" t="s">
        <v>1172</v>
      </c>
      <c r="C3705" s="133" t="s">
        <v>124</v>
      </c>
      <c r="D3705" s="133" t="s">
        <v>3288</v>
      </c>
      <c r="E3705" s="138">
        <v>4.8000000000000001E-5</v>
      </c>
      <c r="F3705" s="153" t="s">
        <v>122</v>
      </c>
      <c r="G3705" s="153">
        <v>1</v>
      </c>
      <c r="H3705" s="133" t="s">
        <v>39</v>
      </c>
      <c r="I3705" s="133"/>
      <c r="J3705" s="133" t="s">
        <v>2481</v>
      </c>
      <c r="K3705" s="133"/>
      <c r="L3705" s="167"/>
      <c r="M3705" s="48"/>
      <c r="N3705" s="123"/>
    </row>
    <row r="3706" spans="1:14" customFormat="1" x14ac:dyDescent="0.55000000000000004">
      <c r="A3706" s="133" t="s">
        <v>2482</v>
      </c>
      <c r="B3706" s="133" t="s">
        <v>154</v>
      </c>
      <c r="C3706" s="133" t="s">
        <v>124</v>
      </c>
      <c r="D3706" s="133" t="s">
        <v>3289</v>
      </c>
      <c r="E3706" s="138">
        <v>1E-3</v>
      </c>
      <c r="F3706" s="153" t="s">
        <v>133</v>
      </c>
      <c r="G3706" s="153">
        <v>1</v>
      </c>
      <c r="H3706" s="133" t="s">
        <v>39</v>
      </c>
      <c r="I3706" s="133"/>
      <c r="J3706" s="133" t="s">
        <v>2481</v>
      </c>
      <c r="K3706" s="133"/>
      <c r="L3706" s="167"/>
      <c r="M3706" s="48"/>
      <c r="N3706" s="123"/>
    </row>
    <row r="3707" spans="1:14" customFormat="1" x14ac:dyDescent="0.55000000000000004">
      <c r="A3707" s="133" t="s">
        <v>2482</v>
      </c>
      <c r="B3707" s="133" t="s">
        <v>2604</v>
      </c>
      <c r="C3707" s="133" t="s">
        <v>124</v>
      </c>
      <c r="D3707" s="133" t="s">
        <v>3288</v>
      </c>
      <c r="E3707" s="138">
        <v>0.04</v>
      </c>
      <c r="F3707" s="153" t="s">
        <v>122</v>
      </c>
      <c r="G3707" s="153">
        <v>1</v>
      </c>
      <c r="H3707" s="133" t="s">
        <v>39</v>
      </c>
      <c r="I3707" s="133"/>
      <c r="J3707" s="133" t="s">
        <v>2481</v>
      </c>
      <c r="K3707" s="133"/>
      <c r="L3707" s="167"/>
      <c r="M3707" s="48"/>
      <c r="N3707" s="123"/>
    </row>
    <row r="3708" spans="1:14" customFormat="1" x14ac:dyDescent="0.55000000000000004">
      <c r="A3708" s="133" t="s">
        <v>2482</v>
      </c>
      <c r="B3708" s="133" t="s">
        <v>2944</v>
      </c>
      <c r="C3708" s="133" t="s">
        <v>124</v>
      </c>
      <c r="D3708" s="133" t="s">
        <v>3288</v>
      </c>
      <c r="E3708" s="138">
        <v>0.06</v>
      </c>
      <c r="F3708" s="153" t="s">
        <v>122</v>
      </c>
      <c r="G3708" s="153">
        <v>1</v>
      </c>
      <c r="H3708" s="133" t="s">
        <v>39</v>
      </c>
      <c r="I3708" s="133"/>
      <c r="J3708" s="133" t="s">
        <v>2481</v>
      </c>
      <c r="K3708" s="133"/>
      <c r="L3708" s="167"/>
      <c r="M3708" s="48"/>
      <c r="N3708" s="123"/>
    </row>
    <row r="3709" spans="1:14" customFormat="1" x14ac:dyDescent="0.55000000000000004">
      <c r="A3709" s="133" t="s">
        <v>2482</v>
      </c>
      <c r="B3709" s="133" t="s">
        <v>181</v>
      </c>
      <c r="C3709" s="133" t="s">
        <v>163</v>
      </c>
      <c r="D3709" s="133" t="s">
        <v>3288</v>
      </c>
      <c r="E3709" s="138">
        <v>0.3377440000000001</v>
      </c>
      <c r="F3709" s="153" t="s">
        <v>122</v>
      </c>
      <c r="G3709" s="153">
        <v>1</v>
      </c>
      <c r="H3709" s="133" t="s">
        <v>39</v>
      </c>
      <c r="I3709" s="133"/>
      <c r="J3709" s="133" t="s">
        <v>2481</v>
      </c>
      <c r="K3709" s="133"/>
      <c r="L3709" s="167"/>
      <c r="M3709" s="48"/>
      <c r="N3709" s="123"/>
    </row>
    <row r="3710" spans="1:14" customFormat="1" x14ac:dyDescent="0.55000000000000004">
      <c r="A3710" s="133" t="s">
        <v>2488</v>
      </c>
      <c r="B3710" s="133" t="s">
        <v>2945</v>
      </c>
      <c r="C3710" s="133" t="s">
        <v>121</v>
      </c>
      <c r="D3710" s="133" t="s">
        <v>2682</v>
      </c>
      <c r="E3710" s="138">
        <v>1</v>
      </c>
      <c r="F3710" s="153">
        <v>1</v>
      </c>
      <c r="G3710" s="153">
        <v>1</v>
      </c>
      <c r="H3710" s="133" t="s">
        <v>39</v>
      </c>
      <c r="I3710" s="133"/>
      <c r="J3710" s="133" t="s">
        <v>2487</v>
      </c>
      <c r="K3710" s="133"/>
      <c r="L3710" s="167"/>
      <c r="M3710" s="48"/>
      <c r="N3710" s="123"/>
    </row>
    <row r="3711" spans="1:14" customFormat="1" x14ac:dyDescent="0.55000000000000004">
      <c r="A3711" s="133" t="s">
        <v>2488</v>
      </c>
      <c r="B3711" s="133" t="s">
        <v>2946</v>
      </c>
      <c r="C3711" s="133" t="s">
        <v>348</v>
      </c>
      <c r="D3711" s="133" t="s">
        <v>3288</v>
      </c>
      <c r="E3711" s="138">
        <v>1</v>
      </c>
      <c r="F3711" s="153" t="s">
        <v>122</v>
      </c>
      <c r="G3711" s="153">
        <v>1</v>
      </c>
      <c r="H3711" s="133" t="s">
        <v>39</v>
      </c>
      <c r="I3711" s="133"/>
      <c r="J3711" s="133" t="s">
        <v>2487</v>
      </c>
      <c r="K3711" s="133"/>
      <c r="L3711" s="167"/>
      <c r="M3711" s="48"/>
      <c r="N3711" s="123"/>
    </row>
    <row r="3712" spans="1:14" customFormat="1" x14ac:dyDescent="0.55000000000000004">
      <c r="A3712" s="133" t="s">
        <v>2488</v>
      </c>
      <c r="B3712" s="133" t="s">
        <v>1088</v>
      </c>
      <c r="C3712" s="133" t="s">
        <v>127</v>
      </c>
      <c r="D3712" s="133" t="s">
        <v>2994</v>
      </c>
      <c r="E3712" s="138">
        <v>1.36</v>
      </c>
      <c r="F3712" s="153" t="s">
        <v>130</v>
      </c>
      <c r="G3712" s="153">
        <v>1</v>
      </c>
      <c r="H3712" s="133" t="s">
        <v>39</v>
      </c>
      <c r="I3712" s="133"/>
      <c r="J3712" s="133" t="s">
        <v>2487</v>
      </c>
      <c r="K3712" s="133"/>
      <c r="L3712" s="167"/>
      <c r="M3712" s="48"/>
      <c r="N3712" s="123"/>
    </row>
    <row r="3713" spans="1:14" customFormat="1" x14ac:dyDescent="0.55000000000000004">
      <c r="A3713" s="133" t="s">
        <v>2488</v>
      </c>
      <c r="B3713" s="133" t="s">
        <v>1089</v>
      </c>
      <c r="C3713" s="133" t="s">
        <v>127</v>
      </c>
      <c r="D3713" s="133" t="s">
        <v>2994</v>
      </c>
      <c r="E3713" s="138">
        <v>0.17100000000000001</v>
      </c>
      <c r="F3713" s="153" t="s">
        <v>167</v>
      </c>
      <c r="G3713" s="153">
        <v>1</v>
      </c>
      <c r="H3713" s="133" t="s">
        <v>39</v>
      </c>
      <c r="I3713" s="133"/>
      <c r="J3713" s="133" t="s">
        <v>2487</v>
      </c>
      <c r="K3713" s="133"/>
      <c r="L3713" s="167"/>
      <c r="M3713" s="48"/>
      <c r="N3713" s="123"/>
    </row>
    <row r="3714" spans="1:14" customFormat="1" x14ac:dyDescent="0.55000000000000004">
      <c r="A3714" s="133" t="s">
        <v>2488</v>
      </c>
      <c r="B3714" s="133" t="s">
        <v>1090</v>
      </c>
      <c r="C3714" s="133" t="s">
        <v>125</v>
      </c>
      <c r="D3714" s="133" t="s">
        <v>3288</v>
      </c>
      <c r="E3714" s="138">
        <v>5.2400000000000002E-2</v>
      </c>
      <c r="F3714" s="153" t="s">
        <v>122</v>
      </c>
      <c r="G3714" s="153">
        <v>1</v>
      </c>
      <c r="H3714" s="133" t="s">
        <v>39</v>
      </c>
      <c r="I3714" s="133"/>
      <c r="J3714" s="133" t="s">
        <v>2487</v>
      </c>
      <c r="K3714" s="133"/>
      <c r="L3714" s="167">
        <v>280440</v>
      </c>
      <c r="M3714" s="48"/>
      <c r="N3714" s="123"/>
    </row>
    <row r="3715" spans="1:14" customFormat="1" x14ac:dyDescent="0.55000000000000004">
      <c r="A3715" s="133" t="s">
        <v>2488</v>
      </c>
      <c r="B3715" s="133" t="s">
        <v>1138</v>
      </c>
      <c r="C3715" s="133" t="s">
        <v>156</v>
      </c>
      <c r="D3715" s="133" t="s">
        <v>3288</v>
      </c>
      <c r="E3715" s="138">
        <v>0.21</v>
      </c>
      <c r="F3715" s="153" t="s">
        <v>122</v>
      </c>
      <c r="G3715" s="153">
        <v>1</v>
      </c>
      <c r="H3715" s="133" t="s">
        <v>39</v>
      </c>
      <c r="I3715" s="133"/>
      <c r="J3715" s="133" t="s">
        <v>2487</v>
      </c>
      <c r="K3715" s="133"/>
      <c r="L3715" s="167">
        <v>740311</v>
      </c>
      <c r="M3715" s="48"/>
      <c r="N3715" s="123"/>
    </row>
    <row r="3716" spans="1:14" customFormat="1" x14ac:dyDescent="0.55000000000000004">
      <c r="A3716" s="133" t="s">
        <v>2488</v>
      </c>
      <c r="B3716" s="133" t="s">
        <v>632</v>
      </c>
      <c r="C3716" s="133" t="s">
        <v>124</v>
      </c>
      <c r="D3716" s="133" t="s">
        <v>3288</v>
      </c>
      <c r="E3716" s="138">
        <v>1.5699999999999999E-4</v>
      </c>
      <c r="F3716" s="153" t="s">
        <v>122</v>
      </c>
      <c r="G3716" s="153">
        <v>1</v>
      </c>
      <c r="H3716" s="133" t="s">
        <v>39</v>
      </c>
      <c r="I3716" s="133"/>
      <c r="J3716" s="133" t="s">
        <v>2487</v>
      </c>
      <c r="K3716" s="133"/>
      <c r="L3716" s="167"/>
      <c r="M3716" s="48"/>
      <c r="N3716" s="123"/>
    </row>
    <row r="3717" spans="1:14" customFormat="1" x14ac:dyDescent="0.55000000000000004">
      <c r="A3717" s="133" t="s">
        <v>2488</v>
      </c>
      <c r="B3717" s="133" t="s">
        <v>726</v>
      </c>
      <c r="C3717" s="133" t="s">
        <v>124</v>
      </c>
      <c r="D3717" s="133" t="s">
        <v>3288</v>
      </c>
      <c r="E3717" s="138">
        <v>1.11E-6</v>
      </c>
      <c r="F3717" s="153" t="s">
        <v>122</v>
      </c>
      <c r="G3717" s="153">
        <v>1</v>
      </c>
      <c r="H3717" s="133" t="s">
        <v>39</v>
      </c>
      <c r="I3717" s="133"/>
      <c r="J3717" s="133" t="s">
        <v>2487</v>
      </c>
      <c r="K3717" s="133"/>
      <c r="L3717" s="167"/>
      <c r="M3717" s="48"/>
      <c r="N3717" s="123"/>
    </row>
    <row r="3718" spans="1:14" customFormat="1" x14ac:dyDescent="0.55000000000000004">
      <c r="A3718" s="133" t="s">
        <v>2488</v>
      </c>
      <c r="B3718" s="133" t="s">
        <v>1093</v>
      </c>
      <c r="C3718" s="133" t="s">
        <v>124</v>
      </c>
      <c r="D3718" s="133" t="s">
        <v>3288</v>
      </c>
      <c r="E3718" s="138">
        <v>3.1100000000000002E-9</v>
      </c>
      <c r="F3718" s="153" t="s">
        <v>122</v>
      </c>
      <c r="G3718" s="153">
        <v>1</v>
      </c>
      <c r="H3718" s="133" t="s">
        <v>39</v>
      </c>
      <c r="I3718" s="133"/>
      <c r="J3718" s="133" t="s">
        <v>2487</v>
      </c>
      <c r="K3718" s="133"/>
      <c r="L3718" s="167"/>
      <c r="M3718" s="48"/>
      <c r="N3718" s="123"/>
    </row>
    <row r="3719" spans="1:14" customFormat="1" x14ac:dyDescent="0.55000000000000004">
      <c r="A3719" s="133" t="s">
        <v>2488</v>
      </c>
      <c r="B3719" s="133" t="s">
        <v>1094</v>
      </c>
      <c r="C3719" s="133" t="s">
        <v>124</v>
      </c>
      <c r="D3719" s="133" t="s">
        <v>3288</v>
      </c>
      <c r="E3719" s="138">
        <v>1.26E-6</v>
      </c>
      <c r="F3719" s="153" t="s">
        <v>122</v>
      </c>
      <c r="G3719" s="153">
        <v>1</v>
      </c>
      <c r="H3719" s="133" t="s">
        <v>39</v>
      </c>
      <c r="I3719" s="133"/>
      <c r="J3719" s="133" t="s">
        <v>2487</v>
      </c>
      <c r="K3719" s="133"/>
      <c r="L3719" s="167"/>
      <c r="M3719" s="48"/>
      <c r="N3719" s="123"/>
    </row>
    <row r="3720" spans="1:14" customFormat="1" x14ac:dyDescent="0.55000000000000004">
      <c r="A3720" s="133" t="s">
        <v>2488</v>
      </c>
      <c r="B3720" s="133" t="s">
        <v>891</v>
      </c>
      <c r="C3720" s="133" t="s">
        <v>124</v>
      </c>
      <c r="D3720" s="133" t="s">
        <v>3288</v>
      </c>
      <c r="E3720" s="138">
        <v>4.2999999999999999E-4</v>
      </c>
      <c r="F3720" s="153" t="s">
        <v>122</v>
      </c>
      <c r="G3720" s="153">
        <v>1</v>
      </c>
      <c r="H3720" s="133" t="s">
        <v>39</v>
      </c>
      <c r="I3720" s="133"/>
      <c r="J3720" s="133" t="s">
        <v>2487</v>
      </c>
      <c r="K3720" s="133"/>
      <c r="L3720" s="167"/>
      <c r="M3720" s="48"/>
      <c r="N3720" s="123"/>
    </row>
    <row r="3721" spans="1:14" customFormat="1" x14ac:dyDescent="0.55000000000000004">
      <c r="A3721" s="133" t="s">
        <v>2488</v>
      </c>
      <c r="B3721" s="133" t="s">
        <v>1097</v>
      </c>
      <c r="C3721" s="133" t="s">
        <v>124</v>
      </c>
      <c r="D3721" s="133" t="s">
        <v>3288</v>
      </c>
      <c r="E3721" s="138">
        <v>3.3000000000000003E-5</v>
      </c>
      <c r="F3721" s="153" t="s">
        <v>122</v>
      </c>
      <c r="G3721" s="153">
        <v>1</v>
      </c>
      <c r="H3721" s="133" t="s">
        <v>39</v>
      </c>
      <c r="I3721" s="133"/>
      <c r="J3721" s="133" t="s">
        <v>2487</v>
      </c>
      <c r="K3721" s="133"/>
      <c r="L3721" s="167"/>
      <c r="M3721" s="48"/>
      <c r="N3721" s="123"/>
    </row>
    <row r="3722" spans="1:14" customFormat="1" x14ac:dyDescent="0.55000000000000004">
      <c r="A3722" s="133" t="s">
        <v>2488</v>
      </c>
      <c r="B3722" s="133" t="s">
        <v>1098</v>
      </c>
      <c r="C3722" s="133" t="s">
        <v>124</v>
      </c>
      <c r="D3722" s="133" t="s">
        <v>3288</v>
      </c>
      <c r="E3722" s="138">
        <v>1.1000000000000001E-5</v>
      </c>
      <c r="F3722" s="153" t="s">
        <v>122</v>
      </c>
      <c r="G3722" s="153">
        <v>1</v>
      </c>
      <c r="H3722" s="133" t="s">
        <v>39</v>
      </c>
      <c r="I3722" s="133"/>
      <c r="J3722" s="133" t="s">
        <v>2487</v>
      </c>
      <c r="K3722" s="133"/>
      <c r="L3722" s="167"/>
      <c r="M3722" s="48"/>
      <c r="N3722" s="123"/>
    </row>
    <row r="3723" spans="1:14" customFormat="1" x14ac:dyDescent="0.55000000000000004">
      <c r="A3723" s="133" t="s">
        <v>2488</v>
      </c>
      <c r="B3723" s="133" t="s">
        <v>1099</v>
      </c>
      <c r="C3723" s="133" t="s">
        <v>124</v>
      </c>
      <c r="D3723" s="133" t="s">
        <v>3288</v>
      </c>
      <c r="E3723" s="138">
        <v>2.2000000000000003E-5</v>
      </c>
      <c r="F3723" s="153" t="s">
        <v>122</v>
      </c>
      <c r="G3723" s="153">
        <v>1</v>
      </c>
      <c r="H3723" s="133" t="s">
        <v>39</v>
      </c>
      <c r="I3723" s="133"/>
      <c r="J3723" s="133" t="s">
        <v>2487</v>
      </c>
      <c r="K3723" s="133"/>
      <c r="L3723" s="167"/>
      <c r="M3723" s="48"/>
      <c r="N3723" s="123"/>
    </row>
    <row r="3724" spans="1:14" customFormat="1" x14ac:dyDescent="0.55000000000000004">
      <c r="A3724" s="133" t="s">
        <v>2488</v>
      </c>
      <c r="B3724" s="133" t="s">
        <v>1172</v>
      </c>
      <c r="C3724" s="133" t="s">
        <v>124</v>
      </c>
      <c r="D3724" s="133" t="s">
        <v>3288</v>
      </c>
      <c r="E3724" s="138">
        <v>3.3300000000000002E-4</v>
      </c>
      <c r="F3724" s="153" t="s">
        <v>122</v>
      </c>
      <c r="G3724" s="153">
        <v>1</v>
      </c>
      <c r="H3724" s="133" t="s">
        <v>39</v>
      </c>
      <c r="I3724" s="133"/>
      <c r="J3724" s="133" t="s">
        <v>2487</v>
      </c>
      <c r="K3724" s="133"/>
      <c r="L3724" s="167"/>
      <c r="M3724" s="48"/>
      <c r="N3724" s="123"/>
    </row>
    <row r="3725" spans="1:14" customFormat="1" x14ac:dyDescent="0.55000000000000004">
      <c r="A3725" s="133" t="s">
        <v>2488</v>
      </c>
      <c r="B3725" s="133" t="s">
        <v>181</v>
      </c>
      <c r="C3725" s="133" t="s">
        <v>163</v>
      </c>
      <c r="D3725" s="133" t="s">
        <v>3288</v>
      </c>
      <c r="E3725" s="138">
        <v>0.84141162689000004</v>
      </c>
      <c r="F3725" s="153" t="s">
        <v>122</v>
      </c>
      <c r="G3725" s="153">
        <v>1</v>
      </c>
      <c r="H3725" s="133" t="s">
        <v>39</v>
      </c>
      <c r="I3725" s="133"/>
      <c r="J3725" s="133" t="s">
        <v>2487</v>
      </c>
      <c r="K3725" s="133"/>
      <c r="L3725" s="167"/>
      <c r="M3725" s="48"/>
      <c r="N3725" s="123"/>
    </row>
    <row r="3726" spans="1:14" customFormat="1" x14ac:dyDescent="0.55000000000000004">
      <c r="A3726" s="133" t="s">
        <v>2491</v>
      </c>
      <c r="B3726" s="133" t="s">
        <v>2947</v>
      </c>
      <c r="C3726" s="133" t="s">
        <v>121</v>
      </c>
      <c r="D3726" s="133" t="s">
        <v>2682</v>
      </c>
      <c r="E3726" s="138">
        <v>1</v>
      </c>
      <c r="F3726" s="153">
        <v>1</v>
      </c>
      <c r="G3726" s="153">
        <v>1</v>
      </c>
      <c r="H3726" s="133" t="s">
        <v>39</v>
      </c>
      <c r="I3726" s="133"/>
      <c r="J3726" s="133" t="s">
        <v>2490</v>
      </c>
      <c r="K3726" s="133"/>
      <c r="L3726" s="167"/>
      <c r="M3726" s="48"/>
      <c r="N3726" s="123"/>
    </row>
    <row r="3727" spans="1:14" customFormat="1" x14ac:dyDescent="0.55000000000000004">
      <c r="A3727" s="133" t="s">
        <v>2491</v>
      </c>
      <c r="B3727" s="133" t="s">
        <v>2939</v>
      </c>
      <c r="C3727" s="133" t="s">
        <v>207</v>
      </c>
      <c r="D3727" s="133" t="s">
        <v>3288</v>
      </c>
      <c r="E3727" s="138">
        <v>1</v>
      </c>
      <c r="F3727" s="153" t="s">
        <v>122</v>
      </c>
      <c r="G3727" s="153">
        <v>1</v>
      </c>
      <c r="H3727" s="133" t="s">
        <v>39</v>
      </c>
      <c r="I3727" s="133"/>
      <c r="J3727" s="133" t="s">
        <v>2490</v>
      </c>
      <c r="K3727" s="133"/>
      <c r="L3727" s="167"/>
      <c r="M3727" s="48"/>
      <c r="N3727" s="123"/>
    </row>
    <row r="3728" spans="1:14" customFormat="1" x14ac:dyDescent="0.55000000000000004">
      <c r="A3728" s="133" t="s">
        <v>2491</v>
      </c>
      <c r="B3728" s="133" t="s">
        <v>2948</v>
      </c>
      <c r="C3728" s="133" t="s">
        <v>125</v>
      </c>
      <c r="D3728" s="133" t="s">
        <v>3288</v>
      </c>
      <c r="E3728" s="138">
        <v>2.5000000000000001E-2</v>
      </c>
      <c r="F3728" s="153" t="s">
        <v>122</v>
      </c>
      <c r="G3728" s="153">
        <v>1</v>
      </c>
      <c r="H3728" s="133" t="s">
        <v>39</v>
      </c>
      <c r="I3728" s="133"/>
      <c r="J3728" s="133" t="s">
        <v>2490</v>
      </c>
      <c r="K3728" s="133"/>
      <c r="L3728" s="167">
        <v>28</v>
      </c>
      <c r="M3728" s="48"/>
      <c r="N3728" s="123"/>
    </row>
    <row r="3729" spans="1:14" customFormat="1" x14ac:dyDescent="0.55000000000000004">
      <c r="A3729" s="133" t="s">
        <v>2491</v>
      </c>
      <c r="B3729" s="133" t="s">
        <v>2631</v>
      </c>
      <c r="C3729" s="133" t="s">
        <v>127</v>
      </c>
      <c r="D3729" s="133" t="s">
        <v>2994</v>
      </c>
      <c r="E3729" s="138">
        <v>0.14000000000000001</v>
      </c>
      <c r="F3729" s="153" t="s">
        <v>130</v>
      </c>
      <c r="G3729" s="153">
        <v>1</v>
      </c>
      <c r="H3729" s="133" t="s">
        <v>39</v>
      </c>
      <c r="I3729" s="133"/>
      <c r="J3729" s="133" t="s">
        <v>2490</v>
      </c>
      <c r="K3729" s="133"/>
      <c r="L3729" s="167"/>
      <c r="M3729" s="48"/>
      <c r="N3729" s="123"/>
    </row>
    <row r="3730" spans="1:14" customFormat="1" x14ac:dyDescent="0.55000000000000004">
      <c r="A3730" s="133" t="s">
        <v>2491</v>
      </c>
      <c r="B3730" s="133" t="s">
        <v>2949</v>
      </c>
      <c r="C3730" s="133" t="s">
        <v>125</v>
      </c>
      <c r="D3730" s="133" t="s">
        <v>3288</v>
      </c>
      <c r="E3730" s="138">
        <v>0.11600000000000001</v>
      </c>
      <c r="F3730" s="153" t="s">
        <v>122</v>
      </c>
      <c r="G3730" s="153">
        <v>1</v>
      </c>
      <c r="H3730" s="133" t="s">
        <v>39</v>
      </c>
      <c r="I3730" s="133"/>
      <c r="J3730" s="133" t="s">
        <v>2490</v>
      </c>
      <c r="K3730" s="133"/>
      <c r="L3730" s="167">
        <v>2522</v>
      </c>
      <c r="M3730" s="48"/>
      <c r="N3730" s="123"/>
    </row>
    <row r="3731" spans="1:14" customFormat="1" x14ac:dyDescent="0.55000000000000004">
      <c r="A3731" s="133" t="s">
        <v>2491</v>
      </c>
      <c r="B3731" s="133" t="s">
        <v>145</v>
      </c>
      <c r="C3731" s="133" t="s">
        <v>125</v>
      </c>
      <c r="D3731" s="133" t="s">
        <v>3288</v>
      </c>
      <c r="E3731" s="138">
        <v>0.23100000000000001</v>
      </c>
      <c r="F3731" s="153" t="s">
        <v>122</v>
      </c>
      <c r="G3731" s="153">
        <v>1</v>
      </c>
      <c r="H3731" s="133" t="s">
        <v>39</v>
      </c>
      <c r="I3731" s="133"/>
      <c r="J3731" s="133" t="s">
        <v>2490</v>
      </c>
      <c r="K3731" s="133"/>
      <c r="L3731" s="167">
        <v>280700</v>
      </c>
      <c r="M3731" s="48"/>
      <c r="N3731" s="123"/>
    </row>
    <row r="3732" spans="1:14" customFormat="1" x14ac:dyDescent="0.55000000000000004">
      <c r="A3732" s="133" t="s">
        <v>2491</v>
      </c>
      <c r="B3732" s="133" t="s">
        <v>154</v>
      </c>
      <c r="C3732" s="133" t="s">
        <v>132</v>
      </c>
      <c r="D3732" s="133" t="s">
        <v>3289</v>
      </c>
      <c r="E3732" s="138">
        <v>7.2000000000000005E-4</v>
      </c>
      <c r="F3732" s="153" t="s">
        <v>133</v>
      </c>
      <c r="G3732" s="153">
        <v>1</v>
      </c>
      <c r="H3732" s="133" t="s">
        <v>39</v>
      </c>
      <c r="I3732" s="133"/>
      <c r="J3732" s="133" t="s">
        <v>2490</v>
      </c>
      <c r="K3732" s="133"/>
      <c r="L3732" s="167"/>
      <c r="M3732" s="48"/>
      <c r="N3732" s="123"/>
    </row>
    <row r="3733" spans="1:14" customFormat="1" x14ac:dyDescent="0.55000000000000004">
      <c r="A3733" s="133" t="s">
        <v>2491</v>
      </c>
      <c r="B3733" s="133" t="s">
        <v>2940</v>
      </c>
      <c r="C3733" s="133" t="s">
        <v>156</v>
      </c>
      <c r="D3733" s="133" t="s">
        <v>3288</v>
      </c>
      <c r="E3733" s="138">
        <v>0.16500000000000001</v>
      </c>
      <c r="F3733" s="153" t="s">
        <v>122</v>
      </c>
      <c r="G3733" s="153">
        <v>1</v>
      </c>
      <c r="H3733" s="133" t="s">
        <v>39</v>
      </c>
      <c r="I3733" s="133"/>
      <c r="J3733" s="133" t="s">
        <v>2490</v>
      </c>
      <c r="K3733" s="133"/>
      <c r="L3733" s="167">
        <v>7204</v>
      </c>
      <c r="M3733" s="48"/>
      <c r="N3733" s="123"/>
    </row>
    <row r="3734" spans="1:14" customFormat="1" x14ac:dyDescent="0.55000000000000004">
      <c r="A3734" s="133" t="s">
        <v>2491</v>
      </c>
      <c r="B3734" s="133" t="s">
        <v>2950</v>
      </c>
      <c r="C3734" s="133" t="s">
        <v>156</v>
      </c>
      <c r="D3734" s="133" t="s">
        <v>3288</v>
      </c>
      <c r="E3734" s="138">
        <v>0.19800000000000001</v>
      </c>
      <c r="F3734" s="153" t="s">
        <v>122</v>
      </c>
      <c r="G3734" s="153">
        <v>1</v>
      </c>
      <c r="H3734" s="133" t="s">
        <v>39</v>
      </c>
      <c r="I3734" s="133"/>
      <c r="J3734" s="133" t="s">
        <v>2490</v>
      </c>
      <c r="K3734" s="133"/>
      <c r="L3734" s="167">
        <v>283691</v>
      </c>
      <c r="M3734" s="48"/>
      <c r="N3734" s="123"/>
    </row>
    <row r="3735" spans="1:14" customFormat="1" x14ac:dyDescent="0.55000000000000004">
      <c r="A3735" s="133" t="s">
        <v>2491</v>
      </c>
      <c r="B3735" s="133" t="s">
        <v>2942</v>
      </c>
      <c r="C3735" s="133" t="s">
        <v>156</v>
      </c>
      <c r="D3735" s="133" t="s">
        <v>3288</v>
      </c>
      <c r="E3735" s="138">
        <v>0.34</v>
      </c>
      <c r="F3735" s="153" t="s">
        <v>122</v>
      </c>
      <c r="G3735" s="153">
        <v>1</v>
      </c>
      <c r="H3735" s="133" t="s">
        <v>39</v>
      </c>
      <c r="I3735" s="133"/>
      <c r="J3735" s="133" t="s">
        <v>2490</v>
      </c>
      <c r="K3735" s="133"/>
      <c r="L3735" s="167">
        <v>810530</v>
      </c>
      <c r="M3735" s="48"/>
      <c r="N3735" s="123"/>
    </row>
    <row r="3736" spans="1:14" customFormat="1" x14ac:dyDescent="0.55000000000000004">
      <c r="A3736" s="133" t="s">
        <v>2491</v>
      </c>
      <c r="B3736" s="133" t="s">
        <v>2951</v>
      </c>
      <c r="C3736" s="133" t="s">
        <v>163</v>
      </c>
      <c r="D3736" s="133" t="s">
        <v>3288</v>
      </c>
      <c r="E3736" s="138">
        <v>0.20200000000000001</v>
      </c>
      <c r="F3736" s="153" t="s">
        <v>122</v>
      </c>
      <c r="G3736" s="153">
        <v>1</v>
      </c>
      <c r="H3736" s="133" t="s">
        <v>39</v>
      </c>
      <c r="I3736" s="133"/>
      <c r="J3736" s="133" t="s">
        <v>2490</v>
      </c>
      <c r="K3736" s="133"/>
      <c r="L3736" s="167"/>
      <c r="M3736" s="48"/>
      <c r="N3736" s="123"/>
    </row>
    <row r="3737" spans="1:14" customFormat="1" x14ac:dyDescent="0.55000000000000004">
      <c r="A3737" s="133" t="s">
        <v>2491</v>
      </c>
      <c r="B3737" s="133" t="s">
        <v>2943</v>
      </c>
      <c r="C3737" s="133" t="s">
        <v>163</v>
      </c>
      <c r="D3737" s="133" t="s">
        <v>3288</v>
      </c>
      <c r="E3737" s="138">
        <v>0.15</v>
      </c>
      <c r="F3737" s="153" t="s">
        <v>122</v>
      </c>
      <c r="G3737" s="153">
        <v>1</v>
      </c>
      <c r="H3737" s="133" t="s">
        <v>39</v>
      </c>
      <c r="I3737" s="133"/>
      <c r="J3737" s="133" t="s">
        <v>2490</v>
      </c>
      <c r="K3737" s="133"/>
      <c r="L3737" s="167"/>
      <c r="M3737" s="48"/>
      <c r="N3737" s="123"/>
    </row>
    <row r="3738" spans="1:14" customFormat="1" x14ac:dyDescent="0.55000000000000004">
      <c r="A3738" s="133" t="s">
        <v>2491</v>
      </c>
      <c r="B3738" s="133" t="s">
        <v>2635</v>
      </c>
      <c r="C3738" s="133" t="s">
        <v>163</v>
      </c>
      <c r="D3738" s="133" t="s">
        <v>3288</v>
      </c>
      <c r="E3738" s="138">
        <v>6.5000000000000002E-2</v>
      </c>
      <c r="F3738" s="153" t="s">
        <v>122</v>
      </c>
      <c r="G3738" s="153">
        <v>1</v>
      </c>
      <c r="H3738" s="133" t="s">
        <v>39</v>
      </c>
      <c r="I3738" s="133"/>
      <c r="J3738" s="133" t="s">
        <v>2490</v>
      </c>
      <c r="K3738" s="133"/>
      <c r="L3738" s="167"/>
      <c r="M3738" s="48"/>
      <c r="N3738" s="123"/>
    </row>
    <row r="3739" spans="1:14" customFormat="1" x14ac:dyDescent="0.55000000000000004">
      <c r="A3739" s="133" t="s">
        <v>2491</v>
      </c>
      <c r="B3739" s="133" t="s">
        <v>2952</v>
      </c>
      <c r="C3739" s="133" t="s">
        <v>163</v>
      </c>
      <c r="D3739" s="133" t="s">
        <v>3288</v>
      </c>
      <c r="E3739" s="138">
        <v>0.33900000000000002</v>
      </c>
      <c r="F3739" s="153" t="s">
        <v>122</v>
      </c>
      <c r="G3739" s="153">
        <v>1</v>
      </c>
      <c r="H3739" s="133" t="s">
        <v>39</v>
      </c>
      <c r="I3739" s="133"/>
      <c r="J3739" s="133" t="s">
        <v>2490</v>
      </c>
      <c r="K3739" s="133"/>
      <c r="L3739" s="167"/>
      <c r="M3739" s="48"/>
      <c r="N3739" s="123"/>
    </row>
    <row r="3740" spans="1:14" customFormat="1" x14ac:dyDescent="0.55000000000000004">
      <c r="A3740" s="133" t="s">
        <v>2491</v>
      </c>
      <c r="B3740" s="133" t="s">
        <v>2637</v>
      </c>
      <c r="C3740" s="133" t="s">
        <v>163</v>
      </c>
      <c r="D3740" s="133" t="s">
        <v>3288</v>
      </c>
      <c r="E3740" s="138">
        <v>6.5000000000000002E-2</v>
      </c>
      <c r="F3740" s="153" t="s">
        <v>122</v>
      </c>
      <c r="G3740" s="153">
        <v>1</v>
      </c>
      <c r="H3740" s="133" t="s">
        <v>39</v>
      </c>
      <c r="I3740" s="133"/>
      <c r="J3740" s="133" t="s">
        <v>2490</v>
      </c>
      <c r="K3740" s="133"/>
      <c r="L3740" s="167">
        <v>3915</v>
      </c>
      <c r="M3740" s="48"/>
      <c r="N3740" s="123"/>
    </row>
    <row r="3741" spans="1:14" customFormat="1" x14ac:dyDescent="0.55000000000000004">
      <c r="A3741" s="133" t="s">
        <v>2491</v>
      </c>
      <c r="B3741" s="133" t="s">
        <v>2953</v>
      </c>
      <c r="C3741" s="133" t="s">
        <v>124</v>
      </c>
      <c r="D3741" s="133" t="s">
        <v>3288</v>
      </c>
      <c r="E3741" s="138">
        <v>2.4999999999999998E-6</v>
      </c>
      <c r="F3741" s="153" t="s">
        <v>122</v>
      </c>
      <c r="G3741" s="153">
        <v>1</v>
      </c>
      <c r="H3741" s="133" t="s">
        <v>39</v>
      </c>
      <c r="I3741" s="133"/>
      <c r="J3741" s="133" t="s">
        <v>2490</v>
      </c>
      <c r="K3741" s="133"/>
      <c r="L3741" s="167"/>
      <c r="M3741" s="48"/>
      <c r="N3741" s="123"/>
    </row>
    <row r="3742" spans="1:14" customFormat="1" x14ac:dyDescent="0.55000000000000004">
      <c r="A3742" s="133" t="s">
        <v>2491</v>
      </c>
      <c r="B3742" s="133" t="s">
        <v>1172</v>
      </c>
      <c r="C3742" s="133" t="s">
        <v>124</v>
      </c>
      <c r="D3742" s="133" t="s">
        <v>3288</v>
      </c>
      <c r="E3742" s="138">
        <v>4.5000000000000001E-6</v>
      </c>
      <c r="F3742" s="153" t="s">
        <v>122</v>
      </c>
      <c r="G3742" s="153">
        <v>1</v>
      </c>
      <c r="H3742" s="133" t="s">
        <v>39</v>
      </c>
      <c r="I3742" s="133"/>
      <c r="J3742" s="133" t="s">
        <v>2490</v>
      </c>
      <c r="K3742" s="133"/>
      <c r="L3742" s="167"/>
      <c r="M3742" s="48"/>
      <c r="N3742" s="123"/>
    </row>
    <row r="3743" spans="1:14" customFormat="1" x14ac:dyDescent="0.55000000000000004">
      <c r="A3743" s="133" t="s">
        <v>2491</v>
      </c>
      <c r="B3743" s="133" t="s">
        <v>154</v>
      </c>
      <c r="C3743" s="133" t="s">
        <v>124</v>
      </c>
      <c r="D3743" s="133" t="s">
        <v>3289</v>
      </c>
      <c r="E3743" s="138">
        <v>7.2000000000000005E-4</v>
      </c>
      <c r="F3743" s="153" t="s">
        <v>133</v>
      </c>
      <c r="G3743" s="153">
        <v>1</v>
      </c>
      <c r="H3743" s="133" t="s">
        <v>39</v>
      </c>
      <c r="I3743" s="133"/>
      <c r="J3743" s="133" t="s">
        <v>2490</v>
      </c>
      <c r="K3743" s="133"/>
      <c r="L3743" s="167"/>
      <c r="M3743" s="48"/>
      <c r="N3743" s="123"/>
    </row>
    <row r="3744" spans="1:14" customFormat="1" x14ac:dyDescent="0.55000000000000004">
      <c r="A3744" s="133" t="s">
        <v>2491</v>
      </c>
      <c r="B3744" s="133" t="s">
        <v>2954</v>
      </c>
      <c r="C3744" s="133" t="s">
        <v>124</v>
      </c>
      <c r="D3744" s="133" t="s">
        <v>3288</v>
      </c>
      <c r="E3744" s="138">
        <v>6.0000000000000008E-5</v>
      </c>
      <c r="F3744" s="153" t="s">
        <v>122</v>
      </c>
      <c r="G3744" s="153">
        <v>1</v>
      </c>
      <c r="H3744" s="133" t="s">
        <v>39</v>
      </c>
      <c r="I3744" s="133"/>
      <c r="J3744" s="133" t="s">
        <v>2490</v>
      </c>
      <c r="K3744" s="133"/>
      <c r="L3744" s="167"/>
      <c r="M3744" s="48"/>
      <c r="N3744" s="123"/>
    </row>
    <row r="3745" spans="1:14" customFormat="1" x14ac:dyDescent="0.55000000000000004">
      <c r="A3745" s="133" t="s">
        <v>2491</v>
      </c>
      <c r="B3745" s="133" t="s">
        <v>2603</v>
      </c>
      <c r="C3745" s="133" t="s">
        <v>124</v>
      </c>
      <c r="D3745" s="133" t="s">
        <v>3288</v>
      </c>
      <c r="E3745" s="138">
        <v>3.0000000000000004E-5</v>
      </c>
      <c r="F3745" s="153" t="s">
        <v>122</v>
      </c>
      <c r="G3745" s="153">
        <v>1</v>
      </c>
      <c r="H3745" s="133" t="s">
        <v>39</v>
      </c>
      <c r="I3745" s="133"/>
      <c r="J3745" s="133" t="s">
        <v>2490</v>
      </c>
      <c r="K3745" s="133"/>
      <c r="L3745" s="167"/>
      <c r="M3745" s="48"/>
      <c r="N3745" s="123"/>
    </row>
    <row r="3746" spans="1:14" customFormat="1" x14ac:dyDescent="0.55000000000000004">
      <c r="A3746" s="133" t="s">
        <v>2491</v>
      </c>
      <c r="B3746" s="133" t="s">
        <v>2955</v>
      </c>
      <c r="C3746" s="133" t="s">
        <v>124</v>
      </c>
      <c r="D3746" s="133" t="s">
        <v>3288</v>
      </c>
      <c r="E3746" s="138">
        <v>1.7E-8</v>
      </c>
      <c r="F3746" s="153" t="s">
        <v>122</v>
      </c>
      <c r="G3746" s="153">
        <v>1</v>
      </c>
      <c r="H3746" s="133" t="s">
        <v>39</v>
      </c>
      <c r="I3746" s="133"/>
      <c r="J3746" s="133" t="s">
        <v>2490</v>
      </c>
      <c r="K3746" s="133"/>
      <c r="L3746" s="167"/>
      <c r="M3746" s="48"/>
      <c r="N3746" s="123"/>
    </row>
    <row r="3747" spans="1:14" customFormat="1" x14ac:dyDescent="0.55000000000000004">
      <c r="A3747" s="133" t="s">
        <v>2491</v>
      </c>
      <c r="B3747" s="133" t="s">
        <v>1092</v>
      </c>
      <c r="C3747" s="133" t="s">
        <v>124</v>
      </c>
      <c r="D3747" s="133" t="s">
        <v>3288</v>
      </c>
      <c r="E3747" s="138">
        <v>1.6499999999999999E-8</v>
      </c>
      <c r="F3747" s="153" t="s">
        <v>122</v>
      </c>
      <c r="G3747" s="153">
        <v>1</v>
      </c>
      <c r="H3747" s="133" t="s">
        <v>39</v>
      </c>
      <c r="I3747" s="133"/>
      <c r="J3747" s="133" t="s">
        <v>2490</v>
      </c>
      <c r="K3747" s="133"/>
      <c r="L3747" s="167"/>
      <c r="M3747" s="48"/>
      <c r="N3747" s="123"/>
    </row>
    <row r="3748" spans="1:14" customFormat="1" x14ac:dyDescent="0.55000000000000004">
      <c r="A3748" s="133" t="s">
        <v>2491</v>
      </c>
      <c r="B3748" s="133" t="s">
        <v>2605</v>
      </c>
      <c r="C3748" s="133" t="s">
        <v>124</v>
      </c>
      <c r="D3748" s="133" t="s">
        <v>3288</v>
      </c>
      <c r="E3748" s="138">
        <v>1.1100000000000002E-5</v>
      </c>
      <c r="F3748" s="153" t="s">
        <v>122</v>
      </c>
      <c r="G3748" s="153">
        <v>1</v>
      </c>
      <c r="H3748" s="133" t="s">
        <v>39</v>
      </c>
      <c r="I3748" s="133"/>
      <c r="J3748" s="133" t="s">
        <v>2490</v>
      </c>
      <c r="K3748" s="133"/>
      <c r="L3748" s="167"/>
      <c r="M3748" s="48"/>
      <c r="N3748" s="123"/>
    </row>
    <row r="3749" spans="1:14" customFormat="1" x14ac:dyDescent="0.55000000000000004">
      <c r="A3749" s="133" t="s">
        <v>2491</v>
      </c>
      <c r="B3749" s="133" t="s">
        <v>2956</v>
      </c>
      <c r="C3749" s="133" t="s">
        <v>124</v>
      </c>
      <c r="D3749" s="133" t="s">
        <v>3288</v>
      </c>
      <c r="E3749" s="138">
        <v>3.0000000000000004E-8</v>
      </c>
      <c r="F3749" s="153" t="s">
        <v>122</v>
      </c>
      <c r="G3749" s="153">
        <v>1</v>
      </c>
      <c r="H3749" s="133" t="s">
        <v>39</v>
      </c>
      <c r="I3749" s="133"/>
      <c r="J3749" s="133" t="s">
        <v>2490</v>
      </c>
      <c r="K3749" s="133"/>
      <c r="L3749" s="167"/>
      <c r="M3749" s="48"/>
      <c r="N3749" s="123"/>
    </row>
    <row r="3750" spans="1:14" customFormat="1" x14ac:dyDescent="0.55000000000000004">
      <c r="A3750" s="133" t="s">
        <v>2491</v>
      </c>
      <c r="B3750" s="133" t="s">
        <v>2957</v>
      </c>
      <c r="C3750" s="133" t="s">
        <v>124</v>
      </c>
      <c r="D3750" s="133" t="s">
        <v>3288</v>
      </c>
      <c r="E3750" s="138">
        <v>1E-8</v>
      </c>
      <c r="F3750" s="153" t="s">
        <v>122</v>
      </c>
      <c r="G3750" s="153">
        <v>1</v>
      </c>
      <c r="H3750" s="133" t="s">
        <v>39</v>
      </c>
      <c r="I3750" s="133"/>
      <c r="J3750" s="133" t="s">
        <v>2490</v>
      </c>
      <c r="K3750" s="133"/>
      <c r="L3750" s="167"/>
      <c r="M3750" s="48"/>
      <c r="N3750" s="123"/>
    </row>
    <row r="3751" spans="1:14" customFormat="1" x14ac:dyDescent="0.55000000000000004">
      <c r="A3751" s="133" t="s">
        <v>2491</v>
      </c>
      <c r="B3751" s="133" t="s">
        <v>2958</v>
      </c>
      <c r="C3751" s="133" t="s">
        <v>124</v>
      </c>
      <c r="D3751" s="133" t="s">
        <v>3288</v>
      </c>
      <c r="E3751" s="138">
        <v>1.6499999999999999E-8</v>
      </c>
      <c r="F3751" s="153" t="s">
        <v>122</v>
      </c>
      <c r="G3751" s="153">
        <v>1</v>
      </c>
      <c r="H3751" s="133" t="s">
        <v>39</v>
      </c>
      <c r="I3751" s="133"/>
      <c r="J3751" s="133" t="s">
        <v>2490</v>
      </c>
      <c r="K3751" s="133"/>
      <c r="L3751" s="167"/>
      <c r="M3751" s="48"/>
      <c r="N3751" s="123"/>
    </row>
    <row r="3752" spans="1:14" customFormat="1" x14ac:dyDescent="0.55000000000000004">
      <c r="A3752" s="133" t="s">
        <v>2491</v>
      </c>
      <c r="B3752" s="133" t="s">
        <v>2959</v>
      </c>
      <c r="C3752" s="133" t="s">
        <v>124</v>
      </c>
      <c r="D3752" s="133" t="s">
        <v>3288</v>
      </c>
      <c r="E3752" s="138">
        <v>1.2E-5</v>
      </c>
      <c r="F3752" s="153" t="s">
        <v>122</v>
      </c>
      <c r="G3752" s="153">
        <v>1</v>
      </c>
      <c r="H3752" s="133" t="s">
        <v>39</v>
      </c>
      <c r="I3752" s="133"/>
      <c r="J3752" s="133" t="s">
        <v>2490</v>
      </c>
      <c r="K3752" s="133"/>
      <c r="L3752" s="167"/>
      <c r="M3752" s="48"/>
      <c r="N3752" s="123"/>
    </row>
    <row r="3753" spans="1:14" customFormat="1" x14ac:dyDescent="0.55000000000000004">
      <c r="A3753" s="133" t="s">
        <v>2491</v>
      </c>
      <c r="B3753" s="133" t="s">
        <v>2611</v>
      </c>
      <c r="C3753" s="133" t="s">
        <v>124</v>
      </c>
      <c r="D3753" s="133" t="s">
        <v>3288</v>
      </c>
      <c r="E3753" s="138">
        <v>1.1100000000000002E-5</v>
      </c>
      <c r="F3753" s="153" t="s">
        <v>122</v>
      </c>
      <c r="G3753" s="153">
        <v>1</v>
      </c>
      <c r="H3753" s="133" t="s">
        <v>39</v>
      </c>
      <c r="I3753" s="133"/>
      <c r="J3753" s="133" t="s">
        <v>2490</v>
      </c>
      <c r="K3753" s="133"/>
      <c r="L3753" s="167"/>
      <c r="M3753" s="48"/>
      <c r="N3753" s="123"/>
    </row>
    <row r="3754" spans="1:14" customFormat="1" x14ac:dyDescent="0.55000000000000004">
      <c r="A3754" s="133" t="s">
        <v>2494</v>
      </c>
      <c r="B3754" s="133" t="s">
        <v>2960</v>
      </c>
      <c r="C3754" s="133" t="s">
        <v>121</v>
      </c>
      <c r="D3754" s="133" t="s">
        <v>2682</v>
      </c>
      <c r="E3754" s="138">
        <v>1</v>
      </c>
      <c r="F3754" s="153">
        <v>1</v>
      </c>
      <c r="G3754" s="153">
        <v>1</v>
      </c>
      <c r="H3754" s="133" t="s">
        <v>39</v>
      </c>
      <c r="I3754" s="133"/>
      <c r="J3754" s="133" t="s">
        <v>2493</v>
      </c>
      <c r="K3754" s="133"/>
      <c r="L3754" s="167"/>
      <c r="M3754" s="48"/>
      <c r="N3754" s="123"/>
    </row>
    <row r="3755" spans="1:14" customFormat="1" x14ac:dyDescent="0.55000000000000004">
      <c r="A3755" s="133" t="s">
        <v>2494</v>
      </c>
      <c r="B3755" s="133" t="s">
        <v>2961</v>
      </c>
      <c r="C3755" s="133" t="s">
        <v>348</v>
      </c>
      <c r="D3755" s="133" t="s">
        <v>3288</v>
      </c>
      <c r="E3755" s="138">
        <v>1</v>
      </c>
      <c r="F3755" s="153" t="s">
        <v>122</v>
      </c>
      <c r="G3755" s="153">
        <v>1</v>
      </c>
      <c r="H3755" s="133" t="s">
        <v>39</v>
      </c>
      <c r="I3755" s="133"/>
      <c r="J3755" s="133" t="s">
        <v>2493</v>
      </c>
      <c r="K3755" s="133"/>
      <c r="L3755" s="167"/>
      <c r="M3755" s="48"/>
      <c r="N3755" s="123"/>
    </row>
    <row r="3756" spans="1:14" customFormat="1" x14ac:dyDescent="0.55000000000000004">
      <c r="A3756" s="133" t="s">
        <v>2494</v>
      </c>
      <c r="B3756" s="133" t="s">
        <v>2962</v>
      </c>
      <c r="C3756" s="133" t="s">
        <v>125</v>
      </c>
      <c r="D3756" s="133" t="s">
        <v>3288</v>
      </c>
      <c r="E3756" s="138">
        <v>1.6999999999999999E-3</v>
      </c>
      <c r="F3756" s="153" t="s">
        <v>122</v>
      </c>
      <c r="G3756" s="153">
        <v>1</v>
      </c>
      <c r="H3756" s="133" t="s">
        <v>39</v>
      </c>
      <c r="I3756" s="133"/>
      <c r="J3756" s="133" t="s">
        <v>2493</v>
      </c>
      <c r="K3756" s="133"/>
      <c r="L3756" s="167">
        <v>281410</v>
      </c>
      <c r="M3756" s="48"/>
      <c r="N3756" s="123"/>
    </row>
    <row r="3757" spans="1:14" customFormat="1" x14ac:dyDescent="0.55000000000000004">
      <c r="A3757" s="133" t="s">
        <v>2494</v>
      </c>
      <c r="B3757" s="133" t="s">
        <v>1088</v>
      </c>
      <c r="C3757" s="133" t="s">
        <v>127</v>
      </c>
      <c r="D3757" s="133" t="s">
        <v>2994</v>
      </c>
      <c r="E3757" s="138">
        <v>6.3</v>
      </c>
      <c r="F3757" s="153" t="s">
        <v>130</v>
      </c>
      <c r="G3757" s="153">
        <v>1</v>
      </c>
      <c r="H3757" s="133" t="s">
        <v>39</v>
      </c>
      <c r="I3757" s="133"/>
      <c r="J3757" s="133" t="s">
        <v>2493</v>
      </c>
      <c r="K3757" s="133"/>
      <c r="L3757" s="167"/>
      <c r="M3757" s="48"/>
      <c r="N3757" s="123"/>
    </row>
    <row r="3758" spans="1:14" customFormat="1" x14ac:dyDescent="0.55000000000000004">
      <c r="A3758" s="133" t="s">
        <v>2494</v>
      </c>
      <c r="B3758" s="133" t="s">
        <v>2631</v>
      </c>
      <c r="C3758" s="133" t="s">
        <v>127</v>
      </c>
      <c r="D3758" s="133" t="s">
        <v>2994</v>
      </c>
      <c r="E3758" s="138">
        <v>2.2799999999999998</v>
      </c>
      <c r="F3758" s="153" t="s">
        <v>130</v>
      </c>
      <c r="G3758" s="153">
        <v>1</v>
      </c>
      <c r="H3758" s="133" t="s">
        <v>39</v>
      </c>
      <c r="I3758" s="133"/>
      <c r="J3758" s="133" t="s">
        <v>2493</v>
      </c>
      <c r="K3758" s="133"/>
      <c r="L3758" s="167"/>
      <c r="M3758" s="48"/>
      <c r="N3758" s="123"/>
    </row>
    <row r="3759" spans="1:14" customFormat="1" x14ac:dyDescent="0.55000000000000004">
      <c r="A3759" s="133" t="s">
        <v>2494</v>
      </c>
      <c r="B3759" s="133" t="s">
        <v>154</v>
      </c>
      <c r="C3759" s="133" t="s">
        <v>132</v>
      </c>
      <c r="D3759" s="133" t="s">
        <v>3289</v>
      </c>
      <c r="E3759" s="138">
        <v>0.17</v>
      </c>
      <c r="F3759" s="153" t="s">
        <v>133</v>
      </c>
      <c r="G3759" s="153">
        <v>1</v>
      </c>
      <c r="H3759" s="133" t="s">
        <v>39</v>
      </c>
      <c r="I3759" s="133"/>
      <c r="J3759" s="133" t="s">
        <v>2493</v>
      </c>
      <c r="K3759" s="133"/>
      <c r="L3759" s="167"/>
      <c r="M3759" s="48"/>
      <c r="N3759" s="123"/>
    </row>
    <row r="3760" spans="1:14" customFormat="1" x14ac:dyDescent="0.55000000000000004">
      <c r="A3760" s="133" t="s">
        <v>2494</v>
      </c>
      <c r="B3760" s="133" t="s">
        <v>2678</v>
      </c>
      <c r="C3760" s="133" t="s">
        <v>156</v>
      </c>
      <c r="D3760" s="133" t="s">
        <v>3288</v>
      </c>
      <c r="E3760" s="138">
        <v>0.10100000000000001</v>
      </c>
      <c r="F3760" s="153" t="s">
        <v>122</v>
      </c>
      <c r="G3760" s="153">
        <v>1</v>
      </c>
      <c r="H3760" s="133" t="s">
        <v>39</v>
      </c>
      <c r="I3760" s="133"/>
      <c r="J3760" s="133" t="s">
        <v>2493</v>
      </c>
      <c r="K3760" s="133"/>
      <c r="L3760" s="167">
        <v>7602</v>
      </c>
      <c r="M3760" s="48"/>
      <c r="N3760" s="123"/>
    </row>
    <row r="3761" spans="1:14" customFormat="1" x14ac:dyDescent="0.55000000000000004">
      <c r="A3761" s="133" t="s">
        <v>2494</v>
      </c>
      <c r="B3761" s="133" t="s">
        <v>1138</v>
      </c>
      <c r="C3761" s="133" t="s">
        <v>156</v>
      </c>
      <c r="D3761" s="133" t="s">
        <v>3288</v>
      </c>
      <c r="E3761" s="138">
        <v>0.14699999999999999</v>
      </c>
      <c r="F3761" s="153" t="s">
        <v>122</v>
      </c>
      <c r="G3761" s="153">
        <v>1</v>
      </c>
      <c r="H3761" s="133" t="s">
        <v>39</v>
      </c>
      <c r="I3761" s="133"/>
      <c r="J3761" s="133" t="s">
        <v>2493</v>
      </c>
      <c r="K3761" s="133"/>
      <c r="L3761" s="167">
        <v>740311</v>
      </c>
      <c r="M3761" s="48"/>
      <c r="N3761" s="123"/>
    </row>
    <row r="3762" spans="1:14" customFormat="1" x14ac:dyDescent="0.55000000000000004">
      <c r="A3762" s="133" t="s">
        <v>2494</v>
      </c>
      <c r="B3762" s="133" t="s">
        <v>2963</v>
      </c>
      <c r="C3762" s="133" t="s">
        <v>156</v>
      </c>
      <c r="D3762" s="133" t="s">
        <v>3288</v>
      </c>
      <c r="E3762" s="138">
        <v>8.6800000000000002E-2</v>
      </c>
      <c r="F3762" s="153" t="s">
        <v>122</v>
      </c>
      <c r="G3762" s="153">
        <v>1</v>
      </c>
      <c r="H3762" s="133" t="s">
        <v>39</v>
      </c>
      <c r="I3762" s="133"/>
      <c r="J3762" s="133" t="s">
        <v>2493</v>
      </c>
      <c r="K3762" s="133"/>
      <c r="L3762" s="167">
        <v>8111</v>
      </c>
      <c r="M3762" s="48"/>
      <c r="N3762" s="123"/>
    </row>
    <row r="3763" spans="1:14" customFormat="1" x14ac:dyDescent="0.55000000000000004">
      <c r="A3763" s="133" t="s">
        <v>2494</v>
      </c>
      <c r="B3763" s="133" t="s">
        <v>154</v>
      </c>
      <c r="C3763" s="133" t="s">
        <v>124</v>
      </c>
      <c r="D3763" s="133" t="s">
        <v>3289</v>
      </c>
      <c r="E3763" s="138">
        <v>0.16949999999999998</v>
      </c>
      <c r="F3763" s="153" t="s">
        <v>133</v>
      </c>
      <c r="G3763" s="153">
        <v>1</v>
      </c>
      <c r="H3763" s="133" t="s">
        <v>39</v>
      </c>
      <c r="I3763" s="133"/>
      <c r="J3763" s="133" t="s">
        <v>2493</v>
      </c>
      <c r="K3763" s="133"/>
      <c r="L3763" s="167"/>
      <c r="M3763" s="48"/>
      <c r="N3763" s="123"/>
    </row>
    <row r="3764" spans="1:14" customFormat="1" x14ac:dyDescent="0.55000000000000004">
      <c r="A3764" s="133" t="s">
        <v>2498</v>
      </c>
      <c r="B3764" s="133" t="s">
        <v>2964</v>
      </c>
      <c r="C3764" s="133" t="s">
        <v>121</v>
      </c>
      <c r="D3764" s="133" t="s">
        <v>2682</v>
      </c>
      <c r="E3764" s="138">
        <v>1</v>
      </c>
      <c r="F3764" s="153">
        <v>1</v>
      </c>
      <c r="G3764" s="153">
        <v>1</v>
      </c>
      <c r="H3764" s="133" t="s">
        <v>39</v>
      </c>
      <c r="I3764" s="133"/>
      <c r="J3764" s="133" t="s">
        <v>2497</v>
      </c>
      <c r="K3764" s="133"/>
      <c r="L3764" s="167"/>
      <c r="M3764" s="48"/>
      <c r="N3764" s="123"/>
    </row>
    <row r="3765" spans="1:14" customFormat="1" x14ac:dyDescent="0.55000000000000004">
      <c r="A3765" s="133" t="s">
        <v>2498</v>
      </c>
      <c r="B3765" s="133" t="s">
        <v>2965</v>
      </c>
      <c r="C3765" s="133" t="s">
        <v>207</v>
      </c>
      <c r="D3765" s="133" t="s">
        <v>3288</v>
      </c>
      <c r="E3765" s="138">
        <v>3499.97</v>
      </c>
      <c r="F3765" s="153" t="s">
        <v>122</v>
      </c>
      <c r="G3765" s="153">
        <v>1</v>
      </c>
      <c r="H3765" s="133" t="s">
        <v>39</v>
      </c>
      <c r="I3765" s="133"/>
      <c r="J3765" s="133" t="s">
        <v>2497</v>
      </c>
      <c r="K3765" s="133"/>
      <c r="L3765" s="167"/>
      <c r="M3765" s="48"/>
      <c r="N3765" s="123"/>
    </row>
    <row r="3766" spans="1:14" customFormat="1" x14ac:dyDescent="0.55000000000000004">
      <c r="A3766" s="133" t="s">
        <v>2498</v>
      </c>
      <c r="B3766" s="133" t="s">
        <v>2966</v>
      </c>
      <c r="C3766" s="133" t="s">
        <v>125</v>
      </c>
      <c r="D3766" s="133" t="s">
        <v>3288</v>
      </c>
      <c r="E3766" s="138">
        <v>19.010000000000002</v>
      </c>
      <c r="F3766" s="153" t="s">
        <v>122</v>
      </c>
      <c r="G3766" s="153">
        <v>1</v>
      </c>
      <c r="H3766" s="133" t="s">
        <v>39</v>
      </c>
      <c r="I3766" s="133"/>
      <c r="J3766" s="133" t="s">
        <v>2497</v>
      </c>
      <c r="K3766" s="133"/>
      <c r="L3766" s="167">
        <v>8110</v>
      </c>
      <c r="M3766" s="48"/>
      <c r="N3766" s="123"/>
    </row>
    <row r="3767" spans="1:14" customFormat="1" x14ac:dyDescent="0.55000000000000004">
      <c r="A3767" s="133" t="s">
        <v>2498</v>
      </c>
      <c r="B3767" s="133" t="s">
        <v>2967</v>
      </c>
      <c r="C3767" s="133" t="s">
        <v>125</v>
      </c>
      <c r="D3767" s="133" t="s">
        <v>3288</v>
      </c>
      <c r="E3767" s="138">
        <v>1.66</v>
      </c>
      <c r="F3767" s="153" t="s">
        <v>122</v>
      </c>
      <c r="G3767" s="153">
        <v>1</v>
      </c>
      <c r="H3767" s="133" t="s">
        <v>39</v>
      </c>
      <c r="I3767" s="133"/>
      <c r="J3767" s="133" t="s">
        <v>2497</v>
      </c>
      <c r="K3767" s="133"/>
      <c r="L3767" s="167">
        <v>280480</v>
      </c>
      <c r="M3767" s="48"/>
      <c r="N3767" s="123"/>
    </row>
    <row r="3768" spans="1:14" customFormat="1" x14ac:dyDescent="0.55000000000000004">
      <c r="A3768" s="133" t="s">
        <v>2498</v>
      </c>
      <c r="B3768" s="133" t="s">
        <v>293</v>
      </c>
      <c r="C3768" s="133" t="s">
        <v>125</v>
      </c>
      <c r="D3768" s="133" t="s">
        <v>3288</v>
      </c>
      <c r="E3768" s="138">
        <v>79.44</v>
      </c>
      <c r="F3768" s="153" t="s">
        <v>122</v>
      </c>
      <c r="G3768" s="153">
        <v>1</v>
      </c>
      <c r="H3768" s="133" t="s">
        <v>39</v>
      </c>
      <c r="I3768" s="133"/>
      <c r="J3768" s="133" t="s">
        <v>2497</v>
      </c>
      <c r="K3768" s="133"/>
      <c r="L3768" s="167">
        <v>2704</v>
      </c>
      <c r="M3768" s="48"/>
      <c r="N3768" s="123"/>
    </row>
    <row r="3769" spans="1:14" customFormat="1" x14ac:dyDescent="0.55000000000000004">
      <c r="A3769" s="133" t="s">
        <v>2498</v>
      </c>
      <c r="B3769" s="133" t="s">
        <v>2968</v>
      </c>
      <c r="C3769" s="133" t="s">
        <v>125</v>
      </c>
      <c r="D3769" s="133" t="s">
        <v>3288</v>
      </c>
      <c r="E3769" s="138">
        <v>280.54000000000002</v>
      </c>
      <c r="F3769" s="153" t="s">
        <v>122</v>
      </c>
      <c r="G3769" s="153">
        <v>1</v>
      </c>
      <c r="H3769" s="133" t="s">
        <v>39</v>
      </c>
      <c r="I3769" s="133"/>
      <c r="J3769" s="133" t="s">
        <v>2497</v>
      </c>
      <c r="K3769" s="133"/>
      <c r="L3769" s="167">
        <v>7204</v>
      </c>
      <c r="M3769" s="48"/>
      <c r="N3769" s="123"/>
    </row>
    <row r="3770" spans="1:14" customFormat="1" x14ac:dyDescent="0.55000000000000004">
      <c r="A3770" s="133" t="s">
        <v>2498</v>
      </c>
      <c r="B3770" s="133" t="s">
        <v>2969</v>
      </c>
      <c r="C3770" s="133" t="s">
        <v>125</v>
      </c>
      <c r="D3770" s="133" t="s">
        <v>3288</v>
      </c>
      <c r="E3770" s="138">
        <v>46.74</v>
      </c>
      <c r="F3770" s="153" t="s">
        <v>122</v>
      </c>
      <c r="G3770" s="153">
        <v>1</v>
      </c>
      <c r="H3770" s="133" t="s">
        <v>39</v>
      </c>
      <c r="I3770" s="133"/>
      <c r="J3770" s="133" t="s">
        <v>2497</v>
      </c>
      <c r="K3770" s="133"/>
      <c r="L3770" s="167">
        <v>2522</v>
      </c>
      <c r="M3770" s="48"/>
      <c r="N3770" s="123"/>
    </row>
    <row r="3771" spans="1:14" customFormat="1" x14ac:dyDescent="0.55000000000000004">
      <c r="A3771" s="133" t="s">
        <v>2498</v>
      </c>
      <c r="B3771" s="133" t="s">
        <v>213</v>
      </c>
      <c r="C3771" s="133" t="s">
        <v>125</v>
      </c>
      <c r="D3771" s="133" t="s">
        <v>3288</v>
      </c>
      <c r="E3771" s="138">
        <v>129.61000000000001</v>
      </c>
      <c r="F3771" s="153" t="s">
        <v>122</v>
      </c>
      <c r="G3771" s="153">
        <v>1</v>
      </c>
      <c r="H3771" s="133" t="s">
        <v>39</v>
      </c>
      <c r="I3771" s="133"/>
      <c r="J3771" s="133" t="s">
        <v>2497</v>
      </c>
      <c r="K3771" s="133"/>
      <c r="L3771" s="167">
        <v>280440</v>
      </c>
      <c r="M3771" s="48"/>
      <c r="N3771" s="123"/>
    </row>
    <row r="3772" spans="1:14" customFormat="1" x14ac:dyDescent="0.55000000000000004">
      <c r="A3772" s="133" t="s">
        <v>2498</v>
      </c>
      <c r="B3772" s="133" t="s">
        <v>2970</v>
      </c>
      <c r="C3772" s="133" t="s">
        <v>125</v>
      </c>
      <c r="D3772" s="133" t="s">
        <v>3288</v>
      </c>
      <c r="E3772" s="138">
        <v>0.43</v>
      </c>
      <c r="F3772" s="153" t="s">
        <v>122</v>
      </c>
      <c r="G3772" s="153">
        <v>1</v>
      </c>
      <c r="H3772" s="133" t="s">
        <v>39</v>
      </c>
      <c r="I3772" s="133"/>
      <c r="J3772" s="133" t="s">
        <v>2497</v>
      </c>
      <c r="K3772" s="133"/>
      <c r="L3772" s="167">
        <v>283640</v>
      </c>
      <c r="M3772" s="48"/>
      <c r="N3772" s="123"/>
    </row>
    <row r="3773" spans="1:14" customFormat="1" x14ac:dyDescent="0.55000000000000004">
      <c r="A3773" s="133" t="s">
        <v>2498</v>
      </c>
      <c r="B3773" s="133" t="s">
        <v>159</v>
      </c>
      <c r="C3773" s="133" t="s">
        <v>125</v>
      </c>
      <c r="D3773" s="133" t="s">
        <v>3288</v>
      </c>
      <c r="E3773" s="138">
        <v>0.04</v>
      </c>
      <c r="F3773" s="153" t="s">
        <v>122</v>
      </c>
      <c r="G3773" s="153">
        <v>1</v>
      </c>
      <c r="H3773" s="133" t="s">
        <v>39</v>
      </c>
      <c r="I3773" s="133"/>
      <c r="J3773" s="133" t="s">
        <v>2497</v>
      </c>
      <c r="K3773" s="133"/>
      <c r="L3773" s="167">
        <v>280490</v>
      </c>
      <c r="M3773" s="48"/>
      <c r="N3773" s="123"/>
    </row>
    <row r="3774" spans="1:14" customFormat="1" x14ac:dyDescent="0.55000000000000004">
      <c r="A3774" s="133" t="s">
        <v>2498</v>
      </c>
      <c r="B3774" s="133" t="s">
        <v>147</v>
      </c>
      <c r="C3774" s="133" t="s">
        <v>125</v>
      </c>
      <c r="D3774" s="133" t="s">
        <v>3288</v>
      </c>
      <c r="E3774" s="138">
        <v>19.59</v>
      </c>
      <c r="F3774" s="153" t="s">
        <v>122</v>
      </c>
      <c r="G3774" s="153">
        <v>1</v>
      </c>
      <c r="H3774" s="133" t="s">
        <v>39</v>
      </c>
      <c r="I3774" s="133"/>
      <c r="J3774" s="133" t="s">
        <v>2497</v>
      </c>
      <c r="K3774" s="133"/>
      <c r="L3774" s="167">
        <v>283620</v>
      </c>
      <c r="M3774" s="48"/>
      <c r="N3774" s="123"/>
    </row>
    <row r="3775" spans="1:14" customFormat="1" x14ac:dyDescent="0.55000000000000004">
      <c r="A3775" s="133" t="s">
        <v>2498</v>
      </c>
      <c r="B3775" s="133" t="s">
        <v>174</v>
      </c>
      <c r="C3775" s="133" t="s">
        <v>125</v>
      </c>
      <c r="D3775" s="133" t="s">
        <v>3288</v>
      </c>
      <c r="E3775" s="138">
        <v>0.39</v>
      </c>
      <c r="F3775" s="153" t="s">
        <v>122</v>
      </c>
      <c r="G3775" s="153">
        <v>1</v>
      </c>
      <c r="H3775" s="133" t="s">
        <v>39</v>
      </c>
      <c r="I3775" s="133"/>
      <c r="J3775" s="133" t="s">
        <v>2497</v>
      </c>
      <c r="K3775" s="133"/>
      <c r="L3775" s="167">
        <v>2501</v>
      </c>
      <c r="M3775" s="48"/>
      <c r="N3775" s="123"/>
    </row>
    <row r="3776" spans="1:14" customFormat="1" x14ac:dyDescent="0.55000000000000004">
      <c r="A3776" s="133" t="s">
        <v>2498</v>
      </c>
      <c r="B3776" s="133" t="s">
        <v>148</v>
      </c>
      <c r="C3776" s="133" t="s">
        <v>125</v>
      </c>
      <c r="D3776" s="133" t="s">
        <v>3288</v>
      </c>
      <c r="E3776" s="138">
        <v>6.03</v>
      </c>
      <c r="F3776" s="153" t="s">
        <v>122</v>
      </c>
      <c r="G3776" s="153">
        <v>1</v>
      </c>
      <c r="H3776" s="133" t="s">
        <v>39</v>
      </c>
      <c r="I3776" s="133"/>
      <c r="J3776" s="133" t="s">
        <v>2497</v>
      </c>
      <c r="K3776" s="133"/>
      <c r="L3776" s="167">
        <v>2815</v>
      </c>
      <c r="M3776" s="48"/>
      <c r="N3776" s="123"/>
    </row>
    <row r="3777" spans="1:14" customFormat="1" x14ac:dyDescent="0.55000000000000004">
      <c r="A3777" s="133" t="s">
        <v>2498</v>
      </c>
      <c r="B3777" s="133" t="s">
        <v>2971</v>
      </c>
      <c r="C3777" s="133" t="s">
        <v>125</v>
      </c>
      <c r="D3777" s="133" t="s">
        <v>3288</v>
      </c>
      <c r="E3777" s="138">
        <v>2.4900000000000002</v>
      </c>
      <c r="F3777" s="153" t="s">
        <v>122</v>
      </c>
      <c r="G3777" s="153">
        <v>1</v>
      </c>
      <c r="H3777" s="133" t="s">
        <v>39</v>
      </c>
      <c r="I3777" s="133"/>
      <c r="J3777" s="133" t="s">
        <v>2497</v>
      </c>
      <c r="K3777" s="133"/>
      <c r="L3777" s="167"/>
      <c r="M3777" s="48"/>
      <c r="N3777" s="123"/>
    </row>
    <row r="3778" spans="1:14" customFormat="1" x14ac:dyDescent="0.55000000000000004">
      <c r="A3778" s="133" t="s">
        <v>2498</v>
      </c>
      <c r="B3778" s="133" t="s">
        <v>2972</v>
      </c>
      <c r="C3778" s="133" t="s">
        <v>125</v>
      </c>
      <c r="D3778" s="133" t="s">
        <v>3288</v>
      </c>
      <c r="E3778" s="138">
        <v>0.95</v>
      </c>
      <c r="F3778" s="153" t="s">
        <v>122</v>
      </c>
      <c r="G3778" s="153">
        <v>1</v>
      </c>
      <c r="H3778" s="133" t="s">
        <v>39</v>
      </c>
      <c r="I3778" s="133"/>
      <c r="J3778" s="133" t="s">
        <v>2497</v>
      </c>
      <c r="K3778" s="133"/>
      <c r="L3778" s="167">
        <v>25</v>
      </c>
      <c r="M3778" s="48"/>
      <c r="N3778" s="123"/>
    </row>
    <row r="3779" spans="1:14" customFormat="1" x14ac:dyDescent="0.55000000000000004">
      <c r="A3779" s="133" t="s">
        <v>2498</v>
      </c>
      <c r="B3779" s="133" t="s">
        <v>573</v>
      </c>
      <c r="C3779" s="133" t="s">
        <v>125</v>
      </c>
      <c r="D3779" s="133" t="s">
        <v>3288</v>
      </c>
      <c r="E3779" s="138">
        <v>0.56000000000000005</v>
      </c>
      <c r="F3779" s="153" t="s">
        <v>122</v>
      </c>
      <c r="G3779" s="153">
        <v>1</v>
      </c>
      <c r="H3779" s="133" t="s">
        <v>39</v>
      </c>
      <c r="I3779" s="133"/>
      <c r="J3779" s="133" t="s">
        <v>2497</v>
      </c>
      <c r="K3779" s="133"/>
      <c r="L3779" s="167"/>
      <c r="M3779" s="48"/>
      <c r="N3779" s="123"/>
    </row>
    <row r="3780" spans="1:14" customFormat="1" x14ac:dyDescent="0.55000000000000004">
      <c r="A3780" s="133" t="s">
        <v>2498</v>
      </c>
      <c r="B3780" s="133" t="s">
        <v>153</v>
      </c>
      <c r="C3780" s="133" t="s">
        <v>127</v>
      </c>
      <c r="D3780" s="133" t="s">
        <v>2994</v>
      </c>
      <c r="E3780" s="138">
        <v>1165.08</v>
      </c>
      <c r="F3780" s="153" t="s">
        <v>167</v>
      </c>
      <c r="G3780" s="153">
        <v>1</v>
      </c>
      <c r="H3780" s="133" t="s">
        <v>39</v>
      </c>
      <c r="I3780" s="133"/>
      <c r="J3780" s="133" t="s">
        <v>2497</v>
      </c>
      <c r="K3780" s="133"/>
      <c r="L3780" s="167"/>
      <c r="M3780" s="48"/>
      <c r="N3780" s="123"/>
    </row>
    <row r="3781" spans="1:14" customFormat="1" x14ac:dyDescent="0.55000000000000004">
      <c r="A3781" s="133" t="s">
        <v>2498</v>
      </c>
      <c r="B3781" s="133" t="s">
        <v>422</v>
      </c>
      <c r="C3781" s="133" t="s">
        <v>127</v>
      </c>
      <c r="D3781" s="133" t="s">
        <v>2994</v>
      </c>
      <c r="E3781" s="138">
        <v>110.86</v>
      </c>
      <c r="F3781" s="153" t="s">
        <v>122</v>
      </c>
      <c r="G3781" s="153">
        <v>1</v>
      </c>
      <c r="H3781" s="133" t="s">
        <v>39</v>
      </c>
      <c r="I3781" s="133"/>
      <c r="J3781" s="133" t="s">
        <v>2497</v>
      </c>
      <c r="K3781" s="133"/>
      <c r="L3781" s="167">
        <v>271012</v>
      </c>
      <c r="M3781" s="48"/>
      <c r="N3781" s="123"/>
    </row>
    <row r="3782" spans="1:14" customFormat="1" x14ac:dyDescent="0.55000000000000004">
      <c r="A3782" s="133" t="s">
        <v>2498</v>
      </c>
      <c r="B3782" s="133" t="s">
        <v>154</v>
      </c>
      <c r="C3782" s="133" t="s">
        <v>125</v>
      </c>
      <c r="D3782" s="133" t="s">
        <v>3289</v>
      </c>
      <c r="E3782" s="138">
        <v>92.11</v>
      </c>
      <c r="F3782" s="153" t="s">
        <v>128</v>
      </c>
      <c r="G3782" s="153">
        <v>1</v>
      </c>
      <c r="H3782" s="133" t="s">
        <v>39</v>
      </c>
      <c r="I3782" s="133"/>
      <c r="J3782" s="133" t="s">
        <v>2497</v>
      </c>
      <c r="K3782" s="133"/>
      <c r="L3782" s="167"/>
      <c r="M3782" s="48"/>
      <c r="N3782" s="123"/>
    </row>
    <row r="3783" spans="1:14" customFormat="1" x14ac:dyDescent="0.55000000000000004">
      <c r="A3783" s="133" t="s">
        <v>2498</v>
      </c>
      <c r="B3783" s="133" t="s">
        <v>2973</v>
      </c>
      <c r="C3783" s="133" t="s">
        <v>156</v>
      </c>
      <c r="D3783" s="133" t="s">
        <v>3288</v>
      </c>
      <c r="E3783" s="138">
        <v>1000</v>
      </c>
      <c r="F3783" s="153" t="s">
        <v>122</v>
      </c>
      <c r="G3783" s="153">
        <v>1</v>
      </c>
      <c r="H3783" s="133" t="s">
        <v>39</v>
      </c>
      <c r="I3783" s="133"/>
      <c r="J3783" s="133" t="s">
        <v>2497</v>
      </c>
      <c r="K3783" s="133"/>
      <c r="L3783" s="167">
        <v>780110</v>
      </c>
      <c r="M3783" s="48"/>
      <c r="N3783" s="123"/>
    </row>
    <row r="3784" spans="1:14" customFormat="1" x14ac:dyDescent="0.55000000000000004">
      <c r="A3784" s="133" t="s">
        <v>2498</v>
      </c>
      <c r="B3784" s="133" t="s">
        <v>160</v>
      </c>
      <c r="C3784" s="133" t="s">
        <v>124</v>
      </c>
      <c r="D3784" s="133" t="s">
        <v>3288</v>
      </c>
      <c r="E3784" s="138">
        <v>555114</v>
      </c>
      <c r="F3784" s="153" t="s">
        <v>892</v>
      </c>
      <c r="G3784" s="153">
        <v>1</v>
      </c>
      <c r="H3784" s="133" t="s">
        <v>39</v>
      </c>
      <c r="I3784" s="133"/>
      <c r="J3784" s="133" t="s">
        <v>2497</v>
      </c>
      <c r="K3784" s="133"/>
      <c r="L3784" s="167"/>
      <c r="M3784" s="48"/>
      <c r="N3784" s="123"/>
    </row>
    <row r="3785" spans="1:14" customFormat="1" x14ac:dyDescent="0.55000000000000004">
      <c r="A3785" s="133" t="s">
        <v>2498</v>
      </c>
      <c r="B3785" s="133" t="s">
        <v>2974</v>
      </c>
      <c r="C3785" s="133" t="s">
        <v>124</v>
      </c>
      <c r="D3785" s="133" t="s">
        <v>3288</v>
      </c>
      <c r="E3785" s="138">
        <v>4.59</v>
      </c>
      <c r="F3785" s="153" t="s">
        <v>892</v>
      </c>
      <c r="G3785" s="153">
        <v>1</v>
      </c>
      <c r="H3785" s="133" t="s">
        <v>39</v>
      </c>
      <c r="I3785" s="133"/>
      <c r="J3785" s="133" t="s">
        <v>2497</v>
      </c>
      <c r="K3785" s="133"/>
      <c r="L3785" s="167"/>
      <c r="M3785" s="48"/>
      <c r="N3785" s="123"/>
    </row>
    <row r="3786" spans="1:14" customFormat="1" x14ac:dyDescent="0.55000000000000004">
      <c r="A3786" s="133" t="s">
        <v>2498</v>
      </c>
      <c r="B3786" s="133" t="s">
        <v>2975</v>
      </c>
      <c r="C3786" s="133" t="s">
        <v>124</v>
      </c>
      <c r="D3786" s="133" t="s">
        <v>3288</v>
      </c>
      <c r="E3786" s="138">
        <v>24.61</v>
      </c>
      <c r="F3786" s="153" t="s">
        <v>892</v>
      </c>
      <c r="G3786" s="153">
        <v>1</v>
      </c>
      <c r="H3786" s="133" t="s">
        <v>39</v>
      </c>
      <c r="I3786" s="133"/>
      <c r="J3786" s="133" t="s">
        <v>2497</v>
      </c>
      <c r="K3786" s="133"/>
      <c r="L3786" s="167"/>
      <c r="M3786" s="48"/>
      <c r="N3786" s="123"/>
    </row>
    <row r="3787" spans="1:14" customFormat="1" x14ac:dyDescent="0.55000000000000004">
      <c r="A3787" s="133" t="s">
        <v>2498</v>
      </c>
      <c r="B3787" s="133" t="s">
        <v>891</v>
      </c>
      <c r="C3787" s="133" t="s">
        <v>124</v>
      </c>
      <c r="D3787" s="133" t="s">
        <v>3288</v>
      </c>
      <c r="E3787" s="138">
        <v>2002.09</v>
      </c>
      <c r="F3787" s="153" t="s">
        <v>892</v>
      </c>
      <c r="G3787" s="153">
        <v>1</v>
      </c>
      <c r="H3787" s="133" t="s">
        <v>39</v>
      </c>
      <c r="I3787" s="133"/>
      <c r="J3787" s="133" t="s">
        <v>2497</v>
      </c>
      <c r="K3787" s="133"/>
      <c r="L3787" s="167"/>
      <c r="M3787" s="48"/>
      <c r="N3787" s="123"/>
    </row>
    <row r="3788" spans="1:14" customFormat="1" x14ac:dyDescent="0.55000000000000004">
      <c r="A3788" s="133" t="s">
        <v>2498</v>
      </c>
      <c r="B3788" s="133" t="s">
        <v>123</v>
      </c>
      <c r="C3788" s="133" t="s">
        <v>124</v>
      </c>
      <c r="D3788" s="133" t="s">
        <v>3288</v>
      </c>
      <c r="E3788" s="138">
        <v>450.81</v>
      </c>
      <c r="F3788" s="153" t="s">
        <v>892</v>
      </c>
      <c r="G3788" s="153">
        <v>1</v>
      </c>
      <c r="H3788" s="133" t="s">
        <v>39</v>
      </c>
      <c r="I3788" s="133"/>
      <c r="J3788" s="133" t="s">
        <v>2497</v>
      </c>
      <c r="K3788" s="133"/>
      <c r="L3788" s="167"/>
      <c r="M3788" s="48"/>
      <c r="N3788" s="123"/>
    </row>
    <row r="3789" spans="1:14" customFormat="1" x14ac:dyDescent="0.55000000000000004">
      <c r="A3789" s="133" t="s">
        <v>2498</v>
      </c>
      <c r="B3789" s="133" t="s">
        <v>1172</v>
      </c>
      <c r="C3789" s="133" t="s">
        <v>124</v>
      </c>
      <c r="D3789" s="133" t="s">
        <v>3288</v>
      </c>
      <c r="E3789" s="138">
        <v>3820.69</v>
      </c>
      <c r="F3789" s="153" t="s">
        <v>892</v>
      </c>
      <c r="G3789" s="153">
        <v>1</v>
      </c>
      <c r="H3789" s="133" t="s">
        <v>39</v>
      </c>
      <c r="I3789" s="133"/>
      <c r="J3789" s="133" t="s">
        <v>2497</v>
      </c>
      <c r="K3789" s="133"/>
      <c r="L3789" s="167"/>
      <c r="M3789" s="48"/>
      <c r="N3789" s="123"/>
    </row>
    <row r="3790" spans="1:14" customFormat="1" x14ac:dyDescent="0.55000000000000004">
      <c r="A3790" s="133" t="s">
        <v>2498</v>
      </c>
      <c r="B3790" s="133" t="s">
        <v>2976</v>
      </c>
      <c r="C3790" s="133" t="s">
        <v>163</v>
      </c>
      <c r="D3790" s="133" t="s">
        <v>3288</v>
      </c>
      <c r="E3790" s="138">
        <v>176.82</v>
      </c>
      <c r="F3790" s="153" t="s">
        <v>122</v>
      </c>
      <c r="G3790" s="153">
        <v>1</v>
      </c>
      <c r="H3790" s="133" t="s">
        <v>39</v>
      </c>
      <c r="I3790" s="133"/>
      <c r="J3790" s="133" t="s">
        <v>2497</v>
      </c>
      <c r="K3790" s="133"/>
      <c r="L3790" s="167">
        <v>3915</v>
      </c>
      <c r="M3790" s="48"/>
      <c r="N3790" s="123"/>
    </row>
    <row r="3791" spans="1:14" customFormat="1" x14ac:dyDescent="0.55000000000000004">
      <c r="A3791" s="133" t="s">
        <v>2498</v>
      </c>
      <c r="B3791" s="133" t="s">
        <v>2977</v>
      </c>
      <c r="C3791" s="133" t="s">
        <v>163</v>
      </c>
      <c r="D3791" s="133" t="s">
        <v>3288</v>
      </c>
      <c r="E3791" s="138">
        <v>136.78</v>
      </c>
      <c r="F3791" s="153" t="s">
        <v>122</v>
      </c>
      <c r="G3791" s="153">
        <v>1</v>
      </c>
      <c r="H3791" s="133" t="s">
        <v>39</v>
      </c>
      <c r="I3791" s="133"/>
      <c r="J3791" s="133" t="s">
        <v>2497</v>
      </c>
      <c r="K3791" s="133"/>
      <c r="L3791" s="167">
        <v>3915</v>
      </c>
      <c r="M3791" s="48"/>
      <c r="N3791" s="123"/>
    </row>
    <row r="3792" spans="1:14" customFormat="1" x14ac:dyDescent="0.55000000000000004">
      <c r="A3792" s="133" t="s">
        <v>2498</v>
      </c>
      <c r="B3792" s="133" t="s">
        <v>2978</v>
      </c>
      <c r="C3792" s="133" t="s">
        <v>163</v>
      </c>
      <c r="D3792" s="133" t="s">
        <v>3288</v>
      </c>
      <c r="E3792" s="138">
        <v>81.17</v>
      </c>
      <c r="F3792" s="153" t="s">
        <v>122</v>
      </c>
      <c r="G3792" s="153">
        <v>1</v>
      </c>
      <c r="H3792" s="133" t="s">
        <v>39</v>
      </c>
      <c r="I3792" s="133"/>
      <c r="J3792" s="133" t="s">
        <v>2497</v>
      </c>
      <c r="K3792" s="133"/>
      <c r="L3792" s="167"/>
      <c r="M3792" s="48"/>
      <c r="N3792" s="123"/>
    </row>
    <row r="3793" spans="1:14" customFormat="1" x14ac:dyDescent="0.55000000000000004">
      <c r="A3793" s="133" t="s">
        <v>2498</v>
      </c>
      <c r="B3793" s="133" t="s">
        <v>2979</v>
      </c>
      <c r="C3793" s="133" t="s">
        <v>163</v>
      </c>
      <c r="D3793" s="133" t="s">
        <v>3288</v>
      </c>
      <c r="E3793" s="138">
        <v>422.21</v>
      </c>
      <c r="F3793" s="153" t="s">
        <v>122</v>
      </c>
      <c r="G3793" s="153">
        <v>1</v>
      </c>
      <c r="H3793" s="133" t="s">
        <v>39</v>
      </c>
      <c r="I3793" s="133"/>
      <c r="J3793" s="133" t="s">
        <v>2497</v>
      </c>
      <c r="K3793" s="133"/>
      <c r="L3793" s="167"/>
      <c r="M3793" s="48"/>
      <c r="N3793" s="123"/>
    </row>
    <row r="3794" spans="1:14" customFormat="1" x14ac:dyDescent="0.55000000000000004">
      <c r="A3794" s="133" t="s">
        <v>2503</v>
      </c>
      <c r="B3794" s="133" t="s">
        <v>2980</v>
      </c>
      <c r="C3794" s="133" t="s">
        <v>121</v>
      </c>
      <c r="D3794" s="133" t="s">
        <v>2682</v>
      </c>
      <c r="E3794" s="138">
        <v>1</v>
      </c>
      <c r="F3794" s="153">
        <v>1</v>
      </c>
      <c r="G3794" s="153">
        <v>1</v>
      </c>
      <c r="H3794" s="133" t="s">
        <v>39</v>
      </c>
      <c r="I3794" s="133"/>
      <c r="J3794" s="133" t="s">
        <v>2502</v>
      </c>
      <c r="K3794" s="133"/>
      <c r="L3794" s="167"/>
      <c r="M3794" s="48"/>
      <c r="N3794" s="123"/>
    </row>
    <row r="3795" spans="1:14" customFormat="1" x14ac:dyDescent="0.55000000000000004">
      <c r="A3795" s="133" t="s">
        <v>2503</v>
      </c>
      <c r="B3795" s="133" t="s">
        <v>2981</v>
      </c>
      <c r="C3795" s="133" t="s">
        <v>207</v>
      </c>
      <c r="D3795" s="133" t="s">
        <v>3288</v>
      </c>
      <c r="E3795" s="138">
        <v>1</v>
      </c>
      <c r="F3795" s="153" t="s">
        <v>122</v>
      </c>
      <c r="G3795" s="153">
        <v>1</v>
      </c>
      <c r="H3795" s="133" t="s">
        <v>39</v>
      </c>
      <c r="I3795" s="133"/>
      <c r="J3795" s="133" t="s">
        <v>2502</v>
      </c>
      <c r="K3795" s="133"/>
      <c r="L3795" s="167"/>
      <c r="M3795" s="48"/>
      <c r="N3795" s="123"/>
    </row>
    <row r="3796" spans="1:14" customFormat="1" x14ac:dyDescent="0.55000000000000004">
      <c r="A3796" s="133" t="s">
        <v>2503</v>
      </c>
      <c r="B3796" s="133" t="s">
        <v>153</v>
      </c>
      <c r="C3796" s="133" t="s">
        <v>127</v>
      </c>
      <c r="D3796" s="133" t="s">
        <v>2994</v>
      </c>
      <c r="E3796" s="138">
        <v>4.0679999999999996</v>
      </c>
      <c r="F3796" s="153" t="s">
        <v>167</v>
      </c>
      <c r="G3796" s="153">
        <v>1</v>
      </c>
      <c r="H3796" s="133" t="s">
        <v>39</v>
      </c>
      <c r="I3796" s="133"/>
      <c r="J3796" s="133" t="s">
        <v>2502</v>
      </c>
      <c r="K3796" s="133"/>
      <c r="L3796" s="167"/>
      <c r="M3796" s="48"/>
      <c r="N3796" s="123"/>
    </row>
    <row r="3797" spans="1:14" customFormat="1" x14ac:dyDescent="0.55000000000000004">
      <c r="A3797" s="133" t="s">
        <v>2503</v>
      </c>
      <c r="B3797" s="133" t="s">
        <v>2982</v>
      </c>
      <c r="C3797" s="133" t="s">
        <v>156</v>
      </c>
      <c r="D3797" s="133" t="s">
        <v>2994</v>
      </c>
      <c r="E3797" s="138">
        <v>0.79</v>
      </c>
      <c r="F3797" s="153" t="s">
        <v>167</v>
      </c>
      <c r="G3797" s="153">
        <v>1</v>
      </c>
      <c r="H3797" s="133" t="s">
        <v>39</v>
      </c>
      <c r="I3797" s="133"/>
      <c r="J3797" s="133" t="s">
        <v>2502</v>
      </c>
      <c r="K3797" s="133"/>
      <c r="L3797" s="167"/>
      <c r="M3797" s="48"/>
      <c r="N3797" s="123"/>
    </row>
    <row r="3798" spans="1:14" customFormat="1" x14ac:dyDescent="0.55000000000000004">
      <c r="A3798" s="133" t="s">
        <v>2503</v>
      </c>
      <c r="B3798" s="133" t="s">
        <v>2983</v>
      </c>
      <c r="C3798" s="133" t="s">
        <v>124</v>
      </c>
      <c r="D3798" s="133" t="s">
        <v>3288</v>
      </c>
      <c r="E3798" s="138">
        <v>7.0289999999999997E-7</v>
      </c>
      <c r="F3798" s="153" t="s">
        <v>122</v>
      </c>
      <c r="G3798" s="153">
        <v>1</v>
      </c>
      <c r="H3798" s="133" t="s">
        <v>39</v>
      </c>
      <c r="I3798" s="133"/>
      <c r="J3798" s="133" t="s">
        <v>2502</v>
      </c>
      <c r="K3798" s="133"/>
      <c r="L3798" s="167"/>
      <c r="M3798" s="48"/>
      <c r="N3798" s="123"/>
    </row>
    <row r="3799" spans="1:14" customFormat="1" x14ac:dyDescent="0.55000000000000004">
      <c r="A3799" s="133" t="s">
        <v>2503</v>
      </c>
      <c r="B3799" s="133" t="s">
        <v>2984</v>
      </c>
      <c r="C3799" s="133" t="s">
        <v>124</v>
      </c>
      <c r="D3799" s="133" t="s">
        <v>3288</v>
      </c>
      <c r="E3799" s="138">
        <v>1.2130000000000001E-7</v>
      </c>
      <c r="F3799" s="153" t="s">
        <v>122</v>
      </c>
      <c r="G3799" s="153">
        <v>1</v>
      </c>
      <c r="H3799" s="133" t="s">
        <v>39</v>
      </c>
      <c r="I3799" s="133"/>
      <c r="J3799" s="133" t="s">
        <v>2502</v>
      </c>
      <c r="K3799" s="133"/>
      <c r="L3799" s="167"/>
      <c r="M3799" s="48"/>
      <c r="N3799" s="123"/>
    </row>
    <row r="3800" spans="1:14" customFormat="1" x14ac:dyDescent="0.55000000000000004">
      <c r="A3800" s="133" t="s">
        <v>2503</v>
      </c>
      <c r="B3800" s="133" t="s">
        <v>2985</v>
      </c>
      <c r="C3800" s="133" t="s">
        <v>124</v>
      </c>
      <c r="D3800" s="133" t="s">
        <v>3288</v>
      </c>
      <c r="E3800" s="138">
        <v>5.0000000000000003E-10</v>
      </c>
      <c r="F3800" s="153" t="s">
        <v>122</v>
      </c>
      <c r="G3800" s="153">
        <v>1</v>
      </c>
      <c r="H3800" s="133" t="s">
        <v>39</v>
      </c>
      <c r="I3800" s="133"/>
      <c r="J3800" s="133" t="s">
        <v>2502</v>
      </c>
      <c r="K3800" s="133"/>
      <c r="L3800" s="167"/>
      <c r="M3800" s="48"/>
      <c r="N3800" s="123"/>
    </row>
    <row r="3801" spans="1:14" customFormat="1" x14ac:dyDescent="0.55000000000000004">
      <c r="A3801" s="133" t="s">
        <v>2503</v>
      </c>
      <c r="B3801" s="133" t="s">
        <v>2986</v>
      </c>
      <c r="C3801" s="133" t="s">
        <v>124</v>
      </c>
      <c r="D3801" s="133" t="s">
        <v>3288</v>
      </c>
      <c r="E3801" s="138">
        <v>2.4E-9</v>
      </c>
      <c r="F3801" s="153" t="s">
        <v>122</v>
      </c>
      <c r="G3801" s="153">
        <v>1</v>
      </c>
      <c r="H3801" s="133" t="s">
        <v>39</v>
      </c>
      <c r="I3801" s="133"/>
      <c r="J3801" s="133" t="s">
        <v>2502</v>
      </c>
      <c r="K3801" s="133"/>
      <c r="L3801" s="167"/>
      <c r="M3801" s="48"/>
      <c r="N3801" s="123"/>
    </row>
    <row r="3802" spans="1:14" customFormat="1" x14ac:dyDescent="0.55000000000000004">
      <c r="A3802" s="133" t="s">
        <v>2503</v>
      </c>
      <c r="B3802" s="133" t="s">
        <v>2987</v>
      </c>
      <c r="C3802" s="133" t="s">
        <v>156</v>
      </c>
      <c r="D3802" s="133" t="s">
        <v>3288</v>
      </c>
      <c r="E3802" s="138">
        <v>0.246</v>
      </c>
      <c r="F3802" s="153" t="s">
        <v>122</v>
      </c>
      <c r="G3802" s="153">
        <v>1</v>
      </c>
      <c r="H3802" s="133" t="s">
        <v>39</v>
      </c>
      <c r="I3802" s="133"/>
      <c r="J3802" s="133" t="s">
        <v>2502</v>
      </c>
      <c r="K3802" s="133"/>
      <c r="L3802" s="167">
        <v>8107</v>
      </c>
      <c r="M3802" s="48"/>
      <c r="N3802" s="123"/>
    </row>
    <row r="3803" spans="1:14" customFormat="1" x14ac:dyDescent="0.55000000000000004">
      <c r="A3803" s="133" t="s">
        <v>2503</v>
      </c>
      <c r="B3803" s="133" t="s">
        <v>2988</v>
      </c>
      <c r="C3803" s="133" t="s">
        <v>156</v>
      </c>
      <c r="D3803" s="133" t="s">
        <v>3288</v>
      </c>
      <c r="E3803" s="138">
        <v>0.70299999999999996</v>
      </c>
      <c r="F3803" s="153" t="s">
        <v>122</v>
      </c>
      <c r="G3803" s="153">
        <v>1</v>
      </c>
      <c r="H3803" s="133" t="s">
        <v>39</v>
      </c>
      <c r="I3803" s="133"/>
      <c r="J3803" s="133" t="s">
        <v>2502</v>
      </c>
      <c r="K3803" s="133"/>
      <c r="L3803" s="167">
        <v>720260</v>
      </c>
      <c r="M3803" s="48"/>
      <c r="N3803" s="123"/>
    </row>
    <row r="3804" spans="1:14" customFormat="1" x14ac:dyDescent="0.55000000000000004">
      <c r="A3804" s="133" t="s">
        <v>2506</v>
      </c>
      <c r="B3804" s="133" t="s">
        <v>2989</v>
      </c>
      <c r="C3804" s="133" t="s">
        <v>121</v>
      </c>
      <c r="D3804" s="133" t="s">
        <v>2682</v>
      </c>
      <c r="E3804" s="138">
        <v>1</v>
      </c>
      <c r="F3804" s="153">
        <v>1</v>
      </c>
      <c r="G3804" s="153">
        <v>1</v>
      </c>
      <c r="H3804" s="133" t="s">
        <v>39</v>
      </c>
      <c r="I3804" s="133"/>
      <c r="J3804" s="133" t="s">
        <v>2505</v>
      </c>
      <c r="K3804" s="133"/>
      <c r="L3804" s="167"/>
      <c r="M3804" s="48"/>
      <c r="N3804" s="123"/>
    </row>
    <row r="3805" spans="1:14" customFormat="1" x14ac:dyDescent="0.55000000000000004">
      <c r="A3805" s="133" t="s">
        <v>2506</v>
      </c>
      <c r="B3805" s="133" t="s">
        <v>2981</v>
      </c>
      <c r="C3805" s="133" t="s">
        <v>207</v>
      </c>
      <c r="D3805" s="133" t="s">
        <v>3288</v>
      </c>
      <c r="E3805" s="138">
        <v>1500</v>
      </c>
      <c r="F3805" s="153" t="s">
        <v>122</v>
      </c>
      <c r="G3805" s="153">
        <v>1</v>
      </c>
      <c r="H3805" s="133" t="s">
        <v>39</v>
      </c>
      <c r="I3805" s="133"/>
      <c r="J3805" s="133" t="s">
        <v>2505</v>
      </c>
      <c r="K3805" s="133"/>
      <c r="L3805" s="167"/>
      <c r="M3805" s="48"/>
      <c r="N3805" s="123"/>
    </row>
    <row r="3806" spans="1:14" customFormat="1" x14ac:dyDescent="0.55000000000000004">
      <c r="A3806" s="133" t="s">
        <v>2506</v>
      </c>
      <c r="B3806" s="133" t="s">
        <v>2990</v>
      </c>
      <c r="C3806" s="133" t="s">
        <v>156</v>
      </c>
      <c r="D3806" s="133" t="s">
        <v>3288</v>
      </c>
      <c r="E3806" s="138">
        <v>500</v>
      </c>
      <c r="F3806" s="153" t="s">
        <v>122</v>
      </c>
      <c r="G3806" s="153">
        <v>1</v>
      </c>
      <c r="H3806" s="133" t="s">
        <v>39</v>
      </c>
      <c r="I3806" s="133" t="s">
        <v>2991</v>
      </c>
      <c r="J3806" s="133" t="s">
        <v>2505</v>
      </c>
      <c r="K3806" s="133">
        <v>29</v>
      </c>
      <c r="L3806" s="167">
        <v>7204</v>
      </c>
      <c r="M3806" s="48"/>
      <c r="N3806" s="123"/>
    </row>
    <row r="3807" spans="1:14" customFormat="1" x14ac:dyDescent="0.55000000000000004">
      <c r="A3807" s="133" t="s">
        <v>2506</v>
      </c>
      <c r="B3807" s="133" t="s">
        <v>1140</v>
      </c>
      <c r="C3807" s="133" t="s">
        <v>125</v>
      </c>
      <c r="D3807" s="133" t="s">
        <v>3289</v>
      </c>
      <c r="E3807" s="138">
        <v>25</v>
      </c>
      <c r="F3807" s="153" t="s">
        <v>133</v>
      </c>
      <c r="G3807" s="153">
        <v>1</v>
      </c>
      <c r="H3807" s="133" t="s">
        <v>39</v>
      </c>
      <c r="I3807" s="133"/>
      <c r="J3807" s="133" t="s">
        <v>2505</v>
      </c>
      <c r="K3807" s="133"/>
      <c r="L3807" s="167">
        <v>280700</v>
      </c>
      <c r="M3807" s="48"/>
      <c r="N3807" s="123"/>
    </row>
    <row r="3808" spans="1:14" customFormat="1" x14ac:dyDescent="0.55000000000000004">
      <c r="A3808" s="133" t="s">
        <v>2506</v>
      </c>
      <c r="B3808" s="133" t="s">
        <v>615</v>
      </c>
      <c r="C3808" s="133" t="s">
        <v>125</v>
      </c>
      <c r="D3808" s="133" t="s">
        <v>3288</v>
      </c>
      <c r="E3808" s="138">
        <v>1489.3617021276596</v>
      </c>
      <c r="F3808" s="153" t="s">
        <v>122</v>
      </c>
      <c r="G3808" s="153">
        <v>1</v>
      </c>
      <c r="H3808" s="133" t="s">
        <v>39</v>
      </c>
      <c r="I3808" s="133" t="s">
        <v>2992</v>
      </c>
      <c r="J3808" s="133" t="s">
        <v>2505</v>
      </c>
      <c r="K3808" s="133">
        <v>30</v>
      </c>
      <c r="L3808" s="167">
        <v>2814</v>
      </c>
      <c r="M3808" s="48"/>
      <c r="N3808" s="123"/>
    </row>
    <row r="3809" spans="1:14" customFormat="1" x14ac:dyDescent="0.55000000000000004">
      <c r="A3809" s="133" t="s">
        <v>2506</v>
      </c>
      <c r="B3809" s="133" t="s">
        <v>148</v>
      </c>
      <c r="C3809" s="133" t="s">
        <v>125</v>
      </c>
      <c r="D3809" s="133" t="s">
        <v>3288</v>
      </c>
      <c r="E3809" s="138">
        <v>1489.3617021276596</v>
      </c>
      <c r="F3809" s="153" t="s">
        <v>122</v>
      </c>
      <c r="G3809" s="153">
        <v>1</v>
      </c>
      <c r="H3809" s="133" t="s">
        <v>39</v>
      </c>
      <c r="I3809" s="133" t="s">
        <v>2992</v>
      </c>
      <c r="J3809" s="133" t="s">
        <v>2505</v>
      </c>
      <c r="K3809" s="133">
        <v>31</v>
      </c>
      <c r="L3809" s="167">
        <v>2815</v>
      </c>
      <c r="M3809" s="48"/>
      <c r="N3809" s="123"/>
    </row>
    <row r="3810" spans="1:14" customFormat="1" x14ac:dyDescent="0.55000000000000004">
      <c r="A3810" s="133" t="s">
        <v>2506</v>
      </c>
      <c r="B3810" s="133" t="s">
        <v>2993</v>
      </c>
      <c r="C3810" s="133" t="s">
        <v>125</v>
      </c>
      <c r="D3810" s="133" t="s">
        <v>3289</v>
      </c>
      <c r="E3810" s="138">
        <v>5</v>
      </c>
      <c r="F3810" s="153" t="s">
        <v>133</v>
      </c>
      <c r="G3810" s="153">
        <v>1</v>
      </c>
      <c r="H3810" s="133" t="s">
        <v>39</v>
      </c>
      <c r="I3810" s="133"/>
      <c r="J3810" s="133" t="s">
        <v>2505</v>
      </c>
      <c r="K3810" s="133"/>
      <c r="L3810" s="167">
        <v>2847</v>
      </c>
      <c r="M3810" s="48"/>
      <c r="N3810" s="123"/>
    </row>
    <row r="3811" spans="1:14" customFormat="1" x14ac:dyDescent="0.55000000000000004">
      <c r="A3811" s="133" t="s">
        <v>2506</v>
      </c>
      <c r="B3811" s="133" t="s">
        <v>2994</v>
      </c>
      <c r="C3811" s="133" t="s">
        <v>127</v>
      </c>
      <c r="D3811" s="133" t="s">
        <v>2994</v>
      </c>
      <c r="E3811" s="138">
        <v>32142.857142857141</v>
      </c>
      <c r="F3811" s="153" t="s">
        <v>130</v>
      </c>
      <c r="G3811" s="153">
        <v>1</v>
      </c>
      <c r="H3811" s="133" t="s">
        <v>39</v>
      </c>
      <c r="I3811" s="133"/>
      <c r="J3811" s="133" t="s">
        <v>2505</v>
      </c>
      <c r="K3811" s="133"/>
      <c r="L3811" s="167"/>
      <c r="M3811" s="48"/>
      <c r="N3811" s="123"/>
    </row>
    <row r="3812" spans="1:14" customFormat="1" x14ac:dyDescent="0.55000000000000004">
      <c r="A3812" s="133" t="s">
        <v>2506</v>
      </c>
      <c r="B3812" s="133" t="s">
        <v>2995</v>
      </c>
      <c r="C3812" s="133" t="s">
        <v>156</v>
      </c>
      <c r="D3812" s="133" t="s">
        <v>3288</v>
      </c>
      <c r="E3812" s="138">
        <v>165</v>
      </c>
      <c r="F3812" s="153" t="s">
        <v>122</v>
      </c>
      <c r="G3812" s="153">
        <v>1</v>
      </c>
      <c r="H3812" s="133" t="s">
        <v>39</v>
      </c>
      <c r="I3812" s="133"/>
      <c r="J3812" s="133" t="s">
        <v>2505</v>
      </c>
      <c r="K3812" s="133"/>
      <c r="L3812" s="167">
        <v>75</v>
      </c>
      <c r="M3812" s="48"/>
      <c r="N3812" s="123"/>
    </row>
    <row r="3813" spans="1:14" customFormat="1" x14ac:dyDescent="0.55000000000000004">
      <c r="A3813" s="133" t="s">
        <v>2506</v>
      </c>
      <c r="B3813" s="133" t="s">
        <v>2996</v>
      </c>
      <c r="C3813" s="133" t="s">
        <v>156</v>
      </c>
      <c r="D3813" s="133" t="s">
        <v>3288</v>
      </c>
      <c r="E3813" s="138">
        <v>315</v>
      </c>
      <c r="F3813" s="153" t="s">
        <v>122</v>
      </c>
      <c r="G3813" s="153">
        <v>1</v>
      </c>
      <c r="H3813" s="133" t="s">
        <v>39</v>
      </c>
      <c r="I3813" s="133"/>
      <c r="J3813" s="133" t="s">
        <v>2505</v>
      </c>
      <c r="K3813" s="133"/>
      <c r="L3813" s="167">
        <v>8107</v>
      </c>
      <c r="M3813" s="48"/>
      <c r="N3813" s="123"/>
    </row>
    <row r="3814" spans="1:14" customFormat="1" x14ac:dyDescent="0.55000000000000004">
      <c r="A3814" s="133" t="s">
        <v>2506</v>
      </c>
      <c r="B3814" s="133" t="s">
        <v>2997</v>
      </c>
      <c r="C3814" s="133" t="s">
        <v>156</v>
      </c>
      <c r="D3814" s="133" t="s">
        <v>3288</v>
      </c>
      <c r="E3814" s="138">
        <v>236.82524999516519</v>
      </c>
      <c r="F3814" s="153" t="s">
        <v>122</v>
      </c>
      <c r="G3814" s="153">
        <v>1</v>
      </c>
      <c r="H3814" s="133" t="s">
        <v>39</v>
      </c>
      <c r="I3814" s="133" t="s">
        <v>2998</v>
      </c>
      <c r="J3814" s="133" t="s">
        <v>2505</v>
      </c>
      <c r="K3814" s="133"/>
      <c r="L3814" s="167">
        <v>282110</v>
      </c>
      <c r="M3814" s="48"/>
      <c r="N3814" s="123"/>
    </row>
    <row r="3815" spans="1:14" customFormat="1" x14ac:dyDescent="0.55000000000000004">
      <c r="A3815" s="133" t="s">
        <v>2506</v>
      </c>
      <c r="B3815" s="133" t="s">
        <v>2999</v>
      </c>
      <c r="C3815" s="133" t="s">
        <v>163</v>
      </c>
      <c r="D3815" s="133" t="s">
        <v>3288</v>
      </c>
      <c r="E3815" s="138">
        <v>30</v>
      </c>
      <c r="F3815" s="153" t="s">
        <v>122</v>
      </c>
      <c r="G3815" s="153">
        <v>1</v>
      </c>
      <c r="H3815" s="133" t="s">
        <v>39</v>
      </c>
      <c r="I3815" s="133" t="s">
        <v>3000</v>
      </c>
      <c r="J3815" s="133" t="s">
        <v>2505</v>
      </c>
      <c r="K3815" s="133"/>
      <c r="L3815" s="167"/>
      <c r="M3815" s="48"/>
      <c r="N3815" s="123"/>
    </row>
    <row r="3816" spans="1:14" customFormat="1" x14ac:dyDescent="0.55000000000000004">
      <c r="A3816" s="133" t="s">
        <v>2506</v>
      </c>
      <c r="B3816" s="133" t="s">
        <v>3001</v>
      </c>
      <c r="C3816" s="133" t="s">
        <v>163</v>
      </c>
      <c r="D3816" s="133" t="s">
        <v>3288</v>
      </c>
      <c r="E3816" s="138">
        <v>150</v>
      </c>
      <c r="F3816" s="153" t="s">
        <v>122</v>
      </c>
      <c r="G3816" s="153">
        <v>1</v>
      </c>
      <c r="H3816" s="133" t="s">
        <v>39</v>
      </c>
      <c r="I3816" s="133" t="s">
        <v>3002</v>
      </c>
      <c r="J3816" s="133" t="s">
        <v>2505</v>
      </c>
      <c r="K3816" s="133"/>
      <c r="L3816" s="167">
        <v>720260</v>
      </c>
      <c r="M3816" s="48"/>
      <c r="N3816" s="123"/>
    </row>
    <row r="3817" spans="1:14" customFormat="1" x14ac:dyDescent="0.55000000000000004">
      <c r="A3817" s="133" t="s">
        <v>2510</v>
      </c>
      <c r="B3817" s="133" t="s">
        <v>3003</v>
      </c>
      <c r="C3817" s="133" t="s">
        <v>121</v>
      </c>
      <c r="D3817" s="133" t="s">
        <v>2682</v>
      </c>
      <c r="E3817" s="138">
        <v>1</v>
      </c>
      <c r="F3817" s="153">
        <v>1</v>
      </c>
      <c r="G3817" s="153">
        <v>1</v>
      </c>
      <c r="H3817" s="133" t="s">
        <v>39</v>
      </c>
      <c r="I3817" s="133"/>
      <c r="J3817" s="133" t="s">
        <v>2509</v>
      </c>
      <c r="K3817" s="133"/>
      <c r="L3817" s="167"/>
      <c r="M3817" s="48"/>
      <c r="N3817" s="123"/>
    </row>
    <row r="3818" spans="1:14" customFormat="1" x14ac:dyDescent="0.55000000000000004">
      <c r="A3818" s="133" t="s">
        <v>2510</v>
      </c>
      <c r="B3818" s="133" t="s">
        <v>3004</v>
      </c>
      <c r="C3818" s="133" t="s">
        <v>207</v>
      </c>
      <c r="D3818" s="133" t="s">
        <v>3288</v>
      </c>
      <c r="E3818" s="138">
        <v>8.64</v>
      </c>
      <c r="F3818" s="153" t="s">
        <v>122</v>
      </c>
      <c r="G3818" s="153">
        <v>1</v>
      </c>
      <c r="H3818" s="133" t="s">
        <v>39</v>
      </c>
      <c r="I3818" s="133"/>
      <c r="J3818" s="133" t="s">
        <v>2509</v>
      </c>
      <c r="K3818" s="133"/>
      <c r="L3818" s="167"/>
      <c r="M3818" s="48"/>
      <c r="N3818" s="123"/>
    </row>
    <row r="3819" spans="1:14" customFormat="1" x14ac:dyDescent="0.55000000000000004">
      <c r="A3819" s="133" t="s">
        <v>2510</v>
      </c>
      <c r="B3819" s="133" t="s">
        <v>3005</v>
      </c>
      <c r="C3819" s="133" t="s">
        <v>125</v>
      </c>
      <c r="D3819" s="133" t="s">
        <v>3288</v>
      </c>
      <c r="E3819" s="138">
        <v>0.29599999999999999</v>
      </c>
      <c r="F3819" s="153" t="s">
        <v>122</v>
      </c>
      <c r="G3819" s="153">
        <v>1</v>
      </c>
      <c r="H3819" s="133" t="s">
        <v>39</v>
      </c>
      <c r="I3819" s="133"/>
      <c r="J3819" s="133" t="s">
        <v>2509</v>
      </c>
      <c r="K3819" s="133"/>
      <c r="L3819" s="167"/>
      <c r="M3819" s="48"/>
      <c r="N3819" s="123"/>
    </row>
    <row r="3820" spans="1:14" customFormat="1" x14ac:dyDescent="0.55000000000000004">
      <c r="A3820" s="133" t="s">
        <v>2510</v>
      </c>
      <c r="B3820" s="133" t="s">
        <v>3006</v>
      </c>
      <c r="C3820" s="133" t="s">
        <v>125</v>
      </c>
      <c r="D3820" s="133" t="s">
        <v>3288</v>
      </c>
      <c r="E3820" s="138">
        <v>0.82400000000000007</v>
      </c>
      <c r="F3820" s="153" t="s">
        <v>122</v>
      </c>
      <c r="G3820" s="153">
        <v>1</v>
      </c>
      <c r="H3820" s="133" t="s">
        <v>39</v>
      </c>
      <c r="I3820" s="133"/>
      <c r="J3820" s="133" t="s">
        <v>2509</v>
      </c>
      <c r="K3820" s="133"/>
      <c r="L3820" s="167"/>
      <c r="M3820" s="48"/>
      <c r="N3820" s="123"/>
    </row>
    <row r="3821" spans="1:14" customFormat="1" x14ac:dyDescent="0.55000000000000004">
      <c r="A3821" s="133" t="s">
        <v>2510</v>
      </c>
      <c r="B3821" s="133" t="s">
        <v>3007</v>
      </c>
      <c r="C3821" s="133" t="s">
        <v>125</v>
      </c>
      <c r="D3821" s="133" t="s">
        <v>3288</v>
      </c>
      <c r="E3821" s="138">
        <v>0.754</v>
      </c>
      <c r="F3821" s="153" t="s">
        <v>122</v>
      </c>
      <c r="G3821" s="153">
        <v>1</v>
      </c>
      <c r="H3821" s="133" t="s">
        <v>39</v>
      </c>
      <c r="I3821" s="133"/>
      <c r="J3821" s="133" t="s">
        <v>2509</v>
      </c>
      <c r="K3821" s="133"/>
      <c r="L3821" s="167"/>
      <c r="M3821" s="48"/>
      <c r="N3821" s="123"/>
    </row>
    <row r="3822" spans="1:14" customFormat="1" x14ac:dyDescent="0.55000000000000004">
      <c r="A3822" s="133" t="s">
        <v>2510</v>
      </c>
      <c r="B3822" s="133" t="s">
        <v>3008</v>
      </c>
      <c r="C3822" s="133" t="s">
        <v>125</v>
      </c>
      <c r="D3822" s="133" t="s">
        <v>3288</v>
      </c>
      <c r="E3822" s="138">
        <v>3.08</v>
      </c>
      <c r="F3822" s="153" t="s">
        <v>122</v>
      </c>
      <c r="G3822" s="153">
        <v>1</v>
      </c>
      <c r="H3822" s="133" t="s">
        <v>39</v>
      </c>
      <c r="I3822" s="133"/>
      <c r="J3822" s="133" t="s">
        <v>2509</v>
      </c>
      <c r="K3822" s="133"/>
      <c r="L3822" s="167"/>
      <c r="M3822" s="48"/>
      <c r="N3822" s="123"/>
    </row>
    <row r="3823" spans="1:14" customFormat="1" x14ac:dyDescent="0.55000000000000004">
      <c r="A3823" s="133" t="s">
        <v>2510</v>
      </c>
      <c r="B3823" s="133" t="s">
        <v>154</v>
      </c>
      <c r="C3823" s="133" t="s">
        <v>132</v>
      </c>
      <c r="D3823" s="133" t="s">
        <v>3288</v>
      </c>
      <c r="E3823" s="138">
        <v>4.59</v>
      </c>
      <c r="F3823" s="153" t="s">
        <v>122</v>
      </c>
      <c r="G3823" s="153">
        <v>1</v>
      </c>
      <c r="H3823" s="133" t="s">
        <v>39</v>
      </c>
      <c r="I3823" s="133"/>
      <c r="J3823" s="133" t="s">
        <v>2509</v>
      </c>
      <c r="K3823" s="133"/>
      <c r="L3823" s="167"/>
      <c r="M3823" s="48"/>
      <c r="N3823" s="123"/>
    </row>
    <row r="3824" spans="1:14" customFormat="1" x14ac:dyDescent="0.55000000000000004">
      <c r="A3824" s="133" t="s">
        <v>2510</v>
      </c>
      <c r="B3824" s="133" t="s">
        <v>153</v>
      </c>
      <c r="C3824" s="133" t="s">
        <v>127</v>
      </c>
      <c r="D3824" s="133" t="s">
        <v>2994</v>
      </c>
      <c r="E3824" s="138">
        <v>4.1900000000000004</v>
      </c>
      <c r="F3824" s="153" t="s">
        <v>130</v>
      </c>
      <c r="G3824" s="153">
        <v>1</v>
      </c>
      <c r="H3824" s="133" t="s">
        <v>39</v>
      </c>
      <c r="I3824" s="133"/>
      <c r="J3824" s="133" t="s">
        <v>2509</v>
      </c>
      <c r="K3824" s="133"/>
      <c r="L3824" s="167"/>
      <c r="M3824" s="48"/>
      <c r="N3824" s="123"/>
    </row>
    <row r="3825" spans="1:14" customFormat="1" x14ac:dyDescent="0.55000000000000004">
      <c r="A3825" s="133" t="s">
        <v>2510</v>
      </c>
      <c r="B3825" s="133" t="s">
        <v>3009</v>
      </c>
      <c r="C3825" s="133" t="s">
        <v>156</v>
      </c>
      <c r="D3825" s="133" t="s">
        <v>3288</v>
      </c>
      <c r="E3825" s="138">
        <v>3.08</v>
      </c>
      <c r="F3825" s="153" t="s">
        <v>122</v>
      </c>
      <c r="G3825" s="153">
        <v>1</v>
      </c>
      <c r="H3825" s="133" t="s">
        <v>39</v>
      </c>
      <c r="I3825" s="133"/>
      <c r="J3825" s="133" t="s">
        <v>2509</v>
      </c>
      <c r="K3825" s="133"/>
      <c r="L3825" s="167"/>
      <c r="M3825" s="48"/>
      <c r="N3825" s="123"/>
    </row>
    <row r="3826" spans="1:14" customFormat="1" x14ac:dyDescent="0.55000000000000004">
      <c r="A3826" s="133" t="s">
        <v>2510</v>
      </c>
      <c r="B3826" s="133" t="s">
        <v>2934</v>
      </c>
      <c r="C3826" s="133" t="s">
        <v>124</v>
      </c>
      <c r="D3826" s="133" t="s">
        <v>3288</v>
      </c>
      <c r="E3826" s="138">
        <v>1.5200000000000001E-3</v>
      </c>
      <c r="F3826" s="153" t="s">
        <v>122</v>
      </c>
      <c r="G3826" s="153">
        <v>1</v>
      </c>
      <c r="H3826" s="133" t="s">
        <v>39</v>
      </c>
      <c r="I3826" s="133"/>
      <c r="J3826" s="133" t="s">
        <v>2509</v>
      </c>
      <c r="K3826" s="133"/>
      <c r="L3826" s="167"/>
      <c r="M3826" s="48"/>
      <c r="N3826" s="123"/>
    </row>
    <row r="3827" spans="1:14" customFormat="1" x14ac:dyDescent="0.55000000000000004">
      <c r="A3827" s="133" t="s">
        <v>2510</v>
      </c>
      <c r="B3827" s="133" t="s">
        <v>3010</v>
      </c>
      <c r="C3827" s="133" t="s">
        <v>124</v>
      </c>
      <c r="D3827" s="133" t="s">
        <v>3288</v>
      </c>
      <c r="E3827" s="138">
        <v>2.0600000000000003E-5</v>
      </c>
      <c r="F3827" s="153" t="s">
        <v>122</v>
      </c>
      <c r="G3827" s="153">
        <v>1</v>
      </c>
      <c r="H3827" s="133" t="s">
        <v>39</v>
      </c>
      <c r="I3827" s="133"/>
      <c r="J3827" s="133" t="s">
        <v>2509</v>
      </c>
      <c r="K3827" s="133"/>
      <c r="L3827" s="167"/>
      <c r="M3827" s="48"/>
      <c r="N3827" s="123"/>
    </row>
    <row r="3828" spans="1:14" customFormat="1" x14ac:dyDescent="0.55000000000000004">
      <c r="A3828" s="133" t="s">
        <v>2510</v>
      </c>
      <c r="B3828" s="133" t="s">
        <v>3011</v>
      </c>
      <c r="C3828" s="133" t="s">
        <v>124</v>
      </c>
      <c r="D3828" s="133" t="s">
        <v>3288</v>
      </c>
      <c r="E3828" s="138">
        <v>1.14E-3</v>
      </c>
      <c r="F3828" s="153" t="s">
        <v>122</v>
      </c>
      <c r="G3828" s="153">
        <v>1</v>
      </c>
      <c r="H3828" s="133" t="s">
        <v>39</v>
      </c>
      <c r="I3828" s="133"/>
      <c r="J3828" s="133" t="s">
        <v>2509</v>
      </c>
      <c r="K3828" s="133"/>
      <c r="L3828" s="167"/>
      <c r="M3828" s="48"/>
      <c r="N3828" s="123"/>
    </row>
    <row r="3829" spans="1:14" customFormat="1" x14ac:dyDescent="0.55000000000000004">
      <c r="A3829" s="133" t="s">
        <v>2510</v>
      </c>
      <c r="B3829" s="133" t="s">
        <v>3012</v>
      </c>
      <c r="C3829" s="133" t="s">
        <v>124</v>
      </c>
      <c r="D3829" s="133" t="s">
        <v>3288</v>
      </c>
      <c r="E3829" s="138">
        <v>3.4600000000000001E-5</v>
      </c>
      <c r="F3829" s="153" t="s">
        <v>122</v>
      </c>
      <c r="G3829" s="153">
        <v>1</v>
      </c>
      <c r="H3829" s="133" t="s">
        <v>39</v>
      </c>
      <c r="I3829" s="133"/>
      <c r="J3829" s="133" t="s">
        <v>2509</v>
      </c>
      <c r="K3829" s="133"/>
      <c r="L3829" s="167"/>
      <c r="M3829" s="48"/>
      <c r="N3829" s="123"/>
    </row>
    <row r="3830" spans="1:14" customFormat="1" x14ac:dyDescent="0.55000000000000004">
      <c r="A3830" s="133" t="s">
        <v>2510</v>
      </c>
      <c r="B3830" s="133" t="s">
        <v>3013</v>
      </c>
      <c r="C3830" s="133" t="s">
        <v>163</v>
      </c>
      <c r="D3830" s="133" t="s">
        <v>3288</v>
      </c>
      <c r="E3830" s="138">
        <v>1.73</v>
      </c>
      <c r="F3830" s="153" t="s">
        <v>122</v>
      </c>
      <c r="G3830" s="153">
        <v>1</v>
      </c>
      <c r="H3830" s="133" t="s">
        <v>39</v>
      </c>
      <c r="I3830" s="133"/>
      <c r="J3830" s="133" t="s">
        <v>2509</v>
      </c>
      <c r="K3830" s="133"/>
      <c r="L3830" s="167"/>
      <c r="M3830" s="48"/>
      <c r="N3830" s="123"/>
    </row>
    <row r="3831" spans="1:14" customFormat="1" x14ac:dyDescent="0.55000000000000004">
      <c r="A3831" s="133" t="s">
        <v>2510</v>
      </c>
      <c r="B3831" s="133" t="s">
        <v>3014</v>
      </c>
      <c r="C3831" s="133" t="s">
        <v>163</v>
      </c>
      <c r="D3831" s="133" t="s">
        <v>3288</v>
      </c>
      <c r="E3831" s="138">
        <v>0.43200000000000005</v>
      </c>
      <c r="F3831" s="153" t="s">
        <v>122</v>
      </c>
      <c r="G3831" s="153">
        <v>1</v>
      </c>
      <c r="H3831" s="133" t="s">
        <v>39</v>
      </c>
      <c r="I3831" s="133"/>
      <c r="J3831" s="133" t="s">
        <v>2509</v>
      </c>
      <c r="K3831" s="133"/>
      <c r="L3831" s="167"/>
      <c r="M3831" s="48"/>
      <c r="N3831" s="123"/>
    </row>
    <row r="3832" spans="1:14" customFormat="1" x14ac:dyDescent="0.55000000000000004">
      <c r="A3832" s="133" t="s">
        <v>2510</v>
      </c>
      <c r="B3832" s="133" t="s">
        <v>3015</v>
      </c>
      <c r="C3832" s="133" t="s">
        <v>163</v>
      </c>
      <c r="D3832" s="133" t="s">
        <v>3288</v>
      </c>
      <c r="E3832" s="138">
        <v>0.25900000000000001</v>
      </c>
      <c r="F3832" s="153" t="s">
        <v>122</v>
      </c>
      <c r="G3832" s="153">
        <v>1</v>
      </c>
      <c r="H3832" s="133" t="s">
        <v>39</v>
      </c>
      <c r="I3832" s="133"/>
      <c r="J3832" s="133" t="s">
        <v>2509</v>
      </c>
      <c r="K3832" s="133"/>
      <c r="L3832" s="167"/>
      <c r="M3832" s="48"/>
      <c r="N3832" s="123"/>
    </row>
    <row r="3833" spans="1:14" customFormat="1" x14ac:dyDescent="0.55000000000000004">
      <c r="A3833" s="133" t="s">
        <v>2510</v>
      </c>
      <c r="B3833" s="133" t="s">
        <v>211</v>
      </c>
      <c r="C3833" s="133" t="s">
        <v>163</v>
      </c>
      <c r="D3833" s="133" t="s">
        <v>3288</v>
      </c>
      <c r="E3833" s="138">
        <v>0.51800000000000002</v>
      </c>
      <c r="F3833" s="153" t="s">
        <v>122</v>
      </c>
      <c r="G3833" s="153">
        <v>1</v>
      </c>
      <c r="H3833" s="133" t="s">
        <v>39</v>
      </c>
      <c r="I3833" s="133"/>
      <c r="J3833" s="133" t="s">
        <v>2509</v>
      </c>
      <c r="K3833" s="133"/>
      <c r="L3833" s="167"/>
      <c r="M3833" s="48"/>
      <c r="N3833" s="123"/>
    </row>
    <row r="3834" spans="1:14" customFormat="1" x14ac:dyDescent="0.55000000000000004">
      <c r="A3834" s="133" t="s">
        <v>2510</v>
      </c>
      <c r="B3834" s="133" t="s">
        <v>3016</v>
      </c>
      <c r="C3834" s="133" t="s">
        <v>163</v>
      </c>
      <c r="D3834" s="133" t="s">
        <v>3288</v>
      </c>
      <c r="E3834" s="138">
        <v>1.3</v>
      </c>
      <c r="F3834" s="153" t="s">
        <v>122</v>
      </c>
      <c r="G3834" s="153">
        <v>1</v>
      </c>
      <c r="H3834" s="133" t="s">
        <v>39</v>
      </c>
      <c r="I3834" s="133"/>
      <c r="J3834" s="133" t="s">
        <v>2509</v>
      </c>
      <c r="K3834" s="133"/>
      <c r="L3834" s="167"/>
      <c r="M3834" s="48"/>
      <c r="N3834" s="123"/>
    </row>
    <row r="3835" spans="1:14" customFormat="1" x14ac:dyDescent="0.55000000000000004">
      <c r="A3835" s="133" t="s">
        <v>2510</v>
      </c>
      <c r="B3835" s="133" t="s">
        <v>3017</v>
      </c>
      <c r="C3835" s="133" t="s">
        <v>163</v>
      </c>
      <c r="D3835" s="133" t="s">
        <v>3288</v>
      </c>
      <c r="E3835" s="138">
        <v>5.12</v>
      </c>
      <c r="F3835" s="153" t="s">
        <v>122</v>
      </c>
      <c r="G3835" s="153">
        <v>1</v>
      </c>
      <c r="H3835" s="133" t="s">
        <v>39</v>
      </c>
      <c r="I3835" s="133"/>
      <c r="J3835" s="133" t="s">
        <v>2509</v>
      </c>
      <c r="K3835" s="133"/>
      <c r="L3835" s="167"/>
      <c r="M3835" s="48"/>
      <c r="N3835" s="123"/>
    </row>
    <row r="3836" spans="1:14" customFormat="1" x14ac:dyDescent="0.55000000000000004">
      <c r="A3836" s="133" t="s">
        <v>2512</v>
      </c>
      <c r="B3836" s="133" t="s">
        <v>3018</v>
      </c>
      <c r="C3836" s="133" t="s">
        <v>121</v>
      </c>
      <c r="D3836" s="133" t="s">
        <v>2682</v>
      </c>
      <c r="E3836" s="138">
        <v>1</v>
      </c>
      <c r="F3836" s="153">
        <v>1</v>
      </c>
      <c r="G3836" s="153">
        <v>1</v>
      </c>
      <c r="H3836" s="133" t="s">
        <v>39</v>
      </c>
      <c r="I3836" s="133"/>
      <c r="J3836" s="133" t="s">
        <v>2511</v>
      </c>
      <c r="K3836" s="133"/>
      <c r="L3836" s="167"/>
      <c r="M3836" s="48"/>
      <c r="N3836" s="123"/>
    </row>
    <row r="3837" spans="1:14" customFormat="1" x14ac:dyDescent="0.55000000000000004">
      <c r="A3837" s="133" t="s">
        <v>2512</v>
      </c>
      <c r="B3837" s="133" t="s">
        <v>3019</v>
      </c>
      <c r="C3837" s="133" t="s">
        <v>207</v>
      </c>
      <c r="D3837" s="133" t="s">
        <v>3288</v>
      </c>
      <c r="E3837" s="138">
        <v>3.95</v>
      </c>
      <c r="F3837" s="153" t="s">
        <v>122</v>
      </c>
      <c r="G3837" s="153">
        <v>1</v>
      </c>
      <c r="H3837" s="133" t="s">
        <v>39</v>
      </c>
      <c r="I3837" s="133"/>
      <c r="J3837" s="133" t="s">
        <v>2511</v>
      </c>
      <c r="K3837" s="133"/>
      <c r="L3837" s="167"/>
      <c r="M3837" s="48"/>
      <c r="N3837" s="123"/>
    </row>
    <row r="3838" spans="1:14" customFormat="1" x14ac:dyDescent="0.55000000000000004">
      <c r="A3838" s="133" t="s">
        <v>2512</v>
      </c>
      <c r="B3838" s="139" t="s">
        <v>3020</v>
      </c>
      <c r="C3838" s="133" t="s">
        <v>125</v>
      </c>
      <c r="D3838" s="133" t="s">
        <v>3288</v>
      </c>
      <c r="E3838" s="138">
        <v>2.52</v>
      </c>
      <c r="F3838" s="153" t="s">
        <v>122</v>
      </c>
      <c r="G3838" s="153">
        <v>1</v>
      </c>
      <c r="H3838" s="133" t="s">
        <v>39</v>
      </c>
      <c r="I3838" s="133"/>
      <c r="J3838" s="133" t="s">
        <v>2511</v>
      </c>
      <c r="K3838" s="133"/>
      <c r="L3838" s="167"/>
      <c r="M3838" s="48"/>
      <c r="N3838" s="123"/>
    </row>
    <row r="3839" spans="1:14" customFormat="1" x14ac:dyDescent="0.55000000000000004">
      <c r="A3839" s="133" t="s">
        <v>2512</v>
      </c>
      <c r="B3839" s="133" t="s">
        <v>3021</v>
      </c>
      <c r="C3839" s="133" t="s">
        <v>125</v>
      </c>
      <c r="D3839" s="133" t="s">
        <v>3288</v>
      </c>
      <c r="E3839" s="138">
        <v>202.99999999999997</v>
      </c>
      <c r="F3839" s="153" t="s">
        <v>122</v>
      </c>
      <c r="G3839" s="153">
        <v>1</v>
      </c>
      <c r="H3839" s="133" t="s">
        <v>39</v>
      </c>
      <c r="I3839" s="133"/>
      <c r="J3839" s="133" t="s">
        <v>2511</v>
      </c>
      <c r="K3839" s="133"/>
      <c r="L3839" s="167"/>
      <c r="M3839" s="48"/>
      <c r="N3839" s="123"/>
    </row>
    <row r="3840" spans="1:14" customFormat="1" x14ac:dyDescent="0.55000000000000004">
      <c r="A3840" s="133" t="s">
        <v>2512</v>
      </c>
      <c r="B3840" s="133" t="s">
        <v>2607</v>
      </c>
      <c r="C3840" s="133" t="s">
        <v>125</v>
      </c>
      <c r="D3840" s="133" t="s">
        <v>3288</v>
      </c>
      <c r="E3840" s="138">
        <v>4.2599999999999999E-2</v>
      </c>
      <c r="F3840" s="153" t="s">
        <v>122</v>
      </c>
      <c r="G3840" s="153">
        <v>1</v>
      </c>
      <c r="H3840" s="133" t="s">
        <v>39</v>
      </c>
      <c r="I3840" s="133"/>
      <c r="J3840" s="133" t="s">
        <v>2511</v>
      </c>
      <c r="K3840" s="133"/>
      <c r="L3840" s="167"/>
      <c r="M3840" s="48"/>
      <c r="N3840" s="123"/>
    </row>
    <row r="3841" spans="1:14" customFormat="1" x14ac:dyDescent="0.55000000000000004">
      <c r="A3841" s="133" t="s">
        <v>2512</v>
      </c>
      <c r="B3841" s="133" t="s">
        <v>188</v>
      </c>
      <c r="C3841" s="133" t="s">
        <v>125</v>
      </c>
      <c r="D3841" s="133" t="s">
        <v>3288</v>
      </c>
      <c r="E3841" s="138">
        <v>3.75</v>
      </c>
      <c r="F3841" s="153" t="s">
        <v>122</v>
      </c>
      <c r="G3841" s="153">
        <v>1</v>
      </c>
      <c r="H3841" s="133" t="s">
        <v>39</v>
      </c>
      <c r="I3841" s="133"/>
      <c r="J3841" s="133" t="s">
        <v>2511</v>
      </c>
      <c r="K3841" s="133"/>
      <c r="L3841" s="167"/>
      <c r="M3841" s="48"/>
      <c r="N3841" s="123"/>
    </row>
    <row r="3842" spans="1:14" customFormat="1" x14ac:dyDescent="0.55000000000000004">
      <c r="A3842" s="133" t="s">
        <v>2512</v>
      </c>
      <c r="B3842" s="133" t="s">
        <v>145</v>
      </c>
      <c r="C3842" s="133" t="s">
        <v>125</v>
      </c>
      <c r="D3842" s="133" t="s">
        <v>3288</v>
      </c>
      <c r="E3842" s="138">
        <v>3.68</v>
      </c>
      <c r="F3842" s="153" t="s">
        <v>122</v>
      </c>
      <c r="G3842" s="153">
        <v>1</v>
      </c>
      <c r="H3842" s="133" t="s">
        <v>39</v>
      </c>
      <c r="I3842" s="133"/>
      <c r="J3842" s="133" t="s">
        <v>2511</v>
      </c>
      <c r="K3842" s="133"/>
      <c r="L3842" s="167"/>
      <c r="M3842" s="48"/>
      <c r="N3842" s="123"/>
    </row>
    <row r="3843" spans="1:14" customFormat="1" x14ac:dyDescent="0.55000000000000004">
      <c r="A3843" s="133" t="s">
        <v>2512</v>
      </c>
      <c r="B3843" s="133" t="s">
        <v>149</v>
      </c>
      <c r="C3843" s="133" t="s">
        <v>125</v>
      </c>
      <c r="D3843" s="133" t="s">
        <v>3288</v>
      </c>
      <c r="E3843" s="138">
        <v>5.9900000000000002E-2</v>
      </c>
      <c r="F3843" s="153" t="s">
        <v>122</v>
      </c>
      <c r="G3843" s="153">
        <v>1</v>
      </c>
      <c r="H3843" s="133" t="s">
        <v>39</v>
      </c>
      <c r="I3843" s="133"/>
      <c r="J3843" s="133" t="s">
        <v>2511</v>
      </c>
      <c r="K3843" s="133"/>
      <c r="L3843" s="167"/>
      <c r="M3843" s="48"/>
      <c r="N3843" s="123"/>
    </row>
    <row r="3844" spans="1:14" customFormat="1" x14ac:dyDescent="0.55000000000000004">
      <c r="A3844" s="133" t="s">
        <v>2512</v>
      </c>
      <c r="B3844" s="133" t="s">
        <v>3022</v>
      </c>
      <c r="C3844" s="133" t="s">
        <v>125</v>
      </c>
      <c r="D3844" s="133" t="s">
        <v>3288</v>
      </c>
      <c r="E3844" s="138">
        <v>0.55800000000000005</v>
      </c>
      <c r="F3844" s="153" t="s">
        <v>122</v>
      </c>
      <c r="G3844" s="153">
        <v>1</v>
      </c>
      <c r="H3844" s="133" t="s">
        <v>39</v>
      </c>
      <c r="I3844" s="133"/>
      <c r="J3844" s="133" t="s">
        <v>2511</v>
      </c>
      <c r="K3844" s="133"/>
      <c r="L3844" s="167"/>
      <c r="M3844" s="48"/>
      <c r="N3844" s="123"/>
    </row>
    <row r="3845" spans="1:14" customFormat="1" x14ac:dyDescent="0.55000000000000004">
      <c r="A3845" s="133" t="s">
        <v>2512</v>
      </c>
      <c r="B3845" s="133" t="s">
        <v>615</v>
      </c>
      <c r="C3845" s="133" t="s">
        <v>125</v>
      </c>
      <c r="D3845" s="133" t="s">
        <v>3288</v>
      </c>
      <c r="E3845" s="138">
        <v>7.6300000000000007E-2</v>
      </c>
      <c r="F3845" s="153" t="s">
        <v>122</v>
      </c>
      <c r="G3845" s="153">
        <v>1</v>
      </c>
      <c r="H3845" s="133" t="s">
        <v>39</v>
      </c>
      <c r="I3845" s="133"/>
      <c r="J3845" s="133" t="s">
        <v>2511</v>
      </c>
      <c r="K3845" s="133"/>
      <c r="L3845" s="167"/>
      <c r="M3845" s="48"/>
      <c r="N3845" s="123"/>
    </row>
    <row r="3846" spans="1:14" customFormat="1" x14ac:dyDescent="0.55000000000000004">
      <c r="A3846" s="133" t="s">
        <v>2512</v>
      </c>
      <c r="B3846" s="133" t="s">
        <v>148</v>
      </c>
      <c r="C3846" s="133" t="s">
        <v>125</v>
      </c>
      <c r="D3846" s="133" t="s">
        <v>3288</v>
      </c>
      <c r="E3846" s="138">
        <v>2.81</v>
      </c>
      <c r="F3846" s="153" t="s">
        <v>122</v>
      </c>
      <c r="G3846" s="153">
        <v>1</v>
      </c>
      <c r="H3846" s="133" t="s">
        <v>39</v>
      </c>
      <c r="I3846" s="133"/>
      <c r="J3846" s="133" t="s">
        <v>2511</v>
      </c>
      <c r="K3846" s="133"/>
      <c r="L3846" s="167"/>
      <c r="M3846" s="48"/>
      <c r="N3846" s="123"/>
    </row>
    <row r="3847" spans="1:14" customFormat="1" x14ac:dyDescent="0.55000000000000004">
      <c r="A3847" s="133" t="s">
        <v>2512</v>
      </c>
      <c r="B3847" s="133" t="s">
        <v>3023</v>
      </c>
      <c r="C3847" s="133" t="s">
        <v>125</v>
      </c>
      <c r="D3847" s="133" t="s">
        <v>3288</v>
      </c>
      <c r="E3847" s="138">
        <v>0.82500000000000007</v>
      </c>
      <c r="F3847" s="153" t="s">
        <v>122</v>
      </c>
      <c r="G3847" s="153">
        <v>1</v>
      </c>
      <c r="H3847" s="133" t="s">
        <v>39</v>
      </c>
      <c r="I3847" s="133"/>
      <c r="J3847" s="133" t="s">
        <v>2511</v>
      </c>
      <c r="K3847" s="133"/>
      <c r="L3847" s="167"/>
      <c r="M3847" s="48"/>
      <c r="N3847" s="123"/>
    </row>
    <row r="3848" spans="1:14" customFormat="1" x14ac:dyDescent="0.55000000000000004">
      <c r="A3848" s="133" t="s">
        <v>2512</v>
      </c>
      <c r="B3848" s="133" t="s">
        <v>2950</v>
      </c>
      <c r="C3848" s="133" t="s">
        <v>125</v>
      </c>
      <c r="D3848" s="133" t="s">
        <v>3288</v>
      </c>
      <c r="E3848" s="138">
        <v>3.2000000000000001E-2</v>
      </c>
      <c r="F3848" s="153" t="s">
        <v>122</v>
      </c>
      <c r="G3848" s="153">
        <v>1</v>
      </c>
      <c r="H3848" s="133" t="s">
        <v>39</v>
      </c>
      <c r="I3848" s="133"/>
      <c r="J3848" s="133" t="s">
        <v>2511</v>
      </c>
      <c r="K3848" s="133"/>
      <c r="L3848" s="167"/>
      <c r="M3848" s="48"/>
      <c r="N3848" s="123"/>
    </row>
    <row r="3849" spans="1:14" customFormat="1" x14ac:dyDescent="0.55000000000000004">
      <c r="A3849" s="133" t="s">
        <v>2512</v>
      </c>
      <c r="B3849" s="133" t="s">
        <v>3024</v>
      </c>
      <c r="C3849" s="133" t="s">
        <v>125</v>
      </c>
      <c r="D3849" s="133" t="s">
        <v>3288</v>
      </c>
      <c r="E3849" s="138">
        <v>21.200000000000003</v>
      </c>
      <c r="F3849" s="153" t="s">
        <v>122</v>
      </c>
      <c r="G3849" s="153">
        <v>1</v>
      </c>
      <c r="H3849" s="133" t="s">
        <v>39</v>
      </c>
      <c r="I3849" s="133"/>
      <c r="J3849" s="133" t="s">
        <v>2511</v>
      </c>
      <c r="K3849" s="133"/>
      <c r="L3849" s="167"/>
      <c r="M3849" s="48"/>
      <c r="N3849" s="123"/>
    </row>
    <row r="3850" spans="1:14" customFormat="1" x14ac:dyDescent="0.55000000000000004">
      <c r="A3850" s="133" t="s">
        <v>2512</v>
      </c>
      <c r="B3850" s="133" t="s">
        <v>153</v>
      </c>
      <c r="C3850" s="133" t="s">
        <v>127</v>
      </c>
      <c r="D3850" s="133" t="s">
        <v>2994</v>
      </c>
      <c r="E3850" s="138">
        <v>10.700000000000001</v>
      </c>
      <c r="F3850" s="153" t="s">
        <v>130</v>
      </c>
      <c r="G3850" s="153">
        <v>1</v>
      </c>
      <c r="H3850" s="133" t="s">
        <v>39</v>
      </c>
      <c r="I3850" s="133"/>
      <c r="J3850" s="133" t="s">
        <v>2511</v>
      </c>
      <c r="K3850" s="133"/>
      <c r="L3850" s="167"/>
      <c r="M3850" s="48"/>
      <c r="N3850" s="123"/>
    </row>
    <row r="3851" spans="1:14" customFormat="1" x14ac:dyDescent="0.55000000000000004">
      <c r="A3851" s="133" t="s">
        <v>2512</v>
      </c>
      <c r="B3851" s="133" t="s">
        <v>496</v>
      </c>
      <c r="C3851" s="133" t="s">
        <v>127</v>
      </c>
      <c r="D3851" s="133" t="s">
        <v>2994</v>
      </c>
      <c r="E3851" s="138">
        <v>30.7</v>
      </c>
      <c r="F3851" s="153" t="s">
        <v>167</v>
      </c>
      <c r="G3851" s="153">
        <v>1</v>
      </c>
      <c r="H3851" s="133" t="s">
        <v>39</v>
      </c>
      <c r="I3851" s="133"/>
      <c r="J3851" s="133" t="s">
        <v>2511</v>
      </c>
      <c r="K3851" s="133"/>
      <c r="L3851" s="167"/>
      <c r="M3851" s="48"/>
      <c r="N3851" s="123"/>
    </row>
    <row r="3852" spans="1:14" customFormat="1" x14ac:dyDescent="0.55000000000000004">
      <c r="A3852" s="133" t="s">
        <v>2512</v>
      </c>
      <c r="B3852" s="133" t="s">
        <v>3025</v>
      </c>
      <c r="C3852" s="133" t="s">
        <v>156</v>
      </c>
      <c r="D3852" s="133" t="s">
        <v>3288</v>
      </c>
      <c r="E3852" s="138">
        <v>4.3600000000000007E-2</v>
      </c>
      <c r="F3852" s="153" t="s">
        <v>122</v>
      </c>
      <c r="G3852" s="153">
        <v>1</v>
      </c>
      <c r="H3852" s="133" t="s">
        <v>39</v>
      </c>
      <c r="I3852" s="133"/>
      <c r="J3852" s="133" t="s">
        <v>2511</v>
      </c>
      <c r="K3852" s="133"/>
      <c r="L3852" s="167"/>
      <c r="M3852" s="48"/>
      <c r="N3852" s="123"/>
    </row>
    <row r="3853" spans="1:14" customFormat="1" x14ac:dyDescent="0.55000000000000004">
      <c r="A3853" s="133" t="s">
        <v>2512</v>
      </c>
      <c r="B3853" s="133" t="s">
        <v>3026</v>
      </c>
      <c r="C3853" s="133" t="s">
        <v>156</v>
      </c>
      <c r="D3853" s="133" t="s">
        <v>3288</v>
      </c>
      <c r="E3853" s="138">
        <v>0.29799999999999999</v>
      </c>
      <c r="F3853" s="153" t="s">
        <v>122</v>
      </c>
      <c r="G3853" s="153">
        <v>1</v>
      </c>
      <c r="H3853" s="133" t="s">
        <v>39</v>
      </c>
      <c r="I3853" s="133"/>
      <c r="J3853" s="133" t="s">
        <v>2511</v>
      </c>
      <c r="K3853" s="133"/>
      <c r="L3853" s="167"/>
      <c r="M3853" s="48"/>
      <c r="N3853" s="123"/>
    </row>
    <row r="3854" spans="1:14" customFormat="1" x14ac:dyDescent="0.55000000000000004">
      <c r="A3854" s="133" t="s">
        <v>2512</v>
      </c>
      <c r="B3854" s="133" t="s">
        <v>726</v>
      </c>
      <c r="C3854" s="133" t="s">
        <v>156</v>
      </c>
      <c r="D3854" s="133" t="s">
        <v>3288</v>
      </c>
      <c r="E3854" s="138">
        <v>0.31200000000000006</v>
      </c>
      <c r="F3854" s="153" t="s">
        <v>122</v>
      </c>
      <c r="G3854" s="153">
        <v>1</v>
      </c>
      <c r="H3854" s="133" t="s">
        <v>39</v>
      </c>
      <c r="I3854" s="133"/>
      <c r="J3854" s="133" t="s">
        <v>2511</v>
      </c>
      <c r="K3854" s="133"/>
      <c r="L3854" s="167"/>
      <c r="M3854" s="48"/>
      <c r="N3854" s="123"/>
    </row>
    <row r="3855" spans="1:14" customFormat="1" x14ac:dyDescent="0.55000000000000004">
      <c r="A3855" s="133" t="s">
        <v>2512</v>
      </c>
      <c r="B3855" s="133" t="s">
        <v>3027</v>
      </c>
      <c r="C3855" s="133" t="s">
        <v>156</v>
      </c>
      <c r="D3855" s="133" t="s">
        <v>3288</v>
      </c>
      <c r="E3855" s="138">
        <v>1.5</v>
      </c>
      <c r="F3855" s="153" t="s">
        <v>122</v>
      </c>
      <c r="G3855" s="153">
        <v>1</v>
      </c>
      <c r="H3855" s="133" t="s">
        <v>39</v>
      </c>
      <c r="I3855" s="133"/>
      <c r="J3855" s="133" t="s">
        <v>2511</v>
      </c>
      <c r="K3855" s="133"/>
      <c r="L3855" s="167"/>
      <c r="M3855" s="48"/>
      <c r="N3855" s="123"/>
    </row>
    <row r="3856" spans="1:14" customFormat="1" x14ac:dyDescent="0.55000000000000004">
      <c r="A3856" s="133" t="s">
        <v>2512</v>
      </c>
      <c r="B3856" s="133" t="s">
        <v>160</v>
      </c>
      <c r="C3856" s="133" t="s">
        <v>124</v>
      </c>
      <c r="D3856" s="133" t="s">
        <v>3288</v>
      </c>
      <c r="E3856" s="138">
        <v>3.83</v>
      </c>
      <c r="F3856" s="153" t="s">
        <v>122</v>
      </c>
      <c r="G3856" s="153">
        <v>1</v>
      </c>
      <c r="H3856" s="133" t="s">
        <v>39</v>
      </c>
      <c r="I3856" s="133"/>
      <c r="J3856" s="133" t="s">
        <v>2511</v>
      </c>
      <c r="K3856" s="133"/>
      <c r="L3856" s="167"/>
      <c r="M3856" s="48"/>
      <c r="N3856" s="123"/>
    </row>
    <row r="3857" spans="1:14" customFormat="1" x14ac:dyDescent="0.55000000000000004">
      <c r="A3857" s="133" t="s">
        <v>2512</v>
      </c>
      <c r="B3857" s="133" t="s">
        <v>3028</v>
      </c>
      <c r="C3857" s="133" t="s">
        <v>163</v>
      </c>
      <c r="D3857" s="133" t="s">
        <v>3288</v>
      </c>
      <c r="E3857" s="138">
        <v>2.7599999999999999E-3</v>
      </c>
      <c r="F3857" s="153" t="s">
        <v>122</v>
      </c>
      <c r="G3857" s="153">
        <v>1</v>
      </c>
      <c r="H3857" s="133" t="s">
        <v>39</v>
      </c>
      <c r="I3857" s="133"/>
      <c r="J3857" s="133" t="s">
        <v>2511</v>
      </c>
      <c r="K3857" s="133"/>
      <c r="L3857" s="167"/>
      <c r="M3857" s="48"/>
      <c r="N3857" s="123"/>
    </row>
    <row r="3858" spans="1:14" customFormat="1" x14ac:dyDescent="0.55000000000000004">
      <c r="A3858" s="133" t="s">
        <v>2512</v>
      </c>
      <c r="B3858" s="133" t="s">
        <v>3029</v>
      </c>
      <c r="C3858" s="133" t="s">
        <v>163</v>
      </c>
      <c r="D3858" s="133" t="s">
        <v>3288</v>
      </c>
      <c r="E3858" s="138">
        <v>1.5700000000000002E-2</v>
      </c>
      <c r="F3858" s="153" t="s">
        <v>122</v>
      </c>
      <c r="G3858" s="153">
        <v>1</v>
      </c>
      <c r="H3858" s="133" t="s">
        <v>39</v>
      </c>
      <c r="I3858" s="133"/>
      <c r="J3858" s="133" t="s">
        <v>2511</v>
      </c>
      <c r="K3858" s="133"/>
      <c r="L3858" s="167"/>
      <c r="M3858" s="48"/>
      <c r="N3858" s="123"/>
    </row>
    <row r="3859" spans="1:14" customFormat="1" x14ac:dyDescent="0.55000000000000004">
      <c r="A3859" s="133" t="s">
        <v>2512</v>
      </c>
      <c r="B3859" s="133" t="s">
        <v>3030</v>
      </c>
      <c r="C3859" s="133" t="s">
        <v>163</v>
      </c>
      <c r="D3859" s="133" t="s">
        <v>3288</v>
      </c>
      <c r="E3859" s="138">
        <v>1.18E-2</v>
      </c>
      <c r="F3859" s="153" t="s">
        <v>122</v>
      </c>
      <c r="G3859" s="153">
        <v>1</v>
      </c>
      <c r="H3859" s="133" t="s">
        <v>39</v>
      </c>
      <c r="I3859" s="133"/>
      <c r="J3859" s="133" t="s">
        <v>2511</v>
      </c>
      <c r="K3859" s="133"/>
      <c r="L3859" s="167"/>
      <c r="M3859" s="48"/>
      <c r="N3859" s="123"/>
    </row>
    <row r="3860" spans="1:14" customFormat="1" x14ac:dyDescent="0.55000000000000004">
      <c r="A3860" s="133" t="s">
        <v>2512</v>
      </c>
      <c r="B3860" s="133" t="s">
        <v>3031</v>
      </c>
      <c r="C3860" s="133" t="s">
        <v>163</v>
      </c>
      <c r="D3860" s="133" t="s">
        <v>3288</v>
      </c>
      <c r="E3860" s="138">
        <v>3.79E-3</v>
      </c>
      <c r="F3860" s="153" t="s">
        <v>122</v>
      </c>
      <c r="G3860" s="153">
        <v>1</v>
      </c>
      <c r="H3860" s="133" t="s">
        <v>39</v>
      </c>
      <c r="I3860" s="133"/>
      <c r="J3860" s="133" t="s">
        <v>2511</v>
      </c>
      <c r="K3860" s="133"/>
      <c r="L3860" s="167"/>
      <c r="M3860" s="48"/>
      <c r="N3860" s="123"/>
    </row>
    <row r="3861" spans="1:14" customFormat="1" x14ac:dyDescent="0.55000000000000004">
      <c r="A3861" s="133" t="s">
        <v>2512</v>
      </c>
      <c r="B3861" s="133" t="s">
        <v>3032</v>
      </c>
      <c r="C3861" s="133" t="s">
        <v>163</v>
      </c>
      <c r="D3861" s="133" t="s">
        <v>3288</v>
      </c>
      <c r="E3861" s="138">
        <v>0.10400000000000001</v>
      </c>
      <c r="F3861" s="153" t="s">
        <v>122</v>
      </c>
      <c r="G3861" s="153">
        <v>1</v>
      </c>
      <c r="H3861" s="133" t="s">
        <v>39</v>
      </c>
      <c r="I3861" s="133"/>
      <c r="J3861" s="133" t="s">
        <v>2511</v>
      </c>
      <c r="K3861" s="133"/>
      <c r="L3861" s="167"/>
      <c r="M3861" s="48"/>
      <c r="N3861" s="123"/>
    </row>
    <row r="3862" spans="1:14" customFormat="1" x14ac:dyDescent="0.55000000000000004">
      <c r="A3862" s="133" t="s">
        <v>2512</v>
      </c>
      <c r="B3862" s="133" t="s">
        <v>3033</v>
      </c>
      <c r="C3862" s="133" t="s">
        <v>163</v>
      </c>
      <c r="D3862" s="133" t="s">
        <v>3288</v>
      </c>
      <c r="E3862" s="138">
        <v>0.221</v>
      </c>
      <c r="F3862" s="153" t="s">
        <v>122</v>
      </c>
      <c r="G3862" s="153">
        <v>1</v>
      </c>
      <c r="H3862" s="133" t="s">
        <v>39</v>
      </c>
      <c r="I3862" s="133"/>
      <c r="J3862" s="133" t="s">
        <v>2511</v>
      </c>
      <c r="K3862" s="133"/>
      <c r="L3862" s="167"/>
      <c r="M3862" s="48"/>
      <c r="N3862" s="123"/>
    </row>
    <row r="3863" spans="1:14" customFormat="1" x14ac:dyDescent="0.55000000000000004">
      <c r="A3863" s="133" t="s">
        <v>2512</v>
      </c>
      <c r="B3863" s="133" t="s">
        <v>3034</v>
      </c>
      <c r="C3863" s="133" t="s">
        <v>163</v>
      </c>
      <c r="D3863" s="133" t="s">
        <v>3288</v>
      </c>
      <c r="E3863" s="138">
        <v>1.34E-2</v>
      </c>
      <c r="F3863" s="153" t="s">
        <v>122</v>
      </c>
      <c r="G3863" s="153">
        <v>1</v>
      </c>
      <c r="H3863" s="133" t="s">
        <v>39</v>
      </c>
      <c r="I3863" s="133"/>
      <c r="J3863" s="133" t="s">
        <v>2511</v>
      </c>
      <c r="K3863" s="133"/>
      <c r="L3863" s="167"/>
      <c r="M3863" s="48"/>
      <c r="N3863" s="123"/>
    </row>
    <row r="3864" spans="1:14" customFormat="1" x14ac:dyDescent="0.55000000000000004">
      <c r="A3864" s="133" t="s">
        <v>2512</v>
      </c>
      <c r="B3864" s="133" t="s">
        <v>3035</v>
      </c>
      <c r="C3864" s="133" t="s">
        <v>163</v>
      </c>
      <c r="D3864" s="133" t="s">
        <v>3288</v>
      </c>
      <c r="E3864" s="138">
        <v>1.7299999999999999E-2</v>
      </c>
      <c r="F3864" s="153" t="s">
        <v>122</v>
      </c>
      <c r="G3864" s="153">
        <v>1</v>
      </c>
      <c r="H3864" s="133" t="s">
        <v>39</v>
      </c>
      <c r="I3864" s="133"/>
      <c r="J3864" s="133" t="s">
        <v>2511</v>
      </c>
      <c r="K3864" s="133"/>
      <c r="L3864" s="167"/>
      <c r="M3864" s="48"/>
      <c r="N3864" s="123"/>
    </row>
    <row r="3865" spans="1:14" customFormat="1" x14ac:dyDescent="0.55000000000000004">
      <c r="A3865" s="133" t="s">
        <v>2512</v>
      </c>
      <c r="B3865" s="133" t="s">
        <v>3036</v>
      </c>
      <c r="C3865" s="133" t="s">
        <v>163</v>
      </c>
      <c r="D3865" s="133" t="s">
        <v>3288</v>
      </c>
      <c r="E3865" s="138">
        <v>3.82E-3</v>
      </c>
      <c r="F3865" s="153" t="s">
        <v>122</v>
      </c>
      <c r="G3865" s="153">
        <v>1</v>
      </c>
      <c r="H3865" s="133" t="s">
        <v>39</v>
      </c>
      <c r="I3865" s="133"/>
      <c r="J3865" s="133" t="s">
        <v>2511</v>
      </c>
      <c r="K3865" s="133"/>
      <c r="L3865" s="167"/>
      <c r="M3865" s="48"/>
      <c r="N3865" s="123"/>
    </row>
    <row r="3866" spans="1:14" customFormat="1" x14ac:dyDescent="0.55000000000000004">
      <c r="A3866" s="133" t="s">
        <v>2512</v>
      </c>
      <c r="B3866" s="133" t="s">
        <v>3037</v>
      </c>
      <c r="C3866" s="133" t="s">
        <v>163</v>
      </c>
      <c r="D3866" s="133" t="s">
        <v>3288</v>
      </c>
      <c r="E3866" s="138">
        <v>4.5700000000000003E-3</v>
      </c>
      <c r="F3866" s="153" t="s">
        <v>122</v>
      </c>
      <c r="G3866" s="153">
        <v>1</v>
      </c>
      <c r="H3866" s="133" t="s">
        <v>39</v>
      </c>
      <c r="I3866" s="133"/>
      <c r="J3866" s="133" t="s">
        <v>2511</v>
      </c>
      <c r="K3866" s="133"/>
      <c r="L3866" s="167"/>
      <c r="M3866" s="48"/>
      <c r="N3866" s="123"/>
    </row>
    <row r="3867" spans="1:14" customFormat="1" x14ac:dyDescent="0.55000000000000004">
      <c r="A3867" s="133" t="s">
        <v>2512</v>
      </c>
      <c r="B3867" s="133" t="s">
        <v>3038</v>
      </c>
      <c r="C3867" s="133" t="s">
        <v>163</v>
      </c>
      <c r="D3867" s="133" t="s">
        <v>3288</v>
      </c>
      <c r="E3867" s="138">
        <v>0.29599999999999999</v>
      </c>
      <c r="F3867" s="153" t="s">
        <v>122</v>
      </c>
      <c r="G3867" s="153">
        <v>1</v>
      </c>
      <c r="H3867" s="133" t="s">
        <v>39</v>
      </c>
      <c r="I3867" s="133"/>
      <c r="J3867" s="133" t="s">
        <v>2511</v>
      </c>
      <c r="K3867" s="133"/>
      <c r="L3867" s="167"/>
      <c r="M3867" s="48"/>
      <c r="N3867" s="123"/>
    </row>
    <row r="3868" spans="1:14" customFormat="1" x14ac:dyDescent="0.55000000000000004">
      <c r="A3868" s="133" t="s">
        <v>2512</v>
      </c>
      <c r="B3868" s="139" t="s">
        <v>3039</v>
      </c>
      <c r="C3868" s="133" t="s">
        <v>163</v>
      </c>
      <c r="D3868" s="133" t="s">
        <v>3288</v>
      </c>
      <c r="E3868" s="138">
        <v>5.04E-2</v>
      </c>
      <c r="F3868" s="153" t="s">
        <v>122</v>
      </c>
      <c r="G3868" s="153">
        <v>1</v>
      </c>
      <c r="H3868" s="133" t="s">
        <v>39</v>
      </c>
      <c r="I3868" s="133"/>
      <c r="J3868" s="133" t="s">
        <v>2511</v>
      </c>
      <c r="K3868" s="133"/>
      <c r="L3868" s="167"/>
      <c r="M3868" s="48"/>
      <c r="N3868" s="123"/>
    </row>
    <row r="3869" spans="1:14" customFormat="1" x14ac:dyDescent="0.55000000000000004">
      <c r="A3869" s="133" t="s">
        <v>2512</v>
      </c>
      <c r="B3869" s="139" t="s">
        <v>3040</v>
      </c>
      <c r="C3869" s="133" t="s">
        <v>163</v>
      </c>
      <c r="D3869" s="133" t="s">
        <v>3288</v>
      </c>
      <c r="E3869" s="138">
        <v>202.99999999999997</v>
      </c>
      <c r="F3869" s="153" t="s">
        <v>122</v>
      </c>
      <c r="G3869" s="153">
        <v>1</v>
      </c>
      <c r="H3869" s="133" t="s">
        <v>39</v>
      </c>
      <c r="I3869" s="133"/>
      <c r="J3869" s="133" t="s">
        <v>2511</v>
      </c>
      <c r="K3869" s="133"/>
      <c r="L3869" s="167"/>
      <c r="M3869" s="48"/>
      <c r="N3869" s="123"/>
    </row>
    <row r="3870" spans="1:14" customFormat="1" x14ac:dyDescent="0.55000000000000004">
      <c r="A3870" s="133" t="s">
        <v>2515</v>
      </c>
      <c r="B3870" s="133" t="s">
        <v>3003</v>
      </c>
      <c r="C3870" s="133" t="s">
        <v>121</v>
      </c>
      <c r="D3870" s="133" t="s">
        <v>2682</v>
      </c>
      <c r="E3870" s="138">
        <v>1</v>
      </c>
      <c r="F3870" s="153">
        <v>1</v>
      </c>
      <c r="G3870" s="153">
        <v>1</v>
      </c>
      <c r="H3870" s="133" t="s">
        <v>39</v>
      </c>
      <c r="I3870" s="133"/>
      <c r="J3870" s="133" t="s">
        <v>2514</v>
      </c>
      <c r="K3870" s="133"/>
      <c r="L3870" s="167"/>
      <c r="M3870" s="48"/>
      <c r="N3870" s="123"/>
    </row>
    <row r="3871" spans="1:14" customFormat="1" x14ac:dyDescent="0.55000000000000004">
      <c r="A3871" s="133" t="s">
        <v>2515</v>
      </c>
      <c r="B3871" s="133" t="s">
        <v>3004</v>
      </c>
      <c r="C3871" s="133" t="s">
        <v>207</v>
      </c>
      <c r="D3871" s="133" t="s">
        <v>3288</v>
      </c>
      <c r="E3871" s="138">
        <v>8.64</v>
      </c>
      <c r="F3871" s="153" t="s">
        <v>122</v>
      </c>
      <c r="G3871" s="153">
        <v>1</v>
      </c>
      <c r="H3871" s="133" t="s">
        <v>39</v>
      </c>
      <c r="I3871" s="133"/>
      <c r="J3871" s="133" t="s">
        <v>2514</v>
      </c>
      <c r="K3871" s="133"/>
      <c r="L3871" s="167"/>
      <c r="M3871" s="48"/>
      <c r="N3871" s="123"/>
    </row>
    <row r="3872" spans="1:14" customFormat="1" x14ac:dyDescent="0.55000000000000004">
      <c r="A3872" s="133" t="s">
        <v>2515</v>
      </c>
      <c r="B3872" s="133" t="s">
        <v>1164</v>
      </c>
      <c r="C3872" s="133" t="s">
        <v>125</v>
      </c>
      <c r="D3872" s="133" t="s">
        <v>3288</v>
      </c>
      <c r="E3872" s="138">
        <v>31.200000000000003</v>
      </c>
      <c r="F3872" s="153" t="s">
        <v>122</v>
      </c>
      <c r="G3872" s="153">
        <v>1</v>
      </c>
      <c r="H3872" s="133" t="s">
        <v>39</v>
      </c>
      <c r="I3872" s="133"/>
      <c r="J3872" s="133" t="s">
        <v>2514</v>
      </c>
      <c r="K3872" s="133"/>
      <c r="L3872" s="167"/>
      <c r="M3872" s="48"/>
      <c r="N3872" s="123"/>
    </row>
    <row r="3873" spans="1:14" customFormat="1" x14ac:dyDescent="0.55000000000000004">
      <c r="A3873" s="133" t="s">
        <v>2515</v>
      </c>
      <c r="B3873" s="133" t="s">
        <v>3041</v>
      </c>
      <c r="C3873" s="133" t="s">
        <v>125</v>
      </c>
      <c r="D3873" s="133" t="s">
        <v>3288</v>
      </c>
      <c r="E3873" s="138">
        <v>1.58</v>
      </c>
      <c r="F3873" s="153" t="s">
        <v>122</v>
      </c>
      <c r="G3873" s="153">
        <v>1</v>
      </c>
      <c r="H3873" s="133" t="s">
        <v>39</v>
      </c>
      <c r="I3873" s="133"/>
      <c r="J3873" s="133" t="s">
        <v>2514</v>
      </c>
      <c r="K3873" s="133"/>
      <c r="L3873" s="167"/>
      <c r="M3873" s="48"/>
      <c r="N3873" s="123"/>
    </row>
    <row r="3874" spans="1:14" customFormat="1" x14ac:dyDescent="0.55000000000000004">
      <c r="A3874" s="133" t="s">
        <v>2515</v>
      </c>
      <c r="B3874" s="133" t="s">
        <v>2950</v>
      </c>
      <c r="C3874" s="133" t="s">
        <v>125</v>
      </c>
      <c r="D3874" s="133" t="s">
        <v>3288</v>
      </c>
      <c r="E3874" s="138">
        <v>0.125</v>
      </c>
      <c r="F3874" s="153" t="s">
        <v>122</v>
      </c>
      <c r="G3874" s="153">
        <v>1</v>
      </c>
      <c r="H3874" s="133" t="s">
        <v>39</v>
      </c>
      <c r="I3874" s="133"/>
      <c r="J3874" s="133" t="s">
        <v>2514</v>
      </c>
      <c r="K3874" s="133"/>
      <c r="L3874" s="167"/>
      <c r="M3874" s="48"/>
      <c r="N3874" s="123"/>
    </row>
    <row r="3875" spans="1:14" customFormat="1" x14ac:dyDescent="0.55000000000000004">
      <c r="A3875" s="133" t="s">
        <v>2515</v>
      </c>
      <c r="B3875" s="133" t="s">
        <v>2607</v>
      </c>
      <c r="C3875" s="133" t="s">
        <v>125</v>
      </c>
      <c r="D3875" s="133" t="s">
        <v>3288</v>
      </c>
      <c r="E3875" s="138">
        <v>0.89900000000000002</v>
      </c>
      <c r="F3875" s="153" t="s">
        <v>122</v>
      </c>
      <c r="G3875" s="153">
        <v>1</v>
      </c>
      <c r="H3875" s="133" t="s">
        <v>39</v>
      </c>
      <c r="I3875" s="133"/>
      <c r="J3875" s="133" t="s">
        <v>2514</v>
      </c>
      <c r="K3875" s="133"/>
      <c r="L3875" s="167"/>
      <c r="M3875" s="48"/>
      <c r="N3875" s="123"/>
    </row>
    <row r="3876" spans="1:14" customFormat="1" x14ac:dyDescent="0.55000000000000004">
      <c r="A3876" s="133" t="s">
        <v>2515</v>
      </c>
      <c r="B3876" s="133" t="s">
        <v>3042</v>
      </c>
      <c r="C3876" s="133" t="s">
        <v>125</v>
      </c>
      <c r="D3876" s="133" t="s">
        <v>3288</v>
      </c>
      <c r="E3876" s="138">
        <v>0.40300000000000002</v>
      </c>
      <c r="F3876" s="153" t="s">
        <v>122</v>
      </c>
      <c r="G3876" s="153">
        <v>1</v>
      </c>
      <c r="H3876" s="133" t="s">
        <v>39</v>
      </c>
      <c r="I3876" s="133"/>
      <c r="J3876" s="133" t="s">
        <v>2514</v>
      </c>
      <c r="K3876" s="133"/>
      <c r="L3876" s="167"/>
      <c r="M3876" s="48"/>
      <c r="N3876" s="123"/>
    </row>
    <row r="3877" spans="1:14" customFormat="1" x14ac:dyDescent="0.55000000000000004">
      <c r="A3877" s="133" t="s">
        <v>2515</v>
      </c>
      <c r="B3877" s="133" t="s">
        <v>153</v>
      </c>
      <c r="C3877" s="133" t="s">
        <v>127</v>
      </c>
      <c r="D3877" s="133" t="s">
        <v>2994</v>
      </c>
      <c r="E3877" s="138">
        <v>30</v>
      </c>
      <c r="F3877" s="153" t="s">
        <v>130</v>
      </c>
      <c r="G3877" s="153">
        <v>1</v>
      </c>
      <c r="H3877" s="133" t="s">
        <v>39</v>
      </c>
      <c r="I3877" s="133"/>
      <c r="J3877" s="133" t="s">
        <v>2514</v>
      </c>
      <c r="K3877" s="133"/>
      <c r="L3877" s="167"/>
      <c r="M3877" s="48"/>
      <c r="N3877" s="123"/>
    </row>
    <row r="3878" spans="1:14" customFormat="1" x14ac:dyDescent="0.55000000000000004">
      <c r="A3878" s="133" t="s">
        <v>2515</v>
      </c>
      <c r="B3878" s="133" t="s">
        <v>3010</v>
      </c>
      <c r="C3878" s="133" t="s">
        <v>124</v>
      </c>
      <c r="D3878" s="133" t="s">
        <v>3288</v>
      </c>
      <c r="E3878" s="138">
        <v>1.73E-4</v>
      </c>
      <c r="F3878" s="153" t="s">
        <v>122</v>
      </c>
      <c r="G3878" s="153">
        <v>1</v>
      </c>
      <c r="H3878" s="133" t="s">
        <v>39</v>
      </c>
      <c r="I3878" s="133"/>
      <c r="J3878" s="133" t="s">
        <v>2514</v>
      </c>
      <c r="K3878" s="133"/>
      <c r="L3878" s="167"/>
      <c r="M3878" s="48"/>
      <c r="N3878" s="123"/>
    </row>
    <row r="3879" spans="1:14" customFormat="1" x14ac:dyDescent="0.55000000000000004">
      <c r="A3879" s="133" t="s">
        <v>2515</v>
      </c>
      <c r="B3879" s="133" t="s">
        <v>2934</v>
      </c>
      <c r="C3879" s="133" t="s">
        <v>124</v>
      </c>
      <c r="D3879" s="133" t="s">
        <v>3288</v>
      </c>
      <c r="E3879" s="138">
        <v>5.3400000000000001E-3</v>
      </c>
      <c r="F3879" s="153" t="s">
        <v>122</v>
      </c>
      <c r="G3879" s="153">
        <v>1</v>
      </c>
      <c r="H3879" s="133" t="s">
        <v>39</v>
      </c>
      <c r="I3879" s="133"/>
      <c r="J3879" s="133" t="s">
        <v>2514</v>
      </c>
      <c r="K3879" s="133"/>
      <c r="L3879" s="167"/>
      <c r="M3879" s="48"/>
      <c r="N3879" s="123"/>
    </row>
    <row r="3880" spans="1:14" customFormat="1" x14ac:dyDescent="0.55000000000000004">
      <c r="A3880" s="133" t="s">
        <v>2515</v>
      </c>
      <c r="B3880" s="133" t="s">
        <v>3011</v>
      </c>
      <c r="C3880" s="133" t="s">
        <v>124</v>
      </c>
      <c r="D3880" s="133" t="s">
        <v>3288</v>
      </c>
      <c r="E3880" s="138">
        <v>2E-3</v>
      </c>
      <c r="F3880" s="153" t="s">
        <v>122</v>
      </c>
      <c r="G3880" s="153">
        <v>1</v>
      </c>
      <c r="H3880" s="133" t="s">
        <v>39</v>
      </c>
      <c r="I3880" s="133"/>
      <c r="J3880" s="133" t="s">
        <v>2514</v>
      </c>
      <c r="K3880" s="133"/>
      <c r="L3880" s="167"/>
      <c r="M3880" s="48"/>
      <c r="N3880" s="123"/>
    </row>
    <row r="3881" spans="1:14" customFormat="1" x14ac:dyDescent="0.55000000000000004">
      <c r="A3881" s="133" t="s">
        <v>2515</v>
      </c>
      <c r="B3881" s="133" t="s">
        <v>3043</v>
      </c>
      <c r="C3881" s="133" t="s">
        <v>156</v>
      </c>
      <c r="D3881" s="133" t="s">
        <v>3288</v>
      </c>
      <c r="E3881" s="138">
        <v>1.9</v>
      </c>
      <c r="F3881" s="153" t="s">
        <v>122</v>
      </c>
      <c r="G3881" s="153">
        <v>1</v>
      </c>
      <c r="H3881" s="133" t="s">
        <v>39</v>
      </c>
      <c r="I3881" s="133"/>
      <c r="J3881" s="133" t="s">
        <v>2514</v>
      </c>
      <c r="K3881" s="133"/>
      <c r="L3881" s="167"/>
      <c r="M3881" s="48"/>
      <c r="N3881" s="123"/>
    </row>
    <row r="3882" spans="1:14" customFormat="1" x14ac:dyDescent="0.55000000000000004">
      <c r="A3882" s="133" t="s">
        <v>2515</v>
      </c>
      <c r="B3882" s="133" t="s">
        <v>3044</v>
      </c>
      <c r="C3882" s="133" t="s">
        <v>156</v>
      </c>
      <c r="D3882" s="133" t="s">
        <v>3288</v>
      </c>
      <c r="E3882" s="138">
        <v>0.86199999999999999</v>
      </c>
      <c r="F3882" s="153" t="s">
        <v>122</v>
      </c>
      <c r="G3882" s="153">
        <v>1</v>
      </c>
      <c r="H3882" s="133" t="s">
        <v>39</v>
      </c>
      <c r="I3882" s="133"/>
      <c r="J3882" s="133" t="s">
        <v>2514</v>
      </c>
      <c r="K3882" s="133"/>
      <c r="L3882" s="167"/>
      <c r="M3882" s="48"/>
      <c r="N3882" s="123"/>
    </row>
    <row r="3883" spans="1:14" customFormat="1" x14ac:dyDescent="0.55000000000000004">
      <c r="A3883" s="133" t="s">
        <v>2515</v>
      </c>
      <c r="B3883" s="133" t="s">
        <v>3045</v>
      </c>
      <c r="C3883" s="133" t="s">
        <v>156</v>
      </c>
      <c r="D3883" s="133" t="s">
        <v>3288</v>
      </c>
      <c r="E3883" s="138">
        <v>0.43200000000000005</v>
      </c>
      <c r="F3883" s="153" t="s">
        <v>122</v>
      </c>
      <c r="G3883" s="153">
        <v>1</v>
      </c>
      <c r="H3883" s="133" t="s">
        <v>39</v>
      </c>
      <c r="I3883" s="133"/>
      <c r="J3883" s="133" t="s">
        <v>2514</v>
      </c>
      <c r="K3883" s="133"/>
      <c r="L3883" s="167"/>
      <c r="M3883" s="48"/>
      <c r="N3883" s="123"/>
    </row>
    <row r="3884" spans="1:14" customFormat="1" x14ac:dyDescent="0.55000000000000004">
      <c r="A3884" s="133" t="s">
        <v>2515</v>
      </c>
      <c r="B3884" s="133" t="s">
        <v>3046</v>
      </c>
      <c r="C3884" s="133" t="s">
        <v>156</v>
      </c>
      <c r="D3884" s="133" t="s">
        <v>3288</v>
      </c>
      <c r="E3884" s="138">
        <v>0.69100000000000006</v>
      </c>
      <c r="F3884" s="153" t="s">
        <v>122</v>
      </c>
      <c r="G3884" s="153">
        <v>1</v>
      </c>
      <c r="H3884" s="133" t="s">
        <v>39</v>
      </c>
      <c r="I3884" s="133"/>
      <c r="J3884" s="133" t="s">
        <v>2514</v>
      </c>
      <c r="K3884" s="133"/>
      <c r="L3884" s="167"/>
      <c r="M3884" s="48"/>
      <c r="N3884" s="123"/>
    </row>
    <row r="3885" spans="1:14" customFormat="1" x14ac:dyDescent="0.55000000000000004">
      <c r="A3885" s="133" t="s">
        <v>2515</v>
      </c>
      <c r="B3885" s="133" t="s">
        <v>3014</v>
      </c>
      <c r="C3885" s="133" t="s">
        <v>156</v>
      </c>
      <c r="D3885" s="133" t="s">
        <v>3288</v>
      </c>
      <c r="E3885" s="138">
        <v>0.371</v>
      </c>
      <c r="F3885" s="153" t="s">
        <v>122</v>
      </c>
      <c r="G3885" s="153">
        <v>1</v>
      </c>
      <c r="H3885" s="133" t="s">
        <v>39</v>
      </c>
      <c r="I3885" s="133"/>
      <c r="J3885" s="133" t="s">
        <v>2514</v>
      </c>
      <c r="K3885" s="133"/>
      <c r="L3885" s="167"/>
      <c r="M3885" s="48"/>
      <c r="N3885" s="123"/>
    </row>
    <row r="3886" spans="1:14" customFormat="1" x14ac:dyDescent="0.55000000000000004">
      <c r="A3886" s="133" t="s">
        <v>2515</v>
      </c>
      <c r="B3886" s="133" t="s">
        <v>3047</v>
      </c>
      <c r="C3886" s="133" t="s">
        <v>156</v>
      </c>
      <c r="D3886" s="133" t="s">
        <v>3288</v>
      </c>
      <c r="E3886" s="138">
        <v>9.0700000000000003E-2</v>
      </c>
      <c r="F3886" s="153" t="s">
        <v>122</v>
      </c>
      <c r="G3886" s="153">
        <v>1</v>
      </c>
      <c r="H3886" s="133" t="s">
        <v>39</v>
      </c>
      <c r="I3886" s="133"/>
      <c r="J3886" s="133" t="s">
        <v>2514</v>
      </c>
      <c r="K3886" s="133"/>
      <c r="L3886" s="167"/>
      <c r="M3886" s="48"/>
      <c r="N3886" s="123"/>
    </row>
    <row r="3887" spans="1:14" customFormat="1" x14ac:dyDescent="0.55000000000000004">
      <c r="A3887" s="133" t="s">
        <v>2515</v>
      </c>
      <c r="B3887" s="133" t="s">
        <v>3048</v>
      </c>
      <c r="C3887" s="133" t="s">
        <v>156</v>
      </c>
      <c r="D3887" s="133" t="s">
        <v>3288</v>
      </c>
      <c r="E3887" s="138">
        <v>0.85399999999999998</v>
      </c>
      <c r="F3887" s="153" t="s">
        <v>122</v>
      </c>
      <c r="G3887" s="153">
        <v>1</v>
      </c>
      <c r="H3887" s="133" t="s">
        <v>39</v>
      </c>
      <c r="I3887" s="133"/>
      <c r="J3887" s="133" t="s">
        <v>2514</v>
      </c>
      <c r="K3887" s="133"/>
      <c r="L3887" s="167"/>
      <c r="M3887" s="48"/>
      <c r="N3887" s="123"/>
    </row>
    <row r="3888" spans="1:14" customFormat="1" x14ac:dyDescent="0.55000000000000004">
      <c r="A3888" s="133" t="s">
        <v>2515</v>
      </c>
      <c r="B3888" s="133" t="s">
        <v>3049</v>
      </c>
      <c r="C3888" s="133" t="s">
        <v>156</v>
      </c>
      <c r="D3888" s="133" t="s">
        <v>3288</v>
      </c>
      <c r="E3888" s="138">
        <v>1.1100000000000001E-3</v>
      </c>
      <c r="F3888" s="153" t="s">
        <v>122</v>
      </c>
      <c r="G3888" s="153">
        <v>1</v>
      </c>
      <c r="H3888" s="133" t="s">
        <v>39</v>
      </c>
      <c r="I3888" s="133"/>
      <c r="J3888" s="133" t="s">
        <v>2514</v>
      </c>
      <c r="K3888" s="133"/>
      <c r="L3888" s="167"/>
      <c r="M3888" s="48"/>
      <c r="N3888" s="123"/>
    </row>
    <row r="3889" spans="1:14" customFormat="1" x14ac:dyDescent="0.55000000000000004">
      <c r="A3889" s="133" t="s">
        <v>2515</v>
      </c>
      <c r="B3889" s="133" t="s">
        <v>2607</v>
      </c>
      <c r="C3889" s="133" t="s">
        <v>124</v>
      </c>
      <c r="D3889" s="133" t="s">
        <v>3288</v>
      </c>
      <c r="E3889" s="138">
        <v>31.200000000000003</v>
      </c>
      <c r="F3889" s="153" t="s">
        <v>122</v>
      </c>
      <c r="G3889" s="153">
        <v>1</v>
      </c>
      <c r="H3889" s="133" t="s">
        <v>39</v>
      </c>
      <c r="I3889" s="133"/>
      <c r="J3889" s="133" t="s">
        <v>2514</v>
      </c>
      <c r="K3889" s="133"/>
      <c r="L3889" s="167"/>
      <c r="M3889" s="48"/>
      <c r="N3889" s="123"/>
    </row>
    <row r="3890" spans="1:14" customFormat="1" x14ac:dyDescent="0.55000000000000004">
      <c r="A3890" s="133" t="s">
        <v>2518</v>
      </c>
      <c r="B3890" s="133" t="s">
        <v>3003</v>
      </c>
      <c r="C3890" s="133" t="s">
        <v>121</v>
      </c>
      <c r="D3890" s="133" t="s">
        <v>2682</v>
      </c>
      <c r="E3890" s="138">
        <v>1</v>
      </c>
      <c r="F3890" s="153">
        <v>1</v>
      </c>
      <c r="G3890" s="153">
        <v>1</v>
      </c>
      <c r="H3890" s="133" t="s">
        <v>39</v>
      </c>
      <c r="I3890" s="133"/>
      <c r="J3890" s="133" t="s">
        <v>2517</v>
      </c>
      <c r="K3890" s="133"/>
      <c r="L3890" s="167"/>
      <c r="M3890" s="48"/>
      <c r="N3890" s="123"/>
    </row>
    <row r="3891" spans="1:14" customFormat="1" x14ac:dyDescent="0.55000000000000004">
      <c r="A3891" s="133" t="s">
        <v>2518</v>
      </c>
      <c r="B3891" s="133" t="s">
        <v>3004</v>
      </c>
      <c r="C3891" s="133" t="s">
        <v>207</v>
      </c>
      <c r="D3891" s="133" t="s">
        <v>3288</v>
      </c>
      <c r="E3891" s="138">
        <v>8.33</v>
      </c>
      <c r="F3891" s="153" t="s">
        <v>122</v>
      </c>
      <c r="G3891" s="153">
        <v>1</v>
      </c>
      <c r="H3891" s="133" t="s">
        <v>39</v>
      </c>
      <c r="I3891" s="133"/>
      <c r="J3891" s="133" t="s">
        <v>2517</v>
      </c>
      <c r="K3891" s="133"/>
      <c r="L3891" s="167"/>
      <c r="M3891" s="48"/>
      <c r="N3891" s="123"/>
    </row>
    <row r="3892" spans="1:14" customFormat="1" x14ac:dyDescent="0.55000000000000004">
      <c r="A3892" s="133" t="s">
        <v>2518</v>
      </c>
      <c r="B3892" s="133" t="s">
        <v>174</v>
      </c>
      <c r="C3892" s="133" t="s">
        <v>125</v>
      </c>
      <c r="D3892" s="133" t="s">
        <v>3288</v>
      </c>
      <c r="E3892" s="138">
        <v>6.4100000000000004E-2</v>
      </c>
      <c r="F3892" s="153" t="s">
        <v>122</v>
      </c>
      <c r="G3892" s="153">
        <v>1</v>
      </c>
      <c r="H3892" s="133" t="s">
        <v>39</v>
      </c>
      <c r="I3892" s="133"/>
      <c r="J3892" s="133" t="s">
        <v>2517</v>
      </c>
      <c r="K3892" s="133"/>
      <c r="L3892" s="167"/>
      <c r="M3892" s="48"/>
      <c r="N3892" s="123"/>
    </row>
    <row r="3893" spans="1:14" customFormat="1" x14ac:dyDescent="0.55000000000000004">
      <c r="A3893" s="133" t="s">
        <v>2518</v>
      </c>
      <c r="B3893" s="133" t="s">
        <v>3050</v>
      </c>
      <c r="C3893" s="133" t="s">
        <v>125</v>
      </c>
      <c r="D3893" s="133" t="s">
        <v>3288</v>
      </c>
      <c r="E3893" s="138">
        <v>0.18300000000000002</v>
      </c>
      <c r="F3893" s="153" t="s">
        <v>122</v>
      </c>
      <c r="G3893" s="153">
        <v>1</v>
      </c>
      <c r="H3893" s="133" t="s">
        <v>39</v>
      </c>
      <c r="I3893" s="133"/>
      <c r="J3893" s="133" t="s">
        <v>2517</v>
      </c>
      <c r="K3893" s="133"/>
      <c r="L3893" s="167"/>
      <c r="M3893" s="48"/>
      <c r="N3893" s="123"/>
    </row>
    <row r="3894" spans="1:14" customFormat="1" x14ac:dyDescent="0.55000000000000004">
      <c r="A3894" s="133" t="s">
        <v>2518</v>
      </c>
      <c r="B3894" s="133" t="s">
        <v>3051</v>
      </c>
      <c r="C3894" s="133" t="s">
        <v>125</v>
      </c>
      <c r="D3894" s="133" t="s">
        <v>3288</v>
      </c>
      <c r="E3894" s="138">
        <v>5.8300000000000005E-2</v>
      </c>
      <c r="F3894" s="153" t="s">
        <v>122</v>
      </c>
      <c r="G3894" s="153">
        <v>1</v>
      </c>
      <c r="H3894" s="133" t="s">
        <v>39</v>
      </c>
      <c r="I3894" s="133"/>
      <c r="J3894" s="133" t="s">
        <v>2517</v>
      </c>
      <c r="K3894" s="133"/>
      <c r="L3894" s="167"/>
      <c r="M3894" s="48"/>
      <c r="N3894" s="123"/>
    </row>
    <row r="3895" spans="1:14" customFormat="1" x14ac:dyDescent="0.55000000000000004">
      <c r="A3895" s="133" t="s">
        <v>2518</v>
      </c>
      <c r="B3895" s="133" t="s">
        <v>2950</v>
      </c>
      <c r="C3895" s="133" t="s">
        <v>125</v>
      </c>
      <c r="D3895" s="133" t="s">
        <v>3288</v>
      </c>
      <c r="E3895" s="138">
        <v>2.5000000000000001E-2</v>
      </c>
      <c r="F3895" s="153" t="s">
        <v>122</v>
      </c>
      <c r="G3895" s="153">
        <v>1</v>
      </c>
      <c r="H3895" s="133" t="s">
        <v>39</v>
      </c>
      <c r="I3895" s="133"/>
      <c r="J3895" s="133" t="s">
        <v>2517</v>
      </c>
      <c r="K3895" s="133"/>
      <c r="L3895" s="167"/>
      <c r="M3895" s="48"/>
      <c r="N3895" s="123"/>
    </row>
    <row r="3896" spans="1:14" customFormat="1" x14ac:dyDescent="0.55000000000000004">
      <c r="A3896" s="133" t="s">
        <v>2518</v>
      </c>
      <c r="B3896" s="133" t="s">
        <v>153</v>
      </c>
      <c r="C3896" s="133" t="s">
        <v>127</v>
      </c>
      <c r="D3896" s="133" t="s">
        <v>2994</v>
      </c>
      <c r="E3896" s="138">
        <v>2.46</v>
      </c>
      <c r="F3896" s="153" t="s">
        <v>130</v>
      </c>
      <c r="G3896" s="153">
        <v>1</v>
      </c>
      <c r="H3896" s="133" t="s">
        <v>39</v>
      </c>
      <c r="I3896" s="133"/>
      <c r="J3896" s="133" t="s">
        <v>2517</v>
      </c>
      <c r="K3896" s="133"/>
      <c r="L3896" s="167"/>
      <c r="M3896" s="48"/>
      <c r="N3896" s="123"/>
    </row>
    <row r="3897" spans="1:14" customFormat="1" x14ac:dyDescent="0.55000000000000004">
      <c r="A3897" s="133" t="s">
        <v>2518</v>
      </c>
      <c r="B3897" s="133" t="s">
        <v>188</v>
      </c>
      <c r="C3897" s="133" t="s">
        <v>127</v>
      </c>
      <c r="D3897" s="133" t="s">
        <v>2994</v>
      </c>
      <c r="E3897" s="138">
        <v>5</v>
      </c>
      <c r="F3897" s="153" t="s">
        <v>167</v>
      </c>
      <c r="G3897" s="153">
        <v>1</v>
      </c>
      <c r="H3897" s="133" t="s">
        <v>39</v>
      </c>
      <c r="I3897" s="133"/>
      <c r="J3897" s="133" t="s">
        <v>2517</v>
      </c>
      <c r="K3897" s="133"/>
      <c r="L3897" s="167"/>
      <c r="M3897" s="48"/>
      <c r="N3897" s="123"/>
    </row>
    <row r="3898" spans="1:14" customFormat="1" x14ac:dyDescent="0.55000000000000004">
      <c r="A3898" s="133" t="s">
        <v>2518</v>
      </c>
      <c r="B3898" s="133" t="s">
        <v>3052</v>
      </c>
      <c r="C3898" s="133" t="s">
        <v>3053</v>
      </c>
      <c r="D3898" s="133" t="s">
        <v>2682</v>
      </c>
      <c r="E3898" s="138">
        <v>8.66</v>
      </c>
      <c r="F3898" s="153" t="s">
        <v>3054</v>
      </c>
      <c r="G3898" s="153">
        <v>1</v>
      </c>
      <c r="H3898" s="133" t="s">
        <v>39</v>
      </c>
      <c r="I3898" s="133"/>
      <c r="J3898" s="133" t="s">
        <v>2517</v>
      </c>
      <c r="K3898" s="133"/>
      <c r="L3898" s="167"/>
      <c r="M3898" s="48"/>
      <c r="N3898" s="123"/>
    </row>
    <row r="3899" spans="1:14" customFormat="1" x14ac:dyDescent="0.55000000000000004">
      <c r="A3899" s="133" t="s">
        <v>2518</v>
      </c>
      <c r="B3899" s="133" t="s">
        <v>3055</v>
      </c>
      <c r="C3899" s="133" t="s">
        <v>3053</v>
      </c>
      <c r="D3899" s="133" t="s">
        <v>2682</v>
      </c>
      <c r="E3899" s="138">
        <v>0.8660000000000001</v>
      </c>
      <c r="F3899" s="153" t="s">
        <v>3054</v>
      </c>
      <c r="G3899" s="153">
        <v>1</v>
      </c>
      <c r="H3899" s="133" t="s">
        <v>39</v>
      </c>
      <c r="I3899" s="133"/>
      <c r="J3899" s="133" t="s">
        <v>2517</v>
      </c>
      <c r="K3899" s="133"/>
      <c r="L3899" s="167"/>
      <c r="M3899" s="48"/>
      <c r="N3899" s="123"/>
    </row>
    <row r="3900" spans="1:14" customFormat="1" x14ac:dyDescent="0.55000000000000004">
      <c r="A3900" s="133" t="s">
        <v>2518</v>
      </c>
      <c r="B3900" s="133" t="s">
        <v>2934</v>
      </c>
      <c r="C3900" s="133" t="s">
        <v>124</v>
      </c>
      <c r="D3900" s="133" t="s">
        <v>3288</v>
      </c>
      <c r="E3900" s="138">
        <v>7.45E-3</v>
      </c>
      <c r="F3900" s="153" t="s">
        <v>122</v>
      </c>
      <c r="G3900" s="153">
        <v>1</v>
      </c>
      <c r="H3900" s="133" t="s">
        <v>39</v>
      </c>
      <c r="I3900" s="133"/>
      <c r="J3900" s="133" t="s">
        <v>2517</v>
      </c>
      <c r="K3900" s="133"/>
      <c r="L3900" s="167"/>
      <c r="M3900" s="48"/>
      <c r="N3900" s="123"/>
    </row>
    <row r="3901" spans="1:14" customFormat="1" x14ac:dyDescent="0.55000000000000004">
      <c r="A3901" s="133" t="s">
        <v>2518</v>
      </c>
      <c r="B3901" s="133" t="s">
        <v>3011</v>
      </c>
      <c r="C3901" s="133" t="s">
        <v>124</v>
      </c>
      <c r="D3901" s="133" t="s">
        <v>3288</v>
      </c>
      <c r="E3901" s="138">
        <v>6.4100000000000008E-4</v>
      </c>
      <c r="F3901" s="153" t="s">
        <v>122</v>
      </c>
      <c r="G3901" s="153">
        <v>1</v>
      </c>
      <c r="H3901" s="133" t="s">
        <v>39</v>
      </c>
      <c r="I3901" s="133"/>
      <c r="J3901" s="133" t="s">
        <v>2517</v>
      </c>
      <c r="K3901" s="133"/>
      <c r="L3901" s="167"/>
      <c r="M3901" s="48"/>
      <c r="N3901" s="123"/>
    </row>
    <row r="3902" spans="1:14" customFormat="1" x14ac:dyDescent="0.55000000000000004">
      <c r="A3902" s="133" t="s">
        <v>2518</v>
      </c>
      <c r="B3902" s="133" t="s">
        <v>2865</v>
      </c>
      <c r="C3902" s="133" t="s">
        <v>163</v>
      </c>
      <c r="D3902" s="133" t="s">
        <v>3288</v>
      </c>
      <c r="E3902" s="138">
        <v>0.25700000000000001</v>
      </c>
      <c r="F3902" s="153" t="s">
        <v>122</v>
      </c>
      <c r="G3902" s="153">
        <v>1</v>
      </c>
      <c r="H3902" s="133" t="s">
        <v>39</v>
      </c>
      <c r="I3902" s="133"/>
      <c r="J3902" s="133" t="s">
        <v>2517</v>
      </c>
      <c r="K3902" s="133"/>
      <c r="L3902" s="167"/>
      <c r="M3902" s="48"/>
      <c r="N3902" s="123"/>
    </row>
    <row r="3903" spans="1:14" customFormat="1" x14ac:dyDescent="0.55000000000000004">
      <c r="A3903" s="133" t="s">
        <v>2518</v>
      </c>
      <c r="B3903" s="133" t="s">
        <v>3043</v>
      </c>
      <c r="C3903" s="133" t="s">
        <v>156</v>
      </c>
      <c r="D3903" s="133" t="s">
        <v>3288</v>
      </c>
      <c r="E3903" s="138">
        <v>2.5299999999999998</v>
      </c>
      <c r="F3903" s="153" t="s">
        <v>122</v>
      </c>
      <c r="G3903" s="153">
        <v>1</v>
      </c>
      <c r="H3903" s="133" t="s">
        <v>39</v>
      </c>
      <c r="I3903" s="133"/>
      <c r="J3903" s="133" t="s">
        <v>2517</v>
      </c>
      <c r="K3903" s="133"/>
      <c r="L3903" s="167"/>
      <c r="M3903" s="48"/>
      <c r="N3903" s="123"/>
    </row>
    <row r="3904" spans="1:14" customFormat="1" x14ac:dyDescent="0.55000000000000004">
      <c r="A3904" s="133" t="s">
        <v>2518</v>
      </c>
      <c r="B3904" s="133" t="s">
        <v>3056</v>
      </c>
      <c r="C3904" s="133" t="s">
        <v>156</v>
      </c>
      <c r="D3904" s="133" t="s">
        <v>3288</v>
      </c>
      <c r="E3904" s="138">
        <v>0.82200000000000006</v>
      </c>
      <c r="F3904" s="153" t="s">
        <v>122</v>
      </c>
      <c r="G3904" s="153">
        <v>1</v>
      </c>
      <c r="H3904" s="133" t="s">
        <v>39</v>
      </c>
      <c r="I3904" s="133"/>
      <c r="J3904" s="133" t="s">
        <v>2517</v>
      </c>
      <c r="K3904" s="133"/>
      <c r="L3904" s="167"/>
      <c r="M3904" s="48"/>
      <c r="N3904" s="123"/>
    </row>
    <row r="3905" spans="1:14" customFormat="1" x14ac:dyDescent="0.55000000000000004">
      <c r="A3905" s="133" t="s">
        <v>2518</v>
      </c>
      <c r="B3905" s="133" t="s">
        <v>2798</v>
      </c>
      <c r="C3905" s="133" t="s">
        <v>156</v>
      </c>
      <c r="D3905" s="133" t="s">
        <v>3288</v>
      </c>
      <c r="E3905" s="138">
        <v>0.73399999999999999</v>
      </c>
      <c r="F3905" s="153" t="s">
        <v>122</v>
      </c>
      <c r="G3905" s="153">
        <v>1</v>
      </c>
      <c r="H3905" s="133" t="s">
        <v>39</v>
      </c>
      <c r="I3905" s="133"/>
      <c r="J3905" s="133" t="s">
        <v>2517</v>
      </c>
      <c r="K3905" s="133"/>
      <c r="L3905" s="167"/>
      <c r="M3905" s="48"/>
      <c r="N3905" s="123"/>
    </row>
    <row r="3906" spans="1:14" customFormat="1" x14ac:dyDescent="0.55000000000000004">
      <c r="A3906" s="133" t="s">
        <v>2518</v>
      </c>
      <c r="B3906" s="133" t="s">
        <v>181</v>
      </c>
      <c r="C3906" s="133" t="s">
        <v>163</v>
      </c>
      <c r="D3906" s="133" t="s">
        <v>3288</v>
      </c>
      <c r="E3906" s="138">
        <v>4.3093089999999989</v>
      </c>
      <c r="F3906" s="153" t="s">
        <v>122</v>
      </c>
      <c r="G3906" s="153">
        <v>1</v>
      </c>
      <c r="H3906" s="133" t="s">
        <v>39</v>
      </c>
      <c r="I3906" s="133"/>
      <c r="J3906" s="133" t="s">
        <v>2517</v>
      </c>
      <c r="K3906" s="133"/>
      <c r="L3906" s="167"/>
      <c r="M3906" s="48"/>
      <c r="N3906" s="123"/>
    </row>
    <row r="3907" spans="1:14" customFormat="1" x14ac:dyDescent="0.55000000000000004">
      <c r="A3907" s="133" t="s">
        <v>2521</v>
      </c>
      <c r="B3907" s="133" t="s">
        <v>3018</v>
      </c>
      <c r="C3907" s="133" t="s">
        <v>121</v>
      </c>
      <c r="D3907" s="133" t="s">
        <v>2682</v>
      </c>
      <c r="E3907" s="138">
        <v>1</v>
      </c>
      <c r="F3907" s="153">
        <v>1</v>
      </c>
      <c r="G3907" s="153">
        <v>1</v>
      </c>
      <c r="H3907" s="133" t="s">
        <v>39</v>
      </c>
      <c r="I3907" s="133"/>
      <c r="J3907" s="133" t="s">
        <v>2520</v>
      </c>
      <c r="K3907" s="133"/>
      <c r="L3907" s="167"/>
      <c r="M3907" s="48"/>
      <c r="N3907" s="123"/>
    </row>
    <row r="3908" spans="1:14" customFormat="1" x14ac:dyDescent="0.55000000000000004">
      <c r="A3908" s="133" t="s">
        <v>2521</v>
      </c>
      <c r="B3908" s="133" t="s">
        <v>3019</v>
      </c>
      <c r="C3908" s="133" t="s">
        <v>207</v>
      </c>
      <c r="D3908" s="133" t="s">
        <v>3288</v>
      </c>
      <c r="E3908" s="138">
        <v>6.67</v>
      </c>
      <c r="F3908" s="153" t="s">
        <v>122</v>
      </c>
      <c r="G3908" s="153">
        <v>1</v>
      </c>
      <c r="H3908" s="133" t="s">
        <v>39</v>
      </c>
      <c r="I3908" s="133"/>
      <c r="J3908" s="133" t="s">
        <v>2520</v>
      </c>
      <c r="K3908" s="133"/>
      <c r="L3908" s="167"/>
      <c r="M3908" s="48"/>
      <c r="N3908" s="123"/>
    </row>
    <row r="3909" spans="1:14" customFormat="1" x14ac:dyDescent="0.55000000000000004">
      <c r="A3909" s="133" t="s">
        <v>2521</v>
      </c>
      <c r="B3909" s="133" t="s">
        <v>174</v>
      </c>
      <c r="C3909" s="133" t="s">
        <v>125</v>
      </c>
      <c r="D3909" s="133" t="s">
        <v>3288</v>
      </c>
      <c r="E3909" s="138">
        <v>4.9000000000000002E-2</v>
      </c>
      <c r="F3909" s="153" t="s">
        <v>122</v>
      </c>
      <c r="G3909" s="153">
        <v>1</v>
      </c>
      <c r="H3909" s="133" t="s">
        <v>39</v>
      </c>
      <c r="I3909" s="133"/>
      <c r="J3909" s="133" t="s">
        <v>2520</v>
      </c>
      <c r="K3909" s="133"/>
      <c r="L3909" s="167"/>
      <c r="M3909" s="48"/>
      <c r="N3909" s="123"/>
    </row>
    <row r="3910" spans="1:14" customFormat="1" x14ac:dyDescent="0.55000000000000004">
      <c r="A3910" s="133" t="s">
        <v>2521</v>
      </c>
      <c r="B3910" s="133" t="s">
        <v>3050</v>
      </c>
      <c r="C3910" s="133" t="s">
        <v>125</v>
      </c>
      <c r="D3910" s="133" t="s">
        <v>3288</v>
      </c>
      <c r="E3910" s="138">
        <v>0.29300000000000004</v>
      </c>
      <c r="F3910" s="153" t="s">
        <v>122</v>
      </c>
      <c r="G3910" s="153">
        <v>1</v>
      </c>
      <c r="H3910" s="133" t="s">
        <v>39</v>
      </c>
      <c r="I3910" s="133"/>
      <c r="J3910" s="133" t="s">
        <v>2520</v>
      </c>
      <c r="K3910" s="133"/>
      <c r="L3910" s="167"/>
      <c r="M3910" s="48"/>
      <c r="N3910" s="123"/>
    </row>
    <row r="3911" spans="1:14" customFormat="1" x14ac:dyDescent="0.55000000000000004">
      <c r="A3911" s="133" t="s">
        <v>2521</v>
      </c>
      <c r="B3911" s="133" t="s">
        <v>2950</v>
      </c>
      <c r="C3911" s="133" t="s">
        <v>125</v>
      </c>
      <c r="D3911" s="133" t="s">
        <v>3288</v>
      </c>
      <c r="E3911" s="138">
        <v>2.5000000000000001E-2</v>
      </c>
      <c r="F3911" s="153" t="s">
        <v>122</v>
      </c>
      <c r="G3911" s="153">
        <v>1</v>
      </c>
      <c r="H3911" s="133" t="s">
        <v>39</v>
      </c>
      <c r="I3911" s="133"/>
      <c r="J3911" s="133" t="s">
        <v>2520</v>
      </c>
      <c r="K3911" s="133"/>
      <c r="L3911" s="167"/>
      <c r="M3911" s="48"/>
      <c r="N3911" s="123"/>
    </row>
    <row r="3912" spans="1:14" customFormat="1" x14ac:dyDescent="0.55000000000000004">
      <c r="A3912" s="133" t="s">
        <v>2521</v>
      </c>
      <c r="B3912" s="133" t="s">
        <v>153</v>
      </c>
      <c r="C3912" s="133" t="s">
        <v>127</v>
      </c>
      <c r="D3912" s="133" t="s">
        <v>2994</v>
      </c>
      <c r="E3912" s="138">
        <v>2.67</v>
      </c>
      <c r="F3912" s="153" t="s">
        <v>130</v>
      </c>
      <c r="G3912" s="153">
        <v>1</v>
      </c>
      <c r="H3912" s="133" t="s">
        <v>39</v>
      </c>
      <c r="I3912" s="133"/>
      <c r="J3912" s="133" t="s">
        <v>2520</v>
      </c>
      <c r="K3912" s="133"/>
      <c r="L3912" s="167"/>
      <c r="M3912" s="48"/>
      <c r="N3912" s="123"/>
    </row>
    <row r="3913" spans="1:14" customFormat="1" x14ac:dyDescent="0.55000000000000004">
      <c r="A3913" s="133" t="s">
        <v>2521</v>
      </c>
      <c r="B3913" s="133" t="s">
        <v>188</v>
      </c>
      <c r="C3913" s="133" t="s">
        <v>127</v>
      </c>
      <c r="D3913" s="133" t="s">
        <v>2994</v>
      </c>
      <c r="E3913" s="138">
        <v>13.3</v>
      </c>
      <c r="F3913" s="153" t="s">
        <v>167</v>
      </c>
      <c r="G3913" s="153">
        <v>1</v>
      </c>
      <c r="H3913" s="133" t="s">
        <v>39</v>
      </c>
      <c r="I3913" s="133"/>
      <c r="J3913" s="133" t="s">
        <v>2520</v>
      </c>
      <c r="K3913" s="133"/>
      <c r="L3913" s="167"/>
      <c r="M3913" s="48"/>
      <c r="N3913" s="123"/>
    </row>
    <row r="3914" spans="1:14" customFormat="1" x14ac:dyDescent="0.55000000000000004">
      <c r="A3914" s="133" t="s">
        <v>2521</v>
      </c>
      <c r="B3914" s="133" t="s">
        <v>3052</v>
      </c>
      <c r="C3914" s="133" t="s">
        <v>3053</v>
      </c>
      <c r="D3914" s="133" t="s">
        <v>2682</v>
      </c>
      <c r="E3914" s="138">
        <v>8.66</v>
      </c>
      <c r="F3914" s="153" t="s">
        <v>3054</v>
      </c>
      <c r="G3914" s="153">
        <v>1</v>
      </c>
      <c r="H3914" s="133" t="s">
        <v>39</v>
      </c>
      <c r="I3914" s="133"/>
      <c r="J3914" s="133" t="s">
        <v>2520</v>
      </c>
      <c r="K3914" s="133"/>
      <c r="L3914" s="167"/>
      <c r="M3914" s="48"/>
      <c r="N3914" s="123"/>
    </row>
    <row r="3915" spans="1:14" customFormat="1" x14ac:dyDescent="0.55000000000000004">
      <c r="A3915" s="133" t="s">
        <v>2521</v>
      </c>
      <c r="B3915" s="133" t="s">
        <v>3055</v>
      </c>
      <c r="C3915" s="133" t="s">
        <v>3053</v>
      </c>
      <c r="D3915" s="133" t="s">
        <v>2682</v>
      </c>
      <c r="E3915" s="138">
        <v>0.8660000000000001</v>
      </c>
      <c r="F3915" s="153" t="s">
        <v>3054</v>
      </c>
      <c r="G3915" s="153">
        <v>1</v>
      </c>
      <c r="H3915" s="133" t="s">
        <v>39</v>
      </c>
      <c r="I3915" s="133"/>
      <c r="J3915" s="133" t="s">
        <v>2520</v>
      </c>
      <c r="K3915" s="133"/>
      <c r="L3915" s="167"/>
      <c r="M3915" s="48"/>
      <c r="N3915" s="123"/>
    </row>
    <row r="3916" spans="1:14" customFormat="1" x14ac:dyDescent="0.55000000000000004">
      <c r="A3916" s="133" t="s">
        <v>2521</v>
      </c>
      <c r="B3916" s="133" t="s">
        <v>2934</v>
      </c>
      <c r="C3916" s="133" t="s">
        <v>124</v>
      </c>
      <c r="D3916" s="133" t="s">
        <v>3288</v>
      </c>
      <c r="E3916" s="138">
        <v>5.7999999999999996E-3</v>
      </c>
      <c r="F3916" s="153" t="s">
        <v>122</v>
      </c>
      <c r="G3916" s="153">
        <v>1</v>
      </c>
      <c r="H3916" s="133" t="s">
        <v>39</v>
      </c>
      <c r="I3916" s="133"/>
      <c r="J3916" s="133" t="s">
        <v>2520</v>
      </c>
      <c r="K3916" s="133"/>
      <c r="L3916" s="167"/>
      <c r="M3916" s="48"/>
      <c r="N3916" s="123"/>
    </row>
    <row r="3917" spans="1:14" customFormat="1" x14ac:dyDescent="0.55000000000000004">
      <c r="A3917" s="133" t="s">
        <v>2521</v>
      </c>
      <c r="B3917" s="133" t="s">
        <v>3011</v>
      </c>
      <c r="C3917" s="133" t="s">
        <v>124</v>
      </c>
      <c r="D3917" s="133" t="s">
        <v>3288</v>
      </c>
      <c r="E3917" s="138">
        <v>8.9499999999999996E-4</v>
      </c>
      <c r="F3917" s="153" t="s">
        <v>122</v>
      </c>
      <c r="G3917" s="153">
        <v>1</v>
      </c>
      <c r="H3917" s="133" t="s">
        <v>39</v>
      </c>
      <c r="I3917" s="133"/>
      <c r="J3917" s="133" t="s">
        <v>2520</v>
      </c>
      <c r="K3917" s="133"/>
      <c r="L3917" s="167"/>
      <c r="M3917" s="48"/>
      <c r="N3917" s="123"/>
    </row>
    <row r="3918" spans="1:14" customFormat="1" x14ac:dyDescent="0.55000000000000004">
      <c r="A3918" s="133" t="s">
        <v>2521</v>
      </c>
      <c r="B3918" s="133" t="s">
        <v>2865</v>
      </c>
      <c r="C3918" s="133" t="s">
        <v>163</v>
      </c>
      <c r="D3918" s="133" t="s">
        <v>3288</v>
      </c>
      <c r="E3918" s="138">
        <v>0.19600000000000001</v>
      </c>
      <c r="F3918" s="153" t="s">
        <v>122</v>
      </c>
      <c r="G3918" s="153">
        <v>1</v>
      </c>
      <c r="H3918" s="133" t="s">
        <v>39</v>
      </c>
      <c r="I3918" s="133"/>
      <c r="J3918" s="133" t="s">
        <v>2520</v>
      </c>
      <c r="K3918" s="133"/>
      <c r="L3918" s="167"/>
      <c r="M3918" s="48"/>
      <c r="N3918" s="123"/>
    </row>
    <row r="3919" spans="1:14" customFormat="1" x14ac:dyDescent="0.55000000000000004">
      <c r="A3919" s="133" t="s">
        <v>2521</v>
      </c>
      <c r="B3919" s="133" t="s">
        <v>3043</v>
      </c>
      <c r="C3919" s="133" t="s">
        <v>156</v>
      </c>
      <c r="D3919" s="133" t="s">
        <v>3288</v>
      </c>
      <c r="E3919" s="138">
        <v>1.1200000000000001</v>
      </c>
      <c r="F3919" s="153" t="s">
        <v>122</v>
      </c>
      <c r="G3919" s="153">
        <v>1</v>
      </c>
      <c r="H3919" s="133" t="s">
        <v>39</v>
      </c>
      <c r="I3919" s="133"/>
      <c r="J3919" s="133" t="s">
        <v>2520</v>
      </c>
      <c r="K3919" s="133"/>
      <c r="L3919" s="167"/>
      <c r="M3919" s="48"/>
      <c r="N3919" s="123"/>
    </row>
    <row r="3920" spans="1:14" customFormat="1" x14ac:dyDescent="0.55000000000000004">
      <c r="A3920" s="133" t="s">
        <v>2521</v>
      </c>
      <c r="B3920" s="133" t="s">
        <v>3056</v>
      </c>
      <c r="C3920" s="133" t="s">
        <v>156</v>
      </c>
      <c r="D3920" s="133" t="s">
        <v>3288</v>
      </c>
      <c r="E3920" s="138">
        <v>0.76</v>
      </c>
      <c r="F3920" s="153" t="s">
        <v>122</v>
      </c>
      <c r="G3920" s="153">
        <v>1</v>
      </c>
      <c r="H3920" s="133" t="s">
        <v>39</v>
      </c>
      <c r="I3920" s="133"/>
      <c r="J3920" s="133" t="s">
        <v>2520</v>
      </c>
      <c r="K3920" s="133"/>
      <c r="L3920" s="167"/>
      <c r="M3920" s="48"/>
      <c r="N3920" s="123"/>
    </row>
    <row r="3921" spans="1:14" customFormat="1" x14ac:dyDescent="0.55000000000000004">
      <c r="A3921" s="133" t="s">
        <v>2521</v>
      </c>
      <c r="B3921" s="133" t="s">
        <v>2798</v>
      </c>
      <c r="C3921" s="133" t="s">
        <v>156</v>
      </c>
      <c r="D3921" s="133" t="s">
        <v>3288</v>
      </c>
      <c r="E3921" s="138">
        <v>0.55400000000000005</v>
      </c>
      <c r="F3921" s="153" t="s">
        <v>122</v>
      </c>
      <c r="G3921" s="153">
        <v>1</v>
      </c>
      <c r="H3921" s="133" t="s">
        <v>39</v>
      </c>
      <c r="I3921" s="133"/>
      <c r="J3921" s="133" t="s">
        <v>2520</v>
      </c>
      <c r="K3921" s="133"/>
      <c r="L3921" s="167"/>
      <c r="M3921" s="48"/>
      <c r="N3921" s="123"/>
    </row>
    <row r="3922" spans="1:14" customFormat="1" x14ac:dyDescent="0.55000000000000004">
      <c r="A3922" s="133" t="s">
        <v>2521</v>
      </c>
      <c r="B3922" s="133" t="s">
        <v>181</v>
      </c>
      <c r="C3922" s="133" t="s">
        <v>163</v>
      </c>
      <c r="D3922" s="133" t="s">
        <v>3288</v>
      </c>
      <c r="E3922" s="138">
        <v>4.4003050000000004</v>
      </c>
      <c r="F3922" s="153" t="s">
        <v>122</v>
      </c>
      <c r="G3922" s="153">
        <v>1</v>
      </c>
      <c r="H3922" s="133" t="s">
        <v>39</v>
      </c>
      <c r="I3922" s="133"/>
      <c r="J3922" s="133" t="s">
        <v>2520</v>
      </c>
      <c r="K3922" s="133"/>
      <c r="L3922" s="167"/>
      <c r="M3922" s="48"/>
      <c r="N3922" s="123"/>
    </row>
    <row r="3923" spans="1:14" customFormat="1" x14ac:dyDescent="0.55000000000000004">
      <c r="A3923" s="133" t="s">
        <v>2523</v>
      </c>
      <c r="B3923" s="133" t="s">
        <v>3003</v>
      </c>
      <c r="C3923" s="133" t="s">
        <v>121</v>
      </c>
      <c r="D3923" s="133" t="s">
        <v>2682</v>
      </c>
      <c r="E3923" s="138">
        <v>1</v>
      </c>
      <c r="F3923" s="153">
        <v>1</v>
      </c>
      <c r="G3923" s="153">
        <v>1</v>
      </c>
      <c r="H3923" s="133" t="s">
        <v>39</v>
      </c>
      <c r="I3923" s="133"/>
      <c r="J3923" s="133" t="s">
        <v>2522</v>
      </c>
      <c r="K3923" s="133"/>
      <c r="L3923" s="167"/>
      <c r="M3923" s="48"/>
      <c r="N3923" s="123"/>
    </row>
    <row r="3924" spans="1:14" customFormat="1" x14ac:dyDescent="0.55000000000000004">
      <c r="A3924" s="133" t="s">
        <v>2523</v>
      </c>
      <c r="B3924" s="133" t="s">
        <v>3004</v>
      </c>
      <c r="C3924" s="133" t="s">
        <v>207</v>
      </c>
      <c r="D3924" s="133" t="s">
        <v>3288</v>
      </c>
      <c r="E3924" s="138">
        <v>5.72</v>
      </c>
      <c r="F3924" s="153" t="s">
        <v>122</v>
      </c>
      <c r="G3924" s="153">
        <v>1</v>
      </c>
      <c r="H3924" s="133" t="s">
        <v>39</v>
      </c>
      <c r="I3924" s="133"/>
      <c r="J3924" s="133" t="s">
        <v>2522</v>
      </c>
      <c r="K3924" s="133"/>
      <c r="L3924" s="167"/>
      <c r="M3924" s="48"/>
      <c r="N3924" s="123"/>
    </row>
    <row r="3925" spans="1:14" customFormat="1" x14ac:dyDescent="0.55000000000000004">
      <c r="A3925" s="133" t="s">
        <v>2523</v>
      </c>
      <c r="B3925" s="139" t="s">
        <v>3020</v>
      </c>
      <c r="C3925" s="133" t="s">
        <v>125</v>
      </c>
      <c r="D3925" s="133" t="s">
        <v>3288</v>
      </c>
      <c r="E3925" s="138">
        <v>3.4500000000000003E-2</v>
      </c>
      <c r="F3925" s="153" t="s">
        <v>122</v>
      </c>
      <c r="G3925" s="153">
        <v>1</v>
      </c>
      <c r="H3925" s="133" t="s">
        <v>39</v>
      </c>
      <c r="I3925" s="133"/>
      <c r="J3925" s="133" t="s">
        <v>2522</v>
      </c>
      <c r="K3925" s="133"/>
      <c r="L3925" s="167"/>
      <c r="M3925" s="48"/>
      <c r="N3925" s="123"/>
    </row>
    <row r="3926" spans="1:14" customFormat="1" x14ac:dyDescent="0.55000000000000004">
      <c r="A3926" s="133" t="s">
        <v>2523</v>
      </c>
      <c r="B3926" s="133" t="s">
        <v>3021</v>
      </c>
      <c r="C3926" s="133" t="s">
        <v>125</v>
      </c>
      <c r="D3926" s="133" t="s">
        <v>3288</v>
      </c>
      <c r="E3926" s="138">
        <v>263</v>
      </c>
      <c r="F3926" s="153" t="s">
        <v>122</v>
      </c>
      <c r="G3926" s="153">
        <v>1</v>
      </c>
      <c r="H3926" s="133" t="s">
        <v>39</v>
      </c>
      <c r="I3926" s="133"/>
      <c r="J3926" s="133" t="s">
        <v>2522</v>
      </c>
      <c r="K3926" s="133"/>
      <c r="L3926" s="167"/>
      <c r="M3926" s="48"/>
      <c r="N3926" s="123"/>
    </row>
    <row r="3927" spans="1:14" customFormat="1" x14ac:dyDescent="0.55000000000000004">
      <c r="A3927" s="133" t="s">
        <v>2523</v>
      </c>
      <c r="B3927" s="133" t="s">
        <v>2607</v>
      </c>
      <c r="C3927" s="133" t="s">
        <v>125</v>
      </c>
      <c r="D3927" s="133" t="s">
        <v>3288</v>
      </c>
      <c r="E3927" s="138">
        <v>5.5099999999999996E-2</v>
      </c>
      <c r="F3927" s="153" t="s">
        <v>122</v>
      </c>
      <c r="G3927" s="153">
        <v>1</v>
      </c>
      <c r="H3927" s="133" t="s">
        <v>39</v>
      </c>
      <c r="I3927" s="133"/>
      <c r="J3927" s="133" t="s">
        <v>2522</v>
      </c>
      <c r="K3927" s="133"/>
      <c r="L3927" s="167"/>
      <c r="M3927" s="48"/>
      <c r="N3927" s="123"/>
    </row>
    <row r="3928" spans="1:14" customFormat="1" x14ac:dyDescent="0.55000000000000004">
      <c r="A3928" s="133" t="s">
        <v>2523</v>
      </c>
      <c r="B3928" s="133" t="s">
        <v>188</v>
      </c>
      <c r="C3928" s="133" t="s">
        <v>125</v>
      </c>
      <c r="D3928" s="133" t="s">
        <v>3288</v>
      </c>
      <c r="E3928" s="138">
        <v>4.8499999999999996</v>
      </c>
      <c r="F3928" s="153" t="s">
        <v>122</v>
      </c>
      <c r="G3928" s="153">
        <v>1</v>
      </c>
      <c r="H3928" s="133" t="s">
        <v>39</v>
      </c>
      <c r="I3928" s="133"/>
      <c r="J3928" s="133" t="s">
        <v>2522</v>
      </c>
      <c r="K3928" s="133"/>
      <c r="L3928" s="167"/>
      <c r="M3928" s="48"/>
      <c r="N3928" s="123"/>
    </row>
    <row r="3929" spans="1:14" customFormat="1" x14ac:dyDescent="0.55000000000000004">
      <c r="A3929" s="133" t="s">
        <v>2523</v>
      </c>
      <c r="B3929" s="133" t="s">
        <v>3057</v>
      </c>
      <c r="C3929" s="133" t="s">
        <v>125</v>
      </c>
      <c r="D3929" s="133" t="s">
        <v>3288</v>
      </c>
      <c r="E3929" s="138">
        <v>0.88600000000000001</v>
      </c>
      <c r="F3929" s="153" t="s">
        <v>122</v>
      </c>
      <c r="G3929" s="153">
        <v>1</v>
      </c>
      <c r="H3929" s="133" t="s">
        <v>39</v>
      </c>
      <c r="I3929" s="133"/>
      <c r="J3929" s="133" t="s">
        <v>2522</v>
      </c>
      <c r="K3929" s="133"/>
      <c r="L3929" s="167"/>
      <c r="M3929" s="48"/>
      <c r="N3929" s="123"/>
    </row>
    <row r="3930" spans="1:14" customFormat="1" x14ac:dyDescent="0.55000000000000004">
      <c r="A3930" s="133" t="s">
        <v>2523</v>
      </c>
      <c r="B3930" s="133" t="s">
        <v>153</v>
      </c>
      <c r="C3930" s="133" t="s">
        <v>127</v>
      </c>
      <c r="D3930" s="133" t="s">
        <v>2994</v>
      </c>
      <c r="E3930" s="138">
        <v>26.299999999999997</v>
      </c>
      <c r="F3930" s="153" t="s">
        <v>130</v>
      </c>
      <c r="G3930" s="153">
        <v>1</v>
      </c>
      <c r="H3930" s="133" t="s">
        <v>39</v>
      </c>
      <c r="I3930" s="133"/>
      <c r="J3930" s="133" t="s">
        <v>2522</v>
      </c>
      <c r="K3930" s="133"/>
      <c r="L3930" s="167"/>
      <c r="M3930" s="48"/>
      <c r="N3930" s="123"/>
    </row>
    <row r="3931" spans="1:14" customFormat="1" x14ac:dyDescent="0.55000000000000004">
      <c r="A3931" s="133" t="s">
        <v>2523</v>
      </c>
      <c r="B3931" s="133" t="s">
        <v>496</v>
      </c>
      <c r="C3931" s="133" t="s">
        <v>127</v>
      </c>
      <c r="D3931" s="133" t="s">
        <v>2994</v>
      </c>
      <c r="E3931" s="138">
        <v>23.900000000000002</v>
      </c>
      <c r="F3931" s="153" t="s">
        <v>167</v>
      </c>
      <c r="G3931" s="153">
        <v>1</v>
      </c>
      <c r="H3931" s="133" t="s">
        <v>39</v>
      </c>
      <c r="I3931" s="133"/>
      <c r="J3931" s="133" t="s">
        <v>2522</v>
      </c>
      <c r="K3931" s="133"/>
      <c r="L3931" s="167"/>
      <c r="M3931" s="48"/>
      <c r="N3931" s="123"/>
    </row>
    <row r="3932" spans="1:14" customFormat="1" x14ac:dyDescent="0.55000000000000004">
      <c r="A3932" s="133" t="s">
        <v>2523</v>
      </c>
      <c r="B3932" s="133" t="s">
        <v>3025</v>
      </c>
      <c r="C3932" s="133" t="s">
        <v>156</v>
      </c>
      <c r="D3932" s="133" t="s">
        <v>3288</v>
      </c>
      <c r="E3932" s="138">
        <v>6.3200000000000006E-2</v>
      </c>
      <c r="F3932" s="153" t="s">
        <v>122</v>
      </c>
      <c r="G3932" s="153">
        <v>1</v>
      </c>
      <c r="H3932" s="133" t="s">
        <v>39</v>
      </c>
      <c r="I3932" s="133"/>
      <c r="J3932" s="133" t="s">
        <v>2522</v>
      </c>
      <c r="K3932" s="133"/>
      <c r="L3932" s="167"/>
      <c r="M3932" s="48"/>
      <c r="N3932" s="123"/>
    </row>
    <row r="3933" spans="1:14" customFormat="1" x14ac:dyDescent="0.55000000000000004">
      <c r="A3933" s="133" t="s">
        <v>2523</v>
      </c>
      <c r="B3933" s="133" t="s">
        <v>3026</v>
      </c>
      <c r="C3933" s="133" t="s">
        <v>156</v>
      </c>
      <c r="D3933" s="133" t="s">
        <v>3288</v>
      </c>
      <c r="E3933" s="138">
        <v>0.57300000000000006</v>
      </c>
      <c r="F3933" s="153" t="s">
        <v>122</v>
      </c>
      <c r="G3933" s="153">
        <v>1</v>
      </c>
      <c r="H3933" s="133" t="s">
        <v>39</v>
      </c>
      <c r="I3933" s="133"/>
      <c r="J3933" s="133" t="s">
        <v>2522</v>
      </c>
      <c r="K3933" s="133"/>
      <c r="L3933" s="167"/>
      <c r="M3933" s="48"/>
      <c r="N3933" s="123"/>
    </row>
    <row r="3934" spans="1:14" customFormat="1" x14ac:dyDescent="0.55000000000000004">
      <c r="A3934" s="133" t="s">
        <v>2523</v>
      </c>
      <c r="B3934" s="133" t="s">
        <v>726</v>
      </c>
      <c r="C3934" s="133" t="s">
        <v>156</v>
      </c>
      <c r="D3934" s="133" t="s">
        <v>3288</v>
      </c>
      <c r="E3934" s="138">
        <v>0.54300000000000004</v>
      </c>
      <c r="F3934" s="153" t="s">
        <v>122</v>
      </c>
      <c r="G3934" s="153">
        <v>1</v>
      </c>
      <c r="H3934" s="133" t="s">
        <v>39</v>
      </c>
      <c r="I3934" s="133"/>
      <c r="J3934" s="133" t="s">
        <v>2522</v>
      </c>
      <c r="K3934" s="133"/>
      <c r="L3934" s="167"/>
      <c r="M3934" s="48"/>
      <c r="N3934" s="123"/>
    </row>
    <row r="3935" spans="1:14" customFormat="1" x14ac:dyDescent="0.55000000000000004">
      <c r="A3935" s="133" t="s">
        <v>2523</v>
      </c>
      <c r="B3935" s="133" t="s">
        <v>3027</v>
      </c>
      <c r="C3935" s="133" t="s">
        <v>156</v>
      </c>
      <c r="D3935" s="133" t="s">
        <v>3288</v>
      </c>
      <c r="E3935" s="138">
        <v>2.95</v>
      </c>
      <c r="F3935" s="153" t="s">
        <v>122</v>
      </c>
      <c r="G3935" s="153">
        <v>1</v>
      </c>
      <c r="H3935" s="133" t="s">
        <v>39</v>
      </c>
      <c r="I3935" s="133"/>
      <c r="J3935" s="133" t="s">
        <v>2522</v>
      </c>
      <c r="K3935" s="133"/>
      <c r="L3935" s="167"/>
      <c r="M3935" s="48"/>
      <c r="N3935" s="123"/>
    </row>
    <row r="3936" spans="1:14" customFormat="1" x14ac:dyDescent="0.55000000000000004">
      <c r="A3936" s="133" t="s">
        <v>2523</v>
      </c>
      <c r="B3936" s="133" t="s">
        <v>3058</v>
      </c>
      <c r="C3936" s="133" t="s">
        <v>156</v>
      </c>
      <c r="D3936" s="133" t="s">
        <v>3288</v>
      </c>
      <c r="E3936" s="138">
        <v>0.17100000000000001</v>
      </c>
      <c r="F3936" s="153" t="s">
        <v>122</v>
      </c>
      <c r="G3936" s="153">
        <v>1</v>
      </c>
      <c r="H3936" s="133" t="s">
        <v>39</v>
      </c>
      <c r="I3936" s="133"/>
      <c r="J3936" s="133" t="s">
        <v>2522</v>
      </c>
      <c r="K3936" s="133"/>
      <c r="L3936" s="167"/>
      <c r="M3936" s="48"/>
      <c r="N3936" s="123"/>
    </row>
    <row r="3937" spans="1:14" customFormat="1" x14ac:dyDescent="0.55000000000000004">
      <c r="A3937" s="133" t="s">
        <v>2523</v>
      </c>
      <c r="B3937" s="133" t="s">
        <v>3059</v>
      </c>
      <c r="C3937" s="133" t="s">
        <v>156</v>
      </c>
      <c r="D3937" s="133" t="s">
        <v>3288</v>
      </c>
      <c r="E3937" s="138">
        <v>0.18000000000000002</v>
      </c>
      <c r="F3937" s="153" t="s">
        <v>122</v>
      </c>
      <c r="G3937" s="153">
        <v>1</v>
      </c>
      <c r="H3937" s="133" t="s">
        <v>39</v>
      </c>
      <c r="I3937" s="133"/>
      <c r="J3937" s="133" t="s">
        <v>2522</v>
      </c>
      <c r="K3937" s="133"/>
      <c r="L3937" s="167"/>
      <c r="M3937" s="48"/>
      <c r="N3937" s="123"/>
    </row>
    <row r="3938" spans="1:14" customFormat="1" x14ac:dyDescent="0.55000000000000004">
      <c r="A3938" s="133" t="s">
        <v>2523</v>
      </c>
      <c r="B3938" s="133" t="s">
        <v>3060</v>
      </c>
      <c r="C3938" s="133" t="s">
        <v>156</v>
      </c>
      <c r="D3938" s="133" t="s">
        <v>3288</v>
      </c>
      <c r="E3938" s="138">
        <v>0.19500000000000001</v>
      </c>
      <c r="F3938" s="153" t="s">
        <v>122</v>
      </c>
      <c r="G3938" s="153">
        <v>1</v>
      </c>
      <c r="H3938" s="133" t="s">
        <v>39</v>
      </c>
      <c r="I3938" s="133"/>
      <c r="J3938" s="133" t="s">
        <v>2522</v>
      </c>
      <c r="K3938" s="133"/>
      <c r="L3938" s="167"/>
      <c r="M3938" s="48"/>
      <c r="N3938" s="123"/>
    </row>
    <row r="3939" spans="1:14" customFormat="1" x14ac:dyDescent="0.55000000000000004">
      <c r="A3939" s="133" t="s">
        <v>2523</v>
      </c>
      <c r="B3939" s="133" t="s">
        <v>160</v>
      </c>
      <c r="C3939" s="133" t="s">
        <v>124</v>
      </c>
      <c r="D3939" s="133" t="s">
        <v>3288</v>
      </c>
      <c r="E3939" s="138">
        <v>4.42</v>
      </c>
      <c r="F3939" s="153" t="s">
        <v>122</v>
      </c>
      <c r="G3939" s="153">
        <v>1</v>
      </c>
      <c r="H3939" s="133" t="s">
        <v>39</v>
      </c>
      <c r="I3939" s="133"/>
      <c r="J3939" s="133" t="s">
        <v>2522</v>
      </c>
      <c r="K3939" s="133"/>
      <c r="L3939" s="167"/>
      <c r="M3939" s="48"/>
      <c r="N3939" s="123"/>
    </row>
    <row r="3940" spans="1:14" customFormat="1" x14ac:dyDescent="0.55000000000000004">
      <c r="A3940" s="133" t="s">
        <v>2523</v>
      </c>
      <c r="B3940" s="133" t="s">
        <v>3028</v>
      </c>
      <c r="C3940" s="133" t="s">
        <v>163</v>
      </c>
      <c r="D3940" s="133" t="s">
        <v>3288</v>
      </c>
      <c r="E3940" s="138">
        <v>4.28E-3</v>
      </c>
      <c r="F3940" s="153" t="s">
        <v>122</v>
      </c>
      <c r="G3940" s="153">
        <v>1</v>
      </c>
      <c r="H3940" s="133" t="s">
        <v>39</v>
      </c>
      <c r="I3940" s="133"/>
      <c r="J3940" s="133" t="s">
        <v>2522</v>
      </c>
      <c r="K3940" s="133"/>
      <c r="L3940" s="167"/>
      <c r="M3940" s="48"/>
      <c r="N3940" s="123"/>
    </row>
    <row r="3941" spans="1:14" customFormat="1" x14ac:dyDescent="0.55000000000000004">
      <c r="A3941" s="133" t="s">
        <v>2523</v>
      </c>
      <c r="B3941" s="133" t="s">
        <v>3029</v>
      </c>
      <c r="C3941" s="133" t="s">
        <v>163</v>
      </c>
      <c r="D3941" s="133" t="s">
        <v>3288</v>
      </c>
      <c r="E3941" s="138">
        <v>3.0200000000000001E-2</v>
      </c>
      <c r="F3941" s="153" t="s">
        <v>122</v>
      </c>
      <c r="G3941" s="153">
        <v>1</v>
      </c>
      <c r="H3941" s="133" t="s">
        <v>39</v>
      </c>
      <c r="I3941" s="133"/>
      <c r="J3941" s="133" t="s">
        <v>2522</v>
      </c>
      <c r="K3941" s="133"/>
      <c r="L3941" s="167"/>
      <c r="M3941" s="48"/>
      <c r="N3941" s="123"/>
    </row>
    <row r="3942" spans="1:14" customFormat="1" x14ac:dyDescent="0.55000000000000004">
      <c r="A3942" s="133" t="s">
        <v>2523</v>
      </c>
      <c r="B3942" s="133" t="s">
        <v>3030</v>
      </c>
      <c r="C3942" s="133" t="s">
        <v>163</v>
      </c>
      <c r="D3942" s="133" t="s">
        <v>3288</v>
      </c>
      <c r="E3942" s="138">
        <v>1.72E-2</v>
      </c>
      <c r="F3942" s="153" t="s">
        <v>122</v>
      </c>
      <c r="G3942" s="153">
        <v>1</v>
      </c>
      <c r="H3942" s="133" t="s">
        <v>39</v>
      </c>
      <c r="I3942" s="133"/>
      <c r="J3942" s="133" t="s">
        <v>2522</v>
      </c>
      <c r="K3942" s="133"/>
      <c r="L3942" s="167"/>
      <c r="M3942" s="48"/>
      <c r="N3942" s="123"/>
    </row>
    <row r="3943" spans="1:14" customFormat="1" x14ac:dyDescent="0.55000000000000004">
      <c r="A3943" s="133" t="s">
        <v>2523</v>
      </c>
      <c r="B3943" s="133" t="s">
        <v>3031</v>
      </c>
      <c r="C3943" s="133" t="s">
        <v>163</v>
      </c>
      <c r="D3943" s="133" t="s">
        <v>3288</v>
      </c>
      <c r="E3943" s="138">
        <v>5.4900000000000001E-3</v>
      </c>
      <c r="F3943" s="153" t="s">
        <v>122</v>
      </c>
      <c r="G3943" s="153">
        <v>1</v>
      </c>
      <c r="H3943" s="133" t="s">
        <v>39</v>
      </c>
      <c r="I3943" s="133"/>
      <c r="J3943" s="133" t="s">
        <v>2522</v>
      </c>
      <c r="K3943" s="133"/>
      <c r="L3943" s="167"/>
      <c r="M3943" s="48"/>
      <c r="N3943" s="123"/>
    </row>
    <row r="3944" spans="1:14" customFormat="1" x14ac:dyDescent="0.55000000000000004">
      <c r="A3944" s="133" t="s">
        <v>2523</v>
      </c>
      <c r="B3944" s="133" t="s">
        <v>3032</v>
      </c>
      <c r="C3944" s="133" t="s">
        <v>163</v>
      </c>
      <c r="D3944" s="133" t="s">
        <v>3288</v>
      </c>
      <c r="E3944" s="138">
        <v>0.13799999999999998</v>
      </c>
      <c r="F3944" s="153" t="s">
        <v>122</v>
      </c>
      <c r="G3944" s="153">
        <v>1</v>
      </c>
      <c r="H3944" s="133" t="s">
        <v>39</v>
      </c>
      <c r="I3944" s="133"/>
      <c r="J3944" s="133" t="s">
        <v>2522</v>
      </c>
      <c r="K3944" s="133"/>
      <c r="L3944" s="167"/>
      <c r="M3944" s="48"/>
      <c r="N3944" s="123"/>
    </row>
    <row r="3945" spans="1:14" customFormat="1" x14ac:dyDescent="0.55000000000000004">
      <c r="A3945" s="133" t="s">
        <v>2523</v>
      </c>
      <c r="B3945" s="133" t="s">
        <v>3033</v>
      </c>
      <c r="C3945" s="133" t="s">
        <v>163</v>
      </c>
      <c r="D3945" s="133" t="s">
        <v>3288</v>
      </c>
      <c r="E3945" s="138">
        <v>0.33100000000000002</v>
      </c>
      <c r="F3945" s="153" t="s">
        <v>122</v>
      </c>
      <c r="G3945" s="153">
        <v>1</v>
      </c>
      <c r="H3945" s="133" t="s">
        <v>39</v>
      </c>
      <c r="I3945" s="133"/>
      <c r="J3945" s="133" t="s">
        <v>2522</v>
      </c>
      <c r="K3945" s="133"/>
      <c r="L3945" s="167"/>
      <c r="M3945" s="48"/>
      <c r="N3945" s="123"/>
    </row>
    <row r="3946" spans="1:14" customFormat="1" x14ac:dyDescent="0.55000000000000004">
      <c r="A3946" s="133" t="s">
        <v>2523</v>
      </c>
      <c r="B3946" s="133" t="s">
        <v>3034</v>
      </c>
      <c r="C3946" s="133" t="s">
        <v>163</v>
      </c>
      <c r="D3946" s="133" t="s">
        <v>3288</v>
      </c>
      <c r="E3946" s="138">
        <v>2.3799999999999998E-2</v>
      </c>
      <c r="F3946" s="153" t="s">
        <v>122</v>
      </c>
      <c r="G3946" s="153">
        <v>1</v>
      </c>
      <c r="H3946" s="133" t="s">
        <v>39</v>
      </c>
      <c r="I3946" s="133"/>
      <c r="J3946" s="133" t="s">
        <v>2522</v>
      </c>
      <c r="K3946" s="133"/>
      <c r="L3946" s="167"/>
      <c r="M3946" s="48"/>
      <c r="N3946" s="123"/>
    </row>
    <row r="3947" spans="1:14" customFormat="1" x14ac:dyDescent="0.55000000000000004">
      <c r="A3947" s="133" t="s">
        <v>2523</v>
      </c>
      <c r="B3947" s="133" t="s">
        <v>3035</v>
      </c>
      <c r="C3947" s="133" t="s">
        <v>163</v>
      </c>
      <c r="D3947" s="133" t="s">
        <v>3288</v>
      </c>
      <c r="E3947" s="138">
        <v>3.7100000000000001E-2</v>
      </c>
      <c r="F3947" s="153" t="s">
        <v>122</v>
      </c>
      <c r="G3947" s="153">
        <v>1</v>
      </c>
      <c r="H3947" s="133" t="s">
        <v>39</v>
      </c>
      <c r="I3947" s="133"/>
      <c r="J3947" s="133" t="s">
        <v>2522</v>
      </c>
      <c r="K3947" s="133"/>
      <c r="L3947" s="167"/>
      <c r="M3947" s="48"/>
      <c r="N3947" s="123"/>
    </row>
    <row r="3948" spans="1:14" customFormat="1" x14ac:dyDescent="0.55000000000000004">
      <c r="A3948" s="133" t="s">
        <v>2523</v>
      </c>
      <c r="B3948" s="133" t="s">
        <v>3036</v>
      </c>
      <c r="C3948" s="133" t="s">
        <v>163</v>
      </c>
      <c r="D3948" s="133" t="s">
        <v>3288</v>
      </c>
      <c r="E3948" s="138">
        <v>8.4800000000000014E-3</v>
      </c>
      <c r="F3948" s="153" t="s">
        <v>122</v>
      </c>
      <c r="G3948" s="153">
        <v>1</v>
      </c>
      <c r="H3948" s="133" t="s">
        <v>39</v>
      </c>
      <c r="I3948" s="133"/>
      <c r="J3948" s="133" t="s">
        <v>2522</v>
      </c>
      <c r="K3948" s="133"/>
      <c r="L3948" s="167"/>
      <c r="M3948" s="48"/>
      <c r="N3948" s="123"/>
    </row>
    <row r="3949" spans="1:14" customFormat="1" x14ac:dyDescent="0.55000000000000004">
      <c r="A3949" s="133" t="s">
        <v>2523</v>
      </c>
      <c r="B3949" s="133" t="s">
        <v>3037</v>
      </c>
      <c r="C3949" s="133" t="s">
        <v>163</v>
      </c>
      <c r="D3949" s="133" t="s">
        <v>3288</v>
      </c>
      <c r="E3949" s="138">
        <v>7.4000000000000003E-3</v>
      </c>
      <c r="F3949" s="153" t="s">
        <v>122</v>
      </c>
      <c r="G3949" s="153">
        <v>1</v>
      </c>
      <c r="H3949" s="133" t="s">
        <v>39</v>
      </c>
      <c r="I3949" s="133"/>
      <c r="J3949" s="133" t="s">
        <v>2522</v>
      </c>
      <c r="K3949" s="133"/>
      <c r="L3949" s="167"/>
      <c r="M3949" s="48"/>
      <c r="N3949" s="123"/>
    </row>
    <row r="3950" spans="1:14" customFormat="1" x14ac:dyDescent="0.55000000000000004">
      <c r="A3950" s="133" t="s">
        <v>2523</v>
      </c>
      <c r="B3950" s="139" t="s">
        <v>3039</v>
      </c>
      <c r="C3950" s="133" t="s">
        <v>163</v>
      </c>
      <c r="D3950" s="133" t="s">
        <v>3288</v>
      </c>
      <c r="E3950" s="138">
        <v>6.5199999999999994E-2</v>
      </c>
      <c r="F3950" s="153" t="s">
        <v>122</v>
      </c>
      <c r="G3950" s="153">
        <v>1</v>
      </c>
      <c r="H3950" s="133" t="s">
        <v>39</v>
      </c>
      <c r="I3950" s="133"/>
      <c r="J3950" s="133" t="s">
        <v>2522</v>
      </c>
      <c r="K3950" s="133"/>
      <c r="L3950" s="167"/>
      <c r="M3950" s="48"/>
      <c r="N3950" s="123"/>
    </row>
    <row r="3951" spans="1:14" customFormat="1" x14ac:dyDescent="0.55000000000000004">
      <c r="A3951" s="133" t="s">
        <v>2523</v>
      </c>
      <c r="B3951" s="139" t="s">
        <v>3040</v>
      </c>
      <c r="C3951" s="133" t="s">
        <v>163</v>
      </c>
      <c r="D3951" s="133" t="s">
        <v>3288</v>
      </c>
      <c r="E3951" s="138">
        <v>263</v>
      </c>
      <c r="F3951" s="153" t="s">
        <v>122</v>
      </c>
      <c r="G3951" s="153">
        <v>1</v>
      </c>
      <c r="H3951" s="133" t="s">
        <v>39</v>
      </c>
      <c r="I3951" s="133"/>
      <c r="J3951" s="133" t="s">
        <v>2522</v>
      </c>
      <c r="K3951" s="133"/>
      <c r="L3951" s="167"/>
      <c r="M3951" s="48"/>
      <c r="N3951" s="123"/>
    </row>
    <row r="3952" spans="1:14" customFormat="1" x14ac:dyDescent="0.55000000000000004">
      <c r="A3952" s="133" t="s">
        <v>2525</v>
      </c>
      <c r="B3952" s="133" t="s">
        <v>3018</v>
      </c>
      <c r="C3952" s="133" t="s">
        <v>121</v>
      </c>
      <c r="D3952" s="133" t="s">
        <v>2682</v>
      </c>
      <c r="E3952" s="138">
        <v>1</v>
      </c>
      <c r="F3952" s="153">
        <v>1</v>
      </c>
      <c r="G3952" s="153">
        <v>1</v>
      </c>
      <c r="H3952" s="133" t="s">
        <v>39</v>
      </c>
      <c r="I3952" s="133"/>
      <c r="J3952" s="133" t="s">
        <v>2524</v>
      </c>
      <c r="K3952" s="133"/>
      <c r="L3952" s="167"/>
      <c r="M3952" s="48"/>
      <c r="N3952" s="123"/>
    </row>
    <row r="3953" spans="1:14" customFormat="1" x14ac:dyDescent="0.55000000000000004">
      <c r="A3953" s="133" t="s">
        <v>2525</v>
      </c>
      <c r="B3953" s="133" t="s">
        <v>3019</v>
      </c>
      <c r="C3953" s="133" t="s">
        <v>207</v>
      </c>
      <c r="D3953" s="133" t="s">
        <v>3288</v>
      </c>
      <c r="E3953" s="138">
        <v>3.95</v>
      </c>
      <c r="F3953" s="153" t="s">
        <v>122</v>
      </c>
      <c r="G3953" s="153">
        <v>1</v>
      </c>
      <c r="H3953" s="133" t="s">
        <v>39</v>
      </c>
      <c r="I3953" s="133"/>
      <c r="J3953" s="133" t="s">
        <v>2524</v>
      </c>
      <c r="K3953" s="133"/>
      <c r="L3953" s="167"/>
      <c r="M3953" s="48"/>
      <c r="N3953" s="123"/>
    </row>
    <row r="3954" spans="1:14" customFormat="1" x14ac:dyDescent="0.55000000000000004">
      <c r="A3954" s="133" t="s">
        <v>2525</v>
      </c>
      <c r="B3954" s="139" t="s">
        <v>3020</v>
      </c>
      <c r="C3954" s="133" t="s">
        <v>125</v>
      </c>
      <c r="D3954" s="133" t="s">
        <v>3288</v>
      </c>
      <c r="E3954" s="138">
        <v>2.6700000000000002E-2</v>
      </c>
      <c r="F3954" s="153" t="s">
        <v>122</v>
      </c>
      <c r="G3954" s="153">
        <v>1</v>
      </c>
      <c r="H3954" s="133" t="s">
        <v>39</v>
      </c>
      <c r="I3954" s="133"/>
      <c r="J3954" s="133" t="s">
        <v>2524</v>
      </c>
      <c r="K3954" s="133"/>
      <c r="L3954" s="167"/>
      <c r="M3954" s="48"/>
      <c r="N3954" s="123"/>
    </row>
    <row r="3955" spans="1:14" customFormat="1" x14ac:dyDescent="0.55000000000000004">
      <c r="A3955" s="133" t="s">
        <v>2525</v>
      </c>
      <c r="B3955" s="133" t="s">
        <v>3021</v>
      </c>
      <c r="C3955" s="133" t="s">
        <v>125</v>
      </c>
      <c r="D3955" s="133" t="s">
        <v>3288</v>
      </c>
      <c r="E3955" s="138">
        <v>202.99999999999997</v>
      </c>
      <c r="F3955" s="153" t="s">
        <v>122</v>
      </c>
      <c r="G3955" s="153">
        <v>1</v>
      </c>
      <c r="H3955" s="133" t="s">
        <v>39</v>
      </c>
      <c r="I3955" s="133"/>
      <c r="J3955" s="133" t="s">
        <v>2524</v>
      </c>
      <c r="K3955" s="133"/>
      <c r="L3955" s="167"/>
      <c r="M3955" s="48"/>
      <c r="N3955" s="123"/>
    </row>
    <row r="3956" spans="1:14" customFormat="1" x14ac:dyDescent="0.55000000000000004">
      <c r="A3956" s="133" t="s">
        <v>2525</v>
      </c>
      <c r="B3956" s="133" t="s">
        <v>2607</v>
      </c>
      <c r="C3956" s="133" t="s">
        <v>125</v>
      </c>
      <c r="D3956" s="133" t="s">
        <v>3288</v>
      </c>
      <c r="E3956" s="138">
        <v>4.2599999999999999E-2</v>
      </c>
      <c r="F3956" s="153" t="s">
        <v>122</v>
      </c>
      <c r="G3956" s="153">
        <v>1</v>
      </c>
      <c r="H3956" s="133" t="s">
        <v>39</v>
      </c>
      <c r="I3956" s="133"/>
      <c r="J3956" s="133" t="s">
        <v>2524</v>
      </c>
      <c r="K3956" s="133"/>
      <c r="L3956" s="167"/>
      <c r="M3956" s="48"/>
      <c r="N3956" s="123"/>
    </row>
    <row r="3957" spans="1:14" customFormat="1" x14ac:dyDescent="0.55000000000000004">
      <c r="A3957" s="133" t="s">
        <v>2525</v>
      </c>
      <c r="B3957" s="133" t="s">
        <v>188</v>
      </c>
      <c r="C3957" s="133" t="s">
        <v>125</v>
      </c>
      <c r="D3957" s="133" t="s">
        <v>3288</v>
      </c>
      <c r="E3957" s="138">
        <v>3.75</v>
      </c>
      <c r="F3957" s="153" t="s">
        <v>122</v>
      </c>
      <c r="G3957" s="153">
        <v>1</v>
      </c>
      <c r="H3957" s="133" t="s">
        <v>39</v>
      </c>
      <c r="I3957" s="133"/>
      <c r="J3957" s="133" t="s">
        <v>2524</v>
      </c>
      <c r="K3957" s="133"/>
      <c r="L3957" s="167"/>
      <c r="M3957" s="48"/>
      <c r="N3957" s="123"/>
    </row>
    <row r="3958" spans="1:14" customFormat="1" x14ac:dyDescent="0.55000000000000004">
      <c r="A3958" s="133" t="s">
        <v>2525</v>
      </c>
      <c r="B3958" s="133" t="s">
        <v>3061</v>
      </c>
      <c r="C3958" s="133" t="s">
        <v>125</v>
      </c>
      <c r="D3958" s="133" t="s">
        <v>3288</v>
      </c>
      <c r="E3958" s="138">
        <v>3.9199999999999999E-2</v>
      </c>
      <c r="F3958" s="153" t="s">
        <v>122</v>
      </c>
      <c r="G3958" s="153">
        <v>1</v>
      </c>
      <c r="H3958" s="133" t="s">
        <v>39</v>
      </c>
      <c r="I3958" s="133"/>
      <c r="J3958" s="133" t="s">
        <v>2524</v>
      </c>
      <c r="K3958" s="133"/>
      <c r="L3958" s="167"/>
      <c r="M3958" s="48"/>
      <c r="N3958" s="123"/>
    </row>
    <row r="3959" spans="1:14" customFormat="1" x14ac:dyDescent="0.55000000000000004">
      <c r="A3959" s="133" t="s">
        <v>2525</v>
      </c>
      <c r="B3959" s="133" t="s">
        <v>153</v>
      </c>
      <c r="C3959" s="133" t="s">
        <v>127</v>
      </c>
      <c r="D3959" s="133" t="s">
        <v>2994</v>
      </c>
      <c r="E3959" s="138">
        <v>14.5</v>
      </c>
      <c r="F3959" s="153" t="s">
        <v>122</v>
      </c>
      <c r="G3959" s="153">
        <v>1</v>
      </c>
      <c r="H3959" s="133" t="s">
        <v>39</v>
      </c>
      <c r="I3959" s="133"/>
      <c r="J3959" s="133" t="s">
        <v>2524</v>
      </c>
      <c r="K3959" s="133"/>
      <c r="L3959" s="167"/>
      <c r="M3959" s="48"/>
      <c r="N3959" s="123"/>
    </row>
    <row r="3960" spans="1:14" customFormat="1" x14ac:dyDescent="0.55000000000000004">
      <c r="A3960" s="133" t="s">
        <v>2525</v>
      </c>
      <c r="B3960" s="133" t="s">
        <v>496</v>
      </c>
      <c r="C3960" s="133" t="s">
        <v>127</v>
      </c>
      <c r="D3960" s="133" t="s">
        <v>2994</v>
      </c>
      <c r="E3960" s="138">
        <v>13.200000000000001</v>
      </c>
      <c r="F3960" s="153" t="s">
        <v>122</v>
      </c>
      <c r="G3960" s="153">
        <v>1</v>
      </c>
      <c r="H3960" s="133" t="s">
        <v>39</v>
      </c>
      <c r="I3960" s="133"/>
      <c r="J3960" s="133" t="s">
        <v>2524</v>
      </c>
      <c r="K3960" s="133"/>
      <c r="L3960" s="167"/>
      <c r="M3960" s="48"/>
      <c r="N3960" s="123"/>
    </row>
    <row r="3961" spans="1:14" customFormat="1" x14ac:dyDescent="0.55000000000000004">
      <c r="A3961" s="133" t="s">
        <v>2525</v>
      </c>
      <c r="B3961" s="133" t="s">
        <v>3062</v>
      </c>
      <c r="C3961" s="133" t="s">
        <v>156</v>
      </c>
      <c r="D3961" s="133" t="s">
        <v>3288</v>
      </c>
      <c r="E3961" s="138">
        <v>4.3600000000000007E-2</v>
      </c>
      <c r="F3961" s="153" t="s">
        <v>122</v>
      </c>
      <c r="G3961" s="153">
        <v>1</v>
      </c>
      <c r="H3961" s="133" t="s">
        <v>39</v>
      </c>
      <c r="I3961" s="133"/>
      <c r="J3961" s="133" t="s">
        <v>2524</v>
      </c>
      <c r="K3961" s="133"/>
      <c r="L3961" s="167"/>
      <c r="M3961" s="48"/>
      <c r="N3961" s="123"/>
    </row>
    <row r="3962" spans="1:14" customFormat="1" x14ac:dyDescent="0.55000000000000004">
      <c r="A3962" s="133" t="s">
        <v>2525</v>
      </c>
      <c r="B3962" s="133" t="s">
        <v>3026</v>
      </c>
      <c r="C3962" s="133" t="s">
        <v>156</v>
      </c>
      <c r="D3962" s="133" t="s">
        <v>3288</v>
      </c>
      <c r="E3962" s="138">
        <v>0.29799999999999999</v>
      </c>
      <c r="F3962" s="153" t="s">
        <v>122</v>
      </c>
      <c r="G3962" s="153">
        <v>1</v>
      </c>
      <c r="H3962" s="133" t="s">
        <v>39</v>
      </c>
      <c r="I3962" s="133"/>
      <c r="J3962" s="133" t="s">
        <v>2524</v>
      </c>
      <c r="K3962" s="133"/>
      <c r="L3962" s="167"/>
      <c r="M3962" s="48"/>
      <c r="N3962" s="123"/>
    </row>
    <row r="3963" spans="1:14" customFormat="1" x14ac:dyDescent="0.55000000000000004">
      <c r="A3963" s="133" t="s">
        <v>2525</v>
      </c>
      <c r="B3963" s="133" t="s">
        <v>726</v>
      </c>
      <c r="C3963" s="133" t="s">
        <v>156</v>
      </c>
      <c r="D3963" s="133" t="s">
        <v>3288</v>
      </c>
      <c r="E3963" s="138">
        <v>0.31200000000000006</v>
      </c>
      <c r="F3963" s="153" t="s">
        <v>122</v>
      </c>
      <c r="G3963" s="153">
        <v>1</v>
      </c>
      <c r="H3963" s="133" t="s">
        <v>39</v>
      </c>
      <c r="I3963" s="133"/>
      <c r="J3963" s="133" t="s">
        <v>2524</v>
      </c>
      <c r="K3963" s="133"/>
      <c r="L3963" s="167"/>
      <c r="M3963" s="48"/>
      <c r="N3963" s="123"/>
    </row>
    <row r="3964" spans="1:14" customFormat="1" x14ac:dyDescent="0.55000000000000004">
      <c r="A3964" s="133" t="s">
        <v>2525</v>
      </c>
      <c r="B3964" s="133" t="s">
        <v>3027</v>
      </c>
      <c r="C3964" s="133" t="s">
        <v>156</v>
      </c>
      <c r="D3964" s="133" t="s">
        <v>3288</v>
      </c>
      <c r="E3964" s="138">
        <v>1.43</v>
      </c>
      <c r="F3964" s="153" t="s">
        <v>122</v>
      </c>
      <c r="G3964" s="153">
        <v>1</v>
      </c>
      <c r="H3964" s="133" t="s">
        <v>39</v>
      </c>
      <c r="I3964" s="133"/>
      <c r="J3964" s="133" t="s">
        <v>2524</v>
      </c>
      <c r="K3964" s="133"/>
      <c r="L3964" s="167"/>
      <c r="M3964" s="48"/>
      <c r="N3964" s="123"/>
    </row>
    <row r="3965" spans="1:14" customFormat="1" x14ac:dyDescent="0.55000000000000004">
      <c r="A3965" s="133" t="s">
        <v>2525</v>
      </c>
      <c r="B3965" s="133" t="s">
        <v>3058</v>
      </c>
      <c r="C3965" s="133" t="s">
        <v>156</v>
      </c>
      <c r="D3965" s="133" t="s">
        <v>3288</v>
      </c>
      <c r="E3965" s="138">
        <v>0.17100000000000001</v>
      </c>
      <c r="F3965" s="153" t="s">
        <v>122</v>
      </c>
      <c r="G3965" s="153">
        <v>1</v>
      </c>
      <c r="H3965" s="133" t="s">
        <v>39</v>
      </c>
      <c r="I3965" s="133"/>
      <c r="J3965" s="133" t="s">
        <v>2524</v>
      </c>
      <c r="K3965" s="133"/>
      <c r="L3965" s="167"/>
      <c r="M3965" s="48"/>
      <c r="N3965" s="123"/>
    </row>
    <row r="3966" spans="1:14" customFormat="1" x14ac:dyDescent="0.55000000000000004">
      <c r="A3966" s="133" t="s">
        <v>2525</v>
      </c>
      <c r="B3966" s="133" t="s">
        <v>3059</v>
      </c>
      <c r="C3966" s="133" t="s">
        <v>156</v>
      </c>
      <c r="D3966" s="133" t="s">
        <v>3288</v>
      </c>
      <c r="E3966" s="138">
        <v>6.8499999999999991E-2</v>
      </c>
      <c r="F3966" s="153" t="s">
        <v>122</v>
      </c>
      <c r="G3966" s="153">
        <v>1</v>
      </c>
      <c r="H3966" s="133" t="s">
        <v>39</v>
      </c>
      <c r="I3966" s="133"/>
      <c r="J3966" s="133" t="s">
        <v>2524</v>
      </c>
      <c r="K3966" s="133"/>
      <c r="L3966" s="167"/>
      <c r="M3966" s="48"/>
      <c r="N3966" s="123"/>
    </row>
    <row r="3967" spans="1:14" customFormat="1" x14ac:dyDescent="0.55000000000000004">
      <c r="A3967" s="133" t="s">
        <v>2525</v>
      </c>
      <c r="B3967" s="133" t="s">
        <v>3060</v>
      </c>
      <c r="C3967" s="133" t="s">
        <v>156</v>
      </c>
      <c r="D3967" s="133" t="s">
        <v>3288</v>
      </c>
      <c r="E3967" s="138">
        <v>7.400000000000001E-2</v>
      </c>
      <c r="F3967" s="153" t="s">
        <v>122</v>
      </c>
      <c r="G3967" s="153">
        <v>1</v>
      </c>
      <c r="H3967" s="133" t="s">
        <v>39</v>
      </c>
      <c r="I3967" s="133"/>
      <c r="J3967" s="133" t="s">
        <v>2524</v>
      </c>
      <c r="K3967" s="133"/>
      <c r="L3967" s="167"/>
      <c r="M3967" s="48"/>
      <c r="N3967" s="123"/>
    </row>
    <row r="3968" spans="1:14" customFormat="1" x14ac:dyDescent="0.55000000000000004">
      <c r="A3968" s="133" t="s">
        <v>2525</v>
      </c>
      <c r="B3968" s="133" t="s">
        <v>160</v>
      </c>
      <c r="C3968" s="133" t="s">
        <v>124</v>
      </c>
      <c r="D3968" s="133" t="s">
        <v>3288</v>
      </c>
      <c r="E3968" s="138">
        <v>3.83</v>
      </c>
      <c r="F3968" s="153" t="s">
        <v>122</v>
      </c>
      <c r="G3968" s="153">
        <v>1</v>
      </c>
      <c r="H3968" s="133" t="s">
        <v>39</v>
      </c>
      <c r="I3968" s="133"/>
      <c r="J3968" s="133" t="s">
        <v>2524</v>
      </c>
      <c r="K3968" s="133"/>
      <c r="L3968" s="167"/>
      <c r="M3968" s="48"/>
      <c r="N3968" s="123"/>
    </row>
    <row r="3969" spans="1:14" customFormat="1" x14ac:dyDescent="0.55000000000000004">
      <c r="A3969" s="133" t="s">
        <v>2525</v>
      </c>
      <c r="B3969" s="133" t="s">
        <v>3028</v>
      </c>
      <c r="C3969" s="133" t="s">
        <v>163</v>
      </c>
      <c r="D3969" s="133" t="s">
        <v>3288</v>
      </c>
      <c r="E3969" s="138">
        <v>2.7599999999999999E-3</v>
      </c>
      <c r="F3969" s="153" t="s">
        <v>122</v>
      </c>
      <c r="G3969" s="153">
        <v>1</v>
      </c>
      <c r="H3969" s="133" t="s">
        <v>39</v>
      </c>
      <c r="I3969" s="133"/>
      <c r="J3969" s="133" t="s">
        <v>2524</v>
      </c>
      <c r="K3969" s="133"/>
      <c r="L3969" s="167"/>
      <c r="M3969" s="48"/>
      <c r="N3969" s="123"/>
    </row>
    <row r="3970" spans="1:14" customFormat="1" x14ac:dyDescent="0.55000000000000004">
      <c r="A3970" s="133" t="s">
        <v>2525</v>
      </c>
      <c r="B3970" s="133" t="s">
        <v>3029</v>
      </c>
      <c r="C3970" s="133" t="s">
        <v>163</v>
      </c>
      <c r="D3970" s="133" t="s">
        <v>3288</v>
      </c>
      <c r="E3970" s="138">
        <v>1.5700000000000002E-2</v>
      </c>
      <c r="F3970" s="153" t="s">
        <v>122</v>
      </c>
      <c r="G3970" s="153">
        <v>1</v>
      </c>
      <c r="H3970" s="133" t="s">
        <v>39</v>
      </c>
      <c r="I3970" s="133"/>
      <c r="J3970" s="133" t="s">
        <v>2524</v>
      </c>
      <c r="K3970" s="133"/>
      <c r="L3970" s="167"/>
      <c r="M3970" s="48"/>
      <c r="N3970" s="123"/>
    </row>
    <row r="3971" spans="1:14" customFormat="1" x14ac:dyDescent="0.55000000000000004">
      <c r="A3971" s="133" t="s">
        <v>2525</v>
      </c>
      <c r="B3971" s="133" t="s">
        <v>3030</v>
      </c>
      <c r="C3971" s="133" t="s">
        <v>163</v>
      </c>
      <c r="D3971" s="133" t="s">
        <v>3288</v>
      </c>
      <c r="E3971" s="138">
        <v>1.18E-2</v>
      </c>
      <c r="F3971" s="153" t="s">
        <v>122</v>
      </c>
      <c r="G3971" s="153">
        <v>1</v>
      </c>
      <c r="H3971" s="133" t="s">
        <v>39</v>
      </c>
      <c r="I3971" s="133"/>
      <c r="J3971" s="133" t="s">
        <v>2524</v>
      </c>
      <c r="K3971" s="133"/>
      <c r="L3971" s="167"/>
      <c r="M3971" s="48"/>
      <c r="N3971" s="123"/>
    </row>
    <row r="3972" spans="1:14" customFormat="1" x14ac:dyDescent="0.55000000000000004">
      <c r="A3972" s="133" t="s">
        <v>2525</v>
      </c>
      <c r="B3972" s="133" t="s">
        <v>3031</v>
      </c>
      <c r="C3972" s="133" t="s">
        <v>163</v>
      </c>
      <c r="D3972" s="133" t="s">
        <v>3288</v>
      </c>
      <c r="E3972" s="138">
        <v>3.79E-3</v>
      </c>
      <c r="F3972" s="153" t="s">
        <v>122</v>
      </c>
      <c r="G3972" s="153">
        <v>1</v>
      </c>
      <c r="H3972" s="133" t="s">
        <v>39</v>
      </c>
      <c r="I3972" s="133"/>
      <c r="J3972" s="133" t="s">
        <v>2524</v>
      </c>
      <c r="K3972" s="133"/>
      <c r="L3972" s="167"/>
      <c r="M3972" s="48"/>
      <c r="N3972" s="123"/>
    </row>
    <row r="3973" spans="1:14" customFormat="1" x14ac:dyDescent="0.55000000000000004">
      <c r="A3973" s="133" t="s">
        <v>2525</v>
      </c>
      <c r="B3973" s="133" t="s">
        <v>3032</v>
      </c>
      <c r="C3973" s="133" t="s">
        <v>163</v>
      </c>
      <c r="D3973" s="133" t="s">
        <v>3288</v>
      </c>
      <c r="E3973" s="138">
        <v>0.10400000000000001</v>
      </c>
      <c r="F3973" s="153" t="s">
        <v>122</v>
      </c>
      <c r="G3973" s="153">
        <v>1</v>
      </c>
      <c r="H3973" s="133" t="s">
        <v>39</v>
      </c>
      <c r="I3973" s="133"/>
      <c r="J3973" s="133" t="s">
        <v>2524</v>
      </c>
      <c r="K3973" s="133"/>
      <c r="L3973" s="167"/>
      <c r="M3973" s="48"/>
      <c r="N3973" s="123"/>
    </row>
    <row r="3974" spans="1:14" customFormat="1" x14ac:dyDescent="0.55000000000000004">
      <c r="A3974" s="133" t="s">
        <v>2525</v>
      </c>
      <c r="B3974" s="133" t="s">
        <v>3033</v>
      </c>
      <c r="C3974" s="133" t="s">
        <v>163</v>
      </c>
      <c r="D3974" s="133" t="s">
        <v>3288</v>
      </c>
      <c r="E3974" s="138">
        <v>0.221</v>
      </c>
      <c r="F3974" s="153" t="s">
        <v>122</v>
      </c>
      <c r="G3974" s="153">
        <v>1</v>
      </c>
      <c r="H3974" s="133" t="s">
        <v>39</v>
      </c>
      <c r="I3974" s="133"/>
      <c r="J3974" s="133" t="s">
        <v>2524</v>
      </c>
      <c r="K3974" s="133"/>
      <c r="L3974" s="167"/>
      <c r="M3974" s="48"/>
      <c r="N3974" s="123"/>
    </row>
    <row r="3975" spans="1:14" customFormat="1" x14ac:dyDescent="0.55000000000000004">
      <c r="A3975" s="133" t="s">
        <v>2525</v>
      </c>
      <c r="B3975" s="133" t="s">
        <v>3034</v>
      </c>
      <c r="C3975" s="133" t="s">
        <v>163</v>
      </c>
      <c r="D3975" s="133" t="s">
        <v>3288</v>
      </c>
      <c r="E3975" s="138">
        <v>1.34E-2</v>
      </c>
      <c r="F3975" s="153" t="s">
        <v>122</v>
      </c>
      <c r="G3975" s="153">
        <v>1</v>
      </c>
      <c r="H3975" s="133" t="s">
        <v>39</v>
      </c>
      <c r="I3975" s="133"/>
      <c r="J3975" s="133" t="s">
        <v>2524</v>
      </c>
      <c r="K3975" s="133"/>
      <c r="L3975" s="167"/>
      <c r="M3975" s="48"/>
      <c r="N3975" s="123"/>
    </row>
    <row r="3976" spans="1:14" customFormat="1" x14ac:dyDescent="0.55000000000000004">
      <c r="A3976" s="133" t="s">
        <v>2525</v>
      </c>
      <c r="B3976" s="133" t="s">
        <v>3035</v>
      </c>
      <c r="C3976" s="133" t="s">
        <v>163</v>
      </c>
      <c r="D3976" s="133" t="s">
        <v>3288</v>
      </c>
      <c r="E3976" s="138">
        <v>1.7299999999999999E-2</v>
      </c>
      <c r="F3976" s="153" t="s">
        <v>122</v>
      </c>
      <c r="G3976" s="153">
        <v>1</v>
      </c>
      <c r="H3976" s="133" t="s">
        <v>39</v>
      </c>
      <c r="I3976" s="133"/>
      <c r="J3976" s="133" t="s">
        <v>2524</v>
      </c>
      <c r="K3976" s="133"/>
      <c r="L3976" s="167"/>
      <c r="M3976" s="48"/>
      <c r="N3976" s="123"/>
    </row>
    <row r="3977" spans="1:14" customFormat="1" x14ac:dyDescent="0.55000000000000004">
      <c r="A3977" s="133" t="s">
        <v>2525</v>
      </c>
      <c r="B3977" s="133" t="s">
        <v>3036</v>
      </c>
      <c r="C3977" s="133" t="s">
        <v>163</v>
      </c>
      <c r="D3977" s="133" t="s">
        <v>3288</v>
      </c>
      <c r="E3977" s="138">
        <v>4.5700000000000003E-3</v>
      </c>
      <c r="F3977" s="153" t="s">
        <v>122</v>
      </c>
      <c r="G3977" s="153">
        <v>1</v>
      </c>
      <c r="H3977" s="133" t="s">
        <v>39</v>
      </c>
      <c r="I3977" s="133"/>
      <c r="J3977" s="133" t="s">
        <v>2524</v>
      </c>
      <c r="K3977" s="133"/>
      <c r="L3977" s="167"/>
      <c r="M3977" s="48"/>
      <c r="N3977" s="123"/>
    </row>
    <row r="3978" spans="1:14" customFormat="1" x14ac:dyDescent="0.55000000000000004">
      <c r="A3978" s="133" t="s">
        <v>2525</v>
      </c>
      <c r="B3978" s="133" t="s">
        <v>3037</v>
      </c>
      <c r="C3978" s="133" t="s">
        <v>163</v>
      </c>
      <c r="D3978" s="133" t="s">
        <v>3288</v>
      </c>
      <c r="E3978" s="138">
        <v>4.5700000000000003E-3</v>
      </c>
      <c r="F3978" s="153" t="s">
        <v>122</v>
      </c>
      <c r="G3978" s="153">
        <v>1</v>
      </c>
      <c r="H3978" s="133" t="s">
        <v>39</v>
      </c>
      <c r="I3978" s="133"/>
      <c r="J3978" s="133" t="s">
        <v>2524</v>
      </c>
      <c r="K3978" s="133"/>
      <c r="L3978" s="167"/>
      <c r="M3978" s="48"/>
      <c r="N3978" s="123"/>
    </row>
    <row r="3979" spans="1:14" customFormat="1" x14ac:dyDescent="0.55000000000000004">
      <c r="A3979" s="133" t="s">
        <v>2525</v>
      </c>
      <c r="B3979" s="133" t="s">
        <v>3038</v>
      </c>
      <c r="C3979" s="133" t="s">
        <v>163</v>
      </c>
      <c r="D3979" s="133" t="s">
        <v>3288</v>
      </c>
      <c r="E3979" s="138">
        <v>8.15</v>
      </c>
      <c r="F3979" s="153" t="s">
        <v>122</v>
      </c>
      <c r="G3979" s="153">
        <v>1</v>
      </c>
      <c r="H3979" s="133" t="s">
        <v>39</v>
      </c>
      <c r="I3979" s="133"/>
      <c r="J3979" s="133" t="s">
        <v>2524</v>
      </c>
      <c r="K3979" s="133"/>
      <c r="L3979" s="167"/>
      <c r="M3979" s="48"/>
      <c r="N3979" s="123"/>
    </row>
    <row r="3980" spans="1:14" customFormat="1" x14ac:dyDescent="0.55000000000000004">
      <c r="A3980" s="133" t="s">
        <v>2525</v>
      </c>
      <c r="B3980" s="139" t="s">
        <v>3039</v>
      </c>
      <c r="C3980" s="133" t="s">
        <v>163</v>
      </c>
      <c r="D3980" s="133" t="s">
        <v>3288</v>
      </c>
      <c r="E3980" s="138">
        <v>5.04E-2</v>
      </c>
      <c r="F3980" s="153" t="s">
        <v>122</v>
      </c>
      <c r="G3980" s="153">
        <v>1</v>
      </c>
      <c r="H3980" s="133" t="s">
        <v>39</v>
      </c>
      <c r="I3980" s="133"/>
      <c r="J3980" s="133" t="s">
        <v>2524</v>
      </c>
      <c r="K3980" s="133"/>
      <c r="L3980" s="167"/>
      <c r="M3980" s="48"/>
      <c r="N3980" s="123"/>
    </row>
    <row r="3981" spans="1:14" customFormat="1" x14ac:dyDescent="0.55000000000000004">
      <c r="A3981" s="133" t="s">
        <v>2525</v>
      </c>
      <c r="B3981" s="139" t="s">
        <v>3040</v>
      </c>
      <c r="C3981" s="133" t="s">
        <v>163</v>
      </c>
      <c r="D3981" s="133" t="s">
        <v>3288</v>
      </c>
      <c r="E3981" s="138">
        <v>202.99999999999997</v>
      </c>
      <c r="F3981" s="153" t="s">
        <v>122</v>
      </c>
      <c r="G3981" s="153">
        <v>1</v>
      </c>
      <c r="H3981" s="133" t="s">
        <v>39</v>
      </c>
      <c r="I3981" s="133"/>
      <c r="J3981" s="133" t="s">
        <v>2524</v>
      </c>
      <c r="K3981" s="133"/>
      <c r="L3981" s="167"/>
      <c r="M3981" s="48"/>
      <c r="N3981" s="123"/>
    </row>
    <row r="3982" spans="1:14" customFormat="1" x14ac:dyDescent="0.55000000000000004">
      <c r="A3982" s="133" t="s">
        <v>2527</v>
      </c>
      <c r="B3982" s="133" t="s">
        <v>3063</v>
      </c>
      <c r="C3982" s="133" t="s">
        <v>121</v>
      </c>
      <c r="D3982" s="133" t="s">
        <v>2682</v>
      </c>
      <c r="E3982" s="138">
        <v>1</v>
      </c>
      <c r="F3982" s="153">
        <v>1</v>
      </c>
      <c r="G3982" s="153">
        <v>1</v>
      </c>
      <c r="H3982" s="133" t="s">
        <v>39</v>
      </c>
      <c r="I3982" s="133"/>
      <c r="J3982" s="133" t="s">
        <v>2526</v>
      </c>
      <c r="K3982" s="133" t="s">
        <v>831</v>
      </c>
      <c r="L3982" s="167"/>
      <c r="M3982" s="48"/>
      <c r="N3982" s="123"/>
    </row>
    <row r="3983" spans="1:14" customFormat="1" x14ac:dyDescent="0.55000000000000004">
      <c r="A3983" s="133" t="s">
        <v>2527</v>
      </c>
      <c r="B3983" s="133" t="s">
        <v>3064</v>
      </c>
      <c r="C3983" s="133" t="s">
        <v>348</v>
      </c>
      <c r="D3983" s="133" t="s">
        <v>3288</v>
      </c>
      <c r="E3983" s="138">
        <v>1</v>
      </c>
      <c r="F3983" s="153" t="s">
        <v>135</v>
      </c>
      <c r="G3983" s="153">
        <v>1</v>
      </c>
      <c r="H3983" s="133" t="s">
        <v>39</v>
      </c>
      <c r="I3983" s="133"/>
      <c r="J3983" s="133" t="s">
        <v>2526</v>
      </c>
      <c r="K3983" s="133" t="s">
        <v>831</v>
      </c>
      <c r="L3983" s="167"/>
      <c r="M3983" s="48"/>
      <c r="N3983" s="123"/>
    </row>
    <row r="3984" spans="1:14" customFormat="1" x14ac:dyDescent="0.55000000000000004">
      <c r="A3984" s="133" t="s">
        <v>2527</v>
      </c>
      <c r="B3984" s="133" t="s">
        <v>153</v>
      </c>
      <c r="C3984" s="133" t="s">
        <v>127</v>
      </c>
      <c r="D3984" s="133" t="s">
        <v>2994</v>
      </c>
      <c r="E3984" s="138">
        <v>142</v>
      </c>
      <c r="F3984" s="153" t="s">
        <v>130</v>
      </c>
      <c r="G3984" s="153">
        <v>1</v>
      </c>
      <c r="H3984" s="133" t="s">
        <v>39</v>
      </c>
      <c r="I3984" s="133"/>
      <c r="J3984" s="133" t="s">
        <v>2526</v>
      </c>
      <c r="K3984" s="133" t="s">
        <v>831</v>
      </c>
      <c r="L3984" s="167"/>
      <c r="M3984" s="48"/>
      <c r="N3984" s="123"/>
    </row>
    <row r="3985" spans="1:14" customFormat="1" x14ac:dyDescent="0.55000000000000004">
      <c r="A3985" s="133" t="s">
        <v>2527</v>
      </c>
      <c r="B3985" s="133" t="s">
        <v>153</v>
      </c>
      <c r="C3985" s="133" t="s">
        <v>156</v>
      </c>
      <c r="D3985" s="133" t="s">
        <v>2994</v>
      </c>
      <c r="E3985" s="138">
        <v>1520</v>
      </c>
      <c r="F3985" s="153" t="s">
        <v>167</v>
      </c>
      <c r="G3985" s="153">
        <v>1</v>
      </c>
      <c r="H3985" s="133" t="s">
        <v>39</v>
      </c>
      <c r="I3985" s="133"/>
      <c r="J3985" s="133" t="s">
        <v>2526</v>
      </c>
      <c r="K3985" s="133" t="s">
        <v>831</v>
      </c>
      <c r="L3985" s="167"/>
      <c r="M3985" s="48"/>
      <c r="N3985" s="123"/>
    </row>
    <row r="3986" spans="1:14" customFormat="1" x14ac:dyDescent="0.55000000000000004">
      <c r="A3986" s="133" t="s">
        <v>2527</v>
      </c>
      <c r="B3986" s="133" t="s">
        <v>154</v>
      </c>
      <c r="C3986" s="133" t="s">
        <v>132</v>
      </c>
      <c r="D3986" s="133" t="s">
        <v>3289</v>
      </c>
      <c r="E3986" s="138">
        <v>1</v>
      </c>
      <c r="F3986" s="153" t="s">
        <v>133</v>
      </c>
      <c r="G3986" s="153">
        <v>1</v>
      </c>
      <c r="H3986" s="133" t="s">
        <v>39</v>
      </c>
      <c r="I3986" s="133"/>
      <c r="J3986" s="133" t="s">
        <v>2526</v>
      </c>
      <c r="K3986" s="133" t="s">
        <v>831</v>
      </c>
      <c r="L3986" s="167"/>
      <c r="M3986" s="48"/>
      <c r="N3986" s="123"/>
    </row>
    <row r="3987" spans="1:14" customFormat="1" x14ac:dyDescent="0.55000000000000004">
      <c r="A3987" s="133" t="s">
        <v>2527</v>
      </c>
      <c r="B3987" s="133" t="s">
        <v>2726</v>
      </c>
      <c r="C3987" s="133" t="s">
        <v>127</v>
      </c>
      <c r="D3987" s="133" t="s">
        <v>3288</v>
      </c>
      <c r="E3987" s="138">
        <v>0.24</v>
      </c>
      <c r="F3987" s="153" t="s">
        <v>135</v>
      </c>
      <c r="G3987" s="153">
        <v>1</v>
      </c>
      <c r="H3987" s="133" t="s">
        <v>39</v>
      </c>
      <c r="I3987" s="133"/>
      <c r="J3987" s="133" t="s">
        <v>2526</v>
      </c>
      <c r="K3987" s="133" t="s">
        <v>831</v>
      </c>
      <c r="L3987" s="167"/>
      <c r="M3987" s="48"/>
      <c r="N3987" s="123"/>
    </row>
    <row r="3988" spans="1:14" customFormat="1" x14ac:dyDescent="0.55000000000000004">
      <c r="A3988" s="133" t="s">
        <v>2527</v>
      </c>
      <c r="B3988" s="133" t="s">
        <v>615</v>
      </c>
      <c r="C3988" s="133" t="s">
        <v>348</v>
      </c>
      <c r="D3988" s="133" t="s">
        <v>3288</v>
      </c>
      <c r="E3988" s="138">
        <v>5.0000000000000001E-4</v>
      </c>
      <c r="F3988" s="153" t="s">
        <v>135</v>
      </c>
      <c r="G3988" s="153">
        <v>1</v>
      </c>
      <c r="H3988" s="133" t="s">
        <v>39</v>
      </c>
      <c r="I3988" s="133"/>
      <c r="J3988" s="133" t="s">
        <v>2526</v>
      </c>
      <c r="K3988" s="133" t="s">
        <v>831</v>
      </c>
      <c r="L3988" s="167"/>
      <c r="M3988" s="48"/>
      <c r="N3988" s="123"/>
    </row>
    <row r="3989" spans="1:14" customFormat="1" x14ac:dyDescent="0.55000000000000004">
      <c r="A3989" s="133" t="s">
        <v>2527</v>
      </c>
      <c r="B3989" s="133" t="s">
        <v>603</v>
      </c>
      <c r="C3989" s="133" t="s">
        <v>348</v>
      </c>
      <c r="D3989" s="133" t="s">
        <v>3288</v>
      </c>
      <c r="E3989" s="138">
        <v>0.01</v>
      </c>
      <c r="F3989" s="153" t="s">
        <v>135</v>
      </c>
      <c r="G3989" s="153">
        <v>1</v>
      </c>
      <c r="H3989" s="133" t="s">
        <v>39</v>
      </c>
      <c r="I3989" s="133"/>
      <c r="J3989" s="133" t="s">
        <v>2526</v>
      </c>
      <c r="K3989" s="133" t="s">
        <v>831</v>
      </c>
      <c r="L3989" s="167"/>
      <c r="M3989" s="48"/>
      <c r="N3989" s="123"/>
    </row>
    <row r="3990" spans="1:14" customFormat="1" x14ac:dyDescent="0.55000000000000004">
      <c r="A3990" s="133" t="s">
        <v>2527</v>
      </c>
      <c r="B3990" s="133" t="s">
        <v>148</v>
      </c>
      <c r="C3990" s="133" t="s">
        <v>348</v>
      </c>
      <c r="D3990" s="133" t="s">
        <v>3288</v>
      </c>
      <c r="E3990" s="138">
        <v>1.9000000000000001E-4</v>
      </c>
      <c r="F3990" s="153" t="s">
        <v>135</v>
      </c>
      <c r="G3990" s="153">
        <v>1</v>
      </c>
      <c r="H3990" s="133" t="s">
        <v>39</v>
      </c>
      <c r="I3990" s="133"/>
      <c r="J3990" s="133" t="s">
        <v>2526</v>
      </c>
      <c r="K3990" s="133" t="s">
        <v>831</v>
      </c>
      <c r="L3990" s="167"/>
      <c r="M3990" s="48"/>
      <c r="N3990" s="123"/>
    </row>
    <row r="3991" spans="1:14" customFormat="1" x14ac:dyDescent="0.55000000000000004">
      <c r="A3991" s="133" t="s">
        <v>2527</v>
      </c>
      <c r="B3991" s="133" t="s">
        <v>3065</v>
      </c>
      <c r="C3991" s="133" t="s">
        <v>348</v>
      </c>
      <c r="D3991" s="133" t="s">
        <v>3288</v>
      </c>
      <c r="E3991" s="138">
        <v>2.5000000000000001E-4</v>
      </c>
      <c r="F3991" s="153" t="s">
        <v>135</v>
      </c>
      <c r="G3991" s="153">
        <v>1</v>
      </c>
      <c r="H3991" s="133" t="s">
        <v>39</v>
      </c>
      <c r="I3991" s="133"/>
      <c r="J3991" s="133" t="s">
        <v>2526</v>
      </c>
      <c r="K3991" s="133" t="s">
        <v>831</v>
      </c>
      <c r="L3991" s="167"/>
      <c r="M3991" s="48"/>
      <c r="N3991" s="123"/>
    </row>
    <row r="3992" spans="1:14" customFormat="1" x14ac:dyDescent="0.55000000000000004">
      <c r="A3992" s="133" t="s">
        <v>2530</v>
      </c>
      <c r="B3992" s="133" t="s">
        <v>3066</v>
      </c>
      <c r="C3992" s="133" t="s">
        <v>121</v>
      </c>
      <c r="D3992" s="133" t="s">
        <v>2682</v>
      </c>
      <c r="E3992" s="138">
        <v>1</v>
      </c>
      <c r="F3992" s="153">
        <v>1</v>
      </c>
      <c r="G3992" s="153">
        <v>1</v>
      </c>
      <c r="H3992" s="133" t="s">
        <v>39</v>
      </c>
      <c r="I3992" s="133"/>
      <c r="J3992" s="133" t="s">
        <v>2529</v>
      </c>
      <c r="K3992" s="133" t="s">
        <v>831</v>
      </c>
      <c r="L3992" s="167"/>
      <c r="M3992" s="48"/>
      <c r="N3992" s="123"/>
    </row>
    <row r="3993" spans="1:14" customFormat="1" x14ac:dyDescent="0.55000000000000004">
      <c r="A3993" s="133" t="s">
        <v>2530</v>
      </c>
      <c r="B3993" s="133" t="s">
        <v>3067</v>
      </c>
      <c r="C3993" s="133" t="s">
        <v>348</v>
      </c>
      <c r="D3993" s="133" t="s">
        <v>3288</v>
      </c>
      <c r="E3993" s="138">
        <v>1</v>
      </c>
      <c r="F3993" s="153" t="s">
        <v>135</v>
      </c>
      <c r="G3993" s="153">
        <v>1</v>
      </c>
      <c r="H3993" s="133" t="s">
        <v>39</v>
      </c>
      <c r="I3993" s="133"/>
      <c r="J3993" s="133" t="s">
        <v>2529</v>
      </c>
      <c r="K3993" s="133" t="s">
        <v>831</v>
      </c>
      <c r="L3993" s="167"/>
      <c r="M3993" s="48"/>
      <c r="N3993" s="123"/>
    </row>
    <row r="3994" spans="1:14" customFormat="1" x14ac:dyDescent="0.55000000000000004">
      <c r="A3994" s="133" t="s">
        <v>2530</v>
      </c>
      <c r="B3994" s="133" t="s">
        <v>508</v>
      </c>
      <c r="C3994" s="133" t="s">
        <v>348</v>
      </c>
      <c r="D3994" s="133" t="s">
        <v>3288</v>
      </c>
      <c r="E3994" s="138">
        <v>1.8E-3</v>
      </c>
      <c r="F3994" s="153" t="s">
        <v>135</v>
      </c>
      <c r="G3994" s="153">
        <v>1</v>
      </c>
      <c r="H3994" s="133" t="s">
        <v>39</v>
      </c>
      <c r="I3994" s="133"/>
      <c r="J3994" s="133" t="s">
        <v>2529</v>
      </c>
      <c r="K3994" s="133" t="s">
        <v>831</v>
      </c>
      <c r="L3994" s="167"/>
      <c r="M3994" s="48"/>
      <c r="N3994" s="123"/>
    </row>
    <row r="3995" spans="1:14" customFormat="1" x14ac:dyDescent="0.55000000000000004">
      <c r="A3995" s="133" t="s">
        <v>2530</v>
      </c>
      <c r="B3995" s="133" t="s">
        <v>153</v>
      </c>
      <c r="C3995" s="133" t="s">
        <v>127</v>
      </c>
      <c r="D3995" s="133" t="s">
        <v>2994</v>
      </c>
      <c r="E3995" s="138">
        <v>8</v>
      </c>
      <c r="F3995" s="153" t="s">
        <v>130</v>
      </c>
      <c r="G3995" s="153">
        <v>1</v>
      </c>
      <c r="H3995" s="133" t="s">
        <v>39</v>
      </c>
      <c r="I3995" s="133"/>
      <c r="J3995" s="133" t="s">
        <v>2529</v>
      </c>
      <c r="K3995" s="133" t="s">
        <v>831</v>
      </c>
      <c r="L3995" s="167"/>
      <c r="M3995" s="48"/>
      <c r="N3995" s="123"/>
    </row>
    <row r="3996" spans="1:14" customFormat="1" x14ac:dyDescent="0.55000000000000004">
      <c r="A3996" s="133" t="s">
        <v>2530</v>
      </c>
      <c r="B3996" s="133" t="s">
        <v>154</v>
      </c>
      <c r="C3996" s="133" t="s">
        <v>348</v>
      </c>
      <c r="D3996" s="133" t="s">
        <v>3288</v>
      </c>
      <c r="E3996" s="138">
        <v>3.8000000000000001E-7</v>
      </c>
      <c r="F3996" s="153" t="s">
        <v>135</v>
      </c>
      <c r="G3996" s="153">
        <v>1</v>
      </c>
      <c r="H3996" s="133" t="s">
        <v>39</v>
      </c>
      <c r="I3996" s="133"/>
      <c r="J3996" s="133" t="s">
        <v>2529</v>
      </c>
      <c r="K3996" s="133" t="s">
        <v>831</v>
      </c>
      <c r="L3996" s="167"/>
      <c r="M3996" s="48"/>
      <c r="N3996" s="123"/>
    </row>
    <row r="3997" spans="1:14" customFormat="1" x14ac:dyDescent="0.55000000000000004">
      <c r="A3997" s="133" t="s">
        <v>2530</v>
      </c>
      <c r="B3997" s="133" t="s">
        <v>3068</v>
      </c>
      <c r="C3997" s="133" t="s">
        <v>348</v>
      </c>
      <c r="D3997" s="133" t="s">
        <v>3288</v>
      </c>
      <c r="E3997" s="138">
        <v>1E-3</v>
      </c>
      <c r="F3997" s="153" t="s">
        <v>135</v>
      </c>
      <c r="G3997" s="153">
        <v>1</v>
      </c>
      <c r="H3997" s="133" t="s">
        <v>39</v>
      </c>
      <c r="I3997" s="133"/>
      <c r="J3997" s="133" t="s">
        <v>2529</v>
      </c>
      <c r="K3997" s="133" t="s">
        <v>831</v>
      </c>
      <c r="L3997" s="167"/>
      <c r="M3997" s="48"/>
      <c r="N3997" s="123"/>
    </row>
    <row r="3998" spans="1:14" customFormat="1" x14ac:dyDescent="0.55000000000000004">
      <c r="A3998" s="133" t="s">
        <v>2530</v>
      </c>
      <c r="B3998" s="133" t="s">
        <v>3069</v>
      </c>
      <c r="C3998" s="133" t="s">
        <v>348</v>
      </c>
      <c r="D3998" s="133" t="s">
        <v>3288</v>
      </c>
      <c r="E3998" s="138">
        <v>0.1</v>
      </c>
      <c r="F3998" s="153" t="s">
        <v>135</v>
      </c>
      <c r="G3998" s="153">
        <v>1</v>
      </c>
      <c r="H3998" s="133" t="s">
        <v>39</v>
      </c>
      <c r="I3998" s="133"/>
      <c r="J3998" s="133" t="s">
        <v>2529</v>
      </c>
      <c r="K3998" s="133" t="s">
        <v>831</v>
      </c>
      <c r="L3998" s="167"/>
      <c r="M3998" s="48"/>
      <c r="N3998" s="123"/>
    </row>
    <row r="3999" spans="1:14" customFormat="1" x14ac:dyDescent="0.55000000000000004">
      <c r="A3999" s="133" t="s">
        <v>2530</v>
      </c>
      <c r="B3999" s="133" t="s">
        <v>1231</v>
      </c>
      <c r="C3999" s="133" t="s">
        <v>348</v>
      </c>
      <c r="D3999" s="133" t="s">
        <v>3288</v>
      </c>
      <c r="E3999" s="138">
        <v>1.2E-4</v>
      </c>
      <c r="F3999" s="153" t="s">
        <v>135</v>
      </c>
      <c r="G3999" s="153">
        <v>1</v>
      </c>
      <c r="H3999" s="133" t="s">
        <v>39</v>
      </c>
      <c r="I3999" s="133"/>
      <c r="J3999" s="133" t="s">
        <v>2529</v>
      </c>
      <c r="K3999" s="133" t="s">
        <v>831</v>
      </c>
      <c r="L3999" s="167"/>
      <c r="M3999" s="48"/>
      <c r="N3999" s="123"/>
    </row>
    <row r="4000" spans="1:14" customFormat="1" x14ac:dyDescent="0.55000000000000004">
      <c r="A4000" s="133" t="s">
        <v>2530</v>
      </c>
      <c r="B4000" s="133" t="s">
        <v>3070</v>
      </c>
      <c r="C4000" s="133" t="s">
        <v>348</v>
      </c>
      <c r="D4000" s="133" t="s">
        <v>3288</v>
      </c>
      <c r="E4000" s="138">
        <v>1.1000000000000001E-6</v>
      </c>
      <c r="F4000" s="153" t="s">
        <v>135</v>
      </c>
      <c r="G4000" s="153">
        <v>1</v>
      </c>
      <c r="H4000" s="133" t="s">
        <v>39</v>
      </c>
      <c r="I4000" s="133"/>
      <c r="J4000" s="133" t="s">
        <v>2529</v>
      </c>
      <c r="K4000" s="133" t="s">
        <v>831</v>
      </c>
      <c r="L4000" s="167"/>
      <c r="M4000" s="48"/>
      <c r="N4000" s="123"/>
    </row>
    <row r="4001" spans="1:14" customFormat="1" x14ac:dyDescent="0.55000000000000004">
      <c r="A4001" s="133" t="s">
        <v>2530</v>
      </c>
      <c r="B4001" s="133" t="s">
        <v>3071</v>
      </c>
      <c r="C4001" s="133" t="s">
        <v>348</v>
      </c>
      <c r="D4001" s="133" t="s">
        <v>3288</v>
      </c>
      <c r="E4001" s="138">
        <v>8.8999999999999995E-6</v>
      </c>
      <c r="F4001" s="153" t="s">
        <v>135</v>
      </c>
      <c r="G4001" s="153">
        <v>1</v>
      </c>
      <c r="H4001" s="133" t="s">
        <v>39</v>
      </c>
      <c r="I4001" s="133"/>
      <c r="J4001" s="133" t="s">
        <v>2529</v>
      </c>
      <c r="K4001" s="133" t="s">
        <v>831</v>
      </c>
      <c r="L4001" s="167"/>
      <c r="M4001" s="48"/>
      <c r="N4001" s="123"/>
    </row>
    <row r="4002" spans="1:14" customFormat="1" x14ac:dyDescent="0.55000000000000004">
      <c r="A4002" s="133" t="s">
        <v>2530</v>
      </c>
      <c r="B4002" s="133" t="s">
        <v>3072</v>
      </c>
      <c r="C4002" s="133" t="s">
        <v>124</v>
      </c>
      <c r="D4002" s="133" t="s">
        <v>3288</v>
      </c>
      <c r="E4002" s="138">
        <v>1.3639999999999999E-2</v>
      </c>
      <c r="F4002" s="153" t="s">
        <v>135</v>
      </c>
      <c r="G4002" s="153">
        <v>1</v>
      </c>
      <c r="H4002" s="133" t="s">
        <v>39</v>
      </c>
      <c r="I4002" s="133"/>
      <c r="J4002" s="133" t="s">
        <v>2529</v>
      </c>
      <c r="K4002" s="133" t="s">
        <v>831</v>
      </c>
      <c r="L4002" s="167"/>
      <c r="M4002" s="48"/>
      <c r="N4002" s="123"/>
    </row>
    <row r="4003" spans="1:14" customFormat="1" x14ac:dyDescent="0.55000000000000004">
      <c r="A4003" s="133" t="s">
        <v>2533</v>
      </c>
      <c r="B4003" s="133" t="s">
        <v>3073</v>
      </c>
      <c r="C4003" s="133" t="s">
        <v>121</v>
      </c>
      <c r="D4003" s="133" t="s">
        <v>2682</v>
      </c>
      <c r="E4003" s="138">
        <v>1</v>
      </c>
      <c r="F4003" s="153">
        <v>1</v>
      </c>
      <c r="G4003" s="153">
        <v>1</v>
      </c>
      <c r="H4003" s="133" t="s">
        <v>39</v>
      </c>
      <c r="I4003" s="133"/>
      <c r="J4003" s="133" t="s">
        <v>2532</v>
      </c>
      <c r="K4003" s="133" t="s">
        <v>831</v>
      </c>
      <c r="L4003" s="167"/>
      <c r="M4003" s="48"/>
      <c r="N4003" s="123"/>
    </row>
    <row r="4004" spans="1:14" customFormat="1" x14ac:dyDescent="0.55000000000000004">
      <c r="A4004" s="133" t="s">
        <v>2533</v>
      </c>
      <c r="B4004" s="133" t="s">
        <v>3074</v>
      </c>
      <c r="C4004" s="133" t="s">
        <v>348</v>
      </c>
      <c r="D4004" s="133" t="s">
        <v>3288</v>
      </c>
      <c r="E4004" s="138">
        <v>1</v>
      </c>
      <c r="F4004" s="153" t="s">
        <v>135</v>
      </c>
      <c r="G4004" s="153">
        <v>1</v>
      </c>
      <c r="H4004" s="133" t="s">
        <v>39</v>
      </c>
      <c r="I4004" s="133"/>
      <c r="J4004" s="133" t="s">
        <v>2532</v>
      </c>
      <c r="K4004" s="133" t="s">
        <v>831</v>
      </c>
      <c r="L4004" s="167"/>
      <c r="M4004" s="48"/>
      <c r="N4004" s="123"/>
    </row>
    <row r="4005" spans="1:14" customFormat="1" x14ac:dyDescent="0.55000000000000004">
      <c r="A4005" s="133" t="s">
        <v>2533</v>
      </c>
      <c r="B4005" s="133" t="s">
        <v>173</v>
      </c>
      <c r="C4005" s="133" t="s">
        <v>348</v>
      </c>
      <c r="D4005" s="133" t="s">
        <v>3288</v>
      </c>
      <c r="E4005" s="138">
        <v>1.48E-6</v>
      </c>
      <c r="F4005" s="153" t="s">
        <v>135</v>
      </c>
      <c r="G4005" s="153">
        <v>1</v>
      </c>
      <c r="H4005" s="133" t="s">
        <v>39</v>
      </c>
      <c r="I4005" s="133"/>
      <c r="J4005" s="133" t="s">
        <v>2532</v>
      </c>
      <c r="K4005" s="133" t="s">
        <v>831</v>
      </c>
      <c r="L4005" s="167"/>
      <c r="M4005" s="48"/>
      <c r="N4005" s="123"/>
    </row>
    <row r="4006" spans="1:14" customFormat="1" x14ac:dyDescent="0.55000000000000004">
      <c r="A4006" s="133" t="s">
        <v>2533</v>
      </c>
      <c r="B4006" s="133" t="s">
        <v>3075</v>
      </c>
      <c r="C4006" s="133" t="s">
        <v>348</v>
      </c>
      <c r="D4006" s="133" t="s">
        <v>3289</v>
      </c>
      <c r="E4006" s="138">
        <v>1.4300000000000001E-4</v>
      </c>
      <c r="F4006" s="153" t="s">
        <v>133</v>
      </c>
      <c r="G4006" s="153">
        <v>1</v>
      </c>
      <c r="H4006" s="133" t="s">
        <v>39</v>
      </c>
      <c r="I4006" s="133"/>
      <c r="J4006" s="133" t="s">
        <v>2532</v>
      </c>
      <c r="K4006" s="133" t="s">
        <v>831</v>
      </c>
      <c r="L4006" s="167"/>
      <c r="M4006" s="48"/>
      <c r="N4006" s="123"/>
    </row>
    <row r="4007" spans="1:14" customFormat="1" x14ac:dyDescent="0.55000000000000004">
      <c r="A4007" s="133" t="s">
        <v>2533</v>
      </c>
      <c r="B4007" s="133" t="s">
        <v>1180</v>
      </c>
      <c r="C4007" s="133" t="s">
        <v>127</v>
      </c>
      <c r="D4007" s="133" t="s">
        <v>2994</v>
      </c>
      <c r="E4007" s="138">
        <v>48.4</v>
      </c>
      <c r="F4007" s="153" t="s">
        <v>167</v>
      </c>
      <c r="G4007" s="153">
        <v>1</v>
      </c>
      <c r="H4007" s="133" t="s">
        <v>39</v>
      </c>
      <c r="I4007" s="133"/>
      <c r="J4007" s="133" t="s">
        <v>2532</v>
      </c>
      <c r="K4007" s="133" t="s">
        <v>831</v>
      </c>
      <c r="L4007" s="167"/>
      <c r="M4007" s="48"/>
      <c r="N4007" s="123"/>
    </row>
    <row r="4008" spans="1:14" customFormat="1" x14ac:dyDescent="0.55000000000000004">
      <c r="A4008" s="133" t="s">
        <v>2533</v>
      </c>
      <c r="B4008" s="133" t="s">
        <v>2592</v>
      </c>
      <c r="C4008" s="133" t="s">
        <v>127</v>
      </c>
      <c r="D4008" s="133" t="s">
        <v>2994</v>
      </c>
      <c r="E4008" s="138">
        <v>1.5000000000000001E-2</v>
      </c>
      <c r="F4008" s="153" t="s">
        <v>130</v>
      </c>
      <c r="G4008" s="153">
        <v>1</v>
      </c>
      <c r="H4008" s="133" t="s">
        <v>39</v>
      </c>
      <c r="I4008" s="133"/>
      <c r="J4008" s="133" t="s">
        <v>2532</v>
      </c>
      <c r="K4008" s="133" t="s">
        <v>831</v>
      </c>
      <c r="L4008" s="167"/>
      <c r="M4008" s="48"/>
      <c r="N4008" s="123"/>
    </row>
    <row r="4009" spans="1:14" customFormat="1" x14ac:dyDescent="0.55000000000000004">
      <c r="A4009" s="133" t="s">
        <v>2533</v>
      </c>
      <c r="B4009" s="133" t="s">
        <v>3076</v>
      </c>
      <c r="C4009" s="133" t="s">
        <v>348</v>
      </c>
      <c r="D4009" s="133" t="s">
        <v>3288</v>
      </c>
      <c r="E4009" s="138">
        <v>8.4900000000000004E-5</v>
      </c>
      <c r="F4009" s="153" t="s">
        <v>135</v>
      </c>
      <c r="G4009" s="153">
        <v>1</v>
      </c>
      <c r="H4009" s="133" t="s">
        <v>39</v>
      </c>
      <c r="I4009" s="133"/>
      <c r="J4009" s="133" t="s">
        <v>2532</v>
      </c>
      <c r="K4009" s="133" t="s">
        <v>831</v>
      </c>
      <c r="L4009" s="167"/>
      <c r="M4009" s="48"/>
      <c r="N4009" s="123"/>
    </row>
    <row r="4010" spans="1:14" customFormat="1" x14ac:dyDescent="0.55000000000000004">
      <c r="A4010" s="133" t="s">
        <v>2533</v>
      </c>
      <c r="B4010" s="133" t="s">
        <v>3077</v>
      </c>
      <c r="C4010" s="133" t="s">
        <v>348</v>
      </c>
      <c r="D4010" s="133" t="s">
        <v>3288</v>
      </c>
      <c r="E4010" s="138">
        <v>0.16</v>
      </c>
      <c r="F4010" s="153" t="s">
        <v>135</v>
      </c>
      <c r="G4010" s="153">
        <v>1</v>
      </c>
      <c r="H4010" s="133" t="s">
        <v>39</v>
      </c>
      <c r="I4010" s="133"/>
      <c r="J4010" s="133" t="s">
        <v>2532</v>
      </c>
      <c r="K4010" s="133" t="s">
        <v>831</v>
      </c>
      <c r="L4010" s="167"/>
      <c r="M4010" s="48"/>
      <c r="N4010" s="123"/>
    </row>
    <row r="4011" spans="1:14" customFormat="1" x14ac:dyDescent="0.55000000000000004">
      <c r="A4011" s="133" t="s">
        <v>2533</v>
      </c>
      <c r="B4011" s="133" t="s">
        <v>1089</v>
      </c>
      <c r="C4011" s="133" t="s">
        <v>127</v>
      </c>
      <c r="D4011" s="133" t="s">
        <v>2994</v>
      </c>
      <c r="E4011" s="138">
        <v>1.61</v>
      </c>
      <c r="F4011" s="153" t="s">
        <v>167</v>
      </c>
      <c r="G4011" s="153">
        <v>1</v>
      </c>
      <c r="H4011" s="133" t="s">
        <v>39</v>
      </c>
      <c r="I4011" s="133"/>
      <c r="J4011" s="133" t="s">
        <v>2532</v>
      </c>
      <c r="K4011" s="133" t="s">
        <v>831</v>
      </c>
      <c r="L4011" s="167"/>
      <c r="M4011" s="48"/>
      <c r="N4011" s="123"/>
    </row>
    <row r="4012" spans="1:14" customFormat="1" x14ac:dyDescent="0.55000000000000004">
      <c r="A4012" s="133" t="s">
        <v>2533</v>
      </c>
      <c r="B4012" s="133" t="s">
        <v>3078</v>
      </c>
      <c r="C4012" s="133" t="s">
        <v>348</v>
      </c>
      <c r="D4012" s="133" t="s">
        <v>3288</v>
      </c>
      <c r="E4012" s="138">
        <v>2.3900000000000002E-3</v>
      </c>
      <c r="F4012" s="153" t="s">
        <v>135</v>
      </c>
      <c r="G4012" s="153">
        <v>1</v>
      </c>
      <c r="H4012" s="133" t="s">
        <v>39</v>
      </c>
      <c r="I4012" s="133"/>
      <c r="J4012" s="133" t="s">
        <v>2532</v>
      </c>
      <c r="K4012" s="133" t="s">
        <v>831</v>
      </c>
      <c r="L4012" s="167"/>
      <c r="M4012" s="48"/>
      <c r="N4012" s="123"/>
    </row>
    <row r="4013" spans="1:14" customFormat="1" x14ac:dyDescent="0.55000000000000004">
      <c r="A4013" s="133" t="s">
        <v>2533</v>
      </c>
      <c r="B4013" s="133" t="s">
        <v>3079</v>
      </c>
      <c r="C4013" s="133" t="s">
        <v>348</v>
      </c>
      <c r="D4013" s="133" t="s">
        <v>3288</v>
      </c>
      <c r="E4013" s="138">
        <v>2.6899999999999998E-4</v>
      </c>
      <c r="F4013" s="153" t="s">
        <v>135</v>
      </c>
      <c r="G4013" s="153">
        <v>1</v>
      </c>
      <c r="H4013" s="133" t="s">
        <v>39</v>
      </c>
      <c r="I4013" s="133"/>
      <c r="J4013" s="133" t="s">
        <v>2532</v>
      </c>
      <c r="K4013" s="133" t="s">
        <v>831</v>
      </c>
      <c r="L4013" s="167"/>
      <c r="M4013" s="48"/>
      <c r="N4013" s="123"/>
    </row>
    <row r="4014" spans="1:14" customFormat="1" x14ac:dyDescent="0.55000000000000004">
      <c r="A4014" s="133" t="s">
        <v>2533</v>
      </c>
      <c r="B4014" s="133" t="s">
        <v>3080</v>
      </c>
      <c r="C4014" s="133" t="s">
        <v>348</v>
      </c>
      <c r="D4014" s="133" t="s">
        <v>3288</v>
      </c>
      <c r="E4014" s="138">
        <v>2.2399999999999999E-7</v>
      </c>
      <c r="F4014" s="153" t="s">
        <v>135</v>
      </c>
      <c r="G4014" s="153">
        <v>1</v>
      </c>
      <c r="H4014" s="133" t="s">
        <v>39</v>
      </c>
      <c r="I4014" s="133"/>
      <c r="J4014" s="133" t="s">
        <v>2532</v>
      </c>
      <c r="K4014" s="133" t="s">
        <v>831</v>
      </c>
      <c r="L4014" s="167"/>
      <c r="M4014" s="48"/>
      <c r="N4014" s="123"/>
    </row>
    <row r="4015" spans="1:14" customFormat="1" x14ac:dyDescent="0.55000000000000004">
      <c r="A4015" s="133" t="s">
        <v>2533</v>
      </c>
      <c r="B4015" s="133" t="s">
        <v>3081</v>
      </c>
      <c r="C4015" s="133" t="s">
        <v>348</v>
      </c>
      <c r="D4015" s="133" t="s">
        <v>3288</v>
      </c>
      <c r="E4015" s="138">
        <v>2.2399999999999999E-7</v>
      </c>
      <c r="F4015" s="153" t="s">
        <v>135</v>
      </c>
      <c r="G4015" s="153">
        <v>1</v>
      </c>
      <c r="H4015" s="133" t="s">
        <v>39</v>
      </c>
      <c r="I4015" s="133"/>
      <c r="J4015" s="133" t="s">
        <v>2532</v>
      </c>
      <c r="K4015" s="133" t="s">
        <v>831</v>
      </c>
      <c r="L4015" s="167"/>
      <c r="M4015" s="48"/>
      <c r="N4015" s="123"/>
    </row>
    <row r="4016" spans="1:14" customFormat="1" x14ac:dyDescent="0.55000000000000004">
      <c r="A4016" s="133" t="s">
        <v>2533</v>
      </c>
      <c r="B4016" s="133" t="s">
        <v>3082</v>
      </c>
      <c r="C4016" s="133" t="s">
        <v>348</v>
      </c>
      <c r="D4016" s="133" t="s">
        <v>3288</v>
      </c>
      <c r="E4016" s="138">
        <v>8.7199999999999995E-6</v>
      </c>
      <c r="F4016" s="153" t="s">
        <v>135</v>
      </c>
      <c r="G4016" s="153">
        <v>1</v>
      </c>
      <c r="H4016" s="133" t="s">
        <v>39</v>
      </c>
      <c r="I4016" s="133"/>
      <c r="J4016" s="133" t="s">
        <v>2532</v>
      </c>
      <c r="K4016" s="133" t="s">
        <v>831</v>
      </c>
      <c r="L4016" s="167"/>
      <c r="M4016" s="48"/>
      <c r="N4016" s="123"/>
    </row>
    <row r="4017" spans="1:14" customFormat="1" x14ac:dyDescent="0.55000000000000004">
      <c r="A4017" s="133" t="s">
        <v>2533</v>
      </c>
      <c r="B4017" s="133" t="s">
        <v>2829</v>
      </c>
      <c r="C4017" s="133" t="s">
        <v>348</v>
      </c>
      <c r="D4017" s="133" t="s">
        <v>3288</v>
      </c>
      <c r="E4017" s="138">
        <v>6.69E-5</v>
      </c>
      <c r="F4017" s="153" t="s">
        <v>135</v>
      </c>
      <c r="G4017" s="153">
        <v>1</v>
      </c>
      <c r="H4017" s="133" t="s">
        <v>39</v>
      </c>
      <c r="I4017" s="133"/>
      <c r="J4017" s="133" t="s">
        <v>2532</v>
      </c>
      <c r="K4017" s="133" t="s">
        <v>831</v>
      </c>
      <c r="L4017" s="167"/>
      <c r="M4017" s="48"/>
      <c r="N4017" s="123"/>
    </row>
    <row r="4018" spans="1:14" customFormat="1" x14ac:dyDescent="0.55000000000000004">
      <c r="A4018" s="133" t="s">
        <v>2533</v>
      </c>
      <c r="B4018" s="133" t="s">
        <v>3083</v>
      </c>
      <c r="C4018" s="133" t="s">
        <v>348</v>
      </c>
      <c r="D4018" s="133" t="s">
        <v>3288</v>
      </c>
      <c r="E4018" s="138">
        <v>3.0400000000000001E-6</v>
      </c>
      <c r="F4018" s="153" t="s">
        <v>135</v>
      </c>
      <c r="G4018" s="153">
        <v>1</v>
      </c>
      <c r="H4018" s="133" t="s">
        <v>39</v>
      </c>
      <c r="I4018" s="133"/>
      <c r="J4018" s="133" t="s">
        <v>2532</v>
      </c>
      <c r="K4018" s="133" t="s">
        <v>831</v>
      </c>
      <c r="L4018" s="167"/>
      <c r="M4018" s="48"/>
      <c r="N4018" s="123"/>
    </row>
    <row r="4019" spans="1:14" customFormat="1" x14ac:dyDescent="0.55000000000000004">
      <c r="A4019" s="133" t="s">
        <v>2533</v>
      </c>
      <c r="B4019" s="133" t="s">
        <v>3084</v>
      </c>
      <c r="C4019" s="133" t="s">
        <v>348</v>
      </c>
      <c r="D4019" s="133" t="s">
        <v>3288</v>
      </c>
      <c r="E4019" s="138">
        <v>8.9400000000000006E-8</v>
      </c>
      <c r="F4019" s="153" t="s">
        <v>135</v>
      </c>
      <c r="G4019" s="153">
        <v>1</v>
      </c>
      <c r="H4019" s="133" t="s">
        <v>39</v>
      </c>
      <c r="I4019" s="133"/>
      <c r="J4019" s="133" t="s">
        <v>2532</v>
      </c>
      <c r="K4019" s="133" t="s">
        <v>831</v>
      </c>
      <c r="L4019" s="167"/>
      <c r="M4019" s="48"/>
      <c r="N4019" s="123"/>
    </row>
    <row r="4020" spans="1:14" customFormat="1" x14ac:dyDescent="0.55000000000000004">
      <c r="A4020" s="133" t="s">
        <v>2533</v>
      </c>
      <c r="B4020" s="133" t="s">
        <v>3085</v>
      </c>
      <c r="C4020" s="133" t="s">
        <v>348</v>
      </c>
      <c r="D4020" s="133" t="s">
        <v>3288</v>
      </c>
      <c r="E4020" s="138">
        <v>1.8600000000000001E-3</v>
      </c>
      <c r="F4020" s="153" t="s">
        <v>135</v>
      </c>
      <c r="G4020" s="153">
        <v>1</v>
      </c>
      <c r="H4020" s="133" t="s">
        <v>39</v>
      </c>
      <c r="I4020" s="133"/>
      <c r="J4020" s="133" t="s">
        <v>2532</v>
      </c>
      <c r="K4020" s="133" t="s">
        <v>831</v>
      </c>
      <c r="L4020" s="167"/>
      <c r="M4020" s="48"/>
      <c r="N4020" s="123"/>
    </row>
    <row r="4021" spans="1:14" customFormat="1" x14ac:dyDescent="0.55000000000000004">
      <c r="A4021" s="133" t="s">
        <v>2533</v>
      </c>
      <c r="B4021" s="133" t="s">
        <v>3086</v>
      </c>
      <c r="C4021" s="133" t="s">
        <v>124</v>
      </c>
      <c r="D4021" s="133" t="s">
        <v>3288</v>
      </c>
      <c r="E4021" s="138">
        <v>1.340000838E-2</v>
      </c>
      <c r="F4021" s="153" t="s">
        <v>135</v>
      </c>
      <c r="G4021" s="153">
        <v>1</v>
      </c>
      <c r="H4021" s="133" t="s">
        <v>39</v>
      </c>
      <c r="I4021" s="133"/>
      <c r="J4021" s="133" t="s">
        <v>2532</v>
      </c>
      <c r="K4021" s="133" t="s">
        <v>831</v>
      </c>
      <c r="L4021" s="167"/>
      <c r="M4021" s="48"/>
      <c r="N4021" s="123"/>
    </row>
    <row r="4022" spans="1:14" customFormat="1" x14ac:dyDescent="0.55000000000000004">
      <c r="A4022" s="133" t="s">
        <v>2533</v>
      </c>
      <c r="B4022" s="133" t="s">
        <v>3087</v>
      </c>
      <c r="C4022" s="133" t="s">
        <v>124</v>
      </c>
      <c r="D4022" s="133" t="s">
        <v>3288</v>
      </c>
      <c r="E4022" s="138">
        <v>6.1500000000000001E-17</v>
      </c>
      <c r="F4022" s="153" t="s">
        <v>135</v>
      </c>
      <c r="G4022" s="153">
        <v>1</v>
      </c>
      <c r="H4022" s="133" t="s">
        <v>39</v>
      </c>
      <c r="I4022" s="133"/>
      <c r="J4022" s="133" t="s">
        <v>2532</v>
      </c>
      <c r="K4022" s="133" t="s">
        <v>831</v>
      </c>
      <c r="L4022" s="167"/>
      <c r="M4022" s="48"/>
      <c r="N4022" s="123"/>
    </row>
    <row r="4023" spans="1:14" customFormat="1" x14ac:dyDescent="0.55000000000000004">
      <c r="A4023" s="133" t="s">
        <v>2533</v>
      </c>
      <c r="B4023" s="133" t="s">
        <v>3088</v>
      </c>
      <c r="C4023" s="133" t="s">
        <v>124</v>
      </c>
      <c r="D4023" s="133" t="s">
        <v>3288</v>
      </c>
      <c r="E4023" s="138">
        <v>5.8601159999999998E-9</v>
      </c>
      <c r="F4023" s="153" t="s">
        <v>135</v>
      </c>
      <c r="G4023" s="153">
        <v>1</v>
      </c>
      <c r="H4023" s="133" t="s">
        <v>39</v>
      </c>
      <c r="I4023" s="133"/>
      <c r="J4023" s="133" t="s">
        <v>2532</v>
      </c>
      <c r="K4023" s="133" t="s">
        <v>831</v>
      </c>
      <c r="L4023" s="167"/>
      <c r="M4023" s="48"/>
      <c r="N4023" s="123"/>
    </row>
    <row r="4024" spans="1:14" customFormat="1" x14ac:dyDescent="0.55000000000000004">
      <c r="A4024" s="133" t="s">
        <v>2533</v>
      </c>
      <c r="B4024" s="133" t="s">
        <v>3089</v>
      </c>
      <c r="C4024" s="133" t="s">
        <v>124</v>
      </c>
      <c r="D4024" s="133" t="s">
        <v>3288</v>
      </c>
      <c r="E4024" s="138">
        <v>4.3642899999999997E-7</v>
      </c>
      <c r="F4024" s="153" t="s">
        <v>135</v>
      </c>
      <c r="G4024" s="153">
        <v>1</v>
      </c>
      <c r="H4024" s="133" t="s">
        <v>39</v>
      </c>
      <c r="I4024" s="133"/>
      <c r="J4024" s="133" t="s">
        <v>2532</v>
      </c>
      <c r="K4024" s="133" t="s">
        <v>831</v>
      </c>
      <c r="L4024" s="167"/>
      <c r="M4024" s="48"/>
      <c r="N4024" s="123"/>
    </row>
    <row r="4025" spans="1:14" customFormat="1" x14ac:dyDescent="0.55000000000000004">
      <c r="A4025" s="133" t="s">
        <v>2533</v>
      </c>
      <c r="B4025" s="133" t="s">
        <v>3090</v>
      </c>
      <c r="C4025" s="133" t="s">
        <v>124</v>
      </c>
      <c r="D4025" s="133" t="s">
        <v>3288</v>
      </c>
      <c r="E4025" s="138">
        <v>3.77E-8</v>
      </c>
      <c r="F4025" s="153" t="s">
        <v>135</v>
      </c>
      <c r="G4025" s="153">
        <v>1</v>
      </c>
      <c r="H4025" s="133" t="s">
        <v>39</v>
      </c>
      <c r="I4025" s="133"/>
      <c r="J4025" s="133" t="s">
        <v>2532</v>
      </c>
      <c r="K4025" s="133" t="s">
        <v>831</v>
      </c>
      <c r="L4025" s="167"/>
      <c r="M4025" s="48"/>
      <c r="N4025" s="123"/>
    </row>
    <row r="4026" spans="1:14" customFormat="1" x14ac:dyDescent="0.55000000000000004">
      <c r="A4026" s="133" t="s">
        <v>2533</v>
      </c>
      <c r="B4026" s="133" t="s">
        <v>1091</v>
      </c>
      <c r="C4026" s="133" t="s">
        <v>124</v>
      </c>
      <c r="D4026" s="133" t="s">
        <v>2994</v>
      </c>
      <c r="E4026" s="138">
        <v>6.0203579999999997E-7</v>
      </c>
      <c r="F4026" s="153" t="s">
        <v>167</v>
      </c>
      <c r="G4026" s="153">
        <v>1</v>
      </c>
      <c r="H4026" s="133" t="s">
        <v>39</v>
      </c>
      <c r="I4026" s="133"/>
      <c r="J4026" s="133" t="s">
        <v>2532</v>
      </c>
      <c r="K4026" s="133" t="s">
        <v>831</v>
      </c>
      <c r="L4026" s="167"/>
      <c r="M4026" s="48"/>
      <c r="N4026" s="123"/>
    </row>
    <row r="4027" spans="1:14" customFormat="1" x14ac:dyDescent="0.55000000000000004">
      <c r="A4027" s="133" t="s">
        <v>2533</v>
      </c>
      <c r="B4027" s="133" t="s">
        <v>3091</v>
      </c>
      <c r="C4027" s="133" t="s">
        <v>124</v>
      </c>
      <c r="D4027" s="133" t="s">
        <v>3288</v>
      </c>
      <c r="E4027" s="138">
        <v>0.182000298</v>
      </c>
      <c r="F4027" s="153" t="s">
        <v>135</v>
      </c>
      <c r="G4027" s="153">
        <v>1</v>
      </c>
      <c r="H4027" s="133" t="s">
        <v>39</v>
      </c>
      <c r="I4027" s="133"/>
      <c r="J4027" s="133" t="s">
        <v>2532</v>
      </c>
      <c r="K4027" s="133" t="s">
        <v>831</v>
      </c>
      <c r="L4027" s="167"/>
      <c r="M4027" s="48"/>
      <c r="N4027" s="123"/>
    </row>
    <row r="4028" spans="1:14" customFormat="1" x14ac:dyDescent="0.55000000000000004">
      <c r="A4028" s="133" t="s">
        <v>2533</v>
      </c>
      <c r="B4028" s="133" t="s">
        <v>3092</v>
      </c>
      <c r="C4028" s="133" t="s">
        <v>124</v>
      </c>
      <c r="D4028" s="133" t="s">
        <v>3288</v>
      </c>
      <c r="E4028" s="138">
        <v>5.7299999999999996E-7</v>
      </c>
      <c r="F4028" s="153" t="s">
        <v>135</v>
      </c>
      <c r="G4028" s="153">
        <v>1</v>
      </c>
      <c r="H4028" s="133" t="s">
        <v>39</v>
      </c>
      <c r="I4028" s="133"/>
      <c r="J4028" s="133" t="s">
        <v>2532</v>
      </c>
      <c r="K4028" s="133" t="s">
        <v>831</v>
      </c>
      <c r="L4028" s="167"/>
      <c r="M4028" s="48"/>
      <c r="N4028" s="123"/>
    </row>
    <row r="4029" spans="1:14" customFormat="1" x14ac:dyDescent="0.55000000000000004">
      <c r="A4029" s="133" t="s">
        <v>2533</v>
      </c>
      <c r="B4029" s="133" t="s">
        <v>3093</v>
      </c>
      <c r="C4029" s="133" t="s">
        <v>124</v>
      </c>
      <c r="D4029" s="133" t="s">
        <v>3288</v>
      </c>
      <c r="E4029" s="138">
        <v>3.4899999999999997E-11</v>
      </c>
      <c r="F4029" s="153" t="s">
        <v>135</v>
      </c>
      <c r="G4029" s="153">
        <v>1</v>
      </c>
      <c r="H4029" s="133" t="s">
        <v>39</v>
      </c>
      <c r="I4029" s="133"/>
      <c r="J4029" s="133" t="s">
        <v>2532</v>
      </c>
      <c r="K4029" s="133" t="s">
        <v>831</v>
      </c>
      <c r="L4029" s="167"/>
      <c r="M4029" s="48"/>
      <c r="N4029" s="123"/>
    </row>
    <row r="4030" spans="1:14" customFormat="1" x14ac:dyDescent="0.55000000000000004">
      <c r="A4030" s="133" t="s">
        <v>2533</v>
      </c>
      <c r="B4030" s="133" t="s">
        <v>3094</v>
      </c>
      <c r="C4030" s="133" t="s">
        <v>124</v>
      </c>
      <c r="D4030" s="133" t="s">
        <v>3288</v>
      </c>
      <c r="E4030" s="138">
        <v>3.0500000000000001E-12</v>
      </c>
      <c r="F4030" s="153" t="s">
        <v>135</v>
      </c>
      <c r="G4030" s="153">
        <v>1</v>
      </c>
      <c r="H4030" s="133" t="s">
        <v>39</v>
      </c>
      <c r="I4030" s="133"/>
      <c r="J4030" s="133" t="s">
        <v>2532</v>
      </c>
      <c r="K4030" s="133" t="s">
        <v>831</v>
      </c>
      <c r="L4030" s="167"/>
      <c r="M4030" s="48"/>
      <c r="N4030" s="123"/>
    </row>
    <row r="4031" spans="1:14" customFormat="1" x14ac:dyDescent="0.55000000000000004">
      <c r="A4031" s="133" t="s">
        <v>2533</v>
      </c>
      <c r="B4031" s="133" t="s">
        <v>3095</v>
      </c>
      <c r="C4031" s="133" t="s">
        <v>124</v>
      </c>
      <c r="D4031" s="133" t="s">
        <v>3288</v>
      </c>
      <c r="E4031" s="138">
        <v>6.3500000000000006E-8</v>
      </c>
      <c r="F4031" s="153" t="s">
        <v>135</v>
      </c>
      <c r="G4031" s="153">
        <v>1</v>
      </c>
      <c r="H4031" s="133" t="s">
        <v>39</v>
      </c>
      <c r="I4031" s="133"/>
      <c r="J4031" s="133" t="s">
        <v>2532</v>
      </c>
      <c r="K4031" s="133" t="s">
        <v>831</v>
      </c>
      <c r="L4031" s="167"/>
      <c r="M4031" s="48"/>
      <c r="N4031" s="123"/>
    </row>
    <row r="4032" spans="1:14" customFormat="1" x14ac:dyDescent="0.55000000000000004">
      <c r="A4032" s="133" t="s">
        <v>2533</v>
      </c>
      <c r="B4032" s="133" t="s">
        <v>2955</v>
      </c>
      <c r="C4032" s="133" t="s">
        <v>124</v>
      </c>
      <c r="D4032" s="133" t="s">
        <v>3288</v>
      </c>
      <c r="E4032" s="138">
        <v>1.7300071099999999E-6</v>
      </c>
      <c r="F4032" s="153" t="s">
        <v>135</v>
      </c>
      <c r="G4032" s="153">
        <v>1</v>
      </c>
      <c r="H4032" s="133" t="s">
        <v>39</v>
      </c>
      <c r="I4032" s="133"/>
      <c r="J4032" s="133" t="s">
        <v>2532</v>
      </c>
      <c r="K4032" s="133" t="s">
        <v>831</v>
      </c>
      <c r="L4032" s="167"/>
      <c r="M4032" s="48"/>
      <c r="N4032" s="123"/>
    </row>
    <row r="4033" spans="1:14" customFormat="1" x14ac:dyDescent="0.55000000000000004">
      <c r="A4033" s="133" t="s">
        <v>2533</v>
      </c>
      <c r="B4033" s="133" t="s">
        <v>3096</v>
      </c>
      <c r="C4033" s="133" t="s">
        <v>124</v>
      </c>
      <c r="D4033" s="133" t="s">
        <v>3288</v>
      </c>
      <c r="E4033" s="138">
        <v>1.5900000000000001E-7</v>
      </c>
      <c r="F4033" s="153" t="s">
        <v>135</v>
      </c>
      <c r="G4033" s="153">
        <v>1</v>
      </c>
      <c r="H4033" s="133" t="s">
        <v>39</v>
      </c>
      <c r="I4033" s="133"/>
      <c r="J4033" s="133" t="s">
        <v>2532</v>
      </c>
      <c r="K4033" s="133" t="s">
        <v>831</v>
      </c>
      <c r="L4033" s="167"/>
      <c r="M4033" s="48"/>
      <c r="N4033" s="123"/>
    </row>
    <row r="4034" spans="1:14" customFormat="1" x14ac:dyDescent="0.55000000000000004">
      <c r="A4034" s="133" t="s">
        <v>2533</v>
      </c>
      <c r="B4034" s="133" t="s">
        <v>1092</v>
      </c>
      <c r="C4034" s="133" t="s">
        <v>124</v>
      </c>
      <c r="D4034" s="133" t="s">
        <v>3288</v>
      </c>
      <c r="E4034" s="138">
        <v>3.8600002700000007E-6</v>
      </c>
      <c r="F4034" s="153" t="s">
        <v>135</v>
      </c>
      <c r="G4034" s="153">
        <v>1</v>
      </c>
      <c r="H4034" s="133" t="s">
        <v>39</v>
      </c>
      <c r="I4034" s="133"/>
      <c r="J4034" s="133" t="s">
        <v>2532</v>
      </c>
      <c r="K4034" s="133" t="s">
        <v>831</v>
      </c>
      <c r="L4034" s="167"/>
      <c r="M4034" s="48"/>
      <c r="N4034" s="123"/>
    </row>
    <row r="4035" spans="1:14" customFormat="1" x14ac:dyDescent="0.55000000000000004">
      <c r="A4035" s="133" t="s">
        <v>2533</v>
      </c>
      <c r="B4035" s="133" t="s">
        <v>3097</v>
      </c>
      <c r="C4035" s="133" t="s">
        <v>124</v>
      </c>
      <c r="D4035" s="133" t="s">
        <v>3288</v>
      </c>
      <c r="E4035" s="138">
        <v>1.4600000000000001E-7</v>
      </c>
      <c r="F4035" s="153" t="s">
        <v>135</v>
      </c>
      <c r="G4035" s="153">
        <v>1</v>
      </c>
      <c r="H4035" s="133" t="s">
        <v>39</v>
      </c>
      <c r="I4035" s="133"/>
      <c r="J4035" s="133" t="s">
        <v>2532</v>
      </c>
      <c r="K4035" s="133" t="s">
        <v>831</v>
      </c>
      <c r="L4035" s="167"/>
      <c r="M4035" s="48"/>
      <c r="N4035" s="123"/>
    </row>
    <row r="4036" spans="1:14" customFormat="1" x14ac:dyDescent="0.55000000000000004">
      <c r="A4036" s="133" t="s">
        <v>2533</v>
      </c>
      <c r="B4036" s="133" t="s">
        <v>3098</v>
      </c>
      <c r="C4036" s="133" t="s">
        <v>124</v>
      </c>
      <c r="D4036" s="133" t="s">
        <v>2994</v>
      </c>
      <c r="E4036" s="138">
        <v>3.3500000000000001E-3</v>
      </c>
      <c r="F4036" s="153" t="s">
        <v>167</v>
      </c>
      <c r="G4036" s="153">
        <v>1</v>
      </c>
      <c r="H4036" s="133" t="s">
        <v>39</v>
      </c>
      <c r="I4036" s="133"/>
      <c r="J4036" s="133" t="s">
        <v>2532</v>
      </c>
      <c r="K4036" s="133" t="s">
        <v>831</v>
      </c>
      <c r="L4036" s="167"/>
      <c r="M4036" s="48"/>
      <c r="N4036" s="123"/>
    </row>
    <row r="4037" spans="1:14" customFormat="1" x14ac:dyDescent="0.55000000000000004">
      <c r="A4037" s="133" t="s">
        <v>2533</v>
      </c>
      <c r="B4037" s="133" t="s">
        <v>3099</v>
      </c>
      <c r="C4037" s="133" t="s">
        <v>124</v>
      </c>
      <c r="D4037" s="133" t="s">
        <v>3288</v>
      </c>
      <c r="E4037" s="138">
        <v>3.5199999999999999E-4</v>
      </c>
      <c r="F4037" s="153" t="s">
        <v>135</v>
      </c>
      <c r="G4037" s="153">
        <v>1</v>
      </c>
      <c r="H4037" s="133" t="s">
        <v>39</v>
      </c>
      <c r="I4037" s="133"/>
      <c r="J4037" s="133" t="s">
        <v>2532</v>
      </c>
      <c r="K4037" s="133" t="s">
        <v>831</v>
      </c>
      <c r="L4037" s="167"/>
      <c r="M4037" s="48"/>
      <c r="N4037" s="123"/>
    </row>
    <row r="4038" spans="1:14" customFormat="1" x14ac:dyDescent="0.55000000000000004">
      <c r="A4038" s="133" t="s">
        <v>2533</v>
      </c>
      <c r="B4038" s="133" t="s">
        <v>3100</v>
      </c>
      <c r="C4038" s="133" t="s">
        <v>124</v>
      </c>
      <c r="D4038" s="133" t="s">
        <v>3288</v>
      </c>
      <c r="E4038" s="138">
        <v>1.0000001729999999E-2</v>
      </c>
      <c r="F4038" s="153" t="s">
        <v>135</v>
      </c>
      <c r="G4038" s="153">
        <v>1</v>
      </c>
      <c r="H4038" s="133" t="s">
        <v>39</v>
      </c>
      <c r="I4038" s="133"/>
      <c r="J4038" s="133" t="s">
        <v>2532</v>
      </c>
      <c r="K4038" s="133" t="s">
        <v>831</v>
      </c>
      <c r="L4038" s="167"/>
      <c r="M4038" s="48"/>
      <c r="N4038" s="123"/>
    </row>
    <row r="4039" spans="1:14" customFormat="1" x14ac:dyDescent="0.55000000000000004">
      <c r="A4039" s="133" t="s">
        <v>2533</v>
      </c>
      <c r="B4039" s="133" t="s">
        <v>1095</v>
      </c>
      <c r="C4039" s="133" t="s">
        <v>124</v>
      </c>
      <c r="D4039" s="133" t="s">
        <v>3288</v>
      </c>
      <c r="E4039" s="138">
        <v>2.940000288E-5</v>
      </c>
      <c r="F4039" s="153" t="s">
        <v>135</v>
      </c>
      <c r="G4039" s="153">
        <v>1</v>
      </c>
      <c r="H4039" s="133" t="s">
        <v>39</v>
      </c>
      <c r="I4039" s="133"/>
      <c r="J4039" s="133" t="s">
        <v>2532</v>
      </c>
      <c r="K4039" s="133" t="s">
        <v>831</v>
      </c>
      <c r="L4039" s="167"/>
      <c r="M4039" s="48"/>
      <c r="N4039" s="123"/>
    </row>
    <row r="4040" spans="1:14" customFormat="1" x14ac:dyDescent="0.55000000000000004">
      <c r="A4040" s="133" t="s">
        <v>2533</v>
      </c>
      <c r="B4040" s="133" t="s">
        <v>3101</v>
      </c>
      <c r="C4040" s="133" t="s">
        <v>124</v>
      </c>
      <c r="D4040" s="133" t="s">
        <v>3288</v>
      </c>
      <c r="E4040" s="138">
        <v>1.7900281999999999E-4</v>
      </c>
      <c r="F4040" s="153" t="s">
        <v>135</v>
      </c>
      <c r="G4040" s="153">
        <v>1</v>
      </c>
      <c r="H4040" s="133" t="s">
        <v>39</v>
      </c>
      <c r="I4040" s="133"/>
      <c r="J4040" s="133" t="s">
        <v>2532</v>
      </c>
      <c r="K4040" s="133" t="s">
        <v>831</v>
      </c>
      <c r="L4040" s="167"/>
      <c r="M4040" s="48"/>
      <c r="N4040" s="123"/>
    </row>
    <row r="4041" spans="1:14" customFormat="1" x14ac:dyDescent="0.55000000000000004">
      <c r="A4041" s="133" t="s">
        <v>2533</v>
      </c>
      <c r="B4041" s="133" t="s">
        <v>1096</v>
      </c>
      <c r="C4041" s="133" t="s">
        <v>124</v>
      </c>
      <c r="D4041" s="133" t="s">
        <v>3288</v>
      </c>
      <c r="E4041" s="138">
        <v>1.70235E-8</v>
      </c>
      <c r="F4041" s="153" t="s">
        <v>135</v>
      </c>
      <c r="G4041" s="153">
        <v>1</v>
      </c>
      <c r="H4041" s="133" t="s">
        <v>39</v>
      </c>
      <c r="I4041" s="133"/>
      <c r="J4041" s="133" t="s">
        <v>2532</v>
      </c>
      <c r="K4041" s="133" t="s">
        <v>831</v>
      </c>
      <c r="L4041" s="167"/>
      <c r="M4041" s="48"/>
      <c r="N4041" s="123"/>
    </row>
    <row r="4042" spans="1:14" customFormat="1" x14ac:dyDescent="0.55000000000000004">
      <c r="A4042" s="133" t="s">
        <v>2533</v>
      </c>
      <c r="B4042" s="133" t="s">
        <v>3102</v>
      </c>
      <c r="C4042" s="133" t="s">
        <v>124</v>
      </c>
      <c r="D4042" s="133" t="s">
        <v>3288</v>
      </c>
      <c r="E4042" s="138">
        <v>7.4299999999999997E-8</v>
      </c>
      <c r="F4042" s="153" t="s">
        <v>135</v>
      </c>
      <c r="G4042" s="153">
        <v>1</v>
      </c>
      <c r="H4042" s="133" t="s">
        <v>39</v>
      </c>
      <c r="I4042" s="133"/>
      <c r="J4042" s="133" t="s">
        <v>2532</v>
      </c>
      <c r="K4042" s="133" t="s">
        <v>831</v>
      </c>
      <c r="L4042" s="167"/>
      <c r="M4042" s="48"/>
      <c r="N4042" s="123"/>
    </row>
    <row r="4043" spans="1:14" customFormat="1" x14ac:dyDescent="0.55000000000000004">
      <c r="A4043" s="133" t="s">
        <v>2533</v>
      </c>
      <c r="B4043" s="133" t="s">
        <v>2958</v>
      </c>
      <c r="C4043" s="133" t="s">
        <v>124</v>
      </c>
      <c r="D4043" s="133" t="s">
        <v>3288</v>
      </c>
      <c r="E4043" s="138">
        <v>1.6400011999999998E-5</v>
      </c>
      <c r="F4043" s="153" t="s">
        <v>135</v>
      </c>
      <c r="G4043" s="153">
        <v>1</v>
      </c>
      <c r="H4043" s="133" t="s">
        <v>39</v>
      </c>
      <c r="I4043" s="133"/>
      <c r="J4043" s="133" t="s">
        <v>2532</v>
      </c>
      <c r="K4043" s="133" t="s">
        <v>831</v>
      </c>
      <c r="L4043" s="167"/>
      <c r="M4043" s="48"/>
      <c r="N4043" s="123"/>
    </row>
    <row r="4044" spans="1:14" customFormat="1" x14ac:dyDescent="0.55000000000000004">
      <c r="A4044" s="133" t="s">
        <v>2533</v>
      </c>
      <c r="B4044" s="133" t="s">
        <v>3103</v>
      </c>
      <c r="C4044" s="133" t="s">
        <v>124</v>
      </c>
      <c r="D4044" s="133" t="s">
        <v>3288</v>
      </c>
      <c r="E4044" s="138">
        <v>6.4600000000000003E-18</v>
      </c>
      <c r="F4044" s="153" t="s">
        <v>135</v>
      </c>
      <c r="G4044" s="153">
        <v>1</v>
      </c>
      <c r="H4044" s="133" t="s">
        <v>39</v>
      </c>
      <c r="I4044" s="133"/>
      <c r="J4044" s="133" t="s">
        <v>2532</v>
      </c>
      <c r="K4044" s="133" t="s">
        <v>831</v>
      </c>
      <c r="L4044" s="167"/>
      <c r="M4044" s="48"/>
      <c r="N4044" s="123"/>
    </row>
    <row r="4045" spans="1:14" customFormat="1" x14ac:dyDescent="0.55000000000000004">
      <c r="A4045" s="133" t="s">
        <v>2533</v>
      </c>
      <c r="B4045" s="133" t="s">
        <v>3104</v>
      </c>
      <c r="C4045" s="133" t="s">
        <v>124</v>
      </c>
      <c r="D4045" s="133" t="s">
        <v>3288</v>
      </c>
      <c r="E4045" s="138">
        <v>3.3399999999999999E-18</v>
      </c>
      <c r="F4045" s="153" t="s">
        <v>135</v>
      </c>
      <c r="G4045" s="153">
        <v>1</v>
      </c>
      <c r="H4045" s="133" t="s">
        <v>39</v>
      </c>
      <c r="I4045" s="133"/>
      <c r="J4045" s="133" t="s">
        <v>2532</v>
      </c>
      <c r="K4045" s="133" t="s">
        <v>831</v>
      </c>
      <c r="L4045" s="167"/>
      <c r="M4045" s="48"/>
      <c r="N4045" s="123"/>
    </row>
    <row r="4046" spans="1:14" customFormat="1" x14ac:dyDescent="0.55000000000000004">
      <c r="A4046" s="133" t="s">
        <v>2533</v>
      </c>
      <c r="B4046" s="133" t="s">
        <v>3105</v>
      </c>
      <c r="C4046" s="133" t="s">
        <v>124</v>
      </c>
      <c r="D4046" s="133" t="s">
        <v>3288</v>
      </c>
      <c r="E4046" s="138">
        <v>9.9999999999999998E-17</v>
      </c>
      <c r="F4046" s="153" t="s">
        <v>135</v>
      </c>
      <c r="G4046" s="153">
        <v>1</v>
      </c>
      <c r="H4046" s="133" t="s">
        <v>39</v>
      </c>
      <c r="I4046" s="133"/>
      <c r="J4046" s="133" t="s">
        <v>2532</v>
      </c>
      <c r="K4046" s="133" t="s">
        <v>831</v>
      </c>
      <c r="L4046" s="167"/>
      <c r="M4046" s="48"/>
      <c r="N4046" s="123"/>
    </row>
    <row r="4047" spans="1:14" customFormat="1" x14ac:dyDescent="0.55000000000000004">
      <c r="A4047" s="133" t="s">
        <v>2533</v>
      </c>
      <c r="B4047" s="133" t="s">
        <v>891</v>
      </c>
      <c r="C4047" s="133" t="s">
        <v>124</v>
      </c>
      <c r="D4047" s="133" t="s">
        <v>3288</v>
      </c>
      <c r="E4047" s="138">
        <v>8.2800000000000001E-11</v>
      </c>
      <c r="F4047" s="153" t="s">
        <v>135</v>
      </c>
      <c r="G4047" s="153">
        <v>1</v>
      </c>
      <c r="H4047" s="133" t="s">
        <v>39</v>
      </c>
      <c r="I4047" s="133"/>
      <c r="J4047" s="133" t="s">
        <v>2532</v>
      </c>
      <c r="K4047" s="133" t="s">
        <v>831</v>
      </c>
      <c r="L4047" s="167"/>
      <c r="M4047" s="48"/>
      <c r="N4047" s="123"/>
    </row>
    <row r="4048" spans="1:14" customFormat="1" x14ac:dyDescent="0.55000000000000004">
      <c r="A4048" s="133" t="s">
        <v>2533</v>
      </c>
      <c r="B4048" s="133" t="s">
        <v>3106</v>
      </c>
      <c r="C4048" s="133" t="s">
        <v>124</v>
      </c>
      <c r="D4048" s="133" t="s">
        <v>3288</v>
      </c>
      <c r="E4048" s="138">
        <v>6.6100000000000001E-13</v>
      </c>
      <c r="F4048" s="153" t="s">
        <v>135</v>
      </c>
      <c r="G4048" s="153">
        <v>1</v>
      </c>
      <c r="H4048" s="133" t="s">
        <v>39</v>
      </c>
      <c r="I4048" s="133"/>
      <c r="J4048" s="133" t="s">
        <v>2532</v>
      </c>
      <c r="K4048" s="133" t="s">
        <v>831</v>
      </c>
      <c r="L4048" s="167"/>
      <c r="M4048" s="48"/>
      <c r="N4048" s="123"/>
    </row>
    <row r="4049" spans="1:14" customFormat="1" x14ac:dyDescent="0.55000000000000004">
      <c r="A4049" s="133" t="s">
        <v>2533</v>
      </c>
      <c r="B4049" s="133" t="s">
        <v>3107</v>
      </c>
      <c r="C4049" s="133" t="s">
        <v>124</v>
      </c>
      <c r="D4049" s="133" t="s">
        <v>3288</v>
      </c>
      <c r="E4049" s="138">
        <v>1.1700000000000001E-11</v>
      </c>
      <c r="F4049" s="153" t="s">
        <v>135</v>
      </c>
      <c r="G4049" s="153">
        <v>1</v>
      </c>
      <c r="H4049" s="133" t="s">
        <v>39</v>
      </c>
      <c r="I4049" s="133"/>
      <c r="J4049" s="133" t="s">
        <v>2532</v>
      </c>
      <c r="K4049" s="133" t="s">
        <v>831</v>
      </c>
      <c r="L4049" s="167"/>
      <c r="M4049" s="48"/>
      <c r="N4049" s="123"/>
    </row>
    <row r="4050" spans="1:14" customFormat="1" x14ac:dyDescent="0.55000000000000004">
      <c r="A4050" s="133" t="s">
        <v>2533</v>
      </c>
      <c r="B4050" s="133" t="s">
        <v>3108</v>
      </c>
      <c r="C4050" s="133" t="s">
        <v>124</v>
      </c>
      <c r="D4050" s="133" t="s">
        <v>3288</v>
      </c>
      <c r="E4050" s="138">
        <v>4.7700000000000001E-5</v>
      </c>
      <c r="F4050" s="153" t="s">
        <v>135</v>
      </c>
      <c r="G4050" s="153">
        <v>1</v>
      </c>
      <c r="H4050" s="133" t="s">
        <v>39</v>
      </c>
      <c r="I4050" s="133"/>
      <c r="J4050" s="133" t="s">
        <v>2532</v>
      </c>
      <c r="K4050" s="133" t="s">
        <v>831</v>
      </c>
      <c r="L4050" s="167"/>
      <c r="M4050" s="48"/>
      <c r="N4050" s="123"/>
    </row>
    <row r="4051" spans="1:14" customFormat="1" x14ac:dyDescent="0.55000000000000004">
      <c r="A4051" s="133" t="s">
        <v>2533</v>
      </c>
      <c r="B4051" s="133" t="s">
        <v>3109</v>
      </c>
      <c r="C4051" s="133" t="s">
        <v>124</v>
      </c>
      <c r="D4051" s="133" t="s">
        <v>3288</v>
      </c>
      <c r="E4051" s="138">
        <v>5.3302400000000011E-4</v>
      </c>
      <c r="F4051" s="153" t="s">
        <v>135</v>
      </c>
      <c r="G4051" s="153">
        <v>1</v>
      </c>
      <c r="H4051" s="133" t="s">
        <v>39</v>
      </c>
      <c r="I4051" s="133"/>
      <c r="J4051" s="133" t="s">
        <v>2532</v>
      </c>
      <c r="K4051" s="133" t="s">
        <v>831</v>
      </c>
      <c r="L4051" s="167"/>
      <c r="M4051" s="48"/>
      <c r="N4051" s="123"/>
    </row>
    <row r="4052" spans="1:14" customFormat="1" x14ac:dyDescent="0.55000000000000004">
      <c r="A4052" s="133" t="s">
        <v>2533</v>
      </c>
      <c r="B4052" s="133" t="s">
        <v>2610</v>
      </c>
      <c r="C4052" s="133" t="s">
        <v>124</v>
      </c>
      <c r="D4052" s="133" t="s">
        <v>3288</v>
      </c>
      <c r="E4052" s="138">
        <v>3.2602130000000001E-3</v>
      </c>
      <c r="F4052" s="153" t="s">
        <v>135</v>
      </c>
      <c r="G4052" s="153">
        <v>1</v>
      </c>
      <c r="H4052" s="133" t="s">
        <v>39</v>
      </c>
      <c r="I4052" s="133"/>
      <c r="J4052" s="133" t="s">
        <v>2532</v>
      </c>
      <c r="K4052" s="133" t="s">
        <v>831</v>
      </c>
      <c r="L4052" s="167"/>
      <c r="M4052" s="48"/>
      <c r="N4052" s="123"/>
    </row>
    <row r="4053" spans="1:14" customFormat="1" x14ac:dyDescent="0.55000000000000004">
      <c r="A4053" s="133" t="s">
        <v>2533</v>
      </c>
      <c r="B4053" s="133" t="s">
        <v>2944</v>
      </c>
      <c r="C4053" s="133" t="s">
        <v>124</v>
      </c>
      <c r="D4053" s="133" t="s">
        <v>3288</v>
      </c>
      <c r="E4053" s="138">
        <v>1.35E-2</v>
      </c>
      <c r="F4053" s="153" t="s">
        <v>135</v>
      </c>
      <c r="G4053" s="153">
        <v>1</v>
      </c>
      <c r="H4053" s="133" t="s">
        <v>39</v>
      </c>
      <c r="I4053" s="133"/>
      <c r="J4053" s="133" t="s">
        <v>2532</v>
      </c>
      <c r="K4053" s="133" t="s">
        <v>831</v>
      </c>
      <c r="L4053" s="167"/>
      <c r="M4053" s="48"/>
      <c r="N4053" s="123"/>
    </row>
    <row r="4054" spans="1:14" customFormat="1" x14ac:dyDescent="0.55000000000000004">
      <c r="A4054" s="133" t="s">
        <v>2533</v>
      </c>
      <c r="B4054" s="133" t="s">
        <v>1172</v>
      </c>
      <c r="C4054" s="133" t="s">
        <v>124</v>
      </c>
      <c r="D4054" s="133" t="s">
        <v>3288</v>
      </c>
      <c r="E4054" s="138">
        <v>3.2199999999999997E-5</v>
      </c>
      <c r="F4054" s="153" t="s">
        <v>135</v>
      </c>
      <c r="G4054" s="153">
        <v>1</v>
      </c>
      <c r="H4054" s="133" t="s">
        <v>39</v>
      </c>
      <c r="I4054" s="133"/>
      <c r="J4054" s="133" t="s">
        <v>2532</v>
      </c>
      <c r="K4054" s="133" t="s">
        <v>831</v>
      </c>
      <c r="L4054" s="167"/>
      <c r="M4054" s="48"/>
      <c r="N4054" s="123"/>
    </row>
    <row r="4055" spans="1:14" customFormat="1" x14ac:dyDescent="0.55000000000000004">
      <c r="A4055" s="133" t="s">
        <v>2533</v>
      </c>
      <c r="B4055" s="133" t="s">
        <v>3110</v>
      </c>
      <c r="C4055" s="133" t="s">
        <v>124</v>
      </c>
      <c r="D4055" s="133" t="s">
        <v>3288</v>
      </c>
      <c r="E4055" s="138">
        <v>1.9200014E-7</v>
      </c>
      <c r="F4055" s="153" t="s">
        <v>135</v>
      </c>
      <c r="G4055" s="153">
        <v>1</v>
      </c>
      <c r="H4055" s="133" t="s">
        <v>39</v>
      </c>
      <c r="I4055" s="133"/>
      <c r="J4055" s="133" t="s">
        <v>2532</v>
      </c>
      <c r="K4055" s="133" t="s">
        <v>831</v>
      </c>
      <c r="L4055" s="167"/>
      <c r="M4055" s="48"/>
      <c r="N4055" s="123"/>
    </row>
    <row r="4056" spans="1:14" customFormat="1" x14ac:dyDescent="0.55000000000000004">
      <c r="A4056" s="133" t="s">
        <v>2533</v>
      </c>
      <c r="B4056" s="133" t="s">
        <v>3111</v>
      </c>
      <c r="C4056" s="133" t="s">
        <v>124</v>
      </c>
      <c r="D4056" s="133" t="s">
        <v>3288</v>
      </c>
      <c r="E4056" s="138">
        <v>1.3300000979E-6</v>
      </c>
      <c r="F4056" s="153" t="s">
        <v>135</v>
      </c>
      <c r="G4056" s="153">
        <v>1</v>
      </c>
      <c r="H4056" s="133" t="s">
        <v>39</v>
      </c>
      <c r="I4056" s="133"/>
      <c r="J4056" s="133" t="s">
        <v>2532</v>
      </c>
      <c r="K4056" s="133" t="s">
        <v>831</v>
      </c>
      <c r="L4056" s="167"/>
      <c r="M4056" s="48"/>
      <c r="N4056" s="123"/>
    </row>
    <row r="4057" spans="1:14" customFormat="1" x14ac:dyDescent="0.55000000000000004">
      <c r="A4057" s="133" t="s">
        <v>2533</v>
      </c>
      <c r="B4057" s="133" t="s">
        <v>3112</v>
      </c>
      <c r="C4057" s="133" t="s">
        <v>124</v>
      </c>
      <c r="D4057" s="133" t="s">
        <v>3288</v>
      </c>
      <c r="E4057" s="138">
        <v>1.4600000000000001E-7</v>
      </c>
      <c r="F4057" s="153" t="s">
        <v>135</v>
      </c>
      <c r="G4057" s="153">
        <v>1</v>
      </c>
      <c r="H4057" s="133" t="s">
        <v>39</v>
      </c>
      <c r="I4057" s="133"/>
      <c r="J4057" s="133" t="s">
        <v>2532</v>
      </c>
      <c r="K4057" s="133" t="s">
        <v>831</v>
      </c>
      <c r="L4057" s="167"/>
      <c r="M4057" s="48"/>
      <c r="N4057" s="123"/>
    </row>
    <row r="4058" spans="1:14" customFormat="1" x14ac:dyDescent="0.55000000000000004">
      <c r="A4058" s="133" t="s">
        <v>2533</v>
      </c>
      <c r="B4058" s="133" t="s">
        <v>3113</v>
      </c>
      <c r="C4058" s="133" t="s">
        <v>124</v>
      </c>
      <c r="D4058" s="133" t="s">
        <v>3288</v>
      </c>
      <c r="E4058" s="138">
        <v>4.6500306000000004E-6</v>
      </c>
      <c r="F4058" s="153" t="s">
        <v>135</v>
      </c>
      <c r="G4058" s="153">
        <v>1</v>
      </c>
      <c r="H4058" s="133" t="s">
        <v>39</v>
      </c>
      <c r="I4058" s="133"/>
      <c r="J4058" s="133" t="s">
        <v>2532</v>
      </c>
      <c r="K4058" s="133" t="s">
        <v>831</v>
      </c>
      <c r="L4058" s="167"/>
      <c r="M4058" s="48"/>
      <c r="N4058" s="123"/>
    </row>
    <row r="4059" spans="1:14" customFormat="1" x14ac:dyDescent="0.55000000000000004">
      <c r="A4059" s="133" t="s">
        <v>2533</v>
      </c>
      <c r="B4059" s="133" t="s">
        <v>1101</v>
      </c>
      <c r="C4059" s="133" t="s">
        <v>124</v>
      </c>
      <c r="D4059" s="133" t="s">
        <v>3288</v>
      </c>
      <c r="E4059" s="138">
        <v>8.0300042400000002E-5</v>
      </c>
      <c r="F4059" s="153" t="s">
        <v>135</v>
      </c>
      <c r="G4059" s="153">
        <v>1</v>
      </c>
      <c r="H4059" s="133" t="s">
        <v>39</v>
      </c>
      <c r="I4059" s="133"/>
      <c r="J4059" s="133" t="s">
        <v>2532</v>
      </c>
      <c r="K4059" s="133" t="s">
        <v>831</v>
      </c>
      <c r="L4059" s="167"/>
      <c r="M4059" s="48"/>
      <c r="N4059" s="123"/>
    </row>
    <row r="4060" spans="1:14" customFormat="1" x14ac:dyDescent="0.55000000000000004">
      <c r="A4060" s="133" t="s">
        <v>2536</v>
      </c>
      <c r="B4060" s="133" t="s">
        <v>3114</v>
      </c>
      <c r="C4060" s="133" t="s">
        <v>121</v>
      </c>
      <c r="D4060" s="133" t="s">
        <v>2682</v>
      </c>
      <c r="E4060" s="138">
        <v>1</v>
      </c>
      <c r="F4060" s="153">
        <v>1</v>
      </c>
      <c r="G4060" s="153">
        <v>1</v>
      </c>
      <c r="H4060" s="133" t="s">
        <v>39</v>
      </c>
      <c r="I4060" s="133"/>
      <c r="J4060" s="133" t="s">
        <v>2535</v>
      </c>
      <c r="K4060" s="133" t="s">
        <v>831</v>
      </c>
      <c r="L4060" s="167"/>
      <c r="M4060" s="48"/>
      <c r="N4060" s="123"/>
    </row>
    <row r="4061" spans="1:14" customFormat="1" x14ac:dyDescent="0.55000000000000004">
      <c r="A4061" s="133" t="s">
        <v>2536</v>
      </c>
      <c r="B4061" s="133" t="s">
        <v>3115</v>
      </c>
      <c r="C4061" s="133" t="s">
        <v>348</v>
      </c>
      <c r="D4061" s="133" t="s">
        <v>3288</v>
      </c>
      <c r="E4061" s="138">
        <v>1</v>
      </c>
      <c r="F4061" s="153" t="s">
        <v>135</v>
      </c>
      <c r="G4061" s="153">
        <v>1</v>
      </c>
      <c r="H4061" s="133" t="s">
        <v>39</v>
      </c>
      <c r="I4061" s="133"/>
      <c r="J4061" s="133" t="s">
        <v>2535</v>
      </c>
      <c r="K4061" s="133" t="s">
        <v>831</v>
      </c>
      <c r="L4061" s="167"/>
      <c r="M4061" s="48"/>
      <c r="N4061" s="123"/>
    </row>
    <row r="4062" spans="1:14" customFormat="1" x14ac:dyDescent="0.55000000000000004">
      <c r="A4062" s="133" t="s">
        <v>2536</v>
      </c>
      <c r="B4062" s="133" t="s">
        <v>3116</v>
      </c>
      <c r="C4062" s="133" t="s">
        <v>156</v>
      </c>
      <c r="D4062" s="133" t="s">
        <v>3288</v>
      </c>
      <c r="E4062" s="138">
        <v>6.8599999999999998E-4</v>
      </c>
      <c r="F4062" s="153" t="s">
        <v>135</v>
      </c>
      <c r="G4062" s="153">
        <v>1</v>
      </c>
      <c r="H4062" s="133" t="s">
        <v>39</v>
      </c>
      <c r="I4062" s="133"/>
      <c r="J4062" s="133" t="s">
        <v>2535</v>
      </c>
      <c r="K4062" s="133" t="s">
        <v>831</v>
      </c>
      <c r="L4062" s="167"/>
      <c r="M4062" s="48"/>
      <c r="N4062" s="123"/>
    </row>
    <row r="4063" spans="1:14" customFormat="1" x14ac:dyDescent="0.55000000000000004">
      <c r="A4063" s="133" t="s">
        <v>2536</v>
      </c>
      <c r="B4063" s="133" t="s">
        <v>3117</v>
      </c>
      <c r="C4063" s="133" t="s">
        <v>156</v>
      </c>
      <c r="D4063" s="133" t="s">
        <v>3288</v>
      </c>
      <c r="E4063" s="138">
        <v>0.23100000000000001</v>
      </c>
      <c r="F4063" s="153" t="s">
        <v>135</v>
      </c>
      <c r="G4063" s="153">
        <v>1</v>
      </c>
      <c r="H4063" s="133" t="s">
        <v>39</v>
      </c>
      <c r="I4063" s="133"/>
      <c r="J4063" s="133" t="s">
        <v>2535</v>
      </c>
      <c r="K4063" s="133" t="s">
        <v>831</v>
      </c>
      <c r="L4063" s="167"/>
      <c r="M4063" s="48"/>
      <c r="N4063" s="123"/>
    </row>
    <row r="4064" spans="1:14" customFormat="1" x14ac:dyDescent="0.55000000000000004">
      <c r="A4064" s="133" t="s">
        <v>2536</v>
      </c>
      <c r="B4064" s="133" t="s">
        <v>3118</v>
      </c>
      <c r="C4064" s="133" t="s">
        <v>156</v>
      </c>
      <c r="D4064" s="133" t="s">
        <v>3288</v>
      </c>
      <c r="E4064" s="138">
        <v>2.7399999999999999E-4</v>
      </c>
      <c r="F4064" s="153" t="s">
        <v>135</v>
      </c>
      <c r="G4064" s="153">
        <v>1</v>
      </c>
      <c r="H4064" s="133" t="s">
        <v>39</v>
      </c>
      <c r="I4064" s="133"/>
      <c r="J4064" s="133" t="s">
        <v>2535</v>
      </c>
      <c r="K4064" s="133" t="s">
        <v>831</v>
      </c>
      <c r="L4064" s="167"/>
      <c r="M4064" s="48"/>
      <c r="N4064" s="123"/>
    </row>
    <row r="4065" spans="1:14" customFormat="1" x14ac:dyDescent="0.55000000000000004">
      <c r="A4065" s="133" t="s">
        <v>2536</v>
      </c>
      <c r="B4065" s="133" t="s">
        <v>3119</v>
      </c>
      <c r="C4065" s="133" t="s">
        <v>156</v>
      </c>
      <c r="D4065" s="133" t="s">
        <v>2994</v>
      </c>
      <c r="E4065" s="138">
        <v>386</v>
      </c>
      <c r="F4065" s="153" t="s">
        <v>130</v>
      </c>
      <c r="G4065" s="153">
        <v>1</v>
      </c>
      <c r="H4065" s="133" t="s">
        <v>39</v>
      </c>
      <c r="I4065" s="133"/>
      <c r="J4065" s="133" t="s">
        <v>2535</v>
      </c>
      <c r="K4065" s="133" t="s">
        <v>831</v>
      </c>
      <c r="L4065" s="167"/>
      <c r="M4065" s="48"/>
      <c r="N4065" s="123"/>
    </row>
    <row r="4066" spans="1:14" customFormat="1" x14ac:dyDescent="0.55000000000000004">
      <c r="A4066" s="133" t="s">
        <v>2536</v>
      </c>
      <c r="B4066" s="133" t="s">
        <v>3120</v>
      </c>
      <c r="C4066" s="133" t="s">
        <v>156</v>
      </c>
      <c r="D4066" s="133" t="s">
        <v>2994</v>
      </c>
      <c r="E4066" s="138">
        <v>2850</v>
      </c>
      <c r="F4066" s="153" t="s">
        <v>167</v>
      </c>
      <c r="G4066" s="153">
        <v>1</v>
      </c>
      <c r="H4066" s="133" t="s">
        <v>39</v>
      </c>
      <c r="I4066" s="133"/>
      <c r="J4066" s="133" t="s">
        <v>2535</v>
      </c>
      <c r="K4066" s="133" t="s">
        <v>831</v>
      </c>
      <c r="L4066" s="167"/>
      <c r="M4066" s="48"/>
      <c r="N4066" s="123"/>
    </row>
    <row r="4067" spans="1:14" customFormat="1" x14ac:dyDescent="0.55000000000000004">
      <c r="A4067" s="133" t="s">
        <v>2536</v>
      </c>
      <c r="B4067" s="133" t="s">
        <v>3121</v>
      </c>
      <c r="C4067" s="133" t="s">
        <v>156</v>
      </c>
      <c r="D4067" s="133" t="s">
        <v>3288</v>
      </c>
      <c r="E4067" s="138">
        <v>1.04E-2</v>
      </c>
      <c r="F4067" s="153" t="s">
        <v>135</v>
      </c>
      <c r="G4067" s="153">
        <v>1</v>
      </c>
      <c r="H4067" s="133" t="s">
        <v>39</v>
      </c>
      <c r="I4067" s="133"/>
      <c r="J4067" s="133" t="s">
        <v>2535</v>
      </c>
      <c r="K4067" s="133" t="s">
        <v>831</v>
      </c>
      <c r="L4067" s="167"/>
      <c r="M4067" s="48"/>
      <c r="N4067" s="123"/>
    </row>
    <row r="4068" spans="1:14" customFormat="1" x14ac:dyDescent="0.55000000000000004">
      <c r="A4068" s="133" t="s">
        <v>2536</v>
      </c>
      <c r="B4068" s="133" t="s">
        <v>3122</v>
      </c>
      <c r="C4068" s="133" t="s">
        <v>156</v>
      </c>
      <c r="D4068" s="133" t="s">
        <v>3288</v>
      </c>
      <c r="E4068" s="138">
        <v>1.89E-2</v>
      </c>
      <c r="F4068" s="153" t="s">
        <v>135</v>
      </c>
      <c r="G4068" s="153">
        <v>1</v>
      </c>
      <c r="H4068" s="133" t="s">
        <v>39</v>
      </c>
      <c r="I4068" s="133"/>
      <c r="J4068" s="133" t="s">
        <v>2535</v>
      </c>
      <c r="K4068" s="133" t="s">
        <v>831</v>
      </c>
      <c r="L4068" s="167"/>
      <c r="M4068" s="48"/>
      <c r="N4068" s="123"/>
    </row>
    <row r="4069" spans="1:14" customFormat="1" x14ac:dyDescent="0.55000000000000004">
      <c r="A4069" s="133" t="s">
        <v>2536</v>
      </c>
      <c r="B4069" s="133" t="s">
        <v>3123</v>
      </c>
      <c r="C4069" s="133" t="s">
        <v>348</v>
      </c>
      <c r="D4069" s="133" t="s">
        <v>3288</v>
      </c>
      <c r="E4069" s="138">
        <v>6.9800000000000005E-4</v>
      </c>
      <c r="F4069" s="153" t="s">
        <v>135</v>
      </c>
      <c r="G4069" s="153">
        <v>1</v>
      </c>
      <c r="H4069" s="133" t="s">
        <v>39</v>
      </c>
      <c r="I4069" s="133"/>
      <c r="J4069" s="133" t="s">
        <v>2535</v>
      </c>
      <c r="K4069" s="133" t="s">
        <v>831</v>
      </c>
      <c r="L4069" s="167"/>
      <c r="M4069" s="48"/>
      <c r="N4069" s="123"/>
    </row>
    <row r="4070" spans="1:14" customFormat="1" x14ac:dyDescent="0.55000000000000004">
      <c r="A4070" s="133" t="s">
        <v>2536</v>
      </c>
      <c r="B4070" s="133" t="s">
        <v>3124</v>
      </c>
      <c r="C4070" s="133" t="s">
        <v>348</v>
      </c>
      <c r="D4070" s="133" t="s">
        <v>3288</v>
      </c>
      <c r="E4070" s="138">
        <v>2.0799999999999999E-4</v>
      </c>
      <c r="F4070" s="153" t="s">
        <v>135</v>
      </c>
      <c r="G4070" s="153">
        <v>1</v>
      </c>
      <c r="H4070" s="133" t="s">
        <v>39</v>
      </c>
      <c r="I4070" s="133"/>
      <c r="J4070" s="133" t="s">
        <v>2535</v>
      </c>
      <c r="K4070" s="133" t="s">
        <v>831</v>
      </c>
      <c r="L4070" s="167"/>
      <c r="M4070" s="48"/>
      <c r="N4070" s="123"/>
    </row>
    <row r="4071" spans="1:14" customFormat="1" x14ac:dyDescent="0.55000000000000004">
      <c r="A4071" s="133" t="s">
        <v>2536</v>
      </c>
      <c r="B4071" s="133" t="s">
        <v>3125</v>
      </c>
      <c r="C4071" s="133" t="s">
        <v>348</v>
      </c>
      <c r="D4071" s="133" t="s">
        <v>3288</v>
      </c>
      <c r="E4071" s="138">
        <v>8.9199999999999999E-7</v>
      </c>
      <c r="F4071" s="153" t="s">
        <v>135</v>
      </c>
      <c r="G4071" s="153">
        <v>1</v>
      </c>
      <c r="H4071" s="133" t="s">
        <v>39</v>
      </c>
      <c r="I4071" s="133"/>
      <c r="J4071" s="133" t="s">
        <v>2535</v>
      </c>
      <c r="K4071" s="133" t="s">
        <v>831</v>
      </c>
      <c r="L4071" s="167"/>
      <c r="M4071" s="48"/>
      <c r="N4071" s="123"/>
    </row>
    <row r="4072" spans="1:14" customFormat="1" x14ac:dyDescent="0.55000000000000004">
      <c r="A4072" s="133" t="s">
        <v>2536</v>
      </c>
      <c r="B4072" s="133" t="s">
        <v>1089</v>
      </c>
      <c r="C4072" s="133" t="s">
        <v>127</v>
      </c>
      <c r="D4072" s="133" t="s">
        <v>2994</v>
      </c>
      <c r="E4072" s="138">
        <v>131</v>
      </c>
      <c r="F4072" s="153" t="s">
        <v>167</v>
      </c>
      <c r="G4072" s="153">
        <v>1</v>
      </c>
      <c r="H4072" s="133" t="s">
        <v>39</v>
      </c>
      <c r="I4072" s="133"/>
      <c r="J4072" s="133" t="s">
        <v>2535</v>
      </c>
      <c r="K4072" s="133" t="s">
        <v>831</v>
      </c>
      <c r="L4072" s="167"/>
      <c r="M4072" s="48"/>
      <c r="N4072" s="123"/>
    </row>
    <row r="4073" spans="1:14" customFormat="1" x14ac:dyDescent="0.55000000000000004">
      <c r="A4073" s="133" t="s">
        <v>2536</v>
      </c>
      <c r="B4073" s="133" t="s">
        <v>3126</v>
      </c>
      <c r="C4073" s="133" t="s">
        <v>348</v>
      </c>
      <c r="D4073" s="133" t="s">
        <v>3288</v>
      </c>
      <c r="E4073" s="138">
        <v>5.4700000000000001E-5</v>
      </c>
      <c r="F4073" s="153" t="s">
        <v>135</v>
      </c>
      <c r="G4073" s="153">
        <v>1</v>
      </c>
      <c r="H4073" s="133" t="s">
        <v>39</v>
      </c>
      <c r="I4073" s="133"/>
      <c r="J4073" s="133" t="s">
        <v>2535</v>
      </c>
      <c r="K4073" s="133" t="s">
        <v>831</v>
      </c>
      <c r="L4073" s="167"/>
      <c r="M4073" s="48"/>
      <c r="N4073" s="123"/>
    </row>
    <row r="4074" spans="1:14" customFormat="1" x14ac:dyDescent="0.55000000000000004">
      <c r="A4074" s="133" t="s">
        <v>2536</v>
      </c>
      <c r="B4074" s="133" t="s">
        <v>3127</v>
      </c>
      <c r="C4074" s="133" t="s">
        <v>348</v>
      </c>
      <c r="D4074" s="133" t="s">
        <v>3288</v>
      </c>
      <c r="E4074" s="138">
        <v>3.2499999999999997E-5</v>
      </c>
      <c r="F4074" s="153" t="s">
        <v>135</v>
      </c>
      <c r="G4074" s="153">
        <v>1</v>
      </c>
      <c r="H4074" s="133" t="s">
        <v>39</v>
      </c>
      <c r="I4074" s="133"/>
      <c r="J4074" s="133" t="s">
        <v>2535</v>
      </c>
      <c r="K4074" s="133" t="s">
        <v>831</v>
      </c>
      <c r="L4074" s="167"/>
      <c r="M4074" s="48"/>
      <c r="N4074" s="123"/>
    </row>
    <row r="4075" spans="1:14" customFormat="1" x14ac:dyDescent="0.55000000000000004">
      <c r="A4075" s="133" t="s">
        <v>2536</v>
      </c>
      <c r="B4075" s="133" t="s">
        <v>3128</v>
      </c>
      <c r="C4075" s="133" t="s">
        <v>348</v>
      </c>
      <c r="D4075" s="133" t="s">
        <v>3288</v>
      </c>
      <c r="E4075" s="138">
        <v>3.2100000000000002E-3</v>
      </c>
      <c r="F4075" s="153" t="s">
        <v>135</v>
      </c>
      <c r="G4075" s="153">
        <v>1</v>
      </c>
      <c r="H4075" s="133" t="s">
        <v>39</v>
      </c>
      <c r="I4075" s="133"/>
      <c r="J4075" s="133" t="s">
        <v>2535</v>
      </c>
      <c r="K4075" s="133" t="s">
        <v>831</v>
      </c>
      <c r="L4075" s="167"/>
      <c r="M4075" s="48"/>
      <c r="N4075" s="123"/>
    </row>
    <row r="4076" spans="1:14" customFormat="1" x14ac:dyDescent="0.55000000000000004">
      <c r="A4076" s="133" t="s">
        <v>2536</v>
      </c>
      <c r="B4076" s="133" t="s">
        <v>3129</v>
      </c>
      <c r="C4076" s="133" t="s">
        <v>348</v>
      </c>
      <c r="D4076" s="133" t="s">
        <v>3288</v>
      </c>
      <c r="E4076" s="138">
        <v>9.7499999999999996E-4</v>
      </c>
      <c r="F4076" s="153" t="s">
        <v>135</v>
      </c>
      <c r="G4076" s="153">
        <v>1</v>
      </c>
      <c r="H4076" s="133" t="s">
        <v>39</v>
      </c>
      <c r="I4076" s="133"/>
      <c r="J4076" s="133" t="s">
        <v>2535</v>
      </c>
      <c r="K4076" s="133" t="s">
        <v>831</v>
      </c>
      <c r="L4076" s="167"/>
      <c r="M4076" s="48"/>
      <c r="N4076" s="123"/>
    </row>
    <row r="4077" spans="1:14" customFormat="1" x14ac:dyDescent="0.55000000000000004">
      <c r="A4077" s="133" t="s">
        <v>2536</v>
      </c>
      <c r="B4077" s="133" t="s">
        <v>3130</v>
      </c>
      <c r="C4077" s="133" t="s">
        <v>348</v>
      </c>
      <c r="D4077" s="133" t="s">
        <v>3288</v>
      </c>
      <c r="E4077" s="138">
        <v>4.3699999999999998E-5</v>
      </c>
      <c r="F4077" s="153" t="s">
        <v>135</v>
      </c>
      <c r="G4077" s="153">
        <v>1</v>
      </c>
      <c r="H4077" s="133" t="s">
        <v>39</v>
      </c>
      <c r="I4077" s="133"/>
      <c r="J4077" s="133" t="s">
        <v>2535</v>
      </c>
      <c r="K4077" s="133" t="s">
        <v>831</v>
      </c>
      <c r="L4077" s="167"/>
      <c r="M4077" s="48"/>
      <c r="N4077" s="123"/>
    </row>
    <row r="4078" spans="1:14" customFormat="1" x14ac:dyDescent="0.55000000000000004">
      <c r="A4078" s="133" t="s">
        <v>2536</v>
      </c>
      <c r="B4078" s="133" t="s">
        <v>3131</v>
      </c>
      <c r="C4078" s="133" t="s">
        <v>348</v>
      </c>
      <c r="D4078" s="133" t="s">
        <v>3288</v>
      </c>
      <c r="E4078" s="138">
        <v>2.2500000000000001E-5</v>
      </c>
      <c r="F4078" s="153" t="s">
        <v>135</v>
      </c>
      <c r="G4078" s="153">
        <v>1</v>
      </c>
      <c r="H4078" s="133" t="s">
        <v>39</v>
      </c>
      <c r="I4078" s="133"/>
      <c r="J4078" s="133" t="s">
        <v>2535</v>
      </c>
      <c r="K4078" s="133" t="s">
        <v>831</v>
      </c>
      <c r="L4078" s="167"/>
      <c r="M4078" s="48"/>
      <c r="N4078" s="123"/>
    </row>
    <row r="4079" spans="1:14" customFormat="1" x14ac:dyDescent="0.55000000000000004">
      <c r="A4079" s="133" t="s">
        <v>2536</v>
      </c>
      <c r="B4079" s="133" t="s">
        <v>3132</v>
      </c>
      <c r="C4079" s="133" t="s">
        <v>348</v>
      </c>
      <c r="D4079" s="133" t="s">
        <v>3288</v>
      </c>
      <c r="E4079" s="138">
        <v>1.33</v>
      </c>
      <c r="F4079" s="153" t="s">
        <v>135</v>
      </c>
      <c r="G4079" s="153">
        <v>1</v>
      </c>
      <c r="H4079" s="133" t="s">
        <v>39</v>
      </c>
      <c r="I4079" s="133"/>
      <c r="J4079" s="133" t="s">
        <v>2535</v>
      </c>
      <c r="K4079" s="133" t="s">
        <v>831</v>
      </c>
      <c r="L4079" s="167"/>
      <c r="M4079" s="48"/>
      <c r="N4079" s="123"/>
    </row>
    <row r="4080" spans="1:14" customFormat="1" x14ac:dyDescent="0.55000000000000004">
      <c r="A4080" s="133" t="s">
        <v>2536</v>
      </c>
      <c r="B4080" s="133" t="s">
        <v>3133</v>
      </c>
      <c r="C4080" s="133" t="s">
        <v>132</v>
      </c>
      <c r="D4080" s="133" t="s">
        <v>3288</v>
      </c>
      <c r="E4080" s="138">
        <v>2.23</v>
      </c>
      <c r="F4080" s="153" t="s">
        <v>135</v>
      </c>
      <c r="G4080" s="153">
        <v>1</v>
      </c>
      <c r="H4080" s="133" t="s">
        <v>39</v>
      </c>
      <c r="I4080" s="133"/>
      <c r="J4080" s="133" t="s">
        <v>2535</v>
      </c>
      <c r="K4080" s="133" t="s">
        <v>831</v>
      </c>
      <c r="L4080" s="167"/>
      <c r="M4080" s="48"/>
      <c r="N4080" s="123"/>
    </row>
    <row r="4081" spans="1:14" customFormat="1" x14ac:dyDescent="0.55000000000000004">
      <c r="A4081" s="133" t="s">
        <v>2536</v>
      </c>
      <c r="B4081" s="133" t="s">
        <v>3134</v>
      </c>
      <c r="C4081" s="133" t="s">
        <v>497</v>
      </c>
      <c r="D4081" s="133" t="s">
        <v>3288</v>
      </c>
      <c r="E4081" s="138">
        <v>6.8309999999999994E-8</v>
      </c>
      <c r="F4081" s="153" t="s">
        <v>135</v>
      </c>
      <c r="G4081" s="153">
        <v>1</v>
      </c>
      <c r="H4081" s="133" t="s">
        <v>39</v>
      </c>
      <c r="I4081" s="133"/>
      <c r="J4081" s="133" t="s">
        <v>2535</v>
      </c>
      <c r="K4081" s="133" t="s">
        <v>831</v>
      </c>
      <c r="L4081" s="167"/>
      <c r="M4081" s="48"/>
      <c r="N4081" s="123"/>
    </row>
    <row r="4082" spans="1:14" customFormat="1" x14ac:dyDescent="0.55000000000000004">
      <c r="A4082" s="133" t="s">
        <v>2536</v>
      </c>
      <c r="B4082" s="133" t="s">
        <v>3135</v>
      </c>
      <c r="C4082" s="133" t="s">
        <v>497</v>
      </c>
      <c r="D4082" s="133" t="s">
        <v>3288</v>
      </c>
      <c r="E4082" s="138">
        <v>8.2099999999999995E-7</v>
      </c>
      <c r="F4082" s="153" t="s">
        <v>135</v>
      </c>
      <c r="G4082" s="153">
        <v>1</v>
      </c>
      <c r="H4082" s="133" t="s">
        <v>39</v>
      </c>
      <c r="I4082" s="133"/>
      <c r="J4082" s="133" t="s">
        <v>2535</v>
      </c>
      <c r="K4082" s="133" t="s">
        <v>831</v>
      </c>
      <c r="L4082" s="167"/>
      <c r="M4082" s="48"/>
      <c r="N4082" s="123"/>
    </row>
    <row r="4083" spans="1:14" customFormat="1" x14ac:dyDescent="0.55000000000000004">
      <c r="A4083" s="133" t="s">
        <v>2536</v>
      </c>
      <c r="B4083" s="133" t="s">
        <v>3136</v>
      </c>
      <c r="C4083" s="133" t="s">
        <v>497</v>
      </c>
      <c r="D4083" s="133" t="s">
        <v>3288</v>
      </c>
      <c r="E4083" s="138">
        <v>2.2600000000000001E-11</v>
      </c>
      <c r="F4083" s="153" t="s">
        <v>135</v>
      </c>
      <c r="G4083" s="153">
        <v>1</v>
      </c>
      <c r="H4083" s="133" t="s">
        <v>39</v>
      </c>
      <c r="I4083" s="133"/>
      <c r="J4083" s="133" t="s">
        <v>2535</v>
      </c>
      <c r="K4083" s="133" t="s">
        <v>831</v>
      </c>
      <c r="L4083" s="167"/>
      <c r="M4083" s="48"/>
      <c r="N4083" s="123"/>
    </row>
    <row r="4084" spans="1:14" customFormat="1" x14ac:dyDescent="0.55000000000000004">
      <c r="A4084" s="133" t="s">
        <v>2536</v>
      </c>
      <c r="B4084" s="133" t="s">
        <v>3137</v>
      </c>
      <c r="C4084" s="133" t="s">
        <v>497</v>
      </c>
      <c r="D4084" s="133" t="s">
        <v>3288</v>
      </c>
      <c r="E4084" s="138">
        <v>4.900000022E-9</v>
      </c>
      <c r="F4084" s="153" t="s">
        <v>135</v>
      </c>
      <c r="G4084" s="153">
        <v>1</v>
      </c>
      <c r="H4084" s="133" t="s">
        <v>39</v>
      </c>
      <c r="I4084" s="133"/>
      <c r="J4084" s="133" t="s">
        <v>2535</v>
      </c>
      <c r="K4084" s="133" t="s">
        <v>831</v>
      </c>
      <c r="L4084" s="167"/>
      <c r="M4084" s="48"/>
      <c r="N4084" s="123"/>
    </row>
    <row r="4085" spans="1:14" customFormat="1" x14ac:dyDescent="0.55000000000000004">
      <c r="A4085" s="133" t="s">
        <v>2536</v>
      </c>
      <c r="B4085" s="133" t="s">
        <v>3138</v>
      </c>
      <c r="C4085" s="133" t="s">
        <v>497</v>
      </c>
      <c r="D4085" s="133" t="s">
        <v>3288</v>
      </c>
      <c r="E4085" s="138">
        <v>1.4284E-7</v>
      </c>
      <c r="F4085" s="153" t="s">
        <v>135</v>
      </c>
      <c r="G4085" s="153">
        <v>1</v>
      </c>
      <c r="H4085" s="133" t="s">
        <v>39</v>
      </c>
      <c r="I4085" s="133"/>
      <c r="J4085" s="133" t="s">
        <v>2535</v>
      </c>
      <c r="K4085" s="133" t="s">
        <v>831</v>
      </c>
      <c r="L4085" s="167"/>
      <c r="M4085" s="48"/>
      <c r="N4085" s="123"/>
    </row>
    <row r="4086" spans="1:14" customFormat="1" x14ac:dyDescent="0.55000000000000004">
      <c r="A4086" s="133" t="s">
        <v>2536</v>
      </c>
      <c r="B4086" s="133" t="s">
        <v>3139</v>
      </c>
      <c r="C4086" s="133" t="s">
        <v>497</v>
      </c>
      <c r="D4086" s="133" t="s">
        <v>3288</v>
      </c>
      <c r="E4086" s="138">
        <v>3.3799999999999998E-8</v>
      </c>
      <c r="F4086" s="153" t="s">
        <v>135</v>
      </c>
      <c r="G4086" s="153">
        <v>1</v>
      </c>
      <c r="H4086" s="133" t="s">
        <v>39</v>
      </c>
      <c r="I4086" s="133"/>
      <c r="J4086" s="133" t="s">
        <v>2535</v>
      </c>
      <c r="K4086" s="133" t="s">
        <v>831</v>
      </c>
      <c r="L4086" s="167"/>
      <c r="M4086" s="48"/>
      <c r="N4086" s="123"/>
    </row>
    <row r="4087" spans="1:14" customFormat="1" x14ac:dyDescent="0.55000000000000004">
      <c r="A4087" s="133" t="s">
        <v>2536</v>
      </c>
      <c r="B4087" s="133" t="s">
        <v>3140</v>
      </c>
      <c r="C4087" s="133" t="s">
        <v>497</v>
      </c>
      <c r="D4087" s="133" t="s">
        <v>3288</v>
      </c>
      <c r="E4087" s="138">
        <v>7.5300000000000002E-13</v>
      </c>
      <c r="F4087" s="153" t="s">
        <v>135</v>
      </c>
      <c r="G4087" s="153">
        <v>1</v>
      </c>
      <c r="H4087" s="133" t="s">
        <v>39</v>
      </c>
      <c r="I4087" s="133"/>
      <c r="J4087" s="133" t="s">
        <v>2535</v>
      </c>
      <c r="K4087" s="133" t="s">
        <v>831</v>
      </c>
      <c r="L4087" s="167"/>
      <c r="M4087" s="48"/>
      <c r="N4087" s="123"/>
    </row>
    <row r="4088" spans="1:14" customFormat="1" x14ac:dyDescent="0.55000000000000004">
      <c r="A4088" s="133" t="s">
        <v>2536</v>
      </c>
      <c r="B4088" s="133" t="s">
        <v>3141</v>
      </c>
      <c r="C4088" s="133" t="s">
        <v>497</v>
      </c>
      <c r="D4088" s="133" t="s">
        <v>3288</v>
      </c>
      <c r="E4088" s="138">
        <v>3.79E-4</v>
      </c>
      <c r="F4088" s="153" t="s">
        <v>135</v>
      </c>
      <c r="G4088" s="153">
        <v>1</v>
      </c>
      <c r="H4088" s="133" t="s">
        <v>39</v>
      </c>
      <c r="I4088" s="133"/>
      <c r="J4088" s="133" t="s">
        <v>2535</v>
      </c>
      <c r="K4088" s="133" t="s">
        <v>831</v>
      </c>
      <c r="L4088" s="167"/>
      <c r="M4088" s="48"/>
      <c r="N4088" s="123"/>
    </row>
    <row r="4089" spans="1:14" customFormat="1" x14ac:dyDescent="0.55000000000000004">
      <c r="A4089" s="133" t="s">
        <v>2536</v>
      </c>
      <c r="B4089" s="133" t="s">
        <v>3142</v>
      </c>
      <c r="C4089" s="133" t="s">
        <v>497</v>
      </c>
      <c r="D4089" s="133" t="s">
        <v>3288</v>
      </c>
      <c r="E4089" s="138">
        <v>4.3367700000000002E-6</v>
      </c>
      <c r="F4089" s="153" t="s">
        <v>135</v>
      </c>
      <c r="G4089" s="153">
        <v>1</v>
      </c>
      <c r="H4089" s="133" t="s">
        <v>39</v>
      </c>
      <c r="I4089" s="133"/>
      <c r="J4089" s="133" t="s">
        <v>2535</v>
      </c>
      <c r="K4089" s="133" t="s">
        <v>831</v>
      </c>
      <c r="L4089" s="167"/>
      <c r="M4089" s="48"/>
      <c r="N4089" s="123"/>
    </row>
    <row r="4090" spans="1:14" customFormat="1" x14ac:dyDescent="0.55000000000000004">
      <c r="A4090" s="133" t="s">
        <v>2536</v>
      </c>
      <c r="B4090" s="133" t="s">
        <v>3143</v>
      </c>
      <c r="C4090" s="133" t="s">
        <v>497</v>
      </c>
      <c r="D4090" s="133" t="s">
        <v>3288</v>
      </c>
      <c r="E4090" s="138">
        <v>6.4899999999999997E-9</v>
      </c>
      <c r="F4090" s="153" t="s">
        <v>135</v>
      </c>
      <c r="G4090" s="153">
        <v>1</v>
      </c>
      <c r="H4090" s="133" t="s">
        <v>39</v>
      </c>
      <c r="I4090" s="133"/>
      <c r="J4090" s="133" t="s">
        <v>2535</v>
      </c>
      <c r="K4090" s="133" t="s">
        <v>831</v>
      </c>
      <c r="L4090" s="167"/>
      <c r="M4090" s="48"/>
      <c r="N4090" s="123"/>
    </row>
    <row r="4091" spans="1:14" customFormat="1" x14ac:dyDescent="0.55000000000000004">
      <c r="A4091" s="133" t="s">
        <v>2536</v>
      </c>
      <c r="B4091" s="133" t="s">
        <v>3144</v>
      </c>
      <c r="C4091" s="133" t="s">
        <v>497</v>
      </c>
      <c r="D4091" s="133" t="s">
        <v>3288</v>
      </c>
      <c r="E4091" s="138">
        <v>1.3860000000000001E-4</v>
      </c>
      <c r="F4091" s="153" t="s">
        <v>135</v>
      </c>
      <c r="G4091" s="153">
        <v>1</v>
      </c>
      <c r="H4091" s="133" t="s">
        <v>39</v>
      </c>
      <c r="I4091" s="133"/>
      <c r="J4091" s="133" t="s">
        <v>2535</v>
      </c>
      <c r="K4091" s="133" t="s">
        <v>831</v>
      </c>
      <c r="L4091" s="167"/>
      <c r="M4091" s="48"/>
      <c r="N4091" s="123"/>
    </row>
    <row r="4092" spans="1:14" customFormat="1" x14ac:dyDescent="0.55000000000000004">
      <c r="A4092" s="133" t="s">
        <v>2536</v>
      </c>
      <c r="B4092" s="133" t="s">
        <v>3092</v>
      </c>
      <c r="C4092" s="133" t="s">
        <v>497</v>
      </c>
      <c r="D4092" s="133" t="s">
        <v>3288</v>
      </c>
      <c r="E4092" s="138">
        <v>0.47599999999999998</v>
      </c>
      <c r="F4092" s="153" t="s">
        <v>135</v>
      </c>
      <c r="G4092" s="153">
        <v>1</v>
      </c>
      <c r="H4092" s="133" t="s">
        <v>39</v>
      </c>
      <c r="I4092" s="133"/>
      <c r="J4092" s="133" t="s">
        <v>2535</v>
      </c>
      <c r="K4092" s="133" t="s">
        <v>831</v>
      </c>
      <c r="L4092" s="167"/>
      <c r="M4092" s="48"/>
      <c r="N4092" s="123"/>
    </row>
    <row r="4093" spans="1:14" customFormat="1" x14ac:dyDescent="0.55000000000000004">
      <c r="A4093" s="133" t="s">
        <v>2536</v>
      </c>
      <c r="B4093" s="133" t="s">
        <v>3145</v>
      </c>
      <c r="C4093" s="133" t="s">
        <v>497</v>
      </c>
      <c r="D4093" s="133" t="s">
        <v>3288</v>
      </c>
      <c r="E4093" s="138">
        <v>0.72699999999999998</v>
      </c>
      <c r="F4093" s="153" t="s">
        <v>135</v>
      </c>
      <c r="G4093" s="153">
        <v>1</v>
      </c>
      <c r="H4093" s="133" t="s">
        <v>39</v>
      </c>
      <c r="I4093" s="133"/>
      <c r="J4093" s="133" t="s">
        <v>2535</v>
      </c>
      <c r="K4093" s="133" t="s">
        <v>831</v>
      </c>
      <c r="L4093" s="167"/>
      <c r="M4093" s="48"/>
      <c r="N4093" s="123"/>
    </row>
    <row r="4094" spans="1:14" customFormat="1" x14ac:dyDescent="0.55000000000000004">
      <c r="A4094" s="133" t="s">
        <v>2536</v>
      </c>
      <c r="B4094" s="133" t="s">
        <v>3093</v>
      </c>
      <c r="C4094" s="133" t="s">
        <v>497</v>
      </c>
      <c r="D4094" s="133" t="s">
        <v>3288</v>
      </c>
      <c r="E4094" s="138">
        <v>2.2799999999999999E-5</v>
      </c>
      <c r="F4094" s="153" t="s">
        <v>135</v>
      </c>
      <c r="G4094" s="153">
        <v>1</v>
      </c>
      <c r="H4094" s="133" t="s">
        <v>39</v>
      </c>
      <c r="I4094" s="133"/>
      <c r="J4094" s="133" t="s">
        <v>2535</v>
      </c>
      <c r="K4094" s="133" t="s">
        <v>831</v>
      </c>
      <c r="L4094" s="167"/>
      <c r="M4094" s="48"/>
      <c r="N4094" s="123"/>
    </row>
    <row r="4095" spans="1:14" customFormat="1" x14ac:dyDescent="0.55000000000000004">
      <c r="A4095" s="133" t="s">
        <v>2536</v>
      </c>
      <c r="B4095" s="133" t="s">
        <v>3146</v>
      </c>
      <c r="C4095" s="133" t="s">
        <v>497</v>
      </c>
      <c r="D4095" s="133" t="s">
        <v>3288</v>
      </c>
      <c r="E4095" s="138">
        <v>3.4799999999999999E-5</v>
      </c>
      <c r="F4095" s="153" t="s">
        <v>135</v>
      </c>
      <c r="G4095" s="153">
        <v>1</v>
      </c>
      <c r="H4095" s="133" t="s">
        <v>39</v>
      </c>
      <c r="I4095" s="133"/>
      <c r="J4095" s="133" t="s">
        <v>2535</v>
      </c>
      <c r="K4095" s="133" t="s">
        <v>831</v>
      </c>
      <c r="L4095" s="167"/>
      <c r="M4095" s="48"/>
      <c r="N4095" s="123"/>
    </row>
    <row r="4096" spans="1:14" customFormat="1" x14ac:dyDescent="0.55000000000000004">
      <c r="A4096" s="133" t="s">
        <v>2536</v>
      </c>
      <c r="B4096" s="133" t="s">
        <v>3147</v>
      </c>
      <c r="C4096" s="133" t="s">
        <v>497</v>
      </c>
      <c r="D4096" s="133" t="s">
        <v>3288</v>
      </c>
      <c r="E4096" s="138">
        <v>3.98E-3</v>
      </c>
      <c r="F4096" s="153" t="s">
        <v>135</v>
      </c>
      <c r="G4096" s="153">
        <v>1</v>
      </c>
      <c r="H4096" s="133" t="s">
        <v>39</v>
      </c>
      <c r="I4096" s="133"/>
      <c r="J4096" s="133" t="s">
        <v>2535</v>
      </c>
      <c r="K4096" s="133" t="s">
        <v>831</v>
      </c>
      <c r="L4096" s="167"/>
      <c r="M4096" s="48"/>
      <c r="N4096" s="123"/>
    </row>
    <row r="4097" spans="1:14" customFormat="1" x14ac:dyDescent="0.55000000000000004">
      <c r="A4097" s="133" t="s">
        <v>2536</v>
      </c>
      <c r="B4097" s="133" t="s">
        <v>3148</v>
      </c>
      <c r="C4097" s="133" t="s">
        <v>497</v>
      </c>
      <c r="D4097" s="133" t="s">
        <v>3288</v>
      </c>
      <c r="E4097" s="138">
        <v>5.2809999999999994E-8</v>
      </c>
      <c r="F4097" s="153" t="s">
        <v>135</v>
      </c>
      <c r="G4097" s="153">
        <v>1</v>
      </c>
      <c r="H4097" s="133" t="s">
        <v>39</v>
      </c>
      <c r="I4097" s="133"/>
      <c r="J4097" s="133" t="s">
        <v>2535</v>
      </c>
      <c r="K4097" s="133" t="s">
        <v>831</v>
      </c>
      <c r="L4097" s="167"/>
      <c r="M4097" s="48"/>
      <c r="N4097" s="123"/>
    </row>
    <row r="4098" spans="1:14" customFormat="1" x14ac:dyDescent="0.55000000000000004">
      <c r="A4098" s="133" t="s">
        <v>2536</v>
      </c>
      <c r="B4098" s="133" t="s">
        <v>3149</v>
      </c>
      <c r="C4098" s="133" t="s">
        <v>497</v>
      </c>
      <c r="D4098" s="133" t="s">
        <v>3288</v>
      </c>
      <c r="E4098" s="138">
        <v>2.4634E-9</v>
      </c>
      <c r="F4098" s="153" t="s">
        <v>135</v>
      </c>
      <c r="G4098" s="153">
        <v>1</v>
      </c>
      <c r="H4098" s="133" t="s">
        <v>39</v>
      </c>
      <c r="I4098" s="133"/>
      <c r="J4098" s="133" t="s">
        <v>2535</v>
      </c>
      <c r="K4098" s="133" t="s">
        <v>831</v>
      </c>
      <c r="L4098" s="167"/>
      <c r="M4098" s="48"/>
      <c r="N4098" s="123"/>
    </row>
    <row r="4099" spans="1:14" customFormat="1" x14ac:dyDescent="0.55000000000000004">
      <c r="A4099" s="133" t="s">
        <v>2536</v>
      </c>
      <c r="B4099" s="133" t="s">
        <v>3150</v>
      </c>
      <c r="C4099" s="133" t="s">
        <v>497</v>
      </c>
      <c r="D4099" s="133" t="s">
        <v>3288</v>
      </c>
      <c r="E4099" s="138">
        <v>3.79E-4</v>
      </c>
      <c r="F4099" s="153" t="s">
        <v>135</v>
      </c>
      <c r="G4099" s="153">
        <v>1</v>
      </c>
      <c r="H4099" s="133" t="s">
        <v>39</v>
      </c>
      <c r="I4099" s="133"/>
      <c r="J4099" s="133" t="s">
        <v>2535</v>
      </c>
      <c r="K4099" s="133" t="s">
        <v>831</v>
      </c>
      <c r="L4099" s="167"/>
      <c r="M4099" s="48"/>
      <c r="N4099" s="123"/>
    </row>
    <row r="4100" spans="1:14" customFormat="1" x14ac:dyDescent="0.55000000000000004">
      <c r="A4100" s="133" t="s">
        <v>2536</v>
      </c>
      <c r="B4100" s="133" t="s">
        <v>3151</v>
      </c>
      <c r="C4100" s="133" t="s">
        <v>497</v>
      </c>
      <c r="D4100" s="133" t="s">
        <v>3288</v>
      </c>
      <c r="E4100" s="138">
        <v>1.212E-7</v>
      </c>
      <c r="F4100" s="153" t="s">
        <v>135</v>
      </c>
      <c r="G4100" s="153">
        <v>1</v>
      </c>
      <c r="H4100" s="133" t="s">
        <v>39</v>
      </c>
      <c r="I4100" s="133"/>
      <c r="J4100" s="133" t="s">
        <v>2535</v>
      </c>
      <c r="K4100" s="133" t="s">
        <v>831</v>
      </c>
      <c r="L4100" s="167"/>
      <c r="M4100" s="48"/>
      <c r="N4100" s="123"/>
    </row>
    <row r="4101" spans="1:14" customFormat="1" x14ac:dyDescent="0.55000000000000004">
      <c r="A4101" s="133" t="s">
        <v>2536</v>
      </c>
      <c r="B4101" s="133" t="s">
        <v>3152</v>
      </c>
      <c r="C4101" s="133" t="s">
        <v>497</v>
      </c>
      <c r="D4101" s="133" t="s">
        <v>3288</v>
      </c>
      <c r="E4101" s="138">
        <v>1.0000000000000001E-5</v>
      </c>
      <c r="F4101" s="153" t="s">
        <v>135</v>
      </c>
      <c r="G4101" s="153">
        <v>1</v>
      </c>
      <c r="H4101" s="133" t="s">
        <v>39</v>
      </c>
      <c r="I4101" s="133"/>
      <c r="J4101" s="133" t="s">
        <v>2535</v>
      </c>
      <c r="K4101" s="133" t="s">
        <v>831</v>
      </c>
      <c r="L4101" s="167"/>
      <c r="M4101" s="48"/>
      <c r="N4101" s="123"/>
    </row>
    <row r="4102" spans="1:14" customFormat="1" x14ac:dyDescent="0.55000000000000004">
      <c r="A4102" s="133" t="s">
        <v>2536</v>
      </c>
      <c r="B4102" s="133" t="s">
        <v>3153</v>
      </c>
      <c r="C4102" s="133" t="s">
        <v>497</v>
      </c>
      <c r="D4102" s="133" t="s">
        <v>3288</v>
      </c>
      <c r="E4102" s="138">
        <v>4.6600000000000001E-5</v>
      </c>
      <c r="F4102" s="153" t="s">
        <v>135</v>
      </c>
      <c r="G4102" s="153">
        <v>1</v>
      </c>
      <c r="H4102" s="133" t="s">
        <v>39</v>
      </c>
      <c r="I4102" s="133"/>
      <c r="J4102" s="133" t="s">
        <v>2535</v>
      </c>
      <c r="K4102" s="133" t="s">
        <v>831</v>
      </c>
      <c r="L4102" s="167"/>
      <c r="M4102" s="48"/>
      <c r="N4102" s="123"/>
    </row>
    <row r="4103" spans="1:14" customFormat="1" x14ac:dyDescent="0.55000000000000004">
      <c r="A4103" s="133" t="s">
        <v>2536</v>
      </c>
      <c r="B4103" s="133" t="s">
        <v>3154</v>
      </c>
      <c r="C4103" s="133" t="s">
        <v>497</v>
      </c>
      <c r="D4103" s="133" t="s">
        <v>3288</v>
      </c>
      <c r="E4103" s="138">
        <v>6.7700000000000004E-14</v>
      </c>
      <c r="F4103" s="153" t="s">
        <v>135</v>
      </c>
      <c r="G4103" s="153">
        <v>1</v>
      </c>
      <c r="H4103" s="133" t="s">
        <v>39</v>
      </c>
      <c r="I4103" s="133"/>
      <c r="J4103" s="133" t="s">
        <v>2535</v>
      </c>
      <c r="K4103" s="133" t="s">
        <v>831</v>
      </c>
      <c r="L4103" s="167"/>
      <c r="M4103" s="48"/>
      <c r="N4103" s="123"/>
    </row>
    <row r="4104" spans="1:14" customFormat="1" x14ac:dyDescent="0.55000000000000004">
      <c r="A4104" s="133" t="s">
        <v>2536</v>
      </c>
      <c r="B4104" s="133" t="s">
        <v>3155</v>
      </c>
      <c r="C4104" s="133" t="s">
        <v>497</v>
      </c>
      <c r="D4104" s="133" t="s">
        <v>3288</v>
      </c>
      <c r="E4104" s="138">
        <v>1.66E-4</v>
      </c>
      <c r="F4104" s="153" t="s">
        <v>135</v>
      </c>
      <c r="G4104" s="153">
        <v>1</v>
      </c>
      <c r="H4104" s="133" t="s">
        <v>39</v>
      </c>
      <c r="I4104" s="133"/>
      <c r="J4104" s="133" t="s">
        <v>2535</v>
      </c>
      <c r="K4104" s="133" t="s">
        <v>831</v>
      </c>
      <c r="L4104" s="167"/>
      <c r="M4104" s="48"/>
      <c r="N4104" s="123"/>
    </row>
    <row r="4105" spans="1:14" customFormat="1" x14ac:dyDescent="0.55000000000000004">
      <c r="A4105" s="133" t="s">
        <v>2536</v>
      </c>
      <c r="B4105" s="133" t="s">
        <v>3156</v>
      </c>
      <c r="C4105" s="133" t="s">
        <v>497</v>
      </c>
      <c r="D4105" s="133" t="s">
        <v>3288</v>
      </c>
      <c r="E4105" s="138">
        <v>2.5600000000000001E-6</v>
      </c>
      <c r="F4105" s="153" t="s">
        <v>135</v>
      </c>
      <c r="G4105" s="153">
        <v>1</v>
      </c>
      <c r="H4105" s="133" t="s">
        <v>39</v>
      </c>
      <c r="I4105" s="133"/>
      <c r="J4105" s="133" t="s">
        <v>2535</v>
      </c>
      <c r="K4105" s="133" t="s">
        <v>831</v>
      </c>
      <c r="L4105" s="167"/>
      <c r="M4105" s="48"/>
      <c r="N4105" s="123"/>
    </row>
    <row r="4106" spans="1:14" customFormat="1" x14ac:dyDescent="0.55000000000000004">
      <c r="A4106" s="133" t="s">
        <v>2536</v>
      </c>
      <c r="B4106" s="133" t="s">
        <v>3157</v>
      </c>
      <c r="C4106" s="133" t="s">
        <v>497</v>
      </c>
      <c r="D4106" s="133" t="s">
        <v>2994</v>
      </c>
      <c r="E4106" s="138">
        <v>9382.5</v>
      </c>
      <c r="F4106" s="153" t="s">
        <v>167</v>
      </c>
      <c r="G4106" s="153">
        <v>1</v>
      </c>
      <c r="H4106" s="133" t="s">
        <v>39</v>
      </c>
      <c r="I4106" s="133"/>
      <c r="J4106" s="133" t="s">
        <v>2535</v>
      </c>
      <c r="K4106" s="133" t="s">
        <v>831</v>
      </c>
      <c r="L4106" s="167"/>
      <c r="M4106" s="48"/>
      <c r="N4106" s="123"/>
    </row>
    <row r="4107" spans="1:14" customFormat="1" x14ac:dyDescent="0.55000000000000004">
      <c r="A4107" s="133" t="s">
        <v>2536</v>
      </c>
      <c r="B4107" s="133" t="s">
        <v>3158</v>
      </c>
      <c r="C4107" s="133" t="s">
        <v>497</v>
      </c>
      <c r="D4107" s="133" t="s">
        <v>3288</v>
      </c>
      <c r="E4107" s="138">
        <v>7.0800000000000004E-11</v>
      </c>
      <c r="F4107" s="153" t="s">
        <v>135</v>
      </c>
      <c r="G4107" s="153">
        <v>1</v>
      </c>
      <c r="H4107" s="133" t="s">
        <v>39</v>
      </c>
      <c r="I4107" s="133"/>
      <c r="J4107" s="133" t="s">
        <v>2535</v>
      </c>
      <c r="K4107" s="133" t="s">
        <v>831</v>
      </c>
      <c r="L4107" s="167"/>
      <c r="M4107" s="48"/>
      <c r="N4107" s="123"/>
    </row>
    <row r="4108" spans="1:14" customFormat="1" x14ac:dyDescent="0.55000000000000004">
      <c r="A4108" s="133" t="s">
        <v>2536</v>
      </c>
      <c r="B4108" s="133" t="s">
        <v>3126</v>
      </c>
      <c r="C4108" s="133" t="s">
        <v>497</v>
      </c>
      <c r="D4108" s="133" t="s">
        <v>3288</v>
      </c>
      <c r="E4108" s="138">
        <v>3.41E-6</v>
      </c>
      <c r="F4108" s="153" t="s">
        <v>135</v>
      </c>
      <c r="G4108" s="153">
        <v>1</v>
      </c>
      <c r="H4108" s="133" t="s">
        <v>39</v>
      </c>
      <c r="I4108" s="133"/>
      <c r="J4108" s="133" t="s">
        <v>2535</v>
      </c>
      <c r="K4108" s="133" t="s">
        <v>831</v>
      </c>
      <c r="L4108" s="167"/>
      <c r="M4108" s="48"/>
      <c r="N4108" s="123"/>
    </row>
    <row r="4109" spans="1:14" customFormat="1" x14ac:dyDescent="0.55000000000000004">
      <c r="A4109" s="133" t="s">
        <v>2536</v>
      </c>
      <c r="B4109" s="133" t="s">
        <v>3159</v>
      </c>
      <c r="C4109" s="133" t="s">
        <v>497</v>
      </c>
      <c r="D4109" s="133" t="s">
        <v>3288</v>
      </c>
      <c r="E4109" s="138">
        <v>3.8000000000000001E-7</v>
      </c>
      <c r="F4109" s="153" t="s">
        <v>135</v>
      </c>
      <c r="G4109" s="153">
        <v>1</v>
      </c>
      <c r="H4109" s="133" t="s">
        <v>39</v>
      </c>
      <c r="I4109" s="133"/>
      <c r="J4109" s="133" t="s">
        <v>2535</v>
      </c>
      <c r="K4109" s="133" t="s">
        <v>831</v>
      </c>
      <c r="L4109" s="167"/>
      <c r="M4109" s="48"/>
      <c r="N4109" s="123"/>
    </row>
    <row r="4110" spans="1:14" customFormat="1" x14ac:dyDescent="0.55000000000000004">
      <c r="A4110" s="133" t="s">
        <v>2536</v>
      </c>
      <c r="B4110" s="133" t="s">
        <v>3160</v>
      </c>
      <c r="C4110" s="133" t="s">
        <v>497</v>
      </c>
      <c r="D4110" s="133" t="s">
        <v>3288</v>
      </c>
      <c r="E4110" s="138">
        <v>8.0600000000000007E-9</v>
      </c>
      <c r="F4110" s="153" t="s">
        <v>135</v>
      </c>
      <c r="G4110" s="153">
        <v>1</v>
      </c>
      <c r="H4110" s="133" t="s">
        <v>39</v>
      </c>
      <c r="I4110" s="133"/>
      <c r="J4110" s="133" t="s">
        <v>2535</v>
      </c>
      <c r="K4110" s="133" t="s">
        <v>831</v>
      </c>
      <c r="L4110" s="167"/>
      <c r="M4110" s="48"/>
      <c r="N4110" s="123"/>
    </row>
    <row r="4111" spans="1:14" customFormat="1" x14ac:dyDescent="0.55000000000000004">
      <c r="A4111" s="133" t="s">
        <v>2536</v>
      </c>
      <c r="B4111" s="133" t="s">
        <v>3161</v>
      </c>
      <c r="C4111" s="133" t="s">
        <v>497</v>
      </c>
      <c r="D4111" s="133" t="s">
        <v>3288</v>
      </c>
      <c r="E4111" s="138">
        <v>6.7199999999999996E-12</v>
      </c>
      <c r="F4111" s="153" t="s">
        <v>135</v>
      </c>
      <c r="G4111" s="153">
        <v>1</v>
      </c>
      <c r="H4111" s="133" t="s">
        <v>39</v>
      </c>
      <c r="I4111" s="133"/>
      <c r="J4111" s="133" t="s">
        <v>2535</v>
      </c>
      <c r="K4111" s="133" t="s">
        <v>831</v>
      </c>
      <c r="L4111" s="167"/>
      <c r="M4111" s="48"/>
      <c r="N4111" s="123"/>
    </row>
    <row r="4112" spans="1:14" customFormat="1" x14ac:dyDescent="0.55000000000000004">
      <c r="A4112" s="133" t="s">
        <v>2536</v>
      </c>
      <c r="B4112" s="133" t="s">
        <v>3162</v>
      </c>
      <c r="C4112" s="133" t="s">
        <v>497</v>
      </c>
      <c r="D4112" s="133" t="s">
        <v>3288</v>
      </c>
      <c r="E4112" s="138">
        <v>1.6499999999999998E-7</v>
      </c>
      <c r="F4112" s="153" t="s">
        <v>135</v>
      </c>
      <c r="G4112" s="153">
        <v>1</v>
      </c>
      <c r="H4112" s="133" t="s">
        <v>39</v>
      </c>
      <c r="I4112" s="133"/>
      <c r="J4112" s="133" t="s">
        <v>2535</v>
      </c>
      <c r="K4112" s="133" t="s">
        <v>831</v>
      </c>
      <c r="L4112" s="167"/>
      <c r="M4112" s="48"/>
      <c r="N4112" s="123"/>
    </row>
    <row r="4113" spans="1:14" customFormat="1" x14ac:dyDescent="0.55000000000000004">
      <c r="A4113" s="133" t="s">
        <v>2536</v>
      </c>
      <c r="B4113" s="133" t="s">
        <v>3163</v>
      </c>
      <c r="C4113" s="133" t="s">
        <v>497</v>
      </c>
      <c r="D4113" s="133" t="s">
        <v>3288</v>
      </c>
      <c r="E4113" s="138">
        <v>4.9999999999999998E-8</v>
      </c>
      <c r="F4113" s="153" t="s">
        <v>135</v>
      </c>
      <c r="G4113" s="153">
        <v>1</v>
      </c>
      <c r="H4113" s="133" t="s">
        <v>39</v>
      </c>
      <c r="I4113" s="133"/>
      <c r="J4113" s="133" t="s">
        <v>2535</v>
      </c>
      <c r="K4113" s="133" t="s">
        <v>831</v>
      </c>
      <c r="L4113" s="167"/>
      <c r="M4113" s="48"/>
      <c r="N4113" s="123"/>
    </row>
    <row r="4114" spans="1:14" customFormat="1" x14ac:dyDescent="0.55000000000000004">
      <c r="A4114" s="133" t="s">
        <v>2536</v>
      </c>
      <c r="B4114" s="133" t="s">
        <v>3164</v>
      </c>
      <c r="C4114" s="133" t="s">
        <v>497</v>
      </c>
      <c r="D4114" s="133" t="s">
        <v>3288</v>
      </c>
      <c r="E4114" s="138">
        <v>5.9400000000000007E-6</v>
      </c>
      <c r="F4114" s="153" t="s">
        <v>135</v>
      </c>
      <c r="G4114" s="153">
        <v>1</v>
      </c>
      <c r="H4114" s="133" t="s">
        <v>39</v>
      </c>
      <c r="I4114" s="133"/>
      <c r="J4114" s="133" t="s">
        <v>2535</v>
      </c>
      <c r="K4114" s="133" t="s">
        <v>831</v>
      </c>
      <c r="L4114" s="167"/>
      <c r="M4114" s="48"/>
      <c r="N4114" s="123"/>
    </row>
    <row r="4115" spans="1:14" customFormat="1" x14ac:dyDescent="0.55000000000000004">
      <c r="A4115" s="133" t="s">
        <v>2536</v>
      </c>
      <c r="B4115" s="133" t="s">
        <v>3165</v>
      </c>
      <c r="C4115" s="133" t="s">
        <v>497</v>
      </c>
      <c r="D4115" s="133" t="s">
        <v>3288</v>
      </c>
      <c r="E4115" s="138">
        <v>8.0299999999999998E-8</v>
      </c>
      <c r="F4115" s="153" t="s">
        <v>135</v>
      </c>
      <c r="G4115" s="153">
        <v>1</v>
      </c>
      <c r="H4115" s="133" t="s">
        <v>39</v>
      </c>
      <c r="I4115" s="133"/>
      <c r="J4115" s="133" t="s">
        <v>2535</v>
      </c>
      <c r="K4115" s="133" t="s">
        <v>831</v>
      </c>
      <c r="L4115" s="167"/>
      <c r="M4115" s="48"/>
      <c r="N4115" s="123"/>
    </row>
    <row r="4116" spans="1:14" customFormat="1" x14ac:dyDescent="0.55000000000000004">
      <c r="A4116" s="133" t="s">
        <v>2536</v>
      </c>
      <c r="B4116" s="133" t="s">
        <v>3166</v>
      </c>
      <c r="C4116" s="133" t="s">
        <v>497</v>
      </c>
      <c r="D4116" s="133" t="s">
        <v>3288</v>
      </c>
      <c r="E4116" s="138">
        <v>3.3996000000000002E-8</v>
      </c>
      <c r="F4116" s="153" t="s">
        <v>135</v>
      </c>
      <c r="G4116" s="153">
        <v>1</v>
      </c>
      <c r="H4116" s="133" t="s">
        <v>39</v>
      </c>
      <c r="I4116" s="133"/>
      <c r="J4116" s="133" t="s">
        <v>2535</v>
      </c>
      <c r="K4116" s="133" t="s">
        <v>831</v>
      </c>
      <c r="L4116" s="167"/>
      <c r="M4116" s="48"/>
      <c r="N4116" s="123"/>
    </row>
    <row r="4117" spans="1:14" customFormat="1" x14ac:dyDescent="0.55000000000000004">
      <c r="A4117" s="133" t="s">
        <v>2536</v>
      </c>
      <c r="B4117" s="133" t="s">
        <v>3167</v>
      </c>
      <c r="C4117" s="133" t="s">
        <v>497</v>
      </c>
      <c r="D4117" s="133" t="s">
        <v>3288</v>
      </c>
      <c r="E4117" s="138">
        <v>2.0100000000000001E-7</v>
      </c>
      <c r="F4117" s="153" t="s">
        <v>135</v>
      </c>
      <c r="G4117" s="153">
        <v>1</v>
      </c>
      <c r="H4117" s="133" t="s">
        <v>39</v>
      </c>
      <c r="I4117" s="133"/>
      <c r="J4117" s="133" t="s">
        <v>2535</v>
      </c>
      <c r="K4117" s="133" t="s">
        <v>831</v>
      </c>
      <c r="L4117" s="167"/>
      <c r="M4117" s="48"/>
      <c r="N4117" s="123"/>
    </row>
    <row r="4118" spans="1:14" customFormat="1" x14ac:dyDescent="0.55000000000000004">
      <c r="A4118" s="133" t="s">
        <v>2536</v>
      </c>
      <c r="B4118" s="133" t="s">
        <v>3168</v>
      </c>
      <c r="C4118" s="133" t="s">
        <v>497</v>
      </c>
      <c r="D4118" s="133" t="s">
        <v>3288</v>
      </c>
      <c r="E4118" s="138">
        <v>3.0699999999999998E-7</v>
      </c>
      <c r="F4118" s="153" t="s">
        <v>135</v>
      </c>
      <c r="G4118" s="153">
        <v>1</v>
      </c>
      <c r="H4118" s="133" t="s">
        <v>39</v>
      </c>
      <c r="I4118" s="133"/>
      <c r="J4118" s="133" t="s">
        <v>2535</v>
      </c>
      <c r="K4118" s="133" t="s">
        <v>831</v>
      </c>
      <c r="L4118" s="167"/>
      <c r="M4118" s="48"/>
      <c r="N4118" s="123"/>
    </row>
    <row r="4119" spans="1:14" customFormat="1" x14ac:dyDescent="0.55000000000000004">
      <c r="A4119" s="133" t="s">
        <v>2536</v>
      </c>
      <c r="B4119" s="133" t="s">
        <v>3169</v>
      </c>
      <c r="C4119" s="133" t="s">
        <v>497</v>
      </c>
      <c r="D4119" s="133" t="s">
        <v>3288</v>
      </c>
      <c r="E4119" s="138">
        <v>2.6730000000000002E-9</v>
      </c>
      <c r="F4119" s="153" t="s">
        <v>135</v>
      </c>
      <c r="G4119" s="153">
        <v>1</v>
      </c>
      <c r="H4119" s="133" t="s">
        <v>39</v>
      </c>
      <c r="I4119" s="133"/>
      <c r="J4119" s="133" t="s">
        <v>2535</v>
      </c>
      <c r="K4119" s="133" t="s">
        <v>831</v>
      </c>
      <c r="L4119" s="167"/>
      <c r="M4119" s="48"/>
      <c r="N4119" s="123"/>
    </row>
    <row r="4120" spans="1:14" customFormat="1" x14ac:dyDescent="0.55000000000000004">
      <c r="A4120" s="133" t="s">
        <v>2536</v>
      </c>
      <c r="B4120" s="133" t="s">
        <v>3170</v>
      </c>
      <c r="C4120" s="133" t="s">
        <v>497</v>
      </c>
      <c r="D4120" s="133" t="s">
        <v>3288</v>
      </c>
      <c r="E4120" s="138">
        <v>7.0720000000000001E-8</v>
      </c>
      <c r="F4120" s="153" t="s">
        <v>135</v>
      </c>
      <c r="G4120" s="153">
        <v>1</v>
      </c>
      <c r="H4120" s="133" t="s">
        <v>39</v>
      </c>
      <c r="I4120" s="133"/>
      <c r="J4120" s="133" t="s">
        <v>2535</v>
      </c>
      <c r="K4120" s="133" t="s">
        <v>831</v>
      </c>
      <c r="L4120" s="167"/>
      <c r="M4120" s="48"/>
      <c r="N4120" s="123"/>
    </row>
    <row r="4121" spans="1:14" customFormat="1" x14ac:dyDescent="0.55000000000000004">
      <c r="A4121" s="133" t="s">
        <v>2536</v>
      </c>
      <c r="B4121" s="133" t="s">
        <v>3171</v>
      </c>
      <c r="C4121" s="133" t="s">
        <v>497</v>
      </c>
      <c r="D4121" s="133" t="s">
        <v>3288</v>
      </c>
      <c r="E4121" s="138">
        <v>1.3699999999999999E-5</v>
      </c>
      <c r="F4121" s="153" t="s">
        <v>135</v>
      </c>
      <c r="G4121" s="153">
        <v>1</v>
      </c>
      <c r="H4121" s="133" t="s">
        <v>39</v>
      </c>
      <c r="I4121" s="133"/>
      <c r="J4121" s="133" t="s">
        <v>2535</v>
      </c>
      <c r="K4121" s="133" t="s">
        <v>831</v>
      </c>
      <c r="L4121" s="167"/>
      <c r="M4121" s="48"/>
      <c r="N4121" s="123"/>
    </row>
    <row r="4122" spans="1:14" customFormat="1" x14ac:dyDescent="0.55000000000000004">
      <c r="A4122" s="133" t="s">
        <v>2536</v>
      </c>
      <c r="B4122" s="133" t="s">
        <v>3172</v>
      </c>
      <c r="C4122" s="133" t="s">
        <v>497</v>
      </c>
      <c r="D4122" s="133" t="s">
        <v>3288</v>
      </c>
      <c r="E4122" s="138">
        <v>2.5999999999999998E-4</v>
      </c>
      <c r="F4122" s="153" t="s">
        <v>135</v>
      </c>
      <c r="G4122" s="153">
        <v>1</v>
      </c>
      <c r="H4122" s="133" t="s">
        <v>39</v>
      </c>
      <c r="I4122" s="133"/>
      <c r="J4122" s="133" t="s">
        <v>2535</v>
      </c>
      <c r="K4122" s="133" t="s">
        <v>831</v>
      </c>
      <c r="L4122" s="167"/>
      <c r="M4122" s="48"/>
      <c r="N4122" s="123"/>
    </row>
    <row r="4123" spans="1:14" customFormat="1" x14ac:dyDescent="0.55000000000000004">
      <c r="A4123" s="133" t="s">
        <v>2536</v>
      </c>
      <c r="B4123" s="133" t="s">
        <v>3173</v>
      </c>
      <c r="C4123" s="133" t="s">
        <v>497</v>
      </c>
      <c r="D4123" s="133" t="s">
        <v>3288</v>
      </c>
      <c r="E4123" s="138">
        <v>1.5400000000000001E-6</v>
      </c>
      <c r="F4123" s="153" t="s">
        <v>135</v>
      </c>
      <c r="G4123" s="153">
        <v>1</v>
      </c>
      <c r="H4123" s="133" t="s">
        <v>39</v>
      </c>
      <c r="I4123" s="133"/>
      <c r="J4123" s="133" t="s">
        <v>2535</v>
      </c>
      <c r="K4123" s="133" t="s">
        <v>831</v>
      </c>
      <c r="L4123" s="167"/>
      <c r="M4123" s="48"/>
      <c r="N4123" s="123"/>
    </row>
    <row r="4124" spans="1:14" customFormat="1" x14ac:dyDescent="0.55000000000000004">
      <c r="A4124" s="133" t="s">
        <v>2536</v>
      </c>
      <c r="B4124" s="133" t="s">
        <v>3174</v>
      </c>
      <c r="C4124" s="133" t="s">
        <v>497</v>
      </c>
      <c r="D4124" s="133" t="s">
        <v>3288</v>
      </c>
      <c r="E4124" s="138">
        <v>4.0400000000000003E-6</v>
      </c>
      <c r="F4124" s="153" t="s">
        <v>135</v>
      </c>
      <c r="G4124" s="153">
        <v>1</v>
      </c>
      <c r="H4124" s="133" t="s">
        <v>39</v>
      </c>
      <c r="I4124" s="133"/>
      <c r="J4124" s="133" t="s">
        <v>2535</v>
      </c>
      <c r="K4124" s="133" t="s">
        <v>831</v>
      </c>
      <c r="L4124" s="167"/>
      <c r="M4124" s="48"/>
      <c r="N4124" s="123"/>
    </row>
    <row r="4125" spans="1:14" customFormat="1" x14ac:dyDescent="0.55000000000000004">
      <c r="A4125" s="133" t="s">
        <v>2536</v>
      </c>
      <c r="B4125" s="133" t="s">
        <v>3175</v>
      </c>
      <c r="C4125" s="133" t="s">
        <v>497</v>
      </c>
      <c r="D4125" s="133" t="s">
        <v>3288</v>
      </c>
      <c r="E4125" s="138">
        <v>2.03E-8</v>
      </c>
      <c r="F4125" s="153" t="s">
        <v>135</v>
      </c>
      <c r="G4125" s="153">
        <v>1</v>
      </c>
      <c r="H4125" s="133" t="s">
        <v>39</v>
      </c>
      <c r="I4125" s="133"/>
      <c r="J4125" s="133" t="s">
        <v>2535</v>
      </c>
      <c r="K4125" s="133" t="s">
        <v>831</v>
      </c>
      <c r="L4125" s="167"/>
      <c r="M4125" s="48"/>
      <c r="N4125" s="123"/>
    </row>
    <row r="4126" spans="1:14" customFormat="1" x14ac:dyDescent="0.55000000000000004">
      <c r="A4126" s="133" t="s">
        <v>2536</v>
      </c>
      <c r="B4126" s="133" t="s">
        <v>3176</v>
      </c>
      <c r="C4126" s="133" t="s">
        <v>497</v>
      </c>
      <c r="D4126" s="133" t="s">
        <v>3288</v>
      </c>
      <c r="E4126" s="138">
        <v>1.79E-10</v>
      </c>
      <c r="F4126" s="153" t="s">
        <v>135</v>
      </c>
      <c r="G4126" s="153">
        <v>1</v>
      </c>
      <c r="H4126" s="133" t="s">
        <v>39</v>
      </c>
      <c r="I4126" s="133"/>
      <c r="J4126" s="133" t="s">
        <v>2535</v>
      </c>
      <c r="K4126" s="133" t="s">
        <v>831</v>
      </c>
      <c r="L4126" s="167"/>
      <c r="M4126" s="48"/>
      <c r="N4126" s="123"/>
    </row>
    <row r="4127" spans="1:14" customFormat="1" x14ac:dyDescent="0.55000000000000004">
      <c r="A4127" s="133" t="s">
        <v>2536</v>
      </c>
      <c r="B4127" s="133" t="s">
        <v>3177</v>
      </c>
      <c r="C4127" s="133" t="s">
        <v>497</v>
      </c>
      <c r="D4127" s="133" t="s">
        <v>3288</v>
      </c>
      <c r="E4127" s="138">
        <v>1.4700000000000002E-11</v>
      </c>
      <c r="F4127" s="153" t="s">
        <v>135</v>
      </c>
      <c r="G4127" s="153">
        <v>1</v>
      </c>
      <c r="H4127" s="133" t="s">
        <v>39</v>
      </c>
      <c r="I4127" s="133"/>
      <c r="J4127" s="133" t="s">
        <v>2535</v>
      </c>
      <c r="K4127" s="133" t="s">
        <v>831</v>
      </c>
      <c r="L4127" s="167"/>
      <c r="M4127" s="48"/>
      <c r="N4127" s="123"/>
    </row>
    <row r="4128" spans="1:14" customFormat="1" x14ac:dyDescent="0.55000000000000004">
      <c r="A4128" s="133" t="s">
        <v>2536</v>
      </c>
      <c r="B4128" s="133" t="s">
        <v>3178</v>
      </c>
      <c r="C4128" s="133" t="s">
        <v>497</v>
      </c>
      <c r="D4128" s="133" t="s">
        <v>3288</v>
      </c>
      <c r="E4128" s="138">
        <v>3.03E-7</v>
      </c>
      <c r="F4128" s="153" t="s">
        <v>135</v>
      </c>
      <c r="G4128" s="153">
        <v>1</v>
      </c>
      <c r="H4128" s="133" t="s">
        <v>39</v>
      </c>
      <c r="I4128" s="133"/>
      <c r="J4128" s="133" t="s">
        <v>2535</v>
      </c>
      <c r="K4128" s="133" t="s">
        <v>831</v>
      </c>
      <c r="L4128" s="167"/>
      <c r="M4128" s="48"/>
      <c r="N4128" s="123"/>
    </row>
    <row r="4129" spans="1:14" customFormat="1" x14ac:dyDescent="0.55000000000000004">
      <c r="A4129" s="133" t="s">
        <v>2536</v>
      </c>
      <c r="B4129" s="133" t="s">
        <v>3179</v>
      </c>
      <c r="C4129" s="133" t="s">
        <v>497</v>
      </c>
      <c r="D4129" s="133" t="s">
        <v>3288</v>
      </c>
      <c r="E4129" s="138">
        <v>9.0800000000000003E-7</v>
      </c>
      <c r="F4129" s="153" t="s">
        <v>135</v>
      </c>
      <c r="G4129" s="153">
        <v>1</v>
      </c>
      <c r="H4129" s="133" t="s">
        <v>39</v>
      </c>
      <c r="I4129" s="133"/>
      <c r="J4129" s="133" t="s">
        <v>2535</v>
      </c>
      <c r="K4129" s="133" t="s">
        <v>831</v>
      </c>
      <c r="L4129" s="167"/>
      <c r="M4129" s="48"/>
      <c r="N4129" s="123"/>
    </row>
    <row r="4130" spans="1:14" customFormat="1" x14ac:dyDescent="0.55000000000000004">
      <c r="A4130" s="133" t="s">
        <v>2536</v>
      </c>
      <c r="B4130" s="133" t="s">
        <v>3180</v>
      </c>
      <c r="C4130" s="133" t="s">
        <v>497</v>
      </c>
      <c r="D4130" s="133" t="s">
        <v>3288</v>
      </c>
      <c r="E4130" s="138">
        <v>2.02E-5</v>
      </c>
      <c r="F4130" s="153" t="s">
        <v>135</v>
      </c>
      <c r="G4130" s="153">
        <v>1</v>
      </c>
      <c r="H4130" s="133" t="s">
        <v>39</v>
      </c>
      <c r="I4130" s="133"/>
      <c r="J4130" s="133" t="s">
        <v>2535</v>
      </c>
      <c r="K4130" s="133" t="s">
        <v>831</v>
      </c>
      <c r="L4130" s="167"/>
      <c r="M4130" s="48"/>
      <c r="N4130" s="123"/>
    </row>
    <row r="4131" spans="1:14" customFormat="1" x14ac:dyDescent="0.55000000000000004">
      <c r="A4131" s="133" t="s">
        <v>2536</v>
      </c>
      <c r="B4131" s="133" t="s">
        <v>3181</v>
      </c>
      <c r="C4131" s="133" t="s">
        <v>497</v>
      </c>
      <c r="D4131" s="133" t="s">
        <v>3288</v>
      </c>
      <c r="E4131" s="138">
        <v>2.7403660000000001E-9</v>
      </c>
      <c r="F4131" s="153" t="s">
        <v>135</v>
      </c>
      <c r="G4131" s="153">
        <v>1</v>
      </c>
      <c r="H4131" s="133" t="s">
        <v>39</v>
      </c>
      <c r="I4131" s="133"/>
      <c r="J4131" s="133" t="s">
        <v>2535</v>
      </c>
      <c r="K4131" s="133" t="s">
        <v>831</v>
      </c>
      <c r="L4131" s="167"/>
      <c r="M4131" s="48"/>
      <c r="N4131" s="123"/>
    </row>
    <row r="4132" spans="1:14" customFormat="1" x14ac:dyDescent="0.55000000000000004">
      <c r="A4132" s="133" t="s">
        <v>2536</v>
      </c>
      <c r="B4132" s="133" t="s">
        <v>3182</v>
      </c>
      <c r="C4132" s="133" t="s">
        <v>497</v>
      </c>
      <c r="D4132" s="133" t="s">
        <v>3288</v>
      </c>
      <c r="E4132" s="138">
        <v>4.8599999999999998E-8</v>
      </c>
      <c r="F4132" s="153" t="s">
        <v>135</v>
      </c>
      <c r="G4132" s="153">
        <v>1</v>
      </c>
      <c r="H4132" s="133" t="s">
        <v>39</v>
      </c>
      <c r="I4132" s="133"/>
      <c r="J4132" s="133" t="s">
        <v>2535</v>
      </c>
      <c r="K4132" s="133" t="s">
        <v>831</v>
      </c>
      <c r="L4132" s="167"/>
      <c r="M4132" s="48"/>
      <c r="N4132" s="123"/>
    </row>
    <row r="4133" spans="1:14" customFormat="1" x14ac:dyDescent="0.55000000000000004">
      <c r="A4133" s="133" t="s">
        <v>2536</v>
      </c>
      <c r="B4133" s="133" t="s">
        <v>3183</v>
      </c>
      <c r="C4133" s="133" t="s">
        <v>497</v>
      </c>
      <c r="D4133" s="133" t="s">
        <v>3288</v>
      </c>
      <c r="E4133" s="138">
        <v>2.6200000000000001E-9</v>
      </c>
      <c r="F4133" s="153" t="s">
        <v>135</v>
      </c>
      <c r="G4133" s="153">
        <v>1</v>
      </c>
      <c r="H4133" s="133" t="s">
        <v>39</v>
      </c>
      <c r="I4133" s="133"/>
      <c r="J4133" s="133" t="s">
        <v>2535</v>
      </c>
      <c r="K4133" s="133" t="s">
        <v>831</v>
      </c>
      <c r="L4133" s="167"/>
      <c r="M4133" s="48"/>
      <c r="N4133" s="123"/>
    </row>
    <row r="4134" spans="1:14" customFormat="1" x14ac:dyDescent="0.55000000000000004">
      <c r="A4134" s="133" t="s">
        <v>2536</v>
      </c>
      <c r="B4134" s="133" t="s">
        <v>3184</v>
      </c>
      <c r="C4134" s="133" t="s">
        <v>497</v>
      </c>
      <c r="D4134" s="133" t="s">
        <v>3288</v>
      </c>
      <c r="E4134" s="138">
        <v>1.556E-5</v>
      </c>
      <c r="F4134" s="153" t="s">
        <v>135</v>
      </c>
      <c r="G4134" s="153">
        <v>1</v>
      </c>
      <c r="H4134" s="133" t="s">
        <v>39</v>
      </c>
      <c r="I4134" s="133"/>
      <c r="J4134" s="133" t="s">
        <v>2535</v>
      </c>
      <c r="K4134" s="133" t="s">
        <v>831</v>
      </c>
      <c r="L4134" s="167"/>
      <c r="M4134" s="48"/>
      <c r="N4134" s="123"/>
    </row>
    <row r="4135" spans="1:14" customFormat="1" x14ac:dyDescent="0.55000000000000004">
      <c r="A4135" s="133" t="s">
        <v>2536</v>
      </c>
      <c r="B4135" s="133" t="s">
        <v>3185</v>
      </c>
      <c r="C4135" s="133" t="s">
        <v>497</v>
      </c>
      <c r="D4135" s="133" t="s">
        <v>3288</v>
      </c>
      <c r="E4135" s="138">
        <v>2.5099999999999998E-4</v>
      </c>
      <c r="F4135" s="153" t="s">
        <v>135</v>
      </c>
      <c r="G4135" s="153">
        <v>1</v>
      </c>
      <c r="H4135" s="133" t="s">
        <v>39</v>
      </c>
      <c r="I4135" s="133"/>
      <c r="J4135" s="133" t="s">
        <v>2535</v>
      </c>
      <c r="K4135" s="133" t="s">
        <v>831</v>
      </c>
      <c r="L4135" s="167"/>
      <c r="M4135" s="48"/>
      <c r="N4135" s="123"/>
    </row>
    <row r="4136" spans="1:14" customFormat="1" x14ac:dyDescent="0.55000000000000004">
      <c r="A4136" s="133" t="s">
        <v>2536</v>
      </c>
      <c r="B4136" s="133" t="s">
        <v>3186</v>
      </c>
      <c r="C4136" s="133" t="s">
        <v>497</v>
      </c>
      <c r="D4136" s="133" t="s">
        <v>3288</v>
      </c>
      <c r="E4136" s="138">
        <v>1.11E-5</v>
      </c>
      <c r="F4136" s="153" t="s">
        <v>135</v>
      </c>
      <c r="G4136" s="153">
        <v>1</v>
      </c>
      <c r="H4136" s="133" t="s">
        <v>39</v>
      </c>
      <c r="I4136" s="133"/>
      <c r="J4136" s="133" t="s">
        <v>2535</v>
      </c>
      <c r="K4136" s="133" t="s">
        <v>831</v>
      </c>
      <c r="L4136" s="167"/>
      <c r="M4136" s="48"/>
      <c r="N4136" s="123"/>
    </row>
    <row r="4137" spans="1:14" customFormat="1" x14ac:dyDescent="0.55000000000000004">
      <c r="A4137" s="133" t="s">
        <v>2536</v>
      </c>
      <c r="B4137" s="133" t="s">
        <v>3187</v>
      </c>
      <c r="C4137" s="133" t="s">
        <v>497</v>
      </c>
      <c r="D4137" s="133" t="s">
        <v>3288</v>
      </c>
      <c r="E4137" s="138">
        <v>7.34E-11</v>
      </c>
      <c r="F4137" s="153" t="s">
        <v>135</v>
      </c>
      <c r="G4137" s="153">
        <v>1</v>
      </c>
      <c r="H4137" s="133" t="s">
        <v>39</v>
      </c>
      <c r="I4137" s="133"/>
      <c r="J4137" s="133" t="s">
        <v>2535</v>
      </c>
      <c r="K4137" s="133" t="s">
        <v>831</v>
      </c>
      <c r="L4137" s="167"/>
      <c r="M4137" s="48"/>
      <c r="N4137" s="123"/>
    </row>
    <row r="4138" spans="1:14" customFormat="1" x14ac:dyDescent="0.55000000000000004">
      <c r="A4138" s="133" t="s">
        <v>2536</v>
      </c>
      <c r="B4138" s="133" t="s">
        <v>3188</v>
      </c>
      <c r="C4138" s="133" t="s">
        <v>497</v>
      </c>
      <c r="D4138" s="133" t="s">
        <v>3288</v>
      </c>
      <c r="E4138" s="138">
        <v>1.66E-4</v>
      </c>
      <c r="F4138" s="153" t="s">
        <v>135</v>
      </c>
      <c r="G4138" s="153">
        <v>1</v>
      </c>
      <c r="H4138" s="133" t="s">
        <v>39</v>
      </c>
      <c r="I4138" s="133"/>
      <c r="J4138" s="133" t="s">
        <v>2535</v>
      </c>
      <c r="K4138" s="133" t="s">
        <v>831</v>
      </c>
      <c r="L4138" s="167"/>
      <c r="M4138" s="48"/>
      <c r="N4138" s="123"/>
    </row>
    <row r="4139" spans="1:14" customFormat="1" x14ac:dyDescent="0.55000000000000004">
      <c r="A4139" s="133" t="s">
        <v>2536</v>
      </c>
      <c r="B4139" s="133" t="s">
        <v>3189</v>
      </c>
      <c r="C4139" s="133" t="s">
        <v>497</v>
      </c>
      <c r="D4139" s="133" t="s">
        <v>3288</v>
      </c>
      <c r="E4139" s="138">
        <v>6.7700000000000004E-8</v>
      </c>
      <c r="F4139" s="153" t="s">
        <v>135</v>
      </c>
      <c r="G4139" s="153">
        <v>1</v>
      </c>
      <c r="H4139" s="133" t="s">
        <v>39</v>
      </c>
      <c r="I4139" s="133"/>
      <c r="J4139" s="133" t="s">
        <v>2535</v>
      </c>
      <c r="K4139" s="133" t="s">
        <v>831</v>
      </c>
      <c r="L4139" s="167"/>
      <c r="M4139" s="48"/>
      <c r="N4139" s="123"/>
    </row>
    <row r="4140" spans="1:14" customFormat="1" x14ac:dyDescent="0.55000000000000004">
      <c r="A4140" s="133" t="s">
        <v>2536</v>
      </c>
      <c r="B4140" s="133" t="s">
        <v>3190</v>
      </c>
      <c r="C4140" s="133" t="s">
        <v>497</v>
      </c>
      <c r="D4140" s="133" t="s">
        <v>3288</v>
      </c>
      <c r="E4140" s="138">
        <v>1.9548E-7</v>
      </c>
      <c r="F4140" s="153" t="s">
        <v>135</v>
      </c>
      <c r="G4140" s="153">
        <v>1</v>
      </c>
      <c r="H4140" s="133" t="s">
        <v>39</v>
      </c>
      <c r="I4140" s="133"/>
      <c r="J4140" s="133" t="s">
        <v>2535</v>
      </c>
      <c r="K4140" s="133" t="s">
        <v>831</v>
      </c>
      <c r="L4140" s="167"/>
      <c r="M4140" s="48"/>
      <c r="N4140" s="123"/>
    </row>
    <row r="4141" spans="1:14" customFormat="1" x14ac:dyDescent="0.55000000000000004">
      <c r="A4141" s="133" t="s">
        <v>2536</v>
      </c>
      <c r="B4141" s="133" t="s">
        <v>3191</v>
      </c>
      <c r="C4141" s="133" t="s">
        <v>497</v>
      </c>
      <c r="D4141" s="133" t="s">
        <v>3289</v>
      </c>
      <c r="E4141" s="138">
        <v>1.902E-3</v>
      </c>
      <c r="F4141" s="153" t="s">
        <v>133</v>
      </c>
      <c r="G4141" s="153">
        <v>1</v>
      </c>
      <c r="H4141" s="133" t="s">
        <v>39</v>
      </c>
      <c r="I4141" s="133"/>
      <c r="J4141" s="133" t="s">
        <v>2535</v>
      </c>
      <c r="K4141" s="133" t="s">
        <v>831</v>
      </c>
      <c r="L4141" s="167"/>
      <c r="M4141" s="48"/>
      <c r="N4141" s="123"/>
    </row>
    <row r="4142" spans="1:14" customFormat="1" x14ac:dyDescent="0.55000000000000004">
      <c r="A4142" s="133" t="s">
        <v>2536</v>
      </c>
      <c r="B4142" s="133" t="s">
        <v>3192</v>
      </c>
      <c r="C4142" s="133" t="s">
        <v>497</v>
      </c>
      <c r="D4142" s="133" t="s">
        <v>3288</v>
      </c>
      <c r="E4142" s="138">
        <v>7.2489999999999993E-7</v>
      </c>
      <c r="F4142" s="153" t="s">
        <v>135</v>
      </c>
      <c r="G4142" s="153">
        <v>1</v>
      </c>
      <c r="H4142" s="133" t="s">
        <v>39</v>
      </c>
      <c r="I4142" s="133"/>
      <c r="J4142" s="133" t="s">
        <v>2535</v>
      </c>
      <c r="K4142" s="133" t="s">
        <v>831</v>
      </c>
      <c r="L4142" s="167"/>
      <c r="M4142" s="48"/>
      <c r="N4142" s="123"/>
    </row>
    <row r="4143" spans="1:14" customFormat="1" x14ac:dyDescent="0.55000000000000004">
      <c r="A4143" s="133" t="s">
        <v>2539</v>
      </c>
      <c r="B4143" s="133" t="s">
        <v>3193</v>
      </c>
      <c r="C4143" s="133" t="s">
        <v>121</v>
      </c>
      <c r="D4143" s="133" t="s">
        <v>2682</v>
      </c>
      <c r="E4143" s="138">
        <v>1</v>
      </c>
      <c r="F4143" s="153">
        <v>1</v>
      </c>
      <c r="G4143" s="153">
        <v>1</v>
      </c>
      <c r="H4143" s="133" t="s">
        <v>39</v>
      </c>
      <c r="I4143" s="133"/>
      <c r="J4143" s="133" t="s">
        <v>2538</v>
      </c>
      <c r="K4143" s="133" t="s">
        <v>831</v>
      </c>
      <c r="L4143" s="167"/>
      <c r="M4143" s="48"/>
      <c r="N4143" s="123"/>
    </row>
    <row r="4144" spans="1:14" customFormat="1" x14ac:dyDescent="0.55000000000000004">
      <c r="A4144" s="133" t="s">
        <v>2539</v>
      </c>
      <c r="B4144" s="133" t="s">
        <v>3194</v>
      </c>
      <c r="C4144" s="133" t="s">
        <v>348</v>
      </c>
      <c r="D4144" s="133" t="s">
        <v>3288</v>
      </c>
      <c r="E4144" s="138">
        <v>1</v>
      </c>
      <c r="F4144" s="153" t="s">
        <v>135</v>
      </c>
      <c r="G4144" s="153">
        <v>1</v>
      </c>
      <c r="H4144" s="133" t="s">
        <v>39</v>
      </c>
      <c r="I4144" s="133"/>
      <c r="J4144" s="133" t="s">
        <v>2538</v>
      </c>
      <c r="K4144" s="133" t="s">
        <v>831</v>
      </c>
      <c r="L4144" s="167"/>
      <c r="M4144" s="48"/>
      <c r="N4144" s="123"/>
    </row>
    <row r="4145" spans="1:14" customFormat="1" x14ac:dyDescent="0.55000000000000004">
      <c r="A4145" s="133" t="s">
        <v>2539</v>
      </c>
      <c r="B4145" s="133" t="s">
        <v>262</v>
      </c>
      <c r="C4145" s="133" t="s">
        <v>127</v>
      </c>
      <c r="D4145" s="133" t="s">
        <v>3288</v>
      </c>
      <c r="E4145" s="138">
        <v>4.9399999999999999E-2</v>
      </c>
      <c r="F4145" s="153" t="s">
        <v>135</v>
      </c>
      <c r="G4145" s="153">
        <v>1</v>
      </c>
      <c r="H4145" s="133" t="s">
        <v>39</v>
      </c>
      <c r="I4145" s="133"/>
      <c r="J4145" s="133" t="s">
        <v>2538</v>
      </c>
      <c r="K4145" s="133" t="s">
        <v>831</v>
      </c>
      <c r="L4145" s="167"/>
      <c r="M4145" s="48"/>
      <c r="N4145" s="123"/>
    </row>
    <row r="4146" spans="1:14" customFormat="1" x14ac:dyDescent="0.55000000000000004">
      <c r="A4146" s="133" t="s">
        <v>2539</v>
      </c>
      <c r="B4146" s="133" t="s">
        <v>2883</v>
      </c>
      <c r="C4146" s="133" t="s">
        <v>127</v>
      </c>
      <c r="D4146" s="133" t="s">
        <v>2994</v>
      </c>
      <c r="E4146" s="138">
        <v>2.4</v>
      </c>
      <c r="F4146" s="153" t="s">
        <v>130</v>
      </c>
      <c r="G4146" s="153">
        <v>1</v>
      </c>
      <c r="H4146" s="133" t="s">
        <v>39</v>
      </c>
      <c r="I4146" s="133"/>
      <c r="J4146" s="133" t="s">
        <v>2538</v>
      </c>
      <c r="K4146" s="133" t="s">
        <v>831</v>
      </c>
      <c r="L4146" s="167"/>
      <c r="M4146" s="48"/>
      <c r="N4146" s="123"/>
    </row>
    <row r="4147" spans="1:14" customFormat="1" x14ac:dyDescent="0.55000000000000004">
      <c r="A4147" s="133" t="s">
        <v>2539</v>
      </c>
      <c r="B4147" s="133" t="s">
        <v>508</v>
      </c>
      <c r="C4147" s="133" t="s">
        <v>127</v>
      </c>
      <c r="D4147" s="133" t="s">
        <v>3289</v>
      </c>
      <c r="E4147" s="138">
        <v>2.2999999999999998</v>
      </c>
      <c r="F4147" s="153" t="s">
        <v>128</v>
      </c>
      <c r="G4147" s="153">
        <v>1</v>
      </c>
      <c r="H4147" s="133" t="s">
        <v>39</v>
      </c>
      <c r="I4147" s="133"/>
      <c r="J4147" s="133" t="s">
        <v>2538</v>
      </c>
      <c r="K4147" s="133" t="s">
        <v>831</v>
      </c>
      <c r="L4147" s="167"/>
      <c r="M4147" s="48"/>
      <c r="N4147" s="123"/>
    </row>
    <row r="4148" spans="1:14" customFormat="1" x14ac:dyDescent="0.55000000000000004">
      <c r="A4148" s="133" t="s">
        <v>2539</v>
      </c>
      <c r="B4148" s="133" t="s">
        <v>603</v>
      </c>
      <c r="C4148" s="133" t="s">
        <v>348</v>
      </c>
      <c r="D4148" s="133" t="s">
        <v>3288</v>
      </c>
      <c r="E4148" s="138">
        <v>9.5999999999999992E-3</v>
      </c>
      <c r="F4148" s="153" t="s">
        <v>135</v>
      </c>
      <c r="G4148" s="153">
        <v>1</v>
      </c>
      <c r="H4148" s="133" t="s">
        <v>39</v>
      </c>
      <c r="I4148" s="133"/>
      <c r="J4148" s="133" t="s">
        <v>2538</v>
      </c>
      <c r="K4148" s="133" t="s">
        <v>831</v>
      </c>
      <c r="L4148" s="167"/>
      <c r="M4148" s="48"/>
      <c r="N4148" s="123"/>
    </row>
    <row r="4149" spans="1:14" customFormat="1" x14ac:dyDescent="0.55000000000000004">
      <c r="A4149" s="133" t="s">
        <v>2539</v>
      </c>
      <c r="B4149" s="133" t="s">
        <v>3065</v>
      </c>
      <c r="C4149" s="133" t="s">
        <v>348</v>
      </c>
      <c r="D4149" s="133" t="s">
        <v>3288</v>
      </c>
      <c r="E4149" s="138">
        <v>5.0000000000000001E-4</v>
      </c>
      <c r="F4149" s="153" t="s">
        <v>135</v>
      </c>
      <c r="G4149" s="153">
        <v>1</v>
      </c>
      <c r="H4149" s="133" t="s">
        <v>39</v>
      </c>
      <c r="I4149" s="133"/>
      <c r="J4149" s="133" t="s">
        <v>2538</v>
      </c>
      <c r="K4149" s="133" t="s">
        <v>831</v>
      </c>
      <c r="L4149" s="167"/>
      <c r="M4149" s="48"/>
      <c r="N4149" s="123"/>
    </row>
    <row r="4150" spans="1:14" customFormat="1" x14ac:dyDescent="0.55000000000000004">
      <c r="A4150" s="133" t="s">
        <v>2539</v>
      </c>
      <c r="B4150" s="133" t="s">
        <v>2883</v>
      </c>
      <c r="C4150" s="133" t="s">
        <v>156</v>
      </c>
      <c r="D4150" s="133" t="s">
        <v>2994</v>
      </c>
      <c r="E4150" s="138">
        <v>317</v>
      </c>
      <c r="F4150" s="153" t="s">
        <v>130</v>
      </c>
      <c r="G4150" s="153">
        <v>1</v>
      </c>
      <c r="H4150" s="133" t="s">
        <v>39</v>
      </c>
      <c r="I4150" s="133"/>
      <c r="J4150" s="133" t="s">
        <v>2538</v>
      </c>
      <c r="K4150" s="133" t="s">
        <v>831</v>
      </c>
      <c r="L4150" s="167"/>
      <c r="M4150" s="48"/>
      <c r="N4150" s="123"/>
    </row>
    <row r="4151" spans="1:14" customFormat="1" x14ac:dyDescent="0.55000000000000004">
      <c r="A4151" s="133" t="s">
        <v>2539</v>
      </c>
      <c r="B4151" s="133" t="s">
        <v>3195</v>
      </c>
      <c r="C4151" s="133" t="s">
        <v>156</v>
      </c>
      <c r="D4151" s="133" t="s">
        <v>3288</v>
      </c>
      <c r="E4151" s="138">
        <v>4.0899999999999999E-2</v>
      </c>
      <c r="F4151" s="153" t="s">
        <v>135</v>
      </c>
      <c r="G4151" s="153">
        <v>1</v>
      </c>
      <c r="H4151" s="133" t="s">
        <v>39</v>
      </c>
      <c r="I4151" s="133"/>
      <c r="J4151" s="133" t="s">
        <v>2538</v>
      </c>
      <c r="K4151" s="133" t="s">
        <v>831</v>
      </c>
      <c r="L4151" s="167"/>
      <c r="M4151" s="48"/>
      <c r="N4151" s="123"/>
    </row>
    <row r="4152" spans="1:14" customFormat="1" x14ac:dyDescent="0.55000000000000004">
      <c r="A4152" s="133" t="s">
        <v>2539</v>
      </c>
      <c r="B4152" s="133" t="s">
        <v>3196</v>
      </c>
      <c r="C4152" s="133" t="s">
        <v>156</v>
      </c>
      <c r="D4152" s="133" t="s">
        <v>3288</v>
      </c>
      <c r="E4152" s="138">
        <v>6.5799999999999997E-2</v>
      </c>
      <c r="F4152" s="153" t="s">
        <v>135</v>
      </c>
      <c r="G4152" s="153">
        <v>1</v>
      </c>
      <c r="H4152" s="133" t="s">
        <v>39</v>
      </c>
      <c r="I4152" s="133"/>
      <c r="J4152" s="133" t="s">
        <v>2538</v>
      </c>
      <c r="K4152" s="133" t="s">
        <v>831</v>
      </c>
      <c r="L4152" s="167"/>
      <c r="M4152" s="48"/>
      <c r="N4152" s="123"/>
    </row>
    <row r="4153" spans="1:14" customFormat="1" x14ac:dyDescent="0.55000000000000004">
      <c r="A4153" s="133" t="s">
        <v>2539</v>
      </c>
      <c r="B4153" s="133" t="s">
        <v>3197</v>
      </c>
      <c r="C4153" s="133" t="s">
        <v>497</v>
      </c>
      <c r="D4153" s="133" t="s">
        <v>3288</v>
      </c>
      <c r="E4153" s="138">
        <v>1.4699999999999999E-8</v>
      </c>
      <c r="F4153" s="153" t="s">
        <v>135</v>
      </c>
      <c r="G4153" s="153">
        <v>1</v>
      </c>
      <c r="H4153" s="133" t="s">
        <v>39</v>
      </c>
      <c r="I4153" s="133"/>
      <c r="J4153" s="133" t="s">
        <v>2538</v>
      </c>
      <c r="K4153" s="133" t="s">
        <v>831</v>
      </c>
      <c r="L4153" s="167"/>
      <c r="M4153" s="48"/>
      <c r="N4153" s="123"/>
    </row>
    <row r="4154" spans="1:14" customFormat="1" x14ac:dyDescent="0.55000000000000004">
      <c r="A4154" s="133" t="s">
        <v>2539</v>
      </c>
      <c r="B4154" s="133" t="s">
        <v>3198</v>
      </c>
      <c r="C4154" s="133" t="s">
        <v>497</v>
      </c>
      <c r="D4154" s="133" t="s">
        <v>3288</v>
      </c>
      <c r="E4154" s="138">
        <v>2.96E-8</v>
      </c>
      <c r="F4154" s="153" t="s">
        <v>135</v>
      </c>
      <c r="G4154" s="153">
        <v>1</v>
      </c>
      <c r="H4154" s="133" t="s">
        <v>39</v>
      </c>
      <c r="I4154" s="133"/>
      <c r="J4154" s="133" t="s">
        <v>2538</v>
      </c>
      <c r="K4154" s="133" t="s">
        <v>831</v>
      </c>
      <c r="L4154" s="167"/>
      <c r="M4154" s="48"/>
      <c r="N4154" s="123"/>
    </row>
    <row r="4155" spans="1:14" customFormat="1" x14ac:dyDescent="0.55000000000000004">
      <c r="A4155" s="133" t="s">
        <v>2539</v>
      </c>
      <c r="B4155" s="133" t="s">
        <v>726</v>
      </c>
      <c r="C4155" s="133" t="s">
        <v>497</v>
      </c>
      <c r="D4155" s="133" t="s">
        <v>3288</v>
      </c>
      <c r="E4155" s="138">
        <v>1.2999999999999999E-12</v>
      </c>
      <c r="F4155" s="153" t="s">
        <v>135</v>
      </c>
      <c r="G4155" s="153">
        <v>1</v>
      </c>
      <c r="H4155" s="133" t="s">
        <v>39</v>
      </c>
      <c r="I4155" s="133"/>
      <c r="J4155" s="133" t="s">
        <v>2538</v>
      </c>
      <c r="K4155" s="133" t="s">
        <v>831</v>
      </c>
      <c r="L4155" s="167"/>
      <c r="M4155" s="48"/>
      <c r="N4155" s="123"/>
    </row>
    <row r="4156" spans="1:14" customFormat="1" x14ac:dyDescent="0.55000000000000004">
      <c r="A4156" s="133" t="s">
        <v>2539</v>
      </c>
      <c r="B4156" s="133" t="s">
        <v>2975</v>
      </c>
      <c r="C4156" s="133" t="s">
        <v>497</v>
      </c>
      <c r="D4156" s="133" t="s">
        <v>3288</v>
      </c>
      <c r="E4156" s="138">
        <v>6.87E-8</v>
      </c>
      <c r="F4156" s="153" t="s">
        <v>135</v>
      </c>
      <c r="G4156" s="153">
        <v>1</v>
      </c>
      <c r="H4156" s="133" t="s">
        <v>39</v>
      </c>
      <c r="I4156" s="133"/>
      <c r="J4156" s="133" t="s">
        <v>2538</v>
      </c>
      <c r="K4156" s="133" t="s">
        <v>831</v>
      </c>
      <c r="L4156" s="167"/>
      <c r="M4156" s="48"/>
      <c r="N4156" s="123"/>
    </row>
    <row r="4157" spans="1:14" customFormat="1" x14ac:dyDescent="0.55000000000000004">
      <c r="A4157" s="133" t="s">
        <v>2539</v>
      </c>
      <c r="B4157" s="133" t="s">
        <v>3199</v>
      </c>
      <c r="C4157" s="133" t="s">
        <v>497</v>
      </c>
      <c r="D4157" s="133" t="s">
        <v>3288</v>
      </c>
      <c r="E4157" s="138">
        <v>1.603E-7</v>
      </c>
      <c r="F4157" s="153" t="s">
        <v>135</v>
      </c>
      <c r="G4157" s="153">
        <v>1</v>
      </c>
      <c r="H4157" s="133" t="s">
        <v>39</v>
      </c>
      <c r="I4157" s="133"/>
      <c r="J4157" s="133" t="s">
        <v>2538</v>
      </c>
      <c r="K4157" s="133" t="s">
        <v>831</v>
      </c>
      <c r="L4157" s="167"/>
      <c r="M4157" s="48"/>
      <c r="N4157" s="123"/>
    </row>
    <row r="4158" spans="1:14" customFormat="1" x14ac:dyDescent="0.55000000000000004">
      <c r="A4158" s="133" t="s">
        <v>2539</v>
      </c>
      <c r="B4158" s="133" t="s">
        <v>556</v>
      </c>
      <c r="C4158" s="133" t="s">
        <v>497</v>
      </c>
      <c r="D4158" s="133" t="s">
        <v>3288</v>
      </c>
      <c r="E4158" s="138">
        <v>2.1900000000000002E-6</v>
      </c>
      <c r="F4158" s="153" t="s">
        <v>135</v>
      </c>
      <c r="G4158" s="154">
        <v>1</v>
      </c>
      <c r="H4158" s="133" t="s">
        <v>39</v>
      </c>
      <c r="I4158" s="133"/>
      <c r="J4158" s="133" t="s">
        <v>2538</v>
      </c>
      <c r="K4158" s="133" t="s">
        <v>831</v>
      </c>
      <c r="L4158" s="167"/>
      <c r="M4158" s="48"/>
      <c r="N4158" s="123"/>
    </row>
    <row r="4159" spans="1:14" customFormat="1" x14ac:dyDescent="0.55000000000000004">
      <c r="A4159" s="133" t="s">
        <v>2539</v>
      </c>
      <c r="B4159" s="133" t="s">
        <v>2874</v>
      </c>
      <c r="C4159" s="133" t="s">
        <v>497</v>
      </c>
      <c r="D4159" s="133" t="s">
        <v>3288</v>
      </c>
      <c r="E4159" s="138">
        <v>9.5209999999999999E-4</v>
      </c>
      <c r="F4159" s="153" t="s">
        <v>135</v>
      </c>
      <c r="G4159" s="154">
        <v>1</v>
      </c>
      <c r="H4159" s="133" t="s">
        <v>39</v>
      </c>
      <c r="I4159" s="133"/>
      <c r="J4159" s="133" t="s">
        <v>2538</v>
      </c>
      <c r="K4159" s="133" t="s">
        <v>831</v>
      </c>
      <c r="L4159" s="167"/>
      <c r="M4159" s="48"/>
      <c r="N4159" s="123"/>
    </row>
    <row r="4160" spans="1:14" customFormat="1" x14ac:dyDescent="0.55000000000000004">
      <c r="A4160" s="133" t="s">
        <v>2539</v>
      </c>
      <c r="B4160" s="133" t="s">
        <v>2880</v>
      </c>
      <c r="C4160" s="133" t="s">
        <v>497</v>
      </c>
      <c r="D4160" s="133" t="s">
        <v>3288</v>
      </c>
      <c r="E4160" s="138">
        <v>4.9229999999999999E-4</v>
      </c>
      <c r="F4160" s="153" t="s">
        <v>135</v>
      </c>
      <c r="G4160" s="154">
        <v>1</v>
      </c>
      <c r="H4160" s="133" t="s">
        <v>39</v>
      </c>
      <c r="I4160" s="133"/>
      <c r="J4160" s="133" t="s">
        <v>2538</v>
      </c>
      <c r="K4160" s="133" t="s">
        <v>831</v>
      </c>
      <c r="L4160" s="167"/>
      <c r="M4160" s="48"/>
      <c r="N4160" s="123"/>
    </row>
    <row r="4161" spans="1:14" customFormat="1" x14ac:dyDescent="0.55000000000000004">
      <c r="A4161" s="133" t="s">
        <v>2539</v>
      </c>
      <c r="B4161" s="133" t="s">
        <v>2790</v>
      </c>
      <c r="C4161" s="133" t="s">
        <v>497</v>
      </c>
      <c r="D4161" s="133" t="s">
        <v>3288</v>
      </c>
      <c r="E4161" s="138">
        <v>1.06E-3</v>
      </c>
      <c r="F4161" s="153" t="s">
        <v>135</v>
      </c>
      <c r="G4161" s="154">
        <v>1</v>
      </c>
      <c r="H4161" s="133" t="s">
        <v>39</v>
      </c>
      <c r="I4161" s="133"/>
      <c r="J4161" s="133" t="s">
        <v>2538</v>
      </c>
      <c r="K4161" s="133" t="s">
        <v>831</v>
      </c>
      <c r="L4161" s="167"/>
      <c r="M4161" s="48"/>
      <c r="N4161" s="123"/>
    </row>
    <row r="4162" spans="1:14" customFormat="1" x14ac:dyDescent="0.55000000000000004">
      <c r="A4162" s="133" t="s">
        <v>2539</v>
      </c>
      <c r="B4162" s="133" t="s">
        <v>3200</v>
      </c>
      <c r="C4162" s="133" t="s">
        <v>497</v>
      </c>
      <c r="D4162" s="133" t="s">
        <v>3288</v>
      </c>
      <c r="E4162" s="138">
        <v>4.85E-5</v>
      </c>
      <c r="F4162" s="153" t="s">
        <v>135</v>
      </c>
      <c r="G4162" s="154">
        <v>1</v>
      </c>
      <c r="H4162" s="133" t="s">
        <v>39</v>
      </c>
      <c r="I4162" s="133"/>
      <c r="J4162" s="133" t="s">
        <v>2538</v>
      </c>
      <c r="K4162" s="133" t="s">
        <v>831</v>
      </c>
      <c r="L4162" s="167"/>
      <c r="M4162" s="48"/>
      <c r="N4162" s="123"/>
    </row>
    <row r="4163" spans="1:14" customFormat="1" x14ac:dyDescent="0.55000000000000004">
      <c r="A4163" s="133" t="s">
        <v>2539</v>
      </c>
      <c r="B4163" s="133" t="s">
        <v>3201</v>
      </c>
      <c r="C4163" s="133" t="s">
        <v>497</v>
      </c>
      <c r="D4163" s="133" t="s">
        <v>3288</v>
      </c>
      <c r="E4163" s="138">
        <v>2.6000000000000001E-6</v>
      </c>
      <c r="F4163" s="153" t="s">
        <v>135</v>
      </c>
      <c r="G4163" s="154">
        <v>1</v>
      </c>
      <c r="H4163" s="133" t="s">
        <v>39</v>
      </c>
      <c r="I4163" s="133"/>
      <c r="J4163" s="133" t="s">
        <v>2538</v>
      </c>
      <c r="K4163" s="133" t="s">
        <v>831</v>
      </c>
      <c r="L4163" s="167"/>
      <c r="M4163" s="48"/>
      <c r="N4163" s="123"/>
    </row>
    <row r="4164" spans="1:14" customFormat="1" x14ac:dyDescent="0.55000000000000004">
      <c r="A4164" s="133" t="s">
        <v>2539</v>
      </c>
      <c r="B4164" s="133" t="s">
        <v>3202</v>
      </c>
      <c r="C4164" s="133" t="s">
        <v>497</v>
      </c>
      <c r="D4164" s="133" t="s">
        <v>3288</v>
      </c>
      <c r="E4164" s="138">
        <v>4.8600000000000002E-5</v>
      </c>
      <c r="F4164" s="153" t="s">
        <v>135</v>
      </c>
      <c r="G4164" s="154">
        <v>1</v>
      </c>
      <c r="H4164" s="133" t="s">
        <v>39</v>
      </c>
      <c r="I4164" s="133"/>
      <c r="J4164" s="133" t="s">
        <v>2538</v>
      </c>
      <c r="K4164" s="133" t="s">
        <v>831</v>
      </c>
      <c r="L4164" s="167"/>
      <c r="M4164" s="48"/>
      <c r="N4164" s="123"/>
    </row>
    <row r="4165" spans="1:14" customFormat="1" x14ac:dyDescent="0.55000000000000004">
      <c r="A4165" s="133" t="s">
        <v>2539</v>
      </c>
      <c r="B4165" s="133" t="s">
        <v>3203</v>
      </c>
      <c r="C4165" s="133" t="s">
        <v>497</v>
      </c>
      <c r="D4165" s="133" t="s">
        <v>3288</v>
      </c>
      <c r="E4165" s="138">
        <v>3.2E-13</v>
      </c>
      <c r="F4165" s="153" t="s">
        <v>135</v>
      </c>
      <c r="G4165" s="154">
        <v>1</v>
      </c>
      <c r="H4165" s="133" t="s">
        <v>39</v>
      </c>
      <c r="I4165" s="133"/>
      <c r="J4165" s="133" t="s">
        <v>2538</v>
      </c>
      <c r="K4165" s="133" t="s">
        <v>831</v>
      </c>
      <c r="L4165" s="167"/>
      <c r="M4165" s="48"/>
      <c r="N4165" s="123"/>
    </row>
    <row r="4166" spans="1:14" customFormat="1" x14ac:dyDescent="0.55000000000000004">
      <c r="A4166" s="133" t="s">
        <v>2543</v>
      </c>
      <c r="B4166" s="133" t="s">
        <v>3193</v>
      </c>
      <c r="C4166" s="133" t="s">
        <v>121</v>
      </c>
      <c r="D4166" s="133" t="s">
        <v>2682</v>
      </c>
      <c r="E4166" s="138">
        <v>1</v>
      </c>
      <c r="F4166" s="153">
        <v>1</v>
      </c>
      <c r="G4166" s="153">
        <v>1</v>
      </c>
      <c r="H4166" s="133" t="s">
        <v>39</v>
      </c>
      <c r="I4166" s="133"/>
      <c r="J4166" s="133" t="s">
        <v>2542</v>
      </c>
      <c r="K4166" s="133" t="s">
        <v>831</v>
      </c>
      <c r="L4166" s="167"/>
      <c r="M4166" s="48"/>
      <c r="N4166" s="123"/>
    </row>
    <row r="4167" spans="1:14" customFormat="1" x14ac:dyDescent="0.55000000000000004">
      <c r="A4167" s="133" t="s">
        <v>2543</v>
      </c>
      <c r="B4167" s="133" t="s">
        <v>3194</v>
      </c>
      <c r="C4167" s="133" t="s">
        <v>348</v>
      </c>
      <c r="D4167" s="133" t="s">
        <v>3288</v>
      </c>
      <c r="E4167" s="138">
        <v>1</v>
      </c>
      <c r="F4167" s="153" t="s">
        <v>135</v>
      </c>
      <c r="G4167" s="153">
        <v>1</v>
      </c>
      <c r="H4167" s="133" t="s">
        <v>39</v>
      </c>
      <c r="I4167" s="133"/>
      <c r="J4167" s="133" t="s">
        <v>2542</v>
      </c>
      <c r="K4167" s="133" t="s">
        <v>831</v>
      </c>
      <c r="L4167" s="167"/>
      <c r="M4167" s="48"/>
      <c r="N4167" s="123"/>
    </row>
    <row r="4168" spans="1:14" customFormat="1" x14ac:dyDescent="0.55000000000000004">
      <c r="A4168" s="133" t="s">
        <v>2543</v>
      </c>
      <c r="B4168" s="133" t="s">
        <v>505</v>
      </c>
      <c r="C4168" s="133" t="s">
        <v>127</v>
      </c>
      <c r="D4168" s="133" t="s">
        <v>3289</v>
      </c>
      <c r="E4168" s="138">
        <v>5.2</v>
      </c>
      <c r="F4168" s="153" t="s">
        <v>128</v>
      </c>
      <c r="G4168" s="153">
        <v>1</v>
      </c>
      <c r="H4168" s="133" t="s">
        <v>39</v>
      </c>
      <c r="I4168" s="133"/>
      <c r="J4168" s="133" t="s">
        <v>2542</v>
      </c>
      <c r="K4168" s="133" t="s">
        <v>831</v>
      </c>
      <c r="L4168" s="167"/>
      <c r="M4168" s="48"/>
      <c r="N4168" s="123"/>
    </row>
    <row r="4169" spans="1:14" customFormat="1" x14ac:dyDescent="0.55000000000000004">
      <c r="A4169" s="133" t="s">
        <v>2543</v>
      </c>
      <c r="B4169" s="133" t="s">
        <v>153</v>
      </c>
      <c r="C4169" s="133" t="s">
        <v>127</v>
      </c>
      <c r="D4169" s="133" t="s">
        <v>2994</v>
      </c>
      <c r="E4169" s="138">
        <v>1.3</v>
      </c>
      <c r="F4169" s="153" t="s">
        <v>130</v>
      </c>
      <c r="G4169" s="153">
        <v>1</v>
      </c>
      <c r="H4169" s="133" t="s">
        <v>39</v>
      </c>
      <c r="I4169" s="133"/>
      <c r="J4169" s="133" t="s">
        <v>2542</v>
      </c>
      <c r="K4169" s="133" t="s">
        <v>831</v>
      </c>
      <c r="L4169" s="167"/>
      <c r="M4169" s="48"/>
      <c r="N4169" s="123"/>
    </row>
    <row r="4170" spans="1:14" customFormat="1" x14ac:dyDescent="0.55000000000000004">
      <c r="A4170" s="133" t="s">
        <v>2543</v>
      </c>
      <c r="B4170" s="133" t="s">
        <v>508</v>
      </c>
      <c r="C4170" s="133" t="s">
        <v>127</v>
      </c>
      <c r="D4170" s="133" t="s">
        <v>3289</v>
      </c>
      <c r="E4170" s="138">
        <v>5.6</v>
      </c>
      <c r="F4170" s="153" t="s">
        <v>128</v>
      </c>
      <c r="G4170" s="153">
        <v>1</v>
      </c>
      <c r="H4170" s="133" t="s">
        <v>39</v>
      </c>
      <c r="I4170" s="133"/>
      <c r="J4170" s="133" t="s">
        <v>2542</v>
      </c>
      <c r="K4170" s="133" t="s">
        <v>831</v>
      </c>
      <c r="L4170" s="167"/>
      <c r="M4170" s="48"/>
      <c r="N4170" s="123"/>
    </row>
    <row r="4171" spans="1:14" customFormat="1" x14ac:dyDescent="0.55000000000000004">
      <c r="A4171" s="133" t="s">
        <v>2543</v>
      </c>
      <c r="B4171" s="133" t="s">
        <v>603</v>
      </c>
      <c r="C4171" s="133" t="s">
        <v>348</v>
      </c>
      <c r="D4171" s="133" t="s">
        <v>3288</v>
      </c>
      <c r="E4171" s="138">
        <v>1.0200000000000001E-2</v>
      </c>
      <c r="F4171" s="153" t="s">
        <v>135</v>
      </c>
      <c r="G4171" s="153">
        <v>1</v>
      </c>
      <c r="H4171" s="133" t="s">
        <v>39</v>
      </c>
      <c r="I4171" s="133"/>
      <c r="J4171" s="133" t="s">
        <v>2542</v>
      </c>
      <c r="K4171" s="133" t="s">
        <v>831</v>
      </c>
      <c r="L4171" s="167"/>
      <c r="M4171" s="48"/>
      <c r="N4171" s="123"/>
    </row>
    <row r="4172" spans="1:14" customFormat="1" x14ac:dyDescent="0.55000000000000004">
      <c r="A4172" s="133" t="s">
        <v>2543</v>
      </c>
      <c r="B4172" s="133" t="s">
        <v>148</v>
      </c>
      <c r="C4172" s="133" t="s">
        <v>348</v>
      </c>
      <c r="D4172" s="133" t="s">
        <v>3288</v>
      </c>
      <c r="E4172" s="138">
        <v>2E-3</v>
      </c>
      <c r="F4172" s="153" t="s">
        <v>135</v>
      </c>
      <c r="G4172" s="153">
        <v>1</v>
      </c>
      <c r="H4172" s="133" t="s">
        <v>39</v>
      </c>
      <c r="I4172" s="133"/>
      <c r="J4172" s="133" t="s">
        <v>2542</v>
      </c>
      <c r="K4172" s="133" t="s">
        <v>831</v>
      </c>
      <c r="L4172" s="167"/>
      <c r="M4172" s="48"/>
      <c r="N4172" s="123"/>
    </row>
    <row r="4173" spans="1:14" customFormat="1" x14ac:dyDescent="0.55000000000000004">
      <c r="A4173" s="133" t="s">
        <v>2543</v>
      </c>
      <c r="B4173" s="133" t="s">
        <v>3065</v>
      </c>
      <c r="C4173" s="133" t="s">
        <v>348</v>
      </c>
      <c r="D4173" s="133" t="s">
        <v>3288</v>
      </c>
      <c r="E4173" s="138">
        <v>1E-3</v>
      </c>
      <c r="F4173" s="153" t="s">
        <v>135</v>
      </c>
      <c r="G4173" s="153">
        <v>1</v>
      </c>
      <c r="H4173" s="133" t="s">
        <v>39</v>
      </c>
      <c r="I4173" s="133"/>
      <c r="J4173" s="133" t="s">
        <v>2542</v>
      </c>
      <c r="K4173" s="133" t="s">
        <v>831</v>
      </c>
      <c r="L4173" s="167"/>
      <c r="M4173" s="48"/>
      <c r="N4173" s="123"/>
    </row>
    <row r="4174" spans="1:14" customFormat="1" x14ac:dyDescent="0.55000000000000004">
      <c r="A4174" s="133" t="s">
        <v>2543</v>
      </c>
      <c r="B4174" s="133" t="s">
        <v>3204</v>
      </c>
      <c r="C4174" s="133" t="s">
        <v>348</v>
      </c>
      <c r="D4174" s="133" t="s">
        <v>3288</v>
      </c>
      <c r="E4174" s="138">
        <v>2.8999999999999998E-3</v>
      </c>
      <c r="F4174" s="153" t="s">
        <v>135</v>
      </c>
      <c r="G4174" s="153">
        <v>1</v>
      </c>
      <c r="H4174" s="133" t="s">
        <v>39</v>
      </c>
      <c r="I4174" s="133"/>
      <c r="J4174" s="133" t="s">
        <v>2542</v>
      </c>
      <c r="K4174" s="133" t="s">
        <v>831</v>
      </c>
      <c r="L4174" s="167"/>
      <c r="M4174" s="48"/>
      <c r="N4174" s="123"/>
    </row>
    <row r="4175" spans="1:14" customFormat="1" x14ac:dyDescent="0.55000000000000004">
      <c r="A4175" s="133" t="s">
        <v>2543</v>
      </c>
      <c r="B4175" s="133" t="s">
        <v>153</v>
      </c>
      <c r="C4175" s="133" t="s">
        <v>156</v>
      </c>
      <c r="D4175" s="133" t="s">
        <v>2994</v>
      </c>
      <c r="E4175" s="138">
        <v>180.5</v>
      </c>
      <c r="F4175" s="153" t="s">
        <v>130</v>
      </c>
      <c r="G4175" s="153">
        <v>1</v>
      </c>
      <c r="H4175" s="133" t="s">
        <v>39</v>
      </c>
      <c r="I4175" s="133"/>
      <c r="J4175" s="133" t="s">
        <v>2542</v>
      </c>
      <c r="K4175" s="133" t="s">
        <v>831</v>
      </c>
      <c r="L4175" s="167"/>
      <c r="M4175" s="48"/>
      <c r="N4175" s="123"/>
    </row>
    <row r="4176" spans="1:14" customFormat="1" x14ac:dyDescent="0.55000000000000004">
      <c r="A4176" s="133" t="s">
        <v>2543</v>
      </c>
      <c r="B4176" s="133" t="s">
        <v>496</v>
      </c>
      <c r="C4176" s="133" t="s">
        <v>156</v>
      </c>
      <c r="D4176" s="133" t="s">
        <v>2994</v>
      </c>
      <c r="E4176" s="138">
        <v>1999.5</v>
      </c>
      <c r="F4176" s="153" t="s">
        <v>167</v>
      </c>
      <c r="G4176" s="153">
        <v>1</v>
      </c>
      <c r="H4176" s="133" t="s">
        <v>39</v>
      </c>
      <c r="I4176" s="133" t="s">
        <v>3205</v>
      </c>
      <c r="J4176" s="133" t="s">
        <v>2542</v>
      </c>
      <c r="K4176" s="133" t="s">
        <v>831</v>
      </c>
      <c r="L4176" s="167"/>
      <c r="M4176" s="48"/>
      <c r="N4176" s="123"/>
    </row>
    <row r="4177" spans="1:14" customFormat="1" x14ac:dyDescent="0.55000000000000004">
      <c r="A4177" s="133" t="s">
        <v>2543</v>
      </c>
      <c r="B4177" s="133" t="s">
        <v>3206</v>
      </c>
      <c r="C4177" s="133" t="s">
        <v>156</v>
      </c>
      <c r="D4177" s="133" t="s">
        <v>3288</v>
      </c>
      <c r="E4177" s="138">
        <v>0.23799999999999999</v>
      </c>
      <c r="F4177" s="153" t="s">
        <v>135</v>
      </c>
      <c r="G4177" s="153">
        <v>1</v>
      </c>
      <c r="H4177" s="133" t="s">
        <v>39</v>
      </c>
      <c r="I4177" s="133"/>
      <c r="J4177" s="133" t="s">
        <v>2542</v>
      </c>
      <c r="K4177" s="133" t="s">
        <v>831</v>
      </c>
      <c r="L4177" s="167"/>
      <c r="M4177" s="48"/>
      <c r="N4177" s="123"/>
    </row>
    <row r="4178" spans="1:14" customFormat="1" x14ac:dyDescent="0.55000000000000004">
      <c r="A4178" s="133" t="s">
        <v>2543</v>
      </c>
      <c r="B4178" s="133" t="s">
        <v>3196</v>
      </c>
      <c r="C4178" s="133" t="s">
        <v>156</v>
      </c>
      <c r="D4178" s="133" t="s">
        <v>3288</v>
      </c>
      <c r="E4178" s="138">
        <v>3.4299999999999997E-2</v>
      </c>
      <c r="F4178" s="153" t="s">
        <v>135</v>
      </c>
      <c r="G4178" s="153">
        <v>1</v>
      </c>
      <c r="H4178" s="133" t="s">
        <v>39</v>
      </c>
      <c r="I4178" s="133"/>
      <c r="J4178" s="133" t="s">
        <v>2542</v>
      </c>
      <c r="K4178" s="133" t="s">
        <v>831</v>
      </c>
      <c r="L4178" s="167"/>
      <c r="M4178" s="48"/>
      <c r="N4178" s="123"/>
    </row>
    <row r="4179" spans="1:14" customFormat="1" x14ac:dyDescent="0.55000000000000004">
      <c r="A4179" s="133" t="s">
        <v>2543</v>
      </c>
      <c r="B4179" s="133" t="s">
        <v>3197</v>
      </c>
      <c r="C4179" s="133" t="s">
        <v>497</v>
      </c>
      <c r="D4179" s="133" t="s">
        <v>3288</v>
      </c>
      <c r="E4179" s="138">
        <v>7.1400000000000004E-8</v>
      </c>
      <c r="F4179" s="153" t="s">
        <v>135</v>
      </c>
      <c r="G4179" s="153">
        <v>1</v>
      </c>
      <c r="H4179" s="133" t="s">
        <v>39</v>
      </c>
      <c r="I4179" s="133"/>
      <c r="J4179" s="133" t="s">
        <v>2542</v>
      </c>
      <c r="K4179" s="133" t="s">
        <v>831</v>
      </c>
      <c r="L4179" s="167"/>
      <c r="M4179" s="48"/>
      <c r="N4179" s="123"/>
    </row>
    <row r="4180" spans="1:14" customFormat="1" x14ac:dyDescent="0.55000000000000004">
      <c r="A4180" s="133" t="s">
        <v>2543</v>
      </c>
      <c r="B4180" s="133" t="s">
        <v>3198</v>
      </c>
      <c r="C4180" s="133" t="s">
        <v>497</v>
      </c>
      <c r="D4180" s="133" t="s">
        <v>3288</v>
      </c>
      <c r="E4180" s="138">
        <v>9.53E-8</v>
      </c>
      <c r="F4180" s="153" t="s">
        <v>135</v>
      </c>
      <c r="G4180" s="153">
        <v>1</v>
      </c>
      <c r="H4180" s="133" t="s">
        <v>39</v>
      </c>
      <c r="I4180" s="133"/>
      <c r="J4180" s="133" t="s">
        <v>2542</v>
      </c>
      <c r="K4180" s="133" t="s">
        <v>831</v>
      </c>
      <c r="L4180" s="167"/>
      <c r="M4180" s="48"/>
      <c r="N4180" s="123"/>
    </row>
    <row r="4181" spans="1:14" customFormat="1" x14ac:dyDescent="0.55000000000000004">
      <c r="A4181" s="133" t="s">
        <v>2543</v>
      </c>
      <c r="B4181" s="133" t="s">
        <v>726</v>
      </c>
      <c r="C4181" s="133" t="s">
        <v>497</v>
      </c>
      <c r="D4181" s="133" t="s">
        <v>3288</v>
      </c>
      <c r="E4181" s="138">
        <v>5.4978000000000001E-6</v>
      </c>
      <c r="F4181" s="153" t="s">
        <v>135</v>
      </c>
      <c r="G4181" s="153">
        <v>1</v>
      </c>
      <c r="H4181" s="133" t="s">
        <v>39</v>
      </c>
      <c r="I4181" s="133"/>
      <c r="J4181" s="133" t="s">
        <v>2542</v>
      </c>
      <c r="K4181" s="133" t="s">
        <v>831</v>
      </c>
      <c r="L4181" s="167"/>
      <c r="M4181" s="48"/>
      <c r="N4181" s="123"/>
    </row>
    <row r="4182" spans="1:14" customFormat="1" x14ac:dyDescent="0.55000000000000004">
      <c r="A4182" s="133" t="s">
        <v>2543</v>
      </c>
      <c r="B4182" s="133" t="s">
        <v>2975</v>
      </c>
      <c r="C4182" s="133" t="s">
        <v>497</v>
      </c>
      <c r="D4182" s="133" t="s">
        <v>3288</v>
      </c>
      <c r="E4182" s="138">
        <v>1.9754000000000002E-6</v>
      </c>
      <c r="F4182" s="153" t="s">
        <v>135</v>
      </c>
      <c r="G4182" s="153">
        <v>1</v>
      </c>
      <c r="H4182" s="133" t="s">
        <v>39</v>
      </c>
      <c r="I4182" s="133"/>
      <c r="J4182" s="133" t="s">
        <v>2542</v>
      </c>
      <c r="K4182" s="133" t="s">
        <v>831</v>
      </c>
      <c r="L4182" s="167"/>
      <c r="M4182" s="48"/>
      <c r="N4182" s="123"/>
    </row>
    <row r="4183" spans="1:14" customFormat="1" x14ac:dyDescent="0.55000000000000004">
      <c r="A4183" s="133" t="s">
        <v>2543</v>
      </c>
      <c r="B4183" s="133" t="s">
        <v>3199</v>
      </c>
      <c r="C4183" s="133" t="s">
        <v>497</v>
      </c>
      <c r="D4183" s="133" t="s">
        <v>3288</v>
      </c>
      <c r="E4183" s="138">
        <v>5.4739999999999994E-7</v>
      </c>
      <c r="F4183" s="153" t="s">
        <v>135</v>
      </c>
      <c r="G4183" s="153">
        <v>1</v>
      </c>
      <c r="H4183" s="133" t="s">
        <v>39</v>
      </c>
      <c r="I4183" s="133"/>
      <c r="J4183" s="133" t="s">
        <v>2542</v>
      </c>
      <c r="K4183" s="133" t="s">
        <v>831</v>
      </c>
      <c r="L4183" s="167"/>
      <c r="M4183" s="48"/>
      <c r="N4183" s="123"/>
    </row>
    <row r="4184" spans="1:14" customFormat="1" x14ac:dyDescent="0.55000000000000004">
      <c r="A4184" s="133" t="s">
        <v>2543</v>
      </c>
      <c r="B4184" s="133" t="s">
        <v>556</v>
      </c>
      <c r="C4184" s="133" t="s">
        <v>497</v>
      </c>
      <c r="D4184" s="133" t="s">
        <v>3288</v>
      </c>
      <c r="E4184" s="138">
        <v>5.4978000000000001E-6</v>
      </c>
      <c r="F4184" s="153" t="s">
        <v>135</v>
      </c>
      <c r="G4184" s="154">
        <v>1</v>
      </c>
      <c r="H4184" s="133" t="s">
        <v>39</v>
      </c>
      <c r="I4184" s="133"/>
      <c r="J4184" s="133" t="s">
        <v>2542</v>
      </c>
      <c r="K4184" s="133" t="s">
        <v>831</v>
      </c>
      <c r="L4184" s="167"/>
      <c r="M4184" s="48"/>
      <c r="N4184" s="123"/>
    </row>
    <row r="4185" spans="1:14" customFormat="1" x14ac:dyDescent="0.55000000000000004">
      <c r="A4185" s="133" t="s">
        <v>2543</v>
      </c>
      <c r="B4185" s="133" t="s">
        <v>2874</v>
      </c>
      <c r="C4185" s="133" t="s">
        <v>497</v>
      </c>
      <c r="D4185" s="133" t="s">
        <v>3288</v>
      </c>
      <c r="E4185" s="138">
        <v>5.1E-5</v>
      </c>
      <c r="F4185" s="153" t="s">
        <v>135</v>
      </c>
      <c r="G4185" s="154">
        <v>1</v>
      </c>
      <c r="H4185" s="133" t="s">
        <v>39</v>
      </c>
      <c r="I4185" s="133"/>
      <c r="J4185" s="133" t="s">
        <v>2542</v>
      </c>
      <c r="K4185" s="133" t="s">
        <v>831</v>
      </c>
      <c r="L4185" s="167"/>
      <c r="M4185" s="48"/>
      <c r="N4185" s="123"/>
    </row>
    <row r="4186" spans="1:14" customFormat="1" x14ac:dyDescent="0.55000000000000004">
      <c r="A4186" s="133" t="s">
        <v>2543</v>
      </c>
      <c r="B4186" s="133" t="s">
        <v>2880</v>
      </c>
      <c r="C4186" s="133" t="s">
        <v>497</v>
      </c>
      <c r="D4186" s="133" t="s">
        <v>3288</v>
      </c>
      <c r="E4186" s="138">
        <v>5.1200000000000004E-5</v>
      </c>
      <c r="F4186" s="153" t="s">
        <v>135</v>
      </c>
      <c r="G4186" s="154">
        <v>1</v>
      </c>
      <c r="H4186" s="133" t="s">
        <v>39</v>
      </c>
      <c r="I4186" s="133"/>
      <c r="J4186" s="133" t="s">
        <v>2542</v>
      </c>
      <c r="K4186" s="133" t="s">
        <v>831</v>
      </c>
      <c r="L4186" s="167"/>
      <c r="M4186" s="48"/>
      <c r="N4186" s="123"/>
    </row>
    <row r="4187" spans="1:14" customFormat="1" x14ac:dyDescent="0.55000000000000004">
      <c r="A4187" s="133" t="s">
        <v>2543</v>
      </c>
      <c r="B4187" s="133" t="s">
        <v>2790</v>
      </c>
      <c r="C4187" s="133" t="s">
        <v>497</v>
      </c>
      <c r="D4187" s="133" t="s">
        <v>3288</v>
      </c>
      <c r="E4187" s="138">
        <v>9.2699999999999998E-4</v>
      </c>
      <c r="F4187" s="153" t="s">
        <v>135</v>
      </c>
      <c r="G4187" s="154">
        <v>1</v>
      </c>
      <c r="H4187" s="133" t="s">
        <v>39</v>
      </c>
      <c r="I4187" s="133"/>
      <c r="J4187" s="133" t="s">
        <v>2542</v>
      </c>
      <c r="K4187" s="133" t="s">
        <v>831</v>
      </c>
      <c r="L4187" s="167"/>
      <c r="M4187" s="48"/>
      <c r="N4187" s="123"/>
    </row>
    <row r="4188" spans="1:14" customFormat="1" x14ac:dyDescent="0.55000000000000004">
      <c r="A4188" s="133" t="s">
        <v>2543</v>
      </c>
      <c r="B4188" s="133" t="s">
        <v>3200</v>
      </c>
      <c r="C4188" s="133" t="s">
        <v>497</v>
      </c>
      <c r="D4188" s="133" t="s">
        <v>3288</v>
      </c>
      <c r="E4188" s="138">
        <v>1.8300000000000001E-5</v>
      </c>
      <c r="F4188" s="153" t="s">
        <v>135</v>
      </c>
      <c r="G4188" s="154">
        <v>1</v>
      </c>
      <c r="H4188" s="133" t="s">
        <v>39</v>
      </c>
      <c r="I4188" s="133"/>
      <c r="J4188" s="133" t="s">
        <v>2542</v>
      </c>
      <c r="K4188" s="133" t="s">
        <v>831</v>
      </c>
      <c r="L4188" s="167"/>
      <c r="M4188" s="48"/>
      <c r="N4188" s="123"/>
    </row>
    <row r="4189" spans="1:14" customFormat="1" x14ac:dyDescent="0.55000000000000004">
      <c r="A4189" s="133" t="s">
        <v>2543</v>
      </c>
      <c r="B4189" s="133" t="s">
        <v>3201</v>
      </c>
      <c r="C4189" s="133" t="s">
        <v>497</v>
      </c>
      <c r="D4189" s="133" t="s">
        <v>3288</v>
      </c>
      <c r="E4189" s="138">
        <v>9.0000000000000007E-7</v>
      </c>
      <c r="F4189" s="153" t="s">
        <v>135</v>
      </c>
      <c r="G4189" s="154">
        <v>1</v>
      </c>
      <c r="H4189" s="133" t="s">
        <v>39</v>
      </c>
      <c r="I4189" s="133"/>
      <c r="J4189" s="133" t="s">
        <v>2542</v>
      </c>
      <c r="K4189" s="133" t="s">
        <v>831</v>
      </c>
      <c r="L4189" s="167"/>
      <c r="M4189" s="48"/>
      <c r="N4189" s="123"/>
    </row>
    <row r="4190" spans="1:14" customFormat="1" x14ac:dyDescent="0.55000000000000004">
      <c r="A4190" s="133" t="s">
        <v>2543</v>
      </c>
      <c r="B4190" s="133" t="s">
        <v>3202</v>
      </c>
      <c r="C4190" s="133" t="s">
        <v>497</v>
      </c>
      <c r="D4190" s="133" t="s">
        <v>3288</v>
      </c>
      <c r="E4190" s="138">
        <v>8.6999999999999997E-6</v>
      </c>
      <c r="F4190" s="153" t="s">
        <v>135</v>
      </c>
      <c r="G4190" s="154">
        <v>1</v>
      </c>
      <c r="H4190" s="133" t="s">
        <v>39</v>
      </c>
      <c r="I4190" s="133"/>
      <c r="J4190" s="133" t="s">
        <v>2542</v>
      </c>
      <c r="K4190" s="133" t="s">
        <v>831</v>
      </c>
      <c r="L4190" s="167"/>
      <c r="M4190" s="48"/>
      <c r="N4190" s="123"/>
    </row>
    <row r="4191" spans="1:14" customFormat="1" x14ac:dyDescent="0.55000000000000004">
      <c r="A4191" s="133" t="s">
        <v>2543</v>
      </c>
      <c r="B4191" s="133" t="s">
        <v>3203</v>
      </c>
      <c r="C4191" s="133" t="s">
        <v>497</v>
      </c>
      <c r="D4191" s="133" t="s">
        <v>3288</v>
      </c>
      <c r="E4191" s="138">
        <v>7.0000000000000005E-14</v>
      </c>
      <c r="F4191" s="153" t="s">
        <v>135</v>
      </c>
      <c r="G4191" s="154">
        <v>1</v>
      </c>
      <c r="H4191" s="133" t="s">
        <v>39</v>
      </c>
      <c r="I4191" s="134"/>
      <c r="J4191" s="133" t="s">
        <v>2542</v>
      </c>
      <c r="K4191" s="133" t="s">
        <v>831</v>
      </c>
      <c r="L4191" s="167"/>
      <c r="M4191" s="48"/>
      <c r="N4191" s="123"/>
    </row>
    <row r="4192" spans="1:14" customFormat="1" x14ac:dyDescent="0.55000000000000004">
      <c r="A4192" s="133" t="s">
        <v>2547</v>
      </c>
      <c r="B4192" s="133" t="s">
        <v>3207</v>
      </c>
      <c r="C4192" s="133" t="s">
        <v>121</v>
      </c>
      <c r="D4192" s="133" t="s">
        <v>2682</v>
      </c>
      <c r="E4192" s="138">
        <v>1</v>
      </c>
      <c r="F4192" s="153">
        <v>1</v>
      </c>
      <c r="G4192" s="153">
        <v>1</v>
      </c>
      <c r="H4192" s="133" t="s">
        <v>39</v>
      </c>
      <c r="I4192" s="133"/>
      <c r="J4192" s="133" t="s">
        <v>2546</v>
      </c>
      <c r="K4192" s="133" t="s">
        <v>831</v>
      </c>
      <c r="L4192" s="167"/>
      <c r="M4192" s="48"/>
      <c r="N4192" s="123"/>
    </row>
    <row r="4193" spans="1:14" customFormat="1" x14ac:dyDescent="0.55000000000000004">
      <c r="A4193" s="133" t="s">
        <v>2547</v>
      </c>
      <c r="B4193" s="133" t="s">
        <v>3194</v>
      </c>
      <c r="C4193" s="133" t="s">
        <v>348</v>
      </c>
      <c r="D4193" s="133" t="s">
        <v>3288</v>
      </c>
      <c r="E4193" s="138">
        <v>1</v>
      </c>
      <c r="F4193" s="153" t="s">
        <v>135</v>
      </c>
      <c r="G4193" s="153">
        <v>1</v>
      </c>
      <c r="H4193" s="133" t="s">
        <v>39</v>
      </c>
      <c r="I4193" s="133"/>
      <c r="J4193" s="133" t="s">
        <v>2546</v>
      </c>
      <c r="K4193" s="133" t="s">
        <v>831</v>
      </c>
      <c r="L4193" s="167"/>
      <c r="M4193" s="48"/>
      <c r="N4193" s="123"/>
    </row>
    <row r="4194" spans="1:14" customFormat="1" x14ac:dyDescent="0.55000000000000004">
      <c r="A4194" s="133" t="s">
        <v>2547</v>
      </c>
      <c r="B4194" s="133" t="s">
        <v>153</v>
      </c>
      <c r="C4194" s="133" t="s">
        <v>127</v>
      </c>
      <c r="D4194" s="133" t="s">
        <v>2994</v>
      </c>
      <c r="E4194" s="138">
        <v>72.099999999999994</v>
      </c>
      <c r="F4194" s="153" t="s">
        <v>130</v>
      </c>
      <c r="G4194" s="153">
        <v>1</v>
      </c>
      <c r="H4194" s="133" t="s">
        <v>39</v>
      </c>
      <c r="I4194" s="133" t="s">
        <v>3208</v>
      </c>
      <c r="J4194" s="133" t="s">
        <v>2546</v>
      </c>
      <c r="K4194" s="133" t="s">
        <v>831</v>
      </c>
      <c r="L4194" s="167"/>
      <c r="M4194" s="48"/>
      <c r="N4194" s="123"/>
    </row>
    <row r="4195" spans="1:14" customFormat="1" x14ac:dyDescent="0.55000000000000004">
      <c r="A4195" s="133" t="s">
        <v>2547</v>
      </c>
      <c r="B4195" s="133" t="s">
        <v>3209</v>
      </c>
      <c r="C4195" s="133" t="s">
        <v>127</v>
      </c>
      <c r="D4195" s="133" t="s">
        <v>3289</v>
      </c>
      <c r="E4195" s="138">
        <v>2.4</v>
      </c>
      <c r="F4195" s="153" t="s">
        <v>128</v>
      </c>
      <c r="G4195" s="153">
        <v>1</v>
      </c>
      <c r="H4195" s="133" t="s">
        <v>39</v>
      </c>
      <c r="I4195" s="133"/>
      <c r="J4195" s="133" t="s">
        <v>2546</v>
      </c>
      <c r="K4195" s="133" t="s">
        <v>831</v>
      </c>
      <c r="L4195" s="167"/>
      <c r="M4195" s="48"/>
      <c r="N4195" s="123"/>
    </row>
    <row r="4196" spans="1:14" customFormat="1" x14ac:dyDescent="0.55000000000000004">
      <c r="A4196" s="133" t="s">
        <v>2547</v>
      </c>
      <c r="B4196" s="133" t="s">
        <v>3210</v>
      </c>
      <c r="C4196" s="133" t="s">
        <v>348</v>
      </c>
      <c r="D4196" s="133" t="s">
        <v>3288</v>
      </c>
      <c r="E4196" s="138">
        <v>1.21E-2</v>
      </c>
      <c r="F4196" s="153" t="s">
        <v>135</v>
      </c>
      <c r="G4196" s="153">
        <v>1</v>
      </c>
      <c r="H4196" s="133" t="s">
        <v>39</v>
      </c>
      <c r="I4196" s="133"/>
      <c r="J4196" s="133" t="s">
        <v>2546</v>
      </c>
      <c r="K4196" s="133" t="s">
        <v>831</v>
      </c>
      <c r="L4196" s="167"/>
      <c r="M4196" s="48"/>
      <c r="N4196" s="123"/>
    </row>
    <row r="4197" spans="1:14" customFormat="1" x14ac:dyDescent="0.55000000000000004">
      <c r="A4197" s="133" t="s">
        <v>2547</v>
      </c>
      <c r="B4197" s="133" t="s">
        <v>3065</v>
      </c>
      <c r="C4197" s="133" t="s">
        <v>348</v>
      </c>
      <c r="D4197" s="133" t="s">
        <v>3288</v>
      </c>
      <c r="E4197" s="138">
        <v>6.0000000000000001E-3</v>
      </c>
      <c r="F4197" s="153" t="s">
        <v>135</v>
      </c>
      <c r="G4197" s="153">
        <v>1</v>
      </c>
      <c r="H4197" s="133" t="s">
        <v>39</v>
      </c>
      <c r="I4197" s="133"/>
      <c r="J4197" s="133" t="s">
        <v>2546</v>
      </c>
      <c r="K4197" s="133" t="s">
        <v>831</v>
      </c>
      <c r="L4197" s="167"/>
      <c r="M4197" s="48"/>
      <c r="N4197" s="123"/>
    </row>
    <row r="4198" spans="1:14" customFormat="1" x14ac:dyDescent="0.55000000000000004">
      <c r="A4198" s="133" t="s">
        <v>2547</v>
      </c>
      <c r="B4198" s="133" t="s">
        <v>3204</v>
      </c>
      <c r="C4198" s="133" t="s">
        <v>348</v>
      </c>
      <c r="D4198" s="133" t="s">
        <v>3288</v>
      </c>
      <c r="E4198" s="138">
        <v>5.9999999999999995E-4</v>
      </c>
      <c r="F4198" s="153" t="s">
        <v>135</v>
      </c>
      <c r="G4198" s="153">
        <v>1</v>
      </c>
      <c r="H4198" s="133" t="s">
        <v>39</v>
      </c>
      <c r="I4198" s="133"/>
      <c r="J4198" s="133" t="s">
        <v>2546</v>
      </c>
      <c r="K4198" s="133" t="s">
        <v>831</v>
      </c>
      <c r="L4198" s="167"/>
      <c r="M4198" s="48"/>
      <c r="N4198" s="123"/>
    </row>
    <row r="4199" spans="1:14" customFormat="1" x14ac:dyDescent="0.55000000000000004">
      <c r="A4199" s="133" t="s">
        <v>2547</v>
      </c>
      <c r="B4199" s="133" t="s">
        <v>153</v>
      </c>
      <c r="C4199" s="133" t="s">
        <v>156</v>
      </c>
      <c r="D4199" s="133" t="s">
        <v>2994</v>
      </c>
      <c r="E4199" s="138">
        <v>777.2</v>
      </c>
      <c r="F4199" s="153" t="s">
        <v>130</v>
      </c>
      <c r="G4199" s="153">
        <v>1</v>
      </c>
      <c r="H4199" s="133" t="s">
        <v>39</v>
      </c>
      <c r="I4199" s="133"/>
      <c r="J4199" s="133" t="s">
        <v>2546</v>
      </c>
      <c r="K4199" s="133" t="s">
        <v>831</v>
      </c>
      <c r="L4199" s="167"/>
      <c r="M4199" s="48"/>
      <c r="N4199" s="123"/>
    </row>
    <row r="4200" spans="1:14" customFormat="1" x14ac:dyDescent="0.55000000000000004">
      <c r="A4200" s="133" t="s">
        <v>2547</v>
      </c>
      <c r="B4200" s="133" t="s">
        <v>3195</v>
      </c>
      <c r="C4200" s="133" t="s">
        <v>156</v>
      </c>
      <c r="D4200" s="133" t="s">
        <v>3288</v>
      </c>
      <c r="E4200" s="138">
        <v>5.0200000000000002E-2</v>
      </c>
      <c r="F4200" s="153" t="s">
        <v>135</v>
      </c>
      <c r="G4200" s="153">
        <v>1</v>
      </c>
      <c r="H4200" s="133" t="s">
        <v>39</v>
      </c>
      <c r="I4200" s="133"/>
      <c r="J4200" s="133" t="s">
        <v>2546</v>
      </c>
      <c r="K4200" s="133" t="s">
        <v>831</v>
      </c>
      <c r="L4200" s="167"/>
      <c r="M4200" s="48"/>
      <c r="N4200" s="123"/>
    </row>
    <row r="4201" spans="1:14" customFormat="1" x14ac:dyDescent="0.55000000000000004">
      <c r="A4201" s="133" t="s">
        <v>2547</v>
      </c>
      <c r="B4201" s="133" t="s">
        <v>3196</v>
      </c>
      <c r="C4201" s="133" t="s">
        <v>156</v>
      </c>
      <c r="D4201" s="133" t="s">
        <v>3288</v>
      </c>
      <c r="E4201" s="138">
        <v>5.8400000000000001E-2</v>
      </c>
      <c r="F4201" s="153" t="s">
        <v>135</v>
      </c>
      <c r="G4201" s="153">
        <v>1</v>
      </c>
      <c r="H4201" s="133" t="s">
        <v>39</v>
      </c>
      <c r="I4201" s="133"/>
      <c r="J4201" s="133" t="s">
        <v>2546</v>
      </c>
      <c r="K4201" s="133" t="s">
        <v>831</v>
      </c>
      <c r="L4201" s="167"/>
      <c r="M4201" s="48"/>
      <c r="N4201" s="123"/>
    </row>
    <row r="4202" spans="1:14" customFormat="1" x14ac:dyDescent="0.55000000000000004">
      <c r="A4202" s="133" t="s">
        <v>2547</v>
      </c>
      <c r="B4202" s="133" t="s">
        <v>3197</v>
      </c>
      <c r="C4202" s="133" t="s">
        <v>497</v>
      </c>
      <c r="D4202" s="133" t="s">
        <v>3288</v>
      </c>
      <c r="E4202" s="138">
        <v>2.0000000000000001E-10</v>
      </c>
      <c r="F4202" s="153" t="s">
        <v>135</v>
      </c>
      <c r="G4202" s="153">
        <v>1</v>
      </c>
      <c r="H4202" s="133" t="s">
        <v>39</v>
      </c>
      <c r="I4202" s="133"/>
      <c r="J4202" s="133" t="s">
        <v>2546</v>
      </c>
      <c r="K4202" s="133" t="s">
        <v>831</v>
      </c>
      <c r="L4202" s="167"/>
      <c r="M4202" s="48"/>
      <c r="N4202" s="123"/>
    </row>
    <row r="4203" spans="1:14" customFormat="1" x14ac:dyDescent="0.55000000000000004">
      <c r="A4203" s="133" t="s">
        <v>2547</v>
      </c>
      <c r="B4203" s="133" t="s">
        <v>3198</v>
      </c>
      <c r="C4203" s="133" t="s">
        <v>497</v>
      </c>
      <c r="D4203" s="133" t="s">
        <v>3288</v>
      </c>
      <c r="E4203" s="138">
        <v>1.6000000000000001E-9</v>
      </c>
      <c r="F4203" s="153" t="s">
        <v>135</v>
      </c>
      <c r="G4203" s="153">
        <v>1</v>
      </c>
      <c r="H4203" s="133" t="s">
        <v>39</v>
      </c>
      <c r="I4203" s="133"/>
      <c r="J4203" s="133" t="s">
        <v>2546</v>
      </c>
      <c r="K4203" s="133" t="s">
        <v>831</v>
      </c>
      <c r="L4203" s="167"/>
      <c r="M4203" s="48"/>
      <c r="N4203" s="123"/>
    </row>
    <row r="4204" spans="1:14" customFormat="1" x14ac:dyDescent="0.55000000000000004">
      <c r="A4204" s="133" t="s">
        <v>2547</v>
      </c>
      <c r="B4204" s="133" t="s">
        <v>726</v>
      </c>
      <c r="C4204" s="133" t="s">
        <v>497</v>
      </c>
      <c r="D4204" s="133" t="s">
        <v>3288</v>
      </c>
      <c r="E4204" s="138">
        <v>3.1119999999999998E-7</v>
      </c>
      <c r="F4204" s="153" t="s">
        <v>135</v>
      </c>
      <c r="G4204" s="153">
        <v>1</v>
      </c>
      <c r="H4204" s="133" t="s">
        <v>39</v>
      </c>
      <c r="I4204" s="133"/>
      <c r="J4204" s="133" t="s">
        <v>2546</v>
      </c>
      <c r="K4204" s="133" t="s">
        <v>831</v>
      </c>
      <c r="L4204" s="167"/>
      <c r="M4204" s="48"/>
      <c r="N4204" s="123"/>
    </row>
    <row r="4205" spans="1:14" customFormat="1" x14ac:dyDescent="0.55000000000000004">
      <c r="A4205" s="133" t="s">
        <v>2547</v>
      </c>
      <c r="B4205" s="133" t="s">
        <v>2975</v>
      </c>
      <c r="C4205" s="133" t="s">
        <v>497</v>
      </c>
      <c r="D4205" s="133" t="s">
        <v>3288</v>
      </c>
      <c r="E4205" s="138">
        <v>6.5200000000000001E-8</v>
      </c>
      <c r="F4205" s="153" t="s">
        <v>135</v>
      </c>
      <c r="G4205" s="153">
        <v>1</v>
      </c>
      <c r="H4205" s="133" t="s">
        <v>39</v>
      </c>
      <c r="I4205" s="133"/>
      <c r="J4205" s="133" t="s">
        <v>2546</v>
      </c>
      <c r="K4205" s="133" t="s">
        <v>831</v>
      </c>
      <c r="L4205" s="167"/>
      <c r="M4205" s="48"/>
      <c r="N4205" s="123"/>
    </row>
    <row r="4206" spans="1:14" customFormat="1" x14ac:dyDescent="0.55000000000000004">
      <c r="A4206" s="133" t="s">
        <v>2547</v>
      </c>
      <c r="B4206" s="133" t="s">
        <v>3199</v>
      </c>
      <c r="C4206" s="133" t="s">
        <v>497</v>
      </c>
      <c r="D4206" s="133" t="s">
        <v>3288</v>
      </c>
      <c r="E4206" s="138">
        <v>1.0000000000000001E-9</v>
      </c>
      <c r="F4206" s="153" t="s">
        <v>135</v>
      </c>
      <c r="G4206" s="153">
        <v>1</v>
      </c>
      <c r="H4206" s="133" t="s">
        <v>39</v>
      </c>
      <c r="I4206" s="133"/>
      <c r="J4206" s="133" t="s">
        <v>2546</v>
      </c>
      <c r="K4206" s="133" t="s">
        <v>831</v>
      </c>
      <c r="L4206" s="167"/>
      <c r="M4206" s="48"/>
      <c r="N4206" s="123"/>
    </row>
    <row r="4207" spans="1:14" customFormat="1" x14ac:dyDescent="0.55000000000000004">
      <c r="A4207" s="133" t="s">
        <v>2547</v>
      </c>
      <c r="B4207" s="133" t="s">
        <v>556</v>
      </c>
      <c r="C4207" s="133" t="s">
        <v>497</v>
      </c>
      <c r="D4207" s="133" t="s">
        <v>3288</v>
      </c>
      <c r="E4207" s="138">
        <v>1.2550000000000001E-7</v>
      </c>
      <c r="F4207" s="153" t="s">
        <v>135</v>
      </c>
      <c r="G4207" s="154">
        <v>1</v>
      </c>
      <c r="H4207" s="133" t="s">
        <v>39</v>
      </c>
      <c r="I4207" s="133"/>
      <c r="J4207" s="133" t="s">
        <v>2546</v>
      </c>
      <c r="K4207" s="133" t="s">
        <v>831</v>
      </c>
      <c r="L4207" s="167"/>
      <c r="M4207" s="48"/>
      <c r="N4207" s="123"/>
    </row>
    <row r="4208" spans="1:14" customFormat="1" x14ac:dyDescent="0.55000000000000004">
      <c r="A4208" s="133" t="s">
        <v>2547</v>
      </c>
      <c r="B4208" s="133" t="s">
        <v>2874</v>
      </c>
      <c r="C4208" s="133" t="s">
        <v>497</v>
      </c>
      <c r="D4208" s="133" t="s">
        <v>3288</v>
      </c>
      <c r="E4208" s="138">
        <v>8.1000000000000004E-6</v>
      </c>
      <c r="F4208" s="153" t="s">
        <v>135</v>
      </c>
      <c r="G4208" s="154">
        <v>1</v>
      </c>
      <c r="H4208" s="133" t="s">
        <v>39</v>
      </c>
      <c r="I4208" s="133"/>
      <c r="J4208" s="133" t="s">
        <v>2546</v>
      </c>
      <c r="K4208" s="133" t="s">
        <v>831</v>
      </c>
      <c r="L4208" s="167"/>
      <c r="M4208" s="48"/>
      <c r="N4208" s="123"/>
    </row>
    <row r="4209" spans="1:14" customFormat="1" x14ac:dyDescent="0.55000000000000004">
      <c r="A4209" s="133" t="s">
        <v>2547</v>
      </c>
      <c r="B4209" s="133" t="s">
        <v>2880</v>
      </c>
      <c r="C4209" s="133" t="s">
        <v>497</v>
      </c>
      <c r="D4209" s="133" t="s">
        <v>3288</v>
      </c>
      <c r="E4209" s="138">
        <v>2.8199999999999998E-5</v>
      </c>
      <c r="F4209" s="153" t="s">
        <v>135</v>
      </c>
      <c r="G4209" s="154">
        <v>1</v>
      </c>
      <c r="H4209" s="133" t="s">
        <v>39</v>
      </c>
      <c r="I4209" s="133"/>
      <c r="J4209" s="133" t="s">
        <v>2546</v>
      </c>
      <c r="K4209" s="133" t="s">
        <v>831</v>
      </c>
      <c r="L4209" s="167"/>
      <c r="M4209" s="48"/>
      <c r="N4209" s="123"/>
    </row>
    <row r="4210" spans="1:14" customFormat="1" x14ac:dyDescent="0.55000000000000004">
      <c r="A4210" s="133" t="s">
        <v>2547</v>
      </c>
      <c r="B4210" s="133" t="s">
        <v>2790</v>
      </c>
      <c r="C4210" s="133" t="s">
        <v>497</v>
      </c>
      <c r="D4210" s="133" t="s">
        <v>3288</v>
      </c>
      <c r="E4210" s="138">
        <v>6.4970000000000002E-4</v>
      </c>
      <c r="F4210" s="153" t="s">
        <v>135</v>
      </c>
      <c r="G4210" s="154">
        <v>1</v>
      </c>
      <c r="H4210" s="133" t="s">
        <v>39</v>
      </c>
      <c r="I4210" s="133"/>
      <c r="J4210" s="133" t="s">
        <v>2546</v>
      </c>
      <c r="K4210" s="133" t="s">
        <v>831</v>
      </c>
      <c r="L4210" s="167"/>
      <c r="M4210" s="48"/>
      <c r="N4210" s="123"/>
    </row>
    <row r="4211" spans="1:14" customFormat="1" x14ac:dyDescent="0.55000000000000004">
      <c r="A4211" s="133" t="s">
        <v>2547</v>
      </c>
      <c r="B4211" s="133" t="s">
        <v>3200</v>
      </c>
      <c r="C4211" s="133" t="s">
        <v>497</v>
      </c>
      <c r="D4211" s="133" t="s">
        <v>3288</v>
      </c>
      <c r="E4211" s="138">
        <v>3.9999999999999998E-6</v>
      </c>
      <c r="F4211" s="153" t="s">
        <v>135</v>
      </c>
      <c r="G4211" s="154">
        <v>1</v>
      </c>
      <c r="H4211" s="133" t="s">
        <v>39</v>
      </c>
      <c r="I4211" s="133"/>
      <c r="J4211" s="133" t="s">
        <v>2546</v>
      </c>
      <c r="K4211" s="133" t="s">
        <v>831</v>
      </c>
      <c r="L4211" s="167"/>
      <c r="M4211" s="48"/>
      <c r="N4211" s="123"/>
    </row>
    <row r="4212" spans="1:14" customFormat="1" x14ac:dyDescent="0.55000000000000004">
      <c r="A4212" s="133" t="s">
        <v>2547</v>
      </c>
      <c r="B4212" s="133" t="s">
        <v>3201</v>
      </c>
      <c r="C4212" s="133" t="s">
        <v>497</v>
      </c>
      <c r="D4212" s="133" t="s">
        <v>3288</v>
      </c>
      <c r="E4212" s="138">
        <v>1.9999999999999999E-6</v>
      </c>
      <c r="F4212" s="153" t="s">
        <v>135</v>
      </c>
      <c r="G4212" s="154">
        <v>1</v>
      </c>
      <c r="H4212" s="133" t="s">
        <v>39</v>
      </c>
      <c r="I4212" s="133"/>
      <c r="J4212" s="133" t="s">
        <v>2546</v>
      </c>
      <c r="K4212" s="133" t="s">
        <v>831</v>
      </c>
      <c r="L4212" s="167"/>
      <c r="M4212" s="48"/>
      <c r="N4212" s="123"/>
    </row>
    <row r="4213" spans="1:14" customFormat="1" x14ac:dyDescent="0.55000000000000004">
      <c r="A4213" s="133" t="s">
        <v>2547</v>
      </c>
      <c r="B4213" s="133" t="s">
        <v>3202</v>
      </c>
      <c r="C4213" s="133" t="s">
        <v>497</v>
      </c>
      <c r="D4213" s="133" t="s">
        <v>3288</v>
      </c>
      <c r="E4213" s="138">
        <v>8.1000000000000004E-6</v>
      </c>
      <c r="F4213" s="153" t="s">
        <v>135</v>
      </c>
      <c r="G4213" s="154">
        <v>1</v>
      </c>
      <c r="H4213" s="133" t="s">
        <v>39</v>
      </c>
      <c r="I4213" s="133"/>
      <c r="J4213" s="133" t="s">
        <v>2546</v>
      </c>
      <c r="K4213" s="133" t="s">
        <v>831</v>
      </c>
      <c r="L4213" s="167"/>
      <c r="M4213" s="48"/>
      <c r="N4213" s="123"/>
    </row>
    <row r="4214" spans="1:14" customFormat="1" x14ac:dyDescent="0.55000000000000004">
      <c r="A4214" s="133" t="s">
        <v>2547</v>
      </c>
      <c r="B4214" s="133" t="s">
        <v>3203</v>
      </c>
      <c r="C4214" s="133" t="s">
        <v>497</v>
      </c>
      <c r="D4214" s="133" t="s">
        <v>3288</v>
      </c>
      <c r="E4214" s="138">
        <v>8.0999999999999999E-15</v>
      </c>
      <c r="F4214" s="153" t="s">
        <v>135</v>
      </c>
      <c r="G4214" s="154">
        <v>1</v>
      </c>
      <c r="H4214" s="133" t="s">
        <v>39</v>
      </c>
      <c r="I4214" s="134"/>
      <c r="J4214" s="133" t="s">
        <v>2546</v>
      </c>
      <c r="K4214" s="133" t="s">
        <v>831</v>
      </c>
      <c r="L4214" s="167"/>
      <c r="M4214" s="48"/>
      <c r="N4214" s="123"/>
    </row>
    <row r="4215" spans="1:14" customFormat="1" x14ac:dyDescent="0.55000000000000004">
      <c r="A4215" s="133" t="s">
        <v>2551</v>
      </c>
      <c r="B4215" s="133" t="s">
        <v>3211</v>
      </c>
      <c r="C4215" s="133" t="s">
        <v>121</v>
      </c>
      <c r="D4215" s="133" t="s">
        <v>2682</v>
      </c>
      <c r="E4215" s="138">
        <v>1</v>
      </c>
      <c r="F4215" s="153">
        <v>1</v>
      </c>
      <c r="G4215" s="154">
        <v>1</v>
      </c>
      <c r="H4215" s="133" t="s">
        <v>39</v>
      </c>
      <c r="I4215" s="134" t="s">
        <v>2553</v>
      </c>
      <c r="J4215" s="133" t="s">
        <v>2550</v>
      </c>
      <c r="K4215" s="133" t="s">
        <v>831</v>
      </c>
      <c r="L4215" s="167"/>
      <c r="M4215" s="48"/>
      <c r="N4215" s="123"/>
    </row>
    <row r="4216" spans="1:14" customFormat="1" x14ac:dyDescent="0.55000000000000004">
      <c r="A4216" s="133" t="s">
        <v>2551</v>
      </c>
      <c r="B4216" s="133" t="s">
        <v>181</v>
      </c>
      <c r="C4216" s="133" t="s">
        <v>348</v>
      </c>
      <c r="D4216" s="133" t="s">
        <v>3288</v>
      </c>
      <c r="E4216" s="138">
        <v>1</v>
      </c>
      <c r="F4216" s="153" t="s">
        <v>135</v>
      </c>
      <c r="G4216" s="154">
        <v>1</v>
      </c>
      <c r="H4216" s="133" t="s">
        <v>39</v>
      </c>
      <c r="I4216" s="134"/>
      <c r="J4216" s="133" t="s">
        <v>2550</v>
      </c>
      <c r="K4216" s="133" t="s">
        <v>831</v>
      </c>
      <c r="L4216" s="167"/>
      <c r="M4216" s="48"/>
      <c r="N4216" s="123"/>
    </row>
    <row r="4217" spans="1:14" customFormat="1" x14ac:dyDescent="0.55000000000000004">
      <c r="A4217" s="133" t="s">
        <v>2551</v>
      </c>
      <c r="B4217" s="133" t="s">
        <v>154</v>
      </c>
      <c r="C4217" s="133" t="s">
        <v>132</v>
      </c>
      <c r="D4217" s="133" t="s">
        <v>3289</v>
      </c>
      <c r="E4217" s="138">
        <v>0.22500000000000001</v>
      </c>
      <c r="F4217" s="153" t="s">
        <v>133</v>
      </c>
      <c r="G4217" s="154">
        <v>1</v>
      </c>
      <c r="H4217" s="135" t="s">
        <v>3212</v>
      </c>
      <c r="I4217" s="134"/>
      <c r="J4217" s="133" t="s">
        <v>2550</v>
      </c>
      <c r="K4217" s="133" t="s">
        <v>831</v>
      </c>
      <c r="L4217" s="167"/>
      <c r="M4217" s="48"/>
      <c r="N4217" s="123"/>
    </row>
    <row r="4218" spans="1:14" customFormat="1" x14ac:dyDescent="0.55000000000000004">
      <c r="A4218" s="133" t="s">
        <v>2551</v>
      </c>
      <c r="B4218" s="133" t="s">
        <v>170</v>
      </c>
      <c r="C4218" s="133" t="s">
        <v>348</v>
      </c>
      <c r="D4218" s="133" t="s">
        <v>3288</v>
      </c>
      <c r="E4218" s="138">
        <v>9.6500000000000006E-3</v>
      </c>
      <c r="F4218" s="153" t="s">
        <v>135</v>
      </c>
      <c r="G4218" s="154">
        <v>1</v>
      </c>
      <c r="H4218" s="135" t="s">
        <v>3213</v>
      </c>
      <c r="I4218" s="134"/>
      <c r="J4218" s="133" t="s">
        <v>2550</v>
      </c>
      <c r="K4218" s="133" t="s">
        <v>831</v>
      </c>
      <c r="L4218" s="167"/>
      <c r="M4218" s="48"/>
      <c r="N4218" s="123"/>
    </row>
    <row r="4219" spans="1:14" customFormat="1" x14ac:dyDescent="0.55000000000000004">
      <c r="A4219" s="133" t="s">
        <v>2551</v>
      </c>
      <c r="B4219" s="133" t="s">
        <v>148</v>
      </c>
      <c r="C4219" s="133" t="s">
        <v>348</v>
      </c>
      <c r="D4219" s="133" t="s">
        <v>3288</v>
      </c>
      <c r="E4219" s="138">
        <v>4.4999999999999999E-4</v>
      </c>
      <c r="F4219" s="153" t="s">
        <v>135</v>
      </c>
      <c r="G4219" s="154">
        <v>1</v>
      </c>
      <c r="H4219" s="135" t="s">
        <v>3214</v>
      </c>
      <c r="I4219" s="134"/>
      <c r="J4219" s="133" t="s">
        <v>2550</v>
      </c>
      <c r="K4219" s="133" t="s">
        <v>831</v>
      </c>
      <c r="L4219" s="167"/>
      <c r="M4219" s="48"/>
      <c r="N4219" s="123"/>
    </row>
    <row r="4220" spans="1:14" customFormat="1" x14ac:dyDescent="0.55000000000000004">
      <c r="A4220" s="133" t="s">
        <v>2551</v>
      </c>
      <c r="B4220" s="133" t="s">
        <v>3065</v>
      </c>
      <c r="C4220" s="133" t="s">
        <v>348</v>
      </c>
      <c r="D4220" s="133" t="s">
        <v>3288</v>
      </c>
      <c r="E4220" s="138">
        <v>2E-3</v>
      </c>
      <c r="F4220" s="153" t="s">
        <v>135</v>
      </c>
      <c r="G4220" s="154">
        <v>1</v>
      </c>
      <c r="H4220" s="133" t="s">
        <v>39</v>
      </c>
      <c r="I4220" s="134"/>
      <c r="J4220" s="133" t="s">
        <v>2550</v>
      </c>
      <c r="K4220" s="133" t="s">
        <v>831</v>
      </c>
      <c r="L4220" s="167"/>
      <c r="M4220" s="48"/>
      <c r="N4220" s="123"/>
    </row>
    <row r="4221" spans="1:14" customFormat="1" x14ac:dyDescent="0.55000000000000004">
      <c r="A4221" s="133" t="s">
        <v>2551</v>
      </c>
      <c r="B4221" s="133" t="s">
        <v>615</v>
      </c>
      <c r="C4221" s="133" t="s">
        <v>348</v>
      </c>
      <c r="D4221" s="133" t="s">
        <v>3288</v>
      </c>
      <c r="E4221" s="138">
        <v>2.3E-3</v>
      </c>
      <c r="F4221" s="153" t="s">
        <v>135</v>
      </c>
      <c r="G4221" s="154">
        <v>1</v>
      </c>
      <c r="H4221" s="133" t="s">
        <v>39</v>
      </c>
      <c r="I4221" s="134"/>
      <c r="J4221" s="133" t="s">
        <v>2550</v>
      </c>
      <c r="K4221" s="133" t="s">
        <v>831</v>
      </c>
      <c r="L4221" s="167"/>
      <c r="M4221" s="48"/>
      <c r="N4221" s="123"/>
    </row>
    <row r="4222" spans="1:14" customFormat="1" x14ac:dyDescent="0.55000000000000004">
      <c r="A4222" s="133" t="s">
        <v>2551</v>
      </c>
      <c r="B4222" s="133" t="s">
        <v>3215</v>
      </c>
      <c r="C4222" s="133" t="s">
        <v>348</v>
      </c>
      <c r="D4222" s="133" t="s">
        <v>3288</v>
      </c>
      <c r="E4222" s="138">
        <v>1.7000000000000001E-4</v>
      </c>
      <c r="F4222" s="153" t="s">
        <v>135</v>
      </c>
      <c r="G4222" s="154">
        <v>1</v>
      </c>
      <c r="H4222" s="133" t="s">
        <v>39</v>
      </c>
      <c r="I4222" s="134"/>
      <c r="J4222" s="133" t="s">
        <v>2550</v>
      </c>
      <c r="K4222" s="133" t="s">
        <v>831</v>
      </c>
      <c r="L4222" s="167"/>
      <c r="M4222" s="48"/>
      <c r="N4222" s="123"/>
    </row>
    <row r="4223" spans="1:14" customFormat="1" x14ac:dyDescent="0.55000000000000004">
      <c r="A4223" s="133" t="s">
        <v>2551</v>
      </c>
      <c r="B4223" s="133" t="s">
        <v>508</v>
      </c>
      <c r="C4223" s="133" t="s">
        <v>127</v>
      </c>
      <c r="D4223" s="133" t="s">
        <v>3288</v>
      </c>
      <c r="E4223" s="138">
        <v>1.8</v>
      </c>
      <c r="F4223" s="153" t="s">
        <v>128</v>
      </c>
      <c r="G4223" s="154">
        <v>1</v>
      </c>
      <c r="H4223" s="135" t="s">
        <v>3216</v>
      </c>
      <c r="I4223" s="134"/>
      <c r="J4223" s="133" t="s">
        <v>2550</v>
      </c>
      <c r="K4223" s="133" t="s">
        <v>831</v>
      </c>
      <c r="L4223" s="167"/>
      <c r="M4223" s="48"/>
      <c r="N4223" s="123"/>
    </row>
    <row r="4224" spans="1:14" customFormat="1" x14ac:dyDescent="0.55000000000000004">
      <c r="A4224" s="133" t="s">
        <v>2551</v>
      </c>
      <c r="B4224" s="133" t="s">
        <v>153</v>
      </c>
      <c r="C4224" s="133" t="s">
        <v>127</v>
      </c>
      <c r="D4224" s="133" t="s">
        <v>2994</v>
      </c>
      <c r="E4224" s="138">
        <v>120</v>
      </c>
      <c r="F4224" s="153" t="s">
        <v>130</v>
      </c>
      <c r="G4224" s="154">
        <v>1</v>
      </c>
      <c r="H4224" s="133" t="s">
        <v>39</v>
      </c>
      <c r="I4224" s="134"/>
      <c r="J4224" s="133" t="s">
        <v>2550</v>
      </c>
      <c r="K4224" s="133" t="s">
        <v>831</v>
      </c>
      <c r="L4224" s="167"/>
      <c r="M4224" s="48"/>
      <c r="N4224" s="123"/>
    </row>
    <row r="4225" spans="1:14" customFormat="1" x14ac:dyDescent="0.55000000000000004">
      <c r="A4225" s="133" t="s">
        <v>2551</v>
      </c>
      <c r="B4225" s="133" t="s">
        <v>496</v>
      </c>
      <c r="C4225" s="133" t="s">
        <v>156</v>
      </c>
      <c r="D4225" s="133" t="s">
        <v>2994</v>
      </c>
      <c r="E4225" s="138">
        <v>2232</v>
      </c>
      <c r="F4225" s="153" t="s">
        <v>130</v>
      </c>
      <c r="G4225" s="154">
        <v>1</v>
      </c>
      <c r="H4225" s="133" t="s">
        <v>39</v>
      </c>
      <c r="I4225" s="134"/>
      <c r="J4225" s="133" t="s">
        <v>2550</v>
      </c>
      <c r="K4225" s="133" t="s">
        <v>831</v>
      </c>
      <c r="L4225" s="167"/>
      <c r="M4225" s="48"/>
      <c r="N4225" s="123"/>
    </row>
    <row r="4226" spans="1:14" customFormat="1" x14ac:dyDescent="0.55000000000000004">
      <c r="A4226" s="133" t="s">
        <v>2551</v>
      </c>
      <c r="B4226" s="133" t="s">
        <v>179</v>
      </c>
      <c r="C4226" s="133" t="s">
        <v>124</v>
      </c>
      <c r="D4226" s="133" t="s">
        <v>3289</v>
      </c>
      <c r="E4226" s="138">
        <v>5670</v>
      </c>
      <c r="F4226" s="153" t="s">
        <v>3217</v>
      </c>
      <c r="G4226" s="154">
        <v>1</v>
      </c>
      <c r="H4226" s="133" t="s">
        <v>39</v>
      </c>
      <c r="I4226" s="134"/>
      <c r="J4226" s="133" t="s">
        <v>2550</v>
      </c>
      <c r="K4226" s="133" t="s">
        <v>831</v>
      </c>
      <c r="L4226" s="167"/>
      <c r="M4226" s="48"/>
      <c r="N4226" s="123"/>
    </row>
    <row r="4227" spans="1:14" customFormat="1" x14ac:dyDescent="0.55000000000000004">
      <c r="A4227" s="133" t="s">
        <v>2551</v>
      </c>
      <c r="B4227" s="133" t="s">
        <v>3195</v>
      </c>
      <c r="C4227" s="133" t="s">
        <v>156</v>
      </c>
      <c r="D4227" s="133" t="s">
        <v>3288</v>
      </c>
      <c r="E4227" s="138">
        <v>0.13850000000000001</v>
      </c>
      <c r="F4227" s="153" t="s">
        <v>135</v>
      </c>
      <c r="G4227" s="154">
        <v>1</v>
      </c>
      <c r="H4227" s="135" t="s">
        <v>3218</v>
      </c>
      <c r="I4227" s="134"/>
      <c r="J4227" s="133" t="s">
        <v>2550</v>
      </c>
      <c r="K4227" s="133" t="s">
        <v>831</v>
      </c>
      <c r="L4227" s="167"/>
      <c r="M4227" s="48"/>
      <c r="N4227" s="123"/>
    </row>
    <row r="4228" spans="1:14" customFormat="1" x14ac:dyDescent="0.55000000000000004">
      <c r="A4228" s="133" t="s">
        <v>2551</v>
      </c>
      <c r="B4228" s="133" t="s">
        <v>2787</v>
      </c>
      <c r="C4228" s="133" t="s">
        <v>3269</v>
      </c>
      <c r="D4228" s="133" t="s">
        <v>3288</v>
      </c>
      <c r="E4228" s="138">
        <v>2.5000000000000001E-2</v>
      </c>
      <c r="F4228" s="153" t="s">
        <v>135</v>
      </c>
      <c r="G4228" s="154">
        <v>1</v>
      </c>
      <c r="H4228" s="135" t="s">
        <v>3219</v>
      </c>
      <c r="I4228" s="134"/>
      <c r="J4228" s="133" t="s">
        <v>2550</v>
      </c>
      <c r="K4228" s="133" t="s">
        <v>831</v>
      </c>
      <c r="L4228" s="167"/>
      <c r="M4228" s="48"/>
      <c r="N4228" s="123"/>
    </row>
    <row r="4229" spans="1:14" customFormat="1" x14ac:dyDescent="0.55000000000000004">
      <c r="A4229" s="133" t="s">
        <v>2551</v>
      </c>
      <c r="B4229" s="133" t="s">
        <v>3220</v>
      </c>
      <c r="C4229" s="133" t="s">
        <v>3269</v>
      </c>
      <c r="D4229" s="133" t="s">
        <v>3288</v>
      </c>
      <c r="E4229" s="138">
        <v>0.01</v>
      </c>
      <c r="F4229" s="153" t="s">
        <v>135</v>
      </c>
      <c r="G4229" s="154">
        <v>1</v>
      </c>
      <c r="H4229" s="133" t="s">
        <v>39</v>
      </c>
      <c r="I4229" s="134"/>
      <c r="J4229" s="133" t="s">
        <v>2550</v>
      </c>
      <c r="K4229" s="133" t="s">
        <v>831</v>
      </c>
      <c r="L4229" s="167"/>
      <c r="M4229" s="48"/>
      <c r="N4229" s="123"/>
    </row>
    <row r="4230" spans="1:14" customFormat="1" x14ac:dyDescent="0.55000000000000004">
      <c r="A4230" s="133" t="s">
        <v>2551</v>
      </c>
      <c r="B4230" s="133" t="s">
        <v>154</v>
      </c>
      <c r="C4230" s="133" t="s">
        <v>124</v>
      </c>
      <c r="D4230" s="133" t="s">
        <v>3289</v>
      </c>
      <c r="E4230" s="138">
        <v>0.2</v>
      </c>
      <c r="F4230" s="153" t="s">
        <v>133</v>
      </c>
      <c r="G4230" s="154">
        <v>1</v>
      </c>
      <c r="H4230" s="133" t="s">
        <v>39</v>
      </c>
      <c r="I4230" s="134"/>
      <c r="J4230" s="133" t="s">
        <v>2550</v>
      </c>
      <c r="K4230" s="133" t="s">
        <v>831</v>
      </c>
      <c r="L4230" s="167"/>
      <c r="M4230" s="48"/>
      <c r="N4230" s="123"/>
    </row>
    <row r="4231" spans="1:14" customFormat="1" x14ac:dyDescent="0.55000000000000004">
      <c r="A4231" s="133" t="s">
        <v>2551</v>
      </c>
      <c r="B4231" s="133" t="s">
        <v>160</v>
      </c>
      <c r="C4231" s="133" t="s">
        <v>124</v>
      </c>
      <c r="D4231" s="133" t="s">
        <v>3288</v>
      </c>
      <c r="E4231" s="138">
        <v>1.1399999999999999</v>
      </c>
      <c r="F4231" s="153" t="s">
        <v>135</v>
      </c>
      <c r="G4231" s="154">
        <v>1</v>
      </c>
      <c r="H4231" s="133" t="s">
        <v>39</v>
      </c>
      <c r="I4231" s="134"/>
      <c r="J4231" s="133" t="s">
        <v>2550</v>
      </c>
      <c r="K4231" s="133" t="s">
        <v>831</v>
      </c>
      <c r="L4231" s="167"/>
      <c r="M4231" s="48"/>
      <c r="N4231" s="123"/>
    </row>
    <row r="4232" spans="1:14" customFormat="1" x14ac:dyDescent="0.55000000000000004">
      <c r="A4232" s="133" t="s">
        <v>2551</v>
      </c>
      <c r="B4232" s="133" t="s">
        <v>2974</v>
      </c>
      <c r="C4232" s="133" t="s">
        <v>124</v>
      </c>
      <c r="D4232" s="133" t="s">
        <v>3288</v>
      </c>
      <c r="E4232" s="138">
        <v>55.69</v>
      </c>
      <c r="F4232" s="153" t="s">
        <v>3221</v>
      </c>
      <c r="G4232" s="154">
        <v>1</v>
      </c>
      <c r="H4232" s="133" t="s">
        <v>39</v>
      </c>
      <c r="I4232" s="134"/>
      <c r="J4232" s="133" t="s">
        <v>2550</v>
      </c>
      <c r="K4232" s="133" t="s">
        <v>831</v>
      </c>
      <c r="L4232" s="167"/>
      <c r="M4232" s="48"/>
      <c r="N4232" s="123"/>
    </row>
    <row r="4233" spans="1:14" customFormat="1" x14ac:dyDescent="0.55000000000000004">
      <c r="A4233" s="133" t="s">
        <v>2551</v>
      </c>
      <c r="B4233" s="133" t="s">
        <v>891</v>
      </c>
      <c r="C4233" s="133" t="s">
        <v>124</v>
      </c>
      <c r="D4233" s="133" t="s">
        <v>3288</v>
      </c>
      <c r="E4233" s="138">
        <v>1048.7</v>
      </c>
      <c r="F4233" s="153" t="s">
        <v>3221</v>
      </c>
      <c r="G4233" s="154">
        <v>1</v>
      </c>
      <c r="H4233" s="133" t="s">
        <v>39</v>
      </c>
      <c r="I4233" s="134"/>
      <c r="J4233" s="133" t="s">
        <v>2550</v>
      </c>
      <c r="K4233" s="133" t="s">
        <v>831</v>
      </c>
      <c r="L4233" s="167"/>
      <c r="M4233" s="48"/>
      <c r="N4233" s="123"/>
    </row>
    <row r="4234" spans="1:14" customFormat="1" x14ac:dyDescent="0.55000000000000004">
      <c r="A4234" s="133" t="s">
        <v>2551</v>
      </c>
      <c r="B4234" s="133" t="s">
        <v>2934</v>
      </c>
      <c r="C4234" s="133" t="s">
        <v>124</v>
      </c>
      <c r="D4234" s="133" t="s">
        <v>3288</v>
      </c>
      <c r="E4234" s="138">
        <v>24.88</v>
      </c>
      <c r="F4234" s="153" t="s">
        <v>3221</v>
      </c>
      <c r="G4234" s="154">
        <v>1</v>
      </c>
      <c r="H4234" s="133" t="s">
        <v>39</v>
      </c>
      <c r="I4234" s="134"/>
      <c r="J4234" s="133" t="s">
        <v>2550</v>
      </c>
      <c r="K4234" s="133" t="s">
        <v>831</v>
      </c>
      <c r="L4234" s="167"/>
      <c r="M4234" s="48"/>
      <c r="N4234" s="123"/>
    </row>
    <row r="4235" spans="1:14" customFormat="1" x14ac:dyDescent="0.55000000000000004">
      <c r="A4235" s="133" t="s">
        <v>2551</v>
      </c>
      <c r="B4235" s="133" t="s">
        <v>1172</v>
      </c>
      <c r="C4235" s="133" t="s">
        <v>124</v>
      </c>
      <c r="D4235" s="133" t="s">
        <v>3288</v>
      </c>
      <c r="E4235" s="138">
        <v>165.3</v>
      </c>
      <c r="F4235" s="153" t="s">
        <v>3221</v>
      </c>
      <c r="G4235" s="154">
        <v>1</v>
      </c>
      <c r="H4235" s="133" t="s">
        <v>39</v>
      </c>
      <c r="I4235" s="134"/>
      <c r="J4235" s="133" t="s">
        <v>2550</v>
      </c>
      <c r="K4235" s="133" t="s">
        <v>831</v>
      </c>
      <c r="L4235" s="167"/>
      <c r="M4235" s="48"/>
      <c r="N4235" s="123"/>
    </row>
    <row r="4236" spans="1:14" customFormat="1" x14ac:dyDescent="0.55000000000000004">
      <c r="A4236" s="133" t="s">
        <v>2551</v>
      </c>
      <c r="B4236" s="133" t="s">
        <v>3222</v>
      </c>
      <c r="C4236" s="133" t="s">
        <v>124</v>
      </c>
      <c r="D4236" s="133" t="s">
        <v>3288</v>
      </c>
      <c r="E4236" s="138">
        <v>5.51</v>
      </c>
      <c r="F4236" s="153" t="s">
        <v>3221</v>
      </c>
      <c r="G4236" s="154">
        <v>1</v>
      </c>
      <c r="H4236" s="133" t="s">
        <v>39</v>
      </c>
      <c r="I4236" s="134"/>
      <c r="J4236" s="133" t="s">
        <v>2550</v>
      </c>
      <c r="K4236" s="133" t="s">
        <v>831</v>
      </c>
      <c r="L4236" s="167"/>
      <c r="M4236" s="48"/>
      <c r="N4236" s="123"/>
    </row>
    <row r="4237" spans="1:14" customFormat="1" x14ac:dyDescent="0.55000000000000004">
      <c r="A4237" s="133" t="s">
        <v>2551</v>
      </c>
      <c r="B4237" s="133" t="s">
        <v>3223</v>
      </c>
      <c r="C4237" s="133" t="s">
        <v>124</v>
      </c>
      <c r="D4237" s="133" t="s">
        <v>3288</v>
      </c>
      <c r="E4237" s="138">
        <v>0.24</v>
      </c>
      <c r="F4237" s="153" t="s">
        <v>3221</v>
      </c>
      <c r="G4237" s="154">
        <v>1</v>
      </c>
      <c r="H4237" s="133" t="s">
        <v>39</v>
      </c>
      <c r="I4237" s="134"/>
      <c r="J4237" s="133" t="s">
        <v>2550</v>
      </c>
      <c r="K4237" s="133" t="s">
        <v>831</v>
      </c>
      <c r="L4237" s="167"/>
      <c r="M4237" s="48"/>
      <c r="N4237" s="123"/>
    </row>
    <row r="4238" spans="1:14" customFormat="1" x14ac:dyDescent="0.55000000000000004">
      <c r="A4238" s="133" t="s">
        <v>2551</v>
      </c>
      <c r="B4238" s="133" t="s">
        <v>3224</v>
      </c>
      <c r="C4238" s="133" t="s">
        <v>124</v>
      </c>
      <c r="D4238" s="133" t="s">
        <v>3288</v>
      </c>
      <c r="E4238" s="138">
        <v>1.18</v>
      </c>
      <c r="F4238" s="153" t="s">
        <v>3221</v>
      </c>
      <c r="G4238" s="154">
        <v>1</v>
      </c>
      <c r="H4238" s="133" t="s">
        <v>39</v>
      </c>
      <c r="I4238" s="134"/>
      <c r="J4238" s="133" t="s">
        <v>2550</v>
      </c>
      <c r="K4238" s="133" t="s">
        <v>831</v>
      </c>
      <c r="L4238" s="167"/>
      <c r="M4238" s="48"/>
      <c r="N4238" s="123"/>
    </row>
    <row r="4239" spans="1:14" customFormat="1" x14ac:dyDescent="0.55000000000000004">
      <c r="A4239" s="133" t="s">
        <v>2551</v>
      </c>
      <c r="B4239" s="133" t="s">
        <v>3225</v>
      </c>
      <c r="C4239" s="133" t="s">
        <v>124</v>
      </c>
      <c r="D4239" s="133" t="s">
        <v>3288</v>
      </c>
      <c r="E4239" s="138">
        <v>0.23</v>
      </c>
      <c r="F4239" s="153" t="s">
        <v>3226</v>
      </c>
      <c r="G4239" s="154">
        <v>1</v>
      </c>
      <c r="H4239" s="133" t="s">
        <v>39</v>
      </c>
      <c r="I4239" s="134"/>
      <c r="J4239" s="133" t="s">
        <v>2550</v>
      </c>
      <c r="K4239" s="133" t="s">
        <v>831</v>
      </c>
      <c r="L4239" s="167"/>
      <c r="M4239" s="48"/>
      <c r="N4239" s="123"/>
    </row>
    <row r="4240" spans="1:14" customFormat="1" x14ac:dyDescent="0.55000000000000004">
      <c r="A4240" s="133" t="s">
        <v>2551</v>
      </c>
      <c r="B4240" s="133" t="s">
        <v>3227</v>
      </c>
      <c r="C4240" s="133" t="s">
        <v>124</v>
      </c>
      <c r="D4240" s="133" t="s">
        <v>3288</v>
      </c>
      <c r="E4240" s="138">
        <v>0.01</v>
      </c>
      <c r="F4240" s="153" t="s">
        <v>3221</v>
      </c>
      <c r="G4240" s="154">
        <v>1</v>
      </c>
      <c r="H4240" s="133" t="s">
        <v>39</v>
      </c>
      <c r="I4240" s="134"/>
      <c r="J4240" s="133" t="s">
        <v>2550</v>
      </c>
      <c r="K4240" s="133" t="s">
        <v>831</v>
      </c>
      <c r="L4240" s="167"/>
      <c r="M4240" s="48"/>
      <c r="N4240" s="123"/>
    </row>
    <row r="4241" spans="1:14" customFormat="1" x14ac:dyDescent="0.55000000000000004">
      <c r="A4241" s="133" t="s">
        <v>2551</v>
      </c>
      <c r="B4241" s="133" t="s">
        <v>3228</v>
      </c>
      <c r="C4241" s="133" t="s">
        <v>124</v>
      </c>
      <c r="D4241" s="133" t="s">
        <v>3288</v>
      </c>
      <c r="E4241" s="138">
        <v>0.34</v>
      </c>
      <c r="F4241" s="153" t="s">
        <v>3221</v>
      </c>
      <c r="G4241" s="154">
        <v>1</v>
      </c>
      <c r="H4241" s="133" t="s">
        <v>39</v>
      </c>
      <c r="I4241" s="134"/>
      <c r="J4241" s="133" t="s">
        <v>2550</v>
      </c>
      <c r="K4241" s="133" t="s">
        <v>831</v>
      </c>
      <c r="L4241" s="167"/>
      <c r="M4241" s="48"/>
      <c r="N4241" s="123"/>
    </row>
    <row r="4242" spans="1:14" customFormat="1" x14ac:dyDescent="0.55000000000000004">
      <c r="A4242" s="133" t="s">
        <v>2556</v>
      </c>
      <c r="B4242" s="133" t="s">
        <v>3211</v>
      </c>
      <c r="C4242" s="133" t="s">
        <v>121</v>
      </c>
      <c r="D4242" s="133" t="s">
        <v>2682</v>
      </c>
      <c r="E4242" s="138">
        <v>1</v>
      </c>
      <c r="F4242" s="153">
        <v>1</v>
      </c>
      <c r="G4242" s="154">
        <v>1</v>
      </c>
      <c r="H4242" s="133" t="s">
        <v>39</v>
      </c>
      <c r="I4242" s="134" t="s">
        <v>2558</v>
      </c>
      <c r="J4242" s="133" t="s">
        <v>2555</v>
      </c>
      <c r="K4242" s="133" t="s">
        <v>831</v>
      </c>
      <c r="L4242" s="167"/>
      <c r="M4242" s="48"/>
      <c r="N4242" s="123"/>
    </row>
    <row r="4243" spans="1:14" customFormat="1" x14ac:dyDescent="0.55000000000000004">
      <c r="A4243" s="133" t="s">
        <v>2556</v>
      </c>
      <c r="B4243" s="133" t="s">
        <v>181</v>
      </c>
      <c r="C4243" s="133" t="s">
        <v>348</v>
      </c>
      <c r="D4243" s="133" t="s">
        <v>3288</v>
      </c>
      <c r="E4243" s="138">
        <v>1</v>
      </c>
      <c r="F4243" s="153" t="s">
        <v>135</v>
      </c>
      <c r="G4243" s="154">
        <v>1</v>
      </c>
      <c r="H4243" s="133" t="s">
        <v>39</v>
      </c>
      <c r="I4243" s="134"/>
      <c r="J4243" s="133" t="s">
        <v>2555</v>
      </c>
      <c r="K4243" s="133" t="s">
        <v>831</v>
      </c>
      <c r="L4243" s="167"/>
      <c r="M4243" s="48"/>
      <c r="N4243" s="123"/>
    </row>
    <row r="4244" spans="1:14" customFormat="1" x14ac:dyDescent="0.55000000000000004">
      <c r="A4244" s="133" t="s">
        <v>2556</v>
      </c>
      <c r="B4244" s="133" t="s">
        <v>3204</v>
      </c>
      <c r="C4244" s="133" t="s">
        <v>348</v>
      </c>
      <c r="D4244" s="133" t="s">
        <v>3289</v>
      </c>
      <c r="E4244" s="138">
        <v>4.5999999999999999E-3</v>
      </c>
      <c r="F4244" s="153" t="s">
        <v>135</v>
      </c>
      <c r="G4244" s="154">
        <v>1</v>
      </c>
      <c r="H4244" s="133" t="s">
        <v>39</v>
      </c>
      <c r="I4244" s="134"/>
      <c r="J4244" s="133" t="s">
        <v>2555</v>
      </c>
      <c r="K4244" s="133" t="s">
        <v>831</v>
      </c>
      <c r="L4244" s="167"/>
      <c r="M4244" s="48"/>
      <c r="N4244" s="123"/>
    </row>
    <row r="4245" spans="1:14" customFormat="1" x14ac:dyDescent="0.55000000000000004">
      <c r="A4245" s="133" t="s">
        <v>2556</v>
      </c>
      <c r="B4245" s="133" t="s">
        <v>3229</v>
      </c>
      <c r="C4245" s="133" t="s">
        <v>348</v>
      </c>
      <c r="D4245" s="133" t="s">
        <v>3288</v>
      </c>
      <c r="E4245" s="138">
        <v>0.01</v>
      </c>
      <c r="F4245" s="153" t="s">
        <v>135</v>
      </c>
      <c r="G4245" s="154">
        <v>1</v>
      </c>
      <c r="H4245" s="133" t="s">
        <v>39</v>
      </c>
      <c r="I4245" s="134"/>
      <c r="J4245" s="133" t="s">
        <v>2555</v>
      </c>
      <c r="K4245" s="133" t="s">
        <v>831</v>
      </c>
      <c r="L4245" s="167"/>
      <c r="M4245" s="48"/>
      <c r="N4245" s="123"/>
    </row>
    <row r="4246" spans="1:14" customFormat="1" x14ac:dyDescent="0.55000000000000004">
      <c r="A4246" s="133" t="s">
        <v>2556</v>
      </c>
      <c r="B4246" s="133" t="s">
        <v>3065</v>
      </c>
      <c r="C4246" s="133" t="s">
        <v>348</v>
      </c>
      <c r="D4246" s="133" t="s">
        <v>3288</v>
      </c>
      <c r="E4246" s="138">
        <v>1E-3</v>
      </c>
      <c r="F4246" s="153" t="s">
        <v>135</v>
      </c>
      <c r="G4246" s="154">
        <v>1</v>
      </c>
      <c r="H4246" s="133" t="s">
        <v>39</v>
      </c>
      <c r="I4246" s="134"/>
      <c r="J4246" s="133" t="s">
        <v>2555</v>
      </c>
      <c r="K4246" s="133" t="s">
        <v>831</v>
      </c>
      <c r="L4246" s="167"/>
      <c r="M4246" s="48"/>
      <c r="N4246" s="123"/>
    </row>
    <row r="4247" spans="1:14" customFormat="1" x14ac:dyDescent="0.55000000000000004">
      <c r="A4247" s="133" t="s">
        <v>2556</v>
      </c>
      <c r="B4247" s="133" t="s">
        <v>3230</v>
      </c>
      <c r="C4247" s="133" t="s">
        <v>127</v>
      </c>
      <c r="D4247" s="133" t="s">
        <v>3288</v>
      </c>
      <c r="E4247" s="138">
        <v>4.0299999999999997E-3</v>
      </c>
      <c r="F4247" s="153" t="s">
        <v>135</v>
      </c>
      <c r="G4247" s="154">
        <v>1</v>
      </c>
      <c r="H4247" s="133" t="s">
        <v>39</v>
      </c>
      <c r="I4247" s="134"/>
      <c r="J4247" s="133" t="s">
        <v>2555</v>
      </c>
      <c r="K4247" s="133" t="s">
        <v>831</v>
      </c>
      <c r="L4247" s="167"/>
      <c r="M4247" s="48"/>
      <c r="N4247" s="123"/>
    </row>
    <row r="4248" spans="1:14" customFormat="1" x14ac:dyDescent="0.55000000000000004">
      <c r="A4248" s="133" t="s">
        <v>2556</v>
      </c>
      <c r="B4248" s="133" t="s">
        <v>153</v>
      </c>
      <c r="C4248" s="133" t="s">
        <v>156</v>
      </c>
      <c r="D4248" s="133" t="s">
        <v>2994</v>
      </c>
      <c r="E4248" s="138">
        <v>550</v>
      </c>
      <c r="F4248" s="153" t="s">
        <v>130</v>
      </c>
      <c r="G4248" s="154">
        <v>1</v>
      </c>
      <c r="H4248" s="133" t="s">
        <v>39</v>
      </c>
      <c r="I4248" s="134"/>
      <c r="J4248" s="133" t="s">
        <v>2555</v>
      </c>
      <c r="K4248" s="133" t="s">
        <v>831</v>
      </c>
      <c r="L4248" s="167"/>
      <c r="M4248" s="48"/>
      <c r="N4248" s="123"/>
    </row>
    <row r="4249" spans="1:14" customFormat="1" x14ac:dyDescent="0.55000000000000004">
      <c r="A4249" s="133" t="s">
        <v>2556</v>
      </c>
      <c r="B4249" s="133" t="s">
        <v>3195</v>
      </c>
      <c r="C4249" s="133" t="s">
        <v>156</v>
      </c>
      <c r="D4249" s="133" t="s">
        <v>3288</v>
      </c>
      <c r="E4249" s="138">
        <v>0.22</v>
      </c>
      <c r="F4249" s="153" t="s">
        <v>135</v>
      </c>
      <c r="G4249" s="154">
        <v>1</v>
      </c>
      <c r="H4249" s="133" t="s">
        <v>39</v>
      </c>
      <c r="I4249" s="134"/>
      <c r="J4249" s="133" t="s">
        <v>2555</v>
      </c>
      <c r="K4249" s="133" t="s">
        <v>831</v>
      </c>
      <c r="L4249" s="167"/>
      <c r="M4249" s="48"/>
      <c r="N4249" s="123"/>
    </row>
    <row r="4250" spans="1:14" customFormat="1" x14ac:dyDescent="0.55000000000000004">
      <c r="A4250" s="133" t="s">
        <v>2556</v>
      </c>
      <c r="B4250" s="133" t="s">
        <v>3231</v>
      </c>
      <c r="C4250" s="133" t="s">
        <v>3269</v>
      </c>
      <c r="D4250" s="133" t="s">
        <v>3288</v>
      </c>
      <c r="E4250" s="138">
        <v>2.7E-2</v>
      </c>
      <c r="F4250" s="153" t="s">
        <v>135</v>
      </c>
      <c r="G4250" s="154">
        <v>1</v>
      </c>
      <c r="H4250" s="133" t="s">
        <v>39</v>
      </c>
      <c r="I4250" s="134"/>
      <c r="J4250" s="133" t="s">
        <v>2555</v>
      </c>
      <c r="K4250" s="133" t="s">
        <v>831</v>
      </c>
      <c r="L4250" s="167"/>
      <c r="M4250" s="48"/>
      <c r="N4250" s="123"/>
    </row>
    <row r="4251" spans="1:14" customFormat="1" x14ac:dyDescent="0.55000000000000004">
      <c r="A4251" s="133" t="s">
        <v>2556</v>
      </c>
      <c r="B4251" s="133" t="s">
        <v>160</v>
      </c>
      <c r="C4251" s="133" t="s">
        <v>124</v>
      </c>
      <c r="D4251" s="133" t="s">
        <v>3288</v>
      </c>
      <c r="E4251" s="138">
        <v>0.97699999999999998</v>
      </c>
      <c r="F4251" s="153" t="s">
        <v>135</v>
      </c>
      <c r="G4251" s="154">
        <v>1</v>
      </c>
      <c r="H4251" s="133" t="s">
        <v>39</v>
      </c>
      <c r="I4251" s="134"/>
      <c r="J4251" s="133" t="s">
        <v>2555</v>
      </c>
      <c r="K4251" s="133" t="s">
        <v>831</v>
      </c>
      <c r="L4251" s="167"/>
      <c r="M4251" s="48"/>
      <c r="N4251" s="123"/>
    </row>
    <row r="4252" spans="1:14" customFormat="1" x14ac:dyDescent="0.55000000000000004">
      <c r="A4252" s="133" t="s">
        <v>2556</v>
      </c>
      <c r="B4252" s="133" t="s">
        <v>2974</v>
      </c>
      <c r="C4252" s="133" t="s">
        <v>124</v>
      </c>
      <c r="D4252" s="133" t="s">
        <v>3288</v>
      </c>
      <c r="E4252" s="138">
        <v>9.7799999999999998E-2</v>
      </c>
      <c r="F4252" s="153" t="s">
        <v>135</v>
      </c>
      <c r="G4252" s="154">
        <v>1</v>
      </c>
      <c r="H4252" s="133" t="s">
        <v>39</v>
      </c>
      <c r="I4252" s="134"/>
      <c r="J4252" s="133" t="s">
        <v>2555</v>
      </c>
      <c r="K4252" s="133" t="s">
        <v>831</v>
      </c>
      <c r="L4252" s="167"/>
      <c r="M4252" s="48"/>
      <c r="N4252" s="123"/>
    </row>
    <row r="4253" spans="1:14" customFormat="1" x14ac:dyDescent="0.55000000000000004">
      <c r="A4253" s="133" t="s">
        <v>2556</v>
      </c>
      <c r="B4253" s="133" t="s">
        <v>213</v>
      </c>
      <c r="C4253" s="133" t="s">
        <v>124</v>
      </c>
      <c r="D4253" s="133" t="s">
        <v>3288</v>
      </c>
      <c r="E4253" s="138">
        <v>0.63800000000000001</v>
      </c>
      <c r="F4253" s="153" t="s">
        <v>135</v>
      </c>
      <c r="G4253" s="154">
        <v>1</v>
      </c>
      <c r="H4253" s="133" t="s">
        <v>39</v>
      </c>
      <c r="I4253" s="134"/>
      <c r="J4253" s="133" t="s">
        <v>2555</v>
      </c>
      <c r="K4253" s="133" t="s">
        <v>831</v>
      </c>
      <c r="L4253" s="167"/>
      <c r="M4253" s="48"/>
      <c r="N4253" s="123"/>
    </row>
    <row r="4254" spans="1:14" customFormat="1" x14ac:dyDescent="0.55000000000000004">
      <c r="A4254" s="133" t="s">
        <v>2556</v>
      </c>
      <c r="B4254" s="133" t="s">
        <v>2607</v>
      </c>
      <c r="C4254" s="133" t="s">
        <v>124</v>
      </c>
      <c r="D4254" s="133" t="s">
        <v>3288</v>
      </c>
      <c r="E4254" s="138">
        <v>5.2</v>
      </c>
      <c r="F4254" s="153" t="s">
        <v>135</v>
      </c>
      <c r="G4254" s="154">
        <v>1</v>
      </c>
      <c r="H4254" s="133" t="s">
        <v>39</v>
      </c>
      <c r="I4254" s="134"/>
      <c r="J4254" s="133" t="s">
        <v>2555</v>
      </c>
      <c r="K4254" s="133" t="s">
        <v>831</v>
      </c>
      <c r="L4254" s="167"/>
      <c r="M4254" s="48"/>
      <c r="N4254" s="123"/>
    </row>
    <row r="4255" spans="1:14" customFormat="1" x14ac:dyDescent="0.55000000000000004">
      <c r="A4255" s="133" t="s">
        <v>2556</v>
      </c>
      <c r="B4255" s="133" t="s">
        <v>891</v>
      </c>
      <c r="C4255" s="133" t="s">
        <v>124</v>
      </c>
      <c r="D4255" s="133" t="s">
        <v>3288</v>
      </c>
      <c r="E4255" s="138">
        <v>5.5900000000000004E-4</v>
      </c>
      <c r="F4255" s="153" t="s">
        <v>135</v>
      </c>
      <c r="G4255" s="154">
        <v>1</v>
      </c>
      <c r="H4255" s="133" t="s">
        <v>39</v>
      </c>
      <c r="I4255" s="134"/>
      <c r="J4255" s="133" t="s">
        <v>2555</v>
      </c>
      <c r="K4255" s="133" t="s">
        <v>831</v>
      </c>
      <c r="L4255" s="167"/>
      <c r="M4255" s="48"/>
      <c r="N4255" s="123"/>
    </row>
    <row r="4256" spans="1:14" customFormat="1" x14ac:dyDescent="0.55000000000000004">
      <c r="A4256" s="133" t="s">
        <v>2556</v>
      </c>
      <c r="B4256" s="133" t="s">
        <v>615</v>
      </c>
      <c r="C4256" s="133" t="s">
        <v>124</v>
      </c>
      <c r="D4256" s="133" t="s">
        <v>3288</v>
      </c>
      <c r="E4256" s="138">
        <v>30.7</v>
      </c>
      <c r="F4256" s="153" t="s">
        <v>892</v>
      </c>
      <c r="G4256" s="154">
        <v>1</v>
      </c>
      <c r="H4256" s="133" t="s">
        <v>39</v>
      </c>
      <c r="I4256" s="134"/>
      <c r="J4256" s="133" t="s">
        <v>2555</v>
      </c>
      <c r="K4256" s="133" t="s">
        <v>831</v>
      </c>
      <c r="L4256" s="167"/>
      <c r="M4256" s="48"/>
      <c r="N4256" s="123"/>
    </row>
    <row r="4257" spans="1:14" customFormat="1" x14ac:dyDescent="0.55000000000000004">
      <c r="A4257" s="133" t="s">
        <v>2556</v>
      </c>
      <c r="B4257" s="133" t="s">
        <v>1172</v>
      </c>
      <c r="C4257" s="133" t="s">
        <v>124</v>
      </c>
      <c r="D4257" s="133" t="s">
        <v>3288</v>
      </c>
      <c r="E4257" s="138">
        <v>56</v>
      </c>
      <c r="F4257" s="153" t="s">
        <v>892</v>
      </c>
      <c r="G4257" s="154">
        <v>1</v>
      </c>
      <c r="H4257" s="133" t="s">
        <v>39</v>
      </c>
      <c r="I4257" s="134"/>
      <c r="J4257" s="133" t="s">
        <v>2555</v>
      </c>
      <c r="K4257" s="133" t="s">
        <v>831</v>
      </c>
      <c r="L4257" s="167"/>
      <c r="M4257" s="48"/>
      <c r="N4257" s="123"/>
    </row>
    <row r="4258" spans="1:14" customFormat="1" x14ac:dyDescent="0.55000000000000004">
      <c r="A4258" s="133" t="s">
        <v>2556</v>
      </c>
      <c r="B4258" s="133" t="s">
        <v>3011</v>
      </c>
      <c r="C4258" s="133" t="s">
        <v>124</v>
      </c>
      <c r="D4258" s="133" t="s">
        <v>3288</v>
      </c>
      <c r="E4258" s="138">
        <v>5.59</v>
      </c>
      <c r="F4258" s="153" t="s">
        <v>892</v>
      </c>
      <c r="G4258" s="154">
        <v>1</v>
      </c>
      <c r="H4258" s="133" t="s">
        <v>39</v>
      </c>
      <c r="I4258" s="134"/>
      <c r="J4258" s="133" t="s">
        <v>2555</v>
      </c>
      <c r="K4258" s="133" t="s">
        <v>831</v>
      </c>
      <c r="L4258" s="167"/>
      <c r="M4258" s="48"/>
      <c r="N4258" s="123"/>
    </row>
    <row r="4259" spans="1:14" customFormat="1" x14ac:dyDescent="0.55000000000000004">
      <c r="A4259" s="133" t="s">
        <v>2556</v>
      </c>
      <c r="B4259" s="133" t="s">
        <v>3232</v>
      </c>
      <c r="C4259" s="133" t="s">
        <v>124</v>
      </c>
      <c r="D4259" s="133" t="s">
        <v>3288</v>
      </c>
      <c r="E4259" s="138">
        <v>0.223</v>
      </c>
      <c r="F4259" s="153" t="s">
        <v>892</v>
      </c>
      <c r="G4259" s="154">
        <v>1</v>
      </c>
      <c r="H4259" s="133" t="s">
        <v>39</v>
      </c>
      <c r="I4259" s="134"/>
      <c r="J4259" s="133" t="s">
        <v>2555</v>
      </c>
      <c r="K4259" s="133" t="s">
        <v>831</v>
      </c>
      <c r="L4259" s="167"/>
      <c r="M4259" s="48"/>
      <c r="N4259" s="123"/>
    </row>
    <row r="4260" spans="1:14" customFormat="1" x14ac:dyDescent="0.55000000000000004">
      <c r="A4260" s="133" t="s">
        <v>2556</v>
      </c>
      <c r="B4260" s="133" t="s">
        <v>3197</v>
      </c>
      <c r="C4260" s="133" t="s">
        <v>124</v>
      </c>
      <c r="D4260" s="133" t="s">
        <v>3288</v>
      </c>
      <c r="E4260" s="138">
        <v>9.4999999999999998E-3</v>
      </c>
      <c r="F4260" s="153" t="s">
        <v>892</v>
      </c>
      <c r="G4260" s="154">
        <v>1</v>
      </c>
      <c r="H4260" s="133" t="s">
        <v>39</v>
      </c>
      <c r="I4260" s="134"/>
      <c r="J4260" s="133" t="s">
        <v>2555</v>
      </c>
      <c r="K4260" s="133" t="s">
        <v>831</v>
      </c>
      <c r="L4260" s="167"/>
      <c r="M4260" s="48"/>
      <c r="N4260" s="123"/>
    </row>
    <row r="4261" spans="1:14" customFormat="1" x14ac:dyDescent="0.55000000000000004">
      <c r="A4261" s="133" t="s">
        <v>2556</v>
      </c>
      <c r="B4261" s="133" t="s">
        <v>2975</v>
      </c>
      <c r="C4261" s="133" t="s">
        <v>124</v>
      </c>
      <c r="D4261" s="133" t="s">
        <v>3288</v>
      </c>
      <c r="E4261" s="138">
        <v>0.128</v>
      </c>
      <c r="F4261" s="153" t="s">
        <v>892</v>
      </c>
      <c r="G4261" s="154">
        <v>1</v>
      </c>
      <c r="H4261" s="133" t="s">
        <v>39</v>
      </c>
      <c r="I4261" s="134"/>
      <c r="J4261" s="133" t="s">
        <v>2555</v>
      </c>
      <c r="K4261" s="133" t="s">
        <v>831</v>
      </c>
      <c r="L4261" s="167"/>
      <c r="M4261" s="48"/>
      <c r="N4261" s="123"/>
    </row>
    <row r="4262" spans="1:14" customFormat="1" x14ac:dyDescent="0.55000000000000004">
      <c r="A4262" s="133" t="s">
        <v>2556</v>
      </c>
      <c r="B4262" s="133" t="s">
        <v>556</v>
      </c>
      <c r="C4262" s="133" t="s">
        <v>124</v>
      </c>
      <c r="D4262" s="133" t="s">
        <v>3288</v>
      </c>
      <c r="E4262" s="138">
        <v>0.18</v>
      </c>
      <c r="F4262" s="153" t="s">
        <v>892</v>
      </c>
      <c r="G4262" s="154">
        <v>1</v>
      </c>
      <c r="H4262" s="133" t="s">
        <v>39</v>
      </c>
      <c r="I4262" s="134"/>
      <c r="J4262" s="133" t="s">
        <v>2555</v>
      </c>
      <c r="K4262" s="133" t="s">
        <v>831</v>
      </c>
      <c r="L4262" s="167"/>
      <c r="M4262" s="48"/>
      <c r="N4262" s="123"/>
    </row>
    <row r="4263" spans="1:14" customFormat="1" x14ac:dyDescent="0.55000000000000004">
      <c r="A4263" s="133" t="s">
        <v>2556</v>
      </c>
      <c r="B4263" s="133" t="s">
        <v>3026</v>
      </c>
      <c r="C4263" s="133" t="s">
        <v>124</v>
      </c>
      <c r="D4263" s="133" t="s">
        <v>3288</v>
      </c>
      <c r="E4263" s="138">
        <v>0.26</v>
      </c>
      <c r="F4263" s="153" t="s">
        <v>892</v>
      </c>
      <c r="G4263" s="154">
        <v>1</v>
      </c>
      <c r="H4263" s="133" t="s">
        <v>39</v>
      </c>
      <c r="I4263" s="134"/>
      <c r="J4263" s="133" t="s">
        <v>2555</v>
      </c>
      <c r="K4263" s="133" t="s">
        <v>831</v>
      </c>
      <c r="L4263" s="167"/>
      <c r="M4263" s="48"/>
      <c r="N4263" s="123"/>
    </row>
    <row r="4264" spans="1:14" customFormat="1" x14ac:dyDescent="0.55000000000000004">
      <c r="A4264" s="133" t="s">
        <v>2556</v>
      </c>
      <c r="B4264" s="133" t="s">
        <v>726</v>
      </c>
      <c r="C4264" s="133" t="s">
        <v>124</v>
      </c>
      <c r="D4264" s="133" t="s">
        <v>3288</v>
      </c>
      <c r="E4264" s="138">
        <v>2.3E-2</v>
      </c>
      <c r="F4264" s="153" t="s">
        <v>892</v>
      </c>
      <c r="G4264" s="154">
        <v>1</v>
      </c>
      <c r="H4264" s="133" t="s">
        <v>39</v>
      </c>
      <c r="I4264" s="134"/>
      <c r="J4264" s="133" t="s">
        <v>2555</v>
      </c>
      <c r="K4264" s="133" t="s">
        <v>831</v>
      </c>
      <c r="L4264" s="167"/>
      <c r="M4264" s="48"/>
      <c r="N4264" s="123"/>
    </row>
    <row r="4265" spans="1:14" customFormat="1" x14ac:dyDescent="0.55000000000000004">
      <c r="A4265" s="133" t="s">
        <v>2556</v>
      </c>
      <c r="B4265" s="133" t="s">
        <v>3233</v>
      </c>
      <c r="C4265" s="133" t="s">
        <v>124</v>
      </c>
      <c r="D4265" s="133" t="s">
        <v>3288</v>
      </c>
      <c r="E4265" s="138">
        <v>1.68</v>
      </c>
      <c r="F4265" s="153" t="s">
        <v>892</v>
      </c>
      <c r="G4265" s="154">
        <v>1</v>
      </c>
      <c r="H4265" s="133" t="s">
        <v>39</v>
      </c>
      <c r="I4265" s="134"/>
      <c r="J4265" s="133" t="s">
        <v>2555</v>
      </c>
      <c r="K4265" s="133" t="s">
        <v>831</v>
      </c>
      <c r="L4265" s="167"/>
      <c r="M4265" s="48"/>
      <c r="N4265" s="123"/>
    </row>
    <row r="4266" spans="1:14" customFormat="1" x14ac:dyDescent="0.55000000000000004">
      <c r="A4266" s="133" t="s">
        <v>2556</v>
      </c>
      <c r="B4266" s="133" t="s">
        <v>149</v>
      </c>
      <c r="C4266" s="133" t="s">
        <v>124</v>
      </c>
      <c r="D4266" s="133" t="s">
        <v>3288</v>
      </c>
      <c r="E4266" s="138">
        <v>25.1</v>
      </c>
      <c r="F4266" s="153" t="s">
        <v>892</v>
      </c>
      <c r="G4266" s="154">
        <v>1</v>
      </c>
      <c r="H4266" s="133" t="s">
        <v>39</v>
      </c>
      <c r="I4266" s="134"/>
      <c r="J4266" s="133" t="s">
        <v>2555</v>
      </c>
      <c r="K4266" s="133" t="s">
        <v>831</v>
      </c>
      <c r="L4266" s="167"/>
      <c r="M4266" s="48"/>
      <c r="N4266" s="123"/>
    </row>
    <row r="4267" spans="1:14" customFormat="1" x14ac:dyDescent="0.55000000000000004">
      <c r="A4267" s="133" t="s">
        <v>2556</v>
      </c>
      <c r="B4267" s="133" t="s">
        <v>2934</v>
      </c>
      <c r="C4267" s="133" t="s">
        <v>124</v>
      </c>
      <c r="D4267" s="133" t="s">
        <v>3288</v>
      </c>
      <c r="E4267" s="138">
        <v>5.59</v>
      </c>
      <c r="F4267" s="153" t="s">
        <v>892</v>
      </c>
      <c r="G4267" s="154">
        <v>1</v>
      </c>
      <c r="H4267" s="133" t="s">
        <v>39</v>
      </c>
      <c r="I4267" s="134"/>
      <c r="J4267" s="133" t="s">
        <v>2555</v>
      </c>
      <c r="K4267" s="133" t="s">
        <v>831</v>
      </c>
      <c r="L4267" s="167"/>
      <c r="M4267" s="48"/>
      <c r="N4267" s="123"/>
    </row>
    <row r="4268" spans="1:14" customFormat="1" x14ac:dyDescent="0.55000000000000004">
      <c r="A4268" s="133" t="s">
        <v>2556</v>
      </c>
      <c r="B4268" s="133" t="s">
        <v>3234</v>
      </c>
      <c r="C4268" s="133" t="s">
        <v>124</v>
      </c>
      <c r="D4268" s="133" t="s">
        <v>3288</v>
      </c>
      <c r="E4268" s="138">
        <v>220</v>
      </c>
      <c r="F4268" s="153" t="s">
        <v>3226</v>
      </c>
      <c r="G4268" s="154">
        <v>1</v>
      </c>
      <c r="H4268" s="133" t="s">
        <v>39</v>
      </c>
      <c r="I4268" s="134"/>
      <c r="J4268" s="133" t="s">
        <v>2555</v>
      </c>
      <c r="K4268" s="133" t="s">
        <v>831</v>
      </c>
      <c r="L4268" s="167"/>
      <c r="M4268" s="48"/>
      <c r="N4268" s="123"/>
    </row>
    <row r="4269" spans="1:14" customFormat="1" x14ac:dyDescent="0.55000000000000004">
      <c r="A4269" s="133" t="s">
        <v>2561</v>
      </c>
      <c r="B4269" s="133" t="s">
        <v>3211</v>
      </c>
      <c r="C4269" s="133" t="s">
        <v>121</v>
      </c>
      <c r="D4269" s="133" t="s">
        <v>2682</v>
      </c>
      <c r="E4269" s="138">
        <v>1</v>
      </c>
      <c r="F4269" s="153">
        <v>1</v>
      </c>
      <c r="G4269" s="154">
        <v>1</v>
      </c>
      <c r="H4269" s="133" t="s">
        <v>39</v>
      </c>
      <c r="I4269" s="134"/>
      <c r="J4269" s="133" t="s">
        <v>2560</v>
      </c>
      <c r="K4269" s="133" t="s">
        <v>831</v>
      </c>
      <c r="L4269" s="167"/>
      <c r="M4269" s="48"/>
      <c r="N4269" s="123"/>
    </row>
    <row r="4270" spans="1:14" customFormat="1" x14ac:dyDescent="0.55000000000000004">
      <c r="A4270" s="133" t="s">
        <v>2561</v>
      </c>
      <c r="B4270" s="133" t="s">
        <v>181</v>
      </c>
      <c r="C4270" s="133" t="s">
        <v>348</v>
      </c>
      <c r="D4270" s="133" t="s">
        <v>3288</v>
      </c>
      <c r="E4270" s="138">
        <v>1</v>
      </c>
      <c r="F4270" s="153" t="s">
        <v>135</v>
      </c>
      <c r="G4270" s="154">
        <v>1</v>
      </c>
      <c r="H4270" s="133" t="s">
        <v>39</v>
      </c>
      <c r="I4270" s="134"/>
      <c r="J4270" s="133" t="s">
        <v>2560</v>
      </c>
      <c r="K4270" s="133" t="s">
        <v>831</v>
      </c>
      <c r="L4270" s="167"/>
      <c r="M4270" s="48"/>
      <c r="N4270" s="123"/>
    </row>
    <row r="4271" spans="1:14" customFormat="1" x14ac:dyDescent="0.55000000000000004">
      <c r="A4271" s="133" t="s">
        <v>2561</v>
      </c>
      <c r="B4271" s="133" t="s">
        <v>3204</v>
      </c>
      <c r="C4271" s="133" t="s">
        <v>348</v>
      </c>
      <c r="D4271" s="133" t="s">
        <v>3289</v>
      </c>
      <c r="E4271" s="138">
        <v>4.5999999999999999E-3</v>
      </c>
      <c r="F4271" s="153" t="s">
        <v>135</v>
      </c>
      <c r="G4271" s="154">
        <v>1</v>
      </c>
      <c r="H4271" s="133" t="s">
        <v>39</v>
      </c>
      <c r="I4271" s="134"/>
      <c r="J4271" s="133" t="s">
        <v>2560</v>
      </c>
      <c r="K4271" s="133" t="s">
        <v>831</v>
      </c>
      <c r="L4271" s="167"/>
      <c r="M4271" s="48"/>
      <c r="N4271" s="123"/>
    </row>
    <row r="4272" spans="1:14" customFormat="1" x14ac:dyDescent="0.55000000000000004">
      <c r="A4272" s="133" t="s">
        <v>2561</v>
      </c>
      <c r="B4272" s="133" t="s">
        <v>3229</v>
      </c>
      <c r="C4272" s="133" t="s">
        <v>348</v>
      </c>
      <c r="D4272" s="133" t="s">
        <v>3288</v>
      </c>
      <c r="E4272" s="138">
        <v>6.4999999999999997E-3</v>
      </c>
      <c r="F4272" s="153" t="s">
        <v>135</v>
      </c>
      <c r="G4272" s="154">
        <v>1</v>
      </c>
      <c r="H4272" s="133" t="s">
        <v>39</v>
      </c>
      <c r="I4272" s="134"/>
      <c r="J4272" s="133" t="s">
        <v>2560</v>
      </c>
      <c r="K4272" s="133" t="s">
        <v>831</v>
      </c>
      <c r="L4272" s="167"/>
      <c r="M4272" s="48"/>
      <c r="N4272" s="123"/>
    </row>
    <row r="4273" spans="1:14" customFormat="1" x14ac:dyDescent="0.55000000000000004">
      <c r="A4273" s="133" t="s">
        <v>2561</v>
      </c>
      <c r="B4273" s="133" t="s">
        <v>3065</v>
      </c>
      <c r="C4273" s="133" t="s">
        <v>348</v>
      </c>
      <c r="D4273" s="133" t="s">
        <v>3288</v>
      </c>
      <c r="E4273" s="138">
        <v>5.0000000000000001E-4</v>
      </c>
      <c r="F4273" s="153" t="s">
        <v>135</v>
      </c>
      <c r="G4273" s="154">
        <v>1</v>
      </c>
      <c r="H4273" s="133" t="s">
        <v>39</v>
      </c>
      <c r="I4273" s="134"/>
      <c r="J4273" s="133" t="s">
        <v>2560</v>
      </c>
      <c r="K4273" s="133" t="s">
        <v>831</v>
      </c>
      <c r="L4273" s="167"/>
      <c r="M4273" s="48"/>
      <c r="N4273" s="123"/>
    </row>
    <row r="4274" spans="1:14" customFormat="1" x14ac:dyDescent="0.55000000000000004">
      <c r="A4274" s="133" t="s">
        <v>2561</v>
      </c>
      <c r="B4274" s="133" t="s">
        <v>3230</v>
      </c>
      <c r="C4274" s="133" t="s">
        <v>127</v>
      </c>
      <c r="D4274" s="133" t="s">
        <v>3288</v>
      </c>
      <c r="E4274" s="138">
        <v>8.9999999999999993E-3</v>
      </c>
      <c r="F4274" s="153" t="s">
        <v>135</v>
      </c>
      <c r="G4274" s="154">
        <v>1</v>
      </c>
      <c r="H4274" s="133" t="s">
        <v>39</v>
      </c>
      <c r="I4274" s="134"/>
      <c r="J4274" s="133" t="s">
        <v>2560</v>
      </c>
      <c r="K4274" s="133" t="s">
        <v>831</v>
      </c>
      <c r="L4274" s="167"/>
      <c r="M4274" s="48"/>
      <c r="N4274" s="123"/>
    </row>
    <row r="4275" spans="1:14" customFormat="1" x14ac:dyDescent="0.55000000000000004">
      <c r="A4275" s="133" t="s">
        <v>2561</v>
      </c>
      <c r="B4275" s="133" t="s">
        <v>293</v>
      </c>
      <c r="C4275" s="133" t="s">
        <v>127</v>
      </c>
      <c r="D4275" s="133" t="s">
        <v>3288</v>
      </c>
      <c r="E4275" s="138">
        <v>4.9000000000000002E-2</v>
      </c>
      <c r="F4275" s="153" t="s">
        <v>135</v>
      </c>
      <c r="G4275" s="154">
        <v>1</v>
      </c>
      <c r="H4275" s="133" t="s">
        <v>39</v>
      </c>
      <c r="I4275" s="134"/>
      <c r="J4275" s="133" t="s">
        <v>2560</v>
      </c>
      <c r="K4275" s="133" t="s">
        <v>831</v>
      </c>
      <c r="L4275" s="167"/>
      <c r="M4275" s="48"/>
      <c r="N4275" s="123"/>
    </row>
    <row r="4276" spans="1:14" customFormat="1" x14ac:dyDescent="0.55000000000000004">
      <c r="A4276" s="133" t="s">
        <v>2561</v>
      </c>
      <c r="B4276" s="133" t="s">
        <v>131</v>
      </c>
      <c r="C4276" s="133" t="s">
        <v>348</v>
      </c>
      <c r="D4276" s="133" t="s">
        <v>3288</v>
      </c>
      <c r="E4276" s="138">
        <v>7.0199999999999999E-2</v>
      </c>
      <c r="F4276" s="153" t="s">
        <v>135</v>
      </c>
      <c r="G4276" s="154">
        <v>1</v>
      </c>
      <c r="H4276" s="133" t="s">
        <v>39</v>
      </c>
      <c r="I4276" s="134"/>
      <c r="J4276" s="133" t="s">
        <v>2560</v>
      </c>
      <c r="K4276" s="133" t="s">
        <v>831</v>
      </c>
      <c r="L4276" s="167"/>
      <c r="M4276" s="48"/>
      <c r="N4276" s="123"/>
    </row>
    <row r="4277" spans="1:14" customFormat="1" x14ac:dyDescent="0.55000000000000004">
      <c r="A4277" s="133" t="s">
        <v>2561</v>
      </c>
      <c r="B4277" s="133" t="s">
        <v>153</v>
      </c>
      <c r="C4277" s="133" t="s">
        <v>156</v>
      </c>
      <c r="D4277" s="133" t="s">
        <v>2994</v>
      </c>
      <c r="E4277" s="138">
        <v>450</v>
      </c>
      <c r="F4277" s="153" t="s">
        <v>130</v>
      </c>
      <c r="G4277" s="154">
        <v>1</v>
      </c>
      <c r="H4277" s="133" t="s">
        <v>39</v>
      </c>
      <c r="I4277" s="134"/>
      <c r="J4277" s="133" t="s">
        <v>2560</v>
      </c>
      <c r="K4277" s="133" t="s">
        <v>831</v>
      </c>
      <c r="L4277" s="167"/>
      <c r="M4277" s="48"/>
      <c r="N4277" s="123"/>
    </row>
    <row r="4278" spans="1:14" customFormat="1" x14ac:dyDescent="0.55000000000000004">
      <c r="A4278" s="133" t="s">
        <v>2561</v>
      </c>
      <c r="B4278" s="133" t="s">
        <v>3231</v>
      </c>
      <c r="C4278" s="133" t="s">
        <v>3269</v>
      </c>
      <c r="D4278" s="133" t="s">
        <v>3288</v>
      </c>
      <c r="E4278" s="138">
        <v>7.1099999999999997E-2</v>
      </c>
      <c r="F4278" s="153" t="s">
        <v>135</v>
      </c>
      <c r="G4278" s="154">
        <v>1</v>
      </c>
      <c r="H4278" s="133" t="s">
        <v>39</v>
      </c>
      <c r="I4278" s="134"/>
      <c r="J4278" s="133" t="s">
        <v>2560</v>
      </c>
      <c r="K4278" s="133" t="s">
        <v>831</v>
      </c>
      <c r="L4278" s="167"/>
      <c r="M4278" s="48"/>
      <c r="N4278" s="123"/>
    </row>
    <row r="4279" spans="1:14" customFormat="1" x14ac:dyDescent="0.55000000000000004">
      <c r="A4279" s="133" t="s">
        <v>2561</v>
      </c>
      <c r="B4279" s="133" t="s">
        <v>160</v>
      </c>
      <c r="C4279" s="133" t="s">
        <v>124</v>
      </c>
      <c r="D4279" s="133" t="s">
        <v>3288</v>
      </c>
      <c r="E4279" s="138">
        <v>1.23</v>
      </c>
      <c r="F4279" s="153" t="s">
        <v>135</v>
      </c>
      <c r="G4279" s="154">
        <v>1</v>
      </c>
      <c r="H4279" s="133" t="s">
        <v>39</v>
      </c>
      <c r="I4279" s="134"/>
      <c r="J4279" s="133" t="s">
        <v>2560</v>
      </c>
      <c r="K4279" s="133" t="s">
        <v>831</v>
      </c>
      <c r="L4279" s="167"/>
      <c r="M4279" s="48"/>
      <c r="N4279" s="123"/>
    </row>
    <row r="4280" spans="1:14" customFormat="1" x14ac:dyDescent="0.55000000000000004">
      <c r="A4280" s="133" t="s">
        <v>2561</v>
      </c>
      <c r="B4280" s="133" t="s">
        <v>2974</v>
      </c>
      <c r="C4280" s="133" t="s">
        <v>124</v>
      </c>
      <c r="D4280" s="133" t="s">
        <v>3288</v>
      </c>
      <c r="E4280" s="138">
        <v>2.18E-2</v>
      </c>
      <c r="F4280" s="153" t="s">
        <v>135</v>
      </c>
      <c r="G4280" s="154">
        <v>1</v>
      </c>
      <c r="H4280" s="133" t="s">
        <v>39</v>
      </c>
      <c r="I4280" s="134"/>
      <c r="J4280" s="133" t="s">
        <v>2560</v>
      </c>
      <c r="K4280" s="133" t="s">
        <v>831</v>
      </c>
      <c r="L4280" s="167"/>
      <c r="M4280" s="48"/>
      <c r="N4280" s="123"/>
    </row>
    <row r="4281" spans="1:14" customFormat="1" x14ac:dyDescent="0.55000000000000004">
      <c r="A4281" s="133" t="s">
        <v>2561</v>
      </c>
      <c r="B4281" s="133" t="s">
        <v>213</v>
      </c>
      <c r="C4281" s="133" t="s">
        <v>124</v>
      </c>
      <c r="D4281" s="133" t="s">
        <v>3288</v>
      </c>
      <c r="E4281" s="138">
        <v>0.111</v>
      </c>
      <c r="F4281" s="153" t="s">
        <v>135</v>
      </c>
      <c r="G4281" s="154">
        <v>1</v>
      </c>
      <c r="H4281" s="133" t="s">
        <v>39</v>
      </c>
      <c r="I4281" s="134"/>
      <c r="J4281" s="133" t="s">
        <v>2560</v>
      </c>
      <c r="K4281" s="133" t="s">
        <v>831</v>
      </c>
      <c r="L4281" s="167"/>
      <c r="M4281" s="48"/>
      <c r="N4281" s="123"/>
    </row>
    <row r="4282" spans="1:14" customFormat="1" x14ac:dyDescent="0.55000000000000004">
      <c r="A4282" s="133" t="s">
        <v>2561</v>
      </c>
      <c r="B4282" s="133" t="s">
        <v>2607</v>
      </c>
      <c r="C4282" s="133" t="s">
        <v>124</v>
      </c>
      <c r="D4282" s="133" t="s">
        <v>3288</v>
      </c>
      <c r="E4282" s="138">
        <v>3.18</v>
      </c>
      <c r="F4282" s="153" t="s">
        <v>135</v>
      </c>
      <c r="G4282" s="154">
        <v>1</v>
      </c>
      <c r="H4282" s="133" t="s">
        <v>39</v>
      </c>
      <c r="I4282" s="134"/>
      <c r="J4282" s="133" t="s">
        <v>2560</v>
      </c>
      <c r="K4282" s="133" t="s">
        <v>831</v>
      </c>
      <c r="L4282" s="167"/>
      <c r="M4282" s="48"/>
      <c r="N4282" s="123"/>
    </row>
    <row r="4283" spans="1:14" customFormat="1" x14ac:dyDescent="0.55000000000000004">
      <c r="A4283" s="133" t="s">
        <v>2561</v>
      </c>
      <c r="B4283" s="133" t="s">
        <v>891</v>
      </c>
      <c r="C4283" s="133" t="s">
        <v>124</v>
      </c>
      <c r="D4283" s="133" t="s">
        <v>3288</v>
      </c>
      <c r="E4283" s="138">
        <v>7.36E-5</v>
      </c>
      <c r="F4283" s="153" t="s">
        <v>135</v>
      </c>
      <c r="G4283" s="154">
        <v>1</v>
      </c>
      <c r="H4283" s="133" t="s">
        <v>39</v>
      </c>
      <c r="I4283" s="134"/>
      <c r="J4283" s="133" t="s">
        <v>2560</v>
      </c>
      <c r="K4283" s="133" t="s">
        <v>831</v>
      </c>
      <c r="L4283" s="167"/>
      <c r="M4283" s="48"/>
      <c r="N4283" s="123"/>
    </row>
    <row r="4284" spans="1:14" customFormat="1" x14ac:dyDescent="0.55000000000000004">
      <c r="A4284" s="133" t="s">
        <v>2561</v>
      </c>
      <c r="B4284" s="133" t="s">
        <v>1172</v>
      </c>
      <c r="C4284" s="133" t="s">
        <v>124</v>
      </c>
      <c r="D4284" s="133" t="s">
        <v>3288</v>
      </c>
      <c r="E4284" s="138">
        <v>11.6</v>
      </c>
      <c r="F4284" s="153" t="s">
        <v>892</v>
      </c>
      <c r="G4284" s="154">
        <v>1</v>
      </c>
      <c r="H4284" s="133" t="s">
        <v>39</v>
      </c>
      <c r="I4284" s="134"/>
      <c r="J4284" s="133" t="s">
        <v>2560</v>
      </c>
      <c r="K4284" s="133" t="s">
        <v>831</v>
      </c>
      <c r="L4284" s="167"/>
      <c r="M4284" s="48"/>
      <c r="N4284" s="123"/>
    </row>
    <row r="4285" spans="1:14" customFormat="1" x14ac:dyDescent="0.55000000000000004">
      <c r="A4285" s="133" t="s">
        <v>2561</v>
      </c>
      <c r="B4285" s="133" t="s">
        <v>3232</v>
      </c>
      <c r="C4285" s="133" t="s">
        <v>124</v>
      </c>
      <c r="D4285" s="133" t="s">
        <v>3288</v>
      </c>
      <c r="E4285" s="138">
        <v>7.0000000000000007E-2</v>
      </c>
      <c r="F4285" s="153" t="s">
        <v>892</v>
      </c>
      <c r="G4285" s="154">
        <v>1</v>
      </c>
      <c r="H4285" s="133" t="s">
        <v>39</v>
      </c>
      <c r="I4285" s="134"/>
      <c r="J4285" s="133" t="s">
        <v>2560</v>
      </c>
      <c r="K4285" s="133" t="s">
        <v>831</v>
      </c>
      <c r="L4285" s="167"/>
      <c r="M4285" s="48"/>
      <c r="N4285" s="123"/>
    </row>
    <row r="4286" spans="1:14" customFormat="1" x14ac:dyDescent="0.55000000000000004">
      <c r="A4286" s="133" t="s">
        <v>2561</v>
      </c>
      <c r="B4286" s="133" t="s">
        <v>3197</v>
      </c>
      <c r="C4286" s="133" t="s">
        <v>124</v>
      </c>
      <c r="D4286" s="133" t="s">
        <v>3288</v>
      </c>
      <c r="E4286" s="138">
        <v>6.0000000000000001E-3</v>
      </c>
      <c r="F4286" s="153" t="s">
        <v>892</v>
      </c>
      <c r="G4286" s="154">
        <v>1</v>
      </c>
      <c r="H4286" s="133" t="s">
        <v>39</v>
      </c>
      <c r="I4286" s="134"/>
      <c r="J4286" s="133" t="s">
        <v>2560</v>
      </c>
      <c r="K4286" s="133" t="s">
        <v>831</v>
      </c>
      <c r="L4286" s="167"/>
      <c r="M4286" s="48"/>
      <c r="N4286" s="123"/>
    </row>
    <row r="4287" spans="1:14" customFormat="1" x14ac:dyDescent="0.55000000000000004">
      <c r="A4287" s="133" t="s">
        <v>2561</v>
      </c>
      <c r="B4287" s="133" t="s">
        <v>2975</v>
      </c>
      <c r="C4287" s="133" t="s">
        <v>124</v>
      </c>
      <c r="D4287" s="133" t="s">
        <v>3288</v>
      </c>
      <c r="E4287" s="138">
        <v>0.24</v>
      </c>
      <c r="F4287" s="153" t="s">
        <v>892</v>
      </c>
      <c r="G4287" s="154">
        <v>1</v>
      </c>
      <c r="H4287" s="133" t="s">
        <v>39</v>
      </c>
      <c r="I4287" s="134"/>
      <c r="J4287" s="133" t="s">
        <v>2560</v>
      </c>
      <c r="K4287" s="133" t="s">
        <v>831</v>
      </c>
      <c r="L4287" s="167"/>
      <c r="M4287" s="48"/>
      <c r="N4287" s="123"/>
    </row>
    <row r="4288" spans="1:14" customFormat="1" x14ac:dyDescent="0.55000000000000004">
      <c r="A4288" s="133" t="s">
        <v>2561</v>
      </c>
      <c r="B4288" s="133" t="s">
        <v>556</v>
      </c>
      <c r="C4288" s="133" t="s">
        <v>124</v>
      </c>
      <c r="D4288" s="133" t="s">
        <v>3288</v>
      </c>
      <c r="E4288" s="138">
        <v>0.33</v>
      </c>
      <c r="F4288" s="153" t="s">
        <v>892</v>
      </c>
      <c r="G4288" s="154">
        <v>1</v>
      </c>
      <c r="H4288" s="133" t="s">
        <v>39</v>
      </c>
      <c r="I4288" s="134"/>
      <c r="J4288" s="133" t="s">
        <v>2560</v>
      </c>
      <c r="K4288" s="133" t="s">
        <v>831</v>
      </c>
      <c r="L4288" s="167"/>
      <c r="M4288" s="48"/>
      <c r="N4288" s="123"/>
    </row>
    <row r="4289" spans="1:14" customFormat="1" x14ac:dyDescent="0.55000000000000004">
      <c r="A4289" s="133" t="s">
        <v>2561</v>
      </c>
      <c r="B4289" s="133" t="s">
        <v>3026</v>
      </c>
      <c r="C4289" s="133" t="s">
        <v>124</v>
      </c>
      <c r="D4289" s="133" t="s">
        <v>3288</v>
      </c>
      <c r="E4289" s="138">
        <v>0.4</v>
      </c>
      <c r="F4289" s="153" t="s">
        <v>892</v>
      </c>
      <c r="G4289" s="154">
        <v>1</v>
      </c>
      <c r="H4289" s="133" t="s">
        <v>39</v>
      </c>
      <c r="I4289" s="134"/>
      <c r="J4289" s="133" t="s">
        <v>2560</v>
      </c>
      <c r="K4289" s="133" t="s">
        <v>831</v>
      </c>
      <c r="L4289" s="167"/>
      <c r="M4289" s="48"/>
      <c r="N4289" s="123"/>
    </row>
    <row r="4290" spans="1:14" customFormat="1" x14ac:dyDescent="0.55000000000000004">
      <c r="A4290" s="133" t="s">
        <v>2561</v>
      </c>
      <c r="B4290" s="133" t="s">
        <v>726</v>
      </c>
      <c r="C4290" s="133" t="s">
        <v>124</v>
      </c>
      <c r="D4290" s="133" t="s">
        <v>3288</v>
      </c>
      <c r="E4290" s="138">
        <v>1.0999999999999999E-2</v>
      </c>
      <c r="F4290" s="153" t="s">
        <v>892</v>
      </c>
      <c r="G4290" s="154">
        <v>1</v>
      </c>
      <c r="H4290" s="133" t="s">
        <v>39</v>
      </c>
      <c r="I4290" s="134"/>
      <c r="J4290" s="133" t="s">
        <v>2560</v>
      </c>
      <c r="K4290" s="133" t="s">
        <v>831</v>
      </c>
      <c r="L4290" s="167"/>
      <c r="M4290" s="48"/>
      <c r="N4290" s="123"/>
    </row>
    <row r="4291" spans="1:14" customFormat="1" x14ac:dyDescent="0.55000000000000004">
      <c r="A4291" s="133" t="s">
        <v>2561</v>
      </c>
      <c r="B4291" s="133" t="s">
        <v>3233</v>
      </c>
      <c r="C4291" s="133" t="s">
        <v>124</v>
      </c>
      <c r="D4291" s="133" t="s">
        <v>3288</v>
      </c>
      <c r="E4291" s="138">
        <v>0.84</v>
      </c>
      <c r="F4291" s="153" t="s">
        <v>892</v>
      </c>
      <c r="G4291" s="154">
        <v>1</v>
      </c>
      <c r="H4291" s="133" t="s">
        <v>39</v>
      </c>
      <c r="I4291" s="134"/>
      <c r="J4291" s="133" t="s">
        <v>2560</v>
      </c>
      <c r="K4291" s="133" t="s">
        <v>831</v>
      </c>
      <c r="L4291" s="167"/>
      <c r="M4291" s="48"/>
      <c r="N4291" s="123"/>
    </row>
    <row r="4292" spans="1:14" customFormat="1" x14ac:dyDescent="0.55000000000000004">
      <c r="A4292" s="133" t="s">
        <v>2561</v>
      </c>
      <c r="B4292" s="133" t="s">
        <v>149</v>
      </c>
      <c r="C4292" s="133" t="s">
        <v>124</v>
      </c>
      <c r="D4292" s="133" t="s">
        <v>3288</v>
      </c>
      <c r="E4292" s="138">
        <v>13</v>
      </c>
      <c r="F4292" s="153" t="s">
        <v>892</v>
      </c>
      <c r="G4292" s="154">
        <v>1</v>
      </c>
      <c r="H4292" s="133" t="s">
        <v>39</v>
      </c>
      <c r="I4292" s="134"/>
      <c r="J4292" s="133" t="s">
        <v>2560</v>
      </c>
      <c r="K4292" s="133" t="s">
        <v>831</v>
      </c>
      <c r="L4292" s="167"/>
      <c r="M4292" s="48"/>
      <c r="N4292" s="123"/>
    </row>
    <row r="4293" spans="1:14" customFormat="1" x14ac:dyDescent="0.55000000000000004">
      <c r="A4293" s="133" t="s">
        <v>2561</v>
      </c>
      <c r="B4293" s="133" t="s">
        <v>2934</v>
      </c>
      <c r="C4293" s="133" t="s">
        <v>124</v>
      </c>
      <c r="D4293" s="133" t="s">
        <v>3288</v>
      </c>
      <c r="E4293" s="138">
        <v>3.52</v>
      </c>
      <c r="F4293" s="153" t="s">
        <v>892</v>
      </c>
      <c r="G4293" s="154">
        <v>1</v>
      </c>
      <c r="H4293" s="133" t="s">
        <v>39</v>
      </c>
      <c r="I4293" s="134"/>
      <c r="J4293" s="133" t="s">
        <v>2560</v>
      </c>
      <c r="K4293" s="133" t="s">
        <v>831</v>
      </c>
      <c r="L4293" s="167"/>
      <c r="M4293" s="48"/>
      <c r="N4293" s="123"/>
    </row>
    <row r="4294" spans="1:14" customFormat="1" x14ac:dyDescent="0.55000000000000004">
      <c r="A4294" s="133" t="s">
        <v>2561</v>
      </c>
      <c r="B4294" s="133" t="s">
        <v>3234</v>
      </c>
      <c r="C4294" s="133" t="s">
        <v>124</v>
      </c>
      <c r="D4294" s="133" t="s">
        <v>3288</v>
      </c>
      <c r="E4294" s="138">
        <v>3.06</v>
      </c>
      <c r="F4294" s="153" t="s">
        <v>3226</v>
      </c>
      <c r="G4294" s="154">
        <v>1</v>
      </c>
      <c r="H4294" s="133" t="s">
        <v>39</v>
      </c>
      <c r="I4294" s="134"/>
      <c r="J4294" s="133" t="s">
        <v>2560</v>
      </c>
      <c r="K4294" s="133" t="s">
        <v>831</v>
      </c>
      <c r="L4294" s="167"/>
      <c r="M4294" s="48"/>
      <c r="N4294" s="123"/>
    </row>
    <row r="4295" spans="1:14" customFormat="1" x14ac:dyDescent="0.55000000000000004">
      <c r="A4295" s="133" t="s">
        <v>2564</v>
      </c>
      <c r="B4295" s="133" t="s">
        <v>3235</v>
      </c>
      <c r="C4295" s="133" t="s">
        <v>121</v>
      </c>
      <c r="D4295" s="133" t="s">
        <v>2682</v>
      </c>
      <c r="E4295" s="138">
        <v>1</v>
      </c>
      <c r="F4295" s="153">
        <v>1</v>
      </c>
      <c r="G4295" s="154">
        <v>1</v>
      </c>
      <c r="H4295" s="133" t="s">
        <v>39</v>
      </c>
      <c r="I4295" s="134"/>
      <c r="J4295" s="133" t="s">
        <v>2563</v>
      </c>
      <c r="K4295" s="133" t="s">
        <v>831</v>
      </c>
      <c r="L4295" s="167"/>
      <c r="M4295" s="48"/>
      <c r="N4295" s="123"/>
    </row>
    <row r="4296" spans="1:14" customFormat="1" x14ac:dyDescent="0.55000000000000004">
      <c r="A4296" s="133" t="s">
        <v>2564</v>
      </c>
      <c r="B4296" s="133" t="s">
        <v>3236</v>
      </c>
      <c r="C4296" s="133" t="s">
        <v>348</v>
      </c>
      <c r="D4296" s="133" t="s">
        <v>3288</v>
      </c>
      <c r="E4296" s="138">
        <v>1</v>
      </c>
      <c r="F4296" s="153" t="s">
        <v>135</v>
      </c>
      <c r="G4296" s="154">
        <v>1</v>
      </c>
      <c r="H4296" s="133" t="s">
        <v>39</v>
      </c>
      <c r="I4296" s="134"/>
      <c r="J4296" s="133" t="s">
        <v>2563</v>
      </c>
      <c r="K4296" s="133" t="s">
        <v>831</v>
      </c>
      <c r="L4296" s="167"/>
      <c r="M4296" s="48"/>
      <c r="N4296" s="123"/>
    </row>
    <row r="4297" spans="1:14" customFormat="1" x14ac:dyDescent="0.55000000000000004">
      <c r="A4297" s="133" t="s">
        <v>2564</v>
      </c>
      <c r="B4297" s="133" t="s">
        <v>153</v>
      </c>
      <c r="C4297" s="133" t="s">
        <v>127</v>
      </c>
      <c r="D4297" s="133" t="s">
        <v>2994</v>
      </c>
      <c r="E4297" s="138">
        <v>2.4090909090909092</v>
      </c>
      <c r="F4297" s="153" t="s">
        <v>130</v>
      </c>
      <c r="G4297" s="154">
        <v>1</v>
      </c>
      <c r="H4297" s="133" t="s">
        <v>39</v>
      </c>
      <c r="I4297" s="134"/>
      <c r="J4297" s="133" t="s">
        <v>2563</v>
      </c>
      <c r="K4297" s="133" t="s">
        <v>831</v>
      </c>
      <c r="L4297" s="167"/>
      <c r="M4297" s="48"/>
      <c r="N4297" s="123"/>
    </row>
    <row r="4298" spans="1:14" customFormat="1" x14ac:dyDescent="0.55000000000000004">
      <c r="A4298" s="133" t="s">
        <v>2564</v>
      </c>
      <c r="B4298" s="133" t="s">
        <v>3237</v>
      </c>
      <c r="C4298" s="133" t="s">
        <v>156</v>
      </c>
      <c r="D4298" s="133" t="s">
        <v>3288</v>
      </c>
      <c r="E4298" s="138">
        <v>9.0909090909090922E-3</v>
      </c>
      <c r="F4298" s="153" t="s">
        <v>135</v>
      </c>
      <c r="G4298" s="154">
        <v>1</v>
      </c>
      <c r="H4298" s="133" t="s">
        <v>39</v>
      </c>
      <c r="I4298" s="134"/>
      <c r="J4298" s="133" t="s">
        <v>2563</v>
      </c>
      <c r="K4298" s="133" t="s">
        <v>831</v>
      </c>
      <c r="L4298" s="167"/>
      <c r="M4298" s="48"/>
      <c r="N4298" s="123"/>
    </row>
    <row r="4299" spans="1:14" customFormat="1" x14ac:dyDescent="0.55000000000000004">
      <c r="A4299" s="133" t="s">
        <v>2564</v>
      </c>
      <c r="B4299" s="133" t="s">
        <v>3238</v>
      </c>
      <c r="C4299" s="133" t="s">
        <v>156</v>
      </c>
      <c r="D4299" s="133" t="s">
        <v>3288</v>
      </c>
      <c r="E4299" s="138">
        <v>4.5454545454545461E-3</v>
      </c>
      <c r="F4299" s="153" t="s">
        <v>135</v>
      </c>
      <c r="G4299" s="154">
        <v>1</v>
      </c>
      <c r="H4299" s="133" t="s">
        <v>39</v>
      </c>
      <c r="I4299" s="134"/>
      <c r="J4299" s="133" t="s">
        <v>2563</v>
      </c>
      <c r="K4299" s="133" t="s">
        <v>831</v>
      </c>
      <c r="L4299" s="167"/>
      <c r="M4299" s="48"/>
      <c r="N4299" s="123"/>
    </row>
    <row r="4300" spans="1:14" customFormat="1" x14ac:dyDescent="0.55000000000000004">
      <c r="A4300" s="133" t="s">
        <v>2564</v>
      </c>
      <c r="B4300" s="133" t="s">
        <v>2798</v>
      </c>
      <c r="C4300" s="133" t="s">
        <v>156</v>
      </c>
      <c r="D4300" s="133" t="s">
        <v>3288</v>
      </c>
      <c r="E4300" s="138">
        <v>1.7545454545454545E-2</v>
      </c>
      <c r="F4300" s="153" t="s">
        <v>135</v>
      </c>
      <c r="G4300" s="154">
        <v>1</v>
      </c>
      <c r="H4300" s="133" t="s">
        <v>39</v>
      </c>
      <c r="I4300" s="134"/>
      <c r="J4300" s="133" t="s">
        <v>2563</v>
      </c>
      <c r="K4300" s="133" t="s">
        <v>831</v>
      </c>
      <c r="L4300" s="167"/>
      <c r="M4300" s="48"/>
      <c r="N4300" s="123"/>
    </row>
    <row r="4301" spans="1:14" customFormat="1" x14ac:dyDescent="0.55000000000000004">
      <c r="A4301" s="133" t="s">
        <v>2564</v>
      </c>
      <c r="B4301" s="133" t="s">
        <v>3239</v>
      </c>
      <c r="C4301" s="133" t="s">
        <v>156</v>
      </c>
      <c r="D4301" s="133" t="s">
        <v>3288</v>
      </c>
      <c r="E4301" s="138">
        <v>6.3772727272727273E-2</v>
      </c>
      <c r="F4301" s="153" t="s">
        <v>135</v>
      </c>
      <c r="G4301" s="154">
        <v>1</v>
      </c>
      <c r="H4301" s="133" t="s">
        <v>39</v>
      </c>
      <c r="I4301" s="134"/>
      <c r="J4301" s="133" t="s">
        <v>2563</v>
      </c>
      <c r="K4301" s="133" t="s">
        <v>831</v>
      </c>
      <c r="L4301" s="167"/>
      <c r="M4301" s="48"/>
      <c r="N4301" s="123"/>
    </row>
    <row r="4302" spans="1:14" customFormat="1" x14ac:dyDescent="0.55000000000000004">
      <c r="A4302" s="133" t="s">
        <v>2564</v>
      </c>
      <c r="B4302" s="133" t="s">
        <v>3240</v>
      </c>
      <c r="C4302" s="133" t="s">
        <v>156</v>
      </c>
      <c r="D4302" s="133" t="s">
        <v>3288</v>
      </c>
      <c r="E4302" s="138">
        <v>0.42249999999999999</v>
      </c>
      <c r="F4302" s="153" t="s">
        <v>135</v>
      </c>
      <c r="G4302" s="154">
        <v>1</v>
      </c>
      <c r="H4302" s="133" t="s">
        <v>39</v>
      </c>
      <c r="I4302" s="134"/>
      <c r="J4302" s="133" t="s">
        <v>2563</v>
      </c>
      <c r="K4302" s="133" t="s">
        <v>831</v>
      </c>
      <c r="L4302" s="167"/>
      <c r="M4302" s="48"/>
      <c r="N4302" s="123"/>
    </row>
    <row r="4303" spans="1:14" customFormat="1" x14ac:dyDescent="0.55000000000000004">
      <c r="A4303" s="133" t="s">
        <v>2567</v>
      </c>
      <c r="B4303" s="133" t="s">
        <v>3241</v>
      </c>
      <c r="C4303" s="133" t="s">
        <v>121</v>
      </c>
      <c r="D4303" s="133" t="s">
        <v>3288</v>
      </c>
      <c r="E4303" s="138">
        <v>1</v>
      </c>
      <c r="F4303" s="153">
        <v>1</v>
      </c>
      <c r="G4303" s="154">
        <v>1</v>
      </c>
      <c r="H4303" s="133" t="s">
        <v>39</v>
      </c>
      <c r="I4303" s="134"/>
      <c r="J4303" s="133" t="s">
        <v>2566</v>
      </c>
      <c r="K4303" s="133" t="s">
        <v>831</v>
      </c>
      <c r="L4303" s="167"/>
      <c r="M4303" s="48"/>
      <c r="N4303" s="123"/>
    </row>
    <row r="4304" spans="1:14" customFormat="1" x14ac:dyDescent="0.55000000000000004">
      <c r="A4304" s="133" t="s">
        <v>2567</v>
      </c>
      <c r="B4304" s="133" t="s">
        <v>2732</v>
      </c>
      <c r="C4304" s="133" t="s">
        <v>348</v>
      </c>
      <c r="D4304" s="133" t="s">
        <v>3288</v>
      </c>
      <c r="E4304" s="138">
        <v>1</v>
      </c>
      <c r="F4304" s="153" t="s">
        <v>135</v>
      </c>
      <c r="G4304" s="154">
        <v>1</v>
      </c>
      <c r="H4304" s="133" t="s">
        <v>39</v>
      </c>
      <c r="I4304" s="134"/>
      <c r="J4304" s="133" t="s">
        <v>2566</v>
      </c>
      <c r="K4304" s="133" t="s">
        <v>831</v>
      </c>
      <c r="L4304" s="167"/>
      <c r="M4304" s="48"/>
      <c r="N4304" s="123"/>
    </row>
    <row r="4305" spans="1:14" customFormat="1" x14ac:dyDescent="0.55000000000000004">
      <c r="A4305" s="133" t="s">
        <v>2567</v>
      </c>
      <c r="B4305" s="133" t="s">
        <v>153</v>
      </c>
      <c r="C4305" s="133" t="s">
        <v>127</v>
      </c>
      <c r="D4305" s="133" t="s">
        <v>2994</v>
      </c>
      <c r="E4305" s="138">
        <v>258.24</v>
      </c>
      <c r="F4305" s="153" t="s">
        <v>130</v>
      </c>
      <c r="G4305" s="154">
        <v>1</v>
      </c>
      <c r="H4305" s="133" t="s">
        <v>39</v>
      </c>
      <c r="I4305" s="134"/>
      <c r="J4305" s="133" t="s">
        <v>2566</v>
      </c>
      <c r="K4305" s="133" t="s">
        <v>831</v>
      </c>
      <c r="L4305" s="167"/>
      <c r="M4305" s="48"/>
      <c r="N4305" s="123"/>
    </row>
    <row r="4306" spans="1:14" customFormat="1" x14ac:dyDescent="0.55000000000000004">
      <c r="A4306" s="133" t="s">
        <v>2567</v>
      </c>
      <c r="B4306" s="133" t="s">
        <v>171</v>
      </c>
      <c r="C4306" s="133" t="s">
        <v>127</v>
      </c>
      <c r="D4306" s="133" t="s">
        <v>2994</v>
      </c>
      <c r="E4306" s="138">
        <v>0.59</v>
      </c>
      <c r="F4306" s="153" t="s">
        <v>122</v>
      </c>
      <c r="G4306" s="154">
        <v>1</v>
      </c>
      <c r="H4306" s="133" t="s">
        <v>39</v>
      </c>
      <c r="I4306" s="134"/>
      <c r="J4306" s="133" t="s">
        <v>2566</v>
      </c>
      <c r="K4306" s="133" t="s">
        <v>831</v>
      </c>
      <c r="L4306" s="167"/>
      <c r="M4306" s="48"/>
      <c r="N4306" s="123"/>
    </row>
    <row r="4307" spans="1:14" customFormat="1" x14ac:dyDescent="0.55000000000000004">
      <c r="A4307" s="133" t="s">
        <v>2567</v>
      </c>
      <c r="B4307" s="133" t="s">
        <v>3242</v>
      </c>
      <c r="C4307" s="133" t="s">
        <v>348</v>
      </c>
      <c r="D4307" s="133" t="s">
        <v>3288</v>
      </c>
      <c r="E4307" s="138">
        <v>4.1000000000000003E-3</v>
      </c>
      <c r="F4307" s="153" t="s">
        <v>135</v>
      </c>
      <c r="G4307" s="154">
        <v>1</v>
      </c>
      <c r="H4307" s="133" t="s">
        <v>39</v>
      </c>
      <c r="I4307" s="134"/>
      <c r="J4307" s="133" t="s">
        <v>2566</v>
      </c>
      <c r="K4307" s="133" t="s">
        <v>831</v>
      </c>
      <c r="L4307" s="167"/>
      <c r="M4307" s="48"/>
      <c r="N4307" s="123"/>
    </row>
    <row r="4308" spans="1:14" customFormat="1" x14ac:dyDescent="0.55000000000000004">
      <c r="A4308" s="133" t="s">
        <v>2567</v>
      </c>
      <c r="B4308" s="133" t="s">
        <v>492</v>
      </c>
      <c r="C4308" s="133" t="s">
        <v>348</v>
      </c>
      <c r="D4308" s="133" t="s">
        <v>3288</v>
      </c>
      <c r="E4308" s="138">
        <v>1.0200000000000001E-2</v>
      </c>
      <c r="F4308" s="153" t="s">
        <v>133</v>
      </c>
      <c r="G4308" s="154">
        <v>1</v>
      </c>
      <c r="H4308" s="133" t="s">
        <v>39</v>
      </c>
      <c r="I4308" s="134"/>
      <c r="J4308" s="133" t="s">
        <v>2566</v>
      </c>
      <c r="K4308" s="133" t="s">
        <v>831</v>
      </c>
      <c r="L4308" s="167"/>
      <c r="M4308" s="48"/>
      <c r="N4308" s="123"/>
    </row>
    <row r="4309" spans="1:14" customFormat="1" x14ac:dyDescent="0.55000000000000004">
      <c r="A4309" s="133" t="s">
        <v>2567</v>
      </c>
      <c r="B4309" s="133" t="s">
        <v>3068</v>
      </c>
      <c r="C4309" s="133" t="s">
        <v>348</v>
      </c>
      <c r="D4309" s="133" t="s">
        <v>3288</v>
      </c>
      <c r="E4309" s="138">
        <v>1.9799999999999999E-4</v>
      </c>
      <c r="F4309" s="153" t="s">
        <v>133</v>
      </c>
      <c r="G4309" s="154">
        <v>1</v>
      </c>
      <c r="H4309" s="133" t="s">
        <v>39</v>
      </c>
      <c r="I4309" s="134"/>
      <c r="J4309" s="133" t="s">
        <v>2566</v>
      </c>
      <c r="K4309" s="133" t="s">
        <v>831</v>
      </c>
      <c r="L4309" s="167"/>
      <c r="M4309" s="48"/>
      <c r="N4309" s="123"/>
    </row>
    <row r="4310" spans="1:14" customFormat="1" x14ac:dyDescent="0.55000000000000004">
      <c r="A4310" s="133" t="s">
        <v>2567</v>
      </c>
      <c r="B4310" s="133" t="s">
        <v>3243</v>
      </c>
      <c r="C4310" s="133" t="s">
        <v>348</v>
      </c>
      <c r="D4310" s="133" t="s">
        <v>3288</v>
      </c>
      <c r="E4310" s="138">
        <v>1.7099999999999999E-5</v>
      </c>
      <c r="F4310" s="153" t="s">
        <v>135</v>
      </c>
      <c r="G4310" s="154">
        <v>1</v>
      </c>
      <c r="H4310" s="133" t="s">
        <v>39</v>
      </c>
      <c r="I4310" s="134"/>
      <c r="J4310" s="133" t="s">
        <v>2566</v>
      </c>
      <c r="K4310" s="133" t="s">
        <v>831</v>
      </c>
      <c r="L4310" s="167"/>
      <c r="M4310" s="48"/>
      <c r="N4310" s="123"/>
    </row>
    <row r="4311" spans="1:14" customFormat="1" x14ac:dyDescent="0.55000000000000004">
      <c r="A4311" s="133" t="s">
        <v>2567</v>
      </c>
      <c r="B4311" s="133" t="s">
        <v>3244</v>
      </c>
      <c r="C4311" s="133" t="s">
        <v>348</v>
      </c>
      <c r="D4311" s="133" t="s">
        <v>3288</v>
      </c>
      <c r="E4311" s="138">
        <v>8.0199999999999994E-3</v>
      </c>
      <c r="F4311" s="153" t="s">
        <v>133</v>
      </c>
      <c r="G4311" s="154">
        <v>1</v>
      </c>
      <c r="H4311" s="133" t="s">
        <v>39</v>
      </c>
      <c r="I4311" s="134"/>
      <c r="J4311" s="133" t="s">
        <v>2566</v>
      </c>
      <c r="K4311" s="133" t="s">
        <v>831</v>
      </c>
      <c r="L4311" s="167"/>
      <c r="M4311" s="48"/>
      <c r="N4311" s="123"/>
    </row>
    <row r="4312" spans="1:14" customFormat="1" x14ac:dyDescent="0.55000000000000004">
      <c r="A4312" s="133" t="s">
        <v>2567</v>
      </c>
      <c r="B4312" s="133" t="s">
        <v>236</v>
      </c>
      <c r="C4312" s="133" t="s">
        <v>348</v>
      </c>
      <c r="D4312" s="133" t="s">
        <v>3288</v>
      </c>
      <c r="E4312" s="138">
        <v>4.895E-2</v>
      </c>
      <c r="F4312" s="153" t="s">
        <v>135</v>
      </c>
      <c r="G4312" s="154">
        <v>1</v>
      </c>
      <c r="H4312" s="133" t="s">
        <v>39</v>
      </c>
      <c r="I4312" s="134"/>
      <c r="J4312" s="133" t="s">
        <v>2566</v>
      </c>
      <c r="K4312" s="133" t="s">
        <v>831</v>
      </c>
      <c r="L4312" s="167"/>
      <c r="M4312" s="48"/>
      <c r="N4312" s="123"/>
    </row>
    <row r="4313" spans="1:14" customFormat="1" x14ac:dyDescent="0.55000000000000004">
      <c r="A4313" s="133" t="s">
        <v>2567</v>
      </c>
      <c r="B4313" s="133" t="s">
        <v>3245</v>
      </c>
      <c r="C4313" s="133" t="s">
        <v>348</v>
      </c>
      <c r="D4313" s="133" t="s">
        <v>3288</v>
      </c>
      <c r="E4313" s="138">
        <v>0.23</v>
      </c>
      <c r="F4313" s="153" t="s">
        <v>892</v>
      </c>
      <c r="G4313" s="154">
        <v>1</v>
      </c>
      <c r="H4313" s="133" t="s">
        <v>39</v>
      </c>
      <c r="I4313" s="134"/>
      <c r="J4313" s="133" t="s">
        <v>2566</v>
      </c>
      <c r="K4313" s="133" t="s">
        <v>831</v>
      </c>
      <c r="L4313" s="167"/>
      <c r="M4313" s="48"/>
      <c r="N4313" s="123"/>
    </row>
    <row r="4314" spans="1:14" customFormat="1" x14ac:dyDescent="0.55000000000000004">
      <c r="A4314" s="133" t="s">
        <v>2567</v>
      </c>
      <c r="B4314" s="133" t="s">
        <v>508</v>
      </c>
      <c r="C4314" s="133" t="s">
        <v>127</v>
      </c>
      <c r="D4314" s="133" t="s">
        <v>3288</v>
      </c>
      <c r="E4314" s="138">
        <v>2.9049999999999999E-2</v>
      </c>
      <c r="F4314" s="153" t="s">
        <v>135</v>
      </c>
      <c r="G4314" s="154">
        <v>1</v>
      </c>
      <c r="H4314" s="133" t="s">
        <v>39</v>
      </c>
      <c r="I4314" s="134"/>
      <c r="J4314" s="133" t="s">
        <v>2566</v>
      </c>
      <c r="K4314" s="133" t="s">
        <v>831</v>
      </c>
      <c r="L4314" s="167"/>
      <c r="M4314" s="48"/>
      <c r="N4314" s="123"/>
    </row>
    <row r="4315" spans="1:14" customFormat="1" x14ac:dyDescent="0.55000000000000004">
      <c r="A4315" s="133" t="s">
        <v>2567</v>
      </c>
      <c r="B4315" s="133" t="s">
        <v>603</v>
      </c>
      <c r="C4315" s="133" t="s">
        <v>348</v>
      </c>
      <c r="D4315" s="133" t="s">
        <v>3288</v>
      </c>
      <c r="E4315" s="138">
        <v>4.895E-2</v>
      </c>
      <c r="F4315" s="153" t="s">
        <v>135</v>
      </c>
      <c r="G4315" s="154">
        <v>1</v>
      </c>
      <c r="H4315" s="133" t="s">
        <v>39</v>
      </c>
      <c r="I4315" s="134"/>
      <c r="J4315" s="133" t="s">
        <v>2566</v>
      </c>
      <c r="K4315" s="133" t="s">
        <v>831</v>
      </c>
      <c r="L4315" s="167"/>
      <c r="M4315" s="48"/>
      <c r="N4315" s="123"/>
    </row>
    <row r="4316" spans="1:14" customFormat="1" x14ac:dyDescent="0.55000000000000004">
      <c r="A4316" s="133" t="s">
        <v>2567</v>
      </c>
      <c r="B4316" s="133" t="s">
        <v>148</v>
      </c>
      <c r="C4316" s="133" t="s">
        <v>348</v>
      </c>
      <c r="D4316" s="133" t="s">
        <v>3288</v>
      </c>
      <c r="E4316" s="138">
        <v>2.6610000000000002E-2</v>
      </c>
      <c r="F4316" s="153" t="s">
        <v>135</v>
      </c>
      <c r="G4316" s="154">
        <v>1</v>
      </c>
      <c r="H4316" s="133" t="s">
        <v>39</v>
      </c>
      <c r="I4316" s="134"/>
      <c r="J4316" s="133" t="s">
        <v>2566</v>
      </c>
      <c r="K4316" s="133" t="s">
        <v>831</v>
      </c>
      <c r="L4316" s="167"/>
      <c r="M4316" s="48"/>
      <c r="N4316" s="123"/>
    </row>
    <row r="4317" spans="1:14" customFormat="1" x14ac:dyDescent="0.55000000000000004">
      <c r="A4317" s="133" t="s">
        <v>2567</v>
      </c>
      <c r="B4317" s="133" t="s">
        <v>3246</v>
      </c>
      <c r="C4317" s="133" t="s">
        <v>348</v>
      </c>
      <c r="D4317" s="133" t="s">
        <v>3288</v>
      </c>
      <c r="E4317" s="138">
        <v>0.59</v>
      </c>
      <c r="F4317" s="153" t="s">
        <v>892</v>
      </c>
      <c r="G4317" s="154">
        <v>1</v>
      </c>
      <c r="H4317" s="133" t="s">
        <v>39</v>
      </c>
      <c r="I4317" s="134"/>
      <c r="J4317" s="133" t="s">
        <v>2566</v>
      </c>
      <c r="K4317" s="133" t="s">
        <v>831</v>
      </c>
      <c r="L4317" s="167"/>
      <c r="M4317" s="48"/>
      <c r="N4317" s="123"/>
    </row>
    <row r="4318" spans="1:14" customFormat="1" x14ac:dyDescent="0.55000000000000004">
      <c r="A4318" s="133" t="s">
        <v>2567</v>
      </c>
      <c r="B4318" s="133" t="s">
        <v>3247</v>
      </c>
      <c r="C4318" s="133" t="s">
        <v>348</v>
      </c>
      <c r="D4318" s="133" t="s">
        <v>3288</v>
      </c>
      <c r="E4318" s="138">
        <v>0.21</v>
      </c>
      <c r="F4318" s="153" t="s">
        <v>892</v>
      </c>
      <c r="G4318" s="154">
        <v>1</v>
      </c>
      <c r="H4318" s="133" t="s">
        <v>39</v>
      </c>
      <c r="I4318" s="134"/>
      <c r="J4318" s="133" t="s">
        <v>2566</v>
      </c>
      <c r="K4318" s="133" t="s">
        <v>831</v>
      </c>
      <c r="L4318" s="167"/>
      <c r="M4318" s="48"/>
      <c r="N4318" s="123"/>
    </row>
    <row r="4319" spans="1:14" customFormat="1" x14ac:dyDescent="0.55000000000000004">
      <c r="A4319" s="133" t="s">
        <v>2567</v>
      </c>
      <c r="B4319" s="133" t="s">
        <v>3248</v>
      </c>
      <c r="C4319" s="133" t="s">
        <v>132</v>
      </c>
      <c r="D4319" s="133" t="s">
        <v>3288</v>
      </c>
      <c r="E4319" s="138">
        <v>2.39</v>
      </c>
      <c r="F4319" s="153" t="s">
        <v>135</v>
      </c>
      <c r="G4319" s="154">
        <v>1</v>
      </c>
      <c r="H4319" s="133" t="s">
        <v>39</v>
      </c>
      <c r="I4319" s="134"/>
      <c r="J4319" s="133" t="s">
        <v>2566</v>
      </c>
      <c r="K4319" s="133" t="s">
        <v>831</v>
      </c>
      <c r="L4319" s="167"/>
      <c r="M4319" s="48"/>
      <c r="N4319" s="123"/>
    </row>
    <row r="4320" spans="1:14" customFormat="1" x14ac:dyDescent="0.55000000000000004">
      <c r="A4320" s="133" t="s">
        <v>2567</v>
      </c>
      <c r="B4320" s="133" t="s">
        <v>2654</v>
      </c>
      <c r="C4320" s="133" t="s">
        <v>163</v>
      </c>
      <c r="D4320" s="133" t="s">
        <v>3288</v>
      </c>
      <c r="E4320" s="138">
        <v>1.01</v>
      </c>
      <c r="F4320" s="153" t="s">
        <v>135</v>
      </c>
      <c r="G4320" s="154">
        <v>1</v>
      </c>
      <c r="H4320" s="133" t="s">
        <v>39</v>
      </c>
      <c r="I4320" s="134"/>
      <c r="J4320" s="133" t="s">
        <v>2566</v>
      </c>
      <c r="K4320" s="133" t="s">
        <v>831</v>
      </c>
      <c r="L4320" s="167"/>
      <c r="M4320" s="48"/>
      <c r="N4320" s="123"/>
    </row>
    <row r="4321" spans="1:14" customFormat="1" x14ac:dyDescent="0.55000000000000004">
      <c r="A4321" s="133" t="s">
        <v>2567</v>
      </c>
      <c r="B4321" s="133" t="s">
        <v>3249</v>
      </c>
      <c r="C4321" s="133" t="s">
        <v>163</v>
      </c>
      <c r="D4321" s="133" t="s">
        <v>3288</v>
      </c>
      <c r="E4321" s="138">
        <v>1.3999999999999999E-4</v>
      </c>
      <c r="F4321" s="153" t="s">
        <v>135</v>
      </c>
      <c r="G4321" s="154">
        <v>1</v>
      </c>
      <c r="H4321" s="133" t="s">
        <v>39</v>
      </c>
      <c r="I4321" s="134"/>
      <c r="J4321" s="133" t="s">
        <v>2566</v>
      </c>
      <c r="K4321" s="133" t="s">
        <v>831</v>
      </c>
      <c r="L4321" s="167"/>
      <c r="M4321" s="48"/>
      <c r="N4321" s="123"/>
    </row>
    <row r="4322" spans="1:14" customFormat="1" x14ac:dyDescent="0.55000000000000004">
      <c r="A4322" s="133" t="s">
        <v>2567</v>
      </c>
      <c r="B4322" s="133" t="s">
        <v>3250</v>
      </c>
      <c r="C4322" s="133" t="s">
        <v>163</v>
      </c>
      <c r="D4322" s="133" t="s">
        <v>3288</v>
      </c>
      <c r="E4322" s="138">
        <v>3.82E-3</v>
      </c>
      <c r="F4322" s="153" t="s">
        <v>135</v>
      </c>
      <c r="G4322" s="154">
        <v>1</v>
      </c>
      <c r="H4322" s="133" t="s">
        <v>39</v>
      </c>
      <c r="I4322" s="134"/>
      <c r="J4322" s="133" t="s">
        <v>2566</v>
      </c>
      <c r="K4322" s="133" t="s">
        <v>831</v>
      </c>
      <c r="L4322" s="167"/>
      <c r="M4322" s="48"/>
      <c r="N4322" s="123"/>
    </row>
    <row r="4323" spans="1:14" customFormat="1" x14ac:dyDescent="0.55000000000000004">
      <c r="A4323" s="133" t="s">
        <v>2567</v>
      </c>
      <c r="B4323" s="133" t="s">
        <v>3251</v>
      </c>
      <c r="C4323" s="133" t="s">
        <v>163</v>
      </c>
      <c r="D4323" s="133" t="s">
        <v>3288</v>
      </c>
      <c r="E4323" s="138">
        <v>8.8999999999999999E-3</v>
      </c>
      <c r="F4323" s="153" t="s">
        <v>135</v>
      </c>
      <c r="G4323" s="154">
        <v>1</v>
      </c>
      <c r="H4323" s="133" t="s">
        <v>39</v>
      </c>
      <c r="I4323" s="134"/>
      <c r="J4323" s="133" t="s">
        <v>2566</v>
      </c>
      <c r="K4323" s="133" t="s">
        <v>831</v>
      </c>
      <c r="L4323" s="167"/>
      <c r="M4323" s="48"/>
      <c r="N4323" s="123"/>
    </row>
    <row r="4324" spans="1:14" customFormat="1" x14ac:dyDescent="0.55000000000000004">
      <c r="A4324" s="133" t="s">
        <v>2567</v>
      </c>
      <c r="B4324" s="133" t="s">
        <v>2848</v>
      </c>
      <c r="C4324" s="133" t="s">
        <v>497</v>
      </c>
      <c r="D4324" s="133" t="s">
        <v>3288</v>
      </c>
      <c r="E4324" s="138">
        <v>1.8000000000000001E-4</v>
      </c>
      <c r="F4324" s="153" t="s">
        <v>135</v>
      </c>
      <c r="G4324" s="154">
        <v>1</v>
      </c>
      <c r="H4324" s="133" t="s">
        <v>39</v>
      </c>
      <c r="I4324" s="134"/>
      <c r="J4324" s="133" t="s">
        <v>2566</v>
      </c>
      <c r="K4324" s="133" t="s">
        <v>831</v>
      </c>
      <c r="L4324" s="167"/>
      <c r="M4324" s="48"/>
      <c r="N4324" s="123"/>
    </row>
    <row r="4325" spans="1:14" customFormat="1" x14ac:dyDescent="0.55000000000000004">
      <c r="A4325" s="133" t="s">
        <v>2567</v>
      </c>
      <c r="B4325" s="133" t="s">
        <v>1172</v>
      </c>
      <c r="C4325" s="133" t="s">
        <v>497</v>
      </c>
      <c r="D4325" s="133" t="s">
        <v>3288</v>
      </c>
      <c r="E4325" s="138">
        <v>6.4999999999999997E-4</v>
      </c>
      <c r="F4325" s="153" t="s">
        <v>135</v>
      </c>
      <c r="G4325" s="154">
        <v>1</v>
      </c>
      <c r="H4325" s="133" t="s">
        <v>39</v>
      </c>
      <c r="I4325" s="134"/>
      <c r="J4325" s="133" t="s">
        <v>2566</v>
      </c>
      <c r="K4325" s="133" t="s">
        <v>831</v>
      </c>
      <c r="L4325" s="167"/>
      <c r="M4325" s="48"/>
      <c r="N4325" s="123"/>
    </row>
    <row r="4326" spans="1:14" customFormat="1" x14ac:dyDescent="0.55000000000000004">
      <c r="A4326" s="133" t="s">
        <v>2567</v>
      </c>
      <c r="B4326" s="133" t="s">
        <v>160</v>
      </c>
      <c r="C4326" s="133" t="s">
        <v>497</v>
      </c>
      <c r="D4326" s="133" t="s">
        <v>3288</v>
      </c>
      <c r="E4326" s="138">
        <v>1.26</v>
      </c>
      <c r="F4326" s="153" t="s">
        <v>135</v>
      </c>
      <c r="G4326" s="154">
        <v>1</v>
      </c>
      <c r="H4326" s="133" t="s">
        <v>39</v>
      </c>
      <c r="I4326" s="134"/>
      <c r="J4326" s="133" t="s">
        <v>2566</v>
      </c>
      <c r="K4326" s="133" t="s">
        <v>831</v>
      </c>
      <c r="L4326" s="167"/>
      <c r="M4326" s="48"/>
      <c r="N4326" s="123"/>
    </row>
    <row r="4327" spans="1:14" customFormat="1" x14ac:dyDescent="0.55000000000000004">
      <c r="A4327" s="133" t="s">
        <v>2567</v>
      </c>
      <c r="B4327" s="133" t="s">
        <v>891</v>
      </c>
      <c r="C4327" s="133" t="s">
        <v>497</v>
      </c>
      <c r="D4327" s="133" t="s">
        <v>3288</v>
      </c>
      <c r="E4327" s="138">
        <v>2.5200000000000001E-3</v>
      </c>
      <c r="F4327" s="153" t="s">
        <v>135</v>
      </c>
      <c r="G4327" s="154">
        <v>1</v>
      </c>
      <c r="H4327" s="133" t="s">
        <v>39</v>
      </c>
      <c r="I4327" s="134"/>
      <c r="J4327" s="133" t="s">
        <v>2566</v>
      </c>
      <c r="K4327" s="133" t="s">
        <v>831</v>
      </c>
      <c r="L4327" s="167"/>
      <c r="M4327" s="48"/>
      <c r="N4327" s="123"/>
    </row>
    <row r="4328" spans="1:14" customFormat="1" x14ac:dyDescent="0.55000000000000004">
      <c r="A4328" s="133" t="s">
        <v>2567</v>
      </c>
      <c r="B4328" s="133" t="s">
        <v>2974</v>
      </c>
      <c r="C4328" s="133" t="s">
        <v>497</v>
      </c>
      <c r="D4328" s="133" t="s">
        <v>3288</v>
      </c>
      <c r="E4328" s="138">
        <v>2.5999999999999998E-4</v>
      </c>
      <c r="F4328" s="153" t="s">
        <v>135</v>
      </c>
      <c r="G4328" s="154">
        <v>1</v>
      </c>
      <c r="H4328" s="133" t="s">
        <v>39</v>
      </c>
      <c r="I4328" s="134"/>
      <c r="J4328" s="133" t="s">
        <v>2566</v>
      </c>
      <c r="K4328" s="133" t="s">
        <v>831</v>
      </c>
      <c r="L4328" s="167"/>
      <c r="M4328" s="48"/>
      <c r="N4328" s="123"/>
    </row>
    <row r="4329" spans="1:14" customFormat="1" x14ac:dyDescent="0.55000000000000004">
      <c r="A4329" s="133" t="s">
        <v>2567</v>
      </c>
      <c r="B4329" s="133" t="s">
        <v>3010</v>
      </c>
      <c r="C4329" s="133" t="s">
        <v>497</v>
      </c>
      <c r="D4329" s="133" t="s">
        <v>3288</v>
      </c>
      <c r="E4329" s="138">
        <v>1.6</v>
      </c>
      <c r="F4329" s="153" t="s">
        <v>892</v>
      </c>
      <c r="G4329" s="154">
        <v>1</v>
      </c>
      <c r="H4329" s="133" t="s">
        <v>39</v>
      </c>
      <c r="I4329" s="134"/>
      <c r="J4329" s="133" t="s">
        <v>2566</v>
      </c>
      <c r="K4329" s="133" t="s">
        <v>831</v>
      </c>
      <c r="L4329" s="167"/>
      <c r="M4329" s="48"/>
      <c r="N4329" s="123"/>
    </row>
    <row r="4330" spans="1:14" customFormat="1" x14ac:dyDescent="0.55000000000000004">
      <c r="A4330" s="133" t="s">
        <v>2567</v>
      </c>
      <c r="B4330" s="133" t="s">
        <v>3222</v>
      </c>
      <c r="C4330" s="133" t="s">
        <v>497</v>
      </c>
      <c r="D4330" s="133" t="s">
        <v>3288</v>
      </c>
      <c r="E4330" s="138">
        <v>42.89</v>
      </c>
      <c r="F4330" s="153" t="s">
        <v>892</v>
      </c>
      <c r="G4330" s="154">
        <v>1</v>
      </c>
      <c r="H4330" s="133" t="s">
        <v>39</v>
      </c>
      <c r="I4330" s="134"/>
      <c r="J4330" s="133" t="s">
        <v>2566</v>
      </c>
      <c r="K4330" s="133" t="s">
        <v>831</v>
      </c>
      <c r="L4330" s="167"/>
      <c r="M4330" s="48"/>
      <c r="N4330" s="123"/>
    </row>
    <row r="4331" spans="1:14" customFormat="1" x14ac:dyDescent="0.55000000000000004">
      <c r="A4331" s="133" t="s">
        <v>2567</v>
      </c>
      <c r="B4331" s="133" t="s">
        <v>3232</v>
      </c>
      <c r="C4331" s="133" t="s">
        <v>497</v>
      </c>
      <c r="D4331" s="133" t="s">
        <v>3288</v>
      </c>
      <c r="E4331" s="138">
        <v>0.15000749999999999</v>
      </c>
      <c r="F4331" s="153" t="s">
        <v>892</v>
      </c>
      <c r="G4331" s="154">
        <v>1</v>
      </c>
      <c r="H4331" s="133" t="s">
        <v>39</v>
      </c>
      <c r="I4331" s="134"/>
      <c r="J4331" s="133" t="s">
        <v>2566</v>
      </c>
      <c r="K4331" s="133" t="s">
        <v>831</v>
      </c>
      <c r="L4331" s="167"/>
      <c r="M4331" s="48"/>
      <c r="N4331" s="123"/>
    </row>
    <row r="4332" spans="1:14" customFormat="1" x14ac:dyDescent="0.55000000000000004">
      <c r="A4332" s="133" t="s">
        <v>2567</v>
      </c>
      <c r="B4332" s="133" t="s">
        <v>2967</v>
      </c>
      <c r="C4332" s="133" t="s">
        <v>497</v>
      </c>
      <c r="D4332" s="133" t="s">
        <v>3288</v>
      </c>
      <c r="E4332" s="138">
        <v>2.3201099999999997</v>
      </c>
      <c r="F4332" s="153" t="s">
        <v>892</v>
      </c>
      <c r="G4332" s="154">
        <v>1</v>
      </c>
      <c r="H4332" s="133" t="s">
        <v>39</v>
      </c>
      <c r="I4332" s="134"/>
      <c r="J4332" s="133" t="s">
        <v>2566</v>
      </c>
      <c r="K4332" s="133" t="s">
        <v>831</v>
      </c>
      <c r="L4332" s="167"/>
      <c r="M4332" s="48"/>
      <c r="N4332" s="123"/>
    </row>
    <row r="4333" spans="1:14" customFormat="1" x14ac:dyDescent="0.55000000000000004">
      <c r="A4333" s="133" t="s">
        <v>2567</v>
      </c>
      <c r="B4333" s="133" t="s">
        <v>3199</v>
      </c>
      <c r="C4333" s="133" t="s">
        <v>497</v>
      </c>
      <c r="D4333" s="133" t="s">
        <v>3288</v>
      </c>
      <c r="E4333" s="138">
        <v>0.32358999999999999</v>
      </c>
      <c r="F4333" s="153" t="s">
        <v>892</v>
      </c>
      <c r="G4333" s="154">
        <v>1</v>
      </c>
      <c r="H4333" s="133" t="s">
        <v>39</v>
      </c>
      <c r="I4333" s="134"/>
      <c r="J4333" s="133" t="s">
        <v>2566</v>
      </c>
      <c r="K4333" s="133" t="s">
        <v>831</v>
      </c>
      <c r="L4333" s="167"/>
      <c r="M4333" s="48"/>
      <c r="N4333" s="123"/>
    </row>
    <row r="4334" spans="1:14" customFormat="1" x14ac:dyDescent="0.55000000000000004">
      <c r="A4334" s="133" t="s">
        <v>2567</v>
      </c>
      <c r="B4334" s="133" t="s">
        <v>2975</v>
      </c>
      <c r="C4334" s="133" t="s">
        <v>497</v>
      </c>
      <c r="D4334" s="133" t="s">
        <v>3288</v>
      </c>
      <c r="E4334" s="138">
        <v>1.3215400000000002</v>
      </c>
      <c r="F4334" s="153" t="s">
        <v>892</v>
      </c>
      <c r="G4334" s="154">
        <v>1</v>
      </c>
      <c r="H4334" s="133" t="s">
        <v>39</v>
      </c>
      <c r="I4334" s="134"/>
      <c r="J4334" s="133" t="s">
        <v>2566</v>
      </c>
      <c r="K4334" s="133" t="s">
        <v>831</v>
      </c>
      <c r="L4334" s="167"/>
      <c r="M4334" s="48"/>
      <c r="N4334" s="123"/>
    </row>
    <row r="4335" spans="1:14" customFormat="1" x14ac:dyDescent="0.55000000000000004">
      <c r="A4335" s="133" t="s">
        <v>2567</v>
      </c>
      <c r="B4335" s="133" t="s">
        <v>3198</v>
      </c>
      <c r="C4335" s="133" t="s">
        <v>497</v>
      </c>
      <c r="D4335" s="133" t="s">
        <v>3288</v>
      </c>
      <c r="E4335" s="138">
        <v>0.17061000000000001</v>
      </c>
      <c r="F4335" s="153" t="s">
        <v>892</v>
      </c>
      <c r="G4335" s="154">
        <v>1</v>
      </c>
      <c r="H4335" s="133" t="s">
        <v>39</v>
      </c>
      <c r="I4335" s="134"/>
      <c r="J4335" s="133" t="s">
        <v>2566</v>
      </c>
      <c r="K4335" s="133" t="s">
        <v>831</v>
      </c>
      <c r="L4335" s="167"/>
      <c r="M4335" s="48"/>
      <c r="N4335" s="123"/>
    </row>
    <row r="4336" spans="1:14" customFormat="1" x14ac:dyDescent="0.55000000000000004">
      <c r="A4336" s="133" t="s">
        <v>2567</v>
      </c>
      <c r="B4336" s="133" t="s">
        <v>573</v>
      </c>
      <c r="C4336" s="133" t="s">
        <v>497</v>
      </c>
      <c r="D4336" s="133" t="s">
        <v>3288</v>
      </c>
      <c r="E4336" s="138">
        <v>0.15</v>
      </c>
      <c r="F4336" s="153" t="s">
        <v>892</v>
      </c>
      <c r="G4336" s="154">
        <v>1</v>
      </c>
      <c r="H4336" s="133" t="s">
        <v>39</v>
      </c>
      <c r="I4336" s="134"/>
      <c r="J4336" s="133" t="s">
        <v>2566</v>
      </c>
      <c r="K4336" s="133" t="s">
        <v>831</v>
      </c>
      <c r="L4336" s="167"/>
      <c r="M4336" s="48"/>
      <c r="N4336" s="123"/>
    </row>
    <row r="4337" spans="1:14" customFormat="1" x14ac:dyDescent="0.55000000000000004">
      <c r="A4337" s="133" t="s">
        <v>2567</v>
      </c>
      <c r="B4337" s="133" t="s">
        <v>2966</v>
      </c>
      <c r="C4337" s="133" t="s">
        <v>497</v>
      </c>
      <c r="D4337" s="133" t="s">
        <v>3288</v>
      </c>
      <c r="E4337" s="138">
        <v>4.7</v>
      </c>
      <c r="F4337" s="153" t="s">
        <v>3221</v>
      </c>
      <c r="G4337" s="154">
        <v>1</v>
      </c>
      <c r="H4337" s="133" t="s">
        <v>39</v>
      </c>
      <c r="I4337" s="134"/>
      <c r="J4337" s="133" t="s">
        <v>2566</v>
      </c>
      <c r="K4337" s="133" t="s">
        <v>831</v>
      </c>
      <c r="L4337" s="167"/>
      <c r="M4337" s="48"/>
      <c r="N4337" s="123"/>
    </row>
    <row r="4338" spans="1:14" customFormat="1" x14ac:dyDescent="0.55000000000000004">
      <c r="A4338" s="133" t="s">
        <v>2567</v>
      </c>
      <c r="B4338" s="133" t="s">
        <v>726</v>
      </c>
      <c r="C4338" s="133" t="s">
        <v>497</v>
      </c>
      <c r="D4338" s="133" t="s">
        <v>3288</v>
      </c>
      <c r="E4338" s="138">
        <v>58.510000000000005</v>
      </c>
      <c r="F4338" s="153" t="s">
        <v>3221</v>
      </c>
      <c r="G4338" s="154">
        <v>1</v>
      </c>
      <c r="H4338" s="133" t="s">
        <v>39</v>
      </c>
      <c r="I4338" s="134"/>
      <c r="J4338" s="133" t="s">
        <v>2566</v>
      </c>
      <c r="K4338" s="133" t="s">
        <v>831</v>
      </c>
      <c r="L4338" s="167"/>
      <c r="M4338" s="48"/>
      <c r="N4338" s="123"/>
    </row>
    <row r="4339" spans="1:14" customFormat="1" x14ac:dyDescent="0.55000000000000004">
      <c r="A4339" s="133" t="s">
        <v>2567</v>
      </c>
      <c r="B4339" s="133" t="s">
        <v>2963</v>
      </c>
      <c r="C4339" s="133" t="s">
        <v>497</v>
      </c>
      <c r="D4339" s="133" t="s">
        <v>3288</v>
      </c>
      <c r="E4339" s="138">
        <v>0.15</v>
      </c>
      <c r="F4339" s="153" t="s">
        <v>892</v>
      </c>
      <c r="G4339" s="154">
        <v>1</v>
      </c>
      <c r="H4339" s="133" t="s">
        <v>39</v>
      </c>
      <c r="I4339" s="134"/>
      <c r="J4339" s="133" t="s">
        <v>2566</v>
      </c>
      <c r="K4339" s="133" t="s">
        <v>831</v>
      </c>
      <c r="L4339" s="167"/>
      <c r="M4339" s="48"/>
      <c r="N4339" s="123"/>
    </row>
    <row r="4340" spans="1:14" customFormat="1" x14ac:dyDescent="0.55000000000000004">
      <c r="A4340" s="133" t="s">
        <v>2567</v>
      </c>
      <c r="B4340" s="133" t="s">
        <v>3252</v>
      </c>
      <c r="C4340" s="133" t="s">
        <v>497</v>
      </c>
      <c r="D4340" s="133" t="s">
        <v>3288</v>
      </c>
      <c r="E4340" s="138">
        <v>2.7E-6</v>
      </c>
      <c r="F4340" s="153" t="s">
        <v>892</v>
      </c>
      <c r="G4340" s="154">
        <v>1</v>
      </c>
      <c r="H4340" s="133" t="s">
        <v>39</v>
      </c>
      <c r="I4340" s="134"/>
      <c r="J4340" s="133" t="s">
        <v>2566</v>
      </c>
      <c r="K4340" s="133" t="s">
        <v>831</v>
      </c>
      <c r="L4340" s="167"/>
      <c r="M4340" s="48"/>
      <c r="N4340" s="123"/>
    </row>
    <row r="4341" spans="1:14" customFormat="1" x14ac:dyDescent="0.55000000000000004">
      <c r="A4341" s="133" t="s">
        <v>2567</v>
      </c>
      <c r="B4341" s="133" t="s">
        <v>3197</v>
      </c>
      <c r="C4341" s="133" t="s">
        <v>497</v>
      </c>
      <c r="D4341" s="133" t="s">
        <v>3288</v>
      </c>
      <c r="E4341" s="138">
        <v>0.12</v>
      </c>
      <c r="F4341" s="153" t="s">
        <v>3221</v>
      </c>
      <c r="G4341" s="154">
        <v>1</v>
      </c>
      <c r="H4341" s="133" t="s">
        <v>39</v>
      </c>
      <c r="I4341" s="134"/>
      <c r="J4341" s="133" t="s">
        <v>2566</v>
      </c>
      <c r="K4341" s="133" t="s">
        <v>831</v>
      </c>
      <c r="L4341" s="167"/>
      <c r="M4341" s="48"/>
      <c r="N4341" s="123"/>
    </row>
    <row r="4342" spans="1:14" customFormat="1" x14ac:dyDescent="0.55000000000000004">
      <c r="A4342" s="133" t="s">
        <v>2567</v>
      </c>
      <c r="B4342" s="133" t="s">
        <v>556</v>
      </c>
      <c r="C4342" s="133" t="s">
        <v>497</v>
      </c>
      <c r="D4342" s="133" t="s">
        <v>3288</v>
      </c>
      <c r="E4342" s="138">
        <v>2.16</v>
      </c>
      <c r="F4342" s="153" t="s">
        <v>3221</v>
      </c>
      <c r="G4342" s="154">
        <v>1</v>
      </c>
      <c r="H4342" s="133" t="s">
        <v>39</v>
      </c>
      <c r="I4342" s="134"/>
      <c r="J4342" s="133" t="s">
        <v>2566</v>
      </c>
      <c r="K4342" s="133" t="s">
        <v>831</v>
      </c>
      <c r="L4342" s="167"/>
      <c r="M4342" s="48"/>
      <c r="N4342" s="123"/>
    </row>
    <row r="4343" spans="1:14" customFormat="1" x14ac:dyDescent="0.55000000000000004">
      <c r="A4343" s="133" t="s">
        <v>2567</v>
      </c>
      <c r="B4343" s="133" t="s">
        <v>3253</v>
      </c>
      <c r="C4343" s="133" t="s">
        <v>497</v>
      </c>
      <c r="D4343" s="133" t="s">
        <v>3288</v>
      </c>
      <c r="E4343" s="138">
        <v>3.67</v>
      </c>
      <c r="F4343" s="153" t="s">
        <v>3221</v>
      </c>
      <c r="G4343" s="154">
        <v>1</v>
      </c>
      <c r="H4343" s="133" t="s">
        <v>39</v>
      </c>
      <c r="I4343" s="134"/>
      <c r="J4343" s="133" t="s">
        <v>2566</v>
      </c>
      <c r="K4343" s="133" t="s">
        <v>831</v>
      </c>
      <c r="L4343" s="167"/>
      <c r="M4343" s="48"/>
      <c r="N4343" s="123"/>
    </row>
    <row r="4344" spans="1:14" customFormat="1" x14ac:dyDescent="0.55000000000000004">
      <c r="A4344" s="133" t="s">
        <v>2567</v>
      </c>
      <c r="B4344" s="133" t="s">
        <v>1094</v>
      </c>
      <c r="C4344" s="133" t="s">
        <v>497</v>
      </c>
      <c r="D4344" s="133" t="s">
        <v>3288</v>
      </c>
      <c r="E4344" s="138">
        <v>9.25</v>
      </c>
      <c r="F4344" s="153" t="s">
        <v>892</v>
      </c>
      <c r="G4344" s="154">
        <v>1</v>
      </c>
      <c r="H4344" s="133" t="s">
        <v>39</v>
      </c>
      <c r="I4344" s="134"/>
      <c r="J4344" s="133" t="s">
        <v>2566</v>
      </c>
      <c r="K4344" s="133" t="s">
        <v>831</v>
      </c>
      <c r="L4344" s="167"/>
      <c r="M4344" s="48"/>
      <c r="N4344" s="123"/>
    </row>
    <row r="4345" spans="1:14" customFormat="1" x14ac:dyDescent="0.55000000000000004">
      <c r="A4345" s="133" t="s">
        <v>2572</v>
      </c>
      <c r="B4345" s="133" t="s">
        <v>3241</v>
      </c>
      <c r="C4345" s="133" t="s">
        <v>121</v>
      </c>
      <c r="D4345" s="133" t="s">
        <v>3288</v>
      </c>
      <c r="E4345" s="138">
        <v>1</v>
      </c>
      <c r="F4345" s="153">
        <v>1</v>
      </c>
      <c r="G4345" s="154">
        <v>1</v>
      </c>
      <c r="H4345" s="133" t="s">
        <v>39</v>
      </c>
      <c r="I4345" s="134"/>
      <c r="J4345" s="133" t="s">
        <v>2571</v>
      </c>
      <c r="K4345" s="133" t="s">
        <v>831</v>
      </c>
      <c r="L4345" s="167"/>
      <c r="M4345" s="48"/>
      <c r="N4345" s="123"/>
    </row>
    <row r="4346" spans="1:14" customFormat="1" x14ac:dyDescent="0.55000000000000004">
      <c r="A4346" s="133" t="s">
        <v>2572</v>
      </c>
      <c r="B4346" s="133" t="s">
        <v>2732</v>
      </c>
      <c r="C4346" s="133" t="s">
        <v>348</v>
      </c>
      <c r="D4346" s="133" t="s">
        <v>3288</v>
      </c>
      <c r="E4346" s="138">
        <v>1</v>
      </c>
      <c r="F4346" s="153" t="s">
        <v>135</v>
      </c>
      <c r="G4346" s="154">
        <v>1</v>
      </c>
      <c r="H4346" s="133" t="s">
        <v>39</v>
      </c>
      <c r="I4346" s="134"/>
      <c r="J4346" s="133" t="s">
        <v>2571</v>
      </c>
      <c r="K4346" s="133" t="s">
        <v>831</v>
      </c>
      <c r="L4346" s="167"/>
      <c r="M4346" s="48"/>
      <c r="N4346" s="123"/>
    </row>
    <row r="4347" spans="1:14" customFormat="1" x14ac:dyDescent="0.55000000000000004">
      <c r="A4347" s="133" t="s">
        <v>2572</v>
      </c>
      <c r="B4347" s="133" t="s">
        <v>153</v>
      </c>
      <c r="C4347" s="133" t="s">
        <v>127</v>
      </c>
      <c r="D4347" s="133" t="s">
        <v>2994</v>
      </c>
      <c r="E4347" s="138">
        <v>3.43</v>
      </c>
      <c r="F4347" s="153" t="s">
        <v>130</v>
      </c>
      <c r="G4347" s="154">
        <v>1</v>
      </c>
      <c r="H4347" s="133" t="s">
        <v>39</v>
      </c>
      <c r="I4347" s="134"/>
      <c r="J4347" s="133" t="s">
        <v>2571</v>
      </c>
      <c r="K4347" s="133" t="s">
        <v>831</v>
      </c>
      <c r="L4347" s="167"/>
      <c r="M4347" s="48"/>
      <c r="N4347" s="123"/>
    </row>
    <row r="4348" spans="1:14" customFormat="1" x14ac:dyDescent="0.55000000000000004">
      <c r="A4348" s="133" t="s">
        <v>2572</v>
      </c>
      <c r="B4348" s="133" t="s">
        <v>492</v>
      </c>
      <c r="C4348" s="133" t="s">
        <v>348</v>
      </c>
      <c r="D4348" s="133" t="s">
        <v>3288</v>
      </c>
      <c r="E4348" s="138">
        <v>1.04</v>
      </c>
      <c r="F4348" s="153" t="s">
        <v>133</v>
      </c>
      <c r="G4348" s="154">
        <v>1</v>
      </c>
      <c r="H4348" s="133" t="s">
        <v>39</v>
      </c>
      <c r="I4348" s="134"/>
      <c r="J4348" s="133" t="s">
        <v>2571</v>
      </c>
      <c r="K4348" s="133" t="s">
        <v>831</v>
      </c>
      <c r="L4348" s="167"/>
      <c r="M4348" s="48"/>
      <c r="N4348" s="123"/>
    </row>
    <row r="4349" spans="1:14" customFormat="1" x14ac:dyDescent="0.55000000000000004">
      <c r="A4349" s="133" t="s">
        <v>2572</v>
      </c>
      <c r="B4349" s="133" t="s">
        <v>3068</v>
      </c>
      <c r="C4349" s="133" t="s">
        <v>348</v>
      </c>
      <c r="D4349" s="133" t="s">
        <v>3288</v>
      </c>
      <c r="E4349" s="138">
        <v>0.02</v>
      </c>
      <c r="F4349" s="153" t="s">
        <v>133</v>
      </c>
      <c r="G4349" s="154">
        <v>1</v>
      </c>
      <c r="H4349" s="133" t="s">
        <v>39</v>
      </c>
      <c r="I4349" s="134"/>
      <c r="J4349" s="133" t="s">
        <v>2571</v>
      </c>
      <c r="K4349" s="133" t="s">
        <v>831</v>
      </c>
      <c r="L4349" s="167"/>
      <c r="M4349" s="48"/>
      <c r="N4349" s="123"/>
    </row>
    <row r="4350" spans="1:14" customFormat="1" x14ac:dyDescent="0.55000000000000004">
      <c r="A4350" s="133" t="s">
        <v>2572</v>
      </c>
      <c r="B4350" s="133" t="s">
        <v>3243</v>
      </c>
      <c r="C4350" s="133" t="s">
        <v>348</v>
      </c>
      <c r="D4350" s="133" t="s">
        <v>3288</v>
      </c>
      <c r="E4350" s="138">
        <v>1.72E-3</v>
      </c>
      <c r="F4350" s="153" t="s">
        <v>135</v>
      </c>
      <c r="G4350" s="154">
        <v>1</v>
      </c>
      <c r="H4350" s="133" t="s">
        <v>39</v>
      </c>
      <c r="I4350" s="134"/>
      <c r="J4350" s="133" t="s">
        <v>2571</v>
      </c>
      <c r="K4350" s="133" t="s">
        <v>831</v>
      </c>
      <c r="L4350" s="167"/>
      <c r="M4350" s="48"/>
      <c r="N4350" s="123"/>
    </row>
    <row r="4351" spans="1:14" customFormat="1" x14ac:dyDescent="0.55000000000000004">
      <c r="A4351" s="133" t="s">
        <v>2572</v>
      </c>
      <c r="B4351" s="133" t="s">
        <v>3244</v>
      </c>
      <c r="C4351" s="133" t="s">
        <v>348</v>
      </c>
      <c r="D4351" s="133" t="s">
        <v>3288</v>
      </c>
      <c r="E4351" s="138">
        <v>0.81</v>
      </c>
      <c r="F4351" s="153" t="s">
        <v>133</v>
      </c>
      <c r="G4351" s="154">
        <v>1</v>
      </c>
      <c r="H4351" s="133" t="s">
        <v>39</v>
      </c>
      <c r="I4351" s="134"/>
      <c r="J4351" s="133" t="s">
        <v>2571</v>
      </c>
      <c r="K4351" s="133" t="s">
        <v>831</v>
      </c>
      <c r="L4351" s="167"/>
      <c r="M4351" s="48"/>
      <c r="N4351" s="123"/>
    </row>
    <row r="4352" spans="1:14" customFormat="1" x14ac:dyDescent="0.55000000000000004">
      <c r="A4352" s="133" t="s">
        <v>2572</v>
      </c>
      <c r="B4352" s="133" t="s">
        <v>236</v>
      </c>
      <c r="C4352" s="133" t="s">
        <v>348</v>
      </c>
      <c r="D4352" s="133" t="s">
        <v>3288</v>
      </c>
      <c r="E4352" s="138">
        <v>0.39739000000000002</v>
      </c>
      <c r="F4352" s="153" t="s">
        <v>135</v>
      </c>
      <c r="G4352" s="154">
        <v>1</v>
      </c>
      <c r="H4352" s="133" t="s">
        <v>39</v>
      </c>
      <c r="I4352" s="134"/>
      <c r="J4352" s="133" t="s">
        <v>2571</v>
      </c>
      <c r="K4352" s="133" t="s">
        <v>831</v>
      </c>
      <c r="L4352" s="167"/>
      <c r="M4352" s="48"/>
      <c r="N4352" s="123"/>
    </row>
    <row r="4353" spans="1:14" customFormat="1" x14ac:dyDescent="0.55000000000000004">
      <c r="A4353" s="133" t="s">
        <v>2572</v>
      </c>
      <c r="B4353" s="133" t="s">
        <v>3245</v>
      </c>
      <c r="C4353" s="133" t="s">
        <v>348</v>
      </c>
      <c r="D4353" s="133" t="s">
        <v>3288</v>
      </c>
      <c r="E4353" s="138">
        <v>5.8109999999999998E-5</v>
      </c>
      <c r="F4353" s="153" t="s">
        <v>135</v>
      </c>
      <c r="G4353" s="154">
        <v>1</v>
      </c>
      <c r="H4353" s="133" t="s">
        <v>39</v>
      </c>
      <c r="I4353" s="134"/>
      <c r="J4353" s="133" t="s">
        <v>2571</v>
      </c>
      <c r="K4353" s="133" t="s">
        <v>831</v>
      </c>
      <c r="L4353" s="167"/>
      <c r="M4353" s="48"/>
      <c r="N4353" s="123"/>
    </row>
    <row r="4354" spans="1:14" customFormat="1" x14ac:dyDescent="0.55000000000000004">
      <c r="A4354" s="133" t="s">
        <v>2572</v>
      </c>
      <c r="B4354" s="133" t="s">
        <v>508</v>
      </c>
      <c r="C4354" s="133" t="s">
        <v>127</v>
      </c>
      <c r="D4354" s="133" t="s">
        <v>3288</v>
      </c>
      <c r="E4354" s="138">
        <v>3.2340000000000001E-2</v>
      </c>
      <c r="F4354" s="153" t="s">
        <v>135</v>
      </c>
      <c r="G4354" s="154">
        <v>1</v>
      </c>
      <c r="H4354" s="133" t="s">
        <v>39</v>
      </c>
      <c r="I4354" s="134"/>
      <c r="J4354" s="133" t="s">
        <v>2571</v>
      </c>
      <c r="K4354" s="133" t="s">
        <v>831</v>
      </c>
      <c r="L4354" s="167"/>
      <c r="M4354" s="48"/>
      <c r="N4354" s="123"/>
    </row>
    <row r="4355" spans="1:14" customFormat="1" x14ac:dyDescent="0.55000000000000004">
      <c r="A4355" s="133" t="s">
        <v>2572</v>
      </c>
      <c r="B4355" s="133" t="s">
        <v>603</v>
      </c>
      <c r="C4355" s="133" t="s">
        <v>348</v>
      </c>
      <c r="D4355" s="133" t="s">
        <v>3288</v>
      </c>
      <c r="E4355" s="138">
        <v>7.0290000000000005E-2</v>
      </c>
      <c r="F4355" s="153" t="s">
        <v>135</v>
      </c>
      <c r="G4355" s="154">
        <v>1</v>
      </c>
      <c r="H4355" s="133" t="s">
        <v>39</v>
      </c>
      <c r="I4355" s="134"/>
      <c r="J4355" s="133" t="s">
        <v>2571</v>
      </c>
      <c r="K4355" s="133" t="s">
        <v>831</v>
      </c>
      <c r="L4355" s="167"/>
      <c r="M4355" s="48"/>
      <c r="N4355" s="123"/>
    </row>
    <row r="4356" spans="1:14" customFormat="1" x14ac:dyDescent="0.55000000000000004">
      <c r="A4356" s="133" t="s">
        <v>2572</v>
      </c>
      <c r="B4356" s="133" t="s">
        <v>3246</v>
      </c>
      <c r="C4356" s="133" t="s">
        <v>348</v>
      </c>
      <c r="D4356" s="133" t="s">
        <v>3288</v>
      </c>
      <c r="E4356" s="138">
        <v>1.5091E-4</v>
      </c>
      <c r="F4356" s="153" t="s">
        <v>135</v>
      </c>
      <c r="G4356" s="154">
        <v>1</v>
      </c>
      <c r="H4356" s="133" t="s">
        <v>39</v>
      </c>
      <c r="I4356" s="134"/>
      <c r="J4356" s="133" t="s">
        <v>2571</v>
      </c>
      <c r="K4356" s="133" t="s">
        <v>831</v>
      </c>
      <c r="L4356" s="167"/>
      <c r="M4356" s="48"/>
      <c r="N4356" s="123"/>
    </row>
    <row r="4357" spans="1:14" customFormat="1" x14ac:dyDescent="0.55000000000000004">
      <c r="A4357" s="133" t="s">
        <v>2572</v>
      </c>
      <c r="B4357" s="133" t="s">
        <v>3247</v>
      </c>
      <c r="C4357" s="133" t="s">
        <v>348</v>
      </c>
      <c r="D4357" s="133" t="s">
        <v>3288</v>
      </c>
      <c r="E4357" s="138">
        <v>5.2469999999999997E-5</v>
      </c>
      <c r="F4357" s="153" t="s">
        <v>135</v>
      </c>
      <c r="G4357" s="154">
        <v>1</v>
      </c>
      <c r="H4357" s="133" t="s">
        <v>39</v>
      </c>
      <c r="I4357" s="134"/>
      <c r="J4357" s="133" t="s">
        <v>2571</v>
      </c>
      <c r="K4357" s="133" t="s">
        <v>831</v>
      </c>
      <c r="L4357" s="167"/>
      <c r="M4357" s="48"/>
      <c r="N4357" s="123"/>
    </row>
    <row r="4358" spans="1:14" customFormat="1" x14ac:dyDescent="0.55000000000000004">
      <c r="A4358" s="133" t="s">
        <v>2572</v>
      </c>
      <c r="B4358" s="133" t="s">
        <v>3248</v>
      </c>
      <c r="C4358" s="133" t="s">
        <v>132</v>
      </c>
      <c r="D4358" s="133" t="s">
        <v>3288</v>
      </c>
      <c r="E4358" s="138">
        <v>0.23</v>
      </c>
      <c r="F4358" s="153" t="s">
        <v>135</v>
      </c>
      <c r="G4358" s="154">
        <v>1</v>
      </c>
      <c r="H4358" s="133" t="s">
        <v>39</v>
      </c>
      <c r="I4358" s="134"/>
      <c r="J4358" s="133" t="s">
        <v>2571</v>
      </c>
      <c r="K4358" s="133" t="s">
        <v>831</v>
      </c>
      <c r="L4358" s="167"/>
      <c r="M4358" s="48"/>
      <c r="N4358" s="123"/>
    </row>
    <row r="4359" spans="1:14" customFormat="1" x14ac:dyDescent="0.55000000000000004">
      <c r="A4359" s="133" t="s">
        <v>2572</v>
      </c>
      <c r="B4359" s="133" t="s">
        <v>2654</v>
      </c>
      <c r="C4359" s="133" t="s">
        <v>163</v>
      </c>
      <c r="D4359" s="133" t="s">
        <v>3288</v>
      </c>
      <c r="E4359" s="138">
        <v>2.8</v>
      </c>
      <c r="F4359" s="153" t="s">
        <v>135</v>
      </c>
      <c r="G4359" s="154">
        <v>1</v>
      </c>
      <c r="H4359" s="133" t="s">
        <v>39</v>
      </c>
      <c r="I4359" s="134"/>
      <c r="J4359" s="133" t="s">
        <v>2571</v>
      </c>
      <c r="K4359" s="133" t="s">
        <v>831</v>
      </c>
      <c r="L4359" s="167"/>
      <c r="M4359" s="48"/>
      <c r="N4359" s="123"/>
    </row>
    <row r="4360" spans="1:14" customFormat="1" x14ac:dyDescent="0.55000000000000004">
      <c r="A4360" s="133" t="s">
        <v>2572</v>
      </c>
      <c r="B4360" s="133" t="s">
        <v>3249</v>
      </c>
      <c r="C4360" s="133" t="s">
        <v>163</v>
      </c>
      <c r="D4360" s="133" t="s">
        <v>3288</v>
      </c>
      <c r="E4360" s="138">
        <v>3.4680000000000002E-2</v>
      </c>
      <c r="F4360" s="153" t="s">
        <v>135</v>
      </c>
      <c r="G4360" s="154">
        <v>1</v>
      </c>
      <c r="H4360" s="133" t="s">
        <v>39</v>
      </c>
      <c r="I4360" s="134"/>
      <c r="J4360" s="133" t="s">
        <v>2571</v>
      </c>
      <c r="K4360" s="133" t="s">
        <v>831</v>
      </c>
      <c r="L4360" s="167"/>
      <c r="M4360" s="48"/>
      <c r="N4360" s="123"/>
    </row>
    <row r="4361" spans="1:14" customFormat="1" x14ac:dyDescent="0.55000000000000004">
      <c r="A4361" s="133" t="s">
        <v>2572</v>
      </c>
      <c r="B4361" s="133" t="s">
        <v>3232</v>
      </c>
      <c r="C4361" s="133" t="s">
        <v>497</v>
      </c>
      <c r="D4361" s="133" t="s">
        <v>3288</v>
      </c>
      <c r="E4361" s="138">
        <v>1.1999999999999999E-6</v>
      </c>
      <c r="F4361" s="153" t="s">
        <v>892</v>
      </c>
      <c r="G4361" s="154">
        <v>1</v>
      </c>
      <c r="H4361" s="133" t="s">
        <v>39</v>
      </c>
      <c r="I4361" s="134"/>
      <c r="J4361" s="133" t="s">
        <v>2571</v>
      </c>
      <c r="K4361" s="133" t="s">
        <v>831</v>
      </c>
      <c r="L4361" s="167"/>
      <c r="M4361" s="48"/>
      <c r="N4361" s="123"/>
    </row>
    <row r="4362" spans="1:14" customFormat="1" x14ac:dyDescent="0.55000000000000004">
      <c r="A4362" s="133" t="s">
        <v>2572</v>
      </c>
      <c r="B4362" s="133" t="s">
        <v>2967</v>
      </c>
      <c r="C4362" s="133" t="s">
        <v>497</v>
      </c>
      <c r="D4362" s="133" t="s">
        <v>3288</v>
      </c>
      <c r="E4362" s="138">
        <v>0.39933000000000002</v>
      </c>
      <c r="F4362" s="153" t="s">
        <v>892</v>
      </c>
      <c r="G4362" s="154">
        <v>1</v>
      </c>
      <c r="H4362" s="133" t="s">
        <v>39</v>
      </c>
      <c r="I4362" s="134"/>
      <c r="J4362" s="133" t="s">
        <v>2571</v>
      </c>
      <c r="K4362" s="133" t="s">
        <v>831</v>
      </c>
      <c r="L4362" s="167"/>
      <c r="M4362" s="48"/>
      <c r="N4362" s="123"/>
    </row>
    <row r="4363" spans="1:14" customFormat="1" x14ac:dyDescent="0.55000000000000004">
      <c r="A4363" s="133" t="s">
        <v>2572</v>
      </c>
      <c r="B4363" s="133" t="s">
        <v>3199</v>
      </c>
      <c r="C4363" s="133" t="s">
        <v>497</v>
      </c>
      <c r="D4363" s="133" t="s">
        <v>3288</v>
      </c>
      <c r="E4363" s="138">
        <v>0.39257999999999998</v>
      </c>
      <c r="F4363" s="153" t="s">
        <v>892</v>
      </c>
      <c r="G4363" s="154">
        <v>1</v>
      </c>
      <c r="H4363" s="133" t="s">
        <v>39</v>
      </c>
      <c r="I4363" s="134"/>
      <c r="J4363" s="133" t="s">
        <v>2571</v>
      </c>
      <c r="K4363" s="133" t="s">
        <v>831</v>
      </c>
      <c r="L4363" s="167"/>
      <c r="M4363" s="48"/>
      <c r="N4363" s="123"/>
    </row>
    <row r="4364" spans="1:14" customFormat="1" x14ac:dyDescent="0.55000000000000004">
      <c r="A4364" s="133" t="s">
        <v>2572</v>
      </c>
      <c r="B4364" s="133" t="s">
        <v>2975</v>
      </c>
      <c r="C4364" s="133" t="s">
        <v>497</v>
      </c>
      <c r="D4364" s="133" t="s">
        <v>3288</v>
      </c>
      <c r="E4364" s="138">
        <v>59.72</v>
      </c>
      <c r="F4364" s="153" t="s">
        <v>3221</v>
      </c>
      <c r="G4364" s="154">
        <v>1</v>
      </c>
      <c r="H4364" s="133" t="s">
        <v>39</v>
      </c>
      <c r="I4364" s="134"/>
      <c r="J4364" s="133" t="s">
        <v>2571</v>
      </c>
      <c r="K4364" s="133" t="s">
        <v>831</v>
      </c>
      <c r="L4364" s="167"/>
      <c r="M4364" s="48"/>
      <c r="N4364" s="123"/>
    </row>
    <row r="4365" spans="1:14" customFormat="1" x14ac:dyDescent="0.55000000000000004">
      <c r="A4365" s="133" t="s">
        <v>2572</v>
      </c>
      <c r="B4365" s="133" t="s">
        <v>3198</v>
      </c>
      <c r="C4365" s="133" t="s">
        <v>497</v>
      </c>
      <c r="D4365" s="133" t="s">
        <v>3288</v>
      </c>
      <c r="E4365" s="138">
        <v>95.18</v>
      </c>
      <c r="F4365" s="153" t="s">
        <v>3221</v>
      </c>
      <c r="G4365" s="154">
        <v>1</v>
      </c>
      <c r="H4365" s="133" t="s">
        <v>39</v>
      </c>
      <c r="I4365" s="134"/>
      <c r="J4365" s="133" t="s">
        <v>2571</v>
      </c>
      <c r="K4365" s="133" t="s">
        <v>831</v>
      </c>
      <c r="L4365" s="167"/>
      <c r="M4365" s="48"/>
      <c r="N4365" s="123"/>
    </row>
    <row r="4366" spans="1:14" customFormat="1" x14ac:dyDescent="0.55000000000000004">
      <c r="A4366" s="133" t="s">
        <v>2572</v>
      </c>
      <c r="B4366" s="133" t="s">
        <v>726</v>
      </c>
      <c r="C4366" s="133" t="s">
        <v>497</v>
      </c>
      <c r="D4366" s="133" t="s">
        <v>3288</v>
      </c>
      <c r="E4366" s="138">
        <v>18.3</v>
      </c>
      <c r="F4366" s="153" t="s">
        <v>3221</v>
      </c>
      <c r="G4366" s="154">
        <v>1</v>
      </c>
      <c r="H4366" s="133" t="s">
        <v>39</v>
      </c>
      <c r="I4366" s="134"/>
      <c r="J4366" s="133" t="s">
        <v>2571</v>
      </c>
      <c r="K4366" s="133" t="s">
        <v>831</v>
      </c>
      <c r="L4366" s="167"/>
      <c r="M4366" s="48"/>
      <c r="N4366" s="123"/>
    </row>
    <row r="4367" spans="1:14" customFormat="1" x14ac:dyDescent="0.55000000000000004">
      <c r="A4367" s="133" t="s">
        <v>2572</v>
      </c>
      <c r="B4367" s="133" t="s">
        <v>3197</v>
      </c>
      <c r="C4367" s="133" t="s">
        <v>497</v>
      </c>
      <c r="D4367" s="133" t="s">
        <v>3288</v>
      </c>
      <c r="E4367" s="138">
        <v>12.11</v>
      </c>
      <c r="F4367" s="153" t="s">
        <v>3221</v>
      </c>
      <c r="G4367" s="154">
        <v>1</v>
      </c>
      <c r="H4367" s="133" t="s">
        <v>39</v>
      </c>
      <c r="I4367" s="134"/>
      <c r="J4367" s="133" t="s">
        <v>2571</v>
      </c>
      <c r="K4367" s="133" t="s">
        <v>831</v>
      </c>
      <c r="L4367" s="167"/>
      <c r="M4367" s="48"/>
      <c r="N4367" s="123"/>
    </row>
    <row r="4368" spans="1:14" customFormat="1" x14ac:dyDescent="0.55000000000000004">
      <c r="A4368" s="133" t="s">
        <v>2572</v>
      </c>
      <c r="B4368" s="133" t="s">
        <v>556</v>
      </c>
      <c r="C4368" s="133" t="s">
        <v>497</v>
      </c>
      <c r="D4368" s="133" t="s">
        <v>3288</v>
      </c>
      <c r="E4368" s="138">
        <v>35.93</v>
      </c>
      <c r="F4368" s="153" t="s">
        <v>3221</v>
      </c>
      <c r="G4368" s="154">
        <v>1</v>
      </c>
      <c r="H4368" s="133" t="s">
        <v>39</v>
      </c>
      <c r="I4368" s="134"/>
      <c r="J4368" s="133" t="s">
        <v>2571</v>
      </c>
      <c r="K4368" s="133" t="s">
        <v>831</v>
      </c>
      <c r="L4368" s="167"/>
      <c r="M4368" s="48"/>
      <c r="N4368" s="123"/>
    </row>
    <row r="4369" spans="1:14" customFormat="1" x14ac:dyDescent="0.55000000000000004">
      <c r="A4369" s="133" t="s">
        <v>2572</v>
      </c>
      <c r="B4369" s="133" t="s">
        <v>3253</v>
      </c>
      <c r="C4369" s="133" t="s">
        <v>497</v>
      </c>
      <c r="D4369" s="133" t="s">
        <v>3288</v>
      </c>
      <c r="E4369" s="138">
        <v>3.67</v>
      </c>
      <c r="F4369" s="153" t="s">
        <v>3221</v>
      </c>
      <c r="G4369" s="154">
        <v>1</v>
      </c>
      <c r="H4369" s="133" t="s">
        <v>39</v>
      </c>
      <c r="I4369" s="134"/>
      <c r="J4369" s="133" t="s">
        <v>2571</v>
      </c>
      <c r="K4369" s="133" t="s">
        <v>831</v>
      </c>
      <c r="L4369" s="167"/>
      <c r="M4369" s="48"/>
      <c r="N4369" s="123"/>
    </row>
    <row r="4370" spans="1:14" customFormat="1" x14ac:dyDescent="0.55000000000000004">
      <c r="A4370" s="133" t="s">
        <v>2572</v>
      </c>
      <c r="B4370" s="133" t="s">
        <v>1094</v>
      </c>
      <c r="C4370" s="133" t="s">
        <v>497</v>
      </c>
      <c r="D4370" s="133" t="s">
        <v>3288</v>
      </c>
      <c r="E4370" s="138">
        <v>1800</v>
      </c>
      <c r="F4370" s="153" t="s">
        <v>892</v>
      </c>
      <c r="G4370" s="154">
        <v>1</v>
      </c>
      <c r="H4370" s="133" t="s">
        <v>39</v>
      </c>
      <c r="I4370" s="134"/>
      <c r="J4370" s="133" t="s">
        <v>2571</v>
      </c>
      <c r="K4370" s="133" t="s">
        <v>831</v>
      </c>
      <c r="L4370" s="167"/>
      <c r="M4370" s="48"/>
      <c r="N4370" s="123"/>
    </row>
    <row r="4371" spans="1:14" customFormat="1" x14ac:dyDescent="0.55000000000000004">
      <c r="A4371" s="133" t="s">
        <v>2576</v>
      </c>
      <c r="B4371" s="133" t="s">
        <v>3254</v>
      </c>
      <c r="C4371" s="133" t="s">
        <v>121</v>
      </c>
      <c r="D4371" s="133" t="s">
        <v>2682</v>
      </c>
      <c r="E4371" s="138">
        <v>1</v>
      </c>
      <c r="F4371" s="153">
        <v>1</v>
      </c>
      <c r="G4371" s="154">
        <v>1</v>
      </c>
      <c r="H4371" s="133" t="s">
        <v>39</v>
      </c>
      <c r="I4371" s="134"/>
      <c r="J4371" s="133" t="s">
        <v>2575</v>
      </c>
      <c r="K4371" s="133" t="s">
        <v>831</v>
      </c>
      <c r="L4371" s="167"/>
      <c r="M4371" s="48"/>
      <c r="N4371" s="123"/>
    </row>
    <row r="4372" spans="1:14" customFormat="1" x14ac:dyDescent="0.55000000000000004">
      <c r="A4372" s="133" t="s">
        <v>2576</v>
      </c>
      <c r="B4372" s="133" t="s">
        <v>2884</v>
      </c>
      <c r="C4372" s="133" t="s">
        <v>348</v>
      </c>
      <c r="D4372" s="133" t="s">
        <v>3288</v>
      </c>
      <c r="E4372" s="138">
        <v>1</v>
      </c>
      <c r="F4372" s="153" t="s">
        <v>135</v>
      </c>
      <c r="G4372" s="154">
        <v>1</v>
      </c>
      <c r="H4372" s="133" t="s">
        <v>39</v>
      </c>
      <c r="I4372" s="134"/>
      <c r="J4372" s="133" t="s">
        <v>2575</v>
      </c>
      <c r="K4372" s="133" t="s">
        <v>831</v>
      </c>
      <c r="L4372" s="167"/>
      <c r="M4372" s="48"/>
      <c r="N4372" s="123"/>
    </row>
    <row r="4373" spans="1:14" customFormat="1" x14ac:dyDescent="0.55000000000000004">
      <c r="A4373" s="133" t="s">
        <v>2576</v>
      </c>
      <c r="B4373" s="133" t="s">
        <v>153</v>
      </c>
      <c r="C4373" s="133" t="s">
        <v>127</v>
      </c>
      <c r="D4373" s="133" t="s">
        <v>2994</v>
      </c>
      <c r="E4373" s="138">
        <v>8.11</v>
      </c>
      <c r="F4373" s="153" t="s">
        <v>130</v>
      </c>
      <c r="G4373" s="154">
        <v>1</v>
      </c>
      <c r="H4373" s="133" t="s">
        <v>39</v>
      </c>
      <c r="I4373" s="134"/>
      <c r="J4373" s="133" t="s">
        <v>2575</v>
      </c>
      <c r="K4373" s="133" t="s">
        <v>831</v>
      </c>
      <c r="L4373" s="167"/>
      <c r="M4373" s="48"/>
      <c r="N4373" s="123"/>
    </row>
    <row r="4374" spans="1:14" customFormat="1" x14ac:dyDescent="0.55000000000000004">
      <c r="A4374" s="133" t="s">
        <v>2576</v>
      </c>
      <c r="B4374" s="133" t="s">
        <v>508</v>
      </c>
      <c r="C4374" s="133" t="s">
        <v>127</v>
      </c>
      <c r="D4374" s="133" t="s">
        <v>3289</v>
      </c>
      <c r="E4374" s="138">
        <v>0.56000000000000005</v>
      </c>
      <c r="F4374" s="153" t="s">
        <v>128</v>
      </c>
      <c r="G4374" s="154">
        <v>1</v>
      </c>
      <c r="H4374" s="133" t="s">
        <v>39</v>
      </c>
      <c r="I4374" s="134"/>
      <c r="J4374" s="133" t="s">
        <v>2575</v>
      </c>
      <c r="K4374" s="133" t="s">
        <v>831</v>
      </c>
      <c r="L4374" s="167"/>
      <c r="M4374" s="48"/>
      <c r="N4374" s="123"/>
    </row>
    <row r="4375" spans="1:14" customFormat="1" x14ac:dyDescent="0.55000000000000004">
      <c r="A4375" s="133" t="s">
        <v>2576</v>
      </c>
      <c r="B4375" s="133" t="s">
        <v>154</v>
      </c>
      <c r="C4375" s="133" t="s">
        <v>348</v>
      </c>
      <c r="D4375" s="133" t="s">
        <v>3289</v>
      </c>
      <c r="E4375" s="138">
        <v>4.0000000000000001E-3</v>
      </c>
      <c r="F4375" s="153" t="s">
        <v>133</v>
      </c>
      <c r="G4375" s="154">
        <v>1</v>
      </c>
      <c r="H4375" s="133" t="s">
        <v>39</v>
      </c>
      <c r="I4375" s="134"/>
      <c r="J4375" s="133" t="s">
        <v>2575</v>
      </c>
      <c r="K4375" s="133" t="s">
        <v>831</v>
      </c>
      <c r="L4375" s="167"/>
      <c r="M4375" s="48"/>
      <c r="N4375" s="123"/>
    </row>
    <row r="4376" spans="1:14" customFormat="1" x14ac:dyDescent="0.55000000000000004">
      <c r="A4376" s="133" t="s">
        <v>2576</v>
      </c>
      <c r="B4376" s="133" t="s">
        <v>3255</v>
      </c>
      <c r="C4376" s="133" t="s">
        <v>156</v>
      </c>
      <c r="D4376" s="133" t="s">
        <v>3288</v>
      </c>
      <c r="E4376" s="138">
        <v>2.12E-2</v>
      </c>
      <c r="F4376" s="153" t="s">
        <v>135</v>
      </c>
      <c r="G4376" s="154">
        <v>1</v>
      </c>
      <c r="H4376" s="133" t="s">
        <v>39</v>
      </c>
      <c r="I4376" s="134"/>
      <c r="J4376" s="133" t="s">
        <v>2575</v>
      </c>
      <c r="K4376" s="133" t="s">
        <v>831</v>
      </c>
      <c r="L4376" s="167"/>
      <c r="M4376" s="48"/>
      <c r="N4376" s="123"/>
    </row>
    <row r="4377" spans="1:14" customFormat="1" x14ac:dyDescent="0.55000000000000004">
      <c r="A4377" s="133" t="s">
        <v>2576</v>
      </c>
      <c r="B4377" s="133" t="s">
        <v>3256</v>
      </c>
      <c r="C4377" s="133" t="s">
        <v>156</v>
      </c>
      <c r="D4377" s="133" t="s">
        <v>3288</v>
      </c>
      <c r="E4377" s="138">
        <v>0.02</v>
      </c>
      <c r="F4377" s="153" t="s">
        <v>135</v>
      </c>
      <c r="G4377" s="154">
        <v>1</v>
      </c>
      <c r="H4377" s="133" t="s">
        <v>39</v>
      </c>
      <c r="I4377" s="134"/>
      <c r="J4377" s="133" t="s">
        <v>2575</v>
      </c>
      <c r="K4377" s="133" t="s">
        <v>831</v>
      </c>
      <c r="L4377" s="167"/>
      <c r="M4377" s="48"/>
      <c r="N4377" s="123"/>
    </row>
    <row r="4378" spans="1:14" customFormat="1" x14ac:dyDescent="0.55000000000000004">
      <c r="A4378" s="133" t="s">
        <v>2576</v>
      </c>
      <c r="B4378" s="133" t="s">
        <v>3257</v>
      </c>
      <c r="C4378" s="133" t="s">
        <v>156</v>
      </c>
      <c r="D4378" s="133" t="s">
        <v>3288</v>
      </c>
      <c r="E4378" s="138">
        <v>3.3999999999999998E-3</v>
      </c>
      <c r="F4378" s="153" t="s">
        <v>135</v>
      </c>
      <c r="G4378" s="154">
        <v>1</v>
      </c>
      <c r="H4378" s="133" t="s">
        <v>39</v>
      </c>
      <c r="I4378" s="134"/>
      <c r="J4378" s="133" t="s">
        <v>2575</v>
      </c>
      <c r="K4378" s="133" t="s">
        <v>831</v>
      </c>
      <c r="L4378" s="167"/>
      <c r="M4378" s="48"/>
      <c r="N4378" s="123"/>
    </row>
    <row r="4379" spans="1:14" customFormat="1" x14ac:dyDescent="0.55000000000000004">
      <c r="A4379" s="133" t="s">
        <v>2576</v>
      </c>
      <c r="B4379" s="133" t="s">
        <v>3258</v>
      </c>
      <c r="C4379" s="133" t="s">
        <v>156</v>
      </c>
      <c r="D4379" s="133" t="s">
        <v>3288</v>
      </c>
      <c r="E4379" s="138">
        <v>0.41339999999999999</v>
      </c>
      <c r="F4379" s="153" t="s">
        <v>135</v>
      </c>
      <c r="G4379" s="154">
        <v>1</v>
      </c>
      <c r="H4379" s="133" t="s">
        <v>39</v>
      </c>
      <c r="I4379" s="134"/>
      <c r="J4379" s="133" t="s">
        <v>2575</v>
      </c>
      <c r="K4379" s="133" t="s">
        <v>831</v>
      </c>
      <c r="L4379" s="167"/>
      <c r="M4379" s="48"/>
      <c r="N4379" s="123"/>
    </row>
    <row r="4380" spans="1:14" customFormat="1" x14ac:dyDescent="0.55000000000000004">
      <c r="A4380" s="133" t="s">
        <v>2576</v>
      </c>
      <c r="B4380" s="133" t="s">
        <v>3259</v>
      </c>
      <c r="C4380" s="133" t="s">
        <v>163</v>
      </c>
      <c r="D4380" s="133" t="s">
        <v>3288</v>
      </c>
      <c r="E4380" s="138">
        <v>0.54449999999999998</v>
      </c>
      <c r="F4380" s="153" t="s">
        <v>135</v>
      </c>
      <c r="G4380" s="154">
        <v>1</v>
      </c>
      <c r="H4380" s="133" t="s">
        <v>39</v>
      </c>
      <c r="I4380" s="134"/>
      <c r="J4380" s="133" t="s">
        <v>2575</v>
      </c>
      <c r="K4380" s="133" t="s">
        <v>831</v>
      </c>
      <c r="L4380" s="167"/>
      <c r="M4380" s="48"/>
      <c r="N4380" s="123"/>
    </row>
    <row r="4381" spans="1:14" customFormat="1" x14ac:dyDescent="0.55000000000000004">
      <c r="A4381" s="133" t="s">
        <v>2581</v>
      </c>
      <c r="B4381" s="133" t="s">
        <v>3260</v>
      </c>
      <c r="C4381" s="133" t="s">
        <v>121</v>
      </c>
      <c r="D4381" s="133" t="s">
        <v>2682</v>
      </c>
      <c r="E4381" s="138">
        <v>1</v>
      </c>
      <c r="F4381" s="153">
        <v>1</v>
      </c>
      <c r="G4381" s="154">
        <v>1</v>
      </c>
      <c r="H4381" s="133" t="s">
        <v>39</v>
      </c>
      <c r="I4381" s="134"/>
      <c r="J4381" s="133" t="s">
        <v>2580</v>
      </c>
      <c r="K4381" s="133" t="s">
        <v>831</v>
      </c>
      <c r="L4381" s="167"/>
      <c r="M4381" s="48"/>
      <c r="N4381" s="123"/>
    </row>
    <row r="4382" spans="1:14" customFormat="1" x14ac:dyDescent="0.55000000000000004">
      <c r="A4382" s="133" t="s">
        <v>2581</v>
      </c>
      <c r="B4382" s="133" t="s">
        <v>2884</v>
      </c>
      <c r="C4382" s="133" t="s">
        <v>348</v>
      </c>
      <c r="D4382" s="133" t="s">
        <v>3288</v>
      </c>
      <c r="E4382" s="138">
        <v>1</v>
      </c>
      <c r="F4382" s="153" t="s">
        <v>135</v>
      </c>
      <c r="G4382" s="154">
        <v>1</v>
      </c>
      <c r="H4382" s="133" t="s">
        <v>39</v>
      </c>
      <c r="I4382" s="134"/>
      <c r="J4382" s="133" t="s">
        <v>2580</v>
      </c>
      <c r="K4382" s="133" t="s">
        <v>831</v>
      </c>
      <c r="L4382" s="167"/>
      <c r="M4382" s="48"/>
      <c r="N4382" s="123"/>
    </row>
    <row r="4383" spans="1:14" customFormat="1" x14ac:dyDescent="0.55000000000000004">
      <c r="A4383" s="133" t="s">
        <v>2581</v>
      </c>
      <c r="B4383" s="133" t="s">
        <v>153</v>
      </c>
      <c r="C4383" s="133" t="s">
        <v>127</v>
      </c>
      <c r="D4383" s="133" t="s">
        <v>2994</v>
      </c>
      <c r="E4383" s="138">
        <v>7.8</v>
      </c>
      <c r="F4383" s="153" t="s">
        <v>130</v>
      </c>
      <c r="G4383" s="154">
        <v>1</v>
      </c>
      <c r="H4383" s="133" t="s">
        <v>39</v>
      </c>
      <c r="I4383" s="134"/>
      <c r="J4383" s="133" t="s">
        <v>2580</v>
      </c>
      <c r="K4383" s="133" t="s">
        <v>831</v>
      </c>
      <c r="L4383" s="167"/>
      <c r="M4383" s="48"/>
      <c r="N4383" s="123"/>
    </row>
    <row r="4384" spans="1:14" customFormat="1" x14ac:dyDescent="0.55000000000000004">
      <c r="A4384" s="133" t="s">
        <v>2581</v>
      </c>
      <c r="B4384" s="133" t="s">
        <v>508</v>
      </c>
      <c r="C4384" s="133" t="s">
        <v>127</v>
      </c>
      <c r="D4384" s="133" t="s">
        <v>3289</v>
      </c>
      <c r="E4384" s="138">
        <v>0.7</v>
      </c>
      <c r="F4384" s="153" t="s">
        <v>128</v>
      </c>
      <c r="G4384" s="154">
        <v>1</v>
      </c>
      <c r="H4384" s="133" t="s">
        <v>39</v>
      </c>
      <c r="I4384" s="134"/>
      <c r="J4384" s="133" t="s">
        <v>2580</v>
      </c>
      <c r="K4384" s="133" t="s">
        <v>831</v>
      </c>
      <c r="L4384" s="167"/>
      <c r="M4384" s="48"/>
      <c r="N4384" s="123"/>
    </row>
    <row r="4385" spans="1:14" customFormat="1" x14ac:dyDescent="0.55000000000000004">
      <c r="A4385" s="133" t="s">
        <v>2581</v>
      </c>
      <c r="B4385" s="133" t="s">
        <v>2909</v>
      </c>
      <c r="C4385" s="133" t="s">
        <v>348</v>
      </c>
      <c r="D4385" s="133" t="s">
        <v>3288</v>
      </c>
      <c r="E4385" s="138">
        <v>3.0000000000000001E-3</v>
      </c>
      <c r="F4385" s="153" t="s">
        <v>135</v>
      </c>
      <c r="G4385" s="154">
        <v>1</v>
      </c>
      <c r="H4385" s="133" t="s">
        <v>39</v>
      </c>
      <c r="I4385" s="134" t="s">
        <v>3261</v>
      </c>
      <c r="J4385" s="133" t="s">
        <v>2580</v>
      </c>
      <c r="K4385" s="133" t="s">
        <v>831</v>
      </c>
      <c r="L4385" s="167"/>
      <c r="M4385" s="48"/>
      <c r="N4385" s="123"/>
    </row>
    <row r="4386" spans="1:14" customFormat="1" x14ac:dyDescent="0.55000000000000004">
      <c r="A4386" s="133" t="s">
        <v>2581</v>
      </c>
      <c r="B4386" s="133" t="s">
        <v>3255</v>
      </c>
      <c r="C4386" s="133" t="s">
        <v>156</v>
      </c>
      <c r="D4386" s="133" t="s">
        <v>3288</v>
      </c>
      <c r="E4386" s="138">
        <v>9.7000000000000003E-2</v>
      </c>
      <c r="F4386" s="153" t="s">
        <v>135</v>
      </c>
      <c r="G4386" s="154">
        <v>1</v>
      </c>
      <c r="H4386" s="133" t="s">
        <v>39</v>
      </c>
      <c r="I4386" s="134"/>
      <c r="J4386" s="133" t="s">
        <v>2580</v>
      </c>
      <c r="K4386" s="133" t="s">
        <v>831</v>
      </c>
      <c r="L4386" s="167"/>
      <c r="M4386" s="48"/>
      <c r="N4386" s="123"/>
    </row>
    <row r="4387" spans="1:14" customFormat="1" x14ac:dyDescent="0.55000000000000004">
      <c r="A4387" s="133" t="s">
        <v>2581</v>
      </c>
      <c r="B4387" s="133" t="s">
        <v>3262</v>
      </c>
      <c r="C4387" s="133" t="s">
        <v>156</v>
      </c>
      <c r="D4387" s="133" t="s">
        <v>3288</v>
      </c>
      <c r="E4387" s="138">
        <v>1.54E-2</v>
      </c>
      <c r="F4387" s="153" t="s">
        <v>135</v>
      </c>
      <c r="G4387" s="154">
        <v>1</v>
      </c>
      <c r="H4387" s="133" t="s">
        <v>39</v>
      </c>
      <c r="I4387" s="134"/>
      <c r="J4387" s="133" t="s">
        <v>2580</v>
      </c>
      <c r="K4387" s="133" t="s">
        <v>831</v>
      </c>
      <c r="L4387" s="167"/>
      <c r="M4387" s="48"/>
      <c r="N4387" s="123"/>
    </row>
    <row r="4388" spans="1:14" customFormat="1" x14ac:dyDescent="0.55000000000000004">
      <c r="A4388" s="133" t="s">
        <v>2581</v>
      </c>
      <c r="B4388" s="133" t="s">
        <v>2843</v>
      </c>
      <c r="C4388" s="133" t="s">
        <v>156</v>
      </c>
      <c r="D4388" s="133" t="s">
        <v>3288</v>
      </c>
      <c r="E4388" s="138">
        <v>3.243E-2</v>
      </c>
      <c r="F4388" s="153" t="s">
        <v>135</v>
      </c>
      <c r="G4388" s="154">
        <v>1</v>
      </c>
      <c r="H4388" s="133" t="s">
        <v>39</v>
      </c>
      <c r="I4388" s="134"/>
      <c r="J4388" s="133" t="s">
        <v>2580</v>
      </c>
      <c r="K4388" s="133" t="s">
        <v>831</v>
      </c>
      <c r="L4388" s="167"/>
      <c r="M4388" s="48"/>
      <c r="N4388" s="123"/>
    </row>
    <row r="4389" spans="1:14" customFormat="1" x14ac:dyDescent="0.55000000000000004">
      <c r="A4389" s="133" t="s">
        <v>2581</v>
      </c>
      <c r="B4389" s="133" t="s">
        <v>3263</v>
      </c>
      <c r="C4389" s="133" t="s">
        <v>156</v>
      </c>
      <c r="D4389" s="133" t="s">
        <v>3288</v>
      </c>
      <c r="E4389" s="138">
        <v>1.0789999999999999E-2</v>
      </c>
      <c r="F4389" s="153" t="s">
        <v>135</v>
      </c>
      <c r="G4389" s="154">
        <v>1</v>
      </c>
      <c r="H4389" s="133" t="s">
        <v>39</v>
      </c>
      <c r="I4389" s="134"/>
      <c r="J4389" s="133" t="s">
        <v>2580</v>
      </c>
      <c r="K4389" s="133" t="s">
        <v>831</v>
      </c>
      <c r="L4389" s="167"/>
      <c r="M4389" s="48"/>
      <c r="N4389" s="123"/>
    </row>
    <row r="4390" spans="1:14" customFormat="1" x14ac:dyDescent="0.55000000000000004">
      <c r="A4390" s="133" t="s">
        <v>2581</v>
      </c>
      <c r="B4390" s="133" t="s">
        <v>3264</v>
      </c>
      <c r="C4390" s="133" t="s">
        <v>156</v>
      </c>
      <c r="D4390" s="133" t="s">
        <v>3288</v>
      </c>
      <c r="E4390" s="138">
        <v>8.9999999999999993E-3</v>
      </c>
      <c r="F4390" s="153" t="s">
        <v>135</v>
      </c>
      <c r="G4390" s="154">
        <v>1</v>
      </c>
      <c r="H4390" s="133" t="s">
        <v>39</v>
      </c>
      <c r="I4390" s="134"/>
      <c r="J4390" s="133" t="s">
        <v>2580</v>
      </c>
      <c r="K4390" s="133" t="s">
        <v>831</v>
      </c>
      <c r="L4390" s="167"/>
      <c r="M4390" s="48"/>
      <c r="N4390" s="123"/>
    </row>
    <row r="4391" spans="1:14" customFormat="1" x14ac:dyDescent="0.55000000000000004">
      <c r="A4391" s="133" t="s">
        <v>2581</v>
      </c>
      <c r="B4391" s="133" t="s">
        <v>3256</v>
      </c>
      <c r="C4391" s="133" t="s">
        <v>156</v>
      </c>
      <c r="D4391" s="133" t="s">
        <v>3288</v>
      </c>
      <c r="E4391" s="138">
        <v>1.1440000000000001E-2</v>
      </c>
      <c r="F4391" s="153" t="s">
        <v>135</v>
      </c>
      <c r="G4391" s="154">
        <v>1</v>
      </c>
      <c r="H4391" s="133" t="s">
        <v>39</v>
      </c>
      <c r="I4391" s="134"/>
      <c r="J4391" s="133" t="s">
        <v>2580</v>
      </c>
      <c r="K4391" s="133" t="s">
        <v>831</v>
      </c>
      <c r="L4391" s="167"/>
      <c r="M4391" s="48"/>
      <c r="N4391" s="123"/>
    </row>
    <row r="4392" spans="1:14" customFormat="1" x14ac:dyDescent="0.55000000000000004">
      <c r="A4392" s="133" t="s">
        <v>2581</v>
      </c>
      <c r="B4392" s="133" t="s">
        <v>3265</v>
      </c>
      <c r="C4392" s="133" t="s">
        <v>156</v>
      </c>
      <c r="D4392" s="133" t="s">
        <v>3288</v>
      </c>
      <c r="E4392" s="138">
        <v>7.92E-3</v>
      </c>
      <c r="F4392" s="153" t="s">
        <v>135</v>
      </c>
      <c r="G4392" s="154">
        <v>1</v>
      </c>
      <c r="H4392" s="133" t="s">
        <v>39</v>
      </c>
      <c r="I4392" s="134"/>
      <c r="J4392" s="133" t="s">
        <v>2580</v>
      </c>
      <c r="K4392" s="133" t="s">
        <v>831</v>
      </c>
      <c r="L4392" s="167"/>
      <c r="M4392" s="48"/>
      <c r="N4392" s="123"/>
    </row>
    <row r="4393" spans="1:14" customFormat="1" x14ac:dyDescent="0.55000000000000004">
      <c r="A4393" s="133" t="s">
        <v>2581</v>
      </c>
      <c r="B4393" s="133" t="s">
        <v>2626</v>
      </c>
      <c r="C4393" s="133" t="s">
        <v>163</v>
      </c>
      <c r="D4393" s="133" t="s">
        <v>3288</v>
      </c>
      <c r="E4393" s="138">
        <v>0.76</v>
      </c>
      <c r="F4393" s="153" t="s">
        <v>135</v>
      </c>
      <c r="G4393" s="154">
        <v>1</v>
      </c>
      <c r="H4393" s="133" t="s">
        <v>39</v>
      </c>
      <c r="I4393" s="134"/>
      <c r="J4393" s="133" t="s">
        <v>2580</v>
      </c>
      <c r="K4393" s="133" t="s">
        <v>831</v>
      </c>
      <c r="L4393" s="167"/>
      <c r="M4393" s="48"/>
      <c r="N4393" s="123"/>
    </row>
    <row r="4394" spans="1:14" customFormat="1" x14ac:dyDescent="0.55000000000000004">
      <c r="A4394" s="133" t="s">
        <v>2584</v>
      </c>
      <c r="B4394" s="133" t="s">
        <v>3266</v>
      </c>
      <c r="C4394" s="133" t="s">
        <v>121</v>
      </c>
      <c r="D4394" s="133" t="s">
        <v>2682</v>
      </c>
      <c r="E4394" s="138">
        <v>1</v>
      </c>
      <c r="F4394" s="153">
        <v>1</v>
      </c>
      <c r="G4394" s="153">
        <v>1</v>
      </c>
      <c r="H4394" s="133" t="s">
        <v>39</v>
      </c>
      <c r="I4394" s="133"/>
      <c r="J4394" s="133" t="s">
        <v>2583</v>
      </c>
      <c r="K4394" s="133" t="s">
        <v>831</v>
      </c>
      <c r="L4394" s="167"/>
      <c r="M4394" s="48"/>
      <c r="N4394" s="123"/>
    </row>
    <row r="4395" spans="1:14" customFormat="1" x14ac:dyDescent="0.55000000000000004">
      <c r="A4395" s="133" t="s">
        <v>2584</v>
      </c>
      <c r="B4395" s="133" t="s">
        <v>3267</v>
      </c>
      <c r="C4395" s="133" t="s">
        <v>348</v>
      </c>
      <c r="D4395" s="133" t="s">
        <v>3288</v>
      </c>
      <c r="E4395" s="138">
        <v>1</v>
      </c>
      <c r="F4395" s="153" t="s">
        <v>135</v>
      </c>
      <c r="G4395" s="153">
        <v>1</v>
      </c>
      <c r="H4395" s="133" t="s">
        <v>39</v>
      </c>
      <c r="I4395" s="133"/>
      <c r="J4395" s="133" t="s">
        <v>2583</v>
      </c>
      <c r="K4395" s="133" t="s">
        <v>831</v>
      </c>
      <c r="L4395" s="167"/>
      <c r="M4395" s="48"/>
      <c r="N4395" s="123"/>
    </row>
    <row r="4396" spans="1:14" customFormat="1" x14ac:dyDescent="0.55000000000000004">
      <c r="A4396" s="133" t="s">
        <v>2584</v>
      </c>
      <c r="B4396" s="133" t="s">
        <v>508</v>
      </c>
      <c r="C4396" s="133" t="s">
        <v>127</v>
      </c>
      <c r="D4396" s="133" t="s">
        <v>2994</v>
      </c>
      <c r="E4396" s="138">
        <v>51.9</v>
      </c>
      <c r="F4396" s="153" t="s">
        <v>167</v>
      </c>
      <c r="G4396" s="153">
        <v>1</v>
      </c>
      <c r="H4396" s="133" t="s">
        <v>39</v>
      </c>
      <c r="I4396" s="133"/>
      <c r="J4396" s="133" t="s">
        <v>2583</v>
      </c>
      <c r="K4396" s="133" t="s">
        <v>831</v>
      </c>
      <c r="L4396" s="167"/>
      <c r="M4396" s="48"/>
      <c r="N4396" s="123"/>
    </row>
    <row r="4397" spans="1:14" customFormat="1" x14ac:dyDescent="0.55000000000000004">
      <c r="A4397" s="133" t="s">
        <v>2584</v>
      </c>
      <c r="B4397" s="133" t="s">
        <v>153</v>
      </c>
      <c r="C4397" s="133" t="s">
        <v>127</v>
      </c>
      <c r="D4397" s="133" t="s">
        <v>2994</v>
      </c>
      <c r="E4397" s="138">
        <v>30</v>
      </c>
      <c r="F4397" s="153" t="s">
        <v>130</v>
      </c>
      <c r="G4397" s="153">
        <v>1</v>
      </c>
      <c r="H4397" s="133" t="s">
        <v>39</v>
      </c>
      <c r="I4397" s="133"/>
      <c r="J4397" s="133" t="s">
        <v>2583</v>
      </c>
      <c r="K4397" s="133" t="s">
        <v>831</v>
      </c>
      <c r="L4397" s="167"/>
      <c r="M4397" s="48"/>
      <c r="N4397" s="123"/>
    </row>
    <row r="4398" spans="1:14" customFormat="1" x14ac:dyDescent="0.55000000000000004">
      <c r="A4398" s="133" t="s">
        <v>2584</v>
      </c>
      <c r="B4398" s="133" t="s">
        <v>2827</v>
      </c>
      <c r="C4398" s="133" t="s">
        <v>156</v>
      </c>
      <c r="D4398" s="133" t="s">
        <v>3288</v>
      </c>
      <c r="E4398" s="138">
        <v>0.32</v>
      </c>
      <c r="F4398" s="153" t="s">
        <v>135</v>
      </c>
      <c r="G4398" s="153">
        <v>1</v>
      </c>
      <c r="H4398" s="133" t="s">
        <v>39</v>
      </c>
      <c r="I4398" s="133"/>
      <c r="J4398" s="133" t="s">
        <v>2583</v>
      </c>
      <c r="K4398" s="133" t="s">
        <v>831</v>
      </c>
      <c r="L4398" s="167"/>
      <c r="M4398" s="48"/>
      <c r="N4398" s="123"/>
    </row>
    <row r="4399" spans="1:14" customFormat="1" x14ac:dyDescent="0.55000000000000004">
      <c r="A4399" s="133" t="s">
        <v>2584</v>
      </c>
      <c r="B4399" s="133" t="s">
        <v>3268</v>
      </c>
      <c r="C4399" s="133" t="s">
        <v>156</v>
      </c>
      <c r="D4399" s="133" t="s">
        <v>3288</v>
      </c>
      <c r="E4399" s="138">
        <v>0.32</v>
      </c>
      <c r="F4399" s="153" t="s">
        <v>135</v>
      </c>
      <c r="G4399" s="153">
        <v>1</v>
      </c>
      <c r="H4399" s="133" t="s">
        <v>39</v>
      </c>
      <c r="I4399" s="133"/>
      <c r="J4399" s="133" t="s">
        <v>2583</v>
      </c>
      <c r="K4399" s="133" t="s">
        <v>831</v>
      </c>
      <c r="L4399" s="167"/>
      <c r="M4399" s="48"/>
      <c r="N4399" s="123"/>
    </row>
    <row r="4400" spans="1:14" customFormat="1" x14ac:dyDescent="0.55000000000000004">
      <c r="A4400" s="133" t="s">
        <v>2584</v>
      </c>
      <c r="B4400" s="133" t="s">
        <v>2781</v>
      </c>
      <c r="C4400" s="133" t="s">
        <v>156</v>
      </c>
      <c r="D4400" s="133" t="s">
        <v>3288</v>
      </c>
      <c r="E4400" s="138">
        <v>0.32666666666666666</v>
      </c>
      <c r="F4400" s="153" t="s">
        <v>135</v>
      </c>
      <c r="G4400" s="153">
        <v>1</v>
      </c>
      <c r="H4400" s="133" t="s">
        <v>39</v>
      </c>
      <c r="I4400" s="133"/>
      <c r="J4400" s="133" t="s">
        <v>2583</v>
      </c>
      <c r="K4400" s="133" t="s">
        <v>831</v>
      </c>
      <c r="L4400" s="167"/>
      <c r="M4400" s="48"/>
      <c r="N4400" s="123"/>
    </row>
    <row r="4401" spans="1:14" customFormat="1" x14ac:dyDescent="0.55000000000000004">
      <c r="A4401" s="133" t="s">
        <v>2584</v>
      </c>
      <c r="B4401" s="133" t="s">
        <v>2626</v>
      </c>
      <c r="C4401" s="133" t="s">
        <v>163</v>
      </c>
      <c r="D4401" s="133" t="s">
        <v>3288</v>
      </c>
      <c r="E4401" s="138">
        <v>3.3333333333333333E-2</v>
      </c>
      <c r="F4401" s="154" t="s">
        <v>135</v>
      </c>
      <c r="G4401" s="153">
        <v>1</v>
      </c>
      <c r="H4401" s="133" t="s">
        <v>39</v>
      </c>
      <c r="I4401" s="133"/>
      <c r="J4401" s="133" t="s">
        <v>2583</v>
      </c>
      <c r="K4401" s="133" t="s">
        <v>831</v>
      </c>
      <c r="L4401" s="167"/>
      <c r="M4401" s="48"/>
      <c r="N4401" s="123"/>
    </row>
  </sheetData>
  <phoneticPr fontId="17" type="noConversion"/>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2507"/>
  <sheetViews>
    <sheetView zoomScale="70" zoomScaleNormal="70" workbookViewId="0">
      <pane xSplit="1" ySplit="2" topLeftCell="B2480" activePane="bottomRight" state="frozen"/>
      <selection pane="topRight" activeCell="B1" sqref="B1"/>
      <selection pane="bottomLeft" activeCell="A4" sqref="A4"/>
      <selection pane="bottomRight" activeCell="A2507" sqref="A2507"/>
    </sheetView>
  </sheetViews>
  <sheetFormatPr baseColWidth="10" defaultColWidth="10.68359375" defaultRowHeight="14.4" x14ac:dyDescent="0.55000000000000004"/>
  <cols>
    <col min="1" max="1" width="25.68359375" bestFit="1" customWidth="1"/>
    <col min="2" max="2" width="26.3125" customWidth="1"/>
    <col min="3" max="3" width="26.47265625" customWidth="1"/>
    <col min="4" max="4" width="12.3125" customWidth="1"/>
    <col min="6" max="6" width="65.68359375" customWidth="1"/>
  </cols>
  <sheetData>
    <row r="2" spans="1:12" ht="56.05" customHeight="1" x14ac:dyDescent="0.55000000000000004">
      <c r="A2" s="55" t="s">
        <v>1252</v>
      </c>
      <c r="B2" s="56" t="s">
        <v>1253</v>
      </c>
      <c r="C2" s="58" t="s">
        <v>1254</v>
      </c>
      <c r="D2" s="57" t="s">
        <v>1255</v>
      </c>
      <c r="E2" s="57" t="s">
        <v>1256</v>
      </c>
      <c r="F2" s="57" t="s">
        <v>1257</v>
      </c>
      <c r="G2" s="56" t="s">
        <v>1258</v>
      </c>
    </row>
    <row r="3" spans="1:12" x14ac:dyDescent="0.55000000000000004">
      <c r="A3" s="62" t="s">
        <v>1031</v>
      </c>
      <c r="B3" s="62" t="s">
        <v>1263</v>
      </c>
      <c r="C3" s="61" t="s">
        <v>1264</v>
      </c>
      <c r="D3" s="63">
        <v>45092</v>
      </c>
      <c r="E3" s="61" t="s">
        <v>1265</v>
      </c>
      <c r="F3" s="61" t="s">
        <v>1266</v>
      </c>
      <c r="G3" s="61" t="s">
        <v>1267</v>
      </c>
    </row>
    <row r="4" spans="1:12" x14ac:dyDescent="0.55000000000000004">
      <c r="A4" s="61"/>
      <c r="B4" s="61"/>
      <c r="C4" s="61"/>
      <c r="D4" s="61"/>
      <c r="E4" s="61"/>
      <c r="F4" s="66" t="s">
        <v>1260</v>
      </c>
      <c r="G4" s="61"/>
      <c r="L4" t="str" cm="1">
        <f t="array" ref="L4">IFERROR(VLOOKUP(A10,Data_old!$A:$J,Data_old!$A:$A,FALSE),"")</f>
        <v/>
      </c>
    </row>
    <row r="5" spans="1:12" x14ac:dyDescent="0.55000000000000004">
      <c r="A5" s="61"/>
      <c r="B5" s="61"/>
      <c r="C5" s="61"/>
      <c r="D5" s="61"/>
      <c r="E5" s="61"/>
      <c r="F5" s="61" t="s">
        <v>136</v>
      </c>
      <c r="G5" s="61"/>
      <c r="L5" t="str" cm="1">
        <f t="array" ref="L5">IFERROR(VLOOKUP(A11,Data_old!$A:$J,Data_old!$A:$A,FALSE),"")</f>
        <v/>
      </c>
    </row>
    <row r="6" spans="1:12" x14ac:dyDescent="0.55000000000000004">
      <c r="A6" s="61"/>
      <c r="B6" s="61"/>
      <c r="C6" s="61"/>
      <c r="D6" s="61"/>
      <c r="E6" s="61"/>
      <c r="F6" s="66" t="s">
        <v>1262</v>
      </c>
      <c r="G6" s="61"/>
      <c r="L6" t="str" cm="1">
        <f t="array" ref="L6">IFERROR(VLOOKUP(A12,Data_old!$A:$J,Data_old!$A:$A,FALSE),"")</f>
        <v/>
      </c>
    </row>
    <row r="7" spans="1:12" x14ac:dyDescent="0.55000000000000004">
      <c r="A7" s="61"/>
      <c r="B7" s="61"/>
      <c r="C7" s="61"/>
      <c r="D7" s="61"/>
      <c r="E7" s="61"/>
      <c r="F7" s="61" t="s">
        <v>136</v>
      </c>
      <c r="G7" s="61"/>
      <c r="L7" t="str" cm="1">
        <f t="array" ref="L7">IFERROR(VLOOKUP(A13,Data_old!$A:$J,Data_old!$A:$A,FALSE),"")</f>
        <v/>
      </c>
    </row>
    <row r="8" spans="1:12" x14ac:dyDescent="0.55000000000000004">
      <c r="A8" s="61"/>
      <c r="B8" s="61"/>
      <c r="C8" s="61"/>
      <c r="D8" s="61"/>
      <c r="E8" s="61"/>
      <c r="F8" s="61"/>
      <c r="G8" s="61"/>
      <c r="L8" t="str" cm="1">
        <f t="array" ref="L8">IFERROR(VLOOKUP(A14,Data_old!$A:$J,Data_old!$A:$A,FALSE),"")</f>
        <v/>
      </c>
    </row>
    <row r="9" spans="1:12" x14ac:dyDescent="0.55000000000000004">
      <c r="A9" s="62" t="s">
        <v>1055</v>
      </c>
      <c r="B9" s="62" t="s">
        <v>1268</v>
      </c>
      <c r="C9" s="61" t="s">
        <v>1264</v>
      </c>
      <c r="D9" s="63">
        <v>45092</v>
      </c>
      <c r="E9" s="61" t="s">
        <v>1265</v>
      </c>
      <c r="F9" s="61" t="s">
        <v>1266</v>
      </c>
      <c r="G9" s="61" t="s">
        <v>1267</v>
      </c>
      <c r="L9" t="str" cm="1">
        <f t="array" ref="L9">IFERROR(VLOOKUP(A15,Data_old!$A:$J,Data_old!$A:$A,FALSE),"")</f>
        <v/>
      </c>
    </row>
    <row r="10" spans="1:12" x14ac:dyDescent="0.55000000000000004">
      <c r="A10" s="61"/>
      <c r="B10" s="61"/>
      <c r="C10" s="61"/>
      <c r="D10" s="61"/>
      <c r="E10" s="61"/>
      <c r="F10" s="66" t="s">
        <v>1260</v>
      </c>
      <c r="G10" s="61"/>
      <c r="L10" t="str" cm="1">
        <f t="array" ref="L10">IFERROR(VLOOKUP(A16,Data_old!$A:$J,Data_old!$A:$A,FALSE),"")</f>
        <v/>
      </c>
    </row>
    <row r="11" spans="1:12" x14ac:dyDescent="0.55000000000000004">
      <c r="A11" s="61"/>
      <c r="B11" s="61"/>
      <c r="C11" s="61"/>
      <c r="D11" s="61"/>
      <c r="E11" s="61"/>
      <c r="F11" s="61" t="s">
        <v>136</v>
      </c>
      <c r="G11" s="61"/>
      <c r="L11" t="str" cm="1">
        <f t="array" ref="L11">IFERROR(VLOOKUP(A17,Data_old!$A:$J,Data_old!$A:$A,FALSE),"")</f>
        <v/>
      </c>
    </row>
    <row r="12" spans="1:12" x14ac:dyDescent="0.55000000000000004">
      <c r="A12" s="61"/>
      <c r="B12" s="61"/>
      <c r="C12" s="61"/>
      <c r="D12" s="61"/>
      <c r="E12" s="61"/>
      <c r="F12" s="66" t="s">
        <v>1262</v>
      </c>
      <c r="G12" s="61"/>
      <c r="L12" t="str" cm="1">
        <f t="array" ref="L12">IFERROR(VLOOKUP(A18,Data_old!$A:$J,Data_old!$A:$A,FALSE),"")</f>
        <v/>
      </c>
    </row>
    <row r="13" spans="1:12" x14ac:dyDescent="0.55000000000000004">
      <c r="A13" s="61"/>
      <c r="B13" s="61"/>
      <c r="C13" s="61"/>
      <c r="D13" s="61"/>
      <c r="E13" s="61"/>
      <c r="F13" s="61" t="s">
        <v>136</v>
      </c>
      <c r="G13" s="61"/>
      <c r="L13" t="str" cm="1">
        <f t="array" ref="L13">IFERROR(VLOOKUP(A19,Data_old!$A:$J,Data_old!$A:$A,FALSE),"")</f>
        <v/>
      </c>
    </row>
    <row r="14" spans="1:12" x14ac:dyDescent="0.55000000000000004">
      <c r="A14" s="61"/>
      <c r="B14" s="61"/>
      <c r="C14" s="61"/>
      <c r="D14" s="61"/>
      <c r="E14" s="61"/>
      <c r="F14" s="61"/>
      <c r="G14" s="61"/>
      <c r="L14" t="str" cm="1">
        <f t="array" ref="L14">IFERROR(VLOOKUP(A20,Data_old!$A:$J,Data_old!$A:$A,FALSE),"")</f>
        <v/>
      </c>
    </row>
    <row r="15" spans="1:12" x14ac:dyDescent="0.55000000000000004">
      <c r="A15" s="62" t="s">
        <v>1053</v>
      </c>
      <c r="B15" s="62" t="s">
        <v>1269</v>
      </c>
      <c r="C15" s="61" t="s">
        <v>1264</v>
      </c>
      <c r="D15" s="63">
        <v>45092</v>
      </c>
      <c r="E15" s="61" t="s">
        <v>1265</v>
      </c>
      <c r="F15" s="61" t="s">
        <v>1266</v>
      </c>
      <c r="G15" s="61" t="s">
        <v>1267</v>
      </c>
      <c r="L15" t="str" cm="1">
        <f t="array" ref="L15">IFERROR(VLOOKUP(A21,Data_old!$A:$J,Data_old!$A:$A,FALSE),"")</f>
        <v/>
      </c>
    </row>
    <row r="16" spans="1:12" x14ac:dyDescent="0.55000000000000004">
      <c r="A16" s="61"/>
      <c r="B16" s="61"/>
      <c r="C16" s="61"/>
      <c r="D16" s="61"/>
      <c r="E16" s="61"/>
      <c r="F16" s="66" t="s">
        <v>1260</v>
      </c>
      <c r="G16" s="61"/>
      <c r="L16" t="str" cm="1">
        <f t="array" ref="L16">IFERROR(VLOOKUP(A22,Data_old!$A:$J,Data_old!$A:$A,FALSE),"")</f>
        <v/>
      </c>
    </row>
    <row r="17" spans="1:12" x14ac:dyDescent="0.55000000000000004">
      <c r="A17" s="61"/>
      <c r="B17" s="61"/>
      <c r="C17" s="61"/>
      <c r="D17" s="61"/>
      <c r="E17" s="61"/>
      <c r="F17" s="61" t="s">
        <v>136</v>
      </c>
      <c r="G17" s="61"/>
      <c r="L17" t="str" cm="1">
        <f t="array" ref="L17">IFERROR(VLOOKUP(A23,Data_old!$A:$J,Data_old!$A:$A,FALSE),"")</f>
        <v/>
      </c>
    </row>
    <row r="18" spans="1:12" x14ac:dyDescent="0.55000000000000004">
      <c r="A18" s="61"/>
      <c r="B18" s="61"/>
      <c r="C18" s="61"/>
      <c r="D18" s="61"/>
      <c r="E18" s="61"/>
      <c r="F18" s="66" t="s">
        <v>1262</v>
      </c>
      <c r="G18" s="61"/>
      <c r="L18" t="str" cm="1">
        <f t="array" ref="L18">IFERROR(VLOOKUP(A24,Data_old!$A:$J,Data_old!$A:$A,FALSE),"")</f>
        <v/>
      </c>
    </row>
    <row r="19" spans="1:12" x14ac:dyDescent="0.55000000000000004">
      <c r="A19" s="61"/>
      <c r="B19" s="61"/>
      <c r="C19" s="61"/>
      <c r="D19" s="61"/>
      <c r="E19" s="61"/>
      <c r="F19" s="61" t="s">
        <v>136</v>
      </c>
      <c r="G19" s="61"/>
      <c r="L19" t="str" cm="1">
        <f t="array" ref="L19">IFERROR(VLOOKUP(A25,Data_old!$A:$J,Data_old!$A:$A,FALSE),"")</f>
        <v/>
      </c>
    </row>
    <row r="20" spans="1:12" x14ac:dyDescent="0.55000000000000004">
      <c r="A20" s="61"/>
      <c r="B20" s="61"/>
      <c r="C20" s="61"/>
      <c r="D20" s="61"/>
      <c r="E20" s="61"/>
      <c r="F20" s="61"/>
      <c r="G20" s="61"/>
      <c r="L20" t="str" cm="1">
        <f t="array" ref="L20">IFERROR(VLOOKUP(A26,Data_old!$A:$J,Data_old!$A:$A,FALSE),"")</f>
        <v/>
      </c>
    </row>
    <row r="21" spans="1:12" x14ac:dyDescent="0.55000000000000004">
      <c r="A21" s="62" t="s">
        <v>1051</v>
      </c>
      <c r="B21" s="62" t="s">
        <v>1270</v>
      </c>
      <c r="C21" s="61" t="s">
        <v>1264</v>
      </c>
      <c r="D21" s="63">
        <v>45092</v>
      </c>
      <c r="E21" s="61" t="s">
        <v>1265</v>
      </c>
      <c r="F21" s="61" t="s">
        <v>1266</v>
      </c>
      <c r="G21" s="61" t="s">
        <v>1267</v>
      </c>
    </row>
    <row r="22" spans="1:12" x14ac:dyDescent="0.55000000000000004">
      <c r="A22" s="61"/>
      <c r="B22" s="61"/>
      <c r="C22" s="61"/>
      <c r="D22" s="61"/>
      <c r="E22" s="61"/>
      <c r="F22" s="66" t="s">
        <v>1260</v>
      </c>
      <c r="G22" s="61"/>
    </row>
    <row r="23" spans="1:12" x14ac:dyDescent="0.55000000000000004">
      <c r="A23" s="61"/>
      <c r="B23" s="61"/>
      <c r="C23" s="61"/>
      <c r="D23" s="61"/>
      <c r="E23" s="61"/>
      <c r="F23" s="61" t="s">
        <v>136</v>
      </c>
      <c r="G23" s="61"/>
    </row>
    <row r="24" spans="1:12" x14ac:dyDescent="0.55000000000000004">
      <c r="A24" s="61"/>
      <c r="B24" s="61"/>
      <c r="C24" s="61"/>
      <c r="D24" s="61"/>
      <c r="E24" s="61"/>
      <c r="F24" s="66" t="s">
        <v>1262</v>
      </c>
      <c r="G24" s="61"/>
    </row>
    <row r="25" spans="1:12" x14ac:dyDescent="0.55000000000000004">
      <c r="A25" s="61"/>
      <c r="B25" s="61"/>
      <c r="C25" s="61"/>
      <c r="D25" s="61"/>
      <c r="E25" s="61"/>
      <c r="F25" s="61" t="s">
        <v>136</v>
      </c>
      <c r="G25" s="61"/>
    </row>
    <row r="26" spans="1:12" x14ac:dyDescent="0.55000000000000004">
      <c r="A26" s="61"/>
      <c r="B26" s="61"/>
      <c r="C26" s="61"/>
      <c r="D26" s="61"/>
      <c r="E26" s="61"/>
      <c r="F26" s="61"/>
      <c r="G26" s="61"/>
    </row>
    <row r="27" spans="1:12" x14ac:dyDescent="0.55000000000000004">
      <c r="A27" s="60" t="s">
        <v>1071</v>
      </c>
      <c r="B27" s="60" t="s">
        <v>1271</v>
      </c>
      <c r="C27" s="61" t="s">
        <v>1272</v>
      </c>
      <c r="D27" s="63">
        <v>45092</v>
      </c>
      <c r="E27" s="61" t="s">
        <v>1265</v>
      </c>
      <c r="F27" s="61" t="s">
        <v>1266</v>
      </c>
      <c r="G27" s="61" t="s">
        <v>1267</v>
      </c>
    </row>
    <row r="28" spans="1:12" x14ac:dyDescent="0.55000000000000004">
      <c r="A28" s="61"/>
      <c r="B28" s="61"/>
      <c r="C28" s="61"/>
      <c r="D28" s="61"/>
      <c r="E28" s="61"/>
      <c r="F28" s="66" t="s">
        <v>1260</v>
      </c>
      <c r="G28" s="61"/>
    </row>
    <row r="29" spans="1:12" x14ac:dyDescent="0.55000000000000004">
      <c r="A29" s="61"/>
      <c r="B29" s="61"/>
      <c r="C29" s="61"/>
      <c r="D29" s="61"/>
      <c r="E29" s="61"/>
      <c r="F29" s="61" t="s">
        <v>136</v>
      </c>
      <c r="G29" s="61"/>
    </row>
    <row r="30" spans="1:12" x14ac:dyDescent="0.55000000000000004">
      <c r="A30" s="61"/>
      <c r="B30" s="61"/>
      <c r="C30" s="61"/>
      <c r="D30" s="61"/>
      <c r="E30" s="61"/>
      <c r="F30" s="66" t="s">
        <v>1262</v>
      </c>
      <c r="G30" s="61"/>
    </row>
    <row r="31" spans="1:12" x14ac:dyDescent="0.55000000000000004">
      <c r="A31" s="61"/>
      <c r="B31" s="61"/>
      <c r="C31" s="61"/>
      <c r="D31" s="61"/>
      <c r="E31" s="61"/>
      <c r="F31" s="61" t="s">
        <v>136</v>
      </c>
      <c r="G31" s="61"/>
    </row>
    <row r="32" spans="1:12" x14ac:dyDescent="0.55000000000000004">
      <c r="A32" s="61"/>
      <c r="B32" s="61"/>
      <c r="C32" s="61"/>
      <c r="D32" s="61"/>
      <c r="E32" s="61"/>
      <c r="F32" s="61"/>
      <c r="G32" s="61"/>
    </row>
    <row r="33" spans="1:7" x14ac:dyDescent="0.55000000000000004">
      <c r="A33" s="60" t="s">
        <v>1059</v>
      </c>
      <c r="B33" s="60" t="s">
        <v>1273</v>
      </c>
      <c r="C33" s="61" t="s">
        <v>1272</v>
      </c>
      <c r="D33" s="63">
        <v>45092</v>
      </c>
      <c r="E33" s="61" t="s">
        <v>1265</v>
      </c>
      <c r="F33" s="61" t="s">
        <v>1266</v>
      </c>
      <c r="G33" s="61" t="s">
        <v>1267</v>
      </c>
    </row>
    <row r="34" spans="1:7" x14ac:dyDescent="0.55000000000000004">
      <c r="A34" s="61"/>
      <c r="B34" s="61"/>
      <c r="C34" s="61"/>
      <c r="D34" s="61"/>
      <c r="E34" s="61"/>
      <c r="F34" s="66" t="s">
        <v>1260</v>
      </c>
      <c r="G34" s="61"/>
    </row>
    <row r="35" spans="1:7" x14ac:dyDescent="0.55000000000000004">
      <c r="A35" s="61"/>
      <c r="B35" s="61"/>
      <c r="C35" s="61"/>
      <c r="D35" s="61"/>
      <c r="E35" s="61"/>
      <c r="F35" s="61" t="s">
        <v>136</v>
      </c>
      <c r="G35" s="61"/>
    </row>
    <row r="36" spans="1:7" x14ac:dyDescent="0.55000000000000004">
      <c r="A36" s="61"/>
      <c r="B36" s="61"/>
      <c r="C36" s="61"/>
      <c r="D36" s="61"/>
      <c r="E36" s="61"/>
      <c r="F36" s="66" t="s">
        <v>1262</v>
      </c>
      <c r="G36" s="61"/>
    </row>
    <row r="37" spans="1:7" x14ac:dyDescent="0.55000000000000004">
      <c r="A37" s="61"/>
      <c r="B37" s="61"/>
      <c r="C37" s="61"/>
      <c r="D37" s="61"/>
      <c r="E37" s="61"/>
      <c r="F37" s="61" t="s">
        <v>136</v>
      </c>
      <c r="G37" s="61"/>
    </row>
    <row r="38" spans="1:7" x14ac:dyDescent="0.55000000000000004">
      <c r="A38" s="61"/>
      <c r="B38" s="61"/>
      <c r="C38" s="61"/>
      <c r="D38" s="61"/>
      <c r="E38" s="61"/>
      <c r="F38" s="61"/>
      <c r="G38" s="61"/>
    </row>
    <row r="39" spans="1:7" x14ac:dyDescent="0.55000000000000004">
      <c r="A39" s="60" t="s">
        <v>1029</v>
      </c>
      <c r="B39" s="60" t="s">
        <v>1274</v>
      </c>
      <c r="C39" s="61" t="s">
        <v>1272</v>
      </c>
      <c r="D39" s="63">
        <v>45092</v>
      </c>
      <c r="E39" s="61" t="s">
        <v>1265</v>
      </c>
      <c r="F39" s="61" t="s">
        <v>1266</v>
      </c>
      <c r="G39" s="61" t="s">
        <v>1267</v>
      </c>
    </row>
    <row r="40" spans="1:7" x14ac:dyDescent="0.55000000000000004">
      <c r="A40" s="61"/>
      <c r="B40" s="61"/>
      <c r="C40" s="61"/>
      <c r="D40" s="61"/>
      <c r="E40" s="61"/>
      <c r="F40" s="66" t="s">
        <v>1260</v>
      </c>
      <c r="G40" s="61"/>
    </row>
    <row r="41" spans="1:7" x14ac:dyDescent="0.55000000000000004">
      <c r="A41" s="61"/>
      <c r="B41" s="61"/>
      <c r="C41" s="61"/>
      <c r="D41" s="61"/>
      <c r="E41" s="61"/>
      <c r="F41" s="61" t="s">
        <v>136</v>
      </c>
      <c r="G41" s="61"/>
    </row>
    <row r="42" spans="1:7" x14ac:dyDescent="0.55000000000000004">
      <c r="A42" s="61"/>
      <c r="B42" s="61"/>
      <c r="C42" s="61"/>
      <c r="D42" s="61"/>
      <c r="E42" s="61"/>
      <c r="F42" s="66" t="s">
        <v>1262</v>
      </c>
      <c r="G42" s="61"/>
    </row>
    <row r="43" spans="1:7" x14ac:dyDescent="0.55000000000000004">
      <c r="A43" s="61"/>
      <c r="B43" s="61"/>
      <c r="C43" s="61"/>
      <c r="D43" s="61"/>
      <c r="E43" s="61"/>
      <c r="F43" s="61" t="s">
        <v>136</v>
      </c>
      <c r="G43" s="61"/>
    </row>
    <row r="44" spans="1:7" x14ac:dyDescent="0.55000000000000004">
      <c r="A44" s="61"/>
      <c r="B44" s="61"/>
      <c r="C44" s="61"/>
      <c r="D44" s="61"/>
      <c r="E44" s="61"/>
      <c r="F44" s="61"/>
      <c r="G44" s="61"/>
    </row>
    <row r="45" spans="1:7" x14ac:dyDescent="0.55000000000000004">
      <c r="A45" s="60" t="s">
        <v>1044</v>
      </c>
      <c r="B45" s="60" t="s">
        <v>1275</v>
      </c>
      <c r="C45" s="61" t="s">
        <v>1272</v>
      </c>
      <c r="D45" s="63">
        <v>45092</v>
      </c>
      <c r="E45" s="61" t="s">
        <v>1265</v>
      </c>
      <c r="F45" s="61" t="s">
        <v>1266</v>
      </c>
      <c r="G45" s="61" t="s">
        <v>1267</v>
      </c>
    </row>
    <row r="46" spans="1:7" x14ac:dyDescent="0.55000000000000004">
      <c r="A46" s="61"/>
      <c r="B46" s="61"/>
      <c r="C46" s="61"/>
      <c r="D46" s="61"/>
      <c r="E46" s="61"/>
      <c r="F46" s="66" t="s">
        <v>1260</v>
      </c>
      <c r="G46" s="61"/>
    </row>
    <row r="47" spans="1:7" x14ac:dyDescent="0.55000000000000004">
      <c r="A47" s="61"/>
      <c r="B47" s="61"/>
      <c r="C47" s="61"/>
      <c r="D47" s="61"/>
      <c r="E47" s="61"/>
      <c r="F47" s="61" t="s">
        <v>136</v>
      </c>
      <c r="G47" s="61"/>
    </row>
    <row r="48" spans="1:7" x14ac:dyDescent="0.55000000000000004">
      <c r="A48" s="61"/>
      <c r="B48" s="61"/>
      <c r="C48" s="61"/>
      <c r="D48" s="61"/>
      <c r="E48" s="61"/>
      <c r="F48" s="66" t="s">
        <v>1262</v>
      </c>
      <c r="G48" s="61"/>
    </row>
    <row r="49" spans="1:7" x14ac:dyDescent="0.55000000000000004">
      <c r="A49" s="61"/>
      <c r="B49" s="61"/>
      <c r="C49" s="61"/>
      <c r="D49" s="61"/>
      <c r="E49" s="61"/>
      <c r="F49" s="61" t="s">
        <v>136</v>
      </c>
      <c r="G49" s="61"/>
    </row>
    <row r="50" spans="1:7" x14ac:dyDescent="0.55000000000000004">
      <c r="A50" s="61"/>
      <c r="B50" s="61"/>
      <c r="C50" s="61"/>
      <c r="D50" s="61"/>
      <c r="E50" s="61"/>
      <c r="F50" s="61"/>
      <c r="G50" s="61"/>
    </row>
    <row r="51" spans="1:7" x14ac:dyDescent="0.55000000000000004">
      <c r="A51" s="60" t="s">
        <v>1069</v>
      </c>
      <c r="B51" s="60" t="s">
        <v>1276</v>
      </c>
      <c r="C51" s="61" t="s">
        <v>1272</v>
      </c>
      <c r="D51" s="63">
        <v>45092</v>
      </c>
      <c r="E51" s="61" t="s">
        <v>1265</v>
      </c>
      <c r="F51" s="61" t="s">
        <v>1266</v>
      </c>
      <c r="G51" s="61" t="s">
        <v>1267</v>
      </c>
    </row>
    <row r="52" spans="1:7" x14ac:dyDescent="0.55000000000000004">
      <c r="A52" s="61"/>
      <c r="B52" s="61"/>
      <c r="C52" s="61"/>
      <c r="D52" s="61"/>
      <c r="E52" s="61"/>
      <c r="F52" s="66" t="s">
        <v>1260</v>
      </c>
      <c r="G52" s="61"/>
    </row>
    <row r="53" spans="1:7" x14ac:dyDescent="0.55000000000000004">
      <c r="A53" s="61"/>
      <c r="B53" s="61"/>
      <c r="C53" s="61"/>
      <c r="D53" s="61"/>
      <c r="E53" s="61"/>
      <c r="F53" s="61" t="s">
        <v>136</v>
      </c>
      <c r="G53" s="61"/>
    </row>
    <row r="54" spans="1:7" x14ac:dyDescent="0.55000000000000004">
      <c r="A54" s="61"/>
      <c r="B54" s="61"/>
      <c r="C54" s="61"/>
      <c r="D54" s="61"/>
      <c r="E54" s="61"/>
      <c r="F54" s="66" t="s">
        <v>1262</v>
      </c>
      <c r="G54" s="61"/>
    </row>
    <row r="55" spans="1:7" x14ac:dyDescent="0.55000000000000004">
      <c r="A55" s="61"/>
      <c r="B55" s="61"/>
      <c r="C55" s="61"/>
      <c r="D55" s="61"/>
      <c r="E55" s="61"/>
      <c r="F55" s="61" t="s">
        <v>136</v>
      </c>
      <c r="G55" s="61"/>
    </row>
    <row r="56" spans="1:7" x14ac:dyDescent="0.55000000000000004">
      <c r="A56" s="61"/>
      <c r="B56" s="61"/>
      <c r="C56" s="61"/>
      <c r="D56" s="61"/>
      <c r="E56" s="61"/>
      <c r="F56" s="61"/>
      <c r="G56" s="61"/>
    </row>
    <row r="57" spans="1:7" x14ac:dyDescent="0.55000000000000004">
      <c r="A57" s="60" t="s">
        <v>1035</v>
      </c>
      <c r="B57" s="60" t="s">
        <v>1277</v>
      </c>
      <c r="C57" s="61" t="s">
        <v>1272</v>
      </c>
      <c r="D57" s="63">
        <v>45092</v>
      </c>
      <c r="E57" s="61" t="s">
        <v>1265</v>
      </c>
      <c r="F57" s="61" t="s">
        <v>1266</v>
      </c>
      <c r="G57" s="61" t="s">
        <v>1267</v>
      </c>
    </row>
    <row r="58" spans="1:7" x14ac:dyDescent="0.55000000000000004">
      <c r="A58" s="61"/>
      <c r="B58" s="61"/>
      <c r="C58" s="61"/>
      <c r="D58" s="61"/>
      <c r="E58" s="61"/>
      <c r="F58" s="66" t="s">
        <v>1260</v>
      </c>
      <c r="G58" s="61"/>
    </row>
    <row r="59" spans="1:7" x14ac:dyDescent="0.55000000000000004">
      <c r="A59" s="61"/>
      <c r="B59" s="61"/>
      <c r="C59" s="61"/>
      <c r="D59" s="61"/>
      <c r="E59" s="61"/>
      <c r="F59" s="61" t="s">
        <v>136</v>
      </c>
      <c r="G59" s="61"/>
    </row>
    <row r="60" spans="1:7" x14ac:dyDescent="0.55000000000000004">
      <c r="A60" s="61"/>
      <c r="B60" s="61"/>
      <c r="C60" s="61"/>
      <c r="D60" s="61"/>
      <c r="E60" s="61"/>
      <c r="F60" s="66" t="s">
        <v>1262</v>
      </c>
      <c r="G60" s="61"/>
    </row>
    <row r="61" spans="1:7" x14ac:dyDescent="0.55000000000000004">
      <c r="A61" s="61"/>
      <c r="B61" s="61"/>
      <c r="C61" s="61"/>
      <c r="D61" s="61"/>
      <c r="E61" s="61"/>
      <c r="F61" s="61" t="s">
        <v>136</v>
      </c>
      <c r="G61" s="61"/>
    </row>
    <row r="62" spans="1:7" x14ac:dyDescent="0.55000000000000004">
      <c r="A62" s="61"/>
      <c r="B62" s="61"/>
      <c r="C62" s="61"/>
      <c r="D62" s="61"/>
      <c r="E62" s="61"/>
      <c r="F62" s="61"/>
      <c r="G62" s="61"/>
    </row>
    <row r="63" spans="1:7" x14ac:dyDescent="0.55000000000000004">
      <c r="A63" s="60" t="s">
        <v>1033</v>
      </c>
      <c r="B63" s="60" t="s">
        <v>1278</v>
      </c>
      <c r="C63" s="61" t="s">
        <v>1272</v>
      </c>
      <c r="D63" s="63">
        <v>45092</v>
      </c>
      <c r="E63" s="61" t="s">
        <v>1265</v>
      </c>
      <c r="F63" s="61" t="s">
        <v>1266</v>
      </c>
      <c r="G63" s="61" t="s">
        <v>1267</v>
      </c>
    </row>
    <row r="64" spans="1:7" x14ac:dyDescent="0.55000000000000004">
      <c r="A64" s="61"/>
      <c r="B64" s="61"/>
      <c r="C64" s="61"/>
      <c r="D64" s="61"/>
      <c r="E64" s="61"/>
      <c r="F64" s="66" t="s">
        <v>1260</v>
      </c>
      <c r="G64" s="61"/>
    </row>
    <row r="65" spans="1:7" x14ac:dyDescent="0.55000000000000004">
      <c r="A65" s="61"/>
      <c r="B65" s="61"/>
      <c r="C65" s="61"/>
      <c r="D65" s="61"/>
      <c r="E65" s="61"/>
      <c r="F65" s="61" t="s">
        <v>136</v>
      </c>
      <c r="G65" s="61"/>
    </row>
    <row r="66" spans="1:7" x14ac:dyDescent="0.55000000000000004">
      <c r="A66" s="61"/>
      <c r="B66" s="61"/>
      <c r="C66" s="61"/>
      <c r="D66" s="61"/>
      <c r="E66" s="61"/>
      <c r="F66" s="66" t="s">
        <v>1262</v>
      </c>
      <c r="G66" s="61"/>
    </row>
    <row r="67" spans="1:7" x14ac:dyDescent="0.55000000000000004">
      <c r="A67" s="61"/>
      <c r="B67" s="61"/>
      <c r="C67" s="61"/>
      <c r="D67" s="61"/>
      <c r="E67" s="61"/>
      <c r="F67" s="61" t="s">
        <v>136</v>
      </c>
      <c r="G67" s="61"/>
    </row>
    <row r="68" spans="1:7" x14ac:dyDescent="0.55000000000000004">
      <c r="A68" s="61"/>
      <c r="B68" s="61"/>
      <c r="C68" s="61"/>
      <c r="D68" s="61"/>
      <c r="E68" s="61"/>
      <c r="F68" s="61"/>
      <c r="G68" s="61"/>
    </row>
    <row r="69" spans="1:7" x14ac:dyDescent="0.55000000000000004">
      <c r="A69" s="60" t="s">
        <v>1057</v>
      </c>
      <c r="B69" s="60" t="s">
        <v>139</v>
      </c>
      <c r="C69" s="61" t="s">
        <v>1272</v>
      </c>
      <c r="D69" s="63">
        <v>45092</v>
      </c>
      <c r="E69" s="61" t="s">
        <v>1265</v>
      </c>
      <c r="F69" s="61" t="s">
        <v>1266</v>
      </c>
      <c r="G69" s="61" t="s">
        <v>1267</v>
      </c>
    </row>
    <row r="70" spans="1:7" x14ac:dyDescent="0.55000000000000004">
      <c r="A70" s="61"/>
      <c r="B70" s="61"/>
      <c r="C70" s="61"/>
      <c r="D70" s="61"/>
      <c r="E70" s="61"/>
      <c r="F70" s="66" t="s">
        <v>1260</v>
      </c>
      <c r="G70" s="61"/>
    </row>
    <row r="71" spans="1:7" x14ac:dyDescent="0.55000000000000004">
      <c r="A71" s="61"/>
      <c r="B71" s="61"/>
      <c r="C71" s="61"/>
      <c r="D71" s="61"/>
      <c r="E71" s="61"/>
      <c r="F71" s="61" t="s">
        <v>136</v>
      </c>
      <c r="G71" s="61"/>
    </row>
    <row r="72" spans="1:7" x14ac:dyDescent="0.55000000000000004">
      <c r="A72" s="61"/>
      <c r="B72" s="61"/>
      <c r="C72" s="61"/>
      <c r="D72" s="61"/>
      <c r="E72" s="61"/>
      <c r="F72" s="66" t="s">
        <v>1262</v>
      </c>
      <c r="G72" s="61"/>
    </row>
    <row r="73" spans="1:7" x14ac:dyDescent="0.55000000000000004">
      <c r="A73" s="61"/>
      <c r="B73" s="61"/>
      <c r="C73" s="61"/>
      <c r="D73" s="61"/>
      <c r="E73" s="61"/>
      <c r="F73" s="61" t="s">
        <v>136</v>
      </c>
      <c r="G73" s="61"/>
    </row>
    <row r="74" spans="1:7" x14ac:dyDescent="0.55000000000000004">
      <c r="A74" s="61"/>
      <c r="B74" s="61"/>
      <c r="C74" s="61"/>
      <c r="D74" s="61"/>
      <c r="E74" s="61"/>
      <c r="F74" s="61"/>
      <c r="G74" s="61"/>
    </row>
    <row r="75" spans="1:7" x14ac:dyDescent="0.55000000000000004">
      <c r="A75" s="60" t="s">
        <v>1027</v>
      </c>
      <c r="B75" s="60" t="s">
        <v>1279</v>
      </c>
      <c r="C75" s="61" t="s">
        <v>1272</v>
      </c>
      <c r="D75" s="63">
        <v>45092</v>
      </c>
      <c r="E75" s="61" t="s">
        <v>1265</v>
      </c>
      <c r="F75" s="61" t="s">
        <v>1266</v>
      </c>
      <c r="G75" s="61" t="s">
        <v>1267</v>
      </c>
    </row>
    <row r="76" spans="1:7" x14ac:dyDescent="0.55000000000000004">
      <c r="A76" s="61"/>
      <c r="B76" s="61"/>
      <c r="C76" s="61"/>
      <c r="D76" s="61"/>
      <c r="E76" s="61"/>
      <c r="F76" s="66" t="s">
        <v>1260</v>
      </c>
      <c r="G76" s="61"/>
    </row>
    <row r="77" spans="1:7" x14ac:dyDescent="0.55000000000000004">
      <c r="A77" s="61"/>
      <c r="B77" s="61"/>
      <c r="C77" s="61"/>
      <c r="D77" s="61"/>
      <c r="E77" s="61"/>
      <c r="F77" s="61" t="s">
        <v>136</v>
      </c>
      <c r="G77" s="61"/>
    </row>
    <row r="78" spans="1:7" x14ac:dyDescent="0.55000000000000004">
      <c r="A78" s="61"/>
      <c r="B78" s="61"/>
      <c r="C78" s="61"/>
      <c r="D78" s="61"/>
      <c r="E78" s="61"/>
      <c r="F78" s="66" t="s">
        <v>1262</v>
      </c>
      <c r="G78" s="61"/>
    </row>
    <row r="79" spans="1:7" x14ac:dyDescent="0.55000000000000004">
      <c r="A79" s="61"/>
      <c r="B79" s="61"/>
      <c r="C79" s="61"/>
      <c r="D79" s="61"/>
      <c r="E79" s="61"/>
      <c r="F79" s="61" t="s">
        <v>136</v>
      </c>
      <c r="G79" s="61"/>
    </row>
    <row r="80" spans="1:7" x14ac:dyDescent="0.55000000000000004">
      <c r="A80" s="61"/>
      <c r="B80" s="61"/>
      <c r="C80" s="61"/>
      <c r="D80" s="61"/>
      <c r="E80" s="61"/>
      <c r="F80" s="61"/>
      <c r="G80" s="61"/>
    </row>
    <row r="81" spans="1:7" x14ac:dyDescent="0.55000000000000004">
      <c r="A81" s="60" t="s">
        <v>1025</v>
      </c>
      <c r="B81" s="60" t="s">
        <v>1280</v>
      </c>
      <c r="C81" s="61" t="s">
        <v>1272</v>
      </c>
      <c r="D81" s="63">
        <v>45092</v>
      </c>
      <c r="E81" s="61" t="s">
        <v>1265</v>
      </c>
      <c r="F81" s="61" t="s">
        <v>1266</v>
      </c>
      <c r="G81" s="61" t="s">
        <v>1267</v>
      </c>
    </row>
    <row r="82" spans="1:7" x14ac:dyDescent="0.55000000000000004">
      <c r="A82" s="61"/>
      <c r="B82" s="61"/>
      <c r="C82" s="61"/>
      <c r="D82" s="61"/>
      <c r="E82" s="61"/>
      <c r="F82" s="66" t="s">
        <v>1260</v>
      </c>
      <c r="G82" s="61"/>
    </row>
    <row r="83" spans="1:7" x14ac:dyDescent="0.55000000000000004">
      <c r="A83" s="61"/>
      <c r="B83" s="61"/>
      <c r="C83" s="61"/>
      <c r="D83" s="61"/>
      <c r="E83" s="61"/>
      <c r="F83" s="61" t="s">
        <v>136</v>
      </c>
      <c r="G83" s="61"/>
    </row>
    <row r="84" spans="1:7" x14ac:dyDescent="0.55000000000000004">
      <c r="A84" s="61"/>
      <c r="B84" s="61"/>
      <c r="C84" s="61"/>
      <c r="D84" s="61"/>
      <c r="E84" s="61"/>
      <c r="F84" s="66" t="s">
        <v>1262</v>
      </c>
      <c r="G84" s="61"/>
    </row>
    <row r="85" spans="1:7" x14ac:dyDescent="0.55000000000000004">
      <c r="A85" s="61"/>
      <c r="B85" s="61"/>
      <c r="C85" s="61"/>
      <c r="D85" s="61"/>
      <c r="E85" s="61"/>
      <c r="F85" s="61" t="s">
        <v>136</v>
      </c>
      <c r="G85" s="61"/>
    </row>
    <row r="86" spans="1:7" x14ac:dyDescent="0.55000000000000004">
      <c r="A86" s="61"/>
      <c r="B86" s="61"/>
      <c r="C86" s="61"/>
      <c r="D86" s="61"/>
      <c r="E86" s="61"/>
      <c r="F86" s="61"/>
      <c r="G86" s="61"/>
    </row>
    <row r="87" spans="1:7" x14ac:dyDescent="0.55000000000000004">
      <c r="A87" s="60" t="s">
        <v>1022</v>
      </c>
      <c r="B87" s="60" t="s">
        <v>1281</v>
      </c>
      <c r="C87" s="61" t="s">
        <v>1272</v>
      </c>
      <c r="D87" s="63">
        <v>45092</v>
      </c>
      <c r="E87" s="61" t="s">
        <v>1265</v>
      </c>
      <c r="F87" s="61" t="s">
        <v>1266</v>
      </c>
      <c r="G87" s="61" t="s">
        <v>1267</v>
      </c>
    </row>
    <row r="88" spans="1:7" x14ac:dyDescent="0.55000000000000004">
      <c r="A88" s="61"/>
      <c r="B88" s="61"/>
      <c r="C88" s="61"/>
      <c r="D88" s="61"/>
      <c r="E88" s="61"/>
      <c r="F88" s="66" t="s">
        <v>1260</v>
      </c>
      <c r="G88" s="61"/>
    </row>
    <row r="89" spans="1:7" x14ac:dyDescent="0.55000000000000004">
      <c r="A89" s="61"/>
      <c r="B89" s="61"/>
      <c r="C89" s="61"/>
      <c r="D89" s="61"/>
      <c r="E89" s="61"/>
      <c r="F89" s="61" t="s">
        <v>136</v>
      </c>
      <c r="G89" s="61"/>
    </row>
    <row r="90" spans="1:7" x14ac:dyDescent="0.55000000000000004">
      <c r="A90" s="61"/>
      <c r="B90" s="61"/>
      <c r="C90" s="61"/>
      <c r="D90" s="61"/>
      <c r="E90" s="61"/>
      <c r="F90" s="66" t="s">
        <v>1262</v>
      </c>
      <c r="G90" s="61"/>
    </row>
    <row r="91" spans="1:7" x14ac:dyDescent="0.55000000000000004">
      <c r="A91" s="61"/>
      <c r="B91" s="61"/>
      <c r="C91" s="61"/>
      <c r="D91" s="61"/>
      <c r="E91" s="61"/>
      <c r="F91" s="61" t="s">
        <v>136</v>
      </c>
      <c r="G91" s="61"/>
    </row>
    <row r="92" spans="1:7" x14ac:dyDescent="0.55000000000000004">
      <c r="A92" s="61"/>
      <c r="B92" s="61"/>
      <c r="C92" s="61"/>
      <c r="D92" s="61"/>
      <c r="E92" s="61"/>
      <c r="F92" s="61"/>
      <c r="G92" s="61"/>
    </row>
    <row r="93" spans="1:7" x14ac:dyDescent="0.55000000000000004">
      <c r="A93" s="60" t="s">
        <v>1046</v>
      </c>
      <c r="B93" s="60" t="s">
        <v>1282</v>
      </c>
      <c r="C93" s="61" t="s">
        <v>1272</v>
      </c>
      <c r="D93" s="63">
        <v>45092</v>
      </c>
      <c r="E93" s="61" t="s">
        <v>1265</v>
      </c>
      <c r="F93" s="61" t="s">
        <v>1266</v>
      </c>
      <c r="G93" s="61" t="s">
        <v>1267</v>
      </c>
    </row>
    <row r="94" spans="1:7" x14ac:dyDescent="0.55000000000000004">
      <c r="A94" s="61"/>
      <c r="B94" s="61"/>
      <c r="C94" s="61"/>
      <c r="D94" s="61"/>
      <c r="E94" s="61"/>
      <c r="F94" s="66" t="s">
        <v>1260</v>
      </c>
      <c r="G94" s="61"/>
    </row>
    <row r="95" spans="1:7" x14ac:dyDescent="0.55000000000000004">
      <c r="A95" s="61"/>
      <c r="B95" s="61"/>
      <c r="C95" s="61"/>
      <c r="D95" s="61"/>
      <c r="E95" s="61"/>
      <c r="F95" s="61" t="s">
        <v>136</v>
      </c>
      <c r="G95" s="61"/>
    </row>
    <row r="96" spans="1:7" x14ac:dyDescent="0.55000000000000004">
      <c r="A96" s="61"/>
      <c r="B96" s="61"/>
      <c r="C96" s="61"/>
      <c r="D96" s="61"/>
      <c r="E96" s="61"/>
      <c r="F96" s="66" t="s">
        <v>1262</v>
      </c>
      <c r="G96" s="61"/>
    </row>
    <row r="97" spans="1:7" x14ac:dyDescent="0.55000000000000004">
      <c r="A97" s="61"/>
      <c r="B97" s="61"/>
      <c r="C97" s="61"/>
      <c r="D97" s="61"/>
      <c r="E97" s="61"/>
      <c r="F97" s="61" t="s">
        <v>136</v>
      </c>
      <c r="G97" s="61"/>
    </row>
    <row r="98" spans="1:7" x14ac:dyDescent="0.55000000000000004">
      <c r="A98" s="61"/>
      <c r="B98" s="61"/>
      <c r="C98" s="61"/>
      <c r="D98" s="61"/>
      <c r="E98" s="61"/>
      <c r="F98" s="61"/>
      <c r="G98" s="61"/>
    </row>
    <row r="99" spans="1:7" x14ac:dyDescent="0.55000000000000004">
      <c r="A99" s="60" t="s">
        <v>1048</v>
      </c>
      <c r="B99" s="60" t="s">
        <v>1283</v>
      </c>
      <c r="C99" s="61" t="s">
        <v>1272</v>
      </c>
      <c r="D99" s="63">
        <v>45092</v>
      </c>
      <c r="E99" s="61" t="s">
        <v>1265</v>
      </c>
      <c r="F99" s="61" t="s">
        <v>1266</v>
      </c>
      <c r="G99" s="61" t="s">
        <v>1267</v>
      </c>
    </row>
    <row r="100" spans="1:7" x14ac:dyDescent="0.55000000000000004">
      <c r="A100" s="61"/>
      <c r="B100" s="61"/>
      <c r="C100" s="61"/>
      <c r="D100" s="61"/>
      <c r="E100" s="61"/>
      <c r="F100" s="66" t="s">
        <v>1260</v>
      </c>
    </row>
    <row r="101" spans="1:7" x14ac:dyDescent="0.55000000000000004">
      <c r="A101" s="61"/>
      <c r="B101" s="61"/>
      <c r="C101" s="61"/>
      <c r="D101" s="61"/>
      <c r="E101" s="61"/>
      <c r="F101" s="61" t="s">
        <v>136</v>
      </c>
    </row>
    <row r="102" spans="1:7" x14ac:dyDescent="0.55000000000000004">
      <c r="A102" s="61"/>
      <c r="B102" s="61"/>
      <c r="C102" s="61"/>
      <c r="D102" s="61"/>
      <c r="E102" s="61"/>
      <c r="F102" s="66" t="s">
        <v>1262</v>
      </c>
    </row>
    <row r="103" spans="1:7" x14ac:dyDescent="0.55000000000000004">
      <c r="A103" s="61"/>
      <c r="B103" s="61"/>
      <c r="C103" s="61"/>
      <c r="D103" s="61"/>
      <c r="E103" s="61"/>
      <c r="F103" s="61" t="s">
        <v>136</v>
      </c>
    </row>
    <row r="105" spans="1:7" x14ac:dyDescent="0.55000000000000004">
      <c r="A105" s="65" t="s">
        <v>739</v>
      </c>
      <c r="B105" s="65" t="s">
        <v>1284</v>
      </c>
      <c r="C105" s="61" t="s">
        <v>1272</v>
      </c>
      <c r="D105" s="63">
        <v>45124</v>
      </c>
      <c r="E105" s="61" t="s">
        <v>1265</v>
      </c>
      <c r="F105" s="61" t="s">
        <v>1285</v>
      </c>
      <c r="G105" s="61" t="s">
        <v>1286</v>
      </c>
    </row>
    <row r="106" spans="1:7" x14ac:dyDescent="0.55000000000000004">
      <c r="B106" s="61"/>
      <c r="C106" s="61"/>
      <c r="D106" s="61"/>
      <c r="E106" s="61"/>
      <c r="F106" s="66" t="s">
        <v>1260</v>
      </c>
    </row>
    <row r="107" spans="1:7" x14ac:dyDescent="0.55000000000000004">
      <c r="B107" s="61"/>
      <c r="C107" s="61"/>
      <c r="D107" s="61"/>
      <c r="E107" s="61"/>
      <c r="F107" s="61" t="s">
        <v>1287</v>
      </c>
    </row>
    <row r="108" spans="1:7" x14ac:dyDescent="0.55000000000000004">
      <c r="B108" s="61"/>
      <c r="C108" s="61"/>
      <c r="D108" s="61"/>
      <c r="E108" s="61"/>
      <c r="F108" s="66" t="s">
        <v>1262</v>
      </c>
    </row>
    <row r="109" spans="1:7" x14ac:dyDescent="0.55000000000000004">
      <c r="B109" s="61"/>
      <c r="C109" s="61"/>
      <c r="D109" s="61"/>
      <c r="E109" s="61"/>
      <c r="F109" s="61" t="s">
        <v>136</v>
      </c>
    </row>
    <row r="111" spans="1:7" x14ac:dyDescent="0.55000000000000004">
      <c r="A111" s="65" t="s">
        <v>723</v>
      </c>
      <c r="B111" s="60"/>
      <c r="C111" s="61" t="s">
        <v>1272</v>
      </c>
      <c r="D111" s="63">
        <v>45124</v>
      </c>
      <c r="E111" s="61" t="s">
        <v>1265</v>
      </c>
      <c r="F111" s="61" t="s">
        <v>1285</v>
      </c>
      <c r="G111" s="61" t="s">
        <v>1288</v>
      </c>
    </row>
    <row r="112" spans="1:7" x14ac:dyDescent="0.55000000000000004">
      <c r="B112" s="61"/>
      <c r="C112" s="61"/>
      <c r="D112" s="61"/>
      <c r="E112" s="61"/>
      <c r="F112" s="66" t="s">
        <v>1260</v>
      </c>
    </row>
    <row r="113" spans="1:7" x14ac:dyDescent="0.55000000000000004">
      <c r="B113" s="61"/>
      <c r="C113" s="61"/>
      <c r="D113" s="61"/>
      <c r="E113" s="61"/>
      <c r="F113" s="61" t="s">
        <v>1289</v>
      </c>
    </row>
    <row r="114" spans="1:7" x14ac:dyDescent="0.55000000000000004">
      <c r="B114" s="61"/>
      <c r="C114" s="61"/>
      <c r="D114" s="61"/>
      <c r="E114" s="61"/>
      <c r="F114" s="66" t="s">
        <v>1262</v>
      </c>
    </row>
    <row r="115" spans="1:7" x14ac:dyDescent="0.55000000000000004">
      <c r="B115" s="61"/>
      <c r="C115" s="61"/>
      <c r="D115" s="61"/>
      <c r="E115" s="61"/>
      <c r="F115" s="61" t="s">
        <v>136</v>
      </c>
    </row>
    <row r="116" spans="1:7" x14ac:dyDescent="0.55000000000000004">
      <c r="B116" s="61"/>
      <c r="C116" s="61"/>
      <c r="D116" s="61"/>
      <c r="E116" s="61"/>
      <c r="F116" s="61"/>
    </row>
    <row r="117" spans="1:7" x14ac:dyDescent="0.55000000000000004">
      <c r="A117" s="65" t="s">
        <v>583</v>
      </c>
      <c r="B117" s="60"/>
      <c r="C117" s="61" t="s">
        <v>1272</v>
      </c>
      <c r="D117" s="63">
        <v>45124</v>
      </c>
      <c r="E117" s="61" t="s">
        <v>1265</v>
      </c>
      <c r="F117" s="61" t="s">
        <v>1285</v>
      </c>
      <c r="G117">
        <v>6</v>
      </c>
    </row>
    <row r="118" spans="1:7" x14ac:dyDescent="0.55000000000000004">
      <c r="B118" s="61"/>
      <c r="C118" s="61"/>
      <c r="D118" s="61"/>
      <c r="E118" s="61"/>
      <c r="F118" s="66" t="s">
        <v>1260</v>
      </c>
    </row>
    <row r="119" spans="1:7" x14ac:dyDescent="0.55000000000000004">
      <c r="B119" s="61"/>
      <c r="C119" s="61"/>
      <c r="D119" s="61"/>
      <c r="E119" s="61"/>
      <c r="F119" s="61" t="s">
        <v>1290</v>
      </c>
    </row>
    <row r="120" spans="1:7" x14ac:dyDescent="0.55000000000000004">
      <c r="B120" s="61"/>
      <c r="C120" s="61"/>
      <c r="D120" s="61"/>
      <c r="E120" s="61"/>
      <c r="F120" s="66" t="s">
        <v>1262</v>
      </c>
    </row>
    <row r="121" spans="1:7" x14ac:dyDescent="0.55000000000000004">
      <c r="B121" s="61"/>
      <c r="C121" s="61"/>
      <c r="D121" s="61"/>
      <c r="E121" s="61"/>
      <c r="F121" s="61" t="s">
        <v>136</v>
      </c>
    </row>
    <row r="123" spans="1:7" x14ac:dyDescent="0.55000000000000004">
      <c r="A123" s="65" t="s">
        <v>586</v>
      </c>
      <c r="B123" s="60"/>
      <c r="C123" s="61" t="s">
        <v>1272</v>
      </c>
      <c r="D123" s="63">
        <v>45124</v>
      </c>
      <c r="E123" s="61" t="s">
        <v>1265</v>
      </c>
      <c r="F123" s="61" t="s">
        <v>1285</v>
      </c>
      <c r="G123" s="61" t="s">
        <v>1291</v>
      </c>
    </row>
    <row r="124" spans="1:7" x14ac:dyDescent="0.55000000000000004">
      <c r="B124" s="61"/>
      <c r="C124" s="61"/>
      <c r="D124" s="61"/>
      <c r="E124" s="61"/>
      <c r="F124" s="66" t="s">
        <v>1260</v>
      </c>
    </row>
    <row r="125" spans="1:7" x14ac:dyDescent="0.55000000000000004">
      <c r="B125" s="61"/>
      <c r="C125" s="61"/>
      <c r="D125" s="61"/>
      <c r="E125" s="61"/>
      <c r="F125" s="61" t="s">
        <v>1292</v>
      </c>
    </row>
    <row r="126" spans="1:7" x14ac:dyDescent="0.55000000000000004">
      <c r="B126" s="61"/>
      <c r="C126" s="61"/>
      <c r="D126" s="61"/>
      <c r="E126" s="61"/>
      <c r="F126" s="66" t="s">
        <v>1262</v>
      </c>
    </row>
    <row r="127" spans="1:7" x14ac:dyDescent="0.55000000000000004">
      <c r="B127" s="61"/>
      <c r="C127" s="61"/>
      <c r="D127" s="61"/>
      <c r="E127" s="61"/>
      <c r="F127" s="61" t="s">
        <v>136</v>
      </c>
    </row>
    <row r="128" spans="1:7" x14ac:dyDescent="0.55000000000000004">
      <c r="B128" s="61"/>
      <c r="C128" s="61"/>
      <c r="D128" s="61"/>
      <c r="E128" s="61"/>
      <c r="F128" s="61"/>
    </row>
    <row r="129" spans="1:7" x14ac:dyDescent="0.55000000000000004">
      <c r="A129" s="65" t="s">
        <v>737</v>
      </c>
      <c r="B129" s="60"/>
      <c r="C129" s="61" t="s">
        <v>1272</v>
      </c>
      <c r="D129" s="63">
        <v>45124</v>
      </c>
      <c r="E129" s="61" t="s">
        <v>1265</v>
      </c>
      <c r="F129" s="61" t="s">
        <v>1285</v>
      </c>
      <c r="G129">
        <v>6</v>
      </c>
    </row>
    <row r="130" spans="1:7" x14ac:dyDescent="0.55000000000000004">
      <c r="B130" s="61"/>
      <c r="C130" s="61"/>
      <c r="D130" s="61"/>
      <c r="E130" s="61"/>
      <c r="F130" s="66" t="s">
        <v>1260</v>
      </c>
    </row>
    <row r="131" spans="1:7" x14ac:dyDescent="0.55000000000000004">
      <c r="B131" s="61"/>
      <c r="C131" s="61"/>
      <c r="D131" s="61"/>
      <c r="E131" s="61"/>
      <c r="F131" s="61" t="s">
        <v>1293</v>
      </c>
    </row>
    <row r="132" spans="1:7" x14ac:dyDescent="0.55000000000000004">
      <c r="B132" s="61"/>
      <c r="C132" s="61"/>
      <c r="D132" s="61"/>
      <c r="E132" s="61"/>
      <c r="F132" s="66" t="s">
        <v>1262</v>
      </c>
    </row>
    <row r="133" spans="1:7" x14ac:dyDescent="0.55000000000000004">
      <c r="B133" s="61"/>
      <c r="C133" s="61"/>
      <c r="D133" s="61"/>
      <c r="E133" s="61"/>
      <c r="F133" s="61" t="s">
        <v>136</v>
      </c>
    </row>
    <row r="135" spans="1:7" x14ac:dyDescent="0.55000000000000004">
      <c r="A135" s="65" t="s">
        <v>567</v>
      </c>
      <c r="B135" s="60"/>
      <c r="C135" s="61" t="s">
        <v>1272</v>
      </c>
      <c r="D135" s="63">
        <v>45124</v>
      </c>
      <c r="E135" s="61" t="s">
        <v>1265</v>
      </c>
      <c r="F135" s="61" t="s">
        <v>1285</v>
      </c>
      <c r="G135" s="61" t="s">
        <v>1294</v>
      </c>
    </row>
    <row r="136" spans="1:7" x14ac:dyDescent="0.55000000000000004">
      <c r="B136" s="61"/>
      <c r="C136" s="61"/>
      <c r="D136" s="61"/>
      <c r="E136" s="61"/>
      <c r="F136" s="66" t="s">
        <v>1260</v>
      </c>
    </row>
    <row r="137" spans="1:7" x14ac:dyDescent="0.55000000000000004">
      <c r="B137" s="61"/>
      <c r="C137" s="61"/>
      <c r="D137" s="61"/>
      <c r="E137" s="61"/>
      <c r="F137" s="61" t="s">
        <v>1295</v>
      </c>
    </row>
    <row r="138" spans="1:7" x14ac:dyDescent="0.55000000000000004">
      <c r="B138" s="61"/>
      <c r="C138" s="61"/>
      <c r="D138" s="61"/>
      <c r="E138" s="61"/>
      <c r="F138" s="66" t="s">
        <v>1262</v>
      </c>
    </row>
    <row r="139" spans="1:7" x14ac:dyDescent="0.55000000000000004">
      <c r="B139" s="61"/>
      <c r="C139" s="61"/>
      <c r="D139" s="61"/>
      <c r="E139" s="61"/>
      <c r="F139" s="61" t="s">
        <v>136</v>
      </c>
    </row>
    <row r="140" spans="1:7" x14ac:dyDescent="0.55000000000000004">
      <c r="A140" s="65" t="s">
        <v>721</v>
      </c>
      <c r="B140" s="60"/>
      <c r="C140" s="61" t="s">
        <v>1272</v>
      </c>
      <c r="D140" s="63">
        <v>45124</v>
      </c>
      <c r="E140" s="61" t="s">
        <v>1265</v>
      </c>
      <c r="F140" s="61"/>
    </row>
    <row r="141" spans="1:7" x14ac:dyDescent="0.55000000000000004">
      <c r="B141" s="61"/>
      <c r="C141" s="61"/>
      <c r="D141" s="61"/>
      <c r="E141" s="61"/>
      <c r="F141" s="66" t="s">
        <v>1260</v>
      </c>
      <c r="G141">
        <v>6</v>
      </c>
    </row>
    <row r="142" spans="1:7" x14ac:dyDescent="0.55000000000000004">
      <c r="B142" s="61"/>
      <c r="C142" s="61"/>
      <c r="D142" s="61"/>
      <c r="E142" s="61"/>
      <c r="F142" s="61" t="s">
        <v>1296</v>
      </c>
    </row>
    <row r="143" spans="1:7" x14ac:dyDescent="0.55000000000000004">
      <c r="B143" s="61"/>
      <c r="C143" s="61"/>
      <c r="D143" s="61"/>
      <c r="E143" s="61"/>
      <c r="F143" s="66" t="s">
        <v>1262</v>
      </c>
    </row>
    <row r="144" spans="1:7" x14ac:dyDescent="0.55000000000000004">
      <c r="B144" s="61"/>
      <c r="C144" s="61"/>
      <c r="D144" s="61"/>
      <c r="E144" s="61"/>
      <c r="F144" s="61" t="s">
        <v>136</v>
      </c>
    </row>
    <row r="146" spans="1:7" x14ac:dyDescent="0.55000000000000004">
      <c r="A146" s="65" t="s">
        <v>672</v>
      </c>
      <c r="B146" s="60"/>
      <c r="C146" s="61" t="s">
        <v>1272</v>
      </c>
      <c r="D146" s="63">
        <v>45124</v>
      </c>
      <c r="E146" s="61" t="s">
        <v>1265</v>
      </c>
      <c r="F146" s="61" t="s">
        <v>1285</v>
      </c>
      <c r="G146" s="61" t="s">
        <v>1297</v>
      </c>
    </row>
    <row r="147" spans="1:7" x14ac:dyDescent="0.55000000000000004">
      <c r="B147" s="61"/>
      <c r="C147" s="61"/>
      <c r="D147" s="61"/>
      <c r="E147" s="61"/>
      <c r="F147" s="66" t="s">
        <v>1260</v>
      </c>
    </row>
    <row r="148" spans="1:7" x14ac:dyDescent="0.55000000000000004">
      <c r="B148" s="61"/>
      <c r="C148" s="61"/>
      <c r="D148" s="61"/>
      <c r="E148" s="61"/>
      <c r="F148" s="61" t="s">
        <v>1298</v>
      </c>
    </row>
    <row r="149" spans="1:7" x14ac:dyDescent="0.55000000000000004">
      <c r="B149" s="61"/>
      <c r="C149" s="61"/>
      <c r="D149" s="61"/>
      <c r="E149" s="61"/>
      <c r="F149" s="66" t="s">
        <v>1262</v>
      </c>
    </row>
    <row r="150" spans="1:7" x14ac:dyDescent="0.55000000000000004">
      <c r="B150" s="61"/>
      <c r="C150" s="61"/>
      <c r="D150" s="61"/>
      <c r="E150" s="61"/>
      <c r="F150" s="61" t="s">
        <v>136</v>
      </c>
    </row>
    <row r="151" spans="1:7" x14ac:dyDescent="0.55000000000000004">
      <c r="B151" s="61"/>
      <c r="C151" s="61"/>
      <c r="D151" s="61"/>
      <c r="E151" s="61"/>
      <c r="F151" s="61"/>
    </row>
    <row r="152" spans="1:7" x14ac:dyDescent="0.55000000000000004">
      <c r="A152" s="65" t="s">
        <v>666</v>
      </c>
      <c r="B152" s="60"/>
      <c r="C152" s="61" t="s">
        <v>1272</v>
      </c>
      <c r="D152" s="63">
        <v>45124</v>
      </c>
      <c r="E152" s="61" t="s">
        <v>1265</v>
      </c>
      <c r="F152" s="61" t="s">
        <v>1285</v>
      </c>
      <c r="G152" s="61" t="s">
        <v>1299</v>
      </c>
    </row>
    <row r="153" spans="1:7" x14ac:dyDescent="0.55000000000000004">
      <c r="B153" s="61"/>
      <c r="C153" s="61"/>
      <c r="D153" s="61"/>
      <c r="E153" s="61"/>
      <c r="F153" s="66" t="s">
        <v>1260</v>
      </c>
    </row>
    <row r="154" spans="1:7" x14ac:dyDescent="0.55000000000000004">
      <c r="B154" s="61"/>
      <c r="C154" s="61"/>
      <c r="D154" s="61"/>
      <c r="E154" s="61"/>
      <c r="F154" s="61" t="s">
        <v>1300</v>
      </c>
    </row>
    <row r="155" spans="1:7" x14ac:dyDescent="0.55000000000000004">
      <c r="B155" s="61"/>
      <c r="C155" s="61"/>
      <c r="D155" s="61"/>
      <c r="E155" s="61"/>
      <c r="F155" s="66" t="s">
        <v>1262</v>
      </c>
    </row>
    <row r="156" spans="1:7" x14ac:dyDescent="0.55000000000000004">
      <c r="B156" s="61"/>
      <c r="C156" s="61"/>
      <c r="D156" s="61"/>
      <c r="E156" s="61"/>
      <c r="F156" s="61" t="s">
        <v>136</v>
      </c>
    </row>
    <row r="158" spans="1:7" x14ac:dyDescent="0.55000000000000004">
      <c r="A158" s="65" t="s">
        <v>563</v>
      </c>
      <c r="B158" s="60"/>
      <c r="C158" s="61" t="s">
        <v>1272</v>
      </c>
      <c r="D158" s="63">
        <v>45124</v>
      </c>
      <c r="E158" s="61" t="s">
        <v>1265</v>
      </c>
      <c r="F158" s="61" t="s">
        <v>1285</v>
      </c>
      <c r="G158" s="61" t="s">
        <v>1301</v>
      </c>
    </row>
    <row r="159" spans="1:7" x14ac:dyDescent="0.55000000000000004">
      <c r="B159" s="61"/>
      <c r="C159" s="61"/>
      <c r="D159" s="61"/>
      <c r="E159" s="61"/>
      <c r="F159" s="66" t="s">
        <v>1260</v>
      </c>
    </row>
    <row r="160" spans="1:7" x14ac:dyDescent="0.55000000000000004">
      <c r="B160" s="61"/>
      <c r="C160" s="61"/>
      <c r="D160" s="61"/>
      <c r="E160" s="61"/>
      <c r="F160" s="61" t="s">
        <v>1302</v>
      </c>
    </row>
    <row r="161" spans="1:7" x14ac:dyDescent="0.55000000000000004">
      <c r="B161" s="61"/>
      <c r="C161" s="61"/>
      <c r="D161" s="61"/>
      <c r="E161" s="61"/>
      <c r="F161" s="66" t="s">
        <v>1262</v>
      </c>
    </row>
    <row r="162" spans="1:7" x14ac:dyDescent="0.55000000000000004">
      <c r="F162" s="61" t="s">
        <v>136</v>
      </c>
    </row>
    <row r="163" spans="1:7" x14ac:dyDescent="0.55000000000000004">
      <c r="F163" s="61"/>
    </row>
    <row r="164" spans="1:7" x14ac:dyDescent="0.55000000000000004">
      <c r="A164" s="65" t="s">
        <v>675</v>
      </c>
      <c r="B164" s="60"/>
      <c r="C164" s="61" t="s">
        <v>1272</v>
      </c>
      <c r="D164" s="63">
        <v>45124</v>
      </c>
      <c r="E164" s="61" t="s">
        <v>1265</v>
      </c>
      <c r="F164" s="61" t="s">
        <v>1285</v>
      </c>
      <c r="G164" s="61" t="s">
        <v>1303</v>
      </c>
    </row>
    <row r="165" spans="1:7" x14ac:dyDescent="0.55000000000000004">
      <c r="B165" s="61"/>
      <c r="C165" s="61"/>
      <c r="D165" s="61"/>
      <c r="E165" s="61"/>
      <c r="F165" s="66" t="s">
        <v>1260</v>
      </c>
    </row>
    <row r="166" spans="1:7" x14ac:dyDescent="0.55000000000000004">
      <c r="B166" s="61"/>
      <c r="C166" s="61"/>
      <c r="D166" s="61"/>
      <c r="E166" s="61"/>
      <c r="F166" s="61" t="s">
        <v>1304</v>
      </c>
    </row>
    <row r="167" spans="1:7" x14ac:dyDescent="0.55000000000000004">
      <c r="B167" s="61"/>
      <c r="C167" s="61"/>
      <c r="D167" s="61"/>
      <c r="E167" s="61"/>
      <c r="F167" s="66" t="s">
        <v>1262</v>
      </c>
    </row>
    <row r="168" spans="1:7" x14ac:dyDescent="0.55000000000000004">
      <c r="F168" s="61" t="s">
        <v>136</v>
      </c>
    </row>
    <row r="169" spans="1:7" x14ac:dyDescent="0.55000000000000004">
      <c r="F169" s="61"/>
    </row>
    <row r="170" spans="1:7" x14ac:dyDescent="0.55000000000000004">
      <c r="A170" s="65" t="s">
        <v>565</v>
      </c>
      <c r="B170" s="60"/>
      <c r="C170" s="61" t="s">
        <v>1272</v>
      </c>
      <c r="D170" s="63">
        <v>45124</v>
      </c>
      <c r="E170" s="61" t="s">
        <v>1265</v>
      </c>
      <c r="F170" s="61" t="s">
        <v>1285</v>
      </c>
      <c r="G170" s="61" t="s">
        <v>1305</v>
      </c>
    </row>
    <row r="171" spans="1:7" x14ac:dyDescent="0.55000000000000004">
      <c r="B171" s="61"/>
      <c r="C171" s="61"/>
      <c r="D171" s="61"/>
      <c r="E171" s="61"/>
      <c r="F171" s="66" t="s">
        <v>1260</v>
      </c>
    </row>
    <row r="172" spans="1:7" x14ac:dyDescent="0.55000000000000004">
      <c r="B172" s="61"/>
      <c r="C172" s="61"/>
      <c r="D172" s="61"/>
      <c r="E172" s="61"/>
      <c r="F172" s="61" t="s">
        <v>1306</v>
      </c>
    </row>
    <row r="173" spans="1:7" x14ac:dyDescent="0.55000000000000004">
      <c r="B173" s="61"/>
      <c r="C173" s="61"/>
      <c r="D173" s="61"/>
      <c r="E173" s="61"/>
      <c r="F173" s="66" t="s">
        <v>1262</v>
      </c>
    </row>
    <row r="174" spans="1:7" x14ac:dyDescent="0.55000000000000004">
      <c r="F174" s="61" t="s">
        <v>136</v>
      </c>
    </row>
    <row r="175" spans="1:7" x14ac:dyDescent="0.55000000000000004">
      <c r="F175" s="61"/>
    </row>
    <row r="176" spans="1:7" x14ac:dyDescent="0.55000000000000004">
      <c r="A176" s="65" t="s">
        <v>561</v>
      </c>
      <c r="B176" s="60"/>
      <c r="C176" s="61" t="s">
        <v>1272</v>
      </c>
      <c r="D176" s="63">
        <v>45124</v>
      </c>
      <c r="E176" s="61" t="s">
        <v>1265</v>
      </c>
      <c r="F176" s="61" t="s">
        <v>1285</v>
      </c>
      <c r="G176" s="61" t="s">
        <v>1305</v>
      </c>
    </row>
    <row r="177" spans="1:7" x14ac:dyDescent="0.55000000000000004">
      <c r="B177" s="61"/>
      <c r="C177" s="61"/>
      <c r="D177" s="61"/>
      <c r="E177" s="61"/>
      <c r="F177" s="66" t="s">
        <v>1260</v>
      </c>
    </row>
    <row r="178" spans="1:7" x14ac:dyDescent="0.55000000000000004">
      <c r="B178" s="61"/>
      <c r="C178" s="61"/>
      <c r="D178" s="61"/>
      <c r="E178" s="61"/>
      <c r="F178" s="61" t="s">
        <v>1307</v>
      </c>
    </row>
    <row r="179" spans="1:7" x14ac:dyDescent="0.55000000000000004">
      <c r="B179" s="61"/>
      <c r="C179" s="61"/>
      <c r="D179" s="61"/>
      <c r="E179" s="61"/>
      <c r="F179" s="66" t="s">
        <v>1262</v>
      </c>
    </row>
    <row r="180" spans="1:7" x14ac:dyDescent="0.55000000000000004">
      <c r="F180" s="61" t="s">
        <v>136</v>
      </c>
    </row>
    <row r="181" spans="1:7" x14ac:dyDescent="0.55000000000000004">
      <c r="F181" s="61"/>
    </row>
    <row r="182" spans="1:7" x14ac:dyDescent="0.55000000000000004">
      <c r="A182" s="60" t="s">
        <v>1308</v>
      </c>
      <c r="B182" s="60" t="s">
        <v>1271</v>
      </c>
      <c r="C182" s="61" t="s">
        <v>1272</v>
      </c>
      <c r="D182" s="63">
        <v>45092</v>
      </c>
      <c r="E182" s="61" t="s">
        <v>1265</v>
      </c>
      <c r="F182" s="61" t="s">
        <v>1266</v>
      </c>
      <c r="G182" s="61" t="s">
        <v>1267</v>
      </c>
    </row>
    <row r="183" spans="1:7" x14ac:dyDescent="0.55000000000000004">
      <c r="A183" s="61"/>
      <c r="B183" s="61"/>
      <c r="C183" s="61"/>
      <c r="D183" s="61"/>
      <c r="E183" s="61"/>
      <c r="F183" s="66" t="s">
        <v>1260</v>
      </c>
      <c r="G183" s="61"/>
    </row>
    <row r="184" spans="1:7" x14ac:dyDescent="0.55000000000000004">
      <c r="A184" s="61"/>
      <c r="B184" s="61"/>
      <c r="C184" s="61"/>
      <c r="D184" s="61"/>
      <c r="E184" s="61"/>
      <c r="F184" s="61" t="s">
        <v>136</v>
      </c>
      <c r="G184" s="61"/>
    </row>
    <row r="185" spans="1:7" x14ac:dyDescent="0.55000000000000004">
      <c r="A185" s="61"/>
      <c r="B185" s="61"/>
      <c r="C185" s="61"/>
      <c r="D185" s="61"/>
      <c r="E185" s="61"/>
      <c r="F185" s="66" t="s">
        <v>1262</v>
      </c>
      <c r="G185" s="61"/>
    </row>
    <row r="186" spans="1:7" x14ac:dyDescent="0.55000000000000004">
      <c r="A186" s="61"/>
      <c r="B186" s="61"/>
      <c r="C186" s="61"/>
      <c r="D186" s="61"/>
      <c r="E186" s="61"/>
      <c r="F186" s="61" t="s">
        <v>136</v>
      </c>
      <c r="G186" s="61"/>
    </row>
    <row r="187" spans="1:7" x14ac:dyDescent="0.55000000000000004">
      <c r="A187" s="61"/>
      <c r="B187" s="61"/>
      <c r="C187" s="61"/>
      <c r="D187" s="61"/>
      <c r="E187" s="61"/>
      <c r="F187" s="61"/>
      <c r="G187" s="61"/>
    </row>
    <row r="188" spans="1:7" x14ac:dyDescent="0.55000000000000004">
      <c r="A188" s="60" t="s">
        <v>1309</v>
      </c>
      <c r="B188" s="60" t="s">
        <v>1273</v>
      </c>
      <c r="C188" s="61" t="s">
        <v>1272</v>
      </c>
      <c r="D188" s="63">
        <v>45092</v>
      </c>
      <c r="E188" s="61" t="s">
        <v>1265</v>
      </c>
      <c r="F188" s="61" t="s">
        <v>1266</v>
      </c>
      <c r="G188" s="61" t="s">
        <v>1267</v>
      </c>
    </row>
    <row r="189" spans="1:7" x14ac:dyDescent="0.55000000000000004">
      <c r="A189" s="61"/>
      <c r="B189" s="61"/>
      <c r="C189" s="61"/>
      <c r="D189" s="61"/>
      <c r="E189" s="61"/>
      <c r="F189" s="66" t="s">
        <v>1260</v>
      </c>
      <c r="G189" s="61"/>
    </row>
    <row r="190" spans="1:7" x14ac:dyDescent="0.55000000000000004">
      <c r="A190" s="61"/>
      <c r="B190" s="61"/>
      <c r="C190" s="61"/>
      <c r="D190" s="61"/>
      <c r="E190" s="61"/>
      <c r="F190" s="61" t="s">
        <v>136</v>
      </c>
      <c r="G190" s="61"/>
    </row>
    <row r="191" spans="1:7" x14ac:dyDescent="0.55000000000000004">
      <c r="A191" s="61"/>
      <c r="B191" s="61"/>
      <c r="C191" s="61"/>
      <c r="D191" s="61"/>
      <c r="E191" s="61"/>
      <c r="F191" s="66" t="s">
        <v>1262</v>
      </c>
      <c r="G191" s="61"/>
    </row>
    <row r="192" spans="1:7" x14ac:dyDescent="0.55000000000000004">
      <c r="A192" s="61"/>
      <c r="B192" s="61"/>
      <c r="C192" s="61"/>
      <c r="D192" s="61"/>
      <c r="E192" s="61"/>
      <c r="F192" s="61" t="s">
        <v>136</v>
      </c>
      <c r="G192" s="61"/>
    </row>
    <row r="193" spans="1:7" x14ac:dyDescent="0.55000000000000004">
      <c r="A193" s="61"/>
      <c r="B193" s="61"/>
      <c r="C193" s="61"/>
      <c r="D193" s="61"/>
      <c r="E193" s="61"/>
      <c r="F193" s="61"/>
      <c r="G193" s="61"/>
    </row>
    <row r="194" spans="1:7" x14ac:dyDescent="0.55000000000000004">
      <c r="A194" s="60" t="s">
        <v>1310</v>
      </c>
      <c r="B194" s="60" t="s">
        <v>1274</v>
      </c>
      <c r="C194" s="61" t="s">
        <v>1272</v>
      </c>
      <c r="D194" s="63">
        <v>45092</v>
      </c>
      <c r="E194" s="61" t="s">
        <v>1265</v>
      </c>
      <c r="F194" s="61" t="s">
        <v>1266</v>
      </c>
      <c r="G194" s="61" t="s">
        <v>1267</v>
      </c>
    </row>
    <row r="195" spans="1:7" x14ac:dyDescent="0.55000000000000004">
      <c r="A195" s="61"/>
      <c r="B195" s="61"/>
      <c r="C195" s="61"/>
      <c r="D195" s="61"/>
      <c r="E195" s="61"/>
      <c r="F195" s="66" t="s">
        <v>1260</v>
      </c>
      <c r="G195" s="61"/>
    </row>
    <row r="196" spans="1:7" x14ac:dyDescent="0.55000000000000004">
      <c r="A196" s="61"/>
      <c r="B196" s="61"/>
      <c r="C196" s="61"/>
      <c r="D196" s="61"/>
      <c r="E196" s="61"/>
      <c r="F196" s="61" t="s">
        <v>136</v>
      </c>
      <c r="G196" s="61"/>
    </row>
    <row r="197" spans="1:7" x14ac:dyDescent="0.55000000000000004">
      <c r="A197" s="61"/>
      <c r="B197" s="61"/>
      <c r="C197" s="61"/>
      <c r="D197" s="61"/>
      <c r="E197" s="61"/>
      <c r="F197" s="66" t="s">
        <v>1262</v>
      </c>
      <c r="G197" s="61"/>
    </row>
    <row r="198" spans="1:7" x14ac:dyDescent="0.55000000000000004">
      <c r="A198" s="61"/>
      <c r="B198" s="61"/>
      <c r="C198" s="61"/>
      <c r="D198" s="61"/>
      <c r="E198" s="61"/>
      <c r="F198" s="61" t="s">
        <v>136</v>
      </c>
      <c r="G198" s="61"/>
    </row>
    <row r="199" spans="1:7" x14ac:dyDescent="0.55000000000000004">
      <c r="A199" s="61"/>
      <c r="B199" s="61"/>
      <c r="C199" s="61"/>
      <c r="D199" s="61"/>
      <c r="E199" s="61"/>
      <c r="F199" s="61"/>
      <c r="G199" s="61"/>
    </row>
    <row r="200" spans="1:7" x14ac:dyDescent="0.55000000000000004">
      <c r="A200" s="60" t="s">
        <v>1311</v>
      </c>
      <c r="B200" s="60" t="s">
        <v>1275</v>
      </c>
      <c r="C200" s="61" t="s">
        <v>1272</v>
      </c>
      <c r="D200" s="63">
        <v>45092</v>
      </c>
      <c r="E200" s="61" t="s">
        <v>1265</v>
      </c>
      <c r="F200" s="61" t="s">
        <v>1266</v>
      </c>
      <c r="G200" s="61" t="s">
        <v>1267</v>
      </c>
    </row>
    <row r="201" spans="1:7" x14ac:dyDescent="0.55000000000000004">
      <c r="A201" s="61"/>
      <c r="B201" s="61"/>
      <c r="C201" s="61"/>
      <c r="D201" s="61"/>
      <c r="E201" s="61"/>
      <c r="F201" s="66" t="s">
        <v>1260</v>
      </c>
      <c r="G201" s="61"/>
    </row>
    <row r="202" spans="1:7" x14ac:dyDescent="0.55000000000000004">
      <c r="A202" s="61"/>
      <c r="B202" s="61"/>
      <c r="C202" s="61"/>
      <c r="D202" s="61"/>
      <c r="E202" s="61"/>
      <c r="F202" s="61" t="s">
        <v>136</v>
      </c>
      <c r="G202" s="61"/>
    </row>
    <row r="203" spans="1:7" x14ac:dyDescent="0.55000000000000004">
      <c r="A203" s="61"/>
      <c r="B203" s="61"/>
      <c r="C203" s="61"/>
      <c r="D203" s="61"/>
      <c r="E203" s="61"/>
      <c r="F203" s="66" t="s">
        <v>1262</v>
      </c>
      <c r="G203" s="61"/>
    </row>
    <row r="204" spans="1:7" x14ac:dyDescent="0.55000000000000004">
      <c r="A204" s="61"/>
      <c r="B204" s="61"/>
      <c r="C204" s="61"/>
      <c r="D204" s="61"/>
      <c r="E204" s="61"/>
      <c r="F204" s="61" t="s">
        <v>136</v>
      </c>
      <c r="G204" s="61"/>
    </row>
    <row r="205" spans="1:7" x14ac:dyDescent="0.55000000000000004">
      <c r="A205" s="61"/>
      <c r="B205" s="61"/>
      <c r="C205" s="61"/>
      <c r="D205" s="61"/>
      <c r="E205" s="61"/>
      <c r="F205" s="61"/>
      <c r="G205" s="61"/>
    </row>
    <row r="206" spans="1:7" x14ac:dyDescent="0.55000000000000004">
      <c r="A206" s="60" t="s">
        <v>1312</v>
      </c>
      <c r="B206" s="60" t="s">
        <v>1276</v>
      </c>
      <c r="C206" s="61" t="s">
        <v>1272</v>
      </c>
      <c r="D206" s="63">
        <v>45092</v>
      </c>
      <c r="E206" s="61" t="s">
        <v>1265</v>
      </c>
      <c r="F206" s="61" t="s">
        <v>1266</v>
      </c>
      <c r="G206" s="61" t="s">
        <v>1267</v>
      </c>
    </row>
    <row r="207" spans="1:7" x14ac:dyDescent="0.55000000000000004">
      <c r="A207" s="61"/>
      <c r="B207" s="61"/>
      <c r="C207" s="61"/>
      <c r="D207" s="61"/>
      <c r="E207" s="61"/>
      <c r="F207" s="66" t="s">
        <v>1260</v>
      </c>
      <c r="G207" s="61"/>
    </row>
    <row r="208" spans="1:7" x14ac:dyDescent="0.55000000000000004">
      <c r="A208" s="61"/>
      <c r="B208" s="61"/>
      <c r="C208" s="61"/>
      <c r="D208" s="61"/>
      <c r="E208" s="61"/>
      <c r="F208" s="61" t="s">
        <v>136</v>
      </c>
      <c r="G208" s="61"/>
    </row>
    <row r="209" spans="1:7" x14ac:dyDescent="0.55000000000000004">
      <c r="A209" s="61"/>
      <c r="B209" s="61"/>
      <c r="C209" s="61"/>
      <c r="D209" s="61"/>
      <c r="E209" s="61"/>
      <c r="F209" s="66" t="s">
        <v>1262</v>
      </c>
      <c r="G209" s="61"/>
    </row>
    <row r="210" spans="1:7" x14ac:dyDescent="0.55000000000000004">
      <c r="A210" s="61"/>
      <c r="B210" s="61"/>
      <c r="C210" s="61"/>
      <c r="D210" s="61"/>
      <c r="E210" s="61"/>
      <c r="F210" s="61" t="s">
        <v>136</v>
      </c>
      <c r="G210" s="61"/>
    </row>
    <row r="211" spans="1:7" x14ac:dyDescent="0.55000000000000004">
      <c r="A211" s="61"/>
      <c r="B211" s="61"/>
      <c r="C211" s="61"/>
      <c r="D211" s="61"/>
      <c r="E211" s="61"/>
      <c r="F211" s="61"/>
      <c r="G211" s="61"/>
    </row>
    <row r="212" spans="1:7" x14ac:dyDescent="0.55000000000000004">
      <c r="A212" s="60" t="s">
        <v>1313</v>
      </c>
      <c r="B212" s="60" t="s">
        <v>1277</v>
      </c>
      <c r="C212" s="61" t="s">
        <v>1272</v>
      </c>
      <c r="D212" s="63">
        <v>45092</v>
      </c>
      <c r="E212" s="61" t="s">
        <v>1265</v>
      </c>
      <c r="F212" s="61" t="s">
        <v>1266</v>
      </c>
      <c r="G212" s="61" t="s">
        <v>1267</v>
      </c>
    </row>
    <row r="213" spans="1:7" x14ac:dyDescent="0.55000000000000004">
      <c r="A213" s="61"/>
      <c r="B213" s="61"/>
      <c r="C213" s="61"/>
      <c r="D213" s="61"/>
      <c r="E213" s="61"/>
      <c r="F213" s="66" t="s">
        <v>1260</v>
      </c>
      <c r="G213" s="61"/>
    </row>
    <row r="214" spans="1:7" x14ac:dyDescent="0.55000000000000004">
      <c r="A214" s="61"/>
      <c r="B214" s="61"/>
      <c r="C214" s="61"/>
      <c r="D214" s="61"/>
      <c r="E214" s="61"/>
      <c r="F214" s="61" t="s">
        <v>136</v>
      </c>
      <c r="G214" s="61"/>
    </row>
    <row r="215" spans="1:7" x14ac:dyDescent="0.55000000000000004">
      <c r="A215" s="61"/>
      <c r="B215" s="61"/>
      <c r="C215" s="61"/>
      <c r="D215" s="61"/>
      <c r="E215" s="61"/>
      <c r="F215" s="66" t="s">
        <v>1262</v>
      </c>
      <c r="G215" s="61"/>
    </row>
    <row r="216" spans="1:7" x14ac:dyDescent="0.55000000000000004">
      <c r="A216" s="61"/>
      <c r="B216" s="61"/>
      <c r="C216" s="61"/>
      <c r="D216" s="61"/>
      <c r="E216" s="61"/>
      <c r="F216" s="61" t="s">
        <v>136</v>
      </c>
      <c r="G216" s="61"/>
    </row>
    <row r="217" spans="1:7" x14ac:dyDescent="0.55000000000000004">
      <c r="A217" s="61"/>
      <c r="B217" s="61"/>
      <c r="C217" s="61"/>
      <c r="D217" s="61"/>
      <c r="E217" s="61"/>
      <c r="F217" s="61"/>
      <c r="G217" s="61"/>
    </row>
    <row r="218" spans="1:7" x14ac:dyDescent="0.55000000000000004">
      <c r="A218" s="60" t="s">
        <v>1314</v>
      </c>
      <c r="B218" s="60" t="s">
        <v>1278</v>
      </c>
      <c r="C218" s="61" t="s">
        <v>1272</v>
      </c>
      <c r="D218" s="63">
        <v>45092</v>
      </c>
      <c r="E218" s="61" t="s">
        <v>1265</v>
      </c>
      <c r="F218" s="61" t="s">
        <v>1266</v>
      </c>
      <c r="G218" s="61" t="s">
        <v>1267</v>
      </c>
    </row>
    <row r="219" spans="1:7" x14ac:dyDescent="0.55000000000000004">
      <c r="A219" s="61"/>
      <c r="B219" s="61"/>
      <c r="C219" s="61"/>
      <c r="D219" s="61"/>
      <c r="E219" s="61"/>
      <c r="F219" s="66" t="s">
        <v>1260</v>
      </c>
      <c r="G219" s="61"/>
    </row>
    <row r="220" spans="1:7" x14ac:dyDescent="0.55000000000000004">
      <c r="A220" s="61"/>
      <c r="B220" s="61"/>
      <c r="C220" s="61"/>
      <c r="D220" s="61"/>
      <c r="E220" s="61"/>
      <c r="F220" s="61" t="s">
        <v>136</v>
      </c>
      <c r="G220" s="61"/>
    </row>
    <row r="221" spans="1:7" x14ac:dyDescent="0.55000000000000004">
      <c r="A221" s="61"/>
      <c r="B221" s="61"/>
      <c r="C221" s="61"/>
      <c r="D221" s="61"/>
      <c r="E221" s="61"/>
      <c r="F221" s="66" t="s">
        <v>1262</v>
      </c>
      <c r="G221" s="61"/>
    </row>
    <row r="222" spans="1:7" x14ac:dyDescent="0.55000000000000004">
      <c r="A222" s="61"/>
      <c r="B222" s="61"/>
      <c r="C222" s="61"/>
      <c r="D222" s="61"/>
      <c r="E222" s="61"/>
      <c r="F222" s="61" t="s">
        <v>136</v>
      </c>
      <c r="G222" s="61"/>
    </row>
    <row r="223" spans="1:7" x14ac:dyDescent="0.55000000000000004">
      <c r="A223" s="61"/>
      <c r="B223" s="61"/>
      <c r="C223" s="61"/>
      <c r="D223" s="61"/>
      <c r="E223" s="61"/>
      <c r="F223" s="61"/>
      <c r="G223" s="61"/>
    </row>
    <row r="224" spans="1:7" x14ac:dyDescent="0.55000000000000004">
      <c r="A224" s="60" t="s">
        <v>1315</v>
      </c>
      <c r="B224" s="60" t="s">
        <v>139</v>
      </c>
      <c r="C224" s="61" t="s">
        <v>1272</v>
      </c>
      <c r="D224" s="63">
        <v>45092</v>
      </c>
      <c r="E224" s="61" t="s">
        <v>1265</v>
      </c>
      <c r="F224" s="61" t="s">
        <v>1266</v>
      </c>
      <c r="G224" s="61" t="s">
        <v>1267</v>
      </c>
    </row>
    <row r="225" spans="1:7" x14ac:dyDescent="0.55000000000000004">
      <c r="A225" s="61"/>
      <c r="B225" s="61"/>
      <c r="C225" s="61"/>
      <c r="D225" s="61"/>
      <c r="E225" s="61"/>
      <c r="F225" s="66" t="s">
        <v>1260</v>
      </c>
      <c r="G225" s="61"/>
    </row>
    <row r="226" spans="1:7" x14ac:dyDescent="0.55000000000000004">
      <c r="A226" s="61"/>
      <c r="B226" s="61"/>
      <c r="C226" s="61"/>
      <c r="D226" s="61"/>
      <c r="E226" s="61"/>
      <c r="F226" s="61" t="s">
        <v>136</v>
      </c>
      <c r="G226" s="61"/>
    </row>
    <row r="227" spans="1:7" x14ac:dyDescent="0.55000000000000004">
      <c r="A227" s="61"/>
      <c r="B227" s="61"/>
      <c r="C227" s="61"/>
      <c r="D227" s="61"/>
      <c r="E227" s="61"/>
      <c r="F227" s="66" t="s">
        <v>1262</v>
      </c>
      <c r="G227" s="61"/>
    </row>
    <row r="228" spans="1:7" x14ac:dyDescent="0.55000000000000004">
      <c r="A228" s="61"/>
      <c r="B228" s="61"/>
      <c r="C228" s="61"/>
      <c r="D228" s="61"/>
      <c r="E228" s="61"/>
      <c r="F228" s="61" t="s">
        <v>136</v>
      </c>
      <c r="G228" s="61"/>
    </row>
    <row r="229" spans="1:7" x14ac:dyDescent="0.55000000000000004">
      <c r="A229" s="61"/>
      <c r="B229" s="61"/>
      <c r="C229" s="61"/>
      <c r="D229" s="61"/>
      <c r="E229" s="61"/>
      <c r="F229" s="61"/>
      <c r="G229" s="61"/>
    </row>
    <row r="230" spans="1:7" x14ac:dyDescent="0.55000000000000004">
      <c r="A230" s="60" t="s">
        <v>1316</v>
      </c>
      <c r="B230" s="60" t="s">
        <v>1279</v>
      </c>
      <c r="C230" s="61" t="s">
        <v>1272</v>
      </c>
      <c r="D230" s="63">
        <v>45092</v>
      </c>
      <c r="E230" s="61" t="s">
        <v>1265</v>
      </c>
      <c r="F230" s="61" t="s">
        <v>1266</v>
      </c>
      <c r="G230" s="61" t="s">
        <v>1267</v>
      </c>
    </row>
    <row r="231" spans="1:7" x14ac:dyDescent="0.55000000000000004">
      <c r="A231" s="61"/>
      <c r="B231" s="61"/>
      <c r="C231" s="61"/>
      <c r="D231" s="61"/>
      <c r="E231" s="61"/>
      <c r="F231" s="66" t="s">
        <v>1260</v>
      </c>
      <c r="G231" s="61"/>
    </row>
    <row r="232" spans="1:7" x14ac:dyDescent="0.55000000000000004">
      <c r="A232" s="61"/>
      <c r="B232" s="61"/>
      <c r="C232" s="61"/>
      <c r="D232" s="61"/>
      <c r="E232" s="61"/>
      <c r="F232" s="61" t="s">
        <v>136</v>
      </c>
      <c r="G232" s="61"/>
    </row>
    <row r="233" spans="1:7" x14ac:dyDescent="0.55000000000000004">
      <c r="A233" s="61"/>
      <c r="B233" s="61"/>
      <c r="C233" s="61"/>
      <c r="D233" s="61"/>
      <c r="E233" s="61"/>
      <c r="F233" s="66" t="s">
        <v>1262</v>
      </c>
      <c r="G233" s="61"/>
    </row>
    <row r="234" spans="1:7" x14ac:dyDescent="0.55000000000000004">
      <c r="A234" s="61"/>
      <c r="B234" s="61"/>
      <c r="C234" s="61"/>
      <c r="D234" s="61"/>
      <c r="E234" s="61"/>
      <c r="F234" s="61" t="s">
        <v>136</v>
      </c>
      <c r="G234" s="61"/>
    </row>
    <row r="235" spans="1:7" x14ac:dyDescent="0.55000000000000004">
      <c r="A235" s="61"/>
      <c r="B235" s="61"/>
      <c r="C235" s="61"/>
      <c r="D235" s="61"/>
      <c r="E235" s="61"/>
      <c r="F235" s="61"/>
      <c r="G235" s="61"/>
    </row>
    <row r="236" spans="1:7" x14ac:dyDescent="0.55000000000000004">
      <c r="A236" s="60" t="s">
        <v>1317</v>
      </c>
      <c r="B236" s="60" t="s">
        <v>1280</v>
      </c>
      <c r="C236" s="61" t="s">
        <v>1272</v>
      </c>
      <c r="D236" s="63">
        <v>45092</v>
      </c>
      <c r="E236" s="61" t="s">
        <v>1265</v>
      </c>
      <c r="F236" s="61" t="s">
        <v>1266</v>
      </c>
      <c r="G236" s="61" t="s">
        <v>1267</v>
      </c>
    </row>
    <row r="237" spans="1:7" x14ac:dyDescent="0.55000000000000004">
      <c r="A237" s="61"/>
      <c r="B237" s="61"/>
      <c r="C237" s="61"/>
      <c r="D237" s="61"/>
      <c r="E237" s="61"/>
      <c r="F237" s="66" t="s">
        <v>1260</v>
      </c>
      <c r="G237" s="61"/>
    </row>
    <row r="238" spans="1:7" x14ac:dyDescent="0.55000000000000004">
      <c r="A238" s="61"/>
      <c r="B238" s="61"/>
      <c r="C238" s="61"/>
      <c r="D238" s="61"/>
      <c r="E238" s="61"/>
      <c r="F238" s="61" t="s">
        <v>136</v>
      </c>
      <c r="G238" s="61"/>
    </row>
    <row r="239" spans="1:7" x14ac:dyDescent="0.55000000000000004">
      <c r="A239" s="61"/>
      <c r="B239" s="61"/>
      <c r="C239" s="61"/>
      <c r="D239" s="61"/>
      <c r="E239" s="61"/>
      <c r="F239" s="66" t="s">
        <v>1262</v>
      </c>
      <c r="G239" s="61"/>
    </row>
    <row r="240" spans="1:7" x14ac:dyDescent="0.55000000000000004">
      <c r="A240" s="61"/>
      <c r="B240" s="61"/>
      <c r="C240" s="61"/>
      <c r="D240" s="61"/>
      <c r="E240" s="61"/>
      <c r="F240" s="61" t="s">
        <v>136</v>
      </c>
      <c r="G240" s="61"/>
    </row>
    <row r="241" spans="1:7" x14ac:dyDescent="0.55000000000000004">
      <c r="A241" s="61"/>
      <c r="B241" s="61"/>
      <c r="C241" s="61"/>
      <c r="D241" s="61"/>
      <c r="E241" s="61"/>
      <c r="F241" s="61"/>
      <c r="G241" s="61"/>
    </row>
    <row r="242" spans="1:7" x14ac:dyDescent="0.55000000000000004">
      <c r="A242" s="60" t="s">
        <v>1318</v>
      </c>
      <c r="B242" s="60" t="s">
        <v>1281</v>
      </c>
      <c r="C242" s="61" t="s">
        <v>1272</v>
      </c>
      <c r="D242" s="63">
        <v>45092</v>
      </c>
      <c r="E242" s="61" t="s">
        <v>1265</v>
      </c>
      <c r="F242" s="61" t="s">
        <v>1266</v>
      </c>
      <c r="G242" s="61" t="s">
        <v>1267</v>
      </c>
    </row>
    <row r="243" spans="1:7" x14ac:dyDescent="0.55000000000000004">
      <c r="A243" s="61"/>
      <c r="B243" s="61"/>
      <c r="C243" s="61"/>
      <c r="D243" s="61"/>
      <c r="E243" s="61"/>
      <c r="F243" s="66" t="s">
        <v>1260</v>
      </c>
      <c r="G243" s="61"/>
    </row>
    <row r="244" spans="1:7" x14ac:dyDescent="0.55000000000000004">
      <c r="A244" s="61"/>
      <c r="B244" s="61"/>
      <c r="C244" s="61"/>
      <c r="D244" s="61"/>
      <c r="E244" s="61"/>
      <c r="F244" s="61" t="s">
        <v>136</v>
      </c>
      <c r="G244" s="61"/>
    </row>
    <row r="245" spans="1:7" x14ac:dyDescent="0.55000000000000004">
      <c r="A245" s="61"/>
      <c r="B245" s="61"/>
      <c r="C245" s="61"/>
      <c r="D245" s="61"/>
      <c r="E245" s="61"/>
      <c r="F245" s="66" t="s">
        <v>1262</v>
      </c>
      <c r="G245" s="61"/>
    </row>
    <row r="246" spans="1:7" x14ac:dyDescent="0.55000000000000004">
      <c r="A246" s="61"/>
      <c r="B246" s="61"/>
      <c r="C246" s="61"/>
      <c r="D246" s="61"/>
      <c r="E246" s="61"/>
      <c r="F246" s="61" t="s">
        <v>136</v>
      </c>
      <c r="G246" s="61"/>
    </row>
    <row r="247" spans="1:7" x14ac:dyDescent="0.55000000000000004">
      <c r="A247" s="61"/>
      <c r="B247" s="61"/>
      <c r="C247" s="61"/>
      <c r="D247" s="61"/>
      <c r="E247" s="61"/>
      <c r="F247" s="61"/>
      <c r="G247" s="61"/>
    </row>
    <row r="248" spans="1:7" x14ac:dyDescent="0.55000000000000004">
      <c r="A248" s="60" t="s">
        <v>1319</v>
      </c>
      <c r="B248" s="60" t="s">
        <v>1282</v>
      </c>
      <c r="C248" s="61" t="s">
        <v>1272</v>
      </c>
      <c r="D248" s="63">
        <v>45092</v>
      </c>
      <c r="E248" s="61" t="s">
        <v>1265</v>
      </c>
      <c r="F248" s="61" t="s">
        <v>1266</v>
      </c>
      <c r="G248" s="61" t="s">
        <v>1267</v>
      </c>
    </row>
    <row r="249" spans="1:7" x14ac:dyDescent="0.55000000000000004">
      <c r="A249" s="61"/>
      <c r="B249" s="61"/>
      <c r="C249" s="61"/>
      <c r="D249" s="61"/>
      <c r="E249" s="61"/>
      <c r="F249" s="66" t="s">
        <v>1260</v>
      </c>
      <c r="G249" s="61"/>
    </row>
    <row r="250" spans="1:7" x14ac:dyDescent="0.55000000000000004">
      <c r="A250" s="61"/>
      <c r="B250" s="61"/>
      <c r="C250" s="61"/>
      <c r="D250" s="61"/>
      <c r="E250" s="61"/>
      <c r="F250" s="61" t="s">
        <v>136</v>
      </c>
      <c r="G250" s="61"/>
    </row>
    <row r="251" spans="1:7" x14ac:dyDescent="0.55000000000000004">
      <c r="A251" s="61"/>
      <c r="B251" s="61"/>
      <c r="C251" s="61"/>
      <c r="D251" s="61"/>
      <c r="E251" s="61"/>
      <c r="F251" s="66" t="s">
        <v>1262</v>
      </c>
      <c r="G251" s="61"/>
    </row>
    <row r="252" spans="1:7" x14ac:dyDescent="0.55000000000000004">
      <c r="A252" s="61"/>
      <c r="B252" s="61"/>
      <c r="C252" s="61"/>
      <c r="D252" s="61"/>
      <c r="E252" s="61"/>
      <c r="F252" s="61" t="s">
        <v>136</v>
      </c>
      <c r="G252" s="61"/>
    </row>
    <row r="253" spans="1:7" x14ac:dyDescent="0.55000000000000004">
      <c r="A253" s="61"/>
      <c r="B253" s="61"/>
      <c r="C253" s="61"/>
      <c r="D253" s="61"/>
      <c r="E253" s="61"/>
      <c r="F253" s="61"/>
      <c r="G253" s="61"/>
    </row>
    <row r="254" spans="1:7" x14ac:dyDescent="0.55000000000000004">
      <c r="A254" s="60" t="s">
        <v>1320</v>
      </c>
      <c r="B254" s="60" t="s">
        <v>1283</v>
      </c>
      <c r="C254" s="61" t="s">
        <v>1272</v>
      </c>
      <c r="D254" s="63">
        <v>45092</v>
      </c>
      <c r="E254" s="61" t="s">
        <v>1265</v>
      </c>
      <c r="F254" s="61" t="s">
        <v>1266</v>
      </c>
      <c r="G254" s="61" t="s">
        <v>1267</v>
      </c>
    </row>
    <row r="255" spans="1:7" x14ac:dyDescent="0.55000000000000004">
      <c r="A255" s="61"/>
      <c r="B255" s="61"/>
      <c r="C255" s="61"/>
      <c r="D255" s="61"/>
      <c r="E255" s="61"/>
      <c r="F255" s="66" t="s">
        <v>1260</v>
      </c>
      <c r="G255" s="61"/>
    </row>
    <row r="256" spans="1:7" x14ac:dyDescent="0.55000000000000004">
      <c r="A256" s="61"/>
      <c r="B256" s="61"/>
      <c r="C256" s="61"/>
      <c r="D256" s="61"/>
      <c r="E256" s="61"/>
      <c r="F256" s="61" t="s">
        <v>136</v>
      </c>
      <c r="G256" s="61"/>
    </row>
    <row r="257" spans="1:7" x14ac:dyDescent="0.55000000000000004">
      <c r="A257" s="61"/>
      <c r="B257" s="61"/>
      <c r="C257" s="61"/>
      <c r="D257" s="61"/>
      <c r="E257" s="61"/>
      <c r="F257" s="66" t="s">
        <v>1262</v>
      </c>
      <c r="G257" s="61"/>
    </row>
    <row r="258" spans="1:7" x14ac:dyDescent="0.55000000000000004">
      <c r="A258" s="61"/>
      <c r="B258" s="61"/>
      <c r="C258" s="61"/>
      <c r="D258" s="61"/>
      <c r="E258" s="61"/>
      <c r="F258" s="61" t="s">
        <v>136</v>
      </c>
      <c r="G258" s="61"/>
    </row>
    <row r="260" spans="1:7" x14ac:dyDescent="0.55000000000000004">
      <c r="A260" s="77" t="s">
        <v>390</v>
      </c>
      <c r="B260" s="73" t="s">
        <v>1321</v>
      </c>
      <c r="C260" s="52" t="s">
        <v>136</v>
      </c>
      <c r="D260" s="52">
        <v>45155</v>
      </c>
      <c r="E260" s="52" t="s">
        <v>1322</v>
      </c>
      <c r="F260" s="52" t="s">
        <v>1323</v>
      </c>
      <c r="G260" s="68">
        <v>47</v>
      </c>
    </row>
    <row r="261" spans="1:7" x14ac:dyDescent="0.55000000000000004">
      <c r="F261" s="4" t="s">
        <v>1260</v>
      </c>
    </row>
    <row r="262" spans="1:7" x14ac:dyDescent="0.55000000000000004">
      <c r="F262" s="52" t="s">
        <v>1261</v>
      </c>
    </row>
    <row r="263" spans="1:7" x14ac:dyDescent="0.55000000000000004">
      <c r="F263" s="4" t="s">
        <v>1262</v>
      </c>
    </row>
    <row r="264" spans="1:7" x14ac:dyDescent="0.55000000000000004">
      <c r="F264" s="52" t="s">
        <v>1261</v>
      </c>
    </row>
    <row r="266" spans="1:7" x14ac:dyDescent="0.55000000000000004">
      <c r="A266" s="77" t="s">
        <v>384</v>
      </c>
      <c r="B266" s="73" t="s">
        <v>1324</v>
      </c>
      <c r="C266" s="52" t="s">
        <v>136</v>
      </c>
      <c r="D266" s="52">
        <v>45155</v>
      </c>
      <c r="E266" s="52" t="s">
        <v>1322</v>
      </c>
      <c r="F266" s="52" t="s">
        <v>1323</v>
      </c>
      <c r="G266" s="68">
        <v>47</v>
      </c>
    </row>
    <row r="267" spans="1:7" x14ac:dyDescent="0.55000000000000004">
      <c r="F267" s="4" t="s">
        <v>1260</v>
      </c>
    </row>
    <row r="268" spans="1:7" x14ac:dyDescent="0.55000000000000004">
      <c r="F268" s="52" t="s">
        <v>1261</v>
      </c>
    </row>
    <row r="269" spans="1:7" x14ac:dyDescent="0.55000000000000004">
      <c r="F269" s="4" t="s">
        <v>1262</v>
      </c>
    </row>
    <row r="270" spans="1:7" x14ac:dyDescent="0.55000000000000004">
      <c r="F270" s="52" t="s">
        <v>1261</v>
      </c>
    </row>
    <row r="272" spans="1:7" x14ac:dyDescent="0.55000000000000004">
      <c r="A272" s="77" t="s">
        <v>382</v>
      </c>
      <c r="B272" s="73" t="s">
        <v>1325</v>
      </c>
      <c r="C272" s="52" t="s">
        <v>136</v>
      </c>
      <c r="D272" s="52">
        <v>45155</v>
      </c>
      <c r="E272" s="52" t="s">
        <v>1322</v>
      </c>
      <c r="F272" s="52" t="s">
        <v>1323</v>
      </c>
      <c r="G272" s="68">
        <v>47</v>
      </c>
    </row>
    <row r="273" spans="1:7" x14ac:dyDescent="0.55000000000000004">
      <c r="F273" s="4" t="s">
        <v>1260</v>
      </c>
    </row>
    <row r="274" spans="1:7" x14ac:dyDescent="0.55000000000000004">
      <c r="F274" s="52" t="s">
        <v>1261</v>
      </c>
    </row>
    <row r="275" spans="1:7" x14ac:dyDescent="0.55000000000000004">
      <c r="F275" s="4" t="s">
        <v>1262</v>
      </c>
    </row>
    <row r="276" spans="1:7" x14ac:dyDescent="0.55000000000000004">
      <c r="F276" s="52" t="s">
        <v>1261</v>
      </c>
    </row>
    <row r="278" spans="1:7" x14ac:dyDescent="0.55000000000000004">
      <c r="A278" s="77" t="s">
        <v>467</v>
      </c>
      <c r="B278" s="73" t="s">
        <v>1326</v>
      </c>
      <c r="C278" s="52" t="s">
        <v>136</v>
      </c>
      <c r="D278" s="52">
        <v>45155</v>
      </c>
      <c r="E278" s="52" t="s">
        <v>1322</v>
      </c>
      <c r="F278" s="52" t="s">
        <v>1327</v>
      </c>
      <c r="G278" s="68">
        <v>47</v>
      </c>
    </row>
    <row r="279" spans="1:7" x14ac:dyDescent="0.55000000000000004">
      <c r="F279" s="4" t="s">
        <v>1260</v>
      </c>
    </row>
    <row r="280" spans="1:7" x14ac:dyDescent="0.55000000000000004">
      <c r="F280" s="52" t="s">
        <v>1261</v>
      </c>
    </row>
    <row r="281" spans="1:7" x14ac:dyDescent="0.55000000000000004">
      <c r="F281" s="4" t="s">
        <v>1262</v>
      </c>
    </row>
    <row r="282" spans="1:7" x14ac:dyDescent="0.55000000000000004">
      <c r="F282" s="52" t="s">
        <v>1261</v>
      </c>
    </row>
    <row r="284" spans="1:7" x14ac:dyDescent="0.55000000000000004">
      <c r="A284" s="77" t="s">
        <v>465</v>
      </c>
      <c r="B284" s="73" t="s">
        <v>1328</v>
      </c>
      <c r="C284" s="52" t="s">
        <v>136</v>
      </c>
      <c r="D284" s="52">
        <v>45155</v>
      </c>
      <c r="E284" s="52" t="s">
        <v>1322</v>
      </c>
      <c r="F284" s="52" t="s">
        <v>1327</v>
      </c>
      <c r="G284" s="68">
        <v>47</v>
      </c>
    </row>
    <row r="285" spans="1:7" x14ac:dyDescent="0.55000000000000004">
      <c r="F285" s="4" t="s">
        <v>1260</v>
      </c>
    </row>
    <row r="286" spans="1:7" x14ac:dyDescent="0.55000000000000004">
      <c r="F286" s="52" t="s">
        <v>1261</v>
      </c>
    </row>
    <row r="287" spans="1:7" x14ac:dyDescent="0.55000000000000004">
      <c r="F287" s="4" t="s">
        <v>1262</v>
      </c>
    </row>
    <row r="288" spans="1:7" x14ac:dyDescent="0.55000000000000004">
      <c r="F288" s="52" t="s">
        <v>1261</v>
      </c>
    </row>
    <row r="290" spans="1:7" x14ac:dyDescent="0.55000000000000004">
      <c r="A290" s="77" t="s">
        <v>458</v>
      </c>
      <c r="B290" s="73" t="s">
        <v>1329</v>
      </c>
      <c r="C290" s="52" t="s">
        <v>136</v>
      </c>
      <c r="D290" s="52">
        <v>45155</v>
      </c>
      <c r="E290" s="52" t="s">
        <v>1322</v>
      </c>
      <c r="F290" s="52" t="s">
        <v>1327</v>
      </c>
      <c r="G290" s="68">
        <v>47</v>
      </c>
    </row>
    <row r="291" spans="1:7" x14ac:dyDescent="0.55000000000000004">
      <c r="F291" s="4" t="s">
        <v>1260</v>
      </c>
    </row>
    <row r="292" spans="1:7" x14ac:dyDescent="0.55000000000000004">
      <c r="F292" s="52" t="s">
        <v>1261</v>
      </c>
    </row>
    <row r="293" spans="1:7" x14ac:dyDescent="0.55000000000000004">
      <c r="F293" s="4" t="s">
        <v>1262</v>
      </c>
    </row>
    <row r="294" spans="1:7" x14ac:dyDescent="0.55000000000000004">
      <c r="F294" s="52" t="s">
        <v>1261</v>
      </c>
    </row>
    <row r="296" spans="1:7" x14ac:dyDescent="0.55000000000000004">
      <c r="A296" s="77" t="s">
        <v>462</v>
      </c>
      <c r="B296" s="73" t="s">
        <v>1330</v>
      </c>
      <c r="C296" s="52" t="s">
        <v>136</v>
      </c>
      <c r="D296" s="52">
        <v>45155</v>
      </c>
      <c r="E296" s="52" t="s">
        <v>1322</v>
      </c>
      <c r="F296" s="52" t="s">
        <v>1327</v>
      </c>
      <c r="G296" s="68">
        <v>47</v>
      </c>
    </row>
    <row r="297" spans="1:7" x14ac:dyDescent="0.55000000000000004">
      <c r="F297" s="4" t="s">
        <v>1260</v>
      </c>
    </row>
    <row r="298" spans="1:7" x14ac:dyDescent="0.55000000000000004">
      <c r="F298" s="52" t="s">
        <v>1261</v>
      </c>
    </row>
    <row r="299" spans="1:7" x14ac:dyDescent="0.55000000000000004">
      <c r="F299" s="4" t="s">
        <v>1262</v>
      </c>
    </row>
    <row r="300" spans="1:7" x14ac:dyDescent="0.55000000000000004">
      <c r="F300" s="52" t="s">
        <v>1261</v>
      </c>
    </row>
    <row r="302" spans="1:7" x14ac:dyDescent="0.55000000000000004">
      <c r="A302" s="77" t="s">
        <v>460</v>
      </c>
      <c r="B302" s="73" t="s">
        <v>1331</v>
      </c>
      <c r="C302" s="52" t="s">
        <v>136</v>
      </c>
      <c r="D302" s="52">
        <v>45155</v>
      </c>
      <c r="E302" s="52" t="s">
        <v>1322</v>
      </c>
      <c r="F302" s="52" t="s">
        <v>1327</v>
      </c>
      <c r="G302" s="68">
        <v>47</v>
      </c>
    </row>
    <row r="303" spans="1:7" x14ac:dyDescent="0.55000000000000004">
      <c r="F303" s="4" t="s">
        <v>1260</v>
      </c>
    </row>
    <row r="304" spans="1:7" x14ac:dyDescent="0.55000000000000004">
      <c r="F304" s="52" t="s">
        <v>1261</v>
      </c>
    </row>
    <row r="305" spans="1:7" x14ac:dyDescent="0.55000000000000004">
      <c r="F305" s="4" t="s">
        <v>1262</v>
      </c>
    </row>
    <row r="306" spans="1:7" x14ac:dyDescent="0.55000000000000004">
      <c r="F306" s="52" t="s">
        <v>1261</v>
      </c>
    </row>
    <row r="308" spans="1:7" x14ac:dyDescent="0.55000000000000004">
      <c r="A308" s="77" t="s">
        <v>412</v>
      </c>
      <c r="B308" s="73" t="s">
        <v>1332</v>
      </c>
      <c r="C308" s="52" t="s">
        <v>136</v>
      </c>
      <c r="D308" s="52">
        <v>45155</v>
      </c>
      <c r="E308" s="52" t="s">
        <v>1322</v>
      </c>
      <c r="F308" s="52" t="s">
        <v>1327</v>
      </c>
      <c r="G308" s="68">
        <v>47</v>
      </c>
    </row>
    <row r="309" spans="1:7" x14ac:dyDescent="0.55000000000000004">
      <c r="F309" s="4" t="s">
        <v>1260</v>
      </c>
    </row>
    <row r="310" spans="1:7" x14ac:dyDescent="0.55000000000000004">
      <c r="F310" s="52" t="s">
        <v>1261</v>
      </c>
    </row>
    <row r="311" spans="1:7" x14ac:dyDescent="0.55000000000000004">
      <c r="F311" s="4" t="s">
        <v>1262</v>
      </c>
    </row>
    <row r="312" spans="1:7" x14ac:dyDescent="0.55000000000000004">
      <c r="F312" s="52" t="s">
        <v>1261</v>
      </c>
    </row>
    <row r="314" spans="1:7" x14ac:dyDescent="0.55000000000000004">
      <c r="A314" s="77" t="s">
        <v>416</v>
      </c>
      <c r="B314" s="77" t="s">
        <v>1333</v>
      </c>
      <c r="C314" s="52" t="s">
        <v>136</v>
      </c>
      <c r="D314" s="52">
        <v>45155</v>
      </c>
      <c r="E314" s="52" t="s">
        <v>1322</v>
      </c>
      <c r="F314" s="52" t="s">
        <v>1327</v>
      </c>
      <c r="G314" s="68">
        <v>47</v>
      </c>
    </row>
    <row r="315" spans="1:7" x14ac:dyDescent="0.55000000000000004">
      <c r="F315" s="4" t="s">
        <v>1260</v>
      </c>
    </row>
    <row r="316" spans="1:7" x14ac:dyDescent="0.55000000000000004">
      <c r="F316" s="52" t="s">
        <v>1261</v>
      </c>
    </row>
    <row r="317" spans="1:7" x14ac:dyDescent="0.55000000000000004">
      <c r="F317" s="4" t="s">
        <v>1262</v>
      </c>
    </row>
    <row r="318" spans="1:7" x14ac:dyDescent="0.55000000000000004">
      <c r="F318" s="52" t="s">
        <v>1261</v>
      </c>
    </row>
    <row r="320" spans="1:7" x14ac:dyDescent="0.55000000000000004">
      <c r="A320" s="77" t="s">
        <v>453</v>
      </c>
      <c r="B320" s="77" t="s">
        <v>1334</v>
      </c>
      <c r="C320" s="52" t="s">
        <v>136</v>
      </c>
      <c r="D320" s="52">
        <v>45155</v>
      </c>
      <c r="E320" s="52" t="s">
        <v>1322</v>
      </c>
      <c r="F320" s="52" t="s">
        <v>1327</v>
      </c>
      <c r="G320" s="68">
        <v>47</v>
      </c>
    </row>
    <row r="321" spans="1:7" x14ac:dyDescent="0.55000000000000004">
      <c r="F321" s="4" t="s">
        <v>1260</v>
      </c>
    </row>
    <row r="322" spans="1:7" x14ac:dyDescent="0.55000000000000004">
      <c r="F322" s="52" t="s">
        <v>1261</v>
      </c>
    </row>
    <row r="323" spans="1:7" x14ac:dyDescent="0.55000000000000004">
      <c r="F323" s="4" t="s">
        <v>1262</v>
      </c>
    </row>
    <row r="324" spans="1:7" x14ac:dyDescent="0.55000000000000004">
      <c r="F324" s="52" t="s">
        <v>1261</v>
      </c>
    </row>
    <row r="326" spans="1:7" x14ac:dyDescent="0.55000000000000004">
      <c r="A326" s="77" t="s">
        <v>478</v>
      </c>
      <c r="B326" s="92" t="s">
        <v>2007</v>
      </c>
      <c r="C326" s="52" t="s">
        <v>136</v>
      </c>
      <c r="D326" s="52">
        <v>45155</v>
      </c>
      <c r="E326" s="52" t="s">
        <v>1322</v>
      </c>
      <c r="F326" s="52" t="s">
        <v>1323</v>
      </c>
      <c r="G326" s="68">
        <v>47</v>
      </c>
    </row>
    <row r="327" spans="1:7" x14ac:dyDescent="0.55000000000000004">
      <c r="F327" s="4" t="s">
        <v>1260</v>
      </c>
    </row>
    <row r="328" spans="1:7" x14ac:dyDescent="0.55000000000000004">
      <c r="F328" s="52" t="s">
        <v>1261</v>
      </c>
    </row>
    <row r="329" spans="1:7" x14ac:dyDescent="0.55000000000000004">
      <c r="F329" s="4" t="s">
        <v>1262</v>
      </c>
    </row>
    <row r="330" spans="1:7" x14ac:dyDescent="0.55000000000000004">
      <c r="F330" s="52" t="s">
        <v>1261</v>
      </c>
    </row>
    <row r="332" spans="1:7" x14ac:dyDescent="0.55000000000000004">
      <c r="A332" s="77" t="s">
        <v>477</v>
      </c>
      <c r="B332" s="92" t="s">
        <v>2006</v>
      </c>
      <c r="C332" s="52" t="s">
        <v>136</v>
      </c>
      <c r="D332" s="52">
        <v>45156</v>
      </c>
      <c r="E332" s="52" t="s">
        <v>1322</v>
      </c>
      <c r="F332" s="52" t="s">
        <v>1323</v>
      </c>
      <c r="G332" s="68">
        <v>47</v>
      </c>
    </row>
    <row r="333" spans="1:7" x14ac:dyDescent="0.55000000000000004">
      <c r="F333" s="4" t="s">
        <v>1260</v>
      </c>
    </row>
    <row r="334" spans="1:7" x14ac:dyDescent="0.55000000000000004">
      <c r="F334" s="52" t="s">
        <v>1261</v>
      </c>
    </row>
    <row r="335" spans="1:7" x14ac:dyDescent="0.55000000000000004">
      <c r="F335" s="4" t="s">
        <v>1262</v>
      </c>
    </row>
    <row r="336" spans="1:7" x14ac:dyDescent="0.55000000000000004">
      <c r="F336" s="52" t="s">
        <v>1261</v>
      </c>
    </row>
    <row r="338" spans="1:7" x14ac:dyDescent="0.55000000000000004">
      <c r="A338" s="77" t="s">
        <v>456</v>
      </c>
      <c r="B338" s="73" t="s">
        <v>1335</v>
      </c>
      <c r="C338" s="52" t="s">
        <v>136</v>
      </c>
      <c r="D338" s="52">
        <v>45156</v>
      </c>
      <c r="E338" s="52" t="s">
        <v>1322</v>
      </c>
      <c r="F338" s="52" t="s">
        <v>1323</v>
      </c>
      <c r="G338" s="68">
        <v>47</v>
      </c>
    </row>
    <row r="339" spans="1:7" x14ac:dyDescent="0.55000000000000004">
      <c r="F339" s="4" t="s">
        <v>1260</v>
      </c>
    </row>
    <row r="340" spans="1:7" x14ac:dyDescent="0.55000000000000004">
      <c r="F340" s="52" t="s">
        <v>1261</v>
      </c>
    </row>
    <row r="341" spans="1:7" x14ac:dyDescent="0.55000000000000004">
      <c r="F341" s="4" t="s">
        <v>1262</v>
      </c>
    </row>
    <row r="342" spans="1:7" x14ac:dyDescent="0.55000000000000004">
      <c r="F342" s="52" t="s">
        <v>1261</v>
      </c>
    </row>
    <row r="344" spans="1:7" x14ac:dyDescent="0.55000000000000004">
      <c r="A344" s="77" t="s">
        <v>379</v>
      </c>
      <c r="B344" s="73" t="s">
        <v>1336</v>
      </c>
      <c r="C344" s="52" t="s">
        <v>136</v>
      </c>
      <c r="D344" s="52">
        <v>45156</v>
      </c>
      <c r="E344" s="52" t="s">
        <v>1322</v>
      </c>
      <c r="F344" s="52" t="s">
        <v>1323</v>
      </c>
      <c r="G344" s="68">
        <v>47</v>
      </c>
    </row>
    <row r="345" spans="1:7" x14ac:dyDescent="0.55000000000000004">
      <c r="F345" s="4" t="s">
        <v>1260</v>
      </c>
    </row>
    <row r="346" spans="1:7" x14ac:dyDescent="0.55000000000000004">
      <c r="F346" s="52" t="s">
        <v>1261</v>
      </c>
    </row>
    <row r="347" spans="1:7" x14ac:dyDescent="0.55000000000000004">
      <c r="F347" s="4" t="s">
        <v>1262</v>
      </c>
    </row>
    <row r="348" spans="1:7" x14ac:dyDescent="0.55000000000000004">
      <c r="F348" s="52" t="s">
        <v>1261</v>
      </c>
    </row>
    <row r="350" spans="1:7" x14ac:dyDescent="0.55000000000000004">
      <c r="A350" s="77" t="s">
        <v>375</v>
      </c>
      <c r="B350" s="77" t="s">
        <v>1337</v>
      </c>
      <c r="C350" s="52" t="s">
        <v>136</v>
      </c>
      <c r="D350" s="52">
        <v>45156</v>
      </c>
      <c r="E350" s="52" t="s">
        <v>1322</v>
      </c>
      <c r="F350" s="52" t="s">
        <v>1323</v>
      </c>
      <c r="G350" s="68">
        <v>47</v>
      </c>
    </row>
    <row r="351" spans="1:7" x14ac:dyDescent="0.55000000000000004">
      <c r="F351" s="4" t="s">
        <v>1260</v>
      </c>
    </row>
    <row r="352" spans="1:7" x14ac:dyDescent="0.55000000000000004">
      <c r="F352" s="52" t="s">
        <v>1261</v>
      </c>
    </row>
    <row r="353" spans="1:7" x14ac:dyDescent="0.55000000000000004">
      <c r="F353" s="4" t="s">
        <v>1262</v>
      </c>
    </row>
    <row r="354" spans="1:7" x14ac:dyDescent="0.55000000000000004">
      <c r="F354" s="52" t="s">
        <v>1261</v>
      </c>
    </row>
    <row r="356" spans="1:7" x14ac:dyDescent="0.55000000000000004">
      <c r="A356" s="77" t="s">
        <v>450</v>
      </c>
      <c r="B356" s="77" t="s">
        <v>1338</v>
      </c>
      <c r="C356" s="52" t="s">
        <v>136</v>
      </c>
      <c r="D356" s="52">
        <v>45156</v>
      </c>
      <c r="E356" s="52" t="s">
        <v>1322</v>
      </c>
      <c r="F356" s="52" t="s">
        <v>1323</v>
      </c>
      <c r="G356" s="68">
        <v>47</v>
      </c>
    </row>
    <row r="357" spans="1:7" x14ac:dyDescent="0.55000000000000004">
      <c r="F357" s="4" t="s">
        <v>1260</v>
      </c>
    </row>
    <row r="358" spans="1:7" x14ac:dyDescent="0.55000000000000004">
      <c r="F358" s="52" t="s">
        <v>1261</v>
      </c>
    </row>
    <row r="359" spans="1:7" x14ac:dyDescent="0.55000000000000004">
      <c r="F359" s="4" t="s">
        <v>1262</v>
      </c>
    </row>
    <row r="360" spans="1:7" x14ac:dyDescent="0.55000000000000004">
      <c r="F360" s="52" t="s">
        <v>1261</v>
      </c>
    </row>
    <row r="362" spans="1:7" x14ac:dyDescent="0.55000000000000004">
      <c r="A362" s="77" t="s">
        <v>419</v>
      </c>
      <c r="B362" s="77" t="s">
        <v>1339</v>
      </c>
      <c r="C362" s="52" t="s">
        <v>136</v>
      </c>
      <c r="D362" s="52">
        <v>45156</v>
      </c>
      <c r="E362" s="52" t="s">
        <v>1322</v>
      </c>
      <c r="F362" s="52" t="s">
        <v>1340</v>
      </c>
      <c r="G362" s="68">
        <v>47</v>
      </c>
    </row>
    <row r="363" spans="1:7" x14ac:dyDescent="0.55000000000000004">
      <c r="F363" s="4" t="s">
        <v>1260</v>
      </c>
    </row>
    <row r="364" spans="1:7" x14ac:dyDescent="0.55000000000000004">
      <c r="F364" s="52" t="s">
        <v>1261</v>
      </c>
    </row>
    <row r="365" spans="1:7" x14ac:dyDescent="0.55000000000000004">
      <c r="F365" s="4" t="s">
        <v>1262</v>
      </c>
    </row>
    <row r="366" spans="1:7" x14ac:dyDescent="0.55000000000000004">
      <c r="F366" s="52" t="s">
        <v>1261</v>
      </c>
    </row>
    <row r="368" spans="1:7" x14ac:dyDescent="0.55000000000000004">
      <c r="A368" s="77" t="s">
        <v>448</v>
      </c>
      <c r="B368" s="77" t="s">
        <v>1341</v>
      </c>
      <c r="C368" s="52" t="s">
        <v>136</v>
      </c>
      <c r="D368" s="52">
        <v>45156</v>
      </c>
      <c r="E368" s="52" t="s">
        <v>1322</v>
      </c>
      <c r="F368" s="52" t="s">
        <v>1323</v>
      </c>
      <c r="G368" s="68">
        <v>47</v>
      </c>
    </row>
    <row r="369" spans="1:7" x14ac:dyDescent="0.55000000000000004">
      <c r="F369" s="4" t="s">
        <v>1260</v>
      </c>
    </row>
    <row r="370" spans="1:7" x14ac:dyDescent="0.55000000000000004">
      <c r="F370" s="52" t="s">
        <v>1261</v>
      </c>
    </row>
    <row r="371" spans="1:7" x14ac:dyDescent="0.55000000000000004">
      <c r="F371" s="4" t="s">
        <v>1262</v>
      </c>
    </row>
    <row r="372" spans="1:7" x14ac:dyDescent="0.55000000000000004">
      <c r="F372" s="52" t="s">
        <v>1261</v>
      </c>
    </row>
    <row r="374" spans="1:7" x14ac:dyDescent="0.55000000000000004">
      <c r="A374" s="77" t="s">
        <v>444</v>
      </c>
      <c r="B374" s="77" t="s">
        <v>1342</v>
      </c>
      <c r="C374" s="52" t="s">
        <v>136</v>
      </c>
      <c r="D374" s="52">
        <v>45156</v>
      </c>
      <c r="E374" s="52" t="s">
        <v>1322</v>
      </c>
      <c r="F374" s="52" t="s">
        <v>1343</v>
      </c>
      <c r="G374" s="68">
        <v>47</v>
      </c>
    </row>
    <row r="375" spans="1:7" x14ac:dyDescent="0.55000000000000004">
      <c r="F375" s="4" t="s">
        <v>1260</v>
      </c>
    </row>
    <row r="376" spans="1:7" x14ac:dyDescent="0.55000000000000004">
      <c r="F376" s="52" t="s">
        <v>1261</v>
      </c>
    </row>
    <row r="377" spans="1:7" x14ac:dyDescent="0.55000000000000004">
      <c r="F377" s="4" t="s">
        <v>1262</v>
      </c>
    </row>
    <row r="378" spans="1:7" x14ac:dyDescent="0.55000000000000004">
      <c r="F378" s="52" t="s">
        <v>1261</v>
      </c>
    </row>
    <row r="380" spans="1:7" x14ac:dyDescent="0.55000000000000004">
      <c r="A380" s="77" t="s">
        <v>370</v>
      </c>
      <c r="B380" s="72" t="s">
        <v>1344</v>
      </c>
      <c r="C380" s="52" t="s">
        <v>136</v>
      </c>
      <c r="D380" s="52">
        <v>45156</v>
      </c>
      <c r="E380" s="52" t="s">
        <v>1322</v>
      </c>
      <c r="F380" s="52" t="s">
        <v>1327</v>
      </c>
      <c r="G380" s="68">
        <v>47</v>
      </c>
    </row>
    <row r="381" spans="1:7" x14ac:dyDescent="0.55000000000000004">
      <c r="F381" s="4" t="s">
        <v>1260</v>
      </c>
    </row>
    <row r="382" spans="1:7" x14ac:dyDescent="0.55000000000000004">
      <c r="F382" s="52" t="s">
        <v>1261</v>
      </c>
    </row>
    <row r="383" spans="1:7" x14ac:dyDescent="0.55000000000000004">
      <c r="F383" s="4" t="s">
        <v>1262</v>
      </c>
    </row>
    <row r="384" spans="1:7" x14ac:dyDescent="0.55000000000000004">
      <c r="F384" s="52" t="s">
        <v>1261</v>
      </c>
    </row>
    <row r="385" spans="1:7" x14ac:dyDescent="0.55000000000000004">
      <c r="A385" s="61"/>
      <c r="B385" s="61"/>
      <c r="C385" s="61"/>
      <c r="D385" s="61"/>
      <c r="E385" s="61"/>
      <c r="F385" s="61"/>
      <c r="G385" s="61"/>
    </row>
    <row r="386" spans="1:7" x14ac:dyDescent="0.55000000000000004">
      <c r="A386" s="65" t="s">
        <v>739</v>
      </c>
      <c r="B386" s="65"/>
      <c r="C386" s="61" t="s">
        <v>1272</v>
      </c>
      <c r="D386" s="63">
        <v>45124</v>
      </c>
      <c r="E386" s="61" t="s">
        <v>1265</v>
      </c>
      <c r="F386" s="61" t="s">
        <v>1285</v>
      </c>
      <c r="G386" s="61" t="s">
        <v>1286</v>
      </c>
    </row>
    <row r="387" spans="1:7" x14ac:dyDescent="0.55000000000000004">
      <c r="B387" s="61"/>
      <c r="C387" s="61"/>
      <c r="D387" s="61"/>
      <c r="E387" s="61"/>
      <c r="F387" s="66" t="s">
        <v>1260</v>
      </c>
    </row>
    <row r="388" spans="1:7" x14ac:dyDescent="0.55000000000000004">
      <c r="B388" s="61"/>
      <c r="C388" s="61"/>
      <c r="D388" s="61"/>
      <c r="E388" s="61"/>
      <c r="F388" s="61" t="s">
        <v>1287</v>
      </c>
      <c r="G388" s="68">
        <v>47</v>
      </c>
    </row>
    <row r="389" spans="1:7" x14ac:dyDescent="0.55000000000000004">
      <c r="B389" s="61"/>
      <c r="C389" s="61"/>
      <c r="D389" s="61"/>
      <c r="E389" s="61"/>
      <c r="F389" s="66" t="s">
        <v>1262</v>
      </c>
    </row>
    <row r="390" spans="1:7" x14ac:dyDescent="0.55000000000000004">
      <c r="B390" s="61"/>
      <c r="C390" s="61"/>
      <c r="D390" s="61"/>
      <c r="E390" s="61"/>
      <c r="F390" s="61" t="s">
        <v>136</v>
      </c>
    </row>
    <row r="392" spans="1:7" x14ac:dyDescent="0.55000000000000004">
      <c r="A392" s="65" t="s">
        <v>723</v>
      </c>
      <c r="B392" s="60"/>
      <c r="C392" s="61" t="s">
        <v>1272</v>
      </c>
      <c r="D392" s="63">
        <v>45124</v>
      </c>
      <c r="E392" s="61" t="s">
        <v>1265</v>
      </c>
      <c r="F392" s="61" t="s">
        <v>1285</v>
      </c>
      <c r="G392" s="61" t="s">
        <v>1288</v>
      </c>
    </row>
    <row r="393" spans="1:7" x14ac:dyDescent="0.55000000000000004">
      <c r="B393" s="61"/>
      <c r="C393" s="61"/>
      <c r="D393" s="61"/>
      <c r="E393" s="61"/>
      <c r="F393" s="66" t="s">
        <v>1260</v>
      </c>
    </row>
    <row r="394" spans="1:7" x14ac:dyDescent="0.55000000000000004">
      <c r="B394" s="61"/>
      <c r="C394" s="61"/>
      <c r="D394" s="61"/>
      <c r="E394" s="61"/>
      <c r="F394" s="61" t="s">
        <v>1289</v>
      </c>
    </row>
    <row r="395" spans="1:7" x14ac:dyDescent="0.55000000000000004">
      <c r="B395" s="61"/>
      <c r="C395" s="61"/>
      <c r="D395" s="61"/>
      <c r="E395" s="61"/>
      <c r="F395" s="66" t="s">
        <v>1262</v>
      </c>
    </row>
    <row r="396" spans="1:7" x14ac:dyDescent="0.55000000000000004">
      <c r="B396" s="61"/>
      <c r="C396" s="61"/>
      <c r="D396" s="61"/>
      <c r="E396" s="61"/>
      <c r="F396" s="61" t="s">
        <v>136</v>
      </c>
    </row>
    <row r="397" spans="1:7" x14ac:dyDescent="0.55000000000000004">
      <c r="B397" s="61"/>
      <c r="C397" s="61"/>
      <c r="D397" s="61"/>
      <c r="E397" s="61"/>
      <c r="F397" s="61"/>
    </row>
    <row r="398" spans="1:7" x14ac:dyDescent="0.55000000000000004">
      <c r="A398" s="65" t="s">
        <v>583</v>
      </c>
      <c r="B398" s="60"/>
      <c r="C398" s="61" t="s">
        <v>1272</v>
      </c>
      <c r="D398" s="63">
        <v>45124</v>
      </c>
      <c r="E398" s="61" t="s">
        <v>1265</v>
      </c>
      <c r="F398" s="61" t="s">
        <v>1285</v>
      </c>
      <c r="G398">
        <v>6</v>
      </c>
    </row>
    <row r="399" spans="1:7" x14ac:dyDescent="0.55000000000000004">
      <c r="B399" s="61"/>
      <c r="C399" s="61"/>
      <c r="D399" s="61"/>
      <c r="E399" s="61"/>
      <c r="F399" s="66" t="s">
        <v>1260</v>
      </c>
    </row>
    <row r="400" spans="1:7" x14ac:dyDescent="0.55000000000000004">
      <c r="B400" s="61"/>
      <c r="C400" s="61"/>
      <c r="D400" s="61"/>
      <c r="E400" s="61"/>
      <c r="F400" s="61" t="s">
        <v>1290</v>
      </c>
    </row>
    <row r="401" spans="1:7" x14ac:dyDescent="0.55000000000000004">
      <c r="B401" s="61"/>
      <c r="C401" s="61"/>
      <c r="D401" s="61"/>
      <c r="E401" s="61"/>
      <c r="F401" s="66" t="s">
        <v>1262</v>
      </c>
    </row>
    <row r="402" spans="1:7" x14ac:dyDescent="0.55000000000000004">
      <c r="B402" s="61"/>
      <c r="C402" s="61"/>
      <c r="D402" s="61"/>
      <c r="E402" s="61"/>
      <c r="F402" s="61" t="s">
        <v>136</v>
      </c>
    </row>
    <row r="404" spans="1:7" x14ac:dyDescent="0.55000000000000004">
      <c r="A404" s="65" t="s">
        <v>586</v>
      </c>
      <c r="B404" s="60"/>
      <c r="C404" s="61" t="s">
        <v>1272</v>
      </c>
      <c r="D404" s="63">
        <v>45124</v>
      </c>
      <c r="E404" s="61" t="s">
        <v>1265</v>
      </c>
      <c r="F404" s="61" t="s">
        <v>1285</v>
      </c>
      <c r="G404" s="61" t="s">
        <v>1291</v>
      </c>
    </row>
    <row r="405" spans="1:7" x14ac:dyDescent="0.55000000000000004">
      <c r="B405" s="61"/>
      <c r="C405" s="61"/>
      <c r="D405" s="61"/>
      <c r="E405" s="61"/>
      <c r="F405" s="66" t="s">
        <v>1260</v>
      </c>
    </row>
    <row r="406" spans="1:7" x14ac:dyDescent="0.55000000000000004">
      <c r="B406" s="61"/>
      <c r="C406" s="61"/>
      <c r="D406" s="61"/>
      <c r="E406" s="61"/>
      <c r="F406" s="61" t="s">
        <v>1292</v>
      </c>
    </row>
    <row r="407" spans="1:7" x14ac:dyDescent="0.55000000000000004">
      <c r="B407" s="61"/>
      <c r="C407" s="61"/>
      <c r="D407" s="61"/>
      <c r="E407" s="61"/>
      <c r="F407" s="66" t="s">
        <v>1262</v>
      </c>
    </row>
    <row r="408" spans="1:7" x14ac:dyDescent="0.55000000000000004">
      <c r="B408" s="61"/>
      <c r="C408" s="61"/>
      <c r="D408" s="61"/>
      <c r="E408" s="61"/>
      <c r="F408" s="61" t="s">
        <v>136</v>
      </c>
    </row>
    <row r="409" spans="1:7" x14ac:dyDescent="0.55000000000000004">
      <c r="B409" s="61"/>
      <c r="C409" s="61"/>
      <c r="D409" s="61"/>
      <c r="E409" s="61"/>
      <c r="F409" s="61"/>
    </row>
    <row r="410" spans="1:7" x14ac:dyDescent="0.55000000000000004">
      <c r="A410" s="65" t="s">
        <v>737</v>
      </c>
      <c r="B410" s="60"/>
      <c r="C410" s="61" t="s">
        <v>1272</v>
      </c>
      <c r="D410" s="63">
        <v>45124</v>
      </c>
      <c r="E410" s="61" t="s">
        <v>1265</v>
      </c>
      <c r="F410" s="61" t="s">
        <v>1285</v>
      </c>
      <c r="G410">
        <v>6</v>
      </c>
    </row>
    <row r="411" spans="1:7" x14ac:dyDescent="0.55000000000000004">
      <c r="B411" s="61"/>
      <c r="C411" s="61"/>
      <c r="D411" s="61"/>
      <c r="E411" s="61"/>
      <c r="F411" s="66" t="s">
        <v>1260</v>
      </c>
    </row>
    <row r="412" spans="1:7" x14ac:dyDescent="0.55000000000000004">
      <c r="B412" s="61"/>
      <c r="C412" s="61"/>
      <c r="D412" s="61"/>
      <c r="E412" s="61"/>
      <c r="F412" s="61" t="s">
        <v>1293</v>
      </c>
    </row>
    <row r="413" spans="1:7" x14ac:dyDescent="0.55000000000000004">
      <c r="B413" s="61"/>
      <c r="C413" s="61"/>
      <c r="D413" s="61"/>
      <c r="E413" s="61"/>
      <c r="F413" s="66" t="s">
        <v>1262</v>
      </c>
    </row>
    <row r="414" spans="1:7" x14ac:dyDescent="0.55000000000000004">
      <c r="B414" s="61"/>
      <c r="C414" s="61"/>
      <c r="D414" s="61"/>
      <c r="E414" s="61"/>
      <c r="F414" s="61" t="s">
        <v>136</v>
      </c>
    </row>
    <row r="416" spans="1:7" x14ac:dyDescent="0.55000000000000004">
      <c r="A416" s="65" t="s">
        <v>567</v>
      </c>
      <c r="B416" s="60"/>
      <c r="C416" s="61" t="s">
        <v>1272</v>
      </c>
      <c r="D416" s="63">
        <v>45124</v>
      </c>
      <c r="E416" s="61" t="s">
        <v>1265</v>
      </c>
      <c r="F416" s="61" t="s">
        <v>1285</v>
      </c>
      <c r="G416" s="61" t="s">
        <v>1294</v>
      </c>
    </row>
    <row r="417" spans="1:7" x14ac:dyDescent="0.55000000000000004">
      <c r="B417" s="61"/>
      <c r="C417" s="61"/>
      <c r="D417" s="61"/>
      <c r="E417" s="61"/>
      <c r="F417" s="66" t="s">
        <v>1260</v>
      </c>
    </row>
    <row r="418" spans="1:7" x14ac:dyDescent="0.55000000000000004">
      <c r="B418" s="61"/>
      <c r="C418" s="61"/>
      <c r="D418" s="61"/>
      <c r="E418" s="61"/>
      <c r="F418" s="61" t="s">
        <v>1295</v>
      </c>
    </row>
    <row r="419" spans="1:7" x14ac:dyDescent="0.55000000000000004">
      <c r="B419" s="61"/>
      <c r="C419" s="61"/>
      <c r="D419" s="61"/>
      <c r="E419" s="61"/>
      <c r="F419" s="66" t="s">
        <v>1262</v>
      </c>
    </row>
    <row r="420" spans="1:7" x14ac:dyDescent="0.55000000000000004">
      <c r="B420" s="61"/>
      <c r="C420" s="61"/>
      <c r="D420" s="61"/>
      <c r="E420" s="61"/>
      <c r="F420" s="61" t="s">
        <v>136</v>
      </c>
    </row>
    <row r="421" spans="1:7" x14ac:dyDescent="0.55000000000000004">
      <c r="A421" s="65" t="s">
        <v>721</v>
      </c>
      <c r="B421" s="60"/>
      <c r="C421" s="61" t="s">
        <v>1272</v>
      </c>
      <c r="D421" s="63">
        <v>45124</v>
      </c>
      <c r="E421" s="61" t="s">
        <v>1265</v>
      </c>
      <c r="F421" s="61"/>
    </row>
    <row r="422" spans="1:7" x14ac:dyDescent="0.55000000000000004">
      <c r="B422" s="61"/>
      <c r="C422" s="61"/>
      <c r="D422" s="61"/>
      <c r="E422" s="61"/>
      <c r="F422" s="66" t="s">
        <v>1260</v>
      </c>
      <c r="G422">
        <v>6</v>
      </c>
    </row>
    <row r="423" spans="1:7" x14ac:dyDescent="0.55000000000000004">
      <c r="B423" s="61"/>
      <c r="C423" s="61"/>
      <c r="D423" s="61"/>
      <c r="E423" s="61"/>
      <c r="F423" s="61" t="s">
        <v>1296</v>
      </c>
    </row>
    <row r="424" spans="1:7" x14ac:dyDescent="0.55000000000000004">
      <c r="B424" s="61"/>
      <c r="C424" s="61"/>
      <c r="D424" s="61"/>
      <c r="E424" s="61"/>
      <c r="F424" s="66" t="s">
        <v>1262</v>
      </c>
    </row>
    <row r="425" spans="1:7" x14ac:dyDescent="0.55000000000000004">
      <c r="B425" s="61"/>
      <c r="C425" s="61"/>
      <c r="D425" s="61"/>
      <c r="E425" s="61"/>
      <c r="F425" s="61" t="s">
        <v>136</v>
      </c>
    </row>
    <row r="427" spans="1:7" x14ac:dyDescent="0.55000000000000004">
      <c r="A427" s="65" t="s">
        <v>672</v>
      </c>
      <c r="B427" s="60"/>
      <c r="C427" s="61" t="s">
        <v>1272</v>
      </c>
      <c r="D427" s="63">
        <v>45124</v>
      </c>
      <c r="E427" s="61" t="s">
        <v>1265</v>
      </c>
      <c r="F427" s="61" t="s">
        <v>1285</v>
      </c>
      <c r="G427" s="61" t="s">
        <v>1297</v>
      </c>
    </row>
    <row r="428" spans="1:7" x14ac:dyDescent="0.55000000000000004">
      <c r="B428" s="61"/>
      <c r="C428" s="61"/>
      <c r="D428" s="61"/>
      <c r="E428" s="61"/>
      <c r="F428" s="66" t="s">
        <v>1260</v>
      </c>
    </row>
    <row r="429" spans="1:7" x14ac:dyDescent="0.55000000000000004">
      <c r="B429" s="61"/>
      <c r="C429" s="61"/>
      <c r="D429" s="61"/>
      <c r="E429" s="61"/>
      <c r="F429" s="61" t="s">
        <v>1298</v>
      </c>
    </row>
    <row r="430" spans="1:7" x14ac:dyDescent="0.55000000000000004">
      <c r="B430" s="61"/>
      <c r="C430" s="61"/>
      <c r="D430" s="61"/>
      <c r="E430" s="61"/>
      <c r="F430" s="66" t="s">
        <v>1262</v>
      </c>
    </row>
    <row r="431" spans="1:7" x14ac:dyDescent="0.55000000000000004">
      <c r="B431" s="61"/>
      <c r="C431" s="61"/>
      <c r="D431" s="61"/>
      <c r="E431" s="61"/>
      <c r="F431" s="61" t="s">
        <v>136</v>
      </c>
    </row>
    <row r="432" spans="1:7" x14ac:dyDescent="0.55000000000000004">
      <c r="B432" s="61"/>
      <c r="C432" s="61"/>
      <c r="D432" s="61"/>
      <c r="E432" s="61"/>
      <c r="F432" s="61"/>
    </row>
    <row r="433" spans="1:7" x14ac:dyDescent="0.55000000000000004">
      <c r="A433" s="65" t="s">
        <v>666</v>
      </c>
      <c r="B433" s="60"/>
      <c r="C433" s="61" t="s">
        <v>1272</v>
      </c>
      <c r="D433" s="63">
        <v>45124</v>
      </c>
      <c r="E433" s="61" t="s">
        <v>1265</v>
      </c>
      <c r="F433" s="61" t="s">
        <v>1285</v>
      </c>
      <c r="G433" s="61" t="s">
        <v>1299</v>
      </c>
    </row>
    <row r="434" spans="1:7" x14ac:dyDescent="0.55000000000000004">
      <c r="B434" s="61"/>
      <c r="C434" s="61"/>
      <c r="D434" s="61"/>
      <c r="E434" s="61"/>
      <c r="F434" s="66" t="s">
        <v>1260</v>
      </c>
    </row>
    <row r="435" spans="1:7" x14ac:dyDescent="0.55000000000000004">
      <c r="B435" s="61"/>
      <c r="C435" s="61"/>
      <c r="D435" s="61"/>
      <c r="E435" s="61"/>
      <c r="F435" s="61" t="s">
        <v>1300</v>
      </c>
    </row>
    <row r="436" spans="1:7" x14ac:dyDescent="0.55000000000000004">
      <c r="B436" s="61"/>
      <c r="C436" s="61"/>
      <c r="D436" s="61"/>
      <c r="E436" s="61"/>
      <c r="F436" s="66" t="s">
        <v>1262</v>
      </c>
    </row>
    <row r="437" spans="1:7" x14ac:dyDescent="0.55000000000000004">
      <c r="B437" s="61"/>
      <c r="C437" s="61"/>
      <c r="D437" s="61"/>
      <c r="E437" s="61"/>
      <c r="F437" s="61" t="s">
        <v>136</v>
      </c>
    </row>
    <row r="439" spans="1:7" x14ac:dyDescent="0.55000000000000004">
      <c r="A439" s="65" t="s">
        <v>563</v>
      </c>
      <c r="B439" s="60"/>
      <c r="C439" s="61" t="s">
        <v>1272</v>
      </c>
      <c r="D439" s="63">
        <v>45124</v>
      </c>
      <c r="E439" s="61" t="s">
        <v>1265</v>
      </c>
      <c r="F439" s="61" t="s">
        <v>1285</v>
      </c>
      <c r="G439" s="61" t="s">
        <v>1301</v>
      </c>
    </row>
    <row r="440" spans="1:7" x14ac:dyDescent="0.55000000000000004">
      <c r="B440" s="61"/>
      <c r="C440" s="61"/>
      <c r="D440" s="61"/>
      <c r="E440" s="61"/>
      <c r="F440" s="66" t="s">
        <v>1260</v>
      </c>
    </row>
    <row r="441" spans="1:7" x14ac:dyDescent="0.55000000000000004">
      <c r="B441" s="61"/>
      <c r="C441" s="61"/>
      <c r="D441" s="61"/>
      <c r="E441" s="61"/>
      <c r="F441" s="61" t="s">
        <v>1302</v>
      </c>
    </row>
    <row r="442" spans="1:7" x14ac:dyDescent="0.55000000000000004">
      <c r="B442" s="61"/>
      <c r="C442" s="61"/>
      <c r="D442" s="61"/>
      <c r="E442" s="61"/>
      <c r="F442" s="66" t="s">
        <v>1262</v>
      </c>
    </row>
    <row r="443" spans="1:7" x14ac:dyDescent="0.55000000000000004">
      <c r="F443" s="61" t="s">
        <v>136</v>
      </c>
    </row>
    <row r="444" spans="1:7" x14ac:dyDescent="0.55000000000000004">
      <c r="F444" s="61"/>
    </row>
    <row r="445" spans="1:7" x14ac:dyDescent="0.55000000000000004">
      <c r="A445" s="65" t="s">
        <v>675</v>
      </c>
      <c r="B445" s="60"/>
      <c r="C445" s="61" t="s">
        <v>1272</v>
      </c>
      <c r="D445" s="63">
        <v>45124</v>
      </c>
      <c r="E445" s="61" t="s">
        <v>1265</v>
      </c>
      <c r="F445" s="61" t="s">
        <v>1285</v>
      </c>
      <c r="G445" s="61" t="s">
        <v>1303</v>
      </c>
    </row>
    <row r="446" spans="1:7" x14ac:dyDescent="0.55000000000000004">
      <c r="B446" s="61"/>
      <c r="C446" s="61"/>
      <c r="D446" s="61"/>
      <c r="E446" s="61"/>
      <c r="F446" s="66" t="s">
        <v>1260</v>
      </c>
    </row>
    <row r="447" spans="1:7" x14ac:dyDescent="0.55000000000000004">
      <c r="B447" s="61"/>
      <c r="C447" s="61"/>
      <c r="D447" s="61"/>
      <c r="E447" s="61"/>
      <c r="F447" s="61" t="s">
        <v>1304</v>
      </c>
    </row>
    <row r="448" spans="1:7" x14ac:dyDescent="0.55000000000000004">
      <c r="B448" s="61"/>
      <c r="C448" s="61"/>
      <c r="D448" s="61"/>
      <c r="E448" s="61"/>
      <c r="F448" s="66" t="s">
        <v>1262</v>
      </c>
    </row>
    <row r="449" spans="1:7" x14ac:dyDescent="0.55000000000000004">
      <c r="F449" s="61" t="s">
        <v>136</v>
      </c>
    </row>
    <row r="450" spans="1:7" x14ac:dyDescent="0.55000000000000004">
      <c r="F450" s="61"/>
    </row>
    <row r="451" spans="1:7" x14ac:dyDescent="0.55000000000000004">
      <c r="A451" s="65" t="s">
        <v>565</v>
      </c>
      <c r="B451" s="60"/>
      <c r="C451" s="61" t="s">
        <v>1272</v>
      </c>
      <c r="D451" s="63">
        <v>45124</v>
      </c>
      <c r="E451" s="61" t="s">
        <v>1265</v>
      </c>
      <c r="F451" s="61" t="s">
        <v>1285</v>
      </c>
      <c r="G451" s="61" t="s">
        <v>1305</v>
      </c>
    </row>
    <row r="452" spans="1:7" x14ac:dyDescent="0.55000000000000004">
      <c r="B452" s="61"/>
      <c r="C452" s="61"/>
      <c r="D452" s="61"/>
      <c r="E452" s="61"/>
      <c r="F452" s="66" t="s">
        <v>1260</v>
      </c>
    </row>
    <row r="453" spans="1:7" x14ac:dyDescent="0.55000000000000004">
      <c r="B453" s="61"/>
      <c r="C453" s="61"/>
      <c r="D453" s="61"/>
      <c r="E453" s="61"/>
      <c r="F453" s="61" t="s">
        <v>1306</v>
      </c>
    </row>
    <row r="454" spans="1:7" x14ac:dyDescent="0.55000000000000004">
      <c r="B454" s="61"/>
      <c r="C454" s="61"/>
      <c r="D454" s="61"/>
      <c r="E454" s="61"/>
      <c r="F454" s="66" t="s">
        <v>1262</v>
      </c>
    </row>
    <row r="455" spans="1:7" x14ac:dyDescent="0.55000000000000004">
      <c r="F455" s="61" t="s">
        <v>136</v>
      </c>
    </row>
    <row r="456" spans="1:7" x14ac:dyDescent="0.55000000000000004">
      <c r="F456" s="61"/>
    </row>
    <row r="457" spans="1:7" x14ac:dyDescent="0.55000000000000004">
      <c r="A457" s="65" t="s">
        <v>561</v>
      </c>
      <c r="B457" s="60"/>
      <c r="C457" s="61" t="s">
        <v>1272</v>
      </c>
      <c r="D457" s="63">
        <v>45124</v>
      </c>
      <c r="E457" s="61" t="s">
        <v>1265</v>
      </c>
      <c r="F457" s="61" t="s">
        <v>1285</v>
      </c>
      <c r="G457" s="61" t="s">
        <v>1305</v>
      </c>
    </row>
    <row r="458" spans="1:7" x14ac:dyDescent="0.55000000000000004">
      <c r="B458" s="61"/>
      <c r="C458" s="61"/>
      <c r="D458" s="61"/>
      <c r="E458" s="61"/>
      <c r="F458" s="66" t="s">
        <v>1260</v>
      </c>
    </row>
    <row r="459" spans="1:7" x14ac:dyDescent="0.55000000000000004">
      <c r="B459" s="61"/>
      <c r="C459" s="61"/>
      <c r="D459" s="61"/>
      <c r="E459" s="61"/>
      <c r="F459" s="61" t="s">
        <v>1307</v>
      </c>
    </row>
    <row r="460" spans="1:7" x14ac:dyDescent="0.55000000000000004">
      <c r="B460" s="61"/>
      <c r="C460" s="61"/>
      <c r="D460" s="61"/>
      <c r="E460" s="61"/>
      <c r="F460" s="66" t="s">
        <v>1262</v>
      </c>
    </row>
    <row r="461" spans="1:7" x14ac:dyDescent="0.55000000000000004">
      <c r="F461" s="61" t="s">
        <v>136</v>
      </c>
    </row>
    <row r="463" spans="1:7" x14ac:dyDescent="0.55000000000000004">
      <c r="A463" s="65" t="s">
        <v>694</v>
      </c>
      <c r="B463" s="60"/>
      <c r="C463" s="61" t="s">
        <v>1272</v>
      </c>
      <c r="D463" s="63">
        <v>45124</v>
      </c>
      <c r="E463" s="61" t="s">
        <v>1265</v>
      </c>
      <c r="F463" s="61" t="s">
        <v>1285</v>
      </c>
      <c r="G463" s="61" t="s">
        <v>1345</v>
      </c>
    </row>
    <row r="464" spans="1:7" x14ac:dyDescent="0.55000000000000004">
      <c r="B464" s="61"/>
      <c r="C464" s="61"/>
      <c r="D464" s="61"/>
      <c r="E464" s="61"/>
      <c r="F464" s="66" t="s">
        <v>1260</v>
      </c>
    </row>
    <row r="465" spans="1:7" x14ac:dyDescent="0.55000000000000004">
      <c r="B465" s="61"/>
      <c r="C465" s="61"/>
      <c r="D465" s="61"/>
      <c r="E465" s="61"/>
      <c r="F465" s="61" t="s">
        <v>1346</v>
      </c>
    </row>
    <row r="466" spans="1:7" x14ac:dyDescent="0.55000000000000004">
      <c r="B466" s="61"/>
      <c r="C466" s="61"/>
      <c r="D466" s="61"/>
      <c r="E466" s="61"/>
      <c r="F466" s="66" t="s">
        <v>1262</v>
      </c>
    </row>
    <row r="467" spans="1:7" x14ac:dyDescent="0.55000000000000004">
      <c r="F467" s="61" t="s">
        <v>136</v>
      </c>
    </row>
    <row r="468" spans="1:7" x14ac:dyDescent="0.55000000000000004">
      <c r="F468" s="61"/>
    </row>
    <row r="469" spans="1:7" x14ac:dyDescent="0.55000000000000004">
      <c r="A469" s="65" t="s">
        <v>725</v>
      </c>
      <c r="B469" s="60"/>
      <c r="C469" s="61" t="s">
        <v>1347</v>
      </c>
      <c r="D469" s="63">
        <v>45124</v>
      </c>
      <c r="E469" s="61" t="s">
        <v>1265</v>
      </c>
      <c r="F469" s="61" t="s">
        <v>1285</v>
      </c>
      <c r="G469" s="61" t="s">
        <v>1348</v>
      </c>
    </row>
    <row r="470" spans="1:7" x14ac:dyDescent="0.55000000000000004">
      <c r="B470" s="61"/>
      <c r="C470" s="61"/>
      <c r="D470" s="61"/>
      <c r="E470" s="61"/>
      <c r="F470" s="66" t="s">
        <v>1260</v>
      </c>
    </row>
    <row r="471" spans="1:7" x14ac:dyDescent="0.55000000000000004">
      <c r="B471" s="61"/>
      <c r="C471" s="61"/>
      <c r="D471" s="61"/>
      <c r="E471" s="61"/>
      <c r="F471" s="61" t="s">
        <v>1349</v>
      </c>
    </row>
    <row r="472" spans="1:7" x14ac:dyDescent="0.55000000000000004">
      <c r="B472" s="61"/>
      <c r="C472" s="61"/>
      <c r="D472" s="61"/>
      <c r="E472" s="61"/>
      <c r="F472" s="66" t="s">
        <v>1262</v>
      </c>
    </row>
    <row r="473" spans="1:7" x14ac:dyDescent="0.55000000000000004">
      <c r="F473" s="61"/>
    </row>
    <row r="474" spans="1:7" x14ac:dyDescent="0.55000000000000004">
      <c r="F474" s="61"/>
    </row>
    <row r="475" spans="1:7" x14ac:dyDescent="0.55000000000000004">
      <c r="A475" s="65" t="s">
        <v>555</v>
      </c>
      <c r="B475" s="60"/>
      <c r="C475" s="61" t="s">
        <v>1350</v>
      </c>
      <c r="D475" s="63">
        <v>45124</v>
      </c>
      <c r="E475" s="61" t="s">
        <v>1265</v>
      </c>
      <c r="F475" s="61" t="s">
        <v>1285</v>
      </c>
      <c r="G475" s="61" t="s">
        <v>1351</v>
      </c>
    </row>
    <row r="476" spans="1:7" x14ac:dyDescent="0.55000000000000004">
      <c r="B476" s="61"/>
      <c r="C476" s="61"/>
      <c r="D476" s="61"/>
      <c r="E476" s="61"/>
      <c r="F476" s="66" t="s">
        <v>1260</v>
      </c>
    </row>
    <row r="477" spans="1:7" x14ac:dyDescent="0.55000000000000004">
      <c r="B477" s="61"/>
      <c r="C477" s="61"/>
      <c r="D477" s="61"/>
      <c r="E477" s="61"/>
      <c r="F477" s="61" t="s">
        <v>1352</v>
      </c>
    </row>
    <row r="478" spans="1:7" x14ac:dyDescent="0.55000000000000004">
      <c r="B478" s="61"/>
      <c r="C478" s="61"/>
      <c r="D478" s="61"/>
      <c r="E478" s="61"/>
      <c r="F478" s="66" t="s">
        <v>1262</v>
      </c>
    </row>
    <row r="479" spans="1:7" x14ac:dyDescent="0.55000000000000004">
      <c r="F479" s="61"/>
    </row>
    <row r="480" spans="1:7" x14ac:dyDescent="0.55000000000000004">
      <c r="F480" s="61"/>
    </row>
    <row r="481" spans="1:7" x14ac:dyDescent="0.55000000000000004">
      <c r="A481" s="65" t="s">
        <v>572</v>
      </c>
      <c r="B481" s="60"/>
      <c r="C481" s="61" t="s">
        <v>1350</v>
      </c>
      <c r="D481" s="63">
        <v>45124</v>
      </c>
      <c r="E481" s="61" t="s">
        <v>1265</v>
      </c>
      <c r="F481" s="61" t="s">
        <v>1285</v>
      </c>
      <c r="G481" s="61" t="s">
        <v>1353</v>
      </c>
    </row>
    <row r="482" spans="1:7" x14ac:dyDescent="0.55000000000000004">
      <c r="B482" s="61"/>
      <c r="C482" s="61"/>
      <c r="D482" s="61"/>
      <c r="E482" s="61"/>
      <c r="F482" s="66" t="s">
        <v>1260</v>
      </c>
    </row>
    <row r="483" spans="1:7" x14ac:dyDescent="0.55000000000000004">
      <c r="B483" s="61"/>
      <c r="C483" s="61"/>
      <c r="D483" s="61"/>
      <c r="E483" s="61"/>
      <c r="F483" s="61" t="s">
        <v>1354</v>
      </c>
    </row>
    <row r="484" spans="1:7" x14ac:dyDescent="0.55000000000000004">
      <c r="B484" s="61"/>
      <c r="C484" s="61"/>
      <c r="D484" s="61"/>
      <c r="E484" s="61"/>
      <c r="F484" s="66" t="s">
        <v>1262</v>
      </c>
    </row>
    <row r="485" spans="1:7" x14ac:dyDescent="0.55000000000000004">
      <c r="F485" s="61"/>
    </row>
    <row r="486" spans="1:7" x14ac:dyDescent="0.55000000000000004">
      <c r="F486" s="61"/>
    </row>
    <row r="487" spans="1:7" x14ac:dyDescent="0.55000000000000004">
      <c r="A487" s="65" t="s">
        <v>648</v>
      </c>
      <c r="B487" s="60"/>
      <c r="C487" s="61" t="s">
        <v>1355</v>
      </c>
      <c r="D487" s="63">
        <v>45124</v>
      </c>
      <c r="E487" s="61" t="s">
        <v>1265</v>
      </c>
      <c r="F487" s="61" t="s">
        <v>1285</v>
      </c>
      <c r="G487" s="61" t="s">
        <v>1356</v>
      </c>
    </row>
    <row r="488" spans="1:7" x14ac:dyDescent="0.55000000000000004">
      <c r="B488" s="61"/>
      <c r="C488" s="61"/>
      <c r="D488" s="61"/>
      <c r="E488" s="61"/>
      <c r="F488" s="66" t="s">
        <v>1260</v>
      </c>
    </row>
    <row r="489" spans="1:7" x14ac:dyDescent="0.55000000000000004">
      <c r="B489" s="61"/>
      <c r="C489" s="61"/>
      <c r="D489" s="61"/>
      <c r="E489" s="61"/>
      <c r="F489" s="61" t="s">
        <v>1357</v>
      </c>
    </row>
    <row r="490" spans="1:7" x14ac:dyDescent="0.55000000000000004">
      <c r="B490" s="61"/>
      <c r="C490" s="61"/>
      <c r="D490" s="61"/>
      <c r="E490" s="61"/>
      <c r="F490" s="66" t="s">
        <v>1262</v>
      </c>
    </row>
    <row r="491" spans="1:7" x14ac:dyDescent="0.55000000000000004">
      <c r="F491" s="61"/>
    </row>
    <row r="492" spans="1:7" x14ac:dyDescent="0.55000000000000004">
      <c r="F492" s="61"/>
    </row>
    <row r="493" spans="1:7" x14ac:dyDescent="0.55000000000000004">
      <c r="A493" s="65" t="s">
        <v>609</v>
      </c>
      <c r="B493" s="60"/>
      <c r="C493" s="61" t="s">
        <v>1355</v>
      </c>
      <c r="D493" s="63">
        <v>45124</v>
      </c>
      <c r="E493" s="61" t="s">
        <v>1265</v>
      </c>
      <c r="F493" s="61" t="s">
        <v>1285</v>
      </c>
      <c r="G493" s="61" t="s">
        <v>1358</v>
      </c>
    </row>
    <row r="494" spans="1:7" x14ac:dyDescent="0.55000000000000004">
      <c r="B494" s="61"/>
      <c r="C494" s="61"/>
      <c r="D494" s="61"/>
      <c r="E494" s="61"/>
      <c r="F494" s="66" t="s">
        <v>1260</v>
      </c>
    </row>
    <row r="495" spans="1:7" x14ac:dyDescent="0.55000000000000004">
      <c r="B495" s="61"/>
      <c r="C495" s="61"/>
      <c r="D495" s="61"/>
      <c r="E495" s="61"/>
      <c r="F495" s="61" t="s">
        <v>1359</v>
      </c>
    </row>
    <row r="496" spans="1:7" x14ac:dyDescent="0.55000000000000004">
      <c r="B496" s="61"/>
      <c r="C496" s="61"/>
      <c r="D496" s="61"/>
      <c r="E496" s="61"/>
      <c r="F496" s="66" t="s">
        <v>1262</v>
      </c>
    </row>
    <row r="497" spans="1:7" x14ac:dyDescent="0.55000000000000004">
      <c r="F497" s="61"/>
    </row>
    <row r="498" spans="1:7" x14ac:dyDescent="0.55000000000000004">
      <c r="F498" s="61"/>
    </row>
    <row r="499" spans="1:7" x14ac:dyDescent="0.55000000000000004">
      <c r="A499" s="65" t="s">
        <v>744</v>
      </c>
      <c r="B499" s="60"/>
      <c r="C499" s="61" t="s">
        <v>1360</v>
      </c>
      <c r="D499" s="63">
        <v>45124</v>
      </c>
      <c r="E499" s="61" t="s">
        <v>1265</v>
      </c>
      <c r="F499" s="61" t="s">
        <v>1285</v>
      </c>
      <c r="G499" s="61" t="s">
        <v>1294</v>
      </c>
    </row>
    <row r="500" spans="1:7" x14ac:dyDescent="0.55000000000000004">
      <c r="B500" s="61"/>
      <c r="C500" s="61"/>
      <c r="D500" s="61"/>
      <c r="E500" s="61"/>
      <c r="F500" s="66" t="s">
        <v>1260</v>
      </c>
    </row>
    <row r="501" spans="1:7" x14ac:dyDescent="0.55000000000000004">
      <c r="B501" s="61"/>
      <c r="C501" s="61"/>
      <c r="D501" s="61"/>
      <c r="E501" s="61"/>
      <c r="F501" s="61" t="s">
        <v>1361</v>
      </c>
    </row>
    <row r="502" spans="1:7" x14ac:dyDescent="0.55000000000000004">
      <c r="B502" s="61"/>
      <c r="C502" s="61"/>
      <c r="D502" s="61"/>
      <c r="E502" s="61"/>
      <c r="F502" s="66" t="s">
        <v>1262</v>
      </c>
    </row>
    <row r="503" spans="1:7" x14ac:dyDescent="0.55000000000000004">
      <c r="F503" s="61"/>
    </row>
    <row r="504" spans="1:7" x14ac:dyDescent="0.55000000000000004">
      <c r="F504" s="61"/>
    </row>
    <row r="505" spans="1:7" x14ac:dyDescent="0.55000000000000004">
      <c r="A505" s="65" t="s">
        <v>681</v>
      </c>
      <c r="B505" s="60"/>
      <c r="C505" s="61" t="s">
        <v>1360</v>
      </c>
      <c r="D505" s="63">
        <v>45124</v>
      </c>
      <c r="E505" s="61" t="s">
        <v>1265</v>
      </c>
      <c r="F505" s="61" t="s">
        <v>1285</v>
      </c>
      <c r="G505" s="61" t="s">
        <v>1362</v>
      </c>
    </row>
    <row r="506" spans="1:7" x14ac:dyDescent="0.55000000000000004">
      <c r="B506" s="61"/>
      <c r="C506" s="61"/>
      <c r="D506" s="61"/>
      <c r="E506" s="61"/>
      <c r="F506" s="66" t="s">
        <v>1260</v>
      </c>
    </row>
    <row r="507" spans="1:7" x14ac:dyDescent="0.55000000000000004">
      <c r="B507" s="61"/>
      <c r="C507" s="61"/>
      <c r="D507" s="61"/>
      <c r="E507" s="61"/>
      <c r="F507" s="61" t="s">
        <v>1363</v>
      </c>
    </row>
    <row r="508" spans="1:7" x14ac:dyDescent="0.55000000000000004">
      <c r="B508" s="61"/>
      <c r="C508" s="61"/>
      <c r="D508" s="61"/>
      <c r="E508" s="61"/>
      <c r="F508" s="66" t="s">
        <v>1262</v>
      </c>
    </row>
    <row r="509" spans="1:7" x14ac:dyDescent="0.55000000000000004">
      <c r="F509" s="61"/>
    </row>
    <row r="510" spans="1:7" x14ac:dyDescent="0.55000000000000004">
      <c r="F510" s="61"/>
    </row>
    <row r="511" spans="1:7" x14ac:dyDescent="0.55000000000000004">
      <c r="A511" s="65" t="s">
        <v>591</v>
      </c>
      <c r="B511" s="60"/>
      <c r="C511" s="61" t="s">
        <v>1360</v>
      </c>
      <c r="D511" s="63">
        <v>45124</v>
      </c>
      <c r="E511" s="61" t="s">
        <v>1265</v>
      </c>
      <c r="F511" s="61" t="s">
        <v>1285</v>
      </c>
      <c r="G511" s="61">
        <v>6</v>
      </c>
    </row>
    <row r="512" spans="1:7" x14ac:dyDescent="0.55000000000000004">
      <c r="B512" s="61"/>
      <c r="C512" s="61"/>
      <c r="D512" s="61"/>
      <c r="E512" s="61"/>
      <c r="F512" s="66" t="s">
        <v>1260</v>
      </c>
    </row>
    <row r="513" spans="1:7" x14ac:dyDescent="0.55000000000000004">
      <c r="B513" s="61"/>
      <c r="C513" s="61"/>
      <c r="D513" s="61"/>
      <c r="E513" s="61"/>
      <c r="F513" s="61" t="s">
        <v>1364</v>
      </c>
    </row>
    <row r="514" spans="1:7" x14ac:dyDescent="0.55000000000000004">
      <c r="B514" s="61"/>
      <c r="C514" s="61"/>
      <c r="D514" s="61"/>
      <c r="E514" s="61"/>
      <c r="F514" s="66" t="s">
        <v>1262</v>
      </c>
    </row>
    <row r="515" spans="1:7" x14ac:dyDescent="0.55000000000000004">
      <c r="F515" s="61"/>
    </row>
    <row r="516" spans="1:7" x14ac:dyDescent="0.55000000000000004">
      <c r="F516" s="61"/>
    </row>
    <row r="517" spans="1:7" x14ac:dyDescent="0.55000000000000004">
      <c r="A517" s="65" t="s">
        <v>665</v>
      </c>
      <c r="B517" s="60"/>
      <c r="C517" s="61" t="s">
        <v>1360</v>
      </c>
      <c r="D517" s="63">
        <v>45124</v>
      </c>
      <c r="E517" s="61" t="s">
        <v>1265</v>
      </c>
      <c r="F517" s="61" t="s">
        <v>1285</v>
      </c>
      <c r="G517" s="61" t="s">
        <v>1294</v>
      </c>
    </row>
    <row r="518" spans="1:7" x14ac:dyDescent="0.55000000000000004">
      <c r="B518" s="61"/>
      <c r="C518" s="61"/>
      <c r="D518" s="61"/>
      <c r="E518" s="61"/>
      <c r="F518" s="66" t="s">
        <v>1260</v>
      </c>
    </row>
    <row r="519" spans="1:7" x14ac:dyDescent="0.55000000000000004">
      <c r="B519" s="61"/>
      <c r="C519" s="61"/>
      <c r="D519" s="61"/>
      <c r="E519" s="61"/>
      <c r="F519" s="61" t="s">
        <v>1365</v>
      </c>
    </row>
    <row r="520" spans="1:7" x14ac:dyDescent="0.55000000000000004">
      <c r="B520" s="61"/>
      <c r="C520" s="61"/>
      <c r="D520" s="61"/>
      <c r="E520" s="61"/>
      <c r="F520" s="66" t="s">
        <v>1262</v>
      </c>
    </row>
    <row r="521" spans="1:7" x14ac:dyDescent="0.55000000000000004">
      <c r="F521" s="61"/>
    </row>
    <row r="522" spans="1:7" x14ac:dyDescent="0.55000000000000004">
      <c r="F522" s="61"/>
    </row>
    <row r="523" spans="1:7" x14ac:dyDescent="0.55000000000000004">
      <c r="A523" s="65" t="s">
        <v>733</v>
      </c>
      <c r="B523" s="60"/>
      <c r="C523" s="61" t="s">
        <v>1360</v>
      </c>
      <c r="D523" s="63">
        <v>45124</v>
      </c>
      <c r="E523" s="61" t="s">
        <v>1265</v>
      </c>
      <c r="F523" s="61" t="s">
        <v>1285</v>
      </c>
      <c r="G523" s="61" t="s">
        <v>1366</v>
      </c>
    </row>
    <row r="524" spans="1:7" x14ac:dyDescent="0.55000000000000004">
      <c r="B524" s="61"/>
      <c r="C524" s="61"/>
      <c r="D524" s="61"/>
      <c r="E524" s="61"/>
      <c r="F524" s="66" t="s">
        <v>1260</v>
      </c>
    </row>
    <row r="525" spans="1:7" x14ac:dyDescent="0.55000000000000004">
      <c r="B525" s="61"/>
      <c r="C525" s="61"/>
      <c r="D525" s="61"/>
      <c r="E525" s="61"/>
      <c r="F525" s="61" t="s">
        <v>1367</v>
      </c>
    </row>
    <row r="526" spans="1:7" x14ac:dyDescent="0.55000000000000004">
      <c r="B526" s="61"/>
      <c r="C526" s="61"/>
      <c r="D526" s="61"/>
      <c r="E526" s="61"/>
      <c r="F526" s="66" t="s">
        <v>1262</v>
      </c>
    </row>
    <row r="527" spans="1:7" x14ac:dyDescent="0.55000000000000004">
      <c r="F527" s="61"/>
    </row>
    <row r="528" spans="1:7" x14ac:dyDescent="0.55000000000000004">
      <c r="F528" s="61"/>
    </row>
    <row r="529" spans="1:7" x14ac:dyDescent="0.55000000000000004">
      <c r="A529" s="65" t="s">
        <v>663</v>
      </c>
      <c r="B529" s="60"/>
      <c r="C529" s="61" t="s">
        <v>1360</v>
      </c>
      <c r="D529" s="63">
        <v>45124</v>
      </c>
      <c r="E529" s="61" t="s">
        <v>1265</v>
      </c>
      <c r="F529" s="61" t="s">
        <v>1285</v>
      </c>
      <c r="G529" s="61"/>
    </row>
    <row r="530" spans="1:7" x14ac:dyDescent="0.55000000000000004">
      <c r="B530" s="61"/>
      <c r="C530" s="61"/>
      <c r="D530" s="61"/>
      <c r="E530" s="61"/>
      <c r="F530" s="66" t="s">
        <v>1260</v>
      </c>
    </row>
    <row r="531" spans="1:7" x14ac:dyDescent="0.55000000000000004">
      <c r="B531" s="61"/>
      <c r="C531" s="61"/>
      <c r="D531" s="61"/>
      <c r="E531" s="61"/>
      <c r="F531" s="61" t="s">
        <v>1368</v>
      </c>
    </row>
    <row r="532" spans="1:7" x14ac:dyDescent="0.55000000000000004">
      <c r="B532" s="61"/>
      <c r="C532" s="61"/>
      <c r="D532" s="61"/>
      <c r="E532" s="61"/>
      <c r="F532" s="66" t="s">
        <v>1262</v>
      </c>
    </row>
    <row r="533" spans="1:7" x14ac:dyDescent="0.55000000000000004">
      <c r="F533" s="61"/>
    </row>
    <row r="534" spans="1:7" x14ac:dyDescent="0.55000000000000004">
      <c r="F534" s="61"/>
    </row>
    <row r="535" spans="1:7" x14ac:dyDescent="0.55000000000000004">
      <c r="A535" s="65" t="s">
        <v>1369</v>
      </c>
      <c r="B535" s="60"/>
      <c r="C535" s="61" t="s">
        <v>1264</v>
      </c>
      <c r="D535" s="63">
        <v>45124</v>
      </c>
      <c r="E535" s="61" t="s">
        <v>1265</v>
      </c>
      <c r="F535" s="61" t="s">
        <v>1285</v>
      </c>
      <c r="G535" s="61" t="s">
        <v>1370</v>
      </c>
    </row>
    <row r="536" spans="1:7" x14ac:dyDescent="0.55000000000000004">
      <c r="B536" s="61"/>
      <c r="C536" s="61"/>
      <c r="D536" s="61"/>
      <c r="E536" s="61"/>
      <c r="F536" s="66" t="s">
        <v>1260</v>
      </c>
    </row>
    <row r="537" spans="1:7" x14ac:dyDescent="0.55000000000000004">
      <c r="B537" s="61"/>
      <c r="C537" s="61"/>
      <c r="D537" s="61"/>
      <c r="E537" s="61"/>
      <c r="F537" s="61" t="s">
        <v>1371</v>
      </c>
    </row>
    <row r="538" spans="1:7" x14ac:dyDescent="0.55000000000000004">
      <c r="B538" s="61"/>
      <c r="C538" s="61"/>
      <c r="D538" s="61"/>
      <c r="E538" s="61"/>
      <c r="F538" s="66" t="s">
        <v>1262</v>
      </c>
    </row>
    <row r="539" spans="1:7" x14ac:dyDescent="0.55000000000000004">
      <c r="F539" s="61"/>
    </row>
    <row r="540" spans="1:7" x14ac:dyDescent="0.55000000000000004">
      <c r="F540" s="61"/>
    </row>
    <row r="541" spans="1:7" x14ac:dyDescent="0.55000000000000004">
      <c r="A541" s="65" t="s">
        <v>559</v>
      </c>
      <c r="B541" s="60"/>
      <c r="C541" s="61" t="s">
        <v>1264</v>
      </c>
      <c r="D541" s="63">
        <v>45124</v>
      </c>
      <c r="E541" s="61" t="s">
        <v>1265</v>
      </c>
      <c r="F541" s="61" t="s">
        <v>1285</v>
      </c>
      <c r="G541" s="61" t="s">
        <v>1372</v>
      </c>
    </row>
    <row r="542" spans="1:7" x14ac:dyDescent="0.55000000000000004">
      <c r="B542" s="61"/>
      <c r="C542" s="61"/>
      <c r="D542" s="61"/>
      <c r="E542" s="61"/>
      <c r="F542" s="66" t="s">
        <v>1260</v>
      </c>
    </row>
    <row r="543" spans="1:7" x14ac:dyDescent="0.55000000000000004">
      <c r="B543" s="61"/>
      <c r="C543" s="61"/>
      <c r="D543" s="61"/>
      <c r="E543" s="61"/>
      <c r="F543" s="61" t="s">
        <v>1373</v>
      </c>
    </row>
    <row r="544" spans="1:7" x14ac:dyDescent="0.55000000000000004">
      <c r="B544" s="61"/>
      <c r="C544" s="61"/>
      <c r="D544" s="61"/>
      <c r="E544" s="61"/>
      <c r="F544" s="66" t="s">
        <v>1262</v>
      </c>
    </row>
    <row r="545" spans="1:7" x14ac:dyDescent="0.55000000000000004">
      <c r="F545" s="61"/>
    </row>
    <row r="546" spans="1:7" x14ac:dyDescent="0.55000000000000004">
      <c r="F546" s="61"/>
    </row>
    <row r="547" spans="1:7" x14ac:dyDescent="0.55000000000000004">
      <c r="A547" s="65" t="s">
        <v>716</v>
      </c>
      <c r="B547" s="60"/>
      <c r="C547" s="61" t="s">
        <v>1264</v>
      </c>
      <c r="D547" s="63">
        <v>45124</v>
      </c>
      <c r="E547" s="61" t="s">
        <v>1265</v>
      </c>
      <c r="F547" s="61" t="s">
        <v>1285</v>
      </c>
      <c r="G547" s="61" t="s">
        <v>1374</v>
      </c>
    </row>
    <row r="548" spans="1:7" x14ac:dyDescent="0.55000000000000004">
      <c r="B548" s="61"/>
      <c r="C548" s="61"/>
      <c r="D548" s="61"/>
      <c r="E548" s="61"/>
      <c r="F548" s="66" t="s">
        <v>1260</v>
      </c>
    </row>
    <row r="549" spans="1:7" x14ac:dyDescent="0.55000000000000004">
      <c r="B549" s="61"/>
      <c r="C549" s="61"/>
      <c r="D549" s="61"/>
      <c r="E549" s="61"/>
      <c r="F549" s="61" t="s">
        <v>1375</v>
      </c>
    </row>
    <row r="550" spans="1:7" x14ac:dyDescent="0.55000000000000004">
      <c r="B550" s="61"/>
      <c r="C550" s="61"/>
      <c r="D550" s="61"/>
      <c r="E550" s="61"/>
      <c r="F550" s="66" t="s">
        <v>1262</v>
      </c>
    </row>
    <row r="551" spans="1:7" x14ac:dyDescent="0.55000000000000004">
      <c r="F551" s="61"/>
    </row>
    <row r="552" spans="1:7" x14ac:dyDescent="0.55000000000000004">
      <c r="F552" s="61"/>
    </row>
    <row r="553" spans="1:7" x14ac:dyDescent="0.55000000000000004">
      <c r="A553" s="65" t="s">
        <v>714</v>
      </c>
      <c r="B553" s="60"/>
      <c r="C553" s="61" t="s">
        <v>1264</v>
      </c>
      <c r="D553" s="63">
        <v>45124</v>
      </c>
      <c r="E553" s="61" t="s">
        <v>1265</v>
      </c>
      <c r="F553" s="61" t="s">
        <v>1285</v>
      </c>
      <c r="G553" s="61" t="s">
        <v>1376</v>
      </c>
    </row>
    <row r="554" spans="1:7" x14ac:dyDescent="0.55000000000000004">
      <c r="B554" s="61"/>
      <c r="C554" s="61"/>
      <c r="D554" s="61"/>
      <c r="E554" s="61"/>
      <c r="F554" s="66" t="s">
        <v>1260</v>
      </c>
    </row>
    <row r="555" spans="1:7" x14ac:dyDescent="0.55000000000000004">
      <c r="B555" s="61"/>
      <c r="C555" s="61"/>
      <c r="D555" s="61"/>
      <c r="E555" s="61"/>
      <c r="F555" s="61" t="s">
        <v>1377</v>
      </c>
    </row>
    <row r="556" spans="1:7" x14ac:dyDescent="0.55000000000000004">
      <c r="B556" s="61"/>
      <c r="C556" s="61"/>
      <c r="D556" s="61"/>
      <c r="E556" s="61"/>
      <c r="F556" s="66" t="s">
        <v>1262</v>
      </c>
    </row>
    <row r="557" spans="1:7" x14ac:dyDescent="0.55000000000000004">
      <c r="F557" s="61"/>
    </row>
    <row r="558" spans="1:7" x14ac:dyDescent="0.55000000000000004">
      <c r="F558" s="61"/>
    </row>
    <row r="559" spans="1:7" x14ac:dyDescent="0.55000000000000004">
      <c r="A559" s="65" t="s">
        <v>734</v>
      </c>
      <c r="B559" s="60"/>
      <c r="C559" s="61" t="s">
        <v>1264</v>
      </c>
      <c r="D559" s="63">
        <v>45124</v>
      </c>
      <c r="E559" s="61" t="s">
        <v>1265</v>
      </c>
      <c r="F559" s="61" t="s">
        <v>1285</v>
      </c>
      <c r="G559" s="61" t="s">
        <v>1378</v>
      </c>
    </row>
    <row r="560" spans="1:7" x14ac:dyDescent="0.55000000000000004">
      <c r="B560" s="61"/>
      <c r="C560" s="61"/>
      <c r="D560" s="61"/>
      <c r="E560" s="61"/>
      <c r="F560" s="66" t="s">
        <v>1260</v>
      </c>
    </row>
    <row r="561" spans="1:7" x14ac:dyDescent="0.55000000000000004">
      <c r="B561" s="61"/>
      <c r="C561" s="61"/>
      <c r="D561" s="61"/>
      <c r="E561" s="61"/>
      <c r="F561" s="61" t="s">
        <v>1379</v>
      </c>
    </row>
    <row r="562" spans="1:7" x14ac:dyDescent="0.55000000000000004">
      <c r="B562" s="61"/>
      <c r="C562" s="61"/>
      <c r="D562" s="61"/>
      <c r="E562" s="61"/>
      <c r="F562" s="66" t="s">
        <v>1262</v>
      </c>
    </row>
    <row r="563" spans="1:7" x14ac:dyDescent="0.55000000000000004">
      <c r="F563" s="61"/>
    </row>
    <row r="564" spans="1:7" x14ac:dyDescent="0.55000000000000004">
      <c r="F564" s="61"/>
    </row>
    <row r="565" spans="1:7" x14ac:dyDescent="0.55000000000000004">
      <c r="A565" s="65" t="s">
        <v>747</v>
      </c>
      <c r="B565" s="60"/>
      <c r="C565" s="61" t="s">
        <v>1264</v>
      </c>
      <c r="D565" s="63">
        <v>45124</v>
      </c>
      <c r="E565" s="61" t="s">
        <v>1265</v>
      </c>
      <c r="F565" s="61" t="s">
        <v>1285</v>
      </c>
      <c r="G565" s="61" t="s">
        <v>1380</v>
      </c>
    </row>
    <row r="566" spans="1:7" x14ac:dyDescent="0.55000000000000004">
      <c r="B566" s="61"/>
      <c r="C566" s="61"/>
      <c r="D566" s="61"/>
      <c r="E566" s="61"/>
      <c r="F566" s="66" t="s">
        <v>1260</v>
      </c>
    </row>
    <row r="567" spans="1:7" x14ac:dyDescent="0.55000000000000004">
      <c r="B567" s="61"/>
      <c r="C567" s="61"/>
      <c r="D567" s="61"/>
      <c r="E567" s="61"/>
      <c r="F567" s="61" t="s">
        <v>1381</v>
      </c>
    </row>
    <row r="568" spans="1:7" x14ac:dyDescent="0.55000000000000004">
      <c r="B568" s="61"/>
      <c r="C568" s="61"/>
      <c r="D568" s="61"/>
      <c r="E568" s="61"/>
      <c r="F568" s="66" t="s">
        <v>1262</v>
      </c>
    </row>
    <row r="569" spans="1:7" x14ac:dyDescent="0.55000000000000004">
      <c r="F569" s="61"/>
    </row>
    <row r="570" spans="1:7" x14ac:dyDescent="0.55000000000000004">
      <c r="F570" s="61"/>
    </row>
    <row r="571" spans="1:7" x14ac:dyDescent="0.55000000000000004">
      <c r="A571" s="65" t="s">
        <v>743</v>
      </c>
      <c r="B571" s="60"/>
      <c r="C571" s="61" t="s">
        <v>1264</v>
      </c>
      <c r="D571" s="63">
        <v>45124</v>
      </c>
      <c r="E571" s="61" t="s">
        <v>1265</v>
      </c>
      <c r="F571" s="61" t="s">
        <v>1285</v>
      </c>
      <c r="G571" s="61" t="s">
        <v>1380</v>
      </c>
    </row>
    <row r="572" spans="1:7" x14ac:dyDescent="0.55000000000000004">
      <c r="B572" s="61"/>
      <c r="C572" s="61"/>
      <c r="D572" s="61"/>
      <c r="E572" s="61"/>
      <c r="F572" s="66" t="s">
        <v>1260</v>
      </c>
    </row>
    <row r="573" spans="1:7" x14ac:dyDescent="0.55000000000000004">
      <c r="B573" s="61"/>
      <c r="C573" s="61"/>
      <c r="D573" s="61"/>
      <c r="E573" s="61"/>
      <c r="F573" s="61" t="s">
        <v>1382</v>
      </c>
    </row>
    <row r="574" spans="1:7" x14ac:dyDescent="0.55000000000000004">
      <c r="B574" s="61"/>
      <c r="C574" s="61"/>
      <c r="D574" s="61"/>
      <c r="E574" s="61"/>
      <c r="F574" s="66" t="s">
        <v>1262</v>
      </c>
    </row>
    <row r="575" spans="1:7" x14ac:dyDescent="0.55000000000000004">
      <c r="F575" s="61"/>
    </row>
    <row r="576" spans="1:7" x14ac:dyDescent="0.55000000000000004">
      <c r="F576" s="61"/>
    </row>
    <row r="577" spans="1:7" x14ac:dyDescent="0.55000000000000004">
      <c r="A577" s="65" t="s">
        <v>642</v>
      </c>
      <c r="B577" s="60"/>
      <c r="C577" s="61" t="s">
        <v>1383</v>
      </c>
      <c r="D577" s="63">
        <v>45124</v>
      </c>
      <c r="E577" s="61" t="s">
        <v>1265</v>
      </c>
      <c r="F577" s="61" t="s">
        <v>1285</v>
      </c>
      <c r="G577" s="61" t="s">
        <v>1384</v>
      </c>
    </row>
    <row r="578" spans="1:7" x14ac:dyDescent="0.55000000000000004">
      <c r="B578" s="61"/>
      <c r="C578" s="61"/>
      <c r="D578" s="61"/>
      <c r="E578" s="61"/>
      <c r="F578" s="66" t="s">
        <v>1260</v>
      </c>
    </row>
    <row r="579" spans="1:7" x14ac:dyDescent="0.55000000000000004">
      <c r="B579" s="61"/>
      <c r="C579" s="61"/>
      <c r="D579" s="61"/>
      <c r="E579" s="61"/>
      <c r="F579" s="61" t="s">
        <v>1385</v>
      </c>
    </row>
    <row r="580" spans="1:7" x14ac:dyDescent="0.55000000000000004">
      <c r="B580" s="61"/>
      <c r="C580" s="61"/>
      <c r="D580" s="61"/>
      <c r="E580" s="61"/>
      <c r="F580" s="66" t="s">
        <v>1262</v>
      </c>
    </row>
    <row r="581" spans="1:7" x14ac:dyDescent="0.55000000000000004">
      <c r="F581" s="61"/>
    </row>
    <row r="582" spans="1:7" x14ac:dyDescent="0.55000000000000004">
      <c r="F582" s="61"/>
    </row>
    <row r="583" spans="1:7" x14ac:dyDescent="0.55000000000000004">
      <c r="A583" s="65" t="s">
        <v>602</v>
      </c>
      <c r="B583" s="60"/>
      <c r="C583" s="61" t="s">
        <v>1383</v>
      </c>
      <c r="D583" s="63">
        <v>45124</v>
      </c>
      <c r="E583" s="61" t="s">
        <v>1265</v>
      </c>
      <c r="F583" s="61" t="s">
        <v>1285</v>
      </c>
      <c r="G583" s="61">
        <v>6</v>
      </c>
    </row>
    <row r="584" spans="1:7" x14ac:dyDescent="0.55000000000000004">
      <c r="B584" s="61"/>
      <c r="C584" s="61"/>
      <c r="D584" s="61"/>
      <c r="E584" s="61"/>
      <c r="F584" s="66" t="s">
        <v>1260</v>
      </c>
    </row>
    <row r="585" spans="1:7" x14ac:dyDescent="0.55000000000000004">
      <c r="B585" s="61"/>
      <c r="C585" s="61"/>
      <c r="D585" s="61"/>
      <c r="E585" s="61"/>
      <c r="F585" s="61"/>
    </row>
    <row r="586" spans="1:7" x14ac:dyDescent="0.55000000000000004">
      <c r="B586" s="61"/>
      <c r="C586" s="61"/>
      <c r="D586" s="61"/>
      <c r="E586" s="61"/>
      <c r="F586" s="66" t="s">
        <v>1262</v>
      </c>
    </row>
    <row r="587" spans="1:7" x14ac:dyDescent="0.55000000000000004">
      <c r="F587" s="61"/>
    </row>
    <row r="588" spans="1:7" x14ac:dyDescent="0.55000000000000004">
      <c r="F588" s="61"/>
    </row>
    <row r="589" spans="1:7" x14ac:dyDescent="0.55000000000000004">
      <c r="A589" s="65" t="s">
        <v>687</v>
      </c>
      <c r="B589" s="60"/>
      <c r="C589" s="61" t="s">
        <v>1386</v>
      </c>
      <c r="D589" s="63">
        <v>45124</v>
      </c>
      <c r="E589" s="61" t="s">
        <v>1265</v>
      </c>
      <c r="F589" s="61" t="s">
        <v>1285</v>
      </c>
      <c r="G589" s="61">
        <v>6</v>
      </c>
    </row>
    <row r="590" spans="1:7" x14ac:dyDescent="0.55000000000000004">
      <c r="B590" s="61"/>
      <c r="C590" s="61"/>
      <c r="D590" s="61"/>
      <c r="E590" s="61"/>
      <c r="F590" s="66" t="s">
        <v>1260</v>
      </c>
    </row>
    <row r="591" spans="1:7" x14ac:dyDescent="0.55000000000000004">
      <c r="B591" s="61"/>
      <c r="C591" s="61"/>
      <c r="D591" s="61"/>
      <c r="E591" s="61"/>
      <c r="F591" s="61" t="s">
        <v>1387</v>
      </c>
    </row>
    <row r="592" spans="1:7" x14ac:dyDescent="0.55000000000000004">
      <c r="B592" s="61"/>
      <c r="C592" s="61"/>
      <c r="D592" s="61"/>
      <c r="E592" s="61"/>
      <c r="F592" s="66" t="s">
        <v>1262</v>
      </c>
    </row>
    <row r="593" spans="1:7" x14ac:dyDescent="0.55000000000000004">
      <c r="F593" s="61"/>
    </row>
    <row r="594" spans="1:7" x14ac:dyDescent="0.55000000000000004">
      <c r="F594" s="61"/>
    </row>
    <row r="595" spans="1:7" x14ac:dyDescent="0.55000000000000004">
      <c r="A595" s="65" t="s">
        <v>745</v>
      </c>
      <c r="B595" s="60"/>
      <c r="C595" s="61" t="s">
        <v>1386</v>
      </c>
      <c r="D595" s="63">
        <v>45124</v>
      </c>
      <c r="E595" s="61" t="s">
        <v>1265</v>
      </c>
      <c r="F595" s="61" t="s">
        <v>1285</v>
      </c>
      <c r="G595" s="61">
        <v>6</v>
      </c>
    </row>
    <row r="596" spans="1:7" x14ac:dyDescent="0.55000000000000004">
      <c r="B596" s="61"/>
      <c r="C596" s="61"/>
      <c r="D596" s="61"/>
      <c r="E596" s="61"/>
      <c r="F596" s="66" t="s">
        <v>1260</v>
      </c>
    </row>
    <row r="597" spans="1:7" x14ac:dyDescent="0.55000000000000004">
      <c r="B597" s="61"/>
      <c r="C597" s="61"/>
      <c r="D597" s="61"/>
      <c r="E597" s="61"/>
      <c r="F597" s="61" t="s">
        <v>1388</v>
      </c>
    </row>
    <row r="598" spans="1:7" x14ac:dyDescent="0.55000000000000004">
      <c r="B598" s="61"/>
      <c r="C598" s="61"/>
      <c r="D598" s="61"/>
      <c r="E598" s="61"/>
      <c r="F598" s="66" t="s">
        <v>1262</v>
      </c>
    </row>
    <row r="599" spans="1:7" x14ac:dyDescent="0.55000000000000004">
      <c r="F599" s="61"/>
    </row>
    <row r="600" spans="1:7" x14ac:dyDescent="0.55000000000000004">
      <c r="F600" s="61"/>
    </row>
    <row r="601" spans="1:7" x14ac:dyDescent="0.55000000000000004">
      <c r="A601" s="65" t="s">
        <v>731</v>
      </c>
      <c r="B601" s="60"/>
      <c r="C601" s="61" t="s">
        <v>1389</v>
      </c>
      <c r="D601" s="63">
        <v>45124</v>
      </c>
      <c r="E601" s="61" t="s">
        <v>1265</v>
      </c>
      <c r="F601" s="61" t="s">
        <v>1285</v>
      </c>
      <c r="G601" s="61">
        <v>6</v>
      </c>
    </row>
    <row r="602" spans="1:7" x14ac:dyDescent="0.55000000000000004">
      <c r="B602" s="61"/>
      <c r="C602" s="61"/>
      <c r="D602" s="61"/>
      <c r="E602" s="61"/>
      <c r="F602" s="66" t="s">
        <v>1260</v>
      </c>
    </row>
    <row r="603" spans="1:7" x14ac:dyDescent="0.55000000000000004">
      <c r="B603" s="61"/>
      <c r="C603" s="61"/>
      <c r="D603" s="61"/>
      <c r="E603" s="61"/>
      <c r="F603" s="61" t="s">
        <v>1390</v>
      </c>
    </row>
    <row r="604" spans="1:7" x14ac:dyDescent="0.55000000000000004">
      <c r="B604" s="61"/>
      <c r="C604" s="61"/>
      <c r="D604" s="61"/>
      <c r="E604" s="61"/>
      <c r="F604" s="66" t="s">
        <v>1262</v>
      </c>
    </row>
    <row r="605" spans="1:7" x14ac:dyDescent="0.55000000000000004">
      <c r="F605" s="61"/>
    </row>
    <row r="606" spans="1:7" x14ac:dyDescent="0.55000000000000004">
      <c r="F606" s="61"/>
    </row>
    <row r="607" spans="1:7" x14ac:dyDescent="0.55000000000000004">
      <c r="A607" s="65" t="s">
        <v>704</v>
      </c>
      <c r="B607" s="60"/>
      <c r="C607" s="61" t="s">
        <v>1391</v>
      </c>
      <c r="D607" s="63">
        <v>45124</v>
      </c>
      <c r="E607" s="61" t="s">
        <v>1265</v>
      </c>
      <c r="F607" s="61" t="s">
        <v>1285</v>
      </c>
      <c r="G607" s="61">
        <v>6</v>
      </c>
    </row>
    <row r="608" spans="1:7" x14ac:dyDescent="0.55000000000000004">
      <c r="B608" s="61"/>
      <c r="C608" s="61"/>
      <c r="D608" s="61"/>
      <c r="E608" s="61"/>
      <c r="F608" s="66" t="s">
        <v>1260</v>
      </c>
    </row>
    <row r="609" spans="1:7" x14ac:dyDescent="0.55000000000000004">
      <c r="B609" s="61"/>
      <c r="C609" s="61"/>
      <c r="D609" s="61"/>
      <c r="E609" s="61"/>
      <c r="F609" s="61" t="s">
        <v>1392</v>
      </c>
    </row>
    <row r="610" spans="1:7" x14ac:dyDescent="0.55000000000000004">
      <c r="B610" s="61"/>
      <c r="C610" s="61"/>
      <c r="D610" s="61"/>
      <c r="E610" s="61"/>
      <c r="F610" s="66" t="s">
        <v>1262</v>
      </c>
    </row>
    <row r="611" spans="1:7" x14ac:dyDescent="0.55000000000000004">
      <c r="F611" s="61"/>
    </row>
    <row r="612" spans="1:7" x14ac:dyDescent="0.55000000000000004">
      <c r="F612" s="61"/>
    </row>
    <row r="613" spans="1:7" x14ac:dyDescent="0.55000000000000004">
      <c r="A613" s="65" t="s">
        <v>686</v>
      </c>
      <c r="B613" s="60"/>
      <c r="C613" s="61" t="s">
        <v>1391</v>
      </c>
      <c r="D613" s="63">
        <v>45124</v>
      </c>
      <c r="E613" s="61" t="s">
        <v>1265</v>
      </c>
      <c r="F613" s="61" t="s">
        <v>1285</v>
      </c>
      <c r="G613" s="61">
        <v>6</v>
      </c>
    </row>
    <row r="614" spans="1:7" x14ac:dyDescent="0.55000000000000004">
      <c r="B614" s="61"/>
      <c r="C614" s="61"/>
      <c r="D614" s="61"/>
      <c r="E614" s="61"/>
      <c r="F614" s="66" t="s">
        <v>1260</v>
      </c>
    </row>
    <row r="615" spans="1:7" x14ac:dyDescent="0.55000000000000004">
      <c r="B615" s="61"/>
      <c r="C615" s="61"/>
      <c r="D615" s="61"/>
      <c r="E615" s="61"/>
      <c r="F615" s="61" t="s">
        <v>1393</v>
      </c>
    </row>
    <row r="616" spans="1:7" x14ac:dyDescent="0.55000000000000004">
      <c r="B616" s="61"/>
      <c r="C616" s="61"/>
      <c r="D616" s="61"/>
      <c r="E616" s="61"/>
      <c r="F616" s="66" t="s">
        <v>1262</v>
      </c>
    </row>
    <row r="617" spans="1:7" x14ac:dyDescent="0.55000000000000004">
      <c r="F617" s="61"/>
    </row>
    <row r="618" spans="1:7" x14ac:dyDescent="0.55000000000000004">
      <c r="F618" s="61"/>
    </row>
    <row r="619" spans="1:7" x14ac:dyDescent="0.55000000000000004">
      <c r="A619" s="65" t="s">
        <v>637</v>
      </c>
      <c r="B619" s="60"/>
      <c r="C619" s="61" t="s">
        <v>1391</v>
      </c>
      <c r="D619" s="63">
        <v>45124</v>
      </c>
      <c r="E619" s="61" t="s">
        <v>1265</v>
      </c>
      <c r="F619" s="61" t="s">
        <v>1285</v>
      </c>
      <c r="G619" s="61">
        <v>6</v>
      </c>
    </row>
    <row r="620" spans="1:7" x14ac:dyDescent="0.55000000000000004">
      <c r="B620" s="61"/>
      <c r="C620" s="61"/>
      <c r="D620" s="61"/>
      <c r="E620" s="61"/>
      <c r="F620" s="66" t="s">
        <v>1260</v>
      </c>
    </row>
    <row r="621" spans="1:7" x14ac:dyDescent="0.55000000000000004">
      <c r="B621" s="61"/>
      <c r="C621" s="61"/>
      <c r="D621" s="61"/>
      <c r="E621" s="61"/>
      <c r="F621" s="61" t="s">
        <v>1394</v>
      </c>
    </row>
    <row r="622" spans="1:7" x14ac:dyDescent="0.55000000000000004">
      <c r="B622" s="61"/>
      <c r="C622" s="61"/>
      <c r="D622" s="61"/>
      <c r="E622" s="61"/>
      <c r="F622" s="66" t="s">
        <v>1262</v>
      </c>
    </row>
    <row r="623" spans="1:7" x14ac:dyDescent="0.55000000000000004">
      <c r="F623" s="61"/>
    </row>
    <row r="624" spans="1:7" x14ac:dyDescent="0.55000000000000004">
      <c r="F624" s="61"/>
    </row>
    <row r="625" spans="1:7" x14ac:dyDescent="0.55000000000000004">
      <c r="A625" s="65" t="s">
        <v>623</v>
      </c>
      <c r="B625" s="60"/>
      <c r="C625" s="61" t="s">
        <v>1391</v>
      </c>
      <c r="D625" s="63">
        <v>45124</v>
      </c>
      <c r="E625" s="61" t="s">
        <v>1265</v>
      </c>
      <c r="F625" s="61" t="s">
        <v>1285</v>
      </c>
      <c r="G625" s="61" t="s">
        <v>1395</v>
      </c>
    </row>
    <row r="626" spans="1:7" x14ac:dyDescent="0.55000000000000004">
      <c r="B626" s="61"/>
      <c r="C626" s="61"/>
      <c r="D626" s="61"/>
      <c r="E626" s="61"/>
      <c r="F626" s="66" t="s">
        <v>1260</v>
      </c>
    </row>
    <row r="627" spans="1:7" x14ac:dyDescent="0.55000000000000004">
      <c r="B627" s="61"/>
      <c r="C627" s="61"/>
      <c r="D627" s="61"/>
      <c r="E627" s="61"/>
      <c r="F627" s="61" t="s">
        <v>1396</v>
      </c>
    </row>
    <row r="628" spans="1:7" x14ac:dyDescent="0.55000000000000004">
      <c r="B628" s="61"/>
      <c r="C628" s="61"/>
      <c r="D628" s="61"/>
      <c r="E628" s="61"/>
      <c r="F628" s="66" t="s">
        <v>1262</v>
      </c>
    </row>
    <row r="629" spans="1:7" x14ac:dyDescent="0.55000000000000004">
      <c r="F629" s="61"/>
    </row>
    <row r="630" spans="1:7" x14ac:dyDescent="0.55000000000000004">
      <c r="F630" s="61"/>
    </row>
    <row r="631" spans="1:7" x14ac:dyDescent="0.55000000000000004">
      <c r="A631" s="65" t="s">
        <v>597</v>
      </c>
      <c r="B631" s="60"/>
      <c r="C631" s="61" t="s">
        <v>1391</v>
      </c>
      <c r="D631" s="63">
        <v>45124</v>
      </c>
      <c r="E631" s="61" t="s">
        <v>1265</v>
      </c>
      <c r="F631" s="61" t="s">
        <v>1285</v>
      </c>
      <c r="G631" s="61">
        <v>6</v>
      </c>
    </row>
    <row r="632" spans="1:7" x14ac:dyDescent="0.55000000000000004">
      <c r="B632" s="61"/>
      <c r="C632" s="61"/>
      <c r="D632" s="61"/>
      <c r="E632" s="61"/>
      <c r="F632" s="66" t="s">
        <v>1260</v>
      </c>
    </row>
    <row r="633" spans="1:7" x14ac:dyDescent="0.55000000000000004">
      <c r="B633" s="61"/>
      <c r="C633" s="61"/>
      <c r="D633" s="61"/>
      <c r="E633" s="61"/>
      <c r="F633" s="61" t="s">
        <v>1397</v>
      </c>
    </row>
    <row r="634" spans="1:7" x14ac:dyDescent="0.55000000000000004">
      <c r="B634" s="61"/>
      <c r="C634" s="61"/>
      <c r="D634" s="61"/>
      <c r="E634" s="61"/>
      <c r="F634" s="66" t="s">
        <v>1262</v>
      </c>
    </row>
    <row r="635" spans="1:7" x14ac:dyDescent="0.55000000000000004">
      <c r="F635" s="61"/>
    </row>
    <row r="636" spans="1:7" x14ac:dyDescent="0.55000000000000004">
      <c r="F636" s="61"/>
    </row>
    <row r="637" spans="1:7" x14ac:dyDescent="0.55000000000000004">
      <c r="A637" s="65" t="s">
        <v>627</v>
      </c>
      <c r="B637" s="60"/>
      <c r="C637" s="61" t="s">
        <v>1391</v>
      </c>
      <c r="D637" s="63">
        <v>45124</v>
      </c>
      <c r="E637" s="61" t="s">
        <v>1265</v>
      </c>
      <c r="F637" s="61" t="s">
        <v>1285</v>
      </c>
      <c r="G637" s="61" t="s">
        <v>1380</v>
      </c>
    </row>
    <row r="638" spans="1:7" x14ac:dyDescent="0.55000000000000004">
      <c r="B638" s="61"/>
      <c r="C638" s="61"/>
      <c r="D638" s="61"/>
      <c r="E638" s="61"/>
      <c r="F638" s="66" t="s">
        <v>1260</v>
      </c>
    </row>
    <row r="639" spans="1:7" x14ac:dyDescent="0.55000000000000004">
      <c r="B639" s="61"/>
      <c r="C639" s="61"/>
      <c r="D639" s="61"/>
      <c r="E639" s="61"/>
      <c r="F639" s="61" t="s">
        <v>1398</v>
      </c>
    </row>
    <row r="640" spans="1:7" x14ac:dyDescent="0.55000000000000004">
      <c r="B640" s="61"/>
      <c r="C640" s="61"/>
      <c r="D640" s="61"/>
      <c r="E640" s="61"/>
      <c r="F640" s="66" t="s">
        <v>1262</v>
      </c>
    </row>
    <row r="641" spans="1:7" x14ac:dyDescent="0.55000000000000004">
      <c r="B641" s="61"/>
      <c r="C641" s="61"/>
      <c r="D641" s="61"/>
      <c r="E641" s="61"/>
      <c r="F641" s="66"/>
    </row>
    <row r="642" spans="1:7" x14ac:dyDescent="0.55000000000000004">
      <c r="B642" s="61"/>
      <c r="C642" s="61"/>
      <c r="D642" s="61"/>
      <c r="E642" s="61"/>
      <c r="F642" s="66"/>
    </row>
    <row r="643" spans="1:7" x14ac:dyDescent="0.55000000000000004">
      <c r="A643" s="65" t="s">
        <v>629</v>
      </c>
      <c r="B643" s="60"/>
      <c r="C643" s="61" t="s">
        <v>1391</v>
      </c>
      <c r="D643" s="63">
        <v>45124</v>
      </c>
      <c r="E643" s="61" t="s">
        <v>1265</v>
      </c>
      <c r="F643" s="61" t="s">
        <v>1285</v>
      </c>
      <c r="G643" s="61" t="s">
        <v>1380</v>
      </c>
    </row>
    <row r="644" spans="1:7" x14ac:dyDescent="0.55000000000000004">
      <c r="B644" s="61"/>
      <c r="C644" s="61"/>
      <c r="D644" s="61"/>
      <c r="E644" s="61"/>
      <c r="F644" s="66" t="s">
        <v>1260</v>
      </c>
    </row>
    <row r="645" spans="1:7" x14ac:dyDescent="0.55000000000000004">
      <c r="B645" s="61"/>
      <c r="C645" s="61"/>
      <c r="D645" s="61"/>
      <c r="E645" s="61"/>
      <c r="F645" s="61" t="s">
        <v>1399</v>
      </c>
    </row>
    <row r="646" spans="1:7" x14ac:dyDescent="0.55000000000000004">
      <c r="B646" s="61"/>
      <c r="C646" s="61"/>
      <c r="D646" s="61"/>
      <c r="E646" s="61"/>
      <c r="F646" s="66" t="s">
        <v>1262</v>
      </c>
    </row>
    <row r="647" spans="1:7" x14ac:dyDescent="0.55000000000000004">
      <c r="B647" s="61"/>
      <c r="C647" s="61"/>
      <c r="F647" s="61"/>
    </row>
    <row r="648" spans="1:7" x14ac:dyDescent="0.55000000000000004">
      <c r="B648" s="61"/>
      <c r="C648" s="61"/>
      <c r="F648" s="61"/>
    </row>
    <row r="649" spans="1:7" x14ac:dyDescent="0.55000000000000004">
      <c r="A649" s="65" t="s">
        <v>742</v>
      </c>
      <c r="B649" s="60"/>
      <c r="C649" s="61" t="s">
        <v>1391</v>
      </c>
      <c r="D649" s="63">
        <v>45124</v>
      </c>
      <c r="E649" s="61" t="s">
        <v>1265</v>
      </c>
      <c r="F649" s="61" t="s">
        <v>1285</v>
      </c>
      <c r="G649" s="61" t="s">
        <v>1400</v>
      </c>
    </row>
    <row r="650" spans="1:7" x14ac:dyDescent="0.55000000000000004">
      <c r="B650" s="61"/>
      <c r="C650" s="61"/>
      <c r="D650" s="61"/>
      <c r="E650" s="61"/>
      <c r="F650" s="66" t="s">
        <v>1260</v>
      </c>
    </row>
    <row r="651" spans="1:7" x14ac:dyDescent="0.55000000000000004">
      <c r="B651" s="61"/>
      <c r="C651" s="61"/>
      <c r="D651" s="61"/>
      <c r="E651" s="61"/>
      <c r="F651" s="61" t="s">
        <v>1401</v>
      </c>
    </row>
    <row r="652" spans="1:7" x14ac:dyDescent="0.55000000000000004">
      <c r="B652" s="61"/>
      <c r="C652" s="61"/>
      <c r="D652" s="61"/>
      <c r="E652" s="61"/>
      <c r="F652" s="66" t="s">
        <v>1262</v>
      </c>
    </row>
    <row r="653" spans="1:7" x14ac:dyDescent="0.55000000000000004">
      <c r="B653" s="61"/>
      <c r="C653" s="61"/>
      <c r="F653" s="61"/>
    </row>
    <row r="654" spans="1:7" x14ac:dyDescent="0.55000000000000004">
      <c r="F654" s="61"/>
    </row>
    <row r="655" spans="1:7" x14ac:dyDescent="0.55000000000000004">
      <c r="A655" s="65" t="s">
        <v>730</v>
      </c>
      <c r="B655" s="60"/>
      <c r="C655" s="61" t="s">
        <v>1402</v>
      </c>
      <c r="D655" s="63">
        <v>45124</v>
      </c>
      <c r="E655" s="61" t="s">
        <v>1265</v>
      </c>
      <c r="F655" s="61" t="s">
        <v>1285</v>
      </c>
      <c r="G655" s="61">
        <v>6</v>
      </c>
    </row>
    <row r="656" spans="1:7" x14ac:dyDescent="0.55000000000000004">
      <c r="B656" s="61"/>
      <c r="C656" s="61"/>
      <c r="D656" s="61"/>
      <c r="E656" s="61"/>
      <c r="F656" s="66" t="s">
        <v>1260</v>
      </c>
    </row>
    <row r="657" spans="1:7" x14ac:dyDescent="0.55000000000000004">
      <c r="B657" s="61"/>
      <c r="C657" s="61"/>
      <c r="D657" s="61"/>
      <c r="E657" s="61"/>
      <c r="F657" s="61" t="s">
        <v>1403</v>
      </c>
    </row>
    <row r="658" spans="1:7" x14ac:dyDescent="0.55000000000000004">
      <c r="B658" s="61"/>
      <c r="C658" s="61"/>
      <c r="D658" s="61"/>
      <c r="E658" s="61"/>
      <c r="F658" s="66" t="s">
        <v>1262</v>
      </c>
    </row>
    <row r="659" spans="1:7" x14ac:dyDescent="0.55000000000000004">
      <c r="B659" s="61"/>
      <c r="C659" s="61"/>
      <c r="F659" s="61"/>
    </row>
    <row r="660" spans="1:7" x14ac:dyDescent="0.55000000000000004">
      <c r="F660" s="61"/>
    </row>
    <row r="661" spans="1:7" x14ac:dyDescent="0.55000000000000004">
      <c r="A661" s="65" t="s">
        <v>729</v>
      </c>
      <c r="B661" s="60"/>
      <c r="C661" s="61" t="s">
        <v>1402</v>
      </c>
      <c r="D661" s="63">
        <v>45124</v>
      </c>
      <c r="E661" s="61" t="s">
        <v>1265</v>
      </c>
      <c r="F661" s="61" t="s">
        <v>1285</v>
      </c>
      <c r="G661">
        <v>6</v>
      </c>
    </row>
    <row r="662" spans="1:7" x14ac:dyDescent="0.55000000000000004">
      <c r="B662" s="61"/>
      <c r="C662" s="61"/>
      <c r="D662" s="61"/>
      <c r="E662" s="61"/>
      <c r="F662" s="66" t="s">
        <v>1260</v>
      </c>
    </row>
    <row r="663" spans="1:7" x14ac:dyDescent="0.55000000000000004">
      <c r="B663" s="61"/>
      <c r="C663" s="61"/>
      <c r="D663" s="61"/>
      <c r="E663" s="61"/>
      <c r="F663" s="61" t="s">
        <v>1403</v>
      </c>
    </row>
    <row r="664" spans="1:7" x14ac:dyDescent="0.55000000000000004">
      <c r="B664" s="61"/>
      <c r="C664" s="61"/>
      <c r="D664" s="61"/>
      <c r="E664" s="61"/>
      <c r="F664" s="66" t="s">
        <v>1262</v>
      </c>
    </row>
    <row r="665" spans="1:7" x14ac:dyDescent="0.55000000000000004">
      <c r="B665" s="61"/>
      <c r="C665" s="61"/>
      <c r="F665" s="61"/>
    </row>
    <row r="666" spans="1:7" x14ac:dyDescent="0.55000000000000004">
      <c r="F666" s="61"/>
    </row>
    <row r="667" spans="1:7" x14ac:dyDescent="0.55000000000000004">
      <c r="A667" s="65" t="s">
        <v>728</v>
      </c>
      <c r="B667" s="60"/>
      <c r="C667" s="61" t="s">
        <v>1402</v>
      </c>
      <c r="D667" s="63">
        <v>45124</v>
      </c>
      <c r="E667" s="61" t="s">
        <v>1265</v>
      </c>
      <c r="F667" s="61" t="s">
        <v>1285</v>
      </c>
      <c r="G667">
        <v>6</v>
      </c>
    </row>
    <row r="668" spans="1:7" x14ac:dyDescent="0.55000000000000004">
      <c r="B668" s="61"/>
      <c r="C668" s="61"/>
      <c r="D668" s="61"/>
      <c r="E668" s="61"/>
      <c r="F668" s="66" t="s">
        <v>1260</v>
      </c>
    </row>
    <row r="669" spans="1:7" x14ac:dyDescent="0.55000000000000004">
      <c r="B669" s="61"/>
      <c r="C669" s="61"/>
      <c r="D669" s="61"/>
      <c r="E669" s="61"/>
      <c r="F669" s="61" t="s">
        <v>1404</v>
      </c>
    </row>
    <row r="670" spans="1:7" x14ac:dyDescent="0.55000000000000004">
      <c r="B670" s="61"/>
      <c r="C670" s="61"/>
      <c r="D670" s="61"/>
      <c r="E670" s="61"/>
      <c r="F670" s="66" t="s">
        <v>1262</v>
      </c>
    </row>
    <row r="671" spans="1:7" x14ac:dyDescent="0.55000000000000004">
      <c r="B671" s="61"/>
      <c r="C671" s="61"/>
      <c r="F671" s="61"/>
    </row>
    <row r="672" spans="1:7" x14ac:dyDescent="0.55000000000000004">
      <c r="F672" s="61"/>
    </row>
    <row r="673" spans="1:7" x14ac:dyDescent="0.55000000000000004">
      <c r="A673" s="65" t="s">
        <v>639</v>
      </c>
      <c r="B673" s="60"/>
      <c r="C673" s="61" t="s">
        <v>1402</v>
      </c>
      <c r="D673" s="63">
        <v>45124</v>
      </c>
      <c r="E673" s="61" t="s">
        <v>1265</v>
      </c>
      <c r="F673" s="61" t="s">
        <v>1285</v>
      </c>
      <c r="G673">
        <v>6</v>
      </c>
    </row>
    <row r="674" spans="1:7" x14ac:dyDescent="0.55000000000000004">
      <c r="B674" s="61"/>
      <c r="C674" s="61"/>
      <c r="D674" s="61"/>
      <c r="E674" s="61"/>
      <c r="F674" s="66" t="s">
        <v>1260</v>
      </c>
    </row>
    <row r="675" spans="1:7" x14ac:dyDescent="0.55000000000000004">
      <c r="B675" s="61"/>
      <c r="C675" s="61"/>
      <c r="D675" s="61"/>
      <c r="E675" s="61"/>
      <c r="F675" s="61" t="s">
        <v>1405</v>
      </c>
    </row>
    <row r="676" spans="1:7" x14ac:dyDescent="0.55000000000000004">
      <c r="B676" s="61"/>
      <c r="C676" s="61"/>
      <c r="D676" s="61"/>
      <c r="E676" s="61"/>
      <c r="F676" s="66" t="s">
        <v>1262</v>
      </c>
    </row>
    <row r="677" spans="1:7" x14ac:dyDescent="0.55000000000000004">
      <c r="B677" s="61"/>
      <c r="C677" s="61"/>
      <c r="F677" s="61"/>
    </row>
    <row r="678" spans="1:7" x14ac:dyDescent="0.55000000000000004">
      <c r="F678" s="61"/>
    </row>
    <row r="679" spans="1:7" x14ac:dyDescent="0.55000000000000004">
      <c r="A679" s="65" t="s">
        <v>620</v>
      </c>
      <c r="B679" s="60"/>
      <c r="C679" s="61" t="s">
        <v>1402</v>
      </c>
      <c r="D679" s="63">
        <v>45124</v>
      </c>
      <c r="E679" s="61" t="s">
        <v>1265</v>
      </c>
      <c r="F679" s="61" t="s">
        <v>1285</v>
      </c>
      <c r="G679">
        <v>6</v>
      </c>
    </row>
    <row r="680" spans="1:7" x14ac:dyDescent="0.55000000000000004">
      <c r="B680" s="61"/>
      <c r="C680" s="61"/>
      <c r="D680" s="61"/>
      <c r="E680" s="61"/>
      <c r="F680" s="66" t="s">
        <v>1260</v>
      </c>
    </row>
    <row r="681" spans="1:7" x14ac:dyDescent="0.55000000000000004">
      <c r="B681" s="61"/>
      <c r="C681" s="61"/>
      <c r="D681" s="61"/>
      <c r="E681" s="61"/>
      <c r="F681" s="61" t="s">
        <v>1406</v>
      </c>
    </row>
    <row r="682" spans="1:7" x14ac:dyDescent="0.55000000000000004">
      <c r="B682" s="61"/>
      <c r="C682" s="61"/>
      <c r="D682" s="61"/>
      <c r="E682" s="61"/>
      <c r="F682" s="66" t="s">
        <v>1262</v>
      </c>
    </row>
    <row r="683" spans="1:7" x14ac:dyDescent="0.55000000000000004">
      <c r="B683" s="61"/>
      <c r="C683" s="61"/>
      <c r="F683" s="61"/>
    </row>
    <row r="684" spans="1:7" x14ac:dyDescent="0.55000000000000004">
      <c r="F684" s="61"/>
    </row>
    <row r="685" spans="1:7" x14ac:dyDescent="0.55000000000000004">
      <c r="A685" s="65" t="s">
        <v>614</v>
      </c>
      <c r="B685" s="60"/>
      <c r="C685" s="61" t="s">
        <v>1402</v>
      </c>
      <c r="D685" s="63">
        <v>45124</v>
      </c>
      <c r="E685" s="61" t="s">
        <v>1265</v>
      </c>
      <c r="F685" s="61" t="s">
        <v>1285</v>
      </c>
      <c r="G685">
        <v>6</v>
      </c>
    </row>
    <row r="686" spans="1:7" x14ac:dyDescent="0.55000000000000004">
      <c r="B686" s="61"/>
      <c r="C686" s="61"/>
      <c r="D686" s="61"/>
      <c r="E686" s="61"/>
      <c r="F686" s="66" t="s">
        <v>1260</v>
      </c>
    </row>
    <row r="687" spans="1:7" x14ac:dyDescent="0.55000000000000004">
      <c r="B687" s="61"/>
      <c r="C687" s="61"/>
      <c r="D687" s="61"/>
      <c r="E687" s="61"/>
      <c r="F687" s="61" t="s">
        <v>1406</v>
      </c>
    </row>
    <row r="688" spans="1:7" x14ac:dyDescent="0.55000000000000004">
      <c r="B688" s="61"/>
      <c r="C688" s="61"/>
      <c r="D688" s="61"/>
      <c r="E688" s="61"/>
      <c r="F688" s="66" t="s">
        <v>1262</v>
      </c>
    </row>
    <row r="689" spans="1:7" x14ac:dyDescent="0.55000000000000004">
      <c r="B689" s="61"/>
      <c r="C689" s="61"/>
      <c r="F689" s="61"/>
    </row>
    <row r="690" spans="1:7" x14ac:dyDescent="0.55000000000000004">
      <c r="F690" s="61"/>
    </row>
    <row r="691" spans="1:7" x14ac:dyDescent="0.55000000000000004">
      <c r="A691" s="65" t="s">
        <v>711</v>
      </c>
      <c r="B691" s="60"/>
      <c r="C691" s="61" t="s">
        <v>1402</v>
      </c>
      <c r="D691" s="63">
        <v>45124</v>
      </c>
      <c r="E691" s="61" t="s">
        <v>1265</v>
      </c>
      <c r="F691" s="61" t="s">
        <v>1285</v>
      </c>
      <c r="G691">
        <v>6</v>
      </c>
    </row>
    <row r="692" spans="1:7" x14ac:dyDescent="0.55000000000000004">
      <c r="B692" s="61"/>
      <c r="C692" s="61"/>
      <c r="D692" s="61"/>
      <c r="E692" s="61"/>
      <c r="F692" s="66" t="s">
        <v>1260</v>
      </c>
    </row>
    <row r="693" spans="1:7" x14ac:dyDescent="0.55000000000000004">
      <c r="B693" s="61"/>
      <c r="C693" s="61"/>
      <c r="D693" s="61"/>
      <c r="E693" s="61"/>
      <c r="F693" s="61" t="s">
        <v>1407</v>
      </c>
    </row>
    <row r="694" spans="1:7" x14ac:dyDescent="0.55000000000000004">
      <c r="B694" s="61"/>
      <c r="C694" s="61"/>
      <c r="D694" s="61"/>
      <c r="E694" s="61"/>
      <c r="F694" s="66" t="s">
        <v>1262</v>
      </c>
    </row>
    <row r="695" spans="1:7" x14ac:dyDescent="0.55000000000000004">
      <c r="B695" s="61"/>
      <c r="C695" s="61"/>
      <c r="F695" s="61"/>
    </row>
    <row r="696" spans="1:7" x14ac:dyDescent="0.55000000000000004">
      <c r="F696" s="61"/>
    </row>
    <row r="697" spans="1:7" x14ac:dyDescent="0.55000000000000004">
      <c r="A697" s="65" t="s">
        <v>709</v>
      </c>
      <c r="B697" s="60"/>
      <c r="C697" s="61" t="s">
        <v>1402</v>
      </c>
      <c r="D697" s="63">
        <v>45124</v>
      </c>
      <c r="E697" s="61" t="s">
        <v>1265</v>
      </c>
      <c r="F697" s="61" t="s">
        <v>1285</v>
      </c>
      <c r="G697">
        <v>6</v>
      </c>
    </row>
    <row r="698" spans="1:7" x14ac:dyDescent="0.55000000000000004">
      <c r="B698" s="61"/>
      <c r="C698" s="61"/>
      <c r="D698" s="61"/>
      <c r="E698" s="61"/>
      <c r="F698" s="66" t="s">
        <v>1260</v>
      </c>
    </row>
    <row r="699" spans="1:7" x14ac:dyDescent="0.55000000000000004">
      <c r="B699" s="61"/>
      <c r="C699" s="61"/>
      <c r="D699" s="61"/>
      <c r="E699" s="61"/>
      <c r="F699" s="61" t="s">
        <v>1407</v>
      </c>
    </row>
    <row r="700" spans="1:7" x14ac:dyDescent="0.55000000000000004">
      <c r="B700" s="61"/>
      <c r="C700" s="61"/>
      <c r="D700" s="61"/>
      <c r="E700" s="61"/>
      <c r="F700" s="66" t="s">
        <v>1262</v>
      </c>
    </row>
    <row r="701" spans="1:7" x14ac:dyDescent="0.55000000000000004">
      <c r="B701" s="61"/>
      <c r="C701" s="61"/>
      <c r="F701" s="61"/>
    </row>
    <row r="702" spans="1:7" x14ac:dyDescent="0.55000000000000004">
      <c r="F702" s="61"/>
    </row>
    <row r="703" spans="1:7" x14ac:dyDescent="0.55000000000000004">
      <c r="A703" s="65" t="s">
        <v>741</v>
      </c>
      <c r="B703" s="60"/>
      <c r="C703" s="61" t="s">
        <v>1402</v>
      </c>
      <c r="D703" s="63">
        <v>45124</v>
      </c>
      <c r="E703" s="61" t="s">
        <v>1265</v>
      </c>
      <c r="F703" s="61" t="s">
        <v>1285</v>
      </c>
      <c r="G703">
        <v>6</v>
      </c>
    </row>
    <row r="704" spans="1:7" x14ac:dyDescent="0.55000000000000004">
      <c r="B704" s="61"/>
      <c r="C704" s="61"/>
      <c r="D704" s="61"/>
      <c r="E704" s="61"/>
      <c r="F704" s="66" t="s">
        <v>1260</v>
      </c>
    </row>
    <row r="705" spans="1:7" x14ac:dyDescent="0.55000000000000004">
      <c r="B705" s="61"/>
      <c r="C705" s="61"/>
      <c r="D705" s="61"/>
      <c r="E705" s="61"/>
      <c r="F705" s="61" t="s">
        <v>1408</v>
      </c>
    </row>
    <row r="706" spans="1:7" x14ac:dyDescent="0.55000000000000004">
      <c r="B706" s="61"/>
      <c r="C706" s="61"/>
      <c r="D706" s="61"/>
      <c r="E706" s="61"/>
      <c r="F706" s="66" t="s">
        <v>1262</v>
      </c>
    </row>
    <row r="707" spans="1:7" x14ac:dyDescent="0.55000000000000004">
      <c r="B707" s="61"/>
      <c r="C707" s="61"/>
      <c r="F707" s="61"/>
    </row>
    <row r="708" spans="1:7" x14ac:dyDescent="0.55000000000000004">
      <c r="F708" s="61"/>
    </row>
    <row r="709" spans="1:7" x14ac:dyDescent="0.55000000000000004">
      <c r="A709" s="65" t="s">
        <v>740</v>
      </c>
      <c r="B709" s="60"/>
      <c r="C709" s="61" t="s">
        <v>1402</v>
      </c>
      <c r="D709" s="63">
        <v>45124</v>
      </c>
      <c r="E709" s="61" t="s">
        <v>1265</v>
      </c>
      <c r="F709" s="61" t="s">
        <v>1285</v>
      </c>
      <c r="G709">
        <v>6</v>
      </c>
    </row>
    <row r="710" spans="1:7" x14ac:dyDescent="0.55000000000000004">
      <c r="B710" s="61"/>
      <c r="C710" s="61"/>
      <c r="D710" s="61"/>
      <c r="E710" s="61"/>
      <c r="F710" s="66" t="s">
        <v>1260</v>
      </c>
    </row>
    <row r="711" spans="1:7" x14ac:dyDescent="0.55000000000000004">
      <c r="B711" s="61"/>
      <c r="C711" s="61"/>
      <c r="D711" s="61"/>
      <c r="E711" s="61"/>
      <c r="F711" s="61" t="s">
        <v>1408</v>
      </c>
    </row>
    <row r="712" spans="1:7" x14ac:dyDescent="0.55000000000000004">
      <c r="B712" s="61"/>
      <c r="C712" s="61"/>
      <c r="D712" s="61"/>
      <c r="E712" s="61"/>
      <c r="F712" s="66" t="s">
        <v>1262</v>
      </c>
    </row>
    <row r="713" spans="1:7" x14ac:dyDescent="0.55000000000000004">
      <c r="B713" s="61"/>
      <c r="C713" s="61"/>
      <c r="F713" s="61"/>
    </row>
    <row r="714" spans="1:7" x14ac:dyDescent="0.55000000000000004">
      <c r="F714" s="61"/>
    </row>
    <row r="715" spans="1:7" x14ac:dyDescent="0.55000000000000004">
      <c r="A715" s="65" t="s">
        <v>626</v>
      </c>
      <c r="B715" s="60"/>
      <c r="C715" s="61" t="s">
        <v>1402</v>
      </c>
      <c r="D715" s="63">
        <v>45124</v>
      </c>
      <c r="E715" s="61" t="s">
        <v>1265</v>
      </c>
      <c r="F715" s="61" t="s">
        <v>1285</v>
      </c>
      <c r="G715" s="61" t="s">
        <v>1409</v>
      </c>
    </row>
    <row r="716" spans="1:7" x14ac:dyDescent="0.55000000000000004">
      <c r="B716" s="61"/>
      <c r="C716" s="61"/>
      <c r="D716" s="61"/>
      <c r="E716" s="61"/>
      <c r="F716" s="66" t="s">
        <v>1260</v>
      </c>
    </row>
    <row r="717" spans="1:7" x14ac:dyDescent="0.55000000000000004">
      <c r="B717" s="61"/>
      <c r="C717" s="61"/>
      <c r="D717" s="61"/>
      <c r="E717" s="61"/>
      <c r="F717" s="61" t="s">
        <v>1410</v>
      </c>
    </row>
    <row r="718" spans="1:7" x14ac:dyDescent="0.55000000000000004">
      <c r="B718" s="61"/>
      <c r="C718" s="61"/>
      <c r="D718" s="61"/>
      <c r="E718" s="61"/>
      <c r="F718" s="66" t="s">
        <v>1262</v>
      </c>
    </row>
    <row r="719" spans="1:7" x14ac:dyDescent="0.55000000000000004">
      <c r="B719" s="61"/>
      <c r="C719" s="61"/>
      <c r="F719" s="61"/>
    </row>
    <row r="720" spans="1:7" x14ac:dyDescent="0.55000000000000004">
      <c r="F720" s="61"/>
    </row>
    <row r="721" spans="1:7" x14ac:dyDescent="0.55000000000000004">
      <c r="A721" s="65" t="s">
        <v>621</v>
      </c>
      <c r="B721" s="60"/>
      <c r="C721" s="61" t="s">
        <v>1402</v>
      </c>
      <c r="D721" s="63">
        <v>45124</v>
      </c>
      <c r="E721" s="61" t="s">
        <v>1265</v>
      </c>
      <c r="F721" s="61" t="s">
        <v>1285</v>
      </c>
      <c r="G721" s="61" t="s">
        <v>1411</v>
      </c>
    </row>
    <row r="722" spans="1:7" x14ac:dyDescent="0.55000000000000004">
      <c r="B722" s="61"/>
      <c r="C722" s="61"/>
      <c r="D722" s="61"/>
      <c r="E722" s="61"/>
      <c r="F722" s="66" t="s">
        <v>1260</v>
      </c>
    </row>
    <row r="723" spans="1:7" x14ac:dyDescent="0.55000000000000004">
      <c r="B723" s="61"/>
      <c r="C723" s="61"/>
      <c r="D723" s="61"/>
      <c r="E723" s="61"/>
      <c r="F723" s="61" t="s">
        <v>1412</v>
      </c>
    </row>
    <row r="724" spans="1:7" x14ac:dyDescent="0.55000000000000004">
      <c r="B724" s="61"/>
      <c r="C724" s="61"/>
      <c r="D724" s="61"/>
      <c r="E724" s="61"/>
      <c r="F724" s="66" t="s">
        <v>1262</v>
      </c>
    </row>
    <row r="725" spans="1:7" x14ac:dyDescent="0.55000000000000004">
      <c r="B725" s="61"/>
      <c r="C725" s="61"/>
      <c r="F725" s="61"/>
    </row>
    <row r="726" spans="1:7" x14ac:dyDescent="0.55000000000000004">
      <c r="F726" s="61"/>
    </row>
    <row r="727" spans="1:7" x14ac:dyDescent="0.55000000000000004">
      <c r="A727" s="65" t="s">
        <v>1413</v>
      </c>
      <c r="B727" s="60"/>
      <c r="C727" s="61" t="s">
        <v>1414</v>
      </c>
      <c r="D727" s="63">
        <v>45124</v>
      </c>
      <c r="E727" s="61" t="s">
        <v>1265</v>
      </c>
      <c r="F727" s="61" t="s">
        <v>1285</v>
      </c>
      <c r="G727" s="61" t="s">
        <v>1415</v>
      </c>
    </row>
    <row r="728" spans="1:7" x14ac:dyDescent="0.55000000000000004">
      <c r="B728" s="61"/>
      <c r="C728" s="61"/>
      <c r="D728" s="61"/>
      <c r="E728" s="61"/>
      <c r="F728" s="66" t="s">
        <v>1260</v>
      </c>
    </row>
    <row r="729" spans="1:7" x14ac:dyDescent="0.55000000000000004">
      <c r="B729" s="61"/>
      <c r="C729" s="61"/>
      <c r="D729" s="61"/>
      <c r="E729" s="61"/>
      <c r="F729" s="61" t="s">
        <v>1416</v>
      </c>
    </row>
    <row r="730" spans="1:7" x14ac:dyDescent="0.55000000000000004">
      <c r="B730" s="61"/>
      <c r="C730" s="61"/>
      <c r="D730" s="61"/>
      <c r="E730" s="61"/>
      <c r="F730" s="66" t="s">
        <v>1262</v>
      </c>
    </row>
    <row r="731" spans="1:7" x14ac:dyDescent="0.55000000000000004">
      <c r="B731" s="61"/>
      <c r="C731" s="61"/>
      <c r="F731" s="61"/>
    </row>
    <row r="732" spans="1:7" x14ac:dyDescent="0.55000000000000004">
      <c r="F732" s="61"/>
    </row>
    <row r="733" spans="1:7" x14ac:dyDescent="0.55000000000000004">
      <c r="A733" s="65" t="s">
        <v>1417</v>
      </c>
      <c r="B733" s="60"/>
      <c r="C733" s="61" t="s">
        <v>1414</v>
      </c>
      <c r="D733" s="63">
        <v>45124</v>
      </c>
      <c r="E733" s="61" t="s">
        <v>1265</v>
      </c>
      <c r="F733" s="61" t="s">
        <v>1285</v>
      </c>
      <c r="G733" s="61" t="s">
        <v>1415</v>
      </c>
    </row>
    <row r="734" spans="1:7" x14ac:dyDescent="0.55000000000000004">
      <c r="B734" s="61"/>
      <c r="C734" s="61"/>
      <c r="D734" s="61"/>
      <c r="E734" s="61"/>
      <c r="F734" s="66" t="s">
        <v>1260</v>
      </c>
    </row>
    <row r="735" spans="1:7" x14ac:dyDescent="0.55000000000000004">
      <c r="B735" s="61"/>
      <c r="C735" s="61"/>
      <c r="D735" s="61"/>
      <c r="E735" s="61"/>
      <c r="F735" s="61" t="s">
        <v>1418</v>
      </c>
    </row>
    <row r="736" spans="1:7" x14ac:dyDescent="0.55000000000000004">
      <c r="B736" s="61"/>
      <c r="C736" s="61"/>
      <c r="D736" s="61"/>
      <c r="E736" s="61"/>
      <c r="F736" s="66" t="s">
        <v>1262</v>
      </c>
    </row>
    <row r="737" spans="1:7" x14ac:dyDescent="0.55000000000000004">
      <c r="B737" s="61"/>
      <c r="C737" s="61"/>
      <c r="F737" s="61"/>
    </row>
    <row r="738" spans="1:7" x14ac:dyDescent="0.55000000000000004">
      <c r="F738" s="61"/>
    </row>
    <row r="739" spans="1:7" x14ac:dyDescent="0.55000000000000004">
      <c r="A739" s="65" t="s">
        <v>1419</v>
      </c>
      <c r="B739" s="60"/>
      <c r="C739" s="61" t="s">
        <v>1414</v>
      </c>
      <c r="D739" s="63">
        <v>45124</v>
      </c>
      <c r="E739" s="61" t="s">
        <v>1265</v>
      </c>
      <c r="F739" s="61" t="s">
        <v>1285</v>
      </c>
      <c r="G739" s="61" t="s">
        <v>1415</v>
      </c>
    </row>
    <row r="740" spans="1:7" x14ac:dyDescent="0.55000000000000004">
      <c r="B740" s="61"/>
      <c r="C740" s="61"/>
      <c r="D740" s="61"/>
      <c r="E740" s="61"/>
      <c r="F740" s="66" t="s">
        <v>1260</v>
      </c>
    </row>
    <row r="741" spans="1:7" x14ac:dyDescent="0.55000000000000004">
      <c r="B741" s="61"/>
      <c r="C741" s="61"/>
      <c r="D741" s="61"/>
      <c r="E741" s="61"/>
      <c r="F741" s="61" t="s">
        <v>1420</v>
      </c>
    </row>
    <row r="742" spans="1:7" x14ac:dyDescent="0.55000000000000004">
      <c r="B742" s="61"/>
      <c r="C742" s="61"/>
      <c r="D742" s="61"/>
      <c r="E742" s="61"/>
      <c r="F742" s="66" t="s">
        <v>1262</v>
      </c>
    </row>
    <row r="743" spans="1:7" x14ac:dyDescent="0.55000000000000004">
      <c r="B743" s="61"/>
      <c r="C743" s="61"/>
      <c r="F743" s="61"/>
    </row>
    <row r="744" spans="1:7" x14ac:dyDescent="0.55000000000000004">
      <c r="F744" s="61"/>
    </row>
    <row r="745" spans="1:7" x14ac:dyDescent="0.55000000000000004">
      <c r="A745" s="65" t="s">
        <v>1421</v>
      </c>
      <c r="B745" s="60"/>
      <c r="C745" s="61" t="s">
        <v>1422</v>
      </c>
      <c r="D745" s="63">
        <v>45124</v>
      </c>
      <c r="E745" s="61" t="s">
        <v>1265</v>
      </c>
      <c r="F745" s="61" t="s">
        <v>1285</v>
      </c>
      <c r="G745" s="61" t="s">
        <v>1423</v>
      </c>
    </row>
    <row r="746" spans="1:7" x14ac:dyDescent="0.55000000000000004">
      <c r="B746" s="61"/>
      <c r="C746" s="61"/>
      <c r="D746" s="61"/>
      <c r="E746" s="61"/>
      <c r="F746" s="66" t="s">
        <v>1260</v>
      </c>
    </row>
    <row r="747" spans="1:7" x14ac:dyDescent="0.55000000000000004">
      <c r="B747" s="61"/>
      <c r="C747" s="61"/>
      <c r="D747" s="61"/>
      <c r="E747" s="61"/>
      <c r="F747" s="61" t="s">
        <v>1424</v>
      </c>
    </row>
    <row r="748" spans="1:7" x14ac:dyDescent="0.55000000000000004">
      <c r="B748" s="61"/>
      <c r="C748" s="61"/>
      <c r="D748" s="61"/>
      <c r="E748" s="61"/>
      <c r="F748" s="66" t="s">
        <v>1262</v>
      </c>
    </row>
    <row r="749" spans="1:7" x14ac:dyDescent="0.55000000000000004">
      <c r="B749" s="61"/>
      <c r="C749" s="61"/>
      <c r="F749" s="61"/>
    </row>
    <row r="750" spans="1:7" x14ac:dyDescent="0.55000000000000004">
      <c r="F750" s="61"/>
    </row>
    <row r="751" spans="1:7" x14ac:dyDescent="0.55000000000000004">
      <c r="A751" s="65" t="s">
        <v>1425</v>
      </c>
      <c r="B751" s="60"/>
      <c r="C751" s="61" t="s">
        <v>1422</v>
      </c>
      <c r="D751" s="63">
        <v>45124</v>
      </c>
      <c r="E751" s="61" t="s">
        <v>1265</v>
      </c>
      <c r="F751" s="61" t="s">
        <v>1285</v>
      </c>
      <c r="G751" s="61" t="s">
        <v>1426</v>
      </c>
    </row>
    <row r="752" spans="1:7" x14ac:dyDescent="0.55000000000000004">
      <c r="B752" s="61"/>
      <c r="C752" s="61"/>
      <c r="D752" s="61"/>
      <c r="E752" s="61"/>
      <c r="F752" s="66" t="s">
        <v>1260</v>
      </c>
    </row>
    <row r="753" spans="1:7" x14ac:dyDescent="0.55000000000000004">
      <c r="B753" s="61"/>
      <c r="C753" s="61"/>
      <c r="D753" s="61"/>
      <c r="E753" s="61"/>
      <c r="F753" s="61" t="s">
        <v>1427</v>
      </c>
    </row>
    <row r="754" spans="1:7" x14ac:dyDescent="0.55000000000000004">
      <c r="B754" s="61"/>
      <c r="C754" s="61"/>
      <c r="D754" s="61"/>
      <c r="E754" s="61"/>
      <c r="F754" s="66" t="s">
        <v>1262</v>
      </c>
    </row>
    <row r="755" spans="1:7" x14ac:dyDescent="0.55000000000000004">
      <c r="B755" s="61"/>
      <c r="C755" s="61"/>
      <c r="F755" s="61"/>
    </row>
    <row r="756" spans="1:7" x14ac:dyDescent="0.55000000000000004">
      <c r="F756" s="61"/>
    </row>
    <row r="757" spans="1:7" x14ac:dyDescent="0.55000000000000004">
      <c r="A757" s="65" t="s">
        <v>1428</v>
      </c>
      <c r="B757" s="60"/>
      <c r="C757" s="61" t="s">
        <v>1422</v>
      </c>
      <c r="D757" s="63">
        <v>45124</v>
      </c>
      <c r="E757" s="61" t="s">
        <v>1265</v>
      </c>
      <c r="F757" s="61" t="s">
        <v>1285</v>
      </c>
      <c r="G757" s="61" t="s">
        <v>1429</v>
      </c>
    </row>
    <row r="758" spans="1:7" x14ac:dyDescent="0.55000000000000004">
      <c r="B758" s="61"/>
      <c r="C758" s="61"/>
      <c r="D758" s="61"/>
      <c r="E758" s="61"/>
      <c r="F758" s="66" t="s">
        <v>1260</v>
      </c>
    </row>
    <row r="759" spans="1:7" x14ac:dyDescent="0.55000000000000004">
      <c r="B759" s="61"/>
      <c r="C759" s="61"/>
      <c r="D759" s="61"/>
      <c r="E759" s="61"/>
      <c r="F759" s="61" t="s">
        <v>1430</v>
      </c>
    </row>
    <row r="760" spans="1:7" x14ac:dyDescent="0.55000000000000004">
      <c r="B760" s="61"/>
      <c r="C760" s="61"/>
      <c r="D760" s="61"/>
      <c r="E760" s="61"/>
      <c r="F760" s="66" t="s">
        <v>1262</v>
      </c>
    </row>
    <row r="761" spans="1:7" x14ac:dyDescent="0.55000000000000004">
      <c r="B761" s="61"/>
      <c r="C761" s="61"/>
      <c r="F761" s="61"/>
    </row>
    <row r="762" spans="1:7" x14ac:dyDescent="0.55000000000000004">
      <c r="F762" s="61"/>
    </row>
    <row r="763" spans="1:7" x14ac:dyDescent="0.55000000000000004">
      <c r="A763" s="65" t="s">
        <v>1431</v>
      </c>
      <c r="B763" s="60"/>
      <c r="C763" s="61" t="s">
        <v>1422</v>
      </c>
      <c r="D763" s="63">
        <v>45124</v>
      </c>
      <c r="E763" s="61" t="s">
        <v>1265</v>
      </c>
      <c r="F763" s="61" t="s">
        <v>1285</v>
      </c>
      <c r="G763" s="61" t="s">
        <v>1432</v>
      </c>
    </row>
    <row r="764" spans="1:7" x14ac:dyDescent="0.55000000000000004">
      <c r="B764" s="61"/>
      <c r="C764" s="61"/>
      <c r="D764" s="61"/>
      <c r="E764" s="61"/>
      <c r="F764" s="66" t="s">
        <v>1260</v>
      </c>
    </row>
    <row r="765" spans="1:7" x14ac:dyDescent="0.55000000000000004">
      <c r="B765" s="61"/>
      <c r="C765" s="61"/>
      <c r="D765" s="61"/>
      <c r="E765" s="61"/>
      <c r="F765" s="61" t="s">
        <v>1433</v>
      </c>
    </row>
    <row r="766" spans="1:7" x14ac:dyDescent="0.55000000000000004">
      <c r="B766" s="61"/>
      <c r="C766" s="61"/>
      <c r="D766" s="61"/>
      <c r="E766" s="61"/>
      <c r="F766" s="66" t="s">
        <v>1262</v>
      </c>
    </row>
    <row r="767" spans="1:7" x14ac:dyDescent="0.55000000000000004">
      <c r="B767" s="61"/>
      <c r="C767" s="61"/>
      <c r="F767" s="61"/>
    </row>
    <row r="768" spans="1:7" x14ac:dyDescent="0.55000000000000004">
      <c r="F768" s="61"/>
    </row>
    <row r="769" spans="1:7" x14ac:dyDescent="0.55000000000000004">
      <c r="A769" s="65" t="s">
        <v>1434</v>
      </c>
      <c r="B769" s="60"/>
      <c r="C769" s="61" t="s">
        <v>1422</v>
      </c>
      <c r="D769" s="63">
        <v>45124</v>
      </c>
      <c r="E769" s="61" t="s">
        <v>1265</v>
      </c>
      <c r="F769" s="61" t="s">
        <v>1285</v>
      </c>
      <c r="G769" s="61" t="s">
        <v>1435</v>
      </c>
    </row>
    <row r="770" spans="1:7" x14ac:dyDescent="0.55000000000000004">
      <c r="B770" s="61"/>
      <c r="C770" s="61"/>
      <c r="D770" s="61"/>
      <c r="E770" s="61"/>
      <c r="F770" s="66" t="s">
        <v>1260</v>
      </c>
    </row>
    <row r="771" spans="1:7" x14ac:dyDescent="0.55000000000000004">
      <c r="B771" s="61"/>
      <c r="C771" s="61"/>
      <c r="D771" s="61"/>
      <c r="E771" s="61"/>
      <c r="F771" s="61" t="s">
        <v>1436</v>
      </c>
    </row>
    <row r="772" spans="1:7" x14ac:dyDescent="0.55000000000000004">
      <c r="B772" s="61"/>
      <c r="C772" s="61"/>
      <c r="D772" s="61"/>
      <c r="E772" s="61"/>
      <c r="F772" s="66" t="s">
        <v>1262</v>
      </c>
    </row>
    <row r="773" spans="1:7" x14ac:dyDescent="0.55000000000000004">
      <c r="B773" s="61"/>
      <c r="C773" s="61"/>
      <c r="F773" s="61"/>
    </row>
    <row r="774" spans="1:7" x14ac:dyDescent="0.55000000000000004">
      <c r="F774" s="61"/>
    </row>
    <row r="775" spans="1:7" x14ac:dyDescent="0.55000000000000004">
      <c r="A775" s="65" t="s">
        <v>658</v>
      </c>
      <c r="B775" s="60"/>
      <c r="C775" s="61" t="s">
        <v>1422</v>
      </c>
      <c r="D775" s="63">
        <v>45124</v>
      </c>
      <c r="E775" s="61" t="s">
        <v>1265</v>
      </c>
      <c r="F775" s="61" t="s">
        <v>1285</v>
      </c>
      <c r="G775">
        <v>6</v>
      </c>
    </row>
    <row r="776" spans="1:7" x14ac:dyDescent="0.55000000000000004">
      <c r="B776" s="61"/>
      <c r="C776" s="61"/>
      <c r="D776" s="61"/>
      <c r="E776" s="61"/>
      <c r="F776" s="66" t="s">
        <v>1260</v>
      </c>
    </row>
    <row r="777" spans="1:7" x14ac:dyDescent="0.55000000000000004">
      <c r="B777" s="61"/>
      <c r="C777" s="61"/>
      <c r="D777" s="61"/>
      <c r="E777" s="61"/>
      <c r="F777" s="61"/>
    </row>
    <row r="778" spans="1:7" x14ac:dyDescent="0.55000000000000004">
      <c r="B778" s="61"/>
      <c r="C778" s="61"/>
      <c r="D778" s="61"/>
      <c r="E778" s="61"/>
      <c r="F778" s="66" t="s">
        <v>1262</v>
      </c>
    </row>
    <row r="779" spans="1:7" x14ac:dyDescent="0.55000000000000004">
      <c r="B779" s="61"/>
      <c r="C779" s="61"/>
      <c r="F779" s="61"/>
    </row>
    <row r="780" spans="1:7" x14ac:dyDescent="0.55000000000000004">
      <c r="F780" s="61"/>
    </row>
    <row r="781" spans="1:7" x14ac:dyDescent="0.55000000000000004">
      <c r="A781" s="65" t="s">
        <v>605</v>
      </c>
      <c r="B781" s="60"/>
      <c r="C781" s="61" t="s">
        <v>1422</v>
      </c>
      <c r="D781" s="63">
        <v>45124</v>
      </c>
      <c r="E781" s="61" t="s">
        <v>1265</v>
      </c>
      <c r="F781" s="61" t="s">
        <v>1285</v>
      </c>
      <c r="G781" s="61" t="s">
        <v>1437</v>
      </c>
    </row>
    <row r="782" spans="1:7" x14ac:dyDescent="0.55000000000000004">
      <c r="B782" s="61"/>
      <c r="C782" s="61"/>
      <c r="D782" s="61"/>
      <c r="E782" s="61"/>
      <c r="F782" s="66" t="s">
        <v>1260</v>
      </c>
    </row>
    <row r="783" spans="1:7" x14ac:dyDescent="0.55000000000000004">
      <c r="B783" s="61"/>
      <c r="C783" s="61"/>
      <c r="D783" s="61"/>
      <c r="E783" s="61"/>
      <c r="F783" s="61" t="s">
        <v>1438</v>
      </c>
    </row>
    <row r="784" spans="1:7" x14ac:dyDescent="0.55000000000000004">
      <c r="B784" s="61"/>
      <c r="C784" s="61"/>
      <c r="D784" s="61"/>
      <c r="E784" s="61"/>
      <c r="F784" s="66" t="s">
        <v>1262</v>
      </c>
    </row>
    <row r="785" spans="1:8" x14ac:dyDescent="0.55000000000000004">
      <c r="B785" s="61"/>
      <c r="C785" s="61"/>
      <c r="F785" s="61"/>
    </row>
    <row r="786" spans="1:8" x14ac:dyDescent="0.55000000000000004">
      <c r="A786" s="69" t="s">
        <v>1082</v>
      </c>
      <c r="B786" s="54" t="s">
        <v>1081</v>
      </c>
      <c r="C786" s="68" t="s">
        <v>1264</v>
      </c>
      <c r="D786" s="70">
        <v>45154</v>
      </c>
      <c r="E786" s="68" t="s">
        <v>1439</v>
      </c>
      <c r="F786" s="68" t="s">
        <v>1440</v>
      </c>
      <c r="G786" s="68">
        <v>47</v>
      </c>
      <c r="H786" s="68"/>
    </row>
    <row r="787" spans="1:8" x14ac:dyDescent="0.55000000000000004">
      <c r="A787" s="68"/>
      <c r="B787" s="61"/>
      <c r="C787" s="68"/>
      <c r="D787" s="68"/>
      <c r="E787" s="68"/>
      <c r="F787" s="71" t="s">
        <v>1260</v>
      </c>
      <c r="G787" s="68"/>
      <c r="H787" s="68"/>
    </row>
    <row r="788" spans="1:8" x14ac:dyDescent="0.55000000000000004">
      <c r="A788" s="68"/>
      <c r="B788" s="61"/>
      <c r="C788" s="68"/>
      <c r="D788" s="68"/>
      <c r="E788" s="68"/>
      <c r="F788" s="68" t="s">
        <v>136</v>
      </c>
      <c r="G788" s="68"/>
      <c r="H788" s="68"/>
    </row>
    <row r="789" spans="1:8" x14ac:dyDescent="0.55000000000000004">
      <c r="A789" s="68"/>
      <c r="B789" s="61"/>
      <c r="C789" s="68"/>
      <c r="D789" s="68"/>
      <c r="E789" s="68"/>
      <c r="F789" s="71" t="s">
        <v>1262</v>
      </c>
      <c r="G789" s="68"/>
      <c r="H789" s="68"/>
    </row>
    <row r="790" spans="1:8" x14ac:dyDescent="0.55000000000000004">
      <c r="A790" s="68"/>
      <c r="C790" s="68"/>
      <c r="D790" s="68"/>
      <c r="E790" s="68"/>
      <c r="F790" s="68" t="s">
        <v>136</v>
      </c>
      <c r="G790" s="68"/>
      <c r="H790" s="68"/>
    </row>
    <row r="791" spans="1:8" x14ac:dyDescent="0.55000000000000004">
      <c r="A791" s="68"/>
      <c r="C791" s="68"/>
      <c r="D791" s="68"/>
      <c r="E791" s="68"/>
      <c r="F791" s="68"/>
      <c r="G791" s="68"/>
      <c r="H791" s="68"/>
    </row>
    <row r="792" spans="1:8" x14ac:dyDescent="0.55000000000000004">
      <c r="A792" s="69" t="s">
        <v>1084</v>
      </c>
      <c r="B792" s="54" t="s">
        <v>1083</v>
      </c>
      <c r="C792" s="68" t="s">
        <v>1264</v>
      </c>
      <c r="D792" s="70">
        <v>45154</v>
      </c>
      <c r="E792" s="68" t="s">
        <v>1439</v>
      </c>
      <c r="F792" s="68" t="s">
        <v>1440</v>
      </c>
      <c r="G792" s="68">
        <v>47</v>
      </c>
      <c r="H792" s="68"/>
    </row>
    <row r="793" spans="1:8" x14ac:dyDescent="0.55000000000000004">
      <c r="A793" s="68"/>
      <c r="C793" s="68"/>
      <c r="D793" s="68"/>
      <c r="E793" s="68"/>
      <c r="F793" s="71" t="s">
        <v>1260</v>
      </c>
      <c r="G793" s="68"/>
      <c r="H793" s="68"/>
    </row>
    <row r="794" spans="1:8" x14ac:dyDescent="0.55000000000000004">
      <c r="A794" s="68"/>
      <c r="C794" s="68"/>
      <c r="D794" s="68"/>
      <c r="E794" s="68"/>
      <c r="F794" s="68" t="s">
        <v>136</v>
      </c>
      <c r="G794" s="68"/>
      <c r="H794" s="68"/>
    </row>
    <row r="795" spans="1:8" x14ac:dyDescent="0.55000000000000004">
      <c r="A795" s="68"/>
      <c r="C795" s="68"/>
      <c r="D795" s="68"/>
      <c r="E795" s="68"/>
      <c r="F795" s="71" t="s">
        <v>1262</v>
      </c>
      <c r="G795" s="68"/>
      <c r="H795" s="68"/>
    </row>
    <row r="796" spans="1:8" x14ac:dyDescent="0.55000000000000004">
      <c r="A796" s="68"/>
      <c r="C796" s="68"/>
      <c r="D796" s="68"/>
      <c r="E796" s="68"/>
      <c r="F796" s="68" t="s">
        <v>136</v>
      </c>
      <c r="G796" s="68"/>
      <c r="H796" s="68"/>
    </row>
    <row r="797" spans="1:8" x14ac:dyDescent="0.55000000000000004">
      <c r="A797" s="68"/>
      <c r="C797" s="68"/>
      <c r="D797" s="68"/>
      <c r="E797" s="68"/>
      <c r="F797" s="68"/>
      <c r="G797" s="68"/>
      <c r="H797" s="68"/>
    </row>
    <row r="798" spans="1:8" x14ac:dyDescent="0.55000000000000004">
      <c r="A798" s="69" t="s">
        <v>1079</v>
      </c>
      <c r="B798" s="54" t="s">
        <v>1080</v>
      </c>
      <c r="C798" s="68" t="s">
        <v>1264</v>
      </c>
      <c r="D798" s="70">
        <v>45154</v>
      </c>
      <c r="E798" s="68" t="s">
        <v>1439</v>
      </c>
      <c r="F798" s="68" t="s">
        <v>1440</v>
      </c>
      <c r="G798" s="68">
        <v>47</v>
      </c>
      <c r="H798" s="68"/>
    </row>
    <row r="799" spans="1:8" x14ac:dyDescent="0.55000000000000004">
      <c r="A799" s="68"/>
      <c r="C799" s="68"/>
      <c r="D799" s="68"/>
      <c r="E799" s="68"/>
      <c r="F799" s="71" t="s">
        <v>1260</v>
      </c>
      <c r="G799" s="68"/>
      <c r="H799" s="68"/>
    </row>
    <row r="800" spans="1:8" x14ac:dyDescent="0.55000000000000004">
      <c r="A800" s="68"/>
      <c r="C800" s="68"/>
      <c r="D800" s="68"/>
      <c r="E800" s="68"/>
      <c r="F800" s="68" t="s">
        <v>136</v>
      </c>
      <c r="G800" s="68"/>
      <c r="H800" s="68"/>
    </row>
    <row r="801" spans="1:8" x14ac:dyDescent="0.55000000000000004">
      <c r="A801" s="68"/>
      <c r="C801" s="68"/>
      <c r="D801" s="68"/>
      <c r="E801" s="68"/>
      <c r="F801" s="71" t="s">
        <v>1262</v>
      </c>
      <c r="G801" s="68"/>
      <c r="H801" s="68"/>
    </row>
    <row r="802" spans="1:8" x14ac:dyDescent="0.55000000000000004">
      <c r="A802" s="68"/>
      <c r="C802" s="68"/>
      <c r="D802" s="68"/>
      <c r="E802" s="68"/>
      <c r="F802" s="68" t="s">
        <v>136</v>
      </c>
      <c r="G802" s="68"/>
      <c r="H802" s="68"/>
    </row>
    <row r="803" spans="1:8" x14ac:dyDescent="0.55000000000000004">
      <c r="A803" s="68"/>
      <c r="C803" s="68"/>
      <c r="D803" s="68"/>
      <c r="E803" s="68"/>
      <c r="F803" s="68"/>
      <c r="G803" s="68"/>
      <c r="H803" s="68"/>
    </row>
    <row r="804" spans="1:8" x14ac:dyDescent="0.55000000000000004">
      <c r="A804" s="69" t="s">
        <v>1075</v>
      </c>
      <c r="B804" s="96" t="s">
        <v>1074</v>
      </c>
      <c r="C804" s="68" t="s">
        <v>1264</v>
      </c>
      <c r="D804" s="70">
        <v>45154</v>
      </c>
      <c r="E804" s="68" t="s">
        <v>1439</v>
      </c>
      <c r="F804" s="68" t="s">
        <v>1440</v>
      </c>
      <c r="G804" s="68">
        <v>47</v>
      </c>
      <c r="H804" s="68"/>
    </row>
    <row r="805" spans="1:8" x14ac:dyDescent="0.55000000000000004">
      <c r="A805" s="68"/>
      <c r="B805" s="68"/>
      <c r="C805" s="68"/>
      <c r="D805" s="68"/>
      <c r="E805" s="68"/>
      <c r="F805" s="71" t="s">
        <v>1260</v>
      </c>
      <c r="G805" s="68"/>
      <c r="H805" s="68"/>
    </row>
    <row r="806" spans="1:8" x14ac:dyDescent="0.55000000000000004">
      <c r="A806" s="68"/>
      <c r="B806" s="68"/>
      <c r="C806" s="68"/>
      <c r="D806" s="68"/>
      <c r="E806" s="68"/>
      <c r="F806" s="68" t="s">
        <v>136</v>
      </c>
      <c r="G806" s="68"/>
      <c r="H806" s="68"/>
    </row>
    <row r="807" spans="1:8" x14ac:dyDescent="0.55000000000000004">
      <c r="A807" s="68"/>
      <c r="B807" s="68"/>
      <c r="C807" s="68"/>
      <c r="D807" s="68"/>
      <c r="E807" s="68"/>
      <c r="F807" s="71" t="s">
        <v>1262</v>
      </c>
      <c r="G807" s="68"/>
      <c r="H807" s="68"/>
    </row>
    <row r="808" spans="1:8" x14ac:dyDescent="0.55000000000000004">
      <c r="A808" s="68"/>
      <c r="B808" s="68"/>
      <c r="C808" s="68"/>
      <c r="D808" s="68"/>
      <c r="E808" s="68"/>
      <c r="F808" s="68" t="s">
        <v>136</v>
      </c>
      <c r="G808" s="68"/>
      <c r="H808" s="68"/>
    </row>
    <row r="810" spans="1:8" x14ac:dyDescent="0.55000000000000004">
      <c r="A810" t="s">
        <v>779</v>
      </c>
      <c r="B810" s="53" t="s">
        <v>1324</v>
      </c>
      <c r="C810" t="s">
        <v>1441</v>
      </c>
      <c r="D810" s="52">
        <v>45160</v>
      </c>
      <c r="E810" t="s">
        <v>1265</v>
      </c>
      <c r="F810" t="s">
        <v>1442</v>
      </c>
    </row>
    <row r="811" spans="1:8" x14ac:dyDescent="0.55000000000000004">
      <c r="F811" s="4" t="s">
        <v>1260</v>
      </c>
    </row>
    <row r="813" spans="1:8" x14ac:dyDescent="0.55000000000000004">
      <c r="F813" s="4" t="s">
        <v>1443</v>
      </c>
    </row>
    <row r="816" spans="1:8" x14ac:dyDescent="0.55000000000000004">
      <c r="A816" t="s">
        <v>795</v>
      </c>
      <c r="B816" s="53" t="s">
        <v>1321</v>
      </c>
      <c r="C816" t="s">
        <v>1441</v>
      </c>
      <c r="D816" s="52">
        <v>45160</v>
      </c>
      <c r="E816" t="s">
        <v>1265</v>
      </c>
      <c r="F816" t="s">
        <v>1442</v>
      </c>
    </row>
    <row r="817" spans="1:6" x14ac:dyDescent="0.55000000000000004">
      <c r="F817" s="4" t="s">
        <v>1260</v>
      </c>
    </row>
    <row r="819" spans="1:6" x14ac:dyDescent="0.55000000000000004">
      <c r="F819" s="4" t="s">
        <v>1443</v>
      </c>
    </row>
    <row r="822" spans="1:6" x14ac:dyDescent="0.55000000000000004">
      <c r="A822" t="s">
        <v>792</v>
      </c>
      <c r="B822" s="53" t="s">
        <v>1444</v>
      </c>
      <c r="C822" t="s">
        <v>1441</v>
      </c>
      <c r="D822" s="52">
        <v>45160</v>
      </c>
      <c r="E822" t="s">
        <v>1265</v>
      </c>
      <c r="F822" t="s">
        <v>1442</v>
      </c>
    </row>
    <row r="823" spans="1:6" x14ac:dyDescent="0.55000000000000004">
      <c r="F823" s="4" t="s">
        <v>1260</v>
      </c>
    </row>
    <row r="825" spans="1:6" x14ac:dyDescent="0.55000000000000004">
      <c r="F825" s="4" t="s">
        <v>1443</v>
      </c>
    </row>
    <row r="826" spans="1:6" x14ac:dyDescent="0.55000000000000004">
      <c r="F826" s="4"/>
    </row>
    <row r="828" spans="1:6" x14ac:dyDescent="0.55000000000000004">
      <c r="A828" t="s">
        <v>849</v>
      </c>
      <c r="B828" s="53" t="s">
        <v>1445</v>
      </c>
      <c r="C828" t="s">
        <v>1446</v>
      </c>
      <c r="D828" s="52">
        <v>45160</v>
      </c>
      <c r="E828" t="s">
        <v>1265</v>
      </c>
      <c r="F828" t="s">
        <v>1442</v>
      </c>
    </row>
    <row r="829" spans="1:6" x14ac:dyDescent="0.55000000000000004">
      <c r="F829" s="4" t="s">
        <v>1260</v>
      </c>
    </row>
    <row r="831" spans="1:6" x14ac:dyDescent="0.55000000000000004">
      <c r="F831" s="4" t="s">
        <v>1443</v>
      </c>
    </row>
    <row r="834" spans="1:6" x14ac:dyDescent="0.55000000000000004">
      <c r="A834" t="s">
        <v>873</v>
      </c>
      <c r="B834" s="53" t="s">
        <v>1447</v>
      </c>
      <c r="C834" t="s">
        <v>1441</v>
      </c>
      <c r="D834" s="52">
        <v>45160</v>
      </c>
      <c r="E834" t="s">
        <v>1265</v>
      </c>
      <c r="F834" t="s">
        <v>1442</v>
      </c>
    </row>
    <row r="835" spans="1:6" x14ac:dyDescent="0.55000000000000004">
      <c r="F835" s="4" t="s">
        <v>1260</v>
      </c>
    </row>
    <row r="837" spans="1:6" x14ac:dyDescent="0.55000000000000004">
      <c r="F837" s="4" t="s">
        <v>1443</v>
      </c>
    </row>
    <row r="840" spans="1:6" x14ac:dyDescent="0.55000000000000004">
      <c r="A840" t="s">
        <v>875</v>
      </c>
      <c r="B840" s="53" t="s">
        <v>1448</v>
      </c>
      <c r="C840" t="s">
        <v>1441</v>
      </c>
      <c r="D840" s="52">
        <v>45160</v>
      </c>
      <c r="E840" t="s">
        <v>1265</v>
      </c>
      <c r="F840" t="s">
        <v>1442</v>
      </c>
    </row>
    <row r="841" spans="1:6" x14ac:dyDescent="0.55000000000000004">
      <c r="F841" s="4" t="s">
        <v>1260</v>
      </c>
    </row>
    <row r="843" spans="1:6" x14ac:dyDescent="0.55000000000000004">
      <c r="F843" s="4" t="s">
        <v>1443</v>
      </c>
    </row>
    <row r="845" spans="1:6" x14ac:dyDescent="0.55000000000000004">
      <c r="A845" t="s">
        <v>852</v>
      </c>
      <c r="B845" s="53" t="s">
        <v>1449</v>
      </c>
      <c r="C845" t="s">
        <v>1450</v>
      </c>
      <c r="D845" s="52">
        <v>45160</v>
      </c>
      <c r="E845" t="s">
        <v>1265</v>
      </c>
      <c r="F845" t="s">
        <v>1442</v>
      </c>
    </row>
    <row r="846" spans="1:6" x14ac:dyDescent="0.55000000000000004">
      <c r="F846" s="4" t="s">
        <v>1260</v>
      </c>
    </row>
    <row r="849" spans="1:6" x14ac:dyDescent="0.55000000000000004">
      <c r="F849" s="4" t="s">
        <v>1443</v>
      </c>
    </row>
    <row r="852" spans="1:6" x14ac:dyDescent="0.55000000000000004">
      <c r="A852" t="s">
        <v>869</v>
      </c>
      <c r="B852" s="53" t="s">
        <v>1451</v>
      </c>
      <c r="C852" t="s">
        <v>1450</v>
      </c>
      <c r="D852" s="52">
        <v>45160</v>
      </c>
      <c r="E852" t="s">
        <v>1265</v>
      </c>
      <c r="F852" t="s">
        <v>1442</v>
      </c>
    </row>
    <row r="853" spans="1:6" x14ac:dyDescent="0.55000000000000004">
      <c r="F853" s="4" t="s">
        <v>1260</v>
      </c>
    </row>
    <row r="855" spans="1:6" x14ac:dyDescent="0.55000000000000004">
      <c r="F855" s="4" t="s">
        <v>1443</v>
      </c>
    </row>
    <row r="858" spans="1:6" x14ac:dyDescent="0.55000000000000004">
      <c r="A858" t="s">
        <v>867</v>
      </c>
      <c r="B858" s="53" t="s">
        <v>1452</v>
      </c>
      <c r="C858" t="s">
        <v>1450</v>
      </c>
      <c r="D858" s="52">
        <v>45160</v>
      </c>
      <c r="E858" t="s">
        <v>1265</v>
      </c>
      <c r="F858" t="s">
        <v>1442</v>
      </c>
    </row>
    <row r="859" spans="1:6" x14ac:dyDescent="0.55000000000000004">
      <c r="F859" s="4" t="s">
        <v>1260</v>
      </c>
    </row>
    <row r="861" spans="1:6" x14ac:dyDescent="0.55000000000000004">
      <c r="F861" s="4" t="s">
        <v>1443</v>
      </c>
    </row>
    <row r="864" spans="1:6" x14ac:dyDescent="0.55000000000000004">
      <c r="A864" t="s">
        <v>854</v>
      </c>
      <c r="B864" s="53" t="s">
        <v>1453</v>
      </c>
      <c r="C864" t="s">
        <v>1450</v>
      </c>
      <c r="D864" s="52">
        <v>45160</v>
      </c>
      <c r="E864" t="s">
        <v>1265</v>
      </c>
      <c r="F864" t="s">
        <v>1442</v>
      </c>
    </row>
    <row r="865" spans="1:6" x14ac:dyDescent="0.55000000000000004">
      <c r="F865" s="4" t="s">
        <v>1260</v>
      </c>
    </row>
    <row r="867" spans="1:6" x14ac:dyDescent="0.55000000000000004">
      <c r="F867" s="4" t="s">
        <v>1443</v>
      </c>
    </row>
    <row r="870" spans="1:6" x14ac:dyDescent="0.55000000000000004">
      <c r="A870" t="s">
        <v>803</v>
      </c>
      <c r="B870" s="53" t="s">
        <v>1454</v>
      </c>
      <c r="C870" t="s">
        <v>1455</v>
      </c>
      <c r="D870" s="52">
        <v>45160</v>
      </c>
      <c r="E870" t="s">
        <v>1265</v>
      </c>
      <c r="F870" t="s">
        <v>1442</v>
      </c>
    </row>
    <row r="871" spans="1:6" x14ac:dyDescent="0.55000000000000004">
      <c r="F871" s="4" t="s">
        <v>1260</v>
      </c>
    </row>
    <row r="873" spans="1:6" x14ac:dyDescent="0.55000000000000004">
      <c r="F873" s="4" t="s">
        <v>1443</v>
      </c>
    </row>
    <row r="876" spans="1:6" x14ac:dyDescent="0.55000000000000004">
      <c r="A876" t="s">
        <v>776</v>
      </c>
      <c r="B876" s="53" t="s">
        <v>1456</v>
      </c>
      <c r="C876" t="s">
        <v>1441</v>
      </c>
      <c r="D876" s="52">
        <v>45160</v>
      </c>
      <c r="E876" t="s">
        <v>1265</v>
      </c>
      <c r="F876" t="s">
        <v>1442</v>
      </c>
    </row>
    <row r="877" spans="1:6" x14ac:dyDescent="0.55000000000000004">
      <c r="F877" s="4" t="s">
        <v>1260</v>
      </c>
    </row>
    <row r="879" spans="1:6" x14ac:dyDescent="0.55000000000000004">
      <c r="F879" s="4" t="s">
        <v>1443</v>
      </c>
    </row>
    <row r="882" spans="1:6" x14ac:dyDescent="0.55000000000000004">
      <c r="A882" t="s">
        <v>844</v>
      </c>
      <c r="B882" s="53" t="s">
        <v>1457</v>
      </c>
      <c r="C882" t="s">
        <v>1446</v>
      </c>
      <c r="D882" s="52">
        <v>45160</v>
      </c>
      <c r="E882" t="s">
        <v>1265</v>
      </c>
      <c r="F882" t="s">
        <v>1442</v>
      </c>
    </row>
    <row r="883" spans="1:6" x14ac:dyDescent="0.55000000000000004">
      <c r="F883" s="4" t="s">
        <v>1260</v>
      </c>
    </row>
    <row r="885" spans="1:6" x14ac:dyDescent="0.55000000000000004">
      <c r="F885" s="4" t="s">
        <v>1443</v>
      </c>
    </row>
    <row r="888" spans="1:6" x14ac:dyDescent="0.55000000000000004">
      <c r="A888" t="s">
        <v>801</v>
      </c>
      <c r="B888" s="53" t="s">
        <v>1458</v>
      </c>
      <c r="C888" t="s">
        <v>1455</v>
      </c>
      <c r="D888" s="52">
        <v>45160</v>
      </c>
      <c r="E888" t="s">
        <v>1265</v>
      </c>
      <c r="F888" t="s">
        <v>1442</v>
      </c>
    </row>
    <row r="889" spans="1:6" x14ac:dyDescent="0.55000000000000004">
      <c r="F889" s="4" t="s">
        <v>1260</v>
      </c>
    </row>
    <row r="891" spans="1:6" x14ac:dyDescent="0.55000000000000004">
      <c r="F891" s="4" t="s">
        <v>1443</v>
      </c>
    </row>
    <row r="894" spans="1:6" x14ac:dyDescent="0.55000000000000004">
      <c r="A894" t="s">
        <v>799</v>
      </c>
      <c r="B894" s="53" t="s">
        <v>1459</v>
      </c>
      <c r="C894" t="s">
        <v>1455</v>
      </c>
      <c r="D894" s="52">
        <v>45160</v>
      </c>
      <c r="E894" t="s">
        <v>1265</v>
      </c>
      <c r="F894" t="s">
        <v>1442</v>
      </c>
    </row>
    <row r="895" spans="1:6" x14ac:dyDescent="0.55000000000000004">
      <c r="F895" s="4" t="s">
        <v>1260</v>
      </c>
    </row>
    <row r="898" spans="1:6" x14ac:dyDescent="0.55000000000000004">
      <c r="F898" s="4" t="s">
        <v>1443</v>
      </c>
    </row>
    <row r="901" spans="1:6" x14ac:dyDescent="0.55000000000000004">
      <c r="A901" t="s">
        <v>856</v>
      </c>
      <c r="B901" s="53" t="s">
        <v>1460</v>
      </c>
      <c r="C901" t="s">
        <v>1450</v>
      </c>
      <c r="D901" s="52">
        <v>45160</v>
      </c>
      <c r="E901" t="s">
        <v>1265</v>
      </c>
      <c r="F901" t="s">
        <v>1442</v>
      </c>
    </row>
    <row r="902" spans="1:6" x14ac:dyDescent="0.55000000000000004">
      <c r="F902" s="4" t="s">
        <v>1260</v>
      </c>
    </row>
    <row r="904" spans="1:6" x14ac:dyDescent="0.55000000000000004">
      <c r="F904" s="4" t="s">
        <v>1443</v>
      </c>
    </row>
    <row r="907" spans="1:6" x14ac:dyDescent="0.55000000000000004">
      <c r="A907" t="s">
        <v>813</v>
      </c>
      <c r="B907" s="53" t="s">
        <v>1461</v>
      </c>
      <c r="C907" t="s">
        <v>1441</v>
      </c>
      <c r="D907" s="52">
        <v>45160</v>
      </c>
      <c r="E907" t="s">
        <v>1265</v>
      </c>
      <c r="F907" t="s">
        <v>1442</v>
      </c>
    </row>
    <row r="908" spans="1:6" x14ac:dyDescent="0.55000000000000004">
      <c r="F908" s="4" t="s">
        <v>1260</v>
      </c>
    </row>
    <row r="910" spans="1:6" x14ac:dyDescent="0.55000000000000004">
      <c r="F910" s="4" t="s">
        <v>1443</v>
      </c>
    </row>
    <row r="913" spans="1:6" x14ac:dyDescent="0.55000000000000004">
      <c r="A913" t="s">
        <v>771</v>
      </c>
      <c r="B913" s="53" t="s">
        <v>1462</v>
      </c>
      <c r="C913" t="s">
        <v>1441</v>
      </c>
      <c r="D913" s="52">
        <v>45160</v>
      </c>
      <c r="E913" t="s">
        <v>1265</v>
      </c>
      <c r="F913" t="s">
        <v>1442</v>
      </c>
    </row>
    <row r="914" spans="1:6" x14ac:dyDescent="0.55000000000000004">
      <c r="F914" s="4" t="s">
        <v>1260</v>
      </c>
    </row>
    <row r="917" spans="1:6" x14ac:dyDescent="0.55000000000000004">
      <c r="F917" s="4" t="s">
        <v>1443</v>
      </c>
    </row>
    <row r="920" spans="1:6" x14ac:dyDescent="0.55000000000000004">
      <c r="A920" t="s">
        <v>837</v>
      </c>
      <c r="B920" s="53" t="s">
        <v>1463</v>
      </c>
      <c r="C920" t="s">
        <v>1441</v>
      </c>
      <c r="D920" s="52">
        <v>45160</v>
      </c>
      <c r="E920" t="s">
        <v>1265</v>
      </c>
      <c r="F920" t="s">
        <v>1442</v>
      </c>
    </row>
    <row r="921" spans="1:6" x14ac:dyDescent="0.55000000000000004">
      <c r="F921" s="4" t="s">
        <v>1260</v>
      </c>
    </row>
    <row r="923" spans="1:6" x14ac:dyDescent="0.55000000000000004">
      <c r="F923" s="4" t="s">
        <v>1443</v>
      </c>
    </row>
    <row r="926" spans="1:6" x14ac:dyDescent="0.55000000000000004">
      <c r="A926" t="s">
        <v>764</v>
      </c>
      <c r="B926" s="53" t="s">
        <v>1464</v>
      </c>
      <c r="C926" t="s">
        <v>1450</v>
      </c>
      <c r="D926" s="52">
        <v>45160</v>
      </c>
      <c r="E926" t="s">
        <v>1265</v>
      </c>
      <c r="F926" t="s">
        <v>1442</v>
      </c>
    </row>
    <row r="927" spans="1:6" x14ac:dyDescent="0.55000000000000004">
      <c r="F927" s="4" t="s">
        <v>1260</v>
      </c>
    </row>
    <row r="930" spans="1:6" x14ac:dyDescent="0.55000000000000004">
      <c r="F930" s="4" t="s">
        <v>1443</v>
      </c>
    </row>
    <row r="933" spans="1:6" x14ac:dyDescent="0.55000000000000004">
      <c r="A933" t="s">
        <v>820</v>
      </c>
      <c r="B933" s="53" t="s">
        <v>1465</v>
      </c>
      <c r="C933" t="s">
        <v>1441</v>
      </c>
      <c r="D933" s="52">
        <v>45160</v>
      </c>
      <c r="E933" t="s">
        <v>1265</v>
      </c>
      <c r="F933" t="s">
        <v>1442</v>
      </c>
    </row>
    <row r="934" spans="1:6" x14ac:dyDescent="0.55000000000000004">
      <c r="F934" s="4" t="s">
        <v>1260</v>
      </c>
    </row>
    <row r="936" spans="1:6" x14ac:dyDescent="0.55000000000000004">
      <c r="F936" s="4" t="s">
        <v>1443</v>
      </c>
    </row>
    <row r="939" spans="1:6" x14ac:dyDescent="0.55000000000000004">
      <c r="A939" t="s">
        <v>769</v>
      </c>
      <c r="B939" s="53" t="s">
        <v>1466</v>
      </c>
      <c r="C939" t="s">
        <v>1441</v>
      </c>
      <c r="D939" s="52">
        <v>45160</v>
      </c>
      <c r="E939" t="s">
        <v>1265</v>
      </c>
      <c r="F939" t="s">
        <v>1442</v>
      </c>
    </row>
    <row r="940" spans="1:6" x14ac:dyDescent="0.55000000000000004">
      <c r="F940" s="4" t="s">
        <v>1260</v>
      </c>
    </row>
    <row r="944" spans="1:6" x14ac:dyDescent="0.55000000000000004">
      <c r="F944" s="4" t="s">
        <v>1443</v>
      </c>
    </row>
    <row r="947" spans="1:6" x14ac:dyDescent="0.55000000000000004">
      <c r="A947" t="s">
        <v>841</v>
      </c>
      <c r="B947" s="53" t="s">
        <v>1467</v>
      </c>
      <c r="C947" t="s">
        <v>1441</v>
      </c>
      <c r="D947" s="52">
        <v>45160</v>
      </c>
      <c r="E947" t="s">
        <v>1265</v>
      </c>
      <c r="F947" t="s">
        <v>1442</v>
      </c>
    </row>
    <row r="948" spans="1:6" x14ac:dyDescent="0.55000000000000004">
      <c r="F948" s="4" t="s">
        <v>1260</v>
      </c>
    </row>
    <row r="951" spans="1:6" x14ac:dyDescent="0.55000000000000004">
      <c r="F951" s="4" t="s">
        <v>1443</v>
      </c>
    </row>
    <row r="954" spans="1:6" x14ac:dyDescent="0.55000000000000004">
      <c r="A954" t="s">
        <v>774</v>
      </c>
      <c r="B954" s="53" t="s">
        <v>1468</v>
      </c>
      <c r="C954" t="s">
        <v>1441</v>
      </c>
      <c r="D954" s="52">
        <v>45160</v>
      </c>
      <c r="E954" t="s">
        <v>1265</v>
      </c>
      <c r="F954" t="s">
        <v>1442</v>
      </c>
    </row>
    <row r="955" spans="1:6" x14ac:dyDescent="0.55000000000000004">
      <c r="F955" s="4" t="s">
        <v>1260</v>
      </c>
    </row>
    <row r="958" spans="1:6" x14ac:dyDescent="0.55000000000000004">
      <c r="F958" s="4" t="s">
        <v>1443</v>
      </c>
    </row>
    <row r="961" spans="1:6" x14ac:dyDescent="0.55000000000000004">
      <c r="A961" t="s">
        <v>822</v>
      </c>
      <c r="B961" s="53" t="s">
        <v>1469</v>
      </c>
      <c r="C961" t="s">
        <v>1360</v>
      </c>
      <c r="D961" s="52">
        <v>45160</v>
      </c>
      <c r="E961" t="s">
        <v>1265</v>
      </c>
      <c r="F961" t="s">
        <v>1442</v>
      </c>
    </row>
    <row r="962" spans="1:6" x14ac:dyDescent="0.55000000000000004">
      <c r="F962" s="4" t="s">
        <v>1260</v>
      </c>
    </row>
    <row r="964" spans="1:6" x14ac:dyDescent="0.55000000000000004">
      <c r="F964" s="4" t="s">
        <v>1443</v>
      </c>
    </row>
    <row r="967" spans="1:6" x14ac:dyDescent="0.55000000000000004">
      <c r="A967" t="s">
        <v>871</v>
      </c>
      <c r="B967" s="53" t="s">
        <v>1470</v>
      </c>
      <c r="C967" t="s">
        <v>1360</v>
      </c>
      <c r="D967" s="52">
        <v>45160</v>
      </c>
      <c r="E967" t="s">
        <v>1265</v>
      </c>
      <c r="F967" t="s">
        <v>1442</v>
      </c>
    </row>
    <row r="968" spans="1:6" x14ac:dyDescent="0.55000000000000004">
      <c r="F968" s="4" t="s">
        <v>1260</v>
      </c>
    </row>
    <row r="970" spans="1:6" x14ac:dyDescent="0.55000000000000004">
      <c r="F970" s="4" t="s">
        <v>1443</v>
      </c>
    </row>
    <row r="973" spans="1:6" x14ac:dyDescent="0.55000000000000004">
      <c r="A973" t="s">
        <v>809</v>
      </c>
      <c r="B973" s="53" t="s">
        <v>1471</v>
      </c>
      <c r="C973" t="s">
        <v>1360</v>
      </c>
      <c r="D973" s="52">
        <v>45160</v>
      </c>
      <c r="E973" t="s">
        <v>1265</v>
      </c>
      <c r="F973" t="s">
        <v>1442</v>
      </c>
    </row>
    <row r="974" spans="1:6" x14ac:dyDescent="0.55000000000000004">
      <c r="F974" s="4" t="s">
        <v>1260</v>
      </c>
    </row>
    <row r="976" spans="1:6" x14ac:dyDescent="0.55000000000000004">
      <c r="F976" s="4" t="s">
        <v>1443</v>
      </c>
    </row>
    <row r="979" spans="1:6" x14ac:dyDescent="0.55000000000000004">
      <c r="A979" t="s">
        <v>758</v>
      </c>
      <c r="B979" s="53" t="s">
        <v>1472</v>
      </c>
      <c r="C979" t="s">
        <v>1360</v>
      </c>
      <c r="D979" s="52">
        <v>45160</v>
      </c>
      <c r="E979" t="s">
        <v>1265</v>
      </c>
      <c r="F979" t="s">
        <v>1442</v>
      </c>
    </row>
    <row r="980" spans="1:6" x14ac:dyDescent="0.55000000000000004">
      <c r="F980" s="4" t="s">
        <v>1260</v>
      </c>
    </row>
    <row r="982" spans="1:6" x14ac:dyDescent="0.55000000000000004">
      <c r="F982" s="4" t="s">
        <v>1443</v>
      </c>
    </row>
    <row r="985" spans="1:6" x14ac:dyDescent="0.55000000000000004">
      <c r="A985" t="s">
        <v>828</v>
      </c>
      <c r="B985" s="53" t="s">
        <v>1473</v>
      </c>
      <c r="C985" t="s">
        <v>1474</v>
      </c>
      <c r="D985" s="52">
        <v>45160</v>
      </c>
      <c r="E985" t="s">
        <v>1265</v>
      </c>
      <c r="F985" t="s">
        <v>1442</v>
      </c>
    </row>
    <row r="986" spans="1:6" x14ac:dyDescent="0.55000000000000004">
      <c r="F986" s="4" t="s">
        <v>1260</v>
      </c>
    </row>
    <row r="988" spans="1:6" x14ac:dyDescent="0.55000000000000004">
      <c r="F988" s="4" t="s">
        <v>1443</v>
      </c>
    </row>
    <row r="991" spans="1:6" x14ac:dyDescent="0.55000000000000004">
      <c r="A991" t="s">
        <v>787</v>
      </c>
      <c r="B991" s="53" t="s">
        <v>1475</v>
      </c>
      <c r="C991" t="s">
        <v>1476</v>
      </c>
      <c r="D991" s="52">
        <v>45160</v>
      </c>
      <c r="E991" t="s">
        <v>1265</v>
      </c>
      <c r="F991" t="s">
        <v>1442</v>
      </c>
    </row>
    <row r="992" spans="1:6" x14ac:dyDescent="0.55000000000000004">
      <c r="F992" s="4" t="s">
        <v>1260</v>
      </c>
    </row>
    <row r="994" spans="1:6" x14ac:dyDescent="0.55000000000000004">
      <c r="F994" s="4" t="s">
        <v>1443</v>
      </c>
    </row>
    <row r="997" spans="1:6" x14ac:dyDescent="0.55000000000000004">
      <c r="A997" t="s">
        <v>833</v>
      </c>
      <c r="B997" s="53" t="s">
        <v>1477</v>
      </c>
      <c r="C997" t="s">
        <v>1360</v>
      </c>
      <c r="D997" s="52">
        <v>45160</v>
      </c>
      <c r="E997" t="s">
        <v>1265</v>
      </c>
      <c r="F997" t="s">
        <v>1442</v>
      </c>
    </row>
    <row r="998" spans="1:6" x14ac:dyDescent="0.55000000000000004">
      <c r="F998" s="4" t="s">
        <v>1260</v>
      </c>
    </row>
    <row r="1000" spans="1:6" x14ac:dyDescent="0.55000000000000004">
      <c r="F1000" s="4" t="s">
        <v>1443</v>
      </c>
    </row>
    <row r="1003" spans="1:6" x14ac:dyDescent="0.55000000000000004">
      <c r="A1003" t="s">
        <v>782</v>
      </c>
      <c r="B1003" s="53" t="s">
        <v>1478</v>
      </c>
      <c r="C1003" t="s">
        <v>1479</v>
      </c>
      <c r="D1003" s="52">
        <v>45160</v>
      </c>
      <c r="E1003" t="s">
        <v>1265</v>
      </c>
      <c r="F1003" t="s">
        <v>1442</v>
      </c>
    </row>
    <row r="1004" spans="1:6" x14ac:dyDescent="0.55000000000000004">
      <c r="F1004" s="4" t="s">
        <v>1260</v>
      </c>
    </row>
    <row r="1006" spans="1:6" x14ac:dyDescent="0.55000000000000004">
      <c r="F1006" s="4" t="s">
        <v>1443</v>
      </c>
    </row>
    <row r="1009" spans="1:6" x14ac:dyDescent="0.55000000000000004">
      <c r="A1009" t="s">
        <v>825</v>
      </c>
      <c r="B1009" s="53" t="s">
        <v>1480</v>
      </c>
      <c r="C1009" t="s">
        <v>1479</v>
      </c>
      <c r="D1009" s="52">
        <v>45160</v>
      </c>
      <c r="E1009" t="s">
        <v>1265</v>
      </c>
      <c r="F1009" t="s">
        <v>1442</v>
      </c>
    </row>
    <row r="1010" spans="1:6" x14ac:dyDescent="0.55000000000000004">
      <c r="F1010" s="4" t="s">
        <v>1260</v>
      </c>
    </row>
    <row r="1012" spans="1:6" x14ac:dyDescent="0.55000000000000004">
      <c r="F1012" s="4" t="s">
        <v>1443</v>
      </c>
    </row>
    <row r="1015" spans="1:6" x14ac:dyDescent="0.55000000000000004">
      <c r="A1015" t="s">
        <v>806</v>
      </c>
      <c r="B1015" s="53" t="s">
        <v>1481</v>
      </c>
      <c r="C1015" t="s">
        <v>1441</v>
      </c>
      <c r="D1015" s="52">
        <v>45160</v>
      </c>
      <c r="E1015" t="s">
        <v>1265</v>
      </c>
      <c r="F1015" t="s">
        <v>1442</v>
      </c>
    </row>
    <row r="1016" spans="1:6" x14ac:dyDescent="0.55000000000000004">
      <c r="F1016" s="4" t="s">
        <v>1260</v>
      </c>
    </row>
    <row r="1018" spans="1:6" x14ac:dyDescent="0.55000000000000004">
      <c r="F1018" s="4" t="s">
        <v>1443</v>
      </c>
    </row>
    <row r="1021" spans="1:6" x14ac:dyDescent="0.55000000000000004">
      <c r="A1021" t="s">
        <v>863</v>
      </c>
      <c r="B1021" s="53" t="s">
        <v>1482</v>
      </c>
      <c r="C1021" t="s">
        <v>1264</v>
      </c>
      <c r="D1021" s="52">
        <v>45160</v>
      </c>
      <c r="E1021" t="s">
        <v>1265</v>
      </c>
      <c r="F1021" t="s">
        <v>1442</v>
      </c>
    </row>
    <row r="1022" spans="1:6" x14ac:dyDescent="0.55000000000000004">
      <c r="F1022" s="4" t="s">
        <v>1260</v>
      </c>
    </row>
    <row r="1024" spans="1:6" x14ac:dyDescent="0.55000000000000004">
      <c r="F1024" s="4" t="s">
        <v>1443</v>
      </c>
    </row>
    <row r="1027" spans="1:6" x14ac:dyDescent="0.55000000000000004">
      <c r="A1027" t="s">
        <v>818</v>
      </c>
      <c r="B1027" s="53" t="s">
        <v>1483</v>
      </c>
      <c r="C1027" t="s">
        <v>1441</v>
      </c>
      <c r="D1027" s="52">
        <v>45160</v>
      </c>
      <c r="E1027" t="s">
        <v>1265</v>
      </c>
      <c r="F1027" t="s">
        <v>1442</v>
      </c>
    </row>
    <row r="1028" spans="1:6" x14ac:dyDescent="0.55000000000000004">
      <c r="F1028" s="4" t="s">
        <v>1260</v>
      </c>
    </row>
    <row r="1030" spans="1:6" x14ac:dyDescent="0.55000000000000004">
      <c r="F1030" s="4" t="s">
        <v>1443</v>
      </c>
    </row>
    <row r="1033" spans="1:6" x14ac:dyDescent="0.55000000000000004">
      <c r="A1033" t="s">
        <v>811</v>
      </c>
      <c r="B1033" s="53" t="s">
        <v>1484</v>
      </c>
      <c r="C1033" t="s">
        <v>1441</v>
      </c>
      <c r="D1033" s="52">
        <v>45160</v>
      </c>
      <c r="E1033" t="s">
        <v>1265</v>
      </c>
      <c r="F1033" t="s">
        <v>1442</v>
      </c>
    </row>
    <row r="1034" spans="1:6" x14ac:dyDescent="0.55000000000000004">
      <c r="F1034" s="4" t="s">
        <v>1260</v>
      </c>
    </row>
    <row r="1036" spans="1:6" x14ac:dyDescent="0.55000000000000004">
      <c r="F1036" s="4" t="s">
        <v>1443</v>
      </c>
    </row>
    <row r="1039" spans="1:6" x14ac:dyDescent="0.55000000000000004">
      <c r="A1039" t="s">
        <v>835</v>
      </c>
      <c r="B1039" s="53" t="s">
        <v>1485</v>
      </c>
      <c r="C1039" t="s">
        <v>1441</v>
      </c>
      <c r="D1039" s="52">
        <v>45160</v>
      </c>
      <c r="E1039" t="s">
        <v>1265</v>
      </c>
      <c r="F1039" t="s">
        <v>1442</v>
      </c>
    </row>
    <row r="1040" spans="1:6" x14ac:dyDescent="0.55000000000000004">
      <c r="F1040" s="4" t="s">
        <v>1260</v>
      </c>
    </row>
    <row r="1042" spans="1:6" x14ac:dyDescent="0.55000000000000004">
      <c r="F1042" s="4" t="s">
        <v>1443</v>
      </c>
    </row>
    <row r="1045" spans="1:6" x14ac:dyDescent="0.55000000000000004">
      <c r="A1045" t="s">
        <v>858</v>
      </c>
      <c r="B1045" s="53" t="s">
        <v>1486</v>
      </c>
      <c r="C1045" t="s">
        <v>1487</v>
      </c>
      <c r="D1045" s="52">
        <v>45160</v>
      </c>
      <c r="E1045" t="s">
        <v>1265</v>
      </c>
      <c r="F1045" t="s">
        <v>1442</v>
      </c>
    </row>
    <row r="1046" spans="1:6" x14ac:dyDescent="0.55000000000000004">
      <c r="F1046" s="4" t="s">
        <v>1260</v>
      </c>
    </row>
    <row r="1048" spans="1:6" x14ac:dyDescent="0.55000000000000004">
      <c r="F1048" s="4" t="s">
        <v>1443</v>
      </c>
    </row>
    <row r="1051" spans="1:6" x14ac:dyDescent="0.55000000000000004">
      <c r="A1051" t="s">
        <v>861</v>
      </c>
      <c r="B1051" s="53" t="s">
        <v>1488</v>
      </c>
      <c r="C1051" t="s">
        <v>1264</v>
      </c>
      <c r="D1051" s="52">
        <v>45160</v>
      </c>
      <c r="E1051" t="s">
        <v>1265</v>
      </c>
      <c r="F1051" t="s">
        <v>1442</v>
      </c>
    </row>
    <row r="1052" spans="1:6" x14ac:dyDescent="0.55000000000000004">
      <c r="F1052" s="4" t="s">
        <v>1260</v>
      </c>
    </row>
    <row r="1054" spans="1:6" x14ac:dyDescent="0.55000000000000004">
      <c r="F1054" s="4" t="s">
        <v>1443</v>
      </c>
    </row>
    <row r="1057" spans="1:7" x14ac:dyDescent="0.55000000000000004">
      <c r="A1057" t="s">
        <v>816</v>
      </c>
      <c r="B1057" s="53" t="s">
        <v>1489</v>
      </c>
      <c r="C1057" t="s">
        <v>1264</v>
      </c>
      <c r="D1057" s="52">
        <v>45160</v>
      </c>
      <c r="E1057" t="s">
        <v>1265</v>
      </c>
      <c r="F1057" t="s">
        <v>1442</v>
      </c>
    </row>
    <row r="1058" spans="1:7" x14ac:dyDescent="0.55000000000000004">
      <c r="F1058" s="4" t="s">
        <v>1260</v>
      </c>
    </row>
    <row r="1060" spans="1:7" x14ac:dyDescent="0.55000000000000004">
      <c r="F1060" s="4" t="s">
        <v>1443</v>
      </c>
    </row>
    <row r="1063" spans="1:7" x14ac:dyDescent="0.55000000000000004">
      <c r="A1063" t="s">
        <v>865</v>
      </c>
      <c r="B1063" s="53" t="s">
        <v>1490</v>
      </c>
      <c r="C1063" t="s">
        <v>1264</v>
      </c>
      <c r="D1063" s="52">
        <v>45160</v>
      </c>
      <c r="E1063" t="s">
        <v>1265</v>
      </c>
      <c r="F1063" t="s">
        <v>1442</v>
      </c>
    </row>
    <row r="1064" spans="1:7" x14ac:dyDescent="0.55000000000000004">
      <c r="F1064" s="4" t="s">
        <v>1260</v>
      </c>
    </row>
    <row r="1066" spans="1:7" x14ac:dyDescent="0.55000000000000004">
      <c r="F1066" s="4" t="s">
        <v>1443</v>
      </c>
    </row>
    <row r="1069" spans="1:7" x14ac:dyDescent="0.55000000000000004">
      <c r="A1069" t="s">
        <v>1063</v>
      </c>
      <c r="B1069" t="s">
        <v>1491</v>
      </c>
      <c r="C1069" t="s">
        <v>1492</v>
      </c>
      <c r="D1069" s="52">
        <v>45162</v>
      </c>
      <c r="E1069" t="s">
        <v>1265</v>
      </c>
      <c r="F1069" s="61" t="s">
        <v>1493</v>
      </c>
      <c r="G1069" t="s">
        <v>1494</v>
      </c>
    </row>
    <row r="1070" spans="1:7" x14ac:dyDescent="0.55000000000000004">
      <c r="F1070" s="4" t="s">
        <v>1260</v>
      </c>
    </row>
    <row r="1071" spans="1:7" x14ac:dyDescent="0.55000000000000004">
      <c r="F1071" t="s">
        <v>136</v>
      </c>
    </row>
    <row r="1072" spans="1:7" x14ac:dyDescent="0.55000000000000004">
      <c r="F1072" s="4" t="s">
        <v>1443</v>
      </c>
    </row>
    <row r="1073" spans="1:7" x14ac:dyDescent="0.55000000000000004">
      <c r="F1073" t="s">
        <v>136</v>
      </c>
    </row>
    <row r="1075" spans="1:7" x14ac:dyDescent="0.55000000000000004">
      <c r="A1075" t="s">
        <v>1061</v>
      </c>
      <c r="B1075" t="s">
        <v>1495</v>
      </c>
      <c r="C1075" t="s">
        <v>1492</v>
      </c>
      <c r="D1075" s="52">
        <v>45162</v>
      </c>
      <c r="E1075" t="s">
        <v>1265</v>
      </c>
      <c r="F1075" s="61" t="s">
        <v>1493</v>
      </c>
      <c r="G1075" t="s">
        <v>1494</v>
      </c>
    </row>
    <row r="1076" spans="1:7" x14ac:dyDescent="0.55000000000000004">
      <c r="F1076" s="4" t="s">
        <v>1260</v>
      </c>
    </row>
    <row r="1077" spans="1:7" x14ac:dyDescent="0.55000000000000004">
      <c r="F1077" t="s">
        <v>136</v>
      </c>
    </row>
    <row r="1078" spans="1:7" x14ac:dyDescent="0.55000000000000004">
      <c r="F1078" s="4" t="s">
        <v>1443</v>
      </c>
    </row>
    <row r="1079" spans="1:7" x14ac:dyDescent="0.55000000000000004">
      <c r="F1079" t="s">
        <v>136</v>
      </c>
    </row>
    <row r="1081" spans="1:7" x14ac:dyDescent="0.55000000000000004">
      <c r="A1081" t="s">
        <v>1040</v>
      </c>
      <c r="B1081" t="s">
        <v>1496</v>
      </c>
      <c r="C1081" t="s">
        <v>1492</v>
      </c>
      <c r="D1081" s="52">
        <v>45162</v>
      </c>
      <c r="E1081" t="s">
        <v>1265</v>
      </c>
      <c r="F1081" s="61" t="s">
        <v>1493</v>
      </c>
      <c r="G1081" t="s">
        <v>1494</v>
      </c>
    </row>
    <row r="1082" spans="1:7" x14ac:dyDescent="0.55000000000000004">
      <c r="F1082" s="4" t="s">
        <v>1260</v>
      </c>
    </row>
    <row r="1083" spans="1:7" x14ac:dyDescent="0.55000000000000004">
      <c r="F1083" t="s">
        <v>136</v>
      </c>
    </row>
    <row r="1084" spans="1:7" x14ac:dyDescent="0.55000000000000004">
      <c r="F1084" s="4" t="s">
        <v>1443</v>
      </c>
    </row>
    <row r="1085" spans="1:7" x14ac:dyDescent="0.55000000000000004">
      <c r="F1085" t="s">
        <v>136</v>
      </c>
    </row>
    <row r="1087" spans="1:7" x14ac:dyDescent="0.55000000000000004">
      <c r="A1087" t="s">
        <v>1067</v>
      </c>
      <c r="B1087" t="s">
        <v>1497</v>
      </c>
      <c r="C1087" t="s">
        <v>1492</v>
      </c>
      <c r="D1087" s="52">
        <v>45162</v>
      </c>
      <c r="E1087" t="s">
        <v>1265</v>
      </c>
      <c r="F1087" s="61" t="s">
        <v>1493</v>
      </c>
      <c r="G1087" t="s">
        <v>1494</v>
      </c>
    </row>
    <row r="1088" spans="1:7" x14ac:dyDescent="0.55000000000000004">
      <c r="F1088" s="4" t="s">
        <v>1260</v>
      </c>
    </row>
    <row r="1089" spans="1:7" x14ac:dyDescent="0.55000000000000004">
      <c r="F1089" t="s">
        <v>136</v>
      </c>
    </row>
    <row r="1090" spans="1:7" x14ac:dyDescent="0.55000000000000004">
      <c r="F1090" s="4" t="s">
        <v>1443</v>
      </c>
    </row>
    <row r="1091" spans="1:7" x14ac:dyDescent="0.55000000000000004">
      <c r="F1091" t="s">
        <v>136</v>
      </c>
    </row>
    <row r="1093" spans="1:7" x14ac:dyDescent="0.55000000000000004">
      <c r="A1093" t="s">
        <v>1038</v>
      </c>
      <c r="B1093" t="s">
        <v>1498</v>
      </c>
      <c r="C1093" t="s">
        <v>1492</v>
      </c>
      <c r="D1093" s="52">
        <v>45162</v>
      </c>
      <c r="E1093" t="s">
        <v>1265</v>
      </c>
      <c r="F1093" s="61" t="s">
        <v>1493</v>
      </c>
      <c r="G1093" t="s">
        <v>1494</v>
      </c>
    </row>
    <row r="1094" spans="1:7" x14ac:dyDescent="0.55000000000000004">
      <c r="F1094" s="4" t="s">
        <v>1260</v>
      </c>
    </row>
    <row r="1095" spans="1:7" x14ac:dyDescent="0.55000000000000004">
      <c r="F1095" t="s">
        <v>136</v>
      </c>
    </row>
    <row r="1096" spans="1:7" x14ac:dyDescent="0.55000000000000004">
      <c r="F1096" s="4" t="s">
        <v>1443</v>
      </c>
    </row>
    <row r="1097" spans="1:7" x14ac:dyDescent="0.55000000000000004">
      <c r="F1097" t="s">
        <v>136</v>
      </c>
    </row>
    <row r="1099" spans="1:7" x14ac:dyDescent="0.55000000000000004">
      <c r="A1099" t="s">
        <v>1042</v>
      </c>
      <c r="B1099" t="s">
        <v>1499</v>
      </c>
      <c r="C1099" t="s">
        <v>1492</v>
      </c>
      <c r="D1099" s="52">
        <v>45162</v>
      </c>
      <c r="E1099" t="s">
        <v>1265</v>
      </c>
      <c r="F1099" s="61" t="s">
        <v>1493</v>
      </c>
      <c r="G1099" t="s">
        <v>1494</v>
      </c>
    </row>
    <row r="1100" spans="1:7" x14ac:dyDescent="0.55000000000000004">
      <c r="F1100" s="4" t="s">
        <v>1260</v>
      </c>
    </row>
    <row r="1101" spans="1:7" x14ac:dyDescent="0.55000000000000004">
      <c r="F1101" t="s">
        <v>136</v>
      </c>
    </row>
    <row r="1102" spans="1:7" x14ac:dyDescent="0.55000000000000004">
      <c r="F1102" s="4" t="s">
        <v>1443</v>
      </c>
    </row>
    <row r="1103" spans="1:7" x14ac:dyDescent="0.55000000000000004">
      <c r="F1103" t="s">
        <v>136</v>
      </c>
    </row>
    <row r="1105" spans="1:8" x14ac:dyDescent="0.55000000000000004">
      <c r="A1105" t="s">
        <v>1073</v>
      </c>
      <c r="B1105" t="s">
        <v>1500</v>
      </c>
      <c r="C1105" t="s">
        <v>1492</v>
      </c>
      <c r="D1105" s="52">
        <v>45162</v>
      </c>
      <c r="E1105" t="s">
        <v>1265</v>
      </c>
      <c r="F1105" s="61" t="s">
        <v>1493</v>
      </c>
      <c r="G1105" t="s">
        <v>1494</v>
      </c>
    </row>
    <row r="1106" spans="1:8" x14ac:dyDescent="0.55000000000000004">
      <c r="F1106" s="4" t="s">
        <v>1260</v>
      </c>
    </row>
    <row r="1107" spans="1:8" x14ac:dyDescent="0.55000000000000004">
      <c r="F1107" t="s">
        <v>1501</v>
      </c>
    </row>
    <row r="1108" spans="1:8" x14ac:dyDescent="0.55000000000000004">
      <c r="F1108" s="4" t="s">
        <v>1443</v>
      </c>
    </row>
    <row r="1109" spans="1:8" x14ac:dyDescent="0.55000000000000004">
      <c r="F1109" t="s">
        <v>136</v>
      </c>
    </row>
    <row r="1111" spans="1:8" x14ac:dyDescent="0.55000000000000004">
      <c r="A1111" t="s">
        <v>1065</v>
      </c>
      <c r="B1111" t="s">
        <v>1502</v>
      </c>
      <c r="C1111" t="s">
        <v>1492</v>
      </c>
      <c r="D1111" s="52">
        <v>45162</v>
      </c>
      <c r="E1111" t="s">
        <v>1265</v>
      </c>
      <c r="F1111" s="61" t="s">
        <v>1493</v>
      </c>
      <c r="G1111" t="s">
        <v>1494</v>
      </c>
    </row>
    <row r="1112" spans="1:8" x14ac:dyDescent="0.55000000000000004">
      <c r="F1112" s="4" t="s">
        <v>1260</v>
      </c>
    </row>
    <row r="1113" spans="1:8" x14ac:dyDescent="0.55000000000000004">
      <c r="F1113" t="s">
        <v>1503</v>
      </c>
    </row>
    <row r="1114" spans="1:8" x14ac:dyDescent="0.55000000000000004">
      <c r="F1114" s="4" t="s">
        <v>1443</v>
      </c>
    </row>
    <row r="1115" spans="1:8" x14ac:dyDescent="0.55000000000000004">
      <c r="F1115" t="s">
        <v>136</v>
      </c>
    </row>
    <row r="1117" spans="1:8" x14ac:dyDescent="0.55000000000000004">
      <c r="A1117" s="75" t="s">
        <v>405</v>
      </c>
      <c r="B1117" s="75" t="s">
        <v>405</v>
      </c>
      <c r="C1117" s="61" t="s">
        <v>1422</v>
      </c>
      <c r="D1117" s="63">
        <v>45162</v>
      </c>
      <c r="E1117" s="61" t="s">
        <v>1322</v>
      </c>
      <c r="F1117" s="61" t="s">
        <v>1504</v>
      </c>
      <c r="G1117" s="61"/>
      <c r="H1117" s="61"/>
    </row>
    <row r="1118" spans="1:8" x14ac:dyDescent="0.55000000000000004">
      <c r="A1118" s="61"/>
      <c r="B1118" s="61"/>
      <c r="C1118" s="61"/>
      <c r="D1118" s="61"/>
      <c r="E1118" s="61"/>
      <c r="F1118" s="66" t="s">
        <v>1260</v>
      </c>
      <c r="G1118" s="61"/>
      <c r="H1118" s="61"/>
    </row>
    <row r="1119" spans="1:8" x14ac:dyDescent="0.55000000000000004">
      <c r="A1119" s="61"/>
      <c r="B1119" s="61"/>
      <c r="C1119" s="61"/>
      <c r="D1119" s="61"/>
      <c r="E1119" s="61"/>
      <c r="F1119" s="61" t="s">
        <v>1261</v>
      </c>
      <c r="G1119" s="61"/>
      <c r="H1119" s="61"/>
    </row>
    <row r="1120" spans="1:8" x14ac:dyDescent="0.55000000000000004">
      <c r="A1120" s="61"/>
      <c r="B1120" s="61"/>
      <c r="C1120" s="61"/>
      <c r="D1120" s="61"/>
      <c r="E1120" s="61"/>
      <c r="F1120" s="66" t="s">
        <v>1262</v>
      </c>
      <c r="G1120" s="61"/>
      <c r="H1120" s="61"/>
    </row>
    <row r="1121" spans="1:8" x14ac:dyDescent="0.55000000000000004">
      <c r="A1121" s="61"/>
      <c r="B1121" s="61"/>
      <c r="C1121" s="61"/>
      <c r="D1121" s="61"/>
      <c r="E1121" s="61"/>
      <c r="F1121" s="61" t="s">
        <v>1261</v>
      </c>
      <c r="G1121" s="61"/>
      <c r="H1121" s="61"/>
    </row>
    <row r="1122" spans="1:8" x14ac:dyDescent="0.55000000000000004">
      <c r="A1122" s="61"/>
      <c r="B1122" s="61"/>
      <c r="C1122" s="61"/>
      <c r="D1122" s="61"/>
      <c r="E1122" s="61"/>
      <c r="F1122" s="61"/>
      <c r="G1122" s="61"/>
      <c r="H1122" s="61"/>
    </row>
    <row r="1123" spans="1:8" x14ac:dyDescent="0.55000000000000004">
      <c r="A1123" s="75" t="s">
        <v>404</v>
      </c>
      <c r="B1123" s="75" t="s">
        <v>404</v>
      </c>
      <c r="C1123" s="61" t="s">
        <v>1422</v>
      </c>
      <c r="D1123" s="63">
        <v>45162</v>
      </c>
      <c r="E1123" s="61" t="s">
        <v>1322</v>
      </c>
      <c r="F1123" s="61" t="s">
        <v>1505</v>
      </c>
      <c r="G1123" s="61"/>
      <c r="H1123" s="61"/>
    </row>
    <row r="1124" spans="1:8" x14ac:dyDescent="0.55000000000000004">
      <c r="A1124" s="61"/>
      <c r="B1124" s="61"/>
      <c r="C1124" s="61"/>
      <c r="D1124" s="61"/>
      <c r="E1124" s="61"/>
      <c r="F1124" s="66" t="s">
        <v>1260</v>
      </c>
      <c r="G1124" s="61"/>
      <c r="H1124" s="61"/>
    </row>
    <row r="1125" spans="1:8" x14ac:dyDescent="0.55000000000000004">
      <c r="A1125" s="61"/>
      <c r="B1125" s="61"/>
      <c r="C1125" s="61"/>
      <c r="D1125" s="61"/>
      <c r="E1125" s="61"/>
      <c r="F1125" s="61" t="s">
        <v>1261</v>
      </c>
      <c r="G1125" s="61"/>
      <c r="H1125" s="61"/>
    </row>
    <row r="1126" spans="1:8" x14ac:dyDescent="0.55000000000000004">
      <c r="A1126" s="61"/>
      <c r="B1126" s="61"/>
      <c r="C1126" s="61"/>
      <c r="D1126" s="61"/>
      <c r="E1126" s="61"/>
      <c r="F1126" s="66" t="s">
        <v>1262</v>
      </c>
      <c r="G1126" s="61"/>
      <c r="H1126" s="61"/>
    </row>
    <row r="1127" spans="1:8" x14ac:dyDescent="0.55000000000000004">
      <c r="A1127" s="61"/>
      <c r="B1127" s="61"/>
      <c r="C1127" s="61"/>
      <c r="D1127" s="61"/>
      <c r="E1127" s="61"/>
      <c r="F1127" s="61" t="s">
        <v>1261</v>
      </c>
      <c r="G1127" s="61"/>
      <c r="H1127" s="61"/>
    </row>
    <row r="1128" spans="1:8" x14ac:dyDescent="0.55000000000000004">
      <c r="A1128" s="61"/>
      <c r="B1128" s="61"/>
      <c r="C1128" s="61"/>
      <c r="D1128" s="61"/>
      <c r="E1128" s="61"/>
      <c r="F1128" s="61"/>
      <c r="G1128" s="61"/>
      <c r="H1128" s="61"/>
    </row>
    <row r="1129" spans="1:8" x14ac:dyDescent="0.55000000000000004">
      <c r="A1129" s="75" t="s">
        <v>401</v>
      </c>
      <c r="B1129" s="75" t="s">
        <v>401</v>
      </c>
      <c r="C1129" s="61" t="s">
        <v>1422</v>
      </c>
      <c r="D1129" s="63">
        <v>45162</v>
      </c>
      <c r="E1129" s="61" t="s">
        <v>1322</v>
      </c>
      <c r="F1129" s="61" t="s">
        <v>1505</v>
      </c>
      <c r="G1129" s="61"/>
      <c r="H1129" s="61"/>
    </row>
    <row r="1130" spans="1:8" x14ac:dyDescent="0.55000000000000004">
      <c r="A1130" s="61"/>
      <c r="B1130" s="61"/>
      <c r="C1130" s="61"/>
      <c r="D1130" s="61"/>
      <c r="E1130" s="61"/>
      <c r="F1130" s="66" t="s">
        <v>1260</v>
      </c>
      <c r="G1130" s="61"/>
      <c r="H1130" s="61"/>
    </row>
    <row r="1131" spans="1:8" x14ac:dyDescent="0.55000000000000004">
      <c r="A1131" s="61"/>
      <c r="B1131" s="61"/>
      <c r="C1131" s="61"/>
      <c r="D1131" s="61"/>
      <c r="E1131" s="61"/>
      <c r="F1131" s="61" t="s">
        <v>1261</v>
      </c>
      <c r="G1131" s="61"/>
      <c r="H1131" s="61"/>
    </row>
    <row r="1132" spans="1:8" x14ac:dyDescent="0.55000000000000004">
      <c r="A1132" s="61"/>
      <c r="B1132" s="61"/>
      <c r="C1132" s="61"/>
      <c r="D1132" s="61"/>
      <c r="E1132" s="61"/>
      <c r="F1132" s="66" t="s">
        <v>1262</v>
      </c>
      <c r="G1132" s="61"/>
      <c r="H1132" s="61"/>
    </row>
    <row r="1133" spans="1:8" x14ac:dyDescent="0.55000000000000004">
      <c r="A1133" s="61"/>
      <c r="B1133" s="61"/>
      <c r="C1133" s="61"/>
      <c r="D1133" s="61"/>
      <c r="E1133" s="61"/>
      <c r="F1133" s="61" t="s">
        <v>1261</v>
      </c>
      <c r="G1133" s="61"/>
      <c r="H1133" s="61"/>
    </row>
    <row r="1134" spans="1:8" x14ac:dyDescent="0.55000000000000004">
      <c r="A1134" s="61"/>
      <c r="B1134" s="61"/>
      <c r="C1134" s="61"/>
      <c r="D1134" s="61"/>
      <c r="E1134" s="61"/>
      <c r="F1134" s="61"/>
      <c r="G1134" s="61"/>
      <c r="H1134" s="61"/>
    </row>
    <row r="1135" spans="1:8" x14ac:dyDescent="0.55000000000000004">
      <c r="A1135" s="75" t="s">
        <v>399</v>
      </c>
      <c r="B1135" s="75" t="s">
        <v>399</v>
      </c>
      <c r="C1135" s="61" t="s">
        <v>1422</v>
      </c>
      <c r="D1135" s="63">
        <v>45162</v>
      </c>
      <c r="E1135" s="61" t="s">
        <v>1322</v>
      </c>
      <c r="F1135" s="61" t="s">
        <v>1504</v>
      </c>
      <c r="G1135" s="61"/>
      <c r="H1135" s="61"/>
    </row>
    <row r="1136" spans="1:8" x14ac:dyDescent="0.55000000000000004">
      <c r="A1136" s="61"/>
      <c r="B1136" s="61"/>
      <c r="C1136" s="61"/>
      <c r="D1136" s="61"/>
      <c r="E1136" s="61"/>
      <c r="F1136" s="66" t="s">
        <v>1260</v>
      </c>
      <c r="G1136" s="61"/>
      <c r="H1136" s="61"/>
    </row>
    <row r="1137" spans="1:8" x14ac:dyDescent="0.55000000000000004">
      <c r="A1137" s="61"/>
      <c r="B1137" s="61"/>
      <c r="C1137" s="61"/>
      <c r="D1137" s="61"/>
      <c r="E1137" s="61"/>
      <c r="F1137" s="61" t="s">
        <v>1261</v>
      </c>
      <c r="G1137" s="61"/>
      <c r="H1137" s="61"/>
    </row>
    <row r="1138" spans="1:8" x14ac:dyDescent="0.55000000000000004">
      <c r="A1138" s="61"/>
      <c r="B1138" s="61"/>
      <c r="C1138" s="61"/>
      <c r="D1138" s="61"/>
      <c r="E1138" s="61"/>
      <c r="F1138" s="66" t="s">
        <v>1262</v>
      </c>
      <c r="G1138" s="61"/>
      <c r="H1138" s="61"/>
    </row>
    <row r="1139" spans="1:8" x14ac:dyDescent="0.55000000000000004">
      <c r="A1139" s="61"/>
      <c r="B1139" s="61"/>
      <c r="C1139" s="61"/>
      <c r="D1139" s="61"/>
      <c r="E1139" s="61"/>
      <c r="F1139" s="61" t="s">
        <v>1261</v>
      </c>
      <c r="G1139" s="61"/>
      <c r="H1139" s="61"/>
    </row>
    <row r="1140" spans="1:8" x14ac:dyDescent="0.55000000000000004">
      <c r="A1140" s="61"/>
      <c r="B1140" s="61"/>
      <c r="C1140" s="61"/>
      <c r="D1140" s="61"/>
      <c r="E1140" s="61"/>
      <c r="F1140" s="61"/>
      <c r="G1140" s="61"/>
      <c r="H1140" s="61"/>
    </row>
    <row r="1141" spans="1:8" x14ac:dyDescent="0.55000000000000004">
      <c r="A1141" s="75" t="s">
        <v>398</v>
      </c>
      <c r="B1141" s="75" t="s">
        <v>398</v>
      </c>
      <c r="C1141" s="61" t="s">
        <v>1422</v>
      </c>
      <c r="D1141" s="63">
        <v>45162</v>
      </c>
      <c r="E1141" s="61" t="s">
        <v>1322</v>
      </c>
      <c r="F1141" s="61" t="s">
        <v>1505</v>
      </c>
      <c r="G1141" s="61"/>
      <c r="H1141" s="61"/>
    </row>
    <row r="1142" spans="1:8" x14ac:dyDescent="0.55000000000000004">
      <c r="A1142" s="61"/>
      <c r="B1142" s="61"/>
      <c r="C1142" s="61"/>
      <c r="D1142" s="61"/>
      <c r="E1142" s="61"/>
      <c r="F1142" s="66" t="s">
        <v>1260</v>
      </c>
      <c r="G1142" s="61"/>
      <c r="H1142" s="61"/>
    </row>
    <row r="1143" spans="1:8" x14ac:dyDescent="0.55000000000000004">
      <c r="A1143" s="61"/>
      <c r="B1143" s="61"/>
      <c r="C1143" s="61"/>
      <c r="D1143" s="61"/>
      <c r="E1143" s="61"/>
      <c r="F1143" s="61" t="s">
        <v>1261</v>
      </c>
      <c r="G1143" s="61"/>
      <c r="H1143" s="61"/>
    </row>
    <row r="1144" spans="1:8" x14ac:dyDescent="0.55000000000000004">
      <c r="A1144" s="61"/>
      <c r="B1144" s="61"/>
      <c r="C1144" s="61"/>
      <c r="D1144" s="61"/>
      <c r="E1144" s="61"/>
      <c r="F1144" s="66" t="s">
        <v>1262</v>
      </c>
      <c r="G1144" s="61"/>
      <c r="H1144" s="61"/>
    </row>
    <row r="1145" spans="1:8" x14ac:dyDescent="0.55000000000000004">
      <c r="A1145" s="61"/>
      <c r="B1145" s="61"/>
      <c r="C1145" s="61"/>
      <c r="D1145" s="61"/>
      <c r="E1145" s="61"/>
      <c r="F1145" s="61" t="s">
        <v>1261</v>
      </c>
      <c r="G1145" s="61"/>
      <c r="H1145" s="61"/>
    </row>
    <row r="1146" spans="1:8" x14ac:dyDescent="0.55000000000000004">
      <c r="A1146" s="61"/>
      <c r="B1146" s="61"/>
      <c r="C1146" s="61"/>
      <c r="D1146" s="61"/>
      <c r="E1146" s="61"/>
      <c r="F1146" s="61"/>
      <c r="G1146" s="61"/>
      <c r="H1146" s="61"/>
    </row>
    <row r="1147" spans="1:8" x14ac:dyDescent="0.55000000000000004">
      <c r="A1147" s="75" t="s">
        <v>391</v>
      </c>
      <c r="B1147" s="75" t="s">
        <v>391</v>
      </c>
      <c r="C1147" s="61" t="s">
        <v>1422</v>
      </c>
      <c r="D1147" s="63">
        <v>45162</v>
      </c>
      <c r="E1147" s="61" t="s">
        <v>1322</v>
      </c>
      <c r="F1147" s="61" t="s">
        <v>1327</v>
      </c>
      <c r="G1147" s="61"/>
      <c r="H1147" s="61"/>
    </row>
    <row r="1148" spans="1:8" x14ac:dyDescent="0.55000000000000004">
      <c r="A1148" s="61"/>
      <c r="B1148" s="61"/>
      <c r="C1148" s="61"/>
      <c r="D1148" s="61"/>
      <c r="E1148" s="61"/>
      <c r="F1148" s="66" t="s">
        <v>1260</v>
      </c>
      <c r="G1148" s="61"/>
      <c r="H1148" s="61"/>
    </row>
    <row r="1149" spans="1:8" x14ac:dyDescent="0.55000000000000004">
      <c r="A1149" s="61"/>
      <c r="B1149" s="61"/>
      <c r="C1149" s="61"/>
      <c r="D1149" s="61"/>
      <c r="E1149" s="61"/>
      <c r="F1149" s="61" t="s">
        <v>1261</v>
      </c>
      <c r="G1149" s="61"/>
      <c r="H1149" s="61"/>
    </row>
    <row r="1150" spans="1:8" x14ac:dyDescent="0.55000000000000004">
      <c r="A1150" s="61"/>
      <c r="B1150" s="61"/>
      <c r="C1150" s="61"/>
      <c r="D1150" s="61"/>
      <c r="E1150" s="61"/>
      <c r="F1150" s="66" t="s">
        <v>1262</v>
      </c>
      <c r="G1150" s="61"/>
      <c r="H1150" s="61"/>
    </row>
    <row r="1151" spans="1:8" x14ac:dyDescent="0.55000000000000004">
      <c r="A1151" s="61"/>
      <c r="B1151" s="61"/>
      <c r="C1151" s="61"/>
      <c r="D1151" s="61"/>
      <c r="E1151" s="61"/>
      <c r="F1151" s="61" t="s">
        <v>1261</v>
      </c>
      <c r="G1151" s="61"/>
      <c r="H1151" s="61"/>
    </row>
    <row r="1152" spans="1:8" x14ac:dyDescent="0.55000000000000004">
      <c r="A1152" s="61"/>
      <c r="B1152" s="61"/>
      <c r="C1152" s="61"/>
      <c r="D1152" s="61"/>
      <c r="E1152" s="61"/>
      <c r="F1152" s="61"/>
      <c r="G1152" s="61"/>
      <c r="H1152" s="61"/>
    </row>
    <row r="1153" spans="1:8" x14ac:dyDescent="0.55000000000000004">
      <c r="A1153" s="75" t="s">
        <v>410</v>
      </c>
      <c r="B1153" s="75" t="s">
        <v>410</v>
      </c>
      <c r="C1153" s="61" t="s">
        <v>1422</v>
      </c>
      <c r="D1153" s="63">
        <v>45162</v>
      </c>
      <c r="E1153" s="61" t="s">
        <v>1322</v>
      </c>
      <c r="F1153" s="61" t="s">
        <v>1504</v>
      </c>
      <c r="G1153" s="61"/>
      <c r="H1153" s="61"/>
    </row>
    <row r="1154" spans="1:8" x14ac:dyDescent="0.55000000000000004">
      <c r="A1154" s="61"/>
      <c r="B1154" s="61"/>
      <c r="C1154" s="61"/>
      <c r="D1154" s="61"/>
      <c r="E1154" s="61"/>
      <c r="F1154" s="66" t="s">
        <v>1260</v>
      </c>
      <c r="G1154" s="61"/>
      <c r="H1154" s="61"/>
    </row>
    <row r="1155" spans="1:8" x14ac:dyDescent="0.55000000000000004">
      <c r="A1155" s="61"/>
      <c r="B1155" s="61"/>
      <c r="C1155" s="61"/>
      <c r="D1155" s="61"/>
      <c r="E1155" s="61"/>
      <c r="F1155" s="61" t="s">
        <v>1261</v>
      </c>
      <c r="G1155" s="61"/>
      <c r="H1155" s="61"/>
    </row>
    <row r="1156" spans="1:8" x14ac:dyDescent="0.55000000000000004">
      <c r="A1156" s="61"/>
      <c r="B1156" s="61"/>
      <c r="C1156" s="61"/>
      <c r="D1156" s="61"/>
      <c r="E1156" s="61"/>
      <c r="F1156" s="66" t="s">
        <v>1262</v>
      </c>
      <c r="G1156" s="61"/>
      <c r="H1156" s="61"/>
    </row>
    <row r="1157" spans="1:8" x14ac:dyDescent="0.55000000000000004">
      <c r="A1157" s="61"/>
      <c r="B1157" s="61"/>
      <c r="C1157" s="61"/>
      <c r="D1157" s="61"/>
      <c r="E1157" s="61"/>
      <c r="F1157" s="61" t="s">
        <v>1261</v>
      </c>
      <c r="G1157" s="61"/>
      <c r="H1157" s="61"/>
    </row>
    <row r="1158" spans="1:8" x14ac:dyDescent="0.55000000000000004">
      <c r="A1158" s="61"/>
      <c r="B1158" s="61"/>
      <c r="C1158" s="61"/>
      <c r="D1158" s="61"/>
      <c r="E1158" s="61"/>
      <c r="F1158" s="61"/>
      <c r="G1158" s="61"/>
      <c r="H1158" s="61"/>
    </row>
    <row r="1159" spans="1:8" x14ac:dyDescent="0.55000000000000004">
      <c r="A1159" s="75" t="s">
        <v>409</v>
      </c>
      <c r="B1159" s="75" t="s">
        <v>409</v>
      </c>
      <c r="C1159" s="61" t="s">
        <v>1422</v>
      </c>
      <c r="D1159" s="63">
        <v>45162</v>
      </c>
      <c r="E1159" s="61" t="s">
        <v>1322</v>
      </c>
      <c r="F1159" s="61" t="s">
        <v>1504</v>
      </c>
      <c r="G1159" s="61"/>
      <c r="H1159" s="61"/>
    </row>
    <row r="1160" spans="1:8" x14ac:dyDescent="0.55000000000000004">
      <c r="A1160" s="61"/>
      <c r="B1160" s="61"/>
      <c r="C1160" s="61"/>
      <c r="D1160" s="61"/>
      <c r="E1160" s="61"/>
      <c r="F1160" s="66" t="s">
        <v>1260</v>
      </c>
      <c r="G1160" s="61"/>
      <c r="H1160" s="61"/>
    </row>
    <row r="1161" spans="1:8" x14ac:dyDescent="0.55000000000000004">
      <c r="A1161" s="61"/>
      <c r="B1161" s="61"/>
      <c r="C1161" s="61"/>
      <c r="D1161" s="61"/>
      <c r="E1161" s="61"/>
      <c r="F1161" s="61" t="s">
        <v>1261</v>
      </c>
      <c r="G1161" s="61"/>
      <c r="H1161" s="61"/>
    </row>
    <row r="1162" spans="1:8" x14ac:dyDescent="0.55000000000000004">
      <c r="A1162" s="61"/>
      <c r="B1162" s="61"/>
      <c r="C1162" s="61"/>
      <c r="D1162" s="61"/>
      <c r="E1162" s="61"/>
      <c r="F1162" s="66" t="s">
        <v>1262</v>
      </c>
      <c r="G1162" s="61"/>
      <c r="H1162" s="61"/>
    </row>
    <row r="1163" spans="1:8" x14ac:dyDescent="0.55000000000000004">
      <c r="A1163" s="61"/>
      <c r="B1163" s="61"/>
      <c r="C1163" s="61"/>
      <c r="D1163" s="61"/>
      <c r="E1163" s="61"/>
      <c r="F1163" s="61" t="s">
        <v>1261</v>
      </c>
      <c r="G1163" s="61"/>
      <c r="H1163" s="61"/>
    </row>
    <row r="1164" spans="1:8" x14ac:dyDescent="0.55000000000000004">
      <c r="A1164" s="61"/>
      <c r="B1164" s="61"/>
      <c r="C1164" s="61"/>
      <c r="D1164" s="61"/>
      <c r="E1164" s="61"/>
      <c r="F1164" s="61"/>
      <c r="G1164" s="61"/>
      <c r="H1164" s="61"/>
    </row>
    <row r="1165" spans="1:8" x14ac:dyDescent="0.55000000000000004">
      <c r="A1165" s="75" t="s">
        <v>407</v>
      </c>
      <c r="B1165" s="75" t="s">
        <v>407</v>
      </c>
      <c r="C1165" s="61" t="s">
        <v>1422</v>
      </c>
      <c r="D1165" s="63">
        <v>45162</v>
      </c>
      <c r="E1165" s="61" t="s">
        <v>1322</v>
      </c>
      <c r="F1165" s="61" t="s">
        <v>1505</v>
      </c>
      <c r="G1165" s="61"/>
      <c r="H1165" s="61"/>
    </row>
    <row r="1166" spans="1:8" x14ac:dyDescent="0.55000000000000004">
      <c r="A1166" s="61"/>
      <c r="B1166" s="61"/>
      <c r="C1166" s="61"/>
      <c r="D1166" s="61"/>
      <c r="E1166" s="61"/>
      <c r="F1166" s="66" t="s">
        <v>1260</v>
      </c>
      <c r="G1166" s="61"/>
      <c r="H1166" s="61"/>
    </row>
    <row r="1167" spans="1:8" x14ac:dyDescent="0.55000000000000004">
      <c r="A1167" s="61"/>
      <c r="B1167" s="61"/>
      <c r="C1167" s="61"/>
      <c r="D1167" s="61"/>
      <c r="E1167" s="61"/>
      <c r="F1167" s="61" t="s">
        <v>1261</v>
      </c>
      <c r="G1167" s="61"/>
      <c r="H1167" s="61"/>
    </row>
    <row r="1168" spans="1:8" x14ac:dyDescent="0.55000000000000004">
      <c r="A1168" s="61"/>
      <c r="B1168" s="61"/>
      <c r="C1168" s="61"/>
      <c r="D1168" s="61"/>
      <c r="E1168" s="61"/>
      <c r="F1168" s="66" t="s">
        <v>1262</v>
      </c>
      <c r="G1168" s="61"/>
      <c r="H1168" s="61"/>
    </row>
    <row r="1169" spans="1:8" x14ac:dyDescent="0.55000000000000004">
      <c r="A1169" s="61"/>
      <c r="B1169" s="61"/>
      <c r="C1169" s="61"/>
      <c r="D1169" s="61"/>
      <c r="E1169" s="61"/>
      <c r="F1169" s="61" t="s">
        <v>1261</v>
      </c>
      <c r="G1169" s="61"/>
      <c r="H1169" s="61"/>
    </row>
    <row r="1170" spans="1:8" x14ac:dyDescent="0.55000000000000004">
      <c r="A1170" s="61"/>
      <c r="B1170" s="61"/>
      <c r="C1170" s="61"/>
      <c r="D1170" s="61"/>
      <c r="E1170" s="61"/>
      <c r="F1170" s="61"/>
      <c r="G1170" s="61"/>
      <c r="H1170" s="61"/>
    </row>
    <row r="1171" spans="1:8" x14ac:dyDescent="0.55000000000000004">
      <c r="A1171" s="75" t="s">
        <v>406</v>
      </c>
      <c r="B1171" s="75" t="s">
        <v>406</v>
      </c>
      <c r="C1171" s="61" t="s">
        <v>1422</v>
      </c>
      <c r="D1171" s="63">
        <v>45162</v>
      </c>
      <c r="E1171" s="61" t="s">
        <v>1322</v>
      </c>
      <c r="F1171" s="61" t="s">
        <v>1327</v>
      </c>
      <c r="G1171" s="61"/>
      <c r="H1171" s="61"/>
    </row>
    <row r="1172" spans="1:8" x14ac:dyDescent="0.55000000000000004">
      <c r="A1172" s="61"/>
      <c r="B1172" s="61"/>
      <c r="C1172" s="61"/>
      <c r="D1172" s="61"/>
      <c r="E1172" s="61"/>
      <c r="F1172" s="66" t="s">
        <v>1260</v>
      </c>
      <c r="G1172" s="61"/>
      <c r="H1172" s="61"/>
    </row>
    <row r="1173" spans="1:8" x14ac:dyDescent="0.55000000000000004">
      <c r="A1173" s="61"/>
      <c r="B1173" s="61"/>
      <c r="C1173" s="61"/>
      <c r="D1173" s="61"/>
      <c r="E1173" s="61"/>
      <c r="F1173" s="61" t="s">
        <v>1261</v>
      </c>
      <c r="G1173" s="61"/>
      <c r="H1173" s="61"/>
    </row>
    <row r="1174" spans="1:8" x14ac:dyDescent="0.55000000000000004">
      <c r="A1174" s="61"/>
      <c r="B1174" s="61"/>
      <c r="C1174" s="61"/>
      <c r="D1174" s="61"/>
      <c r="E1174" s="61"/>
      <c r="F1174" s="66" t="s">
        <v>1262</v>
      </c>
      <c r="G1174" s="61"/>
      <c r="H1174" s="61"/>
    </row>
    <row r="1175" spans="1:8" x14ac:dyDescent="0.55000000000000004">
      <c r="A1175" s="61"/>
      <c r="B1175" s="61"/>
      <c r="C1175" s="61"/>
      <c r="D1175" s="61"/>
      <c r="E1175" s="61"/>
      <c r="F1175" s="61" t="s">
        <v>1261</v>
      </c>
      <c r="G1175" s="61"/>
      <c r="H1175" s="61"/>
    </row>
    <row r="1176" spans="1:8" x14ac:dyDescent="0.55000000000000004">
      <c r="A1176" s="61"/>
      <c r="B1176" s="61"/>
      <c r="C1176" s="61"/>
      <c r="D1176" s="61"/>
      <c r="E1176" s="61"/>
      <c r="F1176" s="61"/>
      <c r="G1176" s="61"/>
      <c r="H1176" s="61"/>
    </row>
    <row r="1177" spans="1:8" x14ac:dyDescent="0.55000000000000004">
      <c r="A1177" s="75" t="s">
        <v>387</v>
      </c>
      <c r="B1177" s="75" t="s">
        <v>387</v>
      </c>
      <c r="C1177" s="61" t="s">
        <v>1360</v>
      </c>
      <c r="D1177" s="63">
        <v>45162</v>
      </c>
      <c r="E1177" s="61" t="s">
        <v>1322</v>
      </c>
      <c r="F1177" s="61" t="s">
        <v>1504</v>
      </c>
      <c r="G1177" s="61"/>
      <c r="H1177" s="61"/>
    </row>
    <row r="1178" spans="1:8" x14ac:dyDescent="0.55000000000000004">
      <c r="A1178" s="61"/>
      <c r="B1178" s="61"/>
      <c r="C1178" s="61"/>
      <c r="D1178" s="61"/>
      <c r="E1178" s="61"/>
      <c r="F1178" s="66" t="s">
        <v>1260</v>
      </c>
      <c r="G1178" s="61"/>
      <c r="H1178" s="61"/>
    </row>
    <row r="1179" spans="1:8" x14ac:dyDescent="0.55000000000000004">
      <c r="A1179" s="61"/>
      <c r="B1179" s="61"/>
      <c r="C1179" s="61"/>
      <c r="D1179" s="61"/>
      <c r="E1179" s="61"/>
      <c r="F1179" s="61" t="s">
        <v>1261</v>
      </c>
      <c r="G1179" s="61"/>
      <c r="H1179" s="61"/>
    </row>
    <row r="1180" spans="1:8" x14ac:dyDescent="0.55000000000000004">
      <c r="A1180" s="61"/>
      <c r="B1180" s="61"/>
      <c r="C1180" s="61"/>
      <c r="D1180" s="61"/>
      <c r="E1180" s="61"/>
      <c r="F1180" s="66" t="s">
        <v>1262</v>
      </c>
      <c r="G1180" s="61"/>
      <c r="H1180" s="61"/>
    </row>
    <row r="1181" spans="1:8" x14ac:dyDescent="0.55000000000000004">
      <c r="A1181" s="61"/>
      <c r="B1181" s="61"/>
      <c r="C1181" s="61"/>
      <c r="D1181" s="61"/>
      <c r="E1181" s="61"/>
      <c r="F1181" s="61" t="s">
        <v>1261</v>
      </c>
      <c r="G1181" s="61"/>
      <c r="H1181" s="61"/>
    </row>
    <row r="1182" spans="1:8" x14ac:dyDescent="0.55000000000000004">
      <c r="A1182" s="61"/>
      <c r="B1182" s="61"/>
      <c r="C1182" s="61"/>
      <c r="D1182" s="61"/>
      <c r="E1182" s="61"/>
      <c r="F1182" s="61"/>
      <c r="G1182" s="61"/>
      <c r="H1182" s="61"/>
    </row>
    <row r="1183" spans="1:8" x14ac:dyDescent="0.55000000000000004">
      <c r="A1183" s="101" t="s">
        <v>2074</v>
      </c>
      <c r="B1183" s="101" t="s">
        <v>2074</v>
      </c>
      <c r="C1183" s="61" t="s">
        <v>1360</v>
      </c>
      <c r="D1183" s="63">
        <v>45173</v>
      </c>
      <c r="E1183" s="61" t="s">
        <v>1322</v>
      </c>
      <c r="F1183" s="61" t="s">
        <v>1504</v>
      </c>
      <c r="G1183" s="61"/>
      <c r="H1183" s="61"/>
    </row>
    <row r="1184" spans="1:8" x14ac:dyDescent="0.55000000000000004">
      <c r="A1184" s="61"/>
      <c r="B1184" s="61"/>
      <c r="C1184" s="61"/>
      <c r="D1184" s="61"/>
      <c r="E1184" s="61"/>
      <c r="F1184" s="66" t="s">
        <v>1260</v>
      </c>
      <c r="G1184" s="61"/>
      <c r="H1184" s="61"/>
    </row>
    <row r="1185" spans="1:8" x14ac:dyDescent="0.55000000000000004">
      <c r="A1185" s="61"/>
      <c r="B1185" s="61"/>
      <c r="C1185" s="61"/>
      <c r="D1185" s="61"/>
      <c r="E1185" s="61"/>
      <c r="F1185" s="61" t="s">
        <v>1261</v>
      </c>
      <c r="G1185" s="61"/>
      <c r="H1185" s="61"/>
    </row>
    <row r="1186" spans="1:8" x14ac:dyDescent="0.55000000000000004">
      <c r="A1186" s="61"/>
      <c r="B1186" s="61"/>
      <c r="C1186" s="61"/>
      <c r="D1186" s="61"/>
      <c r="E1186" s="61"/>
      <c r="F1186" s="66" t="s">
        <v>1262</v>
      </c>
      <c r="G1186" s="61"/>
      <c r="H1186" s="61"/>
    </row>
    <row r="1187" spans="1:8" x14ac:dyDescent="0.55000000000000004">
      <c r="A1187" s="61"/>
      <c r="B1187" s="61"/>
      <c r="C1187" s="61"/>
      <c r="D1187" s="61"/>
      <c r="E1187" s="61"/>
      <c r="F1187" s="61" t="s">
        <v>1261</v>
      </c>
      <c r="G1187" s="61"/>
      <c r="H1187" s="61"/>
    </row>
    <row r="1188" spans="1:8" x14ac:dyDescent="0.55000000000000004">
      <c r="A1188" s="61"/>
      <c r="B1188" s="61"/>
      <c r="C1188" s="61"/>
      <c r="D1188" s="61"/>
      <c r="E1188" s="61"/>
      <c r="F1188" s="61"/>
      <c r="G1188" s="61"/>
      <c r="H1188" s="61"/>
    </row>
    <row r="1189" spans="1:8" x14ac:dyDescent="0.55000000000000004">
      <c r="A1189" s="101" t="s">
        <v>2075</v>
      </c>
      <c r="B1189" s="101" t="s">
        <v>2075</v>
      </c>
      <c r="C1189" s="61" t="s">
        <v>1360</v>
      </c>
      <c r="D1189" s="63">
        <v>45173</v>
      </c>
      <c r="E1189" s="61" t="s">
        <v>1322</v>
      </c>
      <c r="F1189" s="61" t="s">
        <v>1504</v>
      </c>
      <c r="G1189" s="61"/>
      <c r="H1189" s="61"/>
    </row>
    <row r="1190" spans="1:8" x14ac:dyDescent="0.55000000000000004">
      <c r="A1190" s="61"/>
      <c r="B1190" s="61"/>
      <c r="C1190" s="61"/>
      <c r="D1190" s="61"/>
      <c r="E1190" s="61"/>
      <c r="F1190" s="66" t="s">
        <v>1260</v>
      </c>
      <c r="G1190" s="61"/>
      <c r="H1190" s="61"/>
    </row>
    <row r="1191" spans="1:8" x14ac:dyDescent="0.55000000000000004">
      <c r="A1191" s="61"/>
      <c r="B1191" s="61"/>
      <c r="C1191" s="61"/>
      <c r="D1191" s="61"/>
      <c r="E1191" s="61"/>
      <c r="F1191" s="61" t="s">
        <v>1261</v>
      </c>
      <c r="G1191" s="61"/>
      <c r="H1191" s="61"/>
    </row>
    <row r="1192" spans="1:8" x14ac:dyDescent="0.55000000000000004">
      <c r="A1192" s="61"/>
      <c r="B1192" s="61"/>
      <c r="C1192" s="61"/>
      <c r="D1192" s="61"/>
      <c r="E1192" s="61"/>
      <c r="F1192" s="66" t="s">
        <v>1262</v>
      </c>
      <c r="G1192" s="61"/>
      <c r="H1192" s="61"/>
    </row>
    <row r="1193" spans="1:8" x14ac:dyDescent="0.55000000000000004">
      <c r="A1193" s="61"/>
      <c r="B1193" s="61"/>
      <c r="C1193" s="61"/>
      <c r="D1193" s="61"/>
      <c r="E1193" s="61"/>
      <c r="F1193" s="61" t="s">
        <v>1261</v>
      </c>
      <c r="G1193" s="61"/>
      <c r="H1193" s="61"/>
    </row>
    <row r="1194" spans="1:8" x14ac:dyDescent="0.55000000000000004">
      <c r="A1194" s="61"/>
      <c r="B1194" s="61"/>
      <c r="C1194" s="61"/>
      <c r="D1194" s="61"/>
      <c r="E1194" s="61"/>
      <c r="F1194" s="61"/>
      <c r="G1194" s="61"/>
      <c r="H1194" s="61"/>
    </row>
    <row r="1195" spans="1:8" x14ac:dyDescent="0.55000000000000004">
      <c r="A1195" s="101" t="s">
        <v>2076</v>
      </c>
      <c r="B1195" s="101" t="s">
        <v>2076</v>
      </c>
      <c r="C1195" s="61" t="s">
        <v>1360</v>
      </c>
      <c r="D1195" s="63">
        <v>45173</v>
      </c>
      <c r="E1195" s="61" t="s">
        <v>1322</v>
      </c>
      <c r="F1195" s="61" t="s">
        <v>1506</v>
      </c>
      <c r="G1195" s="61"/>
      <c r="H1195" s="61"/>
    </row>
    <row r="1196" spans="1:8" x14ac:dyDescent="0.55000000000000004">
      <c r="A1196" s="61"/>
      <c r="B1196" s="61"/>
      <c r="C1196" s="61"/>
      <c r="D1196" s="61"/>
      <c r="E1196" s="61"/>
      <c r="F1196" s="66" t="s">
        <v>1260</v>
      </c>
      <c r="G1196" s="61"/>
      <c r="H1196" s="61"/>
    </row>
    <row r="1197" spans="1:8" x14ac:dyDescent="0.55000000000000004">
      <c r="A1197" s="61"/>
      <c r="B1197" s="61"/>
      <c r="C1197" s="61"/>
      <c r="D1197" s="61"/>
      <c r="E1197" s="61"/>
      <c r="F1197" s="61" t="s">
        <v>1261</v>
      </c>
      <c r="G1197" s="61"/>
      <c r="H1197" s="61"/>
    </row>
    <row r="1198" spans="1:8" x14ac:dyDescent="0.55000000000000004">
      <c r="A1198" s="61"/>
      <c r="B1198" s="61"/>
      <c r="C1198" s="61"/>
      <c r="D1198" s="61"/>
      <c r="E1198" s="61"/>
      <c r="F1198" s="66" t="s">
        <v>1262</v>
      </c>
      <c r="G1198" s="61"/>
      <c r="H1198" s="61"/>
    </row>
    <row r="1199" spans="1:8" x14ac:dyDescent="0.55000000000000004">
      <c r="A1199" s="61"/>
      <c r="B1199" s="61"/>
      <c r="C1199" s="61"/>
      <c r="D1199" s="61"/>
      <c r="E1199" s="61"/>
      <c r="F1199" s="61" t="s">
        <v>1261</v>
      </c>
      <c r="G1199" s="61"/>
      <c r="H1199" s="61"/>
    </row>
    <row r="1200" spans="1:8" x14ac:dyDescent="0.55000000000000004">
      <c r="A1200" s="61"/>
      <c r="B1200" s="61"/>
      <c r="C1200" s="61"/>
      <c r="D1200" s="61"/>
      <c r="E1200" s="61"/>
      <c r="F1200" s="61"/>
      <c r="G1200" s="61"/>
      <c r="H1200" s="61"/>
    </row>
    <row r="1201" spans="1:8" x14ac:dyDescent="0.55000000000000004">
      <c r="A1201" s="101" t="s">
        <v>2077</v>
      </c>
      <c r="B1201" s="101" t="s">
        <v>2077</v>
      </c>
      <c r="C1201" s="61" t="s">
        <v>1360</v>
      </c>
      <c r="D1201" s="63">
        <v>45173</v>
      </c>
      <c r="E1201" s="61" t="s">
        <v>1322</v>
      </c>
      <c r="F1201" s="61" t="s">
        <v>1506</v>
      </c>
      <c r="G1201" s="61"/>
      <c r="H1201" s="61"/>
    </row>
    <row r="1202" spans="1:8" x14ac:dyDescent="0.55000000000000004">
      <c r="A1202" s="61"/>
      <c r="B1202" s="61"/>
      <c r="C1202" s="61"/>
      <c r="D1202" s="61"/>
      <c r="E1202" s="61"/>
      <c r="F1202" s="66" t="s">
        <v>1260</v>
      </c>
      <c r="G1202" s="61"/>
      <c r="H1202" s="61"/>
    </row>
    <row r="1203" spans="1:8" x14ac:dyDescent="0.55000000000000004">
      <c r="A1203" s="61"/>
      <c r="B1203" s="61"/>
      <c r="C1203" s="61"/>
      <c r="D1203" s="61"/>
      <c r="E1203" s="61"/>
      <c r="F1203" s="61" t="s">
        <v>1261</v>
      </c>
      <c r="G1203" s="61"/>
      <c r="H1203" s="61"/>
    </row>
    <row r="1204" spans="1:8" x14ac:dyDescent="0.55000000000000004">
      <c r="A1204" s="61"/>
      <c r="B1204" s="61"/>
      <c r="C1204" s="61"/>
      <c r="D1204" s="61"/>
      <c r="E1204" s="61"/>
      <c r="F1204" s="66" t="s">
        <v>1262</v>
      </c>
      <c r="G1204" s="61"/>
      <c r="H1204" s="61"/>
    </row>
    <row r="1205" spans="1:8" x14ac:dyDescent="0.55000000000000004">
      <c r="A1205" s="61"/>
      <c r="B1205" s="61"/>
      <c r="C1205" s="61"/>
      <c r="D1205" s="61"/>
      <c r="E1205" s="61"/>
      <c r="F1205" s="61" t="s">
        <v>1261</v>
      </c>
      <c r="G1205" s="61"/>
      <c r="H1205" s="61"/>
    </row>
    <row r="1206" spans="1:8" x14ac:dyDescent="0.55000000000000004">
      <c r="A1206" s="61"/>
      <c r="B1206" s="61"/>
      <c r="C1206" s="61"/>
      <c r="D1206" s="61"/>
      <c r="E1206" s="61"/>
      <c r="F1206" s="61"/>
      <c r="G1206" s="61"/>
      <c r="H1206" s="61"/>
    </row>
    <row r="1207" spans="1:8" x14ac:dyDescent="0.55000000000000004">
      <c r="A1207" s="101" t="s">
        <v>2078</v>
      </c>
      <c r="B1207" s="101" t="s">
        <v>2078</v>
      </c>
      <c r="C1207" s="61" t="s">
        <v>1360</v>
      </c>
      <c r="D1207" s="63">
        <v>45173</v>
      </c>
      <c r="E1207" s="61" t="s">
        <v>1322</v>
      </c>
      <c r="F1207" s="61" t="s">
        <v>1504</v>
      </c>
      <c r="G1207" s="61"/>
      <c r="H1207" s="61"/>
    </row>
    <row r="1208" spans="1:8" x14ac:dyDescent="0.55000000000000004">
      <c r="A1208" s="61"/>
      <c r="B1208" s="61"/>
      <c r="C1208" s="61"/>
      <c r="D1208" s="61"/>
      <c r="E1208" s="61"/>
      <c r="F1208" s="66" t="s">
        <v>1260</v>
      </c>
      <c r="G1208" s="61"/>
      <c r="H1208" s="61"/>
    </row>
    <row r="1209" spans="1:8" x14ac:dyDescent="0.55000000000000004">
      <c r="A1209" s="61"/>
      <c r="B1209" s="61"/>
      <c r="C1209" s="61"/>
      <c r="D1209" s="61"/>
      <c r="E1209" s="61"/>
      <c r="F1209" s="61" t="s">
        <v>1261</v>
      </c>
      <c r="G1209" s="61"/>
      <c r="H1209" s="61"/>
    </row>
    <row r="1210" spans="1:8" x14ac:dyDescent="0.55000000000000004">
      <c r="A1210" s="61"/>
      <c r="B1210" s="61"/>
      <c r="C1210" s="61"/>
      <c r="D1210" s="61"/>
      <c r="E1210" s="61"/>
      <c r="F1210" s="66" t="s">
        <v>1262</v>
      </c>
      <c r="G1210" s="61"/>
      <c r="H1210" s="61"/>
    </row>
    <row r="1211" spans="1:8" x14ac:dyDescent="0.55000000000000004">
      <c r="A1211" s="61"/>
      <c r="B1211" s="61"/>
      <c r="C1211" s="61"/>
      <c r="D1211" s="61"/>
      <c r="E1211" s="61"/>
      <c r="F1211" s="61" t="s">
        <v>1261</v>
      </c>
      <c r="G1211" s="61"/>
      <c r="H1211" s="61"/>
    </row>
    <row r="1212" spans="1:8" x14ac:dyDescent="0.55000000000000004">
      <c r="A1212" s="61"/>
      <c r="B1212" s="61"/>
      <c r="C1212" s="61"/>
      <c r="D1212" s="61"/>
      <c r="E1212" s="61"/>
      <c r="F1212" s="61"/>
      <c r="G1212" s="61"/>
      <c r="H1212" s="61"/>
    </row>
    <row r="1213" spans="1:8" x14ac:dyDescent="0.55000000000000004">
      <c r="A1213" s="101" t="s">
        <v>483</v>
      </c>
      <c r="B1213" s="101" t="s">
        <v>483</v>
      </c>
      <c r="C1213" s="61" t="s">
        <v>1360</v>
      </c>
      <c r="D1213" s="63">
        <v>45173</v>
      </c>
      <c r="E1213" s="61" t="s">
        <v>1322</v>
      </c>
      <c r="F1213" s="61" t="s">
        <v>1504</v>
      </c>
      <c r="G1213" s="61"/>
      <c r="H1213" s="61"/>
    </row>
    <row r="1214" spans="1:8" x14ac:dyDescent="0.55000000000000004">
      <c r="A1214" s="61"/>
      <c r="B1214" s="61"/>
      <c r="C1214" s="61"/>
      <c r="D1214" s="61"/>
      <c r="E1214" s="61"/>
      <c r="F1214" s="66" t="s">
        <v>1260</v>
      </c>
      <c r="G1214" s="61"/>
      <c r="H1214" s="61"/>
    </row>
    <row r="1215" spans="1:8" x14ac:dyDescent="0.55000000000000004">
      <c r="A1215" s="61"/>
      <c r="B1215" s="61"/>
      <c r="C1215" s="61"/>
      <c r="D1215" s="61"/>
      <c r="E1215" s="61"/>
      <c r="F1215" s="61" t="s">
        <v>1261</v>
      </c>
      <c r="G1215" s="61"/>
      <c r="H1215" s="61"/>
    </row>
    <row r="1216" spans="1:8" x14ac:dyDescent="0.55000000000000004">
      <c r="A1216" s="61"/>
      <c r="B1216" s="61"/>
      <c r="C1216" s="61"/>
      <c r="D1216" s="61"/>
      <c r="E1216" s="61"/>
      <c r="F1216" s="66" t="s">
        <v>1262</v>
      </c>
      <c r="G1216" s="61"/>
      <c r="H1216" s="61"/>
    </row>
    <row r="1217" spans="1:8" x14ac:dyDescent="0.55000000000000004">
      <c r="A1217" s="61"/>
      <c r="B1217" s="61"/>
      <c r="C1217" s="61"/>
      <c r="D1217" s="61"/>
      <c r="E1217" s="61"/>
      <c r="F1217" s="61" t="s">
        <v>1261</v>
      </c>
      <c r="G1217" s="61"/>
      <c r="H1217" s="61"/>
    </row>
    <row r="1218" spans="1:8" x14ac:dyDescent="0.55000000000000004">
      <c r="A1218" s="61"/>
      <c r="B1218" s="61"/>
      <c r="C1218" s="61"/>
      <c r="D1218" s="61"/>
      <c r="E1218" s="61"/>
      <c r="F1218" s="61"/>
      <c r="G1218" s="61"/>
      <c r="H1218" s="61"/>
    </row>
    <row r="1219" spans="1:8" x14ac:dyDescent="0.55000000000000004">
      <c r="A1219" s="101" t="s">
        <v>2079</v>
      </c>
      <c r="B1219" s="101" t="s">
        <v>2079</v>
      </c>
      <c r="C1219" s="61" t="s">
        <v>1360</v>
      </c>
      <c r="D1219" s="63">
        <v>45173</v>
      </c>
      <c r="E1219" s="61" t="s">
        <v>1322</v>
      </c>
      <c r="F1219" s="61" t="s">
        <v>1506</v>
      </c>
      <c r="G1219" s="61"/>
      <c r="H1219" s="61"/>
    </row>
    <row r="1220" spans="1:8" x14ac:dyDescent="0.55000000000000004">
      <c r="A1220" s="61"/>
      <c r="B1220" s="61"/>
      <c r="C1220" s="61"/>
      <c r="D1220" s="61"/>
      <c r="E1220" s="61"/>
      <c r="F1220" s="66" t="s">
        <v>1260</v>
      </c>
      <c r="G1220" s="61"/>
      <c r="H1220" s="61"/>
    </row>
    <row r="1221" spans="1:8" x14ac:dyDescent="0.55000000000000004">
      <c r="A1221" s="61"/>
      <c r="B1221" s="61"/>
      <c r="C1221" s="61"/>
      <c r="D1221" s="61"/>
      <c r="E1221" s="61"/>
      <c r="F1221" s="61" t="s">
        <v>1261</v>
      </c>
      <c r="G1221" s="61"/>
      <c r="H1221" s="61"/>
    </row>
    <row r="1222" spans="1:8" x14ac:dyDescent="0.55000000000000004">
      <c r="A1222" s="61"/>
      <c r="B1222" s="61"/>
      <c r="C1222" s="61"/>
      <c r="D1222" s="61"/>
      <c r="E1222" s="61"/>
      <c r="F1222" s="66" t="s">
        <v>1262</v>
      </c>
      <c r="G1222" s="61"/>
      <c r="H1222" s="61"/>
    </row>
    <row r="1223" spans="1:8" x14ac:dyDescent="0.55000000000000004">
      <c r="A1223" s="61"/>
      <c r="B1223" s="61"/>
      <c r="C1223" s="61"/>
      <c r="D1223" s="61"/>
      <c r="E1223" s="61"/>
      <c r="F1223" s="61" t="s">
        <v>1261</v>
      </c>
      <c r="G1223" s="61"/>
      <c r="H1223" s="61"/>
    </row>
    <row r="1224" spans="1:8" x14ac:dyDescent="0.55000000000000004">
      <c r="A1224" s="61"/>
      <c r="B1224" s="61"/>
      <c r="C1224" s="61"/>
      <c r="D1224" s="61"/>
      <c r="E1224" s="61"/>
      <c r="F1224" s="61"/>
      <c r="G1224" s="61"/>
      <c r="H1224" s="61"/>
    </row>
    <row r="1225" spans="1:8" x14ac:dyDescent="0.55000000000000004">
      <c r="A1225" s="101" t="s">
        <v>2080</v>
      </c>
      <c r="B1225" s="101" t="s">
        <v>2080</v>
      </c>
      <c r="C1225" s="61" t="s">
        <v>1360</v>
      </c>
      <c r="D1225" s="63">
        <v>45173</v>
      </c>
      <c r="E1225" s="61" t="s">
        <v>1322</v>
      </c>
      <c r="F1225" s="61" t="s">
        <v>1506</v>
      </c>
      <c r="G1225" s="61"/>
      <c r="H1225" s="61"/>
    </row>
    <row r="1226" spans="1:8" x14ac:dyDescent="0.55000000000000004">
      <c r="A1226" s="61"/>
      <c r="B1226" s="61"/>
      <c r="C1226" s="61"/>
      <c r="D1226" s="61"/>
      <c r="E1226" s="61"/>
      <c r="F1226" s="66" t="s">
        <v>1260</v>
      </c>
      <c r="G1226" s="61"/>
      <c r="H1226" s="61"/>
    </row>
    <row r="1227" spans="1:8" x14ac:dyDescent="0.55000000000000004">
      <c r="A1227" s="61"/>
      <c r="B1227" s="61"/>
      <c r="C1227" s="61"/>
      <c r="D1227" s="61"/>
      <c r="E1227" s="61"/>
      <c r="F1227" s="61" t="s">
        <v>1261</v>
      </c>
      <c r="G1227" s="61"/>
      <c r="H1227" s="61"/>
    </row>
    <row r="1228" spans="1:8" x14ac:dyDescent="0.55000000000000004">
      <c r="A1228" s="61"/>
      <c r="B1228" s="61"/>
      <c r="C1228" s="61"/>
      <c r="D1228" s="61"/>
      <c r="E1228" s="61"/>
      <c r="F1228" s="66" t="s">
        <v>1262</v>
      </c>
      <c r="G1228" s="61"/>
      <c r="H1228" s="61"/>
    </row>
    <row r="1229" spans="1:8" x14ac:dyDescent="0.55000000000000004">
      <c r="A1229" s="61"/>
      <c r="B1229" s="61"/>
      <c r="C1229" s="61"/>
      <c r="D1229" s="61"/>
      <c r="E1229" s="61"/>
      <c r="F1229" s="61" t="s">
        <v>1261</v>
      </c>
      <c r="G1229" s="61"/>
      <c r="H1229" s="61"/>
    </row>
    <row r="1230" spans="1:8" x14ac:dyDescent="0.55000000000000004">
      <c r="A1230" s="61"/>
      <c r="B1230" s="61"/>
      <c r="C1230" s="61"/>
      <c r="D1230" s="61"/>
      <c r="E1230" s="61"/>
      <c r="F1230" s="61"/>
      <c r="G1230" s="61"/>
      <c r="H1230" s="61"/>
    </row>
    <row r="1231" spans="1:8" x14ac:dyDescent="0.55000000000000004">
      <c r="A1231" s="101" t="s">
        <v>2081</v>
      </c>
      <c r="B1231" s="101" t="s">
        <v>2081</v>
      </c>
      <c r="C1231" s="61" t="s">
        <v>1386</v>
      </c>
      <c r="D1231" s="63">
        <v>45173</v>
      </c>
      <c r="E1231" s="61" t="s">
        <v>1322</v>
      </c>
      <c r="F1231" s="61" t="s">
        <v>1504</v>
      </c>
      <c r="G1231" s="61"/>
      <c r="H1231" s="61"/>
    </row>
    <row r="1232" spans="1:8" x14ac:dyDescent="0.55000000000000004">
      <c r="A1232" s="61"/>
      <c r="B1232" s="61"/>
      <c r="C1232" s="61"/>
      <c r="D1232" s="61"/>
      <c r="E1232" s="61"/>
      <c r="F1232" s="66" t="s">
        <v>1260</v>
      </c>
      <c r="G1232" s="61"/>
      <c r="H1232" s="61"/>
    </row>
    <row r="1233" spans="1:8" x14ac:dyDescent="0.55000000000000004">
      <c r="A1233" s="61"/>
      <c r="B1233" s="61"/>
      <c r="C1233" s="61"/>
      <c r="D1233" s="61"/>
      <c r="E1233" s="61"/>
      <c r="F1233" s="61" t="s">
        <v>1261</v>
      </c>
      <c r="G1233" s="61"/>
      <c r="H1233" s="61"/>
    </row>
    <row r="1234" spans="1:8" x14ac:dyDescent="0.55000000000000004">
      <c r="A1234" s="61"/>
      <c r="B1234" s="61"/>
      <c r="C1234" s="61"/>
      <c r="D1234" s="61"/>
      <c r="E1234" s="61"/>
      <c r="F1234" s="66" t="s">
        <v>1262</v>
      </c>
      <c r="G1234" s="61"/>
      <c r="H1234" s="61"/>
    </row>
    <row r="1235" spans="1:8" x14ac:dyDescent="0.55000000000000004">
      <c r="A1235" s="61"/>
      <c r="B1235" s="61"/>
      <c r="C1235" s="61"/>
      <c r="D1235" s="61"/>
      <c r="E1235" s="61"/>
      <c r="F1235" s="61" t="s">
        <v>1261</v>
      </c>
      <c r="G1235" s="61"/>
      <c r="H1235" s="61"/>
    </row>
    <row r="1236" spans="1:8" x14ac:dyDescent="0.55000000000000004">
      <c r="A1236" s="61"/>
      <c r="B1236" s="61"/>
      <c r="C1236" s="61"/>
      <c r="D1236" s="61"/>
      <c r="E1236" s="61"/>
      <c r="F1236" s="61"/>
      <c r="G1236" s="61"/>
      <c r="H1236" s="61"/>
    </row>
    <row r="1237" spans="1:8" x14ac:dyDescent="0.55000000000000004">
      <c r="A1237" s="96" t="s">
        <v>443</v>
      </c>
      <c r="B1237" s="96" t="s">
        <v>443</v>
      </c>
      <c r="C1237" s="61" t="s">
        <v>1386</v>
      </c>
      <c r="D1237" s="63">
        <v>45173</v>
      </c>
      <c r="E1237" s="61" t="s">
        <v>1322</v>
      </c>
      <c r="F1237" s="61" t="s">
        <v>1504</v>
      </c>
      <c r="G1237" s="61"/>
      <c r="H1237" s="61"/>
    </row>
    <row r="1238" spans="1:8" x14ac:dyDescent="0.55000000000000004">
      <c r="A1238" s="61"/>
      <c r="B1238" s="61"/>
      <c r="C1238" s="61"/>
      <c r="D1238" s="61"/>
      <c r="E1238" s="61"/>
      <c r="F1238" s="66" t="s">
        <v>1260</v>
      </c>
      <c r="G1238" s="61"/>
      <c r="H1238" s="61"/>
    </row>
    <row r="1239" spans="1:8" x14ac:dyDescent="0.55000000000000004">
      <c r="A1239" s="61"/>
      <c r="B1239" s="61"/>
      <c r="C1239" s="61"/>
      <c r="D1239" s="61"/>
      <c r="E1239" s="61"/>
      <c r="F1239" s="61" t="s">
        <v>1261</v>
      </c>
      <c r="G1239" s="61"/>
      <c r="H1239" s="61"/>
    </row>
    <row r="1240" spans="1:8" x14ac:dyDescent="0.55000000000000004">
      <c r="A1240" s="61"/>
      <c r="B1240" s="61"/>
      <c r="C1240" s="61"/>
      <c r="D1240" s="61"/>
      <c r="E1240" s="61"/>
      <c r="F1240" s="66" t="s">
        <v>1262</v>
      </c>
      <c r="G1240" s="61"/>
      <c r="H1240" s="61"/>
    </row>
    <row r="1241" spans="1:8" x14ac:dyDescent="0.55000000000000004">
      <c r="A1241" s="61"/>
      <c r="B1241" s="61"/>
      <c r="C1241" s="61"/>
      <c r="D1241" s="61"/>
      <c r="E1241" s="61"/>
      <c r="F1241" s="61" t="s">
        <v>1261</v>
      </c>
      <c r="G1241" s="61"/>
      <c r="H1241" s="61"/>
    </row>
    <row r="1242" spans="1:8" x14ac:dyDescent="0.55000000000000004">
      <c r="A1242" s="61"/>
      <c r="B1242" s="61"/>
      <c r="C1242" s="61"/>
      <c r="D1242" s="61"/>
      <c r="E1242" s="61"/>
      <c r="F1242" s="61"/>
      <c r="G1242" s="61"/>
      <c r="H1242" s="61"/>
    </row>
    <row r="1243" spans="1:8" x14ac:dyDescent="0.55000000000000004">
      <c r="A1243" s="96" t="s">
        <v>442</v>
      </c>
      <c r="B1243" s="96" t="s">
        <v>442</v>
      </c>
      <c r="C1243" s="61" t="s">
        <v>1386</v>
      </c>
      <c r="D1243" s="63">
        <v>45173</v>
      </c>
      <c r="E1243" s="61" t="s">
        <v>1322</v>
      </c>
      <c r="F1243" s="61" t="s">
        <v>1506</v>
      </c>
      <c r="G1243" s="61"/>
      <c r="H1243" s="61"/>
    </row>
    <row r="1244" spans="1:8" x14ac:dyDescent="0.55000000000000004">
      <c r="A1244" s="61"/>
      <c r="B1244" s="61"/>
      <c r="C1244" s="61"/>
      <c r="D1244" s="61"/>
      <c r="E1244" s="61"/>
      <c r="F1244" s="66" t="s">
        <v>1260</v>
      </c>
      <c r="G1244" s="61"/>
      <c r="H1244" s="61"/>
    </row>
    <row r="1245" spans="1:8" x14ac:dyDescent="0.55000000000000004">
      <c r="A1245" s="61"/>
      <c r="B1245" s="61"/>
      <c r="C1245" s="61"/>
      <c r="D1245" s="61"/>
      <c r="E1245" s="61"/>
      <c r="F1245" s="61" t="s">
        <v>1261</v>
      </c>
      <c r="G1245" s="61"/>
      <c r="H1245" s="61"/>
    </row>
    <row r="1246" spans="1:8" x14ac:dyDescent="0.55000000000000004">
      <c r="A1246" s="61"/>
      <c r="B1246" s="61"/>
      <c r="C1246" s="61"/>
      <c r="D1246" s="61"/>
      <c r="E1246" s="61"/>
      <c r="F1246" s="66" t="s">
        <v>1262</v>
      </c>
      <c r="G1246" s="61"/>
      <c r="H1246" s="61"/>
    </row>
    <row r="1247" spans="1:8" x14ac:dyDescent="0.55000000000000004">
      <c r="A1247" s="61"/>
      <c r="B1247" s="61"/>
      <c r="C1247" s="61"/>
      <c r="D1247" s="61"/>
      <c r="E1247" s="61"/>
      <c r="F1247" s="61" t="s">
        <v>1261</v>
      </c>
      <c r="G1247" s="61"/>
      <c r="H1247" s="61"/>
    </row>
    <row r="1248" spans="1:8" x14ac:dyDescent="0.55000000000000004">
      <c r="A1248" s="61"/>
      <c r="B1248" s="61"/>
      <c r="C1248" s="61"/>
      <c r="D1248" s="61"/>
      <c r="E1248" s="61"/>
      <c r="F1248" s="61"/>
      <c r="G1248" s="61"/>
      <c r="H1248" s="61"/>
    </row>
    <row r="1249" spans="1:8" x14ac:dyDescent="0.55000000000000004">
      <c r="A1249" s="96" t="s">
        <v>439</v>
      </c>
      <c r="B1249" s="96" t="s">
        <v>439</v>
      </c>
      <c r="C1249" s="61" t="s">
        <v>1386</v>
      </c>
      <c r="D1249" s="63">
        <v>45173</v>
      </c>
      <c r="E1249" s="61" t="s">
        <v>1322</v>
      </c>
      <c r="F1249" s="61" t="s">
        <v>1506</v>
      </c>
      <c r="G1249" s="61"/>
      <c r="H1249" s="61"/>
    </row>
    <row r="1250" spans="1:8" x14ac:dyDescent="0.55000000000000004">
      <c r="A1250" s="61"/>
      <c r="B1250" s="61"/>
      <c r="C1250" s="61"/>
      <c r="D1250" s="61"/>
      <c r="E1250" s="61"/>
      <c r="F1250" s="66" t="s">
        <v>1260</v>
      </c>
      <c r="G1250" s="61"/>
      <c r="H1250" s="61"/>
    </row>
    <row r="1251" spans="1:8" x14ac:dyDescent="0.55000000000000004">
      <c r="A1251" s="61"/>
      <c r="B1251" s="61"/>
      <c r="C1251" s="61"/>
      <c r="D1251" s="61"/>
      <c r="E1251" s="61"/>
      <c r="F1251" s="61" t="s">
        <v>1261</v>
      </c>
      <c r="G1251" s="61"/>
      <c r="H1251" s="61"/>
    </row>
    <row r="1252" spans="1:8" x14ac:dyDescent="0.55000000000000004">
      <c r="A1252" s="61"/>
      <c r="B1252" s="61"/>
      <c r="C1252" s="61"/>
      <c r="D1252" s="61"/>
      <c r="E1252" s="61"/>
      <c r="F1252" s="66" t="s">
        <v>1262</v>
      </c>
      <c r="G1252" s="61"/>
      <c r="H1252" s="61"/>
    </row>
    <row r="1253" spans="1:8" x14ac:dyDescent="0.55000000000000004">
      <c r="A1253" s="61"/>
      <c r="B1253" s="61"/>
      <c r="C1253" s="61"/>
      <c r="D1253" s="61"/>
      <c r="E1253" s="61"/>
      <c r="F1253" s="61" t="s">
        <v>1261</v>
      </c>
      <c r="G1253" s="61"/>
      <c r="H1253" s="61"/>
    </row>
    <row r="1254" spans="1:8" x14ac:dyDescent="0.55000000000000004">
      <c r="A1254" s="61"/>
      <c r="B1254" s="61"/>
      <c r="C1254" s="61"/>
      <c r="D1254" s="61"/>
      <c r="E1254" s="61"/>
      <c r="F1254" s="61"/>
      <c r="G1254" s="61"/>
      <c r="H1254" s="61"/>
    </row>
    <row r="1255" spans="1:8" x14ac:dyDescent="0.55000000000000004">
      <c r="A1255" s="96" t="s">
        <v>438</v>
      </c>
      <c r="B1255" s="96" t="s">
        <v>438</v>
      </c>
      <c r="C1255" s="61" t="s">
        <v>1386</v>
      </c>
      <c r="D1255" s="63">
        <v>45173</v>
      </c>
      <c r="E1255" s="61" t="s">
        <v>1322</v>
      </c>
      <c r="F1255" s="61" t="s">
        <v>1504</v>
      </c>
      <c r="G1255" s="61"/>
      <c r="H1255" s="61"/>
    </row>
    <row r="1256" spans="1:8" x14ac:dyDescent="0.55000000000000004">
      <c r="A1256" s="61"/>
      <c r="B1256" s="61"/>
      <c r="C1256" s="61"/>
      <c r="D1256" s="61"/>
      <c r="E1256" s="61"/>
      <c r="F1256" s="66" t="s">
        <v>1260</v>
      </c>
      <c r="G1256" s="61"/>
      <c r="H1256" s="61"/>
    </row>
    <row r="1257" spans="1:8" x14ac:dyDescent="0.55000000000000004">
      <c r="A1257" s="61"/>
      <c r="B1257" s="61"/>
      <c r="C1257" s="61"/>
      <c r="D1257" s="61"/>
      <c r="E1257" s="61"/>
      <c r="F1257" s="61" t="s">
        <v>1261</v>
      </c>
      <c r="G1257" s="61"/>
      <c r="H1257" s="61"/>
    </row>
    <row r="1258" spans="1:8" x14ac:dyDescent="0.55000000000000004">
      <c r="A1258" s="61"/>
      <c r="B1258" s="61"/>
      <c r="C1258" s="61"/>
      <c r="D1258" s="61"/>
      <c r="E1258" s="61"/>
      <c r="F1258" s="66" t="s">
        <v>1262</v>
      </c>
      <c r="G1258" s="61"/>
      <c r="H1258" s="61"/>
    </row>
    <row r="1259" spans="1:8" x14ac:dyDescent="0.55000000000000004">
      <c r="A1259" s="61"/>
      <c r="B1259" s="61"/>
      <c r="C1259" s="61"/>
      <c r="D1259" s="61"/>
      <c r="E1259" s="61"/>
      <c r="F1259" s="61" t="s">
        <v>1261</v>
      </c>
      <c r="G1259" s="61"/>
      <c r="H1259" s="61"/>
    </row>
    <row r="1260" spans="1:8" x14ac:dyDescent="0.55000000000000004">
      <c r="A1260" s="61"/>
      <c r="B1260" s="61"/>
      <c r="C1260" s="61"/>
      <c r="D1260" s="61"/>
      <c r="E1260" s="61"/>
      <c r="F1260" s="61"/>
      <c r="G1260" s="61"/>
      <c r="H1260" s="61"/>
    </row>
    <row r="1261" spans="1:8" x14ac:dyDescent="0.55000000000000004">
      <c r="A1261" s="96" t="s">
        <v>437</v>
      </c>
      <c r="B1261" s="96" t="s">
        <v>437</v>
      </c>
      <c r="C1261" s="61" t="s">
        <v>1386</v>
      </c>
      <c r="D1261" s="63">
        <v>45173</v>
      </c>
      <c r="E1261" s="61" t="s">
        <v>1322</v>
      </c>
      <c r="F1261" s="61" t="s">
        <v>1506</v>
      </c>
      <c r="G1261" s="61"/>
      <c r="H1261" s="61"/>
    </row>
    <row r="1262" spans="1:8" x14ac:dyDescent="0.55000000000000004">
      <c r="A1262" s="61"/>
      <c r="B1262" s="61"/>
      <c r="C1262" s="61"/>
      <c r="D1262" s="61"/>
      <c r="E1262" s="61"/>
      <c r="F1262" s="66" t="s">
        <v>1260</v>
      </c>
      <c r="G1262" s="61"/>
      <c r="H1262" s="61"/>
    </row>
    <row r="1263" spans="1:8" x14ac:dyDescent="0.55000000000000004">
      <c r="A1263" s="61"/>
      <c r="B1263" s="61"/>
      <c r="C1263" s="61"/>
      <c r="D1263" s="61"/>
      <c r="E1263" s="61"/>
      <c r="F1263" s="61" t="s">
        <v>1261</v>
      </c>
      <c r="G1263" s="61"/>
      <c r="H1263" s="61"/>
    </row>
    <row r="1264" spans="1:8" x14ac:dyDescent="0.55000000000000004">
      <c r="A1264" s="61"/>
      <c r="B1264" s="61"/>
      <c r="C1264" s="61"/>
      <c r="D1264" s="61"/>
      <c r="E1264" s="61"/>
      <c r="F1264" s="66" t="s">
        <v>1262</v>
      </c>
      <c r="G1264" s="61"/>
      <c r="H1264" s="61"/>
    </row>
    <row r="1265" spans="1:8" x14ac:dyDescent="0.55000000000000004">
      <c r="A1265" s="61"/>
      <c r="B1265" s="61"/>
      <c r="C1265" s="61"/>
      <c r="D1265" s="61"/>
      <c r="E1265" s="61"/>
      <c r="F1265" s="61" t="s">
        <v>1261</v>
      </c>
      <c r="G1265" s="61"/>
      <c r="H1265" s="61"/>
    </row>
    <row r="1266" spans="1:8" x14ac:dyDescent="0.55000000000000004">
      <c r="A1266" s="61"/>
      <c r="B1266" s="61"/>
      <c r="C1266" s="61"/>
      <c r="D1266" s="61"/>
      <c r="E1266" s="61"/>
      <c r="F1266" s="61"/>
      <c r="G1266" s="61"/>
      <c r="H1266" s="61"/>
    </row>
    <row r="1267" spans="1:8" x14ac:dyDescent="0.55000000000000004">
      <c r="A1267" s="96" t="s">
        <v>437</v>
      </c>
      <c r="B1267" s="96" t="s">
        <v>437</v>
      </c>
      <c r="C1267" s="61" t="s">
        <v>1386</v>
      </c>
      <c r="D1267" s="63">
        <v>45173</v>
      </c>
      <c r="E1267" s="61" t="s">
        <v>1322</v>
      </c>
      <c r="F1267" s="61" t="s">
        <v>1506</v>
      </c>
      <c r="G1267" s="61"/>
      <c r="H1267" s="61"/>
    </row>
    <row r="1268" spans="1:8" x14ac:dyDescent="0.55000000000000004">
      <c r="A1268" s="61"/>
      <c r="B1268" s="61"/>
      <c r="C1268" s="61"/>
      <c r="D1268" s="61"/>
      <c r="E1268" s="61"/>
      <c r="F1268" s="66" t="s">
        <v>1260</v>
      </c>
      <c r="G1268" s="61"/>
      <c r="H1268" s="61"/>
    </row>
    <row r="1269" spans="1:8" x14ac:dyDescent="0.55000000000000004">
      <c r="A1269" s="61"/>
      <c r="B1269" s="61"/>
      <c r="C1269" s="61"/>
      <c r="D1269" s="61"/>
      <c r="E1269" s="61"/>
      <c r="F1269" s="61" t="s">
        <v>1261</v>
      </c>
      <c r="G1269" s="61"/>
      <c r="H1269" s="61"/>
    </row>
    <row r="1270" spans="1:8" x14ac:dyDescent="0.55000000000000004">
      <c r="A1270" s="61"/>
      <c r="B1270" s="61"/>
      <c r="C1270" s="61"/>
      <c r="D1270" s="61"/>
      <c r="E1270" s="61"/>
      <c r="F1270" s="66" t="s">
        <v>1262</v>
      </c>
      <c r="G1270" s="61"/>
      <c r="H1270" s="61"/>
    </row>
    <row r="1271" spans="1:8" x14ac:dyDescent="0.55000000000000004">
      <c r="A1271" s="61"/>
      <c r="B1271" s="61"/>
      <c r="C1271" s="61"/>
      <c r="D1271" s="61"/>
      <c r="E1271" s="61"/>
      <c r="F1271" s="61" t="s">
        <v>1261</v>
      </c>
      <c r="G1271" s="61"/>
      <c r="H1271" s="61"/>
    </row>
    <row r="1272" spans="1:8" x14ac:dyDescent="0.55000000000000004">
      <c r="A1272" s="61"/>
      <c r="B1272" s="61"/>
      <c r="C1272" s="61"/>
      <c r="D1272" s="61"/>
      <c r="E1272" s="61"/>
      <c r="F1272" s="61"/>
      <c r="G1272" s="61"/>
      <c r="H1272" s="61"/>
    </row>
    <row r="1273" spans="1:8" x14ac:dyDescent="0.55000000000000004">
      <c r="A1273" s="96" t="s">
        <v>432</v>
      </c>
      <c r="B1273" s="96" t="s">
        <v>432</v>
      </c>
      <c r="C1273" s="61" t="s">
        <v>1386</v>
      </c>
      <c r="D1273" s="63">
        <v>45173</v>
      </c>
      <c r="E1273" s="61" t="s">
        <v>1322</v>
      </c>
      <c r="F1273" s="61" t="s">
        <v>1504</v>
      </c>
      <c r="G1273" s="61"/>
      <c r="H1273" s="61"/>
    </row>
    <row r="1274" spans="1:8" x14ac:dyDescent="0.55000000000000004">
      <c r="A1274" s="61"/>
      <c r="B1274" s="61"/>
      <c r="C1274" s="61"/>
      <c r="D1274" s="61"/>
      <c r="E1274" s="61"/>
      <c r="F1274" s="66" t="s">
        <v>1260</v>
      </c>
      <c r="G1274" s="61"/>
      <c r="H1274" s="61"/>
    </row>
    <row r="1275" spans="1:8" x14ac:dyDescent="0.55000000000000004">
      <c r="A1275" s="61"/>
      <c r="B1275" s="61"/>
      <c r="C1275" s="61"/>
      <c r="D1275" s="61"/>
      <c r="E1275" s="61"/>
      <c r="F1275" s="61" t="s">
        <v>1261</v>
      </c>
      <c r="G1275" s="61"/>
      <c r="H1275" s="61"/>
    </row>
    <row r="1276" spans="1:8" x14ac:dyDescent="0.55000000000000004">
      <c r="A1276" s="61"/>
      <c r="B1276" s="61"/>
      <c r="C1276" s="61"/>
      <c r="D1276" s="61"/>
      <c r="E1276" s="61"/>
      <c r="F1276" s="66" t="s">
        <v>1262</v>
      </c>
      <c r="G1276" s="61"/>
      <c r="H1276" s="61"/>
    </row>
    <row r="1277" spans="1:8" x14ac:dyDescent="0.55000000000000004">
      <c r="A1277" s="61"/>
      <c r="B1277" s="61"/>
      <c r="C1277" s="61"/>
      <c r="D1277" s="61"/>
      <c r="E1277" s="61"/>
      <c r="F1277" s="61" t="s">
        <v>1261</v>
      </c>
      <c r="G1277" s="61"/>
      <c r="H1277" s="61"/>
    </row>
    <row r="1278" spans="1:8" x14ac:dyDescent="0.55000000000000004">
      <c r="A1278" s="61"/>
      <c r="B1278" s="61"/>
      <c r="C1278" s="61"/>
      <c r="D1278" s="61"/>
      <c r="E1278" s="61"/>
      <c r="F1278" s="61"/>
      <c r="G1278" s="61"/>
      <c r="H1278" s="61"/>
    </row>
    <row r="1279" spans="1:8" x14ac:dyDescent="0.55000000000000004">
      <c r="A1279" s="96" t="s">
        <v>431</v>
      </c>
      <c r="B1279" s="96" t="s">
        <v>431</v>
      </c>
      <c r="C1279" s="61" t="s">
        <v>1386</v>
      </c>
      <c r="D1279" s="63">
        <v>45173</v>
      </c>
      <c r="E1279" s="61" t="s">
        <v>1322</v>
      </c>
      <c r="F1279" s="61" t="s">
        <v>1506</v>
      </c>
      <c r="G1279" s="61"/>
      <c r="H1279" s="61"/>
    </row>
    <row r="1280" spans="1:8" x14ac:dyDescent="0.55000000000000004">
      <c r="A1280" s="61"/>
      <c r="B1280" s="61"/>
      <c r="C1280" s="61"/>
      <c r="D1280" s="61"/>
      <c r="E1280" s="61"/>
      <c r="F1280" s="66" t="s">
        <v>1260</v>
      </c>
      <c r="G1280" s="61"/>
      <c r="H1280" s="61"/>
    </row>
    <row r="1281" spans="1:8" x14ac:dyDescent="0.55000000000000004">
      <c r="A1281" s="61"/>
      <c r="B1281" s="61"/>
      <c r="C1281" s="61"/>
      <c r="D1281" s="61"/>
      <c r="E1281" s="61"/>
      <c r="F1281" s="61" t="s">
        <v>1261</v>
      </c>
      <c r="G1281" s="61"/>
      <c r="H1281" s="61"/>
    </row>
    <row r="1282" spans="1:8" x14ac:dyDescent="0.55000000000000004">
      <c r="A1282" s="61"/>
      <c r="B1282" s="61"/>
      <c r="C1282" s="61"/>
      <c r="D1282" s="61"/>
      <c r="E1282" s="61"/>
      <c r="F1282" s="66" t="s">
        <v>1262</v>
      </c>
      <c r="G1282" s="61"/>
      <c r="H1282" s="61"/>
    </row>
    <row r="1283" spans="1:8" x14ac:dyDescent="0.55000000000000004">
      <c r="A1283" s="61"/>
      <c r="B1283" s="61"/>
      <c r="C1283" s="61"/>
      <c r="D1283" s="61"/>
      <c r="E1283" s="61"/>
      <c r="F1283" s="61" t="s">
        <v>1261</v>
      </c>
      <c r="G1283" s="61"/>
      <c r="H1283" s="61"/>
    </row>
    <row r="1284" spans="1:8" x14ac:dyDescent="0.55000000000000004">
      <c r="A1284" s="61"/>
      <c r="B1284" s="61"/>
      <c r="C1284" s="61"/>
      <c r="D1284" s="61"/>
      <c r="E1284" s="61"/>
      <c r="F1284" s="61"/>
      <c r="G1284" s="61"/>
      <c r="H1284" s="61"/>
    </row>
    <row r="1285" spans="1:8" x14ac:dyDescent="0.55000000000000004">
      <c r="A1285" s="96" t="s">
        <v>428</v>
      </c>
      <c r="B1285" s="96" t="s">
        <v>428</v>
      </c>
      <c r="C1285" s="61" t="s">
        <v>1383</v>
      </c>
      <c r="D1285" s="63">
        <v>45173</v>
      </c>
      <c r="E1285" s="61" t="s">
        <v>1322</v>
      </c>
      <c r="F1285" s="61" t="s">
        <v>1506</v>
      </c>
      <c r="G1285" s="61"/>
      <c r="H1285" s="61"/>
    </row>
    <row r="1286" spans="1:8" x14ac:dyDescent="0.55000000000000004">
      <c r="A1286" s="61"/>
      <c r="B1286" s="61"/>
      <c r="C1286" s="61"/>
      <c r="D1286" s="61"/>
      <c r="E1286" s="61"/>
      <c r="F1286" s="66" t="s">
        <v>1260</v>
      </c>
      <c r="G1286" s="61"/>
      <c r="H1286" s="61"/>
    </row>
    <row r="1287" spans="1:8" x14ac:dyDescent="0.55000000000000004">
      <c r="A1287" s="61"/>
      <c r="B1287" s="61"/>
      <c r="C1287" s="61"/>
      <c r="D1287" s="61"/>
      <c r="E1287" s="61"/>
      <c r="F1287" s="61" t="s">
        <v>1261</v>
      </c>
      <c r="G1287" s="61"/>
      <c r="H1287" s="61"/>
    </row>
    <row r="1288" spans="1:8" x14ac:dyDescent="0.55000000000000004">
      <c r="A1288" s="61"/>
      <c r="B1288" s="61"/>
      <c r="C1288" s="61"/>
      <c r="D1288" s="61"/>
      <c r="E1288" s="61"/>
      <c r="F1288" s="66" t="s">
        <v>1262</v>
      </c>
      <c r="G1288" s="61"/>
      <c r="H1288" s="61"/>
    </row>
    <row r="1289" spans="1:8" x14ac:dyDescent="0.55000000000000004">
      <c r="A1289" s="61"/>
      <c r="B1289" s="61"/>
      <c r="C1289" s="61"/>
      <c r="D1289" s="61"/>
      <c r="E1289" s="61"/>
      <c r="F1289" s="61" t="s">
        <v>1261</v>
      </c>
      <c r="G1289" s="61"/>
      <c r="H1289" s="61"/>
    </row>
    <row r="1290" spans="1:8" x14ac:dyDescent="0.55000000000000004">
      <c r="A1290" s="61"/>
      <c r="B1290" s="61"/>
      <c r="C1290" s="61"/>
      <c r="D1290" s="61"/>
      <c r="E1290" s="61"/>
      <c r="F1290" s="61"/>
      <c r="G1290" s="61"/>
      <c r="H1290" s="61"/>
    </row>
    <row r="1291" spans="1:8" x14ac:dyDescent="0.55000000000000004">
      <c r="A1291" s="75" t="s">
        <v>2005</v>
      </c>
      <c r="B1291" s="75" t="s">
        <v>2005</v>
      </c>
      <c r="C1291" s="61"/>
      <c r="D1291" s="63">
        <v>45173</v>
      </c>
      <c r="E1291" s="61" t="s">
        <v>1322</v>
      </c>
      <c r="F1291" s="61" t="s">
        <v>1504</v>
      </c>
      <c r="G1291" s="61"/>
      <c r="H1291" s="61"/>
    </row>
    <row r="1292" spans="1:8" x14ac:dyDescent="0.55000000000000004">
      <c r="A1292" s="61"/>
      <c r="B1292" s="61"/>
      <c r="C1292" s="61"/>
      <c r="D1292" s="61"/>
      <c r="E1292" s="61"/>
      <c r="F1292" s="66" t="s">
        <v>1260</v>
      </c>
      <c r="G1292" s="61"/>
      <c r="H1292" s="61"/>
    </row>
    <row r="1293" spans="1:8" x14ac:dyDescent="0.55000000000000004">
      <c r="A1293" s="61"/>
      <c r="B1293" s="61"/>
      <c r="C1293" s="61"/>
      <c r="D1293" s="61"/>
      <c r="E1293" s="61"/>
      <c r="F1293" s="61" t="s">
        <v>1261</v>
      </c>
      <c r="G1293" s="61"/>
      <c r="H1293" s="61"/>
    </row>
    <row r="1294" spans="1:8" x14ac:dyDescent="0.55000000000000004">
      <c r="A1294" s="61"/>
      <c r="B1294" s="61"/>
      <c r="C1294" s="61"/>
      <c r="D1294" s="61"/>
      <c r="E1294" s="61"/>
      <c r="F1294" s="66" t="s">
        <v>1262</v>
      </c>
      <c r="G1294" s="61"/>
      <c r="H1294" s="61"/>
    </row>
    <row r="1295" spans="1:8" x14ac:dyDescent="0.55000000000000004">
      <c r="A1295" s="61"/>
      <c r="B1295" s="61"/>
      <c r="C1295" s="61"/>
      <c r="D1295" s="61"/>
      <c r="E1295" s="61"/>
      <c r="F1295" s="61" t="s">
        <v>1261</v>
      </c>
      <c r="G1295" s="61"/>
      <c r="H1295" s="61"/>
    </row>
    <row r="1297" spans="1:7" x14ac:dyDescent="0.55000000000000004">
      <c r="A1297" s="62" t="s">
        <v>1202</v>
      </c>
      <c r="B1297" s="62" t="s">
        <v>1201</v>
      </c>
      <c r="C1297" s="61" t="s">
        <v>1507</v>
      </c>
      <c r="D1297" s="63">
        <v>45205</v>
      </c>
      <c r="E1297" s="61" t="s">
        <v>1508</v>
      </c>
      <c r="F1297" s="61" t="s">
        <v>1509</v>
      </c>
      <c r="G1297" s="61" t="s">
        <v>1510</v>
      </c>
    </row>
    <row r="1298" spans="1:7" x14ac:dyDescent="0.55000000000000004">
      <c r="A1298" s="61"/>
      <c r="B1298" s="61"/>
      <c r="C1298" s="61"/>
      <c r="D1298" s="61"/>
      <c r="E1298" s="61"/>
      <c r="F1298" s="66" t="s">
        <v>1260</v>
      </c>
      <c r="G1298" s="61"/>
    </row>
    <row r="1299" spans="1:7" x14ac:dyDescent="0.55000000000000004">
      <c r="A1299" s="61"/>
      <c r="B1299" s="61"/>
      <c r="C1299" s="61"/>
      <c r="D1299" s="61"/>
      <c r="E1299" s="61"/>
      <c r="F1299" s="61" t="s">
        <v>1511</v>
      </c>
      <c r="G1299" s="61"/>
    </row>
    <row r="1300" spans="1:7" x14ac:dyDescent="0.55000000000000004">
      <c r="A1300" s="61"/>
      <c r="B1300" s="61"/>
      <c r="C1300" s="61"/>
      <c r="D1300" s="61"/>
      <c r="E1300" s="61"/>
      <c r="F1300" s="66" t="s">
        <v>1262</v>
      </c>
      <c r="G1300" s="61"/>
    </row>
    <row r="1301" spans="1:7" x14ac:dyDescent="0.55000000000000004">
      <c r="A1301" s="61"/>
      <c r="B1301" s="61"/>
      <c r="C1301" s="61"/>
      <c r="D1301" s="61"/>
      <c r="E1301" s="61"/>
      <c r="F1301" s="61" t="s">
        <v>1512</v>
      </c>
      <c r="G1301" s="61"/>
    </row>
    <row r="1302" spans="1:7" x14ac:dyDescent="0.55000000000000004">
      <c r="A1302" s="61"/>
      <c r="B1302" s="61"/>
      <c r="C1302" s="61"/>
      <c r="D1302" s="61"/>
      <c r="E1302" s="61"/>
      <c r="F1302" s="61"/>
      <c r="G1302" s="61"/>
    </row>
    <row r="1303" spans="1:7" x14ac:dyDescent="0.55000000000000004">
      <c r="A1303" s="62" t="s">
        <v>1213</v>
      </c>
      <c r="B1303" s="62" t="s">
        <v>1212</v>
      </c>
      <c r="C1303" s="61" t="s">
        <v>1513</v>
      </c>
      <c r="D1303" s="63">
        <v>45205</v>
      </c>
      <c r="E1303" s="61" t="s">
        <v>1508</v>
      </c>
      <c r="F1303" s="61" t="s">
        <v>1514</v>
      </c>
      <c r="G1303" s="61" t="s">
        <v>1515</v>
      </c>
    </row>
    <row r="1304" spans="1:7" x14ac:dyDescent="0.55000000000000004">
      <c r="A1304" s="61"/>
      <c r="B1304" s="61"/>
      <c r="C1304" s="61"/>
      <c r="D1304" s="61"/>
      <c r="E1304" s="61"/>
      <c r="F1304" s="66" t="s">
        <v>1260</v>
      </c>
      <c r="G1304" s="61"/>
    </row>
    <row r="1305" spans="1:7" x14ac:dyDescent="0.55000000000000004">
      <c r="A1305" s="61"/>
      <c r="B1305" s="61"/>
      <c r="C1305" s="61"/>
      <c r="D1305" s="61"/>
      <c r="E1305" s="61"/>
      <c r="F1305" s="61" t="s">
        <v>1516</v>
      </c>
      <c r="G1305" s="61"/>
    </row>
    <row r="1306" spans="1:7" x14ac:dyDescent="0.55000000000000004">
      <c r="A1306" s="61"/>
      <c r="B1306" s="61"/>
      <c r="C1306" s="61"/>
      <c r="D1306" s="61"/>
      <c r="E1306" s="61"/>
      <c r="F1306" s="66" t="s">
        <v>1262</v>
      </c>
      <c r="G1306" s="61"/>
    </row>
    <row r="1307" spans="1:7" x14ac:dyDescent="0.55000000000000004">
      <c r="A1307" s="61"/>
      <c r="B1307" s="61"/>
      <c r="C1307" s="61"/>
      <c r="D1307" s="61"/>
      <c r="E1307" s="61"/>
      <c r="F1307" s="61" t="s">
        <v>1517</v>
      </c>
      <c r="G1307" s="61"/>
    </row>
    <row r="1308" spans="1:7" x14ac:dyDescent="0.55000000000000004">
      <c r="A1308" s="61"/>
      <c r="B1308" s="61"/>
      <c r="C1308" s="61"/>
      <c r="D1308" s="61"/>
      <c r="E1308" s="61"/>
      <c r="F1308" s="61"/>
      <c r="G1308" s="61"/>
    </row>
    <row r="1309" spans="1:7" x14ac:dyDescent="0.55000000000000004">
      <c r="A1309" s="62" t="s">
        <v>1216</v>
      </c>
      <c r="B1309" s="62" t="s">
        <v>1215</v>
      </c>
      <c r="C1309" s="61" t="s">
        <v>1513</v>
      </c>
      <c r="D1309" s="63">
        <v>45205</v>
      </c>
      <c r="E1309" s="61" t="s">
        <v>1508</v>
      </c>
      <c r="F1309" s="61" t="s">
        <v>1518</v>
      </c>
      <c r="G1309" s="61" t="s">
        <v>1519</v>
      </c>
    </row>
    <row r="1310" spans="1:7" x14ac:dyDescent="0.55000000000000004">
      <c r="A1310" s="61"/>
      <c r="B1310" s="61"/>
      <c r="C1310" s="61"/>
      <c r="D1310" s="61"/>
      <c r="E1310" s="61"/>
      <c r="F1310" s="66" t="s">
        <v>1260</v>
      </c>
      <c r="G1310" s="61"/>
    </row>
    <row r="1311" spans="1:7" x14ac:dyDescent="0.55000000000000004">
      <c r="A1311" s="61"/>
      <c r="B1311" s="61"/>
      <c r="C1311" s="61"/>
      <c r="D1311" s="61"/>
      <c r="E1311" s="61"/>
      <c r="F1311" s="61" t="s">
        <v>1520</v>
      </c>
      <c r="G1311" s="61"/>
    </row>
    <row r="1312" spans="1:7" x14ac:dyDescent="0.55000000000000004">
      <c r="A1312" s="61"/>
      <c r="B1312" s="61"/>
      <c r="C1312" s="61"/>
      <c r="D1312" s="61"/>
      <c r="E1312" s="61"/>
      <c r="F1312" s="66" t="s">
        <v>1262</v>
      </c>
      <c r="G1312" s="61"/>
    </row>
    <row r="1313" spans="1:7" x14ac:dyDescent="0.55000000000000004">
      <c r="A1313" s="61"/>
      <c r="B1313" s="61"/>
      <c r="C1313" s="61"/>
      <c r="D1313" s="61"/>
      <c r="E1313" s="61"/>
      <c r="F1313" s="61" t="s">
        <v>1521</v>
      </c>
      <c r="G1313" s="61"/>
    </row>
    <row r="1314" spans="1:7" x14ac:dyDescent="0.55000000000000004">
      <c r="A1314" s="61"/>
      <c r="B1314" s="61"/>
      <c r="C1314" s="61"/>
      <c r="D1314" s="61"/>
      <c r="E1314" s="61"/>
      <c r="F1314" s="61"/>
      <c r="G1314" s="61"/>
    </row>
    <row r="1315" spans="1:7" x14ac:dyDescent="0.55000000000000004">
      <c r="A1315" s="62" t="s">
        <v>1220</v>
      </c>
      <c r="B1315" s="62" t="s">
        <v>1219</v>
      </c>
      <c r="C1315" s="61" t="s">
        <v>1513</v>
      </c>
      <c r="D1315" s="63">
        <v>45205</v>
      </c>
      <c r="E1315" s="61" t="s">
        <v>1508</v>
      </c>
      <c r="F1315" s="61" t="s">
        <v>1522</v>
      </c>
      <c r="G1315" s="61" t="s">
        <v>1523</v>
      </c>
    </row>
    <row r="1316" spans="1:7" x14ac:dyDescent="0.55000000000000004">
      <c r="A1316" s="61"/>
      <c r="B1316" s="61"/>
      <c r="C1316" s="61"/>
      <c r="D1316" s="61"/>
      <c r="E1316" s="61"/>
      <c r="F1316" s="66" t="s">
        <v>1260</v>
      </c>
      <c r="G1316" s="61"/>
    </row>
    <row r="1317" spans="1:7" x14ac:dyDescent="0.55000000000000004">
      <c r="A1317" s="61"/>
      <c r="B1317" s="61"/>
      <c r="C1317" s="61"/>
      <c r="D1317" s="61"/>
      <c r="E1317" s="61"/>
      <c r="F1317" s="61" t="s">
        <v>1524</v>
      </c>
      <c r="G1317" s="61"/>
    </row>
    <row r="1318" spans="1:7" x14ac:dyDescent="0.55000000000000004">
      <c r="A1318" s="61"/>
      <c r="B1318" s="61"/>
      <c r="C1318" s="61"/>
      <c r="D1318" s="61"/>
      <c r="E1318" s="61"/>
      <c r="F1318" s="66" t="s">
        <v>1262</v>
      </c>
      <c r="G1318" s="61"/>
    </row>
    <row r="1319" spans="1:7" x14ac:dyDescent="0.55000000000000004">
      <c r="A1319" s="61"/>
      <c r="B1319" s="61"/>
      <c r="C1319" s="61"/>
      <c r="D1319" s="61"/>
      <c r="E1319" s="61"/>
      <c r="F1319" s="61" t="s">
        <v>1521</v>
      </c>
      <c r="G1319" s="61"/>
    </row>
    <row r="1320" spans="1:7" x14ac:dyDescent="0.55000000000000004">
      <c r="A1320" s="61"/>
      <c r="B1320" s="61"/>
      <c r="C1320" s="61"/>
      <c r="D1320" s="61"/>
      <c r="E1320" s="61"/>
      <c r="F1320" s="61"/>
      <c r="G1320" s="61"/>
    </row>
    <row r="1321" spans="1:7" x14ac:dyDescent="0.55000000000000004">
      <c r="A1321" s="62" t="s">
        <v>1200</v>
      </c>
      <c r="B1321" s="62" t="s">
        <v>1199</v>
      </c>
      <c r="C1321" s="61" t="s">
        <v>1525</v>
      </c>
      <c r="D1321" s="63">
        <v>45205</v>
      </c>
      <c r="E1321" s="61" t="s">
        <v>1508</v>
      </c>
      <c r="F1321" s="61" t="s">
        <v>1526</v>
      </c>
      <c r="G1321" s="61" t="s">
        <v>1527</v>
      </c>
    </row>
    <row r="1322" spans="1:7" x14ac:dyDescent="0.55000000000000004">
      <c r="A1322" s="61"/>
      <c r="B1322" s="61"/>
      <c r="C1322" s="61"/>
      <c r="D1322" s="61"/>
      <c r="E1322" s="61"/>
      <c r="F1322" s="66" t="s">
        <v>1260</v>
      </c>
      <c r="G1322" s="61"/>
    </row>
    <row r="1323" spans="1:7" x14ac:dyDescent="0.55000000000000004">
      <c r="A1323" s="61"/>
      <c r="B1323" s="61"/>
      <c r="C1323" s="61"/>
      <c r="D1323" s="61"/>
      <c r="E1323" s="61"/>
      <c r="F1323" s="61" t="s">
        <v>1528</v>
      </c>
      <c r="G1323" s="61"/>
    </row>
    <row r="1324" spans="1:7" x14ac:dyDescent="0.55000000000000004">
      <c r="A1324" s="61"/>
      <c r="B1324" s="61"/>
      <c r="C1324" s="61"/>
      <c r="D1324" s="61"/>
      <c r="E1324" s="61"/>
      <c r="F1324" s="66" t="s">
        <v>1262</v>
      </c>
      <c r="G1324" s="61"/>
    </row>
    <row r="1325" spans="1:7" x14ac:dyDescent="0.55000000000000004">
      <c r="A1325" s="61"/>
      <c r="B1325" s="61"/>
      <c r="C1325" s="61"/>
      <c r="D1325" s="61"/>
      <c r="E1325" s="61"/>
      <c r="F1325" s="61" t="s">
        <v>1529</v>
      </c>
      <c r="G1325" s="61"/>
    </row>
    <row r="1326" spans="1:7" x14ac:dyDescent="0.55000000000000004">
      <c r="A1326" s="61"/>
      <c r="B1326" s="61"/>
      <c r="C1326" s="61"/>
      <c r="D1326" s="61"/>
      <c r="E1326" s="61"/>
      <c r="F1326" s="61"/>
      <c r="G1326" s="61"/>
    </row>
    <row r="1327" spans="1:7" x14ac:dyDescent="0.55000000000000004">
      <c r="A1327" s="62" t="s">
        <v>1174</v>
      </c>
      <c r="B1327" s="62" t="s">
        <v>1173</v>
      </c>
      <c r="C1327" s="61" t="s">
        <v>1513</v>
      </c>
      <c r="D1327" s="63">
        <v>45205</v>
      </c>
      <c r="E1327" s="61" t="s">
        <v>1508</v>
      </c>
      <c r="F1327" s="61" t="s">
        <v>1530</v>
      </c>
      <c r="G1327" s="61" t="s">
        <v>1531</v>
      </c>
    </row>
    <row r="1328" spans="1:7" x14ac:dyDescent="0.55000000000000004">
      <c r="A1328" s="61"/>
      <c r="B1328" s="61"/>
      <c r="C1328" s="61"/>
      <c r="D1328" s="61"/>
      <c r="E1328" s="61"/>
      <c r="F1328" s="66" t="s">
        <v>1260</v>
      </c>
      <c r="G1328" s="61"/>
    </row>
    <row r="1329" spans="1:7" x14ac:dyDescent="0.55000000000000004">
      <c r="A1329" s="61"/>
      <c r="B1329" s="61"/>
      <c r="C1329" s="61"/>
      <c r="D1329" s="61"/>
      <c r="E1329" s="61"/>
      <c r="F1329" s="61" t="s">
        <v>1532</v>
      </c>
      <c r="G1329" s="61"/>
    </row>
    <row r="1330" spans="1:7" x14ac:dyDescent="0.55000000000000004">
      <c r="A1330" s="61"/>
      <c r="B1330" s="61"/>
      <c r="C1330" s="61"/>
      <c r="D1330" s="61"/>
      <c r="E1330" s="61"/>
      <c r="F1330" s="66" t="s">
        <v>1262</v>
      </c>
      <c r="G1330" s="61"/>
    </row>
    <row r="1331" spans="1:7" x14ac:dyDescent="0.55000000000000004">
      <c r="A1331" s="61"/>
      <c r="B1331" s="61"/>
      <c r="C1331" s="61"/>
      <c r="D1331" s="61"/>
      <c r="E1331" s="61"/>
      <c r="F1331" s="61" t="s">
        <v>1533</v>
      </c>
      <c r="G1331" s="61"/>
    </row>
    <row r="1332" spans="1:7" x14ac:dyDescent="0.55000000000000004">
      <c r="A1332" s="61"/>
      <c r="B1332" s="61"/>
      <c r="C1332" s="61"/>
      <c r="D1332" s="61"/>
      <c r="E1332" s="61"/>
      <c r="F1332" s="61"/>
      <c r="G1332" s="61"/>
    </row>
    <row r="1333" spans="1:7" x14ac:dyDescent="0.55000000000000004">
      <c r="A1333" s="62" t="s">
        <v>1167</v>
      </c>
      <c r="B1333" s="62" t="s">
        <v>1165</v>
      </c>
      <c r="C1333" s="61" t="s">
        <v>1513</v>
      </c>
      <c r="D1333" s="63">
        <v>45205</v>
      </c>
      <c r="E1333" s="61" t="s">
        <v>1508</v>
      </c>
      <c r="F1333" s="61" t="s">
        <v>1534</v>
      </c>
      <c r="G1333" s="61" t="s">
        <v>1515</v>
      </c>
    </row>
    <row r="1334" spans="1:7" x14ac:dyDescent="0.55000000000000004">
      <c r="A1334" s="61"/>
      <c r="B1334" s="61"/>
      <c r="C1334" s="61"/>
      <c r="D1334" s="61"/>
      <c r="E1334" s="61"/>
      <c r="F1334" s="66" t="s">
        <v>1260</v>
      </c>
      <c r="G1334" s="61"/>
    </row>
    <row r="1335" spans="1:7" x14ac:dyDescent="0.55000000000000004">
      <c r="A1335" s="61"/>
      <c r="B1335" s="61"/>
      <c r="C1335" s="61"/>
      <c r="D1335" s="61"/>
      <c r="E1335" s="61"/>
      <c r="F1335" s="61" t="s">
        <v>1535</v>
      </c>
      <c r="G1335" s="61"/>
    </row>
    <row r="1336" spans="1:7" x14ac:dyDescent="0.55000000000000004">
      <c r="A1336" s="61"/>
      <c r="B1336" s="61"/>
      <c r="C1336" s="61"/>
      <c r="D1336" s="61"/>
      <c r="E1336" s="61"/>
      <c r="F1336" s="66" t="s">
        <v>1262</v>
      </c>
      <c r="G1336" s="61"/>
    </row>
    <row r="1337" spans="1:7" x14ac:dyDescent="0.55000000000000004">
      <c r="A1337" s="61"/>
      <c r="B1337" s="61"/>
      <c r="C1337" s="61"/>
      <c r="D1337" s="61"/>
      <c r="E1337" s="61"/>
      <c r="F1337" s="61" t="s">
        <v>1536</v>
      </c>
      <c r="G1337" s="61"/>
    </row>
    <row r="1338" spans="1:7" x14ac:dyDescent="0.55000000000000004">
      <c r="A1338" s="61"/>
      <c r="B1338" s="61"/>
      <c r="C1338" s="61"/>
      <c r="D1338" s="61"/>
      <c r="E1338" s="61"/>
      <c r="F1338" s="61"/>
      <c r="G1338" s="61"/>
    </row>
    <row r="1339" spans="1:7" x14ac:dyDescent="0.55000000000000004">
      <c r="A1339" s="62" t="s">
        <v>1178</v>
      </c>
      <c r="B1339" s="62" t="s">
        <v>1177</v>
      </c>
      <c r="C1339" s="61" t="s">
        <v>1525</v>
      </c>
      <c r="D1339" s="63">
        <v>45205</v>
      </c>
      <c r="E1339" s="61" t="s">
        <v>1508</v>
      </c>
      <c r="F1339" s="61" t="s">
        <v>1537</v>
      </c>
      <c r="G1339" s="61" t="s">
        <v>1527</v>
      </c>
    </row>
    <row r="1340" spans="1:7" x14ac:dyDescent="0.55000000000000004">
      <c r="A1340" s="61"/>
      <c r="B1340" s="61"/>
      <c r="C1340" s="61"/>
      <c r="D1340" s="61"/>
      <c r="E1340" s="61"/>
      <c r="F1340" s="66" t="s">
        <v>1260</v>
      </c>
      <c r="G1340" s="61"/>
    </row>
    <row r="1341" spans="1:7" x14ac:dyDescent="0.55000000000000004">
      <c r="A1341" s="61"/>
      <c r="B1341" s="61"/>
      <c r="C1341" s="61"/>
      <c r="D1341" s="61"/>
      <c r="E1341" s="61"/>
      <c r="F1341" s="61" t="s">
        <v>1538</v>
      </c>
      <c r="G1341" s="61"/>
    </row>
    <row r="1342" spans="1:7" x14ac:dyDescent="0.55000000000000004">
      <c r="A1342" s="61"/>
      <c r="B1342" s="61"/>
      <c r="C1342" s="61"/>
      <c r="D1342" s="61"/>
      <c r="E1342" s="61"/>
      <c r="F1342" s="66" t="s">
        <v>1262</v>
      </c>
      <c r="G1342" s="61"/>
    </row>
    <row r="1343" spans="1:7" x14ac:dyDescent="0.55000000000000004">
      <c r="A1343" s="61"/>
      <c r="B1343" s="61"/>
      <c r="C1343" s="61"/>
      <c r="D1343" s="61"/>
      <c r="E1343" s="61"/>
      <c r="F1343" s="61" t="s">
        <v>1529</v>
      </c>
      <c r="G1343" s="61"/>
    </row>
    <row r="1344" spans="1:7" x14ac:dyDescent="0.55000000000000004">
      <c r="A1344" s="61"/>
      <c r="B1344" s="61"/>
      <c r="C1344" s="61"/>
      <c r="D1344" s="61"/>
      <c r="E1344" s="61"/>
      <c r="F1344" s="61"/>
      <c r="G1344" s="61"/>
    </row>
    <row r="1345" spans="1:7" x14ac:dyDescent="0.55000000000000004">
      <c r="A1345" s="62" t="s">
        <v>195</v>
      </c>
      <c r="B1345" s="62" t="s">
        <v>193</v>
      </c>
      <c r="C1345" s="61" t="s">
        <v>1539</v>
      </c>
      <c r="D1345" s="63">
        <v>45205</v>
      </c>
      <c r="E1345" s="61" t="s">
        <v>1508</v>
      </c>
      <c r="F1345" s="61" t="s">
        <v>1540</v>
      </c>
      <c r="G1345" s="61">
        <v>78</v>
      </c>
    </row>
    <row r="1346" spans="1:7" x14ac:dyDescent="0.55000000000000004">
      <c r="A1346" s="61"/>
      <c r="B1346" s="61"/>
      <c r="C1346" s="61"/>
      <c r="D1346" s="61"/>
      <c r="E1346" s="61"/>
      <c r="F1346" s="66" t="s">
        <v>1260</v>
      </c>
      <c r="G1346" s="61" t="s">
        <v>535</v>
      </c>
    </row>
    <row r="1347" spans="1:7" x14ac:dyDescent="0.55000000000000004">
      <c r="A1347" s="61"/>
      <c r="B1347" s="61"/>
      <c r="C1347" s="61"/>
      <c r="D1347" s="61"/>
      <c r="E1347" s="61"/>
      <c r="F1347" s="61" t="s">
        <v>1541</v>
      </c>
      <c r="G1347" s="61" t="s">
        <v>535</v>
      </c>
    </row>
    <row r="1348" spans="1:7" x14ac:dyDescent="0.55000000000000004">
      <c r="A1348" s="61"/>
      <c r="B1348" s="61"/>
      <c r="C1348" s="61"/>
      <c r="D1348" s="61"/>
      <c r="E1348" s="61"/>
      <c r="F1348" s="66" t="s">
        <v>1262</v>
      </c>
      <c r="G1348" s="61" t="s">
        <v>535</v>
      </c>
    </row>
    <row r="1349" spans="1:7" x14ac:dyDescent="0.55000000000000004">
      <c r="A1349" s="61"/>
      <c r="B1349" s="61"/>
      <c r="C1349" s="61"/>
      <c r="D1349" s="61"/>
      <c r="E1349" s="61"/>
      <c r="F1349" s="61" t="s">
        <v>1542</v>
      </c>
      <c r="G1349" s="61" t="s">
        <v>535</v>
      </c>
    </row>
    <row r="1350" spans="1:7" x14ac:dyDescent="0.55000000000000004">
      <c r="A1350" s="61"/>
      <c r="B1350" s="61"/>
      <c r="C1350" s="61"/>
      <c r="D1350" s="61"/>
      <c r="E1350" s="61"/>
      <c r="F1350" s="61"/>
      <c r="G1350" s="61" t="s">
        <v>535</v>
      </c>
    </row>
    <row r="1351" spans="1:7" x14ac:dyDescent="0.55000000000000004">
      <c r="A1351" s="62" t="s">
        <v>185</v>
      </c>
      <c r="B1351" s="62" t="s">
        <v>183</v>
      </c>
      <c r="C1351" s="61" t="s">
        <v>1539</v>
      </c>
      <c r="D1351" s="63">
        <v>45205</v>
      </c>
      <c r="E1351" s="61" t="s">
        <v>1508</v>
      </c>
      <c r="F1351" s="61" t="s">
        <v>1543</v>
      </c>
      <c r="G1351" s="61">
        <v>78</v>
      </c>
    </row>
    <row r="1352" spans="1:7" x14ac:dyDescent="0.55000000000000004">
      <c r="A1352" s="61"/>
      <c r="B1352" s="61"/>
      <c r="C1352" s="61"/>
      <c r="D1352" s="61"/>
      <c r="E1352" s="61"/>
      <c r="F1352" s="66" t="s">
        <v>1260</v>
      </c>
      <c r="G1352" s="61" t="s">
        <v>535</v>
      </c>
    </row>
    <row r="1353" spans="1:7" x14ac:dyDescent="0.55000000000000004">
      <c r="A1353" s="61"/>
      <c r="B1353" s="61"/>
      <c r="C1353" s="61"/>
      <c r="D1353" s="61"/>
      <c r="E1353" s="61"/>
      <c r="F1353" s="61" t="s">
        <v>1544</v>
      </c>
      <c r="G1353" s="61" t="s">
        <v>535</v>
      </c>
    </row>
    <row r="1354" spans="1:7" x14ac:dyDescent="0.55000000000000004">
      <c r="A1354" s="61"/>
      <c r="B1354" s="61"/>
      <c r="C1354" s="61"/>
      <c r="D1354" s="61"/>
      <c r="E1354" s="61"/>
      <c r="F1354" s="66" t="s">
        <v>1262</v>
      </c>
      <c r="G1354" s="61" t="s">
        <v>535</v>
      </c>
    </row>
    <row r="1355" spans="1:7" x14ac:dyDescent="0.55000000000000004">
      <c r="A1355" s="61"/>
      <c r="B1355" s="61"/>
      <c r="C1355" s="61"/>
      <c r="D1355" s="61"/>
      <c r="E1355" s="61"/>
      <c r="F1355" s="61" t="s">
        <v>1542</v>
      </c>
      <c r="G1355" s="61" t="s">
        <v>535</v>
      </c>
    </row>
    <row r="1356" spans="1:7" x14ac:dyDescent="0.55000000000000004">
      <c r="A1356" s="61"/>
      <c r="B1356" s="61"/>
      <c r="C1356" s="61"/>
      <c r="D1356" s="61"/>
      <c r="E1356" s="61"/>
      <c r="F1356" s="61"/>
      <c r="G1356" s="61" t="s">
        <v>535</v>
      </c>
    </row>
    <row r="1357" spans="1:7" x14ac:dyDescent="0.55000000000000004">
      <c r="A1357" s="62" t="s">
        <v>165</v>
      </c>
      <c r="B1357" s="62" t="s">
        <v>164</v>
      </c>
      <c r="C1357" s="61"/>
      <c r="D1357" s="63">
        <v>45205</v>
      </c>
      <c r="E1357" s="61" t="s">
        <v>1508</v>
      </c>
      <c r="F1357" s="61" t="s">
        <v>1545</v>
      </c>
      <c r="G1357" s="61">
        <v>79</v>
      </c>
    </row>
    <row r="1358" spans="1:7" x14ac:dyDescent="0.55000000000000004">
      <c r="A1358" s="61"/>
      <c r="B1358" s="61"/>
      <c r="C1358" s="61"/>
      <c r="D1358" s="61"/>
      <c r="E1358" s="61"/>
      <c r="F1358" s="66" t="s">
        <v>1260</v>
      </c>
      <c r="G1358" s="61" t="s">
        <v>535</v>
      </c>
    </row>
    <row r="1359" spans="1:7" x14ac:dyDescent="0.55000000000000004">
      <c r="A1359" s="61"/>
      <c r="B1359" s="61"/>
      <c r="C1359" s="61"/>
      <c r="D1359" s="61"/>
      <c r="E1359" s="61"/>
      <c r="F1359" s="61" t="s">
        <v>1546</v>
      </c>
      <c r="G1359" s="61" t="s">
        <v>535</v>
      </c>
    </row>
    <row r="1360" spans="1:7" x14ac:dyDescent="0.55000000000000004">
      <c r="A1360" s="61"/>
      <c r="B1360" s="61"/>
      <c r="C1360" s="61"/>
      <c r="D1360" s="61"/>
      <c r="E1360" s="61"/>
      <c r="F1360" s="66" t="s">
        <v>1262</v>
      </c>
      <c r="G1360" s="61" t="s">
        <v>535</v>
      </c>
    </row>
    <row r="1361" spans="1:7" x14ac:dyDescent="0.55000000000000004">
      <c r="A1361" s="61"/>
      <c r="B1361" s="61"/>
      <c r="C1361" s="61"/>
      <c r="D1361" s="61"/>
      <c r="E1361" s="61"/>
      <c r="F1361" s="61" t="s">
        <v>136</v>
      </c>
      <c r="G1361" s="61" t="s">
        <v>535</v>
      </c>
    </row>
    <row r="1362" spans="1:7" x14ac:dyDescent="0.55000000000000004">
      <c r="A1362" s="61"/>
      <c r="B1362" s="61"/>
      <c r="C1362" s="61"/>
      <c r="D1362" s="61"/>
      <c r="E1362" s="61"/>
      <c r="F1362" s="61"/>
      <c r="G1362" s="61" t="s">
        <v>535</v>
      </c>
    </row>
    <row r="1363" spans="1:7" x14ac:dyDescent="0.55000000000000004">
      <c r="A1363" s="62" t="s">
        <v>1086</v>
      </c>
      <c r="B1363" s="62" t="s">
        <v>1085</v>
      </c>
      <c r="C1363" s="61"/>
      <c r="D1363" s="63">
        <v>45205</v>
      </c>
      <c r="E1363" s="61" t="s">
        <v>1508</v>
      </c>
      <c r="F1363" s="61" t="s">
        <v>1547</v>
      </c>
      <c r="G1363" s="61">
        <v>73</v>
      </c>
    </row>
    <row r="1364" spans="1:7" x14ac:dyDescent="0.55000000000000004">
      <c r="A1364" s="61"/>
      <c r="B1364" s="61"/>
      <c r="C1364" s="61"/>
      <c r="D1364" s="61"/>
      <c r="E1364" s="61"/>
      <c r="F1364" s="66" t="s">
        <v>1260</v>
      </c>
      <c r="G1364" s="61" t="s">
        <v>535</v>
      </c>
    </row>
    <row r="1365" spans="1:7" x14ac:dyDescent="0.55000000000000004">
      <c r="A1365" s="61"/>
      <c r="B1365" s="61"/>
      <c r="C1365" s="61"/>
      <c r="D1365" s="61"/>
      <c r="E1365" s="61"/>
      <c r="F1365" s="61" t="s">
        <v>1548</v>
      </c>
      <c r="G1365" s="61"/>
    </row>
    <row r="1366" spans="1:7" x14ac:dyDescent="0.55000000000000004">
      <c r="A1366" s="61"/>
      <c r="B1366" s="61"/>
      <c r="C1366" s="61"/>
      <c r="D1366" s="61"/>
      <c r="E1366" s="61"/>
      <c r="F1366" s="66" t="s">
        <v>1262</v>
      </c>
      <c r="G1366" s="61"/>
    </row>
    <row r="1367" spans="1:7" x14ac:dyDescent="0.55000000000000004">
      <c r="A1367" s="61"/>
      <c r="B1367" s="61"/>
      <c r="C1367" s="61"/>
      <c r="D1367" s="61"/>
      <c r="E1367" s="61"/>
      <c r="F1367" s="61" t="s">
        <v>1549</v>
      </c>
      <c r="G1367" s="61"/>
    </row>
    <row r="1368" spans="1:7" x14ac:dyDescent="0.55000000000000004">
      <c r="A1368" s="61"/>
      <c r="B1368" s="61"/>
      <c r="C1368" s="61"/>
      <c r="D1368" s="61"/>
      <c r="E1368" s="61"/>
      <c r="F1368" s="61"/>
      <c r="G1368" s="61"/>
    </row>
    <row r="1369" spans="1:7" x14ac:dyDescent="0.55000000000000004">
      <c r="A1369" s="62" t="s">
        <v>144</v>
      </c>
      <c r="B1369" s="62" t="s">
        <v>142</v>
      </c>
      <c r="C1369" s="61"/>
      <c r="D1369" s="63">
        <v>45205</v>
      </c>
      <c r="E1369" s="61" t="s">
        <v>1508</v>
      </c>
      <c r="F1369" s="61" t="s">
        <v>1550</v>
      </c>
      <c r="G1369" s="61">
        <v>78</v>
      </c>
    </row>
    <row r="1370" spans="1:7" x14ac:dyDescent="0.55000000000000004">
      <c r="A1370" s="61"/>
      <c r="B1370" s="61"/>
      <c r="C1370" s="61"/>
      <c r="D1370" s="61"/>
      <c r="E1370" s="61"/>
      <c r="F1370" s="66" t="s">
        <v>1260</v>
      </c>
      <c r="G1370" s="61" t="s">
        <v>535</v>
      </c>
    </row>
    <row r="1371" spans="1:7" x14ac:dyDescent="0.55000000000000004">
      <c r="A1371" s="61"/>
      <c r="B1371" s="61"/>
      <c r="C1371" s="61"/>
      <c r="D1371" s="61"/>
      <c r="E1371" s="61"/>
      <c r="F1371" s="61" t="s">
        <v>136</v>
      </c>
      <c r="G1371" s="61" t="s">
        <v>535</v>
      </c>
    </row>
    <row r="1372" spans="1:7" x14ac:dyDescent="0.55000000000000004">
      <c r="A1372" s="61"/>
      <c r="B1372" s="61"/>
      <c r="C1372" s="61"/>
      <c r="D1372" s="61"/>
      <c r="E1372" s="61"/>
      <c r="F1372" s="66" t="s">
        <v>1262</v>
      </c>
      <c r="G1372" s="61" t="s">
        <v>535</v>
      </c>
    </row>
    <row r="1373" spans="1:7" x14ac:dyDescent="0.55000000000000004">
      <c r="A1373" s="61"/>
      <c r="B1373" s="61"/>
      <c r="C1373" s="61"/>
      <c r="D1373" s="61"/>
      <c r="E1373" s="61"/>
      <c r="F1373" s="61" t="s">
        <v>1542</v>
      </c>
      <c r="G1373" s="61" t="s">
        <v>535</v>
      </c>
    </row>
    <row r="1374" spans="1:7" x14ac:dyDescent="0.55000000000000004">
      <c r="A1374" s="61"/>
      <c r="B1374" s="61"/>
      <c r="C1374" s="61"/>
      <c r="D1374" s="61"/>
      <c r="E1374" s="61"/>
      <c r="F1374" s="61"/>
      <c r="G1374" s="61" t="s">
        <v>535</v>
      </c>
    </row>
    <row r="1375" spans="1:7" x14ac:dyDescent="0.55000000000000004">
      <c r="A1375" s="62" t="s">
        <v>1229</v>
      </c>
      <c r="B1375" s="62" t="s">
        <v>1228</v>
      </c>
      <c r="C1375" s="61" t="s">
        <v>1539</v>
      </c>
      <c r="D1375" s="63">
        <v>45205</v>
      </c>
      <c r="E1375" s="61" t="s">
        <v>1508</v>
      </c>
      <c r="F1375" s="61" t="s">
        <v>1551</v>
      </c>
      <c r="G1375" s="61" t="s">
        <v>1552</v>
      </c>
    </row>
    <row r="1376" spans="1:7" x14ac:dyDescent="0.55000000000000004">
      <c r="A1376" s="61"/>
      <c r="B1376" s="61"/>
      <c r="C1376" s="61"/>
      <c r="D1376" s="61"/>
      <c r="E1376" s="61"/>
      <c r="F1376" s="66" t="s">
        <v>1260</v>
      </c>
      <c r="G1376" s="61" t="s">
        <v>535</v>
      </c>
    </row>
    <row r="1377" spans="1:7" x14ac:dyDescent="0.55000000000000004">
      <c r="A1377" s="61"/>
      <c r="B1377" s="61"/>
      <c r="C1377" s="61"/>
      <c r="D1377" s="61"/>
      <c r="E1377" s="61"/>
      <c r="F1377" s="61" t="s">
        <v>1553</v>
      </c>
      <c r="G1377" s="61" t="s">
        <v>535</v>
      </c>
    </row>
    <row r="1378" spans="1:7" x14ac:dyDescent="0.55000000000000004">
      <c r="A1378" s="61"/>
      <c r="B1378" s="61"/>
      <c r="C1378" s="61"/>
      <c r="D1378" s="61"/>
      <c r="E1378" s="61"/>
      <c r="F1378" s="66" t="s">
        <v>1262</v>
      </c>
      <c r="G1378" s="61" t="s">
        <v>535</v>
      </c>
    </row>
    <row r="1379" spans="1:7" x14ac:dyDescent="0.55000000000000004">
      <c r="A1379" s="61"/>
      <c r="B1379" s="61"/>
      <c r="C1379" s="61"/>
      <c r="D1379" s="61"/>
      <c r="E1379" s="61"/>
      <c r="F1379" s="61" t="s">
        <v>136</v>
      </c>
      <c r="G1379" s="61" t="s">
        <v>535</v>
      </c>
    </row>
    <row r="1380" spans="1:7" x14ac:dyDescent="0.55000000000000004">
      <c r="A1380" s="61"/>
      <c r="B1380" s="61"/>
      <c r="C1380" s="61"/>
      <c r="D1380" s="61"/>
      <c r="E1380" s="61"/>
      <c r="F1380" s="61"/>
      <c r="G1380" s="61" t="s">
        <v>535</v>
      </c>
    </row>
    <row r="1381" spans="1:7" x14ac:dyDescent="0.55000000000000004">
      <c r="A1381" s="62" t="s">
        <v>1209</v>
      </c>
      <c r="B1381" s="62" t="s">
        <v>1208</v>
      </c>
      <c r="C1381" s="61" t="s">
        <v>1539</v>
      </c>
      <c r="D1381" s="63">
        <v>45205</v>
      </c>
      <c r="E1381" s="61" t="s">
        <v>1508</v>
      </c>
      <c r="F1381" s="61" t="s">
        <v>1554</v>
      </c>
      <c r="G1381" s="61" t="s">
        <v>1555</v>
      </c>
    </row>
    <row r="1382" spans="1:7" x14ac:dyDescent="0.55000000000000004">
      <c r="A1382" s="61"/>
      <c r="B1382" s="61"/>
      <c r="C1382" s="61"/>
      <c r="D1382" s="61"/>
      <c r="E1382" s="61"/>
      <c r="F1382" s="66" t="s">
        <v>1260</v>
      </c>
      <c r="G1382" s="61" t="s">
        <v>535</v>
      </c>
    </row>
    <row r="1383" spans="1:7" x14ac:dyDescent="0.55000000000000004">
      <c r="A1383" s="61"/>
      <c r="B1383" s="61"/>
      <c r="C1383" s="61"/>
      <c r="D1383" s="61"/>
      <c r="E1383" s="61"/>
      <c r="F1383" s="61" t="s">
        <v>1556</v>
      </c>
      <c r="G1383" s="61" t="s">
        <v>535</v>
      </c>
    </row>
    <row r="1384" spans="1:7" x14ac:dyDescent="0.55000000000000004">
      <c r="A1384" s="61"/>
      <c r="B1384" s="61"/>
      <c r="C1384" s="61"/>
      <c r="D1384" s="61"/>
      <c r="E1384" s="61"/>
      <c r="F1384" s="66" t="s">
        <v>1262</v>
      </c>
      <c r="G1384" s="61" t="s">
        <v>535</v>
      </c>
    </row>
    <row r="1385" spans="1:7" x14ac:dyDescent="0.55000000000000004">
      <c r="A1385" s="61"/>
      <c r="B1385" s="61"/>
      <c r="C1385" s="61"/>
      <c r="D1385" s="61"/>
      <c r="E1385" s="61"/>
      <c r="F1385" s="61" t="s">
        <v>1557</v>
      </c>
      <c r="G1385" s="61" t="s">
        <v>535</v>
      </c>
    </row>
    <row r="1386" spans="1:7" x14ac:dyDescent="0.55000000000000004">
      <c r="A1386" s="61"/>
      <c r="B1386" s="61"/>
      <c r="C1386" s="61"/>
      <c r="D1386" s="61"/>
      <c r="E1386" s="61"/>
      <c r="F1386" s="61"/>
      <c r="G1386" s="61" t="s">
        <v>535</v>
      </c>
    </row>
    <row r="1387" spans="1:7" x14ac:dyDescent="0.55000000000000004">
      <c r="A1387" s="62" t="s">
        <v>1144</v>
      </c>
      <c r="B1387" s="62" t="s">
        <v>1143</v>
      </c>
      <c r="C1387" s="61"/>
      <c r="D1387" s="63">
        <v>45210</v>
      </c>
      <c r="E1387" s="61" t="s">
        <v>1508</v>
      </c>
      <c r="F1387" s="61" t="s">
        <v>1558</v>
      </c>
      <c r="G1387" s="61" t="s">
        <v>1559</v>
      </c>
    </row>
    <row r="1388" spans="1:7" x14ac:dyDescent="0.55000000000000004">
      <c r="A1388" s="61"/>
      <c r="B1388" s="61"/>
      <c r="C1388" s="61"/>
      <c r="D1388" s="61"/>
      <c r="E1388" s="61"/>
      <c r="F1388" s="66" t="s">
        <v>1260</v>
      </c>
      <c r="G1388" s="61" t="s">
        <v>535</v>
      </c>
    </row>
    <row r="1389" spans="1:7" x14ac:dyDescent="0.55000000000000004">
      <c r="A1389" s="61"/>
      <c r="B1389" s="61"/>
      <c r="C1389" s="61"/>
      <c r="D1389" s="61"/>
      <c r="E1389" s="61"/>
      <c r="F1389" s="61" t="s">
        <v>1560</v>
      </c>
      <c r="G1389" s="61" t="s">
        <v>535</v>
      </c>
    </row>
    <row r="1390" spans="1:7" x14ac:dyDescent="0.55000000000000004">
      <c r="A1390" s="61"/>
      <c r="B1390" s="61"/>
      <c r="C1390" s="61"/>
      <c r="D1390" s="61"/>
      <c r="E1390" s="61"/>
      <c r="F1390" s="66" t="s">
        <v>1262</v>
      </c>
      <c r="G1390" s="61" t="s">
        <v>535</v>
      </c>
    </row>
    <row r="1391" spans="1:7" x14ac:dyDescent="0.55000000000000004">
      <c r="A1391" s="61"/>
      <c r="B1391" s="61"/>
      <c r="C1391" s="61"/>
      <c r="D1391" s="61"/>
      <c r="E1391" s="61"/>
      <c r="F1391" s="61" t="s">
        <v>1561</v>
      </c>
      <c r="G1391" s="61" t="s">
        <v>535</v>
      </c>
    </row>
    <row r="1392" spans="1:7" x14ac:dyDescent="0.55000000000000004">
      <c r="A1392" s="61"/>
      <c r="B1392" s="61"/>
      <c r="C1392" s="61"/>
      <c r="D1392" s="61"/>
      <c r="E1392" s="61"/>
      <c r="F1392" s="61"/>
      <c r="G1392" s="61" t="s">
        <v>535</v>
      </c>
    </row>
    <row r="1393" spans="1:7" x14ac:dyDescent="0.55000000000000004">
      <c r="A1393" s="62" t="s">
        <v>1186</v>
      </c>
      <c r="B1393" s="62" t="s">
        <v>1185</v>
      </c>
      <c r="C1393" s="61"/>
      <c r="D1393" s="63">
        <v>45210</v>
      </c>
      <c r="E1393" s="61" t="s">
        <v>1508</v>
      </c>
      <c r="F1393" s="61" t="s">
        <v>1562</v>
      </c>
      <c r="G1393" s="61" t="s">
        <v>1563</v>
      </c>
    </row>
    <row r="1394" spans="1:7" x14ac:dyDescent="0.55000000000000004">
      <c r="A1394" s="61"/>
      <c r="B1394" s="61"/>
      <c r="C1394" s="61"/>
      <c r="D1394" s="61"/>
      <c r="E1394" s="61"/>
      <c r="F1394" s="66" t="s">
        <v>1260</v>
      </c>
      <c r="G1394" s="61" t="s">
        <v>535</v>
      </c>
    </row>
    <row r="1395" spans="1:7" x14ac:dyDescent="0.55000000000000004">
      <c r="A1395" s="61"/>
      <c r="B1395" s="61"/>
      <c r="C1395" s="61"/>
      <c r="D1395" s="61"/>
      <c r="E1395" s="61"/>
      <c r="F1395" s="61" t="s">
        <v>1564</v>
      </c>
      <c r="G1395" s="61" t="s">
        <v>535</v>
      </c>
    </row>
    <row r="1396" spans="1:7" x14ac:dyDescent="0.55000000000000004">
      <c r="A1396" s="61"/>
      <c r="B1396" s="61"/>
      <c r="C1396" s="61"/>
      <c r="D1396" s="61"/>
      <c r="E1396" s="61"/>
      <c r="F1396" s="66" t="s">
        <v>1262</v>
      </c>
      <c r="G1396" s="61" t="s">
        <v>535</v>
      </c>
    </row>
    <row r="1397" spans="1:7" x14ac:dyDescent="0.55000000000000004">
      <c r="A1397" s="61"/>
      <c r="B1397" s="61"/>
      <c r="C1397" s="61"/>
      <c r="D1397" s="61"/>
      <c r="E1397" s="61"/>
      <c r="F1397" s="61" t="s">
        <v>1561</v>
      </c>
      <c r="G1397" s="61" t="s">
        <v>535</v>
      </c>
    </row>
    <row r="1398" spans="1:7" x14ac:dyDescent="0.55000000000000004">
      <c r="A1398" s="61"/>
      <c r="B1398" s="61"/>
      <c r="C1398" s="61"/>
      <c r="D1398" s="61"/>
      <c r="E1398" s="61"/>
      <c r="F1398" s="61"/>
      <c r="G1398" s="61" t="s">
        <v>535</v>
      </c>
    </row>
    <row r="1399" spans="1:7" x14ac:dyDescent="0.55000000000000004">
      <c r="A1399" s="62" t="s">
        <v>1139</v>
      </c>
      <c r="B1399" s="62" t="s">
        <v>1137</v>
      </c>
      <c r="C1399" s="61"/>
      <c r="D1399" s="63">
        <v>45210</v>
      </c>
      <c r="E1399" s="61" t="s">
        <v>1508</v>
      </c>
      <c r="F1399" s="61" t="s">
        <v>1565</v>
      </c>
      <c r="G1399" s="61" t="s">
        <v>1559</v>
      </c>
    </row>
    <row r="1400" spans="1:7" x14ac:dyDescent="0.55000000000000004">
      <c r="A1400" s="61"/>
      <c r="B1400" s="61"/>
      <c r="C1400" s="61"/>
      <c r="D1400" s="61"/>
      <c r="E1400" s="61"/>
      <c r="F1400" s="66" t="s">
        <v>1260</v>
      </c>
      <c r="G1400" s="61" t="s">
        <v>535</v>
      </c>
    </row>
    <row r="1401" spans="1:7" x14ac:dyDescent="0.55000000000000004">
      <c r="A1401" s="61"/>
      <c r="B1401" s="61"/>
      <c r="C1401" s="61"/>
      <c r="D1401" s="61"/>
      <c r="E1401" s="61"/>
      <c r="F1401" s="61" t="s">
        <v>1560</v>
      </c>
      <c r="G1401" s="61"/>
    </row>
    <row r="1402" spans="1:7" x14ac:dyDescent="0.55000000000000004">
      <c r="A1402" s="61"/>
      <c r="B1402" s="61"/>
      <c r="C1402" s="61"/>
      <c r="D1402" s="61"/>
      <c r="E1402" s="61"/>
      <c r="F1402" s="66" t="s">
        <v>1262</v>
      </c>
      <c r="G1402" s="61"/>
    </row>
    <row r="1403" spans="1:7" x14ac:dyDescent="0.55000000000000004">
      <c r="A1403" s="61"/>
      <c r="B1403" s="61"/>
      <c r="C1403" s="61"/>
      <c r="D1403" s="61"/>
      <c r="E1403" s="61"/>
      <c r="F1403" s="61" t="s">
        <v>1561</v>
      </c>
      <c r="G1403" s="61"/>
    </row>
    <row r="1405" spans="1:7" x14ac:dyDescent="0.55000000000000004">
      <c r="A1405" t="s">
        <v>879</v>
      </c>
      <c r="B1405" s="53" t="s">
        <v>1566</v>
      </c>
      <c r="C1405" t="s">
        <v>1567</v>
      </c>
      <c r="D1405" s="52" t="s">
        <v>1568</v>
      </c>
      <c r="E1405" t="s">
        <v>1569</v>
      </c>
      <c r="F1405" t="s">
        <v>1442</v>
      </c>
    </row>
    <row r="1406" spans="1:7" x14ac:dyDescent="0.55000000000000004">
      <c r="F1406" s="4" t="s">
        <v>1260</v>
      </c>
    </row>
    <row r="1408" spans="1:7" x14ac:dyDescent="0.55000000000000004">
      <c r="F1408" s="4" t="s">
        <v>1443</v>
      </c>
    </row>
    <row r="1410" spans="1:6" x14ac:dyDescent="0.55000000000000004">
      <c r="A1410" t="s">
        <v>910</v>
      </c>
      <c r="B1410" s="53" t="s">
        <v>1570</v>
      </c>
      <c r="C1410" t="s">
        <v>1567</v>
      </c>
      <c r="D1410" s="52" t="s">
        <v>1568</v>
      </c>
      <c r="E1410" t="s">
        <v>1569</v>
      </c>
      <c r="F1410" t="s">
        <v>1442</v>
      </c>
    </row>
    <row r="1411" spans="1:6" x14ac:dyDescent="0.55000000000000004">
      <c r="F1411" s="4" t="s">
        <v>1260</v>
      </c>
    </row>
    <row r="1413" spans="1:6" x14ac:dyDescent="0.55000000000000004">
      <c r="F1413" s="4" t="s">
        <v>1443</v>
      </c>
    </row>
    <row r="1415" spans="1:6" x14ac:dyDescent="0.55000000000000004">
      <c r="A1415" t="s">
        <v>904</v>
      </c>
      <c r="B1415" s="53" t="s">
        <v>1571</v>
      </c>
      <c r="C1415" t="s">
        <v>1567</v>
      </c>
      <c r="D1415" s="52" t="s">
        <v>1568</v>
      </c>
      <c r="E1415" t="s">
        <v>1569</v>
      </c>
      <c r="F1415" t="s">
        <v>1442</v>
      </c>
    </row>
    <row r="1416" spans="1:6" x14ac:dyDescent="0.55000000000000004">
      <c r="F1416" s="4" t="s">
        <v>1260</v>
      </c>
    </row>
    <row r="1418" spans="1:6" x14ac:dyDescent="0.55000000000000004">
      <c r="F1418" s="4" t="s">
        <v>1443</v>
      </c>
    </row>
    <row r="1420" spans="1:6" x14ac:dyDescent="0.55000000000000004">
      <c r="A1420" t="s">
        <v>900</v>
      </c>
      <c r="B1420" s="53" t="s">
        <v>1572</v>
      </c>
      <c r="C1420" t="s">
        <v>1567</v>
      </c>
      <c r="D1420" s="52" t="s">
        <v>1568</v>
      </c>
      <c r="E1420" t="s">
        <v>1569</v>
      </c>
      <c r="F1420" t="s">
        <v>1442</v>
      </c>
    </row>
    <row r="1421" spans="1:6" x14ac:dyDescent="0.55000000000000004">
      <c r="F1421" s="4" t="s">
        <v>1260</v>
      </c>
    </row>
    <row r="1423" spans="1:6" x14ac:dyDescent="0.55000000000000004">
      <c r="F1423" s="4" t="s">
        <v>1443</v>
      </c>
    </row>
    <row r="1425" spans="1:7" x14ac:dyDescent="0.55000000000000004">
      <c r="A1425" t="s">
        <v>896</v>
      </c>
      <c r="B1425" s="53" t="s">
        <v>1573</v>
      </c>
      <c r="C1425" t="s">
        <v>1567</v>
      </c>
      <c r="D1425" s="52" t="s">
        <v>1568</v>
      </c>
      <c r="E1425" t="s">
        <v>1569</v>
      </c>
      <c r="F1425" t="s">
        <v>1442</v>
      </c>
    </row>
    <row r="1426" spans="1:7" x14ac:dyDescent="0.55000000000000004">
      <c r="F1426" s="4" t="s">
        <v>1260</v>
      </c>
    </row>
    <row r="1428" spans="1:7" x14ac:dyDescent="0.55000000000000004">
      <c r="F1428" s="4" t="s">
        <v>1443</v>
      </c>
    </row>
    <row r="1430" spans="1:7" x14ac:dyDescent="0.55000000000000004">
      <c r="A1430" s="61" t="s">
        <v>1222</v>
      </c>
      <c r="B1430" s="61" t="s">
        <v>1574</v>
      </c>
      <c r="C1430" t="s">
        <v>1264</v>
      </c>
      <c r="D1430" t="s">
        <v>1575</v>
      </c>
      <c r="E1430" t="s">
        <v>1576</v>
      </c>
      <c r="F1430" t="s">
        <v>1577</v>
      </c>
      <c r="G1430" t="s">
        <v>1578</v>
      </c>
    </row>
    <row r="1431" spans="1:7" x14ac:dyDescent="0.55000000000000004">
      <c r="A1431" s="61"/>
      <c r="F1431" s="4" t="s">
        <v>1260</v>
      </c>
      <c r="G1431" t="s">
        <v>535</v>
      </c>
    </row>
    <row r="1432" spans="1:7" x14ac:dyDescent="0.55000000000000004">
      <c r="F1432" t="s">
        <v>1579</v>
      </c>
      <c r="G1432" t="s">
        <v>535</v>
      </c>
    </row>
    <row r="1433" spans="1:7" x14ac:dyDescent="0.55000000000000004">
      <c r="A1433" s="61"/>
      <c r="F1433" s="4" t="s">
        <v>1443</v>
      </c>
      <c r="G1433" t="s">
        <v>535</v>
      </c>
    </row>
    <row r="1434" spans="1:7" x14ac:dyDescent="0.55000000000000004">
      <c r="F1434" t="s">
        <v>1580</v>
      </c>
      <c r="G1434" t="s">
        <v>535</v>
      </c>
    </row>
    <row r="1435" spans="1:7" x14ac:dyDescent="0.55000000000000004">
      <c r="A1435" s="61"/>
      <c r="G1435" t="s">
        <v>535</v>
      </c>
    </row>
    <row r="1436" spans="1:7" x14ac:dyDescent="0.55000000000000004">
      <c r="A1436" s="61" t="s">
        <v>1225</v>
      </c>
      <c r="B1436" s="61" t="s">
        <v>1581</v>
      </c>
      <c r="C1436" t="s">
        <v>1264</v>
      </c>
      <c r="D1436" t="s">
        <v>1575</v>
      </c>
      <c r="E1436" t="s">
        <v>1576</v>
      </c>
      <c r="F1436" t="s">
        <v>1577</v>
      </c>
      <c r="G1436" t="s">
        <v>1578</v>
      </c>
    </row>
    <row r="1437" spans="1:7" x14ac:dyDescent="0.55000000000000004">
      <c r="A1437" s="61"/>
      <c r="F1437" s="4" t="s">
        <v>1260</v>
      </c>
      <c r="G1437" t="s">
        <v>535</v>
      </c>
    </row>
    <row r="1438" spans="1:7" x14ac:dyDescent="0.55000000000000004">
      <c r="F1438" t="s">
        <v>1579</v>
      </c>
      <c r="G1438" t="s">
        <v>535</v>
      </c>
    </row>
    <row r="1439" spans="1:7" x14ac:dyDescent="0.55000000000000004">
      <c r="A1439" s="61"/>
      <c r="F1439" s="4" t="s">
        <v>1443</v>
      </c>
      <c r="G1439" t="s">
        <v>535</v>
      </c>
    </row>
    <row r="1440" spans="1:7" x14ac:dyDescent="0.55000000000000004">
      <c r="A1440" s="61"/>
      <c r="F1440" t="s">
        <v>1580</v>
      </c>
      <c r="G1440" t="s">
        <v>535</v>
      </c>
    </row>
    <row r="1441" spans="1:7" x14ac:dyDescent="0.55000000000000004">
      <c r="A1441" s="61"/>
      <c r="G1441" t="s">
        <v>535</v>
      </c>
    </row>
    <row r="1442" spans="1:7" x14ac:dyDescent="0.55000000000000004">
      <c r="A1442" s="61" t="s">
        <v>1015</v>
      </c>
      <c r="B1442" s="61" t="s">
        <v>1582</v>
      </c>
      <c r="C1442" t="s">
        <v>1264</v>
      </c>
      <c r="D1442" t="s">
        <v>1575</v>
      </c>
      <c r="E1442" t="s">
        <v>1576</v>
      </c>
      <c r="F1442" t="s">
        <v>1577</v>
      </c>
      <c r="G1442" t="s">
        <v>1583</v>
      </c>
    </row>
    <row r="1443" spans="1:7" x14ac:dyDescent="0.55000000000000004">
      <c r="F1443" s="4" t="s">
        <v>1260</v>
      </c>
      <c r="G1443" t="s">
        <v>535</v>
      </c>
    </row>
    <row r="1444" spans="1:7" x14ac:dyDescent="0.55000000000000004">
      <c r="F1444" t="s">
        <v>1579</v>
      </c>
      <c r="G1444" t="s">
        <v>535</v>
      </c>
    </row>
    <row r="1445" spans="1:7" x14ac:dyDescent="0.55000000000000004">
      <c r="F1445" s="4" t="s">
        <v>1443</v>
      </c>
      <c r="G1445" t="s">
        <v>535</v>
      </c>
    </row>
    <row r="1446" spans="1:7" x14ac:dyDescent="0.55000000000000004">
      <c r="F1446" t="s">
        <v>1584</v>
      </c>
      <c r="G1446" t="s">
        <v>535</v>
      </c>
    </row>
    <row r="1447" spans="1:7" x14ac:dyDescent="0.55000000000000004">
      <c r="G1447" t="s">
        <v>535</v>
      </c>
    </row>
    <row r="1448" spans="1:7" x14ac:dyDescent="0.55000000000000004">
      <c r="A1448" s="61" t="s">
        <v>488</v>
      </c>
      <c r="C1448" t="s">
        <v>1264</v>
      </c>
      <c r="D1448" t="s">
        <v>1575</v>
      </c>
      <c r="E1448" t="s">
        <v>1576</v>
      </c>
      <c r="F1448" t="s">
        <v>1585</v>
      </c>
      <c r="G1448">
        <v>89</v>
      </c>
    </row>
    <row r="1449" spans="1:7" x14ac:dyDescent="0.55000000000000004">
      <c r="A1449" s="61"/>
      <c r="F1449" s="4" t="s">
        <v>1260</v>
      </c>
      <c r="G1449" t="s">
        <v>535</v>
      </c>
    </row>
    <row r="1450" spans="1:7" x14ac:dyDescent="0.55000000000000004">
      <c r="A1450" s="61"/>
      <c r="G1450" t="s">
        <v>535</v>
      </c>
    </row>
    <row r="1451" spans="1:7" x14ac:dyDescent="0.55000000000000004">
      <c r="A1451" s="61"/>
      <c r="F1451" s="4" t="s">
        <v>1443</v>
      </c>
      <c r="G1451" t="s">
        <v>535</v>
      </c>
    </row>
    <row r="1452" spans="1:7" x14ac:dyDescent="0.55000000000000004">
      <c r="A1452" s="61"/>
      <c r="F1452" t="s">
        <v>1586</v>
      </c>
      <c r="G1452" t="s">
        <v>535</v>
      </c>
    </row>
    <row r="1453" spans="1:7" x14ac:dyDescent="0.55000000000000004">
      <c r="A1453" s="61"/>
      <c r="G1453" t="s">
        <v>535</v>
      </c>
    </row>
    <row r="1454" spans="1:7" x14ac:dyDescent="0.55000000000000004">
      <c r="A1454" s="61" t="s">
        <v>200</v>
      </c>
      <c r="C1454" t="s">
        <v>1264</v>
      </c>
      <c r="D1454" t="s">
        <v>1575</v>
      </c>
      <c r="E1454" t="s">
        <v>1576</v>
      </c>
      <c r="F1454" t="s">
        <v>1587</v>
      </c>
      <c r="G1454">
        <v>90</v>
      </c>
    </row>
    <row r="1455" spans="1:7" x14ac:dyDescent="0.55000000000000004">
      <c r="F1455" s="4" t="s">
        <v>1260</v>
      </c>
      <c r="G1455" t="s">
        <v>535</v>
      </c>
    </row>
    <row r="1456" spans="1:7" x14ac:dyDescent="0.55000000000000004">
      <c r="G1456" t="s">
        <v>535</v>
      </c>
    </row>
    <row r="1457" spans="1:15" x14ac:dyDescent="0.55000000000000004">
      <c r="F1457" s="4" t="s">
        <v>1443</v>
      </c>
      <c r="G1457" t="s">
        <v>535</v>
      </c>
    </row>
    <row r="1458" spans="1:15" x14ac:dyDescent="0.55000000000000004">
      <c r="F1458" t="s">
        <v>1588</v>
      </c>
      <c r="G1458" t="s">
        <v>535</v>
      </c>
    </row>
    <row r="1459" spans="1:15" x14ac:dyDescent="0.55000000000000004">
      <c r="G1459" t="s">
        <v>535</v>
      </c>
    </row>
    <row r="1460" spans="1:15" x14ac:dyDescent="0.55000000000000004">
      <c r="A1460" t="s">
        <v>1019</v>
      </c>
      <c r="B1460" t="s">
        <v>1589</v>
      </c>
      <c r="C1460" s="61"/>
      <c r="D1460" s="63">
        <v>45237</v>
      </c>
      <c r="E1460" s="61" t="s">
        <v>1322</v>
      </c>
      <c r="F1460" s="61" t="s">
        <v>1590</v>
      </c>
      <c r="G1460" s="61">
        <v>91</v>
      </c>
      <c r="H1460" s="61"/>
    </row>
    <row r="1461" spans="1:15" x14ac:dyDescent="0.55000000000000004">
      <c r="A1461" s="61"/>
      <c r="B1461" s="61"/>
      <c r="C1461" s="61"/>
      <c r="D1461" s="61"/>
      <c r="E1461" s="61"/>
      <c r="F1461" s="66" t="s">
        <v>1260</v>
      </c>
      <c r="G1461" s="61" t="s">
        <v>535</v>
      </c>
      <c r="H1461" s="61"/>
    </row>
    <row r="1462" spans="1:15" x14ac:dyDescent="0.55000000000000004">
      <c r="A1462" s="61"/>
      <c r="B1462" s="61"/>
      <c r="C1462" s="61"/>
      <c r="D1462" s="61"/>
      <c r="E1462" s="61"/>
      <c r="F1462" s="61" t="s">
        <v>1261</v>
      </c>
      <c r="G1462" s="61" t="s">
        <v>535</v>
      </c>
      <c r="H1462" s="61"/>
    </row>
    <row r="1463" spans="1:15" x14ac:dyDescent="0.55000000000000004">
      <c r="A1463" s="61"/>
      <c r="B1463" s="61"/>
      <c r="C1463" s="61"/>
      <c r="D1463" s="61"/>
      <c r="E1463" s="61"/>
      <c r="F1463" s="66" t="s">
        <v>1262</v>
      </c>
      <c r="G1463" s="61" t="s">
        <v>535</v>
      </c>
      <c r="H1463" s="61"/>
    </row>
    <row r="1464" spans="1:15" x14ac:dyDescent="0.55000000000000004">
      <c r="A1464" s="61"/>
      <c r="B1464" s="61"/>
      <c r="C1464" s="61"/>
      <c r="D1464" s="61"/>
      <c r="E1464" s="61"/>
      <c r="F1464" s="61" t="s">
        <v>1261</v>
      </c>
      <c r="G1464" s="61" t="s">
        <v>535</v>
      </c>
      <c r="H1464" s="61"/>
    </row>
    <row r="1465" spans="1:15" x14ac:dyDescent="0.55000000000000004">
      <c r="G1465" t="s">
        <v>535</v>
      </c>
    </row>
    <row r="1466" spans="1:15" x14ac:dyDescent="0.55000000000000004">
      <c r="A1466" t="s">
        <v>1591</v>
      </c>
      <c r="B1466" t="s">
        <v>1589</v>
      </c>
      <c r="C1466" s="61"/>
      <c r="D1466" s="63">
        <v>45237</v>
      </c>
      <c r="E1466" s="61" t="s">
        <v>1322</v>
      </c>
      <c r="F1466" s="61" t="s">
        <v>1592</v>
      </c>
      <c r="G1466" s="61">
        <v>91</v>
      </c>
      <c r="H1466" s="61"/>
    </row>
    <row r="1467" spans="1:15" x14ac:dyDescent="0.55000000000000004">
      <c r="A1467" s="61"/>
      <c r="B1467" s="61"/>
      <c r="C1467" s="61"/>
      <c r="D1467" s="61"/>
      <c r="E1467" s="61"/>
      <c r="F1467" s="66" t="s">
        <v>1260</v>
      </c>
      <c r="G1467" s="61" t="s">
        <v>535</v>
      </c>
      <c r="H1467" s="61"/>
    </row>
    <row r="1468" spans="1:15" x14ac:dyDescent="0.55000000000000004">
      <c r="A1468" s="61"/>
      <c r="B1468" s="61"/>
      <c r="C1468" s="61"/>
      <c r="D1468" s="61"/>
      <c r="E1468" s="61"/>
      <c r="F1468" s="61" t="s">
        <v>1261</v>
      </c>
      <c r="G1468" s="61" t="s">
        <v>535</v>
      </c>
      <c r="H1468" s="61"/>
    </row>
    <row r="1469" spans="1:15" x14ac:dyDescent="0.55000000000000004">
      <c r="A1469" s="61"/>
      <c r="B1469" s="61"/>
      <c r="C1469" s="61"/>
      <c r="D1469" s="61"/>
      <c r="E1469" s="61"/>
      <c r="F1469" s="66" t="s">
        <v>1262</v>
      </c>
      <c r="G1469" s="61" t="s">
        <v>535</v>
      </c>
      <c r="H1469" s="61"/>
    </row>
    <row r="1470" spans="1:15" x14ac:dyDescent="0.55000000000000004">
      <c r="A1470" s="61"/>
      <c r="B1470" s="61"/>
      <c r="C1470" s="61"/>
      <c r="D1470" s="61"/>
      <c r="E1470" s="61"/>
      <c r="F1470" s="61" t="s">
        <v>1261</v>
      </c>
      <c r="G1470" s="61" t="s">
        <v>535</v>
      </c>
      <c r="H1470" s="61"/>
    </row>
    <row r="1471" spans="1:15" x14ac:dyDescent="0.55000000000000004">
      <c r="G1471" t="s">
        <v>535</v>
      </c>
    </row>
    <row r="1472" spans="1:15" x14ac:dyDescent="0.55000000000000004">
      <c r="A1472" s="62" t="s">
        <v>1593</v>
      </c>
      <c r="B1472" s="62" t="s">
        <v>1594</v>
      </c>
      <c r="C1472" s="61" t="s">
        <v>1391</v>
      </c>
      <c r="D1472" s="87">
        <v>45269</v>
      </c>
      <c r="E1472" s="62" t="s">
        <v>1259</v>
      </c>
      <c r="F1472" s="61" t="s">
        <v>1595</v>
      </c>
      <c r="G1472" s="61">
        <v>92</v>
      </c>
      <c r="H1472" s="61"/>
      <c r="I1472" s="61"/>
      <c r="J1472" s="61"/>
      <c r="K1472" s="61"/>
      <c r="L1472" s="61"/>
      <c r="M1472" s="61"/>
      <c r="N1472" s="61"/>
      <c r="O1472" s="61"/>
    </row>
    <row r="1473" spans="1:15" x14ac:dyDescent="0.55000000000000004">
      <c r="A1473" s="61"/>
      <c r="B1473" s="61"/>
      <c r="C1473" s="61"/>
      <c r="D1473" s="61"/>
      <c r="E1473" s="61"/>
      <c r="F1473" s="61" t="s">
        <v>1596</v>
      </c>
      <c r="G1473" s="61" t="s">
        <v>535</v>
      </c>
      <c r="H1473" s="61"/>
      <c r="I1473" s="61"/>
      <c r="J1473" s="61"/>
      <c r="K1473" s="61"/>
      <c r="L1473" s="61"/>
      <c r="M1473" s="61"/>
      <c r="N1473" s="61"/>
      <c r="O1473" s="61"/>
    </row>
    <row r="1474" spans="1:15" x14ac:dyDescent="0.55000000000000004">
      <c r="A1474" s="61"/>
      <c r="B1474" s="61"/>
      <c r="C1474" s="61"/>
      <c r="D1474" s="61"/>
      <c r="E1474" s="61"/>
      <c r="F1474" s="61" t="s">
        <v>1597</v>
      </c>
      <c r="G1474" s="61" t="s">
        <v>535</v>
      </c>
      <c r="H1474" s="61"/>
      <c r="I1474" s="61"/>
      <c r="J1474" s="61"/>
      <c r="K1474" s="61"/>
      <c r="L1474" s="61"/>
      <c r="M1474" s="61"/>
      <c r="N1474" s="61"/>
      <c r="O1474" s="61"/>
    </row>
    <row r="1475" spans="1:15" x14ac:dyDescent="0.55000000000000004">
      <c r="A1475" s="61"/>
      <c r="B1475" s="61"/>
      <c r="C1475" s="61"/>
      <c r="D1475" s="61"/>
      <c r="E1475" s="61"/>
      <c r="F1475" s="61"/>
      <c r="G1475" s="61" t="s">
        <v>535</v>
      </c>
      <c r="H1475" s="61"/>
      <c r="I1475" s="61"/>
      <c r="J1475" s="61"/>
      <c r="K1475" s="61"/>
      <c r="L1475" s="61"/>
      <c r="M1475" s="61"/>
      <c r="N1475" s="61"/>
      <c r="O1475" s="61"/>
    </row>
    <row r="1476" spans="1:15" x14ac:dyDescent="0.55000000000000004">
      <c r="A1476" s="82" t="s">
        <v>1598</v>
      </c>
      <c r="B1476" s="82" t="s">
        <v>1594</v>
      </c>
      <c r="C1476" s="61" t="s">
        <v>1391</v>
      </c>
      <c r="D1476" s="82" t="s">
        <v>1599</v>
      </c>
      <c r="E1476" s="82" t="s">
        <v>1259</v>
      </c>
      <c r="F1476" s="61" t="s">
        <v>1595</v>
      </c>
      <c r="G1476" s="61">
        <v>92</v>
      </c>
      <c r="H1476" s="61"/>
      <c r="I1476" s="61"/>
      <c r="J1476" s="61"/>
      <c r="K1476" s="61"/>
      <c r="L1476" s="61"/>
      <c r="M1476" s="61"/>
      <c r="N1476" s="61"/>
      <c r="O1476" s="61"/>
    </row>
    <row r="1477" spans="1:15" x14ac:dyDescent="0.55000000000000004">
      <c r="A1477" s="61"/>
      <c r="B1477" s="61"/>
      <c r="C1477" s="61"/>
      <c r="D1477" s="61"/>
      <c r="E1477" s="61"/>
      <c r="F1477" s="61" t="s">
        <v>1596</v>
      </c>
      <c r="G1477" s="61" t="s">
        <v>535</v>
      </c>
      <c r="H1477" s="61"/>
      <c r="I1477" s="61"/>
      <c r="J1477" s="61"/>
      <c r="K1477" s="61"/>
      <c r="L1477" s="61"/>
      <c r="M1477" s="61"/>
      <c r="N1477" s="61"/>
      <c r="O1477" s="61"/>
    </row>
    <row r="1478" spans="1:15" x14ac:dyDescent="0.55000000000000004">
      <c r="A1478" s="61"/>
      <c r="B1478" s="61"/>
      <c r="C1478" s="61"/>
      <c r="D1478" s="61"/>
      <c r="E1478" s="61"/>
      <c r="F1478" s="61" t="s">
        <v>1600</v>
      </c>
      <c r="G1478" s="61" t="s">
        <v>535</v>
      </c>
      <c r="H1478" s="61"/>
      <c r="I1478" s="61"/>
      <c r="J1478" s="61"/>
      <c r="K1478" s="61"/>
      <c r="L1478" s="61"/>
      <c r="M1478" s="61"/>
      <c r="N1478" s="61"/>
      <c r="O1478" s="61"/>
    </row>
    <row r="1479" spans="1:15" x14ac:dyDescent="0.55000000000000004">
      <c r="A1479" s="61"/>
      <c r="B1479" s="61"/>
      <c r="C1479" s="61"/>
      <c r="D1479" s="61"/>
      <c r="E1479" s="61"/>
      <c r="F1479" s="61"/>
      <c r="G1479" s="61" t="s">
        <v>535</v>
      </c>
      <c r="H1479" s="61"/>
      <c r="I1479" s="61"/>
      <c r="J1479" s="61"/>
      <c r="K1479" s="61"/>
      <c r="L1479" s="61"/>
      <c r="M1479" s="61"/>
      <c r="N1479" s="61"/>
      <c r="O1479" s="61"/>
    </row>
    <row r="1480" spans="1:15" x14ac:dyDescent="0.55000000000000004">
      <c r="A1480" s="83" t="s">
        <v>1601</v>
      </c>
      <c r="B1480" s="83" t="s">
        <v>1594</v>
      </c>
      <c r="C1480" s="61" t="s">
        <v>1391</v>
      </c>
      <c r="D1480" s="88">
        <v>45269</v>
      </c>
      <c r="E1480" s="83" t="s">
        <v>1259</v>
      </c>
      <c r="F1480" s="61" t="s">
        <v>1595</v>
      </c>
      <c r="G1480" s="61">
        <v>92</v>
      </c>
      <c r="H1480" s="61"/>
      <c r="I1480" s="61"/>
      <c r="J1480" s="61"/>
      <c r="K1480" s="61"/>
      <c r="L1480" s="61"/>
      <c r="M1480" s="61"/>
      <c r="N1480" s="61"/>
      <c r="O1480" s="61"/>
    </row>
    <row r="1481" spans="1:15" x14ac:dyDescent="0.55000000000000004">
      <c r="A1481" s="61"/>
      <c r="B1481" s="61"/>
      <c r="C1481" s="61"/>
      <c r="D1481" s="61"/>
      <c r="E1481" s="61"/>
      <c r="F1481" s="61" t="s">
        <v>1596</v>
      </c>
      <c r="G1481" s="61" t="s">
        <v>535</v>
      </c>
      <c r="H1481" s="61"/>
      <c r="I1481" s="61"/>
      <c r="J1481" s="61"/>
      <c r="K1481" s="61"/>
      <c r="L1481" s="61"/>
      <c r="M1481" s="61"/>
      <c r="N1481" s="61"/>
      <c r="O1481" s="61"/>
    </row>
    <row r="1482" spans="1:15" x14ac:dyDescent="0.55000000000000004">
      <c r="A1482" s="61"/>
      <c r="B1482" s="61"/>
      <c r="C1482" s="61"/>
      <c r="D1482" s="61"/>
      <c r="E1482" s="61"/>
      <c r="F1482" s="61" t="s">
        <v>1602</v>
      </c>
      <c r="G1482" s="61" t="s">
        <v>535</v>
      </c>
      <c r="H1482" s="61"/>
      <c r="I1482" s="61"/>
      <c r="J1482" s="61"/>
      <c r="K1482" s="61"/>
      <c r="L1482" s="61"/>
      <c r="M1482" s="61"/>
      <c r="N1482" s="61"/>
      <c r="O1482" s="61"/>
    </row>
    <row r="1483" spans="1:15" x14ac:dyDescent="0.55000000000000004">
      <c r="A1483" s="61"/>
      <c r="B1483" s="61"/>
      <c r="C1483" s="61"/>
      <c r="D1483" s="61"/>
      <c r="E1483" s="61"/>
      <c r="F1483" s="61"/>
      <c r="G1483" s="61" t="s">
        <v>535</v>
      </c>
      <c r="H1483" s="61"/>
      <c r="I1483" s="61"/>
      <c r="J1483" s="61"/>
      <c r="K1483" s="61"/>
      <c r="L1483" s="61"/>
      <c r="M1483" s="61"/>
      <c r="N1483" s="61"/>
      <c r="O1483" s="61"/>
    </row>
    <row r="1484" spans="1:15" x14ac:dyDescent="0.55000000000000004">
      <c r="A1484" s="81" t="s">
        <v>1603</v>
      </c>
      <c r="B1484" s="81" t="s">
        <v>1594</v>
      </c>
      <c r="C1484" s="61" t="s">
        <v>1391</v>
      </c>
      <c r="D1484" s="81" t="s">
        <v>1604</v>
      </c>
      <c r="E1484" s="81" t="s">
        <v>1259</v>
      </c>
      <c r="F1484" s="61" t="s">
        <v>1595</v>
      </c>
      <c r="G1484" s="61" t="s">
        <v>1605</v>
      </c>
      <c r="H1484" s="61"/>
      <c r="I1484" s="61"/>
      <c r="J1484" s="61"/>
      <c r="K1484" s="61"/>
      <c r="L1484" s="61"/>
      <c r="M1484" s="61"/>
      <c r="N1484" s="61"/>
      <c r="O1484" s="61"/>
    </row>
    <row r="1485" spans="1:15" x14ac:dyDescent="0.55000000000000004">
      <c r="A1485" s="61"/>
      <c r="B1485" s="61"/>
      <c r="C1485" s="61"/>
      <c r="D1485" s="61"/>
      <c r="E1485" s="61"/>
      <c r="F1485" s="61" t="s">
        <v>1596</v>
      </c>
      <c r="G1485" s="61"/>
      <c r="H1485" s="61"/>
      <c r="I1485" s="61"/>
      <c r="J1485" s="61"/>
      <c r="K1485" s="61"/>
      <c r="L1485" s="61"/>
      <c r="M1485" s="61"/>
      <c r="N1485" s="61"/>
      <c r="O1485" s="61"/>
    </row>
    <row r="1486" spans="1:15" x14ac:dyDescent="0.55000000000000004">
      <c r="A1486" s="61"/>
      <c r="B1486" s="61"/>
      <c r="C1486" s="61"/>
      <c r="D1486" s="61"/>
      <c r="E1486" s="61"/>
      <c r="F1486" s="61" t="s">
        <v>1606</v>
      </c>
      <c r="G1486" s="61"/>
      <c r="H1486" s="61"/>
      <c r="I1486" s="61"/>
      <c r="J1486" s="61"/>
      <c r="K1486" s="61"/>
      <c r="L1486" s="61"/>
      <c r="M1486" s="61"/>
      <c r="N1486" s="61"/>
      <c r="O1486" s="61"/>
    </row>
    <row r="1487" spans="1:15" x14ac:dyDescent="0.55000000000000004">
      <c r="A1487" s="61"/>
      <c r="B1487" s="61"/>
      <c r="C1487" s="61"/>
      <c r="D1487" s="61"/>
      <c r="E1487" s="61"/>
      <c r="F1487" s="61" t="s">
        <v>1607</v>
      </c>
      <c r="G1487" s="61"/>
      <c r="H1487" s="61"/>
      <c r="I1487" s="61"/>
      <c r="J1487" s="61"/>
      <c r="K1487" s="61"/>
      <c r="L1487" s="61"/>
      <c r="M1487" s="61"/>
      <c r="N1487" s="61"/>
      <c r="O1487" s="61"/>
    </row>
    <row r="1488" spans="1:15" x14ac:dyDescent="0.55000000000000004">
      <c r="A1488" s="61"/>
      <c r="B1488" s="61"/>
      <c r="C1488" s="61"/>
      <c r="D1488" s="61"/>
      <c r="E1488" s="61"/>
      <c r="F1488" s="61" t="s">
        <v>1608</v>
      </c>
      <c r="G1488" s="61"/>
      <c r="H1488" s="61"/>
      <c r="I1488" s="61"/>
      <c r="J1488" s="61"/>
      <c r="K1488" s="61"/>
      <c r="L1488" s="61"/>
      <c r="M1488" s="61"/>
      <c r="N1488" s="61"/>
      <c r="O1488" s="61"/>
    </row>
    <row r="1489" spans="1:15" x14ac:dyDescent="0.55000000000000004">
      <c r="A1489" s="61"/>
      <c r="B1489" s="61"/>
      <c r="C1489" s="61"/>
      <c r="D1489" s="61"/>
      <c r="E1489" s="61"/>
      <c r="F1489" s="61" t="s">
        <v>1609</v>
      </c>
      <c r="G1489" s="61"/>
      <c r="H1489" s="61"/>
      <c r="I1489" s="61"/>
      <c r="J1489" s="61"/>
      <c r="K1489" s="61"/>
      <c r="L1489" s="61"/>
      <c r="M1489" s="61"/>
      <c r="N1489" s="61"/>
      <c r="O1489" s="61"/>
    </row>
    <row r="1490" spans="1:15" x14ac:dyDescent="0.55000000000000004">
      <c r="A1490" s="61"/>
      <c r="B1490" s="61"/>
      <c r="C1490" s="61"/>
      <c r="D1490" s="61"/>
      <c r="E1490" s="61"/>
      <c r="F1490" s="61" t="s">
        <v>1610</v>
      </c>
      <c r="G1490" s="61"/>
      <c r="H1490" s="61"/>
      <c r="I1490" s="61"/>
      <c r="J1490" s="61"/>
      <c r="K1490" s="61"/>
      <c r="L1490" s="61"/>
      <c r="M1490" s="61"/>
      <c r="N1490" s="61"/>
      <c r="O1490" s="61"/>
    </row>
    <row r="1491" spans="1:15" x14ac:dyDescent="0.55000000000000004">
      <c r="A1491" s="61"/>
      <c r="B1491" s="61"/>
      <c r="C1491" s="61"/>
      <c r="D1491" s="61"/>
      <c r="E1491" s="61"/>
      <c r="F1491" s="61" t="s">
        <v>1611</v>
      </c>
      <c r="G1491" s="61"/>
      <c r="H1491" s="61"/>
      <c r="I1491" s="61"/>
      <c r="J1491" s="61"/>
      <c r="K1491" s="61"/>
      <c r="L1491" s="61"/>
      <c r="M1491" s="61"/>
      <c r="N1491" s="61"/>
      <c r="O1491" s="61"/>
    </row>
    <row r="1492" spans="1:15" x14ac:dyDescent="0.55000000000000004">
      <c r="A1492" s="61"/>
      <c r="B1492" s="61"/>
      <c r="C1492" s="61"/>
      <c r="D1492" s="61"/>
      <c r="E1492" s="61"/>
      <c r="F1492" s="61" t="s">
        <v>1612</v>
      </c>
      <c r="G1492" s="61"/>
      <c r="H1492" s="61"/>
      <c r="I1492" s="61"/>
      <c r="J1492" s="61"/>
      <c r="K1492" s="61"/>
      <c r="L1492" s="61"/>
      <c r="M1492" s="61"/>
      <c r="N1492" s="61"/>
      <c r="O1492" s="61"/>
    </row>
    <row r="1493" spans="1:15" x14ac:dyDescent="0.55000000000000004">
      <c r="A1493" s="61"/>
      <c r="B1493" s="61"/>
      <c r="C1493" s="61"/>
      <c r="D1493" s="61"/>
      <c r="E1493" s="61"/>
      <c r="F1493" s="61">
        <v>6.6666666999999999E-2</v>
      </c>
      <c r="G1493" s="61"/>
      <c r="H1493" s="61" t="s">
        <v>1613</v>
      </c>
      <c r="I1493" s="61"/>
      <c r="J1493" s="61"/>
      <c r="K1493" s="61"/>
      <c r="L1493" s="61"/>
      <c r="M1493" s="61"/>
      <c r="N1493" s="61"/>
      <c r="O1493" s="61"/>
    </row>
    <row r="1494" spans="1:15" x14ac:dyDescent="0.55000000000000004">
      <c r="A1494" s="61"/>
      <c r="B1494" s="61"/>
      <c r="C1494" s="61"/>
      <c r="D1494" s="61"/>
      <c r="E1494" s="61"/>
      <c r="F1494" s="61" t="s">
        <v>1614</v>
      </c>
      <c r="G1494" s="61"/>
      <c r="H1494" s="61"/>
      <c r="I1494" s="61"/>
      <c r="J1494" s="61"/>
      <c r="K1494" s="61"/>
      <c r="L1494" s="61"/>
      <c r="M1494" s="61"/>
      <c r="N1494" s="61"/>
      <c r="O1494" s="61"/>
    </row>
    <row r="1495" spans="1:15" x14ac:dyDescent="0.55000000000000004">
      <c r="A1495" s="61"/>
      <c r="B1495" s="61"/>
      <c r="C1495" s="61"/>
      <c r="D1495" s="61"/>
      <c r="E1495" s="61"/>
      <c r="F1495" s="61">
        <v>6.6666666999999999E-2</v>
      </c>
      <c r="G1495" s="61"/>
      <c r="H1495" s="61" t="s">
        <v>1613</v>
      </c>
      <c r="I1495" s="61"/>
      <c r="J1495" s="61"/>
      <c r="K1495" s="61"/>
      <c r="L1495" s="61"/>
      <c r="M1495" s="61"/>
      <c r="N1495" s="61"/>
      <c r="O1495" s="61"/>
    </row>
    <row r="1496" spans="1:15" x14ac:dyDescent="0.55000000000000004">
      <c r="A1496" s="61"/>
      <c r="B1496" s="61"/>
      <c r="C1496" s="61"/>
      <c r="D1496" s="61"/>
      <c r="E1496" s="61"/>
      <c r="F1496" s="61"/>
      <c r="G1496" s="61"/>
      <c r="H1496" s="61"/>
      <c r="I1496" s="61"/>
      <c r="J1496" s="61"/>
      <c r="K1496" s="61"/>
      <c r="L1496" s="61"/>
      <c r="M1496" s="61"/>
      <c r="N1496" s="61"/>
      <c r="O1496" s="61"/>
    </row>
    <row r="1497" spans="1:15" x14ac:dyDescent="0.55000000000000004">
      <c r="A1497" s="85" t="s">
        <v>1161</v>
      </c>
      <c r="B1497" s="85" t="s">
        <v>1615</v>
      </c>
      <c r="C1497" s="61" t="s">
        <v>1391</v>
      </c>
      <c r="D1497" s="89">
        <v>45088</v>
      </c>
      <c r="E1497" s="85" t="s">
        <v>1259</v>
      </c>
      <c r="F1497" s="61" t="s">
        <v>1616</v>
      </c>
      <c r="G1497" s="61">
        <v>95</v>
      </c>
      <c r="H1497" s="61"/>
      <c r="I1497" s="61"/>
      <c r="J1497" s="61"/>
      <c r="K1497" s="61"/>
      <c r="L1497" s="61"/>
      <c r="M1497" s="61"/>
      <c r="N1497" s="61"/>
      <c r="O1497" s="61"/>
    </row>
    <row r="1498" spans="1:15" x14ac:dyDescent="0.55000000000000004">
      <c r="A1498" s="61"/>
      <c r="B1498" s="61"/>
      <c r="C1498" s="61"/>
      <c r="D1498" s="61"/>
      <c r="E1498" s="61"/>
      <c r="F1498" s="61" t="s">
        <v>1617</v>
      </c>
      <c r="G1498" s="61" t="s">
        <v>535</v>
      </c>
      <c r="H1498" s="61"/>
      <c r="I1498" s="61"/>
      <c r="J1498" s="61"/>
      <c r="K1498" s="61"/>
      <c r="L1498" s="61"/>
      <c r="M1498" s="61"/>
      <c r="N1498" s="61"/>
      <c r="O1498" s="61"/>
    </row>
    <row r="1499" spans="1:15" x14ac:dyDescent="0.55000000000000004">
      <c r="A1499" s="61"/>
      <c r="B1499" s="61"/>
      <c r="C1499" s="61"/>
      <c r="D1499" s="61"/>
      <c r="E1499" s="61"/>
      <c r="F1499" s="61" t="s">
        <v>1618</v>
      </c>
      <c r="G1499" s="61" t="s">
        <v>535</v>
      </c>
      <c r="H1499" s="61"/>
      <c r="I1499" s="61"/>
      <c r="J1499" s="61"/>
      <c r="K1499" s="61"/>
      <c r="L1499" s="61"/>
      <c r="M1499" s="61"/>
      <c r="N1499" s="61"/>
      <c r="O1499" s="61"/>
    </row>
    <row r="1500" spans="1:15" x14ac:dyDescent="0.55000000000000004">
      <c r="A1500" s="61"/>
      <c r="B1500" s="61"/>
      <c r="C1500" s="61"/>
      <c r="D1500" s="61"/>
      <c r="E1500" s="61"/>
      <c r="F1500" s="61" t="s">
        <v>1619</v>
      </c>
      <c r="G1500" s="61" t="s">
        <v>535</v>
      </c>
      <c r="H1500" s="61"/>
      <c r="I1500" s="61"/>
      <c r="J1500" s="61"/>
      <c r="K1500" s="61"/>
      <c r="L1500" s="61"/>
      <c r="M1500" s="61"/>
      <c r="N1500" s="61"/>
      <c r="O1500" s="61"/>
    </row>
    <row r="1501" spans="1:15" x14ac:dyDescent="0.55000000000000004">
      <c r="A1501" s="61"/>
      <c r="B1501" s="61"/>
      <c r="C1501" s="61"/>
      <c r="D1501" s="61"/>
      <c r="E1501" s="61"/>
      <c r="F1501" s="61" t="s">
        <v>1620</v>
      </c>
      <c r="G1501" s="61" t="s">
        <v>535</v>
      </c>
      <c r="H1501" s="61"/>
      <c r="I1501" s="61"/>
      <c r="J1501" s="61"/>
      <c r="K1501" s="61"/>
      <c r="L1501" s="61"/>
      <c r="M1501" s="61"/>
      <c r="N1501" s="61"/>
      <c r="O1501" s="61"/>
    </row>
    <row r="1502" spans="1:15" x14ac:dyDescent="0.55000000000000004">
      <c r="A1502" s="61"/>
      <c r="B1502" s="61"/>
      <c r="C1502" s="61"/>
      <c r="D1502" s="61"/>
      <c r="E1502" s="61"/>
      <c r="F1502" s="61" t="s">
        <v>1621</v>
      </c>
      <c r="G1502" s="61" t="s">
        <v>535</v>
      </c>
      <c r="H1502" s="61"/>
      <c r="I1502" s="61"/>
      <c r="J1502" s="61"/>
      <c r="K1502" s="61"/>
      <c r="L1502" s="61"/>
      <c r="M1502" s="61"/>
      <c r="N1502" s="61"/>
      <c r="O1502" s="61"/>
    </row>
    <row r="1503" spans="1:15" x14ac:dyDescent="0.55000000000000004">
      <c r="A1503" s="61"/>
      <c r="B1503" s="61"/>
      <c r="C1503" s="61"/>
      <c r="D1503" s="61"/>
      <c r="E1503" s="61"/>
      <c r="F1503" s="61"/>
      <c r="G1503" s="61" t="s">
        <v>535</v>
      </c>
      <c r="H1503" s="61"/>
      <c r="I1503" s="61"/>
      <c r="J1503" s="61"/>
      <c r="K1503" s="61"/>
      <c r="L1503" s="61"/>
      <c r="M1503" s="61"/>
      <c r="N1503" s="61"/>
      <c r="O1503" s="61"/>
    </row>
    <row r="1504" spans="1:15" x14ac:dyDescent="0.55000000000000004">
      <c r="A1504" s="84" t="s">
        <v>495</v>
      </c>
      <c r="B1504" s="84"/>
      <c r="C1504" s="61" t="s">
        <v>1622</v>
      </c>
      <c r="D1504" s="90">
        <v>45088</v>
      </c>
      <c r="E1504" s="84" t="s">
        <v>1259</v>
      </c>
      <c r="F1504" s="61" t="s">
        <v>1623</v>
      </c>
      <c r="G1504" s="61">
        <v>96</v>
      </c>
      <c r="H1504" s="61"/>
      <c r="I1504" s="61"/>
      <c r="J1504" s="61"/>
      <c r="K1504" s="61"/>
      <c r="L1504" s="61"/>
      <c r="M1504" s="61"/>
      <c r="N1504" s="61"/>
      <c r="O1504" s="61"/>
    </row>
    <row r="1505" spans="1:15" x14ac:dyDescent="0.55000000000000004">
      <c r="A1505" s="61"/>
      <c r="B1505" s="61"/>
      <c r="C1505" s="61"/>
      <c r="D1505" s="61"/>
      <c r="E1505" s="61"/>
      <c r="F1505" s="61"/>
      <c r="G1505" s="61"/>
      <c r="H1505" s="61"/>
      <c r="I1505" s="61"/>
      <c r="J1505" s="61"/>
      <c r="K1505" s="61"/>
      <c r="L1505" s="61"/>
      <c r="M1505" s="61"/>
      <c r="N1505" s="61"/>
      <c r="O1505" s="61"/>
    </row>
    <row r="1506" spans="1:15" x14ac:dyDescent="0.55000000000000004">
      <c r="A1506" s="61"/>
      <c r="B1506" s="61"/>
      <c r="C1506" s="61"/>
      <c r="D1506" s="61"/>
      <c r="E1506" s="61"/>
      <c r="F1506" s="61" t="s">
        <v>1624</v>
      </c>
      <c r="G1506" s="61"/>
      <c r="H1506" s="61"/>
      <c r="I1506" s="61"/>
      <c r="J1506" s="61"/>
      <c r="K1506" s="61"/>
      <c r="L1506" s="61"/>
      <c r="M1506" s="61"/>
      <c r="N1506" s="61"/>
      <c r="O1506" s="61"/>
    </row>
    <row r="1507" spans="1:15" x14ac:dyDescent="0.55000000000000004">
      <c r="A1507" s="61"/>
      <c r="B1507" s="61"/>
      <c r="C1507" s="61"/>
      <c r="D1507" s="61"/>
      <c r="E1507" s="61"/>
      <c r="F1507" s="61" t="s">
        <v>1625</v>
      </c>
      <c r="G1507" s="61"/>
      <c r="H1507" s="61"/>
      <c r="I1507" s="61"/>
      <c r="J1507" s="61"/>
      <c r="K1507" s="61" t="s">
        <v>1626</v>
      </c>
      <c r="L1507" s="61"/>
      <c r="M1507" s="61"/>
      <c r="N1507" s="61"/>
      <c r="O1507" s="61"/>
    </row>
    <row r="1508" spans="1:15" x14ac:dyDescent="0.55000000000000004">
      <c r="A1508" s="61"/>
      <c r="B1508" s="61"/>
      <c r="C1508" s="61"/>
      <c r="D1508" s="61"/>
      <c r="E1508" s="61"/>
      <c r="F1508" s="61">
        <v>1.9</v>
      </c>
      <c r="G1508" s="61" t="s">
        <v>1627</v>
      </c>
      <c r="H1508" s="61"/>
      <c r="I1508" s="61"/>
      <c r="J1508" s="61"/>
      <c r="K1508" s="61">
        <v>1.82692308</v>
      </c>
      <c r="L1508" s="61" t="s">
        <v>1628</v>
      </c>
      <c r="M1508" s="61" t="s">
        <v>171</v>
      </c>
      <c r="N1508" s="61" t="s">
        <v>1629</v>
      </c>
      <c r="O1508" s="61"/>
    </row>
    <row r="1509" spans="1:15" x14ac:dyDescent="0.55000000000000004">
      <c r="A1509" s="61"/>
      <c r="B1509" s="61"/>
      <c r="C1509" s="61"/>
      <c r="D1509" s="61"/>
      <c r="E1509" s="61"/>
      <c r="F1509" s="61">
        <v>1.9</v>
      </c>
      <c r="G1509" s="61" t="s">
        <v>1630</v>
      </c>
      <c r="H1509" s="61"/>
      <c r="I1509" s="61"/>
      <c r="J1509" s="61"/>
      <c r="K1509" s="61">
        <v>1.9</v>
      </c>
      <c r="L1509" s="61" t="s">
        <v>1628</v>
      </c>
      <c r="M1509" s="61" t="s">
        <v>153</v>
      </c>
      <c r="N1509" s="61"/>
      <c r="O1509" s="61"/>
    </row>
    <row r="1510" spans="1:15" x14ac:dyDescent="0.55000000000000004">
      <c r="A1510" s="61"/>
      <c r="B1510" s="61"/>
      <c r="C1510" s="61"/>
      <c r="D1510" s="61"/>
      <c r="E1510" s="61"/>
      <c r="F1510" s="61">
        <v>3.9</v>
      </c>
      <c r="G1510" s="61" t="s">
        <v>1631</v>
      </c>
      <c r="H1510" s="61"/>
      <c r="I1510" s="61"/>
      <c r="J1510" s="61"/>
      <c r="K1510" s="61">
        <v>9.75</v>
      </c>
      <c r="L1510" s="61" t="s">
        <v>1628</v>
      </c>
      <c r="M1510" s="61" t="s">
        <v>496</v>
      </c>
      <c r="N1510" s="61" t="s">
        <v>1632</v>
      </c>
      <c r="O1510" s="61"/>
    </row>
    <row r="1511" spans="1:15" x14ac:dyDescent="0.55000000000000004">
      <c r="A1511" s="61"/>
      <c r="B1511" s="61"/>
      <c r="C1511" s="61"/>
      <c r="D1511" s="61"/>
      <c r="E1511" s="61"/>
      <c r="F1511" s="61"/>
      <c r="G1511" s="61"/>
      <c r="H1511" s="61"/>
      <c r="I1511" s="61"/>
      <c r="J1511" s="61"/>
      <c r="K1511" s="61"/>
      <c r="L1511" s="61"/>
      <c r="M1511" s="61"/>
      <c r="N1511" s="61" t="s">
        <v>1633</v>
      </c>
      <c r="O1511" s="61"/>
    </row>
    <row r="1512" spans="1:15" x14ac:dyDescent="0.55000000000000004">
      <c r="A1512" s="61"/>
      <c r="B1512" s="61"/>
      <c r="C1512" s="61"/>
      <c r="D1512" s="61"/>
      <c r="E1512" s="61"/>
      <c r="F1512" s="61"/>
      <c r="G1512" s="61"/>
      <c r="H1512" s="61"/>
      <c r="I1512" s="61"/>
      <c r="J1512" s="61"/>
      <c r="K1512" s="61"/>
      <c r="L1512" s="61"/>
      <c r="M1512" s="61"/>
      <c r="N1512" s="61" t="s">
        <v>1634</v>
      </c>
      <c r="O1512" s="61"/>
    </row>
    <row r="1513" spans="1:15" x14ac:dyDescent="0.55000000000000004">
      <c r="A1513" s="86" t="s">
        <v>501</v>
      </c>
      <c r="B1513" s="86" t="s">
        <v>1635</v>
      </c>
      <c r="C1513" s="86" t="s">
        <v>1636</v>
      </c>
      <c r="D1513" s="86" t="s">
        <v>1637</v>
      </c>
      <c r="E1513" s="86" t="s">
        <v>1259</v>
      </c>
      <c r="F1513" s="61" t="s">
        <v>1638</v>
      </c>
      <c r="G1513">
        <v>97</v>
      </c>
    </row>
    <row r="1514" spans="1:15" x14ac:dyDescent="0.55000000000000004">
      <c r="A1514" s="61"/>
      <c r="B1514" s="61"/>
      <c r="C1514" s="61"/>
      <c r="D1514" s="61"/>
      <c r="E1514" s="61"/>
      <c r="F1514" s="61" t="s">
        <v>1639</v>
      </c>
    </row>
    <row r="1516" spans="1:15" x14ac:dyDescent="0.55000000000000004">
      <c r="A1516" s="61" t="s">
        <v>1152</v>
      </c>
      <c r="B1516" s="61" t="s">
        <v>1640</v>
      </c>
      <c r="C1516" t="s">
        <v>1441</v>
      </c>
      <c r="D1516" s="52">
        <v>45251</v>
      </c>
      <c r="E1516" t="s">
        <v>1265</v>
      </c>
      <c r="F1516" t="s">
        <v>1641</v>
      </c>
      <c r="G1516" t="s">
        <v>1642</v>
      </c>
    </row>
    <row r="1517" spans="1:15" x14ac:dyDescent="0.55000000000000004">
      <c r="A1517" s="61" t="s">
        <v>1155</v>
      </c>
      <c r="B1517" s="61" t="s">
        <v>1643</v>
      </c>
      <c r="C1517" t="s">
        <v>1441</v>
      </c>
      <c r="D1517" s="52">
        <v>45251</v>
      </c>
      <c r="E1517" t="s">
        <v>1265</v>
      </c>
    </row>
    <row r="1518" spans="1:15" x14ac:dyDescent="0.55000000000000004">
      <c r="A1518" s="61" t="s">
        <v>1149</v>
      </c>
      <c r="B1518" s="61" t="s">
        <v>1644</v>
      </c>
      <c r="C1518" t="s">
        <v>1441</v>
      </c>
      <c r="D1518" s="52">
        <v>45251</v>
      </c>
      <c r="E1518" t="s">
        <v>1265</v>
      </c>
    </row>
    <row r="1520" spans="1:15" x14ac:dyDescent="0.55000000000000004">
      <c r="A1520" s="75" t="s">
        <v>475</v>
      </c>
      <c r="B1520" s="75" t="s">
        <v>475</v>
      </c>
      <c r="C1520" s="61" t="s">
        <v>1422</v>
      </c>
      <c r="D1520" s="63">
        <v>45252</v>
      </c>
      <c r="E1520" s="61" t="s">
        <v>1322</v>
      </c>
      <c r="F1520" s="61" t="s">
        <v>1327</v>
      </c>
      <c r="G1520" s="61"/>
      <c r="H1520" s="61"/>
    </row>
    <row r="1521" spans="1:8" x14ac:dyDescent="0.55000000000000004">
      <c r="A1521" s="61"/>
      <c r="B1521" s="61"/>
      <c r="C1521" s="61"/>
      <c r="D1521" s="61"/>
      <c r="E1521" s="61"/>
      <c r="F1521" s="66" t="s">
        <v>1260</v>
      </c>
      <c r="G1521" s="61"/>
      <c r="H1521" s="61"/>
    </row>
    <row r="1522" spans="1:8" x14ac:dyDescent="0.55000000000000004">
      <c r="A1522" s="61"/>
      <c r="B1522" s="61"/>
      <c r="C1522" s="61"/>
      <c r="D1522" s="61"/>
      <c r="E1522" s="61"/>
      <c r="F1522" s="61" t="s">
        <v>1261</v>
      </c>
      <c r="G1522" s="61"/>
      <c r="H1522" s="61"/>
    </row>
    <row r="1523" spans="1:8" x14ac:dyDescent="0.55000000000000004">
      <c r="A1523" s="61"/>
      <c r="B1523" s="61"/>
      <c r="C1523" s="61"/>
      <c r="D1523" s="61"/>
      <c r="E1523" s="61"/>
      <c r="F1523" s="66" t="s">
        <v>1262</v>
      </c>
      <c r="G1523" s="61"/>
      <c r="H1523" s="61"/>
    </row>
    <row r="1524" spans="1:8" x14ac:dyDescent="0.55000000000000004">
      <c r="A1524" s="61"/>
      <c r="B1524" s="61"/>
      <c r="C1524" s="61"/>
      <c r="D1524" s="61"/>
      <c r="E1524" s="61"/>
      <c r="F1524" s="61" t="s">
        <v>1261</v>
      </c>
      <c r="G1524" s="61"/>
      <c r="H1524" s="61"/>
    </row>
    <row r="1525" spans="1:8" x14ac:dyDescent="0.55000000000000004">
      <c r="A1525" s="61"/>
      <c r="B1525" s="61"/>
      <c r="C1525" s="61"/>
      <c r="D1525" s="61"/>
      <c r="E1525" s="61"/>
      <c r="F1525" s="61"/>
      <c r="G1525" s="61"/>
      <c r="H1525" s="61"/>
    </row>
    <row r="1526" spans="1:8" x14ac:dyDescent="0.55000000000000004">
      <c r="A1526" s="75" t="s">
        <v>473</v>
      </c>
      <c r="B1526" s="75" t="s">
        <v>473</v>
      </c>
      <c r="C1526" s="61" t="s">
        <v>1422</v>
      </c>
      <c r="D1526" s="63">
        <v>45252</v>
      </c>
      <c r="E1526" s="61" t="s">
        <v>1322</v>
      </c>
      <c r="F1526" s="61" t="s">
        <v>1327</v>
      </c>
      <c r="G1526" s="61"/>
      <c r="H1526" s="61"/>
    </row>
    <row r="1527" spans="1:8" x14ac:dyDescent="0.55000000000000004">
      <c r="A1527" s="61"/>
      <c r="B1527" s="61"/>
      <c r="C1527" s="61"/>
      <c r="D1527" s="61"/>
      <c r="E1527" s="61"/>
      <c r="F1527" s="66" t="s">
        <v>1260</v>
      </c>
      <c r="G1527" s="61"/>
      <c r="H1527" s="61"/>
    </row>
    <row r="1528" spans="1:8" x14ac:dyDescent="0.55000000000000004">
      <c r="A1528" s="61"/>
      <c r="B1528" s="61"/>
      <c r="C1528" s="61"/>
      <c r="D1528" s="61"/>
      <c r="E1528" s="61"/>
      <c r="F1528" s="61" t="s">
        <v>1261</v>
      </c>
      <c r="G1528" s="61"/>
      <c r="H1528" s="61"/>
    </row>
    <row r="1529" spans="1:8" x14ac:dyDescent="0.55000000000000004">
      <c r="A1529" s="61"/>
      <c r="B1529" s="61"/>
      <c r="C1529" s="61"/>
      <c r="D1529" s="61"/>
      <c r="E1529" s="61"/>
      <c r="F1529" s="66" t="s">
        <v>1262</v>
      </c>
      <c r="G1529" s="61"/>
      <c r="H1529" s="61"/>
    </row>
    <row r="1530" spans="1:8" x14ac:dyDescent="0.55000000000000004">
      <c r="A1530" s="61"/>
      <c r="B1530" s="61"/>
      <c r="C1530" s="61"/>
      <c r="D1530" s="61"/>
      <c r="E1530" s="61"/>
      <c r="F1530" s="61" t="s">
        <v>1261</v>
      </c>
      <c r="G1530" s="61"/>
      <c r="H1530" s="61"/>
    </row>
    <row r="1531" spans="1:8" x14ac:dyDescent="0.55000000000000004">
      <c r="A1531" s="61"/>
      <c r="B1531" s="61"/>
      <c r="C1531" s="61"/>
      <c r="D1531" s="61"/>
      <c r="E1531" s="61"/>
      <c r="F1531" s="61"/>
      <c r="G1531" s="61"/>
      <c r="H1531" s="61"/>
    </row>
    <row r="1532" spans="1:8" x14ac:dyDescent="0.55000000000000004">
      <c r="A1532" s="75" t="s">
        <v>1645</v>
      </c>
      <c r="B1532" s="75" t="s">
        <v>1645</v>
      </c>
      <c r="C1532" s="61" t="s">
        <v>1422</v>
      </c>
      <c r="D1532" s="63">
        <v>45252</v>
      </c>
      <c r="E1532" s="61" t="s">
        <v>1322</v>
      </c>
      <c r="F1532" s="61" t="s">
        <v>1327</v>
      </c>
      <c r="G1532" s="61"/>
      <c r="H1532" s="61"/>
    </row>
    <row r="1533" spans="1:8" x14ac:dyDescent="0.55000000000000004">
      <c r="A1533" s="61"/>
      <c r="B1533" s="61"/>
      <c r="C1533" s="61"/>
      <c r="D1533" s="61"/>
      <c r="E1533" s="61"/>
      <c r="F1533" s="66" t="s">
        <v>1260</v>
      </c>
      <c r="G1533" s="61"/>
      <c r="H1533" s="61"/>
    </row>
    <row r="1534" spans="1:8" x14ac:dyDescent="0.55000000000000004">
      <c r="A1534" s="61"/>
      <c r="B1534" s="61"/>
      <c r="C1534" s="61"/>
      <c r="D1534" s="61"/>
      <c r="E1534" s="61"/>
      <c r="F1534" s="61" t="s">
        <v>1261</v>
      </c>
      <c r="G1534" s="61"/>
      <c r="H1534" s="61"/>
    </row>
    <row r="1535" spans="1:8" x14ac:dyDescent="0.55000000000000004">
      <c r="A1535" s="61"/>
      <c r="B1535" s="61"/>
      <c r="C1535" s="61"/>
      <c r="D1535" s="61"/>
      <c r="E1535" s="61"/>
      <c r="F1535" s="66" t="s">
        <v>1262</v>
      </c>
      <c r="G1535" s="61"/>
      <c r="H1535" s="61"/>
    </row>
    <row r="1536" spans="1:8" x14ac:dyDescent="0.55000000000000004">
      <c r="A1536" s="61"/>
      <c r="B1536" s="61"/>
      <c r="C1536" s="61"/>
      <c r="D1536" s="61"/>
      <c r="E1536" s="61"/>
      <c r="F1536" s="61" t="s">
        <v>1261</v>
      </c>
      <c r="G1536" s="61"/>
      <c r="H1536" s="61"/>
    </row>
    <row r="1537" spans="1:8" x14ac:dyDescent="0.55000000000000004">
      <c r="A1537" s="61"/>
      <c r="B1537" s="61"/>
      <c r="C1537" s="61"/>
      <c r="D1537" s="61"/>
      <c r="E1537" s="61"/>
      <c r="F1537" s="61"/>
      <c r="G1537" s="61"/>
      <c r="H1537" s="61"/>
    </row>
    <row r="1538" spans="1:8" x14ac:dyDescent="0.55000000000000004">
      <c r="A1538" s="75" t="s">
        <v>468</v>
      </c>
      <c r="B1538" s="75" t="s">
        <v>468</v>
      </c>
      <c r="C1538" s="61" t="s">
        <v>1422</v>
      </c>
      <c r="D1538" s="63">
        <v>45252</v>
      </c>
      <c r="E1538" s="61" t="s">
        <v>1322</v>
      </c>
      <c r="F1538" s="61" t="s">
        <v>1327</v>
      </c>
      <c r="G1538" s="61"/>
      <c r="H1538" s="61"/>
    </row>
    <row r="1539" spans="1:8" x14ac:dyDescent="0.55000000000000004">
      <c r="A1539" s="61"/>
      <c r="B1539" s="61"/>
      <c r="C1539" s="61"/>
      <c r="D1539" s="61"/>
      <c r="E1539" s="61"/>
      <c r="F1539" s="66" t="s">
        <v>1260</v>
      </c>
      <c r="G1539" s="61"/>
      <c r="H1539" s="61"/>
    </row>
    <row r="1540" spans="1:8" x14ac:dyDescent="0.55000000000000004">
      <c r="A1540" s="61"/>
      <c r="B1540" s="61"/>
      <c r="C1540" s="61"/>
      <c r="D1540" s="61"/>
      <c r="E1540" s="61"/>
      <c r="F1540" s="61" t="s">
        <v>1261</v>
      </c>
      <c r="G1540" s="61"/>
      <c r="H1540" s="61"/>
    </row>
    <row r="1541" spans="1:8" x14ac:dyDescent="0.55000000000000004">
      <c r="A1541" s="61"/>
      <c r="B1541" s="61"/>
      <c r="C1541" s="61"/>
      <c r="D1541" s="61"/>
      <c r="E1541" s="61"/>
      <c r="F1541" s="66" t="s">
        <v>1262</v>
      </c>
      <c r="G1541" s="61"/>
      <c r="H1541" s="61"/>
    </row>
    <row r="1542" spans="1:8" x14ac:dyDescent="0.55000000000000004">
      <c r="A1542" s="61"/>
      <c r="B1542" s="61"/>
      <c r="C1542" s="61"/>
      <c r="D1542" s="61"/>
      <c r="E1542" s="61"/>
      <c r="F1542" s="61" t="s">
        <v>1261</v>
      </c>
      <c r="G1542" s="61"/>
      <c r="H1542" s="61"/>
    </row>
    <row r="1543" spans="1:8" x14ac:dyDescent="0.55000000000000004">
      <c r="A1543" s="61"/>
      <c r="B1543" s="61"/>
      <c r="C1543" s="61"/>
      <c r="D1543" s="61"/>
      <c r="E1543" s="61"/>
      <c r="F1543" s="61"/>
      <c r="G1543" s="61"/>
      <c r="H1543" s="61"/>
    </row>
    <row r="1544" spans="1:8" x14ac:dyDescent="0.55000000000000004">
      <c r="A1544" s="75" t="s">
        <v>232</v>
      </c>
      <c r="B1544" s="75" t="s">
        <v>232</v>
      </c>
      <c r="C1544" s="61" t="s">
        <v>1422</v>
      </c>
      <c r="D1544" s="63">
        <v>45257</v>
      </c>
      <c r="E1544" s="61" t="s">
        <v>1322</v>
      </c>
      <c r="F1544" s="61" t="s">
        <v>1646</v>
      </c>
      <c r="G1544" s="61">
        <v>101</v>
      </c>
      <c r="H1544" s="61"/>
    </row>
    <row r="1545" spans="1:8" x14ac:dyDescent="0.55000000000000004">
      <c r="A1545" s="61"/>
      <c r="B1545" s="61"/>
      <c r="C1545" s="61"/>
      <c r="D1545" s="61"/>
      <c r="E1545" s="61"/>
      <c r="F1545" s="66" t="s">
        <v>1260</v>
      </c>
      <c r="G1545" s="61" t="s">
        <v>535</v>
      </c>
      <c r="H1545" s="61"/>
    </row>
    <row r="1546" spans="1:8" x14ac:dyDescent="0.55000000000000004">
      <c r="A1546" s="61"/>
      <c r="B1546" s="61"/>
      <c r="C1546" s="61"/>
      <c r="D1546" s="61"/>
      <c r="E1546" s="61"/>
      <c r="F1546" s="61" t="s">
        <v>1261</v>
      </c>
      <c r="G1546" s="61" t="s">
        <v>535</v>
      </c>
      <c r="H1546" s="61"/>
    </row>
    <row r="1547" spans="1:8" x14ac:dyDescent="0.55000000000000004">
      <c r="A1547" s="61"/>
      <c r="B1547" s="61"/>
      <c r="C1547" s="61"/>
      <c r="D1547" s="61"/>
      <c r="E1547" s="61"/>
      <c r="F1547" s="66" t="s">
        <v>1262</v>
      </c>
      <c r="G1547" s="61" t="s">
        <v>535</v>
      </c>
      <c r="H1547" s="61"/>
    </row>
    <row r="1548" spans="1:8" x14ac:dyDescent="0.55000000000000004">
      <c r="A1548" s="61"/>
      <c r="B1548" s="61"/>
      <c r="C1548" s="61"/>
      <c r="D1548" s="61"/>
      <c r="E1548" s="61"/>
      <c r="F1548" s="61" t="s">
        <v>1261</v>
      </c>
      <c r="G1548" s="61" t="s">
        <v>535</v>
      </c>
      <c r="H1548" s="61"/>
    </row>
    <row r="1549" spans="1:8" x14ac:dyDescent="0.55000000000000004">
      <c r="G1549" t="s">
        <v>535</v>
      </c>
    </row>
    <row r="1550" spans="1:8" x14ac:dyDescent="0.55000000000000004">
      <c r="A1550" s="75" t="s">
        <v>228</v>
      </c>
      <c r="B1550" s="75" t="s">
        <v>228</v>
      </c>
      <c r="C1550" s="61" t="s">
        <v>1422</v>
      </c>
      <c r="D1550" s="63">
        <v>45257</v>
      </c>
      <c r="E1550" s="61" t="s">
        <v>1322</v>
      </c>
      <c r="F1550" s="61" t="s">
        <v>1646</v>
      </c>
      <c r="G1550" s="61">
        <v>101</v>
      </c>
      <c r="H1550" s="61"/>
    </row>
    <row r="1551" spans="1:8" x14ac:dyDescent="0.55000000000000004">
      <c r="A1551" s="61"/>
      <c r="B1551" s="61"/>
      <c r="C1551" s="61"/>
      <c r="D1551" s="61"/>
      <c r="E1551" s="61"/>
      <c r="F1551" s="66" t="s">
        <v>1260</v>
      </c>
      <c r="G1551" s="61" t="s">
        <v>535</v>
      </c>
      <c r="H1551" s="61"/>
    </row>
    <row r="1552" spans="1:8" x14ac:dyDescent="0.55000000000000004">
      <c r="A1552" s="61"/>
      <c r="B1552" s="61"/>
      <c r="C1552" s="61"/>
      <c r="D1552" s="61"/>
      <c r="E1552" s="61"/>
      <c r="F1552" s="61" t="s">
        <v>1261</v>
      </c>
      <c r="G1552" s="61" t="s">
        <v>535</v>
      </c>
      <c r="H1552" s="61"/>
    </row>
    <row r="1553" spans="1:8" x14ac:dyDescent="0.55000000000000004">
      <c r="A1553" s="61"/>
      <c r="B1553" s="61"/>
      <c r="C1553" s="61"/>
      <c r="D1553" s="61"/>
      <c r="E1553" s="61"/>
      <c r="F1553" s="66" t="s">
        <v>1262</v>
      </c>
      <c r="G1553" s="61" t="s">
        <v>535</v>
      </c>
      <c r="H1553" s="61"/>
    </row>
    <row r="1554" spans="1:8" x14ac:dyDescent="0.55000000000000004">
      <c r="A1554" s="61"/>
      <c r="B1554" s="61"/>
      <c r="C1554" s="61"/>
      <c r="D1554" s="61"/>
      <c r="E1554" s="61"/>
      <c r="F1554" s="61" t="s">
        <v>1261</v>
      </c>
      <c r="G1554" s="61" t="s">
        <v>535</v>
      </c>
      <c r="H1554" s="61"/>
    </row>
    <row r="1555" spans="1:8" x14ac:dyDescent="0.55000000000000004">
      <c r="G1555" t="s">
        <v>535</v>
      </c>
    </row>
    <row r="1556" spans="1:8" x14ac:dyDescent="0.55000000000000004">
      <c r="A1556" s="75" t="s">
        <v>204</v>
      </c>
      <c r="B1556" s="75" t="s">
        <v>204</v>
      </c>
      <c r="C1556" s="61" t="s">
        <v>1422</v>
      </c>
      <c r="D1556" s="63">
        <v>45257</v>
      </c>
      <c r="E1556" s="61" t="s">
        <v>1322</v>
      </c>
      <c r="F1556" s="61" t="s">
        <v>1646</v>
      </c>
      <c r="G1556" s="61">
        <v>101</v>
      </c>
      <c r="H1556" s="61"/>
    </row>
    <row r="1557" spans="1:8" x14ac:dyDescent="0.55000000000000004">
      <c r="A1557" s="61"/>
      <c r="B1557" s="61"/>
      <c r="C1557" s="61"/>
      <c r="D1557" s="61"/>
      <c r="E1557" s="61"/>
      <c r="F1557" s="66" t="s">
        <v>1260</v>
      </c>
      <c r="G1557" s="61" t="s">
        <v>535</v>
      </c>
      <c r="H1557" s="61"/>
    </row>
    <row r="1558" spans="1:8" x14ac:dyDescent="0.55000000000000004">
      <c r="A1558" s="61"/>
      <c r="B1558" s="61"/>
      <c r="C1558" s="61"/>
      <c r="D1558" s="61"/>
      <c r="E1558" s="61"/>
      <c r="F1558" s="61" t="s">
        <v>1261</v>
      </c>
      <c r="G1558" s="61" t="s">
        <v>535</v>
      </c>
      <c r="H1558" s="61"/>
    </row>
    <row r="1559" spans="1:8" x14ac:dyDescent="0.55000000000000004">
      <c r="A1559" s="61"/>
      <c r="B1559" s="61"/>
      <c r="C1559" s="61"/>
      <c r="D1559" s="61"/>
      <c r="E1559" s="61"/>
      <c r="F1559" s="66" t="s">
        <v>1262</v>
      </c>
      <c r="G1559" s="61" t="s">
        <v>535</v>
      </c>
      <c r="H1559" s="61"/>
    </row>
    <row r="1560" spans="1:8" x14ac:dyDescent="0.55000000000000004">
      <c r="A1560" s="61"/>
      <c r="B1560" s="61"/>
      <c r="C1560" s="61"/>
      <c r="D1560" s="61"/>
      <c r="E1560" s="61"/>
      <c r="F1560" s="61" t="s">
        <v>1261</v>
      </c>
      <c r="G1560" s="61" t="s">
        <v>535</v>
      </c>
      <c r="H1560" s="61"/>
    </row>
    <row r="1561" spans="1:8" x14ac:dyDescent="0.55000000000000004">
      <c r="G1561" t="s">
        <v>535</v>
      </c>
    </row>
    <row r="1562" spans="1:8" x14ac:dyDescent="0.55000000000000004">
      <c r="A1562" s="75" t="s">
        <v>224</v>
      </c>
      <c r="B1562" s="75" t="s">
        <v>224</v>
      </c>
      <c r="C1562" s="61" t="s">
        <v>1422</v>
      </c>
      <c r="D1562" s="63">
        <v>45257</v>
      </c>
      <c r="E1562" s="61" t="s">
        <v>1322</v>
      </c>
      <c r="F1562" s="61" t="s">
        <v>1646</v>
      </c>
      <c r="G1562" s="61">
        <v>101</v>
      </c>
      <c r="H1562" s="61"/>
    </row>
    <row r="1563" spans="1:8" x14ac:dyDescent="0.55000000000000004">
      <c r="A1563" s="61"/>
      <c r="B1563" s="61"/>
      <c r="C1563" s="61"/>
      <c r="D1563" s="61"/>
      <c r="E1563" s="61"/>
      <c r="F1563" s="66" t="s">
        <v>1260</v>
      </c>
      <c r="G1563" s="61" t="s">
        <v>535</v>
      </c>
      <c r="H1563" s="61"/>
    </row>
    <row r="1564" spans="1:8" x14ac:dyDescent="0.55000000000000004">
      <c r="A1564" s="61"/>
      <c r="B1564" s="61"/>
      <c r="C1564" s="61"/>
      <c r="D1564" s="61"/>
      <c r="E1564" s="61"/>
      <c r="F1564" s="61" t="s">
        <v>1261</v>
      </c>
      <c r="G1564" s="61" t="s">
        <v>535</v>
      </c>
      <c r="H1564" s="61"/>
    </row>
    <row r="1565" spans="1:8" x14ac:dyDescent="0.55000000000000004">
      <c r="A1565" s="61"/>
      <c r="B1565" s="61"/>
      <c r="C1565" s="61"/>
      <c r="D1565" s="61"/>
      <c r="E1565" s="61"/>
      <c r="F1565" s="66" t="s">
        <v>1262</v>
      </c>
      <c r="G1565" s="61" t="s">
        <v>535</v>
      </c>
      <c r="H1565" s="61"/>
    </row>
    <row r="1566" spans="1:8" x14ac:dyDescent="0.55000000000000004">
      <c r="A1566" s="61"/>
      <c r="B1566" s="61"/>
      <c r="C1566" s="61"/>
      <c r="D1566" s="61"/>
      <c r="E1566" s="61"/>
      <c r="F1566" s="61" t="s">
        <v>1261</v>
      </c>
      <c r="G1566" s="61" t="s">
        <v>535</v>
      </c>
      <c r="H1566" s="61"/>
    </row>
    <row r="1567" spans="1:8" x14ac:dyDescent="0.55000000000000004">
      <c r="G1567" t="s">
        <v>535</v>
      </c>
    </row>
    <row r="1568" spans="1:8" x14ac:dyDescent="0.55000000000000004">
      <c r="A1568" s="75" t="s">
        <v>221</v>
      </c>
      <c r="B1568" s="75" t="s">
        <v>221</v>
      </c>
      <c r="C1568" s="61" t="s">
        <v>1422</v>
      </c>
      <c r="D1568" s="63">
        <v>45257</v>
      </c>
      <c r="E1568" s="61" t="s">
        <v>1322</v>
      </c>
      <c r="F1568" s="61" t="s">
        <v>1646</v>
      </c>
      <c r="G1568" s="61">
        <v>101</v>
      </c>
      <c r="H1568" s="61"/>
    </row>
    <row r="1569" spans="1:8" x14ac:dyDescent="0.55000000000000004">
      <c r="A1569" s="61"/>
      <c r="B1569" s="61"/>
      <c r="C1569" s="61"/>
      <c r="D1569" s="61"/>
      <c r="E1569" s="61"/>
      <c r="F1569" s="66" t="s">
        <v>1260</v>
      </c>
      <c r="G1569" s="61" t="s">
        <v>535</v>
      </c>
      <c r="H1569" s="61"/>
    </row>
    <row r="1570" spans="1:8" x14ac:dyDescent="0.55000000000000004">
      <c r="A1570" s="61"/>
      <c r="B1570" s="61"/>
      <c r="C1570" s="61"/>
      <c r="D1570" s="61"/>
      <c r="E1570" s="61"/>
      <c r="F1570" s="61" t="s">
        <v>1261</v>
      </c>
      <c r="G1570" s="61" t="s">
        <v>535</v>
      </c>
      <c r="H1570" s="61"/>
    </row>
    <row r="1571" spans="1:8" x14ac:dyDescent="0.55000000000000004">
      <c r="A1571" s="61"/>
      <c r="B1571" s="61"/>
      <c r="C1571" s="61"/>
      <c r="D1571" s="61"/>
      <c r="E1571" s="61"/>
      <c r="F1571" s="66" t="s">
        <v>1262</v>
      </c>
      <c r="G1571" s="61" t="s">
        <v>535</v>
      </c>
      <c r="H1571" s="61"/>
    </row>
    <row r="1572" spans="1:8" x14ac:dyDescent="0.55000000000000004">
      <c r="A1572" s="61"/>
      <c r="B1572" s="61"/>
      <c r="C1572" s="61"/>
      <c r="D1572" s="61"/>
      <c r="E1572" s="61"/>
      <c r="F1572" s="61" t="s">
        <v>1261</v>
      </c>
      <c r="G1572" s="61" t="s">
        <v>535</v>
      </c>
      <c r="H1572" s="61"/>
    </row>
    <row r="1573" spans="1:8" x14ac:dyDescent="0.55000000000000004">
      <c r="G1573" t="s">
        <v>535</v>
      </c>
    </row>
    <row r="1574" spans="1:8" x14ac:dyDescent="0.55000000000000004">
      <c r="A1574" s="75" t="s">
        <v>225</v>
      </c>
      <c r="B1574" s="75" t="s">
        <v>225</v>
      </c>
      <c r="C1574" s="61" t="s">
        <v>1422</v>
      </c>
      <c r="D1574" s="63">
        <v>45257</v>
      </c>
      <c r="E1574" s="61" t="s">
        <v>1322</v>
      </c>
      <c r="F1574" s="61" t="s">
        <v>1646</v>
      </c>
      <c r="G1574" s="61">
        <v>101</v>
      </c>
      <c r="H1574" s="61"/>
    </row>
    <row r="1575" spans="1:8" x14ac:dyDescent="0.55000000000000004">
      <c r="A1575" s="61"/>
      <c r="B1575" s="61"/>
      <c r="C1575" s="61"/>
      <c r="D1575" s="61"/>
      <c r="E1575" s="61"/>
      <c r="F1575" s="66" t="s">
        <v>1260</v>
      </c>
      <c r="G1575" s="61" t="s">
        <v>535</v>
      </c>
      <c r="H1575" s="61"/>
    </row>
    <row r="1576" spans="1:8" x14ac:dyDescent="0.55000000000000004">
      <c r="A1576" s="61"/>
      <c r="B1576" s="61"/>
      <c r="C1576" s="61"/>
      <c r="D1576" s="61"/>
      <c r="E1576" s="61"/>
      <c r="F1576" s="61" t="s">
        <v>1261</v>
      </c>
      <c r="G1576" s="61" t="s">
        <v>535</v>
      </c>
      <c r="H1576" s="61"/>
    </row>
    <row r="1577" spans="1:8" x14ac:dyDescent="0.55000000000000004">
      <c r="A1577" s="61"/>
      <c r="B1577" s="61"/>
      <c r="C1577" s="61"/>
      <c r="D1577" s="61"/>
      <c r="E1577" s="61"/>
      <c r="F1577" s="66" t="s">
        <v>1262</v>
      </c>
      <c r="G1577" s="61" t="s">
        <v>535</v>
      </c>
      <c r="H1577" s="61"/>
    </row>
    <row r="1578" spans="1:8" x14ac:dyDescent="0.55000000000000004">
      <c r="A1578" s="61"/>
      <c r="B1578" s="61"/>
      <c r="C1578" s="61"/>
      <c r="D1578" s="61"/>
      <c r="E1578" s="61"/>
      <c r="F1578" s="61" t="s">
        <v>1261</v>
      </c>
      <c r="G1578" s="61" t="s">
        <v>535</v>
      </c>
      <c r="H1578" s="61"/>
    </row>
    <row r="1579" spans="1:8" x14ac:dyDescent="0.55000000000000004">
      <c r="G1579" t="s">
        <v>535</v>
      </c>
    </row>
    <row r="1580" spans="1:8" x14ac:dyDescent="0.55000000000000004">
      <c r="A1580" s="75" t="s">
        <v>223</v>
      </c>
      <c r="B1580" s="75" t="s">
        <v>223</v>
      </c>
      <c r="C1580" s="61" t="s">
        <v>1422</v>
      </c>
      <c r="D1580" s="63">
        <v>45257</v>
      </c>
      <c r="E1580" s="61" t="s">
        <v>1322</v>
      </c>
      <c r="F1580" s="61" t="s">
        <v>1646</v>
      </c>
      <c r="G1580" s="61">
        <v>101</v>
      </c>
      <c r="H1580" s="61"/>
    </row>
    <row r="1581" spans="1:8" x14ac:dyDescent="0.55000000000000004">
      <c r="A1581" s="61"/>
      <c r="B1581" s="61"/>
      <c r="C1581" s="61"/>
      <c r="D1581" s="61"/>
      <c r="E1581" s="61"/>
      <c r="F1581" s="66" t="s">
        <v>1260</v>
      </c>
      <c r="G1581" s="61" t="s">
        <v>535</v>
      </c>
      <c r="H1581" s="61"/>
    </row>
    <row r="1582" spans="1:8" x14ac:dyDescent="0.55000000000000004">
      <c r="A1582" s="61"/>
      <c r="B1582" s="61"/>
      <c r="C1582" s="61"/>
      <c r="D1582" s="61"/>
      <c r="E1582" s="61"/>
      <c r="F1582" s="61" t="s">
        <v>1261</v>
      </c>
      <c r="G1582" s="61" t="s">
        <v>535</v>
      </c>
      <c r="H1582" s="61"/>
    </row>
    <row r="1583" spans="1:8" x14ac:dyDescent="0.55000000000000004">
      <c r="A1583" s="61"/>
      <c r="B1583" s="61"/>
      <c r="C1583" s="61"/>
      <c r="D1583" s="61"/>
      <c r="E1583" s="61"/>
      <c r="F1583" s="66" t="s">
        <v>1262</v>
      </c>
      <c r="G1583" s="61" t="s">
        <v>535</v>
      </c>
      <c r="H1583" s="61"/>
    </row>
    <row r="1584" spans="1:8" x14ac:dyDescent="0.55000000000000004">
      <c r="A1584" s="61"/>
      <c r="B1584" s="61"/>
      <c r="C1584" s="61"/>
      <c r="D1584" s="61"/>
      <c r="E1584" s="61"/>
      <c r="F1584" s="61" t="s">
        <v>1261</v>
      </c>
      <c r="G1584" s="61" t="s">
        <v>535</v>
      </c>
      <c r="H1584" s="61"/>
    </row>
    <row r="1585" spans="1:8" x14ac:dyDescent="0.55000000000000004">
      <c r="G1585" t="s">
        <v>535</v>
      </c>
    </row>
    <row r="1586" spans="1:8" x14ac:dyDescent="0.55000000000000004">
      <c r="A1586" s="75" t="s">
        <v>227</v>
      </c>
      <c r="B1586" s="75" t="s">
        <v>227</v>
      </c>
      <c r="C1586" s="61" t="s">
        <v>1422</v>
      </c>
      <c r="D1586" s="63">
        <v>45257</v>
      </c>
      <c r="E1586" s="61" t="s">
        <v>1322</v>
      </c>
      <c r="F1586" s="61" t="s">
        <v>1646</v>
      </c>
      <c r="G1586" s="61">
        <v>101</v>
      </c>
      <c r="H1586" s="61"/>
    </row>
    <row r="1587" spans="1:8" x14ac:dyDescent="0.55000000000000004">
      <c r="A1587" s="61"/>
      <c r="B1587" s="61"/>
      <c r="C1587" s="61"/>
      <c r="D1587" s="61"/>
      <c r="E1587" s="61"/>
      <c r="F1587" s="66" t="s">
        <v>1260</v>
      </c>
      <c r="G1587" s="61" t="s">
        <v>535</v>
      </c>
      <c r="H1587" s="61"/>
    </row>
    <row r="1588" spans="1:8" x14ac:dyDescent="0.55000000000000004">
      <c r="A1588" s="61"/>
      <c r="B1588" s="61"/>
      <c r="C1588" s="61"/>
      <c r="D1588" s="61"/>
      <c r="E1588" s="61"/>
      <c r="F1588" s="61" t="s">
        <v>1261</v>
      </c>
      <c r="G1588" s="61" t="s">
        <v>535</v>
      </c>
      <c r="H1588" s="61"/>
    </row>
    <row r="1589" spans="1:8" x14ac:dyDescent="0.55000000000000004">
      <c r="A1589" s="61"/>
      <c r="B1589" s="61"/>
      <c r="C1589" s="61"/>
      <c r="D1589" s="61"/>
      <c r="E1589" s="61"/>
      <c r="F1589" s="66" t="s">
        <v>1262</v>
      </c>
      <c r="G1589" s="61" t="s">
        <v>535</v>
      </c>
      <c r="H1589" s="61"/>
    </row>
    <row r="1590" spans="1:8" x14ac:dyDescent="0.55000000000000004">
      <c r="A1590" s="61"/>
      <c r="B1590" s="61"/>
      <c r="C1590" s="61"/>
      <c r="D1590" s="61"/>
      <c r="E1590" s="61"/>
      <c r="F1590" s="61" t="s">
        <v>1261</v>
      </c>
      <c r="G1590" s="61" t="s">
        <v>535</v>
      </c>
      <c r="H1590" s="61"/>
    </row>
    <row r="1591" spans="1:8" x14ac:dyDescent="0.55000000000000004">
      <c r="G1591" t="s">
        <v>535</v>
      </c>
    </row>
    <row r="1592" spans="1:8" x14ac:dyDescent="0.55000000000000004">
      <c r="A1592" s="75" t="s">
        <v>226</v>
      </c>
      <c r="B1592" s="75" t="s">
        <v>226</v>
      </c>
      <c r="C1592" s="61" t="s">
        <v>1422</v>
      </c>
      <c r="D1592" s="63">
        <v>45257</v>
      </c>
      <c r="E1592" s="61" t="s">
        <v>1322</v>
      </c>
      <c r="F1592" s="61" t="s">
        <v>1646</v>
      </c>
      <c r="G1592" s="61">
        <v>101</v>
      </c>
      <c r="H1592" s="61"/>
    </row>
    <row r="1593" spans="1:8" x14ac:dyDescent="0.55000000000000004">
      <c r="A1593" s="61"/>
      <c r="B1593" s="61"/>
      <c r="C1593" s="61"/>
      <c r="D1593" s="61"/>
      <c r="E1593" s="61"/>
      <c r="F1593" s="66" t="s">
        <v>1260</v>
      </c>
      <c r="G1593" s="61" t="s">
        <v>535</v>
      </c>
      <c r="H1593" s="61"/>
    </row>
    <row r="1594" spans="1:8" x14ac:dyDescent="0.55000000000000004">
      <c r="A1594" s="61"/>
      <c r="B1594" s="61"/>
      <c r="C1594" s="61"/>
      <c r="D1594" s="61"/>
      <c r="E1594" s="61"/>
      <c r="F1594" s="61" t="s">
        <v>1261</v>
      </c>
      <c r="G1594" s="61" t="s">
        <v>535</v>
      </c>
      <c r="H1594" s="61"/>
    </row>
    <row r="1595" spans="1:8" x14ac:dyDescent="0.55000000000000004">
      <c r="A1595" s="61"/>
      <c r="B1595" s="61"/>
      <c r="C1595" s="61"/>
      <c r="D1595" s="61"/>
      <c r="E1595" s="61"/>
      <c r="F1595" s="66" t="s">
        <v>1262</v>
      </c>
      <c r="G1595" s="61" t="s">
        <v>535</v>
      </c>
      <c r="H1595" s="61"/>
    </row>
    <row r="1596" spans="1:8" x14ac:dyDescent="0.55000000000000004">
      <c r="A1596" s="61"/>
      <c r="B1596" s="61"/>
      <c r="C1596" s="61"/>
      <c r="D1596" s="61"/>
      <c r="E1596" s="61"/>
      <c r="F1596" s="61" t="s">
        <v>1261</v>
      </c>
      <c r="G1596" s="61" t="s">
        <v>535</v>
      </c>
      <c r="H1596" s="61"/>
    </row>
    <row r="1597" spans="1:8" x14ac:dyDescent="0.55000000000000004">
      <c r="G1597" t="s">
        <v>535</v>
      </c>
    </row>
    <row r="1598" spans="1:8" x14ac:dyDescent="0.55000000000000004">
      <c r="A1598" s="75" t="s">
        <v>218</v>
      </c>
      <c r="B1598" s="75" t="s">
        <v>218</v>
      </c>
      <c r="C1598" s="61" t="s">
        <v>1422</v>
      </c>
      <c r="D1598" s="63">
        <v>45257</v>
      </c>
      <c r="E1598" s="61" t="s">
        <v>1322</v>
      </c>
      <c r="F1598" s="61" t="s">
        <v>1646</v>
      </c>
      <c r="G1598" s="61">
        <v>101</v>
      </c>
      <c r="H1598" s="61"/>
    </row>
    <row r="1599" spans="1:8" x14ac:dyDescent="0.55000000000000004">
      <c r="A1599" s="61"/>
      <c r="B1599" s="61"/>
      <c r="C1599" s="61"/>
      <c r="D1599" s="61"/>
      <c r="E1599" s="61"/>
      <c r="F1599" s="66" t="s">
        <v>1260</v>
      </c>
      <c r="G1599" s="61" t="s">
        <v>535</v>
      </c>
      <c r="H1599" s="61"/>
    </row>
    <row r="1600" spans="1:8" x14ac:dyDescent="0.55000000000000004">
      <c r="A1600" s="61"/>
      <c r="B1600" s="61"/>
      <c r="C1600" s="61"/>
      <c r="D1600" s="61"/>
      <c r="E1600" s="61"/>
      <c r="F1600" s="61" t="s">
        <v>1261</v>
      </c>
      <c r="G1600" s="61" t="s">
        <v>535</v>
      </c>
      <c r="H1600" s="61"/>
    </row>
    <row r="1601" spans="1:8" x14ac:dyDescent="0.55000000000000004">
      <c r="A1601" s="61"/>
      <c r="B1601" s="61"/>
      <c r="C1601" s="61"/>
      <c r="D1601" s="61"/>
      <c r="E1601" s="61"/>
      <c r="F1601" s="66" t="s">
        <v>1262</v>
      </c>
      <c r="G1601" s="61" t="s">
        <v>535</v>
      </c>
      <c r="H1601" s="61"/>
    </row>
    <row r="1602" spans="1:8" x14ac:dyDescent="0.55000000000000004">
      <c r="A1602" s="61"/>
      <c r="B1602" s="61"/>
      <c r="C1602" s="61"/>
      <c r="D1602" s="61"/>
      <c r="E1602" s="61"/>
      <c r="F1602" s="61" t="s">
        <v>1261</v>
      </c>
      <c r="G1602" s="61" t="s">
        <v>535</v>
      </c>
      <c r="H1602" s="61"/>
    </row>
    <row r="1603" spans="1:8" x14ac:dyDescent="0.55000000000000004">
      <c r="G1603" t="s">
        <v>535</v>
      </c>
    </row>
    <row r="1604" spans="1:8" x14ac:dyDescent="0.55000000000000004">
      <c r="A1604" s="75" t="s">
        <v>220</v>
      </c>
      <c r="B1604" s="75" t="s">
        <v>220</v>
      </c>
      <c r="C1604" s="61" t="s">
        <v>1422</v>
      </c>
      <c r="D1604" s="63">
        <v>45257</v>
      </c>
      <c r="E1604" s="61" t="s">
        <v>1322</v>
      </c>
      <c r="F1604" s="61" t="s">
        <v>1646</v>
      </c>
      <c r="G1604" s="61">
        <v>101</v>
      </c>
      <c r="H1604" s="61"/>
    </row>
    <row r="1605" spans="1:8" x14ac:dyDescent="0.55000000000000004">
      <c r="A1605" s="61"/>
      <c r="B1605" s="61"/>
      <c r="C1605" s="61"/>
      <c r="D1605" s="61"/>
      <c r="E1605" s="61"/>
      <c r="F1605" s="66" t="s">
        <v>1260</v>
      </c>
      <c r="G1605" s="61" t="s">
        <v>535</v>
      </c>
      <c r="H1605" s="61"/>
    </row>
    <row r="1606" spans="1:8" x14ac:dyDescent="0.55000000000000004">
      <c r="A1606" s="61"/>
      <c r="B1606" s="61"/>
      <c r="C1606" s="61"/>
      <c r="D1606" s="61"/>
      <c r="E1606" s="61"/>
      <c r="F1606" s="61" t="s">
        <v>1261</v>
      </c>
      <c r="G1606" s="61" t="s">
        <v>535</v>
      </c>
      <c r="H1606" s="61"/>
    </row>
    <row r="1607" spans="1:8" x14ac:dyDescent="0.55000000000000004">
      <c r="A1607" s="61"/>
      <c r="B1607" s="61"/>
      <c r="C1607" s="61"/>
      <c r="D1607" s="61"/>
      <c r="E1607" s="61"/>
      <c r="F1607" s="66" t="s">
        <v>1262</v>
      </c>
      <c r="G1607" s="61" t="s">
        <v>535</v>
      </c>
      <c r="H1607" s="61"/>
    </row>
    <row r="1608" spans="1:8" x14ac:dyDescent="0.55000000000000004">
      <c r="A1608" s="61"/>
      <c r="B1608" s="61"/>
      <c r="C1608" s="61"/>
      <c r="D1608" s="61"/>
      <c r="E1608" s="61"/>
      <c r="F1608" s="61" t="s">
        <v>1261</v>
      </c>
      <c r="G1608" s="61" t="s">
        <v>535</v>
      </c>
      <c r="H1608" s="61"/>
    </row>
    <row r="1609" spans="1:8" x14ac:dyDescent="0.55000000000000004">
      <c r="G1609" t="s">
        <v>535</v>
      </c>
    </row>
    <row r="1610" spans="1:8" x14ac:dyDescent="0.55000000000000004">
      <c r="A1610" s="75" t="s">
        <v>214</v>
      </c>
      <c r="B1610" s="75" t="s">
        <v>214</v>
      </c>
      <c r="C1610" s="61" t="s">
        <v>1422</v>
      </c>
      <c r="D1610" s="63">
        <v>45257</v>
      </c>
      <c r="E1610" s="61" t="s">
        <v>1322</v>
      </c>
      <c r="F1610" s="61" t="s">
        <v>1646</v>
      </c>
      <c r="G1610" s="61">
        <v>101</v>
      </c>
      <c r="H1610" s="61"/>
    </row>
    <row r="1611" spans="1:8" x14ac:dyDescent="0.55000000000000004">
      <c r="A1611" s="61"/>
      <c r="B1611" s="61"/>
      <c r="C1611" s="61"/>
      <c r="D1611" s="61"/>
      <c r="E1611" s="61"/>
      <c r="F1611" s="66" t="s">
        <v>1260</v>
      </c>
      <c r="G1611" s="61" t="s">
        <v>535</v>
      </c>
      <c r="H1611" s="61"/>
    </row>
    <row r="1612" spans="1:8" x14ac:dyDescent="0.55000000000000004">
      <c r="A1612" s="61"/>
      <c r="B1612" s="61"/>
      <c r="C1612" s="61"/>
      <c r="D1612" s="61"/>
      <c r="E1612" s="61"/>
      <c r="F1612" s="61" t="s">
        <v>1261</v>
      </c>
      <c r="G1612" s="61" t="s">
        <v>535</v>
      </c>
      <c r="H1612" s="61"/>
    </row>
    <row r="1613" spans="1:8" x14ac:dyDescent="0.55000000000000004">
      <c r="A1613" s="61"/>
      <c r="B1613" s="61"/>
      <c r="C1613" s="61"/>
      <c r="D1613" s="61"/>
      <c r="E1613" s="61"/>
      <c r="F1613" s="66" t="s">
        <v>1262</v>
      </c>
      <c r="G1613" s="61" t="s">
        <v>535</v>
      </c>
      <c r="H1613" s="61"/>
    </row>
    <row r="1614" spans="1:8" x14ac:dyDescent="0.55000000000000004">
      <c r="A1614" s="61"/>
      <c r="B1614" s="61"/>
      <c r="C1614" s="61"/>
      <c r="D1614" s="61"/>
      <c r="E1614" s="61"/>
      <c r="F1614" s="61" t="s">
        <v>1261</v>
      </c>
      <c r="G1614" s="61" t="s">
        <v>535</v>
      </c>
      <c r="H1614" s="61"/>
    </row>
    <row r="1615" spans="1:8" x14ac:dyDescent="0.55000000000000004">
      <c r="G1615" t="s">
        <v>535</v>
      </c>
    </row>
    <row r="1616" spans="1:8" x14ac:dyDescent="0.55000000000000004">
      <c r="A1616" s="74" t="s">
        <v>258</v>
      </c>
      <c r="B1616" s="74" t="s">
        <v>258</v>
      </c>
      <c r="C1616" s="61"/>
      <c r="D1616" s="63">
        <v>45264</v>
      </c>
      <c r="E1616" s="61" t="s">
        <v>1322</v>
      </c>
      <c r="F1616" s="61" t="s">
        <v>1646</v>
      </c>
      <c r="G1616" s="61">
        <v>101</v>
      </c>
      <c r="H1616" s="61"/>
    </row>
    <row r="1617" spans="1:8" x14ac:dyDescent="0.55000000000000004">
      <c r="A1617" s="61"/>
      <c r="B1617" s="61"/>
      <c r="C1617" s="61"/>
      <c r="D1617" s="61"/>
      <c r="E1617" s="61"/>
      <c r="F1617" s="66" t="s">
        <v>1260</v>
      </c>
      <c r="G1617" s="61" t="s">
        <v>535</v>
      </c>
      <c r="H1617" s="61"/>
    </row>
    <row r="1618" spans="1:8" x14ac:dyDescent="0.55000000000000004">
      <c r="A1618" s="61"/>
      <c r="B1618" s="61"/>
      <c r="C1618" s="61"/>
      <c r="D1618" s="61"/>
      <c r="E1618" s="61"/>
      <c r="F1618" s="61" t="s">
        <v>1647</v>
      </c>
      <c r="G1618" s="61" t="s">
        <v>535</v>
      </c>
      <c r="H1618" s="61"/>
    </row>
    <row r="1619" spans="1:8" x14ac:dyDescent="0.55000000000000004">
      <c r="A1619" s="61"/>
      <c r="B1619" s="61"/>
      <c r="C1619" s="61"/>
      <c r="D1619" s="61"/>
      <c r="E1619" s="61"/>
      <c r="F1619" s="66" t="s">
        <v>1262</v>
      </c>
      <c r="G1619" s="61" t="s">
        <v>535</v>
      </c>
      <c r="H1619" s="61"/>
    </row>
    <row r="1620" spans="1:8" x14ac:dyDescent="0.55000000000000004">
      <c r="A1620" s="61"/>
      <c r="B1620" s="61"/>
      <c r="C1620" s="61"/>
      <c r="D1620" s="61"/>
      <c r="E1620" s="61"/>
      <c r="F1620" s="61" t="s">
        <v>1261</v>
      </c>
      <c r="G1620" s="61" t="s">
        <v>535</v>
      </c>
      <c r="H1620" s="61"/>
    </row>
    <row r="1621" spans="1:8" x14ac:dyDescent="0.55000000000000004">
      <c r="G1621" t="s">
        <v>535</v>
      </c>
    </row>
    <row r="1622" spans="1:8" x14ac:dyDescent="0.55000000000000004">
      <c r="A1622" s="74" t="s">
        <v>249</v>
      </c>
      <c r="B1622" s="74" t="s">
        <v>249</v>
      </c>
      <c r="C1622" s="61"/>
      <c r="D1622" s="63">
        <v>45264</v>
      </c>
      <c r="E1622" s="61" t="s">
        <v>1322</v>
      </c>
      <c r="F1622" s="61" t="s">
        <v>1646</v>
      </c>
      <c r="G1622" s="61">
        <v>101</v>
      </c>
      <c r="H1622" s="61"/>
    </row>
    <row r="1623" spans="1:8" x14ac:dyDescent="0.55000000000000004">
      <c r="A1623" s="61"/>
      <c r="B1623" s="61"/>
      <c r="C1623" s="61"/>
      <c r="D1623" s="61"/>
      <c r="E1623" s="61"/>
      <c r="F1623" s="66" t="s">
        <v>1260</v>
      </c>
      <c r="G1623" s="61" t="s">
        <v>535</v>
      </c>
      <c r="H1623" s="61"/>
    </row>
    <row r="1624" spans="1:8" x14ac:dyDescent="0.55000000000000004">
      <c r="A1624" s="61"/>
      <c r="B1624" s="61"/>
      <c r="C1624" s="61"/>
      <c r="D1624" s="61"/>
      <c r="E1624" s="61"/>
      <c r="F1624" s="61" t="s">
        <v>1648</v>
      </c>
      <c r="G1624" s="61" t="s">
        <v>535</v>
      </c>
      <c r="H1624" s="61"/>
    </row>
    <row r="1625" spans="1:8" x14ac:dyDescent="0.55000000000000004">
      <c r="A1625" s="61"/>
      <c r="B1625" s="61"/>
      <c r="C1625" s="61"/>
      <c r="D1625" s="61"/>
      <c r="E1625" s="61"/>
      <c r="F1625" s="66" t="s">
        <v>1262</v>
      </c>
      <c r="G1625" s="61" t="s">
        <v>535</v>
      </c>
      <c r="H1625" s="61"/>
    </row>
    <row r="1626" spans="1:8" x14ac:dyDescent="0.55000000000000004">
      <c r="A1626" s="61"/>
      <c r="B1626" s="61"/>
      <c r="C1626" s="61"/>
      <c r="D1626" s="61"/>
      <c r="E1626" s="61"/>
      <c r="F1626" s="61" t="s">
        <v>1261</v>
      </c>
      <c r="G1626" s="61" t="s">
        <v>535</v>
      </c>
      <c r="H1626" s="61"/>
    </row>
    <row r="1627" spans="1:8" x14ac:dyDescent="0.55000000000000004">
      <c r="G1627" t="s">
        <v>535</v>
      </c>
    </row>
    <row r="1628" spans="1:8" x14ac:dyDescent="0.55000000000000004">
      <c r="A1628" s="74" t="s">
        <v>251</v>
      </c>
      <c r="B1628" s="74" t="s">
        <v>251</v>
      </c>
      <c r="C1628" s="61"/>
      <c r="D1628" s="63">
        <v>45264</v>
      </c>
      <c r="E1628" s="61" t="s">
        <v>1322</v>
      </c>
      <c r="F1628" s="61" t="s">
        <v>1646</v>
      </c>
      <c r="G1628" s="61">
        <v>101</v>
      </c>
      <c r="H1628" s="61"/>
    </row>
    <row r="1629" spans="1:8" x14ac:dyDescent="0.55000000000000004">
      <c r="A1629" s="61"/>
      <c r="B1629" s="61"/>
      <c r="C1629" s="61"/>
      <c r="D1629" s="61"/>
      <c r="E1629" s="61"/>
      <c r="F1629" s="66" t="s">
        <v>1260</v>
      </c>
      <c r="G1629" s="61" t="s">
        <v>535</v>
      </c>
      <c r="H1629" s="61"/>
    </row>
    <row r="1630" spans="1:8" x14ac:dyDescent="0.55000000000000004">
      <c r="A1630" s="61"/>
      <c r="B1630" s="61"/>
      <c r="C1630" s="61"/>
      <c r="D1630" s="61"/>
      <c r="E1630" s="61"/>
      <c r="F1630" s="61" t="s">
        <v>1648</v>
      </c>
      <c r="G1630" s="61" t="s">
        <v>535</v>
      </c>
      <c r="H1630" s="61"/>
    </row>
    <row r="1631" spans="1:8" x14ac:dyDescent="0.55000000000000004">
      <c r="A1631" s="61"/>
      <c r="B1631" s="61"/>
      <c r="C1631" s="61"/>
      <c r="D1631" s="61"/>
      <c r="E1631" s="61"/>
      <c r="F1631" s="66" t="s">
        <v>1262</v>
      </c>
      <c r="G1631" s="61" t="s">
        <v>535</v>
      </c>
      <c r="H1631" s="61"/>
    </row>
    <row r="1632" spans="1:8" x14ac:dyDescent="0.55000000000000004">
      <c r="A1632" s="61"/>
      <c r="B1632" s="61"/>
      <c r="C1632" s="61"/>
      <c r="D1632" s="61"/>
      <c r="E1632" s="61"/>
      <c r="F1632" s="61" t="s">
        <v>1261</v>
      </c>
      <c r="G1632" s="61" t="s">
        <v>535</v>
      </c>
      <c r="H1632" s="61"/>
    </row>
    <row r="1633" spans="1:8" x14ac:dyDescent="0.55000000000000004">
      <c r="G1633" t="s">
        <v>535</v>
      </c>
    </row>
    <row r="1634" spans="1:8" x14ac:dyDescent="0.55000000000000004">
      <c r="A1634" s="74" t="s">
        <v>256</v>
      </c>
      <c r="B1634" s="74" t="s">
        <v>256</v>
      </c>
      <c r="C1634" s="61"/>
      <c r="D1634" s="63">
        <v>45264</v>
      </c>
      <c r="E1634" s="61" t="s">
        <v>1322</v>
      </c>
      <c r="F1634" s="61" t="s">
        <v>1646</v>
      </c>
      <c r="G1634" s="61">
        <v>101</v>
      </c>
      <c r="H1634" s="61"/>
    </row>
    <row r="1635" spans="1:8" x14ac:dyDescent="0.55000000000000004">
      <c r="A1635" s="61"/>
      <c r="B1635" s="61"/>
      <c r="C1635" s="61"/>
      <c r="D1635" s="61"/>
      <c r="E1635" s="61"/>
      <c r="F1635" s="66" t="s">
        <v>1260</v>
      </c>
      <c r="G1635" s="61" t="s">
        <v>535</v>
      </c>
      <c r="H1635" s="61"/>
    </row>
    <row r="1636" spans="1:8" x14ac:dyDescent="0.55000000000000004">
      <c r="A1636" s="61"/>
      <c r="B1636" s="61"/>
      <c r="C1636" s="61"/>
      <c r="D1636" s="61"/>
      <c r="E1636" s="61"/>
      <c r="F1636" s="61" t="s">
        <v>1648</v>
      </c>
      <c r="G1636" s="61" t="s">
        <v>535</v>
      </c>
      <c r="H1636" s="61"/>
    </row>
    <row r="1637" spans="1:8" x14ac:dyDescent="0.55000000000000004">
      <c r="A1637" s="61"/>
      <c r="B1637" s="61"/>
      <c r="C1637" s="61"/>
      <c r="D1637" s="61"/>
      <c r="E1637" s="61"/>
      <c r="F1637" s="66" t="s">
        <v>1262</v>
      </c>
      <c r="G1637" s="61" t="s">
        <v>535</v>
      </c>
      <c r="H1637" s="61"/>
    </row>
    <row r="1638" spans="1:8" x14ac:dyDescent="0.55000000000000004">
      <c r="A1638" s="61"/>
      <c r="B1638" s="61"/>
      <c r="C1638" s="61"/>
      <c r="D1638" s="61"/>
      <c r="E1638" s="61"/>
      <c r="F1638" s="61" t="s">
        <v>1261</v>
      </c>
      <c r="G1638" s="61" t="s">
        <v>535</v>
      </c>
      <c r="H1638" s="61"/>
    </row>
    <row r="1639" spans="1:8" x14ac:dyDescent="0.55000000000000004">
      <c r="G1639" t="s">
        <v>535</v>
      </c>
    </row>
    <row r="1640" spans="1:8" x14ac:dyDescent="0.55000000000000004">
      <c r="A1640" s="74" t="s">
        <v>253</v>
      </c>
      <c r="B1640" s="74" t="s">
        <v>253</v>
      </c>
      <c r="C1640" s="61"/>
      <c r="D1640" s="63">
        <v>45264</v>
      </c>
      <c r="E1640" s="61" t="s">
        <v>1322</v>
      </c>
      <c r="F1640" s="61" t="s">
        <v>1646</v>
      </c>
      <c r="G1640" s="61">
        <v>101</v>
      </c>
      <c r="H1640" s="61"/>
    </row>
    <row r="1641" spans="1:8" x14ac:dyDescent="0.55000000000000004">
      <c r="A1641" s="61"/>
      <c r="B1641" s="61"/>
      <c r="C1641" s="61"/>
      <c r="D1641" s="61"/>
      <c r="E1641" s="61"/>
      <c r="F1641" s="66" t="s">
        <v>1260</v>
      </c>
      <c r="G1641" s="61" t="s">
        <v>535</v>
      </c>
      <c r="H1641" s="61"/>
    </row>
    <row r="1642" spans="1:8" x14ac:dyDescent="0.55000000000000004">
      <c r="A1642" s="61"/>
      <c r="B1642" s="61"/>
      <c r="C1642" s="61"/>
      <c r="D1642" s="61"/>
      <c r="E1642" s="61"/>
      <c r="F1642" s="61" t="s">
        <v>1648</v>
      </c>
      <c r="G1642" s="61" t="s">
        <v>535</v>
      </c>
      <c r="H1642" s="61"/>
    </row>
    <row r="1643" spans="1:8" x14ac:dyDescent="0.55000000000000004">
      <c r="A1643" s="61"/>
      <c r="B1643" s="61"/>
      <c r="C1643" s="61"/>
      <c r="D1643" s="61"/>
      <c r="E1643" s="61"/>
      <c r="F1643" s="66" t="s">
        <v>1262</v>
      </c>
      <c r="G1643" s="61" t="s">
        <v>535</v>
      </c>
      <c r="H1643" s="61"/>
    </row>
    <row r="1644" spans="1:8" x14ac:dyDescent="0.55000000000000004">
      <c r="A1644" s="61"/>
      <c r="B1644" s="61"/>
      <c r="C1644" s="61"/>
      <c r="D1644" s="61"/>
      <c r="E1644" s="61"/>
      <c r="F1644" s="61" t="s">
        <v>1261</v>
      </c>
      <c r="G1644" s="61" t="s">
        <v>535</v>
      </c>
      <c r="H1644" s="61"/>
    </row>
    <row r="1645" spans="1:8" x14ac:dyDescent="0.55000000000000004">
      <c r="G1645" t="s">
        <v>535</v>
      </c>
    </row>
    <row r="1646" spans="1:8" x14ac:dyDescent="0.55000000000000004">
      <c r="A1646" s="74" t="s">
        <v>240</v>
      </c>
      <c r="B1646" s="74" t="s">
        <v>240</v>
      </c>
      <c r="C1646" s="61"/>
      <c r="D1646" s="63">
        <v>45264</v>
      </c>
      <c r="E1646" s="61" t="s">
        <v>1322</v>
      </c>
      <c r="F1646" s="61" t="s">
        <v>1646</v>
      </c>
      <c r="G1646" s="61">
        <v>101</v>
      </c>
      <c r="H1646" s="61"/>
    </row>
    <row r="1647" spans="1:8" x14ac:dyDescent="0.55000000000000004">
      <c r="A1647" s="61"/>
      <c r="B1647" s="61"/>
      <c r="C1647" s="61"/>
      <c r="D1647" s="61"/>
      <c r="E1647" s="61"/>
      <c r="F1647" s="66" t="s">
        <v>1260</v>
      </c>
      <c r="G1647" s="61" t="s">
        <v>535</v>
      </c>
      <c r="H1647" s="61"/>
    </row>
    <row r="1648" spans="1:8" x14ac:dyDescent="0.55000000000000004">
      <c r="A1648" s="61"/>
      <c r="B1648" s="61"/>
      <c r="C1648" s="61"/>
      <c r="D1648" s="61"/>
      <c r="E1648" s="61"/>
      <c r="F1648" s="61" t="s">
        <v>1648</v>
      </c>
      <c r="G1648" s="61" t="s">
        <v>535</v>
      </c>
      <c r="H1648" s="61"/>
    </row>
    <row r="1649" spans="1:8" x14ac:dyDescent="0.55000000000000004">
      <c r="A1649" s="61"/>
      <c r="B1649" s="61"/>
      <c r="C1649" s="61"/>
      <c r="D1649" s="61"/>
      <c r="E1649" s="61"/>
      <c r="F1649" s="66" t="s">
        <v>1262</v>
      </c>
      <c r="G1649" s="61" t="s">
        <v>535</v>
      </c>
      <c r="H1649" s="61"/>
    </row>
    <row r="1650" spans="1:8" x14ac:dyDescent="0.55000000000000004">
      <c r="A1650" s="61"/>
      <c r="B1650" s="61"/>
      <c r="C1650" s="61"/>
      <c r="D1650" s="61"/>
      <c r="E1650" s="61"/>
      <c r="F1650" s="61" t="s">
        <v>1261</v>
      </c>
      <c r="G1650" s="61" t="s">
        <v>535</v>
      </c>
      <c r="H1650" s="61"/>
    </row>
    <row r="1651" spans="1:8" x14ac:dyDescent="0.55000000000000004">
      <c r="G1651" t="s">
        <v>535</v>
      </c>
    </row>
    <row r="1652" spans="1:8" x14ac:dyDescent="0.55000000000000004">
      <c r="A1652" s="74" t="s">
        <v>254</v>
      </c>
      <c r="B1652" s="74" t="s">
        <v>254</v>
      </c>
      <c r="C1652" s="61"/>
      <c r="D1652" s="63">
        <v>45264</v>
      </c>
      <c r="E1652" s="61" t="s">
        <v>1322</v>
      </c>
      <c r="F1652" s="61" t="s">
        <v>1646</v>
      </c>
      <c r="G1652" s="61">
        <v>101</v>
      </c>
      <c r="H1652" s="61"/>
    </row>
    <row r="1653" spans="1:8" x14ac:dyDescent="0.55000000000000004">
      <c r="A1653" s="61"/>
      <c r="B1653" s="61"/>
      <c r="C1653" s="61"/>
      <c r="D1653" s="61"/>
      <c r="E1653" s="61"/>
      <c r="F1653" s="66" t="s">
        <v>1260</v>
      </c>
      <c r="G1653" s="61" t="s">
        <v>535</v>
      </c>
      <c r="H1653" s="61"/>
    </row>
    <row r="1654" spans="1:8" x14ac:dyDescent="0.55000000000000004">
      <c r="A1654" s="61"/>
      <c r="B1654" s="61"/>
      <c r="C1654" s="61"/>
      <c r="D1654" s="61"/>
      <c r="E1654" s="61"/>
      <c r="F1654" s="61" t="s">
        <v>1648</v>
      </c>
      <c r="G1654" s="61" t="s">
        <v>535</v>
      </c>
      <c r="H1654" s="61"/>
    </row>
    <row r="1655" spans="1:8" x14ac:dyDescent="0.55000000000000004">
      <c r="A1655" s="61"/>
      <c r="B1655" s="61"/>
      <c r="C1655" s="61"/>
      <c r="D1655" s="61"/>
      <c r="E1655" s="61"/>
      <c r="F1655" s="66" t="s">
        <v>1262</v>
      </c>
      <c r="G1655" s="61" t="s">
        <v>535</v>
      </c>
      <c r="H1655" s="61"/>
    </row>
    <row r="1656" spans="1:8" x14ac:dyDescent="0.55000000000000004">
      <c r="A1656" s="61"/>
      <c r="B1656" s="61"/>
      <c r="C1656" s="61"/>
      <c r="D1656" s="61"/>
      <c r="E1656" s="61"/>
      <c r="F1656" s="61" t="s">
        <v>1261</v>
      </c>
      <c r="G1656" s="61" t="s">
        <v>535</v>
      </c>
      <c r="H1656" s="61"/>
    </row>
    <row r="1657" spans="1:8" x14ac:dyDescent="0.55000000000000004">
      <c r="G1657" t="s">
        <v>535</v>
      </c>
    </row>
    <row r="1658" spans="1:8" x14ac:dyDescent="0.55000000000000004">
      <c r="A1658" s="74" t="s">
        <v>257</v>
      </c>
      <c r="B1658" s="74" t="s">
        <v>257</v>
      </c>
      <c r="C1658" s="61"/>
      <c r="D1658" s="63">
        <v>45264</v>
      </c>
      <c r="E1658" s="61" t="s">
        <v>1322</v>
      </c>
      <c r="F1658" s="61" t="s">
        <v>1646</v>
      </c>
      <c r="G1658" s="61">
        <v>101</v>
      </c>
      <c r="H1658" s="61"/>
    </row>
    <row r="1659" spans="1:8" x14ac:dyDescent="0.55000000000000004">
      <c r="A1659" s="61"/>
      <c r="B1659" s="61"/>
      <c r="C1659" s="61"/>
      <c r="D1659" s="61"/>
      <c r="E1659" s="61"/>
      <c r="F1659" s="66" t="s">
        <v>1260</v>
      </c>
      <c r="G1659" s="61" t="s">
        <v>535</v>
      </c>
      <c r="H1659" s="61"/>
    </row>
    <row r="1660" spans="1:8" x14ac:dyDescent="0.55000000000000004">
      <c r="A1660" s="61"/>
      <c r="B1660" s="61"/>
      <c r="C1660" s="61"/>
      <c r="D1660" s="61"/>
      <c r="E1660" s="61"/>
      <c r="F1660" s="61" t="s">
        <v>1261</v>
      </c>
      <c r="G1660" s="61" t="s">
        <v>535</v>
      </c>
      <c r="H1660" s="61"/>
    </row>
    <row r="1661" spans="1:8" x14ac:dyDescent="0.55000000000000004">
      <c r="A1661" s="61"/>
      <c r="B1661" s="61"/>
      <c r="C1661" s="61"/>
      <c r="D1661" s="61"/>
      <c r="E1661" s="61"/>
      <c r="F1661" s="66" t="s">
        <v>1262</v>
      </c>
      <c r="G1661" s="61" t="s">
        <v>535</v>
      </c>
      <c r="H1661" s="61"/>
    </row>
    <row r="1662" spans="1:8" x14ac:dyDescent="0.55000000000000004">
      <c r="A1662" s="61"/>
      <c r="B1662" s="61"/>
      <c r="C1662" s="61"/>
      <c r="D1662" s="61"/>
      <c r="E1662" s="61"/>
      <c r="F1662" s="61" t="s">
        <v>1261</v>
      </c>
      <c r="G1662" s="61" t="s">
        <v>535</v>
      </c>
      <c r="H1662" s="61"/>
    </row>
    <row r="1663" spans="1:8" x14ac:dyDescent="0.55000000000000004">
      <c r="G1663" t="s">
        <v>535</v>
      </c>
    </row>
    <row r="1664" spans="1:8" x14ac:dyDescent="0.55000000000000004">
      <c r="A1664" s="74" t="s">
        <v>248</v>
      </c>
      <c r="B1664" s="74" t="s">
        <v>248</v>
      </c>
      <c r="C1664" s="61"/>
      <c r="D1664" s="63">
        <v>45264</v>
      </c>
      <c r="E1664" s="61" t="s">
        <v>1322</v>
      </c>
      <c r="F1664" s="61" t="s">
        <v>1646</v>
      </c>
      <c r="G1664" s="61">
        <v>101</v>
      </c>
      <c r="H1664" s="61"/>
    </row>
    <row r="1665" spans="1:8" x14ac:dyDescent="0.55000000000000004">
      <c r="A1665" s="61"/>
      <c r="B1665" s="61"/>
      <c r="C1665" s="61"/>
      <c r="D1665" s="61"/>
      <c r="E1665" s="61"/>
      <c r="F1665" s="66" t="s">
        <v>1260</v>
      </c>
      <c r="G1665" s="61" t="s">
        <v>535</v>
      </c>
      <c r="H1665" s="61"/>
    </row>
    <row r="1666" spans="1:8" x14ac:dyDescent="0.55000000000000004">
      <c r="A1666" s="61"/>
      <c r="B1666" s="61"/>
      <c r="C1666" s="61"/>
      <c r="D1666" s="61"/>
      <c r="E1666" s="61"/>
      <c r="F1666" s="61" t="s">
        <v>1649</v>
      </c>
      <c r="G1666" s="61" t="s">
        <v>535</v>
      </c>
      <c r="H1666" s="61"/>
    </row>
    <row r="1667" spans="1:8" x14ac:dyDescent="0.55000000000000004">
      <c r="A1667" s="61"/>
      <c r="B1667" s="61"/>
      <c r="C1667" s="61"/>
      <c r="D1667" s="61"/>
      <c r="E1667" s="61"/>
      <c r="F1667" s="66" t="s">
        <v>1262</v>
      </c>
      <c r="G1667" s="61" t="s">
        <v>535</v>
      </c>
      <c r="H1667" s="61"/>
    </row>
    <row r="1668" spans="1:8" x14ac:dyDescent="0.55000000000000004">
      <c r="A1668" s="61"/>
      <c r="B1668" s="61"/>
      <c r="C1668" s="61"/>
      <c r="D1668" s="61"/>
      <c r="E1668" s="61"/>
      <c r="F1668" s="61" t="s">
        <v>1261</v>
      </c>
      <c r="G1668" s="61" t="s">
        <v>535</v>
      </c>
      <c r="H1668" s="61"/>
    </row>
    <row r="1669" spans="1:8" x14ac:dyDescent="0.55000000000000004">
      <c r="G1669" t="s">
        <v>535</v>
      </c>
    </row>
    <row r="1670" spans="1:8" x14ac:dyDescent="0.55000000000000004">
      <c r="A1670" s="74" t="s">
        <v>235</v>
      </c>
      <c r="B1670" s="74" t="s">
        <v>235</v>
      </c>
      <c r="C1670" s="61"/>
      <c r="D1670" s="63">
        <v>45264</v>
      </c>
      <c r="E1670" s="61" t="s">
        <v>1322</v>
      </c>
      <c r="F1670" s="61" t="s">
        <v>1646</v>
      </c>
      <c r="G1670" s="61">
        <v>101</v>
      </c>
      <c r="H1670" s="61"/>
    </row>
    <row r="1671" spans="1:8" x14ac:dyDescent="0.55000000000000004">
      <c r="A1671" s="61"/>
      <c r="B1671" s="61"/>
      <c r="C1671" s="61"/>
      <c r="D1671" s="61"/>
      <c r="E1671" s="61"/>
      <c r="F1671" s="66" t="s">
        <v>1260</v>
      </c>
      <c r="G1671" s="61" t="s">
        <v>535</v>
      </c>
      <c r="H1671" s="61"/>
    </row>
    <row r="1672" spans="1:8" x14ac:dyDescent="0.55000000000000004">
      <c r="A1672" s="61"/>
      <c r="B1672" s="61"/>
      <c r="C1672" s="61"/>
      <c r="D1672" s="61"/>
      <c r="E1672" s="61"/>
      <c r="F1672" s="61" t="s">
        <v>1261</v>
      </c>
      <c r="G1672" s="61" t="s">
        <v>535</v>
      </c>
      <c r="H1672" s="61"/>
    </row>
    <row r="1673" spans="1:8" x14ac:dyDescent="0.55000000000000004">
      <c r="A1673" s="61"/>
      <c r="B1673" s="61"/>
      <c r="C1673" s="61"/>
      <c r="D1673" s="61"/>
      <c r="E1673" s="61"/>
      <c r="F1673" s="66" t="s">
        <v>1262</v>
      </c>
      <c r="G1673" s="61"/>
      <c r="H1673" s="61"/>
    </row>
    <row r="1674" spans="1:8" x14ac:dyDescent="0.55000000000000004">
      <c r="A1674" s="61"/>
      <c r="B1674" s="61"/>
      <c r="C1674" s="61"/>
      <c r="D1674" s="61"/>
      <c r="E1674" s="61"/>
      <c r="F1674" s="61" t="s">
        <v>1261</v>
      </c>
      <c r="G1674" s="61"/>
      <c r="H1674" s="61"/>
    </row>
    <row r="1676" spans="1:8" x14ac:dyDescent="0.55000000000000004">
      <c r="A1676" s="74" t="s">
        <v>264</v>
      </c>
      <c r="B1676" s="74" t="s">
        <v>264</v>
      </c>
      <c r="C1676" s="61" t="s">
        <v>1360</v>
      </c>
      <c r="D1676" s="63">
        <v>45274</v>
      </c>
      <c r="E1676" s="61" t="s">
        <v>1322</v>
      </c>
      <c r="F1676" s="61" t="s">
        <v>1646</v>
      </c>
      <c r="G1676" s="61">
        <v>101</v>
      </c>
      <c r="H1676" s="61"/>
    </row>
    <row r="1677" spans="1:8" x14ac:dyDescent="0.55000000000000004">
      <c r="A1677" s="61"/>
      <c r="B1677" s="61"/>
      <c r="C1677" s="61"/>
      <c r="D1677" s="61"/>
      <c r="E1677" s="61"/>
      <c r="F1677" s="66" t="s">
        <v>1260</v>
      </c>
      <c r="G1677" s="61"/>
      <c r="H1677" s="61"/>
    </row>
    <row r="1678" spans="1:8" x14ac:dyDescent="0.55000000000000004">
      <c r="A1678" s="61"/>
      <c r="B1678" s="61"/>
      <c r="C1678" s="61"/>
      <c r="D1678" s="61"/>
      <c r="E1678" s="61"/>
      <c r="F1678" s="61" t="s">
        <v>1261</v>
      </c>
      <c r="G1678" s="61"/>
      <c r="H1678" s="61"/>
    </row>
    <row r="1679" spans="1:8" x14ac:dyDescent="0.55000000000000004">
      <c r="A1679" s="61"/>
      <c r="B1679" s="61"/>
      <c r="C1679" s="61"/>
      <c r="D1679" s="61"/>
      <c r="E1679" s="61"/>
      <c r="F1679" s="66" t="s">
        <v>1262</v>
      </c>
      <c r="G1679" s="61"/>
      <c r="H1679" s="61"/>
    </row>
    <row r="1680" spans="1:8" x14ac:dyDescent="0.55000000000000004">
      <c r="A1680" s="61"/>
      <c r="B1680" s="61"/>
      <c r="C1680" s="61"/>
      <c r="D1680" s="61"/>
      <c r="E1680" s="61"/>
      <c r="F1680" s="61" t="s">
        <v>1261</v>
      </c>
      <c r="G1680" s="61"/>
      <c r="H1680" s="61"/>
    </row>
    <row r="1682" spans="1:8" x14ac:dyDescent="0.55000000000000004">
      <c r="A1682" s="74" t="s">
        <v>259</v>
      </c>
      <c r="B1682" s="74" t="s">
        <v>1650</v>
      </c>
      <c r="C1682" s="61" t="s">
        <v>1360</v>
      </c>
      <c r="D1682" s="63">
        <v>45274</v>
      </c>
      <c r="E1682" s="61" t="s">
        <v>1322</v>
      </c>
      <c r="F1682" s="61" t="s">
        <v>1646</v>
      </c>
      <c r="G1682" s="61">
        <v>101</v>
      </c>
      <c r="H1682" s="61"/>
    </row>
    <row r="1683" spans="1:8" x14ac:dyDescent="0.55000000000000004">
      <c r="A1683" s="61"/>
      <c r="B1683" s="61"/>
      <c r="C1683" s="61"/>
      <c r="D1683" s="61"/>
      <c r="E1683" s="61"/>
      <c r="F1683" s="66" t="s">
        <v>1260</v>
      </c>
      <c r="G1683" s="61"/>
      <c r="H1683" s="61"/>
    </row>
    <row r="1684" spans="1:8" x14ac:dyDescent="0.55000000000000004">
      <c r="A1684" s="61"/>
      <c r="B1684" s="61"/>
      <c r="C1684" s="61"/>
      <c r="D1684" s="61"/>
      <c r="E1684" s="61"/>
      <c r="F1684" s="61" t="s">
        <v>1261</v>
      </c>
      <c r="G1684" s="61"/>
      <c r="H1684" s="61"/>
    </row>
    <row r="1685" spans="1:8" x14ac:dyDescent="0.55000000000000004">
      <c r="A1685" s="61"/>
      <c r="B1685" s="61"/>
      <c r="C1685" s="61"/>
      <c r="D1685" s="61"/>
      <c r="E1685" s="61"/>
      <c r="F1685" s="66" t="s">
        <v>1262</v>
      </c>
      <c r="G1685" s="61"/>
      <c r="H1685" s="61"/>
    </row>
    <row r="1686" spans="1:8" x14ac:dyDescent="0.55000000000000004">
      <c r="A1686" s="61"/>
      <c r="B1686" s="61"/>
      <c r="C1686" s="61"/>
      <c r="D1686" s="61"/>
      <c r="E1686" s="61"/>
      <c r="F1686" s="61" t="s">
        <v>1261</v>
      </c>
      <c r="G1686" s="61"/>
      <c r="H1686" s="61"/>
    </row>
    <row r="1688" spans="1:8" x14ac:dyDescent="0.55000000000000004">
      <c r="A1688" s="74" t="s">
        <v>263</v>
      </c>
      <c r="B1688" s="74" t="s">
        <v>263</v>
      </c>
      <c r="C1688" s="61" t="s">
        <v>1360</v>
      </c>
      <c r="D1688" s="63">
        <v>45274</v>
      </c>
      <c r="E1688" s="61" t="s">
        <v>1322</v>
      </c>
      <c r="F1688" s="61" t="s">
        <v>1646</v>
      </c>
      <c r="G1688" s="61">
        <v>101</v>
      </c>
      <c r="H1688" s="61"/>
    </row>
    <row r="1689" spans="1:8" x14ac:dyDescent="0.55000000000000004">
      <c r="A1689" s="61"/>
      <c r="B1689" s="61"/>
      <c r="C1689" s="61"/>
      <c r="D1689" s="61"/>
      <c r="E1689" s="61"/>
      <c r="F1689" s="66" t="s">
        <v>1260</v>
      </c>
      <c r="G1689" s="61"/>
      <c r="H1689" s="61"/>
    </row>
    <row r="1690" spans="1:8" x14ac:dyDescent="0.55000000000000004">
      <c r="A1690" s="61"/>
      <c r="B1690" s="61"/>
      <c r="C1690" s="61"/>
      <c r="D1690" s="61"/>
      <c r="E1690" s="61"/>
      <c r="F1690" s="61" t="s">
        <v>1261</v>
      </c>
      <c r="G1690" s="61"/>
      <c r="H1690" s="61"/>
    </row>
    <row r="1691" spans="1:8" x14ac:dyDescent="0.55000000000000004">
      <c r="A1691" s="61"/>
      <c r="B1691" s="61"/>
      <c r="C1691" s="61"/>
      <c r="D1691" s="61"/>
      <c r="E1691" s="61"/>
      <c r="F1691" s="66" t="s">
        <v>1262</v>
      </c>
      <c r="G1691" s="61"/>
      <c r="H1691" s="61"/>
    </row>
    <row r="1692" spans="1:8" x14ac:dyDescent="0.55000000000000004">
      <c r="A1692" s="61"/>
      <c r="B1692" s="61"/>
      <c r="C1692" s="61"/>
      <c r="D1692" s="61"/>
      <c r="E1692" s="61"/>
      <c r="F1692" s="61" t="s">
        <v>1261</v>
      </c>
      <c r="G1692" s="61"/>
      <c r="H1692" s="61"/>
    </row>
    <row r="1694" spans="1:8" x14ac:dyDescent="0.55000000000000004">
      <c r="A1694" s="74" t="s">
        <v>209</v>
      </c>
      <c r="B1694" s="74" t="s">
        <v>209</v>
      </c>
      <c r="C1694" s="61" t="s">
        <v>1360</v>
      </c>
      <c r="D1694" s="63">
        <v>45274</v>
      </c>
      <c r="E1694" s="61" t="s">
        <v>1322</v>
      </c>
      <c r="F1694" s="61" t="s">
        <v>1646</v>
      </c>
      <c r="G1694" s="61">
        <v>101</v>
      </c>
      <c r="H1694" s="61"/>
    </row>
    <row r="1695" spans="1:8" x14ac:dyDescent="0.55000000000000004">
      <c r="A1695" s="61"/>
      <c r="B1695" s="61"/>
      <c r="C1695" s="61"/>
      <c r="D1695" s="61"/>
      <c r="E1695" s="61"/>
      <c r="F1695" s="66" t="s">
        <v>1260</v>
      </c>
      <c r="G1695" s="61"/>
      <c r="H1695" s="61"/>
    </row>
    <row r="1696" spans="1:8" x14ac:dyDescent="0.55000000000000004">
      <c r="A1696" s="61"/>
      <c r="B1696" s="61"/>
      <c r="C1696" s="61"/>
      <c r="D1696" s="61"/>
      <c r="E1696" s="61"/>
      <c r="F1696" s="61" t="s">
        <v>1261</v>
      </c>
      <c r="G1696" s="61"/>
      <c r="H1696" s="61"/>
    </row>
    <row r="1697" spans="1:8" x14ac:dyDescent="0.55000000000000004">
      <c r="A1697" s="61"/>
      <c r="B1697" s="61"/>
      <c r="C1697" s="61"/>
      <c r="D1697" s="61"/>
      <c r="E1697" s="61"/>
      <c r="F1697" s="66" t="s">
        <v>1262</v>
      </c>
      <c r="G1697" s="61"/>
      <c r="H1697" s="61"/>
    </row>
    <row r="1698" spans="1:8" x14ac:dyDescent="0.55000000000000004">
      <c r="A1698" s="61"/>
      <c r="B1698" s="61"/>
      <c r="C1698" s="61"/>
      <c r="D1698" s="61"/>
      <c r="E1698" s="61"/>
      <c r="F1698" s="61" t="s">
        <v>1261</v>
      </c>
      <c r="G1698" s="61"/>
      <c r="H1698" s="61"/>
    </row>
    <row r="1700" spans="1:8" x14ac:dyDescent="0.55000000000000004">
      <c r="A1700" s="74" t="s">
        <v>265</v>
      </c>
      <c r="B1700" s="74" t="s">
        <v>265</v>
      </c>
      <c r="C1700" s="61" t="s">
        <v>1360</v>
      </c>
      <c r="D1700" s="63">
        <v>45287</v>
      </c>
      <c r="E1700" s="61" t="s">
        <v>1322</v>
      </c>
      <c r="F1700" s="61" t="s">
        <v>1646</v>
      </c>
      <c r="G1700" s="61">
        <v>101</v>
      </c>
      <c r="H1700" s="61"/>
    </row>
    <row r="1701" spans="1:8" x14ac:dyDescent="0.55000000000000004">
      <c r="A1701" s="61"/>
      <c r="B1701" s="61"/>
      <c r="C1701" s="61"/>
      <c r="D1701" s="61"/>
      <c r="E1701" s="61"/>
      <c r="F1701" s="66" t="s">
        <v>1260</v>
      </c>
      <c r="G1701" s="61"/>
      <c r="H1701" s="61"/>
    </row>
    <row r="1702" spans="1:8" x14ac:dyDescent="0.55000000000000004">
      <c r="A1702" s="61"/>
      <c r="B1702" s="61"/>
      <c r="C1702" s="61"/>
      <c r="D1702" s="61"/>
      <c r="E1702" s="61"/>
      <c r="F1702" s="61" t="s">
        <v>1261</v>
      </c>
      <c r="G1702" s="61"/>
      <c r="H1702" s="61"/>
    </row>
    <row r="1703" spans="1:8" x14ac:dyDescent="0.55000000000000004">
      <c r="A1703" s="61"/>
      <c r="B1703" s="61"/>
      <c r="C1703" s="61"/>
      <c r="D1703" s="61"/>
      <c r="E1703" s="61"/>
      <c r="F1703" s="66" t="s">
        <v>1262</v>
      </c>
      <c r="G1703" s="61"/>
      <c r="H1703" s="61"/>
    </row>
    <row r="1704" spans="1:8" x14ac:dyDescent="0.55000000000000004">
      <c r="A1704" s="61"/>
      <c r="B1704" s="61"/>
      <c r="C1704" s="61"/>
      <c r="D1704" s="61"/>
      <c r="E1704" s="61"/>
      <c r="F1704" s="61" t="s">
        <v>1261</v>
      </c>
      <c r="G1704" s="61"/>
      <c r="H1704" s="61"/>
    </row>
    <row r="1706" spans="1:8" x14ac:dyDescent="0.55000000000000004">
      <c r="A1706" s="74" t="s">
        <v>267</v>
      </c>
      <c r="B1706" s="74" t="s">
        <v>267</v>
      </c>
      <c r="C1706" s="61" t="s">
        <v>1360</v>
      </c>
      <c r="D1706" s="63">
        <v>45287</v>
      </c>
      <c r="E1706" s="61" t="s">
        <v>1322</v>
      </c>
      <c r="F1706" s="61" t="s">
        <v>1646</v>
      </c>
      <c r="G1706" s="61">
        <v>101</v>
      </c>
      <c r="H1706" s="61"/>
    </row>
    <row r="1707" spans="1:8" x14ac:dyDescent="0.55000000000000004">
      <c r="A1707" s="61"/>
      <c r="B1707" s="61"/>
      <c r="C1707" s="61"/>
      <c r="D1707" s="61"/>
      <c r="E1707" s="61"/>
      <c r="F1707" s="66" t="s">
        <v>1260</v>
      </c>
      <c r="G1707" s="61"/>
      <c r="H1707" s="61"/>
    </row>
    <row r="1708" spans="1:8" x14ac:dyDescent="0.55000000000000004">
      <c r="A1708" s="61"/>
      <c r="B1708" s="61"/>
      <c r="C1708" s="61"/>
      <c r="D1708" s="61"/>
      <c r="E1708" s="61"/>
      <c r="F1708" s="61" t="s">
        <v>1261</v>
      </c>
      <c r="G1708" s="61"/>
      <c r="H1708" s="61"/>
    </row>
    <row r="1709" spans="1:8" x14ac:dyDescent="0.55000000000000004">
      <c r="A1709" s="61"/>
      <c r="B1709" s="61"/>
      <c r="C1709" s="61"/>
      <c r="D1709" s="61"/>
      <c r="E1709" s="61"/>
      <c r="F1709" s="66" t="s">
        <v>1262</v>
      </c>
      <c r="G1709" s="61"/>
      <c r="H1709" s="61"/>
    </row>
    <row r="1710" spans="1:8" x14ac:dyDescent="0.55000000000000004">
      <c r="A1710" s="61"/>
      <c r="B1710" s="61"/>
      <c r="C1710" s="61"/>
      <c r="D1710" s="61"/>
      <c r="E1710" s="61"/>
      <c r="F1710" s="61" t="s">
        <v>1261</v>
      </c>
      <c r="G1710" s="61"/>
      <c r="H1710" s="61"/>
    </row>
    <row r="1712" spans="1:8" x14ac:dyDescent="0.55000000000000004">
      <c r="A1712" s="74" t="s">
        <v>269</v>
      </c>
      <c r="B1712" s="74" t="s">
        <v>269</v>
      </c>
      <c r="C1712" s="61" t="s">
        <v>1360</v>
      </c>
      <c r="D1712" s="63">
        <v>45274</v>
      </c>
      <c r="E1712" s="61" t="s">
        <v>1322</v>
      </c>
      <c r="F1712" s="61" t="s">
        <v>1646</v>
      </c>
      <c r="G1712" s="61">
        <v>101</v>
      </c>
      <c r="H1712" s="61"/>
    </row>
    <row r="1713" spans="1:8" x14ac:dyDescent="0.55000000000000004">
      <c r="A1713" s="61"/>
      <c r="B1713" s="61"/>
      <c r="C1713" s="61"/>
      <c r="D1713" s="61"/>
      <c r="E1713" s="61"/>
      <c r="F1713" s="66" t="s">
        <v>1260</v>
      </c>
      <c r="G1713" s="61"/>
      <c r="H1713" s="61"/>
    </row>
    <row r="1714" spans="1:8" x14ac:dyDescent="0.55000000000000004">
      <c r="A1714" s="61"/>
      <c r="B1714" s="61"/>
      <c r="C1714" s="61"/>
      <c r="D1714" s="61"/>
      <c r="E1714" s="61"/>
      <c r="F1714" s="61" t="s">
        <v>1261</v>
      </c>
      <c r="G1714" s="61"/>
      <c r="H1714" s="61"/>
    </row>
    <row r="1715" spans="1:8" x14ac:dyDescent="0.55000000000000004">
      <c r="A1715" s="61"/>
      <c r="B1715" s="61"/>
      <c r="C1715" s="61"/>
      <c r="D1715" s="61"/>
      <c r="E1715" s="61"/>
      <c r="F1715" s="66" t="s">
        <v>1262</v>
      </c>
      <c r="G1715" s="61"/>
      <c r="H1715" s="61"/>
    </row>
    <row r="1716" spans="1:8" x14ac:dyDescent="0.55000000000000004">
      <c r="A1716" s="61"/>
      <c r="B1716" s="61"/>
      <c r="C1716" s="61"/>
      <c r="D1716" s="61"/>
      <c r="E1716" s="61"/>
      <c r="F1716" s="61" t="s">
        <v>1261</v>
      </c>
      <c r="G1716" s="61"/>
      <c r="H1716" s="61"/>
    </row>
    <row r="1718" spans="1:8" x14ac:dyDescent="0.55000000000000004">
      <c r="A1718" s="74" t="s">
        <v>272</v>
      </c>
      <c r="B1718" s="74" t="s">
        <v>272</v>
      </c>
      <c r="C1718" s="61" t="s">
        <v>1360</v>
      </c>
      <c r="D1718" s="63">
        <v>45287</v>
      </c>
      <c r="E1718" s="61" t="s">
        <v>1322</v>
      </c>
      <c r="F1718" s="61" t="s">
        <v>1646</v>
      </c>
      <c r="G1718" s="61">
        <v>101</v>
      </c>
      <c r="H1718" s="61"/>
    </row>
    <row r="1719" spans="1:8" x14ac:dyDescent="0.55000000000000004">
      <c r="A1719" s="61"/>
      <c r="B1719" s="61"/>
      <c r="C1719" s="61"/>
      <c r="D1719" s="61"/>
      <c r="E1719" s="61"/>
      <c r="F1719" s="66" t="s">
        <v>1260</v>
      </c>
      <c r="G1719" s="61"/>
      <c r="H1719" s="61"/>
    </row>
    <row r="1720" spans="1:8" x14ac:dyDescent="0.55000000000000004">
      <c r="A1720" s="61"/>
      <c r="B1720" s="61"/>
      <c r="C1720" s="61"/>
      <c r="D1720" s="61"/>
      <c r="E1720" s="61"/>
      <c r="F1720" s="61" t="s">
        <v>1261</v>
      </c>
      <c r="G1720" s="61"/>
      <c r="H1720" s="61"/>
    </row>
    <row r="1721" spans="1:8" x14ac:dyDescent="0.55000000000000004">
      <c r="A1721" s="61"/>
      <c r="B1721" s="61"/>
      <c r="C1721" s="61"/>
      <c r="D1721" s="61"/>
      <c r="E1721" s="61"/>
      <c r="F1721" s="66" t="s">
        <v>1262</v>
      </c>
      <c r="G1721" s="61"/>
      <c r="H1721" s="61"/>
    </row>
    <row r="1722" spans="1:8" x14ac:dyDescent="0.55000000000000004">
      <c r="A1722" s="61"/>
      <c r="B1722" s="61"/>
      <c r="C1722" s="61"/>
      <c r="D1722" s="61"/>
      <c r="E1722" s="61"/>
      <c r="F1722" s="61" t="s">
        <v>1261</v>
      </c>
      <c r="G1722" s="61"/>
      <c r="H1722" s="61"/>
    </row>
    <row r="1724" spans="1:8" x14ac:dyDescent="0.55000000000000004">
      <c r="A1724" s="74" t="s">
        <v>275</v>
      </c>
      <c r="B1724" s="74" t="s">
        <v>275</v>
      </c>
      <c r="C1724" s="61" t="s">
        <v>1360</v>
      </c>
      <c r="D1724" s="63">
        <v>45287</v>
      </c>
      <c r="E1724" s="61" t="s">
        <v>1322</v>
      </c>
      <c r="F1724" s="61" t="s">
        <v>1646</v>
      </c>
      <c r="G1724" s="61">
        <v>101</v>
      </c>
      <c r="H1724" s="61"/>
    </row>
    <row r="1725" spans="1:8" x14ac:dyDescent="0.55000000000000004">
      <c r="A1725" s="61"/>
      <c r="B1725" s="61"/>
      <c r="C1725" s="61"/>
      <c r="D1725" s="61"/>
      <c r="E1725" s="61"/>
      <c r="F1725" s="66" t="s">
        <v>1260</v>
      </c>
      <c r="G1725" s="61"/>
      <c r="H1725" s="61"/>
    </row>
    <row r="1726" spans="1:8" x14ac:dyDescent="0.55000000000000004">
      <c r="A1726" s="61"/>
      <c r="B1726" s="61"/>
      <c r="C1726" s="61"/>
      <c r="D1726" s="61"/>
      <c r="E1726" s="61"/>
      <c r="F1726" s="61" t="s">
        <v>1261</v>
      </c>
      <c r="G1726" s="61"/>
      <c r="H1726" s="61"/>
    </row>
    <row r="1727" spans="1:8" x14ac:dyDescent="0.55000000000000004">
      <c r="A1727" s="61"/>
      <c r="B1727" s="61"/>
      <c r="C1727" s="61"/>
      <c r="D1727" s="61"/>
      <c r="E1727" s="61"/>
      <c r="F1727" s="66" t="s">
        <v>1262</v>
      </c>
      <c r="G1727" s="61"/>
      <c r="H1727" s="61"/>
    </row>
    <row r="1728" spans="1:8" x14ac:dyDescent="0.55000000000000004">
      <c r="A1728" s="61"/>
      <c r="B1728" s="61"/>
      <c r="C1728" s="61"/>
      <c r="D1728" s="61"/>
      <c r="E1728" s="61"/>
      <c r="F1728" s="61" t="s">
        <v>1261</v>
      </c>
      <c r="G1728" s="61"/>
      <c r="H1728" s="61"/>
    </row>
    <row r="1730" spans="1:8" x14ac:dyDescent="0.55000000000000004">
      <c r="A1730" s="74" t="s">
        <v>276</v>
      </c>
      <c r="B1730" s="74" t="s">
        <v>276</v>
      </c>
      <c r="C1730" s="61" t="s">
        <v>1360</v>
      </c>
      <c r="D1730" s="63">
        <v>45287</v>
      </c>
      <c r="E1730" s="61" t="s">
        <v>1322</v>
      </c>
      <c r="F1730" s="61" t="s">
        <v>1646</v>
      </c>
      <c r="G1730" s="61">
        <v>101</v>
      </c>
      <c r="H1730" s="61"/>
    </row>
    <row r="1731" spans="1:8" x14ac:dyDescent="0.55000000000000004">
      <c r="A1731" s="61"/>
      <c r="B1731" s="61"/>
      <c r="C1731" s="61"/>
      <c r="D1731" s="61"/>
      <c r="E1731" s="61"/>
      <c r="F1731" s="66" t="s">
        <v>1260</v>
      </c>
      <c r="G1731" s="61"/>
      <c r="H1731" s="61"/>
    </row>
    <row r="1732" spans="1:8" x14ac:dyDescent="0.55000000000000004">
      <c r="A1732" s="61"/>
      <c r="B1732" s="61"/>
      <c r="C1732" s="61"/>
      <c r="D1732" s="61"/>
      <c r="E1732" s="61"/>
      <c r="F1732" s="61" t="s">
        <v>1261</v>
      </c>
      <c r="G1732" s="61"/>
      <c r="H1732" s="61"/>
    </row>
    <row r="1733" spans="1:8" x14ac:dyDescent="0.55000000000000004">
      <c r="A1733" s="61"/>
      <c r="B1733" s="61"/>
      <c r="C1733" s="61"/>
      <c r="D1733" s="61"/>
      <c r="E1733" s="61"/>
      <c r="F1733" s="66" t="s">
        <v>1262</v>
      </c>
      <c r="G1733" s="61"/>
      <c r="H1733" s="61"/>
    </row>
    <row r="1734" spans="1:8" x14ac:dyDescent="0.55000000000000004">
      <c r="A1734" s="61"/>
      <c r="B1734" s="61"/>
      <c r="C1734" s="61"/>
      <c r="D1734" s="61"/>
      <c r="E1734" s="61"/>
      <c r="F1734" s="61" t="s">
        <v>1261</v>
      </c>
      <c r="G1734" s="61"/>
      <c r="H1734" s="61"/>
    </row>
    <row r="1736" spans="1:8" x14ac:dyDescent="0.55000000000000004">
      <c r="A1736" s="74" t="s">
        <v>279</v>
      </c>
      <c r="B1736" s="74" t="s">
        <v>279</v>
      </c>
      <c r="C1736" s="61" t="s">
        <v>1360</v>
      </c>
      <c r="D1736" s="63">
        <v>45287</v>
      </c>
      <c r="E1736" s="61" t="s">
        <v>1322</v>
      </c>
      <c r="F1736" s="61" t="s">
        <v>1646</v>
      </c>
      <c r="G1736" s="61">
        <v>101</v>
      </c>
      <c r="H1736" s="61"/>
    </row>
    <row r="1737" spans="1:8" x14ac:dyDescent="0.55000000000000004">
      <c r="A1737" s="61"/>
      <c r="B1737" s="61"/>
      <c r="C1737" s="61"/>
      <c r="D1737" s="61"/>
      <c r="E1737" s="61"/>
      <c r="F1737" s="66" t="s">
        <v>1260</v>
      </c>
      <c r="G1737" s="61"/>
      <c r="H1737" s="61"/>
    </row>
    <row r="1738" spans="1:8" x14ac:dyDescent="0.55000000000000004">
      <c r="A1738" s="61"/>
      <c r="B1738" s="61"/>
      <c r="C1738" s="61"/>
      <c r="D1738" s="61"/>
      <c r="E1738" s="61"/>
      <c r="F1738" s="61" t="s">
        <v>1261</v>
      </c>
      <c r="G1738" s="61"/>
      <c r="H1738" s="61"/>
    </row>
    <row r="1739" spans="1:8" x14ac:dyDescent="0.55000000000000004">
      <c r="A1739" s="61"/>
      <c r="B1739" s="61"/>
      <c r="C1739" s="61"/>
      <c r="D1739" s="61"/>
      <c r="E1739" s="61"/>
      <c r="F1739" s="66" t="s">
        <v>1262</v>
      </c>
      <c r="G1739" s="61"/>
      <c r="H1739" s="61"/>
    </row>
    <row r="1740" spans="1:8" x14ac:dyDescent="0.55000000000000004">
      <c r="A1740" s="61"/>
      <c r="B1740" s="61"/>
      <c r="C1740" s="61"/>
      <c r="D1740" s="61"/>
      <c r="E1740" s="61"/>
      <c r="F1740" s="61" t="s">
        <v>1261</v>
      </c>
      <c r="G1740" s="61"/>
      <c r="H1740" s="61"/>
    </row>
    <row r="1742" spans="1:8" x14ac:dyDescent="0.55000000000000004">
      <c r="A1742" s="74" t="s">
        <v>280</v>
      </c>
      <c r="B1742" s="74" t="s">
        <v>280</v>
      </c>
      <c r="C1742" s="61" t="s">
        <v>1360</v>
      </c>
      <c r="D1742" s="63">
        <v>45287</v>
      </c>
      <c r="E1742" s="61" t="s">
        <v>1322</v>
      </c>
      <c r="F1742" s="61" t="s">
        <v>1646</v>
      </c>
      <c r="G1742" s="61">
        <v>101</v>
      </c>
      <c r="H1742" s="61"/>
    </row>
    <row r="1743" spans="1:8" x14ac:dyDescent="0.55000000000000004">
      <c r="A1743" s="61"/>
      <c r="B1743" s="61"/>
      <c r="C1743" s="61"/>
      <c r="D1743" s="61"/>
      <c r="E1743" s="61"/>
      <c r="F1743" s="66" t="s">
        <v>1260</v>
      </c>
      <c r="G1743" s="61"/>
      <c r="H1743" s="61"/>
    </row>
    <row r="1744" spans="1:8" x14ac:dyDescent="0.55000000000000004">
      <c r="A1744" s="61"/>
      <c r="B1744" s="61"/>
      <c r="C1744" s="61"/>
      <c r="D1744" s="61"/>
      <c r="E1744" s="61"/>
      <c r="F1744" s="61" t="s">
        <v>1261</v>
      </c>
      <c r="G1744" s="61"/>
      <c r="H1744" s="61"/>
    </row>
    <row r="1745" spans="1:8" x14ac:dyDescent="0.55000000000000004">
      <c r="A1745" s="61"/>
      <c r="B1745" s="61"/>
      <c r="C1745" s="61"/>
      <c r="D1745" s="61"/>
      <c r="E1745" s="61"/>
      <c r="F1745" s="66" t="s">
        <v>1262</v>
      </c>
      <c r="G1745" s="61"/>
      <c r="H1745" s="61"/>
    </row>
    <row r="1746" spans="1:8" x14ac:dyDescent="0.55000000000000004">
      <c r="A1746" s="61"/>
      <c r="B1746" s="61"/>
      <c r="C1746" s="61"/>
      <c r="D1746" s="61"/>
      <c r="E1746" s="61"/>
      <c r="F1746" s="61" t="s">
        <v>1261</v>
      </c>
      <c r="G1746" s="61"/>
      <c r="H1746" s="61"/>
    </row>
    <row r="1748" spans="1:8" x14ac:dyDescent="0.55000000000000004">
      <c r="A1748" s="74" t="s">
        <v>283</v>
      </c>
      <c r="B1748" s="74" t="s">
        <v>283</v>
      </c>
      <c r="C1748" s="61" t="s">
        <v>1360</v>
      </c>
      <c r="D1748" s="63">
        <v>45287</v>
      </c>
      <c r="E1748" s="61" t="s">
        <v>1322</v>
      </c>
      <c r="F1748" s="61" t="s">
        <v>1646</v>
      </c>
      <c r="G1748" s="61">
        <v>101</v>
      </c>
      <c r="H1748" s="61"/>
    </row>
    <row r="1749" spans="1:8" x14ac:dyDescent="0.55000000000000004">
      <c r="A1749" s="61"/>
      <c r="B1749" s="61"/>
      <c r="C1749" s="61"/>
      <c r="D1749" s="61"/>
      <c r="E1749" s="61"/>
      <c r="F1749" s="66" t="s">
        <v>1260</v>
      </c>
      <c r="G1749" s="61"/>
      <c r="H1749" s="61"/>
    </row>
    <row r="1750" spans="1:8" x14ac:dyDescent="0.55000000000000004">
      <c r="A1750" s="61"/>
      <c r="B1750" s="61"/>
      <c r="C1750" s="61"/>
      <c r="D1750" s="61"/>
      <c r="E1750" s="61"/>
      <c r="F1750" s="61" t="s">
        <v>1261</v>
      </c>
      <c r="G1750" s="61"/>
      <c r="H1750" s="61"/>
    </row>
    <row r="1751" spans="1:8" x14ac:dyDescent="0.55000000000000004">
      <c r="A1751" s="61"/>
      <c r="B1751" s="61"/>
      <c r="C1751" s="61"/>
      <c r="D1751" s="61"/>
      <c r="E1751" s="61"/>
      <c r="F1751" s="66" t="s">
        <v>1262</v>
      </c>
      <c r="G1751" s="61"/>
      <c r="H1751" s="61"/>
    </row>
    <row r="1752" spans="1:8" x14ac:dyDescent="0.55000000000000004">
      <c r="A1752" s="61"/>
      <c r="B1752" s="61"/>
      <c r="C1752" s="61"/>
      <c r="D1752" s="61"/>
      <c r="E1752" s="61"/>
      <c r="F1752" s="61" t="s">
        <v>1261</v>
      </c>
      <c r="G1752" s="61"/>
      <c r="H1752" s="61"/>
    </row>
    <row r="1754" spans="1:8" x14ac:dyDescent="0.55000000000000004">
      <c r="A1754" s="74" t="s">
        <v>1651</v>
      </c>
      <c r="B1754" s="74" t="s">
        <v>1651</v>
      </c>
      <c r="C1754" s="61" t="s">
        <v>1272</v>
      </c>
      <c r="D1754" s="63">
        <v>45274</v>
      </c>
      <c r="E1754" s="61" t="s">
        <v>1322</v>
      </c>
      <c r="F1754" s="61" t="s">
        <v>1646</v>
      </c>
      <c r="G1754" s="61">
        <v>101</v>
      </c>
      <c r="H1754" s="61"/>
    </row>
    <row r="1755" spans="1:8" x14ac:dyDescent="0.55000000000000004">
      <c r="A1755" s="61"/>
      <c r="B1755" s="61"/>
      <c r="C1755" s="61"/>
      <c r="D1755" s="61"/>
      <c r="E1755" s="61"/>
      <c r="F1755" s="66" t="s">
        <v>1260</v>
      </c>
      <c r="G1755" s="61"/>
      <c r="H1755" s="61"/>
    </row>
    <row r="1756" spans="1:8" x14ac:dyDescent="0.55000000000000004">
      <c r="A1756" s="61"/>
      <c r="B1756" s="61"/>
      <c r="C1756" s="61"/>
      <c r="D1756" s="61"/>
      <c r="E1756" s="61"/>
      <c r="F1756" s="61" t="s">
        <v>1261</v>
      </c>
      <c r="G1756" s="61"/>
      <c r="H1756" s="61"/>
    </row>
    <row r="1757" spans="1:8" x14ac:dyDescent="0.55000000000000004">
      <c r="A1757" s="61"/>
      <c r="B1757" s="61"/>
      <c r="C1757" s="61"/>
      <c r="D1757" s="61"/>
      <c r="E1757" s="61"/>
      <c r="F1757" s="66" t="s">
        <v>1262</v>
      </c>
      <c r="G1757" s="61"/>
      <c r="H1757" s="61"/>
    </row>
    <row r="1758" spans="1:8" x14ac:dyDescent="0.55000000000000004">
      <c r="A1758" s="61"/>
      <c r="B1758" s="61"/>
      <c r="C1758" s="61"/>
      <c r="D1758" s="61"/>
      <c r="E1758" s="61"/>
      <c r="F1758" s="61" t="s">
        <v>1261</v>
      </c>
      <c r="G1758" s="61"/>
      <c r="H1758" s="61"/>
    </row>
    <row r="1760" spans="1:8" x14ac:dyDescent="0.55000000000000004">
      <c r="A1760" s="74" t="s">
        <v>2082</v>
      </c>
      <c r="B1760" s="74" t="s">
        <v>2082</v>
      </c>
      <c r="C1760" s="61" t="s">
        <v>1272</v>
      </c>
      <c r="D1760" s="63">
        <v>45274</v>
      </c>
      <c r="E1760" s="61" t="s">
        <v>1322</v>
      </c>
      <c r="F1760" s="61" t="s">
        <v>1646</v>
      </c>
      <c r="G1760" s="61">
        <v>101</v>
      </c>
      <c r="H1760" s="61"/>
    </row>
    <row r="1761" spans="1:8" x14ac:dyDescent="0.55000000000000004">
      <c r="A1761" s="61"/>
      <c r="B1761" s="61"/>
      <c r="C1761" s="61"/>
      <c r="D1761" s="61"/>
      <c r="E1761" s="61"/>
      <c r="F1761" s="66" t="s">
        <v>1260</v>
      </c>
      <c r="G1761" s="61"/>
      <c r="H1761" s="61"/>
    </row>
    <row r="1762" spans="1:8" x14ac:dyDescent="0.55000000000000004">
      <c r="A1762" s="61"/>
      <c r="B1762" s="61"/>
      <c r="C1762" s="61"/>
      <c r="D1762" s="61"/>
      <c r="E1762" s="61"/>
      <c r="F1762" s="61" t="s">
        <v>1261</v>
      </c>
      <c r="G1762" s="61"/>
      <c r="H1762" s="61"/>
    </row>
    <row r="1763" spans="1:8" x14ac:dyDescent="0.55000000000000004">
      <c r="A1763" s="61"/>
      <c r="B1763" s="61"/>
      <c r="C1763" s="61"/>
      <c r="D1763" s="61"/>
      <c r="E1763" s="61"/>
      <c r="F1763" s="66" t="s">
        <v>1262</v>
      </c>
      <c r="G1763" s="61"/>
      <c r="H1763" s="61"/>
    </row>
    <row r="1764" spans="1:8" x14ac:dyDescent="0.55000000000000004">
      <c r="A1764" s="61"/>
      <c r="B1764" s="61"/>
      <c r="C1764" s="61"/>
      <c r="D1764" s="61"/>
      <c r="E1764" s="61"/>
      <c r="F1764" s="61" t="s">
        <v>1261</v>
      </c>
      <c r="G1764" s="61"/>
      <c r="H1764" s="61"/>
    </row>
    <row r="1766" spans="1:8" x14ac:dyDescent="0.55000000000000004">
      <c r="A1766" s="74" t="s">
        <v>300</v>
      </c>
      <c r="B1766" s="74" t="s">
        <v>300</v>
      </c>
      <c r="C1766" s="61" t="s">
        <v>1272</v>
      </c>
      <c r="D1766" s="63">
        <v>45274</v>
      </c>
      <c r="E1766" s="61" t="s">
        <v>1322</v>
      </c>
      <c r="F1766" s="61" t="s">
        <v>1646</v>
      </c>
      <c r="G1766" s="61">
        <v>101</v>
      </c>
      <c r="H1766" s="61"/>
    </row>
    <row r="1767" spans="1:8" x14ac:dyDescent="0.55000000000000004">
      <c r="A1767" s="61"/>
      <c r="B1767" s="61"/>
      <c r="C1767" s="61"/>
      <c r="D1767" s="61"/>
      <c r="E1767" s="61"/>
      <c r="F1767" s="66" t="s">
        <v>1260</v>
      </c>
      <c r="G1767" s="61"/>
      <c r="H1767" s="61"/>
    </row>
    <row r="1768" spans="1:8" x14ac:dyDescent="0.55000000000000004">
      <c r="A1768" s="61"/>
      <c r="B1768" s="61"/>
      <c r="C1768" s="61"/>
      <c r="D1768" s="61"/>
      <c r="E1768" s="61"/>
      <c r="F1768" s="61" t="s">
        <v>1261</v>
      </c>
      <c r="G1768" s="61"/>
      <c r="H1768" s="61"/>
    </row>
    <row r="1769" spans="1:8" x14ac:dyDescent="0.55000000000000004">
      <c r="A1769" s="61"/>
      <c r="B1769" s="61"/>
      <c r="C1769" s="61"/>
      <c r="D1769" s="61"/>
      <c r="E1769" s="61"/>
      <c r="F1769" s="66" t="s">
        <v>1262</v>
      </c>
      <c r="G1769" s="61"/>
      <c r="H1769" s="61"/>
    </row>
    <row r="1770" spans="1:8" x14ac:dyDescent="0.55000000000000004">
      <c r="A1770" s="61"/>
      <c r="B1770" s="61"/>
      <c r="C1770" s="61"/>
      <c r="D1770" s="61"/>
      <c r="E1770" s="61"/>
      <c r="F1770" s="61" t="s">
        <v>1261</v>
      </c>
      <c r="G1770" s="61"/>
      <c r="H1770" s="61"/>
    </row>
    <row r="1772" spans="1:8" x14ac:dyDescent="0.55000000000000004">
      <c r="A1772" s="74" t="s">
        <v>302</v>
      </c>
      <c r="B1772" s="74" t="s">
        <v>302</v>
      </c>
      <c r="C1772" s="61" t="s">
        <v>1272</v>
      </c>
      <c r="D1772" s="63">
        <v>45274</v>
      </c>
      <c r="E1772" s="61" t="s">
        <v>1322</v>
      </c>
      <c r="F1772" s="61" t="s">
        <v>1646</v>
      </c>
      <c r="G1772" s="61">
        <v>101</v>
      </c>
      <c r="H1772" s="61"/>
    </row>
    <row r="1773" spans="1:8" x14ac:dyDescent="0.55000000000000004">
      <c r="A1773" s="61"/>
      <c r="B1773" s="61"/>
      <c r="C1773" s="61"/>
      <c r="D1773" s="61"/>
      <c r="E1773" s="61"/>
      <c r="F1773" s="66" t="s">
        <v>1260</v>
      </c>
      <c r="G1773" s="61"/>
      <c r="H1773" s="61"/>
    </row>
    <row r="1774" spans="1:8" x14ac:dyDescent="0.55000000000000004">
      <c r="A1774" s="61"/>
      <c r="B1774" s="61"/>
      <c r="C1774" s="61"/>
      <c r="D1774" s="61"/>
      <c r="E1774" s="61"/>
      <c r="F1774" s="61" t="s">
        <v>1261</v>
      </c>
      <c r="G1774" s="61"/>
      <c r="H1774" s="61"/>
    </row>
    <row r="1775" spans="1:8" x14ac:dyDescent="0.55000000000000004">
      <c r="A1775" s="61"/>
      <c r="B1775" s="61"/>
      <c r="C1775" s="61"/>
      <c r="D1775" s="61"/>
      <c r="E1775" s="61"/>
      <c r="F1775" s="66" t="s">
        <v>1262</v>
      </c>
      <c r="G1775" s="61"/>
      <c r="H1775" s="61"/>
    </row>
    <row r="1776" spans="1:8" x14ac:dyDescent="0.55000000000000004">
      <c r="A1776" s="61"/>
      <c r="B1776" s="61"/>
      <c r="C1776" s="61"/>
      <c r="D1776" s="61"/>
      <c r="E1776" s="61"/>
      <c r="F1776" s="61" t="s">
        <v>1261</v>
      </c>
      <c r="G1776" s="61"/>
      <c r="H1776" s="61"/>
    </row>
    <row r="1778" spans="1:8" x14ac:dyDescent="0.55000000000000004">
      <c r="A1778" s="74" t="s">
        <v>303</v>
      </c>
      <c r="B1778" s="74" t="s">
        <v>303</v>
      </c>
      <c r="C1778" s="61" t="s">
        <v>1272</v>
      </c>
      <c r="D1778" s="63">
        <v>45274</v>
      </c>
      <c r="E1778" s="61" t="s">
        <v>1322</v>
      </c>
      <c r="F1778" s="61" t="s">
        <v>1646</v>
      </c>
      <c r="G1778" s="61">
        <v>101</v>
      </c>
      <c r="H1778" s="61"/>
    </row>
    <row r="1779" spans="1:8" x14ac:dyDescent="0.55000000000000004">
      <c r="A1779" s="61"/>
      <c r="B1779" s="61"/>
      <c r="C1779" s="61"/>
      <c r="D1779" s="61"/>
      <c r="E1779" s="61"/>
      <c r="F1779" s="66" t="s">
        <v>1260</v>
      </c>
      <c r="G1779" s="61"/>
      <c r="H1779" s="61"/>
    </row>
    <row r="1780" spans="1:8" x14ac:dyDescent="0.55000000000000004">
      <c r="A1780" s="61"/>
      <c r="B1780" s="61"/>
      <c r="C1780" s="61"/>
      <c r="D1780" s="61"/>
      <c r="E1780" s="61"/>
      <c r="F1780" s="61" t="s">
        <v>1261</v>
      </c>
      <c r="G1780" s="61"/>
      <c r="H1780" s="61"/>
    </row>
    <row r="1781" spans="1:8" x14ac:dyDescent="0.55000000000000004">
      <c r="A1781" s="61"/>
      <c r="B1781" s="61"/>
      <c r="C1781" s="61"/>
      <c r="D1781" s="61"/>
      <c r="E1781" s="61"/>
      <c r="F1781" s="66" t="s">
        <v>1262</v>
      </c>
      <c r="G1781" s="61"/>
      <c r="H1781" s="61"/>
    </row>
    <row r="1782" spans="1:8" x14ac:dyDescent="0.55000000000000004">
      <c r="A1782" s="61"/>
      <c r="B1782" s="61"/>
      <c r="C1782" s="61"/>
      <c r="D1782" s="61"/>
      <c r="E1782" s="61"/>
      <c r="F1782" s="61" t="s">
        <v>1261</v>
      </c>
      <c r="G1782" s="61"/>
      <c r="H1782" s="61"/>
    </row>
    <row r="1784" spans="1:8" x14ac:dyDescent="0.55000000000000004">
      <c r="A1784" s="74" t="s">
        <v>305</v>
      </c>
      <c r="B1784" s="74" t="s">
        <v>305</v>
      </c>
      <c r="C1784" s="61" t="s">
        <v>1272</v>
      </c>
      <c r="D1784" s="63">
        <v>45274</v>
      </c>
      <c r="E1784" s="61" t="s">
        <v>1322</v>
      </c>
      <c r="F1784" s="61" t="s">
        <v>1646</v>
      </c>
      <c r="G1784" s="61">
        <v>101</v>
      </c>
      <c r="H1784" s="61"/>
    </row>
    <row r="1785" spans="1:8" x14ac:dyDescent="0.55000000000000004">
      <c r="A1785" s="61"/>
      <c r="B1785" s="61"/>
      <c r="C1785" s="61"/>
      <c r="D1785" s="61"/>
      <c r="E1785" s="61"/>
      <c r="F1785" s="66" t="s">
        <v>1260</v>
      </c>
      <c r="G1785" s="61"/>
      <c r="H1785" s="61"/>
    </row>
    <row r="1786" spans="1:8" x14ac:dyDescent="0.55000000000000004">
      <c r="A1786" s="61"/>
      <c r="B1786" s="61"/>
      <c r="C1786" s="61"/>
      <c r="D1786" s="61"/>
      <c r="E1786" s="61"/>
      <c r="F1786" s="61" t="s">
        <v>1261</v>
      </c>
      <c r="G1786" s="61"/>
      <c r="H1786" s="61"/>
    </row>
    <row r="1787" spans="1:8" x14ac:dyDescent="0.55000000000000004">
      <c r="A1787" s="61"/>
      <c r="B1787" s="61"/>
      <c r="C1787" s="61"/>
      <c r="D1787" s="61"/>
      <c r="E1787" s="61"/>
      <c r="F1787" s="66" t="s">
        <v>1262</v>
      </c>
      <c r="G1787" s="61"/>
      <c r="H1787" s="61"/>
    </row>
    <row r="1788" spans="1:8" x14ac:dyDescent="0.55000000000000004">
      <c r="A1788" s="61"/>
      <c r="B1788" s="61"/>
      <c r="C1788" s="61"/>
      <c r="D1788" s="61"/>
      <c r="E1788" s="61"/>
      <c r="F1788" s="61" t="s">
        <v>1261</v>
      </c>
      <c r="G1788" s="61"/>
      <c r="H1788" s="61"/>
    </row>
    <row r="1790" spans="1:8" x14ac:dyDescent="0.55000000000000004">
      <c r="A1790" s="74" t="s">
        <v>306</v>
      </c>
      <c r="B1790" s="74" t="s">
        <v>306</v>
      </c>
      <c r="C1790" s="61" t="s">
        <v>1272</v>
      </c>
      <c r="D1790" s="63">
        <v>45274</v>
      </c>
      <c r="E1790" s="61" t="s">
        <v>1322</v>
      </c>
      <c r="F1790" s="61" t="s">
        <v>1646</v>
      </c>
      <c r="G1790" s="61">
        <v>101</v>
      </c>
      <c r="H1790" s="61"/>
    </row>
    <row r="1791" spans="1:8" x14ac:dyDescent="0.55000000000000004">
      <c r="A1791" s="61"/>
      <c r="B1791" s="61"/>
      <c r="C1791" s="61"/>
      <c r="D1791" s="61"/>
      <c r="E1791" s="61"/>
      <c r="F1791" s="66" t="s">
        <v>1260</v>
      </c>
      <c r="G1791" s="61"/>
      <c r="H1791" s="61"/>
    </row>
    <row r="1792" spans="1:8" x14ac:dyDescent="0.55000000000000004">
      <c r="A1792" s="61"/>
      <c r="B1792" s="61"/>
      <c r="C1792" s="61"/>
      <c r="D1792" s="61"/>
      <c r="E1792" s="61"/>
      <c r="F1792" s="61" t="s">
        <v>1261</v>
      </c>
      <c r="G1792" s="61"/>
      <c r="H1792" s="61"/>
    </row>
    <row r="1793" spans="1:8" x14ac:dyDescent="0.55000000000000004">
      <c r="A1793" s="61"/>
      <c r="B1793" s="61"/>
      <c r="C1793" s="61"/>
      <c r="D1793" s="61"/>
      <c r="E1793" s="61"/>
      <c r="F1793" s="66" t="s">
        <v>1262</v>
      </c>
      <c r="G1793" s="61"/>
      <c r="H1793" s="61"/>
    </row>
    <row r="1794" spans="1:8" x14ac:dyDescent="0.55000000000000004">
      <c r="A1794" s="61"/>
      <c r="B1794" s="61"/>
      <c r="C1794" s="61"/>
      <c r="D1794" s="61"/>
      <c r="E1794" s="61"/>
      <c r="F1794" s="61" t="s">
        <v>1261</v>
      </c>
      <c r="G1794" s="61"/>
      <c r="H1794" s="61"/>
    </row>
    <row r="1796" spans="1:8" x14ac:dyDescent="0.55000000000000004">
      <c r="A1796" s="74" t="s">
        <v>307</v>
      </c>
      <c r="B1796" s="74" t="s">
        <v>307</v>
      </c>
      <c r="C1796" s="61" t="s">
        <v>1272</v>
      </c>
      <c r="D1796" s="63">
        <v>45274</v>
      </c>
      <c r="E1796" s="61" t="s">
        <v>1322</v>
      </c>
      <c r="F1796" s="61" t="s">
        <v>1646</v>
      </c>
      <c r="G1796" s="61">
        <v>101</v>
      </c>
      <c r="H1796" s="61"/>
    </row>
    <row r="1797" spans="1:8" x14ac:dyDescent="0.55000000000000004">
      <c r="A1797" s="61"/>
      <c r="B1797" s="61"/>
      <c r="C1797" s="61"/>
      <c r="D1797" s="61"/>
      <c r="E1797" s="61"/>
      <c r="F1797" s="66" t="s">
        <v>1260</v>
      </c>
      <c r="G1797" s="61"/>
      <c r="H1797" s="61"/>
    </row>
    <row r="1798" spans="1:8" x14ac:dyDescent="0.55000000000000004">
      <c r="A1798" s="61"/>
      <c r="B1798" s="61"/>
      <c r="C1798" s="61"/>
      <c r="D1798" s="61"/>
      <c r="E1798" s="61"/>
      <c r="F1798" s="61" t="s">
        <v>1261</v>
      </c>
      <c r="G1798" s="61"/>
      <c r="H1798" s="61"/>
    </row>
    <row r="1799" spans="1:8" x14ac:dyDescent="0.55000000000000004">
      <c r="A1799" s="61"/>
      <c r="B1799" s="61"/>
      <c r="C1799" s="61"/>
      <c r="D1799" s="61"/>
      <c r="E1799" s="61"/>
      <c r="F1799" s="66" t="s">
        <v>1262</v>
      </c>
      <c r="G1799" s="61"/>
      <c r="H1799" s="61"/>
    </row>
    <row r="1800" spans="1:8" x14ac:dyDescent="0.55000000000000004">
      <c r="A1800" s="61"/>
      <c r="B1800" s="61"/>
      <c r="C1800" s="61"/>
      <c r="D1800" s="61"/>
      <c r="E1800" s="61"/>
      <c r="F1800" s="61" t="s">
        <v>1261</v>
      </c>
      <c r="G1800" s="61"/>
      <c r="H1800" s="61"/>
    </row>
    <row r="1802" spans="1:8" x14ac:dyDescent="0.55000000000000004">
      <c r="A1802" s="74" t="s">
        <v>311</v>
      </c>
      <c r="B1802" s="74" t="s">
        <v>311</v>
      </c>
      <c r="C1802" s="61" t="s">
        <v>1272</v>
      </c>
      <c r="D1802" s="63">
        <v>45274</v>
      </c>
      <c r="E1802" s="61" t="s">
        <v>1322</v>
      </c>
      <c r="F1802" s="61" t="s">
        <v>1646</v>
      </c>
      <c r="G1802" s="61">
        <v>101</v>
      </c>
      <c r="H1802" s="61"/>
    </row>
    <row r="1803" spans="1:8" x14ac:dyDescent="0.55000000000000004">
      <c r="A1803" s="61"/>
      <c r="B1803" s="61"/>
      <c r="C1803" s="61"/>
      <c r="D1803" s="61"/>
      <c r="E1803" s="61"/>
      <c r="F1803" s="66" t="s">
        <v>1260</v>
      </c>
      <c r="G1803" s="61"/>
      <c r="H1803" s="61"/>
    </row>
    <row r="1804" spans="1:8" x14ac:dyDescent="0.55000000000000004">
      <c r="A1804" s="61"/>
      <c r="B1804" s="61"/>
      <c r="C1804" s="61"/>
      <c r="D1804" s="61"/>
      <c r="E1804" s="61"/>
      <c r="F1804" s="61" t="s">
        <v>1261</v>
      </c>
      <c r="G1804" s="61"/>
      <c r="H1804" s="61"/>
    </row>
    <row r="1805" spans="1:8" x14ac:dyDescent="0.55000000000000004">
      <c r="A1805" s="61"/>
      <c r="B1805" s="61"/>
      <c r="C1805" s="61"/>
      <c r="D1805" s="61"/>
      <c r="E1805" s="61"/>
      <c r="F1805" s="66" t="s">
        <v>1262</v>
      </c>
      <c r="G1805" s="61"/>
      <c r="H1805" s="61"/>
    </row>
    <row r="1806" spans="1:8" x14ac:dyDescent="0.55000000000000004">
      <c r="A1806" s="61"/>
      <c r="B1806" s="61"/>
      <c r="C1806" s="61"/>
      <c r="D1806" s="61"/>
      <c r="E1806" s="61"/>
      <c r="F1806" s="61" t="s">
        <v>1261</v>
      </c>
      <c r="G1806" s="61"/>
      <c r="H1806" s="61"/>
    </row>
    <row r="1808" spans="1:8" x14ac:dyDescent="0.55000000000000004">
      <c r="A1808" s="74" t="s">
        <v>313</v>
      </c>
      <c r="B1808" s="74" t="s">
        <v>313</v>
      </c>
      <c r="C1808" s="61" t="s">
        <v>1272</v>
      </c>
      <c r="D1808" s="63">
        <v>45274</v>
      </c>
      <c r="E1808" s="61" t="s">
        <v>1322</v>
      </c>
      <c r="F1808" s="61" t="s">
        <v>1646</v>
      </c>
      <c r="G1808" s="61">
        <v>101</v>
      </c>
      <c r="H1808" s="61"/>
    </row>
    <row r="1809" spans="1:8" x14ac:dyDescent="0.55000000000000004">
      <c r="A1809" s="61"/>
      <c r="B1809" s="61"/>
      <c r="C1809" s="61"/>
      <c r="D1809" s="61"/>
      <c r="E1809" s="61"/>
      <c r="F1809" s="66" t="s">
        <v>1260</v>
      </c>
      <c r="G1809" s="61"/>
      <c r="H1809" s="61"/>
    </row>
    <row r="1810" spans="1:8" x14ac:dyDescent="0.55000000000000004">
      <c r="A1810" s="61"/>
      <c r="B1810" s="61"/>
      <c r="C1810" s="61"/>
      <c r="D1810" s="61"/>
      <c r="E1810" s="61"/>
      <c r="F1810" s="61" t="s">
        <v>1261</v>
      </c>
      <c r="G1810" s="61"/>
      <c r="H1810" s="61"/>
    </row>
    <row r="1811" spans="1:8" x14ac:dyDescent="0.55000000000000004">
      <c r="A1811" s="61"/>
      <c r="B1811" s="61"/>
      <c r="C1811" s="61"/>
      <c r="D1811" s="61"/>
      <c r="E1811" s="61"/>
      <c r="F1811" s="66" t="s">
        <v>1262</v>
      </c>
      <c r="G1811" s="61"/>
      <c r="H1811" s="61"/>
    </row>
    <row r="1812" spans="1:8" x14ac:dyDescent="0.55000000000000004">
      <c r="A1812" s="61"/>
      <c r="B1812" s="61"/>
      <c r="C1812" s="61"/>
      <c r="D1812" s="61"/>
      <c r="E1812" s="61"/>
      <c r="F1812" s="61" t="s">
        <v>1261</v>
      </c>
      <c r="G1812" s="61"/>
      <c r="H1812" s="61"/>
    </row>
    <row r="1814" spans="1:8" x14ac:dyDescent="0.55000000000000004">
      <c r="A1814" s="74" t="s">
        <v>314</v>
      </c>
      <c r="B1814" s="74" t="s">
        <v>314</v>
      </c>
      <c r="C1814" s="61" t="s">
        <v>1272</v>
      </c>
      <c r="D1814" s="63">
        <v>45274</v>
      </c>
      <c r="E1814" s="61" t="s">
        <v>1322</v>
      </c>
      <c r="F1814" s="61" t="s">
        <v>1646</v>
      </c>
      <c r="G1814" s="61">
        <v>101</v>
      </c>
      <c r="H1814" s="61"/>
    </row>
    <row r="1815" spans="1:8" x14ac:dyDescent="0.55000000000000004">
      <c r="A1815" s="61"/>
      <c r="B1815" s="61"/>
      <c r="C1815" s="61"/>
      <c r="D1815" s="61"/>
      <c r="E1815" s="61"/>
      <c r="F1815" s="66" t="s">
        <v>1260</v>
      </c>
      <c r="G1815" s="61"/>
      <c r="H1815" s="61"/>
    </row>
    <row r="1816" spans="1:8" x14ac:dyDescent="0.55000000000000004">
      <c r="A1816" s="61"/>
      <c r="B1816" s="61"/>
      <c r="C1816" s="61"/>
      <c r="D1816" s="61"/>
      <c r="E1816" s="61"/>
      <c r="F1816" s="61" t="s">
        <v>1261</v>
      </c>
      <c r="G1816" s="61"/>
      <c r="H1816" s="61"/>
    </row>
    <row r="1817" spans="1:8" x14ac:dyDescent="0.55000000000000004">
      <c r="A1817" s="61"/>
      <c r="B1817" s="61"/>
      <c r="C1817" s="61"/>
      <c r="D1817" s="61"/>
      <c r="E1817" s="61"/>
      <c r="F1817" s="66" t="s">
        <v>1262</v>
      </c>
      <c r="G1817" s="61"/>
      <c r="H1817" s="61"/>
    </row>
    <row r="1818" spans="1:8" x14ac:dyDescent="0.55000000000000004">
      <c r="A1818" s="61"/>
      <c r="B1818" s="61"/>
      <c r="C1818" s="61"/>
      <c r="D1818" s="61"/>
      <c r="E1818" s="61"/>
      <c r="F1818" s="61" t="s">
        <v>1261</v>
      </c>
      <c r="G1818" s="61"/>
      <c r="H1818" s="61"/>
    </row>
    <row r="1820" spans="1:8" x14ac:dyDescent="0.55000000000000004">
      <c r="A1820" s="74" t="s">
        <v>319</v>
      </c>
      <c r="B1820" s="74" t="s">
        <v>319</v>
      </c>
      <c r="C1820" s="61" t="s">
        <v>1272</v>
      </c>
      <c r="D1820" s="63">
        <v>45274</v>
      </c>
      <c r="E1820" s="61" t="s">
        <v>1322</v>
      </c>
      <c r="F1820" s="61" t="s">
        <v>1646</v>
      </c>
      <c r="G1820" s="61">
        <v>101</v>
      </c>
      <c r="H1820" s="61"/>
    </row>
    <row r="1821" spans="1:8" x14ac:dyDescent="0.55000000000000004">
      <c r="A1821" s="61"/>
      <c r="B1821" s="61"/>
      <c r="C1821" s="61"/>
      <c r="D1821" s="61"/>
      <c r="E1821" s="61"/>
      <c r="F1821" s="66" t="s">
        <v>1260</v>
      </c>
      <c r="G1821" s="61"/>
      <c r="H1821" s="61"/>
    </row>
    <row r="1822" spans="1:8" x14ac:dyDescent="0.55000000000000004">
      <c r="A1822" s="61"/>
      <c r="B1822" s="61"/>
      <c r="C1822" s="61"/>
      <c r="D1822" s="61"/>
      <c r="E1822" s="61"/>
      <c r="F1822" s="61" t="s">
        <v>1261</v>
      </c>
      <c r="G1822" s="61"/>
      <c r="H1822" s="61"/>
    </row>
    <row r="1823" spans="1:8" x14ac:dyDescent="0.55000000000000004">
      <c r="A1823" s="61"/>
      <c r="B1823" s="61"/>
      <c r="C1823" s="61"/>
      <c r="D1823" s="61"/>
      <c r="E1823" s="61"/>
      <c r="F1823" s="66" t="s">
        <v>1262</v>
      </c>
      <c r="G1823" s="61"/>
      <c r="H1823" s="61"/>
    </row>
    <row r="1824" spans="1:8" x14ac:dyDescent="0.55000000000000004">
      <c r="A1824" s="61"/>
      <c r="B1824" s="61"/>
      <c r="C1824" s="61"/>
      <c r="D1824" s="61"/>
      <c r="E1824" s="61"/>
      <c r="F1824" s="61" t="s">
        <v>1261</v>
      </c>
      <c r="G1824" s="61"/>
      <c r="H1824" s="61"/>
    </row>
    <row r="1826" spans="1:8" x14ac:dyDescent="0.55000000000000004">
      <c r="A1826" s="74" t="s">
        <v>322</v>
      </c>
      <c r="B1826" s="74" t="s">
        <v>322</v>
      </c>
      <c r="C1826" s="61" t="s">
        <v>1272</v>
      </c>
      <c r="D1826" s="63">
        <v>45274</v>
      </c>
      <c r="E1826" s="61" t="s">
        <v>1322</v>
      </c>
      <c r="F1826" s="61" t="s">
        <v>1646</v>
      </c>
      <c r="G1826" s="61">
        <v>101</v>
      </c>
      <c r="H1826" s="61"/>
    </row>
    <row r="1827" spans="1:8" x14ac:dyDescent="0.55000000000000004">
      <c r="A1827" s="61"/>
      <c r="B1827" s="61"/>
      <c r="C1827" s="61"/>
      <c r="D1827" s="61"/>
      <c r="E1827" s="61"/>
      <c r="F1827" s="66" t="s">
        <v>1260</v>
      </c>
      <c r="G1827" s="61"/>
      <c r="H1827" s="61"/>
    </row>
    <row r="1828" spans="1:8" x14ac:dyDescent="0.55000000000000004">
      <c r="A1828" s="61"/>
      <c r="B1828" s="61"/>
      <c r="C1828" s="61"/>
      <c r="D1828" s="61"/>
      <c r="E1828" s="61"/>
      <c r="F1828" s="61" t="s">
        <v>1261</v>
      </c>
      <c r="G1828" s="61"/>
      <c r="H1828" s="61"/>
    </row>
    <row r="1829" spans="1:8" x14ac:dyDescent="0.55000000000000004">
      <c r="A1829" s="61"/>
      <c r="B1829" s="61"/>
      <c r="C1829" s="61"/>
      <c r="D1829" s="61"/>
      <c r="E1829" s="61"/>
      <c r="F1829" s="66" t="s">
        <v>1262</v>
      </c>
      <c r="G1829" s="61"/>
      <c r="H1829" s="61"/>
    </row>
    <row r="1830" spans="1:8" x14ac:dyDescent="0.55000000000000004">
      <c r="A1830" s="61"/>
      <c r="B1830" s="61"/>
      <c r="C1830" s="61"/>
      <c r="D1830" s="61"/>
      <c r="E1830" s="61"/>
      <c r="F1830" s="61" t="s">
        <v>1261</v>
      </c>
      <c r="G1830" s="61"/>
      <c r="H1830" s="61"/>
    </row>
    <row r="1832" spans="1:8" x14ac:dyDescent="0.55000000000000004">
      <c r="A1832" s="74" t="s">
        <v>326</v>
      </c>
      <c r="B1832" s="74" t="s">
        <v>326</v>
      </c>
      <c r="C1832" s="61" t="s">
        <v>1272</v>
      </c>
      <c r="D1832" s="63">
        <v>45274</v>
      </c>
      <c r="E1832" s="61" t="s">
        <v>1322</v>
      </c>
      <c r="F1832" s="61" t="s">
        <v>1646</v>
      </c>
      <c r="G1832" s="61">
        <v>101</v>
      </c>
      <c r="H1832" s="61"/>
    </row>
    <row r="1833" spans="1:8" x14ac:dyDescent="0.55000000000000004">
      <c r="A1833" s="61"/>
      <c r="B1833" s="61"/>
      <c r="C1833" s="61"/>
      <c r="D1833" s="61"/>
      <c r="E1833" s="61"/>
      <c r="F1833" s="66" t="s">
        <v>1260</v>
      </c>
      <c r="G1833" s="61"/>
      <c r="H1833" s="61"/>
    </row>
    <row r="1834" spans="1:8" x14ac:dyDescent="0.55000000000000004">
      <c r="A1834" s="61"/>
      <c r="B1834" s="61"/>
      <c r="C1834" s="61"/>
      <c r="D1834" s="61"/>
      <c r="E1834" s="61"/>
      <c r="F1834" s="61" t="s">
        <v>1261</v>
      </c>
      <c r="G1834" s="61"/>
      <c r="H1834" s="61"/>
    </row>
    <row r="1835" spans="1:8" x14ac:dyDescent="0.55000000000000004">
      <c r="A1835" s="61"/>
      <c r="B1835" s="61"/>
      <c r="C1835" s="61"/>
      <c r="D1835" s="61"/>
      <c r="E1835" s="61"/>
      <c r="F1835" s="66" t="s">
        <v>1262</v>
      </c>
      <c r="G1835" s="61"/>
      <c r="H1835" s="61"/>
    </row>
    <row r="1836" spans="1:8" x14ac:dyDescent="0.55000000000000004">
      <c r="A1836" s="61"/>
      <c r="B1836" s="61"/>
      <c r="C1836" s="61"/>
      <c r="D1836" s="61"/>
      <c r="E1836" s="61"/>
      <c r="F1836" s="61" t="s">
        <v>1261</v>
      </c>
      <c r="G1836" s="61"/>
      <c r="H1836" s="61"/>
    </row>
    <row r="1838" spans="1:8" x14ac:dyDescent="0.55000000000000004">
      <c r="A1838" s="74" t="s">
        <v>328</v>
      </c>
      <c r="B1838" s="74" t="s">
        <v>328</v>
      </c>
      <c r="C1838" s="61" t="s">
        <v>1272</v>
      </c>
      <c r="D1838" s="63">
        <v>45274</v>
      </c>
      <c r="E1838" s="61" t="s">
        <v>1322</v>
      </c>
      <c r="F1838" s="61" t="s">
        <v>1646</v>
      </c>
      <c r="G1838" s="61">
        <v>101</v>
      </c>
      <c r="H1838" s="61"/>
    </row>
    <row r="1839" spans="1:8" x14ac:dyDescent="0.55000000000000004">
      <c r="A1839" s="61"/>
      <c r="B1839" s="61"/>
      <c r="C1839" s="61"/>
      <c r="D1839" s="61"/>
      <c r="E1839" s="61"/>
      <c r="F1839" s="66" t="s">
        <v>1260</v>
      </c>
      <c r="G1839" s="61"/>
      <c r="H1839" s="61"/>
    </row>
    <row r="1840" spans="1:8" x14ac:dyDescent="0.55000000000000004">
      <c r="A1840" s="61"/>
      <c r="B1840" s="61"/>
      <c r="C1840" s="61"/>
      <c r="D1840" s="61"/>
      <c r="E1840" s="61"/>
      <c r="F1840" s="61" t="s">
        <v>1261</v>
      </c>
      <c r="G1840" s="61"/>
      <c r="H1840" s="61"/>
    </row>
    <row r="1841" spans="1:8" x14ac:dyDescent="0.55000000000000004">
      <c r="A1841" s="61"/>
      <c r="B1841" s="61"/>
      <c r="C1841" s="61"/>
      <c r="D1841" s="61"/>
      <c r="E1841" s="61"/>
      <c r="F1841" s="66" t="s">
        <v>1262</v>
      </c>
      <c r="G1841" s="61"/>
      <c r="H1841" s="61"/>
    </row>
    <row r="1842" spans="1:8" x14ac:dyDescent="0.55000000000000004">
      <c r="A1842" s="61"/>
      <c r="B1842" s="61"/>
      <c r="C1842" s="61"/>
      <c r="D1842" s="61"/>
      <c r="E1842" s="61"/>
      <c r="F1842" s="61" t="s">
        <v>1261</v>
      </c>
      <c r="G1842" s="61"/>
      <c r="H1842" s="61"/>
    </row>
    <row r="1844" spans="1:8" x14ac:dyDescent="0.55000000000000004">
      <c r="A1844" s="74" t="s">
        <v>329</v>
      </c>
      <c r="B1844" s="74" t="s">
        <v>329</v>
      </c>
      <c r="C1844" s="61" t="s">
        <v>1272</v>
      </c>
      <c r="D1844" s="63">
        <v>45295</v>
      </c>
      <c r="E1844" s="61" t="s">
        <v>1322</v>
      </c>
      <c r="F1844" s="61" t="s">
        <v>1646</v>
      </c>
      <c r="G1844" s="61">
        <v>101</v>
      </c>
      <c r="H1844" s="61"/>
    </row>
    <row r="1845" spans="1:8" x14ac:dyDescent="0.55000000000000004">
      <c r="A1845" s="61"/>
      <c r="B1845" s="61"/>
      <c r="C1845" s="61"/>
      <c r="D1845" s="61"/>
      <c r="E1845" s="61"/>
      <c r="F1845" s="66" t="s">
        <v>1260</v>
      </c>
      <c r="G1845" s="61"/>
      <c r="H1845" s="61"/>
    </row>
    <row r="1846" spans="1:8" x14ac:dyDescent="0.55000000000000004">
      <c r="A1846" s="61"/>
      <c r="B1846" s="61"/>
      <c r="C1846" s="61"/>
      <c r="D1846" s="61"/>
      <c r="E1846" s="61"/>
      <c r="F1846" s="61" t="s">
        <v>1261</v>
      </c>
      <c r="G1846" s="61"/>
      <c r="H1846" s="61"/>
    </row>
    <row r="1847" spans="1:8" x14ac:dyDescent="0.55000000000000004">
      <c r="A1847" s="61"/>
      <c r="B1847" s="61"/>
      <c r="C1847" s="61"/>
      <c r="D1847" s="61"/>
      <c r="E1847" s="61"/>
      <c r="F1847" s="66" t="s">
        <v>1262</v>
      </c>
      <c r="G1847" s="61"/>
      <c r="H1847" s="61"/>
    </row>
    <row r="1848" spans="1:8" x14ac:dyDescent="0.55000000000000004">
      <c r="A1848" s="61"/>
      <c r="B1848" s="61"/>
      <c r="C1848" s="61"/>
      <c r="D1848" s="61"/>
      <c r="E1848" s="61"/>
      <c r="F1848" s="61" t="s">
        <v>1261</v>
      </c>
      <c r="G1848" s="61"/>
      <c r="H1848" s="61"/>
    </row>
    <row r="1850" spans="1:8" x14ac:dyDescent="0.55000000000000004">
      <c r="A1850" s="74" t="s">
        <v>332</v>
      </c>
      <c r="B1850" s="74" t="s">
        <v>332</v>
      </c>
      <c r="C1850" s="61" t="s">
        <v>1272</v>
      </c>
      <c r="D1850" s="63">
        <v>45295</v>
      </c>
      <c r="E1850" s="61" t="s">
        <v>1322</v>
      </c>
      <c r="F1850" s="61" t="s">
        <v>1646</v>
      </c>
      <c r="G1850" s="61">
        <v>101</v>
      </c>
      <c r="H1850" s="61"/>
    </row>
    <row r="1851" spans="1:8" x14ac:dyDescent="0.55000000000000004">
      <c r="A1851" s="61"/>
      <c r="B1851" s="61"/>
      <c r="C1851" s="61"/>
      <c r="D1851" s="61"/>
      <c r="E1851" s="61"/>
      <c r="F1851" s="66" t="s">
        <v>1260</v>
      </c>
      <c r="G1851" s="61"/>
      <c r="H1851" s="61"/>
    </row>
    <row r="1852" spans="1:8" x14ac:dyDescent="0.55000000000000004">
      <c r="A1852" s="61"/>
      <c r="B1852" s="61"/>
      <c r="C1852" s="61"/>
      <c r="D1852" s="61"/>
      <c r="E1852" s="61"/>
      <c r="F1852" s="61" t="s">
        <v>1261</v>
      </c>
      <c r="G1852" s="61"/>
      <c r="H1852" s="61"/>
    </row>
    <row r="1853" spans="1:8" x14ac:dyDescent="0.55000000000000004">
      <c r="A1853" s="61"/>
      <c r="B1853" s="61"/>
      <c r="C1853" s="61"/>
      <c r="D1853" s="61"/>
      <c r="E1853" s="61"/>
      <c r="F1853" s="66" t="s">
        <v>1262</v>
      </c>
      <c r="G1853" s="61"/>
      <c r="H1853" s="61"/>
    </row>
    <row r="1854" spans="1:8" x14ac:dyDescent="0.55000000000000004">
      <c r="A1854" s="61"/>
      <c r="B1854" s="61"/>
      <c r="C1854" s="61"/>
      <c r="D1854" s="61"/>
      <c r="E1854" s="61"/>
      <c r="F1854" s="61" t="s">
        <v>1261</v>
      </c>
      <c r="G1854" s="61"/>
      <c r="H1854" s="61"/>
    </row>
    <row r="1856" spans="1:8" x14ac:dyDescent="0.55000000000000004">
      <c r="A1856" s="74" t="s">
        <v>333</v>
      </c>
      <c r="B1856" s="74" t="s">
        <v>333</v>
      </c>
      <c r="C1856" s="61" t="s">
        <v>1272</v>
      </c>
      <c r="D1856" s="63">
        <v>45274</v>
      </c>
      <c r="E1856" s="61" t="s">
        <v>1322</v>
      </c>
      <c r="F1856" s="61" t="s">
        <v>1646</v>
      </c>
      <c r="G1856" s="61">
        <v>101</v>
      </c>
      <c r="H1856" s="61"/>
    </row>
    <row r="1857" spans="1:8" x14ac:dyDescent="0.55000000000000004">
      <c r="A1857" s="61"/>
      <c r="B1857" s="61"/>
      <c r="C1857" s="61"/>
      <c r="D1857" s="61"/>
      <c r="E1857" s="61"/>
      <c r="F1857" s="66" t="s">
        <v>1260</v>
      </c>
      <c r="G1857" s="61"/>
      <c r="H1857" s="61"/>
    </row>
    <row r="1858" spans="1:8" x14ac:dyDescent="0.55000000000000004">
      <c r="A1858" s="61"/>
      <c r="B1858" s="61"/>
      <c r="C1858" s="61"/>
      <c r="D1858" s="61"/>
      <c r="E1858" s="61"/>
      <c r="F1858" s="61" t="s">
        <v>1261</v>
      </c>
      <c r="G1858" s="61"/>
      <c r="H1858" s="61"/>
    </row>
    <row r="1859" spans="1:8" x14ac:dyDescent="0.55000000000000004">
      <c r="A1859" s="61"/>
      <c r="B1859" s="61"/>
      <c r="C1859" s="61"/>
      <c r="D1859" s="61"/>
      <c r="E1859" s="61"/>
      <c r="F1859" s="66" t="s">
        <v>1262</v>
      </c>
      <c r="G1859" s="61"/>
      <c r="H1859" s="61"/>
    </row>
    <row r="1860" spans="1:8" x14ac:dyDescent="0.55000000000000004">
      <c r="A1860" s="61"/>
      <c r="B1860" s="61"/>
      <c r="C1860" s="61"/>
      <c r="D1860" s="61"/>
      <c r="E1860" s="61"/>
      <c r="F1860" s="61" t="s">
        <v>1261</v>
      </c>
      <c r="G1860" s="61"/>
      <c r="H1860" s="61"/>
    </row>
    <row r="1862" spans="1:8" x14ac:dyDescent="0.55000000000000004">
      <c r="A1862" s="74" t="s">
        <v>335</v>
      </c>
      <c r="B1862" s="74" t="s">
        <v>335</v>
      </c>
      <c r="C1862" s="61" t="s">
        <v>1272</v>
      </c>
      <c r="D1862" s="63">
        <v>45274</v>
      </c>
      <c r="E1862" s="61" t="s">
        <v>1322</v>
      </c>
      <c r="F1862" s="61" t="s">
        <v>1646</v>
      </c>
      <c r="G1862" s="61">
        <v>101</v>
      </c>
      <c r="H1862" s="61"/>
    </row>
    <row r="1863" spans="1:8" x14ac:dyDescent="0.55000000000000004">
      <c r="A1863" s="61"/>
      <c r="B1863" s="61"/>
      <c r="C1863" s="61"/>
      <c r="D1863" s="61"/>
      <c r="E1863" s="61"/>
      <c r="F1863" s="66" t="s">
        <v>1260</v>
      </c>
      <c r="G1863" s="61"/>
      <c r="H1863" s="61"/>
    </row>
    <row r="1864" spans="1:8" x14ac:dyDescent="0.55000000000000004">
      <c r="A1864" s="61"/>
      <c r="B1864" s="61"/>
      <c r="C1864" s="61"/>
      <c r="D1864" s="61"/>
      <c r="E1864" s="61"/>
      <c r="F1864" s="61" t="s">
        <v>1261</v>
      </c>
      <c r="G1864" s="61"/>
      <c r="H1864" s="61"/>
    </row>
    <row r="1865" spans="1:8" x14ac:dyDescent="0.55000000000000004">
      <c r="A1865" s="61"/>
      <c r="B1865" s="61"/>
      <c r="C1865" s="61"/>
      <c r="D1865" s="61"/>
      <c r="E1865" s="61"/>
      <c r="F1865" s="66" t="s">
        <v>1262</v>
      </c>
      <c r="G1865" s="61"/>
      <c r="H1865" s="61"/>
    </row>
    <row r="1866" spans="1:8" x14ac:dyDescent="0.55000000000000004">
      <c r="A1866" s="61"/>
      <c r="B1866" s="61"/>
      <c r="C1866" s="61"/>
      <c r="D1866" s="61"/>
      <c r="E1866" s="61"/>
      <c r="F1866" s="61" t="s">
        <v>1261</v>
      </c>
      <c r="G1866" s="61"/>
      <c r="H1866" s="61"/>
    </row>
    <row r="1868" spans="1:8" x14ac:dyDescent="0.55000000000000004">
      <c r="A1868" s="74" t="s">
        <v>336</v>
      </c>
      <c r="B1868" s="74" t="s">
        <v>336</v>
      </c>
      <c r="C1868" s="61" t="s">
        <v>1272</v>
      </c>
      <c r="D1868" s="63">
        <v>45274</v>
      </c>
      <c r="E1868" s="61" t="s">
        <v>1322</v>
      </c>
      <c r="F1868" s="61" t="s">
        <v>1646</v>
      </c>
      <c r="G1868" s="61">
        <v>101</v>
      </c>
      <c r="H1868" s="61"/>
    </row>
    <row r="1869" spans="1:8" x14ac:dyDescent="0.55000000000000004">
      <c r="A1869" s="61"/>
      <c r="B1869" s="61"/>
      <c r="C1869" s="61"/>
      <c r="D1869" s="61"/>
      <c r="E1869" s="61"/>
      <c r="F1869" s="66" t="s">
        <v>1260</v>
      </c>
      <c r="G1869" s="61"/>
      <c r="H1869" s="61"/>
    </row>
    <row r="1870" spans="1:8" x14ac:dyDescent="0.55000000000000004">
      <c r="A1870" s="61"/>
      <c r="B1870" s="61"/>
      <c r="C1870" s="61"/>
      <c r="D1870" s="61"/>
      <c r="E1870" s="61"/>
      <c r="F1870" s="61" t="s">
        <v>1261</v>
      </c>
      <c r="G1870" s="61"/>
      <c r="H1870" s="61"/>
    </row>
    <row r="1871" spans="1:8" x14ac:dyDescent="0.55000000000000004">
      <c r="A1871" s="61"/>
      <c r="B1871" s="61"/>
      <c r="C1871" s="61"/>
      <c r="D1871" s="61"/>
      <c r="E1871" s="61"/>
      <c r="F1871" s="66" t="s">
        <v>1262</v>
      </c>
      <c r="G1871" s="61"/>
      <c r="H1871" s="61"/>
    </row>
    <row r="1872" spans="1:8" x14ac:dyDescent="0.55000000000000004">
      <c r="A1872" s="61"/>
      <c r="B1872" s="61"/>
      <c r="C1872" s="61"/>
      <c r="D1872" s="61"/>
      <c r="E1872" s="61"/>
      <c r="F1872" s="61" t="s">
        <v>1261</v>
      </c>
      <c r="G1872" s="61"/>
      <c r="H1872" s="61"/>
    </row>
    <row r="1874" spans="1:8" x14ac:dyDescent="0.55000000000000004">
      <c r="A1874" s="74" t="s">
        <v>338</v>
      </c>
      <c r="B1874" s="74" t="s">
        <v>338</v>
      </c>
      <c r="C1874" s="61" t="s">
        <v>1272</v>
      </c>
      <c r="D1874" s="63">
        <v>45274</v>
      </c>
      <c r="E1874" s="61" t="s">
        <v>1322</v>
      </c>
      <c r="F1874" s="61" t="s">
        <v>1646</v>
      </c>
      <c r="G1874" s="61">
        <v>101</v>
      </c>
      <c r="H1874" s="61"/>
    </row>
    <row r="1875" spans="1:8" x14ac:dyDescent="0.55000000000000004">
      <c r="A1875" s="61"/>
      <c r="B1875" s="61"/>
      <c r="C1875" s="61"/>
      <c r="D1875" s="61"/>
      <c r="E1875" s="61"/>
      <c r="F1875" s="66" t="s">
        <v>1260</v>
      </c>
      <c r="G1875" s="61"/>
      <c r="H1875" s="61"/>
    </row>
    <row r="1876" spans="1:8" x14ac:dyDescent="0.55000000000000004">
      <c r="A1876" s="61"/>
      <c r="B1876" s="61"/>
      <c r="C1876" s="61"/>
      <c r="D1876" s="61"/>
      <c r="E1876" s="61"/>
      <c r="F1876" s="61" t="s">
        <v>1261</v>
      </c>
      <c r="G1876" s="61"/>
      <c r="H1876" s="61"/>
    </row>
    <row r="1877" spans="1:8" x14ac:dyDescent="0.55000000000000004">
      <c r="A1877" s="61"/>
      <c r="B1877" s="61"/>
      <c r="C1877" s="61"/>
      <c r="D1877" s="61"/>
      <c r="E1877" s="61"/>
      <c r="F1877" s="66" t="s">
        <v>1262</v>
      </c>
      <c r="G1877" s="61"/>
      <c r="H1877" s="61"/>
    </row>
    <row r="1878" spans="1:8" x14ac:dyDescent="0.55000000000000004">
      <c r="A1878" s="61"/>
      <c r="B1878" s="61"/>
      <c r="C1878" s="61"/>
      <c r="D1878" s="61"/>
      <c r="E1878" s="61"/>
      <c r="F1878" s="61" t="s">
        <v>1261</v>
      </c>
      <c r="G1878" s="61"/>
      <c r="H1878" s="61"/>
    </row>
    <row r="1880" spans="1:8" x14ac:dyDescent="0.55000000000000004">
      <c r="A1880" s="74" t="s">
        <v>344</v>
      </c>
      <c r="B1880" s="74" t="s">
        <v>344</v>
      </c>
      <c r="C1880" s="61" t="s">
        <v>1272</v>
      </c>
      <c r="D1880" s="63">
        <v>45274</v>
      </c>
      <c r="E1880" s="61" t="s">
        <v>1322</v>
      </c>
      <c r="F1880" s="61" t="s">
        <v>1646</v>
      </c>
      <c r="G1880" s="61">
        <v>101</v>
      </c>
      <c r="H1880" s="61"/>
    </row>
    <row r="1881" spans="1:8" x14ac:dyDescent="0.55000000000000004">
      <c r="A1881" s="61"/>
      <c r="B1881" s="61"/>
      <c r="C1881" s="61"/>
      <c r="D1881" s="61"/>
      <c r="E1881" s="61"/>
      <c r="F1881" s="66" t="s">
        <v>1260</v>
      </c>
      <c r="G1881" s="61"/>
      <c r="H1881" s="61"/>
    </row>
    <row r="1882" spans="1:8" x14ac:dyDescent="0.55000000000000004">
      <c r="A1882" s="61"/>
      <c r="B1882" s="61"/>
      <c r="C1882" s="61"/>
      <c r="D1882" s="61"/>
      <c r="E1882" s="61"/>
      <c r="F1882" s="61" t="s">
        <v>1261</v>
      </c>
      <c r="G1882" s="61"/>
      <c r="H1882" s="61"/>
    </row>
    <row r="1883" spans="1:8" x14ac:dyDescent="0.55000000000000004">
      <c r="A1883" s="61"/>
      <c r="B1883" s="61"/>
      <c r="C1883" s="61"/>
      <c r="D1883" s="61"/>
      <c r="E1883" s="61"/>
      <c r="F1883" s="66" t="s">
        <v>1262</v>
      </c>
      <c r="G1883" s="61"/>
      <c r="H1883" s="61"/>
    </row>
    <row r="1884" spans="1:8" x14ac:dyDescent="0.55000000000000004">
      <c r="A1884" s="61"/>
      <c r="B1884" s="61"/>
      <c r="C1884" s="61"/>
      <c r="D1884" s="61"/>
      <c r="E1884" s="61"/>
      <c r="F1884" s="61" t="s">
        <v>1261</v>
      </c>
      <c r="G1884" s="61"/>
      <c r="H1884" s="61"/>
    </row>
    <row r="1886" spans="1:8" x14ac:dyDescent="0.55000000000000004">
      <c r="A1886" s="74" t="s">
        <v>351</v>
      </c>
      <c r="B1886" s="74" t="s">
        <v>351</v>
      </c>
      <c r="C1886" s="61" t="s">
        <v>1272</v>
      </c>
      <c r="D1886" s="63">
        <v>45295</v>
      </c>
      <c r="E1886" s="61" t="s">
        <v>1322</v>
      </c>
      <c r="F1886" s="61" t="s">
        <v>1646</v>
      </c>
      <c r="G1886" s="61">
        <v>101</v>
      </c>
      <c r="H1886" s="61"/>
    </row>
    <row r="1887" spans="1:8" x14ac:dyDescent="0.55000000000000004">
      <c r="A1887" s="61"/>
      <c r="B1887" s="61"/>
      <c r="C1887" s="61"/>
      <c r="D1887" s="61"/>
      <c r="E1887" s="61"/>
      <c r="F1887" s="66" t="s">
        <v>1260</v>
      </c>
      <c r="G1887" s="61"/>
      <c r="H1887" s="61"/>
    </row>
    <row r="1888" spans="1:8" x14ac:dyDescent="0.55000000000000004">
      <c r="A1888" s="61"/>
      <c r="B1888" s="61"/>
      <c r="C1888" s="61"/>
      <c r="D1888" s="61"/>
      <c r="E1888" s="61"/>
      <c r="F1888" s="61" t="s">
        <v>1261</v>
      </c>
      <c r="G1888" s="61"/>
      <c r="H1888" s="61"/>
    </row>
    <row r="1889" spans="1:8" x14ac:dyDescent="0.55000000000000004">
      <c r="A1889" s="61"/>
      <c r="B1889" s="61"/>
      <c r="C1889" s="61"/>
      <c r="D1889" s="61"/>
      <c r="E1889" s="61"/>
      <c r="F1889" s="66" t="s">
        <v>1262</v>
      </c>
      <c r="G1889" s="61"/>
      <c r="H1889" s="61"/>
    </row>
    <row r="1890" spans="1:8" x14ac:dyDescent="0.55000000000000004">
      <c r="A1890" s="61"/>
      <c r="B1890" s="61"/>
      <c r="C1890" s="61"/>
      <c r="D1890" s="61"/>
      <c r="E1890" s="61"/>
      <c r="F1890" s="61" t="s">
        <v>1261</v>
      </c>
      <c r="G1890" s="61"/>
      <c r="H1890" s="61"/>
    </row>
    <row r="1892" spans="1:8" x14ac:dyDescent="0.55000000000000004">
      <c r="A1892" s="74" t="s">
        <v>2083</v>
      </c>
      <c r="B1892" s="74" t="s">
        <v>2083</v>
      </c>
      <c r="C1892" s="61" t="s">
        <v>1272</v>
      </c>
      <c r="D1892" s="63">
        <v>45274</v>
      </c>
      <c r="E1892" s="61" t="s">
        <v>1322</v>
      </c>
      <c r="F1892" s="61" t="s">
        <v>1646</v>
      </c>
      <c r="G1892" s="61">
        <v>101</v>
      </c>
      <c r="H1892" s="61"/>
    </row>
    <row r="1893" spans="1:8" x14ac:dyDescent="0.55000000000000004">
      <c r="A1893" s="61"/>
      <c r="B1893" s="61"/>
      <c r="C1893" s="61"/>
      <c r="D1893" s="61"/>
      <c r="E1893" s="61"/>
      <c r="F1893" s="66" t="s">
        <v>1260</v>
      </c>
      <c r="G1893" s="61"/>
      <c r="H1893" s="61"/>
    </row>
    <row r="1894" spans="1:8" x14ac:dyDescent="0.55000000000000004">
      <c r="A1894" s="61"/>
      <c r="B1894" s="61"/>
      <c r="C1894" s="61"/>
      <c r="D1894" s="61"/>
      <c r="E1894" s="61"/>
      <c r="F1894" s="61" t="s">
        <v>1261</v>
      </c>
      <c r="G1894" s="61"/>
      <c r="H1894" s="61"/>
    </row>
    <row r="1895" spans="1:8" x14ac:dyDescent="0.55000000000000004">
      <c r="A1895" s="61"/>
      <c r="B1895" s="61"/>
      <c r="C1895" s="61"/>
      <c r="D1895" s="61"/>
      <c r="E1895" s="61"/>
      <c r="F1895" s="66" t="s">
        <v>1262</v>
      </c>
      <c r="G1895" s="61"/>
      <c r="H1895" s="61"/>
    </row>
    <row r="1896" spans="1:8" x14ac:dyDescent="0.55000000000000004">
      <c r="A1896" s="61"/>
      <c r="B1896" s="61"/>
      <c r="C1896" s="61"/>
      <c r="D1896" s="61"/>
      <c r="E1896" s="61"/>
      <c r="F1896" s="61" t="s">
        <v>1261</v>
      </c>
      <c r="G1896" s="61"/>
      <c r="H1896" s="61"/>
    </row>
    <row r="1898" spans="1:8" x14ac:dyDescent="0.55000000000000004">
      <c r="A1898" s="74" t="s">
        <v>361</v>
      </c>
      <c r="B1898" s="74" t="s">
        <v>361</v>
      </c>
      <c r="C1898" s="61" t="s">
        <v>1272</v>
      </c>
      <c r="D1898" s="63">
        <v>45274</v>
      </c>
      <c r="E1898" s="61" t="s">
        <v>1322</v>
      </c>
      <c r="F1898" s="61" t="s">
        <v>1646</v>
      </c>
      <c r="G1898" s="61">
        <v>101</v>
      </c>
      <c r="H1898" s="61"/>
    </row>
    <row r="1899" spans="1:8" x14ac:dyDescent="0.55000000000000004">
      <c r="A1899" s="61"/>
      <c r="B1899" s="61"/>
      <c r="C1899" s="61"/>
      <c r="D1899" s="61"/>
      <c r="E1899" s="61"/>
      <c r="F1899" s="66" t="s">
        <v>1260</v>
      </c>
      <c r="G1899" s="61"/>
      <c r="H1899" s="61"/>
    </row>
    <row r="1900" spans="1:8" x14ac:dyDescent="0.55000000000000004">
      <c r="A1900" s="61"/>
      <c r="B1900" s="61"/>
      <c r="C1900" s="61"/>
      <c r="D1900" s="61"/>
      <c r="E1900" s="61"/>
      <c r="F1900" s="61" t="s">
        <v>1261</v>
      </c>
      <c r="G1900" s="61"/>
      <c r="H1900" s="61"/>
    </row>
    <row r="1901" spans="1:8" x14ac:dyDescent="0.55000000000000004">
      <c r="A1901" s="61"/>
      <c r="B1901" s="61"/>
      <c r="C1901" s="61"/>
      <c r="D1901" s="61"/>
      <c r="E1901" s="61"/>
      <c r="F1901" s="66" t="s">
        <v>1262</v>
      </c>
      <c r="G1901" s="61"/>
      <c r="H1901" s="61"/>
    </row>
    <row r="1902" spans="1:8" x14ac:dyDescent="0.55000000000000004">
      <c r="A1902" s="61"/>
      <c r="B1902" s="61"/>
      <c r="C1902" s="61"/>
      <c r="D1902" s="61"/>
      <c r="E1902" s="61"/>
      <c r="F1902" s="61" t="s">
        <v>1261</v>
      </c>
      <c r="G1902" s="61"/>
      <c r="H1902" s="61"/>
    </row>
    <row r="1904" spans="1:8" x14ac:dyDescent="0.55000000000000004">
      <c r="A1904" s="74" t="s">
        <v>365</v>
      </c>
      <c r="B1904" s="74" t="s">
        <v>365</v>
      </c>
      <c r="C1904" s="61" t="s">
        <v>1272</v>
      </c>
      <c r="D1904" s="63">
        <v>45274</v>
      </c>
      <c r="E1904" s="61" t="s">
        <v>1322</v>
      </c>
      <c r="F1904" s="61" t="s">
        <v>1646</v>
      </c>
      <c r="G1904" s="61">
        <v>101</v>
      </c>
      <c r="H1904" s="61"/>
    </row>
    <row r="1905" spans="1:8" x14ac:dyDescent="0.55000000000000004">
      <c r="A1905" s="61"/>
      <c r="B1905" s="61"/>
      <c r="C1905" s="61"/>
      <c r="D1905" s="61"/>
      <c r="E1905" s="61"/>
      <c r="F1905" s="66" t="s">
        <v>1260</v>
      </c>
      <c r="G1905" s="61"/>
      <c r="H1905" s="61"/>
    </row>
    <row r="1906" spans="1:8" x14ac:dyDescent="0.55000000000000004">
      <c r="A1906" s="61"/>
      <c r="B1906" s="61"/>
      <c r="C1906" s="61"/>
      <c r="D1906" s="61"/>
      <c r="E1906" s="61"/>
      <c r="F1906" s="61" t="s">
        <v>1261</v>
      </c>
      <c r="G1906" s="61"/>
      <c r="H1906" s="61"/>
    </row>
    <row r="1907" spans="1:8" x14ac:dyDescent="0.55000000000000004">
      <c r="A1907" s="61"/>
      <c r="B1907" s="61"/>
      <c r="C1907" s="61"/>
      <c r="D1907" s="61"/>
      <c r="E1907" s="61"/>
      <c r="F1907" s="66" t="s">
        <v>1262</v>
      </c>
      <c r="G1907" s="61"/>
      <c r="H1907" s="61"/>
    </row>
    <row r="1908" spans="1:8" x14ac:dyDescent="0.55000000000000004">
      <c r="A1908" s="61"/>
      <c r="B1908" s="61"/>
      <c r="C1908" s="61"/>
      <c r="D1908" s="61"/>
      <c r="E1908" s="61"/>
      <c r="F1908" s="61" t="s">
        <v>1261</v>
      </c>
      <c r="G1908" s="61"/>
      <c r="H1908" s="61"/>
    </row>
    <row r="1910" spans="1:8" x14ac:dyDescent="0.55000000000000004">
      <c r="A1910" s="74" t="s">
        <v>368</v>
      </c>
      <c r="B1910" s="74" t="s">
        <v>368</v>
      </c>
      <c r="C1910" s="61" t="s">
        <v>1272</v>
      </c>
      <c r="D1910" s="63">
        <v>45274</v>
      </c>
      <c r="E1910" s="61" t="s">
        <v>1322</v>
      </c>
      <c r="F1910" s="61" t="s">
        <v>1646</v>
      </c>
      <c r="G1910" s="61">
        <v>101</v>
      </c>
      <c r="H1910" s="61"/>
    </row>
    <row r="1911" spans="1:8" x14ac:dyDescent="0.55000000000000004">
      <c r="A1911" s="61"/>
      <c r="B1911" s="61"/>
      <c r="C1911" s="61"/>
      <c r="D1911" s="61"/>
      <c r="E1911" s="61"/>
      <c r="F1911" s="66" t="s">
        <v>1260</v>
      </c>
      <c r="G1911" s="61"/>
      <c r="H1911" s="61"/>
    </row>
    <row r="1912" spans="1:8" x14ac:dyDescent="0.55000000000000004">
      <c r="A1912" s="61"/>
      <c r="B1912" s="61"/>
      <c r="C1912" s="61"/>
      <c r="D1912" s="61"/>
      <c r="E1912" s="61"/>
      <c r="F1912" s="61" t="s">
        <v>1261</v>
      </c>
      <c r="G1912" s="61"/>
      <c r="H1912" s="61"/>
    </row>
    <row r="1913" spans="1:8" x14ac:dyDescent="0.55000000000000004">
      <c r="A1913" s="61"/>
      <c r="B1913" s="61"/>
      <c r="C1913" s="61"/>
      <c r="D1913" s="61"/>
      <c r="E1913" s="61"/>
      <c r="F1913" s="66" t="s">
        <v>1262</v>
      </c>
      <c r="G1913" s="61"/>
      <c r="H1913" s="61"/>
    </row>
    <row r="1914" spans="1:8" x14ac:dyDescent="0.55000000000000004">
      <c r="A1914" s="61"/>
      <c r="B1914" s="61"/>
      <c r="C1914" s="61"/>
      <c r="D1914" s="61"/>
      <c r="E1914" s="61"/>
      <c r="F1914" s="61" t="s">
        <v>1261</v>
      </c>
      <c r="G1914" s="61"/>
      <c r="H1914" s="61"/>
    </row>
    <row r="1916" spans="1:8" x14ac:dyDescent="0.55000000000000004">
      <c r="A1916" t="s">
        <v>751</v>
      </c>
      <c r="D1916" s="52">
        <v>45274</v>
      </c>
      <c r="E1916" t="s">
        <v>1265</v>
      </c>
      <c r="F1916" t="s">
        <v>1652</v>
      </c>
      <c r="G1916" t="s">
        <v>1653</v>
      </c>
    </row>
    <row r="1917" spans="1:8" x14ac:dyDescent="0.55000000000000004">
      <c r="A1917" t="s">
        <v>754</v>
      </c>
      <c r="D1917" s="52">
        <v>45274</v>
      </c>
      <c r="E1917" t="s">
        <v>1265</v>
      </c>
      <c r="F1917" t="s">
        <v>1652</v>
      </c>
      <c r="G1917" t="s">
        <v>1653</v>
      </c>
    </row>
    <row r="1918" spans="1:8" x14ac:dyDescent="0.55000000000000004">
      <c r="A1918" t="s">
        <v>748</v>
      </c>
      <c r="D1918" s="52">
        <v>45274</v>
      </c>
      <c r="E1918" t="s">
        <v>1265</v>
      </c>
      <c r="F1918" t="s">
        <v>1652</v>
      </c>
      <c r="G1918" t="s">
        <v>1653</v>
      </c>
    </row>
    <row r="1920" spans="1:8" x14ac:dyDescent="0.55000000000000004">
      <c r="A1920" s="62" t="s">
        <v>1104</v>
      </c>
      <c r="B1920" s="62" t="s">
        <v>1102</v>
      </c>
      <c r="C1920" s="61"/>
      <c r="D1920" s="63">
        <v>45275</v>
      </c>
      <c r="E1920" s="61" t="s">
        <v>1508</v>
      </c>
      <c r="F1920" s="61" t="s">
        <v>1654</v>
      </c>
      <c r="G1920" s="61">
        <v>73</v>
      </c>
    </row>
    <row r="1921" spans="1:7" x14ac:dyDescent="0.55000000000000004">
      <c r="A1921" s="61"/>
      <c r="B1921" s="61"/>
      <c r="C1921" s="61"/>
      <c r="D1921" s="61"/>
      <c r="E1921" s="61"/>
      <c r="F1921" s="66" t="s">
        <v>1260</v>
      </c>
      <c r="G1921" s="61" t="s">
        <v>535</v>
      </c>
    </row>
    <row r="1922" spans="1:7" x14ac:dyDescent="0.55000000000000004">
      <c r="A1922" s="61"/>
      <c r="B1922" s="61"/>
      <c r="C1922" s="61"/>
      <c r="D1922" s="61"/>
      <c r="E1922" s="61"/>
      <c r="F1922" s="61" t="s">
        <v>1655</v>
      </c>
      <c r="G1922" s="61"/>
    </row>
    <row r="1923" spans="1:7" x14ac:dyDescent="0.55000000000000004">
      <c r="A1923" s="61"/>
      <c r="B1923" s="61"/>
      <c r="C1923" s="61"/>
      <c r="D1923" s="61"/>
      <c r="E1923" s="61"/>
      <c r="F1923" s="66" t="s">
        <v>1262</v>
      </c>
      <c r="G1923" s="61"/>
    </row>
    <row r="1924" spans="1:7" x14ac:dyDescent="0.55000000000000004">
      <c r="A1924" s="61"/>
      <c r="B1924" s="61"/>
      <c r="C1924" s="61"/>
      <c r="D1924" s="61"/>
      <c r="E1924" s="61"/>
      <c r="F1924" s="61" t="s">
        <v>1549</v>
      </c>
      <c r="G1924" s="61"/>
    </row>
    <row r="1926" spans="1:7" x14ac:dyDescent="0.55000000000000004">
      <c r="A1926" s="54" t="s">
        <v>2249</v>
      </c>
      <c r="B1926" s="59" t="s">
        <v>2250</v>
      </c>
      <c r="C1926" s="52" t="s">
        <v>2251</v>
      </c>
      <c r="D1926" s="52">
        <v>45200</v>
      </c>
      <c r="E1926" s="52" t="s">
        <v>1508</v>
      </c>
      <c r="F1926" s="52" t="s">
        <v>2252</v>
      </c>
      <c r="G1926" s="131">
        <v>105</v>
      </c>
    </row>
    <row r="1927" spans="1:7" x14ac:dyDescent="0.55000000000000004">
      <c r="F1927" s="4" t="s">
        <v>1260</v>
      </c>
    </row>
    <row r="1928" spans="1:7" x14ac:dyDescent="0.55000000000000004">
      <c r="F1928" s="52" t="s">
        <v>2253</v>
      </c>
    </row>
    <row r="1929" spans="1:7" x14ac:dyDescent="0.55000000000000004">
      <c r="F1929" s="4" t="s">
        <v>1262</v>
      </c>
    </row>
    <row r="1930" spans="1:7" x14ac:dyDescent="0.55000000000000004">
      <c r="F1930" s="52" t="s">
        <v>2254</v>
      </c>
    </row>
    <row r="1931" spans="1:7" x14ac:dyDescent="0.55000000000000004">
      <c r="F1931" s="52"/>
    </row>
    <row r="1932" spans="1:7" x14ac:dyDescent="0.55000000000000004">
      <c r="A1932" s="54" t="s">
        <v>2255</v>
      </c>
      <c r="B1932" s="59" t="s">
        <v>2256</v>
      </c>
      <c r="C1932" s="52" t="s">
        <v>2251</v>
      </c>
      <c r="D1932" s="52">
        <v>45200</v>
      </c>
      <c r="E1932" s="52" t="s">
        <v>1508</v>
      </c>
      <c r="F1932" s="52" t="s">
        <v>2257</v>
      </c>
      <c r="G1932" s="131">
        <v>105</v>
      </c>
    </row>
    <row r="1933" spans="1:7" x14ac:dyDescent="0.55000000000000004">
      <c r="F1933" s="4" t="s">
        <v>1260</v>
      </c>
    </row>
    <row r="1934" spans="1:7" x14ac:dyDescent="0.55000000000000004">
      <c r="F1934" s="52" t="s">
        <v>2258</v>
      </c>
    </row>
    <row r="1935" spans="1:7" x14ac:dyDescent="0.55000000000000004">
      <c r="F1935" s="4" t="s">
        <v>1262</v>
      </c>
    </row>
    <row r="1936" spans="1:7" x14ac:dyDescent="0.55000000000000004">
      <c r="F1936" s="52" t="s">
        <v>2254</v>
      </c>
    </row>
    <row r="1937" spans="1:7" x14ac:dyDescent="0.55000000000000004">
      <c r="F1937" s="52"/>
    </row>
    <row r="1939" spans="1:7" x14ac:dyDescent="0.55000000000000004">
      <c r="A1939" s="59" t="s">
        <v>2259</v>
      </c>
      <c r="B1939" s="59" t="s">
        <v>2260</v>
      </c>
      <c r="C1939" s="52" t="s">
        <v>2251</v>
      </c>
      <c r="D1939" s="52">
        <v>45323</v>
      </c>
      <c r="E1939" s="52" t="s">
        <v>1508</v>
      </c>
      <c r="F1939" s="52" t="s">
        <v>2261</v>
      </c>
      <c r="G1939" s="131">
        <v>106</v>
      </c>
    </row>
    <row r="1940" spans="1:7" x14ac:dyDescent="0.55000000000000004">
      <c r="F1940" s="4" t="s">
        <v>1260</v>
      </c>
    </row>
    <row r="1941" spans="1:7" x14ac:dyDescent="0.55000000000000004">
      <c r="F1941" s="52" t="s">
        <v>2262</v>
      </c>
    </row>
    <row r="1942" spans="1:7" x14ac:dyDescent="0.55000000000000004">
      <c r="F1942" s="4" t="s">
        <v>1262</v>
      </c>
    </row>
    <row r="1943" spans="1:7" x14ac:dyDescent="0.55000000000000004">
      <c r="F1943" s="52" t="s">
        <v>2263</v>
      </c>
    </row>
    <row r="1944" spans="1:7" x14ac:dyDescent="0.55000000000000004">
      <c r="F1944" s="52"/>
    </row>
    <row r="1945" spans="1:7" x14ac:dyDescent="0.55000000000000004">
      <c r="A1945" s="59" t="s">
        <v>2264</v>
      </c>
      <c r="B1945" s="59" t="s">
        <v>2265</v>
      </c>
      <c r="C1945" s="52" t="s">
        <v>2251</v>
      </c>
      <c r="D1945" s="52">
        <v>45323</v>
      </c>
      <c r="E1945" s="52" t="s">
        <v>1508</v>
      </c>
      <c r="F1945" s="52" t="s">
        <v>2266</v>
      </c>
      <c r="G1945" s="131">
        <v>106</v>
      </c>
    </row>
    <row r="1946" spans="1:7" x14ac:dyDescent="0.55000000000000004">
      <c r="F1946" s="4" t="s">
        <v>1260</v>
      </c>
    </row>
    <row r="1947" spans="1:7" x14ac:dyDescent="0.55000000000000004">
      <c r="F1947" s="52" t="s">
        <v>2262</v>
      </c>
    </row>
    <row r="1948" spans="1:7" x14ac:dyDescent="0.55000000000000004">
      <c r="F1948" s="4" t="s">
        <v>1262</v>
      </c>
    </row>
    <row r="1949" spans="1:7" x14ac:dyDescent="0.55000000000000004">
      <c r="F1949" s="52" t="s">
        <v>2263</v>
      </c>
    </row>
    <row r="1950" spans="1:7" x14ac:dyDescent="0.55000000000000004">
      <c r="F1950" s="52"/>
    </row>
    <row r="1951" spans="1:7" x14ac:dyDescent="0.55000000000000004">
      <c r="A1951" s="59" t="s">
        <v>2267</v>
      </c>
      <c r="B1951" s="59" t="s">
        <v>2268</v>
      </c>
      <c r="C1951" s="52" t="s">
        <v>136</v>
      </c>
      <c r="D1951" s="52">
        <v>45383</v>
      </c>
      <c r="E1951" s="52" t="s">
        <v>1508</v>
      </c>
      <c r="F1951" s="52" t="s">
        <v>2269</v>
      </c>
      <c r="G1951" s="131">
        <v>107</v>
      </c>
    </row>
    <row r="1952" spans="1:7" x14ac:dyDescent="0.55000000000000004">
      <c r="F1952" s="4" t="s">
        <v>1260</v>
      </c>
    </row>
    <row r="1953" spans="1:7" x14ac:dyDescent="0.55000000000000004">
      <c r="F1953" s="52" t="s">
        <v>136</v>
      </c>
    </row>
    <row r="1954" spans="1:7" x14ac:dyDescent="0.55000000000000004">
      <c r="F1954" s="4" t="s">
        <v>1262</v>
      </c>
    </row>
    <row r="1955" spans="1:7" x14ac:dyDescent="0.55000000000000004">
      <c r="F1955" s="52" t="s">
        <v>2270</v>
      </c>
    </row>
    <row r="1956" spans="1:7" x14ac:dyDescent="0.55000000000000004">
      <c r="F1956" s="52"/>
    </row>
    <row r="1957" spans="1:7" x14ac:dyDescent="0.55000000000000004">
      <c r="A1957" s="59" t="s">
        <v>2271</v>
      </c>
      <c r="B1957" s="59" t="s">
        <v>2272</v>
      </c>
      <c r="C1957" s="52" t="s">
        <v>2251</v>
      </c>
      <c r="D1957" s="52">
        <v>45383</v>
      </c>
      <c r="E1957" s="52" t="s">
        <v>1508</v>
      </c>
      <c r="F1957" s="52" t="s">
        <v>2273</v>
      </c>
      <c r="G1957" s="131">
        <v>107</v>
      </c>
    </row>
    <row r="1958" spans="1:7" x14ac:dyDescent="0.55000000000000004">
      <c r="F1958" s="4" t="s">
        <v>1260</v>
      </c>
    </row>
    <row r="1959" spans="1:7" x14ac:dyDescent="0.55000000000000004">
      <c r="F1959" s="52" t="s">
        <v>136</v>
      </c>
    </row>
    <row r="1960" spans="1:7" x14ac:dyDescent="0.55000000000000004">
      <c r="F1960" s="4" t="s">
        <v>1262</v>
      </c>
    </row>
    <row r="1961" spans="1:7" x14ac:dyDescent="0.55000000000000004">
      <c r="F1961" s="52" t="s">
        <v>2270</v>
      </c>
    </row>
    <row r="1963" spans="1:7" x14ac:dyDescent="0.55000000000000004">
      <c r="A1963" s="54" t="s">
        <v>2274</v>
      </c>
      <c r="B1963" s="59" t="s">
        <v>2275</v>
      </c>
      <c r="C1963" s="52" t="s">
        <v>2251</v>
      </c>
      <c r="D1963" s="52">
        <v>45200</v>
      </c>
      <c r="E1963" s="52" t="s">
        <v>1508</v>
      </c>
      <c r="F1963" s="52" t="s">
        <v>2276</v>
      </c>
      <c r="G1963" s="131">
        <v>105</v>
      </c>
    </row>
    <row r="1964" spans="1:7" x14ac:dyDescent="0.55000000000000004">
      <c r="F1964" s="4" t="s">
        <v>1260</v>
      </c>
    </row>
    <row r="1965" spans="1:7" x14ac:dyDescent="0.55000000000000004">
      <c r="F1965" s="52" t="s">
        <v>2277</v>
      </c>
    </row>
    <row r="1966" spans="1:7" x14ac:dyDescent="0.55000000000000004">
      <c r="F1966" s="4" t="s">
        <v>1262</v>
      </c>
    </row>
    <row r="1967" spans="1:7" x14ac:dyDescent="0.55000000000000004">
      <c r="F1967" s="52" t="s">
        <v>2278</v>
      </c>
    </row>
    <row r="1969" spans="1:7" x14ac:dyDescent="0.55000000000000004">
      <c r="A1969" s="54" t="s">
        <v>2279</v>
      </c>
      <c r="B1969" s="59" t="s">
        <v>2280</v>
      </c>
      <c r="C1969" s="52" t="s">
        <v>2251</v>
      </c>
      <c r="D1969" s="52">
        <v>45200</v>
      </c>
      <c r="E1969" s="52" t="s">
        <v>1508</v>
      </c>
      <c r="F1969" s="52" t="s">
        <v>2281</v>
      </c>
      <c r="G1969" s="131">
        <v>105</v>
      </c>
    </row>
    <row r="1970" spans="1:7" x14ac:dyDescent="0.55000000000000004">
      <c r="F1970" s="4" t="s">
        <v>1260</v>
      </c>
    </row>
    <row r="1971" spans="1:7" x14ac:dyDescent="0.55000000000000004">
      <c r="F1971" s="52" t="s">
        <v>2282</v>
      </c>
    </row>
    <row r="1972" spans="1:7" x14ac:dyDescent="0.55000000000000004">
      <c r="F1972" s="4" t="s">
        <v>1262</v>
      </c>
    </row>
    <row r="1973" spans="1:7" x14ac:dyDescent="0.55000000000000004">
      <c r="F1973" s="52" t="s">
        <v>2283</v>
      </c>
    </row>
    <row r="1975" spans="1:7" x14ac:dyDescent="0.55000000000000004">
      <c r="A1975" s="54" t="s">
        <v>2284</v>
      </c>
      <c r="B1975" s="59" t="s">
        <v>2285</v>
      </c>
      <c r="C1975" s="52" t="s">
        <v>2251</v>
      </c>
      <c r="D1975" s="52">
        <v>45200</v>
      </c>
      <c r="E1975" s="52" t="s">
        <v>1508</v>
      </c>
      <c r="F1975" s="52" t="s">
        <v>2286</v>
      </c>
      <c r="G1975" s="131">
        <v>105</v>
      </c>
    </row>
    <row r="1976" spans="1:7" x14ac:dyDescent="0.55000000000000004">
      <c r="F1976" s="4" t="s">
        <v>1260</v>
      </c>
    </row>
    <row r="1977" spans="1:7" x14ac:dyDescent="0.55000000000000004">
      <c r="F1977" s="52" t="s">
        <v>2287</v>
      </c>
    </row>
    <row r="1978" spans="1:7" x14ac:dyDescent="0.55000000000000004">
      <c r="F1978" s="4" t="s">
        <v>1262</v>
      </c>
    </row>
    <row r="1979" spans="1:7" x14ac:dyDescent="0.55000000000000004">
      <c r="F1979" s="52" t="s">
        <v>2278</v>
      </c>
    </row>
    <row r="1981" spans="1:7" x14ac:dyDescent="0.55000000000000004">
      <c r="A1981" s="54" t="s">
        <v>2288</v>
      </c>
      <c r="B1981" s="59" t="s">
        <v>2289</v>
      </c>
      <c r="C1981" s="52" t="s">
        <v>2251</v>
      </c>
      <c r="D1981" s="52">
        <v>45200</v>
      </c>
      <c r="E1981" s="52" t="s">
        <v>1508</v>
      </c>
      <c r="F1981" s="52" t="s">
        <v>2290</v>
      </c>
      <c r="G1981" s="131">
        <v>105</v>
      </c>
    </row>
    <row r="1982" spans="1:7" x14ac:dyDescent="0.55000000000000004">
      <c r="F1982" s="4" t="s">
        <v>1260</v>
      </c>
    </row>
    <row r="1983" spans="1:7" x14ac:dyDescent="0.55000000000000004">
      <c r="F1983" s="52" t="s">
        <v>2291</v>
      </c>
    </row>
    <row r="1984" spans="1:7" x14ac:dyDescent="0.55000000000000004">
      <c r="F1984" s="4" t="s">
        <v>1262</v>
      </c>
    </row>
    <row r="1985" spans="1:7" x14ac:dyDescent="0.55000000000000004">
      <c r="F1985" s="52" t="s">
        <v>2278</v>
      </c>
    </row>
    <row r="1987" spans="1:7" x14ac:dyDescent="0.55000000000000004">
      <c r="A1987" s="54" t="s">
        <v>2292</v>
      </c>
      <c r="B1987" s="59" t="s">
        <v>2293</v>
      </c>
      <c r="C1987" s="52" t="s">
        <v>2251</v>
      </c>
      <c r="D1987" s="52">
        <v>45200</v>
      </c>
      <c r="E1987" s="52" t="s">
        <v>1508</v>
      </c>
      <c r="F1987" s="52" t="s">
        <v>2294</v>
      </c>
      <c r="G1987" s="131">
        <v>105</v>
      </c>
    </row>
    <row r="1988" spans="1:7" x14ac:dyDescent="0.55000000000000004">
      <c r="F1988" s="4" t="s">
        <v>1260</v>
      </c>
    </row>
    <row r="1989" spans="1:7" x14ac:dyDescent="0.55000000000000004">
      <c r="F1989" s="52" t="s">
        <v>2295</v>
      </c>
    </row>
    <row r="1990" spans="1:7" x14ac:dyDescent="0.55000000000000004">
      <c r="F1990" s="4" t="s">
        <v>1262</v>
      </c>
    </row>
    <row r="1991" spans="1:7" x14ac:dyDescent="0.55000000000000004">
      <c r="F1991" s="52" t="s">
        <v>2296</v>
      </c>
    </row>
    <row r="1993" spans="1:7" x14ac:dyDescent="0.55000000000000004">
      <c r="A1993" s="54" t="s">
        <v>2297</v>
      </c>
      <c r="B1993" s="59" t="s">
        <v>2298</v>
      </c>
      <c r="C1993" s="52" t="s">
        <v>2251</v>
      </c>
      <c r="D1993" s="52">
        <v>45200</v>
      </c>
      <c r="E1993" s="52" t="s">
        <v>1508</v>
      </c>
      <c r="F1993" s="52" t="s">
        <v>2299</v>
      </c>
      <c r="G1993" s="131">
        <v>105</v>
      </c>
    </row>
    <row r="1994" spans="1:7" x14ac:dyDescent="0.55000000000000004">
      <c r="F1994" s="4" t="s">
        <v>1260</v>
      </c>
    </row>
    <row r="1995" spans="1:7" x14ac:dyDescent="0.55000000000000004">
      <c r="F1995" s="52" t="s">
        <v>2300</v>
      </c>
    </row>
    <row r="1996" spans="1:7" x14ac:dyDescent="0.55000000000000004">
      <c r="F1996" s="4" t="s">
        <v>1262</v>
      </c>
    </row>
    <row r="1997" spans="1:7" x14ac:dyDescent="0.55000000000000004">
      <c r="F1997" s="52" t="s">
        <v>2301</v>
      </c>
    </row>
    <row r="1999" spans="1:7" x14ac:dyDescent="0.55000000000000004">
      <c r="A1999" s="59" t="s">
        <v>2302</v>
      </c>
      <c r="B1999" s="59" t="s">
        <v>2303</v>
      </c>
      <c r="C1999" s="52" t="s">
        <v>2251</v>
      </c>
      <c r="D1999" s="52">
        <v>45184</v>
      </c>
      <c r="E1999" s="52" t="s">
        <v>1508</v>
      </c>
      <c r="F1999" s="52" t="s">
        <v>2304</v>
      </c>
      <c r="G1999" s="131">
        <v>108</v>
      </c>
    </row>
    <row r="2000" spans="1:7" x14ac:dyDescent="0.55000000000000004">
      <c r="F2000" s="4" t="s">
        <v>1260</v>
      </c>
    </row>
    <row r="2001" spans="1:7" x14ac:dyDescent="0.55000000000000004">
      <c r="F2001" s="52" t="s">
        <v>2305</v>
      </c>
    </row>
    <row r="2002" spans="1:7" x14ac:dyDescent="0.55000000000000004">
      <c r="F2002" s="4" t="s">
        <v>1262</v>
      </c>
    </row>
    <row r="2003" spans="1:7" x14ac:dyDescent="0.55000000000000004">
      <c r="F2003" s="52" t="s">
        <v>2306</v>
      </c>
    </row>
    <row r="2004" spans="1:7" x14ac:dyDescent="0.55000000000000004">
      <c r="F2004" s="52"/>
    </row>
    <row r="2005" spans="1:7" x14ac:dyDescent="0.55000000000000004">
      <c r="A2005" s="59" t="s">
        <v>2307</v>
      </c>
      <c r="B2005" s="59" t="s">
        <v>2308</v>
      </c>
      <c r="C2005" s="52" t="s">
        <v>2251</v>
      </c>
      <c r="D2005" s="52">
        <v>45184</v>
      </c>
      <c r="E2005" s="52" t="s">
        <v>1508</v>
      </c>
      <c r="F2005" s="52" t="s">
        <v>2309</v>
      </c>
      <c r="G2005" s="131">
        <v>108</v>
      </c>
    </row>
    <row r="2006" spans="1:7" x14ac:dyDescent="0.55000000000000004">
      <c r="F2006" s="4" t="s">
        <v>1260</v>
      </c>
    </row>
    <row r="2007" spans="1:7" x14ac:dyDescent="0.55000000000000004">
      <c r="F2007" s="52" t="s">
        <v>2310</v>
      </c>
    </row>
    <row r="2008" spans="1:7" x14ac:dyDescent="0.55000000000000004">
      <c r="F2008" s="4" t="s">
        <v>1262</v>
      </c>
    </row>
    <row r="2009" spans="1:7" x14ac:dyDescent="0.55000000000000004">
      <c r="F2009" s="52" t="s">
        <v>2306</v>
      </c>
    </row>
    <row r="2010" spans="1:7" x14ac:dyDescent="0.55000000000000004">
      <c r="F2010" s="52"/>
    </row>
    <row r="2011" spans="1:7" x14ac:dyDescent="0.55000000000000004">
      <c r="A2011" s="59" t="s">
        <v>2311</v>
      </c>
      <c r="B2011" s="59" t="s">
        <v>2312</v>
      </c>
      <c r="C2011" s="52" t="s">
        <v>2251</v>
      </c>
      <c r="D2011" s="52">
        <v>45184</v>
      </c>
      <c r="E2011" s="52" t="s">
        <v>1508</v>
      </c>
      <c r="F2011" s="52" t="s">
        <v>2313</v>
      </c>
      <c r="G2011" s="131">
        <v>108</v>
      </c>
    </row>
    <row r="2012" spans="1:7" x14ac:dyDescent="0.55000000000000004">
      <c r="F2012" s="4" t="s">
        <v>1260</v>
      </c>
    </row>
    <row r="2013" spans="1:7" x14ac:dyDescent="0.55000000000000004">
      <c r="F2013" s="52" t="s">
        <v>2310</v>
      </c>
    </row>
    <row r="2014" spans="1:7" x14ac:dyDescent="0.55000000000000004">
      <c r="F2014" s="4" t="s">
        <v>1262</v>
      </c>
    </row>
    <row r="2015" spans="1:7" x14ac:dyDescent="0.55000000000000004">
      <c r="F2015" s="52" t="s">
        <v>2306</v>
      </c>
    </row>
    <row r="2016" spans="1:7" x14ac:dyDescent="0.55000000000000004">
      <c r="F2016" s="52"/>
    </row>
    <row r="2017" spans="1:7" x14ac:dyDescent="0.55000000000000004">
      <c r="A2017" s="59" t="s">
        <v>2314</v>
      </c>
      <c r="B2017" s="59" t="s">
        <v>2315</v>
      </c>
      <c r="C2017" s="52" t="s">
        <v>2251</v>
      </c>
      <c r="D2017" s="52">
        <v>45184</v>
      </c>
      <c r="E2017" s="52" t="s">
        <v>1508</v>
      </c>
      <c r="F2017" s="52" t="s">
        <v>2316</v>
      </c>
      <c r="G2017" s="131">
        <v>108</v>
      </c>
    </row>
    <row r="2018" spans="1:7" x14ac:dyDescent="0.55000000000000004">
      <c r="F2018" s="4" t="s">
        <v>1260</v>
      </c>
    </row>
    <row r="2019" spans="1:7" x14ac:dyDescent="0.55000000000000004">
      <c r="F2019" s="52" t="s">
        <v>2310</v>
      </c>
    </row>
    <row r="2020" spans="1:7" x14ac:dyDescent="0.55000000000000004">
      <c r="F2020" s="4" t="s">
        <v>1262</v>
      </c>
    </row>
    <row r="2021" spans="1:7" x14ac:dyDescent="0.55000000000000004">
      <c r="F2021" s="52" t="s">
        <v>2306</v>
      </c>
    </row>
    <row r="2022" spans="1:7" x14ac:dyDescent="0.55000000000000004">
      <c r="F2022" s="52"/>
    </row>
    <row r="2023" spans="1:7" x14ac:dyDescent="0.55000000000000004">
      <c r="A2023" s="59" t="s">
        <v>2317</v>
      </c>
      <c r="B2023" s="59" t="s">
        <v>2318</v>
      </c>
      <c r="C2023" s="52" t="s">
        <v>2251</v>
      </c>
      <c r="D2023" s="52">
        <v>45184</v>
      </c>
      <c r="E2023" s="52" t="s">
        <v>1508</v>
      </c>
      <c r="F2023" s="52" t="s">
        <v>2319</v>
      </c>
      <c r="G2023" s="131">
        <v>108</v>
      </c>
    </row>
    <row r="2024" spans="1:7" x14ac:dyDescent="0.55000000000000004">
      <c r="F2024" s="4" t="s">
        <v>1260</v>
      </c>
    </row>
    <row r="2025" spans="1:7" x14ac:dyDescent="0.55000000000000004">
      <c r="F2025" s="52" t="s">
        <v>2320</v>
      </c>
    </row>
    <row r="2026" spans="1:7" x14ac:dyDescent="0.55000000000000004">
      <c r="F2026" s="4" t="s">
        <v>1262</v>
      </c>
    </row>
    <row r="2027" spans="1:7" x14ac:dyDescent="0.55000000000000004">
      <c r="F2027" s="52" t="s">
        <v>2306</v>
      </c>
    </row>
    <row r="2028" spans="1:7" x14ac:dyDescent="0.55000000000000004">
      <c r="F2028" s="52"/>
    </row>
    <row r="2029" spans="1:7" x14ac:dyDescent="0.55000000000000004">
      <c r="A2029" s="59" t="s">
        <v>2321</v>
      </c>
      <c r="B2029" s="59" t="s">
        <v>2322</v>
      </c>
      <c r="C2029" s="52" t="s">
        <v>2251</v>
      </c>
      <c r="D2029" s="52">
        <v>45323</v>
      </c>
      <c r="E2029" s="52" t="s">
        <v>1508</v>
      </c>
      <c r="F2029" s="52" t="s">
        <v>2323</v>
      </c>
      <c r="G2029" s="131">
        <v>109</v>
      </c>
    </row>
    <row r="2030" spans="1:7" x14ac:dyDescent="0.55000000000000004">
      <c r="F2030" s="4" t="s">
        <v>1260</v>
      </c>
    </row>
    <row r="2031" spans="1:7" x14ac:dyDescent="0.55000000000000004">
      <c r="F2031" s="52" t="s">
        <v>136</v>
      </c>
    </row>
    <row r="2032" spans="1:7" x14ac:dyDescent="0.55000000000000004">
      <c r="F2032" s="4" t="s">
        <v>1262</v>
      </c>
    </row>
    <row r="2033" spans="1:7" x14ac:dyDescent="0.55000000000000004">
      <c r="F2033" s="52" t="s">
        <v>2324</v>
      </c>
    </row>
    <row r="2034" spans="1:7" x14ac:dyDescent="0.55000000000000004">
      <c r="F2034" s="52"/>
    </row>
    <row r="2035" spans="1:7" x14ac:dyDescent="0.55000000000000004">
      <c r="A2035" s="59" t="s">
        <v>2325</v>
      </c>
      <c r="B2035" s="59" t="s">
        <v>2326</v>
      </c>
      <c r="C2035" s="52" t="s">
        <v>2251</v>
      </c>
      <c r="D2035" s="52">
        <v>45323</v>
      </c>
      <c r="E2035" s="52" t="s">
        <v>1508</v>
      </c>
      <c r="F2035" s="52" t="s">
        <v>2327</v>
      </c>
      <c r="G2035" s="131">
        <v>109</v>
      </c>
    </row>
    <row r="2036" spans="1:7" x14ac:dyDescent="0.55000000000000004">
      <c r="F2036" s="4" t="s">
        <v>1260</v>
      </c>
    </row>
    <row r="2037" spans="1:7" x14ac:dyDescent="0.55000000000000004">
      <c r="F2037" s="52" t="s">
        <v>136</v>
      </c>
    </row>
    <row r="2038" spans="1:7" x14ac:dyDescent="0.55000000000000004">
      <c r="F2038" s="4" t="s">
        <v>1262</v>
      </c>
    </row>
    <row r="2039" spans="1:7" x14ac:dyDescent="0.55000000000000004">
      <c r="F2039" s="52" t="s">
        <v>2324</v>
      </c>
    </row>
    <row r="2040" spans="1:7" x14ac:dyDescent="0.55000000000000004">
      <c r="F2040" s="52"/>
    </row>
    <row r="2041" spans="1:7" x14ac:dyDescent="0.55000000000000004">
      <c r="A2041" s="59" t="s">
        <v>2328</v>
      </c>
      <c r="B2041" s="59" t="s">
        <v>2329</v>
      </c>
      <c r="C2041" s="52" t="s">
        <v>2251</v>
      </c>
      <c r="D2041" s="52">
        <v>45323</v>
      </c>
      <c r="E2041" s="52" t="s">
        <v>1508</v>
      </c>
      <c r="F2041" s="52" t="s">
        <v>2330</v>
      </c>
      <c r="G2041" s="131">
        <v>109</v>
      </c>
    </row>
    <row r="2042" spans="1:7" x14ac:dyDescent="0.55000000000000004">
      <c r="F2042" s="4" t="s">
        <v>1260</v>
      </c>
    </row>
    <row r="2043" spans="1:7" x14ac:dyDescent="0.55000000000000004">
      <c r="F2043" s="52" t="s">
        <v>136</v>
      </c>
    </row>
    <row r="2044" spans="1:7" x14ac:dyDescent="0.55000000000000004">
      <c r="F2044" s="4" t="s">
        <v>1262</v>
      </c>
    </row>
    <row r="2045" spans="1:7" x14ac:dyDescent="0.55000000000000004">
      <c r="F2045" s="52" t="s">
        <v>2324</v>
      </c>
    </row>
    <row r="2047" spans="1:7" x14ac:dyDescent="0.55000000000000004">
      <c r="A2047" s="59" t="s">
        <v>2331</v>
      </c>
      <c r="B2047" s="59" t="s">
        <v>2332</v>
      </c>
      <c r="C2047" s="52" t="s">
        <v>2251</v>
      </c>
      <c r="D2047" s="52">
        <v>45323</v>
      </c>
      <c r="E2047" s="52" t="s">
        <v>1508</v>
      </c>
      <c r="F2047" s="52" t="s">
        <v>2333</v>
      </c>
      <c r="G2047" s="131">
        <v>109</v>
      </c>
    </row>
    <row r="2048" spans="1:7" x14ac:dyDescent="0.55000000000000004">
      <c r="F2048" s="4" t="s">
        <v>1260</v>
      </c>
    </row>
    <row r="2049" spans="1:7" x14ac:dyDescent="0.55000000000000004">
      <c r="F2049" s="52" t="s">
        <v>136</v>
      </c>
    </row>
    <row r="2050" spans="1:7" x14ac:dyDescent="0.55000000000000004">
      <c r="F2050" s="4" t="s">
        <v>1262</v>
      </c>
    </row>
    <row r="2051" spans="1:7" x14ac:dyDescent="0.55000000000000004">
      <c r="F2051" s="52" t="s">
        <v>2324</v>
      </c>
    </row>
    <row r="2053" spans="1:7" x14ac:dyDescent="0.55000000000000004">
      <c r="A2053" s="59" t="s">
        <v>2334</v>
      </c>
      <c r="B2053" s="59" t="s">
        <v>2335</v>
      </c>
      <c r="C2053" s="52" t="s">
        <v>2251</v>
      </c>
      <c r="D2053" s="52">
        <v>45323</v>
      </c>
      <c r="E2053" s="52" t="s">
        <v>1508</v>
      </c>
      <c r="F2053" s="52" t="s">
        <v>2336</v>
      </c>
      <c r="G2053" s="131">
        <v>109</v>
      </c>
    </row>
    <row r="2054" spans="1:7" x14ac:dyDescent="0.55000000000000004">
      <c r="F2054" s="4" t="s">
        <v>1260</v>
      </c>
    </row>
    <row r="2055" spans="1:7" x14ac:dyDescent="0.55000000000000004">
      <c r="F2055" s="52" t="s">
        <v>136</v>
      </c>
    </row>
    <row r="2056" spans="1:7" x14ac:dyDescent="0.55000000000000004">
      <c r="F2056" s="4" t="s">
        <v>1262</v>
      </c>
    </row>
    <row r="2057" spans="1:7" x14ac:dyDescent="0.55000000000000004">
      <c r="F2057" s="52" t="s">
        <v>2324</v>
      </c>
    </row>
    <row r="2059" spans="1:7" x14ac:dyDescent="0.55000000000000004">
      <c r="A2059" s="59" t="s">
        <v>2337</v>
      </c>
      <c r="B2059" s="59" t="s">
        <v>2338</v>
      </c>
      <c r="C2059" s="52" t="s">
        <v>2251</v>
      </c>
      <c r="D2059" s="52">
        <v>45323</v>
      </c>
      <c r="E2059" s="52" t="s">
        <v>1508</v>
      </c>
      <c r="F2059" s="52" t="s">
        <v>2339</v>
      </c>
      <c r="G2059" s="131">
        <v>109</v>
      </c>
    </row>
    <row r="2060" spans="1:7" x14ac:dyDescent="0.55000000000000004">
      <c r="F2060" s="4" t="s">
        <v>1260</v>
      </c>
    </row>
    <row r="2061" spans="1:7" x14ac:dyDescent="0.55000000000000004">
      <c r="F2061" s="52" t="s">
        <v>136</v>
      </c>
    </row>
    <row r="2062" spans="1:7" x14ac:dyDescent="0.55000000000000004">
      <c r="F2062" s="4" t="s">
        <v>1262</v>
      </c>
    </row>
    <row r="2063" spans="1:7" x14ac:dyDescent="0.55000000000000004">
      <c r="F2063" s="52" t="s">
        <v>2324</v>
      </c>
    </row>
    <row r="2064" spans="1:7" x14ac:dyDescent="0.55000000000000004">
      <c r="F2064" s="52"/>
    </row>
    <row r="2065" spans="1:7" x14ac:dyDescent="0.55000000000000004">
      <c r="A2065" s="54" t="s">
        <v>2340</v>
      </c>
      <c r="B2065" s="59" t="s">
        <v>2341</v>
      </c>
      <c r="C2065" s="52" t="s">
        <v>2251</v>
      </c>
      <c r="D2065" s="52">
        <v>45200</v>
      </c>
      <c r="E2065" s="52" t="s">
        <v>1508</v>
      </c>
      <c r="F2065" s="52" t="s">
        <v>2342</v>
      </c>
      <c r="G2065" s="131">
        <v>105</v>
      </c>
    </row>
    <row r="2066" spans="1:7" x14ac:dyDescent="0.55000000000000004">
      <c r="F2066" s="4" t="s">
        <v>1260</v>
      </c>
    </row>
    <row r="2067" spans="1:7" x14ac:dyDescent="0.55000000000000004">
      <c r="F2067" s="52" t="s">
        <v>2343</v>
      </c>
    </row>
    <row r="2068" spans="1:7" x14ac:dyDescent="0.55000000000000004">
      <c r="F2068" s="4" t="s">
        <v>1262</v>
      </c>
    </row>
    <row r="2069" spans="1:7" x14ac:dyDescent="0.55000000000000004">
      <c r="F2069" s="52" t="s">
        <v>136</v>
      </c>
    </row>
    <row r="2071" spans="1:7" x14ac:dyDescent="0.55000000000000004">
      <c r="A2071" s="54" t="s">
        <v>2344</v>
      </c>
      <c r="B2071" s="59" t="s">
        <v>2345</v>
      </c>
      <c r="C2071" s="52" t="s">
        <v>2251</v>
      </c>
      <c r="D2071" s="52">
        <v>45306</v>
      </c>
      <c r="E2071" s="52" t="s">
        <v>1508</v>
      </c>
      <c r="F2071" s="52" t="s">
        <v>2346</v>
      </c>
      <c r="G2071" s="131">
        <v>110</v>
      </c>
    </row>
    <row r="2072" spans="1:7" x14ac:dyDescent="0.55000000000000004">
      <c r="F2072" s="4" t="s">
        <v>1260</v>
      </c>
    </row>
    <row r="2073" spans="1:7" x14ac:dyDescent="0.55000000000000004">
      <c r="F2073" s="52" t="s">
        <v>136</v>
      </c>
    </row>
    <row r="2074" spans="1:7" x14ac:dyDescent="0.55000000000000004">
      <c r="F2074" s="4" t="s">
        <v>1262</v>
      </c>
    </row>
    <row r="2075" spans="1:7" x14ac:dyDescent="0.55000000000000004">
      <c r="F2075" s="52" t="s">
        <v>2347</v>
      </c>
    </row>
    <row r="2077" spans="1:7" x14ac:dyDescent="0.55000000000000004">
      <c r="A2077" s="54" t="s">
        <v>2348</v>
      </c>
      <c r="B2077" s="59" t="s">
        <v>2349</v>
      </c>
      <c r="C2077" s="52" t="s">
        <v>2251</v>
      </c>
      <c r="D2077" s="52">
        <v>45306</v>
      </c>
      <c r="E2077" s="52" t="s">
        <v>1508</v>
      </c>
      <c r="F2077" s="52" t="s">
        <v>2346</v>
      </c>
      <c r="G2077" s="131">
        <v>110</v>
      </c>
    </row>
    <row r="2078" spans="1:7" x14ac:dyDescent="0.55000000000000004">
      <c r="F2078" s="4" t="s">
        <v>1260</v>
      </c>
    </row>
    <row r="2079" spans="1:7" x14ac:dyDescent="0.55000000000000004">
      <c r="F2079" s="52" t="s">
        <v>136</v>
      </c>
    </row>
    <row r="2080" spans="1:7" x14ac:dyDescent="0.55000000000000004">
      <c r="F2080" s="4" t="s">
        <v>1262</v>
      </c>
    </row>
    <row r="2081" spans="1:7" x14ac:dyDescent="0.55000000000000004">
      <c r="F2081" s="52" t="s">
        <v>2347</v>
      </c>
    </row>
    <row r="2083" spans="1:7" x14ac:dyDescent="0.55000000000000004">
      <c r="A2083" s="54" t="s">
        <v>2350</v>
      </c>
      <c r="B2083" s="59" t="s">
        <v>2351</v>
      </c>
      <c r="C2083" s="52" t="s">
        <v>2251</v>
      </c>
      <c r="D2083" s="52">
        <v>45306</v>
      </c>
      <c r="E2083" s="52" t="s">
        <v>1508</v>
      </c>
      <c r="F2083" s="52" t="s">
        <v>2352</v>
      </c>
      <c r="G2083" s="131">
        <v>110</v>
      </c>
    </row>
    <row r="2084" spans="1:7" x14ac:dyDescent="0.55000000000000004">
      <c r="F2084" s="4" t="s">
        <v>1260</v>
      </c>
    </row>
    <row r="2085" spans="1:7" x14ac:dyDescent="0.55000000000000004">
      <c r="F2085" s="52" t="s">
        <v>2353</v>
      </c>
    </row>
    <row r="2086" spans="1:7" x14ac:dyDescent="0.55000000000000004">
      <c r="F2086" s="4" t="s">
        <v>1262</v>
      </c>
    </row>
    <row r="2087" spans="1:7" x14ac:dyDescent="0.55000000000000004">
      <c r="F2087" s="52" t="s">
        <v>2354</v>
      </c>
    </row>
    <row r="2089" spans="1:7" x14ac:dyDescent="0.55000000000000004">
      <c r="A2089" s="54" t="s">
        <v>2355</v>
      </c>
      <c r="B2089" s="59" t="s">
        <v>2356</v>
      </c>
      <c r="C2089" s="52" t="s">
        <v>2251</v>
      </c>
      <c r="D2089" s="52">
        <v>45306</v>
      </c>
      <c r="E2089" s="52" t="s">
        <v>1508</v>
      </c>
      <c r="F2089" s="52" t="s">
        <v>2357</v>
      </c>
      <c r="G2089" s="131">
        <v>110</v>
      </c>
    </row>
    <row r="2090" spans="1:7" x14ac:dyDescent="0.55000000000000004">
      <c r="F2090" s="4" t="s">
        <v>1260</v>
      </c>
    </row>
    <row r="2091" spans="1:7" x14ac:dyDescent="0.55000000000000004">
      <c r="F2091" s="52" t="s">
        <v>136</v>
      </c>
    </row>
    <row r="2092" spans="1:7" x14ac:dyDescent="0.55000000000000004">
      <c r="F2092" s="4" t="s">
        <v>1262</v>
      </c>
    </row>
    <row r="2093" spans="1:7" x14ac:dyDescent="0.55000000000000004">
      <c r="F2093" s="52" t="s">
        <v>136</v>
      </c>
    </row>
    <row r="2095" spans="1:7" x14ac:dyDescent="0.55000000000000004">
      <c r="A2095" s="54" t="s">
        <v>2358</v>
      </c>
      <c r="B2095" s="59" t="s">
        <v>2359</v>
      </c>
      <c r="C2095" s="52" t="s">
        <v>2251</v>
      </c>
      <c r="D2095" s="52">
        <v>45306</v>
      </c>
      <c r="E2095" s="52" t="s">
        <v>1508</v>
      </c>
      <c r="F2095" s="52" t="s">
        <v>2360</v>
      </c>
      <c r="G2095" s="131">
        <v>110</v>
      </c>
    </row>
    <row r="2096" spans="1:7" x14ac:dyDescent="0.55000000000000004">
      <c r="F2096" s="4" t="s">
        <v>1260</v>
      </c>
    </row>
    <row r="2097" spans="1:7" x14ac:dyDescent="0.55000000000000004">
      <c r="F2097" s="52" t="s">
        <v>136</v>
      </c>
    </row>
    <row r="2098" spans="1:7" x14ac:dyDescent="0.55000000000000004">
      <c r="F2098" s="4" t="s">
        <v>1262</v>
      </c>
    </row>
    <row r="2099" spans="1:7" x14ac:dyDescent="0.55000000000000004">
      <c r="F2099" s="52" t="s">
        <v>136</v>
      </c>
    </row>
    <row r="2101" spans="1:7" x14ac:dyDescent="0.55000000000000004">
      <c r="A2101" s="54" t="s">
        <v>2361</v>
      </c>
      <c r="B2101" s="59" t="s">
        <v>2362</v>
      </c>
      <c r="C2101" s="52" t="s">
        <v>2251</v>
      </c>
      <c r="D2101" s="52">
        <v>45306</v>
      </c>
      <c r="E2101" s="52" t="s">
        <v>1508</v>
      </c>
      <c r="F2101" s="52" t="s">
        <v>2363</v>
      </c>
      <c r="G2101" s="131">
        <v>105</v>
      </c>
    </row>
    <row r="2102" spans="1:7" x14ac:dyDescent="0.55000000000000004">
      <c r="F2102" s="4" t="s">
        <v>1260</v>
      </c>
    </row>
    <row r="2103" spans="1:7" x14ac:dyDescent="0.55000000000000004">
      <c r="F2103" s="52" t="s">
        <v>136</v>
      </c>
    </row>
    <row r="2104" spans="1:7" x14ac:dyDescent="0.55000000000000004">
      <c r="F2104" s="4" t="s">
        <v>1262</v>
      </c>
    </row>
    <row r="2105" spans="1:7" x14ac:dyDescent="0.55000000000000004">
      <c r="F2105" s="52" t="s">
        <v>136</v>
      </c>
    </row>
    <row r="2107" spans="1:7" x14ac:dyDescent="0.55000000000000004">
      <c r="A2107" s="54" t="s">
        <v>2364</v>
      </c>
      <c r="B2107" s="59" t="s">
        <v>2365</v>
      </c>
      <c r="C2107" s="52" t="s">
        <v>2251</v>
      </c>
      <c r="D2107" s="52">
        <v>45306</v>
      </c>
      <c r="E2107" s="52" t="s">
        <v>1508</v>
      </c>
      <c r="F2107" s="52" t="s">
        <v>2366</v>
      </c>
      <c r="G2107" s="131">
        <v>110</v>
      </c>
    </row>
    <row r="2108" spans="1:7" x14ac:dyDescent="0.55000000000000004">
      <c r="F2108" s="4" t="s">
        <v>1260</v>
      </c>
    </row>
    <row r="2109" spans="1:7" x14ac:dyDescent="0.55000000000000004">
      <c r="F2109" s="52" t="s">
        <v>136</v>
      </c>
    </row>
    <row r="2110" spans="1:7" x14ac:dyDescent="0.55000000000000004">
      <c r="F2110" s="4" t="s">
        <v>1262</v>
      </c>
    </row>
    <row r="2111" spans="1:7" x14ac:dyDescent="0.55000000000000004">
      <c r="F2111" s="52" t="s">
        <v>136</v>
      </c>
    </row>
    <row r="2113" spans="1:7" x14ac:dyDescent="0.55000000000000004">
      <c r="A2113" s="54" t="s">
        <v>2367</v>
      </c>
      <c r="B2113" s="59" t="s">
        <v>2368</v>
      </c>
      <c r="C2113" s="52" t="s">
        <v>2251</v>
      </c>
      <c r="D2113" s="52">
        <v>45306</v>
      </c>
      <c r="E2113" s="52" t="s">
        <v>1508</v>
      </c>
      <c r="F2113" s="52" t="s">
        <v>2369</v>
      </c>
      <c r="G2113" s="131">
        <v>110</v>
      </c>
    </row>
    <row r="2114" spans="1:7" x14ac:dyDescent="0.55000000000000004">
      <c r="F2114" s="4" t="s">
        <v>1260</v>
      </c>
    </row>
    <row r="2115" spans="1:7" x14ac:dyDescent="0.55000000000000004">
      <c r="F2115" s="52" t="s">
        <v>136</v>
      </c>
    </row>
    <row r="2116" spans="1:7" x14ac:dyDescent="0.55000000000000004">
      <c r="F2116" s="4" t="s">
        <v>1262</v>
      </c>
    </row>
    <row r="2117" spans="1:7" x14ac:dyDescent="0.55000000000000004">
      <c r="F2117" s="52" t="s">
        <v>136</v>
      </c>
    </row>
    <row r="2119" spans="1:7" x14ac:dyDescent="0.55000000000000004">
      <c r="A2119" s="54" t="s">
        <v>2370</v>
      </c>
      <c r="B2119" s="59" t="s">
        <v>2371</v>
      </c>
      <c r="C2119" s="52" t="s">
        <v>2251</v>
      </c>
      <c r="D2119" s="52">
        <v>45306</v>
      </c>
      <c r="E2119" s="52" t="s">
        <v>1508</v>
      </c>
      <c r="F2119" s="52" t="s">
        <v>2372</v>
      </c>
      <c r="G2119" s="131">
        <v>110</v>
      </c>
    </row>
    <row r="2120" spans="1:7" x14ac:dyDescent="0.55000000000000004">
      <c r="F2120" s="4" t="s">
        <v>1260</v>
      </c>
    </row>
    <row r="2121" spans="1:7" x14ac:dyDescent="0.55000000000000004">
      <c r="F2121" s="52" t="s">
        <v>136</v>
      </c>
    </row>
    <row r="2122" spans="1:7" x14ac:dyDescent="0.55000000000000004">
      <c r="F2122" s="4" t="s">
        <v>1262</v>
      </c>
    </row>
    <row r="2123" spans="1:7" x14ac:dyDescent="0.55000000000000004">
      <c r="F2123" s="52" t="s">
        <v>136</v>
      </c>
    </row>
    <row r="2125" spans="1:7" x14ac:dyDescent="0.55000000000000004">
      <c r="A2125" s="54" t="s">
        <v>2373</v>
      </c>
      <c r="B2125" s="59" t="s">
        <v>2374</v>
      </c>
      <c r="C2125" s="52" t="s">
        <v>2251</v>
      </c>
      <c r="D2125" s="52">
        <v>45306</v>
      </c>
      <c r="E2125" s="52" t="s">
        <v>1508</v>
      </c>
      <c r="F2125" s="52" t="s">
        <v>2375</v>
      </c>
      <c r="G2125" s="131">
        <v>110</v>
      </c>
    </row>
    <row r="2126" spans="1:7" x14ac:dyDescent="0.55000000000000004">
      <c r="F2126" s="4" t="s">
        <v>1260</v>
      </c>
    </row>
    <row r="2127" spans="1:7" x14ac:dyDescent="0.55000000000000004">
      <c r="F2127" s="52" t="s">
        <v>136</v>
      </c>
    </row>
    <row r="2128" spans="1:7" x14ac:dyDescent="0.55000000000000004">
      <c r="F2128" s="4" t="s">
        <v>1262</v>
      </c>
    </row>
    <row r="2129" spans="1:7" x14ac:dyDescent="0.55000000000000004">
      <c r="F2129" s="52" t="s">
        <v>136</v>
      </c>
    </row>
    <row r="2130" spans="1:7" x14ac:dyDescent="0.55000000000000004">
      <c r="F2130" s="52"/>
    </row>
    <row r="2131" spans="1:7" x14ac:dyDescent="0.55000000000000004">
      <c r="A2131" s="54" t="s">
        <v>2376</v>
      </c>
      <c r="B2131" s="59" t="s">
        <v>2377</v>
      </c>
      <c r="C2131" s="52" t="s">
        <v>2251</v>
      </c>
      <c r="D2131" s="52">
        <v>45306</v>
      </c>
      <c r="E2131" s="52" t="s">
        <v>1508</v>
      </c>
      <c r="F2131" s="52" t="s">
        <v>2378</v>
      </c>
      <c r="G2131" s="131">
        <v>110</v>
      </c>
    </row>
    <row r="2132" spans="1:7" x14ac:dyDescent="0.55000000000000004">
      <c r="F2132" s="4" t="s">
        <v>1260</v>
      </c>
    </row>
    <row r="2133" spans="1:7" x14ac:dyDescent="0.55000000000000004">
      <c r="F2133" s="52" t="s">
        <v>136</v>
      </c>
    </row>
    <row r="2134" spans="1:7" x14ac:dyDescent="0.55000000000000004">
      <c r="F2134" s="4" t="s">
        <v>1262</v>
      </c>
    </row>
    <row r="2135" spans="1:7" x14ac:dyDescent="0.55000000000000004">
      <c r="F2135" s="52" t="s">
        <v>136</v>
      </c>
    </row>
    <row r="2136" spans="1:7" x14ac:dyDescent="0.55000000000000004">
      <c r="F2136" s="52"/>
    </row>
    <row r="2137" spans="1:7" x14ac:dyDescent="0.55000000000000004">
      <c r="A2137" s="54" t="s">
        <v>2379</v>
      </c>
      <c r="B2137" s="59" t="s">
        <v>2380</v>
      </c>
      <c r="C2137" s="52" t="s">
        <v>2251</v>
      </c>
      <c r="D2137" s="52">
        <v>45306</v>
      </c>
      <c r="E2137" s="52" t="s">
        <v>1508</v>
      </c>
      <c r="F2137" s="52" t="s">
        <v>2381</v>
      </c>
      <c r="G2137" s="131">
        <v>110</v>
      </c>
    </row>
    <row r="2138" spans="1:7" x14ac:dyDescent="0.55000000000000004">
      <c r="F2138" s="4" t="s">
        <v>1260</v>
      </c>
    </row>
    <row r="2139" spans="1:7" x14ac:dyDescent="0.55000000000000004">
      <c r="F2139" s="52" t="s">
        <v>136</v>
      </c>
    </row>
    <row r="2140" spans="1:7" x14ac:dyDescent="0.55000000000000004">
      <c r="F2140" s="4" t="s">
        <v>1262</v>
      </c>
    </row>
    <row r="2141" spans="1:7" x14ac:dyDescent="0.55000000000000004">
      <c r="F2141" s="52" t="s">
        <v>136</v>
      </c>
    </row>
    <row r="2142" spans="1:7" x14ac:dyDescent="0.55000000000000004">
      <c r="F2142" s="52"/>
    </row>
    <row r="2143" spans="1:7" x14ac:dyDescent="0.55000000000000004">
      <c r="A2143" s="54" t="s">
        <v>2382</v>
      </c>
      <c r="B2143" s="59" t="s">
        <v>2383</v>
      </c>
      <c r="C2143" s="52" t="s">
        <v>2251</v>
      </c>
      <c r="D2143" s="52">
        <v>45306</v>
      </c>
      <c r="E2143" s="52" t="s">
        <v>1508</v>
      </c>
      <c r="F2143" s="52" t="s">
        <v>2378</v>
      </c>
      <c r="G2143" s="131">
        <v>110</v>
      </c>
    </row>
    <row r="2144" spans="1:7" x14ac:dyDescent="0.55000000000000004">
      <c r="F2144" s="4" t="s">
        <v>1260</v>
      </c>
    </row>
    <row r="2145" spans="1:7" x14ac:dyDescent="0.55000000000000004">
      <c r="F2145" s="52" t="s">
        <v>136</v>
      </c>
    </row>
    <row r="2146" spans="1:7" x14ac:dyDescent="0.55000000000000004">
      <c r="F2146" s="4" t="s">
        <v>1262</v>
      </c>
    </row>
    <row r="2147" spans="1:7" x14ac:dyDescent="0.55000000000000004">
      <c r="F2147" s="52" t="s">
        <v>136</v>
      </c>
    </row>
    <row r="2148" spans="1:7" x14ac:dyDescent="0.55000000000000004">
      <c r="F2148" s="52"/>
    </row>
    <row r="2149" spans="1:7" x14ac:dyDescent="0.55000000000000004">
      <c r="A2149" s="54" t="s">
        <v>2384</v>
      </c>
      <c r="B2149" s="59" t="s">
        <v>2385</v>
      </c>
      <c r="C2149" s="52" t="s">
        <v>2251</v>
      </c>
      <c r="D2149" s="52">
        <v>45250</v>
      </c>
      <c r="E2149" s="52" t="s">
        <v>1508</v>
      </c>
      <c r="F2149" s="52" t="s">
        <v>2386</v>
      </c>
      <c r="G2149" s="131">
        <v>111</v>
      </c>
    </row>
    <row r="2150" spans="1:7" x14ac:dyDescent="0.55000000000000004">
      <c r="F2150" s="4" t="s">
        <v>1260</v>
      </c>
    </row>
    <row r="2151" spans="1:7" x14ac:dyDescent="0.55000000000000004">
      <c r="F2151" s="52" t="s">
        <v>136</v>
      </c>
    </row>
    <row r="2152" spans="1:7" x14ac:dyDescent="0.55000000000000004">
      <c r="F2152" s="4" t="s">
        <v>1262</v>
      </c>
    </row>
    <row r="2153" spans="1:7" x14ac:dyDescent="0.55000000000000004">
      <c r="F2153" s="52" t="s">
        <v>2387</v>
      </c>
    </row>
    <row r="2155" spans="1:7" x14ac:dyDescent="0.55000000000000004">
      <c r="A2155" s="54" t="s">
        <v>2388</v>
      </c>
      <c r="B2155" s="59" t="s">
        <v>2389</v>
      </c>
      <c r="C2155" s="52" t="s">
        <v>2251</v>
      </c>
      <c r="D2155" s="52">
        <v>45250</v>
      </c>
      <c r="E2155" s="52" t="s">
        <v>1508</v>
      </c>
      <c r="F2155" s="52" t="s">
        <v>2390</v>
      </c>
      <c r="G2155" s="131">
        <v>111</v>
      </c>
    </row>
    <row r="2156" spans="1:7" x14ac:dyDescent="0.55000000000000004">
      <c r="F2156" s="4" t="s">
        <v>1260</v>
      </c>
    </row>
    <row r="2157" spans="1:7" x14ac:dyDescent="0.55000000000000004">
      <c r="F2157" s="52" t="s">
        <v>136</v>
      </c>
    </row>
    <row r="2158" spans="1:7" x14ac:dyDescent="0.55000000000000004">
      <c r="F2158" s="4" t="s">
        <v>1262</v>
      </c>
    </row>
    <row r="2159" spans="1:7" x14ac:dyDescent="0.55000000000000004">
      <c r="F2159" s="52" t="s">
        <v>2387</v>
      </c>
    </row>
    <row r="2161" spans="1:7" x14ac:dyDescent="0.55000000000000004">
      <c r="A2161" s="54" t="s">
        <v>2391</v>
      </c>
      <c r="B2161" s="59" t="s">
        <v>2392</v>
      </c>
      <c r="C2161" s="52" t="s">
        <v>2251</v>
      </c>
      <c r="D2161" s="52">
        <v>45250</v>
      </c>
      <c r="E2161" s="52" t="s">
        <v>1508</v>
      </c>
      <c r="F2161" s="52" t="s">
        <v>2393</v>
      </c>
      <c r="G2161" s="131">
        <v>111</v>
      </c>
    </row>
    <row r="2162" spans="1:7" x14ac:dyDescent="0.55000000000000004">
      <c r="F2162" s="4" t="s">
        <v>1260</v>
      </c>
    </row>
    <row r="2163" spans="1:7" x14ac:dyDescent="0.55000000000000004">
      <c r="F2163" s="52" t="s">
        <v>136</v>
      </c>
    </row>
    <row r="2164" spans="1:7" x14ac:dyDescent="0.55000000000000004">
      <c r="F2164" s="4" t="s">
        <v>1262</v>
      </c>
    </row>
    <row r="2165" spans="1:7" x14ac:dyDescent="0.55000000000000004">
      <c r="F2165" s="52" t="s">
        <v>2387</v>
      </c>
    </row>
    <row r="2167" spans="1:7" x14ac:dyDescent="0.55000000000000004">
      <c r="A2167" s="54" t="s">
        <v>2394</v>
      </c>
      <c r="B2167" s="59" t="s">
        <v>2395</v>
      </c>
      <c r="C2167" s="52" t="s">
        <v>2251</v>
      </c>
      <c r="D2167" s="52">
        <v>45250</v>
      </c>
      <c r="E2167" s="52" t="s">
        <v>1508</v>
      </c>
      <c r="F2167" s="52" t="s">
        <v>2396</v>
      </c>
      <c r="G2167" s="131">
        <v>111</v>
      </c>
    </row>
    <row r="2168" spans="1:7" x14ac:dyDescent="0.55000000000000004">
      <c r="F2168" s="4" t="s">
        <v>1260</v>
      </c>
    </row>
    <row r="2169" spans="1:7" x14ac:dyDescent="0.55000000000000004">
      <c r="F2169" s="52" t="s">
        <v>136</v>
      </c>
    </row>
    <row r="2170" spans="1:7" x14ac:dyDescent="0.55000000000000004">
      <c r="F2170" s="4" t="s">
        <v>1262</v>
      </c>
    </row>
    <row r="2171" spans="1:7" x14ac:dyDescent="0.55000000000000004">
      <c r="F2171" s="52" t="s">
        <v>2387</v>
      </c>
    </row>
    <row r="2173" spans="1:7" x14ac:dyDescent="0.55000000000000004">
      <c r="A2173" s="54" t="s">
        <v>2397</v>
      </c>
      <c r="B2173" s="59" t="s">
        <v>2392</v>
      </c>
      <c r="C2173" s="52" t="s">
        <v>2251</v>
      </c>
      <c r="D2173" s="52">
        <v>45362</v>
      </c>
      <c r="E2173" s="52" t="s">
        <v>1508</v>
      </c>
      <c r="F2173" s="52" t="s">
        <v>2393</v>
      </c>
      <c r="G2173" s="131">
        <v>112</v>
      </c>
    </row>
    <row r="2174" spans="1:7" x14ac:dyDescent="0.55000000000000004">
      <c r="F2174" s="4" t="s">
        <v>1260</v>
      </c>
    </row>
    <row r="2175" spans="1:7" x14ac:dyDescent="0.55000000000000004">
      <c r="F2175" s="52" t="s">
        <v>136</v>
      </c>
    </row>
    <row r="2176" spans="1:7" x14ac:dyDescent="0.55000000000000004">
      <c r="F2176" s="4" t="s">
        <v>1262</v>
      </c>
    </row>
    <row r="2177" spans="1:7" x14ac:dyDescent="0.55000000000000004">
      <c r="F2177" s="52" t="s">
        <v>136</v>
      </c>
    </row>
    <row r="2179" spans="1:7" x14ac:dyDescent="0.55000000000000004">
      <c r="A2179" s="54" t="s">
        <v>2398</v>
      </c>
      <c r="B2179" s="59" t="s">
        <v>2399</v>
      </c>
      <c r="C2179" s="52" t="s">
        <v>2251</v>
      </c>
      <c r="D2179" s="52">
        <v>45362</v>
      </c>
      <c r="E2179" s="52" t="s">
        <v>1508</v>
      </c>
      <c r="F2179" s="52" t="s">
        <v>2400</v>
      </c>
      <c r="G2179" s="131">
        <v>113</v>
      </c>
    </row>
    <row r="2180" spans="1:7" x14ac:dyDescent="0.55000000000000004">
      <c r="F2180" s="4" t="s">
        <v>1260</v>
      </c>
    </row>
    <row r="2181" spans="1:7" x14ac:dyDescent="0.55000000000000004">
      <c r="F2181" s="52" t="s">
        <v>136</v>
      </c>
    </row>
    <row r="2182" spans="1:7" x14ac:dyDescent="0.55000000000000004">
      <c r="F2182" s="4" t="s">
        <v>1262</v>
      </c>
    </row>
    <row r="2183" spans="1:7" x14ac:dyDescent="0.55000000000000004">
      <c r="F2183" s="52" t="s">
        <v>136</v>
      </c>
    </row>
    <row r="2185" spans="1:7" x14ac:dyDescent="0.55000000000000004">
      <c r="A2185" s="54" t="s">
        <v>2401</v>
      </c>
      <c r="B2185" s="59" t="s">
        <v>2402</v>
      </c>
      <c r="C2185" s="52" t="s">
        <v>2251</v>
      </c>
      <c r="D2185" s="52">
        <v>45362</v>
      </c>
      <c r="E2185" s="52" t="s">
        <v>1508</v>
      </c>
      <c r="F2185" s="52" t="s">
        <v>2403</v>
      </c>
      <c r="G2185" s="131">
        <v>114</v>
      </c>
    </row>
    <row r="2186" spans="1:7" x14ac:dyDescent="0.55000000000000004">
      <c r="F2186" s="4" t="s">
        <v>1260</v>
      </c>
    </row>
    <row r="2187" spans="1:7" x14ac:dyDescent="0.55000000000000004">
      <c r="F2187" s="52" t="s">
        <v>136</v>
      </c>
    </row>
    <row r="2188" spans="1:7" x14ac:dyDescent="0.55000000000000004">
      <c r="F2188" s="4" t="s">
        <v>1262</v>
      </c>
    </row>
    <row r="2189" spans="1:7" x14ac:dyDescent="0.55000000000000004">
      <c r="F2189" s="52" t="s">
        <v>136</v>
      </c>
    </row>
    <row r="2191" spans="1:7" x14ac:dyDescent="0.55000000000000004">
      <c r="A2191" s="54" t="s">
        <v>2404</v>
      </c>
      <c r="B2191" s="59" t="s">
        <v>2405</v>
      </c>
      <c r="C2191" s="52" t="s">
        <v>2251</v>
      </c>
      <c r="D2191" s="52">
        <v>45366</v>
      </c>
      <c r="E2191" s="52" t="s">
        <v>1508</v>
      </c>
      <c r="F2191" s="52" t="s">
        <v>2406</v>
      </c>
      <c r="G2191" s="131">
        <v>115</v>
      </c>
    </row>
    <row r="2192" spans="1:7" x14ac:dyDescent="0.55000000000000004">
      <c r="F2192" s="4" t="s">
        <v>1260</v>
      </c>
    </row>
    <row r="2193" spans="1:7" x14ac:dyDescent="0.55000000000000004">
      <c r="F2193" s="52" t="s">
        <v>136</v>
      </c>
    </row>
    <row r="2194" spans="1:7" x14ac:dyDescent="0.55000000000000004">
      <c r="F2194" s="4" t="s">
        <v>1262</v>
      </c>
    </row>
    <row r="2195" spans="1:7" x14ac:dyDescent="0.55000000000000004">
      <c r="F2195" s="52" t="s">
        <v>136</v>
      </c>
    </row>
    <row r="2197" spans="1:7" x14ac:dyDescent="0.55000000000000004">
      <c r="A2197" s="54" t="s">
        <v>2407</v>
      </c>
      <c r="B2197" s="59" t="s">
        <v>2408</v>
      </c>
      <c r="C2197" s="52" t="s">
        <v>2251</v>
      </c>
      <c r="D2197" s="52">
        <v>45366</v>
      </c>
      <c r="E2197" s="52" t="s">
        <v>1508</v>
      </c>
      <c r="F2197" s="52" t="s">
        <v>2409</v>
      </c>
      <c r="G2197" s="131">
        <v>115</v>
      </c>
    </row>
    <row r="2198" spans="1:7" x14ac:dyDescent="0.55000000000000004">
      <c r="F2198" s="4" t="s">
        <v>1260</v>
      </c>
    </row>
    <row r="2199" spans="1:7" x14ac:dyDescent="0.55000000000000004">
      <c r="F2199" s="52" t="s">
        <v>136</v>
      </c>
    </row>
    <row r="2200" spans="1:7" x14ac:dyDescent="0.55000000000000004">
      <c r="F2200" s="4" t="s">
        <v>1262</v>
      </c>
    </row>
    <row r="2201" spans="1:7" x14ac:dyDescent="0.55000000000000004">
      <c r="F2201" s="52" t="s">
        <v>136</v>
      </c>
    </row>
    <row r="2203" spans="1:7" x14ac:dyDescent="0.55000000000000004">
      <c r="A2203" s="54" t="s">
        <v>2410</v>
      </c>
      <c r="B2203" s="59" t="s">
        <v>2411</v>
      </c>
      <c r="C2203" s="52" t="s">
        <v>2251</v>
      </c>
      <c r="D2203" s="52">
        <v>45366</v>
      </c>
      <c r="E2203" s="52" t="s">
        <v>1508</v>
      </c>
      <c r="F2203" s="52" t="s">
        <v>2412</v>
      </c>
      <c r="G2203" s="131">
        <v>115</v>
      </c>
    </row>
    <row r="2204" spans="1:7" x14ac:dyDescent="0.55000000000000004">
      <c r="F2204" s="4" t="s">
        <v>1260</v>
      </c>
    </row>
    <row r="2205" spans="1:7" x14ac:dyDescent="0.55000000000000004">
      <c r="F2205" s="52" t="s">
        <v>136</v>
      </c>
    </row>
    <row r="2206" spans="1:7" x14ac:dyDescent="0.55000000000000004">
      <c r="F2206" s="4" t="s">
        <v>1262</v>
      </c>
    </row>
    <row r="2207" spans="1:7" x14ac:dyDescent="0.55000000000000004">
      <c r="F2207" s="52" t="s">
        <v>136</v>
      </c>
    </row>
    <row r="2209" spans="1:7" x14ac:dyDescent="0.55000000000000004">
      <c r="A2209" s="54" t="s">
        <v>2413</v>
      </c>
      <c r="B2209" s="59" t="s">
        <v>2414</v>
      </c>
      <c r="C2209" s="52" t="s">
        <v>2251</v>
      </c>
      <c r="D2209" s="52">
        <v>45366</v>
      </c>
      <c r="E2209" s="52" t="s">
        <v>1508</v>
      </c>
      <c r="F2209" s="52" t="s">
        <v>2415</v>
      </c>
      <c r="G2209" s="131">
        <v>115</v>
      </c>
    </row>
    <row r="2210" spans="1:7" x14ac:dyDescent="0.55000000000000004">
      <c r="F2210" s="4" t="s">
        <v>1260</v>
      </c>
    </row>
    <row r="2211" spans="1:7" x14ac:dyDescent="0.55000000000000004">
      <c r="F2211" s="52" t="s">
        <v>136</v>
      </c>
    </row>
    <row r="2212" spans="1:7" x14ac:dyDescent="0.55000000000000004">
      <c r="F2212" s="4" t="s">
        <v>1262</v>
      </c>
    </row>
    <row r="2213" spans="1:7" x14ac:dyDescent="0.55000000000000004">
      <c r="F2213" s="52" t="s">
        <v>136</v>
      </c>
    </row>
    <row r="2215" spans="1:7" x14ac:dyDescent="0.55000000000000004">
      <c r="A2215" s="54" t="s">
        <v>2416</v>
      </c>
      <c r="B2215" s="59" t="s">
        <v>2417</v>
      </c>
      <c r="C2215" s="52" t="s">
        <v>2251</v>
      </c>
      <c r="D2215" s="52">
        <v>45366</v>
      </c>
      <c r="E2215" s="52" t="s">
        <v>1508</v>
      </c>
      <c r="F2215" s="52" t="s">
        <v>2418</v>
      </c>
      <c r="G2215" s="131">
        <v>116</v>
      </c>
    </row>
    <row r="2216" spans="1:7" x14ac:dyDescent="0.55000000000000004">
      <c r="F2216" s="4" t="s">
        <v>1260</v>
      </c>
    </row>
    <row r="2217" spans="1:7" x14ac:dyDescent="0.55000000000000004">
      <c r="F2217" s="52" t="s">
        <v>136</v>
      </c>
    </row>
    <row r="2218" spans="1:7" x14ac:dyDescent="0.55000000000000004">
      <c r="F2218" s="4" t="s">
        <v>1262</v>
      </c>
    </row>
    <row r="2219" spans="1:7" x14ac:dyDescent="0.55000000000000004">
      <c r="F2219" s="52" t="s">
        <v>136</v>
      </c>
    </row>
    <row r="2221" spans="1:7" x14ac:dyDescent="0.55000000000000004">
      <c r="A2221" s="54" t="s">
        <v>2419</v>
      </c>
      <c r="B2221" s="59" t="s">
        <v>2420</v>
      </c>
      <c r="C2221" s="52" t="s">
        <v>2251</v>
      </c>
      <c r="D2221" s="52">
        <v>45366</v>
      </c>
      <c r="E2221" s="52" t="s">
        <v>1508</v>
      </c>
      <c r="F2221" s="52" t="s">
        <v>2421</v>
      </c>
      <c r="G2221" s="131">
        <v>117</v>
      </c>
    </row>
    <row r="2222" spans="1:7" x14ac:dyDescent="0.55000000000000004">
      <c r="F2222" s="4" t="s">
        <v>1260</v>
      </c>
    </row>
    <row r="2223" spans="1:7" x14ac:dyDescent="0.55000000000000004">
      <c r="F2223" s="52" t="s">
        <v>2422</v>
      </c>
    </row>
    <row r="2224" spans="1:7" x14ac:dyDescent="0.55000000000000004">
      <c r="F2224" s="4" t="s">
        <v>1262</v>
      </c>
    </row>
    <row r="2225" spans="1:7" x14ac:dyDescent="0.55000000000000004">
      <c r="F2225" s="52" t="s">
        <v>2423</v>
      </c>
    </row>
    <row r="2227" spans="1:7" x14ac:dyDescent="0.55000000000000004">
      <c r="A2227" s="54" t="s">
        <v>2424</v>
      </c>
      <c r="B2227" s="59" t="s">
        <v>2425</v>
      </c>
      <c r="C2227" s="52" t="s">
        <v>2251</v>
      </c>
      <c r="D2227" s="52">
        <v>45366</v>
      </c>
      <c r="E2227" s="52" t="s">
        <v>1508</v>
      </c>
      <c r="F2227" s="52" t="s">
        <v>2426</v>
      </c>
      <c r="G2227" s="131">
        <v>117</v>
      </c>
    </row>
    <row r="2228" spans="1:7" x14ac:dyDescent="0.55000000000000004">
      <c r="F2228" s="4" t="s">
        <v>1260</v>
      </c>
    </row>
    <row r="2229" spans="1:7" x14ac:dyDescent="0.55000000000000004">
      <c r="F2229" s="52" t="s">
        <v>2427</v>
      </c>
    </row>
    <row r="2230" spans="1:7" x14ac:dyDescent="0.55000000000000004">
      <c r="F2230" s="4" t="s">
        <v>1262</v>
      </c>
    </row>
    <row r="2231" spans="1:7" x14ac:dyDescent="0.55000000000000004">
      <c r="F2231" s="52" t="s">
        <v>2423</v>
      </c>
    </row>
    <row r="2233" spans="1:7" x14ac:dyDescent="0.55000000000000004">
      <c r="A2233" s="54" t="s">
        <v>2428</v>
      </c>
      <c r="B2233" s="59" t="s">
        <v>2429</v>
      </c>
      <c r="C2233" s="52" t="s">
        <v>2251</v>
      </c>
      <c r="D2233" s="52">
        <v>45366</v>
      </c>
      <c r="E2233" s="52" t="s">
        <v>1508</v>
      </c>
      <c r="F2233" s="52" t="s">
        <v>2430</v>
      </c>
    </row>
    <row r="2234" spans="1:7" x14ac:dyDescent="0.55000000000000004">
      <c r="F2234" s="4" t="s">
        <v>1260</v>
      </c>
      <c r="G2234" s="131">
        <v>118</v>
      </c>
    </row>
    <row r="2235" spans="1:7" x14ac:dyDescent="0.55000000000000004">
      <c r="F2235" s="52" t="s">
        <v>136</v>
      </c>
    </row>
    <row r="2236" spans="1:7" x14ac:dyDescent="0.55000000000000004">
      <c r="F2236" s="4" t="s">
        <v>1262</v>
      </c>
    </row>
    <row r="2237" spans="1:7" x14ac:dyDescent="0.55000000000000004">
      <c r="F2237" s="52" t="s">
        <v>136</v>
      </c>
    </row>
    <row r="2239" spans="1:7" x14ac:dyDescent="0.55000000000000004">
      <c r="A2239" s="54" t="s">
        <v>2431</v>
      </c>
      <c r="B2239" s="59" t="s">
        <v>2432</v>
      </c>
      <c r="C2239" s="52" t="s">
        <v>2251</v>
      </c>
      <c r="D2239" s="52">
        <v>45366</v>
      </c>
      <c r="E2239" s="52" t="s">
        <v>1508</v>
      </c>
      <c r="F2239" s="52" t="s">
        <v>2433</v>
      </c>
      <c r="G2239" s="131">
        <v>119</v>
      </c>
    </row>
    <row r="2240" spans="1:7" x14ac:dyDescent="0.55000000000000004">
      <c r="F2240" s="4" t="s">
        <v>1260</v>
      </c>
    </row>
    <row r="2241" spans="1:7" x14ac:dyDescent="0.55000000000000004">
      <c r="F2241" s="52" t="s">
        <v>136</v>
      </c>
    </row>
    <row r="2242" spans="1:7" x14ac:dyDescent="0.55000000000000004">
      <c r="F2242" s="4" t="s">
        <v>1262</v>
      </c>
    </row>
    <row r="2243" spans="1:7" x14ac:dyDescent="0.55000000000000004">
      <c r="F2243" s="52" t="s">
        <v>136</v>
      </c>
    </row>
    <row r="2245" spans="1:7" x14ac:dyDescent="0.55000000000000004">
      <c r="A2245" s="54" t="s">
        <v>2434</v>
      </c>
      <c r="B2245" s="59" t="s">
        <v>2435</v>
      </c>
      <c r="C2245" s="52" t="s">
        <v>2251</v>
      </c>
      <c r="D2245" s="52">
        <v>45366</v>
      </c>
      <c r="E2245" s="52" t="s">
        <v>1508</v>
      </c>
      <c r="F2245" s="52" t="s">
        <v>2436</v>
      </c>
      <c r="G2245" s="131">
        <v>119</v>
      </c>
    </row>
    <row r="2246" spans="1:7" x14ac:dyDescent="0.55000000000000004">
      <c r="F2246" s="4" t="s">
        <v>1260</v>
      </c>
    </row>
    <row r="2247" spans="1:7" x14ac:dyDescent="0.55000000000000004">
      <c r="F2247" s="52" t="s">
        <v>136</v>
      </c>
    </row>
    <row r="2248" spans="1:7" x14ac:dyDescent="0.55000000000000004">
      <c r="F2248" s="4" t="s">
        <v>1262</v>
      </c>
    </row>
    <row r="2249" spans="1:7" x14ac:dyDescent="0.55000000000000004">
      <c r="F2249" s="52" t="s">
        <v>136</v>
      </c>
    </row>
    <row r="2251" spans="1:7" x14ac:dyDescent="0.55000000000000004">
      <c r="A2251" s="54" t="s">
        <v>2437</v>
      </c>
      <c r="B2251" s="59" t="s">
        <v>2438</v>
      </c>
      <c r="C2251" s="52" t="s">
        <v>2251</v>
      </c>
      <c r="D2251" s="52">
        <v>45366</v>
      </c>
      <c r="E2251" s="52" t="s">
        <v>1508</v>
      </c>
      <c r="F2251" s="52" t="s">
        <v>2439</v>
      </c>
      <c r="G2251" s="131">
        <v>119</v>
      </c>
    </row>
    <row r="2252" spans="1:7" x14ac:dyDescent="0.55000000000000004">
      <c r="F2252" s="4" t="s">
        <v>1260</v>
      </c>
    </row>
    <row r="2253" spans="1:7" x14ac:dyDescent="0.55000000000000004">
      <c r="F2253" s="52" t="s">
        <v>136</v>
      </c>
    </row>
    <row r="2254" spans="1:7" x14ac:dyDescent="0.55000000000000004">
      <c r="F2254" s="4" t="s">
        <v>1262</v>
      </c>
    </row>
    <row r="2255" spans="1:7" x14ac:dyDescent="0.55000000000000004">
      <c r="F2255" s="52" t="s">
        <v>136</v>
      </c>
    </row>
    <row r="2257" spans="1:7" x14ac:dyDescent="0.55000000000000004">
      <c r="A2257" s="54" t="s">
        <v>2440</v>
      </c>
      <c r="B2257" s="59" t="s">
        <v>2441</v>
      </c>
      <c r="C2257" s="52" t="s">
        <v>2251</v>
      </c>
      <c r="D2257" s="52">
        <v>45366</v>
      </c>
      <c r="E2257" s="52" t="s">
        <v>1508</v>
      </c>
      <c r="F2257" s="52" t="s">
        <v>2442</v>
      </c>
      <c r="G2257" s="131">
        <v>120</v>
      </c>
    </row>
    <row r="2258" spans="1:7" x14ac:dyDescent="0.55000000000000004">
      <c r="F2258" s="4" t="s">
        <v>1260</v>
      </c>
    </row>
    <row r="2259" spans="1:7" x14ac:dyDescent="0.55000000000000004">
      <c r="F2259" s="52" t="s">
        <v>136</v>
      </c>
    </row>
    <row r="2260" spans="1:7" x14ac:dyDescent="0.55000000000000004">
      <c r="F2260" s="4" t="s">
        <v>1262</v>
      </c>
    </row>
    <row r="2261" spans="1:7" x14ac:dyDescent="0.55000000000000004">
      <c r="F2261" s="52" t="s">
        <v>136</v>
      </c>
    </row>
    <row r="2263" spans="1:7" x14ac:dyDescent="0.55000000000000004">
      <c r="A2263" s="54" t="s">
        <v>2443</v>
      </c>
      <c r="B2263" s="59" t="s">
        <v>2444</v>
      </c>
      <c r="C2263" s="52" t="s">
        <v>2251</v>
      </c>
      <c r="D2263" s="52">
        <v>45366</v>
      </c>
      <c r="E2263" s="52" t="s">
        <v>1508</v>
      </c>
      <c r="F2263" s="52" t="s">
        <v>2445</v>
      </c>
      <c r="G2263" s="131">
        <v>120</v>
      </c>
    </row>
    <row r="2264" spans="1:7" x14ac:dyDescent="0.55000000000000004">
      <c r="F2264" s="4" t="s">
        <v>1260</v>
      </c>
    </row>
    <row r="2265" spans="1:7" x14ac:dyDescent="0.55000000000000004">
      <c r="F2265" s="52" t="s">
        <v>136</v>
      </c>
    </row>
    <row r="2266" spans="1:7" x14ac:dyDescent="0.55000000000000004">
      <c r="F2266" s="4" t="s">
        <v>1262</v>
      </c>
    </row>
    <row r="2267" spans="1:7" x14ac:dyDescent="0.55000000000000004">
      <c r="F2267" s="52" t="s">
        <v>136</v>
      </c>
    </row>
    <row r="2269" spans="1:7" x14ac:dyDescent="0.55000000000000004">
      <c r="A2269" s="54" t="s">
        <v>2446</v>
      </c>
      <c r="B2269" s="59" t="s">
        <v>2447</v>
      </c>
      <c r="C2269" s="52" t="s">
        <v>2251</v>
      </c>
      <c r="D2269" s="52">
        <v>45366</v>
      </c>
      <c r="E2269" s="52" t="s">
        <v>1508</v>
      </c>
      <c r="F2269" s="52" t="s">
        <v>2448</v>
      </c>
      <c r="G2269" s="131">
        <v>121</v>
      </c>
    </row>
    <row r="2270" spans="1:7" x14ac:dyDescent="0.55000000000000004">
      <c r="F2270" s="4" t="s">
        <v>1260</v>
      </c>
    </row>
    <row r="2271" spans="1:7" x14ac:dyDescent="0.55000000000000004">
      <c r="F2271" s="52" t="s">
        <v>2449</v>
      </c>
    </row>
    <row r="2272" spans="1:7" x14ac:dyDescent="0.55000000000000004">
      <c r="F2272" s="4" t="s">
        <v>1262</v>
      </c>
    </row>
    <row r="2273" spans="1:7" x14ac:dyDescent="0.55000000000000004">
      <c r="F2273" s="52" t="s">
        <v>2450</v>
      </c>
    </row>
    <row r="2275" spans="1:7" x14ac:dyDescent="0.55000000000000004">
      <c r="A2275" s="59" t="s">
        <v>2451</v>
      </c>
      <c r="B2275" s="59" t="s">
        <v>2452</v>
      </c>
      <c r="C2275" s="52" t="s">
        <v>2251</v>
      </c>
      <c r="D2275" s="52">
        <v>45366</v>
      </c>
      <c r="E2275" s="52" t="s">
        <v>1508</v>
      </c>
      <c r="F2275" s="52" t="s">
        <v>2453</v>
      </c>
      <c r="G2275" s="131">
        <v>122</v>
      </c>
    </row>
    <row r="2276" spans="1:7" x14ac:dyDescent="0.55000000000000004">
      <c r="F2276" s="4" t="s">
        <v>1260</v>
      </c>
    </row>
    <row r="2277" spans="1:7" x14ac:dyDescent="0.55000000000000004">
      <c r="F2277" s="52" t="s">
        <v>136</v>
      </c>
    </row>
    <row r="2278" spans="1:7" x14ac:dyDescent="0.55000000000000004">
      <c r="F2278" s="4" t="s">
        <v>1262</v>
      </c>
    </row>
    <row r="2279" spans="1:7" x14ac:dyDescent="0.55000000000000004">
      <c r="F2279" s="52" t="s">
        <v>2454</v>
      </c>
    </row>
    <row r="2281" spans="1:7" x14ac:dyDescent="0.55000000000000004">
      <c r="A2281" s="59" t="s">
        <v>2455</v>
      </c>
      <c r="B2281" s="59" t="s">
        <v>2456</v>
      </c>
      <c r="C2281" s="52" t="s">
        <v>2251</v>
      </c>
      <c r="D2281" s="52">
        <v>45366</v>
      </c>
      <c r="E2281" s="52" t="s">
        <v>1508</v>
      </c>
      <c r="F2281" s="52" t="s">
        <v>2457</v>
      </c>
      <c r="G2281" s="131">
        <v>122</v>
      </c>
    </row>
    <row r="2282" spans="1:7" x14ac:dyDescent="0.55000000000000004">
      <c r="F2282" s="4" t="s">
        <v>1260</v>
      </c>
    </row>
    <row r="2283" spans="1:7" x14ac:dyDescent="0.55000000000000004">
      <c r="F2283" s="52" t="s">
        <v>2458</v>
      </c>
    </row>
    <row r="2284" spans="1:7" x14ac:dyDescent="0.55000000000000004">
      <c r="F2284" s="4" t="s">
        <v>1262</v>
      </c>
    </row>
    <row r="2285" spans="1:7" x14ac:dyDescent="0.55000000000000004">
      <c r="F2285" s="52" t="s">
        <v>2454</v>
      </c>
    </row>
    <row r="2287" spans="1:7" x14ac:dyDescent="0.55000000000000004">
      <c r="A2287" s="54" t="s">
        <v>2459</v>
      </c>
      <c r="B2287" s="59" t="s">
        <v>2460</v>
      </c>
      <c r="C2287" s="52" t="s">
        <v>2251</v>
      </c>
      <c r="D2287" s="52">
        <v>45366</v>
      </c>
      <c r="E2287" s="52" t="s">
        <v>1508</v>
      </c>
      <c r="F2287" s="52" t="s">
        <v>2461</v>
      </c>
      <c r="G2287" s="131">
        <v>123</v>
      </c>
    </row>
    <row r="2288" spans="1:7" x14ac:dyDescent="0.55000000000000004">
      <c r="F2288" s="4" t="s">
        <v>1260</v>
      </c>
    </row>
    <row r="2289" spans="1:7" x14ac:dyDescent="0.55000000000000004">
      <c r="F2289" s="52" t="s">
        <v>2462</v>
      </c>
    </row>
    <row r="2290" spans="1:7" x14ac:dyDescent="0.55000000000000004">
      <c r="F2290" s="4" t="s">
        <v>1262</v>
      </c>
    </row>
    <row r="2291" spans="1:7" x14ac:dyDescent="0.55000000000000004">
      <c r="F2291" s="52" t="s">
        <v>2463</v>
      </c>
    </row>
    <row r="2293" spans="1:7" x14ac:dyDescent="0.55000000000000004">
      <c r="A2293" s="54" t="s">
        <v>2464</v>
      </c>
      <c r="B2293" s="59" t="s">
        <v>2465</v>
      </c>
      <c r="C2293" s="52" t="s">
        <v>2251</v>
      </c>
      <c r="D2293" s="52">
        <v>45366</v>
      </c>
      <c r="E2293" s="52" t="s">
        <v>1508</v>
      </c>
      <c r="F2293" s="52" t="s">
        <v>2466</v>
      </c>
      <c r="G2293" s="131">
        <v>123</v>
      </c>
    </row>
    <row r="2294" spans="1:7" x14ac:dyDescent="0.55000000000000004">
      <c r="F2294" s="4" t="s">
        <v>1260</v>
      </c>
    </row>
    <row r="2295" spans="1:7" x14ac:dyDescent="0.55000000000000004">
      <c r="F2295" s="52" t="s">
        <v>2462</v>
      </c>
    </row>
    <row r="2296" spans="1:7" x14ac:dyDescent="0.55000000000000004">
      <c r="F2296" s="4" t="s">
        <v>1262</v>
      </c>
    </row>
    <row r="2297" spans="1:7" x14ac:dyDescent="0.55000000000000004">
      <c r="F2297" s="52" t="s">
        <v>2463</v>
      </c>
    </row>
    <row r="2299" spans="1:7" x14ac:dyDescent="0.55000000000000004">
      <c r="A2299" s="54" t="s">
        <v>2467</v>
      </c>
      <c r="B2299" s="59" t="s">
        <v>2468</v>
      </c>
      <c r="C2299" s="52" t="s">
        <v>2251</v>
      </c>
      <c r="D2299" s="52">
        <v>45366</v>
      </c>
      <c r="E2299" s="52" t="s">
        <v>1508</v>
      </c>
      <c r="F2299" s="52" t="s">
        <v>2469</v>
      </c>
      <c r="G2299" s="131">
        <v>124</v>
      </c>
    </row>
    <row r="2300" spans="1:7" x14ac:dyDescent="0.55000000000000004">
      <c r="F2300" s="4" t="s">
        <v>1260</v>
      </c>
    </row>
    <row r="2301" spans="1:7" x14ac:dyDescent="0.55000000000000004">
      <c r="F2301" s="52" t="s">
        <v>2462</v>
      </c>
    </row>
    <row r="2302" spans="1:7" x14ac:dyDescent="0.55000000000000004">
      <c r="F2302" s="4" t="s">
        <v>1262</v>
      </c>
    </row>
    <row r="2303" spans="1:7" x14ac:dyDescent="0.55000000000000004">
      <c r="F2303" s="52" t="s">
        <v>2470</v>
      </c>
    </row>
    <row r="2305" spans="1:7" x14ac:dyDescent="0.55000000000000004">
      <c r="A2305" s="54" t="s">
        <v>2471</v>
      </c>
      <c r="B2305" s="59" t="s">
        <v>2472</v>
      </c>
      <c r="C2305" s="52" t="s">
        <v>2251</v>
      </c>
      <c r="D2305" s="52">
        <v>45366</v>
      </c>
      <c r="E2305" s="52" t="s">
        <v>1508</v>
      </c>
      <c r="F2305" s="52" t="s">
        <v>2473</v>
      </c>
      <c r="G2305" s="131">
        <v>124</v>
      </c>
    </row>
    <row r="2306" spans="1:7" x14ac:dyDescent="0.55000000000000004">
      <c r="F2306" s="4" t="s">
        <v>1260</v>
      </c>
    </row>
    <row r="2307" spans="1:7" x14ac:dyDescent="0.55000000000000004">
      <c r="F2307" s="52" t="s">
        <v>2462</v>
      </c>
    </row>
    <row r="2308" spans="1:7" x14ac:dyDescent="0.55000000000000004">
      <c r="F2308" s="4" t="s">
        <v>1262</v>
      </c>
    </row>
    <row r="2309" spans="1:7" x14ac:dyDescent="0.55000000000000004">
      <c r="F2309" s="52" t="s">
        <v>2470</v>
      </c>
    </row>
    <row r="2311" spans="1:7" x14ac:dyDescent="0.55000000000000004">
      <c r="A2311" s="54" t="s">
        <v>2474</v>
      </c>
      <c r="B2311" s="59" t="s">
        <v>2475</v>
      </c>
      <c r="C2311" s="52" t="s">
        <v>2251</v>
      </c>
      <c r="D2311" s="52">
        <v>45366</v>
      </c>
      <c r="E2311" s="52" t="s">
        <v>1508</v>
      </c>
      <c r="F2311" s="52" t="s">
        <v>2476</v>
      </c>
      <c r="G2311" s="131">
        <v>124</v>
      </c>
    </row>
    <row r="2312" spans="1:7" x14ac:dyDescent="0.55000000000000004">
      <c r="F2312" s="4" t="s">
        <v>1260</v>
      </c>
    </row>
    <row r="2313" spans="1:7" x14ac:dyDescent="0.55000000000000004">
      <c r="F2313" s="52" t="s">
        <v>2462</v>
      </c>
    </row>
    <row r="2314" spans="1:7" x14ac:dyDescent="0.55000000000000004">
      <c r="F2314" s="4" t="s">
        <v>1262</v>
      </c>
    </row>
    <row r="2315" spans="1:7" x14ac:dyDescent="0.55000000000000004">
      <c r="F2315" s="52" t="s">
        <v>2470</v>
      </c>
    </row>
    <row r="2317" spans="1:7" x14ac:dyDescent="0.55000000000000004">
      <c r="A2317" s="54" t="s">
        <v>2477</v>
      </c>
      <c r="B2317" s="59" t="s">
        <v>2478</v>
      </c>
      <c r="C2317" s="52" t="s">
        <v>2251</v>
      </c>
      <c r="D2317" s="52">
        <v>45366</v>
      </c>
      <c r="E2317" s="52" t="s">
        <v>1508</v>
      </c>
      <c r="F2317" s="52" t="s">
        <v>2479</v>
      </c>
      <c r="G2317" s="131">
        <v>124</v>
      </c>
    </row>
    <row r="2318" spans="1:7" x14ac:dyDescent="0.55000000000000004">
      <c r="F2318" s="4" t="s">
        <v>1260</v>
      </c>
    </row>
    <row r="2319" spans="1:7" x14ac:dyDescent="0.55000000000000004">
      <c r="F2319" s="52" t="s">
        <v>2462</v>
      </c>
    </row>
    <row r="2320" spans="1:7" x14ac:dyDescent="0.55000000000000004">
      <c r="F2320" s="4" t="s">
        <v>1262</v>
      </c>
    </row>
    <row r="2321" spans="1:7" x14ac:dyDescent="0.55000000000000004">
      <c r="F2321" s="52" t="s">
        <v>2480</v>
      </c>
    </row>
    <row r="2323" spans="1:7" x14ac:dyDescent="0.55000000000000004">
      <c r="A2323" s="54" t="s">
        <v>2481</v>
      </c>
      <c r="B2323" s="59" t="s">
        <v>2482</v>
      </c>
      <c r="C2323" s="52" t="s">
        <v>2483</v>
      </c>
      <c r="D2323" s="52">
        <v>45181</v>
      </c>
      <c r="E2323" s="52" t="s">
        <v>2484</v>
      </c>
      <c r="F2323" s="52" t="s">
        <v>2485</v>
      </c>
      <c r="G2323" s="131">
        <v>125</v>
      </c>
    </row>
    <row r="2324" spans="1:7" x14ac:dyDescent="0.55000000000000004">
      <c r="F2324" s="4" t="s">
        <v>1260</v>
      </c>
    </row>
    <row r="2325" spans="1:7" x14ac:dyDescent="0.55000000000000004">
      <c r="F2325" s="52" t="s">
        <v>136</v>
      </c>
    </row>
    <row r="2326" spans="1:7" x14ac:dyDescent="0.55000000000000004">
      <c r="F2326" s="4" t="s">
        <v>1262</v>
      </c>
    </row>
    <row r="2327" spans="1:7" x14ac:dyDescent="0.55000000000000004">
      <c r="F2327" s="52" t="s">
        <v>2486</v>
      </c>
    </row>
    <row r="2329" spans="1:7" x14ac:dyDescent="0.55000000000000004">
      <c r="A2329" s="54" t="s">
        <v>2487</v>
      </c>
      <c r="B2329" s="59" t="s">
        <v>2488</v>
      </c>
      <c r="C2329" s="52" t="s">
        <v>2483</v>
      </c>
      <c r="D2329" s="52">
        <v>45182</v>
      </c>
      <c r="E2329" s="52" t="s">
        <v>2484</v>
      </c>
      <c r="F2329" s="52" t="s">
        <v>2485</v>
      </c>
      <c r="G2329" s="131">
        <v>126</v>
      </c>
    </row>
    <row r="2330" spans="1:7" x14ac:dyDescent="0.55000000000000004">
      <c r="F2330" s="4" t="s">
        <v>1260</v>
      </c>
    </row>
    <row r="2331" spans="1:7" x14ac:dyDescent="0.55000000000000004">
      <c r="F2331" s="52" t="s">
        <v>136</v>
      </c>
    </row>
    <row r="2332" spans="1:7" x14ac:dyDescent="0.55000000000000004">
      <c r="F2332" s="4" t="s">
        <v>1262</v>
      </c>
    </row>
    <row r="2333" spans="1:7" x14ac:dyDescent="0.55000000000000004">
      <c r="F2333" s="52" t="s">
        <v>2489</v>
      </c>
    </row>
    <row r="2335" spans="1:7" x14ac:dyDescent="0.55000000000000004">
      <c r="A2335" s="54" t="s">
        <v>2490</v>
      </c>
      <c r="B2335" s="59" t="s">
        <v>2491</v>
      </c>
      <c r="C2335" s="52" t="s">
        <v>2483</v>
      </c>
      <c r="D2335" s="52">
        <v>45181</v>
      </c>
      <c r="E2335" s="52" t="s">
        <v>2484</v>
      </c>
      <c r="F2335" s="52" t="s">
        <v>2492</v>
      </c>
      <c r="G2335" s="131">
        <v>127</v>
      </c>
    </row>
    <row r="2336" spans="1:7" x14ac:dyDescent="0.55000000000000004">
      <c r="F2336" s="4" t="s">
        <v>1260</v>
      </c>
    </row>
    <row r="2337" spans="1:7" x14ac:dyDescent="0.55000000000000004">
      <c r="F2337" s="52" t="s">
        <v>136</v>
      </c>
    </row>
    <row r="2338" spans="1:7" x14ac:dyDescent="0.55000000000000004">
      <c r="F2338" s="4" t="s">
        <v>1262</v>
      </c>
    </row>
    <row r="2339" spans="1:7" x14ac:dyDescent="0.55000000000000004">
      <c r="F2339" s="52" t="s">
        <v>2486</v>
      </c>
    </row>
    <row r="2341" spans="1:7" x14ac:dyDescent="0.55000000000000004">
      <c r="A2341" s="54" t="s">
        <v>2493</v>
      </c>
      <c r="B2341" s="59" t="s">
        <v>2494</v>
      </c>
      <c r="C2341" s="52" t="s">
        <v>2483</v>
      </c>
      <c r="D2341" s="52">
        <v>45182</v>
      </c>
      <c r="E2341" s="52" t="s">
        <v>2484</v>
      </c>
      <c r="F2341" s="52" t="s">
        <v>2492</v>
      </c>
      <c r="G2341" s="131">
        <v>128</v>
      </c>
    </row>
    <row r="2342" spans="1:7" x14ac:dyDescent="0.55000000000000004">
      <c r="F2342" s="4" t="s">
        <v>1260</v>
      </c>
    </row>
    <row r="2343" spans="1:7" x14ac:dyDescent="0.55000000000000004">
      <c r="F2343" s="52" t="s">
        <v>2495</v>
      </c>
    </row>
    <row r="2344" spans="1:7" x14ac:dyDescent="0.55000000000000004">
      <c r="F2344" s="4" t="s">
        <v>1262</v>
      </c>
    </row>
    <row r="2345" spans="1:7" x14ac:dyDescent="0.55000000000000004">
      <c r="F2345" s="52" t="s">
        <v>2496</v>
      </c>
    </row>
    <row r="2347" spans="1:7" x14ac:dyDescent="0.55000000000000004">
      <c r="A2347" s="54" t="s">
        <v>2497</v>
      </c>
      <c r="B2347" s="59" t="s">
        <v>2498</v>
      </c>
      <c r="C2347" s="52" t="s">
        <v>2483</v>
      </c>
      <c r="D2347" s="52">
        <v>45182</v>
      </c>
      <c r="E2347" s="52" t="s">
        <v>2484</v>
      </c>
      <c r="F2347" s="52" t="s">
        <v>2499</v>
      </c>
      <c r="G2347" s="131">
        <v>129</v>
      </c>
    </row>
    <row r="2348" spans="1:7" x14ac:dyDescent="0.55000000000000004">
      <c r="F2348" s="4" t="s">
        <v>1260</v>
      </c>
    </row>
    <row r="2349" spans="1:7" x14ac:dyDescent="0.55000000000000004">
      <c r="F2349" s="52" t="s">
        <v>2500</v>
      </c>
    </row>
    <row r="2350" spans="1:7" x14ac:dyDescent="0.55000000000000004">
      <c r="F2350" s="4" t="s">
        <v>1262</v>
      </c>
    </row>
    <row r="2351" spans="1:7" x14ac:dyDescent="0.55000000000000004">
      <c r="F2351" s="52" t="s">
        <v>2501</v>
      </c>
    </row>
    <row r="2353" spans="1:7" x14ac:dyDescent="0.55000000000000004">
      <c r="A2353" s="54" t="s">
        <v>2502</v>
      </c>
      <c r="B2353" s="59" t="s">
        <v>2503</v>
      </c>
      <c r="C2353" s="52" t="s">
        <v>2483</v>
      </c>
      <c r="D2353" s="52">
        <v>45218</v>
      </c>
      <c r="E2353" s="52" t="s">
        <v>2484</v>
      </c>
      <c r="F2353" s="52" t="s">
        <v>2499</v>
      </c>
      <c r="G2353" s="131">
        <v>130</v>
      </c>
    </row>
    <row r="2354" spans="1:7" x14ac:dyDescent="0.55000000000000004">
      <c r="F2354" s="4" t="s">
        <v>1260</v>
      </c>
    </row>
    <row r="2355" spans="1:7" x14ac:dyDescent="0.55000000000000004">
      <c r="F2355" s="52" t="s">
        <v>136</v>
      </c>
    </row>
    <row r="2356" spans="1:7" x14ac:dyDescent="0.55000000000000004">
      <c r="F2356" s="4" t="s">
        <v>1262</v>
      </c>
    </row>
    <row r="2357" spans="1:7" x14ac:dyDescent="0.55000000000000004">
      <c r="F2357" s="52" t="s">
        <v>2504</v>
      </c>
    </row>
    <row r="2359" spans="1:7" x14ac:dyDescent="0.55000000000000004">
      <c r="A2359" s="54" t="s">
        <v>2505</v>
      </c>
      <c r="B2359" s="59" t="s">
        <v>2506</v>
      </c>
      <c r="C2359" s="52" t="s">
        <v>2483</v>
      </c>
      <c r="D2359" s="52">
        <v>45219</v>
      </c>
      <c r="E2359" s="52" t="s">
        <v>2484</v>
      </c>
      <c r="F2359" s="52" t="s">
        <v>2499</v>
      </c>
      <c r="G2359" s="131" t="s">
        <v>2507</v>
      </c>
    </row>
    <row r="2360" spans="1:7" x14ac:dyDescent="0.55000000000000004">
      <c r="F2360" s="4" t="s">
        <v>1260</v>
      </c>
    </row>
    <row r="2361" spans="1:7" x14ac:dyDescent="0.55000000000000004">
      <c r="F2361" s="52" t="s">
        <v>136</v>
      </c>
    </row>
    <row r="2362" spans="1:7" x14ac:dyDescent="0.55000000000000004">
      <c r="F2362" s="4" t="s">
        <v>1262</v>
      </c>
    </row>
    <row r="2363" spans="1:7" x14ac:dyDescent="0.55000000000000004">
      <c r="F2363" s="52" t="s">
        <v>2508</v>
      </c>
    </row>
    <row r="2365" spans="1:7" x14ac:dyDescent="0.55000000000000004">
      <c r="A2365" s="54" t="s">
        <v>2509</v>
      </c>
      <c r="B2365" s="59" t="s">
        <v>2510</v>
      </c>
      <c r="C2365" s="52" t="s">
        <v>2483</v>
      </c>
      <c r="D2365" s="52">
        <v>45406</v>
      </c>
      <c r="E2365" s="52" t="s">
        <v>2484</v>
      </c>
      <c r="F2365" s="52" t="s">
        <v>2499</v>
      </c>
      <c r="G2365" s="131">
        <v>135</v>
      </c>
    </row>
    <row r="2366" spans="1:7" x14ac:dyDescent="0.55000000000000004">
      <c r="F2366" s="4" t="s">
        <v>1260</v>
      </c>
    </row>
    <row r="2367" spans="1:7" x14ac:dyDescent="0.55000000000000004">
      <c r="F2367" s="52" t="s">
        <v>136</v>
      </c>
    </row>
    <row r="2368" spans="1:7" x14ac:dyDescent="0.55000000000000004">
      <c r="F2368" s="4" t="s">
        <v>1262</v>
      </c>
    </row>
    <row r="2369" spans="1:7" x14ac:dyDescent="0.55000000000000004">
      <c r="F2369" s="52" t="s">
        <v>136</v>
      </c>
    </row>
    <row r="2371" spans="1:7" x14ac:dyDescent="0.55000000000000004">
      <c r="A2371" s="54" t="s">
        <v>2511</v>
      </c>
      <c r="B2371" s="59" t="s">
        <v>2512</v>
      </c>
      <c r="C2371" t="s">
        <v>2483</v>
      </c>
      <c r="D2371" s="52">
        <v>45412</v>
      </c>
      <c r="E2371" t="s">
        <v>2484</v>
      </c>
      <c r="F2371" t="s">
        <v>2513</v>
      </c>
      <c r="G2371" s="131">
        <v>135</v>
      </c>
    </row>
    <row r="2372" spans="1:7" x14ac:dyDescent="0.55000000000000004">
      <c r="D2372" s="52"/>
      <c r="F2372" t="s">
        <v>1260</v>
      </c>
    </row>
    <row r="2373" spans="1:7" x14ac:dyDescent="0.55000000000000004">
      <c r="D2373" s="52"/>
      <c r="F2373" t="s">
        <v>136</v>
      </c>
    </row>
    <row r="2374" spans="1:7" x14ac:dyDescent="0.55000000000000004">
      <c r="D2374" s="52"/>
      <c r="F2374" t="s">
        <v>1262</v>
      </c>
    </row>
    <row r="2375" spans="1:7" x14ac:dyDescent="0.55000000000000004">
      <c r="D2375" s="52"/>
      <c r="F2375" t="s">
        <v>136</v>
      </c>
    </row>
    <row r="2376" spans="1:7" x14ac:dyDescent="0.55000000000000004">
      <c r="D2376" s="52"/>
    </row>
    <row r="2377" spans="1:7" x14ac:dyDescent="0.55000000000000004">
      <c r="A2377" s="54" t="s">
        <v>2514</v>
      </c>
      <c r="B2377" s="54" t="s">
        <v>2515</v>
      </c>
      <c r="C2377" t="s">
        <v>2483</v>
      </c>
      <c r="D2377" s="52">
        <v>45412</v>
      </c>
      <c r="E2377" t="s">
        <v>2484</v>
      </c>
      <c r="F2377" t="s">
        <v>2516</v>
      </c>
      <c r="G2377" s="131">
        <v>135</v>
      </c>
    </row>
    <row r="2378" spans="1:7" x14ac:dyDescent="0.55000000000000004">
      <c r="D2378" s="52"/>
      <c r="F2378" t="s">
        <v>1260</v>
      </c>
    </row>
    <row r="2379" spans="1:7" x14ac:dyDescent="0.55000000000000004">
      <c r="D2379" s="52"/>
      <c r="F2379" t="s">
        <v>136</v>
      </c>
    </row>
    <row r="2380" spans="1:7" x14ac:dyDescent="0.55000000000000004">
      <c r="D2380" s="52"/>
      <c r="F2380" t="s">
        <v>1262</v>
      </c>
    </row>
    <row r="2381" spans="1:7" x14ac:dyDescent="0.55000000000000004">
      <c r="D2381" s="52"/>
      <c r="F2381" t="s">
        <v>136</v>
      </c>
    </row>
    <row r="2382" spans="1:7" x14ac:dyDescent="0.55000000000000004">
      <c r="D2382" s="52"/>
    </row>
    <row r="2383" spans="1:7" x14ac:dyDescent="0.55000000000000004">
      <c r="A2383" s="54" t="s">
        <v>2517</v>
      </c>
      <c r="B2383" s="54" t="s">
        <v>2518</v>
      </c>
      <c r="C2383" t="s">
        <v>2483</v>
      </c>
      <c r="D2383" s="52">
        <v>45412</v>
      </c>
      <c r="E2383" t="s">
        <v>2484</v>
      </c>
      <c r="F2383" t="s">
        <v>2519</v>
      </c>
      <c r="G2383" s="131">
        <v>135</v>
      </c>
    </row>
    <row r="2384" spans="1:7" x14ac:dyDescent="0.55000000000000004">
      <c r="D2384" s="52"/>
      <c r="F2384" t="s">
        <v>1260</v>
      </c>
    </row>
    <row r="2385" spans="1:7" x14ac:dyDescent="0.55000000000000004">
      <c r="D2385" s="52"/>
      <c r="F2385" t="s">
        <v>136</v>
      </c>
    </row>
    <row r="2386" spans="1:7" x14ac:dyDescent="0.55000000000000004">
      <c r="D2386" s="52"/>
      <c r="F2386" t="s">
        <v>1262</v>
      </c>
    </row>
    <row r="2387" spans="1:7" x14ac:dyDescent="0.55000000000000004">
      <c r="D2387" s="52"/>
      <c r="F2387" t="s">
        <v>136</v>
      </c>
    </row>
    <row r="2388" spans="1:7" x14ac:dyDescent="0.55000000000000004">
      <c r="D2388" s="52"/>
    </row>
    <row r="2389" spans="1:7" x14ac:dyDescent="0.55000000000000004">
      <c r="A2389" s="54" t="s">
        <v>2520</v>
      </c>
      <c r="B2389" s="54" t="s">
        <v>2521</v>
      </c>
      <c r="C2389" t="s">
        <v>2483</v>
      </c>
      <c r="D2389" s="52">
        <v>45412</v>
      </c>
      <c r="E2389" t="s">
        <v>2484</v>
      </c>
      <c r="F2389" t="s">
        <v>2519</v>
      </c>
      <c r="G2389" s="131">
        <v>135</v>
      </c>
    </row>
    <row r="2390" spans="1:7" x14ac:dyDescent="0.55000000000000004">
      <c r="D2390" s="52"/>
      <c r="F2390" t="s">
        <v>1260</v>
      </c>
    </row>
    <row r="2391" spans="1:7" x14ac:dyDescent="0.55000000000000004">
      <c r="D2391" s="52"/>
      <c r="F2391" t="s">
        <v>136</v>
      </c>
    </row>
    <row r="2392" spans="1:7" x14ac:dyDescent="0.55000000000000004">
      <c r="D2392" s="52"/>
      <c r="F2392" t="s">
        <v>1262</v>
      </c>
    </row>
    <row r="2393" spans="1:7" x14ac:dyDescent="0.55000000000000004">
      <c r="D2393" s="52"/>
      <c r="F2393" t="s">
        <v>136</v>
      </c>
    </row>
    <row r="2394" spans="1:7" x14ac:dyDescent="0.55000000000000004">
      <c r="D2394" s="52"/>
    </row>
    <row r="2395" spans="1:7" x14ac:dyDescent="0.55000000000000004">
      <c r="A2395" s="54" t="s">
        <v>2522</v>
      </c>
      <c r="B2395" s="54" t="s">
        <v>2523</v>
      </c>
      <c r="C2395" t="s">
        <v>2483</v>
      </c>
      <c r="D2395" s="52">
        <v>45412</v>
      </c>
      <c r="E2395" t="s">
        <v>2484</v>
      </c>
      <c r="F2395" t="s">
        <v>2513</v>
      </c>
      <c r="G2395" s="131">
        <v>135</v>
      </c>
    </row>
    <row r="2396" spans="1:7" x14ac:dyDescent="0.55000000000000004">
      <c r="D2396" s="52"/>
      <c r="F2396" t="s">
        <v>1260</v>
      </c>
    </row>
    <row r="2397" spans="1:7" x14ac:dyDescent="0.55000000000000004">
      <c r="D2397" s="52"/>
      <c r="F2397" t="s">
        <v>136</v>
      </c>
    </row>
    <row r="2398" spans="1:7" x14ac:dyDescent="0.55000000000000004">
      <c r="D2398" s="52"/>
      <c r="F2398" t="s">
        <v>1262</v>
      </c>
    </row>
    <row r="2399" spans="1:7" x14ac:dyDescent="0.55000000000000004">
      <c r="D2399" s="52"/>
      <c r="F2399" t="s">
        <v>136</v>
      </c>
    </row>
    <row r="2400" spans="1:7" x14ac:dyDescent="0.55000000000000004">
      <c r="D2400" s="52"/>
    </row>
    <row r="2401" spans="1:7" x14ac:dyDescent="0.55000000000000004">
      <c r="A2401" s="54" t="s">
        <v>2524</v>
      </c>
      <c r="B2401" s="54" t="s">
        <v>2525</v>
      </c>
      <c r="C2401" t="s">
        <v>2483</v>
      </c>
      <c r="D2401" s="52">
        <v>45412</v>
      </c>
      <c r="E2401" t="s">
        <v>2484</v>
      </c>
      <c r="F2401" t="s">
        <v>2513</v>
      </c>
      <c r="G2401" s="131">
        <v>135</v>
      </c>
    </row>
    <row r="2402" spans="1:7" x14ac:dyDescent="0.55000000000000004">
      <c r="F2402" t="s">
        <v>1260</v>
      </c>
    </row>
    <row r="2403" spans="1:7" x14ac:dyDescent="0.55000000000000004">
      <c r="F2403" t="s">
        <v>136</v>
      </c>
    </row>
    <row r="2404" spans="1:7" x14ac:dyDescent="0.55000000000000004">
      <c r="F2404" t="s">
        <v>1262</v>
      </c>
    </row>
    <row r="2405" spans="1:7" x14ac:dyDescent="0.55000000000000004">
      <c r="F2405" t="s">
        <v>136</v>
      </c>
    </row>
    <row r="2407" spans="1:7" x14ac:dyDescent="0.55000000000000004">
      <c r="A2407" s="54" t="s">
        <v>2526</v>
      </c>
      <c r="B2407" s="59" t="s">
        <v>2527</v>
      </c>
      <c r="C2407" s="52" t="s">
        <v>2251</v>
      </c>
      <c r="D2407" s="52">
        <v>45375</v>
      </c>
      <c r="E2407" s="52" t="s">
        <v>1508</v>
      </c>
      <c r="F2407" s="52"/>
      <c r="G2407" s="131">
        <v>136</v>
      </c>
    </row>
    <row r="2408" spans="1:7" x14ac:dyDescent="0.55000000000000004">
      <c r="F2408" s="4" t="s">
        <v>1260</v>
      </c>
    </row>
    <row r="2409" spans="1:7" x14ac:dyDescent="0.55000000000000004">
      <c r="F2409" s="52" t="s">
        <v>2528</v>
      </c>
    </row>
    <row r="2410" spans="1:7" x14ac:dyDescent="0.55000000000000004">
      <c r="F2410" s="4" t="s">
        <v>1262</v>
      </c>
    </row>
    <row r="2411" spans="1:7" x14ac:dyDescent="0.55000000000000004">
      <c r="F2411" s="52" t="s">
        <v>136</v>
      </c>
    </row>
    <row r="2413" spans="1:7" x14ac:dyDescent="0.55000000000000004">
      <c r="A2413" s="54" t="s">
        <v>2529</v>
      </c>
      <c r="B2413" s="59" t="s">
        <v>2530</v>
      </c>
      <c r="C2413" s="52" t="s">
        <v>2251</v>
      </c>
      <c r="D2413" s="52">
        <v>45375</v>
      </c>
      <c r="E2413" s="52" t="s">
        <v>1508</v>
      </c>
      <c r="F2413" s="52"/>
      <c r="G2413" s="131">
        <v>136</v>
      </c>
    </row>
    <row r="2414" spans="1:7" x14ac:dyDescent="0.55000000000000004">
      <c r="F2414" s="4" t="s">
        <v>1260</v>
      </c>
    </row>
    <row r="2415" spans="1:7" x14ac:dyDescent="0.55000000000000004">
      <c r="F2415" s="52" t="s">
        <v>2531</v>
      </c>
    </row>
    <row r="2416" spans="1:7" x14ac:dyDescent="0.55000000000000004">
      <c r="F2416" s="4" t="s">
        <v>1262</v>
      </c>
    </row>
    <row r="2417" spans="1:7" x14ac:dyDescent="0.55000000000000004">
      <c r="F2417" s="52" t="s">
        <v>136</v>
      </c>
    </row>
    <row r="2419" spans="1:7" x14ac:dyDescent="0.55000000000000004">
      <c r="A2419" s="54" t="s">
        <v>2532</v>
      </c>
      <c r="B2419" s="59" t="s">
        <v>2533</v>
      </c>
      <c r="C2419" s="52" t="s">
        <v>2251</v>
      </c>
      <c r="D2419" s="52">
        <v>45375</v>
      </c>
      <c r="E2419" s="52" t="s">
        <v>1508</v>
      </c>
      <c r="F2419" s="52" t="s">
        <v>2534</v>
      </c>
      <c r="G2419" s="131">
        <v>105</v>
      </c>
    </row>
    <row r="2420" spans="1:7" x14ac:dyDescent="0.55000000000000004">
      <c r="F2420" s="4" t="s">
        <v>1260</v>
      </c>
    </row>
    <row r="2421" spans="1:7" x14ac:dyDescent="0.55000000000000004">
      <c r="F2421" s="52" t="s">
        <v>136</v>
      </c>
    </row>
    <row r="2422" spans="1:7" x14ac:dyDescent="0.55000000000000004">
      <c r="F2422" s="4" t="s">
        <v>1262</v>
      </c>
    </row>
    <row r="2423" spans="1:7" x14ac:dyDescent="0.55000000000000004">
      <c r="F2423" s="52" t="s">
        <v>136</v>
      </c>
    </row>
    <row r="2425" spans="1:7" x14ac:dyDescent="0.55000000000000004">
      <c r="A2425" s="54" t="s">
        <v>2535</v>
      </c>
      <c r="B2425" s="59" t="s">
        <v>2536</v>
      </c>
      <c r="C2425" s="52" t="s">
        <v>2251</v>
      </c>
      <c r="D2425" s="52">
        <v>45375</v>
      </c>
      <c r="E2425" s="52" t="s">
        <v>1508</v>
      </c>
      <c r="F2425" s="52" t="s">
        <v>2537</v>
      </c>
      <c r="G2425" s="131">
        <v>105</v>
      </c>
    </row>
    <row r="2426" spans="1:7" x14ac:dyDescent="0.55000000000000004">
      <c r="F2426" s="4" t="s">
        <v>1260</v>
      </c>
    </row>
    <row r="2427" spans="1:7" x14ac:dyDescent="0.55000000000000004">
      <c r="F2427" s="52" t="s">
        <v>136</v>
      </c>
    </row>
    <row r="2428" spans="1:7" x14ac:dyDescent="0.55000000000000004">
      <c r="F2428" s="4" t="s">
        <v>1262</v>
      </c>
    </row>
    <row r="2429" spans="1:7" x14ac:dyDescent="0.55000000000000004">
      <c r="F2429" s="52" t="s">
        <v>136</v>
      </c>
    </row>
    <row r="2431" spans="1:7" x14ac:dyDescent="0.55000000000000004">
      <c r="A2431" s="54" t="s">
        <v>2538</v>
      </c>
      <c r="B2431" s="59" t="s">
        <v>2539</v>
      </c>
      <c r="C2431" s="52" t="s">
        <v>2251</v>
      </c>
      <c r="D2431" s="52">
        <v>45375</v>
      </c>
      <c r="E2431" s="52" t="s">
        <v>1508</v>
      </c>
      <c r="F2431" s="52" t="s">
        <v>2540</v>
      </c>
      <c r="G2431" s="131">
        <v>137</v>
      </c>
    </row>
    <row r="2432" spans="1:7" x14ac:dyDescent="0.55000000000000004">
      <c r="F2432" s="4" t="s">
        <v>1260</v>
      </c>
    </row>
    <row r="2433" spans="1:7" x14ac:dyDescent="0.55000000000000004">
      <c r="F2433" s="52" t="s">
        <v>136</v>
      </c>
    </row>
    <row r="2434" spans="1:7" x14ac:dyDescent="0.55000000000000004">
      <c r="F2434" s="4" t="s">
        <v>1262</v>
      </c>
    </row>
    <row r="2435" spans="1:7" x14ac:dyDescent="0.55000000000000004">
      <c r="F2435" s="52" t="s">
        <v>2541</v>
      </c>
    </row>
    <row r="2437" spans="1:7" x14ac:dyDescent="0.55000000000000004">
      <c r="A2437" s="54" t="s">
        <v>2542</v>
      </c>
      <c r="B2437" s="59" t="s">
        <v>2543</v>
      </c>
      <c r="C2437" s="52" t="s">
        <v>2251</v>
      </c>
      <c r="D2437" s="52">
        <v>45375</v>
      </c>
      <c r="E2437" s="52" t="s">
        <v>1508</v>
      </c>
      <c r="F2437" s="52" t="s">
        <v>2540</v>
      </c>
      <c r="G2437" s="131">
        <v>137</v>
      </c>
    </row>
    <row r="2438" spans="1:7" x14ac:dyDescent="0.55000000000000004">
      <c r="F2438" s="4" t="s">
        <v>1260</v>
      </c>
    </row>
    <row r="2439" spans="1:7" x14ac:dyDescent="0.55000000000000004">
      <c r="F2439" s="52" t="s">
        <v>2544</v>
      </c>
    </row>
    <row r="2440" spans="1:7" x14ac:dyDescent="0.55000000000000004">
      <c r="F2440" s="4" t="s">
        <v>1262</v>
      </c>
    </row>
    <row r="2441" spans="1:7" x14ac:dyDescent="0.55000000000000004">
      <c r="F2441" s="52" t="s">
        <v>2545</v>
      </c>
    </row>
    <row r="2443" spans="1:7" x14ac:dyDescent="0.55000000000000004">
      <c r="A2443" s="54" t="s">
        <v>2546</v>
      </c>
      <c r="B2443" s="59" t="s">
        <v>2547</v>
      </c>
      <c r="C2443" s="52" t="s">
        <v>2251</v>
      </c>
      <c r="D2443" s="52">
        <v>45375</v>
      </c>
      <c r="E2443" s="52" t="s">
        <v>1508</v>
      </c>
      <c r="F2443" s="52" t="s">
        <v>2548</v>
      </c>
      <c r="G2443" s="131">
        <v>137</v>
      </c>
    </row>
    <row r="2444" spans="1:7" x14ac:dyDescent="0.55000000000000004">
      <c r="F2444" s="4" t="s">
        <v>1260</v>
      </c>
    </row>
    <row r="2445" spans="1:7" x14ac:dyDescent="0.55000000000000004">
      <c r="F2445" s="52" t="s">
        <v>136</v>
      </c>
    </row>
    <row r="2446" spans="1:7" x14ac:dyDescent="0.55000000000000004">
      <c r="F2446" s="4" t="s">
        <v>1262</v>
      </c>
    </row>
    <row r="2447" spans="1:7" x14ac:dyDescent="0.55000000000000004">
      <c r="F2447" s="52" t="s">
        <v>2549</v>
      </c>
    </row>
    <row r="2449" spans="1:7" x14ac:dyDescent="0.55000000000000004">
      <c r="A2449" s="54" t="s">
        <v>2550</v>
      </c>
      <c r="B2449" s="59" t="s">
        <v>2551</v>
      </c>
      <c r="C2449" s="52" t="s">
        <v>2251</v>
      </c>
      <c r="D2449" s="52">
        <v>45366</v>
      </c>
      <c r="E2449" s="52" t="s">
        <v>1508</v>
      </c>
      <c r="F2449" s="52" t="s">
        <v>2552</v>
      </c>
      <c r="G2449" s="131">
        <v>138</v>
      </c>
    </row>
    <row r="2450" spans="1:7" x14ac:dyDescent="0.55000000000000004">
      <c r="F2450" s="4" t="s">
        <v>1260</v>
      </c>
    </row>
    <row r="2451" spans="1:7" x14ac:dyDescent="0.55000000000000004">
      <c r="F2451" s="52" t="s">
        <v>2553</v>
      </c>
    </row>
    <row r="2452" spans="1:7" x14ac:dyDescent="0.55000000000000004">
      <c r="F2452" s="4" t="s">
        <v>1262</v>
      </c>
    </row>
    <row r="2453" spans="1:7" x14ac:dyDescent="0.55000000000000004">
      <c r="F2453" s="52" t="s">
        <v>2554</v>
      </c>
    </row>
    <row r="2455" spans="1:7" x14ac:dyDescent="0.55000000000000004">
      <c r="A2455" s="54" t="s">
        <v>2555</v>
      </c>
      <c r="B2455" s="59" t="s">
        <v>2556</v>
      </c>
      <c r="C2455" s="52" t="s">
        <v>2251</v>
      </c>
      <c r="D2455" s="52">
        <v>45366</v>
      </c>
      <c r="E2455" s="52" t="s">
        <v>1508</v>
      </c>
      <c r="F2455" s="52" t="s">
        <v>2557</v>
      </c>
      <c r="G2455" s="131">
        <v>139</v>
      </c>
    </row>
    <row r="2456" spans="1:7" x14ac:dyDescent="0.55000000000000004">
      <c r="F2456" s="4" t="s">
        <v>1260</v>
      </c>
    </row>
    <row r="2457" spans="1:7" x14ac:dyDescent="0.55000000000000004">
      <c r="F2457" s="52" t="s">
        <v>2558</v>
      </c>
    </row>
    <row r="2458" spans="1:7" x14ac:dyDescent="0.55000000000000004">
      <c r="F2458" s="4" t="s">
        <v>1262</v>
      </c>
    </row>
    <row r="2459" spans="1:7" x14ac:dyDescent="0.55000000000000004">
      <c r="F2459" s="52" t="s">
        <v>2559</v>
      </c>
    </row>
    <row r="2461" spans="1:7" x14ac:dyDescent="0.55000000000000004">
      <c r="A2461" s="54" t="s">
        <v>2560</v>
      </c>
      <c r="B2461" s="59" t="s">
        <v>2561</v>
      </c>
      <c r="C2461" s="52" t="s">
        <v>2251</v>
      </c>
      <c r="D2461" s="52">
        <v>45366</v>
      </c>
      <c r="E2461" s="52" t="s">
        <v>1508</v>
      </c>
      <c r="F2461" s="52" t="s">
        <v>2562</v>
      </c>
      <c r="G2461" s="131">
        <v>139</v>
      </c>
    </row>
    <row r="2462" spans="1:7" x14ac:dyDescent="0.55000000000000004">
      <c r="F2462" s="4" t="s">
        <v>1260</v>
      </c>
    </row>
    <row r="2463" spans="1:7" x14ac:dyDescent="0.55000000000000004">
      <c r="F2463" s="52" t="s">
        <v>2558</v>
      </c>
    </row>
    <row r="2464" spans="1:7" x14ac:dyDescent="0.55000000000000004">
      <c r="F2464" s="4" t="s">
        <v>1262</v>
      </c>
    </row>
    <row r="2465" spans="1:7" x14ac:dyDescent="0.55000000000000004">
      <c r="F2465" s="52" t="s">
        <v>2559</v>
      </c>
    </row>
    <row r="2466" spans="1:7" x14ac:dyDescent="0.55000000000000004">
      <c r="F2466" s="52"/>
    </row>
    <row r="2467" spans="1:7" x14ac:dyDescent="0.55000000000000004">
      <c r="A2467" s="54" t="s">
        <v>2563</v>
      </c>
      <c r="B2467" s="59" t="s">
        <v>2564</v>
      </c>
      <c r="C2467" s="52" t="s">
        <v>2251</v>
      </c>
      <c r="D2467" s="52">
        <v>45366</v>
      </c>
      <c r="E2467" s="52" t="s">
        <v>1508</v>
      </c>
      <c r="F2467" s="52" t="s">
        <v>2565</v>
      </c>
      <c r="G2467" s="131">
        <v>139</v>
      </c>
    </row>
    <row r="2468" spans="1:7" x14ac:dyDescent="0.55000000000000004">
      <c r="F2468" s="4" t="s">
        <v>1260</v>
      </c>
    </row>
    <row r="2469" spans="1:7" x14ac:dyDescent="0.55000000000000004">
      <c r="F2469" s="52"/>
    </row>
    <row r="2470" spans="1:7" x14ac:dyDescent="0.55000000000000004">
      <c r="F2470" s="4" t="s">
        <v>1262</v>
      </c>
    </row>
    <row r="2471" spans="1:7" x14ac:dyDescent="0.55000000000000004">
      <c r="F2471" s="52" t="s">
        <v>2559</v>
      </c>
    </row>
    <row r="2473" spans="1:7" x14ac:dyDescent="0.55000000000000004">
      <c r="A2473" s="54" t="s">
        <v>2566</v>
      </c>
      <c r="B2473" s="59" t="s">
        <v>2567</v>
      </c>
      <c r="C2473" s="52" t="s">
        <v>2251</v>
      </c>
      <c r="D2473" s="52">
        <v>45366</v>
      </c>
      <c r="E2473" s="52" t="s">
        <v>1508</v>
      </c>
      <c r="F2473" s="52" t="s">
        <v>2568</v>
      </c>
      <c r="G2473" s="131">
        <v>140</v>
      </c>
    </row>
    <row r="2474" spans="1:7" x14ac:dyDescent="0.55000000000000004">
      <c r="F2474" s="4" t="s">
        <v>1260</v>
      </c>
    </row>
    <row r="2475" spans="1:7" x14ac:dyDescent="0.55000000000000004">
      <c r="F2475" s="52" t="s">
        <v>2569</v>
      </c>
    </row>
    <row r="2476" spans="1:7" x14ac:dyDescent="0.55000000000000004">
      <c r="F2476" s="4" t="s">
        <v>1262</v>
      </c>
    </row>
    <row r="2477" spans="1:7" x14ac:dyDescent="0.55000000000000004">
      <c r="F2477" s="52" t="s">
        <v>2570</v>
      </c>
    </row>
    <row r="2479" spans="1:7" x14ac:dyDescent="0.55000000000000004">
      <c r="A2479" s="54" t="s">
        <v>2571</v>
      </c>
      <c r="B2479" s="59" t="s">
        <v>2572</v>
      </c>
      <c r="C2479" s="52" t="s">
        <v>2251</v>
      </c>
      <c r="D2479" s="52">
        <v>45366</v>
      </c>
      <c r="E2479" s="52" t="s">
        <v>1508</v>
      </c>
      <c r="F2479" s="52" t="s">
        <v>2573</v>
      </c>
      <c r="G2479" s="131">
        <v>140</v>
      </c>
    </row>
    <row r="2480" spans="1:7" x14ac:dyDescent="0.55000000000000004">
      <c r="F2480" s="4" t="s">
        <v>1260</v>
      </c>
    </row>
    <row r="2481" spans="1:7" x14ac:dyDescent="0.55000000000000004">
      <c r="F2481" s="52" t="s">
        <v>2574</v>
      </c>
    </row>
    <row r="2482" spans="1:7" x14ac:dyDescent="0.55000000000000004">
      <c r="F2482" s="4" t="s">
        <v>1262</v>
      </c>
    </row>
    <row r="2483" spans="1:7" x14ac:dyDescent="0.55000000000000004">
      <c r="F2483" s="52" t="s">
        <v>2570</v>
      </c>
    </row>
    <row r="2485" spans="1:7" x14ac:dyDescent="0.55000000000000004">
      <c r="A2485" s="54" t="s">
        <v>2575</v>
      </c>
      <c r="B2485" s="59" t="s">
        <v>2576</v>
      </c>
      <c r="C2485" s="52" t="s">
        <v>2251</v>
      </c>
      <c r="D2485" s="52">
        <v>45402</v>
      </c>
      <c r="E2485" s="52" t="s">
        <v>1508</v>
      </c>
      <c r="F2485" s="52" t="s">
        <v>2577</v>
      </c>
      <c r="G2485" s="131">
        <v>141</v>
      </c>
    </row>
    <row r="2486" spans="1:7" x14ac:dyDescent="0.55000000000000004">
      <c r="F2486" s="4" t="s">
        <v>1260</v>
      </c>
    </row>
    <row r="2487" spans="1:7" x14ac:dyDescent="0.55000000000000004">
      <c r="F2487" s="52" t="s">
        <v>2578</v>
      </c>
    </row>
    <row r="2488" spans="1:7" x14ac:dyDescent="0.55000000000000004">
      <c r="F2488" s="4" t="s">
        <v>1262</v>
      </c>
    </row>
    <row r="2489" spans="1:7" x14ac:dyDescent="0.55000000000000004">
      <c r="F2489" s="52" t="s">
        <v>2579</v>
      </c>
    </row>
    <row r="2491" spans="1:7" x14ac:dyDescent="0.55000000000000004">
      <c r="A2491" s="54" t="s">
        <v>2580</v>
      </c>
      <c r="B2491" s="59" t="s">
        <v>2581</v>
      </c>
      <c r="C2491" s="52" t="s">
        <v>2251</v>
      </c>
      <c r="D2491" s="52">
        <v>45402</v>
      </c>
      <c r="E2491" s="52" t="s">
        <v>1508</v>
      </c>
      <c r="F2491" s="52" t="s">
        <v>2577</v>
      </c>
      <c r="G2491" s="131">
        <v>142</v>
      </c>
    </row>
    <row r="2492" spans="1:7" x14ac:dyDescent="0.55000000000000004">
      <c r="F2492" s="4" t="s">
        <v>1260</v>
      </c>
    </row>
    <row r="2493" spans="1:7" x14ac:dyDescent="0.55000000000000004">
      <c r="F2493" s="52"/>
    </row>
    <row r="2494" spans="1:7" x14ac:dyDescent="0.55000000000000004">
      <c r="F2494" s="4" t="s">
        <v>1262</v>
      </c>
    </row>
    <row r="2495" spans="1:7" x14ac:dyDescent="0.55000000000000004">
      <c r="F2495" s="52" t="s">
        <v>2582</v>
      </c>
    </row>
    <row r="2497" spans="1:7" x14ac:dyDescent="0.55000000000000004">
      <c r="A2497" s="54" t="s">
        <v>2583</v>
      </c>
      <c r="B2497" s="59" t="s">
        <v>2584</v>
      </c>
      <c r="C2497" s="52" t="s">
        <v>2251</v>
      </c>
      <c r="D2497" s="52">
        <v>45402</v>
      </c>
      <c r="E2497" s="52" t="s">
        <v>1508</v>
      </c>
      <c r="F2497" s="52" t="s">
        <v>2585</v>
      </c>
      <c r="G2497" s="131">
        <v>105</v>
      </c>
    </row>
    <row r="2498" spans="1:7" x14ac:dyDescent="0.55000000000000004">
      <c r="F2498" s="4" t="s">
        <v>1260</v>
      </c>
    </row>
    <row r="2499" spans="1:7" x14ac:dyDescent="0.55000000000000004">
      <c r="F2499" s="52" t="s">
        <v>136</v>
      </c>
    </row>
    <row r="2500" spans="1:7" x14ac:dyDescent="0.55000000000000004">
      <c r="F2500" s="4" t="s">
        <v>1262</v>
      </c>
    </row>
    <row r="2501" spans="1:7" x14ac:dyDescent="0.55000000000000004">
      <c r="F2501" s="52" t="s">
        <v>2586</v>
      </c>
    </row>
    <row r="2504" spans="1:7" x14ac:dyDescent="0.55000000000000004">
      <c r="A2504" s="140" t="s">
        <v>3271</v>
      </c>
      <c r="B2504" s="140"/>
      <c r="C2504" s="140"/>
      <c r="D2504" s="140"/>
      <c r="E2504" s="140"/>
      <c r="F2504" s="140"/>
      <c r="G2504" s="140"/>
    </row>
    <row r="2505" spans="1:7" x14ac:dyDescent="0.55000000000000004">
      <c r="A2505" s="4" t="s">
        <v>3272</v>
      </c>
      <c r="B2505" s="4" t="s">
        <v>3273</v>
      </c>
    </row>
    <row r="2506" spans="1:7" x14ac:dyDescent="0.55000000000000004">
      <c r="A2506" t="s">
        <v>3274</v>
      </c>
      <c r="B2506" t="s">
        <v>3275</v>
      </c>
    </row>
    <row r="2507" spans="1:7" x14ac:dyDescent="0.55000000000000004">
      <c r="A2507" t="s">
        <v>3276</v>
      </c>
      <c r="B2507" t="s">
        <v>3277</v>
      </c>
    </row>
  </sheetData>
  <phoneticPr fontId="17"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144"/>
  <sheetViews>
    <sheetView zoomScale="85" zoomScaleNormal="85" workbookViewId="0">
      <pane xSplit="1" ySplit="2" topLeftCell="B123" activePane="bottomRight" state="frozen"/>
      <selection pane="topRight" activeCell="B1" sqref="B1"/>
      <selection pane="bottomLeft" activeCell="A3" sqref="A3"/>
      <selection pane="bottomRight" activeCell="C148" sqref="C148"/>
    </sheetView>
  </sheetViews>
  <sheetFormatPr baseColWidth="10" defaultColWidth="10.68359375" defaultRowHeight="14.4" x14ac:dyDescent="0.55000000000000004"/>
  <cols>
    <col min="2" max="2" width="20.3125" bestFit="1" customWidth="1"/>
    <col min="3" max="3" width="20.3125" customWidth="1"/>
    <col min="6" max="6" width="18" customWidth="1"/>
    <col min="8" max="8" width="31.47265625" customWidth="1"/>
    <col min="9" max="9" width="84.68359375" customWidth="1"/>
  </cols>
  <sheetData>
    <row r="2" spans="2:17" x14ac:dyDescent="0.55000000000000004">
      <c r="B2" s="4" t="s">
        <v>1656</v>
      </c>
      <c r="C2" s="4"/>
      <c r="D2" s="35" t="s">
        <v>1657</v>
      </c>
      <c r="E2" s="4"/>
      <c r="F2" s="4"/>
      <c r="G2" s="51" t="s">
        <v>1658</v>
      </c>
      <c r="H2" s="4" t="s">
        <v>1659</v>
      </c>
      <c r="I2" s="4" t="s">
        <v>1660</v>
      </c>
      <c r="J2" s="4" t="s">
        <v>1661</v>
      </c>
      <c r="K2" s="4" t="s">
        <v>1662</v>
      </c>
      <c r="L2" s="4" t="s">
        <v>1663</v>
      </c>
      <c r="M2" s="4" t="s">
        <v>1664</v>
      </c>
      <c r="N2" s="4" t="s">
        <v>1665</v>
      </c>
      <c r="O2" s="4" t="s">
        <v>1666</v>
      </c>
      <c r="P2" s="4" t="s">
        <v>1667</v>
      </c>
      <c r="Q2" s="4" t="s">
        <v>1668</v>
      </c>
    </row>
    <row r="3" spans="2:17" x14ac:dyDescent="0.55000000000000004">
      <c r="B3" t="s">
        <v>3270</v>
      </c>
      <c r="D3">
        <v>1</v>
      </c>
      <c r="G3" t="s">
        <v>1669</v>
      </c>
      <c r="H3" t="s">
        <v>1670</v>
      </c>
      <c r="I3" t="s">
        <v>1671</v>
      </c>
      <c r="J3">
        <v>2004</v>
      </c>
      <c r="N3" t="s">
        <v>1672</v>
      </c>
      <c r="Q3" t="s">
        <v>1673</v>
      </c>
    </row>
    <row r="4" spans="2:17" x14ac:dyDescent="0.55000000000000004">
      <c r="B4" t="s">
        <v>3270</v>
      </c>
      <c r="D4">
        <v>2</v>
      </c>
      <c r="G4" s="61" t="s">
        <v>1674</v>
      </c>
      <c r="H4" s="61" t="s">
        <v>1675</v>
      </c>
      <c r="I4" s="61" t="s">
        <v>1676</v>
      </c>
      <c r="J4" s="61">
        <v>2016</v>
      </c>
      <c r="K4" s="61" t="s">
        <v>1677</v>
      </c>
      <c r="L4" s="61"/>
      <c r="M4" s="61" t="s">
        <v>1678</v>
      </c>
      <c r="N4" s="61"/>
      <c r="O4" s="61"/>
      <c r="P4" s="61"/>
      <c r="Q4" s="61"/>
    </row>
    <row r="5" spans="2:17" x14ac:dyDescent="0.55000000000000004">
      <c r="B5" t="s">
        <v>3270</v>
      </c>
      <c r="D5">
        <v>3</v>
      </c>
      <c r="G5" s="61"/>
      <c r="H5" s="61" t="s">
        <v>1679</v>
      </c>
      <c r="I5" s="61" t="s">
        <v>1680</v>
      </c>
      <c r="J5" s="61">
        <v>2006</v>
      </c>
      <c r="K5" s="61" t="s">
        <v>1681</v>
      </c>
      <c r="L5" s="61" t="s">
        <v>1682</v>
      </c>
      <c r="M5" s="61"/>
      <c r="N5" s="61" t="s">
        <v>1683</v>
      </c>
      <c r="O5" s="61"/>
      <c r="P5" s="61" t="s">
        <v>1684</v>
      </c>
      <c r="Q5" s="61"/>
    </row>
    <row r="6" spans="2:17" x14ac:dyDescent="0.55000000000000004">
      <c r="B6" t="s">
        <v>3270</v>
      </c>
      <c r="D6">
        <v>4</v>
      </c>
      <c r="G6" s="61" t="s">
        <v>1685</v>
      </c>
      <c r="H6" s="61" t="s">
        <v>1686</v>
      </c>
      <c r="I6" s="61" t="s">
        <v>1687</v>
      </c>
      <c r="J6" s="61">
        <v>2021</v>
      </c>
      <c r="K6" s="61" t="s">
        <v>1688</v>
      </c>
      <c r="L6" s="61"/>
      <c r="M6" s="61" t="s">
        <v>1689</v>
      </c>
      <c r="N6" s="61"/>
      <c r="O6" s="61"/>
      <c r="P6" s="61"/>
      <c r="Q6" s="61"/>
    </row>
    <row r="7" spans="2:17" x14ac:dyDescent="0.55000000000000004">
      <c r="B7" t="s">
        <v>3270</v>
      </c>
      <c r="D7">
        <v>5</v>
      </c>
      <c r="G7" s="61" t="s">
        <v>1690</v>
      </c>
      <c r="H7" s="61" t="s">
        <v>1691</v>
      </c>
      <c r="I7" s="61"/>
      <c r="J7" s="61">
        <v>2022</v>
      </c>
      <c r="K7" s="64" t="s">
        <v>1692</v>
      </c>
      <c r="L7" s="64" t="s">
        <v>1692</v>
      </c>
      <c r="M7" s="64" t="s">
        <v>1692</v>
      </c>
      <c r="N7" s="61" t="s">
        <v>1693</v>
      </c>
      <c r="O7" s="61"/>
      <c r="P7" s="61"/>
      <c r="Q7" s="61"/>
    </row>
    <row r="8" spans="2:17" x14ac:dyDescent="0.55000000000000004">
      <c r="B8" t="s">
        <v>3270</v>
      </c>
      <c r="D8">
        <v>6</v>
      </c>
      <c r="H8" t="s">
        <v>1694</v>
      </c>
      <c r="I8" t="s">
        <v>1695</v>
      </c>
      <c r="J8" s="61">
        <v>2021</v>
      </c>
      <c r="K8" t="s">
        <v>1696</v>
      </c>
      <c r="M8" t="s">
        <v>1697</v>
      </c>
      <c r="N8" s="67" t="s">
        <v>1698</v>
      </c>
    </row>
    <row r="9" spans="2:17" x14ac:dyDescent="0.55000000000000004">
      <c r="B9" t="s">
        <v>3270</v>
      </c>
      <c r="D9">
        <v>7</v>
      </c>
      <c r="G9" t="s">
        <v>1699</v>
      </c>
      <c r="H9" t="s">
        <v>1700</v>
      </c>
      <c r="I9" t="s">
        <v>1701</v>
      </c>
      <c r="J9">
        <v>2020</v>
      </c>
      <c r="M9" t="s">
        <v>1692</v>
      </c>
      <c r="N9" t="s">
        <v>1702</v>
      </c>
    </row>
    <row r="10" spans="2:17" x14ac:dyDescent="0.55000000000000004">
      <c r="B10" t="s">
        <v>3270</v>
      </c>
      <c r="D10">
        <v>8</v>
      </c>
      <c r="G10" t="s">
        <v>1703</v>
      </c>
      <c r="H10" t="s">
        <v>1704</v>
      </c>
      <c r="I10" t="s">
        <v>1705</v>
      </c>
      <c r="J10">
        <v>2019</v>
      </c>
      <c r="K10" t="s">
        <v>1706</v>
      </c>
      <c r="M10" t="s">
        <v>1692</v>
      </c>
    </row>
    <row r="11" spans="2:17" x14ac:dyDescent="0.55000000000000004">
      <c r="B11" t="s">
        <v>3270</v>
      </c>
      <c r="D11">
        <v>9</v>
      </c>
      <c r="G11" t="s">
        <v>1707</v>
      </c>
      <c r="H11" t="s">
        <v>1708</v>
      </c>
      <c r="I11" t="s">
        <v>1709</v>
      </c>
      <c r="J11">
        <v>2010</v>
      </c>
      <c r="N11" t="s">
        <v>1692</v>
      </c>
    </row>
    <row r="12" spans="2:17" x14ac:dyDescent="0.55000000000000004">
      <c r="B12" t="s">
        <v>3270</v>
      </c>
      <c r="D12">
        <v>10</v>
      </c>
      <c r="G12" t="s">
        <v>1707</v>
      </c>
      <c r="H12" t="s">
        <v>1710</v>
      </c>
      <c r="I12" t="s">
        <v>1711</v>
      </c>
      <c r="J12">
        <v>2013</v>
      </c>
      <c r="K12" t="s">
        <v>1712</v>
      </c>
      <c r="L12" t="s">
        <v>1713</v>
      </c>
      <c r="M12" t="s">
        <v>1692</v>
      </c>
    </row>
    <row r="13" spans="2:17" x14ac:dyDescent="0.55000000000000004">
      <c r="B13" t="s">
        <v>3270</v>
      </c>
      <c r="D13">
        <v>11</v>
      </c>
      <c r="G13" t="s">
        <v>1714</v>
      </c>
      <c r="H13" t="s">
        <v>1715</v>
      </c>
      <c r="I13" t="s">
        <v>1716</v>
      </c>
      <c r="J13">
        <v>1989</v>
      </c>
      <c r="K13" t="s">
        <v>1717</v>
      </c>
      <c r="M13" t="s">
        <v>1692</v>
      </c>
    </row>
    <row r="14" spans="2:17" x14ac:dyDescent="0.55000000000000004">
      <c r="B14" t="s">
        <v>3270</v>
      </c>
      <c r="D14">
        <v>12</v>
      </c>
      <c r="G14" t="s">
        <v>1699</v>
      </c>
      <c r="H14" t="s">
        <v>1718</v>
      </c>
      <c r="I14" t="s">
        <v>1719</v>
      </c>
      <c r="J14">
        <v>2020</v>
      </c>
      <c r="M14" t="s">
        <v>1692</v>
      </c>
      <c r="N14" t="s">
        <v>1720</v>
      </c>
    </row>
    <row r="15" spans="2:17" x14ac:dyDescent="0.55000000000000004">
      <c r="B15" t="s">
        <v>3270</v>
      </c>
      <c r="D15">
        <v>13</v>
      </c>
      <c r="G15" t="s">
        <v>1699</v>
      </c>
      <c r="H15" t="s">
        <v>1721</v>
      </c>
      <c r="I15" t="s">
        <v>1722</v>
      </c>
      <c r="J15">
        <v>2020</v>
      </c>
      <c r="M15" t="s">
        <v>1692</v>
      </c>
      <c r="N15" t="s">
        <v>1723</v>
      </c>
    </row>
    <row r="16" spans="2:17" x14ac:dyDescent="0.55000000000000004">
      <c r="B16" t="s">
        <v>3270</v>
      </c>
      <c r="D16">
        <v>14</v>
      </c>
      <c r="G16" t="s">
        <v>1707</v>
      </c>
      <c r="H16" t="s">
        <v>1691</v>
      </c>
      <c r="I16" t="s">
        <v>1724</v>
      </c>
      <c r="J16">
        <v>2017</v>
      </c>
      <c r="K16" t="s">
        <v>1725</v>
      </c>
      <c r="L16" t="s">
        <v>1726</v>
      </c>
      <c r="M16" t="s">
        <v>1692</v>
      </c>
    </row>
    <row r="17" spans="2:14" x14ac:dyDescent="0.55000000000000004">
      <c r="B17" t="s">
        <v>3270</v>
      </c>
      <c r="D17">
        <v>15</v>
      </c>
      <c r="G17" t="s">
        <v>1699</v>
      </c>
      <c r="H17" t="s">
        <v>1727</v>
      </c>
      <c r="I17" t="s">
        <v>1728</v>
      </c>
      <c r="J17">
        <v>2020</v>
      </c>
      <c r="M17" t="s">
        <v>1692</v>
      </c>
      <c r="N17" t="s">
        <v>1729</v>
      </c>
    </row>
    <row r="18" spans="2:14" x14ac:dyDescent="0.55000000000000004">
      <c r="B18" t="s">
        <v>3270</v>
      </c>
      <c r="D18">
        <v>16</v>
      </c>
      <c r="G18" t="s">
        <v>1707</v>
      </c>
      <c r="H18" t="s">
        <v>1730</v>
      </c>
      <c r="I18" t="s">
        <v>1731</v>
      </c>
      <c r="J18">
        <v>2011</v>
      </c>
      <c r="K18" t="s">
        <v>1725</v>
      </c>
      <c r="L18" t="s">
        <v>1726</v>
      </c>
      <c r="M18" t="s">
        <v>1692</v>
      </c>
    </row>
    <row r="19" spans="2:14" x14ac:dyDescent="0.55000000000000004">
      <c r="B19" t="s">
        <v>3270</v>
      </c>
      <c r="D19">
        <v>17</v>
      </c>
      <c r="G19" t="s">
        <v>1707</v>
      </c>
      <c r="H19" t="s">
        <v>1732</v>
      </c>
      <c r="I19" t="s">
        <v>1733</v>
      </c>
      <c r="J19">
        <v>2010</v>
      </c>
      <c r="N19" t="s">
        <v>1692</v>
      </c>
    </row>
    <row r="20" spans="2:14" x14ac:dyDescent="0.55000000000000004">
      <c r="B20" t="s">
        <v>3270</v>
      </c>
      <c r="D20">
        <v>18</v>
      </c>
      <c r="G20" t="s">
        <v>1714</v>
      </c>
      <c r="H20" t="s">
        <v>1734</v>
      </c>
      <c r="I20" t="s">
        <v>1735</v>
      </c>
      <c r="J20">
        <v>2006</v>
      </c>
      <c r="K20" t="s">
        <v>1736</v>
      </c>
      <c r="M20" t="s">
        <v>1692</v>
      </c>
    </row>
    <row r="21" spans="2:14" x14ac:dyDescent="0.55000000000000004">
      <c r="B21" t="s">
        <v>3270</v>
      </c>
      <c r="D21">
        <v>19</v>
      </c>
      <c r="G21" t="s">
        <v>1707</v>
      </c>
      <c r="H21" t="s">
        <v>1737</v>
      </c>
      <c r="I21" t="s">
        <v>1738</v>
      </c>
      <c r="J21">
        <v>2010</v>
      </c>
      <c r="L21" t="s">
        <v>1739</v>
      </c>
      <c r="M21" t="s">
        <v>1692</v>
      </c>
    </row>
    <row r="22" spans="2:14" x14ac:dyDescent="0.55000000000000004">
      <c r="B22" t="s">
        <v>3270</v>
      </c>
      <c r="D22">
        <v>20</v>
      </c>
      <c r="G22" t="s">
        <v>1707</v>
      </c>
      <c r="H22" t="s">
        <v>1740</v>
      </c>
      <c r="I22" t="s">
        <v>1741</v>
      </c>
      <c r="J22">
        <v>2013</v>
      </c>
      <c r="K22" t="s">
        <v>1712</v>
      </c>
      <c r="L22" t="s">
        <v>1713</v>
      </c>
      <c r="M22" t="s">
        <v>1692</v>
      </c>
    </row>
    <row r="23" spans="2:14" x14ac:dyDescent="0.55000000000000004">
      <c r="B23" t="s">
        <v>3270</v>
      </c>
      <c r="D23">
        <v>21</v>
      </c>
      <c r="G23" t="s">
        <v>1707</v>
      </c>
      <c r="H23" t="s">
        <v>1742</v>
      </c>
      <c r="I23" t="s">
        <v>1743</v>
      </c>
      <c r="J23">
        <v>2015</v>
      </c>
      <c r="K23" t="s">
        <v>1744</v>
      </c>
      <c r="L23" t="s">
        <v>1745</v>
      </c>
      <c r="M23" t="s">
        <v>1692</v>
      </c>
    </row>
    <row r="24" spans="2:14" x14ac:dyDescent="0.55000000000000004">
      <c r="B24" t="s">
        <v>3270</v>
      </c>
      <c r="D24">
        <v>22</v>
      </c>
      <c r="G24" t="s">
        <v>1714</v>
      </c>
      <c r="H24" t="s">
        <v>1746</v>
      </c>
      <c r="I24" t="s">
        <v>1747</v>
      </c>
      <c r="J24">
        <v>2009</v>
      </c>
      <c r="K24" t="s">
        <v>1748</v>
      </c>
      <c r="M24" t="s">
        <v>1692</v>
      </c>
    </row>
    <row r="25" spans="2:14" x14ac:dyDescent="0.55000000000000004">
      <c r="B25" t="s">
        <v>3270</v>
      </c>
      <c r="D25">
        <v>23</v>
      </c>
      <c r="G25" t="s">
        <v>1707</v>
      </c>
      <c r="H25" t="s">
        <v>1749</v>
      </c>
      <c r="I25" t="s">
        <v>1750</v>
      </c>
      <c r="J25">
        <v>2015</v>
      </c>
      <c r="K25" t="s">
        <v>1712</v>
      </c>
      <c r="L25" t="s">
        <v>1713</v>
      </c>
      <c r="M25" t="s">
        <v>1692</v>
      </c>
    </row>
    <row r="26" spans="2:14" x14ac:dyDescent="0.55000000000000004">
      <c r="B26" t="s">
        <v>3270</v>
      </c>
      <c r="D26">
        <v>24</v>
      </c>
      <c r="G26" t="s">
        <v>1714</v>
      </c>
      <c r="H26" t="s">
        <v>1751</v>
      </c>
      <c r="I26" t="s">
        <v>1752</v>
      </c>
      <c r="J26">
        <v>2016</v>
      </c>
      <c r="K26" t="s">
        <v>1753</v>
      </c>
      <c r="M26" t="s">
        <v>1692</v>
      </c>
    </row>
    <row r="27" spans="2:14" x14ac:dyDescent="0.55000000000000004">
      <c r="B27" t="s">
        <v>3270</v>
      </c>
      <c r="D27">
        <v>25</v>
      </c>
      <c r="G27" t="s">
        <v>1707</v>
      </c>
      <c r="H27" t="s">
        <v>1754</v>
      </c>
      <c r="I27" t="s">
        <v>1755</v>
      </c>
      <c r="J27">
        <v>2017</v>
      </c>
      <c r="K27" t="s">
        <v>1756</v>
      </c>
      <c r="L27" t="s">
        <v>1713</v>
      </c>
      <c r="M27" t="s">
        <v>1692</v>
      </c>
    </row>
    <row r="28" spans="2:14" x14ac:dyDescent="0.55000000000000004">
      <c r="B28" t="s">
        <v>3270</v>
      </c>
      <c r="D28">
        <v>26</v>
      </c>
      <c r="G28" t="s">
        <v>1707</v>
      </c>
      <c r="H28" t="s">
        <v>1691</v>
      </c>
      <c r="I28" t="s">
        <v>1757</v>
      </c>
      <c r="J28">
        <v>2007</v>
      </c>
      <c r="K28" t="s">
        <v>1725</v>
      </c>
      <c r="L28" t="s">
        <v>1758</v>
      </c>
      <c r="M28" t="s">
        <v>1692</v>
      </c>
    </row>
    <row r="29" spans="2:14" x14ac:dyDescent="0.55000000000000004">
      <c r="B29" t="s">
        <v>3270</v>
      </c>
      <c r="D29">
        <v>27</v>
      </c>
      <c r="G29" t="s">
        <v>1703</v>
      </c>
      <c r="H29" t="s">
        <v>1759</v>
      </c>
      <c r="I29" t="s">
        <v>1760</v>
      </c>
      <c r="J29">
        <v>2014</v>
      </c>
      <c r="K29" t="s">
        <v>1761</v>
      </c>
      <c r="L29" t="s">
        <v>1762</v>
      </c>
      <c r="M29" t="s">
        <v>1692</v>
      </c>
    </row>
    <row r="30" spans="2:14" x14ac:dyDescent="0.55000000000000004">
      <c r="B30" t="s">
        <v>3270</v>
      </c>
      <c r="D30">
        <v>28</v>
      </c>
      <c r="G30" t="s">
        <v>1699</v>
      </c>
      <c r="H30" t="s">
        <v>1763</v>
      </c>
      <c r="I30" t="s">
        <v>1764</v>
      </c>
      <c r="J30">
        <v>2020</v>
      </c>
      <c r="M30" t="s">
        <v>1692</v>
      </c>
      <c r="N30" t="s">
        <v>1765</v>
      </c>
    </row>
    <row r="31" spans="2:14" x14ac:dyDescent="0.55000000000000004">
      <c r="B31" t="s">
        <v>3270</v>
      </c>
      <c r="D31">
        <v>29</v>
      </c>
      <c r="G31" t="s">
        <v>1714</v>
      </c>
      <c r="H31" t="s">
        <v>1766</v>
      </c>
      <c r="I31" t="s">
        <v>1767</v>
      </c>
      <c r="J31">
        <v>2000</v>
      </c>
      <c r="K31" t="s">
        <v>1768</v>
      </c>
      <c r="M31" t="s">
        <v>1769</v>
      </c>
    </row>
    <row r="32" spans="2:14" x14ac:dyDescent="0.55000000000000004">
      <c r="B32" t="s">
        <v>3270</v>
      </c>
      <c r="D32">
        <v>30</v>
      </c>
      <c r="G32" t="s">
        <v>1699</v>
      </c>
      <c r="H32" t="s">
        <v>1770</v>
      </c>
      <c r="I32" t="s">
        <v>1771</v>
      </c>
      <c r="J32">
        <v>2020</v>
      </c>
      <c r="M32" t="s">
        <v>1692</v>
      </c>
      <c r="N32" t="s">
        <v>1772</v>
      </c>
    </row>
    <row r="33" spans="2:14" x14ac:dyDescent="0.55000000000000004">
      <c r="B33" t="s">
        <v>3270</v>
      </c>
      <c r="D33">
        <v>31</v>
      </c>
      <c r="G33" t="s">
        <v>1714</v>
      </c>
      <c r="H33" t="s">
        <v>1773</v>
      </c>
      <c r="I33" t="s">
        <v>1774</v>
      </c>
      <c r="J33">
        <v>2011</v>
      </c>
      <c r="K33" t="s">
        <v>1696</v>
      </c>
      <c r="M33" t="s">
        <v>1692</v>
      </c>
    </row>
    <row r="34" spans="2:14" x14ac:dyDescent="0.55000000000000004">
      <c r="B34" t="s">
        <v>3270</v>
      </c>
      <c r="D34">
        <v>32</v>
      </c>
      <c r="G34" t="s">
        <v>1707</v>
      </c>
      <c r="H34" t="s">
        <v>1775</v>
      </c>
      <c r="I34" t="s">
        <v>1776</v>
      </c>
      <c r="J34">
        <v>2010</v>
      </c>
      <c r="N34" t="s">
        <v>1692</v>
      </c>
    </row>
    <row r="35" spans="2:14" x14ac:dyDescent="0.55000000000000004">
      <c r="B35" t="s">
        <v>3270</v>
      </c>
      <c r="D35">
        <v>33</v>
      </c>
      <c r="G35" t="s">
        <v>1707</v>
      </c>
      <c r="H35" t="s">
        <v>1777</v>
      </c>
      <c r="I35" t="s">
        <v>1778</v>
      </c>
      <c r="J35">
        <v>2013</v>
      </c>
      <c r="N35" t="s">
        <v>1692</v>
      </c>
    </row>
    <row r="36" spans="2:14" x14ac:dyDescent="0.55000000000000004">
      <c r="B36" t="s">
        <v>3270</v>
      </c>
      <c r="D36">
        <v>34</v>
      </c>
      <c r="G36" t="s">
        <v>1699</v>
      </c>
      <c r="H36" t="s">
        <v>1779</v>
      </c>
      <c r="I36" t="s">
        <v>1780</v>
      </c>
      <c r="J36">
        <v>2020</v>
      </c>
      <c r="M36" t="s">
        <v>1692</v>
      </c>
      <c r="N36" t="s">
        <v>1781</v>
      </c>
    </row>
    <row r="37" spans="2:14" x14ac:dyDescent="0.55000000000000004">
      <c r="B37" t="s">
        <v>3270</v>
      </c>
      <c r="D37">
        <v>35</v>
      </c>
      <c r="G37" t="s">
        <v>1707</v>
      </c>
      <c r="H37" t="s">
        <v>1782</v>
      </c>
      <c r="I37" t="s">
        <v>1783</v>
      </c>
      <c r="J37" t="s">
        <v>1692</v>
      </c>
      <c r="N37" t="s">
        <v>1692</v>
      </c>
    </row>
    <row r="38" spans="2:14" x14ac:dyDescent="0.55000000000000004">
      <c r="B38" t="s">
        <v>3270</v>
      </c>
      <c r="D38">
        <v>36</v>
      </c>
      <c r="G38" t="s">
        <v>1714</v>
      </c>
      <c r="H38" t="s">
        <v>1784</v>
      </c>
      <c r="I38" t="s">
        <v>1785</v>
      </c>
      <c r="J38">
        <v>2006</v>
      </c>
      <c r="K38" t="s">
        <v>129</v>
      </c>
      <c r="M38" t="s">
        <v>1692</v>
      </c>
    </row>
    <row r="39" spans="2:14" x14ac:dyDescent="0.55000000000000004">
      <c r="B39" t="s">
        <v>3270</v>
      </c>
      <c r="D39">
        <v>37</v>
      </c>
      <c r="G39" t="s">
        <v>1707</v>
      </c>
      <c r="H39" t="s">
        <v>1691</v>
      </c>
      <c r="I39" t="s">
        <v>1786</v>
      </c>
      <c r="J39">
        <v>2018</v>
      </c>
      <c r="K39" t="s">
        <v>1725</v>
      </c>
      <c r="L39" t="s">
        <v>1726</v>
      </c>
      <c r="M39" t="s">
        <v>1692</v>
      </c>
    </row>
    <row r="40" spans="2:14" x14ac:dyDescent="0.55000000000000004">
      <c r="B40" t="s">
        <v>3270</v>
      </c>
      <c r="D40">
        <v>38</v>
      </c>
      <c r="G40" t="s">
        <v>1703</v>
      </c>
      <c r="H40" t="s">
        <v>1787</v>
      </c>
      <c r="I40" t="s">
        <v>1788</v>
      </c>
      <c r="J40">
        <v>2014</v>
      </c>
      <c r="K40" t="s">
        <v>1789</v>
      </c>
      <c r="M40" t="s">
        <v>1692</v>
      </c>
    </row>
    <row r="41" spans="2:14" x14ac:dyDescent="0.55000000000000004">
      <c r="B41" t="s">
        <v>3270</v>
      </c>
      <c r="D41">
        <v>39</v>
      </c>
      <c r="G41" t="s">
        <v>1707</v>
      </c>
      <c r="H41" t="s">
        <v>1710</v>
      </c>
      <c r="I41" t="s">
        <v>1790</v>
      </c>
      <c r="J41">
        <v>2007</v>
      </c>
      <c r="N41" t="s">
        <v>1692</v>
      </c>
    </row>
    <row r="42" spans="2:14" x14ac:dyDescent="0.55000000000000004">
      <c r="B42" t="s">
        <v>3270</v>
      </c>
      <c r="D42">
        <v>40</v>
      </c>
      <c r="G42" t="s">
        <v>1699</v>
      </c>
      <c r="H42" t="s">
        <v>1791</v>
      </c>
      <c r="I42" t="s">
        <v>1792</v>
      </c>
      <c r="J42">
        <v>2019</v>
      </c>
      <c r="M42" t="s">
        <v>1692</v>
      </c>
      <c r="N42" t="s">
        <v>1793</v>
      </c>
    </row>
    <row r="43" spans="2:14" x14ac:dyDescent="0.55000000000000004">
      <c r="B43" t="s">
        <v>3270</v>
      </c>
      <c r="D43">
        <v>41</v>
      </c>
      <c r="G43" t="s">
        <v>1707</v>
      </c>
      <c r="H43" t="s">
        <v>1794</v>
      </c>
      <c r="I43" t="s">
        <v>1795</v>
      </c>
      <c r="J43">
        <v>2014</v>
      </c>
      <c r="K43" t="s">
        <v>1712</v>
      </c>
      <c r="L43" t="s">
        <v>1713</v>
      </c>
      <c r="M43" t="s">
        <v>1692</v>
      </c>
    </row>
    <row r="44" spans="2:14" x14ac:dyDescent="0.55000000000000004">
      <c r="B44" t="s">
        <v>3270</v>
      </c>
      <c r="D44">
        <v>42</v>
      </c>
      <c r="G44" t="s">
        <v>1796</v>
      </c>
      <c r="H44" t="s">
        <v>1797</v>
      </c>
      <c r="I44" t="s">
        <v>1798</v>
      </c>
      <c r="J44">
        <v>2016</v>
      </c>
      <c r="K44" t="s">
        <v>1789</v>
      </c>
      <c r="M44" t="s">
        <v>1799</v>
      </c>
    </row>
    <row r="45" spans="2:14" x14ac:dyDescent="0.55000000000000004">
      <c r="B45" t="s">
        <v>3270</v>
      </c>
      <c r="D45">
        <v>43</v>
      </c>
      <c r="G45" t="s">
        <v>1707</v>
      </c>
      <c r="H45" t="s">
        <v>1800</v>
      </c>
      <c r="I45" t="s">
        <v>1801</v>
      </c>
      <c r="J45">
        <v>1996</v>
      </c>
      <c r="N45" t="s">
        <v>1692</v>
      </c>
    </row>
    <row r="46" spans="2:14" x14ac:dyDescent="0.55000000000000004">
      <c r="B46" t="s">
        <v>3270</v>
      </c>
      <c r="D46">
        <v>44</v>
      </c>
      <c r="G46" t="s">
        <v>1707</v>
      </c>
      <c r="H46" t="s">
        <v>1802</v>
      </c>
      <c r="I46" t="s">
        <v>1803</v>
      </c>
      <c r="J46">
        <v>2005</v>
      </c>
      <c r="N46" t="s">
        <v>1692</v>
      </c>
    </row>
    <row r="47" spans="2:14" x14ac:dyDescent="0.55000000000000004">
      <c r="B47" t="s">
        <v>3270</v>
      </c>
      <c r="D47">
        <v>45</v>
      </c>
      <c r="G47" t="s">
        <v>1707</v>
      </c>
      <c r="H47" t="s">
        <v>1775</v>
      </c>
      <c r="I47" t="s">
        <v>1804</v>
      </c>
      <c r="J47">
        <v>2015</v>
      </c>
      <c r="N47" t="s">
        <v>1692</v>
      </c>
    </row>
    <row r="48" spans="2:14" x14ac:dyDescent="0.55000000000000004">
      <c r="B48" t="s">
        <v>3270</v>
      </c>
      <c r="D48">
        <v>46</v>
      </c>
      <c r="G48" t="s">
        <v>1707</v>
      </c>
      <c r="H48" t="s">
        <v>1805</v>
      </c>
      <c r="I48" t="s">
        <v>1806</v>
      </c>
      <c r="J48">
        <v>2015</v>
      </c>
      <c r="K48" t="s">
        <v>1807</v>
      </c>
      <c r="L48" t="s">
        <v>1713</v>
      </c>
      <c r="M48" t="s">
        <v>1692</v>
      </c>
    </row>
    <row r="49" spans="2:16" x14ac:dyDescent="0.55000000000000004">
      <c r="B49" t="s">
        <v>3270</v>
      </c>
      <c r="D49">
        <v>47</v>
      </c>
      <c r="G49" t="s">
        <v>1656</v>
      </c>
      <c r="H49" t="s">
        <v>1808</v>
      </c>
      <c r="J49">
        <v>2019</v>
      </c>
      <c r="K49" t="s">
        <v>1809</v>
      </c>
      <c r="N49" s="67" t="s">
        <v>1810</v>
      </c>
    </row>
    <row r="50" spans="2:16" x14ac:dyDescent="0.55000000000000004">
      <c r="B50" t="s">
        <v>3270</v>
      </c>
      <c r="D50">
        <v>48</v>
      </c>
      <c r="G50" t="s">
        <v>1707</v>
      </c>
      <c r="H50" t="s">
        <v>1811</v>
      </c>
      <c r="I50" t="s">
        <v>1812</v>
      </c>
      <c r="J50">
        <v>2019</v>
      </c>
      <c r="K50" t="s">
        <v>1813</v>
      </c>
      <c r="L50" t="s">
        <v>7</v>
      </c>
      <c r="M50" t="s">
        <v>7</v>
      </c>
      <c r="N50" t="s">
        <v>7</v>
      </c>
      <c r="O50" t="s">
        <v>7</v>
      </c>
      <c r="P50" t="s">
        <v>7</v>
      </c>
    </row>
    <row r="51" spans="2:16" x14ac:dyDescent="0.55000000000000004">
      <c r="B51" t="s">
        <v>3270</v>
      </c>
      <c r="D51">
        <v>49</v>
      </c>
      <c r="G51" t="s">
        <v>1707</v>
      </c>
      <c r="H51" t="s">
        <v>1814</v>
      </c>
      <c r="I51" t="s">
        <v>1741</v>
      </c>
      <c r="J51">
        <v>2013</v>
      </c>
      <c r="K51" t="s">
        <v>1712</v>
      </c>
      <c r="L51" t="s">
        <v>1713</v>
      </c>
      <c r="M51" t="s">
        <v>7</v>
      </c>
      <c r="N51" t="s">
        <v>7</v>
      </c>
      <c r="O51" t="s">
        <v>7</v>
      </c>
      <c r="P51" t="s">
        <v>7</v>
      </c>
    </row>
    <row r="52" spans="2:16" x14ac:dyDescent="0.55000000000000004">
      <c r="B52" t="s">
        <v>3270</v>
      </c>
      <c r="D52">
        <v>50</v>
      </c>
      <c r="G52" t="s">
        <v>1699</v>
      </c>
      <c r="I52" t="s">
        <v>1815</v>
      </c>
      <c r="J52">
        <v>2017</v>
      </c>
      <c r="N52" t="s">
        <v>1816</v>
      </c>
    </row>
    <row r="53" spans="2:16" x14ac:dyDescent="0.55000000000000004">
      <c r="B53" t="s">
        <v>3270</v>
      </c>
      <c r="D53">
        <v>51</v>
      </c>
      <c r="G53" t="s">
        <v>1707</v>
      </c>
      <c r="H53" t="s">
        <v>1817</v>
      </c>
      <c r="I53" t="s">
        <v>1818</v>
      </c>
      <c r="J53">
        <v>2007</v>
      </c>
      <c r="K53" t="s">
        <v>7</v>
      </c>
      <c r="L53" t="s">
        <v>7</v>
      </c>
      <c r="M53" t="s">
        <v>7</v>
      </c>
      <c r="N53" t="s">
        <v>1819</v>
      </c>
      <c r="O53" t="s">
        <v>7</v>
      </c>
      <c r="P53" t="s">
        <v>7</v>
      </c>
    </row>
    <row r="54" spans="2:16" x14ac:dyDescent="0.55000000000000004">
      <c r="B54" t="s">
        <v>3270</v>
      </c>
      <c r="D54">
        <v>52</v>
      </c>
      <c r="G54" t="s">
        <v>1699</v>
      </c>
      <c r="H54" t="s">
        <v>1820</v>
      </c>
      <c r="I54" t="s">
        <v>1821</v>
      </c>
      <c r="J54" t="s">
        <v>7</v>
      </c>
      <c r="K54" t="s">
        <v>7</v>
      </c>
      <c r="L54" t="s">
        <v>7</v>
      </c>
      <c r="M54" t="s">
        <v>7</v>
      </c>
      <c r="N54" t="s">
        <v>1822</v>
      </c>
      <c r="O54" t="s">
        <v>7</v>
      </c>
      <c r="P54" t="s">
        <v>7</v>
      </c>
    </row>
    <row r="55" spans="2:16" x14ac:dyDescent="0.55000000000000004">
      <c r="B55" t="s">
        <v>3270</v>
      </c>
      <c r="D55">
        <v>53</v>
      </c>
      <c r="G55" t="s">
        <v>1707</v>
      </c>
      <c r="H55" t="s">
        <v>1823</v>
      </c>
      <c r="I55" t="s">
        <v>1824</v>
      </c>
      <c r="J55">
        <v>2008</v>
      </c>
      <c r="K55" t="s">
        <v>7</v>
      </c>
      <c r="L55" t="s">
        <v>7</v>
      </c>
      <c r="M55" t="s">
        <v>7</v>
      </c>
      <c r="N55" t="s">
        <v>7</v>
      </c>
      <c r="O55" t="s">
        <v>7</v>
      </c>
      <c r="P55" t="s">
        <v>7</v>
      </c>
    </row>
    <row r="56" spans="2:16" x14ac:dyDescent="0.55000000000000004">
      <c r="B56" t="s">
        <v>3270</v>
      </c>
      <c r="D56">
        <v>54</v>
      </c>
      <c r="G56" t="s">
        <v>1826</v>
      </c>
      <c r="H56" t="s">
        <v>1825</v>
      </c>
      <c r="I56" t="s">
        <v>1827</v>
      </c>
      <c r="J56">
        <v>2010</v>
      </c>
      <c r="K56" t="s">
        <v>7</v>
      </c>
      <c r="L56" t="s">
        <v>7</v>
      </c>
      <c r="M56" t="s">
        <v>7</v>
      </c>
      <c r="N56" t="s">
        <v>7</v>
      </c>
      <c r="O56" t="s">
        <v>7</v>
      </c>
      <c r="P56" t="s">
        <v>7</v>
      </c>
    </row>
    <row r="57" spans="2:16" x14ac:dyDescent="0.55000000000000004">
      <c r="B57" t="s">
        <v>3270</v>
      </c>
      <c r="D57">
        <v>55</v>
      </c>
      <c r="G57" t="s">
        <v>1826</v>
      </c>
      <c r="H57" t="s">
        <v>1828</v>
      </c>
      <c r="I57" t="s">
        <v>1829</v>
      </c>
      <c r="J57">
        <v>2013</v>
      </c>
      <c r="K57" t="s">
        <v>7</v>
      </c>
      <c r="L57" t="s">
        <v>7</v>
      </c>
      <c r="M57" t="s">
        <v>7</v>
      </c>
      <c r="N57" t="s">
        <v>7</v>
      </c>
      <c r="O57" t="s">
        <v>7</v>
      </c>
      <c r="P57" t="s">
        <v>7</v>
      </c>
    </row>
    <row r="58" spans="2:16" x14ac:dyDescent="0.55000000000000004">
      <c r="B58" t="s">
        <v>3270</v>
      </c>
      <c r="D58">
        <v>56</v>
      </c>
      <c r="G58" t="s">
        <v>1826</v>
      </c>
      <c r="H58" t="s">
        <v>1830</v>
      </c>
      <c r="I58" t="s">
        <v>1831</v>
      </c>
      <c r="J58">
        <v>2002</v>
      </c>
      <c r="K58" t="s">
        <v>7</v>
      </c>
      <c r="L58" t="s">
        <v>7</v>
      </c>
      <c r="M58" t="s">
        <v>7</v>
      </c>
      <c r="N58" t="s">
        <v>7</v>
      </c>
      <c r="O58" t="s">
        <v>7</v>
      </c>
      <c r="P58" t="s">
        <v>7</v>
      </c>
    </row>
    <row r="59" spans="2:16" x14ac:dyDescent="0.55000000000000004">
      <c r="B59" t="s">
        <v>3270</v>
      </c>
      <c r="D59">
        <v>57</v>
      </c>
      <c r="G59" t="s">
        <v>1826</v>
      </c>
      <c r="H59" t="s">
        <v>1832</v>
      </c>
      <c r="I59" t="s">
        <v>1833</v>
      </c>
      <c r="J59">
        <v>2018</v>
      </c>
      <c r="K59" t="s">
        <v>7</v>
      </c>
      <c r="L59" t="s">
        <v>7</v>
      </c>
      <c r="M59" t="s">
        <v>7</v>
      </c>
      <c r="N59" t="s">
        <v>7</v>
      </c>
      <c r="O59" t="s">
        <v>7</v>
      </c>
    </row>
    <row r="60" spans="2:16" x14ac:dyDescent="0.55000000000000004">
      <c r="B60" t="s">
        <v>3270</v>
      </c>
      <c r="D60">
        <v>58</v>
      </c>
      <c r="G60" t="s">
        <v>1826</v>
      </c>
      <c r="H60" t="s">
        <v>1834</v>
      </c>
      <c r="I60" t="s">
        <v>1835</v>
      </c>
      <c r="J60">
        <v>2007</v>
      </c>
      <c r="K60" t="s">
        <v>7</v>
      </c>
      <c r="L60" t="s">
        <v>1836</v>
      </c>
      <c r="M60" t="s">
        <v>7</v>
      </c>
      <c r="N60" t="s">
        <v>7</v>
      </c>
      <c r="O60" t="s">
        <v>7</v>
      </c>
      <c r="P60" t="s">
        <v>7</v>
      </c>
    </row>
    <row r="61" spans="2:16" x14ac:dyDescent="0.55000000000000004">
      <c r="B61" t="s">
        <v>3270</v>
      </c>
      <c r="D61">
        <v>59</v>
      </c>
      <c r="G61" t="s">
        <v>1826</v>
      </c>
      <c r="H61" t="s">
        <v>1834</v>
      </c>
      <c r="I61" t="s">
        <v>1837</v>
      </c>
      <c r="J61">
        <v>2008</v>
      </c>
      <c r="K61" t="s">
        <v>7</v>
      </c>
      <c r="L61" t="s">
        <v>1836</v>
      </c>
      <c r="M61" t="s">
        <v>7</v>
      </c>
      <c r="N61" t="s">
        <v>7</v>
      </c>
      <c r="O61" t="s">
        <v>7</v>
      </c>
      <c r="P61" t="s">
        <v>7</v>
      </c>
    </row>
    <row r="62" spans="2:16" x14ac:dyDescent="0.55000000000000004">
      <c r="B62" t="s">
        <v>3270</v>
      </c>
      <c r="D62">
        <v>60</v>
      </c>
      <c r="G62" t="s">
        <v>1826</v>
      </c>
      <c r="H62" t="s">
        <v>1838</v>
      </c>
      <c r="I62" t="s">
        <v>1839</v>
      </c>
      <c r="J62" t="s">
        <v>1840</v>
      </c>
      <c r="K62" t="s">
        <v>1841</v>
      </c>
      <c r="L62" t="s">
        <v>7</v>
      </c>
      <c r="M62" t="s">
        <v>7</v>
      </c>
      <c r="N62" t="s">
        <v>7</v>
      </c>
      <c r="O62" t="s">
        <v>7</v>
      </c>
    </row>
    <row r="63" spans="2:16" x14ac:dyDescent="0.55000000000000004">
      <c r="B63" t="s">
        <v>3270</v>
      </c>
      <c r="D63">
        <v>61</v>
      </c>
      <c r="G63" t="s">
        <v>1826</v>
      </c>
      <c r="H63" t="s">
        <v>1842</v>
      </c>
      <c r="I63" t="s">
        <v>1843</v>
      </c>
      <c r="J63">
        <v>2007</v>
      </c>
      <c r="K63" t="s">
        <v>7</v>
      </c>
      <c r="L63" t="s">
        <v>7</v>
      </c>
      <c r="M63" t="s">
        <v>7</v>
      </c>
      <c r="N63" t="s">
        <v>7</v>
      </c>
      <c r="O63" t="s">
        <v>7</v>
      </c>
    </row>
    <row r="64" spans="2:16" x14ac:dyDescent="0.55000000000000004">
      <c r="B64" t="s">
        <v>3270</v>
      </c>
      <c r="D64">
        <v>62</v>
      </c>
      <c r="G64" t="s">
        <v>1845</v>
      </c>
      <c r="H64" t="s">
        <v>1844</v>
      </c>
      <c r="I64" t="s">
        <v>1846</v>
      </c>
      <c r="J64">
        <v>2018</v>
      </c>
      <c r="K64" t="s">
        <v>1847</v>
      </c>
      <c r="L64" t="s">
        <v>7</v>
      </c>
      <c r="M64" t="s">
        <v>1848</v>
      </c>
      <c r="N64" t="s">
        <v>7</v>
      </c>
      <c r="O64" t="s">
        <v>7</v>
      </c>
    </row>
    <row r="65" spans="2:16" x14ac:dyDescent="0.55000000000000004">
      <c r="B65" t="s">
        <v>3270</v>
      </c>
      <c r="D65">
        <v>63</v>
      </c>
      <c r="G65" t="s">
        <v>1826</v>
      </c>
      <c r="H65" t="s">
        <v>1849</v>
      </c>
      <c r="I65" t="s">
        <v>1850</v>
      </c>
      <c r="J65" t="s">
        <v>1851</v>
      </c>
      <c r="K65" t="s">
        <v>7</v>
      </c>
      <c r="L65" t="s">
        <v>7</v>
      </c>
      <c r="M65" t="s">
        <v>7</v>
      </c>
      <c r="N65" t="s">
        <v>7</v>
      </c>
      <c r="O65" t="s">
        <v>7</v>
      </c>
    </row>
    <row r="66" spans="2:16" x14ac:dyDescent="0.55000000000000004">
      <c r="B66" t="s">
        <v>3270</v>
      </c>
      <c r="D66">
        <v>64</v>
      </c>
      <c r="G66" t="s">
        <v>1826</v>
      </c>
      <c r="H66" t="s">
        <v>1849</v>
      </c>
      <c r="I66" t="s">
        <v>1852</v>
      </c>
      <c r="J66" t="s">
        <v>1853</v>
      </c>
      <c r="K66" t="s">
        <v>7</v>
      </c>
      <c r="L66" t="s">
        <v>7</v>
      </c>
      <c r="M66" t="s">
        <v>7</v>
      </c>
      <c r="N66" t="s">
        <v>7</v>
      </c>
      <c r="O66" t="s">
        <v>7</v>
      </c>
    </row>
    <row r="67" spans="2:16" x14ac:dyDescent="0.55000000000000004">
      <c r="B67" t="s">
        <v>3270</v>
      </c>
      <c r="D67">
        <v>65</v>
      </c>
      <c r="G67" t="s">
        <v>1826</v>
      </c>
      <c r="H67" t="s">
        <v>1854</v>
      </c>
      <c r="I67" t="s">
        <v>1855</v>
      </c>
      <c r="J67" t="s">
        <v>1856</v>
      </c>
      <c r="K67" t="s">
        <v>1857</v>
      </c>
      <c r="L67" t="s">
        <v>7</v>
      </c>
      <c r="M67" t="s">
        <v>7</v>
      </c>
      <c r="N67" t="s">
        <v>7</v>
      </c>
      <c r="O67" t="s">
        <v>7</v>
      </c>
      <c r="P67" t="s">
        <v>7</v>
      </c>
    </row>
    <row r="68" spans="2:16" x14ac:dyDescent="0.55000000000000004">
      <c r="B68" t="s">
        <v>3270</v>
      </c>
      <c r="D68">
        <v>66</v>
      </c>
      <c r="G68" t="s">
        <v>1826</v>
      </c>
      <c r="H68" t="s">
        <v>1858</v>
      </c>
      <c r="I68" t="s">
        <v>1859</v>
      </c>
      <c r="J68">
        <v>2018</v>
      </c>
      <c r="K68" t="s">
        <v>7</v>
      </c>
      <c r="L68" t="s">
        <v>7</v>
      </c>
      <c r="M68" t="s">
        <v>7</v>
      </c>
      <c r="N68" t="s">
        <v>7</v>
      </c>
      <c r="O68" t="s">
        <v>7</v>
      </c>
      <c r="P68" t="s">
        <v>7</v>
      </c>
    </row>
    <row r="69" spans="2:16" x14ac:dyDescent="0.55000000000000004">
      <c r="B69" t="s">
        <v>3270</v>
      </c>
      <c r="D69">
        <v>67</v>
      </c>
      <c r="G69" t="s">
        <v>1826</v>
      </c>
      <c r="H69" t="s">
        <v>1860</v>
      </c>
      <c r="I69" t="s">
        <v>1861</v>
      </c>
      <c r="J69">
        <v>2017</v>
      </c>
      <c r="K69" t="s">
        <v>7</v>
      </c>
      <c r="L69" t="s">
        <v>1862</v>
      </c>
      <c r="M69" t="s">
        <v>7</v>
      </c>
      <c r="N69" t="s">
        <v>7</v>
      </c>
      <c r="O69" t="s">
        <v>7</v>
      </c>
      <c r="P69" t="s">
        <v>7</v>
      </c>
    </row>
    <row r="70" spans="2:16" x14ac:dyDescent="0.55000000000000004">
      <c r="B70" t="s">
        <v>3270</v>
      </c>
      <c r="D70">
        <v>68</v>
      </c>
      <c r="G70" t="s">
        <v>1863</v>
      </c>
      <c r="H70" t="s">
        <v>1864</v>
      </c>
      <c r="I70" t="s">
        <v>1865</v>
      </c>
      <c r="J70">
        <v>2017</v>
      </c>
      <c r="M70" t="s">
        <v>1866</v>
      </c>
    </row>
    <row r="71" spans="2:16" x14ac:dyDescent="0.55000000000000004">
      <c r="B71" t="s">
        <v>3270</v>
      </c>
      <c r="D71">
        <v>69</v>
      </c>
      <c r="G71" t="s">
        <v>1707</v>
      </c>
      <c r="H71" t="s">
        <v>1867</v>
      </c>
      <c r="I71" t="s">
        <v>1868</v>
      </c>
      <c r="J71">
        <v>2020</v>
      </c>
      <c r="N71" t="s">
        <v>1869</v>
      </c>
    </row>
    <row r="72" spans="2:16" x14ac:dyDescent="0.55000000000000004">
      <c r="B72" t="s">
        <v>3270</v>
      </c>
      <c r="D72">
        <v>70</v>
      </c>
      <c r="G72" t="s">
        <v>1707</v>
      </c>
      <c r="H72" t="s">
        <v>1870</v>
      </c>
      <c r="I72" t="s">
        <v>1871</v>
      </c>
      <c r="J72">
        <v>2020</v>
      </c>
    </row>
    <row r="73" spans="2:16" x14ac:dyDescent="0.55000000000000004">
      <c r="B73" t="s">
        <v>3270</v>
      </c>
      <c r="D73">
        <v>71</v>
      </c>
      <c r="G73" t="s">
        <v>1714</v>
      </c>
      <c r="H73" t="s">
        <v>1872</v>
      </c>
      <c r="I73" t="s">
        <v>1873</v>
      </c>
      <c r="J73">
        <v>2014</v>
      </c>
      <c r="K73" t="s">
        <v>1874</v>
      </c>
      <c r="M73" t="s">
        <v>1875</v>
      </c>
    </row>
    <row r="74" spans="2:16" x14ac:dyDescent="0.55000000000000004">
      <c r="B74" t="s">
        <v>3270</v>
      </c>
      <c r="D74">
        <v>72</v>
      </c>
      <c r="G74" t="s">
        <v>1714</v>
      </c>
      <c r="H74" s="61" t="s">
        <v>1876</v>
      </c>
      <c r="I74" s="61" t="s">
        <v>1877</v>
      </c>
      <c r="J74" s="61">
        <v>2020</v>
      </c>
      <c r="K74" s="61" t="s">
        <v>1878</v>
      </c>
      <c r="L74" s="61" t="s">
        <v>1879</v>
      </c>
      <c r="M74" s="61" t="s">
        <v>1880</v>
      </c>
      <c r="N74" s="61" t="s">
        <v>1881</v>
      </c>
      <c r="O74" s="61"/>
      <c r="P74" s="61"/>
    </row>
    <row r="75" spans="2:16" x14ac:dyDescent="0.55000000000000004">
      <c r="B75" t="s">
        <v>3270</v>
      </c>
      <c r="D75">
        <v>73</v>
      </c>
      <c r="G75" t="s">
        <v>1714</v>
      </c>
      <c r="H75" s="61" t="s">
        <v>1882</v>
      </c>
      <c r="I75" s="61" t="s">
        <v>1883</v>
      </c>
      <c r="J75" s="61">
        <v>2016</v>
      </c>
      <c r="K75" s="61" t="s">
        <v>1884</v>
      </c>
      <c r="L75" s="61"/>
      <c r="M75" s="61" t="s">
        <v>1885</v>
      </c>
      <c r="N75" s="61" t="s">
        <v>1886</v>
      </c>
      <c r="O75" s="61"/>
      <c r="P75" s="61"/>
    </row>
    <row r="76" spans="2:16" x14ac:dyDescent="0.55000000000000004">
      <c r="B76" t="s">
        <v>3270</v>
      </c>
      <c r="D76">
        <v>74</v>
      </c>
      <c r="G76" t="s">
        <v>1703</v>
      </c>
      <c r="H76" s="61" t="s">
        <v>1887</v>
      </c>
      <c r="I76" s="61" t="s">
        <v>1888</v>
      </c>
      <c r="J76" s="61">
        <v>2021</v>
      </c>
      <c r="K76" s="61" t="s">
        <v>1789</v>
      </c>
      <c r="L76" s="61"/>
      <c r="M76" t="s">
        <v>1889</v>
      </c>
      <c r="N76" s="61" t="s">
        <v>1889</v>
      </c>
      <c r="O76" s="61"/>
      <c r="P76" s="61"/>
    </row>
    <row r="77" spans="2:16" x14ac:dyDescent="0.55000000000000004">
      <c r="B77" t="s">
        <v>3270</v>
      </c>
      <c r="D77">
        <v>75</v>
      </c>
      <c r="G77" t="s">
        <v>1714</v>
      </c>
      <c r="H77" s="61" t="s">
        <v>1890</v>
      </c>
      <c r="I77" s="61" t="s">
        <v>1891</v>
      </c>
      <c r="J77" s="61">
        <v>2015</v>
      </c>
      <c r="K77" s="61" t="s">
        <v>1892</v>
      </c>
      <c r="L77" s="61"/>
      <c r="M77" s="61" t="s">
        <v>1893</v>
      </c>
      <c r="N77" s="61"/>
      <c r="O77" s="61"/>
      <c r="P77" s="61"/>
    </row>
    <row r="78" spans="2:16" x14ac:dyDescent="0.55000000000000004">
      <c r="B78" t="s">
        <v>3270</v>
      </c>
      <c r="D78">
        <v>76</v>
      </c>
      <c r="G78" t="s">
        <v>1707</v>
      </c>
      <c r="H78" s="61" t="s">
        <v>1894</v>
      </c>
      <c r="I78" s="61" t="s">
        <v>1895</v>
      </c>
      <c r="J78" s="61">
        <v>2022</v>
      </c>
      <c r="K78" s="61"/>
      <c r="L78" s="61"/>
      <c r="M78" s="61"/>
      <c r="N78" s="61" t="s">
        <v>1896</v>
      </c>
      <c r="O78" s="61"/>
      <c r="P78" s="61"/>
    </row>
    <row r="79" spans="2:16" x14ac:dyDescent="0.55000000000000004">
      <c r="B79" t="s">
        <v>3270</v>
      </c>
      <c r="D79">
        <v>77</v>
      </c>
      <c r="G79" s="61" t="s">
        <v>1707</v>
      </c>
      <c r="H79" s="61" t="s">
        <v>2084</v>
      </c>
      <c r="I79" s="61" t="s">
        <v>1897</v>
      </c>
      <c r="J79" s="61">
        <v>2019</v>
      </c>
      <c r="K79" s="61"/>
      <c r="L79" s="61"/>
      <c r="M79" s="61"/>
      <c r="N79" s="61" t="s">
        <v>1898</v>
      </c>
      <c r="O79" s="61"/>
      <c r="P79" s="61"/>
    </row>
    <row r="80" spans="2:16" x14ac:dyDescent="0.55000000000000004">
      <c r="B80" t="s">
        <v>3270</v>
      </c>
      <c r="D80">
        <v>78</v>
      </c>
      <c r="G80" t="s">
        <v>1714</v>
      </c>
      <c r="H80" s="61" t="s">
        <v>1899</v>
      </c>
      <c r="I80" s="61" t="s">
        <v>1900</v>
      </c>
      <c r="J80" s="61">
        <v>2023</v>
      </c>
      <c r="K80" s="61" t="s">
        <v>1677</v>
      </c>
      <c r="L80" s="61"/>
      <c r="M80" s="61" t="s">
        <v>1901</v>
      </c>
      <c r="N80" s="61" t="s">
        <v>1902</v>
      </c>
      <c r="O80" s="61"/>
      <c r="P80" s="61"/>
    </row>
    <row r="81" spans="2:17" x14ac:dyDescent="0.55000000000000004">
      <c r="B81" t="s">
        <v>3270</v>
      </c>
      <c r="D81">
        <v>79</v>
      </c>
      <c r="G81" t="s">
        <v>1714</v>
      </c>
      <c r="H81" s="61" t="s">
        <v>1903</v>
      </c>
      <c r="I81" s="61" t="s">
        <v>1904</v>
      </c>
      <c r="J81" s="61">
        <v>2021</v>
      </c>
      <c r="K81" s="61" t="s">
        <v>1905</v>
      </c>
      <c r="L81" s="61"/>
      <c r="M81" s="61" t="s">
        <v>1906</v>
      </c>
      <c r="N81" s="61" t="s">
        <v>1907</v>
      </c>
      <c r="O81" s="61"/>
      <c r="P81" s="61"/>
    </row>
    <row r="82" spans="2:17" x14ac:dyDescent="0.55000000000000004">
      <c r="B82" t="s">
        <v>3270</v>
      </c>
      <c r="D82">
        <v>80</v>
      </c>
      <c r="G82" t="s">
        <v>1714</v>
      </c>
      <c r="H82" s="61" t="s">
        <v>1908</v>
      </c>
      <c r="I82" s="61" t="s">
        <v>1909</v>
      </c>
      <c r="J82" s="61">
        <v>2023</v>
      </c>
      <c r="K82" s="61" t="s">
        <v>1910</v>
      </c>
      <c r="L82" s="61"/>
      <c r="M82" s="61" t="s">
        <v>1911</v>
      </c>
      <c r="N82" t="s">
        <v>1912</v>
      </c>
      <c r="O82" s="61"/>
      <c r="P82" s="61"/>
    </row>
    <row r="83" spans="2:17" x14ac:dyDescent="0.55000000000000004">
      <c r="B83" t="s">
        <v>3270</v>
      </c>
      <c r="D83">
        <v>81</v>
      </c>
      <c r="G83" t="s">
        <v>1714</v>
      </c>
      <c r="H83" s="61" t="s">
        <v>2085</v>
      </c>
      <c r="I83" s="61" t="s">
        <v>1913</v>
      </c>
      <c r="J83" s="61">
        <v>2004</v>
      </c>
      <c r="K83" s="61" t="s">
        <v>1914</v>
      </c>
      <c r="L83" s="61"/>
      <c r="M83" s="61"/>
      <c r="N83" s="61" t="s">
        <v>1915</v>
      </c>
      <c r="O83" s="61"/>
      <c r="P83" s="61"/>
    </row>
    <row r="84" spans="2:17" x14ac:dyDescent="0.55000000000000004">
      <c r="B84" t="s">
        <v>3270</v>
      </c>
      <c r="D84">
        <v>82</v>
      </c>
      <c r="G84" t="s">
        <v>1714</v>
      </c>
      <c r="H84" s="61" t="s">
        <v>1916</v>
      </c>
      <c r="I84" s="61" t="s">
        <v>1917</v>
      </c>
      <c r="J84" s="61">
        <v>2020</v>
      </c>
      <c r="K84" s="61" t="s">
        <v>1677</v>
      </c>
      <c r="L84" s="61"/>
      <c r="M84" s="61" t="s">
        <v>1918</v>
      </c>
      <c r="N84" s="61" t="s">
        <v>1919</v>
      </c>
      <c r="O84" s="61"/>
      <c r="P84" s="61"/>
    </row>
    <row r="85" spans="2:17" x14ac:dyDescent="0.55000000000000004">
      <c r="B85" t="s">
        <v>3270</v>
      </c>
      <c r="D85">
        <v>83</v>
      </c>
      <c r="G85" t="s">
        <v>1714</v>
      </c>
      <c r="H85" s="61" t="s">
        <v>1920</v>
      </c>
      <c r="I85" s="61" t="s">
        <v>1921</v>
      </c>
      <c r="J85" s="61">
        <v>2017</v>
      </c>
      <c r="K85" s="61" t="s">
        <v>1922</v>
      </c>
      <c r="L85" s="61"/>
      <c r="M85" s="61" t="s">
        <v>1923</v>
      </c>
      <c r="N85" s="61" t="s">
        <v>1924</v>
      </c>
      <c r="O85" s="61"/>
      <c r="P85" s="61"/>
      <c r="Q85" s="61"/>
    </row>
    <row r="86" spans="2:17" x14ac:dyDescent="0.55000000000000004">
      <c r="B86" t="s">
        <v>3270</v>
      </c>
      <c r="D86">
        <v>84</v>
      </c>
      <c r="G86" t="s">
        <v>1707</v>
      </c>
      <c r="H86" t="s">
        <v>1925</v>
      </c>
      <c r="I86" t="s">
        <v>1926</v>
      </c>
      <c r="J86">
        <v>2022</v>
      </c>
      <c r="K86" t="s">
        <v>1927</v>
      </c>
      <c r="N86" s="67" t="s">
        <v>1928</v>
      </c>
    </row>
    <row r="87" spans="2:17" x14ac:dyDescent="0.55000000000000004">
      <c r="B87" t="s">
        <v>3270</v>
      </c>
      <c r="D87">
        <v>85</v>
      </c>
      <c r="G87" t="s">
        <v>1714</v>
      </c>
      <c r="H87" t="s">
        <v>1929</v>
      </c>
      <c r="I87" s="80" t="s">
        <v>1930</v>
      </c>
      <c r="J87">
        <v>2021</v>
      </c>
      <c r="K87" t="s">
        <v>1931</v>
      </c>
      <c r="M87" t="s">
        <v>1932</v>
      </c>
      <c r="N87" s="67" t="s">
        <v>1933</v>
      </c>
    </row>
    <row r="88" spans="2:17" x14ac:dyDescent="0.55000000000000004">
      <c r="B88" t="s">
        <v>3270</v>
      </c>
      <c r="D88">
        <v>86</v>
      </c>
      <c r="G88" t="s">
        <v>1714</v>
      </c>
      <c r="H88" t="s">
        <v>1934</v>
      </c>
      <c r="I88" t="s">
        <v>1935</v>
      </c>
      <c r="J88">
        <v>2017</v>
      </c>
      <c r="K88" s="79" t="s">
        <v>1936</v>
      </c>
      <c r="M88" t="s">
        <v>1937</v>
      </c>
      <c r="N88" s="67" t="s">
        <v>1938</v>
      </c>
    </row>
    <row r="89" spans="2:17" x14ac:dyDescent="0.55000000000000004">
      <c r="B89" t="s">
        <v>3270</v>
      </c>
      <c r="D89">
        <v>87</v>
      </c>
      <c r="G89" t="s">
        <v>1714</v>
      </c>
      <c r="H89" t="s">
        <v>1939</v>
      </c>
      <c r="I89" t="s">
        <v>1940</v>
      </c>
      <c r="J89">
        <v>2016</v>
      </c>
      <c r="K89" s="78" t="s">
        <v>1941</v>
      </c>
      <c r="M89" t="s">
        <v>1942</v>
      </c>
      <c r="N89" s="67" t="s">
        <v>1943</v>
      </c>
    </row>
    <row r="90" spans="2:17" x14ac:dyDescent="0.55000000000000004">
      <c r="B90" t="s">
        <v>3270</v>
      </c>
      <c r="D90">
        <v>88</v>
      </c>
      <c r="G90" t="s">
        <v>1714</v>
      </c>
      <c r="H90" t="s">
        <v>1944</v>
      </c>
      <c r="I90" t="s">
        <v>1945</v>
      </c>
      <c r="J90">
        <v>2023</v>
      </c>
      <c r="K90" t="s">
        <v>1946</v>
      </c>
      <c r="M90" t="s">
        <v>1947</v>
      </c>
      <c r="N90" s="67" t="s">
        <v>1948</v>
      </c>
    </row>
    <row r="91" spans="2:17" x14ac:dyDescent="0.55000000000000004">
      <c r="B91" t="s">
        <v>3270</v>
      </c>
      <c r="D91">
        <v>89</v>
      </c>
      <c r="G91" t="s">
        <v>1714</v>
      </c>
      <c r="H91" t="s">
        <v>1949</v>
      </c>
      <c r="I91" t="s">
        <v>1950</v>
      </c>
      <c r="J91">
        <v>2019</v>
      </c>
      <c r="K91" t="s">
        <v>1951</v>
      </c>
      <c r="M91" t="s">
        <v>1952</v>
      </c>
      <c r="N91" s="67" t="s">
        <v>1953</v>
      </c>
    </row>
    <row r="92" spans="2:17" x14ac:dyDescent="0.55000000000000004">
      <c r="B92" t="s">
        <v>3270</v>
      </c>
      <c r="D92">
        <v>90</v>
      </c>
      <c r="G92" t="s">
        <v>1714</v>
      </c>
      <c r="H92" t="s">
        <v>1954</v>
      </c>
      <c r="I92" t="s">
        <v>1955</v>
      </c>
      <c r="J92">
        <v>2016</v>
      </c>
      <c r="K92" s="78" t="s">
        <v>1956</v>
      </c>
      <c r="M92" t="s">
        <v>1957</v>
      </c>
      <c r="N92" s="67" t="s">
        <v>1958</v>
      </c>
    </row>
    <row r="93" spans="2:17" x14ac:dyDescent="0.55000000000000004">
      <c r="B93" t="s">
        <v>3270</v>
      </c>
      <c r="D93">
        <v>91</v>
      </c>
      <c r="G93" t="s">
        <v>1714</v>
      </c>
      <c r="H93" t="s">
        <v>1959</v>
      </c>
      <c r="I93" t="s">
        <v>2086</v>
      </c>
      <c r="J93">
        <v>2023</v>
      </c>
      <c r="K93" s="78" t="s">
        <v>1960</v>
      </c>
      <c r="M93" t="s">
        <v>1961</v>
      </c>
      <c r="N93" s="67" t="s">
        <v>1962</v>
      </c>
    </row>
    <row r="94" spans="2:17" x14ac:dyDescent="0.55000000000000004">
      <c r="B94" t="s">
        <v>3270</v>
      </c>
      <c r="D94">
        <v>92</v>
      </c>
      <c r="G94" s="61" t="s">
        <v>1714</v>
      </c>
      <c r="H94" s="61" t="s">
        <v>1963</v>
      </c>
      <c r="I94" s="61" t="s">
        <v>1964</v>
      </c>
      <c r="J94" s="61">
        <v>2023</v>
      </c>
      <c r="K94" s="61" t="s">
        <v>1965</v>
      </c>
      <c r="L94" s="61"/>
      <c r="M94" s="61" t="s">
        <v>1966</v>
      </c>
      <c r="N94" s="61" t="s">
        <v>1966</v>
      </c>
      <c r="O94" s="61"/>
      <c r="P94" s="61"/>
      <c r="Q94" s="61"/>
    </row>
    <row r="95" spans="2:17" x14ac:dyDescent="0.55000000000000004">
      <c r="B95" t="s">
        <v>3270</v>
      </c>
      <c r="D95">
        <v>93</v>
      </c>
      <c r="G95" s="61" t="s">
        <v>1699</v>
      </c>
      <c r="H95" s="61"/>
      <c r="I95" s="61" t="s">
        <v>1967</v>
      </c>
      <c r="J95" s="61">
        <v>2023</v>
      </c>
      <c r="K95" s="61"/>
      <c r="L95" s="61"/>
      <c r="M95" s="61"/>
      <c r="N95" s="61" t="s">
        <v>1968</v>
      </c>
      <c r="O95" s="61"/>
      <c r="P95" s="61"/>
      <c r="Q95" s="61"/>
    </row>
    <row r="96" spans="2:17" x14ac:dyDescent="0.55000000000000004">
      <c r="B96" t="s">
        <v>3270</v>
      </c>
      <c r="D96">
        <v>94</v>
      </c>
      <c r="G96" t="s">
        <v>1699</v>
      </c>
      <c r="H96" s="61" t="s">
        <v>1969</v>
      </c>
      <c r="I96" s="61" t="s">
        <v>1970</v>
      </c>
      <c r="J96" s="61">
        <v>2008</v>
      </c>
      <c r="K96" s="61"/>
      <c r="L96" s="61"/>
      <c r="M96" s="61"/>
      <c r="N96" s="61" t="s">
        <v>1971</v>
      </c>
      <c r="O96" s="61"/>
      <c r="P96" s="61"/>
      <c r="Q96" s="61"/>
    </row>
    <row r="97" spans="2:17" x14ac:dyDescent="0.55000000000000004">
      <c r="B97" t="s">
        <v>3270</v>
      </c>
      <c r="D97">
        <v>95</v>
      </c>
      <c r="G97" s="61" t="s">
        <v>1656</v>
      </c>
      <c r="H97" s="61" t="s">
        <v>1972</v>
      </c>
      <c r="I97" s="61" t="s">
        <v>1973</v>
      </c>
      <c r="J97" s="61">
        <v>2022</v>
      </c>
      <c r="K97" s="61"/>
      <c r="L97" s="61" t="s">
        <v>1974</v>
      </c>
      <c r="M97" s="61"/>
      <c r="N97" s="61"/>
      <c r="O97" s="61" t="s">
        <v>1975</v>
      </c>
      <c r="P97" s="61"/>
      <c r="Q97" s="61"/>
    </row>
    <row r="98" spans="2:17" x14ac:dyDescent="0.55000000000000004">
      <c r="B98" t="s">
        <v>3270</v>
      </c>
      <c r="D98">
        <v>96</v>
      </c>
      <c r="G98" s="61" t="s">
        <v>1714</v>
      </c>
      <c r="H98" s="61" t="s">
        <v>1976</v>
      </c>
      <c r="I98" s="61" t="s">
        <v>1977</v>
      </c>
      <c r="J98" s="61">
        <v>2021</v>
      </c>
      <c r="K98" s="61" t="s">
        <v>1978</v>
      </c>
      <c r="L98" s="61"/>
      <c r="M98" s="61"/>
      <c r="N98" s="61" t="s">
        <v>1979</v>
      </c>
      <c r="O98" s="61"/>
      <c r="P98" s="61"/>
      <c r="Q98" s="61"/>
    </row>
    <row r="99" spans="2:17" x14ac:dyDescent="0.55000000000000004">
      <c r="B99" t="s">
        <v>3270</v>
      </c>
      <c r="D99">
        <v>97</v>
      </c>
      <c r="G99" s="61" t="s">
        <v>2087</v>
      </c>
      <c r="H99" s="61" t="s">
        <v>1980</v>
      </c>
      <c r="I99" s="61" t="s">
        <v>1981</v>
      </c>
      <c r="J99" s="61">
        <v>2012</v>
      </c>
      <c r="K99" s="61" t="s">
        <v>1982</v>
      </c>
      <c r="L99" s="61"/>
      <c r="M99" s="61"/>
      <c r="N99" s="61"/>
      <c r="O99" s="61"/>
      <c r="P99" s="61"/>
      <c r="Q99" s="61"/>
    </row>
    <row r="100" spans="2:17" x14ac:dyDescent="0.55000000000000004">
      <c r="B100" t="s">
        <v>3270</v>
      </c>
      <c r="D100">
        <v>98</v>
      </c>
      <c r="G100" s="61" t="s">
        <v>1707</v>
      </c>
      <c r="H100" s="61" t="s">
        <v>1983</v>
      </c>
      <c r="I100" s="61" t="s">
        <v>1984</v>
      </c>
      <c r="J100" s="61">
        <v>2018</v>
      </c>
      <c r="N100" s="67" t="s">
        <v>1985</v>
      </c>
    </row>
    <row r="101" spans="2:17" x14ac:dyDescent="0.55000000000000004">
      <c r="B101" t="s">
        <v>3270</v>
      </c>
      <c r="D101">
        <v>99</v>
      </c>
      <c r="G101" s="61" t="s">
        <v>1707</v>
      </c>
      <c r="H101" t="s">
        <v>1986</v>
      </c>
      <c r="I101" t="s">
        <v>1987</v>
      </c>
      <c r="J101" s="61">
        <v>2021</v>
      </c>
      <c r="N101" t="s">
        <v>1988</v>
      </c>
    </row>
    <row r="102" spans="2:17" x14ac:dyDescent="0.55000000000000004">
      <c r="B102" t="s">
        <v>3270</v>
      </c>
      <c r="D102">
        <v>100</v>
      </c>
      <c r="G102" t="s">
        <v>1707</v>
      </c>
      <c r="H102" t="s">
        <v>1989</v>
      </c>
      <c r="I102" t="s">
        <v>1990</v>
      </c>
      <c r="J102">
        <v>2013</v>
      </c>
      <c r="K102" t="s">
        <v>1991</v>
      </c>
      <c r="L102" t="s">
        <v>1992</v>
      </c>
      <c r="N102" t="s">
        <v>1993</v>
      </c>
    </row>
    <row r="103" spans="2:17" x14ac:dyDescent="0.55000000000000004">
      <c r="B103" t="s">
        <v>3270</v>
      </c>
      <c r="D103">
        <v>101</v>
      </c>
      <c r="G103" t="s">
        <v>1994</v>
      </c>
      <c r="H103" t="s">
        <v>1995</v>
      </c>
      <c r="I103" t="s">
        <v>1996</v>
      </c>
      <c r="J103">
        <v>2022</v>
      </c>
      <c r="K103" t="s">
        <v>1997</v>
      </c>
      <c r="L103" t="s">
        <v>1998</v>
      </c>
      <c r="N103" t="s">
        <v>1999</v>
      </c>
    </row>
    <row r="104" spans="2:17" x14ac:dyDescent="0.55000000000000004">
      <c r="B104" t="s">
        <v>3270</v>
      </c>
      <c r="D104">
        <v>102</v>
      </c>
      <c r="G104" s="61" t="s">
        <v>1699</v>
      </c>
      <c r="H104" t="s">
        <v>2000</v>
      </c>
      <c r="I104" t="s">
        <v>2001</v>
      </c>
      <c r="N104" t="s">
        <v>2002</v>
      </c>
    </row>
    <row r="105" spans="2:17" x14ac:dyDescent="0.55000000000000004">
      <c r="B105" t="s">
        <v>3270</v>
      </c>
      <c r="D105">
        <v>103</v>
      </c>
      <c r="G105" s="61" t="s">
        <v>1707</v>
      </c>
      <c r="H105" t="s">
        <v>2000</v>
      </c>
      <c r="I105" t="s">
        <v>2003</v>
      </c>
      <c r="J105">
        <v>2023</v>
      </c>
      <c r="N105" t="s">
        <v>2004</v>
      </c>
    </row>
    <row r="106" spans="2:17" x14ac:dyDescent="0.55000000000000004">
      <c r="B106" t="s">
        <v>3270</v>
      </c>
      <c r="D106">
        <v>104</v>
      </c>
      <c r="G106" s="61" t="s">
        <v>1714</v>
      </c>
      <c r="H106" t="s">
        <v>2091</v>
      </c>
      <c r="I106" t="s">
        <v>2090</v>
      </c>
      <c r="J106">
        <v>2018</v>
      </c>
      <c r="K106" t="s">
        <v>1905</v>
      </c>
      <c r="M106" s="67" t="s">
        <v>2093</v>
      </c>
      <c r="N106" s="67" t="s">
        <v>2092</v>
      </c>
    </row>
    <row r="107" spans="2:17" x14ac:dyDescent="0.55000000000000004">
      <c r="B107" t="s">
        <v>3270</v>
      </c>
      <c r="D107">
        <v>105</v>
      </c>
      <c r="G107" t="s">
        <v>2097</v>
      </c>
      <c r="H107" t="s">
        <v>1882</v>
      </c>
      <c r="I107" t="s">
        <v>1883</v>
      </c>
      <c r="J107">
        <v>2016</v>
      </c>
      <c r="K107" t="s">
        <v>1884</v>
      </c>
      <c r="M107" s="128" t="s">
        <v>2098</v>
      </c>
      <c r="N107" t="s">
        <v>1886</v>
      </c>
    </row>
    <row r="108" spans="2:17" x14ac:dyDescent="0.55000000000000004">
      <c r="B108" t="s">
        <v>3270</v>
      </c>
      <c r="D108">
        <v>106</v>
      </c>
      <c r="G108" t="s">
        <v>2099</v>
      </c>
      <c r="H108" t="s">
        <v>2100</v>
      </c>
      <c r="I108" t="s">
        <v>2101</v>
      </c>
      <c r="J108">
        <v>2022</v>
      </c>
      <c r="K108" t="s">
        <v>2102</v>
      </c>
      <c r="M108" t="s">
        <v>2103</v>
      </c>
      <c r="N108" s="67" t="s">
        <v>2104</v>
      </c>
    </row>
    <row r="109" spans="2:17" x14ac:dyDescent="0.55000000000000004">
      <c r="B109" t="s">
        <v>3270</v>
      </c>
      <c r="D109">
        <v>107</v>
      </c>
      <c r="G109" t="s">
        <v>2099</v>
      </c>
      <c r="H109" t="s">
        <v>2105</v>
      </c>
      <c r="I109" t="s">
        <v>2106</v>
      </c>
      <c r="J109">
        <v>2014</v>
      </c>
      <c r="K109" t="s">
        <v>2107</v>
      </c>
      <c r="M109" s="67" t="s">
        <v>2108</v>
      </c>
      <c r="N109" s="128" t="s">
        <v>2109</v>
      </c>
      <c r="Q109" s="129"/>
    </row>
    <row r="110" spans="2:17" x14ac:dyDescent="0.55000000000000004">
      <c r="B110" t="s">
        <v>3270</v>
      </c>
      <c r="D110">
        <v>108</v>
      </c>
      <c r="G110" t="s">
        <v>2099</v>
      </c>
      <c r="H110" t="s">
        <v>2110</v>
      </c>
      <c r="I110" t="s">
        <v>2111</v>
      </c>
      <c r="J110">
        <v>2020</v>
      </c>
      <c r="K110" t="s">
        <v>2112</v>
      </c>
      <c r="M110" t="s">
        <v>2113</v>
      </c>
      <c r="N110" s="67" t="s">
        <v>2114</v>
      </c>
    </row>
    <row r="111" spans="2:17" x14ac:dyDescent="0.55000000000000004">
      <c r="B111" t="s">
        <v>3270</v>
      </c>
      <c r="D111">
        <v>109</v>
      </c>
      <c r="G111" t="s">
        <v>2099</v>
      </c>
      <c r="H111" t="s">
        <v>2115</v>
      </c>
      <c r="I111" t="s">
        <v>2116</v>
      </c>
      <c r="J111">
        <v>2021</v>
      </c>
      <c r="K111" t="s">
        <v>2117</v>
      </c>
      <c r="M111" t="s">
        <v>2118</v>
      </c>
      <c r="N111" s="67" t="s">
        <v>2119</v>
      </c>
    </row>
    <row r="112" spans="2:17" x14ac:dyDescent="0.55000000000000004">
      <c r="B112" t="s">
        <v>3270</v>
      </c>
      <c r="D112">
        <v>110</v>
      </c>
      <c r="G112" t="s">
        <v>2099</v>
      </c>
      <c r="H112" t="s">
        <v>2120</v>
      </c>
      <c r="I112" t="s">
        <v>2121</v>
      </c>
      <c r="J112">
        <v>2015</v>
      </c>
      <c r="K112" t="s">
        <v>2112</v>
      </c>
      <c r="M112" t="s">
        <v>2122</v>
      </c>
      <c r="N112" s="67" t="s">
        <v>2123</v>
      </c>
    </row>
    <row r="113" spans="2:14" x14ac:dyDescent="0.55000000000000004">
      <c r="B113" t="s">
        <v>3270</v>
      </c>
      <c r="D113">
        <v>111</v>
      </c>
      <c r="G113" t="s">
        <v>2099</v>
      </c>
      <c r="H113" t="s">
        <v>2124</v>
      </c>
      <c r="I113" t="s">
        <v>2125</v>
      </c>
      <c r="J113">
        <v>2014</v>
      </c>
      <c r="K113" t="s">
        <v>1905</v>
      </c>
      <c r="M113" t="s">
        <v>2126</v>
      </c>
      <c r="N113" s="67" t="s">
        <v>2127</v>
      </c>
    </row>
    <row r="114" spans="2:14" x14ac:dyDescent="0.55000000000000004">
      <c r="B114" t="s">
        <v>3270</v>
      </c>
      <c r="D114">
        <v>112</v>
      </c>
      <c r="G114" t="s">
        <v>2099</v>
      </c>
      <c r="H114" t="s">
        <v>2128</v>
      </c>
      <c r="I114" t="s">
        <v>2129</v>
      </c>
      <c r="J114">
        <v>2024</v>
      </c>
      <c r="K114" t="s">
        <v>2130</v>
      </c>
      <c r="M114" s="128" t="s">
        <v>2131</v>
      </c>
      <c r="N114" s="128" t="s">
        <v>2132</v>
      </c>
    </row>
    <row r="115" spans="2:14" x14ac:dyDescent="0.55000000000000004">
      <c r="B115" t="s">
        <v>3270</v>
      </c>
      <c r="D115">
        <v>113</v>
      </c>
      <c r="G115" t="s">
        <v>2099</v>
      </c>
      <c r="H115" t="s">
        <v>2133</v>
      </c>
      <c r="I115" t="s">
        <v>2134</v>
      </c>
      <c r="J115">
        <v>2016</v>
      </c>
      <c r="K115" t="s">
        <v>2135</v>
      </c>
      <c r="M115" t="s">
        <v>2136</v>
      </c>
      <c r="N115" s="67" t="s">
        <v>2137</v>
      </c>
    </row>
    <row r="116" spans="2:14" x14ac:dyDescent="0.55000000000000004">
      <c r="B116" t="s">
        <v>3270</v>
      </c>
      <c r="D116">
        <v>114</v>
      </c>
      <c r="G116" t="s">
        <v>2099</v>
      </c>
      <c r="H116" t="s">
        <v>2138</v>
      </c>
      <c r="I116" t="s">
        <v>2139</v>
      </c>
      <c r="J116">
        <v>2020</v>
      </c>
      <c r="K116" t="s">
        <v>2140</v>
      </c>
      <c r="M116" s="67" t="s">
        <v>2141</v>
      </c>
      <c r="N116" s="67" t="s">
        <v>2142</v>
      </c>
    </row>
    <row r="117" spans="2:14" x14ac:dyDescent="0.55000000000000004">
      <c r="B117" t="s">
        <v>3270</v>
      </c>
      <c r="D117">
        <v>115</v>
      </c>
      <c r="G117" t="s">
        <v>2099</v>
      </c>
      <c r="H117" t="s">
        <v>2143</v>
      </c>
      <c r="I117" t="s">
        <v>2144</v>
      </c>
      <c r="J117">
        <v>2010</v>
      </c>
      <c r="K117" t="s">
        <v>1884</v>
      </c>
      <c r="M117" t="s">
        <v>2145</v>
      </c>
      <c r="N117" s="130" t="s">
        <v>2146</v>
      </c>
    </row>
    <row r="118" spans="2:14" x14ac:dyDescent="0.55000000000000004">
      <c r="B118" t="s">
        <v>3270</v>
      </c>
      <c r="D118">
        <v>116</v>
      </c>
      <c r="G118" t="s">
        <v>2099</v>
      </c>
      <c r="H118" t="s">
        <v>2147</v>
      </c>
      <c r="I118" t="s">
        <v>2148</v>
      </c>
      <c r="J118">
        <v>2012</v>
      </c>
      <c r="K118" t="s">
        <v>2149</v>
      </c>
      <c r="M118" t="s">
        <v>2150</v>
      </c>
      <c r="N118" s="67" t="s">
        <v>2151</v>
      </c>
    </row>
    <row r="119" spans="2:14" x14ac:dyDescent="0.55000000000000004">
      <c r="B119" t="s">
        <v>3270</v>
      </c>
      <c r="D119">
        <v>117</v>
      </c>
      <c r="G119" t="s">
        <v>2099</v>
      </c>
      <c r="H119" t="s">
        <v>2152</v>
      </c>
      <c r="I119" t="s">
        <v>2153</v>
      </c>
      <c r="J119">
        <v>2016</v>
      </c>
      <c r="K119" t="s">
        <v>2107</v>
      </c>
      <c r="M119" t="s">
        <v>2154</v>
      </c>
      <c r="N119" t="s">
        <v>2155</v>
      </c>
    </row>
    <row r="120" spans="2:14" x14ac:dyDescent="0.55000000000000004">
      <c r="B120" t="s">
        <v>3270</v>
      </c>
      <c r="D120">
        <v>118</v>
      </c>
      <c r="G120" t="s">
        <v>2099</v>
      </c>
      <c r="H120" t="s">
        <v>2156</v>
      </c>
      <c r="I120" t="s">
        <v>2157</v>
      </c>
      <c r="J120">
        <v>2019</v>
      </c>
      <c r="K120" t="s">
        <v>2158</v>
      </c>
      <c r="M120" t="s">
        <v>2159</v>
      </c>
      <c r="N120" s="67" t="s">
        <v>2160</v>
      </c>
    </row>
    <row r="121" spans="2:14" x14ac:dyDescent="0.55000000000000004">
      <c r="B121" t="s">
        <v>3270</v>
      </c>
      <c r="D121">
        <v>119</v>
      </c>
      <c r="G121" t="s">
        <v>2099</v>
      </c>
      <c r="H121" t="s">
        <v>2161</v>
      </c>
      <c r="I121" t="s">
        <v>2162</v>
      </c>
      <c r="J121">
        <v>2023</v>
      </c>
      <c r="K121" t="s">
        <v>2102</v>
      </c>
      <c r="L121" t="s">
        <v>2102</v>
      </c>
      <c r="M121" t="s">
        <v>2163</v>
      </c>
      <c r="N121" t="s">
        <v>2164</v>
      </c>
    </row>
    <row r="122" spans="2:14" x14ac:dyDescent="0.55000000000000004">
      <c r="B122" t="s">
        <v>3270</v>
      </c>
      <c r="D122">
        <v>120</v>
      </c>
      <c r="G122" t="s">
        <v>2099</v>
      </c>
      <c r="H122" t="s">
        <v>2165</v>
      </c>
      <c r="I122" t="s">
        <v>2166</v>
      </c>
      <c r="J122">
        <v>2022</v>
      </c>
      <c r="K122" t="s">
        <v>2112</v>
      </c>
      <c r="M122" t="s">
        <v>2167</v>
      </c>
      <c r="N122" s="67" t="s">
        <v>2168</v>
      </c>
    </row>
    <row r="123" spans="2:14" x14ac:dyDescent="0.55000000000000004">
      <c r="B123" t="s">
        <v>3270</v>
      </c>
      <c r="D123">
        <v>121</v>
      </c>
      <c r="G123" t="s">
        <v>2169</v>
      </c>
      <c r="H123" t="s">
        <v>2170</v>
      </c>
      <c r="I123" t="s">
        <v>2171</v>
      </c>
      <c r="J123">
        <v>2015</v>
      </c>
      <c r="K123" t="s">
        <v>2172</v>
      </c>
      <c r="M123" t="s">
        <v>2173</v>
      </c>
      <c r="N123" s="67" t="s">
        <v>2174</v>
      </c>
    </row>
    <row r="124" spans="2:14" x14ac:dyDescent="0.55000000000000004">
      <c r="B124" t="s">
        <v>3270</v>
      </c>
      <c r="D124">
        <v>122</v>
      </c>
      <c r="G124" t="s">
        <v>2175</v>
      </c>
      <c r="H124" t="s">
        <v>2176</v>
      </c>
      <c r="I124" t="s">
        <v>2177</v>
      </c>
      <c r="J124">
        <v>2009</v>
      </c>
      <c r="K124" t="s">
        <v>2178</v>
      </c>
      <c r="N124" s="67" t="s">
        <v>2179</v>
      </c>
    </row>
    <row r="125" spans="2:14" x14ac:dyDescent="0.55000000000000004">
      <c r="B125" t="s">
        <v>3270</v>
      </c>
      <c r="D125">
        <v>123</v>
      </c>
      <c r="G125" t="s">
        <v>2099</v>
      </c>
      <c r="H125" t="s">
        <v>2180</v>
      </c>
      <c r="I125" t="s">
        <v>2181</v>
      </c>
      <c r="J125">
        <v>2021</v>
      </c>
      <c r="K125" t="s">
        <v>2182</v>
      </c>
      <c r="M125" t="s">
        <v>2183</v>
      </c>
      <c r="N125" s="67" t="s">
        <v>2184</v>
      </c>
    </row>
    <row r="126" spans="2:14" x14ac:dyDescent="0.55000000000000004">
      <c r="B126" t="s">
        <v>3270</v>
      </c>
      <c r="D126">
        <v>124</v>
      </c>
      <c r="G126" t="s">
        <v>2099</v>
      </c>
      <c r="H126" t="s">
        <v>2185</v>
      </c>
      <c r="J126">
        <v>2010</v>
      </c>
      <c r="K126" t="s">
        <v>2182</v>
      </c>
      <c r="M126" t="s">
        <v>2186</v>
      </c>
      <c r="N126" s="67" t="s">
        <v>2187</v>
      </c>
    </row>
    <row r="127" spans="2:14" x14ac:dyDescent="0.55000000000000004">
      <c r="B127" t="s">
        <v>3270</v>
      </c>
      <c r="D127">
        <v>125</v>
      </c>
      <c r="G127" t="s">
        <v>2188</v>
      </c>
      <c r="H127" t="s">
        <v>2189</v>
      </c>
      <c r="J127" t="s">
        <v>2190</v>
      </c>
    </row>
    <row r="128" spans="2:14" x14ac:dyDescent="0.55000000000000004">
      <c r="B128" t="s">
        <v>3270</v>
      </c>
      <c r="D128">
        <v>126</v>
      </c>
      <c r="G128" t="s">
        <v>2191</v>
      </c>
      <c r="H128" t="s">
        <v>2192</v>
      </c>
      <c r="J128" t="s">
        <v>2193</v>
      </c>
      <c r="N128" s="67"/>
    </row>
    <row r="129" spans="2:14" x14ac:dyDescent="0.55000000000000004">
      <c r="B129" t="s">
        <v>3270</v>
      </c>
      <c r="D129">
        <v>127</v>
      </c>
      <c r="G129" t="s">
        <v>2194</v>
      </c>
      <c r="H129" t="s">
        <v>2189</v>
      </c>
      <c r="J129" t="s">
        <v>2190</v>
      </c>
    </row>
    <row r="130" spans="2:14" x14ac:dyDescent="0.55000000000000004">
      <c r="B130" t="s">
        <v>3270</v>
      </c>
      <c r="D130">
        <v>128</v>
      </c>
      <c r="G130" t="s">
        <v>2195</v>
      </c>
      <c r="H130" t="s">
        <v>2192</v>
      </c>
      <c r="J130" t="s">
        <v>2193</v>
      </c>
    </row>
    <row r="131" spans="2:14" x14ac:dyDescent="0.55000000000000004">
      <c r="B131" t="s">
        <v>3270</v>
      </c>
      <c r="D131">
        <v>129</v>
      </c>
      <c r="G131" t="s">
        <v>2099</v>
      </c>
      <c r="H131" t="s">
        <v>2196</v>
      </c>
      <c r="I131" t="s">
        <v>2197</v>
      </c>
      <c r="J131">
        <v>2005</v>
      </c>
      <c r="K131" t="s">
        <v>2198</v>
      </c>
      <c r="M131" t="s">
        <v>2199</v>
      </c>
    </row>
    <row r="132" spans="2:14" x14ac:dyDescent="0.55000000000000004">
      <c r="B132" t="s">
        <v>3270</v>
      </c>
      <c r="D132">
        <v>130</v>
      </c>
      <c r="G132" t="s">
        <v>2099</v>
      </c>
      <c r="H132" t="s">
        <v>2200</v>
      </c>
      <c r="I132" t="s">
        <v>2201</v>
      </c>
      <c r="J132">
        <v>1996</v>
      </c>
      <c r="L132" t="s">
        <v>2202</v>
      </c>
      <c r="N132" t="s">
        <v>2203</v>
      </c>
    </row>
    <row r="133" spans="2:14" x14ac:dyDescent="0.55000000000000004">
      <c r="B133" t="s">
        <v>3270</v>
      </c>
      <c r="D133">
        <v>131</v>
      </c>
      <c r="G133" t="s">
        <v>2099</v>
      </c>
      <c r="H133" t="s">
        <v>2204</v>
      </c>
      <c r="I133" t="s">
        <v>2205</v>
      </c>
      <c r="J133">
        <v>2007</v>
      </c>
      <c r="K133" t="s">
        <v>2206</v>
      </c>
      <c r="M133" t="s">
        <v>2207</v>
      </c>
    </row>
    <row r="134" spans="2:14" x14ac:dyDescent="0.55000000000000004">
      <c r="B134" t="s">
        <v>3270</v>
      </c>
      <c r="D134">
        <v>132</v>
      </c>
      <c r="G134" t="s">
        <v>2099</v>
      </c>
      <c r="H134" t="s">
        <v>2208</v>
      </c>
      <c r="I134" t="s">
        <v>2209</v>
      </c>
      <c r="J134">
        <v>2002</v>
      </c>
      <c r="K134" t="s">
        <v>2112</v>
      </c>
      <c r="M134" s="67" t="s">
        <v>2210</v>
      </c>
    </row>
    <row r="135" spans="2:14" x14ac:dyDescent="0.55000000000000004">
      <c r="B135" t="s">
        <v>3270</v>
      </c>
      <c r="D135">
        <v>133</v>
      </c>
      <c r="G135" t="s">
        <v>2099</v>
      </c>
      <c r="H135" t="s">
        <v>2211</v>
      </c>
      <c r="J135">
        <v>2015</v>
      </c>
      <c r="K135" t="s">
        <v>2212</v>
      </c>
      <c r="M135" t="s">
        <v>2213</v>
      </c>
      <c r="N135" s="67" t="s">
        <v>2214</v>
      </c>
    </row>
    <row r="136" spans="2:14" x14ac:dyDescent="0.55000000000000004">
      <c r="B136" t="s">
        <v>3270</v>
      </c>
      <c r="D136">
        <v>134</v>
      </c>
      <c r="G136" t="s">
        <v>1699</v>
      </c>
      <c r="I136" t="s">
        <v>2215</v>
      </c>
      <c r="N136" s="67" t="s">
        <v>2216</v>
      </c>
    </row>
    <row r="137" spans="2:14" x14ac:dyDescent="0.55000000000000004">
      <c r="B137" t="s">
        <v>3270</v>
      </c>
      <c r="D137">
        <v>135</v>
      </c>
      <c r="G137" t="s">
        <v>2099</v>
      </c>
      <c r="H137" t="s">
        <v>2217</v>
      </c>
      <c r="I137" t="s">
        <v>2218</v>
      </c>
      <c r="J137">
        <v>2023</v>
      </c>
      <c r="K137" t="s">
        <v>2219</v>
      </c>
      <c r="M137" t="s">
        <v>2220</v>
      </c>
    </row>
    <row r="138" spans="2:14" x14ac:dyDescent="0.55000000000000004">
      <c r="B138" t="s">
        <v>3270</v>
      </c>
      <c r="D138">
        <v>136</v>
      </c>
      <c r="G138" t="s">
        <v>2099</v>
      </c>
      <c r="H138" t="s">
        <v>2221</v>
      </c>
      <c r="I138" t="s">
        <v>2222</v>
      </c>
      <c r="J138">
        <v>2016</v>
      </c>
      <c r="K138" t="s">
        <v>1905</v>
      </c>
      <c r="M138" t="s">
        <v>2223</v>
      </c>
      <c r="N138" s="67" t="s">
        <v>2224</v>
      </c>
    </row>
    <row r="139" spans="2:14" x14ac:dyDescent="0.55000000000000004">
      <c r="B139" t="s">
        <v>3270</v>
      </c>
      <c r="D139">
        <v>137</v>
      </c>
      <c r="G139" t="s">
        <v>2099</v>
      </c>
      <c r="H139" t="s">
        <v>2225</v>
      </c>
      <c r="I139" t="s">
        <v>2226</v>
      </c>
      <c r="J139">
        <v>2018</v>
      </c>
      <c r="K139" t="s">
        <v>1905</v>
      </c>
      <c r="M139" t="s">
        <v>2227</v>
      </c>
      <c r="N139" s="67" t="s">
        <v>2228</v>
      </c>
    </row>
    <row r="140" spans="2:14" x14ac:dyDescent="0.55000000000000004">
      <c r="B140" t="s">
        <v>3270</v>
      </c>
      <c r="D140">
        <v>138</v>
      </c>
      <c r="G140" t="s">
        <v>2099</v>
      </c>
      <c r="H140" t="s">
        <v>2229</v>
      </c>
      <c r="I140" t="s">
        <v>2230</v>
      </c>
      <c r="J140">
        <v>2016</v>
      </c>
      <c r="K140" t="s">
        <v>2107</v>
      </c>
      <c r="M140" t="s">
        <v>2231</v>
      </c>
      <c r="N140" t="s">
        <v>2232</v>
      </c>
    </row>
    <row r="141" spans="2:14" x14ac:dyDescent="0.55000000000000004">
      <c r="B141" t="s">
        <v>3270</v>
      </c>
      <c r="D141">
        <v>139</v>
      </c>
      <c r="G141" t="s">
        <v>2099</v>
      </c>
      <c r="H141" t="s">
        <v>2233</v>
      </c>
      <c r="I141" t="s">
        <v>2234</v>
      </c>
      <c r="J141">
        <v>2015</v>
      </c>
      <c r="K141" t="s">
        <v>2107</v>
      </c>
      <c r="M141" t="s">
        <v>2235</v>
      </c>
      <c r="N141" s="67" t="s">
        <v>2236</v>
      </c>
    </row>
    <row r="142" spans="2:14" x14ac:dyDescent="0.55000000000000004">
      <c r="B142" t="s">
        <v>3270</v>
      </c>
      <c r="D142">
        <v>140</v>
      </c>
      <c r="G142" t="s">
        <v>2099</v>
      </c>
      <c r="H142" t="s">
        <v>2237</v>
      </c>
      <c r="I142" t="s">
        <v>2238</v>
      </c>
      <c r="J142">
        <v>2017</v>
      </c>
      <c r="K142" t="s">
        <v>1884</v>
      </c>
      <c r="M142" t="s">
        <v>2239</v>
      </c>
      <c r="N142" t="s">
        <v>2240</v>
      </c>
    </row>
    <row r="143" spans="2:14" x14ac:dyDescent="0.55000000000000004">
      <c r="B143" t="s">
        <v>3270</v>
      </c>
      <c r="D143">
        <v>141</v>
      </c>
      <c r="G143" t="s">
        <v>2099</v>
      </c>
      <c r="H143" t="s">
        <v>2241</v>
      </c>
      <c r="I143" t="s">
        <v>2242</v>
      </c>
      <c r="J143">
        <v>2010</v>
      </c>
      <c r="K143" t="s">
        <v>2107</v>
      </c>
      <c r="M143" t="s">
        <v>2243</v>
      </c>
      <c r="N143" s="67" t="s">
        <v>2244</v>
      </c>
    </row>
    <row r="144" spans="2:14" x14ac:dyDescent="0.55000000000000004">
      <c r="B144" t="s">
        <v>3270</v>
      </c>
      <c r="D144">
        <v>142</v>
      </c>
      <c r="G144" t="s">
        <v>2099</v>
      </c>
      <c r="H144" t="s">
        <v>2245</v>
      </c>
      <c r="I144" t="s">
        <v>2246</v>
      </c>
      <c r="J144">
        <v>2015</v>
      </c>
      <c r="K144" t="s">
        <v>2107</v>
      </c>
      <c r="M144" t="s">
        <v>2247</v>
      </c>
      <c r="N144" s="67" t="s">
        <v>2248</v>
      </c>
    </row>
  </sheetData>
  <hyperlinks>
    <hyperlink ref="N8" r:id="rId1" xr:uid="{D17A53A5-10EC-49E9-A840-77451E15195E}"/>
    <hyperlink ref="N86" r:id="rId2" xr:uid="{95900709-4B15-4071-AC13-A20144346C16}"/>
    <hyperlink ref="N93" r:id="rId3" xr:uid="{97286494-0C8A-4CB1-86F6-A556D625053B}"/>
    <hyperlink ref="N92" r:id="rId4" xr:uid="{65EDFAAB-46D5-434B-95D2-D45EA6E9F873}"/>
    <hyperlink ref="N91" r:id="rId5" xr:uid="{754468E9-578E-48E8-A99E-59EE2AD83F4E}"/>
    <hyperlink ref="N90" r:id="rId6" xr:uid="{8FCB018E-1AC5-4C80-A018-BD82FB3ABA44}"/>
    <hyperlink ref="N89" r:id="rId7" xr:uid="{0495597F-ED3C-45A2-804D-64A21E5C69A5}"/>
    <hyperlink ref="N87" r:id="rId8" xr:uid="{4AD292D7-0247-4E16-93BC-F1E658C172EF}"/>
    <hyperlink ref="N88" r:id="rId9" xr:uid="{43E9CE79-3429-456E-9923-B99B98C7DE26}"/>
    <hyperlink ref="N100" r:id="rId10" xr:uid="{189520D3-739A-46EC-A4F1-84509CAF88E4}"/>
    <hyperlink ref="N49" r:id="rId11" xr:uid="{BC0B6E81-ECD6-4AD2-ABDD-178C4DD0B945}"/>
    <hyperlink ref="M106" r:id="rId12" tooltip="Persistent link using digital object identifier" display="https://doi.org/10.1016/j.jclepro.2018.08.279" xr:uid="{D0876055-AD55-4C8F-85E3-5428027EF982}"/>
    <hyperlink ref="N106" r:id="rId13" tooltip="Persistent link using digital object identifier" xr:uid="{8919E848-D21C-4D0B-9BAF-604F4A970110}"/>
    <hyperlink ref="N107" r:id="rId14" xr:uid="{DD18DF85-D712-4598-8EB4-A0D2C758CE41}"/>
    <hyperlink ref="N120" r:id="rId15" xr:uid="{8FE96071-078F-4274-9C51-5A1B593537D1}"/>
    <hyperlink ref="N108" r:id="rId16" xr:uid="{C9AD9242-96AB-4043-B242-412C4114E404}"/>
    <hyperlink ref="M107" r:id="rId17" display="https://doi.org/10.1007/s11367-016-1087-8" xr:uid="{CF1CB8CC-F9F7-4764-8B53-C380B57A4670}"/>
    <hyperlink ref="N109" r:id="rId18" location="b0205" xr:uid="{8F17E202-1831-434A-BEB6-EDE7CEB1EFC3}"/>
    <hyperlink ref="M109" r:id="rId19" display="https://doi.org/10.1016/j.wasman.2014.05.007" xr:uid="{EFA4332D-D19D-47B1-B080-A9AD4A36CB08}"/>
    <hyperlink ref="N110" r:id="rId20" tooltip="Persistent link using digital object identifier" xr:uid="{13D53005-0584-4A25-914C-C3DA474E68F1}"/>
    <hyperlink ref="N111" r:id="rId21" xr:uid="{7D4D2112-C775-4FA2-A2A0-9C3F7736CACB}"/>
    <hyperlink ref="N112" r:id="rId22" xr:uid="{39860527-041A-4CB9-80CC-2B4C0BEB3E8C}"/>
    <hyperlink ref="N113" r:id="rId23" xr:uid="{B674F7C8-8E47-41B5-8EC6-9140A64A9A5E}"/>
    <hyperlink ref="N114" r:id="rId24" xr:uid="{937E95ED-6253-4574-B98C-DCFB96B5D3D6}"/>
    <hyperlink ref="N115" r:id="rId25" tooltip="Persistent link using digital object identifier" xr:uid="{B66B46C9-4223-46F8-BF63-920794BC1017}"/>
    <hyperlink ref="N116" r:id="rId26" xr:uid="{FD12939D-F958-4B51-B02F-069C8200855D}"/>
    <hyperlink ref="M116" r:id="rId27" tooltip="Persistent link using digital object identifier" display="https://doi.org/10.1016/j.jenvman.2020.111276" xr:uid="{0345550E-E7A6-4086-8F2F-B74A9DCAE92C}"/>
    <hyperlink ref="N117" r:id="rId28" xr:uid="{F52581DF-D197-4827-BEBA-A97C0E12BEC2}"/>
    <hyperlink ref="N118" r:id="rId29" xr:uid="{109FC978-F3A1-499D-B00D-F205A145C91F}"/>
    <hyperlink ref="N122" r:id="rId30" xr:uid="{0BD2F57C-D7DD-4D2D-A2CB-8D8C8EF7C635}"/>
    <hyperlink ref="N123" r:id="rId31" xr:uid="{A458EF8F-3C61-4C41-A7DA-6D2ABDC401EA}"/>
    <hyperlink ref="N124" r:id="rId32" xr:uid="{773921D6-8BF9-41A0-86AE-2DDD840E58C4}"/>
    <hyperlink ref="N125" r:id="rId33" xr:uid="{1AC7B4F9-2164-4C92-B3D6-B27015B11DD3}"/>
    <hyperlink ref="N126" r:id="rId34" location="aep-section-id29" xr:uid="{671FA40A-18A5-409F-A783-9CDE939A5A09}"/>
    <hyperlink ref="N135" r:id="rId35" xr:uid="{8A80990E-0EFF-40E7-97E9-068F06DB63C3}"/>
    <hyperlink ref="N136" r:id="rId36" xr:uid="{4A3F5CF9-9250-4EBF-8C5A-3FD82D567A5B}"/>
    <hyperlink ref="M134" r:id="rId37" display="http://dx.doi.org/10.1016/S0921-3449(01)00114-8" xr:uid="{6255BE55-42FA-4BD9-BB7F-6C2B66FC3801}"/>
    <hyperlink ref="N138" r:id="rId38" xr:uid="{CA73E4E9-D26E-4B27-8CFE-8C3C3E1A5E4A}"/>
    <hyperlink ref="N139" r:id="rId39" xr:uid="{A4D259EA-115C-4B03-88DD-79876F7434BF}"/>
    <hyperlink ref="N141" r:id="rId40" tooltip="Persistent link using digital object identifier" xr:uid="{F5724141-A67E-480B-B23D-8A1B4B64D8AC}"/>
    <hyperlink ref="N143" r:id="rId41" xr:uid="{0399BD73-6379-4590-96F1-D3A4F21BC7FB}"/>
    <hyperlink ref="N144" r:id="rId42" xr:uid="{8D96D12E-4549-45AB-BBE8-E85F497E630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B9B51-8197-48BF-BAE2-818704F228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E11958-4686-4E60-B1E6-92D92296809B}">
  <ds:schemaRefs>
    <ds:schemaRef ds:uri="http://schemas.microsoft.com/office/2006/documentManagement/types"/>
    <ds:schemaRef ds:uri="0592d07a-1af2-4331-8b44-ea7e2815515f"/>
    <ds:schemaRef ds:uri="http://purl.org/dc/term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a4e2c5e2-cb1f-48cf-889d-fca67caa39a4"/>
    <ds:schemaRef ds:uri="http://www.w3.org/XML/1998/namespace"/>
  </ds:schemaRefs>
</ds:datastoreItem>
</file>

<file path=customXml/itemProps3.xml><?xml version="1.0" encoding="utf-8"?>
<ds:datastoreItem xmlns:ds="http://schemas.openxmlformats.org/officeDocument/2006/customXml" ds:itemID="{74939680-E771-409B-92AB-3EBBE84B7A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Cover</vt:lpstr>
      <vt:lpstr>Data</vt:lpstr>
      <vt:lpstr>Data_old</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2024-12-03T18:52:33Z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y fmtid="{D5CDD505-2E9C-101B-9397-08002B2CF9AE}" pid="4" name="SaveCode">
    <vt:r8>157538115978240</vt:r8>
  </property>
</Properties>
</file>